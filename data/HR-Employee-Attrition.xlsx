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Hamida DA Angk 2 Thn 2026\Pertemuan 13\"/>
    </mc:Choice>
  </mc:AlternateContent>
  <xr:revisionPtr revIDLastSave="0" documentId="13_ncr:1_{7FEE5D5E-7015-4124-A3A4-406DDEF6259F}" xr6:coauthVersionLast="47" xr6:coauthVersionMax="47" xr10:uidLastSave="{00000000-0000-0000-0000-000000000000}"/>
  <bookViews>
    <workbookView xWindow="-105" yWindow="0" windowWidth="14610" windowHeight="15585" tabRatio="861" activeTab="2" xr2:uid="{00000000-000D-0000-FFFF-FFFF00000000}"/>
  </bookViews>
  <sheets>
    <sheet name="Master Data" sheetId="1" r:id="rId1"/>
    <sheet name="Tabel_Fakta" sheetId="2" r:id="rId2"/>
    <sheet name="ID_Employee" sheetId="5" r:id="rId3"/>
    <sheet name="Dim_Attrition" sheetId="3" r:id="rId4"/>
    <sheet name="Dim_BusinessTravel" sheetId="4" r:id="rId5"/>
    <sheet name="Dim_Departement" sheetId="6" r:id="rId6"/>
    <sheet name="Dim_Education" sheetId="8" r:id="rId7"/>
    <sheet name="Dim_EducationField" sheetId="7" r:id="rId8"/>
    <sheet name="Dim_EnvironmentSatisfaction" sheetId="9" r:id="rId9"/>
    <sheet name="Dim_Gender" sheetId="10" r:id="rId10"/>
    <sheet name="Dim_JobInvolvement" sheetId="11" r:id="rId11"/>
    <sheet name="Dim_JobLevel" sheetId="12" r:id="rId12"/>
    <sheet name="Dim_JobRole" sheetId="13" r:id="rId13"/>
    <sheet name="Dim_JobSatisfaction" sheetId="14" r:id="rId14"/>
    <sheet name="Dim_MaritalStatus" sheetId="15" r:id="rId15"/>
    <sheet name="Dim_OverTime" sheetId="16" r:id="rId16"/>
    <sheet name="Dim_PerformanceRating" sheetId="17" r:id="rId17"/>
    <sheet name="Dim_RelationshipSatisfaction" sheetId="18" r:id="rId18"/>
    <sheet name="Dim_StockOptionLevel" sheetId="19" r:id="rId19"/>
    <sheet name="Dim_WorkLifeBalance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1" l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6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3" i="1"/>
  <c r="AX1404" i="1"/>
  <c r="AX1405" i="1"/>
  <c r="AX1406" i="1"/>
  <c r="AX1407" i="1"/>
  <c r="AX1408" i="1"/>
  <c r="AX1409" i="1"/>
  <c r="AX1410" i="1"/>
  <c r="AX1411" i="1"/>
  <c r="AX1412" i="1"/>
  <c r="AX1413" i="1"/>
  <c r="AX1414" i="1"/>
  <c r="AX1415" i="1"/>
  <c r="AX1416" i="1"/>
  <c r="AX1417" i="1"/>
  <c r="AX1418" i="1"/>
  <c r="AX1419" i="1"/>
  <c r="AX1420" i="1"/>
  <c r="AX1421" i="1"/>
  <c r="AX1422" i="1"/>
  <c r="AX1423" i="1"/>
  <c r="AX1424" i="1"/>
  <c r="AX1425" i="1"/>
  <c r="AX1426" i="1"/>
  <c r="AX1427" i="1"/>
  <c r="AX1428" i="1"/>
  <c r="AX1429" i="1"/>
  <c r="AX1430" i="1"/>
  <c r="AX1431" i="1"/>
  <c r="AX1432" i="1"/>
  <c r="AX1433" i="1"/>
  <c r="AX1434" i="1"/>
  <c r="AX1435" i="1"/>
  <c r="AX1436" i="1"/>
  <c r="AX1437" i="1"/>
  <c r="AX1438" i="1"/>
  <c r="AX1439" i="1"/>
  <c r="AX1440" i="1"/>
  <c r="AX1441" i="1"/>
  <c r="AX1442" i="1"/>
  <c r="AX1443" i="1"/>
  <c r="AX1444" i="1"/>
  <c r="AX1445" i="1"/>
  <c r="AX1446" i="1"/>
  <c r="AX1447" i="1"/>
  <c r="AX1448" i="1"/>
  <c r="AX1449" i="1"/>
  <c r="AX1450" i="1"/>
  <c r="AX1451" i="1"/>
  <c r="AX1452" i="1"/>
  <c r="AX1453" i="1"/>
  <c r="AX1454" i="1"/>
  <c r="AX1455" i="1"/>
  <c r="AX1456" i="1"/>
  <c r="AX1457" i="1"/>
  <c r="AX1458" i="1"/>
  <c r="AX1459" i="1"/>
  <c r="AX1460" i="1"/>
  <c r="AX1461" i="1"/>
  <c r="AX1462" i="1"/>
  <c r="AX1463" i="1"/>
  <c r="AX1464" i="1"/>
  <c r="AX1465" i="1"/>
  <c r="AX1466" i="1"/>
  <c r="AX1467" i="1"/>
  <c r="AX1468" i="1"/>
  <c r="AX1469" i="1"/>
  <c r="AX1470" i="1"/>
  <c r="AX1471" i="1"/>
  <c r="AX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2" i="1"/>
</calcChain>
</file>

<file path=xl/sharedStrings.xml><?xml version="1.0" encoding="utf-8"?>
<sst xmlns="http://schemas.openxmlformats.org/spreadsheetml/2006/main" count="39953" uniqueCount="1640">
  <si>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</si>
  <si>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</si>
  <si>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</si>
  <si>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</si>
  <si>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</si>
  <si>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</si>
  <si>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</si>
  <si>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</si>
  <si>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</si>
  <si>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</si>
  <si>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</si>
  <si>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</si>
  <si>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</si>
  <si>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</si>
  <si>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</si>
  <si>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</si>
  <si>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</si>
  <si>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</si>
  <si>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</si>
  <si>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</si>
  <si>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</si>
  <si>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</si>
  <si>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</si>
  <si>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</si>
  <si>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</si>
  <si>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</si>
  <si>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</si>
  <si>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</si>
  <si>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</si>
  <si>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</si>
  <si>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</si>
  <si>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</si>
  <si>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</si>
  <si>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No</t>
  </si>
  <si>
    <t>Travel_Rarely</t>
  </si>
  <si>
    <t>Travel_Frequently</t>
  </si>
  <si>
    <t>Non-Travel</t>
  </si>
  <si>
    <t>Sales</t>
  </si>
  <si>
    <t>Research &amp; Development</t>
  </si>
  <si>
    <t>Human Resources</t>
  </si>
  <si>
    <t>Life Sciences</t>
  </si>
  <si>
    <t>Other</t>
  </si>
  <si>
    <t>Medical</t>
  </si>
  <si>
    <t>Marketing</t>
  </si>
  <si>
    <t>Technical Degree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</si>
  <si>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</si>
  <si>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</si>
  <si>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</si>
  <si>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</si>
  <si>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</si>
  <si>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</si>
  <si>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</si>
  <si>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</si>
  <si>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</si>
  <si>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</si>
  <si>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</si>
  <si>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</si>
  <si>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</si>
  <si>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Id_BusinessTravel</t>
  </si>
  <si>
    <t>EMP00001</t>
  </si>
  <si>
    <t>EMP00002</t>
  </si>
  <si>
    <t>EMP00003</t>
  </si>
  <si>
    <t>EMP00004</t>
  </si>
  <si>
    <t>EMP00005</t>
  </si>
  <si>
    <t>EMP00006</t>
  </si>
  <si>
    <t>EMP00007</t>
  </si>
  <si>
    <t>EMP00008</t>
  </si>
  <si>
    <t>EMP00009</t>
  </si>
  <si>
    <t>EMP00010</t>
  </si>
  <si>
    <t>EMP00011</t>
  </si>
  <si>
    <t>EMP00012</t>
  </si>
  <si>
    <t>EMP00013</t>
  </si>
  <si>
    <t>EMP00014</t>
  </si>
  <si>
    <t>EMP00015</t>
  </si>
  <si>
    <t>EMP00016</t>
  </si>
  <si>
    <t>EMP00017</t>
  </si>
  <si>
    <t>EMP00018</t>
  </si>
  <si>
    <t>EMP00019</t>
  </si>
  <si>
    <t>EMP00020</t>
  </si>
  <si>
    <t>EMP00021</t>
  </si>
  <si>
    <t>EMP00022</t>
  </si>
  <si>
    <t>EMP00023</t>
  </si>
  <si>
    <t>EMP00024</t>
  </si>
  <si>
    <t>EMP00025</t>
  </si>
  <si>
    <t>EMP00026</t>
  </si>
  <si>
    <t>EMP00027</t>
  </si>
  <si>
    <t>EMP00028</t>
  </si>
  <si>
    <t>EMP00029</t>
  </si>
  <si>
    <t>EMP00030</t>
  </si>
  <si>
    <t>EMP00031</t>
  </si>
  <si>
    <t>EMP00032</t>
  </si>
  <si>
    <t>EMP00033</t>
  </si>
  <si>
    <t>EMP00034</t>
  </si>
  <si>
    <t>EMP00035</t>
  </si>
  <si>
    <t>EMP00036</t>
  </si>
  <si>
    <t>EMP00037</t>
  </si>
  <si>
    <t>EMP00038</t>
  </si>
  <si>
    <t>EMP00039</t>
  </si>
  <si>
    <t>EMP00040</t>
  </si>
  <si>
    <t>EMP00041</t>
  </si>
  <si>
    <t>EMP00042</t>
  </si>
  <si>
    <t>EMP00043</t>
  </si>
  <si>
    <t>EMP00044</t>
  </si>
  <si>
    <t>EMP00045</t>
  </si>
  <si>
    <t>EMP00046</t>
  </si>
  <si>
    <t>EMP00047</t>
  </si>
  <si>
    <t>EMP00048</t>
  </si>
  <si>
    <t>EMP00049</t>
  </si>
  <si>
    <t>EMP00050</t>
  </si>
  <si>
    <t>EMP00051</t>
  </si>
  <si>
    <t>EMP00052</t>
  </si>
  <si>
    <t>EMP00053</t>
  </si>
  <si>
    <t>EMP00054</t>
  </si>
  <si>
    <t>EMP00055</t>
  </si>
  <si>
    <t>EMP00056</t>
  </si>
  <si>
    <t>EMP00057</t>
  </si>
  <si>
    <t>EMP00058</t>
  </si>
  <si>
    <t>EMP00059</t>
  </si>
  <si>
    <t>EMP00060</t>
  </si>
  <si>
    <t>EMP00061</t>
  </si>
  <si>
    <t>EMP00062</t>
  </si>
  <si>
    <t>EMP00063</t>
  </si>
  <si>
    <t>EMP00064</t>
  </si>
  <si>
    <t>EMP00065</t>
  </si>
  <si>
    <t>EMP00066</t>
  </si>
  <si>
    <t>EMP00067</t>
  </si>
  <si>
    <t>EMP00068</t>
  </si>
  <si>
    <t>EMP00069</t>
  </si>
  <si>
    <t>EMP00070</t>
  </si>
  <si>
    <t>EMP00071</t>
  </si>
  <si>
    <t>EMP00072</t>
  </si>
  <si>
    <t>EMP00073</t>
  </si>
  <si>
    <t>EMP00074</t>
  </si>
  <si>
    <t>EMP00075</t>
  </si>
  <si>
    <t>EMP00076</t>
  </si>
  <si>
    <t>EMP00077</t>
  </si>
  <si>
    <t>EMP00078</t>
  </si>
  <si>
    <t>EMP00079</t>
  </si>
  <si>
    <t>EMP00080</t>
  </si>
  <si>
    <t>EMP00081</t>
  </si>
  <si>
    <t>EMP00082</t>
  </si>
  <si>
    <t>EMP00083</t>
  </si>
  <si>
    <t>EMP00084</t>
  </si>
  <si>
    <t>EMP00085</t>
  </si>
  <si>
    <t>EMP00086</t>
  </si>
  <si>
    <t>EMP00087</t>
  </si>
  <si>
    <t>EMP00088</t>
  </si>
  <si>
    <t>EMP00089</t>
  </si>
  <si>
    <t>EMP00090</t>
  </si>
  <si>
    <t>EMP00091</t>
  </si>
  <si>
    <t>EMP00092</t>
  </si>
  <si>
    <t>EMP00093</t>
  </si>
  <si>
    <t>EMP00094</t>
  </si>
  <si>
    <t>EMP00095</t>
  </si>
  <si>
    <t>EMP00096</t>
  </si>
  <si>
    <t>EMP00097</t>
  </si>
  <si>
    <t>EMP00098</t>
  </si>
  <si>
    <t>EMP00099</t>
  </si>
  <si>
    <t>EMP00100</t>
  </si>
  <si>
    <t>EMP00101</t>
  </si>
  <si>
    <t>EMP00102</t>
  </si>
  <si>
    <t>EMP00103</t>
  </si>
  <si>
    <t>EMP00104</t>
  </si>
  <si>
    <t>EMP00105</t>
  </si>
  <si>
    <t>EMP00106</t>
  </si>
  <si>
    <t>EMP00107</t>
  </si>
  <si>
    <t>EMP00108</t>
  </si>
  <si>
    <t>EMP00109</t>
  </si>
  <si>
    <t>EMP00110</t>
  </si>
  <si>
    <t>EMP00111</t>
  </si>
  <si>
    <t>EMP00112</t>
  </si>
  <si>
    <t>EMP00113</t>
  </si>
  <si>
    <t>EMP00114</t>
  </si>
  <si>
    <t>EMP00115</t>
  </si>
  <si>
    <t>EMP00116</t>
  </si>
  <si>
    <t>EMP00117</t>
  </si>
  <si>
    <t>EMP00118</t>
  </si>
  <si>
    <t>EMP00119</t>
  </si>
  <si>
    <t>EMP00120</t>
  </si>
  <si>
    <t>EMP00121</t>
  </si>
  <si>
    <t>EMP00122</t>
  </si>
  <si>
    <t>EMP00123</t>
  </si>
  <si>
    <t>EMP00124</t>
  </si>
  <si>
    <t>EMP00125</t>
  </si>
  <si>
    <t>EMP00126</t>
  </si>
  <si>
    <t>EMP00127</t>
  </si>
  <si>
    <t>EMP00128</t>
  </si>
  <si>
    <t>EMP00129</t>
  </si>
  <si>
    <t>EMP00130</t>
  </si>
  <si>
    <t>EMP00131</t>
  </si>
  <si>
    <t>EMP00132</t>
  </si>
  <si>
    <t>EMP00133</t>
  </si>
  <si>
    <t>EMP00134</t>
  </si>
  <si>
    <t>EMP00135</t>
  </si>
  <si>
    <t>EMP00136</t>
  </si>
  <si>
    <t>EMP00137</t>
  </si>
  <si>
    <t>EMP00138</t>
  </si>
  <si>
    <t>EMP00139</t>
  </si>
  <si>
    <t>EMP00140</t>
  </si>
  <si>
    <t>EMP00141</t>
  </si>
  <si>
    <t>EMP00142</t>
  </si>
  <si>
    <t>EMP00143</t>
  </si>
  <si>
    <t>EMP00144</t>
  </si>
  <si>
    <t>EMP00145</t>
  </si>
  <si>
    <t>EMP00146</t>
  </si>
  <si>
    <t>EMP00147</t>
  </si>
  <si>
    <t>EMP00148</t>
  </si>
  <si>
    <t>EMP00149</t>
  </si>
  <si>
    <t>EMP00150</t>
  </si>
  <si>
    <t>EMP00151</t>
  </si>
  <si>
    <t>EMP00152</t>
  </si>
  <si>
    <t>EMP00153</t>
  </si>
  <si>
    <t>EMP00154</t>
  </si>
  <si>
    <t>EMP00155</t>
  </si>
  <si>
    <t>EMP00156</t>
  </si>
  <si>
    <t>EMP00157</t>
  </si>
  <si>
    <t>EMP00158</t>
  </si>
  <si>
    <t>EMP00159</t>
  </si>
  <si>
    <t>EMP00160</t>
  </si>
  <si>
    <t>EMP00161</t>
  </si>
  <si>
    <t>EMP00162</t>
  </si>
  <si>
    <t>EMP00163</t>
  </si>
  <si>
    <t>EMP00164</t>
  </si>
  <si>
    <t>EMP00165</t>
  </si>
  <si>
    <t>EMP00166</t>
  </si>
  <si>
    <t>EMP00167</t>
  </si>
  <si>
    <t>EMP00168</t>
  </si>
  <si>
    <t>EMP00169</t>
  </si>
  <si>
    <t>EMP00170</t>
  </si>
  <si>
    <t>EMP00171</t>
  </si>
  <si>
    <t>EMP00172</t>
  </si>
  <si>
    <t>EMP00173</t>
  </si>
  <si>
    <t>EMP00174</t>
  </si>
  <si>
    <t>EMP00175</t>
  </si>
  <si>
    <t>EMP00176</t>
  </si>
  <si>
    <t>EMP00177</t>
  </si>
  <si>
    <t>EMP00178</t>
  </si>
  <si>
    <t>EMP00179</t>
  </si>
  <si>
    <t>EMP00180</t>
  </si>
  <si>
    <t>EMP00181</t>
  </si>
  <si>
    <t>EMP00182</t>
  </si>
  <si>
    <t>EMP00183</t>
  </si>
  <si>
    <t>EMP00184</t>
  </si>
  <si>
    <t>EMP00185</t>
  </si>
  <si>
    <t>EMP00186</t>
  </si>
  <si>
    <t>EMP00187</t>
  </si>
  <si>
    <t>EMP00188</t>
  </si>
  <si>
    <t>EMP00189</t>
  </si>
  <si>
    <t>EMP00190</t>
  </si>
  <si>
    <t>EMP00191</t>
  </si>
  <si>
    <t>EMP00192</t>
  </si>
  <si>
    <t>EMP00193</t>
  </si>
  <si>
    <t>EMP00194</t>
  </si>
  <si>
    <t>EMP00195</t>
  </si>
  <si>
    <t>EMP00196</t>
  </si>
  <si>
    <t>EMP00197</t>
  </si>
  <si>
    <t>EMP00198</t>
  </si>
  <si>
    <t>EMP00199</t>
  </si>
  <si>
    <t>EMP00200</t>
  </si>
  <si>
    <t>EMP00201</t>
  </si>
  <si>
    <t>EMP00202</t>
  </si>
  <si>
    <t>EMP00203</t>
  </si>
  <si>
    <t>EMP00204</t>
  </si>
  <si>
    <t>EMP00205</t>
  </si>
  <si>
    <t>EMP00206</t>
  </si>
  <si>
    <t>EMP00207</t>
  </si>
  <si>
    <t>EMP00208</t>
  </si>
  <si>
    <t>EMP00209</t>
  </si>
  <si>
    <t>EMP00210</t>
  </si>
  <si>
    <t>EMP00211</t>
  </si>
  <si>
    <t>EMP00212</t>
  </si>
  <si>
    <t>EMP00213</t>
  </si>
  <si>
    <t>EMP00214</t>
  </si>
  <si>
    <t>EMP00215</t>
  </si>
  <si>
    <t>EMP00216</t>
  </si>
  <si>
    <t>EMP00217</t>
  </si>
  <si>
    <t>EMP00218</t>
  </si>
  <si>
    <t>EMP00219</t>
  </si>
  <si>
    <t>EMP00220</t>
  </si>
  <si>
    <t>EMP00221</t>
  </si>
  <si>
    <t>EMP00222</t>
  </si>
  <si>
    <t>EMP00223</t>
  </si>
  <si>
    <t>EMP00224</t>
  </si>
  <si>
    <t>EMP00225</t>
  </si>
  <si>
    <t>EMP00226</t>
  </si>
  <si>
    <t>EMP00227</t>
  </si>
  <si>
    <t>EMP00228</t>
  </si>
  <si>
    <t>EMP00229</t>
  </si>
  <si>
    <t>EMP00230</t>
  </si>
  <si>
    <t>EMP00231</t>
  </si>
  <si>
    <t>EMP00232</t>
  </si>
  <si>
    <t>EMP00233</t>
  </si>
  <si>
    <t>EMP00234</t>
  </si>
  <si>
    <t>EMP00235</t>
  </si>
  <si>
    <t>EMP00236</t>
  </si>
  <si>
    <t>EMP00237</t>
  </si>
  <si>
    <t>EMP00238</t>
  </si>
  <si>
    <t>EMP00239</t>
  </si>
  <si>
    <t>EMP00240</t>
  </si>
  <si>
    <t>EMP00241</t>
  </si>
  <si>
    <t>EMP00242</t>
  </si>
  <si>
    <t>EMP00243</t>
  </si>
  <si>
    <t>EMP00244</t>
  </si>
  <si>
    <t>EMP00245</t>
  </si>
  <si>
    <t>EMP00246</t>
  </si>
  <si>
    <t>EMP00247</t>
  </si>
  <si>
    <t>EMP00248</t>
  </si>
  <si>
    <t>EMP00249</t>
  </si>
  <si>
    <t>EMP00250</t>
  </si>
  <si>
    <t>EMP00251</t>
  </si>
  <si>
    <t>EMP00252</t>
  </si>
  <si>
    <t>EMP00253</t>
  </si>
  <si>
    <t>EMP00254</t>
  </si>
  <si>
    <t>EMP00255</t>
  </si>
  <si>
    <t>EMP00256</t>
  </si>
  <si>
    <t>EMP00257</t>
  </si>
  <si>
    <t>EMP00258</t>
  </si>
  <si>
    <t>EMP00259</t>
  </si>
  <si>
    <t>EMP00260</t>
  </si>
  <si>
    <t>EMP00261</t>
  </si>
  <si>
    <t>EMP00262</t>
  </si>
  <si>
    <t>EMP00263</t>
  </si>
  <si>
    <t>EMP00264</t>
  </si>
  <si>
    <t>EMP00265</t>
  </si>
  <si>
    <t>EMP00266</t>
  </si>
  <si>
    <t>EMP00267</t>
  </si>
  <si>
    <t>EMP00268</t>
  </si>
  <si>
    <t>EMP00269</t>
  </si>
  <si>
    <t>EMP00270</t>
  </si>
  <si>
    <t>EMP00271</t>
  </si>
  <si>
    <t>EMP00272</t>
  </si>
  <si>
    <t>EMP00273</t>
  </si>
  <si>
    <t>EMP00274</t>
  </si>
  <si>
    <t>EMP00275</t>
  </si>
  <si>
    <t>EMP00276</t>
  </si>
  <si>
    <t>EMP00277</t>
  </si>
  <si>
    <t>EMP00278</t>
  </si>
  <si>
    <t>EMP00279</t>
  </si>
  <si>
    <t>EMP00280</t>
  </si>
  <si>
    <t>EMP00281</t>
  </si>
  <si>
    <t>EMP00282</t>
  </si>
  <si>
    <t>EMP00283</t>
  </si>
  <si>
    <t>EMP00284</t>
  </si>
  <si>
    <t>EMP00285</t>
  </si>
  <si>
    <t>EMP00286</t>
  </si>
  <si>
    <t>EMP00287</t>
  </si>
  <si>
    <t>EMP00288</t>
  </si>
  <si>
    <t>EMP00289</t>
  </si>
  <si>
    <t>EMP00290</t>
  </si>
  <si>
    <t>EMP00291</t>
  </si>
  <si>
    <t>EMP00292</t>
  </si>
  <si>
    <t>EMP00293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</si>
  <si>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</si>
  <si>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</si>
  <si>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</si>
  <si>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</si>
  <si>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</si>
  <si>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</si>
  <si>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</si>
  <si>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</si>
  <si>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EMP00302</t>
  </si>
  <si>
    <t>EMP00303</t>
  </si>
  <si>
    <t>EMP00304</t>
  </si>
  <si>
    <t>EMP00305</t>
  </si>
  <si>
    <t>EMP00306</t>
  </si>
  <si>
    <t>EMP00307</t>
  </si>
  <si>
    <t>EMP00308</t>
  </si>
  <si>
    <t>EMP00309</t>
  </si>
  <si>
    <t>EMP00310</t>
  </si>
  <si>
    <t>EMP00311</t>
  </si>
  <si>
    <t>EMP00312</t>
  </si>
  <si>
    <t>EMP00313</t>
  </si>
  <si>
    <t>EMP00314</t>
  </si>
  <si>
    <t>EMP00315</t>
  </si>
  <si>
    <t>EMP00316</t>
  </si>
  <si>
    <t>EMP00317</t>
  </si>
  <si>
    <t>EMP00318</t>
  </si>
  <si>
    <t>EMP00319</t>
  </si>
  <si>
    <t>EMP00320</t>
  </si>
  <si>
    <t>EMP00321</t>
  </si>
  <si>
    <t>EMP00322</t>
  </si>
  <si>
    <t>EMP00323</t>
  </si>
  <si>
    <t>EMP00324</t>
  </si>
  <si>
    <t>EMP00325</t>
  </si>
  <si>
    <t>EMP00326</t>
  </si>
  <si>
    <t>EMP00327</t>
  </si>
  <si>
    <t>EMP00328</t>
  </si>
  <si>
    <t>EMP00329</t>
  </si>
  <si>
    <t>EMP00330</t>
  </si>
  <si>
    <t>EMP00331</t>
  </si>
  <si>
    <t>EMP00332</t>
  </si>
  <si>
    <t>EMP00333</t>
  </si>
  <si>
    <t>EMP00334</t>
  </si>
  <si>
    <t>EMP00335</t>
  </si>
  <si>
    <t>EMP00336</t>
  </si>
  <si>
    <t>EMP00337</t>
  </si>
  <si>
    <t>EMP00338</t>
  </si>
  <si>
    <t>EMP00339</t>
  </si>
  <si>
    <t>EMP00340</t>
  </si>
  <si>
    <t>EMP00341</t>
  </si>
  <si>
    <t>EMP00342</t>
  </si>
  <si>
    <t>EMP00343</t>
  </si>
  <si>
    <t>EMP00344</t>
  </si>
  <si>
    <t>EMP00345</t>
  </si>
  <si>
    <t>EMP00346</t>
  </si>
  <si>
    <t>EMP00347</t>
  </si>
  <si>
    <t>EMP00348</t>
  </si>
  <si>
    <t>EMP00349</t>
  </si>
  <si>
    <t>EMP00350</t>
  </si>
  <si>
    <t>EMP00351</t>
  </si>
  <si>
    <t>EMP00352</t>
  </si>
  <si>
    <t>EMP00353</t>
  </si>
  <si>
    <t>EMP00354</t>
  </si>
  <si>
    <t>EMP00355</t>
  </si>
  <si>
    <t>EMP00356</t>
  </si>
  <si>
    <t>EMP00357</t>
  </si>
  <si>
    <t>EMP00358</t>
  </si>
  <si>
    <t>EMP00359</t>
  </si>
  <si>
    <t>EMP00360</t>
  </si>
  <si>
    <t>EMP00361</t>
  </si>
  <si>
    <t>EMP00362</t>
  </si>
  <si>
    <t>EMP00363</t>
  </si>
  <si>
    <t>EMP00364</t>
  </si>
  <si>
    <t>EMP00365</t>
  </si>
  <si>
    <t>EMP00366</t>
  </si>
  <si>
    <t>EMP00367</t>
  </si>
  <si>
    <t>EMP00368</t>
  </si>
  <si>
    <t>EMP00369</t>
  </si>
  <si>
    <t>EMP00370</t>
  </si>
  <si>
    <t>EMP00371</t>
  </si>
  <si>
    <t>EMP00372</t>
  </si>
  <si>
    <t>EMP00373</t>
  </si>
  <si>
    <t>EMP00374</t>
  </si>
  <si>
    <t>EMP00375</t>
  </si>
  <si>
    <t>EMP00376</t>
  </si>
  <si>
    <t>EMP00377</t>
  </si>
  <si>
    <t>EMP00378</t>
  </si>
  <si>
    <t>EMP00379</t>
  </si>
  <si>
    <t>EMP00380</t>
  </si>
  <si>
    <t>EMP00381</t>
  </si>
  <si>
    <t>EMP00382</t>
  </si>
  <si>
    <t>EMP00383</t>
  </si>
  <si>
    <t>EMP00384</t>
  </si>
  <si>
    <t>EMP00385</t>
  </si>
  <si>
    <t>EMP00386</t>
  </si>
  <si>
    <t>EMP00387</t>
  </si>
  <si>
    <t>EMP00388</t>
  </si>
  <si>
    <t>EMP00389</t>
  </si>
  <si>
    <t>EMP00390</t>
  </si>
  <si>
    <t>EMP00391</t>
  </si>
  <si>
    <t>EMP00392</t>
  </si>
  <si>
    <t>EMP00393</t>
  </si>
  <si>
    <t>EMP00394</t>
  </si>
  <si>
    <t>EMP00395</t>
  </si>
  <si>
    <t>EMP00396</t>
  </si>
  <si>
    <t>EMP00397</t>
  </si>
  <si>
    <t>EMP00398</t>
  </si>
  <si>
    <t>EMP00399</t>
  </si>
  <si>
    <t>EMP00400</t>
  </si>
  <si>
    <t>EMP00401</t>
  </si>
  <si>
    <t>EMP00402</t>
  </si>
  <si>
    <t>EMP00403</t>
  </si>
  <si>
    <t>EMP00404</t>
  </si>
  <si>
    <t>EMP00405</t>
  </si>
  <si>
    <t>EMP00406</t>
  </si>
  <si>
    <t>EMP00407</t>
  </si>
  <si>
    <t>EMP00408</t>
  </si>
  <si>
    <t>EMP00409</t>
  </si>
  <si>
    <t>EMP00410</t>
  </si>
  <si>
    <t>EMP00411</t>
  </si>
  <si>
    <t>EMP00412</t>
  </si>
  <si>
    <t>EMP00413</t>
  </si>
  <si>
    <t>EMP00414</t>
  </si>
  <si>
    <t>EMP00415</t>
  </si>
  <si>
    <t>EMP00416</t>
  </si>
  <si>
    <t>EMP00417</t>
  </si>
  <si>
    <t>EMP00418</t>
  </si>
  <si>
    <t>EMP00419</t>
  </si>
  <si>
    <t>EMP00420</t>
  </si>
  <si>
    <t>EMP00421</t>
  </si>
  <si>
    <t>EMP00422</t>
  </si>
  <si>
    <t>EMP00423</t>
  </si>
  <si>
    <t>EMP00424</t>
  </si>
  <si>
    <t>EMP00425</t>
  </si>
  <si>
    <t>EMP00426</t>
  </si>
  <si>
    <t>EMP00427</t>
  </si>
  <si>
    <t>EMP00428</t>
  </si>
  <si>
    <t>EMP00429</t>
  </si>
  <si>
    <t>EMP00430</t>
  </si>
  <si>
    <t>EMP00431</t>
  </si>
  <si>
    <t>EMP00432</t>
  </si>
  <si>
    <t>EMP00433</t>
  </si>
  <si>
    <t>EMP00434</t>
  </si>
  <si>
    <t>EMP00435</t>
  </si>
  <si>
    <t>EMP00436</t>
  </si>
  <si>
    <t>EMP00437</t>
  </si>
  <si>
    <t>EMP00438</t>
  </si>
  <si>
    <t>EMP00439</t>
  </si>
  <si>
    <t>EMP00440</t>
  </si>
  <si>
    <t>EMP00441</t>
  </si>
  <si>
    <t>EMP00442</t>
  </si>
  <si>
    <t>EMP00443</t>
  </si>
  <si>
    <t>EMP00444</t>
  </si>
  <si>
    <t>EMP00445</t>
  </si>
  <si>
    <t>EMP00446</t>
  </si>
  <si>
    <t>EMP00447</t>
  </si>
  <si>
    <t>EMP00448</t>
  </si>
  <si>
    <t>EMP00449</t>
  </si>
  <si>
    <t>EMP00450</t>
  </si>
  <si>
    <t>EMP00451</t>
  </si>
  <si>
    <t>EMP00452</t>
  </si>
  <si>
    <t>EMP00453</t>
  </si>
  <si>
    <t>EMP00454</t>
  </si>
  <si>
    <t>EMP00455</t>
  </si>
  <si>
    <t>EMP00456</t>
  </si>
  <si>
    <t>EMP00457</t>
  </si>
  <si>
    <t>EMP00458</t>
  </si>
  <si>
    <t>EMP00459</t>
  </si>
  <si>
    <t>EMP00460</t>
  </si>
  <si>
    <t>EMP00461</t>
  </si>
  <si>
    <t>EMP00462</t>
  </si>
  <si>
    <t>EMP00463</t>
  </si>
  <si>
    <t>EMP00464</t>
  </si>
  <si>
    <t>EMP00465</t>
  </si>
  <si>
    <t>EMP00466</t>
  </si>
  <si>
    <t>EMP00467</t>
  </si>
  <si>
    <t>EMP00468</t>
  </si>
  <si>
    <t>EMP00469</t>
  </si>
  <si>
    <t>EMP00470</t>
  </si>
  <si>
    <t>EMP00471</t>
  </si>
  <si>
    <t>EMP00472</t>
  </si>
  <si>
    <t>EMP00473</t>
  </si>
  <si>
    <t>EMP00474</t>
  </si>
  <si>
    <t>EMP00475</t>
  </si>
  <si>
    <t>EMP00476</t>
  </si>
  <si>
    <t>EMP00477</t>
  </si>
  <si>
    <t>EMP00478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</si>
  <si>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</si>
  <si>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</si>
  <si>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</si>
  <si>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</si>
  <si>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</si>
  <si>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</si>
  <si>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</si>
  <si>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</si>
  <si>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</si>
  <si>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</si>
  <si>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EMP00489</t>
  </si>
  <si>
    <t>EMP00490</t>
  </si>
  <si>
    <t>EMP00491</t>
  </si>
  <si>
    <t>EMP00492</t>
  </si>
  <si>
    <t>EMP00493</t>
  </si>
  <si>
    <t>EMP00494</t>
  </si>
  <si>
    <t>EMP00495</t>
  </si>
  <si>
    <t>EMP00496</t>
  </si>
  <si>
    <t>EMP00497</t>
  </si>
  <si>
    <t>EMP00498</t>
  </si>
  <si>
    <t>EMP00499</t>
  </si>
  <si>
    <t>EMP00500</t>
  </si>
  <si>
    <t>EMP00501</t>
  </si>
  <si>
    <t>EMP00502</t>
  </si>
  <si>
    <t>EMP00503</t>
  </si>
  <si>
    <t>EMP00504</t>
  </si>
  <si>
    <t>EMP00505</t>
  </si>
  <si>
    <t>EMP00506</t>
  </si>
  <si>
    <t>EMP00507</t>
  </si>
  <si>
    <t>EMP00508</t>
  </si>
  <si>
    <t>EMP00509</t>
  </si>
  <si>
    <t>EMP00510</t>
  </si>
  <si>
    <t>EMP00511</t>
  </si>
  <si>
    <t>EMP00512</t>
  </si>
  <si>
    <t>EMP00513</t>
  </si>
  <si>
    <t>EMP00514</t>
  </si>
  <si>
    <t>EMP00515</t>
  </si>
  <si>
    <t>EMP00516</t>
  </si>
  <si>
    <t>EMP00517</t>
  </si>
  <si>
    <t>EMP00518</t>
  </si>
  <si>
    <t>EMP00519</t>
  </si>
  <si>
    <t>EMP00520</t>
  </si>
  <si>
    <t>EMP00521</t>
  </si>
  <si>
    <t>EMP00522</t>
  </si>
  <si>
    <t>EMP00523</t>
  </si>
  <si>
    <t>EMP00524</t>
  </si>
  <si>
    <t>EMP00525</t>
  </si>
  <si>
    <t>EMP00526</t>
  </si>
  <si>
    <t>EMP00527</t>
  </si>
  <si>
    <t>EMP00528</t>
  </si>
  <si>
    <t>EMP00529</t>
  </si>
  <si>
    <t>EMP00530</t>
  </si>
  <si>
    <t>EMP00531</t>
  </si>
  <si>
    <t>EMP00532</t>
  </si>
  <si>
    <t>EMP00533</t>
  </si>
  <si>
    <t>EMP00534</t>
  </si>
  <si>
    <t>EMP00535</t>
  </si>
  <si>
    <t>EMP00536</t>
  </si>
  <si>
    <t>EMP00537</t>
  </si>
  <si>
    <t>EMP00538</t>
  </si>
  <si>
    <t>EMP00539</t>
  </si>
  <si>
    <t>EMP00540</t>
  </si>
  <si>
    <t>EMP00541</t>
  </si>
  <si>
    <t>EMP00542</t>
  </si>
  <si>
    <t>EMP00543</t>
  </si>
  <si>
    <t>EMP00544</t>
  </si>
  <si>
    <t>EMP00545</t>
  </si>
  <si>
    <t>EMP00546</t>
  </si>
  <si>
    <t>EMP00547</t>
  </si>
  <si>
    <t>EMP00548</t>
  </si>
  <si>
    <t>EMP00549</t>
  </si>
  <si>
    <t>EMP00550</t>
  </si>
  <si>
    <t>EMP00551</t>
  </si>
  <si>
    <t>EMP00552</t>
  </si>
  <si>
    <t>EMP00553</t>
  </si>
  <si>
    <t>EMP00554</t>
  </si>
  <si>
    <t>EMP00555</t>
  </si>
  <si>
    <t>EMP00556</t>
  </si>
  <si>
    <t>EMP00557</t>
  </si>
  <si>
    <t>EMP00558</t>
  </si>
  <si>
    <t>EMP00559</t>
  </si>
  <si>
    <t>EMP00560</t>
  </si>
  <si>
    <t>EMP00561</t>
  </si>
  <si>
    <t>EMP00562</t>
  </si>
  <si>
    <t>EMP00563</t>
  </si>
  <si>
    <t>EMP00564</t>
  </si>
  <si>
    <t>EMP00565</t>
  </si>
  <si>
    <t>EMP00566</t>
  </si>
  <si>
    <t>EMP00567</t>
  </si>
  <si>
    <t>EMP00568</t>
  </si>
  <si>
    <t>EMP00569</t>
  </si>
  <si>
    <t>EMP00570</t>
  </si>
  <si>
    <t>EMP00571</t>
  </si>
  <si>
    <t>EMP00572</t>
  </si>
  <si>
    <t>EMP00573</t>
  </si>
  <si>
    <t>EMP00574</t>
  </si>
  <si>
    <t>EMP00575</t>
  </si>
  <si>
    <t>EMP00576</t>
  </si>
  <si>
    <t>EMP00577</t>
  </si>
  <si>
    <t>EMP00578</t>
  </si>
  <si>
    <t>EMP00579</t>
  </si>
  <si>
    <t>EMP00580</t>
  </si>
  <si>
    <t>EMP00581</t>
  </si>
  <si>
    <t>EMP00582</t>
  </si>
  <si>
    <t>EMP00583</t>
  </si>
  <si>
    <t>EMP00584</t>
  </si>
  <si>
    <t>EMP00585</t>
  </si>
  <si>
    <t>EMP00586</t>
  </si>
  <si>
    <t>EMP00587</t>
  </si>
  <si>
    <t>EMP00588</t>
  </si>
  <si>
    <t>EMP00589</t>
  </si>
  <si>
    <t>EMP00590</t>
  </si>
  <si>
    <t>EMP00591</t>
  </si>
  <si>
    <t>EMP00592</t>
  </si>
  <si>
    <t>EMP00593</t>
  </si>
  <si>
    <t>EMP00594</t>
  </si>
  <si>
    <t>EMP00595</t>
  </si>
  <si>
    <t>EMP00596</t>
  </si>
  <si>
    <t>EMP00597</t>
  </si>
  <si>
    <t>EMP00598</t>
  </si>
  <si>
    <t>EMP00599</t>
  </si>
  <si>
    <t>EMP00600</t>
  </si>
  <si>
    <t>EMP00601</t>
  </si>
  <si>
    <t>EMP00602</t>
  </si>
  <si>
    <t>EMP00603</t>
  </si>
  <si>
    <t>EMP00604</t>
  </si>
  <si>
    <t>EMP00605</t>
  </si>
  <si>
    <t>EMP00606</t>
  </si>
  <si>
    <t>EMP00607</t>
  </si>
  <si>
    <t>EMP00608</t>
  </si>
  <si>
    <t>EMP00609</t>
  </si>
  <si>
    <t>EMP00610</t>
  </si>
  <si>
    <t>EMP00611</t>
  </si>
  <si>
    <t>EMP00612</t>
  </si>
  <si>
    <t>EMP00613</t>
  </si>
  <si>
    <t>EMP00614</t>
  </si>
  <si>
    <t>EMP00615</t>
  </si>
  <si>
    <t>EMP00616</t>
  </si>
  <si>
    <t>EMP00617</t>
  </si>
  <si>
    <t>EMP00618</t>
  </si>
  <si>
    <t>EMP00619</t>
  </si>
  <si>
    <t>EMP00620</t>
  </si>
  <si>
    <t>EMP00621</t>
  </si>
  <si>
    <t>EMP00622</t>
  </si>
  <si>
    <t>EMP00623</t>
  </si>
  <si>
    <t>EMP00624</t>
  </si>
  <si>
    <t>EMP00625</t>
  </si>
  <si>
    <t>EMP00626</t>
  </si>
  <si>
    <t>EMP00627</t>
  </si>
  <si>
    <t>EMP00628</t>
  </si>
  <si>
    <t>EMP00629</t>
  </si>
  <si>
    <t>EMP00630</t>
  </si>
  <si>
    <t>EMP00631</t>
  </si>
  <si>
    <t>EMP00632</t>
  </si>
  <si>
    <t>EMP00633</t>
  </si>
  <si>
    <t>EMP00634</t>
  </si>
  <si>
    <t>EMP00635</t>
  </si>
  <si>
    <t>EMP00636</t>
  </si>
  <si>
    <t>EMP00637</t>
  </si>
  <si>
    <t>EMP00638</t>
  </si>
  <si>
    <t>EMP00639</t>
  </si>
  <si>
    <t>EMP00640</t>
  </si>
  <si>
    <t>EMP00641</t>
  </si>
  <si>
    <t>EMP00642</t>
  </si>
  <si>
    <t>EMP00643</t>
  </si>
  <si>
    <t>EMP00644</t>
  </si>
  <si>
    <t>EMP00645</t>
  </si>
  <si>
    <t>EMP00646</t>
  </si>
  <si>
    <t>EMP00647</t>
  </si>
  <si>
    <t>EMP00648</t>
  </si>
  <si>
    <t>EMP00649</t>
  </si>
  <si>
    <t>EMP00650</t>
  </si>
  <si>
    <t>EMP00651</t>
  </si>
  <si>
    <t>EMP00652</t>
  </si>
  <si>
    <t>EMP00653</t>
  </si>
  <si>
    <t>EMP00654</t>
  </si>
  <si>
    <t>EMP00655</t>
  </si>
  <si>
    <t>EMP00656</t>
  </si>
  <si>
    <t>EMP00657</t>
  </si>
  <si>
    <t>EMP00658</t>
  </si>
  <si>
    <t>EMP00659</t>
  </si>
  <si>
    <t>EMP00660</t>
  </si>
  <si>
    <t>EMP00661</t>
  </si>
  <si>
    <t>EMP00662</t>
  </si>
  <si>
    <t>EMP00663</t>
  </si>
  <si>
    <t>EMP00664</t>
  </si>
  <si>
    <t>EMP00665</t>
  </si>
  <si>
    <t>EMP00666</t>
  </si>
  <si>
    <t>EMP00667</t>
  </si>
  <si>
    <t>EMP00668</t>
  </si>
  <si>
    <t>EMP00669</t>
  </si>
  <si>
    <t>EMP00670</t>
  </si>
  <si>
    <t>EMP00671</t>
  </si>
  <si>
    <t>EMP00672</t>
  </si>
  <si>
    <t>EMP00673</t>
  </si>
  <si>
    <t>EMP00674</t>
  </si>
  <si>
    <t>EMP00675</t>
  </si>
  <si>
    <t>EMP00676</t>
  </si>
  <si>
    <t>EMP00677</t>
  </si>
  <si>
    <t>EMP00678</t>
  </si>
  <si>
    <t>EMP00679</t>
  </si>
  <si>
    <t>EMP00680</t>
  </si>
  <si>
    <t>EMP00681</t>
  </si>
  <si>
    <t>EMP00682</t>
  </si>
  <si>
    <t>EMP00683</t>
  </si>
  <si>
    <t>EMP00684</t>
  </si>
  <si>
    <t>EMP00685</t>
  </si>
  <si>
    <t>EMP00686</t>
  </si>
  <si>
    <t>EMP00687</t>
  </si>
  <si>
    <t>EMP00688</t>
  </si>
  <si>
    <t>EMP00689</t>
  </si>
  <si>
    <t>EMP00690</t>
  </si>
  <si>
    <t>EMP00691</t>
  </si>
  <si>
    <t>EMP00692</t>
  </si>
  <si>
    <t>EMP00693</t>
  </si>
  <si>
    <t>EMP00694</t>
  </si>
  <si>
    <t>EMP00695</t>
  </si>
  <si>
    <t>EMP00696</t>
  </si>
  <si>
    <t>EMP00697</t>
  </si>
  <si>
    <t>EMP00698</t>
  </si>
  <si>
    <t>EMP00699</t>
  </si>
  <si>
    <t>EMP00700</t>
  </si>
  <si>
    <t>EMP00701</t>
  </si>
  <si>
    <t>EMP00702</t>
  </si>
  <si>
    <t>EMP00703</t>
  </si>
  <si>
    <t>EMP00704</t>
  </si>
  <si>
    <t>EMP00705</t>
  </si>
  <si>
    <t>EMP00706</t>
  </si>
  <si>
    <t>EMP00707</t>
  </si>
  <si>
    <t>EMP00708</t>
  </si>
  <si>
    <t>EMP00709</t>
  </si>
  <si>
    <t>EMP00710</t>
  </si>
  <si>
    <t>EMP00711</t>
  </si>
  <si>
    <t>EMP00712</t>
  </si>
  <si>
    <t>EMP00713</t>
  </si>
  <si>
    <t>EMP00714</t>
  </si>
  <si>
    <t>EMP00715</t>
  </si>
  <si>
    <t>EMP00716</t>
  </si>
  <si>
    <t>EMP00717</t>
  </si>
  <si>
    <t>EMP00718</t>
  </si>
  <si>
    <t>EMP00719</t>
  </si>
  <si>
    <t>EMP00720</t>
  </si>
  <si>
    <t>EMP00721</t>
  </si>
  <si>
    <t>EMP00722</t>
  </si>
  <si>
    <t>EMP00723</t>
  </si>
  <si>
    <t>EMP00724</t>
  </si>
  <si>
    <t>EMP00725</t>
  </si>
  <si>
    <t>EMP00726</t>
  </si>
  <si>
    <t>EMP00727</t>
  </si>
  <si>
    <t>EMP00728</t>
  </si>
  <si>
    <t>EMP00729</t>
  </si>
  <si>
    <t>EMP00730</t>
  </si>
  <si>
    <t>EMP00731</t>
  </si>
  <si>
    <t>EMP00732</t>
  </si>
  <si>
    <t>EMP00733</t>
  </si>
  <si>
    <t>EMP00734</t>
  </si>
  <si>
    <t>EMP00735</t>
  </si>
  <si>
    <t>EMP00736</t>
  </si>
  <si>
    <t>EMP00737</t>
  </si>
  <si>
    <t>EMP00738</t>
  </si>
  <si>
    <t>EMP00739</t>
  </si>
  <si>
    <t>EMP00740</t>
  </si>
  <si>
    <t>EMP00741</t>
  </si>
  <si>
    <t>EMP00742</t>
  </si>
  <si>
    <t>EMP00743</t>
  </si>
  <si>
    <t>EMP00744</t>
  </si>
  <si>
    <t>EMP00745</t>
  </si>
  <si>
    <t>EMP00746</t>
  </si>
  <si>
    <t>EMP00747</t>
  </si>
  <si>
    <t>EMP00748</t>
  </si>
  <si>
    <t>EMP00749</t>
  </si>
  <si>
    <t>EMP00750</t>
  </si>
  <si>
    <t>EMP00751</t>
  </si>
  <si>
    <t>EMP00752</t>
  </si>
  <si>
    <t>EMP00753</t>
  </si>
  <si>
    <t>EMP00754</t>
  </si>
  <si>
    <t>EMP00755</t>
  </si>
  <si>
    <t>EMP00756</t>
  </si>
  <si>
    <t>EMP00757</t>
  </si>
  <si>
    <t>EMP00758</t>
  </si>
  <si>
    <t>EMP00759</t>
  </si>
  <si>
    <t>EMP00760</t>
  </si>
  <si>
    <t>EMP00761</t>
  </si>
  <si>
    <t>EMP00762</t>
  </si>
  <si>
    <t>EMP00763</t>
  </si>
  <si>
    <t>EMP00764</t>
  </si>
  <si>
    <t>EMP00765</t>
  </si>
  <si>
    <t>EMP00766</t>
  </si>
  <si>
    <t>EMP00767</t>
  </si>
  <si>
    <t>EMP00768</t>
  </si>
  <si>
    <t>EMP00769</t>
  </si>
  <si>
    <t>EMP00770</t>
  </si>
  <si>
    <t>EMP00771</t>
  </si>
  <si>
    <t>EMP00772</t>
  </si>
  <si>
    <t>EMP00773</t>
  </si>
  <si>
    <t>EMP00774</t>
  </si>
  <si>
    <t>EMP00775</t>
  </si>
  <si>
    <t>EMP00776</t>
  </si>
  <si>
    <t>EMP00777</t>
  </si>
  <si>
    <t>EMP00778</t>
  </si>
  <si>
    <t>EMP00779</t>
  </si>
  <si>
    <t>EMP00780</t>
  </si>
  <si>
    <t>EMP00781</t>
  </si>
  <si>
    <t>EMP00782</t>
  </si>
  <si>
    <t>EMP00783</t>
  </si>
  <si>
    <t>EMP00784</t>
  </si>
  <si>
    <t>EMP00785</t>
  </si>
  <si>
    <t>EMP00786</t>
  </si>
  <si>
    <t>EMP00787</t>
  </si>
  <si>
    <t>EMP00788</t>
  </si>
  <si>
    <t>EMP00789</t>
  </si>
  <si>
    <t>EMP00790</t>
  </si>
  <si>
    <t>EMP00791</t>
  </si>
  <si>
    <t>EMP00792</t>
  </si>
  <si>
    <t>EMP00793</t>
  </si>
  <si>
    <t>EMP00794</t>
  </si>
  <si>
    <t>EMP00795</t>
  </si>
  <si>
    <t>EMP00796</t>
  </si>
  <si>
    <t>EMP00797</t>
  </si>
  <si>
    <t>EMP00798</t>
  </si>
  <si>
    <t>EMP00799</t>
  </si>
  <si>
    <t>EMP00800</t>
  </si>
  <si>
    <t>EMP00801</t>
  </si>
  <si>
    <t>EMP00802</t>
  </si>
  <si>
    <t>EMP00803</t>
  </si>
  <si>
    <t>EMP00804</t>
  </si>
  <si>
    <t>EMP00805</t>
  </si>
  <si>
    <t>EMP00806</t>
  </si>
  <si>
    <t>EMP00807</t>
  </si>
  <si>
    <t>EMP00808</t>
  </si>
  <si>
    <t>EMP00809</t>
  </si>
  <si>
    <t>EMP00810</t>
  </si>
  <si>
    <t>EMP00811</t>
  </si>
  <si>
    <t>EMP00812</t>
  </si>
  <si>
    <t>EMP00813</t>
  </si>
  <si>
    <t>EMP00814</t>
  </si>
  <si>
    <t>EMP00815</t>
  </si>
  <si>
    <t>EMP00816</t>
  </si>
  <si>
    <t>EMP00817</t>
  </si>
  <si>
    <t>EMP00818</t>
  </si>
  <si>
    <t>EMP00819</t>
  </si>
  <si>
    <t>EMP00820</t>
  </si>
  <si>
    <t>EMP00821</t>
  </si>
  <si>
    <t>EMP00822</t>
  </si>
  <si>
    <t>EMP00823</t>
  </si>
  <si>
    <t>EMP00824</t>
  </si>
  <si>
    <t>EMP00825</t>
  </si>
  <si>
    <t>EMP00826</t>
  </si>
  <si>
    <t>EMP00827</t>
  </si>
  <si>
    <t>EMP00828</t>
  </si>
  <si>
    <t>EMP00829</t>
  </si>
  <si>
    <t>EMP00830</t>
  </si>
  <si>
    <t>EMP00831</t>
  </si>
  <si>
    <t>EMP00832</t>
  </si>
  <si>
    <t>EMP00833</t>
  </si>
  <si>
    <t>EMP00834</t>
  </si>
  <si>
    <t>EMP00835</t>
  </si>
  <si>
    <t>EMP00836</t>
  </si>
  <si>
    <t>EMP00837</t>
  </si>
  <si>
    <t>EMP00838</t>
  </si>
  <si>
    <t>EMP00839</t>
  </si>
  <si>
    <t>EMP00840</t>
  </si>
  <si>
    <t>EMP00841</t>
  </si>
  <si>
    <t>EMP00842</t>
  </si>
  <si>
    <t>EMP00843</t>
  </si>
  <si>
    <t>EMP00844</t>
  </si>
  <si>
    <t>EMP00845</t>
  </si>
  <si>
    <t>EMP00846</t>
  </si>
  <si>
    <t>EMP00847</t>
  </si>
  <si>
    <t>EMP00848</t>
  </si>
  <si>
    <t>EMP00849</t>
  </si>
  <si>
    <t>EMP00850</t>
  </si>
  <si>
    <t>EMP00851</t>
  </si>
  <si>
    <t>EMP00852</t>
  </si>
  <si>
    <t>EMP00853</t>
  </si>
  <si>
    <t>EMP00854</t>
  </si>
  <si>
    <t>EMP00855</t>
  </si>
  <si>
    <t>EMP00856</t>
  </si>
  <si>
    <t>EMP00857</t>
  </si>
  <si>
    <t>EMP00858</t>
  </si>
  <si>
    <t>EMP00859</t>
  </si>
  <si>
    <t>EMP00860</t>
  </si>
  <si>
    <t>EMP00861</t>
  </si>
  <si>
    <t>EMP00862</t>
  </si>
  <si>
    <t>EMP00863</t>
  </si>
  <si>
    <t>EMP00864</t>
  </si>
  <si>
    <t>EMP00865</t>
  </si>
  <si>
    <t>EMP00866</t>
  </si>
  <si>
    <t>EMP00867</t>
  </si>
  <si>
    <t>EMP00868</t>
  </si>
  <si>
    <t>EMP00869</t>
  </si>
  <si>
    <t>EMP00870</t>
  </si>
  <si>
    <t>EMP00871</t>
  </si>
  <si>
    <t>EMP00872</t>
  </si>
  <si>
    <t>EMP00873</t>
  </si>
  <si>
    <t>EMP00874</t>
  </si>
  <si>
    <t>EMP00875</t>
  </si>
  <si>
    <t>EMP00876</t>
  </si>
  <si>
    <t>EMP00877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</si>
  <si>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</si>
  <si>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</si>
  <si>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</si>
  <si>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</si>
  <si>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</si>
  <si>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</si>
  <si>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</si>
  <si>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</si>
  <si>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EMP00886</t>
  </si>
  <si>
    <t>EMP00887</t>
  </si>
  <si>
    <t>EMP00888</t>
  </si>
  <si>
    <t>EMP00889</t>
  </si>
  <si>
    <t>EMP00890</t>
  </si>
  <si>
    <t>EMP00891</t>
  </si>
  <si>
    <t>EMP00892</t>
  </si>
  <si>
    <t>EMP00893</t>
  </si>
  <si>
    <t>EMP00894</t>
  </si>
  <si>
    <t>EMP00895</t>
  </si>
  <si>
    <t>EMP00896</t>
  </si>
  <si>
    <t>EMP00897</t>
  </si>
  <si>
    <t>EMP00898</t>
  </si>
  <si>
    <t>EMP00899</t>
  </si>
  <si>
    <t>EMP00900</t>
  </si>
  <si>
    <t>EMP00901</t>
  </si>
  <si>
    <t>EMP00902</t>
  </si>
  <si>
    <t>EMP00903</t>
  </si>
  <si>
    <t>EMP00904</t>
  </si>
  <si>
    <t>EMP00905</t>
  </si>
  <si>
    <t>EMP00906</t>
  </si>
  <si>
    <t>EMP00907</t>
  </si>
  <si>
    <t>EMP00908</t>
  </si>
  <si>
    <t>EMP00909</t>
  </si>
  <si>
    <t>EMP00910</t>
  </si>
  <si>
    <t>EMP00911</t>
  </si>
  <si>
    <t>EMP00912</t>
  </si>
  <si>
    <t>EMP00913</t>
  </si>
  <si>
    <t>EMP00914</t>
  </si>
  <si>
    <t>EMP00915</t>
  </si>
  <si>
    <t>EMP00916</t>
  </si>
  <si>
    <t>EMP00917</t>
  </si>
  <si>
    <t>EMP00918</t>
  </si>
  <si>
    <t>EMP00919</t>
  </si>
  <si>
    <t>EMP00920</t>
  </si>
  <si>
    <t>EMP00921</t>
  </si>
  <si>
    <t>EMP00922</t>
  </si>
  <si>
    <t>EMP00923</t>
  </si>
  <si>
    <t>EMP00924</t>
  </si>
  <si>
    <t>EMP00925</t>
  </si>
  <si>
    <t>EMP00926</t>
  </si>
  <si>
    <t>EMP00927</t>
  </si>
  <si>
    <t>EMP00928</t>
  </si>
  <si>
    <t>EMP00929</t>
  </si>
  <si>
    <t>EMP00930</t>
  </si>
  <si>
    <t>EMP00931</t>
  </si>
  <si>
    <t>EMP00932</t>
  </si>
  <si>
    <t>EMP00933</t>
  </si>
  <si>
    <t>EMP00934</t>
  </si>
  <si>
    <t>EMP00935</t>
  </si>
  <si>
    <t>EMP00936</t>
  </si>
  <si>
    <t>EMP00937</t>
  </si>
  <si>
    <t>EMP00938</t>
  </si>
  <si>
    <t>EMP00939</t>
  </si>
  <si>
    <t>EMP00940</t>
  </si>
  <si>
    <t>EMP00941</t>
  </si>
  <si>
    <t>EMP00942</t>
  </si>
  <si>
    <t>EMP00943</t>
  </si>
  <si>
    <t>EMP00944</t>
  </si>
  <si>
    <t>EMP00945</t>
  </si>
  <si>
    <t>EMP00946</t>
  </si>
  <si>
    <t>EMP00947</t>
  </si>
  <si>
    <t>EMP00948</t>
  </si>
  <si>
    <t>EMP00949</t>
  </si>
  <si>
    <t>EMP00950</t>
  </si>
  <si>
    <t>EMP00951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</si>
  <si>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</si>
  <si>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</si>
  <si>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</si>
  <si>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</si>
  <si>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</si>
  <si>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</si>
  <si>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</si>
  <si>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</si>
  <si>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</si>
  <si>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EMP00961</t>
  </si>
  <si>
    <t>EMP00962</t>
  </si>
  <si>
    <t>EMP00963</t>
  </si>
  <si>
    <t>EMP00964</t>
  </si>
  <si>
    <t>EMP00965</t>
  </si>
  <si>
    <t>EMP00966</t>
  </si>
  <si>
    <t>EMP00967</t>
  </si>
  <si>
    <t>EMP00968</t>
  </si>
  <si>
    <t>EMP00969</t>
  </si>
  <si>
    <t>EMP00970</t>
  </si>
  <si>
    <t>EMP00971</t>
  </si>
  <si>
    <t>EMP00972</t>
  </si>
  <si>
    <t>EMP00973</t>
  </si>
  <si>
    <t>EMP00974</t>
  </si>
  <si>
    <t>EMP00975</t>
  </si>
  <si>
    <t>EMP00976</t>
  </si>
  <si>
    <t>EMP00977</t>
  </si>
  <si>
    <t>EMP00978</t>
  </si>
  <si>
    <t>EMP00979</t>
  </si>
  <si>
    <t>EMP00980</t>
  </si>
  <si>
    <t>EMP00981</t>
  </si>
  <si>
    <t>EMP00982</t>
  </si>
  <si>
    <t>EMP00983</t>
  </si>
  <si>
    <t>EMP00984</t>
  </si>
  <si>
    <t>EMP00985</t>
  </si>
  <si>
    <t>EMP00986</t>
  </si>
  <si>
    <t>EMP00987</t>
  </si>
  <si>
    <t>EMP00988</t>
  </si>
  <si>
    <t>EMP00989</t>
  </si>
  <si>
    <t>EMP00990</t>
  </si>
  <si>
    <t>EMP00991</t>
  </si>
  <si>
    <t>EMP00992</t>
  </si>
  <si>
    <t>EMP00993</t>
  </si>
  <si>
    <t>EMP00994</t>
  </si>
  <si>
    <t>EMP00995</t>
  </si>
  <si>
    <t>EMP00996</t>
  </si>
  <si>
    <t>EMP00997</t>
  </si>
  <si>
    <t>EMP00998</t>
  </si>
  <si>
    <t>EMP00999</t>
  </si>
  <si>
    <t>EMP01000</t>
  </si>
  <si>
    <t>EMP01001</t>
  </si>
  <si>
    <t>EMP01002</t>
  </si>
  <si>
    <t>EMP01003</t>
  </si>
  <si>
    <t>EMP01004</t>
  </si>
  <si>
    <t>EMP01005</t>
  </si>
  <si>
    <t>EMP01006</t>
  </si>
  <si>
    <t>EMP01007</t>
  </si>
  <si>
    <t>EMP01008</t>
  </si>
  <si>
    <t>EMP01009</t>
  </si>
  <si>
    <t>EMP01010</t>
  </si>
  <si>
    <t>EMP01011</t>
  </si>
  <si>
    <t>EMP01012</t>
  </si>
  <si>
    <t>EMP01013</t>
  </si>
  <si>
    <t>EMP01014</t>
  </si>
  <si>
    <t>EMP01015</t>
  </si>
  <si>
    <t>EMP01016</t>
  </si>
  <si>
    <t>EMP01017</t>
  </si>
  <si>
    <t>EMP01018</t>
  </si>
  <si>
    <t>EMP01019</t>
  </si>
  <si>
    <t>EMP01020</t>
  </si>
  <si>
    <t>EMP01021</t>
  </si>
  <si>
    <t>EMP01022</t>
  </si>
  <si>
    <t>EMP01023</t>
  </si>
  <si>
    <t>EMP01024</t>
  </si>
  <si>
    <t>EMP01025</t>
  </si>
  <si>
    <t>EMP01026</t>
  </si>
  <si>
    <t>EMP01027</t>
  </si>
  <si>
    <t>EMP01028</t>
  </si>
  <si>
    <t>EMP01029</t>
  </si>
  <si>
    <t>EMP01030</t>
  </si>
  <si>
    <t>EMP01031</t>
  </si>
  <si>
    <t>EMP01032</t>
  </si>
  <si>
    <t>EMP01033</t>
  </si>
  <si>
    <t>EMP01034</t>
  </si>
  <si>
    <t>EMP01035</t>
  </si>
  <si>
    <t>EMP01036</t>
  </si>
  <si>
    <t>EMP01037</t>
  </si>
  <si>
    <t>EMP01038</t>
  </si>
  <si>
    <t>EMP01039</t>
  </si>
  <si>
    <t>EMP01040</t>
  </si>
  <si>
    <t>EMP01041</t>
  </si>
  <si>
    <t>EMP01042</t>
  </si>
  <si>
    <t>EMP01043</t>
  </si>
  <si>
    <t>EMP01044</t>
  </si>
  <si>
    <t>EMP01045</t>
  </si>
  <si>
    <t>EMP01046</t>
  </si>
  <si>
    <t>EMP01047</t>
  </si>
  <si>
    <t>EMP01048</t>
  </si>
  <si>
    <t>EMP01049</t>
  </si>
  <si>
    <t>EMP01050</t>
  </si>
  <si>
    <t>EMP01051</t>
  </si>
  <si>
    <t>EMP01052</t>
  </si>
  <si>
    <t>EMP01053</t>
  </si>
  <si>
    <t>EMP01054</t>
  </si>
  <si>
    <t>EMP01055</t>
  </si>
  <si>
    <t>EMP01056</t>
  </si>
  <si>
    <t>EMP01057</t>
  </si>
  <si>
    <t>EMP01058</t>
  </si>
  <si>
    <t>EMP01059</t>
  </si>
  <si>
    <t>EMP01060</t>
  </si>
  <si>
    <t>EMP01061</t>
  </si>
  <si>
    <t>EMP01062</t>
  </si>
  <si>
    <t>EMP01063</t>
  </si>
  <si>
    <t>EMP01064</t>
  </si>
  <si>
    <t>EMP01065</t>
  </si>
  <si>
    <t>EMP01066</t>
  </si>
  <si>
    <t>EMP01067</t>
  </si>
  <si>
    <t>EMP01068</t>
  </si>
  <si>
    <t>EMP01069</t>
  </si>
  <si>
    <t>EMP01070</t>
  </si>
  <si>
    <t>EMP01071</t>
  </si>
  <si>
    <t>EMP01072</t>
  </si>
  <si>
    <t>EMP01073</t>
  </si>
  <si>
    <t>EMP01074</t>
  </si>
  <si>
    <t>EMP01075</t>
  </si>
  <si>
    <t>EMP01076</t>
  </si>
  <si>
    <t>EMP01077</t>
  </si>
  <si>
    <t>EMP01078</t>
  </si>
  <si>
    <t>EMP01079</t>
  </si>
  <si>
    <t>EMP01080</t>
  </si>
  <si>
    <t>EMP01081</t>
  </si>
  <si>
    <t>EMP01082</t>
  </si>
  <si>
    <t>EMP01083</t>
  </si>
  <si>
    <t>EMP01084</t>
  </si>
  <si>
    <t>EMP01085</t>
  </si>
  <si>
    <t>EMP01086</t>
  </si>
  <si>
    <t>EMP01087</t>
  </si>
  <si>
    <t>EMP01088</t>
  </si>
  <si>
    <t>EMP01089</t>
  </si>
  <si>
    <t>EMP01090</t>
  </si>
  <si>
    <t>EMP01091</t>
  </si>
  <si>
    <t>EMP01092</t>
  </si>
  <si>
    <t>EMP01093</t>
  </si>
  <si>
    <t>EMP01094</t>
  </si>
  <si>
    <t>EMP01095</t>
  </si>
  <si>
    <t>EMP01096</t>
  </si>
  <si>
    <t>EMP01097</t>
  </si>
  <si>
    <t>EMP01098</t>
  </si>
  <si>
    <t>EMP01099</t>
  </si>
  <si>
    <t>EMP01100</t>
  </si>
  <si>
    <t>EMP01101</t>
  </si>
  <si>
    <t>EMP01102</t>
  </si>
  <si>
    <t>EMP01103</t>
  </si>
  <si>
    <t>EMP01104</t>
  </si>
  <si>
    <t>EMP01105</t>
  </si>
  <si>
    <t>EMP01106</t>
  </si>
  <si>
    <t>EMP01107</t>
  </si>
  <si>
    <t>EMP01108</t>
  </si>
  <si>
    <t>EMP01109</t>
  </si>
  <si>
    <t>EMP01110</t>
  </si>
  <si>
    <t>EMP01111</t>
  </si>
  <si>
    <t>EMP01112</t>
  </si>
  <si>
    <t>EMP01113</t>
  </si>
  <si>
    <t>EMP01114</t>
  </si>
  <si>
    <t>EMP01115</t>
  </si>
  <si>
    <t>EMP01116</t>
  </si>
  <si>
    <t>EMP01117</t>
  </si>
  <si>
    <t>EMP01118</t>
  </si>
  <si>
    <t>EMP01119</t>
  </si>
  <si>
    <t>EMP01120</t>
  </si>
  <si>
    <t>EMP01121</t>
  </si>
  <si>
    <t>EMP01122</t>
  </si>
  <si>
    <t>EMP01123</t>
  </si>
  <si>
    <t>EMP01124</t>
  </si>
  <si>
    <t>EMP01125</t>
  </si>
  <si>
    <t>EMP01126</t>
  </si>
  <si>
    <t>EMP01127</t>
  </si>
  <si>
    <t>EMP01128</t>
  </si>
  <si>
    <t>EMP01129</t>
  </si>
  <si>
    <t>EMP01130</t>
  </si>
  <si>
    <t>EMP01131</t>
  </si>
  <si>
    <t>EMP01132</t>
  </si>
  <si>
    <t>EMP01133</t>
  </si>
  <si>
    <t>EMP01134</t>
  </si>
  <si>
    <t>EMP01135</t>
  </si>
  <si>
    <t>EMP01136</t>
  </si>
  <si>
    <t>EMP01137</t>
  </si>
  <si>
    <t>EMP01138</t>
  </si>
  <si>
    <t>EMP01139</t>
  </si>
  <si>
    <t>EMP01140</t>
  </si>
  <si>
    <t>EMP01141</t>
  </si>
  <si>
    <t>EMP01142</t>
  </si>
  <si>
    <t>EMP01143</t>
  </si>
  <si>
    <t>EMP01144</t>
  </si>
  <si>
    <t>EMP01145</t>
  </si>
  <si>
    <t>EMP01146</t>
  </si>
  <si>
    <t>EMP01147</t>
  </si>
  <si>
    <t>EMP01148</t>
  </si>
  <si>
    <t>EMP01149</t>
  </si>
  <si>
    <t>EMP01150</t>
  </si>
  <si>
    <t>EMP01151</t>
  </si>
  <si>
    <t>EMP01152</t>
  </si>
  <si>
    <t>EMP01153</t>
  </si>
  <si>
    <t>EMP01154</t>
  </si>
  <si>
    <t>EMP01155</t>
  </si>
  <si>
    <t>EMP01156</t>
  </si>
  <si>
    <t>EMP01157</t>
  </si>
  <si>
    <t>EMP01158</t>
  </si>
  <si>
    <t>EMP01159</t>
  </si>
  <si>
    <t>EMP01160</t>
  </si>
  <si>
    <t>EMP01161</t>
  </si>
  <si>
    <t>EMP01162</t>
  </si>
  <si>
    <t>EMP01163</t>
  </si>
  <si>
    <t>EMP01164</t>
  </si>
  <si>
    <t>EMP01165</t>
  </si>
  <si>
    <t>EMP01166</t>
  </si>
  <si>
    <t>EMP01167</t>
  </si>
  <si>
    <t>EMP01168</t>
  </si>
  <si>
    <t>EMP01169</t>
  </si>
  <si>
    <t>EMP01170</t>
  </si>
  <si>
    <t>EMP01171</t>
  </si>
  <si>
    <t>EMP01172</t>
  </si>
  <si>
    <t>EMP01173</t>
  </si>
  <si>
    <t>EMP01174</t>
  </si>
  <si>
    <t>EMP01175</t>
  </si>
  <si>
    <t>EMP01176</t>
  </si>
  <si>
    <t>EMP01177</t>
  </si>
  <si>
    <t>EMP01178</t>
  </si>
  <si>
    <t>EMP01179</t>
  </si>
  <si>
    <t>EMP01180</t>
  </si>
  <si>
    <t>EMP01181</t>
  </si>
  <si>
    <t>EMP01182</t>
  </si>
  <si>
    <t>EMP01183</t>
  </si>
  <si>
    <t>EMP01184</t>
  </si>
  <si>
    <t>EMP01185</t>
  </si>
  <si>
    <t>EMP01186</t>
  </si>
  <si>
    <t>EMP01187</t>
  </si>
  <si>
    <t>EMP01188</t>
  </si>
  <si>
    <t>EMP01189</t>
  </si>
  <si>
    <t>EMP01190</t>
  </si>
  <si>
    <t>EMP01191</t>
  </si>
  <si>
    <t>EMP01192</t>
  </si>
  <si>
    <t>EMP01193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</si>
  <si>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</si>
  <si>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</si>
  <si>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</si>
  <si>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</si>
  <si>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</si>
  <si>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</si>
  <si>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</si>
  <si>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</si>
  <si>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</si>
  <si>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</si>
  <si>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</si>
  <si>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</si>
  <si>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</si>
  <si>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</si>
  <si>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EMP01208</t>
  </si>
  <si>
    <t>EMP01209</t>
  </si>
  <si>
    <t>EMP01210</t>
  </si>
  <si>
    <t>EMP01211</t>
  </si>
  <si>
    <t>EMP01212</t>
  </si>
  <si>
    <t>EMP01213</t>
  </si>
  <si>
    <t>EMP01214</t>
  </si>
  <si>
    <t>EMP01215</t>
  </si>
  <si>
    <t>EMP01216</t>
  </si>
  <si>
    <t>EMP01217</t>
  </si>
  <si>
    <t>EMP01218</t>
  </si>
  <si>
    <t>EMP01219</t>
  </si>
  <si>
    <t>EMP01220</t>
  </si>
  <si>
    <t>EMP01221</t>
  </si>
  <si>
    <t>EMP01222</t>
  </si>
  <si>
    <t>EMP01223</t>
  </si>
  <si>
    <t>EMP01224</t>
  </si>
  <si>
    <t>EMP01225</t>
  </si>
  <si>
    <t>EMP01226</t>
  </si>
  <si>
    <t>EMP01227</t>
  </si>
  <si>
    <t>EMP01228</t>
  </si>
  <si>
    <t>EMP01229</t>
  </si>
  <si>
    <t>EMP01230</t>
  </si>
  <si>
    <t>EMP01231</t>
  </si>
  <si>
    <t>EMP01232</t>
  </si>
  <si>
    <t>EMP01233</t>
  </si>
  <si>
    <t>EMP01234</t>
  </si>
  <si>
    <t>EMP01235</t>
  </si>
  <si>
    <t>EMP01236</t>
  </si>
  <si>
    <t>EMP01237</t>
  </si>
  <si>
    <t>EMP01238</t>
  </si>
  <si>
    <t>EMP01239</t>
  </si>
  <si>
    <t>EMP01240</t>
  </si>
  <si>
    <t>EMP01241</t>
  </si>
  <si>
    <t>EMP01242</t>
  </si>
  <si>
    <t>EMP01243</t>
  </si>
  <si>
    <t>EMP01244</t>
  </si>
  <si>
    <t>EMP01245</t>
  </si>
  <si>
    <t>EMP01246</t>
  </si>
  <si>
    <t>EMP01247</t>
  </si>
  <si>
    <t>EMP01248</t>
  </si>
  <si>
    <t>EMP01249</t>
  </si>
  <si>
    <t>EMP01250</t>
  </si>
  <si>
    <t>EMP01251</t>
  </si>
  <si>
    <t>EMP01252</t>
  </si>
  <si>
    <t>EMP01253</t>
  </si>
  <si>
    <t>EMP01254</t>
  </si>
  <si>
    <t>EMP01255</t>
  </si>
  <si>
    <t>EMP01256</t>
  </si>
  <si>
    <t>EMP01257</t>
  </si>
  <si>
    <t>EMP01258</t>
  </si>
  <si>
    <t>EMP01259</t>
  </si>
  <si>
    <t>EMP01260</t>
  </si>
  <si>
    <t>EMP01261</t>
  </si>
  <si>
    <t>EMP01262</t>
  </si>
  <si>
    <t>EMP01263</t>
  </si>
  <si>
    <t>EMP01264</t>
  </si>
  <si>
    <t>EMP01265</t>
  </si>
  <si>
    <t>EMP01266</t>
  </si>
  <si>
    <t>EMP01267</t>
  </si>
  <si>
    <t>EMP01268</t>
  </si>
  <si>
    <t>EMP01269</t>
  </si>
  <si>
    <t>EMP01270</t>
  </si>
  <si>
    <t>EMP01271</t>
  </si>
  <si>
    <t>EMP01272</t>
  </si>
  <si>
    <t>EMP01273</t>
  </si>
  <si>
    <t>EMP01274</t>
  </si>
  <si>
    <t>EMP01275</t>
  </si>
  <si>
    <t>EMP01276</t>
  </si>
  <si>
    <t>EMP01277</t>
  </si>
  <si>
    <t>EMP01278</t>
  </si>
  <si>
    <t>EMP01279</t>
  </si>
  <si>
    <t>EMP01280</t>
  </si>
  <si>
    <t>EMP01281</t>
  </si>
  <si>
    <t>EMP01282</t>
  </si>
  <si>
    <t>EMP01283</t>
  </si>
  <si>
    <t>EMP01284</t>
  </si>
  <si>
    <t>EMP01285</t>
  </si>
  <si>
    <t>EMP01286</t>
  </si>
  <si>
    <t>EMP01287</t>
  </si>
  <si>
    <t>EMP01288</t>
  </si>
  <si>
    <t>EMP01289</t>
  </si>
  <si>
    <t>EMP01290</t>
  </si>
  <si>
    <t>EMP01291</t>
  </si>
  <si>
    <t>EMP01292</t>
  </si>
  <si>
    <t>EMP01293</t>
  </si>
  <si>
    <t>EMP01294</t>
  </si>
  <si>
    <t>EMP01295</t>
  </si>
  <si>
    <t>EMP01296</t>
  </si>
  <si>
    <t>EMP01297</t>
  </si>
  <si>
    <t>EMP01298</t>
  </si>
  <si>
    <t>EMP01299</t>
  </si>
  <si>
    <t>EMP01300</t>
  </si>
  <si>
    <t>EMP01301</t>
  </si>
  <si>
    <t>EMP01302</t>
  </si>
  <si>
    <t>EMP01303</t>
  </si>
  <si>
    <t>EMP01304</t>
  </si>
  <si>
    <t>EMP01305</t>
  </si>
  <si>
    <t>EMP01306</t>
  </si>
  <si>
    <t>EMP01307</t>
  </si>
  <si>
    <t>EMP01308</t>
  </si>
  <si>
    <t>EMP01309</t>
  </si>
  <si>
    <t>EMP01310</t>
  </si>
  <si>
    <t>EMP01311</t>
  </si>
  <si>
    <t>EMP01312</t>
  </si>
  <si>
    <t>EMP01313</t>
  </si>
  <si>
    <t>EMP01314</t>
  </si>
  <si>
    <t>EMP01315</t>
  </si>
  <si>
    <t>EMP01316</t>
  </si>
  <si>
    <t>EMP01317</t>
  </si>
  <si>
    <t>EMP01318</t>
  </si>
  <si>
    <t>EMP01319</t>
  </si>
  <si>
    <t>EMP01320</t>
  </si>
  <si>
    <t>EMP01321</t>
  </si>
  <si>
    <t>EMP01322</t>
  </si>
  <si>
    <t>EMP01323</t>
  </si>
  <si>
    <t>EMP01324</t>
  </si>
  <si>
    <t>EMP01325</t>
  </si>
  <si>
    <t>EMP01326</t>
  </si>
  <si>
    <t>EMP01327</t>
  </si>
  <si>
    <t>EMP01328</t>
  </si>
  <si>
    <t>EMP01329</t>
  </si>
  <si>
    <t>EMP01330</t>
  </si>
  <si>
    <t>EMP01331</t>
  </si>
  <si>
    <t>EMP01332</t>
  </si>
  <si>
    <t>EMP01333</t>
  </si>
  <si>
    <t>EMP01334</t>
  </si>
  <si>
    <t>EMP01335</t>
  </si>
  <si>
    <t>EMP01336</t>
  </si>
  <si>
    <t>EMP01337</t>
  </si>
  <si>
    <t>EMP01338</t>
  </si>
  <si>
    <t>EMP01339</t>
  </si>
  <si>
    <t>EMP01340</t>
  </si>
  <si>
    <t>EMP01341</t>
  </si>
  <si>
    <t>EMP01342</t>
  </si>
  <si>
    <t>EMP01343</t>
  </si>
  <si>
    <t>EMP01344</t>
  </si>
  <si>
    <t>EMP01345</t>
  </si>
  <si>
    <t>EMP01346</t>
  </si>
  <si>
    <t>EMP01347</t>
  </si>
  <si>
    <t>EMP01348</t>
  </si>
  <si>
    <t>EMP01349</t>
  </si>
  <si>
    <t>EMP01350</t>
  </si>
  <si>
    <t>EMP01351</t>
  </si>
  <si>
    <t>EMP01352</t>
  </si>
  <si>
    <t>EMP01353</t>
  </si>
  <si>
    <t>EMP01354</t>
  </si>
  <si>
    <t>EMP01355</t>
  </si>
  <si>
    <t>EMP01356</t>
  </si>
  <si>
    <t>EMP01357</t>
  </si>
  <si>
    <t>EMP01358</t>
  </si>
  <si>
    <t>EMP01359</t>
  </si>
  <si>
    <t>EMP01360</t>
  </si>
  <si>
    <t>EMP01361</t>
  </si>
  <si>
    <t>EMP01362</t>
  </si>
  <si>
    <t>EMP01363</t>
  </si>
  <si>
    <t>EMP01364</t>
  </si>
  <si>
    <t>EMP01365</t>
  </si>
  <si>
    <t>EMP01366</t>
  </si>
  <si>
    <t>EMP01367</t>
  </si>
  <si>
    <t>EMP01368</t>
  </si>
  <si>
    <t>EMP01369</t>
  </si>
  <si>
    <t>EMP01370</t>
  </si>
  <si>
    <t>EMP01371</t>
  </si>
  <si>
    <t>EMP01372</t>
  </si>
  <si>
    <t>EMP01373</t>
  </si>
  <si>
    <t>EMP01374</t>
  </si>
  <si>
    <t>EMP01375</t>
  </si>
  <si>
    <t>EMP01376</t>
  </si>
  <si>
    <t>EMP01377</t>
  </si>
  <si>
    <t>EMP01378</t>
  </si>
  <si>
    <t>EMP01379</t>
  </si>
  <si>
    <t>EMP01380</t>
  </si>
  <si>
    <t>EMP01381</t>
  </si>
  <si>
    <t>EMP01382</t>
  </si>
  <si>
    <t>EMP01383</t>
  </si>
  <si>
    <t>EMP01384</t>
  </si>
  <si>
    <t>EMP01385</t>
  </si>
  <si>
    <t>EMP01386</t>
  </si>
  <si>
    <t>EMP01387</t>
  </si>
  <si>
    <t>EMP01388</t>
  </si>
  <si>
    <t>EMP01389</t>
  </si>
  <si>
    <t>EMP01390</t>
  </si>
  <si>
    <t>EMP01391</t>
  </si>
  <si>
    <t>EMP01392</t>
  </si>
  <si>
    <t>EMP01393</t>
  </si>
  <si>
    <t>EMP01394</t>
  </si>
  <si>
    <t>EMP01395</t>
  </si>
  <si>
    <t>EMP01396</t>
  </si>
  <si>
    <t>EMP01397</t>
  </si>
  <si>
    <t>EMP01398</t>
  </si>
  <si>
    <t>EMP01399</t>
  </si>
  <si>
    <t>EMP01400</t>
  </si>
  <si>
    <t>EMP01401</t>
  </si>
  <si>
    <t>EMP01402</t>
  </si>
  <si>
    <t>EMP01403</t>
  </si>
  <si>
    <t>EMP01404</t>
  </si>
  <si>
    <t>EMP01405</t>
  </si>
  <si>
    <t>EMP01406</t>
  </si>
  <si>
    <t>EMP01407</t>
  </si>
  <si>
    <t>EMP01408</t>
  </si>
  <si>
    <t>EMP01409</t>
  </si>
  <si>
    <t>EMP01410</t>
  </si>
  <si>
    <t>EMP01411</t>
  </si>
  <si>
    <t>EMP01412</t>
  </si>
  <si>
    <t>EMP01413</t>
  </si>
  <si>
    <t>EMP01414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</si>
  <si>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</si>
  <si>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</si>
  <si>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</si>
  <si>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</si>
  <si>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</si>
  <si>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</si>
  <si>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</si>
  <si>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</si>
  <si>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</si>
  <si>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</si>
  <si>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EMP01425</t>
  </si>
  <si>
    <t>EMP01426</t>
  </si>
  <si>
    <t>EMP01427</t>
  </si>
  <si>
    <t>EMP01428</t>
  </si>
  <si>
    <t>EMP01429</t>
  </si>
  <si>
    <t>EMP01430</t>
  </si>
  <si>
    <t>EMP01431</t>
  </si>
  <si>
    <t>EMP01432</t>
  </si>
  <si>
    <t>EMP01433</t>
  </si>
  <si>
    <t>EMP01434</t>
  </si>
  <si>
    <t>EMP01435</t>
  </si>
  <si>
    <t>EMP01436</t>
  </si>
  <si>
    <t>EMP01437</t>
  </si>
  <si>
    <t>EMP01438</t>
  </si>
  <si>
    <t>EMP01439</t>
  </si>
  <si>
    <t>EMP01440</t>
  </si>
  <si>
    <t>EMP01441</t>
  </si>
  <si>
    <t>EMP01442</t>
  </si>
  <si>
    <t>EMP01443</t>
  </si>
  <si>
    <t>EMP01444</t>
  </si>
  <si>
    <t>EMP01445</t>
  </si>
  <si>
    <t>EMP01446</t>
  </si>
  <si>
    <t>EMP01447</t>
  </si>
  <si>
    <t>EMP01448</t>
  </si>
  <si>
    <t>EMP01449</t>
  </si>
  <si>
    <t>EMP01450</t>
  </si>
  <si>
    <t>EMP01451</t>
  </si>
  <si>
    <t>EMP01452</t>
  </si>
  <si>
    <t>EMP01453</t>
  </si>
  <si>
    <t>EMP01454</t>
  </si>
  <si>
    <t>EMP01455</t>
  </si>
  <si>
    <t>EMP01456</t>
  </si>
  <si>
    <t>EMP01457</t>
  </si>
  <si>
    <t>EMP01458</t>
  </si>
  <si>
    <t>EMP01459</t>
  </si>
  <si>
    <t>EMP01460</t>
  </si>
  <si>
    <t>EMP01461</t>
  </si>
  <si>
    <t>EMP01462</t>
  </si>
  <si>
    <t>EMP01463</t>
  </si>
  <si>
    <t>EMP01464</t>
  </si>
  <si>
    <t>EMP01465</t>
  </si>
  <si>
    <t>EMP01466</t>
  </si>
  <si>
    <t>EMP01467</t>
  </si>
  <si>
    <t>EMP01468</t>
  </si>
  <si>
    <t>EMP01469</t>
  </si>
  <si>
    <t>EMP01470</t>
  </si>
  <si>
    <t>Id_Employee</t>
  </si>
  <si>
    <t>Id_Departement</t>
  </si>
  <si>
    <t>Id_Education</t>
  </si>
  <si>
    <t>E001</t>
  </si>
  <si>
    <t>E002</t>
  </si>
  <si>
    <t>E003</t>
  </si>
  <si>
    <t>E004</t>
  </si>
  <si>
    <t>E005</t>
  </si>
  <si>
    <t>Id_EducationField</t>
  </si>
  <si>
    <t>EF001</t>
  </si>
  <si>
    <t>EF002</t>
  </si>
  <si>
    <t>EF003</t>
  </si>
  <si>
    <t>EF004</t>
  </si>
  <si>
    <t>EF005</t>
  </si>
  <si>
    <t>EF006</t>
  </si>
  <si>
    <t>Id_EnviromentSatisfaction</t>
  </si>
  <si>
    <t>ES001</t>
  </si>
  <si>
    <t>ES002</t>
  </si>
  <si>
    <t>ES003</t>
  </si>
  <si>
    <t>ES004</t>
  </si>
  <si>
    <t>D001</t>
  </si>
  <si>
    <t>D002</t>
  </si>
  <si>
    <t>D003</t>
  </si>
  <si>
    <t>BS001</t>
  </si>
  <si>
    <t>BS002</t>
  </si>
  <si>
    <t>BS003</t>
  </si>
  <si>
    <t>A001</t>
  </si>
  <si>
    <t>A002</t>
  </si>
  <si>
    <t>Id_Gender</t>
  </si>
  <si>
    <t>G001</t>
  </si>
  <si>
    <t>G002</t>
  </si>
  <si>
    <t>Id_JobInvolvement</t>
  </si>
  <si>
    <t>JI001</t>
  </si>
  <si>
    <t>JI002</t>
  </si>
  <si>
    <t>JI003</t>
  </si>
  <si>
    <t>JI004</t>
  </si>
  <si>
    <t>Below College</t>
  </si>
  <si>
    <t>College</t>
  </si>
  <si>
    <t>Bachelor</t>
  </si>
  <si>
    <t>Master</t>
  </si>
  <si>
    <t>Doctor</t>
  </si>
  <si>
    <t>Low</t>
  </si>
  <si>
    <t>Medium</t>
  </si>
  <si>
    <t>High</t>
  </si>
  <si>
    <t>Very High</t>
  </si>
  <si>
    <t>Id_JobLevel</t>
  </si>
  <si>
    <t>JL001</t>
  </si>
  <si>
    <t>JL002</t>
  </si>
  <si>
    <t>JL003</t>
  </si>
  <si>
    <t>JL004</t>
  </si>
  <si>
    <t>JL005</t>
  </si>
  <si>
    <t>Id_JobRole</t>
  </si>
  <si>
    <t>JR001</t>
  </si>
  <si>
    <t>JR002</t>
  </si>
  <si>
    <t>JR003</t>
  </si>
  <si>
    <t>JR004</t>
  </si>
  <si>
    <t>JR005</t>
  </si>
  <si>
    <t>JR006</t>
  </si>
  <si>
    <t>JR007</t>
  </si>
  <si>
    <t>JR008</t>
  </si>
  <si>
    <t>JR009</t>
  </si>
  <si>
    <t>Id_JobSatisfaction</t>
  </si>
  <si>
    <t>JS001</t>
  </si>
  <si>
    <t>JS002</t>
  </si>
  <si>
    <t>JS003</t>
  </si>
  <si>
    <t>JS004</t>
  </si>
  <si>
    <t>Id_MaritalStatus</t>
  </si>
  <si>
    <t>MS001</t>
  </si>
  <si>
    <t>MS002</t>
  </si>
  <si>
    <t>MS003</t>
  </si>
  <si>
    <t>Id_OverTime</t>
  </si>
  <si>
    <t>OT001</t>
  </si>
  <si>
    <t>OT002</t>
  </si>
  <si>
    <t>Id_PerformanceRating</t>
  </si>
  <si>
    <t>Id_RelationshipSatisfaction</t>
  </si>
  <si>
    <t>RS001</t>
  </si>
  <si>
    <t>RS002</t>
  </si>
  <si>
    <t>RS003</t>
  </si>
  <si>
    <t>RS004</t>
  </si>
  <si>
    <t>PR001</t>
  </si>
  <si>
    <t>PR002</t>
  </si>
  <si>
    <t>PR003</t>
  </si>
  <si>
    <t>PR004</t>
  </si>
  <si>
    <t>Good</t>
  </si>
  <si>
    <t>Excellent</t>
  </si>
  <si>
    <t>Outstanding</t>
  </si>
  <si>
    <t>Id_StockOptionLevel</t>
  </si>
  <si>
    <t>SOL001</t>
  </si>
  <si>
    <t>SOL002</t>
  </si>
  <si>
    <t>SOL003</t>
  </si>
  <si>
    <t>SOL004</t>
  </si>
  <si>
    <t>Non-Eligible</t>
  </si>
  <si>
    <t>Standard</t>
  </si>
  <si>
    <t>Intermediate</t>
  </si>
  <si>
    <t>Senior/Executive</t>
  </si>
  <si>
    <t>Id_WorkLifeBalance</t>
  </si>
  <si>
    <t>WLB001</t>
  </si>
  <si>
    <t>WLB003</t>
  </si>
  <si>
    <t>WLB002</t>
  </si>
  <si>
    <t>WLB004</t>
  </si>
  <si>
    <t>Id_Attrition</t>
  </si>
  <si>
    <t>Bad</t>
  </si>
  <si>
    <t>Better</t>
  </si>
  <si>
    <t>Best</t>
  </si>
  <si>
    <t>Deskripsi</t>
  </si>
  <si>
    <t>JobSatisfaction_Deskripsi</t>
  </si>
  <si>
    <t>WorkLifeBalance_Deskripsi</t>
  </si>
  <si>
    <t>EnvironmentSatisfaction_Deskripsi</t>
  </si>
  <si>
    <t>RelationshipSatisfaction_Deskripsi</t>
  </si>
  <si>
    <t>StockOptionLevel_Deskripsi</t>
  </si>
  <si>
    <t>PerformanceRating_Deskripsi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</si>
</sst>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C4043"/>
      <name val="Int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3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z val="18"/>
        <color rgb="FF111844"/>
      </font>
      <fill>
        <patternFill>
          <fgColor rgb="FFA5B3CB"/>
          <bgColor rgb="FFEAE0CF"/>
        </patternFill>
      </fill>
    </dxf>
    <dxf>
      <font>
        <sz val="24"/>
        <name val="Gill Sans Nova"/>
        <family val="2"/>
      </font>
      <fill>
        <patternFill>
          <bgColor rgb="FF111844"/>
        </patternFill>
      </fill>
    </dxf>
    <dxf>
      <fill>
        <patternFill>
          <bgColor rgb="FFEAE0CF"/>
        </patternFill>
      </fill>
    </dxf>
    <dxf>
      <fill>
        <patternFill>
          <bgColor rgb="FF111844"/>
        </patternFill>
      </fill>
    </dxf>
    <dxf>
      <fill>
        <patternFill>
          <bgColor rgb="FF111844"/>
        </patternFill>
      </fill>
    </dxf>
    <dxf>
      <fill>
        <patternFill>
          <bgColor rgb="FF111844"/>
        </patternFill>
      </fill>
    </dxf>
  </dxfs>
  <tableStyles count="5" defaultTableStyle="TableStyleMedium9" defaultPivotStyle="PivotStyleLight16">
    <tableStyle name="Slicer Style 1" pivot="0" table="0" count="1" xr9:uid="{5288C96E-FDC0-4CDE-97D7-EECD0B04D15D}">
      <tableStyleElement type="wholeTable" dxfId="33"/>
    </tableStyle>
    <tableStyle name="Slicer Style 2" pivot="0" table="0" count="2" xr9:uid="{DC2D9AB6-4F8B-46E4-BD37-9F9292ECB04C}">
      <tableStyleElement type="wholeTable" dxfId="32"/>
    </tableStyle>
    <tableStyle name="Slicer Style 3" pivot="0" table="0" count="2" xr9:uid="{F4CC7709-19FB-4859-992C-793AEECB4A90}">
      <tableStyleElement type="wholeTable" dxfId="31"/>
    </tableStyle>
    <tableStyle name="Slicer Style 4" pivot="0" table="0" count="1" xr9:uid="{E0373DA7-6A2E-4D1E-838B-CF8DEBE6527F}">
      <tableStyleElement type="headerRow" dxfId="30"/>
    </tableStyle>
    <tableStyle name="Slicer Style 5" pivot="0" table="0" count="3" xr9:uid="{E49A54B4-4164-451B-8EF7-10D8DA64A30D}">
      <tableStyleElement type="wholeTable" dxfId="29"/>
      <tableStyleElement type="headerRow" dxfId="28"/>
    </tableStyle>
  </tableStyles>
  <colors>
    <mruColors>
      <color rgb="FFA5B3CB"/>
      <color rgb="FFF5F0E7"/>
      <color rgb="FF111844"/>
      <color rgb="FF7288AE"/>
      <color rgb="FFEAE0CF"/>
      <color rgb="FF4B5694"/>
    </mruColors>
  </colors>
  <extLst>
    <ext xmlns:x14="http://schemas.microsoft.com/office/spreadsheetml/2009/9/main" uri="{46F421CA-312F-682f-3DD2-61675219B42D}">
      <x14:dxfs count="3">
        <dxf>
          <font>
            <color rgb="FFEAE0CF"/>
          </font>
          <fill>
            <patternFill>
              <bgColor rgb="FF7288AE"/>
            </patternFill>
          </fill>
        </dxf>
        <dxf>
          <fill>
            <patternFill>
              <bgColor rgb="FFEAE0CF"/>
            </patternFill>
          </fill>
        </dxf>
        <dxf>
          <fill>
            <patternFill>
              <bgColor rgb="FF4B5694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selectedItemWithData" dxfId="2"/>
          </x14:slicerStyleElements>
        </x14:slicerStyle>
        <x14:slicerStyle name="Slicer Style 3">
          <x14:slicerStyleElements>
            <x14:slicerStyleElement type="selectedItemWithData" dxfId="1"/>
          </x14:slicerStyleElements>
        </x14:slicerStyle>
        <x14:slicerStyle name="Slicer Style 4"/>
        <x14:slicerStyle name="Slicer Style 5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8824B-927A-45FF-A905-9841E840F0EB}" name="Table1" displayName="Table1" ref="A1:BD1471" totalsRowShown="0" headerRowDxfId="27" headerRowBorderDxfId="26" tableBorderDxfId="25">
  <autoFilter ref="A1:BD1471" xr:uid="{9B68824B-927A-45FF-A905-9841E840F0EB}"/>
  <tableColumns count="56">
    <tableColumn id="1" xr3:uid="{68C59E45-EE69-45F7-9013-D6912FA1BBFA}" name="Age"/>
    <tableColumn id="38" xr3:uid="{DDBB6765-980E-44BB-AD04-E5F330D26790}" name="Id_Attrition" dataDxfId="24">
      <calculatedColumnFormula>_xlfn.XLOOKUP(Table1[[#This Row],[Attrition]],Table2[Attrition],Table2[Id_Attrition])</calculatedColumnFormula>
    </tableColumn>
    <tableColumn id="2" xr3:uid="{08864A02-A99B-406C-97A1-63CA86018452}" name="Attrition"/>
    <tableColumn id="39" xr3:uid="{E5DE72CB-B1ED-4316-8896-63D5E14E86E6}" name="Id_BusinessTravel" dataDxfId="23">
      <calculatedColumnFormula>_xlfn.XLOOKUP(Table1[[#This Row],[BusinessTravel]],Table5[BusinessTravel],Table5[Id_BusinessTravel])</calculatedColumnFormula>
    </tableColumn>
    <tableColumn id="3" xr3:uid="{5BA0660D-B25F-4DC2-AF67-A6B411A0535D}" name="BusinessTravel"/>
    <tableColumn id="4" xr3:uid="{E2E4BAFF-982F-4BD9-9DED-10BD728372CD}" name="DailyRate"/>
    <tableColumn id="40" xr3:uid="{5FF06DCD-62C8-4443-8063-E54260411B44}" name="Id_Departement" dataDxfId="22">
      <calculatedColumnFormula>_xlfn.XLOOKUP(Table1[[#This Row],[Department]],Table6[Department],Table6[Id_Departement])</calculatedColumnFormula>
    </tableColumn>
    <tableColumn id="5" xr3:uid="{41494A00-02B1-425F-BAA8-0CEFA0C9B38E}" name="Department"/>
    <tableColumn id="6" xr3:uid="{EDBCB9A8-DFCC-49DC-9514-A0849A3BE3FC}" name="DistanceFromHome"/>
    <tableColumn id="41" xr3:uid="{11867E70-8CC8-43D3-91DF-904E6E2ADA3C}" name="Id_Education" dataDxfId="21">
      <calculatedColumnFormula>_xlfn.XLOOKUP(Table1[[#This Row],[Education]],Table8[Education],Table8[Id_Education])</calculatedColumnFormula>
    </tableColumn>
    <tableColumn id="7" xr3:uid="{1F8BB361-D967-4B12-844B-2D1F787A7135}" name="Education"/>
    <tableColumn id="42" xr3:uid="{F8B335A9-A3FF-42B0-920E-044267CFE6E7}" name="Id_EducationField" dataDxfId="20">
      <calculatedColumnFormula>_xlfn.XLOOKUP(Table1[[#This Row],[EducationField]],Table7[EducationField],Table7[Id_EducationField])</calculatedColumnFormula>
    </tableColumn>
    <tableColumn id="8" xr3:uid="{00976CC1-949D-4531-ABCB-34B8ED823892}" name="EducationField"/>
    <tableColumn id="37" xr3:uid="{F7395654-83B9-433B-9524-D2BA646D8072}" name="Id_Employee" dataDxfId="19">
      <calculatedColumnFormula>_xlfn.XLOOKUP(Table1[[#This Row],[EmployeeNumber]],Table4[EmployeeNumber],Table4[Id_Employee])</calculatedColumnFormula>
    </tableColumn>
    <tableColumn id="10" xr3:uid="{BF9209AA-37DB-42BE-84AA-AEAEA3147EB3}" name="EmployeeNumber"/>
    <tableColumn id="47" xr3:uid="{AC186286-8D7C-454D-8268-5300498237E7}" name="Id_EnviromentSatisfaction" dataDxfId="18">
      <calculatedColumnFormula>_xlfn.XLOOKUP(Table1[[#This Row],[EnvironmentSatisfaction]],Table9[EnvironmentSatisfaction],Table9[Id_EnviromentSatisfaction])</calculatedColumnFormula>
    </tableColumn>
    <tableColumn id="11" xr3:uid="{AC97913C-A97F-4331-9D08-BF1101EF86EF}" name="EnvironmentSatisfaction"/>
    <tableColumn id="27" xr3:uid="{6853B147-7474-4414-95DB-570B2D777F1C}" name="EnvironmentSatisfaction_Deskripsi" dataDxfId="17">
      <calculatedColumnFormula>_xlfn.XLOOKUP(Table1[[#This Row],[EnvironmentSatisfaction]],Table9[EnvironmentSatisfaction],Table9[Deskripsi])</calculatedColumnFormula>
    </tableColumn>
    <tableColumn id="44" xr3:uid="{F6E2FF43-20D5-451C-9757-45BF6BC301CD}" name="Id_Gender" dataDxfId="16">
      <calculatedColumnFormula>_xlfn.XLOOKUP(Table1[[#This Row],[Gender]],Table10[Gender],Table10[Id_Gender])</calculatedColumnFormula>
    </tableColumn>
    <tableColumn id="12" xr3:uid="{93130B1B-7CB2-4868-86F0-74F88050FDA1}" name="Gender"/>
    <tableColumn id="13" xr3:uid="{373235D3-60C8-4640-98A2-06E0EB077CA9}" name="HourlyRate"/>
    <tableColumn id="48" xr3:uid="{F4F1947B-DF97-43DD-AFB9-FE6E6DAB852A}" name="Id_JobInvolvement" dataDxfId="15">
      <calculatedColumnFormula>_xlfn.XLOOKUP(Table1[[#This Row],[JobInvolvement]],Table11[JobInvolvement],Table11[Id_JobInvolvement])</calculatedColumnFormula>
    </tableColumn>
    <tableColumn id="14" xr3:uid="{2BD9F83A-651E-4BED-B887-20EECA6B619B}" name="JobInvolvement"/>
    <tableColumn id="49" xr3:uid="{22F56F2B-5F83-4917-AB44-7191BCE14A66}" name="Id_JobLevel" dataDxfId="14">
      <calculatedColumnFormula>_xlfn.XLOOKUP(Table1[[#This Row],[JobLevel]],Table12[JobLevel],Table12[Id_JobLevel])</calculatedColumnFormula>
    </tableColumn>
    <tableColumn id="15" xr3:uid="{84B330AE-A8BB-4640-8813-7D327C206D8F}" name="JobLevel"/>
    <tableColumn id="45" xr3:uid="{6FD30EAC-09C8-4618-A0A3-F51BBE322F8F}" name="Id_JobRole" dataDxfId="13">
      <calculatedColumnFormula>_xlfn.XLOOKUP(Table1[[#This Row],[JobRole]],Table13[JobRole],Table13[Id_JobRole])</calculatedColumnFormula>
    </tableColumn>
    <tableColumn id="16" xr3:uid="{551C7BF0-1B7A-475A-8A05-BED92B92AB99}" name="JobRole"/>
    <tableColumn id="50" xr3:uid="{71FFC8FC-4EAB-4108-974D-2D51DEB77777}" name="Id_JobSatisfaction" dataDxfId="12">
      <calculatedColumnFormula>_xlfn.XLOOKUP(Table1[[#This Row],[JobSatisfaction]],Table14[JobSatisfaction],Table14[Id_JobSatisfaction])</calculatedColumnFormula>
    </tableColumn>
    <tableColumn id="17" xr3:uid="{31C629E9-F24C-4196-9C46-F33C7D9F24A7}" name="JobSatisfaction"/>
    <tableColumn id="9" xr3:uid="{689403E1-9E5F-4546-A335-5C0135B9F6D5}" name="JobSatisfaction_Deskripsi" dataDxfId="11">
      <calculatedColumnFormula>_xlfn.XLOOKUP(Table1[[#This Row],[JobSatisfaction]],Table14[JobSatisfaction],Table14[Deskripsi])</calculatedColumnFormula>
    </tableColumn>
    <tableColumn id="46" xr3:uid="{02449A2F-766F-4646-A237-575A214C8124}" name="Id_MaritalStatus" dataDxfId="10">
      <calculatedColumnFormula>_xlfn.XLOOKUP(Table1[[#This Row],[MaritalStatus]],Table15[MaritalStatus],Table15[Id_MaritalStatus])</calculatedColumnFormula>
    </tableColumn>
    <tableColumn id="18" xr3:uid="{BF7FF463-B888-444F-8A0D-232BD1F77212}" name="MaritalStatus"/>
    <tableColumn id="19" xr3:uid="{0EDB201F-E184-40DC-B4C3-18D56D688BC3}" name="MonthlyIncome"/>
    <tableColumn id="20" xr3:uid="{A18C97A9-A2B6-4BA3-A020-32A968368960}" name="MonthlyRate"/>
    <tableColumn id="21" xr3:uid="{EA349963-6874-4F2B-9AB0-CA7268826E99}" name="NumCompaniesWorked"/>
    <tableColumn id="51" xr3:uid="{A3B3EC30-E476-49C3-80C3-795B5A0C01CF}" name="Id_OverTime" dataDxfId="9">
      <calculatedColumnFormula>_xlfn.XLOOKUP(Table1[[#This Row],[OverTime]],Table16[OverTime],Table16[Id_OverTime])</calculatedColumnFormula>
    </tableColumn>
    <tableColumn id="23" xr3:uid="{F577643B-8CB2-4DFB-A709-0705DE27BD2A}" name="OverTime"/>
    <tableColumn id="24" xr3:uid="{69D47ADD-A146-49B3-8683-E5980EF1B15A}" name="PercentSalaryHike"/>
    <tableColumn id="52" xr3:uid="{BD27BACC-7C55-43FB-9297-A8F2FEBBF324}" name="Id_PerformanceRating" dataDxfId="8">
      <calculatedColumnFormula>_xlfn.XLOOKUP(Table1[[#This Row],[PerformanceRating]],Table17[PerformanceRating],Table17[Id_PerformanceRating])</calculatedColumnFormula>
    </tableColumn>
    <tableColumn id="25" xr3:uid="{68548783-489D-43E9-B0AE-4D8AEF353AF3}" name="PerformanceRating"/>
    <tableColumn id="56" xr3:uid="{01F4AD0F-1C35-46C3-B21C-7832667CD234}" name="PerformanceRating_Deskripsi" dataDxfId="0">
      <calculatedColumnFormula>_xlfn.XLOOKUP(Table1[[#This Row],[PerformanceRating]],Table17[PerformanceRating],Table17[Deskripsi])</calculatedColumnFormula>
    </tableColumn>
    <tableColumn id="53" xr3:uid="{BDC0BCE0-2FDB-40AC-A677-367A8C90DAFA}" name="Id_RelationshipSatisfaction" dataDxfId="7">
      <calculatedColumnFormula>_xlfn.XLOOKUP(Table1[[#This Row],[RelationshipSatisfaction]],Table18[RelationshipSatisfaction],Table18[Id_RelationshipSatisfaction])</calculatedColumnFormula>
    </tableColumn>
    <tableColumn id="26" xr3:uid="{1E5F15F7-1FF6-4878-8956-246FA502A4C1}" name="RelationshipSatisfaction"/>
    <tableColumn id="36" xr3:uid="{5D1D40C1-29B2-4C20-AB0E-AC88DBDAE053}" name="RelationshipSatisfaction_Deskripsi" dataDxfId="3">
      <calculatedColumnFormula>_xlfn.XLOOKUP(Table1[[#This Row],[RelationshipSatisfaction]],Table18[RelationshipSatisfaction],Table18[Deskripsi])</calculatedColumnFormula>
    </tableColumn>
    <tableColumn id="54" xr3:uid="{045DD7DD-A25F-4CDC-81D9-E7BCB69DF1B8}" name="Id_StockOptionLevel" dataDxfId="6">
      <calculatedColumnFormula>_xlfn.XLOOKUP(Table1[[#This Row],[StockOptionLevel]],Table19[StockOptionLevel],Table19[Id_StockOptionLevel])</calculatedColumnFormula>
    </tableColumn>
    <tableColumn id="28" xr3:uid="{AF94B1ED-C560-4921-8FC7-52286E0086BA}" name="StockOptionLevel"/>
    <tableColumn id="43" xr3:uid="{780AA421-9DBD-40F8-B7F8-ECBD545286C2}" name="StockOptionLevel_Deskripsi" dataDxfId="2">
      <calculatedColumnFormula>_xlfn.XLOOKUP(Table1[[#This Row],[StockOptionLevel]],Table19[StockOptionLevel],Table19[Deskripsi])</calculatedColumnFormula>
    </tableColumn>
    <tableColumn id="29" xr3:uid="{79B867E3-F5A9-40BA-A53D-4960A7E4C1AB}" name="TotalWorkingYears"/>
    <tableColumn id="30" xr3:uid="{E0709231-83EE-477D-BB5B-671DD2AA6E16}" name="TrainingTimesLastYear"/>
    <tableColumn id="55" xr3:uid="{B63EB4A0-2C5E-41EE-98B2-9A95173C103B}" name="Id_WorkLifeBalance" dataDxfId="5">
      <calculatedColumnFormula>_xlfn.XLOOKUP(Table1[[#This Row],[WorkLifeBalance]],Table20[WorkLifeBalance],Table20[Id_WorkLifeBalance])</calculatedColumnFormula>
    </tableColumn>
    <tableColumn id="31" xr3:uid="{5A6F1496-7431-4DD1-9F51-8E7F69A8BF5B}" name="WorkLifeBalance"/>
    <tableColumn id="22" xr3:uid="{0666AD77-9F9C-4F6B-9082-B546BFE9E284}" name="WorkLifeBalance_Deskripsi" dataDxfId="4">
      <calculatedColumnFormula>_xlfn.XLOOKUP(Table1[[#This Row],[WorkLifeBalance]],Table20[WorkLifeBalance],Table20[Deskripsi])</calculatedColumnFormula>
    </tableColumn>
    <tableColumn id="32" xr3:uid="{F29ADFF9-BE3A-49FA-B5FA-8A7AC53B0B73}" name="YearsAtCompany"/>
    <tableColumn id="33" xr3:uid="{37D4C21B-10A0-4631-9DFF-00D8CCC54904}" name="YearsInCurrentRole"/>
    <tableColumn id="34" xr3:uid="{520112F6-B437-4733-BDF7-B7F2FDA2E565}" name="YearsSinceLastPromotion"/>
    <tableColumn id="35" xr3:uid="{B8BD6922-6AEC-4D6E-9780-71B3A0166C63}" name="YearsWithCurrManag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6E9A78-62BF-4944-945A-2926D0653F9C}" name="Table21" displayName="Table21" ref="A1:AF1471" totalsRowShown="0">
  <autoFilter ref="A1:AF1471" xr:uid="{006E9A78-62BF-4944-945A-2926D0653F9C}"/>
  <tableColumns count="32">
    <tableColumn id="1" xr3:uid="{41A95F6E-AD02-44C0-96C6-CE742332DA4A}" name="Id_Employee"/>
    <tableColumn id="2" xr3:uid="{FA68871D-DE21-40DD-909F-EE3D35759C63}" name="Age"/>
    <tableColumn id="3" xr3:uid="{FF77151C-9E30-495D-8589-5170A60919DD}" name="DailyRate"/>
    <tableColumn id="4" xr3:uid="{F7E4ED05-0BBA-4B26-A541-F183545C5ECB}" name="DistanceFromHome"/>
    <tableColumn id="6" xr3:uid="{D5E069CE-B166-4CA0-9D05-2EB2788004A5}" name="HourlyRate"/>
    <tableColumn id="7" xr3:uid="{44265E57-F0DC-4F80-8359-512B6E4461F0}" name="MonthlyIncome"/>
    <tableColumn id="8" xr3:uid="{7646787F-1688-4836-8892-7A34B258B238}" name="MonthlyRate"/>
    <tableColumn id="9" xr3:uid="{7193EAD3-A7FE-47D1-B674-FEF87B00F0B4}" name="NumCompaniesWorked"/>
    <tableColumn id="10" xr3:uid="{E79EE6FC-28B7-4059-BBE1-6B9F1607A45C}" name="PercentSalaryHike"/>
    <tableColumn id="11" xr3:uid="{812D68CE-EDC0-4CBF-B707-D153764DFBF8}" name="TotalWorkingYears"/>
    <tableColumn id="12" xr3:uid="{734FCD3E-1E2D-4504-9E0D-9900424E746B}" name="TrainingTimesLastYear"/>
    <tableColumn id="13" xr3:uid="{320A2914-0F3D-4BD9-AA24-FD9A4B72074F}" name="YearsAtCompany"/>
    <tableColumn id="14" xr3:uid="{AAA0CFAD-B9E1-44F2-8DD6-C30572AAC7EB}" name="YearsInCurrentRole"/>
    <tableColumn id="15" xr3:uid="{CCC19151-F44D-49AC-88F9-2CD870A55EB7}" name="YearsSinceLastPromotion"/>
    <tableColumn id="16" xr3:uid="{85956F04-A128-434A-9E86-6FDA5ADD6F4E}" name="YearsWithCurrManager"/>
    <tableColumn id="18" xr3:uid="{A031FBAC-D21C-4F66-BDA0-A2BE5B9293B6}" name="Id_Attrition"/>
    <tableColumn id="19" xr3:uid="{0D5EB58D-C1FB-4133-849A-C2BF30022FDE}" name="Id_BusinessTravel"/>
    <tableColumn id="20" xr3:uid="{A9948204-C9CB-452F-9970-C2896B735ACA}" name="Id_Departement"/>
    <tableColumn id="21" xr3:uid="{6D6F32D0-0611-4228-8FC1-45A3D4B58ECA}" name="Id_Education"/>
    <tableColumn id="22" xr3:uid="{DA022755-947A-4CB3-A901-AEB03F8387AE}" name="Id_EducationField"/>
    <tableColumn id="23" xr3:uid="{46AE8111-22A2-4F0A-927E-2AAEF29916B0}" name="Id_EnviromentSatisfaction"/>
    <tableColumn id="24" xr3:uid="{A407E41C-0113-4ECC-A4D9-915293688408}" name="Id_Gender"/>
    <tableColumn id="25" xr3:uid="{D8F12021-90FF-422A-9DF5-5630D0F90B1C}" name="Id_JobInvolvement"/>
    <tableColumn id="26" xr3:uid="{24FE3713-BC59-4020-A12C-1D23EEAADD3A}" name="Id_JobLevel"/>
    <tableColumn id="27" xr3:uid="{03016C61-68B7-40F1-A8FD-919E76EA6783}" name="Id_JobRole"/>
    <tableColumn id="28" xr3:uid="{521D13C9-D89C-45D8-9DBE-6EDCB576B036}" name="Id_JobSatisfaction"/>
    <tableColumn id="29" xr3:uid="{2CAE3FD1-87C7-45FD-9073-BA343F83F3B9}" name="Id_MaritalStatus"/>
    <tableColumn id="30" xr3:uid="{CCDA75D6-A85A-4E33-BE3E-2E12E8B3145C}" name="Id_OverTime"/>
    <tableColumn id="31" xr3:uid="{C9DC1642-EAE4-4D6C-A7E3-5172E116E032}" name="Id_PerformanceRating"/>
    <tableColumn id="32" xr3:uid="{8253A5D8-D0D3-4812-904D-D503BA3CD5A0}" name="Id_RelationshipSatisfaction"/>
    <tableColumn id="33" xr3:uid="{F0B91E6C-4094-4A33-A4D1-440AE81DD08D}" name="Id_StockOptionLevel"/>
    <tableColumn id="34" xr3:uid="{664B73E3-E21F-4740-A24C-F564EF9E800C}" name="Id_WorkLifeBala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2A5709-7744-4CA3-A4E7-4E8EEDD3CAD7}" name="Table4" displayName="Table4" ref="A1:B1471" totalsRowShown="0">
  <autoFilter ref="A1:B1471" xr:uid="{A22A5709-7744-4CA3-A4E7-4E8EEDD3CAD7}"/>
  <tableColumns count="2">
    <tableColumn id="1" xr3:uid="{1397BEAC-AE64-4E9B-8DC0-FD800DC15722}" name="Id_Employee"/>
    <tableColumn id="2" xr3:uid="{5ABCEA5B-BD29-4A09-A497-95201AD26FE3}" name="EmployeeNumb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A9B5AE-D848-4EB4-B6DA-C831601B33B4}" name="Table2" displayName="Table2" ref="A1:B3" totalsRowShown="0">
  <autoFilter ref="A1:B3" xr:uid="{97A9B5AE-D848-4EB4-B6DA-C831601B33B4}"/>
  <tableColumns count="2">
    <tableColumn id="1" xr3:uid="{71A46754-AC98-4165-91B3-474681B54350}" name="Id_Attrition"/>
    <tableColumn id="2" xr3:uid="{AC7BA14A-4E3E-4407-A87C-BBCC1386018A}" name="Attri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DB31A6-5E2E-4F00-AD8D-2FBC1961F61E}" name="Table5" displayName="Table5" ref="A1:B4" totalsRowShown="0">
  <autoFilter ref="A1:B4" xr:uid="{D8DB31A6-5E2E-4F00-AD8D-2FBC1961F61E}"/>
  <tableColumns count="2">
    <tableColumn id="1" xr3:uid="{7BB0E65B-39B6-434C-BC53-BB8432602D88}" name="Id_BusinessTravel"/>
    <tableColumn id="2" xr3:uid="{EEC6BF41-0494-4BBD-ACD0-56591BAEEDCF}" name="BusinessTrave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55FD06-AED7-4961-88EE-4DAC92B2F1C0}" name="Table6" displayName="Table6" ref="A1:B4" totalsRowShown="0">
  <autoFilter ref="A1:B4" xr:uid="{D155FD06-AED7-4961-88EE-4DAC92B2F1C0}"/>
  <tableColumns count="2">
    <tableColumn id="1" xr3:uid="{B2E436F8-C72D-43C9-9D64-59F6C5C11B21}" name="Id_Departement"/>
    <tableColumn id="2" xr3:uid="{771AD86C-6618-4DF7-B314-F32D9370CAC4}" name="Departme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C89887-A137-42CC-9CD9-FEED4DA1EF73}" name="Table8" displayName="Table8" ref="A1:C6" totalsRowShown="0">
  <autoFilter ref="A1:C6" xr:uid="{34C89887-A137-42CC-9CD9-FEED4DA1EF73}"/>
  <tableColumns count="3">
    <tableColumn id="1" xr3:uid="{7F724278-84CB-4D0E-A1AE-1959EAA23EB7}" name="Id_Education"/>
    <tableColumn id="2" xr3:uid="{902ABDA1-D2F5-4E38-A4DC-03E8D38CDB6D}" name="Education"/>
    <tableColumn id="3" xr3:uid="{1158C97F-FC24-4A0E-83DD-85734271E9AF}" name="Deskripsi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278824-917E-4F94-942F-F129EF780F1F}" name="Table7" displayName="Table7" ref="A1:B7" totalsRowShown="0">
  <autoFilter ref="A1:B7" xr:uid="{A5278824-917E-4F94-942F-F129EF780F1F}"/>
  <tableColumns count="2">
    <tableColumn id="1" xr3:uid="{44F08CEC-921E-4C36-84D8-4C4605BFD2D2}" name="Id_EducationField"/>
    <tableColumn id="2" xr3:uid="{AFE30B13-8C8B-4B49-B600-174C10A0DED3}" name="EducationFiel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1441FD-5EFC-42F8-BD01-3AB3C18DA3E2}" name="Table9" displayName="Table9" ref="A1:C5" totalsRowShown="0">
  <autoFilter ref="A1:C5" xr:uid="{971441FD-5EFC-42F8-BD01-3AB3C18DA3E2}"/>
  <tableColumns count="3">
    <tableColumn id="1" xr3:uid="{87723EBA-41BF-4FE1-97E0-96BEC615B795}" name="Id_EnviromentSatisfaction"/>
    <tableColumn id="2" xr3:uid="{E1EE8E06-D122-4F1D-A7E7-73DFAF004066}" name="EnvironmentSatisfaction"/>
    <tableColumn id="3" xr3:uid="{00CE019A-5511-4FCF-A404-CC9DCFCC1894}" name="Deskripsi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28303F-7CE8-4481-BB11-6406DA212475}" name="Table10" displayName="Table10" ref="A1:B3" totalsRowShown="0">
  <autoFilter ref="A1:B3" xr:uid="{3B28303F-7CE8-4481-BB11-6406DA212475}"/>
  <tableColumns count="2">
    <tableColumn id="1" xr3:uid="{51A9755A-2F3A-4074-8609-3205B39E30E7}" name="Id_Gender"/>
    <tableColumn id="2" xr3:uid="{5A8FF0BE-C0B4-4AEB-ACA0-81F1F49B4461}" name="Gende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24A730-3004-4309-8CEA-5F5DE6EEFA84}" name="Table11" displayName="Table11" ref="A1:C5" totalsRowShown="0">
  <autoFilter ref="A1:C5" xr:uid="{C424A730-3004-4309-8CEA-5F5DE6EEFA84}"/>
  <tableColumns count="3">
    <tableColumn id="1" xr3:uid="{19F21DF5-967C-4166-BC33-BFF227224992}" name="Id_JobInvolvement"/>
    <tableColumn id="2" xr3:uid="{A90864EF-CCC5-4765-A05D-B57DE9C269F0}" name="JobInvolvement"/>
    <tableColumn id="3" xr3:uid="{360F6FD7-1B40-40E2-A34C-46AF9F5FEF7B}" name="Deskripsi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1242422-BFAF-45DB-B929-AFEA19BFC2F8}" name="Table12" displayName="Table12" ref="A1:B6" totalsRowShown="0">
  <autoFilter ref="A1:B6" xr:uid="{31242422-BFAF-45DB-B929-AFEA19BFC2F8}"/>
  <tableColumns count="2">
    <tableColumn id="1" xr3:uid="{C2010EBD-3DD0-49AB-B6DB-F9F848E18D4D}" name="Id_JobLevel"/>
    <tableColumn id="2" xr3:uid="{86C95C69-A544-45DB-A8CB-AB6A566650A6}" name="JobLevel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C3D17C4-B12E-4662-913D-712421730CCE}" name="Table13" displayName="Table13" ref="A1:B10" totalsRowShown="0">
  <autoFilter ref="A1:B10" xr:uid="{EC3D17C4-B12E-4662-913D-712421730CCE}"/>
  <tableColumns count="2">
    <tableColumn id="1" xr3:uid="{4C39D7DC-5941-4484-8D90-B94DC4EA5DAC}" name="Id_JobRole"/>
    <tableColumn id="2" xr3:uid="{778BE20B-DB15-4AD5-86FB-F8DD1D38A298}" name="JobRol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9BDDD15-C889-47DA-95FA-7A8EEA01D14C}" name="Table14" displayName="Table14" ref="A1:C5" totalsRowShown="0">
  <autoFilter ref="A1:C5" xr:uid="{B9BDDD15-C889-47DA-95FA-7A8EEA01D14C}"/>
  <tableColumns count="3">
    <tableColumn id="1" xr3:uid="{DB58066C-04AF-40DE-B0CA-61DA26A40585}" name="Id_JobSatisfaction"/>
    <tableColumn id="2" xr3:uid="{50DC75D9-EB36-47F1-8F15-BB3F3E0D52A8}" name="JobSatisfaction"/>
    <tableColumn id="3" xr3:uid="{5DF83B21-D5DA-4EA9-A408-C4D85276977D}" name="Deskripsi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59ADDC-6EA6-40C9-ABED-06C8D4BC8C30}" name="Table15" displayName="Table15" ref="A1:B4" totalsRowShown="0">
  <autoFilter ref="A1:B4" xr:uid="{5F59ADDC-6EA6-40C9-ABED-06C8D4BC8C30}"/>
  <tableColumns count="2">
    <tableColumn id="1" xr3:uid="{3F41125F-2BE5-4C83-9616-0D727CBAE309}" name="Id_MaritalStatus"/>
    <tableColumn id="2" xr3:uid="{ECCA2DD3-E1D3-423F-A6D3-B9CA13EE8D25}" name="MaritalStatu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5748AD-95BF-443F-9892-B7F3BC23FE25}" name="Table16" displayName="Table16" ref="A1:B3" totalsRowShown="0">
  <autoFilter ref="A1:B3" xr:uid="{165748AD-95BF-443F-9892-B7F3BC23FE25}"/>
  <tableColumns count="2">
    <tableColumn id="1" xr3:uid="{E5591CD2-582D-4AD2-9FD0-105FDB540ECC}" name="Id_OverTime"/>
    <tableColumn id="2" xr3:uid="{8CDA478E-8A05-44FD-8565-C8F32B6BA98B}" name="OverTim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F6AD900-8C5C-46B6-873D-DB8D8DEF54E1}" name="Table17" displayName="Table17" ref="A1:C5" totalsRowShown="0">
  <autoFilter ref="A1:C5" xr:uid="{4F6AD900-8C5C-46B6-873D-DB8D8DEF54E1}"/>
  <tableColumns count="3">
    <tableColumn id="1" xr3:uid="{1F250CB4-7BB7-46BF-B10B-404E44B58552}" name="Id_PerformanceRating"/>
    <tableColumn id="2" xr3:uid="{CE61A551-15FA-4C93-8281-7B5D4EAC150E}" name="PerformanceRating"/>
    <tableColumn id="3" xr3:uid="{D7C20D09-8522-4B98-B5B9-3CFEBC4F8B20}" name="Deskripsi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44DAC4-1A7A-44BA-93FB-97BE6812A860}" name="Table18" displayName="Table18" ref="A1:C5" totalsRowShown="0">
  <autoFilter ref="A1:C5" xr:uid="{5244DAC4-1A7A-44BA-93FB-97BE6812A860}"/>
  <tableColumns count="3">
    <tableColumn id="1" xr3:uid="{76812906-DAEA-41A2-9B48-A84ACD809168}" name="Id_RelationshipSatisfaction"/>
    <tableColumn id="2" xr3:uid="{A02FFB89-0433-41EF-8CE8-CBA8CF064A0B}" name="RelationshipSatisfaction"/>
    <tableColumn id="3" xr3:uid="{CBA50205-728B-4A48-815E-2EBC9EBD54F6}" name="Deskripsi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9B71C31-C053-4414-9617-CC00309CC626}" name="Table19" displayName="Table19" ref="A1:C5" totalsRowShown="0">
  <autoFilter ref="A1:C5" xr:uid="{99B71C31-C053-4414-9617-CC00309CC626}"/>
  <tableColumns count="3">
    <tableColumn id="1" xr3:uid="{2C0E3CD5-04F8-4588-848F-81225AA105BB}" name="Id_StockOptionLevel"/>
    <tableColumn id="2" xr3:uid="{8313A9A9-6386-4DC7-BF26-D1AB6639E65A}" name="StockOptionLevel"/>
    <tableColumn id="3" xr3:uid="{E027144A-1DE3-407E-93F6-B5930C727506}" name="Deskripsi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E9F82D8-F119-4FE3-B721-F7B0E1AC0E0B}" name="Table20" displayName="Table20" ref="A1:C5" totalsRowShown="0">
  <autoFilter ref="A1:C5" xr:uid="{5E9F82D8-F119-4FE3-B721-F7B0E1AC0E0B}"/>
  <tableColumns count="3">
    <tableColumn id="1" xr3:uid="{CF4B034B-9075-4012-A05D-77ABA3908028}" name="Id_WorkLifeBalance"/>
    <tableColumn id="2" xr3:uid="{A6FD8D65-AC04-40EA-9D7E-5247CC664E61}" name="WorkLifeBalance"/>
    <tableColumn id="3" xr3:uid="{35854E8B-553C-492D-8512-74FC45935268}" name="Deskrips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471"/>
  <sheetViews>
    <sheetView topLeftCell="AY1" zoomScale="98" zoomScaleNormal="98" workbookViewId="0">
      <selection sqref="A1:BD1"/>
    </sheetView>
  </sheetViews>
  <sheetFormatPr defaultRowHeight="15" x14ac:dyDescent="0.25"/>
  <cols>
    <col min="3" max="3" width="10.7109375" customWidth="1"/>
    <col min="4" max="4" width="21.5703125" bestFit="1" customWidth="1"/>
    <col min="5" max="5" width="16.28515625" customWidth="1"/>
    <col min="6" max="7" width="11.5703125" customWidth="1"/>
    <col min="8" max="8" width="13.85546875" customWidth="1"/>
    <col min="9" max="10" width="20.5703125" customWidth="1"/>
    <col min="11" max="11" width="11.85546875" customWidth="1"/>
    <col min="12" max="12" width="19.28515625" bestFit="1" customWidth="1"/>
    <col min="13" max="13" width="16.28515625" customWidth="1"/>
    <col min="14" max="14" width="17.28515625" customWidth="1"/>
    <col min="15" max="16" width="19.28515625" customWidth="1"/>
    <col min="17" max="19" width="24.85546875" customWidth="1"/>
    <col min="20" max="20" width="9.85546875" customWidth="1"/>
    <col min="21" max="22" width="13" customWidth="1"/>
    <col min="23" max="24" width="17.42578125" customWidth="1"/>
    <col min="25" max="26" width="10.85546875" customWidth="1"/>
    <col min="27" max="27" width="25" bestFit="1" customWidth="1"/>
    <col min="28" max="28" width="10.140625" customWidth="1"/>
    <col min="29" max="31" width="16.42578125" customWidth="1"/>
    <col min="32" max="32" width="15" customWidth="1"/>
    <col min="33" max="33" width="17.28515625" customWidth="1"/>
    <col min="34" max="34" width="14.7109375" customWidth="1"/>
    <col min="35" max="36" width="24.42578125" customWidth="1"/>
    <col min="37" max="37" width="11.85546875" customWidth="1"/>
    <col min="38" max="39" width="19.28515625" customWidth="1"/>
    <col min="40" max="42" width="20.140625" customWidth="1"/>
    <col min="43" max="45" width="24.5703125" customWidth="1"/>
    <col min="46" max="47" width="18.7109375" customWidth="1"/>
    <col min="48" max="48" width="20" customWidth="1"/>
    <col min="49" max="50" width="23" customWidth="1"/>
    <col min="51" max="52" width="18.140625" customWidth="1"/>
    <col min="53" max="53" width="18.28515625" customWidth="1"/>
    <col min="54" max="54" width="20.42578125" customWidth="1"/>
    <col min="55" max="55" width="25.5703125" customWidth="1"/>
    <col min="56" max="56" width="24" customWidth="1"/>
  </cols>
  <sheetData>
    <row r="1" spans="1:56" x14ac:dyDescent="0.25">
      <c r="A1" s="1" t="s">
        <v>0</v>
      </c>
      <c r="B1" s="1" t="s">
        <v>1629</v>
      </c>
      <c r="C1" s="1" t="s">
        <v>1</v>
      </c>
      <c r="D1" s="1" t="s">
        <v>58</v>
      </c>
      <c r="E1" s="1" t="s">
        <v>2</v>
      </c>
      <c r="F1" s="1" t="s">
        <v>3</v>
      </c>
      <c r="G1" s="1" t="s">
        <v>1530</v>
      </c>
      <c r="H1" s="1" t="s">
        <v>4</v>
      </c>
      <c r="I1" s="1" t="s">
        <v>5</v>
      </c>
      <c r="J1" s="1" t="s">
        <v>1531</v>
      </c>
      <c r="K1" s="1" t="s">
        <v>6</v>
      </c>
      <c r="L1" t="s">
        <v>1537</v>
      </c>
      <c r="M1" s="1" t="s">
        <v>7</v>
      </c>
      <c r="N1" s="1" t="s">
        <v>1529</v>
      </c>
      <c r="O1" s="1" t="s">
        <v>8</v>
      </c>
      <c r="P1" t="s">
        <v>1544</v>
      </c>
      <c r="Q1" s="1" t="s">
        <v>9</v>
      </c>
      <c r="R1" s="1" t="s">
        <v>1636</v>
      </c>
      <c r="S1" t="s">
        <v>1557</v>
      </c>
      <c r="T1" s="1" t="s">
        <v>10</v>
      </c>
      <c r="U1" s="1" t="s">
        <v>11</v>
      </c>
      <c r="V1" t="s">
        <v>1560</v>
      </c>
      <c r="W1" s="1" t="s">
        <v>12</v>
      </c>
      <c r="X1" t="s">
        <v>1574</v>
      </c>
      <c r="Y1" s="1" t="s">
        <v>13</v>
      </c>
      <c r="Z1" t="s">
        <v>1580</v>
      </c>
      <c r="AA1" s="1" t="s">
        <v>14</v>
      </c>
      <c r="AB1" t="s">
        <v>1590</v>
      </c>
      <c r="AC1" s="1" t="s">
        <v>15</v>
      </c>
      <c r="AD1" s="5" t="s">
        <v>1634</v>
      </c>
      <c r="AE1" t="s">
        <v>1595</v>
      </c>
      <c r="AF1" s="1" t="s">
        <v>16</v>
      </c>
      <c r="AG1" s="1" t="s">
        <v>17</v>
      </c>
      <c r="AH1" s="1" t="s">
        <v>18</v>
      </c>
      <c r="AI1" s="1" t="s">
        <v>19</v>
      </c>
      <c r="AJ1" t="s">
        <v>1599</v>
      </c>
      <c r="AK1" s="1" t="s">
        <v>20</v>
      </c>
      <c r="AL1" s="1" t="s">
        <v>21</v>
      </c>
      <c r="AM1" t="s">
        <v>1602</v>
      </c>
      <c r="AN1" s="1" t="s">
        <v>22</v>
      </c>
      <c r="AO1" s="1" t="s">
        <v>1639</v>
      </c>
      <c r="AP1" t="s">
        <v>1603</v>
      </c>
      <c r="AQ1" s="1" t="s">
        <v>23</v>
      </c>
      <c r="AR1" s="1" t="s">
        <v>1637</v>
      </c>
      <c r="AS1" s="1" t="s">
        <v>1615</v>
      </c>
      <c r="AT1" s="1" t="s">
        <v>24</v>
      </c>
      <c r="AU1" s="1" t="s">
        <v>1638</v>
      </c>
      <c r="AV1" s="1" t="s">
        <v>25</v>
      </c>
      <c r="AW1" s="1" t="s">
        <v>26</v>
      </c>
      <c r="AX1" t="s">
        <v>1624</v>
      </c>
      <c r="AY1" s="1" t="s">
        <v>27</v>
      </c>
      <c r="AZ1" s="1" t="s">
        <v>1635</v>
      </c>
      <c r="BA1" s="1" t="s">
        <v>28</v>
      </c>
      <c r="BB1" s="1" t="s">
        <v>29</v>
      </c>
      <c r="BC1" s="1" t="s">
        <v>30</v>
      </c>
      <c r="BD1" s="1" t="s">
        <v>31</v>
      </c>
    </row>
    <row r="2" spans="1:56" x14ac:dyDescent="0.25">
      <c r="A2">
        <v>41</v>
      </c>
      <c r="B2" t="str">
        <f>_xlfn.XLOOKUP(Table1[[#This Row],[Attrition]],Table2[Attrition],Table2[Id_Attrition])</f>
        <v>A001</v>
      </c>
      <c r="C2" t="s">
        <v>32</v>
      </c>
      <c r="D2" t="str">
        <f>_xlfn.XLOOKUP(Table1[[#This Row],[BusinessTravel]],Table5[BusinessTravel],Table5[Id_BusinessTravel])</f>
        <v>BS001</v>
      </c>
      <c r="E2" t="s">
        <v>34</v>
      </c>
      <c r="F2">
        <v>1102</v>
      </c>
      <c r="G2" t="str">
        <f>_xlfn.XLOOKUP(Table1[[#This Row],[Department]],Table6[Department],Table6[Id_Departement])</f>
        <v>D001</v>
      </c>
      <c r="H2" t="s">
        <v>37</v>
      </c>
      <c r="I2">
        <v>1</v>
      </c>
      <c r="J2" t="str">
        <f>_xlfn.XLOOKUP(Table1[[#This Row],[Education]],Table8[Education],Table8[Id_Education])</f>
        <v>E002</v>
      </c>
      <c r="K2">
        <v>2</v>
      </c>
      <c r="L2" t="str">
        <f>_xlfn.XLOOKUP(Table1[[#This Row],[EducationField]],Table7[EducationField],Table7[Id_EducationField])</f>
        <v>EF001</v>
      </c>
      <c r="M2" t="s">
        <v>40</v>
      </c>
      <c r="N2" t="str">
        <f>_xlfn.XLOOKUP(Table1[[#This Row],[EmployeeNumber]],Table4[EmployeeNumber],Table4[Id_Employee])</f>
        <v>EMP00001</v>
      </c>
      <c r="O2">
        <v>1</v>
      </c>
      <c r="P2" t="str">
        <f>_xlfn.XLOOKUP(Table1[[#This Row],[EnvironmentSatisfaction]],Table9[EnvironmentSatisfaction],Table9[Id_EnviromentSatisfaction])</f>
        <v>ES002</v>
      </c>
      <c r="Q2">
        <v>2</v>
      </c>
      <c r="R2" t="str">
        <f>_xlfn.XLOOKUP(Table1[[#This Row],[EnvironmentSatisfaction]],Table9[EnvironmentSatisfaction],Table9[Deskripsi])</f>
        <v>Medium</v>
      </c>
      <c r="S2" t="str">
        <f>_xlfn.XLOOKUP(Table1[[#This Row],[Gender]],Table10[Gender],Table10[Id_Gender])</f>
        <v>G001</v>
      </c>
      <c r="T2" t="s">
        <v>45</v>
      </c>
      <c r="U2">
        <v>94</v>
      </c>
      <c r="V2" t="str">
        <f>_xlfn.XLOOKUP(Table1[[#This Row],[JobInvolvement]],Table11[JobInvolvement],Table11[Id_JobInvolvement])</f>
        <v>JI003</v>
      </c>
      <c r="W2">
        <v>3</v>
      </c>
      <c r="X2" t="str">
        <f>_xlfn.XLOOKUP(Table1[[#This Row],[JobLevel]],Table12[JobLevel],Table12[Id_JobLevel])</f>
        <v>JL002</v>
      </c>
      <c r="Y2">
        <v>2</v>
      </c>
      <c r="Z2" t="str">
        <f>_xlfn.XLOOKUP(Table1[[#This Row],[JobRole]],Table13[JobRole],Table13[Id_JobRole])</f>
        <v>JR001</v>
      </c>
      <c r="AA2" t="s">
        <v>47</v>
      </c>
      <c r="AB2" t="str">
        <f>_xlfn.XLOOKUP(Table1[[#This Row],[JobSatisfaction]],Table14[JobSatisfaction],Table14[Id_JobSatisfaction])</f>
        <v>JS004</v>
      </c>
      <c r="AC2">
        <v>4</v>
      </c>
      <c r="AD2" t="str">
        <f>_xlfn.XLOOKUP(Table1[[#This Row],[JobSatisfaction]],Table14[JobSatisfaction],Table14[Deskripsi])</f>
        <v>Very High</v>
      </c>
      <c r="AE2" t="str">
        <f>_xlfn.XLOOKUP(Table1[[#This Row],[MaritalStatus]],Table15[MaritalStatus],Table15[Id_MaritalStatus])</f>
        <v>MS001</v>
      </c>
      <c r="AF2" t="s">
        <v>55</v>
      </c>
      <c r="AG2">
        <v>5993</v>
      </c>
      <c r="AH2">
        <v>19479</v>
      </c>
      <c r="AI2">
        <v>8</v>
      </c>
      <c r="AJ2" t="str">
        <f>_xlfn.XLOOKUP(Table1[[#This Row],[OverTime]],Table16[OverTime],Table16[Id_OverTime])</f>
        <v>OT001</v>
      </c>
      <c r="AK2" t="s">
        <v>32</v>
      </c>
      <c r="AL2">
        <v>11</v>
      </c>
      <c r="AM2" t="str">
        <f>_xlfn.XLOOKUP(Table1[[#This Row],[PerformanceRating]],Table17[PerformanceRating],Table17[Id_PerformanceRating])</f>
        <v>PR003</v>
      </c>
      <c r="AN2">
        <v>3</v>
      </c>
      <c r="AO2" t="str">
        <f>_xlfn.XLOOKUP(Table1[[#This Row],[PerformanceRating]],Table17[PerformanceRating],Table17[Deskripsi])</f>
        <v>Excellent</v>
      </c>
      <c r="AP2" t="str">
        <f>_xlfn.XLOOKUP(Table1[[#This Row],[RelationshipSatisfaction]],Table18[RelationshipSatisfaction],Table18[Id_RelationshipSatisfaction])</f>
        <v>RS001</v>
      </c>
      <c r="AQ2">
        <v>1</v>
      </c>
      <c r="AR2" t="str">
        <f>_xlfn.XLOOKUP(Table1[[#This Row],[RelationshipSatisfaction]],Table18[RelationshipSatisfaction],Table18[Deskripsi])</f>
        <v>Low</v>
      </c>
      <c r="AS2" t="str">
        <f>_xlfn.XLOOKUP(Table1[[#This Row],[StockOptionLevel]],Table19[StockOptionLevel],Table19[Id_StockOptionLevel])</f>
        <v>SOL001</v>
      </c>
      <c r="AT2">
        <v>0</v>
      </c>
      <c r="AU2" t="str">
        <f>_xlfn.XLOOKUP(Table1[[#This Row],[StockOptionLevel]],Table19[StockOptionLevel],Table19[Deskripsi])</f>
        <v>Non-Eligible</v>
      </c>
      <c r="AV2">
        <v>8</v>
      </c>
      <c r="AW2">
        <v>0</v>
      </c>
      <c r="AX2" t="str">
        <f>_xlfn.XLOOKUP(Table1[[#This Row],[WorkLifeBalance]],Table20[WorkLifeBalance],Table20[Id_WorkLifeBalance])</f>
        <v>WLB001</v>
      </c>
      <c r="AY2">
        <v>1</v>
      </c>
      <c r="AZ2" t="str">
        <f>_xlfn.XLOOKUP(Table1[[#This Row],[WorkLifeBalance]],Table20[WorkLifeBalance],Table20[Deskripsi])</f>
        <v>Bad</v>
      </c>
      <c r="BA2">
        <v>6</v>
      </c>
      <c r="BB2">
        <v>4</v>
      </c>
      <c r="BC2">
        <v>0</v>
      </c>
      <c r="BD2">
        <v>5</v>
      </c>
    </row>
    <row r="3" spans="1:56" x14ac:dyDescent="0.25">
      <c r="A3">
        <v>49</v>
      </c>
      <c r="B3" t="str">
        <f>_xlfn.XLOOKUP(Table1[[#This Row],[Attrition]],Table2[Attrition],Table2[Id_Attrition])</f>
        <v>A002</v>
      </c>
      <c r="C3" t="s">
        <v>33</v>
      </c>
      <c r="D3" t="str">
        <f>_xlfn.XLOOKUP(Table1[[#This Row],[BusinessTravel]],Table5[BusinessTravel],Table5[Id_BusinessTravel])</f>
        <v>BS002</v>
      </c>
      <c r="E3" t="s">
        <v>35</v>
      </c>
      <c r="F3">
        <v>279</v>
      </c>
      <c r="G3" t="str">
        <f>_xlfn.XLOOKUP(Table1[[#This Row],[Department]],Table6[Department],Table6[Id_Departement])</f>
        <v>D002</v>
      </c>
      <c r="H3" t="s">
        <v>38</v>
      </c>
      <c r="I3">
        <v>8</v>
      </c>
      <c r="J3" t="str">
        <f>_xlfn.XLOOKUP(Table1[[#This Row],[Education]],Table8[Education],Table8[Id_Education])</f>
        <v>E001</v>
      </c>
      <c r="K3">
        <v>1</v>
      </c>
      <c r="L3" t="str">
        <f>_xlfn.XLOOKUP(Table1[[#This Row],[EducationField]],Table7[EducationField],Table7[Id_EducationField])</f>
        <v>EF001</v>
      </c>
      <c r="M3" t="s">
        <v>40</v>
      </c>
      <c r="N3" t="str">
        <f>_xlfn.XLOOKUP(Table1[[#This Row],[EmployeeNumber]],Table4[EmployeeNumber],Table4[Id_Employee])</f>
        <v>EMP00002</v>
      </c>
      <c r="O3">
        <v>2</v>
      </c>
      <c r="P3" t="str">
        <f>_xlfn.XLOOKUP(Table1[[#This Row],[EnvironmentSatisfaction]],Table9[EnvironmentSatisfaction],Table9[Id_EnviromentSatisfaction])</f>
        <v>ES003</v>
      </c>
      <c r="Q3">
        <v>3</v>
      </c>
      <c r="R3" t="str">
        <f>_xlfn.XLOOKUP(Table1[[#This Row],[EnvironmentSatisfaction]],Table9[EnvironmentSatisfaction],Table9[Deskripsi])</f>
        <v>High</v>
      </c>
      <c r="S3" t="str">
        <f>_xlfn.XLOOKUP(Table1[[#This Row],[Gender]],Table10[Gender],Table10[Id_Gender])</f>
        <v>G002</v>
      </c>
      <c r="T3" t="s">
        <v>46</v>
      </c>
      <c r="U3">
        <v>61</v>
      </c>
      <c r="V3" t="str">
        <f>_xlfn.XLOOKUP(Table1[[#This Row],[JobInvolvement]],Table11[JobInvolvement],Table11[Id_JobInvolvement])</f>
        <v>JI002</v>
      </c>
      <c r="W3">
        <v>2</v>
      </c>
      <c r="X3" t="str">
        <f>_xlfn.XLOOKUP(Table1[[#This Row],[JobLevel]],Table12[JobLevel],Table12[Id_JobLevel])</f>
        <v>JL002</v>
      </c>
      <c r="Y3">
        <v>2</v>
      </c>
      <c r="Z3" t="str">
        <f>_xlfn.XLOOKUP(Table1[[#This Row],[JobRole]],Table13[JobRole],Table13[Id_JobRole])</f>
        <v>JR002</v>
      </c>
      <c r="AA3" t="s">
        <v>48</v>
      </c>
      <c r="AB3" t="str">
        <f>_xlfn.XLOOKUP(Table1[[#This Row],[JobSatisfaction]],Table14[JobSatisfaction],Table14[Id_JobSatisfaction])</f>
        <v>JS002</v>
      </c>
      <c r="AC3">
        <v>2</v>
      </c>
      <c r="AD3" t="str">
        <f>_xlfn.XLOOKUP(Table1[[#This Row],[JobSatisfaction]],Table14[JobSatisfaction],Table14[Deskripsi])</f>
        <v>Medium</v>
      </c>
      <c r="AE3" t="str">
        <f>_xlfn.XLOOKUP(Table1[[#This Row],[MaritalStatus]],Table15[MaritalStatus],Table15[Id_MaritalStatus])</f>
        <v>MS002</v>
      </c>
      <c r="AF3" t="s">
        <v>56</v>
      </c>
      <c r="AG3">
        <v>5130</v>
      </c>
      <c r="AH3">
        <v>24907</v>
      </c>
      <c r="AI3">
        <v>1</v>
      </c>
      <c r="AJ3" t="str">
        <f>_xlfn.XLOOKUP(Table1[[#This Row],[OverTime]],Table16[OverTime],Table16[Id_OverTime])</f>
        <v>OT002</v>
      </c>
      <c r="AK3" t="s">
        <v>33</v>
      </c>
      <c r="AL3">
        <v>23</v>
      </c>
      <c r="AM3" t="str">
        <f>_xlfn.XLOOKUP(Table1[[#This Row],[PerformanceRating]],Table17[PerformanceRating],Table17[Id_PerformanceRating])</f>
        <v>PR004</v>
      </c>
      <c r="AN3">
        <v>4</v>
      </c>
      <c r="AO3" t="str">
        <f>_xlfn.XLOOKUP(Table1[[#This Row],[PerformanceRating]],Table17[PerformanceRating],Table17[Deskripsi])</f>
        <v>Outstanding</v>
      </c>
      <c r="AP3" t="str">
        <f>_xlfn.XLOOKUP(Table1[[#This Row],[RelationshipSatisfaction]],Table18[RelationshipSatisfaction],Table18[Id_RelationshipSatisfaction])</f>
        <v>RS004</v>
      </c>
      <c r="AQ3">
        <v>4</v>
      </c>
      <c r="AR3" t="str">
        <f>_xlfn.XLOOKUP(Table1[[#This Row],[RelationshipSatisfaction]],Table18[RelationshipSatisfaction],Table18[Deskripsi])</f>
        <v>Very High</v>
      </c>
      <c r="AS3" t="str">
        <f>_xlfn.XLOOKUP(Table1[[#This Row],[StockOptionLevel]],Table19[StockOptionLevel],Table19[Id_StockOptionLevel])</f>
        <v>SOL002</v>
      </c>
      <c r="AT3">
        <v>1</v>
      </c>
      <c r="AU3" t="str">
        <f>_xlfn.XLOOKUP(Table1[[#This Row],[StockOptionLevel]],Table19[StockOptionLevel],Table19[Deskripsi])</f>
        <v>Standard</v>
      </c>
      <c r="AV3">
        <v>10</v>
      </c>
      <c r="AW3">
        <v>3</v>
      </c>
      <c r="AX3" t="str">
        <f>_xlfn.XLOOKUP(Table1[[#This Row],[WorkLifeBalance]],Table20[WorkLifeBalance],Table20[Id_WorkLifeBalance])</f>
        <v>WLB002</v>
      </c>
      <c r="AY3">
        <v>3</v>
      </c>
      <c r="AZ3" t="str">
        <f>_xlfn.XLOOKUP(Table1[[#This Row],[WorkLifeBalance]],Table20[WorkLifeBalance],Table20[Deskripsi])</f>
        <v>Good</v>
      </c>
      <c r="BA3">
        <v>10</v>
      </c>
      <c r="BB3">
        <v>7</v>
      </c>
      <c r="BC3">
        <v>1</v>
      </c>
      <c r="BD3">
        <v>7</v>
      </c>
    </row>
    <row r="4" spans="1:56" x14ac:dyDescent="0.25">
      <c r="A4">
        <v>37</v>
      </c>
      <c r="B4" t="str">
        <f>_xlfn.XLOOKUP(Table1[[#This Row],[Attrition]],Table2[Attrition],Table2[Id_Attrition])</f>
        <v>A001</v>
      </c>
      <c r="C4" t="s">
        <v>32</v>
      </c>
      <c r="D4" t="str">
        <f>_xlfn.XLOOKUP(Table1[[#This Row],[BusinessTravel]],Table5[BusinessTravel],Table5[Id_BusinessTravel])</f>
        <v>BS001</v>
      </c>
      <c r="E4" t="s">
        <v>34</v>
      </c>
      <c r="F4">
        <v>1373</v>
      </c>
      <c r="G4" t="str">
        <f>_xlfn.XLOOKUP(Table1[[#This Row],[Department]],Table6[Department],Table6[Id_Departement])</f>
        <v>D002</v>
      </c>
      <c r="H4" t="s">
        <v>38</v>
      </c>
      <c r="I4">
        <v>2</v>
      </c>
      <c r="J4" t="str">
        <f>_xlfn.XLOOKUP(Table1[[#This Row],[Education]],Table8[Education],Table8[Id_Education])</f>
        <v>E002</v>
      </c>
      <c r="K4">
        <v>2</v>
      </c>
      <c r="L4" t="str">
        <f>_xlfn.XLOOKUP(Table1[[#This Row],[EducationField]],Table7[EducationField],Table7[Id_EducationField])</f>
        <v>EF002</v>
      </c>
      <c r="M4" t="s">
        <v>41</v>
      </c>
      <c r="N4" t="str">
        <f>_xlfn.XLOOKUP(Table1[[#This Row],[EmployeeNumber]],Table4[EmployeeNumber],Table4[Id_Employee])</f>
        <v>EMP00003</v>
      </c>
      <c r="O4">
        <v>4</v>
      </c>
      <c r="P4" t="str">
        <f>_xlfn.XLOOKUP(Table1[[#This Row],[EnvironmentSatisfaction]],Table9[EnvironmentSatisfaction],Table9[Id_EnviromentSatisfaction])</f>
        <v>ES004</v>
      </c>
      <c r="Q4">
        <v>4</v>
      </c>
      <c r="R4" t="str">
        <f>_xlfn.XLOOKUP(Table1[[#This Row],[EnvironmentSatisfaction]],Table9[EnvironmentSatisfaction],Table9[Deskripsi])</f>
        <v>Very High</v>
      </c>
      <c r="S4" t="str">
        <f>_xlfn.XLOOKUP(Table1[[#This Row],[Gender]],Table10[Gender],Table10[Id_Gender])</f>
        <v>G002</v>
      </c>
      <c r="T4" t="s">
        <v>46</v>
      </c>
      <c r="U4">
        <v>92</v>
      </c>
      <c r="V4" t="str">
        <f>_xlfn.XLOOKUP(Table1[[#This Row],[JobInvolvement]],Table11[JobInvolvement],Table11[Id_JobInvolvement])</f>
        <v>JI002</v>
      </c>
      <c r="W4">
        <v>2</v>
      </c>
      <c r="X4" t="str">
        <f>_xlfn.XLOOKUP(Table1[[#This Row],[JobLevel]],Table12[JobLevel],Table12[Id_JobLevel])</f>
        <v>JL001</v>
      </c>
      <c r="Y4">
        <v>1</v>
      </c>
      <c r="Z4" t="str">
        <f>_xlfn.XLOOKUP(Table1[[#This Row],[JobRole]],Table13[JobRole],Table13[Id_JobRole])</f>
        <v>JR003</v>
      </c>
      <c r="AA4" t="s">
        <v>49</v>
      </c>
      <c r="AB4" t="str">
        <f>_xlfn.XLOOKUP(Table1[[#This Row],[JobSatisfaction]],Table14[JobSatisfaction],Table14[Id_JobSatisfaction])</f>
        <v>JS003</v>
      </c>
      <c r="AC4">
        <v>3</v>
      </c>
      <c r="AD4" t="str">
        <f>_xlfn.XLOOKUP(Table1[[#This Row],[JobSatisfaction]],Table14[JobSatisfaction],Table14[Deskripsi])</f>
        <v>High</v>
      </c>
      <c r="AE4" t="str">
        <f>_xlfn.XLOOKUP(Table1[[#This Row],[MaritalStatus]],Table15[MaritalStatus],Table15[Id_MaritalStatus])</f>
        <v>MS001</v>
      </c>
      <c r="AF4" t="s">
        <v>55</v>
      </c>
      <c r="AG4">
        <v>2090</v>
      </c>
      <c r="AH4">
        <v>2396</v>
      </c>
      <c r="AI4">
        <v>6</v>
      </c>
      <c r="AJ4" t="str">
        <f>_xlfn.XLOOKUP(Table1[[#This Row],[OverTime]],Table16[OverTime],Table16[Id_OverTime])</f>
        <v>OT001</v>
      </c>
      <c r="AK4" t="s">
        <v>32</v>
      </c>
      <c r="AL4">
        <v>15</v>
      </c>
      <c r="AM4" t="str">
        <f>_xlfn.XLOOKUP(Table1[[#This Row],[PerformanceRating]],Table17[PerformanceRating],Table17[Id_PerformanceRating])</f>
        <v>PR003</v>
      </c>
      <c r="AN4">
        <v>3</v>
      </c>
      <c r="AO4" t="str">
        <f>_xlfn.XLOOKUP(Table1[[#This Row],[PerformanceRating]],Table17[PerformanceRating],Table17[Deskripsi])</f>
        <v>Excellent</v>
      </c>
      <c r="AP4" t="str">
        <f>_xlfn.XLOOKUP(Table1[[#This Row],[RelationshipSatisfaction]],Table18[RelationshipSatisfaction],Table18[Id_RelationshipSatisfaction])</f>
        <v>RS002</v>
      </c>
      <c r="AQ4">
        <v>2</v>
      </c>
      <c r="AR4" t="str">
        <f>_xlfn.XLOOKUP(Table1[[#This Row],[RelationshipSatisfaction]],Table18[RelationshipSatisfaction],Table18[Deskripsi])</f>
        <v>Medium</v>
      </c>
      <c r="AS4" t="str">
        <f>_xlfn.XLOOKUP(Table1[[#This Row],[StockOptionLevel]],Table19[StockOptionLevel],Table19[Id_StockOptionLevel])</f>
        <v>SOL001</v>
      </c>
      <c r="AT4">
        <v>0</v>
      </c>
      <c r="AU4" t="str">
        <f>_xlfn.XLOOKUP(Table1[[#This Row],[StockOptionLevel]],Table19[StockOptionLevel],Table19[Deskripsi])</f>
        <v>Non-Eligible</v>
      </c>
      <c r="AV4">
        <v>7</v>
      </c>
      <c r="AW4">
        <v>3</v>
      </c>
      <c r="AX4" t="str">
        <f>_xlfn.XLOOKUP(Table1[[#This Row],[WorkLifeBalance]],Table20[WorkLifeBalance],Table20[Id_WorkLifeBalance])</f>
        <v>WLB002</v>
      </c>
      <c r="AY4">
        <v>3</v>
      </c>
      <c r="AZ4" t="str">
        <f>_xlfn.XLOOKUP(Table1[[#This Row],[WorkLifeBalance]],Table20[WorkLifeBalance],Table20[Deskripsi])</f>
        <v>Good</v>
      </c>
      <c r="BA4">
        <v>0</v>
      </c>
      <c r="BB4">
        <v>0</v>
      </c>
      <c r="BC4">
        <v>0</v>
      </c>
      <c r="BD4">
        <v>0</v>
      </c>
    </row>
    <row r="5" spans="1:56" x14ac:dyDescent="0.25">
      <c r="A5">
        <v>33</v>
      </c>
      <c r="B5" t="str">
        <f>_xlfn.XLOOKUP(Table1[[#This Row],[Attrition]],Table2[Attrition],Table2[Id_Attrition])</f>
        <v>A002</v>
      </c>
      <c r="C5" t="s">
        <v>33</v>
      </c>
      <c r="D5" t="str">
        <f>_xlfn.XLOOKUP(Table1[[#This Row],[BusinessTravel]],Table5[BusinessTravel],Table5[Id_BusinessTravel])</f>
        <v>BS002</v>
      </c>
      <c r="E5" t="s">
        <v>35</v>
      </c>
      <c r="F5">
        <v>1392</v>
      </c>
      <c r="G5" t="str">
        <f>_xlfn.XLOOKUP(Table1[[#This Row],[Department]],Table6[Department],Table6[Id_Departement])</f>
        <v>D002</v>
      </c>
      <c r="H5" t="s">
        <v>38</v>
      </c>
      <c r="I5">
        <v>3</v>
      </c>
      <c r="J5" t="str">
        <f>_xlfn.XLOOKUP(Table1[[#This Row],[Education]],Table8[Education],Table8[Id_Education])</f>
        <v>E004</v>
      </c>
      <c r="K5">
        <v>4</v>
      </c>
      <c r="L5" t="str">
        <f>_xlfn.XLOOKUP(Table1[[#This Row],[EducationField]],Table7[EducationField],Table7[Id_EducationField])</f>
        <v>EF001</v>
      </c>
      <c r="M5" t="s">
        <v>40</v>
      </c>
      <c r="N5" t="str">
        <f>_xlfn.XLOOKUP(Table1[[#This Row],[EmployeeNumber]],Table4[EmployeeNumber],Table4[Id_Employee])</f>
        <v>EMP00004</v>
      </c>
      <c r="O5">
        <v>5</v>
      </c>
      <c r="P5" t="str">
        <f>_xlfn.XLOOKUP(Table1[[#This Row],[EnvironmentSatisfaction]],Table9[EnvironmentSatisfaction],Table9[Id_EnviromentSatisfaction])</f>
        <v>ES004</v>
      </c>
      <c r="Q5">
        <v>4</v>
      </c>
      <c r="R5" t="str">
        <f>_xlfn.XLOOKUP(Table1[[#This Row],[EnvironmentSatisfaction]],Table9[EnvironmentSatisfaction],Table9[Deskripsi])</f>
        <v>Very High</v>
      </c>
      <c r="S5" t="str">
        <f>_xlfn.XLOOKUP(Table1[[#This Row],[Gender]],Table10[Gender],Table10[Id_Gender])</f>
        <v>G001</v>
      </c>
      <c r="T5" t="s">
        <v>45</v>
      </c>
      <c r="U5">
        <v>56</v>
      </c>
      <c r="V5" t="str">
        <f>_xlfn.XLOOKUP(Table1[[#This Row],[JobInvolvement]],Table11[JobInvolvement],Table11[Id_JobInvolvement])</f>
        <v>JI003</v>
      </c>
      <c r="W5">
        <v>3</v>
      </c>
      <c r="X5" t="str">
        <f>_xlfn.XLOOKUP(Table1[[#This Row],[JobLevel]],Table12[JobLevel],Table12[Id_JobLevel])</f>
        <v>JL001</v>
      </c>
      <c r="Y5">
        <v>1</v>
      </c>
      <c r="Z5" t="str">
        <f>_xlfn.XLOOKUP(Table1[[#This Row],[JobRole]],Table13[JobRole],Table13[Id_JobRole])</f>
        <v>JR002</v>
      </c>
      <c r="AA5" t="s">
        <v>48</v>
      </c>
      <c r="AB5" t="str">
        <f>_xlfn.XLOOKUP(Table1[[#This Row],[JobSatisfaction]],Table14[JobSatisfaction],Table14[Id_JobSatisfaction])</f>
        <v>JS003</v>
      </c>
      <c r="AC5">
        <v>3</v>
      </c>
      <c r="AD5" t="str">
        <f>_xlfn.XLOOKUP(Table1[[#This Row],[JobSatisfaction]],Table14[JobSatisfaction],Table14[Deskripsi])</f>
        <v>High</v>
      </c>
      <c r="AE5" t="str">
        <f>_xlfn.XLOOKUP(Table1[[#This Row],[MaritalStatus]],Table15[MaritalStatus],Table15[Id_MaritalStatus])</f>
        <v>MS002</v>
      </c>
      <c r="AF5" t="s">
        <v>56</v>
      </c>
      <c r="AG5">
        <v>2909</v>
      </c>
      <c r="AH5">
        <v>23159</v>
      </c>
      <c r="AI5">
        <v>1</v>
      </c>
      <c r="AJ5" t="str">
        <f>_xlfn.XLOOKUP(Table1[[#This Row],[OverTime]],Table16[OverTime],Table16[Id_OverTime])</f>
        <v>OT001</v>
      </c>
      <c r="AK5" t="s">
        <v>32</v>
      </c>
      <c r="AL5">
        <v>11</v>
      </c>
      <c r="AM5" t="str">
        <f>_xlfn.XLOOKUP(Table1[[#This Row],[PerformanceRating]],Table17[PerformanceRating],Table17[Id_PerformanceRating])</f>
        <v>PR003</v>
      </c>
      <c r="AN5">
        <v>3</v>
      </c>
      <c r="AO5" t="str">
        <f>_xlfn.XLOOKUP(Table1[[#This Row],[PerformanceRating]],Table17[PerformanceRating],Table17[Deskripsi])</f>
        <v>Excellent</v>
      </c>
      <c r="AP5" t="str">
        <f>_xlfn.XLOOKUP(Table1[[#This Row],[RelationshipSatisfaction]],Table18[RelationshipSatisfaction],Table18[Id_RelationshipSatisfaction])</f>
        <v>RS003</v>
      </c>
      <c r="AQ5">
        <v>3</v>
      </c>
      <c r="AR5" t="str">
        <f>_xlfn.XLOOKUP(Table1[[#This Row],[RelationshipSatisfaction]],Table18[RelationshipSatisfaction],Table18[Deskripsi])</f>
        <v>High</v>
      </c>
      <c r="AS5" t="str">
        <f>_xlfn.XLOOKUP(Table1[[#This Row],[StockOptionLevel]],Table19[StockOptionLevel],Table19[Id_StockOptionLevel])</f>
        <v>SOL001</v>
      </c>
      <c r="AT5">
        <v>0</v>
      </c>
      <c r="AU5" t="str">
        <f>_xlfn.XLOOKUP(Table1[[#This Row],[StockOptionLevel]],Table19[StockOptionLevel],Table19[Deskripsi])</f>
        <v>Non-Eligible</v>
      </c>
      <c r="AV5">
        <v>8</v>
      </c>
      <c r="AW5">
        <v>3</v>
      </c>
      <c r="AX5" t="str">
        <f>_xlfn.XLOOKUP(Table1[[#This Row],[WorkLifeBalance]],Table20[WorkLifeBalance],Table20[Id_WorkLifeBalance])</f>
        <v>WLB002</v>
      </c>
      <c r="AY5">
        <v>3</v>
      </c>
      <c r="AZ5" t="str">
        <f>_xlfn.XLOOKUP(Table1[[#This Row],[WorkLifeBalance]],Table20[WorkLifeBalance],Table20[Deskripsi])</f>
        <v>Good</v>
      </c>
      <c r="BA5">
        <v>8</v>
      </c>
      <c r="BB5">
        <v>7</v>
      </c>
      <c r="BC5">
        <v>3</v>
      </c>
      <c r="BD5">
        <v>0</v>
      </c>
    </row>
    <row r="6" spans="1:56" x14ac:dyDescent="0.25">
      <c r="A6">
        <v>27</v>
      </c>
      <c r="B6" t="str">
        <f>_xlfn.XLOOKUP(Table1[[#This Row],[Attrition]],Table2[Attrition],Table2[Id_Attrition])</f>
        <v>A002</v>
      </c>
      <c r="C6" t="s">
        <v>33</v>
      </c>
      <c r="D6" t="str">
        <f>_xlfn.XLOOKUP(Table1[[#This Row],[BusinessTravel]],Table5[BusinessTravel],Table5[Id_BusinessTravel])</f>
        <v>BS001</v>
      </c>
      <c r="E6" t="s">
        <v>34</v>
      </c>
      <c r="F6">
        <v>591</v>
      </c>
      <c r="G6" t="str">
        <f>_xlfn.XLOOKUP(Table1[[#This Row],[Department]],Table6[Department],Table6[Id_Departement])</f>
        <v>D002</v>
      </c>
      <c r="H6" t="s">
        <v>38</v>
      </c>
      <c r="I6">
        <v>2</v>
      </c>
      <c r="J6" t="str">
        <f>_xlfn.XLOOKUP(Table1[[#This Row],[Education]],Table8[Education],Table8[Id_Education])</f>
        <v>E001</v>
      </c>
      <c r="K6">
        <v>1</v>
      </c>
      <c r="L6" t="str">
        <f>_xlfn.XLOOKUP(Table1[[#This Row],[EducationField]],Table7[EducationField],Table7[Id_EducationField])</f>
        <v>EF003</v>
      </c>
      <c r="M6" t="s">
        <v>42</v>
      </c>
      <c r="N6" t="str">
        <f>_xlfn.XLOOKUP(Table1[[#This Row],[EmployeeNumber]],Table4[EmployeeNumber],Table4[Id_Employee])</f>
        <v>EMP00005</v>
      </c>
      <c r="O6">
        <v>7</v>
      </c>
      <c r="P6" t="str">
        <f>_xlfn.XLOOKUP(Table1[[#This Row],[EnvironmentSatisfaction]],Table9[EnvironmentSatisfaction],Table9[Id_EnviromentSatisfaction])</f>
        <v>ES001</v>
      </c>
      <c r="Q6">
        <v>1</v>
      </c>
      <c r="R6" t="str">
        <f>_xlfn.XLOOKUP(Table1[[#This Row],[EnvironmentSatisfaction]],Table9[EnvironmentSatisfaction],Table9[Deskripsi])</f>
        <v>Low</v>
      </c>
      <c r="S6" t="str">
        <f>_xlfn.XLOOKUP(Table1[[#This Row],[Gender]],Table10[Gender],Table10[Id_Gender])</f>
        <v>G002</v>
      </c>
      <c r="T6" t="s">
        <v>46</v>
      </c>
      <c r="U6">
        <v>40</v>
      </c>
      <c r="V6" t="str">
        <f>_xlfn.XLOOKUP(Table1[[#This Row],[JobInvolvement]],Table11[JobInvolvement],Table11[Id_JobInvolvement])</f>
        <v>JI003</v>
      </c>
      <c r="W6">
        <v>3</v>
      </c>
      <c r="X6" t="str">
        <f>_xlfn.XLOOKUP(Table1[[#This Row],[JobLevel]],Table12[JobLevel],Table12[Id_JobLevel])</f>
        <v>JL001</v>
      </c>
      <c r="Y6">
        <v>1</v>
      </c>
      <c r="Z6" t="str">
        <f>_xlfn.XLOOKUP(Table1[[#This Row],[JobRole]],Table13[JobRole],Table13[Id_JobRole])</f>
        <v>JR003</v>
      </c>
      <c r="AA6" t="s">
        <v>49</v>
      </c>
      <c r="AB6" t="str">
        <f>_xlfn.XLOOKUP(Table1[[#This Row],[JobSatisfaction]],Table14[JobSatisfaction],Table14[Id_JobSatisfaction])</f>
        <v>JS002</v>
      </c>
      <c r="AC6">
        <v>2</v>
      </c>
      <c r="AD6" t="str">
        <f>_xlfn.XLOOKUP(Table1[[#This Row],[JobSatisfaction]],Table14[JobSatisfaction],Table14[Deskripsi])</f>
        <v>Medium</v>
      </c>
      <c r="AE6" t="str">
        <f>_xlfn.XLOOKUP(Table1[[#This Row],[MaritalStatus]],Table15[MaritalStatus],Table15[Id_MaritalStatus])</f>
        <v>MS002</v>
      </c>
      <c r="AF6" t="s">
        <v>56</v>
      </c>
      <c r="AG6">
        <v>3468</v>
      </c>
      <c r="AH6">
        <v>16632</v>
      </c>
      <c r="AI6">
        <v>9</v>
      </c>
      <c r="AJ6" t="str">
        <f>_xlfn.XLOOKUP(Table1[[#This Row],[OverTime]],Table16[OverTime],Table16[Id_OverTime])</f>
        <v>OT002</v>
      </c>
      <c r="AK6" t="s">
        <v>33</v>
      </c>
      <c r="AL6">
        <v>12</v>
      </c>
      <c r="AM6" t="str">
        <f>_xlfn.XLOOKUP(Table1[[#This Row],[PerformanceRating]],Table17[PerformanceRating],Table17[Id_PerformanceRating])</f>
        <v>PR003</v>
      </c>
      <c r="AN6">
        <v>3</v>
      </c>
      <c r="AO6" t="str">
        <f>_xlfn.XLOOKUP(Table1[[#This Row],[PerformanceRating]],Table17[PerformanceRating],Table17[Deskripsi])</f>
        <v>Excellent</v>
      </c>
      <c r="AP6" t="str">
        <f>_xlfn.XLOOKUP(Table1[[#This Row],[RelationshipSatisfaction]],Table18[RelationshipSatisfaction],Table18[Id_RelationshipSatisfaction])</f>
        <v>RS004</v>
      </c>
      <c r="AQ6">
        <v>4</v>
      </c>
      <c r="AR6" t="str">
        <f>_xlfn.XLOOKUP(Table1[[#This Row],[RelationshipSatisfaction]],Table18[RelationshipSatisfaction],Table18[Deskripsi])</f>
        <v>Very High</v>
      </c>
      <c r="AS6" t="str">
        <f>_xlfn.XLOOKUP(Table1[[#This Row],[StockOptionLevel]],Table19[StockOptionLevel],Table19[Id_StockOptionLevel])</f>
        <v>SOL002</v>
      </c>
      <c r="AT6">
        <v>1</v>
      </c>
      <c r="AU6" t="str">
        <f>_xlfn.XLOOKUP(Table1[[#This Row],[StockOptionLevel]],Table19[StockOptionLevel],Table19[Deskripsi])</f>
        <v>Standard</v>
      </c>
      <c r="AV6">
        <v>6</v>
      </c>
      <c r="AW6">
        <v>3</v>
      </c>
      <c r="AX6" t="str">
        <f>_xlfn.XLOOKUP(Table1[[#This Row],[WorkLifeBalance]],Table20[WorkLifeBalance],Table20[Id_WorkLifeBalance])</f>
        <v>WLB002</v>
      </c>
      <c r="AY6">
        <v>3</v>
      </c>
      <c r="AZ6" t="str">
        <f>_xlfn.XLOOKUP(Table1[[#This Row],[WorkLifeBalance]],Table20[WorkLifeBalance],Table20[Deskripsi])</f>
        <v>Good</v>
      </c>
      <c r="BA6">
        <v>2</v>
      </c>
      <c r="BB6">
        <v>2</v>
      </c>
      <c r="BC6">
        <v>2</v>
      </c>
      <c r="BD6">
        <v>2</v>
      </c>
    </row>
    <row r="7" spans="1:56" x14ac:dyDescent="0.25">
      <c r="A7">
        <v>32</v>
      </c>
      <c r="B7" t="str">
        <f>_xlfn.XLOOKUP(Table1[[#This Row],[Attrition]],Table2[Attrition],Table2[Id_Attrition])</f>
        <v>A002</v>
      </c>
      <c r="C7" t="s">
        <v>33</v>
      </c>
      <c r="D7" t="str">
        <f>_xlfn.XLOOKUP(Table1[[#This Row],[BusinessTravel]],Table5[BusinessTravel],Table5[Id_BusinessTravel])</f>
        <v>BS002</v>
      </c>
      <c r="E7" t="s">
        <v>35</v>
      </c>
      <c r="F7">
        <v>1005</v>
      </c>
      <c r="G7" t="str">
        <f>_xlfn.XLOOKUP(Table1[[#This Row],[Department]],Table6[Department],Table6[Id_Departement])</f>
        <v>D002</v>
      </c>
      <c r="H7" t="s">
        <v>38</v>
      </c>
      <c r="I7">
        <v>2</v>
      </c>
      <c r="J7" t="str">
        <f>_xlfn.XLOOKUP(Table1[[#This Row],[Education]],Table8[Education],Table8[Id_Education])</f>
        <v>E002</v>
      </c>
      <c r="K7">
        <v>2</v>
      </c>
      <c r="L7" t="str">
        <f>_xlfn.XLOOKUP(Table1[[#This Row],[EducationField]],Table7[EducationField],Table7[Id_EducationField])</f>
        <v>EF001</v>
      </c>
      <c r="M7" t="s">
        <v>40</v>
      </c>
      <c r="N7" t="str">
        <f>_xlfn.XLOOKUP(Table1[[#This Row],[EmployeeNumber]],Table4[EmployeeNumber],Table4[Id_Employee])</f>
        <v>EMP00006</v>
      </c>
      <c r="O7">
        <v>8</v>
      </c>
      <c r="P7" t="str">
        <f>_xlfn.XLOOKUP(Table1[[#This Row],[EnvironmentSatisfaction]],Table9[EnvironmentSatisfaction],Table9[Id_EnviromentSatisfaction])</f>
        <v>ES004</v>
      </c>
      <c r="Q7">
        <v>4</v>
      </c>
      <c r="R7" t="str">
        <f>_xlfn.XLOOKUP(Table1[[#This Row],[EnvironmentSatisfaction]],Table9[EnvironmentSatisfaction],Table9[Deskripsi])</f>
        <v>Very High</v>
      </c>
      <c r="S7" t="str">
        <f>_xlfn.XLOOKUP(Table1[[#This Row],[Gender]],Table10[Gender],Table10[Id_Gender])</f>
        <v>G002</v>
      </c>
      <c r="T7" t="s">
        <v>46</v>
      </c>
      <c r="U7">
        <v>79</v>
      </c>
      <c r="V7" t="str">
        <f>_xlfn.XLOOKUP(Table1[[#This Row],[JobInvolvement]],Table11[JobInvolvement],Table11[Id_JobInvolvement])</f>
        <v>JI003</v>
      </c>
      <c r="W7">
        <v>3</v>
      </c>
      <c r="X7" t="str">
        <f>_xlfn.XLOOKUP(Table1[[#This Row],[JobLevel]],Table12[JobLevel],Table12[Id_JobLevel])</f>
        <v>JL001</v>
      </c>
      <c r="Y7">
        <v>1</v>
      </c>
      <c r="Z7" t="str">
        <f>_xlfn.XLOOKUP(Table1[[#This Row],[JobRole]],Table13[JobRole],Table13[Id_JobRole])</f>
        <v>JR003</v>
      </c>
      <c r="AA7" t="s">
        <v>49</v>
      </c>
      <c r="AB7" t="str">
        <f>_xlfn.XLOOKUP(Table1[[#This Row],[JobSatisfaction]],Table14[JobSatisfaction],Table14[Id_JobSatisfaction])</f>
        <v>JS004</v>
      </c>
      <c r="AC7">
        <v>4</v>
      </c>
      <c r="AD7" t="str">
        <f>_xlfn.XLOOKUP(Table1[[#This Row],[JobSatisfaction]],Table14[JobSatisfaction],Table14[Deskripsi])</f>
        <v>Very High</v>
      </c>
      <c r="AE7" t="str">
        <f>_xlfn.XLOOKUP(Table1[[#This Row],[MaritalStatus]],Table15[MaritalStatus],Table15[Id_MaritalStatus])</f>
        <v>MS001</v>
      </c>
      <c r="AF7" t="s">
        <v>55</v>
      </c>
      <c r="AG7">
        <v>3068</v>
      </c>
      <c r="AH7">
        <v>11864</v>
      </c>
      <c r="AI7">
        <v>0</v>
      </c>
      <c r="AJ7" t="str">
        <f>_xlfn.XLOOKUP(Table1[[#This Row],[OverTime]],Table16[OverTime],Table16[Id_OverTime])</f>
        <v>OT002</v>
      </c>
      <c r="AK7" t="s">
        <v>33</v>
      </c>
      <c r="AL7">
        <v>13</v>
      </c>
      <c r="AM7" t="str">
        <f>_xlfn.XLOOKUP(Table1[[#This Row],[PerformanceRating]],Table17[PerformanceRating],Table17[Id_PerformanceRating])</f>
        <v>PR003</v>
      </c>
      <c r="AN7">
        <v>3</v>
      </c>
      <c r="AO7" t="str">
        <f>_xlfn.XLOOKUP(Table1[[#This Row],[PerformanceRating]],Table17[PerformanceRating],Table17[Deskripsi])</f>
        <v>Excellent</v>
      </c>
      <c r="AP7" t="str">
        <f>_xlfn.XLOOKUP(Table1[[#This Row],[RelationshipSatisfaction]],Table18[RelationshipSatisfaction],Table18[Id_RelationshipSatisfaction])</f>
        <v>RS003</v>
      </c>
      <c r="AQ7">
        <v>3</v>
      </c>
      <c r="AR7" t="str">
        <f>_xlfn.XLOOKUP(Table1[[#This Row],[RelationshipSatisfaction]],Table18[RelationshipSatisfaction],Table18[Deskripsi])</f>
        <v>High</v>
      </c>
      <c r="AS7" t="str">
        <f>_xlfn.XLOOKUP(Table1[[#This Row],[StockOptionLevel]],Table19[StockOptionLevel],Table19[Id_StockOptionLevel])</f>
        <v>SOL001</v>
      </c>
      <c r="AT7">
        <v>0</v>
      </c>
      <c r="AU7" t="str">
        <f>_xlfn.XLOOKUP(Table1[[#This Row],[StockOptionLevel]],Table19[StockOptionLevel],Table19[Deskripsi])</f>
        <v>Non-Eligible</v>
      </c>
      <c r="AV7">
        <v>8</v>
      </c>
      <c r="AW7">
        <v>2</v>
      </c>
      <c r="AX7" t="str">
        <f>_xlfn.XLOOKUP(Table1[[#This Row],[WorkLifeBalance]],Table20[WorkLifeBalance],Table20[Id_WorkLifeBalance])</f>
        <v>WLB003</v>
      </c>
      <c r="AY7">
        <v>2</v>
      </c>
      <c r="AZ7" t="str">
        <f>_xlfn.XLOOKUP(Table1[[#This Row],[WorkLifeBalance]],Table20[WorkLifeBalance],Table20[Deskripsi])</f>
        <v>Better</v>
      </c>
      <c r="BA7">
        <v>7</v>
      </c>
      <c r="BB7">
        <v>7</v>
      </c>
      <c r="BC7">
        <v>3</v>
      </c>
      <c r="BD7">
        <v>6</v>
      </c>
    </row>
    <row r="8" spans="1:56" x14ac:dyDescent="0.25">
      <c r="A8">
        <v>59</v>
      </c>
      <c r="B8" t="str">
        <f>_xlfn.XLOOKUP(Table1[[#This Row],[Attrition]],Table2[Attrition],Table2[Id_Attrition])</f>
        <v>A002</v>
      </c>
      <c r="C8" t="s">
        <v>33</v>
      </c>
      <c r="D8" t="str">
        <f>_xlfn.XLOOKUP(Table1[[#This Row],[BusinessTravel]],Table5[BusinessTravel],Table5[Id_BusinessTravel])</f>
        <v>BS001</v>
      </c>
      <c r="E8" t="s">
        <v>34</v>
      </c>
      <c r="F8">
        <v>1324</v>
      </c>
      <c r="G8" t="str">
        <f>_xlfn.XLOOKUP(Table1[[#This Row],[Department]],Table6[Department],Table6[Id_Departement])</f>
        <v>D002</v>
      </c>
      <c r="H8" t="s">
        <v>38</v>
      </c>
      <c r="I8">
        <v>3</v>
      </c>
      <c r="J8" t="str">
        <f>_xlfn.XLOOKUP(Table1[[#This Row],[Education]],Table8[Education],Table8[Id_Education])</f>
        <v>E003</v>
      </c>
      <c r="K8">
        <v>3</v>
      </c>
      <c r="L8" t="str">
        <f>_xlfn.XLOOKUP(Table1[[#This Row],[EducationField]],Table7[EducationField],Table7[Id_EducationField])</f>
        <v>EF003</v>
      </c>
      <c r="M8" t="s">
        <v>42</v>
      </c>
      <c r="N8" t="str">
        <f>_xlfn.XLOOKUP(Table1[[#This Row],[EmployeeNumber]],Table4[EmployeeNumber],Table4[Id_Employee])</f>
        <v>EMP00007</v>
      </c>
      <c r="O8">
        <v>10</v>
      </c>
      <c r="P8" t="str">
        <f>_xlfn.XLOOKUP(Table1[[#This Row],[EnvironmentSatisfaction]],Table9[EnvironmentSatisfaction],Table9[Id_EnviromentSatisfaction])</f>
        <v>ES003</v>
      </c>
      <c r="Q8">
        <v>3</v>
      </c>
      <c r="R8" t="str">
        <f>_xlfn.XLOOKUP(Table1[[#This Row],[EnvironmentSatisfaction]],Table9[EnvironmentSatisfaction],Table9[Deskripsi])</f>
        <v>High</v>
      </c>
      <c r="S8" t="str">
        <f>_xlfn.XLOOKUP(Table1[[#This Row],[Gender]],Table10[Gender],Table10[Id_Gender])</f>
        <v>G001</v>
      </c>
      <c r="T8" t="s">
        <v>45</v>
      </c>
      <c r="U8">
        <v>81</v>
      </c>
      <c r="V8" t="str">
        <f>_xlfn.XLOOKUP(Table1[[#This Row],[JobInvolvement]],Table11[JobInvolvement],Table11[Id_JobInvolvement])</f>
        <v>JI004</v>
      </c>
      <c r="W8">
        <v>4</v>
      </c>
      <c r="X8" t="str">
        <f>_xlfn.XLOOKUP(Table1[[#This Row],[JobLevel]],Table12[JobLevel],Table12[Id_JobLevel])</f>
        <v>JL001</v>
      </c>
      <c r="Y8">
        <v>1</v>
      </c>
      <c r="Z8" t="str">
        <f>_xlfn.XLOOKUP(Table1[[#This Row],[JobRole]],Table13[JobRole],Table13[Id_JobRole])</f>
        <v>JR003</v>
      </c>
      <c r="AA8" t="s">
        <v>49</v>
      </c>
      <c r="AB8" t="str">
        <f>_xlfn.XLOOKUP(Table1[[#This Row],[JobSatisfaction]],Table14[JobSatisfaction],Table14[Id_JobSatisfaction])</f>
        <v>JS001</v>
      </c>
      <c r="AC8">
        <v>1</v>
      </c>
      <c r="AD8" t="str">
        <f>_xlfn.XLOOKUP(Table1[[#This Row],[JobSatisfaction]],Table14[JobSatisfaction],Table14[Deskripsi])</f>
        <v>Low</v>
      </c>
      <c r="AE8" t="str">
        <f>_xlfn.XLOOKUP(Table1[[#This Row],[MaritalStatus]],Table15[MaritalStatus],Table15[Id_MaritalStatus])</f>
        <v>MS002</v>
      </c>
      <c r="AF8" t="s">
        <v>56</v>
      </c>
      <c r="AG8">
        <v>2670</v>
      </c>
      <c r="AH8">
        <v>9964</v>
      </c>
      <c r="AI8">
        <v>4</v>
      </c>
      <c r="AJ8" t="str">
        <f>_xlfn.XLOOKUP(Table1[[#This Row],[OverTime]],Table16[OverTime],Table16[Id_OverTime])</f>
        <v>OT001</v>
      </c>
      <c r="AK8" t="s">
        <v>32</v>
      </c>
      <c r="AL8">
        <v>20</v>
      </c>
      <c r="AM8" t="str">
        <f>_xlfn.XLOOKUP(Table1[[#This Row],[PerformanceRating]],Table17[PerformanceRating],Table17[Id_PerformanceRating])</f>
        <v>PR004</v>
      </c>
      <c r="AN8">
        <v>4</v>
      </c>
      <c r="AO8" t="str">
        <f>_xlfn.XLOOKUP(Table1[[#This Row],[PerformanceRating]],Table17[PerformanceRating],Table17[Deskripsi])</f>
        <v>Outstanding</v>
      </c>
      <c r="AP8" t="str">
        <f>_xlfn.XLOOKUP(Table1[[#This Row],[RelationshipSatisfaction]],Table18[RelationshipSatisfaction],Table18[Id_RelationshipSatisfaction])</f>
        <v>RS001</v>
      </c>
      <c r="AQ8">
        <v>1</v>
      </c>
      <c r="AR8" t="str">
        <f>_xlfn.XLOOKUP(Table1[[#This Row],[RelationshipSatisfaction]],Table18[RelationshipSatisfaction],Table18[Deskripsi])</f>
        <v>Low</v>
      </c>
      <c r="AS8" t="str">
        <f>_xlfn.XLOOKUP(Table1[[#This Row],[StockOptionLevel]],Table19[StockOptionLevel],Table19[Id_StockOptionLevel])</f>
        <v>SOL004</v>
      </c>
      <c r="AT8">
        <v>3</v>
      </c>
      <c r="AU8" t="str">
        <f>_xlfn.XLOOKUP(Table1[[#This Row],[StockOptionLevel]],Table19[StockOptionLevel],Table19[Deskripsi])</f>
        <v>Senior/Executive</v>
      </c>
      <c r="AV8">
        <v>12</v>
      </c>
      <c r="AW8">
        <v>3</v>
      </c>
      <c r="AX8" t="str">
        <f>_xlfn.XLOOKUP(Table1[[#This Row],[WorkLifeBalance]],Table20[WorkLifeBalance],Table20[Id_WorkLifeBalance])</f>
        <v>WLB003</v>
      </c>
      <c r="AY8">
        <v>2</v>
      </c>
      <c r="AZ8" t="str">
        <f>_xlfn.XLOOKUP(Table1[[#This Row],[WorkLifeBalance]],Table20[WorkLifeBalance],Table20[Deskripsi])</f>
        <v>Better</v>
      </c>
      <c r="BA8">
        <v>1</v>
      </c>
      <c r="BB8">
        <v>0</v>
      </c>
      <c r="BC8">
        <v>0</v>
      </c>
      <c r="BD8">
        <v>0</v>
      </c>
    </row>
    <row r="9" spans="1:56" x14ac:dyDescent="0.25">
      <c r="A9">
        <v>30</v>
      </c>
      <c r="B9" t="str">
        <f>_xlfn.XLOOKUP(Table1[[#This Row],[Attrition]],Table2[Attrition],Table2[Id_Attrition])</f>
        <v>A002</v>
      </c>
      <c r="C9" t="s">
        <v>33</v>
      </c>
      <c r="D9" t="str">
        <f>_xlfn.XLOOKUP(Table1[[#This Row],[BusinessTravel]],Table5[BusinessTravel],Table5[Id_BusinessTravel])</f>
        <v>BS001</v>
      </c>
      <c r="E9" t="s">
        <v>34</v>
      </c>
      <c r="F9">
        <v>1358</v>
      </c>
      <c r="G9" t="str">
        <f>_xlfn.XLOOKUP(Table1[[#This Row],[Department]],Table6[Department],Table6[Id_Departement])</f>
        <v>D002</v>
      </c>
      <c r="H9" t="s">
        <v>38</v>
      </c>
      <c r="I9">
        <v>24</v>
      </c>
      <c r="J9" t="str">
        <f>_xlfn.XLOOKUP(Table1[[#This Row],[Education]],Table8[Education],Table8[Id_Education])</f>
        <v>E001</v>
      </c>
      <c r="K9">
        <v>1</v>
      </c>
      <c r="L9" t="str">
        <f>_xlfn.XLOOKUP(Table1[[#This Row],[EducationField]],Table7[EducationField],Table7[Id_EducationField])</f>
        <v>EF001</v>
      </c>
      <c r="M9" t="s">
        <v>40</v>
      </c>
      <c r="N9" t="str">
        <f>_xlfn.XLOOKUP(Table1[[#This Row],[EmployeeNumber]],Table4[EmployeeNumber],Table4[Id_Employee])</f>
        <v>EMP00008</v>
      </c>
      <c r="O9">
        <v>11</v>
      </c>
      <c r="P9" t="str">
        <f>_xlfn.XLOOKUP(Table1[[#This Row],[EnvironmentSatisfaction]],Table9[EnvironmentSatisfaction],Table9[Id_EnviromentSatisfaction])</f>
        <v>ES004</v>
      </c>
      <c r="Q9">
        <v>4</v>
      </c>
      <c r="R9" t="str">
        <f>_xlfn.XLOOKUP(Table1[[#This Row],[EnvironmentSatisfaction]],Table9[EnvironmentSatisfaction],Table9[Deskripsi])</f>
        <v>Very High</v>
      </c>
      <c r="S9" t="str">
        <f>_xlfn.XLOOKUP(Table1[[#This Row],[Gender]],Table10[Gender],Table10[Id_Gender])</f>
        <v>G002</v>
      </c>
      <c r="T9" t="s">
        <v>46</v>
      </c>
      <c r="U9">
        <v>67</v>
      </c>
      <c r="V9" t="str">
        <f>_xlfn.XLOOKUP(Table1[[#This Row],[JobInvolvement]],Table11[JobInvolvement],Table11[Id_JobInvolvement])</f>
        <v>JI003</v>
      </c>
      <c r="W9">
        <v>3</v>
      </c>
      <c r="X9" t="str">
        <f>_xlfn.XLOOKUP(Table1[[#This Row],[JobLevel]],Table12[JobLevel],Table12[Id_JobLevel])</f>
        <v>JL001</v>
      </c>
      <c r="Y9">
        <v>1</v>
      </c>
      <c r="Z9" t="str">
        <f>_xlfn.XLOOKUP(Table1[[#This Row],[JobRole]],Table13[JobRole],Table13[Id_JobRole])</f>
        <v>JR003</v>
      </c>
      <c r="AA9" t="s">
        <v>49</v>
      </c>
      <c r="AB9" t="str">
        <f>_xlfn.XLOOKUP(Table1[[#This Row],[JobSatisfaction]],Table14[JobSatisfaction],Table14[Id_JobSatisfaction])</f>
        <v>JS003</v>
      </c>
      <c r="AC9">
        <v>3</v>
      </c>
      <c r="AD9" t="str">
        <f>_xlfn.XLOOKUP(Table1[[#This Row],[JobSatisfaction]],Table14[JobSatisfaction],Table14[Deskripsi])</f>
        <v>High</v>
      </c>
      <c r="AE9" t="str">
        <f>_xlfn.XLOOKUP(Table1[[#This Row],[MaritalStatus]],Table15[MaritalStatus],Table15[Id_MaritalStatus])</f>
        <v>MS003</v>
      </c>
      <c r="AF9" t="s">
        <v>57</v>
      </c>
      <c r="AG9">
        <v>2693</v>
      </c>
      <c r="AH9">
        <v>13335</v>
      </c>
      <c r="AI9">
        <v>1</v>
      </c>
      <c r="AJ9" t="str">
        <f>_xlfn.XLOOKUP(Table1[[#This Row],[OverTime]],Table16[OverTime],Table16[Id_OverTime])</f>
        <v>OT002</v>
      </c>
      <c r="AK9" t="s">
        <v>33</v>
      </c>
      <c r="AL9">
        <v>22</v>
      </c>
      <c r="AM9" t="str">
        <f>_xlfn.XLOOKUP(Table1[[#This Row],[PerformanceRating]],Table17[PerformanceRating],Table17[Id_PerformanceRating])</f>
        <v>PR004</v>
      </c>
      <c r="AN9">
        <v>4</v>
      </c>
      <c r="AO9" t="str">
        <f>_xlfn.XLOOKUP(Table1[[#This Row],[PerformanceRating]],Table17[PerformanceRating],Table17[Deskripsi])</f>
        <v>Outstanding</v>
      </c>
      <c r="AP9" t="str">
        <f>_xlfn.XLOOKUP(Table1[[#This Row],[RelationshipSatisfaction]],Table18[RelationshipSatisfaction],Table18[Id_RelationshipSatisfaction])</f>
        <v>RS002</v>
      </c>
      <c r="AQ9">
        <v>2</v>
      </c>
      <c r="AR9" t="str">
        <f>_xlfn.XLOOKUP(Table1[[#This Row],[RelationshipSatisfaction]],Table18[RelationshipSatisfaction],Table18[Deskripsi])</f>
        <v>Medium</v>
      </c>
      <c r="AS9" t="str">
        <f>_xlfn.XLOOKUP(Table1[[#This Row],[StockOptionLevel]],Table19[StockOptionLevel],Table19[Id_StockOptionLevel])</f>
        <v>SOL002</v>
      </c>
      <c r="AT9">
        <v>1</v>
      </c>
      <c r="AU9" t="str">
        <f>_xlfn.XLOOKUP(Table1[[#This Row],[StockOptionLevel]],Table19[StockOptionLevel],Table19[Deskripsi])</f>
        <v>Standard</v>
      </c>
      <c r="AV9">
        <v>1</v>
      </c>
      <c r="AW9">
        <v>2</v>
      </c>
      <c r="AX9" t="str">
        <f>_xlfn.XLOOKUP(Table1[[#This Row],[WorkLifeBalance]],Table20[WorkLifeBalance],Table20[Id_WorkLifeBalance])</f>
        <v>WLB002</v>
      </c>
      <c r="AY9">
        <v>3</v>
      </c>
      <c r="AZ9" t="str">
        <f>_xlfn.XLOOKUP(Table1[[#This Row],[WorkLifeBalance]],Table20[WorkLifeBalance],Table20[Deskripsi])</f>
        <v>Good</v>
      </c>
      <c r="BA9">
        <v>1</v>
      </c>
      <c r="BB9">
        <v>0</v>
      </c>
      <c r="BC9">
        <v>0</v>
      </c>
      <c r="BD9">
        <v>0</v>
      </c>
    </row>
    <row r="10" spans="1:56" x14ac:dyDescent="0.25">
      <c r="A10">
        <v>38</v>
      </c>
      <c r="B10" t="str">
        <f>_xlfn.XLOOKUP(Table1[[#This Row],[Attrition]],Table2[Attrition],Table2[Id_Attrition])</f>
        <v>A002</v>
      </c>
      <c r="C10" t="s">
        <v>33</v>
      </c>
      <c r="D10" t="str">
        <f>_xlfn.XLOOKUP(Table1[[#This Row],[BusinessTravel]],Table5[BusinessTravel],Table5[Id_BusinessTravel])</f>
        <v>BS002</v>
      </c>
      <c r="E10" t="s">
        <v>35</v>
      </c>
      <c r="F10">
        <v>216</v>
      </c>
      <c r="G10" t="str">
        <f>_xlfn.XLOOKUP(Table1[[#This Row],[Department]],Table6[Department],Table6[Id_Departement])</f>
        <v>D002</v>
      </c>
      <c r="H10" t="s">
        <v>38</v>
      </c>
      <c r="I10">
        <v>23</v>
      </c>
      <c r="J10" t="str">
        <f>_xlfn.XLOOKUP(Table1[[#This Row],[Education]],Table8[Education],Table8[Id_Education])</f>
        <v>E003</v>
      </c>
      <c r="K10">
        <v>3</v>
      </c>
      <c r="L10" t="str">
        <f>_xlfn.XLOOKUP(Table1[[#This Row],[EducationField]],Table7[EducationField],Table7[Id_EducationField])</f>
        <v>EF001</v>
      </c>
      <c r="M10" t="s">
        <v>40</v>
      </c>
      <c r="N10" t="str">
        <f>_xlfn.XLOOKUP(Table1[[#This Row],[EmployeeNumber]],Table4[EmployeeNumber],Table4[Id_Employee])</f>
        <v>EMP00009</v>
      </c>
      <c r="O10">
        <v>12</v>
      </c>
      <c r="P10" t="str">
        <f>_xlfn.XLOOKUP(Table1[[#This Row],[EnvironmentSatisfaction]],Table9[EnvironmentSatisfaction],Table9[Id_EnviromentSatisfaction])</f>
        <v>ES004</v>
      </c>
      <c r="Q10">
        <v>4</v>
      </c>
      <c r="R10" t="str">
        <f>_xlfn.XLOOKUP(Table1[[#This Row],[EnvironmentSatisfaction]],Table9[EnvironmentSatisfaction],Table9[Deskripsi])</f>
        <v>Very High</v>
      </c>
      <c r="S10" t="str">
        <f>_xlfn.XLOOKUP(Table1[[#This Row],[Gender]],Table10[Gender],Table10[Id_Gender])</f>
        <v>G002</v>
      </c>
      <c r="T10" t="s">
        <v>46</v>
      </c>
      <c r="U10">
        <v>44</v>
      </c>
      <c r="V10" t="str">
        <f>_xlfn.XLOOKUP(Table1[[#This Row],[JobInvolvement]],Table11[JobInvolvement],Table11[Id_JobInvolvement])</f>
        <v>JI002</v>
      </c>
      <c r="W10">
        <v>2</v>
      </c>
      <c r="X10" t="str">
        <f>_xlfn.XLOOKUP(Table1[[#This Row],[JobLevel]],Table12[JobLevel],Table12[Id_JobLevel])</f>
        <v>JL003</v>
      </c>
      <c r="Y10">
        <v>3</v>
      </c>
      <c r="Z10" t="str">
        <f>_xlfn.XLOOKUP(Table1[[#This Row],[JobRole]],Table13[JobRole],Table13[Id_JobRole])</f>
        <v>JR004</v>
      </c>
      <c r="AA10" t="s">
        <v>50</v>
      </c>
      <c r="AB10" t="str">
        <f>_xlfn.XLOOKUP(Table1[[#This Row],[JobSatisfaction]],Table14[JobSatisfaction],Table14[Id_JobSatisfaction])</f>
        <v>JS003</v>
      </c>
      <c r="AC10">
        <v>3</v>
      </c>
      <c r="AD10" t="str">
        <f>_xlfn.XLOOKUP(Table1[[#This Row],[JobSatisfaction]],Table14[JobSatisfaction],Table14[Deskripsi])</f>
        <v>High</v>
      </c>
      <c r="AE10" t="str">
        <f>_xlfn.XLOOKUP(Table1[[#This Row],[MaritalStatus]],Table15[MaritalStatus],Table15[Id_MaritalStatus])</f>
        <v>MS001</v>
      </c>
      <c r="AF10" t="s">
        <v>55</v>
      </c>
      <c r="AG10">
        <v>9526</v>
      </c>
      <c r="AH10">
        <v>8787</v>
      </c>
      <c r="AI10">
        <v>0</v>
      </c>
      <c r="AJ10" t="str">
        <f>_xlfn.XLOOKUP(Table1[[#This Row],[OverTime]],Table16[OverTime],Table16[Id_OverTime])</f>
        <v>OT002</v>
      </c>
      <c r="AK10" t="s">
        <v>33</v>
      </c>
      <c r="AL10">
        <v>21</v>
      </c>
      <c r="AM10" t="str">
        <f>_xlfn.XLOOKUP(Table1[[#This Row],[PerformanceRating]],Table17[PerformanceRating],Table17[Id_PerformanceRating])</f>
        <v>PR004</v>
      </c>
      <c r="AN10">
        <v>4</v>
      </c>
      <c r="AO10" t="str">
        <f>_xlfn.XLOOKUP(Table1[[#This Row],[PerformanceRating]],Table17[PerformanceRating],Table17[Deskripsi])</f>
        <v>Outstanding</v>
      </c>
      <c r="AP10" t="str">
        <f>_xlfn.XLOOKUP(Table1[[#This Row],[RelationshipSatisfaction]],Table18[RelationshipSatisfaction],Table18[Id_RelationshipSatisfaction])</f>
        <v>RS002</v>
      </c>
      <c r="AQ10">
        <v>2</v>
      </c>
      <c r="AR10" t="str">
        <f>_xlfn.XLOOKUP(Table1[[#This Row],[RelationshipSatisfaction]],Table18[RelationshipSatisfaction],Table18[Deskripsi])</f>
        <v>Medium</v>
      </c>
      <c r="AS10" t="str">
        <f>_xlfn.XLOOKUP(Table1[[#This Row],[StockOptionLevel]],Table19[StockOptionLevel],Table19[Id_StockOptionLevel])</f>
        <v>SOL001</v>
      </c>
      <c r="AT10">
        <v>0</v>
      </c>
      <c r="AU10" t="str">
        <f>_xlfn.XLOOKUP(Table1[[#This Row],[StockOptionLevel]],Table19[StockOptionLevel],Table19[Deskripsi])</f>
        <v>Non-Eligible</v>
      </c>
      <c r="AV10">
        <v>10</v>
      </c>
      <c r="AW10">
        <v>2</v>
      </c>
      <c r="AX10" t="str">
        <f>_xlfn.XLOOKUP(Table1[[#This Row],[WorkLifeBalance]],Table20[WorkLifeBalance],Table20[Id_WorkLifeBalance])</f>
        <v>WLB002</v>
      </c>
      <c r="AY10">
        <v>3</v>
      </c>
      <c r="AZ10" t="str">
        <f>_xlfn.XLOOKUP(Table1[[#This Row],[WorkLifeBalance]],Table20[WorkLifeBalance],Table20[Deskripsi])</f>
        <v>Good</v>
      </c>
      <c r="BA10">
        <v>9</v>
      </c>
      <c r="BB10">
        <v>7</v>
      </c>
      <c r="BC10">
        <v>1</v>
      </c>
      <c r="BD10">
        <v>8</v>
      </c>
    </row>
    <row r="11" spans="1:56" x14ac:dyDescent="0.25">
      <c r="A11">
        <v>36</v>
      </c>
      <c r="B11" t="str">
        <f>_xlfn.XLOOKUP(Table1[[#This Row],[Attrition]],Table2[Attrition],Table2[Id_Attrition])</f>
        <v>A002</v>
      </c>
      <c r="C11" t="s">
        <v>33</v>
      </c>
      <c r="D11" t="str">
        <f>_xlfn.XLOOKUP(Table1[[#This Row],[BusinessTravel]],Table5[BusinessTravel],Table5[Id_BusinessTravel])</f>
        <v>BS001</v>
      </c>
      <c r="E11" t="s">
        <v>34</v>
      </c>
      <c r="F11">
        <v>1299</v>
      </c>
      <c r="G11" t="str">
        <f>_xlfn.XLOOKUP(Table1[[#This Row],[Department]],Table6[Department],Table6[Id_Departement])</f>
        <v>D002</v>
      </c>
      <c r="H11" t="s">
        <v>38</v>
      </c>
      <c r="I11">
        <v>27</v>
      </c>
      <c r="J11" t="str">
        <f>_xlfn.XLOOKUP(Table1[[#This Row],[Education]],Table8[Education],Table8[Id_Education])</f>
        <v>E003</v>
      </c>
      <c r="K11">
        <v>3</v>
      </c>
      <c r="L11" t="str">
        <f>_xlfn.XLOOKUP(Table1[[#This Row],[EducationField]],Table7[EducationField],Table7[Id_EducationField])</f>
        <v>EF003</v>
      </c>
      <c r="M11" t="s">
        <v>42</v>
      </c>
      <c r="N11" t="str">
        <f>_xlfn.XLOOKUP(Table1[[#This Row],[EmployeeNumber]],Table4[EmployeeNumber],Table4[Id_Employee])</f>
        <v>EMP00010</v>
      </c>
      <c r="O11">
        <v>13</v>
      </c>
      <c r="P11" t="str">
        <f>_xlfn.XLOOKUP(Table1[[#This Row],[EnvironmentSatisfaction]],Table9[EnvironmentSatisfaction],Table9[Id_EnviromentSatisfaction])</f>
        <v>ES003</v>
      </c>
      <c r="Q11">
        <v>3</v>
      </c>
      <c r="R11" t="str">
        <f>_xlfn.XLOOKUP(Table1[[#This Row],[EnvironmentSatisfaction]],Table9[EnvironmentSatisfaction],Table9[Deskripsi])</f>
        <v>High</v>
      </c>
      <c r="S11" t="str">
        <f>_xlfn.XLOOKUP(Table1[[#This Row],[Gender]],Table10[Gender],Table10[Id_Gender])</f>
        <v>G002</v>
      </c>
      <c r="T11" t="s">
        <v>46</v>
      </c>
      <c r="U11">
        <v>94</v>
      </c>
      <c r="V11" t="str">
        <f>_xlfn.XLOOKUP(Table1[[#This Row],[JobInvolvement]],Table11[JobInvolvement],Table11[Id_JobInvolvement])</f>
        <v>JI003</v>
      </c>
      <c r="W11">
        <v>3</v>
      </c>
      <c r="X11" t="str">
        <f>_xlfn.XLOOKUP(Table1[[#This Row],[JobLevel]],Table12[JobLevel],Table12[Id_JobLevel])</f>
        <v>JL002</v>
      </c>
      <c r="Y11">
        <v>2</v>
      </c>
      <c r="Z11" t="str">
        <f>_xlfn.XLOOKUP(Table1[[#This Row],[JobRole]],Table13[JobRole],Table13[Id_JobRole])</f>
        <v>JR005</v>
      </c>
      <c r="AA11" t="s">
        <v>51</v>
      </c>
      <c r="AB11" t="str">
        <f>_xlfn.XLOOKUP(Table1[[#This Row],[JobSatisfaction]],Table14[JobSatisfaction],Table14[Id_JobSatisfaction])</f>
        <v>JS003</v>
      </c>
      <c r="AC11">
        <v>3</v>
      </c>
      <c r="AD11" t="str">
        <f>_xlfn.XLOOKUP(Table1[[#This Row],[JobSatisfaction]],Table14[JobSatisfaction],Table14[Deskripsi])</f>
        <v>High</v>
      </c>
      <c r="AE11" t="str">
        <f>_xlfn.XLOOKUP(Table1[[#This Row],[MaritalStatus]],Table15[MaritalStatus],Table15[Id_MaritalStatus])</f>
        <v>MS002</v>
      </c>
      <c r="AF11" t="s">
        <v>56</v>
      </c>
      <c r="AG11">
        <v>5237</v>
      </c>
      <c r="AH11">
        <v>16577</v>
      </c>
      <c r="AI11">
        <v>6</v>
      </c>
      <c r="AJ11" t="str">
        <f>_xlfn.XLOOKUP(Table1[[#This Row],[OverTime]],Table16[OverTime],Table16[Id_OverTime])</f>
        <v>OT002</v>
      </c>
      <c r="AK11" t="s">
        <v>33</v>
      </c>
      <c r="AL11">
        <v>13</v>
      </c>
      <c r="AM11" t="str">
        <f>_xlfn.XLOOKUP(Table1[[#This Row],[PerformanceRating]],Table17[PerformanceRating],Table17[Id_PerformanceRating])</f>
        <v>PR003</v>
      </c>
      <c r="AN11">
        <v>3</v>
      </c>
      <c r="AO11" t="str">
        <f>_xlfn.XLOOKUP(Table1[[#This Row],[PerformanceRating]],Table17[PerformanceRating],Table17[Deskripsi])</f>
        <v>Excellent</v>
      </c>
      <c r="AP11" t="str">
        <f>_xlfn.XLOOKUP(Table1[[#This Row],[RelationshipSatisfaction]],Table18[RelationshipSatisfaction],Table18[Id_RelationshipSatisfaction])</f>
        <v>RS002</v>
      </c>
      <c r="AQ11">
        <v>2</v>
      </c>
      <c r="AR11" t="str">
        <f>_xlfn.XLOOKUP(Table1[[#This Row],[RelationshipSatisfaction]],Table18[RelationshipSatisfaction],Table18[Deskripsi])</f>
        <v>Medium</v>
      </c>
      <c r="AS11" t="str">
        <f>_xlfn.XLOOKUP(Table1[[#This Row],[StockOptionLevel]],Table19[StockOptionLevel],Table19[Id_StockOptionLevel])</f>
        <v>SOL003</v>
      </c>
      <c r="AT11">
        <v>2</v>
      </c>
      <c r="AU11" t="str">
        <f>_xlfn.XLOOKUP(Table1[[#This Row],[StockOptionLevel]],Table19[StockOptionLevel],Table19[Deskripsi])</f>
        <v>Intermediate</v>
      </c>
      <c r="AV11">
        <v>17</v>
      </c>
      <c r="AW11">
        <v>3</v>
      </c>
      <c r="AX11" t="str">
        <f>_xlfn.XLOOKUP(Table1[[#This Row],[WorkLifeBalance]],Table20[WorkLifeBalance],Table20[Id_WorkLifeBalance])</f>
        <v>WLB003</v>
      </c>
      <c r="AY11">
        <v>2</v>
      </c>
      <c r="AZ11" t="str">
        <f>_xlfn.XLOOKUP(Table1[[#This Row],[WorkLifeBalance]],Table20[WorkLifeBalance],Table20[Deskripsi])</f>
        <v>Better</v>
      </c>
      <c r="BA11">
        <v>7</v>
      </c>
      <c r="BB11">
        <v>7</v>
      </c>
      <c r="BC11">
        <v>7</v>
      </c>
      <c r="BD11">
        <v>7</v>
      </c>
    </row>
    <row r="12" spans="1:56" x14ac:dyDescent="0.25">
      <c r="A12">
        <v>35</v>
      </c>
      <c r="B12" t="str">
        <f>_xlfn.XLOOKUP(Table1[[#This Row],[Attrition]],Table2[Attrition],Table2[Id_Attrition])</f>
        <v>A002</v>
      </c>
      <c r="C12" t="s">
        <v>33</v>
      </c>
      <c r="D12" t="str">
        <f>_xlfn.XLOOKUP(Table1[[#This Row],[BusinessTravel]],Table5[BusinessTravel],Table5[Id_BusinessTravel])</f>
        <v>BS001</v>
      </c>
      <c r="E12" t="s">
        <v>34</v>
      </c>
      <c r="F12">
        <v>809</v>
      </c>
      <c r="G12" t="str">
        <f>_xlfn.XLOOKUP(Table1[[#This Row],[Department]],Table6[Department],Table6[Id_Departement])</f>
        <v>D002</v>
      </c>
      <c r="H12" t="s">
        <v>38</v>
      </c>
      <c r="I12">
        <v>16</v>
      </c>
      <c r="J12" t="str">
        <f>_xlfn.XLOOKUP(Table1[[#This Row],[Education]],Table8[Education],Table8[Id_Education])</f>
        <v>E003</v>
      </c>
      <c r="K12">
        <v>3</v>
      </c>
      <c r="L12" t="str">
        <f>_xlfn.XLOOKUP(Table1[[#This Row],[EducationField]],Table7[EducationField],Table7[Id_EducationField])</f>
        <v>EF003</v>
      </c>
      <c r="M12" t="s">
        <v>42</v>
      </c>
      <c r="N12" t="str">
        <f>_xlfn.XLOOKUP(Table1[[#This Row],[EmployeeNumber]],Table4[EmployeeNumber],Table4[Id_Employee])</f>
        <v>EMP00011</v>
      </c>
      <c r="O12">
        <v>14</v>
      </c>
      <c r="P12" t="str">
        <f>_xlfn.XLOOKUP(Table1[[#This Row],[EnvironmentSatisfaction]],Table9[EnvironmentSatisfaction],Table9[Id_EnviromentSatisfaction])</f>
        <v>ES001</v>
      </c>
      <c r="Q12">
        <v>1</v>
      </c>
      <c r="R12" t="str">
        <f>_xlfn.XLOOKUP(Table1[[#This Row],[EnvironmentSatisfaction]],Table9[EnvironmentSatisfaction],Table9[Deskripsi])</f>
        <v>Low</v>
      </c>
      <c r="S12" t="str">
        <f>_xlfn.XLOOKUP(Table1[[#This Row],[Gender]],Table10[Gender],Table10[Id_Gender])</f>
        <v>G002</v>
      </c>
      <c r="T12" t="s">
        <v>46</v>
      </c>
      <c r="U12">
        <v>84</v>
      </c>
      <c r="V12" t="str">
        <f>_xlfn.XLOOKUP(Table1[[#This Row],[JobInvolvement]],Table11[JobInvolvement],Table11[Id_JobInvolvement])</f>
        <v>JI004</v>
      </c>
      <c r="W12">
        <v>4</v>
      </c>
      <c r="X12" t="str">
        <f>_xlfn.XLOOKUP(Table1[[#This Row],[JobLevel]],Table12[JobLevel],Table12[Id_JobLevel])</f>
        <v>JL001</v>
      </c>
      <c r="Y12">
        <v>1</v>
      </c>
      <c r="Z12" t="str">
        <f>_xlfn.XLOOKUP(Table1[[#This Row],[JobRole]],Table13[JobRole],Table13[Id_JobRole])</f>
        <v>JR003</v>
      </c>
      <c r="AA12" t="s">
        <v>49</v>
      </c>
      <c r="AB12" t="str">
        <f>_xlfn.XLOOKUP(Table1[[#This Row],[JobSatisfaction]],Table14[JobSatisfaction],Table14[Id_JobSatisfaction])</f>
        <v>JS002</v>
      </c>
      <c r="AC12">
        <v>2</v>
      </c>
      <c r="AD12" t="str">
        <f>_xlfn.XLOOKUP(Table1[[#This Row],[JobSatisfaction]],Table14[JobSatisfaction],Table14[Deskripsi])</f>
        <v>Medium</v>
      </c>
      <c r="AE12" t="str">
        <f>_xlfn.XLOOKUP(Table1[[#This Row],[MaritalStatus]],Table15[MaritalStatus],Table15[Id_MaritalStatus])</f>
        <v>MS002</v>
      </c>
      <c r="AF12" t="s">
        <v>56</v>
      </c>
      <c r="AG12">
        <v>2426</v>
      </c>
      <c r="AH12">
        <v>16479</v>
      </c>
      <c r="AI12">
        <v>0</v>
      </c>
      <c r="AJ12" t="str">
        <f>_xlfn.XLOOKUP(Table1[[#This Row],[OverTime]],Table16[OverTime],Table16[Id_OverTime])</f>
        <v>OT002</v>
      </c>
      <c r="AK12" t="s">
        <v>33</v>
      </c>
      <c r="AL12">
        <v>13</v>
      </c>
      <c r="AM12" t="str">
        <f>_xlfn.XLOOKUP(Table1[[#This Row],[PerformanceRating]],Table17[PerformanceRating],Table17[Id_PerformanceRating])</f>
        <v>PR003</v>
      </c>
      <c r="AN12">
        <v>3</v>
      </c>
      <c r="AO12" t="str">
        <f>_xlfn.XLOOKUP(Table1[[#This Row],[PerformanceRating]],Table17[PerformanceRating],Table17[Deskripsi])</f>
        <v>Excellent</v>
      </c>
      <c r="AP12" t="str">
        <f>_xlfn.XLOOKUP(Table1[[#This Row],[RelationshipSatisfaction]],Table18[RelationshipSatisfaction],Table18[Id_RelationshipSatisfaction])</f>
        <v>RS003</v>
      </c>
      <c r="AQ12">
        <v>3</v>
      </c>
      <c r="AR12" t="str">
        <f>_xlfn.XLOOKUP(Table1[[#This Row],[RelationshipSatisfaction]],Table18[RelationshipSatisfaction],Table18[Deskripsi])</f>
        <v>High</v>
      </c>
      <c r="AS12" t="str">
        <f>_xlfn.XLOOKUP(Table1[[#This Row],[StockOptionLevel]],Table19[StockOptionLevel],Table19[Id_StockOptionLevel])</f>
        <v>SOL002</v>
      </c>
      <c r="AT12">
        <v>1</v>
      </c>
      <c r="AU12" t="str">
        <f>_xlfn.XLOOKUP(Table1[[#This Row],[StockOptionLevel]],Table19[StockOptionLevel],Table19[Deskripsi])</f>
        <v>Standard</v>
      </c>
      <c r="AV12">
        <v>6</v>
      </c>
      <c r="AW12">
        <v>5</v>
      </c>
      <c r="AX12" t="str">
        <f>_xlfn.XLOOKUP(Table1[[#This Row],[WorkLifeBalance]],Table20[WorkLifeBalance],Table20[Id_WorkLifeBalance])</f>
        <v>WLB002</v>
      </c>
      <c r="AY12">
        <v>3</v>
      </c>
      <c r="AZ12" t="str">
        <f>_xlfn.XLOOKUP(Table1[[#This Row],[WorkLifeBalance]],Table20[WorkLifeBalance],Table20[Deskripsi])</f>
        <v>Good</v>
      </c>
      <c r="BA12">
        <v>5</v>
      </c>
      <c r="BB12">
        <v>4</v>
      </c>
      <c r="BC12">
        <v>0</v>
      </c>
      <c r="BD12">
        <v>3</v>
      </c>
    </row>
    <row r="13" spans="1:56" x14ac:dyDescent="0.25">
      <c r="A13">
        <v>29</v>
      </c>
      <c r="B13" t="str">
        <f>_xlfn.XLOOKUP(Table1[[#This Row],[Attrition]],Table2[Attrition],Table2[Id_Attrition])</f>
        <v>A002</v>
      </c>
      <c r="C13" t="s">
        <v>33</v>
      </c>
      <c r="D13" t="str">
        <f>_xlfn.XLOOKUP(Table1[[#This Row],[BusinessTravel]],Table5[BusinessTravel],Table5[Id_BusinessTravel])</f>
        <v>BS001</v>
      </c>
      <c r="E13" t="s">
        <v>34</v>
      </c>
      <c r="F13">
        <v>153</v>
      </c>
      <c r="G13" t="str">
        <f>_xlfn.XLOOKUP(Table1[[#This Row],[Department]],Table6[Department],Table6[Id_Departement])</f>
        <v>D002</v>
      </c>
      <c r="H13" t="s">
        <v>38</v>
      </c>
      <c r="I13">
        <v>15</v>
      </c>
      <c r="J13" t="str">
        <f>_xlfn.XLOOKUP(Table1[[#This Row],[Education]],Table8[Education],Table8[Id_Education])</f>
        <v>E002</v>
      </c>
      <c r="K13">
        <v>2</v>
      </c>
      <c r="L13" t="str">
        <f>_xlfn.XLOOKUP(Table1[[#This Row],[EducationField]],Table7[EducationField],Table7[Id_EducationField])</f>
        <v>EF001</v>
      </c>
      <c r="M13" t="s">
        <v>40</v>
      </c>
      <c r="N13" t="str">
        <f>_xlfn.XLOOKUP(Table1[[#This Row],[EmployeeNumber]],Table4[EmployeeNumber],Table4[Id_Employee])</f>
        <v>EMP00012</v>
      </c>
      <c r="O13">
        <v>15</v>
      </c>
      <c r="P13" t="str">
        <f>_xlfn.XLOOKUP(Table1[[#This Row],[EnvironmentSatisfaction]],Table9[EnvironmentSatisfaction],Table9[Id_EnviromentSatisfaction])</f>
        <v>ES004</v>
      </c>
      <c r="Q13">
        <v>4</v>
      </c>
      <c r="R13" t="str">
        <f>_xlfn.XLOOKUP(Table1[[#This Row],[EnvironmentSatisfaction]],Table9[EnvironmentSatisfaction],Table9[Deskripsi])</f>
        <v>Very High</v>
      </c>
      <c r="S13" t="str">
        <f>_xlfn.XLOOKUP(Table1[[#This Row],[Gender]],Table10[Gender],Table10[Id_Gender])</f>
        <v>G001</v>
      </c>
      <c r="T13" t="s">
        <v>45</v>
      </c>
      <c r="U13">
        <v>49</v>
      </c>
      <c r="V13" t="str">
        <f>_xlfn.XLOOKUP(Table1[[#This Row],[JobInvolvement]],Table11[JobInvolvement],Table11[Id_JobInvolvement])</f>
        <v>JI002</v>
      </c>
      <c r="W13">
        <v>2</v>
      </c>
      <c r="X13" t="str">
        <f>_xlfn.XLOOKUP(Table1[[#This Row],[JobLevel]],Table12[JobLevel],Table12[Id_JobLevel])</f>
        <v>JL002</v>
      </c>
      <c r="Y13">
        <v>2</v>
      </c>
      <c r="Z13" t="str">
        <f>_xlfn.XLOOKUP(Table1[[#This Row],[JobRole]],Table13[JobRole],Table13[Id_JobRole])</f>
        <v>JR003</v>
      </c>
      <c r="AA13" t="s">
        <v>49</v>
      </c>
      <c r="AB13" t="str">
        <f>_xlfn.XLOOKUP(Table1[[#This Row],[JobSatisfaction]],Table14[JobSatisfaction],Table14[Id_JobSatisfaction])</f>
        <v>JS003</v>
      </c>
      <c r="AC13">
        <v>3</v>
      </c>
      <c r="AD13" t="str">
        <f>_xlfn.XLOOKUP(Table1[[#This Row],[JobSatisfaction]],Table14[JobSatisfaction],Table14[Deskripsi])</f>
        <v>High</v>
      </c>
      <c r="AE13" t="str">
        <f>_xlfn.XLOOKUP(Table1[[#This Row],[MaritalStatus]],Table15[MaritalStatus],Table15[Id_MaritalStatus])</f>
        <v>MS001</v>
      </c>
      <c r="AF13" t="s">
        <v>55</v>
      </c>
      <c r="AG13">
        <v>4193</v>
      </c>
      <c r="AH13">
        <v>12682</v>
      </c>
      <c r="AI13">
        <v>0</v>
      </c>
      <c r="AJ13" t="str">
        <f>_xlfn.XLOOKUP(Table1[[#This Row],[OverTime]],Table16[OverTime],Table16[Id_OverTime])</f>
        <v>OT001</v>
      </c>
      <c r="AK13" t="s">
        <v>32</v>
      </c>
      <c r="AL13">
        <v>12</v>
      </c>
      <c r="AM13" t="str">
        <f>_xlfn.XLOOKUP(Table1[[#This Row],[PerformanceRating]],Table17[PerformanceRating],Table17[Id_PerformanceRating])</f>
        <v>PR003</v>
      </c>
      <c r="AN13">
        <v>3</v>
      </c>
      <c r="AO13" t="str">
        <f>_xlfn.XLOOKUP(Table1[[#This Row],[PerformanceRating]],Table17[PerformanceRating],Table17[Deskripsi])</f>
        <v>Excellent</v>
      </c>
      <c r="AP13" t="str">
        <f>_xlfn.XLOOKUP(Table1[[#This Row],[RelationshipSatisfaction]],Table18[RelationshipSatisfaction],Table18[Id_RelationshipSatisfaction])</f>
        <v>RS004</v>
      </c>
      <c r="AQ13">
        <v>4</v>
      </c>
      <c r="AR13" t="str">
        <f>_xlfn.XLOOKUP(Table1[[#This Row],[RelationshipSatisfaction]],Table18[RelationshipSatisfaction],Table18[Deskripsi])</f>
        <v>Very High</v>
      </c>
      <c r="AS13" t="str">
        <f>_xlfn.XLOOKUP(Table1[[#This Row],[StockOptionLevel]],Table19[StockOptionLevel],Table19[Id_StockOptionLevel])</f>
        <v>SOL001</v>
      </c>
      <c r="AT13">
        <v>0</v>
      </c>
      <c r="AU13" t="str">
        <f>_xlfn.XLOOKUP(Table1[[#This Row],[StockOptionLevel]],Table19[StockOptionLevel],Table19[Deskripsi])</f>
        <v>Non-Eligible</v>
      </c>
      <c r="AV13">
        <v>10</v>
      </c>
      <c r="AW13">
        <v>3</v>
      </c>
      <c r="AX13" t="str">
        <f>_xlfn.XLOOKUP(Table1[[#This Row],[WorkLifeBalance]],Table20[WorkLifeBalance],Table20[Id_WorkLifeBalance])</f>
        <v>WLB002</v>
      </c>
      <c r="AY13">
        <v>3</v>
      </c>
      <c r="AZ13" t="str">
        <f>_xlfn.XLOOKUP(Table1[[#This Row],[WorkLifeBalance]],Table20[WorkLifeBalance],Table20[Deskripsi])</f>
        <v>Good</v>
      </c>
      <c r="BA13">
        <v>9</v>
      </c>
      <c r="BB13">
        <v>5</v>
      </c>
      <c r="BC13">
        <v>0</v>
      </c>
      <c r="BD13">
        <v>8</v>
      </c>
    </row>
    <row r="14" spans="1:56" x14ac:dyDescent="0.25">
      <c r="A14">
        <v>31</v>
      </c>
      <c r="B14" t="str">
        <f>_xlfn.XLOOKUP(Table1[[#This Row],[Attrition]],Table2[Attrition],Table2[Id_Attrition])</f>
        <v>A002</v>
      </c>
      <c r="C14" t="s">
        <v>33</v>
      </c>
      <c r="D14" t="str">
        <f>_xlfn.XLOOKUP(Table1[[#This Row],[BusinessTravel]],Table5[BusinessTravel],Table5[Id_BusinessTravel])</f>
        <v>BS001</v>
      </c>
      <c r="E14" t="s">
        <v>34</v>
      </c>
      <c r="F14">
        <v>670</v>
      </c>
      <c r="G14" t="str">
        <f>_xlfn.XLOOKUP(Table1[[#This Row],[Department]],Table6[Department],Table6[Id_Departement])</f>
        <v>D002</v>
      </c>
      <c r="H14" t="s">
        <v>38</v>
      </c>
      <c r="I14">
        <v>26</v>
      </c>
      <c r="J14" t="str">
        <f>_xlfn.XLOOKUP(Table1[[#This Row],[Education]],Table8[Education],Table8[Id_Education])</f>
        <v>E001</v>
      </c>
      <c r="K14">
        <v>1</v>
      </c>
      <c r="L14" t="str">
        <f>_xlfn.XLOOKUP(Table1[[#This Row],[EducationField]],Table7[EducationField],Table7[Id_EducationField])</f>
        <v>EF001</v>
      </c>
      <c r="M14" t="s">
        <v>40</v>
      </c>
      <c r="N14" t="str">
        <f>_xlfn.XLOOKUP(Table1[[#This Row],[EmployeeNumber]],Table4[EmployeeNumber],Table4[Id_Employee])</f>
        <v>EMP00013</v>
      </c>
      <c r="O14">
        <v>16</v>
      </c>
      <c r="P14" t="str">
        <f>_xlfn.XLOOKUP(Table1[[#This Row],[EnvironmentSatisfaction]],Table9[EnvironmentSatisfaction],Table9[Id_EnviromentSatisfaction])</f>
        <v>ES001</v>
      </c>
      <c r="Q14">
        <v>1</v>
      </c>
      <c r="R14" t="str">
        <f>_xlfn.XLOOKUP(Table1[[#This Row],[EnvironmentSatisfaction]],Table9[EnvironmentSatisfaction],Table9[Deskripsi])</f>
        <v>Low</v>
      </c>
      <c r="S14" t="str">
        <f>_xlfn.XLOOKUP(Table1[[#This Row],[Gender]],Table10[Gender],Table10[Id_Gender])</f>
        <v>G002</v>
      </c>
      <c r="T14" t="s">
        <v>46</v>
      </c>
      <c r="U14">
        <v>31</v>
      </c>
      <c r="V14" t="str">
        <f>_xlfn.XLOOKUP(Table1[[#This Row],[JobInvolvement]],Table11[JobInvolvement],Table11[Id_JobInvolvement])</f>
        <v>JI003</v>
      </c>
      <c r="W14">
        <v>3</v>
      </c>
      <c r="X14" t="str">
        <f>_xlfn.XLOOKUP(Table1[[#This Row],[JobLevel]],Table12[JobLevel],Table12[Id_JobLevel])</f>
        <v>JL001</v>
      </c>
      <c r="Y14">
        <v>1</v>
      </c>
      <c r="Z14" t="str">
        <f>_xlfn.XLOOKUP(Table1[[#This Row],[JobRole]],Table13[JobRole],Table13[Id_JobRole])</f>
        <v>JR002</v>
      </c>
      <c r="AA14" t="s">
        <v>48</v>
      </c>
      <c r="AB14" t="str">
        <f>_xlfn.XLOOKUP(Table1[[#This Row],[JobSatisfaction]],Table14[JobSatisfaction],Table14[Id_JobSatisfaction])</f>
        <v>JS003</v>
      </c>
      <c r="AC14">
        <v>3</v>
      </c>
      <c r="AD14" t="str">
        <f>_xlfn.XLOOKUP(Table1[[#This Row],[JobSatisfaction]],Table14[JobSatisfaction],Table14[Deskripsi])</f>
        <v>High</v>
      </c>
      <c r="AE14" t="str">
        <f>_xlfn.XLOOKUP(Table1[[#This Row],[MaritalStatus]],Table15[MaritalStatus],Table15[Id_MaritalStatus])</f>
        <v>MS003</v>
      </c>
      <c r="AF14" t="s">
        <v>57</v>
      </c>
      <c r="AG14">
        <v>2911</v>
      </c>
      <c r="AH14">
        <v>15170</v>
      </c>
      <c r="AI14">
        <v>1</v>
      </c>
      <c r="AJ14" t="str">
        <f>_xlfn.XLOOKUP(Table1[[#This Row],[OverTime]],Table16[OverTime],Table16[Id_OverTime])</f>
        <v>OT002</v>
      </c>
      <c r="AK14" t="s">
        <v>33</v>
      </c>
      <c r="AL14">
        <v>17</v>
      </c>
      <c r="AM14" t="str">
        <f>_xlfn.XLOOKUP(Table1[[#This Row],[PerformanceRating]],Table17[PerformanceRating],Table17[Id_PerformanceRating])</f>
        <v>PR003</v>
      </c>
      <c r="AN14">
        <v>3</v>
      </c>
      <c r="AO14" t="str">
        <f>_xlfn.XLOOKUP(Table1[[#This Row],[PerformanceRating]],Table17[PerformanceRating],Table17[Deskripsi])</f>
        <v>Excellent</v>
      </c>
      <c r="AP14" t="str">
        <f>_xlfn.XLOOKUP(Table1[[#This Row],[RelationshipSatisfaction]],Table18[RelationshipSatisfaction],Table18[Id_RelationshipSatisfaction])</f>
        <v>RS004</v>
      </c>
      <c r="AQ14">
        <v>4</v>
      </c>
      <c r="AR14" t="str">
        <f>_xlfn.XLOOKUP(Table1[[#This Row],[RelationshipSatisfaction]],Table18[RelationshipSatisfaction],Table18[Deskripsi])</f>
        <v>Very High</v>
      </c>
      <c r="AS14" t="str">
        <f>_xlfn.XLOOKUP(Table1[[#This Row],[StockOptionLevel]],Table19[StockOptionLevel],Table19[Id_StockOptionLevel])</f>
        <v>SOL002</v>
      </c>
      <c r="AT14">
        <v>1</v>
      </c>
      <c r="AU14" t="str">
        <f>_xlfn.XLOOKUP(Table1[[#This Row],[StockOptionLevel]],Table19[StockOptionLevel],Table19[Deskripsi])</f>
        <v>Standard</v>
      </c>
      <c r="AV14">
        <v>5</v>
      </c>
      <c r="AW14">
        <v>1</v>
      </c>
      <c r="AX14" t="str">
        <f>_xlfn.XLOOKUP(Table1[[#This Row],[WorkLifeBalance]],Table20[WorkLifeBalance],Table20[Id_WorkLifeBalance])</f>
        <v>WLB003</v>
      </c>
      <c r="AY14">
        <v>2</v>
      </c>
      <c r="AZ14" t="str">
        <f>_xlfn.XLOOKUP(Table1[[#This Row],[WorkLifeBalance]],Table20[WorkLifeBalance],Table20[Deskripsi])</f>
        <v>Better</v>
      </c>
      <c r="BA14">
        <v>5</v>
      </c>
      <c r="BB14">
        <v>2</v>
      </c>
      <c r="BC14">
        <v>4</v>
      </c>
      <c r="BD14">
        <v>3</v>
      </c>
    </row>
    <row r="15" spans="1:56" x14ac:dyDescent="0.25">
      <c r="A15">
        <v>34</v>
      </c>
      <c r="B15" t="str">
        <f>_xlfn.XLOOKUP(Table1[[#This Row],[Attrition]],Table2[Attrition],Table2[Id_Attrition])</f>
        <v>A002</v>
      </c>
      <c r="C15" t="s">
        <v>33</v>
      </c>
      <c r="D15" t="str">
        <f>_xlfn.XLOOKUP(Table1[[#This Row],[BusinessTravel]],Table5[BusinessTravel],Table5[Id_BusinessTravel])</f>
        <v>BS001</v>
      </c>
      <c r="E15" t="s">
        <v>34</v>
      </c>
      <c r="F15">
        <v>1346</v>
      </c>
      <c r="G15" t="str">
        <f>_xlfn.XLOOKUP(Table1[[#This Row],[Department]],Table6[Department],Table6[Id_Departement])</f>
        <v>D002</v>
      </c>
      <c r="H15" t="s">
        <v>38</v>
      </c>
      <c r="I15">
        <v>19</v>
      </c>
      <c r="J15" t="str">
        <f>_xlfn.XLOOKUP(Table1[[#This Row],[Education]],Table8[Education],Table8[Id_Education])</f>
        <v>E002</v>
      </c>
      <c r="K15">
        <v>2</v>
      </c>
      <c r="L15" t="str">
        <f>_xlfn.XLOOKUP(Table1[[#This Row],[EducationField]],Table7[EducationField],Table7[Id_EducationField])</f>
        <v>EF003</v>
      </c>
      <c r="M15" t="s">
        <v>42</v>
      </c>
      <c r="N15" t="str">
        <f>_xlfn.XLOOKUP(Table1[[#This Row],[EmployeeNumber]],Table4[EmployeeNumber],Table4[Id_Employee])</f>
        <v>EMP00014</v>
      </c>
      <c r="O15">
        <v>18</v>
      </c>
      <c r="P15" t="str">
        <f>_xlfn.XLOOKUP(Table1[[#This Row],[EnvironmentSatisfaction]],Table9[EnvironmentSatisfaction],Table9[Id_EnviromentSatisfaction])</f>
        <v>ES002</v>
      </c>
      <c r="Q15">
        <v>2</v>
      </c>
      <c r="R15" t="str">
        <f>_xlfn.XLOOKUP(Table1[[#This Row],[EnvironmentSatisfaction]],Table9[EnvironmentSatisfaction],Table9[Deskripsi])</f>
        <v>Medium</v>
      </c>
      <c r="S15" t="str">
        <f>_xlfn.XLOOKUP(Table1[[#This Row],[Gender]],Table10[Gender],Table10[Id_Gender])</f>
        <v>G002</v>
      </c>
      <c r="T15" t="s">
        <v>46</v>
      </c>
      <c r="U15">
        <v>93</v>
      </c>
      <c r="V15" t="str">
        <f>_xlfn.XLOOKUP(Table1[[#This Row],[JobInvolvement]],Table11[JobInvolvement],Table11[Id_JobInvolvement])</f>
        <v>JI003</v>
      </c>
      <c r="W15">
        <v>3</v>
      </c>
      <c r="X15" t="str">
        <f>_xlfn.XLOOKUP(Table1[[#This Row],[JobLevel]],Table12[JobLevel],Table12[Id_JobLevel])</f>
        <v>JL001</v>
      </c>
      <c r="Y15">
        <v>1</v>
      </c>
      <c r="Z15" t="str">
        <f>_xlfn.XLOOKUP(Table1[[#This Row],[JobRole]],Table13[JobRole],Table13[Id_JobRole])</f>
        <v>JR003</v>
      </c>
      <c r="AA15" t="s">
        <v>49</v>
      </c>
      <c r="AB15" t="str">
        <f>_xlfn.XLOOKUP(Table1[[#This Row],[JobSatisfaction]],Table14[JobSatisfaction],Table14[Id_JobSatisfaction])</f>
        <v>JS004</v>
      </c>
      <c r="AC15">
        <v>4</v>
      </c>
      <c r="AD15" t="str">
        <f>_xlfn.XLOOKUP(Table1[[#This Row],[JobSatisfaction]],Table14[JobSatisfaction],Table14[Deskripsi])</f>
        <v>Very High</v>
      </c>
      <c r="AE15" t="str">
        <f>_xlfn.XLOOKUP(Table1[[#This Row],[MaritalStatus]],Table15[MaritalStatus],Table15[Id_MaritalStatus])</f>
        <v>MS003</v>
      </c>
      <c r="AF15" t="s">
        <v>57</v>
      </c>
      <c r="AG15">
        <v>2661</v>
      </c>
      <c r="AH15">
        <v>8758</v>
      </c>
      <c r="AI15">
        <v>0</v>
      </c>
      <c r="AJ15" t="str">
        <f>_xlfn.XLOOKUP(Table1[[#This Row],[OverTime]],Table16[OverTime],Table16[Id_OverTime])</f>
        <v>OT002</v>
      </c>
      <c r="AK15" t="s">
        <v>33</v>
      </c>
      <c r="AL15">
        <v>11</v>
      </c>
      <c r="AM15" t="str">
        <f>_xlfn.XLOOKUP(Table1[[#This Row],[PerformanceRating]],Table17[PerformanceRating],Table17[Id_PerformanceRating])</f>
        <v>PR003</v>
      </c>
      <c r="AN15">
        <v>3</v>
      </c>
      <c r="AO15" t="str">
        <f>_xlfn.XLOOKUP(Table1[[#This Row],[PerformanceRating]],Table17[PerformanceRating],Table17[Deskripsi])</f>
        <v>Excellent</v>
      </c>
      <c r="AP15" t="str">
        <f>_xlfn.XLOOKUP(Table1[[#This Row],[RelationshipSatisfaction]],Table18[RelationshipSatisfaction],Table18[Id_RelationshipSatisfaction])</f>
        <v>RS003</v>
      </c>
      <c r="AQ15">
        <v>3</v>
      </c>
      <c r="AR15" t="str">
        <f>_xlfn.XLOOKUP(Table1[[#This Row],[RelationshipSatisfaction]],Table18[RelationshipSatisfaction],Table18[Deskripsi])</f>
        <v>High</v>
      </c>
      <c r="AS15" t="str">
        <f>_xlfn.XLOOKUP(Table1[[#This Row],[StockOptionLevel]],Table19[StockOptionLevel],Table19[Id_StockOptionLevel])</f>
        <v>SOL002</v>
      </c>
      <c r="AT15">
        <v>1</v>
      </c>
      <c r="AU15" t="str">
        <f>_xlfn.XLOOKUP(Table1[[#This Row],[StockOptionLevel]],Table19[StockOptionLevel],Table19[Deskripsi])</f>
        <v>Standard</v>
      </c>
      <c r="AV15">
        <v>3</v>
      </c>
      <c r="AW15">
        <v>2</v>
      </c>
      <c r="AX15" t="str">
        <f>_xlfn.XLOOKUP(Table1[[#This Row],[WorkLifeBalance]],Table20[WorkLifeBalance],Table20[Id_WorkLifeBalance])</f>
        <v>WLB002</v>
      </c>
      <c r="AY15">
        <v>3</v>
      </c>
      <c r="AZ15" t="str">
        <f>_xlfn.XLOOKUP(Table1[[#This Row],[WorkLifeBalance]],Table20[WorkLifeBalance],Table20[Deskripsi])</f>
        <v>Good</v>
      </c>
      <c r="BA15">
        <v>2</v>
      </c>
      <c r="BB15">
        <v>2</v>
      </c>
      <c r="BC15">
        <v>1</v>
      </c>
      <c r="BD15">
        <v>2</v>
      </c>
    </row>
    <row r="16" spans="1:56" x14ac:dyDescent="0.25">
      <c r="A16">
        <v>28</v>
      </c>
      <c r="B16" t="str">
        <f>_xlfn.XLOOKUP(Table1[[#This Row],[Attrition]],Table2[Attrition],Table2[Id_Attrition])</f>
        <v>A001</v>
      </c>
      <c r="C16" t="s">
        <v>32</v>
      </c>
      <c r="D16" t="str">
        <f>_xlfn.XLOOKUP(Table1[[#This Row],[BusinessTravel]],Table5[BusinessTravel],Table5[Id_BusinessTravel])</f>
        <v>BS001</v>
      </c>
      <c r="E16" t="s">
        <v>34</v>
      </c>
      <c r="F16">
        <v>103</v>
      </c>
      <c r="G16" t="str">
        <f>_xlfn.XLOOKUP(Table1[[#This Row],[Department]],Table6[Department],Table6[Id_Departement])</f>
        <v>D002</v>
      </c>
      <c r="H16" t="s">
        <v>38</v>
      </c>
      <c r="I16">
        <v>24</v>
      </c>
      <c r="J16" t="str">
        <f>_xlfn.XLOOKUP(Table1[[#This Row],[Education]],Table8[Education],Table8[Id_Education])</f>
        <v>E003</v>
      </c>
      <c r="K16">
        <v>3</v>
      </c>
      <c r="L16" t="str">
        <f>_xlfn.XLOOKUP(Table1[[#This Row],[EducationField]],Table7[EducationField],Table7[Id_EducationField])</f>
        <v>EF001</v>
      </c>
      <c r="M16" t="s">
        <v>40</v>
      </c>
      <c r="N16" t="str">
        <f>_xlfn.XLOOKUP(Table1[[#This Row],[EmployeeNumber]],Table4[EmployeeNumber],Table4[Id_Employee])</f>
        <v>EMP00015</v>
      </c>
      <c r="O16">
        <v>19</v>
      </c>
      <c r="P16" t="str">
        <f>_xlfn.XLOOKUP(Table1[[#This Row],[EnvironmentSatisfaction]],Table9[EnvironmentSatisfaction],Table9[Id_EnviromentSatisfaction])</f>
        <v>ES003</v>
      </c>
      <c r="Q16">
        <v>3</v>
      </c>
      <c r="R16" t="str">
        <f>_xlfn.XLOOKUP(Table1[[#This Row],[EnvironmentSatisfaction]],Table9[EnvironmentSatisfaction],Table9[Deskripsi])</f>
        <v>High</v>
      </c>
      <c r="S16" t="str">
        <f>_xlfn.XLOOKUP(Table1[[#This Row],[Gender]],Table10[Gender],Table10[Id_Gender])</f>
        <v>G002</v>
      </c>
      <c r="T16" t="s">
        <v>46</v>
      </c>
      <c r="U16">
        <v>50</v>
      </c>
      <c r="V16" t="str">
        <f>_xlfn.XLOOKUP(Table1[[#This Row],[JobInvolvement]],Table11[JobInvolvement],Table11[Id_JobInvolvement])</f>
        <v>JI002</v>
      </c>
      <c r="W16">
        <v>2</v>
      </c>
      <c r="X16" t="str">
        <f>_xlfn.XLOOKUP(Table1[[#This Row],[JobLevel]],Table12[JobLevel],Table12[Id_JobLevel])</f>
        <v>JL001</v>
      </c>
      <c r="Y16">
        <v>1</v>
      </c>
      <c r="Z16" t="str">
        <f>_xlfn.XLOOKUP(Table1[[#This Row],[JobRole]],Table13[JobRole],Table13[Id_JobRole])</f>
        <v>JR003</v>
      </c>
      <c r="AA16" t="s">
        <v>49</v>
      </c>
      <c r="AB16" t="str">
        <f>_xlfn.XLOOKUP(Table1[[#This Row],[JobSatisfaction]],Table14[JobSatisfaction],Table14[Id_JobSatisfaction])</f>
        <v>JS003</v>
      </c>
      <c r="AC16">
        <v>3</v>
      </c>
      <c r="AD16" t="str">
        <f>_xlfn.XLOOKUP(Table1[[#This Row],[JobSatisfaction]],Table14[JobSatisfaction],Table14[Deskripsi])</f>
        <v>High</v>
      </c>
      <c r="AE16" t="str">
        <f>_xlfn.XLOOKUP(Table1[[#This Row],[MaritalStatus]],Table15[MaritalStatus],Table15[Id_MaritalStatus])</f>
        <v>MS001</v>
      </c>
      <c r="AF16" t="s">
        <v>55</v>
      </c>
      <c r="AG16">
        <v>2028</v>
      </c>
      <c r="AH16">
        <v>12947</v>
      </c>
      <c r="AI16">
        <v>5</v>
      </c>
      <c r="AJ16" t="str">
        <f>_xlfn.XLOOKUP(Table1[[#This Row],[OverTime]],Table16[OverTime],Table16[Id_OverTime])</f>
        <v>OT001</v>
      </c>
      <c r="AK16" t="s">
        <v>32</v>
      </c>
      <c r="AL16">
        <v>14</v>
      </c>
      <c r="AM16" t="str">
        <f>_xlfn.XLOOKUP(Table1[[#This Row],[PerformanceRating]],Table17[PerformanceRating],Table17[Id_PerformanceRating])</f>
        <v>PR003</v>
      </c>
      <c r="AN16">
        <v>3</v>
      </c>
      <c r="AO16" t="str">
        <f>_xlfn.XLOOKUP(Table1[[#This Row],[PerformanceRating]],Table17[PerformanceRating],Table17[Deskripsi])</f>
        <v>Excellent</v>
      </c>
      <c r="AP16" t="str">
        <f>_xlfn.XLOOKUP(Table1[[#This Row],[RelationshipSatisfaction]],Table18[RelationshipSatisfaction],Table18[Id_RelationshipSatisfaction])</f>
        <v>RS002</v>
      </c>
      <c r="AQ16">
        <v>2</v>
      </c>
      <c r="AR16" t="str">
        <f>_xlfn.XLOOKUP(Table1[[#This Row],[RelationshipSatisfaction]],Table18[RelationshipSatisfaction],Table18[Deskripsi])</f>
        <v>Medium</v>
      </c>
      <c r="AS16" t="str">
        <f>_xlfn.XLOOKUP(Table1[[#This Row],[StockOptionLevel]],Table19[StockOptionLevel],Table19[Id_StockOptionLevel])</f>
        <v>SOL001</v>
      </c>
      <c r="AT16">
        <v>0</v>
      </c>
      <c r="AU16" t="str">
        <f>_xlfn.XLOOKUP(Table1[[#This Row],[StockOptionLevel]],Table19[StockOptionLevel],Table19[Deskripsi])</f>
        <v>Non-Eligible</v>
      </c>
      <c r="AV16">
        <v>6</v>
      </c>
      <c r="AW16">
        <v>4</v>
      </c>
      <c r="AX16" t="str">
        <f>_xlfn.XLOOKUP(Table1[[#This Row],[WorkLifeBalance]],Table20[WorkLifeBalance],Table20[Id_WorkLifeBalance])</f>
        <v>WLB002</v>
      </c>
      <c r="AY16">
        <v>3</v>
      </c>
      <c r="AZ16" t="str">
        <f>_xlfn.XLOOKUP(Table1[[#This Row],[WorkLifeBalance]],Table20[WorkLifeBalance],Table20[Deskripsi])</f>
        <v>Good</v>
      </c>
      <c r="BA16">
        <v>4</v>
      </c>
      <c r="BB16">
        <v>2</v>
      </c>
      <c r="BC16">
        <v>0</v>
      </c>
      <c r="BD16">
        <v>3</v>
      </c>
    </row>
    <row r="17" spans="1:56" x14ac:dyDescent="0.25">
      <c r="A17">
        <v>29</v>
      </c>
      <c r="B17" t="str">
        <f>_xlfn.XLOOKUP(Table1[[#This Row],[Attrition]],Table2[Attrition],Table2[Id_Attrition])</f>
        <v>A002</v>
      </c>
      <c r="C17" t="s">
        <v>33</v>
      </c>
      <c r="D17" t="str">
        <f>_xlfn.XLOOKUP(Table1[[#This Row],[BusinessTravel]],Table5[BusinessTravel],Table5[Id_BusinessTravel])</f>
        <v>BS001</v>
      </c>
      <c r="E17" t="s">
        <v>34</v>
      </c>
      <c r="F17">
        <v>1389</v>
      </c>
      <c r="G17" t="str">
        <f>_xlfn.XLOOKUP(Table1[[#This Row],[Department]],Table6[Department],Table6[Id_Departement])</f>
        <v>D002</v>
      </c>
      <c r="H17" t="s">
        <v>38</v>
      </c>
      <c r="I17">
        <v>21</v>
      </c>
      <c r="J17" t="str">
        <f>_xlfn.XLOOKUP(Table1[[#This Row],[Education]],Table8[Education],Table8[Id_Education])</f>
        <v>E004</v>
      </c>
      <c r="K17">
        <v>4</v>
      </c>
      <c r="L17" t="str">
        <f>_xlfn.XLOOKUP(Table1[[#This Row],[EducationField]],Table7[EducationField],Table7[Id_EducationField])</f>
        <v>EF001</v>
      </c>
      <c r="M17" t="s">
        <v>40</v>
      </c>
      <c r="N17" t="str">
        <f>_xlfn.XLOOKUP(Table1[[#This Row],[EmployeeNumber]],Table4[EmployeeNumber],Table4[Id_Employee])</f>
        <v>EMP00016</v>
      </c>
      <c r="O17">
        <v>20</v>
      </c>
      <c r="P17" t="str">
        <f>_xlfn.XLOOKUP(Table1[[#This Row],[EnvironmentSatisfaction]],Table9[EnvironmentSatisfaction],Table9[Id_EnviromentSatisfaction])</f>
        <v>ES002</v>
      </c>
      <c r="Q17">
        <v>2</v>
      </c>
      <c r="R17" t="str">
        <f>_xlfn.XLOOKUP(Table1[[#This Row],[EnvironmentSatisfaction]],Table9[EnvironmentSatisfaction],Table9[Deskripsi])</f>
        <v>Medium</v>
      </c>
      <c r="S17" t="str">
        <f>_xlfn.XLOOKUP(Table1[[#This Row],[Gender]],Table10[Gender],Table10[Id_Gender])</f>
        <v>G001</v>
      </c>
      <c r="T17" t="s">
        <v>45</v>
      </c>
      <c r="U17">
        <v>51</v>
      </c>
      <c r="V17" t="str">
        <f>_xlfn.XLOOKUP(Table1[[#This Row],[JobInvolvement]],Table11[JobInvolvement],Table11[Id_JobInvolvement])</f>
        <v>JI004</v>
      </c>
      <c r="W17">
        <v>4</v>
      </c>
      <c r="X17" t="str">
        <f>_xlfn.XLOOKUP(Table1[[#This Row],[JobLevel]],Table12[JobLevel],Table12[Id_JobLevel])</f>
        <v>JL003</v>
      </c>
      <c r="Y17">
        <v>3</v>
      </c>
      <c r="Z17" t="str">
        <f>_xlfn.XLOOKUP(Table1[[#This Row],[JobRole]],Table13[JobRole],Table13[Id_JobRole])</f>
        <v>JR004</v>
      </c>
      <c r="AA17" t="s">
        <v>50</v>
      </c>
      <c r="AB17" t="str">
        <f>_xlfn.XLOOKUP(Table1[[#This Row],[JobSatisfaction]],Table14[JobSatisfaction],Table14[Id_JobSatisfaction])</f>
        <v>JS001</v>
      </c>
      <c r="AC17">
        <v>1</v>
      </c>
      <c r="AD17" t="str">
        <f>_xlfn.XLOOKUP(Table1[[#This Row],[JobSatisfaction]],Table14[JobSatisfaction],Table14[Deskripsi])</f>
        <v>Low</v>
      </c>
      <c r="AE17" t="str">
        <f>_xlfn.XLOOKUP(Table1[[#This Row],[MaritalStatus]],Table15[MaritalStatus],Table15[Id_MaritalStatus])</f>
        <v>MS003</v>
      </c>
      <c r="AF17" t="s">
        <v>57</v>
      </c>
      <c r="AG17">
        <v>9980</v>
      </c>
      <c r="AH17">
        <v>10195</v>
      </c>
      <c r="AI17">
        <v>1</v>
      </c>
      <c r="AJ17" t="str">
        <f>_xlfn.XLOOKUP(Table1[[#This Row],[OverTime]],Table16[OverTime],Table16[Id_OverTime])</f>
        <v>OT002</v>
      </c>
      <c r="AK17" t="s">
        <v>33</v>
      </c>
      <c r="AL17">
        <v>11</v>
      </c>
      <c r="AM17" t="str">
        <f>_xlfn.XLOOKUP(Table1[[#This Row],[PerformanceRating]],Table17[PerformanceRating],Table17[Id_PerformanceRating])</f>
        <v>PR003</v>
      </c>
      <c r="AN17">
        <v>3</v>
      </c>
      <c r="AO17" t="str">
        <f>_xlfn.XLOOKUP(Table1[[#This Row],[PerformanceRating]],Table17[PerformanceRating],Table17[Deskripsi])</f>
        <v>Excellent</v>
      </c>
      <c r="AP17" t="str">
        <f>_xlfn.XLOOKUP(Table1[[#This Row],[RelationshipSatisfaction]],Table18[RelationshipSatisfaction],Table18[Id_RelationshipSatisfaction])</f>
        <v>RS003</v>
      </c>
      <c r="AQ17">
        <v>3</v>
      </c>
      <c r="AR17" t="str">
        <f>_xlfn.XLOOKUP(Table1[[#This Row],[RelationshipSatisfaction]],Table18[RelationshipSatisfaction],Table18[Deskripsi])</f>
        <v>High</v>
      </c>
      <c r="AS17" t="str">
        <f>_xlfn.XLOOKUP(Table1[[#This Row],[StockOptionLevel]],Table19[StockOptionLevel],Table19[Id_StockOptionLevel])</f>
        <v>SOL002</v>
      </c>
      <c r="AT17">
        <v>1</v>
      </c>
      <c r="AU17" t="str">
        <f>_xlfn.XLOOKUP(Table1[[#This Row],[StockOptionLevel]],Table19[StockOptionLevel],Table19[Deskripsi])</f>
        <v>Standard</v>
      </c>
      <c r="AV17">
        <v>10</v>
      </c>
      <c r="AW17">
        <v>1</v>
      </c>
      <c r="AX17" t="str">
        <f>_xlfn.XLOOKUP(Table1[[#This Row],[WorkLifeBalance]],Table20[WorkLifeBalance],Table20[Id_WorkLifeBalance])</f>
        <v>WLB002</v>
      </c>
      <c r="AY17">
        <v>3</v>
      </c>
      <c r="AZ17" t="str">
        <f>_xlfn.XLOOKUP(Table1[[#This Row],[WorkLifeBalance]],Table20[WorkLifeBalance],Table20[Deskripsi])</f>
        <v>Good</v>
      </c>
      <c r="BA17">
        <v>10</v>
      </c>
      <c r="BB17">
        <v>9</v>
      </c>
      <c r="BC17">
        <v>8</v>
      </c>
      <c r="BD17">
        <v>8</v>
      </c>
    </row>
    <row r="18" spans="1:56" x14ac:dyDescent="0.25">
      <c r="A18">
        <v>32</v>
      </c>
      <c r="B18" t="str">
        <f>_xlfn.XLOOKUP(Table1[[#This Row],[Attrition]],Table2[Attrition],Table2[Id_Attrition])</f>
        <v>A002</v>
      </c>
      <c r="C18" t="s">
        <v>33</v>
      </c>
      <c r="D18" t="str">
        <f>_xlfn.XLOOKUP(Table1[[#This Row],[BusinessTravel]],Table5[BusinessTravel],Table5[Id_BusinessTravel])</f>
        <v>BS001</v>
      </c>
      <c r="E18" t="s">
        <v>34</v>
      </c>
      <c r="F18">
        <v>334</v>
      </c>
      <c r="G18" t="str">
        <f>_xlfn.XLOOKUP(Table1[[#This Row],[Department]],Table6[Department],Table6[Id_Departement])</f>
        <v>D002</v>
      </c>
      <c r="H18" t="s">
        <v>38</v>
      </c>
      <c r="I18">
        <v>5</v>
      </c>
      <c r="J18" t="str">
        <f>_xlfn.XLOOKUP(Table1[[#This Row],[Education]],Table8[Education],Table8[Id_Education])</f>
        <v>E002</v>
      </c>
      <c r="K18">
        <v>2</v>
      </c>
      <c r="L18" t="str">
        <f>_xlfn.XLOOKUP(Table1[[#This Row],[EducationField]],Table7[EducationField],Table7[Id_EducationField])</f>
        <v>EF001</v>
      </c>
      <c r="M18" t="s">
        <v>40</v>
      </c>
      <c r="N18" t="str">
        <f>_xlfn.XLOOKUP(Table1[[#This Row],[EmployeeNumber]],Table4[EmployeeNumber],Table4[Id_Employee])</f>
        <v>EMP00017</v>
      </c>
      <c r="O18">
        <v>21</v>
      </c>
      <c r="P18" t="str">
        <f>_xlfn.XLOOKUP(Table1[[#This Row],[EnvironmentSatisfaction]],Table9[EnvironmentSatisfaction],Table9[Id_EnviromentSatisfaction])</f>
        <v>ES001</v>
      </c>
      <c r="Q18">
        <v>1</v>
      </c>
      <c r="R18" t="str">
        <f>_xlfn.XLOOKUP(Table1[[#This Row],[EnvironmentSatisfaction]],Table9[EnvironmentSatisfaction],Table9[Deskripsi])</f>
        <v>Low</v>
      </c>
      <c r="S18" t="str">
        <f>_xlfn.XLOOKUP(Table1[[#This Row],[Gender]],Table10[Gender],Table10[Id_Gender])</f>
        <v>G002</v>
      </c>
      <c r="T18" t="s">
        <v>46</v>
      </c>
      <c r="U18">
        <v>80</v>
      </c>
      <c r="V18" t="str">
        <f>_xlfn.XLOOKUP(Table1[[#This Row],[JobInvolvement]],Table11[JobInvolvement],Table11[Id_JobInvolvement])</f>
        <v>JI004</v>
      </c>
      <c r="W18">
        <v>4</v>
      </c>
      <c r="X18" t="str">
        <f>_xlfn.XLOOKUP(Table1[[#This Row],[JobLevel]],Table12[JobLevel],Table12[Id_JobLevel])</f>
        <v>JL001</v>
      </c>
      <c r="Y18">
        <v>1</v>
      </c>
      <c r="Z18" t="str">
        <f>_xlfn.XLOOKUP(Table1[[#This Row],[JobRole]],Table13[JobRole],Table13[Id_JobRole])</f>
        <v>JR002</v>
      </c>
      <c r="AA18" t="s">
        <v>48</v>
      </c>
      <c r="AB18" t="str">
        <f>_xlfn.XLOOKUP(Table1[[#This Row],[JobSatisfaction]],Table14[JobSatisfaction],Table14[Id_JobSatisfaction])</f>
        <v>JS002</v>
      </c>
      <c r="AC18">
        <v>2</v>
      </c>
      <c r="AD18" t="str">
        <f>_xlfn.XLOOKUP(Table1[[#This Row],[JobSatisfaction]],Table14[JobSatisfaction],Table14[Deskripsi])</f>
        <v>Medium</v>
      </c>
      <c r="AE18" t="str">
        <f>_xlfn.XLOOKUP(Table1[[#This Row],[MaritalStatus]],Table15[MaritalStatus],Table15[Id_MaritalStatus])</f>
        <v>MS003</v>
      </c>
      <c r="AF18" t="s">
        <v>57</v>
      </c>
      <c r="AG18">
        <v>3298</v>
      </c>
      <c r="AH18">
        <v>15053</v>
      </c>
      <c r="AI18">
        <v>0</v>
      </c>
      <c r="AJ18" t="str">
        <f>_xlfn.XLOOKUP(Table1[[#This Row],[OverTime]],Table16[OverTime],Table16[Id_OverTime])</f>
        <v>OT001</v>
      </c>
      <c r="AK18" t="s">
        <v>32</v>
      </c>
      <c r="AL18">
        <v>12</v>
      </c>
      <c r="AM18" t="str">
        <f>_xlfn.XLOOKUP(Table1[[#This Row],[PerformanceRating]],Table17[PerformanceRating],Table17[Id_PerformanceRating])</f>
        <v>PR003</v>
      </c>
      <c r="AN18">
        <v>3</v>
      </c>
      <c r="AO18" t="str">
        <f>_xlfn.XLOOKUP(Table1[[#This Row],[PerformanceRating]],Table17[PerformanceRating],Table17[Deskripsi])</f>
        <v>Excellent</v>
      </c>
      <c r="AP18" t="str">
        <f>_xlfn.XLOOKUP(Table1[[#This Row],[RelationshipSatisfaction]],Table18[RelationshipSatisfaction],Table18[Id_RelationshipSatisfaction])</f>
        <v>RS004</v>
      </c>
      <c r="AQ18">
        <v>4</v>
      </c>
      <c r="AR18" t="str">
        <f>_xlfn.XLOOKUP(Table1[[#This Row],[RelationshipSatisfaction]],Table18[RelationshipSatisfaction],Table18[Deskripsi])</f>
        <v>Very High</v>
      </c>
      <c r="AS18" t="str">
        <f>_xlfn.XLOOKUP(Table1[[#This Row],[StockOptionLevel]],Table19[StockOptionLevel],Table19[Id_StockOptionLevel])</f>
        <v>SOL003</v>
      </c>
      <c r="AT18">
        <v>2</v>
      </c>
      <c r="AU18" t="str">
        <f>_xlfn.XLOOKUP(Table1[[#This Row],[StockOptionLevel]],Table19[StockOptionLevel],Table19[Deskripsi])</f>
        <v>Intermediate</v>
      </c>
      <c r="AV18">
        <v>7</v>
      </c>
      <c r="AW18">
        <v>5</v>
      </c>
      <c r="AX18" t="str">
        <f>_xlfn.XLOOKUP(Table1[[#This Row],[WorkLifeBalance]],Table20[WorkLifeBalance],Table20[Id_WorkLifeBalance])</f>
        <v>WLB003</v>
      </c>
      <c r="AY18">
        <v>2</v>
      </c>
      <c r="AZ18" t="str">
        <f>_xlfn.XLOOKUP(Table1[[#This Row],[WorkLifeBalance]],Table20[WorkLifeBalance],Table20[Deskripsi])</f>
        <v>Better</v>
      </c>
      <c r="BA18">
        <v>6</v>
      </c>
      <c r="BB18">
        <v>2</v>
      </c>
      <c r="BC18">
        <v>0</v>
      </c>
      <c r="BD18">
        <v>5</v>
      </c>
    </row>
    <row r="19" spans="1:56" x14ac:dyDescent="0.25">
      <c r="A19">
        <v>22</v>
      </c>
      <c r="B19" t="str">
        <f>_xlfn.XLOOKUP(Table1[[#This Row],[Attrition]],Table2[Attrition],Table2[Id_Attrition])</f>
        <v>A002</v>
      </c>
      <c r="C19" t="s">
        <v>33</v>
      </c>
      <c r="D19" t="str">
        <f>_xlfn.XLOOKUP(Table1[[#This Row],[BusinessTravel]],Table5[BusinessTravel],Table5[Id_BusinessTravel])</f>
        <v>BS003</v>
      </c>
      <c r="E19" t="s">
        <v>36</v>
      </c>
      <c r="F19">
        <v>1123</v>
      </c>
      <c r="G19" t="str">
        <f>_xlfn.XLOOKUP(Table1[[#This Row],[Department]],Table6[Department],Table6[Id_Departement])</f>
        <v>D002</v>
      </c>
      <c r="H19" t="s">
        <v>38</v>
      </c>
      <c r="I19">
        <v>16</v>
      </c>
      <c r="J19" t="str">
        <f>_xlfn.XLOOKUP(Table1[[#This Row],[Education]],Table8[Education],Table8[Id_Education])</f>
        <v>E002</v>
      </c>
      <c r="K19">
        <v>2</v>
      </c>
      <c r="L19" t="str">
        <f>_xlfn.XLOOKUP(Table1[[#This Row],[EducationField]],Table7[EducationField],Table7[Id_EducationField])</f>
        <v>EF003</v>
      </c>
      <c r="M19" t="s">
        <v>42</v>
      </c>
      <c r="N19" t="str">
        <f>_xlfn.XLOOKUP(Table1[[#This Row],[EmployeeNumber]],Table4[EmployeeNumber],Table4[Id_Employee])</f>
        <v>EMP00018</v>
      </c>
      <c r="O19">
        <v>22</v>
      </c>
      <c r="P19" t="str">
        <f>_xlfn.XLOOKUP(Table1[[#This Row],[EnvironmentSatisfaction]],Table9[EnvironmentSatisfaction],Table9[Id_EnviromentSatisfaction])</f>
        <v>ES004</v>
      </c>
      <c r="Q19">
        <v>4</v>
      </c>
      <c r="R19" t="str">
        <f>_xlfn.XLOOKUP(Table1[[#This Row],[EnvironmentSatisfaction]],Table9[EnvironmentSatisfaction],Table9[Deskripsi])</f>
        <v>Very High</v>
      </c>
      <c r="S19" t="str">
        <f>_xlfn.XLOOKUP(Table1[[#This Row],[Gender]],Table10[Gender],Table10[Id_Gender])</f>
        <v>G002</v>
      </c>
      <c r="T19" t="s">
        <v>46</v>
      </c>
      <c r="U19">
        <v>96</v>
      </c>
      <c r="V19" t="str">
        <f>_xlfn.XLOOKUP(Table1[[#This Row],[JobInvolvement]],Table11[JobInvolvement],Table11[Id_JobInvolvement])</f>
        <v>JI004</v>
      </c>
      <c r="W19">
        <v>4</v>
      </c>
      <c r="X19" t="str">
        <f>_xlfn.XLOOKUP(Table1[[#This Row],[JobLevel]],Table12[JobLevel],Table12[Id_JobLevel])</f>
        <v>JL001</v>
      </c>
      <c r="Y19">
        <v>1</v>
      </c>
      <c r="Z19" t="str">
        <f>_xlfn.XLOOKUP(Table1[[#This Row],[JobRole]],Table13[JobRole],Table13[Id_JobRole])</f>
        <v>JR003</v>
      </c>
      <c r="AA19" t="s">
        <v>49</v>
      </c>
      <c r="AB19" t="str">
        <f>_xlfn.XLOOKUP(Table1[[#This Row],[JobSatisfaction]],Table14[JobSatisfaction],Table14[Id_JobSatisfaction])</f>
        <v>JS004</v>
      </c>
      <c r="AC19">
        <v>4</v>
      </c>
      <c r="AD19" t="str">
        <f>_xlfn.XLOOKUP(Table1[[#This Row],[JobSatisfaction]],Table14[JobSatisfaction],Table14[Deskripsi])</f>
        <v>Very High</v>
      </c>
      <c r="AE19" t="str">
        <f>_xlfn.XLOOKUP(Table1[[#This Row],[MaritalStatus]],Table15[MaritalStatus],Table15[Id_MaritalStatus])</f>
        <v>MS003</v>
      </c>
      <c r="AF19" t="s">
        <v>57</v>
      </c>
      <c r="AG19">
        <v>2935</v>
      </c>
      <c r="AH19">
        <v>7324</v>
      </c>
      <c r="AI19">
        <v>1</v>
      </c>
      <c r="AJ19" t="str">
        <f>_xlfn.XLOOKUP(Table1[[#This Row],[OverTime]],Table16[OverTime],Table16[Id_OverTime])</f>
        <v>OT001</v>
      </c>
      <c r="AK19" t="s">
        <v>32</v>
      </c>
      <c r="AL19">
        <v>13</v>
      </c>
      <c r="AM19" t="str">
        <f>_xlfn.XLOOKUP(Table1[[#This Row],[PerformanceRating]],Table17[PerformanceRating],Table17[Id_PerformanceRating])</f>
        <v>PR003</v>
      </c>
      <c r="AN19">
        <v>3</v>
      </c>
      <c r="AO19" t="str">
        <f>_xlfn.XLOOKUP(Table1[[#This Row],[PerformanceRating]],Table17[PerformanceRating],Table17[Deskripsi])</f>
        <v>Excellent</v>
      </c>
      <c r="AP19" t="str">
        <f>_xlfn.XLOOKUP(Table1[[#This Row],[RelationshipSatisfaction]],Table18[RelationshipSatisfaction],Table18[Id_RelationshipSatisfaction])</f>
        <v>RS002</v>
      </c>
      <c r="AQ19">
        <v>2</v>
      </c>
      <c r="AR19" t="str">
        <f>_xlfn.XLOOKUP(Table1[[#This Row],[RelationshipSatisfaction]],Table18[RelationshipSatisfaction],Table18[Deskripsi])</f>
        <v>Medium</v>
      </c>
      <c r="AS19" t="str">
        <f>_xlfn.XLOOKUP(Table1[[#This Row],[StockOptionLevel]],Table19[StockOptionLevel],Table19[Id_StockOptionLevel])</f>
        <v>SOL003</v>
      </c>
      <c r="AT19">
        <v>2</v>
      </c>
      <c r="AU19" t="str">
        <f>_xlfn.XLOOKUP(Table1[[#This Row],[StockOptionLevel]],Table19[StockOptionLevel],Table19[Deskripsi])</f>
        <v>Intermediate</v>
      </c>
      <c r="AV19">
        <v>1</v>
      </c>
      <c r="AW19">
        <v>2</v>
      </c>
      <c r="AX19" t="str">
        <f>_xlfn.XLOOKUP(Table1[[#This Row],[WorkLifeBalance]],Table20[WorkLifeBalance],Table20[Id_WorkLifeBalance])</f>
        <v>WLB003</v>
      </c>
      <c r="AY19">
        <v>2</v>
      </c>
      <c r="AZ19" t="str">
        <f>_xlfn.XLOOKUP(Table1[[#This Row],[WorkLifeBalance]],Table20[WorkLifeBalance],Table20[Deskripsi])</f>
        <v>Better</v>
      </c>
      <c r="BA19">
        <v>1</v>
      </c>
      <c r="BB19">
        <v>0</v>
      </c>
      <c r="BC19">
        <v>0</v>
      </c>
      <c r="BD19">
        <v>0</v>
      </c>
    </row>
    <row r="20" spans="1:56" x14ac:dyDescent="0.25">
      <c r="A20">
        <v>53</v>
      </c>
      <c r="B20" t="str">
        <f>_xlfn.XLOOKUP(Table1[[#This Row],[Attrition]],Table2[Attrition],Table2[Id_Attrition])</f>
        <v>A002</v>
      </c>
      <c r="C20" t="s">
        <v>33</v>
      </c>
      <c r="D20" t="str">
        <f>_xlfn.XLOOKUP(Table1[[#This Row],[BusinessTravel]],Table5[BusinessTravel],Table5[Id_BusinessTravel])</f>
        <v>BS001</v>
      </c>
      <c r="E20" t="s">
        <v>34</v>
      </c>
      <c r="F20">
        <v>1219</v>
      </c>
      <c r="G20" t="str">
        <f>_xlfn.XLOOKUP(Table1[[#This Row],[Department]],Table6[Department],Table6[Id_Departement])</f>
        <v>D001</v>
      </c>
      <c r="H20" t="s">
        <v>37</v>
      </c>
      <c r="I20">
        <v>2</v>
      </c>
      <c r="J20" t="str">
        <f>_xlfn.XLOOKUP(Table1[[#This Row],[Education]],Table8[Education],Table8[Id_Education])</f>
        <v>E004</v>
      </c>
      <c r="K20">
        <v>4</v>
      </c>
      <c r="L20" t="str">
        <f>_xlfn.XLOOKUP(Table1[[#This Row],[EducationField]],Table7[EducationField],Table7[Id_EducationField])</f>
        <v>EF001</v>
      </c>
      <c r="M20" t="s">
        <v>40</v>
      </c>
      <c r="N20" t="str">
        <f>_xlfn.XLOOKUP(Table1[[#This Row],[EmployeeNumber]],Table4[EmployeeNumber],Table4[Id_Employee])</f>
        <v>EMP00019</v>
      </c>
      <c r="O20">
        <v>23</v>
      </c>
      <c r="P20" t="str">
        <f>_xlfn.XLOOKUP(Table1[[#This Row],[EnvironmentSatisfaction]],Table9[EnvironmentSatisfaction],Table9[Id_EnviromentSatisfaction])</f>
        <v>ES001</v>
      </c>
      <c r="Q20">
        <v>1</v>
      </c>
      <c r="R20" t="str">
        <f>_xlfn.XLOOKUP(Table1[[#This Row],[EnvironmentSatisfaction]],Table9[EnvironmentSatisfaction],Table9[Deskripsi])</f>
        <v>Low</v>
      </c>
      <c r="S20" t="str">
        <f>_xlfn.XLOOKUP(Table1[[#This Row],[Gender]],Table10[Gender],Table10[Id_Gender])</f>
        <v>G001</v>
      </c>
      <c r="T20" t="s">
        <v>45</v>
      </c>
      <c r="U20">
        <v>78</v>
      </c>
      <c r="V20" t="str">
        <f>_xlfn.XLOOKUP(Table1[[#This Row],[JobInvolvement]],Table11[JobInvolvement],Table11[Id_JobInvolvement])</f>
        <v>JI002</v>
      </c>
      <c r="W20">
        <v>2</v>
      </c>
      <c r="X20" t="str">
        <f>_xlfn.XLOOKUP(Table1[[#This Row],[JobLevel]],Table12[JobLevel],Table12[Id_JobLevel])</f>
        <v>JL004</v>
      </c>
      <c r="Y20">
        <v>4</v>
      </c>
      <c r="Z20" t="str">
        <f>_xlfn.XLOOKUP(Table1[[#This Row],[JobRole]],Table13[JobRole],Table13[Id_JobRole])</f>
        <v>JR006</v>
      </c>
      <c r="AA20" t="s">
        <v>52</v>
      </c>
      <c r="AB20" t="str">
        <f>_xlfn.XLOOKUP(Table1[[#This Row],[JobSatisfaction]],Table14[JobSatisfaction],Table14[Id_JobSatisfaction])</f>
        <v>JS004</v>
      </c>
      <c r="AC20">
        <v>4</v>
      </c>
      <c r="AD20" t="str">
        <f>_xlfn.XLOOKUP(Table1[[#This Row],[JobSatisfaction]],Table14[JobSatisfaction],Table14[Deskripsi])</f>
        <v>Very High</v>
      </c>
      <c r="AE20" t="str">
        <f>_xlfn.XLOOKUP(Table1[[#This Row],[MaritalStatus]],Table15[MaritalStatus],Table15[Id_MaritalStatus])</f>
        <v>MS002</v>
      </c>
      <c r="AF20" t="s">
        <v>56</v>
      </c>
      <c r="AG20">
        <v>15427</v>
      </c>
      <c r="AH20">
        <v>22021</v>
      </c>
      <c r="AI20">
        <v>2</v>
      </c>
      <c r="AJ20" t="str">
        <f>_xlfn.XLOOKUP(Table1[[#This Row],[OverTime]],Table16[OverTime],Table16[Id_OverTime])</f>
        <v>OT002</v>
      </c>
      <c r="AK20" t="s">
        <v>33</v>
      </c>
      <c r="AL20">
        <v>16</v>
      </c>
      <c r="AM20" t="str">
        <f>_xlfn.XLOOKUP(Table1[[#This Row],[PerformanceRating]],Table17[PerformanceRating],Table17[Id_PerformanceRating])</f>
        <v>PR003</v>
      </c>
      <c r="AN20">
        <v>3</v>
      </c>
      <c r="AO20" t="str">
        <f>_xlfn.XLOOKUP(Table1[[#This Row],[PerformanceRating]],Table17[PerformanceRating],Table17[Deskripsi])</f>
        <v>Excellent</v>
      </c>
      <c r="AP20" t="str">
        <f>_xlfn.XLOOKUP(Table1[[#This Row],[RelationshipSatisfaction]],Table18[RelationshipSatisfaction],Table18[Id_RelationshipSatisfaction])</f>
        <v>RS003</v>
      </c>
      <c r="AQ20">
        <v>3</v>
      </c>
      <c r="AR20" t="str">
        <f>_xlfn.XLOOKUP(Table1[[#This Row],[RelationshipSatisfaction]],Table18[RelationshipSatisfaction],Table18[Deskripsi])</f>
        <v>High</v>
      </c>
      <c r="AS20" t="str">
        <f>_xlfn.XLOOKUP(Table1[[#This Row],[StockOptionLevel]],Table19[StockOptionLevel],Table19[Id_StockOptionLevel])</f>
        <v>SOL001</v>
      </c>
      <c r="AT20">
        <v>0</v>
      </c>
      <c r="AU20" t="str">
        <f>_xlfn.XLOOKUP(Table1[[#This Row],[StockOptionLevel]],Table19[StockOptionLevel],Table19[Deskripsi])</f>
        <v>Non-Eligible</v>
      </c>
      <c r="AV20">
        <v>31</v>
      </c>
      <c r="AW20">
        <v>3</v>
      </c>
      <c r="AX20" t="str">
        <f>_xlfn.XLOOKUP(Table1[[#This Row],[WorkLifeBalance]],Table20[WorkLifeBalance],Table20[Id_WorkLifeBalance])</f>
        <v>WLB002</v>
      </c>
      <c r="AY20">
        <v>3</v>
      </c>
      <c r="AZ20" t="str">
        <f>_xlfn.XLOOKUP(Table1[[#This Row],[WorkLifeBalance]],Table20[WorkLifeBalance],Table20[Deskripsi])</f>
        <v>Good</v>
      </c>
      <c r="BA20">
        <v>25</v>
      </c>
      <c r="BB20">
        <v>8</v>
      </c>
      <c r="BC20">
        <v>3</v>
      </c>
      <c r="BD20">
        <v>7</v>
      </c>
    </row>
    <row r="21" spans="1:56" x14ac:dyDescent="0.25">
      <c r="A21">
        <v>38</v>
      </c>
      <c r="B21" t="str">
        <f>_xlfn.XLOOKUP(Table1[[#This Row],[Attrition]],Table2[Attrition],Table2[Id_Attrition])</f>
        <v>A002</v>
      </c>
      <c r="C21" t="s">
        <v>33</v>
      </c>
      <c r="D21" t="str">
        <f>_xlfn.XLOOKUP(Table1[[#This Row],[BusinessTravel]],Table5[BusinessTravel],Table5[Id_BusinessTravel])</f>
        <v>BS001</v>
      </c>
      <c r="E21" t="s">
        <v>34</v>
      </c>
      <c r="F21">
        <v>371</v>
      </c>
      <c r="G21" t="str">
        <f>_xlfn.XLOOKUP(Table1[[#This Row],[Department]],Table6[Department],Table6[Id_Departement])</f>
        <v>D002</v>
      </c>
      <c r="H21" t="s">
        <v>38</v>
      </c>
      <c r="I21">
        <v>2</v>
      </c>
      <c r="J21" t="str">
        <f>_xlfn.XLOOKUP(Table1[[#This Row],[Education]],Table8[Education],Table8[Id_Education])</f>
        <v>E003</v>
      </c>
      <c r="K21">
        <v>3</v>
      </c>
      <c r="L21" t="str">
        <f>_xlfn.XLOOKUP(Table1[[#This Row],[EducationField]],Table7[EducationField],Table7[Id_EducationField])</f>
        <v>EF001</v>
      </c>
      <c r="M21" t="s">
        <v>40</v>
      </c>
      <c r="N21" t="str">
        <f>_xlfn.XLOOKUP(Table1[[#This Row],[EmployeeNumber]],Table4[EmployeeNumber],Table4[Id_Employee])</f>
        <v>EMP00020</v>
      </c>
      <c r="O21">
        <v>24</v>
      </c>
      <c r="P21" t="str">
        <f>_xlfn.XLOOKUP(Table1[[#This Row],[EnvironmentSatisfaction]],Table9[EnvironmentSatisfaction],Table9[Id_EnviromentSatisfaction])</f>
        <v>ES004</v>
      </c>
      <c r="Q21">
        <v>4</v>
      </c>
      <c r="R21" t="str">
        <f>_xlfn.XLOOKUP(Table1[[#This Row],[EnvironmentSatisfaction]],Table9[EnvironmentSatisfaction],Table9[Deskripsi])</f>
        <v>Very High</v>
      </c>
      <c r="S21" t="str">
        <f>_xlfn.XLOOKUP(Table1[[#This Row],[Gender]],Table10[Gender],Table10[Id_Gender])</f>
        <v>G002</v>
      </c>
      <c r="T21" t="s">
        <v>46</v>
      </c>
      <c r="U21">
        <v>45</v>
      </c>
      <c r="V21" t="str">
        <f>_xlfn.XLOOKUP(Table1[[#This Row],[JobInvolvement]],Table11[JobInvolvement],Table11[Id_JobInvolvement])</f>
        <v>JI003</v>
      </c>
      <c r="W21">
        <v>3</v>
      </c>
      <c r="X21" t="str">
        <f>_xlfn.XLOOKUP(Table1[[#This Row],[JobLevel]],Table12[JobLevel],Table12[Id_JobLevel])</f>
        <v>JL001</v>
      </c>
      <c r="Y21">
        <v>1</v>
      </c>
      <c r="Z21" t="str">
        <f>_xlfn.XLOOKUP(Table1[[#This Row],[JobRole]],Table13[JobRole],Table13[Id_JobRole])</f>
        <v>JR002</v>
      </c>
      <c r="AA21" t="s">
        <v>48</v>
      </c>
      <c r="AB21" t="str">
        <f>_xlfn.XLOOKUP(Table1[[#This Row],[JobSatisfaction]],Table14[JobSatisfaction],Table14[Id_JobSatisfaction])</f>
        <v>JS004</v>
      </c>
      <c r="AC21">
        <v>4</v>
      </c>
      <c r="AD21" t="str">
        <f>_xlfn.XLOOKUP(Table1[[#This Row],[JobSatisfaction]],Table14[JobSatisfaction],Table14[Deskripsi])</f>
        <v>Very High</v>
      </c>
      <c r="AE21" t="str">
        <f>_xlfn.XLOOKUP(Table1[[#This Row],[MaritalStatus]],Table15[MaritalStatus],Table15[Id_MaritalStatus])</f>
        <v>MS001</v>
      </c>
      <c r="AF21" t="s">
        <v>55</v>
      </c>
      <c r="AG21">
        <v>3944</v>
      </c>
      <c r="AH21">
        <v>4306</v>
      </c>
      <c r="AI21">
        <v>5</v>
      </c>
      <c r="AJ21" t="str">
        <f>_xlfn.XLOOKUP(Table1[[#This Row],[OverTime]],Table16[OverTime],Table16[Id_OverTime])</f>
        <v>OT001</v>
      </c>
      <c r="AK21" t="s">
        <v>32</v>
      </c>
      <c r="AL21">
        <v>11</v>
      </c>
      <c r="AM21" t="str">
        <f>_xlfn.XLOOKUP(Table1[[#This Row],[PerformanceRating]],Table17[PerformanceRating],Table17[Id_PerformanceRating])</f>
        <v>PR003</v>
      </c>
      <c r="AN21">
        <v>3</v>
      </c>
      <c r="AO21" t="str">
        <f>_xlfn.XLOOKUP(Table1[[#This Row],[PerformanceRating]],Table17[PerformanceRating],Table17[Deskripsi])</f>
        <v>Excellent</v>
      </c>
      <c r="AP21" t="str">
        <f>_xlfn.XLOOKUP(Table1[[#This Row],[RelationshipSatisfaction]],Table18[RelationshipSatisfaction],Table18[Id_RelationshipSatisfaction])</f>
        <v>RS003</v>
      </c>
      <c r="AQ21">
        <v>3</v>
      </c>
      <c r="AR21" t="str">
        <f>_xlfn.XLOOKUP(Table1[[#This Row],[RelationshipSatisfaction]],Table18[RelationshipSatisfaction],Table18[Deskripsi])</f>
        <v>High</v>
      </c>
      <c r="AS21" t="str">
        <f>_xlfn.XLOOKUP(Table1[[#This Row],[StockOptionLevel]],Table19[StockOptionLevel],Table19[Id_StockOptionLevel])</f>
        <v>SOL001</v>
      </c>
      <c r="AT21">
        <v>0</v>
      </c>
      <c r="AU21" t="str">
        <f>_xlfn.XLOOKUP(Table1[[#This Row],[StockOptionLevel]],Table19[StockOptionLevel],Table19[Deskripsi])</f>
        <v>Non-Eligible</v>
      </c>
      <c r="AV21">
        <v>6</v>
      </c>
      <c r="AW21">
        <v>3</v>
      </c>
      <c r="AX21" t="str">
        <f>_xlfn.XLOOKUP(Table1[[#This Row],[WorkLifeBalance]],Table20[WorkLifeBalance],Table20[Id_WorkLifeBalance])</f>
        <v>WLB002</v>
      </c>
      <c r="AY21">
        <v>3</v>
      </c>
      <c r="AZ21" t="str">
        <f>_xlfn.XLOOKUP(Table1[[#This Row],[WorkLifeBalance]],Table20[WorkLifeBalance],Table20[Deskripsi])</f>
        <v>Good</v>
      </c>
      <c r="BA21">
        <v>3</v>
      </c>
      <c r="BB21">
        <v>2</v>
      </c>
      <c r="BC21">
        <v>1</v>
      </c>
      <c r="BD21">
        <v>2</v>
      </c>
    </row>
    <row r="22" spans="1:56" x14ac:dyDescent="0.25">
      <c r="A22">
        <v>24</v>
      </c>
      <c r="B22" t="str">
        <f>_xlfn.XLOOKUP(Table1[[#This Row],[Attrition]],Table2[Attrition],Table2[Id_Attrition])</f>
        <v>A002</v>
      </c>
      <c r="C22" t="s">
        <v>33</v>
      </c>
      <c r="D22" t="str">
        <f>_xlfn.XLOOKUP(Table1[[#This Row],[BusinessTravel]],Table5[BusinessTravel],Table5[Id_BusinessTravel])</f>
        <v>BS003</v>
      </c>
      <c r="E22" t="s">
        <v>36</v>
      </c>
      <c r="F22">
        <v>673</v>
      </c>
      <c r="G22" t="str">
        <f>_xlfn.XLOOKUP(Table1[[#This Row],[Department]],Table6[Department],Table6[Id_Departement])</f>
        <v>D002</v>
      </c>
      <c r="H22" t="s">
        <v>38</v>
      </c>
      <c r="I22">
        <v>11</v>
      </c>
      <c r="J22" t="str">
        <f>_xlfn.XLOOKUP(Table1[[#This Row],[Education]],Table8[Education],Table8[Id_Education])</f>
        <v>E002</v>
      </c>
      <c r="K22">
        <v>2</v>
      </c>
      <c r="L22" t="str">
        <f>_xlfn.XLOOKUP(Table1[[#This Row],[EducationField]],Table7[EducationField],Table7[Id_EducationField])</f>
        <v>EF002</v>
      </c>
      <c r="M22" t="s">
        <v>41</v>
      </c>
      <c r="N22" t="str">
        <f>_xlfn.XLOOKUP(Table1[[#This Row],[EmployeeNumber]],Table4[EmployeeNumber],Table4[Id_Employee])</f>
        <v>EMP00021</v>
      </c>
      <c r="O22">
        <v>26</v>
      </c>
      <c r="P22" t="str">
        <f>_xlfn.XLOOKUP(Table1[[#This Row],[EnvironmentSatisfaction]],Table9[EnvironmentSatisfaction],Table9[Id_EnviromentSatisfaction])</f>
        <v>ES001</v>
      </c>
      <c r="Q22">
        <v>1</v>
      </c>
      <c r="R22" t="str">
        <f>_xlfn.XLOOKUP(Table1[[#This Row],[EnvironmentSatisfaction]],Table9[EnvironmentSatisfaction],Table9[Deskripsi])</f>
        <v>Low</v>
      </c>
      <c r="S22" t="str">
        <f>_xlfn.XLOOKUP(Table1[[#This Row],[Gender]],Table10[Gender],Table10[Id_Gender])</f>
        <v>G001</v>
      </c>
      <c r="T22" t="s">
        <v>45</v>
      </c>
      <c r="U22">
        <v>96</v>
      </c>
      <c r="V22" t="str">
        <f>_xlfn.XLOOKUP(Table1[[#This Row],[JobInvolvement]],Table11[JobInvolvement],Table11[Id_JobInvolvement])</f>
        <v>JI004</v>
      </c>
      <c r="W22">
        <v>4</v>
      </c>
      <c r="X22" t="str">
        <f>_xlfn.XLOOKUP(Table1[[#This Row],[JobLevel]],Table12[JobLevel],Table12[Id_JobLevel])</f>
        <v>JL002</v>
      </c>
      <c r="Y22">
        <v>2</v>
      </c>
      <c r="Z22" t="str">
        <f>_xlfn.XLOOKUP(Table1[[#This Row],[JobRole]],Table13[JobRole],Table13[Id_JobRole])</f>
        <v>JR004</v>
      </c>
      <c r="AA22" t="s">
        <v>50</v>
      </c>
      <c r="AB22" t="str">
        <f>_xlfn.XLOOKUP(Table1[[#This Row],[JobSatisfaction]],Table14[JobSatisfaction],Table14[Id_JobSatisfaction])</f>
        <v>JS003</v>
      </c>
      <c r="AC22">
        <v>3</v>
      </c>
      <c r="AD22" t="str">
        <f>_xlfn.XLOOKUP(Table1[[#This Row],[JobSatisfaction]],Table14[JobSatisfaction],Table14[Deskripsi])</f>
        <v>High</v>
      </c>
      <c r="AE22" t="str">
        <f>_xlfn.XLOOKUP(Table1[[#This Row],[MaritalStatus]],Table15[MaritalStatus],Table15[Id_MaritalStatus])</f>
        <v>MS003</v>
      </c>
      <c r="AF22" t="s">
        <v>57</v>
      </c>
      <c r="AG22">
        <v>4011</v>
      </c>
      <c r="AH22">
        <v>8232</v>
      </c>
      <c r="AI22">
        <v>0</v>
      </c>
      <c r="AJ22" t="str">
        <f>_xlfn.XLOOKUP(Table1[[#This Row],[OverTime]],Table16[OverTime],Table16[Id_OverTime])</f>
        <v>OT002</v>
      </c>
      <c r="AK22" t="s">
        <v>33</v>
      </c>
      <c r="AL22">
        <v>18</v>
      </c>
      <c r="AM22" t="str">
        <f>_xlfn.XLOOKUP(Table1[[#This Row],[PerformanceRating]],Table17[PerformanceRating],Table17[Id_PerformanceRating])</f>
        <v>PR003</v>
      </c>
      <c r="AN22">
        <v>3</v>
      </c>
      <c r="AO22" t="str">
        <f>_xlfn.XLOOKUP(Table1[[#This Row],[PerformanceRating]],Table17[PerformanceRating],Table17[Deskripsi])</f>
        <v>Excellent</v>
      </c>
      <c r="AP22" t="str">
        <f>_xlfn.XLOOKUP(Table1[[#This Row],[RelationshipSatisfaction]],Table18[RelationshipSatisfaction],Table18[Id_RelationshipSatisfaction])</f>
        <v>RS004</v>
      </c>
      <c r="AQ22">
        <v>4</v>
      </c>
      <c r="AR22" t="str">
        <f>_xlfn.XLOOKUP(Table1[[#This Row],[RelationshipSatisfaction]],Table18[RelationshipSatisfaction],Table18[Deskripsi])</f>
        <v>Very High</v>
      </c>
      <c r="AS22" t="str">
        <f>_xlfn.XLOOKUP(Table1[[#This Row],[StockOptionLevel]],Table19[StockOptionLevel],Table19[Id_StockOptionLevel])</f>
        <v>SOL002</v>
      </c>
      <c r="AT22">
        <v>1</v>
      </c>
      <c r="AU22" t="str">
        <f>_xlfn.XLOOKUP(Table1[[#This Row],[StockOptionLevel]],Table19[StockOptionLevel],Table19[Deskripsi])</f>
        <v>Standard</v>
      </c>
      <c r="AV22">
        <v>5</v>
      </c>
      <c r="AW22">
        <v>5</v>
      </c>
      <c r="AX22" t="str">
        <f>_xlfn.XLOOKUP(Table1[[#This Row],[WorkLifeBalance]],Table20[WorkLifeBalance],Table20[Id_WorkLifeBalance])</f>
        <v>WLB003</v>
      </c>
      <c r="AY22">
        <v>2</v>
      </c>
      <c r="AZ22" t="str">
        <f>_xlfn.XLOOKUP(Table1[[#This Row],[WorkLifeBalance]],Table20[WorkLifeBalance],Table20[Deskripsi])</f>
        <v>Better</v>
      </c>
      <c r="BA22">
        <v>4</v>
      </c>
      <c r="BB22">
        <v>2</v>
      </c>
      <c r="BC22">
        <v>1</v>
      </c>
      <c r="BD22">
        <v>3</v>
      </c>
    </row>
    <row r="23" spans="1:56" x14ac:dyDescent="0.25">
      <c r="A23">
        <v>36</v>
      </c>
      <c r="B23" t="str">
        <f>_xlfn.XLOOKUP(Table1[[#This Row],[Attrition]],Table2[Attrition],Table2[Id_Attrition])</f>
        <v>A001</v>
      </c>
      <c r="C23" t="s">
        <v>32</v>
      </c>
      <c r="D23" t="str">
        <f>_xlfn.XLOOKUP(Table1[[#This Row],[BusinessTravel]],Table5[BusinessTravel],Table5[Id_BusinessTravel])</f>
        <v>BS001</v>
      </c>
      <c r="E23" t="s">
        <v>34</v>
      </c>
      <c r="F23">
        <v>1218</v>
      </c>
      <c r="G23" t="str">
        <f>_xlfn.XLOOKUP(Table1[[#This Row],[Department]],Table6[Department],Table6[Id_Departement])</f>
        <v>D001</v>
      </c>
      <c r="H23" t="s">
        <v>37</v>
      </c>
      <c r="I23">
        <v>9</v>
      </c>
      <c r="J23" t="str">
        <f>_xlfn.XLOOKUP(Table1[[#This Row],[Education]],Table8[Education],Table8[Id_Education])</f>
        <v>E004</v>
      </c>
      <c r="K23">
        <v>4</v>
      </c>
      <c r="L23" t="str">
        <f>_xlfn.XLOOKUP(Table1[[#This Row],[EducationField]],Table7[EducationField],Table7[Id_EducationField])</f>
        <v>EF001</v>
      </c>
      <c r="M23" t="s">
        <v>40</v>
      </c>
      <c r="N23" t="str">
        <f>_xlfn.XLOOKUP(Table1[[#This Row],[EmployeeNumber]],Table4[EmployeeNumber],Table4[Id_Employee])</f>
        <v>EMP00022</v>
      </c>
      <c r="O23">
        <v>27</v>
      </c>
      <c r="P23" t="str">
        <f>_xlfn.XLOOKUP(Table1[[#This Row],[EnvironmentSatisfaction]],Table9[EnvironmentSatisfaction],Table9[Id_EnviromentSatisfaction])</f>
        <v>ES003</v>
      </c>
      <c r="Q23">
        <v>3</v>
      </c>
      <c r="R23" t="str">
        <f>_xlfn.XLOOKUP(Table1[[#This Row],[EnvironmentSatisfaction]],Table9[EnvironmentSatisfaction],Table9[Deskripsi])</f>
        <v>High</v>
      </c>
      <c r="S23" t="str">
        <f>_xlfn.XLOOKUP(Table1[[#This Row],[Gender]],Table10[Gender],Table10[Id_Gender])</f>
        <v>G002</v>
      </c>
      <c r="T23" t="s">
        <v>46</v>
      </c>
      <c r="U23">
        <v>82</v>
      </c>
      <c r="V23" t="str">
        <f>_xlfn.XLOOKUP(Table1[[#This Row],[JobInvolvement]],Table11[JobInvolvement],Table11[Id_JobInvolvement])</f>
        <v>JI002</v>
      </c>
      <c r="W23">
        <v>2</v>
      </c>
      <c r="X23" t="str">
        <f>_xlfn.XLOOKUP(Table1[[#This Row],[JobLevel]],Table12[JobLevel],Table12[Id_JobLevel])</f>
        <v>JL001</v>
      </c>
      <c r="Y23">
        <v>1</v>
      </c>
      <c r="Z23" t="str">
        <f>_xlfn.XLOOKUP(Table1[[#This Row],[JobRole]],Table13[JobRole],Table13[Id_JobRole])</f>
        <v>JR007</v>
      </c>
      <c r="AA23" t="s">
        <v>53</v>
      </c>
      <c r="AB23" t="str">
        <f>_xlfn.XLOOKUP(Table1[[#This Row],[JobSatisfaction]],Table14[JobSatisfaction],Table14[Id_JobSatisfaction])</f>
        <v>JS001</v>
      </c>
      <c r="AC23">
        <v>1</v>
      </c>
      <c r="AD23" t="str">
        <f>_xlfn.XLOOKUP(Table1[[#This Row],[JobSatisfaction]],Table14[JobSatisfaction],Table14[Deskripsi])</f>
        <v>Low</v>
      </c>
      <c r="AE23" t="str">
        <f>_xlfn.XLOOKUP(Table1[[#This Row],[MaritalStatus]],Table15[MaritalStatus],Table15[Id_MaritalStatus])</f>
        <v>MS001</v>
      </c>
      <c r="AF23" t="s">
        <v>55</v>
      </c>
      <c r="AG23">
        <v>3407</v>
      </c>
      <c r="AH23">
        <v>6986</v>
      </c>
      <c r="AI23">
        <v>7</v>
      </c>
      <c r="AJ23" t="str">
        <f>_xlfn.XLOOKUP(Table1[[#This Row],[OverTime]],Table16[OverTime],Table16[Id_OverTime])</f>
        <v>OT002</v>
      </c>
      <c r="AK23" t="s">
        <v>33</v>
      </c>
      <c r="AL23">
        <v>23</v>
      </c>
      <c r="AM23" t="str">
        <f>_xlfn.XLOOKUP(Table1[[#This Row],[PerformanceRating]],Table17[PerformanceRating],Table17[Id_PerformanceRating])</f>
        <v>PR004</v>
      </c>
      <c r="AN23">
        <v>4</v>
      </c>
      <c r="AO23" t="str">
        <f>_xlfn.XLOOKUP(Table1[[#This Row],[PerformanceRating]],Table17[PerformanceRating],Table17[Deskripsi])</f>
        <v>Outstanding</v>
      </c>
      <c r="AP23" t="str">
        <f>_xlfn.XLOOKUP(Table1[[#This Row],[RelationshipSatisfaction]],Table18[RelationshipSatisfaction],Table18[Id_RelationshipSatisfaction])</f>
        <v>RS002</v>
      </c>
      <c r="AQ23">
        <v>2</v>
      </c>
      <c r="AR23" t="str">
        <f>_xlfn.XLOOKUP(Table1[[#This Row],[RelationshipSatisfaction]],Table18[RelationshipSatisfaction],Table18[Deskripsi])</f>
        <v>Medium</v>
      </c>
      <c r="AS23" t="str">
        <f>_xlfn.XLOOKUP(Table1[[#This Row],[StockOptionLevel]],Table19[StockOptionLevel],Table19[Id_StockOptionLevel])</f>
        <v>SOL001</v>
      </c>
      <c r="AT23">
        <v>0</v>
      </c>
      <c r="AU23" t="str">
        <f>_xlfn.XLOOKUP(Table1[[#This Row],[StockOptionLevel]],Table19[StockOptionLevel],Table19[Deskripsi])</f>
        <v>Non-Eligible</v>
      </c>
      <c r="AV23">
        <v>10</v>
      </c>
      <c r="AW23">
        <v>4</v>
      </c>
      <c r="AX23" t="str">
        <f>_xlfn.XLOOKUP(Table1[[#This Row],[WorkLifeBalance]],Table20[WorkLifeBalance],Table20[Id_WorkLifeBalance])</f>
        <v>WLB002</v>
      </c>
      <c r="AY23">
        <v>3</v>
      </c>
      <c r="AZ23" t="str">
        <f>_xlfn.XLOOKUP(Table1[[#This Row],[WorkLifeBalance]],Table20[WorkLifeBalance],Table20[Deskripsi])</f>
        <v>Good</v>
      </c>
      <c r="BA23">
        <v>5</v>
      </c>
      <c r="BB23">
        <v>3</v>
      </c>
      <c r="BC23">
        <v>0</v>
      </c>
      <c r="BD23">
        <v>3</v>
      </c>
    </row>
    <row r="24" spans="1:56" x14ac:dyDescent="0.25">
      <c r="A24">
        <v>34</v>
      </c>
      <c r="B24" t="str">
        <f>_xlfn.XLOOKUP(Table1[[#This Row],[Attrition]],Table2[Attrition],Table2[Id_Attrition])</f>
        <v>A002</v>
      </c>
      <c r="C24" t="s">
        <v>33</v>
      </c>
      <c r="D24" t="str">
        <f>_xlfn.XLOOKUP(Table1[[#This Row],[BusinessTravel]],Table5[BusinessTravel],Table5[Id_BusinessTravel])</f>
        <v>BS001</v>
      </c>
      <c r="E24" t="s">
        <v>34</v>
      </c>
      <c r="F24">
        <v>419</v>
      </c>
      <c r="G24" t="str">
        <f>_xlfn.XLOOKUP(Table1[[#This Row],[Department]],Table6[Department],Table6[Id_Departement])</f>
        <v>D002</v>
      </c>
      <c r="H24" t="s">
        <v>38</v>
      </c>
      <c r="I24">
        <v>7</v>
      </c>
      <c r="J24" t="str">
        <f>_xlfn.XLOOKUP(Table1[[#This Row],[Education]],Table8[Education],Table8[Id_Education])</f>
        <v>E004</v>
      </c>
      <c r="K24">
        <v>4</v>
      </c>
      <c r="L24" t="str">
        <f>_xlfn.XLOOKUP(Table1[[#This Row],[EducationField]],Table7[EducationField],Table7[Id_EducationField])</f>
        <v>EF001</v>
      </c>
      <c r="M24" t="s">
        <v>40</v>
      </c>
      <c r="N24" t="str">
        <f>_xlfn.XLOOKUP(Table1[[#This Row],[EmployeeNumber]],Table4[EmployeeNumber],Table4[Id_Employee])</f>
        <v>EMP00023</v>
      </c>
      <c r="O24">
        <v>28</v>
      </c>
      <c r="P24" t="str">
        <f>_xlfn.XLOOKUP(Table1[[#This Row],[EnvironmentSatisfaction]],Table9[EnvironmentSatisfaction],Table9[Id_EnviromentSatisfaction])</f>
        <v>ES001</v>
      </c>
      <c r="Q24">
        <v>1</v>
      </c>
      <c r="R24" t="str">
        <f>_xlfn.XLOOKUP(Table1[[#This Row],[EnvironmentSatisfaction]],Table9[EnvironmentSatisfaction],Table9[Deskripsi])</f>
        <v>Low</v>
      </c>
      <c r="S24" t="str">
        <f>_xlfn.XLOOKUP(Table1[[#This Row],[Gender]],Table10[Gender],Table10[Id_Gender])</f>
        <v>G001</v>
      </c>
      <c r="T24" t="s">
        <v>45</v>
      </c>
      <c r="U24">
        <v>53</v>
      </c>
      <c r="V24" t="str">
        <f>_xlfn.XLOOKUP(Table1[[#This Row],[JobInvolvement]],Table11[JobInvolvement],Table11[Id_JobInvolvement])</f>
        <v>JI003</v>
      </c>
      <c r="W24">
        <v>3</v>
      </c>
      <c r="X24" t="str">
        <f>_xlfn.XLOOKUP(Table1[[#This Row],[JobLevel]],Table12[JobLevel],Table12[Id_JobLevel])</f>
        <v>JL003</v>
      </c>
      <c r="Y24">
        <v>3</v>
      </c>
      <c r="Z24" t="str">
        <f>_xlfn.XLOOKUP(Table1[[#This Row],[JobRole]],Table13[JobRole],Table13[Id_JobRole])</f>
        <v>JR008</v>
      </c>
      <c r="AA24" t="s">
        <v>54</v>
      </c>
      <c r="AB24" t="str">
        <f>_xlfn.XLOOKUP(Table1[[#This Row],[JobSatisfaction]],Table14[JobSatisfaction],Table14[Id_JobSatisfaction])</f>
        <v>JS002</v>
      </c>
      <c r="AC24">
        <v>2</v>
      </c>
      <c r="AD24" t="str">
        <f>_xlfn.XLOOKUP(Table1[[#This Row],[JobSatisfaction]],Table14[JobSatisfaction],Table14[Deskripsi])</f>
        <v>Medium</v>
      </c>
      <c r="AE24" t="str">
        <f>_xlfn.XLOOKUP(Table1[[#This Row],[MaritalStatus]],Table15[MaritalStatus],Table15[Id_MaritalStatus])</f>
        <v>MS001</v>
      </c>
      <c r="AF24" t="s">
        <v>55</v>
      </c>
      <c r="AG24">
        <v>11994</v>
      </c>
      <c r="AH24">
        <v>21293</v>
      </c>
      <c r="AI24">
        <v>0</v>
      </c>
      <c r="AJ24" t="str">
        <f>_xlfn.XLOOKUP(Table1[[#This Row],[OverTime]],Table16[OverTime],Table16[Id_OverTime])</f>
        <v>OT002</v>
      </c>
      <c r="AK24" t="s">
        <v>33</v>
      </c>
      <c r="AL24">
        <v>11</v>
      </c>
      <c r="AM24" t="str">
        <f>_xlfn.XLOOKUP(Table1[[#This Row],[PerformanceRating]],Table17[PerformanceRating],Table17[Id_PerformanceRating])</f>
        <v>PR003</v>
      </c>
      <c r="AN24">
        <v>3</v>
      </c>
      <c r="AO24" t="str">
        <f>_xlfn.XLOOKUP(Table1[[#This Row],[PerformanceRating]],Table17[PerformanceRating],Table17[Deskripsi])</f>
        <v>Excellent</v>
      </c>
      <c r="AP24" t="str">
        <f>_xlfn.XLOOKUP(Table1[[#This Row],[RelationshipSatisfaction]],Table18[RelationshipSatisfaction],Table18[Id_RelationshipSatisfaction])</f>
        <v>RS003</v>
      </c>
      <c r="AQ24">
        <v>3</v>
      </c>
      <c r="AR24" t="str">
        <f>_xlfn.XLOOKUP(Table1[[#This Row],[RelationshipSatisfaction]],Table18[RelationshipSatisfaction],Table18[Deskripsi])</f>
        <v>High</v>
      </c>
      <c r="AS24" t="str">
        <f>_xlfn.XLOOKUP(Table1[[#This Row],[StockOptionLevel]],Table19[StockOptionLevel],Table19[Id_StockOptionLevel])</f>
        <v>SOL001</v>
      </c>
      <c r="AT24">
        <v>0</v>
      </c>
      <c r="AU24" t="str">
        <f>_xlfn.XLOOKUP(Table1[[#This Row],[StockOptionLevel]],Table19[StockOptionLevel],Table19[Deskripsi])</f>
        <v>Non-Eligible</v>
      </c>
      <c r="AV24">
        <v>13</v>
      </c>
      <c r="AW24">
        <v>4</v>
      </c>
      <c r="AX24" t="str">
        <f>_xlfn.XLOOKUP(Table1[[#This Row],[WorkLifeBalance]],Table20[WorkLifeBalance],Table20[Id_WorkLifeBalance])</f>
        <v>WLB002</v>
      </c>
      <c r="AY24">
        <v>3</v>
      </c>
      <c r="AZ24" t="str">
        <f>_xlfn.XLOOKUP(Table1[[#This Row],[WorkLifeBalance]],Table20[WorkLifeBalance],Table20[Deskripsi])</f>
        <v>Good</v>
      </c>
      <c r="BA24">
        <v>12</v>
      </c>
      <c r="BB24">
        <v>6</v>
      </c>
      <c r="BC24">
        <v>2</v>
      </c>
      <c r="BD24">
        <v>11</v>
      </c>
    </row>
    <row r="25" spans="1:56" x14ac:dyDescent="0.25">
      <c r="A25">
        <v>21</v>
      </c>
      <c r="B25" t="str">
        <f>_xlfn.XLOOKUP(Table1[[#This Row],[Attrition]],Table2[Attrition],Table2[Id_Attrition])</f>
        <v>A002</v>
      </c>
      <c r="C25" t="s">
        <v>33</v>
      </c>
      <c r="D25" t="str">
        <f>_xlfn.XLOOKUP(Table1[[#This Row],[BusinessTravel]],Table5[BusinessTravel],Table5[Id_BusinessTravel])</f>
        <v>BS001</v>
      </c>
      <c r="E25" t="s">
        <v>34</v>
      </c>
      <c r="F25">
        <v>391</v>
      </c>
      <c r="G25" t="str">
        <f>_xlfn.XLOOKUP(Table1[[#This Row],[Department]],Table6[Department],Table6[Id_Departement])</f>
        <v>D002</v>
      </c>
      <c r="H25" t="s">
        <v>38</v>
      </c>
      <c r="I25">
        <v>15</v>
      </c>
      <c r="J25" t="str">
        <f>_xlfn.XLOOKUP(Table1[[#This Row],[Education]],Table8[Education],Table8[Id_Education])</f>
        <v>E002</v>
      </c>
      <c r="K25">
        <v>2</v>
      </c>
      <c r="L25" t="str">
        <f>_xlfn.XLOOKUP(Table1[[#This Row],[EducationField]],Table7[EducationField],Table7[Id_EducationField])</f>
        <v>EF001</v>
      </c>
      <c r="M25" t="s">
        <v>40</v>
      </c>
      <c r="N25" t="str">
        <f>_xlfn.XLOOKUP(Table1[[#This Row],[EmployeeNumber]],Table4[EmployeeNumber],Table4[Id_Employee])</f>
        <v>EMP00024</v>
      </c>
      <c r="O25">
        <v>30</v>
      </c>
      <c r="P25" t="str">
        <f>_xlfn.XLOOKUP(Table1[[#This Row],[EnvironmentSatisfaction]],Table9[EnvironmentSatisfaction],Table9[Id_EnviromentSatisfaction])</f>
        <v>ES003</v>
      </c>
      <c r="Q25">
        <v>3</v>
      </c>
      <c r="R25" t="str">
        <f>_xlfn.XLOOKUP(Table1[[#This Row],[EnvironmentSatisfaction]],Table9[EnvironmentSatisfaction],Table9[Deskripsi])</f>
        <v>High</v>
      </c>
      <c r="S25" t="str">
        <f>_xlfn.XLOOKUP(Table1[[#This Row],[Gender]],Table10[Gender],Table10[Id_Gender])</f>
        <v>G002</v>
      </c>
      <c r="T25" t="s">
        <v>46</v>
      </c>
      <c r="U25">
        <v>96</v>
      </c>
      <c r="V25" t="str">
        <f>_xlfn.XLOOKUP(Table1[[#This Row],[JobInvolvement]],Table11[JobInvolvement],Table11[Id_JobInvolvement])</f>
        <v>JI003</v>
      </c>
      <c r="W25">
        <v>3</v>
      </c>
      <c r="X25" t="str">
        <f>_xlfn.XLOOKUP(Table1[[#This Row],[JobLevel]],Table12[JobLevel],Table12[Id_JobLevel])</f>
        <v>JL001</v>
      </c>
      <c r="Y25">
        <v>1</v>
      </c>
      <c r="Z25" t="str">
        <f>_xlfn.XLOOKUP(Table1[[#This Row],[JobRole]],Table13[JobRole],Table13[Id_JobRole])</f>
        <v>JR002</v>
      </c>
      <c r="AA25" t="s">
        <v>48</v>
      </c>
      <c r="AB25" t="str">
        <f>_xlfn.XLOOKUP(Table1[[#This Row],[JobSatisfaction]],Table14[JobSatisfaction],Table14[Id_JobSatisfaction])</f>
        <v>JS004</v>
      </c>
      <c r="AC25">
        <v>4</v>
      </c>
      <c r="AD25" t="str">
        <f>_xlfn.XLOOKUP(Table1[[#This Row],[JobSatisfaction]],Table14[JobSatisfaction],Table14[Deskripsi])</f>
        <v>Very High</v>
      </c>
      <c r="AE25" t="str">
        <f>_xlfn.XLOOKUP(Table1[[#This Row],[MaritalStatus]],Table15[MaritalStatus],Table15[Id_MaritalStatus])</f>
        <v>MS001</v>
      </c>
      <c r="AF25" t="s">
        <v>55</v>
      </c>
      <c r="AG25">
        <v>1232</v>
      </c>
      <c r="AH25">
        <v>19281</v>
      </c>
      <c r="AI25">
        <v>1</v>
      </c>
      <c r="AJ25" t="str">
        <f>_xlfn.XLOOKUP(Table1[[#This Row],[OverTime]],Table16[OverTime],Table16[Id_OverTime])</f>
        <v>OT002</v>
      </c>
      <c r="AK25" t="s">
        <v>33</v>
      </c>
      <c r="AL25">
        <v>14</v>
      </c>
      <c r="AM25" t="str">
        <f>_xlfn.XLOOKUP(Table1[[#This Row],[PerformanceRating]],Table17[PerformanceRating],Table17[Id_PerformanceRating])</f>
        <v>PR003</v>
      </c>
      <c r="AN25">
        <v>3</v>
      </c>
      <c r="AO25" t="str">
        <f>_xlfn.XLOOKUP(Table1[[#This Row],[PerformanceRating]],Table17[PerformanceRating],Table17[Deskripsi])</f>
        <v>Excellent</v>
      </c>
      <c r="AP25" t="str">
        <f>_xlfn.XLOOKUP(Table1[[#This Row],[RelationshipSatisfaction]],Table18[RelationshipSatisfaction],Table18[Id_RelationshipSatisfaction])</f>
        <v>RS004</v>
      </c>
      <c r="AQ25">
        <v>4</v>
      </c>
      <c r="AR25" t="str">
        <f>_xlfn.XLOOKUP(Table1[[#This Row],[RelationshipSatisfaction]],Table18[RelationshipSatisfaction],Table18[Deskripsi])</f>
        <v>Very High</v>
      </c>
      <c r="AS25" t="str">
        <f>_xlfn.XLOOKUP(Table1[[#This Row],[StockOptionLevel]],Table19[StockOptionLevel],Table19[Id_StockOptionLevel])</f>
        <v>SOL001</v>
      </c>
      <c r="AT25">
        <v>0</v>
      </c>
      <c r="AU25" t="str">
        <f>_xlfn.XLOOKUP(Table1[[#This Row],[StockOptionLevel]],Table19[StockOptionLevel],Table19[Deskripsi])</f>
        <v>Non-Eligible</v>
      </c>
      <c r="AV25">
        <v>0</v>
      </c>
      <c r="AW25">
        <v>6</v>
      </c>
      <c r="AX25" t="str">
        <f>_xlfn.XLOOKUP(Table1[[#This Row],[WorkLifeBalance]],Table20[WorkLifeBalance],Table20[Id_WorkLifeBalance])</f>
        <v>WLB002</v>
      </c>
      <c r="AY25">
        <v>3</v>
      </c>
      <c r="AZ25" t="str">
        <f>_xlfn.XLOOKUP(Table1[[#This Row],[WorkLifeBalance]],Table20[WorkLifeBalance],Table20[Deskripsi])</f>
        <v>Good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>
        <v>34</v>
      </c>
      <c r="B26" t="str">
        <f>_xlfn.XLOOKUP(Table1[[#This Row],[Attrition]],Table2[Attrition],Table2[Id_Attrition])</f>
        <v>A001</v>
      </c>
      <c r="C26" t="s">
        <v>32</v>
      </c>
      <c r="D26" t="str">
        <f>_xlfn.XLOOKUP(Table1[[#This Row],[BusinessTravel]],Table5[BusinessTravel],Table5[Id_BusinessTravel])</f>
        <v>BS001</v>
      </c>
      <c r="E26" t="s">
        <v>34</v>
      </c>
      <c r="F26">
        <v>699</v>
      </c>
      <c r="G26" t="str">
        <f>_xlfn.XLOOKUP(Table1[[#This Row],[Department]],Table6[Department],Table6[Id_Departement])</f>
        <v>D002</v>
      </c>
      <c r="H26" t="s">
        <v>38</v>
      </c>
      <c r="I26">
        <v>6</v>
      </c>
      <c r="J26" t="str">
        <f>_xlfn.XLOOKUP(Table1[[#This Row],[Education]],Table8[Education],Table8[Id_Education])</f>
        <v>E001</v>
      </c>
      <c r="K26">
        <v>1</v>
      </c>
      <c r="L26" t="str">
        <f>_xlfn.XLOOKUP(Table1[[#This Row],[EducationField]],Table7[EducationField],Table7[Id_EducationField])</f>
        <v>EF003</v>
      </c>
      <c r="M26" t="s">
        <v>42</v>
      </c>
      <c r="N26" t="str">
        <f>_xlfn.XLOOKUP(Table1[[#This Row],[EmployeeNumber]],Table4[EmployeeNumber],Table4[Id_Employee])</f>
        <v>EMP00025</v>
      </c>
      <c r="O26">
        <v>31</v>
      </c>
      <c r="P26" t="str">
        <f>_xlfn.XLOOKUP(Table1[[#This Row],[EnvironmentSatisfaction]],Table9[EnvironmentSatisfaction],Table9[Id_EnviromentSatisfaction])</f>
        <v>ES002</v>
      </c>
      <c r="Q26">
        <v>2</v>
      </c>
      <c r="R26" t="str">
        <f>_xlfn.XLOOKUP(Table1[[#This Row],[EnvironmentSatisfaction]],Table9[EnvironmentSatisfaction],Table9[Deskripsi])</f>
        <v>Medium</v>
      </c>
      <c r="S26" t="str">
        <f>_xlfn.XLOOKUP(Table1[[#This Row],[Gender]],Table10[Gender],Table10[Id_Gender])</f>
        <v>G002</v>
      </c>
      <c r="T26" t="s">
        <v>46</v>
      </c>
      <c r="U26">
        <v>83</v>
      </c>
      <c r="V26" t="str">
        <f>_xlfn.XLOOKUP(Table1[[#This Row],[JobInvolvement]],Table11[JobInvolvement],Table11[Id_JobInvolvement])</f>
        <v>JI003</v>
      </c>
      <c r="W26">
        <v>3</v>
      </c>
      <c r="X26" t="str">
        <f>_xlfn.XLOOKUP(Table1[[#This Row],[JobLevel]],Table12[JobLevel],Table12[Id_JobLevel])</f>
        <v>JL001</v>
      </c>
      <c r="Y26">
        <v>1</v>
      </c>
      <c r="Z26" t="str">
        <f>_xlfn.XLOOKUP(Table1[[#This Row],[JobRole]],Table13[JobRole],Table13[Id_JobRole])</f>
        <v>JR002</v>
      </c>
      <c r="AA26" t="s">
        <v>48</v>
      </c>
      <c r="AB26" t="str">
        <f>_xlfn.XLOOKUP(Table1[[#This Row],[JobSatisfaction]],Table14[JobSatisfaction],Table14[Id_JobSatisfaction])</f>
        <v>JS001</v>
      </c>
      <c r="AC26">
        <v>1</v>
      </c>
      <c r="AD26" t="str">
        <f>_xlfn.XLOOKUP(Table1[[#This Row],[JobSatisfaction]],Table14[JobSatisfaction],Table14[Deskripsi])</f>
        <v>Low</v>
      </c>
      <c r="AE26" t="str">
        <f>_xlfn.XLOOKUP(Table1[[#This Row],[MaritalStatus]],Table15[MaritalStatus],Table15[Id_MaritalStatus])</f>
        <v>MS001</v>
      </c>
      <c r="AF26" t="s">
        <v>55</v>
      </c>
      <c r="AG26">
        <v>2960</v>
      </c>
      <c r="AH26">
        <v>17102</v>
      </c>
      <c r="AI26">
        <v>2</v>
      </c>
      <c r="AJ26" t="str">
        <f>_xlfn.XLOOKUP(Table1[[#This Row],[OverTime]],Table16[OverTime],Table16[Id_OverTime])</f>
        <v>OT002</v>
      </c>
      <c r="AK26" t="s">
        <v>33</v>
      </c>
      <c r="AL26">
        <v>11</v>
      </c>
      <c r="AM26" t="str">
        <f>_xlfn.XLOOKUP(Table1[[#This Row],[PerformanceRating]],Table17[PerformanceRating],Table17[Id_PerformanceRating])</f>
        <v>PR003</v>
      </c>
      <c r="AN26">
        <v>3</v>
      </c>
      <c r="AO26" t="str">
        <f>_xlfn.XLOOKUP(Table1[[#This Row],[PerformanceRating]],Table17[PerformanceRating],Table17[Deskripsi])</f>
        <v>Excellent</v>
      </c>
      <c r="AP26" t="str">
        <f>_xlfn.XLOOKUP(Table1[[#This Row],[RelationshipSatisfaction]],Table18[RelationshipSatisfaction],Table18[Id_RelationshipSatisfaction])</f>
        <v>RS003</v>
      </c>
      <c r="AQ26">
        <v>3</v>
      </c>
      <c r="AR26" t="str">
        <f>_xlfn.XLOOKUP(Table1[[#This Row],[RelationshipSatisfaction]],Table18[RelationshipSatisfaction],Table18[Deskripsi])</f>
        <v>High</v>
      </c>
      <c r="AS26" t="str">
        <f>_xlfn.XLOOKUP(Table1[[#This Row],[StockOptionLevel]],Table19[StockOptionLevel],Table19[Id_StockOptionLevel])</f>
        <v>SOL001</v>
      </c>
      <c r="AT26">
        <v>0</v>
      </c>
      <c r="AU26" t="str">
        <f>_xlfn.XLOOKUP(Table1[[#This Row],[StockOptionLevel]],Table19[StockOptionLevel],Table19[Deskripsi])</f>
        <v>Non-Eligible</v>
      </c>
      <c r="AV26">
        <v>8</v>
      </c>
      <c r="AW26">
        <v>2</v>
      </c>
      <c r="AX26" t="str">
        <f>_xlfn.XLOOKUP(Table1[[#This Row],[WorkLifeBalance]],Table20[WorkLifeBalance],Table20[Id_WorkLifeBalance])</f>
        <v>WLB002</v>
      </c>
      <c r="AY26">
        <v>3</v>
      </c>
      <c r="AZ26" t="str">
        <f>_xlfn.XLOOKUP(Table1[[#This Row],[WorkLifeBalance]],Table20[WorkLifeBalance],Table20[Deskripsi])</f>
        <v>Good</v>
      </c>
      <c r="BA26">
        <v>4</v>
      </c>
      <c r="BB26">
        <v>2</v>
      </c>
      <c r="BC26">
        <v>1</v>
      </c>
      <c r="BD26">
        <v>3</v>
      </c>
    </row>
    <row r="27" spans="1:56" x14ac:dyDescent="0.25">
      <c r="A27">
        <v>53</v>
      </c>
      <c r="B27" t="str">
        <f>_xlfn.XLOOKUP(Table1[[#This Row],[Attrition]],Table2[Attrition],Table2[Id_Attrition])</f>
        <v>A002</v>
      </c>
      <c r="C27" t="s">
        <v>33</v>
      </c>
      <c r="D27" t="str">
        <f>_xlfn.XLOOKUP(Table1[[#This Row],[BusinessTravel]],Table5[BusinessTravel],Table5[Id_BusinessTravel])</f>
        <v>BS001</v>
      </c>
      <c r="E27" t="s">
        <v>34</v>
      </c>
      <c r="F27">
        <v>1282</v>
      </c>
      <c r="G27" t="str">
        <f>_xlfn.XLOOKUP(Table1[[#This Row],[Department]],Table6[Department],Table6[Id_Departement])</f>
        <v>D002</v>
      </c>
      <c r="H27" t="s">
        <v>38</v>
      </c>
      <c r="I27">
        <v>5</v>
      </c>
      <c r="J27" t="str">
        <f>_xlfn.XLOOKUP(Table1[[#This Row],[Education]],Table8[Education],Table8[Id_Education])</f>
        <v>E003</v>
      </c>
      <c r="K27">
        <v>3</v>
      </c>
      <c r="L27" t="str">
        <f>_xlfn.XLOOKUP(Table1[[#This Row],[EducationField]],Table7[EducationField],Table7[Id_EducationField])</f>
        <v>EF002</v>
      </c>
      <c r="M27" t="s">
        <v>41</v>
      </c>
      <c r="N27" t="str">
        <f>_xlfn.XLOOKUP(Table1[[#This Row],[EmployeeNumber]],Table4[EmployeeNumber],Table4[Id_Employee])</f>
        <v>EMP00026</v>
      </c>
      <c r="O27">
        <v>32</v>
      </c>
      <c r="P27" t="str">
        <f>_xlfn.XLOOKUP(Table1[[#This Row],[EnvironmentSatisfaction]],Table9[EnvironmentSatisfaction],Table9[Id_EnviromentSatisfaction])</f>
        <v>ES003</v>
      </c>
      <c r="Q27">
        <v>3</v>
      </c>
      <c r="R27" t="str">
        <f>_xlfn.XLOOKUP(Table1[[#This Row],[EnvironmentSatisfaction]],Table9[EnvironmentSatisfaction],Table9[Deskripsi])</f>
        <v>High</v>
      </c>
      <c r="S27" t="str">
        <f>_xlfn.XLOOKUP(Table1[[#This Row],[Gender]],Table10[Gender],Table10[Id_Gender])</f>
        <v>G001</v>
      </c>
      <c r="T27" t="s">
        <v>45</v>
      </c>
      <c r="U27">
        <v>58</v>
      </c>
      <c r="V27" t="str">
        <f>_xlfn.XLOOKUP(Table1[[#This Row],[JobInvolvement]],Table11[JobInvolvement],Table11[Id_JobInvolvement])</f>
        <v>JI003</v>
      </c>
      <c r="W27">
        <v>3</v>
      </c>
      <c r="X27" t="str">
        <f>_xlfn.XLOOKUP(Table1[[#This Row],[JobLevel]],Table12[JobLevel],Table12[Id_JobLevel])</f>
        <v>JL005</v>
      </c>
      <c r="Y27">
        <v>5</v>
      </c>
      <c r="Z27" t="str">
        <f>_xlfn.XLOOKUP(Table1[[#This Row],[JobRole]],Table13[JobRole],Table13[Id_JobRole])</f>
        <v>JR006</v>
      </c>
      <c r="AA27" t="s">
        <v>52</v>
      </c>
      <c r="AB27" t="str">
        <f>_xlfn.XLOOKUP(Table1[[#This Row],[JobSatisfaction]],Table14[JobSatisfaction],Table14[Id_JobSatisfaction])</f>
        <v>JS003</v>
      </c>
      <c r="AC27">
        <v>3</v>
      </c>
      <c r="AD27" t="str">
        <f>_xlfn.XLOOKUP(Table1[[#This Row],[JobSatisfaction]],Table14[JobSatisfaction],Table14[Deskripsi])</f>
        <v>High</v>
      </c>
      <c r="AE27" t="str">
        <f>_xlfn.XLOOKUP(Table1[[#This Row],[MaritalStatus]],Table15[MaritalStatus],Table15[Id_MaritalStatus])</f>
        <v>MS003</v>
      </c>
      <c r="AF27" t="s">
        <v>57</v>
      </c>
      <c r="AG27">
        <v>19094</v>
      </c>
      <c r="AH27">
        <v>10735</v>
      </c>
      <c r="AI27">
        <v>4</v>
      </c>
      <c r="AJ27" t="str">
        <f>_xlfn.XLOOKUP(Table1[[#This Row],[OverTime]],Table16[OverTime],Table16[Id_OverTime])</f>
        <v>OT002</v>
      </c>
      <c r="AK27" t="s">
        <v>33</v>
      </c>
      <c r="AL27">
        <v>11</v>
      </c>
      <c r="AM27" t="str">
        <f>_xlfn.XLOOKUP(Table1[[#This Row],[PerformanceRating]],Table17[PerformanceRating],Table17[Id_PerformanceRating])</f>
        <v>PR003</v>
      </c>
      <c r="AN27">
        <v>3</v>
      </c>
      <c r="AO27" t="str">
        <f>_xlfn.XLOOKUP(Table1[[#This Row],[PerformanceRating]],Table17[PerformanceRating],Table17[Deskripsi])</f>
        <v>Excellent</v>
      </c>
      <c r="AP27" t="str">
        <f>_xlfn.XLOOKUP(Table1[[#This Row],[RelationshipSatisfaction]],Table18[RelationshipSatisfaction],Table18[Id_RelationshipSatisfaction])</f>
        <v>RS004</v>
      </c>
      <c r="AQ27">
        <v>4</v>
      </c>
      <c r="AR27" t="str">
        <f>_xlfn.XLOOKUP(Table1[[#This Row],[RelationshipSatisfaction]],Table18[RelationshipSatisfaction],Table18[Deskripsi])</f>
        <v>Very High</v>
      </c>
      <c r="AS27" t="str">
        <f>_xlfn.XLOOKUP(Table1[[#This Row],[StockOptionLevel]],Table19[StockOptionLevel],Table19[Id_StockOptionLevel])</f>
        <v>SOL002</v>
      </c>
      <c r="AT27">
        <v>1</v>
      </c>
      <c r="AU27" t="str">
        <f>_xlfn.XLOOKUP(Table1[[#This Row],[StockOptionLevel]],Table19[StockOptionLevel],Table19[Deskripsi])</f>
        <v>Standard</v>
      </c>
      <c r="AV27">
        <v>26</v>
      </c>
      <c r="AW27">
        <v>3</v>
      </c>
      <c r="AX27" t="str">
        <f>_xlfn.XLOOKUP(Table1[[#This Row],[WorkLifeBalance]],Table20[WorkLifeBalance],Table20[Id_WorkLifeBalance])</f>
        <v>WLB003</v>
      </c>
      <c r="AY27">
        <v>2</v>
      </c>
      <c r="AZ27" t="str">
        <f>_xlfn.XLOOKUP(Table1[[#This Row],[WorkLifeBalance]],Table20[WorkLifeBalance],Table20[Deskripsi])</f>
        <v>Better</v>
      </c>
      <c r="BA27">
        <v>14</v>
      </c>
      <c r="BB27">
        <v>13</v>
      </c>
      <c r="BC27">
        <v>4</v>
      </c>
      <c r="BD27">
        <v>8</v>
      </c>
    </row>
    <row r="28" spans="1:56" x14ac:dyDescent="0.25">
      <c r="A28">
        <v>32</v>
      </c>
      <c r="B28" t="str">
        <f>_xlfn.XLOOKUP(Table1[[#This Row],[Attrition]],Table2[Attrition],Table2[Id_Attrition])</f>
        <v>A001</v>
      </c>
      <c r="C28" t="s">
        <v>32</v>
      </c>
      <c r="D28" t="str">
        <f>_xlfn.XLOOKUP(Table1[[#This Row],[BusinessTravel]],Table5[BusinessTravel],Table5[Id_BusinessTravel])</f>
        <v>BS002</v>
      </c>
      <c r="E28" t="s">
        <v>35</v>
      </c>
      <c r="F28">
        <v>1125</v>
      </c>
      <c r="G28" t="str">
        <f>_xlfn.XLOOKUP(Table1[[#This Row],[Department]],Table6[Department],Table6[Id_Departement])</f>
        <v>D002</v>
      </c>
      <c r="H28" t="s">
        <v>38</v>
      </c>
      <c r="I28">
        <v>16</v>
      </c>
      <c r="J28" t="str">
        <f>_xlfn.XLOOKUP(Table1[[#This Row],[Education]],Table8[Education],Table8[Id_Education])</f>
        <v>E001</v>
      </c>
      <c r="K28">
        <v>1</v>
      </c>
      <c r="L28" t="str">
        <f>_xlfn.XLOOKUP(Table1[[#This Row],[EducationField]],Table7[EducationField],Table7[Id_EducationField])</f>
        <v>EF001</v>
      </c>
      <c r="M28" t="s">
        <v>40</v>
      </c>
      <c r="N28" t="str">
        <f>_xlfn.XLOOKUP(Table1[[#This Row],[EmployeeNumber]],Table4[EmployeeNumber],Table4[Id_Employee])</f>
        <v>EMP00027</v>
      </c>
      <c r="O28">
        <v>33</v>
      </c>
      <c r="P28" t="str">
        <f>_xlfn.XLOOKUP(Table1[[#This Row],[EnvironmentSatisfaction]],Table9[EnvironmentSatisfaction],Table9[Id_EnviromentSatisfaction])</f>
        <v>ES002</v>
      </c>
      <c r="Q28">
        <v>2</v>
      </c>
      <c r="R28" t="str">
        <f>_xlfn.XLOOKUP(Table1[[#This Row],[EnvironmentSatisfaction]],Table9[EnvironmentSatisfaction],Table9[Deskripsi])</f>
        <v>Medium</v>
      </c>
      <c r="S28" t="str">
        <f>_xlfn.XLOOKUP(Table1[[#This Row],[Gender]],Table10[Gender],Table10[Id_Gender])</f>
        <v>G001</v>
      </c>
      <c r="T28" t="s">
        <v>45</v>
      </c>
      <c r="U28">
        <v>72</v>
      </c>
      <c r="V28" t="str">
        <f>_xlfn.XLOOKUP(Table1[[#This Row],[JobInvolvement]],Table11[JobInvolvement],Table11[Id_JobInvolvement])</f>
        <v>JI001</v>
      </c>
      <c r="W28">
        <v>1</v>
      </c>
      <c r="X28" t="str">
        <f>_xlfn.XLOOKUP(Table1[[#This Row],[JobLevel]],Table12[JobLevel],Table12[Id_JobLevel])</f>
        <v>JL001</v>
      </c>
      <c r="Y28">
        <v>1</v>
      </c>
      <c r="Z28" t="str">
        <f>_xlfn.XLOOKUP(Table1[[#This Row],[JobRole]],Table13[JobRole],Table13[Id_JobRole])</f>
        <v>JR002</v>
      </c>
      <c r="AA28" t="s">
        <v>48</v>
      </c>
      <c r="AB28" t="str">
        <f>_xlfn.XLOOKUP(Table1[[#This Row],[JobSatisfaction]],Table14[JobSatisfaction],Table14[Id_JobSatisfaction])</f>
        <v>JS001</v>
      </c>
      <c r="AC28">
        <v>1</v>
      </c>
      <c r="AD28" t="str">
        <f>_xlfn.XLOOKUP(Table1[[#This Row],[JobSatisfaction]],Table14[JobSatisfaction],Table14[Deskripsi])</f>
        <v>Low</v>
      </c>
      <c r="AE28" t="str">
        <f>_xlfn.XLOOKUP(Table1[[#This Row],[MaritalStatus]],Table15[MaritalStatus],Table15[Id_MaritalStatus])</f>
        <v>MS001</v>
      </c>
      <c r="AF28" t="s">
        <v>55</v>
      </c>
      <c r="AG28">
        <v>3919</v>
      </c>
      <c r="AH28">
        <v>4681</v>
      </c>
      <c r="AI28">
        <v>1</v>
      </c>
      <c r="AJ28" t="str">
        <f>_xlfn.XLOOKUP(Table1[[#This Row],[OverTime]],Table16[OverTime],Table16[Id_OverTime])</f>
        <v>OT001</v>
      </c>
      <c r="AK28" t="s">
        <v>32</v>
      </c>
      <c r="AL28">
        <v>22</v>
      </c>
      <c r="AM28" t="str">
        <f>_xlfn.XLOOKUP(Table1[[#This Row],[PerformanceRating]],Table17[PerformanceRating],Table17[Id_PerformanceRating])</f>
        <v>PR004</v>
      </c>
      <c r="AN28">
        <v>4</v>
      </c>
      <c r="AO28" t="str">
        <f>_xlfn.XLOOKUP(Table1[[#This Row],[PerformanceRating]],Table17[PerformanceRating],Table17[Deskripsi])</f>
        <v>Outstanding</v>
      </c>
      <c r="AP28" t="str">
        <f>_xlfn.XLOOKUP(Table1[[#This Row],[RelationshipSatisfaction]],Table18[RelationshipSatisfaction],Table18[Id_RelationshipSatisfaction])</f>
        <v>RS002</v>
      </c>
      <c r="AQ28">
        <v>2</v>
      </c>
      <c r="AR28" t="str">
        <f>_xlfn.XLOOKUP(Table1[[#This Row],[RelationshipSatisfaction]],Table18[RelationshipSatisfaction],Table18[Deskripsi])</f>
        <v>Medium</v>
      </c>
      <c r="AS28" t="str">
        <f>_xlfn.XLOOKUP(Table1[[#This Row],[StockOptionLevel]],Table19[StockOptionLevel],Table19[Id_StockOptionLevel])</f>
        <v>SOL001</v>
      </c>
      <c r="AT28">
        <v>0</v>
      </c>
      <c r="AU28" t="str">
        <f>_xlfn.XLOOKUP(Table1[[#This Row],[StockOptionLevel]],Table19[StockOptionLevel],Table19[Deskripsi])</f>
        <v>Non-Eligible</v>
      </c>
      <c r="AV28">
        <v>10</v>
      </c>
      <c r="AW28">
        <v>5</v>
      </c>
      <c r="AX28" t="str">
        <f>_xlfn.XLOOKUP(Table1[[#This Row],[WorkLifeBalance]],Table20[WorkLifeBalance],Table20[Id_WorkLifeBalance])</f>
        <v>WLB002</v>
      </c>
      <c r="AY28">
        <v>3</v>
      </c>
      <c r="AZ28" t="str">
        <f>_xlfn.XLOOKUP(Table1[[#This Row],[WorkLifeBalance]],Table20[WorkLifeBalance],Table20[Deskripsi])</f>
        <v>Good</v>
      </c>
      <c r="BA28">
        <v>10</v>
      </c>
      <c r="BB28">
        <v>2</v>
      </c>
      <c r="BC28">
        <v>6</v>
      </c>
      <c r="BD28">
        <v>7</v>
      </c>
    </row>
    <row r="29" spans="1:56" x14ac:dyDescent="0.25">
      <c r="A29">
        <v>42</v>
      </c>
      <c r="B29" t="str">
        <f>_xlfn.XLOOKUP(Table1[[#This Row],[Attrition]],Table2[Attrition],Table2[Id_Attrition])</f>
        <v>A002</v>
      </c>
      <c r="C29" t="s">
        <v>33</v>
      </c>
      <c r="D29" t="str">
        <f>_xlfn.XLOOKUP(Table1[[#This Row],[BusinessTravel]],Table5[BusinessTravel],Table5[Id_BusinessTravel])</f>
        <v>BS001</v>
      </c>
      <c r="E29" t="s">
        <v>34</v>
      </c>
      <c r="F29">
        <v>691</v>
      </c>
      <c r="G29" t="str">
        <f>_xlfn.XLOOKUP(Table1[[#This Row],[Department]],Table6[Department],Table6[Id_Departement])</f>
        <v>D001</v>
      </c>
      <c r="H29" t="s">
        <v>37</v>
      </c>
      <c r="I29">
        <v>8</v>
      </c>
      <c r="J29" t="str">
        <f>_xlfn.XLOOKUP(Table1[[#This Row],[Education]],Table8[Education],Table8[Id_Education])</f>
        <v>E004</v>
      </c>
      <c r="K29">
        <v>4</v>
      </c>
      <c r="L29" t="str">
        <f>_xlfn.XLOOKUP(Table1[[#This Row],[EducationField]],Table7[EducationField],Table7[Id_EducationField])</f>
        <v>EF004</v>
      </c>
      <c r="M29" t="s">
        <v>43</v>
      </c>
      <c r="N29" t="str">
        <f>_xlfn.XLOOKUP(Table1[[#This Row],[EmployeeNumber]],Table4[EmployeeNumber],Table4[Id_Employee])</f>
        <v>EMP00028</v>
      </c>
      <c r="O29">
        <v>35</v>
      </c>
      <c r="P29" t="str">
        <f>_xlfn.XLOOKUP(Table1[[#This Row],[EnvironmentSatisfaction]],Table9[EnvironmentSatisfaction],Table9[Id_EnviromentSatisfaction])</f>
        <v>ES003</v>
      </c>
      <c r="Q29">
        <v>3</v>
      </c>
      <c r="R29" t="str">
        <f>_xlfn.XLOOKUP(Table1[[#This Row],[EnvironmentSatisfaction]],Table9[EnvironmentSatisfaction],Table9[Deskripsi])</f>
        <v>High</v>
      </c>
      <c r="S29" t="str">
        <f>_xlfn.XLOOKUP(Table1[[#This Row],[Gender]],Table10[Gender],Table10[Id_Gender])</f>
        <v>G002</v>
      </c>
      <c r="T29" t="s">
        <v>46</v>
      </c>
      <c r="U29">
        <v>48</v>
      </c>
      <c r="V29" t="str">
        <f>_xlfn.XLOOKUP(Table1[[#This Row],[JobInvolvement]],Table11[JobInvolvement],Table11[Id_JobInvolvement])</f>
        <v>JI003</v>
      </c>
      <c r="W29">
        <v>3</v>
      </c>
      <c r="X29" t="str">
        <f>_xlfn.XLOOKUP(Table1[[#This Row],[JobLevel]],Table12[JobLevel],Table12[Id_JobLevel])</f>
        <v>JL002</v>
      </c>
      <c r="Y29">
        <v>2</v>
      </c>
      <c r="Z29" t="str">
        <f>_xlfn.XLOOKUP(Table1[[#This Row],[JobRole]],Table13[JobRole],Table13[Id_JobRole])</f>
        <v>JR001</v>
      </c>
      <c r="AA29" t="s">
        <v>47</v>
      </c>
      <c r="AB29" t="str">
        <f>_xlfn.XLOOKUP(Table1[[#This Row],[JobSatisfaction]],Table14[JobSatisfaction],Table14[Id_JobSatisfaction])</f>
        <v>JS002</v>
      </c>
      <c r="AC29">
        <v>2</v>
      </c>
      <c r="AD29" t="str">
        <f>_xlfn.XLOOKUP(Table1[[#This Row],[JobSatisfaction]],Table14[JobSatisfaction],Table14[Deskripsi])</f>
        <v>Medium</v>
      </c>
      <c r="AE29" t="str">
        <f>_xlfn.XLOOKUP(Table1[[#This Row],[MaritalStatus]],Table15[MaritalStatus],Table15[Id_MaritalStatus])</f>
        <v>MS002</v>
      </c>
      <c r="AF29" t="s">
        <v>56</v>
      </c>
      <c r="AG29">
        <v>6825</v>
      </c>
      <c r="AH29">
        <v>21173</v>
      </c>
      <c r="AI29">
        <v>0</v>
      </c>
      <c r="AJ29" t="str">
        <f>_xlfn.XLOOKUP(Table1[[#This Row],[OverTime]],Table16[OverTime],Table16[Id_OverTime])</f>
        <v>OT002</v>
      </c>
      <c r="AK29" t="s">
        <v>33</v>
      </c>
      <c r="AL29">
        <v>11</v>
      </c>
      <c r="AM29" t="str">
        <f>_xlfn.XLOOKUP(Table1[[#This Row],[PerformanceRating]],Table17[PerformanceRating],Table17[Id_PerformanceRating])</f>
        <v>PR003</v>
      </c>
      <c r="AN29">
        <v>3</v>
      </c>
      <c r="AO29" t="str">
        <f>_xlfn.XLOOKUP(Table1[[#This Row],[PerformanceRating]],Table17[PerformanceRating],Table17[Deskripsi])</f>
        <v>Excellent</v>
      </c>
      <c r="AP29" t="str">
        <f>_xlfn.XLOOKUP(Table1[[#This Row],[RelationshipSatisfaction]],Table18[RelationshipSatisfaction],Table18[Id_RelationshipSatisfaction])</f>
        <v>RS004</v>
      </c>
      <c r="AQ29">
        <v>4</v>
      </c>
      <c r="AR29" t="str">
        <f>_xlfn.XLOOKUP(Table1[[#This Row],[RelationshipSatisfaction]],Table18[RelationshipSatisfaction],Table18[Deskripsi])</f>
        <v>Very High</v>
      </c>
      <c r="AS29" t="str">
        <f>_xlfn.XLOOKUP(Table1[[#This Row],[StockOptionLevel]],Table19[StockOptionLevel],Table19[Id_StockOptionLevel])</f>
        <v>SOL002</v>
      </c>
      <c r="AT29">
        <v>1</v>
      </c>
      <c r="AU29" t="str">
        <f>_xlfn.XLOOKUP(Table1[[#This Row],[StockOptionLevel]],Table19[StockOptionLevel],Table19[Deskripsi])</f>
        <v>Standard</v>
      </c>
      <c r="AV29">
        <v>10</v>
      </c>
      <c r="AW29">
        <v>2</v>
      </c>
      <c r="AX29" t="str">
        <f>_xlfn.XLOOKUP(Table1[[#This Row],[WorkLifeBalance]],Table20[WorkLifeBalance],Table20[Id_WorkLifeBalance])</f>
        <v>WLB002</v>
      </c>
      <c r="AY29">
        <v>3</v>
      </c>
      <c r="AZ29" t="str">
        <f>_xlfn.XLOOKUP(Table1[[#This Row],[WorkLifeBalance]],Table20[WorkLifeBalance],Table20[Deskripsi])</f>
        <v>Good</v>
      </c>
      <c r="BA29">
        <v>9</v>
      </c>
      <c r="BB29">
        <v>7</v>
      </c>
      <c r="BC29">
        <v>4</v>
      </c>
      <c r="BD29">
        <v>2</v>
      </c>
    </row>
    <row r="30" spans="1:56" x14ac:dyDescent="0.25">
      <c r="A30">
        <v>44</v>
      </c>
      <c r="B30" t="str">
        <f>_xlfn.XLOOKUP(Table1[[#This Row],[Attrition]],Table2[Attrition],Table2[Id_Attrition])</f>
        <v>A002</v>
      </c>
      <c r="C30" t="s">
        <v>33</v>
      </c>
      <c r="D30" t="str">
        <f>_xlfn.XLOOKUP(Table1[[#This Row],[BusinessTravel]],Table5[BusinessTravel],Table5[Id_BusinessTravel])</f>
        <v>BS001</v>
      </c>
      <c r="E30" t="s">
        <v>34</v>
      </c>
      <c r="F30">
        <v>477</v>
      </c>
      <c r="G30" t="str">
        <f>_xlfn.XLOOKUP(Table1[[#This Row],[Department]],Table6[Department],Table6[Id_Departement])</f>
        <v>D002</v>
      </c>
      <c r="H30" t="s">
        <v>38</v>
      </c>
      <c r="I30">
        <v>7</v>
      </c>
      <c r="J30" t="str">
        <f>_xlfn.XLOOKUP(Table1[[#This Row],[Education]],Table8[Education],Table8[Id_Education])</f>
        <v>E004</v>
      </c>
      <c r="K30">
        <v>4</v>
      </c>
      <c r="L30" t="str">
        <f>_xlfn.XLOOKUP(Table1[[#This Row],[EducationField]],Table7[EducationField],Table7[Id_EducationField])</f>
        <v>EF003</v>
      </c>
      <c r="M30" t="s">
        <v>42</v>
      </c>
      <c r="N30" t="str">
        <f>_xlfn.XLOOKUP(Table1[[#This Row],[EmployeeNumber]],Table4[EmployeeNumber],Table4[Id_Employee])</f>
        <v>EMP00029</v>
      </c>
      <c r="O30">
        <v>36</v>
      </c>
      <c r="P30" t="str">
        <f>_xlfn.XLOOKUP(Table1[[#This Row],[EnvironmentSatisfaction]],Table9[EnvironmentSatisfaction],Table9[Id_EnviromentSatisfaction])</f>
        <v>ES001</v>
      </c>
      <c r="Q30">
        <v>1</v>
      </c>
      <c r="R30" t="str">
        <f>_xlfn.XLOOKUP(Table1[[#This Row],[EnvironmentSatisfaction]],Table9[EnvironmentSatisfaction],Table9[Deskripsi])</f>
        <v>Low</v>
      </c>
      <c r="S30" t="str">
        <f>_xlfn.XLOOKUP(Table1[[#This Row],[Gender]],Table10[Gender],Table10[Id_Gender])</f>
        <v>G001</v>
      </c>
      <c r="T30" t="s">
        <v>45</v>
      </c>
      <c r="U30">
        <v>42</v>
      </c>
      <c r="V30" t="str">
        <f>_xlfn.XLOOKUP(Table1[[#This Row],[JobInvolvement]],Table11[JobInvolvement],Table11[Id_JobInvolvement])</f>
        <v>JI002</v>
      </c>
      <c r="W30">
        <v>2</v>
      </c>
      <c r="X30" t="str">
        <f>_xlfn.XLOOKUP(Table1[[#This Row],[JobLevel]],Table12[JobLevel],Table12[Id_JobLevel])</f>
        <v>JL003</v>
      </c>
      <c r="Y30">
        <v>3</v>
      </c>
      <c r="Z30" t="str">
        <f>_xlfn.XLOOKUP(Table1[[#This Row],[JobRole]],Table13[JobRole],Table13[Id_JobRole])</f>
        <v>JR005</v>
      </c>
      <c r="AA30" t="s">
        <v>51</v>
      </c>
      <c r="AB30" t="str">
        <f>_xlfn.XLOOKUP(Table1[[#This Row],[JobSatisfaction]],Table14[JobSatisfaction],Table14[Id_JobSatisfaction])</f>
        <v>JS004</v>
      </c>
      <c r="AC30">
        <v>4</v>
      </c>
      <c r="AD30" t="str">
        <f>_xlfn.XLOOKUP(Table1[[#This Row],[JobSatisfaction]],Table14[JobSatisfaction],Table14[Deskripsi])</f>
        <v>Very High</v>
      </c>
      <c r="AE30" t="str">
        <f>_xlfn.XLOOKUP(Table1[[#This Row],[MaritalStatus]],Table15[MaritalStatus],Table15[Id_MaritalStatus])</f>
        <v>MS002</v>
      </c>
      <c r="AF30" t="s">
        <v>56</v>
      </c>
      <c r="AG30">
        <v>10248</v>
      </c>
      <c r="AH30">
        <v>2094</v>
      </c>
      <c r="AI30">
        <v>3</v>
      </c>
      <c r="AJ30" t="str">
        <f>_xlfn.XLOOKUP(Table1[[#This Row],[OverTime]],Table16[OverTime],Table16[Id_OverTime])</f>
        <v>OT002</v>
      </c>
      <c r="AK30" t="s">
        <v>33</v>
      </c>
      <c r="AL30">
        <v>14</v>
      </c>
      <c r="AM30" t="str">
        <f>_xlfn.XLOOKUP(Table1[[#This Row],[PerformanceRating]],Table17[PerformanceRating],Table17[Id_PerformanceRating])</f>
        <v>PR003</v>
      </c>
      <c r="AN30">
        <v>3</v>
      </c>
      <c r="AO30" t="str">
        <f>_xlfn.XLOOKUP(Table1[[#This Row],[PerformanceRating]],Table17[PerformanceRating],Table17[Deskripsi])</f>
        <v>Excellent</v>
      </c>
      <c r="AP30" t="str">
        <f>_xlfn.XLOOKUP(Table1[[#This Row],[RelationshipSatisfaction]],Table18[RelationshipSatisfaction],Table18[Id_RelationshipSatisfaction])</f>
        <v>RS004</v>
      </c>
      <c r="AQ30">
        <v>4</v>
      </c>
      <c r="AR30" t="str">
        <f>_xlfn.XLOOKUP(Table1[[#This Row],[RelationshipSatisfaction]],Table18[RelationshipSatisfaction],Table18[Deskripsi])</f>
        <v>Very High</v>
      </c>
      <c r="AS30" t="str">
        <f>_xlfn.XLOOKUP(Table1[[#This Row],[StockOptionLevel]],Table19[StockOptionLevel],Table19[Id_StockOptionLevel])</f>
        <v>SOL002</v>
      </c>
      <c r="AT30">
        <v>1</v>
      </c>
      <c r="AU30" t="str">
        <f>_xlfn.XLOOKUP(Table1[[#This Row],[StockOptionLevel]],Table19[StockOptionLevel],Table19[Deskripsi])</f>
        <v>Standard</v>
      </c>
      <c r="AV30">
        <v>24</v>
      </c>
      <c r="AW30">
        <v>4</v>
      </c>
      <c r="AX30" t="str">
        <f>_xlfn.XLOOKUP(Table1[[#This Row],[WorkLifeBalance]],Table20[WorkLifeBalance],Table20[Id_WorkLifeBalance])</f>
        <v>WLB002</v>
      </c>
      <c r="AY30">
        <v>3</v>
      </c>
      <c r="AZ30" t="str">
        <f>_xlfn.XLOOKUP(Table1[[#This Row],[WorkLifeBalance]],Table20[WorkLifeBalance],Table20[Deskripsi])</f>
        <v>Good</v>
      </c>
      <c r="BA30">
        <v>22</v>
      </c>
      <c r="BB30">
        <v>6</v>
      </c>
      <c r="BC30">
        <v>5</v>
      </c>
      <c r="BD30">
        <v>17</v>
      </c>
    </row>
    <row r="31" spans="1:56" x14ac:dyDescent="0.25">
      <c r="A31">
        <v>46</v>
      </c>
      <c r="B31" t="str">
        <f>_xlfn.XLOOKUP(Table1[[#This Row],[Attrition]],Table2[Attrition],Table2[Id_Attrition])</f>
        <v>A002</v>
      </c>
      <c r="C31" t="s">
        <v>33</v>
      </c>
      <c r="D31" t="str">
        <f>_xlfn.XLOOKUP(Table1[[#This Row],[BusinessTravel]],Table5[BusinessTravel],Table5[Id_BusinessTravel])</f>
        <v>BS001</v>
      </c>
      <c r="E31" t="s">
        <v>34</v>
      </c>
      <c r="F31">
        <v>705</v>
      </c>
      <c r="G31" t="str">
        <f>_xlfn.XLOOKUP(Table1[[#This Row],[Department]],Table6[Department],Table6[Id_Departement])</f>
        <v>D001</v>
      </c>
      <c r="H31" t="s">
        <v>37</v>
      </c>
      <c r="I31">
        <v>2</v>
      </c>
      <c r="J31" t="str">
        <f>_xlfn.XLOOKUP(Table1[[#This Row],[Education]],Table8[Education],Table8[Id_Education])</f>
        <v>E004</v>
      </c>
      <c r="K31">
        <v>4</v>
      </c>
      <c r="L31" t="str">
        <f>_xlfn.XLOOKUP(Table1[[#This Row],[EducationField]],Table7[EducationField],Table7[Id_EducationField])</f>
        <v>EF004</v>
      </c>
      <c r="M31" t="s">
        <v>43</v>
      </c>
      <c r="N31" t="str">
        <f>_xlfn.XLOOKUP(Table1[[#This Row],[EmployeeNumber]],Table4[EmployeeNumber],Table4[Id_Employee])</f>
        <v>EMP00030</v>
      </c>
      <c r="O31">
        <v>38</v>
      </c>
      <c r="P31" t="str">
        <f>_xlfn.XLOOKUP(Table1[[#This Row],[EnvironmentSatisfaction]],Table9[EnvironmentSatisfaction],Table9[Id_EnviromentSatisfaction])</f>
        <v>ES002</v>
      </c>
      <c r="Q31">
        <v>2</v>
      </c>
      <c r="R31" t="str">
        <f>_xlfn.XLOOKUP(Table1[[#This Row],[EnvironmentSatisfaction]],Table9[EnvironmentSatisfaction],Table9[Deskripsi])</f>
        <v>Medium</v>
      </c>
      <c r="S31" t="str">
        <f>_xlfn.XLOOKUP(Table1[[#This Row],[Gender]],Table10[Gender],Table10[Id_Gender])</f>
        <v>G001</v>
      </c>
      <c r="T31" t="s">
        <v>45</v>
      </c>
      <c r="U31">
        <v>83</v>
      </c>
      <c r="V31" t="str">
        <f>_xlfn.XLOOKUP(Table1[[#This Row],[JobInvolvement]],Table11[JobInvolvement],Table11[Id_JobInvolvement])</f>
        <v>JI003</v>
      </c>
      <c r="W31">
        <v>3</v>
      </c>
      <c r="X31" t="str">
        <f>_xlfn.XLOOKUP(Table1[[#This Row],[JobLevel]],Table12[JobLevel],Table12[Id_JobLevel])</f>
        <v>JL005</v>
      </c>
      <c r="Y31">
        <v>5</v>
      </c>
      <c r="Z31" t="str">
        <f>_xlfn.XLOOKUP(Table1[[#This Row],[JobRole]],Table13[JobRole],Table13[Id_JobRole])</f>
        <v>JR006</v>
      </c>
      <c r="AA31" t="s">
        <v>52</v>
      </c>
      <c r="AB31" t="str">
        <f>_xlfn.XLOOKUP(Table1[[#This Row],[JobSatisfaction]],Table14[JobSatisfaction],Table14[Id_JobSatisfaction])</f>
        <v>JS001</v>
      </c>
      <c r="AC31">
        <v>1</v>
      </c>
      <c r="AD31" t="str">
        <f>_xlfn.XLOOKUP(Table1[[#This Row],[JobSatisfaction]],Table14[JobSatisfaction],Table14[Deskripsi])</f>
        <v>Low</v>
      </c>
      <c r="AE31" t="str">
        <f>_xlfn.XLOOKUP(Table1[[#This Row],[MaritalStatus]],Table15[MaritalStatus],Table15[Id_MaritalStatus])</f>
        <v>MS001</v>
      </c>
      <c r="AF31" t="s">
        <v>55</v>
      </c>
      <c r="AG31">
        <v>18947</v>
      </c>
      <c r="AH31">
        <v>22822</v>
      </c>
      <c r="AI31">
        <v>3</v>
      </c>
      <c r="AJ31" t="str">
        <f>_xlfn.XLOOKUP(Table1[[#This Row],[OverTime]],Table16[OverTime],Table16[Id_OverTime])</f>
        <v>OT002</v>
      </c>
      <c r="AK31" t="s">
        <v>33</v>
      </c>
      <c r="AL31">
        <v>12</v>
      </c>
      <c r="AM31" t="str">
        <f>_xlfn.XLOOKUP(Table1[[#This Row],[PerformanceRating]],Table17[PerformanceRating],Table17[Id_PerformanceRating])</f>
        <v>PR003</v>
      </c>
      <c r="AN31">
        <v>3</v>
      </c>
      <c r="AO31" t="str">
        <f>_xlfn.XLOOKUP(Table1[[#This Row],[PerformanceRating]],Table17[PerformanceRating],Table17[Deskripsi])</f>
        <v>Excellent</v>
      </c>
      <c r="AP31" t="str">
        <f>_xlfn.XLOOKUP(Table1[[#This Row],[RelationshipSatisfaction]],Table18[RelationshipSatisfaction],Table18[Id_RelationshipSatisfaction])</f>
        <v>RS004</v>
      </c>
      <c r="AQ31">
        <v>4</v>
      </c>
      <c r="AR31" t="str">
        <f>_xlfn.XLOOKUP(Table1[[#This Row],[RelationshipSatisfaction]],Table18[RelationshipSatisfaction],Table18[Deskripsi])</f>
        <v>Very High</v>
      </c>
      <c r="AS31" t="str">
        <f>_xlfn.XLOOKUP(Table1[[#This Row],[StockOptionLevel]],Table19[StockOptionLevel],Table19[Id_StockOptionLevel])</f>
        <v>SOL001</v>
      </c>
      <c r="AT31">
        <v>0</v>
      </c>
      <c r="AU31" t="str">
        <f>_xlfn.XLOOKUP(Table1[[#This Row],[StockOptionLevel]],Table19[StockOptionLevel],Table19[Deskripsi])</f>
        <v>Non-Eligible</v>
      </c>
      <c r="AV31">
        <v>22</v>
      </c>
      <c r="AW31">
        <v>2</v>
      </c>
      <c r="AX31" t="str">
        <f>_xlfn.XLOOKUP(Table1[[#This Row],[WorkLifeBalance]],Table20[WorkLifeBalance],Table20[Id_WorkLifeBalance])</f>
        <v>WLB003</v>
      </c>
      <c r="AY31">
        <v>2</v>
      </c>
      <c r="AZ31" t="str">
        <f>_xlfn.XLOOKUP(Table1[[#This Row],[WorkLifeBalance]],Table20[WorkLifeBalance],Table20[Deskripsi])</f>
        <v>Better</v>
      </c>
      <c r="BA31">
        <v>2</v>
      </c>
      <c r="BB31">
        <v>2</v>
      </c>
      <c r="BC31">
        <v>2</v>
      </c>
      <c r="BD31">
        <v>1</v>
      </c>
    </row>
    <row r="32" spans="1:56" x14ac:dyDescent="0.25">
      <c r="A32">
        <v>33</v>
      </c>
      <c r="B32" t="str">
        <f>_xlfn.XLOOKUP(Table1[[#This Row],[Attrition]],Table2[Attrition],Table2[Id_Attrition])</f>
        <v>A002</v>
      </c>
      <c r="C32" t="s">
        <v>33</v>
      </c>
      <c r="D32" t="str">
        <f>_xlfn.XLOOKUP(Table1[[#This Row],[BusinessTravel]],Table5[BusinessTravel],Table5[Id_BusinessTravel])</f>
        <v>BS001</v>
      </c>
      <c r="E32" t="s">
        <v>34</v>
      </c>
      <c r="F32">
        <v>924</v>
      </c>
      <c r="G32" t="str">
        <f>_xlfn.XLOOKUP(Table1[[#This Row],[Department]],Table6[Department],Table6[Id_Departement])</f>
        <v>D002</v>
      </c>
      <c r="H32" t="s">
        <v>38</v>
      </c>
      <c r="I32">
        <v>2</v>
      </c>
      <c r="J32" t="str">
        <f>_xlfn.XLOOKUP(Table1[[#This Row],[Education]],Table8[Education],Table8[Id_Education])</f>
        <v>E003</v>
      </c>
      <c r="K32">
        <v>3</v>
      </c>
      <c r="L32" t="str">
        <f>_xlfn.XLOOKUP(Table1[[#This Row],[EducationField]],Table7[EducationField],Table7[Id_EducationField])</f>
        <v>EF003</v>
      </c>
      <c r="M32" t="s">
        <v>42</v>
      </c>
      <c r="N32" t="str">
        <f>_xlfn.XLOOKUP(Table1[[#This Row],[EmployeeNumber]],Table4[EmployeeNumber],Table4[Id_Employee])</f>
        <v>EMP00031</v>
      </c>
      <c r="O32">
        <v>39</v>
      </c>
      <c r="P32" t="str">
        <f>_xlfn.XLOOKUP(Table1[[#This Row],[EnvironmentSatisfaction]],Table9[EnvironmentSatisfaction],Table9[Id_EnviromentSatisfaction])</f>
        <v>ES003</v>
      </c>
      <c r="Q32">
        <v>3</v>
      </c>
      <c r="R32" t="str">
        <f>_xlfn.XLOOKUP(Table1[[#This Row],[EnvironmentSatisfaction]],Table9[EnvironmentSatisfaction],Table9[Deskripsi])</f>
        <v>High</v>
      </c>
      <c r="S32" t="str">
        <f>_xlfn.XLOOKUP(Table1[[#This Row],[Gender]],Table10[Gender],Table10[Id_Gender])</f>
        <v>G002</v>
      </c>
      <c r="T32" t="s">
        <v>46</v>
      </c>
      <c r="U32">
        <v>78</v>
      </c>
      <c r="V32" t="str">
        <f>_xlfn.XLOOKUP(Table1[[#This Row],[JobInvolvement]],Table11[JobInvolvement],Table11[Id_JobInvolvement])</f>
        <v>JI003</v>
      </c>
      <c r="W32">
        <v>3</v>
      </c>
      <c r="X32" t="str">
        <f>_xlfn.XLOOKUP(Table1[[#This Row],[JobLevel]],Table12[JobLevel],Table12[Id_JobLevel])</f>
        <v>JL001</v>
      </c>
      <c r="Y32">
        <v>1</v>
      </c>
      <c r="Z32" t="str">
        <f>_xlfn.XLOOKUP(Table1[[#This Row],[JobRole]],Table13[JobRole],Table13[Id_JobRole])</f>
        <v>JR003</v>
      </c>
      <c r="AA32" t="s">
        <v>49</v>
      </c>
      <c r="AB32" t="str">
        <f>_xlfn.XLOOKUP(Table1[[#This Row],[JobSatisfaction]],Table14[JobSatisfaction],Table14[Id_JobSatisfaction])</f>
        <v>JS004</v>
      </c>
      <c r="AC32">
        <v>4</v>
      </c>
      <c r="AD32" t="str">
        <f>_xlfn.XLOOKUP(Table1[[#This Row],[JobSatisfaction]],Table14[JobSatisfaction],Table14[Deskripsi])</f>
        <v>Very High</v>
      </c>
      <c r="AE32" t="str">
        <f>_xlfn.XLOOKUP(Table1[[#This Row],[MaritalStatus]],Table15[MaritalStatus],Table15[Id_MaritalStatus])</f>
        <v>MS001</v>
      </c>
      <c r="AF32" t="s">
        <v>55</v>
      </c>
      <c r="AG32">
        <v>2496</v>
      </c>
      <c r="AH32">
        <v>6670</v>
      </c>
      <c r="AI32">
        <v>4</v>
      </c>
      <c r="AJ32" t="str">
        <f>_xlfn.XLOOKUP(Table1[[#This Row],[OverTime]],Table16[OverTime],Table16[Id_OverTime])</f>
        <v>OT002</v>
      </c>
      <c r="AK32" t="s">
        <v>33</v>
      </c>
      <c r="AL32">
        <v>11</v>
      </c>
      <c r="AM32" t="str">
        <f>_xlfn.XLOOKUP(Table1[[#This Row],[PerformanceRating]],Table17[PerformanceRating],Table17[Id_PerformanceRating])</f>
        <v>PR003</v>
      </c>
      <c r="AN32">
        <v>3</v>
      </c>
      <c r="AO32" t="str">
        <f>_xlfn.XLOOKUP(Table1[[#This Row],[PerformanceRating]],Table17[PerformanceRating],Table17[Deskripsi])</f>
        <v>Excellent</v>
      </c>
      <c r="AP32" t="str">
        <f>_xlfn.XLOOKUP(Table1[[#This Row],[RelationshipSatisfaction]],Table18[RelationshipSatisfaction],Table18[Id_RelationshipSatisfaction])</f>
        <v>RS004</v>
      </c>
      <c r="AQ32">
        <v>4</v>
      </c>
      <c r="AR32" t="str">
        <f>_xlfn.XLOOKUP(Table1[[#This Row],[RelationshipSatisfaction]],Table18[RelationshipSatisfaction],Table18[Deskripsi])</f>
        <v>Very High</v>
      </c>
      <c r="AS32" t="str">
        <f>_xlfn.XLOOKUP(Table1[[#This Row],[StockOptionLevel]],Table19[StockOptionLevel],Table19[Id_StockOptionLevel])</f>
        <v>SOL001</v>
      </c>
      <c r="AT32">
        <v>0</v>
      </c>
      <c r="AU32" t="str">
        <f>_xlfn.XLOOKUP(Table1[[#This Row],[StockOptionLevel]],Table19[StockOptionLevel],Table19[Deskripsi])</f>
        <v>Non-Eligible</v>
      </c>
      <c r="AV32">
        <v>7</v>
      </c>
      <c r="AW32">
        <v>3</v>
      </c>
      <c r="AX32" t="str">
        <f>_xlfn.XLOOKUP(Table1[[#This Row],[WorkLifeBalance]],Table20[WorkLifeBalance],Table20[Id_WorkLifeBalance])</f>
        <v>WLB002</v>
      </c>
      <c r="AY32">
        <v>3</v>
      </c>
      <c r="AZ32" t="str">
        <f>_xlfn.XLOOKUP(Table1[[#This Row],[WorkLifeBalance]],Table20[WorkLifeBalance],Table20[Deskripsi])</f>
        <v>Good</v>
      </c>
      <c r="BA32">
        <v>1</v>
      </c>
      <c r="BB32">
        <v>1</v>
      </c>
      <c r="BC32">
        <v>0</v>
      </c>
      <c r="BD32">
        <v>0</v>
      </c>
    </row>
    <row r="33" spans="1:56" x14ac:dyDescent="0.25">
      <c r="A33">
        <v>44</v>
      </c>
      <c r="B33" t="str">
        <f>_xlfn.XLOOKUP(Table1[[#This Row],[Attrition]],Table2[Attrition],Table2[Id_Attrition])</f>
        <v>A002</v>
      </c>
      <c r="C33" t="s">
        <v>33</v>
      </c>
      <c r="D33" t="str">
        <f>_xlfn.XLOOKUP(Table1[[#This Row],[BusinessTravel]],Table5[BusinessTravel],Table5[Id_BusinessTravel])</f>
        <v>BS001</v>
      </c>
      <c r="E33" t="s">
        <v>34</v>
      </c>
      <c r="F33">
        <v>1459</v>
      </c>
      <c r="G33" t="str">
        <f>_xlfn.XLOOKUP(Table1[[#This Row],[Department]],Table6[Department],Table6[Id_Departement])</f>
        <v>D002</v>
      </c>
      <c r="H33" t="s">
        <v>38</v>
      </c>
      <c r="I33">
        <v>10</v>
      </c>
      <c r="J33" t="str">
        <f>_xlfn.XLOOKUP(Table1[[#This Row],[Education]],Table8[Education],Table8[Id_Education])</f>
        <v>E004</v>
      </c>
      <c r="K33">
        <v>4</v>
      </c>
      <c r="L33" t="str">
        <f>_xlfn.XLOOKUP(Table1[[#This Row],[EducationField]],Table7[EducationField],Table7[Id_EducationField])</f>
        <v>EF002</v>
      </c>
      <c r="M33" t="s">
        <v>41</v>
      </c>
      <c r="N33" t="str">
        <f>_xlfn.XLOOKUP(Table1[[#This Row],[EmployeeNumber]],Table4[EmployeeNumber],Table4[Id_Employee])</f>
        <v>EMP00032</v>
      </c>
      <c r="O33">
        <v>40</v>
      </c>
      <c r="P33" t="str">
        <f>_xlfn.XLOOKUP(Table1[[#This Row],[EnvironmentSatisfaction]],Table9[EnvironmentSatisfaction],Table9[Id_EnviromentSatisfaction])</f>
        <v>ES004</v>
      </c>
      <c r="Q33">
        <v>4</v>
      </c>
      <c r="R33" t="str">
        <f>_xlfn.XLOOKUP(Table1[[#This Row],[EnvironmentSatisfaction]],Table9[EnvironmentSatisfaction],Table9[Deskripsi])</f>
        <v>Very High</v>
      </c>
      <c r="S33" t="str">
        <f>_xlfn.XLOOKUP(Table1[[#This Row],[Gender]],Table10[Gender],Table10[Id_Gender])</f>
        <v>G002</v>
      </c>
      <c r="T33" t="s">
        <v>46</v>
      </c>
      <c r="U33">
        <v>41</v>
      </c>
      <c r="V33" t="str">
        <f>_xlfn.XLOOKUP(Table1[[#This Row],[JobInvolvement]],Table11[JobInvolvement],Table11[Id_JobInvolvement])</f>
        <v>JI003</v>
      </c>
      <c r="W33">
        <v>3</v>
      </c>
      <c r="X33" t="str">
        <f>_xlfn.XLOOKUP(Table1[[#This Row],[JobLevel]],Table12[JobLevel],Table12[Id_JobLevel])</f>
        <v>JL002</v>
      </c>
      <c r="Y33">
        <v>2</v>
      </c>
      <c r="Z33" t="str">
        <f>_xlfn.XLOOKUP(Table1[[#This Row],[JobRole]],Table13[JobRole],Table13[Id_JobRole])</f>
        <v>JR005</v>
      </c>
      <c r="AA33" t="s">
        <v>51</v>
      </c>
      <c r="AB33" t="str">
        <f>_xlfn.XLOOKUP(Table1[[#This Row],[JobSatisfaction]],Table14[JobSatisfaction],Table14[Id_JobSatisfaction])</f>
        <v>JS004</v>
      </c>
      <c r="AC33">
        <v>4</v>
      </c>
      <c r="AD33" t="str">
        <f>_xlfn.XLOOKUP(Table1[[#This Row],[JobSatisfaction]],Table14[JobSatisfaction],Table14[Deskripsi])</f>
        <v>Very High</v>
      </c>
      <c r="AE33" t="str">
        <f>_xlfn.XLOOKUP(Table1[[#This Row],[MaritalStatus]],Table15[MaritalStatus],Table15[Id_MaritalStatus])</f>
        <v>MS002</v>
      </c>
      <c r="AF33" t="s">
        <v>56</v>
      </c>
      <c r="AG33">
        <v>6465</v>
      </c>
      <c r="AH33">
        <v>19121</v>
      </c>
      <c r="AI33">
        <v>2</v>
      </c>
      <c r="AJ33" t="str">
        <f>_xlfn.XLOOKUP(Table1[[#This Row],[OverTime]],Table16[OverTime],Table16[Id_OverTime])</f>
        <v>OT001</v>
      </c>
      <c r="AK33" t="s">
        <v>32</v>
      </c>
      <c r="AL33">
        <v>13</v>
      </c>
      <c r="AM33" t="str">
        <f>_xlfn.XLOOKUP(Table1[[#This Row],[PerformanceRating]],Table17[PerformanceRating],Table17[Id_PerformanceRating])</f>
        <v>PR003</v>
      </c>
      <c r="AN33">
        <v>3</v>
      </c>
      <c r="AO33" t="str">
        <f>_xlfn.XLOOKUP(Table1[[#This Row],[PerformanceRating]],Table17[PerformanceRating],Table17[Deskripsi])</f>
        <v>Excellent</v>
      </c>
      <c r="AP33" t="str">
        <f>_xlfn.XLOOKUP(Table1[[#This Row],[RelationshipSatisfaction]],Table18[RelationshipSatisfaction],Table18[Id_RelationshipSatisfaction])</f>
        <v>RS004</v>
      </c>
      <c r="AQ33">
        <v>4</v>
      </c>
      <c r="AR33" t="str">
        <f>_xlfn.XLOOKUP(Table1[[#This Row],[RelationshipSatisfaction]],Table18[RelationshipSatisfaction],Table18[Deskripsi])</f>
        <v>Very High</v>
      </c>
      <c r="AS33" t="str">
        <f>_xlfn.XLOOKUP(Table1[[#This Row],[StockOptionLevel]],Table19[StockOptionLevel],Table19[Id_StockOptionLevel])</f>
        <v>SOL001</v>
      </c>
      <c r="AT33">
        <v>0</v>
      </c>
      <c r="AU33" t="str">
        <f>_xlfn.XLOOKUP(Table1[[#This Row],[StockOptionLevel]],Table19[StockOptionLevel],Table19[Deskripsi])</f>
        <v>Non-Eligible</v>
      </c>
      <c r="AV33">
        <v>9</v>
      </c>
      <c r="AW33">
        <v>5</v>
      </c>
      <c r="AX33" t="str">
        <f>_xlfn.XLOOKUP(Table1[[#This Row],[WorkLifeBalance]],Table20[WorkLifeBalance],Table20[Id_WorkLifeBalance])</f>
        <v>WLB004</v>
      </c>
      <c r="AY33">
        <v>4</v>
      </c>
      <c r="AZ33" t="str">
        <f>_xlfn.XLOOKUP(Table1[[#This Row],[WorkLifeBalance]],Table20[WorkLifeBalance],Table20[Deskripsi])</f>
        <v>Best</v>
      </c>
      <c r="BA33">
        <v>4</v>
      </c>
      <c r="BB33">
        <v>2</v>
      </c>
      <c r="BC33">
        <v>1</v>
      </c>
      <c r="BD33">
        <v>3</v>
      </c>
    </row>
    <row r="34" spans="1:56" x14ac:dyDescent="0.25">
      <c r="A34">
        <v>30</v>
      </c>
      <c r="B34" t="str">
        <f>_xlfn.XLOOKUP(Table1[[#This Row],[Attrition]],Table2[Attrition],Table2[Id_Attrition])</f>
        <v>A002</v>
      </c>
      <c r="C34" t="s">
        <v>33</v>
      </c>
      <c r="D34" t="str">
        <f>_xlfn.XLOOKUP(Table1[[#This Row],[BusinessTravel]],Table5[BusinessTravel],Table5[Id_BusinessTravel])</f>
        <v>BS001</v>
      </c>
      <c r="E34" t="s">
        <v>34</v>
      </c>
      <c r="F34">
        <v>125</v>
      </c>
      <c r="G34" t="str">
        <f>_xlfn.XLOOKUP(Table1[[#This Row],[Department]],Table6[Department],Table6[Id_Departement])</f>
        <v>D002</v>
      </c>
      <c r="H34" t="s">
        <v>38</v>
      </c>
      <c r="I34">
        <v>9</v>
      </c>
      <c r="J34" t="str">
        <f>_xlfn.XLOOKUP(Table1[[#This Row],[Education]],Table8[Education],Table8[Id_Education])</f>
        <v>E002</v>
      </c>
      <c r="K34">
        <v>2</v>
      </c>
      <c r="L34" t="str">
        <f>_xlfn.XLOOKUP(Table1[[#This Row],[EducationField]],Table7[EducationField],Table7[Id_EducationField])</f>
        <v>EF003</v>
      </c>
      <c r="M34" t="s">
        <v>42</v>
      </c>
      <c r="N34" t="str">
        <f>_xlfn.XLOOKUP(Table1[[#This Row],[EmployeeNumber]],Table4[EmployeeNumber],Table4[Id_Employee])</f>
        <v>EMP00033</v>
      </c>
      <c r="O34">
        <v>41</v>
      </c>
      <c r="P34" t="str">
        <f>_xlfn.XLOOKUP(Table1[[#This Row],[EnvironmentSatisfaction]],Table9[EnvironmentSatisfaction],Table9[Id_EnviromentSatisfaction])</f>
        <v>ES004</v>
      </c>
      <c r="Q34">
        <v>4</v>
      </c>
      <c r="R34" t="str">
        <f>_xlfn.XLOOKUP(Table1[[#This Row],[EnvironmentSatisfaction]],Table9[EnvironmentSatisfaction],Table9[Deskripsi])</f>
        <v>Very High</v>
      </c>
      <c r="S34" t="str">
        <f>_xlfn.XLOOKUP(Table1[[#This Row],[Gender]],Table10[Gender],Table10[Id_Gender])</f>
        <v>G002</v>
      </c>
      <c r="T34" t="s">
        <v>46</v>
      </c>
      <c r="U34">
        <v>83</v>
      </c>
      <c r="V34" t="str">
        <f>_xlfn.XLOOKUP(Table1[[#This Row],[JobInvolvement]],Table11[JobInvolvement],Table11[Id_JobInvolvement])</f>
        <v>JI002</v>
      </c>
      <c r="W34">
        <v>2</v>
      </c>
      <c r="X34" t="str">
        <f>_xlfn.XLOOKUP(Table1[[#This Row],[JobLevel]],Table12[JobLevel],Table12[Id_JobLevel])</f>
        <v>JL001</v>
      </c>
      <c r="Y34">
        <v>1</v>
      </c>
      <c r="Z34" t="str">
        <f>_xlfn.XLOOKUP(Table1[[#This Row],[JobRole]],Table13[JobRole],Table13[Id_JobRole])</f>
        <v>JR003</v>
      </c>
      <c r="AA34" t="s">
        <v>49</v>
      </c>
      <c r="AB34" t="str">
        <f>_xlfn.XLOOKUP(Table1[[#This Row],[JobSatisfaction]],Table14[JobSatisfaction],Table14[Id_JobSatisfaction])</f>
        <v>JS003</v>
      </c>
      <c r="AC34">
        <v>3</v>
      </c>
      <c r="AD34" t="str">
        <f>_xlfn.XLOOKUP(Table1[[#This Row],[JobSatisfaction]],Table14[JobSatisfaction],Table14[Deskripsi])</f>
        <v>High</v>
      </c>
      <c r="AE34" t="str">
        <f>_xlfn.XLOOKUP(Table1[[#This Row],[MaritalStatus]],Table15[MaritalStatus],Table15[Id_MaritalStatus])</f>
        <v>MS001</v>
      </c>
      <c r="AF34" t="s">
        <v>55</v>
      </c>
      <c r="AG34">
        <v>2206</v>
      </c>
      <c r="AH34">
        <v>16117</v>
      </c>
      <c r="AI34">
        <v>1</v>
      </c>
      <c r="AJ34" t="str">
        <f>_xlfn.XLOOKUP(Table1[[#This Row],[OverTime]],Table16[OverTime],Table16[Id_OverTime])</f>
        <v>OT002</v>
      </c>
      <c r="AK34" t="s">
        <v>33</v>
      </c>
      <c r="AL34">
        <v>13</v>
      </c>
      <c r="AM34" t="str">
        <f>_xlfn.XLOOKUP(Table1[[#This Row],[PerformanceRating]],Table17[PerformanceRating],Table17[Id_PerformanceRating])</f>
        <v>PR003</v>
      </c>
      <c r="AN34">
        <v>3</v>
      </c>
      <c r="AO34" t="str">
        <f>_xlfn.XLOOKUP(Table1[[#This Row],[PerformanceRating]],Table17[PerformanceRating],Table17[Deskripsi])</f>
        <v>Excellent</v>
      </c>
      <c r="AP34" t="str">
        <f>_xlfn.XLOOKUP(Table1[[#This Row],[RelationshipSatisfaction]],Table18[RelationshipSatisfaction],Table18[Id_RelationshipSatisfaction])</f>
        <v>RS001</v>
      </c>
      <c r="AQ34">
        <v>1</v>
      </c>
      <c r="AR34" t="str">
        <f>_xlfn.XLOOKUP(Table1[[#This Row],[RelationshipSatisfaction]],Table18[RelationshipSatisfaction],Table18[Deskripsi])</f>
        <v>Low</v>
      </c>
      <c r="AS34" t="str">
        <f>_xlfn.XLOOKUP(Table1[[#This Row],[StockOptionLevel]],Table19[StockOptionLevel],Table19[Id_StockOptionLevel])</f>
        <v>SOL001</v>
      </c>
      <c r="AT34">
        <v>0</v>
      </c>
      <c r="AU34" t="str">
        <f>_xlfn.XLOOKUP(Table1[[#This Row],[StockOptionLevel]],Table19[StockOptionLevel],Table19[Deskripsi])</f>
        <v>Non-Eligible</v>
      </c>
      <c r="AV34">
        <v>10</v>
      </c>
      <c r="AW34">
        <v>5</v>
      </c>
      <c r="AX34" t="str">
        <f>_xlfn.XLOOKUP(Table1[[#This Row],[WorkLifeBalance]],Table20[WorkLifeBalance],Table20[Id_WorkLifeBalance])</f>
        <v>WLB002</v>
      </c>
      <c r="AY34">
        <v>3</v>
      </c>
      <c r="AZ34" t="str">
        <f>_xlfn.XLOOKUP(Table1[[#This Row],[WorkLifeBalance]],Table20[WorkLifeBalance],Table20[Deskripsi])</f>
        <v>Good</v>
      </c>
      <c r="BA34">
        <v>10</v>
      </c>
      <c r="BB34">
        <v>0</v>
      </c>
      <c r="BC34">
        <v>1</v>
      </c>
      <c r="BD34">
        <v>8</v>
      </c>
    </row>
    <row r="35" spans="1:56" x14ac:dyDescent="0.25">
      <c r="A35">
        <v>39</v>
      </c>
      <c r="B35" t="str">
        <f>_xlfn.XLOOKUP(Table1[[#This Row],[Attrition]],Table2[Attrition],Table2[Id_Attrition])</f>
        <v>A001</v>
      </c>
      <c r="C35" t="s">
        <v>32</v>
      </c>
      <c r="D35" t="str">
        <f>_xlfn.XLOOKUP(Table1[[#This Row],[BusinessTravel]],Table5[BusinessTravel],Table5[Id_BusinessTravel])</f>
        <v>BS001</v>
      </c>
      <c r="E35" t="s">
        <v>34</v>
      </c>
      <c r="F35">
        <v>895</v>
      </c>
      <c r="G35" t="str">
        <f>_xlfn.XLOOKUP(Table1[[#This Row],[Department]],Table6[Department],Table6[Id_Departement])</f>
        <v>D001</v>
      </c>
      <c r="H35" t="s">
        <v>37</v>
      </c>
      <c r="I35">
        <v>5</v>
      </c>
      <c r="J35" t="str">
        <f>_xlfn.XLOOKUP(Table1[[#This Row],[Education]],Table8[Education],Table8[Id_Education])</f>
        <v>E003</v>
      </c>
      <c r="K35">
        <v>3</v>
      </c>
      <c r="L35" t="str">
        <f>_xlfn.XLOOKUP(Table1[[#This Row],[EducationField]],Table7[EducationField],Table7[Id_EducationField])</f>
        <v>EF005</v>
      </c>
      <c r="M35" t="s">
        <v>44</v>
      </c>
      <c r="N35" t="str">
        <f>_xlfn.XLOOKUP(Table1[[#This Row],[EmployeeNumber]],Table4[EmployeeNumber],Table4[Id_Employee])</f>
        <v>EMP00034</v>
      </c>
      <c r="O35">
        <v>42</v>
      </c>
      <c r="P35" t="str">
        <f>_xlfn.XLOOKUP(Table1[[#This Row],[EnvironmentSatisfaction]],Table9[EnvironmentSatisfaction],Table9[Id_EnviromentSatisfaction])</f>
        <v>ES004</v>
      </c>
      <c r="Q35">
        <v>4</v>
      </c>
      <c r="R35" t="str">
        <f>_xlfn.XLOOKUP(Table1[[#This Row],[EnvironmentSatisfaction]],Table9[EnvironmentSatisfaction],Table9[Deskripsi])</f>
        <v>Very High</v>
      </c>
      <c r="S35" t="str">
        <f>_xlfn.XLOOKUP(Table1[[#This Row],[Gender]],Table10[Gender],Table10[Id_Gender])</f>
        <v>G002</v>
      </c>
      <c r="T35" t="s">
        <v>46</v>
      </c>
      <c r="U35">
        <v>56</v>
      </c>
      <c r="V35" t="str">
        <f>_xlfn.XLOOKUP(Table1[[#This Row],[JobInvolvement]],Table11[JobInvolvement],Table11[Id_JobInvolvement])</f>
        <v>JI003</v>
      </c>
      <c r="W35">
        <v>3</v>
      </c>
      <c r="X35" t="str">
        <f>_xlfn.XLOOKUP(Table1[[#This Row],[JobLevel]],Table12[JobLevel],Table12[Id_JobLevel])</f>
        <v>JL002</v>
      </c>
      <c r="Y35">
        <v>2</v>
      </c>
      <c r="Z35" t="str">
        <f>_xlfn.XLOOKUP(Table1[[#This Row],[JobRole]],Table13[JobRole],Table13[Id_JobRole])</f>
        <v>JR007</v>
      </c>
      <c r="AA35" t="s">
        <v>53</v>
      </c>
      <c r="AB35" t="str">
        <f>_xlfn.XLOOKUP(Table1[[#This Row],[JobSatisfaction]],Table14[JobSatisfaction],Table14[Id_JobSatisfaction])</f>
        <v>JS004</v>
      </c>
      <c r="AC35">
        <v>4</v>
      </c>
      <c r="AD35" t="str">
        <f>_xlfn.XLOOKUP(Table1[[#This Row],[JobSatisfaction]],Table14[JobSatisfaction],Table14[Deskripsi])</f>
        <v>Very High</v>
      </c>
      <c r="AE35" t="str">
        <f>_xlfn.XLOOKUP(Table1[[#This Row],[MaritalStatus]],Table15[MaritalStatus],Table15[Id_MaritalStatus])</f>
        <v>MS002</v>
      </c>
      <c r="AF35" t="s">
        <v>56</v>
      </c>
      <c r="AG35">
        <v>2086</v>
      </c>
      <c r="AH35">
        <v>3335</v>
      </c>
      <c r="AI35">
        <v>3</v>
      </c>
      <c r="AJ35" t="str">
        <f>_xlfn.XLOOKUP(Table1[[#This Row],[OverTime]],Table16[OverTime],Table16[Id_OverTime])</f>
        <v>OT002</v>
      </c>
      <c r="AK35" t="s">
        <v>33</v>
      </c>
      <c r="AL35">
        <v>14</v>
      </c>
      <c r="AM35" t="str">
        <f>_xlfn.XLOOKUP(Table1[[#This Row],[PerformanceRating]],Table17[PerformanceRating],Table17[Id_PerformanceRating])</f>
        <v>PR003</v>
      </c>
      <c r="AN35">
        <v>3</v>
      </c>
      <c r="AO35" t="str">
        <f>_xlfn.XLOOKUP(Table1[[#This Row],[PerformanceRating]],Table17[PerformanceRating],Table17[Deskripsi])</f>
        <v>Excellent</v>
      </c>
      <c r="AP35" t="str">
        <f>_xlfn.XLOOKUP(Table1[[#This Row],[RelationshipSatisfaction]],Table18[RelationshipSatisfaction],Table18[Id_RelationshipSatisfaction])</f>
        <v>RS003</v>
      </c>
      <c r="AQ35">
        <v>3</v>
      </c>
      <c r="AR35" t="str">
        <f>_xlfn.XLOOKUP(Table1[[#This Row],[RelationshipSatisfaction]],Table18[RelationshipSatisfaction],Table18[Deskripsi])</f>
        <v>High</v>
      </c>
      <c r="AS35" t="str">
        <f>_xlfn.XLOOKUP(Table1[[#This Row],[StockOptionLevel]],Table19[StockOptionLevel],Table19[Id_StockOptionLevel])</f>
        <v>SOL002</v>
      </c>
      <c r="AT35">
        <v>1</v>
      </c>
      <c r="AU35" t="str">
        <f>_xlfn.XLOOKUP(Table1[[#This Row],[StockOptionLevel]],Table19[StockOptionLevel],Table19[Deskripsi])</f>
        <v>Standard</v>
      </c>
      <c r="AV35">
        <v>19</v>
      </c>
      <c r="AW35">
        <v>6</v>
      </c>
      <c r="AX35" t="str">
        <f>_xlfn.XLOOKUP(Table1[[#This Row],[WorkLifeBalance]],Table20[WorkLifeBalance],Table20[Id_WorkLifeBalance])</f>
        <v>WLB004</v>
      </c>
      <c r="AY35">
        <v>4</v>
      </c>
      <c r="AZ35" t="str">
        <f>_xlfn.XLOOKUP(Table1[[#This Row],[WorkLifeBalance]],Table20[WorkLifeBalance],Table20[Deskripsi])</f>
        <v>Best</v>
      </c>
      <c r="BA35">
        <v>1</v>
      </c>
      <c r="BB35">
        <v>0</v>
      </c>
      <c r="BC35">
        <v>0</v>
      </c>
      <c r="BD35">
        <v>0</v>
      </c>
    </row>
    <row r="36" spans="1:56" x14ac:dyDescent="0.25">
      <c r="A36">
        <v>24</v>
      </c>
      <c r="B36" t="str">
        <f>_xlfn.XLOOKUP(Table1[[#This Row],[Attrition]],Table2[Attrition],Table2[Id_Attrition])</f>
        <v>A001</v>
      </c>
      <c r="C36" t="s">
        <v>32</v>
      </c>
      <c r="D36" t="str">
        <f>_xlfn.XLOOKUP(Table1[[#This Row],[BusinessTravel]],Table5[BusinessTravel],Table5[Id_BusinessTravel])</f>
        <v>BS001</v>
      </c>
      <c r="E36" t="s">
        <v>34</v>
      </c>
      <c r="F36">
        <v>813</v>
      </c>
      <c r="G36" t="str">
        <f>_xlfn.XLOOKUP(Table1[[#This Row],[Department]],Table6[Department],Table6[Id_Departement])</f>
        <v>D002</v>
      </c>
      <c r="H36" t="s">
        <v>38</v>
      </c>
      <c r="I36">
        <v>1</v>
      </c>
      <c r="J36" t="str">
        <f>_xlfn.XLOOKUP(Table1[[#This Row],[Education]],Table8[Education],Table8[Id_Education])</f>
        <v>E003</v>
      </c>
      <c r="K36">
        <v>3</v>
      </c>
      <c r="L36" t="str">
        <f>_xlfn.XLOOKUP(Table1[[#This Row],[EducationField]],Table7[EducationField],Table7[Id_EducationField])</f>
        <v>EF003</v>
      </c>
      <c r="M36" t="s">
        <v>42</v>
      </c>
      <c r="N36" t="str">
        <f>_xlfn.XLOOKUP(Table1[[#This Row],[EmployeeNumber]],Table4[EmployeeNumber],Table4[Id_Employee])</f>
        <v>EMP00035</v>
      </c>
      <c r="O36">
        <v>45</v>
      </c>
      <c r="P36" t="str">
        <f>_xlfn.XLOOKUP(Table1[[#This Row],[EnvironmentSatisfaction]],Table9[EnvironmentSatisfaction],Table9[Id_EnviromentSatisfaction])</f>
        <v>ES002</v>
      </c>
      <c r="Q36">
        <v>2</v>
      </c>
      <c r="R36" t="str">
        <f>_xlfn.XLOOKUP(Table1[[#This Row],[EnvironmentSatisfaction]],Table9[EnvironmentSatisfaction],Table9[Deskripsi])</f>
        <v>Medium</v>
      </c>
      <c r="S36" t="str">
        <f>_xlfn.XLOOKUP(Table1[[#This Row],[Gender]],Table10[Gender],Table10[Id_Gender])</f>
        <v>G002</v>
      </c>
      <c r="T36" t="s">
        <v>46</v>
      </c>
      <c r="U36">
        <v>61</v>
      </c>
      <c r="V36" t="str">
        <f>_xlfn.XLOOKUP(Table1[[#This Row],[JobInvolvement]],Table11[JobInvolvement],Table11[Id_JobInvolvement])</f>
        <v>JI003</v>
      </c>
      <c r="W36">
        <v>3</v>
      </c>
      <c r="X36" t="str">
        <f>_xlfn.XLOOKUP(Table1[[#This Row],[JobLevel]],Table12[JobLevel],Table12[Id_JobLevel])</f>
        <v>JL001</v>
      </c>
      <c r="Y36">
        <v>1</v>
      </c>
      <c r="Z36" t="str">
        <f>_xlfn.XLOOKUP(Table1[[#This Row],[JobRole]],Table13[JobRole],Table13[Id_JobRole])</f>
        <v>JR002</v>
      </c>
      <c r="AA36" t="s">
        <v>48</v>
      </c>
      <c r="AB36" t="str">
        <f>_xlfn.XLOOKUP(Table1[[#This Row],[JobSatisfaction]],Table14[JobSatisfaction],Table14[Id_JobSatisfaction])</f>
        <v>JS004</v>
      </c>
      <c r="AC36">
        <v>4</v>
      </c>
      <c r="AD36" t="str">
        <f>_xlfn.XLOOKUP(Table1[[#This Row],[JobSatisfaction]],Table14[JobSatisfaction],Table14[Deskripsi])</f>
        <v>Very High</v>
      </c>
      <c r="AE36" t="str">
        <f>_xlfn.XLOOKUP(Table1[[#This Row],[MaritalStatus]],Table15[MaritalStatus],Table15[Id_MaritalStatus])</f>
        <v>MS002</v>
      </c>
      <c r="AF36" t="s">
        <v>56</v>
      </c>
      <c r="AG36">
        <v>2293</v>
      </c>
      <c r="AH36">
        <v>3020</v>
      </c>
      <c r="AI36">
        <v>2</v>
      </c>
      <c r="AJ36" t="str">
        <f>_xlfn.XLOOKUP(Table1[[#This Row],[OverTime]],Table16[OverTime],Table16[Id_OverTime])</f>
        <v>OT001</v>
      </c>
      <c r="AK36" t="s">
        <v>32</v>
      </c>
      <c r="AL36">
        <v>16</v>
      </c>
      <c r="AM36" t="str">
        <f>_xlfn.XLOOKUP(Table1[[#This Row],[PerformanceRating]],Table17[PerformanceRating],Table17[Id_PerformanceRating])</f>
        <v>PR003</v>
      </c>
      <c r="AN36">
        <v>3</v>
      </c>
      <c r="AO36" t="str">
        <f>_xlfn.XLOOKUP(Table1[[#This Row],[PerformanceRating]],Table17[PerformanceRating],Table17[Deskripsi])</f>
        <v>Excellent</v>
      </c>
      <c r="AP36" t="str">
        <f>_xlfn.XLOOKUP(Table1[[#This Row],[RelationshipSatisfaction]],Table18[RelationshipSatisfaction],Table18[Id_RelationshipSatisfaction])</f>
        <v>RS001</v>
      </c>
      <c r="AQ36">
        <v>1</v>
      </c>
      <c r="AR36" t="str">
        <f>_xlfn.XLOOKUP(Table1[[#This Row],[RelationshipSatisfaction]],Table18[RelationshipSatisfaction],Table18[Deskripsi])</f>
        <v>Low</v>
      </c>
      <c r="AS36" t="str">
        <f>_xlfn.XLOOKUP(Table1[[#This Row],[StockOptionLevel]],Table19[StockOptionLevel],Table19[Id_StockOptionLevel])</f>
        <v>SOL002</v>
      </c>
      <c r="AT36">
        <v>1</v>
      </c>
      <c r="AU36" t="str">
        <f>_xlfn.XLOOKUP(Table1[[#This Row],[StockOptionLevel]],Table19[StockOptionLevel],Table19[Deskripsi])</f>
        <v>Standard</v>
      </c>
      <c r="AV36">
        <v>6</v>
      </c>
      <c r="AW36">
        <v>2</v>
      </c>
      <c r="AX36" t="str">
        <f>_xlfn.XLOOKUP(Table1[[#This Row],[WorkLifeBalance]],Table20[WorkLifeBalance],Table20[Id_WorkLifeBalance])</f>
        <v>WLB003</v>
      </c>
      <c r="AY36">
        <v>2</v>
      </c>
      <c r="AZ36" t="str">
        <f>_xlfn.XLOOKUP(Table1[[#This Row],[WorkLifeBalance]],Table20[WorkLifeBalance],Table20[Deskripsi])</f>
        <v>Better</v>
      </c>
      <c r="BA36">
        <v>2</v>
      </c>
      <c r="BB36">
        <v>0</v>
      </c>
      <c r="BC36">
        <v>2</v>
      </c>
      <c r="BD36">
        <v>0</v>
      </c>
    </row>
    <row r="37" spans="1:56" x14ac:dyDescent="0.25">
      <c r="A37">
        <v>43</v>
      </c>
      <c r="B37" t="str">
        <f>_xlfn.XLOOKUP(Table1[[#This Row],[Attrition]],Table2[Attrition],Table2[Id_Attrition])</f>
        <v>A002</v>
      </c>
      <c r="C37" t="s">
        <v>33</v>
      </c>
      <c r="D37" t="str">
        <f>_xlfn.XLOOKUP(Table1[[#This Row],[BusinessTravel]],Table5[BusinessTravel],Table5[Id_BusinessTravel])</f>
        <v>BS001</v>
      </c>
      <c r="E37" t="s">
        <v>34</v>
      </c>
      <c r="F37">
        <v>1273</v>
      </c>
      <c r="G37" t="str">
        <f>_xlfn.XLOOKUP(Table1[[#This Row],[Department]],Table6[Department],Table6[Id_Departement])</f>
        <v>D002</v>
      </c>
      <c r="H37" t="s">
        <v>38</v>
      </c>
      <c r="I37">
        <v>2</v>
      </c>
      <c r="J37" t="str">
        <f>_xlfn.XLOOKUP(Table1[[#This Row],[Education]],Table8[Education],Table8[Id_Education])</f>
        <v>E002</v>
      </c>
      <c r="K37">
        <v>2</v>
      </c>
      <c r="L37" t="str">
        <f>_xlfn.XLOOKUP(Table1[[#This Row],[EducationField]],Table7[EducationField],Table7[Id_EducationField])</f>
        <v>EF003</v>
      </c>
      <c r="M37" t="s">
        <v>42</v>
      </c>
      <c r="N37" t="str">
        <f>_xlfn.XLOOKUP(Table1[[#This Row],[EmployeeNumber]],Table4[EmployeeNumber],Table4[Id_Employee])</f>
        <v>EMP00036</v>
      </c>
      <c r="O37">
        <v>46</v>
      </c>
      <c r="P37" t="str">
        <f>_xlfn.XLOOKUP(Table1[[#This Row],[EnvironmentSatisfaction]],Table9[EnvironmentSatisfaction],Table9[Id_EnviromentSatisfaction])</f>
        <v>ES004</v>
      </c>
      <c r="Q37">
        <v>4</v>
      </c>
      <c r="R37" t="str">
        <f>_xlfn.XLOOKUP(Table1[[#This Row],[EnvironmentSatisfaction]],Table9[EnvironmentSatisfaction],Table9[Deskripsi])</f>
        <v>Very High</v>
      </c>
      <c r="S37" t="str">
        <f>_xlfn.XLOOKUP(Table1[[#This Row],[Gender]],Table10[Gender],Table10[Id_Gender])</f>
        <v>G001</v>
      </c>
      <c r="T37" t="s">
        <v>45</v>
      </c>
      <c r="U37">
        <v>72</v>
      </c>
      <c r="V37" t="str">
        <f>_xlfn.XLOOKUP(Table1[[#This Row],[JobInvolvement]],Table11[JobInvolvement],Table11[Id_JobInvolvement])</f>
        <v>JI004</v>
      </c>
      <c r="W37">
        <v>4</v>
      </c>
      <c r="X37" t="str">
        <f>_xlfn.XLOOKUP(Table1[[#This Row],[JobLevel]],Table12[JobLevel],Table12[Id_JobLevel])</f>
        <v>JL001</v>
      </c>
      <c r="Y37">
        <v>1</v>
      </c>
      <c r="Z37" t="str">
        <f>_xlfn.XLOOKUP(Table1[[#This Row],[JobRole]],Table13[JobRole],Table13[Id_JobRole])</f>
        <v>JR002</v>
      </c>
      <c r="AA37" t="s">
        <v>48</v>
      </c>
      <c r="AB37" t="str">
        <f>_xlfn.XLOOKUP(Table1[[#This Row],[JobSatisfaction]],Table14[JobSatisfaction],Table14[Id_JobSatisfaction])</f>
        <v>JS003</v>
      </c>
      <c r="AC37">
        <v>3</v>
      </c>
      <c r="AD37" t="str">
        <f>_xlfn.XLOOKUP(Table1[[#This Row],[JobSatisfaction]],Table14[JobSatisfaction],Table14[Deskripsi])</f>
        <v>High</v>
      </c>
      <c r="AE37" t="str">
        <f>_xlfn.XLOOKUP(Table1[[#This Row],[MaritalStatus]],Table15[MaritalStatus],Table15[Id_MaritalStatus])</f>
        <v>MS003</v>
      </c>
      <c r="AF37" t="s">
        <v>57</v>
      </c>
      <c r="AG37">
        <v>2645</v>
      </c>
      <c r="AH37">
        <v>21923</v>
      </c>
      <c r="AI37">
        <v>1</v>
      </c>
      <c r="AJ37" t="str">
        <f>_xlfn.XLOOKUP(Table1[[#This Row],[OverTime]],Table16[OverTime],Table16[Id_OverTime])</f>
        <v>OT002</v>
      </c>
      <c r="AK37" t="s">
        <v>33</v>
      </c>
      <c r="AL37">
        <v>12</v>
      </c>
      <c r="AM37" t="str">
        <f>_xlfn.XLOOKUP(Table1[[#This Row],[PerformanceRating]],Table17[PerformanceRating],Table17[Id_PerformanceRating])</f>
        <v>PR003</v>
      </c>
      <c r="AN37">
        <v>3</v>
      </c>
      <c r="AO37" t="str">
        <f>_xlfn.XLOOKUP(Table1[[#This Row],[PerformanceRating]],Table17[PerformanceRating],Table17[Deskripsi])</f>
        <v>Excellent</v>
      </c>
      <c r="AP37" t="str">
        <f>_xlfn.XLOOKUP(Table1[[#This Row],[RelationshipSatisfaction]],Table18[RelationshipSatisfaction],Table18[Id_RelationshipSatisfaction])</f>
        <v>RS004</v>
      </c>
      <c r="AQ37">
        <v>4</v>
      </c>
      <c r="AR37" t="str">
        <f>_xlfn.XLOOKUP(Table1[[#This Row],[RelationshipSatisfaction]],Table18[RelationshipSatisfaction],Table18[Deskripsi])</f>
        <v>Very High</v>
      </c>
      <c r="AS37" t="str">
        <f>_xlfn.XLOOKUP(Table1[[#This Row],[StockOptionLevel]],Table19[StockOptionLevel],Table19[Id_StockOptionLevel])</f>
        <v>SOL003</v>
      </c>
      <c r="AT37">
        <v>2</v>
      </c>
      <c r="AU37" t="str">
        <f>_xlfn.XLOOKUP(Table1[[#This Row],[StockOptionLevel]],Table19[StockOptionLevel],Table19[Deskripsi])</f>
        <v>Intermediate</v>
      </c>
      <c r="AV37">
        <v>6</v>
      </c>
      <c r="AW37">
        <v>3</v>
      </c>
      <c r="AX37" t="str">
        <f>_xlfn.XLOOKUP(Table1[[#This Row],[WorkLifeBalance]],Table20[WorkLifeBalance],Table20[Id_WorkLifeBalance])</f>
        <v>WLB003</v>
      </c>
      <c r="AY37">
        <v>2</v>
      </c>
      <c r="AZ37" t="str">
        <f>_xlfn.XLOOKUP(Table1[[#This Row],[WorkLifeBalance]],Table20[WorkLifeBalance],Table20[Deskripsi])</f>
        <v>Better</v>
      </c>
      <c r="BA37">
        <v>5</v>
      </c>
      <c r="BB37">
        <v>3</v>
      </c>
      <c r="BC37">
        <v>1</v>
      </c>
      <c r="BD37">
        <v>4</v>
      </c>
    </row>
    <row r="38" spans="1:56" x14ac:dyDescent="0.25">
      <c r="A38">
        <v>50</v>
      </c>
      <c r="B38" t="str">
        <f>_xlfn.XLOOKUP(Table1[[#This Row],[Attrition]],Table2[Attrition],Table2[Id_Attrition])</f>
        <v>A001</v>
      </c>
      <c r="C38" t="s">
        <v>32</v>
      </c>
      <c r="D38" t="str">
        <f>_xlfn.XLOOKUP(Table1[[#This Row],[BusinessTravel]],Table5[BusinessTravel],Table5[Id_BusinessTravel])</f>
        <v>BS001</v>
      </c>
      <c r="E38" t="s">
        <v>34</v>
      </c>
      <c r="F38">
        <v>869</v>
      </c>
      <c r="G38" t="str">
        <f>_xlfn.XLOOKUP(Table1[[#This Row],[Department]],Table6[Department],Table6[Id_Departement])</f>
        <v>D001</v>
      </c>
      <c r="H38" t="s">
        <v>37</v>
      </c>
      <c r="I38">
        <v>3</v>
      </c>
      <c r="J38" t="str">
        <f>_xlfn.XLOOKUP(Table1[[#This Row],[Education]],Table8[Education],Table8[Id_Education])</f>
        <v>E002</v>
      </c>
      <c r="K38">
        <v>2</v>
      </c>
      <c r="L38" t="str">
        <f>_xlfn.XLOOKUP(Table1[[#This Row],[EducationField]],Table7[EducationField],Table7[Id_EducationField])</f>
        <v>EF004</v>
      </c>
      <c r="M38" t="s">
        <v>43</v>
      </c>
      <c r="N38" t="str">
        <f>_xlfn.XLOOKUP(Table1[[#This Row],[EmployeeNumber]],Table4[EmployeeNumber],Table4[Id_Employee])</f>
        <v>EMP00037</v>
      </c>
      <c r="O38">
        <v>47</v>
      </c>
      <c r="P38" t="str">
        <f>_xlfn.XLOOKUP(Table1[[#This Row],[EnvironmentSatisfaction]],Table9[EnvironmentSatisfaction],Table9[Id_EnviromentSatisfaction])</f>
        <v>ES001</v>
      </c>
      <c r="Q38">
        <v>1</v>
      </c>
      <c r="R38" t="str">
        <f>_xlfn.XLOOKUP(Table1[[#This Row],[EnvironmentSatisfaction]],Table9[EnvironmentSatisfaction],Table9[Deskripsi])</f>
        <v>Low</v>
      </c>
      <c r="S38" t="str">
        <f>_xlfn.XLOOKUP(Table1[[#This Row],[Gender]],Table10[Gender],Table10[Id_Gender])</f>
        <v>G002</v>
      </c>
      <c r="T38" t="s">
        <v>46</v>
      </c>
      <c r="U38">
        <v>86</v>
      </c>
      <c r="V38" t="str">
        <f>_xlfn.XLOOKUP(Table1[[#This Row],[JobInvolvement]],Table11[JobInvolvement],Table11[Id_JobInvolvement])</f>
        <v>JI002</v>
      </c>
      <c r="W38">
        <v>2</v>
      </c>
      <c r="X38" t="str">
        <f>_xlfn.XLOOKUP(Table1[[#This Row],[JobLevel]],Table12[JobLevel],Table12[Id_JobLevel])</f>
        <v>JL001</v>
      </c>
      <c r="Y38">
        <v>1</v>
      </c>
      <c r="Z38" t="str">
        <f>_xlfn.XLOOKUP(Table1[[#This Row],[JobRole]],Table13[JobRole],Table13[Id_JobRole])</f>
        <v>JR007</v>
      </c>
      <c r="AA38" t="s">
        <v>53</v>
      </c>
      <c r="AB38" t="str">
        <f>_xlfn.XLOOKUP(Table1[[#This Row],[JobSatisfaction]],Table14[JobSatisfaction],Table14[Id_JobSatisfaction])</f>
        <v>JS003</v>
      </c>
      <c r="AC38">
        <v>3</v>
      </c>
      <c r="AD38" t="str">
        <f>_xlfn.XLOOKUP(Table1[[#This Row],[JobSatisfaction]],Table14[JobSatisfaction],Table14[Deskripsi])</f>
        <v>High</v>
      </c>
      <c r="AE38" t="str">
        <f>_xlfn.XLOOKUP(Table1[[#This Row],[MaritalStatus]],Table15[MaritalStatus],Table15[Id_MaritalStatus])</f>
        <v>MS002</v>
      </c>
      <c r="AF38" t="s">
        <v>56</v>
      </c>
      <c r="AG38">
        <v>2683</v>
      </c>
      <c r="AH38">
        <v>3810</v>
      </c>
      <c r="AI38">
        <v>1</v>
      </c>
      <c r="AJ38" t="str">
        <f>_xlfn.XLOOKUP(Table1[[#This Row],[OverTime]],Table16[OverTime],Table16[Id_OverTime])</f>
        <v>OT001</v>
      </c>
      <c r="AK38" t="s">
        <v>32</v>
      </c>
      <c r="AL38">
        <v>14</v>
      </c>
      <c r="AM38" t="str">
        <f>_xlfn.XLOOKUP(Table1[[#This Row],[PerformanceRating]],Table17[PerformanceRating],Table17[Id_PerformanceRating])</f>
        <v>PR003</v>
      </c>
      <c r="AN38">
        <v>3</v>
      </c>
      <c r="AO38" t="str">
        <f>_xlfn.XLOOKUP(Table1[[#This Row],[PerformanceRating]],Table17[PerformanceRating],Table17[Deskripsi])</f>
        <v>Excellent</v>
      </c>
      <c r="AP38" t="str">
        <f>_xlfn.XLOOKUP(Table1[[#This Row],[RelationshipSatisfaction]],Table18[RelationshipSatisfaction],Table18[Id_RelationshipSatisfaction])</f>
        <v>RS003</v>
      </c>
      <c r="AQ38">
        <v>3</v>
      </c>
      <c r="AR38" t="str">
        <f>_xlfn.XLOOKUP(Table1[[#This Row],[RelationshipSatisfaction]],Table18[RelationshipSatisfaction],Table18[Deskripsi])</f>
        <v>High</v>
      </c>
      <c r="AS38" t="str">
        <f>_xlfn.XLOOKUP(Table1[[#This Row],[StockOptionLevel]],Table19[StockOptionLevel],Table19[Id_StockOptionLevel])</f>
        <v>SOL001</v>
      </c>
      <c r="AT38">
        <v>0</v>
      </c>
      <c r="AU38" t="str">
        <f>_xlfn.XLOOKUP(Table1[[#This Row],[StockOptionLevel]],Table19[StockOptionLevel],Table19[Deskripsi])</f>
        <v>Non-Eligible</v>
      </c>
      <c r="AV38">
        <v>3</v>
      </c>
      <c r="AW38">
        <v>2</v>
      </c>
      <c r="AX38" t="str">
        <f>_xlfn.XLOOKUP(Table1[[#This Row],[WorkLifeBalance]],Table20[WorkLifeBalance],Table20[Id_WorkLifeBalance])</f>
        <v>WLB002</v>
      </c>
      <c r="AY38">
        <v>3</v>
      </c>
      <c r="AZ38" t="str">
        <f>_xlfn.XLOOKUP(Table1[[#This Row],[WorkLifeBalance]],Table20[WorkLifeBalance],Table20[Deskripsi])</f>
        <v>Good</v>
      </c>
      <c r="BA38">
        <v>3</v>
      </c>
      <c r="BB38">
        <v>2</v>
      </c>
      <c r="BC38">
        <v>0</v>
      </c>
      <c r="BD38">
        <v>2</v>
      </c>
    </row>
    <row r="39" spans="1:56" x14ac:dyDescent="0.25">
      <c r="A39">
        <v>35</v>
      </c>
      <c r="B39" t="str">
        <f>_xlfn.XLOOKUP(Table1[[#This Row],[Attrition]],Table2[Attrition],Table2[Id_Attrition])</f>
        <v>A002</v>
      </c>
      <c r="C39" t="s">
        <v>33</v>
      </c>
      <c r="D39" t="str">
        <f>_xlfn.XLOOKUP(Table1[[#This Row],[BusinessTravel]],Table5[BusinessTravel],Table5[Id_BusinessTravel])</f>
        <v>BS001</v>
      </c>
      <c r="E39" t="s">
        <v>34</v>
      </c>
      <c r="F39">
        <v>890</v>
      </c>
      <c r="G39" t="str">
        <f>_xlfn.XLOOKUP(Table1[[#This Row],[Department]],Table6[Department],Table6[Id_Departement])</f>
        <v>D001</v>
      </c>
      <c r="H39" t="s">
        <v>37</v>
      </c>
      <c r="I39">
        <v>2</v>
      </c>
      <c r="J39" t="str">
        <f>_xlfn.XLOOKUP(Table1[[#This Row],[Education]],Table8[Education],Table8[Id_Education])</f>
        <v>E003</v>
      </c>
      <c r="K39">
        <v>3</v>
      </c>
      <c r="L39" t="str">
        <f>_xlfn.XLOOKUP(Table1[[#This Row],[EducationField]],Table7[EducationField],Table7[Id_EducationField])</f>
        <v>EF004</v>
      </c>
      <c r="M39" t="s">
        <v>43</v>
      </c>
      <c r="N39" t="str">
        <f>_xlfn.XLOOKUP(Table1[[#This Row],[EmployeeNumber]],Table4[EmployeeNumber],Table4[Id_Employee])</f>
        <v>EMP00038</v>
      </c>
      <c r="O39">
        <v>49</v>
      </c>
      <c r="P39" t="str">
        <f>_xlfn.XLOOKUP(Table1[[#This Row],[EnvironmentSatisfaction]],Table9[EnvironmentSatisfaction],Table9[Id_EnviromentSatisfaction])</f>
        <v>ES004</v>
      </c>
      <c r="Q39">
        <v>4</v>
      </c>
      <c r="R39" t="str">
        <f>_xlfn.XLOOKUP(Table1[[#This Row],[EnvironmentSatisfaction]],Table9[EnvironmentSatisfaction],Table9[Deskripsi])</f>
        <v>Very High</v>
      </c>
      <c r="S39" t="str">
        <f>_xlfn.XLOOKUP(Table1[[#This Row],[Gender]],Table10[Gender],Table10[Id_Gender])</f>
        <v>G001</v>
      </c>
      <c r="T39" t="s">
        <v>45</v>
      </c>
      <c r="U39">
        <v>97</v>
      </c>
      <c r="V39" t="str">
        <f>_xlfn.XLOOKUP(Table1[[#This Row],[JobInvolvement]],Table11[JobInvolvement],Table11[Id_JobInvolvement])</f>
        <v>JI003</v>
      </c>
      <c r="W39">
        <v>3</v>
      </c>
      <c r="X39" t="str">
        <f>_xlfn.XLOOKUP(Table1[[#This Row],[JobLevel]],Table12[JobLevel],Table12[Id_JobLevel])</f>
        <v>JL001</v>
      </c>
      <c r="Y39">
        <v>1</v>
      </c>
      <c r="Z39" t="str">
        <f>_xlfn.XLOOKUP(Table1[[#This Row],[JobRole]],Table13[JobRole],Table13[Id_JobRole])</f>
        <v>JR007</v>
      </c>
      <c r="AA39" t="s">
        <v>53</v>
      </c>
      <c r="AB39" t="str">
        <f>_xlfn.XLOOKUP(Table1[[#This Row],[JobSatisfaction]],Table14[JobSatisfaction],Table14[Id_JobSatisfaction])</f>
        <v>JS004</v>
      </c>
      <c r="AC39">
        <v>4</v>
      </c>
      <c r="AD39" t="str">
        <f>_xlfn.XLOOKUP(Table1[[#This Row],[JobSatisfaction]],Table14[JobSatisfaction],Table14[Deskripsi])</f>
        <v>Very High</v>
      </c>
      <c r="AE39" t="str">
        <f>_xlfn.XLOOKUP(Table1[[#This Row],[MaritalStatus]],Table15[MaritalStatus],Table15[Id_MaritalStatus])</f>
        <v>MS002</v>
      </c>
      <c r="AF39" t="s">
        <v>56</v>
      </c>
      <c r="AG39">
        <v>2014</v>
      </c>
      <c r="AH39">
        <v>9687</v>
      </c>
      <c r="AI39">
        <v>1</v>
      </c>
      <c r="AJ39" t="str">
        <f>_xlfn.XLOOKUP(Table1[[#This Row],[OverTime]],Table16[OverTime],Table16[Id_OverTime])</f>
        <v>OT002</v>
      </c>
      <c r="AK39" t="s">
        <v>33</v>
      </c>
      <c r="AL39">
        <v>13</v>
      </c>
      <c r="AM39" t="str">
        <f>_xlfn.XLOOKUP(Table1[[#This Row],[PerformanceRating]],Table17[PerformanceRating],Table17[Id_PerformanceRating])</f>
        <v>PR003</v>
      </c>
      <c r="AN39">
        <v>3</v>
      </c>
      <c r="AO39" t="str">
        <f>_xlfn.XLOOKUP(Table1[[#This Row],[PerformanceRating]],Table17[PerformanceRating],Table17[Deskripsi])</f>
        <v>Excellent</v>
      </c>
      <c r="AP39" t="str">
        <f>_xlfn.XLOOKUP(Table1[[#This Row],[RelationshipSatisfaction]],Table18[RelationshipSatisfaction],Table18[Id_RelationshipSatisfaction])</f>
        <v>RS001</v>
      </c>
      <c r="AQ39">
        <v>1</v>
      </c>
      <c r="AR39" t="str">
        <f>_xlfn.XLOOKUP(Table1[[#This Row],[RelationshipSatisfaction]],Table18[RelationshipSatisfaction],Table18[Deskripsi])</f>
        <v>Low</v>
      </c>
      <c r="AS39" t="str">
        <f>_xlfn.XLOOKUP(Table1[[#This Row],[StockOptionLevel]],Table19[StockOptionLevel],Table19[Id_StockOptionLevel])</f>
        <v>SOL001</v>
      </c>
      <c r="AT39">
        <v>0</v>
      </c>
      <c r="AU39" t="str">
        <f>_xlfn.XLOOKUP(Table1[[#This Row],[StockOptionLevel]],Table19[StockOptionLevel],Table19[Deskripsi])</f>
        <v>Non-Eligible</v>
      </c>
      <c r="AV39">
        <v>2</v>
      </c>
      <c r="AW39">
        <v>3</v>
      </c>
      <c r="AX39" t="str">
        <f>_xlfn.XLOOKUP(Table1[[#This Row],[WorkLifeBalance]],Table20[WorkLifeBalance],Table20[Id_WorkLifeBalance])</f>
        <v>WLB002</v>
      </c>
      <c r="AY39">
        <v>3</v>
      </c>
      <c r="AZ39" t="str">
        <f>_xlfn.XLOOKUP(Table1[[#This Row],[WorkLifeBalance]],Table20[WorkLifeBalance],Table20[Deskripsi])</f>
        <v>Good</v>
      </c>
      <c r="BA39">
        <v>2</v>
      </c>
      <c r="BB39">
        <v>2</v>
      </c>
      <c r="BC39">
        <v>2</v>
      </c>
      <c r="BD39">
        <v>2</v>
      </c>
    </row>
    <row r="40" spans="1:56" x14ac:dyDescent="0.25">
      <c r="A40">
        <v>36</v>
      </c>
      <c r="B40" t="str">
        <f>_xlfn.XLOOKUP(Table1[[#This Row],[Attrition]],Table2[Attrition],Table2[Id_Attrition])</f>
        <v>A002</v>
      </c>
      <c r="C40" t="s">
        <v>33</v>
      </c>
      <c r="D40" t="str">
        <f>_xlfn.XLOOKUP(Table1[[#This Row],[BusinessTravel]],Table5[BusinessTravel],Table5[Id_BusinessTravel])</f>
        <v>BS001</v>
      </c>
      <c r="E40" t="s">
        <v>34</v>
      </c>
      <c r="F40">
        <v>852</v>
      </c>
      <c r="G40" t="str">
        <f>_xlfn.XLOOKUP(Table1[[#This Row],[Department]],Table6[Department],Table6[Id_Departement])</f>
        <v>D002</v>
      </c>
      <c r="H40" t="s">
        <v>38</v>
      </c>
      <c r="I40">
        <v>5</v>
      </c>
      <c r="J40" t="str">
        <f>_xlfn.XLOOKUP(Table1[[#This Row],[Education]],Table8[Education],Table8[Id_Education])</f>
        <v>E004</v>
      </c>
      <c r="K40">
        <v>4</v>
      </c>
      <c r="L40" t="str">
        <f>_xlfn.XLOOKUP(Table1[[#This Row],[EducationField]],Table7[EducationField],Table7[Id_EducationField])</f>
        <v>EF001</v>
      </c>
      <c r="M40" t="s">
        <v>40</v>
      </c>
      <c r="N40" t="str">
        <f>_xlfn.XLOOKUP(Table1[[#This Row],[EmployeeNumber]],Table4[EmployeeNumber],Table4[Id_Employee])</f>
        <v>EMP00039</v>
      </c>
      <c r="O40">
        <v>51</v>
      </c>
      <c r="P40" t="str">
        <f>_xlfn.XLOOKUP(Table1[[#This Row],[EnvironmentSatisfaction]],Table9[EnvironmentSatisfaction],Table9[Id_EnviromentSatisfaction])</f>
        <v>ES002</v>
      </c>
      <c r="Q40">
        <v>2</v>
      </c>
      <c r="R40" t="str">
        <f>_xlfn.XLOOKUP(Table1[[#This Row],[EnvironmentSatisfaction]],Table9[EnvironmentSatisfaction],Table9[Deskripsi])</f>
        <v>Medium</v>
      </c>
      <c r="S40" t="str">
        <f>_xlfn.XLOOKUP(Table1[[#This Row],[Gender]],Table10[Gender],Table10[Id_Gender])</f>
        <v>G001</v>
      </c>
      <c r="T40" t="s">
        <v>45</v>
      </c>
      <c r="U40">
        <v>82</v>
      </c>
      <c r="V40" t="str">
        <f>_xlfn.XLOOKUP(Table1[[#This Row],[JobInvolvement]],Table11[JobInvolvement],Table11[Id_JobInvolvement])</f>
        <v>JI002</v>
      </c>
      <c r="W40">
        <v>2</v>
      </c>
      <c r="X40" t="str">
        <f>_xlfn.XLOOKUP(Table1[[#This Row],[JobLevel]],Table12[JobLevel],Table12[Id_JobLevel])</f>
        <v>JL001</v>
      </c>
      <c r="Y40">
        <v>1</v>
      </c>
      <c r="Z40" t="str">
        <f>_xlfn.XLOOKUP(Table1[[#This Row],[JobRole]],Table13[JobRole],Table13[Id_JobRole])</f>
        <v>JR002</v>
      </c>
      <c r="AA40" t="s">
        <v>48</v>
      </c>
      <c r="AB40" t="str">
        <f>_xlfn.XLOOKUP(Table1[[#This Row],[JobSatisfaction]],Table14[JobSatisfaction],Table14[Id_JobSatisfaction])</f>
        <v>JS001</v>
      </c>
      <c r="AC40">
        <v>1</v>
      </c>
      <c r="AD40" t="str">
        <f>_xlfn.XLOOKUP(Table1[[#This Row],[JobSatisfaction]],Table14[JobSatisfaction],Table14[Deskripsi])</f>
        <v>Low</v>
      </c>
      <c r="AE40" t="str">
        <f>_xlfn.XLOOKUP(Table1[[#This Row],[MaritalStatus]],Table15[MaritalStatus],Table15[Id_MaritalStatus])</f>
        <v>MS002</v>
      </c>
      <c r="AF40" t="s">
        <v>56</v>
      </c>
      <c r="AG40">
        <v>3419</v>
      </c>
      <c r="AH40">
        <v>13072</v>
      </c>
      <c r="AI40">
        <v>9</v>
      </c>
      <c r="AJ40" t="str">
        <f>_xlfn.XLOOKUP(Table1[[#This Row],[OverTime]],Table16[OverTime],Table16[Id_OverTime])</f>
        <v>OT001</v>
      </c>
      <c r="AK40" t="s">
        <v>32</v>
      </c>
      <c r="AL40">
        <v>14</v>
      </c>
      <c r="AM40" t="str">
        <f>_xlfn.XLOOKUP(Table1[[#This Row],[PerformanceRating]],Table17[PerformanceRating],Table17[Id_PerformanceRating])</f>
        <v>PR003</v>
      </c>
      <c r="AN40">
        <v>3</v>
      </c>
      <c r="AO40" t="str">
        <f>_xlfn.XLOOKUP(Table1[[#This Row],[PerformanceRating]],Table17[PerformanceRating],Table17[Deskripsi])</f>
        <v>Excellent</v>
      </c>
      <c r="AP40" t="str">
        <f>_xlfn.XLOOKUP(Table1[[#This Row],[RelationshipSatisfaction]],Table18[RelationshipSatisfaction],Table18[Id_RelationshipSatisfaction])</f>
        <v>RS004</v>
      </c>
      <c r="AQ40">
        <v>4</v>
      </c>
      <c r="AR40" t="str">
        <f>_xlfn.XLOOKUP(Table1[[#This Row],[RelationshipSatisfaction]],Table18[RelationshipSatisfaction],Table18[Deskripsi])</f>
        <v>Very High</v>
      </c>
      <c r="AS40" t="str">
        <f>_xlfn.XLOOKUP(Table1[[#This Row],[StockOptionLevel]],Table19[StockOptionLevel],Table19[Id_StockOptionLevel])</f>
        <v>SOL002</v>
      </c>
      <c r="AT40">
        <v>1</v>
      </c>
      <c r="AU40" t="str">
        <f>_xlfn.XLOOKUP(Table1[[#This Row],[StockOptionLevel]],Table19[StockOptionLevel],Table19[Deskripsi])</f>
        <v>Standard</v>
      </c>
      <c r="AV40">
        <v>6</v>
      </c>
      <c r="AW40">
        <v>3</v>
      </c>
      <c r="AX40" t="str">
        <f>_xlfn.XLOOKUP(Table1[[#This Row],[WorkLifeBalance]],Table20[WorkLifeBalance],Table20[Id_WorkLifeBalance])</f>
        <v>WLB004</v>
      </c>
      <c r="AY40">
        <v>4</v>
      </c>
      <c r="AZ40" t="str">
        <f>_xlfn.XLOOKUP(Table1[[#This Row],[WorkLifeBalance]],Table20[WorkLifeBalance],Table20[Deskripsi])</f>
        <v>Best</v>
      </c>
      <c r="BA40">
        <v>1</v>
      </c>
      <c r="BB40">
        <v>1</v>
      </c>
      <c r="BC40">
        <v>0</v>
      </c>
      <c r="BD40">
        <v>0</v>
      </c>
    </row>
    <row r="41" spans="1:56" x14ac:dyDescent="0.25">
      <c r="A41">
        <v>33</v>
      </c>
      <c r="B41" t="str">
        <f>_xlfn.XLOOKUP(Table1[[#This Row],[Attrition]],Table2[Attrition],Table2[Id_Attrition])</f>
        <v>A002</v>
      </c>
      <c r="C41" t="s">
        <v>33</v>
      </c>
      <c r="D41" t="str">
        <f>_xlfn.XLOOKUP(Table1[[#This Row],[BusinessTravel]],Table5[BusinessTravel],Table5[Id_BusinessTravel])</f>
        <v>BS002</v>
      </c>
      <c r="E41" t="s">
        <v>35</v>
      </c>
      <c r="F41">
        <v>1141</v>
      </c>
      <c r="G41" t="str">
        <f>_xlfn.XLOOKUP(Table1[[#This Row],[Department]],Table6[Department],Table6[Id_Departement])</f>
        <v>D001</v>
      </c>
      <c r="H41" t="s">
        <v>37</v>
      </c>
      <c r="I41">
        <v>1</v>
      </c>
      <c r="J41" t="str">
        <f>_xlfn.XLOOKUP(Table1[[#This Row],[Education]],Table8[Education],Table8[Id_Education])</f>
        <v>E003</v>
      </c>
      <c r="K41">
        <v>3</v>
      </c>
      <c r="L41" t="str">
        <f>_xlfn.XLOOKUP(Table1[[#This Row],[EducationField]],Table7[EducationField],Table7[Id_EducationField])</f>
        <v>EF001</v>
      </c>
      <c r="M41" t="s">
        <v>40</v>
      </c>
      <c r="N41" t="str">
        <f>_xlfn.XLOOKUP(Table1[[#This Row],[EmployeeNumber]],Table4[EmployeeNumber],Table4[Id_Employee])</f>
        <v>EMP00040</v>
      </c>
      <c r="O41">
        <v>52</v>
      </c>
      <c r="P41" t="str">
        <f>_xlfn.XLOOKUP(Table1[[#This Row],[EnvironmentSatisfaction]],Table9[EnvironmentSatisfaction],Table9[Id_EnviromentSatisfaction])</f>
        <v>ES003</v>
      </c>
      <c r="Q41">
        <v>3</v>
      </c>
      <c r="R41" t="str">
        <f>_xlfn.XLOOKUP(Table1[[#This Row],[EnvironmentSatisfaction]],Table9[EnvironmentSatisfaction],Table9[Deskripsi])</f>
        <v>High</v>
      </c>
      <c r="S41" t="str">
        <f>_xlfn.XLOOKUP(Table1[[#This Row],[Gender]],Table10[Gender],Table10[Id_Gender])</f>
        <v>G001</v>
      </c>
      <c r="T41" t="s">
        <v>45</v>
      </c>
      <c r="U41">
        <v>42</v>
      </c>
      <c r="V41" t="str">
        <f>_xlfn.XLOOKUP(Table1[[#This Row],[JobInvolvement]],Table11[JobInvolvement],Table11[Id_JobInvolvement])</f>
        <v>JI004</v>
      </c>
      <c r="W41">
        <v>4</v>
      </c>
      <c r="X41" t="str">
        <f>_xlfn.XLOOKUP(Table1[[#This Row],[JobLevel]],Table12[JobLevel],Table12[Id_JobLevel])</f>
        <v>JL002</v>
      </c>
      <c r="Y41">
        <v>2</v>
      </c>
      <c r="Z41" t="str">
        <f>_xlfn.XLOOKUP(Table1[[#This Row],[JobRole]],Table13[JobRole],Table13[Id_JobRole])</f>
        <v>JR001</v>
      </c>
      <c r="AA41" t="s">
        <v>47</v>
      </c>
      <c r="AB41" t="str">
        <f>_xlfn.XLOOKUP(Table1[[#This Row],[JobSatisfaction]],Table14[JobSatisfaction],Table14[Id_JobSatisfaction])</f>
        <v>JS001</v>
      </c>
      <c r="AC41">
        <v>1</v>
      </c>
      <c r="AD41" t="str">
        <f>_xlfn.XLOOKUP(Table1[[#This Row],[JobSatisfaction]],Table14[JobSatisfaction],Table14[Deskripsi])</f>
        <v>Low</v>
      </c>
      <c r="AE41" t="str">
        <f>_xlfn.XLOOKUP(Table1[[#This Row],[MaritalStatus]],Table15[MaritalStatus],Table15[Id_MaritalStatus])</f>
        <v>MS002</v>
      </c>
      <c r="AF41" t="s">
        <v>56</v>
      </c>
      <c r="AG41">
        <v>5376</v>
      </c>
      <c r="AH41">
        <v>3193</v>
      </c>
      <c r="AI41">
        <v>2</v>
      </c>
      <c r="AJ41" t="str">
        <f>_xlfn.XLOOKUP(Table1[[#This Row],[OverTime]],Table16[OverTime],Table16[Id_OverTime])</f>
        <v>OT002</v>
      </c>
      <c r="AK41" t="s">
        <v>33</v>
      </c>
      <c r="AL41">
        <v>19</v>
      </c>
      <c r="AM41" t="str">
        <f>_xlfn.XLOOKUP(Table1[[#This Row],[PerformanceRating]],Table17[PerformanceRating],Table17[Id_PerformanceRating])</f>
        <v>PR003</v>
      </c>
      <c r="AN41">
        <v>3</v>
      </c>
      <c r="AO41" t="str">
        <f>_xlfn.XLOOKUP(Table1[[#This Row],[PerformanceRating]],Table17[PerformanceRating],Table17[Deskripsi])</f>
        <v>Excellent</v>
      </c>
      <c r="AP41" t="str">
        <f>_xlfn.XLOOKUP(Table1[[#This Row],[RelationshipSatisfaction]],Table18[RelationshipSatisfaction],Table18[Id_RelationshipSatisfaction])</f>
        <v>RS001</v>
      </c>
      <c r="AQ41">
        <v>1</v>
      </c>
      <c r="AR41" t="str">
        <f>_xlfn.XLOOKUP(Table1[[#This Row],[RelationshipSatisfaction]],Table18[RelationshipSatisfaction],Table18[Deskripsi])</f>
        <v>Low</v>
      </c>
      <c r="AS41" t="str">
        <f>_xlfn.XLOOKUP(Table1[[#This Row],[StockOptionLevel]],Table19[StockOptionLevel],Table19[Id_StockOptionLevel])</f>
        <v>SOL003</v>
      </c>
      <c r="AT41">
        <v>2</v>
      </c>
      <c r="AU41" t="str">
        <f>_xlfn.XLOOKUP(Table1[[#This Row],[StockOptionLevel]],Table19[StockOptionLevel],Table19[Deskripsi])</f>
        <v>Intermediate</v>
      </c>
      <c r="AV41">
        <v>10</v>
      </c>
      <c r="AW41">
        <v>3</v>
      </c>
      <c r="AX41" t="str">
        <f>_xlfn.XLOOKUP(Table1[[#This Row],[WorkLifeBalance]],Table20[WorkLifeBalance],Table20[Id_WorkLifeBalance])</f>
        <v>WLB002</v>
      </c>
      <c r="AY41">
        <v>3</v>
      </c>
      <c r="AZ41" t="str">
        <f>_xlfn.XLOOKUP(Table1[[#This Row],[WorkLifeBalance]],Table20[WorkLifeBalance],Table20[Deskripsi])</f>
        <v>Good</v>
      </c>
      <c r="BA41">
        <v>5</v>
      </c>
      <c r="BB41">
        <v>3</v>
      </c>
      <c r="BC41">
        <v>1</v>
      </c>
      <c r="BD41">
        <v>3</v>
      </c>
    </row>
    <row r="42" spans="1:56" x14ac:dyDescent="0.25">
      <c r="A42">
        <v>35</v>
      </c>
      <c r="B42" t="str">
        <f>_xlfn.XLOOKUP(Table1[[#This Row],[Attrition]],Table2[Attrition],Table2[Id_Attrition])</f>
        <v>A002</v>
      </c>
      <c r="C42" t="s">
        <v>33</v>
      </c>
      <c r="D42" t="str">
        <f>_xlfn.XLOOKUP(Table1[[#This Row],[BusinessTravel]],Table5[BusinessTravel],Table5[Id_BusinessTravel])</f>
        <v>BS001</v>
      </c>
      <c r="E42" t="s">
        <v>34</v>
      </c>
      <c r="F42">
        <v>464</v>
      </c>
      <c r="G42" t="str">
        <f>_xlfn.XLOOKUP(Table1[[#This Row],[Department]],Table6[Department],Table6[Id_Departement])</f>
        <v>D002</v>
      </c>
      <c r="H42" t="s">
        <v>38</v>
      </c>
      <c r="I42">
        <v>4</v>
      </c>
      <c r="J42" t="str">
        <f>_xlfn.XLOOKUP(Table1[[#This Row],[Education]],Table8[Education],Table8[Id_Education])</f>
        <v>E002</v>
      </c>
      <c r="K42">
        <v>2</v>
      </c>
      <c r="L42" t="str">
        <f>_xlfn.XLOOKUP(Table1[[#This Row],[EducationField]],Table7[EducationField],Table7[Id_EducationField])</f>
        <v>EF002</v>
      </c>
      <c r="M42" t="s">
        <v>41</v>
      </c>
      <c r="N42" t="str">
        <f>_xlfn.XLOOKUP(Table1[[#This Row],[EmployeeNumber]],Table4[EmployeeNumber],Table4[Id_Employee])</f>
        <v>EMP00041</v>
      </c>
      <c r="O42">
        <v>53</v>
      </c>
      <c r="P42" t="str">
        <f>_xlfn.XLOOKUP(Table1[[#This Row],[EnvironmentSatisfaction]],Table9[EnvironmentSatisfaction],Table9[Id_EnviromentSatisfaction])</f>
        <v>ES003</v>
      </c>
      <c r="Q42">
        <v>3</v>
      </c>
      <c r="R42" t="str">
        <f>_xlfn.XLOOKUP(Table1[[#This Row],[EnvironmentSatisfaction]],Table9[EnvironmentSatisfaction],Table9[Deskripsi])</f>
        <v>High</v>
      </c>
      <c r="S42" t="str">
        <f>_xlfn.XLOOKUP(Table1[[#This Row],[Gender]],Table10[Gender],Table10[Id_Gender])</f>
        <v>G002</v>
      </c>
      <c r="T42" t="s">
        <v>46</v>
      </c>
      <c r="U42">
        <v>75</v>
      </c>
      <c r="V42" t="str">
        <f>_xlfn.XLOOKUP(Table1[[#This Row],[JobInvolvement]],Table11[JobInvolvement],Table11[Id_JobInvolvement])</f>
        <v>JI003</v>
      </c>
      <c r="W42">
        <v>3</v>
      </c>
      <c r="X42" t="str">
        <f>_xlfn.XLOOKUP(Table1[[#This Row],[JobLevel]],Table12[JobLevel],Table12[Id_JobLevel])</f>
        <v>JL001</v>
      </c>
      <c r="Y42">
        <v>1</v>
      </c>
      <c r="Z42" t="str">
        <f>_xlfn.XLOOKUP(Table1[[#This Row],[JobRole]],Table13[JobRole],Table13[Id_JobRole])</f>
        <v>JR003</v>
      </c>
      <c r="AA42" t="s">
        <v>49</v>
      </c>
      <c r="AB42" t="str">
        <f>_xlfn.XLOOKUP(Table1[[#This Row],[JobSatisfaction]],Table14[JobSatisfaction],Table14[Id_JobSatisfaction])</f>
        <v>JS004</v>
      </c>
      <c r="AC42">
        <v>4</v>
      </c>
      <c r="AD42" t="str">
        <f>_xlfn.XLOOKUP(Table1[[#This Row],[JobSatisfaction]],Table14[JobSatisfaction],Table14[Deskripsi])</f>
        <v>Very High</v>
      </c>
      <c r="AE42" t="str">
        <f>_xlfn.XLOOKUP(Table1[[#This Row],[MaritalStatus]],Table15[MaritalStatus],Table15[Id_MaritalStatus])</f>
        <v>MS003</v>
      </c>
      <c r="AF42" t="s">
        <v>57</v>
      </c>
      <c r="AG42">
        <v>1951</v>
      </c>
      <c r="AH42">
        <v>10910</v>
      </c>
      <c r="AI42">
        <v>1</v>
      </c>
      <c r="AJ42" t="str">
        <f>_xlfn.XLOOKUP(Table1[[#This Row],[OverTime]],Table16[OverTime],Table16[Id_OverTime])</f>
        <v>OT002</v>
      </c>
      <c r="AK42" t="s">
        <v>33</v>
      </c>
      <c r="AL42">
        <v>12</v>
      </c>
      <c r="AM42" t="str">
        <f>_xlfn.XLOOKUP(Table1[[#This Row],[PerformanceRating]],Table17[PerformanceRating],Table17[Id_PerformanceRating])</f>
        <v>PR003</v>
      </c>
      <c r="AN42">
        <v>3</v>
      </c>
      <c r="AO42" t="str">
        <f>_xlfn.XLOOKUP(Table1[[#This Row],[PerformanceRating]],Table17[PerformanceRating],Table17[Deskripsi])</f>
        <v>Excellent</v>
      </c>
      <c r="AP42" t="str">
        <f>_xlfn.XLOOKUP(Table1[[#This Row],[RelationshipSatisfaction]],Table18[RelationshipSatisfaction],Table18[Id_RelationshipSatisfaction])</f>
        <v>RS003</v>
      </c>
      <c r="AQ42">
        <v>3</v>
      </c>
      <c r="AR42" t="str">
        <f>_xlfn.XLOOKUP(Table1[[#This Row],[RelationshipSatisfaction]],Table18[RelationshipSatisfaction],Table18[Deskripsi])</f>
        <v>High</v>
      </c>
      <c r="AS42" t="str">
        <f>_xlfn.XLOOKUP(Table1[[#This Row],[StockOptionLevel]],Table19[StockOptionLevel],Table19[Id_StockOptionLevel])</f>
        <v>SOL002</v>
      </c>
      <c r="AT42">
        <v>1</v>
      </c>
      <c r="AU42" t="str">
        <f>_xlfn.XLOOKUP(Table1[[#This Row],[StockOptionLevel]],Table19[StockOptionLevel],Table19[Deskripsi])</f>
        <v>Standard</v>
      </c>
      <c r="AV42">
        <v>1</v>
      </c>
      <c r="AW42">
        <v>3</v>
      </c>
      <c r="AX42" t="str">
        <f>_xlfn.XLOOKUP(Table1[[#This Row],[WorkLifeBalance]],Table20[WorkLifeBalance],Table20[Id_WorkLifeBalance])</f>
        <v>WLB002</v>
      </c>
      <c r="AY42">
        <v>3</v>
      </c>
      <c r="AZ42" t="str">
        <f>_xlfn.XLOOKUP(Table1[[#This Row],[WorkLifeBalance]],Table20[WorkLifeBalance],Table20[Deskripsi])</f>
        <v>Good</v>
      </c>
      <c r="BA42">
        <v>1</v>
      </c>
      <c r="BB42">
        <v>0</v>
      </c>
      <c r="BC42">
        <v>0</v>
      </c>
      <c r="BD42">
        <v>0</v>
      </c>
    </row>
    <row r="43" spans="1:56" x14ac:dyDescent="0.25">
      <c r="A43">
        <v>27</v>
      </c>
      <c r="B43" t="str">
        <f>_xlfn.XLOOKUP(Table1[[#This Row],[Attrition]],Table2[Attrition],Table2[Id_Attrition])</f>
        <v>A002</v>
      </c>
      <c r="C43" t="s">
        <v>33</v>
      </c>
      <c r="D43" t="str">
        <f>_xlfn.XLOOKUP(Table1[[#This Row],[BusinessTravel]],Table5[BusinessTravel],Table5[Id_BusinessTravel])</f>
        <v>BS001</v>
      </c>
      <c r="E43" t="s">
        <v>34</v>
      </c>
      <c r="F43">
        <v>1240</v>
      </c>
      <c r="G43" t="str">
        <f>_xlfn.XLOOKUP(Table1[[#This Row],[Department]],Table6[Department],Table6[Id_Departement])</f>
        <v>D002</v>
      </c>
      <c r="H43" t="s">
        <v>38</v>
      </c>
      <c r="I43">
        <v>2</v>
      </c>
      <c r="J43" t="str">
        <f>_xlfn.XLOOKUP(Table1[[#This Row],[Education]],Table8[Education],Table8[Id_Education])</f>
        <v>E004</v>
      </c>
      <c r="K43">
        <v>4</v>
      </c>
      <c r="L43" t="str">
        <f>_xlfn.XLOOKUP(Table1[[#This Row],[EducationField]],Table7[EducationField],Table7[Id_EducationField])</f>
        <v>EF001</v>
      </c>
      <c r="M43" t="s">
        <v>40</v>
      </c>
      <c r="N43" t="str">
        <f>_xlfn.XLOOKUP(Table1[[#This Row],[EmployeeNumber]],Table4[EmployeeNumber],Table4[Id_Employee])</f>
        <v>EMP00042</v>
      </c>
      <c r="O43">
        <v>54</v>
      </c>
      <c r="P43" t="str">
        <f>_xlfn.XLOOKUP(Table1[[#This Row],[EnvironmentSatisfaction]],Table9[EnvironmentSatisfaction],Table9[Id_EnviromentSatisfaction])</f>
        <v>ES004</v>
      </c>
      <c r="Q43">
        <v>4</v>
      </c>
      <c r="R43" t="str">
        <f>_xlfn.XLOOKUP(Table1[[#This Row],[EnvironmentSatisfaction]],Table9[EnvironmentSatisfaction],Table9[Deskripsi])</f>
        <v>Very High</v>
      </c>
      <c r="S43" t="str">
        <f>_xlfn.XLOOKUP(Table1[[#This Row],[Gender]],Table10[Gender],Table10[Id_Gender])</f>
        <v>G001</v>
      </c>
      <c r="T43" t="s">
        <v>45</v>
      </c>
      <c r="U43">
        <v>33</v>
      </c>
      <c r="V43" t="str">
        <f>_xlfn.XLOOKUP(Table1[[#This Row],[JobInvolvement]],Table11[JobInvolvement],Table11[Id_JobInvolvement])</f>
        <v>JI003</v>
      </c>
      <c r="W43">
        <v>3</v>
      </c>
      <c r="X43" t="str">
        <f>_xlfn.XLOOKUP(Table1[[#This Row],[JobLevel]],Table12[JobLevel],Table12[Id_JobLevel])</f>
        <v>JL001</v>
      </c>
      <c r="Y43">
        <v>1</v>
      </c>
      <c r="Z43" t="str">
        <f>_xlfn.XLOOKUP(Table1[[#This Row],[JobRole]],Table13[JobRole],Table13[Id_JobRole])</f>
        <v>JR003</v>
      </c>
      <c r="AA43" t="s">
        <v>49</v>
      </c>
      <c r="AB43" t="str">
        <f>_xlfn.XLOOKUP(Table1[[#This Row],[JobSatisfaction]],Table14[JobSatisfaction],Table14[Id_JobSatisfaction])</f>
        <v>JS001</v>
      </c>
      <c r="AC43">
        <v>1</v>
      </c>
      <c r="AD43" t="str">
        <f>_xlfn.XLOOKUP(Table1[[#This Row],[JobSatisfaction]],Table14[JobSatisfaction],Table14[Deskripsi])</f>
        <v>Low</v>
      </c>
      <c r="AE43" t="str">
        <f>_xlfn.XLOOKUP(Table1[[#This Row],[MaritalStatus]],Table15[MaritalStatus],Table15[Id_MaritalStatus])</f>
        <v>MS003</v>
      </c>
      <c r="AF43" t="s">
        <v>57</v>
      </c>
      <c r="AG43">
        <v>2341</v>
      </c>
      <c r="AH43">
        <v>19715</v>
      </c>
      <c r="AI43">
        <v>1</v>
      </c>
      <c r="AJ43" t="str">
        <f>_xlfn.XLOOKUP(Table1[[#This Row],[OverTime]],Table16[OverTime],Table16[Id_OverTime])</f>
        <v>OT002</v>
      </c>
      <c r="AK43" t="s">
        <v>33</v>
      </c>
      <c r="AL43">
        <v>13</v>
      </c>
      <c r="AM43" t="str">
        <f>_xlfn.XLOOKUP(Table1[[#This Row],[PerformanceRating]],Table17[PerformanceRating],Table17[Id_PerformanceRating])</f>
        <v>PR003</v>
      </c>
      <c r="AN43">
        <v>3</v>
      </c>
      <c r="AO43" t="str">
        <f>_xlfn.XLOOKUP(Table1[[#This Row],[PerformanceRating]],Table17[PerformanceRating],Table17[Deskripsi])</f>
        <v>Excellent</v>
      </c>
      <c r="AP43" t="str">
        <f>_xlfn.XLOOKUP(Table1[[#This Row],[RelationshipSatisfaction]],Table18[RelationshipSatisfaction],Table18[Id_RelationshipSatisfaction])</f>
        <v>RS004</v>
      </c>
      <c r="AQ43">
        <v>4</v>
      </c>
      <c r="AR43" t="str">
        <f>_xlfn.XLOOKUP(Table1[[#This Row],[RelationshipSatisfaction]],Table18[RelationshipSatisfaction],Table18[Deskripsi])</f>
        <v>Very High</v>
      </c>
      <c r="AS43" t="str">
        <f>_xlfn.XLOOKUP(Table1[[#This Row],[StockOptionLevel]],Table19[StockOptionLevel],Table19[Id_StockOptionLevel])</f>
        <v>SOL002</v>
      </c>
      <c r="AT43">
        <v>1</v>
      </c>
      <c r="AU43" t="str">
        <f>_xlfn.XLOOKUP(Table1[[#This Row],[StockOptionLevel]],Table19[StockOptionLevel],Table19[Deskripsi])</f>
        <v>Standard</v>
      </c>
      <c r="AV43">
        <v>1</v>
      </c>
      <c r="AW43">
        <v>6</v>
      </c>
      <c r="AX43" t="str">
        <f>_xlfn.XLOOKUP(Table1[[#This Row],[WorkLifeBalance]],Table20[WorkLifeBalance],Table20[Id_WorkLifeBalance])</f>
        <v>WLB002</v>
      </c>
      <c r="AY43">
        <v>3</v>
      </c>
      <c r="AZ43" t="str">
        <f>_xlfn.XLOOKUP(Table1[[#This Row],[WorkLifeBalance]],Table20[WorkLifeBalance],Table20[Deskripsi])</f>
        <v>Good</v>
      </c>
      <c r="BA43">
        <v>1</v>
      </c>
      <c r="BB43">
        <v>0</v>
      </c>
      <c r="BC43">
        <v>0</v>
      </c>
      <c r="BD43">
        <v>0</v>
      </c>
    </row>
    <row r="44" spans="1:56" x14ac:dyDescent="0.25">
      <c r="A44">
        <v>26</v>
      </c>
      <c r="B44" t="str">
        <f>_xlfn.XLOOKUP(Table1[[#This Row],[Attrition]],Table2[Attrition],Table2[Id_Attrition])</f>
        <v>A001</v>
      </c>
      <c r="C44" t="s">
        <v>32</v>
      </c>
      <c r="D44" t="str">
        <f>_xlfn.XLOOKUP(Table1[[#This Row],[BusinessTravel]],Table5[BusinessTravel],Table5[Id_BusinessTravel])</f>
        <v>BS001</v>
      </c>
      <c r="E44" t="s">
        <v>34</v>
      </c>
      <c r="F44">
        <v>1357</v>
      </c>
      <c r="G44" t="str">
        <f>_xlfn.XLOOKUP(Table1[[#This Row],[Department]],Table6[Department],Table6[Id_Departement])</f>
        <v>D002</v>
      </c>
      <c r="H44" t="s">
        <v>38</v>
      </c>
      <c r="I44">
        <v>25</v>
      </c>
      <c r="J44" t="str">
        <f>_xlfn.XLOOKUP(Table1[[#This Row],[Education]],Table8[Education],Table8[Id_Education])</f>
        <v>E003</v>
      </c>
      <c r="K44">
        <v>3</v>
      </c>
      <c r="L44" t="str">
        <f>_xlfn.XLOOKUP(Table1[[#This Row],[EducationField]],Table7[EducationField],Table7[Id_EducationField])</f>
        <v>EF001</v>
      </c>
      <c r="M44" t="s">
        <v>40</v>
      </c>
      <c r="N44" t="str">
        <f>_xlfn.XLOOKUP(Table1[[#This Row],[EmployeeNumber]],Table4[EmployeeNumber],Table4[Id_Employee])</f>
        <v>EMP00043</v>
      </c>
      <c r="O44">
        <v>55</v>
      </c>
      <c r="P44" t="str">
        <f>_xlfn.XLOOKUP(Table1[[#This Row],[EnvironmentSatisfaction]],Table9[EnvironmentSatisfaction],Table9[Id_EnviromentSatisfaction])</f>
        <v>ES001</v>
      </c>
      <c r="Q44">
        <v>1</v>
      </c>
      <c r="R44" t="str">
        <f>_xlfn.XLOOKUP(Table1[[#This Row],[EnvironmentSatisfaction]],Table9[EnvironmentSatisfaction],Table9[Deskripsi])</f>
        <v>Low</v>
      </c>
      <c r="S44" t="str">
        <f>_xlfn.XLOOKUP(Table1[[#This Row],[Gender]],Table10[Gender],Table10[Id_Gender])</f>
        <v>G002</v>
      </c>
      <c r="T44" t="s">
        <v>46</v>
      </c>
      <c r="U44">
        <v>48</v>
      </c>
      <c r="V44" t="str">
        <f>_xlfn.XLOOKUP(Table1[[#This Row],[JobInvolvement]],Table11[JobInvolvement],Table11[Id_JobInvolvement])</f>
        <v>JI001</v>
      </c>
      <c r="W44">
        <v>1</v>
      </c>
      <c r="X44" t="str">
        <f>_xlfn.XLOOKUP(Table1[[#This Row],[JobLevel]],Table12[JobLevel],Table12[Id_JobLevel])</f>
        <v>JL001</v>
      </c>
      <c r="Y44">
        <v>1</v>
      </c>
      <c r="Z44" t="str">
        <f>_xlfn.XLOOKUP(Table1[[#This Row],[JobRole]],Table13[JobRole],Table13[Id_JobRole])</f>
        <v>JR003</v>
      </c>
      <c r="AA44" t="s">
        <v>49</v>
      </c>
      <c r="AB44" t="str">
        <f>_xlfn.XLOOKUP(Table1[[#This Row],[JobSatisfaction]],Table14[JobSatisfaction],Table14[Id_JobSatisfaction])</f>
        <v>JS003</v>
      </c>
      <c r="AC44">
        <v>3</v>
      </c>
      <c r="AD44" t="str">
        <f>_xlfn.XLOOKUP(Table1[[#This Row],[JobSatisfaction]],Table14[JobSatisfaction],Table14[Deskripsi])</f>
        <v>High</v>
      </c>
      <c r="AE44" t="str">
        <f>_xlfn.XLOOKUP(Table1[[#This Row],[MaritalStatus]],Table15[MaritalStatus],Table15[Id_MaritalStatus])</f>
        <v>MS001</v>
      </c>
      <c r="AF44" t="s">
        <v>55</v>
      </c>
      <c r="AG44">
        <v>2293</v>
      </c>
      <c r="AH44">
        <v>10558</v>
      </c>
      <c r="AI44">
        <v>1</v>
      </c>
      <c r="AJ44" t="str">
        <f>_xlfn.XLOOKUP(Table1[[#This Row],[OverTime]],Table16[OverTime],Table16[Id_OverTime])</f>
        <v>OT002</v>
      </c>
      <c r="AK44" t="s">
        <v>33</v>
      </c>
      <c r="AL44">
        <v>12</v>
      </c>
      <c r="AM44" t="str">
        <f>_xlfn.XLOOKUP(Table1[[#This Row],[PerformanceRating]],Table17[PerformanceRating],Table17[Id_PerformanceRating])</f>
        <v>PR003</v>
      </c>
      <c r="AN44">
        <v>3</v>
      </c>
      <c r="AO44" t="str">
        <f>_xlfn.XLOOKUP(Table1[[#This Row],[PerformanceRating]],Table17[PerformanceRating],Table17[Deskripsi])</f>
        <v>Excellent</v>
      </c>
      <c r="AP44" t="str">
        <f>_xlfn.XLOOKUP(Table1[[#This Row],[RelationshipSatisfaction]],Table18[RelationshipSatisfaction],Table18[Id_RelationshipSatisfaction])</f>
        <v>RS003</v>
      </c>
      <c r="AQ44">
        <v>3</v>
      </c>
      <c r="AR44" t="str">
        <f>_xlfn.XLOOKUP(Table1[[#This Row],[RelationshipSatisfaction]],Table18[RelationshipSatisfaction],Table18[Deskripsi])</f>
        <v>High</v>
      </c>
      <c r="AS44" t="str">
        <f>_xlfn.XLOOKUP(Table1[[#This Row],[StockOptionLevel]],Table19[StockOptionLevel],Table19[Id_StockOptionLevel])</f>
        <v>SOL001</v>
      </c>
      <c r="AT44">
        <v>0</v>
      </c>
      <c r="AU44" t="str">
        <f>_xlfn.XLOOKUP(Table1[[#This Row],[StockOptionLevel]],Table19[StockOptionLevel],Table19[Deskripsi])</f>
        <v>Non-Eligible</v>
      </c>
      <c r="AV44">
        <v>1</v>
      </c>
      <c r="AW44">
        <v>2</v>
      </c>
      <c r="AX44" t="str">
        <f>_xlfn.XLOOKUP(Table1[[#This Row],[WorkLifeBalance]],Table20[WorkLifeBalance],Table20[Id_WorkLifeBalance])</f>
        <v>WLB003</v>
      </c>
      <c r="AY44">
        <v>2</v>
      </c>
      <c r="AZ44" t="str">
        <f>_xlfn.XLOOKUP(Table1[[#This Row],[WorkLifeBalance]],Table20[WorkLifeBalance],Table20[Deskripsi])</f>
        <v>Better</v>
      </c>
      <c r="BA44">
        <v>1</v>
      </c>
      <c r="BB44">
        <v>0</v>
      </c>
      <c r="BC44">
        <v>0</v>
      </c>
      <c r="BD44">
        <v>1</v>
      </c>
    </row>
    <row r="45" spans="1:56" x14ac:dyDescent="0.25">
      <c r="A45">
        <v>27</v>
      </c>
      <c r="B45" t="str">
        <f>_xlfn.XLOOKUP(Table1[[#This Row],[Attrition]],Table2[Attrition],Table2[Id_Attrition])</f>
        <v>A002</v>
      </c>
      <c r="C45" t="s">
        <v>33</v>
      </c>
      <c r="D45" t="str">
        <f>_xlfn.XLOOKUP(Table1[[#This Row],[BusinessTravel]],Table5[BusinessTravel],Table5[Id_BusinessTravel])</f>
        <v>BS002</v>
      </c>
      <c r="E45" t="s">
        <v>35</v>
      </c>
      <c r="F45">
        <v>994</v>
      </c>
      <c r="G45" t="str">
        <f>_xlfn.XLOOKUP(Table1[[#This Row],[Department]],Table6[Department],Table6[Id_Departement])</f>
        <v>D001</v>
      </c>
      <c r="H45" t="s">
        <v>37</v>
      </c>
      <c r="I45">
        <v>8</v>
      </c>
      <c r="J45" t="str">
        <f>_xlfn.XLOOKUP(Table1[[#This Row],[Education]],Table8[Education],Table8[Id_Education])</f>
        <v>E003</v>
      </c>
      <c r="K45">
        <v>3</v>
      </c>
      <c r="L45" t="str">
        <f>_xlfn.XLOOKUP(Table1[[#This Row],[EducationField]],Table7[EducationField],Table7[Id_EducationField])</f>
        <v>EF001</v>
      </c>
      <c r="M45" t="s">
        <v>40</v>
      </c>
      <c r="N45" t="str">
        <f>_xlfn.XLOOKUP(Table1[[#This Row],[EmployeeNumber]],Table4[EmployeeNumber],Table4[Id_Employee])</f>
        <v>EMP00044</v>
      </c>
      <c r="O45">
        <v>56</v>
      </c>
      <c r="P45" t="str">
        <f>_xlfn.XLOOKUP(Table1[[#This Row],[EnvironmentSatisfaction]],Table9[EnvironmentSatisfaction],Table9[Id_EnviromentSatisfaction])</f>
        <v>ES004</v>
      </c>
      <c r="Q45">
        <v>4</v>
      </c>
      <c r="R45" t="str">
        <f>_xlfn.XLOOKUP(Table1[[#This Row],[EnvironmentSatisfaction]],Table9[EnvironmentSatisfaction],Table9[Deskripsi])</f>
        <v>Very High</v>
      </c>
      <c r="S45" t="str">
        <f>_xlfn.XLOOKUP(Table1[[#This Row],[Gender]],Table10[Gender],Table10[Id_Gender])</f>
        <v>G002</v>
      </c>
      <c r="T45" t="s">
        <v>46</v>
      </c>
      <c r="U45">
        <v>37</v>
      </c>
      <c r="V45" t="str">
        <f>_xlfn.XLOOKUP(Table1[[#This Row],[JobInvolvement]],Table11[JobInvolvement],Table11[Id_JobInvolvement])</f>
        <v>JI003</v>
      </c>
      <c r="W45">
        <v>3</v>
      </c>
      <c r="X45" t="str">
        <f>_xlfn.XLOOKUP(Table1[[#This Row],[JobLevel]],Table12[JobLevel],Table12[Id_JobLevel])</f>
        <v>JL003</v>
      </c>
      <c r="Y45">
        <v>3</v>
      </c>
      <c r="Z45" t="str">
        <f>_xlfn.XLOOKUP(Table1[[#This Row],[JobRole]],Table13[JobRole],Table13[Id_JobRole])</f>
        <v>JR001</v>
      </c>
      <c r="AA45" t="s">
        <v>47</v>
      </c>
      <c r="AB45" t="str">
        <f>_xlfn.XLOOKUP(Table1[[#This Row],[JobSatisfaction]],Table14[JobSatisfaction],Table14[Id_JobSatisfaction])</f>
        <v>JS003</v>
      </c>
      <c r="AC45">
        <v>3</v>
      </c>
      <c r="AD45" t="str">
        <f>_xlfn.XLOOKUP(Table1[[#This Row],[JobSatisfaction]],Table14[JobSatisfaction],Table14[Deskripsi])</f>
        <v>High</v>
      </c>
      <c r="AE45" t="str">
        <f>_xlfn.XLOOKUP(Table1[[#This Row],[MaritalStatus]],Table15[MaritalStatus],Table15[Id_MaritalStatus])</f>
        <v>MS001</v>
      </c>
      <c r="AF45" t="s">
        <v>55</v>
      </c>
      <c r="AG45">
        <v>8726</v>
      </c>
      <c r="AH45">
        <v>2975</v>
      </c>
      <c r="AI45">
        <v>1</v>
      </c>
      <c r="AJ45" t="str">
        <f>_xlfn.XLOOKUP(Table1[[#This Row],[OverTime]],Table16[OverTime],Table16[Id_OverTime])</f>
        <v>OT002</v>
      </c>
      <c r="AK45" t="s">
        <v>33</v>
      </c>
      <c r="AL45">
        <v>15</v>
      </c>
      <c r="AM45" t="str">
        <f>_xlfn.XLOOKUP(Table1[[#This Row],[PerformanceRating]],Table17[PerformanceRating],Table17[Id_PerformanceRating])</f>
        <v>PR003</v>
      </c>
      <c r="AN45">
        <v>3</v>
      </c>
      <c r="AO45" t="str">
        <f>_xlfn.XLOOKUP(Table1[[#This Row],[PerformanceRating]],Table17[PerformanceRating],Table17[Deskripsi])</f>
        <v>Excellent</v>
      </c>
      <c r="AP45" t="str">
        <f>_xlfn.XLOOKUP(Table1[[#This Row],[RelationshipSatisfaction]],Table18[RelationshipSatisfaction],Table18[Id_RelationshipSatisfaction])</f>
        <v>RS004</v>
      </c>
      <c r="AQ45">
        <v>4</v>
      </c>
      <c r="AR45" t="str">
        <f>_xlfn.XLOOKUP(Table1[[#This Row],[RelationshipSatisfaction]],Table18[RelationshipSatisfaction],Table18[Deskripsi])</f>
        <v>Very High</v>
      </c>
      <c r="AS45" t="str">
        <f>_xlfn.XLOOKUP(Table1[[#This Row],[StockOptionLevel]],Table19[StockOptionLevel],Table19[Id_StockOptionLevel])</f>
        <v>SOL001</v>
      </c>
      <c r="AT45">
        <v>0</v>
      </c>
      <c r="AU45" t="str">
        <f>_xlfn.XLOOKUP(Table1[[#This Row],[StockOptionLevel]],Table19[StockOptionLevel],Table19[Deskripsi])</f>
        <v>Non-Eligible</v>
      </c>
      <c r="AV45">
        <v>9</v>
      </c>
      <c r="AW45">
        <v>0</v>
      </c>
      <c r="AX45" t="str">
        <f>_xlfn.XLOOKUP(Table1[[#This Row],[WorkLifeBalance]],Table20[WorkLifeBalance],Table20[Id_WorkLifeBalance])</f>
        <v>WLB002</v>
      </c>
      <c r="AY45">
        <v>3</v>
      </c>
      <c r="AZ45" t="str">
        <f>_xlfn.XLOOKUP(Table1[[#This Row],[WorkLifeBalance]],Table20[WorkLifeBalance],Table20[Deskripsi])</f>
        <v>Good</v>
      </c>
      <c r="BA45">
        <v>9</v>
      </c>
      <c r="BB45">
        <v>8</v>
      </c>
      <c r="BC45">
        <v>1</v>
      </c>
      <c r="BD45">
        <v>7</v>
      </c>
    </row>
    <row r="46" spans="1:56" x14ac:dyDescent="0.25">
      <c r="A46">
        <v>30</v>
      </c>
      <c r="B46" t="str">
        <f>_xlfn.XLOOKUP(Table1[[#This Row],[Attrition]],Table2[Attrition],Table2[Id_Attrition])</f>
        <v>A002</v>
      </c>
      <c r="C46" t="s">
        <v>33</v>
      </c>
      <c r="D46" t="str">
        <f>_xlfn.XLOOKUP(Table1[[#This Row],[BusinessTravel]],Table5[BusinessTravel],Table5[Id_BusinessTravel])</f>
        <v>BS002</v>
      </c>
      <c r="E46" t="s">
        <v>35</v>
      </c>
      <c r="F46">
        <v>721</v>
      </c>
      <c r="G46" t="str">
        <f>_xlfn.XLOOKUP(Table1[[#This Row],[Department]],Table6[Department],Table6[Id_Departement])</f>
        <v>D002</v>
      </c>
      <c r="H46" t="s">
        <v>38</v>
      </c>
      <c r="I46">
        <v>1</v>
      </c>
      <c r="J46" t="str">
        <f>_xlfn.XLOOKUP(Table1[[#This Row],[Education]],Table8[Education],Table8[Id_Education])</f>
        <v>E002</v>
      </c>
      <c r="K46">
        <v>2</v>
      </c>
      <c r="L46" t="str">
        <f>_xlfn.XLOOKUP(Table1[[#This Row],[EducationField]],Table7[EducationField],Table7[Id_EducationField])</f>
        <v>EF003</v>
      </c>
      <c r="M46" t="s">
        <v>42</v>
      </c>
      <c r="N46" t="str">
        <f>_xlfn.XLOOKUP(Table1[[#This Row],[EmployeeNumber]],Table4[EmployeeNumber],Table4[Id_Employee])</f>
        <v>EMP00045</v>
      </c>
      <c r="O46">
        <v>57</v>
      </c>
      <c r="P46" t="str">
        <f>_xlfn.XLOOKUP(Table1[[#This Row],[EnvironmentSatisfaction]],Table9[EnvironmentSatisfaction],Table9[Id_EnviromentSatisfaction])</f>
        <v>ES003</v>
      </c>
      <c r="Q46">
        <v>3</v>
      </c>
      <c r="R46" t="str">
        <f>_xlfn.XLOOKUP(Table1[[#This Row],[EnvironmentSatisfaction]],Table9[EnvironmentSatisfaction],Table9[Deskripsi])</f>
        <v>High</v>
      </c>
      <c r="S46" t="str">
        <f>_xlfn.XLOOKUP(Table1[[#This Row],[Gender]],Table10[Gender],Table10[Id_Gender])</f>
        <v>G001</v>
      </c>
      <c r="T46" t="s">
        <v>45</v>
      </c>
      <c r="U46">
        <v>58</v>
      </c>
      <c r="V46" t="str">
        <f>_xlfn.XLOOKUP(Table1[[#This Row],[JobInvolvement]],Table11[JobInvolvement],Table11[Id_JobInvolvement])</f>
        <v>JI003</v>
      </c>
      <c r="W46">
        <v>3</v>
      </c>
      <c r="X46" t="str">
        <f>_xlfn.XLOOKUP(Table1[[#This Row],[JobLevel]],Table12[JobLevel],Table12[Id_JobLevel])</f>
        <v>JL002</v>
      </c>
      <c r="Y46">
        <v>2</v>
      </c>
      <c r="Z46" t="str">
        <f>_xlfn.XLOOKUP(Table1[[#This Row],[JobRole]],Table13[JobRole],Table13[Id_JobRole])</f>
        <v>JR003</v>
      </c>
      <c r="AA46" t="s">
        <v>49</v>
      </c>
      <c r="AB46" t="str">
        <f>_xlfn.XLOOKUP(Table1[[#This Row],[JobSatisfaction]],Table14[JobSatisfaction],Table14[Id_JobSatisfaction])</f>
        <v>JS004</v>
      </c>
      <c r="AC46">
        <v>4</v>
      </c>
      <c r="AD46" t="str">
        <f>_xlfn.XLOOKUP(Table1[[#This Row],[JobSatisfaction]],Table14[JobSatisfaction],Table14[Deskripsi])</f>
        <v>Very High</v>
      </c>
      <c r="AE46" t="str">
        <f>_xlfn.XLOOKUP(Table1[[#This Row],[MaritalStatus]],Table15[MaritalStatus],Table15[Id_MaritalStatus])</f>
        <v>MS001</v>
      </c>
      <c r="AF46" t="s">
        <v>55</v>
      </c>
      <c r="AG46">
        <v>4011</v>
      </c>
      <c r="AH46">
        <v>10781</v>
      </c>
      <c r="AI46">
        <v>1</v>
      </c>
      <c r="AJ46" t="str">
        <f>_xlfn.XLOOKUP(Table1[[#This Row],[OverTime]],Table16[OverTime],Table16[Id_OverTime])</f>
        <v>OT002</v>
      </c>
      <c r="AK46" t="s">
        <v>33</v>
      </c>
      <c r="AL46">
        <v>23</v>
      </c>
      <c r="AM46" t="str">
        <f>_xlfn.XLOOKUP(Table1[[#This Row],[PerformanceRating]],Table17[PerformanceRating],Table17[Id_PerformanceRating])</f>
        <v>PR004</v>
      </c>
      <c r="AN46">
        <v>4</v>
      </c>
      <c r="AO46" t="str">
        <f>_xlfn.XLOOKUP(Table1[[#This Row],[PerformanceRating]],Table17[PerformanceRating],Table17[Deskripsi])</f>
        <v>Outstanding</v>
      </c>
      <c r="AP46" t="str">
        <f>_xlfn.XLOOKUP(Table1[[#This Row],[RelationshipSatisfaction]],Table18[RelationshipSatisfaction],Table18[Id_RelationshipSatisfaction])</f>
        <v>RS004</v>
      </c>
      <c r="AQ46">
        <v>4</v>
      </c>
      <c r="AR46" t="str">
        <f>_xlfn.XLOOKUP(Table1[[#This Row],[RelationshipSatisfaction]],Table18[RelationshipSatisfaction],Table18[Deskripsi])</f>
        <v>Very High</v>
      </c>
      <c r="AS46" t="str">
        <f>_xlfn.XLOOKUP(Table1[[#This Row],[StockOptionLevel]],Table19[StockOptionLevel],Table19[Id_StockOptionLevel])</f>
        <v>SOL001</v>
      </c>
      <c r="AT46">
        <v>0</v>
      </c>
      <c r="AU46" t="str">
        <f>_xlfn.XLOOKUP(Table1[[#This Row],[StockOptionLevel]],Table19[StockOptionLevel],Table19[Deskripsi])</f>
        <v>Non-Eligible</v>
      </c>
      <c r="AV46">
        <v>12</v>
      </c>
      <c r="AW46">
        <v>2</v>
      </c>
      <c r="AX46" t="str">
        <f>_xlfn.XLOOKUP(Table1[[#This Row],[WorkLifeBalance]],Table20[WorkLifeBalance],Table20[Id_WorkLifeBalance])</f>
        <v>WLB002</v>
      </c>
      <c r="AY46">
        <v>3</v>
      </c>
      <c r="AZ46" t="str">
        <f>_xlfn.XLOOKUP(Table1[[#This Row],[WorkLifeBalance]],Table20[WorkLifeBalance],Table20[Deskripsi])</f>
        <v>Good</v>
      </c>
      <c r="BA46">
        <v>12</v>
      </c>
      <c r="BB46">
        <v>8</v>
      </c>
      <c r="BC46">
        <v>3</v>
      </c>
      <c r="BD46">
        <v>7</v>
      </c>
    </row>
    <row r="47" spans="1:56" x14ac:dyDescent="0.25">
      <c r="A47">
        <v>41</v>
      </c>
      <c r="B47" t="str">
        <f>_xlfn.XLOOKUP(Table1[[#This Row],[Attrition]],Table2[Attrition],Table2[Id_Attrition])</f>
        <v>A001</v>
      </c>
      <c r="C47" t="s">
        <v>32</v>
      </c>
      <c r="D47" t="str">
        <f>_xlfn.XLOOKUP(Table1[[#This Row],[BusinessTravel]],Table5[BusinessTravel],Table5[Id_BusinessTravel])</f>
        <v>BS001</v>
      </c>
      <c r="E47" t="s">
        <v>34</v>
      </c>
      <c r="F47">
        <v>1360</v>
      </c>
      <c r="G47" t="str">
        <f>_xlfn.XLOOKUP(Table1[[#This Row],[Department]],Table6[Department],Table6[Id_Departement])</f>
        <v>D002</v>
      </c>
      <c r="H47" t="s">
        <v>38</v>
      </c>
      <c r="I47">
        <v>12</v>
      </c>
      <c r="J47" t="str">
        <f>_xlfn.XLOOKUP(Table1[[#This Row],[Education]],Table8[Education],Table8[Id_Education])</f>
        <v>E003</v>
      </c>
      <c r="K47">
        <v>3</v>
      </c>
      <c r="L47" t="str">
        <f>_xlfn.XLOOKUP(Table1[[#This Row],[EducationField]],Table7[EducationField],Table7[Id_EducationField])</f>
        <v>EF005</v>
      </c>
      <c r="M47" t="s">
        <v>44</v>
      </c>
      <c r="N47" t="str">
        <f>_xlfn.XLOOKUP(Table1[[#This Row],[EmployeeNumber]],Table4[EmployeeNumber],Table4[Id_Employee])</f>
        <v>EMP00046</v>
      </c>
      <c r="O47">
        <v>58</v>
      </c>
      <c r="P47" t="str">
        <f>_xlfn.XLOOKUP(Table1[[#This Row],[EnvironmentSatisfaction]],Table9[EnvironmentSatisfaction],Table9[Id_EnviromentSatisfaction])</f>
        <v>ES002</v>
      </c>
      <c r="Q47">
        <v>2</v>
      </c>
      <c r="R47" t="str">
        <f>_xlfn.XLOOKUP(Table1[[#This Row],[EnvironmentSatisfaction]],Table9[EnvironmentSatisfaction],Table9[Deskripsi])</f>
        <v>Medium</v>
      </c>
      <c r="S47" t="str">
        <f>_xlfn.XLOOKUP(Table1[[#This Row],[Gender]],Table10[Gender],Table10[Id_Gender])</f>
        <v>G001</v>
      </c>
      <c r="T47" t="s">
        <v>45</v>
      </c>
      <c r="U47">
        <v>49</v>
      </c>
      <c r="V47" t="str">
        <f>_xlfn.XLOOKUP(Table1[[#This Row],[JobInvolvement]],Table11[JobInvolvement],Table11[Id_JobInvolvement])</f>
        <v>JI003</v>
      </c>
      <c r="W47">
        <v>3</v>
      </c>
      <c r="X47" t="str">
        <f>_xlfn.XLOOKUP(Table1[[#This Row],[JobLevel]],Table12[JobLevel],Table12[Id_JobLevel])</f>
        <v>JL005</v>
      </c>
      <c r="Y47">
        <v>5</v>
      </c>
      <c r="Z47" t="str">
        <f>_xlfn.XLOOKUP(Table1[[#This Row],[JobRole]],Table13[JobRole],Table13[Id_JobRole])</f>
        <v>JR008</v>
      </c>
      <c r="AA47" t="s">
        <v>54</v>
      </c>
      <c r="AB47" t="str">
        <f>_xlfn.XLOOKUP(Table1[[#This Row],[JobSatisfaction]],Table14[JobSatisfaction],Table14[Id_JobSatisfaction])</f>
        <v>JS003</v>
      </c>
      <c r="AC47">
        <v>3</v>
      </c>
      <c r="AD47" t="str">
        <f>_xlfn.XLOOKUP(Table1[[#This Row],[JobSatisfaction]],Table14[JobSatisfaction],Table14[Deskripsi])</f>
        <v>High</v>
      </c>
      <c r="AE47" t="str">
        <f>_xlfn.XLOOKUP(Table1[[#This Row],[MaritalStatus]],Table15[MaritalStatus],Table15[Id_MaritalStatus])</f>
        <v>MS002</v>
      </c>
      <c r="AF47" t="s">
        <v>56</v>
      </c>
      <c r="AG47">
        <v>19545</v>
      </c>
      <c r="AH47">
        <v>16280</v>
      </c>
      <c r="AI47">
        <v>1</v>
      </c>
      <c r="AJ47" t="str">
        <f>_xlfn.XLOOKUP(Table1[[#This Row],[OverTime]],Table16[OverTime],Table16[Id_OverTime])</f>
        <v>OT002</v>
      </c>
      <c r="AK47" t="s">
        <v>33</v>
      </c>
      <c r="AL47">
        <v>12</v>
      </c>
      <c r="AM47" t="str">
        <f>_xlfn.XLOOKUP(Table1[[#This Row],[PerformanceRating]],Table17[PerformanceRating],Table17[Id_PerformanceRating])</f>
        <v>PR003</v>
      </c>
      <c r="AN47">
        <v>3</v>
      </c>
      <c r="AO47" t="str">
        <f>_xlfn.XLOOKUP(Table1[[#This Row],[PerformanceRating]],Table17[PerformanceRating],Table17[Deskripsi])</f>
        <v>Excellent</v>
      </c>
      <c r="AP47" t="str">
        <f>_xlfn.XLOOKUP(Table1[[#This Row],[RelationshipSatisfaction]],Table18[RelationshipSatisfaction],Table18[Id_RelationshipSatisfaction])</f>
        <v>RS004</v>
      </c>
      <c r="AQ47">
        <v>4</v>
      </c>
      <c r="AR47" t="str">
        <f>_xlfn.XLOOKUP(Table1[[#This Row],[RelationshipSatisfaction]],Table18[RelationshipSatisfaction],Table18[Deskripsi])</f>
        <v>Very High</v>
      </c>
      <c r="AS47" t="str">
        <f>_xlfn.XLOOKUP(Table1[[#This Row],[StockOptionLevel]],Table19[StockOptionLevel],Table19[Id_StockOptionLevel])</f>
        <v>SOL001</v>
      </c>
      <c r="AT47">
        <v>0</v>
      </c>
      <c r="AU47" t="str">
        <f>_xlfn.XLOOKUP(Table1[[#This Row],[StockOptionLevel]],Table19[StockOptionLevel],Table19[Deskripsi])</f>
        <v>Non-Eligible</v>
      </c>
      <c r="AV47">
        <v>23</v>
      </c>
      <c r="AW47">
        <v>0</v>
      </c>
      <c r="AX47" t="str">
        <f>_xlfn.XLOOKUP(Table1[[#This Row],[WorkLifeBalance]],Table20[WorkLifeBalance],Table20[Id_WorkLifeBalance])</f>
        <v>WLB002</v>
      </c>
      <c r="AY47">
        <v>3</v>
      </c>
      <c r="AZ47" t="str">
        <f>_xlfn.XLOOKUP(Table1[[#This Row],[WorkLifeBalance]],Table20[WorkLifeBalance],Table20[Deskripsi])</f>
        <v>Good</v>
      </c>
      <c r="BA47">
        <v>22</v>
      </c>
      <c r="BB47">
        <v>15</v>
      </c>
      <c r="BC47">
        <v>15</v>
      </c>
      <c r="BD47">
        <v>8</v>
      </c>
    </row>
    <row r="48" spans="1:56" x14ac:dyDescent="0.25">
      <c r="A48">
        <v>34</v>
      </c>
      <c r="B48" t="str">
        <f>_xlfn.XLOOKUP(Table1[[#This Row],[Attrition]],Table2[Attrition],Table2[Id_Attrition])</f>
        <v>A002</v>
      </c>
      <c r="C48" t="s">
        <v>33</v>
      </c>
      <c r="D48" t="str">
        <f>_xlfn.XLOOKUP(Table1[[#This Row],[BusinessTravel]],Table5[BusinessTravel],Table5[Id_BusinessTravel])</f>
        <v>BS003</v>
      </c>
      <c r="E48" t="s">
        <v>36</v>
      </c>
      <c r="F48">
        <v>1065</v>
      </c>
      <c r="G48" t="str">
        <f>_xlfn.XLOOKUP(Table1[[#This Row],[Department]],Table6[Department],Table6[Id_Departement])</f>
        <v>D001</v>
      </c>
      <c r="H48" t="s">
        <v>37</v>
      </c>
      <c r="I48">
        <v>23</v>
      </c>
      <c r="J48" t="str">
        <f>_xlfn.XLOOKUP(Table1[[#This Row],[Education]],Table8[Education],Table8[Id_Education])</f>
        <v>E004</v>
      </c>
      <c r="K48">
        <v>4</v>
      </c>
      <c r="L48" t="str">
        <f>_xlfn.XLOOKUP(Table1[[#This Row],[EducationField]],Table7[EducationField],Table7[Id_EducationField])</f>
        <v>EF004</v>
      </c>
      <c r="M48" t="s">
        <v>43</v>
      </c>
      <c r="N48" t="str">
        <f>_xlfn.XLOOKUP(Table1[[#This Row],[EmployeeNumber]],Table4[EmployeeNumber],Table4[Id_Employee])</f>
        <v>EMP00047</v>
      </c>
      <c r="O48">
        <v>60</v>
      </c>
      <c r="P48" t="str">
        <f>_xlfn.XLOOKUP(Table1[[#This Row],[EnvironmentSatisfaction]],Table9[EnvironmentSatisfaction],Table9[Id_EnviromentSatisfaction])</f>
        <v>ES002</v>
      </c>
      <c r="Q48">
        <v>2</v>
      </c>
      <c r="R48" t="str">
        <f>_xlfn.XLOOKUP(Table1[[#This Row],[EnvironmentSatisfaction]],Table9[EnvironmentSatisfaction],Table9[Deskripsi])</f>
        <v>Medium</v>
      </c>
      <c r="S48" t="str">
        <f>_xlfn.XLOOKUP(Table1[[#This Row],[Gender]],Table10[Gender],Table10[Id_Gender])</f>
        <v>G002</v>
      </c>
      <c r="T48" t="s">
        <v>46</v>
      </c>
      <c r="U48">
        <v>72</v>
      </c>
      <c r="V48" t="str">
        <f>_xlfn.XLOOKUP(Table1[[#This Row],[JobInvolvement]],Table11[JobInvolvement],Table11[Id_JobInvolvement])</f>
        <v>JI003</v>
      </c>
      <c r="W48">
        <v>3</v>
      </c>
      <c r="X48" t="str">
        <f>_xlfn.XLOOKUP(Table1[[#This Row],[JobLevel]],Table12[JobLevel],Table12[Id_JobLevel])</f>
        <v>JL002</v>
      </c>
      <c r="Y48">
        <v>2</v>
      </c>
      <c r="Z48" t="str">
        <f>_xlfn.XLOOKUP(Table1[[#This Row],[JobRole]],Table13[JobRole],Table13[Id_JobRole])</f>
        <v>JR001</v>
      </c>
      <c r="AA48" t="s">
        <v>47</v>
      </c>
      <c r="AB48" t="str">
        <f>_xlfn.XLOOKUP(Table1[[#This Row],[JobSatisfaction]],Table14[JobSatisfaction],Table14[Id_JobSatisfaction])</f>
        <v>JS003</v>
      </c>
      <c r="AC48">
        <v>3</v>
      </c>
      <c r="AD48" t="str">
        <f>_xlfn.XLOOKUP(Table1[[#This Row],[JobSatisfaction]],Table14[JobSatisfaction],Table14[Deskripsi])</f>
        <v>High</v>
      </c>
      <c r="AE48" t="str">
        <f>_xlfn.XLOOKUP(Table1[[#This Row],[MaritalStatus]],Table15[MaritalStatus],Table15[Id_MaritalStatus])</f>
        <v>MS001</v>
      </c>
      <c r="AF48" t="s">
        <v>55</v>
      </c>
      <c r="AG48">
        <v>4568</v>
      </c>
      <c r="AH48">
        <v>10034</v>
      </c>
      <c r="AI48">
        <v>0</v>
      </c>
      <c r="AJ48" t="str">
        <f>_xlfn.XLOOKUP(Table1[[#This Row],[OverTime]],Table16[OverTime],Table16[Id_OverTime])</f>
        <v>OT002</v>
      </c>
      <c r="AK48" t="s">
        <v>33</v>
      </c>
      <c r="AL48">
        <v>20</v>
      </c>
      <c r="AM48" t="str">
        <f>_xlfn.XLOOKUP(Table1[[#This Row],[PerformanceRating]],Table17[PerformanceRating],Table17[Id_PerformanceRating])</f>
        <v>PR004</v>
      </c>
      <c r="AN48">
        <v>4</v>
      </c>
      <c r="AO48" t="str">
        <f>_xlfn.XLOOKUP(Table1[[#This Row],[PerformanceRating]],Table17[PerformanceRating],Table17[Deskripsi])</f>
        <v>Outstanding</v>
      </c>
      <c r="AP48" t="str">
        <f>_xlfn.XLOOKUP(Table1[[#This Row],[RelationshipSatisfaction]],Table18[RelationshipSatisfaction],Table18[Id_RelationshipSatisfaction])</f>
        <v>RS003</v>
      </c>
      <c r="AQ48">
        <v>3</v>
      </c>
      <c r="AR48" t="str">
        <f>_xlfn.XLOOKUP(Table1[[#This Row],[RelationshipSatisfaction]],Table18[RelationshipSatisfaction],Table18[Deskripsi])</f>
        <v>High</v>
      </c>
      <c r="AS48" t="str">
        <f>_xlfn.XLOOKUP(Table1[[#This Row],[StockOptionLevel]],Table19[StockOptionLevel],Table19[Id_StockOptionLevel])</f>
        <v>SOL001</v>
      </c>
      <c r="AT48">
        <v>0</v>
      </c>
      <c r="AU48" t="str">
        <f>_xlfn.XLOOKUP(Table1[[#This Row],[StockOptionLevel]],Table19[StockOptionLevel],Table19[Deskripsi])</f>
        <v>Non-Eligible</v>
      </c>
      <c r="AV48">
        <v>10</v>
      </c>
      <c r="AW48">
        <v>2</v>
      </c>
      <c r="AX48" t="str">
        <f>_xlfn.XLOOKUP(Table1[[#This Row],[WorkLifeBalance]],Table20[WorkLifeBalance],Table20[Id_WorkLifeBalance])</f>
        <v>WLB002</v>
      </c>
      <c r="AY48">
        <v>3</v>
      </c>
      <c r="AZ48" t="str">
        <f>_xlfn.XLOOKUP(Table1[[#This Row],[WorkLifeBalance]],Table20[WorkLifeBalance],Table20[Deskripsi])</f>
        <v>Good</v>
      </c>
      <c r="BA48">
        <v>9</v>
      </c>
      <c r="BB48">
        <v>5</v>
      </c>
      <c r="BC48">
        <v>8</v>
      </c>
      <c r="BD48">
        <v>7</v>
      </c>
    </row>
    <row r="49" spans="1:56" x14ac:dyDescent="0.25">
      <c r="A49">
        <v>37</v>
      </c>
      <c r="B49" t="str">
        <f>_xlfn.XLOOKUP(Table1[[#This Row],[Attrition]],Table2[Attrition],Table2[Id_Attrition])</f>
        <v>A002</v>
      </c>
      <c r="C49" t="s">
        <v>33</v>
      </c>
      <c r="D49" t="str">
        <f>_xlfn.XLOOKUP(Table1[[#This Row],[BusinessTravel]],Table5[BusinessTravel],Table5[Id_BusinessTravel])</f>
        <v>BS001</v>
      </c>
      <c r="E49" t="s">
        <v>34</v>
      </c>
      <c r="F49">
        <v>408</v>
      </c>
      <c r="G49" t="str">
        <f>_xlfn.XLOOKUP(Table1[[#This Row],[Department]],Table6[Department],Table6[Id_Departement])</f>
        <v>D002</v>
      </c>
      <c r="H49" t="s">
        <v>38</v>
      </c>
      <c r="I49">
        <v>19</v>
      </c>
      <c r="J49" t="str">
        <f>_xlfn.XLOOKUP(Table1[[#This Row],[Education]],Table8[Education],Table8[Id_Education])</f>
        <v>E002</v>
      </c>
      <c r="K49">
        <v>2</v>
      </c>
      <c r="L49" t="str">
        <f>_xlfn.XLOOKUP(Table1[[#This Row],[EducationField]],Table7[EducationField],Table7[Id_EducationField])</f>
        <v>EF001</v>
      </c>
      <c r="M49" t="s">
        <v>40</v>
      </c>
      <c r="N49" t="str">
        <f>_xlfn.XLOOKUP(Table1[[#This Row],[EmployeeNumber]],Table4[EmployeeNumber],Table4[Id_Employee])</f>
        <v>EMP00048</v>
      </c>
      <c r="O49">
        <v>61</v>
      </c>
      <c r="P49" t="str">
        <f>_xlfn.XLOOKUP(Table1[[#This Row],[EnvironmentSatisfaction]],Table9[EnvironmentSatisfaction],Table9[Id_EnviromentSatisfaction])</f>
        <v>ES002</v>
      </c>
      <c r="Q49">
        <v>2</v>
      </c>
      <c r="R49" t="str">
        <f>_xlfn.XLOOKUP(Table1[[#This Row],[EnvironmentSatisfaction]],Table9[EnvironmentSatisfaction],Table9[Deskripsi])</f>
        <v>Medium</v>
      </c>
      <c r="S49" t="str">
        <f>_xlfn.XLOOKUP(Table1[[#This Row],[Gender]],Table10[Gender],Table10[Id_Gender])</f>
        <v>G002</v>
      </c>
      <c r="T49" t="s">
        <v>46</v>
      </c>
      <c r="U49">
        <v>73</v>
      </c>
      <c r="V49" t="str">
        <f>_xlfn.XLOOKUP(Table1[[#This Row],[JobInvolvement]],Table11[JobInvolvement],Table11[Id_JobInvolvement])</f>
        <v>JI003</v>
      </c>
      <c r="W49">
        <v>3</v>
      </c>
      <c r="X49" t="str">
        <f>_xlfn.XLOOKUP(Table1[[#This Row],[JobLevel]],Table12[JobLevel],Table12[Id_JobLevel])</f>
        <v>JL001</v>
      </c>
      <c r="Y49">
        <v>1</v>
      </c>
      <c r="Z49" t="str">
        <f>_xlfn.XLOOKUP(Table1[[#This Row],[JobRole]],Table13[JobRole],Table13[Id_JobRole])</f>
        <v>JR002</v>
      </c>
      <c r="AA49" t="s">
        <v>48</v>
      </c>
      <c r="AB49" t="str">
        <f>_xlfn.XLOOKUP(Table1[[#This Row],[JobSatisfaction]],Table14[JobSatisfaction],Table14[Id_JobSatisfaction])</f>
        <v>JS002</v>
      </c>
      <c r="AC49">
        <v>2</v>
      </c>
      <c r="AD49" t="str">
        <f>_xlfn.XLOOKUP(Table1[[#This Row],[JobSatisfaction]],Table14[JobSatisfaction],Table14[Deskripsi])</f>
        <v>Medium</v>
      </c>
      <c r="AE49" t="str">
        <f>_xlfn.XLOOKUP(Table1[[#This Row],[MaritalStatus]],Table15[MaritalStatus],Table15[Id_MaritalStatus])</f>
        <v>MS002</v>
      </c>
      <c r="AF49" t="s">
        <v>56</v>
      </c>
      <c r="AG49">
        <v>3022</v>
      </c>
      <c r="AH49">
        <v>10227</v>
      </c>
      <c r="AI49">
        <v>4</v>
      </c>
      <c r="AJ49" t="str">
        <f>_xlfn.XLOOKUP(Table1[[#This Row],[OverTime]],Table16[OverTime],Table16[Id_OverTime])</f>
        <v>OT002</v>
      </c>
      <c r="AK49" t="s">
        <v>33</v>
      </c>
      <c r="AL49">
        <v>21</v>
      </c>
      <c r="AM49" t="str">
        <f>_xlfn.XLOOKUP(Table1[[#This Row],[PerformanceRating]],Table17[PerformanceRating],Table17[Id_PerformanceRating])</f>
        <v>PR004</v>
      </c>
      <c r="AN49">
        <v>4</v>
      </c>
      <c r="AO49" t="str">
        <f>_xlfn.XLOOKUP(Table1[[#This Row],[PerformanceRating]],Table17[PerformanceRating],Table17[Deskripsi])</f>
        <v>Outstanding</v>
      </c>
      <c r="AP49" t="str">
        <f>_xlfn.XLOOKUP(Table1[[#This Row],[RelationshipSatisfaction]],Table18[RelationshipSatisfaction],Table18[Id_RelationshipSatisfaction])</f>
        <v>RS001</v>
      </c>
      <c r="AQ49">
        <v>1</v>
      </c>
      <c r="AR49" t="str">
        <f>_xlfn.XLOOKUP(Table1[[#This Row],[RelationshipSatisfaction]],Table18[RelationshipSatisfaction],Table18[Deskripsi])</f>
        <v>Low</v>
      </c>
      <c r="AS49" t="str">
        <f>_xlfn.XLOOKUP(Table1[[#This Row],[StockOptionLevel]],Table19[StockOptionLevel],Table19[Id_StockOptionLevel])</f>
        <v>SOL001</v>
      </c>
      <c r="AT49">
        <v>0</v>
      </c>
      <c r="AU49" t="str">
        <f>_xlfn.XLOOKUP(Table1[[#This Row],[StockOptionLevel]],Table19[StockOptionLevel],Table19[Deskripsi])</f>
        <v>Non-Eligible</v>
      </c>
      <c r="AV49">
        <v>8</v>
      </c>
      <c r="AW49">
        <v>1</v>
      </c>
      <c r="AX49" t="str">
        <f>_xlfn.XLOOKUP(Table1[[#This Row],[WorkLifeBalance]],Table20[WorkLifeBalance],Table20[Id_WorkLifeBalance])</f>
        <v>WLB002</v>
      </c>
      <c r="AY49">
        <v>3</v>
      </c>
      <c r="AZ49" t="str">
        <f>_xlfn.XLOOKUP(Table1[[#This Row],[WorkLifeBalance]],Table20[WorkLifeBalance],Table20[Deskripsi])</f>
        <v>Good</v>
      </c>
      <c r="BA49">
        <v>1</v>
      </c>
      <c r="BB49">
        <v>0</v>
      </c>
      <c r="BC49">
        <v>0</v>
      </c>
      <c r="BD49">
        <v>0</v>
      </c>
    </row>
    <row r="50" spans="1:56" x14ac:dyDescent="0.25">
      <c r="A50">
        <v>46</v>
      </c>
      <c r="B50" t="str">
        <f>_xlfn.XLOOKUP(Table1[[#This Row],[Attrition]],Table2[Attrition],Table2[Id_Attrition])</f>
        <v>A002</v>
      </c>
      <c r="C50" t="s">
        <v>33</v>
      </c>
      <c r="D50" t="str">
        <f>_xlfn.XLOOKUP(Table1[[#This Row],[BusinessTravel]],Table5[BusinessTravel],Table5[Id_BusinessTravel])</f>
        <v>BS002</v>
      </c>
      <c r="E50" t="s">
        <v>35</v>
      </c>
      <c r="F50">
        <v>1211</v>
      </c>
      <c r="G50" t="str">
        <f>_xlfn.XLOOKUP(Table1[[#This Row],[Department]],Table6[Department],Table6[Id_Departement])</f>
        <v>D001</v>
      </c>
      <c r="H50" t="s">
        <v>37</v>
      </c>
      <c r="I50">
        <v>5</v>
      </c>
      <c r="J50" t="str">
        <f>_xlfn.XLOOKUP(Table1[[#This Row],[Education]],Table8[Education],Table8[Id_Education])</f>
        <v>E004</v>
      </c>
      <c r="K50">
        <v>4</v>
      </c>
      <c r="L50" t="str">
        <f>_xlfn.XLOOKUP(Table1[[#This Row],[EducationField]],Table7[EducationField],Table7[Id_EducationField])</f>
        <v>EF004</v>
      </c>
      <c r="M50" t="s">
        <v>43</v>
      </c>
      <c r="N50" t="str">
        <f>_xlfn.XLOOKUP(Table1[[#This Row],[EmployeeNumber]],Table4[EmployeeNumber],Table4[Id_Employee])</f>
        <v>EMP00049</v>
      </c>
      <c r="O50">
        <v>62</v>
      </c>
      <c r="P50" t="str">
        <f>_xlfn.XLOOKUP(Table1[[#This Row],[EnvironmentSatisfaction]],Table9[EnvironmentSatisfaction],Table9[Id_EnviromentSatisfaction])</f>
        <v>ES001</v>
      </c>
      <c r="Q50">
        <v>1</v>
      </c>
      <c r="R50" t="str">
        <f>_xlfn.XLOOKUP(Table1[[#This Row],[EnvironmentSatisfaction]],Table9[EnvironmentSatisfaction],Table9[Deskripsi])</f>
        <v>Low</v>
      </c>
      <c r="S50" t="str">
        <f>_xlfn.XLOOKUP(Table1[[#This Row],[Gender]],Table10[Gender],Table10[Id_Gender])</f>
        <v>G002</v>
      </c>
      <c r="T50" t="s">
        <v>46</v>
      </c>
      <c r="U50">
        <v>98</v>
      </c>
      <c r="V50" t="str">
        <f>_xlfn.XLOOKUP(Table1[[#This Row],[JobInvolvement]],Table11[JobInvolvement],Table11[Id_JobInvolvement])</f>
        <v>JI003</v>
      </c>
      <c r="W50">
        <v>3</v>
      </c>
      <c r="X50" t="str">
        <f>_xlfn.XLOOKUP(Table1[[#This Row],[JobLevel]],Table12[JobLevel],Table12[Id_JobLevel])</f>
        <v>JL002</v>
      </c>
      <c r="Y50">
        <v>2</v>
      </c>
      <c r="Z50" t="str">
        <f>_xlfn.XLOOKUP(Table1[[#This Row],[JobRole]],Table13[JobRole],Table13[Id_JobRole])</f>
        <v>JR001</v>
      </c>
      <c r="AA50" t="s">
        <v>47</v>
      </c>
      <c r="AB50" t="str">
        <f>_xlfn.XLOOKUP(Table1[[#This Row],[JobSatisfaction]],Table14[JobSatisfaction],Table14[Id_JobSatisfaction])</f>
        <v>JS004</v>
      </c>
      <c r="AC50">
        <v>4</v>
      </c>
      <c r="AD50" t="str">
        <f>_xlfn.XLOOKUP(Table1[[#This Row],[JobSatisfaction]],Table14[JobSatisfaction],Table14[Deskripsi])</f>
        <v>Very High</v>
      </c>
      <c r="AE50" t="str">
        <f>_xlfn.XLOOKUP(Table1[[#This Row],[MaritalStatus]],Table15[MaritalStatus],Table15[Id_MaritalStatus])</f>
        <v>MS001</v>
      </c>
      <c r="AF50" t="s">
        <v>55</v>
      </c>
      <c r="AG50">
        <v>5772</v>
      </c>
      <c r="AH50">
        <v>20445</v>
      </c>
      <c r="AI50">
        <v>4</v>
      </c>
      <c r="AJ50" t="str">
        <f>_xlfn.XLOOKUP(Table1[[#This Row],[OverTime]],Table16[OverTime],Table16[Id_OverTime])</f>
        <v>OT001</v>
      </c>
      <c r="AK50" t="s">
        <v>32</v>
      </c>
      <c r="AL50">
        <v>21</v>
      </c>
      <c r="AM50" t="str">
        <f>_xlfn.XLOOKUP(Table1[[#This Row],[PerformanceRating]],Table17[PerformanceRating],Table17[Id_PerformanceRating])</f>
        <v>PR004</v>
      </c>
      <c r="AN50">
        <v>4</v>
      </c>
      <c r="AO50" t="str">
        <f>_xlfn.XLOOKUP(Table1[[#This Row],[PerformanceRating]],Table17[PerformanceRating],Table17[Deskripsi])</f>
        <v>Outstanding</v>
      </c>
      <c r="AP50" t="str">
        <f>_xlfn.XLOOKUP(Table1[[#This Row],[RelationshipSatisfaction]],Table18[RelationshipSatisfaction],Table18[Id_RelationshipSatisfaction])</f>
        <v>RS003</v>
      </c>
      <c r="AQ50">
        <v>3</v>
      </c>
      <c r="AR50" t="str">
        <f>_xlfn.XLOOKUP(Table1[[#This Row],[RelationshipSatisfaction]],Table18[RelationshipSatisfaction],Table18[Deskripsi])</f>
        <v>High</v>
      </c>
      <c r="AS50" t="str">
        <f>_xlfn.XLOOKUP(Table1[[#This Row],[StockOptionLevel]],Table19[StockOptionLevel],Table19[Id_StockOptionLevel])</f>
        <v>SOL001</v>
      </c>
      <c r="AT50">
        <v>0</v>
      </c>
      <c r="AU50" t="str">
        <f>_xlfn.XLOOKUP(Table1[[#This Row],[StockOptionLevel]],Table19[StockOptionLevel],Table19[Deskripsi])</f>
        <v>Non-Eligible</v>
      </c>
      <c r="AV50">
        <v>14</v>
      </c>
      <c r="AW50">
        <v>4</v>
      </c>
      <c r="AX50" t="str">
        <f>_xlfn.XLOOKUP(Table1[[#This Row],[WorkLifeBalance]],Table20[WorkLifeBalance],Table20[Id_WorkLifeBalance])</f>
        <v>WLB002</v>
      </c>
      <c r="AY50">
        <v>3</v>
      </c>
      <c r="AZ50" t="str">
        <f>_xlfn.XLOOKUP(Table1[[#This Row],[WorkLifeBalance]],Table20[WorkLifeBalance],Table20[Deskripsi])</f>
        <v>Good</v>
      </c>
      <c r="BA50">
        <v>9</v>
      </c>
      <c r="BB50">
        <v>6</v>
      </c>
      <c r="BC50">
        <v>0</v>
      </c>
      <c r="BD50">
        <v>8</v>
      </c>
    </row>
    <row r="51" spans="1:56" x14ac:dyDescent="0.25">
      <c r="A51">
        <v>35</v>
      </c>
      <c r="B51" t="str">
        <f>_xlfn.XLOOKUP(Table1[[#This Row],[Attrition]],Table2[Attrition],Table2[Id_Attrition])</f>
        <v>A002</v>
      </c>
      <c r="C51" t="s">
        <v>33</v>
      </c>
      <c r="D51" t="str">
        <f>_xlfn.XLOOKUP(Table1[[#This Row],[BusinessTravel]],Table5[BusinessTravel],Table5[Id_BusinessTravel])</f>
        <v>BS001</v>
      </c>
      <c r="E51" t="s">
        <v>34</v>
      </c>
      <c r="F51">
        <v>1229</v>
      </c>
      <c r="G51" t="str">
        <f>_xlfn.XLOOKUP(Table1[[#This Row],[Department]],Table6[Department],Table6[Id_Departement])</f>
        <v>D002</v>
      </c>
      <c r="H51" t="s">
        <v>38</v>
      </c>
      <c r="I51">
        <v>8</v>
      </c>
      <c r="J51" t="str">
        <f>_xlfn.XLOOKUP(Table1[[#This Row],[Education]],Table8[Education],Table8[Id_Education])</f>
        <v>E001</v>
      </c>
      <c r="K51">
        <v>1</v>
      </c>
      <c r="L51" t="str">
        <f>_xlfn.XLOOKUP(Table1[[#This Row],[EducationField]],Table7[EducationField],Table7[Id_EducationField])</f>
        <v>EF001</v>
      </c>
      <c r="M51" t="s">
        <v>40</v>
      </c>
      <c r="N51" t="str">
        <f>_xlfn.XLOOKUP(Table1[[#This Row],[EmployeeNumber]],Table4[EmployeeNumber],Table4[Id_Employee])</f>
        <v>EMP00050</v>
      </c>
      <c r="O51">
        <v>63</v>
      </c>
      <c r="P51" t="str">
        <f>_xlfn.XLOOKUP(Table1[[#This Row],[EnvironmentSatisfaction]],Table9[EnvironmentSatisfaction],Table9[Id_EnviromentSatisfaction])</f>
        <v>ES004</v>
      </c>
      <c r="Q51">
        <v>4</v>
      </c>
      <c r="R51" t="str">
        <f>_xlfn.XLOOKUP(Table1[[#This Row],[EnvironmentSatisfaction]],Table9[EnvironmentSatisfaction],Table9[Deskripsi])</f>
        <v>Very High</v>
      </c>
      <c r="S51" t="str">
        <f>_xlfn.XLOOKUP(Table1[[#This Row],[Gender]],Table10[Gender],Table10[Id_Gender])</f>
        <v>G002</v>
      </c>
      <c r="T51" t="s">
        <v>46</v>
      </c>
      <c r="U51">
        <v>36</v>
      </c>
      <c r="V51" t="str">
        <f>_xlfn.XLOOKUP(Table1[[#This Row],[JobInvolvement]],Table11[JobInvolvement],Table11[Id_JobInvolvement])</f>
        <v>JI004</v>
      </c>
      <c r="W51">
        <v>4</v>
      </c>
      <c r="X51" t="str">
        <f>_xlfn.XLOOKUP(Table1[[#This Row],[JobLevel]],Table12[JobLevel],Table12[Id_JobLevel])</f>
        <v>JL001</v>
      </c>
      <c r="Y51">
        <v>1</v>
      </c>
      <c r="Z51" t="str">
        <f>_xlfn.XLOOKUP(Table1[[#This Row],[JobRole]],Table13[JobRole],Table13[Id_JobRole])</f>
        <v>JR003</v>
      </c>
      <c r="AA51" t="s">
        <v>49</v>
      </c>
      <c r="AB51" t="str">
        <f>_xlfn.XLOOKUP(Table1[[#This Row],[JobSatisfaction]],Table14[JobSatisfaction],Table14[Id_JobSatisfaction])</f>
        <v>JS004</v>
      </c>
      <c r="AC51">
        <v>4</v>
      </c>
      <c r="AD51" t="str">
        <f>_xlfn.XLOOKUP(Table1[[#This Row],[JobSatisfaction]],Table14[JobSatisfaction],Table14[Deskripsi])</f>
        <v>Very High</v>
      </c>
      <c r="AE51" t="str">
        <f>_xlfn.XLOOKUP(Table1[[#This Row],[MaritalStatus]],Table15[MaritalStatus],Table15[Id_MaritalStatus])</f>
        <v>MS002</v>
      </c>
      <c r="AF51" t="s">
        <v>56</v>
      </c>
      <c r="AG51">
        <v>2269</v>
      </c>
      <c r="AH51">
        <v>4892</v>
      </c>
      <c r="AI51">
        <v>1</v>
      </c>
      <c r="AJ51" t="str">
        <f>_xlfn.XLOOKUP(Table1[[#This Row],[OverTime]],Table16[OverTime],Table16[Id_OverTime])</f>
        <v>OT002</v>
      </c>
      <c r="AK51" t="s">
        <v>33</v>
      </c>
      <c r="AL51">
        <v>19</v>
      </c>
      <c r="AM51" t="str">
        <f>_xlfn.XLOOKUP(Table1[[#This Row],[PerformanceRating]],Table17[PerformanceRating],Table17[Id_PerformanceRating])</f>
        <v>PR003</v>
      </c>
      <c r="AN51">
        <v>3</v>
      </c>
      <c r="AO51" t="str">
        <f>_xlfn.XLOOKUP(Table1[[#This Row],[PerformanceRating]],Table17[PerformanceRating],Table17[Deskripsi])</f>
        <v>Excellent</v>
      </c>
      <c r="AP51" t="str">
        <f>_xlfn.XLOOKUP(Table1[[#This Row],[RelationshipSatisfaction]],Table18[RelationshipSatisfaction],Table18[Id_RelationshipSatisfaction])</f>
        <v>RS004</v>
      </c>
      <c r="AQ51">
        <v>4</v>
      </c>
      <c r="AR51" t="str">
        <f>_xlfn.XLOOKUP(Table1[[#This Row],[RelationshipSatisfaction]],Table18[RelationshipSatisfaction],Table18[Deskripsi])</f>
        <v>Very High</v>
      </c>
      <c r="AS51" t="str">
        <f>_xlfn.XLOOKUP(Table1[[#This Row],[StockOptionLevel]],Table19[StockOptionLevel],Table19[Id_StockOptionLevel])</f>
        <v>SOL001</v>
      </c>
      <c r="AT51">
        <v>0</v>
      </c>
      <c r="AU51" t="str">
        <f>_xlfn.XLOOKUP(Table1[[#This Row],[StockOptionLevel]],Table19[StockOptionLevel],Table19[Deskripsi])</f>
        <v>Non-Eligible</v>
      </c>
      <c r="AV51">
        <v>1</v>
      </c>
      <c r="AW51">
        <v>2</v>
      </c>
      <c r="AX51" t="str">
        <f>_xlfn.XLOOKUP(Table1[[#This Row],[WorkLifeBalance]],Table20[WorkLifeBalance],Table20[Id_WorkLifeBalance])</f>
        <v>WLB002</v>
      </c>
      <c r="AY51">
        <v>3</v>
      </c>
      <c r="AZ51" t="str">
        <f>_xlfn.XLOOKUP(Table1[[#This Row],[WorkLifeBalance]],Table20[WorkLifeBalance],Table20[Deskripsi])</f>
        <v>Good</v>
      </c>
      <c r="BA51">
        <v>1</v>
      </c>
      <c r="BB51">
        <v>0</v>
      </c>
      <c r="BC51">
        <v>0</v>
      </c>
      <c r="BD51">
        <v>1</v>
      </c>
    </row>
    <row r="52" spans="1:56" x14ac:dyDescent="0.25">
      <c r="A52">
        <v>48</v>
      </c>
      <c r="B52" t="str">
        <f>_xlfn.XLOOKUP(Table1[[#This Row],[Attrition]],Table2[Attrition],Table2[Id_Attrition])</f>
        <v>A001</v>
      </c>
      <c r="C52" t="s">
        <v>32</v>
      </c>
      <c r="D52" t="str">
        <f>_xlfn.XLOOKUP(Table1[[#This Row],[BusinessTravel]],Table5[BusinessTravel],Table5[Id_BusinessTravel])</f>
        <v>BS001</v>
      </c>
      <c r="E52" t="s">
        <v>34</v>
      </c>
      <c r="F52">
        <v>626</v>
      </c>
      <c r="G52" t="str">
        <f>_xlfn.XLOOKUP(Table1[[#This Row],[Department]],Table6[Department],Table6[Id_Departement])</f>
        <v>D002</v>
      </c>
      <c r="H52" t="s">
        <v>38</v>
      </c>
      <c r="I52">
        <v>1</v>
      </c>
      <c r="J52" t="str">
        <f>_xlfn.XLOOKUP(Table1[[#This Row],[Education]],Table8[Education],Table8[Id_Education])</f>
        <v>E002</v>
      </c>
      <c r="K52">
        <v>2</v>
      </c>
      <c r="L52" t="str">
        <f>_xlfn.XLOOKUP(Table1[[#This Row],[EducationField]],Table7[EducationField],Table7[Id_EducationField])</f>
        <v>EF001</v>
      </c>
      <c r="M52" t="s">
        <v>40</v>
      </c>
      <c r="N52" t="str">
        <f>_xlfn.XLOOKUP(Table1[[#This Row],[EmployeeNumber]],Table4[EmployeeNumber],Table4[Id_Employee])</f>
        <v>EMP00051</v>
      </c>
      <c r="O52">
        <v>64</v>
      </c>
      <c r="P52" t="str">
        <f>_xlfn.XLOOKUP(Table1[[#This Row],[EnvironmentSatisfaction]],Table9[EnvironmentSatisfaction],Table9[Id_EnviromentSatisfaction])</f>
        <v>ES001</v>
      </c>
      <c r="Q52">
        <v>1</v>
      </c>
      <c r="R52" t="str">
        <f>_xlfn.XLOOKUP(Table1[[#This Row],[EnvironmentSatisfaction]],Table9[EnvironmentSatisfaction],Table9[Deskripsi])</f>
        <v>Low</v>
      </c>
      <c r="S52" t="str">
        <f>_xlfn.XLOOKUP(Table1[[#This Row],[Gender]],Table10[Gender],Table10[Id_Gender])</f>
        <v>G002</v>
      </c>
      <c r="T52" t="s">
        <v>46</v>
      </c>
      <c r="U52">
        <v>98</v>
      </c>
      <c r="V52" t="str">
        <f>_xlfn.XLOOKUP(Table1[[#This Row],[JobInvolvement]],Table11[JobInvolvement],Table11[Id_JobInvolvement])</f>
        <v>JI002</v>
      </c>
      <c r="W52">
        <v>2</v>
      </c>
      <c r="X52" t="str">
        <f>_xlfn.XLOOKUP(Table1[[#This Row],[JobLevel]],Table12[JobLevel],Table12[Id_JobLevel])</f>
        <v>JL003</v>
      </c>
      <c r="Y52">
        <v>3</v>
      </c>
      <c r="Z52" t="str">
        <f>_xlfn.XLOOKUP(Table1[[#This Row],[JobRole]],Table13[JobRole],Table13[Id_JobRole])</f>
        <v>JR003</v>
      </c>
      <c r="AA52" t="s">
        <v>49</v>
      </c>
      <c r="AB52" t="str">
        <f>_xlfn.XLOOKUP(Table1[[#This Row],[JobSatisfaction]],Table14[JobSatisfaction],Table14[Id_JobSatisfaction])</f>
        <v>JS003</v>
      </c>
      <c r="AC52">
        <v>3</v>
      </c>
      <c r="AD52" t="str">
        <f>_xlfn.XLOOKUP(Table1[[#This Row],[JobSatisfaction]],Table14[JobSatisfaction],Table14[Deskripsi])</f>
        <v>High</v>
      </c>
      <c r="AE52" t="str">
        <f>_xlfn.XLOOKUP(Table1[[#This Row],[MaritalStatus]],Table15[MaritalStatus],Table15[Id_MaritalStatus])</f>
        <v>MS001</v>
      </c>
      <c r="AF52" t="s">
        <v>55</v>
      </c>
      <c r="AG52">
        <v>5381</v>
      </c>
      <c r="AH52">
        <v>19294</v>
      </c>
      <c r="AI52">
        <v>9</v>
      </c>
      <c r="AJ52" t="str">
        <f>_xlfn.XLOOKUP(Table1[[#This Row],[OverTime]],Table16[OverTime],Table16[Id_OverTime])</f>
        <v>OT001</v>
      </c>
      <c r="AK52" t="s">
        <v>32</v>
      </c>
      <c r="AL52">
        <v>13</v>
      </c>
      <c r="AM52" t="str">
        <f>_xlfn.XLOOKUP(Table1[[#This Row],[PerformanceRating]],Table17[PerformanceRating],Table17[Id_PerformanceRating])</f>
        <v>PR003</v>
      </c>
      <c r="AN52">
        <v>3</v>
      </c>
      <c r="AO52" t="str">
        <f>_xlfn.XLOOKUP(Table1[[#This Row],[PerformanceRating]],Table17[PerformanceRating],Table17[Deskripsi])</f>
        <v>Excellent</v>
      </c>
      <c r="AP52" t="str">
        <f>_xlfn.XLOOKUP(Table1[[#This Row],[RelationshipSatisfaction]],Table18[RelationshipSatisfaction],Table18[Id_RelationshipSatisfaction])</f>
        <v>RS004</v>
      </c>
      <c r="AQ52">
        <v>4</v>
      </c>
      <c r="AR52" t="str">
        <f>_xlfn.XLOOKUP(Table1[[#This Row],[RelationshipSatisfaction]],Table18[RelationshipSatisfaction],Table18[Deskripsi])</f>
        <v>Very High</v>
      </c>
      <c r="AS52" t="str">
        <f>_xlfn.XLOOKUP(Table1[[#This Row],[StockOptionLevel]],Table19[StockOptionLevel],Table19[Id_StockOptionLevel])</f>
        <v>SOL001</v>
      </c>
      <c r="AT52">
        <v>0</v>
      </c>
      <c r="AU52" t="str">
        <f>_xlfn.XLOOKUP(Table1[[#This Row],[StockOptionLevel]],Table19[StockOptionLevel],Table19[Deskripsi])</f>
        <v>Non-Eligible</v>
      </c>
      <c r="AV52">
        <v>23</v>
      </c>
      <c r="AW52">
        <v>2</v>
      </c>
      <c r="AX52" t="str">
        <f>_xlfn.XLOOKUP(Table1[[#This Row],[WorkLifeBalance]],Table20[WorkLifeBalance],Table20[Id_WorkLifeBalance])</f>
        <v>WLB002</v>
      </c>
      <c r="AY52">
        <v>3</v>
      </c>
      <c r="AZ52" t="str">
        <f>_xlfn.XLOOKUP(Table1[[#This Row],[WorkLifeBalance]],Table20[WorkLifeBalance],Table20[Deskripsi])</f>
        <v>Good</v>
      </c>
      <c r="BA52">
        <v>1</v>
      </c>
      <c r="BB52">
        <v>0</v>
      </c>
      <c r="BC52">
        <v>0</v>
      </c>
      <c r="BD52">
        <v>0</v>
      </c>
    </row>
    <row r="53" spans="1:56" x14ac:dyDescent="0.25">
      <c r="A53">
        <v>28</v>
      </c>
      <c r="B53" t="str">
        <f>_xlfn.XLOOKUP(Table1[[#This Row],[Attrition]],Table2[Attrition],Table2[Id_Attrition])</f>
        <v>A001</v>
      </c>
      <c r="C53" t="s">
        <v>32</v>
      </c>
      <c r="D53" t="str">
        <f>_xlfn.XLOOKUP(Table1[[#This Row],[BusinessTravel]],Table5[BusinessTravel],Table5[Id_BusinessTravel])</f>
        <v>BS001</v>
      </c>
      <c r="E53" t="s">
        <v>34</v>
      </c>
      <c r="F53">
        <v>1434</v>
      </c>
      <c r="G53" t="str">
        <f>_xlfn.XLOOKUP(Table1[[#This Row],[Department]],Table6[Department],Table6[Id_Departement])</f>
        <v>D002</v>
      </c>
      <c r="H53" t="s">
        <v>38</v>
      </c>
      <c r="I53">
        <v>5</v>
      </c>
      <c r="J53" t="str">
        <f>_xlfn.XLOOKUP(Table1[[#This Row],[Education]],Table8[Education],Table8[Id_Education])</f>
        <v>E004</v>
      </c>
      <c r="K53">
        <v>4</v>
      </c>
      <c r="L53" t="str">
        <f>_xlfn.XLOOKUP(Table1[[#This Row],[EducationField]],Table7[EducationField],Table7[Id_EducationField])</f>
        <v>EF005</v>
      </c>
      <c r="M53" t="s">
        <v>44</v>
      </c>
      <c r="N53" t="str">
        <f>_xlfn.XLOOKUP(Table1[[#This Row],[EmployeeNumber]],Table4[EmployeeNumber],Table4[Id_Employee])</f>
        <v>EMP00052</v>
      </c>
      <c r="O53">
        <v>65</v>
      </c>
      <c r="P53" t="str">
        <f>_xlfn.XLOOKUP(Table1[[#This Row],[EnvironmentSatisfaction]],Table9[EnvironmentSatisfaction],Table9[Id_EnviromentSatisfaction])</f>
        <v>ES003</v>
      </c>
      <c r="Q53">
        <v>3</v>
      </c>
      <c r="R53" t="str">
        <f>_xlfn.XLOOKUP(Table1[[#This Row],[EnvironmentSatisfaction]],Table9[EnvironmentSatisfaction],Table9[Deskripsi])</f>
        <v>High</v>
      </c>
      <c r="S53" t="str">
        <f>_xlfn.XLOOKUP(Table1[[#This Row],[Gender]],Table10[Gender],Table10[Id_Gender])</f>
        <v>G002</v>
      </c>
      <c r="T53" t="s">
        <v>46</v>
      </c>
      <c r="U53">
        <v>50</v>
      </c>
      <c r="V53" t="str">
        <f>_xlfn.XLOOKUP(Table1[[#This Row],[JobInvolvement]],Table11[JobInvolvement],Table11[Id_JobInvolvement])</f>
        <v>JI003</v>
      </c>
      <c r="W53">
        <v>3</v>
      </c>
      <c r="X53" t="str">
        <f>_xlfn.XLOOKUP(Table1[[#This Row],[JobLevel]],Table12[JobLevel],Table12[Id_JobLevel])</f>
        <v>JL001</v>
      </c>
      <c r="Y53">
        <v>1</v>
      </c>
      <c r="Z53" t="str">
        <f>_xlfn.XLOOKUP(Table1[[#This Row],[JobRole]],Table13[JobRole],Table13[Id_JobRole])</f>
        <v>JR003</v>
      </c>
      <c r="AA53" t="s">
        <v>49</v>
      </c>
      <c r="AB53" t="str">
        <f>_xlfn.XLOOKUP(Table1[[#This Row],[JobSatisfaction]],Table14[JobSatisfaction],Table14[Id_JobSatisfaction])</f>
        <v>JS003</v>
      </c>
      <c r="AC53">
        <v>3</v>
      </c>
      <c r="AD53" t="str">
        <f>_xlfn.XLOOKUP(Table1[[#This Row],[JobSatisfaction]],Table14[JobSatisfaction],Table14[Deskripsi])</f>
        <v>High</v>
      </c>
      <c r="AE53" t="str">
        <f>_xlfn.XLOOKUP(Table1[[#This Row],[MaritalStatus]],Table15[MaritalStatus],Table15[Id_MaritalStatus])</f>
        <v>MS001</v>
      </c>
      <c r="AF53" t="s">
        <v>55</v>
      </c>
      <c r="AG53">
        <v>3441</v>
      </c>
      <c r="AH53">
        <v>11179</v>
      </c>
      <c r="AI53">
        <v>1</v>
      </c>
      <c r="AJ53" t="str">
        <f>_xlfn.XLOOKUP(Table1[[#This Row],[OverTime]],Table16[OverTime],Table16[Id_OverTime])</f>
        <v>OT001</v>
      </c>
      <c r="AK53" t="s">
        <v>32</v>
      </c>
      <c r="AL53">
        <v>13</v>
      </c>
      <c r="AM53" t="str">
        <f>_xlfn.XLOOKUP(Table1[[#This Row],[PerformanceRating]],Table17[PerformanceRating],Table17[Id_PerformanceRating])</f>
        <v>PR003</v>
      </c>
      <c r="AN53">
        <v>3</v>
      </c>
      <c r="AO53" t="str">
        <f>_xlfn.XLOOKUP(Table1[[#This Row],[PerformanceRating]],Table17[PerformanceRating],Table17[Deskripsi])</f>
        <v>Excellent</v>
      </c>
      <c r="AP53" t="str">
        <f>_xlfn.XLOOKUP(Table1[[#This Row],[RelationshipSatisfaction]],Table18[RelationshipSatisfaction],Table18[Id_RelationshipSatisfaction])</f>
        <v>RS003</v>
      </c>
      <c r="AQ53">
        <v>3</v>
      </c>
      <c r="AR53" t="str">
        <f>_xlfn.XLOOKUP(Table1[[#This Row],[RelationshipSatisfaction]],Table18[RelationshipSatisfaction],Table18[Deskripsi])</f>
        <v>High</v>
      </c>
      <c r="AS53" t="str">
        <f>_xlfn.XLOOKUP(Table1[[#This Row],[StockOptionLevel]],Table19[StockOptionLevel],Table19[Id_StockOptionLevel])</f>
        <v>SOL001</v>
      </c>
      <c r="AT53">
        <v>0</v>
      </c>
      <c r="AU53" t="str">
        <f>_xlfn.XLOOKUP(Table1[[#This Row],[StockOptionLevel]],Table19[StockOptionLevel],Table19[Deskripsi])</f>
        <v>Non-Eligible</v>
      </c>
      <c r="AV53">
        <v>2</v>
      </c>
      <c r="AW53">
        <v>3</v>
      </c>
      <c r="AX53" t="str">
        <f>_xlfn.XLOOKUP(Table1[[#This Row],[WorkLifeBalance]],Table20[WorkLifeBalance],Table20[Id_WorkLifeBalance])</f>
        <v>WLB003</v>
      </c>
      <c r="AY53">
        <v>2</v>
      </c>
      <c r="AZ53" t="str">
        <f>_xlfn.XLOOKUP(Table1[[#This Row],[WorkLifeBalance]],Table20[WorkLifeBalance],Table20[Deskripsi])</f>
        <v>Better</v>
      </c>
      <c r="BA53">
        <v>2</v>
      </c>
      <c r="BB53">
        <v>2</v>
      </c>
      <c r="BC53">
        <v>2</v>
      </c>
      <c r="BD53">
        <v>2</v>
      </c>
    </row>
    <row r="54" spans="1:56" x14ac:dyDescent="0.25">
      <c r="A54">
        <v>44</v>
      </c>
      <c r="B54" t="str">
        <f>_xlfn.XLOOKUP(Table1[[#This Row],[Attrition]],Table2[Attrition],Table2[Id_Attrition])</f>
        <v>A002</v>
      </c>
      <c r="C54" t="s">
        <v>33</v>
      </c>
      <c r="D54" t="str">
        <f>_xlfn.XLOOKUP(Table1[[#This Row],[BusinessTravel]],Table5[BusinessTravel],Table5[Id_BusinessTravel])</f>
        <v>BS001</v>
      </c>
      <c r="E54" t="s">
        <v>34</v>
      </c>
      <c r="F54">
        <v>1488</v>
      </c>
      <c r="G54" t="str">
        <f>_xlfn.XLOOKUP(Table1[[#This Row],[Department]],Table6[Department],Table6[Id_Departement])</f>
        <v>D001</v>
      </c>
      <c r="H54" t="s">
        <v>37</v>
      </c>
      <c r="I54">
        <v>1</v>
      </c>
      <c r="J54" t="str">
        <f>_xlfn.XLOOKUP(Table1[[#This Row],[Education]],Table8[Education],Table8[Id_Education])</f>
        <v>E005</v>
      </c>
      <c r="K54">
        <v>5</v>
      </c>
      <c r="L54" t="str">
        <f>_xlfn.XLOOKUP(Table1[[#This Row],[EducationField]],Table7[EducationField],Table7[Id_EducationField])</f>
        <v>EF004</v>
      </c>
      <c r="M54" t="s">
        <v>43</v>
      </c>
      <c r="N54" t="str">
        <f>_xlfn.XLOOKUP(Table1[[#This Row],[EmployeeNumber]],Table4[EmployeeNumber],Table4[Id_Employee])</f>
        <v>EMP00053</v>
      </c>
      <c r="O54">
        <v>68</v>
      </c>
      <c r="P54" t="str">
        <f>_xlfn.XLOOKUP(Table1[[#This Row],[EnvironmentSatisfaction]],Table9[EnvironmentSatisfaction],Table9[Id_EnviromentSatisfaction])</f>
        <v>ES002</v>
      </c>
      <c r="Q54">
        <v>2</v>
      </c>
      <c r="R54" t="str">
        <f>_xlfn.XLOOKUP(Table1[[#This Row],[EnvironmentSatisfaction]],Table9[EnvironmentSatisfaction],Table9[Deskripsi])</f>
        <v>Medium</v>
      </c>
      <c r="S54" t="str">
        <f>_xlfn.XLOOKUP(Table1[[#This Row],[Gender]],Table10[Gender],Table10[Id_Gender])</f>
        <v>G001</v>
      </c>
      <c r="T54" t="s">
        <v>45</v>
      </c>
      <c r="U54">
        <v>75</v>
      </c>
      <c r="V54" t="str">
        <f>_xlfn.XLOOKUP(Table1[[#This Row],[JobInvolvement]],Table11[JobInvolvement],Table11[Id_JobInvolvement])</f>
        <v>JI003</v>
      </c>
      <c r="W54">
        <v>3</v>
      </c>
      <c r="X54" t="str">
        <f>_xlfn.XLOOKUP(Table1[[#This Row],[JobLevel]],Table12[JobLevel],Table12[Id_JobLevel])</f>
        <v>JL002</v>
      </c>
      <c r="Y54">
        <v>2</v>
      </c>
      <c r="Z54" t="str">
        <f>_xlfn.XLOOKUP(Table1[[#This Row],[JobRole]],Table13[JobRole],Table13[Id_JobRole])</f>
        <v>JR001</v>
      </c>
      <c r="AA54" t="s">
        <v>47</v>
      </c>
      <c r="AB54" t="str">
        <f>_xlfn.XLOOKUP(Table1[[#This Row],[JobSatisfaction]],Table14[JobSatisfaction],Table14[Id_JobSatisfaction])</f>
        <v>JS001</v>
      </c>
      <c r="AC54">
        <v>1</v>
      </c>
      <c r="AD54" t="str">
        <f>_xlfn.XLOOKUP(Table1[[#This Row],[JobSatisfaction]],Table14[JobSatisfaction],Table14[Deskripsi])</f>
        <v>Low</v>
      </c>
      <c r="AE54" t="str">
        <f>_xlfn.XLOOKUP(Table1[[#This Row],[MaritalStatus]],Table15[MaritalStatus],Table15[Id_MaritalStatus])</f>
        <v>MS003</v>
      </c>
      <c r="AF54" t="s">
        <v>57</v>
      </c>
      <c r="AG54">
        <v>5454</v>
      </c>
      <c r="AH54">
        <v>4009</v>
      </c>
      <c r="AI54">
        <v>5</v>
      </c>
      <c r="AJ54" t="str">
        <f>_xlfn.XLOOKUP(Table1[[#This Row],[OverTime]],Table16[OverTime],Table16[Id_OverTime])</f>
        <v>OT001</v>
      </c>
      <c r="AK54" t="s">
        <v>32</v>
      </c>
      <c r="AL54">
        <v>21</v>
      </c>
      <c r="AM54" t="str">
        <f>_xlfn.XLOOKUP(Table1[[#This Row],[PerformanceRating]],Table17[PerformanceRating],Table17[Id_PerformanceRating])</f>
        <v>PR004</v>
      </c>
      <c r="AN54">
        <v>4</v>
      </c>
      <c r="AO54" t="str">
        <f>_xlfn.XLOOKUP(Table1[[#This Row],[PerformanceRating]],Table17[PerformanceRating],Table17[Deskripsi])</f>
        <v>Outstanding</v>
      </c>
      <c r="AP54" t="str">
        <f>_xlfn.XLOOKUP(Table1[[#This Row],[RelationshipSatisfaction]],Table18[RelationshipSatisfaction],Table18[Id_RelationshipSatisfaction])</f>
        <v>RS003</v>
      </c>
      <c r="AQ54">
        <v>3</v>
      </c>
      <c r="AR54" t="str">
        <f>_xlfn.XLOOKUP(Table1[[#This Row],[RelationshipSatisfaction]],Table18[RelationshipSatisfaction],Table18[Deskripsi])</f>
        <v>High</v>
      </c>
      <c r="AS54" t="str">
        <f>_xlfn.XLOOKUP(Table1[[#This Row],[StockOptionLevel]],Table19[StockOptionLevel],Table19[Id_StockOptionLevel])</f>
        <v>SOL002</v>
      </c>
      <c r="AT54">
        <v>1</v>
      </c>
      <c r="AU54" t="str">
        <f>_xlfn.XLOOKUP(Table1[[#This Row],[StockOptionLevel]],Table19[StockOptionLevel],Table19[Deskripsi])</f>
        <v>Standard</v>
      </c>
      <c r="AV54">
        <v>9</v>
      </c>
      <c r="AW54">
        <v>2</v>
      </c>
      <c r="AX54" t="str">
        <f>_xlfn.XLOOKUP(Table1[[#This Row],[WorkLifeBalance]],Table20[WorkLifeBalance],Table20[Id_WorkLifeBalance])</f>
        <v>WLB003</v>
      </c>
      <c r="AY54">
        <v>2</v>
      </c>
      <c r="AZ54" t="str">
        <f>_xlfn.XLOOKUP(Table1[[#This Row],[WorkLifeBalance]],Table20[WorkLifeBalance],Table20[Deskripsi])</f>
        <v>Better</v>
      </c>
      <c r="BA54">
        <v>4</v>
      </c>
      <c r="BB54">
        <v>3</v>
      </c>
      <c r="BC54">
        <v>1</v>
      </c>
      <c r="BD54">
        <v>3</v>
      </c>
    </row>
    <row r="55" spans="1:56" x14ac:dyDescent="0.25">
      <c r="A55">
        <v>35</v>
      </c>
      <c r="B55" t="str">
        <f>_xlfn.XLOOKUP(Table1[[#This Row],[Attrition]],Table2[Attrition],Table2[Id_Attrition])</f>
        <v>A002</v>
      </c>
      <c r="C55" t="s">
        <v>33</v>
      </c>
      <c r="D55" t="str">
        <f>_xlfn.XLOOKUP(Table1[[#This Row],[BusinessTravel]],Table5[BusinessTravel],Table5[Id_BusinessTravel])</f>
        <v>BS003</v>
      </c>
      <c r="E55" t="s">
        <v>36</v>
      </c>
      <c r="F55">
        <v>1097</v>
      </c>
      <c r="G55" t="str">
        <f>_xlfn.XLOOKUP(Table1[[#This Row],[Department]],Table6[Department],Table6[Id_Departement])</f>
        <v>D002</v>
      </c>
      <c r="H55" t="s">
        <v>38</v>
      </c>
      <c r="I55">
        <v>11</v>
      </c>
      <c r="J55" t="str">
        <f>_xlfn.XLOOKUP(Table1[[#This Row],[Education]],Table8[Education],Table8[Id_Education])</f>
        <v>E002</v>
      </c>
      <c r="K55">
        <v>2</v>
      </c>
      <c r="L55" t="str">
        <f>_xlfn.XLOOKUP(Table1[[#This Row],[EducationField]],Table7[EducationField],Table7[Id_EducationField])</f>
        <v>EF003</v>
      </c>
      <c r="M55" t="s">
        <v>42</v>
      </c>
      <c r="N55" t="str">
        <f>_xlfn.XLOOKUP(Table1[[#This Row],[EmployeeNumber]],Table4[EmployeeNumber],Table4[Id_Employee])</f>
        <v>EMP00054</v>
      </c>
      <c r="O55">
        <v>70</v>
      </c>
      <c r="P55" t="str">
        <f>_xlfn.XLOOKUP(Table1[[#This Row],[EnvironmentSatisfaction]],Table9[EnvironmentSatisfaction],Table9[Id_EnviromentSatisfaction])</f>
        <v>ES003</v>
      </c>
      <c r="Q55">
        <v>3</v>
      </c>
      <c r="R55" t="str">
        <f>_xlfn.XLOOKUP(Table1[[#This Row],[EnvironmentSatisfaction]],Table9[EnvironmentSatisfaction],Table9[Deskripsi])</f>
        <v>High</v>
      </c>
      <c r="S55" t="str">
        <f>_xlfn.XLOOKUP(Table1[[#This Row],[Gender]],Table10[Gender],Table10[Id_Gender])</f>
        <v>G002</v>
      </c>
      <c r="T55" t="s">
        <v>46</v>
      </c>
      <c r="U55">
        <v>79</v>
      </c>
      <c r="V55" t="str">
        <f>_xlfn.XLOOKUP(Table1[[#This Row],[JobInvolvement]],Table11[JobInvolvement],Table11[Id_JobInvolvement])</f>
        <v>JI002</v>
      </c>
      <c r="W55">
        <v>2</v>
      </c>
      <c r="X55" t="str">
        <f>_xlfn.XLOOKUP(Table1[[#This Row],[JobLevel]],Table12[JobLevel],Table12[Id_JobLevel])</f>
        <v>JL003</v>
      </c>
      <c r="Y55">
        <v>3</v>
      </c>
      <c r="Z55" t="str">
        <f>_xlfn.XLOOKUP(Table1[[#This Row],[JobRole]],Table13[JobRole],Table13[Id_JobRole])</f>
        <v>JR005</v>
      </c>
      <c r="AA55" t="s">
        <v>51</v>
      </c>
      <c r="AB55" t="str">
        <f>_xlfn.XLOOKUP(Table1[[#This Row],[JobSatisfaction]],Table14[JobSatisfaction],Table14[Id_JobSatisfaction])</f>
        <v>JS001</v>
      </c>
      <c r="AC55">
        <v>1</v>
      </c>
      <c r="AD55" t="str">
        <f>_xlfn.XLOOKUP(Table1[[#This Row],[JobSatisfaction]],Table14[JobSatisfaction],Table14[Deskripsi])</f>
        <v>Low</v>
      </c>
      <c r="AE55" t="str">
        <f>_xlfn.XLOOKUP(Table1[[#This Row],[MaritalStatus]],Table15[MaritalStatus],Table15[Id_MaritalStatus])</f>
        <v>MS002</v>
      </c>
      <c r="AF55" t="s">
        <v>56</v>
      </c>
      <c r="AG55">
        <v>9884</v>
      </c>
      <c r="AH55">
        <v>8302</v>
      </c>
      <c r="AI55">
        <v>2</v>
      </c>
      <c r="AJ55" t="str">
        <f>_xlfn.XLOOKUP(Table1[[#This Row],[OverTime]],Table16[OverTime],Table16[Id_OverTime])</f>
        <v>OT001</v>
      </c>
      <c r="AK55" t="s">
        <v>32</v>
      </c>
      <c r="AL55">
        <v>13</v>
      </c>
      <c r="AM55" t="str">
        <f>_xlfn.XLOOKUP(Table1[[#This Row],[PerformanceRating]],Table17[PerformanceRating],Table17[Id_PerformanceRating])</f>
        <v>PR003</v>
      </c>
      <c r="AN55">
        <v>3</v>
      </c>
      <c r="AO55" t="str">
        <f>_xlfn.XLOOKUP(Table1[[#This Row],[PerformanceRating]],Table17[PerformanceRating],Table17[Deskripsi])</f>
        <v>Excellent</v>
      </c>
      <c r="AP55" t="str">
        <f>_xlfn.XLOOKUP(Table1[[#This Row],[RelationshipSatisfaction]],Table18[RelationshipSatisfaction],Table18[Id_RelationshipSatisfaction])</f>
        <v>RS003</v>
      </c>
      <c r="AQ55">
        <v>3</v>
      </c>
      <c r="AR55" t="str">
        <f>_xlfn.XLOOKUP(Table1[[#This Row],[RelationshipSatisfaction]],Table18[RelationshipSatisfaction],Table18[Deskripsi])</f>
        <v>High</v>
      </c>
      <c r="AS55" t="str">
        <f>_xlfn.XLOOKUP(Table1[[#This Row],[StockOptionLevel]],Table19[StockOptionLevel],Table19[Id_StockOptionLevel])</f>
        <v>SOL002</v>
      </c>
      <c r="AT55">
        <v>1</v>
      </c>
      <c r="AU55" t="str">
        <f>_xlfn.XLOOKUP(Table1[[#This Row],[StockOptionLevel]],Table19[StockOptionLevel],Table19[Deskripsi])</f>
        <v>Standard</v>
      </c>
      <c r="AV55">
        <v>10</v>
      </c>
      <c r="AW55">
        <v>3</v>
      </c>
      <c r="AX55" t="str">
        <f>_xlfn.XLOOKUP(Table1[[#This Row],[WorkLifeBalance]],Table20[WorkLifeBalance],Table20[Id_WorkLifeBalance])</f>
        <v>WLB002</v>
      </c>
      <c r="AY55">
        <v>3</v>
      </c>
      <c r="AZ55" t="str">
        <f>_xlfn.XLOOKUP(Table1[[#This Row],[WorkLifeBalance]],Table20[WorkLifeBalance],Table20[Deskripsi])</f>
        <v>Good</v>
      </c>
      <c r="BA55">
        <v>4</v>
      </c>
      <c r="BB55">
        <v>0</v>
      </c>
      <c r="BC55">
        <v>2</v>
      </c>
      <c r="BD55">
        <v>3</v>
      </c>
    </row>
    <row r="56" spans="1:56" x14ac:dyDescent="0.25">
      <c r="A56">
        <v>26</v>
      </c>
      <c r="B56" t="str">
        <f>_xlfn.XLOOKUP(Table1[[#This Row],[Attrition]],Table2[Attrition],Table2[Id_Attrition])</f>
        <v>A002</v>
      </c>
      <c r="C56" t="s">
        <v>33</v>
      </c>
      <c r="D56" t="str">
        <f>_xlfn.XLOOKUP(Table1[[#This Row],[BusinessTravel]],Table5[BusinessTravel],Table5[Id_BusinessTravel])</f>
        <v>BS001</v>
      </c>
      <c r="E56" t="s">
        <v>34</v>
      </c>
      <c r="F56">
        <v>1443</v>
      </c>
      <c r="G56" t="str">
        <f>_xlfn.XLOOKUP(Table1[[#This Row],[Department]],Table6[Department],Table6[Id_Departement])</f>
        <v>D001</v>
      </c>
      <c r="H56" t="s">
        <v>37</v>
      </c>
      <c r="I56">
        <v>23</v>
      </c>
      <c r="J56" t="str">
        <f>_xlfn.XLOOKUP(Table1[[#This Row],[Education]],Table8[Education],Table8[Id_Education])</f>
        <v>E003</v>
      </c>
      <c r="K56">
        <v>3</v>
      </c>
      <c r="L56" t="str">
        <f>_xlfn.XLOOKUP(Table1[[#This Row],[EducationField]],Table7[EducationField],Table7[Id_EducationField])</f>
        <v>EF004</v>
      </c>
      <c r="M56" t="s">
        <v>43</v>
      </c>
      <c r="N56" t="str">
        <f>_xlfn.XLOOKUP(Table1[[#This Row],[EmployeeNumber]],Table4[EmployeeNumber],Table4[Id_Employee])</f>
        <v>EMP00055</v>
      </c>
      <c r="O56">
        <v>72</v>
      </c>
      <c r="P56" t="str">
        <f>_xlfn.XLOOKUP(Table1[[#This Row],[EnvironmentSatisfaction]],Table9[EnvironmentSatisfaction],Table9[Id_EnviromentSatisfaction])</f>
        <v>ES003</v>
      </c>
      <c r="Q56">
        <v>3</v>
      </c>
      <c r="R56" t="str">
        <f>_xlfn.XLOOKUP(Table1[[#This Row],[EnvironmentSatisfaction]],Table9[EnvironmentSatisfaction],Table9[Deskripsi])</f>
        <v>High</v>
      </c>
      <c r="S56" t="str">
        <f>_xlfn.XLOOKUP(Table1[[#This Row],[Gender]],Table10[Gender],Table10[Id_Gender])</f>
        <v>G001</v>
      </c>
      <c r="T56" t="s">
        <v>45</v>
      </c>
      <c r="U56">
        <v>47</v>
      </c>
      <c r="V56" t="str">
        <f>_xlfn.XLOOKUP(Table1[[#This Row],[JobInvolvement]],Table11[JobInvolvement],Table11[Id_JobInvolvement])</f>
        <v>JI002</v>
      </c>
      <c r="W56">
        <v>2</v>
      </c>
      <c r="X56" t="str">
        <f>_xlfn.XLOOKUP(Table1[[#This Row],[JobLevel]],Table12[JobLevel],Table12[Id_JobLevel])</f>
        <v>JL002</v>
      </c>
      <c r="Y56">
        <v>2</v>
      </c>
      <c r="Z56" t="str">
        <f>_xlfn.XLOOKUP(Table1[[#This Row],[JobRole]],Table13[JobRole],Table13[Id_JobRole])</f>
        <v>JR001</v>
      </c>
      <c r="AA56" t="s">
        <v>47</v>
      </c>
      <c r="AB56" t="str">
        <f>_xlfn.XLOOKUP(Table1[[#This Row],[JobSatisfaction]],Table14[JobSatisfaction],Table14[Id_JobSatisfaction])</f>
        <v>JS004</v>
      </c>
      <c r="AC56">
        <v>4</v>
      </c>
      <c r="AD56" t="str">
        <f>_xlfn.XLOOKUP(Table1[[#This Row],[JobSatisfaction]],Table14[JobSatisfaction],Table14[Deskripsi])</f>
        <v>Very High</v>
      </c>
      <c r="AE56" t="str">
        <f>_xlfn.XLOOKUP(Table1[[#This Row],[MaritalStatus]],Table15[MaritalStatus],Table15[Id_MaritalStatus])</f>
        <v>MS002</v>
      </c>
      <c r="AF56" t="s">
        <v>56</v>
      </c>
      <c r="AG56">
        <v>4157</v>
      </c>
      <c r="AH56">
        <v>21436</v>
      </c>
      <c r="AI56">
        <v>7</v>
      </c>
      <c r="AJ56" t="str">
        <f>_xlfn.XLOOKUP(Table1[[#This Row],[OverTime]],Table16[OverTime],Table16[Id_OverTime])</f>
        <v>OT001</v>
      </c>
      <c r="AK56" t="s">
        <v>32</v>
      </c>
      <c r="AL56">
        <v>19</v>
      </c>
      <c r="AM56" t="str">
        <f>_xlfn.XLOOKUP(Table1[[#This Row],[PerformanceRating]],Table17[PerformanceRating],Table17[Id_PerformanceRating])</f>
        <v>PR003</v>
      </c>
      <c r="AN56">
        <v>3</v>
      </c>
      <c r="AO56" t="str">
        <f>_xlfn.XLOOKUP(Table1[[#This Row],[PerformanceRating]],Table17[PerformanceRating],Table17[Deskripsi])</f>
        <v>Excellent</v>
      </c>
      <c r="AP56" t="str">
        <f>_xlfn.XLOOKUP(Table1[[#This Row],[RelationshipSatisfaction]],Table18[RelationshipSatisfaction],Table18[Id_RelationshipSatisfaction])</f>
        <v>RS003</v>
      </c>
      <c r="AQ56">
        <v>3</v>
      </c>
      <c r="AR56" t="str">
        <f>_xlfn.XLOOKUP(Table1[[#This Row],[RelationshipSatisfaction]],Table18[RelationshipSatisfaction],Table18[Deskripsi])</f>
        <v>High</v>
      </c>
      <c r="AS56" t="str">
        <f>_xlfn.XLOOKUP(Table1[[#This Row],[StockOptionLevel]],Table19[StockOptionLevel],Table19[Id_StockOptionLevel])</f>
        <v>SOL002</v>
      </c>
      <c r="AT56">
        <v>1</v>
      </c>
      <c r="AU56" t="str">
        <f>_xlfn.XLOOKUP(Table1[[#This Row],[StockOptionLevel]],Table19[StockOptionLevel],Table19[Deskripsi])</f>
        <v>Standard</v>
      </c>
      <c r="AV56">
        <v>5</v>
      </c>
      <c r="AW56">
        <v>2</v>
      </c>
      <c r="AX56" t="str">
        <f>_xlfn.XLOOKUP(Table1[[#This Row],[WorkLifeBalance]],Table20[WorkLifeBalance],Table20[Id_WorkLifeBalance])</f>
        <v>WLB003</v>
      </c>
      <c r="AY56">
        <v>2</v>
      </c>
      <c r="AZ56" t="str">
        <f>_xlfn.XLOOKUP(Table1[[#This Row],[WorkLifeBalance]],Table20[WorkLifeBalance],Table20[Deskripsi])</f>
        <v>Better</v>
      </c>
      <c r="BA56">
        <v>2</v>
      </c>
      <c r="BB56">
        <v>2</v>
      </c>
      <c r="BC56">
        <v>0</v>
      </c>
      <c r="BD56">
        <v>0</v>
      </c>
    </row>
    <row r="57" spans="1:56" x14ac:dyDescent="0.25">
      <c r="A57">
        <v>33</v>
      </c>
      <c r="B57" t="str">
        <f>_xlfn.XLOOKUP(Table1[[#This Row],[Attrition]],Table2[Attrition],Table2[Id_Attrition])</f>
        <v>A002</v>
      </c>
      <c r="C57" t="s">
        <v>33</v>
      </c>
      <c r="D57" t="str">
        <f>_xlfn.XLOOKUP(Table1[[#This Row],[BusinessTravel]],Table5[BusinessTravel],Table5[Id_BusinessTravel])</f>
        <v>BS002</v>
      </c>
      <c r="E57" t="s">
        <v>35</v>
      </c>
      <c r="F57">
        <v>515</v>
      </c>
      <c r="G57" t="str">
        <f>_xlfn.XLOOKUP(Table1[[#This Row],[Department]],Table6[Department],Table6[Id_Departement])</f>
        <v>D002</v>
      </c>
      <c r="H57" t="s">
        <v>38</v>
      </c>
      <c r="I57">
        <v>1</v>
      </c>
      <c r="J57" t="str">
        <f>_xlfn.XLOOKUP(Table1[[#This Row],[Education]],Table8[Education],Table8[Id_Education])</f>
        <v>E002</v>
      </c>
      <c r="K57">
        <v>2</v>
      </c>
      <c r="L57" t="str">
        <f>_xlfn.XLOOKUP(Table1[[#This Row],[EducationField]],Table7[EducationField],Table7[Id_EducationField])</f>
        <v>EF001</v>
      </c>
      <c r="M57" t="s">
        <v>40</v>
      </c>
      <c r="N57" t="str">
        <f>_xlfn.XLOOKUP(Table1[[#This Row],[EmployeeNumber]],Table4[EmployeeNumber],Table4[Id_Employee])</f>
        <v>EMP00056</v>
      </c>
      <c r="O57">
        <v>73</v>
      </c>
      <c r="P57" t="str">
        <f>_xlfn.XLOOKUP(Table1[[#This Row],[EnvironmentSatisfaction]],Table9[EnvironmentSatisfaction],Table9[Id_EnviromentSatisfaction])</f>
        <v>ES001</v>
      </c>
      <c r="Q57">
        <v>1</v>
      </c>
      <c r="R57" t="str">
        <f>_xlfn.XLOOKUP(Table1[[#This Row],[EnvironmentSatisfaction]],Table9[EnvironmentSatisfaction],Table9[Deskripsi])</f>
        <v>Low</v>
      </c>
      <c r="S57" t="str">
        <f>_xlfn.XLOOKUP(Table1[[#This Row],[Gender]],Table10[Gender],Table10[Id_Gender])</f>
        <v>G001</v>
      </c>
      <c r="T57" t="s">
        <v>45</v>
      </c>
      <c r="U57">
        <v>98</v>
      </c>
      <c r="V57" t="str">
        <f>_xlfn.XLOOKUP(Table1[[#This Row],[JobInvolvement]],Table11[JobInvolvement],Table11[Id_JobInvolvement])</f>
        <v>JI003</v>
      </c>
      <c r="W57">
        <v>3</v>
      </c>
      <c r="X57" t="str">
        <f>_xlfn.XLOOKUP(Table1[[#This Row],[JobLevel]],Table12[JobLevel],Table12[Id_JobLevel])</f>
        <v>JL003</v>
      </c>
      <c r="Y57">
        <v>3</v>
      </c>
      <c r="Z57" t="str">
        <f>_xlfn.XLOOKUP(Table1[[#This Row],[JobRole]],Table13[JobRole],Table13[Id_JobRole])</f>
        <v>JR008</v>
      </c>
      <c r="AA57" t="s">
        <v>54</v>
      </c>
      <c r="AB57" t="str">
        <f>_xlfn.XLOOKUP(Table1[[#This Row],[JobSatisfaction]],Table14[JobSatisfaction],Table14[Id_JobSatisfaction])</f>
        <v>JS004</v>
      </c>
      <c r="AC57">
        <v>4</v>
      </c>
      <c r="AD57" t="str">
        <f>_xlfn.XLOOKUP(Table1[[#This Row],[JobSatisfaction]],Table14[JobSatisfaction],Table14[Deskripsi])</f>
        <v>Very High</v>
      </c>
      <c r="AE57" t="str">
        <f>_xlfn.XLOOKUP(Table1[[#This Row],[MaritalStatus]],Table15[MaritalStatus],Table15[Id_MaritalStatus])</f>
        <v>MS001</v>
      </c>
      <c r="AF57" t="s">
        <v>55</v>
      </c>
      <c r="AG57">
        <v>13458</v>
      </c>
      <c r="AH57">
        <v>15146</v>
      </c>
      <c r="AI57">
        <v>1</v>
      </c>
      <c r="AJ57" t="str">
        <f>_xlfn.XLOOKUP(Table1[[#This Row],[OverTime]],Table16[OverTime],Table16[Id_OverTime])</f>
        <v>OT001</v>
      </c>
      <c r="AK57" t="s">
        <v>32</v>
      </c>
      <c r="AL57">
        <v>12</v>
      </c>
      <c r="AM57" t="str">
        <f>_xlfn.XLOOKUP(Table1[[#This Row],[PerformanceRating]],Table17[PerformanceRating],Table17[Id_PerformanceRating])</f>
        <v>PR003</v>
      </c>
      <c r="AN57">
        <v>3</v>
      </c>
      <c r="AO57" t="str">
        <f>_xlfn.XLOOKUP(Table1[[#This Row],[PerformanceRating]],Table17[PerformanceRating],Table17[Deskripsi])</f>
        <v>Excellent</v>
      </c>
      <c r="AP57" t="str">
        <f>_xlfn.XLOOKUP(Table1[[#This Row],[RelationshipSatisfaction]],Table18[RelationshipSatisfaction],Table18[Id_RelationshipSatisfaction])</f>
        <v>RS003</v>
      </c>
      <c r="AQ57">
        <v>3</v>
      </c>
      <c r="AR57" t="str">
        <f>_xlfn.XLOOKUP(Table1[[#This Row],[RelationshipSatisfaction]],Table18[RelationshipSatisfaction],Table18[Deskripsi])</f>
        <v>High</v>
      </c>
      <c r="AS57" t="str">
        <f>_xlfn.XLOOKUP(Table1[[#This Row],[StockOptionLevel]],Table19[StockOptionLevel],Table19[Id_StockOptionLevel])</f>
        <v>SOL001</v>
      </c>
      <c r="AT57">
        <v>0</v>
      </c>
      <c r="AU57" t="str">
        <f>_xlfn.XLOOKUP(Table1[[#This Row],[StockOptionLevel]],Table19[StockOptionLevel],Table19[Deskripsi])</f>
        <v>Non-Eligible</v>
      </c>
      <c r="AV57">
        <v>15</v>
      </c>
      <c r="AW57">
        <v>1</v>
      </c>
      <c r="AX57" t="str">
        <f>_xlfn.XLOOKUP(Table1[[#This Row],[WorkLifeBalance]],Table20[WorkLifeBalance],Table20[Id_WorkLifeBalance])</f>
        <v>WLB002</v>
      </c>
      <c r="AY57">
        <v>3</v>
      </c>
      <c r="AZ57" t="str">
        <f>_xlfn.XLOOKUP(Table1[[#This Row],[WorkLifeBalance]],Table20[WorkLifeBalance],Table20[Deskripsi])</f>
        <v>Good</v>
      </c>
      <c r="BA57">
        <v>15</v>
      </c>
      <c r="BB57">
        <v>14</v>
      </c>
      <c r="BC57">
        <v>8</v>
      </c>
      <c r="BD57">
        <v>12</v>
      </c>
    </row>
    <row r="58" spans="1:56" x14ac:dyDescent="0.25">
      <c r="A58">
        <v>35</v>
      </c>
      <c r="B58" t="str">
        <f>_xlfn.XLOOKUP(Table1[[#This Row],[Attrition]],Table2[Attrition],Table2[Id_Attrition])</f>
        <v>A002</v>
      </c>
      <c r="C58" t="s">
        <v>33</v>
      </c>
      <c r="D58" t="str">
        <f>_xlfn.XLOOKUP(Table1[[#This Row],[BusinessTravel]],Table5[BusinessTravel],Table5[Id_BusinessTravel])</f>
        <v>BS002</v>
      </c>
      <c r="E58" t="s">
        <v>35</v>
      </c>
      <c r="F58">
        <v>853</v>
      </c>
      <c r="G58" t="str">
        <f>_xlfn.XLOOKUP(Table1[[#This Row],[Department]],Table6[Department],Table6[Id_Departement])</f>
        <v>D001</v>
      </c>
      <c r="H58" t="s">
        <v>37</v>
      </c>
      <c r="I58">
        <v>18</v>
      </c>
      <c r="J58" t="str">
        <f>_xlfn.XLOOKUP(Table1[[#This Row],[Education]],Table8[Education],Table8[Id_Education])</f>
        <v>E005</v>
      </c>
      <c r="K58">
        <v>5</v>
      </c>
      <c r="L58" t="str">
        <f>_xlfn.XLOOKUP(Table1[[#This Row],[EducationField]],Table7[EducationField],Table7[Id_EducationField])</f>
        <v>EF001</v>
      </c>
      <c r="M58" t="s">
        <v>40</v>
      </c>
      <c r="N58" t="str">
        <f>_xlfn.XLOOKUP(Table1[[#This Row],[EmployeeNumber]],Table4[EmployeeNumber],Table4[Id_Employee])</f>
        <v>EMP00057</v>
      </c>
      <c r="O58">
        <v>74</v>
      </c>
      <c r="P58" t="str">
        <f>_xlfn.XLOOKUP(Table1[[#This Row],[EnvironmentSatisfaction]],Table9[EnvironmentSatisfaction],Table9[Id_EnviromentSatisfaction])</f>
        <v>ES002</v>
      </c>
      <c r="Q58">
        <v>2</v>
      </c>
      <c r="R58" t="str">
        <f>_xlfn.XLOOKUP(Table1[[#This Row],[EnvironmentSatisfaction]],Table9[EnvironmentSatisfaction],Table9[Deskripsi])</f>
        <v>Medium</v>
      </c>
      <c r="S58" t="str">
        <f>_xlfn.XLOOKUP(Table1[[#This Row],[Gender]],Table10[Gender],Table10[Id_Gender])</f>
        <v>G002</v>
      </c>
      <c r="T58" t="s">
        <v>46</v>
      </c>
      <c r="U58">
        <v>71</v>
      </c>
      <c r="V58" t="str">
        <f>_xlfn.XLOOKUP(Table1[[#This Row],[JobInvolvement]],Table11[JobInvolvement],Table11[Id_JobInvolvement])</f>
        <v>JI003</v>
      </c>
      <c r="W58">
        <v>3</v>
      </c>
      <c r="X58" t="str">
        <f>_xlfn.XLOOKUP(Table1[[#This Row],[JobLevel]],Table12[JobLevel],Table12[Id_JobLevel])</f>
        <v>JL003</v>
      </c>
      <c r="Y58">
        <v>3</v>
      </c>
      <c r="Z58" t="str">
        <f>_xlfn.XLOOKUP(Table1[[#This Row],[JobRole]],Table13[JobRole],Table13[Id_JobRole])</f>
        <v>JR001</v>
      </c>
      <c r="AA58" t="s">
        <v>47</v>
      </c>
      <c r="AB58" t="str">
        <f>_xlfn.XLOOKUP(Table1[[#This Row],[JobSatisfaction]],Table14[JobSatisfaction],Table14[Id_JobSatisfaction])</f>
        <v>JS001</v>
      </c>
      <c r="AC58">
        <v>1</v>
      </c>
      <c r="AD58" t="str">
        <f>_xlfn.XLOOKUP(Table1[[#This Row],[JobSatisfaction]],Table14[JobSatisfaction],Table14[Deskripsi])</f>
        <v>Low</v>
      </c>
      <c r="AE58" t="str">
        <f>_xlfn.XLOOKUP(Table1[[#This Row],[MaritalStatus]],Table15[MaritalStatus],Table15[Id_MaritalStatus])</f>
        <v>MS002</v>
      </c>
      <c r="AF58" t="s">
        <v>56</v>
      </c>
      <c r="AG58">
        <v>9069</v>
      </c>
      <c r="AH58">
        <v>11031</v>
      </c>
      <c r="AI58">
        <v>1</v>
      </c>
      <c r="AJ58" t="str">
        <f>_xlfn.XLOOKUP(Table1[[#This Row],[OverTime]],Table16[OverTime],Table16[Id_OverTime])</f>
        <v>OT002</v>
      </c>
      <c r="AK58" t="s">
        <v>33</v>
      </c>
      <c r="AL58">
        <v>22</v>
      </c>
      <c r="AM58" t="str">
        <f>_xlfn.XLOOKUP(Table1[[#This Row],[PerformanceRating]],Table17[PerformanceRating],Table17[Id_PerformanceRating])</f>
        <v>PR004</v>
      </c>
      <c r="AN58">
        <v>4</v>
      </c>
      <c r="AO58" t="str">
        <f>_xlfn.XLOOKUP(Table1[[#This Row],[PerformanceRating]],Table17[PerformanceRating],Table17[Deskripsi])</f>
        <v>Outstanding</v>
      </c>
      <c r="AP58" t="str">
        <f>_xlfn.XLOOKUP(Table1[[#This Row],[RelationshipSatisfaction]],Table18[RelationshipSatisfaction],Table18[Id_RelationshipSatisfaction])</f>
        <v>RS004</v>
      </c>
      <c r="AQ58">
        <v>4</v>
      </c>
      <c r="AR58" t="str">
        <f>_xlfn.XLOOKUP(Table1[[#This Row],[RelationshipSatisfaction]],Table18[RelationshipSatisfaction],Table18[Deskripsi])</f>
        <v>Very High</v>
      </c>
      <c r="AS58" t="str">
        <f>_xlfn.XLOOKUP(Table1[[#This Row],[StockOptionLevel]],Table19[StockOptionLevel],Table19[Id_StockOptionLevel])</f>
        <v>SOL002</v>
      </c>
      <c r="AT58">
        <v>1</v>
      </c>
      <c r="AU58" t="str">
        <f>_xlfn.XLOOKUP(Table1[[#This Row],[StockOptionLevel]],Table19[StockOptionLevel],Table19[Deskripsi])</f>
        <v>Standard</v>
      </c>
      <c r="AV58">
        <v>9</v>
      </c>
      <c r="AW58">
        <v>3</v>
      </c>
      <c r="AX58" t="str">
        <f>_xlfn.XLOOKUP(Table1[[#This Row],[WorkLifeBalance]],Table20[WorkLifeBalance],Table20[Id_WorkLifeBalance])</f>
        <v>WLB003</v>
      </c>
      <c r="AY58">
        <v>2</v>
      </c>
      <c r="AZ58" t="str">
        <f>_xlfn.XLOOKUP(Table1[[#This Row],[WorkLifeBalance]],Table20[WorkLifeBalance],Table20[Deskripsi])</f>
        <v>Better</v>
      </c>
      <c r="BA58">
        <v>9</v>
      </c>
      <c r="BB58">
        <v>8</v>
      </c>
      <c r="BC58">
        <v>1</v>
      </c>
      <c r="BD58">
        <v>8</v>
      </c>
    </row>
    <row r="59" spans="1:56" x14ac:dyDescent="0.25">
      <c r="A59">
        <v>35</v>
      </c>
      <c r="B59" t="str">
        <f>_xlfn.XLOOKUP(Table1[[#This Row],[Attrition]],Table2[Attrition],Table2[Id_Attrition])</f>
        <v>A002</v>
      </c>
      <c r="C59" t="s">
        <v>33</v>
      </c>
      <c r="D59" t="str">
        <f>_xlfn.XLOOKUP(Table1[[#This Row],[BusinessTravel]],Table5[BusinessTravel],Table5[Id_BusinessTravel])</f>
        <v>BS001</v>
      </c>
      <c r="E59" t="s">
        <v>34</v>
      </c>
      <c r="F59">
        <v>1142</v>
      </c>
      <c r="G59" t="str">
        <f>_xlfn.XLOOKUP(Table1[[#This Row],[Department]],Table6[Department],Table6[Id_Departement])</f>
        <v>D002</v>
      </c>
      <c r="H59" t="s">
        <v>38</v>
      </c>
      <c r="I59">
        <v>23</v>
      </c>
      <c r="J59" t="str">
        <f>_xlfn.XLOOKUP(Table1[[#This Row],[Education]],Table8[Education],Table8[Id_Education])</f>
        <v>E004</v>
      </c>
      <c r="K59">
        <v>4</v>
      </c>
      <c r="L59" t="str">
        <f>_xlfn.XLOOKUP(Table1[[#This Row],[EducationField]],Table7[EducationField],Table7[Id_EducationField])</f>
        <v>EF003</v>
      </c>
      <c r="M59" t="s">
        <v>42</v>
      </c>
      <c r="N59" t="str">
        <f>_xlfn.XLOOKUP(Table1[[#This Row],[EmployeeNumber]],Table4[EmployeeNumber],Table4[Id_Employee])</f>
        <v>EMP00058</v>
      </c>
      <c r="O59">
        <v>75</v>
      </c>
      <c r="P59" t="str">
        <f>_xlfn.XLOOKUP(Table1[[#This Row],[EnvironmentSatisfaction]],Table9[EnvironmentSatisfaction],Table9[Id_EnviromentSatisfaction])</f>
        <v>ES003</v>
      </c>
      <c r="Q59">
        <v>3</v>
      </c>
      <c r="R59" t="str">
        <f>_xlfn.XLOOKUP(Table1[[#This Row],[EnvironmentSatisfaction]],Table9[EnvironmentSatisfaction],Table9[Deskripsi])</f>
        <v>High</v>
      </c>
      <c r="S59" t="str">
        <f>_xlfn.XLOOKUP(Table1[[#This Row],[Gender]],Table10[Gender],Table10[Id_Gender])</f>
        <v>G001</v>
      </c>
      <c r="T59" t="s">
        <v>45</v>
      </c>
      <c r="U59">
        <v>30</v>
      </c>
      <c r="V59" t="str">
        <f>_xlfn.XLOOKUP(Table1[[#This Row],[JobInvolvement]],Table11[JobInvolvement],Table11[Id_JobInvolvement])</f>
        <v>JI003</v>
      </c>
      <c r="W59">
        <v>3</v>
      </c>
      <c r="X59" t="str">
        <f>_xlfn.XLOOKUP(Table1[[#This Row],[JobLevel]],Table12[JobLevel],Table12[Id_JobLevel])</f>
        <v>JL001</v>
      </c>
      <c r="Y59">
        <v>1</v>
      </c>
      <c r="Z59" t="str">
        <f>_xlfn.XLOOKUP(Table1[[#This Row],[JobRole]],Table13[JobRole],Table13[Id_JobRole])</f>
        <v>JR003</v>
      </c>
      <c r="AA59" t="s">
        <v>49</v>
      </c>
      <c r="AB59" t="str">
        <f>_xlfn.XLOOKUP(Table1[[#This Row],[JobSatisfaction]],Table14[JobSatisfaction],Table14[Id_JobSatisfaction])</f>
        <v>JS001</v>
      </c>
      <c r="AC59">
        <v>1</v>
      </c>
      <c r="AD59" t="str">
        <f>_xlfn.XLOOKUP(Table1[[#This Row],[JobSatisfaction]],Table14[JobSatisfaction],Table14[Deskripsi])</f>
        <v>Low</v>
      </c>
      <c r="AE59" t="str">
        <f>_xlfn.XLOOKUP(Table1[[#This Row],[MaritalStatus]],Table15[MaritalStatus],Table15[Id_MaritalStatus])</f>
        <v>MS002</v>
      </c>
      <c r="AF59" t="s">
        <v>56</v>
      </c>
      <c r="AG59">
        <v>4014</v>
      </c>
      <c r="AH59">
        <v>16002</v>
      </c>
      <c r="AI59">
        <v>3</v>
      </c>
      <c r="AJ59" t="str">
        <f>_xlfn.XLOOKUP(Table1[[#This Row],[OverTime]],Table16[OverTime],Table16[Id_OverTime])</f>
        <v>OT001</v>
      </c>
      <c r="AK59" t="s">
        <v>32</v>
      </c>
      <c r="AL59">
        <v>15</v>
      </c>
      <c r="AM59" t="str">
        <f>_xlfn.XLOOKUP(Table1[[#This Row],[PerformanceRating]],Table17[PerformanceRating],Table17[Id_PerformanceRating])</f>
        <v>PR003</v>
      </c>
      <c r="AN59">
        <v>3</v>
      </c>
      <c r="AO59" t="str">
        <f>_xlfn.XLOOKUP(Table1[[#This Row],[PerformanceRating]],Table17[PerformanceRating],Table17[Deskripsi])</f>
        <v>Excellent</v>
      </c>
      <c r="AP59" t="str">
        <f>_xlfn.XLOOKUP(Table1[[#This Row],[RelationshipSatisfaction]],Table18[RelationshipSatisfaction],Table18[Id_RelationshipSatisfaction])</f>
        <v>RS003</v>
      </c>
      <c r="AQ59">
        <v>3</v>
      </c>
      <c r="AR59" t="str">
        <f>_xlfn.XLOOKUP(Table1[[#This Row],[RelationshipSatisfaction]],Table18[RelationshipSatisfaction],Table18[Deskripsi])</f>
        <v>High</v>
      </c>
      <c r="AS59" t="str">
        <f>_xlfn.XLOOKUP(Table1[[#This Row],[StockOptionLevel]],Table19[StockOptionLevel],Table19[Id_StockOptionLevel])</f>
        <v>SOL002</v>
      </c>
      <c r="AT59">
        <v>1</v>
      </c>
      <c r="AU59" t="str">
        <f>_xlfn.XLOOKUP(Table1[[#This Row],[StockOptionLevel]],Table19[StockOptionLevel],Table19[Deskripsi])</f>
        <v>Standard</v>
      </c>
      <c r="AV59">
        <v>4</v>
      </c>
      <c r="AW59">
        <v>3</v>
      </c>
      <c r="AX59" t="str">
        <f>_xlfn.XLOOKUP(Table1[[#This Row],[WorkLifeBalance]],Table20[WorkLifeBalance],Table20[Id_WorkLifeBalance])</f>
        <v>WLB002</v>
      </c>
      <c r="AY59">
        <v>3</v>
      </c>
      <c r="AZ59" t="str">
        <f>_xlfn.XLOOKUP(Table1[[#This Row],[WorkLifeBalance]],Table20[WorkLifeBalance],Table20[Deskripsi])</f>
        <v>Good</v>
      </c>
      <c r="BA59">
        <v>2</v>
      </c>
      <c r="BB59">
        <v>2</v>
      </c>
      <c r="BC59">
        <v>2</v>
      </c>
      <c r="BD59">
        <v>2</v>
      </c>
    </row>
    <row r="60" spans="1:56" x14ac:dyDescent="0.25">
      <c r="A60">
        <v>31</v>
      </c>
      <c r="B60" t="str">
        <f>_xlfn.XLOOKUP(Table1[[#This Row],[Attrition]],Table2[Attrition],Table2[Id_Attrition])</f>
        <v>A002</v>
      </c>
      <c r="C60" t="s">
        <v>33</v>
      </c>
      <c r="D60" t="str">
        <f>_xlfn.XLOOKUP(Table1[[#This Row],[BusinessTravel]],Table5[BusinessTravel],Table5[Id_BusinessTravel])</f>
        <v>BS001</v>
      </c>
      <c r="E60" t="s">
        <v>34</v>
      </c>
      <c r="F60">
        <v>655</v>
      </c>
      <c r="G60" t="str">
        <f>_xlfn.XLOOKUP(Table1[[#This Row],[Department]],Table6[Department],Table6[Id_Departement])</f>
        <v>D002</v>
      </c>
      <c r="H60" t="s">
        <v>38</v>
      </c>
      <c r="I60">
        <v>7</v>
      </c>
      <c r="J60" t="str">
        <f>_xlfn.XLOOKUP(Table1[[#This Row],[Education]],Table8[Education],Table8[Id_Education])</f>
        <v>E004</v>
      </c>
      <c r="K60">
        <v>4</v>
      </c>
      <c r="L60" t="str">
        <f>_xlfn.XLOOKUP(Table1[[#This Row],[EducationField]],Table7[EducationField],Table7[Id_EducationField])</f>
        <v>EF001</v>
      </c>
      <c r="M60" t="s">
        <v>40</v>
      </c>
      <c r="N60" t="str">
        <f>_xlfn.XLOOKUP(Table1[[#This Row],[EmployeeNumber]],Table4[EmployeeNumber],Table4[Id_Employee])</f>
        <v>EMP00059</v>
      </c>
      <c r="O60">
        <v>76</v>
      </c>
      <c r="P60" t="str">
        <f>_xlfn.XLOOKUP(Table1[[#This Row],[EnvironmentSatisfaction]],Table9[EnvironmentSatisfaction],Table9[Id_EnviromentSatisfaction])</f>
        <v>ES004</v>
      </c>
      <c r="Q60">
        <v>4</v>
      </c>
      <c r="R60" t="str">
        <f>_xlfn.XLOOKUP(Table1[[#This Row],[EnvironmentSatisfaction]],Table9[EnvironmentSatisfaction],Table9[Deskripsi])</f>
        <v>Very High</v>
      </c>
      <c r="S60" t="str">
        <f>_xlfn.XLOOKUP(Table1[[#This Row],[Gender]],Table10[Gender],Table10[Id_Gender])</f>
        <v>G002</v>
      </c>
      <c r="T60" t="s">
        <v>46</v>
      </c>
      <c r="U60">
        <v>48</v>
      </c>
      <c r="V60" t="str">
        <f>_xlfn.XLOOKUP(Table1[[#This Row],[JobInvolvement]],Table11[JobInvolvement],Table11[Id_JobInvolvement])</f>
        <v>JI003</v>
      </c>
      <c r="W60">
        <v>3</v>
      </c>
      <c r="X60" t="str">
        <f>_xlfn.XLOOKUP(Table1[[#This Row],[JobLevel]],Table12[JobLevel],Table12[Id_JobLevel])</f>
        <v>JL002</v>
      </c>
      <c r="Y60">
        <v>2</v>
      </c>
      <c r="Z60" t="str">
        <f>_xlfn.XLOOKUP(Table1[[#This Row],[JobRole]],Table13[JobRole],Table13[Id_JobRole])</f>
        <v>JR003</v>
      </c>
      <c r="AA60" t="s">
        <v>49</v>
      </c>
      <c r="AB60" t="str">
        <f>_xlfn.XLOOKUP(Table1[[#This Row],[JobSatisfaction]],Table14[JobSatisfaction],Table14[Id_JobSatisfaction])</f>
        <v>JS004</v>
      </c>
      <c r="AC60">
        <v>4</v>
      </c>
      <c r="AD60" t="str">
        <f>_xlfn.XLOOKUP(Table1[[#This Row],[JobSatisfaction]],Table14[JobSatisfaction],Table14[Deskripsi])</f>
        <v>Very High</v>
      </c>
      <c r="AE60" t="str">
        <f>_xlfn.XLOOKUP(Table1[[#This Row],[MaritalStatus]],Table15[MaritalStatus],Table15[Id_MaritalStatus])</f>
        <v>MS003</v>
      </c>
      <c r="AF60" t="s">
        <v>57</v>
      </c>
      <c r="AG60">
        <v>5915</v>
      </c>
      <c r="AH60">
        <v>9528</v>
      </c>
      <c r="AI60">
        <v>3</v>
      </c>
      <c r="AJ60" t="str">
        <f>_xlfn.XLOOKUP(Table1[[#This Row],[OverTime]],Table16[OverTime],Table16[Id_OverTime])</f>
        <v>OT002</v>
      </c>
      <c r="AK60" t="s">
        <v>33</v>
      </c>
      <c r="AL60">
        <v>22</v>
      </c>
      <c r="AM60" t="str">
        <f>_xlfn.XLOOKUP(Table1[[#This Row],[PerformanceRating]],Table17[PerformanceRating],Table17[Id_PerformanceRating])</f>
        <v>PR004</v>
      </c>
      <c r="AN60">
        <v>4</v>
      </c>
      <c r="AO60" t="str">
        <f>_xlfn.XLOOKUP(Table1[[#This Row],[PerformanceRating]],Table17[PerformanceRating],Table17[Deskripsi])</f>
        <v>Outstanding</v>
      </c>
      <c r="AP60" t="str">
        <f>_xlfn.XLOOKUP(Table1[[#This Row],[RelationshipSatisfaction]],Table18[RelationshipSatisfaction],Table18[Id_RelationshipSatisfaction])</f>
        <v>RS004</v>
      </c>
      <c r="AQ60">
        <v>4</v>
      </c>
      <c r="AR60" t="str">
        <f>_xlfn.XLOOKUP(Table1[[#This Row],[RelationshipSatisfaction]],Table18[RelationshipSatisfaction],Table18[Deskripsi])</f>
        <v>Very High</v>
      </c>
      <c r="AS60" t="str">
        <f>_xlfn.XLOOKUP(Table1[[#This Row],[StockOptionLevel]],Table19[StockOptionLevel],Table19[Id_StockOptionLevel])</f>
        <v>SOL002</v>
      </c>
      <c r="AT60">
        <v>1</v>
      </c>
      <c r="AU60" t="str">
        <f>_xlfn.XLOOKUP(Table1[[#This Row],[StockOptionLevel]],Table19[StockOptionLevel],Table19[Deskripsi])</f>
        <v>Standard</v>
      </c>
      <c r="AV60">
        <v>10</v>
      </c>
      <c r="AW60">
        <v>3</v>
      </c>
      <c r="AX60" t="str">
        <f>_xlfn.XLOOKUP(Table1[[#This Row],[WorkLifeBalance]],Table20[WorkLifeBalance],Table20[Id_WorkLifeBalance])</f>
        <v>WLB003</v>
      </c>
      <c r="AY60">
        <v>2</v>
      </c>
      <c r="AZ60" t="str">
        <f>_xlfn.XLOOKUP(Table1[[#This Row],[WorkLifeBalance]],Table20[WorkLifeBalance],Table20[Deskripsi])</f>
        <v>Better</v>
      </c>
      <c r="BA60">
        <v>7</v>
      </c>
      <c r="BB60">
        <v>7</v>
      </c>
      <c r="BC60">
        <v>1</v>
      </c>
      <c r="BD60">
        <v>7</v>
      </c>
    </row>
    <row r="61" spans="1:56" x14ac:dyDescent="0.25">
      <c r="A61">
        <v>37</v>
      </c>
      <c r="B61" t="str">
        <f>_xlfn.XLOOKUP(Table1[[#This Row],[Attrition]],Table2[Attrition],Table2[Id_Attrition])</f>
        <v>A002</v>
      </c>
      <c r="C61" t="s">
        <v>33</v>
      </c>
      <c r="D61" t="str">
        <f>_xlfn.XLOOKUP(Table1[[#This Row],[BusinessTravel]],Table5[BusinessTravel],Table5[Id_BusinessTravel])</f>
        <v>BS001</v>
      </c>
      <c r="E61" t="s">
        <v>34</v>
      </c>
      <c r="F61">
        <v>1115</v>
      </c>
      <c r="G61" t="str">
        <f>_xlfn.XLOOKUP(Table1[[#This Row],[Department]],Table6[Department],Table6[Id_Departement])</f>
        <v>D002</v>
      </c>
      <c r="H61" t="s">
        <v>38</v>
      </c>
      <c r="I61">
        <v>1</v>
      </c>
      <c r="J61" t="str">
        <f>_xlfn.XLOOKUP(Table1[[#This Row],[Education]],Table8[Education],Table8[Id_Education])</f>
        <v>E004</v>
      </c>
      <c r="K61">
        <v>4</v>
      </c>
      <c r="L61" t="str">
        <f>_xlfn.XLOOKUP(Table1[[#This Row],[EducationField]],Table7[EducationField],Table7[Id_EducationField])</f>
        <v>EF001</v>
      </c>
      <c r="M61" t="s">
        <v>40</v>
      </c>
      <c r="N61" t="str">
        <f>_xlfn.XLOOKUP(Table1[[#This Row],[EmployeeNumber]],Table4[EmployeeNumber],Table4[Id_Employee])</f>
        <v>EMP00060</v>
      </c>
      <c r="O61">
        <v>77</v>
      </c>
      <c r="P61" t="str">
        <f>_xlfn.XLOOKUP(Table1[[#This Row],[EnvironmentSatisfaction]],Table9[EnvironmentSatisfaction],Table9[Id_EnviromentSatisfaction])</f>
        <v>ES001</v>
      </c>
      <c r="Q61">
        <v>1</v>
      </c>
      <c r="R61" t="str">
        <f>_xlfn.XLOOKUP(Table1[[#This Row],[EnvironmentSatisfaction]],Table9[EnvironmentSatisfaction],Table9[Deskripsi])</f>
        <v>Low</v>
      </c>
      <c r="S61" t="str">
        <f>_xlfn.XLOOKUP(Table1[[#This Row],[Gender]],Table10[Gender],Table10[Id_Gender])</f>
        <v>G002</v>
      </c>
      <c r="T61" t="s">
        <v>46</v>
      </c>
      <c r="U61">
        <v>51</v>
      </c>
      <c r="V61" t="str">
        <f>_xlfn.XLOOKUP(Table1[[#This Row],[JobInvolvement]],Table11[JobInvolvement],Table11[Id_JobInvolvement])</f>
        <v>JI002</v>
      </c>
      <c r="W61">
        <v>2</v>
      </c>
      <c r="X61" t="str">
        <f>_xlfn.XLOOKUP(Table1[[#This Row],[JobLevel]],Table12[JobLevel],Table12[Id_JobLevel])</f>
        <v>JL002</v>
      </c>
      <c r="Y61">
        <v>2</v>
      </c>
      <c r="Z61" t="str">
        <f>_xlfn.XLOOKUP(Table1[[#This Row],[JobRole]],Table13[JobRole],Table13[Id_JobRole])</f>
        <v>JR004</v>
      </c>
      <c r="AA61" t="s">
        <v>50</v>
      </c>
      <c r="AB61" t="str">
        <f>_xlfn.XLOOKUP(Table1[[#This Row],[JobSatisfaction]],Table14[JobSatisfaction],Table14[Id_JobSatisfaction])</f>
        <v>JS003</v>
      </c>
      <c r="AC61">
        <v>3</v>
      </c>
      <c r="AD61" t="str">
        <f>_xlfn.XLOOKUP(Table1[[#This Row],[JobSatisfaction]],Table14[JobSatisfaction],Table14[Deskripsi])</f>
        <v>High</v>
      </c>
      <c r="AE61" t="str">
        <f>_xlfn.XLOOKUP(Table1[[#This Row],[MaritalStatus]],Table15[MaritalStatus],Table15[Id_MaritalStatus])</f>
        <v>MS003</v>
      </c>
      <c r="AF61" t="s">
        <v>57</v>
      </c>
      <c r="AG61">
        <v>5993</v>
      </c>
      <c r="AH61">
        <v>2689</v>
      </c>
      <c r="AI61">
        <v>1</v>
      </c>
      <c r="AJ61" t="str">
        <f>_xlfn.XLOOKUP(Table1[[#This Row],[OverTime]],Table16[OverTime],Table16[Id_OverTime])</f>
        <v>OT002</v>
      </c>
      <c r="AK61" t="s">
        <v>33</v>
      </c>
      <c r="AL61">
        <v>18</v>
      </c>
      <c r="AM61" t="str">
        <f>_xlfn.XLOOKUP(Table1[[#This Row],[PerformanceRating]],Table17[PerformanceRating],Table17[Id_PerformanceRating])</f>
        <v>PR003</v>
      </c>
      <c r="AN61">
        <v>3</v>
      </c>
      <c r="AO61" t="str">
        <f>_xlfn.XLOOKUP(Table1[[#This Row],[PerformanceRating]],Table17[PerformanceRating],Table17[Deskripsi])</f>
        <v>Excellent</v>
      </c>
      <c r="AP61" t="str">
        <f>_xlfn.XLOOKUP(Table1[[#This Row],[RelationshipSatisfaction]],Table18[RelationshipSatisfaction],Table18[Id_RelationshipSatisfaction])</f>
        <v>RS003</v>
      </c>
      <c r="AQ61">
        <v>3</v>
      </c>
      <c r="AR61" t="str">
        <f>_xlfn.XLOOKUP(Table1[[#This Row],[RelationshipSatisfaction]],Table18[RelationshipSatisfaction],Table18[Deskripsi])</f>
        <v>High</v>
      </c>
      <c r="AS61" t="str">
        <f>_xlfn.XLOOKUP(Table1[[#This Row],[StockOptionLevel]],Table19[StockOptionLevel],Table19[Id_StockOptionLevel])</f>
        <v>SOL002</v>
      </c>
      <c r="AT61">
        <v>1</v>
      </c>
      <c r="AU61" t="str">
        <f>_xlfn.XLOOKUP(Table1[[#This Row],[StockOptionLevel]],Table19[StockOptionLevel],Table19[Deskripsi])</f>
        <v>Standard</v>
      </c>
      <c r="AV61">
        <v>7</v>
      </c>
      <c r="AW61">
        <v>2</v>
      </c>
      <c r="AX61" t="str">
        <f>_xlfn.XLOOKUP(Table1[[#This Row],[WorkLifeBalance]],Table20[WorkLifeBalance],Table20[Id_WorkLifeBalance])</f>
        <v>WLB004</v>
      </c>
      <c r="AY61">
        <v>4</v>
      </c>
      <c r="AZ61" t="str">
        <f>_xlfn.XLOOKUP(Table1[[#This Row],[WorkLifeBalance]],Table20[WorkLifeBalance],Table20[Deskripsi])</f>
        <v>Best</v>
      </c>
      <c r="BA61">
        <v>7</v>
      </c>
      <c r="BB61">
        <v>5</v>
      </c>
      <c r="BC61">
        <v>0</v>
      </c>
      <c r="BD61">
        <v>7</v>
      </c>
    </row>
    <row r="62" spans="1:56" x14ac:dyDescent="0.25">
      <c r="A62">
        <v>32</v>
      </c>
      <c r="B62" t="str">
        <f>_xlfn.XLOOKUP(Table1[[#This Row],[Attrition]],Table2[Attrition],Table2[Id_Attrition])</f>
        <v>A002</v>
      </c>
      <c r="C62" t="s">
        <v>33</v>
      </c>
      <c r="D62" t="str">
        <f>_xlfn.XLOOKUP(Table1[[#This Row],[BusinessTravel]],Table5[BusinessTravel],Table5[Id_BusinessTravel])</f>
        <v>BS001</v>
      </c>
      <c r="E62" t="s">
        <v>34</v>
      </c>
      <c r="F62">
        <v>427</v>
      </c>
      <c r="G62" t="str">
        <f>_xlfn.XLOOKUP(Table1[[#This Row],[Department]],Table6[Department],Table6[Id_Departement])</f>
        <v>D002</v>
      </c>
      <c r="H62" t="s">
        <v>38</v>
      </c>
      <c r="I62">
        <v>1</v>
      </c>
      <c r="J62" t="str">
        <f>_xlfn.XLOOKUP(Table1[[#This Row],[Education]],Table8[Education],Table8[Id_Education])</f>
        <v>E003</v>
      </c>
      <c r="K62">
        <v>3</v>
      </c>
      <c r="L62" t="str">
        <f>_xlfn.XLOOKUP(Table1[[#This Row],[EducationField]],Table7[EducationField],Table7[Id_EducationField])</f>
        <v>EF003</v>
      </c>
      <c r="M62" t="s">
        <v>42</v>
      </c>
      <c r="N62" t="str">
        <f>_xlfn.XLOOKUP(Table1[[#This Row],[EmployeeNumber]],Table4[EmployeeNumber],Table4[Id_Employee])</f>
        <v>EMP00061</v>
      </c>
      <c r="O62">
        <v>78</v>
      </c>
      <c r="P62" t="str">
        <f>_xlfn.XLOOKUP(Table1[[#This Row],[EnvironmentSatisfaction]],Table9[EnvironmentSatisfaction],Table9[Id_EnviromentSatisfaction])</f>
        <v>ES001</v>
      </c>
      <c r="Q62">
        <v>1</v>
      </c>
      <c r="R62" t="str">
        <f>_xlfn.XLOOKUP(Table1[[#This Row],[EnvironmentSatisfaction]],Table9[EnvironmentSatisfaction],Table9[Deskripsi])</f>
        <v>Low</v>
      </c>
      <c r="S62" t="str">
        <f>_xlfn.XLOOKUP(Table1[[#This Row],[Gender]],Table10[Gender],Table10[Id_Gender])</f>
        <v>G002</v>
      </c>
      <c r="T62" t="s">
        <v>46</v>
      </c>
      <c r="U62">
        <v>33</v>
      </c>
      <c r="V62" t="str">
        <f>_xlfn.XLOOKUP(Table1[[#This Row],[JobInvolvement]],Table11[JobInvolvement],Table11[Id_JobInvolvement])</f>
        <v>JI003</v>
      </c>
      <c r="W62">
        <v>3</v>
      </c>
      <c r="X62" t="str">
        <f>_xlfn.XLOOKUP(Table1[[#This Row],[JobLevel]],Table12[JobLevel],Table12[Id_JobLevel])</f>
        <v>JL002</v>
      </c>
      <c r="Y62">
        <v>2</v>
      </c>
      <c r="Z62" t="str">
        <f>_xlfn.XLOOKUP(Table1[[#This Row],[JobRole]],Table13[JobRole],Table13[Id_JobRole])</f>
        <v>JR004</v>
      </c>
      <c r="AA62" t="s">
        <v>50</v>
      </c>
      <c r="AB62" t="str">
        <f>_xlfn.XLOOKUP(Table1[[#This Row],[JobSatisfaction]],Table14[JobSatisfaction],Table14[Id_JobSatisfaction])</f>
        <v>JS004</v>
      </c>
      <c r="AC62">
        <v>4</v>
      </c>
      <c r="AD62" t="str">
        <f>_xlfn.XLOOKUP(Table1[[#This Row],[JobSatisfaction]],Table14[JobSatisfaction],Table14[Deskripsi])</f>
        <v>Very High</v>
      </c>
      <c r="AE62" t="str">
        <f>_xlfn.XLOOKUP(Table1[[#This Row],[MaritalStatus]],Table15[MaritalStatus],Table15[Id_MaritalStatus])</f>
        <v>MS002</v>
      </c>
      <c r="AF62" t="s">
        <v>56</v>
      </c>
      <c r="AG62">
        <v>6162</v>
      </c>
      <c r="AH62">
        <v>10877</v>
      </c>
      <c r="AI62">
        <v>1</v>
      </c>
      <c r="AJ62" t="str">
        <f>_xlfn.XLOOKUP(Table1[[#This Row],[OverTime]],Table16[OverTime],Table16[Id_OverTime])</f>
        <v>OT001</v>
      </c>
      <c r="AK62" t="s">
        <v>32</v>
      </c>
      <c r="AL62">
        <v>22</v>
      </c>
      <c r="AM62" t="str">
        <f>_xlfn.XLOOKUP(Table1[[#This Row],[PerformanceRating]],Table17[PerformanceRating],Table17[Id_PerformanceRating])</f>
        <v>PR004</v>
      </c>
      <c r="AN62">
        <v>4</v>
      </c>
      <c r="AO62" t="str">
        <f>_xlfn.XLOOKUP(Table1[[#This Row],[PerformanceRating]],Table17[PerformanceRating],Table17[Deskripsi])</f>
        <v>Outstanding</v>
      </c>
      <c r="AP62" t="str">
        <f>_xlfn.XLOOKUP(Table1[[#This Row],[RelationshipSatisfaction]],Table18[RelationshipSatisfaction],Table18[Id_RelationshipSatisfaction])</f>
        <v>RS002</v>
      </c>
      <c r="AQ62">
        <v>2</v>
      </c>
      <c r="AR62" t="str">
        <f>_xlfn.XLOOKUP(Table1[[#This Row],[RelationshipSatisfaction]],Table18[RelationshipSatisfaction],Table18[Deskripsi])</f>
        <v>Medium</v>
      </c>
      <c r="AS62" t="str">
        <f>_xlfn.XLOOKUP(Table1[[#This Row],[StockOptionLevel]],Table19[StockOptionLevel],Table19[Id_StockOptionLevel])</f>
        <v>SOL002</v>
      </c>
      <c r="AT62">
        <v>1</v>
      </c>
      <c r="AU62" t="str">
        <f>_xlfn.XLOOKUP(Table1[[#This Row],[StockOptionLevel]],Table19[StockOptionLevel],Table19[Deskripsi])</f>
        <v>Standard</v>
      </c>
      <c r="AV62">
        <v>9</v>
      </c>
      <c r="AW62">
        <v>3</v>
      </c>
      <c r="AX62" t="str">
        <f>_xlfn.XLOOKUP(Table1[[#This Row],[WorkLifeBalance]],Table20[WorkLifeBalance],Table20[Id_WorkLifeBalance])</f>
        <v>WLB002</v>
      </c>
      <c r="AY62">
        <v>3</v>
      </c>
      <c r="AZ62" t="str">
        <f>_xlfn.XLOOKUP(Table1[[#This Row],[WorkLifeBalance]],Table20[WorkLifeBalance],Table20[Deskripsi])</f>
        <v>Good</v>
      </c>
      <c r="BA62">
        <v>9</v>
      </c>
      <c r="BB62">
        <v>8</v>
      </c>
      <c r="BC62">
        <v>7</v>
      </c>
      <c r="BD62">
        <v>8</v>
      </c>
    </row>
    <row r="63" spans="1:56" x14ac:dyDescent="0.25">
      <c r="A63">
        <v>38</v>
      </c>
      <c r="B63" t="str">
        <f>_xlfn.XLOOKUP(Table1[[#This Row],[Attrition]],Table2[Attrition],Table2[Id_Attrition])</f>
        <v>A002</v>
      </c>
      <c r="C63" t="s">
        <v>33</v>
      </c>
      <c r="D63" t="str">
        <f>_xlfn.XLOOKUP(Table1[[#This Row],[BusinessTravel]],Table5[BusinessTravel],Table5[Id_BusinessTravel])</f>
        <v>BS002</v>
      </c>
      <c r="E63" t="s">
        <v>35</v>
      </c>
      <c r="F63">
        <v>653</v>
      </c>
      <c r="G63" t="str">
        <f>_xlfn.XLOOKUP(Table1[[#This Row],[Department]],Table6[Department],Table6[Id_Departement])</f>
        <v>D002</v>
      </c>
      <c r="H63" t="s">
        <v>38</v>
      </c>
      <c r="I63">
        <v>29</v>
      </c>
      <c r="J63" t="str">
        <f>_xlfn.XLOOKUP(Table1[[#This Row],[Education]],Table8[Education],Table8[Id_Education])</f>
        <v>E005</v>
      </c>
      <c r="K63">
        <v>5</v>
      </c>
      <c r="L63" t="str">
        <f>_xlfn.XLOOKUP(Table1[[#This Row],[EducationField]],Table7[EducationField],Table7[Id_EducationField])</f>
        <v>EF001</v>
      </c>
      <c r="M63" t="s">
        <v>40</v>
      </c>
      <c r="N63" t="str">
        <f>_xlfn.XLOOKUP(Table1[[#This Row],[EmployeeNumber]],Table4[EmployeeNumber],Table4[Id_Employee])</f>
        <v>EMP00062</v>
      </c>
      <c r="O63">
        <v>79</v>
      </c>
      <c r="P63" t="str">
        <f>_xlfn.XLOOKUP(Table1[[#This Row],[EnvironmentSatisfaction]],Table9[EnvironmentSatisfaction],Table9[Id_EnviromentSatisfaction])</f>
        <v>ES004</v>
      </c>
      <c r="Q63">
        <v>4</v>
      </c>
      <c r="R63" t="str">
        <f>_xlfn.XLOOKUP(Table1[[#This Row],[EnvironmentSatisfaction]],Table9[EnvironmentSatisfaction],Table9[Deskripsi])</f>
        <v>Very High</v>
      </c>
      <c r="S63" t="str">
        <f>_xlfn.XLOOKUP(Table1[[#This Row],[Gender]],Table10[Gender],Table10[Id_Gender])</f>
        <v>G001</v>
      </c>
      <c r="T63" t="s">
        <v>45</v>
      </c>
      <c r="U63">
        <v>50</v>
      </c>
      <c r="V63" t="str">
        <f>_xlfn.XLOOKUP(Table1[[#This Row],[JobInvolvement]],Table11[JobInvolvement],Table11[Id_JobInvolvement])</f>
        <v>JI003</v>
      </c>
      <c r="W63">
        <v>3</v>
      </c>
      <c r="X63" t="str">
        <f>_xlfn.XLOOKUP(Table1[[#This Row],[JobLevel]],Table12[JobLevel],Table12[Id_JobLevel])</f>
        <v>JL002</v>
      </c>
      <c r="Y63">
        <v>2</v>
      </c>
      <c r="Z63" t="str">
        <f>_xlfn.XLOOKUP(Table1[[#This Row],[JobRole]],Table13[JobRole],Table13[Id_JobRole])</f>
        <v>JR003</v>
      </c>
      <c r="AA63" t="s">
        <v>49</v>
      </c>
      <c r="AB63" t="str">
        <f>_xlfn.XLOOKUP(Table1[[#This Row],[JobSatisfaction]],Table14[JobSatisfaction],Table14[Id_JobSatisfaction])</f>
        <v>JS004</v>
      </c>
      <c r="AC63">
        <v>4</v>
      </c>
      <c r="AD63" t="str">
        <f>_xlfn.XLOOKUP(Table1[[#This Row],[JobSatisfaction]],Table14[JobSatisfaction],Table14[Deskripsi])</f>
        <v>Very High</v>
      </c>
      <c r="AE63" t="str">
        <f>_xlfn.XLOOKUP(Table1[[#This Row],[MaritalStatus]],Table15[MaritalStatus],Table15[Id_MaritalStatus])</f>
        <v>MS001</v>
      </c>
      <c r="AF63" t="s">
        <v>55</v>
      </c>
      <c r="AG63">
        <v>2406</v>
      </c>
      <c r="AH63">
        <v>5456</v>
      </c>
      <c r="AI63">
        <v>1</v>
      </c>
      <c r="AJ63" t="str">
        <f>_xlfn.XLOOKUP(Table1[[#This Row],[OverTime]],Table16[OverTime],Table16[Id_OverTime])</f>
        <v>OT002</v>
      </c>
      <c r="AK63" t="s">
        <v>33</v>
      </c>
      <c r="AL63">
        <v>11</v>
      </c>
      <c r="AM63" t="str">
        <f>_xlfn.XLOOKUP(Table1[[#This Row],[PerformanceRating]],Table17[PerformanceRating],Table17[Id_PerformanceRating])</f>
        <v>PR003</v>
      </c>
      <c r="AN63">
        <v>3</v>
      </c>
      <c r="AO63" t="str">
        <f>_xlfn.XLOOKUP(Table1[[#This Row],[PerformanceRating]],Table17[PerformanceRating],Table17[Deskripsi])</f>
        <v>Excellent</v>
      </c>
      <c r="AP63" t="str">
        <f>_xlfn.XLOOKUP(Table1[[#This Row],[RelationshipSatisfaction]],Table18[RelationshipSatisfaction],Table18[Id_RelationshipSatisfaction])</f>
        <v>RS004</v>
      </c>
      <c r="AQ63">
        <v>4</v>
      </c>
      <c r="AR63" t="str">
        <f>_xlfn.XLOOKUP(Table1[[#This Row],[RelationshipSatisfaction]],Table18[RelationshipSatisfaction],Table18[Deskripsi])</f>
        <v>Very High</v>
      </c>
      <c r="AS63" t="str">
        <f>_xlfn.XLOOKUP(Table1[[#This Row],[StockOptionLevel]],Table19[StockOptionLevel],Table19[Id_StockOptionLevel])</f>
        <v>SOL001</v>
      </c>
      <c r="AT63">
        <v>0</v>
      </c>
      <c r="AU63" t="str">
        <f>_xlfn.XLOOKUP(Table1[[#This Row],[StockOptionLevel]],Table19[StockOptionLevel],Table19[Deskripsi])</f>
        <v>Non-Eligible</v>
      </c>
      <c r="AV63">
        <v>10</v>
      </c>
      <c r="AW63">
        <v>2</v>
      </c>
      <c r="AX63" t="str">
        <f>_xlfn.XLOOKUP(Table1[[#This Row],[WorkLifeBalance]],Table20[WorkLifeBalance],Table20[Id_WorkLifeBalance])</f>
        <v>WLB002</v>
      </c>
      <c r="AY63">
        <v>3</v>
      </c>
      <c r="AZ63" t="str">
        <f>_xlfn.XLOOKUP(Table1[[#This Row],[WorkLifeBalance]],Table20[WorkLifeBalance],Table20[Deskripsi])</f>
        <v>Good</v>
      </c>
      <c r="BA63">
        <v>10</v>
      </c>
      <c r="BB63">
        <v>3</v>
      </c>
      <c r="BC63">
        <v>9</v>
      </c>
      <c r="BD63">
        <v>9</v>
      </c>
    </row>
    <row r="64" spans="1:56" x14ac:dyDescent="0.25">
      <c r="A64">
        <v>50</v>
      </c>
      <c r="B64" t="str">
        <f>_xlfn.XLOOKUP(Table1[[#This Row],[Attrition]],Table2[Attrition],Table2[Id_Attrition])</f>
        <v>A002</v>
      </c>
      <c r="C64" t="s">
        <v>33</v>
      </c>
      <c r="D64" t="str">
        <f>_xlfn.XLOOKUP(Table1[[#This Row],[BusinessTravel]],Table5[BusinessTravel],Table5[Id_BusinessTravel])</f>
        <v>BS001</v>
      </c>
      <c r="E64" t="s">
        <v>34</v>
      </c>
      <c r="F64">
        <v>989</v>
      </c>
      <c r="G64" t="str">
        <f>_xlfn.XLOOKUP(Table1[[#This Row],[Department]],Table6[Department],Table6[Id_Departement])</f>
        <v>D002</v>
      </c>
      <c r="H64" t="s">
        <v>38</v>
      </c>
      <c r="I64">
        <v>7</v>
      </c>
      <c r="J64" t="str">
        <f>_xlfn.XLOOKUP(Table1[[#This Row],[Education]],Table8[Education],Table8[Id_Education])</f>
        <v>E002</v>
      </c>
      <c r="K64">
        <v>2</v>
      </c>
      <c r="L64" t="str">
        <f>_xlfn.XLOOKUP(Table1[[#This Row],[EducationField]],Table7[EducationField],Table7[Id_EducationField])</f>
        <v>EF003</v>
      </c>
      <c r="M64" t="s">
        <v>42</v>
      </c>
      <c r="N64" t="str">
        <f>_xlfn.XLOOKUP(Table1[[#This Row],[EmployeeNumber]],Table4[EmployeeNumber],Table4[Id_Employee])</f>
        <v>EMP00063</v>
      </c>
      <c r="O64">
        <v>80</v>
      </c>
      <c r="P64" t="str">
        <f>_xlfn.XLOOKUP(Table1[[#This Row],[EnvironmentSatisfaction]],Table9[EnvironmentSatisfaction],Table9[Id_EnviromentSatisfaction])</f>
        <v>ES002</v>
      </c>
      <c r="Q64">
        <v>2</v>
      </c>
      <c r="R64" t="str">
        <f>_xlfn.XLOOKUP(Table1[[#This Row],[EnvironmentSatisfaction]],Table9[EnvironmentSatisfaction],Table9[Deskripsi])</f>
        <v>Medium</v>
      </c>
      <c r="S64" t="str">
        <f>_xlfn.XLOOKUP(Table1[[#This Row],[Gender]],Table10[Gender],Table10[Id_Gender])</f>
        <v>G001</v>
      </c>
      <c r="T64" t="s">
        <v>45</v>
      </c>
      <c r="U64">
        <v>43</v>
      </c>
      <c r="V64" t="str">
        <f>_xlfn.XLOOKUP(Table1[[#This Row],[JobInvolvement]],Table11[JobInvolvement],Table11[Id_JobInvolvement])</f>
        <v>JI002</v>
      </c>
      <c r="W64">
        <v>2</v>
      </c>
      <c r="X64" t="str">
        <f>_xlfn.XLOOKUP(Table1[[#This Row],[JobLevel]],Table12[JobLevel],Table12[Id_JobLevel])</f>
        <v>JL005</v>
      </c>
      <c r="Y64">
        <v>5</v>
      </c>
      <c r="Z64" t="str">
        <f>_xlfn.XLOOKUP(Table1[[#This Row],[JobRole]],Table13[JobRole],Table13[Id_JobRole])</f>
        <v>JR008</v>
      </c>
      <c r="AA64" t="s">
        <v>54</v>
      </c>
      <c r="AB64" t="str">
        <f>_xlfn.XLOOKUP(Table1[[#This Row],[JobSatisfaction]],Table14[JobSatisfaction],Table14[Id_JobSatisfaction])</f>
        <v>JS003</v>
      </c>
      <c r="AC64">
        <v>3</v>
      </c>
      <c r="AD64" t="str">
        <f>_xlfn.XLOOKUP(Table1[[#This Row],[JobSatisfaction]],Table14[JobSatisfaction],Table14[Deskripsi])</f>
        <v>High</v>
      </c>
      <c r="AE64" t="str">
        <f>_xlfn.XLOOKUP(Table1[[#This Row],[MaritalStatus]],Table15[MaritalStatus],Table15[Id_MaritalStatus])</f>
        <v>MS003</v>
      </c>
      <c r="AF64" t="s">
        <v>57</v>
      </c>
      <c r="AG64">
        <v>18740</v>
      </c>
      <c r="AH64">
        <v>16701</v>
      </c>
      <c r="AI64">
        <v>5</v>
      </c>
      <c r="AJ64" t="str">
        <f>_xlfn.XLOOKUP(Table1[[#This Row],[OverTime]],Table16[OverTime],Table16[Id_OverTime])</f>
        <v>OT001</v>
      </c>
      <c r="AK64" t="s">
        <v>32</v>
      </c>
      <c r="AL64">
        <v>12</v>
      </c>
      <c r="AM64" t="str">
        <f>_xlfn.XLOOKUP(Table1[[#This Row],[PerformanceRating]],Table17[PerformanceRating],Table17[Id_PerformanceRating])</f>
        <v>PR003</v>
      </c>
      <c r="AN64">
        <v>3</v>
      </c>
      <c r="AO64" t="str">
        <f>_xlfn.XLOOKUP(Table1[[#This Row],[PerformanceRating]],Table17[PerformanceRating],Table17[Deskripsi])</f>
        <v>Excellent</v>
      </c>
      <c r="AP64" t="str">
        <f>_xlfn.XLOOKUP(Table1[[#This Row],[RelationshipSatisfaction]],Table18[RelationshipSatisfaction],Table18[Id_RelationshipSatisfaction])</f>
        <v>RS004</v>
      </c>
      <c r="AQ64">
        <v>4</v>
      </c>
      <c r="AR64" t="str">
        <f>_xlfn.XLOOKUP(Table1[[#This Row],[RelationshipSatisfaction]],Table18[RelationshipSatisfaction],Table18[Deskripsi])</f>
        <v>Very High</v>
      </c>
      <c r="AS64" t="str">
        <f>_xlfn.XLOOKUP(Table1[[#This Row],[StockOptionLevel]],Table19[StockOptionLevel],Table19[Id_StockOptionLevel])</f>
        <v>SOL002</v>
      </c>
      <c r="AT64">
        <v>1</v>
      </c>
      <c r="AU64" t="str">
        <f>_xlfn.XLOOKUP(Table1[[#This Row],[StockOptionLevel]],Table19[StockOptionLevel],Table19[Deskripsi])</f>
        <v>Standard</v>
      </c>
      <c r="AV64">
        <v>29</v>
      </c>
      <c r="AW64">
        <v>2</v>
      </c>
      <c r="AX64" t="str">
        <f>_xlfn.XLOOKUP(Table1[[#This Row],[WorkLifeBalance]],Table20[WorkLifeBalance],Table20[Id_WorkLifeBalance])</f>
        <v>WLB003</v>
      </c>
      <c r="AY64">
        <v>2</v>
      </c>
      <c r="AZ64" t="str">
        <f>_xlfn.XLOOKUP(Table1[[#This Row],[WorkLifeBalance]],Table20[WorkLifeBalance],Table20[Deskripsi])</f>
        <v>Better</v>
      </c>
      <c r="BA64">
        <v>27</v>
      </c>
      <c r="BB64">
        <v>3</v>
      </c>
      <c r="BC64">
        <v>13</v>
      </c>
      <c r="BD64">
        <v>8</v>
      </c>
    </row>
    <row r="65" spans="1:56" x14ac:dyDescent="0.25">
      <c r="A65">
        <v>59</v>
      </c>
      <c r="B65" t="str">
        <f>_xlfn.XLOOKUP(Table1[[#This Row],[Attrition]],Table2[Attrition],Table2[Id_Attrition])</f>
        <v>A002</v>
      </c>
      <c r="C65" t="s">
        <v>33</v>
      </c>
      <c r="D65" t="str">
        <f>_xlfn.XLOOKUP(Table1[[#This Row],[BusinessTravel]],Table5[BusinessTravel],Table5[Id_BusinessTravel])</f>
        <v>BS001</v>
      </c>
      <c r="E65" t="s">
        <v>34</v>
      </c>
      <c r="F65">
        <v>1435</v>
      </c>
      <c r="G65" t="str">
        <f>_xlfn.XLOOKUP(Table1[[#This Row],[Department]],Table6[Department],Table6[Id_Departement])</f>
        <v>D001</v>
      </c>
      <c r="H65" t="s">
        <v>37</v>
      </c>
      <c r="I65">
        <v>25</v>
      </c>
      <c r="J65" t="str">
        <f>_xlfn.XLOOKUP(Table1[[#This Row],[Education]],Table8[Education],Table8[Id_Education])</f>
        <v>E003</v>
      </c>
      <c r="K65">
        <v>3</v>
      </c>
      <c r="L65" t="str">
        <f>_xlfn.XLOOKUP(Table1[[#This Row],[EducationField]],Table7[EducationField],Table7[Id_EducationField])</f>
        <v>EF001</v>
      </c>
      <c r="M65" t="s">
        <v>40</v>
      </c>
      <c r="N65" t="str">
        <f>_xlfn.XLOOKUP(Table1[[#This Row],[EmployeeNumber]],Table4[EmployeeNumber],Table4[Id_Employee])</f>
        <v>EMP00064</v>
      </c>
      <c r="O65">
        <v>81</v>
      </c>
      <c r="P65" t="str">
        <f>_xlfn.XLOOKUP(Table1[[#This Row],[EnvironmentSatisfaction]],Table9[EnvironmentSatisfaction],Table9[Id_EnviromentSatisfaction])</f>
        <v>ES001</v>
      </c>
      <c r="Q65">
        <v>1</v>
      </c>
      <c r="R65" t="str">
        <f>_xlfn.XLOOKUP(Table1[[#This Row],[EnvironmentSatisfaction]],Table9[EnvironmentSatisfaction],Table9[Deskripsi])</f>
        <v>Low</v>
      </c>
      <c r="S65" t="str">
        <f>_xlfn.XLOOKUP(Table1[[#This Row],[Gender]],Table10[Gender],Table10[Id_Gender])</f>
        <v>G001</v>
      </c>
      <c r="T65" t="s">
        <v>45</v>
      </c>
      <c r="U65">
        <v>99</v>
      </c>
      <c r="V65" t="str">
        <f>_xlfn.XLOOKUP(Table1[[#This Row],[JobInvolvement]],Table11[JobInvolvement],Table11[Id_JobInvolvement])</f>
        <v>JI003</v>
      </c>
      <c r="W65">
        <v>3</v>
      </c>
      <c r="X65" t="str">
        <f>_xlfn.XLOOKUP(Table1[[#This Row],[JobLevel]],Table12[JobLevel],Table12[Id_JobLevel])</f>
        <v>JL003</v>
      </c>
      <c r="Y65">
        <v>3</v>
      </c>
      <c r="Z65" t="str">
        <f>_xlfn.XLOOKUP(Table1[[#This Row],[JobRole]],Table13[JobRole],Table13[Id_JobRole])</f>
        <v>JR001</v>
      </c>
      <c r="AA65" t="s">
        <v>47</v>
      </c>
      <c r="AB65" t="str">
        <f>_xlfn.XLOOKUP(Table1[[#This Row],[JobSatisfaction]],Table14[JobSatisfaction],Table14[Id_JobSatisfaction])</f>
        <v>JS001</v>
      </c>
      <c r="AC65">
        <v>1</v>
      </c>
      <c r="AD65" t="str">
        <f>_xlfn.XLOOKUP(Table1[[#This Row],[JobSatisfaction]],Table14[JobSatisfaction],Table14[Deskripsi])</f>
        <v>Low</v>
      </c>
      <c r="AE65" t="str">
        <f>_xlfn.XLOOKUP(Table1[[#This Row],[MaritalStatus]],Table15[MaritalStatus],Table15[Id_MaritalStatus])</f>
        <v>MS001</v>
      </c>
      <c r="AF65" t="s">
        <v>55</v>
      </c>
      <c r="AG65">
        <v>7637</v>
      </c>
      <c r="AH65">
        <v>2354</v>
      </c>
      <c r="AI65">
        <v>7</v>
      </c>
      <c r="AJ65" t="str">
        <f>_xlfn.XLOOKUP(Table1[[#This Row],[OverTime]],Table16[OverTime],Table16[Id_OverTime])</f>
        <v>OT002</v>
      </c>
      <c r="AK65" t="s">
        <v>33</v>
      </c>
      <c r="AL65">
        <v>11</v>
      </c>
      <c r="AM65" t="str">
        <f>_xlfn.XLOOKUP(Table1[[#This Row],[PerformanceRating]],Table17[PerformanceRating],Table17[Id_PerformanceRating])</f>
        <v>PR003</v>
      </c>
      <c r="AN65">
        <v>3</v>
      </c>
      <c r="AO65" t="str">
        <f>_xlfn.XLOOKUP(Table1[[#This Row],[PerformanceRating]],Table17[PerformanceRating],Table17[Deskripsi])</f>
        <v>Excellent</v>
      </c>
      <c r="AP65" t="str">
        <f>_xlfn.XLOOKUP(Table1[[#This Row],[RelationshipSatisfaction]],Table18[RelationshipSatisfaction],Table18[Id_RelationshipSatisfaction])</f>
        <v>RS004</v>
      </c>
      <c r="AQ65">
        <v>4</v>
      </c>
      <c r="AR65" t="str">
        <f>_xlfn.XLOOKUP(Table1[[#This Row],[RelationshipSatisfaction]],Table18[RelationshipSatisfaction],Table18[Deskripsi])</f>
        <v>Very High</v>
      </c>
      <c r="AS65" t="str">
        <f>_xlfn.XLOOKUP(Table1[[#This Row],[StockOptionLevel]],Table19[StockOptionLevel],Table19[Id_StockOptionLevel])</f>
        <v>SOL001</v>
      </c>
      <c r="AT65">
        <v>0</v>
      </c>
      <c r="AU65" t="str">
        <f>_xlfn.XLOOKUP(Table1[[#This Row],[StockOptionLevel]],Table19[StockOptionLevel],Table19[Deskripsi])</f>
        <v>Non-Eligible</v>
      </c>
      <c r="AV65">
        <v>28</v>
      </c>
      <c r="AW65">
        <v>3</v>
      </c>
      <c r="AX65" t="str">
        <f>_xlfn.XLOOKUP(Table1[[#This Row],[WorkLifeBalance]],Table20[WorkLifeBalance],Table20[Id_WorkLifeBalance])</f>
        <v>WLB003</v>
      </c>
      <c r="AY65">
        <v>2</v>
      </c>
      <c r="AZ65" t="str">
        <f>_xlfn.XLOOKUP(Table1[[#This Row],[WorkLifeBalance]],Table20[WorkLifeBalance],Table20[Deskripsi])</f>
        <v>Better</v>
      </c>
      <c r="BA65">
        <v>21</v>
      </c>
      <c r="BB65">
        <v>16</v>
      </c>
      <c r="BC65">
        <v>7</v>
      </c>
      <c r="BD65">
        <v>9</v>
      </c>
    </row>
    <row r="66" spans="1:56" x14ac:dyDescent="0.25">
      <c r="A66">
        <v>36</v>
      </c>
      <c r="B66" t="str">
        <f>_xlfn.XLOOKUP(Table1[[#This Row],[Attrition]],Table2[Attrition],Table2[Id_Attrition])</f>
        <v>A002</v>
      </c>
      <c r="C66" t="s">
        <v>33</v>
      </c>
      <c r="D66" t="str">
        <f>_xlfn.XLOOKUP(Table1[[#This Row],[BusinessTravel]],Table5[BusinessTravel],Table5[Id_BusinessTravel])</f>
        <v>BS001</v>
      </c>
      <c r="E66" t="s">
        <v>34</v>
      </c>
      <c r="F66">
        <v>1223</v>
      </c>
      <c r="G66" t="str">
        <f>_xlfn.XLOOKUP(Table1[[#This Row],[Department]],Table6[Department],Table6[Id_Departement])</f>
        <v>D002</v>
      </c>
      <c r="H66" t="s">
        <v>38</v>
      </c>
      <c r="I66">
        <v>8</v>
      </c>
      <c r="J66" t="str">
        <f>_xlfn.XLOOKUP(Table1[[#This Row],[Education]],Table8[Education],Table8[Id_Education])</f>
        <v>E003</v>
      </c>
      <c r="K66">
        <v>3</v>
      </c>
      <c r="L66" t="str">
        <f>_xlfn.XLOOKUP(Table1[[#This Row],[EducationField]],Table7[EducationField],Table7[Id_EducationField])</f>
        <v>EF005</v>
      </c>
      <c r="M66" t="s">
        <v>44</v>
      </c>
      <c r="N66" t="str">
        <f>_xlfn.XLOOKUP(Table1[[#This Row],[EmployeeNumber]],Table4[EmployeeNumber],Table4[Id_Employee])</f>
        <v>EMP00065</v>
      </c>
      <c r="O66">
        <v>83</v>
      </c>
      <c r="P66" t="str">
        <f>_xlfn.XLOOKUP(Table1[[#This Row],[EnvironmentSatisfaction]],Table9[EnvironmentSatisfaction],Table9[Id_EnviromentSatisfaction])</f>
        <v>ES003</v>
      </c>
      <c r="Q66">
        <v>3</v>
      </c>
      <c r="R66" t="str">
        <f>_xlfn.XLOOKUP(Table1[[#This Row],[EnvironmentSatisfaction]],Table9[EnvironmentSatisfaction],Table9[Deskripsi])</f>
        <v>High</v>
      </c>
      <c r="S66" t="str">
        <f>_xlfn.XLOOKUP(Table1[[#This Row],[Gender]],Table10[Gender],Table10[Id_Gender])</f>
        <v>G001</v>
      </c>
      <c r="T66" t="s">
        <v>45</v>
      </c>
      <c r="U66">
        <v>59</v>
      </c>
      <c r="V66" t="str">
        <f>_xlfn.XLOOKUP(Table1[[#This Row],[JobInvolvement]],Table11[JobInvolvement],Table11[Id_JobInvolvement])</f>
        <v>JI003</v>
      </c>
      <c r="W66">
        <v>3</v>
      </c>
      <c r="X66" t="str">
        <f>_xlfn.XLOOKUP(Table1[[#This Row],[JobLevel]],Table12[JobLevel],Table12[Id_JobLevel])</f>
        <v>JL003</v>
      </c>
      <c r="Y66">
        <v>3</v>
      </c>
      <c r="Z66" t="str">
        <f>_xlfn.XLOOKUP(Table1[[#This Row],[JobRole]],Table13[JobRole],Table13[Id_JobRole])</f>
        <v>JR005</v>
      </c>
      <c r="AA66" t="s">
        <v>51</v>
      </c>
      <c r="AB66" t="str">
        <f>_xlfn.XLOOKUP(Table1[[#This Row],[JobSatisfaction]],Table14[JobSatisfaction],Table14[Id_JobSatisfaction])</f>
        <v>JS003</v>
      </c>
      <c r="AC66">
        <v>3</v>
      </c>
      <c r="AD66" t="str">
        <f>_xlfn.XLOOKUP(Table1[[#This Row],[JobSatisfaction]],Table14[JobSatisfaction],Table14[Deskripsi])</f>
        <v>High</v>
      </c>
      <c r="AE66" t="str">
        <f>_xlfn.XLOOKUP(Table1[[#This Row],[MaritalStatus]],Table15[MaritalStatus],Table15[Id_MaritalStatus])</f>
        <v>MS003</v>
      </c>
      <c r="AF66" t="s">
        <v>57</v>
      </c>
      <c r="AG66">
        <v>10096</v>
      </c>
      <c r="AH66">
        <v>8202</v>
      </c>
      <c r="AI66">
        <v>1</v>
      </c>
      <c r="AJ66" t="str">
        <f>_xlfn.XLOOKUP(Table1[[#This Row],[OverTime]],Table16[OverTime],Table16[Id_OverTime])</f>
        <v>OT002</v>
      </c>
      <c r="AK66" t="s">
        <v>33</v>
      </c>
      <c r="AL66">
        <v>13</v>
      </c>
      <c r="AM66" t="str">
        <f>_xlfn.XLOOKUP(Table1[[#This Row],[PerformanceRating]],Table17[PerformanceRating],Table17[Id_PerformanceRating])</f>
        <v>PR003</v>
      </c>
      <c r="AN66">
        <v>3</v>
      </c>
      <c r="AO66" t="str">
        <f>_xlfn.XLOOKUP(Table1[[#This Row],[PerformanceRating]],Table17[PerformanceRating],Table17[Deskripsi])</f>
        <v>Excellent</v>
      </c>
      <c r="AP66" t="str">
        <f>_xlfn.XLOOKUP(Table1[[#This Row],[RelationshipSatisfaction]],Table18[RelationshipSatisfaction],Table18[Id_RelationshipSatisfaction])</f>
        <v>RS002</v>
      </c>
      <c r="AQ66">
        <v>2</v>
      </c>
      <c r="AR66" t="str">
        <f>_xlfn.XLOOKUP(Table1[[#This Row],[RelationshipSatisfaction]],Table18[RelationshipSatisfaction],Table18[Deskripsi])</f>
        <v>Medium</v>
      </c>
      <c r="AS66" t="str">
        <f>_xlfn.XLOOKUP(Table1[[#This Row],[StockOptionLevel]],Table19[StockOptionLevel],Table19[Id_StockOptionLevel])</f>
        <v>SOL004</v>
      </c>
      <c r="AT66">
        <v>3</v>
      </c>
      <c r="AU66" t="str">
        <f>_xlfn.XLOOKUP(Table1[[#This Row],[StockOptionLevel]],Table19[StockOptionLevel],Table19[Deskripsi])</f>
        <v>Senior/Executive</v>
      </c>
      <c r="AV66">
        <v>17</v>
      </c>
      <c r="AW66">
        <v>2</v>
      </c>
      <c r="AX66" t="str">
        <f>_xlfn.XLOOKUP(Table1[[#This Row],[WorkLifeBalance]],Table20[WorkLifeBalance],Table20[Id_WorkLifeBalance])</f>
        <v>WLB002</v>
      </c>
      <c r="AY66">
        <v>3</v>
      </c>
      <c r="AZ66" t="str">
        <f>_xlfn.XLOOKUP(Table1[[#This Row],[WorkLifeBalance]],Table20[WorkLifeBalance],Table20[Deskripsi])</f>
        <v>Good</v>
      </c>
      <c r="BA66">
        <v>17</v>
      </c>
      <c r="BB66">
        <v>14</v>
      </c>
      <c r="BC66">
        <v>12</v>
      </c>
      <c r="BD66">
        <v>8</v>
      </c>
    </row>
    <row r="67" spans="1:56" x14ac:dyDescent="0.25">
      <c r="A67">
        <v>55</v>
      </c>
      <c r="B67" t="str">
        <f>_xlfn.XLOOKUP(Table1[[#This Row],[Attrition]],Table2[Attrition],Table2[Id_Attrition])</f>
        <v>A002</v>
      </c>
      <c r="C67" t="s">
        <v>33</v>
      </c>
      <c r="D67" t="str">
        <f>_xlfn.XLOOKUP(Table1[[#This Row],[BusinessTravel]],Table5[BusinessTravel],Table5[Id_BusinessTravel])</f>
        <v>BS001</v>
      </c>
      <c r="E67" t="s">
        <v>34</v>
      </c>
      <c r="F67">
        <v>836</v>
      </c>
      <c r="G67" t="str">
        <f>_xlfn.XLOOKUP(Table1[[#This Row],[Department]],Table6[Department],Table6[Id_Departement])</f>
        <v>D002</v>
      </c>
      <c r="H67" t="s">
        <v>38</v>
      </c>
      <c r="I67">
        <v>8</v>
      </c>
      <c r="J67" t="str">
        <f>_xlfn.XLOOKUP(Table1[[#This Row],[Education]],Table8[Education],Table8[Id_Education])</f>
        <v>E003</v>
      </c>
      <c r="K67">
        <v>3</v>
      </c>
      <c r="L67" t="str">
        <f>_xlfn.XLOOKUP(Table1[[#This Row],[EducationField]],Table7[EducationField],Table7[Id_EducationField])</f>
        <v>EF003</v>
      </c>
      <c r="M67" t="s">
        <v>42</v>
      </c>
      <c r="N67" t="str">
        <f>_xlfn.XLOOKUP(Table1[[#This Row],[EmployeeNumber]],Table4[EmployeeNumber],Table4[Id_Employee])</f>
        <v>EMP00066</v>
      </c>
      <c r="O67">
        <v>84</v>
      </c>
      <c r="P67" t="str">
        <f>_xlfn.XLOOKUP(Table1[[#This Row],[EnvironmentSatisfaction]],Table9[EnvironmentSatisfaction],Table9[Id_EnviromentSatisfaction])</f>
        <v>ES004</v>
      </c>
      <c r="Q67">
        <v>4</v>
      </c>
      <c r="R67" t="str">
        <f>_xlfn.XLOOKUP(Table1[[#This Row],[EnvironmentSatisfaction]],Table9[EnvironmentSatisfaction],Table9[Deskripsi])</f>
        <v>Very High</v>
      </c>
      <c r="S67" t="str">
        <f>_xlfn.XLOOKUP(Table1[[#This Row],[Gender]],Table10[Gender],Table10[Id_Gender])</f>
        <v>G001</v>
      </c>
      <c r="T67" t="s">
        <v>45</v>
      </c>
      <c r="U67">
        <v>33</v>
      </c>
      <c r="V67" t="str">
        <f>_xlfn.XLOOKUP(Table1[[#This Row],[JobInvolvement]],Table11[JobInvolvement],Table11[Id_JobInvolvement])</f>
        <v>JI003</v>
      </c>
      <c r="W67">
        <v>3</v>
      </c>
      <c r="X67" t="str">
        <f>_xlfn.XLOOKUP(Table1[[#This Row],[JobLevel]],Table12[JobLevel],Table12[Id_JobLevel])</f>
        <v>JL004</v>
      </c>
      <c r="Y67">
        <v>4</v>
      </c>
      <c r="Z67" t="str">
        <f>_xlfn.XLOOKUP(Table1[[#This Row],[JobRole]],Table13[JobRole],Table13[Id_JobRole])</f>
        <v>JR006</v>
      </c>
      <c r="AA67" t="s">
        <v>52</v>
      </c>
      <c r="AB67" t="str">
        <f>_xlfn.XLOOKUP(Table1[[#This Row],[JobSatisfaction]],Table14[JobSatisfaction],Table14[Id_JobSatisfaction])</f>
        <v>JS003</v>
      </c>
      <c r="AC67">
        <v>3</v>
      </c>
      <c r="AD67" t="str">
        <f>_xlfn.XLOOKUP(Table1[[#This Row],[JobSatisfaction]],Table14[JobSatisfaction],Table14[Deskripsi])</f>
        <v>High</v>
      </c>
      <c r="AE67" t="str">
        <f>_xlfn.XLOOKUP(Table1[[#This Row],[MaritalStatus]],Table15[MaritalStatus],Table15[Id_MaritalStatus])</f>
        <v>MS003</v>
      </c>
      <c r="AF67" t="s">
        <v>57</v>
      </c>
      <c r="AG67">
        <v>14756</v>
      </c>
      <c r="AH67">
        <v>19730</v>
      </c>
      <c r="AI67">
        <v>2</v>
      </c>
      <c r="AJ67" t="str">
        <f>_xlfn.XLOOKUP(Table1[[#This Row],[OverTime]],Table16[OverTime],Table16[Id_OverTime])</f>
        <v>OT001</v>
      </c>
      <c r="AK67" t="s">
        <v>32</v>
      </c>
      <c r="AL67">
        <v>14</v>
      </c>
      <c r="AM67" t="str">
        <f>_xlfn.XLOOKUP(Table1[[#This Row],[PerformanceRating]],Table17[PerformanceRating],Table17[Id_PerformanceRating])</f>
        <v>PR003</v>
      </c>
      <c r="AN67">
        <v>3</v>
      </c>
      <c r="AO67" t="str">
        <f>_xlfn.XLOOKUP(Table1[[#This Row],[PerformanceRating]],Table17[PerformanceRating],Table17[Deskripsi])</f>
        <v>Excellent</v>
      </c>
      <c r="AP67" t="str">
        <f>_xlfn.XLOOKUP(Table1[[#This Row],[RelationshipSatisfaction]],Table18[RelationshipSatisfaction],Table18[Id_RelationshipSatisfaction])</f>
        <v>RS003</v>
      </c>
      <c r="AQ67">
        <v>3</v>
      </c>
      <c r="AR67" t="str">
        <f>_xlfn.XLOOKUP(Table1[[#This Row],[RelationshipSatisfaction]],Table18[RelationshipSatisfaction],Table18[Deskripsi])</f>
        <v>High</v>
      </c>
      <c r="AS67" t="str">
        <f>_xlfn.XLOOKUP(Table1[[#This Row],[StockOptionLevel]],Table19[StockOptionLevel],Table19[Id_StockOptionLevel])</f>
        <v>SOL004</v>
      </c>
      <c r="AT67">
        <v>3</v>
      </c>
      <c r="AU67" t="str">
        <f>_xlfn.XLOOKUP(Table1[[#This Row],[StockOptionLevel]],Table19[StockOptionLevel],Table19[Deskripsi])</f>
        <v>Senior/Executive</v>
      </c>
      <c r="AV67">
        <v>21</v>
      </c>
      <c r="AW67">
        <v>2</v>
      </c>
      <c r="AX67" t="str">
        <f>_xlfn.XLOOKUP(Table1[[#This Row],[WorkLifeBalance]],Table20[WorkLifeBalance],Table20[Id_WorkLifeBalance])</f>
        <v>WLB002</v>
      </c>
      <c r="AY67">
        <v>3</v>
      </c>
      <c r="AZ67" t="str">
        <f>_xlfn.XLOOKUP(Table1[[#This Row],[WorkLifeBalance]],Table20[WorkLifeBalance],Table20[Deskripsi])</f>
        <v>Good</v>
      </c>
      <c r="BA67">
        <v>5</v>
      </c>
      <c r="BB67">
        <v>0</v>
      </c>
      <c r="BC67">
        <v>0</v>
      </c>
      <c r="BD67">
        <v>2</v>
      </c>
    </row>
    <row r="68" spans="1:56" x14ac:dyDescent="0.25">
      <c r="A68">
        <v>36</v>
      </c>
      <c r="B68" t="str">
        <f>_xlfn.XLOOKUP(Table1[[#This Row],[Attrition]],Table2[Attrition],Table2[Id_Attrition])</f>
        <v>A002</v>
      </c>
      <c r="C68" t="s">
        <v>33</v>
      </c>
      <c r="D68" t="str">
        <f>_xlfn.XLOOKUP(Table1[[#This Row],[BusinessTravel]],Table5[BusinessTravel],Table5[Id_BusinessTravel])</f>
        <v>BS002</v>
      </c>
      <c r="E68" t="s">
        <v>35</v>
      </c>
      <c r="F68">
        <v>1195</v>
      </c>
      <c r="G68" t="str">
        <f>_xlfn.XLOOKUP(Table1[[#This Row],[Department]],Table6[Department],Table6[Id_Departement])</f>
        <v>D002</v>
      </c>
      <c r="H68" t="s">
        <v>38</v>
      </c>
      <c r="I68">
        <v>11</v>
      </c>
      <c r="J68" t="str">
        <f>_xlfn.XLOOKUP(Table1[[#This Row],[Education]],Table8[Education],Table8[Id_Education])</f>
        <v>E003</v>
      </c>
      <c r="K68">
        <v>3</v>
      </c>
      <c r="L68" t="str">
        <f>_xlfn.XLOOKUP(Table1[[#This Row],[EducationField]],Table7[EducationField],Table7[Id_EducationField])</f>
        <v>EF001</v>
      </c>
      <c r="M68" t="s">
        <v>40</v>
      </c>
      <c r="N68" t="str">
        <f>_xlfn.XLOOKUP(Table1[[#This Row],[EmployeeNumber]],Table4[EmployeeNumber],Table4[Id_Employee])</f>
        <v>EMP00067</v>
      </c>
      <c r="O68">
        <v>85</v>
      </c>
      <c r="P68" t="str">
        <f>_xlfn.XLOOKUP(Table1[[#This Row],[EnvironmentSatisfaction]],Table9[EnvironmentSatisfaction],Table9[Id_EnviromentSatisfaction])</f>
        <v>ES002</v>
      </c>
      <c r="Q68">
        <v>2</v>
      </c>
      <c r="R68" t="str">
        <f>_xlfn.XLOOKUP(Table1[[#This Row],[EnvironmentSatisfaction]],Table9[EnvironmentSatisfaction],Table9[Deskripsi])</f>
        <v>Medium</v>
      </c>
      <c r="S68" t="str">
        <f>_xlfn.XLOOKUP(Table1[[#This Row],[Gender]],Table10[Gender],Table10[Id_Gender])</f>
        <v>G002</v>
      </c>
      <c r="T68" t="s">
        <v>46</v>
      </c>
      <c r="U68">
        <v>95</v>
      </c>
      <c r="V68" t="str">
        <f>_xlfn.XLOOKUP(Table1[[#This Row],[JobInvolvement]],Table11[JobInvolvement],Table11[Id_JobInvolvement])</f>
        <v>JI002</v>
      </c>
      <c r="W68">
        <v>2</v>
      </c>
      <c r="X68" t="str">
        <f>_xlfn.XLOOKUP(Table1[[#This Row],[JobLevel]],Table12[JobLevel],Table12[Id_JobLevel])</f>
        <v>JL002</v>
      </c>
      <c r="Y68">
        <v>2</v>
      </c>
      <c r="Z68" t="str">
        <f>_xlfn.XLOOKUP(Table1[[#This Row],[JobRole]],Table13[JobRole],Table13[Id_JobRole])</f>
        <v>JR004</v>
      </c>
      <c r="AA68" t="s">
        <v>50</v>
      </c>
      <c r="AB68" t="str">
        <f>_xlfn.XLOOKUP(Table1[[#This Row],[JobSatisfaction]],Table14[JobSatisfaction],Table14[Id_JobSatisfaction])</f>
        <v>JS002</v>
      </c>
      <c r="AC68">
        <v>2</v>
      </c>
      <c r="AD68" t="str">
        <f>_xlfn.XLOOKUP(Table1[[#This Row],[JobSatisfaction]],Table14[JobSatisfaction],Table14[Deskripsi])</f>
        <v>Medium</v>
      </c>
      <c r="AE68" t="str">
        <f>_xlfn.XLOOKUP(Table1[[#This Row],[MaritalStatus]],Table15[MaritalStatus],Table15[Id_MaritalStatus])</f>
        <v>MS001</v>
      </c>
      <c r="AF68" t="s">
        <v>55</v>
      </c>
      <c r="AG68">
        <v>6499</v>
      </c>
      <c r="AH68">
        <v>22656</v>
      </c>
      <c r="AI68">
        <v>1</v>
      </c>
      <c r="AJ68" t="str">
        <f>_xlfn.XLOOKUP(Table1[[#This Row],[OverTime]],Table16[OverTime],Table16[Id_OverTime])</f>
        <v>OT002</v>
      </c>
      <c r="AK68" t="s">
        <v>33</v>
      </c>
      <c r="AL68">
        <v>13</v>
      </c>
      <c r="AM68" t="str">
        <f>_xlfn.XLOOKUP(Table1[[#This Row],[PerformanceRating]],Table17[PerformanceRating],Table17[Id_PerformanceRating])</f>
        <v>PR003</v>
      </c>
      <c r="AN68">
        <v>3</v>
      </c>
      <c r="AO68" t="str">
        <f>_xlfn.XLOOKUP(Table1[[#This Row],[PerformanceRating]],Table17[PerformanceRating],Table17[Deskripsi])</f>
        <v>Excellent</v>
      </c>
      <c r="AP68" t="str">
        <f>_xlfn.XLOOKUP(Table1[[#This Row],[RelationshipSatisfaction]],Table18[RelationshipSatisfaction],Table18[Id_RelationshipSatisfaction])</f>
        <v>RS003</v>
      </c>
      <c r="AQ68">
        <v>3</v>
      </c>
      <c r="AR68" t="str">
        <f>_xlfn.XLOOKUP(Table1[[#This Row],[RelationshipSatisfaction]],Table18[RelationshipSatisfaction],Table18[Deskripsi])</f>
        <v>High</v>
      </c>
      <c r="AS68" t="str">
        <f>_xlfn.XLOOKUP(Table1[[#This Row],[StockOptionLevel]],Table19[StockOptionLevel],Table19[Id_StockOptionLevel])</f>
        <v>SOL001</v>
      </c>
      <c r="AT68">
        <v>0</v>
      </c>
      <c r="AU68" t="str">
        <f>_xlfn.XLOOKUP(Table1[[#This Row],[StockOptionLevel]],Table19[StockOptionLevel],Table19[Deskripsi])</f>
        <v>Non-Eligible</v>
      </c>
      <c r="AV68">
        <v>6</v>
      </c>
      <c r="AW68">
        <v>3</v>
      </c>
      <c r="AX68" t="str">
        <f>_xlfn.XLOOKUP(Table1[[#This Row],[WorkLifeBalance]],Table20[WorkLifeBalance],Table20[Id_WorkLifeBalance])</f>
        <v>WLB002</v>
      </c>
      <c r="AY68">
        <v>3</v>
      </c>
      <c r="AZ68" t="str">
        <f>_xlfn.XLOOKUP(Table1[[#This Row],[WorkLifeBalance]],Table20[WorkLifeBalance],Table20[Deskripsi])</f>
        <v>Good</v>
      </c>
      <c r="BA68">
        <v>6</v>
      </c>
      <c r="BB68">
        <v>5</v>
      </c>
      <c r="BC68">
        <v>0</v>
      </c>
      <c r="BD68">
        <v>3</v>
      </c>
    </row>
    <row r="69" spans="1:56" x14ac:dyDescent="0.25">
      <c r="A69">
        <v>45</v>
      </c>
      <c r="B69" t="str">
        <f>_xlfn.XLOOKUP(Table1[[#This Row],[Attrition]],Table2[Attrition],Table2[Id_Attrition])</f>
        <v>A002</v>
      </c>
      <c r="C69" t="s">
        <v>33</v>
      </c>
      <c r="D69" t="str">
        <f>_xlfn.XLOOKUP(Table1[[#This Row],[BusinessTravel]],Table5[BusinessTravel],Table5[Id_BusinessTravel])</f>
        <v>BS001</v>
      </c>
      <c r="E69" t="s">
        <v>34</v>
      </c>
      <c r="F69">
        <v>1339</v>
      </c>
      <c r="G69" t="str">
        <f>_xlfn.XLOOKUP(Table1[[#This Row],[Department]],Table6[Department],Table6[Id_Departement])</f>
        <v>D002</v>
      </c>
      <c r="H69" t="s">
        <v>38</v>
      </c>
      <c r="I69">
        <v>7</v>
      </c>
      <c r="J69" t="str">
        <f>_xlfn.XLOOKUP(Table1[[#This Row],[Education]],Table8[Education],Table8[Id_Education])</f>
        <v>E003</v>
      </c>
      <c r="K69">
        <v>3</v>
      </c>
      <c r="L69" t="str">
        <f>_xlfn.XLOOKUP(Table1[[#This Row],[EducationField]],Table7[EducationField],Table7[Id_EducationField])</f>
        <v>EF001</v>
      </c>
      <c r="M69" t="s">
        <v>40</v>
      </c>
      <c r="N69" t="str">
        <f>_xlfn.XLOOKUP(Table1[[#This Row],[EmployeeNumber]],Table4[EmployeeNumber],Table4[Id_Employee])</f>
        <v>EMP00068</v>
      </c>
      <c r="O69">
        <v>86</v>
      </c>
      <c r="P69" t="str">
        <f>_xlfn.XLOOKUP(Table1[[#This Row],[EnvironmentSatisfaction]],Table9[EnvironmentSatisfaction],Table9[Id_EnviromentSatisfaction])</f>
        <v>ES002</v>
      </c>
      <c r="Q69">
        <v>2</v>
      </c>
      <c r="R69" t="str">
        <f>_xlfn.XLOOKUP(Table1[[#This Row],[EnvironmentSatisfaction]],Table9[EnvironmentSatisfaction],Table9[Deskripsi])</f>
        <v>Medium</v>
      </c>
      <c r="S69" t="str">
        <f>_xlfn.XLOOKUP(Table1[[#This Row],[Gender]],Table10[Gender],Table10[Id_Gender])</f>
        <v>G002</v>
      </c>
      <c r="T69" t="s">
        <v>46</v>
      </c>
      <c r="U69">
        <v>59</v>
      </c>
      <c r="V69" t="str">
        <f>_xlfn.XLOOKUP(Table1[[#This Row],[JobInvolvement]],Table11[JobInvolvement],Table11[Id_JobInvolvement])</f>
        <v>JI003</v>
      </c>
      <c r="W69">
        <v>3</v>
      </c>
      <c r="X69" t="str">
        <f>_xlfn.XLOOKUP(Table1[[#This Row],[JobLevel]],Table12[JobLevel],Table12[Id_JobLevel])</f>
        <v>JL003</v>
      </c>
      <c r="Y69">
        <v>3</v>
      </c>
      <c r="Z69" t="str">
        <f>_xlfn.XLOOKUP(Table1[[#This Row],[JobRole]],Table13[JobRole],Table13[Id_JobRole])</f>
        <v>JR002</v>
      </c>
      <c r="AA69" t="s">
        <v>48</v>
      </c>
      <c r="AB69" t="str">
        <f>_xlfn.XLOOKUP(Table1[[#This Row],[JobSatisfaction]],Table14[JobSatisfaction],Table14[Id_JobSatisfaction])</f>
        <v>JS001</v>
      </c>
      <c r="AC69">
        <v>1</v>
      </c>
      <c r="AD69" t="str">
        <f>_xlfn.XLOOKUP(Table1[[#This Row],[JobSatisfaction]],Table14[JobSatisfaction],Table14[Deskripsi])</f>
        <v>Low</v>
      </c>
      <c r="AE69" t="str">
        <f>_xlfn.XLOOKUP(Table1[[#This Row],[MaritalStatus]],Table15[MaritalStatus],Table15[Id_MaritalStatus])</f>
        <v>MS003</v>
      </c>
      <c r="AF69" t="s">
        <v>57</v>
      </c>
      <c r="AG69">
        <v>9724</v>
      </c>
      <c r="AH69">
        <v>18787</v>
      </c>
      <c r="AI69">
        <v>2</v>
      </c>
      <c r="AJ69" t="str">
        <f>_xlfn.XLOOKUP(Table1[[#This Row],[OverTime]],Table16[OverTime],Table16[Id_OverTime])</f>
        <v>OT002</v>
      </c>
      <c r="AK69" t="s">
        <v>33</v>
      </c>
      <c r="AL69">
        <v>17</v>
      </c>
      <c r="AM69" t="str">
        <f>_xlfn.XLOOKUP(Table1[[#This Row],[PerformanceRating]],Table17[PerformanceRating],Table17[Id_PerformanceRating])</f>
        <v>PR003</v>
      </c>
      <c r="AN69">
        <v>3</v>
      </c>
      <c r="AO69" t="str">
        <f>_xlfn.XLOOKUP(Table1[[#This Row],[PerformanceRating]],Table17[PerformanceRating],Table17[Deskripsi])</f>
        <v>Excellent</v>
      </c>
      <c r="AP69" t="str">
        <f>_xlfn.XLOOKUP(Table1[[#This Row],[RelationshipSatisfaction]],Table18[RelationshipSatisfaction],Table18[Id_RelationshipSatisfaction])</f>
        <v>RS003</v>
      </c>
      <c r="AQ69">
        <v>3</v>
      </c>
      <c r="AR69" t="str">
        <f>_xlfn.XLOOKUP(Table1[[#This Row],[RelationshipSatisfaction]],Table18[RelationshipSatisfaction],Table18[Deskripsi])</f>
        <v>High</v>
      </c>
      <c r="AS69" t="str">
        <f>_xlfn.XLOOKUP(Table1[[#This Row],[StockOptionLevel]],Table19[StockOptionLevel],Table19[Id_StockOptionLevel])</f>
        <v>SOL002</v>
      </c>
      <c r="AT69">
        <v>1</v>
      </c>
      <c r="AU69" t="str">
        <f>_xlfn.XLOOKUP(Table1[[#This Row],[StockOptionLevel]],Table19[StockOptionLevel],Table19[Deskripsi])</f>
        <v>Standard</v>
      </c>
      <c r="AV69">
        <v>25</v>
      </c>
      <c r="AW69">
        <v>2</v>
      </c>
      <c r="AX69" t="str">
        <f>_xlfn.XLOOKUP(Table1[[#This Row],[WorkLifeBalance]],Table20[WorkLifeBalance],Table20[Id_WorkLifeBalance])</f>
        <v>WLB002</v>
      </c>
      <c r="AY69">
        <v>3</v>
      </c>
      <c r="AZ69" t="str">
        <f>_xlfn.XLOOKUP(Table1[[#This Row],[WorkLifeBalance]],Table20[WorkLifeBalance],Table20[Deskripsi])</f>
        <v>Good</v>
      </c>
      <c r="BA69">
        <v>1</v>
      </c>
      <c r="BB69">
        <v>0</v>
      </c>
      <c r="BC69">
        <v>0</v>
      </c>
      <c r="BD69">
        <v>0</v>
      </c>
    </row>
    <row r="70" spans="1:56" x14ac:dyDescent="0.25">
      <c r="A70">
        <v>35</v>
      </c>
      <c r="B70" t="str">
        <f>_xlfn.XLOOKUP(Table1[[#This Row],[Attrition]],Table2[Attrition],Table2[Id_Attrition])</f>
        <v>A002</v>
      </c>
      <c r="C70" t="s">
        <v>33</v>
      </c>
      <c r="D70" t="str">
        <f>_xlfn.XLOOKUP(Table1[[#This Row],[BusinessTravel]],Table5[BusinessTravel],Table5[Id_BusinessTravel])</f>
        <v>BS002</v>
      </c>
      <c r="E70" t="s">
        <v>35</v>
      </c>
      <c r="F70">
        <v>664</v>
      </c>
      <c r="G70" t="str">
        <f>_xlfn.XLOOKUP(Table1[[#This Row],[Department]],Table6[Department],Table6[Id_Departement])</f>
        <v>D002</v>
      </c>
      <c r="H70" t="s">
        <v>38</v>
      </c>
      <c r="I70">
        <v>1</v>
      </c>
      <c r="J70" t="str">
        <f>_xlfn.XLOOKUP(Table1[[#This Row],[Education]],Table8[Education],Table8[Id_Education])</f>
        <v>E003</v>
      </c>
      <c r="K70">
        <v>3</v>
      </c>
      <c r="L70" t="str">
        <f>_xlfn.XLOOKUP(Table1[[#This Row],[EducationField]],Table7[EducationField],Table7[Id_EducationField])</f>
        <v>EF003</v>
      </c>
      <c r="M70" t="s">
        <v>42</v>
      </c>
      <c r="N70" t="str">
        <f>_xlfn.XLOOKUP(Table1[[#This Row],[EmployeeNumber]],Table4[EmployeeNumber],Table4[Id_Employee])</f>
        <v>EMP00069</v>
      </c>
      <c r="O70">
        <v>88</v>
      </c>
      <c r="P70" t="str">
        <f>_xlfn.XLOOKUP(Table1[[#This Row],[EnvironmentSatisfaction]],Table9[EnvironmentSatisfaction],Table9[Id_EnviromentSatisfaction])</f>
        <v>ES002</v>
      </c>
      <c r="Q70">
        <v>2</v>
      </c>
      <c r="R70" t="str">
        <f>_xlfn.XLOOKUP(Table1[[#This Row],[EnvironmentSatisfaction]],Table9[EnvironmentSatisfaction],Table9[Deskripsi])</f>
        <v>Medium</v>
      </c>
      <c r="S70" t="str">
        <f>_xlfn.XLOOKUP(Table1[[#This Row],[Gender]],Table10[Gender],Table10[Id_Gender])</f>
        <v>G002</v>
      </c>
      <c r="T70" t="s">
        <v>46</v>
      </c>
      <c r="U70">
        <v>79</v>
      </c>
      <c r="V70" t="str">
        <f>_xlfn.XLOOKUP(Table1[[#This Row],[JobInvolvement]],Table11[JobInvolvement],Table11[Id_JobInvolvement])</f>
        <v>JI003</v>
      </c>
      <c r="W70">
        <v>3</v>
      </c>
      <c r="X70" t="str">
        <f>_xlfn.XLOOKUP(Table1[[#This Row],[JobLevel]],Table12[JobLevel],Table12[Id_JobLevel])</f>
        <v>JL001</v>
      </c>
      <c r="Y70">
        <v>1</v>
      </c>
      <c r="Z70" t="str">
        <f>_xlfn.XLOOKUP(Table1[[#This Row],[JobRole]],Table13[JobRole],Table13[Id_JobRole])</f>
        <v>JR002</v>
      </c>
      <c r="AA70" t="s">
        <v>48</v>
      </c>
      <c r="AB70" t="str">
        <f>_xlfn.XLOOKUP(Table1[[#This Row],[JobSatisfaction]],Table14[JobSatisfaction],Table14[Id_JobSatisfaction])</f>
        <v>JS001</v>
      </c>
      <c r="AC70">
        <v>1</v>
      </c>
      <c r="AD70" t="str">
        <f>_xlfn.XLOOKUP(Table1[[#This Row],[JobSatisfaction]],Table14[JobSatisfaction],Table14[Deskripsi])</f>
        <v>Low</v>
      </c>
      <c r="AE70" t="str">
        <f>_xlfn.XLOOKUP(Table1[[#This Row],[MaritalStatus]],Table15[MaritalStatus],Table15[Id_MaritalStatus])</f>
        <v>MS002</v>
      </c>
      <c r="AF70" t="s">
        <v>56</v>
      </c>
      <c r="AG70">
        <v>2194</v>
      </c>
      <c r="AH70">
        <v>5868</v>
      </c>
      <c r="AI70">
        <v>4</v>
      </c>
      <c r="AJ70" t="str">
        <f>_xlfn.XLOOKUP(Table1[[#This Row],[OverTime]],Table16[OverTime],Table16[Id_OverTime])</f>
        <v>OT002</v>
      </c>
      <c r="AK70" t="s">
        <v>33</v>
      </c>
      <c r="AL70">
        <v>13</v>
      </c>
      <c r="AM70" t="str">
        <f>_xlfn.XLOOKUP(Table1[[#This Row],[PerformanceRating]],Table17[PerformanceRating],Table17[Id_PerformanceRating])</f>
        <v>PR003</v>
      </c>
      <c r="AN70">
        <v>3</v>
      </c>
      <c r="AO70" t="str">
        <f>_xlfn.XLOOKUP(Table1[[#This Row],[PerformanceRating]],Table17[PerformanceRating],Table17[Deskripsi])</f>
        <v>Excellent</v>
      </c>
      <c r="AP70" t="str">
        <f>_xlfn.XLOOKUP(Table1[[#This Row],[RelationshipSatisfaction]],Table18[RelationshipSatisfaction],Table18[Id_RelationshipSatisfaction])</f>
        <v>RS004</v>
      </c>
      <c r="AQ70">
        <v>4</v>
      </c>
      <c r="AR70" t="str">
        <f>_xlfn.XLOOKUP(Table1[[#This Row],[RelationshipSatisfaction]],Table18[RelationshipSatisfaction],Table18[Deskripsi])</f>
        <v>Very High</v>
      </c>
      <c r="AS70" t="str">
        <f>_xlfn.XLOOKUP(Table1[[#This Row],[StockOptionLevel]],Table19[StockOptionLevel],Table19[Id_StockOptionLevel])</f>
        <v>SOL002</v>
      </c>
      <c r="AT70">
        <v>1</v>
      </c>
      <c r="AU70" t="str">
        <f>_xlfn.XLOOKUP(Table1[[#This Row],[StockOptionLevel]],Table19[StockOptionLevel],Table19[Deskripsi])</f>
        <v>Standard</v>
      </c>
      <c r="AV70">
        <v>5</v>
      </c>
      <c r="AW70">
        <v>2</v>
      </c>
      <c r="AX70" t="str">
        <f>_xlfn.XLOOKUP(Table1[[#This Row],[WorkLifeBalance]],Table20[WorkLifeBalance],Table20[Id_WorkLifeBalance])</f>
        <v>WLB003</v>
      </c>
      <c r="AY70">
        <v>2</v>
      </c>
      <c r="AZ70" t="str">
        <f>_xlfn.XLOOKUP(Table1[[#This Row],[WorkLifeBalance]],Table20[WorkLifeBalance],Table20[Deskripsi])</f>
        <v>Better</v>
      </c>
      <c r="BA70">
        <v>3</v>
      </c>
      <c r="BB70">
        <v>2</v>
      </c>
      <c r="BC70">
        <v>1</v>
      </c>
      <c r="BD70">
        <v>2</v>
      </c>
    </row>
    <row r="71" spans="1:56" x14ac:dyDescent="0.25">
      <c r="A71">
        <v>36</v>
      </c>
      <c r="B71" t="str">
        <f>_xlfn.XLOOKUP(Table1[[#This Row],[Attrition]],Table2[Attrition],Table2[Id_Attrition])</f>
        <v>A001</v>
      </c>
      <c r="C71" t="s">
        <v>32</v>
      </c>
      <c r="D71" t="str">
        <f>_xlfn.XLOOKUP(Table1[[#This Row],[BusinessTravel]],Table5[BusinessTravel],Table5[Id_BusinessTravel])</f>
        <v>BS001</v>
      </c>
      <c r="E71" t="s">
        <v>34</v>
      </c>
      <c r="F71">
        <v>318</v>
      </c>
      <c r="G71" t="str">
        <f>_xlfn.XLOOKUP(Table1[[#This Row],[Department]],Table6[Department],Table6[Id_Departement])</f>
        <v>D002</v>
      </c>
      <c r="H71" t="s">
        <v>38</v>
      </c>
      <c r="I71">
        <v>9</v>
      </c>
      <c r="J71" t="str">
        <f>_xlfn.XLOOKUP(Table1[[#This Row],[Education]],Table8[Education],Table8[Id_Education])</f>
        <v>E003</v>
      </c>
      <c r="K71">
        <v>3</v>
      </c>
      <c r="L71" t="str">
        <f>_xlfn.XLOOKUP(Table1[[#This Row],[EducationField]],Table7[EducationField],Table7[Id_EducationField])</f>
        <v>EF003</v>
      </c>
      <c r="M71" t="s">
        <v>42</v>
      </c>
      <c r="N71" t="str">
        <f>_xlfn.XLOOKUP(Table1[[#This Row],[EmployeeNumber]],Table4[EmployeeNumber],Table4[Id_Employee])</f>
        <v>EMP00070</v>
      </c>
      <c r="O71">
        <v>90</v>
      </c>
      <c r="P71" t="str">
        <f>_xlfn.XLOOKUP(Table1[[#This Row],[EnvironmentSatisfaction]],Table9[EnvironmentSatisfaction],Table9[Id_EnviromentSatisfaction])</f>
        <v>ES004</v>
      </c>
      <c r="Q71">
        <v>4</v>
      </c>
      <c r="R71" t="str">
        <f>_xlfn.XLOOKUP(Table1[[#This Row],[EnvironmentSatisfaction]],Table9[EnvironmentSatisfaction],Table9[Deskripsi])</f>
        <v>Very High</v>
      </c>
      <c r="S71" t="str">
        <f>_xlfn.XLOOKUP(Table1[[#This Row],[Gender]],Table10[Gender],Table10[Id_Gender])</f>
        <v>G002</v>
      </c>
      <c r="T71" t="s">
        <v>46</v>
      </c>
      <c r="U71">
        <v>79</v>
      </c>
      <c r="V71" t="str">
        <f>_xlfn.XLOOKUP(Table1[[#This Row],[JobInvolvement]],Table11[JobInvolvement],Table11[Id_JobInvolvement])</f>
        <v>JI002</v>
      </c>
      <c r="W71">
        <v>2</v>
      </c>
      <c r="X71" t="str">
        <f>_xlfn.XLOOKUP(Table1[[#This Row],[JobLevel]],Table12[JobLevel],Table12[Id_JobLevel])</f>
        <v>JL001</v>
      </c>
      <c r="Y71">
        <v>1</v>
      </c>
      <c r="Z71" t="str">
        <f>_xlfn.XLOOKUP(Table1[[#This Row],[JobRole]],Table13[JobRole],Table13[Id_JobRole])</f>
        <v>JR002</v>
      </c>
      <c r="AA71" t="s">
        <v>48</v>
      </c>
      <c r="AB71" t="str">
        <f>_xlfn.XLOOKUP(Table1[[#This Row],[JobSatisfaction]],Table14[JobSatisfaction],Table14[Id_JobSatisfaction])</f>
        <v>JS003</v>
      </c>
      <c r="AC71">
        <v>3</v>
      </c>
      <c r="AD71" t="str">
        <f>_xlfn.XLOOKUP(Table1[[#This Row],[JobSatisfaction]],Table14[JobSatisfaction],Table14[Deskripsi])</f>
        <v>High</v>
      </c>
      <c r="AE71" t="str">
        <f>_xlfn.XLOOKUP(Table1[[#This Row],[MaritalStatus]],Table15[MaritalStatus],Table15[Id_MaritalStatus])</f>
        <v>MS002</v>
      </c>
      <c r="AF71" t="s">
        <v>56</v>
      </c>
      <c r="AG71">
        <v>3388</v>
      </c>
      <c r="AH71">
        <v>21777</v>
      </c>
      <c r="AI71">
        <v>0</v>
      </c>
      <c r="AJ71" t="str">
        <f>_xlfn.XLOOKUP(Table1[[#This Row],[OverTime]],Table16[OverTime],Table16[Id_OverTime])</f>
        <v>OT001</v>
      </c>
      <c r="AK71" t="s">
        <v>32</v>
      </c>
      <c r="AL71">
        <v>17</v>
      </c>
      <c r="AM71" t="str">
        <f>_xlfn.XLOOKUP(Table1[[#This Row],[PerformanceRating]],Table17[PerformanceRating],Table17[Id_PerformanceRating])</f>
        <v>PR003</v>
      </c>
      <c r="AN71">
        <v>3</v>
      </c>
      <c r="AO71" t="str">
        <f>_xlfn.XLOOKUP(Table1[[#This Row],[PerformanceRating]],Table17[PerformanceRating],Table17[Deskripsi])</f>
        <v>Excellent</v>
      </c>
      <c r="AP71" t="str">
        <f>_xlfn.XLOOKUP(Table1[[#This Row],[RelationshipSatisfaction]],Table18[RelationshipSatisfaction],Table18[Id_RelationshipSatisfaction])</f>
        <v>RS001</v>
      </c>
      <c r="AQ71">
        <v>1</v>
      </c>
      <c r="AR71" t="str">
        <f>_xlfn.XLOOKUP(Table1[[#This Row],[RelationshipSatisfaction]],Table18[RelationshipSatisfaction],Table18[Deskripsi])</f>
        <v>Low</v>
      </c>
      <c r="AS71" t="str">
        <f>_xlfn.XLOOKUP(Table1[[#This Row],[StockOptionLevel]],Table19[StockOptionLevel],Table19[Id_StockOptionLevel])</f>
        <v>SOL002</v>
      </c>
      <c r="AT71">
        <v>1</v>
      </c>
      <c r="AU71" t="str">
        <f>_xlfn.XLOOKUP(Table1[[#This Row],[StockOptionLevel]],Table19[StockOptionLevel],Table19[Deskripsi])</f>
        <v>Standard</v>
      </c>
      <c r="AV71">
        <v>2</v>
      </c>
      <c r="AW71">
        <v>0</v>
      </c>
      <c r="AX71" t="str">
        <f>_xlfn.XLOOKUP(Table1[[#This Row],[WorkLifeBalance]],Table20[WorkLifeBalance],Table20[Id_WorkLifeBalance])</f>
        <v>WLB003</v>
      </c>
      <c r="AY71">
        <v>2</v>
      </c>
      <c r="AZ71" t="str">
        <f>_xlfn.XLOOKUP(Table1[[#This Row],[WorkLifeBalance]],Table20[WorkLifeBalance],Table20[Deskripsi])</f>
        <v>Better</v>
      </c>
      <c r="BA71">
        <v>1</v>
      </c>
      <c r="BB71">
        <v>0</v>
      </c>
      <c r="BC71">
        <v>0</v>
      </c>
      <c r="BD71">
        <v>0</v>
      </c>
    </row>
    <row r="72" spans="1:56" x14ac:dyDescent="0.25">
      <c r="A72">
        <v>59</v>
      </c>
      <c r="B72" t="str">
        <f>_xlfn.XLOOKUP(Table1[[#This Row],[Attrition]],Table2[Attrition],Table2[Id_Attrition])</f>
        <v>A002</v>
      </c>
      <c r="C72" t="s">
        <v>33</v>
      </c>
      <c r="D72" t="str">
        <f>_xlfn.XLOOKUP(Table1[[#This Row],[BusinessTravel]],Table5[BusinessTravel],Table5[Id_BusinessTravel])</f>
        <v>BS002</v>
      </c>
      <c r="E72" t="s">
        <v>35</v>
      </c>
      <c r="F72">
        <v>1225</v>
      </c>
      <c r="G72" t="str">
        <f>_xlfn.XLOOKUP(Table1[[#This Row],[Department]],Table6[Department],Table6[Id_Departement])</f>
        <v>D001</v>
      </c>
      <c r="H72" t="s">
        <v>37</v>
      </c>
      <c r="I72">
        <v>1</v>
      </c>
      <c r="J72" t="str">
        <f>_xlfn.XLOOKUP(Table1[[#This Row],[Education]],Table8[Education],Table8[Id_Education])</f>
        <v>E001</v>
      </c>
      <c r="K72">
        <v>1</v>
      </c>
      <c r="L72" t="str">
        <f>_xlfn.XLOOKUP(Table1[[#This Row],[EducationField]],Table7[EducationField],Table7[Id_EducationField])</f>
        <v>EF001</v>
      </c>
      <c r="M72" t="s">
        <v>40</v>
      </c>
      <c r="N72" t="str">
        <f>_xlfn.XLOOKUP(Table1[[#This Row],[EmployeeNumber]],Table4[EmployeeNumber],Table4[Id_Employee])</f>
        <v>EMP00071</v>
      </c>
      <c r="O72">
        <v>91</v>
      </c>
      <c r="P72" t="str">
        <f>_xlfn.XLOOKUP(Table1[[#This Row],[EnvironmentSatisfaction]],Table9[EnvironmentSatisfaction],Table9[Id_EnviromentSatisfaction])</f>
        <v>ES001</v>
      </c>
      <c r="Q72">
        <v>1</v>
      </c>
      <c r="R72" t="str">
        <f>_xlfn.XLOOKUP(Table1[[#This Row],[EnvironmentSatisfaction]],Table9[EnvironmentSatisfaction],Table9[Deskripsi])</f>
        <v>Low</v>
      </c>
      <c r="S72" t="str">
        <f>_xlfn.XLOOKUP(Table1[[#This Row],[Gender]],Table10[Gender],Table10[Id_Gender])</f>
        <v>G001</v>
      </c>
      <c r="T72" t="s">
        <v>45</v>
      </c>
      <c r="U72">
        <v>57</v>
      </c>
      <c r="V72" t="str">
        <f>_xlfn.XLOOKUP(Table1[[#This Row],[JobInvolvement]],Table11[JobInvolvement],Table11[Id_JobInvolvement])</f>
        <v>JI002</v>
      </c>
      <c r="W72">
        <v>2</v>
      </c>
      <c r="X72" t="str">
        <f>_xlfn.XLOOKUP(Table1[[#This Row],[JobLevel]],Table12[JobLevel],Table12[Id_JobLevel])</f>
        <v>JL002</v>
      </c>
      <c r="Y72">
        <v>2</v>
      </c>
      <c r="Z72" t="str">
        <f>_xlfn.XLOOKUP(Table1[[#This Row],[JobRole]],Table13[JobRole],Table13[Id_JobRole])</f>
        <v>JR001</v>
      </c>
      <c r="AA72" t="s">
        <v>47</v>
      </c>
      <c r="AB72" t="str">
        <f>_xlfn.XLOOKUP(Table1[[#This Row],[JobSatisfaction]],Table14[JobSatisfaction],Table14[Id_JobSatisfaction])</f>
        <v>JS003</v>
      </c>
      <c r="AC72">
        <v>3</v>
      </c>
      <c r="AD72" t="str">
        <f>_xlfn.XLOOKUP(Table1[[#This Row],[JobSatisfaction]],Table14[JobSatisfaction],Table14[Deskripsi])</f>
        <v>High</v>
      </c>
      <c r="AE72" t="str">
        <f>_xlfn.XLOOKUP(Table1[[#This Row],[MaritalStatus]],Table15[MaritalStatus],Table15[Id_MaritalStatus])</f>
        <v>MS001</v>
      </c>
      <c r="AF72" t="s">
        <v>55</v>
      </c>
      <c r="AG72">
        <v>5473</v>
      </c>
      <c r="AH72">
        <v>24668</v>
      </c>
      <c r="AI72">
        <v>7</v>
      </c>
      <c r="AJ72" t="str">
        <f>_xlfn.XLOOKUP(Table1[[#This Row],[OverTime]],Table16[OverTime],Table16[Id_OverTime])</f>
        <v>OT002</v>
      </c>
      <c r="AK72" t="s">
        <v>33</v>
      </c>
      <c r="AL72">
        <v>11</v>
      </c>
      <c r="AM72" t="str">
        <f>_xlfn.XLOOKUP(Table1[[#This Row],[PerformanceRating]],Table17[PerformanceRating],Table17[Id_PerformanceRating])</f>
        <v>PR003</v>
      </c>
      <c r="AN72">
        <v>3</v>
      </c>
      <c r="AO72" t="str">
        <f>_xlfn.XLOOKUP(Table1[[#This Row],[PerformanceRating]],Table17[PerformanceRating],Table17[Deskripsi])</f>
        <v>Excellent</v>
      </c>
      <c r="AP72" t="str">
        <f>_xlfn.XLOOKUP(Table1[[#This Row],[RelationshipSatisfaction]],Table18[RelationshipSatisfaction],Table18[Id_RelationshipSatisfaction])</f>
        <v>RS004</v>
      </c>
      <c r="AQ72">
        <v>4</v>
      </c>
      <c r="AR72" t="str">
        <f>_xlfn.XLOOKUP(Table1[[#This Row],[RelationshipSatisfaction]],Table18[RelationshipSatisfaction],Table18[Deskripsi])</f>
        <v>Very High</v>
      </c>
      <c r="AS72" t="str">
        <f>_xlfn.XLOOKUP(Table1[[#This Row],[StockOptionLevel]],Table19[StockOptionLevel],Table19[Id_StockOptionLevel])</f>
        <v>SOL001</v>
      </c>
      <c r="AT72">
        <v>0</v>
      </c>
      <c r="AU72" t="str">
        <f>_xlfn.XLOOKUP(Table1[[#This Row],[StockOptionLevel]],Table19[StockOptionLevel],Table19[Deskripsi])</f>
        <v>Non-Eligible</v>
      </c>
      <c r="AV72">
        <v>20</v>
      </c>
      <c r="AW72">
        <v>2</v>
      </c>
      <c r="AX72" t="str">
        <f>_xlfn.XLOOKUP(Table1[[#This Row],[WorkLifeBalance]],Table20[WorkLifeBalance],Table20[Id_WorkLifeBalance])</f>
        <v>WLB003</v>
      </c>
      <c r="AY72">
        <v>2</v>
      </c>
      <c r="AZ72" t="str">
        <f>_xlfn.XLOOKUP(Table1[[#This Row],[WorkLifeBalance]],Table20[WorkLifeBalance],Table20[Deskripsi])</f>
        <v>Better</v>
      </c>
      <c r="BA72">
        <v>4</v>
      </c>
      <c r="BB72">
        <v>3</v>
      </c>
      <c r="BC72">
        <v>1</v>
      </c>
      <c r="BD72">
        <v>3</v>
      </c>
    </row>
    <row r="73" spans="1:56" x14ac:dyDescent="0.25">
      <c r="A73">
        <v>29</v>
      </c>
      <c r="B73" t="str">
        <f>_xlfn.XLOOKUP(Table1[[#This Row],[Attrition]],Table2[Attrition],Table2[Id_Attrition])</f>
        <v>A002</v>
      </c>
      <c r="C73" t="s">
        <v>33</v>
      </c>
      <c r="D73" t="str">
        <f>_xlfn.XLOOKUP(Table1[[#This Row],[BusinessTravel]],Table5[BusinessTravel],Table5[Id_BusinessTravel])</f>
        <v>BS001</v>
      </c>
      <c r="E73" t="s">
        <v>34</v>
      </c>
      <c r="F73">
        <v>1328</v>
      </c>
      <c r="G73" t="str">
        <f>_xlfn.XLOOKUP(Table1[[#This Row],[Department]],Table6[Department],Table6[Id_Departement])</f>
        <v>D002</v>
      </c>
      <c r="H73" t="s">
        <v>38</v>
      </c>
      <c r="I73">
        <v>2</v>
      </c>
      <c r="J73" t="str">
        <f>_xlfn.XLOOKUP(Table1[[#This Row],[Education]],Table8[Education],Table8[Id_Education])</f>
        <v>E003</v>
      </c>
      <c r="K73">
        <v>3</v>
      </c>
      <c r="L73" t="str">
        <f>_xlfn.XLOOKUP(Table1[[#This Row],[EducationField]],Table7[EducationField],Table7[Id_EducationField])</f>
        <v>EF001</v>
      </c>
      <c r="M73" t="s">
        <v>40</v>
      </c>
      <c r="N73" t="str">
        <f>_xlfn.XLOOKUP(Table1[[#This Row],[EmployeeNumber]],Table4[EmployeeNumber],Table4[Id_Employee])</f>
        <v>EMP00072</v>
      </c>
      <c r="O73">
        <v>94</v>
      </c>
      <c r="P73" t="str">
        <f>_xlfn.XLOOKUP(Table1[[#This Row],[EnvironmentSatisfaction]],Table9[EnvironmentSatisfaction],Table9[Id_EnviromentSatisfaction])</f>
        <v>ES003</v>
      </c>
      <c r="Q73">
        <v>3</v>
      </c>
      <c r="R73" t="str">
        <f>_xlfn.XLOOKUP(Table1[[#This Row],[EnvironmentSatisfaction]],Table9[EnvironmentSatisfaction],Table9[Deskripsi])</f>
        <v>High</v>
      </c>
      <c r="S73" t="str">
        <f>_xlfn.XLOOKUP(Table1[[#This Row],[Gender]],Table10[Gender],Table10[Id_Gender])</f>
        <v>G002</v>
      </c>
      <c r="T73" t="s">
        <v>46</v>
      </c>
      <c r="U73">
        <v>76</v>
      </c>
      <c r="V73" t="str">
        <f>_xlfn.XLOOKUP(Table1[[#This Row],[JobInvolvement]],Table11[JobInvolvement],Table11[Id_JobInvolvement])</f>
        <v>JI003</v>
      </c>
      <c r="W73">
        <v>3</v>
      </c>
      <c r="X73" t="str">
        <f>_xlfn.XLOOKUP(Table1[[#This Row],[JobLevel]],Table12[JobLevel],Table12[Id_JobLevel])</f>
        <v>JL001</v>
      </c>
      <c r="Y73">
        <v>1</v>
      </c>
      <c r="Z73" t="str">
        <f>_xlfn.XLOOKUP(Table1[[#This Row],[JobRole]],Table13[JobRole],Table13[Id_JobRole])</f>
        <v>JR002</v>
      </c>
      <c r="AA73" t="s">
        <v>48</v>
      </c>
      <c r="AB73" t="str">
        <f>_xlfn.XLOOKUP(Table1[[#This Row],[JobSatisfaction]],Table14[JobSatisfaction],Table14[Id_JobSatisfaction])</f>
        <v>JS002</v>
      </c>
      <c r="AC73">
        <v>2</v>
      </c>
      <c r="AD73" t="str">
        <f>_xlfn.XLOOKUP(Table1[[#This Row],[JobSatisfaction]],Table14[JobSatisfaction],Table14[Deskripsi])</f>
        <v>Medium</v>
      </c>
      <c r="AE73" t="str">
        <f>_xlfn.XLOOKUP(Table1[[#This Row],[MaritalStatus]],Table15[MaritalStatus],Table15[Id_MaritalStatus])</f>
        <v>MS002</v>
      </c>
      <c r="AF73" t="s">
        <v>56</v>
      </c>
      <c r="AG73">
        <v>2703</v>
      </c>
      <c r="AH73">
        <v>4956</v>
      </c>
      <c r="AI73">
        <v>0</v>
      </c>
      <c r="AJ73" t="str">
        <f>_xlfn.XLOOKUP(Table1[[#This Row],[OverTime]],Table16[OverTime],Table16[Id_OverTime])</f>
        <v>OT002</v>
      </c>
      <c r="AK73" t="s">
        <v>33</v>
      </c>
      <c r="AL73">
        <v>23</v>
      </c>
      <c r="AM73" t="str">
        <f>_xlfn.XLOOKUP(Table1[[#This Row],[PerformanceRating]],Table17[PerformanceRating],Table17[Id_PerformanceRating])</f>
        <v>PR004</v>
      </c>
      <c r="AN73">
        <v>4</v>
      </c>
      <c r="AO73" t="str">
        <f>_xlfn.XLOOKUP(Table1[[#This Row],[PerformanceRating]],Table17[PerformanceRating],Table17[Deskripsi])</f>
        <v>Outstanding</v>
      </c>
      <c r="AP73" t="str">
        <f>_xlfn.XLOOKUP(Table1[[#This Row],[RelationshipSatisfaction]],Table18[RelationshipSatisfaction],Table18[Id_RelationshipSatisfaction])</f>
        <v>RS004</v>
      </c>
      <c r="AQ73">
        <v>4</v>
      </c>
      <c r="AR73" t="str">
        <f>_xlfn.XLOOKUP(Table1[[#This Row],[RelationshipSatisfaction]],Table18[RelationshipSatisfaction],Table18[Deskripsi])</f>
        <v>Very High</v>
      </c>
      <c r="AS73" t="str">
        <f>_xlfn.XLOOKUP(Table1[[#This Row],[StockOptionLevel]],Table19[StockOptionLevel],Table19[Id_StockOptionLevel])</f>
        <v>SOL002</v>
      </c>
      <c r="AT73">
        <v>1</v>
      </c>
      <c r="AU73" t="str">
        <f>_xlfn.XLOOKUP(Table1[[#This Row],[StockOptionLevel]],Table19[StockOptionLevel],Table19[Deskripsi])</f>
        <v>Standard</v>
      </c>
      <c r="AV73">
        <v>6</v>
      </c>
      <c r="AW73">
        <v>3</v>
      </c>
      <c r="AX73" t="str">
        <f>_xlfn.XLOOKUP(Table1[[#This Row],[WorkLifeBalance]],Table20[WorkLifeBalance],Table20[Id_WorkLifeBalance])</f>
        <v>WLB002</v>
      </c>
      <c r="AY73">
        <v>3</v>
      </c>
      <c r="AZ73" t="str">
        <f>_xlfn.XLOOKUP(Table1[[#This Row],[WorkLifeBalance]],Table20[WorkLifeBalance],Table20[Deskripsi])</f>
        <v>Good</v>
      </c>
      <c r="BA73">
        <v>5</v>
      </c>
      <c r="BB73">
        <v>4</v>
      </c>
      <c r="BC73">
        <v>0</v>
      </c>
      <c r="BD73">
        <v>4</v>
      </c>
    </row>
    <row r="74" spans="1:56" x14ac:dyDescent="0.25">
      <c r="A74">
        <v>31</v>
      </c>
      <c r="B74" t="str">
        <f>_xlfn.XLOOKUP(Table1[[#This Row],[Attrition]],Table2[Attrition],Table2[Id_Attrition])</f>
        <v>A002</v>
      </c>
      <c r="C74" t="s">
        <v>33</v>
      </c>
      <c r="D74" t="str">
        <f>_xlfn.XLOOKUP(Table1[[#This Row],[BusinessTravel]],Table5[BusinessTravel],Table5[Id_BusinessTravel])</f>
        <v>BS001</v>
      </c>
      <c r="E74" t="s">
        <v>34</v>
      </c>
      <c r="F74">
        <v>1082</v>
      </c>
      <c r="G74" t="str">
        <f>_xlfn.XLOOKUP(Table1[[#This Row],[Department]],Table6[Department],Table6[Id_Departement])</f>
        <v>D002</v>
      </c>
      <c r="H74" t="s">
        <v>38</v>
      </c>
      <c r="I74">
        <v>1</v>
      </c>
      <c r="J74" t="str">
        <f>_xlfn.XLOOKUP(Table1[[#This Row],[Education]],Table8[Education],Table8[Id_Education])</f>
        <v>E004</v>
      </c>
      <c r="K74">
        <v>4</v>
      </c>
      <c r="L74" t="str">
        <f>_xlfn.XLOOKUP(Table1[[#This Row],[EducationField]],Table7[EducationField],Table7[Id_EducationField])</f>
        <v>EF003</v>
      </c>
      <c r="M74" t="s">
        <v>42</v>
      </c>
      <c r="N74" t="str">
        <f>_xlfn.XLOOKUP(Table1[[#This Row],[EmployeeNumber]],Table4[EmployeeNumber],Table4[Id_Employee])</f>
        <v>EMP00073</v>
      </c>
      <c r="O74">
        <v>95</v>
      </c>
      <c r="P74" t="str">
        <f>_xlfn.XLOOKUP(Table1[[#This Row],[EnvironmentSatisfaction]],Table9[EnvironmentSatisfaction],Table9[Id_EnviromentSatisfaction])</f>
        <v>ES003</v>
      </c>
      <c r="Q74">
        <v>3</v>
      </c>
      <c r="R74" t="str">
        <f>_xlfn.XLOOKUP(Table1[[#This Row],[EnvironmentSatisfaction]],Table9[EnvironmentSatisfaction],Table9[Deskripsi])</f>
        <v>High</v>
      </c>
      <c r="S74" t="str">
        <f>_xlfn.XLOOKUP(Table1[[#This Row],[Gender]],Table10[Gender],Table10[Id_Gender])</f>
        <v>G002</v>
      </c>
      <c r="T74" t="s">
        <v>46</v>
      </c>
      <c r="U74">
        <v>87</v>
      </c>
      <c r="V74" t="str">
        <f>_xlfn.XLOOKUP(Table1[[#This Row],[JobInvolvement]],Table11[JobInvolvement],Table11[Id_JobInvolvement])</f>
        <v>JI003</v>
      </c>
      <c r="W74">
        <v>3</v>
      </c>
      <c r="X74" t="str">
        <f>_xlfn.XLOOKUP(Table1[[#This Row],[JobLevel]],Table12[JobLevel],Table12[Id_JobLevel])</f>
        <v>JL001</v>
      </c>
      <c r="Y74">
        <v>1</v>
      </c>
      <c r="Z74" t="str">
        <f>_xlfn.XLOOKUP(Table1[[#This Row],[JobRole]],Table13[JobRole],Table13[Id_JobRole])</f>
        <v>JR002</v>
      </c>
      <c r="AA74" t="s">
        <v>48</v>
      </c>
      <c r="AB74" t="str">
        <f>_xlfn.XLOOKUP(Table1[[#This Row],[JobSatisfaction]],Table14[JobSatisfaction],Table14[Id_JobSatisfaction])</f>
        <v>JS002</v>
      </c>
      <c r="AC74">
        <v>2</v>
      </c>
      <c r="AD74" t="str">
        <f>_xlfn.XLOOKUP(Table1[[#This Row],[JobSatisfaction]],Table14[JobSatisfaction],Table14[Deskripsi])</f>
        <v>Medium</v>
      </c>
      <c r="AE74" t="str">
        <f>_xlfn.XLOOKUP(Table1[[#This Row],[MaritalStatus]],Table15[MaritalStatus],Table15[Id_MaritalStatus])</f>
        <v>MS001</v>
      </c>
      <c r="AF74" t="s">
        <v>55</v>
      </c>
      <c r="AG74">
        <v>2501</v>
      </c>
      <c r="AH74">
        <v>18775</v>
      </c>
      <c r="AI74">
        <v>1</v>
      </c>
      <c r="AJ74" t="str">
        <f>_xlfn.XLOOKUP(Table1[[#This Row],[OverTime]],Table16[OverTime],Table16[Id_OverTime])</f>
        <v>OT002</v>
      </c>
      <c r="AK74" t="s">
        <v>33</v>
      </c>
      <c r="AL74">
        <v>17</v>
      </c>
      <c r="AM74" t="str">
        <f>_xlfn.XLOOKUP(Table1[[#This Row],[PerformanceRating]],Table17[PerformanceRating],Table17[Id_PerformanceRating])</f>
        <v>PR003</v>
      </c>
      <c r="AN74">
        <v>3</v>
      </c>
      <c r="AO74" t="str">
        <f>_xlfn.XLOOKUP(Table1[[#This Row],[PerformanceRating]],Table17[PerformanceRating],Table17[Deskripsi])</f>
        <v>Excellent</v>
      </c>
      <c r="AP74" t="str">
        <f>_xlfn.XLOOKUP(Table1[[#This Row],[RelationshipSatisfaction]],Table18[RelationshipSatisfaction],Table18[Id_RelationshipSatisfaction])</f>
        <v>RS002</v>
      </c>
      <c r="AQ74">
        <v>2</v>
      </c>
      <c r="AR74" t="str">
        <f>_xlfn.XLOOKUP(Table1[[#This Row],[RelationshipSatisfaction]],Table18[RelationshipSatisfaction],Table18[Deskripsi])</f>
        <v>Medium</v>
      </c>
      <c r="AS74" t="str">
        <f>_xlfn.XLOOKUP(Table1[[#This Row],[StockOptionLevel]],Table19[StockOptionLevel],Table19[Id_StockOptionLevel])</f>
        <v>SOL001</v>
      </c>
      <c r="AT74">
        <v>0</v>
      </c>
      <c r="AU74" t="str">
        <f>_xlfn.XLOOKUP(Table1[[#This Row],[StockOptionLevel]],Table19[StockOptionLevel],Table19[Deskripsi])</f>
        <v>Non-Eligible</v>
      </c>
      <c r="AV74">
        <v>1</v>
      </c>
      <c r="AW74">
        <v>4</v>
      </c>
      <c r="AX74" t="str">
        <f>_xlfn.XLOOKUP(Table1[[#This Row],[WorkLifeBalance]],Table20[WorkLifeBalance],Table20[Id_WorkLifeBalance])</f>
        <v>WLB002</v>
      </c>
      <c r="AY74">
        <v>3</v>
      </c>
      <c r="AZ74" t="str">
        <f>_xlfn.XLOOKUP(Table1[[#This Row],[WorkLifeBalance]],Table20[WorkLifeBalance],Table20[Deskripsi])</f>
        <v>Good</v>
      </c>
      <c r="BA74">
        <v>1</v>
      </c>
      <c r="BB74">
        <v>1</v>
      </c>
      <c r="BC74">
        <v>1</v>
      </c>
      <c r="BD74">
        <v>0</v>
      </c>
    </row>
    <row r="75" spans="1:56" x14ac:dyDescent="0.25">
      <c r="A75">
        <v>32</v>
      </c>
      <c r="B75" t="str">
        <f>_xlfn.XLOOKUP(Table1[[#This Row],[Attrition]],Table2[Attrition],Table2[Id_Attrition])</f>
        <v>A002</v>
      </c>
      <c r="C75" t="s">
        <v>33</v>
      </c>
      <c r="D75" t="str">
        <f>_xlfn.XLOOKUP(Table1[[#This Row],[BusinessTravel]],Table5[BusinessTravel],Table5[Id_BusinessTravel])</f>
        <v>BS001</v>
      </c>
      <c r="E75" t="s">
        <v>34</v>
      </c>
      <c r="F75">
        <v>548</v>
      </c>
      <c r="G75" t="str">
        <f>_xlfn.XLOOKUP(Table1[[#This Row],[Department]],Table6[Department],Table6[Id_Departement])</f>
        <v>D002</v>
      </c>
      <c r="H75" t="s">
        <v>38</v>
      </c>
      <c r="I75">
        <v>1</v>
      </c>
      <c r="J75" t="str">
        <f>_xlfn.XLOOKUP(Table1[[#This Row],[Education]],Table8[Education],Table8[Id_Education])</f>
        <v>E003</v>
      </c>
      <c r="K75">
        <v>3</v>
      </c>
      <c r="L75" t="str">
        <f>_xlfn.XLOOKUP(Table1[[#This Row],[EducationField]],Table7[EducationField],Table7[Id_EducationField])</f>
        <v>EF001</v>
      </c>
      <c r="M75" t="s">
        <v>40</v>
      </c>
      <c r="N75" t="str">
        <f>_xlfn.XLOOKUP(Table1[[#This Row],[EmployeeNumber]],Table4[EmployeeNumber],Table4[Id_Employee])</f>
        <v>EMP00074</v>
      </c>
      <c r="O75">
        <v>96</v>
      </c>
      <c r="P75" t="str">
        <f>_xlfn.XLOOKUP(Table1[[#This Row],[EnvironmentSatisfaction]],Table9[EnvironmentSatisfaction],Table9[Id_EnviromentSatisfaction])</f>
        <v>ES002</v>
      </c>
      <c r="Q75">
        <v>2</v>
      </c>
      <c r="R75" t="str">
        <f>_xlfn.XLOOKUP(Table1[[#This Row],[EnvironmentSatisfaction]],Table9[EnvironmentSatisfaction],Table9[Deskripsi])</f>
        <v>Medium</v>
      </c>
      <c r="S75" t="str">
        <f>_xlfn.XLOOKUP(Table1[[#This Row],[Gender]],Table10[Gender],Table10[Id_Gender])</f>
        <v>G002</v>
      </c>
      <c r="T75" t="s">
        <v>46</v>
      </c>
      <c r="U75">
        <v>66</v>
      </c>
      <c r="V75" t="str">
        <f>_xlfn.XLOOKUP(Table1[[#This Row],[JobInvolvement]],Table11[JobInvolvement],Table11[Id_JobInvolvement])</f>
        <v>JI003</v>
      </c>
      <c r="W75">
        <v>3</v>
      </c>
      <c r="X75" t="str">
        <f>_xlfn.XLOOKUP(Table1[[#This Row],[JobLevel]],Table12[JobLevel],Table12[Id_JobLevel])</f>
        <v>JL002</v>
      </c>
      <c r="Y75">
        <v>2</v>
      </c>
      <c r="Z75" t="str">
        <f>_xlfn.XLOOKUP(Table1[[#This Row],[JobRole]],Table13[JobRole],Table13[Id_JobRole])</f>
        <v>JR002</v>
      </c>
      <c r="AA75" t="s">
        <v>48</v>
      </c>
      <c r="AB75" t="str">
        <f>_xlfn.XLOOKUP(Table1[[#This Row],[JobSatisfaction]],Table14[JobSatisfaction],Table14[Id_JobSatisfaction])</f>
        <v>JS002</v>
      </c>
      <c r="AC75">
        <v>2</v>
      </c>
      <c r="AD75" t="str">
        <f>_xlfn.XLOOKUP(Table1[[#This Row],[JobSatisfaction]],Table14[JobSatisfaction],Table14[Deskripsi])</f>
        <v>Medium</v>
      </c>
      <c r="AE75" t="str">
        <f>_xlfn.XLOOKUP(Table1[[#This Row],[MaritalStatus]],Table15[MaritalStatus],Table15[Id_MaritalStatus])</f>
        <v>MS002</v>
      </c>
      <c r="AF75" t="s">
        <v>56</v>
      </c>
      <c r="AG75">
        <v>6220</v>
      </c>
      <c r="AH75">
        <v>7346</v>
      </c>
      <c r="AI75">
        <v>1</v>
      </c>
      <c r="AJ75" t="str">
        <f>_xlfn.XLOOKUP(Table1[[#This Row],[OverTime]],Table16[OverTime],Table16[Id_OverTime])</f>
        <v>OT002</v>
      </c>
      <c r="AK75" t="s">
        <v>33</v>
      </c>
      <c r="AL75">
        <v>17</v>
      </c>
      <c r="AM75" t="str">
        <f>_xlfn.XLOOKUP(Table1[[#This Row],[PerformanceRating]],Table17[PerformanceRating],Table17[Id_PerformanceRating])</f>
        <v>PR003</v>
      </c>
      <c r="AN75">
        <v>3</v>
      </c>
      <c r="AO75" t="str">
        <f>_xlfn.XLOOKUP(Table1[[#This Row],[PerformanceRating]],Table17[PerformanceRating],Table17[Deskripsi])</f>
        <v>Excellent</v>
      </c>
      <c r="AP75" t="str">
        <f>_xlfn.XLOOKUP(Table1[[#This Row],[RelationshipSatisfaction]],Table18[RelationshipSatisfaction],Table18[Id_RelationshipSatisfaction])</f>
        <v>RS002</v>
      </c>
      <c r="AQ75">
        <v>2</v>
      </c>
      <c r="AR75" t="str">
        <f>_xlfn.XLOOKUP(Table1[[#This Row],[RelationshipSatisfaction]],Table18[RelationshipSatisfaction],Table18[Deskripsi])</f>
        <v>Medium</v>
      </c>
      <c r="AS75" t="str">
        <f>_xlfn.XLOOKUP(Table1[[#This Row],[StockOptionLevel]],Table19[StockOptionLevel],Table19[Id_StockOptionLevel])</f>
        <v>SOL003</v>
      </c>
      <c r="AT75">
        <v>2</v>
      </c>
      <c r="AU75" t="str">
        <f>_xlfn.XLOOKUP(Table1[[#This Row],[StockOptionLevel]],Table19[StockOptionLevel],Table19[Deskripsi])</f>
        <v>Intermediate</v>
      </c>
      <c r="AV75">
        <v>10</v>
      </c>
      <c r="AW75">
        <v>3</v>
      </c>
      <c r="AX75" t="str">
        <f>_xlfn.XLOOKUP(Table1[[#This Row],[WorkLifeBalance]],Table20[WorkLifeBalance],Table20[Id_WorkLifeBalance])</f>
        <v>WLB002</v>
      </c>
      <c r="AY75">
        <v>3</v>
      </c>
      <c r="AZ75" t="str">
        <f>_xlfn.XLOOKUP(Table1[[#This Row],[WorkLifeBalance]],Table20[WorkLifeBalance],Table20[Deskripsi])</f>
        <v>Good</v>
      </c>
      <c r="BA75">
        <v>10</v>
      </c>
      <c r="BB75">
        <v>4</v>
      </c>
      <c r="BC75">
        <v>0</v>
      </c>
      <c r="BD75">
        <v>9</v>
      </c>
    </row>
    <row r="76" spans="1:56" x14ac:dyDescent="0.25">
      <c r="A76">
        <v>36</v>
      </c>
      <c r="B76" t="str">
        <f>_xlfn.XLOOKUP(Table1[[#This Row],[Attrition]],Table2[Attrition],Table2[Id_Attrition])</f>
        <v>A002</v>
      </c>
      <c r="C76" t="s">
        <v>33</v>
      </c>
      <c r="D76" t="str">
        <f>_xlfn.XLOOKUP(Table1[[#This Row],[BusinessTravel]],Table5[BusinessTravel],Table5[Id_BusinessTravel])</f>
        <v>BS001</v>
      </c>
      <c r="E76" t="s">
        <v>34</v>
      </c>
      <c r="F76">
        <v>132</v>
      </c>
      <c r="G76" t="str">
        <f>_xlfn.XLOOKUP(Table1[[#This Row],[Department]],Table6[Department],Table6[Id_Departement])</f>
        <v>D002</v>
      </c>
      <c r="H76" t="s">
        <v>38</v>
      </c>
      <c r="I76">
        <v>6</v>
      </c>
      <c r="J76" t="str">
        <f>_xlfn.XLOOKUP(Table1[[#This Row],[Education]],Table8[Education],Table8[Id_Education])</f>
        <v>E003</v>
      </c>
      <c r="K76">
        <v>3</v>
      </c>
      <c r="L76" t="str">
        <f>_xlfn.XLOOKUP(Table1[[#This Row],[EducationField]],Table7[EducationField],Table7[Id_EducationField])</f>
        <v>EF001</v>
      </c>
      <c r="M76" t="s">
        <v>40</v>
      </c>
      <c r="N76" t="str">
        <f>_xlfn.XLOOKUP(Table1[[#This Row],[EmployeeNumber]],Table4[EmployeeNumber],Table4[Id_Employee])</f>
        <v>EMP00075</v>
      </c>
      <c r="O76">
        <v>97</v>
      </c>
      <c r="P76" t="str">
        <f>_xlfn.XLOOKUP(Table1[[#This Row],[EnvironmentSatisfaction]],Table9[EnvironmentSatisfaction],Table9[Id_EnviromentSatisfaction])</f>
        <v>ES002</v>
      </c>
      <c r="Q76">
        <v>2</v>
      </c>
      <c r="R76" t="str">
        <f>_xlfn.XLOOKUP(Table1[[#This Row],[EnvironmentSatisfaction]],Table9[EnvironmentSatisfaction],Table9[Deskripsi])</f>
        <v>Medium</v>
      </c>
      <c r="S76" t="str">
        <f>_xlfn.XLOOKUP(Table1[[#This Row],[Gender]],Table10[Gender],Table10[Id_Gender])</f>
        <v>G001</v>
      </c>
      <c r="T76" t="s">
        <v>45</v>
      </c>
      <c r="U76">
        <v>55</v>
      </c>
      <c r="V76" t="str">
        <f>_xlfn.XLOOKUP(Table1[[#This Row],[JobInvolvement]],Table11[JobInvolvement],Table11[Id_JobInvolvement])</f>
        <v>JI004</v>
      </c>
      <c r="W76">
        <v>4</v>
      </c>
      <c r="X76" t="str">
        <f>_xlfn.XLOOKUP(Table1[[#This Row],[JobLevel]],Table12[JobLevel],Table12[Id_JobLevel])</f>
        <v>JL001</v>
      </c>
      <c r="Y76">
        <v>1</v>
      </c>
      <c r="Z76" t="str">
        <f>_xlfn.XLOOKUP(Table1[[#This Row],[JobRole]],Table13[JobRole],Table13[Id_JobRole])</f>
        <v>JR003</v>
      </c>
      <c r="AA76" t="s">
        <v>49</v>
      </c>
      <c r="AB76" t="str">
        <f>_xlfn.XLOOKUP(Table1[[#This Row],[JobSatisfaction]],Table14[JobSatisfaction],Table14[Id_JobSatisfaction])</f>
        <v>JS004</v>
      </c>
      <c r="AC76">
        <v>4</v>
      </c>
      <c r="AD76" t="str">
        <f>_xlfn.XLOOKUP(Table1[[#This Row],[JobSatisfaction]],Table14[JobSatisfaction],Table14[Deskripsi])</f>
        <v>Very High</v>
      </c>
      <c r="AE76" t="str">
        <f>_xlfn.XLOOKUP(Table1[[#This Row],[MaritalStatus]],Table15[MaritalStatus],Table15[Id_MaritalStatus])</f>
        <v>MS002</v>
      </c>
      <c r="AF76" t="s">
        <v>56</v>
      </c>
      <c r="AG76">
        <v>3038</v>
      </c>
      <c r="AH76">
        <v>22002</v>
      </c>
      <c r="AI76">
        <v>3</v>
      </c>
      <c r="AJ76" t="str">
        <f>_xlfn.XLOOKUP(Table1[[#This Row],[OverTime]],Table16[OverTime],Table16[Id_OverTime])</f>
        <v>OT002</v>
      </c>
      <c r="AK76" t="s">
        <v>33</v>
      </c>
      <c r="AL76">
        <v>12</v>
      </c>
      <c r="AM76" t="str">
        <f>_xlfn.XLOOKUP(Table1[[#This Row],[PerformanceRating]],Table17[PerformanceRating],Table17[Id_PerformanceRating])</f>
        <v>PR003</v>
      </c>
      <c r="AN76">
        <v>3</v>
      </c>
      <c r="AO76" t="str">
        <f>_xlfn.XLOOKUP(Table1[[#This Row],[PerformanceRating]],Table17[PerformanceRating],Table17[Deskripsi])</f>
        <v>Excellent</v>
      </c>
      <c r="AP76" t="str">
        <f>_xlfn.XLOOKUP(Table1[[#This Row],[RelationshipSatisfaction]],Table18[RelationshipSatisfaction],Table18[Id_RelationshipSatisfaction])</f>
        <v>RS002</v>
      </c>
      <c r="AQ76">
        <v>2</v>
      </c>
      <c r="AR76" t="str">
        <f>_xlfn.XLOOKUP(Table1[[#This Row],[RelationshipSatisfaction]],Table18[RelationshipSatisfaction],Table18[Deskripsi])</f>
        <v>Medium</v>
      </c>
      <c r="AS76" t="str">
        <f>_xlfn.XLOOKUP(Table1[[#This Row],[StockOptionLevel]],Table19[StockOptionLevel],Table19[Id_StockOptionLevel])</f>
        <v>SOL001</v>
      </c>
      <c r="AT76">
        <v>0</v>
      </c>
      <c r="AU76" t="str">
        <f>_xlfn.XLOOKUP(Table1[[#This Row],[StockOptionLevel]],Table19[StockOptionLevel],Table19[Deskripsi])</f>
        <v>Non-Eligible</v>
      </c>
      <c r="AV76">
        <v>5</v>
      </c>
      <c r="AW76">
        <v>3</v>
      </c>
      <c r="AX76" t="str">
        <f>_xlfn.XLOOKUP(Table1[[#This Row],[WorkLifeBalance]],Table20[WorkLifeBalance],Table20[Id_WorkLifeBalance])</f>
        <v>WLB002</v>
      </c>
      <c r="AY76">
        <v>3</v>
      </c>
      <c r="AZ76" t="str">
        <f>_xlfn.XLOOKUP(Table1[[#This Row],[WorkLifeBalance]],Table20[WorkLifeBalance],Table20[Deskripsi])</f>
        <v>Good</v>
      </c>
      <c r="BA76">
        <v>1</v>
      </c>
      <c r="BB76">
        <v>0</v>
      </c>
      <c r="BC76">
        <v>0</v>
      </c>
      <c r="BD76">
        <v>0</v>
      </c>
    </row>
    <row r="77" spans="1:56" x14ac:dyDescent="0.25">
      <c r="A77">
        <v>31</v>
      </c>
      <c r="B77" t="str">
        <f>_xlfn.XLOOKUP(Table1[[#This Row],[Attrition]],Table2[Attrition],Table2[Id_Attrition])</f>
        <v>A002</v>
      </c>
      <c r="C77" t="s">
        <v>33</v>
      </c>
      <c r="D77" t="str">
        <f>_xlfn.XLOOKUP(Table1[[#This Row],[BusinessTravel]],Table5[BusinessTravel],Table5[Id_BusinessTravel])</f>
        <v>BS001</v>
      </c>
      <c r="E77" t="s">
        <v>34</v>
      </c>
      <c r="F77">
        <v>746</v>
      </c>
      <c r="G77" t="str">
        <f>_xlfn.XLOOKUP(Table1[[#This Row],[Department]],Table6[Department],Table6[Id_Departement])</f>
        <v>D002</v>
      </c>
      <c r="H77" t="s">
        <v>38</v>
      </c>
      <c r="I77">
        <v>8</v>
      </c>
      <c r="J77" t="str">
        <f>_xlfn.XLOOKUP(Table1[[#This Row],[Education]],Table8[Education],Table8[Id_Education])</f>
        <v>E004</v>
      </c>
      <c r="K77">
        <v>4</v>
      </c>
      <c r="L77" t="str">
        <f>_xlfn.XLOOKUP(Table1[[#This Row],[EducationField]],Table7[EducationField],Table7[Id_EducationField])</f>
        <v>EF001</v>
      </c>
      <c r="M77" t="s">
        <v>40</v>
      </c>
      <c r="N77" t="str">
        <f>_xlfn.XLOOKUP(Table1[[#This Row],[EmployeeNumber]],Table4[EmployeeNumber],Table4[Id_Employee])</f>
        <v>EMP00076</v>
      </c>
      <c r="O77">
        <v>98</v>
      </c>
      <c r="P77" t="str">
        <f>_xlfn.XLOOKUP(Table1[[#This Row],[EnvironmentSatisfaction]],Table9[EnvironmentSatisfaction],Table9[Id_EnviromentSatisfaction])</f>
        <v>ES003</v>
      </c>
      <c r="Q77">
        <v>3</v>
      </c>
      <c r="R77" t="str">
        <f>_xlfn.XLOOKUP(Table1[[#This Row],[EnvironmentSatisfaction]],Table9[EnvironmentSatisfaction],Table9[Deskripsi])</f>
        <v>High</v>
      </c>
      <c r="S77" t="str">
        <f>_xlfn.XLOOKUP(Table1[[#This Row],[Gender]],Table10[Gender],Table10[Id_Gender])</f>
        <v>G001</v>
      </c>
      <c r="T77" t="s">
        <v>45</v>
      </c>
      <c r="U77">
        <v>61</v>
      </c>
      <c r="V77" t="str">
        <f>_xlfn.XLOOKUP(Table1[[#This Row],[JobInvolvement]],Table11[JobInvolvement],Table11[Id_JobInvolvement])</f>
        <v>JI003</v>
      </c>
      <c r="W77">
        <v>3</v>
      </c>
      <c r="X77" t="str">
        <f>_xlfn.XLOOKUP(Table1[[#This Row],[JobLevel]],Table12[JobLevel],Table12[Id_JobLevel])</f>
        <v>JL002</v>
      </c>
      <c r="Y77">
        <v>2</v>
      </c>
      <c r="Z77" t="str">
        <f>_xlfn.XLOOKUP(Table1[[#This Row],[JobRole]],Table13[JobRole],Table13[Id_JobRole])</f>
        <v>JR004</v>
      </c>
      <c r="AA77" t="s">
        <v>50</v>
      </c>
      <c r="AB77" t="str">
        <f>_xlfn.XLOOKUP(Table1[[#This Row],[JobSatisfaction]],Table14[JobSatisfaction],Table14[Id_JobSatisfaction])</f>
        <v>JS004</v>
      </c>
      <c r="AC77">
        <v>4</v>
      </c>
      <c r="AD77" t="str">
        <f>_xlfn.XLOOKUP(Table1[[#This Row],[JobSatisfaction]],Table14[JobSatisfaction],Table14[Deskripsi])</f>
        <v>Very High</v>
      </c>
      <c r="AE77" t="str">
        <f>_xlfn.XLOOKUP(Table1[[#This Row],[MaritalStatus]],Table15[MaritalStatus],Table15[Id_MaritalStatus])</f>
        <v>MS001</v>
      </c>
      <c r="AF77" t="s">
        <v>55</v>
      </c>
      <c r="AG77">
        <v>4424</v>
      </c>
      <c r="AH77">
        <v>20682</v>
      </c>
      <c r="AI77">
        <v>1</v>
      </c>
      <c r="AJ77" t="str">
        <f>_xlfn.XLOOKUP(Table1[[#This Row],[OverTime]],Table16[OverTime],Table16[Id_OverTime])</f>
        <v>OT002</v>
      </c>
      <c r="AK77" t="s">
        <v>33</v>
      </c>
      <c r="AL77">
        <v>23</v>
      </c>
      <c r="AM77" t="str">
        <f>_xlfn.XLOOKUP(Table1[[#This Row],[PerformanceRating]],Table17[PerformanceRating],Table17[Id_PerformanceRating])</f>
        <v>PR004</v>
      </c>
      <c r="AN77">
        <v>4</v>
      </c>
      <c r="AO77" t="str">
        <f>_xlfn.XLOOKUP(Table1[[#This Row],[PerformanceRating]],Table17[PerformanceRating],Table17[Deskripsi])</f>
        <v>Outstanding</v>
      </c>
      <c r="AP77" t="str">
        <f>_xlfn.XLOOKUP(Table1[[#This Row],[RelationshipSatisfaction]],Table18[RelationshipSatisfaction],Table18[Id_RelationshipSatisfaction])</f>
        <v>RS004</v>
      </c>
      <c r="AQ77">
        <v>4</v>
      </c>
      <c r="AR77" t="str">
        <f>_xlfn.XLOOKUP(Table1[[#This Row],[RelationshipSatisfaction]],Table18[RelationshipSatisfaction],Table18[Deskripsi])</f>
        <v>Very High</v>
      </c>
      <c r="AS77" t="str">
        <f>_xlfn.XLOOKUP(Table1[[#This Row],[StockOptionLevel]],Table19[StockOptionLevel],Table19[Id_StockOptionLevel])</f>
        <v>SOL001</v>
      </c>
      <c r="AT77">
        <v>0</v>
      </c>
      <c r="AU77" t="str">
        <f>_xlfn.XLOOKUP(Table1[[#This Row],[StockOptionLevel]],Table19[StockOptionLevel],Table19[Deskripsi])</f>
        <v>Non-Eligible</v>
      </c>
      <c r="AV77">
        <v>11</v>
      </c>
      <c r="AW77">
        <v>2</v>
      </c>
      <c r="AX77" t="str">
        <f>_xlfn.XLOOKUP(Table1[[#This Row],[WorkLifeBalance]],Table20[WorkLifeBalance],Table20[Id_WorkLifeBalance])</f>
        <v>WLB002</v>
      </c>
      <c r="AY77">
        <v>3</v>
      </c>
      <c r="AZ77" t="str">
        <f>_xlfn.XLOOKUP(Table1[[#This Row],[WorkLifeBalance]],Table20[WorkLifeBalance],Table20[Deskripsi])</f>
        <v>Good</v>
      </c>
      <c r="BA77">
        <v>11</v>
      </c>
      <c r="BB77">
        <v>7</v>
      </c>
      <c r="BC77">
        <v>1</v>
      </c>
      <c r="BD77">
        <v>8</v>
      </c>
    </row>
    <row r="78" spans="1:56" x14ac:dyDescent="0.25">
      <c r="A78">
        <v>35</v>
      </c>
      <c r="B78" t="str">
        <f>_xlfn.XLOOKUP(Table1[[#This Row],[Attrition]],Table2[Attrition],Table2[Id_Attrition])</f>
        <v>A002</v>
      </c>
      <c r="C78" t="s">
        <v>33</v>
      </c>
      <c r="D78" t="str">
        <f>_xlfn.XLOOKUP(Table1[[#This Row],[BusinessTravel]],Table5[BusinessTravel],Table5[Id_BusinessTravel])</f>
        <v>BS001</v>
      </c>
      <c r="E78" t="s">
        <v>34</v>
      </c>
      <c r="F78">
        <v>776</v>
      </c>
      <c r="G78" t="str">
        <f>_xlfn.XLOOKUP(Table1[[#This Row],[Department]],Table6[Department],Table6[Id_Departement])</f>
        <v>D001</v>
      </c>
      <c r="H78" t="s">
        <v>37</v>
      </c>
      <c r="I78">
        <v>1</v>
      </c>
      <c r="J78" t="str">
        <f>_xlfn.XLOOKUP(Table1[[#This Row],[Education]],Table8[Education],Table8[Id_Education])</f>
        <v>E004</v>
      </c>
      <c r="K78">
        <v>4</v>
      </c>
      <c r="L78" t="str">
        <f>_xlfn.XLOOKUP(Table1[[#This Row],[EducationField]],Table7[EducationField],Table7[Id_EducationField])</f>
        <v>EF004</v>
      </c>
      <c r="M78" t="s">
        <v>43</v>
      </c>
      <c r="N78" t="str">
        <f>_xlfn.XLOOKUP(Table1[[#This Row],[EmployeeNumber]],Table4[EmployeeNumber],Table4[Id_Employee])</f>
        <v>EMP00077</v>
      </c>
      <c r="O78">
        <v>100</v>
      </c>
      <c r="P78" t="str">
        <f>_xlfn.XLOOKUP(Table1[[#This Row],[EnvironmentSatisfaction]],Table9[EnvironmentSatisfaction],Table9[Id_EnviromentSatisfaction])</f>
        <v>ES003</v>
      </c>
      <c r="Q78">
        <v>3</v>
      </c>
      <c r="R78" t="str">
        <f>_xlfn.XLOOKUP(Table1[[#This Row],[EnvironmentSatisfaction]],Table9[EnvironmentSatisfaction],Table9[Deskripsi])</f>
        <v>High</v>
      </c>
      <c r="S78" t="str">
        <f>_xlfn.XLOOKUP(Table1[[#This Row],[Gender]],Table10[Gender],Table10[Id_Gender])</f>
        <v>G002</v>
      </c>
      <c r="T78" t="s">
        <v>46</v>
      </c>
      <c r="U78">
        <v>32</v>
      </c>
      <c r="V78" t="str">
        <f>_xlfn.XLOOKUP(Table1[[#This Row],[JobInvolvement]],Table11[JobInvolvement],Table11[Id_JobInvolvement])</f>
        <v>JI002</v>
      </c>
      <c r="W78">
        <v>2</v>
      </c>
      <c r="X78" t="str">
        <f>_xlfn.XLOOKUP(Table1[[#This Row],[JobLevel]],Table12[JobLevel],Table12[Id_JobLevel])</f>
        <v>JL002</v>
      </c>
      <c r="Y78">
        <v>2</v>
      </c>
      <c r="Z78" t="str">
        <f>_xlfn.XLOOKUP(Table1[[#This Row],[JobRole]],Table13[JobRole],Table13[Id_JobRole])</f>
        <v>JR001</v>
      </c>
      <c r="AA78" t="s">
        <v>47</v>
      </c>
      <c r="AB78" t="str">
        <f>_xlfn.XLOOKUP(Table1[[#This Row],[JobSatisfaction]],Table14[JobSatisfaction],Table14[Id_JobSatisfaction])</f>
        <v>JS001</v>
      </c>
      <c r="AC78">
        <v>1</v>
      </c>
      <c r="AD78" t="str">
        <f>_xlfn.XLOOKUP(Table1[[#This Row],[JobSatisfaction]],Table14[JobSatisfaction],Table14[Deskripsi])</f>
        <v>Low</v>
      </c>
      <c r="AE78" t="str">
        <f>_xlfn.XLOOKUP(Table1[[#This Row],[MaritalStatus]],Table15[MaritalStatus],Table15[Id_MaritalStatus])</f>
        <v>MS001</v>
      </c>
      <c r="AF78" t="s">
        <v>55</v>
      </c>
      <c r="AG78">
        <v>4312</v>
      </c>
      <c r="AH78">
        <v>23016</v>
      </c>
      <c r="AI78">
        <v>0</v>
      </c>
      <c r="AJ78" t="str">
        <f>_xlfn.XLOOKUP(Table1[[#This Row],[OverTime]],Table16[OverTime],Table16[Id_OverTime])</f>
        <v>OT002</v>
      </c>
      <c r="AK78" t="s">
        <v>33</v>
      </c>
      <c r="AL78">
        <v>14</v>
      </c>
      <c r="AM78" t="str">
        <f>_xlfn.XLOOKUP(Table1[[#This Row],[PerformanceRating]],Table17[PerformanceRating],Table17[Id_PerformanceRating])</f>
        <v>PR003</v>
      </c>
      <c r="AN78">
        <v>3</v>
      </c>
      <c r="AO78" t="str">
        <f>_xlfn.XLOOKUP(Table1[[#This Row],[PerformanceRating]],Table17[PerformanceRating],Table17[Deskripsi])</f>
        <v>Excellent</v>
      </c>
      <c r="AP78" t="str">
        <f>_xlfn.XLOOKUP(Table1[[#This Row],[RelationshipSatisfaction]],Table18[RelationshipSatisfaction],Table18[Id_RelationshipSatisfaction])</f>
        <v>RS002</v>
      </c>
      <c r="AQ78">
        <v>2</v>
      </c>
      <c r="AR78" t="str">
        <f>_xlfn.XLOOKUP(Table1[[#This Row],[RelationshipSatisfaction]],Table18[RelationshipSatisfaction],Table18[Deskripsi])</f>
        <v>Medium</v>
      </c>
      <c r="AS78" t="str">
        <f>_xlfn.XLOOKUP(Table1[[#This Row],[StockOptionLevel]],Table19[StockOptionLevel],Table19[Id_StockOptionLevel])</f>
        <v>SOL001</v>
      </c>
      <c r="AT78">
        <v>0</v>
      </c>
      <c r="AU78" t="str">
        <f>_xlfn.XLOOKUP(Table1[[#This Row],[StockOptionLevel]],Table19[StockOptionLevel],Table19[Deskripsi])</f>
        <v>Non-Eligible</v>
      </c>
      <c r="AV78">
        <v>16</v>
      </c>
      <c r="AW78">
        <v>2</v>
      </c>
      <c r="AX78" t="str">
        <f>_xlfn.XLOOKUP(Table1[[#This Row],[WorkLifeBalance]],Table20[WorkLifeBalance],Table20[Id_WorkLifeBalance])</f>
        <v>WLB002</v>
      </c>
      <c r="AY78">
        <v>3</v>
      </c>
      <c r="AZ78" t="str">
        <f>_xlfn.XLOOKUP(Table1[[#This Row],[WorkLifeBalance]],Table20[WorkLifeBalance],Table20[Deskripsi])</f>
        <v>Good</v>
      </c>
      <c r="BA78">
        <v>15</v>
      </c>
      <c r="BB78">
        <v>13</v>
      </c>
      <c r="BC78">
        <v>2</v>
      </c>
      <c r="BD78">
        <v>8</v>
      </c>
    </row>
    <row r="79" spans="1:56" x14ac:dyDescent="0.25">
      <c r="A79">
        <v>45</v>
      </c>
      <c r="B79" t="str">
        <f>_xlfn.XLOOKUP(Table1[[#This Row],[Attrition]],Table2[Attrition],Table2[Id_Attrition])</f>
        <v>A002</v>
      </c>
      <c r="C79" t="s">
        <v>33</v>
      </c>
      <c r="D79" t="str">
        <f>_xlfn.XLOOKUP(Table1[[#This Row],[BusinessTravel]],Table5[BusinessTravel],Table5[Id_BusinessTravel])</f>
        <v>BS001</v>
      </c>
      <c r="E79" t="s">
        <v>34</v>
      </c>
      <c r="F79">
        <v>193</v>
      </c>
      <c r="G79" t="str">
        <f>_xlfn.XLOOKUP(Table1[[#This Row],[Department]],Table6[Department],Table6[Id_Departement])</f>
        <v>D002</v>
      </c>
      <c r="H79" t="s">
        <v>38</v>
      </c>
      <c r="I79">
        <v>6</v>
      </c>
      <c r="J79" t="str">
        <f>_xlfn.XLOOKUP(Table1[[#This Row],[Education]],Table8[Education],Table8[Id_Education])</f>
        <v>E004</v>
      </c>
      <c r="K79">
        <v>4</v>
      </c>
      <c r="L79" t="str">
        <f>_xlfn.XLOOKUP(Table1[[#This Row],[EducationField]],Table7[EducationField],Table7[Id_EducationField])</f>
        <v>EF002</v>
      </c>
      <c r="M79" t="s">
        <v>41</v>
      </c>
      <c r="N79" t="str">
        <f>_xlfn.XLOOKUP(Table1[[#This Row],[EmployeeNumber]],Table4[EmployeeNumber],Table4[Id_Employee])</f>
        <v>EMP00078</v>
      </c>
      <c r="O79">
        <v>101</v>
      </c>
      <c r="P79" t="str">
        <f>_xlfn.XLOOKUP(Table1[[#This Row],[EnvironmentSatisfaction]],Table9[EnvironmentSatisfaction],Table9[Id_EnviromentSatisfaction])</f>
        <v>ES004</v>
      </c>
      <c r="Q79">
        <v>4</v>
      </c>
      <c r="R79" t="str">
        <f>_xlfn.XLOOKUP(Table1[[#This Row],[EnvironmentSatisfaction]],Table9[EnvironmentSatisfaction],Table9[Deskripsi])</f>
        <v>Very High</v>
      </c>
      <c r="S79" t="str">
        <f>_xlfn.XLOOKUP(Table1[[#This Row],[Gender]],Table10[Gender],Table10[Id_Gender])</f>
        <v>G002</v>
      </c>
      <c r="T79" t="s">
        <v>46</v>
      </c>
      <c r="U79">
        <v>52</v>
      </c>
      <c r="V79" t="str">
        <f>_xlfn.XLOOKUP(Table1[[#This Row],[JobInvolvement]],Table11[JobInvolvement],Table11[Id_JobInvolvement])</f>
        <v>JI003</v>
      </c>
      <c r="W79">
        <v>3</v>
      </c>
      <c r="X79" t="str">
        <f>_xlfn.XLOOKUP(Table1[[#This Row],[JobLevel]],Table12[JobLevel],Table12[Id_JobLevel])</f>
        <v>JL003</v>
      </c>
      <c r="Y79">
        <v>3</v>
      </c>
      <c r="Z79" t="str">
        <f>_xlfn.XLOOKUP(Table1[[#This Row],[JobRole]],Table13[JobRole],Table13[Id_JobRole])</f>
        <v>JR008</v>
      </c>
      <c r="AA79" t="s">
        <v>54</v>
      </c>
      <c r="AB79" t="str">
        <f>_xlfn.XLOOKUP(Table1[[#This Row],[JobSatisfaction]],Table14[JobSatisfaction],Table14[Id_JobSatisfaction])</f>
        <v>JS001</v>
      </c>
      <c r="AC79">
        <v>1</v>
      </c>
      <c r="AD79" t="str">
        <f>_xlfn.XLOOKUP(Table1[[#This Row],[JobSatisfaction]],Table14[JobSatisfaction],Table14[Deskripsi])</f>
        <v>Low</v>
      </c>
      <c r="AE79" t="str">
        <f>_xlfn.XLOOKUP(Table1[[#This Row],[MaritalStatus]],Table15[MaritalStatus],Table15[Id_MaritalStatus])</f>
        <v>MS002</v>
      </c>
      <c r="AF79" t="s">
        <v>56</v>
      </c>
      <c r="AG79">
        <v>13245</v>
      </c>
      <c r="AH79">
        <v>15067</v>
      </c>
      <c r="AI79">
        <v>4</v>
      </c>
      <c r="AJ79" t="str">
        <f>_xlfn.XLOOKUP(Table1[[#This Row],[OverTime]],Table16[OverTime],Table16[Id_OverTime])</f>
        <v>OT001</v>
      </c>
      <c r="AK79" t="s">
        <v>32</v>
      </c>
      <c r="AL79">
        <v>14</v>
      </c>
      <c r="AM79" t="str">
        <f>_xlfn.XLOOKUP(Table1[[#This Row],[PerformanceRating]],Table17[PerformanceRating],Table17[Id_PerformanceRating])</f>
        <v>PR003</v>
      </c>
      <c r="AN79">
        <v>3</v>
      </c>
      <c r="AO79" t="str">
        <f>_xlfn.XLOOKUP(Table1[[#This Row],[PerformanceRating]],Table17[PerformanceRating],Table17[Deskripsi])</f>
        <v>Excellent</v>
      </c>
      <c r="AP79" t="str">
        <f>_xlfn.XLOOKUP(Table1[[#This Row],[RelationshipSatisfaction]],Table18[RelationshipSatisfaction],Table18[Id_RelationshipSatisfaction])</f>
        <v>RS002</v>
      </c>
      <c r="AQ79">
        <v>2</v>
      </c>
      <c r="AR79" t="str">
        <f>_xlfn.XLOOKUP(Table1[[#This Row],[RelationshipSatisfaction]],Table18[RelationshipSatisfaction],Table18[Deskripsi])</f>
        <v>Medium</v>
      </c>
      <c r="AS79" t="str">
        <f>_xlfn.XLOOKUP(Table1[[#This Row],[StockOptionLevel]],Table19[StockOptionLevel],Table19[Id_StockOptionLevel])</f>
        <v>SOL001</v>
      </c>
      <c r="AT79">
        <v>0</v>
      </c>
      <c r="AU79" t="str">
        <f>_xlfn.XLOOKUP(Table1[[#This Row],[StockOptionLevel]],Table19[StockOptionLevel],Table19[Deskripsi])</f>
        <v>Non-Eligible</v>
      </c>
      <c r="AV79">
        <v>17</v>
      </c>
      <c r="AW79">
        <v>3</v>
      </c>
      <c r="AX79" t="str">
        <f>_xlfn.XLOOKUP(Table1[[#This Row],[WorkLifeBalance]],Table20[WorkLifeBalance],Table20[Id_WorkLifeBalance])</f>
        <v>WLB004</v>
      </c>
      <c r="AY79">
        <v>4</v>
      </c>
      <c r="AZ79" t="str">
        <f>_xlfn.XLOOKUP(Table1[[#This Row],[WorkLifeBalance]],Table20[WorkLifeBalance],Table20[Deskripsi])</f>
        <v>Best</v>
      </c>
      <c r="BA79">
        <v>0</v>
      </c>
      <c r="BB79">
        <v>0</v>
      </c>
      <c r="BC79">
        <v>0</v>
      </c>
      <c r="BD79">
        <v>0</v>
      </c>
    </row>
    <row r="80" spans="1:56" x14ac:dyDescent="0.25">
      <c r="A80">
        <v>37</v>
      </c>
      <c r="B80" t="str">
        <f>_xlfn.XLOOKUP(Table1[[#This Row],[Attrition]],Table2[Attrition],Table2[Id_Attrition])</f>
        <v>A002</v>
      </c>
      <c r="C80" t="s">
        <v>33</v>
      </c>
      <c r="D80" t="str">
        <f>_xlfn.XLOOKUP(Table1[[#This Row],[BusinessTravel]],Table5[BusinessTravel],Table5[Id_BusinessTravel])</f>
        <v>BS001</v>
      </c>
      <c r="E80" t="s">
        <v>34</v>
      </c>
      <c r="F80">
        <v>397</v>
      </c>
      <c r="G80" t="str">
        <f>_xlfn.XLOOKUP(Table1[[#This Row],[Department]],Table6[Department],Table6[Id_Departement])</f>
        <v>D002</v>
      </c>
      <c r="H80" t="s">
        <v>38</v>
      </c>
      <c r="I80">
        <v>7</v>
      </c>
      <c r="J80" t="str">
        <f>_xlfn.XLOOKUP(Table1[[#This Row],[Education]],Table8[Education],Table8[Id_Education])</f>
        <v>E004</v>
      </c>
      <c r="K80">
        <v>4</v>
      </c>
      <c r="L80" t="str">
        <f>_xlfn.XLOOKUP(Table1[[#This Row],[EducationField]],Table7[EducationField],Table7[Id_EducationField])</f>
        <v>EF003</v>
      </c>
      <c r="M80" t="s">
        <v>42</v>
      </c>
      <c r="N80" t="str">
        <f>_xlfn.XLOOKUP(Table1[[#This Row],[EmployeeNumber]],Table4[EmployeeNumber],Table4[Id_Employee])</f>
        <v>EMP00079</v>
      </c>
      <c r="O80">
        <v>102</v>
      </c>
      <c r="P80" t="str">
        <f>_xlfn.XLOOKUP(Table1[[#This Row],[EnvironmentSatisfaction]],Table9[EnvironmentSatisfaction],Table9[Id_EnviromentSatisfaction])</f>
        <v>ES001</v>
      </c>
      <c r="Q80">
        <v>1</v>
      </c>
      <c r="R80" t="str">
        <f>_xlfn.XLOOKUP(Table1[[#This Row],[EnvironmentSatisfaction]],Table9[EnvironmentSatisfaction],Table9[Deskripsi])</f>
        <v>Low</v>
      </c>
      <c r="S80" t="str">
        <f>_xlfn.XLOOKUP(Table1[[#This Row],[Gender]],Table10[Gender],Table10[Id_Gender])</f>
        <v>G002</v>
      </c>
      <c r="T80" t="s">
        <v>46</v>
      </c>
      <c r="U80">
        <v>30</v>
      </c>
      <c r="V80" t="str">
        <f>_xlfn.XLOOKUP(Table1[[#This Row],[JobInvolvement]],Table11[JobInvolvement],Table11[Id_JobInvolvement])</f>
        <v>JI003</v>
      </c>
      <c r="W80">
        <v>3</v>
      </c>
      <c r="X80" t="str">
        <f>_xlfn.XLOOKUP(Table1[[#This Row],[JobLevel]],Table12[JobLevel],Table12[Id_JobLevel])</f>
        <v>JL003</v>
      </c>
      <c r="Y80">
        <v>3</v>
      </c>
      <c r="Z80" t="str">
        <f>_xlfn.XLOOKUP(Table1[[#This Row],[JobRole]],Table13[JobRole],Table13[Id_JobRole])</f>
        <v>JR008</v>
      </c>
      <c r="AA80" t="s">
        <v>54</v>
      </c>
      <c r="AB80" t="str">
        <f>_xlfn.XLOOKUP(Table1[[#This Row],[JobSatisfaction]],Table14[JobSatisfaction],Table14[Id_JobSatisfaction])</f>
        <v>JS003</v>
      </c>
      <c r="AC80">
        <v>3</v>
      </c>
      <c r="AD80" t="str">
        <f>_xlfn.XLOOKUP(Table1[[#This Row],[JobSatisfaction]],Table14[JobSatisfaction],Table14[Deskripsi])</f>
        <v>High</v>
      </c>
      <c r="AE80" t="str">
        <f>_xlfn.XLOOKUP(Table1[[#This Row],[MaritalStatus]],Table15[MaritalStatus],Table15[Id_MaritalStatus])</f>
        <v>MS001</v>
      </c>
      <c r="AF80" t="s">
        <v>55</v>
      </c>
      <c r="AG80">
        <v>13664</v>
      </c>
      <c r="AH80">
        <v>25258</v>
      </c>
      <c r="AI80">
        <v>4</v>
      </c>
      <c r="AJ80" t="str">
        <f>_xlfn.XLOOKUP(Table1[[#This Row],[OverTime]],Table16[OverTime],Table16[Id_OverTime])</f>
        <v>OT002</v>
      </c>
      <c r="AK80" t="s">
        <v>33</v>
      </c>
      <c r="AL80">
        <v>13</v>
      </c>
      <c r="AM80" t="str">
        <f>_xlfn.XLOOKUP(Table1[[#This Row],[PerformanceRating]],Table17[PerformanceRating],Table17[Id_PerformanceRating])</f>
        <v>PR003</v>
      </c>
      <c r="AN80">
        <v>3</v>
      </c>
      <c r="AO80" t="str">
        <f>_xlfn.XLOOKUP(Table1[[#This Row],[PerformanceRating]],Table17[PerformanceRating],Table17[Deskripsi])</f>
        <v>Excellent</v>
      </c>
      <c r="AP80" t="str">
        <f>_xlfn.XLOOKUP(Table1[[#This Row],[RelationshipSatisfaction]],Table18[RelationshipSatisfaction],Table18[Id_RelationshipSatisfaction])</f>
        <v>RS001</v>
      </c>
      <c r="AQ80">
        <v>1</v>
      </c>
      <c r="AR80" t="str">
        <f>_xlfn.XLOOKUP(Table1[[#This Row],[RelationshipSatisfaction]],Table18[RelationshipSatisfaction],Table18[Deskripsi])</f>
        <v>Low</v>
      </c>
      <c r="AS80" t="str">
        <f>_xlfn.XLOOKUP(Table1[[#This Row],[StockOptionLevel]],Table19[StockOptionLevel],Table19[Id_StockOptionLevel])</f>
        <v>SOL001</v>
      </c>
      <c r="AT80">
        <v>0</v>
      </c>
      <c r="AU80" t="str">
        <f>_xlfn.XLOOKUP(Table1[[#This Row],[StockOptionLevel]],Table19[StockOptionLevel],Table19[Deskripsi])</f>
        <v>Non-Eligible</v>
      </c>
      <c r="AV80">
        <v>16</v>
      </c>
      <c r="AW80">
        <v>3</v>
      </c>
      <c r="AX80" t="str">
        <f>_xlfn.XLOOKUP(Table1[[#This Row],[WorkLifeBalance]],Table20[WorkLifeBalance],Table20[Id_WorkLifeBalance])</f>
        <v>WLB004</v>
      </c>
      <c r="AY80">
        <v>4</v>
      </c>
      <c r="AZ80" t="str">
        <f>_xlfn.XLOOKUP(Table1[[#This Row],[WorkLifeBalance]],Table20[WorkLifeBalance],Table20[Deskripsi])</f>
        <v>Best</v>
      </c>
      <c r="BA80">
        <v>5</v>
      </c>
      <c r="BB80">
        <v>2</v>
      </c>
      <c r="BC80">
        <v>0</v>
      </c>
      <c r="BD80">
        <v>2</v>
      </c>
    </row>
    <row r="81" spans="1:56" x14ac:dyDescent="0.25">
      <c r="A81">
        <v>46</v>
      </c>
      <c r="B81" t="str">
        <f>_xlfn.XLOOKUP(Table1[[#This Row],[Attrition]],Table2[Attrition],Table2[Id_Attrition])</f>
        <v>A002</v>
      </c>
      <c r="C81" t="s">
        <v>33</v>
      </c>
      <c r="D81" t="str">
        <f>_xlfn.XLOOKUP(Table1[[#This Row],[BusinessTravel]],Table5[BusinessTravel],Table5[Id_BusinessTravel])</f>
        <v>BS001</v>
      </c>
      <c r="E81" t="s">
        <v>34</v>
      </c>
      <c r="F81">
        <v>945</v>
      </c>
      <c r="G81" t="str">
        <f>_xlfn.XLOOKUP(Table1[[#This Row],[Department]],Table6[Department],Table6[Id_Departement])</f>
        <v>D003</v>
      </c>
      <c r="H81" t="s">
        <v>39</v>
      </c>
      <c r="I81">
        <v>5</v>
      </c>
      <c r="J81" t="str">
        <f>_xlfn.XLOOKUP(Table1[[#This Row],[Education]],Table8[Education],Table8[Id_Education])</f>
        <v>E002</v>
      </c>
      <c r="K81">
        <v>2</v>
      </c>
      <c r="L81" t="str">
        <f>_xlfn.XLOOKUP(Table1[[#This Row],[EducationField]],Table7[EducationField],Table7[Id_EducationField])</f>
        <v>EF003</v>
      </c>
      <c r="M81" t="s">
        <v>42</v>
      </c>
      <c r="N81" t="str">
        <f>_xlfn.XLOOKUP(Table1[[#This Row],[EmployeeNumber]],Table4[EmployeeNumber],Table4[Id_Employee])</f>
        <v>EMP00080</v>
      </c>
      <c r="O81">
        <v>103</v>
      </c>
      <c r="P81" t="str">
        <f>_xlfn.XLOOKUP(Table1[[#This Row],[EnvironmentSatisfaction]],Table9[EnvironmentSatisfaction],Table9[Id_EnviromentSatisfaction])</f>
        <v>ES002</v>
      </c>
      <c r="Q81">
        <v>2</v>
      </c>
      <c r="R81" t="str">
        <f>_xlfn.XLOOKUP(Table1[[#This Row],[EnvironmentSatisfaction]],Table9[EnvironmentSatisfaction],Table9[Deskripsi])</f>
        <v>Medium</v>
      </c>
      <c r="S81" t="str">
        <f>_xlfn.XLOOKUP(Table1[[#This Row],[Gender]],Table10[Gender],Table10[Id_Gender])</f>
        <v>G002</v>
      </c>
      <c r="T81" t="s">
        <v>46</v>
      </c>
      <c r="U81">
        <v>80</v>
      </c>
      <c r="V81" t="str">
        <f>_xlfn.XLOOKUP(Table1[[#This Row],[JobInvolvement]],Table11[JobInvolvement],Table11[Id_JobInvolvement])</f>
        <v>JI003</v>
      </c>
      <c r="W81">
        <v>3</v>
      </c>
      <c r="X81" t="str">
        <f>_xlfn.XLOOKUP(Table1[[#This Row],[JobLevel]],Table12[JobLevel],Table12[Id_JobLevel])</f>
        <v>JL002</v>
      </c>
      <c r="Y81">
        <v>2</v>
      </c>
      <c r="Z81" t="str">
        <f>_xlfn.XLOOKUP(Table1[[#This Row],[JobRole]],Table13[JobRole],Table13[Id_JobRole])</f>
        <v>JR009</v>
      </c>
      <c r="AA81" t="s">
        <v>39</v>
      </c>
      <c r="AB81" t="str">
        <f>_xlfn.XLOOKUP(Table1[[#This Row],[JobSatisfaction]],Table14[JobSatisfaction],Table14[Id_JobSatisfaction])</f>
        <v>JS002</v>
      </c>
      <c r="AC81">
        <v>2</v>
      </c>
      <c r="AD81" t="str">
        <f>_xlfn.XLOOKUP(Table1[[#This Row],[JobSatisfaction]],Table14[JobSatisfaction],Table14[Deskripsi])</f>
        <v>Medium</v>
      </c>
      <c r="AE81" t="str">
        <f>_xlfn.XLOOKUP(Table1[[#This Row],[MaritalStatus]],Table15[MaritalStatus],Table15[Id_MaritalStatus])</f>
        <v>MS003</v>
      </c>
      <c r="AF81" t="s">
        <v>57</v>
      </c>
      <c r="AG81">
        <v>5021</v>
      </c>
      <c r="AH81">
        <v>10425</v>
      </c>
      <c r="AI81">
        <v>8</v>
      </c>
      <c r="AJ81" t="str">
        <f>_xlfn.XLOOKUP(Table1[[#This Row],[OverTime]],Table16[OverTime],Table16[Id_OverTime])</f>
        <v>OT001</v>
      </c>
      <c r="AK81" t="s">
        <v>32</v>
      </c>
      <c r="AL81">
        <v>22</v>
      </c>
      <c r="AM81" t="str">
        <f>_xlfn.XLOOKUP(Table1[[#This Row],[PerformanceRating]],Table17[PerformanceRating],Table17[Id_PerformanceRating])</f>
        <v>PR004</v>
      </c>
      <c r="AN81">
        <v>4</v>
      </c>
      <c r="AO81" t="str">
        <f>_xlfn.XLOOKUP(Table1[[#This Row],[PerformanceRating]],Table17[PerformanceRating],Table17[Deskripsi])</f>
        <v>Outstanding</v>
      </c>
      <c r="AP81" t="str">
        <f>_xlfn.XLOOKUP(Table1[[#This Row],[RelationshipSatisfaction]],Table18[RelationshipSatisfaction],Table18[Id_RelationshipSatisfaction])</f>
        <v>RS004</v>
      </c>
      <c r="AQ81">
        <v>4</v>
      </c>
      <c r="AR81" t="str">
        <f>_xlfn.XLOOKUP(Table1[[#This Row],[RelationshipSatisfaction]],Table18[RelationshipSatisfaction],Table18[Deskripsi])</f>
        <v>Very High</v>
      </c>
      <c r="AS81" t="str">
        <f>_xlfn.XLOOKUP(Table1[[#This Row],[StockOptionLevel]],Table19[StockOptionLevel],Table19[Id_StockOptionLevel])</f>
        <v>SOL002</v>
      </c>
      <c r="AT81">
        <v>1</v>
      </c>
      <c r="AU81" t="str">
        <f>_xlfn.XLOOKUP(Table1[[#This Row],[StockOptionLevel]],Table19[StockOptionLevel],Table19[Deskripsi])</f>
        <v>Standard</v>
      </c>
      <c r="AV81">
        <v>16</v>
      </c>
      <c r="AW81">
        <v>2</v>
      </c>
      <c r="AX81" t="str">
        <f>_xlfn.XLOOKUP(Table1[[#This Row],[WorkLifeBalance]],Table20[WorkLifeBalance],Table20[Id_WorkLifeBalance])</f>
        <v>WLB002</v>
      </c>
      <c r="AY81">
        <v>3</v>
      </c>
      <c r="AZ81" t="str">
        <f>_xlfn.XLOOKUP(Table1[[#This Row],[WorkLifeBalance]],Table20[WorkLifeBalance],Table20[Deskripsi])</f>
        <v>Good</v>
      </c>
      <c r="BA81">
        <v>4</v>
      </c>
      <c r="BB81">
        <v>2</v>
      </c>
      <c r="BC81">
        <v>0</v>
      </c>
      <c r="BD81">
        <v>2</v>
      </c>
    </row>
    <row r="82" spans="1:56" x14ac:dyDescent="0.25">
      <c r="A82">
        <v>30</v>
      </c>
      <c r="B82" t="str">
        <f>_xlfn.XLOOKUP(Table1[[#This Row],[Attrition]],Table2[Attrition],Table2[Id_Attrition])</f>
        <v>A002</v>
      </c>
      <c r="C82" t="s">
        <v>33</v>
      </c>
      <c r="D82" t="str">
        <f>_xlfn.XLOOKUP(Table1[[#This Row],[BusinessTravel]],Table5[BusinessTravel],Table5[Id_BusinessTravel])</f>
        <v>BS001</v>
      </c>
      <c r="E82" t="s">
        <v>34</v>
      </c>
      <c r="F82">
        <v>852</v>
      </c>
      <c r="G82" t="str">
        <f>_xlfn.XLOOKUP(Table1[[#This Row],[Department]],Table6[Department],Table6[Id_Departement])</f>
        <v>D002</v>
      </c>
      <c r="H82" t="s">
        <v>38</v>
      </c>
      <c r="I82">
        <v>1</v>
      </c>
      <c r="J82" t="str">
        <f>_xlfn.XLOOKUP(Table1[[#This Row],[Education]],Table8[Education],Table8[Id_Education])</f>
        <v>E001</v>
      </c>
      <c r="K82">
        <v>1</v>
      </c>
      <c r="L82" t="str">
        <f>_xlfn.XLOOKUP(Table1[[#This Row],[EducationField]],Table7[EducationField],Table7[Id_EducationField])</f>
        <v>EF001</v>
      </c>
      <c r="M82" t="s">
        <v>40</v>
      </c>
      <c r="N82" t="str">
        <f>_xlfn.XLOOKUP(Table1[[#This Row],[EmployeeNumber]],Table4[EmployeeNumber],Table4[Id_Employee])</f>
        <v>EMP00081</v>
      </c>
      <c r="O82">
        <v>104</v>
      </c>
      <c r="P82" t="str">
        <f>_xlfn.XLOOKUP(Table1[[#This Row],[EnvironmentSatisfaction]],Table9[EnvironmentSatisfaction],Table9[Id_EnviromentSatisfaction])</f>
        <v>ES004</v>
      </c>
      <c r="Q82">
        <v>4</v>
      </c>
      <c r="R82" t="str">
        <f>_xlfn.XLOOKUP(Table1[[#This Row],[EnvironmentSatisfaction]],Table9[EnvironmentSatisfaction],Table9[Deskripsi])</f>
        <v>Very High</v>
      </c>
      <c r="S82" t="str">
        <f>_xlfn.XLOOKUP(Table1[[#This Row],[Gender]],Table10[Gender],Table10[Id_Gender])</f>
        <v>G002</v>
      </c>
      <c r="T82" t="s">
        <v>46</v>
      </c>
      <c r="U82">
        <v>55</v>
      </c>
      <c r="V82" t="str">
        <f>_xlfn.XLOOKUP(Table1[[#This Row],[JobInvolvement]],Table11[JobInvolvement],Table11[Id_JobInvolvement])</f>
        <v>JI002</v>
      </c>
      <c r="W82">
        <v>2</v>
      </c>
      <c r="X82" t="str">
        <f>_xlfn.XLOOKUP(Table1[[#This Row],[JobLevel]],Table12[JobLevel],Table12[Id_JobLevel])</f>
        <v>JL002</v>
      </c>
      <c r="Y82">
        <v>2</v>
      </c>
      <c r="Z82" t="str">
        <f>_xlfn.XLOOKUP(Table1[[#This Row],[JobRole]],Table13[JobRole],Table13[Id_JobRole])</f>
        <v>JR003</v>
      </c>
      <c r="AA82" t="s">
        <v>49</v>
      </c>
      <c r="AB82" t="str">
        <f>_xlfn.XLOOKUP(Table1[[#This Row],[JobSatisfaction]],Table14[JobSatisfaction],Table14[Id_JobSatisfaction])</f>
        <v>JS004</v>
      </c>
      <c r="AC82">
        <v>4</v>
      </c>
      <c r="AD82" t="str">
        <f>_xlfn.XLOOKUP(Table1[[#This Row],[JobSatisfaction]],Table14[JobSatisfaction],Table14[Deskripsi])</f>
        <v>Very High</v>
      </c>
      <c r="AE82" t="str">
        <f>_xlfn.XLOOKUP(Table1[[#This Row],[MaritalStatus]],Table15[MaritalStatus],Table15[Id_MaritalStatus])</f>
        <v>MS002</v>
      </c>
      <c r="AF82" t="s">
        <v>56</v>
      </c>
      <c r="AG82">
        <v>5126</v>
      </c>
      <c r="AH82">
        <v>15998</v>
      </c>
      <c r="AI82">
        <v>1</v>
      </c>
      <c r="AJ82" t="str">
        <f>_xlfn.XLOOKUP(Table1[[#This Row],[OverTime]],Table16[OverTime],Table16[Id_OverTime])</f>
        <v>OT001</v>
      </c>
      <c r="AK82" t="s">
        <v>32</v>
      </c>
      <c r="AL82">
        <v>12</v>
      </c>
      <c r="AM82" t="str">
        <f>_xlfn.XLOOKUP(Table1[[#This Row],[PerformanceRating]],Table17[PerformanceRating],Table17[Id_PerformanceRating])</f>
        <v>PR003</v>
      </c>
      <c r="AN82">
        <v>3</v>
      </c>
      <c r="AO82" t="str">
        <f>_xlfn.XLOOKUP(Table1[[#This Row],[PerformanceRating]],Table17[PerformanceRating],Table17[Deskripsi])</f>
        <v>Excellent</v>
      </c>
      <c r="AP82" t="str">
        <f>_xlfn.XLOOKUP(Table1[[#This Row],[RelationshipSatisfaction]],Table18[RelationshipSatisfaction],Table18[Id_RelationshipSatisfaction])</f>
        <v>RS003</v>
      </c>
      <c r="AQ82">
        <v>3</v>
      </c>
      <c r="AR82" t="str">
        <f>_xlfn.XLOOKUP(Table1[[#This Row],[RelationshipSatisfaction]],Table18[RelationshipSatisfaction],Table18[Deskripsi])</f>
        <v>High</v>
      </c>
      <c r="AS82" t="str">
        <f>_xlfn.XLOOKUP(Table1[[#This Row],[StockOptionLevel]],Table19[StockOptionLevel],Table19[Id_StockOptionLevel])</f>
        <v>SOL003</v>
      </c>
      <c r="AT82">
        <v>2</v>
      </c>
      <c r="AU82" t="str">
        <f>_xlfn.XLOOKUP(Table1[[#This Row],[StockOptionLevel]],Table19[StockOptionLevel],Table19[Deskripsi])</f>
        <v>Intermediate</v>
      </c>
      <c r="AV82">
        <v>10</v>
      </c>
      <c r="AW82">
        <v>1</v>
      </c>
      <c r="AX82" t="str">
        <f>_xlfn.XLOOKUP(Table1[[#This Row],[WorkLifeBalance]],Table20[WorkLifeBalance],Table20[Id_WorkLifeBalance])</f>
        <v>WLB003</v>
      </c>
      <c r="AY82">
        <v>2</v>
      </c>
      <c r="AZ82" t="str">
        <f>_xlfn.XLOOKUP(Table1[[#This Row],[WorkLifeBalance]],Table20[WorkLifeBalance],Table20[Deskripsi])</f>
        <v>Better</v>
      </c>
      <c r="BA82">
        <v>10</v>
      </c>
      <c r="BB82">
        <v>8</v>
      </c>
      <c r="BC82">
        <v>3</v>
      </c>
      <c r="BD82">
        <v>0</v>
      </c>
    </row>
    <row r="83" spans="1:56" x14ac:dyDescent="0.25">
      <c r="A83">
        <v>35</v>
      </c>
      <c r="B83" t="str">
        <f>_xlfn.XLOOKUP(Table1[[#This Row],[Attrition]],Table2[Attrition],Table2[Id_Attrition])</f>
        <v>A002</v>
      </c>
      <c r="C83" t="s">
        <v>33</v>
      </c>
      <c r="D83" t="str">
        <f>_xlfn.XLOOKUP(Table1[[#This Row],[BusinessTravel]],Table5[BusinessTravel],Table5[Id_BusinessTravel])</f>
        <v>BS001</v>
      </c>
      <c r="E83" t="s">
        <v>34</v>
      </c>
      <c r="F83">
        <v>1214</v>
      </c>
      <c r="G83" t="str">
        <f>_xlfn.XLOOKUP(Table1[[#This Row],[Department]],Table6[Department],Table6[Id_Departement])</f>
        <v>D002</v>
      </c>
      <c r="H83" t="s">
        <v>38</v>
      </c>
      <c r="I83">
        <v>1</v>
      </c>
      <c r="J83" t="str">
        <f>_xlfn.XLOOKUP(Table1[[#This Row],[Education]],Table8[Education],Table8[Id_Education])</f>
        <v>E003</v>
      </c>
      <c r="K83">
        <v>3</v>
      </c>
      <c r="L83" t="str">
        <f>_xlfn.XLOOKUP(Table1[[#This Row],[EducationField]],Table7[EducationField],Table7[Id_EducationField])</f>
        <v>EF003</v>
      </c>
      <c r="M83" t="s">
        <v>42</v>
      </c>
      <c r="N83" t="str">
        <f>_xlfn.XLOOKUP(Table1[[#This Row],[EmployeeNumber]],Table4[EmployeeNumber],Table4[Id_Employee])</f>
        <v>EMP00082</v>
      </c>
      <c r="O83">
        <v>105</v>
      </c>
      <c r="P83" t="str">
        <f>_xlfn.XLOOKUP(Table1[[#This Row],[EnvironmentSatisfaction]],Table9[EnvironmentSatisfaction],Table9[Id_EnviromentSatisfaction])</f>
        <v>ES002</v>
      </c>
      <c r="Q83">
        <v>2</v>
      </c>
      <c r="R83" t="str">
        <f>_xlfn.XLOOKUP(Table1[[#This Row],[EnvironmentSatisfaction]],Table9[EnvironmentSatisfaction],Table9[Deskripsi])</f>
        <v>Medium</v>
      </c>
      <c r="S83" t="str">
        <f>_xlfn.XLOOKUP(Table1[[#This Row],[Gender]],Table10[Gender],Table10[Id_Gender])</f>
        <v>G002</v>
      </c>
      <c r="T83" t="s">
        <v>46</v>
      </c>
      <c r="U83">
        <v>30</v>
      </c>
      <c r="V83" t="str">
        <f>_xlfn.XLOOKUP(Table1[[#This Row],[JobInvolvement]],Table11[JobInvolvement],Table11[Id_JobInvolvement])</f>
        <v>JI002</v>
      </c>
      <c r="W83">
        <v>2</v>
      </c>
      <c r="X83" t="str">
        <f>_xlfn.XLOOKUP(Table1[[#This Row],[JobLevel]],Table12[JobLevel],Table12[Id_JobLevel])</f>
        <v>JL001</v>
      </c>
      <c r="Y83">
        <v>1</v>
      </c>
      <c r="Z83" t="str">
        <f>_xlfn.XLOOKUP(Table1[[#This Row],[JobRole]],Table13[JobRole],Table13[Id_JobRole])</f>
        <v>JR002</v>
      </c>
      <c r="AA83" t="s">
        <v>48</v>
      </c>
      <c r="AB83" t="str">
        <f>_xlfn.XLOOKUP(Table1[[#This Row],[JobSatisfaction]],Table14[JobSatisfaction],Table14[Id_JobSatisfaction])</f>
        <v>JS003</v>
      </c>
      <c r="AC83">
        <v>3</v>
      </c>
      <c r="AD83" t="str">
        <f>_xlfn.XLOOKUP(Table1[[#This Row],[JobSatisfaction]],Table14[JobSatisfaction],Table14[Deskripsi])</f>
        <v>High</v>
      </c>
      <c r="AE83" t="str">
        <f>_xlfn.XLOOKUP(Table1[[#This Row],[MaritalStatus]],Table15[MaritalStatus],Table15[Id_MaritalStatus])</f>
        <v>MS001</v>
      </c>
      <c r="AF83" t="s">
        <v>55</v>
      </c>
      <c r="AG83">
        <v>2859</v>
      </c>
      <c r="AH83">
        <v>26278</v>
      </c>
      <c r="AI83">
        <v>1</v>
      </c>
      <c r="AJ83" t="str">
        <f>_xlfn.XLOOKUP(Table1[[#This Row],[OverTime]],Table16[OverTime],Table16[Id_OverTime])</f>
        <v>OT002</v>
      </c>
      <c r="AK83" t="s">
        <v>33</v>
      </c>
      <c r="AL83">
        <v>18</v>
      </c>
      <c r="AM83" t="str">
        <f>_xlfn.XLOOKUP(Table1[[#This Row],[PerformanceRating]],Table17[PerformanceRating],Table17[Id_PerformanceRating])</f>
        <v>PR003</v>
      </c>
      <c r="AN83">
        <v>3</v>
      </c>
      <c r="AO83" t="str">
        <f>_xlfn.XLOOKUP(Table1[[#This Row],[PerformanceRating]],Table17[PerformanceRating],Table17[Deskripsi])</f>
        <v>Excellent</v>
      </c>
      <c r="AP83" t="str">
        <f>_xlfn.XLOOKUP(Table1[[#This Row],[RelationshipSatisfaction]],Table18[RelationshipSatisfaction],Table18[Id_RelationshipSatisfaction])</f>
        <v>RS001</v>
      </c>
      <c r="AQ83">
        <v>1</v>
      </c>
      <c r="AR83" t="str">
        <f>_xlfn.XLOOKUP(Table1[[#This Row],[RelationshipSatisfaction]],Table18[RelationshipSatisfaction],Table18[Deskripsi])</f>
        <v>Low</v>
      </c>
      <c r="AS83" t="str">
        <f>_xlfn.XLOOKUP(Table1[[#This Row],[StockOptionLevel]],Table19[StockOptionLevel],Table19[Id_StockOptionLevel])</f>
        <v>SOL001</v>
      </c>
      <c r="AT83">
        <v>0</v>
      </c>
      <c r="AU83" t="str">
        <f>_xlfn.XLOOKUP(Table1[[#This Row],[StockOptionLevel]],Table19[StockOptionLevel],Table19[Deskripsi])</f>
        <v>Non-Eligible</v>
      </c>
      <c r="AV83">
        <v>6</v>
      </c>
      <c r="AW83">
        <v>3</v>
      </c>
      <c r="AX83" t="str">
        <f>_xlfn.XLOOKUP(Table1[[#This Row],[WorkLifeBalance]],Table20[WorkLifeBalance],Table20[Id_WorkLifeBalance])</f>
        <v>WLB002</v>
      </c>
      <c r="AY83">
        <v>3</v>
      </c>
      <c r="AZ83" t="str">
        <f>_xlfn.XLOOKUP(Table1[[#This Row],[WorkLifeBalance]],Table20[WorkLifeBalance],Table20[Deskripsi])</f>
        <v>Good</v>
      </c>
      <c r="BA83">
        <v>6</v>
      </c>
      <c r="BB83">
        <v>4</v>
      </c>
      <c r="BC83">
        <v>0</v>
      </c>
      <c r="BD83">
        <v>4</v>
      </c>
    </row>
    <row r="84" spans="1:56" x14ac:dyDescent="0.25">
      <c r="A84">
        <v>55</v>
      </c>
      <c r="B84" t="str">
        <f>_xlfn.XLOOKUP(Table1[[#This Row],[Attrition]],Table2[Attrition],Table2[Id_Attrition])</f>
        <v>A002</v>
      </c>
      <c r="C84" t="s">
        <v>33</v>
      </c>
      <c r="D84" t="str">
        <f>_xlfn.XLOOKUP(Table1[[#This Row],[BusinessTravel]],Table5[BusinessTravel],Table5[Id_BusinessTravel])</f>
        <v>BS001</v>
      </c>
      <c r="E84" t="s">
        <v>34</v>
      </c>
      <c r="F84">
        <v>111</v>
      </c>
      <c r="G84" t="str">
        <f>_xlfn.XLOOKUP(Table1[[#This Row],[Department]],Table6[Department],Table6[Id_Departement])</f>
        <v>D001</v>
      </c>
      <c r="H84" t="s">
        <v>37</v>
      </c>
      <c r="I84">
        <v>1</v>
      </c>
      <c r="J84" t="str">
        <f>_xlfn.XLOOKUP(Table1[[#This Row],[Education]],Table8[Education],Table8[Id_Education])</f>
        <v>E002</v>
      </c>
      <c r="K84">
        <v>2</v>
      </c>
      <c r="L84" t="str">
        <f>_xlfn.XLOOKUP(Table1[[#This Row],[EducationField]],Table7[EducationField],Table7[Id_EducationField])</f>
        <v>EF001</v>
      </c>
      <c r="M84" t="s">
        <v>40</v>
      </c>
      <c r="N84" t="str">
        <f>_xlfn.XLOOKUP(Table1[[#This Row],[EmployeeNumber]],Table4[EmployeeNumber],Table4[Id_Employee])</f>
        <v>EMP00083</v>
      </c>
      <c r="O84">
        <v>106</v>
      </c>
      <c r="P84" t="str">
        <f>_xlfn.XLOOKUP(Table1[[#This Row],[EnvironmentSatisfaction]],Table9[EnvironmentSatisfaction],Table9[Id_EnviromentSatisfaction])</f>
        <v>ES001</v>
      </c>
      <c r="Q84">
        <v>1</v>
      </c>
      <c r="R84" t="str">
        <f>_xlfn.XLOOKUP(Table1[[#This Row],[EnvironmentSatisfaction]],Table9[EnvironmentSatisfaction],Table9[Deskripsi])</f>
        <v>Low</v>
      </c>
      <c r="S84" t="str">
        <f>_xlfn.XLOOKUP(Table1[[#This Row],[Gender]],Table10[Gender],Table10[Id_Gender])</f>
        <v>G002</v>
      </c>
      <c r="T84" t="s">
        <v>46</v>
      </c>
      <c r="U84">
        <v>70</v>
      </c>
      <c r="V84" t="str">
        <f>_xlfn.XLOOKUP(Table1[[#This Row],[JobInvolvement]],Table11[JobInvolvement],Table11[Id_JobInvolvement])</f>
        <v>JI003</v>
      </c>
      <c r="W84">
        <v>3</v>
      </c>
      <c r="X84" t="str">
        <f>_xlfn.XLOOKUP(Table1[[#This Row],[JobLevel]],Table12[JobLevel],Table12[Id_JobLevel])</f>
        <v>JL003</v>
      </c>
      <c r="Y84">
        <v>3</v>
      </c>
      <c r="Z84" t="str">
        <f>_xlfn.XLOOKUP(Table1[[#This Row],[JobRole]],Table13[JobRole],Table13[Id_JobRole])</f>
        <v>JR001</v>
      </c>
      <c r="AA84" t="s">
        <v>47</v>
      </c>
      <c r="AB84" t="str">
        <f>_xlfn.XLOOKUP(Table1[[#This Row],[JobSatisfaction]],Table14[JobSatisfaction],Table14[Id_JobSatisfaction])</f>
        <v>JS004</v>
      </c>
      <c r="AC84">
        <v>4</v>
      </c>
      <c r="AD84" t="str">
        <f>_xlfn.XLOOKUP(Table1[[#This Row],[JobSatisfaction]],Table14[JobSatisfaction],Table14[Deskripsi])</f>
        <v>Very High</v>
      </c>
      <c r="AE84" t="str">
        <f>_xlfn.XLOOKUP(Table1[[#This Row],[MaritalStatus]],Table15[MaritalStatus],Table15[Id_MaritalStatus])</f>
        <v>MS002</v>
      </c>
      <c r="AF84" t="s">
        <v>56</v>
      </c>
      <c r="AG84">
        <v>10239</v>
      </c>
      <c r="AH84">
        <v>18092</v>
      </c>
      <c r="AI84">
        <v>3</v>
      </c>
      <c r="AJ84" t="str">
        <f>_xlfn.XLOOKUP(Table1[[#This Row],[OverTime]],Table16[OverTime],Table16[Id_OverTime])</f>
        <v>OT002</v>
      </c>
      <c r="AK84" t="s">
        <v>33</v>
      </c>
      <c r="AL84">
        <v>14</v>
      </c>
      <c r="AM84" t="str">
        <f>_xlfn.XLOOKUP(Table1[[#This Row],[PerformanceRating]],Table17[PerformanceRating],Table17[Id_PerformanceRating])</f>
        <v>PR003</v>
      </c>
      <c r="AN84">
        <v>3</v>
      </c>
      <c r="AO84" t="str">
        <f>_xlfn.XLOOKUP(Table1[[#This Row],[PerformanceRating]],Table17[PerformanceRating],Table17[Deskripsi])</f>
        <v>Excellent</v>
      </c>
      <c r="AP84" t="str">
        <f>_xlfn.XLOOKUP(Table1[[#This Row],[RelationshipSatisfaction]],Table18[RelationshipSatisfaction],Table18[Id_RelationshipSatisfaction])</f>
        <v>RS004</v>
      </c>
      <c r="AQ84">
        <v>4</v>
      </c>
      <c r="AR84" t="str">
        <f>_xlfn.XLOOKUP(Table1[[#This Row],[RelationshipSatisfaction]],Table18[RelationshipSatisfaction],Table18[Deskripsi])</f>
        <v>Very High</v>
      </c>
      <c r="AS84" t="str">
        <f>_xlfn.XLOOKUP(Table1[[#This Row],[StockOptionLevel]],Table19[StockOptionLevel],Table19[Id_StockOptionLevel])</f>
        <v>SOL002</v>
      </c>
      <c r="AT84">
        <v>1</v>
      </c>
      <c r="AU84" t="str">
        <f>_xlfn.XLOOKUP(Table1[[#This Row],[StockOptionLevel]],Table19[StockOptionLevel],Table19[Deskripsi])</f>
        <v>Standard</v>
      </c>
      <c r="AV84">
        <v>24</v>
      </c>
      <c r="AW84">
        <v>4</v>
      </c>
      <c r="AX84" t="str">
        <f>_xlfn.XLOOKUP(Table1[[#This Row],[WorkLifeBalance]],Table20[WorkLifeBalance],Table20[Id_WorkLifeBalance])</f>
        <v>WLB002</v>
      </c>
      <c r="AY84">
        <v>3</v>
      </c>
      <c r="AZ84" t="str">
        <f>_xlfn.XLOOKUP(Table1[[#This Row],[WorkLifeBalance]],Table20[WorkLifeBalance],Table20[Deskripsi])</f>
        <v>Good</v>
      </c>
      <c r="BA84">
        <v>1</v>
      </c>
      <c r="BB84">
        <v>0</v>
      </c>
      <c r="BC84">
        <v>1</v>
      </c>
      <c r="BD84">
        <v>0</v>
      </c>
    </row>
    <row r="85" spans="1:56" x14ac:dyDescent="0.25">
      <c r="A85">
        <v>38</v>
      </c>
      <c r="B85" t="str">
        <f>_xlfn.XLOOKUP(Table1[[#This Row],[Attrition]],Table2[Attrition],Table2[Id_Attrition])</f>
        <v>A002</v>
      </c>
      <c r="C85" t="s">
        <v>33</v>
      </c>
      <c r="D85" t="str">
        <f>_xlfn.XLOOKUP(Table1[[#This Row],[BusinessTravel]],Table5[BusinessTravel],Table5[Id_BusinessTravel])</f>
        <v>BS003</v>
      </c>
      <c r="E85" t="s">
        <v>36</v>
      </c>
      <c r="F85">
        <v>573</v>
      </c>
      <c r="G85" t="str">
        <f>_xlfn.XLOOKUP(Table1[[#This Row],[Department]],Table6[Department],Table6[Id_Departement])</f>
        <v>D002</v>
      </c>
      <c r="H85" t="s">
        <v>38</v>
      </c>
      <c r="I85">
        <v>6</v>
      </c>
      <c r="J85" t="str">
        <f>_xlfn.XLOOKUP(Table1[[#This Row],[Education]],Table8[Education],Table8[Id_Education])</f>
        <v>E003</v>
      </c>
      <c r="K85">
        <v>3</v>
      </c>
      <c r="L85" t="str">
        <f>_xlfn.XLOOKUP(Table1[[#This Row],[EducationField]],Table7[EducationField],Table7[Id_EducationField])</f>
        <v>EF003</v>
      </c>
      <c r="M85" t="s">
        <v>42</v>
      </c>
      <c r="N85" t="str">
        <f>_xlfn.XLOOKUP(Table1[[#This Row],[EmployeeNumber]],Table4[EmployeeNumber],Table4[Id_Employee])</f>
        <v>EMP00084</v>
      </c>
      <c r="O85">
        <v>107</v>
      </c>
      <c r="P85" t="str">
        <f>_xlfn.XLOOKUP(Table1[[#This Row],[EnvironmentSatisfaction]],Table9[EnvironmentSatisfaction],Table9[Id_EnviromentSatisfaction])</f>
        <v>ES002</v>
      </c>
      <c r="Q85">
        <v>2</v>
      </c>
      <c r="R85" t="str">
        <f>_xlfn.XLOOKUP(Table1[[#This Row],[EnvironmentSatisfaction]],Table9[EnvironmentSatisfaction],Table9[Deskripsi])</f>
        <v>Medium</v>
      </c>
      <c r="S85" t="str">
        <f>_xlfn.XLOOKUP(Table1[[#This Row],[Gender]],Table10[Gender],Table10[Id_Gender])</f>
        <v>G001</v>
      </c>
      <c r="T85" t="s">
        <v>45</v>
      </c>
      <c r="U85">
        <v>79</v>
      </c>
      <c r="V85" t="str">
        <f>_xlfn.XLOOKUP(Table1[[#This Row],[JobInvolvement]],Table11[JobInvolvement],Table11[Id_JobInvolvement])</f>
        <v>JI001</v>
      </c>
      <c r="W85">
        <v>1</v>
      </c>
      <c r="X85" t="str">
        <f>_xlfn.XLOOKUP(Table1[[#This Row],[JobLevel]],Table12[JobLevel],Table12[Id_JobLevel])</f>
        <v>JL002</v>
      </c>
      <c r="Y85">
        <v>2</v>
      </c>
      <c r="Z85" t="str">
        <f>_xlfn.XLOOKUP(Table1[[#This Row],[JobRole]],Table13[JobRole],Table13[Id_JobRole])</f>
        <v>JR002</v>
      </c>
      <c r="AA85" t="s">
        <v>48</v>
      </c>
      <c r="AB85" t="str">
        <f>_xlfn.XLOOKUP(Table1[[#This Row],[JobSatisfaction]],Table14[JobSatisfaction],Table14[Id_JobSatisfaction])</f>
        <v>JS004</v>
      </c>
      <c r="AC85">
        <v>4</v>
      </c>
      <c r="AD85" t="str">
        <f>_xlfn.XLOOKUP(Table1[[#This Row],[JobSatisfaction]],Table14[JobSatisfaction],Table14[Deskripsi])</f>
        <v>Very High</v>
      </c>
      <c r="AE85" t="str">
        <f>_xlfn.XLOOKUP(Table1[[#This Row],[MaritalStatus]],Table15[MaritalStatus],Table15[Id_MaritalStatus])</f>
        <v>MS003</v>
      </c>
      <c r="AF85" t="s">
        <v>57</v>
      </c>
      <c r="AG85">
        <v>5329</v>
      </c>
      <c r="AH85">
        <v>15717</v>
      </c>
      <c r="AI85">
        <v>7</v>
      </c>
      <c r="AJ85" t="str">
        <f>_xlfn.XLOOKUP(Table1[[#This Row],[OverTime]],Table16[OverTime],Table16[Id_OverTime])</f>
        <v>OT001</v>
      </c>
      <c r="AK85" t="s">
        <v>32</v>
      </c>
      <c r="AL85">
        <v>12</v>
      </c>
      <c r="AM85" t="str">
        <f>_xlfn.XLOOKUP(Table1[[#This Row],[PerformanceRating]],Table17[PerformanceRating],Table17[Id_PerformanceRating])</f>
        <v>PR003</v>
      </c>
      <c r="AN85">
        <v>3</v>
      </c>
      <c r="AO85" t="str">
        <f>_xlfn.XLOOKUP(Table1[[#This Row],[PerformanceRating]],Table17[PerformanceRating],Table17[Deskripsi])</f>
        <v>Excellent</v>
      </c>
      <c r="AP85" t="str">
        <f>_xlfn.XLOOKUP(Table1[[#This Row],[RelationshipSatisfaction]],Table18[RelationshipSatisfaction],Table18[Id_RelationshipSatisfaction])</f>
        <v>RS004</v>
      </c>
      <c r="AQ85">
        <v>4</v>
      </c>
      <c r="AR85" t="str">
        <f>_xlfn.XLOOKUP(Table1[[#This Row],[RelationshipSatisfaction]],Table18[RelationshipSatisfaction],Table18[Deskripsi])</f>
        <v>Very High</v>
      </c>
      <c r="AS85" t="str">
        <f>_xlfn.XLOOKUP(Table1[[#This Row],[StockOptionLevel]],Table19[StockOptionLevel],Table19[Id_StockOptionLevel])</f>
        <v>SOL004</v>
      </c>
      <c r="AT85">
        <v>3</v>
      </c>
      <c r="AU85" t="str">
        <f>_xlfn.XLOOKUP(Table1[[#This Row],[StockOptionLevel]],Table19[StockOptionLevel],Table19[Deskripsi])</f>
        <v>Senior/Executive</v>
      </c>
      <c r="AV85">
        <v>17</v>
      </c>
      <c r="AW85">
        <v>3</v>
      </c>
      <c r="AX85" t="str">
        <f>_xlfn.XLOOKUP(Table1[[#This Row],[WorkLifeBalance]],Table20[WorkLifeBalance],Table20[Id_WorkLifeBalance])</f>
        <v>WLB002</v>
      </c>
      <c r="AY85">
        <v>3</v>
      </c>
      <c r="AZ85" t="str">
        <f>_xlfn.XLOOKUP(Table1[[#This Row],[WorkLifeBalance]],Table20[WorkLifeBalance],Table20[Deskripsi])</f>
        <v>Good</v>
      </c>
      <c r="BA85">
        <v>13</v>
      </c>
      <c r="BB85">
        <v>11</v>
      </c>
      <c r="BC85">
        <v>1</v>
      </c>
      <c r="BD85">
        <v>9</v>
      </c>
    </row>
    <row r="86" spans="1:56" x14ac:dyDescent="0.25">
      <c r="A86">
        <v>34</v>
      </c>
      <c r="B86" t="str">
        <f>_xlfn.XLOOKUP(Table1[[#This Row],[Attrition]],Table2[Attrition],Table2[Id_Attrition])</f>
        <v>A002</v>
      </c>
      <c r="C86" t="s">
        <v>33</v>
      </c>
      <c r="D86" t="str">
        <f>_xlfn.XLOOKUP(Table1[[#This Row],[BusinessTravel]],Table5[BusinessTravel],Table5[Id_BusinessTravel])</f>
        <v>BS001</v>
      </c>
      <c r="E86" t="s">
        <v>34</v>
      </c>
      <c r="F86">
        <v>1153</v>
      </c>
      <c r="G86" t="str">
        <f>_xlfn.XLOOKUP(Table1[[#This Row],[Department]],Table6[Department],Table6[Id_Departement])</f>
        <v>D002</v>
      </c>
      <c r="H86" t="s">
        <v>38</v>
      </c>
      <c r="I86">
        <v>1</v>
      </c>
      <c r="J86" t="str">
        <f>_xlfn.XLOOKUP(Table1[[#This Row],[Education]],Table8[Education],Table8[Id_Education])</f>
        <v>E002</v>
      </c>
      <c r="K86">
        <v>2</v>
      </c>
      <c r="L86" t="str">
        <f>_xlfn.XLOOKUP(Table1[[#This Row],[EducationField]],Table7[EducationField],Table7[Id_EducationField])</f>
        <v>EF003</v>
      </c>
      <c r="M86" t="s">
        <v>42</v>
      </c>
      <c r="N86" t="str">
        <f>_xlfn.XLOOKUP(Table1[[#This Row],[EmployeeNumber]],Table4[EmployeeNumber],Table4[Id_Employee])</f>
        <v>EMP00085</v>
      </c>
      <c r="O86">
        <v>110</v>
      </c>
      <c r="P86" t="str">
        <f>_xlfn.XLOOKUP(Table1[[#This Row],[EnvironmentSatisfaction]],Table9[EnvironmentSatisfaction],Table9[Id_EnviromentSatisfaction])</f>
        <v>ES001</v>
      </c>
      <c r="Q86">
        <v>1</v>
      </c>
      <c r="R86" t="str">
        <f>_xlfn.XLOOKUP(Table1[[#This Row],[EnvironmentSatisfaction]],Table9[EnvironmentSatisfaction],Table9[Deskripsi])</f>
        <v>Low</v>
      </c>
      <c r="S86" t="str">
        <f>_xlfn.XLOOKUP(Table1[[#This Row],[Gender]],Table10[Gender],Table10[Id_Gender])</f>
        <v>G002</v>
      </c>
      <c r="T86" t="s">
        <v>46</v>
      </c>
      <c r="U86">
        <v>94</v>
      </c>
      <c r="V86" t="str">
        <f>_xlfn.XLOOKUP(Table1[[#This Row],[JobInvolvement]],Table11[JobInvolvement],Table11[Id_JobInvolvement])</f>
        <v>JI003</v>
      </c>
      <c r="W86">
        <v>3</v>
      </c>
      <c r="X86" t="str">
        <f>_xlfn.XLOOKUP(Table1[[#This Row],[JobLevel]],Table12[JobLevel],Table12[Id_JobLevel])</f>
        <v>JL002</v>
      </c>
      <c r="Y86">
        <v>2</v>
      </c>
      <c r="Z86" t="str">
        <f>_xlfn.XLOOKUP(Table1[[#This Row],[JobRole]],Table13[JobRole],Table13[Id_JobRole])</f>
        <v>JR004</v>
      </c>
      <c r="AA86" t="s">
        <v>50</v>
      </c>
      <c r="AB86" t="str">
        <f>_xlfn.XLOOKUP(Table1[[#This Row],[JobSatisfaction]],Table14[JobSatisfaction],Table14[Id_JobSatisfaction])</f>
        <v>JS002</v>
      </c>
      <c r="AC86">
        <v>2</v>
      </c>
      <c r="AD86" t="str">
        <f>_xlfn.XLOOKUP(Table1[[#This Row],[JobSatisfaction]],Table14[JobSatisfaction],Table14[Deskripsi])</f>
        <v>Medium</v>
      </c>
      <c r="AE86" t="str">
        <f>_xlfn.XLOOKUP(Table1[[#This Row],[MaritalStatus]],Table15[MaritalStatus],Table15[Id_MaritalStatus])</f>
        <v>MS002</v>
      </c>
      <c r="AF86" t="s">
        <v>56</v>
      </c>
      <c r="AG86">
        <v>4325</v>
      </c>
      <c r="AH86">
        <v>17736</v>
      </c>
      <c r="AI86">
        <v>1</v>
      </c>
      <c r="AJ86" t="str">
        <f>_xlfn.XLOOKUP(Table1[[#This Row],[OverTime]],Table16[OverTime],Table16[Id_OverTime])</f>
        <v>OT002</v>
      </c>
      <c r="AK86" t="s">
        <v>33</v>
      </c>
      <c r="AL86">
        <v>15</v>
      </c>
      <c r="AM86" t="str">
        <f>_xlfn.XLOOKUP(Table1[[#This Row],[PerformanceRating]],Table17[PerformanceRating],Table17[Id_PerformanceRating])</f>
        <v>PR003</v>
      </c>
      <c r="AN86">
        <v>3</v>
      </c>
      <c r="AO86" t="str">
        <f>_xlfn.XLOOKUP(Table1[[#This Row],[PerformanceRating]],Table17[PerformanceRating],Table17[Deskripsi])</f>
        <v>Excellent</v>
      </c>
      <c r="AP86" t="str">
        <f>_xlfn.XLOOKUP(Table1[[#This Row],[RelationshipSatisfaction]],Table18[RelationshipSatisfaction],Table18[Id_RelationshipSatisfaction])</f>
        <v>RS003</v>
      </c>
      <c r="AQ86">
        <v>3</v>
      </c>
      <c r="AR86" t="str">
        <f>_xlfn.XLOOKUP(Table1[[#This Row],[RelationshipSatisfaction]],Table18[RelationshipSatisfaction],Table18[Deskripsi])</f>
        <v>High</v>
      </c>
      <c r="AS86" t="str">
        <f>_xlfn.XLOOKUP(Table1[[#This Row],[StockOptionLevel]],Table19[StockOptionLevel],Table19[Id_StockOptionLevel])</f>
        <v>SOL001</v>
      </c>
      <c r="AT86">
        <v>0</v>
      </c>
      <c r="AU86" t="str">
        <f>_xlfn.XLOOKUP(Table1[[#This Row],[StockOptionLevel]],Table19[StockOptionLevel],Table19[Deskripsi])</f>
        <v>Non-Eligible</v>
      </c>
      <c r="AV86">
        <v>5</v>
      </c>
      <c r="AW86">
        <v>2</v>
      </c>
      <c r="AX86" t="str">
        <f>_xlfn.XLOOKUP(Table1[[#This Row],[WorkLifeBalance]],Table20[WorkLifeBalance],Table20[Id_WorkLifeBalance])</f>
        <v>WLB002</v>
      </c>
      <c r="AY86">
        <v>3</v>
      </c>
      <c r="AZ86" t="str">
        <f>_xlfn.XLOOKUP(Table1[[#This Row],[WorkLifeBalance]],Table20[WorkLifeBalance],Table20[Deskripsi])</f>
        <v>Good</v>
      </c>
      <c r="BA86">
        <v>5</v>
      </c>
      <c r="BB86">
        <v>2</v>
      </c>
      <c r="BC86">
        <v>1</v>
      </c>
      <c r="BD86">
        <v>3</v>
      </c>
    </row>
    <row r="87" spans="1:56" x14ac:dyDescent="0.25">
      <c r="A87">
        <v>56</v>
      </c>
      <c r="B87" t="str">
        <f>_xlfn.XLOOKUP(Table1[[#This Row],[Attrition]],Table2[Attrition],Table2[Id_Attrition])</f>
        <v>A002</v>
      </c>
      <c r="C87" t="s">
        <v>33</v>
      </c>
      <c r="D87" t="str">
        <f>_xlfn.XLOOKUP(Table1[[#This Row],[BusinessTravel]],Table5[BusinessTravel],Table5[Id_BusinessTravel])</f>
        <v>BS001</v>
      </c>
      <c r="E87" t="s">
        <v>34</v>
      </c>
      <c r="F87">
        <v>1400</v>
      </c>
      <c r="G87" t="str">
        <f>_xlfn.XLOOKUP(Table1[[#This Row],[Department]],Table6[Department],Table6[Id_Departement])</f>
        <v>D002</v>
      </c>
      <c r="H87" t="s">
        <v>38</v>
      </c>
      <c r="I87">
        <v>7</v>
      </c>
      <c r="J87" t="str">
        <f>_xlfn.XLOOKUP(Table1[[#This Row],[Education]],Table8[Education],Table8[Id_Education])</f>
        <v>E003</v>
      </c>
      <c r="K87">
        <v>3</v>
      </c>
      <c r="L87" t="str">
        <f>_xlfn.XLOOKUP(Table1[[#This Row],[EducationField]],Table7[EducationField],Table7[Id_EducationField])</f>
        <v>EF001</v>
      </c>
      <c r="M87" t="s">
        <v>40</v>
      </c>
      <c r="N87" t="str">
        <f>_xlfn.XLOOKUP(Table1[[#This Row],[EmployeeNumber]],Table4[EmployeeNumber],Table4[Id_Employee])</f>
        <v>EMP00086</v>
      </c>
      <c r="O87">
        <v>112</v>
      </c>
      <c r="P87" t="str">
        <f>_xlfn.XLOOKUP(Table1[[#This Row],[EnvironmentSatisfaction]],Table9[EnvironmentSatisfaction],Table9[Id_EnviromentSatisfaction])</f>
        <v>ES004</v>
      </c>
      <c r="Q87">
        <v>4</v>
      </c>
      <c r="R87" t="str">
        <f>_xlfn.XLOOKUP(Table1[[#This Row],[EnvironmentSatisfaction]],Table9[EnvironmentSatisfaction],Table9[Deskripsi])</f>
        <v>Very High</v>
      </c>
      <c r="S87" t="str">
        <f>_xlfn.XLOOKUP(Table1[[#This Row],[Gender]],Table10[Gender],Table10[Id_Gender])</f>
        <v>G002</v>
      </c>
      <c r="T87" t="s">
        <v>46</v>
      </c>
      <c r="U87">
        <v>49</v>
      </c>
      <c r="V87" t="str">
        <f>_xlfn.XLOOKUP(Table1[[#This Row],[JobInvolvement]],Table11[JobInvolvement],Table11[Id_JobInvolvement])</f>
        <v>JI001</v>
      </c>
      <c r="W87">
        <v>1</v>
      </c>
      <c r="X87" t="str">
        <f>_xlfn.XLOOKUP(Table1[[#This Row],[JobLevel]],Table12[JobLevel],Table12[Id_JobLevel])</f>
        <v>JL003</v>
      </c>
      <c r="Y87">
        <v>3</v>
      </c>
      <c r="Z87" t="str">
        <f>_xlfn.XLOOKUP(Table1[[#This Row],[JobRole]],Table13[JobRole],Table13[Id_JobRole])</f>
        <v>JR004</v>
      </c>
      <c r="AA87" t="s">
        <v>50</v>
      </c>
      <c r="AB87" t="str">
        <f>_xlfn.XLOOKUP(Table1[[#This Row],[JobSatisfaction]],Table14[JobSatisfaction],Table14[Id_JobSatisfaction])</f>
        <v>JS004</v>
      </c>
      <c r="AC87">
        <v>4</v>
      </c>
      <c r="AD87" t="str">
        <f>_xlfn.XLOOKUP(Table1[[#This Row],[JobSatisfaction]],Table14[JobSatisfaction],Table14[Deskripsi])</f>
        <v>Very High</v>
      </c>
      <c r="AE87" t="str">
        <f>_xlfn.XLOOKUP(Table1[[#This Row],[MaritalStatus]],Table15[MaritalStatus],Table15[Id_MaritalStatus])</f>
        <v>MS001</v>
      </c>
      <c r="AF87" t="s">
        <v>55</v>
      </c>
      <c r="AG87">
        <v>7260</v>
      </c>
      <c r="AH87">
        <v>21698</v>
      </c>
      <c r="AI87">
        <v>4</v>
      </c>
      <c r="AJ87" t="str">
        <f>_xlfn.XLOOKUP(Table1[[#This Row],[OverTime]],Table16[OverTime],Table16[Id_OverTime])</f>
        <v>OT002</v>
      </c>
      <c r="AK87" t="s">
        <v>33</v>
      </c>
      <c r="AL87">
        <v>11</v>
      </c>
      <c r="AM87" t="str">
        <f>_xlfn.XLOOKUP(Table1[[#This Row],[PerformanceRating]],Table17[PerformanceRating],Table17[Id_PerformanceRating])</f>
        <v>PR003</v>
      </c>
      <c r="AN87">
        <v>3</v>
      </c>
      <c r="AO87" t="str">
        <f>_xlfn.XLOOKUP(Table1[[#This Row],[PerformanceRating]],Table17[PerformanceRating],Table17[Deskripsi])</f>
        <v>Excellent</v>
      </c>
      <c r="AP87" t="str">
        <f>_xlfn.XLOOKUP(Table1[[#This Row],[RelationshipSatisfaction]],Table18[RelationshipSatisfaction],Table18[Id_RelationshipSatisfaction])</f>
        <v>RS001</v>
      </c>
      <c r="AQ87">
        <v>1</v>
      </c>
      <c r="AR87" t="str">
        <f>_xlfn.XLOOKUP(Table1[[#This Row],[RelationshipSatisfaction]],Table18[RelationshipSatisfaction],Table18[Deskripsi])</f>
        <v>Low</v>
      </c>
      <c r="AS87" t="str">
        <f>_xlfn.XLOOKUP(Table1[[#This Row],[StockOptionLevel]],Table19[StockOptionLevel],Table19[Id_StockOptionLevel])</f>
        <v>SOL001</v>
      </c>
      <c r="AT87">
        <v>0</v>
      </c>
      <c r="AU87" t="str">
        <f>_xlfn.XLOOKUP(Table1[[#This Row],[StockOptionLevel]],Table19[StockOptionLevel],Table19[Deskripsi])</f>
        <v>Non-Eligible</v>
      </c>
      <c r="AV87">
        <v>37</v>
      </c>
      <c r="AW87">
        <v>3</v>
      </c>
      <c r="AX87" t="str">
        <f>_xlfn.XLOOKUP(Table1[[#This Row],[WorkLifeBalance]],Table20[WorkLifeBalance],Table20[Id_WorkLifeBalance])</f>
        <v>WLB003</v>
      </c>
      <c r="AY87">
        <v>2</v>
      </c>
      <c r="AZ87" t="str">
        <f>_xlfn.XLOOKUP(Table1[[#This Row],[WorkLifeBalance]],Table20[WorkLifeBalance],Table20[Deskripsi])</f>
        <v>Better</v>
      </c>
      <c r="BA87">
        <v>6</v>
      </c>
      <c r="BB87">
        <v>4</v>
      </c>
      <c r="BC87">
        <v>0</v>
      </c>
      <c r="BD87">
        <v>2</v>
      </c>
    </row>
    <row r="88" spans="1:56" x14ac:dyDescent="0.25">
      <c r="A88">
        <v>23</v>
      </c>
      <c r="B88" t="str">
        <f>_xlfn.XLOOKUP(Table1[[#This Row],[Attrition]],Table2[Attrition],Table2[Id_Attrition])</f>
        <v>A002</v>
      </c>
      <c r="C88" t="s">
        <v>33</v>
      </c>
      <c r="D88" t="str">
        <f>_xlfn.XLOOKUP(Table1[[#This Row],[BusinessTravel]],Table5[BusinessTravel],Table5[Id_BusinessTravel])</f>
        <v>BS001</v>
      </c>
      <c r="E88" t="s">
        <v>34</v>
      </c>
      <c r="F88">
        <v>541</v>
      </c>
      <c r="G88" t="str">
        <f>_xlfn.XLOOKUP(Table1[[#This Row],[Department]],Table6[Department],Table6[Id_Departement])</f>
        <v>D001</v>
      </c>
      <c r="H88" t="s">
        <v>37</v>
      </c>
      <c r="I88">
        <v>2</v>
      </c>
      <c r="J88" t="str">
        <f>_xlfn.XLOOKUP(Table1[[#This Row],[Education]],Table8[Education],Table8[Id_Education])</f>
        <v>E001</v>
      </c>
      <c r="K88">
        <v>1</v>
      </c>
      <c r="L88" t="str">
        <f>_xlfn.XLOOKUP(Table1[[#This Row],[EducationField]],Table7[EducationField],Table7[Id_EducationField])</f>
        <v>EF005</v>
      </c>
      <c r="M88" t="s">
        <v>44</v>
      </c>
      <c r="N88" t="str">
        <f>_xlfn.XLOOKUP(Table1[[#This Row],[EmployeeNumber]],Table4[EmployeeNumber],Table4[Id_Employee])</f>
        <v>EMP00087</v>
      </c>
      <c r="O88">
        <v>113</v>
      </c>
      <c r="P88" t="str">
        <f>_xlfn.XLOOKUP(Table1[[#This Row],[EnvironmentSatisfaction]],Table9[EnvironmentSatisfaction],Table9[Id_EnviromentSatisfaction])</f>
        <v>ES003</v>
      </c>
      <c r="Q88">
        <v>3</v>
      </c>
      <c r="R88" t="str">
        <f>_xlfn.XLOOKUP(Table1[[#This Row],[EnvironmentSatisfaction]],Table9[EnvironmentSatisfaction],Table9[Deskripsi])</f>
        <v>High</v>
      </c>
      <c r="S88" t="str">
        <f>_xlfn.XLOOKUP(Table1[[#This Row],[Gender]],Table10[Gender],Table10[Id_Gender])</f>
        <v>G002</v>
      </c>
      <c r="T88" t="s">
        <v>46</v>
      </c>
      <c r="U88">
        <v>62</v>
      </c>
      <c r="V88" t="str">
        <f>_xlfn.XLOOKUP(Table1[[#This Row],[JobInvolvement]],Table11[JobInvolvement],Table11[Id_JobInvolvement])</f>
        <v>JI003</v>
      </c>
      <c r="W88">
        <v>3</v>
      </c>
      <c r="X88" t="str">
        <f>_xlfn.XLOOKUP(Table1[[#This Row],[JobLevel]],Table12[JobLevel],Table12[Id_JobLevel])</f>
        <v>JL001</v>
      </c>
      <c r="Y88">
        <v>1</v>
      </c>
      <c r="Z88" t="str">
        <f>_xlfn.XLOOKUP(Table1[[#This Row],[JobRole]],Table13[JobRole],Table13[Id_JobRole])</f>
        <v>JR007</v>
      </c>
      <c r="AA88" t="s">
        <v>53</v>
      </c>
      <c r="AB88" t="str">
        <f>_xlfn.XLOOKUP(Table1[[#This Row],[JobSatisfaction]],Table14[JobSatisfaction],Table14[Id_JobSatisfaction])</f>
        <v>JS001</v>
      </c>
      <c r="AC88">
        <v>1</v>
      </c>
      <c r="AD88" t="str">
        <f>_xlfn.XLOOKUP(Table1[[#This Row],[JobSatisfaction]],Table14[JobSatisfaction],Table14[Deskripsi])</f>
        <v>Low</v>
      </c>
      <c r="AE88" t="str">
        <f>_xlfn.XLOOKUP(Table1[[#This Row],[MaritalStatus]],Table15[MaritalStatus],Table15[Id_MaritalStatus])</f>
        <v>MS003</v>
      </c>
      <c r="AF88" t="s">
        <v>57</v>
      </c>
      <c r="AG88">
        <v>2322</v>
      </c>
      <c r="AH88">
        <v>9518</v>
      </c>
      <c r="AI88">
        <v>3</v>
      </c>
      <c r="AJ88" t="str">
        <f>_xlfn.XLOOKUP(Table1[[#This Row],[OverTime]],Table16[OverTime],Table16[Id_OverTime])</f>
        <v>OT002</v>
      </c>
      <c r="AK88" t="s">
        <v>33</v>
      </c>
      <c r="AL88">
        <v>13</v>
      </c>
      <c r="AM88" t="str">
        <f>_xlfn.XLOOKUP(Table1[[#This Row],[PerformanceRating]],Table17[PerformanceRating],Table17[Id_PerformanceRating])</f>
        <v>PR003</v>
      </c>
      <c r="AN88">
        <v>3</v>
      </c>
      <c r="AO88" t="str">
        <f>_xlfn.XLOOKUP(Table1[[#This Row],[PerformanceRating]],Table17[PerformanceRating],Table17[Deskripsi])</f>
        <v>Excellent</v>
      </c>
      <c r="AP88" t="str">
        <f>_xlfn.XLOOKUP(Table1[[#This Row],[RelationshipSatisfaction]],Table18[RelationshipSatisfaction],Table18[Id_RelationshipSatisfaction])</f>
        <v>RS003</v>
      </c>
      <c r="AQ88">
        <v>3</v>
      </c>
      <c r="AR88" t="str">
        <f>_xlfn.XLOOKUP(Table1[[#This Row],[RelationshipSatisfaction]],Table18[RelationshipSatisfaction],Table18[Deskripsi])</f>
        <v>High</v>
      </c>
      <c r="AS88" t="str">
        <f>_xlfn.XLOOKUP(Table1[[#This Row],[StockOptionLevel]],Table19[StockOptionLevel],Table19[Id_StockOptionLevel])</f>
        <v>SOL002</v>
      </c>
      <c r="AT88">
        <v>1</v>
      </c>
      <c r="AU88" t="str">
        <f>_xlfn.XLOOKUP(Table1[[#This Row],[StockOptionLevel]],Table19[StockOptionLevel],Table19[Deskripsi])</f>
        <v>Standard</v>
      </c>
      <c r="AV88">
        <v>3</v>
      </c>
      <c r="AW88">
        <v>3</v>
      </c>
      <c r="AX88" t="str">
        <f>_xlfn.XLOOKUP(Table1[[#This Row],[WorkLifeBalance]],Table20[WorkLifeBalance],Table20[Id_WorkLifeBalance])</f>
        <v>WLB002</v>
      </c>
      <c r="AY88">
        <v>3</v>
      </c>
      <c r="AZ88" t="str">
        <f>_xlfn.XLOOKUP(Table1[[#This Row],[WorkLifeBalance]],Table20[WorkLifeBalance],Table20[Deskripsi])</f>
        <v>Good</v>
      </c>
      <c r="BA88">
        <v>0</v>
      </c>
      <c r="BB88">
        <v>0</v>
      </c>
      <c r="BC88">
        <v>0</v>
      </c>
      <c r="BD88">
        <v>0</v>
      </c>
    </row>
    <row r="89" spans="1:56" x14ac:dyDescent="0.25">
      <c r="A89">
        <v>51</v>
      </c>
      <c r="B89" t="str">
        <f>_xlfn.XLOOKUP(Table1[[#This Row],[Attrition]],Table2[Attrition],Table2[Id_Attrition])</f>
        <v>A002</v>
      </c>
      <c r="C89" t="s">
        <v>33</v>
      </c>
      <c r="D89" t="str">
        <f>_xlfn.XLOOKUP(Table1[[#This Row],[BusinessTravel]],Table5[BusinessTravel],Table5[Id_BusinessTravel])</f>
        <v>BS001</v>
      </c>
      <c r="E89" t="s">
        <v>34</v>
      </c>
      <c r="F89">
        <v>432</v>
      </c>
      <c r="G89" t="str">
        <f>_xlfn.XLOOKUP(Table1[[#This Row],[Department]],Table6[Department],Table6[Id_Departement])</f>
        <v>D002</v>
      </c>
      <c r="H89" t="s">
        <v>38</v>
      </c>
      <c r="I89">
        <v>9</v>
      </c>
      <c r="J89" t="str">
        <f>_xlfn.XLOOKUP(Table1[[#This Row],[Education]],Table8[Education],Table8[Id_Education])</f>
        <v>E004</v>
      </c>
      <c r="K89">
        <v>4</v>
      </c>
      <c r="L89" t="str">
        <f>_xlfn.XLOOKUP(Table1[[#This Row],[EducationField]],Table7[EducationField],Table7[Id_EducationField])</f>
        <v>EF001</v>
      </c>
      <c r="M89" t="s">
        <v>40</v>
      </c>
      <c r="N89" t="str">
        <f>_xlfn.XLOOKUP(Table1[[#This Row],[EmployeeNumber]],Table4[EmployeeNumber],Table4[Id_Employee])</f>
        <v>EMP00088</v>
      </c>
      <c r="O89">
        <v>116</v>
      </c>
      <c r="P89" t="str">
        <f>_xlfn.XLOOKUP(Table1[[#This Row],[EnvironmentSatisfaction]],Table9[EnvironmentSatisfaction],Table9[Id_EnviromentSatisfaction])</f>
        <v>ES004</v>
      </c>
      <c r="Q89">
        <v>4</v>
      </c>
      <c r="R89" t="str">
        <f>_xlfn.XLOOKUP(Table1[[#This Row],[EnvironmentSatisfaction]],Table9[EnvironmentSatisfaction],Table9[Deskripsi])</f>
        <v>Very High</v>
      </c>
      <c r="S89" t="str">
        <f>_xlfn.XLOOKUP(Table1[[#This Row],[Gender]],Table10[Gender],Table10[Id_Gender])</f>
        <v>G002</v>
      </c>
      <c r="T89" t="s">
        <v>46</v>
      </c>
      <c r="U89">
        <v>96</v>
      </c>
      <c r="V89" t="str">
        <f>_xlfn.XLOOKUP(Table1[[#This Row],[JobInvolvement]],Table11[JobInvolvement],Table11[Id_JobInvolvement])</f>
        <v>JI003</v>
      </c>
      <c r="W89">
        <v>3</v>
      </c>
      <c r="X89" t="str">
        <f>_xlfn.XLOOKUP(Table1[[#This Row],[JobLevel]],Table12[JobLevel],Table12[Id_JobLevel])</f>
        <v>JL001</v>
      </c>
      <c r="Y89">
        <v>1</v>
      </c>
      <c r="Z89" t="str">
        <f>_xlfn.XLOOKUP(Table1[[#This Row],[JobRole]],Table13[JobRole],Table13[Id_JobRole])</f>
        <v>JR003</v>
      </c>
      <c r="AA89" t="s">
        <v>49</v>
      </c>
      <c r="AB89" t="str">
        <f>_xlfn.XLOOKUP(Table1[[#This Row],[JobSatisfaction]],Table14[JobSatisfaction],Table14[Id_JobSatisfaction])</f>
        <v>JS004</v>
      </c>
      <c r="AC89">
        <v>4</v>
      </c>
      <c r="AD89" t="str">
        <f>_xlfn.XLOOKUP(Table1[[#This Row],[JobSatisfaction]],Table14[JobSatisfaction],Table14[Deskripsi])</f>
        <v>Very High</v>
      </c>
      <c r="AE89" t="str">
        <f>_xlfn.XLOOKUP(Table1[[#This Row],[MaritalStatus]],Table15[MaritalStatus],Table15[Id_MaritalStatus])</f>
        <v>MS002</v>
      </c>
      <c r="AF89" t="s">
        <v>56</v>
      </c>
      <c r="AG89">
        <v>2075</v>
      </c>
      <c r="AH89">
        <v>18725</v>
      </c>
      <c r="AI89">
        <v>3</v>
      </c>
      <c r="AJ89" t="str">
        <f>_xlfn.XLOOKUP(Table1[[#This Row],[OverTime]],Table16[OverTime],Table16[Id_OverTime])</f>
        <v>OT002</v>
      </c>
      <c r="AK89" t="s">
        <v>33</v>
      </c>
      <c r="AL89">
        <v>23</v>
      </c>
      <c r="AM89" t="str">
        <f>_xlfn.XLOOKUP(Table1[[#This Row],[PerformanceRating]],Table17[PerformanceRating],Table17[Id_PerformanceRating])</f>
        <v>PR004</v>
      </c>
      <c r="AN89">
        <v>4</v>
      </c>
      <c r="AO89" t="str">
        <f>_xlfn.XLOOKUP(Table1[[#This Row],[PerformanceRating]],Table17[PerformanceRating],Table17[Deskripsi])</f>
        <v>Outstanding</v>
      </c>
      <c r="AP89" t="str">
        <f>_xlfn.XLOOKUP(Table1[[#This Row],[RelationshipSatisfaction]],Table18[RelationshipSatisfaction],Table18[Id_RelationshipSatisfaction])</f>
        <v>RS002</v>
      </c>
      <c r="AQ89">
        <v>2</v>
      </c>
      <c r="AR89" t="str">
        <f>_xlfn.XLOOKUP(Table1[[#This Row],[RelationshipSatisfaction]],Table18[RelationshipSatisfaction],Table18[Deskripsi])</f>
        <v>Medium</v>
      </c>
      <c r="AS89" t="str">
        <f>_xlfn.XLOOKUP(Table1[[#This Row],[StockOptionLevel]],Table19[StockOptionLevel],Table19[Id_StockOptionLevel])</f>
        <v>SOL003</v>
      </c>
      <c r="AT89">
        <v>2</v>
      </c>
      <c r="AU89" t="str">
        <f>_xlfn.XLOOKUP(Table1[[#This Row],[StockOptionLevel]],Table19[StockOptionLevel],Table19[Deskripsi])</f>
        <v>Intermediate</v>
      </c>
      <c r="AV89">
        <v>10</v>
      </c>
      <c r="AW89">
        <v>4</v>
      </c>
      <c r="AX89" t="str">
        <f>_xlfn.XLOOKUP(Table1[[#This Row],[WorkLifeBalance]],Table20[WorkLifeBalance],Table20[Id_WorkLifeBalance])</f>
        <v>WLB002</v>
      </c>
      <c r="AY89">
        <v>3</v>
      </c>
      <c r="AZ89" t="str">
        <f>_xlfn.XLOOKUP(Table1[[#This Row],[WorkLifeBalance]],Table20[WorkLifeBalance],Table20[Deskripsi])</f>
        <v>Good</v>
      </c>
      <c r="BA89">
        <v>4</v>
      </c>
      <c r="BB89">
        <v>2</v>
      </c>
      <c r="BC89">
        <v>0</v>
      </c>
      <c r="BD89">
        <v>3</v>
      </c>
    </row>
    <row r="90" spans="1:56" x14ac:dyDescent="0.25">
      <c r="A90">
        <v>30</v>
      </c>
      <c r="B90" t="str">
        <f>_xlfn.XLOOKUP(Table1[[#This Row],[Attrition]],Table2[Attrition],Table2[Id_Attrition])</f>
        <v>A002</v>
      </c>
      <c r="C90" t="s">
        <v>33</v>
      </c>
      <c r="D90" t="str">
        <f>_xlfn.XLOOKUP(Table1[[#This Row],[BusinessTravel]],Table5[BusinessTravel],Table5[Id_BusinessTravel])</f>
        <v>BS001</v>
      </c>
      <c r="E90" t="s">
        <v>34</v>
      </c>
      <c r="F90">
        <v>288</v>
      </c>
      <c r="G90" t="str">
        <f>_xlfn.XLOOKUP(Table1[[#This Row],[Department]],Table6[Department],Table6[Id_Departement])</f>
        <v>D002</v>
      </c>
      <c r="H90" t="s">
        <v>38</v>
      </c>
      <c r="I90">
        <v>2</v>
      </c>
      <c r="J90" t="str">
        <f>_xlfn.XLOOKUP(Table1[[#This Row],[Education]],Table8[Education],Table8[Id_Education])</f>
        <v>E003</v>
      </c>
      <c r="K90">
        <v>3</v>
      </c>
      <c r="L90" t="str">
        <f>_xlfn.XLOOKUP(Table1[[#This Row],[EducationField]],Table7[EducationField],Table7[Id_EducationField])</f>
        <v>EF001</v>
      </c>
      <c r="M90" t="s">
        <v>40</v>
      </c>
      <c r="N90" t="str">
        <f>_xlfn.XLOOKUP(Table1[[#This Row],[EmployeeNumber]],Table4[EmployeeNumber],Table4[Id_Employee])</f>
        <v>EMP00089</v>
      </c>
      <c r="O90">
        <v>117</v>
      </c>
      <c r="P90" t="str">
        <f>_xlfn.XLOOKUP(Table1[[#This Row],[EnvironmentSatisfaction]],Table9[EnvironmentSatisfaction],Table9[Id_EnviromentSatisfaction])</f>
        <v>ES003</v>
      </c>
      <c r="Q90">
        <v>3</v>
      </c>
      <c r="R90" t="str">
        <f>_xlfn.XLOOKUP(Table1[[#This Row],[EnvironmentSatisfaction]],Table9[EnvironmentSatisfaction],Table9[Deskripsi])</f>
        <v>High</v>
      </c>
      <c r="S90" t="str">
        <f>_xlfn.XLOOKUP(Table1[[#This Row],[Gender]],Table10[Gender],Table10[Id_Gender])</f>
        <v>G002</v>
      </c>
      <c r="T90" t="s">
        <v>46</v>
      </c>
      <c r="U90">
        <v>99</v>
      </c>
      <c r="V90" t="str">
        <f>_xlfn.XLOOKUP(Table1[[#This Row],[JobInvolvement]],Table11[JobInvolvement],Table11[Id_JobInvolvement])</f>
        <v>JI002</v>
      </c>
      <c r="W90">
        <v>2</v>
      </c>
      <c r="X90" t="str">
        <f>_xlfn.XLOOKUP(Table1[[#This Row],[JobLevel]],Table12[JobLevel],Table12[Id_JobLevel])</f>
        <v>JL002</v>
      </c>
      <c r="Y90">
        <v>2</v>
      </c>
      <c r="Z90" t="str">
        <f>_xlfn.XLOOKUP(Table1[[#This Row],[JobRole]],Table13[JobRole],Table13[Id_JobRole])</f>
        <v>JR005</v>
      </c>
      <c r="AA90" t="s">
        <v>51</v>
      </c>
      <c r="AB90" t="str">
        <f>_xlfn.XLOOKUP(Table1[[#This Row],[JobSatisfaction]],Table14[JobSatisfaction],Table14[Id_JobSatisfaction])</f>
        <v>JS004</v>
      </c>
      <c r="AC90">
        <v>4</v>
      </c>
      <c r="AD90" t="str">
        <f>_xlfn.XLOOKUP(Table1[[#This Row],[JobSatisfaction]],Table14[JobSatisfaction],Table14[Deskripsi])</f>
        <v>Very High</v>
      </c>
      <c r="AE90" t="str">
        <f>_xlfn.XLOOKUP(Table1[[#This Row],[MaritalStatus]],Table15[MaritalStatus],Table15[Id_MaritalStatus])</f>
        <v>MS002</v>
      </c>
      <c r="AF90" t="s">
        <v>56</v>
      </c>
      <c r="AG90">
        <v>4152</v>
      </c>
      <c r="AH90">
        <v>15830</v>
      </c>
      <c r="AI90">
        <v>1</v>
      </c>
      <c r="AJ90" t="str">
        <f>_xlfn.XLOOKUP(Table1[[#This Row],[OverTime]],Table16[OverTime],Table16[Id_OverTime])</f>
        <v>OT002</v>
      </c>
      <c r="AK90" t="s">
        <v>33</v>
      </c>
      <c r="AL90">
        <v>19</v>
      </c>
      <c r="AM90" t="str">
        <f>_xlfn.XLOOKUP(Table1[[#This Row],[PerformanceRating]],Table17[PerformanceRating],Table17[Id_PerformanceRating])</f>
        <v>PR003</v>
      </c>
      <c r="AN90">
        <v>3</v>
      </c>
      <c r="AO90" t="str">
        <f>_xlfn.XLOOKUP(Table1[[#This Row],[PerformanceRating]],Table17[PerformanceRating],Table17[Deskripsi])</f>
        <v>Excellent</v>
      </c>
      <c r="AP90" t="str">
        <f>_xlfn.XLOOKUP(Table1[[#This Row],[RelationshipSatisfaction]],Table18[RelationshipSatisfaction],Table18[Id_RelationshipSatisfaction])</f>
        <v>RS001</v>
      </c>
      <c r="AQ90">
        <v>1</v>
      </c>
      <c r="AR90" t="str">
        <f>_xlfn.XLOOKUP(Table1[[#This Row],[RelationshipSatisfaction]],Table18[RelationshipSatisfaction],Table18[Deskripsi])</f>
        <v>Low</v>
      </c>
      <c r="AS90" t="str">
        <f>_xlfn.XLOOKUP(Table1[[#This Row],[StockOptionLevel]],Table19[StockOptionLevel],Table19[Id_StockOptionLevel])</f>
        <v>SOL004</v>
      </c>
      <c r="AT90">
        <v>3</v>
      </c>
      <c r="AU90" t="str">
        <f>_xlfn.XLOOKUP(Table1[[#This Row],[StockOptionLevel]],Table19[StockOptionLevel],Table19[Deskripsi])</f>
        <v>Senior/Executive</v>
      </c>
      <c r="AV90">
        <v>11</v>
      </c>
      <c r="AW90">
        <v>3</v>
      </c>
      <c r="AX90" t="str">
        <f>_xlfn.XLOOKUP(Table1[[#This Row],[WorkLifeBalance]],Table20[WorkLifeBalance],Table20[Id_WorkLifeBalance])</f>
        <v>WLB002</v>
      </c>
      <c r="AY90">
        <v>3</v>
      </c>
      <c r="AZ90" t="str">
        <f>_xlfn.XLOOKUP(Table1[[#This Row],[WorkLifeBalance]],Table20[WorkLifeBalance],Table20[Deskripsi])</f>
        <v>Good</v>
      </c>
      <c r="BA90">
        <v>11</v>
      </c>
      <c r="BB90">
        <v>10</v>
      </c>
      <c r="BC90">
        <v>10</v>
      </c>
      <c r="BD90">
        <v>8</v>
      </c>
    </row>
    <row r="91" spans="1:56" x14ac:dyDescent="0.25">
      <c r="A91">
        <v>46</v>
      </c>
      <c r="B91" t="str">
        <f>_xlfn.XLOOKUP(Table1[[#This Row],[Attrition]],Table2[Attrition],Table2[Id_Attrition])</f>
        <v>A001</v>
      </c>
      <c r="C91" t="s">
        <v>32</v>
      </c>
      <c r="D91" t="str">
        <f>_xlfn.XLOOKUP(Table1[[#This Row],[BusinessTravel]],Table5[BusinessTravel],Table5[Id_BusinessTravel])</f>
        <v>BS001</v>
      </c>
      <c r="E91" t="s">
        <v>34</v>
      </c>
      <c r="F91">
        <v>669</v>
      </c>
      <c r="G91" t="str">
        <f>_xlfn.XLOOKUP(Table1[[#This Row],[Department]],Table6[Department],Table6[Id_Departement])</f>
        <v>D001</v>
      </c>
      <c r="H91" t="s">
        <v>37</v>
      </c>
      <c r="I91">
        <v>9</v>
      </c>
      <c r="J91" t="str">
        <f>_xlfn.XLOOKUP(Table1[[#This Row],[Education]],Table8[Education],Table8[Id_Education])</f>
        <v>E002</v>
      </c>
      <c r="K91">
        <v>2</v>
      </c>
      <c r="L91" t="str">
        <f>_xlfn.XLOOKUP(Table1[[#This Row],[EducationField]],Table7[EducationField],Table7[Id_EducationField])</f>
        <v>EF003</v>
      </c>
      <c r="M91" t="s">
        <v>42</v>
      </c>
      <c r="N91" t="str">
        <f>_xlfn.XLOOKUP(Table1[[#This Row],[EmployeeNumber]],Table4[EmployeeNumber],Table4[Id_Employee])</f>
        <v>EMP00090</v>
      </c>
      <c r="O91">
        <v>118</v>
      </c>
      <c r="P91" t="str">
        <f>_xlfn.XLOOKUP(Table1[[#This Row],[EnvironmentSatisfaction]],Table9[EnvironmentSatisfaction],Table9[Id_EnviromentSatisfaction])</f>
        <v>ES003</v>
      </c>
      <c r="Q91">
        <v>3</v>
      </c>
      <c r="R91" t="str">
        <f>_xlfn.XLOOKUP(Table1[[#This Row],[EnvironmentSatisfaction]],Table9[EnvironmentSatisfaction],Table9[Deskripsi])</f>
        <v>High</v>
      </c>
      <c r="S91" t="str">
        <f>_xlfn.XLOOKUP(Table1[[#This Row],[Gender]],Table10[Gender],Table10[Id_Gender])</f>
        <v>G002</v>
      </c>
      <c r="T91" t="s">
        <v>46</v>
      </c>
      <c r="U91">
        <v>64</v>
      </c>
      <c r="V91" t="str">
        <f>_xlfn.XLOOKUP(Table1[[#This Row],[JobInvolvement]],Table11[JobInvolvement],Table11[Id_JobInvolvement])</f>
        <v>JI002</v>
      </c>
      <c r="W91">
        <v>2</v>
      </c>
      <c r="X91" t="str">
        <f>_xlfn.XLOOKUP(Table1[[#This Row],[JobLevel]],Table12[JobLevel],Table12[Id_JobLevel])</f>
        <v>JL003</v>
      </c>
      <c r="Y91">
        <v>3</v>
      </c>
      <c r="Z91" t="str">
        <f>_xlfn.XLOOKUP(Table1[[#This Row],[JobRole]],Table13[JobRole],Table13[Id_JobRole])</f>
        <v>JR001</v>
      </c>
      <c r="AA91" t="s">
        <v>47</v>
      </c>
      <c r="AB91" t="str">
        <f>_xlfn.XLOOKUP(Table1[[#This Row],[JobSatisfaction]],Table14[JobSatisfaction],Table14[Id_JobSatisfaction])</f>
        <v>JS004</v>
      </c>
      <c r="AC91">
        <v>4</v>
      </c>
      <c r="AD91" t="str">
        <f>_xlfn.XLOOKUP(Table1[[#This Row],[JobSatisfaction]],Table14[JobSatisfaction],Table14[Deskripsi])</f>
        <v>Very High</v>
      </c>
      <c r="AE91" t="str">
        <f>_xlfn.XLOOKUP(Table1[[#This Row],[MaritalStatus]],Table15[MaritalStatus],Table15[Id_MaritalStatus])</f>
        <v>MS001</v>
      </c>
      <c r="AF91" t="s">
        <v>55</v>
      </c>
      <c r="AG91">
        <v>9619</v>
      </c>
      <c r="AH91">
        <v>13596</v>
      </c>
      <c r="AI91">
        <v>1</v>
      </c>
      <c r="AJ91" t="str">
        <f>_xlfn.XLOOKUP(Table1[[#This Row],[OverTime]],Table16[OverTime],Table16[Id_OverTime])</f>
        <v>OT002</v>
      </c>
      <c r="AK91" t="s">
        <v>33</v>
      </c>
      <c r="AL91">
        <v>16</v>
      </c>
      <c r="AM91" t="str">
        <f>_xlfn.XLOOKUP(Table1[[#This Row],[PerformanceRating]],Table17[PerformanceRating],Table17[Id_PerformanceRating])</f>
        <v>PR003</v>
      </c>
      <c r="AN91">
        <v>3</v>
      </c>
      <c r="AO91" t="str">
        <f>_xlfn.XLOOKUP(Table1[[#This Row],[PerformanceRating]],Table17[PerformanceRating],Table17[Deskripsi])</f>
        <v>Excellent</v>
      </c>
      <c r="AP91" t="str">
        <f>_xlfn.XLOOKUP(Table1[[#This Row],[RelationshipSatisfaction]],Table18[RelationshipSatisfaction],Table18[Id_RelationshipSatisfaction])</f>
        <v>RS004</v>
      </c>
      <c r="AQ91">
        <v>4</v>
      </c>
      <c r="AR91" t="str">
        <f>_xlfn.XLOOKUP(Table1[[#This Row],[RelationshipSatisfaction]],Table18[RelationshipSatisfaction],Table18[Deskripsi])</f>
        <v>Very High</v>
      </c>
      <c r="AS91" t="str">
        <f>_xlfn.XLOOKUP(Table1[[#This Row],[StockOptionLevel]],Table19[StockOptionLevel],Table19[Id_StockOptionLevel])</f>
        <v>SOL001</v>
      </c>
      <c r="AT91">
        <v>0</v>
      </c>
      <c r="AU91" t="str">
        <f>_xlfn.XLOOKUP(Table1[[#This Row],[StockOptionLevel]],Table19[StockOptionLevel],Table19[Deskripsi])</f>
        <v>Non-Eligible</v>
      </c>
      <c r="AV91">
        <v>9</v>
      </c>
      <c r="AW91">
        <v>3</v>
      </c>
      <c r="AX91" t="str">
        <f>_xlfn.XLOOKUP(Table1[[#This Row],[WorkLifeBalance]],Table20[WorkLifeBalance],Table20[Id_WorkLifeBalance])</f>
        <v>WLB002</v>
      </c>
      <c r="AY91">
        <v>3</v>
      </c>
      <c r="AZ91" t="str">
        <f>_xlfn.XLOOKUP(Table1[[#This Row],[WorkLifeBalance]],Table20[WorkLifeBalance],Table20[Deskripsi])</f>
        <v>Good</v>
      </c>
      <c r="BA91">
        <v>9</v>
      </c>
      <c r="BB91">
        <v>8</v>
      </c>
      <c r="BC91">
        <v>4</v>
      </c>
      <c r="BD91">
        <v>7</v>
      </c>
    </row>
    <row r="92" spans="1:56" x14ac:dyDescent="0.25">
      <c r="A92">
        <v>40</v>
      </c>
      <c r="B92" t="str">
        <f>_xlfn.XLOOKUP(Table1[[#This Row],[Attrition]],Table2[Attrition],Table2[Id_Attrition])</f>
        <v>A002</v>
      </c>
      <c r="C92" t="s">
        <v>33</v>
      </c>
      <c r="D92" t="str">
        <f>_xlfn.XLOOKUP(Table1[[#This Row],[BusinessTravel]],Table5[BusinessTravel],Table5[Id_BusinessTravel])</f>
        <v>BS002</v>
      </c>
      <c r="E92" t="s">
        <v>35</v>
      </c>
      <c r="F92">
        <v>530</v>
      </c>
      <c r="G92" t="str">
        <f>_xlfn.XLOOKUP(Table1[[#This Row],[Department]],Table6[Department],Table6[Id_Departement])</f>
        <v>D002</v>
      </c>
      <c r="H92" t="s">
        <v>38</v>
      </c>
      <c r="I92">
        <v>1</v>
      </c>
      <c r="J92" t="str">
        <f>_xlfn.XLOOKUP(Table1[[#This Row],[Education]],Table8[Education],Table8[Id_Education])</f>
        <v>E004</v>
      </c>
      <c r="K92">
        <v>4</v>
      </c>
      <c r="L92" t="str">
        <f>_xlfn.XLOOKUP(Table1[[#This Row],[EducationField]],Table7[EducationField],Table7[Id_EducationField])</f>
        <v>EF001</v>
      </c>
      <c r="M92" t="s">
        <v>40</v>
      </c>
      <c r="N92" t="str">
        <f>_xlfn.XLOOKUP(Table1[[#This Row],[EmployeeNumber]],Table4[EmployeeNumber],Table4[Id_Employee])</f>
        <v>EMP00091</v>
      </c>
      <c r="O92">
        <v>119</v>
      </c>
      <c r="P92" t="str">
        <f>_xlfn.XLOOKUP(Table1[[#This Row],[EnvironmentSatisfaction]],Table9[EnvironmentSatisfaction],Table9[Id_EnviromentSatisfaction])</f>
        <v>ES003</v>
      </c>
      <c r="Q92">
        <v>3</v>
      </c>
      <c r="R92" t="str">
        <f>_xlfn.XLOOKUP(Table1[[#This Row],[EnvironmentSatisfaction]],Table9[EnvironmentSatisfaction],Table9[Deskripsi])</f>
        <v>High</v>
      </c>
      <c r="S92" t="str">
        <f>_xlfn.XLOOKUP(Table1[[#This Row],[Gender]],Table10[Gender],Table10[Id_Gender])</f>
        <v>G002</v>
      </c>
      <c r="T92" t="s">
        <v>46</v>
      </c>
      <c r="U92">
        <v>78</v>
      </c>
      <c r="V92" t="str">
        <f>_xlfn.XLOOKUP(Table1[[#This Row],[JobInvolvement]],Table11[JobInvolvement],Table11[Id_JobInvolvement])</f>
        <v>JI002</v>
      </c>
      <c r="W92">
        <v>2</v>
      </c>
      <c r="X92" t="str">
        <f>_xlfn.XLOOKUP(Table1[[#This Row],[JobLevel]],Table12[JobLevel],Table12[Id_JobLevel])</f>
        <v>JL004</v>
      </c>
      <c r="Y92">
        <v>4</v>
      </c>
      <c r="Z92" t="str">
        <f>_xlfn.XLOOKUP(Table1[[#This Row],[JobRole]],Table13[JobRole],Table13[Id_JobRole])</f>
        <v>JR005</v>
      </c>
      <c r="AA92" t="s">
        <v>51</v>
      </c>
      <c r="AB92" t="str">
        <f>_xlfn.XLOOKUP(Table1[[#This Row],[JobSatisfaction]],Table14[JobSatisfaction],Table14[Id_JobSatisfaction])</f>
        <v>JS002</v>
      </c>
      <c r="AC92">
        <v>2</v>
      </c>
      <c r="AD92" t="str">
        <f>_xlfn.XLOOKUP(Table1[[#This Row],[JobSatisfaction]],Table14[JobSatisfaction],Table14[Deskripsi])</f>
        <v>Medium</v>
      </c>
      <c r="AE92" t="str">
        <f>_xlfn.XLOOKUP(Table1[[#This Row],[MaritalStatus]],Table15[MaritalStatus],Table15[Id_MaritalStatus])</f>
        <v>MS002</v>
      </c>
      <c r="AF92" t="s">
        <v>56</v>
      </c>
      <c r="AG92">
        <v>13503</v>
      </c>
      <c r="AH92">
        <v>14115</v>
      </c>
      <c r="AI92">
        <v>1</v>
      </c>
      <c r="AJ92" t="str">
        <f>_xlfn.XLOOKUP(Table1[[#This Row],[OverTime]],Table16[OverTime],Table16[Id_OverTime])</f>
        <v>OT002</v>
      </c>
      <c r="AK92" t="s">
        <v>33</v>
      </c>
      <c r="AL92">
        <v>22</v>
      </c>
      <c r="AM92" t="str">
        <f>_xlfn.XLOOKUP(Table1[[#This Row],[PerformanceRating]],Table17[PerformanceRating],Table17[Id_PerformanceRating])</f>
        <v>PR004</v>
      </c>
      <c r="AN92">
        <v>4</v>
      </c>
      <c r="AO92" t="str">
        <f>_xlfn.XLOOKUP(Table1[[#This Row],[PerformanceRating]],Table17[PerformanceRating],Table17[Deskripsi])</f>
        <v>Outstanding</v>
      </c>
      <c r="AP92" t="str">
        <f>_xlfn.XLOOKUP(Table1[[#This Row],[RelationshipSatisfaction]],Table18[RelationshipSatisfaction],Table18[Id_RelationshipSatisfaction])</f>
        <v>RS004</v>
      </c>
      <c r="AQ92">
        <v>4</v>
      </c>
      <c r="AR92" t="str">
        <f>_xlfn.XLOOKUP(Table1[[#This Row],[RelationshipSatisfaction]],Table18[RelationshipSatisfaction],Table18[Deskripsi])</f>
        <v>Very High</v>
      </c>
      <c r="AS92" t="str">
        <f>_xlfn.XLOOKUP(Table1[[#This Row],[StockOptionLevel]],Table19[StockOptionLevel],Table19[Id_StockOptionLevel])</f>
        <v>SOL002</v>
      </c>
      <c r="AT92">
        <v>1</v>
      </c>
      <c r="AU92" t="str">
        <f>_xlfn.XLOOKUP(Table1[[#This Row],[StockOptionLevel]],Table19[StockOptionLevel],Table19[Deskripsi])</f>
        <v>Standard</v>
      </c>
      <c r="AV92">
        <v>22</v>
      </c>
      <c r="AW92">
        <v>3</v>
      </c>
      <c r="AX92" t="str">
        <f>_xlfn.XLOOKUP(Table1[[#This Row],[WorkLifeBalance]],Table20[WorkLifeBalance],Table20[Id_WorkLifeBalance])</f>
        <v>WLB003</v>
      </c>
      <c r="AY92">
        <v>2</v>
      </c>
      <c r="AZ92" t="str">
        <f>_xlfn.XLOOKUP(Table1[[#This Row],[WorkLifeBalance]],Table20[WorkLifeBalance],Table20[Deskripsi])</f>
        <v>Better</v>
      </c>
      <c r="BA92">
        <v>22</v>
      </c>
      <c r="BB92">
        <v>3</v>
      </c>
      <c r="BC92">
        <v>11</v>
      </c>
      <c r="BD92">
        <v>11</v>
      </c>
    </row>
    <row r="93" spans="1:56" x14ac:dyDescent="0.25">
      <c r="A93">
        <v>51</v>
      </c>
      <c r="B93" t="str">
        <f>_xlfn.XLOOKUP(Table1[[#This Row],[Attrition]],Table2[Attrition],Table2[Id_Attrition])</f>
        <v>A002</v>
      </c>
      <c r="C93" t="s">
        <v>33</v>
      </c>
      <c r="D93" t="str">
        <f>_xlfn.XLOOKUP(Table1[[#This Row],[BusinessTravel]],Table5[BusinessTravel],Table5[Id_BusinessTravel])</f>
        <v>BS001</v>
      </c>
      <c r="E93" t="s">
        <v>34</v>
      </c>
      <c r="F93">
        <v>632</v>
      </c>
      <c r="G93" t="str">
        <f>_xlfn.XLOOKUP(Table1[[#This Row],[Department]],Table6[Department],Table6[Id_Departement])</f>
        <v>D001</v>
      </c>
      <c r="H93" t="s">
        <v>37</v>
      </c>
      <c r="I93">
        <v>21</v>
      </c>
      <c r="J93" t="str">
        <f>_xlfn.XLOOKUP(Table1[[#This Row],[Education]],Table8[Education],Table8[Id_Education])</f>
        <v>E004</v>
      </c>
      <c r="K93">
        <v>4</v>
      </c>
      <c r="L93" t="str">
        <f>_xlfn.XLOOKUP(Table1[[#This Row],[EducationField]],Table7[EducationField],Table7[Id_EducationField])</f>
        <v>EF004</v>
      </c>
      <c r="M93" t="s">
        <v>43</v>
      </c>
      <c r="N93" t="str">
        <f>_xlfn.XLOOKUP(Table1[[#This Row],[EmployeeNumber]],Table4[EmployeeNumber],Table4[Id_Employee])</f>
        <v>EMP00092</v>
      </c>
      <c r="O93">
        <v>120</v>
      </c>
      <c r="P93" t="str">
        <f>_xlfn.XLOOKUP(Table1[[#This Row],[EnvironmentSatisfaction]],Table9[EnvironmentSatisfaction],Table9[Id_EnviromentSatisfaction])</f>
        <v>ES003</v>
      </c>
      <c r="Q93">
        <v>3</v>
      </c>
      <c r="R93" t="str">
        <f>_xlfn.XLOOKUP(Table1[[#This Row],[EnvironmentSatisfaction]],Table9[EnvironmentSatisfaction],Table9[Deskripsi])</f>
        <v>High</v>
      </c>
      <c r="S93" t="str">
        <f>_xlfn.XLOOKUP(Table1[[#This Row],[Gender]],Table10[Gender],Table10[Id_Gender])</f>
        <v>G002</v>
      </c>
      <c r="T93" t="s">
        <v>46</v>
      </c>
      <c r="U93">
        <v>71</v>
      </c>
      <c r="V93" t="str">
        <f>_xlfn.XLOOKUP(Table1[[#This Row],[JobInvolvement]],Table11[JobInvolvement],Table11[Id_JobInvolvement])</f>
        <v>JI003</v>
      </c>
      <c r="W93">
        <v>3</v>
      </c>
      <c r="X93" t="str">
        <f>_xlfn.XLOOKUP(Table1[[#This Row],[JobLevel]],Table12[JobLevel],Table12[Id_JobLevel])</f>
        <v>JL002</v>
      </c>
      <c r="Y93">
        <v>2</v>
      </c>
      <c r="Z93" t="str">
        <f>_xlfn.XLOOKUP(Table1[[#This Row],[JobRole]],Table13[JobRole],Table13[Id_JobRole])</f>
        <v>JR001</v>
      </c>
      <c r="AA93" t="s">
        <v>47</v>
      </c>
      <c r="AB93" t="str">
        <f>_xlfn.XLOOKUP(Table1[[#This Row],[JobSatisfaction]],Table14[JobSatisfaction],Table14[Id_JobSatisfaction])</f>
        <v>JS004</v>
      </c>
      <c r="AC93">
        <v>4</v>
      </c>
      <c r="AD93" t="str">
        <f>_xlfn.XLOOKUP(Table1[[#This Row],[JobSatisfaction]],Table14[JobSatisfaction],Table14[Deskripsi])</f>
        <v>Very High</v>
      </c>
      <c r="AE93" t="str">
        <f>_xlfn.XLOOKUP(Table1[[#This Row],[MaritalStatus]],Table15[MaritalStatus],Table15[Id_MaritalStatus])</f>
        <v>MS001</v>
      </c>
      <c r="AF93" t="s">
        <v>55</v>
      </c>
      <c r="AG93">
        <v>5441</v>
      </c>
      <c r="AH93">
        <v>8423</v>
      </c>
      <c r="AI93">
        <v>0</v>
      </c>
      <c r="AJ93" t="str">
        <f>_xlfn.XLOOKUP(Table1[[#This Row],[OverTime]],Table16[OverTime],Table16[Id_OverTime])</f>
        <v>OT001</v>
      </c>
      <c r="AK93" t="s">
        <v>32</v>
      </c>
      <c r="AL93">
        <v>22</v>
      </c>
      <c r="AM93" t="str">
        <f>_xlfn.XLOOKUP(Table1[[#This Row],[PerformanceRating]],Table17[PerformanceRating],Table17[Id_PerformanceRating])</f>
        <v>PR004</v>
      </c>
      <c r="AN93">
        <v>4</v>
      </c>
      <c r="AO93" t="str">
        <f>_xlfn.XLOOKUP(Table1[[#This Row],[PerformanceRating]],Table17[PerformanceRating],Table17[Deskripsi])</f>
        <v>Outstanding</v>
      </c>
      <c r="AP93" t="str">
        <f>_xlfn.XLOOKUP(Table1[[#This Row],[RelationshipSatisfaction]],Table18[RelationshipSatisfaction],Table18[Id_RelationshipSatisfaction])</f>
        <v>RS004</v>
      </c>
      <c r="AQ93">
        <v>4</v>
      </c>
      <c r="AR93" t="str">
        <f>_xlfn.XLOOKUP(Table1[[#This Row],[RelationshipSatisfaction]],Table18[RelationshipSatisfaction],Table18[Deskripsi])</f>
        <v>Very High</v>
      </c>
      <c r="AS93" t="str">
        <f>_xlfn.XLOOKUP(Table1[[#This Row],[StockOptionLevel]],Table19[StockOptionLevel],Table19[Id_StockOptionLevel])</f>
        <v>SOL001</v>
      </c>
      <c r="AT93">
        <v>0</v>
      </c>
      <c r="AU93" t="str">
        <f>_xlfn.XLOOKUP(Table1[[#This Row],[StockOptionLevel]],Table19[StockOptionLevel],Table19[Deskripsi])</f>
        <v>Non-Eligible</v>
      </c>
      <c r="AV93">
        <v>11</v>
      </c>
      <c r="AW93">
        <v>2</v>
      </c>
      <c r="AX93" t="str">
        <f>_xlfn.XLOOKUP(Table1[[#This Row],[WorkLifeBalance]],Table20[WorkLifeBalance],Table20[Id_WorkLifeBalance])</f>
        <v>WLB001</v>
      </c>
      <c r="AY93">
        <v>1</v>
      </c>
      <c r="AZ93" t="str">
        <f>_xlfn.XLOOKUP(Table1[[#This Row],[WorkLifeBalance]],Table20[WorkLifeBalance],Table20[Deskripsi])</f>
        <v>Bad</v>
      </c>
      <c r="BA93">
        <v>10</v>
      </c>
      <c r="BB93">
        <v>7</v>
      </c>
      <c r="BC93">
        <v>1</v>
      </c>
      <c r="BD93">
        <v>0</v>
      </c>
    </row>
    <row r="94" spans="1:56" x14ac:dyDescent="0.25">
      <c r="A94">
        <v>30</v>
      </c>
      <c r="B94" t="str">
        <f>_xlfn.XLOOKUP(Table1[[#This Row],[Attrition]],Table2[Attrition],Table2[Id_Attrition])</f>
        <v>A002</v>
      </c>
      <c r="C94" t="s">
        <v>33</v>
      </c>
      <c r="D94" t="str">
        <f>_xlfn.XLOOKUP(Table1[[#This Row],[BusinessTravel]],Table5[BusinessTravel],Table5[Id_BusinessTravel])</f>
        <v>BS001</v>
      </c>
      <c r="E94" t="s">
        <v>34</v>
      </c>
      <c r="F94">
        <v>1334</v>
      </c>
      <c r="G94" t="str">
        <f>_xlfn.XLOOKUP(Table1[[#This Row],[Department]],Table6[Department],Table6[Id_Departement])</f>
        <v>D001</v>
      </c>
      <c r="H94" t="s">
        <v>37</v>
      </c>
      <c r="I94">
        <v>4</v>
      </c>
      <c r="J94" t="str">
        <f>_xlfn.XLOOKUP(Table1[[#This Row],[Education]],Table8[Education],Table8[Id_Education])</f>
        <v>E002</v>
      </c>
      <c r="K94">
        <v>2</v>
      </c>
      <c r="L94" t="str">
        <f>_xlfn.XLOOKUP(Table1[[#This Row],[EducationField]],Table7[EducationField],Table7[Id_EducationField])</f>
        <v>EF003</v>
      </c>
      <c r="M94" t="s">
        <v>42</v>
      </c>
      <c r="N94" t="str">
        <f>_xlfn.XLOOKUP(Table1[[#This Row],[EmployeeNumber]],Table4[EmployeeNumber],Table4[Id_Employee])</f>
        <v>EMP00093</v>
      </c>
      <c r="O94">
        <v>121</v>
      </c>
      <c r="P94" t="str">
        <f>_xlfn.XLOOKUP(Table1[[#This Row],[EnvironmentSatisfaction]],Table9[EnvironmentSatisfaction],Table9[Id_EnviromentSatisfaction])</f>
        <v>ES003</v>
      </c>
      <c r="Q94">
        <v>3</v>
      </c>
      <c r="R94" t="str">
        <f>_xlfn.XLOOKUP(Table1[[#This Row],[EnvironmentSatisfaction]],Table9[EnvironmentSatisfaction],Table9[Deskripsi])</f>
        <v>High</v>
      </c>
      <c r="S94" t="str">
        <f>_xlfn.XLOOKUP(Table1[[#This Row],[Gender]],Table10[Gender],Table10[Id_Gender])</f>
        <v>G001</v>
      </c>
      <c r="T94" t="s">
        <v>45</v>
      </c>
      <c r="U94">
        <v>63</v>
      </c>
      <c r="V94" t="str">
        <f>_xlfn.XLOOKUP(Table1[[#This Row],[JobInvolvement]],Table11[JobInvolvement],Table11[Id_JobInvolvement])</f>
        <v>JI002</v>
      </c>
      <c r="W94">
        <v>2</v>
      </c>
      <c r="X94" t="str">
        <f>_xlfn.XLOOKUP(Table1[[#This Row],[JobLevel]],Table12[JobLevel],Table12[Id_JobLevel])</f>
        <v>JL002</v>
      </c>
      <c r="Y94">
        <v>2</v>
      </c>
      <c r="Z94" t="str">
        <f>_xlfn.XLOOKUP(Table1[[#This Row],[JobRole]],Table13[JobRole],Table13[Id_JobRole])</f>
        <v>JR001</v>
      </c>
      <c r="AA94" t="s">
        <v>47</v>
      </c>
      <c r="AB94" t="str">
        <f>_xlfn.XLOOKUP(Table1[[#This Row],[JobSatisfaction]],Table14[JobSatisfaction],Table14[Id_JobSatisfaction])</f>
        <v>JS002</v>
      </c>
      <c r="AC94">
        <v>2</v>
      </c>
      <c r="AD94" t="str">
        <f>_xlfn.XLOOKUP(Table1[[#This Row],[JobSatisfaction]],Table14[JobSatisfaction],Table14[Deskripsi])</f>
        <v>Medium</v>
      </c>
      <c r="AE94" t="str">
        <f>_xlfn.XLOOKUP(Table1[[#This Row],[MaritalStatus]],Table15[MaritalStatus],Table15[Id_MaritalStatus])</f>
        <v>MS003</v>
      </c>
      <c r="AF94" t="s">
        <v>57</v>
      </c>
      <c r="AG94">
        <v>5209</v>
      </c>
      <c r="AH94">
        <v>19760</v>
      </c>
      <c r="AI94">
        <v>1</v>
      </c>
      <c r="AJ94" t="str">
        <f>_xlfn.XLOOKUP(Table1[[#This Row],[OverTime]],Table16[OverTime],Table16[Id_OverTime])</f>
        <v>OT001</v>
      </c>
      <c r="AK94" t="s">
        <v>32</v>
      </c>
      <c r="AL94">
        <v>12</v>
      </c>
      <c r="AM94" t="str">
        <f>_xlfn.XLOOKUP(Table1[[#This Row],[PerformanceRating]],Table17[PerformanceRating],Table17[Id_PerformanceRating])</f>
        <v>PR003</v>
      </c>
      <c r="AN94">
        <v>3</v>
      </c>
      <c r="AO94" t="str">
        <f>_xlfn.XLOOKUP(Table1[[#This Row],[PerformanceRating]],Table17[PerformanceRating],Table17[Deskripsi])</f>
        <v>Excellent</v>
      </c>
      <c r="AP94" t="str">
        <f>_xlfn.XLOOKUP(Table1[[#This Row],[RelationshipSatisfaction]],Table18[RelationshipSatisfaction],Table18[Id_RelationshipSatisfaction])</f>
        <v>RS002</v>
      </c>
      <c r="AQ94">
        <v>2</v>
      </c>
      <c r="AR94" t="str">
        <f>_xlfn.XLOOKUP(Table1[[#This Row],[RelationshipSatisfaction]],Table18[RelationshipSatisfaction],Table18[Deskripsi])</f>
        <v>Medium</v>
      </c>
      <c r="AS94" t="str">
        <f>_xlfn.XLOOKUP(Table1[[#This Row],[StockOptionLevel]],Table19[StockOptionLevel],Table19[Id_StockOptionLevel])</f>
        <v>SOL004</v>
      </c>
      <c r="AT94">
        <v>3</v>
      </c>
      <c r="AU94" t="str">
        <f>_xlfn.XLOOKUP(Table1[[#This Row],[StockOptionLevel]],Table19[StockOptionLevel],Table19[Deskripsi])</f>
        <v>Senior/Executive</v>
      </c>
      <c r="AV94">
        <v>11</v>
      </c>
      <c r="AW94">
        <v>4</v>
      </c>
      <c r="AX94" t="str">
        <f>_xlfn.XLOOKUP(Table1[[#This Row],[WorkLifeBalance]],Table20[WorkLifeBalance],Table20[Id_WorkLifeBalance])</f>
        <v>WLB003</v>
      </c>
      <c r="AY94">
        <v>2</v>
      </c>
      <c r="AZ94" t="str">
        <f>_xlfn.XLOOKUP(Table1[[#This Row],[WorkLifeBalance]],Table20[WorkLifeBalance],Table20[Deskripsi])</f>
        <v>Better</v>
      </c>
      <c r="BA94">
        <v>11</v>
      </c>
      <c r="BB94">
        <v>8</v>
      </c>
      <c r="BC94">
        <v>2</v>
      </c>
      <c r="BD94">
        <v>7</v>
      </c>
    </row>
    <row r="95" spans="1:56" x14ac:dyDescent="0.25">
      <c r="A95">
        <v>46</v>
      </c>
      <c r="B95" t="str">
        <f>_xlfn.XLOOKUP(Table1[[#This Row],[Attrition]],Table2[Attrition],Table2[Id_Attrition])</f>
        <v>A002</v>
      </c>
      <c r="C95" t="s">
        <v>33</v>
      </c>
      <c r="D95" t="str">
        <f>_xlfn.XLOOKUP(Table1[[#This Row],[BusinessTravel]],Table5[BusinessTravel],Table5[Id_BusinessTravel])</f>
        <v>BS002</v>
      </c>
      <c r="E95" t="s">
        <v>35</v>
      </c>
      <c r="F95">
        <v>638</v>
      </c>
      <c r="G95" t="str">
        <f>_xlfn.XLOOKUP(Table1[[#This Row],[Department]],Table6[Department],Table6[Id_Departement])</f>
        <v>D002</v>
      </c>
      <c r="H95" t="s">
        <v>38</v>
      </c>
      <c r="I95">
        <v>1</v>
      </c>
      <c r="J95" t="str">
        <f>_xlfn.XLOOKUP(Table1[[#This Row],[Education]],Table8[Education],Table8[Id_Education])</f>
        <v>E003</v>
      </c>
      <c r="K95">
        <v>3</v>
      </c>
      <c r="L95" t="str">
        <f>_xlfn.XLOOKUP(Table1[[#This Row],[EducationField]],Table7[EducationField],Table7[Id_EducationField])</f>
        <v>EF003</v>
      </c>
      <c r="M95" t="s">
        <v>42</v>
      </c>
      <c r="N95" t="str">
        <f>_xlfn.XLOOKUP(Table1[[#This Row],[EmployeeNumber]],Table4[EmployeeNumber],Table4[Id_Employee])</f>
        <v>EMP00094</v>
      </c>
      <c r="O95">
        <v>124</v>
      </c>
      <c r="P95" t="str">
        <f>_xlfn.XLOOKUP(Table1[[#This Row],[EnvironmentSatisfaction]],Table9[EnvironmentSatisfaction],Table9[Id_EnviromentSatisfaction])</f>
        <v>ES003</v>
      </c>
      <c r="Q95">
        <v>3</v>
      </c>
      <c r="R95" t="str">
        <f>_xlfn.XLOOKUP(Table1[[#This Row],[EnvironmentSatisfaction]],Table9[EnvironmentSatisfaction],Table9[Deskripsi])</f>
        <v>High</v>
      </c>
      <c r="S95" t="str">
        <f>_xlfn.XLOOKUP(Table1[[#This Row],[Gender]],Table10[Gender],Table10[Id_Gender])</f>
        <v>G002</v>
      </c>
      <c r="T95" t="s">
        <v>46</v>
      </c>
      <c r="U95">
        <v>40</v>
      </c>
      <c r="V95" t="str">
        <f>_xlfn.XLOOKUP(Table1[[#This Row],[JobInvolvement]],Table11[JobInvolvement],Table11[Id_JobInvolvement])</f>
        <v>JI002</v>
      </c>
      <c r="W95">
        <v>2</v>
      </c>
      <c r="X95" t="str">
        <f>_xlfn.XLOOKUP(Table1[[#This Row],[JobLevel]],Table12[JobLevel],Table12[Id_JobLevel])</f>
        <v>JL003</v>
      </c>
      <c r="Y95">
        <v>3</v>
      </c>
      <c r="Z95" t="str">
        <f>_xlfn.XLOOKUP(Table1[[#This Row],[JobRole]],Table13[JobRole],Table13[Id_JobRole])</f>
        <v>JR005</v>
      </c>
      <c r="AA95" t="s">
        <v>51</v>
      </c>
      <c r="AB95" t="str">
        <f>_xlfn.XLOOKUP(Table1[[#This Row],[JobSatisfaction]],Table14[JobSatisfaction],Table14[Id_JobSatisfaction])</f>
        <v>JS001</v>
      </c>
      <c r="AC95">
        <v>1</v>
      </c>
      <c r="AD95" t="str">
        <f>_xlfn.XLOOKUP(Table1[[#This Row],[JobSatisfaction]],Table14[JobSatisfaction],Table14[Deskripsi])</f>
        <v>Low</v>
      </c>
      <c r="AE95" t="str">
        <f>_xlfn.XLOOKUP(Table1[[#This Row],[MaritalStatus]],Table15[MaritalStatus],Table15[Id_MaritalStatus])</f>
        <v>MS002</v>
      </c>
      <c r="AF95" t="s">
        <v>56</v>
      </c>
      <c r="AG95">
        <v>10673</v>
      </c>
      <c r="AH95">
        <v>3142</v>
      </c>
      <c r="AI95">
        <v>2</v>
      </c>
      <c r="AJ95" t="str">
        <f>_xlfn.XLOOKUP(Table1[[#This Row],[OverTime]],Table16[OverTime],Table16[Id_OverTime])</f>
        <v>OT001</v>
      </c>
      <c r="AK95" t="s">
        <v>32</v>
      </c>
      <c r="AL95">
        <v>13</v>
      </c>
      <c r="AM95" t="str">
        <f>_xlfn.XLOOKUP(Table1[[#This Row],[PerformanceRating]],Table17[PerformanceRating],Table17[Id_PerformanceRating])</f>
        <v>PR003</v>
      </c>
      <c r="AN95">
        <v>3</v>
      </c>
      <c r="AO95" t="str">
        <f>_xlfn.XLOOKUP(Table1[[#This Row],[PerformanceRating]],Table17[PerformanceRating],Table17[Deskripsi])</f>
        <v>Excellent</v>
      </c>
      <c r="AP95" t="str">
        <f>_xlfn.XLOOKUP(Table1[[#This Row],[RelationshipSatisfaction]],Table18[RelationshipSatisfaction],Table18[Id_RelationshipSatisfaction])</f>
        <v>RS003</v>
      </c>
      <c r="AQ95">
        <v>3</v>
      </c>
      <c r="AR95" t="str">
        <f>_xlfn.XLOOKUP(Table1[[#This Row],[RelationshipSatisfaction]],Table18[RelationshipSatisfaction],Table18[Deskripsi])</f>
        <v>High</v>
      </c>
      <c r="AS95" t="str">
        <f>_xlfn.XLOOKUP(Table1[[#This Row],[StockOptionLevel]],Table19[StockOptionLevel],Table19[Id_StockOptionLevel])</f>
        <v>SOL002</v>
      </c>
      <c r="AT95">
        <v>1</v>
      </c>
      <c r="AU95" t="str">
        <f>_xlfn.XLOOKUP(Table1[[#This Row],[StockOptionLevel]],Table19[StockOptionLevel],Table19[Deskripsi])</f>
        <v>Standard</v>
      </c>
      <c r="AV95">
        <v>21</v>
      </c>
      <c r="AW95">
        <v>5</v>
      </c>
      <c r="AX95" t="str">
        <f>_xlfn.XLOOKUP(Table1[[#This Row],[WorkLifeBalance]],Table20[WorkLifeBalance],Table20[Id_WorkLifeBalance])</f>
        <v>WLB003</v>
      </c>
      <c r="AY95">
        <v>2</v>
      </c>
      <c r="AZ95" t="str">
        <f>_xlfn.XLOOKUP(Table1[[#This Row],[WorkLifeBalance]],Table20[WorkLifeBalance],Table20[Deskripsi])</f>
        <v>Better</v>
      </c>
      <c r="BA95">
        <v>10</v>
      </c>
      <c r="BB95">
        <v>9</v>
      </c>
      <c r="BC95">
        <v>9</v>
      </c>
      <c r="BD95">
        <v>5</v>
      </c>
    </row>
    <row r="96" spans="1:56" x14ac:dyDescent="0.25">
      <c r="A96">
        <v>32</v>
      </c>
      <c r="B96" t="str">
        <f>_xlfn.XLOOKUP(Table1[[#This Row],[Attrition]],Table2[Attrition],Table2[Id_Attrition])</f>
        <v>A002</v>
      </c>
      <c r="C96" t="s">
        <v>33</v>
      </c>
      <c r="D96" t="str">
        <f>_xlfn.XLOOKUP(Table1[[#This Row],[BusinessTravel]],Table5[BusinessTravel],Table5[Id_BusinessTravel])</f>
        <v>BS001</v>
      </c>
      <c r="E96" t="s">
        <v>34</v>
      </c>
      <c r="F96">
        <v>1093</v>
      </c>
      <c r="G96" t="str">
        <f>_xlfn.XLOOKUP(Table1[[#This Row],[Department]],Table6[Department],Table6[Id_Departement])</f>
        <v>D001</v>
      </c>
      <c r="H96" t="s">
        <v>37</v>
      </c>
      <c r="I96">
        <v>6</v>
      </c>
      <c r="J96" t="str">
        <f>_xlfn.XLOOKUP(Table1[[#This Row],[Education]],Table8[Education],Table8[Id_Education])</f>
        <v>E004</v>
      </c>
      <c r="K96">
        <v>4</v>
      </c>
      <c r="L96" t="str">
        <f>_xlfn.XLOOKUP(Table1[[#This Row],[EducationField]],Table7[EducationField],Table7[Id_EducationField])</f>
        <v>EF003</v>
      </c>
      <c r="M96" t="s">
        <v>42</v>
      </c>
      <c r="N96" t="str">
        <f>_xlfn.XLOOKUP(Table1[[#This Row],[EmployeeNumber]],Table4[EmployeeNumber],Table4[Id_Employee])</f>
        <v>EMP00095</v>
      </c>
      <c r="O96">
        <v>125</v>
      </c>
      <c r="P96" t="str">
        <f>_xlfn.XLOOKUP(Table1[[#This Row],[EnvironmentSatisfaction]],Table9[EnvironmentSatisfaction],Table9[Id_EnviromentSatisfaction])</f>
        <v>ES002</v>
      </c>
      <c r="Q96">
        <v>2</v>
      </c>
      <c r="R96" t="str">
        <f>_xlfn.XLOOKUP(Table1[[#This Row],[EnvironmentSatisfaction]],Table9[EnvironmentSatisfaction],Table9[Deskripsi])</f>
        <v>Medium</v>
      </c>
      <c r="S96" t="str">
        <f>_xlfn.XLOOKUP(Table1[[#This Row],[Gender]],Table10[Gender],Table10[Id_Gender])</f>
        <v>G002</v>
      </c>
      <c r="T96" t="s">
        <v>46</v>
      </c>
      <c r="U96">
        <v>87</v>
      </c>
      <c r="V96" t="str">
        <f>_xlfn.XLOOKUP(Table1[[#This Row],[JobInvolvement]],Table11[JobInvolvement],Table11[Id_JobInvolvement])</f>
        <v>JI003</v>
      </c>
      <c r="W96">
        <v>3</v>
      </c>
      <c r="X96" t="str">
        <f>_xlfn.XLOOKUP(Table1[[#This Row],[JobLevel]],Table12[JobLevel],Table12[Id_JobLevel])</f>
        <v>JL002</v>
      </c>
      <c r="Y96">
        <v>2</v>
      </c>
      <c r="Z96" t="str">
        <f>_xlfn.XLOOKUP(Table1[[#This Row],[JobRole]],Table13[JobRole],Table13[Id_JobRole])</f>
        <v>JR001</v>
      </c>
      <c r="AA96" t="s">
        <v>47</v>
      </c>
      <c r="AB96" t="str">
        <f>_xlfn.XLOOKUP(Table1[[#This Row],[JobSatisfaction]],Table14[JobSatisfaction],Table14[Id_JobSatisfaction])</f>
        <v>JS003</v>
      </c>
      <c r="AC96">
        <v>3</v>
      </c>
      <c r="AD96" t="str">
        <f>_xlfn.XLOOKUP(Table1[[#This Row],[JobSatisfaction]],Table14[JobSatisfaction],Table14[Deskripsi])</f>
        <v>High</v>
      </c>
      <c r="AE96" t="str">
        <f>_xlfn.XLOOKUP(Table1[[#This Row],[MaritalStatus]],Table15[MaritalStatus],Table15[Id_MaritalStatus])</f>
        <v>MS001</v>
      </c>
      <c r="AF96" t="s">
        <v>55</v>
      </c>
      <c r="AG96">
        <v>5010</v>
      </c>
      <c r="AH96">
        <v>24301</v>
      </c>
      <c r="AI96">
        <v>1</v>
      </c>
      <c r="AJ96" t="str">
        <f>_xlfn.XLOOKUP(Table1[[#This Row],[OverTime]],Table16[OverTime],Table16[Id_OverTime])</f>
        <v>OT002</v>
      </c>
      <c r="AK96" t="s">
        <v>33</v>
      </c>
      <c r="AL96">
        <v>16</v>
      </c>
      <c r="AM96" t="str">
        <f>_xlfn.XLOOKUP(Table1[[#This Row],[PerformanceRating]],Table17[PerformanceRating],Table17[Id_PerformanceRating])</f>
        <v>PR003</v>
      </c>
      <c r="AN96">
        <v>3</v>
      </c>
      <c r="AO96" t="str">
        <f>_xlfn.XLOOKUP(Table1[[#This Row],[PerformanceRating]],Table17[PerformanceRating],Table17[Deskripsi])</f>
        <v>Excellent</v>
      </c>
      <c r="AP96" t="str">
        <f>_xlfn.XLOOKUP(Table1[[#This Row],[RelationshipSatisfaction]],Table18[RelationshipSatisfaction],Table18[Id_RelationshipSatisfaction])</f>
        <v>RS001</v>
      </c>
      <c r="AQ96">
        <v>1</v>
      </c>
      <c r="AR96" t="str">
        <f>_xlfn.XLOOKUP(Table1[[#This Row],[RelationshipSatisfaction]],Table18[RelationshipSatisfaction],Table18[Deskripsi])</f>
        <v>Low</v>
      </c>
      <c r="AS96" t="str">
        <f>_xlfn.XLOOKUP(Table1[[#This Row],[StockOptionLevel]],Table19[StockOptionLevel],Table19[Id_StockOptionLevel])</f>
        <v>SOL001</v>
      </c>
      <c r="AT96">
        <v>0</v>
      </c>
      <c r="AU96" t="str">
        <f>_xlfn.XLOOKUP(Table1[[#This Row],[StockOptionLevel]],Table19[StockOptionLevel],Table19[Deskripsi])</f>
        <v>Non-Eligible</v>
      </c>
      <c r="AV96">
        <v>12</v>
      </c>
      <c r="AW96">
        <v>0</v>
      </c>
      <c r="AX96" t="str">
        <f>_xlfn.XLOOKUP(Table1[[#This Row],[WorkLifeBalance]],Table20[WorkLifeBalance],Table20[Id_WorkLifeBalance])</f>
        <v>WLB002</v>
      </c>
      <c r="AY96">
        <v>3</v>
      </c>
      <c r="AZ96" t="str">
        <f>_xlfn.XLOOKUP(Table1[[#This Row],[WorkLifeBalance]],Table20[WorkLifeBalance],Table20[Deskripsi])</f>
        <v>Good</v>
      </c>
      <c r="BA96">
        <v>11</v>
      </c>
      <c r="BB96">
        <v>8</v>
      </c>
      <c r="BC96">
        <v>5</v>
      </c>
      <c r="BD96">
        <v>7</v>
      </c>
    </row>
    <row r="97" spans="1:56" x14ac:dyDescent="0.25">
      <c r="A97">
        <v>54</v>
      </c>
      <c r="B97" t="str">
        <f>_xlfn.XLOOKUP(Table1[[#This Row],[Attrition]],Table2[Attrition],Table2[Id_Attrition])</f>
        <v>A002</v>
      </c>
      <c r="C97" t="s">
        <v>33</v>
      </c>
      <c r="D97" t="str">
        <f>_xlfn.XLOOKUP(Table1[[#This Row],[BusinessTravel]],Table5[BusinessTravel],Table5[Id_BusinessTravel])</f>
        <v>BS001</v>
      </c>
      <c r="E97" t="s">
        <v>34</v>
      </c>
      <c r="F97">
        <v>1217</v>
      </c>
      <c r="G97" t="str">
        <f>_xlfn.XLOOKUP(Table1[[#This Row],[Department]],Table6[Department],Table6[Id_Departement])</f>
        <v>D002</v>
      </c>
      <c r="H97" t="s">
        <v>38</v>
      </c>
      <c r="I97">
        <v>2</v>
      </c>
      <c r="J97" t="str">
        <f>_xlfn.XLOOKUP(Table1[[#This Row],[Education]],Table8[Education],Table8[Id_Education])</f>
        <v>E004</v>
      </c>
      <c r="K97">
        <v>4</v>
      </c>
      <c r="L97" t="str">
        <f>_xlfn.XLOOKUP(Table1[[#This Row],[EducationField]],Table7[EducationField],Table7[Id_EducationField])</f>
        <v>EF005</v>
      </c>
      <c r="M97" t="s">
        <v>44</v>
      </c>
      <c r="N97" t="str">
        <f>_xlfn.XLOOKUP(Table1[[#This Row],[EmployeeNumber]],Table4[EmployeeNumber],Table4[Id_Employee])</f>
        <v>EMP00096</v>
      </c>
      <c r="O97">
        <v>126</v>
      </c>
      <c r="P97" t="str">
        <f>_xlfn.XLOOKUP(Table1[[#This Row],[EnvironmentSatisfaction]],Table9[EnvironmentSatisfaction],Table9[Id_EnviromentSatisfaction])</f>
        <v>ES001</v>
      </c>
      <c r="Q97">
        <v>1</v>
      </c>
      <c r="R97" t="str">
        <f>_xlfn.XLOOKUP(Table1[[#This Row],[EnvironmentSatisfaction]],Table9[EnvironmentSatisfaction],Table9[Deskripsi])</f>
        <v>Low</v>
      </c>
      <c r="S97" t="str">
        <f>_xlfn.XLOOKUP(Table1[[#This Row],[Gender]],Table10[Gender],Table10[Id_Gender])</f>
        <v>G001</v>
      </c>
      <c r="T97" t="s">
        <v>45</v>
      </c>
      <c r="U97">
        <v>60</v>
      </c>
      <c r="V97" t="str">
        <f>_xlfn.XLOOKUP(Table1[[#This Row],[JobInvolvement]],Table11[JobInvolvement],Table11[Id_JobInvolvement])</f>
        <v>JI003</v>
      </c>
      <c r="W97">
        <v>3</v>
      </c>
      <c r="X97" t="str">
        <f>_xlfn.XLOOKUP(Table1[[#This Row],[JobLevel]],Table12[JobLevel],Table12[Id_JobLevel])</f>
        <v>JL003</v>
      </c>
      <c r="Y97">
        <v>3</v>
      </c>
      <c r="Z97" t="str">
        <f>_xlfn.XLOOKUP(Table1[[#This Row],[JobRole]],Table13[JobRole],Table13[Id_JobRole])</f>
        <v>JR008</v>
      </c>
      <c r="AA97" t="s">
        <v>54</v>
      </c>
      <c r="AB97" t="str">
        <f>_xlfn.XLOOKUP(Table1[[#This Row],[JobSatisfaction]],Table14[JobSatisfaction],Table14[Id_JobSatisfaction])</f>
        <v>JS003</v>
      </c>
      <c r="AC97">
        <v>3</v>
      </c>
      <c r="AD97" t="str">
        <f>_xlfn.XLOOKUP(Table1[[#This Row],[JobSatisfaction]],Table14[JobSatisfaction],Table14[Deskripsi])</f>
        <v>High</v>
      </c>
      <c r="AE97" t="str">
        <f>_xlfn.XLOOKUP(Table1[[#This Row],[MaritalStatus]],Table15[MaritalStatus],Table15[Id_MaritalStatus])</f>
        <v>MS002</v>
      </c>
      <c r="AF97" t="s">
        <v>56</v>
      </c>
      <c r="AG97">
        <v>13549</v>
      </c>
      <c r="AH97">
        <v>24001</v>
      </c>
      <c r="AI97">
        <v>9</v>
      </c>
      <c r="AJ97" t="str">
        <f>_xlfn.XLOOKUP(Table1[[#This Row],[OverTime]],Table16[OverTime],Table16[Id_OverTime])</f>
        <v>OT002</v>
      </c>
      <c r="AK97" t="s">
        <v>33</v>
      </c>
      <c r="AL97">
        <v>12</v>
      </c>
      <c r="AM97" t="str">
        <f>_xlfn.XLOOKUP(Table1[[#This Row],[PerformanceRating]],Table17[PerformanceRating],Table17[Id_PerformanceRating])</f>
        <v>PR003</v>
      </c>
      <c r="AN97">
        <v>3</v>
      </c>
      <c r="AO97" t="str">
        <f>_xlfn.XLOOKUP(Table1[[#This Row],[PerformanceRating]],Table17[PerformanceRating],Table17[Deskripsi])</f>
        <v>Excellent</v>
      </c>
      <c r="AP97" t="str">
        <f>_xlfn.XLOOKUP(Table1[[#This Row],[RelationshipSatisfaction]],Table18[RelationshipSatisfaction],Table18[Id_RelationshipSatisfaction])</f>
        <v>RS001</v>
      </c>
      <c r="AQ97">
        <v>1</v>
      </c>
      <c r="AR97" t="str">
        <f>_xlfn.XLOOKUP(Table1[[#This Row],[RelationshipSatisfaction]],Table18[RelationshipSatisfaction],Table18[Deskripsi])</f>
        <v>Low</v>
      </c>
      <c r="AS97" t="str">
        <f>_xlfn.XLOOKUP(Table1[[#This Row],[StockOptionLevel]],Table19[StockOptionLevel],Table19[Id_StockOptionLevel])</f>
        <v>SOL002</v>
      </c>
      <c r="AT97">
        <v>1</v>
      </c>
      <c r="AU97" t="str">
        <f>_xlfn.XLOOKUP(Table1[[#This Row],[StockOptionLevel]],Table19[StockOptionLevel],Table19[Deskripsi])</f>
        <v>Standard</v>
      </c>
      <c r="AV97">
        <v>16</v>
      </c>
      <c r="AW97">
        <v>5</v>
      </c>
      <c r="AX97" t="str">
        <f>_xlfn.XLOOKUP(Table1[[#This Row],[WorkLifeBalance]],Table20[WorkLifeBalance],Table20[Id_WorkLifeBalance])</f>
        <v>WLB001</v>
      </c>
      <c r="AY97">
        <v>1</v>
      </c>
      <c r="AZ97" t="str">
        <f>_xlfn.XLOOKUP(Table1[[#This Row],[WorkLifeBalance]],Table20[WorkLifeBalance],Table20[Deskripsi])</f>
        <v>Bad</v>
      </c>
      <c r="BA97">
        <v>4</v>
      </c>
      <c r="BB97">
        <v>3</v>
      </c>
      <c r="BC97">
        <v>0</v>
      </c>
      <c r="BD97">
        <v>3</v>
      </c>
    </row>
    <row r="98" spans="1:56" x14ac:dyDescent="0.25">
      <c r="A98">
        <v>24</v>
      </c>
      <c r="B98" t="str">
        <f>_xlfn.XLOOKUP(Table1[[#This Row],[Attrition]],Table2[Attrition],Table2[Id_Attrition])</f>
        <v>A002</v>
      </c>
      <c r="C98" t="s">
        <v>33</v>
      </c>
      <c r="D98" t="str">
        <f>_xlfn.XLOOKUP(Table1[[#This Row],[BusinessTravel]],Table5[BusinessTravel],Table5[Id_BusinessTravel])</f>
        <v>BS001</v>
      </c>
      <c r="E98" t="s">
        <v>34</v>
      </c>
      <c r="F98">
        <v>1353</v>
      </c>
      <c r="G98" t="str">
        <f>_xlfn.XLOOKUP(Table1[[#This Row],[Department]],Table6[Department],Table6[Id_Departement])</f>
        <v>D001</v>
      </c>
      <c r="H98" t="s">
        <v>37</v>
      </c>
      <c r="I98">
        <v>3</v>
      </c>
      <c r="J98" t="str">
        <f>_xlfn.XLOOKUP(Table1[[#This Row],[Education]],Table8[Education],Table8[Id_Education])</f>
        <v>E002</v>
      </c>
      <c r="K98">
        <v>2</v>
      </c>
      <c r="L98" t="str">
        <f>_xlfn.XLOOKUP(Table1[[#This Row],[EducationField]],Table7[EducationField],Table7[Id_EducationField])</f>
        <v>EF002</v>
      </c>
      <c r="M98" t="s">
        <v>41</v>
      </c>
      <c r="N98" t="str">
        <f>_xlfn.XLOOKUP(Table1[[#This Row],[EmployeeNumber]],Table4[EmployeeNumber],Table4[Id_Employee])</f>
        <v>EMP00097</v>
      </c>
      <c r="O98">
        <v>128</v>
      </c>
      <c r="P98" t="str">
        <f>_xlfn.XLOOKUP(Table1[[#This Row],[EnvironmentSatisfaction]],Table9[EnvironmentSatisfaction],Table9[Id_EnviromentSatisfaction])</f>
        <v>ES001</v>
      </c>
      <c r="Q98">
        <v>1</v>
      </c>
      <c r="R98" t="str">
        <f>_xlfn.XLOOKUP(Table1[[#This Row],[EnvironmentSatisfaction]],Table9[EnvironmentSatisfaction],Table9[Deskripsi])</f>
        <v>Low</v>
      </c>
      <c r="S98" t="str">
        <f>_xlfn.XLOOKUP(Table1[[#This Row],[Gender]],Table10[Gender],Table10[Id_Gender])</f>
        <v>G001</v>
      </c>
      <c r="T98" t="s">
        <v>45</v>
      </c>
      <c r="U98">
        <v>33</v>
      </c>
      <c r="V98" t="str">
        <f>_xlfn.XLOOKUP(Table1[[#This Row],[JobInvolvement]],Table11[JobInvolvement],Table11[Id_JobInvolvement])</f>
        <v>JI003</v>
      </c>
      <c r="W98">
        <v>3</v>
      </c>
      <c r="X98" t="str">
        <f>_xlfn.XLOOKUP(Table1[[#This Row],[JobLevel]],Table12[JobLevel],Table12[Id_JobLevel])</f>
        <v>JL002</v>
      </c>
      <c r="Y98">
        <v>2</v>
      </c>
      <c r="Z98" t="str">
        <f>_xlfn.XLOOKUP(Table1[[#This Row],[JobRole]],Table13[JobRole],Table13[Id_JobRole])</f>
        <v>JR001</v>
      </c>
      <c r="AA98" t="s">
        <v>47</v>
      </c>
      <c r="AB98" t="str">
        <f>_xlfn.XLOOKUP(Table1[[#This Row],[JobSatisfaction]],Table14[JobSatisfaction],Table14[Id_JobSatisfaction])</f>
        <v>JS003</v>
      </c>
      <c r="AC98">
        <v>3</v>
      </c>
      <c r="AD98" t="str">
        <f>_xlfn.XLOOKUP(Table1[[#This Row],[JobSatisfaction]],Table14[JobSatisfaction],Table14[Deskripsi])</f>
        <v>High</v>
      </c>
      <c r="AE98" t="str">
        <f>_xlfn.XLOOKUP(Table1[[#This Row],[MaritalStatus]],Table15[MaritalStatus],Table15[Id_MaritalStatus])</f>
        <v>MS002</v>
      </c>
      <c r="AF98" t="s">
        <v>56</v>
      </c>
      <c r="AG98">
        <v>4999</v>
      </c>
      <c r="AH98">
        <v>17519</v>
      </c>
      <c r="AI98">
        <v>0</v>
      </c>
      <c r="AJ98" t="str">
        <f>_xlfn.XLOOKUP(Table1[[#This Row],[OverTime]],Table16[OverTime],Table16[Id_OverTime])</f>
        <v>OT002</v>
      </c>
      <c r="AK98" t="s">
        <v>33</v>
      </c>
      <c r="AL98">
        <v>21</v>
      </c>
      <c r="AM98" t="str">
        <f>_xlfn.XLOOKUP(Table1[[#This Row],[PerformanceRating]],Table17[PerformanceRating],Table17[Id_PerformanceRating])</f>
        <v>PR004</v>
      </c>
      <c r="AN98">
        <v>4</v>
      </c>
      <c r="AO98" t="str">
        <f>_xlfn.XLOOKUP(Table1[[#This Row],[PerformanceRating]],Table17[PerformanceRating],Table17[Deskripsi])</f>
        <v>Outstanding</v>
      </c>
      <c r="AP98" t="str">
        <f>_xlfn.XLOOKUP(Table1[[#This Row],[RelationshipSatisfaction]],Table18[RelationshipSatisfaction],Table18[Id_RelationshipSatisfaction])</f>
        <v>RS001</v>
      </c>
      <c r="AQ98">
        <v>1</v>
      </c>
      <c r="AR98" t="str">
        <f>_xlfn.XLOOKUP(Table1[[#This Row],[RelationshipSatisfaction]],Table18[RelationshipSatisfaction],Table18[Deskripsi])</f>
        <v>Low</v>
      </c>
      <c r="AS98" t="str">
        <f>_xlfn.XLOOKUP(Table1[[#This Row],[StockOptionLevel]],Table19[StockOptionLevel],Table19[Id_StockOptionLevel])</f>
        <v>SOL002</v>
      </c>
      <c r="AT98">
        <v>1</v>
      </c>
      <c r="AU98" t="str">
        <f>_xlfn.XLOOKUP(Table1[[#This Row],[StockOptionLevel]],Table19[StockOptionLevel],Table19[Deskripsi])</f>
        <v>Standard</v>
      </c>
      <c r="AV98">
        <v>4</v>
      </c>
      <c r="AW98">
        <v>2</v>
      </c>
      <c r="AX98" t="str">
        <f>_xlfn.XLOOKUP(Table1[[#This Row],[WorkLifeBalance]],Table20[WorkLifeBalance],Table20[Id_WorkLifeBalance])</f>
        <v>WLB003</v>
      </c>
      <c r="AY98">
        <v>2</v>
      </c>
      <c r="AZ98" t="str">
        <f>_xlfn.XLOOKUP(Table1[[#This Row],[WorkLifeBalance]],Table20[WorkLifeBalance],Table20[Deskripsi])</f>
        <v>Better</v>
      </c>
      <c r="BA98">
        <v>3</v>
      </c>
      <c r="BB98">
        <v>2</v>
      </c>
      <c r="BC98">
        <v>0</v>
      </c>
      <c r="BD98">
        <v>2</v>
      </c>
    </row>
    <row r="99" spans="1:56" x14ac:dyDescent="0.25">
      <c r="A99">
        <v>28</v>
      </c>
      <c r="B99" t="str">
        <f>_xlfn.XLOOKUP(Table1[[#This Row],[Attrition]],Table2[Attrition],Table2[Id_Attrition])</f>
        <v>A002</v>
      </c>
      <c r="C99" t="s">
        <v>33</v>
      </c>
      <c r="D99" t="str">
        <f>_xlfn.XLOOKUP(Table1[[#This Row],[BusinessTravel]],Table5[BusinessTravel],Table5[Id_BusinessTravel])</f>
        <v>BS003</v>
      </c>
      <c r="E99" t="s">
        <v>36</v>
      </c>
      <c r="F99">
        <v>120</v>
      </c>
      <c r="G99" t="str">
        <f>_xlfn.XLOOKUP(Table1[[#This Row],[Department]],Table6[Department],Table6[Id_Departement])</f>
        <v>D001</v>
      </c>
      <c r="H99" t="s">
        <v>37</v>
      </c>
      <c r="I99">
        <v>4</v>
      </c>
      <c r="J99" t="str">
        <f>_xlfn.XLOOKUP(Table1[[#This Row],[Education]],Table8[Education],Table8[Id_Education])</f>
        <v>E003</v>
      </c>
      <c r="K99">
        <v>3</v>
      </c>
      <c r="L99" t="str">
        <f>_xlfn.XLOOKUP(Table1[[#This Row],[EducationField]],Table7[EducationField],Table7[Id_EducationField])</f>
        <v>EF003</v>
      </c>
      <c r="M99" t="s">
        <v>42</v>
      </c>
      <c r="N99" t="str">
        <f>_xlfn.XLOOKUP(Table1[[#This Row],[EmployeeNumber]],Table4[EmployeeNumber],Table4[Id_Employee])</f>
        <v>EMP00098</v>
      </c>
      <c r="O99">
        <v>129</v>
      </c>
      <c r="P99" t="str">
        <f>_xlfn.XLOOKUP(Table1[[#This Row],[EnvironmentSatisfaction]],Table9[EnvironmentSatisfaction],Table9[Id_EnviromentSatisfaction])</f>
        <v>ES002</v>
      </c>
      <c r="Q99">
        <v>2</v>
      </c>
      <c r="R99" t="str">
        <f>_xlfn.XLOOKUP(Table1[[#This Row],[EnvironmentSatisfaction]],Table9[EnvironmentSatisfaction],Table9[Deskripsi])</f>
        <v>Medium</v>
      </c>
      <c r="S99" t="str">
        <f>_xlfn.XLOOKUP(Table1[[#This Row],[Gender]],Table10[Gender],Table10[Id_Gender])</f>
        <v>G002</v>
      </c>
      <c r="T99" t="s">
        <v>46</v>
      </c>
      <c r="U99">
        <v>43</v>
      </c>
      <c r="V99" t="str">
        <f>_xlfn.XLOOKUP(Table1[[#This Row],[JobInvolvement]],Table11[JobInvolvement],Table11[Id_JobInvolvement])</f>
        <v>JI003</v>
      </c>
      <c r="W99">
        <v>3</v>
      </c>
      <c r="X99" t="str">
        <f>_xlfn.XLOOKUP(Table1[[#This Row],[JobLevel]],Table12[JobLevel],Table12[Id_JobLevel])</f>
        <v>JL002</v>
      </c>
      <c r="Y99">
        <v>2</v>
      </c>
      <c r="Z99" t="str">
        <f>_xlfn.XLOOKUP(Table1[[#This Row],[JobRole]],Table13[JobRole],Table13[Id_JobRole])</f>
        <v>JR001</v>
      </c>
      <c r="AA99" t="s">
        <v>47</v>
      </c>
      <c r="AB99" t="str">
        <f>_xlfn.XLOOKUP(Table1[[#This Row],[JobSatisfaction]],Table14[JobSatisfaction],Table14[Id_JobSatisfaction])</f>
        <v>JS003</v>
      </c>
      <c r="AC99">
        <v>3</v>
      </c>
      <c r="AD99" t="str">
        <f>_xlfn.XLOOKUP(Table1[[#This Row],[JobSatisfaction]],Table14[JobSatisfaction],Table14[Deskripsi])</f>
        <v>High</v>
      </c>
      <c r="AE99" t="str">
        <f>_xlfn.XLOOKUP(Table1[[#This Row],[MaritalStatus]],Table15[MaritalStatus],Table15[Id_MaritalStatus])</f>
        <v>MS002</v>
      </c>
      <c r="AF99" t="s">
        <v>56</v>
      </c>
      <c r="AG99">
        <v>4221</v>
      </c>
      <c r="AH99">
        <v>8863</v>
      </c>
      <c r="AI99">
        <v>1</v>
      </c>
      <c r="AJ99" t="str">
        <f>_xlfn.XLOOKUP(Table1[[#This Row],[OverTime]],Table16[OverTime],Table16[Id_OverTime])</f>
        <v>OT002</v>
      </c>
      <c r="AK99" t="s">
        <v>33</v>
      </c>
      <c r="AL99">
        <v>15</v>
      </c>
      <c r="AM99" t="str">
        <f>_xlfn.XLOOKUP(Table1[[#This Row],[PerformanceRating]],Table17[PerformanceRating],Table17[Id_PerformanceRating])</f>
        <v>PR003</v>
      </c>
      <c r="AN99">
        <v>3</v>
      </c>
      <c r="AO99" t="str">
        <f>_xlfn.XLOOKUP(Table1[[#This Row],[PerformanceRating]],Table17[PerformanceRating],Table17[Deskripsi])</f>
        <v>Excellent</v>
      </c>
      <c r="AP99" t="str">
        <f>_xlfn.XLOOKUP(Table1[[#This Row],[RelationshipSatisfaction]],Table18[RelationshipSatisfaction],Table18[Id_RelationshipSatisfaction])</f>
        <v>RS002</v>
      </c>
      <c r="AQ99">
        <v>2</v>
      </c>
      <c r="AR99" t="str">
        <f>_xlfn.XLOOKUP(Table1[[#This Row],[RelationshipSatisfaction]],Table18[RelationshipSatisfaction],Table18[Deskripsi])</f>
        <v>Medium</v>
      </c>
      <c r="AS99" t="str">
        <f>_xlfn.XLOOKUP(Table1[[#This Row],[StockOptionLevel]],Table19[StockOptionLevel],Table19[Id_StockOptionLevel])</f>
        <v>SOL001</v>
      </c>
      <c r="AT99">
        <v>0</v>
      </c>
      <c r="AU99" t="str">
        <f>_xlfn.XLOOKUP(Table1[[#This Row],[StockOptionLevel]],Table19[StockOptionLevel],Table19[Deskripsi])</f>
        <v>Non-Eligible</v>
      </c>
      <c r="AV99">
        <v>5</v>
      </c>
      <c r="AW99">
        <v>3</v>
      </c>
      <c r="AX99" t="str">
        <f>_xlfn.XLOOKUP(Table1[[#This Row],[WorkLifeBalance]],Table20[WorkLifeBalance],Table20[Id_WorkLifeBalance])</f>
        <v>WLB004</v>
      </c>
      <c r="AY99">
        <v>4</v>
      </c>
      <c r="AZ99" t="str">
        <f>_xlfn.XLOOKUP(Table1[[#This Row],[WorkLifeBalance]],Table20[WorkLifeBalance],Table20[Deskripsi])</f>
        <v>Best</v>
      </c>
      <c r="BA99">
        <v>5</v>
      </c>
      <c r="BB99">
        <v>4</v>
      </c>
      <c r="BC99">
        <v>0</v>
      </c>
      <c r="BD99">
        <v>4</v>
      </c>
    </row>
    <row r="100" spans="1:56" x14ac:dyDescent="0.25">
      <c r="A100">
        <v>58</v>
      </c>
      <c r="B100" t="str">
        <f>_xlfn.XLOOKUP(Table1[[#This Row],[Attrition]],Table2[Attrition],Table2[Id_Attrition])</f>
        <v>A002</v>
      </c>
      <c r="C100" t="s">
        <v>33</v>
      </c>
      <c r="D100" t="str">
        <f>_xlfn.XLOOKUP(Table1[[#This Row],[BusinessTravel]],Table5[BusinessTravel],Table5[Id_BusinessTravel])</f>
        <v>BS001</v>
      </c>
      <c r="E100" t="s">
        <v>34</v>
      </c>
      <c r="F100">
        <v>682</v>
      </c>
      <c r="G100" t="str">
        <f>_xlfn.XLOOKUP(Table1[[#This Row],[Department]],Table6[Department],Table6[Id_Departement])</f>
        <v>D001</v>
      </c>
      <c r="H100" t="s">
        <v>37</v>
      </c>
      <c r="I100">
        <v>10</v>
      </c>
      <c r="J100" t="str">
        <f>_xlfn.XLOOKUP(Table1[[#This Row],[Education]],Table8[Education],Table8[Id_Education])</f>
        <v>E004</v>
      </c>
      <c r="K100">
        <v>4</v>
      </c>
      <c r="L100" t="str">
        <f>_xlfn.XLOOKUP(Table1[[#This Row],[EducationField]],Table7[EducationField],Table7[Id_EducationField])</f>
        <v>EF003</v>
      </c>
      <c r="M100" t="s">
        <v>42</v>
      </c>
      <c r="N100" t="str">
        <f>_xlfn.XLOOKUP(Table1[[#This Row],[EmployeeNumber]],Table4[EmployeeNumber],Table4[Id_Employee])</f>
        <v>EMP00099</v>
      </c>
      <c r="O100">
        <v>131</v>
      </c>
      <c r="P100" t="str">
        <f>_xlfn.XLOOKUP(Table1[[#This Row],[EnvironmentSatisfaction]],Table9[EnvironmentSatisfaction],Table9[Id_EnviromentSatisfaction])</f>
        <v>ES004</v>
      </c>
      <c r="Q100">
        <v>4</v>
      </c>
      <c r="R100" t="str">
        <f>_xlfn.XLOOKUP(Table1[[#This Row],[EnvironmentSatisfaction]],Table9[EnvironmentSatisfaction],Table9[Deskripsi])</f>
        <v>Very High</v>
      </c>
      <c r="S100" t="str">
        <f>_xlfn.XLOOKUP(Table1[[#This Row],[Gender]],Table10[Gender],Table10[Id_Gender])</f>
        <v>G002</v>
      </c>
      <c r="T100" t="s">
        <v>46</v>
      </c>
      <c r="U100">
        <v>37</v>
      </c>
      <c r="V100" t="str">
        <f>_xlfn.XLOOKUP(Table1[[#This Row],[JobInvolvement]],Table11[JobInvolvement],Table11[Id_JobInvolvement])</f>
        <v>JI003</v>
      </c>
      <c r="W100">
        <v>3</v>
      </c>
      <c r="X100" t="str">
        <f>_xlfn.XLOOKUP(Table1[[#This Row],[JobLevel]],Table12[JobLevel],Table12[Id_JobLevel])</f>
        <v>JL004</v>
      </c>
      <c r="Y100">
        <v>4</v>
      </c>
      <c r="Z100" t="str">
        <f>_xlfn.XLOOKUP(Table1[[#This Row],[JobRole]],Table13[JobRole],Table13[Id_JobRole])</f>
        <v>JR001</v>
      </c>
      <c r="AA100" t="s">
        <v>47</v>
      </c>
      <c r="AB100" t="str">
        <f>_xlfn.XLOOKUP(Table1[[#This Row],[JobSatisfaction]],Table14[JobSatisfaction],Table14[Id_JobSatisfaction])</f>
        <v>JS003</v>
      </c>
      <c r="AC100">
        <v>3</v>
      </c>
      <c r="AD100" t="str">
        <f>_xlfn.XLOOKUP(Table1[[#This Row],[JobSatisfaction]],Table14[JobSatisfaction],Table14[Deskripsi])</f>
        <v>High</v>
      </c>
      <c r="AE100" t="str">
        <f>_xlfn.XLOOKUP(Table1[[#This Row],[MaritalStatus]],Table15[MaritalStatus],Table15[Id_MaritalStatus])</f>
        <v>MS001</v>
      </c>
      <c r="AF100" t="s">
        <v>55</v>
      </c>
      <c r="AG100">
        <v>13872</v>
      </c>
      <c r="AH100">
        <v>24409</v>
      </c>
      <c r="AI100">
        <v>0</v>
      </c>
      <c r="AJ100" t="str">
        <f>_xlfn.XLOOKUP(Table1[[#This Row],[OverTime]],Table16[OverTime],Table16[Id_OverTime])</f>
        <v>OT002</v>
      </c>
      <c r="AK100" t="s">
        <v>33</v>
      </c>
      <c r="AL100">
        <v>13</v>
      </c>
      <c r="AM100" t="str">
        <f>_xlfn.XLOOKUP(Table1[[#This Row],[PerformanceRating]],Table17[PerformanceRating],Table17[Id_PerformanceRating])</f>
        <v>PR003</v>
      </c>
      <c r="AN100">
        <v>3</v>
      </c>
      <c r="AO100" t="str">
        <f>_xlfn.XLOOKUP(Table1[[#This Row],[PerformanceRating]],Table17[PerformanceRating],Table17[Deskripsi])</f>
        <v>Excellent</v>
      </c>
      <c r="AP100" t="str">
        <f>_xlfn.XLOOKUP(Table1[[#This Row],[RelationshipSatisfaction]],Table18[RelationshipSatisfaction],Table18[Id_RelationshipSatisfaction])</f>
        <v>RS003</v>
      </c>
      <c r="AQ100">
        <v>3</v>
      </c>
      <c r="AR100" t="str">
        <f>_xlfn.XLOOKUP(Table1[[#This Row],[RelationshipSatisfaction]],Table18[RelationshipSatisfaction],Table18[Deskripsi])</f>
        <v>High</v>
      </c>
      <c r="AS100" t="str">
        <f>_xlfn.XLOOKUP(Table1[[#This Row],[StockOptionLevel]],Table19[StockOptionLevel],Table19[Id_StockOptionLevel])</f>
        <v>SOL001</v>
      </c>
      <c r="AT100">
        <v>0</v>
      </c>
      <c r="AU100" t="str">
        <f>_xlfn.XLOOKUP(Table1[[#This Row],[StockOptionLevel]],Table19[StockOptionLevel],Table19[Deskripsi])</f>
        <v>Non-Eligible</v>
      </c>
      <c r="AV100">
        <v>38</v>
      </c>
      <c r="AW100">
        <v>1</v>
      </c>
      <c r="AX100" t="str">
        <f>_xlfn.XLOOKUP(Table1[[#This Row],[WorkLifeBalance]],Table20[WorkLifeBalance],Table20[Id_WorkLifeBalance])</f>
        <v>WLB003</v>
      </c>
      <c r="AY100">
        <v>2</v>
      </c>
      <c r="AZ100" t="str">
        <f>_xlfn.XLOOKUP(Table1[[#This Row],[WorkLifeBalance]],Table20[WorkLifeBalance],Table20[Deskripsi])</f>
        <v>Better</v>
      </c>
      <c r="BA100">
        <v>37</v>
      </c>
      <c r="BB100">
        <v>10</v>
      </c>
      <c r="BC100">
        <v>1</v>
      </c>
      <c r="BD100">
        <v>8</v>
      </c>
    </row>
    <row r="101" spans="1:56" x14ac:dyDescent="0.25">
      <c r="A101">
        <v>44</v>
      </c>
      <c r="B101" t="str">
        <f>_xlfn.XLOOKUP(Table1[[#This Row],[Attrition]],Table2[Attrition],Table2[Id_Attrition])</f>
        <v>A002</v>
      </c>
      <c r="C101" t="s">
        <v>33</v>
      </c>
      <c r="D101" t="str">
        <f>_xlfn.XLOOKUP(Table1[[#This Row],[BusinessTravel]],Table5[BusinessTravel],Table5[Id_BusinessTravel])</f>
        <v>BS003</v>
      </c>
      <c r="E101" t="s">
        <v>36</v>
      </c>
      <c r="F101">
        <v>489</v>
      </c>
      <c r="G101" t="str">
        <f>_xlfn.XLOOKUP(Table1[[#This Row],[Department]],Table6[Department],Table6[Id_Departement])</f>
        <v>D002</v>
      </c>
      <c r="H101" t="s">
        <v>38</v>
      </c>
      <c r="I101">
        <v>23</v>
      </c>
      <c r="J101" t="str">
        <f>_xlfn.XLOOKUP(Table1[[#This Row],[Education]],Table8[Education],Table8[Id_Education])</f>
        <v>E003</v>
      </c>
      <c r="K101">
        <v>3</v>
      </c>
      <c r="L101" t="str">
        <f>_xlfn.XLOOKUP(Table1[[#This Row],[EducationField]],Table7[EducationField],Table7[Id_EducationField])</f>
        <v>EF003</v>
      </c>
      <c r="M101" t="s">
        <v>42</v>
      </c>
      <c r="N101" t="str">
        <f>_xlfn.XLOOKUP(Table1[[#This Row],[EmployeeNumber]],Table4[EmployeeNumber],Table4[Id_Employee])</f>
        <v>EMP00100</v>
      </c>
      <c r="O101">
        <v>132</v>
      </c>
      <c r="P101" t="str">
        <f>_xlfn.XLOOKUP(Table1[[#This Row],[EnvironmentSatisfaction]],Table9[EnvironmentSatisfaction],Table9[Id_EnviromentSatisfaction])</f>
        <v>ES002</v>
      </c>
      <c r="Q101">
        <v>2</v>
      </c>
      <c r="R101" t="str">
        <f>_xlfn.XLOOKUP(Table1[[#This Row],[EnvironmentSatisfaction]],Table9[EnvironmentSatisfaction],Table9[Deskripsi])</f>
        <v>Medium</v>
      </c>
      <c r="S101" t="str">
        <f>_xlfn.XLOOKUP(Table1[[#This Row],[Gender]],Table10[Gender],Table10[Id_Gender])</f>
        <v>G002</v>
      </c>
      <c r="T101" t="s">
        <v>46</v>
      </c>
      <c r="U101">
        <v>67</v>
      </c>
      <c r="V101" t="str">
        <f>_xlfn.XLOOKUP(Table1[[#This Row],[JobInvolvement]],Table11[JobInvolvement],Table11[Id_JobInvolvement])</f>
        <v>JI003</v>
      </c>
      <c r="W101">
        <v>3</v>
      </c>
      <c r="X101" t="str">
        <f>_xlfn.XLOOKUP(Table1[[#This Row],[JobLevel]],Table12[JobLevel],Table12[Id_JobLevel])</f>
        <v>JL002</v>
      </c>
      <c r="Y101">
        <v>2</v>
      </c>
      <c r="Z101" t="str">
        <f>_xlfn.XLOOKUP(Table1[[#This Row],[JobRole]],Table13[JobRole],Table13[Id_JobRole])</f>
        <v>JR003</v>
      </c>
      <c r="AA101" t="s">
        <v>49</v>
      </c>
      <c r="AB101" t="str">
        <f>_xlfn.XLOOKUP(Table1[[#This Row],[JobSatisfaction]],Table14[JobSatisfaction],Table14[Id_JobSatisfaction])</f>
        <v>JS002</v>
      </c>
      <c r="AC101">
        <v>2</v>
      </c>
      <c r="AD101" t="str">
        <f>_xlfn.XLOOKUP(Table1[[#This Row],[JobSatisfaction]],Table14[JobSatisfaction],Table14[Deskripsi])</f>
        <v>Medium</v>
      </c>
      <c r="AE101" t="str">
        <f>_xlfn.XLOOKUP(Table1[[#This Row],[MaritalStatus]],Table15[MaritalStatus],Table15[Id_MaritalStatus])</f>
        <v>MS002</v>
      </c>
      <c r="AF101" t="s">
        <v>56</v>
      </c>
      <c r="AG101">
        <v>2042</v>
      </c>
      <c r="AH101">
        <v>25043</v>
      </c>
      <c r="AI101">
        <v>4</v>
      </c>
      <c r="AJ101" t="str">
        <f>_xlfn.XLOOKUP(Table1[[#This Row],[OverTime]],Table16[OverTime],Table16[Id_OverTime])</f>
        <v>OT002</v>
      </c>
      <c r="AK101" t="s">
        <v>33</v>
      </c>
      <c r="AL101">
        <v>12</v>
      </c>
      <c r="AM101" t="str">
        <f>_xlfn.XLOOKUP(Table1[[#This Row],[PerformanceRating]],Table17[PerformanceRating],Table17[Id_PerformanceRating])</f>
        <v>PR003</v>
      </c>
      <c r="AN101">
        <v>3</v>
      </c>
      <c r="AO101" t="str">
        <f>_xlfn.XLOOKUP(Table1[[#This Row],[PerformanceRating]],Table17[PerformanceRating],Table17[Deskripsi])</f>
        <v>Excellent</v>
      </c>
      <c r="AP101" t="str">
        <f>_xlfn.XLOOKUP(Table1[[#This Row],[RelationshipSatisfaction]],Table18[RelationshipSatisfaction],Table18[Id_RelationshipSatisfaction])</f>
        <v>RS003</v>
      </c>
      <c r="AQ101">
        <v>3</v>
      </c>
      <c r="AR101" t="str">
        <f>_xlfn.XLOOKUP(Table1[[#This Row],[RelationshipSatisfaction]],Table18[RelationshipSatisfaction],Table18[Deskripsi])</f>
        <v>High</v>
      </c>
      <c r="AS101" t="str">
        <f>_xlfn.XLOOKUP(Table1[[#This Row],[StockOptionLevel]],Table19[StockOptionLevel],Table19[Id_StockOptionLevel])</f>
        <v>SOL002</v>
      </c>
      <c r="AT101">
        <v>1</v>
      </c>
      <c r="AU101" t="str">
        <f>_xlfn.XLOOKUP(Table1[[#This Row],[StockOptionLevel]],Table19[StockOptionLevel],Table19[Deskripsi])</f>
        <v>Standard</v>
      </c>
      <c r="AV101">
        <v>17</v>
      </c>
      <c r="AW101">
        <v>3</v>
      </c>
      <c r="AX101" t="str">
        <f>_xlfn.XLOOKUP(Table1[[#This Row],[WorkLifeBalance]],Table20[WorkLifeBalance],Table20[Id_WorkLifeBalance])</f>
        <v>WLB004</v>
      </c>
      <c r="AY101">
        <v>4</v>
      </c>
      <c r="AZ101" t="str">
        <f>_xlfn.XLOOKUP(Table1[[#This Row],[WorkLifeBalance]],Table20[WorkLifeBalance],Table20[Deskripsi])</f>
        <v>Best</v>
      </c>
      <c r="BA101">
        <v>3</v>
      </c>
      <c r="BB101">
        <v>2</v>
      </c>
      <c r="BC101">
        <v>1</v>
      </c>
      <c r="BD101">
        <v>2</v>
      </c>
    </row>
    <row r="102" spans="1:56" x14ac:dyDescent="0.25">
      <c r="A102">
        <v>37</v>
      </c>
      <c r="B102" t="str">
        <f>_xlfn.XLOOKUP(Table1[[#This Row],[Attrition]],Table2[Attrition],Table2[Id_Attrition])</f>
        <v>A001</v>
      </c>
      <c r="C102" t="s">
        <v>32</v>
      </c>
      <c r="D102" t="str">
        <f>_xlfn.XLOOKUP(Table1[[#This Row],[BusinessTravel]],Table5[BusinessTravel],Table5[Id_BusinessTravel])</f>
        <v>BS001</v>
      </c>
      <c r="E102" t="s">
        <v>34</v>
      </c>
      <c r="F102">
        <v>807</v>
      </c>
      <c r="G102" t="str">
        <f>_xlfn.XLOOKUP(Table1[[#This Row],[Department]],Table6[Department],Table6[Id_Departement])</f>
        <v>D003</v>
      </c>
      <c r="H102" t="s">
        <v>39</v>
      </c>
      <c r="I102">
        <v>6</v>
      </c>
      <c r="J102" t="str">
        <f>_xlfn.XLOOKUP(Table1[[#This Row],[Education]],Table8[Education],Table8[Id_Education])</f>
        <v>E004</v>
      </c>
      <c r="K102">
        <v>4</v>
      </c>
      <c r="L102" t="str">
        <f>_xlfn.XLOOKUP(Table1[[#This Row],[EducationField]],Table7[EducationField],Table7[Id_EducationField])</f>
        <v>EF006</v>
      </c>
      <c r="M102" t="s">
        <v>39</v>
      </c>
      <c r="N102" t="str">
        <f>_xlfn.XLOOKUP(Table1[[#This Row],[EmployeeNumber]],Table4[EmployeeNumber],Table4[Id_Employee])</f>
        <v>EMP00101</v>
      </c>
      <c r="O102">
        <v>133</v>
      </c>
      <c r="P102" t="str">
        <f>_xlfn.XLOOKUP(Table1[[#This Row],[EnvironmentSatisfaction]],Table9[EnvironmentSatisfaction],Table9[Id_EnviromentSatisfaction])</f>
        <v>ES003</v>
      </c>
      <c r="Q102">
        <v>3</v>
      </c>
      <c r="R102" t="str">
        <f>_xlfn.XLOOKUP(Table1[[#This Row],[EnvironmentSatisfaction]],Table9[EnvironmentSatisfaction],Table9[Deskripsi])</f>
        <v>High</v>
      </c>
      <c r="S102" t="str">
        <f>_xlfn.XLOOKUP(Table1[[#This Row],[Gender]],Table10[Gender],Table10[Id_Gender])</f>
        <v>G002</v>
      </c>
      <c r="T102" t="s">
        <v>46</v>
      </c>
      <c r="U102">
        <v>63</v>
      </c>
      <c r="V102" t="str">
        <f>_xlfn.XLOOKUP(Table1[[#This Row],[JobInvolvement]],Table11[JobInvolvement],Table11[Id_JobInvolvement])</f>
        <v>JI003</v>
      </c>
      <c r="W102">
        <v>3</v>
      </c>
      <c r="X102" t="str">
        <f>_xlfn.XLOOKUP(Table1[[#This Row],[JobLevel]],Table12[JobLevel],Table12[Id_JobLevel])</f>
        <v>JL001</v>
      </c>
      <c r="Y102">
        <v>1</v>
      </c>
      <c r="Z102" t="str">
        <f>_xlfn.XLOOKUP(Table1[[#This Row],[JobRole]],Table13[JobRole],Table13[Id_JobRole])</f>
        <v>JR009</v>
      </c>
      <c r="AA102" t="s">
        <v>39</v>
      </c>
      <c r="AB102" t="str">
        <f>_xlfn.XLOOKUP(Table1[[#This Row],[JobSatisfaction]],Table14[JobSatisfaction],Table14[Id_JobSatisfaction])</f>
        <v>JS001</v>
      </c>
      <c r="AC102">
        <v>1</v>
      </c>
      <c r="AD102" t="str">
        <f>_xlfn.XLOOKUP(Table1[[#This Row],[JobSatisfaction]],Table14[JobSatisfaction],Table14[Deskripsi])</f>
        <v>Low</v>
      </c>
      <c r="AE102" t="str">
        <f>_xlfn.XLOOKUP(Table1[[#This Row],[MaritalStatus]],Table15[MaritalStatus],Table15[Id_MaritalStatus])</f>
        <v>MS003</v>
      </c>
      <c r="AF102" t="s">
        <v>57</v>
      </c>
      <c r="AG102">
        <v>2073</v>
      </c>
      <c r="AH102">
        <v>23648</v>
      </c>
      <c r="AI102">
        <v>4</v>
      </c>
      <c r="AJ102" t="str">
        <f>_xlfn.XLOOKUP(Table1[[#This Row],[OverTime]],Table16[OverTime],Table16[Id_OverTime])</f>
        <v>OT001</v>
      </c>
      <c r="AK102" t="s">
        <v>32</v>
      </c>
      <c r="AL102">
        <v>22</v>
      </c>
      <c r="AM102" t="str">
        <f>_xlfn.XLOOKUP(Table1[[#This Row],[PerformanceRating]],Table17[PerformanceRating],Table17[Id_PerformanceRating])</f>
        <v>PR004</v>
      </c>
      <c r="AN102">
        <v>4</v>
      </c>
      <c r="AO102" t="str">
        <f>_xlfn.XLOOKUP(Table1[[#This Row],[PerformanceRating]],Table17[PerformanceRating],Table17[Deskripsi])</f>
        <v>Outstanding</v>
      </c>
      <c r="AP102" t="str">
        <f>_xlfn.XLOOKUP(Table1[[#This Row],[RelationshipSatisfaction]],Table18[RelationshipSatisfaction],Table18[Id_RelationshipSatisfaction])</f>
        <v>RS004</v>
      </c>
      <c r="AQ102">
        <v>4</v>
      </c>
      <c r="AR102" t="str">
        <f>_xlfn.XLOOKUP(Table1[[#This Row],[RelationshipSatisfaction]],Table18[RelationshipSatisfaction],Table18[Deskripsi])</f>
        <v>Very High</v>
      </c>
      <c r="AS102" t="str">
        <f>_xlfn.XLOOKUP(Table1[[#This Row],[StockOptionLevel]],Table19[StockOptionLevel],Table19[Id_StockOptionLevel])</f>
        <v>SOL001</v>
      </c>
      <c r="AT102">
        <v>0</v>
      </c>
      <c r="AU102" t="str">
        <f>_xlfn.XLOOKUP(Table1[[#This Row],[StockOptionLevel]],Table19[StockOptionLevel],Table19[Deskripsi])</f>
        <v>Non-Eligible</v>
      </c>
      <c r="AV102">
        <v>7</v>
      </c>
      <c r="AW102">
        <v>3</v>
      </c>
      <c r="AX102" t="str">
        <f>_xlfn.XLOOKUP(Table1[[#This Row],[WorkLifeBalance]],Table20[WorkLifeBalance],Table20[Id_WorkLifeBalance])</f>
        <v>WLB002</v>
      </c>
      <c r="AY102">
        <v>3</v>
      </c>
      <c r="AZ102" t="str">
        <f>_xlfn.XLOOKUP(Table1[[#This Row],[WorkLifeBalance]],Table20[WorkLifeBalance],Table20[Deskripsi])</f>
        <v>Good</v>
      </c>
      <c r="BA102">
        <v>3</v>
      </c>
      <c r="BB102">
        <v>2</v>
      </c>
      <c r="BC102">
        <v>0</v>
      </c>
      <c r="BD102">
        <v>2</v>
      </c>
    </row>
    <row r="103" spans="1:56" x14ac:dyDescent="0.25">
      <c r="A103">
        <v>32</v>
      </c>
      <c r="B103" t="str">
        <f>_xlfn.XLOOKUP(Table1[[#This Row],[Attrition]],Table2[Attrition],Table2[Id_Attrition])</f>
        <v>A002</v>
      </c>
      <c r="C103" t="s">
        <v>33</v>
      </c>
      <c r="D103" t="str">
        <f>_xlfn.XLOOKUP(Table1[[#This Row],[BusinessTravel]],Table5[BusinessTravel],Table5[Id_BusinessTravel])</f>
        <v>BS001</v>
      </c>
      <c r="E103" t="s">
        <v>34</v>
      </c>
      <c r="F103">
        <v>827</v>
      </c>
      <c r="G103" t="str">
        <f>_xlfn.XLOOKUP(Table1[[#This Row],[Department]],Table6[Department],Table6[Id_Departement])</f>
        <v>D002</v>
      </c>
      <c r="H103" t="s">
        <v>38</v>
      </c>
      <c r="I103">
        <v>1</v>
      </c>
      <c r="J103" t="str">
        <f>_xlfn.XLOOKUP(Table1[[#This Row],[Education]],Table8[Education],Table8[Id_Education])</f>
        <v>E001</v>
      </c>
      <c r="K103">
        <v>1</v>
      </c>
      <c r="L103" t="str">
        <f>_xlfn.XLOOKUP(Table1[[#This Row],[EducationField]],Table7[EducationField],Table7[Id_EducationField])</f>
        <v>EF001</v>
      </c>
      <c r="M103" t="s">
        <v>40</v>
      </c>
      <c r="N103" t="str">
        <f>_xlfn.XLOOKUP(Table1[[#This Row],[EmployeeNumber]],Table4[EmployeeNumber],Table4[Id_Employee])</f>
        <v>EMP00102</v>
      </c>
      <c r="O103">
        <v>134</v>
      </c>
      <c r="P103" t="str">
        <f>_xlfn.XLOOKUP(Table1[[#This Row],[EnvironmentSatisfaction]],Table9[EnvironmentSatisfaction],Table9[Id_EnviromentSatisfaction])</f>
        <v>ES004</v>
      </c>
      <c r="Q103">
        <v>4</v>
      </c>
      <c r="R103" t="str">
        <f>_xlfn.XLOOKUP(Table1[[#This Row],[EnvironmentSatisfaction]],Table9[EnvironmentSatisfaction],Table9[Deskripsi])</f>
        <v>Very High</v>
      </c>
      <c r="S103" t="str">
        <f>_xlfn.XLOOKUP(Table1[[#This Row],[Gender]],Table10[Gender],Table10[Id_Gender])</f>
        <v>G002</v>
      </c>
      <c r="T103" t="s">
        <v>46</v>
      </c>
      <c r="U103">
        <v>71</v>
      </c>
      <c r="V103" t="str">
        <f>_xlfn.XLOOKUP(Table1[[#This Row],[JobInvolvement]],Table11[JobInvolvement],Table11[Id_JobInvolvement])</f>
        <v>JI003</v>
      </c>
      <c r="W103">
        <v>3</v>
      </c>
      <c r="X103" t="str">
        <f>_xlfn.XLOOKUP(Table1[[#This Row],[JobLevel]],Table12[JobLevel],Table12[Id_JobLevel])</f>
        <v>JL001</v>
      </c>
      <c r="Y103">
        <v>1</v>
      </c>
      <c r="Z103" t="str">
        <f>_xlfn.XLOOKUP(Table1[[#This Row],[JobRole]],Table13[JobRole],Table13[Id_JobRole])</f>
        <v>JR002</v>
      </c>
      <c r="AA103" t="s">
        <v>48</v>
      </c>
      <c r="AB103" t="str">
        <f>_xlfn.XLOOKUP(Table1[[#This Row],[JobSatisfaction]],Table14[JobSatisfaction],Table14[Id_JobSatisfaction])</f>
        <v>JS001</v>
      </c>
      <c r="AC103">
        <v>1</v>
      </c>
      <c r="AD103" t="str">
        <f>_xlfn.XLOOKUP(Table1[[#This Row],[JobSatisfaction]],Table14[JobSatisfaction],Table14[Deskripsi])</f>
        <v>Low</v>
      </c>
      <c r="AE103" t="str">
        <f>_xlfn.XLOOKUP(Table1[[#This Row],[MaritalStatus]],Table15[MaritalStatus],Table15[Id_MaritalStatus])</f>
        <v>MS001</v>
      </c>
      <c r="AF103" t="s">
        <v>55</v>
      </c>
      <c r="AG103">
        <v>2956</v>
      </c>
      <c r="AH103">
        <v>15178</v>
      </c>
      <c r="AI103">
        <v>1</v>
      </c>
      <c r="AJ103" t="str">
        <f>_xlfn.XLOOKUP(Table1[[#This Row],[OverTime]],Table16[OverTime],Table16[Id_OverTime])</f>
        <v>OT002</v>
      </c>
      <c r="AK103" t="s">
        <v>33</v>
      </c>
      <c r="AL103">
        <v>13</v>
      </c>
      <c r="AM103" t="str">
        <f>_xlfn.XLOOKUP(Table1[[#This Row],[PerformanceRating]],Table17[PerformanceRating],Table17[Id_PerformanceRating])</f>
        <v>PR003</v>
      </c>
      <c r="AN103">
        <v>3</v>
      </c>
      <c r="AO103" t="str">
        <f>_xlfn.XLOOKUP(Table1[[#This Row],[PerformanceRating]],Table17[PerformanceRating],Table17[Deskripsi])</f>
        <v>Excellent</v>
      </c>
      <c r="AP103" t="str">
        <f>_xlfn.XLOOKUP(Table1[[#This Row],[RelationshipSatisfaction]],Table18[RelationshipSatisfaction],Table18[Id_RelationshipSatisfaction])</f>
        <v>RS004</v>
      </c>
      <c r="AQ103">
        <v>4</v>
      </c>
      <c r="AR103" t="str">
        <f>_xlfn.XLOOKUP(Table1[[#This Row],[RelationshipSatisfaction]],Table18[RelationshipSatisfaction],Table18[Deskripsi])</f>
        <v>Very High</v>
      </c>
      <c r="AS103" t="str">
        <f>_xlfn.XLOOKUP(Table1[[#This Row],[StockOptionLevel]],Table19[StockOptionLevel],Table19[Id_StockOptionLevel])</f>
        <v>SOL001</v>
      </c>
      <c r="AT103">
        <v>0</v>
      </c>
      <c r="AU103" t="str">
        <f>_xlfn.XLOOKUP(Table1[[#This Row],[StockOptionLevel]],Table19[StockOptionLevel],Table19[Deskripsi])</f>
        <v>Non-Eligible</v>
      </c>
      <c r="AV103">
        <v>1</v>
      </c>
      <c r="AW103">
        <v>2</v>
      </c>
      <c r="AX103" t="str">
        <f>_xlfn.XLOOKUP(Table1[[#This Row],[WorkLifeBalance]],Table20[WorkLifeBalance],Table20[Id_WorkLifeBalance])</f>
        <v>WLB002</v>
      </c>
      <c r="AY103">
        <v>3</v>
      </c>
      <c r="AZ103" t="str">
        <f>_xlfn.XLOOKUP(Table1[[#This Row],[WorkLifeBalance]],Table20[WorkLifeBalance],Table20[Deskripsi])</f>
        <v>Good</v>
      </c>
      <c r="BA103">
        <v>1</v>
      </c>
      <c r="BB103">
        <v>0</v>
      </c>
      <c r="BC103">
        <v>0</v>
      </c>
      <c r="BD103">
        <v>0</v>
      </c>
    </row>
    <row r="104" spans="1:56" x14ac:dyDescent="0.25">
      <c r="A104">
        <v>20</v>
      </c>
      <c r="B104" t="str">
        <f>_xlfn.XLOOKUP(Table1[[#This Row],[Attrition]],Table2[Attrition],Table2[Id_Attrition])</f>
        <v>A001</v>
      </c>
      <c r="C104" t="s">
        <v>32</v>
      </c>
      <c r="D104" t="str">
        <f>_xlfn.XLOOKUP(Table1[[#This Row],[BusinessTravel]],Table5[BusinessTravel],Table5[Id_BusinessTravel])</f>
        <v>BS002</v>
      </c>
      <c r="E104" t="s">
        <v>35</v>
      </c>
      <c r="F104">
        <v>871</v>
      </c>
      <c r="G104" t="str">
        <f>_xlfn.XLOOKUP(Table1[[#This Row],[Department]],Table6[Department],Table6[Id_Departement])</f>
        <v>D002</v>
      </c>
      <c r="H104" t="s">
        <v>38</v>
      </c>
      <c r="I104">
        <v>6</v>
      </c>
      <c r="J104" t="str">
        <f>_xlfn.XLOOKUP(Table1[[#This Row],[Education]],Table8[Education],Table8[Id_Education])</f>
        <v>E003</v>
      </c>
      <c r="K104">
        <v>3</v>
      </c>
      <c r="L104" t="str">
        <f>_xlfn.XLOOKUP(Table1[[#This Row],[EducationField]],Table7[EducationField],Table7[Id_EducationField])</f>
        <v>EF001</v>
      </c>
      <c r="M104" t="s">
        <v>40</v>
      </c>
      <c r="N104" t="str">
        <f>_xlfn.XLOOKUP(Table1[[#This Row],[EmployeeNumber]],Table4[EmployeeNumber],Table4[Id_Employee])</f>
        <v>EMP00103</v>
      </c>
      <c r="O104">
        <v>137</v>
      </c>
      <c r="P104" t="str">
        <f>_xlfn.XLOOKUP(Table1[[#This Row],[EnvironmentSatisfaction]],Table9[EnvironmentSatisfaction],Table9[Id_EnviromentSatisfaction])</f>
        <v>ES004</v>
      </c>
      <c r="Q104">
        <v>4</v>
      </c>
      <c r="R104" t="str">
        <f>_xlfn.XLOOKUP(Table1[[#This Row],[EnvironmentSatisfaction]],Table9[EnvironmentSatisfaction],Table9[Deskripsi])</f>
        <v>Very High</v>
      </c>
      <c r="S104" t="str">
        <f>_xlfn.XLOOKUP(Table1[[#This Row],[Gender]],Table10[Gender],Table10[Id_Gender])</f>
        <v>G001</v>
      </c>
      <c r="T104" t="s">
        <v>45</v>
      </c>
      <c r="U104">
        <v>66</v>
      </c>
      <c r="V104" t="str">
        <f>_xlfn.XLOOKUP(Table1[[#This Row],[JobInvolvement]],Table11[JobInvolvement],Table11[Id_JobInvolvement])</f>
        <v>JI002</v>
      </c>
      <c r="W104">
        <v>2</v>
      </c>
      <c r="X104" t="str">
        <f>_xlfn.XLOOKUP(Table1[[#This Row],[JobLevel]],Table12[JobLevel],Table12[Id_JobLevel])</f>
        <v>JL001</v>
      </c>
      <c r="Y104">
        <v>1</v>
      </c>
      <c r="Z104" t="str">
        <f>_xlfn.XLOOKUP(Table1[[#This Row],[JobRole]],Table13[JobRole],Table13[Id_JobRole])</f>
        <v>JR003</v>
      </c>
      <c r="AA104" t="s">
        <v>49</v>
      </c>
      <c r="AB104" t="str">
        <f>_xlfn.XLOOKUP(Table1[[#This Row],[JobSatisfaction]],Table14[JobSatisfaction],Table14[Id_JobSatisfaction])</f>
        <v>JS004</v>
      </c>
      <c r="AC104">
        <v>4</v>
      </c>
      <c r="AD104" t="str">
        <f>_xlfn.XLOOKUP(Table1[[#This Row],[JobSatisfaction]],Table14[JobSatisfaction],Table14[Deskripsi])</f>
        <v>Very High</v>
      </c>
      <c r="AE104" t="str">
        <f>_xlfn.XLOOKUP(Table1[[#This Row],[MaritalStatus]],Table15[MaritalStatus],Table15[Id_MaritalStatus])</f>
        <v>MS001</v>
      </c>
      <c r="AF104" t="s">
        <v>55</v>
      </c>
      <c r="AG104">
        <v>2926</v>
      </c>
      <c r="AH104">
        <v>19783</v>
      </c>
      <c r="AI104">
        <v>1</v>
      </c>
      <c r="AJ104" t="str">
        <f>_xlfn.XLOOKUP(Table1[[#This Row],[OverTime]],Table16[OverTime],Table16[Id_OverTime])</f>
        <v>OT001</v>
      </c>
      <c r="AK104" t="s">
        <v>32</v>
      </c>
      <c r="AL104">
        <v>18</v>
      </c>
      <c r="AM104" t="str">
        <f>_xlfn.XLOOKUP(Table1[[#This Row],[PerformanceRating]],Table17[PerformanceRating],Table17[Id_PerformanceRating])</f>
        <v>PR003</v>
      </c>
      <c r="AN104">
        <v>3</v>
      </c>
      <c r="AO104" t="str">
        <f>_xlfn.XLOOKUP(Table1[[#This Row],[PerformanceRating]],Table17[PerformanceRating],Table17[Deskripsi])</f>
        <v>Excellent</v>
      </c>
      <c r="AP104" t="str">
        <f>_xlfn.XLOOKUP(Table1[[#This Row],[RelationshipSatisfaction]],Table18[RelationshipSatisfaction],Table18[Id_RelationshipSatisfaction])</f>
        <v>RS002</v>
      </c>
      <c r="AQ104">
        <v>2</v>
      </c>
      <c r="AR104" t="str">
        <f>_xlfn.XLOOKUP(Table1[[#This Row],[RelationshipSatisfaction]],Table18[RelationshipSatisfaction],Table18[Deskripsi])</f>
        <v>Medium</v>
      </c>
      <c r="AS104" t="str">
        <f>_xlfn.XLOOKUP(Table1[[#This Row],[StockOptionLevel]],Table19[StockOptionLevel],Table19[Id_StockOptionLevel])</f>
        <v>SOL001</v>
      </c>
      <c r="AT104">
        <v>0</v>
      </c>
      <c r="AU104" t="str">
        <f>_xlfn.XLOOKUP(Table1[[#This Row],[StockOptionLevel]],Table19[StockOptionLevel],Table19[Deskripsi])</f>
        <v>Non-Eligible</v>
      </c>
      <c r="AV104">
        <v>1</v>
      </c>
      <c r="AW104">
        <v>5</v>
      </c>
      <c r="AX104" t="str">
        <f>_xlfn.XLOOKUP(Table1[[#This Row],[WorkLifeBalance]],Table20[WorkLifeBalance],Table20[Id_WorkLifeBalance])</f>
        <v>WLB002</v>
      </c>
      <c r="AY104">
        <v>3</v>
      </c>
      <c r="AZ104" t="str">
        <f>_xlfn.XLOOKUP(Table1[[#This Row],[WorkLifeBalance]],Table20[WorkLifeBalance],Table20[Deskripsi])</f>
        <v>Good</v>
      </c>
      <c r="BA104">
        <v>1</v>
      </c>
      <c r="BB104">
        <v>0</v>
      </c>
      <c r="BC104">
        <v>1</v>
      </c>
      <c r="BD104">
        <v>0</v>
      </c>
    </row>
    <row r="105" spans="1:56" x14ac:dyDescent="0.25">
      <c r="A105">
        <v>34</v>
      </c>
      <c r="B105" t="str">
        <f>_xlfn.XLOOKUP(Table1[[#This Row],[Attrition]],Table2[Attrition],Table2[Id_Attrition])</f>
        <v>A002</v>
      </c>
      <c r="C105" t="s">
        <v>33</v>
      </c>
      <c r="D105" t="str">
        <f>_xlfn.XLOOKUP(Table1[[#This Row],[BusinessTravel]],Table5[BusinessTravel],Table5[Id_BusinessTravel])</f>
        <v>BS001</v>
      </c>
      <c r="E105" t="s">
        <v>34</v>
      </c>
      <c r="F105">
        <v>665</v>
      </c>
      <c r="G105" t="str">
        <f>_xlfn.XLOOKUP(Table1[[#This Row],[Department]],Table6[Department],Table6[Id_Departement])</f>
        <v>D002</v>
      </c>
      <c r="H105" t="s">
        <v>38</v>
      </c>
      <c r="I105">
        <v>6</v>
      </c>
      <c r="J105" t="str">
        <f>_xlfn.XLOOKUP(Table1[[#This Row],[Education]],Table8[Education],Table8[Id_Education])</f>
        <v>E004</v>
      </c>
      <c r="K105">
        <v>4</v>
      </c>
      <c r="L105" t="str">
        <f>_xlfn.XLOOKUP(Table1[[#This Row],[EducationField]],Table7[EducationField],Table7[Id_EducationField])</f>
        <v>EF002</v>
      </c>
      <c r="M105" t="s">
        <v>41</v>
      </c>
      <c r="N105" t="str">
        <f>_xlfn.XLOOKUP(Table1[[#This Row],[EmployeeNumber]],Table4[EmployeeNumber],Table4[Id_Employee])</f>
        <v>EMP00104</v>
      </c>
      <c r="O105">
        <v>138</v>
      </c>
      <c r="P105" t="str">
        <f>_xlfn.XLOOKUP(Table1[[#This Row],[EnvironmentSatisfaction]],Table9[EnvironmentSatisfaction],Table9[Id_EnviromentSatisfaction])</f>
        <v>ES001</v>
      </c>
      <c r="Q105">
        <v>1</v>
      </c>
      <c r="R105" t="str">
        <f>_xlfn.XLOOKUP(Table1[[#This Row],[EnvironmentSatisfaction]],Table9[EnvironmentSatisfaction],Table9[Deskripsi])</f>
        <v>Low</v>
      </c>
      <c r="S105" t="str">
        <f>_xlfn.XLOOKUP(Table1[[#This Row],[Gender]],Table10[Gender],Table10[Id_Gender])</f>
        <v>G001</v>
      </c>
      <c r="T105" t="s">
        <v>45</v>
      </c>
      <c r="U105">
        <v>41</v>
      </c>
      <c r="V105" t="str">
        <f>_xlfn.XLOOKUP(Table1[[#This Row],[JobInvolvement]],Table11[JobInvolvement],Table11[Id_JobInvolvement])</f>
        <v>JI003</v>
      </c>
      <c r="W105">
        <v>3</v>
      </c>
      <c r="X105" t="str">
        <f>_xlfn.XLOOKUP(Table1[[#This Row],[JobLevel]],Table12[JobLevel],Table12[Id_JobLevel])</f>
        <v>JL002</v>
      </c>
      <c r="Y105">
        <v>2</v>
      </c>
      <c r="Z105" t="str">
        <f>_xlfn.XLOOKUP(Table1[[#This Row],[JobRole]],Table13[JobRole],Table13[Id_JobRole])</f>
        <v>JR002</v>
      </c>
      <c r="AA105" t="s">
        <v>48</v>
      </c>
      <c r="AB105" t="str">
        <f>_xlfn.XLOOKUP(Table1[[#This Row],[JobSatisfaction]],Table14[JobSatisfaction],Table14[Id_JobSatisfaction])</f>
        <v>JS003</v>
      </c>
      <c r="AC105">
        <v>3</v>
      </c>
      <c r="AD105" t="str">
        <f>_xlfn.XLOOKUP(Table1[[#This Row],[JobSatisfaction]],Table14[JobSatisfaction],Table14[Deskripsi])</f>
        <v>High</v>
      </c>
      <c r="AE105" t="str">
        <f>_xlfn.XLOOKUP(Table1[[#This Row],[MaritalStatus]],Table15[MaritalStatus],Table15[Id_MaritalStatus])</f>
        <v>MS001</v>
      </c>
      <c r="AF105" t="s">
        <v>55</v>
      </c>
      <c r="AG105">
        <v>4809</v>
      </c>
      <c r="AH105">
        <v>12482</v>
      </c>
      <c r="AI105">
        <v>1</v>
      </c>
      <c r="AJ105" t="str">
        <f>_xlfn.XLOOKUP(Table1[[#This Row],[OverTime]],Table16[OverTime],Table16[Id_OverTime])</f>
        <v>OT002</v>
      </c>
      <c r="AK105" t="s">
        <v>33</v>
      </c>
      <c r="AL105">
        <v>14</v>
      </c>
      <c r="AM105" t="str">
        <f>_xlfn.XLOOKUP(Table1[[#This Row],[PerformanceRating]],Table17[PerformanceRating],Table17[Id_PerformanceRating])</f>
        <v>PR003</v>
      </c>
      <c r="AN105">
        <v>3</v>
      </c>
      <c r="AO105" t="str">
        <f>_xlfn.XLOOKUP(Table1[[#This Row],[PerformanceRating]],Table17[PerformanceRating],Table17[Deskripsi])</f>
        <v>Excellent</v>
      </c>
      <c r="AP105" t="str">
        <f>_xlfn.XLOOKUP(Table1[[#This Row],[RelationshipSatisfaction]],Table18[RelationshipSatisfaction],Table18[Id_RelationshipSatisfaction])</f>
        <v>RS003</v>
      </c>
      <c r="AQ105">
        <v>3</v>
      </c>
      <c r="AR105" t="str">
        <f>_xlfn.XLOOKUP(Table1[[#This Row],[RelationshipSatisfaction]],Table18[RelationshipSatisfaction],Table18[Deskripsi])</f>
        <v>High</v>
      </c>
      <c r="AS105" t="str">
        <f>_xlfn.XLOOKUP(Table1[[#This Row],[StockOptionLevel]],Table19[StockOptionLevel],Table19[Id_StockOptionLevel])</f>
        <v>SOL001</v>
      </c>
      <c r="AT105">
        <v>0</v>
      </c>
      <c r="AU105" t="str">
        <f>_xlfn.XLOOKUP(Table1[[#This Row],[StockOptionLevel]],Table19[StockOptionLevel],Table19[Deskripsi])</f>
        <v>Non-Eligible</v>
      </c>
      <c r="AV105">
        <v>16</v>
      </c>
      <c r="AW105">
        <v>3</v>
      </c>
      <c r="AX105" t="str">
        <f>_xlfn.XLOOKUP(Table1[[#This Row],[WorkLifeBalance]],Table20[WorkLifeBalance],Table20[Id_WorkLifeBalance])</f>
        <v>WLB002</v>
      </c>
      <c r="AY105">
        <v>3</v>
      </c>
      <c r="AZ105" t="str">
        <f>_xlfn.XLOOKUP(Table1[[#This Row],[WorkLifeBalance]],Table20[WorkLifeBalance],Table20[Deskripsi])</f>
        <v>Good</v>
      </c>
      <c r="BA105">
        <v>16</v>
      </c>
      <c r="BB105">
        <v>13</v>
      </c>
      <c r="BC105">
        <v>2</v>
      </c>
      <c r="BD105">
        <v>10</v>
      </c>
    </row>
    <row r="106" spans="1:56" x14ac:dyDescent="0.25">
      <c r="A106">
        <v>37</v>
      </c>
      <c r="B106" t="str">
        <f>_xlfn.XLOOKUP(Table1[[#This Row],[Attrition]],Table2[Attrition],Table2[Id_Attrition])</f>
        <v>A002</v>
      </c>
      <c r="C106" t="s">
        <v>33</v>
      </c>
      <c r="D106" t="str">
        <f>_xlfn.XLOOKUP(Table1[[#This Row],[BusinessTravel]],Table5[BusinessTravel],Table5[Id_BusinessTravel])</f>
        <v>BS003</v>
      </c>
      <c r="E106" t="s">
        <v>36</v>
      </c>
      <c r="F106">
        <v>1040</v>
      </c>
      <c r="G106" t="str">
        <f>_xlfn.XLOOKUP(Table1[[#This Row],[Department]],Table6[Department],Table6[Id_Departement])</f>
        <v>D002</v>
      </c>
      <c r="H106" t="s">
        <v>38</v>
      </c>
      <c r="I106">
        <v>2</v>
      </c>
      <c r="J106" t="str">
        <f>_xlfn.XLOOKUP(Table1[[#This Row],[Education]],Table8[Education],Table8[Id_Education])</f>
        <v>E002</v>
      </c>
      <c r="K106">
        <v>2</v>
      </c>
      <c r="L106" t="str">
        <f>_xlfn.XLOOKUP(Table1[[#This Row],[EducationField]],Table7[EducationField],Table7[Id_EducationField])</f>
        <v>EF001</v>
      </c>
      <c r="M106" t="s">
        <v>40</v>
      </c>
      <c r="N106" t="str">
        <f>_xlfn.XLOOKUP(Table1[[#This Row],[EmployeeNumber]],Table4[EmployeeNumber],Table4[Id_Employee])</f>
        <v>EMP00105</v>
      </c>
      <c r="O106">
        <v>139</v>
      </c>
      <c r="P106" t="str">
        <f>_xlfn.XLOOKUP(Table1[[#This Row],[EnvironmentSatisfaction]],Table9[EnvironmentSatisfaction],Table9[Id_EnviromentSatisfaction])</f>
        <v>ES003</v>
      </c>
      <c r="Q106">
        <v>3</v>
      </c>
      <c r="R106" t="str">
        <f>_xlfn.XLOOKUP(Table1[[#This Row],[EnvironmentSatisfaction]],Table9[EnvironmentSatisfaction],Table9[Deskripsi])</f>
        <v>High</v>
      </c>
      <c r="S106" t="str">
        <f>_xlfn.XLOOKUP(Table1[[#This Row],[Gender]],Table10[Gender],Table10[Id_Gender])</f>
        <v>G002</v>
      </c>
      <c r="T106" t="s">
        <v>46</v>
      </c>
      <c r="U106">
        <v>100</v>
      </c>
      <c r="V106" t="str">
        <f>_xlfn.XLOOKUP(Table1[[#This Row],[JobInvolvement]],Table11[JobInvolvement],Table11[Id_JobInvolvement])</f>
        <v>JI002</v>
      </c>
      <c r="W106">
        <v>2</v>
      </c>
      <c r="X106" t="str">
        <f>_xlfn.XLOOKUP(Table1[[#This Row],[JobLevel]],Table12[JobLevel],Table12[Id_JobLevel])</f>
        <v>JL002</v>
      </c>
      <c r="Y106">
        <v>2</v>
      </c>
      <c r="Z106" t="str">
        <f>_xlfn.XLOOKUP(Table1[[#This Row],[JobRole]],Table13[JobRole],Table13[Id_JobRole])</f>
        <v>JR005</v>
      </c>
      <c r="AA106" t="s">
        <v>51</v>
      </c>
      <c r="AB106" t="str">
        <f>_xlfn.XLOOKUP(Table1[[#This Row],[JobSatisfaction]],Table14[JobSatisfaction],Table14[Id_JobSatisfaction])</f>
        <v>JS004</v>
      </c>
      <c r="AC106">
        <v>4</v>
      </c>
      <c r="AD106" t="str">
        <f>_xlfn.XLOOKUP(Table1[[#This Row],[JobSatisfaction]],Table14[JobSatisfaction],Table14[Deskripsi])</f>
        <v>Very High</v>
      </c>
      <c r="AE106" t="str">
        <f>_xlfn.XLOOKUP(Table1[[#This Row],[MaritalStatus]],Table15[MaritalStatus],Table15[Id_MaritalStatus])</f>
        <v>MS003</v>
      </c>
      <c r="AF106" t="s">
        <v>57</v>
      </c>
      <c r="AG106">
        <v>5163</v>
      </c>
      <c r="AH106">
        <v>15850</v>
      </c>
      <c r="AI106">
        <v>5</v>
      </c>
      <c r="AJ106" t="str">
        <f>_xlfn.XLOOKUP(Table1[[#This Row],[OverTime]],Table16[OverTime],Table16[Id_OverTime])</f>
        <v>OT002</v>
      </c>
      <c r="AK106" t="s">
        <v>33</v>
      </c>
      <c r="AL106">
        <v>14</v>
      </c>
      <c r="AM106" t="str">
        <f>_xlfn.XLOOKUP(Table1[[#This Row],[PerformanceRating]],Table17[PerformanceRating],Table17[Id_PerformanceRating])</f>
        <v>PR003</v>
      </c>
      <c r="AN106">
        <v>3</v>
      </c>
      <c r="AO106" t="str">
        <f>_xlfn.XLOOKUP(Table1[[#This Row],[PerformanceRating]],Table17[PerformanceRating],Table17[Deskripsi])</f>
        <v>Excellent</v>
      </c>
      <c r="AP106" t="str">
        <f>_xlfn.XLOOKUP(Table1[[#This Row],[RelationshipSatisfaction]],Table18[RelationshipSatisfaction],Table18[Id_RelationshipSatisfaction])</f>
        <v>RS004</v>
      </c>
      <c r="AQ106">
        <v>4</v>
      </c>
      <c r="AR106" t="str">
        <f>_xlfn.XLOOKUP(Table1[[#This Row],[RelationshipSatisfaction]],Table18[RelationshipSatisfaction],Table18[Deskripsi])</f>
        <v>Very High</v>
      </c>
      <c r="AS106" t="str">
        <f>_xlfn.XLOOKUP(Table1[[#This Row],[StockOptionLevel]],Table19[StockOptionLevel],Table19[Id_StockOptionLevel])</f>
        <v>SOL002</v>
      </c>
      <c r="AT106">
        <v>1</v>
      </c>
      <c r="AU106" t="str">
        <f>_xlfn.XLOOKUP(Table1[[#This Row],[StockOptionLevel]],Table19[StockOptionLevel],Table19[Deskripsi])</f>
        <v>Standard</v>
      </c>
      <c r="AV106">
        <v>17</v>
      </c>
      <c r="AW106">
        <v>2</v>
      </c>
      <c r="AX106" t="str">
        <f>_xlfn.XLOOKUP(Table1[[#This Row],[WorkLifeBalance]],Table20[WorkLifeBalance],Table20[Id_WorkLifeBalance])</f>
        <v>WLB004</v>
      </c>
      <c r="AY106">
        <v>4</v>
      </c>
      <c r="AZ106" t="str">
        <f>_xlfn.XLOOKUP(Table1[[#This Row],[WorkLifeBalance]],Table20[WorkLifeBalance],Table20[Deskripsi])</f>
        <v>Best</v>
      </c>
      <c r="BA106">
        <v>1</v>
      </c>
      <c r="BB106">
        <v>0</v>
      </c>
      <c r="BC106">
        <v>0</v>
      </c>
      <c r="BD106">
        <v>0</v>
      </c>
    </row>
    <row r="107" spans="1:56" x14ac:dyDescent="0.25">
      <c r="A107">
        <v>59</v>
      </c>
      <c r="B107" t="str">
        <f>_xlfn.XLOOKUP(Table1[[#This Row],[Attrition]],Table2[Attrition],Table2[Id_Attrition])</f>
        <v>A002</v>
      </c>
      <c r="C107" t="s">
        <v>33</v>
      </c>
      <c r="D107" t="str">
        <f>_xlfn.XLOOKUP(Table1[[#This Row],[BusinessTravel]],Table5[BusinessTravel],Table5[Id_BusinessTravel])</f>
        <v>BS003</v>
      </c>
      <c r="E107" t="s">
        <v>36</v>
      </c>
      <c r="F107">
        <v>1420</v>
      </c>
      <c r="G107" t="str">
        <f>_xlfn.XLOOKUP(Table1[[#This Row],[Department]],Table6[Department],Table6[Id_Departement])</f>
        <v>D003</v>
      </c>
      <c r="H107" t="s">
        <v>39</v>
      </c>
      <c r="I107">
        <v>2</v>
      </c>
      <c r="J107" t="str">
        <f>_xlfn.XLOOKUP(Table1[[#This Row],[Education]],Table8[Education],Table8[Id_Education])</f>
        <v>E004</v>
      </c>
      <c r="K107">
        <v>4</v>
      </c>
      <c r="L107" t="str">
        <f>_xlfn.XLOOKUP(Table1[[#This Row],[EducationField]],Table7[EducationField],Table7[Id_EducationField])</f>
        <v>EF006</v>
      </c>
      <c r="M107" t="s">
        <v>39</v>
      </c>
      <c r="N107" t="str">
        <f>_xlfn.XLOOKUP(Table1[[#This Row],[EmployeeNumber]],Table4[EmployeeNumber],Table4[Id_Employee])</f>
        <v>EMP00106</v>
      </c>
      <c r="O107">
        <v>140</v>
      </c>
      <c r="P107" t="str">
        <f>_xlfn.XLOOKUP(Table1[[#This Row],[EnvironmentSatisfaction]],Table9[EnvironmentSatisfaction],Table9[Id_EnviromentSatisfaction])</f>
        <v>ES003</v>
      </c>
      <c r="Q107">
        <v>3</v>
      </c>
      <c r="R107" t="str">
        <f>_xlfn.XLOOKUP(Table1[[#This Row],[EnvironmentSatisfaction]],Table9[EnvironmentSatisfaction],Table9[Deskripsi])</f>
        <v>High</v>
      </c>
      <c r="S107" t="str">
        <f>_xlfn.XLOOKUP(Table1[[#This Row],[Gender]],Table10[Gender],Table10[Id_Gender])</f>
        <v>G001</v>
      </c>
      <c r="T107" t="s">
        <v>45</v>
      </c>
      <c r="U107">
        <v>32</v>
      </c>
      <c r="V107" t="str">
        <f>_xlfn.XLOOKUP(Table1[[#This Row],[JobInvolvement]],Table11[JobInvolvement],Table11[Id_JobInvolvement])</f>
        <v>JI002</v>
      </c>
      <c r="W107">
        <v>2</v>
      </c>
      <c r="X107" t="str">
        <f>_xlfn.XLOOKUP(Table1[[#This Row],[JobLevel]],Table12[JobLevel],Table12[Id_JobLevel])</f>
        <v>JL005</v>
      </c>
      <c r="Y107">
        <v>5</v>
      </c>
      <c r="Z107" t="str">
        <f>_xlfn.XLOOKUP(Table1[[#This Row],[JobRole]],Table13[JobRole],Table13[Id_JobRole])</f>
        <v>JR006</v>
      </c>
      <c r="AA107" t="s">
        <v>52</v>
      </c>
      <c r="AB107" t="str">
        <f>_xlfn.XLOOKUP(Table1[[#This Row],[JobSatisfaction]],Table14[JobSatisfaction],Table14[Id_JobSatisfaction])</f>
        <v>JS004</v>
      </c>
      <c r="AC107">
        <v>4</v>
      </c>
      <c r="AD107" t="str">
        <f>_xlfn.XLOOKUP(Table1[[#This Row],[JobSatisfaction]],Table14[JobSatisfaction],Table14[Deskripsi])</f>
        <v>Very High</v>
      </c>
      <c r="AE107" t="str">
        <f>_xlfn.XLOOKUP(Table1[[#This Row],[MaritalStatus]],Table15[MaritalStatus],Table15[Id_MaritalStatus])</f>
        <v>MS002</v>
      </c>
      <c r="AF107" t="s">
        <v>56</v>
      </c>
      <c r="AG107">
        <v>18844</v>
      </c>
      <c r="AH107">
        <v>21922</v>
      </c>
      <c r="AI107">
        <v>9</v>
      </c>
      <c r="AJ107" t="str">
        <f>_xlfn.XLOOKUP(Table1[[#This Row],[OverTime]],Table16[OverTime],Table16[Id_OverTime])</f>
        <v>OT002</v>
      </c>
      <c r="AK107" t="s">
        <v>33</v>
      </c>
      <c r="AL107">
        <v>21</v>
      </c>
      <c r="AM107" t="str">
        <f>_xlfn.XLOOKUP(Table1[[#This Row],[PerformanceRating]],Table17[PerformanceRating],Table17[Id_PerformanceRating])</f>
        <v>PR004</v>
      </c>
      <c r="AN107">
        <v>4</v>
      </c>
      <c r="AO107" t="str">
        <f>_xlfn.XLOOKUP(Table1[[#This Row],[PerformanceRating]],Table17[PerformanceRating],Table17[Deskripsi])</f>
        <v>Outstanding</v>
      </c>
      <c r="AP107" t="str">
        <f>_xlfn.XLOOKUP(Table1[[#This Row],[RelationshipSatisfaction]],Table18[RelationshipSatisfaction],Table18[Id_RelationshipSatisfaction])</f>
        <v>RS004</v>
      </c>
      <c r="AQ107">
        <v>4</v>
      </c>
      <c r="AR107" t="str">
        <f>_xlfn.XLOOKUP(Table1[[#This Row],[RelationshipSatisfaction]],Table18[RelationshipSatisfaction],Table18[Deskripsi])</f>
        <v>Very High</v>
      </c>
      <c r="AS107" t="str">
        <f>_xlfn.XLOOKUP(Table1[[#This Row],[StockOptionLevel]],Table19[StockOptionLevel],Table19[Id_StockOptionLevel])</f>
        <v>SOL002</v>
      </c>
      <c r="AT107">
        <v>1</v>
      </c>
      <c r="AU107" t="str">
        <f>_xlfn.XLOOKUP(Table1[[#This Row],[StockOptionLevel]],Table19[StockOptionLevel],Table19[Deskripsi])</f>
        <v>Standard</v>
      </c>
      <c r="AV107">
        <v>30</v>
      </c>
      <c r="AW107">
        <v>3</v>
      </c>
      <c r="AX107" t="str">
        <f>_xlfn.XLOOKUP(Table1[[#This Row],[WorkLifeBalance]],Table20[WorkLifeBalance],Table20[Id_WorkLifeBalance])</f>
        <v>WLB002</v>
      </c>
      <c r="AY107">
        <v>3</v>
      </c>
      <c r="AZ107" t="str">
        <f>_xlfn.XLOOKUP(Table1[[#This Row],[WorkLifeBalance]],Table20[WorkLifeBalance],Table20[Deskripsi])</f>
        <v>Good</v>
      </c>
      <c r="BA107">
        <v>3</v>
      </c>
      <c r="BB107">
        <v>2</v>
      </c>
      <c r="BC107">
        <v>2</v>
      </c>
      <c r="BD107">
        <v>2</v>
      </c>
    </row>
    <row r="108" spans="1:56" x14ac:dyDescent="0.25">
      <c r="A108">
        <v>50</v>
      </c>
      <c r="B108" t="str">
        <f>_xlfn.XLOOKUP(Table1[[#This Row],[Attrition]],Table2[Attrition],Table2[Id_Attrition])</f>
        <v>A002</v>
      </c>
      <c r="C108" t="s">
        <v>33</v>
      </c>
      <c r="D108" t="str">
        <f>_xlfn.XLOOKUP(Table1[[#This Row],[BusinessTravel]],Table5[BusinessTravel],Table5[Id_BusinessTravel])</f>
        <v>BS002</v>
      </c>
      <c r="E108" t="s">
        <v>35</v>
      </c>
      <c r="F108">
        <v>1115</v>
      </c>
      <c r="G108" t="str">
        <f>_xlfn.XLOOKUP(Table1[[#This Row],[Department]],Table6[Department],Table6[Id_Departement])</f>
        <v>D002</v>
      </c>
      <c r="H108" t="s">
        <v>38</v>
      </c>
      <c r="I108">
        <v>1</v>
      </c>
      <c r="J108" t="str">
        <f>_xlfn.XLOOKUP(Table1[[#This Row],[Education]],Table8[Education],Table8[Id_Education])</f>
        <v>E003</v>
      </c>
      <c r="K108">
        <v>3</v>
      </c>
      <c r="L108" t="str">
        <f>_xlfn.XLOOKUP(Table1[[#This Row],[EducationField]],Table7[EducationField],Table7[Id_EducationField])</f>
        <v>EF001</v>
      </c>
      <c r="M108" t="s">
        <v>40</v>
      </c>
      <c r="N108" t="str">
        <f>_xlfn.XLOOKUP(Table1[[#This Row],[EmployeeNumber]],Table4[EmployeeNumber],Table4[Id_Employee])</f>
        <v>EMP00107</v>
      </c>
      <c r="O108">
        <v>141</v>
      </c>
      <c r="P108" t="str">
        <f>_xlfn.XLOOKUP(Table1[[#This Row],[EnvironmentSatisfaction]],Table9[EnvironmentSatisfaction],Table9[Id_EnviromentSatisfaction])</f>
        <v>ES001</v>
      </c>
      <c r="Q108">
        <v>1</v>
      </c>
      <c r="R108" t="str">
        <f>_xlfn.XLOOKUP(Table1[[#This Row],[EnvironmentSatisfaction]],Table9[EnvironmentSatisfaction],Table9[Deskripsi])</f>
        <v>Low</v>
      </c>
      <c r="S108" t="str">
        <f>_xlfn.XLOOKUP(Table1[[#This Row],[Gender]],Table10[Gender],Table10[Id_Gender])</f>
        <v>G001</v>
      </c>
      <c r="T108" t="s">
        <v>45</v>
      </c>
      <c r="U108">
        <v>73</v>
      </c>
      <c r="V108" t="str">
        <f>_xlfn.XLOOKUP(Table1[[#This Row],[JobInvolvement]],Table11[JobInvolvement],Table11[Id_JobInvolvement])</f>
        <v>JI003</v>
      </c>
      <c r="W108">
        <v>3</v>
      </c>
      <c r="X108" t="str">
        <f>_xlfn.XLOOKUP(Table1[[#This Row],[JobLevel]],Table12[JobLevel],Table12[Id_JobLevel])</f>
        <v>JL005</v>
      </c>
      <c r="Y108">
        <v>5</v>
      </c>
      <c r="Z108" t="str">
        <f>_xlfn.XLOOKUP(Table1[[#This Row],[JobRole]],Table13[JobRole],Table13[Id_JobRole])</f>
        <v>JR008</v>
      </c>
      <c r="AA108" t="s">
        <v>54</v>
      </c>
      <c r="AB108" t="str">
        <f>_xlfn.XLOOKUP(Table1[[#This Row],[JobSatisfaction]],Table14[JobSatisfaction],Table14[Id_JobSatisfaction])</f>
        <v>JS002</v>
      </c>
      <c r="AC108">
        <v>2</v>
      </c>
      <c r="AD108" t="str">
        <f>_xlfn.XLOOKUP(Table1[[#This Row],[JobSatisfaction]],Table14[JobSatisfaction],Table14[Deskripsi])</f>
        <v>Medium</v>
      </c>
      <c r="AE108" t="str">
        <f>_xlfn.XLOOKUP(Table1[[#This Row],[MaritalStatus]],Table15[MaritalStatus],Table15[Id_MaritalStatus])</f>
        <v>MS002</v>
      </c>
      <c r="AF108" t="s">
        <v>56</v>
      </c>
      <c r="AG108">
        <v>18172</v>
      </c>
      <c r="AH108">
        <v>9755</v>
      </c>
      <c r="AI108">
        <v>3</v>
      </c>
      <c r="AJ108" t="str">
        <f>_xlfn.XLOOKUP(Table1[[#This Row],[OverTime]],Table16[OverTime],Table16[Id_OverTime])</f>
        <v>OT001</v>
      </c>
      <c r="AK108" t="s">
        <v>32</v>
      </c>
      <c r="AL108">
        <v>19</v>
      </c>
      <c r="AM108" t="str">
        <f>_xlfn.XLOOKUP(Table1[[#This Row],[PerformanceRating]],Table17[PerformanceRating],Table17[Id_PerformanceRating])</f>
        <v>PR003</v>
      </c>
      <c r="AN108">
        <v>3</v>
      </c>
      <c r="AO108" t="str">
        <f>_xlfn.XLOOKUP(Table1[[#This Row],[PerformanceRating]],Table17[PerformanceRating],Table17[Deskripsi])</f>
        <v>Excellent</v>
      </c>
      <c r="AP108" t="str">
        <f>_xlfn.XLOOKUP(Table1[[#This Row],[RelationshipSatisfaction]],Table18[RelationshipSatisfaction],Table18[Id_RelationshipSatisfaction])</f>
        <v>RS001</v>
      </c>
      <c r="AQ108">
        <v>1</v>
      </c>
      <c r="AR108" t="str">
        <f>_xlfn.XLOOKUP(Table1[[#This Row],[RelationshipSatisfaction]],Table18[RelationshipSatisfaction],Table18[Deskripsi])</f>
        <v>Low</v>
      </c>
      <c r="AS108" t="str">
        <f>_xlfn.XLOOKUP(Table1[[#This Row],[StockOptionLevel]],Table19[StockOptionLevel],Table19[Id_StockOptionLevel])</f>
        <v>SOL001</v>
      </c>
      <c r="AT108">
        <v>0</v>
      </c>
      <c r="AU108" t="str">
        <f>_xlfn.XLOOKUP(Table1[[#This Row],[StockOptionLevel]],Table19[StockOptionLevel],Table19[Deskripsi])</f>
        <v>Non-Eligible</v>
      </c>
      <c r="AV108">
        <v>28</v>
      </c>
      <c r="AW108">
        <v>1</v>
      </c>
      <c r="AX108" t="str">
        <f>_xlfn.XLOOKUP(Table1[[#This Row],[WorkLifeBalance]],Table20[WorkLifeBalance],Table20[Id_WorkLifeBalance])</f>
        <v>WLB003</v>
      </c>
      <c r="AY108">
        <v>2</v>
      </c>
      <c r="AZ108" t="str">
        <f>_xlfn.XLOOKUP(Table1[[#This Row],[WorkLifeBalance]],Table20[WorkLifeBalance],Table20[Deskripsi])</f>
        <v>Better</v>
      </c>
      <c r="BA108">
        <v>8</v>
      </c>
      <c r="BB108">
        <v>3</v>
      </c>
      <c r="BC108">
        <v>0</v>
      </c>
      <c r="BD108">
        <v>7</v>
      </c>
    </row>
    <row r="109" spans="1:56" x14ac:dyDescent="0.25">
      <c r="A109">
        <v>25</v>
      </c>
      <c r="B109" t="str">
        <f>_xlfn.XLOOKUP(Table1[[#This Row],[Attrition]],Table2[Attrition],Table2[Id_Attrition])</f>
        <v>A001</v>
      </c>
      <c r="C109" t="s">
        <v>32</v>
      </c>
      <c r="D109" t="str">
        <f>_xlfn.XLOOKUP(Table1[[#This Row],[BusinessTravel]],Table5[BusinessTravel],Table5[Id_BusinessTravel])</f>
        <v>BS001</v>
      </c>
      <c r="E109" t="s">
        <v>34</v>
      </c>
      <c r="F109">
        <v>240</v>
      </c>
      <c r="G109" t="str">
        <f>_xlfn.XLOOKUP(Table1[[#This Row],[Department]],Table6[Department],Table6[Id_Departement])</f>
        <v>D001</v>
      </c>
      <c r="H109" t="s">
        <v>37</v>
      </c>
      <c r="I109">
        <v>5</v>
      </c>
      <c r="J109" t="str">
        <f>_xlfn.XLOOKUP(Table1[[#This Row],[Education]],Table8[Education],Table8[Id_Education])</f>
        <v>E003</v>
      </c>
      <c r="K109">
        <v>3</v>
      </c>
      <c r="L109" t="str">
        <f>_xlfn.XLOOKUP(Table1[[#This Row],[EducationField]],Table7[EducationField],Table7[Id_EducationField])</f>
        <v>EF004</v>
      </c>
      <c r="M109" t="s">
        <v>43</v>
      </c>
      <c r="N109" t="str">
        <f>_xlfn.XLOOKUP(Table1[[#This Row],[EmployeeNumber]],Table4[EmployeeNumber],Table4[Id_Employee])</f>
        <v>EMP00108</v>
      </c>
      <c r="O109">
        <v>142</v>
      </c>
      <c r="P109" t="str">
        <f>_xlfn.XLOOKUP(Table1[[#This Row],[EnvironmentSatisfaction]],Table9[EnvironmentSatisfaction],Table9[Id_EnviromentSatisfaction])</f>
        <v>ES003</v>
      </c>
      <c r="Q109">
        <v>3</v>
      </c>
      <c r="R109" t="str">
        <f>_xlfn.XLOOKUP(Table1[[#This Row],[EnvironmentSatisfaction]],Table9[EnvironmentSatisfaction],Table9[Deskripsi])</f>
        <v>High</v>
      </c>
      <c r="S109" t="str">
        <f>_xlfn.XLOOKUP(Table1[[#This Row],[Gender]],Table10[Gender],Table10[Id_Gender])</f>
        <v>G002</v>
      </c>
      <c r="T109" t="s">
        <v>46</v>
      </c>
      <c r="U109">
        <v>46</v>
      </c>
      <c r="V109" t="str">
        <f>_xlfn.XLOOKUP(Table1[[#This Row],[JobInvolvement]],Table11[JobInvolvement],Table11[Id_JobInvolvement])</f>
        <v>JI002</v>
      </c>
      <c r="W109">
        <v>2</v>
      </c>
      <c r="X109" t="str">
        <f>_xlfn.XLOOKUP(Table1[[#This Row],[JobLevel]],Table12[JobLevel],Table12[Id_JobLevel])</f>
        <v>JL002</v>
      </c>
      <c r="Y109">
        <v>2</v>
      </c>
      <c r="Z109" t="str">
        <f>_xlfn.XLOOKUP(Table1[[#This Row],[JobRole]],Table13[JobRole],Table13[Id_JobRole])</f>
        <v>JR001</v>
      </c>
      <c r="AA109" t="s">
        <v>47</v>
      </c>
      <c r="AB109" t="str">
        <f>_xlfn.XLOOKUP(Table1[[#This Row],[JobSatisfaction]],Table14[JobSatisfaction],Table14[Id_JobSatisfaction])</f>
        <v>JS003</v>
      </c>
      <c r="AC109">
        <v>3</v>
      </c>
      <c r="AD109" t="str">
        <f>_xlfn.XLOOKUP(Table1[[#This Row],[JobSatisfaction]],Table14[JobSatisfaction],Table14[Deskripsi])</f>
        <v>High</v>
      </c>
      <c r="AE109" t="str">
        <f>_xlfn.XLOOKUP(Table1[[#This Row],[MaritalStatus]],Table15[MaritalStatus],Table15[Id_MaritalStatus])</f>
        <v>MS001</v>
      </c>
      <c r="AF109" t="s">
        <v>55</v>
      </c>
      <c r="AG109">
        <v>5744</v>
      </c>
      <c r="AH109">
        <v>26959</v>
      </c>
      <c r="AI109">
        <v>1</v>
      </c>
      <c r="AJ109" t="str">
        <f>_xlfn.XLOOKUP(Table1[[#This Row],[OverTime]],Table16[OverTime],Table16[Id_OverTime])</f>
        <v>OT001</v>
      </c>
      <c r="AK109" t="s">
        <v>32</v>
      </c>
      <c r="AL109">
        <v>11</v>
      </c>
      <c r="AM109" t="str">
        <f>_xlfn.XLOOKUP(Table1[[#This Row],[PerformanceRating]],Table17[PerformanceRating],Table17[Id_PerformanceRating])</f>
        <v>PR003</v>
      </c>
      <c r="AN109">
        <v>3</v>
      </c>
      <c r="AO109" t="str">
        <f>_xlfn.XLOOKUP(Table1[[#This Row],[PerformanceRating]],Table17[PerformanceRating],Table17[Deskripsi])</f>
        <v>Excellent</v>
      </c>
      <c r="AP109" t="str">
        <f>_xlfn.XLOOKUP(Table1[[#This Row],[RelationshipSatisfaction]],Table18[RelationshipSatisfaction],Table18[Id_RelationshipSatisfaction])</f>
        <v>RS004</v>
      </c>
      <c r="AQ109">
        <v>4</v>
      </c>
      <c r="AR109" t="str">
        <f>_xlfn.XLOOKUP(Table1[[#This Row],[RelationshipSatisfaction]],Table18[RelationshipSatisfaction],Table18[Deskripsi])</f>
        <v>Very High</v>
      </c>
      <c r="AS109" t="str">
        <f>_xlfn.XLOOKUP(Table1[[#This Row],[StockOptionLevel]],Table19[StockOptionLevel],Table19[Id_StockOptionLevel])</f>
        <v>SOL001</v>
      </c>
      <c r="AT109">
        <v>0</v>
      </c>
      <c r="AU109" t="str">
        <f>_xlfn.XLOOKUP(Table1[[#This Row],[StockOptionLevel]],Table19[StockOptionLevel],Table19[Deskripsi])</f>
        <v>Non-Eligible</v>
      </c>
      <c r="AV109">
        <v>6</v>
      </c>
      <c r="AW109">
        <v>1</v>
      </c>
      <c r="AX109" t="str">
        <f>_xlfn.XLOOKUP(Table1[[#This Row],[WorkLifeBalance]],Table20[WorkLifeBalance],Table20[Id_WorkLifeBalance])</f>
        <v>WLB002</v>
      </c>
      <c r="AY109">
        <v>3</v>
      </c>
      <c r="AZ109" t="str">
        <f>_xlfn.XLOOKUP(Table1[[#This Row],[WorkLifeBalance]],Table20[WorkLifeBalance],Table20[Deskripsi])</f>
        <v>Good</v>
      </c>
      <c r="BA109">
        <v>6</v>
      </c>
      <c r="BB109">
        <v>4</v>
      </c>
      <c r="BC109">
        <v>0</v>
      </c>
      <c r="BD109">
        <v>3</v>
      </c>
    </row>
    <row r="110" spans="1:56" x14ac:dyDescent="0.25">
      <c r="A110">
        <v>25</v>
      </c>
      <c r="B110" t="str">
        <f>_xlfn.XLOOKUP(Table1[[#This Row],[Attrition]],Table2[Attrition],Table2[Id_Attrition])</f>
        <v>A002</v>
      </c>
      <c r="C110" t="s">
        <v>33</v>
      </c>
      <c r="D110" t="str">
        <f>_xlfn.XLOOKUP(Table1[[#This Row],[BusinessTravel]],Table5[BusinessTravel],Table5[Id_BusinessTravel])</f>
        <v>BS001</v>
      </c>
      <c r="E110" t="s">
        <v>34</v>
      </c>
      <c r="F110">
        <v>1280</v>
      </c>
      <c r="G110" t="str">
        <f>_xlfn.XLOOKUP(Table1[[#This Row],[Department]],Table6[Department],Table6[Id_Departement])</f>
        <v>D002</v>
      </c>
      <c r="H110" t="s">
        <v>38</v>
      </c>
      <c r="I110">
        <v>7</v>
      </c>
      <c r="J110" t="str">
        <f>_xlfn.XLOOKUP(Table1[[#This Row],[Education]],Table8[Education],Table8[Id_Education])</f>
        <v>E001</v>
      </c>
      <c r="K110">
        <v>1</v>
      </c>
      <c r="L110" t="str">
        <f>_xlfn.XLOOKUP(Table1[[#This Row],[EducationField]],Table7[EducationField],Table7[Id_EducationField])</f>
        <v>EF003</v>
      </c>
      <c r="M110" t="s">
        <v>42</v>
      </c>
      <c r="N110" t="str">
        <f>_xlfn.XLOOKUP(Table1[[#This Row],[EmployeeNumber]],Table4[EmployeeNumber],Table4[Id_Employee])</f>
        <v>EMP00109</v>
      </c>
      <c r="O110">
        <v>143</v>
      </c>
      <c r="P110" t="str">
        <f>_xlfn.XLOOKUP(Table1[[#This Row],[EnvironmentSatisfaction]],Table9[EnvironmentSatisfaction],Table9[Id_EnviromentSatisfaction])</f>
        <v>ES004</v>
      </c>
      <c r="Q110">
        <v>4</v>
      </c>
      <c r="R110" t="str">
        <f>_xlfn.XLOOKUP(Table1[[#This Row],[EnvironmentSatisfaction]],Table9[EnvironmentSatisfaction],Table9[Deskripsi])</f>
        <v>Very High</v>
      </c>
      <c r="S110" t="str">
        <f>_xlfn.XLOOKUP(Table1[[#This Row],[Gender]],Table10[Gender],Table10[Id_Gender])</f>
        <v>G002</v>
      </c>
      <c r="T110" t="s">
        <v>46</v>
      </c>
      <c r="U110">
        <v>64</v>
      </c>
      <c r="V110" t="str">
        <f>_xlfn.XLOOKUP(Table1[[#This Row],[JobInvolvement]],Table11[JobInvolvement],Table11[Id_JobInvolvement])</f>
        <v>JI002</v>
      </c>
      <c r="W110">
        <v>2</v>
      </c>
      <c r="X110" t="str">
        <f>_xlfn.XLOOKUP(Table1[[#This Row],[JobLevel]],Table12[JobLevel],Table12[Id_JobLevel])</f>
        <v>JL001</v>
      </c>
      <c r="Y110">
        <v>1</v>
      </c>
      <c r="Z110" t="str">
        <f>_xlfn.XLOOKUP(Table1[[#This Row],[JobRole]],Table13[JobRole],Table13[Id_JobRole])</f>
        <v>JR002</v>
      </c>
      <c r="AA110" t="s">
        <v>48</v>
      </c>
      <c r="AB110" t="str">
        <f>_xlfn.XLOOKUP(Table1[[#This Row],[JobSatisfaction]],Table14[JobSatisfaction],Table14[Id_JobSatisfaction])</f>
        <v>JS004</v>
      </c>
      <c r="AC110">
        <v>4</v>
      </c>
      <c r="AD110" t="str">
        <f>_xlfn.XLOOKUP(Table1[[#This Row],[JobSatisfaction]],Table14[JobSatisfaction],Table14[Deskripsi])</f>
        <v>Very High</v>
      </c>
      <c r="AE110" t="str">
        <f>_xlfn.XLOOKUP(Table1[[#This Row],[MaritalStatus]],Table15[MaritalStatus],Table15[Id_MaritalStatus])</f>
        <v>MS002</v>
      </c>
      <c r="AF110" t="s">
        <v>56</v>
      </c>
      <c r="AG110">
        <v>2889</v>
      </c>
      <c r="AH110">
        <v>26897</v>
      </c>
      <c r="AI110">
        <v>1</v>
      </c>
      <c r="AJ110" t="str">
        <f>_xlfn.XLOOKUP(Table1[[#This Row],[OverTime]],Table16[OverTime],Table16[Id_OverTime])</f>
        <v>OT002</v>
      </c>
      <c r="AK110" t="s">
        <v>33</v>
      </c>
      <c r="AL110">
        <v>11</v>
      </c>
      <c r="AM110" t="str">
        <f>_xlfn.XLOOKUP(Table1[[#This Row],[PerformanceRating]],Table17[PerformanceRating],Table17[Id_PerformanceRating])</f>
        <v>PR003</v>
      </c>
      <c r="AN110">
        <v>3</v>
      </c>
      <c r="AO110" t="str">
        <f>_xlfn.XLOOKUP(Table1[[#This Row],[PerformanceRating]],Table17[PerformanceRating],Table17[Deskripsi])</f>
        <v>Excellent</v>
      </c>
      <c r="AP110" t="str">
        <f>_xlfn.XLOOKUP(Table1[[#This Row],[RelationshipSatisfaction]],Table18[RelationshipSatisfaction],Table18[Id_RelationshipSatisfaction])</f>
        <v>RS003</v>
      </c>
      <c r="AQ110">
        <v>3</v>
      </c>
      <c r="AR110" t="str">
        <f>_xlfn.XLOOKUP(Table1[[#This Row],[RelationshipSatisfaction]],Table18[RelationshipSatisfaction],Table18[Deskripsi])</f>
        <v>High</v>
      </c>
      <c r="AS110" t="str">
        <f>_xlfn.XLOOKUP(Table1[[#This Row],[StockOptionLevel]],Table19[StockOptionLevel],Table19[Id_StockOptionLevel])</f>
        <v>SOL003</v>
      </c>
      <c r="AT110">
        <v>2</v>
      </c>
      <c r="AU110" t="str">
        <f>_xlfn.XLOOKUP(Table1[[#This Row],[StockOptionLevel]],Table19[StockOptionLevel],Table19[Deskripsi])</f>
        <v>Intermediate</v>
      </c>
      <c r="AV110">
        <v>2</v>
      </c>
      <c r="AW110">
        <v>2</v>
      </c>
      <c r="AX110" t="str">
        <f>_xlfn.XLOOKUP(Table1[[#This Row],[WorkLifeBalance]],Table20[WorkLifeBalance],Table20[Id_WorkLifeBalance])</f>
        <v>WLB002</v>
      </c>
      <c r="AY110">
        <v>3</v>
      </c>
      <c r="AZ110" t="str">
        <f>_xlfn.XLOOKUP(Table1[[#This Row],[WorkLifeBalance]],Table20[WorkLifeBalance],Table20[Deskripsi])</f>
        <v>Good</v>
      </c>
      <c r="BA110">
        <v>2</v>
      </c>
      <c r="BB110">
        <v>2</v>
      </c>
      <c r="BC110">
        <v>2</v>
      </c>
      <c r="BD110">
        <v>1</v>
      </c>
    </row>
    <row r="111" spans="1:56" x14ac:dyDescent="0.25">
      <c r="A111">
        <v>22</v>
      </c>
      <c r="B111" t="str">
        <f>_xlfn.XLOOKUP(Table1[[#This Row],[Attrition]],Table2[Attrition],Table2[Id_Attrition])</f>
        <v>A002</v>
      </c>
      <c r="C111" t="s">
        <v>33</v>
      </c>
      <c r="D111" t="str">
        <f>_xlfn.XLOOKUP(Table1[[#This Row],[BusinessTravel]],Table5[BusinessTravel],Table5[Id_BusinessTravel])</f>
        <v>BS001</v>
      </c>
      <c r="E111" t="s">
        <v>34</v>
      </c>
      <c r="F111">
        <v>534</v>
      </c>
      <c r="G111" t="str">
        <f>_xlfn.XLOOKUP(Table1[[#This Row],[Department]],Table6[Department],Table6[Id_Departement])</f>
        <v>D002</v>
      </c>
      <c r="H111" t="s">
        <v>38</v>
      </c>
      <c r="I111">
        <v>15</v>
      </c>
      <c r="J111" t="str">
        <f>_xlfn.XLOOKUP(Table1[[#This Row],[Education]],Table8[Education],Table8[Id_Education])</f>
        <v>E003</v>
      </c>
      <c r="K111">
        <v>3</v>
      </c>
      <c r="L111" t="str">
        <f>_xlfn.XLOOKUP(Table1[[#This Row],[EducationField]],Table7[EducationField],Table7[Id_EducationField])</f>
        <v>EF003</v>
      </c>
      <c r="M111" t="s">
        <v>42</v>
      </c>
      <c r="N111" t="str">
        <f>_xlfn.XLOOKUP(Table1[[#This Row],[EmployeeNumber]],Table4[EmployeeNumber],Table4[Id_Employee])</f>
        <v>EMP00110</v>
      </c>
      <c r="O111">
        <v>144</v>
      </c>
      <c r="P111" t="str">
        <f>_xlfn.XLOOKUP(Table1[[#This Row],[EnvironmentSatisfaction]],Table9[EnvironmentSatisfaction],Table9[Id_EnviromentSatisfaction])</f>
        <v>ES002</v>
      </c>
      <c r="Q111">
        <v>2</v>
      </c>
      <c r="R111" t="str">
        <f>_xlfn.XLOOKUP(Table1[[#This Row],[EnvironmentSatisfaction]],Table9[EnvironmentSatisfaction],Table9[Deskripsi])</f>
        <v>Medium</v>
      </c>
      <c r="S111" t="str">
        <f>_xlfn.XLOOKUP(Table1[[#This Row],[Gender]],Table10[Gender],Table10[Id_Gender])</f>
        <v>G001</v>
      </c>
      <c r="T111" t="s">
        <v>45</v>
      </c>
      <c r="U111">
        <v>59</v>
      </c>
      <c r="V111" t="str">
        <f>_xlfn.XLOOKUP(Table1[[#This Row],[JobInvolvement]],Table11[JobInvolvement],Table11[Id_JobInvolvement])</f>
        <v>JI003</v>
      </c>
      <c r="W111">
        <v>3</v>
      </c>
      <c r="X111" t="str">
        <f>_xlfn.XLOOKUP(Table1[[#This Row],[JobLevel]],Table12[JobLevel],Table12[Id_JobLevel])</f>
        <v>JL001</v>
      </c>
      <c r="Y111">
        <v>1</v>
      </c>
      <c r="Z111" t="str">
        <f>_xlfn.XLOOKUP(Table1[[#This Row],[JobRole]],Table13[JobRole],Table13[Id_JobRole])</f>
        <v>JR003</v>
      </c>
      <c r="AA111" t="s">
        <v>49</v>
      </c>
      <c r="AB111" t="str">
        <f>_xlfn.XLOOKUP(Table1[[#This Row],[JobSatisfaction]],Table14[JobSatisfaction],Table14[Id_JobSatisfaction])</f>
        <v>JS004</v>
      </c>
      <c r="AC111">
        <v>4</v>
      </c>
      <c r="AD111" t="str">
        <f>_xlfn.XLOOKUP(Table1[[#This Row],[JobSatisfaction]],Table14[JobSatisfaction],Table14[Deskripsi])</f>
        <v>Very High</v>
      </c>
      <c r="AE111" t="str">
        <f>_xlfn.XLOOKUP(Table1[[#This Row],[MaritalStatus]],Table15[MaritalStatus],Table15[Id_MaritalStatus])</f>
        <v>MS001</v>
      </c>
      <c r="AF111" t="s">
        <v>55</v>
      </c>
      <c r="AG111">
        <v>2871</v>
      </c>
      <c r="AH111">
        <v>23785</v>
      </c>
      <c r="AI111">
        <v>1</v>
      </c>
      <c r="AJ111" t="str">
        <f>_xlfn.XLOOKUP(Table1[[#This Row],[OverTime]],Table16[OverTime],Table16[Id_OverTime])</f>
        <v>OT002</v>
      </c>
      <c r="AK111" t="s">
        <v>33</v>
      </c>
      <c r="AL111">
        <v>15</v>
      </c>
      <c r="AM111" t="str">
        <f>_xlfn.XLOOKUP(Table1[[#This Row],[PerformanceRating]],Table17[PerformanceRating],Table17[Id_PerformanceRating])</f>
        <v>PR003</v>
      </c>
      <c r="AN111">
        <v>3</v>
      </c>
      <c r="AO111" t="str">
        <f>_xlfn.XLOOKUP(Table1[[#This Row],[PerformanceRating]],Table17[PerformanceRating],Table17[Deskripsi])</f>
        <v>Excellent</v>
      </c>
      <c r="AP111" t="str">
        <f>_xlfn.XLOOKUP(Table1[[#This Row],[RelationshipSatisfaction]],Table18[RelationshipSatisfaction],Table18[Id_RelationshipSatisfaction])</f>
        <v>RS003</v>
      </c>
      <c r="AQ111">
        <v>3</v>
      </c>
      <c r="AR111" t="str">
        <f>_xlfn.XLOOKUP(Table1[[#This Row],[RelationshipSatisfaction]],Table18[RelationshipSatisfaction],Table18[Deskripsi])</f>
        <v>High</v>
      </c>
      <c r="AS111" t="str">
        <f>_xlfn.XLOOKUP(Table1[[#This Row],[StockOptionLevel]],Table19[StockOptionLevel],Table19[Id_StockOptionLevel])</f>
        <v>SOL001</v>
      </c>
      <c r="AT111">
        <v>0</v>
      </c>
      <c r="AU111" t="str">
        <f>_xlfn.XLOOKUP(Table1[[#This Row],[StockOptionLevel]],Table19[StockOptionLevel],Table19[Deskripsi])</f>
        <v>Non-Eligible</v>
      </c>
      <c r="AV111">
        <v>1</v>
      </c>
      <c r="AW111">
        <v>5</v>
      </c>
      <c r="AX111" t="str">
        <f>_xlfn.XLOOKUP(Table1[[#This Row],[WorkLifeBalance]],Table20[WorkLifeBalance],Table20[Id_WorkLifeBalance])</f>
        <v>WLB002</v>
      </c>
      <c r="AY111">
        <v>3</v>
      </c>
      <c r="AZ111" t="str">
        <f>_xlfn.XLOOKUP(Table1[[#This Row],[WorkLifeBalance]],Table20[WorkLifeBalance],Table20[Deskripsi])</f>
        <v>Good</v>
      </c>
      <c r="BA111">
        <v>0</v>
      </c>
      <c r="BB111">
        <v>0</v>
      </c>
      <c r="BC111">
        <v>0</v>
      </c>
      <c r="BD111">
        <v>0</v>
      </c>
    </row>
    <row r="112" spans="1:56" x14ac:dyDescent="0.25">
      <c r="A112">
        <v>51</v>
      </c>
      <c r="B112" t="str">
        <f>_xlfn.XLOOKUP(Table1[[#This Row],[Attrition]],Table2[Attrition],Table2[Id_Attrition])</f>
        <v>A002</v>
      </c>
      <c r="C112" t="s">
        <v>33</v>
      </c>
      <c r="D112" t="str">
        <f>_xlfn.XLOOKUP(Table1[[#This Row],[BusinessTravel]],Table5[BusinessTravel],Table5[Id_BusinessTravel])</f>
        <v>BS002</v>
      </c>
      <c r="E112" t="s">
        <v>35</v>
      </c>
      <c r="F112">
        <v>1456</v>
      </c>
      <c r="G112" t="str">
        <f>_xlfn.XLOOKUP(Table1[[#This Row],[Department]],Table6[Department],Table6[Id_Departement])</f>
        <v>D002</v>
      </c>
      <c r="H112" t="s">
        <v>38</v>
      </c>
      <c r="I112">
        <v>1</v>
      </c>
      <c r="J112" t="str">
        <f>_xlfn.XLOOKUP(Table1[[#This Row],[Education]],Table8[Education],Table8[Id_Education])</f>
        <v>E004</v>
      </c>
      <c r="K112">
        <v>4</v>
      </c>
      <c r="L112" t="str">
        <f>_xlfn.XLOOKUP(Table1[[#This Row],[EducationField]],Table7[EducationField],Table7[Id_EducationField])</f>
        <v>EF003</v>
      </c>
      <c r="M112" t="s">
        <v>42</v>
      </c>
      <c r="N112" t="str">
        <f>_xlfn.XLOOKUP(Table1[[#This Row],[EmployeeNumber]],Table4[EmployeeNumber],Table4[Id_Employee])</f>
        <v>EMP00111</v>
      </c>
      <c r="O112">
        <v>145</v>
      </c>
      <c r="P112" t="str">
        <f>_xlfn.XLOOKUP(Table1[[#This Row],[EnvironmentSatisfaction]],Table9[EnvironmentSatisfaction],Table9[Id_EnviromentSatisfaction])</f>
        <v>ES001</v>
      </c>
      <c r="Q112">
        <v>1</v>
      </c>
      <c r="R112" t="str">
        <f>_xlfn.XLOOKUP(Table1[[#This Row],[EnvironmentSatisfaction]],Table9[EnvironmentSatisfaction],Table9[Deskripsi])</f>
        <v>Low</v>
      </c>
      <c r="S112" t="str">
        <f>_xlfn.XLOOKUP(Table1[[#This Row],[Gender]],Table10[Gender],Table10[Id_Gender])</f>
        <v>G001</v>
      </c>
      <c r="T112" t="s">
        <v>45</v>
      </c>
      <c r="U112">
        <v>30</v>
      </c>
      <c r="V112" t="str">
        <f>_xlfn.XLOOKUP(Table1[[#This Row],[JobInvolvement]],Table11[JobInvolvement],Table11[Id_JobInvolvement])</f>
        <v>JI002</v>
      </c>
      <c r="W112">
        <v>2</v>
      </c>
      <c r="X112" t="str">
        <f>_xlfn.XLOOKUP(Table1[[#This Row],[JobLevel]],Table12[JobLevel],Table12[Id_JobLevel])</f>
        <v>JL003</v>
      </c>
      <c r="Y112">
        <v>3</v>
      </c>
      <c r="Z112" t="str">
        <f>_xlfn.XLOOKUP(Table1[[#This Row],[JobRole]],Table13[JobRole],Table13[Id_JobRole])</f>
        <v>JR005</v>
      </c>
      <c r="AA112" t="s">
        <v>51</v>
      </c>
      <c r="AB112" t="str">
        <f>_xlfn.XLOOKUP(Table1[[#This Row],[JobSatisfaction]],Table14[JobSatisfaction],Table14[Id_JobSatisfaction])</f>
        <v>JS001</v>
      </c>
      <c r="AC112">
        <v>1</v>
      </c>
      <c r="AD112" t="str">
        <f>_xlfn.XLOOKUP(Table1[[#This Row],[JobSatisfaction]],Table14[JobSatisfaction],Table14[Deskripsi])</f>
        <v>Low</v>
      </c>
      <c r="AE112" t="str">
        <f>_xlfn.XLOOKUP(Table1[[#This Row],[MaritalStatus]],Table15[MaritalStatus],Table15[Id_MaritalStatus])</f>
        <v>MS001</v>
      </c>
      <c r="AF112" t="s">
        <v>55</v>
      </c>
      <c r="AG112">
        <v>7484</v>
      </c>
      <c r="AH112">
        <v>25796</v>
      </c>
      <c r="AI112">
        <v>3</v>
      </c>
      <c r="AJ112" t="str">
        <f>_xlfn.XLOOKUP(Table1[[#This Row],[OverTime]],Table16[OverTime],Table16[Id_OverTime])</f>
        <v>OT002</v>
      </c>
      <c r="AK112" t="s">
        <v>33</v>
      </c>
      <c r="AL112">
        <v>20</v>
      </c>
      <c r="AM112" t="str">
        <f>_xlfn.XLOOKUP(Table1[[#This Row],[PerformanceRating]],Table17[PerformanceRating],Table17[Id_PerformanceRating])</f>
        <v>PR004</v>
      </c>
      <c r="AN112">
        <v>4</v>
      </c>
      <c r="AO112" t="str">
        <f>_xlfn.XLOOKUP(Table1[[#This Row],[PerformanceRating]],Table17[PerformanceRating],Table17[Deskripsi])</f>
        <v>Outstanding</v>
      </c>
      <c r="AP112" t="str">
        <f>_xlfn.XLOOKUP(Table1[[#This Row],[RelationshipSatisfaction]],Table18[RelationshipSatisfaction],Table18[Id_RelationshipSatisfaction])</f>
        <v>RS003</v>
      </c>
      <c r="AQ112">
        <v>3</v>
      </c>
      <c r="AR112" t="str">
        <f>_xlfn.XLOOKUP(Table1[[#This Row],[RelationshipSatisfaction]],Table18[RelationshipSatisfaction],Table18[Deskripsi])</f>
        <v>High</v>
      </c>
      <c r="AS112" t="str">
        <f>_xlfn.XLOOKUP(Table1[[#This Row],[StockOptionLevel]],Table19[StockOptionLevel],Table19[Id_StockOptionLevel])</f>
        <v>SOL001</v>
      </c>
      <c r="AT112">
        <v>0</v>
      </c>
      <c r="AU112" t="str">
        <f>_xlfn.XLOOKUP(Table1[[#This Row],[StockOptionLevel]],Table19[StockOptionLevel],Table19[Deskripsi])</f>
        <v>Non-Eligible</v>
      </c>
      <c r="AV112">
        <v>23</v>
      </c>
      <c r="AW112">
        <v>1</v>
      </c>
      <c r="AX112" t="str">
        <f>_xlfn.XLOOKUP(Table1[[#This Row],[WorkLifeBalance]],Table20[WorkLifeBalance],Table20[Id_WorkLifeBalance])</f>
        <v>WLB003</v>
      </c>
      <c r="AY112">
        <v>2</v>
      </c>
      <c r="AZ112" t="str">
        <f>_xlfn.XLOOKUP(Table1[[#This Row],[WorkLifeBalance]],Table20[WorkLifeBalance],Table20[Deskripsi])</f>
        <v>Better</v>
      </c>
      <c r="BA112">
        <v>13</v>
      </c>
      <c r="BB112">
        <v>12</v>
      </c>
      <c r="BC112">
        <v>12</v>
      </c>
      <c r="BD112">
        <v>8</v>
      </c>
    </row>
    <row r="113" spans="1:56" x14ac:dyDescent="0.25">
      <c r="A113">
        <v>34</v>
      </c>
      <c r="B113" t="str">
        <f>_xlfn.XLOOKUP(Table1[[#This Row],[Attrition]],Table2[Attrition],Table2[Id_Attrition])</f>
        <v>A001</v>
      </c>
      <c r="C113" t="s">
        <v>32</v>
      </c>
      <c r="D113" t="str">
        <f>_xlfn.XLOOKUP(Table1[[#This Row],[BusinessTravel]],Table5[BusinessTravel],Table5[Id_BusinessTravel])</f>
        <v>BS002</v>
      </c>
      <c r="E113" t="s">
        <v>35</v>
      </c>
      <c r="F113">
        <v>658</v>
      </c>
      <c r="G113" t="str">
        <f>_xlfn.XLOOKUP(Table1[[#This Row],[Department]],Table6[Department],Table6[Id_Departement])</f>
        <v>D002</v>
      </c>
      <c r="H113" t="s">
        <v>38</v>
      </c>
      <c r="I113">
        <v>7</v>
      </c>
      <c r="J113" t="str">
        <f>_xlfn.XLOOKUP(Table1[[#This Row],[Education]],Table8[Education],Table8[Id_Education])</f>
        <v>E003</v>
      </c>
      <c r="K113">
        <v>3</v>
      </c>
      <c r="L113" t="str">
        <f>_xlfn.XLOOKUP(Table1[[#This Row],[EducationField]],Table7[EducationField],Table7[Id_EducationField])</f>
        <v>EF001</v>
      </c>
      <c r="M113" t="s">
        <v>40</v>
      </c>
      <c r="N113" t="str">
        <f>_xlfn.XLOOKUP(Table1[[#This Row],[EmployeeNumber]],Table4[EmployeeNumber],Table4[Id_Employee])</f>
        <v>EMP00112</v>
      </c>
      <c r="O113">
        <v>147</v>
      </c>
      <c r="P113" t="str">
        <f>_xlfn.XLOOKUP(Table1[[#This Row],[EnvironmentSatisfaction]],Table9[EnvironmentSatisfaction],Table9[Id_EnviromentSatisfaction])</f>
        <v>ES001</v>
      </c>
      <c r="Q113">
        <v>1</v>
      </c>
      <c r="R113" t="str">
        <f>_xlfn.XLOOKUP(Table1[[#This Row],[EnvironmentSatisfaction]],Table9[EnvironmentSatisfaction],Table9[Deskripsi])</f>
        <v>Low</v>
      </c>
      <c r="S113" t="str">
        <f>_xlfn.XLOOKUP(Table1[[#This Row],[Gender]],Table10[Gender],Table10[Id_Gender])</f>
        <v>G002</v>
      </c>
      <c r="T113" t="s">
        <v>46</v>
      </c>
      <c r="U113">
        <v>66</v>
      </c>
      <c r="V113" t="str">
        <f>_xlfn.XLOOKUP(Table1[[#This Row],[JobInvolvement]],Table11[JobInvolvement],Table11[Id_JobInvolvement])</f>
        <v>JI001</v>
      </c>
      <c r="W113">
        <v>1</v>
      </c>
      <c r="X113" t="str">
        <f>_xlfn.XLOOKUP(Table1[[#This Row],[JobLevel]],Table12[JobLevel],Table12[Id_JobLevel])</f>
        <v>JL002</v>
      </c>
      <c r="Y113">
        <v>2</v>
      </c>
      <c r="Z113" t="str">
        <f>_xlfn.XLOOKUP(Table1[[#This Row],[JobRole]],Table13[JobRole],Table13[Id_JobRole])</f>
        <v>JR003</v>
      </c>
      <c r="AA113" t="s">
        <v>49</v>
      </c>
      <c r="AB113" t="str">
        <f>_xlfn.XLOOKUP(Table1[[#This Row],[JobSatisfaction]],Table14[JobSatisfaction],Table14[Id_JobSatisfaction])</f>
        <v>JS003</v>
      </c>
      <c r="AC113">
        <v>3</v>
      </c>
      <c r="AD113" t="str">
        <f>_xlfn.XLOOKUP(Table1[[#This Row],[JobSatisfaction]],Table14[JobSatisfaction],Table14[Deskripsi])</f>
        <v>High</v>
      </c>
      <c r="AE113" t="str">
        <f>_xlfn.XLOOKUP(Table1[[#This Row],[MaritalStatus]],Table15[MaritalStatus],Table15[Id_MaritalStatus])</f>
        <v>MS001</v>
      </c>
      <c r="AF113" t="s">
        <v>55</v>
      </c>
      <c r="AG113">
        <v>6074</v>
      </c>
      <c r="AH113">
        <v>22887</v>
      </c>
      <c r="AI113">
        <v>1</v>
      </c>
      <c r="AJ113" t="str">
        <f>_xlfn.XLOOKUP(Table1[[#This Row],[OverTime]],Table16[OverTime],Table16[Id_OverTime])</f>
        <v>OT001</v>
      </c>
      <c r="AK113" t="s">
        <v>32</v>
      </c>
      <c r="AL113">
        <v>24</v>
      </c>
      <c r="AM113" t="str">
        <f>_xlfn.XLOOKUP(Table1[[#This Row],[PerformanceRating]],Table17[PerformanceRating],Table17[Id_PerformanceRating])</f>
        <v>PR004</v>
      </c>
      <c r="AN113">
        <v>4</v>
      </c>
      <c r="AO113" t="str">
        <f>_xlfn.XLOOKUP(Table1[[#This Row],[PerformanceRating]],Table17[PerformanceRating],Table17[Deskripsi])</f>
        <v>Outstanding</v>
      </c>
      <c r="AP113" t="str">
        <f>_xlfn.XLOOKUP(Table1[[#This Row],[RelationshipSatisfaction]],Table18[RelationshipSatisfaction],Table18[Id_RelationshipSatisfaction])</f>
        <v>RS004</v>
      </c>
      <c r="AQ113">
        <v>4</v>
      </c>
      <c r="AR113" t="str">
        <f>_xlfn.XLOOKUP(Table1[[#This Row],[RelationshipSatisfaction]],Table18[RelationshipSatisfaction],Table18[Deskripsi])</f>
        <v>Very High</v>
      </c>
      <c r="AS113" t="str">
        <f>_xlfn.XLOOKUP(Table1[[#This Row],[StockOptionLevel]],Table19[StockOptionLevel],Table19[Id_StockOptionLevel])</f>
        <v>SOL001</v>
      </c>
      <c r="AT113">
        <v>0</v>
      </c>
      <c r="AU113" t="str">
        <f>_xlfn.XLOOKUP(Table1[[#This Row],[StockOptionLevel]],Table19[StockOptionLevel],Table19[Deskripsi])</f>
        <v>Non-Eligible</v>
      </c>
      <c r="AV113">
        <v>9</v>
      </c>
      <c r="AW113">
        <v>3</v>
      </c>
      <c r="AX113" t="str">
        <f>_xlfn.XLOOKUP(Table1[[#This Row],[WorkLifeBalance]],Table20[WorkLifeBalance],Table20[Id_WorkLifeBalance])</f>
        <v>WLB002</v>
      </c>
      <c r="AY113">
        <v>3</v>
      </c>
      <c r="AZ113" t="str">
        <f>_xlfn.XLOOKUP(Table1[[#This Row],[WorkLifeBalance]],Table20[WorkLifeBalance],Table20[Deskripsi])</f>
        <v>Good</v>
      </c>
      <c r="BA113">
        <v>9</v>
      </c>
      <c r="BB113">
        <v>7</v>
      </c>
      <c r="BC113">
        <v>0</v>
      </c>
      <c r="BD113">
        <v>6</v>
      </c>
    </row>
    <row r="114" spans="1:56" x14ac:dyDescent="0.25">
      <c r="A114">
        <v>54</v>
      </c>
      <c r="B114" t="str">
        <f>_xlfn.XLOOKUP(Table1[[#This Row],[Attrition]],Table2[Attrition],Table2[Id_Attrition])</f>
        <v>A002</v>
      </c>
      <c r="C114" t="s">
        <v>33</v>
      </c>
      <c r="D114" t="str">
        <f>_xlfn.XLOOKUP(Table1[[#This Row],[BusinessTravel]],Table5[BusinessTravel],Table5[Id_BusinessTravel])</f>
        <v>BS003</v>
      </c>
      <c r="E114" t="s">
        <v>36</v>
      </c>
      <c r="F114">
        <v>142</v>
      </c>
      <c r="G114" t="str">
        <f>_xlfn.XLOOKUP(Table1[[#This Row],[Department]],Table6[Department],Table6[Id_Departement])</f>
        <v>D003</v>
      </c>
      <c r="H114" t="s">
        <v>39</v>
      </c>
      <c r="I114">
        <v>26</v>
      </c>
      <c r="J114" t="str">
        <f>_xlfn.XLOOKUP(Table1[[#This Row],[Education]],Table8[Education],Table8[Id_Education])</f>
        <v>E003</v>
      </c>
      <c r="K114">
        <v>3</v>
      </c>
      <c r="L114" t="str">
        <f>_xlfn.XLOOKUP(Table1[[#This Row],[EducationField]],Table7[EducationField],Table7[Id_EducationField])</f>
        <v>EF006</v>
      </c>
      <c r="M114" t="s">
        <v>39</v>
      </c>
      <c r="N114" t="str">
        <f>_xlfn.XLOOKUP(Table1[[#This Row],[EmployeeNumber]],Table4[EmployeeNumber],Table4[Id_Employee])</f>
        <v>EMP00113</v>
      </c>
      <c r="O114">
        <v>148</v>
      </c>
      <c r="P114" t="str">
        <f>_xlfn.XLOOKUP(Table1[[#This Row],[EnvironmentSatisfaction]],Table9[EnvironmentSatisfaction],Table9[Id_EnviromentSatisfaction])</f>
        <v>ES004</v>
      </c>
      <c r="Q114">
        <v>4</v>
      </c>
      <c r="R114" t="str">
        <f>_xlfn.XLOOKUP(Table1[[#This Row],[EnvironmentSatisfaction]],Table9[EnvironmentSatisfaction],Table9[Deskripsi])</f>
        <v>Very High</v>
      </c>
      <c r="S114" t="str">
        <f>_xlfn.XLOOKUP(Table1[[#This Row],[Gender]],Table10[Gender],Table10[Id_Gender])</f>
        <v>G001</v>
      </c>
      <c r="T114" t="s">
        <v>45</v>
      </c>
      <c r="U114">
        <v>30</v>
      </c>
      <c r="V114" t="str">
        <f>_xlfn.XLOOKUP(Table1[[#This Row],[JobInvolvement]],Table11[JobInvolvement],Table11[Id_JobInvolvement])</f>
        <v>JI004</v>
      </c>
      <c r="W114">
        <v>4</v>
      </c>
      <c r="X114" t="str">
        <f>_xlfn.XLOOKUP(Table1[[#This Row],[JobLevel]],Table12[JobLevel],Table12[Id_JobLevel])</f>
        <v>JL004</v>
      </c>
      <c r="Y114">
        <v>4</v>
      </c>
      <c r="Z114" t="str">
        <f>_xlfn.XLOOKUP(Table1[[#This Row],[JobRole]],Table13[JobRole],Table13[Id_JobRole])</f>
        <v>JR006</v>
      </c>
      <c r="AA114" t="s">
        <v>52</v>
      </c>
      <c r="AB114" t="str">
        <f>_xlfn.XLOOKUP(Table1[[#This Row],[JobSatisfaction]],Table14[JobSatisfaction],Table14[Id_JobSatisfaction])</f>
        <v>JS004</v>
      </c>
      <c r="AC114">
        <v>4</v>
      </c>
      <c r="AD114" t="str">
        <f>_xlfn.XLOOKUP(Table1[[#This Row],[JobSatisfaction]],Table14[JobSatisfaction],Table14[Deskripsi])</f>
        <v>Very High</v>
      </c>
      <c r="AE114" t="str">
        <f>_xlfn.XLOOKUP(Table1[[#This Row],[MaritalStatus]],Table15[MaritalStatus],Table15[Id_MaritalStatus])</f>
        <v>MS001</v>
      </c>
      <c r="AF114" t="s">
        <v>55</v>
      </c>
      <c r="AG114">
        <v>17328</v>
      </c>
      <c r="AH114">
        <v>13871</v>
      </c>
      <c r="AI114">
        <v>2</v>
      </c>
      <c r="AJ114" t="str">
        <f>_xlfn.XLOOKUP(Table1[[#This Row],[OverTime]],Table16[OverTime],Table16[Id_OverTime])</f>
        <v>OT001</v>
      </c>
      <c r="AK114" t="s">
        <v>32</v>
      </c>
      <c r="AL114">
        <v>12</v>
      </c>
      <c r="AM114" t="str">
        <f>_xlfn.XLOOKUP(Table1[[#This Row],[PerformanceRating]],Table17[PerformanceRating],Table17[Id_PerformanceRating])</f>
        <v>PR003</v>
      </c>
      <c r="AN114">
        <v>3</v>
      </c>
      <c r="AO114" t="str">
        <f>_xlfn.XLOOKUP(Table1[[#This Row],[PerformanceRating]],Table17[PerformanceRating],Table17[Deskripsi])</f>
        <v>Excellent</v>
      </c>
      <c r="AP114" t="str">
        <f>_xlfn.XLOOKUP(Table1[[#This Row],[RelationshipSatisfaction]],Table18[RelationshipSatisfaction],Table18[Id_RelationshipSatisfaction])</f>
        <v>RS003</v>
      </c>
      <c r="AQ114">
        <v>3</v>
      </c>
      <c r="AR114" t="str">
        <f>_xlfn.XLOOKUP(Table1[[#This Row],[RelationshipSatisfaction]],Table18[RelationshipSatisfaction],Table18[Deskripsi])</f>
        <v>High</v>
      </c>
      <c r="AS114" t="str">
        <f>_xlfn.XLOOKUP(Table1[[#This Row],[StockOptionLevel]],Table19[StockOptionLevel],Table19[Id_StockOptionLevel])</f>
        <v>SOL001</v>
      </c>
      <c r="AT114">
        <v>0</v>
      </c>
      <c r="AU114" t="str">
        <f>_xlfn.XLOOKUP(Table1[[#This Row],[StockOptionLevel]],Table19[StockOptionLevel],Table19[Deskripsi])</f>
        <v>Non-Eligible</v>
      </c>
      <c r="AV114">
        <v>23</v>
      </c>
      <c r="AW114">
        <v>3</v>
      </c>
      <c r="AX114" t="str">
        <f>_xlfn.XLOOKUP(Table1[[#This Row],[WorkLifeBalance]],Table20[WorkLifeBalance],Table20[Id_WorkLifeBalance])</f>
        <v>WLB002</v>
      </c>
      <c r="AY114">
        <v>3</v>
      </c>
      <c r="AZ114" t="str">
        <f>_xlfn.XLOOKUP(Table1[[#This Row],[WorkLifeBalance]],Table20[WorkLifeBalance],Table20[Deskripsi])</f>
        <v>Good</v>
      </c>
      <c r="BA114">
        <v>5</v>
      </c>
      <c r="BB114">
        <v>3</v>
      </c>
      <c r="BC114">
        <v>4</v>
      </c>
      <c r="BD114">
        <v>4</v>
      </c>
    </row>
    <row r="115" spans="1:56" x14ac:dyDescent="0.25">
      <c r="A115">
        <v>24</v>
      </c>
      <c r="B115" t="str">
        <f>_xlfn.XLOOKUP(Table1[[#This Row],[Attrition]],Table2[Attrition],Table2[Id_Attrition])</f>
        <v>A002</v>
      </c>
      <c r="C115" t="s">
        <v>33</v>
      </c>
      <c r="D115" t="str">
        <f>_xlfn.XLOOKUP(Table1[[#This Row],[BusinessTravel]],Table5[BusinessTravel],Table5[Id_BusinessTravel])</f>
        <v>BS001</v>
      </c>
      <c r="E115" t="s">
        <v>34</v>
      </c>
      <c r="F115">
        <v>1127</v>
      </c>
      <c r="G115" t="str">
        <f>_xlfn.XLOOKUP(Table1[[#This Row],[Department]],Table6[Department],Table6[Id_Departement])</f>
        <v>D002</v>
      </c>
      <c r="H115" t="s">
        <v>38</v>
      </c>
      <c r="I115">
        <v>18</v>
      </c>
      <c r="J115" t="str">
        <f>_xlfn.XLOOKUP(Table1[[#This Row],[Education]],Table8[Education],Table8[Id_Education])</f>
        <v>E001</v>
      </c>
      <c r="K115">
        <v>1</v>
      </c>
      <c r="L115" t="str">
        <f>_xlfn.XLOOKUP(Table1[[#This Row],[EducationField]],Table7[EducationField],Table7[Id_EducationField])</f>
        <v>EF001</v>
      </c>
      <c r="M115" t="s">
        <v>40</v>
      </c>
      <c r="N115" t="str">
        <f>_xlfn.XLOOKUP(Table1[[#This Row],[EmployeeNumber]],Table4[EmployeeNumber],Table4[Id_Employee])</f>
        <v>EMP00114</v>
      </c>
      <c r="O115">
        <v>150</v>
      </c>
      <c r="P115" t="str">
        <f>_xlfn.XLOOKUP(Table1[[#This Row],[EnvironmentSatisfaction]],Table9[EnvironmentSatisfaction],Table9[Id_EnviromentSatisfaction])</f>
        <v>ES002</v>
      </c>
      <c r="Q115">
        <v>2</v>
      </c>
      <c r="R115" t="str">
        <f>_xlfn.XLOOKUP(Table1[[#This Row],[EnvironmentSatisfaction]],Table9[EnvironmentSatisfaction],Table9[Deskripsi])</f>
        <v>Medium</v>
      </c>
      <c r="S115" t="str">
        <f>_xlfn.XLOOKUP(Table1[[#This Row],[Gender]],Table10[Gender],Table10[Id_Gender])</f>
        <v>G002</v>
      </c>
      <c r="T115" t="s">
        <v>46</v>
      </c>
      <c r="U115">
        <v>52</v>
      </c>
      <c r="V115" t="str">
        <f>_xlfn.XLOOKUP(Table1[[#This Row],[JobInvolvement]],Table11[JobInvolvement],Table11[Id_JobInvolvement])</f>
        <v>JI003</v>
      </c>
      <c r="W115">
        <v>3</v>
      </c>
      <c r="X115" t="str">
        <f>_xlfn.XLOOKUP(Table1[[#This Row],[JobLevel]],Table12[JobLevel],Table12[Id_JobLevel])</f>
        <v>JL001</v>
      </c>
      <c r="Y115">
        <v>1</v>
      </c>
      <c r="Z115" t="str">
        <f>_xlfn.XLOOKUP(Table1[[#This Row],[JobRole]],Table13[JobRole],Table13[Id_JobRole])</f>
        <v>JR003</v>
      </c>
      <c r="AA115" t="s">
        <v>49</v>
      </c>
      <c r="AB115" t="str">
        <f>_xlfn.XLOOKUP(Table1[[#This Row],[JobSatisfaction]],Table14[JobSatisfaction],Table14[Id_JobSatisfaction])</f>
        <v>JS003</v>
      </c>
      <c r="AC115">
        <v>3</v>
      </c>
      <c r="AD115" t="str">
        <f>_xlfn.XLOOKUP(Table1[[#This Row],[JobSatisfaction]],Table14[JobSatisfaction],Table14[Deskripsi])</f>
        <v>High</v>
      </c>
      <c r="AE115" t="str">
        <f>_xlfn.XLOOKUP(Table1[[#This Row],[MaritalStatus]],Table15[MaritalStatus],Table15[Id_MaritalStatus])</f>
        <v>MS002</v>
      </c>
      <c r="AF115" t="s">
        <v>56</v>
      </c>
      <c r="AG115">
        <v>2774</v>
      </c>
      <c r="AH115">
        <v>13257</v>
      </c>
      <c r="AI115">
        <v>0</v>
      </c>
      <c r="AJ115" t="str">
        <f>_xlfn.XLOOKUP(Table1[[#This Row],[OverTime]],Table16[OverTime],Table16[Id_OverTime])</f>
        <v>OT002</v>
      </c>
      <c r="AK115" t="s">
        <v>33</v>
      </c>
      <c r="AL115">
        <v>12</v>
      </c>
      <c r="AM115" t="str">
        <f>_xlfn.XLOOKUP(Table1[[#This Row],[PerformanceRating]],Table17[PerformanceRating],Table17[Id_PerformanceRating])</f>
        <v>PR003</v>
      </c>
      <c r="AN115">
        <v>3</v>
      </c>
      <c r="AO115" t="str">
        <f>_xlfn.XLOOKUP(Table1[[#This Row],[PerformanceRating]],Table17[PerformanceRating],Table17[Deskripsi])</f>
        <v>Excellent</v>
      </c>
      <c r="AP115" t="str">
        <f>_xlfn.XLOOKUP(Table1[[#This Row],[RelationshipSatisfaction]],Table18[RelationshipSatisfaction],Table18[Id_RelationshipSatisfaction])</f>
        <v>RS003</v>
      </c>
      <c r="AQ115">
        <v>3</v>
      </c>
      <c r="AR115" t="str">
        <f>_xlfn.XLOOKUP(Table1[[#This Row],[RelationshipSatisfaction]],Table18[RelationshipSatisfaction],Table18[Deskripsi])</f>
        <v>High</v>
      </c>
      <c r="AS115" t="str">
        <f>_xlfn.XLOOKUP(Table1[[#This Row],[StockOptionLevel]],Table19[StockOptionLevel],Table19[Id_StockOptionLevel])</f>
        <v>SOL002</v>
      </c>
      <c r="AT115">
        <v>1</v>
      </c>
      <c r="AU115" t="str">
        <f>_xlfn.XLOOKUP(Table1[[#This Row],[StockOptionLevel]],Table19[StockOptionLevel],Table19[Deskripsi])</f>
        <v>Standard</v>
      </c>
      <c r="AV115">
        <v>6</v>
      </c>
      <c r="AW115">
        <v>2</v>
      </c>
      <c r="AX115" t="str">
        <f>_xlfn.XLOOKUP(Table1[[#This Row],[WorkLifeBalance]],Table20[WorkLifeBalance],Table20[Id_WorkLifeBalance])</f>
        <v>WLB002</v>
      </c>
      <c r="AY115">
        <v>3</v>
      </c>
      <c r="AZ115" t="str">
        <f>_xlfn.XLOOKUP(Table1[[#This Row],[WorkLifeBalance]],Table20[WorkLifeBalance],Table20[Deskripsi])</f>
        <v>Good</v>
      </c>
      <c r="BA115">
        <v>5</v>
      </c>
      <c r="BB115">
        <v>3</v>
      </c>
      <c r="BC115">
        <v>1</v>
      </c>
      <c r="BD115">
        <v>2</v>
      </c>
    </row>
    <row r="116" spans="1:56" x14ac:dyDescent="0.25">
      <c r="A116">
        <v>34</v>
      </c>
      <c r="B116" t="str">
        <f>_xlfn.XLOOKUP(Table1[[#This Row],[Attrition]],Table2[Attrition],Table2[Id_Attrition])</f>
        <v>A002</v>
      </c>
      <c r="C116" t="s">
        <v>33</v>
      </c>
      <c r="D116" t="str">
        <f>_xlfn.XLOOKUP(Table1[[#This Row],[BusinessTravel]],Table5[BusinessTravel],Table5[Id_BusinessTravel])</f>
        <v>BS001</v>
      </c>
      <c r="E116" t="s">
        <v>34</v>
      </c>
      <c r="F116">
        <v>1031</v>
      </c>
      <c r="G116" t="str">
        <f>_xlfn.XLOOKUP(Table1[[#This Row],[Department]],Table6[Department],Table6[Id_Departement])</f>
        <v>D002</v>
      </c>
      <c r="H116" t="s">
        <v>38</v>
      </c>
      <c r="I116">
        <v>6</v>
      </c>
      <c r="J116" t="str">
        <f>_xlfn.XLOOKUP(Table1[[#This Row],[Education]],Table8[Education],Table8[Id_Education])</f>
        <v>E004</v>
      </c>
      <c r="K116">
        <v>4</v>
      </c>
      <c r="L116" t="str">
        <f>_xlfn.XLOOKUP(Table1[[#This Row],[EducationField]],Table7[EducationField],Table7[Id_EducationField])</f>
        <v>EF001</v>
      </c>
      <c r="M116" t="s">
        <v>40</v>
      </c>
      <c r="N116" t="str">
        <f>_xlfn.XLOOKUP(Table1[[#This Row],[EmployeeNumber]],Table4[EmployeeNumber],Table4[Id_Employee])</f>
        <v>EMP00115</v>
      </c>
      <c r="O116">
        <v>151</v>
      </c>
      <c r="P116" t="str">
        <f>_xlfn.XLOOKUP(Table1[[#This Row],[EnvironmentSatisfaction]],Table9[EnvironmentSatisfaction],Table9[Id_EnviromentSatisfaction])</f>
        <v>ES003</v>
      </c>
      <c r="Q116">
        <v>3</v>
      </c>
      <c r="R116" t="str">
        <f>_xlfn.XLOOKUP(Table1[[#This Row],[EnvironmentSatisfaction]],Table9[EnvironmentSatisfaction],Table9[Deskripsi])</f>
        <v>High</v>
      </c>
      <c r="S116" t="str">
        <f>_xlfn.XLOOKUP(Table1[[#This Row],[Gender]],Table10[Gender],Table10[Id_Gender])</f>
        <v>G001</v>
      </c>
      <c r="T116" t="s">
        <v>45</v>
      </c>
      <c r="U116">
        <v>45</v>
      </c>
      <c r="V116" t="str">
        <f>_xlfn.XLOOKUP(Table1[[#This Row],[JobInvolvement]],Table11[JobInvolvement],Table11[Id_JobInvolvement])</f>
        <v>JI002</v>
      </c>
      <c r="W116">
        <v>2</v>
      </c>
      <c r="X116" t="str">
        <f>_xlfn.XLOOKUP(Table1[[#This Row],[JobLevel]],Table12[JobLevel],Table12[Id_JobLevel])</f>
        <v>JL002</v>
      </c>
      <c r="Y116">
        <v>2</v>
      </c>
      <c r="Z116" t="str">
        <f>_xlfn.XLOOKUP(Table1[[#This Row],[JobRole]],Table13[JobRole],Table13[Id_JobRole])</f>
        <v>JR002</v>
      </c>
      <c r="AA116" t="s">
        <v>48</v>
      </c>
      <c r="AB116" t="str">
        <f>_xlfn.XLOOKUP(Table1[[#This Row],[JobSatisfaction]],Table14[JobSatisfaction],Table14[Id_JobSatisfaction])</f>
        <v>JS002</v>
      </c>
      <c r="AC116">
        <v>2</v>
      </c>
      <c r="AD116" t="str">
        <f>_xlfn.XLOOKUP(Table1[[#This Row],[JobSatisfaction]],Table14[JobSatisfaction],Table14[Deskripsi])</f>
        <v>Medium</v>
      </c>
      <c r="AE116" t="str">
        <f>_xlfn.XLOOKUP(Table1[[#This Row],[MaritalStatus]],Table15[MaritalStatus],Table15[Id_MaritalStatus])</f>
        <v>MS003</v>
      </c>
      <c r="AF116" t="s">
        <v>57</v>
      </c>
      <c r="AG116">
        <v>4505</v>
      </c>
      <c r="AH116">
        <v>15000</v>
      </c>
      <c r="AI116">
        <v>6</v>
      </c>
      <c r="AJ116" t="str">
        <f>_xlfn.XLOOKUP(Table1[[#This Row],[OverTime]],Table16[OverTime],Table16[Id_OverTime])</f>
        <v>OT002</v>
      </c>
      <c r="AK116" t="s">
        <v>33</v>
      </c>
      <c r="AL116">
        <v>15</v>
      </c>
      <c r="AM116" t="str">
        <f>_xlfn.XLOOKUP(Table1[[#This Row],[PerformanceRating]],Table17[PerformanceRating],Table17[Id_PerformanceRating])</f>
        <v>PR003</v>
      </c>
      <c r="AN116">
        <v>3</v>
      </c>
      <c r="AO116" t="str">
        <f>_xlfn.XLOOKUP(Table1[[#This Row],[PerformanceRating]],Table17[PerformanceRating],Table17[Deskripsi])</f>
        <v>Excellent</v>
      </c>
      <c r="AP116" t="str">
        <f>_xlfn.XLOOKUP(Table1[[#This Row],[RelationshipSatisfaction]],Table18[RelationshipSatisfaction],Table18[Id_RelationshipSatisfaction])</f>
        <v>RS003</v>
      </c>
      <c r="AQ116">
        <v>3</v>
      </c>
      <c r="AR116" t="str">
        <f>_xlfn.XLOOKUP(Table1[[#This Row],[RelationshipSatisfaction]],Table18[RelationshipSatisfaction],Table18[Deskripsi])</f>
        <v>High</v>
      </c>
      <c r="AS116" t="str">
        <f>_xlfn.XLOOKUP(Table1[[#This Row],[StockOptionLevel]],Table19[StockOptionLevel],Table19[Id_StockOptionLevel])</f>
        <v>SOL002</v>
      </c>
      <c r="AT116">
        <v>1</v>
      </c>
      <c r="AU116" t="str">
        <f>_xlfn.XLOOKUP(Table1[[#This Row],[StockOptionLevel]],Table19[StockOptionLevel],Table19[Deskripsi])</f>
        <v>Standard</v>
      </c>
      <c r="AV116">
        <v>12</v>
      </c>
      <c r="AW116">
        <v>3</v>
      </c>
      <c r="AX116" t="str">
        <f>_xlfn.XLOOKUP(Table1[[#This Row],[WorkLifeBalance]],Table20[WorkLifeBalance],Table20[Id_WorkLifeBalance])</f>
        <v>WLB002</v>
      </c>
      <c r="AY116">
        <v>3</v>
      </c>
      <c r="AZ116" t="str">
        <f>_xlfn.XLOOKUP(Table1[[#This Row],[WorkLifeBalance]],Table20[WorkLifeBalance],Table20[Deskripsi])</f>
        <v>Good</v>
      </c>
      <c r="BA116">
        <v>1</v>
      </c>
      <c r="BB116">
        <v>0</v>
      </c>
      <c r="BC116">
        <v>0</v>
      </c>
      <c r="BD116">
        <v>0</v>
      </c>
    </row>
    <row r="117" spans="1:56" x14ac:dyDescent="0.25">
      <c r="A117">
        <v>37</v>
      </c>
      <c r="B117" t="str">
        <f>_xlfn.XLOOKUP(Table1[[#This Row],[Attrition]],Table2[Attrition],Table2[Id_Attrition])</f>
        <v>A002</v>
      </c>
      <c r="C117" t="s">
        <v>33</v>
      </c>
      <c r="D117" t="str">
        <f>_xlfn.XLOOKUP(Table1[[#This Row],[BusinessTravel]],Table5[BusinessTravel],Table5[Id_BusinessTravel])</f>
        <v>BS001</v>
      </c>
      <c r="E117" t="s">
        <v>34</v>
      </c>
      <c r="F117">
        <v>1189</v>
      </c>
      <c r="G117" t="str">
        <f>_xlfn.XLOOKUP(Table1[[#This Row],[Department]],Table6[Department],Table6[Id_Departement])</f>
        <v>D001</v>
      </c>
      <c r="H117" t="s">
        <v>37</v>
      </c>
      <c r="I117">
        <v>3</v>
      </c>
      <c r="J117" t="str">
        <f>_xlfn.XLOOKUP(Table1[[#This Row],[Education]],Table8[Education],Table8[Id_Education])</f>
        <v>E003</v>
      </c>
      <c r="K117">
        <v>3</v>
      </c>
      <c r="L117" t="str">
        <f>_xlfn.XLOOKUP(Table1[[#This Row],[EducationField]],Table7[EducationField],Table7[Id_EducationField])</f>
        <v>EF001</v>
      </c>
      <c r="M117" t="s">
        <v>40</v>
      </c>
      <c r="N117" t="str">
        <f>_xlfn.XLOOKUP(Table1[[#This Row],[EmployeeNumber]],Table4[EmployeeNumber],Table4[Id_Employee])</f>
        <v>EMP00116</v>
      </c>
      <c r="O117">
        <v>152</v>
      </c>
      <c r="P117" t="str">
        <f>_xlfn.XLOOKUP(Table1[[#This Row],[EnvironmentSatisfaction]],Table9[EnvironmentSatisfaction],Table9[Id_EnviromentSatisfaction])</f>
        <v>ES003</v>
      </c>
      <c r="Q117">
        <v>3</v>
      </c>
      <c r="R117" t="str">
        <f>_xlfn.XLOOKUP(Table1[[#This Row],[EnvironmentSatisfaction]],Table9[EnvironmentSatisfaction],Table9[Deskripsi])</f>
        <v>High</v>
      </c>
      <c r="S117" t="str">
        <f>_xlfn.XLOOKUP(Table1[[#This Row],[Gender]],Table10[Gender],Table10[Id_Gender])</f>
        <v>G002</v>
      </c>
      <c r="T117" t="s">
        <v>46</v>
      </c>
      <c r="U117">
        <v>87</v>
      </c>
      <c r="V117" t="str">
        <f>_xlfn.XLOOKUP(Table1[[#This Row],[JobInvolvement]],Table11[JobInvolvement],Table11[Id_JobInvolvement])</f>
        <v>JI003</v>
      </c>
      <c r="W117">
        <v>3</v>
      </c>
      <c r="X117" t="str">
        <f>_xlfn.XLOOKUP(Table1[[#This Row],[JobLevel]],Table12[JobLevel],Table12[Id_JobLevel])</f>
        <v>JL003</v>
      </c>
      <c r="Y117">
        <v>3</v>
      </c>
      <c r="Z117" t="str">
        <f>_xlfn.XLOOKUP(Table1[[#This Row],[JobRole]],Table13[JobRole],Table13[Id_JobRole])</f>
        <v>JR001</v>
      </c>
      <c r="AA117" t="s">
        <v>47</v>
      </c>
      <c r="AB117" t="str">
        <f>_xlfn.XLOOKUP(Table1[[#This Row],[JobSatisfaction]],Table14[JobSatisfaction],Table14[Id_JobSatisfaction])</f>
        <v>JS004</v>
      </c>
      <c r="AC117">
        <v>4</v>
      </c>
      <c r="AD117" t="str">
        <f>_xlfn.XLOOKUP(Table1[[#This Row],[JobSatisfaction]],Table14[JobSatisfaction],Table14[Deskripsi])</f>
        <v>Very High</v>
      </c>
      <c r="AE117" t="str">
        <f>_xlfn.XLOOKUP(Table1[[#This Row],[MaritalStatus]],Table15[MaritalStatus],Table15[Id_MaritalStatus])</f>
        <v>MS001</v>
      </c>
      <c r="AF117" t="s">
        <v>55</v>
      </c>
      <c r="AG117">
        <v>7428</v>
      </c>
      <c r="AH117">
        <v>14506</v>
      </c>
      <c r="AI117">
        <v>2</v>
      </c>
      <c r="AJ117" t="str">
        <f>_xlfn.XLOOKUP(Table1[[#This Row],[OverTime]],Table16[OverTime],Table16[Id_OverTime])</f>
        <v>OT002</v>
      </c>
      <c r="AK117" t="s">
        <v>33</v>
      </c>
      <c r="AL117">
        <v>12</v>
      </c>
      <c r="AM117" t="str">
        <f>_xlfn.XLOOKUP(Table1[[#This Row],[PerformanceRating]],Table17[PerformanceRating],Table17[Id_PerformanceRating])</f>
        <v>PR003</v>
      </c>
      <c r="AN117">
        <v>3</v>
      </c>
      <c r="AO117" t="str">
        <f>_xlfn.XLOOKUP(Table1[[#This Row],[PerformanceRating]],Table17[PerformanceRating],Table17[Deskripsi])</f>
        <v>Excellent</v>
      </c>
      <c r="AP117" t="str">
        <f>_xlfn.XLOOKUP(Table1[[#This Row],[RelationshipSatisfaction]],Table18[RelationshipSatisfaction],Table18[Id_RelationshipSatisfaction])</f>
        <v>RS001</v>
      </c>
      <c r="AQ117">
        <v>1</v>
      </c>
      <c r="AR117" t="str">
        <f>_xlfn.XLOOKUP(Table1[[#This Row],[RelationshipSatisfaction]],Table18[RelationshipSatisfaction],Table18[Deskripsi])</f>
        <v>Low</v>
      </c>
      <c r="AS117" t="str">
        <f>_xlfn.XLOOKUP(Table1[[#This Row],[StockOptionLevel]],Table19[StockOptionLevel],Table19[Id_StockOptionLevel])</f>
        <v>SOL001</v>
      </c>
      <c r="AT117">
        <v>0</v>
      </c>
      <c r="AU117" t="str">
        <f>_xlfn.XLOOKUP(Table1[[#This Row],[StockOptionLevel]],Table19[StockOptionLevel],Table19[Deskripsi])</f>
        <v>Non-Eligible</v>
      </c>
      <c r="AV117">
        <v>12</v>
      </c>
      <c r="AW117">
        <v>3</v>
      </c>
      <c r="AX117" t="str">
        <f>_xlfn.XLOOKUP(Table1[[#This Row],[WorkLifeBalance]],Table20[WorkLifeBalance],Table20[Id_WorkLifeBalance])</f>
        <v>WLB002</v>
      </c>
      <c r="AY117">
        <v>3</v>
      </c>
      <c r="AZ117" t="str">
        <f>_xlfn.XLOOKUP(Table1[[#This Row],[WorkLifeBalance]],Table20[WorkLifeBalance],Table20[Deskripsi])</f>
        <v>Good</v>
      </c>
      <c r="BA117">
        <v>5</v>
      </c>
      <c r="BB117">
        <v>3</v>
      </c>
      <c r="BC117">
        <v>1</v>
      </c>
      <c r="BD117">
        <v>3</v>
      </c>
    </row>
    <row r="118" spans="1:56" x14ac:dyDescent="0.25">
      <c r="A118">
        <v>34</v>
      </c>
      <c r="B118" t="str">
        <f>_xlfn.XLOOKUP(Table1[[#This Row],[Attrition]],Table2[Attrition],Table2[Id_Attrition])</f>
        <v>A002</v>
      </c>
      <c r="C118" t="s">
        <v>33</v>
      </c>
      <c r="D118" t="str">
        <f>_xlfn.XLOOKUP(Table1[[#This Row],[BusinessTravel]],Table5[BusinessTravel],Table5[Id_BusinessTravel])</f>
        <v>BS001</v>
      </c>
      <c r="E118" t="s">
        <v>34</v>
      </c>
      <c r="F118">
        <v>1354</v>
      </c>
      <c r="G118" t="str">
        <f>_xlfn.XLOOKUP(Table1[[#This Row],[Department]],Table6[Department],Table6[Id_Departement])</f>
        <v>D002</v>
      </c>
      <c r="H118" t="s">
        <v>38</v>
      </c>
      <c r="I118">
        <v>5</v>
      </c>
      <c r="J118" t="str">
        <f>_xlfn.XLOOKUP(Table1[[#This Row],[Education]],Table8[Education],Table8[Id_Education])</f>
        <v>E003</v>
      </c>
      <c r="K118">
        <v>3</v>
      </c>
      <c r="L118" t="str">
        <f>_xlfn.XLOOKUP(Table1[[#This Row],[EducationField]],Table7[EducationField],Table7[Id_EducationField])</f>
        <v>EF003</v>
      </c>
      <c r="M118" t="s">
        <v>42</v>
      </c>
      <c r="N118" t="str">
        <f>_xlfn.XLOOKUP(Table1[[#This Row],[EmployeeNumber]],Table4[EmployeeNumber],Table4[Id_Employee])</f>
        <v>EMP00117</v>
      </c>
      <c r="O118">
        <v>153</v>
      </c>
      <c r="P118" t="str">
        <f>_xlfn.XLOOKUP(Table1[[#This Row],[EnvironmentSatisfaction]],Table9[EnvironmentSatisfaction],Table9[Id_EnviromentSatisfaction])</f>
        <v>ES003</v>
      </c>
      <c r="Q118">
        <v>3</v>
      </c>
      <c r="R118" t="str">
        <f>_xlfn.XLOOKUP(Table1[[#This Row],[EnvironmentSatisfaction]],Table9[EnvironmentSatisfaction],Table9[Deskripsi])</f>
        <v>High</v>
      </c>
      <c r="S118" t="str">
        <f>_xlfn.XLOOKUP(Table1[[#This Row],[Gender]],Table10[Gender],Table10[Id_Gender])</f>
        <v>G001</v>
      </c>
      <c r="T118" t="s">
        <v>45</v>
      </c>
      <c r="U118">
        <v>45</v>
      </c>
      <c r="V118" t="str">
        <f>_xlfn.XLOOKUP(Table1[[#This Row],[JobInvolvement]],Table11[JobInvolvement],Table11[Id_JobInvolvement])</f>
        <v>JI002</v>
      </c>
      <c r="W118">
        <v>2</v>
      </c>
      <c r="X118" t="str">
        <f>_xlfn.XLOOKUP(Table1[[#This Row],[JobLevel]],Table12[JobLevel],Table12[Id_JobLevel])</f>
        <v>JL003</v>
      </c>
      <c r="Y118">
        <v>3</v>
      </c>
      <c r="Z118" t="str">
        <f>_xlfn.XLOOKUP(Table1[[#This Row],[JobRole]],Table13[JobRole],Table13[Id_JobRole])</f>
        <v>JR006</v>
      </c>
      <c r="AA118" t="s">
        <v>52</v>
      </c>
      <c r="AB118" t="str">
        <f>_xlfn.XLOOKUP(Table1[[#This Row],[JobSatisfaction]],Table14[JobSatisfaction],Table14[Id_JobSatisfaction])</f>
        <v>JS001</v>
      </c>
      <c r="AC118">
        <v>1</v>
      </c>
      <c r="AD118" t="str">
        <f>_xlfn.XLOOKUP(Table1[[#This Row],[JobSatisfaction]],Table14[JobSatisfaction],Table14[Deskripsi])</f>
        <v>Low</v>
      </c>
      <c r="AE118" t="str">
        <f>_xlfn.XLOOKUP(Table1[[#This Row],[MaritalStatus]],Table15[MaritalStatus],Table15[Id_MaritalStatus])</f>
        <v>MS001</v>
      </c>
      <c r="AF118" t="s">
        <v>55</v>
      </c>
      <c r="AG118">
        <v>11631</v>
      </c>
      <c r="AH118">
        <v>5615</v>
      </c>
      <c r="AI118">
        <v>2</v>
      </c>
      <c r="AJ118" t="str">
        <f>_xlfn.XLOOKUP(Table1[[#This Row],[OverTime]],Table16[OverTime],Table16[Id_OverTime])</f>
        <v>OT002</v>
      </c>
      <c r="AK118" t="s">
        <v>33</v>
      </c>
      <c r="AL118">
        <v>12</v>
      </c>
      <c r="AM118" t="str">
        <f>_xlfn.XLOOKUP(Table1[[#This Row],[PerformanceRating]],Table17[PerformanceRating],Table17[Id_PerformanceRating])</f>
        <v>PR003</v>
      </c>
      <c r="AN118">
        <v>3</v>
      </c>
      <c r="AO118" t="str">
        <f>_xlfn.XLOOKUP(Table1[[#This Row],[PerformanceRating]],Table17[PerformanceRating],Table17[Deskripsi])</f>
        <v>Excellent</v>
      </c>
      <c r="AP118" t="str">
        <f>_xlfn.XLOOKUP(Table1[[#This Row],[RelationshipSatisfaction]],Table18[RelationshipSatisfaction],Table18[Id_RelationshipSatisfaction])</f>
        <v>RS004</v>
      </c>
      <c r="AQ118">
        <v>4</v>
      </c>
      <c r="AR118" t="str">
        <f>_xlfn.XLOOKUP(Table1[[#This Row],[RelationshipSatisfaction]],Table18[RelationshipSatisfaction],Table18[Deskripsi])</f>
        <v>Very High</v>
      </c>
      <c r="AS118" t="str">
        <f>_xlfn.XLOOKUP(Table1[[#This Row],[StockOptionLevel]],Table19[StockOptionLevel],Table19[Id_StockOptionLevel])</f>
        <v>SOL001</v>
      </c>
      <c r="AT118">
        <v>0</v>
      </c>
      <c r="AU118" t="str">
        <f>_xlfn.XLOOKUP(Table1[[#This Row],[StockOptionLevel]],Table19[StockOptionLevel],Table19[Deskripsi])</f>
        <v>Non-Eligible</v>
      </c>
      <c r="AV118">
        <v>14</v>
      </c>
      <c r="AW118">
        <v>6</v>
      </c>
      <c r="AX118" t="str">
        <f>_xlfn.XLOOKUP(Table1[[#This Row],[WorkLifeBalance]],Table20[WorkLifeBalance],Table20[Id_WorkLifeBalance])</f>
        <v>WLB002</v>
      </c>
      <c r="AY118">
        <v>3</v>
      </c>
      <c r="AZ118" t="str">
        <f>_xlfn.XLOOKUP(Table1[[#This Row],[WorkLifeBalance]],Table20[WorkLifeBalance],Table20[Deskripsi])</f>
        <v>Good</v>
      </c>
      <c r="BA118">
        <v>11</v>
      </c>
      <c r="BB118">
        <v>10</v>
      </c>
      <c r="BC118">
        <v>5</v>
      </c>
      <c r="BD118">
        <v>8</v>
      </c>
    </row>
    <row r="119" spans="1:56" x14ac:dyDescent="0.25">
      <c r="A119">
        <v>36</v>
      </c>
      <c r="B119" t="str">
        <f>_xlfn.XLOOKUP(Table1[[#This Row],[Attrition]],Table2[Attrition],Table2[Id_Attrition])</f>
        <v>A002</v>
      </c>
      <c r="C119" t="s">
        <v>33</v>
      </c>
      <c r="D119" t="str">
        <f>_xlfn.XLOOKUP(Table1[[#This Row],[BusinessTravel]],Table5[BusinessTravel],Table5[Id_BusinessTravel])</f>
        <v>BS002</v>
      </c>
      <c r="E119" t="s">
        <v>35</v>
      </c>
      <c r="F119">
        <v>1467</v>
      </c>
      <c r="G119" t="str">
        <f>_xlfn.XLOOKUP(Table1[[#This Row],[Department]],Table6[Department],Table6[Id_Departement])</f>
        <v>D001</v>
      </c>
      <c r="H119" t="s">
        <v>37</v>
      </c>
      <c r="I119">
        <v>11</v>
      </c>
      <c r="J119" t="str">
        <f>_xlfn.XLOOKUP(Table1[[#This Row],[Education]],Table8[Education],Table8[Id_Education])</f>
        <v>E002</v>
      </c>
      <c r="K119">
        <v>2</v>
      </c>
      <c r="L119" t="str">
        <f>_xlfn.XLOOKUP(Table1[[#This Row],[EducationField]],Table7[EducationField],Table7[Id_EducationField])</f>
        <v>EF005</v>
      </c>
      <c r="M119" t="s">
        <v>44</v>
      </c>
      <c r="N119" t="str">
        <f>_xlfn.XLOOKUP(Table1[[#This Row],[EmployeeNumber]],Table4[EmployeeNumber],Table4[Id_Employee])</f>
        <v>EMP00118</v>
      </c>
      <c r="O119">
        <v>154</v>
      </c>
      <c r="P119" t="str">
        <f>_xlfn.XLOOKUP(Table1[[#This Row],[EnvironmentSatisfaction]],Table9[EnvironmentSatisfaction],Table9[Id_EnviromentSatisfaction])</f>
        <v>ES002</v>
      </c>
      <c r="Q119">
        <v>2</v>
      </c>
      <c r="R119" t="str">
        <f>_xlfn.XLOOKUP(Table1[[#This Row],[EnvironmentSatisfaction]],Table9[EnvironmentSatisfaction],Table9[Deskripsi])</f>
        <v>Medium</v>
      </c>
      <c r="S119" t="str">
        <f>_xlfn.XLOOKUP(Table1[[#This Row],[Gender]],Table10[Gender],Table10[Id_Gender])</f>
        <v>G001</v>
      </c>
      <c r="T119" t="s">
        <v>45</v>
      </c>
      <c r="U119">
        <v>92</v>
      </c>
      <c r="V119" t="str">
        <f>_xlfn.XLOOKUP(Table1[[#This Row],[JobInvolvement]],Table11[JobInvolvement],Table11[Id_JobInvolvement])</f>
        <v>JI003</v>
      </c>
      <c r="W119">
        <v>3</v>
      </c>
      <c r="X119" t="str">
        <f>_xlfn.XLOOKUP(Table1[[#This Row],[JobLevel]],Table12[JobLevel],Table12[Id_JobLevel])</f>
        <v>JL003</v>
      </c>
      <c r="Y119">
        <v>3</v>
      </c>
      <c r="Z119" t="str">
        <f>_xlfn.XLOOKUP(Table1[[#This Row],[JobRole]],Table13[JobRole],Table13[Id_JobRole])</f>
        <v>JR001</v>
      </c>
      <c r="AA119" t="s">
        <v>47</v>
      </c>
      <c r="AB119" t="str">
        <f>_xlfn.XLOOKUP(Table1[[#This Row],[JobSatisfaction]],Table14[JobSatisfaction],Table14[Id_JobSatisfaction])</f>
        <v>JS004</v>
      </c>
      <c r="AC119">
        <v>4</v>
      </c>
      <c r="AD119" t="str">
        <f>_xlfn.XLOOKUP(Table1[[#This Row],[JobSatisfaction]],Table14[JobSatisfaction],Table14[Deskripsi])</f>
        <v>Very High</v>
      </c>
      <c r="AE119" t="str">
        <f>_xlfn.XLOOKUP(Table1[[#This Row],[MaritalStatus]],Table15[MaritalStatus],Table15[Id_MaritalStatus])</f>
        <v>MS002</v>
      </c>
      <c r="AF119" t="s">
        <v>56</v>
      </c>
      <c r="AG119">
        <v>9738</v>
      </c>
      <c r="AH119">
        <v>22952</v>
      </c>
      <c r="AI119">
        <v>0</v>
      </c>
      <c r="AJ119" t="str">
        <f>_xlfn.XLOOKUP(Table1[[#This Row],[OverTime]],Table16[OverTime],Table16[Id_OverTime])</f>
        <v>OT002</v>
      </c>
      <c r="AK119" t="s">
        <v>33</v>
      </c>
      <c r="AL119">
        <v>14</v>
      </c>
      <c r="AM119" t="str">
        <f>_xlfn.XLOOKUP(Table1[[#This Row],[PerformanceRating]],Table17[PerformanceRating],Table17[Id_PerformanceRating])</f>
        <v>PR003</v>
      </c>
      <c r="AN119">
        <v>3</v>
      </c>
      <c r="AO119" t="str">
        <f>_xlfn.XLOOKUP(Table1[[#This Row],[PerformanceRating]],Table17[PerformanceRating],Table17[Deskripsi])</f>
        <v>Excellent</v>
      </c>
      <c r="AP119" t="str">
        <f>_xlfn.XLOOKUP(Table1[[#This Row],[RelationshipSatisfaction]],Table18[RelationshipSatisfaction],Table18[Id_RelationshipSatisfaction])</f>
        <v>RS003</v>
      </c>
      <c r="AQ119">
        <v>3</v>
      </c>
      <c r="AR119" t="str">
        <f>_xlfn.XLOOKUP(Table1[[#This Row],[RelationshipSatisfaction]],Table18[RelationshipSatisfaction],Table18[Deskripsi])</f>
        <v>High</v>
      </c>
      <c r="AS119" t="str">
        <f>_xlfn.XLOOKUP(Table1[[#This Row],[StockOptionLevel]],Table19[StockOptionLevel],Table19[Id_StockOptionLevel])</f>
        <v>SOL002</v>
      </c>
      <c r="AT119">
        <v>1</v>
      </c>
      <c r="AU119" t="str">
        <f>_xlfn.XLOOKUP(Table1[[#This Row],[StockOptionLevel]],Table19[StockOptionLevel],Table19[Deskripsi])</f>
        <v>Standard</v>
      </c>
      <c r="AV119">
        <v>10</v>
      </c>
      <c r="AW119">
        <v>6</v>
      </c>
      <c r="AX119" t="str">
        <f>_xlfn.XLOOKUP(Table1[[#This Row],[WorkLifeBalance]],Table20[WorkLifeBalance],Table20[Id_WorkLifeBalance])</f>
        <v>WLB002</v>
      </c>
      <c r="AY119">
        <v>3</v>
      </c>
      <c r="AZ119" t="str">
        <f>_xlfn.XLOOKUP(Table1[[#This Row],[WorkLifeBalance]],Table20[WorkLifeBalance],Table20[Deskripsi])</f>
        <v>Good</v>
      </c>
      <c r="BA119">
        <v>9</v>
      </c>
      <c r="BB119">
        <v>7</v>
      </c>
      <c r="BC119">
        <v>2</v>
      </c>
      <c r="BD119">
        <v>8</v>
      </c>
    </row>
    <row r="120" spans="1:56" x14ac:dyDescent="0.25">
      <c r="A120">
        <v>36</v>
      </c>
      <c r="B120" t="str">
        <f>_xlfn.XLOOKUP(Table1[[#This Row],[Attrition]],Table2[Attrition],Table2[Id_Attrition])</f>
        <v>A002</v>
      </c>
      <c r="C120" t="s">
        <v>33</v>
      </c>
      <c r="D120" t="str">
        <f>_xlfn.XLOOKUP(Table1[[#This Row],[BusinessTravel]],Table5[BusinessTravel],Table5[Id_BusinessTravel])</f>
        <v>BS001</v>
      </c>
      <c r="E120" t="s">
        <v>34</v>
      </c>
      <c r="F120">
        <v>922</v>
      </c>
      <c r="G120" t="str">
        <f>_xlfn.XLOOKUP(Table1[[#This Row],[Department]],Table6[Department],Table6[Id_Departement])</f>
        <v>D002</v>
      </c>
      <c r="H120" t="s">
        <v>38</v>
      </c>
      <c r="I120">
        <v>3</v>
      </c>
      <c r="J120" t="str">
        <f>_xlfn.XLOOKUP(Table1[[#This Row],[Education]],Table8[Education],Table8[Id_Education])</f>
        <v>E002</v>
      </c>
      <c r="K120">
        <v>2</v>
      </c>
      <c r="L120" t="str">
        <f>_xlfn.XLOOKUP(Table1[[#This Row],[EducationField]],Table7[EducationField],Table7[Id_EducationField])</f>
        <v>EF001</v>
      </c>
      <c r="M120" t="s">
        <v>40</v>
      </c>
      <c r="N120" t="str">
        <f>_xlfn.XLOOKUP(Table1[[#This Row],[EmployeeNumber]],Table4[EmployeeNumber],Table4[Id_Employee])</f>
        <v>EMP00119</v>
      </c>
      <c r="O120">
        <v>155</v>
      </c>
      <c r="P120" t="str">
        <f>_xlfn.XLOOKUP(Table1[[#This Row],[EnvironmentSatisfaction]],Table9[EnvironmentSatisfaction],Table9[Id_EnviromentSatisfaction])</f>
        <v>ES001</v>
      </c>
      <c r="Q120">
        <v>1</v>
      </c>
      <c r="R120" t="str">
        <f>_xlfn.XLOOKUP(Table1[[#This Row],[EnvironmentSatisfaction]],Table9[EnvironmentSatisfaction],Table9[Deskripsi])</f>
        <v>Low</v>
      </c>
      <c r="S120" t="str">
        <f>_xlfn.XLOOKUP(Table1[[#This Row],[Gender]],Table10[Gender],Table10[Id_Gender])</f>
        <v>G001</v>
      </c>
      <c r="T120" t="s">
        <v>45</v>
      </c>
      <c r="U120">
        <v>39</v>
      </c>
      <c r="V120" t="str">
        <f>_xlfn.XLOOKUP(Table1[[#This Row],[JobInvolvement]],Table11[JobInvolvement],Table11[Id_JobInvolvement])</f>
        <v>JI003</v>
      </c>
      <c r="W120">
        <v>3</v>
      </c>
      <c r="X120" t="str">
        <f>_xlfn.XLOOKUP(Table1[[#This Row],[JobLevel]],Table12[JobLevel],Table12[Id_JobLevel])</f>
        <v>JL001</v>
      </c>
      <c r="Y120">
        <v>1</v>
      </c>
      <c r="Z120" t="str">
        <f>_xlfn.XLOOKUP(Table1[[#This Row],[JobRole]],Table13[JobRole],Table13[Id_JobRole])</f>
        <v>JR003</v>
      </c>
      <c r="AA120" t="s">
        <v>49</v>
      </c>
      <c r="AB120" t="str">
        <f>_xlfn.XLOOKUP(Table1[[#This Row],[JobSatisfaction]],Table14[JobSatisfaction],Table14[Id_JobSatisfaction])</f>
        <v>JS004</v>
      </c>
      <c r="AC120">
        <v>4</v>
      </c>
      <c r="AD120" t="str">
        <f>_xlfn.XLOOKUP(Table1[[#This Row],[JobSatisfaction]],Table14[JobSatisfaction],Table14[Deskripsi])</f>
        <v>Very High</v>
      </c>
      <c r="AE120" t="str">
        <f>_xlfn.XLOOKUP(Table1[[#This Row],[MaritalStatus]],Table15[MaritalStatus],Table15[Id_MaritalStatus])</f>
        <v>MS003</v>
      </c>
      <c r="AF120" t="s">
        <v>57</v>
      </c>
      <c r="AG120">
        <v>2835</v>
      </c>
      <c r="AH120">
        <v>2561</v>
      </c>
      <c r="AI120">
        <v>5</v>
      </c>
      <c r="AJ120" t="str">
        <f>_xlfn.XLOOKUP(Table1[[#This Row],[OverTime]],Table16[OverTime],Table16[Id_OverTime])</f>
        <v>OT002</v>
      </c>
      <c r="AK120" t="s">
        <v>33</v>
      </c>
      <c r="AL120">
        <v>22</v>
      </c>
      <c r="AM120" t="str">
        <f>_xlfn.XLOOKUP(Table1[[#This Row],[PerformanceRating]],Table17[PerformanceRating],Table17[Id_PerformanceRating])</f>
        <v>PR004</v>
      </c>
      <c r="AN120">
        <v>4</v>
      </c>
      <c r="AO120" t="str">
        <f>_xlfn.XLOOKUP(Table1[[#This Row],[PerformanceRating]],Table17[PerformanceRating],Table17[Deskripsi])</f>
        <v>Outstanding</v>
      </c>
      <c r="AP120" t="str">
        <f>_xlfn.XLOOKUP(Table1[[#This Row],[RelationshipSatisfaction]],Table18[RelationshipSatisfaction],Table18[Id_RelationshipSatisfaction])</f>
        <v>RS001</v>
      </c>
      <c r="AQ120">
        <v>1</v>
      </c>
      <c r="AR120" t="str">
        <f>_xlfn.XLOOKUP(Table1[[#This Row],[RelationshipSatisfaction]],Table18[RelationshipSatisfaction],Table18[Deskripsi])</f>
        <v>Low</v>
      </c>
      <c r="AS120" t="str">
        <f>_xlfn.XLOOKUP(Table1[[#This Row],[StockOptionLevel]],Table19[StockOptionLevel],Table19[Id_StockOptionLevel])</f>
        <v>SOL002</v>
      </c>
      <c r="AT120">
        <v>1</v>
      </c>
      <c r="AU120" t="str">
        <f>_xlfn.XLOOKUP(Table1[[#This Row],[StockOptionLevel]],Table19[StockOptionLevel],Table19[Deskripsi])</f>
        <v>Standard</v>
      </c>
      <c r="AV120">
        <v>7</v>
      </c>
      <c r="AW120">
        <v>2</v>
      </c>
      <c r="AX120" t="str">
        <f>_xlfn.XLOOKUP(Table1[[#This Row],[WorkLifeBalance]],Table20[WorkLifeBalance],Table20[Id_WorkLifeBalance])</f>
        <v>WLB002</v>
      </c>
      <c r="AY120">
        <v>3</v>
      </c>
      <c r="AZ120" t="str">
        <f>_xlfn.XLOOKUP(Table1[[#This Row],[WorkLifeBalance]],Table20[WorkLifeBalance],Table20[Deskripsi])</f>
        <v>Good</v>
      </c>
      <c r="BA120">
        <v>1</v>
      </c>
      <c r="BB120">
        <v>0</v>
      </c>
      <c r="BC120">
        <v>0</v>
      </c>
      <c r="BD120">
        <v>0</v>
      </c>
    </row>
    <row r="121" spans="1:56" x14ac:dyDescent="0.25">
      <c r="A121">
        <v>43</v>
      </c>
      <c r="B121" t="str">
        <f>_xlfn.XLOOKUP(Table1[[#This Row],[Attrition]],Table2[Attrition],Table2[Id_Attrition])</f>
        <v>A002</v>
      </c>
      <c r="C121" t="s">
        <v>33</v>
      </c>
      <c r="D121" t="str">
        <f>_xlfn.XLOOKUP(Table1[[#This Row],[BusinessTravel]],Table5[BusinessTravel],Table5[Id_BusinessTravel])</f>
        <v>BS002</v>
      </c>
      <c r="E121" t="s">
        <v>35</v>
      </c>
      <c r="F121">
        <v>394</v>
      </c>
      <c r="G121" t="str">
        <f>_xlfn.XLOOKUP(Table1[[#This Row],[Department]],Table6[Department],Table6[Id_Departement])</f>
        <v>D001</v>
      </c>
      <c r="H121" t="s">
        <v>37</v>
      </c>
      <c r="I121">
        <v>26</v>
      </c>
      <c r="J121" t="str">
        <f>_xlfn.XLOOKUP(Table1[[#This Row],[Education]],Table8[Education],Table8[Id_Education])</f>
        <v>E002</v>
      </c>
      <c r="K121">
        <v>2</v>
      </c>
      <c r="L121" t="str">
        <f>_xlfn.XLOOKUP(Table1[[#This Row],[EducationField]],Table7[EducationField],Table7[Id_EducationField])</f>
        <v>EF001</v>
      </c>
      <c r="M121" t="s">
        <v>40</v>
      </c>
      <c r="N121" t="str">
        <f>_xlfn.XLOOKUP(Table1[[#This Row],[EmployeeNumber]],Table4[EmployeeNumber],Table4[Id_Employee])</f>
        <v>EMP00120</v>
      </c>
      <c r="O121">
        <v>158</v>
      </c>
      <c r="P121" t="str">
        <f>_xlfn.XLOOKUP(Table1[[#This Row],[EnvironmentSatisfaction]],Table9[EnvironmentSatisfaction],Table9[Id_EnviromentSatisfaction])</f>
        <v>ES003</v>
      </c>
      <c r="Q121">
        <v>3</v>
      </c>
      <c r="R121" t="str">
        <f>_xlfn.XLOOKUP(Table1[[#This Row],[EnvironmentSatisfaction]],Table9[EnvironmentSatisfaction],Table9[Deskripsi])</f>
        <v>High</v>
      </c>
      <c r="S121" t="str">
        <f>_xlfn.XLOOKUP(Table1[[#This Row],[Gender]],Table10[Gender],Table10[Id_Gender])</f>
        <v>G002</v>
      </c>
      <c r="T121" t="s">
        <v>46</v>
      </c>
      <c r="U121">
        <v>92</v>
      </c>
      <c r="V121" t="str">
        <f>_xlfn.XLOOKUP(Table1[[#This Row],[JobInvolvement]],Table11[JobInvolvement],Table11[Id_JobInvolvement])</f>
        <v>JI003</v>
      </c>
      <c r="W121">
        <v>3</v>
      </c>
      <c r="X121" t="str">
        <f>_xlfn.XLOOKUP(Table1[[#This Row],[JobLevel]],Table12[JobLevel],Table12[Id_JobLevel])</f>
        <v>JL004</v>
      </c>
      <c r="Y121">
        <v>4</v>
      </c>
      <c r="Z121" t="str">
        <f>_xlfn.XLOOKUP(Table1[[#This Row],[JobRole]],Table13[JobRole],Table13[Id_JobRole])</f>
        <v>JR006</v>
      </c>
      <c r="AA121" t="s">
        <v>52</v>
      </c>
      <c r="AB121" t="str">
        <f>_xlfn.XLOOKUP(Table1[[#This Row],[JobSatisfaction]],Table14[JobSatisfaction],Table14[Id_JobSatisfaction])</f>
        <v>JS004</v>
      </c>
      <c r="AC121">
        <v>4</v>
      </c>
      <c r="AD121" t="str">
        <f>_xlfn.XLOOKUP(Table1[[#This Row],[JobSatisfaction]],Table14[JobSatisfaction],Table14[Deskripsi])</f>
        <v>Very High</v>
      </c>
      <c r="AE121" t="str">
        <f>_xlfn.XLOOKUP(Table1[[#This Row],[MaritalStatus]],Table15[MaritalStatus],Table15[Id_MaritalStatus])</f>
        <v>MS002</v>
      </c>
      <c r="AF121" t="s">
        <v>56</v>
      </c>
      <c r="AG121">
        <v>16959</v>
      </c>
      <c r="AH121">
        <v>19494</v>
      </c>
      <c r="AI121">
        <v>1</v>
      </c>
      <c r="AJ121" t="str">
        <f>_xlfn.XLOOKUP(Table1[[#This Row],[OverTime]],Table16[OverTime],Table16[Id_OverTime])</f>
        <v>OT001</v>
      </c>
      <c r="AK121" t="s">
        <v>32</v>
      </c>
      <c r="AL121">
        <v>12</v>
      </c>
      <c r="AM121" t="str">
        <f>_xlfn.XLOOKUP(Table1[[#This Row],[PerformanceRating]],Table17[PerformanceRating],Table17[Id_PerformanceRating])</f>
        <v>PR003</v>
      </c>
      <c r="AN121">
        <v>3</v>
      </c>
      <c r="AO121" t="str">
        <f>_xlfn.XLOOKUP(Table1[[#This Row],[PerformanceRating]],Table17[PerformanceRating],Table17[Deskripsi])</f>
        <v>Excellent</v>
      </c>
      <c r="AP121" t="str">
        <f>_xlfn.XLOOKUP(Table1[[#This Row],[RelationshipSatisfaction]],Table18[RelationshipSatisfaction],Table18[Id_RelationshipSatisfaction])</f>
        <v>RS004</v>
      </c>
      <c r="AQ121">
        <v>4</v>
      </c>
      <c r="AR121" t="str">
        <f>_xlfn.XLOOKUP(Table1[[#This Row],[RelationshipSatisfaction]],Table18[RelationshipSatisfaction],Table18[Deskripsi])</f>
        <v>Very High</v>
      </c>
      <c r="AS121" t="str">
        <f>_xlfn.XLOOKUP(Table1[[#This Row],[StockOptionLevel]],Table19[StockOptionLevel],Table19[Id_StockOptionLevel])</f>
        <v>SOL003</v>
      </c>
      <c r="AT121">
        <v>2</v>
      </c>
      <c r="AU121" t="str">
        <f>_xlfn.XLOOKUP(Table1[[#This Row],[StockOptionLevel]],Table19[StockOptionLevel],Table19[Deskripsi])</f>
        <v>Intermediate</v>
      </c>
      <c r="AV121">
        <v>25</v>
      </c>
      <c r="AW121">
        <v>3</v>
      </c>
      <c r="AX121" t="str">
        <f>_xlfn.XLOOKUP(Table1[[#This Row],[WorkLifeBalance]],Table20[WorkLifeBalance],Table20[Id_WorkLifeBalance])</f>
        <v>WLB004</v>
      </c>
      <c r="AY121">
        <v>4</v>
      </c>
      <c r="AZ121" t="str">
        <f>_xlfn.XLOOKUP(Table1[[#This Row],[WorkLifeBalance]],Table20[WorkLifeBalance],Table20[Deskripsi])</f>
        <v>Best</v>
      </c>
      <c r="BA121">
        <v>25</v>
      </c>
      <c r="BB121">
        <v>12</v>
      </c>
      <c r="BC121">
        <v>4</v>
      </c>
      <c r="BD121">
        <v>12</v>
      </c>
    </row>
    <row r="122" spans="1:56" x14ac:dyDescent="0.25">
      <c r="A122">
        <v>30</v>
      </c>
      <c r="B122" t="str">
        <f>_xlfn.XLOOKUP(Table1[[#This Row],[Attrition]],Table2[Attrition],Table2[Id_Attrition])</f>
        <v>A002</v>
      </c>
      <c r="C122" t="s">
        <v>33</v>
      </c>
      <c r="D122" t="str">
        <f>_xlfn.XLOOKUP(Table1[[#This Row],[BusinessTravel]],Table5[BusinessTravel],Table5[Id_BusinessTravel])</f>
        <v>BS002</v>
      </c>
      <c r="E122" t="s">
        <v>35</v>
      </c>
      <c r="F122">
        <v>1312</v>
      </c>
      <c r="G122" t="str">
        <f>_xlfn.XLOOKUP(Table1[[#This Row],[Department]],Table6[Department],Table6[Id_Departement])</f>
        <v>D002</v>
      </c>
      <c r="H122" t="s">
        <v>38</v>
      </c>
      <c r="I122">
        <v>23</v>
      </c>
      <c r="J122" t="str">
        <f>_xlfn.XLOOKUP(Table1[[#This Row],[Education]],Table8[Education],Table8[Id_Education])</f>
        <v>E003</v>
      </c>
      <c r="K122">
        <v>3</v>
      </c>
      <c r="L122" t="str">
        <f>_xlfn.XLOOKUP(Table1[[#This Row],[EducationField]],Table7[EducationField],Table7[Id_EducationField])</f>
        <v>EF001</v>
      </c>
      <c r="M122" t="s">
        <v>40</v>
      </c>
      <c r="N122" t="str">
        <f>_xlfn.XLOOKUP(Table1[[#This Row],[EmployeeNumber]],Table4[EmployeeNumber],Table4[Id_Employee])</f>
        <v>EMP00121</v>
      </c>
      <c r="O122">
        <v>159</v>
      </c>
      <c r="P122" t="str">
        <f>_xlfn.XLOOKUP(Table1[[#This Row],[EnvironmentSatisfaction]],Table9[EnvironmentSatisfaction],Table9[Id_EnviromentSatisfaction])</f>
        <v>ES001</v>
      </c>
      <c r="Q122">
        <v>1</v>
      </c>
      <c r="R122" t="str">
        <f>_xlfn.XLOOKUP(Table1[[#This Row],[EnvironmentSatisfaction]],Table9[EnvironmentSatisfaction],Table9[Deskripsi])</f>
        <v>Low</v>
      </c>
      <c r="S122" t="str">
        <f>_xlfn.XLOOKUP(Table1[[#This Row],[Gender]],Table10[Gender],Table10[Id_Gender])</f>
        <v>G002</v>
      </c>
      <c r="T122" t="s">
        <v>46</v>
      </c>
      <c r="U122">
        <v>96</v>
      </c>
      <c r="V122" t="str">
        <f>_xlfn.XLOOKUP(Table1[[#This Row],[JobInvolvement]],Table11[JobInvolvement],Table11[Id_JobInvolvement])</f>
        <v>JI001</v>
      </c>
      <c r="W122">
        <v>1</v>
      </c>
      <c r="X122" t="str">
        <f>_xlfn.XLOOKUP(Table1[[#This Row],[JobLevel]],Table12[JobLevel],Table12[Id_JobLevel])</f>
        <v>JL001</v>
      </c>
      <c r="Y122">
        <v>1</v>
      </c>
      <c r="Z122" t="str">
        <f>_xlfn.XLOOKUP(Table1[[#This Row],[JobRole]],Table13[JobRole],Table13[Id_JobRole])</f>
        <v>JR002</v>
      </c>
      <c r="AA122" t="s">
        <v>48</v>
      </c>
      <c r="AB122" t="str">
        <f>_xlfn.XLOOKUP(Table1[[#This Row],[JobSatisfaction]],Table14[JobSatisfaction],Table14[Id_JobSatisfaction])</f>
        <v>JS003</v>
      </c>
      <c r="AC122">
        <v>3</v>
      </c>
      <c r="AD122" t="str">
        <f>_xlfn.XLOOKUP(Table1[[#This Row],[JobSatisfaction]],Table14[JobSatisfaction],Table14[Deskripsi])</f>
        <v>High</v>
      </c>
      <c r="AE122" t="str">
        <f>_xlfn.XLOOKUP(Table1[[#This Row],[MaritalStatus]],Table15[MaritalStatus],Table15[Id_MaritalStatus])</f>
        <v>MS003</v>
      </c>
      <c r="AF122" t="s">
        <v>57</v>
      </c>
      <c r="AG122">
        <v>2613</v>
      </c>
      <c r="AH122">
        <v>22310</v>
      </c>
      <c r="AI122">
        <v>1</v>
      </c>
      <c r="AJ122" t="str">
        <f>_xlfn.XLOOKUP(Table1[[#This Row],[OverTime]],Table16[OverTime],Table16[Id_OverTime])</f>
        <v>OT002</v>
      </c>
      <c r="AK122" t="s">
        <v>33</v>
      </c>
      <c r="AL122">
        <v>25</v>
      </c>
      <c r="AM122" t="str">
        <f>_xlfn.XLOOKUP(Table1[[#This Row],[PerformanceRating]],Table17[PerformanceRating],Table17[Id_PerformanceRating])</f>
        <v>PR004</v>
      </c>
      <c r="AN122">
        <v>4</v>
      </c>
      <c r="AO122" t="str">
        <f>_xlfn.XLOOKUP(Table1[[#This Row],[PerformanceRating]],Table17[PerformanceRating],Table17[Deskripsi])</f>
        <v>Outstanding</v>
      </c>
      <c r="AP122" t="str">
        <f>_xlfn.XLOOKUP(Table1[[#This Row],[RelationshipSatisfaction]],Table18[RelationshipSatisfaction],Table18[Id_RelationshipSatisfaction])</f>
        <v>RS003</v>
      </c>
      <c r="AQ122">
        <v>3</v>
      </c>
      <c r="AR122" t="str">
        <f>_xlfn.XLOOKUP(Table1[[#This Row],[RelationshipSatisfaction]],Table18[RelationshipSatisfaction],Table18[Deskripsi])</f>
        <v>High</v>
      </c>
      <c r="AS122" t="str">
        <f>_xlfn.XLOOKUP(Table1[[#This Row],[StockOptionLevel]],Table19[StockOptionLevel],Table19[Id_StockOptionLevel])</f>
        <v>SOL004</v>
      </c>
      <c r="AT122">
        <v>3</v>
      </c>
      <c r="AU122" t="str">
        <f>_xlfn.XLOOKUP(Table1[[#This Row],[StockOptionLevel]],Table19[StockOptionLevel],Table19[Deskripsi])</f>
        <v>Senior/Executive</v>
      </c>
      <c r="AV122">
        <v>10</v>
      </c>
      <c r="AW122">
        <v>2</v>
      </c>
      <c r="AX122" t="str">
        <f>_xlfn.XLOOKUP(Table1[[#This Row],[WorkLifeBalance]],Table20[WorkLifeBalance],Table20[Id_WorkLifeBalance])</f>
        <v>WLB003</v>
      </c>
      <c r="AY122">
        <v>2</v>
      </c>
      <c r="AZ122" t="str">
        <f>_xlfn.XLOOKUP(Table1[[#This Row],[WorkLifeBalance]],Table20[WorkLifeBalance],Table20[Deskripsi])</f>
        <v>Better</v>
      </c>
      <c r="BA122">
        <v>10</v>
      </c>
      <c r="BB122">
        <v>7</v>
      </c>
      <c r="BC122">
        <v>0</v>
      </c>
      <c r="BD122">
        <v>9</v>
      </c>
    </row>
    <row r="123" spans="1:56" x14ac:dyDescent="0.25">
      <c r="A123">
        <v>33</v>
      </c>
      <c r="B123" t="str">
        <f>_xlfn.XLOOKUP(Table1[[#This Row],[Attrition]],Table2[Attrition],Table2[Id_Attrition])</f>
        <v>A002</v>
      </c>
      <c r="C123" t="s">
        <v>33</v>
      </c>
      <c r="D123" t="str">
        <f>_xlfn.XLOOKUP(Table1[[#This Row],[BusinessTravel]],Table5[BusinessTravel],Table5[Id_BusinessTravel])</f>
        <v>BS003</v>
      </c>
      <c r="E123" t="s">
        <v>36</v>
      </c>
      <c r="F123">
        <v>750</v>
      </c>
      <c r="G123" t="str">
        <f>_xlfn.XLOOKUP(Table1[[#This Row],[Department]],Table6[Department],Table6[Id_Departement])</f>
        <v>D001</v>
      </c>
      <c r="H123" t="s">
        <v>37</v>
      </c>
      <c r="I123">
        <v>22</v>
      </c>
      <c r="J123" t="str">
        <f>_xlfn.XLOOKUP(Table1[[#This Row],[Education]],Table8[Education],Table8[Id_Education])</f>
        <v>E002</v>
      </c>
      <c r="K123">
        <v>2</v>
      </c>
      <c r="L123" t="str">
        <f>_xlfn.XLOOKUP(Table1[[#This Row],[EducationField]],Table7[EducationField],Table7[Id_EducationField])</f>
        <v>EF004</v>
      </c>
      <c r="M123" t="s">
        <v>43</v>
      </c>
      <c r="N123" t="str">
        <f>_xlfn.XLOOKUP(Table1[[#This Row],[EmployeeNumber]],Table4[EmployeeNumber],Table4[Id_Employee])</f>
        <v>EMP00122</v>
      </c>
      <c r="O123">
        <v>160</v>
      </c>
      <c r="P123" t="str">
        <f>_xlfn.XLOOKUP(Table1[[#This Row],[EnvironmentSatisfaction]],Table9[EnvironmentSatisfaction],Table9[Id_EnviromentSatisfaction])</f>
        <v>ES003</v>
      </c>
      <c r="Q123">
        <v>3</v>
      </c>
      <c r="R123" t="str">
        <f>_xlfn.XLOOKUP(Table1[[#This Row],[EnvironmentSatisfaction]],Table9[EnvironmentSatisfaction],Table9[Deskripsi])</f>
        <v>High</v>
      </c>
      <c r="S123" t="str">
        <f>_xlfn.XLOOKUP(Table1[[#This Row],[Gender]],Table10[Gender],Table10[Id_Gender])</f>
        <v>G002</v>
      </c>
      <c r="T123" t="s">
        <v>46</v>
      </c>
      <c r="U123">
        <v>95</v>
      </c>
      <c r="V123" t="str">
        <f>_xlfn.XLOOKUP(Table1[[#This Row],[JobInvolvement]],Table11[JobInvolvement],Table11[Id_JobInvolvement])</f>
        <v>JI003</v>
      </c>
      <c r="W123">
        <v>3</v>
      </c>
      <c r="X123" t="str">
        <f>_xlfn.XLOOKUP(Table1[[#This Row],[JobLevel]],Table12[JobLevel],Table12[Id_JobLevel])</f>
        <v>JL002</v>
      </c>
      <c r="Y123">
        <v>2</v>
      </c>
      <c r="Z123" t="str">
        <f>_xlfn.XLOOKUP(Table1[[#This Row],[JobRole]],Table13[JobRole],Table13[Id_JobRole])</f>
        <v>JR001</v>
      </c>
      <c r="AA123" t="s">
        <v>47</v>
      </c>
      <c r="AB123" t="str">
        <f>_xlfn.XLOOKUP(Table1[[#This Row],[JobSatisfaction]],Table14[JobSatisfaction],Table14[Id_JobSatisfaction])</f>
        <v>JS002</v>
      </c>
      <c r="AC123">
        <v>2</v>
      </c>
      <c r="AD123" t="str">
        <f>_xlfn.XLOOKUP(Table1[[#This Row],[JobSatisfaction]],Table14[JobSatisfaction],Table14[Deskripsi])</f>
        <v>Medium</v>
      </c>
      <c r="AE123" t="str">
        <f>_xlfn.XLOOKUP(Table1[[#This Row],[MaritalStatus]],Table15[MaritalStatus],Table15[Id_MaritalStatus])</f>
        <v>MS002</v>
      </c>
      <c r="AF123" t="s">
        <v>56</v>
      </c>
      <c r="AG123">
        <v>6146</v>
      </c>
      <c r="AH123">
        <v>15480</v>
      </c>
      <c r="AI123">
        <v>0</v>
      </c>
      <c r="AJ123" t="str">
        <f>_xlfn.XLOOKUP(Table1[[#This Row],[OverTime]],Table16[OverTime],Table16[Id_OverTime])</f>
        <v>OT002</v>
      </c>
      <c r="AK123" t="s">
        <v>33</v>
      </c>
      <c r="AL123">
        <v>13</v>
      </c>
      <c r="AM123" t="str">
        <f>_xlfn.XLOOKUP(Table1[[#This Row],[PerformanceRating]],Table17[PerformanceRating],Table17[Id_PerformanceRating])</f>
        <v>PR003</v>
      </c>
      <c r="AN123">
        <v>3</v>
      </c>
      <c r="AO123" t="str">
        <f>_xlfn.XLOOKUP(Table1[[#This Row],[PerformanceRating]],Table17[PerformanceRating],Table17[Deskripsi])</f>
        <v>Excellent</v>
      </c>
      <c r="AP123" t="str">
        <f>_xlfn.XLOOKUP(Table1[[#This Row],[RelationshipSatisfaction]],Table18[RelationshipSatisfaction],Table18[Id_RelationshipSatisfaction])</f>
        <v>RS001</v>
      </c>
      <c r="AQ123">
        <v>1</v>
      </c>
      <c r="AR123" t="str">
        <f>_xlfn.XLOOKUP(Table1[[#This Row],[RelationshipSatisfaction]],Table18[RelationshipSatisfaction],Table18[Deskripsi])</f>
        <v>Low</v>
      </c>
      <c r="AS123" t="str">
        <f>_xlfn.XLOOKUP(Table1[[#This Row],[StockOptionLevel]],Table19[StockOptionLevel],Table19[Id_StockOptionLevel])</f>
        <v>SOL002</v>
      </c>
      <c r="AT123">
        <v>1</v>
      </c>
      <c r="AU123" t="str">
        <f>_xlfn.XLOOKUP(Table1[[#This Row],[StockOptionLevel]],Table19[StockOptionLevel],Table19[Deskripsi])</f>
        <v>Standard</v>
      </c>
      <c r="AV123">
        <v>8</v>
      </c>
      <c r="AW123">
        <v>2</v>
      </c>
      <c r="AX123" t="str">
        <f>_xlfn.XLOOKUP(Table1[[#This Row],[WorkLifeBalance]],Table20[WorkLifeBalance],Table20[Id_WorkLifeBalance])</f>
        <v>WLB004</v>
      </c>
      <c r="AY123">
        <v>4</v>
      </c>
      <c r="AZ123" t="str">
        <f>_xlfn.XLOOKUP(Table1[[#This Row],[WorkLifeBalance]],Table20[WorkLifeBalance],Table20[Deskripsi])</f>
        <v>Best</v>
      </c>
      <c r="BA123">
        <v>7</v>
      </c>
      <c r="BB123">
        <v>7</v>
      </c>
      <c r="BC123">
        <v>0</v>
      </c>
      <c r="BD123">
        <v>7</v>
      </c>
    </row>
    <row r="124" spans="1:56" x14ac:dyDescent="0.25">
      <c r="A124">
        <v>56</v>
      </c>
      <c r="B124" t="str">
        <f>_xlfn.XLOOKUP(Table1[[#This Row],[Attrition]],Table2[Attrition],Table2[Id_Attrition])</f>
        <v>A001</v>
      </c>
      <c r="C124" t="s">
        <v>32</v>
      </c>
      <c r="D124" t="str">
        <f>_xlfn.XLOOKUP(Table1[[#This Row],[BusinessTravel]],Table5[BusinessTravel],Table5[Id_BusinessTravel])</f>
        <v>BS001</v>
      </c>
      <c r="E124" t="s">
        <v>34</v>
      </c>
      <c r="F124">
        <v>441</v>
      </c>
      <c r="G124" t="str">
        <f>_xlfn.XLOOKUP(Table1[[#This Row],[Department]],Table6[Department],Table6[Id_Departement])</f>
        <v>D002</v>
      </c>
      <c r="H124" t="s">
        <v>38</v>
      </c>
      <c r="I124">
        <v>14</v>
      </c>
      <c r="J124" t="str">
        <f>_xlfn.XLOOKUP(Table1[[#This Row],[Education]],Table8[Education],Table8[Id_Education])</f>
        <v>E004</v>
      </c>
      <c r="K124">
        <v>4</v>
      </c>
      <c r="L124" t="str">
        <f>_xlfn.XLOOKUP(Table1[[#This Row],[EducationField]],Table7[EducationField],Table7[Id_EducationField])</f>
        <v>EF001</v>
      </c>
      <c r="M124" t="s">
        <v>40</v>
      </c>
      <c r="N124" t="str">
        <f>_xlfn.XLOOKUP(Table1[[#This Row],[EmployeeNumber]],Table4[EmployeeNumber],Table4[Id_Employee])</f>
        <v>EMP00123</v>
      </c>
      <c r="O124">
        <v>161</v>
      </c>
      <c r="P124" t="str">
        <f>_xlfn.XLOOKUP(Table1[[#This Row],[EnvironmentSatisfaction]],Table9[EnvironmentSatisfaction],Table9[Id_EnviromentSatisfaction])</f>
        <v>ES002</v>
      </c>
      <c r="Q124">
        <v>2</v>
      </c>
      <c r="R124" t="str">
        <f>_xlfn.XLOOKUP(Table1[[#This Row],[EnvironmentSatisfaction]],Table9[EnvironmentSatisfaction],Table9[Deskripsi])</f>
        <v>Medium</v>
      </c>
      <c r="S124" t="str">
        <f>_xlfn.XLOOKUP(Table1[[#This Row],[Gender]],Table10[Gender],Table10[Id_Gender])</f>
        <v>G001</v>
      </c>
      <c r="T124" t="s">
        <v>45</v>
      </c>
      <c r="U124">
        <v>72</v>
      </c>
      <c r="V124" t="str">
        <f>_xlfn.XLOOKUP(Table1[[#This Row],[JobInvolvement]],Table11[JobInvolvement],Table11[Id_JobInvolvement])</f>
        <v>JI003</v>
      </c>
      <c r="W124">
        <v>3</v>
      </c>
      <c r="X124" t="str">
        <f>_xlfn.XLOOKUP(Table1[[#This Row],[JobLevel]],Table12[JobLevel],Table12[Id_JobLevel])</f>
        <v>JL001</v>
      </c>
      <c r="Y124">
        <v>1</v>
      </c>
      <c r="Z124" t="str">
        <f>_xlfn.XLOOKUP(Table1[[#This Row],[JobRole]],Table13[JobRole],Table13[Id_JobRole])</f>
        <v>JR002</v>
      </c>
      <c r="AA124" t="s">
        <v>48</v>
      </c>
      <c r="AB124" t="str">
        <f>_xlfn.XLOOKUP(Table1[[#This Row],[JobSatisfaction]],Table14[JobSatisfaction],Table14[Id_JobSatisfaction])</f>
        <v>JS002</v>
      </c>
      <c r="AC124">
        <v>2</v>
      </c>
      <c r="AD124" t="str">
        <f>_xlfn.XLOOKUP(Table1[[#This Row],[JobSatisfaction]],Table14[JobSatisfaction],Table14[Deskripsi])</f>
        <v>Medium</v>
      </c>
      <c r="AE124" t="str">
        <f>_xlfn.XLOOKUP(Table1[[#This Row],[MaritalStatus]],Table15[MaritalStatus],Table15[Id_MaritalStatus])</f>
        <v>MS002</v>
      </c>
      <c r="AF124" t="s">
        <v>56</v>
      </c>
      <c r="AG124">
        <v>4963</v>
      </c>
      <c r="AH124">
        <v>4510</v>
      </c>
      <c r="AI124">
        <v>9</v>
      </c>
      <c r="AJ124" t="str">
        <f>_xlfn.XLOOKUP(Table1[[#This Row],[OverTime]],Table16[OverTime],Table16[Id_OverTime])</f>
        <v>OT001</v>
      </c>
      <c r="AK124" t="s">
        <v>32</v>
      </c>
      <c r="AL124">
        <v>18</v>
      </c>
      <c r="AM124" t="str">
        <f>_xlfn.XLOOKUP(Table1[[#This Row],[PerformanceRating]],Table17[PerformanceRating],Table17[Id_PerformanceRating])</f>
        <v>PR003</v>
      </c>
      <c r="AN124">
        <v>3</v>
      </c>
      <c r="AO124" t="str">
        <f>_xlfn.XLOOKUP(Table1[[#This Row],[PerformanceRating]],Table17[PerformanceRating],Table17[Deskripsi])</f>
        <v>Excellent</v>
      </c>
      <c r="AP124" t="str">
        <f>_xlfn.XLOOKUP(Table1[[#This Row],[RelationshipSatisfaction]],Table18[RelationshipSatisfaction],Table18[Id_RelationshipSatisfaction])</f>
        <v>RS001</v>
      </c>
      <c r="AQ124">
        <v>1</v>
      </c>
      <c r="AR124" t="str">
        <f>_xlfn.XLOOKUP(Table1[[#This Row],[RelationshipSatisfaction]],Table18[RelationshipSatisfaction],Table18[Deskripsi])</f>
        <v>Low</v>
      </c>
      <c r="AS124" t="str">
        <f>_xlfn.XLOOKUP(Table1[[#This Row],[StockOptionLevel]],Table19[StockOptionLevel],Table19[Id_StockOptionLevel])</f>
        <v>SOL004</v>
      </c>
      <c r="AT124">
        <v>3</v>
      </c>
      <c r="AU124" t="str">
        <f>_xlfn.XLOOKUP(Table1[[#This Row],[StockOptionLevel]],Table19[StockOptionLevel],Table19[Deskripsi])</f>
        <v>Senior/Executive</v>
      </c>
      <c r="AV124">
        <v>7</v>
      </c>
      <c r="AW124">
        <v>2</v>
      </c>
      <c r="AX124" t="str">
        <f>_xlfn.XLOOKUP(Table1[[#This Row],[WorkLifeBalance]],Table20[WorkLifeBalance],Table20[Id_WorkLifeBalance])</f>
        <v>WLB002</v>
      </c>
      <c r="AY124">
        <v>3</v>
      </c>
      <c r="AZ124" t="str">
        <f>_xlfn.XLOOKUP(Table1[[#This Row],[WorkLifeBalance]],Table20[WorkLifeBalance],Table20[Deskripsi])</f>
        <v>Good</v>
      </c>
      <c r="BA124">
        <v>5</v>
      </c>
      <c r="BB124">
        <v>4</v>
      </c>
      <c r="BC124">
        <v>4</v>
      </c>
      <c r="BD124">
        <v>3</v>
      </c>
    </row>
    <row r="125" spans="1:56" x14ac:dyDescent="0.25">
      <c r="A125">
        <v>51</v>
      </c>
      <c r="B125" t="str">
        <f>_xlfn.XLOOKUP(Table1[[#This Row],[Attrition]],Table2[Attrition],Table2[Id_Attrition])</f>
        <v>A002</v>
      </c>
      <c r="C125" t="s">
        <v>33</v>
      </c>
      <c r="D125" t="str">
        <f>_xlfn.XLOOKUP(Table1[[#This Row],[BusinessTravel]],Table5[BusinessTravel],Table5[Id_BusinessTravel])</f>
        <v>BS001</v>
      </c>
      <c r="E125" t="s">
        <v>34</v>
      </c>
      <c r="F125">
        <v>684</v>
      </c>
      <c r="G125" t="str">
        <f>_xlfn.XLOOKUP(Table1[[#This Row],[Department]],Table6[Department],Table6[Id_Departement])</f>
        <v>D002</v>
      </c>
      <c r="H125" t="s">
        <v>38</v>
      </c>
      <c r="I125">
        <v>6</v>
      </c>
      <c r="J125" t="str">
        <f>_xlfn.XLOOKUP(Table1[[#This Row],[Education]],Table8[Education],Table8[Id_Education])</f>
        <v>E003</v>
      </c>
      <c r="K125">
        <v>3</v>
      </c>
      <c r="L125" t="str">
        <f>_xlfn.XLOOKUP(Table1[[#This Row],[EducationField]],Table7[EducationField],Table7[Id_EducationField])</f>
        <v>EF001</v>
      </c>
      <c r="M125" t="s">
        <v>40</v>
      </c>
      <c r="N125" t="str">
        <f>_xlfn.XLOOKUP(Table1[[#This Row],[EmployeeNumber]],Table4[EmployeeNumber],Table4[Id_Employee])</f>
        <v>EMP00124</v>
      </c>
      <c r="O125">
        <v>162</v>
      </c>
      <c r="P125" t="str">
        <f>_xlfn.XLOOKUP(Table1[[#This Row],[EnvironmentSatisfaction]],Table9[EnvironmentSatisfaction],Table9[Id_EnviromentSatisfaction])</f>
        <v>ES001</v>
      </c>
      <c r="Q125">
        <v>1</v>
      </c>
      <c r="R125" t="str">
        <f>_xlfn.XLOOKUP(Table1[[#This Row],[EnvironmentSatisfaction]],Table9[EnvironmentSatisfaction],Table9[Deskripsi])</f>
        <v>Low</v>
      </c>
      <c r="S125" t="str">
        <f>_xlfn.XLOOKUP(Table1[[#This Row],[Gender]],Table10[Gender],Table10[Id_Gender])</f>
        <v>G002</v>
      </c>
      <c r="T125" t="s">
        <v>46</v>
      </c>
      <c r="U125">
        <v>51</v>
      </c>
      <c r="V125" t="str">
        <f>_xlfn.XLOOKUP(Table1[[#This Row],[JobInvolvement]],Table11[JobInvolvement],Table11[Id_JobInvolvement])</f>
        <v>JI003</v>
      </c>
      <c r="W125">
        <v>3</v>
      </c>
      <c r="X125" t="str">
        <f>_xlfn.XLOOKUP(Table1[[#This Row],[JobLevel]],Table12[JobLevel],Table12[Id_JobLevel])</f>
        <v>JL005</v>
      </c>
      <c r="Y125">
        <v>5</v>
      </c>
      <c r="Z125" t="str">
        <f>_xlfn.XLOOKUP(Table1[[#This Row],[JobRole]],Table13[JobRole],Table13[Id_JobRole])</f>
        <v>JR008</v>
      </c>
      <c r="AA125" t="s">
        <v>54</v>
      </c>
      <c r="AB125" t="str">
        <f>_xlfn.XLOOKUP(Table1[[#This Row],[JobSatisfaction]],Table14[JobSatisfaction],Table14[Id_JobSatisfaction])</f>
        <v>JS003</v>
      </c>
      <c r="AC125">
        <v>3</v>
      </c>
      <c r="AD125" t="str">
        <f>_xlfn.XLOOKUP(Table1[[#This Row],[JobSatisfaction]],Table14[JobSatisfaction],Table14[Deskripsi])</f>
        <v>High</v>
      </c>
      <c r="AE125" t="str">
        <f>_xlfn.XLOOKUP(Table1[[#This Row],[MaritalStatus]],Table15[MaritalStatus],Table15[Id_MaritalStatus])</f>
        <v>MS001</v>
      </c>
      <c r="AF125" t="s">
        <v>55</v>
      </c>
      <c r="AG125">
        <v>19537</v>
      </c>
      <c r="AH125">
        <v>6462</v>
      </c>
      <c r="AI125">
        <v>7</v>
      </c>
      <c r="AJ125" t="str">
        <f>_xlfn.XLOOKUP(Table1[[#This Row],[OverTime]],Table16[OverTime],Table16[Id_OverTime])</f>
        <v>OT002</v>
      </c>
      <c r="AK125" t="s">
        <v>33</v>
      </c>
      <c r="AL125">
        <v>13</v>
      </c>
      <c r="AM125" t="str">
        <f>_xlfn.XLOOKUP(Table1[[#This Row],[PerformanceRating]],Table17[PerformanceRating],Table17[Id_PerformanceRating])</f>
        <v>PR003</v>
      </c>
      <c r="AN125">
        <v>3</v>
      </c>
      <c r="AO125" t="str">
        <f>_xlfn.XLOOKUP(Table1[[#This Row],[PerformanceRating]],Table17[PerformanceRating],Table17[Deskripsi])</f>
        <v>Excellent</v>
      </c>
      <c r="AP125" t="str">
        <f>_xlfn.XLOOKUP(Table1[[#This Row],[RelationshipSatisfaction]],Table18[RelationshipSatisfaction],Table18[Id_RelationshipSatisfaction])</f>
        <v>RS003</v>
      </c>
      <c r="AQ125">
        <v>3</v>
      </c>
      <c r="AR125" t="str">
        <f>_xlfn.XLOOKUP(Table1[[#This Row],[RelationshipSatisfaction]],Table18[RelationshipSatisfaction],Table18[Deskripsi])</f>
        <v>High</v>
      </c>
      <c r="AS125" t="str">
        <f>_xlfn.XLOOKUP(Table1[[#This Row],[StockOptionLevel]],Table19[StockOptionLevel],Table19[Id_StockOptionLevel])</f>
        <v>SOL001</v>
      </c>
      <c r="AT125">
        <v>0</v>
      </c>
      <c r="AU125" t="str">
        <f>_xlfn.XLOOKUP(Table1[[#This Row],[StockOptionLevel]],Table19[StockOptionLevel],Table19[Deskripsi])</f>
        <v>Non-Eligible</v>
      </c>
      <c r="AV125">
        <v>23</v>
      </c>
      <c r="AW125">
        <v>5</v>
      </c>
      <c r="AX125" t="str">
        <f>_xlfn.XLOOKUP(Table1[[#This Row],[WorkLifeBalance]],Table20[WorkLifeBalance],Table20[Id_WorkLifeBalance])</f>
        <v>WLB002</v>
      </c>
      <c r="AY125">
        <v>3</v>
      </c>
      <c r="AZ125" t="str">
        <f>_xlfn.XLOOKUP(Table1[[#This Row],[WorkLifeBalance]],Table20[WorkLifeBalance],Table20[Deskripsi])</f>
        <v>Good</v>
      </c>
      <c r="BA125">
        <v>20</v>
      </c>
      <c r="BB125">
        <v>18</v>
      </c>
      <c r="BC125">
        <v>15</v>
      </c>
      <c r="BD125">
        <v>15</v>
      </c>
    </row>
    <row r="126" spans="1:56" x14ac:dyDescent="0.25">
      <c r="A126">
        <v>31</v>
      </c>
      <c r="B126" t="str">
        <f>_xlfn.XLOOKUP(Table1[[#This Row],[Attrition]],Table2[Attrition],Table2[Id_Attrition])</f>
        <v>A001</v>
      </c>
      <c r="C126" t="s">
        <v>32</v>
      </c>
      <c r="D126" t="str">
        <f>_xlfn.XLOOKUP(Table1[[#This Row],[BusinessTravel]],Table5[BusinessTravel],Table5[Id_BusinessTravel])</f>
        <v>BS001</v>
      </c>
      <c r="E126" t="s">
        <v>34</v>
      </c>
      <c r="F126">
        <v>249</v>
      </c>
      <c r="G126" t="str">
        <f>_xlfn.XLOOKUP(Table1[[#This Row],[Department]],Table6[Department],Table6[Id_Departement])</f>
        <v>D001</v>
      </c>
      <c r="H126" t="s">
        <v>37</v>
      </c>
      <c r="I126">
        <v>6</v>
      </c>
      <c r="J126" t="str">
        <f>_xlfn.XLOOKUP(Table1[[#This Row],[Education]],Table8[Education],Table8[Id_Education])</f>
        <v>E004</v>
      </c>
      <c r="K126">
        <v>4</v>
      </c>
      <c r="L126" t="str">
        <f>_xlfn.XLOOKUP(Table1[[#This Row],[EducationField]],Table7[EducationField],Table7[Id_EducationField])</f>
        <v>EF001</v>
      </c>
      <c r="M126" t="s">
        <v>40</v>
      </c>
      <c r="N126" t="str">
        <f>_xlfn.XLOOKUP(Table1[[#This Row],[EmployeeNumber]],Table4[EmployeeNumber],Table4[Id_Employee])</f>
        <v>EMP00125</v>
      </c>
      <c r="O126">
        <v>163</v>
      </c>
      <c r="P126" t="str">
        <f>_xlfn.XLOOKUP(Table1[[#This Row],[EnvironmentSatisfaction]],Table9[EnvironmentSatisfaction],Table9[Id_EnviromentSatisfaction])</f>
        <v>ES002</v>
      </c>
      <c r="Q126">
        <v>2</v>
      </c>
      <c r="R126" t="str">
        <f>_xlfn.XLOOKUP(Table1[[#This Row],[EnvironmentSatisfaction]],Table9[EnvironmentSatisfaction],Table9[Deskripsi])</f>
        <v>Medium</v>
      </c>
      <c r="S126" t="str">
        <f>_xlfn.XLOOKUP(Table1[[#This Row],[Gender]],Table10[Gender],Table10[Id_Gender])</f>
        <v>G002</v>
      </c>
      <c r="T126" t="s">
        <v>46</v>
      </c>
      <c r="U126">
        <v>76</v>
      </c>
      <c r="V126" t="str">
        <f>_xlfn.XLOOKUP(Table1[[#This Row],[JobInvolvement]],Table11[JobInvolvement],Table11[Id_JobInvolvement])</f>
        <v>JI001</v>
      </c>
      <c r="W126">
        <v>1</v>
      </c>
      <c r="X126" t="str">
        <f>_xlfn.XLOOKUP(Table1[[#This Row],[JobLevel]],Table12[JobLevel],Table12[Id_JobLevel])</f>
        <v>JL002</v>
      </c>
      <c r="Y126">
        <v>2</v>
      </c>
      <c r="Z126" t="str">
        <f>_xlfn.XLOOKUP(Table1[[#This Row],[JobRole]],Table13[JobRole],Table13[Id_JobRole])</f>
        <v>JR001</v>
      </c>
      <c r="AA126" t="s">
        <v>47</v>
      </c>
      <c r="AB126" t="str">
        <f>_xlfn.XLOOKUP(Table1[[#This Row],[JobSatisfaction]],Table14[JobSatisfaction],Table14[Id_JobSatisfaction])</f>
        <v>JS003</v>
      </c>
      <c r="AC126">
        <v>3</v>
      </c>
      <c r="AD126" t="str">
        <f>_xlfn.XLOOKUP(Table1[[#This Row],[JobSatisfaction]],Table14[JobSatisfaction],Table14[Deskripsi])</f>
        <v>High</v>
      </c>
      <c r="AE126" t="str">
        <f>_xlfn.XLOOKUP(Table1[[#This Row],[MaritalStatus]],Table15[MaritalStatus],Table15[Id_MaritalStatus])</f>
        <v>MS002</v>
      </c>
      <c r="AF126" t="s">
        <v>56</v>
      </c>
      <c r="AG126">
        <v>6172</v>
      </c>
      <c r="AH126">
        <v>20739</v>
      </c>
      <c r="AI126">
        <v>4</v>
      </c>
      <c r="AJ126" t="str">
        <f>_xlfn.XLOOKUP(Table1[[#This Row],[OverTime]],Table16[OverTime],Table16[Id_OverTime])</f>
        <v>OT001</v>
      </c>
      <c r="AK126" t="s">
        <v>32</v>
      </c>
      <c r="AL126">
        <v>18</v>
      </c>
      <c r="AM126" t="str">
        <f>_xlfn.XLOOKUP(Table1[[#This Row],[PerformanceRating]],Table17[PerformanceRating],Table17[Id_PerformanceRating])</f>
        <v>PR003</v>
      </c>
      <c r="AN126">
        <v>3</v>
      </c>
      <c r="AO126" t="str">
        <f>_xlfn.XLOOKUP(Table1[[#This Row],[PerformanceRating]],Table17[PerformanceRating],Table17[Deskripsi])</f>
        <v>Excellent</v>
      </c>
      <c r="AP126" t="str">
        <f>_xlfn.XLOOKUP(Table1[[#This Row],[RelationshipSatisfaction]],Table18[RelationshipSatisfaction],Table18[Id_RelationshipSatisfaction])</f>
        <v>RS002</v>
      </c>
      <c r="AQ126">
        <v>2</v>
      </c>
      <c r="AR126" t="str">
        <f>_xlfn.XLOOKUP(Table1[[#This Row],[RelationshipSatisfaction]],Table18[RelationshipSatisfaction],Table18[Deskripsi])</f>
        <v>Medium</v>
      </c>
      <c r="AS126" t="str">
        <f>_xlfn.XLOOKUP(Table1[[#This Row],[StockOptionLevel]],Table19[StockOptionLevel],Table19[Id_StockOptionLevel])</f>
        <v>SOL001</v>
      </c>
      <c r="AT126">
        <v>0</v>
      </c>
      <c r="AU126" t="str">
        <f>_xlfn.XLOOKUP(Table1[[#This Row],[StockOptionLevel]],Table19[StockOptionLevel],Table19[Deskripsi])</f>
        <v>Non-Eligible</v>
      </c>
      <c r="AV126">
        <v>12</v>
      </c>
      <c r="AW126">
        <v>3</v>
      </c>
      <c r="AX126" t="str">
        <f>_xlfn.XLOOKUP(Table1[[#This Row],[WorkLifeBalance]],Table20[WorkLifeBalance],Table20[Id_WorkLifeBalance])</f>
        <v>WLB003</v>
      </c>
      <c r="AY126">
        <v>2</v>
      </c>
      <c r="AZ126" t="str">
        <f>_xlfn.XLOOKUP(Table1[[#This Row],[WorkLifeBalance]],Table20[WorkLifeBalance],Table20[Deskripsi])</f>
        <v>Better</v>
      </c>
      <c r="BA126">
        <v>7</v>
      </c>
      <c r="BB126">
        <v>7</v>
      </c>
      <c r="BC126">
        <v>7</v>
      </c>
      <c r="BD126">
        <v>7</v>
      </c>
    </row>
    <row r="127" spans="1:56" x14ac:dyDescent="0.25">
      <c r="A127">
        <v>26</v>
      </c>
      <c r="B127" t="str">
        <f>_xlfn.XLOOKUP(Table1[[#This Row],[Attrition]],Table2[Attrition],Table2[Id_Attrition])</f>
        <v>A002</v>
      </c>
      <c r="C127" t="s">
        <v>33</v>
      </c>
      <c r="D127" t="str">
        <f>_xlfn.XLOOKUP(Table1[[#This Row],[BusinessTravel]],Table5[BusinessTravel],Table5[Id_BusinessTravel])</f>
        <v>BS001</v>
      </c>
      <c r="E127" t="s">
        <v>34</v>
      </c>
      <c r="F127">
        <v>841</v>
      </c>
      <c r="G127" t="str">
        <f>_xlfn.XLOOKUP(Table1[[#This Row],[Department]],Table6[Department],Table6[Id_Departement])</f>
        <v>D002</v>
      </c>
      <c r="H127" t="s">
        <v>38</v>
      </c>
      <c r="I127">
        <v>6</v>
      </c>
      <c r="J127" t="str">
        <f>_xlfn.XLOOKUP(Table1[[#This Row],[Education]],Table8[Education],Table8[Id_Education])</f>
        <v>E003</v>
      </c>
      <c r="K127">
        <v>3</v>
      </c>
      <c r="L127" t="str">
        <f>_xlfn.XLOOKUP(Table1[[#This Row],[EducationField]],Table7[EducationField],Table7[Id_EducationField])</f>
        <v>EF002</v>
      </c>
      <c r="M127" t="s">
        <v>41</v>
      </c>
      <c r="N127" t="str">
        <f>_xlfn.XLOOKUP(Table1[[#This Row],[EmployeeNumber]],Table4[EmployeeNumber],Table4[Id_Employee])</f>
        <v>EMP00126</v>
      </c>
      <c r="O127">
        <v>164</v>
      </c>
      <c r="P127" t="str">
        <f>_xlfn.XLOOKUP(Table1[[#This Row],[EnvironmentSatisfaction]],Table9[EnvironmentSatisfaction],Table9[Id_EnviromentSatisfaction])</f>
        <v>ES003</v>
      </c>
      <c r="Q127">
        <v>3</v>
      </c>
      <c r="R127" t="str">
        <f>_xlfn.XLOOKUP(Table1[[#This Row],[EnvironmentSatisfaction]],Table9[EnvironmentSatisfaction],Table9[Deskripsi])</f>
        <v>High</v>
      </c>
      <c r="S127" t="str">
        <f>_xlfn.XLOOKUP(Table1[[#This Row],[Gender]],Table10[Gender],Table10[Id_Gender])</f>
        <v>G001</v>
      </c>
      <c r="T127" t="s">
        <v>45</v>
      </c>
      <c r="U127">
        <v>46</v>
      </c>
      <c r="V127" t="str">
        <f>_xlfn.XLOOKUP(Table1[[#This Row],[JobInvolvement]],Table11[JobInvolvement],Table11[Id_JobInvolvement])</f>
        <v>JI002</v>
      </c>
      <c r="W127">
        <v>2</v>
      </c>
      <c r="X127" t="str">
        <f>_xlfn.XLOOKUP(Table1[[#This Row],[JobLevel]],Table12[JobLevel],Table12[Id_JobLevel])</f>
        <v>JL001</v>
      </c>
      <c r="Y127">
        <v>1</v>
      </c>
      <c r="Z127" t="str">
        <f>_xlfn.XLOOKUP(Table1[[#This Row],[JobRole]],Table13[JobRole],Table13[Id_JobRole])</f>
        <v>JR002</v>
      </c>
      <c r="AA127" t="s">
        <v>48</v>
      </c>
      <c r="AB127" t="str">
        <f>_xlfn.XLOOKUP(Table1[[#This Row],[JobSatisfaction]],Table14[JobSatisfaction],Table14[Id_JobSatisfaction])</f>
        <v>JS002</v>
      </c>
      <c r="AC127">
        <v>2</v>
      </c>
      <c r="AD127" t="str">
        <f>_xlfn.XLOOKUP(Table1[[#This Row],[JobSatisfaction]],Table14[JobSatisfaction],Table14[Deskripsi])</f>
        <v>Medium</v>
      </c>
      <c r="AE127" t="str">
        <f>_xlfn.XLOOKUP(Table1[[#This Row],[MaritalStatus]],Table15[MaritalStatus],Table15[Id_MaritalStatus])</f>
        <v>MS002</v>
      </c>
      <c r="AF127" t="s">
        <v>56</v>
      </c>
      <c r="AG127">
        <v>2368</v>
      </c>
      <c r="AH127">
        <v>23300</v>
      </c>
      <c r="AI127">
        <v>1</v>
      </c>
      <c r="AJ127" t="str">
        <f>_xlfn.XLOOKUP(Table1[[#This Row],[OverTime]],Table16[OverTime],Table16[Id_OverTime])</f>
        <v>OT002</v>
      </c>
      <c r="AK127" t="s">
        <v>33</v>
      </c>
      <c r="AL127">
        <v>19</v>
      </c>
      <c r="AM127" t="str">
        <f>_xlfn.XLOOKUP(Table1[[#This Row],[PerformanceRating]],Table17[PerformanceRating],Table17[Id_PerformanceRating])</f>
        <v>PR003</v>
      </c>
      <c r="AN127">
        <v>3</v>
      </c>
      <c r="AO127" t="str">
        <f>_xlfn.XLOOKUP(Table1[[#This Row],[PerformanceRating]],Table17[PerformanceRating],Table17[Deskripsi])</f>
        <v>Excellent</v>
      </c>
      <c r="AP127" t="str">
        <f>_xlfn.XLOOKUP(Table1[[#This Row],[RelationshipSatisfaction]],Table18[RelationshipSatisfaction],Table18[Id_RelationshipSatisfaction])</f>
        <v>RS003</v>
      </c>
      <c r="AQ127">
        <v>3</v>
      </c>
      <c r="AR127" t="str">
        <f>_xlfn.XLOOKUP(Table1[[#This Row],[RelationshipSatisfaction]],Table18[RelationshipSatisfaction],Table18[Deskripsi])</f>
        <v>High</v>
      </c>
      <c r="AS127" t="str">
        <f>_xlfn.XLOOKUP(Table1[[#This Row],[StockOptionLevel]],Table19[StockOptionLevel],Table19[Id_StockOptionLevel])</f>
        <v>SOL001</v>
      </c>
      <c r="AT127">
        <v>0</v>
      </c>
      <c r="AU127" t="str">
        <f>_xlfn.XLOOKUP(Table1[[#This Row],[StockOptionLevel]],Table19[StockOptionLevel],Table19[Deskripsi])</f>
        <v>Non-Eligible</v>
      </c>
      <c r="AV127">
        <v>5</v>
      </c>
      <c r="AW127">
        <v>3</v>
      </c>
      <c r="AX127" t="str">
        <f>_xlfn.XLOOKUP(Table1[[#This Row],[WorkLifeBalance]],Table20[WorkLifeBalance],Table20[Id_WorkLifeBalance])</f>
        <v>WLB003</v>
      </c>
      <c r="AY127">
        <v>2</v>
      </c>
      <c r="AZ127" t="str">
        <f>_xlfn.XLOOKUP(Table1[[#This Row],[WorkLifeBalance]],Table20[WorkLifeBalance],Table20[Deskripsi])</f>
        <v>Better</v>
      </c>
      <c r="BA127">
        <v>5</v>
      </c>
      <c r="BB127">
        <v>4</v>
      </c>
      <c r="BC127">
        <v>4</v>
      </c>
      <c r="BD127">
        <v>3</v>
      </c>
    </row>
    <row r="128" spans="1:56" x14ac:dyDescent="0.25">
      <c r="A128">
        <v>58</v>
      </c>
      <c r="B128" t="str">
        <f>_xlfn.XLOOKUP(Table1[[#This Row],[Attrition]],Table2[Attrition],Table2[Id_Attrition])</f>
        <v>A001</v>
      </c>
      <c r="C128" t="s">
        <v>32</v>
      </c>
      <c r="D128" t="str">
        <f>_xlfn.XLOOKUP(Table1[[#This Row],[BusinessTravel]],Table5[BusinessTravel],Table5[Id_BusinessTravel])</f>
        <v>BS001</v>
      </c>
      <c r="E128" t="s">
        <v>34</v>
      </c>
      <c r="F128">
        <v>147</v>
      </c>
      <c r="G128" t="str">
        <f>_xlfn.XLOOKUP(Table1[[#This Row],[Department]],Table6[Department],Table6[Id_Departement])</f>
        <v>D002</v>
      </c>
      <c r="H128" t="s">
        <v>38</v>
      </c>
      <c r="I128">
        <v>23</v>
      </c>
      <c r="J128" t="str">
        <f>_xlfn.XLOOKUP(Table1[[#This Row],[Education]],Table8[Education],Table8[Id_Education])</f>
        <v>E004</v>
      </c>
      <c r="K128">
        <v>4</v>
      </c>
      <c r="L128" t="str">
        <f>_xlfn.XLOOKUP(Table1[[#This Row],[EducationField]],Table7[EducationField],Table7[Id_EducationField])</f>
        <v>EF003</v>
      </c>
      <c r="M128" t="s">
        <v>42</v>
      </c>
      <c r="N128" t="str">
        <f>_xlfn.XLOOKUP(Table1[[#This Row],[EmployeeNumber]],Table4[EmployeeNumber],Table4[Id_Employee])</f>
        <v>EMP00127</v>
      </c>
      <c r="O128">
        <v>165</v>
      </c>
      <c r="P128" t="str">
        <f>_xlfn.XLOOKUP(Table1[[#This Row],[EnvironmentSatisfaction]],Table9[EnvironmentSatisfaction],Table9[Id_EnviromentSatisfaction])</f>
        <v>ES004</v>
      </c>
      <c r="Q128">
        <v>4</v>
      </c>
      <c r="R128" t="str">
        <f>_xlfn.XLOOKUP(Table1[[#This Row],[EnvironmentSatisfaction]],Table9[EnvironmentSatisfaction],Table9[Deskripsi])</f>
        <v>Very High</v>
      </c>
      <c r="S128" t="str">
        <f>_xlfn.XLOOKUP(Table1[[#This Row],[Gender]],Table10[Gender],Table10[Id_Gender])</f>
        <v>G001</v>
      </c>
      <c r="T128" t="s">
        <v>45</v>
      </c>
      <c r="U128">
        <v>94</v>
      </c>
      <c r="V128" t="str">
        <f>_xlfn.XLOOKUP(Table1[[#This Row],[JobInvolvement]],Table11[JobInvolvement],Table11[Id_JobInvolvement])</f>
        <v>JI003</v>
      </c>
      <c r="W128">
        <v>3</v>
      </c>
      <c r="X128" t="str">
        <f>_xlfn.XLOOKUP(Table1[[#This Row],[JobLevel]],Table12[JobLevel],Table12[Id_JobLevel])</f>
        <v>JL003</v>
      </c>
      <c r="Y128">
        <v>3</v>
      </c>
      <c r="Z128" t="str">
        <f>_xlfn.XLOOKUP(Table1[[#This Row],[JobRole]],Table13[JobRole],Table13[Id_JobRole])</f>
        <v>JR005</v>
      </c>
      <c r="AA128" t="s">
        <v>51</v>
      </c>
      <c r="AB128" t="str">
        <f>_xlfn.XLOOKUP(Table1[[#This Row],[JobSatisfaction]],Table14[JobSatisfaction],Table14[Id_JobSatisfaction])</f>
        <v>JS004</v>
      </c>
      <c r="AC128">
        <v>4</v>
      </c>
      <c r="AD128" t="str">
        <f>_xlfn.XLOOKUP(Table1[[#This Row],[JobSatisfaction]],Table14[JobSatisfaction],Table14[Deskripsi])</f>
        <v>Very High</v>
      </c>
      <c r="AE128" t="str">
        <f>_xlfn.XLOOKUP(Table1[[#This Row],[MaritalStatus]],Table15[MaritalStatus],Table15[Id_MaritalStatus])</f>
        <v>MS002</v>
      </c>
      <c r="AF128" t="s">
        <v>56</v>
      </c>
      <c r="AG128">
        <v>10312</v>
      </c>
      <c r="AH128">
        <v>3465</v>
      </c>
      <c r="AI128">
        <v>1</v>
      </c>
      <c r="AJ128" t="str">
        <f>_xlfn.XLOOKUP(Table1[[#This Row],[OverTime]],Table16[OverTime],Table16[Id_OverTime])</f>
        <v>OT002</v>
      </c>
      <c r="AK128" t="s">
        <v>33</v>
      </c>
      <c r="AL128">
        <v>12</v>
      </c>
      <c r="AM128" t="str">
        <f>_xlfn.XLOOKUP(Table1[[#This Row],[PerformanceRating]],Table17[PerformanceRating],Table17[Id_PerformanceRating])</f>
        <v>PR003</v>
      </c>
      <c r="AN128">
        <v>3</v>
      </c>
      <c r="AO128" t="str">
        <f>_xlfn.XLOOKUP(Table1[[#This Row],[PerformanceRating]],Table17[PerformanceRating],Table17[Deskripsi])</f>
        <v>Excellent</v>
      </c>
      <c r="AP128" t="str">
        <f>_xlfn.XLOOKUP(Table1[[#This Row],[RelationshipSatisfaction]],Table18[RelationshipSatisfaction],Table18[Id_RelationshipSatisfaction])</f>
        <v>RS004</v>
      </c>
      <c r="AQ128">
        <v>4</v>
      </c>
      <c r="AR128" t="str">
        <f>_xlfn.XLOOKUP(Table1[[#This Row],[RelationshipSatisfaction]],Table18[RelationshipSatisfaction],Table18[Deskripsi])</f>
        <v>Very High</v>
      </c>
      <c r="AS128" t="str">
        <f>_xlfn.XLOOKUP(Table1[[#This Row],[StockOptionLevel]],Table19[StockOptionLevel],Table19[Id_StockOptionLevel])</f>
        <v>SOL002</v>
      </c>
      <c r="AT128">
        <v>1</v>
      </c>
      <c r="AU128" t="str">
        <f>_xlfn.XLOOKUP(Table1[[#This Row],[StockOptionLevel]],Table19[StockOptionLevel],Table19[Deskripsi])</f>
        <v>Standard</v>
      </c>
      <c r="AV128">
        <v>40</v>
      </c>
      <c r="AW128">
        <v>3</v>
      </c>
      <c r="AX128" t="str">
        <f>_xlfn.XLOOKUP(Table1[[#This Row],[WorkLifeBalance]],Table20[WorkLifeBalance],Table20[Id_WorkLifeBalance])</f>
        <v>WLB003</v>
      </c>
      <c r="AY128">
        <v>2</v>
      </c>
      <c r="AZ128" t="str">
        <f>_xlfn.XLOOKUP(Table1[[#This Row],[WorkLifeBalance]],Table20[WorkLifeBalance],Table20[Deskripsi])</f>
        <v>Better</v>
      </c>
      <c r="BA128">
        <v>40</v>
      </c>
      <c r="BB128">
        <v>10</v>
      </c>
      <c r="BC128">
        <v>15</v>
      </c>
      <c r="BD128">
        <v>6</v>
      </c>
    </row>
    <row r="129" spans="1:56" x14ac:dyDescent="0.25">
      <c r="A129">
        <v>19</v>
      </c>
      <c r="B129" t="str">
        <f>_xlfn.XLOOKUP(Table1[[#This Row],[Attrition]],Table2[Attrition],Table2[Id_Attrition])</f>
        <v>A001</v>
      </c>
      <c r="C129" t="s">
        <v>32</v>
      </c>
      <c r="D129" t="str">
        <f>_xlfn.XLOOKUP(Table1[[#This Row],[BusinessTravel]],Table5[BusinessTravel],Table5[Id_BusinessTravel])</f>
        <v>BS001</v>
      </c>
      <c r="E129" t="s">
        <v>34</v>
      </c>
      <c r="F129">
        <v>528</v>
      </c>
      <c r="G129" t="str">
        <f>_xlfn.XLOOKUP(Table1[[#This Row],[Department]],Table6[Department],Table6[Id_Departement])</f>
        <v>D001</v>
      </c>
      <c r="H129" t="s">
        <v>37</v>
      </c>
      <c r="I129">
        <v>22</v>
      </c>
      <c r="J129" t="str">
        <f>_xlfn.XLOOKUP(Table1[[#This Row],[Education]],Table8[Education],Table8[Id_Education])</f>
        <v>E001</v>
      </c>
      <c r="K129">
        <v>1</v>
      </c>
      <c r="L129" t="str">
        <f>_xlfn.XLOOKUP(Table1[[#This Row],[EducationField]],Table7[EducationField],Table7[Id_EducationField])</f>
        <v>EF004</v>
      </c>
      <c r="M129" t="s">
        <v>43</v>
      </c>
      <c r="N129" t="str">
        <f>_xlfn.XLOOKUP(Table1[[#This Row],[EmployeeNumber]],Table4[EmployeeNumber],Table4[Id_Employee])</f>
        <v>EMP00128</v>
      </c>
      <c r="O129">
        <v>167</v>
      </c>
      <c r="P129" t="str">
        <f>_xlfn.XLOOKUP(Table1[[#This Row],[EnvironmentSatisfaction]],Table9[EnvironmentSatisfaction],Table9[Id_EnviromentSatisfaction])</f>
        <v>ES004</v>
      </c>
      <c r="Q129">
        <v>4</v>
      </c>
      <c r="R129" t="str">
        <f>_xlfn.XLOOKUP(Table1[[#This Row],[EnvironmentSatisfaction]],Table9[EnvironmentSatisfaction],Table9[Deskripsi])</f>
        <v>Very High</v>
      </c>
      <c r="S129" t="str">
        <f>_xlfn.XLOOKUP(Table1[[#This Row],[Gender]],Table10[Gender],Table10[Id_Gender])</f>
        <v>G002</v>
      </c>
      <c r="T129" t="s">
        <v>46</v>
      </c>
      <c r="U129">
        <v>50</v>
      </c>
      <c r="V129" t="str">
        <f>_xlfn.XLOOKUP(Table1[[#This Row],[JobInvolvement]],Table11[JobInvolvement],Table11[Id_JobInvolvement])</f>
        <v>JI003</v>
      </c>
      <c r="W129">
        <v>3</v>
      </c>
      <c r="X129" t="str">
        <f>_xlfn.XLOOKUP(Table1[[#This Row],[JobLevel]],Table12[JobLevel],Table12[Id_JobLevel])</f>
        <v>JL001</v>
      </c>
      <c r="Y129">
        <v>1</v>
      </c>
      <c r="Z129" t="str">
        <f>_xlfn.XLOOKUP(Table1[[#This Row],[JobRole]],Table13[JobRole],Table13[Id_JobRole])</f>
        <v>JR007</v>
      </c>
      <c r="AA129" t="s">
        <v>53</v>
      </c>
      <c r="AB129" t="str">
        <f>_xlfn.XLOOKUP(Table1[[#This Row],[JobSatisfaction]],Table14[JobSatisfaction],Table14[Id_JobSatisfaction])</f>
        <v>JS003</v>
      </c>
      <c r="AC129">
        <v>3</v>
      </c>
      <c r="AD129" t="str">
        <f>_xlfn.XLOOKUP(Table1[[#This Row],[JobSatisfaction]],Table14[JobSatisfaction],Table14[Deskripsi])</f>
        <v>High</v>
      </c>
      <c r="AE129" t="str">
        <f>_xlfn.XLOOKUP(Table1[[#This Row],[MaritalStatus]],Table15[MaritalStatus],Table15[Id_MaritalStatus])</f>
        <v>MS001</v>
      </c>
      <c r="AF129" t="s">
        <v>55</v>
      </c>
      <c r="AG129">
        <v>1675</v>
      </c>
      <c r="AH129">
        <v>26820</v>
      </c>
      <c r="AI129">
        <v>1</v>
      </c>
      <c r="AJ129" t="str">
        <f>_xlfn.XLOOKUP(Table1[[#This Row],[OverTime]],Table16[OverTime],Table16[Id_OverTime])</f>
        <v>OT001</v>
      </c>
      <c r="AK129" t="s">
        <v>32</v>
      </c>
      <c r="AL129">
        <v>19</v>
      </c>
      <c r="AM129" t="str">
        <f>_xlfn.XLOOKUP(Table1[[#This Row],[PerformanceRating]],Table17[PerformanceRating],Table17[Id_PerformanceRating])</f>
        <v>PR003</v>
      </c>
      <c r="AN129">
        <v>3</v>
      </c>
      <c r="AO129" t="str">
        <f>_xlfn.XLOOKUP(Table1[[#This Row],[PerformanceRating]],Table17[PerformanceRating],Table17[Deskripsi])</f>
        <v>Excellent</v>
      </c>
      <c r="AP129" t="str">
        <f>_xlfn.XLOOKUP(Table1[[#This Row],[RelationshipSatisfaction]],Table18[RelationshipSatisfaction],Table18[Id_RelationshipSatisfaction])</f>
        <v>RS004</v>
      </c>
      <c r="AQ129">
        <v>4</v>
      </c>
      <c r="AR129" t="str">
        <f>_xlfn.XLOOKUP(Table1[[#This Row],[RelationshipSatisfaction]],Table18[RelationshipSatisfaction],Table18[Deskripsi])</f>
        <v>Very High</v>
      </c>
      <c r="AS129" t="str">
        <f>_xlfn.XLOOKUP(Table1[[#This Row],[StockOptionLevel]],Table19[StockOptionLevel],Table19[Id_StockOptionLevel])</f>
        <v>SOL001</v>
      </c>
      <c r="AT129">
        <v>0</v>
      </c>
      <c r="AU129" t="str">
        <f>_xlfn.XLOOKUP(Table1[[#This Row],[StockOptionLevel]],Table19[StockOptionLevel],Table19[Deskripsi])</f>
        <v>Non-Eligible</v>
      </c>
      <c r="AV129">
        <v>0</v>
      </c>
      <c r="AW129">
        <v>2</v>
      </c>
      <c r="AX129" t="str">
        <f>_xlfn.XLOOKUP(Table1[[#This Row],[WorkLifeBalance]],Table20[WorkLifeBalance],Table20[Id_WorkLifeBalance])</f>
        <v>WLB003</v>
      </c>
      <c r="AY129">
        <v>2</v>
      </c>
      <c r="AZ129" t="str">
        <f>_xlfn.XLOOKUP(Table1[[#This Row],[WorkLifeBalance]],Table20[WorkLifeBalance],Table20[Deskripsi])</f>
        <v>Better</v>
      </c>
      <c r="BA129">
        <v>0</v>
      </c>
      <c r="BB129">
        <v>0</v>
      </c>
      <c r="BC129">
        <v>0</v>
      </c>
      <c r="BD129">
        <v>0</v>
      </c>
    </row>
    <row r="130" spans="1:56" x14ac:dyDescent="0.25">
      <c r="A130">
        <v>22</v>
      </c>
      <c r="B130" t="str">
        <f>_xlfn.XLOOKUP(Table1[[#This Row],[Attrition]],Table2[Attrition],Table2[Id_Attrition])</f>
        <v>A002</v>
      </c>
      <c r="C130" t="s">
        <v>33</v>
      </c>
      <c r="D130" t="str">
        <f>_xlfn.XLOOKUP(Table1[[#This Row],[BusinessTravel]],Table5[BusinessTravel],Table5[Id_BusinessTravel])</f>
        <v>BS001</v>
      </c>
      <c r="E130" t="s">
        <v>34</v>
      </c>
      <c r="F130">
        <v>594</v>
      </c>
      <c r="G130" t="str">
        <f>_xlfn.XLOOKUP(Table1[[#This Row],[Department]],Table6[Department],Table6[Id_Departement])</f>
        <v>D002</v>
      </c>
      <c r="H130" t="s">
        <v>38</v>
      </c>
      <c r="I130">
        <v>2</v>
      </c>
      <c r="J130" t="str">
        <f>_xlfn.XLOOKUP(Table1[[#This Row],[Education]],Table8[Education],Table8[Id_Education])</f>
        <v>E001</v>
      </c>
      <c r="K130">
        <v>1</v>
      </c>
      <c r="L130" t="str">
        <f>_xlfn.XLOOKUP(Table1[[#This Row],[EducationField]],Table7[EducationField],Table7[Id_EducationField])</f>
        <v>EF005</v>
      </c>
      <c r="M130" t="s">
        <v>44</v>
      </c>
      <c r="N130" t="str">
        <f>_xlfn.XLOOKUP(Table1[[#This Row],[EmployeeNumber]],Table4[EmployeeNumber],Table4[Id_Employee])</f>
        <v>EMP00129</v>
      </c>
      <c r="O130">
        <v>169</v>
      </c>
      <c r="P130" t="str">
        <f>_xlfn.XLOOKUP(Table1[[#This Row],[EnvironmentSatisfaction]],Table9[EnvironmentSatisfaction],Table9[Id_EnviromentSatisfaction])</f>
        <v>ES003</v>
      </c>
      <c r="Q130">
        <v>3</v>
      </c>
      <c r="R130" t="str">
        <f>_xlfn.XLOOKUP(Table1[[#This Row],[EnvironmentSatisfaction]],Table9[EnvironmentSatisfaction],Table9[Deskripsi])</f>
        <v>High</v>
      </c>
      <c r="S130" t="str">
        <f>_xlfn.XLOOKUP(Table1[[#This Row],[Gender]],Table10[Gender],Table10[Id_Gender])</f>
        <v>G002</v>
      </c>
      <c r="T130" t="s">
        <v>46</v>
      </c>
      <c r="U130">
        <v>100</v>
      </c>
      <c r="V130" t="str">
        <f>_xlfn.XLOOKUP(Table1[[#This Row],[JobInvolvement]],Table11[JobInvolvement],Table11[Id_JobInvolvement])</f>
        <v>JI003</v>
      </c>
      <c r="W130">
        <v>3</v>
      </c>
      <c r="X130" t="str">
        <f>_xlfn.XLOOKUP(Table1[[#This Row],[JobLevel]],Table12[JobLevel],Table12[Id_JobLevel])</f>
        <v>JL001</v>
      </c>
      <c r="Y130">
        <v>1</v>
      </c>
      <c r="Z130" t="str">
        <f>_xlfn.XLOOKUP(Table1[[#This Row],[JobRole]],Table13[JobRole],Table13[Id_JobRole])</f>
        <v>JR003</v>
      </c>
      <c r="AA130" t="s">
        <v>49</v>
      </c>
      <c r="AB130" t="str">
        <f>_xlfn.XLOOKUP(Table1[[#This Row],[JobSatisfaction]],Table14[JobSatisfaction],Table14[Id_JobSatisfaction])</f>
        <v>JS004</v>
      </c>
      <c r="AC130">
        <v>4</v>
      </c>
      <c r="AD130" t="str">
        <f>_xlfn.XLOOKUP(Table1[[#This Row],[JobSatisfaction]],Table14[JobSatisfaction],Table14[Deskripsi])</f>
        <v>Very High</v>
      </c>
      <c r="AE130" t="str">
        <f>_xlfn.XLOOKUP(Table1[[#This Row],[MaritalStatus]],Table15[MaritalStatus],Table15[Id_MaritalStatus])</f>
        <v>MS002</v>
      </c>
      <c r="AF130" t="s">
        <v>56</v>
      </c>
      <c r="AG130">
        <v>2523</v>
      </c>
      <c r="AH130">
        <v>19299</v>
      </c>
      <c r="AI130">
        <v>0</v>
      </c>
      <c r="AJ130" t="str">
        <f>_xlfn.XLOOKUP(Table1[[#This Row],[OverTime]],Table16[OverTime],Table16[Id_OverTime])</f>
        <v>OT002</v>
      </c>
      <c r="AK130" t="s">
        <v>33</v>
      </c>
      <c r="AL130">
        <v>14</v>
      </c>
      <c r="AM130" t="str">
        <f>_xlfn.XLOOKUP(Table1[[#This Row],[PerformanceRating]],Table17[PerformanceRating],Table17[Id_PerformanceRating])</f>
        <v>PR003</v>
      </c>
      <c r="AN130">
        <v>3</v>
      </c>
      <c r="AO130" t="str">
        <f>_xlfn.XLOOKUP(Table1[[#This Row],[PerformanceRating]],Table17[PerformanceRating],Table17[Deskripsi])</f>
        <v>Excellent</v>
      </c>
      <c r="AP130" t="str">
        <f>_xlfn.XLOOKUP(Table1[[#This Row],[RelationshipSatisfaction]],Table18[RelationshipSatisfaction],Table18[Id_RelationshipSatisfaction])</f>
        <v>RS003</v>
      </c>
      <c r="AQ130">
        <v>3</v>
      </c>
      <c r="AR130" t="str">
        <f>_xlfn.XLOOKUP(Table1[[#This Row],[RelationshipSatisfaction]],Table18[RelationshipSatisfaction],Table18[Deskripsi])</f>
        <v>High</v>
      </c>
      <c r="AS130" t="str">
        <f>_xlfn.XLOOKUP(Table1[[#This Row],[StockOptionLevel]],Table19[StockOptionLevel],Table19[Id_StockOptionLevel])</f>
        <v>SOL002</v>
      </c>
      <c r="AT130">
        <v>1</v>
      </c>
      <c r="AU130" t="str">
        <f>_xlfn.XLOOKUP(Table1[[#This Row],[StockOptionLevel]],Table19[StockOptionLevel],Table19[Deskripsi])</f>
        <v>Standard</v>
      </c>
      <c r="AV130">
        <v>3</v>
      </c>
      <c r="AW130">
        <v>2</v>
      </c>
      <c r="AX130" t="str">
        <f>_xlfn.XLOOKUP(Table1[[#This Row],[WorkLifeBalance]],Table20[WorkLifeBalance],Table20[Id_WorkLifeBalance])</f>
        <v>WLB002</v>
      </c>
      <c r="AY130">
        <v>3</v>
      </c>
      <c r="AZ130" t="str">
        <f>_xlfn.XLOOKUP(Table1[[#This Row],[WorkLifeBalance]],Table20[WorkLifeBalance],Table20[Deskripsi])</f>
        <v>Good</v>
      </c>
      <c r="BA130">
        <v>2</v>
      </c>
      <c r="BB130">
        <v>1</v>
      </c>
      <c r="BC130">
        <v>2</v>
      </c>
      <c r="BD130">
        <v>1</v>
      </c>
    </row>
    <row r="131" spans="1:56" x14ac:dyDescent="0.25">
      <c r="A131">
        <v>49</v>
      </c>
      <c r="B131" t="str">
        <f>_xlfn.XLOOKUP(Table1[[#This Row],[Attrition]],Table2[Attrition],Table2[Id_Attrition])</f>
        <v>A002</v>
      </c>
      <c r="C131" t="s">
        <v>33</v>
      </c>
      <c r="D131" t="str">
        <f>_xlfn.XLOOKUP(Table1[[#This Row],[BusinessTravel]],Table5[BusinessTravel],Table5[Id_BusinessTravel])</f>
        <v>BS001</v>
      </c>
      <c r="E131" t="s">
        <v>34</v>
      </c>
      <c r="F131">
        <v>470</v>
      </c>
      <c r="G131" t="str">
        <f>_xlfn.XLOOKUP(Table1[[#This Row],[Department]],Table6[Department],Table6[Id_Departement])</f>
        <v>D002</v>
      </c>
      <c r="H131" t="s">
        <v>38</v>
      </c>
      <c r="I131">
        <v>20</v>
      </c>
      <c r="J131" t="str">
        <f>_xlfn.XLOOKUP(Table1[[#This Row],[Education]],Table8[Education],Table8[Id_Education])</f>
        <v>E004</v>
      </c>
      <c r="K131">
        <v>4</v>
      </c>
      <c r="L131" t="str">
        <f>_xlfn.XLOOKUP(Table1[[#This Row],[EducationField]],Table7[EducationField],Table7[Id_EducationField])</f>
        <v>EF003</v>
      </c>
      <c r="M131" t="s">
        <v>42</v>
      </c>
      <c r="N131" t="str">
        <f>_xlfn.XLOOKUP(Table1[[#This Row],[EmployeeNumber]],Table4[EmployeeNumber],Table4[Id_Employee])</f>
        <v>EMP00130</v>
      </c>
      <c r="O131">
        <v>170</v>
      </c>
      <c r="P131" t="str">
        <f>_xlfn.XLOOKUP(Table1[[#This Row],[EnvironmentSatisfaction]],Table9[EnvironmentSatisfaction],Table9[Id_EnviromentSatisfaction])</f>
        <v>ES003</v>
      </c>
      <c r="Q131">
        <v>3</v>
      </c>
      <c r="R131" t="str">
        <f>_xlfn.XLOOKUP(Table1[[#This Row],[EnvironmentSatisfaction]],Table9[EnvironmentSatisfaction],Table9[Deskripsi])</f>
        <v>High</v>
      </c>
      <c r="S131" t="str">
        <f>_xlfn.XLOOKUP(Table1[[#This Row],[Gender]],Table10[Gender],Table10[Id_Gender])</f>
        <v>G001</v>
      </c>
      <c r="T131" t="s">
        <v>45</v>
      </c>
      <c r="U131">
        <v>96</v>
      </c>
      <c r="V131" t="str">
        <f>_xlfn.XLOOKUP(Table1[[#This Row],[JobInvolvement]],Table11[JobInvolvement],Table11[Id_JobInvolvement])</f>
        <v>JI003</v>
      </c>
      <c r="W131">
        <v>3</v>
      </c>
      <c r="X131" t="str">
        <f>_xlfn.XLOOKUP(Table1[[#This Row],[JobLevel]],Table12[JobLevel],Table12[Id_JobLevel])</f>
        <v>JL002</v>
      </c>
      <c r="Y131">
        <v>2</v>
      </c>
      <c r="Z131" t="str">
        <f>_xlfn.XLOOKUP(Table1[[#This Row],[JobRole]],Table13[JobRole],Table13[Id_JobRole])</f>
        <v>JR004</v>
      </c>
      <c r="AA131" t="s">
        <v>50</v>
      </c>
      <c r="AB131" t="str">
        <f>_xlfn.XLOOKUP(Table1[[#This Row],[JobSatisfaction]],Table14[JobSatisfaction],Table14[Id_JobSatisfaction])</f>
        <v>JS001</v>
      </c>
      <c r="AC131">
        <v>1</v>
      </c>
      <c r="AD131" t="str">
        <f>_xlfn.XLOOKUP(Table1[[#This Row],[JobSatisfaction]],Table14[JobSatisfaction],Table14[Deskripsi])</f>
        <v>Low</v>
      </c>
      <c r="AE131" t="str">
        <f>_xlfn.XLOOKUP(Table1[[#This Row],[MaritalStatus]],Table15[MaritalStatus],Table15[Id_MaritalStatus])</f>
        <v>MS002</v>
      </c>
      <c r="AF131" t="s">
        <v>56</v>
      </c>
      <c r="AG131">
        <v>6567</v>
      </c>
      <c r="AH131">
        <v>5549</v>
      </c>
      <c r="AI131">
        <v>1</v>
      </c>
      <c r="AJ131" t="str">
        <f>_xlfn.XLOOKUP(Table1[[#This Row],[OverTime]],Table16[OverTime],Table16[Id_OverTime])</f>
        <v>OT002</v>
      </c>
      <c r="AK131" t="s">
        <v>33</v>
      </c>
      <c r="AL131">
        <v>14</v>
      </c>
      <c r="AM131" t="str">
        <f>_xlfn.XLOOKUP(Table1[[#This Row],[PerformanceRating]],Table17[PerformanceRating],Table17[Id_PerformanceRating])</f>
        <v>PR003</v>
      </c>
      <c r="AN131">
        <v>3</v>
      </c>
      <c r="AO131" t="str">
        <f>_xlfn.XLOOKUP(Table1[[#This Row],[PerformanceRating]],Table17[PerformanceRating],Table17[Deskripsi])</f>
        <v>Excellent</v>
      </c>
      <c r="AP131" t="str">
        <f>_xlfn.XLOOKUP(Table1[[#This Row],[RelationshipSatisfaction]],Table18[RelationshipSatisfaction],Table18[Id_RelationshipSatisfaction])</f>
        <v>RS003</v>
      </c>
      <c r="AQ131">
        <v>3</v>
      </c>
      <c r="AR131" t="str">
        <f>_xlfn.XLOOKUP(Table1[[#This Row],[RelationshipSatisfaction]],Table18[RelationshipSatisfaction],Table18[Deskripsi])</f>
        <v>High</v>
      </c>
      <c r="AS131" t="str">
        <f>_xlfn.XLOOKUP(Table1[[#This Row],[StockOptionLevel]],Table19[StockOptionLevel],Table19[Id_StockOptionLevel])</f>
        <v>SOL001</v>
      </c>
      <c r="AT131">
        <v>0</v>
      </c>
      <c r="AU131" t="str">
        <f>_xlfn.XLOOKUP(Table1[[#This Row],[StockOptionLevel]],Table19[StockOptionLevel],Table19[Deskripsi])</f>
        <v>Non-Eligible</v>
      </c>
      <c r="AV131">
        <v>16</v>
      </c>
      <c r="AW131">
        <v>2</v>
      </c>
      <c r="AX131" t="str">
        <f>_xlfn.XLOOKUP(Table1[[#This Row],[WorkLifeBalance]],Table20[WorkLifeBalance],Table20[Id_WorkLifeBalance])</f>
        <v>WLB003</v>
      </c>
      <c r="AY131">
        <v>2</v>
      </c>
      <c r="AZ131" t="str">
        <f>_xlfn.XLOOKUP(Table1[[#This Row],[WorkLifeBalance]],Table20[WorkLifeBalance],Table20[Deskripsi])</f>
        <v>Better</v>
      </c>
      <c r="BA131">
        <v>15</v>
      </c>
      <c r="BB131">
        <v>11</v>
      </c>
      <c r="BC131">
        <v>5</v>
      </c>
      <c r="BD131">
        <v>11</v>
      </c>
    </row>
    <row r="132" spans="1:56" x14ac:dyDescent="0.25">
      <c r="A132">
        <v>43</v>
      </c>
      <c r="B132" t="str">
        <f>_xlfn.XLOOKUP(Table1[[#This Row],[Attrition]],Table2[Attrition],Table2[Id_Attrition])</f>
        <v>A002</v>
      </c>
      <c r="C132" t="s">
        <v>33</v>
      </c>
      <c r="D132" t="str">
        <f>_xlfn.XLOOKUP(Table1[[#This Row],[BusinessTravel]],Table5[BusinessTravel],Table5[Id_BusinessTravel])</f>
        <v>BS002</v>
      </c>
      <c r="E132" t="s">
        <v>35</v>
      </c>
      <c r="F132">
        <v>957</v>
      </c>
      <c r="G132" t="str">
        <f>_xlfn.XLOOKUP(Table1[[#This Row],[Department]],Table6[Department],Table6[Id_Departement])</f>
        <v>D002</v>
      </c>
      <c r="H132" t="s">
        <v>38</v>
      </c>
      <c r="I132">
        <v>28</v>
      </c>
      <c r="J132" t="str">
        <f>_xlfn.XLOOKUP(Table1[[#This Row],[Education]],Table8[Education],Table8[Id_Education])</f>
        <v>E003</v>
      </c>
      <c r="K132">
        <v>3</v>
      </c>
      <c r="L132" t="str">
        <f>_xlfn.XLOOKUP(Table1[[#This Row],[EducationField]],Table7[EducationField],Table7[Id_EducationField])</f>
        <v>EF003</v>
      </c>
      <c r="M132" t="s">
        <v>42</v>
      </c>
      <c r="N132" t="str">
        <f>_xlfn.XLOOKUP(Table1[[#This Row],[EmployeeNumber]],Table4[EmployeeNumber],Table4[Id_Employee])</f>
        <v>EMP00131</v>
      </c>
      <c r="O132">
        <v>171</v>
      </c>
      <c r="P132" t="str">
        <f>_xlfn.XLOOKUP(Table1[[#This Row],[EnvironmentSatisfaction]],Table9[EnvironmentSatisfaction],Table9[Id_EnviromentSatisfaction])</f>
        <v>ES002</v>
      </c>
      <c r="Q132">
        <v>2</v>
      </c>
      <c r="R132" t="str">
        <f>_xlfn.XLOOKUP(Table1[[#This Row],[EnvironmentSatisfaction]],Table9[EnvironmentSatisfaction],Table9[Deskripsi])</f>
        <v>Medium</v>
      </c>
      <c r="S132" t="str">
        <f>_xlfn.XLOOKUP(Table1[[#This Row],[Gender]],Table10[Gender],Table10[Id_Gender])</f>
        <v>G001</v>
      </c>
      <c r="T132" t="s">
        <v>45</v>
      </c>
      <c r="U132">
        <v>72</v>
      </c>
      <c r="V132" t="str">
        <f>_xlfn.XLOOKUP(Table1[[#This Row],[JobInvolvement]],Table11[JobInvolvement],Table11[Id_JobInvolvement])</f>
        <v>JI004</v>
      </c>
      <c r="W132">
        <v>4</v>
      </c>
      <c r="X132" t="str">
        <f>_xlfn.XLOOKUP(Table1[[#This Row],[JobLevel]],Table12[JobLevel],Table12[Id_JobLevel])</f>
        <v>JL001</v>
      </c>
      <c r="Y132">
        <v>1</v>
      </c>
      <c r="Z132" t="str">
        <f>_xlfn.XLOOKUP(Table1[[#This Row],[JobRole]],Table13[JobRole],Table13[Id_JobRole])</f>
        <v>JR002</v>
      </c>
      <c r="AA132" t="s">
        <v>48</v>
      </c>
      <c r="AB132" t="str">
        <f>_xlfn.XLOOKUP(Table1[[#This Row],[JobSatisfaction]],Table14[JobSatisfaction],Table14[Id_JobSatisfaction])</f>
        <v>JS003</v>
      </c>
      <c r="AC132">
        <v>3</v>
      </c>
      <c r="AD132" t="str">
        <f>_xlfn.XLOOKUP(Table1[[#This Row],[JobSatisfaction]],Table14[JobSatisfaction],Table14[Deskripsi])</f>
        <v>High</v>
      </c>
      <c r="AE132" t="str">
        <f>_xlfn.XLOOKUP(Table1[[#This Row],[MaritalStatus]],Table15[MaritalStatus],Table15[Id_MaritalStatus])</f>
        <v>MS001</v>
      </c>
      <c r="AF132" t="s">
        <v>55</v>
      </c>
      <c r="AG132">
        <v>4739</v>
      </c>
      <c r="AH132">
        <v>16090</v>
      </c>
      <c r="AI132">
        <v>4</v>
      </c>
      <c r="AJ132" t="str">
        <f>_xlfn.XLOOKUP(Table1[[#This Row],[OverTime]],Table16[OverTime],Table16[Id_OverTime])</f>
        <v>OT002</v>
      </c>
      <c r="AK132" t="s">
        <v>33</v>
      </c>
      <c r="AL132">
        <v>12</v>
      </c>
      <c r="AM132" t="str">
        <f>_xlfn.XLOOKUP(Table1[[#This Row],[PerformanceRating]],Table17[PerformanceRating],Table17[Id_PerformanceRating])</f>
        <v>PR003</v>
      </c>
      <c r="AN132">
        <v>3</v>
      </c>
      <c r="AO132" t="str">
        <f>_xlfn.XLOOKUP(Table1[[#This Row],[PerformanceRating]],Table17[PerformanceRating],Table17[Deskripsi])</f>
        <v>Excellent</v>
      </c>
      <c r="AP132" t="str">
        <f>_xlfn.XLOOKUP(Table1[[#This Row],[RelationshipSatisfaction]],Table18[RelationshipSatisfaction],Table18[Id_RelationshipSatisfaction])</f>
        <v>RS004</v>
      </c>
      <c r="AQ132">
        <v>4</v>
      </c>
      <c r="AR132" t="str">
        <f>_xlfn.XLOOKUP(Table1[[#This Row],[RelationshipSatisfaction]],Table18[RelationshipSatisfaction],Table18[Deskripsi])</f>
        <v>Very High</v>
      </c>
      <c r="AS132" t="str">
        <f>_xlfn.XLOOKUP(Table1[[#This Row],[StockOptionLevel]],Table19[StockOptionLevel],Table19[Id_StockOptionLevel])</f>
        <v>SOL001</v>
      </c>
      <c r="AT132">
        <v>0</v>
      </c>
      <c r="AU132" t="str">
        <f>_xlfn.XLOOKUP(Table1[[#This Row],[StockOptionLevel]],Table19[StockOptionLevel],Table19[Deskripsi])</f>
        <v>Non-Eligible</v>
      </c>
      <c r="AV132">
        <v>18</v>
      </c>
      <c r="AW132">
        <v>2</v>
      </c>
      <c r="AX132" t="str">
        <f>_xlfn.XLOOKUP(Table1[[#This Row],[WorkLifeBalance]],Table20[WorkLifeBalance],Table20[Id_WorkLifeBalance])</f>
        <v>WLB002</v>
      </c>
      <c r="AY132">
        <v>3</v>
      </c>
      <c r="AZ132" t="str">
        <f>_xlfn.XLOOKUP(Table1[[#This Row],[WorkLifeBalance]],Table20[WorkLifeBalance],Table20[Deskripsi])</f>
        <v>Good</v>
      </c>
      <c r="BA132">
        <v>3</v>
      </c>
      <c r="BB132">
        <v>2</v>
      </c>
      <c r="BC132">
        <v>1</v>
      </c>
      <c r="BD132">
        <v>2</v>
      </c>
    </row>
    <row r="133" spans="1:56" x14ac:dyDescent="0.25">
      <c r="A133">
        <v>50</v>
      </c>
      <c r="B133" t="str">
        <f>_xlfn.XLOOKUP(Table1[[#This Row],[Attrition]],Table2[Attrition],Table2[Id_Attrition])</f>
        <v>A002</v>
      </c>
      <c r="C133" t="s">
        <v>33</v>
      </c>
      <c r="D133" t="str">
        <f>_xlfn.XLOOKUP(Table1[[#This Row],[BusinessTravel]],Table5[BusinessTravel],Table5[Id_BusinessTravel])</f>
        <v>BS002</v>
      </c>
      <c r="E133" t="s">
        <v>35</v>
      </c>
      <c r="F133">
        <v>809</v>
      </c>
      <c r="G133" t="str">
        <f>_xlfn.XLOOKUP(Table1[[#This Row],[Department]],Table6[Department],Table6[Id_Departement])</f>
        <v>D001</v>
      </c>
      <c r="H133" t="s">
        <v>37</v>
      </c>
      <c r="I133">
        <v>12</v>
      </c>
      <c r="J133" t="str">
        <f>_xlfn.XLOOKUP(Table1[[#This Row],[Education]],Table8[Education],Table8[Id_Education])</f>
        <v>E003</v>
      </c>
      <c r="K133">
        <v>3</v>
      </c>
      <c r="L133" t="str">
        <f>_xlfn.XLOOKUP(Table1[[#This Row],[EducationField]],Table7[EducationField],Table7[Id_EducationField])</f>
        <v>EF004</v>
      </c>
      <c r="M133" t="s">
        <v>43</v>
      </c>
      <c r="N133" t="str">
        <f>_xlfn.XLOOKUP(Table1[[#This Row],[EmployeeNumber]],Table4[EmployeeNumber],Table4[Id_Employee])</f>
        <v>EMP00132</v>
      </c>
      <c r="O133">
        <v>174</v>
      </c>
      <c r="P133" t="str">
        <f>_xlfn.XLOOKUP(Table1[[#This Row],[EnvironmentSatisfaction]],Table9[EnvironmentSatisfaction],Table9[Id_EnviromentSatisfaction])</f>
        <v>ES003</v>
      </c>
      <c r="Q133">
        <v>3</v>
      </c>
      <c r="R133" t="str">
        <f>_xlfn.XLOOKUP(Table1[[#This Row],[EnvironmentSatisfaction]],Table9[EnvironmentSatisfaction],Table9[Deskripsi])</f>
        <v>High</v>
      </c>
      <c r="S133" t="str">
        <f>_xlfn.XLOOKUP(Table1[[#This Row],[Gender]],Table10[Gender],Table10[Id_Gender])</f>
        <v>G001</v>
      </c>
      <c r="T133" t="s">
        <v>45</v>
      </c>
      <c r="U133">
        <v>77</v>
      </c>
      <c r="V133" t="str">
        <f>_xlfn.XLOOKUP(Table1[[#This Row],[JobInvolvement]],Table11[JobInvolvement],Table11[Id_JobInvolvement])</f>
        <v>JI003</v>
      </c>
      <c r="W133">
        <v>3</v>
      </c>
      <c r="X133" t="str">
        <f>_xlfn.XLOOKUP(Table1[[#This Row],[JobLevel]],Table12[JobLevel],Table12[Id_JobLevel])</f>
        <v>JL003</v>
      </c>
      <c r="Y133">
        <v>3</v>
      </c>
      <c r="Z133" t="str">
        <f>_xlfn.XLOOKUP(Table1[[#This Row],[JobRole]],Table13[JobRole],Table13[Id_JobRole])</f>
        <v>JR001</v>
      </c>
      <c r="AA133" t="s">
        <v>47</v>
      </c>
      <c r="AB133" t="str">
        <f>_xlfn.XLOOKUP(Table1[[#This Row],[JobSatisfaction]],Table14[JobSatisfaction],Table14[Id_JobSatisfaction])</f>
        <v>JS004</v>
      </c>
      <c r="AC133">
        <v>4</v>
      </c>
      <c r="AD133" t="str">
        <f>_xlfn.XLOOKUP(Table1[[#This Row],[JobSatisfaction]],Table14[JobSatisfaction],Table14[Deskripsi])</f>
        <v>Very High</v>
      </c>
      <c r="AE133" t="str">
        <f>_xlfn.XLOOKUP(Table1[[#This Row],[MaritalStatus]],Table15[MaritalStatus],Table15[Id_MaritalStatus])</f>
        <v>MS001</v>
      </c>
      <c r="AF133" t="s">
        <v>55</v>
      </c>
      <c r="AG133">
        <v>9208</v>
      </c>
      <c r="AH133">
        <v>6645</v>
      </c>
      <c r="AI133">
        <v>4</v>
      </c>
      <c r="AJ133" t="str">
        <f>_xlfn.XLOOKUP(Table1[[#This Row],[OverTime]],Table16[OverTime],Table16[Id_OverTime])</f>
        <v>OT002</v>
      </c>
      <c r="AK133" t="s">
        <v>33</v>
      </c>
      <c r="AL133">
        <v>11</v>
      </c>
      <c r="AM133" t="str">
        <f>_xlfn.XLOOKUP(Table1[[#This Row],[PerformanceRating]],Table17[PerformanceRating],Table17[Id_PerformanceRating])</f>
        <v>PR003</v>
      </c>
      <c r="AN133">
        <v>3</v>
      </c>
      <c r="AO133" t="str">
        <f>_xlfn.XLOOKUP(Table1[[#This Row],[PerformanceRating]],Table17[PerformanceRating],Table17[Deskripsi])</f>
        <v>Excellent</v>
      </c>
      <c r="AP133" t="str">
        <f>_xlfn.XLOOKUP(Table1[[#This Row],[RelationshipSatisfaction]],Table18[RelationshipSatisfaction],Table18[Id_RelationshipSatisfaction])</f>
        <v>RS004</v>
      </c>
      <c r="AQ133">
        <v>4</v>
      </c>
      <c r="AR133" t="str">
        <f>_xlfn.XLOOKUP(Table1[[#This Row],[RelationshipSatisfaction]],Table18[RelationshipSatisfaction],Table18[Deskripsi])</f>
        <v>Very High</v>
      </c>
      <c r="AS133" t="str">
        <f>_xlfn.XLOOKUP(Table1[[#This Row],[StockOptionLevel]],Table19[StockOptionLevel],Table19[Id_StockOptionLevel])</f>
        <v>SOL001</v>
      </c>
      <c r="AT133">
        <v>0</v>
      </c>
      <c r="AU133" t="str">
        <f>_xlfn.XLOOKUP(Table1[[#This Row],[StockOptionLevel]],Table19[StockOptionLevel],Table19[Deskripsi])</f>
        <v>Non-Eligible</v>
      </c>
      <c r="AV133">
        <v>16</v>
      </c>
      <c r="AW133">
        <v>3</v>
      </c>
      <c r="AX133" t="str">
        <f>_xlfn.XLOOKUP(Table1[[#This Row],[WorkLifeBalance]],Table20[WorkLifeBalance],Table20[Id_WorkLifeBalance])</f>
        <v>WLB002</v>
      </c>
      <c r="AY133">
        <v>3</v>
      </c>
      <c r="AZ133" t="str">
        <f>_xlfn.XLOOKUP(Table1[[#This Row],[WorkLifeBalance]],Table20[WorkLifeBalance],Table20[Deskripsi])</f>
        <v>Good</v>
      </c>
      <c r="BA133">
        <v>2</v>
      </c>
      <c r="BB133">
        <v>2</v>
      </c>
      <c r="BC133">
        <v>2</v>
      </c>
      <c r="BD133">
        <v>1</v>
      </c>
    </row>
    <row r="134" spans="1:56" x14ac:dyDescent="0.25">
      <c r="A134">
        <v>31</v>
      </c>
      <c r="B134" t="str">
        <f>_xlfn.XLOOKUP(Table1[[#This Row],[Attrition]],Table2[Attrition],Table2[Id_Attrition])</f>
        <v>A001</v>
      </c>
      <c r="C134" t="s">
        <v>32</v>
      </c>
      <c r="D134" t="str">
        <f>_xlfn.XLOOKUP(Table1[[#This Row],[BusinessTravel]],Table5[BusinessTravel],Table5[Id_BusinessTravel])</f>
        <v>BS001</v>
      </c>
      <c r="E134" t="s">
        <v>34</v>
      </c>
      <c r="F134">
        <v>542</v>
      </c>
      <c r="G134" t="str">
        <f>_xlfn.XLOOKUP(Table1[[#This Row],[Department]],Table6[Department],Table6[Id_Departement])</f>
        <v>D001</v>
      </c>
      <c r="H134" t="s">
        <v>37</v>
      </c>
      <c r="I134">
        <v>20</v>
      </c>
      <c r="J134" t="str">
        <f>_xlfn.XLOOKUP(Table1[[#This Row],[Education]],Table8[Education],Table8[Id_Education])</f>
        <v>E003</v>
      </c>
      <c r="K134">
        <v>3</v>
      </c>
      <c r="L134" t="str">
        <f>_xlfn.XLOOKUP(Table1[[#This Row],[EducationField]],Table7[EducationField],Table7[Id_EducationField])</f>
        <v>EF001</v>
      </c>
      <c r="M134" t="s">
        <v>40</v>
      </c>
      <c r="N134" t="str">
        <f>_xlfn.XLOOKUP(Table1[[#This Row],[EmployeeNumber]],Table4[EmployeeNumber],Table4[Id_Employee])</f>
        <v>EMP00133</v>
      </c>
      <c r="O134">
        <v>175</v>
      </c>
      <c r="P134" t="str">
        <f>_xlfn.XLOOKUP(Table1[[#This Row],[EnvironmentSatisfaction]],Table9[EnvironmentSatisfaction],Table9[Id_EnviromentSatisfaction])</f>
        <v>ES002</v>
      </c>
      <c r="Q134">
        <v>2</v>
      </c>
      <c r="R134" t="str">
        <f>_xlfn.XLOOKUP(Table1[[#This Row],[EnvironmentSatisfaction]],Table9[EnvironmentSatisfaction],Table9[Deskripsi])</f>
        <v>Medium</v>
      </c>
      <c r="S134" t="str">
        <f>_xlfn.XLOOKUP(Table1[[#This Row],[Gender]],Table10[Gender],Table10[Id_Gender])</f>
        <v>G001</v>
      </c>
      <c r="T134" t="s">
        <v>45</v>
      </c>
      <c r="U134">
        <v>71</v>
      </c>
      <c r="V134" t="str">
        <f>_xlfn.XLOOKUP(Table1[[#This Row],[JobInvolvement]],Table11[JobInvolvement],Table11[Id_JobInvolvement])</f>
        <v>JI001</v>
      </c>
      <c r="W134">
        <v>1</v>
      </c>
      <c r="X134" t="str">
        <f>_xlfn.XLOOKUP(Table1[[#This Row],[JobLevel]],Table12[JobLevel],Table12[Id_JobLevel])</f>
        <v>JL002</v>
      </c>
      <c r="Y134">
        <v>2</v>
      </c>
      <c r="Z134" t="str">
        <f>_xlfn.XLOOKUP(Table1[[#This Row],[JobRole]],Table13[JobRole],Table13[Id_JobRole])</f>
        <v>JR001</v>
      </c>
      <c r="AA134" t="s">
        <v>47</v>
      </c>
      <c r="AB134" t="str">
        <f>_xlfn.XLOOKUP(Table1[[#This Row],[JobSatisfaction]],Table14[JobSatisfaction],Table14[Id_JobSatisfaction])</f>
        <v>JS003</v>
      </c>
      <c r="AC134">
        <v>3</v>
      </c>
      <c r="AD134" t="str">
        <f>_xlfn.XLOOKUP(Table1[[#This Row],[JobSatisfaction]],Table14[JobSatisfaction],Table14[Deskripsi])</f>
        <v>High</v>
      </c>
      <c r="AE134" t="str">
        <f>_xlfn.XLOOKUP(Table1[[#This Row],[MaritalStatus]],Table15[MaritalStatus],Table15[Id_MaritalStatus])</f>
        <v>MS002</v>
      </c>
      <c r="AF134" t="s">
        <v>56</v>
      </c>
      <c r="AG134">
        <v>4559</v>
      </c>
      <c r="AH134">
        <v>24788</v>
      </c>
      <c r="AI134">
        <v>3</v>
      </c>
      <c r="AJ134" t="str">
        <f>_xlfn.XLOOKUP(Table1[[#This Row],[OverTime]],Table16[OverTime],Table16[Id_OverTime])</f>
        <v>OT001</v>
      </c>
      <c r="AK134" t="s">
        <v>32</v>
      </c>
      <c r="AL134">
        <v>11</v>
      </c>
      <c r="AM134" t="str">
        <f>_xlfn.XLOOKUP(Table1[[#This Row],[PerformanceRating]],Table17[PerformanceRating],Table17[Id_PerformanceRating])</f>
        <v>PR003</v>
      </c>
      <c r="AN134">
        <v>3</v>
      </c>
      <c r="AO134" t="str">
        <f>_xlfn.XLOOKUP(Table1[[#This Row],[PerformanceRating]],Table17[PerformanceRating],Table17[Deskripsi])</f>
        <v>Excellent</v>
      </c>
      <c r="AP134" t="str">
        <f>_xlfn.XLOOKUP(Table1[[#This Row],[RelationshipSatisfaction]],Table18[RelationshipSatisfaction],Table18[Id_RelationshipSatisfaction])</f>
        <v>RS003</v>
      </c>
      <c r="AQ134">
        <v>3</v>
      </c>
      <c r="AR134" t="str">
        <f>_xlfn.XLOOKUP(Table1[[#This Row],[RelationshipSatisfaction]],Table18[RelationshipSatisfaction],Table18[Deskripsi])</f>
        <v>High</v>
      </c>
      <c r="AS134" t="str">
        <f>_xlfn.XLOOKUP(Table1[[#This Row],[StockOptionLevel]],Table19[StockOptionLevel],Table19[Id_StockOptionLevel])</f>
        <v>SOL002</v>
      </c>
      <c r="AT134">
        <v>1</v>
      </c>
      <c r="AU134" t="str">
        <f>_xlfn.XLOOKUP(Table1[[#This Row],[StockOptionLevel]],Table19[StockOptionLevel],Table19[Deskripsi])</f>
        <v>Standard</v>
      </c>
      <c r="AV134">
        <v>4</v>
      </c>
      <c r="AW134">
        <v>2</v>
      </c>
      <c r="AX134" t="str">
        <f>_xlfn.XLOOKUP(Table1[[#This Row],[WorkLifeBalance]],Table20[WorkLifeBalance],Table20[Id_WorkLifeBalance])</f>
        <v>WLB002</v>
      </c>
      <c r="AY134">
        <v>3</v>
      </c>
      <c r="AZ134" t="str">
        <f>_xlfn.XLOOKUP(Table1[[#This Row],[WorkLifeBalance]],Table20[WorkLifeBalance],Table20[Deskripsi])</f>
        <v>Good</v>
      </c>
      <c r="BA134">
        <v>2</v>
      </c>
      <c r="BB134">
        <v>2</v>
      </c>
      <c r="BC134">
        <v>2</v>
      </c>
      <c r="BD134">
        <v>2</v>
      </c>
    </row>
    <row r="135" spans="1:56" x14ac:dyDescent="0.25">
      <c r="A135">
        <v>41</v>
      </c>
      <c r="B135" t="str">
        <f>_xlfn.XLOOKUP(Table1[[#This Row],[Attrition]],Table2[Attrition],Table2[Id_Attrition])</f>
        <v>A002</v>
      </c>
      <c r="C135" t="s">
        <v>33</v>
      </c>
      <c r="D135" t="str">
        <f>_xlfn.XLOOKUP(Table1[[#This Row],[BusinessTravel]],Table5[BusinessTravel],Table5[Id_BusinessTravel])</f>
        <v>BS001</v>
      </c>
      <c r="E135" t="s">
        <v>34</v>
      </c>
      <c r="F135">
        <v>802</v>
      </c>
      <c r="G135" t="str">
        <f>_xlfn.XLOOKUP(Table1[[#This Row],[Department]],Table6[Department],Table6[Id_Departement])</f>
        <v>D001</v>
      </c>
      <c r="H135" t="s">
        <v>37</v>
      </c>
      <c r="I135">
        <v>9</v>
      </c>
      <c r="J135" t="str">
        <f>_xlfn.XLOOKUP(Table1[[#This Row],[Education]],Table8[Education],Table8[Id_Education])</f>
        <v>E001</v>
      </c>
      <c r="K135">
        <v>1</v>
      </c>
      <c r="L135" t="str">
        <f>_xlfn.XLOOKUP(Table1[[#This Row],[EducationField]],Table7[EducationField],Table7[Id_EducationField])</f>
        <v>EF001</v>
      </c>
      <c r="M135" t="s">
        <v>40</v>
      </c>
      <c r="N135" t="str">
        <f>_xlfn.XLOOKUP(Table1[[#This Row],[EmployeeNumber]],Table4[EmployeeNumber],Table4[Id_Employee])</f>
        <v>EMP00134</v>
      </c>
      <c r="O135">
        <v>176</v>
      </c>
      <c r="P135" t="str">
        <f>_xlfn.XLOOKUP(Table1[[#This Row],[EnvironmentSatisfaction]],Table9[EnvironmentSatisfaction],Table9[Id_EnviromentSatisfaction])</f>
        <v>ES003</v>
      </c>
      <c r="Q135">
        <v>3</v>
      </c>
      <c r="R135" t="str">
        <f>_xlfn.XLOOKUP(Table1[[#This Row],[EnvironmentSatisfaction]],Table9[EnvironmentSatisfaction],Table9[Deskripsi])</f>
        <v>High</v>
      </c>
      <c r="S135" t="str">
        <f>_xlfn.XLOOKUP(Table1[[#This Row],[Gender]],Table10[Gender],Table10[Id_Gender])</f>
        <v>G002</v>
      </c>
      <c r="T135" t="s">
        <v>46</v>
      </c>
      <c r="U135">
        <v>96</v>
      </c>
      <c r="V135" t="str">
        <f>_xlfn.XLOOKUP(Table1[[#This Row],[JobInvolvement]],Table11[JobInvolvement],Table11[Id_JobInvolvement])</f>
        <v>JI003</v>
      </c>
      <c r="W135">
        <v>3</v>
      </c>
      <c r="X135" t="str">
        <f>_xlfn.XLOOKUP(Table1[[#This Row],[JobLevel]],Table12[JobLevel],Table12[Id_JobLevel])</f>
        <v>JL003</v>
      </c>
      <c r="Y135">
        <v>3</v>
      </c>
      <c r="Z135" t="str">
        <f>_xlfn.XLOOKUP(Table1[[#This Row],[JobRole]],Table13[JobRole],Table13[Id_JobRole])</f>
        <v>JR001</v>
      </c>
      <c r="AA135" t="s">
        <v>47</v>
      </c>
      <c r="AB135" t="str">
        <f>_xlfn.XLOOKUP(Table1[[#This Row],[JobSatisfaction]],Table14[JobSatisfaction],Table14[Id_JobSatisfaction])</f>
        <v>JS003</v>
      </c>
      <c r="AC135">
        <v>3</v>
      </c>
      <c r="AD135" t="str">
        <f>_xlfn.XLOOKUP(Table1[[#This Row],[JobSatisfaction]],Table14[JobSatisfaction],Table14[Deskripsi])</f>
        <v>High</v>
      </c>
      <c r="AE135" t="str">
        <f>_xlfn.XLOOKUP(Table1[[#This Row],[MaritalStatus]],Table15[MaritalStatus],Table15[Id_MaritalStatus])</f>
        <v>MS003</v>
      </c>
      <c r="AF135" t="s">
        <v>57</v>
      </c>
      <c r="AG135">
        <v>8189</v>
      </c>
      <c r="AH135">
        <v>21196</v>
      </c>
      <c r="AI135">
        <v>3</v>
      </c>
      <c r="AJ135" t="str">
        <f>_xlfn.XLOOKUP(Table1[[#This Row],[OverTime]],Table16[OverTime],Table16[Id_OverTime])</f>
        <v>OT001</v>
      </c>
      <c r="AK135" t="s">
        <v>32</v>
      </c>
      <c r="AL135">
        <v>13</v>
      </c>
      <c r="AM135" t="str">
        <f>_xlfn.XLOOKUP(Table1[[#This Row],[PerformanceRating]],Table17[PerformanceRating],Table17[Id_PerformanceRating])</f>
        <v>PR003</v>
      </c>
      <c r="AN135">
        <v>3</v>
      </c>
      <c r="AO135" t="str">
        <f>_xlfn.XLOOKUP(Table1[[#This Row],[PerformanceRating]],Table17[PerformanceRating],Table17[Deskripsi])</f>
        <v>Excellent</v>
      </c>
      <c r="AP135" t="str">
        <f>_xlfn.XLOOKUP(Table1[[#This Row],[RelationshipSatisfaction]],Table18[RelationshipSatisfaction],Table18[Id_RelationshipSatisfaction])</f>
        <v>RS003</v>
      </c>
      <c r="AQ135">
        <v>3</v>
      </c>
      <c r="AR135" t="str">
        <f>_xlfn.XLOOKUP(Table1[[#This Row],[RelationshipSatisfaction]],Table18[RelationshipSatisfaction],Table18[Deskripsi])</f>
        <v>High</v>
      </c>
      <c r="AS135" t="str">
        <f>_xlfn.XLOOKUP(Table1[[#This Row],[StockOptionLevel]],Table19[StockOptionLevel],Table19[Id_StockOptionLevel])</f>
        <v>SOL002</v>
      </c>
      <c r="AT135">
        <v>1</v>
      </c>
      <c r="AU135" t="str">
        <f>_xlfn.XLOOKUP(Table1[[#This Row],[StockOptionLevel]],Table19[StockOptionLevel],Table19[Deskripsi])</f>
        <v>Standard</v>
      </c>
      <c r="AV135">
        <v>12</v>
      </c>
      <c r="AW135">
        <v>2</v>
      </c>
      <c r="AX135" t="str">
        <f>_xlfn.XLOOKUP(Table1[[#This Row],[WorkLifeBalance]],Table20[WorkLifeBalance],Table20[Id_WorkLifeBalance])</f>
        <v>WLB002</v>
      </c>
      <c r="AY135">
        <v>3</v>
      </c>
      <c r="AZ135" t="str">
        <f>_xlfn.XLOOKUP(Table1[[#This Row],[WorkLifeBalance]],Table20[WorkLifeBalance],Table20[Deskripsi])</f>
        <v>Good</v>
      </c>
      <c r="BA135">
        <v>9</v>
      </c>
      <c r="BB135">
        <v>7</v>
      </c>
      <c r="BC135">
        <v>0</v>
      </c>
      <c r="BD135">
        <v>7</v>
      </c>
    </row>
    <row r="136" spans="1:56" x14ac:dyDescent="0.25">
      <c r="A136">
        <v>26</v>
      </c>
      <c r="B136" t="str">
        <f>_xlfn.XLOOKUP(Table1[[#This Row],[Attrition]],Table2[Attrition],Table2[Id_Attrition])</f>
        <v>A002</v>
      </c>
      <c r="C136" t="s">
        <v>33</v>
      </c>
      <c r="D136" t="str">
        <f>_xlfn.XLOOKUP(Table1[[#This Row],[BusinessTravel]],Table5[BusinessTravel],Table5[Id_BusinessTravel])</f>
        <v>BS001</v>
      </c>
      <c r="E136" t="s">
        <v>34</v>
      </c>
      <c r="F136">
        <v>1355</v>
      </c>
      <c r="G136" t="str">
        <f>_xlfn.XLOOKUP(Table1[[#This Row],[Department]],Table6[Department],Table6[Id_Departement])</f>
        <v>D003</v>
      </c>
      <c r="H136" t="s">
        <v>39</v>
      </c>
      <c r="I136">
        <v>25</v>
      </c>
      <c r="J136" t="str">
        <f>_xlfn.XLOOKUP(Table1[[#This Row],[Education]],Table8[Education],Table8[Id_Education])</f>
        <v>E001</v>
      </c>
      <c r="K136">
        <v>1</v>
      </c>
      <c r="L136" t="str">
        <f>_xlfn.XLOOKUP(Table1[[#This Row],[EducationField]],Table7[EducationField],Table7[Id_EducationField])</f>
        <v>EF001</v>
      </c>
      <c r="M136" t="s">
        <v>40</v>
      </c>
      <c r="N136" t="str">
        <f>_xlfn.XLOOKUP(Table1[[#This Row],[EmployeeNumber]],Table4[EmployeeNumber],Table4[Id_Employee])</f>
        <v>EMP00135</v>
      </c>
      <c r="O136">
        <v>177</v>
      </c>
      <c r="P136" t="str">
        <f>_xlfn.XLOOKUP(Table1[[#This Row],[EnvironmentSatisfaction]],Table9[EnvironmentSatisfaction],Table9[Id_EnviromentSatisfaction])</f>
        <v>ES003</v>
      </c>
      <c r="Q136">
        <v>3</v>
      </c>
      <c r="R136" t="str">
        <f>_xlfn.XLOOKUP(Table1[[#This Row],[EnvironmentSatisfaction]],Table9[EnvironmentSatisfaction],Table9[Deskripsi])</f>
        <v>High</v>
      </c>
      <c r="S136" t="str">
        <f>_xlfn.XLOOKUP(Table1[[#This Row],[Gender]],Table10[Gender],Table10[Id_Gender])</f>
        <v>G001</v>
      </c>
      <c r="T136" t="s">
        <v>45</v>
      </c>
      <c r="U136">
        <v>61</v>
      </c>
      <c r="V136" t="str">
        <f>_xlfn.XLOOKUP(Table1[[#This Row],[JobInvolvement]],Table11[JobInvolvement],Table11[Id_JobInvolvement])</f>
        <v>JI003</v>
      </c>
      <c r="W136">
        <v>3</v>
      </c>
      <c r="X136" t="str">
        <f>_xlfn.XLOOKUP(Table1[[#This Row],[JobLevel]],Table12[JobLevel],Table12[Id_JobLevel])</f>
        <v>JL001</v>
      </c>
      <c r="Y136">
        <v>1</v>
      </c>
      <c r="Z136" t="str">
        <f>_xlfn.XLOOKUP(Table1[[#This Row],[JobRole]],Table13[JobRole],Table13[Id_JobRole])</f>
        <v>JR009</v>
      </c>
      <c r="AA136" t="s">
        <v>39</v>
      </c>
      <c r="AB136" t="str">
        <f>_xlfn.XLOOKUP(Table1[[#This Row],[JobSatisfaction]],Table14[JobSatisfaction],Table14[Id_JobSatisfaction])</f>
        <v>JS003</v>
      </c>
      <c r="AC136">
        <v>3</v>
      </c>
      <c r="AD136" t="str">
        <f>_xlfn.XLOOKUP(Table1[[#This Row],[JobSatisfaction]],Table14[JobSatisfaction],Table14[Deskripsi])</f>
        <v>High</v>
      </c>
      <c r="AE136" t="str">
        <f>_xlfn.XLOOKUP(Table1[[#This Row],[MaritalStatus]],Table15[MaritalStatus],Table15[Id_MaritalStatus])</f>
        <v>MS002</v>
      </c>
      <c r="AF136" t="s">
        <v>56</v>
      </c>
      <c r="AG136">
        <v>2942</v>
      </c>
      <c r="AH136">
        <v>8916</v>
      </c>
      <c r="AI136">
        <v>1</v>
      </c>
      <c r="AJ136" t="str">
        <f>_xlfn.XLOOKUP(Table1[[#This Row],[OverTime]],Table16[OverTime],Table16[Id_OverTime])</f>
        <v>OT002</v>
      </c>
      <c r="AK136" t="s">
        <v>33</v>
      </c>
      <c r="AL136">
        <v>23</v>
      </c>
      <c r="AM136" t="str">
        <f>_xlfn.XLOOKUP(Table1[[#This Row],[PerformanceRating]],Table17[PerformanceRating],Table17[Id_PerformanceRating])</f>
        <v>PR004</v>
      </c>
      <c r="AN136">
        <v>4</v>
      </c>
      <c r="AO136" t="str">
        <f>_xlfn.XLOOKUP(Table1[[#This Row],[PerformanceRating]],Table17[PerformanceRating],Table17[Deskripsi])</f>
        <v>Outstanding</v>
      </c>
      <c r="AP136" t="str">
        <f>_xlfn.XLOOKUP(Table1[[#This Row],[RelationshipSatisfaction]],Table18[RelationshipSatisfaction],Table18[Id_RelationshipSatisfaction])</f>
        <v>RS004</v>
      </c>
      <c r="AQ136">
        <v>4</v>
      </c>
      <c r="AR136" t="str">
        <f>_xlfn.XLOOKUP(Table1[[#This Row],[RelationshipSatisfaction]],Table18[RelationshipSatisfaction],Table18[Deskripsi])</f>
        <v>Very High</v>
      </c>
      <c r="AS136" t="str">
        <f>_xlfn.XLOOKUP(Table1[[#This Row],[StockOptionLevel]],Table19[StockOptionLevel],Table19[Id_StockOptionLevel])</f>
        <v>SOL002</v>
      </c>
      <c r="AT136">
        <v>1</v>
      </c>
      <c r="AU136" t="str">
        <f>_xlfn.XLOOKUP(Table1[[#This Row],[StockOptionLevel]],Table19[StockOptionLevel],Table19[Deskripsi])</f>
        <v>Standard</v>
      </c>
      <c r="AV136">
        <v>8</v>
      </c>
      <c r="AW136">
        <v>3</v>
      </c>
      <c r="AX136" t="str">
        <f>_xlfn.XLOOKUP(Table1[[#This Row],[WorkLifeBalance]],Table20[WorkLifeBalance],Table20[Id_WorkLifeBalance])</f>
        <v>WLB002</v>
      </c>
      <c r="AY136">
        <v>3</v>
      </c>
      <c r="AZ136" t="str">
        <f>_xlfn.XLOOKUP(Table1[[#This Row],[WorkLifeBalance]],Table20[WorkLifeBalance],Table20[Deskripsi])</f>
        <v>Good</v>
      </c>
      <c r="BA136">
        <v>8</v>
      </c>
      <c r="BB136">
        <v>7</v>
      </c>
      <c r="BC136">
        <v>5</v>
      </c>
      <c r="BD136">
        <v>7</v>
      </c>
    </row>
    <row r="137" spans="1:56" x14ac:dyDescent="0.25">
      <c r="A137">
        <v>36</v>
      </c>
      <c r="B137" t="str">
        <f>_xlfn.XLOOKUP(Table1[[#This Row],[Attrition]],Table2[Attrition],Table2[Id_Attrition])</f>
        <v>A002</v>
      </c>
      <c r="C137" t="s">
        <v>33</v>
      </c>
      <c r="D137" t="str">
        <f>_xlfn.XLOOKUP(Table1[[#This Row],[BusinessTravel]],Table5[BusinessTravel],Table5[Id_BusinessTravel])</f>
        <v>BS001</v>
      </c>
      <c r="E137" t="s">
        <v>34</v>
      </c>
      <c r="F137">
        <v>216</v>
      </c>
      <c r="G137" t="str">
        <f>_xlfn.XLOOKUP(Table1[[#This Row],[Department]],Table6[Department],Table6[Id_Departement])</f>
        <v>D002</v>
      </c>
      <c r="H137" t="s">
        <v>38</v>
      </c>
      <c r="I137">
        <v>6</v>
      </c>
      <c r="J137" t="str">
        <f>_xlfn.XLOOKUP(Table1[[#This Row],[Education]],Table8[Education],Table8[Id_Education])</f>
        <v>E002</v>
      </c>
      <c r="K137">
        <v>2</v>
      </c>
      <c r="L137" t="str">
        <f>_xlfn.XLOOKUP(Table1[[#This Row],[EducationField]],Table7[EducationField],Table7[Id_EducationField])</f>
        <v>EF003</v>
      </c>
      <c r="M137" t="s">
        <v>42</v>
      </c>
      <c r="N137" t="str">
        <f>_xlfn.XLOOKUP(Table1[[#This Row],[EmployeeNumber]],Table4[EmployeeNumber],Table4[Id_Employee])</f>
        <v>EMP00136</v>
      </c>
      <c r="O137">
        <v>178</v>
      </c>
      <c r="P137" t="str">
        <f>_xlfn.XLOOKUP(Table1[[#This Row],[EnvironmentSatisfaction]],Table9[EnvironmentSatisfaction],Table9[Id_EnviromentSatisfaction])</f>
        <v>ES002</v>
      </c>
      <c r="Q137">
        <v>2</v>
      </c>
      <c r="R137" t="str">
        <f>_xlfn.XLOOKUP(Table1[[#This Row],[EnvironmentSatisfaction]],Table9[EnvironmentSatisfaction],Table9[Deskripsi])</f>
        <v>Medium</v>
      </c>
      <c r="S137" t="str">
        <f>_xlfn.XLOOKUP(Table1[[#This Row],[Gender]],Table10[Gender],Table10[Id_Gender])</f>
        <v>G002</v>
      </c>
      <c r="T137" t="s">
        <v>46</v>
      </c>
      <c r="U137">
        <v>84</v>
      </c>
      <c r="V137" t="str">
        <f>_xlfn.XLOOKUP(Table1[[#This Row],[JobInvolvement]],Table11[JobInvolvement],Table11[Id_JobInvolvement])</f>
        <v>JI003</v>
      </c>
      <c r="W137">
        <v>3</v>
      </c>
      <c r="X137" t="str">
        <f>_xlfn.XLOOKUP(Table1[[#This Row],[JobLevel]],Table12[JobLevel],Table12[Id_JobLevel])</f>
        <v>JL002</v>
      </c>
      <c r="Y137">
        <v>2</v>
      </c>
      <c r="Z137" t="str">
        <f>_xlfn.XLOOKUP(Table1[[#This Row],[JobRole]],Table13[JobRole],Table13[Id_JobRole])</f>
        <v>JR004</v>
      </c>
      <c r="AA137" t="s">
        <v>50</v>
      </c>
      <c r="AB137" t="str">
        <f>_xlfn.XLOOKUP(Table1[[#This Row],[JobSatisfaction]],Table14[JobSatisfaction],Table14[Id_JobSatisfaction])</f>
        <v>JS002</v>
      </c>
      <c r="AC137">
        <v>2</v>
      </c>
      <c r="AD137" t="str">
        <f>_xlfn.XLOOKUP(Table1[[#This Row],[JobSatisfaction]],Table14[JobSatisfaction],Table14[Deskripsi])</f>
        <v>Medium</v>
      </c>
      <c r="AE137" t="str">
        <f>_xlfn.XLOOKUP(Table1[[#This Row],[MaritalStatus]],Table15[MaritalStatus],Table15[Id_MaritalStatus])</f>
        <v>MS003</v>
      </c>
      <c r="AF137" t="s">
        <v>57</v>
      </c>
      <c r="AG137">
        <v>4941</v>
      </c>
      <c r="AH137">
        <v>2819</v>
      </c>
      <c r="AI137">
        <v>6</v>
      </c>
      <c r="AJ137" t="str">
        <f>_xlfn.XLOOKUP(Table1[[#This Row],[OverTime]],Table16[OverTime],Table16[Id_OverTime])</f>
        <v>OT002</v>
      </c>
      <c r="AK137" t="s">
        <v>33</v>
      </c>
      <c r="AL137">
        <v>20</v>
      </c>
      <c r="AM137" t="str">
        <f>_xlfn.XLOOKUP(Table1[[#This Row],[PerformanceRating]],Table17[PerformanceRating],Table17[Id_PerformanceRating])</f>
        <v>PR004</v>
      </c>
      <c r="AN137">
        <v>4</v>
      </c>
      <c r="AO137" t="str">
        <f>_xlfn.XLOOKUP(Table1[[#This Row],[PerformanceRating]],Table17[PerformanceRating],Table17[Deskripsi])</f>
        <v>Outstanding</v>
      </c>
      <c r="AP137" t="str">
        <f>_xlfn.XLOOKUP(Table1[[#This Row],[RelationshipSatisfaction]],Table18[RelationshipSatisfaction],Table18[Id_RelationshipSatisfaction])</f>
        <v>RS004</v>
      </c>
      <c r="AQ137">
        <v>4</v>
      </c>
      <c r="AR137" t="str">
        <f>_xlfn.XLOOKUP(Table1[[#This Row],[RelationshipSatisfaction]],Table18[RelationshipSatisfaction],Table18[Deskripsi])</f>
        <v>Very High</v>
      </c>
      <c r="AS137" t="str">
        <f>_xlfn.XLOOKUP(Table1[[#This Row],[StockOptionLevel]],Table19[StockOptionLevel],Table19[Id_StockOptionLevel])</f>
        <v>SOL003</v>
      </c>
      <c r="AT137">
        <v>2</v>
      </c>
      <c r="AU137" t="str">
        <f>_xlfn.XLOOKUP(Table1[[#This Row],[StockOptionLevel]],Table19[StockOptionLevel],Table19[Deskripsi])</f>
        <v>Intermediate</v>
      </c>
      <c r="AV137">
        <v>7</v>
      </c>
      <c r="AW137">
        <v>0</v>
      </c>
      <c r="AX137" t="str">
        <f>_xlfn.XLOOKUP(Table1[[#This Row],[WorkLifeBalance]],Table20[WorkLifeBalance],Table20[Id_WorkLifeBalance])</f>
        <v>WLB002</v>
      </c>
      <c r="AY137">
        <v>3</v>
      </c>
      <c r="AZ137" t="str">
        <f>_xlfn.XLOOKUP(Table1[[#This Row],[WorkLifeBalance]],Table20[WorkLifeBalance],Table20[Deskripsi])</f>
        <v>Good</v>
      </c>
      <c r="BA137">
        <v>3</v>
      </c>
      <c r="BB137">
        <v>2</v>
      </c>
      <c r="BC137">
        <v>0</v>
      </c>
      <c r="BD137">
        <v>1</v>
      </c>
    </row>
    <row r="138" spans="1:56" x14ac:dyDescent="0.25">
      <c r="A138">
        <v>51</v>
      </c>
      <c r="B138" t="str">
        <f>_xlfn.XLOOKUP(Table1[[#This Row],[Attrition]],Table2[Attrition],Table2[Id_Attrition])</f>
        <v>A001</v>
      </c>
      <c r="C138" t="s">
        <v>32</v>
      </c>
      <c r="D138" t="str">
        <f>_xlfn.XLOOKUP(Table1[[#This Row],[BusinessTravel]],Table5[BusinessTravel],Table5[Id_BusinessTravel])</f>
        <v>BS002</v>
      </c>
      <c r="E138" t="s">
        <v>35</v>
      </c>
      <c r="F138">
        <v>1150</v>
      </c>
      <c r="G138" t="str">
        <f>_xlfn.XLOOKUP(Table1[[#This Row],[Department]],Table6[Department],Table6[Id_Departement])</f>
        <v>D002</v>
      </c>
      <c r="H138" t="s">
        <v>38</v>
      </c>
      <c r="I138">
        <v>8</v>
      </c>
      <c r="J138" t="str">
        <f>_xlfn.XLOOKUP(Table1[[#This Row],[Education]],Table8[Education],Table8[Id_Education])</f>
        <v>E004</v>
      </c>
      <c r="K138">
        <v>4</v>
      </c>
      <c r="L138" t="str">
        <f>_xlfn.XLOOKUP(Table1[[#This Row],[EducationField]],Table7[EducationField],Table7[Id_EducationField])</f>
        <v>EF001</v>
      </c>
      <c r="M138" t="s">
        <v>40</v>
      </c>
      <c r="N138" t="str">
        <f>_xlfn.XLOOKUP(Table1[[#This Row],[EmployeeNumber]],Table4[EmployeeNumber],Table4[Id_Employee])</f>
        <v>EMP00137</v>
      </c>
      <c r="O138">
        <v>179</v>
      </c>
      <c r="P138" t="str">
        <f>_xlfn.XLOOKUP(Table1[[#This Row],[EnvironmentSatisfaction]],Table9[EnvironmentSatisfaction],Table9[Id_EnviromentSatisfaction])</f>
        <v>ES001</v>
      </c>
      <c r="Q138">
        <v>1</v>
      </c>
      <c r="R138" t="str">
        <f>_xlfn.XLOOKUP(Table1[[#This Row],[EnvironmentSatisfaction]],Table9[EnvironmentSatisfaction],Table9[Deskripsi])</f>
        <v>Low</v>
      </c>
      <c r="S138" t="str">
        <f>_xlfn.XLOOKUP(Table1[[#This Row],[Gender]],Table10[Gender],Table10[Id_Gender])</f>
        <v>G002</v>
      </c>
      <c r="T138" t="s">
        <v>46</v>
      </c>
      <c r="U138">
        <v>53</v>
      </c>
      <c r="V138" t="str">
        <f>_xlfn.XLOOKUP(Table1[[#This Row],[JobInvolvement]],Table11[JobInvolvement],Table11[Id_JobInvolvement])</f>
        <v>JI001</v>
      </c>
      <c r="W138">
        <v>1</v>
      </c>
      <c r="X138" t="str">
        <f>_xlfn.XLOOKUP(Table1[[#This Row],[JobLevel]],Table12[JobLevel],Table12[Id_JobLevel])</f>
        <v>JL003</v>
      </c>
      <c r="Y138">
        <v>3</v>
      </c>
      <c r="Z138" t="str">
        <f>_xlfn.XLOOKUP(Table1[[#This Row],[JobRole]],Table13[JobRole],Table13[Id_JobRole])</f>
        <v>JR004</v>
      </c>
      <c r="AA138" t="s">
        <v>50</v>
      </c>
      <c r="AB138" t="str">
        <f>_xlfn.XLOOKUP(Table1[[#This Row],[JobSatisfaction]],Table14[JobSatisfaction],Table14[Id_JobSatisfaction])</f>
        <v>JS004</v>
      </c>
      <c r="AC138">
        <v>4</v>
      </c>
      <c r="AD138" t="str">
        <f>_xlfn.XLOOKUP(Table1[[#This Row],[JobSatisfaction]],Table14[JobSatisfaction],Table14[Deskripsi])</f>
        <v>Very High</v>
      </c>
      <c r="AE138" t="str">
        <f>_xlfn.XLOOKUP(Table1[[#This Row],[MaritalStatus]],Table15[MaritalStatus],Table15[Id_MaritalStatus])</f>
        <v>MS001</v>
      </c>
      <c r="AF138" t="s">
        <v>55</v>
      </c>
      <c r="AG138">
        <v>10650</v>
      </c>
      <c r="AH138">
        <v>25150</v>
      </c>
      <c r="AI138">
        <v>2</v>
      </c>
      <c r="AJ138" t="str">
        <f>_xlfn.XLOOKUP(Table1[[#This Row],[OverTime]],Table16[OverTime],Table16[Id_OverTime])</f>
        <v>OT002</v>
      </c>
      <c r="AK138" t="s">
        <v>33</v>
      </c>
      <c r="AL138">
        <v>15</v>
      </c>
      <c r="AM138" t="str">
        <f>_xlfn.XLOOKUP(Table1[[#This Row],[PerformanceRating]],Table17[PerformanceRating],Table17[Id_PerformanceRating])</f>
        <v>PR003</v>
      </c>
      <c r="AN138">
        <v>3</v>
      </c>
      <c r="AO138" t="str">
        <f>_xlfn.XLOOKUP(Table1[[#This Row],[PerformanceRating]],Table17[PerformanceRating],Table17[Deskripsi])</f>
        <v>Excellent</v>
      </c>
      <c r="AP138" t="str">
        <f>_xlfn.XLOOKUP(Table1[[#This Row],[RelationshipSatisfaction]],Table18[RelationshipSatisfaction],Table18[Id_RelationshipSatisfaction])</f>
        <v>RS004</v>
      </c>
      <c r="AQ138">
        <v>4</v>
      </c>
      <c r="AR138" t="str">
        <f>_xlfn.XLOOKUP(Table1[[#This Row],[RelationshipSatisfaction]],Table18[RelationshipSatisfaction],Table18[Deskripsi])</f>
        <v>Very High</v>
      </c>
      <c r="AS138" t="str">
        <f>_xlfn.XLOOKUP(Table1[[#This Row],[StockOptionLevel]],Table19[StockOptionLevel],Table19[Id_StockOptionLevel])</f>
        <v>SOL001</v>
      </c>
      <c r="AT138">
        <v>0</v>
      </c>
      <c r="AU138" t="str">
        <f>_xlfn.XLOOKUP(Table1[[#This Row],[StockOptionLevel]],Table19[StockOptionLevel],Table19[Deskripsi])</f>
        <v>Non-Eligible</v>
      </c>
      <c r="AV138">
        <v>18</v>
      </c>
      <c r="AW138">
        <v>2</v>
      </c>
      <c r="AX138" t="str">
        <f>_xlfn.XLOOKUP(Table1[[#This Row],[WorkLifeBalance]],Table20[WorkLifeBalance],Table20[Id_WorkLifeBalance])</f>
        <v>WLB002</v>
      </c>
      <c r="AY138">
        <v>3</v>
      </c>
      <c r="AZ138" t="str">
        <f>_xlfn.XLOOKUP(Table1[[#This Row],[WorkLifeBalance]],Table20[WorkLifeBalance],Table20[Deskripsi])</f>
        <v>Good</v>
      </c>
      <c r="BA138">
        <v>4</v>
      </c>
      <c r="BB138">
        <v>2</v>
      </c>
      <c r="BC138">
        <v>0</v>
      </c>
      <c r="BD138">
        <v>3</v>
      </c>
    </row>
    <row r="139" spans="1:56" x14ac:dyDescent="0.25">
      <c r="A139">
        <v>39</v>
      </c>
      <c r="B139" t="str">
        <f>_xlfn.XLOOKUP(Table1[[#This Row],[Attrition]],Table2[Attrition],Table2[Id_Attrition])</f>
        <v>A002</v>
      </c>
      <c r="C139" t="s">
        <v>33</v>
      </c>
      <c r="D139" t="str">
        <f>_xlfn.XLOOKUP(Table1[[#This Row],[BusinessTravel]],Table5[BusinessTravel],Table5[Id_BusinessTravel])</f>
        <v>BS001</v>
      </c>
      <c r="E139" t="s">
        <v>34</v>
      </c>
      <c r="F139">
        <v>1329</v>
      </c>
      <c r="G139" t="str">
        <f>_xlfn.XLOOKUP(Table1[[#This Row],[Department]],Table6[Department],Table6[Id_Departement])</f>
        <v>D001</v>
      </c>
      <c r="H139" t="s">
        <v>37</v>
      </c>
      <c r="I139">
        <v>4</v>
      </c>
      <c r="J139" t="str">
        <f>_xlfn.XLOOKUP(Table1[[#This Row],[Education]],Table8[Education],Table8[Id_Education])</f>
        <v>E004</v>
      </c>
      <c r="K139">
        <v>4</v>
      </c>
      <c r="L139" t="str">
        <f>_xlfn.XLOOKUP(Table1[[#This Row],[EducationField]],Table7[EducationField],Table7[Id_EducationField])</f>
        <v>EF001</v>
      </c>
      <c r="M139" t="s">
        <v>40</v>
      </c>
      <c r="N139" t="str">
        <f>_xlfn.XLOOKUP(Table1[[#This Row],[EmployeeNumber]],Table4[EmployeeNumber],Table4[Id_Employee])</f>
        <v>EMP00138</v>
      </c>
      <c r="O139">
        <v>182</v>
      </c>
      <c r="P139" t="str">
        <f>_xlfn.XLOOKUP(Table1[[#This Row],[EnvironmentSatisfaction]],Table9[EnvironmentSatisfaction],Table9[Id_EnviromentSatisfaction])</f>
        <v>ES004</v>
      </c>
      <c r="Q139">
        <v>4</v>
      </c>
      <c r="R139" t="str">
        <f>_xlfn.XLOOKUP(Table1[[#This Row],[EnvironmentSatisfaction]],Table9[EnvironmentSatisfaction],Table9[Deskripsi])</f>
        <v>Very High</v>
      </c>
      <c r="S139" t="str">
        <f>_xlfn.XLOOKUP(Table1[[#This Row],[Gender]],Table10[Gender],Table10[Id_Gender])</f>
        <v>G001</v>
      </c>
      <c r="T139" t="s">
        <v>45</v>
      </c>
      <c r="U139">
        <v>47</v>
      </c>
      <c r="V139" t="str">
        <f>_xlfn.XLOOKUP(Table1[[#This Row],[JobInvolvement]],Table11[JobInvolvement],Table11[Id_JobInvolvement])</f>
        <v>JI002</v>
      </c>
      <c r="W139">
        <v>2</v>
      </c>
      <c r="X139" t="str">
        <f>_xlfn.XLOOKUP(Table1[[#This Row],[JobLevel]],Table12[JobLevel],Table12[Id_JobLevel])</f>
        <v>JL002</v>
      </c>
      <c r="Y139">
        <v>2</v>
      </c>
      <c r="Z139" t="str">
        <f>_xlfn.XLOOKUP(Table1[[#This Row],[JobRole]],Table13[JobRole],Table13[Id_JobRole])</f>
        <v>JR001</v>
      </c>
      <c r="AA139" t="s">
        <v>47</v>
      </c>
      <c r="AB139" t="str">
        <f>_xlfn.XLOOKUP(Table1[[#This Row],[JobSatisfaction]],Table14[JobSatisfaction],Table14[Id_JobSatisfaction])</f>
        <v>JS003</v>
      </c>
      <c r="AC139">
        <v>3</v>
      </c>
      <c r="AD139" t="str">
        <f>_xlfn.XLOOKUP(Table1[[#This Row],[JobSatisfaction]],Table14[JobSatisfaction],Table14[Deskripsi])</f>
        <v>High</v>
      </c>
      <c r="AE139" t="str">
        <f>_xlfn.XLOOKUP(Table1[[#This Row],[MaritalStatus]],Table15[MaritalStatus],Table15[Id_MaritalStatus])</f>
        <v>MS002</v>
      </c>
      <c r="AF139" t="s">
        <v>56</v>
      </c>
      <c r="AG139">
        <v>5902</v>
      </c>
      <c r="AH139">
        <v>14590</v>
      </c>
      <c r="AI139">
        <v>4</v>
      </c>
      <c r="AJ139" t="str">
        <f>_xlfn.XLOOKUP(Table1[[#This Row],[OverTime]],Table16[OverTime],Table16[Id_OverTime])</f>
        <v>OT002</v>
      </c>
      <c r="AK139" t="s">
        <v>33</v>
      </c>
      <c r="AL139">
        <v>14</v>
      </c>
      <c r="AM139" t="str">
        <f>_xlfn.XLOOKUP(Table1[[#This Row],[PerformanceRating]],Table17[PerformanceRating],Table17[Id_PerformanceRating])</f>
        <v>PR003</v>
      </c>
      <c r="AN139">
        <v>3</v>
      </c>
      <c r="AO139" t="str">
        <f>_xlfn.XLOOKUP(Table1[[#This Row],[PerformanceRating]],Table17[PerformanceRating],Table17[Deskripsi])</f>
        <v>Excellent</v>
      </c>
      <c r="AP139" t="str">
        <f>_xlfn.XLOOKUP(Table1[[#This Row],[RelationshipSatisfaction]],Table18[RelationshipSatisfaction],Table18[Id_RelationshipSatisfaction])</f>
        <v>RS003</v>
      </c>
      <c r="AQ139">
        <v>3</v>
      </c>
      <c r="AR139" t="str">
        <f>_xlfn.XLOOKUP(Table1[[#This Row],[RelationshipSatisfaction]],Table18[RelationshipSatisfaction],Table18[Deskripsi])</f>
        <v>High</v>
      </c>
      <c r="AS139" t="str">
        <f>_xlfn.XLOOKUP(Table1[[#This Row],[StockOptionLevel]],Table19[StockOptionLevel],Table19[Id_StockOptionLevel])</f>
        <v>SOL002</v>
      </c>
      <c r="AT139">
        <v>1</v>
      </c>
      <c r="AU139" t="str">
        <f>_xlfn.XLOOKUP(Table1[[#This Row],[StockOptionLevel]],Table19[StockOptionLevel],Table19[Deskripsi])</f>
        <v>Standard</v>
      </c>
      <c r="AV139">
        <v>17</v>
      </c>
      <c r="AW139">
        <v>1</v>
      </c>
      <c r="AX139" t="str">
        <f>_xlfn.XLOOKUP(Table1[[#This Row],[WorkLifeBalance]],Table20[WorkLifeBalance],Table20[Id_WorkLifeBalance])</f>
        <v>WLB004</v>
      </c>
      <c r="AY139">
        <v>4</v>
      </c>
      <c r="AZ139" t="str">
        <f>_xlfn.XLOOKUP(Table1[[#This Row],[WorkLifeBalance]],Table20[WorkLifeBalance],Table20[Deskripsi])</f>
        <v>Best</v>
      </c>
      <c r="BA139">
        <v>15</v>
      </c>
      <c r="BB139">
        <v>11</v>
      </c>
      <c r="BC139">
        <v>5</v>
      </c>
      <c r="BD139">
        <v>9</v>
      </c>
    </row>
    <row r="140" spans="1:56" x14ac:dyDescent="0.25">
      <c r="A140">
        <v>25</v>
      </c>
      <c r="B140" t="str">
        <f>_xlfn.XLOOKUP(Table1[[#This Row],[Attrition]],Table2[Attrition],Table2[Id_Attrition])</f>
        <v>A002</v>
      </c>
      <c r="C140" t="s">
        <v>33</v>
      </c>
      <c r="D140" t="str">
        <f>_xlfn.XLOOKUP(Table1[[#This Row],[BusinessTravel]],Table5[BusinessTravel],Table5[Id_BusinessTravel])</f>
        <v>BS001</v>
      </c>
      <c r="E140" t="s">
        <v>34</v>
      </c>
      <c r="F140">
        <v>959</v>
      </c>
      <c r="G140" t="str">
        <f>_xlfn.XLOOKUP(Table1[[#This Row],[Department]],Table6[Department],Table6[Id_Departement])</f>
        <v>D001</v>
      </c>
      <c r="H140" t="s">
        <v>37</v>
      </c>
      <c r="I140">
        <v>28</v>
      </c>
      <c r="J140" t="str">
        <f>_xlfn.XLOOKUP(Table1[[#This Row],[Education]],Table8[Education],Table8[Id_Education])</f>
        <v>E003</v>
      </c>
      <c r="K140">
        <v>3</v>
      </c>
      <c r="L140" t="str">
        <f>_xlfn.XLOOKUP(Table1[[#This Row],[EducationField]],Table7[EducationField],Table7[Id_EducationField])</f>
        <v>EF001</v>
      </c>
      <c r="M140" t="s">
        <v>40</v>
      </c>
      <c r="N140" t="str">
        <f>_xlfn.XLOOKUP(Table1[[#This Row],[EmployeeNumber]],Table4[EmployeeNumber],Table4[Id_Employee])</f>
        <v>EMP00139</v>
      </c>
      <c r="O140">
        <v>183</v>
      </c>
      <c r="P140" t="str">
        <f>_xlfn.XLOOKUP(Table1[[#This Row],[EnvironmentSatisfaction]],Table9[EnvironmentSatisfaction],Table9[Id_EnviromentSatisfaction])</f>
        <v>ES001</v>
      </c>
      <c r="Q140">
        <v>1</v>
      </c>
      <c r="R140" t="str">
        <f>_xlfn.XLOOKUP(Table1[[#This Row],[EnvironmentSatisfaction]],Table9[EnvironmentSatisfaction],Table9[Deskripsi])</f>
        <v>Low</v>
      </c>
      <c r="S140" t="str">
        <f>_xlfn.XLOOKUP(Table1[[#This Row],[Gender]],Table10[Gender],Table10[Id_Gender])</f>
        <v>G002</v>
      </c>
      <c r="T140" t="s">
        <v>46</v>
      </c>
      <c r="U140">
        <v>41</v>
      </c>
      <c r="V140" t="str">
        <f>_xlfn.XLOOKUP(Table1[[#This Row],[JobInvolvement]],Table11[JobInvolvement],Table11[Id_JobInvolvement])</f>
        <v>JI002</v>
      </c>
      <c r="W140">
        <v>2</v>
      </c>
      <c r="X140" t="str">
        <f>_xlfn.XLOOKUP(Table1[[#This Row],[JobLevel]],Table12[JobLevel],Table12[Id_JobLevel])</f>
        <v>JL002</v>
      </c>
      <c r="Y140">
        <v>2</v>
      </c>
      <c r="Z140" t="str">
        <f>_xlfn.XLOOKUP(Table1[[#This Row],[JobRole]],Table13[JobRole],Table13[Id_JobRole])</f>
        <v>JR001</v>
      </c>
      <c r="AA140" t="s">
        <v>47</v>
      </c>
      <c r="AB140" t="str">
        <f>_xlfn.XLOOKUP(Table1[[#This Row],[JobSatisfaction]],Table14[JobSatisfaction],Table14[Id_JobSatisfaction])</f>
        <v>JS003</v>
      </c>
      <c r="AC140">
        <v>3</v>
      </c>
      <c r="AD140" t="str">
        <f>_xlfn.XLOOKUP(Table1[[#This Row],[JobSatisfaction]],Table14[JobSatisfaction],Table14[Deskripsi])</f>
        <v>High</v>
      </c>
      <c r="AE140" t="str">
        <f>_xlfn.XLOOKUP(Table1[[#This Row],[MaritalStatus]],Table15[MaritalStatus],Table15[Id_MaritalStatus])</f>
        <v>MS002</v>
      </c>
      <c r="AF140" t="s">
        <v>56</v>
      </c>
      <c r="AG140">
        <v>8639</v>
      </c>
      <c r="AH140">
        <v>24835</v>
      </c>
      <c r="AI140">
        <v>2</v>
      </c>
      <c r="AJ140" t="str">
        <f>_xlfn.XLOOKUP(Table1[[#This Row],[OverTime]],Table16[OverTime],Table16[Id_OverTime])</f>
        <v>OT002</v>
      </c>
      <c r="AK140" t="s">
        <v>33</v>
      </c>
      <c r="AL140">
        <v>18</v>
      </c>
      <c r="AM140" t="str">
        <f>_xlfn.XLOOKUP(Table1[[#This Row],[PerformanceRating]],Table17[PerformanceRating],Table17[Id_PerformanceRating])</f>
        <v>PR003</v>
      </c>
      <c r="AN140">
        <v>3</v>
      </c>
      <c r="AO140" t="str">
        <f>_xlfn.XLOOKUP(Table1[[#This Row],[PerformanceRating]],Table17[PerformanceRating],Table17[Deskripsi])</f>
        <v>Excellent</v>
      </c>
      <c r="AP140" t="str">
        <f>_xlfn.XLOOKUP(Table1[[#This Row],[RelationshipSatisfaction]],Table18[RelationshipSatisfaction],Table18[Id_RelationshipSatisfaction])</f>
        <v>RS004</v>
      </c>
      <c r="AQ140">
        <v>4</v>
      </c>
      <c r="AR140" t="str">
        <f>_xlfn.XLOOKUP(Table1[[#This Row],[RelationshipSatisfaction]],Table18[RelationshipSatisfaction],Table18[Deskripsi])</f>
        <v>Very High</v>
      </c>
      <c r="AS140" t="str">
        <f>_xlfn.XLOOKUP(Table1[[#This Row],[StockOptionLevel]],Table19[StockOptionLevel],Table19[Id_StockOptionLevel])</f>
        <v>SOL001</v>
      </c>
      <c r="AT140">
        <v>0</v>
      </c>
      <c r="AU140" t="str">
        <f>_xlfn.XLOOKUP(Table1[[#This Row],[StockOptionLevel]],Table19[StockOptionLevel],Table19[Deskripsi])</f>
        <v>Non-Eligible</v>
      </c>
      <c r="AV140">
        <v>6</v>
      </c>
      <c r="AW140">
        <v>3</v>
      </c>
      <c r="AX140" t="str">
        <f>_xlfn.XLOOKUP(Table1[[#This Row],[WorkLifeBalance]],Table20[WorkLifeBalance],Table20[Id_WorkLifeBalance])</f>
        <v>WLB002</v>
      </c>
      <c r="AY140">
        <v>3</v>
      </c>
      <c r="AZ140" t="str">
        <f>_xlfn.XLOOKUP(Table1[[#This Row],[WorkLifeBalance]],Table20[WorkLifeBalance],Table20[Deskripsi])</f>
        <v>Good</v>
      </c>
      <c r="BA140">
        <v>2</v>
      </c>
      <c r="BB140">
        <v>2</v>
      </c>
      <c r="BC140">
        <v>2</v>
      </c>
      <c r="BD140">
        <v>2</v>
      </c>
    </row>
    <row r="141" spans="1:56" x14ac:dyDescent="0.25">
      <c r="A141">
        <v>30</v>
      </c>
      <c r="B141" t="str">
        <f>_xlfn.XLOOKUP(Table1[[#This Row],[Attrition]],Table2[Attrition],Table2[Id_Attrition])</f>
        <v>A002</v>
      </c>
      <c r="C141" t="s">
        <v>33</v>
      </c>
      <c r="D141" t="str">
        <f>_xlfn.XLOOKUP(Table1[[#This Row],[BusinessTravel]],Table5[BusinessTravel],Table5[Id_BusinessTravel])</f>
        <v>BS001</v>
      </c>
      <c r="E141" t="s">
        <v>34</v>
      </c>
      <c r="F141">
        <v>1240</v>
      </c>
      <c r="G141" t="str">
        <f>_xlfn.XLOOKUP(Table1[[#This Row],[Department]],Table6[Department],Table6[Id_Departement])</f>
        <v>D003</v>
      </c>
      <c r="H141" t="s">
        <v>39</v>
      </c>
      <c r="I141">
        <v>9</v>
      </c>
      <c r="J141" t="str">
        <f>_xlfn.XLOOKUP(Table1[[#This Row],[Education]],Table8[Education],Table8[Id_Education])</f>
        <v>E003</v>
      </c>
      <c r="K141">
        <v>3</v>
      </c>
      <c r="L141" t="str">
        <f>_xlfn.XLOOKUP(Table1[[#This Row],[EducationField]],Table7[EducationField],Table7[Id_EducationField])</f>
        <v>EF006</v>
      </c>
      <c r="M141" t="s">
        <v>39</v>
      </c>
      <c r="N141" t="str">
        <f>_xlfn.XLOOKUP(Table1[[#This Row],[EmployeeNumber]],Table4[EmployeeNumber],Table4[Id_Employee])</f>
        <v>EMP00140</v>
      </c>
      <c r="O141">
        <v>184</v>
      </c>
      <c r="P141" t="str">
        <f>_xlfn.XLOOKUP(Table1[[#This Row],[EnvironmentSatisfaction]],Table9[EnvironmentSatisfaction],Table9[Id_EnviromentSatisfaction])</f>
        <v>ES003</v>
      </c>
      <c r="Q141">
        <v>3</v>
      </c>
      <c r="R141" t="str">
        <f>_xlfn.XLOOKUP(Table1[[#This Row],[EnvironmentSatisfaction]],Table9[EnvironmentSatisfaction],Table9[Deskripsi])</f>
        <v>High</v>
      </c>
      <c r="S141" t="str">
        <f>_xlfn.XLOOKUP(Table1[[#This Row],[Gender]],Table10[Gender],Table10[Id_Gender])</f>
        <v>G002</v>
      </c>
      <c r="T141" t="s">
        <v>46</v>
      </c>
      <c r="U141">
        <v>48</v>
      </c>
      <c r="V141" t="str">
        <f>_xlfn.XLOOKUP(Table1[[#This Row],[JobInvolvement]],Table11[JobInvolvement],Table11[Id_JobInvolvement])</f>
        <v>JI003</v>
      </c>
      <c r="W141">
        <v>3</v>
      </c>
      <c r="X141" t="str">
        <f>_xlfn.XLOOKUP(Table1[[#This Row],[JobLevel]],Table12[JobLevel],Table12[Id_JobLevel])</f>
        <v>JL002</v>
      </c>
      <c r="Y141">
        <v>2</v>
      </c>
      <c r="Z141" t="str">
        <f>_xlfn.XLOOKUP(Table1[[#This Row],[JobRole]],Table13[JobRole],Table13[Id_JobRole])</f>
        <v>JR009</v>
      </c>
      <c r="AA141" t="s">
        <v>39</v>
      </c>
      <c r="AB141" t="str">
        <f>_xlfn.XLOOKUP(Table1[[#This Row],[JobSatisfaction]],Table14[JobSatisfaction],Table14[Id_JobSatisfaction])</f>
        <v>JS004</v>
      </c>
      <c r="AC141">
        <v>4</v>
      </c>
      <c r="AD141" t="str">
        <f>_xlfn.XLOOKUP(Table1[[#This Row],[JobSatisfaction]],Table14[JobSatisfaction],Table14[Deskripsi])</f>
        <v>Very High</v>
      </c>
      <c r="AE141" t="str">
        <f>_xlfn.XLOOKUP(Table1[[#This Row],[MaritalStatus]],Table15[MaritalStatus],Table15[Id_MaritalStatus])</f>
        <v>MS002</v>
      </c>
      <c r="AF141" t="s">
        <v>56</v>
      </c>
      <c r="AG141">
        <v>6347</v>
      </c>
      <c r="AH141">
        <v>13982</v>
      </c>
      <c r="AI141">
        <v>0</v>
      </c>
      <c r="AJ141" t="str">
        <f>_xlfn.XLOOKUP(Table1[[#This Row],[OverTime]],Table16[OverTime],Table16[Id_OverTime])</f>
        <v>OT001</v>
      </c>
      <c r="AK141" t="s">
        <v>32</v>
      </c>
      <c r="AL141">
        <v>19</v>
      </c>
      <c r="AM141" t="str">
        <f>_xlfn.XLOOKUP(Table1[[#This Row],[PerformanceRating]],Table17[PerformanceRating],Table17[Id_PerformanceRating])</f>
        <v>PR003</v>
      </c>
      <c r="AN141">
        <v>3</v>
      </c>
      <c r="AO141" t="str">
        <f>_xlfn.XLOOKUP(Table1[[#This Row],[PerformanceRating]],Table17[PerformanceRating],Table17[Deskripsi])</f>
        <v>Excellent</v>
      </c>
      <c r="AP141" t="str">
        <f>_xlfn.XLOOKUP(Table1[[#This Row],[RelationshipSatisfaction]],Table18[RelationshipSatisfaction],Table18[Id_RelationshipSatisfaction])</f>
        <v>RS004</v>
      </c>
      <c r="AQ141">
        <v>4</v>
      </c>
      <c r="AR141" t="str">
        <f>_xlfn.XLOOKUP(Table1[[#This Row],[RelationshipSatisfaction]],Table18[RelationshipSatisfaction],Table18[Deskripsi])</f>
        <v>Very High</v>
      </c>
      <c r="AS141" t="str">
        <f>_xlfn.XLOOKUP(Table1[[#This Row],[StockOptionLevel]],Table19[StockOptionLevel],Table19[Id_StockOptionLevel])</f>
        <v>SOL001</v>
      </c>
      <c r="AT141">
        <v>0</v>
      </c>
      <c r="AU141" t="str">
        <f>_xlfn.XLOOKUP(Table1[[#This Row],[StockOptionLevel]],Table19[StockOptionLevel],Table19[Deskripsi])</f>
        <v>Non-Eligible</v>
      </c>
      <c r="AV141">
        <v>12</v>
      </c>
      <c r="AW141">
        <v>2</v>
      </c>
      <c r="AX141" t="str">
        <f>_xlfn.XLOOKUP(Table1[[#This Row],[WorkLifeBalance]],Table20[WorkLifeBalance],Table20[Id_WorkLifeBalance])</f>
        <v>WLB001</v>
      </c>
      <c r="AY141">
        <v>1</v>
      </c>
      <c r="AZ141" t="str">
        <f>_xlfn.XLOOKUP(Table1[[#This Row],[WorkLifeBalance]],Table20[WorkLifeBalance],Table20[Deskripsi])</f>
        <v>Bad</v>
      </c>
      <c r="BA141">
        <v>11</v>
      </c>
      <c r="BB141">
        <v>9</v>
      </c>
      <c r="BC141">
        <v>4</v>
      </c>
      <c r="BD141">
        <v>7</v>
      </c>
    </row>
    <row r="142" spans="1:56" x14ac:dyDescent="0.25">
      <c r="A142">
        <v>32</v>
      </c>
      <c r="B142" t="str">
        <f>_xlfn.XLOOKUP(Table1[[#This Row],[Attrition]],Table2[Attrition],Table2[Id_Attrition])</f>
        <v>A001</v>
      </c>
      <c r="C142" t="s">
        <v>32</v>
      </c>
      <c r="D142" t="str">
        <f>_xlfn.XLOOKUP(Table1[[#This Row],[BusinessTravel]],Table5[BusinessTravel],Table5[Id_BusinessTravel])</f>
        <v>BS001</v>
      </c>
      <c r="E142" t="s">
        <v>34</v>
      </c>
      <c r="F142">
        <v>1033</v>
      </c>
      <c r="G142" t="str">
        <f>_xlfn.XLOOKUP(Table1[[#This Row],[Department]],Table6[Department],Table6[Id_Departement])</f>
        <v>D002</v>
      </c>
      <c r="H142" t="s">
        <v>38</v>
      </c>
      <c r="I142">
        <v>9</v>
      </c>
      <c r="J142" t="str">
        <f>_xlfn.XLOOKUP(Table1[[#This Row],[Education]],Table8[Education],Table8[Id_Education])</f>
        <v>E003</v>
      </c>
      <c r="K142">
        <v>3</v>
      </c>
      <c r="L142" t="str">
        <f>_xlfn.XLOOKUP(Table1[[#This Row],[EducationField]],Table7[EducationField],Table7[Id_EducationField])</f>
        <v>EF003</v>
      </c>
      <c r="M142" t="s">
        <v>42</v>
      </c>
      <c r="N142" t="str">
        <f>_xlfn.XLOOKUP(Table1[[#This Row],[EmployeeNumber]],Table4[EmployeeNumber],Table4[Id_Employee])</f>
        <v>EMP00141</v>
      </c>
      <c r="O142">
        <v>190</v>
      </c>
      <c r="P142" t="str">
        <f>_xlfn.XLOOKUP(Table1[[#This Row],[EnvironmentSatisfaction]],Table9[EnvironmentSatisfaction],Table9[Id_EnviromentSatisfaction])</f>
        <v>ES001</v>
      </c>
      <c r="Q142">
        <v>1</v>
      </c>
      <c r="R142" t="str">
        <f>_xlfn.XLOOKUP(Table1[[#This Row],[EnvironmentSatisfaction]],Table9[EnvironmentSatisfaction],Table9[Deskripsi])</f>
        <v>Low</v>
      </c>
      <c r="S142" t="str">
        <f>_xlfn.XLOOKUP(Table1[[#This Row],[Gender]],Table10[Gender],Table10[Id_Gender])</f>
        <v>G001</v>
      </c>
      <c r="T142" t="s">
        <v>45</v>
      </c>
      <c r="U142">
        <v>41</v>
      </c>
      <c r="V142" t="str">
        <f>_xlfn.XLOOKUP(Table1[[#This Row],[JobInvolvement]],Table11[JobInvolvement],Table11[Id_JobInvolvement])</f>
        <v>JI003</v>
      </c>
      <c r="W142">
        <v>3</v>
      </c>
      <c r="X142" t="str">
        <f>_xlfn.XLOOKUP(Table1[[#This Row],[JobLevel]],Table12[JobLevel],Table12[Id_JobLevel])</f>
        <v>JL001</v>
      </c>
      <c r="Y142">
        <v>1</v>
      </c>
      <c r="Z142" t="str">
        <f>_xlfn.XLOOKUP(Table1[[#This Row],[JobRole]],Table13[JobRole],Table13[Id_JobRole])</f>
        <v>JR003</v>
      </c>
      <c r="AA142" t="s">
        <v>49</v>
      </c>
      <c r="AB142" t="str">
        <f>_xlfn.XLOOKUP(Table1[[#This Row],[JobSatisfaction]],Table14[JobSatisfaction],Table14[Id_JobSatisfaction])</f>
        <v>JS001</v>
      </c>
      <c r="AC142">
        <v>1</v>
      </c>
      <c r="AD142" t="str">
        <f>_xlfn.XLOOKUP(Table1[[#This Row],[JobSatisfaction]],Table14[JobSatisfaction],Table14[Deskripsi])</f>
        <v>Low</v>
      </c>
      <c r="AE142" t="str">
        <f>_xlfn.XLOOKUP(Table1[[#This Row],[MaritalStatus]],Table15[MaritalStatus],Table15[Id_MaritalStatus])</f>
        <v>MS001</v>
      </c>
      <c r="AF142" t="s">
        <v>55</v>
      </c>
      <c r="AG142">
        <v>4200</v>
      </c>
      <c r="AH142">
        <v>10224</v>
      </c>
      <c r="AI142">
        <v>7</v>
      </c>
      <c r="AJ142" t="str">
        <f>_xlfn.XLOOKUP(Table1[[#This Row],[OverTime]],Table16[OverTime],Table16[Id_OverTime])</f>
        <v>OT002</v>
      </c>
      <c r="AK142" t="s">
        <v>33</v>
      </c>
      <c r="AL142">
        <v>22</v>
      </c>
      <c r="AM142" t="str">
        <f>_xlfn.XLOOKUP(Table1[[#This Row],[PerformanceRating]],Table17[PerformanceRating],Table17[Id_PerformanceRating])</f>
        <v>PR004</v>
      </c>
      <c r="AN142">
        <v>4</v>
      </c>
      <c r="AO142" t="str">
        <f>_xlfn.XLOOKUP(Table1[[#This Row],[PerformanceRating]],Table17[PerformanceRating],Table17[Deskripsi])</f>
        <v>Outstanding</v>
      </c>
      <c r="AP142" t="str">
        <f>_xlfn.XLOOKUP(Table1[[#This Row],[RelationshipSatisfaction]],Table18[RelationshipSatisfaction],Table18[Id_RelationshipSatisfaction])</f>
        <v>RS001</v>
      </c>
      <c r="AQ142">
        <v>1</v>
      </c>
      <c r="AR142" t="str">
        <f>_xlfn.XLOOKUP(Table1[[#This Row],[RelationshipSatisfaction]],Table18[RelationshipSatisfaction],Table18[Deskripsi])</f>
        <v>Low</v>
      </c>
      <c r="AS142" t="str">
        <f>_xlfn.XLOOKUP(Table1[[#This Row],[StockOptionLevel]],Table19[StockOptionLevel],Table19[Id_StockOptionLevel])</f>
        <v>SOL001</v>
      </c>
      <c r="AT142">
        <v>0</v>
      </c>
      <c r="AU142" t="str">
        <f>_xlfn.XLOOKUP(Table1[[#This Row],[StockOptionLevel]],Table19[StockOptionLevel],Table19[Deskripsi])</f>
        <v>Non-Eligible</v>
      </c>
      <c r="AV142">
        <v>10</v>
      </c>
      <c r="AW142">
        <v>2</v>
      </c>
      <c r="AX142" t="str">
        <f>_xlfn.XLOOKUP(Table1[[#This Row],[WorkLifeBalance]],Table20[WorkLifeBalance],Table20[Id_WorkLifeBalance])</f>
        <v>WLB004</v>
      </c>
      <c r="AY142">
        <v>4</v>
      </c>
      <c r="AZ142" t="str">
        <f>_xlfn.XLOOKUP(Table1[[#This Row],[WorkLifeBalance]],Table20[WorkLifeBalance],Table20[Deskripsi])</f>
        <v>Best</v>
      </c>
      <c r="BA142">
        <v>5</v>
      </c>
      <c r="BB142">
        <v>4</v>
      </c>
      <c r="BC142">
        <v>0</v>
      </c>
      <c r="BD142">
        <v>4</v>
      </c>
    </row>
    <row r="143" spans="1:56" x14ac:dyDescent="0.25">
      <c r="A143">
        <v>45</v>
      </c>
      <c r="B143" t="str">
        <f>_xlfn.XLOOKUP(Table1[[#This Row],[Attrition]],Table2[Attrition],Table2[Id_Attrition])</f>
        <v>A002</v>
      </c>
      <c r="C143" t="s">
        <v>33</v>
      </c>
      <c r="D143" t="str">
        <f>_xlfn.XLOOKUP(Table1[[#This Row],[BusinessTravel]],Table5[BusinessTravel],Table5[Id_BusinessTravel])</f>
        <v>BS001</v>
      </c>
      <c r="E143" t="s">
        <v>34</v>
      </c>
      <c r="F143">
        <v>1316</v>
      </c>
      <c r="G143" t="str">
        <f>_xlfn.XLOOKUP(Table1[[#This Row],[Department]],Table6[Department],Table6[Id_Departement])</f>
        <v>D002</v>
      </c>
      <c r="H143" t="s">
        <v>38</v>
      </c>
      <c r="I143">
        <v>29</v>
      </c>
      <c r="J143" t="str">
        <f>_xlfn.XLOOKUP(Table1[[#This Row],[Education]],Table8[Education],Table8[Id_Education])</f>
        <v>E003</v>
      </c>
      <c r="K143">
        <v>3</v>
      </c>
      <c r="L143" t="str">
        <f>_xlfn.XLOOKUP(Table1[[#This Row],[EducationField]],Table7[EducationField],Table7[Id_EducationField])</f>
        <v>EF003</v>
      </c>
      <c r="M143" t="s">
        <v>42</v>
      </c>
      <c r="N143" t="str">
        <f>_xlfn.XLOOKUP(Table1[[#This Row],[EmployeeNumber]],Table4[EmployeeNumber],Table4[Id_Employee])</f>
        <v>EMP00142</v>
      </c>
      <c r="O143">
        <v>192</v>
      </c>
      <c r="P143" t="str">
        <f>_xlfn.XLOOKUP(Table1[[#This Row],[EnvironmentSatisfaction]],Table9[EnvironmentSatisfaction],Table9[Id_EnviromentSatisfaction])</f>
        <v>ES003</v>
      </c>
      <c r="Q143">
        <v>3</v>
      </c>
      <c r="R143" t="str">
        <f>_xlfn.XLOOKUP(Table1[[#This Row],[EnvironmentSatisfaction]],Table9[EnvironmentSatisfaction],Table9[Deskripsi])</f>
        <v>High</v>
      </c>
      <c r="S143" t="str">
        <f>_xlfn.XLOOKUP(Table1[[#This Row],[Gender]],Table10[Gender],Table10[Id_Gender])</f>
        <v>G002</v>
      </c>
      <c r="T143" t="s">
        <v>46</v>
      </c>
      <c r="U143">
        <v>83</v>
      </c>
      <c r="V143" t="str">
        <f>_xlfn.XLOOKUP(Table1[[#This Row],[JobInvolvement]],Table11[JobInvolvement],Table11[Id_JobInvolvement])</f>
        <v>JI003</v>
      </c>
      <c r="W143">
        <v>3</v>
      </c>
      <c r="X143" t="str">
        <f>_xlfn.XLOOKUP(Table1[[#This Row],[JobLevel]],Table12[JobLevel],Table12[Id_JobLevel])</f>
        <v>JL001</v>
      </c>
      <c r="Y143">
        <v>1</v>
      </c>
      <c r="Z143" t="str">
        <f>_xlfn.XLOOKUP(Table1[[#This Row],[JobRole]],Table13[JobRole],Table13[Id_JobRole])</f>
        <v>JR002</v>
      </c>
      <c r="AA143" t="s">
        <v>48</v>
      </c>
      <c r="AB143" t="str">
        <f>_xlfn.XLOOKUP(Table1[[#This Row],[JobSatisfaction]],Table14[JobSatisfaction],Table14[Id_JobSatisfaction])</f>
        <v>JS004</v>
      </c>
      <c r="AC143">
        <v>4</v>
      </c>
      <c r="AD143" t="str">
        <f>_xlfn.XLOOKUP(Table1[[#This Row],[JobSatisfaction]],Table14[JobSatisfaction],Table14[Deskripsi])</f>
        <v>Very High</v>
      </c>
      <c r="AE143" t="str">
        <f>_xlfn.XLOOKUP(Table1[[#This Row],[MaritalStatus]],Table15[MaritalStatus],Table15[Id_MaritalStatus])</f>
        <v>MS001</v>
      </c>
      <c r="AF143" t="s">
        <v>55</v>
      </c>
      <c r="AG143">
        <v>3452</v>
      </c>
      <c r="AH143">
        <v>9752</v>
      </c>
      <c r="AI143">
        <v>5</v>
      </c>
      <c r="AJ143" t="str">
        <f>_xlfn.XLOOKUP(Table1[[#This Row],[OverTime]],Table16[OverTime],Table16[Id_OverTime])</f>
        <v>OT002</v>
      </c>
      <c r="AK143" t="s">
        <v>33</v>
      </c>
      <c r="AL143">
        <v>13</v>
      </c>
      <c r="AM143" t="str">
        <f>_xlfn.XLOOKUP(Table1[[#This Row],[PerformanceRating]],Table17[PerformanceRating],Table17[Id_PerformanceRating])</f>
        <v>PR003</v>
      </c>
      <c r="AN143">
        <v>3</v>
      </c>
      <c r="AO143" t="str">
        <f>_xlfn.XLOOKUP(Table1[[#This Row],[PerformanceRating]],Table17[PerformanceRating],Table17[Deskripsi])</f>
        <v>Excellent</v>
      </c>
      <c r="AP143" t="str">
        <f>_xlfn.XLOOKUP(Table1[[#This Row],[RelationshipSatisfaction]],Table18[RelationshipSatisfaction],Table18[Id_RelationshipSatisfaction])</f>
        <v>RS002</v>
      </c>
      <c r="AQ143">
        <v>2</v>
      </c>
      <c r="AR143" t="str">
        <f>_xlfn.XLOOKUP(Table1[[#This Row],[RelationshipSatisfaction]],Table18[RelationshipSatisfaction],Table18[Deskripsi])</f>
        <v>Medium</v>
      </c>
      <c r="AS143" t="str">
        <f>_xlfn.XLOOKUP(Table1[[#This Row],[StockOptionLevel]],Table19[StockOptionLevel],Table19[Id_StockOptionLevel])</f>
        <v>SOL001</v>
      </c>
      <c r="AT143">
        <v>0</v>
      </c>
      <c r="AU143" t="str">
        <f>_xlfn.XLOOKUP(Table1[[#This Row],[StockOptionLevel]],Table19[StockOptionLevel],Table19[Deskripsi])</f>
        <v>Non-Eligible</v>
      </c>
      <c r="AV143">
        <v>9</v>
      </c>
      <c r="AW143">
        <v>2</v>
      </c>
      <c r="AX143" t="str">
        <f>_xlfn.XLOOKUP(Table1[[#This Row],[WorkLifeBalance]],Table20[WorkLifeBalance],Table20[Id_WorkLifeBalance])</f>
        <v>WLB003</v>
      </c>
      <c r="AY143">
        <v>2</v>
      </c>
      <c r="AZ143" t="str">
        <f>_xlfn.XLOOKUP(Table1[[#This Row],[WorkLifeBalance]],Table20[WorkLifeBalance],Table20[Deskripsi])</f>
        <v>Better</v>
      </c>
      <c r="BA143">
        <v>6</v>
      </c>
      <c r="BB143">
        <v>5</v>
      </c>
      <c r="BC143">
        <v>0</v>
      </c>
      <c r="BD143">
        <v>3</v>
      </c>
    </row>
    <row r="144" spans="1:56" x14ac:dyDescent="0.25">
      <c r="A144">
        <v>38</v>
      </c>
      <c r="B144" t="str">
        <f>_xlfn.XLOOKUP(Table1[[#This Row],[Attrition]],Table2[Attrition],Table2[Id_Attrition])</f>
        <v>A002</v>
      </c>
      <c r="C144" t="s">
        <v>33</v>
      </c>
      <c r="D144" t="str">
        <f>_xlfn.XLOOKUP(Table1[[#This Row],[BusinessTravel]],Table5[BusinessTravel],Table5[Id_BusinessTravel])</f>
        <v>BS001</v>
      </c>
      <c r="E144" t="s">
        <v>34</v>
      </c>
      <c r="F144">
        <v>364</v>
      </c>
      <c r="G144" t="str">
        <f>_xlfn.XLOOKUP(Table1[[#This Row],[Department]],Table6[Department],Table6[Id_Departement])</f>
        <v>D002</v>
      </c>
      <c r="H144" t="s">
        <v>38</v>
      </c>
      <c r="I144">
        <v>3</v>
      </c>
      <c r="J144" t="str">
        <f>_xlfn.XLOOKUP(Table1[[#This Row],[Education]],Table8[Education],Table8[Id_Education])</f>
        <v>E005</v>
      </c>
      <c r="K144">
        <v>5</v>
      </c>
      <c r="L144" t="str">
        <f>_xlfn.XLOOKUP(Table1[[#This Row],[EducationField]],Table7[EducationField],Table7[Id_EducationField])</f>
        <v>EF005</v>
      </c>
      <c r="M144" t="s">
        <v>44</v>
      </c>
      <c r="N144" t="str">
        <f>_xlfn.XLOOKUP(Table1[[#This Row],[EmployeeNumber]],Table4[EmployeeNumber],Table4[Id_Employee])</f>
        <v>EMP00143</v>
      </c>
      <c r="O144">
        <v>193</v>
      </c>
      <c r="P144" t="str">
        <f>_xlfn.XLOOKUP(Table1[[#This Row],[EnvironmentSatisfaction]],Table9[EnvironmentSatisfaction],Table9[Id_EnviromentSatisfaction])</f>
        <v>ES004</v>
      </c>
      <c r="Q144">
        <v>4</v>
      </c>
      <c r="R144" t="str">
        <f>_xlfn.XLOOKUP(Table1[[#This Row],[EnvironmentSatisfaction]],Table9[EnvironmentSatisfaction],Table9[Deskripsi])</f>
        <v>Very High</v>
      </c>
      <c r="S144" t="str">
        <f>_xlfn.XLOOKUP(Table1[[#This Row],[Gender]],Table10[Gender],Table10[Id_Gender])</f>
        <v>G001</v>
      </c>
      <c r="T144" t="s">
        <v>45</v>
      </c>
      <c r="U144">
        <v>32</v>
      </c>
      <c r="V144" t="str">
        <f>_xlfn.XLOOKUP(Table1[[#This Row],[JobInvolvement]],Table11[JobInvolvement],Table11[Id_JobInvolvement])</f>
        <v>JI003</v>
      </c>
      <c r="W144">
        <v>3</v>
      </c>
      <c r="X144" t="str">
        <f>_xlfn.XLOOKUP(Table1[[#This Row],[JobLevel]],Table12[JobLevel],Table12[Id_JobLevel])</f>
        <v>JL002</v>
      </c>
      <c r="Y144">
        <v>2</v>
      </c>
      <c r="Z144" t="str">
        <f>_xlfn.XLOOKUP(Table1[[#This Row],[JobRole]],Table13[JobRole],Table13[Id_JobRole])</f>
        <v>JR002</v>
      </c>
      <c r="AA144" t="s">
        <v>48</v>
      </c>
      <c r="AB144" t="str">
        <f>_xlfn.XLOOKUP(Table1[[#This Row],[JobSatisfaction]],Table14[JobSatisfaction],Table14[Id_JobSatisfaction])</f>
        <v>JS003</v>
      </c>
      <c r="AC144">
        <v>3</v>
      </c>
      <c r="AD144" t="str">
        <f>_xlfn.XLOOKUP(Table1[[#This Row],[JobSatisfaction]],Table14[JobSatisfaction],Table14[Deskripsi])</f>
        <v>High</v>
      </c>
      <c r="AE144" t="str">
        <f>_xlfn.XLOOKUP(Table1[[#This Row],[MaritalStatus]],Table15[MaritalStatus],Table15[Id_MaritalStatus])</f>
        <v>MS001</v>
      </c>
      <c r="AF144" t="s">
        <v>55</v>
      </c>
      <c r="AG144">
        <v>4317</v>
      </c>
      <c r="AH144">
        <v>2302</v>
      </c>
      <c r="AI144">
        <v>3</v>
      </c>
      <c r="AJ144" t="str">
        <f>_xlfn.XLOOKUP(Table1[[#This Row],[OverTime]],Table16[OverTime],Table16[Id_OverTime])</f>
        <v>OT001</v>
      </c>
      <c r="AK144" t="s">
        <v>32</v>
      </c>
      <c r="AL144">
        <v>20</v>
      </c>
      <c r="AM144" t="str">
        <f>_xlfn.XLOOKUP(Table1[[#This Row],[PerformanceRating]],Table17[PerformanceRating],Table17[Id_PerformanceRating])</f>
        <v>PR004</v>
      </c>
      <c r="AN144">
        <v>4</v>
      </c>
      <c r="AO144" t="str">
        <f>_xlfn.XLOOKUP(Table1[[#This Row],[PerformanceRating]],Table17[PerformanceRating],Table17[Deskripsi])</f>
        <v>Outstanding</v>
      </c>
      <c r="AP144" t="str">
        <f>_xlfn.XLOOKUP(Table1[[#This Row],[RelationshipSatisfaction]],Table18[RelationshipSatisfaction],Table18[Id_RelationshipSatisfaction])</f>
        <v>RS002</v>
      </c>
      <c r="AQ144">
        <v>2</v>
      </c>
      <c r="AR144" t="str">
        <f>_xlfn.XLOOKUP(Table1[[#This Row],[RelationshipSatisfaction]],Table18[RelationshipSatisfaction],Table18[Deskripsi])</f>
        <v>Medium</v>
      </c>
      <c r="AS144" t="str">
        <f>_xlfn.XLOOKUP(Table1[[#This Row],[StockOptionLevel]],Table19[StockOptionLevel],Table19[Id_StockOptionLevel])</f>
        <v>SOL001</v>
      </c>
      <c r="AT144">
        <v>0</v>
      </c>
      <c r="AU144" t="str">
        <f>_xlfn.XLOOKUP(Table1[[#This Row],[StockOptionLevel]],Table19[StockOptionLevel],Table19[Deskripsi])</f>
        <v>Non-Eligible</v>
      </c>
      <c r="AV144">
        <v>19</v>
      </c>
      <c r="AW144">
        <v>2</v>
      </c>
      <c r="AX144" t="str">
        <f>_xlfn.XLOOKUP(Table1[[#This Row],[WorkLifeBalance]],Table20[WorkLifeBalance],Table20[Id_WorkLifeBalance])</f>
        <v>WLB002</v>
      </c>
      <c r="AY144">
        <v>3</v>
      </c>
      <c r="AZ144" t="str">
        <f>_xlfn.XLOOKUP(Table1[[#This Row],[WorkLifeBalance]],Table20[WorkLifeBalance],Table20[Deskripsi])</f>
        <v>Good</v>
      </c>
      <c r="BA144">
        <v>3</v>
      </c>
      <c r="BB144">
        <v>2</v>
      </c>
      <c r="BC144">
        <v>2</v>
      </c>
      <c r="BD144">
        <v>2</v>
      </c>
    </row>
    <row r="145" spans="1:56" x14ac:dyDescent="0.25">
      <c r="A145">
        <v>30</v>
      </c>
      <c r="B145" t="str">
        <f>_xlfn.XLOOKUP(Table1[[#This Row],[Attrition]],Table2[Attrition],Table2[Id_Attrition])</f>
        <v>A002</v>
      </c>
      <c r="C145" t="s">
        <v>33</v>
      </c>
      <c r="D145" t="str">
        <f>_xlfn.XLOOKUP(Table1[[#This Row],[BusinessTravel]],Table5[BusinessTravel],Table5[Id_BusinessTravel])</f>
        <v>BS001</v>
      </c>
      <c r="E145" t="s">
        <v>34</v>
      </c>
      <c r="F145">
        <v>438</v>
      </c>
      <c r="G145" t="str">
        <f>_xlfn.XLOOKUP(Table1[[#This Row],[Department]],Table6[Department],Table6[Id_Departement])</f>
        <v>D002</v>
      </c>
      <c r="H145" t="s">
        <v>38</v>
      </c>
      <c r="I145">
        <v>18</v>
      </c>
      <c r="J145" t="str">
        <f>_xlfn.XLOOKUP(Table1[[#This Row],[Education]],Table8[Education],Table8[Id_Education])</f>
        <v>E003</v>
      </c>
      <c r="K145">
        <v>3</v>
      </c>
      <c r="L145" t="str">
        <f>_xlfn.XLOOKUP(Table1[[#This Row],[EducationField]],Table7[EducationField],Table7[Id_EducationField])</f>
        <v>EF001</v>
      </c>
      <c r="M145" t="s">
        <v>40</v>
      </c>
      <c r="N145" t="str">
        <f>_xlfn.XLOOKUP(Table1[[#This Row],[EmployeeNumber]],Table4[EmployeeNumber],Table4[Id_Employee])</f>
        <v>EMP00144</v>
      </c>
      <c r="O145">
        <v>194</v>
      </c>
      <c r="P145" t="str">
        <f>_xlfn.XLOOKUP(Table1[[#This Row],[EnvironmentSatisfaction]],Table9[EnvironmentSatisfaction],Table9[Id_EnviromentSatisfaction])</f>
        <v>ES001</v>
      </c>
      <c r="Q145">
        <v>1</v>
      </c>
      <c r="R145" t="str">
        <f>_xlfn.XLOOKUP(Table1[[#This Row],[EnvironmentSatisfaction]],Table9[EnvironmentSatisfaction],Table9[Deskripsi])</f>
        <v>Low</v>
      </c>
      <c r="S145" t="str">
        <f>_xlfn.XLOOKUP(Table1[[#This Row],[Gender]],Table10[Gender],Table10[Id_Gender])</f>
        <v>G001</v>
      </c>
      <c r="T145" t="s">
        <v>45</v>
      </c>
      <c r="U145">
        <v>75</v>
      </c>
      <c r="V145" t="str">
        <f>_xlfn.XLOOKUP(Table1[[#This Row],[JobInvolvement]],Table11[JobInvolvement],Table11[Id_JobInvolvement])</f>
        <v>JI003</v>
      </c>
      <c r="W145">
        <v>3</v>
      </c>
      <c r="X145" t="str">
        <f>_xlfn.XLOOKUP(Table1[[#This Row],[JobLevel]],Table12[JobLevel],Table12[Id_JobLevel])</f>
        <v>JL001</v>
      </c>
      <c r="Y145">
        <v>1</v>
      </c>
      <c r="Z145" t="str">
        <f>_xlfn.XLOOKUP(Table1[[#This Row],[JobRole]],Table13[JobRole],Table13[Id_JobRole])</f>
        <v>JR002</v>
      </c>
      <c r="AA145" t="s">
        <v>48</v>
      </c>
      <c r="AB145" t="str">
        <f>_xlfn.XLOOKUP(Table1[[#This Row],[JobSatisfaction]],Table14[JobSatisfaction],Table14[Id_JobSatisfaction])</f>
        <v>JS003</v>
      </c>
      <c r="AC145">
        <v>3</v>
      </c>
      <c r="AD145" t="str">
        <f>_xlfn.XLOOKUP(Table1[[#This Row],[JobSatisfaction]],Table14[JobSatisfaction],Table14[Deskripsi])</f>
        <v>High</v>
      </c>
      <c r="AE145" t="str">
        <f>_xlfn.XLOOKUP(Table1[[#This Row],[MaritalStatus]],Table15[MaritalStatus],Table15[Id_MaritalStatus])</f>
        <v>MS001</v>
      </c>
      <c r="AF145" t="s">
        <v>55</v>
      </c>
      <c r="AG145">
        <v>2632</v>
      </c>
      <c r="AH145">
        <v>23910</v>
      </c>
      <c r="AI145">
        <v>1</v>
      </c>
      <c r="AJ145" t="str">
        <f>_xlfn.XLOOKUP(Table1[[#This Row],[OverTime]],Table16[OverTime],Table16[Id_OverTime])</f>
        <v>OT002</v>
      </c>
      <c r="AK145" t="s">
        <v>33</v>
      </c>
      <c r="AL145">
        <v>14</v>
      </c>
      <c r="AM145" t="str">
        <f>_xlfn.XLOOKUP(Table1[[#This Row],[PerformanceRating]],Table17[PerformanceRating],Table17[Id_PerformanceRating])</f>
        <v>PR003</v>
      </c>
      <c r="AN145">
        <v>3</v>
      </c>
      <c r="AO145" t="str">
        <f>_xlfn.XLOOKUP(Table1[[#This Row],[PerformanceRating]],Table17[PerformanceRating],Table17[Deskripsi])</f>
        <v>Excellent</v>
      </c>
      <c r="AP145" t="str">
        <f>_xlfn.XLOOKUP(Table1[[#This Row],[RelationshipSatisfaction]],Table18[RelationshipSatisfaction],Table18[Id_RelationshipSatisfaction])</f>
        <v>RS003</v>
      </c>
      <c r="AQ145">
        <v>3</v>
      </c>
      <c r="AR145" t="str">
        <f>_xlfn.XLOOKUP(Table1[[#This Row],[RelationshipSatisfaction]],Table18[RelationshipSatisfaction],Table18[Deskripsi])</f>
        <v>High</v>
      </c>
      <c r="AS145" t="str">
        <f>_xlfn.XLOOKUP(Table1[[#This Row],[StockOptionLevel]],Table19[StockOptionLevel],Table19[Id_StockOptionLevel])</f>
        <v>SOL001</v>
      </c>
      <c r="AT145">
        <v>0</v>
      </c>
      <c r="AU145" t="str">
        <f>_xlfn.XLOOKUP(Table1[[#This Row],[StockOptionLevel]],Table19[StockOptionLevel],Table19[Deskripsi])</f>
        <v>Non-Eligible</v>
      </c>
      <c r="AV145">
        <v>5</v>
      </c>
      <c r="AW145">
        <v>4</v>
      </c>
      <c r="AX145" t="str">
        <f>_xlfn.XLOOKUP(Table1[[#This Row],[WorkLifeBalance]],Table20[WorkLifeBalance],Table20[Id_WorkLifeBalance])</f>
        <v>WLB003</v>
      </c>
      <c r="AY145">
        <v>2</v>
      </c>
      <c r="AZ145" t="str">
        <f>_xlfn.XLOOKUP(Table1[[#This Row],[WorkLifeBalance]],Table20[WorkLifeBalance],Table20[Deskripsi])</f>
        <v>Better</v>
      </c>
      <c r="BA145">
        <v>5</v>
      </c>
      <c r="BB145">
        <v>4</v>
      </c>
      <c r="BC145">
        <v>0</v>
      </c>
      <c r="BD145">
        <v>4</v>
      </c>
    </row>
    <row r="146" spans="1:56" x14ac:dyDescent="0.25">
      <c r="A146">
        <v>32</v>
      </c>
      <c r="B146" t="str">
        <f>_xlfn.XLOOKUP(Table1[[#This Row],[Attrition]],Table2[Attrition],Table2[Id_Attrition])</f>
        <v>A002</v>
      </c>
      <c r="C146" t="s">
        <v>33</v>
      </c>
      <c r="D146" t="str">
        <f>_xlfn.XLOOKUP(Table1[[#This Row],[BusinessTravel]],Table5[BusinessTravel],Table5[Id_BusinessTravel])</f>
        <v>BS002</v>
      </c>
      <c r="E146" t="s">
        <v>35</v>
      </c>
      <c r="F146">
        <v>689</v>
      </c>
      <c r="G146" t="str">
        <f>_xlfn.XLOOKUP(Table1[[#This Row],[Department]],Table6[Department],Table6[Id_Departement])</f>
        <v>D001</v>
      </c>
      <c r="H146" t="s">
        <v>37</v>
      </c>
      <c r="I146">
        <v>9</v>
      </c>
      <c r="J146" t="str">
        <f>_xlfn.XLOOKUP(Table1[[#This Row],[Education]],Table8[Education],Table8[Id_Education])</f>
        <v>E002</v>
      </c>
      <c r="K146">
        <v>2</v>
      </c>
      <c r="L146" t="str">
        <f>_xlfn.XLOOKUP(Table1[[#This Row],[EducationField]],Table7[EducationField],Table7[Id_EducationField])</f>
        <v>EF003</v>
      </c>
      <c r="M146" t="s">
        <v>42</v>
      </c>
      <c r="N146" t="str">
        <f>_xlfn.XLOOKUP(Table1[[#This Row],[EmployeeNumber]],Table4[EmployeeNumber],Table4[Id_Employee])</f>
        <v>EMP00145</v>
      </c>
      <c r="O146">
        <v>195</v>
      </c>
      <c r="P146" t="str">
        <f>_xlfn.XLOOKUP(Table1[[#This Row],[EnvironmentSatisfaction]],Table9[EnvironmentSatisfaction],Table9[Id_EnviromentSatisfaction])</f>
        <v>ES004</v>
      </c>
      <c r="Q146">
        <v>4</v>
      </c>
      <c r="R146" t="str">
        <f>_xlfn.XLOOKUP(Table1[[#This Row],[EnvironmentSatisfaction]],Table9[EnvironmentSatisfaction],Table9[Deskripsi])</f>
        <v>Very High</v>
      </c>
      <c r="S146" t="str">
        <f>_xlfn.XLOOKUP(Table1[[#This Row],[Gender]],Table10[Gender],Table10[Id_Gender])</f>
        <v>G002</v>
      </c>
      <c r="T146" t="s">
        <v>46</v>
      </c>
      <c r="U146">
        <v>35</v>
      </c>
      <c r="V146" t="str">
        <f>_xlfn.XLOOKUP(Table1[[#This Row],[JobInvolvement]],Table11[JobInvolvement],Table11[Id_JobInvolvement])</f>
        <v>JI001</v>
      </c>
      <c r="W146">
        <v>1</v>
      </c>
      <c r="X146" t="str">
        <f>_xlfn.XLOOKUP(Table1[[#This Row],[JobLevel]],Table12[JobLevel],Table12[Id_JobLevel])</f>
        <v>JL002</v>
      </c>
      <c r="Y146">
        <v>2</v>
      </c>
      <c r="Z146" t="str">
        <f>_xlfn.XLOOKUP(Table1[[#This Row],[JobRole]],Table13[JobRole],Table13[Id_JobRole])</f>
        <v>JR001</v>
      </c>
      <c r="AA146" t="s">
        <v>47</v>
      </c>
      <c r="AB146" t="str">
        <f>_xlfn.XLOOKUP(Table1[[#This Row],[JobSatisfaction]],Table14[JobSatisfaction],Table14[Id_JobSatisfaction])</f>
        <v>JS004</v>
      </c>
      <c r="AC146">
        <v>4</v>
      </c>
      <c r="AD146" t="str">
        <f>_xlfn.XLOOKUP(Table1[[#This Row],[JobSatisfaction]],Table14[JobSatisfaction],Table14[Deskripsi])</f>
        <v>Very High</v>
      </c>
      <c r="AE146" t="str">
        <f>_xlfn.XLOOKUP(Table1[[#This Row],[MaritalStatus]],Table15[MaritalStatus],Table15[Id_MaritalStatus])</f>
        <v>MS003</v>
      </c>
      <c r="AF146" t="s">
        <v>57</v>
      </c>
      <c r="AG146">
        <v>4668</v>
      </c>
      <c r="AH146">
        <v>22812</v>
      </c>
      <c r="AI146">
        <v>0</v>
      </c>
      <c r="AJ146" t="str">
        <f>_xlfn.XLOOKUP(Table1[[#This Row],[OverTime]],Table16[OverTime],Table16[Id_OverTime])</f>
        <v>OT002</v>
      </c>
      <c r="AK146" t="s">
        <v>33</v>
      </c>
      <c r="AL146">
        <v>17</v>
      </c>
      <c r="AM146" t="str">
        <f>_xlfn.XLOOKUP(Table1[[#This Row],[PerformanceRating]],Table17[PerformanceRating],Table17[Id_PerformanceRating])</f>
        <v>PR003</v>
      </c>
      <c r="AN146">
        <v>3</v>
      </c>
      <c r="AO146" t="str">
        <f>_xlfn.XLOOKUP(Table1[[#This Row],[PerformanceRating]],Table17[PerformanceRating],Table17[Deskripsi])</f>
        <v>Excellent</v>
      </c>
      <c r="AP146" t="str">
        <f>_xlfn.XLOOKUP(Table1[[#This Row],[RelationshipSatisfaction]],Table18[RelationshipSatisfaction],Table18[Id_RelationshipSatisfaction])</f>
        <v>RS004</v>
      </c>
      <c r="AQ146">
        <v>4</v>
      </c>
      <c r="AR146" t="str">
        <f>_xlfn.XLOOKUP(Table1[[#This Row],[RelationshipSatisfaction]],Table18[RelationshipSatisfaction],Table18[Deskripsi])</f>
        <v>Very High</v>
      </c>
      <c r="AS146" t="str">
        <f>_xlfn.XLOOKUP(Table1[[#This Row],[StockOptionLevel]],Table19[StockOptionLevel],Table19[Id_StockOptionLevel])</f>
        <v>SOL004</v>
      </c>
      <c r="AT146">
        <v>3</v>
      </c>
      <c r="AU146" t="str">
        <f>_xlfn.XLOOKUP(Table1[[#This Row],[StockOptionLevel]],Table19[StockOptionLevel],Table19[Deskripsi])</f>
        <v>Senior/Executive</v>
      </c>
      <c r="AV146">
        <v>9</v>
      </c>
      <c r="AW146">
        <v>2</v>
      </c>
      <c r="AX146" t="str">
        <f>_xlfn.XLOOKUP(Table1[[#This Row],[WorkLifeBalance]],Table20[WorkLifeBalance],Table20[Id_WorkLifeBalance])</f>
        <v>WLB004</v>
      </c>
      <c r="AY146">
        <v>4</v>
      </c>
      <c r="AZ146" t="str">
        <f>_xlfn.XLOOKUP(Table1[[#This Row],[WorkLifeBalance]],Table20[WorkLifeBalance],Table20[Deskripsi])</f>
        <v>Best</v>
      </c>
      <c r="BA146">
        <v>8</v>
      </c>
      <c r="BB146">
        <v>7</v>
      </c>
      <c r="BC146">
        <v>0</v>
      </c>
      <c r="BD146">
        <v>7</v>
      </c>
    </row>
    <row r="147" spans="1:56" x14ac:dyDescent="0.25">
      <c r="A147">
        <v>30</v>
      </c>
      <c r="B147" t="str">
        <f>_xlfn.XLOOKUP(Table1[[#This Row],[Attrition]],Table2[Attrition],Table2[Id_Attrition])</f>
        <v>A002</v>
      </c>
      <c r="C147" t="s">
        <v>33</v>
      </c>
      <c r="D147" t="str">
        <f>_xlfn.XLOOKUP(Table1[[#This Row],[BusinessTravel]],Table5[BusinessTravel],Table5[Id_BusinessTravel])</f>
        <v>BS001</v>
      </c>
      <c r="E147" t="s">
        <v>34</v>
      </c>
      <c r="F147">
        <v>201</v>
      </c>
      <c r="G147" t="str">
        <f>_xlfn.XLOOKUP(Table1[[#This Row],[Department]],Table6[Department],Table6[Id_Departement])</f>
        <v>D002</v>
      </c>
      <c r="H147" t="s">
        <v>38</v>
      </c>
      <c r="I147">
        <v>5</v>
      </c>
      <c r="J147" t="str">
        <f>_xlfn.XLOOKUP(Table1[[#This Row],[Education]],Table8[Education],Table8[Id_Education])</f>
        <v>E003</v>
      </c>
      <c r="K147">
        <v>3</v>
      </c>
      <c r="L147" t="str">
        <f>_xlfn.XLOOKUP(Table1[[#This Row],[EducationField]],Table7[EducationField],Table7[Id_EducationField])</f>
        <v>EF005</v>
      </c>
      <c r="M147" t="s">
        <v>44</v>
      </c>
      <c r="N147" t="str">
        <f>_xlfn.XLOOKUP(Table1[[#This Row],[EmployeeNumber]],Table4[EmployeeNumber],Table4[Id_Employee])</f>
        <v>EMP00146</v>
      </c>
      <c r="O147">
        <v>197</v>
      </c>
      <c r="P147" t="str">
        <f>_xlfn.XLOOKUP(Table1[[#This Row],[EnvironmentSatisfaction]],Table9[EnvironmentSatisfaction],Table9[Id_EnviromentSatisfaction])</f>
        <v>ES004</v>
      </c>
      <c r="Q147">
        <v>4</v>
      </c>
      <c r="R147" t="str">
        <f>_xlfn.XLOOKUP(Table1[[#This Row],[EnvironmentSatisfaction]],Table9[EnvironmentSatisfaction],Table9[Deskripsi])</f>
        <v>Very High</v>
      </c>
      <c r="S147" t="str">
        <f>_xlfn.XLOOKUP(Table1[[#This Row],[Gender]],Table10[Gender],Table10[Id_Gender])</f>
        <v>G001</v>
      </c>
      <c r="T147" t="s">
        <v>45</v>
      </c>
      <c r="U147">
        <v>84</v>
      </c>
      <c r="V147" t="str">
        <f>_xlfn.XLOOKUP(Table1[[#This Row],[JobInvolvement]],Table11[JobInvolvement],Table11[Id_JobInvolvement])</f>
        <v>JI003</v>
      </c>
      <c r="W147">
        <v>3</v>
      </c>
      <c r="X147" t="str">
        <f>_xlfn.XLOOKUP(Table1[[#This Row],[JobLevel]],Table12[JobLevel],Table12[Id_JobLevel])</f>
        <v>JL001</v>
      </c>
      <c r="Y147">
        <v>1</v>
      </c>
      <c r="Z147" t="str">
        <f>_xlfn.XLOOKUP(Table1[[#This Row],[JobRole]],Table13[JobRole],Table13[Id_JobRole])</f>
        <v>JR002</v>
      </c>
      <c r="AA147" t="s">
        <v>48</v>
      </c>
      <c r="AB147" t="str">
        <f>_xlfn.XLOOKUP(Table1[[#This Row],[JobSatisfaction]],Table14[JobSatisfaction],Table14[Id_JobSatisfaction])</f>
        <v>JS001</v>
      </c>
      <c r="AC147">
        <v>1</v>
      </c>
      <c r="AD147" t="str">
        <f>_xlfn.XLOOKUP(Table1[[#This Row],[JobSatisfaction]],Table14[JobSatisfaction],Table14[Deskripsi])</f>
        <v>Low</v>
      </c>
      <c r="AE147" t="str">
        <f>_xlfn.XLOOKUP(Table1[[#This Row],[MaritalStatus]],Table15[MaritalStatus],Table15[Id_MaritalStatus])</f>
        <v>MS003</v>
      </c>
      <c r="AF147" t="s">
        <v>57</v>
      </c>
      <c r="AG147">
        <v>3204</v>
      </c>
      <c r="AH147">
        <v>10415</v>
      </c>
      <c r="AI147">
        <v>5</v>
      </c>
      <c r="AJ147" t="str">
        <f>_xlfn.XLOOKUP(Table1[[#This Row],[OverTime]],Table16[OverTime],Table16[Id_OverTime])</f>
        <v>OT002</v>
      </c>
      <c r="AK147" t="s">
        <v>33</v>
      </c>
      <c r="AL147">
        <v>14</v>
      </c>
      <c r="AM147" t="str">
        <f>_xlfn.XLOOKUP(Table1[[#This Row],[PerformanceRating]],Table17[PerformanceRating],Table17[Id_PerformanceRating])</f>
        <v>PR003</v>
      </c>
      <c r="AN147">
        <v>3</v>
      </c>
      <c r="AO147" t="str">
        <f>_xlfn.XLOOKUP(Table1[[#This Row],[PerformanceRating]],Table17[PerformanceRating],Table17[Deskripsi])</f>
        <v>Excellent</v>
      </c>
      <c r="AP147" t="str">
        <f>_xlfn.XLOOKUP(Table1[[#This Row],[RelationshipSatisfaction]],Table18[RelationshipSatisfaction],Table18[Id_RelationshipSatisfaction])</f>
        <v>RS004</v>
      </c>
      <c r="AQ147">
        <v>4</v>
      </c>
      <c r="AR147" t="str">
        <f>_xlfn.XLOOKUP(Table1[[#This Row],[RelationshipSatisfaction]],Table18[RelationshipSatisfaction],Table18[Deskripsi])</f>
        <v>Very High</v>
      </c>
      <c r="AS147" t="str">
        <f>_xlfn.XLOOKUP(Table1[[#This Row],[StockOptionLevel]],Table19[StockOptionLevel],Table19[Id_StockOptionLevel])</f>
        <v>SOL002</v>
      </c>
      <c r="AT147">
        <v>1</v>
      </c>
      <c r="AU147" t="str">
        <f>_xlfn.XLOOKUP(Table1[[#This Row],[StockOptionLevel]],Table19[StockOptionLevel],Table19[Deskripsi])</f>
        <v>Standard</v>
      </c>
      <c r="AV147">
        <v>8</v>
      </c>
      <c r="AW147">
        <v>3</v>
      </c>
      <c r="AX147" t="str">
        <f>_xlfn.XLOOKUP(Table1[[#This Row],[WorkLifeBalance]],Table20[WorkLifeBalance],Table20[Id_WorkLifeBalance])</f>
        <v>WLB002</v>
      </c>
      <c r="AY147">
        <v>3</v>
      </c>
      <c r="AZ147" t="str">
        <f>_xlfn.XLOOKUP(Table1[[#This Row],[WorkLifeBalance]],Table20[WorkLifeBalance],Table20[Deskripsi])</f>
        <v>Good</v>
      </c>
      <c r="BA147">
        <v>3</v>
      </c>
      <c r="BB147">
        <v>2</v>
      </c>
      <c r="BC147">
        <v>2</v>
      </c>
      <c r="BD147">
        <v>2</v>
      </c>
    </row>
    <row r="148" spans="1:56" x14ac:dyDescent="0.25">
      <c r="A148">
        <v>30</v>
      </c>
      <c r="B148" t="str">
        <f>_xlfn.XLOOKUP(Table1[[#This Row],[Attrition]],Table2[Attrition],Table2[Id_Attrition])</f>
        <v>A002</v>
      </c>
      <c r="C148" t="s">
        <v>33</v>
      </c>
      <c r="D148" t="str">
        <f>_xlfn.XLOOKUP(Table1[[#This Row],[BusinessTravel]],Table5[BusinessTravel],Table5[Id_BusinessTravel])</f>
        <v>BS001</v>
      </c>
      <c r="E148" t="s">
        <v>34</v>
      </c>
      <c r="F148">
        <v>1427</v>
      </c>
      <c r="G148" t="str">
        <f>_xlfn.XLOOKUP(Table1[[#This Row],[Department]],Table6[Department],Table6[Id_Departement])</f>
        <v>D002</v>
      </c>
      <c r="H148" t="s">
        <v>38</v>
      </c>
      <c r="I148">
        <v>2</v>
      </c>
      <c r="J148" t="str">
        <f>_xlfn.XLOOKUP(Table1[[#This Row],[Education]],Table8[Education],Table8[Id_Education])</f>
        <v>E001</v>
      </c>
      <c r="K148">
        <v>1</v>
      </c>
      <c r="L148" t="str">
        <f>_xlfn.XLOOKUP(Table1[[#This Row],[EducationField]],Table7[EducationField],Table7[Id_EducationField])</f>
        <v>EF003</v>
      </c>
      <c r="M148" t="s">
        <v>42</v>
      </c>
      <c r="N148" t="str">
        <f>_xlfn.XLOOKUP(Table1[[#This Row],[EmployeeNumber]],Table4[EmployeeNumber],Table4[Id_Employee])</f>
        <v>EMP00147</v>
      </c>
      <c r="O148">
        <v>198</v>
      </c>
      <c r="P148" t="str">
        <f>_xlfn.XLOOKUP(Table1[[#This Row],[EnvironmentSatisfaction]],Table9[EnvironmentSatisfaction],Table9[Id_EnviromentSatisfaction])</f>
        <v>ES002</v>
      </c>
      <c r="Q148">
        <v>2</v>
      </c>
      <c r="R148" t="str">
        <f>_xlfn.XLOOKUP(Table1[[#This Row],[EnvironmentSatisfaction]],Table9[EnvironmentSatisfaction],Table9[Deskripsi])</f>
        <v>Medium</v>
      </c>
      <c r="S148" t="str">
        <f>_xlfn.XLOOKUP(Table1[[#This Row],[Gender]],Table10[Gender],Table10[Id_Gender])</f>
        <v>G002</v>
      </c>
      <c r="T148" t="s">
        <v>46</v>
      </c>
      <c r="U148">
        <v>35</v>
      </c>
      <c r="V148" t="str">
        <f>_xlfn.XLOOKUP(Table1[[#This Row],[JobInvolvement]],Table11[JobInvolvement],Table11[Id_JobInvolvement])</f>
        <v>JI002</v>
      </c>
      <c r="W148">
        <v>2</v>
      </c>
      <c r="X148" t="str">
        <f>_xlfn.XLOOKUP(Table1[[#This Row],[JobLevel]],Table12[JobLevel],Table12[Id_JobLevel])</f>
        <v>JL001</v>
      </c>
      <c r="Y148">
        <v>1</v>
      </c>
      <c r="Z148" t="str">
        <f>_xlfn.XLOOKUP(Table1[[#This Row],[JobRole]],Table13[JobRole],Table13[Id_JobRole])</f>
        <v>JR003</v>
      </c>
      <c r="AA148" t="s">
        <v>49</v>
      </c>
      <c r="AB148" t="str">
        <f>_xlfn.XLOOKUP(Table1[[#This Row],[JobSatisfaction]],Table14[JobSatisfaction],Table14[Id_JobSatisfaction])</f>
        <v>JS004</v>
      </c>
      <c r="AC148">
        <v>4</v>
      </c>
      <c r="AD148" t="str">
        <f>_xlfn.XLOOKUP(Table1[[#This Row],[JobSatisfaction]],Table14[JobSatisfaction],Table14[Deskripsi])</f>
        <v>Very High</v>
      </c>
      <c r="AE148" t="str">
        <f>_xlfn.XLOOKUP(Table1[[#This Row],[MaritalStatus]],Table15[MaritalStatus],Table15[Id_MaritalStatus])</f>
        <v>MS001</v>
      </c>
      <c r="AF148" t="s">
        <v>55</v>
      </c>
      <c r="AG148">
        <v>2720</v>
      </c>
      <c r="AH148">
        <v>11162</v>
      </c>
      <c r="AI148">
        <v>0</v>
      </c>
      <c r="AJ148" t="str">
        <f>_xlfn.XLOOKUP(Table1[[#This Row],[OverTime]],Table16[OverTime],Table16[Id_OverTime])</f>
        <v>OT002</v>
      </c>
      <c r="AK148" t="s">
        <v>33</v>
      </c>
      <c r="AL148">
        <v>13</v>
      </c>
      <c r="AM148" t="str">
        <f>_xlfn.XLOOKUP(Table1[[#This Row],[PerformanceRating]],Table17[PerformanceRating],Table17[Id_PerformanceRating])</f>
        <v>PR003</v>
      </c>
      <c r="AN148">
        <v>3</v>
      </c>
      <c r="AO148" t="str">
        <f>_xlfn.XLOOKUP(Table1[[#This Row],[PerformanceRating]],Table17[PerformanceRating],Table17[Deskripsi])</f>
        <v>Excellent</v>
      </c>
      <c r="AP148" t="str">
        <f>_xlfn.XLOOKUP(Table1[[#This Row],[RelationshipSatisfaction]],Table18[RelationshipSatisfaction],Table18[Id_RelationshipSatisfaction])</f>
        <v>RS004</v>
      </c>
      <c r="AQ148">
        <v>4</v>
      </c>
      <c r="AR148" t="str">
        <f>_xlfn.XLOOKUP(Table1[[#This Row],[RelationshipSatisfaction]],Table18[RelationshipSatisfaction],Table18[Deskripsi])</f>
        <v>Very High</v>
      </c>
      <c r="AS148" t="str">
        <f>_xlfn.XLOOKUP(Table1[[#This Row],[StockOptionLevel]],Table19[StockOptionLevel],Table19[Id_StockOptionLevel])</f>
        <v>SOL001</v>
      </c>
      <c r="AT148">
        <v>0</v>
      </c>
      <c r="AU148" t="str">
        <f>_xlfn.XLOOKUP(Table1[[#This Row],[StockOptionLevel]],Table19[StockOptionLevel],Table19[Deskripsi])</f>
        <v>Non-Eligible</v>
      </c>
      <c r="AV148">
        <v>6</v>
      </c>
      <c r="AW148">
        <v>3</v>
      </c>
      <c r="AX148" t="str">
        <f>_xlfn.XLOOKUP(Table1[[#This Row],[WorkLifeBalance]],Table20[WorkLifeBalance],Table20[Id_WorkLifeBalance])</f>
        <v>WLB002</v>
      </c>
      <c r="AY148">
        <v>3</v>
      </c>
      <c r="AZ148" t="str">
        <f>_xlfn.XLOOKUP(Table1[[#This Row],[WorkLifeBalance]],Table20[WorkLifeBalance],Table20[Deskripsi])</f>
        <v>Good</v>
      </c>
      <c r="BA148">
        <v>5</v>
      </c>
      <c r="BB148">
        <v>3</v>
      </c>
      <c r="BC148">
        <v>1</v>
      </c>
      <c r="BD148">
        <v>2</v>
      </c>
    </row>
    <row r="149" spans="1:56" x14ac:dyDescent="0.25">
      <c r="A149">
        <v>41</v>
      </c>
      <c r="B149" t="str">
        <f>_xlfn.XLOOKUP(Table1[[#This Row],[Attrition]],Table2[Attrition],Table2[Id_Attrition])</f>
        <v>A002</v>
      </c>
      <c r="C149" t="s">
        <v>33</v>
      </c>
      <c r="D149" t="str">
        <f>_xlfn.XLOOKUP(Table1[[#This Row],[BusinessTravel]],Table5[BusinessTravel],Table5[Id_BusinessTravel])</f>
        <v>BS002</v>
      </c>
      <c r="E149" t="s">
        <v>35</v>
      </c>
      <c r="F149">
        <v>857</v>
      </c>
      <c r="G149" t="str">
        <f>_xlfn.XLOOKUP(Table1[[#This Row],[Department]],Table6[Department],Table6[Id_Departement])</f>
        <v>D002</v>
      </c>
      <c r="H149" t="s">
        <v>38</v>
      </c>
      <c r="I149">
        <v>10</v>
      </c>
      <c r="J149" t="str">
        <f>_xlfn.XLOOKUP(Table1[[#This Row],[Education]],Table8[Education],Table8[Id_Education])</f>
        <v>E003</v>
      </c>
      <c r="K149">
        <v>3</v>
      </c>
      <c r="L149" t="str">
        <f>_xlfn.XLOOKUP(Table1[[#This Row],[EducationField]],Table7[EducationField],Table7[Id_EducationField])</f>
        <v>EF001</v>
      </c>
      <c r="M149" t="s">
        <v>40</v>
      </c>
      <c r="N149" t="str">
        <f>_xlfn.XLOOKUP(Table1[[#This Row],[EmployeeNumber]],Table4[EmployeeNumber],Table4[Id_Employee])</f>
        <v>EMP00148</v>
      </c>
      <c r="O149">
        <v>199</v>
      </c>
      <c r="P149" t="str">
        <f>_xlfn.XLOOKUP(Table1[[#This Row],[EnvironmentSatisfaction]],Table9[EnvironmentSatisfaction],Table9[Id_EnviromentSatisfaction])</f>
        <v>ES004</v>
      </c>
      <c r="Q149">
        <v>4</v>
      </c>
      <c r="R149" t="str">
        <f>_xlfn.XLOOKUP(Table1[[#This Row],[EnvironmentSatisfaction]],Table9[EnvironmentSatisfaction],Table9[Deskripsi])</f>
        <v>Very High</v>
      </c>
      <c r="S149" t="str">
        <f>_xlfn.XLOOKUP(Table1[[#This Row],[Gender]],Table10[Gender],Table10[Id_Gender])</f>
        <v>G002</v>
      </c>
      <c r="T149" t="s">
        <v>46</v>
      </c>
      <c r="U149">
        <v>91</v>
      </c>
      <c r="V149" t="str">
        <f>_xlfn.XLOOKUP(Table1[[#This Row],[JobInvolvement]],Table11[JobInvolvement],Table11[Id_JobInvolvement])</f>
        <v>JI002</v>
      </c>
      <c r="W149">
        <v>2</v>
      </c>
      <c r="X149" t="str">
        <f>_xlfn.XLOOKUP(Table1[[#This Row],[JobLevel]],Table12[JobLevel],Table12[Id_JobLevel])</f>
        <v>JL004</v>
      </c>
      <c r="Y149">
        <v>4</v>
      </c>
      <c r="Z149" t="str">
        <f>_xlfn.XLOOKUP(Table1[[#This Row],[JobRole]],Table13[JobRole],Table13[Id_JobRole])</f>
        <v>JR006</v>
      </c>
      <c r="AA149" t="s">
        <v>52</v>
      </c>
      <c r="AB149" t="str">
        <f>_xlfn.XLOOKUP(Table1[[#This Row],[JobSatisfaction]],Table14[JobSatisfaction],Table14[Id_JobSatisfaction])</f>
        <v>JS001</v>
      </c>
      <c r="AC149">
        <v>1</v>
      </c>
      <c r="AD149" t="str">
        <f>_xlfn.XLOOKUP(Table1[[#This Row],[JobSatisfaction]],Table14[JobSatisfaction],Table14[Deskripsi])</f>
        <v>Low</v>
      </c>
      <c r="AE149" t="str">
        <f>_xlfn.XLOOKUP(Table1[[#This Row],[MaritalStatus]],Table15[MaritalStatus],Table15[Id_MaritalStatus])</f>
        <v>MS003</v>
      </c>
      <c r="AF149" t="s">
        <v>57</v>
      </c>
      <c r="AG149">
        <v>17181</v>
      </c>
      <c r="AH149">
        <v>12888</v>
      </c>
      <c r="AI149">
        <v>4</v>
      </c>
      <c r="AJ149" t="str">
        <f>_xlfn.XLOOKUP(Table1[[#This Row],[OverTime]],Table16[OverTime],Table16[Id_OverTime])</f>
        <v>OT002</v>
      </c>
      <c r="AK149" t="s">
        <v>33</v>
      </c>
      <c r="AL149">
        <v>13</v>
      </c>
      <c r="AM149" t="str">
        <f>_xlfn.XLOOKUP(Table1[[#This Row],[PerformanceRating]],Table17[PerformanceRating],Table17[Id_PerformanceRating])</f>
        <v>PR003</v>
      </c>
      <c r="AN149">
        <v>3</v>
      </c>
      <c r="AO149" t="str">
        <f>_xlfn.XLOOKUP(Table1[[#This Row],[PerformanceRating]],Table17[PerformanceRating],Table17[Deskripsi])</f>
        <v>Excellent</v>
      </c>
      <c r="AP149" t="str">
        <f>_xlfn.XLOOKUP(Table1[[#This Row],[RelationshipSatisfaction]],Table18[RelationshipSatisfaction],Table18[Id_RelationshipSatisfaction])</f>
        <v>RS002</v>
      </c>
      <c r="AQ149">
        <v>2</v>
      </c>
      <c r="AR149" t="str">
        <f>_xlfn.XLOOKUP(Table1[[#This Row],[RelationshipSatisfaction]],Table18[RelationshipSatisfaction],Table18[Deskripsi])</f>
        <v>Medium</v>
      </c>
      <c r="AS149" t="str">
        <f>_xlfn.XLOOKUP(Table1[[#This Row],[StockOptionLevel]],Table19[StockOptionLevel],Table19[Id_StockOptionLevel])</f>
        <v>SOL002</v>
      </c>
      <c r="AT149">
        <v>1</v>
      </c>
      <c r="AU149" t="str">
        <f>_xlfn.XLOOKUP(Table1[[#This Row],[StockOptionLevel]],Table19[StockOptionLevel],Table19[Deskripsi])</f>
        <v>Standard</v>
      </c>
      <c r="AV149">
        <v>21</v>
      </c>
      <c r="AW149">
        <v>2</v>
      </c>
      <c r="AX149" t="str">
        <f>_xlfn.XLOOKUP(Table1[[#This Row],[WorkLifeBalance]],Table20[WorkLifeBalance],Table20[Id_WorkLifeBalance])</f>
        <v>WLB003</v>
      </c>
      <c r="AY149">
        <v>2</v>
      </c>
      <c r="AZ149" t="str">
        <f>_xlfn.XLOOKUP(Table1[[#This Row],[WorkLifeBalance]],Table20[WorkLifeBalance],Table20[Deskripsi])</f>
        <v>Better</v>
      </c>
      <c r="BA149">
        <v>7</v>
      </c>
      <c r="BB149">
        <v>6</v>
      </c>
      <c r="BC149">
        <v>7</v>
      </c>
      <c r="BD149">
        <v>7</v>
      </c>
    </row>
    <row r="150" spans="1:56" x14ac:dyDescent="0.25">
      <c r="A150">
        <v>41</v>
      </c>
      <c r="B150" t="str">
        <f>_xlfn.XLOOKUP(Table1[[#This Row],[Attrition]],Table2[Attrition],Table2[Id_Attrition])</f>
        <v>A002</v>
      </c>
      <c r="C150" t="s">
        <v>33</v>
      </c>
      <c r="D150" t="str">
        <f>_xlfn.XLOOKUP(Table1[[#This Row],[BusinessTravel]],Table5[BusinessTravel],Table5[Id_BusinessTravel])</f>
        <v>BS001</v>
      </c>
      <c r="E150" t="s">
        <v>34</v>
      </c>
      <c r="F150">
        <v>933</v>
      </c>
      <c r="G150" t="str">
        <f>_xlfn.XLOOKUP(Table1[[#This Row],[Department]],Table6[Department],Table6[Id_Departement])</f>
        <v>D002</v>
      </c>
      <c r="H150" t="s">
        <v>38</v>
      </c>
      <c r="I150">
        <v>9</v>
      </c>
      <c r="J150" t="str">
        <f>_xlfn.XLOOKUP(Table1[[#This Row],[Education]],Table8[Education],Table8[Id_Education])</f>
        <v>E004</v>
      </c>
      <c r="K150">
        <v>4</v>
      </c>
      <c r="L150" t="str">
        <f>_xlfn.XLOOKUP(Table1[[#This Row],[EducationField]],Table7[EducationField],Table7[Id_EducationField])</f>
        <v>EF001</v>
      </c>
      <c r="M150" t="s">
        <v>40</v>
      </c>
      <c r="N150" t="str">
        <f>_xlfn.XLOOKUP(Table1[[#This Row],[EmployeeNumber]],Table4[EmployeeNumber],Table4[Id_Employee])</f>
        <v>EMP00149</v>
      </c>
      <c r="O150">
        <v>200</v>
      </c>
      <c r="P150" t="str">
        <f>_xlfn.XLOOKUP(Table1[[#This Row],[EnvironmentSatisfaction]],Table9[EnvironmentSatisfaction],Table9[Id_EnviromentSatisfaction])</f>
        <v>ES003</v>
      </c>
      <c r="Q150">
        <v>3</v>
      </c>
      <c r="R150" t="str">
        <f>_xlfn.XLOOKUP(Table1[[#This Row],[EnvironmentSatisfaction]],Table9[EnvironmentSatisfaction],Table9[Deskripsi])</f>
        <v>High</v>
      </c>
      <c r="S150" t="str">
        <f>_xlfn.XLOOKUP(Table1[[#This Row],[Gender]],Table10[Gender],Table10[Id_Gender])</f>
        <v>G002</v>
      </c>
      <c r="T150" t="s">
        <v>46</v>
      </c>
      <c r="U150">
        <v>94</v>
      </c>
      <c r="V150" t="str">
        <f>_xlfn.XLOOKUP(Table1[[#This Row],[JobInvolvement]],Table11[JobInvolvement],Table11[Id_JobInvolvement])</f>
        <v>JI003</v>
      </c>
      <c r="W150">
        <v>3</v>
      </c>
      <c r="X150" t="str">
        <f>_xlfn.XLOOKUP(Table1[[#This Row],[JobLevel]],Table12[JobLevel],Table12[Id_JobLevel])</f>
        <v>JL001</v>
      </c>
      <c r="Y150">
        <v>1</v>
      </c>
      <c r="Z150" t="str">
        <f>_xlfn.XLOOKUP(Table1[[#This Row],[JobRole]],Table13[JobRole],Table13[Id_JobRole])</f>
        <v>JR003</v>
      </c>
      <c r="AA150" t="s">
        <v>49</v>
      </c>
      <c r="AB150" t="str">
        <f>_xlfn.XLOOKUP(Table1[[#This Row],[JobSatisfaction]],Table14[JobSatisfaction],Table14[Id_JobSatisfaction])</f>
        <v>JS001</v>
      </c>
      <c r="AC150">
        <v>1</v>
      </c>
      <c r="AD150" t="str">
        <f>_xlfn.XLOOKUP(Table1[[#This Row],[JobSatisfaction]],Table14[JobSatisfaction],Table14[Deskripsi])</f>
        <v>Low</v>
      </c>
      <c r="AE150" t="str">
        <f>_xlfn.XLOOKUP(Table1[[#This Row],[MaritalStatus]],Table15[MaritalStatus],Table15[Id_MaritalStatus])</f>
        <v>MS002</v>
      </c>
      <c r="AF150" t="s">
        <v>56</v>
      </c>
      <c r="AG150">
        <v>2238</v>
      </c>
      <c r="AH150">
        <v>6961</v>
      </c>
      <c r="AI150">
        <v>2</v>
      </c>
      <c r="AJ150" t="str">
        <f>_xlfn.XLOOKUP(Table1[[#This Row],[OverTime]],Table16[OverTime],Table16[Id_OverTime])</f>
        <v>OT002</v>
      </c>
      <c r="AK150" t="s">
        <v>33</v>
      </c>
      <c r="AL150">
        <v>21</v>
      </c>
      <c r="AM150" t="str">
        <f>_xlfn.XLOOKUP(Table1[[#This Row],[PerformanceRating]],Table17[PerformanceRating],Table17[Id_PerformanceRating])</f>
        <v>PR004</v>
      </c>
      <c r="AN150">
        <v>4</v>
      </c>
      <c r="AO150" t="str">
        <f>_xlfn.XLOOKUP(Table1[[#This Row],[PerformanceRating]],Table17[PerformanceRating],Table17[Deskripsi])</f>
        <v>Outstanding</v>
      </c>
      <c r="AP150" t="str">
        <f>_xlfn.XLOOKUP(Table1[[#This Row],[RelationshipSatisfaction]],Table18[RelationshipSatisfaction],Table18[Id_RelationshipSatisfaction])</f>
        <v>RS004</v>
      </c>
      <c r="AQ150">
        <v>4</v>
      </c>
      <c r="AR150" t="str">
        <f>_xlfn.XLOOKUP(Table1[[#This Row],[RelationshipSatisfaction]],Table18[RelationshipSatisfaction],Table18[Deskripsi])</f>
        <v>Very High</v>
      </c>
      <c r="AS150" t="str">
        <f>_xlfn.XLOOKUP(Table1[[#This Row],[StockOptionLevel]],Table19[StockOptionLevel],Table19[Id_StockOptionLevel])</f>
        <v>SOL002</v>
      </c>
      <c r="AT150">
        <v>1</v>
      </c>
      <c r="AU150" t="str">
        <f>_xlfn.XLOOKUP(Table1[[#This Row],[StockOptionLevel]],Table19[StockOptionLevel],Table19[Deskripsi])</f>
        <v>Standard</v>
      </c>
      <c r="AV150">
        <v>7</v>
      </c>
      <c r="AW150">
        <v>2</v>
      </c>
      <c r="AX150" t="str">
        <f>_xlfn.XLOOKUP(Table1[[#This Row],[WorkLifeBalance]],Table20[WorkLifeBalance],Table20[Id_WorkLifeBalance])</f>
        <v>WLB002</v>
      </c>
      <c r="AY150">
        <v>3</v>
      </c>
      <c r="AZ150" t="str">
        <f>_xlfn.XLOOKUP(Table1[[#This Row],[WorkLifeBalance]],Table20[WorkLifeBalance],Table20[Deskripsi])</f>
        <v>Good</v>
      </c>
      <c r="BA150">
        <v>5</v>
      </c>
      <c r="BB150">
        <v>0</v>
      </c>
      <c r="BC150">
        <v>1</v>
      </c>
      <c r="BD150">
        <v>4</v>
      </c>
    </row>
    <row r="151" spans="1:56" x14ac:dyDescent="0.25">
      <c r="A151">
        <v>19</v>
      </c>
      <c r="B151" t="str">
        <f>_xlfn.XLOOKUP(Table1[[#This Row],[Attrition]],Table2[Attrition],Table2[Id_Attrition])</f>
        <v>A002</v>
      </c>
      <c r="C151" t="s">
        <v>33</v>
      </c>
      <c r="D151" t="str">
        <f>_xlfn.XLOOKUP(Table1[[#This Row],[BusinessTravel]],Table5[BusinessTravel],Table5[Id_BusinessTravel])</f>
        <v>BS001</v>
      </c>
      <c r="E151" t="s">
        <v>34</v>
      </c>
      <c r="F151">
        <v>1181</v>
      </c>
      <c r="G151" t="str">
        <f>_xlfn.XLOOKUP(Table1[[#This Row],[Department]],Table6[Department],Table6[Id_Departement])</f>
        <v>D002</v>
      </c>
      <c r="H151" t="s">
        <v>38</v>
      </c>
      <c r="I151">
        <v>3</v>
      </c>
      <c r="J151" t="str">
        <f>_xlfn.XLOOKUP(Table1[[#This Row],[Education]],Table8[Education],Table8[Id_Education])</f>
        <v>E001</v>
      </c>
      <c r="K151">
        <v>1</v>
      </c>
      <c r="L151" t="str">
        <f>_xlfn.XLOOKUP(Table1[[#This Row],[EducationField]],Table7[EducationField],Table7[Id_EducationField])</f>
        <v>EF003</v>
      </c>
      <c r="M151" t="s">
        <v>42</v>
      </c>
      <c r="N151" t="str">
        <f>_xlfn.XLOOKUP(Table1[[#This Row],[EmployeeNumber]],Table4[EmployeeNumber],Table4[Id_Employee])</f>
        <v>EMP00150</v>
      </c>
      <c r="O151">
        <v>201</v>
      </c>
      <c r="P151" t="str">
        <f>_xlfn.XLOOKUP(Table1[[#This Row],[EnvironmentSatisfaction]],Table9[EnvironmentSatisfaction],Table9[Id_EnviromentSatisfaction])</f>
        <v>ES002</v>
      </c>
      <c r="Q151">
        <v>2</v>
      </c>
      <c r="R151" t="str">
        <f>_xlfn.XLOOKUP(Table1[[#This Row],[EnvironmentSatisfaction]],Table9[EnvironmentSatisfaction],Table9[Deskripsi])</f>
        <v>Medium</v>
      </c>
      <c r="S151" t="str">
        <f>_xlfn.XLOOKUP(Table1[[#This Row],[Gender]],Table10[Gender],Table10[Id_Gender])</f>
        <v>G001</v>
      </c>
      <c r="T151" t="s">
        <v>45</v>
      </c>
      <c r="U151">
        <v>79</v>
      </c>
      <c r="V151" t="str">
        <f>_xlfn.XLOOKUP(Table1[[#This Row],[JobInvolvement]],Table11[JobInvolvement],Table11[Id_JobInvolvement])</f>
        <v>JI003</v>
      </c>
      <c r="W151">
        <v>3</v>
      </c>
      <c r="X151" t="str">
        <f>_xlfn.XLOOKUP(Table1[[#This Row],[JobLevel]],Table12[JobLevel],Table12[Id_JobLevel])</f>
        <v>JL001</v>
      </c>
      <c r="Y151">
        <v>1</v>
      </c>
      <c r="Z151" t="str">
        <f>_xlfn.XLOOKUP(Table1[[#This Row],[JobRole]],Table13[JobRole],Table13[Id_JobRole])</f>
        <v>JR003</v>
      </c>
      <c r="AA151" t="s">
        <v>49</v>
      </c>
      <c r="AB151" t="str">
        <f>_xlfn.XLOOKUP(Table1[[#This Row],[JobSatisfaction]],Table14[JobSatisfaction],Table14[Id_JobSatisfaction])</f>
        <v>JS002</v>
      </c>
      <c r="AC151">
        <v>2</v>
      </c>
      <c r="AD151" t="str">
        <f>_xlfn.XLOOKUP(Table1[[#This Row],[JobSatisfaction]],Table14[JobSatisfaction],Table14[Deskripsi])</f>
        <v>Medium</v>
      </c>
      <c r="AE151" t="str">
        <f>_xlfn.XLOOKUP(Table1[[#This Row],[MaritalStatus]],Table15[MaritalStatus],Table15[Id_MaritalStatus])</f>
        <v>MS001</v>
      </c>
      <c r="AF151" t="s">
        <v>55</v>
      </c>
      <c r="AG151">
        <v>1483</v>
      </c>
      <c r="AH151">
        <v>16102</v>
      </c>
      <c r="AI151">
        <v>1</v>
      </c>
      <c r="AJ151" t="str">
        <f>_xlfn.XLOOKUP(Table1[[#This Row],[OverTime]],Table16[OverTime],Table16[Id_OverTime])</f>
        <v>OT002</v>
      </c>
      <c r="AK151" t="s">
        <v>33</v>
      </c>
      <c r="AL151">
        <v>14</v>
      </c>
      <c r="AM151" t="str">
        <f>_xlfn.XLOOKUP(Table1[[#This Row],[PerformanceRating]],Table17[PerformanceRating],Table17[Id_PerformanceRating])</f>
        <v>PR003</v>
      </c>
      <c r="AN151">
        <v>3</v>
      </c>
      <c r="AO151" t="str">
        <f>_xlfn.XLOOKUP(Table1[[#This Row],[PerformanceRating]],Table17[PerformanceRating],Table17[Deskripsi])</f>
        <v>Excellent</v>
      </c>
      <c r="AP151" t="str">
        <f>_xlfn.XLOOKUP(Table1[[#This Row],[RelationshipSatisfaction]],Table18[RelationshipSatisfaction],Table18[Id_RelationshipSatisfaction])</f>
        <v>RS004</v>
      </c>
      <c r="AQ151">
        <v>4</v>
      </c>
      <c r="AR151" t="str">
        <f>_xlfn.XLOOKUP(Table1[[#This Row],[RelationshipSatisfaction]],Table18[RelationshipSatisfaction],Table18[Deskripsi])</f>
        <v>Very High</v>
      </c>
      <c r="AS151" t="str">
        <f>_xlfn.XLOOKUP(Table1[[#This Row],[StockOptionLevel]],Table19[StockOptionLevel],Table19[Id_StockOptionLevel])</f>
        <v>SOL001</v>
      </c>
      <c r="AT151">
        <v>0</v>
      </c>
      <c r="AU151" t="str">
        <f>_xlfn.XLOOKUP(Table1[[#This Row],[StockOptionLevel]],Table19[StockOptionLevel],Table19[Deskripsi])</f>
        <v>Non-Eligible</v>
      </c>
      <c r="AV151">
        <v>1</v>
      </c>
      <c r="AW151">
        <v>3</v>
      </c>
      <c r="AX151" t="str">
        <f>_xlfn.XLOOKUP(Table1[[#This Row],[WorkLifeBalance]],Table20[WorkLifeBalance],Table20[Id_WorkLifeBalance])</f>
        <v>WLB002</v>
      </c>
      <c r="AY151">
        <v>3</v>
      </c>
      <c r="AZ151" t="str">
        <f>_xlfn.XLOOKUP(Table1[[#This Row],[WorkLifeBalance]],Table20[WorkLifeBalance],Table20[Deskripsi])</f>
        <v>Good</v>
      </c>
      <c r="BA151">
        <v>1</v>
      </c>
      <c r="BB151">
        <v>0</v>
      </c>
      <c r="BC151">
        <v>0</v>
      </c>
      <c r="BD151">
        <v>0</v>
      </c>
    </row>
    <row r="152" spans="1:56" x14ac:dyDescent="0.25">
      <c r="A152">
        <v>40</v>
      </c>
      <c r="B152" t="str">
        <f>_xlfn.XLOOKUP(Table1[[#This Row],[Attrition]],Table2[Attrition],Table2[Id_Attrition])</f>
        <v>A002</v>
      </c>
      <c r="C152" t="s">
        <v>33</v>
      </c>
      <c r="D152" t="str">
        <f>_xlfn.XLOOKUP(Table1[[#This Row],[BusinessTravel]],Table5[BusinessTravel],Table5[Id_BusinessTravel])</f>
        <v>BS002</v>
      </c>
      <c r="E152" t="s">
        <v>35</v>
      </c>
      <c r="F152">
        <v>1395</v>
      </c>
      <c r="G152" t="str">
        <f>_xlfn.XLOOKUP(Table1[[#This Row],[Department]],Table6[Department],Table6[Id_Departement])</f>
        <v>D002</v>
      </c>
      <c r="H152" t="s">
        <v>38</v>
      </c>
      <c r="I152">
        <v>26</v>
      </c>
      <c r="J152" t="str">
        <f>_xlfn.XLOOKUP(Table1[[#This Row],[Education]],Table8[Education],Table8[Id_Education])</f>
        <v>E003</v>
      </c>
      <c r="K152">
        <v>3</v>
      </c>
      <c r="L152" t="str">
        <f>_xlfn.XLOOKUP(Table1[[#This Row],[EducationField]],Table7[EducationField],Table7[Id_EducationField])</f>
        <v>EF003</v>
      </c>
      <c r="M152" t="s">
        <v>42</v>
      </c>
      <c r="N152" t="str">
        <f>_xlfn.XLOOKUP(Table1[[#This Row],[EmployeeNumber]],Table4[EmployeeNumber],Table4[Id_Employee])</f>
        <v>EMP00151</v>
      </c>
      <c r="O152">
        <v>202</v>
      </c>
      <c r="P152" t="str">
        <f>_xlfn.XLOOKUP(Table1[[#This Row],[EnvironmentSatisfaction]],Table9[EnvironmentSatisfaction],Table9[Id_EnviromentSatisfaction])</f>
        <v>ES002</v>
      </c>
      <c r="Q152">
        <v>2</v>
      </c>
      <c r="R152" t="str">
        <f>_xlfn.XLOOKUP(Table1[[#This Row],[EnvironmentSatisfaction]],Table9[EnvironmentSatisfaction],Table9[Deskripsi])</f>
        <v>Medium</v>
      </c>
      <c r="S152" t="str">
        <f>_xlfn.XLOOKUP(Table1[[#This Row],[Gender]],Table10[Gender],Table10[Id_Gender])</f>
        <v>G001</v>
      </c>
      <c r="T152" t="s">
        <v>45</v>
      </c>
      <c r="U152">
        <v>54</v>
      </c>
      <c r="V152" t="str">
        <f>_xlfn.XLOOKUP(Table1[[#This Row],[JobInvolvement]],Table11[JobInvolvement],Table11[Id_JobInvolvement])</f>
        <v>JI003</v>
      </c>
      <c r="W152">
        <v>3</v>
      </c>
      <c r="X152" t="str">
        <f>_xlfn.XLOOKUP(Table1[[#This Row],[JobLevel]],Table12[JobLevel],Table12[Id_JobLevel])</f>
        <v>JL002</v>
      </c>
      <c r="Y152">
        <v>2</v>
      </c>
      <c r="Z152" t="str">
        <f>_xlfn.XLOOKUP(Table1[[#This Row],[JobRole]],Table13[JobRole],Table13[Id_JobRole])</f>
        <v>JR002</v>
      </c>
      <c r="AA152" t="s">
        <v>48</v>
      </c>
      <c r="AB152" t="str">
        <f>_xlfn.XLOOKUP(Table1[[#This Row],[JobSatisfaction]],Table14[JobSatisfaction],Table14[Id_JobSatisfaction])</f>
        <v>JS002</v>
      </c>
      <c r="AC152">
        <v>2</v>
      </c>
      <c r="AD152" t="str">
        <f>_xlfn.XLOOKUP(Table1[[#This Row],[JobSatisfaction]],Table14[JobSatisfaction],Table14[Deskripsi])</f>
        <v>Medium</v>
      </c>
      <c r="AE152" t="str">
        <f>_xlfn.XLOOKUP(Table1[[#This Row],[MaritalStatus]],Table15[MaritalStatus],Table15[Id_MaritalStatus])</f>
        <v>MS003</v>
      </c>
      <c r="AF152" t="s">
        <v>57</v>
      </c>
      <c r="AG152">
        <v>5605</v>
      </c>
      <c r="AH152">
        <v>8504</v>
      </c>
      <c r="AI152">
        <v>1</v>
      </c>
      <c r="AJ152" t="str">
        <f>_xlfn.XLOOKUP(Table1[[#This Row],[OverTime]],Table16[OverTime],Table16[Id_OverTime])</f>
        <v>OT002</v>
      </c>
      <c r="AK152" t="s">
        <v>33</v>
      </c>
      <c r="AL152">
        <v>11</v>
      </c>
      <c r="AM152" t="str">
        <f>_xlfn.XLOOKUP(Table1[[#This Row],[PerformanceRating]],Table17[PerformanceRating],Table17[Id_PerformanceRating])</f>
        <v>PR003</v>
      </c>
      <c r="AN152">
        <v>3</v>
      </c>
      <c r="AO152" t="str">
        <f>_xlfn.XLOOKUP(Table1[[#This Row],[PerformanceRating]],Table17[PerformanceRating],Table17[Deskripsi])</f>
        <v>Excellent</v>
      </c>
      <c r="AP152" t="str">
        <f>_xlfn.XLOOKUP(Table1[[#This Row],[RelationshipSatisfaction]],Table18[RelationshipSatisfaction],Table18[Id_RelationshipSatisfaction])</f>
        <v>RS001</v>
      </c>
      <c r="AQ152">
        <v>1</v>
      </c>
      <c r="AR152" t="str">
        <f>_xlfn.XLOOKUP(Table1[[#This Row],[RelationshipSatisfaction]],Table18[RelationshipSatisfaction],Table18[Deskripsi])</f>
        <v>Low</v>
      </c>
      <c r="AS152" t="str">
        <f>_xlfn.XLOOKUP(Table1[[#This Row],[StockOptionLevel]],Table19[StockOptionLevel],Table19[Id_StockOptionLevel])</f>
        <v>SOL002</v>
      </c>
      <c r="AT152">
        <v>1</v>
      </c>
      <c r="AU152" t="str">
        <f>_xlfn.XLOOKUP(Table1[[#This Row],[StockOptionLevel]],Table19[StockOptionLevel],Table19[Deskripsi])</f>
        <v>Standard</v>
      </c>
      <c r="AV152">
        <v>20</v>
      </c>
      <c r="AW152">
        <v>2</v>
      </c>
      <c r="AX152" t="str">
        <f>_xlfn.XLOOKUP(Table1[[#This Row],[WorkLifeBalance]],Table20[WorkLifeBalance],Table20[Id_WorkLifeBalance])</f>
        <v>WLB002</v>
      </c>
      <c r="AY152">
        <v>3</v>
      </c>
      <c r="AZ152" t="str">
        <f>_xlfn.XLOOKUP(Table1[[#This Row],[WorkLifeBalance]],Table20[WorkLifeBalance],Table20[Deskripsi])</f>
        <v>Good</v>
      </c>
      <c r="BA152">
        <v>20</v>
      </c>
      <c r="BB152">
        <v>7</v>
      </c>
      <c r="BC152">
        <v>2</v>
      </c>
      <c r="BD152">
        <v>13</v>
      </c>
    </row>
    <row r="153" spans="1:56" x14ac:dyDescent="0.25">
      <c r="A153">
        <v>35</v>
      </c>
      <c r="B153" t="str">
        <f>_xlfn.XLOOKUP(Table1[[#This Row],[Attrition]],Table2[Attrition],Table2[Id_Attrition])</f>
        <v>A002</v>
      </c>
      <c r="C153" t="s">
        <v>33</v>
      </c>
      <c r="D153" t="str">
        <f>_xlfn.XLOOKUP(Table1[[#This Row],[BusinessTravel]],Table5[BusinessTravel],Table5[Id_BusinessTravel])</f>
        <v>BS001</v>
      </c>
      <c r="E153" t="s">
        <v>34</v>
      </c>
      <c r="F153">
        <v>662</v>
      </c>
      <c r="G153" t="str">
        <f>_xlfn.XLOOKUP(Table1[[#This Row],[Department]],Table6[Department],Table6[Id_Departement])</f>
        <v>D001</v>
      </c>
      <c r="H153" t="s">
        <v>37</v>
      </c>
      <c r="I153">
        <v>1</v>
      </c>
      <c r="J153" t="str">
        <f>_xlfn.XLOOKUP(Table1[[#This Row],[Education]],Table8[Education],Table8[Id_Education])</f>
        <v>E005</v>
      </c>
      <c r="K153">
        <v>5</v>
      </c>
      <c r="L153" t="str">
        <f>_xlfn.XLOOKUP(Table1[[#This Row],[EducationField]],Table7[EducationField],Table7[Id_EducationField])</f>
        <v>EF004</v>
      </c>
      <c r="M153" t="s">
        <v>43</v>
      </c>
      <c r="N153" t="str">
        <f>_xlfn.XLOOKUP(Table1[[#This Row],[EmployeeNumber]],Table4[EmployeeNumber],Table4[Id_Employee])</f>
        <v>EMP00152</v>
      </c>
      <c r="O153">
        <v>204</v>
      </c>
      <c r="P153" t="str">
        <f>_xlfn.XLOOKUP(Table1[[#This Row],[EnvironmentSatisfaction]],Table9[EnvironmentSatisfaction],Table9[Id_EnviromentSatisfaction])</f>
        <v>ES003</v>
      </c>
      <c r="Q153">
        <v>3</v>
      </c>
      <c r="R153" t="str">
        <f>_xlfn.XLOOKUP(Table1[[#This Row],[EnvironmentSatisfaction]],Table9[EnvironmentSatisfaction],Table9[Deskripsi])</f>
        <v>High</v>
      </c>
      <c r="S153" t="str">
        <f>_xlfn.XLOOKUP(Table1[[#This Row],[Gender]],Table10[Gender],Table10[Id_Gender])</f>
        <v>G002</v>
      </c>
      <c r="T153" t="s">
        <v>46</v>
      </c>
      <c r="U153">
        <v>94</v>
      </c>
      <c r="V153" t="str">
        <f>_xlfn.XLOOKUP(Table1[[#This Row],[JobInvolvement]],Table11[JobInvolvement],Table11[Id_JobInvolvement])</f>
        <v>JI003</v>
      </c>
      <c r="W153">
        <v>3</v>
      </c>
      <c r="X153" t="str">
        <f>_xlfn.XLOOKUP(Table1[[#This Row],[JobLevel]],Table12[JobLevel],Table12[Id_JobLevel])</f>
        <v>JL003</v>
      </c>
      <c r="Y153">
        <v>3</v>
      </c>
      <c r="Z153" t="str">
        <f>_xlfn.XLOOKUP(Table1[[#This Row],[JobRole]],Table13[JobRole],Table13[Id_JobRole])</f>
        <v>JR001</v>
      </c>
      <c r="AA153" t="s">
        <v>47</v>
      </c>
      <c r="AB153" t="str">
        <f>_xlfn.XLOOKUP(Table1[[#This Row],[JobSatisfaction]],Table14[JobSatisfaction],Table14[Id_JobSatisfaction])</f>
        <v>JS002</v>
      </c>
      <c r="AC153">
        <v>2</v>
      </c>
      <c r="AD153" t="str">
        <f>_xlfn.XLOOKUP(Table1[[#This Row],[JobSatisfaction]],Table14[JobSatisfaction],Table14[Deskripsi])</f>
        <v>Medium</v>
      </c>
      <c r="AE153" t="str">
        <f>_xlfn.XLOOKUP(Table1[[#This Row],[MaritalStatus]],Table15[MaritalStatus],Table15[Id_MaritalStatus])</f>
        <v>MS002</v>
      </c>
      <c r="AF153" t="s">
        <v>56</v>
      </c>
      <c r="AG153">
        <v>7295</v>
      </c>
      <c r="AH153">
        <v>11439</v>
      </c>
      <c r="AI153">
        <v>1</v>
      </c>
      <c r="AJ153" t="str">
        <f>_xlfn.XLOOKUP(Table1[[#This Row],[OverTime]],Table16[OverTime],Table16[Id_OverTime])</f>
        <v>OT002</v>
      </c>
      <c r="AK153" t="s">
        <v>33</v>
      </c>
      <c r="AL153">
        <v>13</v>
      </c>
      <c r="AM153" t="str">
        <f>_xlfn.XLOOKUP(Table1[[#This Row],[PerformanceRating]],Table17[PerformanceRating],Table17[Id_PerformanceRating])</f>
        <v>PR003</v>
      </c>
      <c r="AN153">
        <v>3</v>
      </c>
      <c r="AO153" t="str">
        <f>_xlfn.XLOOKUP(Table1[[#This Row],[PerformanceRating]],Table17[PerformanceRating],Table17[Deskripsi])</f>
        <v>Excellent</v>
      </c>
      <c r="AP153" t="str">
        <f>_xlfn.XLOOKUP(Table1[[#This Row],[RelationshipSatisfaction]],Table18[RelationshipSatisfaction],Table18[Id_RelationshipSatisfaction])</f>
        <v>RS001</v>
      </c>
      <c r="AQ153">
        <v>1</v>
      </c>
      <c r="AR153" t="str">
        <f>_xlfn.XLOOKUP(Table1[[#This Row],[RelationshipSatisfaction]],Table18[RelationshipSatisfaction],Table18[Deskripsi])</f>
        <v>Low</v>
      </c>
      <c r="AS153" t="str">
        <f>_xlfn.XLOOKUP(Table1[[#This Row],[StockOptionLevel]],Table19[StockOptionLevel],Table19[Id_StockOptionLevel])</f>
        <v>SOL003</v>
      </c>
      <c r="AT153">
        <v>2</v>
      </c>
      <c r="AU153" t="str">
        <f>_xlfn.XLOOKUP(Table1[[#This Row],[StockOptionLevel]],Table19[StockOptionLevel],Table19[Deskripsi])</f>
        <v>Intermediate</v>
      </c>
      <c r="AV153">
        <v>10</v>
      </c>
      <c r="AW153">
        <v>3</v>
      </c>
      <c r="AX153" t="str">
        <f>_xlfn.XLOOKUP(Table1[[#This Row],[WorkLifeBalance]],Table20[WorkLifeBalance],Table20[Id_WorkLifeBalance])</f>
        <v>WLB002</v>
      </c>
      <c r="AY153">
        <v>3</v>
      </c>
      <c r="AZ153" t="str">
        <f>_xlfn.XLOOKUP(Table1[[#This Row],[WorkLifeBalance]],Table20[WorkLifeBalance],Table20[Deskripsi])</f>
        <v>Good</v>
      </c>
      <c r="BA153">
        <v>10</v>
      </c>
      <c r="BB153">
        <v>8</v>
      </c>
      <c r="BC153">
        <v>0</v>
      </c>
      <c r="BD153">
        <v>6</v>
      </c>
    </row>
    <row r="154" spans="1:56" x14ac:dyDescent="0.25">
      <c r="A154">
        <v>53</v>
      </c>
      <c r="B154" t="str">
        <f>_xlfn.XLOOKUP(Table1[[#This Row],[Attrition]],Table2[Attrition],Table2[Id_Attrition])</f>
        <v>A002</v>
      </c>
      <c r="C154" t="s">
        <v>33</v>
      </c>
      <c r="D154" t="str">
        <f>_xlfn.XLOOKUP(Table1[[#This Row],[BusinessTravel]],Table5[BusinessTravel],Table5[Id_BusinessTravel])</f>
        <v>BS001</v>
      </c>
      <c r="E154" t="s">
        <v>34</v>
      </c>
      <c r="F154">
        <v>1436</v>
      </c>
      <c r="G154" t="str">
        <f>_xlfn.XLOOKUP(Table1[[#This Row],[Department]],Table6[Department],Table6[Id_Departement])</f>
        <v>D001</v>
      </c>
      <c r="H154" t="s">
        <v>37</v>
      </c>
      <c r="I154">
        <v>6</v>
      </c>
      <c r="J154" t="str">
        <f>_xlfn.XLOOKUP(Table1[[#This Row],[Education]],Table8[Education],Table8[Id_Education])</f>
        <v>E002</v>
      </c>
      <c r="K154">
        <v>2</v>
      </c>
      <c r="L154" t="str">
        <f>_xlfn.XLOOKUP(Table1[[#This Row],[EducationField]],Table7[EducationField],Table7[Id_EducationField])</f>
        <v>EF004</v>
      </c>
      <c r="M154" t="s">
        <v>43</v>
      </c>
      <c r="N154" t="str">
        <f>_xlfn.XLOOKUP(Table1[[#This Row],[EmployeeNumber]],Table4[EmployeeNumber],Table4[Id_Employee])</f>
        <v>EMP00153</v>
      </c>
      <c r="O154">
        <v>205</v>
      </c>
      <c r="P154" t="str">
        <f>_xlfn.XLOOKUP(Table1[[#This Row],[EnvironmentSatisfaction]],Table9[EnvironmentSatisfaction],Table9[Id_EnviromentSatisfaction])</f>
        <v>ES002</v>
      </c>
      <c r="Q154">
        <v>2</v>
      </c>
      <c r="R154" t="str">
        <f>_xlfn.XLOOKUP(Table1[[#This Row],[EnvironmentSatisfaction]],Table9[EnvironmentSatisfaction],Table9[Deskripsi])</f>
        <v>Medium</v>
      </c>
      <c r="S154" t="str">
        <f>_xlfn.XLOOKUP(Table1[[#This Row],[Gender]],Table10[Gender],Table10[Id_Gender])</f>
        <v>G002</v>
      </c>
      <c r="T154" t="s">
        <v>46</v>
      </c>
      <c r="U154">
        <v>34</v>
      </c>
      <c r="V154" t="str">
        <f>_xlfn.XLOOKUP(Table1[[#This Row],[JobInvolvement]],Table11[JobInvolvement],Table11[Id_JobInvolvement])</f>
        <v>JI003</v>
      </c>
      <c r="W154">
        <v>3</v>
      </c>
      <c r="X154" t="str">
        <f>_xlfn.XLOOKUP(Table1[[#This Row],[JobLevel]],Table12[JobLevel],Table12[Id_JobLevel])</f>
        <v>JL002</v>
      </c>
      <c r="Y154">
        <v>2</v>
      </c>
      <c r="Z154" t="str">
        <f>_xlfn.XLOOKUP(Table1[[#This Row],[JobRole]],Table13[JobRole],Table13[Id_JobRole])</f>
        <v>JR007</v>
      </c>
      <c r="AA154" t="s">
        <v>53</v>
      </c>
      <c r="AB154" t="str">
        <f>_xlfn.XLOOKUP(Table1[[#This Row],[JobSatisfaction]],Table14[JobSatisfaction],Table14[Id_JobSatisfaction])</f>
        <v>JS003</v>
      </c>
      <c r="AC154">
        <v>3</v>
      </c>
      <c r="AD154" t="str">
        <f>_xlfn.XLOOKUP(Table1[[#This Row],[JobSatisfaction]],Table14[JobSatisfaction],Table14[Deskripsi])</f>
        <v>High</v>
      </c>
      <c r="AE154" t="str">
        <f>_xlfn.XLOOKUP(Table1[[#This Row],[MaritalStatus]],Table15[MaritalStatus],Table15[Id_MaritalStatus])</f>
        <v>MS002</v>
      </c>
      <c r="AF154" t="s">
        <v>56</v>
      </c>
      <c r="AG154">
        <v>2306</v>
      </c>
      <c r="AH154">
        <v>16047</v>
      </c>
      <c r="AI154">
        <v>2</v>
      </c>
      <c r="AJ154" t="str">
        <f>_xlfn.XLOOKUP(Table1[[#This Row],[OverTime]],Table16[OverTime],Table16[Id_OverTime])</f>
        <v>OT001</v>
      </c>
      <c r="AK154" t="s">
        <v>32</v>
      </c>
      <c r="AL154">
        <v>20</v>
      </c>
      <c r="AM154" t="str">
        <f>_xlfn.XLOOKUP(Table1[[#This Row],[PerformanceRating]],Table17[PerformanceRating],Table17[Id_PerformanceRating])</f>
        <v>PR004</v>
      </c>
      <c r="AN154">
        <v>4</v>
      </c>
      <c r="AO154" t="str">
        <f>_xlfn.XLOOKUP(Table1[[#This Row],[PerformanceRating]],Table17[PerformanceRating],Table17[Deskripsi])</f>
        <v>Outstanding</v>
      </c>
      <c r="AP154" t="str">
        <f>_xlfn.XLOOKUP(Table1[[#This Row],[RelationshipSatisfaction]],Table18[RelationshipSatisfaction],Table18[Id_RelationshipSatisfaction])</f>
        <v>RS004</v>
      </c>
      <c r="AQ154">
        <v>4</v>
      </c>
      <c r="AR154" t="str">
        <f>_xlfn.XLOOKUP(Table1[[#This Row],[RelationshipSatisfaction]],Table18[RelationshipSatisfaction],Table18[Deskripsi])</f>
        <v>Very High</v>
      </c>
      <c r="AS154" t="str">
        <f>_xlfn.XLOOKUP(Table1[[#This Row],[StockOptionLevel]],Table19[StockOptionLevel],Table19[Id_StockOptionLevel])</f>
        <v>SOL002</v>
      </c>
      <c r="AT154">
        <v>1</v>
      </c>
      <c r="AU154" t="str">
        <f>_xlfn.XLOOKUP(Table1[[#This Row],[StockOptionLevel]],Table19[StockOptionLevel],Table19[Deskripsi])</f>
        <v>Standard</v>
      </c>
      <c r="AV154">
        <v>13</v>
      </c>
      <c r="AW154">
        <v>3</v>
      </c>
      <c r="AX154" t="str">
        <f>_xlfn.XLOOKUP(Table1[[#This Row],[WorkLifeBalance]],Table20[WorkLifeBalance],Table20[Id_WorkLifeBalance])</f>
        <v>WLB001</v>
      </c>
      <c r="AY154">
        <v>1</v>
      </c>
      <c r="AZ154" t="str">
        <f>_xlfn.XLOOKUP(Table1[[#This Row],[WorkLifeBalance]],Table20[WorkLifeBalance],Table20[Deskripsi])</f>
        <v>Bad</v>
      </c>
      <c r="BA154">
        <v>7</v>
      </c>
      <c r="BB154">
        <v>7</v>
      </c>
      <c r="BC154">
        <v>4</v>
      </c>
      <c r="BD154">
        <v>5</v>
      </c>
    </row>
    <row r="155" spans="1:56" x14ac:dyDescent="0.25">
      <c r="A155">
        <v>45</v>
      </c>
      <c r="B155" t="str">
        <f>_xlfn.XLOOKUP(Table1[[#This Row],[Attrition]],Table2[Attrition],Table2[Id_Attrition])</f>
        <v>A002</v>
      </c>
      <c r="C155" t="s">
        <v>33</v>
      </c>
      <c r="D155" t="str">
        <f>_xlfn.XLOOKUP(Table1[[#This Row],[BusinessTravel]],Table5[BusinessTravel],Table5[Id_BusinessTravel])</f>
        <v>BS001</v>
      </c>
      <c r="E155" t="s">
        <v>34</v>
      </c>
      <c r="F155">
        <v>194</v>
      </c>
      <c r="G155" t="str">
        <f>_xlfn.XLOOKUP(Table1[[#This Row],[Department]],Table6[Department],Table6[Id_Departement])</f>
        <v>D002</v>
      </c>
      <c r="H155" t="s">
        <v>38</v>
      </c>
      <c r="I155">
        <v>9</v>
      </c>
      <c r="J155" t="str">
        <f>_xlfn.XLOOKUP(Table1[[#This Row],[Education]],Table8[Education],Table8[Id_Education])</f>
        <v>E003</v>
      </c>
      <c r="K155">
        <v>3</v>
      </c>
      <c r="L155" t="str">
        <f>_xlfn.XLOOKUP(Table1[[#This Row],[EducationField]],Table7[EducationField],Table7[Id_EducationField])</f>
        <v>EF001</v>
      </c>
      <c r="M155" t="s">
        <v>40</v>
      </c>
      <c r="N155" t="str">
        <f>_xlfn.XLOOKUP(Table1[[#This Row],[EmployeeNumber]],Table4[EmployeeNumber],Table4[Id_Employee])</f>
        <v>EMP00154</v>
      </c>
      <c r="O155">
        <v>206</v>
      </c>
      <c r="P155" t="str">
        <f>_xlfn.XLOOKUP(Table1[[#This Row],[EnvironmentSatisfaction]],Table9[EnvironmentSatisfaction],Table9[Id_EnviromentSatisfaction])</f>
        <v>ES002</v>
      </c>
      <c r="Q155">
        <v>2</v>
      </c>
      <c r="R155" t="str">
        <f>_xlfn.XLOOKUP(Table1[[#This Row],[EnvironmentSatisfaction]],Table9[EnvironmentSatisfaction],Table9[Deskripsi])</f>
        <v>Medium</v>
      </c>
      <c r="S155" t="str">
        <f>_xlfn.XLOOKUP(Table1[[#This Row],[Gender]],Table10[Gender],Table10[Id_Gender])</f>
        <v>G002</v>
      </c>
      <c r="T155" t="s">
        <v>46</v>
      </c>
      <c r="U155">
        <v>60</v>
      </c>
      <c r="V155" t="str">
        <f>_xlfn.XLOOKUP(Table1[[#This Row],[JobInvolvement]],Table11[JobInvolvement],Table11[Id_JobInvolvement])</f>
        <v>JI003</v>
      </c>
      <c r="W155">
        <v>3</v>
      </c>
      <c r="X155" t="str">
        <f>_xlfn.XLOOKUP(Table1[[#This Row],[JobLevel]],Table12[JobLevel],Table12[Id_JobLevel])</f>
        <v>JL002</v>
      </c>
      <c r="Y155">
        <v>2</v>
      </c>
      <c r="Z155" t="str">
        <f>_xlfn.XLOOKUP(Table1[[#This Row],[JobRole]],Table13[JobRole],Table13[Id_JobRole])</f>
        <v>JR003</v>
      </c>
      <c r="AA155" t="s">
        <v>49</v>
      </c>
      <c r="AB155" t="str">
        <f>_xlfn.XLOOKUP(Table1[[#This Row],[JobSatisfaction]],Table14[JobSatisfaction],Table14[Id_JobSatisfaction])</f>
        <v>JS002</v>
      </c>
      <c r="AC155">
        <v>2</v>
      </c>
      <c r="AD155" t="str">
        <f>_xlfn.XLOOKUP(Table1[[#This Row],[JobSatisfaction]],Table14[JobSatisfaction],Table14[Deskripsi])</f>
        <v>Medium</v>
      </c>
      <c r="AE155" t="str">
        <f>_xlfn.XLOOKUP(Table1[[#This Row],[MaritalStatus]],Table15[MaritalStatus],Table15[Id_MaritalStatus])</f>
        <v>MS003</v>
      </c>
      <c r="AF155" t="s">
        <v>57</v>
      </c>
      <c r="AG155">
        <v>2348</v>
      </c>
      <c r="AH155">
        <v>10901</v>
      </c>
      <c r="AI155">
        <v>8</v>
      </c>
      <c r="AJ155" t="str">
        <f>_xlfn.XLOOKUP(Table1[[#This Row],[OverTime]],Table16[OverTime],Table16[Id_OverTime])</f>
        <v>OT002</v>
      </c>
      <c r="AK155" t="s">
        <v>33</v>
      </c>
      <c r="AL155">
        <v>18</v>
      </c>
      <c r="AM155" t="str">
        <f>_xlfn.XLOOKUP(Table1[[#This Row],[PerformanceRating]],Table17[PerformanceRating],Table17[Id_PerformanceRating])</f>
        <v>PR003</v>
      </c>
      <c r="AN155">
        <v>3</v>
      </c>
      <c r="AO155" t="str">
        <f>_xlfn.XLOOKUP(Table1[[#This Row],[PerformanceRating]],Table17[PerformanceRating],Table17[Deskripsi])</f>
        <v>Excellent</v>
      </c>
      <c r="AP155" t="str">
        <f>_xlfn.XLOOKUP(Table1[[#This Row],[RelationshipSatisfaction]],Table18[RelationshipSatisfaction],Table18[Id_RelationshipSatisfaction])</f>
        <v>RS003</v>
      </c>
      <c r="AQ155">
        <v>3</v>
      </c>
      <c r="AR155" t="str">
        <f>_xlfn.XLOOKUP(Table1[[#This Row],[RelationshipSatisfaction]],Table18[RelationshipSatisfaction],Table18[Deskripsi])</f>
        <v>High</v>
      </c>
      <c r="AS155" t="str">
        <f>_xlfn.XLOOKUP(Table1[[#This Row],[StockOptionLevel]],Table19[StockOptionLevel],Table19[Id_StockOptionLevel])</f>
        <v>SOL002</v>
      </c>
      <c r="AT155">
        <v>1</v>
      </c>
      <c r="AU155" t="str">
        <f>_xlfn.XLOOKUP(Table1[[#This Row],[StockOptionLevel]],Table19[StockOptionLevel],Table19[Deskripsi])</f>
        <v>Standard</v>
      </c>
      <c r="AV155">
        <v>20</v>
      </c>
      <c r="AW155">
        <v>2</v>
      </c>
      <c r="AX155" t="str">
        <f>_xlfn.XLOOKUP(Table1[[#This Row],[WorkLifeBalance]],Table20[WorkLifeBalance],Table20[Id_WorkLifeBalance])</f>
        <v>WLB001</v>
      </c>
      <c r="AY155">
        <v>1</v>
      </c>
      <c r="AZ155" t="str">
        <f>_xlfn.XLOOKUP(Table1[[#This Row],[WorkLifeBalance]],Table20[WorkLifeBalance],Table20[Deskripsi])</f>
        <v>Bad</v>
      </c>
      <c r="BA155">
        <v>17</v>
      </c>
      <c r="BB155">
        <v>9</v>
      </c>
      <c r="BC155">
        <v>0</v>
      </c>
      <c r="BD155">
        <v>15</v>
      </c>
    </row>
    <row r="156" spans="1:56" x14ac:dyDescent="0.25">
      <c r="A156">
        <v>32</v>
      </c>
      <c r="B156" t="str">
        <f>_xlfn.XLOOKUP(Table1[[#This Row],[Attrition]],Table2[Attrition],Table2[Id_Attrition])</f>
        <v>A002</v>
      </c>
      <c r="C156" t="s">
        <v>33</v>
      </c>
      <c r="D156" t="str">
        <f>_xlfn.XLOOKUP(Table1[[#This Row],[BusinessTravel]],Table5[BusinessTravel],Table5[Id_BusinessTravel])</f>
        <v>BS002</v>
      </c>
      <c r="E156" t="s">
        <v>35</v>
      </c>
      <c r="F156">
        <v>967</v>
      </c>
      <c r="G156" t="str">
        <f>_xlfn.XLOOKUP(Table1[[#This Row],[Department]],Table6[Department],Table6[Id_Departement])</f>
        <v>D001</v>
      </c>
      <c r="H156" t="s">
        <v>37</v>
      </c>
      <c r="I156">
        <v>8</v>
      </c>
      <c r="J156" t="str">
        <f>_xlfn.XLOOKUP(Table1[[#This Row],[Education]],Table8[Education],Table8[Id_Education])</f>
        <v>E003</v>
      </c>
      <c r="K156">
        <v>3</v>
      </c>
      <c r="L156" t="str">
        <f>_xlfn.XLOOKUP(Table1[[#This Row],[EducationField]],Table7[EducationField],Table7[Id_EducationField])</f>
        <v>EF004</v>
      </c>
      <c r="M156" t="s">
        <v>43</v>
      </c>
      <c r="N156" t="str">
        <f>_xlfn.XLOOKUP(Table1[[#This Row],[EmployeeNumber]],Table4[EmployeeNumber],Table4[Id_Employee])</f>
        <v>EMP00155</v>
      </c>
      <c r="O156">
        <v>207</v>
      </c>
      <c r="P156" t="str">
        <f>_xlfn.XLOOKUP(Table1[[#This Row],[EnvironmentSatisfaction]],Table9[EnvironmentSatisfaction],Table9[Id_EnviromentSatisfaction])</f>
        <v>ES002</v>
      </c>
      <c r="Q156">
        <v>2</v>
      </c>
      <c r="R156" t="str">
        <f>_xlfn.XLOOKUP(Table1[[#This Row],[EnvironmentSatisfaction]],Table9[EnvironmentSatisfaction],Table9[Deskripsi])</f>
        <v>Medium</v>
      </c>
      <c r="S156" t="str">
        <f>_xlfn.XLOOKUP(Table1[[#This Row],[Gender]],Table10[Gender],Table10[Id_Gender])</f>
        <v>G001</v>
      </c>
      <c r="T156" t="s">
        <v>45</v>
      </c>
      <c r="U156">
        <v>43</v>
      </c>
      <c r="V156" t="str">
        <f>_xlfn.XLOOKUP(Table1[[#This Row],[JobInvolvement]],Table11[JobInvolvement],Table11[Id_JobInvolvement])</f>
        <v>JI003</v>
      </c>
      <c r="W156">
        <v>3</v>
      </c>
      <c r="X156" t="str">
        <f>_xlfn.XLOOKUP(Table1[[#This Row],[JobLevel]],Table12[JobLevel],Table12[Id_JobLevel])</f>
        <v>JL003</v>
      </c>
      <c r="Y156">
        <v>3</v>
      </c>
      <c r="Z156" t="str">
        <f>_xlfn.XLOOKUP(Table1[[#This Row],[JobRole]],Table13[JobRole],Table13[Id_JobRole])</f>
        <v>JR001</v>
      </c>
      <c r="AA156" t="s">
        <v>47</v>
      </c>
      <c r="AB156" t="str">
        <f>_xlfn.XLOOKUP(Table1[[#This Row],[JobSatisfaction]],Table14[JobSatisfaction],Table14[Id_JobSatisfaction])</f>
        <v>JS004</v>
      </c>
      <c r="AC156">
        <v>4</v>
      </c>
      <c r="AD156" t="str">
        <f>_xlfn.XLOOKUP(Table1[[#This Row],[JobSatisfaction]],Table14[JobSatisfaction],Table14[Deskripsi])</f>
        <v>Very High</v>
      </c>
      <c r="AE156" t="str">
        <f>_xlfn.XLOOKUP(Table1[[#This Row],[MaritalStatus]],Table15[MaritalStatus],Table15[Id_MaritalStatus])</f>
        <v>MS001</v>
      </c>
      <c r="AF156" t="s">
        <v>55</v>
      </c>
      <c r="AG156">
        <v>8998</v>
      </c>
      <c r="AH156">
        <v>15589</v>
      </c>
      <c r="AI156">
        <v>1</v>
      </c>
      <c r="AJ156" t="str">
        <f>_xlfn.XLOOKUP(Table1[[#This Row],[OverTime]],Table16[OverTime],Table16[Id_OverTime])</f>
        <v>OT002</v>
      </c>
      <c r="AK156" t="s">
        <v>33</v>
      </c>
      <c r="AL156">
        <v>14</v>
      </c>
      <c r="AM156" t="str">
        <f>_xlfn.XLOOKUP(Table1[[#This Row],[PerformanceRating]],Table17[PerformanceRating],Table17[Id_PerformanceRating])</f>
        <v>PR003</v>
      </c>
      <c r="AN156">
        <v>3</v>
      </c>
      <c r="AO156" t="str">
        <f>_xlfn.XLOOKUP(Table1[[#This Row],[PerformanceRating]],Table17[PerformanceRating],Table17[Deskripsi])</f>
        <v>Excellent</v>
      </c>
      <c r="AP156" t="str">
        <f>_xlfn.XLOOKUP(Table1[[#This Row],[RelationshipSatisfaction]],Table18[RelationshipSatisfaction],Table18[Id_RelationshipSatisfaction])</f>
        <v>RS004</v>
      </c>
      <c r="AQ156">
        <v>4</v>
      </c>
      <c r="AR156" t="str">
        <f>_xlfn.XLOOKUP(Table1[[#This Row],[RelationshipSatisfaction]],Table18[RelationshipSatisfaction],Table18[Deskripsi])</f>
        <v>Very High</v>
      </c>
      <c r="AS156" t="str">
        <f>_xlfn.XLOOKUP(Table1[[#This Row],[StockOptionLevel]],Table19[StockOptionLevel],Table19[Id_StockOptionLevel])</f>
        <v>SOL001</v>
      </c>
      <c r="AT156">
        <v>0</v>
      </c>
      <c r="AU156" t="str">
        <f>_xlfn.XLOOKUP(Table1[[#This Row],[StockOptionLevel]],Table19[StockOptionLevel],Table19[Deskripsi])</f>
        <v>Non-Eligible</v>
      </c>
      <c r="AV156">
        <v>9</v>
      </c>
      <c r="AW156">
        <v>2</v>
      </c>
      <c r="AX156" t="str">
        <f>_xlfn.XLOOKUP(Table1[[#This Row],[WorkLifeBalance]],Table20[WorkLifeBalance],Table20[Id_WorkLifeBalance])</f>
        <v>WLB002</v>
      </c>
      <c r="AY156">
        <v>3</v>
      </c>
      <c r="AZ156" t="str">
        <f>_xlfn.XLOOKUP(Table1[[#This Row],[WorkLifeBalance]],Table20[WorkLifeBalance],Table20[Deskripsi])</f>
        <v>Good</v>
      </c>
      <c r="BA156">
        <v>9</v>
      </c>
      <c r="BB156">
        <v>8</v>
      </c>
      <c r="BC156">
        <v>3</v>
      </c>
      <c r="BD156">
        <v>7</v>
      </c>
    </row>
    <row r="157" spans="1:56" x14ac:dyDescent="0.25">
      <c r="A157">
        <v>29</v>
      </c>
      <c r="B157" t="str">
        <f>_xlfn.XLOOKUP(Table1[[#This Row],[Attrition]],Table2[Attrition],Table2[Id_Attrition])</f>
        <v>A002</v>
      </c>
      <c r="C157" t="s">
        <v>33</v>
      </c>
      <c r="D157" t="str">
        <f>_xlfn.XLOOKUP(Table1[[#This Row],[BusinessTravel]],Table5[BusinessTravel],Table5[Id_BusinessTravel])</f>
        <v>BS003</v>
      </c>
      <c r="E157" t="s">
        <v>36</v>
      </c>
      <c r="F157">
        <v>1496</v>
      </c>
      <c r="G157" t="str">
        <f>_xlfn.XLOOKUP(Table1[[#This Row],[Department]],Table6[Department],Table6[Id_Departement])</f>
        <v>D002</v>
      </c>
      <c r="H157" t="s">
        <v>38</v>
      </c>
      <c r="I157">
        <v>1</v>
      </c>
      <c r="J157" t="str">
        <f>_xlfn.XLOOKUP(Table1[[#This Row],[Education]],Table8[Education],Table8[Id_Education])</f>
        <v>E001</v>
      </c>
      <c r="K157">
        <v>1</v>
      </c>
      <c r="L157" t="str">
        <f>_xlfn.XLOOKUP(Table1[[#This Row],[EducationField]],Table7[EducationField],Table7[Id_EducationField])</f>
        <v>EF005</v>
      </c>
      <c r="M157" t="s">
        <v>44</v>
      </c>
      <c r="N157" t="str">
        <f>_xlfn.XLOOKUP(Table1[[#This Row],[EmployeeNumber]],Table4[EmployeeNumber],Table4[Id_Employee])</f>
        <v>EMP00156</v>
      </c>
      <c r="O157">
        <v>208</v>
      </c>
      <c r="P157" t="str">
        <f>_xlfn.XLOOKUP(Table1[[#This Row],[EnvironmentSatisfaction]],Table9[EnvironmentSatisfaction],Table9[Id_EnviromentSatisfaction])</f>
        <v>ES004</v>
      </c>
      <c r="Q157">
        <v>4</v>
      </c>
      <c r="R157" t="str">
        <f>_xlfn.XLOOKUP(Table1[[#This Row],[EnvironmentSatisfaction]],Table9[EnvironmentSatisfaction],Table9[Deskripsi])</f>
        <v>Very High</v>
      </c>
      <c r="S157" t="str">
        <f>_xlfn.XLOOKUP(Table1[[#This Row],[Gender]],Table10[Gender],Table10[Id_Gender])</f>
        <v>G002</v>
      </c>
      <c r="T157" t="s">
        <v>46</v>
      </c>
      <c r="U157">
        <v>41</v>
      </c>
      <c r="V157" t="str">
        <f>_xlfn.XLOOKUP(Table1[[#This Row],[JobInvolvement]],Table11[JobInvolvement],Table11[Id_JobInvolvement])</f>
        <v>JI003</v>
      </c>
      <c r="W157">
        <v>3</v>
      </c>
      <c r="X157" t="str">
        <f>_xlfn.XLOOKUP(Table1[[#This Row],[JobLevel]],Table12[JobLevel],Table12[Id_JobLevel])</f>
        <v>JL002</v>
      </c>
      <c r="Y157">
        <v>2</v>
      </c>
      <c r="Z157" t="str">
        <f>_xlfn.XLOOKUP(Table1[[#This Row],[JobRole]],Table13[JobRole],Table13[Id_JobRole])</f>
        <v>JR004</v>
      </c>
      <c r="AA157" t="s">
        <v>50</v>
      </c>
      <c r="AB157" t="str">
        <f>_xlfn.XLOOKUP(Table1[[#This Row],[JobSatisfaction]],Table14[JobSatisfaction],Table14[Id_JobSatisfaction])</f>
        <v>JS003</v>
      </c>
      <c r="AC157">
        <v>3</v>
      </c>
      <c r="AD157" t="str">
        <f>_xlfn.XLOOKUP(Table1[[#This Row],[JobSatisfaction]],Table14[JobSatisfaction],Table14[Deskripsi])</f>
        <v>High</v>
      </c>
      <c r="AE157" t="str">
        <f>_xlfn.XLOOKUP(Table1[[#This Row],[MaritalStatus]],Table15[MaritalStatus],Table15[Id_MaritalStatus])</f>
        <v>MS002</v>
      </c>
      <c r="AF157" t="s">
        <v>56</v>
      </c>
      <c r="AG157">
        <v>4319</v>
      </c>
      <c r="AH157">
        <v>26283</v>
      </c>
      <c r="AI157">
        <v>1</v>
      </c>
      <c r="AJ157" t="str">
        <f>_xlfn.XLOOKUP(Table1[[#This Row],[OverTime]],Table16[OverTime],Table16[Id_OverTime])</f>
        <v>OT002</v>
      </c>
      <c r="AK157" t="s">
        <v>33</v>
      </c>
      <c r="AL157">
        <v>13</v>
      </c>
      <c r="AM157" t="str">
        <f>_xlfn.XLOOKUP(Table1[[#This Row],[PerformanceRating]],Table17[PerformanceRating],Table17[Id_PerformanceRating])</f>
        <v>PR003</v>
      </c>
      <c r="AN157">
        <v>3</v>
      </c>
      <c r="AO157" t="str">
        <f>_xlfn.XLOOKUP(Table1[[#This Row],[PerformanceRating]],Table17[PerformanceRating],Table17[Deskripsi])</f>
        <v>Excellent</v>
      </c>
      <c r="AP157" t="str">
        <f>_xlfn.XLOOKUP(Table1[[#This Row],[RelationshipSatisfaction]],Table18[RelationshipSatisfaction],Table18[Id_RelationshipSatisfaction])</f>
        <v>RS001</v>
      </c>
      <c r="AQ157">
        <v>1</v>
      </c>
      <c r="AR157" t="str">
        <f>_xlfn.XLOOKUP(Table1[[#This Row],[RelationshipSatisfaction]],Table18[RelationshipSatisfaction],Table18[Deskripsi])</f>
        <v>Low</v>
      </c>
      <c r="AS157" t="str">
        <f>_xlfn.XLOOKUP(Table1[[#This Row],[StockOptionLevel]],Table19[StockOptionLevel],Table19[Id_StockOptionLevel])</f>
        <v>SOL002</v>
      </c>
      <c r="AT157">
        <v>1</v>
      </c>
      <c r="AU157" t="str">
        <f>_xlfn.XLOOKUP(Table1[[#This Row],[StockOptionLevel]],Table19[StockOptionLevel],Table19[Deskripsi])</f>
        <v>Standard</v>
      </c>
      <c r="AV157">
        <v>10</v>
      </c>
      <c r="AW157">
        <v>1</v>
      </c>
      <c r="AX157" t="str">
        <f>_xlfn.XLOOKUP(Table1[[#This Row],[WorkLifeBalance]],Table20[WorkLifeBalance],Table20[Id_WorkLifeBalance])</f>
        <v>WLB002</v>
      </c>
      <c r="AY157">
        <v>3</v>
      </c>
      <c r="AZ157" t="str">
        <f>_xlfn.XLOOKUP(Table1[[#This Row],[WorkLifeBalance]],Table20[WorkLifeBalance],Table20[Deskripsi])</f>
        <v>Good</v>
      </c>
      <c r="BA157">
        <v>10</v>
      </c>
      <c r="BB157">
        <v>7</v>
      </c>
      <c r="BC157">
        <v>0</v>
      </c>
      <c r="BD157">
        <v>9</v>
      </c>
    </row>
    <row r="158" spans="1:56" x14ac:dyDescent="0.25">
      <c r="A158">
        <v>51</v>
      </c>
      <c r="B158" t="str">
        <f>_xlfn.XLOOKUP(Table1[[#This Row],[Attrition]],Table2[Attrition],Table2[Id_Attrition])</f>
        <v>A002</v>
      </c>
      <c r="C158" t="s">
        <v>33</v>
      </c>
      <c r="D158" t="str">
        <f>_xlfn.XLOOKUP(Table1[[#This Row],[BusinessTravel]],Table5[BusinessTravel],Table5[Id_BusinessTravel])</f>
        <v>BS001</v>
      </c>
      <c r="E158" t="s">
        <v>34</v>
      </c>
      <c r="F158">
        <v>1169</v>
      </c>
      <c r="G158" t="str">
        <f>_xlfn.XLOOKUP(Table1[[#This Row],[Department]],Table6[Department],Table6[Id_Departement])</f>
        <v>D002</v>
      </c>
      <c r="H158" t="s">
        <v>38</v>
      </c>
      <c r="I158">
        <v>7</v>
      </c>
      <c r="J158" t="str">
        <f>_xlfn.XLOOKUP(Table1[[#This Row],[Education]],Table8[Education],Table8[Id_Education])</f>
        <v>E004</v>
      </c>
      <c r="K158">
        <v>4</v>
      </c>
      <c r="L158" t="str">
        <f>_xlfn.XLOOKUP(Table1[[#This Row],[EducationField]],Table7[EducationField],Table7[Id_EducationField])</f>
        <v>EF003</v>
      </c>
      <c r="M158" t="s">
        <v>42</v>
      </c>
      <c r="N158" t="str">
        <f>_xlfn.XLOOKUP(Table1[[#This Row],[EmployeeNumber]],Table4[EmployeeNumber],Table4[Id_Employee])</f>
        <v>EMP00157</v>
      </c>
      <c r="O158">
        <v>211</v>
      </c>
      <c r="P158" t="str">
        <f>_xlfn.XLOOKUP(Table1[[#This Row],[EnvironmentSatisfaction]],Table9[EnvironmentSatisfaction],Table9[Id_EnviromentSatisfaction])</f>
        <v>ES002</v>
      </c>
      <c r="Q158">
        <v>2</v>
      </c>
      <c r="R158" t="str">
        <f>_xlfn.XLOOKUP(Table1[[#This Row],[EnvironmentSatisfaction]],Table9[EnvironmentSatisfaction],Table9[Deskripsi])</f>
        <v>Medium</v>
      </c>
      <c r="S158" t="str">
        <f>_xlfn.XLOOKUP(Table1[[#This Row],[Gender]],Table10[Gender],Table10[Id_Gender])</f>
        <v>G002</v>
      </c>
      <c r="T158" t="s">
        <v>46</v>
      </c>
      <c r="U158">
        <v>34</v>
      </c>
      <c r="V158" t="str">
        <f>_xlfn.XLOOKUP(Table1[[#This Row],[JobInvolvement]],Table11[JobInvolvement],Table11[Id_JobInvolvement])</f>
        <v>JI002</v>
      </c>
      <c r="W158">
        <v>2</v>
      </c>
      <c r="X158" t="str">
        <f>_xlfn.XLOOKUP(Table1[[#This Row],[JobLevel]],Table12[JobLevel],Table12[Id_JobLevel])</f>
        <v>JL002</v>
      </c>
      <c r="Y158">
        <v>2</v>
      </c>
      <c r="Z158" t="str">
        <f>_xlfn.XLOOKUP(Table1[[#This Row],[JobRole]],Table13[JobRole],Table13[Id_JobRole])</f>
        <v>JR004</v>
      </c>
      <c r="AA158" t="s">
        <v>50</v>
      </c>
      <c r="AB158" t="str">
        <f>_xlfn.XLOOKUP(Table1[[#This Row],[JobSatisfaction]],Table14[JobSatisfaction],Table14[Id_JobSatisfaction])</f>
        <v>JS003</v>
      </c>
      <c r="AC158">
        <v>3</v>
      </c>
      <c r="AD158" t="str">
        <f>_xlfn.XLOOKUP(Table1[[#This Row],[JobSatisfaction]],Table14[JobSatisfaction],Table14[Deskripsi])</f>
        <v>High</v>
      </c>
      <c r="AE158" t="str">
        <f>_xlfn.XLOOKUP(Table1[[#This Row],[MaritalStatus]],Table15[MaritalStatus],Table15[Id_MaritalStatus])</f>
        <v>MS002</v>
      </c>
      <c r="AF158" t="s">
        <v>56</v>
      </c>
      <c r="AG158">
        <v>6132</v>
      </c>
      <c r="AH158">
        <v>13983</v>
      </c>
      <c r="AI158">
        <v>2</v>
      </c>
      <c r="AJ158" t="str">
        <f>_xlfn.XLOOKUP(Table1[[#This Row],[OverTime]],Table16[OverTime],Table16[Id_OverTime])</f>
        <v>OT002</v>
      </c>
      <c r="AK158" t="s">
        <v>33</v>
      </c>
      <c r="AL158">
        <v>17</v>
      </c>
      <c r="AM158" t="str">
        <f>_xlfn.XLOOKUP(Table1[[#This Row],[PerformanceRating]],Table17[PerformanceRating],Table17[Id_PerformanceRating])</f>
        <v>PR003</v>
      </c>
      <c r="AN158">
        <v>3</v>
      </c>
      <c r="AO158" t="str">
        <f>_xlfn.XLOOKUP(Table1[[#This Row],[PerformanceRating]],Table17[PerformanceRating],Table17[Deskripsi])</f>
        <v>Excellent</v>
      </c>
      <c r="AP158" t="str">
        <f>_xlfn.XLOOKUP(Table1[[#This Row],[RelationshipSatisfaction]],Table18[RelationshipSatisfaction],Table18[Id_RelationshipSatisfaction])</f>
        <v>RS003</v>
      </c>
      <c r="AQ158">
        <v>3</v>
      </c>
      <c r="AR158" t="str">
        <f>_xlfn.XLOOKUP(Table1[[#This Row],[RelationshipSatisfaction]],Table18[RelationshipSatisfaction],Table18[Deskripsi])</f>
        <v>High</v>
      </c>
      <c r="AS158" t="str">
        <f>_xlfn.XLOOKUP(Table1[[#This Row],[StockOptionLevel]],Table19[StockOptionLevel],Table19[Id_StockOptionLevel])</f>
        <v>SOL001</v>
      </c>
      <c r="AT158">
        <v>0</v>
      </c>
      <c r="AU158" t="str">
        <f>_xlfn.XLOOKUP(Table1[[#This Row],[StockOptionLevel]],Table19[StockOptionLevel],Table19[Deskripsi])</f>
        <v>Non-Eligible</v>
      </c>
      <c r="AV158">
        <v>10</v>
      </c>
      <c r="AW158">
        <v>2</v>
      </c>
      <c r="AX158" t="str">
        <f>_xlfn.XLOOKUP(Table1[[#This Row],[WorkLifeBalance]],Table20[WorkLifeBalance],Table20[Id_WorkLifeBalance])</f>
        <v>WLB002</v>
      </c>
      <c r="AY158">
        <v>3</v>
      </c>
      <c r="AZ158" t="str">
        <f>_xlfn.XLOOKUP(Table1[[#This Row],[WorkLifeBalance]],Table20[WorkLifeBalance],Table20[Deskripsi])</f>
        <v>Good</v>
      </c>
      <c r="BA158">
        <v>1</v>
      </c>
      <c r="BB158">
        <v>0</v>
      </c>
      <c r="BC158">
        <v>0</v>
      </c>
      <c r="BD158">
        <v>0</v>
      </c>
    </row>
    <row r="159" spans="1:56" x14ac:dyDescent="0.25">
      <c r="A159">
        <v>58</v>
      </c>
      <c r="B159" t="str">
        <f>_xlfn.XLOOKUP(Table1[[#This Row],[Attrition]],Table2[Attrition],Table2[Id_Attrition])</f>
        <v>A002</v>
      </c>
      <c r="C159" t="s">
        <v>33</v>
      </c>
      <c r="D159" t="str">
        <f>_xlfn.XLOOKUP(Table1[[#This Row],[BusinessTravel]],Table5[BusinessTravel],Table5[Id_BusinessTravel])</f>
        <v>BS001</v>
      </c>
      <c r="E159" t="s">
        <v>34</v>
      </c>
      <c r="F159">
        <v>1145</v>
      </c>
      <c r="G159" t="str">
        <f>_xlfn.XLOOKUP(Table1[[#This Row],[Department]],Table6[Department],Table6[Id_Departement])</f>
        <v>D002</v>
      </c>
      <c r="H159" t="s">
        <v>38</v>
      </c>
      <c r="I159">
        <v>9</v>
      </c>
      <c r="J159" t="str">
        <f>_xlfn.XLOOKUP(Table1[[#This Row],[Education]],Table8[Education],Table8[Id_Education])</f>
        <v>E003</v>
      </c>
      <c r="K159">
        <v>3</v>
      </c>
      <c r="L159" t="str">
        <f>_xlfn.XLOOKUP(Table1[[#This Row],[EducationField]],Table7[EducationField],Table7[Id_EducationField])</f>
        <v>EF003</v>
      </c>
      <c r="M159" t="s">
        <v>42</v>
      </c>
      <c r="N159" t="str">
        <f>_xlfn.XLOOKUP(Table1[[#This Row],[EmployeeNumber]],Table4[EmployeeNumber],Table4[Id_Employee])</f>
        <v>EMP00158</v>
      </c>
      <c r="O159">
        <v>214</v>
      </c>
      <c r="P159" t="str">
        <f>_xlfn.XLOOKUP(Table1[[#This Row],[EnvironmentSatisfaction]],Table9[EnvironmentSatisfaction],Table9[Id_EnviromentSatisfaction])</f>
        <v>ES002</v>
      </c>
      <c r="Q159">
        <v>2</v>
      </c>
      <c r="R159" t="str">
        <f>_xlfn.XLOOKUP(Table1[[#This Row],[EnvironmentSatisfaction]],Table9[EnvironmentSatisfaction],Table9[Deskripsi])</f>
        <v>Medium</v>
      </c>
      <c r="S159" t="str">
        <f>_xlfn.XLOOKUP(Table1[[#This Row],[Gender]],Table10[Gender],Table10[Id_Gender])</f>
        <v>G001</v>
      </c>
      <c r="T159" t="s">
        <v>45</v>
      </c>
      <c r="U159">
        <v>75</v>
      </c>
      <c r="V159" t="str">
        <f>_xlfn.XLOOKUP(Table1[[#This Row],[JobInvolvement]],Table11[JobInvolvement],Table11[Id_JobInvolvement])</f>
        <v>JI002</v>
      </c>
      <c r="W159">
        <v>2</v>
      </c>
      <c r="X159" t="str">
        <f>_xlfn.XLOOKUP(Table1[[#This Row],[JobLevel]],Table12[JobLevel],Table12[Id_JobLevel])</f>
        <v>JL001</v>
      </c>
      <c r="Y159">
        <v>1</v>
      </c>
      <c r="Z159" t="str">
        <f>_xlfn.XLOOKUP(Table1[[#This Row],[JobRole]],Table13[JobRole],Table13[Id_JobRole])</f>
        <v>JR002</v>
      </c>
      <c r="AA159" t="s">
        <v>48</v>
      </c>
      <c r="AB159" t="str">
        <f>_xlfn.XLOOKUP(Table1[[#This Row],[JobSatisfaction]],Table14[JobSatisfaction],Table14[Id_JobSatisfaction])</f>
        <v>JS002</v>
      </c>
      <c r="AC159">
        <v>2</v>
      </c>
      <c r="AD159" t="str">
        <f>_xlfn.XLOOKUP(Table1[[#This Row],[JobSatisfaction]],Table14[JobSatisfaction],Table14[Deskripsi])</f>
        <v>Medium</v>
      </c>
      <c r="AE159" t="str">
        <f>_xlfn.XLOOKUP(Table1[[#This Row],[MaritalStatus]],Table15[MaritalStatus],Table15[Id_MaritalStatus])</f>
        <v>MS002</v>
      </c>
      <c r="AF159" t="s">
        <v>56</v>
      </c>
      <c r="AG159">
        <v>3346</v>
      </c>
      <c r="AH159">
        <v>11873</v>
      </c>
      <c r="AI159">
        <v>4</v>
      </c>
      <c r="AJ159" t="str">
        <f>_xlfn.XLOOKUP(Table1[[#This Row],[OverTime]],Table16[OverTime],Table16[Id_OverTime])</f>
        <v>OT001</v>
      </c>
      <c r="AK159" t="s">
        <v>32</v>
      </c>
      <c r="AL159">
        <v>20</v>
      </c>
      <c r="AM159" t="str">
        <f>_xlfn.XLOOKUP(Table1[[#This Row],[PerformanceRating]],Table17[PerformanceRating],Table17[Id_PerformanceRating])</f>
        <v>PR004</v>
      </c>
      <c r="AN159">
        <v>4</v>
      </c>
      <c r="AO159" t="str">
        <f>_xlfn.XLOOKUP(Table1[[#This Row],[PerformanceRating]],Table17[PerformanceRating],Table17[Deskripsi])</f>
        <v>Outstanding</v>
      </c>
      <c r="AP159" t="str">
        <f>_xlfn.XLOOKUP(Table1[[#This Row],[RelationshipSatisfaction]],Table18[RelationshipSatisfaction],Table18[Id_RelationshipSatisfaction])</f>
        <v>RS002</v>
      </c>
      <c r="AQ159">
        <v>2</v>
      </c>
      <c r="AR159" t="str">
        <f>_xlfn.XLOOKUP(Table1[[#This Row],[RelationshipSatisfaction]],Table18[RelationshipSatisfaction],Table18[Deskripsi])</f>
        <v>Medium</v>
      </c>
      <c r="AS159" t="str">
        <f>_xlfn.XLOOKUP(Table1[[#This Row],[StockOptionLevel]],Table19[StockOptionLevel],Table19[Id_StockOptionLevel])</f>
        <v>SOL002</v>
      </c>
      <c r="AT159">
        <v>1</v>
      </c>
      <c r="AU159" t="str">
        <f>_xlfn.XLOOKUP(Table1[[#This Row],[StockOptionLevel]],Table19[StockOptionLevel],Table19[Deskripsi])</f>
        <v>Standard</v>
      </c>
      <c r="AV159">
        <v>9</v>
      </c>
      <c r="AW159">
        <v>3</v>
      </c>
      <c r="AX159" t="str">
        <f>_xlfn.XLOOKUP(Table1[[#This Row],[WorkLifeBalance]],Table20[WorkLifeBalance],Table20[Id_WorkLifeBalance])</f>
        <v>WLB003</v>
      </c>
      <c r="AY159">
        <v>2</v>
      </c>
      <c r="AZ159" t="str">
        <f>_xlfn.XLOOKUP(Table1[[#This Row],[WorkLifeBalance]],Table20[WorkLifeBalance],Table20[Deskripsi])</f>
        <v>Better</v>
      </c>
      <c r="BA159">
        <v>1</v>
      </c>
      <c r="BB159">
        <v>0</v>
      </c>
      <c r="BC159">
        <v>0</v>
      </c>
      <c r="BD159">
        <v>0</v>
      </c>
    </row>
    <row r="160" spans="1:56" x14ac:dyDescent="0.25">
      <c r="A160">
        <v>40</v>
      </c>
      <c r="B160" t="str">
        <f>_xlfn.XLOOKUP(Table1[[#This Row],[Attrition]],Table2[Attrition],Table2[Id_Attrition])</f>
        <v>A002</v>
      </c>
      <c r="C160" t="s">
        <v>33</v>
      </c>
      <c r="D160" t="str">
        <f>_xlfn.XLOOKUP(Table1[[#This Row],[BusinessTravel]],Table5[BusinessTravel],Table5[Id_BusinessTravel])</f>
        <v>BS001</v>
      </c>
      <c r="E160" t="s">
        <v>34</v>
      </c>
      <c r="F160">
        <v>630</v>
      </c>
      <c r="G160" t="str">
        <f>_xlfn.XLOOKUP(Table1[[#This Row],[Department]],Table6[Department],Table6[Id_Departement])</f>
        <v>D001</v>
      </c>
      <c r="H160" t="s">
        <v>37</v>
      </c>
      <c r="I160">
        <v>4</v>
      </c>
      <c r="J160" t="str">
        <f>_xlfn.XLOOKUP(Table1[[#This Row],[Education]],Table8[Education],Table8[Id_Education])</f>
        <v>E004</v>
      </c>
      <c r="K160">
        <v>4</v>
      </c>
      <c r="L160" t="str">
        <f>_xlfn.XLOOKUP(Table1[[#This Row],[EducationField]],Table7[EducationField],Table7[Id_EducationField])</f>
        <v>EF004</v>
      </c>
      <c r="M160" t="s">
        <v>43</v>
      </c>
      <c r="N160" t="str">
        <f>_xlfn.XLOOKUP(Table1[[#This Row],[EmployeeNumber]],Table4[EmployeeNumber],Table4[Id_Employee])</f>
        <v>EMP00159</v>
      </c>
      <c r="O160">
        <v>215</v>
      </c>
      <c r="P160" t="str">
        <f>_xlfn.XLOOKUP(Table1[[#This Row],[EnvironmentSatisfaction]],Table9[EnvironmentSatisfaction],Table9[Id_EnviromentSatisfaction])</f>
        <v>ES003</v>
      </c>
      <c r="Q160">
        <v>3</v>
      </c>
      <c r="R160" t="str">
        <f>_xlfn.XLOOKUP(Table1[[#This Row],[EnvironmentSatisfaction]],Table9[EnvironmentSatisfaction],Table9[Deskripsi])</f>
        <v>High</v>
      </c>
      <c r="S160" t="str">
        <f>_xlfn.XLOOKUP(Table1[[#This Row],[Gender]],Table10[Gender],Table10[Id_Gender])</f>
        <v>G002</v>
      </c>
      <c r="T160" t="s">
        <v>46</v>
      </c>
      <c r="U160">
        <v>67</v>
      </c>
      <c r="V160" t="str">
        <f>_xlfn.XLOOKUP(Table1[[#This Row],[JobInvolvement]],Table11[JobInvolvement],Table11[Id_JobInvolvement])</f>
        <v>JI002</v>
      </c>
      <c r="W160">
        <v>2</v>
      </c>
      <c r="X160" t="str">
        <f>_xlfn.XLOOKUP(Table1[[#This Row],[JobLevel]],Table12[JobLevel],Table12[Id_JobLevel])</f>
        <v>JL003</v>
      </c>
      <c r="Y160">
        <v>3</v>
      </c>
      <c r="Z160" t="str">
        <f>_xlfn.XLOOKUP(Table1[[#This Row],[JobRole]],Table13[JobRole],Table13[Id_JobRole])</f>
        <v>JR001</v>
      </c>
      <c r="AA160" t="s">
        <v>47</v>
      </c>
      <c r="AB160" t="str">
        <f>_xlfn.XLOOKUP(Table1[[#This Row],[JobSatisfaction]],Table14[JobSatisfaction],Table14[Id_JobSatisfaction])</f>
        <v>JS004</v>
      </c>
      <c r="AC160">
        <v>4</v>
      </c>
      <c r="AD160" t="str">
        <f>_xlfn.XLOOKUP(Table1[[#This Row],[JobSatisfaction]],Table14[JobSatisfaction],Table14[Deskripsi])</f>
        <v>Very High</v>
      </c>
      <c r="AE160" t="str">
        <f>_xlfn.XLOOKUP(Table1[[#This Row],[MaritalStatus]],Table15[MaritalStatus],Table15[Id_MaritalStatus])</f>
        <v>MS002</v>
      </c>
      <c r="AF160" t="s">
        <v>56</v>
      </c>
      <c r="AG160">
        <v>10855</v>
      </c>
      <c r="AH160">
        <v>8552</v>
      </c>
      <c r="AI160">
        <v>7</v>
      </c>
      <c r="AJ160" t="str">
        <f>_xlfn.XLOOKUP(Table1[[#This Row],[OverTime]],Table16[OverTime],Table16[Id_OverTime])</f>
        <v>OT002</v>
      </c>
      <c r="AK160" t="s">
        <v>33</v>
      </c>
      <c r="AL160">
        <v>11</v>
      </c>
      <c r="AM160" t="str">
        <f>_xlfn.XLOOKUP(Table1[[#This Row],[PerformanceRating]],Table17[PerformanceRating],Table17[Id_PerformanceRating])</f>
        <v>PR003</v>
      </c>
      <c r="AN160">
        <v>3</v>
      </c>
      <c r="AO160" t="str">
        <f>_xlfn.XLOOKUP(Table1[[#This Row],[PerformanceRating]],Table17[PerformanceRating],Table17[Deskripsi])</f>
        <v>Excellent</v>
      </c>
      <c r="AP160" t="str">
        <f>_xlfn.XLOOKUP(Table1[[#This Row],[RelationshipSatisfaction]],Table18[RelationshipSatisfaction],Table18[Id_RelationshipSatisfaction])</f>
        <v>RS001</v>
      </c>
      <c r="AQ160">
        <v>1</v>
      </c>
      <c r="AR160" t="str">
        <f>_xlfn.XLOOKUP(Table1[[#This Row],[RelationshipSatisfaction]],Table18[RelationshipSatisfaction],Table18[Deskripsi])</f>
        <v>Low</v>
      </c>
      <c r="AS160" t="str">
        <f>_xlfn.XLOOKUP(Table1[[#This Row],[StockOptionLevel]],Table19[StockOptionLevel],Table19[Id_StockOptionLevel])</f>
        <v>SOL002</v>
      </c>
      <c r="AT160">
        <v>1</v>
      </c>
      <c r="AU160" t="str">
        <f>_xlfn.XLOOKUP(Table1[[#This Row],[StockOptionLevel]],Table19[StockOptionLevel],Table19[Deskripsi])</f>
        <v>Standard</v>
      </c>
      <c r="AV160">
        <v>15</v>
      </c>
      <c r="AW160">
        <v>2</v>
      </c>
      <c r="AX160" t="str">
        <f>_xlfn.XLOOKUP(Table1[[#This Row],[WorkLifeBalance]],Table20[WorkLifeBalance],Table20[Id_WorkLifeBalance])</f>
        <v>WLB003</v>
      </c>
      <c r="AY160">
        <v>2</v>
      </c>
      <c r="AZ160" t="str">
        <f>_xlfn.XLOOKUP(Table1[[#This Row],[WorkLifeBalance]],Table20[WorkLifeBalance],Table20[Deskripsi])</f>
        <v>Better</v>
      </c>
      <c r="BA160">
        <v>12</v>
      </c>
      <c r="BB160">
        <v>11</v>
      </c>
      <c r="BC160">
        <v>2</v>
      </c>
      <c r="BD160">
        <v>11</v>
      </c>
    </row>
    <row r="161" spans="1:56" x14ac:dyDescent="0.25">
      <c r="A161">
        <v>34</v>
      </c>
      <c r="B161" t="str">
        <f>_xlfn.XLOOKUP(Table1[[#This Row],[Attrition]],Table2[Attrition],Table2[Id_Attrition])</f>
        <v>A002</v>
      </c>
      <c r="C161" t="s">
        <v>33</v>
      </c>
      <c r="D161" t="str">
        <f>_xlfn.XLOOKUP(Table1[[#This Row],[BusinessTravel]],Table5[BusinessTravel],Table5[Id_BusinessTravel])</f>
        <v>BS002</v>
      </c>
      <c r="E161" t="s">
        <v>35</v>
      </c>
      <c r="F161">
        <v>303</v>
      </c>
      <c r="G161" t="str">
        <f>_xlfn.XLOOKUP(Table1[[#This Row],[Department]],Table6[Department],Table6[Id_Departement])</f>
        <v>D001</v>
      </c>
      <c r="H161" t="s">
        <v>37</v>
      </c>
      <c r="I161">
        <v>2</v>
      </c>
      <c r="J161" t="str">
        <f>_xlfn.XLOOKUP(Table1[[#This Row],[Education]],Table8[Education],Table8[Id_Education])</f>
        <v>E004</v>
      </c>
      <c r="K161">
        <v>4</v>
      </c>
      <c r="L161" t="str">
        <f>_xlfn.XLOOKUP(Table1[[#This Row],[EducationField]],Table7[EducationField],Table7[Id_EducationField])</f>
        <v>EF004</v>
      </c>
      <c r="M161" t="s">
        <v>43</v>
      </c>
      <c r="N161" t="str">
        <f>_xlfn.XLOOKUP(Table1[[#This Row],[EmployeeNumber]],Table4[EmployeeNumber],Table4[Id_Employee])</f>
        <v>EMP00160</v>
      </c>
      <c r="O161">
        <v>216</v>
      </c>
      <c r="P161" t="str">
        <f>_xlfn.XLOOKUP(Table1[[#This Row],[EnvironmentSatisfaction]],Table9[EnvironmentSatisfaction],Table9[Id_EnviromentSatisfaction])</f>
        <v>ES003</v>
      </c>
      <c r="Q161">
        <v>3</v>
      </c>
      <c r="R161" t="str">
        <f>_xlfn.XLOOKUP(Table1[[#This Row],[EnvironmentSatisfaction]],Table9[EnvironmentSatisfaction],Table9[Deskripsi])</f>
        <v>High</v>
      </c>
      <c r="S161" t="str">
        <f>_xlfn.XLOOKUP(Table1[[#This Row],[Gender]],Table10[Gender],Table10[Id_Gender])</f>
        <v>G001</v>
      </c>
      <c r="T161" t="s">
        <v>45</v>
      </c>
      <c r="U161">
        <v>75</v>
      </c>
      <c r="V161" t="str">
        <f>_xlfn.XLOOKUP(Table1[[#This Row],[JobInvolvement]],Table11[JobInvolvement],Table11[Id_JobInvolvement])</f>
        <v>JI003</v>
      </c>
      <c r="W161">
        <v>3</v>
      </c>
      <c r="X161" t="str">
        <f>_xlfn.XLOOKUP(Table1[[#This Row],[JobLevel]],Table12[JobLevel],Table12[Id_JobLevel])</f>
        <v>JL001</v>
      </c>
      <c r="Y161">
        <v>1</v>
      </c>
      <c r="Z161" t="str">
        <f>_xlfn.XLOOKUP(Table1[[#This Row],[JobRole]],Table13[JobRole],Table13[Id_JobRole])</f>
        <v>JR007</v>
      </c>
      <c r="AA161" t="s">
        <v>53</v>
      </c>
      <c r="AB161" t="str">
        <f>_xlfn.XLOOKUP(Table1[[#This Row],[JobSatisfaction]],Table14[JobSatisfaction],Table14[Id_JobSatisfaction])</f>
        <v>JS003</v>
      </c>
      <c r="AC161">
        <v>3</v>
      </c>
      <c r="AD161" t="str">
        <f>_xlfn.XLOOKUP(Table1[[#This Row],[JobSatisfaction]],Table14[JobSatisfaction],Table14[Deskripsi])</f>
        <v>High</v>
      </c>
      <c r="AE161" t="str">
        <f>_xlfn.XLOOKUP(Table1[[#This Row],[MaritalStatus]],Table15[MaritalStatus],Table15[Id_MaritalStatus])</f>
        <v>MS002</v>
      </c>
      <c r="AF161" t="s">
        <v>56</v>
      </c>
      <c r="AG161">
        <v>2231</v>
      </c>
      <c r="AH161">
        <v>11314</v>
      </c>
      <c r="AI161">
        <v>6</v>
      </c>
      <c r="AJ161" t="str">
        <f>_xlfn.XLOOKUP(Table1[[#This Row],[OverTime]],Table16[OverTime],Table16[Id_OverTime])</f>
        <v>OT002</v>
      </c>
      <c r="AK161" t="s">
        <v>33</v>
      </c>
      <c r="AL161">
        <v>18</v>
      </c>
      <c r="AM161" t="str">
        <f>_xlfn.XLOOKUP(Table1[[#This Row],[PerformanceRating]],Table17[PerformanceRating],Table17[Id_PerformanceRating])</f>
        <v>PR003</v>
      </c>
      <c r="AN161">
        <v>3</v>
      </c>
      <c r="AO161" t="str">
        <f>_xlfn.XLOOKUP(Table1[[#This Row],[PerformanceRating]],Table17[PerformanceRating],Table17[Deskripsi])</f>
        <v>Excellent</v>
      </c>
      <c r="AP161" t="str">
        <f>_xlfn.XLOOKUP(Table1[[#This Row],[RelationshipSatisfaction]],Table18[RelationshipSatisfaction],Table18[Id_RelationshipSatisfaction])</f>
        <v>RS004</v>
      </c>
      <c r="AQ161">
        <v>4</v>
      </c>
      <c r="AR161" t="str">
        <f>_xlfn.XLOOKUP(Table1[[#This Row],[RelationshipSatisfaction]],Table18[RelationshipSatisfaction],Table18[Deskripsi])</f>
        <v>Very High</v>
      </c>
      <c r="AS161" t="str">
        <f>_xlfn.XLOOKUP(Table1[[#This Row],[StockOptionLevel]],Table19[StockOptionLevel],Table19[Id_StockOptionLevel])</f>
        <v>SOL002</v>
      </c>
      <c r="AT161">
        <v>1</v>
      </c>
      <c r="AU161" t="str">
        <f>_xlfn.XLOOKUP(Table1[[#This Row],[StockOptionLevel]],Table19[StockOptionLevel],Table19[Deskripsi])</f>
        <v>Standard</v>
      </c>
      <c r="AV161">
        <v>6</v>
      </c>
      <c r="AW161">
        <v>3</v>
      </c>
      <c r="AX161" t="str">
        <f>_xlfn.XLOOKUP(Table1[[#This Row],[WorkLifeBalance]],Table20[WorkLifeBalance],Table20[Id_WorkLifeBalance])</f>
        <v>WLB002</v>
      </c>
      <c r="AY161">
        <v>3</v>
      </c>
      <c r="AZ161" t="str">
        <f>_xlfn.XLOOKUP(Table1[[#This Row],[WorkLifeBalance]],Table20[WorkLifeBalance],Table20[Deskripsi])</f>
        <v>Good</v>
      </c>
      <c r="BA161">
        <v>4</v>
      </c>
      <c r="BB161">
        <v>3</v>
      </c>
      <c r="BC161">
        <v>1</v>
      </c>
      <c r="BD161">
        <v>2</v>
      </c>
    </row>
    <row r="162" spans="1:56" x14ac:dyDescent="0.25">
      <c r="A162">
        <v>22</v>
      </c>
      <c r="B162" t="str">
        <f>_xlfn.XLOOKUP(Table1[[#This Row],[Attrition]],Table2[Attrition],Table2[Id_Attrition])</f>
        <v>A002</v>
      </c>
      <c r="C162" t="s">
        <v>33</v>
      </c>
      <c r="D162" t="str">
        <f>_xlfn.XLOOKUP(Table1[[#This Row],[BusinessTravel]],Table5[BusinessTravel],Table5[Id_BusinessTravel])</f>
        <v>BS001</v>
      </c>
      <c r="E162" t="s">
        <v>34</v>
      </c>
      <c r="F162">
        <v>1256</v>
      </c>
      <c r="G162" t="str">
        <f>_xlfn.XLOOKUP(Table1[[#This Row],[Department]],Table6[Department],Table6[Id_Departement])</f>
        <v>D002</v>
      </c>
      <c r="H162" t="s">
        <v>38</v>
      </c>
      <c r="I162">
        <v>19</v>
      </c>
      <c r="J162" t="str">
        <f>_xlfn.XLOOKUP(Table1[[#This Row],[Education]],Table8[Education],Table8[Id_Education])</f>
        <v>E001</v>
      </c>
      <c r="K162">
        <v>1</v>
      </c>
      <c r="L162" t="str">
        <f>_xlfn.XLOOKUP(Table1[[#This Row],[EducationField]],Table7[EducationField],Table7[Id_EducationField])</f>
        <v>EF003</v>
      </c>
      <c r="M162" t="s">
        <v>42</v>
      </c>
      <c r="N162" t="str">
        <f>_xlfn.XLOOKUP(Table1[[#This Row],[EmployeeNumber]],Table4[EmployeeNumber],Table4[Id_Employee])</f>
        <v>EMP00161</v>
      </c>
      <c r="O162">
        <v>217</v>
      </c>
      <c r="P162" t="str">
        <f>_xlfn.XLOOKUP(Table1[[#This Row],[EnvironmentSatisfaction]],Table9[EnvironmentSatisfaction],Table9[Id_EnviromentSatisfaction])</f>
        <v>ES003</v>
      </c>
      <c r="Q162">
        <v>3</v>
      </c>
      <c r="R162" t="str">
        <f>_xlfn.XLOOKUP(Table1[[#This Row],[EnvironmentSatisfaction]],Table9[EnvironmentSatisfaction],Table9[Deskripsi])</f>
        <v>High</v>
      </c>
      <c r="S162" t="str">
        <f>_xlfn.XLOOKUP(Table1[[#This Row],[Gender]],Table10[Gender],Table10[Id_Gender])</f>
        <v>G002</v>
      </c>
      <c r="T162" t="s">
        <v>46</v>
      </c>
      <c r="U162">
        <v>80</v>
      </c>
      <c r="V162" t="str">
        <f>_xlfn.XLOOKUP(Table1[[#This Row],[JobInvolvement]],Table11[JobInvolvement],Table11[Id_JobInvolvement])</f>
        <v>JI003</v>
      </c>
      <c r="W162">
        <v>3</v>
      </c>
      <c r="X162" t="str">
        <f>_xlfn.XLOOKUP(Table1[[#This Row],[JobLevel]],Table12[JobLevel],Table12[Id_JobLevel])</f>
        <v>JL001</v>
      </c>
      <c r="Y162">
        <v>1</v>
      </c>
      <c r="Z162" t="str">
        <f>_xlfn.XLOOKUP(Table1[[#This Row],[JobRole]],Table13[JobRole],Table13[Id_JobRole])</f>
        <v>JR002</v>
      </c>
      <c r="AA162" t="s">
        <v>48</v>
      </c>
      <c r="AB162" t="str">
        <f>_xlfn.XLOOKUP(Table1[[#This Row],[JobSatisfaction]],Table14[JobSatisfaction],Table14[Id_JobSatisfaction])</f>
        <v>JS004</v>
      </c>
      <c r="AC162">
        <v>4</v>
      </c>
      <c r="AD162" t="str">
        <f>_xlfn.XLOOKUP(Table1[[#This Row],[JobSatisfaction]],Table14[JobSatisfaction],Table14[Deskripsi])</f>
        <v>Very High</v>
      </c>
      <c r="AE162" t="str">
        <f>_xlfn.XLOOKUP(Table1[[#This Row],[MaritalStatus]],Table15[MaritalStatus],Table15[Id_MaritalStatus])</f>
        <v>MS002</v>
      </c>
      <c r="AF162" t="s">
        <v>56</v>
      </c>
      <c r="AG162">
        <v>2323</v>
      </c>
      <c r="AH162">
        <v>11992</v>
      </c>
      <c r="AI162">
        <v>1</v>
      </c>
      <c r="AJ162" t="str">
        <f>_xlfn.XLOOKUP(Table1[[#This Row],[OverTime]],Table16[OverTime],Table16[Id_OverTime])</f>
        <v>OT002</v>
      </c>
      <c r="AK162" t="s">
        <v>33</v>
      </c>
      <c r="AL162">
        <v>24</v>
      </c>
      <c r="AM162" t="str">
        <f>_xlfn.XLOOKUP(Table1[[#This Row],[PerformanceRating]],Table17[PerformanceRating],Table17[Id_PerformanceRating])</f>
        <v>PR004</v>
      </c>
      <c r="AN162">
        <v>4</v>
      </c>
      <c r="AO162" t="str">
        <f>_xlfn.XLOOKUP(Table1[[#This Row],[PerformanceRating]],Table17[PerformanceRating],Table17[Deskripsi])</f>
        <v>Outstanding</v>
      </c>
      <c r="AP162" t="str">
        <f>_xlfn.XLOOKUP(Table1[[#This Row],[RelationshipSatisfaction]],Table18[RelationshipSatisfaction],Table18[Id_RelationshipSatisfaction])</f>
        <v>RS001</v>
      </c>
      <c r="AQ162">
        <v>1</v>
      </c>
      <c r="AR162" t="str">
        <f>_xlfn.XLOOKUP(Table1[[#This Row],[RelationshipSatisfaction]],Table18[RelationshipSatisfaction],Table18[Deskripsi])</f>
        <v>Low</v>
      </c>
      <c r="AS162" t="str">
        <f>_xlfn.XLOOKUP(Table1[[#This Row],[StockOptionLevel]],Table19[StockOptionLevel],Table19[Id_StockOptionLevel])</f>
        <v>SOL003</v>
      </c>
      <c r="AT162">
        <v>2</v>
      </c>
      <c r="AU162" t="str">
        <f>_xlfn.XLOOKUP(Table1[[#This Row],[StockOptionLevel]],Table19[StockOptionLevel],Table19[Deskripsi])</f>
        <v>Intermediate</v>
      </c>
      <c r="AV162">
        <v>2</v>
      </c>
      <c r="AW162">
        <v>6</v>
      </c>
      <c r="AX162" t="str">
        <f>_xlfn.XLOOKUP(Table1[[#This Row],[WorkLifeBalance]],Table20[WorkLifeBalance],Table20[Id_WorkLifeBalance])</f>
        <v>WLB002</v>
      </c>
      <c r="AY162">
        <v>3</v>
      </c>
      <c r="AZ162" t="str">
        <f>_xlfn.XLOOKUP(Table1[[#This Row],[WorkLifeBalance]],Table20[WorkLifeBalance],Table20[Deskripsi])</f>
        <v>Good</v>
      </c>
      <c r="BA162">
        <v>2</v>
      </c>
      <c r="BB162">
        <v>2</v>
      </c>
      <c r="BC162">
        <v>2</v>
      </c>
      <c r="BD162">
        <v>2</v>
      </c>
    </row>
    <row r="163" spans="1:56" x14ac:dyDescent="0.25">
      <c r="A163">
        <v>27</v>
      </c>
      <c r="B163" t="str">
        <f>_xlfn.XLOOKUP(Table1[[#This Row],[Attrition]],Table2[Attrition],Table2[Id_Attrition])</f>
        <v>A002</v>
      </c>
      <c r="C163" t="s">
        <v>33</v>
      </c>
      <c r="D163" t="str">
        <f>_xlfn.XLOOKUP(Table1[[#This Row],[BusinessTravel]],Table5[BusinessTravel],Table5[Id_BusinessTravel])</f>
        <v>BS003</v>
      </c>
      <c r="E163" t="s">
        <v>36</v>
      </c>
      <c r="F163">
        <v>691</v>
      </c>
      <c r="G163" t="str">
        <f>_xlfn.XLOOKUP(Table1[[#This Row],[Department]],Table6[Department],Table6[Id_Departement])</f>
        <v>D002</v>
      </c>
      <c r="H163" t="s">
        <v>38</v>
      </c>
      <c r="I163">
        <v>9</v>
      </c>
      <c r="J163" t="str">
        <f>_xlfn.XLOOKUP(Table1[[#This Row],[Education]],Table8[Education],Table8[Id_Education])</f>
        <v>E003</v>
      </c>
      <c r="K163">
        <v>3</v>
      </c>
      <c r="L163" t="str">
        <f>_xlfn.XLOOKUP(Table1[[#This Row],[EducationField]],Table7[EducationField],Table7[Id_EducationField])</f>
        <v>EF003</v>
      </c>
      <c r="M163" t="s">
        <v>42</v>
      </c>
      <c r="N163" t="str">
        <f>_xlfn.XLOOKUP(Table1[[#This Row],[EmployeeNumber]],Table4[EmployeeNumber],Table4[Id_Employee])</f>
        <v>EMP00162</v>
      </c>
      <c r="O163">
        <v>218</v>
      </c>
      <c r="P163" t="str">
        <f>_xlfn.XLOOKUP(Table1[[#This Row],[EnvironmentSatisfaction]],Table9[EnvironmentSatisfaction],Table9[Id_EnviromentSatisfaction])</f>
        <v>ES004</v>
      </c>
      <c r="Q163">
        <v>4</v>
      </c>
      <c r="R163" t="str">
        <f>_xlfn.XLOOKUP(Table1[[#This Row],[EnvironmentSatisfaction]],Table9[EnvironmentSatisfaction],Table9[Deskripsi])</f>
        <v>Very High</v>
      </c>
      <c r="S163" t="str">
        <f>_xlfn.XLOOKUP(Table1[[#This Row],[Gender]],Table10[Gender],Table10[Id_Gender])</f>
        <v>G002</v>
      </c>
      <c r="T163" t="s">
        <v>46</v>
      </c>
      <c r="U163">
        <v>57</v>
      </c>
      <c r="V163" t="str">
        <f>_xlfn.XLOOKUP(Table1[[#This Row],[JobInvolvement]],Table11[JobInvolvement],Table11[Id_JobInvolvement])</f>
        <v>JI003</v>
      </c>
      <c r="W163">
        <v>3</v>
      </c>
      <c r="X163" t="str">
        <f>_xlfn.XLOOKUP(Table1[[#This Row],[JobLevel]],Table12[JobLevel],Table12[Id_JobLevel])</f>
        <v>JL001</v>
      </c>
      <c r="Y163">
        <v>1</v>
      </c>
      <c r="Z163" t="str">
        <f>_xlfn.XLOOKUP(Table1[[#This Row],[JobRole]],Table13[JobRole],Table13[Id_JobRole])</f>
        <v>JR002</v>
      </c>
      <c r="AA163" t="s">
        <v>48</v>
      </c>
      <c r="AB163" t="str">
        <f>_xlfn.XLOOKUP(Table1[[#This Row],[JobSatisfaction]],Table14[JobSatisfaction],Table14[Id_JobSatisfaction])</f>
        <v>JS002</v>
      </c>
      <c r="AC163">
        <v>2</v>
      </c>
      <c r="AD163" t="str">
        <f>_xlfn.XLOOKUP(Table1[[#This Row],[JobSatisfaction]],Table14[JobSatisfaction],Table14[Deskripsi])</f>
        <v>Medium</v>
      </c>
      <c r="AE163" t="str">
        <f>_xlfn.XLOOKUP(Table1[[#This Row],[MaritalStatus]],Table15[MaritalStatus],Table15[Id_MaritalStatus])</f>
        <v>MS003</v>
      </c>
      <c r="AF163" t="s">
        <v>57</v>
      </c>
      <c r="AG163">
        <v>2024</v>
      </c>
      <c r="AH163">
        <v>5970</v>
      </c>
      <c r="AI163">
        <v>6</v>
      </c>
      <c r="AJ163" t="str">
        <f>_xlfn.XLOOKUP(Table1[[#This Row],[OverTime]],Table16[OverTime],Table16[Id_OverTime])</f>
        <v>OT002</v>
      </c>
      <c r="AK163" t="s">
        <v>33</v>
      </c>
      <c r="AL163">
        <v>18</v>
      </c>
      <c r="AM163" t="str">
        <f>_xlfn.XLOOKUP(Table1[[#This Row],[PerformanceRating]],Table17[PerformanceRating],Table17[Id_PerformanceRating])</f>
        <v>PR003</v>
      </c>
      <c r="AN163">
        <v>3</v>
      </c>
      <c r="AO163" t="str">
        <f>_xlfn.XLOOKUP(Table1[[#This Row],[PerformanceRating]],Table17[PerformanceRating],Table17[Deskripsi])</f>
        <v>Excellent</v>
      </c>
      <c r="AP163" t="str">
        <f>_xlfn.XLOOKUP(Table1[[#This Row],[RelationshipSatisfaction]],Table18[RelationshipSatisfaction],Table18[Id_RelationshipSatisfaction])</f>
        <v>RS004</v>
      </c>
      <c r="AQ163">
        <v>4</v>
      </c>
      <c r="AR163" t="str">
        <f>_xlfn.XLOOKUP(Table1[[#This Row],[RelationshipSatisfaction]],Table18[RelationshipSatisfaction],Table18[Deskripsi])</f>
        <v>Very High</v>
      </c>
      <c r="AS163" t="str">
        <f>_xlfn.XLOOKUP(Table1[[#This Row],[StockOptionLevel]],Table19[StockOptionLevel],Table19[Id_StockOptionLevel])</f>
        <v>SOL002</v>
      </c>
      <c r="AT163">
        <v>1</v>
      </c>
      <c r="AU163" t="str">
        <f>_xlfn.XLOOKUP(Table1[[#This Row],[StockOptionLevel]],Table19[StockOptionLevel],Table19[Deskripsi])</f>
        <v>Standard</v>
      </c>
      <c r="AV163">
        <v>6</v>
      </c>
      <c r="AW163">
        <v>1</v>
      </c>
      <c r="AX163" t="str">
        <f>_xlfn.XLOOKUP(Table1[[#This Row],[WorkLifeBalance]],Table20[WorkLifeBalance],Table20[Id_WorkLifeBalance])</f>
        <v>WLB001</v>
      </c>
      <c r="AY163">
        <v>1</v>
      </c>
      <c r="AZ163" t="str">
        <f>_xlfn.XLOOKUP(Table1[[#This Row],[WorkLifeBalance]],Table20[WorkLifeBalance],Table20[Deskripsi])</f>
        <v>Bad</v>
      </c>
      <c r="BA163">
        <v>2</v>
      </c>
      <c r="BB163">
        <v>2</v>
      </c>
      <c r="BC163">
        <v>2</v>
      </c>
      <c r="BD163">
        <v>2</v>
      </c>
    </row>
    <row r="164" spans="1:56" x14ac:dyDescent="0.25">
      <c r="A164">
        <v>28</v>
      </c>
      <c r="B164" t="str">
        <f>_xlfn.XLOOKUP(Table1[[#This Row],[Attrition]],Table2[Attrition],Table2[Id_Attrition])</f>
        <v>A002</v>
      </c>
      <c r="C164" t="s">
        <v>33</v>
      </c>
      <c r="D164" t="str">
        <f>_xlfn.XLOOKUP(Table1[[#This Row],[BusinessTravel]],Table5[BusinessTravel],Table5[Id_BusinessTravel])</f>
        <v>BS001</v>
      </c>
      <c r="E164" t="s">
        <v>34</v>
      </c>
      <c r="F164">
        <v>440</v>
      </c>
      <c r="G164" t="str">
        <f>_xlfn.XLOOKUP(Table1[[#This Row],[Department]],Table6[Department],Table6[Id_Departement])</f>
        <v>D002</v>
      </c>
      <c r="H164" t="s">
        <v>38</v>
      </c>
      <c r="I164">
        <v>21</v>
      </c>
      <c r="J164" t="str">
        <f>_xlfn.XLOOKUP(Table1[[#This Row],[Education]],Table8[Education],Table8[Id_Education])</f>
        <v>E003</v>
      </c>
      <c r="K164">
        <v>3</v>
      </c>
      <c r="L164" t="str">
        <f>_xlfn.XLOOKUP(Table1[[#This Row],[EducationField]],Table7[EducationField],Table7[Id_EducationField])</f>
        <v>EF003</v>
      </c>
      <c r="M164" t="s">
        <v>42</v>
      </c>
      <c r="N164" t="str">
        <f>_xlfn.XLOOKUP(Table1[[#This Row],[EmployeeNumber]],Table4[EmployeeNumber],Table4[Id_Employee])</f>
        <v>EMP00163</v>
      </c>
      <c r="O164">
        <v>221</v>
      </c>
      <c r="P164" t="str">
        <f>_xlfn.XLOOKUP(Table1[[#This Row],[EnvironmentSatisfaction]],Table9[EnvironmentSatisfaction],Table9[Id_EnviromentSatisfaction])</f>
        <v>ES003</v>
      </c>
      <c r="Q164">
        <v>3</v>
      </c>
      <c r="R164" t="str">
        <f>_xlfn.XLOOKUP(Table1[[#This Row],[EnvironmentSatisfaction]],Table9[EnvironmentSatisfaction],Table9[Deskripsi])</f>
        <v>High</v>
      </c>
      <c r="S164" t="str">
        <f>_xlfn.XLOOKUP(Table1[[#This Row],[Gender]],Table10[Gender],Table10[Id_Gender])</f>
        <v>G002</v>
      </c>
      <c r="T164" t="s">
        <v>46</v>
      </c>
      <c r="U164">
        <v>42</v>
      </c>
      <c r="V164" t="str">
        <f>_xlfn.XLOOKUP(Table1[[#This Row],[JobInvolvement]],Table11[JobInvolvement],Table11[Id_JobInvolvement])</f>
        <v>JI003</v>
      </c>
      <c r="W164">
        <v>3</v>
      </c>
      <c r="X164" t="str">
        <f>_xlfn.XLOOKUP(Table1[[#This Row],[JobLevel]],Table12[JobLevel],Table12[Id_JobLevel])</f>
        <v>JL001</v>
      </c>
      <c r="Y164">
        <v>1</v>
      </c>
      <c r="Z164" t="str">
        <f>_xlfn.XLOOKUP(Table1[[#This Row],[JobRole]],Table13[JobRole],Table13[Id_JobRole])</f>
        <v>JR002</v>
      </c>
      <c r="AA164" t="s">
        <v>48</v>
      </c>
      <c r="AB164" t="str">
        <f>_xlfn.XLOOKUP(Table1[[#This Row],[JobSatisfaction]],Table14[JobSatisfaction],Table14[Id_JobSatisfaction])</f>
        <v>JS004</v>
      </c>
      <c r="AC164">
        <v>4</v>
      </c>
      <c r="AD164" t="str">
        <f>_xlfn.XLOOKUP(Table1[[#This Row],[JobSatisfaction]],Table14[JobSatisfaction],Table14[Deskripsi])</f>
        <v>Very High</v>
      </c>
      <c r="AE164" t="str">
        <f>_xlfn.XLOOKUP(Table1[[#This Row],[MaritalStatus]],Table15[MaritalStatus],Table15[Id_MaritalStatus])</f>
        <v>MS002</v>
      </c>
      <c r="AF164" t="s">
        <v>56</v>
      </c>
      <c r="AG164">
        <v>2713</v>
      </c>
      <c r="AH164">
        <v>6672</v>
      </c>
      <c r="AI164">
        <v>1</v>
      </c>
      <c r="AJ164" t="str">
        <f>_xlfn.XLOOKUP(Table1[[#This Row],[OverTime]],Table16[OverTime],Table16[Id_OverTime])</f>
        <v>OT002</v>
      </c>
      <c r="AK164" t="s">
        <v>33</v>
      </c>
      <c r="AL164">
        <v>11</v>
      </c>
      <c r="AM164" t="str">
        <f>_xlfn.XLOOKUP(Table1[[#This Row],[PerformanceRating]],Table17[PerformanceRating],Table17[Id_PerformanceRating])</f>
        <v>PR003</v>
      </c>
      <c r="AN164">
        <v>3</v>
      </c>
      <c r="AO164" t="str">
        <f>_xlfn.XLOOKUP(Table1[[#This Row],[PerformanceRating]],Table17[PerformanceRating],Table17[Deskripsi])</f>
        <v>Excellent</v>
      </c>
      <c r="AP164" t="str">
        <f>_xlfn.XLOOKUP(Table1[[#This Row],[RelationshipSatisfaction]],Table18[RelationshipSatisfaction],Table18[Id_RelationshipSatisfaction])</f>
        <v>RS003</v>
      </c>
      <c r="AQ164">
        <v>3</v>
      </c>
      <c r="AR164" t="str">
        <f>_xlfn.XLOOKUP(Table1[[#This Row],[RelationshipSatisfaction]],Table18[RelationshipSatisfaction],Table18[Deskripsi])</f>
        <v>High</v>
      </c>
      <c r="AS164" t="str">
        <f>_xlfn.XLOOKUP(Table1[[#This Row],[StockOptionLevel]],Table19[StockOptionLevel],Table19[Id_StockOptionLevel])</f>
        <v>SOL002</v>
      </c>
      <c r="AT164">
        <v>1</v>
      </c>
      <c r="AU164" t="str">
        <f>_xlfn.XLOOKUP(Table1[[#This Row],[StockOptionLevel]],Table19[StockOptionLevel],Table19[Deskripsi])</f>
        <v>Standard</v>
      </c>
      <c r="AV164">
        <v>5</v>
      </c>
      <c r="AW164">
        <v>2</v>
      </c>
      <c r="AX164" t="str">
        <f>_xlfn.XLOOKUP(Table1[[#This Row],[WorkLifeBalance]],Table20[WorkLifeBalance],Table20[Id_WorkLifeBalance])</f>
        <v>WLB001</v>
      </c>
      <c r="AY164">
        <v>1</v>
      </c>
      <c r="AZ164" t="str">
        <f>_xlfn.XLOOKUP(Table1[[#This Row],[WorkLifeBalance]],Table20[WorkLifeBalance],Table20[Deskripsi])</f>
        <v>Bad</v>
      </c>
      <c r="BA164">
        <v>5</v>
      </c>
      <c r="BB164">
        <v>2</v>
      </c>
      <c r="BC164">
        <v>0</v>
      </c>
      <c r="BD164">
        <v>2</v>
      </c>
    </row>
    <row r="165" spans="1:56" x14ac:dyDescent="0.25">
      <c r="A165">
        <v>57</v>
      </c>
      <c r="B165" t="str">
        <f>_xlfn.XLOOKUP(Table1[[#This Row],[Attrition]],Table2[Attrition],Table2[Id_Attrition])</f>
        <v>A002</v>
      </c>
      <c r="C165" t="s">
        <v>33</v>
      </c>
      <c r="D165" t="str">
        <f>_xlfn.XLOOKUP(Table1[[#This Row],[BusinessTravel]],Table5[BusinessTravel],Table5[Id_BusinessTravel])</f>
        <v>BS001</v>
      </c>
      <c r="E165" t="s">
        <v>34</v>
      </c>
      <c r="F165">
        <v>334</v>
      </c>
      <c r="G165" t="str">
        <f>_xlfn.XLOOKUP(Table1[[#This Row],[Department]],Table6[Department],Table6[Id_Departement])</f>
        <v>D002</v>
      </c>
      <c r="H165" t="s">
        <v>38</v>
      </c>
      <c r="I165">
        <v>24</v>
      </c>
      <c r="J165" t="str">
        <f>_xlfn.XLOOKUP(Table1[[#This Row],[Education]],Table8[Education],Table8[Id_Education])</f>
        <v>E002</v>
      </c>
      <c r="K165">
        <v>2</v>
      </c>
      <c r="L165" t="str">
        <f>_xlfn.XLOOKUP(Table1[[#This Row],[EducationField]],Table7[EducationField],Table7[Id_EducationField])</f>
        <v>EF001</v>
      </c>
      <c r="M165" t="s">
        <v>40</v>
      </c>
      <c r="N165" t="str">
        <f>_xlfn.XLOOKUP(Table1[[#This Row],[EmployeeNumber]],Table4[EmployeeNumber],Table4[Id_Employee])</f>
        <v>EMP00164</v>
      </c>
      <c r="O165">
        <v>223</v>
      </c>
      <c r="P165" t="str">
        <f>_xlfn.XLOOKUP(Table1[[#This Row],[EnvironmentSatisfaction]],Table9[EnvironmentSatisfaction],Table9[Id_EnviromentSatisfaction])</f>
        <v>ES003</v>
      </c>
      <c r="Q165">
        <v>3</v>
      </c>
      <c r="R165" t="str">
        <f>_xlfn.XLOOKUP(Table1[[#This Row],[EnvironmentSatisfaction]],Table9[EnvironmentSatisfaction],Table9[Deskripsi])</f>
        <v>High</v>
      </c>
      <c r="S165" t="str">
        <f>_xlfn.XLOOKUP(Table1[[#This Row],[Gender]],Table10[Gender],Table10[Id_Gender])</f>
        <v>G002</v>
      </c>
      <c r="T165" t="s">
        <v>46</v>
      </c>
      <c r="U165">
        <v>83</v>
      </c>
      <c r="V165" t="str">
        <f>_xlfn.XLOOKUP(Table1[[#This Row],[JobInvolvement]],Table11[JobInvolvement],Table11[Id_JobInvolvement])</f>
        <v>JI004</v>
      </c>
      <c r="W165">
        <v>4</v>
      </c>
      <c r="X165" t="str">
        <f>_xlfn.XLOOKUP(Table1[[#This Row],[JobLevel]],Table12[JobLevel],Table12[Id_JobLevel])</f>
        <v>JL003</v>
      </c>
      <c r="Y165">
        <v>3</v>
      </c>
      <c r="Z165" t="str">
        <f>_xlfn.XLOOKUP(Table1[[#This Row],[JobRole]],Table13[JobRole],Table13[Id_JobRole])</f>
        <v>JR005</v>
      </c>
      <c r="AA165" t="s">
        <v>51</v>
      </c>
      <c r="AB165" t="str">
        <f>_xlfn.XLOOKUP(Table1[[#This Row],[JobSatisfaction]],Table14[JobSatisfaction],Table14[Id_JobSatisfaction])</f>
        <v>JS004</v>
      </c>
      <c r="AC165">
        <v>4</v>
      </c>
      <c r="AD165" t="str">
        <f>_xlfn.XLOOKUP(Table1[[#This Row],[JobSatisfaction]],Table14[JobSatisfaction],Table14[Deskripsi])</f>
        <v>Very High</v>
      </c>
      <c r="AE165" t="str">
        <f>_xlfn.XLOOKUP(Table1[[#This Row],[MaritalStatus]],Table15[MaritalStatus],Table15[Id_MaritalStatus])</f>
        <v>MS003</v>
      </c>
      <c r="AF165" t="s">
        <v>57</v>
      </c>
      <c r="AG165">
        <v>9439</v>
      </c>
      <c r="AH165">
        <v>23402</v>
      </c>
      <c r="AI165">
        <v>3</v>
      </c>
      <c r="AJ165" t="str">
        <f>_xlfn.XLOOKUP(Table1[[#This Row],[OverTime]],Table16[OverTime],Table16[Id_OverTime])</f>
        <v>OT001</v>
      </c>
      <c r="AK165" t="s">
        <v>32</v>
      </c>
      <c r="AL165">
        <v>16</v>
      </c>
      <c r="AM165" t="str">
        <f>_xlfn.XLOOKUP(Table1[[#This Row],[PerformanceRating]],Table17[PerformanceRating],Table17[Id_PerformanceRating])</f>
        <v>PR003</v>
      </c>
      <c r="AN165">
        <v>3</v>
      </c>
      <c r="AO165" t="str">
        <f>_xlfn.XLOOKUP(Table1[[#This Row],[PerformanceRating]],Table17[PerformanceRating],Table17[Deskripsi])</f>
        <v>Excellent</v>
      </c>
      <c r="AP165" t="str">
        <f>_xlfn.XLOOKUP(Table1[[#This Row],[RelationshipSatisfaction]],Table18[RelationshipSatisfaction],Table18[Id_RelationshipSatisfaction])</f>
        <v>RS002</v>
      </c>
      <c r="AQ165">
        <v>2</v>
      </c>
      <c r="AR165" t="str">
        <f>_xlfn.XLOOKUP(Table1[[#This Row],[RelationshipSatisfaction]],Table18[RelationshipSatisfaction],Table18[Deskripsi])</f>
        <v>Medium</v>
      </c>
      <c r="AS165" t="str">
        <f>_xlfn.XLOOKUP(Table1[[#This Row],[StockOptionLevel]],Table19[StockOptionLevel],Table19[Id_StockOptionLevel])</f>
        <v>SOL002</v>
      </c>
      <c r="AT165">
        <v>1</v>
      </c>
      <c r="AU165" t="str">
        <f>_xlfn.XLOOKUP(Table1[[#This Row],[StockOptionLevel]],Table19[StockOptionLevel],Table19[Deskripsi])</f>
        <v>Standard</v>
      </c>
      <c r="AV165">
        <v>12</v>
      </c>
      <c r="AW165">
        <v>2</v>
      </c>
      <c r="AX165" t="str">
        <f>_xlfn.XLOOKUP(Table1[[#This Row],[WorkLifeBalance]],Table20[WorkLifeBalance],Table20[Id_WorkLifeBalance])</f>
        <v>WLB001</v>
      </c>
      <c r="AY165">
        <v>1</v>
      </c>
      <c r="AZ165" t="str">
        <f>_xlfn.XLOOKUP(Table1[[#This Row],[WorkLifeBalance]],Table20[WorkLifeBalance],Table20[Deskripsi])</f>
        <v>Bad</v>
      </c>
      <c r="BA165">
        <v>5</v>
      </c>
      <c r="BB165">
        <v>3</v>
      </c>
      <c r="BC165">
        <v>1</v>
      </c>
      <c r="BD165">
        <v>4</v>
      </c>
    </row>
    <row r="166" spans="1:56" x14ac:dyDescent="0.25">
      <c r="A166">
        <v>27</v>
      </c>
      <c r="B166" t="str">
        <f>_xlfn.XLOOKUP(Table1[[#This Row],[Attrition]],Table2[Attrition],Table2[Id_Attrition])</f>
        <v>A002</v>
      </c>
      <c r="C166" t="s">
        <v>33</v>
      </c>
      <c r="D166" t="str">
        <f>_xlfn.XLOOKUP(Table1[[#This Row],[BusinessTravel]],Table5[BusinessTravel],Table5[Id_BusinessTravel])</f>
        <v>BS003</v>
      </c>
      <c r="E166" t="s">
        <v>36</v>
      </c>
      <c r="F166">
        <v>1450</v>
      </c>
      <c r="G166" t="str">
        <f>_xlfn.XLOOKUP(Table1[[#This Row],[Department]],Table6[Department],Table6[Id_Departement])</f>
        <v>D002</v>
      </c>
      <c r="H166" t="s">
        <v>38</v>
      </c>
      <c r="I166">
        <v>3</v>
      </c>
      <c r="J166" t="str">
        <f>_xlfn.XLOOKUP(Table1[[#This Row],[Education]],Table8[Education],Table8[Id_Education])</f>
        <v>E003</v>
      </c>
      <c r="K166">
        <v>3</v>
      </c>
      <c r="L166" t="str">
        <f>_xlfn.XLOOKUP(Table1[[#This Row],[EducationField]],Table7[EducationField],Table7[Id_EducationField])</f>
        <v>EF003</v>
      </c>
      <c r="M166" t="s">
        <v>42</v>
      </c>
      <c r="N166" t="str">
        <f>_xlfn.XLOOKUP(Table1[[#This Row],[EmployeeNumber]],Table4[EmployeeNumber],Table4[Id_Employee])</f>
        <v>EMP00165</v>
      </c>
      <c r="O166">
        <v>224</v>
      </c>
      <c r="P166" t="str">
        <f>_xlfn.XLOOKUP(Table1[[#This Row],[EnvironmentSatisfaction]],Table9[EnvironmentSatisfaction],Table9[Id_EnviromentSatisfaction])</f>
        <v>ES003</v>
      </c>
      <c r="Q166">
        <v>3</v>
      </c>
      <c r="R166" t="str">
        <f>_xlfn.XLOOKUP(Table1[[#This Row],[EnvironmentSatisfaction]],Table9[EnvironmentSatisfaction],Table9[Deskripsi])</f>
        <v>High</v>
      </c>
      <c r="S166" t="str">
        <f>_xlfn.XLOOKUP(Table1[[#This Row],[Gender]],Table10[Gender],Table10[Id_Gender])</f>
        <v>G002</v>
      </c>
      <c r="T166" t="s">
        <v>46</v>
      </c>
      <c r="U166">
        <v>79</v>
      </c>
      <c r="V166" t="str">
        <f>_xlfn.XLOOKUP(Table1[[#This Row],[JobInvolvement]],Table11[JobInvolvement],Table11[Id_JobInvolvement])</f>
        <v>JI002</v>
      </c>
      <c r="W166">
        <v>2</v>
      </c>
      <c r="X166" t="str">
        <f>_xlfn.XLOOKUP(Table1[[#This Row],[JobLevel]],Table12[JobLevel],Table12[Id_JobLevel])</f>
        <v>JL001</v>
      </c>
      <c r="Y166">
        <v>1</v>
      </c>
      <c r="Z166" t="str">
        <f>_xlfn.XLOOKUP(Table1[[#This Row],[JobRole]],Table13[JobRole],Table13[Id_JobRole])</f>
        <v>JR002</v>
      </c>
      <c r="AA166" t="s">
        <v>48</v>
      </c>
      <c r="AB166" t="str">
        <f>_xlfn.XLOOKUP(Table1[[#This Row],[JobSatisfaction]],Table14[JobSatisfaction],Table14[Id_JobSatisfaction])</f>
        <v>JS003</v>
      </c>
      <c r="AC166">
        <v>3</v>
      </c>
      <c r="AD166" t="str">
        <f>_xlfn.XLOOKUP(Table1[[#This Row],[JobSatisfaction]],Table14[JobSatisfaction],Table14[Deskripsi])</f>
        <v>High</v>
      </c>
      <c r="AE166" t="str">
        <f>_xlfn.XLOOKUP(Table1[[#This Row],[MaritalStatus]],Table15[MaritalStatus],Table15[Id_MaritalStatus])</f>
        <v>MS003</v>
      </c>
      <c r="AF166" t="s">
        <v>57</v>
      </c>
      <c r="AG166">
        <v>2566</v>
      </c>
      <c r="AH166">
        <v>25326</v>
      </c>
      <c r="AI166">
        <v>1</v>
      </c>
      <c r="AJ166" t="str">
        <f>_xlfn.XLOOKUP(Table1[[#This Row],[OverTime]],Table16[OverTime],Table16[Id_OverTime])</f>
        <v>OT001</v>
      </c>
      <c r="AK166" t="s">
        <v>32</v>
      </c>
      <c r="AL166">
        <v>15</v>
      </c>
      <c r="AM166" t="str">
        <f>_xlfn.XLOOKUP(Table1[[#This Row],[PerformanceRating]],Table17[PerformanceRating],Table17[Id_PerformanceRating])</f>
        <v>PR003</v>
      </c>
      <c r="AN166">
        <v>3</v>
      </c>
      <c r="AO166" t="str">
        <f>_xlfn.XLOOKUP(Table1[[#This Row],[PerformanceRating]],Table17[PerformanceRating],Table17[Deskripsi])</f>
        <v>Excellent</v>
      </c>
      <c r="AP166" t="str">
        <f>_xlfn.XLOOKUP(Table1[[#This Row],[RelationshipSatisfaction]],Table18[RelationshipSatisfaction],Table18[Id_RelationshipSatisfaction])</f>
        <v>RS004</v>
      </c>
      <c r="AQ166">
        <v>4</v>
      </c>
      <c r="AR166" t="str">
        <f>_xlfn.XLOOKUP(Table1[[#This Row],[RelationshipSatisfaction]],Table18[RelationshipSatisfaction],Table18[Deskripsi])</f>
        <v>Very High</v>
      </c>
      <c r="AS166" t="str">
        <f>_xlfn.XLOOKUP(Table1[[#This Row],[StockOptionLevel]],Table19[StockOptionLevel],Table19[Id_StockOptionLevel])</f>
        <v>SOL002</v>
      </c>
      <c r="AT166">
        <v>1</v>
      </c>
      <c r="AU166" t="str">
        <f>_xlfn.XLOOKUP(Table1[[#This Row],[StockOptionLevel]],Table19[StockOptionLevel],Table19[Deskripsi])</f>
        <v>Standard</v>
      </c>
      <c r="AV166">
        <v>1</v>
      </c>
      <c r="AW166">
        <v>2</v>
      </c>
      <c r="AX166" t="str">
        <f>_xlfn.XLOOKUP(Table1[[#This Row],[WorkLifeBalance]],Table20[WorkLifeBalance],Table20[Id_WorkLifeBalance])</f>
        <v>WLB003</v>
      </c>
      <c r="AY166">
        <v>2</v>
      </c>
      <c r="AZ166" t="str">
        <f>_xlfn.XLOOKUP(Table1[[#This Row],[WorkLifeBalance]],Table20[WorkLifeBalance],Table20[Deskripsi])</f>
        <v>Better</v>
      </c>
      <c r="BA166">
        <v>1</v>
      </c>
      <c r="BB166">
        <v>1</v>
      </c>
      <c r="BC166">
        <v>0</v>
      </c>
      <c r="BD166">
        <v>1</v>
      </c>
    </row>
    <row r="167" spans="1:56" x14ac:dyDescent="0.25">
      <c r="A167">
        <v>50</v>
      </c>
      <c r="B167" t="str">
        <f>_xlfn.XLOOKUP(Table1[[#This Row],[Attrition]],Table2[Attrition],Table2[Id_Attrition])</f>
        <v>A002</v>
      </c>
      <c r="C167" t="s">
        <v>33</v>
      </c>
      <c r="D167" t="str">
        <f>_xlfn.XLOOKUP(Table1[[#This Row],[BusinessTravel]],Table5[BusinessTravel],Table5[Id_BusinessTravel])</f>
        <v>BS001</v>
      </c>
      <c r="E167" t="s">
        <v>34</v>
      </c>
      <c r="F167">
        <v>1452</v>
      </c>
      <c r="G167" t="str">
        <f>_xlfn.XLOOKUP(Table1[[#This Row],[Department]],Table6[Department],Table6[Id_Departement])</f>
        <v>D002</v>
      </c>
      <c r="H167" t="s">
        <v>38</v>
      </c>
      <c r="I167">
        <v>11</v>
      </c>
      <c r="J167" t="str">
        <f>_xlfn.XLOOKUP(Table1[[#This Row],[Education]],Table8[Education],Table8[Id_Education])</f>
        <v>E003</v>
      </c>
      <c r="K167">
        <v>3</v>
      </c>
      <c r="L167" t="str">
        <f>_xlfn.XLOOKUP(Table1[[#This Row],[EducationField]],Table7[EducationField],Table7[Id_EducationField])</f>
        <v>EF001</v>
      </c>
      <c r="M167" t="s">
        <v>40</v>
      </c>
      <c r="N167" t="str">
        <f>_xlfn.XLOOKUP(Table1[[#This Row],[EmployeeNumber]],Table4[EmployeeNumber],Table4[Id_Employee])</f>
        <v>EMP00166</v>
      </c>
      <c r="O167">
        <v>226</v>
      </c>
      <c r="P167" t="str">
        <f>_xlfn.XLOOKUP(Table1[[#This Row],[EnvironmentSatisfaction]],Table9[EnvironmentSatisfaction],Table9[Id_EnviromentSatisfaction])</f>
        <v>ES003</v>
      </c>
      <c r="Q167">
        <v>3</v>
      </c>
      <c r="R167" t="str">
        <f>_xlfn.XLOOKUP(Table1[[#This Row],[EnvironmentSatisfaction]],Table9[EnvironmentSatisfaction],Table9[Deskripsi])</f>
        <v>High</v>
      </c>
      <c r="S167" t="str">
        <f>_xlfn.XLOOKUP(Table1[[#This Row],[Gender]],Table10[Gender],Table10[Id_Gender])</f>
        <v>G001</v>
      </c>
      <c r="T167" t="s">
        <v>45</v>
      </c>
      <c r="U167">
        <v>53</v>
      </c>
      <c r="V167" t="str">
        <f>_xlfn.XLOOKUP(Table1[[#This Row],[JobInvolvement]],Table11[JobInvolvement],Table11[Id_JobInvolvement])</f>
        <v>JI003</v>
      </c>
      <c r="W167">
        <v>3</v>
      </c>
      <c r="X167" t="str">
        <f>_xlfn.XLOOKUP(Table1[[#This Row],[JobLevel]],Table12[JobLevel],Table12[Id_JobLevel])</f>
        <v>JL005</v>
      </c>
      <c r="Y167">
        <v>5</v>
      </c>
      <c r="Z167" t="str">
        <f>_xlfn.XLOOKUP(Table1[[#This Row],[JobRole]],Table13[JobRole],Table13[Id_JobRole])</f>
        <v>JR006</v>
      </c>
      <c r="AA167" t="s">
        <v>52</v>
      </c>
      <c r="AB167" t="str">
        <f>_xlfn.XLOOKUP(Table1[[#This Row],[JobSatisfaction]],Table14[JobSatisfaction],Table14[Id_JobSatisfaction])</f>
        <v>JS002</v>
      </c>
      <c r="AC167">
        <v>2</v>
      </c>
      <c r="AD167" t="str">
        <f>_xlfn.XLOOKUP(Table1[[#This Row],[JobSatisfaction]],Table14[JobSatisfaction],Table14[Deskripsi])</f>
        <v>Medium</v>
      </c>
      <c r="AE167" t="str">
        <f>_xlfn.XLOOKUP(Table1[[#This Row],[MaritalStatus]],Table15[MaritalStatus],Table15[Id_MaritalStatus])</f>
        <v>MS001</v>
      </c>
      <c r="AF167" t="s">
        <v>55</v>
      </c>
      <c r="AG167">
        <v>19926</v>
      </c>
      <c r="AH167">
        <v>17053</v>
      </c>
      <c r="AI167">
        <v>3</v>
      </c>
      <c r="AJ167" t="str">
        <f>_xlfn.XLOOKUP(Table1[[#This Row],[OverTime]],Table16[OverTime],Table16[Id_OverTime])</f>
        <v>OT002</v>
      </c>
      <c r="AK167" t="s">
        <v>33</v>
      </c>
      <c r="AL167">
        <v>15</v>
      </c>
      <c r="AM167" t="str">
        <f>_xlfn.XLOOKUP(Table1[[#This Row],[PerformanceRating]],Table17[PerformanceRating],Table17[Id_PerformanceRating])</f>
        <v>PR003</v>
      </c>
      <c r="AN167">
        <v>3</v>
      </c>
      <c r="AO167" t="str">
        <f>_xlfn.XLOOKUP(Table1[[#This Row],[PerformanceRating]],Table17[PerformanceRating],Table17[Deskripsi])</f>
        <v>Excellent</v>
      </c>
      <c r="AP167" t="str">
        <f>_xlfn.XLOOKUP(Table1[[#This Row],[RelationshipSatisfaction]],Table18[RelationshipSatisfaction],Table18[Id_RelationshipSatisfaction])</f>
        <v>RS002</v>
      </c>
      <c r="AQ167">
        <v>2</v>
      </c>
      <c r="AR167" t="str">
        <f>_xlfn.XLOOKUP(Table1[[#This Row],[RelationshipSatisfaction]],Table18[RelationshipSatisfaction],Table18[Deskripsi])</f>
        <v>Medium</v>
      </c>
      <c r="AS167" t="str">
        <f>_xlfn.XLOOKUP(Table1[[#This Row],[StockOptionLevel]],Table19[StockOptionLevel],Table19[Id_StockOptionLevel])</f>
        <v>SOL001</v>
      </c>
      <c r="AT167">
        <v>0</v>
      </c>
      <c r="AU167" t="str">
        <f>_xlfn.XLOOKUP(Table1[[#This Row],[StockOptionLevel]],Table19[StockOptionLevel],Table19[Deskripsi])</f>
        <v>Non-Eligible</v>
      </c>
      <c r="AV167">
        <v>21</v>
      </c>
      <c r="AW167">
        <v>5</v>
      </c>
      <c r="AX167" t="str">
        <f>_xlfn.XLOOKUP(Table1[[#This Row],[WorkLifeBalance]],Table20[WorkLifeBalance],Table20[Id_WorkLifeBalance])</f>
        <v>WLB002</v>
      </c>
      <c r="AY167">
        <v>3</v>
      </c>
      <c r="AZ167" t="str">
        <f>_xlfn.XLOOKUP(Table1[[#This Row],[WorkLifeBalance]],Table20[WorkLifeBalance],Table20[Deskripsi])</f>
        <v>Good</v>
      </c>
      <c r="BA167">
        <v>5</v>
      </c>
      <c r="BB167">
        <v>4</v>
      </c>
      <c r="BC167">
        <v>4</v>
      </c>
      <c r="BD167">
        <v>4</v>
      </c>
    </row>
    <row r="168" spans="1:56" x14ac:dyDescent="0.25">
      <c r="A168">
        <v>41</v>
      </c>
      <c r="B168" t="str">
        <f>_xlfn.XLOOKUP(Table1[[#This Row],[Attrition]],Table2[Attrition],Table2[Id_Attrition])</f>
        <v>A002</v>
      </c>
      <c r="C168" t="s">
        <v>33</v>
      </c>
      <c r="D168" t="str">
        <f>_xlfn.XLOOKUP(Table1[[#This Row],[BusinessTravel]],Table5[BusinessTravel],Table5[Id_BusinessTravel])</f>
        <v>BS001</v>
      </c>
      <c r="E168" t="s">
        <v>34</v>
      </c>
      <c r="F168">
        <v>465</v>
      </c>
      <c r="G168" t="str">
        <f>_xlfn.XLOOKUP(Table1[[#This Row],[Department]],Table6[Department],Table6[Id_Departement])</f>
        <v>D002</v>
      </c>
      <c r="H168" t="s">
        <v>38</v>
      </c>
      <c r="I168">
        <v>14</v>
      </c>
      <c r="J168" t="str">
        <f>_xlfn.XLOOKUP(Table1[[#This Row],[Education]],Table8[Education],Table8[Id_Education])</f>
        <v>E003</v>
      </c>
      <c r="K168">
        <v>3</v>
      </c>
      <c r="L168" t="str">
        <f>_xlfn.XLOOKUP(Table1[[#This Row],[EducationField]],Table7[EducationField],Table7[Id_EducationField])</f>
        <v>EF001</v>
      </c>
      <c r="M168" t="s">
        <v>40</v>
      </c>
      <c r="N168" t="str">
        <f>_xlfn.XLOOKUP(Table1[[#This Row],[EmployeeNumber]],Table4[EmployeeNumber],Table4[Id_Employee])</f>
        <v>EMP00167</v>
      </c>
      <c r="O168">
        <v>227</v>
      </c>
      <c r="P168" t="str">
        <f>_xlfn.XLOOKUP(Table1[[#This Row],[EnvironmentSatisfaction]],Table9[EnvironmentSatisfaction],Table9[Id_EnviromentSatisfaction])</f>
        <v>ES001</v>
      </c>
      <c r="Q168">
        <v>1</v>
      </c>
      <c r="R168" t="str">
        <f>_xlfn.XLOOKUP(Table1[[#This Row],[EnvironmentSatisfaction]],Table9[EnvironmentSatisfaction],Table9[Deskripsi])</f>
        <v>Low</v>
      </c>
      <c r="S168" t="str">
        <f>_xlfn.XLOOKUP(Table1[[#This Row],[Gender]],Table10[Gender],Table10[Id_Gender])</f>
        <v>G002</v>
      </c>
      <c r="T168" t="s">
        <v>46</v>
      </c>
      <c r="U168">
        <v>56</v>
      </c>
      <c r="V168" t="str">
        <f>_xlfn.XLOOKUP(Table1[[#This Row],[JobInvolvement]],Table11[JobInvolvement],Table11[Id_JobInvolvement])</f>
        <v>JI003</v>
      </c>
      <c r="W168">
        <v>3</v>
      </c>
      <c r="X168" t="str">
        <f>_xlfn.XLOOKUP(Table1[[#This Row],[JobLevel]],Table12[JobLevel],Table12[Id_JobLevel])</f>
        <v>JL001</v>
      </c>
      <c r="Y168">
        <v>1</v>
      </c>
      <c r="Z168" t="str">
        <f>_xlfn.XLOOKUP(Table1[[#This Row],[JobRole]],Table13[JobRole],Table13[Id_JobRole])</f>
        <v>JR002</v>
      </c>
      <c r="AA168" t="s">
        <v>48</v>
      </c>
      <c r="AB168" t="str">
        <f>_xlfn.XLOOKUP(Table1[[#This Row],[JobSatisfaction]],Table14[JobSatisfaction],Table14[Id_JobSatisfaction])</f>
        <v>JS003</v>
      </c>
      <c r="AC168">
        <v>3</v>
      </c>
      <c r="AD168" t="str">
        <f>_xlfn.XLOOKUP(Table1[[#This Row],[JobSatisfaction]],Table14[JobSatisfaction],Table14[Deskripsi])</f>
        <v>High</v>
      </c>
      <c r="AE168" t="str">
        <f>_xlfn.XLOOKUP(Table1[[#This Row],[MaritalStatus]],Table15[MaritalStatus],Table15[Id_MaritalStatus])</f>
        <v>MS003</v>
      </c>
      <c r="AF168" t="s">
        <v>57</v>
      </c>
      <c r="AG168">
        <v>2451</v>
      </c>
      <c r="AH168">
        <v>4609</v>
      </c>
      <c r="AI168">
        <v>4</v>
      </c>
      <c r="AJ168" t="str">
        <f>_xlfn.XLOOKUP(Table1[[#This Row],[OverTime]],Table16[OverTime],Table16[Id_OverTime])</f>
        <v>OT002</v>
      </c>
      <c r="AK168" t="s">
        <v>33</v>
      </c>
      <c r="AL168">
        <v>12</v>
      </c>
      <c r="AM168" t="str">
        <f>_xlfn.XLOOKUP(Table1[[#This Row],[PerformanceRating]],Table17[PerformanceRating],Table17[Id_PerformanceRating])</f>
        <v>PR003</v>
      </c>
      <c r="AN168">
        <v>3</v>
      </c>
      <c r="AO168" t="str">
        <f>_xlfn.XLOOKUP(Table1[[#This Row],[PerformanceRating]],Table17[PerformanceRating],Table17[Deskripsi])</f>
        <v>Excellent</v>
      </c>
      <c r="AP168" t="str">
        <f>_xlfn.XLOOKUP(Table1[[#This Row],[RelationshipSatisfaction]],Table18[RelationshipSatisfaction],Table18[Id_RelationshipSatisfaction])</f>
        <v>RS001</v>
      </c>
      <c r="AQ168">
        <v>1</v>
      </c>
      <c r="AR168" t="str">
        <f>_xlfn.XLOOKUP(Table1[[#This Row],[RelationshipSatisfaction]],Table18[RelationshipSatisfaction],Table18[Deskripsi])</f>
        <v>Low</v>
      </c>
      <c r="AS168" t="str">
        <f>_xlfn.XLOOKUP(Table1[[#This Row],[StockOptionLevel]],Table19[StockOptionLevel],Table19[Id_StockOptionLevel])</f>
        <v>SOL002</v>
      </c>
      <c r="AT168">
        <v>1</v>
      </c>
      <c r="AU168" t="str">
        <f>_xlfn.XLOOKUP(Table1[[#This Row],[StockOptionLevel]],Table19[StockOptionLevel],Table19[Deskripsi])</f>
        <v>Standard</v>
      </c>
      <c r="AV168">
        <v>13</v>
      </c>
      <c r="AW168">
        <v>2</v>
      </c>
      <c r="AX168" t="str">
        <f>_xlfn.XLOOKUP(Table1[[#This Row],[WorkLifeBalance]],Table20[WorkLifeBalance],Table20[Id_WorkLifeBalance])</f>
        <v>WLB002</v>
      </c>
      <c r="AY168">
        <v>3</v>
      </c>
      <c r="AZ168" t="str">
        <f>_xlfn.XLOOKUP(Table1[[#This Row],[WorkLifeBalance]],Table20[WorkLifeBalance],Table20[Deskripsi])</f>
        <v>Good</v>
      </c>
      <c r="BA168">
        <v>9</v>
      </c>
      <c r="BB168">
        <v>8</v>
      </c>
      <c r="BC168">
        <v>1</v>
      </c>
      <c r="BD168">
        <v>8</v>
      </c>
    </row>
    <row r="169" spans="1:56" x14ac:dyDescent="0.25">
      <c r="A169">
        <v>30</v>
      </c>
      <c r="B169" t="str">
        <f>_xlfn.XLOOKUP(Table1[[#This Row],[Attrition]],Table2[Attrition],Table2[Id_Attrition])</f>
        <v>A002</v>
      </c>
      <c r="C169" t="s">
        <v>33</v>
      </c>
      <c r="D169" t="str">
        <f>_xlfn.XLOOKUP(Table1[[#This Row],[BusinessTravel]],Table5[BusinessTravel],Table5[Id_BusinessTravel])</f>
        <v>BS001</v>
      </c>
      <c r="E169" t="s">
        <v>34</v>
      </c>
      <c r="F169">
        <v>1339</v>
      </c>
      <c r="G169" t="str">
        <f>_xlfn.XLOOKUP(Table1[[#This Row],[Department]],Table6[Department],Table6[Id_Departement])</f>
        <v>D001</v>
      </c>
      <c r="H169" t="s">
        <v>37</v>
      </c>
      <c r="I169">
        <v>5</v>
      </c>
      <c r="J169" t="str">
        <f>_xlfn.XLOOKUP(Table1[[#This Row],[Education]],Table8[Education],Table8[Id_Education])</f>
        <v>E003</v>
      </c>
      <c r="K169">
        <v>3</v>
      </c>
      <c r="L169" t="str">
        <f>_xlfn.XLOOKUP(Table1[[#This Row],[EducationField]],Table7[EducationField],Table7[Id_EducationField])</f>
        <v>EF001</v>
      </c>
      <c r="M169" t="s">
        <v>40</v>
      </c>
      <c r="N169" t="str">
        <f>_xlfn.XLOOKUP(Table1[[#This Row],[EmployeeNumber]],Table4[EmployeeNumber],Table4[Id_Employee])</f>
        <v>EMP00168</v>
      </c>
      <c r="O169">
        <v>228</v>
      </c>
      <c r="P169" t="str">
        <f>_xlfn.XLOOKUP(Table1[[#This Row],[EnvironmentSatisfaction]],Table9[EnvironmentSatisfaction],Table9[Id_EnviromentSatisfaction])</f>
        <v>ES002</v>
      </c>
      <c r="Q169">
        <v>2</v>
      </c>
      <c r="R169" t="str">
        <f>_xlfn.XLOOKUP(Table1[[#This Row],[EnvironmentSatisfaction]],Table9[EnvironmentSatisfaction],Table9[Deskripsi])</f>
        <v>Medium</v>
      </c>
      <c r="S169" t="str">
        <f>_xlfn.XLOOKUP(Table1[[#This Row],[Gender]],Table10[Gender],Table10[Id_Gender])</f>
        <v>G001</v>
      </c>
      <c r="T169" t="s">
        <v>45</v>
      </c>
      <c r="U169">
        <v>41</v>
      </c>
      <c r="V169" t="str">
        <f>_xlfn.XLOOKUP(Table1[[#This Row],[JobInvolvement]],Table11[JobInvolvement],Table11[Id_JobInvolvement])</f>
        <v>JI003</v>
      </c>
      <c r="W169">
        <v>3</v>
      </c>
      <c r="X169" t="str">
        <f>_xlfn.XLOOKUP(Table1[[#This Row],[JobLevel]],Table12[JobLevel],Table12[Id_JobLevel])</f>
        <v>JL003</v>
      </c>
      <c r="Y169">
        <v>3</v>
      </c>
      <c r="Z169" t="str">
        <f>_xlfn.XLOOKUP(Table1[[#This Row],[JobRole]],Table13[JobRole],Table13[Id_JobRole])</f>
        <v>JR001</v>
      </c>
      <c r="AA169" t="s">
        <v>47</v>
      </c>
      <c r="AB169" t="str">
        <f>_xlfn.XLOOKUP(Table1[[#This Row],[JobSatisfaction]],Table14[JobSatisfaction],Table14[Id_JobSatisfaction])</f>
        <v>JS004</v>
      </c>
      <c r="AC169">
        <v>4</v>
      </c>
      <c r="AD169" t="str">
        <f>_xlfn.XLOOKUP(Table1[[#This Row],[JobSatisfaction]],Table14[JobSatisfaction],Table14[Deskripsi])</f>
        <v>Very High</v>
      </c>
      <c r="AE169" t="str">
        <f>_xlfn.XLOOKUP(Table1[[#This Row],[MaritalStatus]],Table15[MaritalStatus],Table15[Id_MaritalStatus])</f>
        <v>MS002</v>
      </c>
      <c r="AF169" t="s">
        <v>56</v>
      </c>
      <c r="AG169">
        <v>9419</v>
      </c>
      <c r="AH169">
        <v>8053</v>
      </c>
      <c r="AI169">
        <v>2</v>
      </c>
      <c r="AJ169" t="str">
        <f>_xlfn.XLOOKUP(Table1[[#This Row],[OverTime]],Table16[OverTime],Table16[Id_OverTime])</f>
        <v>OT002</v>
      </c>
      <c r="AK169" t="s">
        <v>33</v>
      </c>
      <c r="AL169">
        <v>12</v>
      </c>
      <c r="AM169" t="str">
        <f>_xlfn.XLOOKUP(Table1[[#This Row],[PerformanceRating]],Table17[PerformanceRating],Table17[Id_PerformanceRating])</f>
        <v>PR003</v>
      </c>
      <c r="AN169">
        <v>3</v>
      </c>
      <c r="AO169" t="str">
        <f>_xlfn.XLOOKUP(Table1[[#This Row],[PerformanceRating]],Table17[PerformanceRating],Table17[Deskripsi])</f>
        <v>Excellent</v>
      </c>
      <c r="AP169" t="str">
        <f>_xlfn.XLOOKUP(Table1[[#This Row],[RelationshipSatisfaction]],Table18[RelationshipSatisfaction],Table18[Id_RelationshipSatisfaction])</f>
        <v>RS003</v>
      </c>
      <c r="AQ169">
        <v>3</v>
      </c>
      <c r="AR169" t="str">
        <f>_xlfn.XLOOKUP(Table1[[#This Row],[RelationshipSatisfaction]],Table18[RelationshipSatisfaction],Table18[Deskripsi])</f>
        <v>High</v>
      </c>
      <c r="AS169" t="str">
        <f>_xlfn.XLOOKUP(Table1[[#This Row],[StockOptionLevel]],Table19[StockOptionLevel],Table19[Id_StockOptionLevel])</f>
        <v>SOL002</v>
      </c>
      <c r="AT169">
        <v>1</v>
      </c>
      <c r="AU169" t="str">
        <f>_xlfn.XLOOKUP(Table1[[#This Row],[StockOptionLevel]],Table19[StockOptionLevel],Table19[Deskripsi])</f>
        <v>Standard</v>
      </c>
      <c r="AV169">
        <v>12</v>
      </c>
      <c r="AW169">
        <v>2</v>
      </c>
      <c r="AX169" t="str">
        <f>_xlfn.XLOOKUP(Table1[[#This Row],[WorkLifeBalance]],Table20[WorkLifeBalance],Table20[Id_WorkLifeBalance])</f>
        <v>WLB002</v>
      </c>
      <c r="AY169">
        <v>3</v>
      </c>
      <c r="AZ169" t="str">
        <f>_xlfn.XLOOKUP(Table1[[#This Row],[WorkLifeBalance]],Table20[WorkLifeBalance],Table20[Deskripsi])</f>
        <v>Good</v>
      </c>
      <c r="BA169">
        <v>10</v>
      </c>
      <c r="BB169">
        <v>9</v>
      </c>
      <c r="BC169">
        <v>7</v>
      </c>
      <c r="BD169">
        <v>4</v>
      </c>
    </row>
    <row r="170" spans="1:56" x14ac:dyDescent="0.25">
      <c r="A170">
        <v>38</v>
      </c>
      <c r="B170" t="str">
        <f>_xlfn.XLOOKUP(Table1[[#This Row],[Attrition]],Table2[Attrition],Table2[Id_Attrition])</f>
        <v>A002</v>
      </c>
      <c r="C170" t="s">
        <v>33</v>
      </c>
      <c r="D170" t="str">
        <f>_xlfn.XLOOKUP(Table1[[#This Row],[BusinessTravel]],Table5[BusinessTravel],Table5[Id_BusinessTravel])</f>
        <v>BS001</v>
      </c>
      <c r="E170" t="s">
        <v>34</v>
      </c>
      <c r="F170">
        <v>702</v>
      </c>
      <c r="G170" t="str">
        <f>_xlfn.XLOOKUP(Table1[[#This Row],[Department]],Table6[Department],Table6[Id_Departement])</f>
        <v>D001</v>
      </c>
      <c r="H170" t="s">
        <v>37</v>
      </c>
      <c r="I170">
        <v>1</v>
      </c>
      <c r="J170" t="str">
        <f>_xlfn.XLOOKUP(Table1[[#This Row],[Education]],Table8[Education],Table8[Id_Education])</f>
        <v>E004</v>
      </c>
      <c r="K170">
        <v>4</v>
      </c>
      <c r="L170" t="str">
        <f>_xlfn.XLOOKUP(Table1[[#This Row],[EducationField]],Table7[EducationField],Table7[Id_EducationField])</f>
        <v>EF001</v>
      </c>
      <c r="M170" t="s">
        <v>40</v>
      </c>
      <c r="N170" t="str">
        <f>_xlfn.XLOOKUP(Table1[[#This Row],[EmployeeNumber]],Table4[EmployeeNumber],Table4[Id_Employee])</f>
        <v>EMP00169</v>
      </c>
      <c r="O170">
        <v>230</v>
      </c>
      <c r="P170" t="str">
        <f>_xlfn.XLOOKUP(Table1[[#This Row],[EnvironmentSatisfaction]],Table9[EnvironmentSatisfaction],Table9[Id_EnviromentSatisfaction])</f>
        <v>ES001</v>
      </c>
      <c r="Q170">
        <v>1</v>
      </c>
      <c r="R170" t="str">
        <f>_xlfn.XLOOKUP(Table1[[#This Row],[EnvironmentSatisfaction]],Table9[EnvironmentSatisfaction],Table9[Deskripsi])</f>
        <v>Low</v>
      </c>
      <c r="S170" t="str">
        <f>_xlfn.XLOOKUP(Table1[[#This Row],[Gender]],Table10[Gender],Table10[Id_Gender])</f>
        <v>G001</v>
      </c>
      <c r="T170" t="s">
        <v>45</v>
      </c>
      <c r="U170">
        <v>59</v>
      </c>
      <c r="V170" t="str">
        <f>_xlfn.XLOOKUP(Table1[[#This Row],[JobInvolvement]],Table11[JobInvolvement],Table11[Id_JobInvolvement])</f>
        <v>JI002</v>
      </c>
      <c r="W170">
        <v>2</v>
      </c>
      <c r="X170" t="str">
        <f>_xlfn.XLOOKUP(Table1[[#This Row],[JobLevel]],Table12[JobLevel],Table12[Id_JobLevel])</f>
        <v>JL002</v>
      </c>
      <c r="Y170">
        <v>2</v>
      </c>
      <c r="Z170" t="str">
        <f>_xlfn.XLOOKUP(Table1[[#This Row],[JobRole]],Table13[JobRole],Table13[Id_JobRole])</f>
        <v>JR001</v>
      </c>
      <c r="AA170" t="s">
        <v>47</v>
      </c>
      <c r="AB170" t="str">
        <f>_xlfn.XLOOKUP(Table1[[#This Row],[JobSatisfaction]],Table14[JobSatisfaction],Table14[Id_JobSatisfaction])</f>
        <v>JS004</v>
      </c>
      <c r="AC170">
        <v>4</v>
      </c>
      <c r="AD170" t="str">
        <f>_xlfn.XLOOKUP(Table1[[#This Row],[JobSatisfaction]],Table14[JobSatisfaction],Table14[Deskripsi])</f>
        <v>Very High</v>
      </c>
      <c r="AE170" t="str">
        <f>_xlfn.XLOOKUP(Table1[[#This Row],[MaritalStatus]],Table15[MaritalStatus],Table15[Id_MaritalStatus])</f>
        <v>MS001</v>
      </c>
      <c r="AF170" t="s">
        <v>55</v>
      </c>
      <c r="AG170">
        <v>8686</v>
      </c>
      <c r="AH170">
        <v>12930</v>
      </c>
      <c r="AI170">
        <v>4</v>
      </c>
      <c r="AJ170" t="str">
        <f>_xlfn.XLOOKUP(Table1[[#This Row],[OverTime]],Table16[OverTime],Table16[Id_OverTime])</f>
        <v>OT002</v>
      </c>
      <c r="AK170" t="s">
        <v>33</v>
      </c>
      <c r="AL170">
        <v>22</v>
      </c>
      <c r="AM170" t="str">
        <f>_xlfn.XLOOKUP(Table1[[#This Row],[PerformanceRating]],Table17[PerformanceRating],Table17[Id_PerformanceRating])</f>
        <v>PR004</v>
      </c>
      <c r="AN170">
        <v>4</v>
      </c>
      <c r="AO170" t="str">
        <f>_xlfn.XLOOKUP(Table1[[#This Row],[PerformanceRating]],Table17[PerformanceRating],Table17[Deskripsi])</f>
        <v>Outstanding</v>
      </c>
      <c r="AP170" t="str">
        <f>_xlfn.XLOOKUP(Table1[[#This Row],[RelationshipSatisfaction]],Table18[RelationshipSatisfaction],Table18[Id_RelationshipSatisfaction])</f>
        <v>RS003</v>
      </c>
      <c r="AQ170">
        <v>3</v>
      </c>
      <c r="AR170" t="str">
        <f>_xlfn.XLOOKUP(Table1[[#This Row],[RelationshipSatisfaction]],Table18[RelationshipSatisfaction],Table18[Deskripsi])</f>
        <v>High</v>
      </c>
      <c r="AS170" t="str">
        <f>_xlfn.XLOOKUP(Table1[[#This Row],[StockOptionLevel]],Table19[StockOptionLevel],Table19[Id_StockOptionLevel])</f>
        <v>SOL001</v>
      </c>
      <c r="AT170">
        <v>0</v>
      </c>
      <c r="AU170" t="str">
        <f>_xlfn.XLOOKUP(Table1[[#This Row],[StockOptionLevel]],Table19[StockOptionLevel],Table19[Deskripsi])</f>
        <v>Non-Eligible</v>
      </c>
      <c r="AV170">
        <v>12</v>
      </c>
      <c r="AW170">
        <v>2</v>
      </c>
      <c r="AX170" t="str">
        <f>_xlfn.XLOOKUP(Table1[[#This Row],[WorkLifeBalance]],Table20[WorkLifeBalance],Table20[Id_WorkLifeBalance])</f>
        <v>WLB004</v>
      </c>
      <c r="AY170">
        <v>4</v>
      </c>
      <c r="AZ170" t="str">
        <f>_xlfn.XLOOKUP(Table1[[#This Row],[WorkLifeBalance]],Table20[WorkLifeBalance],Table20[Deskripsi])</f>
        <v>Best</v>
      </c>
      <c r="BA170">
        <v>8</v>
      </c>
      <c r="BB170">
        <v>3</v>
      </c>
      <c r="BC170">
        <v>0</v>
      </c>
      <c r="BD170">
        <v>7</v>
      </c>
    </row>
    <row r="171" spans="1:56" x14ac:dyDescent="0.25">
      <c r="A171">
        <v>32</v>
      </c>
      <c r="B171" t="str">
        <f>_xlfn.XLOOKUP(Table1[[#This Row],[Attrition]],Table2[Attrition],Table2[Id_Attrition])</f>
        <v>A002</v>
      </c>
      <c r="C171" t="s">
        <v>33</v>
      </c>
      <c r="D171" t="str">
        <f>_xlfn.XLOOKUP(Table1[[#This Row],[BusinessTravel]],Table5[BusinessTravel],Table5[Id_BusinessTravel])</f>
        <v>BS001</v>
      </c>
      <c r="E171" t="s">
        <v>34</v>
      </c>
      <c r="F171">
        <v>120</v>
      </c>
      <c r="G171" t="str">
        <f>_xlfn.XLOOKUP(Table1[[#This Row],[Department]],Table6[Department],Table6[Id_Departement])</f>
        <v>D002</v>
      </c>
      <c r="H171" t="s">
        <v>38</v>
      </c>
      <c r="I171">
        <v>6</v>
      </c>
      <c r="J171" t="str">
        <f>_xlfn.XLOOKUP(Table1[[#This Row],[Education]],Table8[Education],Table8[Id_Education])</f>
        <v>E005</v>
      </c>
      <c r="K171">
        <v>5</v>
      </c>
      <c r="L171" t="str">
        <f>_xlfn.XLOOKUP(Table1[[#This Row],[EducationField]],Table7[EducationField],Table7[Id_EducationField])</f>
        <v>EF001</v>
      </c>
      <c r="M171" t="s">
        <v>40</v>
      </c>
      <c r="N171" t="str">
        <f>_xlfn.XLOOKUP(Table1[[#This Row],[EmployeeNumber]],Table4[EmployeeNumber],Table4[Id_Employee])</f>
        <v>EMP00170</v>
      </c>
      <c r="O171">
        <v>231</v>
      </c>
      <c r="P171" t="str">
        <f>_xlfn.XLOOKUP(Table1[[#This Row],[EnvironmentSatisfaction]],Table9[EnvironmentSatisfaction],Table9[Id_EnviromentSatisfaction])</f>
        <v>ES003</v>
      </c>
      <c r="Q171">
        <v>3</v>
      </c>
      <c r="R171" t="str">
        <f>_xlfn.XLOOKUP(Table1[[#This Row],[EnvironmentSatisfaction]],Table9[EnvironmentSatisfaction],Table9[Deskripsi])</f>
        <v>High</v>
      </c>
      <c r="S171" t="str">
        <f>_xlfn.XLOOKUP(Table1[[#This Row],[Gender]],Table10[Gender],Table10[Id_Gender])</f>
        <v>G002</v>
      </c>
      <c r="T171" t="s">
        <v>46</v>
      </c>
      <c r="U171">
        <v>43</v>
      </c>
      <c r="V171" t="str">
        <f>_xlfn.XLOOKUP(Table1[[#This Row],[JobInvolvement]],Table11[JobInvolvement],Table11[Id_JobInvolvement])</f>
        <v>JI003</v>
      </c>
      <c r="W171">
        <v>3</v>
      </c>
      <c r="X171" t="str">
        <f>_xlfn.XLOOKUP(Table1[[#This Row],[JobLevel]],Table12[JobLevel],Table12[Id_JobLevel])</f>
        <v>JL001</v>
      </c>
      <c r="Y171">
        <v>1</v>
      </c>
      <c r="Z171" t="str">
        <f>_xlfn.XLOOKUP(Table1[[#This Row],[JobRole]],Table13[JobRole],Table13[Id_JobRole])</f>
        <v>JR002</v>
      </c>
      <c r="AA171" t="s">
        <v>48</v>
      </c>
      <c r="AB171" t="str">
        <f>_xlfn.XLOOKUP(Table1[[#This Row],[JobSatisfaction]],Table14[JobSatisfaction],Table14[Id_JobSatisfaction])</f>
        <v>JS003</v>
      </c>
      <c r="AC171">
        <v>3</v>
      </c>
      <c r="AD171" t="str">
        <f>_xlfn.XLOOKUP(Table1[[#This Row],[JobSatisfaction]],Table14[JobSatisfaction],Table14[Deskripsi])</f>
        <v>High</v>
      </c>
      <c r="AE171" t="str">
        <f>_xlfn.XLOOKUP(Table1[[#This Row],[MaritalStatus]],Table15[MaritalStatus],Table15[Id_MaritalStatus])</f>
        <v>MS001</v>
      </c>
      <c r="AF171" t="s">
        <v>55</v>
      </c>
      <c r="AG171">
        <v>3038</v>
      </c>
      <c r="AH171">
        <v>12430</v>
      </c>
      <c r="AI171">
        <v>3</v>
      </c>
      <c r="AJ171" t="str">
        <f>_xlfn.XLOOKUP(Table1[[#This Row],[OverTime]],Table16[OverTime],Table16[Id_OverTime])</f>
        <v>OT002</v>
      </c>
      <c r="AK171" t="s">
        <v>33</v>
      </c>
      <c r="AL171">
        <v>20</v>
      </c>
      <c r="AM171" t="str">
        <f>_xlfn.XLOOKUP(Table1[[#This Row],[PerformanceRating]],Table17[PerformanceRating],Table17[Id_PerformanceRating])</f>
        <v>PR004</v>
      </c>
      <c r="AN171">
        <v>4</v>
      </c>
      <c r="AO171" t="str">
        <f>_xlfn.XLOOKUP(Table1[[#This Row],[PerformanceRating]],Table17[PerformanceRating],Table17[Deskripsi])</f>
        <v>Outstanding</v>
      </c>
      <c r="AP171" t="str">
        <f>_xlfn.XLOOKUP(Table1[[#This Row],[RelationshipSatisfaction]],Table18[RelationshipSatisfaction],Table18[Id_RelationshipSatisfaction])</f>
        <v>RS001</v>
      </c>
      <c r="AQ171">
        <v>1</v>
      </c>
      <c r="AR171" t="str">
        <f>_xlfn.XLOOKUP(Table1[[#This Row],[RelationshipSatisfaction]],Table18[RelationshipSatisfaction],Table18[Deskripsi])</f>
        <v>Low</v>
      </c>
      <c r="AS171" t="str">
        <f>_xlfn.XLOOKUP(Table1[[#This Row],[StockOptionLevel]],Table19[StockOptionLevel],Table19[Id_StockOptionLevel])</f>
        <v>SOL001</v>
      </c>
      <c r="AT171">
        <v>0</v>
      </c>
      <c r="AU171" t="str">
        <f>_xlfn.XLOOKUP(Table1[[#This Row],[StockOptionLevel]],Table19[StockOptionLevel],Table19[Deskripsi])</f>
        <v>Non-Eligible</v>
      </c>
      <c r="AV171">
        <v>8</v>
      </c>
      <c r="AW171">
        <v>2</v>
      </c>
      <c r="AX171" t="str">
        <f>_xlfn.XLOOKUP(Table1[[#This Row],[WorkLifeBalance]],Table20[WorkLifeBalance],Table20[Id_WorkLifeBalance])</f>
        <v>WLB002</v>
      </c>
      <c r="AY171">
        <v>3</v>
      </c>
      <c r="AZ171" t="str">
        <f>_xlfn.XLOOKUP(Table1[[#This Row],[WorkLifeBalance]],Table20[WorkLifeBalance],Table20[Deskripsi])</f>
        <v>Good</v>
      </c>
      <c r="BA171">
        <v>5</v>
      </c>
      <c r="BB171">
        <v>4</v>
      </c>
      <c r="BC171">
        <v>1</v>
      </c>
      <c r="BD171">
        <v>4</v>
      </c>
    </row>
    <row r="172" spans="1:56" x14ac:dyDescent="0.25">
      <c r="A172">
        <v>27</v>
      </c>
      <c r="B172" t="str">
        <f>_xlfn.XLOOKUP(Table1[[#This Row],[Attrition]],Table2[Attrition],Table2[Id_Attrition])</f>
        <v>A002</v>
      </c>
      <c r="C172" t="s">
        <v>33</v>
      </c>
      <c r="D172" t="str">
        <f>_xlfn.XLOOKUP(Table1[[#This Row],[BusinessTravel]],Table5[BusinessTravel],Table5[Id_BusinessTravel])</f>
        <v>BS001</v>
      </c>
      <c r="E172" t="s">
        <v>34</v>
      </c>
      <c r="F172">
        <v>1157</v>
      </c>
      <c r="G172" t="str">
        <f>_xlfn.XLOOKUP(Table1[[#This Row],[Department]],Table6[Department],Table6[Id_Departement])</f>
        <v>D002</v>
      </c>
      <c r="H172" t="s">
        <v>38</v>
      </c>
      <c r="I172">
        <v>17</v>
      </c>
      <c r="J172" t="str">
        <f>_xlfn.XLOOKUP(Table1[[#This Row],[Education]],Table8[Education],Table8[Id_Education])</f>
        <v>E003</v>
      </c>
      <c r="K172">
        <v>3</v>
      </c>
      <c r="L172" t="str">
        <f>_xlfn.XLOOKUP(Table1[[#This Row],[EducationField]],Table7[EducationField],Table7[Id_EducationField])</f>
        <v>EF005</v>
      </c>
      <c r="M172" t="s">
        <v>44</v>
      </c>
      <c r="N172" t="str">
        <f>_xlfn.XLOOKUP(Table1[[#This Row],[EmployeeNumber]],Table4[EmployeeNumber],Table4[Id_Employee])</f>
        <v>EMP00171</v>
      </c>
      <c r="O172">
        <v>233</v>
      </c>
      <c r="P172" t="str">
        <f>_xlfn.XLOOKUP(Table1[[#This Row],[EnvironmentSatisfaction]],Table9[EnvironmentSatisfaction],Table9[Id_EnviromentSatisfaction])</f>
        <v>ES003</v>
      </c>
      <c r="Q172">
        <v>3</v>
      </c>
      <c r="R172" t="str">
        <f>_xlfn.XLOOKUP(Table1[[#This Row],[EnvironmentSatisfaction]],Table9[EnvironmentSatisfaction],Table9[Deskripsi])</f>
        <v>High</v>
      </c>
      <c r="S172" t="str">
        <f>_xlfn.XLOOKUP(Table1[[#This Row],[Gender]],Table10[Gender],Table10[Id_Gender])</f>
        <v>G002</v>
      </c>
      <c r="T172" t="s">
        <v>46</v>
      </c>
      <c r="U172">
        <v>51</v>
      </c>
      <c r="V172" t="str">
        <f>_xlfn.XLOOKUP(Table1[[#This Row],[JobInvolvement]],Table11[JobInvolvement],Table11[Id_JobInvolvement])</f>
        <v>JI003</v>
      </c>
      <c r="W172">
        <v>3</v>
      </c>
      <c r="X172" t="str">
        <f>_xlfn.XLOOKUP(Table1[[#This Row],[JobLevel]],Table12[JobLevel],Table12[Id_JobLevel])</f>
        <v>JL001</v>
      </c>
      <c r="Y172">
        <v>1</v>
      </c>
      <c r="Z172" t="str">
        <f>_xlfn.XLOOKUP(Table1[[#This Row],[JobRole]],Table13[JobRole],Table13[Id_JobRole])</f>
        <v>JR002</v>
      </c>
      <c r="AA172" t="s">
        <v>48</v>
      </c>
      <c r="AB172" t="str">
        <f>_xlfn.XLOOKUP(Table1[[#This Row],[JobSatisfaction]],Table14[JobSatisfaction],Table14[Id_JobSatisfaction])</f>
        <v>JS002</v>
      </c>
      <c r="AC172">
        <v>2</v>
      </c>
      <c r="AD172" t="str">
        <f>_xlfn.XLOOKUP(Table1[[#This Row],[JobSatisfaction]],Table14[JobSatisfaction],Table14[Deskripsi])</f>
        <v>Medium</v>
      </c>
      <c r="AE172" t="str">
        <f>_xlfn.XLOOKUP(Table1[[#This Row],[MaritalStatus]],Table15[MaritalStatus],Table15[Id_MaritalStatus])</f>
        <v>MS002</v>
      </c>
      <c r="AF172" t="s">
        <v>56</v>
      </c>
      <c r="AG172">
        <v>3058</v>
      </c>
      <c r="AH172">
        <v>13364</v>
      </c>
      <c r="AI172">
        <v>0</v>
      </c>
      <c r="AJ172" t="str">
        <f>_xlfn.XLOOKUP(Table1[[#This Row],[OverTime]],Table16[OverTime],Table16[Id_OverTime])</f>
        <v>OT001</v>
      </c>
      <c r="AK172" t="s">
        <v>32</v>
      </c>
      <c r="AL172">
        <v>16</v>
      </c>
      <c r="AM172" t="str">
        <f>_xlfn.XLOOKUP(Table1[[#This Row],[PerformanceRating]],Table17[PerformanceRating],Table17[Id_PerformanceRating])</f>
        <v>PR003</v>
      </c>
      <c r="AN172">
        <v>3</v>
      </c>
      <c r="AO172" t="str">
        <f>_xlfn.XLOOKUP(Table1[[#This Row],[PerformanceRating]],Table17[PerformanceRating],Table17[Deskripsi])</f>
        <v>Excellent</v>
      </c>
      <c r="AP172" t="str">
        <f>_xlfn.XLOOKUP(Table1[[#This Row],[RelationshipSatisfaction]],Table18[RelationshipSatisfaction],Table18[Id_RelationshipSatisfaction])</f>
        <v>RS004</v>
      </c>
      <c r="AQ172">
        <v>4</v>
      </c>
      <c r="AR172" t="str">
        <f>_xlfn.XLOOKUP(Table1[[#This Row],[RelationshipSatisfaction]],Table18[RelationshipSatisfaction],Table18[Deskripsi])</f>
        <v>Very High</v>
      </c>
      <c r="AS172" t="str">
        <f>_xlfn.XLOOKUP(Table1[[#This Row],[StockOptionLevel]],Table19[StockOptionLevel],Table19[Id_StockOptionLevel])</f>
        <v>SOL002</v>
      </c>
      <c r="AT172">
        <v>1</v>
      </c>
      <c r="AU172" t="str">
        <f>_xlfn.XLOOKUP(Table1[[#This Row],[StockOptionLevel]],Table19[StockOptionLevel],Table19[Deskripsi])</f>
        <v>Standard</v>
      </c>
      <c r="AV172">
        <v>6</v>
      </c>
      <c r="AW172">
        <v>3</v>
      </c>
      <c r="AX172" t="str">
        <f>_xlfn.XLOOKUP(Table1[[#This Row],[WorkLifeBalance]],Table20[WorkLifeBalance],Table20[Id_WorkLifeBalance])</f>
        <v>WLB003</v>
      </c>
      <c r="AY172">
        <v>2</v>
      </c>
      <c r="AZ172" t="str">
        <f>_xlfn.XLOOKUP(Table1[[#This Row],[WorkLifeBalance]],Table20[WorkLifeBalance],Table20[Deskripsi])</f>
        <v>Better</v>
      </c>
      <c r="BA172">
        <v>5</v>
      </c>
      <c r="BB172">
        <v>2</v>
      </c>
      <c r="BC172">
        <v>1</v>
      </c>
      <c r="BD172">
        <v>1</v>
      </c>
    </row>
    <row r="173" spans="1:56" x14ac:dyDescent="0.25">
      <c r="A173">
        <v>19</v>
      </c>
      <c r="B173" t="str">
        <f>_xlfn.XLOOKUP(Table1[[#This Row],[Attrition]],Table2[Attrition],Table2[Id_Attrition])</f>
        <v>A001</v>
      </c>
      <c r="C173" t="s">
        <v>32</v>
      </c>
      <c r="D173" t="str">
        <f>_xlfn.XLOOKUP(Table1[[#This Row],[BusinessTravel]],Table5[BusinessTravel],Table5[Id_BusinessTravel])</f>
        <v>BS002</v>
      </c>
      <c r="E173" t="s">
        <v>35</v>
      </c>
      <c r="F173">
        <v>602</v>
      </c>
      <c r="G173" t="str">
        <f>_xlfn.XLOOKUP(Table1[[#This Row],[Department]],Table6[Department],Table6[Id_Departement])</f>
        <v>D001</v>
      </c>
      <c r="H173" t="s">
        <v>37</v>
      </c>
      <c r="I173">
        <v>1</v>
      </c>
      <c r="J173" t="str">
        <f>_xlfn.XLOOKUP(Table1[[#This Row],[Education]],Table8[Education],Table8[Id_Education])</f>
        <v>E001</v>
      </c>
      <c r="K173">
        <v>1</v>
      </c>
      <c r="L173" t="str">
        <f>_xlfn.XLOOKUP(Table1[[#This Row],[EducationField]],Table7[EducationField],Table7[Id_EducationField])</f>
        <v>EF005</v>
      </c>
      <c r="M173" t="s">
        <v>44</v>
      </c>
      <c r="N173" t="str">
        <f>_xlfn.XLOOKUP(Table1[[#This Row],[EmployeeNumber]],Table4[EmployeeNumber],Table4[Id_Employee])</f>
        <v>EMP00172</v>
      </c>
      <c r="O173">
        <v>235</v>
      </c>
      <c r="P173" t="str">
        <f>_xlfn.XLOOKUP(Table1[[#This Row],[EnvironmentSatisfaction]],Table9[EnvironmentSatisfaction],Table9[Id_EnviromentSatisfaction])</f>
        <v>ES003</v>
      </c>
      <c r="Q173">
        <v>3</v>
      </c>
      <c r="R173" t="str">
        <f>_xlfn.XLOOKUP(Table1[[#This Row],[EnvironmentSatisfaction]],Table9[EnvironmentSatisfaction],Table9[Deskripsi])</f>
        <v>High</v>
      </c>
      <c r="S173" t="str">
        <f>_xlfn.XLOOKUP(Table1[[#This Row],[Gender]],Table10[Gender],Table10[Id_Gender])</f>
        <v>G001</v>
      </c>
      <c r="T173" t="s">
        <v>45</v>
      </c>
      <c r="U173">
        <v>100</v>
      </c>
      <c r="V173" t="str">
        <f>_xlfn.XLOOKUP(Table1[[#This Row],[JobInvolvement]],Table11[JobInvolvement],Table11[Id_JobInvolvement])</f>
        <v>JI001</v>
      </c>
      <c r="W173">
        <v>1</v>
      </c>
      <c r="X173" t="str">
        <f>_xlfn.XLOOKUP(Table1[[#This Row],[JobLevel]],Table12[JobLevel],Table12[Id_JobLevel])</f>
        <v>JL001</v>
      </c>
      <c r="Y173">
        <v>1</v>
      </c>
      <c r="Z173" t="str">
        <f>_xlfn.XLOOKUP(Table1[[#This Row],[JobRole]],Table13[JobRole],Table13[Id_JobRole])</f>
        <v>JR007</v>
      </c>
      <c r="AA173" t="s">
        <v>53</v>
      </c>
      <c r="AB173" t="str">
        <f>_xlfn.XLOOKUP(Table1[[#This Row],[JobSatisfaction]],Table14[JobSatisfaction],Table14[Id_JobSatisfaction])</f>
        <v>JS001</v>
      </c>
      <c r="AC173">
        <v>1</v>
      </c>
      <c r="AD173" t="str">
        <f>_xlfn.XLOOKUP(Table1[[#This Row],[JobSatisfaction]],Table14[JobSatisfaction],Table14[Deskripsi])</f>
        <v>Low</v>
      </c>
      <c r="AE173" t="str">
        <f>_xlfn.XLOOKUP(Table1[[#This Row],[MaritalStatus]],Table15[MaritalStatus],Table15[Id_MaritalStatus])</f>
        <v>MS001</v>
      </c>
      <c r="AF173" t="s">
        <v>55</v>
      </c>
      <c r="AG173">
        <v>2325</v>
      </c>
      <c r="AH173">
        <v>20989</v>
      </c>
      <c r="AI173">
        <v>0</v>
      </c>
      <c r="AJ173" t="str">
        <f>_xlfn.XLOOKUP(Table1[[#This Row],[OverTime]],Table16[OverTime],Table16[Id_OverTime])</f>
        <v>OT002</v>
      </c>
      <c r="AK173" t="s">
        <v>33</v>
      </c>
      <c r="AL173">
        <v>21</v>
      </c>
      <c r="AM173" t="str">
        <f>_xlfn.XLOOKUP(Table1[[#This Row],[PerformanceRating]],Table17[PerformanceRating],Table17[Id_PerformanceRating])</f>
        <v>PR004</v>
      </c>
      <c r="AN173">
        <v>4</v>
      </c>
      <c r="AO173" t="str">
        <f>_xlfn.XLOOKUP(Table1[[#This Row],[PerformanceRating]],Table17[PerformanceRating],Table17[Deskripsi])</f>
        <v>Outstanding</v>
      </c>
      <c r="AP173" t="str">
        <f>_xlfn.XLOOKUP(Table1[[#This Row],[RelationshipSatisfaction]],Table18[RelationshipSatisfaction],Table18[Id_RelationshipSatisfaction])</f>
        <v>RS001</v>
      </c>
      <c r="AQ173">
        <v>1</v>
      </c>
      <c r="AR173" t="str">
        <f>_xlfn.XLOOKUP(Table1[[#This Row],[RelationshipSatisfaction]],Table18[RelationshipSatisfaction],Table18[Deskripsi])</f>
        <v>Low</v>
      </c>
      <c r="AS173" t="str">
        <f>_xlfn.XLOOKUP(Table1[[#This Row],[StockOptionLevel]],Table19[StockOptionLevel],Table19[Id_StockOptionLevel])</f>
        <v>SOL001</v>
      </c>
      <c r="AT173">
        <v>0</v>
      </c>
      <c r="AU173" t="str">
        <f>_xlfn.XLOOKUP(Table1[[#This Row],[StockOptionLevel]],Table19[StockOptionLevel],Table19[Deskripsi])</f>
        <v>Non-Eligible</v>
      </c>
      <c r="AV173">
        <v>1</v>
      </c>
      <c r="AW173">
        <v>5</v>
      </c>
      <c r="AX173" t="str">
        <f>_xlfn.XLOOKUP(Table1[[#This Row],[WorkLifeBalance]],Table20[WorkLifeBalance],Table20[Id_WorkLifeBalance])</f>
        <v>WLB004</v>
      </c>
      <c r="AY173">
        <v>4</v>
      </c>
      <c r="AZ173" t="str">
        <f>_xlfn.XLOOKUP(Table1[[#This Row],[WorkLifeBalance]],Table20[WorkLifeBalance],Table20[Deskripsi])</f>
        <v>Best</v>
      </c>
      <c r="BA173">
        <v>0</v>
      </c>
      <c r="BB173">
        <v>0</v>
      </c>
      <c r="BC173">
        <v>0</v>
      </c>
      <c r="BD173">
        <v>0</v>
      </c>
    </row>
    <row r="174" spans="1:56" x14ac:dyDescent="0.25">
      <c r="A174">
        <v>36</v>
      </c>
      <c r="B174" t="str">
        <f>_xlfn.XLOOKUP(Table1[[#This Row],[Attrition]],Table2[Attrition],Table2[Id_Attrition])</f>
        <v>A002</v>
      </c>
      <c r="C174" t="s">
        <v>33</v>
      </c>
      <c r="D174" t="str">
        <f>_xlfn.XLOOKUP(Table1[[#This Row],[BusinessTravel]],Table5[BusinessTravel],Table5[Id_BusinessTravel])</f>
        <v>BS002</v>
      </c>
      <c r="E174" t="s">
        <v>35</v>
      </c>
      <c r="F174">
        <v>1480</v>
      </c>
      <c r="G174" t="str">
        <f>_xlfn.XLOOKUP(Table1[[#This Row],[Department]],Table6[Department],Table6[Id_Departement])</f>
        <v>D002</v>
      </c>
      <c r="H174" t="s">
        <v>38</v>
      </c>
      <c r="I174">
        <v>3</v>
      </c>
      <c r="J174" t="str">
        <f>_xlfn.XLOOKUP(Table1[[#This Row],[Education]],Table8[Education],Table8[Id_Education])</f>
        <v>E002</v>
      </c>
      <c r="K174">
        <v>2</v>
      </c>
      <c r="L174" t="str">
        <f>_xlfn.XLOOKUP(Table1[[#This Row],[EducationField]],Table7[EducationField],Table7[Id_EducationField])</f>
        <v>EF003</v>
      </c>
      <c r="M174" t="s">
        <v>42</v>
      </c>
      <c r="N174" t="str">
        <f>_xlfn.XLOOKUP(Table1[[#This Row],[EmployeeNumber]],Table4[EmployeeNumber],Table4[Id_Employee])</f>
        <v>EMP00173</v>
      </c>
      <c r="O174">
        <v>238</v>
      </c>
      <c r="P174" t="str">
        <f>_xlfn.XLOOKUP(Table1[[#This Row],[EnvironmentSatisfaction]],Table9[EnvironmentSatisfaction],Table9[Id_EnviromentSatisfaction])</f>
        <v>ES004</v>
      </c>
      <c r="Q174">
        <v>4</v>
      </c>
      <c r="R174" t="str">
        <f>_xlfn.XLOOKUP(Table1[[#This Row],[EnvironmentSatisfaction]],Table9[EnvironmentSatisfaction],Table9[Deskripsi])</f>
        <v>Very High</v>
      </c>
      <c r="S174" t="str">
        <f>_xlfn.XLOOKUP(Table1[[#This Row],[Gender]],Table10[Gender],Table10[Id_Gender])</f>
        <v>G002</v>
      </c>
      <c r="T174" t="s">
        <v>46</v>
      </c>
      <c r="U174">
        <v>30</v>
      </c>
      <c r="V174" t="str">
        <f>_xlfn.XLOOKUP(Table1[[#This Row],[JobInvolvement]],Table11[JobInvolvement],Table11[Id_JobInvolvement])</f>
        <v>JI003</v>
      </c>
      <c r="W174">
        <v>3</v>
      </c>
      <c r="X174" t="str">
        <f>_xlfn.XLOOKUP(Table1[[#This Row],[JobLevel]],Table12[JobLevel],Table12[Id_JobLevel])</f>
        <v>JL001</v>
      </c>
      <c r="Y174">
        <v>1</v>
      </c>
      <c r="Z174" t="str">
        <f>_xlfn.XLOOKUP(Table1[[#This Row],[JobRole]],Table13[JobRole],Table13[Id_JobRole])</f>
        <v>JR003</v>
      </c>
      <c r="AA174" t="s">
        <v>49</v>
      </c>
      <c r="AB174" t="str">
        <f>_xlfn.XLOOKUP(Table1[[#This Row],[JobSatisfaction]],Table14[JobSatisfaction],Table14[Id_JobSatisfaction])</f>
        <v>JS002</v>
      </c>
      <c r="AC174">
        <v>2</v>
      </c>
      <c r="AD174" t="str">
        <f>_xlfn.XLOOKUP(Table1[[#This Row],[JobSatisfaction]],Table14[JobSatisfaction],Table14[Deskripsi])</f>
        <v>Medium</v>
      </c>
      <c r="AE174" t="str">
        <f>_xlfn.XLOOKUP(Table1[[#This Row],[MaritalStatus]],Table15[MaritalStatus],Table15[Id_MaritalStatus])</f>
        <v>MS001</v>
      </c>
      <c r="AF174" t="s">
        <v>55</v>
      </c>
      <c r="AG174">
        <v>2088</v>
      </c>
      <c r="AH174">
        <v>15062</v>
      </c>
      <c r="AI174">
        <v>4</v>
      </c>
      <c r="AJ174" t="str">
        <f>_xlfn.XLOOKUP(Table1[[#This Row],[OverTime]],Table16[OverTime],Table16[Id_OverTime])</f>
        <v>OT002</v>
      </c>
      <c r="AK174" t="s">
        <v>33</v>
      </c>
      <c r="AL174">
        <v>12</v>
      </c>
      <c r="AM174" t="str">
        <f>_xlfn.XLOOKUP(Table1[[#This Row],[PerformanceRating]],Table17[PerformanceRating],Table17[Id_PerformanceRating])</f>
        <v>PR003</v>
      </c>
      <c r="AN174">
        <v>3</v>
      </c>
      <c r="AO174" t="str">
        <f>_xlfn.XLOOKUP(Table1[[#This Row],[PerformanceRating]],Table17[PerformanceRating],Table17[Deskripsi])</f>
        <v>Excellent</v>
      </c>
      <c r="AP174" t="str">
        <f>_xlfn.XLOOKUP(Table1[[#This Row],[RelationshipSatisfaction]],Table18[RelationshipSatisfaction],Table18[Id_RelationshipSatisfaction])</f>
        <v>RS003</v>
      </c>
      <c r="AQ174">
        <v>3</v>
      </c>
      <c r="AR174" t="str">
        <f>_xlfn.XLOOKUP(Table1[[#This Row],[RelationshipSatisfaction]],Table18[RelationshipSatisfaction],Table18[Deskripsi])</f>
        <v>High</v>
      </c>
      <c r="AS174" t="str">
        <f>_xlfn.XLOOKUP(Table1[[#This Row],[StockOptionLevel]],Table19[StockOptionLevel],Table19[Id_StockOptionLevel])</f>
        <v>SOL001</v>
      </c>
      <c r="AT174">
        <v>0</v>
      </c>
      <c r="AU174" t="str">
        <f>_xlfn.XLOOKUP(Table1[[#This Row],[StockOptionLevel]],Table19[StockOptionLevel],Table19[Deskripsi])</f>
        <v>Non-Eligible</v>
      </c>
      <c r="AV174">
        <v>13</v>
      </c>
      <c r="AW174">
        <v>3</v>
      </c>
      <c r="AX174" t="str">
        <f>_xlfn.XLOOKUP(Table1[[#This Row],[WorkLifeBalance]],Table20[WorkLifeBalance],Table20[Id_WorkLifeBalance])</f>
        <v>WLB003</v>
      </c>
      <c r="AY174">
        <v>2</v>
      </c>
      <c r="AZ174" t="str">
        <f>_xlfn.XLOOKUP(Table1[[#This Row],[WorkLifeBalance]],Table20[WorkLifeBalance],Table20[Deskripsi])</f>
        <v>Better</v>
      </c>
      <c r="BA174">
        <v>8</v>
      </c>
      <c r="BB174">
        <v>7</v>
      </c>
      <c r="BC174">
        <v>7</v>
      </c>
      <c r="BD174">
        <v>2</v>
      </c>
    </row>
    <row r="175" spans="1:56" x14ac:dyDescent="0.25">
      <c r="A175">
        <v>30</v>
      </c>
      <c r="B175" t="str">
        <f>_xlfn.XLOOKUP(Table1[[#This Row],[Attrition]],Table2[Attrition],Table2[Id_Attrition])</f>
        <v>A002</v>
      </c>
      <c r="C175" t="s">
        <v>33</v>
      </c>
      <c r="D175" t="str">
        <f>_xlfn.XLOOKUP(Table1[[#This Row],[BusinessTravel]],Table5[BusinessTravel],Table5[Id_BusinessTravel])</f>
        <v>BS003</v>
      </c>
      <c r="E175" t="s">
        <v>36</v>
      </c>
      <c r="F175">
        <v>111</v>
      </c>
      <c r="G175" t="str">
        <f>_xlfn.XLOOKUP(Table1[[#This Row],[Department]],Table6[Department],Table6[Id_Departement])</f>
        <v>D002</v>
      </c>
      <c r="H175" t="s">
        <v>38</v>
      </c>
      <c r="I175">
        <v>9</v>
      </c>
      <c r="J175" t="str">
        <f>_xlfn.XLOOKUP(Table1[[#This Row],[Education]],Table8[Education],Table8[Id_Education])</f>
        <v>E003</v>
      </c>
      <c r="K175">
        <v>3</v>
      </c>
      <c r="L175" t="str">
        <f>_xlfn.XLOOKUP(Table1[[#This Row],[EducationField]],Table7[EducationField],Table7[Id_EducationField])</f>
        <v>EF003</v>
      </c>
      <c r="M175" t="s">
        <v>42</v>
      </c>
      <c r="N175" t="str">
        <f>_xlfn.XLOOKUP(Table1[[#This Row],[EmployeeNumber]],Table4[EmployeeNumber],Table4[Id_Employee])</f>
        <v>EMP00174</v>
      </c>
      <c r="O175">
        <v>239</v>
      </c>
      <c r="P175" t="str">
        <f>_xlfn.XLOOKUP(Table1[[#This Row],[EnvironmentSatisfaction]],Table9[EnvironmentSatisfaction],Table9[Id_EnviromentSatisfaction])</f>
        <v>ES003</v>
      </c>
      <c r="Q175">
        <v>3</v>
      </c>
      <c r="R175" t="str">
        <f>_xlfn.XLOOKUP(Table1[[#This Row],[EnvironmentSatisfaction]],Table9[EnvironmentSatisfaction],Table9[Deskripsi])</f>
        <v>High</v>
      </c>
      <c r="S175" t="str">
        <f>_xlfn.XLOOKUP(Table1[[#This Row],[Gender]],Table10[Gender],Table10[Id_Gender])</f>
        <v>G002</v>
      </c>
      <c r="T175" t="s">
        <v>46</v>
      </c>
      <c r="U175">
        <v>66</v>
      </c>
      <c r="V175" t="str">
        <f>_xlfn.XLOOKUP(Table1[[#This Row],[JobInvolvement]],Table11[JobInvolvement],Table11[Id_JobInvolvement])</f>
        <v>JI003</v>
      </c>
      <c r="W175">
        <v>3</v>
      </c>
      <c r="X175" t="str">
        <f>_xlfn.XLOOKUP(Table1[[#This Row],[JobLevel]],Table12[JobLevel],Table12[Id_JobLevel])</f>
        <v>JL002</v>
      </c>
      <c r="Y175">
        <v>2</v>
      </c>
      <c r="Z175" t="str">
        <f>_xlfn.XLOOKUP(Table1[[#This Row],[JobRole]],Table13[JobRole],Table13[Id_JobRole])</f>
        <v>JR003</v>
      </c>
      <c r="AA175" t="s">
        <v>49</v>
      </c>
      <c r="AB175" t="str">
        <f>_xlfn.XLOOKUP(Table1[[#This Row],[JobSatisfaction]],Table14[JobSatisfaction],Table14[Id_JobSatisfaction])</f>
        <v>JS001</v>
      </c>
      <c r="AC175">
        <v>1</v>
      </c>
      <c r="AD175" t="str">
        <f>_xlfn.XLOOKUP(Table1[[#This Row],[JobSatisfaction]],Table14[JobSatisfaction],Table14[Deskripsi])</f>
        <v>Low</v>
      </c>
      <c r="AE175" t="str">
        <f>_xlfn.XLOOKUP(Table1[[#This Row],[MaritalStatus]],Table15[MaritalStatus],Table15[Id_MaritalStatus])</f>
        <v>MS003</v>
      </c>
      <c r="AF175" t="s">
        <v>57</v>
      </c>
      <c r="AG175">
        <v>3072</v>
      </c>
      <c r="AH175">
        <v>11012</v>
      </c>
      <c r="AI175">
        <v>1</v>
      </c>
      <c r="AJ175" t="str">
        <f>_xlfn.XLOOKUP(Table1[[#This Row],[OverTime]],Table16[OverTime],Table16[Id_OverTime])</f>
        <v>OT002</v>
      </c>
      <c r="AK175" t="s">
        <v>33</v>
      </c>
      <c r="AL175">
        <v>11</v>
      </c>
      <c r="AM175" t="str">
        <f>_xlfn.XLOOKUP(Table1[[#This Row],[PerformanceRating]],Table17[PerformanceRating],Table17[Id_PerformanceRating])</f>
        <v>PR003</v>
      </c>
      <c r="AN175">
        <v>3</v>
      </c>
      <c r="AO175" t="str">
        <f>_xlfn.XLOOKUP(Table1[[#This Row],[PerformanceRating]],Table17[PerformanceRating],Table17[Deskripsi])</f>
        <v>Excellent</v>
      </c>
      <c r="AP175" t="str">
        <f>_xlfn.XLOOKUP(Table1[[#This Row],[RelationshipSatisfaction]],Table18[RelationshipSatisfaction],Table18[Id_RelationshipSatisfaction])</f>
        <v>RS003</v>
      </c>
      <c r="AQ175">
        <v>3</v>
      </c>
      <c r="AR175" t="str">
        <f>_xlfn.XLOOKUP(Table1[[#This Row],[RelationshipSatisfaction]],Table18[RelationshipSatisfaction],Table18[Deskripsi])</f>
        <v>High</v>
      </c>
      <c r="AS175" t="str">
        <f>_xlfn.XLOOKUP(Table1[[#This Row],[StockOptionLevel]],Table19[StockOptionLevel],Table19[Id_StockOptionLevel])</f>
        <v>SOL003</v>
      </c>
      <c r="AT175">
        <v>2</v>
      </c>
      <c r="AU175" t="str">
        <f>_xlfn.XLOOKUP(Table1[[#This Row],[StockOptionLevel]],Table19[StockOptionLevel],Table19[Deskripsi])</f>
        <v>Intermediate</v>
      </c>
      <c r="AV175">
        <v>12</v>
      </c>
      <c r="AW175">
        <v>4</v>
      </c>
      <c r="AX175" t="str">
        <f>_xlfn.XLOOKUP(Table1[[#This Row],[WorkLifeBalance]],Table20[WorkLifeBalance],Table20[Id_WorkLifeBalance])</f>
        <v>WLB002</v>
      </c>
      <c r="AY175">
        <v>3</v>
      </c>
      <c r="AZ175" t="str">
        <f>_xlfn.XLOOKUP(Table1[[#This Row],[WorkLifeBalance]],Table20[WorkLifeBalance],Table20[Deskripsi])</f>
        <v>Good</v>
      </c>
      <c r="BA175">
        <v>12</v>
      </c>
      <c r="BB175">
        <v>9</v>
      </c>
      <c r="BC175">
        <v>6</v>
      </c>
      <c r="BD175">
        <v>10</v>
      </c>
    </row>
    <row r="176" spans="1:56" x14ac:dyDescent="0.25">
      <c r="A176">
        <v>45</v>
      </c>
      <c r="B176" t="str">
        <f>_xlfn.XLOOKUP(Table1[[#This Row],[Attrition]],Table2[Attrition],Table2[Id_Attrition])</f>
        <v>A002</v>
      </c>
      <c r="C176" t="s">
        <v>33</v>
      </c>
      <c r="D176" t="str">
        <f>_xlfn.XLOOKUP(Table1[[#This Row],[BusinessTravel]],Table5[BusinessTravel],Table5[Id_BusinessTravel])</f>
        <v>BS001</v>
      </c>
      <c r="E176" t="s">
        <v>34</v>
      </c>
      <c r="F176">
        <v>1268</v>
      </c>
      <c r="G176" t="str">
        <f>_xlfn.XLOOKUP(Table1[[#This Row],[Department]],Table6[Department],Table6[Id_Departement])</f>
        <v>D001</v>
      </c>
      <c r="H176" t="s">
        <v>37</v>
      </c>
      <c r="I176">
        <v>4</v>
      </c>
      <c r="J176" t="str">
        <f>_xlfn.XLOOKUP(Table1[[#This Row],[Education]],Table8[Education],Table8[Id_Education])</f>
        <v>E002</v>
      </c>
      <c r="K176">
        <v>2</v>
      </c>
      <c r="L176" t="str">
        <f>_xlfn.XLOOKUP(Table1[[#This Row],[EducationField]],Table7[EducationField],Table7[Id_EducationField])</f>
        <v>EF001</v>
      </c>
      <c r="M176" t="s">
        <v>40</v>
      </c>
      <c r="N176" t="str">
        <f>_xlfn.XLOOKUP(Table1[[#This Row],[EmployeeNumber]],Table4[EmployeeNumber],Table4[Id_Employee])</f>
        <v>EMP00175</v>
      </c>
      <c r="O176">
        <v>240</v>
      </c>
      <c r="P176" t="str">
        <f>_xlfn.XLOOKUP(Table1[[#This Row],[EnvironmentSatisfaction]],Table9[EnvironmentSatisfaction],Table9[Id_EnviromentSatisfaction])</f>
        <v>ES003</v>
      </c>
      <c r="Q176">
        <v>3</v>
      </c>
      <c r="R176" t="str">
        <f>_xlfn.XLOOKUP(Table1[[#This Row],[EnvironmentSatisfaction]],Table9[EnvironmentSatisfaction],Table9[Deskripsi])</f>
        <v>High</v>
      </c>
      <c r="S176" t="str">
        <f>_xlfn.XLOOKUP(Table1[[#This Row],[Gender]],Table10[Gender],Table10[Id_Gender])</f>
        <v>G001</v>
      </c>
      <c r="T176" t="s">
        <v>45</v>
      </c>
      <c r="U176">
        <v>30</v>
      </c>
      <c r="V176" t="str">
        <f>_xlfn.XLOOKUP(Table1[[#This Row],[JobInvolvement]],Table11[JobInvolvement],Table11[Id_JobInvolvement])</f>
        <v>JI003</v>
      </c>
      <c r="W176">
        <v>3</v>
      </c>
      <c r="X176" t="str">
        <f>_xlfn.XLOOKUP(Table1[[#This Row],[JobLevel]],Table12[JobLevel],Table12[Id_JobLevel])</f>
        <v>JL002</v>
      </c>
      <c r="Y176">
        <v>2</v>
      </c>
      <c r="Z176" t="str">
        <f>_xlfn.XLOOKUP(Table1[[#This Row],[JobRole]],Table13[JobRole],Table13[Id_JobRole])</f>
        <v>JR001</v>
      </c>
      <c r="AA176" t="s">
        <v>47</v>
      </c>
      <c r="AB176" t="str">
        <f>_xlfn.XLOOKUP(Table1[[#This Row],[JobSatisfaction]],Table14[JobSatisfaction],Table14[Id_JobSatisfaction])</f>
        <v>JS001</v>
      </c>
      <c r="AC176">
        <v>1</v>
      </c>
      <c r="AD176" t="str">
        <f>_xlfn.XLOOKUP(Table1[[#This Row],[JobSatisfaction]],Table14[JobSatisfaction],Table14[Deskripsi])</f>
        <v>Low</v>
      </c>
      <c r="AE176" t="str">
        <f>_xlfn.XLOOKUP(Table1[[#This Row],[MaritalStatus]],Table15[MaritalStatus],Table15[Id_MaritalStatus])</f>
        <v>MS003</v>
      </c>
      <c r="AF176" t="s">
        <v>57</v>
      </c>
      <c r="AG176">
        <v>5006</v>
      </c>
      <c r="AH176">
        <v>6319</v>
      </c>
      <c r="AI176">
        <v>4</v>
      </c>
      <c r="AJ176" t="str">
        <f>_xlfn.XLOOKUP(Table1[[#This Row],[OverTime]],Table16[OverTime],Table16[Id_OverTime])</f>
        <v>OT001</v>
      </c>
      <c r="AK176" t="s">
        <v>32</v>
      </c>
      <c r="AL176">
        <v>11</v>
      </c>
      <c r="AM176" t="str">
        <f>_xlfn.XLOOKUP(Table1[[#This Row],[PerformanceRating]],Table17[PerformanceRating],Table17[Id_PerformanceRating])</f>
        <v>PR003</v>
      </c>
      <c r="AN176">
        <v>3</v>
      </c>
      <c r="AO176" t="str">
        <f>_xlfn.XLOOKUP(Table1[[#This Row],[PerformanceRating]],Table17[PerformanceRating],Table17[Deskripsi])</f>
        <v>Excellent</v>
      </c>
      <c r="AP176" t="str">
        <f>_xlfn.XLOOKUP(Table1[[#This Row],[RelationshipSatisfaction]],Table18[RelationshipSatisfaction],Table18[Id_RelationshipSatisfaction])</f>
        <v>RS001</v>
      </c>
      <c r="AQ176">
        <v>1</v>
      </c>
      <c r="AR176" t="str">
        <f>_xlfn.XLOOKUP(Table1[[#This Row],[RelationshipSatisfaction]],Table18[RelationshipSatisfaction],Table18[Deskripsi])</f>
        <v>Low</v>
      </c>
      <c r="AS176" t="str">
        <f>_xlfn.XLOOKUP(Table1[[#This Row],[StockOptionLevel]],Table19[StockOptionLevel],Table19[Id_StockOptionLevel])</f>
        <v>SOL002</v>
      </c>
      <c r="AT176">
        <v>1</v>
      </c>
      <c r="AU176" t="str">
        <f>_xlfn.XLOOKUP(Table1[[#This Row],[StockOptionLevel]],Table19[StockOptionLevel],Table19[Deskripsi])</f>
        <v>Standard</v>
      </c>
      <c r="AV176">
        <v>9</v>
      </c>
      <c r="AW176">
        <v>3</v>
      </c>
      <c r="AX176" t="str">
        <f>_xlfn.XLOOKUP(Table1[[#This Row],[WorkLifeBalance]],Table20[WorkLifeBalance],Table20[Id_WorkLifeBalance])</f>
        <v>WLB004</v>
      </c>
      <c r="AY176">
        <v>4</v>
      </c>
      <c r="AZ176" t="str">
        <f>_xlfn.XLOOKUP(Table1[[#This Row],[WorkLifeBalance]],Table20[WorkLifeBalance],Table20[Deskripsi])</f>
        <v>Best</v>
      </c>
      <c r="BA176">
        <v>5</v>
      </c>
      <c r="BB176">
        <v>4</v>
      </c>
      <c r="BC176">
        <v>0</v>
      </c>
      <c r="BD176">
        <v>3</v>
      </c>
    </row>
    <row r="177" spans="1:56" x14ac:dyDescent="0.25">
      <c r="A177">
        <v>56</v>
      </c>
      <c r="B177" t="str">
        <f>_xlfn.XLOOKUP(Table1[[#This Row],[Attrition]],Table2[Attrition],Table2[Id_Attrition])</f>
        <v>A002</v>
      </c>
      <c r="C177" t="s">
        <v>33</v>
      </c>
      <c r="D177" t="str">
        <f>_xlfn.XLOOKUP(Table1[[#This Row],[BusinessTravel]],Table5[BusinessTravel],Table5[Id_BusinessTravel])</f>
        <v>BS001</v>
      </c>
      <c r="E177" t="s">
        <v>34</v>
      </c>
      <c r="F177">
        <v>713</v>
      </c>
      <c r="G177" t="str">
        <f>_xlfn.XLOOKUP(Table1[[#This Row],[Department]],Table6[Department],Table6[Id_Departement])</f>
        <v>D002</v>
      </c>
      <c r="H177" t="s">
        <v>38</v>
      </c>
      <c r="I177">
        <v>8</v>
      </c>
      <c r="J177" t="str">
        <f>_xlfn.XLOOKUP(Table1[[#This Row],[Education]],Table8[Education],Table8[Id_Education])</f>
        <v>E003</v>
      </c>
      <c r="K177">
        <v>3</v>
      </c>
      <c r="L177" t="str">
        <f>_xlfn.XLOOKUP(Table1[[#This Row],[EducationField]],Table7[EducationField],Table7[Id_EducationField])</f>
        <v>EF001</v>
      </c>
      <c r="M177" t="s">
        <v>40</v>
      </c>
      <c r="N177" t="str">
        <f>_xlfn.XLOOKUP(Table1[[#This Row],[EmployeeNumber]],Table4[EmployeeNumber],Table4[Id_Employee])</f>
        <v>EMP00176</v>
      </c>
      <c r="O177">
        <v>241</v>
      </c>
      <c r="P177" t="str">
        <f>_xlfn.XLOOKUP(Table1[[#This Row],[EnvironmentSatisfaction]],Table9[EnvironmentSatisfaction],Table9[Id_EnviromentSatisfaction])</f>
        <v>ES003</v>
      </c>
      <c r="Q177">
        <v>3</v>
      </c>
      <c r="R177" t="str">
        <f>_xlfn.XLOOKUP(Table1[[#This Row],[EnvironmentSatisfaction]],Table9[EnvironmentSatisfaction],Table9[Deskripsi])</f>
        <v>High</v>
      </c>
      <c r="S177" t="str">
        <f>_xlfn.XLOOKUP(Table1[[#This Row],[Gender]],Table10[Gender],Table10[Id_Gender])</f>
        <v>G001</v>
      </c>
      <c r="T177" t="s">
        <v>45</v>
      </c>
      <c r="U177">
        <v>67</v>
      </c>
      <c r="V177" t="str">
        <f>_xlfn.XLOOKUP(Table1[[#This Row],[JobInvolvement]],Table11[JobInvolvement],Table11[Id_JobInvolvement])</f>
        <v>JI003</v>
      </c>
      <c r="W177">
        <v>3</v>
      </c>
      <c r="X177" t="str">
        <f>_xlfn.XLOOKUP(Table1[[#This Row],[JobLevel]],Table12[JobLevel],Table12[Id_JobLevel])</f>
        <v>JL001</v>
      </c>
      <c r="Y177">
        <v>1</v>
      </c>
      <c r="Z177" t="str">
        <f>_xlfn.XLOOKUP(Table1[[#This Row],[JobRole]],Table13[JobRole],Table13[Id_JobRole])</f>
        <v>JR002</v>
      </c>
      <c r="AA177" t="s">
        <v>48</v>
      </c>
      <c r="AB177" t="str">
        <f>_xlfn.XLOOKUP(Table1[[#This Row],[JobSatisfaction]],Table14[JobSatisfaction],Table14[Id_JobSatisfaction])</f>
        <v>JS001</v>
      </c>
      <c r="AC177">
        <v>1</v>
      </c>
      <c r="AD177" t="str">
        <f>_xlfn.XLOOKUP(Table1[[#This Row],[JobSatisfaction]],Table14[JobSatisfaction],Table14[Deskripsi])</f>
        <v>Low</v>
      </c>
      <c r="AE177" t="str">
        <f>_xlfn.XLOOKUP(Table1[[#This Row],[MaritalStatus]],Table15[MaritalStatus],Table15[Id_MaritalStatus])</f>
        <v>MS003</v>
      </c>
      <c r="AF177" t="s">
        <v>57</v>
      </c>
      <c r="AG177">
        <v>4257</v>
      </c>
      <c r="AH177">
        <v>13939</v>
      </c>
      <c r="AI177">
        <v>4</v>
      </c>
      <c r="AJ177" t="str">
        <f>_xlfn.XLOOKUP(Table1[[#This Row],[OverTime]],Table16[OverTime],Table16[Id_OverTime])</f>
        <v>OT001</v>
      </c>
      <c r="AK177" t="s">
        <v>32</v>
      </c>
      <c r="AL177">
        <v>18</v>
      </c>
      <c r="AM177" t="str">
        <f>_xlfn.XLOOKUP(Table1[[#This Row],[PerformanceRating]],Table17[PerformanceRating],Table17[Id_PerformanceRating])</f>
        <v>PR003</v>
      </c>
      <c r="AN177">
        <v>3</v>
      </c>
      <c r="AO177" t="str">
        <f>_xlfn.XLOOKUP(Table1[[#This Row],[PerformanceRating]],Table17[PerformanceRating],Table17[Deskripsi])</f>
        <v>Excellent</v>
      </c>
      <c r="AP177" t="str">
        <f>_xlfn.XLOOKUP(Table1[[#This Row],[RelationshipSatisfaction]],Table18[RelationshipSatisfaction],Table18[Id_RelationshipSatisfaction])</f>
        <v>RS003</v>
      </c>
      <c r="AQ177">
        <v>3</v>
      </c>
      <c r="AR177" t="str">
        <f>_xlfn.XLOOKUP(Table1[[#This Row],[RelationshipSatisfaction]],Table18[RelationshipSatisfaction],Table18[Deskripsi])</f>
        <v>High</v>
      </c>
      <c r="AS177" t="str">
        <f>_xlfn.XLOOKUP(Table1[[#This Row],[StockOptionLevel]],Table19[StockOptionLevel],Table19[Id_StockOptionLevel])</f>
        <v>SOL002</v>
      </c>
      <c r="AT177">
        <v>1</v>
      </c>
      <c r="AU177" t="str">
        <f>_xlfn.XLOOKUP(Table1[[#This Row],[StockOptionLevel]],Table19[StockOptionLevel],Table19[Deskripsi])</f>
        <v>Standard</v>
      </c>
      <c r="AV177">
        <v>19</v>
      </c>
      <c r="AW177">
        <v>3</v>
      </c>
      <c r="AX177" t="str">
        <f>_xlfn.XLOOKUP(Table1[[#This Row],[WorkLifeBalance]],Table20[WorkLifeBalance],Table20[Id_WorkLifeBalance])</f>
        <v>WLB002</v>
      </c>
      <c r="AY177">
        <v>3</v>
      </c>
      <c r="AZ177" t="str">
        <f>_xlfn.XLOOKUP(Table1[[#This Row],[WorkLifeBalance]],Table20[WorkLifeBalance],Table20[Deskripsi])</f>
        <v>Good</v>
      </c>
      <c r="BA177">
        <v>2</v>
      </c>
      <c r="BB177">
        <v>2</v>
      </c>
      <c r="BC177">
        <v>2</v>
      </c>
      <c r="BD177">
        <v>2</v>
      </c>
    </row>
    <row r="178" spans="1:56" x14ac:dyDescent="0.25">
      <c r="A178">
        <v>33</v>
      </c>
      <c r="B178" t="str">
        <f>_xlfn.XLOOKUP(Table1[[#This Row],[Attrition]],Table2[Attrition],Table2[Id_Attrition])</f>
        <v>A002</v>
      </c>
      <c r="C178" t="s">
        <v>33</v>
      </c>
      <c r="D178" t="str">
        <f>_xlfn.XLOOKUP(Table1[[#This Row],[BusinessTravel]],Table5[BusinessTravel],Table5[Id_BusinessTravel])</f>
        <v>BS001</v>
      </c>
      <c r="E178" t="s">
        <v>34</v>
      </c>
      <c r="F178">
        <v>134</v>
      </c>
      <c r="G178" t="str">
        <f>_xlfn.XLOOKUP(Table1[[#This Row],[Department]],Table6[Department],Table6[Id_Departement])</f>
        <v>D002</v>
      </c>
      <c r="H178" t="s">
        <v>38</v>
      </c>
      <c r="I178">
        <v>2</v>
      </c>
      <c r="J178" t="str">
        <f>_xlfn.XLOOKUP(Table1[[#This Row],[Education]],Table8[Education],Table8[Id_Education])</f>
        <v>E003</v>
      </c>
      <c r="K178">
        <v>3</v>
      </c>
      <c r="L178" t="str">
        <f>_xlfn.XLOOKUP(Table1[[#This Row],[EducationField]],Table7[EducationField],Table7[Id_EducationField])</f>
        <v>EF001</v>
      </c>
      <c r="M178" t="s">
        <v>40</v>
      </c>
      <c r="N178" t="str">
        <f>_xlfn.XLOOKUP(Table1[[#This Row],[EmployeeNumber]],Table4[EmployeeNumber],Table4[Id_Employee])</f>
        <v>EMP00177</v>
      </c>
      <c r="O178">
        <v>242</v>
      </c>
      <c r="P178" t="str">
        <f>_xlfn.XLOOKUP(Table1[[#This Row],[EnvironmentSatisfaction]],Table9[EnvironmentSatisfaction],Table9[Id_EnviromentSatisfaction])</f>
        <v>ES003</v>
      </c>
      <c r="Q178">
        <v>3</v>
      </c>
      <c r="R178" t="str">
        <f>_xlfn.XLOOKUP(Table1[[#This Row],[EnvironmentSatisfaction]],Table9[EnvironmentSatisfaction],Table9[Deskripsi])</f>
        <v>High</v>
      </c>
      <c r="S178" t="str">
        <f>_xlfn.XLOOKUP(Table1[[#This Row],[Gender]],Table10[Gender],Table10[Id_Gender])</f>
        <v>G002</v>
      </c>
      <c r="T178" t="s">
        <v>46</v>
      </c>
      <c r="U178">
        <v>90</v>
      </c>
      <c r="V178" t="str">
        <f>_xlfn.XLOOKUP(Table1[[#This Row],[JobInvolvement]],Table11[JobInvolvement],Table11[Id_JobInvolvement])</f>
        <v>JI003</v>
      </c>
      <c r="W178">
        <v>3</v>
      </c>
      <c r="X178" t="str">
        <f>_xlfn.XLOOKUP(Table1[[#This Row],[JobLevel]],Table12[JobLevel],Table12[Id_JobLevel])</f>
        <v>JL001</v>
      </c>
      <c r="Y178">
        <v>1</v>
      </c>
      <c r="Z178" t="str">
        <f>_xlfn.XLOOKUP(Table1[[#This Row],[JobRole]],Table13[JobRole],Table13[Id_JobRole])</f>
        <v>JR002</v>
      </c>
      <c r="AA178" t="s">
        <v>48</v>
      </c>
      <c r="AB178" t="str">
        <f>_xlfn.XLOOKUP(Table1[[#This Row],[JobSatisfaction]],Table14[JobSatisfaction],Table14[Id_JobSatisfaction])</f>
        <v>JS004</v>
      </c>
      <c r="AC178">
        <v>4</v>
      </c>
      <c r="AD178" t="str">
        <f>_xlfn.XLOOKUP(Table1[[#This Row],[JobSatisfaction]],Table14[JobSatisfaction],Table14[Deskripsi])</f>
        <v>Very High</v>
      </c>
      <c r="AE178" t="str">
        <f>_xlfn.XLOOKUP(Table1[[#This Row],[MaritalStatus]],Table15[MaritalStatus],Table15[Id_MaritalStatus])</f>
        <v>MS001</v>
      </c>
      <c r="AF178" t="s">
        <v>55</v>
      </c>
      <c r="AG178">
        <v>2500</v>
      </c>
      <c r="AH178">
        <v>10515</v>
      </c>
      <c r="AI178">
        <v>0</v>
      </c>
      <c r="AJ178" t="str">
        <f>_xlfn.XLOOKUP(Table1[[#This Row],[OverTime]],Table16[OverTime],Table16[Id_OverTime])</f>
        <v>OT002</v>
      </c>
      <c r="AK178" t="s">
        <v>33</v>
      </c>
      <c r="AL178">
        <v>14</v>
      </c>
      <c r="AM178" t="str">
        <f>_xlfn.XLOOKUP(Table1[[#This Row],[PerformanceRating]],Table17[PerformanceRating],Table17[Id_PerformanceRating])</f>
        <v>PR003</v>
      </c>
      <c r="AN178">
        <v>3</v>
      </c>
      <c r="AO178" t="str">
        <f>_xlfn.XLOOKUP(Table1[[#This Row],[PerformanceRating]],Table17[PerformanceRating],Table17[Deskripsi])</f>
        <v>Excellent</v>
      </c>
      <c r="AP178" t="str">
        <f>_xlfn.XLOOKUP(Table1[[#This Row],[RelationshipSatisfaction]],Table18[RelationshipSatisfaction],Table18[Id_RelationshipSatisfaction])</f>
        <v>RS001</v>
      </c>
      <c r="AQ178">
        <v>1</v>
      </c>
      <c r="AR178" t="str">
        <f>_xlfn.XLOOKUP(Table1[[#This Row],[RelationshipSatisfaction]],Table18[RelationshipSatisfaction],Table18[Deskripsi])</f>
        <v>Low</v>
      </c>
      <c r="AS178" t="str">
        <f>_xlfn.XLOOKUP(Table1[[#This Row],[StockOptionLevel]],Table19[StockOptionLevel],Table19[Id_StockOptionLevel])</f>
        <v>SOL001</v>
      </c>
      <c r="AT178">
        <v>0</v>
      </c>
      <c r="AU178" t="str">
        <f>_xlfn.XLOOKUP(Table1[[#This Row],[StockOptionLevel]],Table19[StockOptionLevel],Table19[Deskripsi])</f>
        <v>Non-Eligible</v>
      </c>
      <c r="AV178">
        <v>4</v>
      </c>
      <c r="AW178">
        <v>2</v>
      </c>
      <c r="AX178" t="str">
        <f>_xlfn.XLOOKUP(Table1[[#This Row],[WorkLifeBalance]],Table20[WorkLifeBalance],Table20[Id_WorkLifeBalance])</f>
        <v>WLB004</v>
      </c>
      <c r="AY178">
        <v>4</v>
      </c>
      <c r="AZ178" t="str">
        <f>_xlfn.XLOOKUP(Table1[[#This Row],[WorkLifeBalance]],Table20[WorkLifeBalance],Table20[Deskripsi])</f>
        <v>Best</v>
      </c>
      <c r="BA178">
        <v>3</v>
      </c>
      <c r="BB178">
        <v>1</v>
      </c>
      <c r="BC178">
        <v>0</v>
      </c>
      <c r="BD178">
        <v>2</v>
      </c>
    </row>
    <row r="179" spans="1:56" x14ac:dyDescent="0.25">
      <c r="A179">
        <v>19</v>
      </c>
      <c r="B179" t="str">
        <f>_xlfn.XLOOKUP(Table1[[#This Row],[Attrition]],Table2[Attrition],Table2[Id_Attrition])</f>
        <v>A001</v>
      </c>
      <c r="C179" t="s">
        <v>32</v>
      </c>
      <c r="D179" t="str">
        <f>_xlfn.XLOOKUP(Table1[[#This Row],[BusinessTravel]],Table5[BusinessTravel],Table5[Id_BusinessTravel])</f>
        <v>BS001</v>
      </c>
      <c r="E179" t="s">
        <v>34</v>
      </c>
      <c r="F179">
        <v>303</v>
      </c>
      <c r="G179" t="str">
        <f>_xlfn.XLOOKUP(Table1[[#This Row],[Department]],Table6[Department],Table6[Id_Departement])</f>
        <v>D002</v>
      </c>
      <c r="H179" t="s">
        <v>38</v>
      </c>
      <c r="I179">
        <v>2</v>
      </c>
      <c r="J179" t="str">
        <f>_xlfn.XLOOKUP(Table1[[#This Row],[Education]],Table8[Education],Table8[Id_Education])</f>
        <v>E003</v>
      </c>
      <c r="K179">
        <v>3</v>
      </c>
      <c r="L179" t="str">
        <f>_xlfn.XLOOKUP(Table1[[#This Row],[EducationField]],Table7[EducationField],Table7[Id_EducationField])</f>
        <v>EF001</v>
      </c>
      <c r="M179" t="s">
        <v>40</v>
      </c>
      <c r="N179" t="str">
        <f>_xlfn.XLOOKUP(Table1[[#This Row],[EmployeeNumber]],Table4[EmployeeNumber],Table4[Id_Employee])</f>
        <v>EMP00178</v>
      </c>
      <c r="O179">
        <v>243</v>
      </c>
      <c r="P179" t="str">
        <f>_xlfn.XLOOKUP(Table1[[#This Row],[EnvironmentSatisfaction]],Table9[EnvironmentSatisfaction],Table9[Id_EnviromentSatisfaction])</f>
        <v>ES002</v>
      </c>
      <c r="Q179">
        <v>2</v>
      </c>
      <c r="R179" t="str">
        <f>_xlfn.XLOOKUP(Table1[[#This Row],[EnvironmentSatisfaction]],Table9[EnvironmentSatisfaction],Table9[Deskripsi])</f>
        <v>Medium</v>
      </c>
      <c r="S179" t="str">
        <f>_xlfn.XLOOKUP(Table1[[#This Row],[Gender]],Table10[Gender],Table10[Id_Gender])</f>
        <v>G002</v>
      </c>
      <c r="T179" t="s">
        <v>46</v>
      </c>
      <c r="U179">
        <v>47</v>
      </c>
      <c r="V179" t="str">
        <f>_xlfn.XLOOKUP(Table1[[#This Row],[JobInvolvement]],Table11[JobInvolvement],Table11[Id_JobInvolvement])</f>
        <v>JI002</v>
      </c>
      <c r="W179">
        <v>2</v>
      </c>
      <c r="X179" t="str">
        <f>_xlfn.XLOOKUP(Table1[[#This Row],[JobLevel]],Table12[JobLevel],Table12[Id_JobLevel])</f>
        <v>JL001</v>
      </c>
      <c r="Y179">
        <v>1</v>
      </c>
      <c r="Z179" t="str">
        <f>_xlfn.XLOOKUP(Table1[[#This Row],[JobRole]],Table13[JobRole],Table13[Id_JobRole])</f>
        <v>JR003</v>
      </c>
      <c r="AA179" t="s">
        <v>49</v>
      </c>
      <c r="AB179" t="str">
        <f>_xlfn.XLOOKUP(Table1[[#This Row],[JobSatisfaction]],Table14[JobSatisfaction],Table14[Id_JobSatisfaction])</f>
        <v>JS004</v>
      </c>
      <c r="AC179">
        <v>4</v>
      </c>
      <c r="AD179" t="str">
        <f>_xlfn.XLOOKUP(Table1[[#This Row],[JobSatisfaction]],Table14[JobSatisfaction],Table14[Deskripsi])</f>
        <v>Very High</v>
      </c>
      <c r="AE179" t="str">
        <f>_xlfn.XLOOKUP(Table1[[#This Row],[MaritalStatus]],Table15[MaritalStatus],Table15[Id_MaritalStatus])</f>
        <v>MS001</v>
      </c>
      <c r="AF179" t="s">
        <v>55</v>
      </c>
      <c r="AG179">
        <v>1102</v>
      </c>
      <c r="AH179">
        <v>9241</v>
      </c>
      <c r="AI179">
        <v>1</v>
      </c>
      <c r="AJ179" t="str">
        <f>_xlfn.XLOOKUP(Table1[[#This Row],[OverTime]],Table16[OverTime],Table16[Id_OverTime])</f>
        <v>OT002</v>
      </c>
      <c r="AK179" t="s">
        <v>33</v>
      </c>
      <c r="AL179">
        <v>22</v>
      </c>
      <c r="AM179" t="str">
        <f>_xlfn.XLOOKUP(Table1[[#This Row],[PerformanceRating]],Table17[PerformanceRating],Table17[Id_PerformanceRating])</f>
        <v>PR004</v>
      </c>
      <c r="AN179">
        <v>4</v>
      </c>
      <c r="AO179" t="str">
        <f>_xlfn.XLOOKUP(Table1[[#This Row],[PerformanceRating]],Table17[PerformanceRating],Table17[Deskripsi])</f>
        <v>Outstanding</v>
      </c>
      <c r="AP179" t="str">
        <f>_xlfn.XLOOKUP(Table1[[#This Row],[RelationshipSatisfaction]],Table18[RelationshipSatisfaction],Table18[Id_RelationshipSatisfaction])</f>
        <v>RS003</v>
      </c>
      <c r="AQ179">
        <v>3</v>
      </c>
      <c r="AR179" t="str">
        <f>_xlfn.XLOOKUP(Table1[[#This Row],[RelationshipSatisfaction]],Table18[RelationshipSatisfaction],Table18[Deskripsi])</f>
        <v>High</v>
      </c>
      <c r="AS179" t="str">
        <f>_xlfn.XLOOKUP(Table1[[#This Row],[StockOptionLevel]],Table19[StockOptionLevel],Table19[Id_StockOptionLevel])</f>
        <v>SOL001</v>
      </c>
      <c r="AT179">
        <v>0</v>
      </c>
      <c r="AU179" t="str">
        <f>_xlfn.XLOOKUP(Table1[[#This Row],[StockOptionLevel]],Table19[StockOptionLevel],Table19[Deskripsi])</f>
        <v>Non-Eligible</v>
      </c>
      <c r="AV179">
        <v>1</v>
      </c>
      <c r="AW179">
        <v>3</v>
      </c>
      <c r="AX179" t="str">
        <f>_xlfn.XLOOKUP(Table1[[#This Row],[WorkLifeBalance]],Table20[WorkLifeBalance],Table20[Id_WorkLifeBalance])</f>
        <v>WLB003</v>
      </c>
      <c r="AY179">
        <v>2</v>
      </c>
      <c r="AZ179" t="str">
        <f>_xlfn.XLOOKUP(Table1[[#This Row],[WorkLifeBalance]],Table20[WorkLifeBalance],Table20[Deskripsi])</f>
        <v>Better</v>
      </c>
      <c r="BA179">
        <v>1</v>
      </c>
      <c r="BB179">
        <v>0</v>
      </c>
      <c r="BC179">
        <v>1</v>
      </c>
      <c r="BD179">
        <v>0</v>
      </c>
    </row>
    <row r="180" spans="1:56" x14ac:dyDescent="0.25">
      <c r="A180">
        <v>46</v>
      </c>
      <c r="B180" t="str">
        <f>_xlfn.XLOOKUP(Table1[[#This Row],[Attrition]],Table2[Attrition],Table2[Id_Attrition])</f>
        <v>A002</v>
      </c>
      <c r="C180" t="s">
        <v>33</v>
      </c>
      <c r="D180" t="str">
        <f>_xlfn.XLOOKUP(Table1[[#This Row],[BusinessTravel]],Table5[BusinessTravel],Table5[Id_BusinessTravel])</f>
        <v>BS001</v>
      </c>
      <c r="E180" t="s">
        <v>34</v>
      </c>
      <c r="F180">
        <v>526</v>
      </c>
      <c r="G180" t="str">
        <f>_xlfn.XLOOKUP(Table1[[#This Row],[Department]],Table6[Department],Table6[Id_Departement])</f>
        <v>D001</v>
      </c>
      <c r="H180" t="s">
        <v>37</v>
      </c>
      <c r="I180">
        <v>1</v>
      </c>
      <c r="J180" t="str">
        <f>_xlfn.XLOOKUP(Table1[[#This Row],[Education]],Table8[Education],Table8[Id_Education])</f>
        <v>E002</v>
      </c>
      <c r="K180">
        <v>2</v>
      </c>
      <c r="L180" t="str">
        <f>_xlfn.XLOOKUP(Table1[[#This Row],[EducationField]],Table7[EducationField],Table7[Id_EducationField])</f>
        <v>EF004</v>
      </c>
      <c r="M180" t="s">
        <v>43</v>
      </c>
      <c r="N180" t="str">
        <f>_xlfn.XLOOKUP(Table1[[#This Row],[EmployeeNumber]],Table4[EmployeeNumber],Table4[Id_Employee])</f>
        <v>EMP00179</v>
      </c>
      <c r="O180">
        <v>244</v>
      </c>
      <c r="P180" t="str">
        <f>_xlfn.XLOOKUP(Table1[[#This Row],[EnvironmentSatisfaction]],Table9[EnvironmentSatisfaction],Table9[Id_EnviromentSatisfaction])</f>
        <v>ES002</v>
      </c>
      <c r="Q180">
        <v>2</v>
      </c>
      <c r="R180" t="str">
        <f>_xlfn.XLOOKUP(Table1[[#This Row],[EnvironmentSatisfaction]],Table9[EnvironmentSatisfaction],Table9[Deskripsi])</f>
        <v>Medium</v>
      </c>
      <c r="S180" t="str">
        <f>_xlfn.XLOOKUP(Table1[[#This Row],[Gender]],Table10[Gender],Table10[Id_Gender])</f>
        <v>G001</v>
      </c>
      <c r="T180" t="s">
        <v>45</v>
      </c>
      <c r="U180">
        <v>92</v>
      </c>
      <c r="V180" t="str">
        <f>_xlfn.XLOOKUP(Table1[[#This Row],[JobInvolvement]],Table11[JobInvolvement],Table11[Id_JobInvolvement])</f>
        <v>JI003</v>
      </c>
      <c r="W180">
        <v>3</v>
      </c>
      <c r="X180" t="str">
        <f>_xlfn.XLOOKUP(Table1[[#This Row],[JobLevel]],Table12[JobLevel],Table12[Id_JobLevel])</f>
        <v>JL003</v>
      </c>
      <c r="Y180">
        <v>3</v>
      </c>
      <c r="Z180" t="str">
        <f>_xlfn.XLOOKUP(Table1[[#This Row],[JobRole]],Table13[JobRole],Table13[Id_JobRole])</f>
        <v>JR001</v>
      </c>
      <c r="AA180" t="s">
        <v>47</v>
      </c>
      <c r="AB180" t="str">
        <f>_xlfn.XLOOKUP(Table1[[#This Row],[JobSatisfaction]],Table14[JobSatisfaction],Table14[Id_JobSatisfaction])</f>
        <v>JS001</v>
      </c>
      <c r="AC180">
        <v>1</v>
      </c>
      <c r="AD180" t="str">
        <f>_xlfn.XLOOKUP(Table1[[#This Row],[JobSatisfaction]],Table14[JobSatisfaction],Table14[Deskripsi])</f>
        <v>Low</v>
      </c>
      <c r="AE180" t="str">
        <f>_xlfn.XLOOKUP(Table1[[#This Row],[MaritalStatus]],Table15[MaritalStatus],Table15[Id_MaritalStatus])</f>
        <v>MS003</v>
      </c>
      <c r="AF180" t="s">
        <v>57</v>
      </c>
      <c r="AG180">
        <v>10453</v>
      </c>
      <c r="AH180">
        <v>2137</v>
      </c>
      <c r="AI180">
        <v>1</v>
      </c>
      <c r="AJ180" t="str">
        <f>_xlfn.XLOOKUP(Table1[[#This Row],[OverTime]],Table16[OverTime],Table16[Id_OverTime])</f>
        <v>OT002</v>
      </c>
      <c r="AK180" t="s">
        <v>33</v>
      </c>
      <c r="AL180">
        <v>25</v>
      </c>
      <c r="AM180" t="str">
        <f>_xlfn.XLOOKUP(Table1[[#This Row],[PerformanceRating]],Table17[PerformanceRating],Table17[Id_PerformanceRating])</f>
        <v>PR004</v>
      </c>
      <c r="AN180">
        <v>4</v>
      </c>
      <c r="AO180" t="str">
        <f>_xlfn.XLOOKUP(Table1[[#This Row],[PerformanceRating]],Table17[PerformanceRating],Table17[Deskripsi])</f>
        <v>Outstanding</v>
      </c>
      <c r="AP180" t="str">
        <f>_xlfn.XLOOKUP(Table1[[#This Row],[RelationshipSatisfaction]],Table18[RelationshipSatisfaction],Table18[Id_RelationshipSatisfaction])</f>
        <v>RS003</v>
      </c>
      <c r="AQ180">
        <v>3</v>
      </c>
      <c r="AR180" t="str">
        <f>_xlfn.XLOOKUP(Table1[[#This Row],[RelationshipSatisfaction]],Table18[RelationshipSatisfaction],Table18[Deskripsi])</f>
        <v>High</v>
      </c>
      <c r="AS180" t="str">
        <f>_xlfn.XLOOKUP(Table1[[#This Row],[StockOptionLevel]],Table19[StockOptionLevel],Table19[Id_StockOptionLevel])</f>
        <v>SOL004</v>
      </c>
      <c r="AT180">
        <v>3</v>
      </c>
      <c r="AU180" t="str">
        <f>_xlfn.XLOOKUP(Table1[[#This Row],[StockOptionLevel]],Table19[StockOptionLevel],Table19[Deskripsi])</f>
        <v>Senior/Executive</v>
      </c>
      <c r="AV180">
        <v>24</v>
      </c>
      <c r="AW180">
        <v>2</v>
      </c>
      <c r="AX180" t="str">
        <f>_xlfn.XLOOKUP(Table1[[#This Row],[WorkLifeBalance]],Table20[WorkLifeBalance],Table20[Id_WorkLifeBalance])</f>
        <v>WLB002</v>
      </c>
      <c r="AY180">
        <v>3</v>
      </c>
      <c r="AZ180" t="str">
        <f>_xlfn.XLOOKUP(Table1[[#This Row],[WorkLifeBalance]],Table20[WorkLifeBalance],Table20[Deskripsi])</f>
        <v>Good</v>
      </c>
      <c r="BA180">
        <v>24</v>
      </c>
      <c r="BB180">
        <v>13</v>
      </c>
      <c r="BC180">
        <v>15</v>
      </c>
      <c r="BD180">
        <v>7</v>
      </c>
    </row>
    <row r="181" spans="1:56" x14ac:dyDescent="0.25">
      <c r="A181">
        <v>38</v>
      </c>
      <c r="B181" t="str">
        <f>_xlfn.XLOOKUP(Table1[[#This Row],[Attrition]],Table2[Attrition],Table2[Id_Attrition])</f>
        <v>A002</v>
      </c>
      <c r="C181" t="s">
        <v>33</v>
      </c>
      <c r="D181" t="str">
        <f>_xlfn.XLOOKUP(Table1[[#This Row],[BusinessTravel]],Table5[BusinessTravel],Table5[Id_BusinessTravel])</f>
        <v>BS001</v>
      </c>
      <c r="E181" t="s">
        <v>34</v>
      </c>
      <c r="F181">
        <v>1380</v>
      </c>
      <c r="G181" t="str">
        <f>_xlfn.XLOOKUP(Table1[[#This Row],[Department]],Table6[Department],Table6[Id_Departement])</f>
        <v>D002</v>
      </c>
      <c r="H181" t="s">
        <v>38</v>
      </c>
      <c r="I181">
        <v>9</v>
      </c>
      <c r="J181" t="str">
        <f>_xlfn.XLOOKUP(Table1[[#This Row],[Education]],Table8[Education],Table8[Id_Education])</f>
        <v>E002</v>
      </c>
      <c r="K181">
        <v>2</v>
      </c>
      <c r="L181" t="str">
        <f>_xlfn.XLOOKUP(Table1[[#This Row],[EducationField]],Table7[EducationField],Table7[Id_EducationField])</f>
        <v>EF001</v>
      </c>
      <c r="M181" t="s">
        <v>40</v>
      </c>
      <c r="N181" t="str">
        <f>_xlfn.XLOOKUP(Table1[[#This Row],[EmployeeNumber]],Table4[EmployeeNumber],Table4[Id_Employee])</f>
        <v>EMP00180</v>
      </c>
      <c r="O181">
        <v>245</v>
      </c>
      <c r="P181" t="str">
        <f>_xlfn.XLOOKUP(Table1[[#This Row],[EnvironmentSatisfaction]],Table9[EnvironmentSatisfaction],Table9[Id_EnviromentSatisfaction])</f>
        <v>ES003</v>
      </c>
      <c r="Q181">
        <v>3</v>
      </c>
      <c r="R181" t="str">
        <f>_xlfn.XLOOKUP(Table1[[#This Row],[EnvironmentSatisfaction]],Table9[EnvironmentSatisfaction],Table9[Deskripsi])</f>
        <v>High</v>
      </c>
      <c r="S181" t="str">
        <f>_xlfn.XLOOKUP(Table1[[#This Row],[Gender]],Table10[Gender],Table10[Id_Gender])</f>
        <v>G001</v>
      </c>
      <c r="T181" t="s">
        <v>45</v>
      </c>
      <c r="U181">
        <v>75</v>
      </c>
      <c r="V181" t="str">
        <f>_xlfn.XLOOKUP(Table1[[#This Row],[JobInvolvement]],Table11[JobInvolvement],Table11[Id_JobInvolvement])</f>
        <v>JI003</v>
      </c>
      <c r="W181">
        <v>3</v>
      </c>
      <c r="X181" t="str">
        <f>_xlfn.XLOOKUP(Table1[[#This Row],[JobLevel]],Table12[JobLevel],Table12[Id_JobLevel])</f>
        <v>JL001</v>
      </c>
      <c r="Y181">
        <v>1</v>
      </c>
      <c r="Z181" t="str">
        <f>_xlfn.XLOOKUP(Table1[[#This Row],[JobRole]],Table13[JobRole],Table13[Id_JobRole])</f>
        <v>JR003</v>
      </c>
      <c r="AA181" t="s">
        <v>49</v>
      </c>
      <c r="AB181" t="str">
        <f>_xlfn.XLOOKUP(Table1[[#This Row],[JobSatisfaction]],Table14[JobSatisfaction],Table14[Id_JobSatisfaction])</f>
        <v>JS004</v>
      </c>
      <c r="AC181">
        <v>4</v>
      </c>
      <c r="AD181" t="str">
        <f>_xlfn.XLOOKUP(Table1[[#This Row],[JobSatisfaction]],Table14[JobSatisfaction],Table14[Deskripsi])</f>
        <v>Very High</v>
      </c>
      <c r="AE181" t="str">
        <f>_xlfn.XLOOKUP(Table1[[#This Row],[MaritalStatus]],Table15[MaritalStatus],Table15[Id_MaritalStatus])</f>
        <v>MS001</v>
      </c>
      <c r="AF181" t="s">
        <v>55</v>
      </c>
      <c r="AG181">
        <v>2288</v>
      </c>
      <c r="AH181">
        <v>6319</v>
      </c>
      <c r="AI181">
        <v>1</v>
      </c>
      <c r="AJ181" t="str">
        <f>_xlfn.XLOOKUP(Table1[[#This Row],[OverTime]],Table16[OverTime],Table16[Id_OverTime])</f>
        <v>OT002</v>
      </c>
      <c r="AK181" t="s">
        <v>33</v>
      </c>
      <c r="AL181">
        <v>12</v>
      </c>
      <c r="AM181" t="str">
        <f>_xlfn.XLOOKUP(Table1[[#This Row],[PerformanceRating]],Table17[PerformanceRating],Table17[Id_PerformanceRating])</f>
        <v>PR003</v>
      </c>
      <c r="AN181">
        <v>3</v>
      </c>
      <c r="AO181" t="str">
        <f>_xlfn.XLOOKUP(Table1[[#This Row],[PerformanceRating]],Table17[PerformanceRating],Table17[Deskripsi])</f>
        <v>Excellent</v>
      </c>
      <c r="AP181" t="str">
        <f>_xlfn.XLOOKUP(Table1[[#This Row],[RelationshipSatisfaction]],Table18[RelationshipSatisfaction],Table18[Id_RelationshipSatisfaction])</f>
        <v>RS003</v>
      </c>
      <c r="AQ181">
        <v>3</v>
      </c>
      <c r="AR181" t="str">
        <f>_xlfn.XLOOKUP(Table1[[#This Row],[RelationshipSatisfaction]],Table18[RelationshipSatisfaction],Table18[Deskripsi])</f>
        <v>High</v>
      </c>
      <c r="AS181" t="str">
        <f>_xlfn.XLOOKUP(Table1[[#This Row],[StockOptionLevel]],Table19[StockOptionLevel],Table19[Id_StockOptionLevel])</f>
        <v>SOL001</v>
      </c>
      <c r="AT181">
        <v>0</v>
      </c>
      <c r="AU181" t="str">
        <f>_xlfn.XLOOKUP(Table1[[#This Row],[StockOptionLevel]],Table19[StockOptionLevel],Table19[Deskripsi])</f>
        <v>Non-Eligible</v>
      </c>
      <c r="AV181">
        <v>2</v>
      </c>
      <c r="AW181">
        <v>3</v>
      </c>
      <c r="AX181" t="str">
        <f>_xlfn.XLOOKUP(Table1[[#This Row],[WorkLifeBalance]],Table20[WorkLifeBalance],Table20[Id_WorkLifeBalance])</f>
        <v>WLB002</v>
      </c>
      <c r="AY181">
        <v>3</v>
      </c>
      <c r="AZ181" t="str">
        <f>_xlfn.XLOOKUP(Table1[[#This Row],[WorkLifeBalance]],Table20[WorkLifeBalance],Table20[Deskripsi])</f>
        <v>Good</v>
      </c>
      <c r="BA181">
        <v>2</v>
      </c>
      <c r="BB181">
        <v>2</v>
      </c>
      <c r="BC181">
        <v>2</v>
      </c>
      <c r="BD181">
        <v>1</v>
      </c>
    </row>
    <row r="182" spans="1:56" x14ac:dyDescent="0.25">
      <c r="A182">
        <v>31</v>
      </c>
      <c r="B182" t="str">
        <f>_xlfn.XLOOKUP(Table1[[#This Row],[Attrition]],Table2[Attrition],Table2[Id_Attrition])</f>
        <v>A002</v>
      </c>
      <c r="C182" t="s">
        <v>33</v>
      </c>
      <c r="D182" t="str">
        <f>_xlfn.XLOOKUP(Table1[[#This Row],[BusinessTravel]],Table5[BusinessTravel],Table5[Id_BusinessTravel])</f>
        <v>BS001</v>
      </c>
      <c r="E182" t="s">
        <v>34</v>
      </c>
      <c r="F182">
        <v>140</v>
      </c>
      <c r="G182" t="str">
        <f>_xlfn.XLOOKUP(Table1[[#This Row],[Department]],Table6[Department],Table6[Id_Departement])</f>
        <v>D002</v>
      </c>
      <c r="H182" t="s">
        <v>38</v>
      </c>
      <c r="I182">
        <v>12</v>
      </c>
      <c r="J182" t="str">
        <f>_xlfn.XLOOKUP(Table1[[#This Row],[Education]],Table8[Education],Table8[Id_Education])</f>
        <v>E001</v>
      </c>
      <c r="K182">
        <v>1</v>
      </c>
      <c r="L182" t="str">
        <f>_xlfn.XLOOKUP(Table1[[#This Row],[EducationField]],Table7[EducationField],Table7[Id_EducationField])</f>
        <v>EF003</v>
      </c>
      <c r="M182" t="s">
        <v>42</v>
      </c>
      <c r="N182" t="str">
        <f>_xlfn.XLOOKUP(Table1[[#This Row],[EmployeeNumber]],Table4[EmployeeNumber],Table4[Id_Employee])</f>
        <v>EMP00181</v>
      </c>
      <c r="O182">
        <v>246</v>
      </c>
      <c r="P182" t="str">
        <f>_xlfn.XLOOKUP(Table1[[#This Row],[EnvironmentSatisfaction]],Table9[EnvironmentSatisfaction],Table9[Id_EnviromentSatisfaction])</f>
        <v>ES003</v>
      </c>
      <c r="Q182">
        <v>3</v>
      </c>
      <c r="R182" t="str">
        <f>_xlfn.XLOOKUP(Table1[[#This Row],[EnvironmentSatisfaction]],Table9[EnvironmentSatisfaction],Table9[Deskripsi])</f>
        <v>High</v>
      </c>
      <c r="S182" t="str">
        <f>_xlfn.XLOOKUP(Table1[[#This Row],[Gender]],Table10[Gender],Table10[Id_Gender])</f>
        <v>G001</v>
      </c>
      <c r="T182" t="s">
        <v>45</v>
      </c>
      <c r="U182">
        <v>95</v>
      </c>
      <c r="V182" t="str">
        <f>_xlfn.XLOOKUP(Table1[[#This Row],[JobInvolvement]],Table11[JobInvolvement],Table11[Id_JobInvolvement])</f>
        <v>JI003</v>
      </c>
      <c r="W182">
        <v>3</v>
      </c>
      <c r="X182" t="str">
        <f>_xlfn.XLOOKUP(Table1[[#This Row],[JobLevel]],Table12[JobLevel],Table12[Id_JobLevel])</f>
        <v>JL001</v>
      </c>
      <c r="Y182">
        <v>1</v>
      </c>
      <c r="Z182" t="str">
        <f>_xlfn.XLOOKUP(Table1[[#This Row],[JobRole]],Table13[JobRole],Table13[Id_JobRole])</f>
        <v>JR002</v>
      </c>
      <c r="AA182" t="s">
        <v>48</v>
      </c>
      <c r="AB182" t="str">
        <f>_xlfn.XLOOKUP(Table1[[#This Row],[JobSatisfaction]],Table14[JobSatisfaction],Table14[Id_JobSatisfaction])</f>
        <v>JS004</v>
      </c>
      <c r="AC182">
        <v>4</v>
      </c>
      <c r="AD182" t="str">
        <f>_xlfn.XLOOKUP(Table1[[#This Row],[JobSatisfaction]],Table14[JobSatisfaction],Table14[Deskripsi])</f>
        <v>Very High</v>
      </c>
      <c r="AE182" t="str">
        <f>_xlfn.XLOOKUP(Table1[[#This Row],[MaritalStatus]],Table15[MaritalStatus],Table15[Id_MaritalStatus])</f>
        <v>MS002</v>
      </c>
      <c r="AF182" t="s">
        <v>56</v>
      </c>
      <c r="AG182">
        <v>3929</v>
      </c>
      <c r="AH182">
        <v>6984</v>
      </c>
      <c r="AI182">
        <v>8</v>
      </c>
      <c r="AJ182" t="str">
        <f>_xlfn.XLOOKUP(Table1[[#This Row],[OverTime]],Table16[OverTime],Table16[Id_OverTime])</f>
        <v>OT001</v>
      </c>
      <c r="AK182" t="s">
        <v>32</v>
      </c>
      <c r="AL182">
        <v>23</v>
      </c>
      <c r="AM182" t="str">
        <f>_xlfn.XLOOKUP(Table1[[#This Row],[PerformanceRating]],Table17[PerformanceRating],Table17[Id_PerformanceRating])</f>
        <v>PR004</v>
      </c>
      <c r="AN182">
        <v>4</v>
      </c>
      <c r="AO182" t="str">
        <f>_xlfn.XLOOKUP(Table1[[#This Row],[PerformanceRating]],Table17[PerformanceRating],Table17[Deskripsi])</f>
        <v>Outstanding</v>
      </c>
      <c r="AP182" t="str">
        <f>_xlfn.XLOOKUP(Table1[[#This Row],[RelationshipSatisfaction]],Table18[RelationshipSatisfaction],Table18[Id_RelationshipSatisfaction])</f>
        <v>RS003</v>
      </c>
      <c r="AQ182">
        <v>3</v>
      </c>
      <c r="AR182" t="str">
        <f>_xlfn.XLOOKUP(Table1[[#This Row],[RelationshipSatisfaction]],Table18[RelationshipSatisfaction],Table18[Deskripsi])</f>
        <v>High</v>
      </c>
      <c r="AS182" t="str">
        <f>_xlfn.XLOOKUP(Table1[[#This Row],[StockOptionLevel]],Table19[StockOptionLevel],Table19[Id_StockOptionLevel])</f>
        <v>SOL002</v>
      </c>
      <c r="AT182">
        <v>1</v>
      </c>
      <c r="AU182" t="str">
        <f>_xlfn.XLOOKUP(Table1[[#This Row],[StockOptionLevel]],Table19[StockOptionLevel],Table19[Deskripsi])</f>
        <v>Standard</v>
      </c>
      <c r="AV182">
        <v>7</v>
      </c>
      <c r="AW182">
        <v>0</v>
      </c>
      <c r="AX182" t="str">
        <f>_xlfn.XLOOKUP(Table1[[#This Row],[WorkLifeBalance]],Table20[WorkLifeBalance],Table20[Id_WorkLifeBalance])</f>
        <v>WLB002</v>
      </c>
      <c r="AY182">
        <v>3</v>
      </c>
      <c r="AZ182" t="str">
        <f>_xlfn.XLOOKUP(Table1[[#This Row],[WorkLifeBalance]],Table20[WorkLifeBalance],Table20[Deskripsi])</f>
        <v>Good</v>
      </c>
      <c r="BA182">
        <v>4</v>
      </c>
      <c r="BB182">
        <v>2</v>
      </c>
      <c r="BC182">
        <v>0</v>
      </c>
      <c r="BD182">
        <v>2</v>
      </c>
    </row>
    <row r="183" spans="1:56" x14ac:dyDescent="0.25">
      <c r="A183">
        <v>34</v>
      </c>
      <c r="B183" t="str">
        <f>_xlfn.XLOOKUP(Table1[[#This Row],[Attrition]],Table2[Attrition],Table2[Id_Attrition])</f>
        <v>A002</v>
      </c>
      <c r="C183" t="s">
        <v>33</v>
      </c>
      <c r="D183" t="str">
        <f>_xlfn.XLOOKUP(Table1[[#This Row],[BusinessTravel]],Table5[BusinessTravel],Table5[Id_BusinessTravel])</f>
        <v>BS001</v>
      </c>
      <c r="E183" t="s">
        <v>34</v>
      </c>
      <c r="F183">
        <v>629</v>
      </c>
      <c r="G183" t="str">
        <f>_xlfn.XLOOKUP(Table1[[#This Row],[Department]],Table6[Department],Table6[Id_Departement])</f>
        <v>D002</v>
      </c>
      <c r="H183" t="s">
        <v>38</v>
      </c>
      <c r="I183">
        <v>27</v>
      </c>
      <c r="J183" t="str">
        <f>_xlfn.XLOOKUP(Table1[[#This Row],[Education]],Table8[Education],Table8[Id_Education])</f>
        <v>E002</v>
      </c>
      <c r="K183">
        <v>2</v>
      </c>
      <c r="L183" t="str">
        <f>_xlfn.XLOOKUP(Table1[[#This Row],[EducationField]],Table7[EducationField],Table7[Id_EducationField])</f>
        <v>EF003</v>
      </c>
      <c r="M183" t="s">
        <v>42</v>
      </c>
      <c r="N183" t="str">
        <f>_xlfn.XLOOKUP(Table1[[#This Row],[EmployeeNumber]],Table4[EmployeeNumber],Table4[Id_Employee])</f>
        <v>EMP00182</v>
      </c>
      <c r="O183">
        <v>247</v>
      </c>
      <c r="P183" t="str">
        <f>_xlfn.XLOOKUP(Table1[[#This Row],[EnvironmentSatisfaction]],Table9[EnvironmentSatisfaction],Table9[Id_EnviromentSatisfaction])</f>
        <v>ES004</v>
      </c>
      <c r="Q183">
        <v>4</v>
      </c>
      <c r="R183" t="str">
        <f>_xlfn.XLOOKUP(Table1[[#This Row],[EnvironmentSatisfaction]],Table9[EnvironmentSatisfaction],Table9[Deskripsi])</f>
        <v>Very High</v>
      </c>
      <c r="S183" t="str">
        <f>_xlfn.XLOOKUP(Table1[[#This Row],[Gender]],Table10[Gender],Table10[Id_Gender])</f>
        <v>G001</v>
      </c>
      <c r="T183" t="s">
        <v>45</v>
      </c>
      <c r="U183">
        <v>95</v>
      </c>
      <c r="V183" t="str">
        <f>_xlfn.XLOOKUP(Table1[[#This Row],[JobInvolvement]],Table11[JobInvolvement],Table11[Id_JobInvolvement])</f>
        <v>JI003</v>
      </c>
      <c r="W183">
        <v>3</v>
      </c>
      <c r="X183" t="str">
        <f>_xlfn.XLOOKUP(Table1[[#This Row],[JobLevel]],Table12[JobLevel],Table12[Id_JobLevel])</f>
        <v>JL001</v>
      </c>
      <c r="Y183">
        <v>1</v>
      </c>
      <c r="Z183" t="str">
        <f>_xlfn.XLOOKUP(Table1[[#This Row],[JobRole]],Table13[JobRole],Table13[Id_JobRole])</f>
        <v>JR002</v>
      </c>
      <c r="AA183" t="s">
        <v>48</v>
      </c>
      <c r="AB183" t="str">
        <f>_xlfn.XLOOKUP(Table1[[#This Row],[JobSatisfaction]],Table14[JobSatisfaction],Table14[Id_JobSatisfaction])</f>
        <v>JS002</v>
      </c>
      <c r="AC183">
        <v>2</v>
      </c>
      <c r="AD183" t="str">
        <f>_xlfn.XLOOKUP(Table1[[#This Row],[JobSatisfaction]],Table14[JobSatisfaction],Table14[Deskripsi])</f>
        <v>Medium</v>
      </c>
      <c r="AE183" t="str">
        <f>_xlfn.XLOOKUP(Table1[[#This Row],[MaritalStatus]],Table15[MaritalStatus],Table15[Id_MaritalStatus])</f>
        <v>MS001</v>
      </c>
      <c r="AF183" t="s">
        <v>55</v>
      </c>
      <c r="AG183">
        <v>2311</v>
      </c>
      <c r="AH183">
        <v>5711</v>
      </c>
      <c r="AI183">
        <v>2</v>
      </c>
      <c r="AJ183" t="str">
        <f>_xlfn.XLOOKUP(Table1[[#This Row],[OverTime]],Table16[OverTime],Table16[Id_OverTime])</f>
        <v>OT002</v>
      </c>
      <c r="AK183" t="s">
        <v>33</v>
      </c>
      <c r="AL183">
        <v>15</v>
      </c>
      <c r="AM183" t="str">
        <f>_xlfn.XLOOKUP(Table1[[#This Row],[PerformanceRating]],Table17[PerformanceRating],Table17[Id_PerformanceRating])</f>
        <v>PR003</v>
      </c>
      <c r="AN183">
        <v>3</v>
      </c>
      <c r="AO183" t="str">
        <f>_xlfn.XLOOKUP(Table1[[#This Row],[PerformanceRating]],Table17[PerformanceRating],Table17[Deskripsi])</f>
        <v>Excellent</v>
      </c>
      <c r="AP183" t="str">
        <f>_xlfn.XLOOKUP(Table1[[#This Row],[RelationshipSatisfaction]],Table18[RelationshipSatisfaction],Table18[Id_RelationshipSatisfaction])</f>
        <v>RS004</v>
      </c>
      <c r="AQ183">
        <v>4</v>
      </c>
      <c r="AR183" t="str">
        <f>_xlfn.XLOOKUP(Table1[[#This Row],[RelationshipSatisfaction]],Table18[RelationshipSatisfaction],Table18[Deskripsi])</f>
        <v>Very High</v>
      </c>
      <c r="AS183" t="str">
        <f>_xlfn.XLOOKUP(Table1[[#This Row],[StockOptionLevel]],Table19[StockOptionLevel],Table19[Id_StockOptionLevel])</f>
        <v>SOL001</v>
      </c>
      <c r="AT183">
        <v>0</v>
      </c>
      <c r="AU183" t="str">
        <f>_xlfn.XLOOKUP(Table1[[#This Row],[StockOptionLevel]],Table19[StockOptionLevel],Table19[Deskripsi])</f>
        <v>Non-Eligible</v>
      </c>
      <c r="AV183">
        <v>9</v>
      </c>
      <c r="AW183">
        <v>3</v>
      </c>
      <c r="AX183" t="str">
        <f>_xlfn.XLOOKUP(Table1[[#This Row],[WorkLifeBalance]],Table20[WorkLifeBalance],Table20[Id_WorkLifeBalance])</f>
        <v>WLB002</v>
      </c>
      <c r="AY183">
        <v>3</v>
      </c>
      <c r="AZ183" t="str">
        <f>_xlfn.XLOOKUP(Table1[[#This Row],[WorkLifeBalance]],Table20[WorkLifeBalance],Table20[Deskripsi])</f>
        <v>Good</v>
      </c>
      <c r="BA183">
        <v>3</v>
      </c>
      <c r="BB183">
        <v>2</v>
      </c>
      <c r="BC183">
        <v>1</v>
      </c>
      <c r="BD183">
        <v>2</v>
      </c>
    </row>
    <row r="184" spans="1:56" x14ac:dyDescent="0.25">
      <c r="A184">
        <v>41</v>
      </c>
      <c r="B184" t="str">
        <f>_xlfn.XLOOKUP(Table1[[#This Row],[Attrition]],Table2[Attrition],Table2[Id_Attrition])</f>
        <v>A001</v>
      </c>
      <c r="C184" t="s">
        <v>32</v>
      </c>
      <c r="D184" t="str">
        <f>_xlfn.XLOOKUP(Table1[[#This Row],[BusinessTravel]],Table5[BusinessTravel],Table5[Id_BusinessTravel])</f>
        <v>BS001</v>
      </c>
      <c r="E184" t="s">
        <v>34</v>
      </c>
      <c r="F184">
        <v>1356</v>
      </c>
      <c r="G184" t="str">
        <f>_xlfn.XLOOKUP(Table1[[#This Row],[Department]],Table6[Department],Table6[Id_Departement])</f>
        <v>D001</v>
      </c>
      <c r="H184" t="s">
        <v>37</v>
      </c>
      <c r="I184">
        <v>20</v>
      </c>
      <c r="J184" t="str">
        <f>_xlfn.XLOOKUP(Table1[[#This Row],[Education]],Table8[Education],Table8[Id_Education])</f>
        <v>E002</v>
      </c>
      <c r="K184">
        <v>2</v>
      </c>
      <c r="L184" t="str">
        <f>_xlfn.XLOOKUP(Table1[[#This Row],[EducationField]],Table7[EducationField],Table7[Id_EducationField])</f>
        <v>EF004</v>
      </c>
      <c r="M184" t="s">
        <v>43</v>
      </c>
      <c r="N184" t="str">
        <f>_xlfn.XLOOKUP(Table1[[#This Row],[EmployeeNumber]],Table4[EmployeeNumber],Table4[Id_Employee])</f>
        <v>EMP00183</v>
      </c>
      <c r="O184">
        <v>248</v>
      </c>
      <c r="P184" t="str">
        <f>_xlfn.XLOOKUP(Table1[[#This Row],[EnvironmentSatisfaction]],Table9[EnvironmentSatisfaction],Table9[Id_EnviromentSatisfaction])</f>
        <v>ES002</v>
      </c>
      <c r="Q184">
        <v>2</v>
      </c>
      <c r="R184" t="str">
        <f>_xlfn.XLOOKUP(Table1[[#This Row],[EnvironmentSatisfaction]],Table9[EnvironmentSatisfaction],Table9[Deskripsi])</f>
        <v>Medium</v>
      </c>
      <c r="S184" t="str">
        <f>_xlfn.XLOOKUP(Table1[[#This Row],[Gender]],Table10[Gender],Table10[Id_Gender])</f>
        <v>G001</v>
      </c>
      <c r="T184" t="s">
        <v>45</v>
      </c>
      <c r="U184">
        <v>70</v>
      </c>
      <c r="V184" t="str">
        <f>_xlfn.XLOOKUP(Table1[[#This Row],[JobInvolvement]],Table11[JobInvolvement],Table11[Id_JobInvolvement])</f>
        <v>JI003</v>
      </c>
      <c r="W184">
        <v>3</v>
      </c>
      <c r="X184" t="str">
        <f>_xlfn.XLOOKUP(Table1[[#This Row],[JobLevel]],Table12[JobLevel],Table12[Id_JobLevel])</f>
        <v>JL001</v>
      </c>
      <c r="Y184">
        <v>1</v>
      </c>
      <c r="Z184" t="str">
        <f>_xlfn.XLOOKUP(Table1[[#This Row],[JobRole]],Table13[JobRole],Table13[Id_JobRole])</f>
        <v>JR007</v>
      </c>
      <c r="AA184" t="s">
        <v>53</v>
      </c>
      <c r="AB184" t="str">
        <f>_xlfn.XLOOKUP(Table1[[#This Row],[JobSatisfaction]],Table14[JobSatisfaction],Table14[Id_JobSatisfaction])</f>
        <v>JS002</v>
      </c>
      <c r="AC184">
        <v>2</v>
      </c>
      <c r="AD184" t="str">
        <f>_xlfn.XLOOKUP(Table1[[#This Row],[JobSatisfaction]],Table14[JobSatisfaction],Table14[Deskripsi])</f>
        <v>Medium</v>
      </c>
      <c r="AE184" t="str">
        <f>_xlfn.XLOOKUP(Table1[[#This Row],[MaritalStatus]],Table15[MaritalStatus],Table15[Id_MaritalStatus])</f>
        <v>MS001</v>
      </c>
      <c r="AF184" t="s">
        <v>55</v>
      </c>
      <c r="AG184">
        <v>3140</v>
      </c>
      <c r="AH184">
        <v>21728</v>
      </c>
      <c r="AI184">
        <v>1</v>
      </c>
      <c r="AJ184" t="str">
        <f>_xlfn.XLOOKUP(Table1[[#This Row],[OverTime]],Table16[OverTime],Table16[Id_OverTime])</f>
        <v>OT001</v>
      </c>
      <c r="AK184" t="s">
        <v>32</v>
      </c>
      <c r="AL184">
        <v>22</v>
      </c>
      <c r="AM184" t="str">
        <f>_xlfn.XLOOKUP(Table1[[#This Row],[PerformanceRating]],Table17[PerformanceRating],Table17[Id_PerformanceRating])</f>
        <v>PR004</v>
      </c>
      <c r="AN184">
        <v>4</v>
      </c>
      <c r="AO184" t="str">
        <f>_xlfn.XLOOKUP(Table1[[#This Row],[PerformanceRating]],Table17[PerformanceRating],Table17[Deskripsi])</f>
        <v>Outstanding</v>
      </c>
      <c r="AP184" t="str">
        <f>_xlfn.XLOOKUP(Table1[[#This Row],[RelationshipSatisfaction]],Table18[RelationshipSatisfaction],Table18[Id_RelationshipSatisfaction])</f>
        <v>RS004</v>
      </c>
      <c r="AQ184">
        <v>4</v>
      </c>
      <c r="AR184" t="str">
        <f>_xlfn.XLOOKUP(Table1[[#This Row],[RelationshipSatisfaction]],Table18[RelationshipSatisfaction],Table18[Deskripsi])</f>
        <v>Very High</v>
      </c>
      <c r="AS184" t="str">
        <f>_xlfn.XLOOKUP(Table1[[#This Row],[StockOptionLevel]],Table19[StockOptionLevel],Table19[Id_StockOptionLevel])</f>
        <v>SOL001</v>
      </c>
      <c r="AT184">
        <v>0</v>
      </c>
      <c r="AU184" t="str">
        <f>_xlfn.XLOOKUP(Table1[[#This Row],[StockOptionLevel]],Table19[StockOptionLevel],Table19[Deskripsi])</f>
        <v>Non-Eligible</v>
      </c>
      <c r="AV184">
        <v>4</v>
      </c>
      <c r="AW184">
        <v>5</v>
      </c>
      <c r="AX184" t="str">
        <f>_xlfn.XLOOKUP(Table1[[#This Row],[WorkLifeBalance]],Table20[WorkLifeBalance],Table20[Id_WorkLifeBalance])</f>
        <v>WLB003</v>
      </c>
      <c r="AY184">
        <v>2</v>
      </c>
      <c r="AZ184" t="str">
        <f>_xlfn.XLOOKUP(Table1[[#This Row],[WorkLifeBalance]],Table20[WorkLifeBalance],Table20[Deskripsi])</f>
        <v>Better</v>
      </c>
      <c r="BA184">
        <v>4</v>
      </c>
      <c r="BB184">
        <v>3</v>
      </c>
      <c r="BC184">
        <v>0</v>
      </c>
      <c r="BD184">
        <v>2</v>
      </c>
    </row>
    <row r="185" spans="1:56" x14ac:dyDescent="0.25">
      <c r="A185">
        <v>50</v>
      </c>
      <c r="B185" t="str">
        <f>_xlfn.XLOOKUP(Table1[[#This Row],[Attrition]],Table2[Attrition],Table2[Id_Attrition])</f>
        <v>A002</v>
      </c>
      <c r="C185" t="s">
        <v>33</v>
      </c>
      <c r="D185" t="str">
        <f>_xlfn.XLOOKUP(Table1[[#This Row],[BusinessTravel]],Table5[BusinessTravel],Table5[Id_BusinessTravel])</f>
        <v>BS001</v>
      </c>
      <c r="E185" t="s">
        <v>34</v>
      </c>
      <c r="F185">
        <v>328</v>
      </c>
      <c r="G185" t="str">
        <f>_xlfn.XLOOKUP(Table1[[#This Row],[Department]],Table6[Department],Table6[Id_Departement])</f>
        <v>D002</v>
      </c>
      <c r="H185" t="s">
        <v>38</v>
      </c>
      <c r="I185">
        <v>1</v>
      </c>
      <c r="J185" t="str">
        <f>_xlfn.XLOOKUP(Table1[[#This Row],[Education]],Table8[Education],Table8[Id_Education])</f>
        <v>E003</v>
      </c>
      <c r="K185">
        <v>3</v>
      </c>
      <c r="L185" t="str">
        <f>_xlfn.XLOOKUP(Table1[[#This Row],[EducationField]],Table7[EducationField],Table7[Id_EducationField])</f>
        <v>EF003</v>
      </c>
      <c r="M185" t="s">
        <v>42</v>
      </c>
      <c r="N185" t="str">
        <f>_xlfn.XLOOKUP(Table1[[#This Row],[EmployeeNumber]],Table4[EmployeeNumber],Table4[Id_Employee])</f>
        <v>EMP00184</v>
      </c>
      <c r="O185">
        <v>249</v>
      </c>
      <c r="P185" t="str">
        <f>_xlfn.XLOOKUP(Table1[[#This Row],[EnvironmentSatisfaction]],Table9[EnvironmentSatisfaction],Table9[Id_EnviromentSatisfaction])</f>
        <v>ES003</v>
      </c>
      <c r="Q185">
        <v>3</v>
      </c>
      <c r="R185" t="str">
        <f>_xlfn.XLOOKUP(Table1[[#This Row],[EnvironmentSatisfaction]],Table9[EnvironmentSatisfaction],Table9[Deskripsi])</f>
        <v>High</v>
      </c>
      <c r="S185" t="str">
        <f>_xlfn.XLOOKUP(Table1[[#This Row],[Gender]],Table10[Gender],Table10[Id_Gender])</f>
        <v>G002</v>
      </c>
      <c r="T185" t="s">
        <v>46</v>
      </c>
      <c r="U185">
        <v>86</v>
      </c>
      <c r="V185" t="str">
        <f>_xlfn.XLOOKUP(Table1[[#This Row],[JobInvolvement]],Table11[JobInvolvement],Table11[Id_JobInvolvement])</f>
        <v>JI002</v>
      </c>
      <c r="W185">
        <v>2</v>
      </c>
      <c r="X185" t="str">
        <f>_xlfn.XLOOKUP(Table1[[#This Row],[JobLevel]],Table12[JobLevel],Table12[Id_JobLevel])</f>
        <v>JL001</v>
      </c>
      <c r="Y185">
        <v>1</v>
      </c>
      <c r="Z185" t="str">
        <f>_xlfn.XLOOKUP(Table1[[#This Row],[JobRole]],Table13[JobRole],Table13[Id_JobRole])</f>
        <v>JR003</v>
      </c>
      <c r="AA185" t="s">
        <v>49</v>
      </c>
      <c r="AB185" t="str">
        <f>_xlfn.XLOOKUP(Table1[[#This Row],[JobSatisfaction]],Table14[JobSatisfaction],Table14[Id_JobSatisfaction])</f>
        <v>JS003</v>
      </c>
      <c r="AC185">
        <v>3</v>
      </c>
      <c r="AD185" t="str">
        <f>_xlfn.XLOOKUP(Table1[[#This Row],[JobSatisfaction]],Table14[JobSatisfaction],Table14[Deskripsi])</f>
        <v>High</v>
      </c>
      <c r="AE185" t="str">
        <f>_xlfn.XLOOKUP(Table1[[#This Row],[MaritalStatus]],Table15[MaritalStatus],Table15[Id_MaritalStatus])</f>
        <v>MS002</v>
      </c>
      <c r="AF185" t="s">
        <v>56</v>
      </c>
      <c r="AG185">
        <v>3690</v>
      </c>
      <c r="AH185">
        <v>3425</v>
      </c>
      <c r="AI185">
        <v>2</v>
      </c>
      <c r="AJ185" t="str">
        <f>_xlfn.XLOOKUP(Table1[[#This Row],[OverTime]],Table16[OverTime],Table16[Id_OverTime])</f>
        <v>OT002</v>
      </c>
      <c r="AK185" t="s">
        <v>33</v>
      </c>
      <c r="AL185">
        <v>15</v>
      </c>
      <c r="AM185" t="str">
        <f>_xlfn.XLOOKUP(Table1[[#This Row],[PerformanceRating]],Table17[PerformanceRating],Table17[Id_PerformanceRating])</f>
        <v>PR003</v>
      </c>
      <c r="AN185">
        <v>3</v>
      </c>
      <c r="AO185" t="str">
        <f>_xlfn.XLOOKUP(Table1[[#This Row],[PerformanceRating]],Table17[PerformanceRating],Table17[Deskripsi])</f>
        <v>Excellent</v>
      </c>
      <c r="AP185" t="str">
        <f>_xlfn.XLOOKUP(Table1[[#This Row],[RelationshipSatisfaction]],Table18[RelationshipSatisfaction],Table18[Id_RelationshipSatisfaction])</f>
        <v>RS004</v>
      </c>
      <c r="AQ185">
        <v>4</v>
      </c>
      <c r="AR185" t="str">
        <f>_xlfn.XLOOKUP(Table1[[#This Row],[RelationshipSatisfaction]],Table18[RelationshipSatisfaction],Table18[Deskripsi])</f>
        <v>Very High</v>
      </c>
      <c r="AS185" t="str">
        <f>_xlfn.XLOOKUP(Table1[[#This Row],[StockOptionLevel]],Table19[StockOptionLevel],Table19[Id_StockOptionLevel])</f>
        <v>SOL002</v>
      </c>
      <c r="AT185">
        <v>1</v>
      </c>
      <c r="AU185" t="str">
        <f>_xlfn.XLOOKUP(Table1[[#This Row],[StockOptionLevel]],Table19[StockOptionLevel],Table19[Deskripsi])</f>
        <v>Standard</v>
      </c>
      <c r="AV185">
        <v>5</v>
      </c>
      <c r="AW185">
        <v>2</v>
      </c>
      <c r="AX185" t="str">
        <f>_xlfn.XLOOKUP(Table1[[#This Row],[WorkLifeBalance]],Table20[WorkLifeBalance],Table20[Id_WorkLifeBalance])</f>
        <v>WLB003</v>
      </c>
      <c r="AY185">
        <v>2</v>
      </c>
      <c r="AZ185" t="str">
        <f>_xlfn.XLOOKUP(Table1[[#This Row],[WorkLifeBalance]],Table20[WorkLifeBalance],Table20[Deskripsi])</f>
        <v>Better</v>
      </c>
      <c r="BA185">
        <v>3</v>
      </c>
      <c r="BB185">
        <v>2</v>
      </c>
      <c r="BC185">
        <v>0</v>
      </c>
      <c r="BD185">
        <v>2</v>
      </c>
    </row>
    <row r="186" spans="1:56" x14ac:dyDescent="0.25">
      <c r="A186">
        <v>53</v>
      </c>
      <c r="B186" t="str">
        <f>_xlfn.XLOOKUP(Table1[[#This Row],[Attrition]],Table2[Attrition],Table2[Id_Attrition])</f>
        <v>A002</v>
      </c>
      <c r="C186" t="s">
        <v>33</v>
      </c>
      <c r="D186" t="str">
        <f>_xlfn.XLOOKUP(Table1[[#This Row],[BusinessTravel]],Table5[BusinessTravel],Table5[Id_BusinessTravel])</f>
        <v>BS001</v>
      </c>
      <c r="E186" t="s">
        <v>34</v>
      </c>
      <c r="F186">
        <v>1084</v>
      </c>
      <c r="G186" t="str">
        <f>_xlfn.XLOOKUP(Table1[[#This Row],[Department]],Table6[Department],Table6[Id_Departement])</f>
        <v>D002</v>
      </c>
      <c r="H186" t="s">
        <v>38</v>
      </c>
      <c r="I186">
        <v>13</v>
      </c>
      <c r="J186" t="str">
        <f>_xlfn.XLOOKUP(Table1[[#This Row],[Education]],Table8[Education],Table8[Id_Education])</f>
        <v>E002</v>
      </c>
      <c r="K186">
        <v>2</v>
      </c>
      <c r="L186" t="str">
        <f>_xlfn.XLOOKUP(Table1[[#This Row],[EducationField]],Table7[EducationField],Table7[Id_EducationField])</f>
        <v>EF003</v>
      </c>
      <c r="M186" t="s">
        <v>42</v>
      </c>
      <c r="N186" t="str">
        <f>_xlfn.XLOOKUP(Table1[[#This Row],[EmployeeNumber]],Table4[EmployeeNumber],Table4[Id_Employee])</f>
        <v>EMP00185</v>
      </c>
      <c r="O186">
        <v>250</v>
      </c>
      <c r="P186" t="str">
        <f>_xlfn.XLOOKUP(Table1[[#This Row],[EnvironmentSatisfaction]],Table9[EnvironmentSatisfaction],Table9[Id_EnviromentSatisfaction])</f>
        <v>ES004</v>
      </c>
      <c r="Q186">
        <v>4</v>
      </c>
      <c r="R186" t="str">
        <f>_xlfn.XLOOKUP(Table1[[#This Row],[EnvironmentSatisfaction]],Table9[EnvironmentSatisfaction],Table9[Deskripsi])</f>
        <v>Very High</v>
      </c>
      <c r="S186" t="str">
        <f>_xlfn.XLOOKUP(Table1[[#This Row],[Gender]],Table10[Gender],Table10[Id_Gender])</f>
        <v>G001</v>
      </c>
      <c r="T186" t="s">
        <v>45</v>
      </c>
      <c r="U186">
        <v>57</v>
      </c>
      <c r="V186" t="str">
        <f>_xlfn.XLOOKUP(Table1[[#This Row],[JobInvolvement]],Table11[JobInvolvement],Table11[Id_JobInvolvement])</f>
        <v>JI004</v>
      </c>
      <c r="W186">
        <v>4</v>
      </c>
      <c r="X186" t="str">
        <f>_xlfn.XLOOKUP(Table1[[#This Row],[JobLevel]],Table12[JobLevel],Table12[Id_JobLevel])</f>
        <v>JL002</v>
      </c>
      <c r="Y186">
        <v>2</v>
      </c>
      <c r="Z186" t="str">
        <f>_xlfn.XLOOKUP(Table1[[#This Row],[JobRole]],Table13[JobRole],Table13[Id_JobRole])</f>
        <v>JR004</v>
      </c>
      <c r="AA186" t="s">
        <v>50</v>
      </c>
      <c r="AB186" t="str">
        <f>_xlfn.XLOOKUP(Table1[[#This Row],[JobSatisfaction]],Table14[JobSatisfaction],Table14[Id_JobSatisfaction])</f>
        <v>JS001</v>
      </c>
      <c r="AC186">
        <v>1</v>
      </c>
      <c r="AD186" t="str">
        <f>_xlfn.XLOOKUP(Table1[[#This Row],[JobSatisfaction]],Table14[JobSatisfaction],Table14[Deskripsi])</f>
        <v>Low</v>
      </c>
      <c r="AE186" t="str">
        <f>_xlfn.XLOOKUP(Table1[[#This Row],[MaritalStatus]],Table15[MaritalStatus],Table15[Id_MaritalStatus])</f>
        <v>MS003</v>
      </c>
      <c r="AF186" t="s">
        <v>57</v>
      </c>
      <c r="AG186">
        <v>4450</v>
      </c>
      <c r="AH186">
        <v>26250</v>
      </c>
      <c r="AI186">
        <v>1</v>
      </c>
      <c r="AJ186" t="str">
        <f>_xlfn.XLOOKUP(Table1[[#This Row],[OverTime]],Table16[OverTime],Table16[Id_OverTime])</f>
        <v>OT002</v>
      </c>
      <c r="AK186" t="s">
        <v>33</v>
      </c>
      <c r="AL186">
        <v>11</v>
      </c>
      <c r="AM186" t="str">
        <f>_xlfn.XLOOKUP(Table1[[#This Row],[PerformanceRating]],Table17[PerformanceRating],Table17[Id_PerformanceRating])</f>
        <v>PR003</v>
      </c>
      <c r="AN186">
        <v>3</v>
      </c>
      <c r="AO186" t="str">
        <f>_xlfn.XLOOKUP(Table1[[#This Row],[PerformanceRating]],Table17[PerformanceRating],Table17[Deskripsi])</f>
        <v>Excellent</v>
      </c>
      <c r="AP186" t="str">
        <f>_xlfn.XLOOKUP(Table1[[#This Row],[RelationshipSatisfaction]],Table18[RelationshipSatisfaction],Table18[Id_RelationshipSatisfaction])</f>
        <v>RS003</v>
      </c>
      <c r="AQ186">
        <v>3</v>
      </c>
      <c r="AR186" t="str">
        <f>_xlfn.XLOOKUP(Table1[[#This Row],[RelationshipSatisfaction]],Table18[RelationshipSatisfaction],Table18[Deskripsi])</f>
        <v>High</v>
      </c>
      <c r="AS186" t="str">
        <f>_xlfn.XLOOKUP(Table1[[#This Row],[StockOptionLevel]],Table19[StockOptionLevel],Table19[Id_StockOptionLevel])</f>
        <v>SOL003</v>
      </c>
      <c r="AT186">
        <v>2</v>
      </c>
      <c r="AU186" t="str">
        <f>_xlfn.XLOOKUP(Table1[[#This Row],[StockOptionLevel]],Table19[StockOptionLevel],Table19[Deskripsi])</f>
        <v>Intermediate</v>
      </c>
      <c r="AV186">
        <v>5</v>
      </c>
      <c r="AW186">
        <v>3</v>
      </c>
      <c r="AX186" t="str">
        <f>_xlfn.XLOOKUP(Table1[[#This Row],[WorkLifeBalance]],Table20[WorkLifeBalance],Table20[Id_WorkLifeBalance])</f>
        <v>WLB002</v>
      </c>
      <c r="AY186">
        <v>3</v>
      </c>
      <c r="AZ186" t="str">
        <f>_xlfn.XLOOKUP(Table1[[#This Row],[WorkLifeBalance]],Table20[WorkLifeBalance],Table20[Deskripsi])</f>
        <v>Good</v>
      </c>
      <c r="BA186">
        <v>4</v>
      </c>
      <c r="BB186">
        <v>2</v>
      </c>
      <c r="BC186">
        <v>1</v>
      </c>
      <c r="BD186">
        <v>3</v>
      </c>
    </row>
    <row r="187" spans="1:56" x14ac:dyDescent="0.25">
      <c r="A187">
        <v>33</v>
      </c>
      <c r="B187" t="str">
        <f>_xlfn.XLOOKUP(Table1[[#This Row],[Attrition]],Table2[Attrition],Table2[Id_Attrition])</f>
        <v>A002</v>
      </c>
      <c r="C187" t="s">
        <v>33</v>
      </c>
      <c r="D187" t="str">
        <f>_xlfn.XLOOKUP(Table1[[#This Row],[BusinessTravel]],Table5[BusinessTravel],Table5[Id_BusinessTravel])</f>
        <v>BS001</v>
      </c>
      <c r="E187" t="s">
        <v>34</v>
      </c>
      <c r="F187">
        <v>931</v>
      </c>
      <c r="G187" t="str">
        <f>_xlfn.XLOOKUP(Table1[[#This Row],[Department]],Table6[Department],Table6[Id_Departement])</f>
        <v>D002</v>
      </c>
      <c r="H187" t="s">
        <v>38</v>
      </c>
      <c r="I187">
        <v>14</v>
      </c>
      <c r="J187" t="str">
        <f>_xlfn.XLOOKUP(Table1[[#This Row],[Education]],Table8[Education],Table8[Id_Education])</f>
        <v>E003</v>
      </c>
      <c r="K187">
        <v>3</v>
      </c>
      <c r="L187" t="str">
        <f>_xlfn.XLOOKUP(Table1[[#This Row],[EducationField]],Table7[EducationField],Table7[Id_EducationField])</f>
        <v>EF003</v>
      </c>
      <c r="M187" t="s">
        <v>42</v>
      </c>
      <c r="N187" t="str">
        <f>_xlfn.XLOOKUP(Table1[[#This Row],[EmployeeNumber]],Table4[EmployeeNumber],Table4[Id_Employee])</f>
        <v>EMP00186</v>
      </c>
      <c r="O187">
        <v>252</v>
      </c>
      <c r="P187" t="str">
        <f>_xlfn.XLOOKUP(Table1[[#This Row],[EnvironmentSatisfaction]],Table9[EnvironmentSatisfaction],Table9[Id_EnviromentSatisfaction])</f>
        <v>ES004</v>
      </c>
      <c r="Q187">
        <v>4</v>
      </c>
      <c r="R187" t="str">
        <f>_xlfn.XLOOKUP(Table1[[#This Row],[EnvironmentSatisfaction]],Table9[EnvironmentSatisfaction],Table9[Deskripsi])</f>
        <v>Very High</v>
      </c>
      <c r="S187" t="str">
        <f>_xlfn.XLOOKUP(Table1[[#This Row],[Gender]],Table10[Gender],Table10[Id_Gender])</f>
        <v>G001</v>
      </c>
      <c r="T187" t="s">
        <v>45</v>
      </c>
      <c r="U187">
        <v>72</v>
      </c>
      <c r="V187" t="str">
        <f>_xlfn.XLOOKUP(Table1[[#This Row],[JobInvolvement]],Table11[JobInvolvement],Table11[Id_JobInvolvement])</f>
        <v>JI003</v>
      </c>
      <c r="W187">
        <v>3</v>
      </c>
      <c r="X187" t="str">
        <f>_xlfn.XLOOKUP(Table1[[#This Row],[JobLevel]],Table12[JobLevel],Table12[Id_JobLevel])</f>
        <v>JL001</v>
      </c>
      <c r="Y187">
        <v>1</v>
      </c>
      <c r="Z187" t="str">
        <f>_xlfn.XLOOKUP(Table1[[#This Row],[JobRole]],Table13[JobRole],Table13[Id_JobRole])</f>
        <v>JR002</v>
      </c>
      <c r="AA187" t="s">
        <v>48</v>
      </c>
      <c r="AB187" t="str">
        <f>_xlfn.XLOOKUP(Table1[[#This Row],[JobSatisfaction]],Table14[JobSatisfaction],Table14[Id_JobSatisfaction])</f>
        <v>JS002</v>
      </c>
      <c r="AC187">
        <v>2</v>
      </c>
      <c r="AD187" t="str">
        <f>_xlfn.XLOOKUP(Table1[[#This Row],[JobSatisfaction]],Table14[JobSatisfaction],Table14[Deskripsi])</f>
        <v>Medium</v>
      </c>
      <c r="AE187" t="str">
        <f>_xlfn.XLOOKUP(Table1[[#This Row],[MaritalStatus]],Table15[MaritalStatus],Table15[Id_MaritalStatus])</f>
        <v>MS002</v>
      </c>
      <c r="AF187" t="s">
        <v>56</v>
      </c>
      <c r="AG187">
        <v>2756</v>
      </c>
      <c r="AH187">
        <v>4673</v>
      </c>
      <c r="AI187">
        <v>1</v>
      </c>
      <c r="AJ187" t="str">
        <f>_xlfn.XLOOKUP(Table1[[#This Row],[OverTime]],Table16[OverTime],Table16[Id_OverTime])</f>
        <v>OT002</v>
      </c>
      <c r="AK187" t="s">
        <v>33</v>
      </c>
      <c r="AL187">
        <v>13</v>
      </c>
      <c r="AM187" t="str">
        <f>_xlfn.XLOOKUP(Table1[[#This Row],[PerformanceRating]],Table17[PerformanceRating],Table17[Id_PerformanceRating])</f>
        <v>PR003</v>
      </c>
      <c r="AN187">
        <v>3</v>
      </c>
      <c r="AO187" t="str">
        <f>_xlfn.XLOOKUP(Table1[[#This Row],[PerformanceRating]],Table17[PerformanceRating],Table17[Deskripsi])</f>
        <v>Excellent</v>
      </c>
      <c r="AP187" t="str">
        <f>_xlfn.XLOOKUP(Table1[[#This Row],[RelationshipSatisfaction]],Table18[RelationshipSatisfaction],Table18[Id_RelationshipSatisfaction])</f>
        <v>RS004</v>
      </c>
      <c r="AQ187">
        <v>4</v>
      </c>
      <c r="AR187" t="str">
        <f>_xlfn.XLOOKUP(Table1[[#This Row],[RelationshipSatisfaction]],Table18[RelationshipSatisfaction],Table18[Deskripsi])</f>
        <v>Very High</v>
      </c>
      <c r="AS187" t="str">
        <f>_xlfn.XLOOKUP(Table1[[#This Row],[StockOptionLevel]],Table19[StockOptionLevel],Table19[Id_StockOptionLevel])</f>
        <v>SOL002</v>
      </c>
      <c r="AT187">
        <v>1</v>
      </c>
      <c r="AU187" t="str">
        <f>_xlfn.XLOOKUP(Table1[[#This Row],[StockOptionLevel]],Table19[StockOptionLevel],Table19[Deskripsi])</f>
        <v>Standard</v>
      </c>
      <c r="AV187">
        <v>8</v>
      </c>
      <c r="AW187">
        <v>5</v>
      </c>
      <c r="AX187" t="str">
        <f>_xlfn.XLOOKUP(Table1[[#This Row],[WorkLifeBalance]],Table20[WorkLifeBalance],Table20[Id_WorkLifeBalance])</f>
        <v>WLB002</v>
      </c>
      <c r="AY187">
        <v>3</v>
      </c>
      <c r="AZ187" t="str">
        <f>_xlfn.XLOOKUP(Table1[[#This Row],[WorkLifeBalance]],Table20[WorkLifeBalance],Table20[Deskripsi])</f>
        <v>Good</v>
      </c>
      <c r="BA187">
        <v>8</v>
      </c>
      <c r="BB187">
        <v>7</v>
      </c>
      <c r="BC187">
        <v>1</v>
      </c>
      <c r="BD187">
        <v>6</v>
      </c>
    </row>
    <row r="188" spans="1:56" x14ac:dyDescent="0.25">
      <c r="A188">
        <v>40</v>
      </c>
      <c r="B188" t="str">
        <f>_xlfn.XLOOKUP(Table1[[#This Row],[Attrition]],Table2[Attrition],Table2[Id_Attrition])</f>
        <v>A002</v>
      </c>
      <c r="C188" t="s">
        <v>33</v>
      </c>
      <c r="D188" t="str">
        <f>_xlfn.XLOOKUP(Table1[[#This Row],[BusinessTravel]],Table5[BusinessTravel],Table5[Id_BusinessTravel])</f>
        <v>BS001</v>
      </c>
      <c r="E188" t="s">
        <v>34</v>
      </c>
      <c r="F188">
        <v>989</v>
      </c>
      <c r="G188" t="str">
        <f>_xlfn.XLOOKUP(Table1[[#This Row],[Department]],Table6[Department],Table6[Id_Departement])</f>
        <v>D002</v>
      </c>
      <c r="H188" t="s">
        <v>38</v>
      </c>
      <c r="I188">
        <v>4</v>
      </c>
      <c r="J188" t="str">
        <f>_xlfn.XLOOKUP(Table1[[#This Row],[Education]],Table8[Education],Table8[Id_Education])</f>
        <v>E001</v>
      </c>
      <c r="K188">
        <v>1</v>
      </c>
      <c r="L188" t="str">
        <f>_xlfn.XLOOKUP(Table1[[#This Row],[EducationField]],Table7[EducationField],Table7[Id_EducationField])</f>
        <v>EF003</v>
      </c>
      <c r="M188" t="s">
        <v>42</v>
      </c>
      <c r="N188" t="str">
        <f>_xlfn.XLOOKUP(Table1[[#This Row],[EmployeeNumber]],Table4[EmployeeNumber],Table4[Id_Employee])</f>
        <v>EMP00187</v>
      </c>
      <c r="O188">
        <v>253</v>
      </c>
      <c r="P188" t="str">
        <f>_xlfn.XLOOKUP(Table1[[#This Row],[EnvironmentSatisfaction]],Table9[EnvironmentSatisfaction],Table9[Id_EnviromentSatisfaction])</f>
        <v>ES004</v>
      </c>
      <c r="Q188">
        <v>4</v>
      </c>
      <c r="R188" t="str">
        <f>_xlfn.XLOOKUP(Table1[[#This Row],[EnvironmentSatisfaction]],Table9[EnvironmentSatisfaction],Table9[Deskripsi])</f>
        <v>Very High</v>
      </c>
      <c r="S188" t="str">
        <f>_xlfn.XLOOKUP(Table1[[#This Row],[Gender]],Table10[Gender],Table10[Id_Gender])</f>
        <v>G001</v>
      </c>
      <c r="T188" t="s">
        <v>45</v>
      </c>
      <c r="U188">
        <v>46</v>
      </c>
      <c r="V188" t="str">
        <f>_xlfn.XLOOKUP(Table1[[#This Row],[JobInvolvement]],Table11[JobInvolvement],Table11[Id_JobInvolvement])</f>
        <v>JI003</v>
      </c>
      <c r="W188">
        <v>3</v>
      </c>
      <c r="X188" t="str">
        <f>_xlfn.XLOOKUP(Table1[[#This Row],[JobLevel]],Table12[JobLevel],Table12[Id_JobLevel])</f>
        <v>JL005</v>
      </c>
      <c r="Y188">
        <v>5</v>
      </c>
      <c r="Z188" t="str">
        <f>_xlfn.XLOOKUP(Table1[[#This Row],[JobRole]],Table13[JobRole],Table13[Id_JobRole])</f>
        <v>JR006</v>
      </c>
      <c r="AA188" t="s">
        <v>52</v>
      </c>
      <c r="AB188" t="str">
        <f>_xlfn.XLOOKUP(Table1[[#This Row],[JobSatisfaction]],Table14[JobSatisfaction],Table14[Id_JobSatisfaction])</f>
        <v>JS003</v>
      </c>
      <c r="AC188">
        <v>3</v>
      </c>
      <c r="AD188" t="str">
        <f>_xlfn.XLOOKUP(Table1[[#This Row],[JobSatisfaction]],Table14[JobSatisfaction],Table14[Deskripsi])</f>
        <v>High</v>
      </c>
      <c r="AE188" t="str">
        <f>_xlfn.XLOOKUP(Table1[[#This Row],[MaritalStatus]],Table15[MaritalStatus],Table15[Id_MaritalStatus])</f>
        <v>MS002</v>
      </c>
      <c r="AF188" t="s">
        <v>56</v>
      </c>
      <c r="AG188">
        <v>19033</v>
      </c>
      <c r="AH188">
        <v>6499</v>
      </c>
      <c r="AI188">
        <v>1</v>
      </c>
      <c r="AJ188" t="str">
        <f>_xlfn.XLOOKUP(Table1[[#This Row],[OverTime]],Table16[OverTime],Table16[Id_OverTime])</f>
        <v>OT002</v>
      </c>
      <c r="AK188" t="s">
        <v>33</v>
      </c>
      <c r="AL188">
        <v>14</v>
      </c>
      <c r="AM188" t="str">
        <f>_xlfn.XLOOKUP(Table1[[#This Row],[PerformanceRating]],Table17[PerformanceRating],Table17[Id_PerformanceRating])</f>
        <v>PR003</v>
      </c>
      <c r="AN188">
        <v>3</v>
      </c>
      <c r="AO188" t="str">
        <f>_xlfn.XLOOKUP(Table1[[#This Row],[PerformanceRating]],Table17[PerformanceRating],Table17[Deskripsi])</f>
        <v>Excellent</v>
      </c>
      <c r="AP188" t="str">
        <f>_xlfn.XLOOKUP(Table1[[#This Row],[RelationshipSatisfaction]],Table18[RelationshipSatisfaction],Table18[Id_RelationshipSatisfaction])</f>
        <v>RS002</v>
      </c>
      <c r="AQ188">
        <v>2</v>
      </c>
      <c r="AR188" t="str">
        <f>_xlfn.XLOOKUP(Table1[[#This Row],[RelationshipSatisfaction]],Table18[RelationshipSatisfaction],Table18[Deskripsi])</f>
        <v>Medium</v>
      </c>
      <c r="AS188" t="str">
        <f>_xlfn.XLOOKUP(Table1[[#This Row],[StockOptionLevel]],Table19[StockOptionLevel],Table19[Id_StockOptionLevel])</f>
        <v>SOL002</v>
      </c>
      <c r="AT188">
        <v>1</v>
      </c>
      <c r="AU188" t="str">
        <f>_xlfn.XLOOKUP(Table1[[#This Row],[StockOptionLevel]],Table19[StockOptionLevel],Table19[Deskripsi])</f>
        <v>Standard</v>
      </c>
      <c r="AV188">
        <v>21</v>
      </c>
      <c r="AW188">
        <v>2</v>
      </c>
      <c r="AX188" t="str">
        <f>_xlfn.XLOOKUP(Table1[[#This Row],[WorkLifeBalance]],Table20[WorkLifeBalance],Table20[Id_WorkLifeBalance])</f>
        <v>WLB002</v>
      </c>
      <c r="AY188">
        <v>3</v>
      </c>
      <c r="AZ188" t="str">
        <f>_xlfn.XLOOKUP(Table1[[#This Row],[WorkLifeBalance]],Table20[WorkLifeBalance],Table20[Deskripsi])</f>
        <v>Good</v>
      </c>
      <c r="BA188">
        <v>20</v>
      </c>
      <c r="BB188">
        <v>8</v>
      </c>
      <c r="BC188">
        <v>9</v>
      </c>
      <c r="BD188">
        <v>9</v>
      </c>
    </row>
    <row r="189" spans="1:56" x14ac:dyDescent="0.25">
      <c r="A189">
        <v>55</v>
      </c>
      <c r="B189" t="str">
        <f>_xlfn.XLOOKUP(Table1[[#This Row],[Attrition]],Table2[Attrition],Table2[Id_Attrition])</f>
        <v>A002</v>
      </c>
      <c r="C189" t="s">
        <v>33</v>
      </c>
      <c r="D189" t="str">
        <f>_xlfn.XLOOKUP(Table1[[#This Row],[BusinessTravel]],Table5[BusinessTravel],Table5[Id_BusinessTravel])</f>
        <v>BS001</v>
      </c>
      <c r="E189" t="s">
        <v>34</v>
      </c>
      <c r="F189">
        <v>692</v>
      </c>
      <c r="G189" t="str">
        <f>_xlfn.XLOOKUP(Table1[[#This Row],[Department]],Table6[Department],Table6[Id_Departement])</f>
        <v>D002</v>
      </c>
      <c r="H189" t="s">
        <v>38</v>
      </c>
      <c r="I189">
        <v>14</v>
      </c>
      <c r="J189" t="str">
        <f>_xlfn.XLOOKUP(Table1[[#This Row],[Education]],Table8[Education],Table8[Id_Education])</f>
        <v>E004</v>
      </c>
      <c r="K189">
        <v>4</v>
      </c>
      <c r="L189" t="str">
        <f>_xlfn.XLOOKUP(Table1[[#This Row],[EducationField]],Table7[EducationField],Table7[Id_EducationField])</f>
        <v>EF003</v>
      </c>
      <c r="M189" t="s">
        <v>42</v>
      </c>
      <c r="N189" t="str">
        <f>_xlfn.XLOOKUP(Table1[[#This Row],[EmployeeNumber]],Table4[EmployeeNumber],Table4[Id_Employee])</f>
        <v>EMP00188</v>
      </c>
      <c r="O189">
        <v>254</v>
      </c>
      <c r="P189" t="str">
        <f>_xlfn.XLOOKUP(Table1[[#This Row],[EnvironmentSatisfaction]],Table9[EnvironmentSatisfaction],Table9[Id_EnviromentSatisfaction])</f>
        <v>ES003</v>
      </c>
      <c r="Q189">
        <v>3</v>
      </c>
      <c r="R189" t="str">
        <f>_xlfn.XLOOKUP(Table1[[#This Row],[EnvironmentSatisfaction]],Table9[EnvironmentSatisfaction],Table9[Deskripsi])</f>
        <v>High</v>
      </c>
      <c r="S189" t="str">
        <f>_xlfn.XLOOKUP(Table1[[#This Row],[Gender]],Table10[Gender],Table10[Id_Gender])</f>
        <v>G002</v>
      </c>
      <c r="T189" t="s">
        <v>46</v>
      </c>
      <c r="U189">
        <v>61</v>
      </c>
      <c r="V189" t="str">
        <f>_xlfn.XLOOKUP(Table1[[#This Row],[JobInvolvement]],Table11[JobInvolvement],Table11[Id_JobInvolvement])</f>
        <v>JI004</v>
      </c>
      <c r="W189">
        <v>4</v>
      </c>
      <c r="X189" t="str">
        <f>_xlfn.XLOOKUP(Table1[[#This Row],[JobLevel]],Table12[JobLevel],Table12[Id_JobLevel])</f>
        <v>JL005</v>
      </c>
      <c r="Y189">
        <v>5</v>
      </c>
      <c r="Z189" t="str">
        <f>_xlfn.XLOOKUP(Table1[[#This Row],[JobRole]],Table13[JobRole],Table13[Id_JobRole])</f>
        <v>JR008</v>
      </c>
      <c r="AA189" t="s">
        <v>54</v>
      </c>
      <c r="AB189" t="str">
        <f>_xlfn.XLOOKUP(Table1[[#This Row],[JobSatisfaction]],Table14[JobSatisfaction],Table14[Id_JobSatisfaction])</f>
        <v>JS002</v>
      </c>
      <c r="AC189">
        <v>2</v>
      </c>
      <c r="AD189" t="str">
        <f>_xlfn.XLOOKUP(Table1[[#This Row],[JobSatisfaction]],Table14[JobSatisfaction],Table14[Deskripsi])</f>
        <v>Medium</v>
      </c>
      <c r="AE189" t="str">
        <f>_xlfn.XLOOKUP(Table1[[#This Row],[MaritalStatus]],Table15[MaritalStatus],Table15[Id_MaritalStatus])</f>
        <v>MS001</v>
      </c>
      <c r="AF189" t="s">
        <v>55</v>
      </c>
      <c r="AG189">
        <v>18722</v>
      </c>
      <c r="AH189">
        <v>13339</v>
      </c>
      <c r="AI189">
        <v>8</v>
      </c>
      <c r="AJ189" t="str">
        <f>_xlfn.XLOOKUP(Table1[[#This Row],[OverTime]],Table16[OverTime],Table16[Id_OverTime])</f>
        <v>OT002</v>
      </c>
      <c r="AK189" t="s">
        <v>33</v>
      </c>
      <c r="AL189">
        <v>11</v>
      </c>
      <c r="AM189" t="str">
        <f>_xlfn.XLOOKUP(Table1[[#This Row],[PerformanceRating]],Table17[PerformanceRating],Table17[Id_PerformanceRating])</f>
        <v>PR003</v>
      </c>
      <c r="AN189">
        <v>3</v>
      </c>
      <c r="AO189" t="str">
        <f>_xlfn.XLOOKUP(Table1[[#This Row],[PerformanceRating]],Table17[PerformanceRating],Table17[Deskripsi])</f>
        <v>Excellent</v>
      </c>
      <c r="AP189" t="str">
        <f>_xlfn.XLOOKUP(Table1[[#This Row],[RelationshipSatisfaction]],Table18[RelationshipSatisfaction],Table18[Id_RelationshipSatisfaction])</f>
        <v>RS004</v>
      </c>
      <c r="AQ189">
        <v>4</v>
      </c>
      <c r="AR189" t="str">
        <f>_xlfn.XLOOKUP(Table1[[#This Row],[RelationshipSatisfaction]],Table18[RelationshipSatisfaction],Table18[Deskripsi])</f>
        <v>Very High</v>
      </c>
      <c r="AS189" t="str">
        <f>_xlfn.XLOOKUP(Table1[[#This Row],[StockOptionLevel]],Table19[StockOptionLevel],Table19[Id_StockOptionLevel])</f>
        <v>SOL001</v>
      </c>
      <c r="AT189">
        <v>0</v>
      </c>
      <c r="AU189" t="str">
        <f>_xlfn.XLOOKUP(Table1[[#This Row],[StockOptionLevel]],Table19[StockOptionLevel],Table19[Deskripsi])</f>
        <v>Non-Eligible</v>
      </c>
      <c r="AV189">
        <v>36</v>
      </c>
      <c r="AW189">
        <v>3</v>
      </c>
      <c r="AX189" t="str">
        <f>_xlfn.XLOOKUP(Table1[[#This Row],[WorkLifeBalance]],Table20[WorkLifeBalance],Table20[Id_WorkLifeBalance])</f>
        <v>WLB002</v>
      </c>
      <c r="AY189">
        <v>3</v>
      </c>
      <c r="AZ189" t="str">
        <f>_xlfn.XLOOKUP(Table1[[#This Row],[WorkLifeBalance]],Table20[WorkLifeBalance],Table20[Deskripsi])</f>
        <v>Good</v>
      </c>
      <c r="BA189">
        <v>24</v>
      </c>
      <c r="BB189">
        <v>15</v>
      </c>
      <c r="BC189">
        <v>2</v>
      </c>
      <c r="BD189">
        <v>15</v>
      </c>
    </row>
    <row r="190" spans="1:56" x14ac:dyDescent="0.25">
      <c r="A190">
        <v>34</v>
      </c>
      <c r="B190" t="str">
        <f>_xlfn.XLOOKUP(Table1[[#This Row],[Attrition]],Table2[Attrition],Table2[Id_Attrition])</f>
        <v>A002</v>
      </c>
      <c r="C190" t="s">
        <v>33</v>
      </c>
      <c r="D190" t="str">
        <f>_xlfn.XLOOKUP(Table1[[#This Row],[BusinessTravel]],Table5[BusinessTravel],Table5[Id_BusinessTravel])</f>
        <v>BS002</v>
      </c>
      <c r="E190" t="s">
        <v>35</v>
      </c>
      <c r="F190">
        <v>1069</v>
      </c>
      <c r="G190" t="str">
        <f>_xlfn.XLOOKUP(Table1[[#This Row],[Department]],Table6[Department],Table6[Id_Departement])</f>
        <v>D002</v>
      </c>
      <c r="H190" t="s">
        <v>38</v>
      </c>
      <c r="I190">
        <v>2</v>
      </c>
      <c r="J190" t="str">
        <f>_xlfn.XLOOKUP(Table1[[#This Row],[Education]],Table8[Education],Table8[Id_Education])</f>
        <v>E001</v>
      </c>
      <c r="K190">
        <v>1</v>
      </c>
      <c r="L190" t="str">
        <f>_xlfn.XLOOKUP(Table1[[#This Row],[EducationField]],Table7[EducationField],Table7[Id_EducationField])</f>
        <v>EF001</v>
      </c>
      <c r="M190" t="s">
        <v>40</v>
      </c>
      <c r="N190" t="str">
        <f>_xlfn.XLOOKUP(Table1[[#This Row],[EmployeeNumber]],Table4[EmployeeNumber],Table4[Id_Employee])</f>
        <v>EMP00189</v>
      </c>
      <c r="O190">
        <v>256</v>
      </c>
      <c r="P190" t="str">
        <f>_xlfn.XLOOKUP(Table1[[#This Row],[EnvironmentSatisfaction]],Table9[EnvironmentSatisfaction],Table9[Id_EnviromentSatisfaction])</f>
        <v>ES004</v>
      </c>
      <c r="Q190">
        <v>4</v>
      </c>
      <c r="R190" t="str">
        <f>_xlfn.XLOOKUP(Table1[[#This Row],[EnvironmentSatisfaction]],Table9[EnvironmentSatisfaction],Table9[Deskripsi])</f>
        <v>Very High</v>
      </c>
      <c r="S190" t="str">
        <f>_xlfn.XLOOKUP(Table1[[#This Row],[Gender]],Table10[Gender],Table10[Id_Gender])</f>
        <v>G002</v>
      </c>
      <c r="T190" t="s">
        <v>46</v>
      </c>
      <c r="U190">
        <v>45</v>
      </c>
      <c r="V190" t="str">
        <f>_xlfn.XLOOKUP(Table1[[#This Row],[JobInvolvement]],Table11[JobInvolvement],Table11[Id_JobInvolvement])</f>
        <v>JI002</v>
      </c>
      <c r="W190">
        <v>2</v>
      </c>
      <c r="X190" t="str">
        <f>_xlfn.XLOOKUP(Table1[[#This Row],[JobLevel]],Table12[JobLevel],Table12[Id_JobLevel])</f>
        <v>JL002</v>
      </c>
      <c r="Y190">
        <v>2</v>
      </c>
      <c r="Z190" t="str">
        <f>_xlfn.XLOOKUP(Table1[[#This Row],[JobRole]],Table13[JobRole],Table13[Id_JobRole])</f>
        <v>JR004</v>
      </c>
      <c r="AA190" t="s">
        <v>50</v>
      </c>
      <c r="AB190" t="str">
        <f>_xlfn.XLOOKUP(Table1[[#This Row],[JobSatisfaction]],Table14[JobSatisfaction],Table14[Id_JobSatisfaction])</f>
        <v>JS003</v>
      </c>
      <c r="AC190">
        <v>3</v>
      </c>
      <c r="AD190" t="str">
        <f>_xlfn.XLOOKUP(Table1[[#This Row],[JobSatisfaction]],Table14[JobSatisfaction],Table14[Deskripsi])</f>
        <v>High</v>
      </c>
      <c r="AE190" t="str">
        <f>_xlfn.XLOOKUP(Table1[[#This Row],[MaritalStatus]],Table15[MaritalStatus],Table15[Id_MaritalStatus])</f>
        <v>MS002</v>
      </c>
      <c r="AF190" t="s">
        <v>56</v>
      </c>
      <c r="AG190">
        <v>9547</v>
      </c>
      <c r="AH190">
        <v>14074</v>
      </c>
      <c r="AI190">
        <v>1</v>
      </c>
      <c r="AJ190" t="str">
        <f>_xlfn.XLOOKUP(Table1[[#This Row],[OverTime]],Table16[OverTime],Table16[Id_OverTime])</f>
        <v>OT002</v>
      </c>
      <c r="AK190" t="s">
        <v>33</v>
      </c>
      <c r="AL190">
        <v>17</v>
      </c>
      <c r="AM190" t="str">
        <f>_xlfn.XLOOKUP(Table1[[#This Row],[PerformanceRating]],Table17[PerformanceRating],Table17[Id_PerformanceRating])</f>
        <v>PR003</v>
      </c>
      <c r="AN190">
        <v>3</v>
      </c>
      <c r="AO190" t="str">
        <f>_xlfn.XLOOKUP(Table1[[#This Row],[PerformanceRating]],Table17[PerformanceRating],Table17[Deskripsi])</f>
        <v>Excellent</v>
      </c>
      <c r="AP190" t="str">
        <f>_xlfn.XLOOKUP(Table1[[#This Row],[RelationshipSatisfaction]],Table18[RelationshipSatisfaction],Table18[Id_RelationshipSatisfaction])</f>
        <v>RS003</v>
      </c>
      <c r="AQ190">
        <v>3</v>
      </c>
      <c r="AR190" t="str">
        <f>_xlfn.XLOOKUP(Table1[[#This Row],[RelationshipSatisfaction]],Table18[RelationshipSatisfaction],Table18[Deskripsi])</f>
        <v>High</v>
      </c>
      <c r="AS190" t="str">
        <f>_xlfn.XLOOKUP(Table1[[#This Row],[StockOptionLevel]],Table19[StockOptionLevel],Table19[Id_StockOptionLevel])</f>
        <v>SOL001</v>
      </c>
      <c r="AT190">
        <v>0</v>
      </c>
      <c r="AU190" t="str">
        <f>_xlfn.XLOOKUP(Table1[[#This Row],[StockOptionLevel]],Table19[StockOptionLevel],Table19[Deskripsi])</f>
        <v>Non-Eligible</v>
      </c>
      <c r="AV190">
        <v>10</v>
      </c>
      <c r="AW190">
        <v>2</v>
      </c>
      <c r="AX190" t="str">
        <f>_xlfn.XLOOKUP(Table1[[#This Row],[WorkLifeBalance]],Table20[WorkLifeBalance],Table20[Id_WorkLifeBalance])</f>
        <v>WLB003</v>
      </c>
      <c r="AY190">
        <v>2</v>
      </c>
      <c r="AZ190" t="str">
        <f>_xlfn.XLOOKUP(Table1[[#This Row],[WorkLifeBalance]],Table20[WorkLifeBalance],Table20[Deskripsi])</f>
        <v>Better</v>
      </c>
      <c r="BA190">
        <v>10</v>
      </c>
      <c r="BB190">
        <v>9</v>
      </c>
      <c r="BC190">
        <v>1</v>
      </c>
      <c r="BD190">
        <v>9</v>
      </c>
    </row>
    <row r="191" spans="1:56" x14ac:dyDescent="0.25">
      <c r="A191">
        <v>51</v>
      </c>
      <c r="B191" t="str">
        <f>_xlfn.XLOOKUP(Table1[[#This Row],[Attrition]],Table2[Attrition],Table2[Id_Attrition])</f>
        <v>A002</v>
      </c>
      <c r="C191" t="s">
        <v>33</v>
      </c>
      <c r="D191" t="str">
        <f>_xlfn.XLOOKUP(Table1[[#This Row],[BusinessTravel]],Table5[BusinessTravel],Table5[Id_BusinessTravel])</f>
        <v>BS001</v>
      </c>
      <c r="E191" t="s">
        <v>34</v>
      </c>
      <c r="F191">
        <v>313</v>
      </c>
      <c r="G191" t="str">
        <f>_xlfn.XLOOKUP(Table1[[#This Row],[Department]],Table6[Department],Table6[Id_Departement])</f>
        <v>D002</v>
      </c>
      <c r="H191" t="s">
        <v>38</v>
      </c>
      <c r="I191">
        <v>3</v>
      </c>
      <c r="J191" t="str">
        <f>_xlfn.XLOOKUP(Table1[[#This Row],[Education]],Table8[Education],Table8[Id_Education])</f>
        <v>E003</v>
      </c>
      <c r="K191">
        <v>3</v>
      </c>
      <c r="L191" t="str">
        <f>_xlfn.XLOOKUP(Table1[[#This Row],[EducationField]],Table7[EducationField],Table7[Id_EducationField])</f>
        <v>EF003</v>
      </c>
      <c r="M191" t="s">
        <v>42</v>
      </c>
      <c r="N191" t="str">
        <f>_xlfn.XLOOKUP(Table1[[#This Row],[EmployeeNumber]],Table4[EmployeeNumber],Table4[Id_Employee])</f>
        <v>EMP00190</v>
      </c>
      <c r="O191">
        <v>258</v>
      </c>
      <c r="P191" t="str">
        <f>_xlfn.XLOOKUP(Table1[[#This Row],[EnvironmentSatisfaction]],Table9[EnvironmentSatisfaction],Table9[Id_EnviromentSatisfaction])</f>
        <v>ES004</v>
      </c>
      <c r="Q191">
        <v>4</v>
      </c>
      <c r="R191" t="str">
        <f>_xlfn.XLOOKUP(Table1[[#This Row],[EnvironmentSatisfaction]],Table9[EnvironmentSatisfaction],Table9[Deskripsi])</f>
        <v>Very High</v>
      </c>
      <c r="S191" t="str">
        <f>_xlfn.XLOOKUP(Table1[[#This Row],[Gender]],Table10[Gender],Table10[Id_Gender])</f>
        <v>G001</v>
      </c>
      <c r="T191" t="s">
        <v>45</v>
      </c>
      <c r="U191">
        <v>98</v>
      </c>
      <c r="V191" t="str">
        <f>_xlfn.XLOOKUP(Table1[[#This Row],[JobInvolvement]],Table11[JobInvolvement],Table11[Id_JobInvolvement])</f>
        <v>JI003</v>
      </c>
      <c r="W191">
        <v>3</v>
      </c>
      <c r="X191" t="str">
        <f>_xlfn.XLOOKUP(Table1[[#This Row],[JobLevel]],Table12[JobLevel],Table12[Id_JobLevel])</f>
        <v>JL004</v>
      </c>
      <c r="Y191">
        <v>4</v>
      </c>
      <c r="Z191" t="str">
        <f>_xlfn.XLOOKUP(Table1[[#This Row],[JobRole]],Table13[JobRole],Table13[Id_JobRole])</f>
        <v>JR005</v>
      </c>
      <c r="AA191" t="s">
        <v>51</v>
      </c>
      <c r="AB191" t="str">
        <f>_xlfn.XLOOKUP(Table1[[#This Row],[JobSatisfaction]],Table14[JobSatisfaction],Table14[Id_JobSatisfaction])</f>
        <v>JS002</v>
      </c>
      <c r="AC191">
        <v>2</v>
      </c>
      <c r="AD191" t="str">
        <f>_xlfn.XLOOKUP(Table1[[#This Row],[JobSatisfaction]],Table14[JobSatisfaction],Table14[Deskripsi])</f>
        <v>Medium</v>
      </c>
      <c r="AE191" t="str">
        <f>_xlfn.XLOOKUP(Table1[[#This Row],[MaritalStatus]],Table15[MaritalStatus],Table15[Id_MaritalStatus])</f>
        <v>MS001</v>
      </c>
      <c r="AF191" t="s">
        <v>55</v>
      </c>
      <c r="AG191">
        <v>13734</v>
      </c>
      <c r="AH191">
        <v>7192</v>
      </c>
      <c r="AI191">
        <v>3</v>
      </c>
      <c r="AJ191" t="str">
        <f>_xlfn.XLOOKUP(Table1[[#This Row],[OverTime]],Table16[OverTime],Table16[Id_OverTime])</f>
        <v>OT002</v>
      </c>
      <c r="AK191" t="s">
        <v>33</v>
      </c>
      <c r="AL191">
        <v>18</v>
      </c>
      <c r="AM191" t="str">
        <f>_xlfn.XLOOKUP(Table1[[#This Row],[PerformanceRating]],Table17[PerformanceRating],Table17[Id_PerformanceRating])</f>
        <v>PR003</v>
      </c>
      <c r="AN191">
        <v>3</v>
      </c>
      <c r="AO191" t="str">
        <f>_xlfn.XLOOKUP(Table1[[#This Row],[PerformanceRating]],Table17[PerformanceRating],Table17[Deskripsi])</f>
        <v>Excellent</v>
      </c>
      <c r="AP191" t="str">
        <f>_xlfn.XLOOKUP(Table1[[#This Row],[RelationshipSatisfaction]],Table18[RelationshipSatisfaction],Table18[Id_RelationshipSatisfaction])</f>
        <v>RS003</v>
      </c>
      <c r="AQ191">
        <v>3</v>
      </c>
      <c r="AR191" t="str">
        <f>_xlfn.XLOOKUP(Table1[[#This Row],[RelationshipSatisfaction]],Table18[RelationshipSatisfaction],Table18[Deskripsi])</f>
        <v>High</v>
      </c>
      <c r="AS191" t="str">
        <f>_xlfn.XLOOKUP(Table1[[#This Row],[StockOptionLevel]],Table19[StockOptionLevel],Table19[Id_StockOptionLevel])</f>
        <v>SOL001</v>
      </c>
      <c r="AT191">
        <v>0</v>
      </c>
      <c r="AU191" t="str">
        <f>_xlfn.XLOOKUP(Table1[[#This Row],[StockOptionLevel]],Table19[StockOptionLevel],Table19[Deskripsi])</f>
        <v>Non-Eligible</v>
      </c>
      <c r="AV191">
        <v>21</v>
      </c>
      <c r="AW191">
        <v>6</v>
      </c>
      <c r="AX191" t="str">
        <f>_xlfn.XLOOKUP(Table1[[#This Row],[WorkLifeBalance]],Table20[WorkLifeBalance],Table20[Id_WorkLifeBalance])</f>
        <v>WLB002</v>
      </c>
      <c r="AY191">
        <v>3</v>
      </c>
      <c r="AZ191" t="str">
        <f>_xlfn.XLOOKUP(Table1[[#This Row],[WorkLifeBalance]],Table20[WorkLifeBalance],Table20[Deskripsi])</f>
        <v>Good</v>
      </c>
      <c r="BA191">
        <v>7</v>
      </c>
      <c r="BB191">
        <v>7</v>
      </c>
      <c r="BC191">
        <v>1</v>
      </c>
      <c r="BD191">
        <v>0</v>
      </c>
    </row>
    <row r="192" spans="1:56" x14ac:dyDescent="0.25">
      <c r="A192">
        <v>52</v>
      </c>
      <c r="B192" t="str">
        <f>_xlfn.XLOOKUP(Table1[[#This Row],[Attrition]],Table2[Attrition],Table2[Id_Attrition])</f>
        <v>A002</v>
      </c>
      <c r="C192" t="s">
        <v>33</v>
      </c>
      <c r="D192" t="str">
        <f>_xlfn.XLOOKUP(Table1[[#This Row],[BusinessTravel]],Table5[BusinessTravel],Table5[Id_BusinessTravel])</f>
        <v>BS001</v>
      </c>
      <c r="E192" t="s">
        <v>34</v>
      </c>
      <c r="F192">
        <v>699</v>
      </c>
      <c r="G192" t="str">
        <f>_xlfn.XLOOKUP(Table1[[#This Row],[Department]],Table6[Department],Table6[Id_Departement])</f>
        <v>D002</v>
      </c>
      <c r="H192" t="s">
        <v>38</v>
      </c>
      <c r="I192">
        <v>1</v>
      </c>
      <c r="J192" t="str">
        <f>_xlfn.XLOOKUP(Table1[[#This Row],[Education]],Table8[Education],Table8[Id_Education])</f>
        <v>E004</v>
      </c>
      <c r="K192">
        <v>4</v>
      </c>
      <c r="L192" t="str">
        <f>_xlfn.XLOOKUP(Table1[[#This Row],[EducationField]],Table7[EducationField],Table7[Id_EducationField])</f>
        <v>EF001</v>
      </c>
      <c r="M192" t="s">
        <v>40</v>
      </c>
      <c r="N192" t="str">
        <f>_xlfn.XLOOKUP(Table1[[#This Row],[EmployeeNumber]],Table4[EmployeeNumber],Table4[Id_Employee])</f>
        <v>EMP00191</v>
      </c>
      <c r="O192">
        <v>259</v>
      </c>
      <c r="P192" t="str">
        <f>_xlfn.XLOOKUP(Table1[[#This Row],[EnvironmentSatisfaction]],Table9[EnvironmentSatisfaction],Table9[Id_EnviromentSatisfaction])</f>
        <v>ES003</v>
      </c>
      <c r="Q192">
        <v>3</v>
      </c>
      <c r="R192" t="str">
        <f>_xlfn.XLOOKUP(Table1[[#This Row],[EnvironmentSatisfaction]],Table9[EnvironmentSatisfaction],Table9[Deskripsi])</f>
        <v>High</v>
      </c>
      <c r="S192" t="str">
        <f>_xlfn.XLOOKUP(Table1[[#This Row],[Gender]],Table10[Gender],Table10[Id_Gender])</f>
        <v>G002</v>
      </c>
      <c r="T192" t="s">
        <v>46</v>
      </c>
      <c r="U192">
        <v>65</v>
      </c>
      <c r="V192" t="str">
        <f>_xlfn.XLOOKUP(Table1[[#This Row],[JobInvolvement]],Table11[JobInvolvement],Table11[Id_JobInvolvement])</f>
        <v>JI002</v>
      </c>
      <c r="W192">
        <v>2</v>
      </c>
      <c r="X192" t="str">
        <f>_xlfn.XLOOKUP(Table1[[#This Row],[JobLevel]],Table12[JobLevel],Table12[Id_JobLevel])</f>
        <v>JL005</v>
      </c>
      <c r="Y192">
        <v>5</v>
      </c>
      <c r="Z192" t="str">
        <f>_xlfn.XLOOKUP(Table1[[#This Row],[JobRole]],Table13[JobRole],Table13[Id_JobRole])</f>
        <v>JR006</v>
      </c>
      <c r="AA192" t="s">
        <v>52</v>
      </c>
      <c r="AB192" t="str">
        <f>_xlfn.XLOOKUP(Table1[[#This Row],[JobSatisfaction]],Table14[JobSatisfaction],Table14[Id_JobSatisfaction])</f>
        <v>JS003</v>
      </c>
      <c r="AC192">
        <v>3</v>
      </c>
      <c r="AD192" t="str">
        <f>_xlfn.XLOOKUP(Table1[[#This Row],[JobSatisfaction]],Table14[JobSatisfaction],Table14[Deskripsi])</f>
        <v>High</v>
      </c>
      <c r="AE192" t="str">
        <f>_xlfn.XLOOKUP(Table1[[#This Row],[MaritalStatus]],Table15[MaritalStatus],Table15[Id_MaritalStatus])</f>
        <v>MS002</v>
      </c>
      <c r="AF192" t="s">
        <v>56</v>
      </c>
      <c r="AG192">
        <v>19999</v>
      </c>
      <c r="AH192">
        <v>5678</v>
      </c>
      <c r="AI192">
        <v>0</v>
      </c>
      <c r="AJ192" t="str">
        <f>_xlfn.XLOOKUP(Table1[[#This Row],[OverTime]],Table16[OverTime],Table16[Id_OverTime])</f>
        <v>OT002</v>
      </c>
      <c r="AK192" t="s">
        <v>33</v>
      </c>
      <c r="AL192">
        <v>14</v>
      </c>
      <c r="AM192" t="str">
        <f>_xlfn.XLOOKUP(Table1[[#This Row],[PerformanceRating]],Table17[PerformanceRating],Table17[Id_PerformanceRating])</f>
        <v>PR003</v>
      </c>
      <c r="AN192">
        <v>3</v>
      </c>
      <c r="AO192" t="str">
        <f>_xlfn.XLOOKUP(Table1[[#This Row],[PerformanceRating]],Table17[PerformanceRating],Table17[Deskripsi])</f>
        <v>Excellent</v>
      </c>
      <c r="AP192" t="str">
        <f>_xlfn.XLOOKUP(Table1[[#This Row],[RelationshipSatisfaction]],Table18[RelationshipSatisfaction],Table18[Id_RelationshipSatisfaction])</f>
        <v>RS001</v>
      </c>
      <c r="AQ192">
        <v>1</v>
      </c>
      <c r="AR192" t="str">
        <f>_xlfn.XLOOKUP(Table1[[#This Row],[RelationshipSatisfaction]],Table18[RelationshipSatisfaction],Table18[Deskripsi])</f>
        <v>Low</v>
      </c>
      <c r="AS192" t="str">
        <f>_xlfn.XLOOKUP(Table1[[#This Row],[StockOptionLevel]],Table19[StockOptionLevel],Table19[Id_StockOptionLevel])</f>
        <v>SOL002</v>
      </c>
      <c r="AT192">
        <v>1</v>
      </c>
      <c r="AU192" t="str">
        <f>_xlfn.XLOOKUP(Table1[[#This Row],[StockOptionLevel]],Table19[StockOptionLevel],Table19[Deskripsi])</f>
        <v>Standard</v>
      </c>
      <c r="AV192">
        <v>34</v>
      </c>
      <c r="AW192">
        <v>5</v>
      </c>
      <c r="AX192" t="str">
        <f>_xlfn.XLOOKUP(Table1[[#This Row],[WorkLifeBalance]],Table20[WorkLifeBalance],Table20[Id_WorkLifeBalance])</f>
        <v>WLB002</v>
      </c>
      <c r="AY192">
        <v>3</v>
      </c>
      <c r="AZ192" t="str">
        <f>_xlfn.XLOOKUP(Table1[[#This Row],[WorkLifeBalance]],Table20[WorkLifeBalance],Table20[Deskripsi])</f>
        <v>Good</v>
      </c>
      <c r="BA192">
        <v>33</v>
      </c>
      <c r="BB192">
        <v>18</v>
      </c>
      <c r="BC192">
        <v>11</v>
      </c>
      <c r="BD192">
        <v>9</v>
      </c>
    </row>
    <row r="193" spans="1:56" x14ac:dyDescent="0.25">
      <c r="A193">
        <v>27</v>
      </c>
      <c r="B193" t="str">
        <f>_xlfn.XLOOKUP(Table1[[#This Row],[Attrition]],Table2[Attrition],Table2[Id_Attrition])</f>
        <v>A002</v>
      </c>
      <c r="C193" t="s">
        <v>33</v>
      </c>
      <c r="D193" t="str">
        <f>_xlfn.XLOOKUP(Table1[[#This Row],[BusinessTravel]],Table5[BusinessTravel],Table5[Id_BusinessTravel])</f>
        <v>BS001</v>
      </c>
      <c r="E193" t="s">
        <v>34</v>
      </c>
      <c r="F193">
        <v>894</v>
      </c>
      <c r="G193" t="str">
        <f>_xlfn.XLOOKUP(Table1[[#This Row],[Department]],Table6[Department],Table6[Id_Departement])</f>
        <v>D002</v>
      </c>
      <c r="H193" t="s">
        <v>38</v>
      </c>
      <c r="I193">
        <v>9</v>
      </c>
      <c r="J193" t="str">
        <f>_xlfn.XLOOKUP(Table1[[#This Row],[Education]],Table8[Education],Table8[Id_Education])</f>
        <v>E003</v>
      </c>
      <c r="K193">
        <v>3</v>
      </c>
      <c r="L193" t="str">
        <f>_xlfn.XLOOKUP(Table1[[#This Row],[EducationField]],Table7[EducationField],Table7[Id_EducationField])</f>
        <v>EF003</v>
      </c>
      <c r="M193" t="s">
        <v>42</v>
      </c>
      <c r="N193" t="str">
        <f>_xlfn.XLOOKUP(Table1[[#This Row],[EmployeeNumber]],Table4[EmployeeNumber],Table4[Id_Employee])</f>
        <v>EMP00192</v>
      </c>
      <c r="O193">
        <v>260</v>
      </c>
      <c r="P193" t="str">
        <f>_xlfn.XLOOKUP(Table1[[#This Row],[EnvironmentSatisfaction]],Table9[EnvironmentSatisfaction],Table9[Id_EnviromentSatisfaction])</f>
        <v>ES004</v>
      </c>
      <c r="Q193">
        <v>4</v>
      </c>
      <c r="R193" t="str">
        <f>_xlfn.XLOOKUP(Table1[[#This Row],[EnvironmentSatisfaction]],Table9[EnvironmentSatisfaction],Table9[Deskripsi])</f>
        <v>Very High</v>
      </c>
      <c r="S193" t="str">
        <f>_xlfn.XLOOKUP(Table1[[#This Row],[Gender]],Table10[Gender],Table10[Id_Gender])</f>
        <v>G001</v>
      </c>
      <c r="T193" t="s">
        <v>45</v>
      </c>
      <c r="U193">
        <v>99</v>
      </c>
      <c r="V193" t="str">
        <f>_xlfn.XLOOKUP(Table1[[#This Row],[JobInvolvement]],Table11[JobInvolvement],Table11[Id_JobInvolvement])</f>
        <v>JI003</v>
      </c>
      <c r="W193">
        <v>3</v>
      </c>
      <c r="X193" t="str">
        <f>_xlfn.XLOOKUP(Table1[[#This Row],[JobLevel]],Table12[JobLevel],Table12[Id_JobLevel])</f>
        <v>JL001</v>
      </c>
      <c r="Y193">
        <v>1</v>
      </c>
      <c r="Z193" t="str">
        <f>_xlfn.XLOOKUP(Table1[[#This Row],[JobRole]],Table13[JobRole],Table13[Id_JobRole])</f>
        <v>JR002</v>
      </c>
      <c r="AA193" t="s">
        <v>48</v>
      </c>
      <c r="AB193" t="str">
        <f>_xlfn.XLOOKUP(Table1[[#This Row],[JobSatisfaction]],Table14[JobSatisfaction],Table14[Id_JobSatisfaction])</f>
        <v>JS002</v>
      </c>
      <c r="AC193">
        <v>2</v>
      </c>
      <c r="AD193" t="str">
        <f>_xlfn.XLOOKUP(Table1[[#This Row],[JobSatisfaction]],Table14[JobSatisfaction],Table14[Deskripsi])</f>
        <v>Medium</v>
      </c>
      <c r="AE193" t="str">
        <f>_xlfn.XLOOKUP(Table1[[#This Row],[MaritalStatus]],Table15[MaritalStatus],Table15[Id_MaritalStatus])</f>
        <v>MS001</v>
      </c>
      <c r="AF193" t="s">
        <v>55</v>
      </c>
      <c r="AG193">
        <v>2279</v>
      </c>
      <c r="AH193">
        <v>11781</v>
      </c>
      <c r="AI193">
        <v>1</v>
      </c>
      <c r="AJ193" t="str">
        <f>_xlfn.XLOOKUP(Table1[[#This Row],[OverTime]],Table16[OverTime],Table16[Id_OverTime])</f>
        <v>OT002</v>
      </c>
      <c r="AK193" t="s">
        <v>33</v>
      </c>
      <c r="AL193">
        <v>16</v>
      </c>
      <c r="AM193" t="str">
        <f>_xlfn.XLOOKUP(Table1[[#This Row],[PerformanceRating]],Table17[PerformanceRating],Table17[Id_PerformanceRating])</f>
        <v>PR003</v>
      </c>
      <c r="AN193">
        <v>3</v>
      </c>
      <c r="AO193" t="str">
        <f>_xlfn.XLOOKUP(Table1[[#This Row],[PerformanceRating]],Table17[PerformanceRating],Table17[Deskripsi])</f>
        <v>Excellent</v>
      </c>
      <c r="AP193" t="str">
        <f>_xlfn.XLOOKUP(Table1[[#This Row],[RelationshipSatisfaction]],Table18[RelationshipSatisfaction],Table18[Id_RelationshipSatisfaction])</f>
        <v>RS004</v>
      </c>
      <c r="AQ193">
        <v>4</v>
      </c>
      <c r="AR193" t="str">
        <f>_xlfn.XLOOKUP(Table1[[#This Row],[RelationshipSatisfaction]],Table18[RelationshipSatisfaction],Table18[Deskripsi])</f>
        <v>Very High</v>
      </c>
      <c r="AS193" t="str">
        <f>_xlfn.XLOOKUP(Table1[[#This Row],[StockOptionLevel]],Table19[StockOptionLevel],Table19[Id_StockOptionLevel])</f>
        <v>SOL001</v>
      </c>
      <c r="AT193">
        <v>0</v>
      </c>
      <c r="AU193" t="str">
        <f>_xlfn.XLOOKUP(Table1[[#This Row],[StockOptionLevel]],Table19[StockOptionLevel],Table19[Deskripsi])</f>
        <v>Non-Eligible</v>
      </c>
      <c r="AV193">
        <v>7</v>
      </c>
      <c r="AW193">
        <v>2</v>
      </c>
      <c r="AX193" t="str">
        <f>_xlfn.XLOOKUP(Table1[[#This Row],[WorkLifeBalance]],Table20[WorkLifeBalance],Table20[Id_WorkLifeBalance])</f>
        <v>WLB003</v>
      </c>
      <c r="AY193">
        <v>2</v>
      </c>
      <c r="AZ193" t="str">
        <f>_xlfn.XLOOKUP(Table1[[#This Row],[WorkLifeBalance]],Table20[WorkLifeBalance],Table20[Deskripsi])</f>
        <v>Better</v>
      </c>
      <c r="BA193">
        <v>7</v>
      </c>
      <c r="BB193">
        <v>7</v>
      </c>
      <c r="BC193">
        <v>0</v>
      </c>
      <c r="BD193">
        <v>3</v>
      </c>
    </row>
    <row r="194" spans="1:56" x14ac:dyDescent="0.25">
      <c r="A194">
        <v>35</v>
      </c>
      <c r="B194" t="str">
        <f>_xlfn.XLOOKUP(Table1[[#This Row],[Attrition]],Table2[Attrition],Table2[Id_Attrition])</f>
        <v>A001</v>
      </c>
      <c r="C194" t="s">
        <v>32</v>
      </c>
      <c r="D194" t="str">
        <f>_xlfn.XLOOKUP(Table1[[#This Row],[BusinessTravel]],Table5[BusinessTravel],Table5[Id_BusinessTravel])</f>
        <v>BS001</v>
      </c>
      <c r="E194" t="s">
        <v>34</v>
      </c>
      <c r="F194">
        <v>556</v>
      </c>
      <c r="G194" t="str">
        <f>_xlfn.XLOOKUP(Table1[[#This Row],[Department]],Table6[Department],Table6[Id_Departement])</f>
        <v>D002</v>
      </c>
      <c r="H194" t="s">
        <v>38</v>
      </c>
      <c r="I194">
        <v>23</v>
      </c>
      <c r="J194" t="str">
        <f>_xlfn.XLOOKUP(Table1[[#This Row],[Education]],Table8[Education],Table8[Id_Education])</f>
        <v>E002</v>
      </c>
      <c r="K194">
        <v>2</v>
      </c>
      <c r="L194" t="str">
        <f>_xlfn.XLOOKUP(Table1[[#This Row],[EducationField]],Table7[EducationField],Table7[Id_EducationField])</f>
        <v>EF001</v>
      </c>
      <c r="M194" t="s">
        <v>40</v>
      </c>
      <c r="N194" t="str">
        <f>_xlfn.XLOOKUP(Table1[[#This Row],[EmployeeNumber]],Table4[EmployeeNumber],Table4[Id_Employee])</f>
        <v>EMP00193</v>
      </c>
      <c r="O194">
        <v>261</v>
      </c>
      <c r="P194" t="str">
        <f>_xlfn.XLOOKUP(Table1[[#This Row],[EnvironmentSatisfaction]],Table9[EnvironmentSatisfaction],Table9[Id_EnviromentSatisfaction])</f>
        <v>ES002</v>
      </c>
      <c r="Q194">
        <v>2</v>
      </c>
      <c r="R194" t="str">
        <f>_xlfn.XLOOKUP(Table1[[#This Row],[EnvironmentSatisfaction]],Table9[EnvironmentSatisfaction],Table9[Deskripsi])</f>
        <v>Medium</v>
      </c>
      <c r="S194" t="str">
        <f>_xlfn.XLOOKUP(Table1[[#This Row],[Gender]],Table10[Gender],Table10[Id_Gender])</f>
        <v>G002</v>
      </c>
      <c r="T194" t="s">
        <v>46</v>
      </c>
      <c r="U194">
        <v>50</v>
      </c>
      <c r="V194" t="str">
        <f>_xlfn.XLOOKUP(Table1[[#This Row],[JobInvolvement]],Table11[JobInvolvement],Table11[Id_JobInvolvement])</f>
        <v>JI002</v>
      </c>
      <c r="W194">
        <v>2</v>
      </c>
      <c r="X194" t="str">
        <f>_xlfn.XLOOKUP(Table1[[#This Row],[JobLevel]],Table12[JobLevel],Table12[Id_JobLevel])</f>
        <v>JL002</v>
      </c>
      <c r="Y194">
        <v>2</v>
      </c>
      <c r="Z194" t="str">
        <f>_xlfn.XLOOKUP(Table1[[#This Row],[JobRole]],Table13[JobRole],Table13[Id_JobRole])</f>
        <v>JR004</v>
      </c>
      <c r="AA194" t="s">
        <v>50</v>
      </c>
      <c r="AB194" t="str">
        <f>_xlfn.XLOOKUP(Table1[[#This Row],[JobSatisfaction]],Table14[JobSatisfaction],Table14[Id_JobSatisfaction])</f>
        <v>JS003</v>
      </c>
      <c r="AC194">
        <v>3</v>
      </c>
      <c r="AD194" t="str">
        <f>_xlfn.XLOOKUP(Table1[[#This Row],[JobSatisfaction]],Table14[JobSatisfaction],Table14[Deskripsi])</f>
        <v>High</v>
      </c>
      <c r="AE194" t="str">
        <f>_xlfn.XLOOKUP(Table1[[#This Row],[MaritalStatus]],Table15[MaritalStatus],Table15[Id_MaritalStatus])</f>
        <v>MS002</v>
      </c>
      <c r="AF194" t="s">
        <v>56</v>
      </c>
      <c r="AG194">
        <v>5916</v>
      </c>
      <c r="AH194">
        <v>15497</v>
      </c>
      <c r="AI194">
        <v>3</v>
      </c>
      <c r="AJ194" t="str">
        <f>_xlfn.XLOOKUP(Table1[[#This Row],[OverTime]],Table16[OverTime],Table16[Id_OverTime])</f>
        <v>OT001</v>
      </c>
      <c r="AK194" t="s">
        <v>32</v>
      </c>
      <c r="AL194">
        <v>13</v>
      </c>
      <c r="AM194" t="str">
        <f>_xlfn.XLOOKUP(Table1[[#This Row],[PerformanceRating]],Table17[PerformanceRating],Table17[Id_PerformanceRating])</f>
        <v>PR003</v>
      </c>
      <c r="AN194">
        <v>3</v>
      </c>
      <c r="AO194" t="str">
        <f>_xlfn.XLOOKUP(Table1[[#This Row],[PerformanceRating]],Table17[PerformanceRating],Table17[Deskripsi])</f>
        <v>Excellent</v>
      </c>
      <c r="AP194" t="str">
        <f>_xlfn.XLOOKUP(Table1[[#This Row],[RelationshipSatisfaction]],Table18[RelationshipSatisfaction],Table18[Id_RelationshipSatisfaction])</f>
        <v>RS001</v>
      </c>
      <c r="AQ194">
        <v>1</v>
      </c>
      <c r="AR194" t="str">
        <f>_xlfn.XLOOKUP(Table1[[#This Row],[RelationshipSatisfaction]],Table18[RelationshipSatisfaction],Table18[Deskripsi])</f>
        <v>Low</v>
      </c>
      <c r="AS194" t="str">
        <f>_xlfn.XLOOKUP(Table1[[#This Row],[StockOptionLevel]],Table19[StockOptionLevel],Table19[Id_StockOptionLevel])</f>
        <v>SOL001</v>
      </c>
      <c r="AT194">
        <v>0</v>
      </c>
      <c r="AU194" t="str">
        <f>_xlfn.XLOOKUP(Table1[[#This Row],[StockOptionLevel]],Table19[StockOptionLevel],Table19[Deskripsi])</f>
        <v>Non-Eligible</v>
      </c>
      <c r="AV194">
        <v>8</v>
      </c>
      <c r="AW194">
        <v>1</v>
      </c>
      <c r="AX194" t="str">
        <f>_xlfn.XLOOKUP(Table1[[#This Row],[WorkLifeBalance]],Table20[WorkLifeBalance],Table20[Id_WorkLifeBalance])</f>
        <v>WLB002</v>
      </c>
      <c r="AY194">
        <v>3</v>
      </c>
      <c r="AZ194" t="str">
        <f>_xlfn.XLOOKUP(Table1[[#This Row],[WorkLifeBalance]],Table20[WorkLifeBalance],Table20[Deskripsi])</f>
        <v>Good</v>
      </c>
      <c r="BA194">
        <v>1</v>
      </c>
      <c r="BB194">
        <v>0</v>
      </c>
      <c r="BC194">
        <v>0</v>
      </c>
      <c r="BD194">
        <v>1</v>
      </c>
    </row>
    <row r="195" spans="1:56" x14ac:dyDescent="0.25">
      <c r="A195">
        <v>43</v>
      </c>
      <c r="B195" t="str">
        <f>_xlfn.XLOOKUP(Table1[[#This Row],[Attrition]],Table2[Attrition],Table2[Id_Attrition])</f>
        <v>A002</v>
      </c>
      <c r="C195" t="s">
        <v>33</v>
      </c>
      <c r="D195" t="str">
        <f>_xlfn.XLOOKUP(Table1[[#This Row],[BusinessTravel]],Table5[BusinessTravel],Table5[Id_BusinessTravel])</f>
        <v>BS003</v>
      </c>
      <c r="E195" t="s">
        <v>36</v>
      </c>
      <c r="F195">
        <v>1344</v>
      </c>
      <c r="G195" t="str">
        <f>_xlfn.XLOOKUP(Table1[[#This Row],[Department]],Table6[Department],Table6[Id_Departement])</f>
        <v>D002</v>
      </c>
      <c r="H195" t="s">
        <v>38</v>
      </c>
      <c r="I195">
        <v>7</v>
      </c>
      <c r="J195" t="str">
        <f>_xlfn.XLOOKUP(Table1[[#This Row],[Education]],Table8[Education],Table8[Id_Education])</f>
        <v>E003</v>
      </c>
      <c r="K195">
        <v>3</v>
      </c>
      <c r="L195" t="str">
        <f>_xlfn.XLOOKUP(Table1[[#This Row],[EducationField]],Table7[EducationField],Table7[Id_EducationField])</f>
        <v>EF003</v>
      </c>
      <c r="M195" t="s">
        <v>42</v>
      </c>
      <c r="N195" t="str">
        <f>_xlfn.XLOOKUP(Table1[[#This Row],[EmployeeNumber]],Table4[EmployeeNumber],Table4[Id_Employee])</f>
        <v>EMP00194</v>
      </c>
      <c r="O195">
        <v>262</v>
      </c>
      <c r="P195" t="str">
        <f>_xlfn.XLOOKUP(Table1[[#This Row],[EnvironmentSatisfaction]],Table9[EnvironmentSatisfaction],Table9[Id_EnviromentSatisfaction])</f>
        <v>ES004</v>
      </c>
      <c r="Q195">
        <v>4</v>
      </c>
      <c r="R195" t="str">
        <f>_xlfn.XLOOKUP(Table1[[#This Row],[EnvironmentSatisfaction]],Table9[EnvironmentSatisfaction],Table9[Deskripsi])</f>
        <v>Very High</v>
      </c>
      <c r="S195" t="str">
        <f>_xlfn.XLOOKUP(Table1[[#This Row],[Gender]],Table10[Gender],Table10[Id_Gender])</f>
        <v>G002</v>
      </c>
      <c r="T195" t="s">
        <v>46</v>
      </c>
      <c r="U195">
        <v>37</v>
      </c>
      <c r="V195" t="str">
        <f>_xlfn.XLOOKUP(Table1[[#This Row],[JobInvolvement]],Table11[JobInvolvement],Table11[Id_JobInvolvement])</f>
        <v>JI004</v>
      </c>
      <c r="W195">
        <v>4</v>
      </c>
      <c r="X195" t="str">
        <f>_xlfn.XLOOKUP(Table1[[#This Row],[JobLevel]],Table12[JobLevel],Table12[Id_JobLevel])</f>
        <v>JL001</v>
      </c>
      <c r="Y195">
        <v>1</v>
      </c>
      <c r="Z195" t="str">
        <f>_xlfn.XLOOKUP(Table1[[#This Row],[JobRole]],Table13[JobRole],Table13[Id_JobRole])</f>
        <v>JR002</v>
      </c>
      <c r="AA195" t="s">
        <v>48</v>
      </c>
      <c r="AB195" t="str">
        <f>_xlfn.XLOOKUP(Table1[[#This Row],[JobSatisfaction]],Table14[JobSatisfaction],Table14[Id_JobSatisfaction])</f>
        <v>JS004</v>
      </c>
      <c r="AC195">
        <v>4</v>
      </c>
      <c r="AD195" t="str">
        <f>_xlfn.XLOOKUP(Table1[[#This Row],[JobSatisfaction]],Table14[JobSatisfaction],Table14[Deskripsi])</f>
        <v>Very High</v>
      </c>
      <c r="AE195" t="str">
        <f>_xlfn.XLOOKUP(Table1[[#This Row],[MaritalStatus]],Table15[MaritalStatus],Table15[Id_MaritalStatus])</f>
        <v>MS003</v>
      </c>
      <c r="AF195" t="s">
        <v>57</v>
      </c>
      <c r="AG195">
        <v>2089</v>
      </c>
      <c r="AH195">
        <v>5228</v>
      </c>
      <c r="AI195">
        <v>4</v>
      </c>
      <c r="AJ195" t="str">
        <f>_xlfn.XLOOKUP(Table1[[#This Row],[OverTime]],Table16[OverTime],Table16[Id_OverTime])</f>
        <v>OT002</v>
      </c>
      <c r="AK195" t="s">
        <v>33</v>
      </c>
      <c r="AL195">
        <v>14</v>
      </c>
      <c r="AM195" t="str">
        <f>_xlfn.XLOOKUP(Table1[[#This Row],[PerformanceRating]],Table17[PerformanceRating],Table17[Id_PerformanceRating])</f>
        <v>PR003</v>
      </c>
      <c r="AN195">
        <v>3</v>
      </c>
      <c r="AO195" t="str">
        <f>_xlfn.XLOOKUP(Table1[[#This Row],[PerformanceRating]],Table17[PerformanceRating],Table17[Deskripsi])</f>
        <v>Excellent</v>
      </c>
      <c r="AP195" t="str">
        <f>_xlfn.XLOOKUP(Table1[[#This Row],[RelationshipSatisfaction]],Table18[RelationshipSatisfaction],Table18[Id_RelationshipSatisfaction])</f>
        <v>RS004</v>
      </c>
      <c r="AQ195">
        <v>4</v>
      </c>
      <c r="AR195" t="str">
        <f>_xlfn.XLOOKUP(Table1[[#This Row],[RelationshipSatisfaction]],Table18[RelationshipSatisfaction],Table18[Deskripsi])</f>
        <v>Very High</v>
      </c>
      <c r="AS195" t="str">
        <f>_xlfn.XLOOKUP(Table1[[#This Row],[StockOptionLevel]],Table19[StockOptionLevel],Table19[Id_StockOptionLevel])</f>
        <v>SOL004</v>
      </c>
      <c r="AT195">
        <v>3</v>
      </c>
      <c r="AU195" t="str">
        <f>_xlfn.XLOOKUP(Table1[[#This Row],[StockOptionLevel]],Table19[StockOptionLevel],Table19[Deskripsi])</f>
        <v>Senior/Executive</v>
      </c>
      <c r="AV195">
        <v>7</v>
      </c>
      <c r="AW195">
        <v>3</v>
      </c>
      <c r="AX195" t="str">
        <f>_xlfn.XLOOKUP(Table1[[#This Row],[WorkLifeBalance]],Table20[WorkLifeBalance],Table20[Id_WorkLifeBalance])</f>
        <v>WLB004</v>
      </c>
      <c r="AY195">
        <v>4</v>
      </c>
      <c r="AZ195" t="str">
        <f>_xlfn.XLOOKUP(Table1[[#This Row],[WorkLifeBalance]],Table20[WorkLifeBalance],Table20[Deskripsi])</f>
        <v>Best</v>
      </c>
      <c r="BA195">
        <v>5</v>
      </c>
      <c r="BB195">
        <v>4</v>
      </c>
      <c r="BC195">
        <v>2</v>
      </c>
      <c r="BD195">
        <v>2</v>
      </c>
    </row>
    <row r="196" spans="1:56" x14ac:dyDescent="0.25">
      <c r="A196">
        <v>45</v>
      </c>
      <c r="B196" t="str">
        <f>_xlfn.XLOOKUP(Table1[[#This Row],[Attrition]],Table2[Attrition],Table2[Id_Attrition])</f>
        <v>A002</v>
      </c>
      <c r="C196" t="s">
        <v>33</v>
      </c>
      <c r="D196" t="str">
        <f>_xlfn.XLOOKUP(Table1[[#This Row],[BusinessTravel]],Table5[BusinessTravel],Table5[Id_BusinessTravel])</f>
        <v>BS003</v>
      </c>
      <c r="E196" t="s">
        <v>36</v>
      </c>
      <c r="F196">
        <v>1195</v>
      </c>
      <c r="G196" t="str">
        <f>_xlfn.XLOOKUP(Table1[[#This Row],[Department]],Table6[Department],Table6[Id_Departement])</f>
        <v>D002</v>
      </c>
      <c r="H196" t="s">
        <v>38</v>
      </c>
      <c r="I196">
        <v>2</v>
      </c>
      <c r="J196" t="str">
        <f>_xlfn.XLOOKUP(Table1[[#This Row],[Education]],Table8[Education],Table8[Id_Education])</f>
        <v>E002</v>
      </c>
      <c r="K196">
        <v>2</v>
      </c>
      <c r="L196" t="str">
        <f>_xlfn.XLOOKUP(Table1[[#This Row],[EducationField]],Table7[EducationField],Table7[Id_EducationField])</f>
        <v>EF003</v>
      </c>
      <c r="M196" t="s">
        <v>42</v>
      </c>
      <c r="N196" t="str">
        <f>_xlfn.XLOOKUP(Table1[[#This Row],[EmployeeNumber]],Table4[EmployeeNumber],Table4[Id_Employee])</f>
        <v>EMP00195</v>
      </c>
      <c r="O196">
        <v>264</v>
      </c>
      <c r="P196" t="str">
        <f>_xlfn.XLOOKUP(Table1[[#This Row],[EnvironmentSatisfaction]],Table9[EnvironmentSatisfaction],Table9[Id_EnviromentSatisfaction])</f>
        <v>ES001</v>
      </c>
      <c r="Q196">
        <v>1</v>
      </c>
      <c r="R196" t="str">
        <f>_xlfn.XLOOKUP(Table1[[#This Row],[EnvironmentSatisfaction]],Table9[EnvironmentSatisfaction],Table9[Deskripsi])</f>
        <v>Low</v>
      </c>
      <c r="S196" t="str">
        <f>_xlfn.XLOOKUP(Table1[[#This Row],[Gender]],Table10[Gender],Table10[Id_Gender])</f>
        <v>G002</v>
      </c>
      <c r="T196" t="s">
        <v>46</v>
      </c>
      <c r="U196">
        <v>65</v>
      </c>
      <c r="V196" t="str">
        <f>_xlfn.XLOOKUP(Table1[[#This Row],[JobInvolvement]],Table11[JobInvolvement],Table11[Id_JobInvolvement])</f>
        <v>JI002</v>
      </c>
      <c r="W196">
        <v>2</v>
      </c>
      <c r="X196" t="str">
        <f>_xlfn.XLOOKUP(Table1[[#This Row],[JobLevel]],Table12[JobLevel],Table12[Id_JobLevel])</f>
        <v>JL004</v>
      </c>
      <c r="Y196">
        <v>4</v>
      </c>
      <c r="Z196" t="str">
        <f>_xlfn.XLOOKUP(Table1[[#This Row],[JobRole]],Table13[JobRole],Table13[Id_JobRole])</f>
        <v>JR006</v>
      </c>
      <c r="AA196" t="s">
        <v>52</v>
      </c>
      <c r="AB196" t="str">
        <f>_xlfn.XLOOKUP(Table1[[#This Row],[JobSatisfaction]],Table14[JobSatisfaction],Table14[Id_JobSatisfaction])</f>
        <v>JS004</v>
      </c>
      <c r="AC196">
        <v>4</v>
      </c>
      <c r="AD196" t="str">
        <f>_xlfn.XLOOKUP(Table1[[#This Row],[JobSatisfaction]],Table14[JobSatisfaction],Table14[Deskripsi])</f>
        <v>Very High</v>
      </c>
      <c r="AE196" t="str">
        <f>_xlfn.XLOOKUP(Table1[[#This Row],[MaritalStatus]],Table15[MaritalStatus],Table15[Id_MaritalStatus])</f>
        <v>MS002</v>
      </c>
      <c r="AF196" t="s">
        <v>56</v>
      </c>
      <c r="AG196">
        <v>16792</v>
      </c>
      <c r="AH196">
        <v>20462</v>
      </c>
      <c r="AI196">
        <v>9</v>
      </c>
      <c r="AJ196" t="str">
        <f>_xlfn.XLOOKUP(Table1[[#This Row],[OverTime]],Table16[OverTime],Table16[Id_OverTime])</f>
        <v>OT002</v>
      </c>
      <c r="AK196" t="s">
        <v>33</v>
      </c>
      <c r="AL196">
        <v>23</v>
      </c>
      <c r="AM196" t="str">
        <f>_xlfn.XLOOKUP(Table1[[#This Row],[PerformanceRating]],Table17[PerformanceRating],Table17[Id_PerformanceRating])</f>
        <v>PR004</v>
      </c>
      <c r="AN196">
        <v>4</v>
      </c>
      <c r="AO196" t="str">
        <f>_xlfn.XLOOKUP(Table1[[#This Row],[PerformanceRating]],Table17[PerformanceRating],Table17[Deskripsi])</f>
        <v>Outstanding</v>
      </c>
      <c r="AP196" t="str">
        <f>_xlfn.XLOOKUP(Table1[[#This Row],[RelationshipSatisfaction]],Table18[RelationshipSatisfaction],Table18[Id_RelationshipSatisfaction])</f>
        <v>RS004</v>
      </c>
      <c r="AQ196">
        <v>4</v>
      </c>
      <c r="AR196" t="str">
        <f>_xlfn.XLOOKUP(Table1[[#This Row],[RelationshipSatisfaction]],Table18[RelationshipSatisfaction],Table18[Deskripsi])</f>
        <v>Very High</v>
      </c>
      <c r="AS196" t="str">
        <f>_xlfn.XLOOKUP(Table1[[#This Row],[StockOptionLevel]],Table19[StockOptionLevel],Table19[Id_StockOptionLevel])</f>
        <v>SOL002</v>
      </c>
      <c r="AT196">
        <v>1</v>
      </c>
      <c r="AU196" t="str">
        <f>_xlfn.XLOOKUP(Table1[[#This Row],[StockOptionLevel]],Table19[StockOptionLevel],Table19[Deskripsi])</f>
        <v>Standard</v>
      </c>
      <c r="AV196">
        <v>22</v>
      </c>
      <c r="AW196">
        <v>1</v>
      </c>
      <c r="AX196" t="str">
        <f>_xlfn.XLOOKUP(Table1[[#This Row],[WorkLifeBalance]],Table20[WorkLifeBalance],Table20[Id_WorkLifeBalance])</f>
        <v>WLB002</v>
      </c>
      <c r="AY196">
        <v>3</v>
      </c>
      <c r="AZ196" t="str">
        <f>_xlfn.XLOOKUP(Table1[[#This Row],[WorkLifeBalance]],Table20[WorkLifeBalance],Table20[Deskripsi])</f>
        <v>Good</v>
      </c>
      <c r="BA196">
        <v>20</v>
      </c>
      <c r="BB196">
        <v>8</v>
      </c>
      <c r="BC196">
        <v>11</v>
      </c>
      <c r="BD196">
        <v>8</v>
      </c>
    </row>
    <row r="197" spans="1:56" x14ac:dyDescent="0.25">
      <c r="A197">
        <v>37</v>
      </c>
      <c r="B197" t="str">
        <f>_xlfn.XLOOKUP(Table1[[#This Row],[Attrition]],Table2[Attrition],Table2[Id_Attrition])</f>
        <v>A002</v>
      </c>
      <c r="C197" t="s">
        <v>33</v>
      </c>
      <c r="D197" t="str">
        <f>_xlfn.XLOOKUP(Table1[[#This Row],[BusinessTravel]],Table5[BusinessTravel],Table5[Id_BusinessTravel])</f>
        <v>BS001</v>
      </c>
      <c r="E197" t="s">
        <v>34</v>
      </c>
      <c r="F197">
        <v>290</v>
      </c>
      <c r="G197" t="str">
        <f>_xlfn.XLOOKUP(Table1[[#This Row],[Department]],Table6[Department],Table6[Id_Departement])</f>
        <v>D002</v>
      </c>
      <c r="H197" t="s">
        <v>38</v>
      </c>
      <c r="I197">
        <v>21</v>
      </c>
      <c r="J197" t="str">
        <f>_xlfn.XLOOKUP(Table1[[#This Row],[Education]],Table8[Education],Table8[Id_Education])</f>
        <v>E003</v>
      </c>
      <c r="K197">
        <v>3</v>
      </c>
      <c r="L197" t="str">
        <f>_xlfn.XLOOKUP(Table1[[#This Row],[EducationField]],Table7[EducationField],Table7[Id_EducationField])</f>
        <v>EF001</v>
      </c>
      <c r="M197" t="s">
        <v>40</v>
      </c>
      <c r="N197" t="str">
        <f>_xlfn.XLOOKUP(Table1[[#This Row],[EmployeeNumber]],Table4[EmployeeNumber],Table4[Id_Employee])</f>
        <v>EMP00196</v>
      </c>
      <c r="O197">
        <v>267</v>
      </c>
      <c r="P197" t="str">
        <f>_xlfn.XLOOKUP(Table1[[#This Row],[EnvironmentSatisfaction]],Table9[EnvironmentSatisfaction],Table9[Id_EnviromentSatisfaction])</f>
        <v>ES002</v>
      </c>
      <c r="Q197">
        <v>2</v>
      </c>
      <c r="R197" t="str">
        <f>_xlfn.XLOOKUP(Table1[[#This Row],[EnvironmentSatisfaction]],Table9[EnvironmentSatisfaction],Table9[Deskripsi])</f>
        <v>Medium</v>
      </c>
      <c r="S197" t="str">
        <f>_xlfn.XLOOKUP(Table1[[#This Row],[Gender]],Table10[Gender],Table10[Id_Gender])</f>
        <v>G002</v>
      </c>
      <c r="T197" t="s">
        <v>46</v>
      </c>
      <c r="U197">
        <v>65</v>
      </c>
      <c r="V197" t="str">
        <f>_xlfn.XLOOKUP(Table1[[#This Row],[JobInvolvement]],Table11[JobInvolvement],Table11[Id_JobInvolvement])</f>
        <v>JI004</v>
      </c>
      <c r="W197">
        <v>4</v>
      </c>
      <c r="X197" t="str">
        <f>_xlfn.XLOOKUP(Table1[[#This Row],[JobLevel]],Table12[JobLevel],Table12[Id_JobLevel])</f>
        <v>JL001</v>
      </c>
      <c r="Y197">
        <v>1</v>
      </c>
      <c r="Z197" t="str">
        <f>_xlfn.XLOOKUP(Table1[[#This Row],[JobRole]],Table13[JobRole],Table13[Id_JobRole])</f>
        <v>JR002</v>
      </c>
      <c r="AA197" t="s">
        <v>48</v>
      </c>
      <c r="AB197" t="str">
        <f>_xlfn.XLOOKUP(Table1[[#This Row],[JobSatisfaction]],Table14[JobSatisfaction],Table14[Id_JobSatisfaction])</f>
        <v>JS001</v>
      </c>
      <c r="AC197">
        <v>1</v>
      </c>
      <c r="AD197" t="str">
        <f>_xlfn.XLOOKUP(Table1[[#This Row],[JobSatisfaction]],Table14[JobSatisfaction],Table14[Deskripsi])</f>
        <v>Low</v>
      </c>
      <c r="AE197" t="str">
        <f>_xlfn.XLOOKUP(Table1[[#This Row],[MaritalStatus]],Table15[MaritalStatus],Table15[Id_MaritalStatus])</f>
        <v>MS002</v>
      </c>
      <c r="AF197" t="s">
        <v>56</v>
      </c>
      <c r="AG197">
        <v>3564</v>
      </c>
      <c r="AH197">
        <v>22977</v>
      </c>
      <c r="AI197">
        <v>1</v>
      </c>
      <c r="AJ197" t="str">
        <f>_xlfn.XLOOKUP(Table1[[#This Row],[OverTime]],Table16[OverTime],Table16[Id_OverTime])</f>
        <v>OT001</v>
      </c>
      <c r="AK197" t="s">
        <v>32</v>
      </c>
      <c r="AL197">
        <v>12</v>
      </c>
      <c r="AM197" t="str">
        <f>_xlfn.XLOOKUP(Table1[[#This Row],[PerformanceRating]],Table17[PerformanceRating],Table17[Id_PerformanceRating])</f>
        <v>PR003</v>
      </c>
      <c r="AN197">
        <v>3</v>
      </c>
      <c r="AO197" t="str">
        <f>_xlfn.XLOOKUP(Table1[[#This Row],[PerformanceRating]],Table17[PerformanceRating],Table17[Deskripsi])</f>
        <v>Excellent</v>
      </c>
      <c r="AP197" t="str">
        <f>_xlfn.XLOOKUP(Table1[[#This Row],[RelationshipSatisfaction]],Table18[RelationshipSatisfaction],Table18[Id_RelationshipSatisfaction])</f>
        <v>RS001</v>
      </c>
      <c r="AQ197">
        <v>1</v>
      </c>
      <c r="AR197" t="str">
        <f>_xlfn.XLOOKUP(Table1[[#This Row],[RelationshipSatisfaction]],Table18[RelationshipSatisfaction],Table18[Deskripsi])</f>
        <v>Low</v>
      </c>
      <c r="AS197" t="str">
        <f>_xlfn.XLOOKUP(Table1[[#This Row],[StockOptionLevel]],Table19[StockOptionLevel],Table19[Id_StockOptionLevel])</f>
        <v>SOL002</v>
      </c>
      <c r="AT197">
        <v>1</v>
      </c>
      <c r="AU197" t="str">
        <f>_xlfn.XLOOKUP(Table1[[#This Row],[StockOptionLevel]],Table19[StockOptionLevel],Table19[Deskripsi])</f>
        <v>Standard</v>
      </c>
      <c r="AV197">
        <v>8</v>
      </c>
      <c r="AW197">
        <v>3</v>
      </c>
      <c r="AX197" t="str">
        <f>_xlfn.XLOOKUP(Table1[[#This Row],[WorkLifeBalance]],Table20[WorkLifeBalance],Table20[Id_WorkLifeBalance])</f>
        <v>WLB003</v>
      </c>
      <c r="AY197">
        <v>2</v>
      </c>
      <c r="AZ197" t="str">
        <f>_xlfn.XLOOKUP(Table1[[#This Row],[WorkLifeBalance]],Table20[WorkLifeBalance],Table20[Deskripsi])</f>
        <v>Better</v>
      </c>
      <c r="BA197">
        <v>8</v>
      </c>
      <c r="BB197">
        <v>7</v>
      </c>
      <c r="BC197">
        <v>1</v>
      </c>
      <c r="BD197">
        <v>7</v>
      </c>
    </row>
    <row r="198" spans="1:56" x14ac:dyDescent="0.25">
      <c r="A198">
        <v>35</v>
      </c>
      <c r="B198" t="str">
        <f>_xlfn.XLOOKUP(Table1[[#This Row],[Attrition]],Table2[Attrition],Table2[Id_Attrition])</f>
        <v>A002</v>
      </c>
      <c r="C198" t="s">
        <v>33</v>
      </c>
      <c r="D198" t="str">
        <f>_xlfn.XLOOKUP(Table1[[#This Row],[BusinessTravel]],Table5[BusinessTravel],Table5[Id_BusinessTravel])</f>
        <v>BS002</v>
      </c>
      <c r="E198" t="s">
        <v>35</v>
      </c>
      <c r="F198">
        <v>138</v>
      </c>
      <c r="G198" t="str">
        <f>_xlfn.XLOOKUP(Table1[[#This Row],[Department]],Table6[Department],Table6[Id_Departement])</f>
        <v>D002</v>
      </c>
      <c r="H198" t="s">
        <v>38</v>
      </c>
      <c r="I198">
        <v>2</v>
      </c>
      <c r="J198" t="str">
        <f>_xlfn.XLOOKUP(Table1[[#This Row],[Education]],Table8[Education],Table8[Id_Education])</f>
        <v>E003</v>
      </c>
      <c r="K198">
        <v>3</v>
      </c>
      <c r="L198" t="str">
        <f>_xlfn.XLOOKUP(Table1[[#This Row],[EducationField]],Table7[EducationField],Table7[Id_EducationField])</f>
        <v>EF003</v>
      </c>
      <c r="M198" t="s">
        <v>42</v>
      </c>
      <c r="N198" t="str">
        <f>_xlfn.XLOOKUP(Table1[[#This Row],[EmployeeNumber]],Table4[EmployeeNumber],Table4[Id_Employee])</f>
        <v>EMP00197</v>
      </c>
      <c r="O198">
        <v>269</v>
      </c>
      <c r="P198" t="str">
        <f>_xlfn.XLOOKUP(Table1[[#This Row],[EnvironmentSatisfaction]],Table9[EnvironmentSatisfaction],Table9[Id_EnviromentSatisfaction])</f>
        <v>ES002</v>
      </c>
      <c r="Q198">
        <v>2</v>
      </c>
      <c r="R198" t="str">
        <f>_xlfn.XLOOKUP(Table1[[#This Row],[EnvironmentSatisfaction]],Table9[EnvironmentSatisfaction],Table9[Deskripsi])</f>
        <v>Medium</v>
      </c>
      <c r="S198" t="str">
        <f>_xlfn.XLOOKUP(Table1[[#This Row],[Gender]],Table10[Gender],Table10[Id_Gender])</f>
        <v>G001</v>
      </c>
      <c r="T198" t="s">
        <v>45</v>
      </c>
      <c r="U198">
        <v>37</v>
      </c>
      <c r="V198" t="str">
        <f>_xlfn.XLOOKUP(Table1[[#This Row],[JobInvolvement]],Table11[JobInvolvement],Table11[Id_JobInvolvement])</f>
        <v>JI003</v>
      </c>
      <c r="W198">
        <v>3</v>
      </c>
      <c r="X198" t="str">
        <f>_xlfn.XLOOKUP(Table1[[#This Row],[JobLevel]],Table12[JobLevel],Table12[Id_JobLevel])</f>
        <v>JL002</v>
      </c>
      <c r="Y198">
        <v>2</v>
      </c>
      <c r="Z198" t="str">
        <f>_xlfn.XLOOKUP(Table1[[#This Row],[JobRole]],Table13[JobRole],Table13[Id_JobRole])</f>
        <v>JR003</v>
      </c>
      <c r="AA198" t="s">
        <v>49</v>
      </c>
      <c r="AB198" t="str">
        <f>_xlfn.XLOOKUP(Table1[[#This Row],[JobSatisfaction]],Table14[JobSatisfaction],Table14[Id_JobSatisfaction])</f>
        <v>JS002</v>
      </c>
      <c r="AC198">
        <v>2</v>
      </c>
      <c r="AD198" t="str">
        <f>_xlfn.XLOOKUP(Table1[[#This Row],[JobSatisfaction]],Table14[JobSatisfaction],Table14[Deskripsi])</f>
        <v>Medium</v>
      </c>
      <c r="AE198" t="str">
        <f>_xlfn.XLOOKUP(Table1[[#This Row],[MaritalStatus]],Table15[MaritalStatus],Table15[Id_MaritalStatus])</f>
        <v>MS001</v>
      </c>
      <c r="AF198" t="s">
        <v>55</v>
      </c>
      <c r="AG198">
        <v>4425</v>
      </c>
      <c r="AH198">
        <v>15986</v>
      </c>
      <c r="AI198">
        <v>5</v>
      </c>
      <c r="AJ198" t="str">
        <f>_xlfn.XLOOKUP(Table1[[#This Row],[OverTime]],Table16[OverTime],Table16[Id_OverTime])</f>
        <v>OT002</v>
      </c>
      <c r="AK198" t="s">
        <v>33</v>
      </c>
      <c r="AL198">
        <v>11</v>
      </c>
      <c r="AM198" t="str">
        <f>_xlfn.XLOOKUP(Table1[[#This Row],[PerformanceRating]],Table17[PerformanceRating],Table17[Id_PerformanceRating])</f>
        <v>PR003</v>
      </c>
      <c r="AN198">
        <v>3</v>
      </c>
      <c r="AO198" t="str">
        <f>_xlfn.XLOOKUP(Table1[[#This Row],[PerformanceRating]],Table17[PerformanceRating],Table17[Deskripsi])</f>
        <v>Excellent</v>
      </c>
      <c r="AP198" t="str">
        <f>_xlfn.XLOOKUP(Table1[[#This Row],[RelationshipSatisfaction]],Table18[RelationshipSatisfaction],Table18[Id_RelationshipSatisfaction])</f>
        <v>RS004</v>
      </c>
      <c r="AQ198">
        <v>4</v>
      </c>
      <c r="AR198" t="str">
        <f>_xlfn.XLOOKUP(Table1[[#This Row],[RelationshipSatisfaction]],Table18[RelationshipSatisfaction],Table18[Deskripsi])</f>
        <v>Very High</v>
      </c>
      <c r="AS198" t="str">
        <f>_xlfn.XLOOKUP(Table1[[#This Row],[StockOptionLevel]],Table19[StockOptionLevel],Table19[Id_StockOptionLevel])</f>
        <v>SOL001</v>
      </c>
      <c r="AT198">
        <v>0</v>
      </c>
      <c r="AU198" t="str">
        <f>_xlfn.XLOOKUP(Table1[[#This Row],[StockOptionLevel]],Table19[StockOptionLevel],Table19[Deskripsi])</f>
        <v>Non-Eligible</v>
      </c>
      <c r="AV198">
        <v>10</v>
      </c>
      <c r="AW198">
        <v>5</v>
      </c>
      <c r="AX198" t="str">
        <f>_xlfn.XLOOKUP(Table1[[#This Row],[WorkLifeBalance]],Table20[WorkLifeBalance],Table20[Id_WorkLifeBalance])</f>
        <v>WLB002</v>
      </c>
      <c r="AY198">
        <v>3</v>
      </c>
      <c r="AZ198" t="str">
        <f>_xlfn.XLOOKUP(Table1[[#This Row],[WorkLifeBalance]],Table20[WorkLifeBalance],Table20[Deskripsi])</f>
        <v>Good</v>
      </c>
      <c r="BA198">
        <v>6</v>
      </c>
      <c r="BB198">
        <v>2</v>
      </c>
      <c r="BC198">
        <v>1</v>
      </c>
      <c r="BD198">
        <v>2</v>
      </c>
    </row>
    <row r="199" spans="1:56" x14ac:dyDescent="0.25">
      <c r="A199">
        <v>42</v>
      </c>
      <c r="B199" t="str">
        <f>_xlfn.XLOOKUP(Table1[[#This Row],[Attrition]],Table2[Attrition],Table2[Id_Attrition])</f>
        <v>A002</v>
      </c>
      <c r="C199" t="s">
        <v>33</v>
      </c>
      <c r="D199" t="str">
        <f>_xlfn.XLOOKUP(Table1[[#This Row],[BusinessTravel]],Table5[BusinessTravel],Table5[Id_BusinessTravel])</f>
        <v>BS003</v>
      </c>
      <c r="E199" t="s">
        <v>36</v>
      </c>
      <c r="F199">
        <v>926</v>
      </c>
      <c r="G199" t="str">
        <f>_xlfn.XLOOKUP(Table1[[#This Row],[Department]],Table6[Department],Table6[Id_Departement])</f>
        <v>D002</v>
      </c>
      <c r="H199" t="s">
        <v>38</v>
      </c>
      <c r="I199">
        <v>21</v>
      </c>
      <c r="J199" t="str">
        <f>_xlfn.XLOOKUP(Table1[[#This Row],[Education]],Table8[Education],Table8[Id_Education])</f>
        <v>E002</v>
      </c>
      <c r="K199">
        <v>2</v>
      </c>
      <c r="L199" t="str">
        <f>_xlfn.XLOOKUP(Table1[[#This Row],[EducationField]],Table7[EducationField],Table7[Id_EducationField])</f>
        <v>EF003</v>
      </c>
      <c r="M199" t="s">
        <v>42</v>
      </c>
      <c r="N199" t="str">
        <f>_xlfn.XLOOKUP(Table1[[#This Row],[EmployeeNumber]],Table4[EmployeeNumber],Table4[Id_Employee])</f>
        <v>EMP00198</v>
      </c>
      <c r="O199">
        <v>270</v>
      </c>
      <c r="P199" t="str">
        <f>_xlfn.XLOOKUP(Table1[[#This Row],[EnvironmentSatisfaction]],Table9[EnvironmentSatisfaction],Table9[Id_EnviromentSatisfaction])</f>
        <v>ES003</v>
      </c>
      <c r="Q199">
        <v>3</v>
      </c>
      <c r="R199" t="str">
        <f>_xlfn.XLOOKUP(Table1[[#This Row],[EnvironmentSatisfaction]],Table9[EnvironmentSatisfaction],Table9[Deskripsi])</f>
        <v>High</v>
      </c>
      <c r="S199" t="str">
        <f>_xlfn.XLOOKUP(Table1[[#This Row],[Gender]],Table10[Gender],Table10[Id_Gender])</f>
        <v>G001</v>
      </c>
      <c r="T199" t="s">
        <v>45</v>
      </c>
      <c r="U199">
        <v>36</v>
      </c>
      <c r="V199" t="str">
        <f>_xlfn.XLOOKUP(Table1[[#This Row],[JobInvolvement]],Table11[JobInvolvement],Table11[Id_JobInvolvement])</f>
        <v>JI003</v>
      </c>
      <c r="W199">
        <v>3</v>
      </c>
      <c r="X199" t="str">
        <f>_xlfn.XLOOKUP(Table1[[#This Row],[JobLevel]],Table12[JobLevel],Table12[Id_JobLevel])</f>
        <v>JL002</v>
      </c>
      <c r="Y199">
        <v>2</v>
      </c>
      <c r="Z199" t="str">
        <f>_xlfn.XLOOKUP(Table1[[#This Row],[JobRole]],Table13[JobRole],Table13[Id_JobRole])</f>
        <v>JR004</v>
      </c>
      <c r="AA199" t="s">
        <v>50</v>
      </c>
      <c r="AB199" t="str">
        <f>_xlfn.XLOOKUP(Table1[[#This Row],[JobSatisfaction]],Table14[JobSatisfaction],Table14[Id_JobSatisfaction])</f>
        <v>JS003</v>
      </c>
      <c r="AC199">
        <v>3</v>
      </c>
      <c r="AD199" t="str">
        <f>_xlfn.XLOOKUP(Table1[[#This Row],[JobSatisfaction]],Table14[JobSatisfaction],Table14[Deskripsi])</f>
        <v>High</v>
      </c>
      <c r="AE199" t="str">
        <f>_xlfn.XLOOKUP(Table1[[#This Row],[MaritalStatus]],Table15[MaritalStatus],Table15[Id_MaritalStatus])</f>
        <v>MS003</v>
      </c>
      <c r="AF199" t="s">
        <v>57</v>
      </c>
      <c r="AG199">
        <v>5265</v>
      </c>
      <c r="AH199">
        <v>16439</v>
      </c>
      <c r="AI199">
        <v>2</v>
      </c>
      <c r="AJ199" t="str">
        <f>_xlfn.XLOOKUP(Table1[[#This Row],[OverTime]],Table16[OverTime],Table16[Id_OverTime])</f>
        <v>OT002</v>
      </c>
      <c r="AK199" t="s">
        <v>33</v>
      </c>
      <c r="AL199">
        <v>16</v>
      </c>
      <c r="AM199" t="str">
        <f>_xlfn.XLOOKUP(Table1[[#This Row],[PerformanceRating]],Table17[PerformanceRating],Table17[Id_PerformanceRating])</f>
        <v>PR003</v>
      </c>
      <c r="AN199">
        <v>3</v>
      </c>
      <c r="AO199" t="str">
        <f>_xlfn.XLOOKUP(Table1[[#This Row],[PerformanceRating]],Table17[PerformanceRating],Table17[Deskripsi])</f>
        <v>Excellent</v>
      </c>
      <c r="AP199" t="str">
        <f>_xlfn.XLOOKUP(Table1[[#This Row],[RelationshipSatisfaction]],Table18[RelationshipSatisfaction],Table18[Id_RelationshipSatisfaction])</f>
        <v>RS002</v>
      </c>
      <c r="AQ199">
        <v>2</v>
      </c>
      <c r="AR199" t="str">
        <f>_xlfn.XLOOKUP(Table1[[#This Row],[RelationshipSatisfaction]],Table18[RelationshipSatisfaction],Table18[Deskripsi])</f>
        <v>Medium</v>
      </c>
      <c r="AS199" t="str">
        <f>_xlfn.XLOOKUP(Table1[[#This Row],[StockOptionLevel]],Table19[StockOptionLevel],Table19[Id_StockOptionLevel])</f>
        <v>SOL002</v>
      </c>
      <c r="AT199">
        <v>1</v>
      </c>
      <c r="AU199" t="str">
        <f>_xlfn.XLOOKUP(Table1[[#This Row],[StockOptionLevel]],Table19[StockOptionLevel],Table19[Deskripsi])</f>
        <v>Standard</v>
      </c>
      <c r="AV199">
        <v>11</v>
      </c>
      <c r="AW199">
        <v>5</v>
      </c>
      <c r="AX199" t="str">
        <f>_xlfn.XLOOKUP(Table1[[#This Row],[WorkLifeBalance]],Table20[WorkLifeBalance],Table20[Id_WorkLifeBalance])</f>
        <v>WLB002</v>
      </c>
      <c r="AY199">
        <v>3</v>
      </c>
      <c r="AZ199" t="str">
        <f>_xlfn.XLOOKUP(Table1[[#This Row],[WorkLifeBalance]],Table20[WorkLifeBalance],Table20[Deskripsi])</f>
        <v>Good</v>
      </c>
      <c r="BA199">
        <v>5</v>
      </c>
      <c r="BB199">
        <v>3</v>
      </c>
      <c r="BC199">
        <v>0</v>
      </c>
      <c r="BD199">
        <v>2</v>
      </c>
    </row>
    <row r="200" spans="1:56" x14ac:dyDescent="0.25">
      <c r="A200">
        <v>38</v>
      </c>
      <c r="B200" t="str">
        <f>_xlfn.XLOOKUP(Table1[[#This Row],[Attrition]],Table2[Attrition],Table2[Id_Attrition])</f>
        <v>A002</v>
      </c>
      <c r="C200" t="s">
        <v>33</v>
      </c>
      <c r="D200" t="str">
        <f>_xlfn.XLOOKUP(Table1[[#This Row],[BusinessTravel]],Table5[BusinessTravel],Table5[Id_BusinessTravel])</f>
        <v>BS001</v>
      </c>
      <c r="E200" t="s">
        <v>34</v>
      </c>
      <c r="F200">
        <v>1261</v>
      </c>
      <c r="G200" t="str">
        <f>_xlfn.XLOOKUP(Table1[[#This Row],[Department]],Table6[Department],Table6[Id_Departement])</f>
        <v>D002</v>
      </c>
      <c r="H200" t="s">
        <v>38</v>
      </c>
      <c r="I200">
        <v>2</v>
      </c>
      <c r="J200" t="str">
        <f>_xlfn.XLOOKUP(Table1[[#This Row],[Education]],Table8[Education],Table8[Id_Education])</f>
        <v>E004</v>
      </c>
      <c r="K200">
        <v>4</v>
      </c>
      <c r="L200" t="str">
        <f>_xlfn.XLOOKUP(Table1[[#This Row],[EducationField]],Table7[EducationField],Table7[Id_EducationField])</f>
        <v>EF001</v>
      </c>
      <c r="M200" t="s">
        <v>40</v>
      </c>
      <c r="N200" t="str">
        <f>_xlfn.XLOOKUP(Table1[[#This Row],[EmployeeNumber]],Table4[EmployeeNumber],Table4[Id_Employee])</f>
        <v>EMP00199</v>
      </c>
      <c r="O200">
        <v>271</v>
      </c>
      <c r="P200" t="str">
        <f>_xlfn.XLOOKUP(Table1[[#This Row],[EnvironmentSatisfaction]],Table9[EnvironmentSatisfaction],Table9[Id_EnviromentSatisfaction])</f>
        <v>ES004</v>
      </c>
      <c r="Q200">
        <v>4</v>
      </c>
      <c r="R200" t="str">
        <f>_xlfn.XLOOKUP(Table1[[#This Row],[EnvironmentSatisfaction]],Table9[EnvironmentSatisfaction],Table9[Deskripsi])</f>
        <v>Very High</v>
      </c>
      <c r="S200" t="str">
        <f>_xlfn.XLOOKUP(Table1[[#This Row],[Gender]],Table10[Gender],Table10[Id_Gender])</f>
        <v>G002</v>
      </c>
      <c r="T200" t="s">
        <v>46</v>
      </c>
      <c r="U200">
        <v>88</v>
      </c>
      <c r="V200" t="str">
        <f>_xlfn.XLOOKUP(Table1[[#This Row],[JobInvolvement]],Table11[JobInvolvement],Table11[Id_JobInvolvement])</f>
        <v>JI003</v>
      </c>
      <c r="W200">
        <v>3</v>
      </c>
      <c r="X200" t="str">
        <f>_xlfn.XLOOKUP(Table1[[#This Row],[JobLevel]],Table12[JobLevel],Table12[Id_JobLevel])</f>
        <v>JL002</v>
      </c>
      <c r="Y200">
        <v>2</v>
      </c>
      <c r="Z200" t="str">
        <f>_xlfn.XLOOKUP(Table1[[#This Row],[JobRole]],Table13[JobRole],Table13[Id_JobRole])</f>
        <v>JR004</v>
      </c>
      <c r="AA200" t="s">
        <v>50</v>
      </c>
      <c r="AB200" t="str">
        <f>_xlfn.XLOOKUP(Table1[[#This Row],[JobSatisfaction]],Table14[JobSatisfaction],Table14[Id_JobSatisfaction])</f>
        <v>JS003</v>
      </c>
      <c r="AC200">
        <v>3</v>
      </c>
      <c r="AD200" t="str">
        <f>_xlfn.XLOOKUP(Table1[[#This Row],[JobSatisfaction]],Table14[JobSatisfaction],Table14[Deskripsi])</f>
        <v>High</v>
      </c>
      <c r="AE200" t="str">
        <f>_xlfn.XLOOKUP(Table1[[#This Row],[MaritalStatus]],Table15[MaritalStatus],Table15[Id_MaritalStatus])</f>
        <v>MS002</v>
      </c>
      <c r="AF200" t="s">
        <v>56</v>
      </c>
      <c r="AG200">
        <v>6553</v>
      </c>
      <c r="AH200">
        <v>7259</v>
      </c>
      <c r="AI200">
        <v>9</v>
      </c>
      <c r="AJ200" t="str">
        <f>_xlfn.XLOOKUP(Table1[[#This Row],[OverTime]],Table16[OverTime],Table16[Id_OverTime])</f>
        <v>OT002</v>
      </c>
      <c r="AK200" t="s">
        <v>33</v>
      </c>
      <c r="AL200">
        <v>14</v>
      </c>
      <c r="AM200" t="str">
        <f>_xlfn.XLOOKUP(Table1[[#This Row],[PerformanceRating]],Table17[PerformanceRating],Table17[Id_PerformanceRating])</f>
        <v>PR003</v>
      </c>
      <c r="AN200">
        <v>3</v>
      </c>
      <c r="AO200" t="str">
        <f>_xlfn.XLOOKUP(Table1[[#This Row],[PerformanceRating]],Table17[PerformanceRating],Table17[Deskripsi])</f>
        <v>Excellent</v>
      </c>
      <c r="AP200" t="str">
        <f>_xlfn.XLOOKUP(Table1[[#This Row],[RelationshipSatisfaction]],Table18[RelationshipSatisfaction],Table18[Id_RelationshipSatisfaction])</f>
        <v>RS002</v>
      </c>
      <c r="AQ200">
        <v>2</v>
      </c>
      <c r="AR200" t="str">
        <f>_xlfn.XLOOKUP(Table1[[#This Row],[RelationshipSatisfaction]],Table18[RelationshipSatisfaction],Table18[Deskripsi])</f>
        <v>Medium</v>
      </c>
      <c r="AS200" t="str">
        <f>_xlfn.XLOOKUP(Table1[[#This Row],[StockOptionLevel]],Table19[StockOptionLevel],Table19[Id_StockOptionLevel])</f>
        <v>SOL001</v>
      </c>
      <c r="AT200">
        <v>0</v>
      </c>
      <c r="AU200" t="str">
        <f>_xlfn.XLOOKUP(Table1[[#This Row],[StockOptionLevel]],Table19[StockOptionLevel],Table19[Deskripsi])</f>
        <v>Non-Eligible</v>
      </c>
      <c r="AV200">
        <v>14</v>
      </c>
      <c r="AW200">
        <v>3</v>
      </c>
      <c r="AX200" t="str">
        <f>_xlfn.XLOOKUP(Table1[[#This Row],[WorkLifeBalance]],Table20[WorkLifeBalance],Table20[Id_WorkLifeBalance])</f>
        <v>WLB002</v>
      </c>
      <c r="AY200">
        <v>3</v>
      </c>
      <c r="AZ200" t="str">
        <f>_xlfn.XLOOKUP(Table1[[#This Row],[WorkLifeBalance]],Table20[WorkLifeBalance],Table20[Deskripsi])</f>
        <v>Good</v>
      </c>
      <c r="BA200">
        <v>1</v>
      </c>
      <c r="BB200">
        <v>0</v>
      </c>
      <c r="BC200">
        <v>0</v>
      </c>
      <c r="BD200">
        <v>0</v>
      </c>
    </row>
    <row r="201" spans="1:56" x14ac:dyDescent="0.25">
      <c r="A201">
        <v>38</v>
      </c>
      <c r="B201" t="str">
        <f>_xlfn.XLOOKUP(Table1[[#This Row],[Attrition]],Table2[Attrition],Table2[Id_Attrition])</f>
        <v>A002</v>
      </c>
      <c r="C201" t="s">
        <v>33</v>
      </c>
      <c r="D201" t="str">
        <f>_xlfn.XLOOKUP(Table1[[#This Row],[BusinessTravel]],Table5[BusinessTravel],Table5[Id_BusinessTravel])</f>
        <v>BS001</v>
      </c>
      <c r="E201" t="s">
        <v>34</v>
      </c>
      <c r="F201">
        <v>1084</v>
      </c>
      <c r="G201" t="str">
        <f>_xlfn.XLOOKUP(Table1[[#This Row],[Department]],Table6[Department],Table6[Id_Departement])</f>
        <v>D002</v>
      </c>
      <c r="H201" t="s">
        <v>38</v>
      </c>
      <c r="I201">
        <v>29</v>
      </c>
      <c r="J201" t="str">
        <f>_xlfn.XLOOKUP(Table1[[#This Row],[Education]],Table8[Education],Table8[Id_Education])</f>
        <v>E003</v>
      </c>
      <c r="K201">
        <v>3</v>
      </c>
      <c r="L201" t="str">
        <f>_xlfn.XLOOKUP(Table1[[#This Row],[EducationField]],Table7[EducationField],Table7[Id_EducationField])</f>
        <v>EF005</v>
      </c>
      <c r="M201" t="s">
        <v>44</v>
      </c>
      <c r="N201" t="str">
        <f>_xlfn.XLOOKUP(Table1[[#This Row],[EmployeeNumber]],Table4[EmployeeNumber],Table4[Id_Employee])</f>
        <v>EMP00200</v>
      </c>
      <c r="O201">
        <v>273</v>
      </c>
      <c r="P201" t="str">
        <f>_xlfn.XLOOKUP(Table1[[#This Row],[EnvironmentSatisfaction]],Table9[EnvironmentSatisfaction],Table9[Id_EnviromentSatisfaction])</f>
        <v>ES004</v>
      </c>
      <c r="Q201">
        <v>4</v>
      </c>
      <c r="R201" t="str">
        <f>_xlfn.XLOOKUP(Table1[[#This Row],[EnvironmentSatisfaction]],Table9[EnvironmentSatisfaction],Table9[Deskripsi])</f>
        <v>Very High</v>
      </c>
      <c r="S201" t="str">
        <f>_xlfn.XLOOKUP(Table1[[#This Row],[Gender]],Table10[Gender],Table10[Id_Gender])</f>
        <v>G002</v>
      </c>
      <c r="T201" t="s">
        <v>46</v>
      </c>
      <c r="U201">
        <v>54</v>
      </c>
      <c r="V201" t="str">
        <f>_xlfn.XLOOKUP(Table1[[#This Row],[JobInvolvement]],Table11[JobInvolvement],Table11[Id_JobInvolvement])</f>
        <v>JI003</v>
      </c>
      <c r="W201">
        <v>3</v>
      </c>
      <c r="X201" t="str">
        <f>_xlfn.XLOOKUP(Table1[[#This Row],[JobLevel]],Table12[JobLevel],Table12[Id_JobLevel])</f>
        <v>JL002</v>
      </c>
      <c r="Y201">
        <v>2</v>
      </c>
      <c r="Z201" t="str">
        <f>_xlfn.XLOOKUP(Table1[[#This Row],[JobRole]],Table13[JobRole],Table13[Id_JobRole])</f>
        <v>JR004</v>
      </c>
      <c r="AA201" t="s">
        <v>50</v>
      </c>
      <c r="AB201" t="str">
        <f>_xlfn.XLOOKUP(Table1[[#This Row],[JobSatisfaction]],Table14[JobSatisfaction],Table14[Id_JobSatisfaction])</f>
        <v>JS004</v>
      </c>
      <c r="AC201">
        <v>4</v>
      </c>
      <c r="AD201" t="str">
        <f>_xlfn.XLOOKUP(Table1[[#This Row],[JobSatisfaction]],Table14[JobSatisfaction],Table14[Deskripsi])</f>
        <v>Very High</v>
      </c>
      <c r="AE201" t="str">
        <f>_xlfn.XLOOKUP(Table1[[#This Row],[MaritalStatus]],Table15[MaritalStatus],Table15[Id_MaritalStatus])</f>
        <v>MS002</v>
      </c>
      <c r="AF201" t="s">
        <v>56</v>
      </c>
      <c r="AG201">
        <v>6261</v>
      </c>
      <c r="AH201">
        <v>4185</v>
      </c>
      <c r="AI201">
        <v>3</v>
      </c>
      <c r="AJ201" t="str">
        <f>_xlfn.XLOOKUP(Table1[[#This Row],[OverTime]],Table16[OverTime],Table16[Id_OverTime])</f>
        <v>OT002</v>
      </c>
      <c r="AK201" t="s">
        <v>33</v>
      </c>
      <c r="AL201">
        <v>18</v>
      </c>
      <c r="AM201" t="str">
        <f>_xlfn.XLOOKUP(Table1[[#This Row],[PerformanceRating]],Table17[PerformanceRating],Table17[Id_PerformanceRating])</f>
        <v>PR003</v>
      </c>
      <c r="AN201">
        <v>3</v>
      </c>
      <c r="AO201" t="str">
        <f>_xlfn.XLOOKUP(Table1[[#This Row],[PerformanceRating]],Table17[PerformanceRating],Table17[Deskripsi])</f>
        <v>Excellent</v>
      </c>
      <c r="AP201" t="str">
        <f>_xlfn.XLOOKUP(Table1[[#This Row],[RelationshipSatisfaction]],Table18[RelationshipSatisfaction],Table18[Id_RelationshipSatisfaction])</f>
        <v>RS001</v>
      </c>
      <c r="AQ201">
        <v>1</v>
      </c>
      <c r="AR201" t="str">
        <f>_xlfn.XLOOKUP(Table1[[#This Row],[RelationshipSatisfaction]],Table18[RelationshipSatisfaction],Table18[Deskripsi])</f>
        <v>Low</v>
      </c>
      <c r="AS201" t="str">
        <f>_xlfn.XLOOKUP(Table1[[#This Row],[StockOptionLevel]],Table19[StockOptionLevel],Table19[Id_StockOptionLevel])</f>
        <v>SOL002</v>
      </c>
      <c r="AT201">
        <v>1</v>
      </c>
      <c r="AU201" t="str">
        <f>_xlfn.XLOOKUP(Table1[[#This Row],[StockOptionLevel]],Table19[StockOptionLevel],Table19[Deskripsi])</f>
        <v>Standard</v>
      </c>
      <c r="AV201">
        <v>9</v>
      </c>
      <c r="AW201">
        <v>3</v>
      </c>
      <c r="AX201" t="str">
        <f>_xlfn.XLOOKUP(Table1[[#This Row],[WorkLifeBalance]],Table20[WorkLifeBalance],Table20[Id_WorkLifeBalance])</f>
        <v>WLB001</v>
      </c>
      <c r="AY201">
        <v>1</v>
      </c>
      <c r="AZ201" t="str">
        <f>_xlfn.XLOOKUP(Table1[[#This Row],[WorkLifeBalance]],Table20[WorkLifeBalance],Table20[Deskripsi])</f>
        <v>Bad</v>
      </c>
      <c r="BA201">
        <v>7</v>
      </c>
      <c r="BB201">
        <v>7</v>
      </c>
      <c r="BC201">
        <v>1</v>
      </c>
      <c r="BD201">
        <v>7</v>
      </c>
    </row>
    <row r="202" spans="1:56" x14ac:dyDescent="0.25">
      <c r="A202">
        <v>27</v>
      </c>
      <c r="B202" t="str">
        <f>_xlfn.XLOOKUP(Table1[[#This Row],[Attrition]],Table2[Attrition],Table2[Id_Attrition])</f>
        <v>A002</v>
      </c>
      <c r="C202" t="s">
        <v>33</v>
      </c>
      <c r="D202" t="str">
        <f>_xlfn.XLOOKUP(Table1[[#This Row],[BusinessTravel]],Table5[BusinessTravel],Table5[Id_BusinessTravel])</f>
        <v>BS002</v>
      </c>
      <c r="E202" t="s">
        <v>35</v>
      </c>
      <c r="F202">
        <v>472</v>
      </c>
      <c r="G202" t="str">
        <f>_xlfn.XLOOKUP(Table1[[#This Row],[Department]],Table6[Department],Table6[Id_Departement])</f>
        <v>D002</v>
      </c>
      <c r="H202" t="s">
        <v>38</v>
      </c>
      <c r="I202">
        <v>1</v>
      </c>
      <c r="J202" t="str">
        <f>_xlfn.XLOOKUP(Table1[[#This Row],[Education]],Table8[Education],Table8[Id_Education])</f>
        <v>E001</v>
      </c>
      <c r="K202">
        <v>1</v>
      </c>
      <c r="L202" t="str">
        <f>_xlfn.XLOOKUP(Table1[[#This Row],[EducationField]],Table7[EducationField],Table7[Id_EducationField])</f>
        <v>EF005</v>
      </c>
      <c r="M202" t="s">
        <v>44</v>
      </c>
      <c r="N202" t="str">
        <f>_xlfn.XLOOKUP(Table1[[#This Row],[EmployeeNumber]],Table4[EmployeeNumber],Table4[Id_Employee])</f>
        <v>EMP00201</v>
      </c>
      <c r="O202">
        <v>274</v>
      </c>
      <c r="P202" t="str">
        <f>_xlfn.XLOOKUP(Table1[[#This Row],[EnvironmentSatisfaction]],Table9[EnvironmentSatisfaction],Table9[Id_EnviromentSatisfaction])</f>
        <v>ES003</v>
      </c>
      <c r="Q202">
        <v>3</v>
      </c>
      <c r="R202" t="str">
        <f>_xlfn.XLOOKUP(Table1[[#This Row],[EnvironmentSatisfaction]],Table9[EnvironmentSatisfaction],Table9[Deskripsi])</f>
        <v>High</v>
      </c>
      <c r="S202" t="str">
        <f>_xlfn.XLOOKUP(Table1[[#This Row],[Gender]],Table10[Gender],Table10[Id_Gender])</f>
        <v>G002</v>
      </c>
      <c r="T202" t="s">
        <v>46</v>
      </c>
      <c r="U202">
        <v>60</v>
      </c>
      <c r="V202" t="str">
        <f>_xlfn.XLOOKUP(Table1[[#This Row],[JobInvolvement]],Table11[JobInvolvement],Table11[Id_JobInvolvement])</f>
        <v>JI002</v>
      </c>
      <c r="W202">
        <v>2</v>
      </c>
      <c r="X202" t="str">
        <f>_xlfn.XLOOKUP(Table1[[#This Row],[JobLevel]],Table12[JobLevel],Table12[Id_JobLevel])</f>
        <v>JL002</v>
      </c>
      <c r="Y202">
        <v>2</v>
      </c>
      <c r="Z202" t="str">
        <f>_xlfn.XLOOKUP(Table1[[#This Row],[JobRole]],Table13[JobRole],Table13[Id_JobRole])</f>
        <v>JR004</v>
      </c>
      <c r="AA202" t="s">
        <v>50</v>
      </c>
      <c r="AB202" t="str">
        <f>_xlfn.XLOOKUP(Table1[[#This Row],[JobSatisfaction]],Table14[JobSatisfaction],Table14[Id_JobSatisfaction])</f>
        <v>JS001</v>
      </c>
      <c r="AC202">
        <v>1</v>
      </c>
      <c r="AD202" t="str">
        <f>_xlfn.XLOOKUP(Table1[[#This Row],[JobSatisfaction]],Table14[JobSatisfaction],Table14[Deskripsi])</f>
        <v>Low</v>
      </c>
      <c r="AE202" t="str">
        <f>_xlfn.XLOOKUP(Table1[[#This Row],[MaritalStatus]],Table15[MaritalStatus],Table15[Id_MaritalStatus])</f>
        <v>MS002</v>
      </c>
      <c r="AF202" t="s">
        <v>56</v>
      </c>
      <c r="AG202">
        <v>4298</v>
      </c>
      <c r="AH202">
        <v>9679</v>
      </c>
      <c r="AI202">
        <v>5</v>
      </c>
      <c r="AJ202" t="str">
        <f>_xlfn.XLOOKUP(Table1[[#This Row],[OverTime]],Table16[OverTime],Table16[Id_OverTime])</f>
        <v>OT002</v>
      </c>
      <c r="AK202" t="s">
        <v>33</v>
      </c>
      <c r="AL202">
        <v>19</v>
      </c>
      <c r="AM202" t="str">
        <f>_xlfn.XLOOKUP(Table1[[#This Row],[PerformanceRating]],Table17[PerformanceRating],Table17[Id_PerformanceRating])</f>
        <v>PR003</v>
      </c>
      <c r="AN202">
        <v>3</v>
      </c>
      <c r="AO202" t="str">
        <f>_xlfn.XLOOKUP(Table1[[#This Row],[PerformanceRating]],Table17[PerformanceRating],Table17[Deskripsi])</f>
        <v>Excellent</v>
      </c>
      <c r="AP202" t="str">
        <f>_xlfn.XLOOKUP(Table1[[#This Row],[RelationshipSatisfaction]],Table18[RelationshipSatisfaction],Table18[Id_RelationshipSatisfaction])</f>
        <v>RS003</v>
      </c>
      <c r="AQ202">
        <v>3</v>
      </c>
      <c r="AR202" t="str">
        <f>_xlfn.XLOOKUP(Table1[[#This Row],[RelationshipSatisfaction]],Table18[RelationshipSatisfaction],Table18[Deskripsi])</f>
        <v>High</v>
      </c>
      <c r="AS202" t="str">
        <f>_xlfn.XLOOKUP(Table1[[#This Row],[StockOptionLevel]],Table19[StockOptionLevel],Table19[Id_StockOptionLevel])</f>
        <v>SOL002</v>
      </c>
      <c r="AT202">
        <v>1</v>
      </c>
      <c r="AU202" t="str">
        <f>_xlfn.XLOOKUP(Table1[[#This Row],[StockOptionLevel]],Table19[StockOptionLevel],Table19[Deskripsi])</f>
        <v>Standard</v>
      </c>
      <c r="AV202">
        <v>6</v>
      </c>
      <c r="AW202">
        <v>1</v>
      </c>
      <c r="AX202" t="str">
        <f>_xlfn.XLOOKUP(Table1[[#This Row],[WorkLifeBalance]],Table20[WorkLifeBalance],Table20[Id_WorkLifeBalance])</f>
        <v>WLB002</v>
      </c>
      <c r="AY202">
        <v>3</v>
      </c>
      <c r="AZ202" t="str">
        <f>_xlfn.XLOOKUP(Table1[[#This Row],[WorkLifeBalance]],Table20[WorkLifeBalance],Table20[Deskripsi])</f>
        <v>Good</v>
      </c>
      <c r="BA202">
        <v>2</v>
      </c>
      <c r="BB202">
        <v>2</v>
      </c>
      <c r="BC202">
        <v>2</v>
      </c>
      <c r="BD202">
        <v>0</v>
      </c>
    </row>
    <row r="203" spans="1:56" x14ac:dyDescent="0.25">
      <c r="A203">
        <v>49</v>
      </c>
      <c r="B203" t="str">
        <f>_xlfn.XLOOKUP(Table1[[#This Row],[Attrition]],Table2[Attrition],Table2[Id_Attrition])</f>
        <v>A002</v>
      </c>
      <c r="C203" t="s">
        <v>33</v>
      </c>
      <c r="D203" t="str">
        <f>_xlfn.XLOOKUP(Table1[[#This Row],[BusinessTravel]],Table5[BusinessTravel],Table5[Id_BusinessTravel])</f>
        <v>BS003</v>
      </c>
      <c r="E203" t="s">
        <v>36</v>
      </c>
      <c r="F203">
        <v>1002</v>
      </c>
      <c r="G203" t="str">
        <f>_xlfn.XLOOKUP(Table1[[#This Row],[Department]],Table6[Department],Table6[Id_Departement])</f>
        <v>D002</v>
      </c>
      <c r="H203" t="s">
        <v>38</v>
      </c>
      <c r="I203">
        <v>18</v>
      </c>
      <c r="J203" t="str">
        <f>_xlfn.XLOOKUP(Table1[[#This Row],[Education]],Table8[Education],Table8[Id_Education])</f>
        <v>E004</v>
      </c>
      <c r="K203">
        <v>4</v>
      </c>
      <c r="L203" t="str">
        <f>_xlfn.XLOOKUP(Table1[[#This Row],[EducationField]],Table7[EducationField],Table7[Id_EducationField])</f>
        <v>EF001</v>
      </c>
      <c r="M203" t="s">
        <v>40</v>
      </c>
      <c r="N203" t="str">
        <f>_xlfn.XLOOKUP(Table1[[#This Row],[EmployeeNumber]],Table4[EmployeeNumber],Table4[Id_Employee])</f>
        <v>EMP00202</v>
      </c>
      <c r="O203">
        <v>275</v>
      </c>
      <c r="P203" t="str">
        <f>_xlfn.XLOOKUP(Table1[[#This Row],[EnvironmentSatisfaction]],Table9[EnvironmentSatisfaction],Table9[Id_EnviromentSatisfaction])</f>
        <v>ES004</v>
      </c>
      <c r="Q203">
        <v>4</v>
      </c>
      <c r="R203" t="str">
        <f>_xlfn.XLOOKUP(Table1[[#This Row],[EnvironmentSatisfaction]],Table9[EnvironmentSatisfaction],Table9[Deskripsi])</f>
        <v>Very High</v>
      </c>
      <c r="S203" t="str">
        <f>_xlfn.XLOOKUP(Table1[[#This Row],[Gender]],Table10[Gender],Table10[Id_Gender])</f>
        <v>G002</v>
      </c>
      <c r="T203" t="s">
        <v>46</v>
      </c>
      <c r="U203">
        <v>92</v>
      </c>
      <c r="V203" t="str">
        <f>_xlfn.XLOOKUP(Table1[[#This Row],[JobInvolvement]],Table11[JobInvolvement],Table11[Id_JobInvolvement])</f>
        <v>JI003</v>
      </c>
      <c r="W203">
        <v>3</v>
      </c>
      <c r="X203" t="str">
        <f>_xlfn.XLOOKUP(Table1[[#This Row],[JobLevel]],Table12[JobLevel],Table12[Id_JobLevel])</f>
        <v>JL002</v>
      </c>
      <c r="Y203">
        <v>2</v>
      </c>
      <c r="Z203" t="str">
        <f>_xlfn.XLOOKUP(Table1[[#This Row],[JobRole]],Table13[JobRole],Table13[Id_JobRole])</f>
        <v>JR004</v>
      </c>
      <c r="AA203" t="s">
        <v>50</v>
      </c>
      <c r="AB203" t="str">
        <f>_xlfn.XLOOKUP(Table1[[#This Row],[JobSatisfaction]],Table14[JobSatisfaction],Table14[Id_JobSatisfaction])</f>
        <v>JS004</v>
      </c>
      <c r="AC203">
        <v>4</v>
      </c>
      <c r="AD203" t="str">
        <f>_xlfn.XLOOKUP(Table1[[#This Row],[JobSatisfaction]],Table14[JobSatisfaction],Table14[Deskripsi])</f>
        <v>Very High</v>
      </c>
      <c r="AE203" t="str">
        <f>_xlfn.XLOOKUP(Table1[[#This Row],[MaritalStatus]],Table15[MaritalStatus],Table15[Id_MaritalStatus])</f>
        <v>MS003</v>
      </c>
      <c r="AF203" t="s">
        <v>57</v>
      </c>
      <c r="AG203">
        <v>6804</v>
      </c>
      <c r="AH203">
        <v>23793</v>
      </c>
      <c r="AI203">
        <v>1</v>
      </c>
      <c r="AJ203" t="str">
        <f>_xlfn.XLOOKUP(Table1[[#This Row],[OverTime]],Table16[OverTime],Table16[Id_OverTime])</f>
        <v>OT001</v>
      </c>
      <c r="AK203" t="s">
        <v>32</v>
      </c>
      <c r="AL203">
        <v>15</v>
      </c>
      <c r="AM203" t="str">
        <f>_xlfn.XLOOKUP(Table1[[#This Row],[PerformanceRating]],Table17[PerformanceRating],Table17[Id_PerformanceRating])</f>
        <v>PR003</v>
      </c>
      <c r="AN203">
        <v>3</v>
      </c>
      <c r="AO203" t="str">
        <f>_xlfn.XLOOKUP(Table1[[#This Row],[PerformanceRating]],Table17[PerformanceRating],Table17[Deskripsi])</f>
        <v>Excellent</v>
      </c>
      <c r="AP203" t="str">
        <f>_xlfn.XLOOKUP(Table1[[#This Row],[RelationshipSatisfaction]],Table18[RelationshipSatisfaction],Table18[Id_RelationshipSatisfaction])</f>
        <v>RS001</v>
      </c>
      <c r="AQ203">
        <v>1</v>
      </c>
      <c r="AR203" t="str">
        <f>_xlfn.XLOOKUP(Table1[[#This Row],[RelationshipSatisfaction]],Table18[RelationshipSatisfaction],Table18[Deskripsi])</f>
        <v>Low</v>
      </c>
      <c r="AS203" t="str">
        <f>_xlfn.XLOOKUP(Table1[[#This Row],[StockOptionLevel]],Table19[StockOptionLevel],Table19[Id_StockOptionLevel])</f>
        <v>SOL003</v>
      </c>
      <c r="AT203">
        <v>2</v>
      </c>
      <c r="AU203" t="str">
        <f>_xlfn.XLOOKUP(Table1[[#This Row],[StockOptionLevel]],Table19[StockOptionLevel],Table19[Deskripsi])</f>
        <v>Intermediate</v>
      </c>
      <c r="AV203">
        <v>7</v>
      </c>
      <c r="AW203">
        <v>0</v>
      </c>
      <c r="AX203" t="str">
        <f>_xlfn.XLOOKUP(Table1[[#This Row],[WorkLifeBalance]],Table20[WorkLifeBalance],Table20[Id_WorkLifeBalance])</f>
        <v>WLB002</v>
      </c>
      <c r="AY203">
        <v>3</v>
      </c>
      <c r="AZ203" t="str">
        <f>_xlfn.XLOOKUP(Table1[[#This Row],[WorkLifeBalance]],Table20[WorkLifeBalance],Table20[Deskripsi])</f>
        <v>Good</v>
      </c>
      <c r="BA203">
        <v>7</v>
      </c>
      <c r="BB203">
        <v>7</v>
      </c>
      <c r="BC203">
        <v>1</v>
      </c>
      <c r="BD203">
        <v>7</v>
      </c>
    </row>
    <row r="204" spans="1:56" x14ac:dyDescent="0.25">
      <c r="A204">
        <v>34</v>
      </c>
      <c r="B204" t="str">
        <f>_xlfn.XLOOKUP(Table1[[#This Row],[Attrition]],Table2[Attrition],Table2[Id_Attrition])</f>
        <v>A002</v>
      </c>
      <c r="C204" t="s">
        <v>33</v>
      </c>
      <c r="D204" t="str">
        <f>_xlfn.XLOOKUP(Table1[[#This Row],[BusinessTravel]],Table5[BusinessTravel],Table5[Id_BusinessTravel])</f>
        <v>BS002</v>
      </c>
      <c r="E204" t="s">
        <v>35</v>
      </c>
      <c r="F204">
        <v>878</v>
      </c>
      <c r="G204" t="str">
        <f>_xlfn.XLOOKUP(Table1[[#This Row],[Department]],Table6[Department],Table6[Id_Departement])</f>
        <v>D002</v>
      </c>
      <c r="H204" t="s">
        <v>38</v>
      </c>
      <c r="I204">
        <v>10</v>
      </c>
      <c r="J204" t="str">
        <f>_xlfn.XLOOKUP(Table1[[#This Row],[Education]],Table8[Education],Table8[Id_Education])</f>
        <v>E004</v>
      </c>
      <c r="K204">
        <v>4</v>
      </c>
      <c r="L204" t="str">
        <f>_xlfn.XLOOKUP(Table1[[#This Row],[EducationField]],Table7[EducationField],Table7[Id_EducationField])</f>
        <v>EF003</v>
      </c>
      <c r="M204" t="s">
        <v>42</v>
      </c>
      <c r="N204" t="str">
        <f>_xlfn.XLOOKUP(Table1[[#This Row],[EmployeeNumber]],Table4[EmployeeNumber],Table4[Id_Employee])</f>
        <v>EMP00203</v>
      </c>
      <c r="O204">
        <v>277</v>
      </c>
      <c r="P204" t="str">
        <f>_xlfn.XLOOKUP(Table1[[#This Row],[EnvironmentSatisfaction]],Table9[EnvironmentSatisfaction],Table9[Id_EnviromentSatisfaction])</f>
        <v>ES004</v>
      </c>
      <c r="Q204">
        <v>4</v>
      </c>
      <c r="R204" t="str">
        <f>_xlfn.XLOOKUP(Table1[[#This Row],[EnvironmentSatisfaction]],Table9[EnvironmentSatisfaction],Table9[Deskripsi])</f>
        <v>Very High</v>
      </c>
      <c r="S204" t="str">
        <f>_xlfn.XLOOKUP(Table1[[#This Row],[Gender]],Table10[Gender],Table10[Id_Gender])</f>
        <v>G002</v>
      </c>
      <c r="T204" t="s">
        <v>46</v>
      </c>
      <c r="U204">
        <v>43</v>
      </c>
      <c r="V204" t="str">
        <f>_xlfn.XLOOKUP(Table1[[#This Row],[JobInvolvement]],Table11[JobInvolvement],Table11[Id_JobInvolvement])</f>
        <v>JI003</v>
      </c>
      <c r="W204">
        <v>3</v>
      </c>
      <c r="X204" t="str">
        <f>_xlfn.XLOOKUP(Table1[[#This Row],[JobLevel]],Table12[JobLevel],Table12[Id_JobLevel])</f>
        <v>JL001</v>
      </c>
      <c r="Y204">
        <v>1</v>
      </c>
      <c r="Z204" t="str">
        <f>_xlfn.XLOOKUP(Table1[[#This Row],[JobRole]],Table13[JobRole],Table13[Id_JobRole])</f>
        <v>JR002</v>
      </c>
      <c r="AA204" t="s">
        <v>48</v>
      </c>
      <c r="AB204" t="str">
        <f>_xlfn.XLOOKUP(Table1[[#This Row],[JobSatisfaction]],Table14[JobSatisfaction],Table14[Id_JobSatisfaction])</f>
        <v>JS003</v>
      </c>
      <c r="AC204">
        <v>3</v>
      </c>
      <c r="AD204" t="str">
        <f>_xlfn.XLOOKUP(Table1[[#This Row],[JobSatisfaction]],Table14[JobSatisfaction],Table14[Deskripsi])</f>
        <v>High</v>
      </c>
      <c r="AE204" t="str">
        <f>_xlfn.XLOOKUP(Table1[[#This Row],[MaritalStatus]],Table15[MaritalStatus],Table15[Id_MaritalStatus])</f>
        <v>MS003</v>
      </c>
      <c r="AF204" t="s">
        <v>57</v>
      </c>
      <c r="AG204">
        <v>3815</v>
      </c>
      <c r="AH204">
        <v>5972</v>
      </c>
      <c r="AI204">
        <v>1</v>
      </c>
      <c r="AJ204" t="str">
        <f>_xlfn.XLOOKUP(Table1[[#This Row],[OverTime]],Table16[OverTime],Table16[Id_OverTime])</f>
        <v>OT001</v>
      </c>
      <c r="AK204" t="s">
        <v>32</v>
      </c>
      <c r="AL204">
        <v>17</v>
      </c>
      <c r="AM204" t="str">
        <f>_xlfn.XLOOKUP(Table1[[#This Row],[PerformanceRating]],Table17[PerformanceRating],Table17[Id_PerformanceRating])</f>
        <v>PR003</v>
      </c>
      <c r="AN204">
        <v>3</v>
      </c>
      <c r="AO204" t="str">
        <f>_xlfn.XLOOKUP(Table1[[#This Row],[PerformanceRating]],Table17[PerformanceRating],Table17[Deskripsi])</f>
        <v>Excellent</v>
      </c>
      <c r="AP204" t="str">
        <f>_xlfn.XLOOKUP(Table1[[#This Row],[RelationshipSatisfaction]],Table18[RelationshipSatisfaction],Table18[Id_RelationshipSatisfaction])</f>
        <v>RS004</v>
      </c>
      <c r="AQ204">
        <v>4</v>
      </c>
      <c r="AR204" t="str">
        <f>_xlfn.XLOOKUP(Table1[[#This Row],[RelationshipSatisfaction]],Table18[RelationshipSatisfaction],Table18[Deskripsi])</f>
        <v>Very High</v>
      </c>
      <c r="AS204" t="str">
        <f>_xlfn.XLOOKUP(Table1[[#This Row],[StockOptionLevel]],Table19[StockOptionLevel],Table19[Id_StockOptionLevel])</f>
        <v>SOL002</v>
      </c>
      <c r="AT204">
        <v>1</v>
      </c>
      <c r="AU204" t="str">
        <f>_xlfn.XLOOKUP(Table1[[#This Row],[StockOptionLevel]],Table19[StockOptionLevel],Table19[Deskripsi])</f>
        <v>Standard</v>
      </c>
      <c r="AV204">
        <v>5</v>
      </c>
      <c r="AW204">
        <v>4</v>
      </c>
      <c r="AX204" t="str">
        <f>_xlfn.XLOOKUP(Table1[[#This Row],[WorkLifeBalance]],Table20[WorkLifeBalance],Table20[Id_WorkLifeBalance])</f>
        <v>WLB004</v>
      </c>
      <c r="AY204">
        <v>4</v>
      </c>
      <c r="AZ204" t="str">
        <f>_xlfn.XLOOKUP(Table1[[#This Row],[WorkLifeBalance]],Table20[WorkLifeBalance],Table20[Deskripsi])</f>
        <v>Best</v>
      </c>
      <c r="BA204">
        <v>5</v>
      </c>
      <c r="BB204">
        <v>3</v>
      </c>
      <c r="BC204">
        <v>2</v>
      </c>
      <c r="BD204">
        <v>0</v>
      </c>
    </row>
    <row r="205" spans="1:56" x14ac:dyDescent="0.25">
      <c r="A205">
        <v>40</v>
      </c>
      <c r="B205" t="str">
        <f>_xlfn.XLOOKUP(Table1[[#This Row],[Attrition]],Table2[Attrition],Table2[Id_Attrition])</f>
        <v>A002</v>
      </c>
      <c r="C205" t="s">
        <v>33</v>
      </c>
      <c r="D205" t="str">
        <f>_xlfn.XLOOKUP(Table1[[#This Row],[BusinessTravel]],Table5[BusinessTravel],Table5[Id_BusinessTravel])</f>
        <v>BS001</v>
      </c>
      <c r="E205" t="s">
        <v>34</v>
      </c>
      <c r="F205">
        <v>905</v>
      </c>
      <c r="G205" t="str">
        <f>_xlfn.XLOOKUP(Table1[[#This Row],[Department]],Table6[Department],Table6[Id_Departement])</f>
        <v>D002</v>
      </c>
      <c r="H205" t="s">
        <v>38</v>
      </c>
      <c r="I205">
        <v>19</v>
      </c>
      <c r="J205" t="str">
        <f>_xlfn.XLOOKUP(Table1[[#This Row],[Education]],Table8[Education],Table8[Id_Education])</f>
        <v>E002</v>
      </c>
      <c r="K205">
        <v>2</v>
      </c>
      <c r="L205" t="str">
        <f>_xlfn.XLOOKUP(Table1[[#This Row],[EducationField]],Table7[EducationField],Table7[Id_EducationField])</f>
        <v>EF003</v>
      </c>
      <c r="M205" t="s">
        <v>42</v>
      </c>
      <c r="N205" t="str">
        <f>_xlfn.XLOOKUP(Table1[[#This Row],[EmployeeNumber]],Table4[EmployeeNumber],Table4[Id_Employee])</f>
        <v>EMP00204</v>
      </c>
      <c r="O205">
        <v>281</v>
      </c>
      <c r="P205" t="str">
        <f>_xlfn.XLOOKUP(Table1[[#This Row],[EnvironmentSatisfaction]],Table9[EnvironmentSatisfaction],Table9[Id_EnviromentSatisfaction])</f>
        <v>ES003</v>
      </c>
      <c r="Q205">
        <v>3</v>
      </c>
      <c r="R205" t="str">
        <f>_xlfn.XLOOKUP(Table1[[#This Row],[EnvironmentSatisfaction]],Table9[EnvironmentSatisfaction],Table9[Deskripsi])</f>
        <v>High</v>
      </c>
      <c r="S205" t="str">
        <f>_xlfn.XLOOKUP(Table1[[#This Row],[Gender]],Table10[Gender],Table10[Id_Gender])</f>
        <v>G002</v>
      </c>
      <c r="T205" t="s">
        <v>46</v>
      </c>
      <c r="U205">
        <v>99</v>
      </c>
      <c r="V205" t="str">
        <f>_xlfn.XLOOKUP(Table1[[#This Row],[JobInvolvement]],Table11[JobInvolvement],Table11[Id_JobInvolvement])</f>
        <v>JI003</v>
      </c>
      <c r="W205">
        <v>3</v>
      </c>
      <c r="X205" t="str">
        <f>_xlfn.XLOOKUP(Table1[[#This Row],[JobLevel]],Table12[JobLevel],Table12[Id_JobLevel])</f>
        <v>JL002</v>
      </c>
      <c r="Y205">
        <v>2</v>
      </c>
      <c r="Z205" t="str">
        <f>_xlfn.XLOOKUP(Table1[[#This Row],[JobRole]],Table13[JobRole],Table13[Id_JobRole])</f>
        <v>JR003</v>
      </c>
      <c r="AA205" t="s">
        <v>49</v>
      </c>
      <c r="AB205" t="str">
        <f>_xlfn.XLOOKUP(Table1[[#This Row],[JobSatisfaction]],Table14[JobSatisfaction],Table14[Id_JobSatisfaction])</f>
        <v>JS004</v>
      </c>
      <c r="AC205">
        <v>4</v>
      </c>
      <c r="AD205" t="str">
        <f>_xlfn.XLOOKUP(Table1[[#This Row],[JobSatisfaction]],Table14[JobSatisfaction],Table14[Deskripsi])</f>
        <v>Very High</v>
      </c>
      <c r="AE205" t="str">
        <f>_xlfn.XLOOKUP(Table1[[#This Row],[MaritalStatus]],Table15[MaritalStatus],Table15[Id_MaritalStatus])</f>
        <v>MS002</v>
      </c>
      <c r="AF205" t="s">
        <v>56</v>
      </c>
      <c r="AG205">
        <v>2741</v>
      </c>
      <c r="AH205">
        <v>16523</v>
      </c>
      <c r="AI205">
        <v>8</v>
      </c>
      <c r="AJ205" t="str">
        <f>_xlfn.XLOOKUP(Table1[[#This Row],[OverTime]],Table16[OverTime],Table16[Id_OverTime])</f>
        <v>OT001</v>
      </c>
      <c r="AK205" t="s">
        <v>32</v>
      </c>
      <c r="AL205">
        <v>15</v>
      </c>
      <c r="AM205" t="str">
        <f>_xlfn.XLOOKUP(Table1[[#This Row],[PerformanceRating]],Table17[PerformanceRating],Table17[Id_PerformanceRating])</f>
        <v>PR003</v>
      </c>
      <c r="AN205">
        <v>3</v>
      </c>
      <c r="AO205" t="str">
        <f>_xlfn.XLOOKUP(Table1[[#This Row],[PerformanceRating]],Table17[PerformanceRating],Table17[Deskripsi])</f>
        <v>Excellent</v>
      </c>
      <c r="AP205" t="str">
        <f>_xlfn.XLOOKUP(Table1[[#This Row],[RelationshipSatisfaction]],Table18[RelationshipSatisfaction],Table18[Id_RelationshipSatisfaction])</f>
        <v>RS003</v>
      </c>
      <c r="AQ205">
        <v>3</v>
      </c>
      <c r="AR205" t="str">
        <f>_xlfn.XLOOKUP(Table1[[#This Row],[RelationshipSatisfaction]],Table18[RelationshipSatisfaction],Table18[Deskripsi])</f>
        <v>High</v>
      </c>
      <c r="AS205" t="str">
        <f>_xlfn.XLOOKUP(Table1[[#This Row],[StockOptionLevel]],Table19[StockOptionLevel],Table19[Id_StockOptionLevel])</f>
        <v>SOL002</v>
      </c>
      <c r="AT205">
        <v>1</v>
      </c>
      <c r="AU205" t="str">
        <f>_xlfn.XLOOKUP(Table1[[#This Row],[StockOptionLevel]],Table19[StockOptionLevel],Table19[Deskripsi])</f>
        <v>Standard</v>
      </c>
      <c r="AV205">
        <v>15</v>
      </c>
      <c r="AW205">
        <v>2</v>
      </c>
      <c r="AX205" t="str">
        <f>_xlfn.XLOOKUP(Table1[[#This Row],[WorkLifeBalance]],Table20[WorkLifeBalance],Table20[Id_WorkLifeBalance])</f>
        <v>WLB004</v>
      </c>
      <c r="AY205">
        <v>4</v>
      </c>
      <c r="AZ205" t="str">
        <f>_xlfn.XLOOKUP(Table1[[#This Row],[WorkLifeBalance]],Table20[WorkLifeBalance],Table20[Deskripsi])</f>
        <v>Best</v>
      </c>
      <c r="BA205">
        <v>7</v>
      </c>
      <c r="BB205">
        <v>2</v>
      </c>
      <c r="BC205">
        <v>3</v>
      </c>
      <c r="BD205">
        <v>7</v>
      </c>
    </row>
    <row r="206" spans="1:56" x14ac:dyDescent="0.25">
      <c r="A206">
        <v>38</v>
      </c>
      <c r="B206" t="str">
        <f>_xlfn.XLOOKUP(Table1[[#This Row],[Attrition]],Table2[Attrition],Table2[Id_Attrition])</f>
        <v>A001</v>
      </c>
      <c r="C206" t="s">
        <v>32</v>
      </c>
      <c r="D206" t="str">
        <f>_xlfn.XLOOKUP(Table1[[#This Row],[BusinessTravel]],Table5[BusinessTravel],Table5[Id_BusinessTravel])</f>
        <v>BS001</v>
      </c>
      <c r="E206" t="s">
        <v>34</v>
      </c>
      <c r="F206">
        <v>1180</v>
      </c>
      <c r="G206" t="str">
        <f>_xlfn.XLOOKUP(Table1[[#This Row],[Department]],Table6[Department],Table6[Id_Departement])</f>
        <v>D002</v>
      </c>
      <c r="H206" t="s">
        <v>38</v>
      </c>
      <c r="I206">
        <v>29</v>
      </c>
      <c r="J206" t="str">
        <f>_xlfn.XLOOKUP(Table1[[#This Row],[Education]],Table8[Education],Table8[Id_Education])</f>
        <v>E001</v>
      </c>
      <c r="K206">
        <v>1</v>
      </c>
      <c r="L206" t="str">
        <f>_xlfn.XLOOKUP(Table1[[#This Row],[EducationField]],Table7[EducationField],Table7[Id_EducationField])</f>
        <v>EF003</v>
      </c>
      <c r="M206" t="s">
        <v>42</v>
      </c>
      <c r="N206" t="str">
        <f>_xlfn.XLOOKUP(Table1[[#This Row],[EmployeeNumber]],Table4[EmployeeNumber],Table4[Id_Employee])</f>
        <v>EMP00205</v>
      </c>
      <c r="O206">
        <v>282</v>
      </c>
      <c r="P206" t="str">
        <f>_xlfn.XLOOKUP(Table1[[#This Row],[EnvironmentSatisfaction]],Table9[EnvironmentSatisfaction],Table9[Id_EnviromentSatisfaction])</f>
        <v>ES002</v>
      </c>
      <c r="Q206">
        <v>2</v>
      </c>
      <c r="R206" t="str">
        <f>_xlfn.XLOOKUP(Table1[[#This Row],[EnvironmentSatisfaction]],Table9[EnvironmentSatisfaction],Table9[Deskripsi])</f>
        <v>Medium</v>
      </c>
      <c r="S206" t="str">
        <f>_xlfn.XLOOKUP(Table1[[#This Row],[Gender]],Table10[Gender],Table10[Id_Gender])</f>
        <v>G002</v>
      </c>
      <c r="T206" t="s">
        <v>46</v>
      </c>
      <c r="U206">
        <v>70</v>
      </c>
      <c r="V206" t="str">
        <f>_xlfn.XLOOKUP(Table1[[#This Row],[JobInvolvement]],Table11[JobInvolvement],Table11[Id_JobInvolvement])</f>
        <v>JI003</v>
      </c>
      <c r="W206">
        <v>3</v>
      </c>
      <c r="X206" t="str">
        <f>_xlfn.XLOOKUP(Table1[[#This Row],[JobLevel]],Table12[JobLevel],Table12[Id_JobLevel])</f>
        <v>JL002</v>
      </c>
      <c r="Y206">
        <v>2</v>
      </c>
      <c r="Z206" t="str">
        <f>_xlfn.XLOOKUP(Table1[[#This Row],[JobRole]],Table13[JobRole],Table13[Id_JobRole])</f>
        <v>JR005</v>
      </c>
      <c r="AA206" t="s">
        <v>51</v>
      </c>
      <c r="AB206" t="str">
        <f>_xlfn.XLOOKUP(Table1[[#This Row],[JobSatisfaction]],Table14[JobSatisfaction],Table14[Id_JobSatisfaction])</f>
        <v>JS001</v>
      </c>
      <c r="AC206">
        <v>1</v>
      </c>
      <c r="AD206" t="str">
        <f>_xlfn.XLOOKUP(Table1[[#This Row],[JobSatisfaction]],Table14[JobSatisfaction],Table14[Deskripsi])</f>
        <v>Low</v>
      </c>
      <c r="AE206" t="str">
        <f>_xlfn.XLOOKUP(Table1[[#This Row],[MaritalStatus]],Table15[MaritalStatus],Table15[Id_MaritalStatus])</f>
        <v>MS002</v>
      </c>
      <c r="AF206" t="s">
        <v>56</v>
      </c>
      <c r="AG206">
        <v>6673</v>
      </c>
      <c r="AH206">
        <v>11354</v>
      </c>
      <c r="AI206">
        <v>7</v>
      </c>
      <c r="AJ206" t="str">
        <f>_xlfn.XLOOKUP(Table1[[#This Row],[OverTime]],Table16[OverTime],Table16[Id_OverTime])</f>
        <v>OT001</v>
      </c>
      <c r="AK206" t="s">
        <v>32</v>
      </c>
      <c r="AL206">
        <v>19</v>
      </c>
      <c r="AM206" t="str">
        <f>_xlfn.XLOOKUP(Table1[[#This Row],[PerformanceRating]],Table17[PerformanceRating],Table17[Id_PerformanceRating])</f>
        <v>PR003</v>
      </c>
      <c r="AN206">
        <v>3</v>
      </c>
      <c r="AO206" t="str">
        <f>_xlfn.XLOOKUP(Table1[[#This Row],[PerformanceRating]],Table17[PerformanceRating],Table17[Deskripsi])</f>
        <v>Excellent</v>
      </c>
      <c r="AP206" t="str">
        <f>_xlfn.XLOOKUP(Table1[[#This Row],[RelationshipSatisfaction]],Table18[RelationshipSatisfaction],Table18[Id_RelationshipSatisfaction])</f>
        <v>RS002</v>
      </c>
      <c r="AQ206">
        <v>2</v>
      </c>
      <c r="AR206" t="str">
        <f>_xlfn.XLOOKUP(Table1[[#This Row],[RelationshipSatisfaction]],Table18[RelationshipSatisfaction],Table18[Deskripsi])</f>
        <v>Medium</v>
      </c>
      <c r="AS206" t="str">
        <f>_xlfn.XLOOKUP(Table1[[#This Row],[StockOptionLevel]],Table19[StockOptionLevel],Table19[Id_StockOptionLevel])</f>
        <v>SOL001</v>
      </c>
      <c r="AT206">
        <v>0</v>
      </c>
      <c r="AU206" t="str">
        <f>_xlfn.XLOOKUP(Table1[[#This Row],[StockOptionLevel]],Table19[StockOptionLevel],Table19[Deskripsi])</f>
        <v>Non-Eligible</v>
      </c>
      <c r="AV206">
        <v>17</v>
      </c>
      <c r="AW206">
        <v>2</v>
      </c>
      <c r="AX206" t="str">
        <f>_xlfn.XLOOKUP(Table1[[#This Row],[WorkLifeBalance]],Table20[WorkLifeBalance],Table20[Id_WorkLifeBalance])</f>
        <v>WLB002</v>
      </c>
      <c r="AY206">
        <v>3</v>
      </c>
      <c r="AZ206" t="str">
        <f>_xlfn.XLOOKUP(Table1[[#This Row],[WorkLifeBalance]],Table20[WorkLifeBalance],Table20[Deskripsi])</f>
        <v>Good</v>
      </c>
      <c r="BA206">
        <v>1</v>
      </c>
      <c r="BB206">
        <v>0</v>
      </c>
      <c r="BC206">
        <v>0</v>
      </c>
      <c r="BD206">
        <v>0</v>
      </c>
    </row>
    <row r="207" spans="1:56" x14ac:dyDescent="0.25">
      <c r="A207">
        <v>29</v>
      </c>
      <c r="B207" t="str">
        <f>_xlfn.XLOOKUP(Table1[[#This Row],[Attrition]],Table2[Attrition],Table2[Id_Attrition])</f>
        <v>A001</v>
      </c>
      <c r="C207" t="s">
        <v>32</v>
      </c>
      <c r="D207" t="str">
        <f>_xlfn.XLOOKUP(Table1[[#This Row],[BusinessTravel]],Table5[BusinessTravel],Table5[Id_BusinessTravel])</f>
        <v>BS001</v>
      </c>
      <c r="E207" t="s">
        <v>34</v>
      </c>
      <c r="F207">
        <v>121</v>
      </c>
      <c r="G207" t="str">
        <f>_xlfn.XLOOKUP(Table1[[#This Row],[Department]],Table6[Department],Table6[Id_Departement])</f>
        <v>D001</v>
      </c>
      <c r="H207" t="s">
        <v>37</v>
      </c>
      <c r="I207">
        <v>27</v>
      </c>
      <c r="J207" t="str">
        <f>_xlfn.XLOOKUP(Table1[[#This Row],[Education]],Table8[Education],Table8[Id_Education])</f>
        <v>E003</v>
      </c>
      <c r="K207">
        <v>3</v>
      </c>
      <c r="L207" t="str">
        <f>_xlfn.XLOOKUP(Table1[[#This Row],[EducationField]],Table7[EducationField],Table7[Id_EducationField])</f>
        <v>EF004</v>
      </c>
      <c r="M207" t="s">
        <v>43</v>
      </c>
      <c r="N207" t="str">
        <f>_xlfn.XLOOKUP(Table1[[#This Row],[EmployeeNumber]],Table4[EmployeeNumber],Table4[Id_Employee])</f>
        <v>EMP00206</v>
      </c>
      <c r="O207">
        <v>283</v>
      </c>
      <c r="P207" t="str">
        <f>_xlfn.XLOOKUP(Table1[[#This Row],[EnvironmentSatisfaction]],Table9[EnvironmentSatisfaction],Table9[Id_EnviromentSatisfaction])</f>
        <v>ES002</v>
      </c>
      <c r="Q207">
        <v>2</v>
      </c>
      <c r="R207" t="str">
        <f>_xlfn.XLOOKUP(Table1[[#This Row],[EnvironmentSatisfaction]],Table9[EnvironmentSatisfaction],Table9[Deskripsi])</f>
        <v>Medium</v>
      </c>
      <c r="S207" t="str">
        <f>_xlfn.XLOOKUP(Table1[[#This Row],[Gender]],Table10[Gender],Table10[Id_Gender])</f>
        <v>G001</v>
      </c>
      <c r="T207" t="s">
        <v>45</v>
      </c>
      <c r="U207">
        <v>35</v>
      </c>
      <c r="V207" t="str">
        <f>_xlfn.XLOOKUP(Table1[[#This Row],[JobInvolvement]],Table11[JobInvolvement],Table11[Id_JobInvolvement])</f>
        <v>JI003</v>
      </c>
      <c r="W207">
        <v>3</v>
      </c>
      <c r="X207" t="str">
        <f>_xlfn.XLOOKUP(Table1[[#This Row],[JobLevel]],Table12[JobLevel],Table12[Id_JobLevel])</f>
        <v>JL003</v>
      </c>
      <c r="Y207">
        <v>3</v>
      </c>
      <c r="Z207" t="str">
        <f>_xlfn.XLOOKUP(Table1[[#This Row],[JobRole]],Table13[JobRole],Table13[Id_JobRole])</f>
        <v>JR001</v>
      </c>
      <c r="AA207" t="s">
        <v>47</v>
      </c>
      <c r="AB207" t="str">
        <f>_xlfn.XLOOKUP(Table1[[#This Row],[JobSatisfaction]],Table14[JobSatisfaction],Table14[Id_JobSatisfaction])</f>
        <v>JS004</v>
      </c>
      <c r="AC207">
        <v>4</v>
      </c>
      <c r="AD207" t="str">
        <f>_xlfn.XLOOKUP(Table1[[#This Row],[JobSatisfaction]],Table14[JobSatisfaction],Table14[Deskripsi])</f>
        <v>Very High</v>
      </c>
      <c r="AE207" t="str">
        <f>_xlfn.XLOOKUP(Table1[[#This Row],[MaritalStatus]],Table15[MaritalStatus],Table15[Id_MaritalStatus])</f>
        <v>MS002</v>
      </c>
      <c r="AF207" t="s">
        <v>56</v>
      </c>
      <c r="AG207">
        <v>7639</v>
      </c>
      <c r="AH207">
        <v>24525</v>
      </c>
      <c r="AI207">
        <v>1</v>
      </c>
      <c r="AJ207" t="str">
        <f>_xlfn.XLOOKUP(Table1[[#This Row],[OverTime]],Table16[OverTime],Table16[Id_OverTime])</f>
        <v>OT002</v>
      </c>
      <c r="AK207" t="s">
        <v>33</v>
      </c>
      <c r="AL207">
        <v>22</v>
      </c>
      <c r="AM207" t="str">
        <f>_xlfn.XLOOKUP(Table1[[#This Row],[PerformanceRating]],Table17[PerformanceRating],Table17[Id_PerformanceRating])</f>
        <v>PR004</v>
      </c>
      <c r="AN207">
        <v>4</v>
      </c>
      <c r="AO207" t="str">
        <f>_xlfn.XLOOKUP(Table1[[#This Row],[PerformanceRating]],Table17[PerformanceRating],Table17[Deskripsi])</f>
        <v>Outstanding</v>
      </c>
      <c r="AP207" t="str">
        <f>_xlfn.XLOOKUP(Table1[[#This Row],[RelationshipSatisfaction]],Table18[RelationshipSatisfaction],Table18[Id_RelationshipSatisfaction])</f>
        <v>RS004</v>
      </c>
      <c r="AQ207">
        <v>4</v>
      </c>
      <c r="AR207" t="str">
        <f>_xlfn.XLOOKUP(Table1[[#This Row],[RelationshipSatisfaction]],Table18[RelationshipSatisfaction],Table18[Deskripsi])</f>
        <v>Very High</v>
      </c>
      <c r="AS207" t="str">
        <f>_xlfn.XLOOKUP(Table1[[#This Row],[StockOptionLevel]],Table19[StockOptionLevel],Table19[Id_StockOptionLevel])</f>
        <v>SOL004</v>
      </c>
      <c r="AT207">
        <v>3</v>
      </c>
      <c r="AU207" t="str">
        <f>_xlfn.XLOOKUP(Table1[[#This Row],[StockOptionLevel]],Table19[StockOptionLevel],Table19[Deskripsi])</f>
        <v>Senior/Executive</v>
      </c>
      <c r="AV207">
        <v>10</v>
      </c>
      <c r="AW207">
        <v>3</v>
      </c>
      <c r="AX207" t="str">
        <f>_xlfn.XLOOKUP(Table1[[#This Row],[WorkLifeBalance]],Table20[WorkLifeBalance],Table20[Id_WorkLifeBalance])</f>
        <v>WLB003</v>
      </c>
      <c r="AY207">
        <v>2</v>
      </c>
      <c r="AZ207" t="str">
        <f>_xlfn.XLOOKUP(Table1[[#This Row],[WorkLifeBalance]],Table20[WorkLifeBalance],Table20[Deskripsi])</f>
        <v>Better</v>
      </c>
      <c r="BA207">
        <v>10</v>
      </c>
      <c r="BB207">
        <v>4</v>
      </c>
      <c r="BC207">
        <v>1</v>
      </c>
      <c r="BD207">
        <v>9</v>
      </c>
    </row>
    <row r="208" spans="1:56" x14ac:dyDescent="0.25">
      <c r="A208">
        <v>22</v>
      </c>
      <c r="B208" t="str">
        <f>_xlfn.XLOOKUP(Table1[[#This Row],[Attrition]],Table2[Attrition],Table2[Id_Attrition])</f>
        <v>A002</v>
      </c>
      <c r="C208" t="s">
        <v>33</v>
      </c>
      <c r="D208" t="str">
        <f>_xlfn.XLOOKUP(Table1[[#This Row],[BusinessTravel]],Table5[BusinessTravel],Table5[Id_BusinessTravel])</f>
        <v>BS001</v>
      </c>
      <c r="E208" t="s">
        <v>34</v>
      </c>
      <c r="F208">
        <v>1136</v>
      </c>
      <c r="G208" t="str">
        <f>_xlfn.XLOOKUP(Table1[[#This Row],[Department]],Table6[Department],Table6[Id_Departement])</f>
        <v>D002</v>
      </c>
      <c r="H208" t="s">
        <v>38</v>
      </c>
      <c r="I208">
        <v>5</v>
      </c>
      <c r="J208" t="str">
        <f>_xlfn.XLOOKUP(Table1[[#This Row],[Education]],Table8[Education],Table8[Id_Education])</f>
        <v>E003</v>
      </c>
      <c r="K208">
        <v>3</v>
      </c>
      <c r="L208" t="str">
        <f>_xlfn.XLOOKUP(Table1[[#This Row],[EducationField]],Table7[EducationField],Table7[Id_EducationField])</f>
        <v>EF001</v>
      </c>
      <c r="M208" t="s">
        <v>40</v>
      </c>
      <c r="N208" t="str">
        <f>_xlfn.XLOOKUP(Table1[[#This Row],[EmployeeNumber]],Table4[EmployeeNumber],Table4[Id_Employee])</f>
        <v>EMP00207</v>
      </c>
      <c r="O208">
        <v>284</v>
      </c>
      <c r="P208" t="str">
        <f>_xlfn.XLOOKUP(Table1[[#This Row],[EnvironmentSatisfaction]],Table9[EnvironmentSatisfaction],Table9[Id_EnviromentSatisfaction])</f>
        <v>ES004</v>
      </c>
      <c r="Q208">
        <v>4</v>
      </c>
      <c r="R208" t="str">
        <f>_xlfn.XLOOKUP(Table1[[#This Row],[EnvironmentSatisfaction]],Table9[EnvironmentSatisfaction],Table9[Deskripsi])</f>
        <v>Very High</v>
      </c>
      <c r="S208" t="str">
        <f>_xlfn.XLOOKUP(Table1[[#This Row],[Gender]],Table10[Gender],Table10[Id_Gender])</f>
        <v>G002</v>
      </c>
      <c r="T208" t="s">
        <v>46</v>
      </c>
      <c r="U208">
        <v>60</v>
      </c>
      <c r="V208" t="str">
        <f>_xlfn.XLOOKUP(Table1[[#This Row],[JobInvolvement]],Table11[JobInvolvement],Table11[Id_JobInvolvement])</f>
        <v>JI004</v>
      </c>
      <c r="W208">
        <v>4</v>
      </c>
      <c r="X208" t="str">
        <f>_xlfn.XLOOKUP(Table1[[#This Row],[JobLevel]],Table12[JobLevel],Table12[Id_JobLevel])</f>
        <v>JL001</v>
      </c>
      <c r="Y208">
        <v>1</v>
      </c>
      <c r="Z208" t="str">
        <f>_xlfn.XLOOKUP(Table1[[#This Row],[JobRole]],Table13[JobRole],Table13[Id_JobRole])</f>
        <v>JR002</v>
      </c>
      <c r="AA208" t="s">
        <v>48</v>
      </c>
      <c r="AB208" t="str">
        <f>_xlfn.XLOOKUP(Table1[[#This Row],[JobSatisfaction]],Table14[JobSatisfaction],Table14[Id_JobSatisfaction])</f>
        <v>JS002</v>
      </c>
      <c r="AC208">
        <v>2</v>
      </c>
      <c r="AD208" t="str">
        <f>_xlfn.XLOOKUP(Table1[[#This Row],[JobSatisfaction]],Table14[JobSatisfaction],Table14[Deskripsi])</f>
        <v>Medium</v>
      </c>
      <c r="AE208" t="str">
        <f>_xlfn.XLOOKUP(Table1[[#This Row],[MaritalStatus]],Table15[MaritalStatus],Table15[Id_MaritalStatus])</f>
        <v>MS003</v>
      </c>
      <c r="AF208" t="s">
        <v>57</v>
      </c>
      <c r="AG208">
        <v>2328</v>
      </c>
      <c r="AH208">
        <v>12392</v>
      </c>
      <c r="AI208">
        <v>1</v>
      </c>
      <c r="AJ208" t="str">
        <f>_xlfn.XLOOKUP(Table1[[#This Row],[OverTime]],Table16[OverTime],Table16[Id_OverTime])</f>
        <v>OT001</v>
      </c>
      <c r="AK208" t="s">
        <v>32</v>
      </c>
      <c r="AL208">
        <v>16</v>
      </c>
      <c r="AM208" t="str">
        <f>_xlfn.XLOOKUP(Table1[[#This Row],[PerformanceRating]],Table17[PerformanceRating],Table17[Id_PerformanceRating])</f>
        <v>PR003</v>
      </c>
      <c r="AN208">
        <v>3</v>
      </c>
      <c r="AO208" t="str">
        <f>_xlfn.XLOOKUP(Table1[[#This Row],[PerformanceRating]],Table17[PerformanceRating],Table17[Deskripsi])</f>
        <v>Excellent</v>
      </c>
      <c r="AP208" t="str">
        <f>_xlfn.XLOOKUP(Table1[[#This Row],[RelationshipSatisfaction]],Table18[RelationshipSatisfaction],Table18[Id_RelationshipSatisfaction])</f>
        <v>RS001</v>
      </c>
      <c r="AQ208">
        <v>1</v>
      </c>
      <c r="AR208" t="str">
        <f>_xlfn.XLOOKUP(Table1[[#This Row],[RelationshipSatisfaction]],Table18[RelationshipSatisfaction],Table18[Deskripsi])</f>
        <v>Low</v>
      </c>
      <c r="AS208" t="str">
        <f>_xlfn.XLOOKUP(Table1[[#This Row],[StockOptionLevel]],Table19[StockOptionLevel],Table19[Id_StockOptionLevel])</f>
        <v>SOL002</v>
      </c>
      <c r="AT208">
        <v>1</v>
      </c>
      <c r="AU208" t="str">
        <f>_xlfn.XLOOKUP(Table1[[#This Row],[StockOptionLevel]],Table19[StockOptionLevel],Table19[Deskripsi])</f>
        <v>Standard</v>
      </c>
      <c r="AV208">
        <v>4</v>
      </c>
      <c r="AW208">
        <v>2</v>
      </c>
      <c r="AX208" t="str">
        <f>_xlfn.XLOOKUP(Table1[[#This Row],[WorkLifeBalance]],Table20[WorkLifeBalance],Table20[Id_WorkLifeBalance])</f>
        <v>WLB003</v>
      </c>
      <c r="AY208">
        <v>2</v>
      </c>
      <c r="AZ208" t="str">
        <f>_xlfn.XLOOKUP(Table1[[#This Row],[WorkLifeBalance]],Table20[WorkLifeBalance],Table20[Deskripsi])</f>
        <v>Better</v>
      </c>
      <c r="BA208">
        <v>4</v>
      </c>
      <c r="BB208">
        <v>2</v>
      </c>
      <c r="BC208">
        <v>2</v>
      </c>
      <c r="BD208">
        <v>2</v>
      </c>
    </row>
    <row r="209" spans="1:56" x14ac:dyDescent="0.25">
      <c r="A209">
        <v>36</v>
      </c>
      <c r="B209" t="str">
        <f>_xlfn.XLOOKUP(Table1[[#This Row],[Attrition]],Table2[Attrition],Table2[Id_Attrition])</f>
        <v>A002</v>
      </c>
      <c r="C209" t="s">
        <v>33</v>
      </c>
      <c r="D209" t="str">
        <f>_xlfn.XLOOKUP(Table1[[#This Row],[BusinessTravel]],Table5[BusinessTravel],Table5[Id_BusinessTravel])</f>
        <v>BS002</v>
      </c>
      <c r="E209" t="s">
        <v>35</v>
      </c>
      <c r="F209">
        <v>635</v>
      </c>
      <c r="G209" t="str">
        <f>_xlfn.XLOOKUP(Table1[[#This Row],[Department]],Table6[Department],Table6[Id_Departement])</f>
        <v>D002</v>
      </c>
      <c r="H209" t="s">
        <v>38</v>
      </c>
      <c r="I209">
        <v>18</v>
      </c>
      <c r="J209" t="str">
        <f>_xlfn.XLOOKUP(Table1[[#This Row],[Education]],Table8[Education],Table8[Id_Education])</f>
        <v>E001</v>
      </c>
      <c r="K209">
        <v>1</v>
      </c>
      <c r="L209" t="str">
        <f>_xlfn.XLOOKUP(Table1[[#This Row],[EducationField]],Table7[EducationField],Table7[Id_EducationField])</f>
        <v>EF003</v>
      </c>
      <c r="M209" t="s">
        <v>42</v>
      </c>
      <c r="N209" t="str">
        <f>_xlfn.XLOOKUP(Table1[[#This Row],[EmployeeNumber]],Table4[EmployeeNumber],Table4[Id_Employee])</f>
        <v>EMP00208</v>
      </c>
      <c r="O209">
        <v>286</v>
      </c>
      <c r="P209" t="str">
        <f>_xlfn.XLOOKUP(Table1[[#This Row],[EnvironmentSatisfaction]],Table9[EnvironmentSatisfaction],Table9[Id_EnviromentSatisfaction])</f>
        <v>ES002</v>
      </c>
      <c r="Q209">
        <v>2</v>
      </c>
      <c r="R209" t="str">
        <f>_xlfn.XLOOKUP(Table1[[#This Row],[EnvironmentSatisfaction]],Table9[EnvironmentSatisfaction],Table9[Deskripsi])</f>
        <v>Medium</v>
      </c>
      <c r="S209" t="str">
        <f>_xlfn.XLOOKUP(Table1[[#This Row],[Gender]],Table10[Gender],Table10[Id_Gender])</f>
        <v>G001</v>
      </c>
      <c r="T209" t="s">
        <v>45</v>
      </c>
      <c r="U209">
        <v>73</v>
      </c>
      <c r="V209" t="str">
        <f>_xlfn.XLOOKUP(Table1[[#This Row],[JobInvolvement]],Table11[JobInvolvement],Table11[Id_JobInvolvement])</f>
        <v>JI003</v>
      </c>
      <c r="W209">
        <v>3</v>
      </c>
      <c r="X209" t="str">
        <f>_xlfn.XLOOKUP(Table1[[#This Row],[JobLevel]],Table12[JobLevel],Table12[Id_JobLevel])</f>
        <v>JL001</v>
      </c>
      <c r="Y209">
        <v>1</v>
      </c>
      <c r="Z209" t="str">
        <f>_xlfn.XLOOKUP(Table1[[#This Row],[JobRole]],Table13[JobRole],Table13[Id_JobRole])</f>
        <v>JR003</v>
      </c>
      <c r="AA209" t="s">
        <v>49</v>
      </c>
      <c r="AB209" t="str">
        <f>_xlfn.XLOOKUP(Table1[[#This Row],[JobSatisfaction]],Table14[JobSatisfaction],Table14[Id_JobSatisfaction])</f>
        <v>JS004</v>
      </c>
      <c r="AC209">
        <v>4</v>
      </c>
      <c r="AD209" t="str">
        <f>_xlfn.XLOOKUP(Table1[[#This Row],[JobSatisfaction]],Table14[JobSatisfaction],Table14[Deskripsi])</f>
        <v>Very High</v>
      </c>
      <c r="AE209" t="str">
        <f>_xlfn.XLOOKUP(Table1[[#This Row],[MaritalStatus]],Table15[MaritalStatus],Table15[Id_MaritalStatus])</f>
        <v>MS001</v>
      </c>
      <c r="AF209" t="s">
        <v>55</v>
      </c>
      <c r="AG209">
        <v>2153</v>
      </c>
      <c r="AH209">
        <v>7703</v>
      </c>
      <c r="AI209">
        <v>1</v>
      </c>
      <c r="AJ209" t="str">
        <f>_xlfn.XLOOKUP(Table1[[#This Row],[OverTime]],Table16[OverTime],Table16[Id_OverTime])</f>
        <v>OT002</v>
      </c>
      <c r="AK209" t="s">
        <v>33</v>
      </c>
      <c r="AL209">
        <v>13</v>
      </c>
      <c r="AM209" t="str">
        <f>_xlfn.XLOOKUP(Table1[[#This Row],[PerformanceRating]],Table17[PerformanceRating],Table17[Id_PerformanceRating])</f>
        <v>PR003</v>
      </c>
      <c r="AN209">
        <v>3</v>
      </c>
      <c r="AO209" t="str">
        <f>_xlfn.XLOOKUP(Table1[[#This Row],[PerformanceRating]],Table17[PerformanceRating],Table17[Deskripsi])</f>
        <v>Excellent</v>
      </c>
      <c r="AP209" t="str">
        <f>_xlfn.XLOOKUP(Table1[[#This Row],[RelationshipSatisfaction]],Table18[RelationshipSatisfaction],Table18[Id_RelationshipSatisfaction])</f>
        <v>RS001</v>
      </c>
      <c r="AQ209">
        <v>1</v>
      </c>
      <c r="AR209" t="str">
        <f>_xlfn.XLOOKUP(Table1[[#This Row],[RelationshipSatisfaction]],Table18[RelationshipSatisfaction],Table18[Deskripsi])</f>
        <v>Low</v>
      </c>
      <c r="AS209" t="str">
        <f>_xlfn.XLOOKUP(Table1[[#This Row],[StockOptionLevel]],Table19[StockOptionLevel],Table19[Id_StockOptionLevel])</f>
        <v>SOL001</v>
      </c>
      <c r="AT209">
        <v>0</v>
      </c>
      <c r="AU209" t="str">
        <f>_xlfn.XLOOKUP(Table1[[#This Row],[StockOptionLevel]],Table19[StockOptionLevel],Table19[Deskripsi])</f>
        <v>Non-Eligible</v>
      </c>
      <c r="AV209">
        <v>8</v>
      </c>
      <c r="AW209">
        <v>2</v>
      </c>
      <c r="AX209" t="str">
        <f>_xlfn.XLOOKUP(Table1[[#This Row],[WorkLifeBalance]],Table20[WorkLifeBalance],Table20[Id_WorkLifeBalance])</f>
        <v>WLB002</v>
      </c>
      <c r="AY209">
        <v>3</v>
      </c>
      <c r="AZ209" t="str">
        <f>_xlfn.XLOOKUP(Table1[[#This Row],[WorkLifeBalance]],Table20[WorkLifeBalance],Table20[Deskripsi])</f>
        <v>Good</v>
      </c>
      <c r="BA209">
        <v>8</v>
      </c>
      <c r="BB209">
        <v>1</v>
      </c>
      <c r="BC209">
        <v>1</v>
      </c>
      <c r="BD209">
        <v>7</v>
      </c>
    </row>
    <row r="210" spans="1:56" x14ac:dyDescent="0.25">
      <c r="A210">
        <v>40</v>
      </c>
      <c r="B210" t="str">
        <f>_xlfn.XLOOKUP(Table1[[#This Row],[Attrition]],Table2[Attrition],Table2[Id_Attrition])</f>
        <v>A002</v>
      </c>
      <c r="C210" t="s">
        <v>33</v>
      </c>
      <c r="D210" t="str">
        <f>_xlfn.XLOOKUP(Table1[[#This Row],[BusinessTravel]],Table5[BusinessTravel],Table5[Id_BusinessTravel])</f>
        <v>BS003</v>
      </c>
      <c r="E210" t="s">
        <v>36</v>
      </c>
      <c r="F210">
        <v>1151</v>
      </c>
      <c r="G210" t="str">
        <f>_xlfn.XLOOKUP(Table1[[#This Row],[Department]],Table6[Department],Table6[Id_Departement])</f>
        <v>D002</v>
      </c>
      <c r="H210" t="s">
        <v>38</v>
      </c>
      <c r="I210">
        <v>9</v>
      </c>
      <c r="J210" t="str">
        <f>_xlfn.XLOOKUP(Table1[[#This Row],[Education]],Table8[Education],Table8[Id_Education])</f>
        <v>E005</v>
      </c>
      <c r="K210">
        <v>5</v>
      </c>
      <c r="L210" t="str">
        <f>_xlfn.XLOOKUP(Table1[[#This Row],[EducationField]],Table7[EducationField],Table7[Id_EducationField])</f>
        <v>EF001</v>
      </c>
      <c r="M210" t="s">
        <v>40</v>
      </c>
      <c r="N210" t="str">
        <f>_xlfn.XLOOKUP(Table1[[#This Row],[EmployeeNumber]],Table4[EmployeeNumber],Table4[Id_Employee])</f>
        <v>EMP00209</v>
      </c>
      <c r="O210">
        <v>287</v>
      </c>
      <c r="P210" t="str">
        <f>_xlfn.XLOOKUP(Table1[[#This Row],[EnvironmentSatisfaction]],Table9[EnvironmentSatisfaction],Table9[Id_EnviromentSatisfaction])</f>
        <v>ES004</v>
      </c>
      <c r="Q210">
        <v>4</v>
      </c>
      <c r="R210" t="str">
        <f>_xlfn.XLOOKUP(Table1[[#This Row],[EnvironmentSatisfaction]],Table9[EnvironmentSatisfaction],Table9[Deskripsi])</f>
        <v>Very High</v>
      </c>
      <c r="S210" t="str">
        <f>_xlfn.XLOOKUP(Table1[[#This Row],[Gender]],Table10[Gender],Table10[Id_Gender])</f>
        <v>G002</v>
      </c>
      <c r="T210" t="s">
        <v>46</v>
      </c>
      <c r="U210">
        <v>63</v>
      </c>
      <c r="V210" t="str">
        <f>_xlfn.XLOOKUP(Table1[[#This Row],[JobInvolvement]],Table11[JobInvolvement],Table11[Id_JobInvolvement])</f>
        <v>JI002</v>
      </c>
      <c r="W210">
        <v>2</v>
      </c>
      <c r="X210" t="str">
        <f>_xlfn.XLOOKUP(Table1[[#This Row],[JobLevel]],Table12[JobLevel],Table12[Id_JobLevel])</f>
        <v>JL002</v>
      </c>
      <c r="Y210">
        <v>2</v>
      </c>
      <c r="Z210" t="str">
        <f>_xlfn.XLOOKUP(Table1[[#This Row],[JobRole]],Table13[JobRole],Table13[Id_JobRole])</f>
        <v>JR005</v>
      </c>
      <c r="AA210" t="s">
        <v>51</v>
      </c>
      <c r="AB210" t="str">
        <f>_xlfn.XLOOKUP(Table1[[#This Row],[JobSatisfaction]],Table14[JobSatisfaction],Table14[Id_JobSatisfaction])</f>
        <v>JS004</v>
      </c>
      <c r="AC210">
        <v>4</v>
      </c>
      <c r="AD210" t="str">
        <f>_xlfn.XLOOKUP(Table1[[#This Row],[JobSatisfaction]],Table14[JobSatisfaction],Table14[Deskripsi])</f>
        <v>Very High</v>
      </c>
      <c r="AE210" t="str">
        <f>_xlfn.XLOOKUP(Table1[[#This Row],[MaritalStatus]],Table15[MaritalStatus],Table15[Id_MaritalStatus])</f>
        <v>MS002</v>
      </c>
      <c r="AF210" t="s">
        <v>56</v>
      </c>
      <c r="AG210">
        <v>4876</v>
      </c>
      <c r="AH210">
        <v>14242</v>
      </c>
      <c r="AI210">
        <v>9</v>
      </c>
      <c r="AJ210" t="str">
        <f>_xlfn.XLOOKUP(Table1[[#This Row],[OverTime]],Table16[OverTime],Table16[Id_OverTime])</f>
        <v>OT002</v>
      </c>
      <c r="AK210" t="s">
        <v>33</v>
      </c>
      <c r="AL210">
        <v>14</v>
      </c>
      <c r="AM210" t="str">
        <f>_xlfn.XLOOKUP(Table1[[#This Row],[PerformanceRating]],Table17[PerformanceRating],Table17[Id_PerformanceRating])</f>
        <v>PR003</v>
      </c>
      <c r="AN210">
        <v>3</v>
      </c>
      <c r="AO210" t="str">
        <f>_xlfn.XLOOKUP(Table1[[#This Row],[PerformanceRating]],Table17[PerformanceRating],Table17[Deskripsi])</f>
        <v>Excellent</v>
      </c>
      <c r="AP210" t="str">
        <f>_xlfn.XLOOKUP(Table1[[#This Row],[RelationshipSatisfaction]],Table18[RelationshipSatisfaction],Table18[Id_RelationshipSatisfaction])</f>
        <v>RS004</v>
      </c>
      <c r="AQ210">
        <v>4</v>
      </c>
      <c r="AR210" t="str">
        <f>_xlfn.XLOOKUP(Table1[[#This Row],[RelationshipSatisfaction]],Table18[RelationshipSatisfaction],Table18[Deskripsi])</f>
        <v>Very High</v>
      </c>
      <c r="AS210" t="str">
        <f>_xlfn.XLOOKUP(Table1[[#This Row],[StockOptionLevel]],Table19[StockOptionLevel],Table19[Id_StockOptionLevel])</f>
        <v>SOL002</v>
      </c>
      <c r="AT210">
        <v>1</v>
      </c>
      <c r="AU210" t="str">
        <f>_xlfn.XLOOKUP(Table1[[#This Row],[StockOptionLevel]],Table19[StockOptionLevel],Table19[Deskripsi])</f>
        <v>Standard</v>
      </c>
      <c r="AV210">
        <v>5</v>
      </c>
      <c r="AW210">
        <v>5</v>
      </c>
      <c r="AX210" t="str">
        <f>_xlfn.XLOOKUP(Table1[[#This Row],[WorkLifeBalance]],Table20[WorkLifeBalance],Table20[Id_WorkLifeBalance])</f>
        <v>WLB001</v>
      </c>
      <c r="AY210">
        <v>1</v>
      </c>
      <c r="AZ210" t="str">
        <f>_xlfn.XLOOKUP(Table1[[#This Row],[WorkLifeBalance]],Table20[WorkLifeBalance],Table20[Deskripsi])</f>
        <v>Bad</v>
      </c>
      <c r="BA210">
        <v>3</v>
      </c>
      <c r="BB210">
        <v>2</v>
      </c>
      <c r="BC210">
        <v>0</v>
      </c>
      <c r="BD210">
        <v>2</v>
      </c>
    </row>
    <row r="211" spans="1:56" x14ac:dyDescent="0.25">
      <c r="A211">
        <v>46</v>
      </c>
      <c r="B211" t="str">
        <f>_xlfn.XLOOKUP(Table1[[#This Row],[Attrition]],Table2[Attrition],Table2[Id_Attrition])</f>
        <v>A002</v>
      </c>
      <c r="C211" t="s">
        <v>33</v>
      </c>
      <c r="D211" t="str">
        <f>_xlfn.XLOOKUP(Table1[[#This Row],[BusinessTravel]],Table5[BusinessTravel],Table5[Id_BusinessTravel])</f>
        <v>BS001</v>
      </c>
      <c r="E211" t="s">
        <v>34</v>
      </c>
      <c r="F211">
        <v>644</v>
      </c>
      <c r="G211" t="str">
        <f>_xlfn.XLOOKUP(Table1[[#This Row],[Department]],Table6[Department],Table6[Id_Departement])</f>
        <v>D002</v>
      </c>
      <c r="H211" t="s">
        <v>38</v>
      </c>
      <c r="I211">
        <v>1</v>
      </c>
      <c r="J211" t="str">
        <f>_xlfn.XLOOKUP(Table1[[#This Row],[Education]],Table8[Education],Table8[Id_Education])</f>
        <v>E004</v>
      </c>
      <c r="K211">
        <v>4</v>
      </c>
      <c r="L211" t="str">
        <f>_xlfn.XLOOKUP(Table1[[#This Row],[EducationField]],Table7[EducationField],Table7[Id_EducationField])</f>
        <v>EF003</v>
      </c>
      <c r="M211" t="s">
        <v>42</v>
      </c>
      <c r="N211" t="str">
        <f>_xlfn.XLOOKUP(Table1[[#This Row],[EmployeeNumber]],Table4[EmployeeNumber],Table4[Id_Employee])</f>
        <v>EMP00210</v>
      </c>
      <c r="O211">
        <v>288</v>
      </c>
      <c r="P211" t="str">
        <f>_xlfn.XLOOKUP(Table1[[#This Row],[EnvironmentSatisfaction]],Table9[EnvironmentSatisfaction],Table9[Id_EnviromentSatisfaction])</f>
        <v>ES004</v>
      </c>
      <c r="Q211">
        <v>4</v>
      </c>
      <c r="R211" t="str">
        <f>_xlfn.XLOOKUP(Table1[[#This Row],[EnvironmentSatisfaction]],Table9[EnvironmentSatisfaction],Table9[Deskripsi])</f>
        <v>Very High</v>
      </c>
      <c r="S211" t="str">
        <f>_xlfn.XLOOKUP(Table1[[#This Row],[Gender]],Table10[Gender],Table10[Id_Gender])</f>
        <v>G002</v>
      </c>
      <c r="T211" t="s">
        <v>46</v>
      </c>
      <c r="U211">
        <v>97</v>
      </c>
      <c r="V211" t="str">
        <f>_xlfn.XLOOKUP(Table1[[#This Row],[JobInvolvement]],Table11[JobInvolvement],Table11[Id_JobInvolvement])</f>
        <v>JI003</v>
      </c>
      <c r="W211">
        <v>3</v>
      </c>
      <c r="X211" t="str">
        <f>_xlfn.XLOOKUP(Table1[[#This Row],[JobLevel]],Table12[JobLevel],Table12[Id_JobLevel])</f>
        <v>JL003</v>
      </c>
      <c r="Y211">
        <v>3</v>
      </c>
      <c r="Z211" t="str">
        <f>_xlfn.XLOOKUP(Table1[[#This Row],[JobRole]],Table13[JobRole],Table13[Id_JobRole])</f>
        <v>JR005</v>
      </c>
      <c r="AA211" t="s">
        <v>51</v>
      </c>
      <c r="AB211" t="str">
        <f>_xlfn.XLOOKUP(Table1[[#This Row],[JobSatisfaction]],Table14[JobSatisfaction],Table14[Id_JobSatisfaction])</f>
        <v>JS001</v>
      </c>
      <c r="AC211">
        <v>1</v>
      </c>
      <c r="AD211" t="str">
        <f>_xlfn.XLOOKUP(Table1[[#This Row],[JobSatisfaction]],Table14[JobSatisfaction],Table14[Deskripsi])</f>
        <v>Low</v>
      </c>
      <c r="AE211" t="str">
        <f>_xlfn.XLOOKUP(Table1[[#This Row],[MaritalStatus]],Table15[MaritalStatus],Table15[Id_MaritalStatus])</f>
        <v>MS003</v>
      </c>
      <c r="AF211" t="s">
        <v>57</v>
      </c>
      <c r="AG211">
        <v>9396</v>
      </c>
      <c r="AH211">
        <v>12368</v>
      </c>
      <c r="AI211">
        <v>7</v>
      </c>
      <c r="AJ211" t="str">
        <f>_xlfn.XLOOKUP(Table1[[#This Row],[OverTime]],Table16[OverTime],Table16[Id_OverTime])</f>
        <v>OT002</v>
      </c>
      <c r="AK211" t="s">
        <v>33</v>
      </c>
      <c r="AL211">
        <v>16</v>
      </c>
      <c r="AM211" t="str">
        <f>_xlfn.XLOOKUP(Table1[[#This Row],[PerformanceRating]],Table17[PerformanceRating],Table17[Id_PerformanceRating])</f>
        <v>PR003</v>
      </c>
      <c r="AN211">
        <v>3</v>
      </c>
      <c r="AO211" t="str">
        <f>_xlfn.XLOOKUP(Table1[[#This Row],[PerformanceRating]],Table17[PerformanceRating],Table17[Deskripsi])</f>
        <v>Excellent</v>
      </c>
      <c r="AP211" t="str">
        <f>_xlfn.XLOOKUP(Table1[[#This Row],[RelationshipSatisfaction]],Table18[RelationshipSatisfaction],Table18[Id_RelationshipSatisfaction])</f>
        <v>RS003</v>
      </c>
      <c r="AQ211">
        <v>3</v>
      </c>
      <c r="AR211" t="str">
        <f>_xlfn.XLOOKUP(Table1[[#This Row],[RelationshipSatisfaction]],Table18[RelationshipSatisfaction],Table18[Deskripsi])</f>
        <v>High</v>
      </c>
      <c r="AS211" t="str">
        <f>_xlfn.XLOOKUP(Table1[[#This Row],[StockOptionLevel]],Table19[StockOptionLevel],Table19[Id_StockOptionLevel])</f>
        <v>SOL002</v>
      </c>
      <c r="AT211">
        <v>1</v>
      </c>
      <c r="AU211" t="str">
        <f>_xlfn.XLOOKUP(Table1[[#This Row],[StockOptionLevel]],Table19[StockOptionLevel],Table19[Deskripsi])</f>
        <v>Standard</v>
      </c>
      <c r="AV211">
        <v>17</v>
      </c>
      <c r="AW211">
        <v>3</v>
      </c>
      <c r="AX211" t="str">
        <f>_xlfn.XLOOKUP(Table1[[#This Row],[WorkLifeBalance]],Table20[WorkLifeBalance],Table20[Id_WorkLifeBalance])</f>
        <v>WLB002</v>
      </c>
      <c r="AY211">
        <v>3</v>
      </c>
      <c r="AZ211" t="str">
        <f>_xlfn.XLOOKUP(Table1[[#This Row],[WorkLifeBalance]],Table20[WorkLifeBalance],Table20[Deskripsi])</f>
        <v>Good</v>
      </c>
      <c r="BA211">
        <v>4</v>
      </c>
      <c r="BB211">
        <v>2</v>
      </c>
      <c r="BC211">
        <v>0</v>
      </c>
      <c r="BD211">
        <v>3</v>
      </c>
    </row>
    <row r="212" spans="1:56" x14ac:dyDescent="0.25">
      <c r="A212">
        <v>32</v>
      </c>
      <c r="B212" t="str">
        <f>_xlfn.XLOOKUP(Table1[[#This Row],[Attrition]],Table2[Attrition],Table2[Id_Attrition])</f>
        <v>A001</v>
      </c>
      <c r="C212" t="s">
        <v>32</v>
      </c>
      <c r="D212" t="str">
        <f>_xlfn.XLOOKUP(Table1[[#This Row],[BusinessTravel]],Table5[BusinessTravel],Table5[Id_BusinessTravel])</f>
        <v>BS001</v>
      </c>
      <c r="E212" t="s">
        <v>34</v>
      </c>
      <c r="F212">
        <v>1045</v>
      </c>
      <c r="G212" t="str">
        <f>_xlfn.XLOOKUP(Table1[[#This Row],[Department]],Table6[Department],Table6[Id_Departement])</f>
        <v>D001</v>
      </c>
      <c r="H212" t="s">
        <v>37</v>
      </c>
      <c r="I212">
        <v>4</v>
      </c>
      <c r="J212" t="str">
        <f>_xlfn.XLOOKUP(Table1[[#This Row],[Education]],Table8[Education],Table8[Id_Education])</f>
        <v>E004</v>
      </c>
      <c r="K212">
        <v>4</v>
      </c>
      <c r="L212" t="str">
        <f>_xlfn.XLOOKUP(Table1[[#This Row],[EducationField]],Table7[EducationField],Table7[Id_EducationField])</f>
        <v>EF003</v>
      </c>
      <c r="M212" t="s">
        <v>42</v>
      </c>
      <c r="N212" t="str">
        <f>_xlfn.XLOOKUP(Table1[[#This Row],[EmployeeNumber]],Table4[EmployeeNumber],Table4[Id_Employee])</f>
        <v>EMP00211</v>
      </c>
      <c r="O212">
        <v>291</v>
      </c>
      <c r="P212" t="str">
        <f>_xlfn.XLOOKUP(Table1[[#This Row],[EnvironmentSatisfaction]],Table9[EnvironmentSatisfaction],Table9[Id_EnviromentSatisfaction])</f>
        <v>ES004</v>
      </c>
      <c r="Q212">
        <v>4</v>
      </c>
      <c r="R212" t="str">
        <f>_xlfn.XLOOKUP(Table1[[#This Row],[EnvironmentSatisfaction]],Table9[EnvironmentSatisfaction],Table9[Deskripsi])</f>
        <v>Very High</v>
      </c>
      <c r="S212" t="str">
        <f>_xlfn.XLOOKUP(Table1[[#This Row],[Gender]],Table10[Gender],Table10[Id_Gender])</f>
        <v>G002</v>
      </c>
      <c r="T212" t="s">
        <v>46</v>
      </c>
      <c r="U212">
        <v>32</v>
      </c>
      <c r="V212" t="str">
        <f>_xlfn.XLOOKUP(Table1[[#This Row],[JobInvolvement]],Table11[JobInvolvement],Table11[Id_JobInvolvement])</f>
        <v>JI001</v>
      </c>
      <c r="W212">
        <v>1</v>
      </c>
      <c r="X212" t="str">
        <f>_xlfn.XLOOKUP(Table1[[#This Row],[JobLevel]],Table12[JobLevel],Table12[Id_JobLevel])</f>
        <v>JL003</v>
      </c>
      <c r="Y212">
        <v>3</v>
      </c>
      <c r="Z212" t="str">
        <f>_xlfn.XLOOKUP(Table1[[#This Row],[JobRole]],Table13[JobRole],Table13[Id_JobRole])</f>
        <v>JR001</v>
      </c>
      <c r="AA212" t="s">
        <v>47</v>
      </c>
      <c r="AB212" t="str">
        <f>_xlfn.XLOOKUP(Table1[[#This Row],[JobSatisfaction]],Table14[JobSatisfaction],Table14[Id_JobSatisfaction])</f>
        <v>JS004</v>
      </c>
      <c r="AC212">
        <v>4</v>
      </c>
      <c r="AD212" t="str">
        <f>_xlfn.XLOOKUP(Table1[[#This Row],[JobSatisfaction]],Table14[JobSatisfaction],Table14[Deskripsi])</f>
        <v>Very High</v>
      </c>
      <c r="AE212" t="str">
        <f>_xlfn.XLOOKUP(Table1[[#This Row],[MaritalStatus]],Table15[MaritalStatus],Table15[Id_MaritalStatus])</f>
        <v>MS002</v>
      </c>
      <c r="AF212" t="s">
        <v>56</v>
      </c>
      <c r="AG212">
        <v>10400</v>
      </c>
      <c r="AH212">
        <v>25812</v>
      </c>
      <c r="AI212">
        <v>1</v>
      </c>
      <c r="AJ212" t="str">
        <f>_xlfn.XLOOKUP(Table1[[#This Row],[OverTime]],Table16[OverTime],Table16[Id_OverTime])</f>
        <v>OT002</v>
      </c>
      <c r="AK212" t="s">
        <v>33</v>
      </c>
      <c r="AL212">
        <v>11</v>
      </c>
      <c r="AM212" t="str">
        <f>_xlfn.XLOOKUP(Table1[[#This Row],[PerformanceRating]],Table17[PerformanceRating],Table17[Id_PerformanceRating])</f>
        <v>PR003</v>
      </c>
      <c r="AN212">
        <v>3</v>
      </c>
      <c r="AO212" t="str">
        <f>_xlfn.XLOOKUP(Table1[[#This Row],[PerformanceRating]],Table17[PerformanceRating],Table17[Deskripsi])</f>
        <v>Excellent</v>
      </c>
      <c r="AP212" t="str">
        <f>_xlfn.XLOOKUP(Table1[[#This Row],[RelationshipSatisfaction]],Table18[RelationshipSatisfaction],Table18[Id_RelationshipSatisfaction])</f>
        <v>RS003</v>
      </c>
      <c r="AQ212">
        <v>3</v>
      </c>
      <c r="AR212" t="str">
        <f>_xlfn.XLOOKUP(Table1[[#This Row],[RelationshipSatisfaction]],Table18[RelationshipSatisfaction],Table18[Deskripsi])</f>
        <v>High</v>
      </c>
      <c r="AS212" t="str">
        <f>_xlfn.XLOOKUP(Table1[[#This Row],[StockOptionLevel]],Table19[StockOptionLevel],Table19[Id_StockOptionLevel])</f>
        <v>SOL001</v>
      </c>
      <c r="AT212">
        <v>0</v>
      </c>
      <c r="AU212" t="str">
        <f>_xlfn.XLOOKUP(Table1[[#This Row],[StockOptionLevel]],Table19[StockOptionLevel],Table19[Deskripsi])</f>
        <v>Non-Eligible</v>
      </c>
      <c r="AV212">
        <v>14</v>
      </c>
      <c r="AW212">
        <v>2</v>
      </c>
      <c r="AX212" t="str">
        <f>_xlfn.XLOOKUP(Table1[[#This Row],[WorkLifeBalance]],Table20[WorkLifeBalance],Table20[Id_WorkLifeBalance])</f>
        <v>WLB003</v>
      </c>
      <c r="AY212">
        <v>2</v>
      </c>
      <c r="AZ212" t="str">
        <f>_xlfn.XLOOKUP(Table1[[#This Row],[WorkLifeBalance]],Table20[WorkLifeBalance],Table20[Deskripsi])</f>
        <v>Better</v>
      </c>
      <c r="BA212">
        <v>14</v>
      </c>
      <c r="BB212">
        <v>8</v>
      </c>
      <c r="BC212">
        <v>9</v>
      </c>
      <c r="BD212">
        <v>8</v>
      </c>
    </row>
    <row r="213" spans="1:56" x14ac:dyDescent="0.25">
      <c r="A213">
        <v>30</v>
      </c>
      <c r="B213" t="str">
        <f>_xlfn.XLOOKUP(Table1[[#This Row],[Attrition]],Table2[Attrition],Table2[Id_Attrition])</f>
        <v>A002</v>
      </c>
      <c r="C213" t="s">
        <v>33</v>
      </c>
      <c r="D213" t="str">
        <f>_xlfn.XLOOKUP(Table1[[#This Row],[BusinessTravel]],Table5[BusinessTravel],Table5[Id_BusinessTravel])</f>
        <v>BS003</v>
      </c>
      <c r="E213" t="s">
        <v>36</v>
      </c>
      <c r="F213">
        <v>829</v>
      </c>
      <c r="G213" t="str">
        <f>_xlfn.XLOOKUP(Table1[[#This Row],[Department]],Table6[Department],Table6[Id_Departement])</f>
        <v>D002</v>
      </c>
      <c r="H213" t="s">
        <v>38</v>
      </c>
      <c r="I213">
        <v>1</v>
      </c>
      <c r="J213" t="str">
        <f>_xlfn.XLOOKUP(Table1[[#This Row],[Education]],Table8[Education],Table8[Id_Education])</f>
        <v>E001</v>
      </c>
      <c r="K213">
        <v>1</v>
      </c>
      <c r="L213" t="str">
        <f>_xlfn.XLOOKUP(Table1[[#This Row],[EducationField]],Table7[EducationField],Table7[Id_EducationField])</f>
        <v>EF001</v>
      </c>
      <c r="M213" t="s">
        <v>40</v>
      </c>
      <c r="N213" t="str">
        <f>_xlfn.XLOOKUP(Table1[[#This Row],[EmployeeNumber]],Table4[EmployeeNumber],Table4[Id_Employee])</f>
        <v>EMP00212</v>
      </c>
      <c r="O213">
        <v>292</v>
      </c>
      <c r="P213" t="str">
        <f>_xlfn.XLOOKUP(Table1[[#This Row],[EnvironmentSatisfaction]],Table9[EnvironmentSatisfaction],Table9[Id_EnviromentSatisfaction])</f>
        <v>ES003</v>
      </c>
      <c r="Q213">
        <v>3</v>
      </c>
      <c r="R213" t="str">
        <f>_xlfn.XLOOKUP(Table1[[#This Row],[EnvironmentSatisfaction]],Table9[EnvironmentSatisfaction],Table9[Deskripsi])</f>
        <v>High</v>
      </c>
      <c r="S213" t="str">
        <f>_xlfn.XLOOKUP(Table1[[#This Row],[Gender]],Table10[Gender],Table10[Id_Gender])</f>
        <v>G002</v>
      </c>
      <c r="T213" t="s">
        <v>46</v>
      </c>
      <c r="U213">
        <v>88</v>
      </c>
      <c r="V213" t="str">
        <f>_xlfn.XLOOKUP(Table1[[#This Row],[JobInvolvement]],Table11[JobInvolvement],Table11[Id_JobInvolvement])</f>
        <v>JI002</v>
      </c>
      <c r="W213">
        <v>2</v>
      </c>
      <c r="X213" t="str">
        <f>_xlfn.XLOOKUP(Table1[[#This Row],[JobLevel]],Table12[JobLevel],Table12[Id_JobLevel])</f>
        <v>JL003</v>
      </c>
      <c r="Y213">
        <v>3</v>
      </c>
      <c r="Z213" t="str">
        <f>_xlfn.XLOOKUP(Table1[[#This Row],[JobRole]],Table13[JobRole],Table13[Id_JobRole])</f>
        <v>JR004</v>
      </c>
      <c r="AA213" t="s">
        <v>50</v>
      </c>
      <c r="AB213" t="str">
        <f>_xlfn.XLOOKUP(Table1[[#This Row],[JobSatisfaction]],Table14[JobSatisfaction],Table14[Id_JobSatisfaction])</f>
        <v>JS003</v>
      </c>
      <c r="AC213">
        <v>3</v>
      </c>
      <c r="AD213" t="str">
        <f>_xlfn.XLOOKUP(Table1[[#This Row],[JobSatisfaction]],Table14[JobSatisfaction],Table14[Deskripsi])</f>
        <v>High</v>
      </c>
      <c r="AE213" t="str">
        <f>_xlfn.XLOOKUP(Table1[[#This Row],[MaritalStatus]],Table15[MaritalStatus],Table15[Id_MaritalStatus])</f>
        <v>MS001</v>
      </c>
      <c r="AF213" t="s">
        <v>55</v>
      </c>
      <c r="AG213">
        <v>8474</v>
      </c>
      <c r="AH213">
        <v>20925</v>
      </c>
      <c r="AI213">
        <v>1</v>
      </c>
      <c r="AJ213" t="str">
        <f>_xlfn.XLOOKUP(Table1[[#This Row],[OverTime]],Table16[OverTime],Table16[Id_OverTime])</f>
        <v>OT002</v>
      </c>
      <c r="AK213" t="s">
        <v>33</v>
      </c>
      <c r="AL213">
        <v>22</v>
      </c>
      <c r="AM213" t="str">
        <f>_xlfn.XLOOKUP(Table1[[#This Row],[PerformanceRating]],Table17[PerformanceRating],Table17[Id_PerformanceRating])</f>
        <v>PR004</v>
      </c>
      <c r="AN213">
        <v>4</v>
      </c>
      <c r="AO213" t="str">
        <f>_xlfn.XLOOKUP(Table1[[#This Row],[PerformanceRating]],Table17[PerformanceRating],Table17[Deskripsi])</f>
        <v>Outstanding</v>
      </c>
      <c r="AP213" t="str">
        <f>_xlfn.XLOOKUP(Table1[[#This Row],[RelationshipSatisfaction]],Table18[RelationshipSatisfaction],Table18[Id_RelationshipSatisfaction])</f>
        <v>RS003</v>
      </c>
      <c r="AQ213">
        <v>3</v>
      </c>
      <c r="AR213" t="str">
        <f>_xlfn.XLOOKUP(Table1[[#This Row],[RelationshipSatisfaction]],Table18[RelationshipSatisfaction],Table18[Deskripsi])</f>
        <v>High</v>
      </c>
      <c r="AS213" t="str">
        <f>_xlfn.XLOOKUP(Table1[[#This Row],[StockOptionLevel]],Table19[StockOptionLevel],Table19[Id_StockOptionLevel])</f>
        <v>SOL001</v>
      </c>
      <c r="AT213">
        <v>0</v>
      </c>
      <c r="AU213" t="str">
        <f>_xlfn.XLOOKUP(Table1[[#This Row],[StockOptionLevel]],Table19[StockOptionLevel],Table19[Deskripsi])</f>
        <v>Non-Eligible</v>
      </c>
      <c r="AV213">
        <v>12</v>
      </c>
      <c r="AW213">
        <v>2</v>
      </c>
      <c r="AX213" t="str">
        <f>_xlfn.XLOOKUP(Table1[[#This Row],[WorkLifeBalance]],Table20[WorkLifeBalance],Table20[Id_WorkLifeBalance])</f>
        <v>WLB002</v>
      </c>
      <c r="AY213">
        <v>3</v>
      </c>
      <c r="AZ213" t="str">
        <f>_xlfn.XLOOKUP(Table1[[#This Row],[WorkLifeBalance]],Table20[WorkLifeBalance],Table20[Deskripsi])</f>
        <v>Good</v>
      </c>
      <c r="BA213">
        <v>11</v>
      </c>
      <c r="BB213">
        <v>8</v>
      </c>
      <c r="BC213">
        <v>5</v>
      </c>
      <c r="BD213">
        <v>8</v>
      </c>
    </row>
    <row r="214" spans="1:56" x14ac:dyDescent="0.25">
      <c r="A214">
        <v>27</v>
      </c>
      <c r="B214" t="str">
        <f>_xlfn.XLOOKUP(Table1[[#This Row],[Attrition]],Table2[Attrition],Table2[Id_Attrition])</f>
        <v>A002</v>
      </c>
      <c r="C214" t="s">
        <v>33</v>
      </c>
      <c r="D214" t="str">
        <f>_xlfn.XLOOKUP(Table1[[#This Row],[BusinessTravel]],Table5[BusinessTravel],Table5[Id_BusinessTravel])</f>
        <v>BS002</v>
      </c>
      <c r="E214" t="s">
        <v>35</v>
      </c>
      <c r="F214">
        <v>1242</v>
      </c>
      <c r="G214" t="str">
        <f>_xlfn.XLOOKUP(Table1[[#This Row],[Department]],Table6[Department],Table6[Id_Departement])</f>
        <v>D001</v>
      </c>
      <c r="H214" t="s">
        <v>37</v>
      </c>
      <c r="I214">
        <v>20</v>
      </c>
      <c r="J214" t="str">
        <f>_xlfn.XLOOKUP(Table1[[#This Row],[Education]],Table8[Education],Table8[Id_Education])</f>
        <v>E003</v>
      </c>
      <c r="K214">
        <v>3</v>
      </c>
      <c r="L214" t="str">
        <f>_xlfn.XLOOKUP(Table1[[#This Row],[EducationField]],Table7[EducationField],Table7[Id_EducationField])</f>
        <v>EF001</v>
      </c>
      <c r="M214" t="s">
        <v>40</v>
      </c>
      <c r="N214" t="str">
        <f>_xlfn.XLOOKUP(Table1[[#This Row],[EmployeeNumber]],Table4[EmployeeNumber],Table4[Id_Employee])</f>
        <v>EMP00213</v>
      </c>
      <c r="O214">
        <v>293</v>
      </c>
      <c r="P214" t="str">
        <f>_xlfn.XLOOKUP(Table1[[#This Row],[EnvironmentSatisfaction]],Table9[EnvironmentSatisfaction],Table9[Id_EnviromentSatisfaction])</f>
        <v>ES004</v>
      </c>
      <c r="Q214">
        <v>4</v>
      </c>
      <c r="R214" t="str">
        <f>_xlfn.XLOOKUP(Table1[[#This Row],[EnvironmentSatisfaction]],Table9[EnvironmentSatisfaction],Table9[Deskripsi])</f>
        <v>Very High</v>
      </c>
      <c r="S214" t="str">
        <f>_xlfn.XLOOKUP(Table1[[#This Row],[Gender]],Table10[Gender],Table10[Id_Gender])</f>
        <v>G001</v>
      </c>
      <c r="T214" t="s">
        <v>45</v>
      </c>
      <c r="U214">
        <v>90</v>
      </c>
      <c r="V214" t="str">
        <f>_xlfn.XLOOKUP(Table1[[#This Row],[JobInvolvement]],Table11[JobInvolvement],Table11[Id_JobInvolvement])</f>
        <v>JI003</v>
      </c>
      <c r="W214">
        <v>3</v>
      </c>
      <c r="X214" t="str">
        <f>_xlfn.XLOOKUP(Table1[[#This Row],[JobLevel]],Table12[JobLevel],Table12[Id_JobLevel])</f>
        <v>JL002</v>
      </c>
      <c r="Y214">
        <v>2</v>
      </c>
      <c r="Z214" t="str">
        <f>_xlfn.XLOOKUP(Table1[[#This Row],[JobRole]],Table13[JobRole],Table13[Id_JobRole])</f>
        <v>JR001</v>
      </c>
      <c r="AA214" t="s">
        <v>47</v>
      </c>
      <c r="AB214" t="str">
        <f>_xlfn.XLOOKUP(Table1[[#This Row],[JobSatisfaction]],Table14[JobSatisfaction],Table14[Id_JobSatisfaction])</f>
        <v>JS003</v>
      </c>
      <c r="AC214">
        <v>3</v>
      </c>
      <c r="AD214" t="str">
        <f>_xlfn.XLOOKUP(Table1[[#This Row],[JobSatisfaction]],Table14[JobSatisfaction],Table14[Deskripsi])</f>
        <v>High</v>
      </c>
      <c r="AE214" t="str">
        <f>_xlfn.XLOOKUP(Table1[[#This Row],[MaritalStatus]],Table15[MaritalStatus],Table15[Id_MaritalStatus])</f>
        <v>MS001</v>
      </c>
      <c r="AF214" t="s">
        <v>55</v>
      </c>
      <c r="AG214">
        <v>9981</v>
      </c>
      <c r="AH214">
        <v>12916</v>
      </c>
      <c r="AI214">
        <v>1</v>
      </c>
      <c r="AJ214" t="str">
        <f>_xlfn.XLOOKUP(Table1[[#This Row],[OverTime]],Table16[OverTime],Table16[Id_OverTime])</f>
        <v>OT002</v>
      </c>
      <c r="AK214" t="s">
        <v>33</v>
      </c>
      <c r="AL214">
        <v>14</v>
      </c>
      <c r="AM214" t="str">
        <f>_xlfn.XLOOKUP(Table1[[#This Row],[PerformanceRating]],Table17[PerformanceRating],Table17[Id_PerformanceRating])</f>
        <v>PR003</v>
      </c>
      <c r="AN214">
        <v>3</v>
      </c>
      <c r="AO214" t="str">
        <f>_xlfn.XLOOKUP(Table1[[#This Row],[PerformanceRating]],Table17[PerformanceRating],Table17[Deskripsi])</f>
        <v>Excellent</v>
      </c>
      <c r="AP214" t="str">
        <f>_xlfn.XLOOKUP(Table1[[#This Row],[RelationshipSatisfaction]],Table18[RelationshipSatisfaction],Table18[Id_RelationshipSatisfaction])</f>
        <v>RS004</v>
      </c>
      <c r="AQ214">
        <v>4</v>
      </c>
      <c r="AR214" t="str">
        <f>_xlfn.XLOOKUP(Table1[[#This Row],[RelationshipSatisfaction]],Table18[RelationshipSatisfaction],Table18[Deskripsi])</f>
        <v>Very High</v>
      </c>
      <c r="AS214" t="str">
        <f>_xlfn.XLOOKUP(Table1[[#This Row],[StockOptionLevel]],Table19[StockOptionLevel],Table19[Id_StockOptionLevel])</f>
        <v>SOL001</v>
      </c>
      <c r="AT214">
        <v>0</v>
      </c>
      <c r="AU214" t="str">
        <f>_xlfn.XLOOKUP(Table1[[#This Row],[StockOptionLevel]],Table19[StockOptionLevel],Table19[Deskripsi])</f>
        <v>Non-Eligible</v>
      </c>
      <c r="AV214">
        <v>7</v>
      </c>
      <c r="AW214">
        <v>2</v>
      </c>
      <c r="AX214" t="str">
        <f>_xlfn.XLOOKUP(Table1[[#This Row],[WorkLifeBalance]],Table20[WorkLifeBalance],Table20[Id_WorkLifeBalance])</f>
        <v>WLB002</v>
      </c>
      <c r="AY214">
        <v>3</v>
      </c>
      <c r="AZ214" t="str">
        <f>_xlfn.XLOOKUP(Table1[[#This Row],[WorkLifeBalance]],Table20[WorkLifeBalance],Table20[Deskripsi])</f>
        <v>Good</v>
      </c>
      <c r="BA214">
        <v>7</v>
      </c>
      <c r="BB214">
        <v>7</v>
      </c>
      <c r="BC214">
        <v>0</v>
      </c>
      <c r="BD214">
        <v>7</v>
      </c>
    </row>
    <row r="215" spans="1:56" x14ac:dyDescent="0.25">
      <c r="A215">
        <v>51</v>
      </c>
      <c r="B215" t="str">
        <f>_xlfn.XLOOKUP(Table1[[#This Row],[Attrition]],Table2[Attrition],Table2[Id_Attrition])</f>
        <v>A002</v>
      </c>
      <c r="C215" t="s">
        <v>33</v>
      </c>
      <c r="D215" t="str">
        <f>_xlfn.XLOOKUP(Table1[[#This Row],[BusinessTravel]],Table5[BusinessTravel],Table5[Id_BusinessTravel])</f>
        <v>BS001</v>
      </c>
      <c r="E215" t="s">
        <v>34</v>
      </c>
      <c r="F215">
        <v>1469</v>
      </c>
      <c r="G215" t="str">
        <f>_xlfn.XLOOKUP(Table1[[#This Row],[Department]],Table6[Department],Table6[Id_Departement])</f>
        <v>D002</v>
      </c>
      <c r="H215" t="s">
        <v>38</v>
      </c>
      <c r="I215">
        <v>8</v>
      </c>
      <c r="J215" t="str">
        <f>_xlfn.XLOOKUP(Table1[[#This Row],[Education]],Table8[Education],Table8[Id_Education])</f>
        <v>E004</v>
      </c>
      <c r="K215">
        <v>4</v>
      </c>
      <c r="L215" t="str">
        <f>_xlfn.XLOOKUP(Table1[[#This Row],[EducationField]],Table7[EducationField],Table7[Id_EducationField])</f>
        <v>EF001</v>
      </c>
      <c r="M215" t="s">
        <v>40</v>
      </c>
      <c r="N215" t="str">
        <f>_xlfn.XLOOKUP(Table1[[#This Row],[EmployeeNumber]],Table4[EmployeeNumber],Table4[Id_Employee])</f>
        <v>EMP00214</v>
      </c>
      <c r="O215">
        <v>296</v>
      </c>
      <c r="P215" t="str">
        <f>_xlfn.XLOOKUP(Table1[[#This Row],[EnvironmentSatisfaction]],Table9[EnvironmentSatisfaction],Table9[Id_EnviromentSatisfaction])</f>
        <v>ES002</v>
      </c>
      <c r="Q215">
        <v>2</v>
      </c>
      <c r="R215" t="str">
        <f>_xlfn.XLOOKUP(Table1[[#This Row],[EnvironmentSatisfaction]],Table9[EnvironmentSatisfaction],Table9[Deskripsi])</f>
        <v>Medium</v>
      </c>
      <c r="S215" t="str">
        <f>_xlfn.XLOOKUP(Table1[[#This Row],[Gender]],Table10[Gender],Table10[Id_Gender])</f>
        <v>G002</v>
      </c>
      <c r="T215" t="s">
        <v>46</v>
      </c>
      <c r="U215">
        <v>81</v>
      </c>
      <c r="V215" t="str">
        <f>_xlfn.XLOOKUP(Table1[[#This Row],[JobInvolvement]],Table11[JobInvolvement],Table11[Id_JobInvolvement])</f>
        <v>JI002</v>
      </c>
      <c r="W215">
        <v>2</v>
      </c>
      <c r="X215" t="str">
        <f>_xlfn.XLOOKUP(Table1[[#This Row],[JobLevel]],Table12[JobLevel],Table12[Id_JobLevel])</f>
        <v>JL003</v>
      </c>
      <c r="Y215">
        <v>3</v>
      </c>
      <c r="Z215" t="str">
        <f>_xlfn.XLOOKUP(Table1[[#This Row],[JobRole]],Table13[JobRole],Table13[Id_JobRole])</f>
        <v>JR008</v>
      </c>
      <c r="AA215" t="s">
        <v>54</v>
      </c>
      <c r="AB215" t="str">
        <f>_xlfn.XLOOKUP(Table1[[#This Row],[JobSatisfaction]],Table14[JobSatisfaction],Table14[Id_JobSatisfaction])</f>
        <v>JS002</v>
      </c>
      <c r="AC215">
        <v>2</v>
      </c>
      <c r="AD215" t="str">
        <f>_xlfn.XLOOKUP(Table1[[#This Row],[JobSatisfaction]],Table14[JobSatisfaction],Table14[Deskripsi])</f>
        <v>Medium</v>
      </c>
      <c r="AE215" t="str">
        <f>_xlfn.XLOOKUP(Table1[[#This Row],[MaritalStatus]],Table15[MaritalStatus],Table15[Id_MaritalStatus])</f>
        <v>MS002</v>
      </c>
      <c r="AF215" t="s">
        <v>56</v>
      </c>
      <c r="AG215">
        <v>12490</v>
      </c>
      <c r="AH215">
        <v>15736</v>
      </c>
      <c r="AI215">
        <v>5</v>
      </c>
      <c r="AJ215" t="str">
        <f>_xlfn.XLOOKUP(Table1[[#This Row],[OverTime]],Table16[OverTime],Table16[Id_OverTime])</f>
        <v>OT002</v>
      </c>
      <c r="AK215" t="s">
        <v>33</v>
      </c>
      <c r="AL215">
        <v>16</v>
      </c>
      <c r="AM215" t="str">
        <f>_xlfn.XLOOKUP(Table1[[#This Row],[PerformanceRating]],Table17[PerformanceRating],Table17[Id_PerformanceRating])</f>
        <v>PR003</v>
      </c>
      <c r="AN215">
        <v>3</v>
      </c>
      <c r="AO215" t="str">
        <f>_xlfn.XLOOKUP(Table1[[#This Row],[PerformanceRating]],Table17[PerformanceRating],Table17[Deskripsi])</f>
        <v>Excellent</v>
      </c>
      <c r="AP215" t="str">
        <f>_xlfn.XLOOKUP(Table1[[#This Row],[RelationshipSatisfaction]],Table18[RelationshipSatisfaction],Table18[Id_RelationshipSatisfaction])</f>
        <v>RS004</v>
      </c>
      <c r="AQ215">
        <v>4</v>
      </c>
      <c r="AR215" t="str">
        <f>_xlfn.XLOOKUP(Table1[[#This Row],[RelationshipSatisfaction]],Table18[RelationshipSatisfaction],Table18[Deskripsi])</f>
        <v>Very High</v>
      </c>
      <c r="AS215" t="str">
        <f>_xlfn.XLOOKUP(Table1[[#This Row],[StockOptionLevel]],Table19[StockOptionLevel],Table19[Id_StockOptionLevel])</f>
        <v>SOL003</v>
      </c>
      <c r="AT215">
        <v>2</v>
      </c>
      <c r="AU215" t="str">
        <f>_xlfn.XLOOKUP(Table1[[#This Row],[StockOptionLevel]],Table19[StockOptionLevel],Table19[Deskripsi])</f>
        <v>Intermediate</v>
      </c>
      <c r="AV215">
        <v>16</v>
      </c>
      <c r="AW215">
        <v>5</v>
      </c>
      <c r="AX215" t="str">
        <f>_xlfn.XLOOKUP(Table1[[#This Row],[WorkLifeBalance]],Table20[WorkLifeBalance],Table20[Id_WorkLifeBalance])</f>
        <v>WLB001</v>
      </c>
      <c r="AY215">
        <v>1</v>
      </c>
      <c r="AZ215" t="str">
        <f>_xlfn.XLOOKUP(Table1[[#This Row],[WorkLifeBalance]],Table20[WorkLifeBalance],Table20[Deskripsi])</f>
        <v>Bad</v>
      </c>
      <c r="BA215">
        <v>10</v>
      </c>
      <c r="BB215">
        <v>9</v>
      </c>
      <c r="BC215">
        <v>4</v>
      </c>
      <c r="BD215">
        <v>7</v>
      </c>
    </row>
    <row r="216" spans="1:56" x14ac:dyDescent="0.25">
      <c r="A216">
        <v>30</v>
      </c>
      <c r="B216" t="str">
        <f>_xlfn.XLOOKUP(Table1[[#This Row],[Attrition]],Table2[Attrition],Table2[Id_Attrition])</f>
        <v>A001</v>
      </c>
      <c r="C216" t="s">
        <v>32</v>
      </c>
      <c r="D216" t="str">
        <f>_xlfn.XLOOKUP(Table1[[#This Row],[BusinessTravel]],Table5[BusinessTravel],Table5[Id_BusinessTravel])</f>
        <v>BS001</v>
      </c>
      <c r="E216" t="s">
        <v>34</v>
      </c>
      <c r="F216">
        <v>1005</v>
      </c>
      <c r="G216" t="str">
        <f>_xlfn.XLOOKUP(Table1[[#This Row],[Department]],Table6[Department],Table6[Id_Departement])</f>
        <v>D002</v>
      </c>
      <c r="H216" t="s">
        <v>38</v>
      </c>
      <c r="I216">
        <v>3</v>
      </c>
      <c r="J216" t="str">
        <f>_xlfn.XLOOKUP(Table1[[#This Row],[Education]],Table8[Education],Table8[Id_Education])</f>
        <v>E003</v>
      </c>
      <c r="K216">
        <v>3</v>
      </c>
      <c r="L216" t="str">
        <f>_xlfn.XLOOKUP(Table1[[#This Row],[EducationField]],Table7[EducationField],Table7[Id_EducationField])</f>
        <v>EF005</v>
      </c>
      <c r="M216" t="s">
        <v>44</v>
      </c>
      <c r="N216" t="str">
        <f>_xlfn.XLOOKUP(Table1[[#This Row],[EmployeeNumber]],Table4[EmployeeNumber],Table4[Id_Employee])</f>
        <v>EMP00215</v>
      </c>
      <c r="O216">
        <v>297</v>
      </c>
      <c r="P216" t="str">
        <f>_xlfn.XLOOKUP(Table1[[#This Row],[EnvironmentSatisfaction]],Table9[EnvironmentSatisfaction],Table9[Id_EnviromentSatisfaction])</f>
        <v>ES004</v>
      </c>
      <c r="Q216">
        <v>4</v>
      </c>
      <c r="R216" t="str">
        <f>_xlfn.XLOOKUP(Table1[[#This Row],[EnvironmentSatisfaction]],Table9[EnvironmentSatisfaction],Table9[Deskripsi])</f>
        <v>Very High</v>
      </c>
      <c r="S216" t="str">
        <f>_xlfn.XLOOKUP(Table1[[#This Row],[Gender]],Table10[Gender],Table10[Id_Gender])</f>
        <v>G001</v>
      </c>
      <c r="T216" t="s">
        <v>45</v>
      </c>
      <c r="U216">
        <v>88</v>
      </c>
      <c r="V216" t="str">
        <f>_xlfn.XLOOKUP(Table1[[#This Row],[JobInvolvement]],Table11[JobInvolvement],Table11[Id_JobInvolvement])</f>
        <v>JI003</v>
      </c>
      <c r="W216">
        <v>3</v>
      </c>
      <c r="X216" t="str">
        <f>_xlfn.XLOOKUP(Table1[[#This Row],[JobLevel]],Table12[JobLevel],Table12[Id_JobLevel])</f>
        <v>JL001</v>
      </c>
      <c r="Y216">
        <v>1</v>
      </c>
      <c r="Z216" t="str">
        <f>_xlfn.XLOOKUP(Table1[[#This Row],[JobRole]],Table13[JobRole],Table13[Id_JobRole])</f>
        <v>JR002</v>
      </c>
      <c r="AA216" t="s">
        <v>48</v>
      </c>
      <c r="AB216" t="str">
        <f>_xlfn.XLOOKUP(Table1[[#This Row],[JobSatisfaction]],Table14[JobSatisfaction],Table14[Id_JobSatisfaction])</f>
        <v>JS001</v>
      </c>
      <c r="AC216">
        <v>1</v>
      </c>
      <c r="AD216" t="str">
        <f>_xlfn.XLOOKUP(Table1[[#This Row],[JobSatisfaction]],Table14[JobSatisfaction],Table14[Deskripsi])</f>
        <v>Low</v>
      </c>
      <c r="AE216" t="str">
        <f>_xlfn.XLOOKUP(Table1[[#This Row],[MaritalStatus]],Table15[MaritalStatus],Table15[Id_MaritalStatus])</f>
        <v>MS001</v>
      </c>
      <c r="AF216" t="s">
        <v>55</v>
      </c>
      <c r="AG216">
        <v>2657</v>
      </c>
      <c r="AH216">
        <v>8556</v>
      </c>
      <c r="AI216">
        <v>5</v>
      </c>
      <c r="AJ216" t="str">
        <f>_xlfn.XLOOKUP(Table1[[#This Row],[OverTime]],Table16[OverTime],Table16[Id_OverTime])</f>
        <v>OT001</v>
      </c>
      <c r="AK216" t="s">
        <v>32</v>
      </c>
      <c r="AL216">
        <v>11</v>
      </c>
      <c r="AM216" t="str">
        <f>_xlfn.XLOOKUP(Table1[[#This Row],[PerformanceRating]],Table17[PerformanceRating],Table17[Id_PerformanceRating])</f>
        <v>PR003</v>
      </c>
      <c r="AN216">
        <v>3</v>
      </c>
      <c r="AO216" t="str">
        <f>_xlfn.XLOOKUP(Table1[[#This Row],[PerformanceRating]],Table17[PerformanceRating],Table17[Deskripsi])</f>
        <v>Excellent</v>
      </c>
      <c r="AP216" t="str">
        <f>_xlfn.XLOOKUP(Table1[[#This Row],[RelationshipSatisfaction]],Table18[RelationshipSatisfaction],Table18[Id_RelationshipSatisfaction])</f>
        <v>RS003</v>
      </c>
      <c r="AQ216">
        <v>3</v>
      </c>
      <c r="AR216" t="str">
        <f>_xlfn.XLOOKUP(Table1[[#This Row],[RelationshipSatisfaction]],Table18[RelationshipSatisfaction],Table18[Deskripsi])</f>
        <v>High</v>
      </c>
      <c r="AS216" t="str">
        <f>_xlfn.XLOOKUP(Table1[[#This Row],[StockOptionLevel]],Table19[StockOptionLevel],Table19[Id_StockOptionLevel])</f>
        <v>SOL001</v>
      </c>
      <c r="AT216">
        <v>0</v>
      </c>
      <c r="AU216" t="str">
        <f>_xlfn.XLOOKUP(Table1[[#This Row],[StockOptionLevel]],Table19[StockOptionLevel],Table19[Deskripsi])</f>
        <v>Non-Eligible</v>
      </c>
      <c r="AV216">
        <v>8</v>
      </c>
      <c r="AW216">
        <v>5</v>
      </c>
      <c r="AX216" t="str">
        <f>_xlfn.XLOOKUP(Table1[[#This Row],[WorkLifeBalance]],Table20[WorkLifeBalance],Table20[Id_WorkLifeBalance])</f>
        <v>WLB002</v>
      </c>
      <c r="AY216">
        <v>3</v>
      </c>
      <c r="AZ216" t="str">
        <f>_xlfn.XLOOKUP(Table1[[#This Row],[WorkLifeBalance]],Table20[WorkLifeBalance],Table20[Deskripsi])</f>
        <v>Good</v>
      </c>
      <c r="BA216">
        <v>5</v>
      </c>
      <c r="BB216">
        <v>2</v>
      </c>
      <c r="BC216">
        <v>0</v>
      </c>
      <c r="BD216">
        <v>4</v>
      </c>
    </row>
    <row r="217" spans="1:56" x14ac:dyDescent="0.25">
      <c r="A217">
        <v>41</v>
      </c>
      <c r="B217" t="str">
        <f>_xlfn.XLOOKUP(Table1[[#This Row],[Attrition]],Table2[Attrition],Table2[Id_Attrition])</f>
        <v>A002</v>
      </c>
      <c r="C217" t="s">
        <v>33</v>
      </c>
      <c r="D217" t="str">
        <f>_xlfn.XLOOKUP(Table1[[#This Row],[BusinessTravel]],Table5[BusinessTravel],Table5[Id_BusinessTravel])</f>
        <v>BS001</v>
      </c>
      <c r="E217" t="s">
        <v>34</v>
      </c>
      <c r="F217">
        <v>896</v>
      </c>
      <c r="G217" t="str">
        <f>_xlfn.XLOOKUP(Table1[[#This Row],[Department]],Table6[Department],Table6[Id_Departement])</f>
        <v>D001</v>
      </c>
      <c r="H217" t="s">
        <v>37</v>
      </c>
      <c r="I217">
        <v>6</v>
      </c>
      <c r="J217" t="str">
        <f>_xlfn.XLOOKUP(Table1[[#This Row],[Education]],Table8[Education],Table8[Id_Education])</f>
        <v>E003</v>
      </c>
      <c r="K217">
        <v>3</v>
      </c>
      <c r="L217" t="str">
        <f>_xlfn.XLOOKUP(Table1[[#This Row],[EducationField]],Table7[EducationField],Table7[Id_EducationField])</f>
        <v>EF001</v>
      </c>
      <c r="M217" t="s">
        <v>40</v>
      </c>
      <c r="N217" t="str">
        <f>_xlfn.XLOOKUP(Table1[[#This Row],[EmployeeNumber]],Table4[EmployeeNumber],Table4[Id_Employee])</f>
        <v>EMP00216</v>
      </c>
      <c r="O217">
        <v>298</v>
      </c>
      <c r="P217" t="str">
        <f>_xlfn.XLOOKUP(Table1[[#This Row],[EnvironmentSatisfaction]],Table9[EnvironmentSatisfaction],Table9[Id_EnviromentSatisfaction])</f>
        <v>ES004</v>
      </c>
      <c r="Q217">
        <v>4</v>
      </c>
      <c r="R217" t="str">
        <f>_xlfn.XLOOKUP(Table1[[#This Row],[EnvironmentSatisfaction]],Table9[EnvironmentSatisfaction],Table9[Deskripsi])</f>
        <v>Very High</v>
      </c>
      <c r="S217" t="str">
        <f>_xlfn.XLOOKUP(Table1[[#This Row],[Gender]],Table10[Gender],Table10[Id_Gender])</f>
        <v>G001</v>
      </c>
      <c r="T217" t="s">
        <v>45</v>
      </c>
      <c r="U217">
        <v>75</v>
      </c>
      <c r="V217" t="str">
        <f>_xlfn.XLOOKUP(Table1[[#This Row],[JobInvolvement]],Table11[JobInvolvement],Table11[Id_JobInvolvement])</f>
        <v>JI003</v>
      </c>
      <c r="W217">
        <v>3</v>
      </c>
      <c r="X217" t="str">
        <f>_xlfn.XLOOKUP(Table1[[#This Row],[JobLevel]],Table12[JobLevel],Table12[Id_JobLevel])</f>
        <v>JL003</v>
      </c>
      <c r="Y217">
        <v>3</v>
      </c>
      <c r="Z217" t="str">
        <f>_xlfn.XLOOKUP(Table1[[#This Row],[JobRole]],Table13[JobRole],Table13[Id_JobRole])</f>
        <v>JR006</v>
      </c>
      <c r="AA217" t="s">
        <v>52</v>
      </c>
      <c r="AB217" t="str">
        <f>_xlfn.XLOOKUP(Table1[[#This Row],[JobSatisfaction]],Table14[JobSatisfaction],Table14[Id_JobSatisfaction])</f>
        <v>JS004</v>
      </c>
      <c r="AC217">
        <v>4</v>
      </c>
      <c r="AD217" t="str">
        <f>_xlfn.XLOOKUP(Table1[[#This Row],[JobSatisfaction]],Table14[JobSatisfaction],Table14[Deskripsi])</f>
        <v>Very High</v>
      </c>
      <c r="AE217" t="str">
        <f>_xlfn.XLOOKUP(Table1[[#This Row],[MaritalStatus]],Table15[MaritalStatus],Table15[Id_MaritalStatus])</f>
        <v>MS001</v>
      </c>
      <c r="AF217" t="s">
        <v>55</v>
      </c>
      <c r="AG217">
        <v>13591</v>
      </c>
      <c r="AH217">
        <v>14674</v>
      </c>
      <c r="AI217">
        <v>3</v>
      </c>
      <c r="AJ217" t="str">
        <f>_xlfn.XLOOKUP(Table1[[#This Row],[OverTime]],Table16[OverTime],Table16[Id_OverTime])</f>
        <v>OT001</v>
      </c>
      <c r="AK217" t="s">
        <v>32</v>
      </c>
      <c r="AL217">
        <v>18</v>
      </c>
      <c r="AM217" t="str">
        <f>_xlfn.XLOOKUP(Table1[[#This Row],[PerformanceRating]],Table17[PerformanceRating],Table17[Id_PerformanceRating])</f>
        <v>PR003</v>
      </c>
      <c r="AN217">
        <v>3</v>
      </c>
      <c r="AO217" t="str">
        <f>_xlfn.XLOOKUP(Table1[[#This Row],[PerformanceRating]],Table17[PerformanceRating],Table17[Deskripsi])</f>
        <v>Excellent</v>
      </c>
      <c r="AP217" t="str">
        <f>_xlfn.XLOOKUP(Table1[[#This Row],[RelationshipSatisfaction]],Table18[RelationshipSatisfaction],Table18[Id_RelationshipSatisfaction])</f>
        <v>RS003</v>
      </c>
      <c r="AQ217">
        <v>3</v>
      </c>
      <c r="AR217" t="str">
        <f>_xlfn.XLOOKUP(Table1[[#This Row],[RelationshipSatisfaction]],Table18[RelationshipSatisfaction],Table18[Deskripsi])</f>
        <v>High</v>
      </c>
      <c r="AS217" t="str">
        <f>_xlfn.XLOOKUP(Table1[[#This Row],[StockOptionLevel]],Table19[StockOptionLevel],Table19[Id_StockOptionLevel])</f>
        <v>SOL001</v>
      </c>
      <c r="AT217">
        <v>0</v>
      </c>
      <c r="AU217" t="str">
        <f>_xlfn.XLOOKUP(Table1[[#This Row],[StockOptionLevel]],Table19[StockOptionLevel],Table19[Deskripsi])</f>
        <v>Non-Eligible</v>
      </c>
      <c r="AV217">
        <v>16</v>
      </c>
      <c r="AW217">
        <v>3</v>
      </c>
      <c r="AX217" t="str">
        <f>_xlfn.XLOOKUP(Table1[[#This Row],[WorkLifeBalance]],Table20[WorkLifeBalance],Table20[Id_WorkLifeBalance])</f>
        <v>WLB002</v>
      </c>
      <c r="AY217">
        <v>3</v>
      </c>
      <c r="AZ217" t="str">
        <f>_xlfn.XLOOKUP(Table1[[#This Row],[WorkLifeBalance]],Table20[WorkLifeBalance],Table20[Deskripsi])</f>
        <v>Good</v>
      </c>
      <c r="BA217">
        <v>1</v>
      </c>
      <c r="BB217">
        <v>0</v>
      </c>
      <c r="BC217">
        <v>0</v>
      </c>
      <c r="BD217">
        <v>0</v>
      </c>
    </row>
    <row r="218" spans="1:56" x14ac:dyDescent="0.25">
      <c r="A218">
        <v>30</v>
      </c>
      <c r="B218" t="str">
        <f>_xlfn.XLOOKUP(Table1[[#This Row],[Attrition]],Table2[Attrition],Table2[Id_Attrition])</f>
        <v>A001</v>
      </c>
      <c r="C218" t="s">
        <v>32</v>
      </c>
      <c r="D218" t="str">
        <f>_xlfn.XLOOKUP(Table1[[#This Row],[BusinessTravel]],Table5[BusinessTravel],Table5[Id_BusinessTravel])</f>
        <v>BS002</v>
      </c>
      <c r="E218" t="s">
        <v>35</v>
      </c>
      <c r="F218">
        <v>334</v>
      </c>
      <c r="G218" t="str">
        <f>_xlfn.XLOOKUP(Table1[[#This Row],[Department]],Table6[Department],Table6[Id_Departement])</f>
        <v>D001</v>
      </c>
      <c r="H218" t="s">
        <v>37</v>
      </c>
      <c r="I218">
        <v>26</v>
      </c>
      <c r="J218" t="str">
        <f>_xlfn.XLOOKUP(Table1[[#This Row],[Education]],Table8[Education],Table8[Id_Education])</f>
        <v>E004</v>
      </c>
      <c r="K218">
        <v>4</v>
      </c>
      <c r="L218" t="str">
        <f>_xlfn.XLOOKUP(Table1[[#This Row],[EducationField]],Table7[EducationField],Table7[Id_EducationField])</f>
        <v>EF004</v>
      </c>
      <c r="M218" t="s">
        <v>43</v>
      </c>
      <c r="N218" t="str">
        <f>_xlfn.XLOOKUP(Table1[[#This Row],[EmployeeNumber]],Table4[EmployeeNumber],Table4[Id_Employee])</f>
        <v>EMP00217</v>
      </c>
      <c r="O218">
        <v>299</v>
      </c>
      <c r="P218" t="str">
        <f>_xlfn.XLOOKUP(Table1[[#This Row],[EnvironmentSatisfaction]],Table9[EnvironmentSatisfaction],Table9[Id_EnviromentSatisfaction])</f>
        <v>ES003</v>
      </c>
      <c r="Q218">
        <v>3</v>
      </c>
      <c r="R218" t="str">
        <f>_xlfn.XLOOKUP(Table1[[#This Row],[EnvironmentSatisfaction]],Table9[EnvironmentSatisfaction],Table9[Deskripsi])</f>
        <v>High</v>
      </c>
      <c r="S218" t="str">
        <f>_xlfn.XLOOKUP(Table1[[#This Row],[Gender]],Table10[Gender],Table10[Id_Gender])</f>
        <v>G001</v>
      </c>
      <c r="T218" t="s">
        <v>45</v>
      </c>
      <c r="U218">
        <v>52</v>
      </c>
      <c r="V218" t="str">
        <f>_xlfn.XLOOKUP(Table1[[#This Row],[JobInvolvement]],Table11[JobInvolvement],Table11[Id_JobInvolvement])</f>
        <v>JI002</v>
      </c>
      <c r="W218">
        <v>2</v>
      </c>
      <c r="X218" t="str">
        <f>_xlfn.XLOOKUP(Table1[[#This Row],[JobLevel]],Table12[JobLevel],Table12[Id_JobLevel])</f>
        <v>JL002</v>
      </c>
      <c r="Y218">
        <v>2</v>
      </c>
      <c r="Z218" t="str">
        <f>_xlfn.XLOOKUP(Table1[[#This Row],[JobRole]],Table13[JobRole],Table13[Id_JobRole])</f>
        <v>JR001</v>
      </c>
      <c r="AA218" t="s">
        <v>47</v>
      </c>
      <c r="AB218" t="str">
        <f>_xlfn.XLOOKUP(Table1[[#This Row],[JobSatisfaction]],Table14[JobSatisfaction],Table14[Id_JobSatisfaction])</f>
        <v>JS001</v>
      </c>
      <c r="AC218">
        <v>1</v>
      </c>
      <c r="AD218" t="str">
        <f>_xlfn.XLOOKUP(Table1[[#This Row],[JobSatisfaction]],Table14[JobSatisfaction],Table14[Deskripsi])</f>
        <v>Low</v>
      </c>
      <c r="AE218" t="str">
        <f>_xlfn.XLOOKUP(Table1[[#This Row],[MaritalStatus]],Table15[MaritalStatus],Table15[Id_MaritalStatus])</f>
        <v>MS001</v>
      </c>
      <c r="AF218" t="s">
        <v>55</v>
      </c>
      <c r="AG218">
        <v>6696</v>
      </c>
      <c r="AH218">
        <v>22967</v>
      </c>
      <c r="AI218">
        <v>5</v>
      </c>
      <c r="AJ218" t="str">
        <f>_xlfn.XLOOKUP(Table1[[#This Row],[OverTime]],Table16[OverTime],Table16[Id_OverTime])</f>
        <v>OT002</v>
      </c>
      <c r="AK218" t="s">
        <v>33</v>
      </c>
      <c r="AL218">
        <v>15</v>
      </c>
      <c r="AM218" t="str">
        <f>_xlfn.XLOOKUP(Table1[[#This Row],[PerformanceRating]],Table17[PerformanceRating],Table17[Id_PerformanceRating])</f>
        <v>PR003</v>
      </c>
      <c r="AN218">
        <v>3</v>
      </c>
      <c r="AO218" t="str">
        <f>_xlfn.XLOOKUP(Table1[[#This Row],[PerformanceRating]],Table17[PerformanceRating],Table17[Deskripsi])</f>
        <v>Excellent</v>
      </c>
      <c r="AP218" t="str">
        <f>_xlfn.XLOOKUP(Table1[[#This Row],[RelationshipSatisfaction]],Table18[RelationshipSatisfaction],Table18[Id_RelationshipSatisfaction])</f>
        <v>RS003</v>
      </c>
      <c r="AQ218">
        <v>3</v>
      </c>
      <c r="AR218" t="str">
        <f>_xlfn.XLOOKUP(Table1[[#This Row],[RelationshipSatisfaction]],Table18[RelationshipSatisfaction],Table18[Deskripsi])</f>
        <v>High</v>
      </c>
      <c r="AS218" t="str">
        <f>_xlfn.XLOOKUP(Table1[[#This Row],[StockOptionLevel]],Table19[StockOptionLevel],Table19[Id_StockOptionLevel])</f>
        <v>SOL001</v>
      </c>
      <c r="AT218">
        <v>0</v>
      </c>
      <c r="AU218" t="str">
        <f>_xlfn.XLOOKUP(Table1[[#This Row],[StockOptionLevel]],Table19[StockOptionLevel],Table19[Deskripsi])</f>
        <v>Non-Eligible</v>
      </c>
      <c r="AV218">
        <v>9</v>
      </c>
      <c r="AW218">
        <v>5</v>
      </c>
      <c r="AX218" t="str">
        <f>_xlfn.XLOOKUP(Table1[[#This Row],[WorkLifeBalance]],Table20[WorkLifeBalance],Table20[Id_WorkLifeBalance])</f>
        <v>WLB003</v>
      </c>
      <c r="AY218">
        <v>2</v>
      </c>
      <c r="AZ218" t="str">
        <f>_xlfn.XLOOKUP(Table1[[#This Row],[WorkLifeBalance]],Table20[WorkLifeBalance],Table20[Deskripsi])</f>
        <v>Better</v>
      </c>
      <c r="BA218">
        <v>6</v>
      </c>
      <c r="BB218">
        <v>3</v>
      </c>
      <c r="BC218">
        <v>0</v>
      </c>
      <c r="BD218">
        <v>1</v>
      </c>
    </row>
    <row r="219" spans="1:56" x14ac:dyDescent="0.25">
      <c r="A219">
        <v>29</v>
      </c>
      <c r="B219" t="str">
        <f>_xlfn.XLOOKUP(Table1[[#This Row],[Attrition]],Table2[Attrition],Table2[Id_Attrition])</f>
        <v>A001</v>
      </c>
      <c r="C219" t="s">
        <v>32</v>
      </c>
      <c r="D219" t="str">
        <f>_xlfn.XLOOKUP(Table1[[#This Row],[BusinessTravel]],Table5[BusinessTravel],Table5[Id_BusinessTravel])</f>
        <v>BS001</v>
      </c>
      <c r="E219" t="s">
        <v>34</v>
      </c>
      <c r="F219">
        <v>992</v>
      </c>
      <c r="G219" t="str">
        <f>_xlfn.XLOOKUP(Table1[[#This Row],[Department]],Table6[Department],Table6[Id_Departement])</f>
        <v>D002</v>
      </c>
      <c r="H219" t="s">
        <v>38</v>
      </c>
      <c r="I219">
        <v>1</v>
      </c>
      <c r="J219" t="str">
        <f>_xlfn.XLOOKUP(Table1[[#This Row],[Education]],Table8[Education],Table8[Id_Education])</f>
        <v>E003</v>
      </c>
      <c r="K219">
        <v>3</v>
      </c>
      <c r="L219" t="str">
        <f>_xlfn.XLOOKUP(Table1[[#This Row],[EducationField]],Table7[EducationField],Table7[Id_EducationField])</f>
        <v>EF005</v>
      </c>
      <c r="M219" t="s">
        <v>44</v>
      </c>
      <c r="N219" t="str">
        <f>_xlfn.XLOOKUP(Table1[[#This Row],[EmployeeNumber]],Table4[EmployeeNumber],Table4[Id_Employee])</f>
        <v>EMP00218</v>
      </c>
      <c r="O219">
        <v>300</v>
      </c>
      <c r="P219" t="str">
        <f>_xlfn.XLOOKUP(Table1[[#This Row],[EnvironmentSatisfaction]],Table9[EnvironmentSatisfaction],Table9[Id_EnviromentSatisfaction])</f>
        <v>ES003</v>
      </c>
      <c r="Q219">
        <v>3</v>
      </c>
      <c r="R219" t="str">
        <f>_xlfn.XLOOKUP(Table1[[#This Row],[EnvironmentSatisfaction]],Table9[EnvironmentSatisfaction],Table9[Deskripsi])</f>
        <v>High</v>
      </c>
      <c r="S219" t="str">
        <f>_xlfn.XLOOKUP(Table1[[#This Row],[Gender]],Table10[Gender],Table10[Id_Gender])</f>
        <v>G002</v>
      </c>
      <c r="T219" t="s">
        <v>46</v>
      </c>
      <c r="U219">
        <v>85</v>
      </c>
      <c r="V219" t="str">
        <f>_xlfn.XLOOKUP(Table1[[#This Row],[JobInvolvement]],Table11[JobInvolvement],Table11[Id_JobInvolvement])</f>
        <v>JI003</v>
      </c>
      <c r="W219">
        <v>3</v>
      </c>
      <c r="X219" t="str">
        <f>_xlfn.XLOOKUP(Table1[[#This Row],[JobLevel]],Table12[JobLevel],Table12[Id_JobLevel])</f>
        <v>JL001</v>
      </c>
      <c r="Y219">
        <v>1</v>
      </c>
      <c r="Z219" t="str">
        <f>_xlfn.XLOOKUP(Table1[[#This Row],[JobRole]],Table13[JobRole],Table13[Id_JobRole])</f>
        <v>JR002</v>
      </c>
      <c r="AA219" t="s">
        <v>48</v>
      </c>
      <c r="AB219" t="str">
        <f>_xlfn.XLOOKUP(Table1[[#This Row],[JobSatisfaction]],Table14[JobSatisfaction],Table14[Id_JobSatisfaction])</f>
        <v>JS003</v>
      </c>
      <c r="AC219">
        <v>3</v>
      </c>
      <c r="AD219" t="str">
        <f>_xlfn.XLOOKUP(Table1[[#This Row],[JobSatisfaction]],Table14[JobSatisfaction],Table14[Deskripsi])</f>
        <v>High</v>
      </c>
      <c r="AE219" t="str">
        <f>_xlfn.XLOOKUP(Table1[[#This Row],[MaritalStatus]],Table15[MaritalStatus],Table15[Id_MaritalStatus])</f>
        <v>MS001</v>
      </c>
      <c r="AF219" t="s">
        <v>55</v>
      </c>
      <c r="AG219">
        <v>2058</v>
      </c>
      <c r="AH219">
        <v>19757</v>
      </c>
      <c r="AI219">
        <v>0</v>
      </c>
      <c r="AJ219" t="str">
        <f>_xlfn.XLOOKUP(Table1[[#This Row],[OverTime]],Table16[OverTime],Table16[Id_OverTime])</f>
        <v>OT002</v>
      </c>
      <c r="AK219" t="s">
        <v>33</v>
      </c>
      <c r="AL219">
        <v>14</v>
      </c>
      <c r="AM219" t="str">
        <f>_xlfn.XLOOKUP(Table1[[#This Row],[PerformanceRating]],Table17[PerformanceRating],Table17[Id_PerformanceRating])</f>
        <v>PR003</v>
      </c>
      <c r="AN219">
        <v>3</v>
      </c>
      <c r="AO219" t="str">
        <f>_xlfn.XLOOKUP(Table1[[#This Row],[PerformanceRating]],Table17[PerformanceRating],Table17[Deskripsi])</f>
        <v>Excellent</v>
      </c>
      <c r="AP219" t="str">
        <f>_xlfn.XLOOKUP(Table1[[#This Row],[RelationshipSatisfaction]],Table18[RelationshipSatisfaction],Table18[Id_RelationshipSatisfaction])</f>
        <v>RS004</v>
      </c>
      <c r="AQ219">
        <v>4</v>
      </c>
      <c r="AR219" t="str">
        <f>_xlfn.XLOOKUP(Table1[[#This Row],[RelationshipSatisfaction]],Table18[RelationshipSatisfaction],Table18[Deskripsi])</f>
        <v>Very High</v>
      </c>
      <c r="AS219" t="str">
        <f>_xlfn.XLOOKUP(Table1[[#This Row],[StockOptionLevel]],Table19[StockOptionLevel],Table19[Id_StockOptionLevel])</f>
        <v>SOL001</v>
      </c>
      <c r="AT219">
        <v>0</v>
      </c>
      <c r="AU219" t="str">
        <f>_xlfn.XLOOKUP(Table1[[#This Row],[StockOptionLevel]],Table19[StockOptionLevel],Table19[Deskripsi])</f>
        <v>Non-Eligible</v>
      </c>
      <c r="AV219">
        <v>7</v>
      </c>
      <c r="AW219">
        <v>1</v>
      </c>
      <c r="AX219" t="str">
        <f>_xlfn.XLOOKUP(Table1[[#This Row],[WorkLifeBalance]],Table20[WorkLifeBalance],Table20[Id_WorkLifeBalance])</f>
        <v>WLB003</v>
      </c>
      <c r="AY219">
        <v>2</v>
      </c>
      <c r="AZ219" t="str">
        <f>_xlfn.XLOOKUP(Table1[[#This Row],[WorkLifeBalance]],Table20[WorkLifeBalance],Table20[Deskripsi])</f>
        <v>Better</v>
      </c>
      <c r="BA219">
        <v>6</v>
      </c>
      <c r="BB219">
        <v>2</v>
      </c>
      <c r="BC219">
        <v>1</v>
      </c>
      <c r="BD219">
        <v>5</v>
      </c>
    </row>
    <row r="220" spans="1:56" x14ac:dyDescent="0.25">
      <c r="A220">
        <v>45</v>
      </c>
      <c r="B220" t="str">
        <f>_xlfn.XLOOKUP(Table1[[#This Row],[Attrition]],Table2[Attrition],Table2[Id_Attrition])</f>
        <v>A002</v>
      </c>
      <c r="C220" t="s">
        <v>33</v>
      </c>
      <c r="D220" t="str">
        <f>_xlfn.XLOOKUP(Table1[[#This Row],[BusinessTravel]],Table5[BusinessTravel],Table5[Id_BusinessTravel])</f>
        <v>BS003</v>
      </c>
      <c r="E220" t="s">
        <v>36</v>
      </c>
      <c r="F220">
        <v>1052</v>
      </c>
      <c r="G220" t="str">
        <f>_xlfn.XLOOKUP(Table1[[#This Row],[Department]],Table6[Department],Table6[Id_Departement])</f>
        <v>D001</v>
      </c>
      <c r="H220" t="s">
        <v>37</v>
      </c>
      <c r="I220">
        <v>6</v>
      </c>
      <c r="J220" t="str">
        <f>_xlfn.XLOOKUP(Table1[[#This Row],[Education]],Table8[Education],Table8[Id_Education])</f>
        <v>E003</v>
      </c>
      <c r="K220">
        <v>3</v>
      </c>
      <c r="L220" t="str">
        <f>_xlfn.XLOOKUP(Table1[[#This Row],[EducationField]],Table7[EducationField],Table7[Id_EducationField])</f>
        <v>EF003</v>
      </c>
      <c r="M220" t="s">
        <v>42</v>
      </c>
      <c r="N220" t="str">
        <f>_xlfn.XLOOKUP(Table1[[#This Row],[EmployeeNumber]],Table4[EmployeeNumber],Table4[Id_Employee])</f>
        <v>EMP00219</v>
      </c>
      <c r="O220">
        <v>302</v>
      </c>
      <c r="P220" t="str">
        <f>_xlfn.XLOOKUP(Table1[[#This Row],[EnvironmentSatisfaction]],Table9[EnvironmentSatisfaction],Table9[Id_EnviromentSatisfaction])</f>
        <v>ES004</v>
      </c>
      <c r="Q220">
        <v>4</v>
      </c>
      <c r="R220" t="str">
        <f>_xlfn.XLOOKUP(Table1[[#This Row],[EnvironmentSatisfaction]],Table9[EnvironmentSatisfaction],Table9[Deskripsi])</f>
        <v>Very High</v>
      </c>
      <c r="S220" t="str">
        <f>_xlfn.XLOOKUP(Table1[[#This Row],[Gender]],Table10[Gender],Table10[Id_Gender])</f>
        <v>G001</v>
      </c>
      <c r="T220" t="s">
        <v>45</v>
      </c>
      <c r="U220">
        <v>57</v>
      </c>
      <c r="V220" t="str">
        <f>_xlfn.XLOOKUP(Table1[[#This Row],[JobInvolvement]],Table11[JobInvolvement],Table11[Id_JobInvolvement])</f>
        <v>JI002</v>
      </c>
      <c r="W220">
        <v>2</v>
      </c>
      <c r="X220" t="str">
        <f>_xlfn.XLOOKUP(Table1[[#This Row],[JobLevel]],Table12[JobLevel],Table12[Id_JobLevel])</f>
        <v>JL003</v>
      </c>
      <c r="Y220">
        <v>3</v>
      </c>
      <c r="Z220" t="str">
        <f>_xlfn.XLOOKUP(Table1[[#This Row],[JobRole]],Table13[JobRole],Table13[Id_JobRole])</f>
        <v>JR001</v>
      </c>
      <c r="AA220" t="s">
        <v>47</v>
      </c>
      <c r="AB220" t="str">
        <f>_xlfn.XLOOKUP(Table1[[#This Row],[JobSatisfaction]],Table14[JobSatisfaction],Table14[Id_JobSatisfaction])</f>
        <v>JS004</v>
      </c>
      <c r="AC220">
        <v>4</v>
      </c>
      <c r="AD220" t="str">
        <f>_xlfn.XLOOKUP(Table1[[#This Row],[JobSatisfaction]],Table14[JobSatisfaction],Table14[Deskripsi])</f>
        <v>Very High</v>
      </c>
      <c r="AE220" t="str">
        <f>_xlfn.XLOOKUP(Table1[[#This Row],[MaritalStatus]],Table15[MaritalStatus],Table15[Id_MaritalStatus])</f>
        <v>MS001</v>
      </c>
      <c r="AF220" t="s">
        <v>55</v>
      </c>
      <c r="AG220">
        <v>8865</v>
      </c>
      <c r="AH220">
        <v>16840</v>
      </c>
      <c r="AI220">
        <v>6</v>
      </c>
      <c r="AJ220" t="str">
        <f>_xlfn.XLOOKUP(Table1[[#This Row],[OverTime]],Table16[OverTime],Table16[Id_OverTime])</f>
        <v>OT002</v>
      </c>
      <c r="AK220" t="s">
        <v>33</v>
      </c>
      <c r="AL220">
        <v>12</v>
      </c>
      <c r="AM220" t="str">
        <f>_xlfn.XLOOKUP(Table1[[#This Row],[PerformanceRating]],Table17[PerformanceRating],Table17[Id_PerformanceRating])</f>
        <v>PR003</v>
      </c>
      <c r="AN220">
        <v>3</v>
      </c>
      <c r="AO220" t="str">
        <f>_xlfn.XLOOKUP(Table1[[#This Row],[PerformanceRating]],Table17[PerformanceRating],Table17[Deskripsi])</f>
        <v>Excellent</v>
      </c>
      <c r="AP220" t="str">
        <f>_xlfn.XLOOKUP(Table1[[#This Row],[RelationshipSatisfaction]],Table18[RelationshipSatisfaction],Table18[Id_RelationshipSatisfaction])</f>
        <v>RS004</v>
      </c>
      <c r="AQ220">
        <v>4</v>
      </c>
      <c r="AR220" t="str">
        <f>_xlfn.XLOOKUP(Table1[[#This Row],[RelationshipSatisfaction]],Table18[RelationshipSatisfaction],Table18[Deskripsi])</f>
        <v>Very High</v>
      </c>
      <c r="AS220" t="str">
        <f>_xlfn.XLOOKUP(Table1[[#This Row],[StockOptionLevel]],Table19[StockOptionLevel],Table19[Id_StockOptionLevel])</f>
        <v>SOL001</v>
      </c>
      <c r="AT220">
        <v>0</v>
      </c>
      <c r="AU220" t="str">
        <f>_xlfn.XLOOKUP(Table1[[#This Row],[StockOptionLevel]],Table19[StockOptionLevel],Table19[Deskripsi])</f>
        <v>Non-Eligible</v>
      </c>
      <c r="AV220">
        <v>23</v>
      </c>
      <c r="AW220">
        <v>2</v>
      </c>
      <c r="AX220" t="str">
        <f>_xlfn.XLOOKUP(Table1[[#This Row],[WorkLifeBalance]],Table20[WorkLifeBalance],Table20[Id_WorkLifeBalance])</f>
        <v>WLB002</v>
      </c>
      <c r="AY220">
        <v>3</v>
      </c>
      <c r="AZ220" t="str">
        <f>_xlfn.XLOOKUP(Table1[[#This Row],[WorkLifeBalance]],Table20[WorkLifeBalance],Table20[Deskripsi])</f>
        <v>Good</v>
      </c>
      <c r="BA220">
        <v>19</v>
      </c>
      <c r="BB220">
        <v>7</v>
      </c>
      <c r="BC220">
        <v>12</v>
      </c>
      <c r="BD220">
        <v>8</v>
      </c>
    </row>
    <row r="221" spans="1:56" x14ac:dyDescent="0.25">
      <c r="A221">
        <v>54</v>
      </c>
      <c r="B221" t="str">
        <f>_xlfn.XLOOKUP(Table1[[#This Row],[Attrition]],Table2[Attrition],Table2[Id_Attrition])</f>
        <v>A002</v>
      </c>
      <c r="C221" t="s">
        <v>33</v>
      </c>
      <c r="D221" t="str">
        <f>_xlfn.XLOOKUP(Table1[[#This Row],[BusinessTravel]],Table5[BusinessTravel],Table5[Id_BusinessTravel])</f>
        <v>BS001</v>
      </c>
      <c r="E221" t="s">
        <v>34</v>
      </c>
      <c r="F221">
        <v>1147</v>
      </c>
      <c r="G221" t="str">
        <f>_xlfn.XLOOKUP(Table1[[#This Row],[Department]],Table6[Department],Table6[Id_Departement])</f>
        <v>D001</v>
      </c>
      <c r="H221" t="s">
        <v>37</v>
      </c>
      <c r="I221">
        <v>3</v>
      </c>
      <c r="J221" t="str">
        <f>_xlfn.XLOOKUP(Table1[[#This Row],[Education]],Table8[Education],Table8[Id_Education])</f>
        <v>E003</v>
      </c>
      <c r="K221">
        <v>3</v>
      </c>
      <c r="L221" t="str">
        <f>_xlfn.XLOOKUP(Table1[[#This Row],[EducationField]],Table7[EducationField],Table7[Id_EducationField])</f>
        <v>EF004</v>
      </c>
      <c r="M221" t="s">
        <v>43</v>
      </c>
      <c r="N221" t="str">
        <f>_xlfn.XLOOKUP(Table1[[#This Row],[EmployeeNumber]],Table4[EmployeeNumber],Table4[Id_Employee])</f>
        <v>EMP00220</v>
      </c>
      <c r="O221">
        <v>303</v>
      </c>
      <c r="P221" t="str">
        <f>_xlfn.XLOOKUP(Table1[[#This Row],[EnvironmentSatisfaction]],Table9[EnvironmentSatisfaction],Table9[Id_EnviromentSatisfaction])</f>
        <v>ES004</v>
      </c>
      <c r="Q221">
        <v>4</v>
      </c>
      <c r="R221" t="str">
        <f>_xlfn.XLOOKUP(Table1[[#This Row],[EnvironmentSatisfaction]],Table9[EnvironmentSatisfaction],Table9[Deskripsi])</f>
        <v>Very High</v>
      </c>
      <c r="S221" t="str">
        <f>_xlfn.XLOOKUP(Table1[[#This Row],[Gender]],Table10[Gender],Table10[Id_Gender])</f>
        <v>G001</v>
      </c>
      <c r="T221" t="s">
        <v>45</v>
      </c>
      <c r="U221">
        <v>52</v>
      </c>
      <c r="V221" t="str">
        <f>_xlfn.XLOOKUP(Table1[[#This Row],[JobInvolvement]],Table11[JobInvolvement],Table11[Id_JobInvolvement])</f>
        <v>JI003</v>
      </c>
      <c r="W221">
        <v>3</v>
      </c>
      <c r="X221" t="str">
        <f>_xlfn.XLOOKUP(Table1[[#This Row],[JobLevel]],Table12[JobLevel],Table12[Id_JobLevel])</f>
        <v>JL002</v>
      </c>
      <c r="Y221">
        <v>2</v>
      </c>
      <c r="Z221" t="str">
        <f>_xlfn.XLOOKUP(Table1[[#This Row],[JobRole]],Table13[JobRole],Table13[Id_JobRole])</f>
        <v>JR001</v>
      </c>
      <c r="AA221" t="s">
        <v>47</v>
      </c>
      <c r="AB221" t="str">
        <f>_xlfn.XLOOKUP(Table1[[#This Row],[JobSatisfaction]],Table14[JobSatisfaction],Table14[Id_JobSatisfaction])</f>
        <v>JS001</v>
      </c>
      <c r="AC221">
        <v>1</v>
      </c>
      <c r="AD221" t="str">
        <f>_xlfn.XLOOKUP(Table1[[#This Row],[JobSatisfaction]],Table14[JobSatisfaction],Table14[Deskripsi])</f>
        <v>Low</v>
      </c>
      <c r="AE221" t="str">
        <f>_xlfn.XLOOKUP(Table1[[#This Row],[MaritalStatus]],Table15[MaritalStatus],Table15[Id_MaritalStatus])</f>
        <v>MS002</v>
      </c>
      <c r="AF221" t="s">
        <v>56</v>
      </c>
      <c r="AG221">
        <v>5940</v>
      </c>
      <c r="AH221">
        <v>17011</v>
      </c>
      <c r="AI221">
        <v>2</v>
      </c>
      <c r="AJ221" t="str">
        <f>_xlfn.XLOOKUP(Table1[[#This Row],[OverTime]],Table16[OverTime],Table16[Id_OverTime])</f>
        <v>OT002</v>
      </c>
      <c r="AK221" t="s">
        <v>33</v>
      </c>
      <c r="AL221">
        <v>14</v>
      </c>
      <c r="AM221" t="str">
        <f>_xlfn.XLOOKUP(Table1[[#This Row],[PerformanceRating]],Table17[PerformanceRating],Table17[Id_PerformanceRating])</f>
        <v>PR003</v>
      </c>
      <c r="AN221">
        <v>3</v>
      </c>
      <c r="AO221" t="str">
        <f>_xlfn.XLOOKUP(Table1[[#This Row],[PerformanceRating]],Table17[PerformanceRating],Table17[Deskripsi])</f>
        <v>Excellent</v>
      </c>
      <c r="AP221" t="str">
        <f>_xlfn.XLOOKUP(Table1[[#This Row],[RelationshipSatisfaction]],Table18[RelationshipSatisfaction],Table18[Id_RelationshipSatisfaction])</f>
        <v>RS004</v>
      </c>
      <c r="AQ221">
        <v>4</v>
      </c>
      <c r="AR221" t="str">
        <f>_xlfn.XLOOKUP(Table1[[#This Row],[RelationshipSatisfaction]],Table18[RelationshipSatisfaction],Table18[Deskripsi])</f>
        <v>Very High</v>
      </c>
      <c r="AS221" t="str">
        <f>_xlfn.XLOOKUP(Table1[[#This Row],[StockOptionLevel]],Table19[StockOptionLevel],Table19[Id_StockOptionLevel])</f>
        <v>SOL002</v>
      </c>
      <c r="AT221">
        <v>1</v>
      </c>
      <c r="AU221" t="str">
        <f>_xlfn.XLOOKUP(Table1[[#This Row],[StockOptionLevel]],Table19[StockOptionLevel],Table19[Deskripsi])</f>
        <v>Standard</v>
      </c>
      <c r="AV221">
        <v>16</v>
      </c>
      <c r="AW221">
        <v>4</v>
      </c>
      <c r="AX221" t="str">
        <f>_xlfn.XLOOKUP(Table1[[#This Row],[WorkLifeBalance]],Table20[WorkLifeBalance],Table20[Id_WorkLifeBalance])</f>
        <v>WLB002</v>
      </c>
      <c r="AY221">
        <v>3</v>
      </c>
      <c r="AZ221" t="str">
        <f>_xlfn.XLOOKUP(Table1[[#This Row],[WorkLifeBalance]],Table20[WorkLifeBalance],Table20[Deskripsi])</f>
        <v>Good</v>
      </c>
      <c r="BA221">
        <v>6</v>
      </c>
      <c r="BB221">
        <v>2</v>
      </c>
      <c r="BC221">
        <v>0</v>
      </c>
      <c r="BD221">
        <v>5</v>
      </c>
    </row>
    <row r="222" spans="1:56" x14ac:dyDescent="0.25">
      <c r="A222">
        <v>36</v>
      </c>
      <c r="B222" t="str">
        <f>_xlfn.XLOOKUP(Table1[[#This Row],[Attrition]],Table2[Attrition],Table2[Id_Attrition])</f>
        <v>A002</v>
      </c>
      <c r="C222" t="s">
        <v>33</v>
      </c>
      <c r="D222" t="str">
        <f>_xlfn.XLOOKUP(Table1[[#This Row],[BusinessTravel]],Table5[BusinessTravel],Table5[Id_BusinessTravel])</f>
        <v>BS001</v>
      </c>
      <c r="E222" t="s">
        <v>34</v>
      </c>
      <c r="F222">
        <v>1396</v>
      </c>
      <c r="G222" t="str">
        <f>_xlfn.XLOOKUP(Table1[[#This Row],[Department]],Table6[Department],Table6[Id_Departement])</f>
        <v>D002</v>
      </c>
      <c r="H222" t="s">
        <v>38</v>
      </c>
      <c r="I222">
        <v>5</v>
      </c>
      <c r="J222" t="str">
        <f>_xlfn.XLOOKUP(Table1[[#This Row],[Education]],Table8[Education],Table8[Id_Education])</f>
        <v>E002</v>
      </c>
      <c r="K222">
        <v>2</v>
      </c>
      <c r="L222" t="str">
        <f>_xlfn.XLOOKUP(Table1[[#This Row],[EducationField]],Table7[EducationField],Table7[Id_EducationField])</f>
        <v>EF001</v>
      </c>
      <c r="M222" t="s">
        <v>40</v>
      </c>
      <c r="N222" t="str">
        <f>_xlfn.XLOOKUP(Table1[[#This Row],[EmployeeNumber]],Table4[EmployeeNumber],Table4[Id_Employee])</f>
        <v>EMP00221</v>
      </c>
      <c r="O222">
        <v>304</v>
      </c>
      <c r="P222" t="str">
        <f>_xlfn.XLOOKUP(Table1[[#This Row],[EnvironmentSatisfaction]],Table9[EnvironmentSatisfaction],Table9[Id_EnviromentSatisfaction])</f>
        <v>ES004</v>
      </c>
      <c r="Q222">
        <v>4</v>
      </c>
      <c r="R222" t="str">
        <f>_xlfn.XLOOKUP(Table1[[#This Row],[EnvironmentSatisfaction]],Table9[EnvironmentSatisfaction],Table9[Deskripsi])</f>
        <v>Very High</v>
      </c>
      <c r="S222" t="str">
        <f>_xlfn.XLOOKUP(Table1[[#This Row],[Gender]],Table10[Gender],Table10[Id_Gender])</f>
        <v>G002</v>
      </c>
      <c r="T222" t="s">
        <v>46</v>
      </c>
      <c r="U222">
        <v>62</v>
      </c>
      <c r="V222" t="str">
        <f>_xlfn.XLOOKUP(Table1[[#This Row],[JobInvolvement]],Table11[JobInvolvement],Table11[Id_JobInvolvement])</f>
        <v>JI003</v>
      </c>
      <c r="W222">
        <v>3</v>
      </c>
      <c r="X222" t="str">
        <f>_xlfn.XLOOKUP(Table1[[#This Row],[JobLevel]],Table12[JobLevel],Table12[Id_JobLevel])</f>
        <v>JL002</v>
      </c>
      <c r="Y222">
        <v>2</v>
      </c>
      <c r="Z222" t="str">
        <f>_xlfn.XLOOKUP(Table1[[#This Row],[JobRole]],Table13[JobRole],Table13[Id_JobRole])</f>
        <v>JR003</v>
      </c>
      <c r="AA222" t="s">
        <v>49</v>
      </c>
      <c r="AB222" t="str">
        <f>_xlfn.XLOOKUP(Table1[[#This Row],[JobSatisfaction]],Table14[JobSatisfaction],Table14[Id_JobSatisfaction])</f>
        <v>JS002</v>
      </c>
      <c r="AC222">
        <v>2</v>
      </c>
      <c r="AD222" t="str">
        <f>_xlfn.XLOOKUP(Table1[[#This Row],[JobSatisfaction]],Table14[JobSatisfaction],Table14[Deskripsi])</f>
        <v>Medium</v>
      </c>
      <c r="AE222" t="str">
        <f>_xlfn.XLOOKUP(Table1[[#This Row],[MaritalStatus]],Table15[MaritalStatus],Table15[Id_MaritalStatus])</f>
        <v>MS001</v>
      </c>
      <c r="AF222" t="s">
        <v>55</v>
      </c>
      <c r="AG222">
        <v>5914</v>
      </c>
      <c r="AH222">
        <v>9945</v>
      </c>
      <c r="AI222">
        <v>8</v>
      </c>
      <c r="AJ222" t="str">
        <f>_xlfn.XLOOKUP(Table1[[#This Row],[OverTime]],Table16[OverTime],Table16[Id_OverTime])</f>
        <v>OT002</v>
      </c>
      <c r="AK222" t="s">
        <v>33</v>
      </c>
      <c r="AL222">
        <v>16</v>
      </c>
      <c r="AM222" t="str">
        <f>_xlfn.XLOOKUP(Table1[[#This Row],[PerformanceRating]],Table17[PerformanceRating],Table17[Id_PerformanceRating])</f>
        <v>PR003</v>
      </c>
      <c r="AN222">
        <v>3</v>
      </c>
      <c r="AO222" t="str">
        <f>_xlfn.XLOOKUP(Table1[[#This Row],[PerformanceRating]],Table17[PerformanceRating],Table17[Deskripsi])</f>
        <v>Excellent</v>
      </c>
      <c r="AP222" t="str">
        <f>_xlfn.XLOOKUP(Table1[[#This Row],[RelationshipSatisfaction]],Table18[RelationshipSatisfaction],Table18[Id_RelationshipSatisfaction])</f>
        <v>RS004</v>
      </c>
      <c r="AQ222">
        <v>4</v>
      </c>
      <c r="AR222" t="str">
        <f>_xlfn.XLOOKUP(Table1[[#This Row],[RelationshipSatisfaction]],Table18[RelationshipSatisfaction],Table18[Deskripsi])</f>
        <v>Very High</v>
      </c>
      <c r="AS222" t="str">
        <f>_xlfn.XLOOKUP(Table1[[#This Row],[StockOptionLevel]],Table19[StockOptionLevel],Table19[Id_StockOptionLevel])</f>
        <v>SOL001</v>
      </c>
      <c r="AT222">
        <v>0</v>
      </c>
      <c r="AU222" t="str">
        <f>_xlfn.XLOOKUP(Table1[[#This Row],[StockOptionLevel]],Table19[StockOptionLevel],Table19[Deskripsi])</f>
        <v>Non-Eligible</v>
      </c>
      <c r="AV222">
        <v>16</v>
      </c>
      <c r="AW222">
        <v>3</v>
      </c>
      <c r="AX222" t="str">
        <f>_xlfn.XLOOKUP(Table1[[#This Row],[WorkLifeBalance]],Table20[WorkLifeBalance],Table20[Id_WorkLifeBalance])</f>
        <v>WLB004</v>
      </c>
      <c r="AY222">
        <v>4</v>
      </c>
      <c r="AZ222" t="str">
        <f>_xlfn.XLOOKUP(Table1[[#This Row],[WorkLifeBalance]],Table20[WorkLifeBalance],Table20[Deskripsi])</f>
        <v>Best</v>
      </c>
      <c r="BA222">
        <v>13</v>
      </c>
      <c r="BB222">
        <v>11</v>
      </c>
      <c r="BC222">
        <v>3</v>
      </c>
      <c r="BD222">
        <v>7</v>
      </c>
    </row>
    <row r="223" spans="1:56" x14ac:dyDescent="0.25">
      <c r="A223">
        <v>33</v>
      </c>
      <c r="B223" t="str">
        <f>_xlfn.XLOOKUP(Table1[[#This Row],[Attrition]],Table2[Attrition],Table2[Id_Attrition])</f>
        <v>A002</v>
      </c>
      <c r="C223" t="s">
        <v>33</v>
      </c>
      <c r="D223" t="str">
        <f>_xlfn.XLOOKUP(Table1[[#This Row],[BusinessTravel]],Table5[BusinessTravel],Table5[Id_BusinessTravel])</f>
        <v>BS001</v>
      </c>
      <c r="E223" t="s">
        <v>34</v>
      </c>
      <c r="F223">
        <v>147</v>
      </c>
      <c r="G223" t="str">
        <f>_xlfn.XLOOKUP(Table1[[#This Row],[Department]],Table6[Department],Table6[Id_Departement])</f>
        <v>D002</v>
      </c>
      <c r="H223" t="s">
        <v>38</v>
      </c>
      <c r="I223">
        <v>4</v>
      </c>
      <c r="J223" t="str">
        <f>_xlfn.XLOOKUP(Table1[[#This Row],[Education]],Table8[Education],Table8[Id_Education])</f>
        <v>E004</v>
      </c>
      <c r="K223">
        <v>4</v>
      </c>
      <c r="L223" t="str">
        <f>_xlfn.XLOOKUP(Table1[[#This Row],[EducationField]],Table7[EducationField],Table7[Id_EducationField])</f>
        <v>EF003</v>
      </c>
      <c r="M223" t="s">
        <v>42</v>
      </c>
      <c r="N223" t="str">
        <f>_xlfn.XLOOKUP(Table1[[#This Row],[EmployeeNumber]],Table4[EmployeeNumber],Table4[Id_Employee])</f>
        <v>EMP00222</v>
      </c>
      <c r="O223">
        <v>305</v>
      </c>
      <c r="P223" t="str">
        <f>_xlfn.XLOOKUP(Table1[[#This Row],[EnvironmentSatisfaction]],Table9[EnvironmentSatisfaction],Table9[Id_EnviromentSatisfaction])</f>
        <v>ES003</v>
      </c>
      <c r="Q223">
        <v>3</v>
      </c>
      <c r="R223" t="str">
        <f>_xlfn.XLOOKUP(Table1[[#This Row],[EnvironmentSatisfaction]],Table9[EnvironmentSatisfaction],Table9[Deskripsi])</f>
        <v>High</v>
      </c>
      <c r="S223" t="str">
        <f>_xlfn.XLOOKUP(Table1[[#This Row],[Gender]],Table10[Gender],Table10[Id_Gender])</f>
        <v>G001</v>
      </c>
      <c r="T223" t="s">
        <v>45</v>
      </c>
      <c r="U223">
        <v>47</v>
      </c>
      <c r="V223" t="str">
        <f>_xlfn.XLOOKUP(Table1[[#This Row],[JobInvolvement]],Table11[JobInvolvement],Table11[Id_JobInvolvement])</f>
        <v>JI002</v>
      </c>
      <c r="W223">
        <v>2</v>
      </c>
      <c r="X223" t="str">
        <f>_xlfn.XLOOKUP(Table1[[#This Row],[JobLevel]],Table12[JobLevel],Table12[Id_JobLevel])</f>
        <v>JL001</v>
      </c>
      <c r="Y223">
        <v>1</v>
      </c>
      <c r="Z223" t="str">
        <f>_xlfn.XLOOKUP(Table1[[#This Row],[JobRole]],Table13[JobRole],Table13[Id_JobRole])</f>
        <v>JR002</v>
      </c>
      <c r="AA223" t="s">
        <v>48</v>
      </c>
      <c r="AB223" t="str">
        <f>_xlfn.XLOOKUP(Table1[[#This Row],[JobSatisfaction]],Table14[JobSatisfaction],Table14[Id_JobSatisfaction])</f>
        <v>JS002</v>
      </c>
      <c r="AC223">
        <v>2</v>
      </c>
      <c r="AD223" t="str">
        <f>_xlfn.XLOOKUP(Table1[[#This Row],[JobSatisfaction]],Table14[JobSatisfaction],Table14[Deskripsi])</f>
        <v>Medium</v>
      </c>
      <c r="AE223" t="str">
        <f>_xlfn.XLOOKUP(Table1[[#This Row],[MaritalStatus]],Table15[MaritalStatus],Table15[Id_MaritalStatus])</f>
        <v>MS002</v>
      </c>
      <c r="AF223" t="s">
        <v>56</v>
      </c>
      <c r="AG223">
        <v>2622</v>
      </c>
      <c r="AH223">
        <v>13248</v>
      </c>
      <c r="AI223">
        <v>6</v>
      </c>
      <c r="AJ223" t="str">
        <f>_xlfn.XLOOKUP(Table1[[#This Row],[OverTime]],Table16[OverTime],Table16[Id_OverTime])</f>
        <v>OT002</v>
      </c>
      <c r="AK223" t="s">
        <v>33</v>
      </c>
      <c r="AL223">
        <v>21</v>
      </c>
      <c r="AM223" t="str">
        <f>_xlfn.XLOOKUP(Table1[[#This Row],[PerformanceRating]],Table17[PerformanceRating],Table17[Id_PerformanceRating])</f>
        <v>PR004</v>
      </c>
      <c r="AN223">
        <v>4</v>
      </c>
      <c r="AO223" t="str">
        <f>_xlfn.XLOOKUP(Table1[[#This Row],[PerformanceRating]],Table17[PerformanceRating],Table17[Deskripsi])</f>
        <v>Outstanding</v>
      </c>
      <c r="AP223" t="str">
        <f>_xlfn.XLOOKUP(Table1[[#This Row],[RelationshipSatisfaction]],Table18[RelationshipSatisfaction],Table18[Id_RelationshipSatisfaction])</f>
        <v>RS004</v>
      </c>
      <c r="AQ223">
        <v>4</v>
      </c>
      <c r="AR223" t="str">
        <f>_xlfn.XLOOKUP(Table1[[#This Row],[RelationshipSatisfaction]],Table18[RelationshipSatisfaction],Table18[Deskripsi])</f>
        <v>Very High</v>
      </c>
      <c r="AS223" t="str">
        <f>_xlfn.XLOOKUP(Table1[[#This Row],[StockOptionLevel]],Table19[StockOptionLevel],Table19[Id_StockOptionLevel])</f>
        <v>SOL001</v>
      </c>
      <c r="AT223">
        <v>0</v>
      </c>
      <c r="AU223" t="str">
        <f>_xlfn.XLOOKUP(Table1[[#This Row],[StockOptionLevel]],Table19[StockOptionLevel],Table19[Deskripsi])</f>
        <v>Non-Eligible</v>
      </c>
      <c r="AV223">
        <v>7</v>
      </c>
      <c r="AW223">
        <v>3</v>
      </c>
      <c r="AX223" t="str">
        <f>_xlfn.XLOOKUP(Table1[[#This Row],[WorkLifeBalance]],Table20[WorkLifeBalance],Table20[Id_WorkLifeBalance])</f>
        <v>WLB002</v>
      </c>
      <c r="AY223">
        <v>3</v>
      </c>
      <c r="AZ223" t="str">
        <f>_xlfn.XLOOKUP(Table1[[#This Row],[WorkLifeBalance]],Table20[WorkLifeBalance],Table20[Deskripsi])</f>
        <v>Good</v>
      </c>
      <c r="BA223">
        <v>3</v>
      </c>
      <c r="BB223">
        <v>2</v>
      </c>
      <c r="BC223">
        <v>1</v>
      </c>
      <c r="BD223">
        <v>1</v>
      </c>
    </row>
    <row r="224" spans="1:56" x14ac:dyDescent="0.25">
      <c r="A224">
        <v>37</v>
      </c>
      <c r="B224" t="str">
        <f>_xlfn.XLOOKUP(Table1[[#This Row],[Attrition]],Table2[Attrition],Table2[Id_Attrition])</f>
        <v>A002</v>
      </c>
      <c r="C224" t="s">
        <v>33</v>
      </c>
      <c r="D224" t="str">
        <f>_xlfn.XLOOKUP(Table1[[#This Row],[BusinessTravel]],Table5[BusinessTravel],Table5[Id_BusinessTravel])</f>
        <v>BS002</v>
      </c>
      <c r="E224" t="s">
        <v>35</v>
      </c>
      <c r="F224">
        <v>663</v>
      </c>
      <c r="G224" t="str">
        <f>_xlfn.XLOOKUP(Table1[[#This Row],[Department]],Table6[Department],Table6[Id_Departement])</f>
        <v>D002</v>
      </c>
      <c r="H224" t="s">
        <v>38</v>
      </c>
      <c r="I224">
        <v>11</v>
      </c>
      <c r="J224" t="str">
        <f>_xlfn.XLOOKUP(Table1[[#This Row],[Education]],Table8[Education],Table8[Id_Education])</f>
        <v>E003</v>
      </c>
      <c r="K224">
        <v>3</v>
      </c>
      <c r="L224" t="str">
        <f>_xlfn.XLOOKUP(Table1[[#This Row],[EducationField]],Table7[EducationField],Table7[Id_EducationField])</f>
        <v>EF002</v>
      </c>
      <c r="M224" t="s">
        <v>41</v>
      </c>
      <c r="N224" t="str">
        <f>_xlfn.XLOOKUP(Table1[[#This Row],[EmployeeNumber]],Table4[EmployeeNumber],Table4[Id_Employee])</f>
        <v>EMP00223</v>
      </c>
      <c r="O224">
        <v>306</v>
      </c>
      <c r="P224" t="str">
        <f>_xlfn.XLOOKUP(Table1[[#This Row],[EnvironmentSatisfaction]],Table9[EnvironmentSatisfaction],Table9[Id_EnviromentSatisfaction])</f>
        <v>ES002</v>
      </c>
      <c r="Q224">
        <v>2</v>
      </c>
      <c r="R224" t="str">
        <f>_xlfn.XLOOKUP(Table1[[#This Row],[EnvironmentSatisfaction]],Table9[EnvironmentSatisfaction],Table9[Deskripsi])</f>
        <v>Medium</v>
      </c>
      <c r="S224" t="str">
        <f>_xlfn.XLOOKUP(Table1[[#This Row],[Gender]],Table10[Gender],Table10[Id_Gender])</f>
        <v>G002</v>
      </c>
      <c r="T224" t="s">
        <v>46</v>
      </c>
      <c r="U224">
        <v>47</v>
      </c>
      <c r="V224" t="str">
        <f>_xlfn.XLOOKUP(Table1[[#This Row],[JobInvolvement]],Table11[JobInvolvement],Table11[Id_JobInvolvement])</f>
        <v>JI003</v>
      </c>
      <c r="W224">
        <v>3</v>
      </c>
      <c r="X224" t="str">
        <f>_xlfn.XLOOKUP(Table1[[#This Row],[JobLevel]],Table12[JobLevel],Table12[Id_JobLevel])</f>
        <v>JL003</v>
      </c>
      <c r="Y224">
        <v>3</v>
      </c>
      <c r="Z224" t="str">
        <f>_xlfn.XLOOKUP(Table1[[#This Row],[JobRole]],Table13[JobRole],Table13[Id_JobRole])</f>
        <v>JR008</v>
      </c>
      <c r="AA224" t="s">
        <v>54</v>
      </c>
      <c r="AB224" t="str">
        <f>_xlfn.XLOOKUP(Table1[[#This Row],[JobSatisfaction]],Table14[JobSatisfaction],Table14[Id_JobSatisfaction])</f>
        <v>JS004</v>
      </c>
      <c r="AC224">
        <v>4</v>
      </c>
      <c r="AD224" t="str">
        <f>_xlfn.XLOOKUP(Table1[[#This Row],[JobSatisfaction]],Table14[JobSatisfaction],Table14[Deskripsi])</f>
        <v>Very High</v>
      </c>
      <c r="AE224" t="str">
        <f>_xlfn.XLOOKUP(Table1[[#This Row],[MaritalStatus]],Table15[MaritalStatus],Table15[Id_MaritalStatus])</f>
        <v>MS003</v>
      </c>
      <c r="AF224" t="s">
        <v>57</v>
      </c>
      <c r="AG224">
        <v>12185</v>
      </c>
      <c r="AH224">
        <v>10056</v>
      </c>
      <c r="AI224">
        <v>1</v>
      </c>
      <c r="AJ224" t="str">
        <f>_xlfn.XLOOKUP(Table1[[#This Row],[OverTime]],Table16[OverTime],Table16[Id_OverTime])</f>
        <v>OT001</v>
      </c>
      <c r="AK224" t="s">
        <v>32</v>
      </c>
      <c r="AL224">
        <v>14</v>
      </c>
      <c r="AM224" t="str">
        <f>_xlfn.XLOOKUP(Table1[[#This Row],[PerformanceRating]],Table17[PerformanceRating],Table17[Id_PerformanceRating])</f>
        <v>PR003</v>
      </c>
      <c r="AN224">
        <v>3</v>
      </c>
      <c r="AO224" t="str">
        <f>_xlfn.XLOOKUP(Table1[[#This Row],[PerformanceRating]],Table17[PerformanceRating],Table17[Deskripsi])</f>
        <v>Excellent</v>
      </c>
      <c r="AP224" t="str">
        <f>_xlfn.XLOOKUP(Table1[[#This Row],[RelationshipSatisfaction]],Table18[RelationshipSatisfaction],Table18[Id_RelationshipSatisfaction])</f>
        <v>RS003</v>
      </c>
      <c r="AQ224">
        <v>3</v>
      </c>
      <c r="AR224" t="str">
        <f>_xlfn.XLOOKUP(Table1[[#This Row],[RelationshipSatisfaction]],Table18[RelationshipSatisfaction],Table18[Deskripsi])</f>
        <v>High</v>
      </c>
      <c r="AS224" t="str">
        <f>_xlfn.XLOOKUP(Table1[[#This Row],[StockOptionLevel]],Table19[StockOptionLevel],Table19[Id_StockOptionLevel])</f>
        <v>SOL004</v>
      </c>
      <c r="AT224">
        <v>3</v>
      </c>
      <c r="AU224" t="str">
        <f>_xlfn.XLOOKUP(Table1[[#This Row],[StockOptionLevel]],Table19[StockOptionLevel],Table19[Deskripsi])</f>
        <v>Senior/Executive</v>
      </c>
      <c r="AV224">
        <v>10</v>
      </c>
      <c r="AW224">
        <v>1</v>
      </c>
      <c r="AX224" t="str">
        <f>_xlfn.XLOOKUP(Table1[[#This Row],[WorkLifeBalance]],Table20[WorkLifeBalance],Table20[Id_WorkLifeBalance])</f>
        <v>WLB002</v>
      </c>
      <c r="AY224">
        <v>3</v>
      </c>
      <c r="AZ224" t="str">
        <f>_xlfn.XLOOKUP(Table1[[#This Row],[WorkLifeBalance]],Table20[WorkLifeBalance],Table20[Deskripsi])</f>
        <v>Good</v>
      </c>
      <c r="BA224">
        <v>10</v>
      </c>
      <c r="BB224">
        <v>8</v>
      </c>
      <c r="BC224">
        <v>0</v>
      </c>
      <c r="BD224">
        <v>7</v>
      </c>
    </row>
    <row r="225" spans="1:56" x14ac:dyDescent="0.25">
      <c r="A225">
        <v>38</v>
      </c>
      <c r="B225" t="str">
        <f>_xlfn.XLOOKUP(Table1[[#This Row],[Attrition]],Table2[Attrition],Table2[Id_Attrition])</f>
        <v>A002</v>
      </c>
      <c r="C225" t="s">
        <v>33</v>
      </c>
      <c r="D225" t="str">
        <f>_xlfn.XLOOKUP(Table1[[#This Row],[BusinessTravel]],Table5[BusinessTravel],Table5[Id_BusinessTravel])</f>
        <v>BS001</v>
      </c>
      <c r="E225" t="s">
        <v>34</v>
      </c>
      <c r="F225">
        <v>119</v>
      </c>
      <c r="G225" t="str">
        <f>_xlfn.XLOOKUP(Table1[[#This Row],[Department]],Table6[Department],Table6[Id_Departement])</f>
        <v>D001</v>
      </c>
      <c r="H225" t="s">
        <v>37</v>
      </c>
      <c r="I225">
        <v>3</v>
      </c>
      <c r="J225" t="str">
        <f>_xlfn.XLOOKUP(Table1[[#This Row],[Education]],Table8[Education],Table8[Id_Education])</f>
        <v>E003</v>
      </c>
      <c r="K225">
        <v>3</v>
      </c>
      <c r="L225" t="str">
        <f>_xlfn.XLOOKUP(Table1[[#This Row],[EducationField]],Table7[EducationField],Table7[Id_EducationField])</f>
        <v>EF001</v>
      </c>
      <c r="M225" t="s">
        <v>40</v>
      </c>
      <c r="N225" t="str">
        <f>_xlfn.XLOOKUP(Table1[[#This Row],[EmployeeNumber]],Table4[EmployeeNumber],Table4[Id_Employee])</f>
        <v>EMP00224</v>
      </c>
      <c r="O225">
        <v>307</v>
      </c>
      <c r="P225" t="str">
        <f>_xlfn.XLOOKUP(Table1[[#This Row],[EnvironmentSatisfaction]],Table9[EnvironmentSatisfaction],Table9[Id_EnviromentSatisfaction])</f>
        <v>ES001</v>
      </c>
      <c r="Q225">
        <v>1</v>
      </c>
      <c r="R225" t="str">
        <f>_xlfn.XLOOKUP(Table1[[#This Row],[EnvironmentSatisfaction]],Table9[EnvironmentSatisfaction],Table9[Deskripsi])</f>
        <v>Low</v>
      </c>
      <c r="S225" t="str">
        <f>_xlfn.XLOOKUP(Table1[[#This Row],[Gender]],Table10[Gender],Table10[Id_Gender])</f>
        <v>G002</v>
      </c>
      <c r="T225" t="s">
        <v>46</v>
      </c>
      <c r="U225">
        <v>76</v>
      </c>
      <c r="V225" t="str">
        <f>_xlfn.XLOOKUP(Table1[[#This Row],[JobInvolvement]],Table11[JobInvolvement],Table11[Id_JobInvolvement])</f>
        <v>JI003</v>
      </c>
      <c r="W225">
        <v>3</v>
      </c>
      <c r="X225" t="str">
        <f>_xlfn.XLOOKUP(Table1[[#This Row],[JobLevel]],Table12[JobLevel],Table12[Id_JobLevel])</f>
        <v>JL003</v>
      </c>
      <c r="Y225">
        <v>3</v>
      </c>
      <c r="Z225" t="str">
        <f>_xlfn.XLOOKUP(Table1[[#This Row],[JobRole]],Table13[JobRole],Table13[Id_JobRole])</f>
        <v>JR001</v>
      </c>
      <c r="AA225" t="s">
        <v>47</v>
      </c>
      <c r="AB225" t="str">
        <f>_xlfn.XLOOKUP(Table1[[#This Row],[JobSatisfaction]],Table14[JobSatisfaction],Table14[Id_JobSatisfaction])</f>
        <v>JS003</v>
      </c>
      <c r="AC225">
        <v>3</v>
      </c>
      <c r="AD225" t="str">
        <f>_xlfn.XLOOKUP(Table1[[#This Row],[JobSatisfaction]],Table14[JobSatisfaction],Table14[Deskripsi])</f>
        <v>High</v>
      </c>
      <c r="AE225" t="str">
        <f>_xlfn.XLOOKUP(Table1[[#This Row],[MaritalStatus]],Table15[MaritalStatus],Table15[Id_MaritalStatus])</f>
        <v>MS003</v>
      </c>
      <c r="AF225" t="s">
        <v>57</v>
      </c>
      <c r="AG225">
        <v>10609</v>
      </c>
      <c r="AH225">
        <v>9647</v>
      </c>
      <c r="AI225">
        <v>0</v>
      </c>
      <c r="AJ225" t="str">
        <f>_xlfn.XLOOKUP(Table1[[#This Row],[OverTime]],Table16[OverTime],Table16[Id_OverTime])</f>
        <v>OT002</v>
      </c>
      <c r="AK225" t="s">
        <v>33</v>
      </c>
      <c r="AL225">
        <v>12</v>
      </c>
      <c r="AM225" t="str">
        <f>_xlfn.XLOOKUP(Table1[[#This Row],[PerformanceRating]],Table17[PerformanceRating],Table17[Id_PerformanceRating])</f>
        <v>PR003</v>
      </c>
      <c r="AN225">
        <v>3</v>
      </c>
      <c r="AO225" t="str">
        <f>_xlfn.XLOOKUP(Table1[[#This Row],[PerformanceRating]],Table17[PerformanceRating],Table17[Deskripsi])</f>
        <v>Excellent</v>
      </c>
      <c r="AP225" t="str">
        <f>_xlfn.XLOOKUP(Table1[[#This Row],[RelationshipSatisfaction]],Table18[RelationshipSatisfaction],Table18[Id_RelationshipSatisfaction])</f>
        <v>RS003</v>
      </c>
      <c r="AQ225">
        <v>3</v>
      </c>
      <c r="AR225" t="str">
        <f>_xlfn.XLOOKUP(Table1[[#This Row],[RelationshipSatisfaction]],Table18[RelationshipSatisfaction],Table18[Deskripsi])</f>
        <v>High</v>
      </c>
      <c r="AS225" t="str">
        <f>_xlfn.XLOOKUP(Table1[[#This Row],[StockOptionLevel]],Table19[StockOptionLevel],Table19[Id_StockOptionLevel])</f>
        <v>SOL003</v>
      </c>
      <c r="AT225">
        <v>2</v>
      </c>
      <c r="AU225" t="str">
        <f>_xlfn.XLOOKUP(Table1[[#This Row],[StockOptionLevel]],Table19[StockOptionLevel],Table19[Deskripsi])</f>
        <v>Intermediate</v>
      </c>
      <c r="AV225">
        <v>17</v>
      </c>
      <c r="AW225">
        <v>6</v>
      </c>
      <c r="AX225" t="str">
        <f>_xlfn.XLOOKUP(Table1[[#This Row],[WorkLifeBalance]],Table20[WorkLifeBalance],Table20[Id_WorkLifeBalance])</f>
        <v>WLB003</v>
      </c>
      <c r="AY225">
        <v>2</v>
      </c>
      <c r="AZ225" t="str">
        <f>_xlfn.XLOOKUP(Table1[[#This Row],[WorkLifeBalance]],Table20[WorkLifeBalance],Table20[Deskripsi])</f>
        <v>Better</v>
      </c>
      <c r="BA225">
        <v>16</v>
      </c>
      <c r="BB225">
        <v>10</v>
      </c>
      <c r="BC225">
        <v>5</v>
      </c>
      <c r="BD225">
        <v>13</v>
      </c>
    </row>
    <row r="226" spans="1:56" x14ac:dyDescent="0.25">
      <c r="A226">
        <v>31</v>
      </c>
      <c r="B226" t="str">
        <f>_xlfn.XLOOKUP(Table1[[#This Row],[Attrition]],Table2[Attrition],Table2[Id_Attrition])</f>
        <v>A002</v>
      </c>
      <c r="C226" t="s">
        <v>33</v>
      </c>
      <c r="D226" t="str">
        <f>_xlfn.XLOOKUP(Table1[[#This Row],[BusinessTravel]],Table5[BusinessTravel],Table5[Id_BusinessTravel])</f>
        <v>BS003</v>
      </c>
      <c r="E226" t="s">
        <v>36</v>
      </c>
      <c r="F226">
        <v>979</v>
      </c>
      <c r="G226" t="str">
        <f>_xlfn.XLOOKUP(Table1[[#This Row],[Department]],Table6[Department],Table6[Id_Departement])</f>
        <v>D002</v>
      </c>
      <c r="H226" t="s">
        <v>38</v>
      </c>
      <c r="I226">
        <v>1</v>
      </c>
      <c r="J226" t="str">
        <f>_xlfn.XLOOKUP(Table1[[#This Row],[Education]],Table8[Education],Table8[Id_Education])</f>
        <v>E004</v>
      </c>
      <c r="K226">
        <v>4</v>
      </c>
      <c r="L226" t="str">
        <f>_xlfn.XLOOKUP(Table1[[#This Row],[EducationField]],Table7[EducationField],Table7[Id_EducationField])</f>
        <v>EF003</v>
      </c>
      <c r="M226" t="s">
        <v>42</v>
      </c>
      <c r="N226" t="str">
        <f>_xlfn.XLOOKUP(Table1[[#This Row],[EmployeeNumber]],Table4[EmployeeNumber],Table4[Id_Employee])</f>
        <v>EMP00225</v>
      </c>
      <c r="O226">
        <v>308</v>
      </c>
      <c r="P226" t="str">
        <f>_xlfn.XLOOKUP(Table1[[#This Row],[EnvironmentSatisfaction]],Table9[EnvironmentSatisfaction],Table9[Id_EnviromentSatisfaction])</f>
        <v>ES003</v>
      </c>
      <c r="Q226">
        <v>3</v>
      </c>
      <c r="R226" t="str">
        <f>_xlfn.XLOOKUP(Table1[[#This Row],[EnvironmentSatisfaction]],Table9[EnvironmentSatisfaction],Table9[Deskripsi])</f>
        <v>High</v>
      </c>
      <c r="S226" t="str">
        <f>_xlfn.XLOOKUP(Table1[[#This Row],[Gender]],Table10[Gender],Table10[Id_Gender])</f>
        <v>G002</v>
      </c>
      <c r="T226" t="s">
        <v>46</v>
      </c>
      <c r="U226">
        <v>90</v>
      </c>
      <c r="V226" t="str">
        <f>_xlfn.XLOOKUP(Table1[[#This Row],[JobInvolvement]],Table11[JobInvolvement],Table11[Id_JobInvolvement])</f>
        <v>JI001</v>
      </c>
      <c r="W226">
        <v>1</v>
      </c>
      <c r="X226" t="str">
        <f>_xlfn.XLOOKUP(Table1[[#This Row],[JobLevel]],Table12[JobLevel],Table12[Id_JobLevel])</f>
        <v>JL002</v>
      </c>
      <c r="Y226">
        <v>2</v>
      </c>
      <c r="Z226" t="str">
        <f>_xlfn.XLOOKUP(Table1[[#This Row],[JobRole]],Table13[JobRole],Table13[Id_JobRole])</f>
        <v>JR004</v>
      </c>
      <c r="AA226" t="s">
        <v>50</v>
      </c>
      <c r="AB226" t="str">
        <f>_xlfn.XLOOKUP(Table1[[#This Row],[JobSatisfaction]],Table14[JobSatisfaction],Table14[Id_JobSatisfaction])</f>
        <v>JS003</v>
      </c>
      <c r="AC226">
        <v>3</v>
      </c>
      <c r="AD226" t="str">
        <f>_xlfn.XLOOKUP(Table1[[#This Row],[JobSatisfaction]],Table14[JobSatisfaction],Table14[Deskripsi])</f>
        <v>High</v>
      </c>
      <c r="AE226" t="str">
        <f>_xlfn.XLOOKUP(Table1[[#This Row],[MaritalStatus]],Table15[MaritalStatus],Table15[Id_MaritalStatus])</f>
        <v>MS002</v>
      </c>
      <c r="AF226" t="s">
        <v>56</v>
      </c>
      <c r="AG226">
        <v>4345</v>
      </c>
      <c r="AH226">
        <v>4381</v>
      </c>
      <c r="AI226">
        <v>0</v>
      </c>
      <c r="AJ226" t="str">
        <f>_xlfn.XLOOKUP(Table1[[#This Row],[OverTime]],Table16[OverTime],Table16[Id_OverTime])</f>
        <v>OT002</v>
      </c>
      <c r="AK226" t="s">
        <v>33</v>
      </c>
      <c r="AL226">
        <v>12</v>
      </c>
      <c r="AM226" t="str">
        <f>_xlfn.XLOOKUP(Table1[[#This Row],[PerformanceRating]],Table17[PerformanceRating],Table17[Id_PerformanceRating])</f>
        <v>PR003</v>
      </c>
      <c r="AN226">
        <v>3</v>
      </c>
      <c r="AO226" t="str">
        <f>_xlfn.XLOOKUP(Table1[[#This Row],[PerformanceRating]],Table17[PerformanceRating],Table17[Deskripsi])</f>
        <v>Excellent</v>
      </c>
      <c r="AP226" t="str">
        <f>_xlfn.XLOOKUP(Table1[[#This Row],[RelationshipSatisfaction]],Table18[RelationshipSatisfaction],Table18[Id_RelationshipSatisfaction])</f>
        <v>RS004</v>
      </c>
      <c r="AQ226">
        <v>4</v>
      </c>
      <c r="AR226" t="str">
        <f>_xlfn.XLOOKUP(Table1[[#This Row],[RelationshipSatisfaction]],Table18[RelationshipSatisfaction],Table18[Deskripsi])</f>
        <v>Very High</v>
      </c>
      <c r="AS226" t="str">
        <f>_xlfn.XLOOKUP(Table1[[#This Row],[StockOptionLevel]],Table19[StockOptionLevel],Table19[Id_StockOptionLevel])</f>
        <v>SOL002</v>
      </c>
      <c r="AT226">
        <v>1</v>
      </c>
      <c r="AU226" t="str">
        <f>_xlfn.XLOOKUP(Table1[[#This Row],[StockOptionLevel]],Table19[StockOptionLevel],Table19[Deskripsi])</f>
        <v>Standard</v>
      </c>
      <c r="AV226">
        <v>6</v>
      </c>
      <c r="AW226">
        <v>2</v>
      </c>
      <c r="AX226" t="str">
        <f>_xlfn.XLOOKUP(Table1[[#This Row],[WorkLifeBalance]],Table20[WorkLifeBalance],Table20[Id_WorkLifeBalance])</f>
        <v>WLB002</v>
      </c>
      <c r="AY226">
        <v>3</v>
      </c>
      <c r="AZ226" t="str">
        <f>_xlfn.XLOOKUP(Table1[[#This Row],[WorkLifeBalance]],Table20[WorkLifeBalance],Table20[Deskripsi])</f>
        <v>Good</v>
      </c>
      <c r="BA226">
        <v>5</v>
      </c>
      <c r="BB226">
        <v>4</v>
      </c>
      <c r="BC226">
        <v>1</v>
      </c>
      <c r="BD226">
        <v>4</v>
      </c>
    </row>
    <row r="227" spans="1:56" x14ac:dyDescent="0.25">
      <c r="A227">
        <v>59</v>
      </c>
      <c r="B227" t="str">
        <f>_xlfn.XLOOKUP(Table1[[#This Row],[Attrition]],Table2[Attrition],Table2[Id_Attrition])</f>
        <v>A002</v>
      </c>
      <c r="C227" t="s">
        <v>33</v>
      </c>
      <c r="D227" t="str">
        <f>_xlfn.XLOOKUP(Table1[[#This Row],[BusinessTravel]],Table5[BusinessTravel],Table5[Id_BusinessTravel])</f>
        <v>BS001</v>
      </c>
      <c r="E227" t="s">
        <v>34</v>
      </c>
      <c r="F227">
        <v>142</v>
      </c>
      <c r="G227" t="str">
        <f>_xlfn.XLOOKUP(Table1[[#This Row],[Department]],Table6[Department],Table6[Id_Departement])</f>
        <v>D002</v>
      </c>
      <c r="H227" t="s">
        <v>38</v>
      </c>
      <c r="I227">
        <v>3</v>
      </c>
      <c r="J227" t="str">
        <f>_xlfn.XLOOKUP(Table1[[#This Row],[Education]],Table8[Education],Table8[Id_Education])</f>
        <v>E003</v>
      </c>
      <c r="K227">
        <v>3</v>
      </c>
      <c r="L227" t="str">
        <f>_xlfn.XLOOKUP(Table1[[#This Row],[EducationField]],Table7[EducationField],Table7[Id_EducationField])</f>
        <v>EF001</v>
      </c>
      <c r="M227" t="s">
        <v>40</v>
      </c>
      <c r="N227" t="str">
        <f>_xlfn.XLOOKUP(Table1[[#This Row],[EmployeeNumber]],Table4[EmployeeNumber],Table4[Id_Employee])</f>
        <v>EMP00226</v>
      </c>
      <c r="O227">
        <v>309</v>
      </c>
      <c r="P227" t="str">
        <f>_xlfn.XLOOKUP(Table1[[#This Row],[EnvironmentSatisfaction]],Table9[EnvironmentSatisfaction],Table9[Id_EnviromentSatisfaction])</f>
        <v>ES003</v>
      </c>
      <c r="Q227">
        <v>3</v>
      </c>
      <c r="R227" t="str">
        <f>_xlfn.XLOOKUP(Table1[[#This Row],[EnvironmentSatisfaction]],Table9[EnvironmentSatisfaction],Table9[Deskripsi])</f>
        <v>High</v>
      </c>
      <c r="S227" t="str">
        <f>_xlfn.XLOOKUP(Table1[[#This Row],[Gender]],Table10[Gender],Table10[Id_Gender])</f>
        <v>G002</v>
      </c>
      <c r="T227" t="s">
        <v>46</v>
      </c>
      <c r="U227">
        <v>70</v>
      </c>
      <c r="V227" t="str">
        <f>_xlfn.XLOOKUP(Table1[[#This Row],[JobInvolvement]],Table11[JobInvolvement],Table11[Id_JobInvolvement])</f>
        <v>JI002</v>
      </c>
      <c r="W227">
        <v>2</v>
      </c>
      <c r="X227" t="str">
        <f>_xlfn.XLOOKUP(Table1[[#This Row],[JobLevel]],Table12[JobLevel],Table12[Id_JobLevel])</f>
        <v>JL001</v>
      </c>
      <c r="Y227">
        <v>1</v>
      </c>
      <c r="Z227" t="str">
        <f>_xlfn.XLOOKUP(Table1[[#This Row],[JobRole]],Table13[JobRole],Table13[Id_JobRole])</f>
        <v>JR002</v>
      </c>
      <c r="AA227" t="s">
        <v>48</v>
      </c>
      <c r="AB227" t="str">
        <f>_xlfn.XLOOKUP(Table1[[#This Row],[JobSatisfaction]],Table14[JobSatisfaction],Table14[Id_JobSatisfaction])</f>
        <v>JS004</v>
      </c>
      <c r="AC227">
        <v>4</v>
      </c>
      <c r="AD227" t="str">
        <f>_xlfn.XLOOKUP(Table1[[#This Row],[JobSatisfaction]],Table14[JobSatisfaction],Table14[Deskripsi])</f>
        <v>Very High</v>
      </c>
      <c r="AE227" t="str">
        <f>_xlfn.XLOOKUP(Table1[[#This Row],[MaritalStatus]],Table15[MaritalStatus],Table15[Id_MaritalStatus])</f>
        <v>MS002</v>
      </c>
      <c r="AF227" t="s">
        <v>56</v>
      </c>
      <c r="AG227">
        <v>2177</v>
      </c>
      <c r="AH227">
        <v>8456</v>
      </c>
      <c r="AI227">
        <v>3</v>
      </c>
      <c r="AJ227" t="str">
        <f>_xlfn.XLOOKUP(Table1[[#This Row],[OverTime]],Table16[OverTime],Table16[Id_OverTime])</f>
        <v>OT002</v>
      </c>
      <c r="AK227" t="s">
        <v>33</v>
      </c>
      <c r="AL227">
        <v>17</v>
      </c>
      <c r="AM227" t="str">
        <f>_xlfn.XLOOKUP(Table1[[#This Row],[PerformanceRating]],Table17[PerformanceRating],Table17[Id_PerformanceRating])</f>
        <v>PR003</v>
      </c>
      <c r="AN227">
        <v>3</v>
      </c>
      <c r="AO227" t="str">
        <f>_xlfn.XLOOKUP(Table1[[#This Row],[PerformanceRating]],Table17[PerformanceRating],Table17[Deskripsi])</f>
        <v>Excellent</v>
      </c>
      <c r="AP227" t="str">
        <f>_xlfn.XLOOKUP(Table1[[#This Row],[RelationshipSatisfaction]],Table18[RelationshipSatisfaction],Table18[Id_RelationshipSatisfaction])</f>
        <v>RS001</v>
      </c>
      <c r="AQ227">
        <v>1</v>
      </c>
      <c r="AR227" t="str">
        <f>_xlfn.XLOOKUP(Table1[[#This Row],[RelationshipSatisfaction]],Table18[RelationshipSatisfaction],Table18[Deskripsi])</f>
        <v>Low</v>
      </c>
      <c r="AS227" t="str">
        <f>_xlfn.XLOOKUP(Table1[[#This Row],[StockOptionLevel]],Table19[StockOptionLevel],Table19[Id_StockOptionLevel])</f>
        <v>SOL002</v>
      </c>
      <c r="AT227">
        <v>1</v>
      </c>
      <c r="AU227" t="str">
        <f>_xlfn.XLOOKUP(Table1[[#This Row],[StockOptionLevel]],Table19[StockOptionLevel],Table19[Deskripsi])</f>
        <v>Standard</v>
      </c>
      <c r="AV227">
        <v>7</v>
      </c>
      <c r="AW227">
        <v>6</v>
      </c>
      <c r="AX227" t="str">
        <f>_xlfn.XLOOKUP(Table1[[#This Row],[WorkLifeBalance]],Table20[WorkLifeBalance],Table20[Id_WorkLifeBalance])</f>
        <v>WLB002</v>
      </c>
      <c r="AY227">
        <v>3</v>
      </c>
      <c r="AZ227" t="str">
        <f>_xlfn.XLOOKUP(Table1[[#This Row],[WorkLifeBalance]],Table20[WorkLifeBalance],Table20[Deskripsi])</f>
        <v>Good</v>
      </c>
      <c r="BA227">
        <v>1</v>
      </c>
      <c r="BB227">
        <v>0</v>
      </c>
      <c r="BC227">
        <v>0</v>
      </c>
      <c r="BD227">
        <v>0</v>
      </c>
    </row>
    <row r="228" spans="1:56" x14ac:dyDescent="0.25">
      <c r="A228">
        <v>37</v>
      </c>
      <c r="B228" t="str">
        <f>_xlfn.XLOOKUP(Table1[[#This Row],[Attrition]],Table2[Attrition],Table2[Id_Attrition])</f>
        <v>A002</v>
      </c>
      <c r="C228" t="s">
        <v>33</v>
      </c>
      <c r="D228" t="str">
        <f>_xlfn.XLOOKUP(Table1[[#This Row],[BusinessTravel]],Table5[BusinessTravel],Table5[Id_BusinessTravel])</f>
        <v>BS002</v>
      </c>
      <c r="E228" t="s">
        <v>35</v>
      </c>
      <c r="F228">
        <v>319</v>
      </c>
      <c r="G228" t="str">
        <f>_xlfn.XLOOKUP(Table1[[#This Row],[Department]],Table6[Department],Table6[Id_Departement])</f>
        <v>D001</v>
      </c>
      <c r="H228" t="s">
        <v>37</v>
      </c>
      <c r="I228">
        <v>4</v>
      </c>
      <c r="J228" t="str">
        <f>_xlfn.XLOOKUP(Table1[[#This Row],[Education]],Table8[Education],Table8[Id_Education])</f>
        <v>E004</v>
      </c>
      <c r="K228">
        <v>4</v>
      </c>
      <c r="L228" t="str">
        <f>_xlfn.XLOOKUP(Table1[[#This Row],[EducationField]],Table7[EducationField],Table7[Id_EducationField])</f>
        <v>EF004</v>
      </c>
      <c r="M228" t="s">
        <v>43</v>
      </c>
      <c r="N228" t="str">
        <f>_xlfn.XLOOKUP(Table1[[#This Row],[EmployeeNumber]],Table4[EmployeeNumber],Table4[Id_Employee])</f>
        <v>EMP00227</v>
      </c>
      <c r="O228">
        <v>311</v>
      </c>
      <c r="P228" t="str">
        <f>_xlfn.XLOOKUP(Table1[[#This Row],[EnvironmentSatisfaction]],Table9[EnvironmentSatisfaction],Table9[Id_EnviromentSatisfaction])</f>
        <v>ES001</v>
      </c>
      <c r="Q228">
        <v>1</v>
      </c>
      <c r="R228" t="str">
        <f>_xlfn.XLOOKUP(Table1[[#This Row],[EnvironmentSatisfaction]],Table9[EnvironmentSatisfaction],Table9[Deskripsi])</f>
        <v>Low</v>
      </c>
      <c r="S228" t="str">
        <f>_xlfn.XLOOKUP(Table1[[#This Row],[Gender]],Table10[Gender],Table10[Id_Gender])</f>
        <v>G002</v>
      </c>
      <c r="T228" t="s">
        <v>46</v>
      </c>
      <c r="U228">
        <v>41</v>
      </c>
      <c r="V228" t="str">
        <f>_xlfn.XLOOKUP(Table1[[#This Row],[JobInvolvement]],Table11[JobInvolvement],Table11[Id_JobInvolvement])</f>
        <v>JI003</v>
      </c>
      <c r="W228">
        <v>3</v>
      </c>
      <c r="X228" t="str">
        <f>_xlfn.XLOOKUP(Table1[[#This Row],[JobLevel]],Table12[JobLevel],Table12[Id_JobLevel])</f>
        <v>JL001</v>
      </c>
      <c r="Y228">
        <v>1</v>
      </c>
      <c r="Z228" t="str">
        <f>_xlfn.XLOOKUP(Table1[[#This Row],[JobRole]],Table13[JobRole],Table13[Id_JobRole])</f>
        <v>JR007</v>
      </c>
      <c r="AA228" t="s">
        <v>53</v>
      </c>
      <c r="AB228" t="str">
        <f>_xlfn.XLOOKUP(Table1[[#This Row],[JobSatisfaction]],Table14[JobSatisfaction],Table14[Id_JobSatisfaction])</f>
        <v>JS004</v>
      </c>
      <c r="AC228">
        <v>4</v>
      </c>
      <c r="AD228" t="str">
        <f>_xlfn.XLOOKUP(Table1[[#This Row],[JobSatisfaction]],Table14[JobSatisfaction],Table14[Deskripsi])</f>
        <v>Very High</v>
      </c>
      <c r="AE228" t="str">
        <f>_xlfn.XLOOKUP(Table1[[#This Row],[MaritalStatus]],Table15[MaritalStatus],Table15[Id_MaritalStatus])</f>
        <v>MS003</v>
      </c>
      <c r="AF228" t="s">
        <v>57</v>
      </c>
      <c r="AG228">
        <v>2793</v>
      </c>
      <c r="AH228">
        <v>2539</v>
      </c>
      <c r="AI228">
        <v>4</v>
      </c>
      <c r="AJ228" t="str">
        <f>_xlfn.XLOOKUP(Table1[[#This Row],[OverTime]],Table16[OverTime],Table16[Id_OverTime])</f>
        <v>OT002</v>
      </c>
      <c r="AK228" t="s">
        <v>33</v>
      </c>
      <c r="AL228">
        <v>17</v>
      </c>
      <c r="AM228" t="str">
        <f>_xlfn.XLOOKUP(Table1[[#This Row],[PerformanceRating]],Table17[PerformanceRating],Table17[Id_PerformanceRating])</f>
        <v>PR003</v>
      </c>
      <c r="AN228">
        <v>3</v>
      </c>
      <c r="AO228" t="str">
        <f>_xlfn.XLOOKUP(Table1[[#This Row],[PerformanceRating]],Table17[PerformanceRating],Table17[Deskripsi])</f>
        <v>Excellent</v>
      </c>
      <c r="AP228" t="str">
        <f>_xlfn.XLOOKUP(Table1[[#This Row],[RelationshipSatisfaction]],Table18[RelationshipSatisfaction],Table18[Id_RelationshipSatisfaction])</f>
        <v>RS003</v>
      </c>
      <c r="AQ228">
        <v>3</v>
      </c>
      <c r="AR228" t="str">
        <f>_xlfn.XLOOKUP(Table1[[#This Row],[RelationshipSatisfaction]],Table18[RelationshipSatisfaction],Table18[Deskripsi])</f>
        <v>High</v>
      </c>
      <c r="AS228" t="str">
        <f>_xlfn.XLOOKUP(Table1[[#This Row],[StockOptionLevel]],Table19[StockOptionLevel],Table19[Id_StockOptionLevel])</f>
        <v>SOL002</v>
      </c>
      <c r="AT228">
        <v>1</v>
      </c>
      <c r="AU228" t="str">
        <f>_xlfn.XLOOKUP(Table1[[#This Row],[StockOptionLevel]],Table19[StockOptionLevel],Table19[Deskripsi])</f>
        <v>Standard</v>
      </c>
      <c r="AV228">
        <v>13</v>
      </c>
      <c r="AW228">
        <v>2</v>
      </c>
      <c r="AX228" t="str">
        <f>_xlfn.XLOOKUP(Table1[[#This Row],[WorkLifeBalance]],Table20[WorkLifeBalance],Table20[Id_WorkLifeBalance])</f>
        <v>WLB002</v>
      </c>
      <c r="AY228">
        <v>3</v>
      </c>
      <c r="AZ228" t="str">
        <f>_xlfn.XLOOKUP(Table1[[#This Row],[WorkLifeBalance]],Table20[WorkLifeBalance],Table20[Deskripsi])</f>
        <v>Good</v>
      </c>
      <c r="BA228">
        <v>9</v>
      </c>
      <c r="BB228">
        <v>8</v>
      </c>
      <c r="BC228">
        <v>5</v>
      </c>
      <c r="BD228">
        <v>8</v>
      </c>
    </row>
    <row r="229" spans="1:56" x14ac:dyDescent="0.25">
      <c r="A229">
        <v>29</v>
      </c>
      <c r="B229" t="str">
        <f>_xlfn.XLOOKUP(Table1[[#This Row],[Attrition]],Table2[Attrition],Table2[Id_Attrition])</f>
        <v>A002</v>
      </c>
      <c r="C229" t="s">
        <v>33</v>
      </c>
      <c r="D229" t="str">
        <f>_xlfn.XLOOKUP(Table1[[#This Row],[BusinessTravel]],Table5[BusinessTravel],Table5[Id_BusinessTravel])</f>
        <v>BS002</v>
      </c>
      <c r="E229" t="s">
        <v>35</v>
      </c>
      <c r="F229">
        <v>1413</v>
      </c>
      <c r="G229" t="str">
        <f>_xlfn.XLOOKUP(Table1[[#This Row],[Department]],Table6[Department],Table6[Id_Departement])</f>
        <v>D001</v>
      </c>
      <c r="H229" t="s">
        <v>37</v>
      </c>
      <c r="I229">
        <v>1</v>
      </c>
      <c r="J229" t="str">
        <f>_xlfn.XLOOKUP(Table1[[#This Row],[Education]],Table8[Education],Table8[Id_Education])</f>
        <v>E001</v>
      </c>
      <c r="K229">
        <v>1</v>
      </c>
      <c r="L229" t="str">
        <f>_xlfn.XLOOKUP(Table1[[#This Row],[EducationField]],Table7[EducationField],Table7[Id_EducationField])</f>
        <v>EF003</v>
      </c>
      <c r="M229" t="s">
        <v>42</v>
      </c>
      <c r="N229" t="str">
        <f>_xlfn.XLOOKUP(Table1[[#This Row],[EmployeeNumber]],Table4[EmployeeNumber],Table4[Id_Employee])</f>
        <v>EMP00228</v>
      </c>
      <c r="O229">
        <v>312</v>
      </c>
      <c r="P229" t="str">
        <f>_xlfn.XLOOKUP(Table1[[#This Row],[EnvironmentSatisfaction]],Table9[EnvironmentSatisfaction],Table9[Id_EnviromentSatisfaction])</f>
        <v>ES002</v>
      </c>
      <c r="Q229">
        <v>2</v>
      </c>
      <c r="R229" t="str">
        <f>_xlfn.XLOOKUP(Table1[[#This Row],[EnvironmentSatisfaction]],Table9[EnvironmentSatisfaction],Table9[Deskripsi])</f>
        <v>Medium</v>
      </c>
      <c r="S229" t="str">
        <f>_xlfn.XLOOKUP(Table1[[#This Row],[Gender]],Table10[Gender],Table10[Id_Gender])</f>
        <v>G001</v>
      </c>
      <c r="T229" t="s">
        <v>45</v>
      </c>
      <c r="U229">
        <v>42</v>
      </c>
      <c r="V229" t="str">
        <f>_xlfn.XLOOKUP(Table1[[#This Row],[JobInvolvement]],Table11[JobInvolvement],Table11[Id_JobInvolvement])</f>
        <v>JI003</v>
      </c>
      <c r="W229">
        <v>3</v>
      </c>
      <c r="X229" t="str">
        <f>_xlfn.XLOOKUP(Table1[[#This Row],[JobLevel]],Table12[JobLevel],Table12[Id_JobLevel])</f>
        <v>JL003</v>
      </c>
      <c r="Y229">
        <v>3</v>
      </c>
      <c r="Z229" t="str">
        <f>_xlfn.XLOOKUP(Table1[[#This Row],[JobRole]],Table13[JobRole],Table13[Id_JobRole])</f>
        <v>JR001</v>
      </c>
      <c r="AA229" t="s">
        <v>47</v>
      </c>
      <c r="AB229" t="str">
        <f>_xlfn.XLOOKUP(Table1[[#This Row],[JobSatisfaction]],Table14[JobSatisfaction],Table14[Id_JobSatisfaction])</f>
        <v>JS004</v>
      </c>
      <c r="AC229">
        <v>4</v>
      </c>
      <c r="AD229" t="str">
        <f>_xlfn.XLOOKUP(Table1[[#This Row],[JobSatisfaction]],Table14[JobSatisfaction],Table14[Deskripsi])</f>
        <v>Very High</v>
      </c>
      <c r="AE229" t="str">
        <f>_xlfn.XLOOKUP(Table1[[#This Row],[MaritalStatus]],Table15[MaritalStatus],Table15[Id_MaritalStatus])</f>
        <v>MS002</v>
      </c>
      <c r="AF229" t="s">
        <v>56</v>
      </c>
      <c r="AG229">
        <v>7918</v>
      </c>
      <c r="AH229">
        <v>6599</v>
      </c>
      <c r="AI229">
        <v>1</v>
      </c>
      <c r="AJ229" t="str">
        <f>_xlfn.XLOOKUP(Table1[[#This Row],[OverTime]],Table16[OverTime],Table16[Id_OverTime])</f>
        <v>OT002</v>
      </c>
      <c r="AK229" t="s">
        <v>33</v>
      </c>
      <c r="AL229">
        <v>14</v>
      </c>
      <c r="AM229" t="str">
        <f>_xlfn.XLOOKUP(Table1[[#This Row],[PerformanceRating]],Table17[PerformanceRating],Table17[Id_PerformanceRating])</f>
        <v>PR003</v>
      </c>
      <c r="AN229">
        <v>3</v>
      </c>
      <c r="AO229" t="str">
        <f>_xlfn.XLOOKUP(Table1[[#This Row],[PerformanceRating]],Table17[PerformanceRating],Table17[Deskripsi])</f>
        <v>Excellent</v>
      </c>
      <c r="AP229" t="str">
        <f>_xlfn.XLOOKUP(Table1[[#This Row],[RelationshipSatisfaction]],Table18[RelationshipSatisfaction],Table18[Id_RelationshipSatisfaction])</f>
        <v>RS004</v>
      </c>
      <c r="AQ229">
        <v>4</v>
      </c>
      <c r="AR229" t="str">
        <f>_xlfn.XLOOKUP(Table1[[#This Row],[RelationshipSatisfaction]],Table18[RelationshipSatisfaction],Table18[Deskripsi])</f>
        <v>Very High</v>
      </c>
      <c r="AS229" t="str">
        <f>_xlfn.XLOOKUP(Table1[[#This Row],[StockOptionLevel]],Table19[StockOptionLevel],Table19[Id_StockOptionLevel])</f>
        <v>SOL002</v>
      </c>
      <c r="AT229">
        <v>1</v>
      </c>
      <c r="AU229" t="str">
        <f>_xlfn.XLOOKUP(Table1[[#This Row],[StockOptionLevel]],Table19[StockOptionLevel],Table19[Deskripsi])</f>
        <v>Standard</v>
      </c>
      <c r="AV229">
        <v>11</v>
      </c>
      <c r="AW229">
        <v>5</v>
      </c>
      <c r="AX229" t="str">
        <f>_xlfn.XLOOKUP(Table1[[#This Row],[WorkLifeBalance]],Table20[WorkLifeBalance],Table20[Id_WorkLifeBalance])</f>
        <v>WLB002</v>
      </c>
      <c r="AY229">
        <v>3</v>
      </c>
      <c r="AZ229" t="str">
        <f>_xlfn.XLOOKUP(Table1[[#This Row],[WorkLifeBalance]],Table20[WorkLifeBalance],Table20[Deskripsi])</f>
        <v>Good</v>
      </c>
      <c r="BA229">
        <v>11</v>
      </c>
      <c r="BB229">
        <v>10</v>
      </c>
      <c r="BC229">
        <v>4</v>
      </c>
      <c r="BD229">
        <v>1</v>
      </c>
    </row>
    <row r="230" spans="1:56" x14ac:dyDescent="0.25">
      <c r="A230">
        <v>35</v>
      </c>
      <c r="B230" t="str">
        <f>_xlfn.XLOOKUP(Table1[[#This Row],[Attrition]],Table2[Attrition],Table2[Id_Attrition])</f>
        <v>A002</v>
      </c>
      <c r="C230" t="s">
        <v>33</v>
      </c>
      <c r="D230" t="str">
        <f>_xlfn.XLOOKUP(Table1[[#This Row],[BusinessTravel]],Table5[BusinessTravel],Table5[Id_BusinessTravel])</f>
        <v>BS002</v>
      </c>
      <c r="E230" t="s">
        <v>35</v>
      </c>
      <c r="F230">
        <v>944</v>
      </c>
      <c r="G230" t="str">
        <f>_xlfn.XLOOKUP(Table1[[#This Row],[Department]],Table6[Department],Table6[Id_Departement])</f>
        <v>D001</v>
      </c>
      <c r="H230" t="s">
        <v>37</v>
      </c>
      <c r="I230">
        <v>1</v>
      </c>
      <c r="J230" t="str">
        <f>_xlfn.XLOOKUP(Table1[[#This Row],[Education]],Table8[Education],Table8[Id_Education])</f>
        <v>E003</v>
      </c>
      <c r="K230">
        <v>3</v>
      </c>
      <c r="L230" t="str">
        <f>_xlfn.XLOOKUP(Table1[[#This Row],[EducationField]],Table7[EducationField],Table7[Id_EducationField])</f>
        <v>EF004</v>
      </c>
      <c r="M230" t="s">
        <v>43</v>
      </c>
      <c r="N230" t="str">
        <f>_xlfn.XLOOKUP(Table1[[#This Row],[EmployeeNumber]],Table4[EmployeeNumber],Table4[Id_Employee])</f>
        <v>EMP00229</v>
      </c>
      <c r="O230">
        <v>314</v>
      </c>
      <c r="P230" t="str">
        <f>_xlfn.XLOOKUP(Table1[[#This Row],[EnvironmentSatisfaction]],Table9[EnvironmentSatisfaction],Table9[Id_EnviromentSatisfaction])</f>
        <v>ES003</v>
      </c>
      <c r="Q230">
        <v>3</v>
      </c>
      <c r="R230" t="str">
        <f>_xlfn.XLOOKUP(Table1[[#This Row],[EnvironmentSatisfaction]],Table9[EnvironmentSatisfaction],Table9[Deskripsi])</f>
        <v>High</v>
      </c>
      <c r="S230" t="str">
        <f>_xlfn.XLOOKUP(Table1[[#This Row],[Gender]],Table10[Gender],Table10[Id_Gender])</f>
        <v>G001</v>
      </c>
      <c r="T230" t="s">
        <v>45</v>
      </c>
      <c r="U230">
        <v>92</v>
      </c>
      <c r="V230" t="str">
        <f>_xlfn.XLOOKUP(Table1[[#This Row],[JobInvolvement]],Table11[JobInvolvement],Table11[Id_JobInvolvement])</f>
        <v>JI003</v>
      </c>
      <c r="W230">
        <v>3</v>
      </c>
      <c r="X230" t="str">
        <f>_xlfn.XLOOKUP(Table1[[#This Row],[JobLevel]],Table12[JobLevel],Table12[Id_JobLevel])</f>
        <v>JL003</v>
      </c>
      <c r="Y230">
        <v>3</v>
      </c>
      <c r="Z230" t="str">
        <f>_xlfn.XLOOKUP(Table1[[#This Row],[JobRole]],Table13[JobRole],Table13[Id_JobRole])</f>
        <v>JR001</v>
      </c>
      <c r="AA230" t="s">
        <v>47</v>
      </c>
      <c r="AB230" t="str">
        <f>_xlfn.XLOOKUP(Table1[[#This Row],[JobSatisfaction]],Table14[JobSatisfaction],Table14[Id_JobSatisfaction])</f>
        <v>JS003</v>
      </c>
      <c r="AC230">
        <v>3</v>
      </c>
      <c r="AD230" t="str">
        <f>_xlfn.XLOOKUP(Table1[[#This Row],[JobSatisfaction]],Table14[JobSatisfaction],Table14[Deskripsi])</f>
        <v>High</v>
      </c>
      <c r="AE230" t="str">
        <f>_xlfn.XLOOKUP(Table1[[#This Row],[MaritalStatus]],Table15[MaritalStatus],Table15[Id_MaritalStatus])</f>
        <v>MS001</v>
      </c>
      <c r="AF230" t="s">
        <v>55</v>
      </c>
      <c r="AG230">
        <v>8789</v>
      </c>
      <c r="AH230">
        <v>9096</v>
      </c>
      <c r="AI230">
        <v>1</v>
      </c>
      <c r="AJ230" t="str">
        <f>_xlfn.XLOOKUP(Table1[[#This Row],[OverTime]],Table16[OverTime],Table16[Id_OverTime])</f>
        <v>OT002</v>
      </c>
      <c r="AK230" t="s">
        <v>33</v>
      </c>
      <c r="AL230">
        <v>14</v>
      </c>
      <c r="AM230" t="str">
        <f>_xlfn.XLOOKUP(Table1[[#This Row],[PerformanceRating]],Table17[PerformanceRating],Table17[Id_PerformanceRating])</f>
        <v>PR003</v>
      </c>
      <c r="AN230">
        <v>3</v>
      </c>
      <c r="AO230" t="str">
        <f>_xlfn.XLOOKUP(Table1[[#This Row],[PerformanceRating]],Table17[PerformanceRating],Table17[Deskripsi])</f>
        <v>Excellent</v>
      </c>
      <c r="AP230" t="str">
        <f>_xlfn.XLOOKUP(Table1[[#This Row],[RelationshipSatisfaction]],Table18[RelationshipSatisfaction],Table18[Id_RelationshipSatisfaction])</f>
        <v>RS001</v>
      </c>
      <c r="AQ230">
        <v>1</v>
      </c>
      <c r="AR230" t="str">
        <f>_xlfn.XLOOKUP(Table1[[#This Row],[RelationshipSatisfaction]],Table18[RelationshipSatisfaction],Table18[Deskripsi])</f>
        <v>Low</v>
      </c>
      <c r="AS230" t="str">
        <f>_xlfn.XLOOKUP(Table1[[#This Row],[StockOptionLevel]],Table19[StockOptionLevel],Table19[Id_StockOptionLevel])</f>
        <v>SOL001</v>
      </c>
      <c r="AT230">
        <v>0</v>
      </c>
      <c r="AU230" t="str">
        <f>_xlfn.XLOOKUP(Table1[[#This Row],[StockOptionLevel]],Table19[StockOptionLevel],Table19[Deskripsi])</f>
        <v>Non-Eligible</v>
      </c>
      <c r="AV230">
        <v>10</v>
      </c>
      <c r="AW230">
        <v>3</v>
      </c>
      <c r="AX230" t="str">
        <f>_xlfn.XLOOKUP(Table1[[#This Row],[WorkLifeBalance]],Table20[WorkLifeBalance],Table20[Id_WorkLifeBalance])</f>
        <v>WLB004</v>
      </c>
      <c r="AY230">
        <v>4</v>
      </c>
      <c r="AZ230" t="str">
        <f>_xlfn.XLOOKUP(Table1[[#This Row],[WorkLifeBalance]],Table20[WorkLifeBalance],Table20[Deskripsi])</f>
        <v>Best</v>
      </c>
      <c r="BA230">
        <v>10</v>
      </c>
      <c r="BB230">
        <v>7</v>
      </c>
      <c r="BC230">
        <v>0</v>
      </c>
      <c r="BD230">
        <v>8</v>
      </c>
    </row>
    <row r="231" spans="1:56" x14ac:dyDescent="0.25">
      <c r="A231">
        <v>29</v>
      </c>
      <c r="B231" t="str">
        <f>_xlfn.XLOOKUP(Table1[[#This Row],[Attrition]],Table2[Attrition],Table2[Id_Attrition])</f>
        <v>A001</v>
      </c>
      <c r="C231" t="s">
        <v>32</v>
      </c>
      <c r="D231" t="str">
        <f>_xlfn.XLOOKUP(Table1[[#This Row],[BusinessTravel]],Table5[BusinessTravel],Table5[Id_BusinessTravel])</f>
        <v>BS001</v>
      </c>
      <c r="E231" t="s">
        <v>34</v>
      </c>
      <c r="F231">
        <v>896</v>
      </c>
      <c r="G231" t="str">
        <f>_xlfn.XLOOKUP(Table1[[#This Row],[Department]],Table6[Department],Table6[Id_Departement])</f>
        <v>D002</v>
      </c>
      <c r="H231" t="s">
        <v>38</v>
      </c>
      <c r="I231">
        <v>18</v>
      </c>
      <c r="J231" t="str">
        <f>_xlfn.XLOOKUP(Table1[[#This Row],[Education]],Table8[Education],Table8[Id_Education])</f>
        <v>E001</v>
      </c>
      <c r="K231">
        <v>1</v>
      </c>
      <c r="L231" t="str">
        <f>_xlfn.XLOOKUP(Table1[[#This Row],[EducationField]],Table7[EducationField],Table7[Id_EducationField])</f>
        <v>EF003</v>
      </c>
      <c r="M231" t="s">
        <v>42</v>
      </c>
      <c r="N231" t="str">
        <f>_xlfn.XLOOKUP(Table1[[#This Row],[EmployeeNumber]],Table4[EmployeeNumber],Table4[Id_Employee])</f>
        <v>EMP00230</v>
      </c>
      <c r="O231">
        <v>315</v>
      </c>
      <c r="P231" t="str">
        <f>_xlfn.XLOOKUP(Table1[[#This Row],[EnvironmentSatisfaction]],Table9[EnvironmentSatisfaction],Table9[Id_EnviromentSatisfaction])</f>
        <v>ES003</v>
      </c>
      <c r="Q231">
        <v>3</v>
      </c>
      <c r="R231" t="str">
        <f>_xlfn.XLOOKUP(Table1[[#This Row],[EnvironmentSatisfaction]],Table9[EnvironmentSatisfaction],Table9[Deskripsi])</f>
        <v>High</v>
      </c>
      <c r="S231" t="str">
        <f>_xlfn.XLOOKUP(Table1[[#This Row],[Gender]],Table10[Gender],Table10[Id_Gender])</f>
        <v>G002</v>
      </c>
      <c r="T231" t="s">
        <v>46</v>
      </c>
      <c r="U231">
        <v>86</v>
      </c>
      <c r="V231" t="str">
        <f>_xlfn.XLOOKUP(Table1[[#This Row],[JobInvolvement]],Table11[JobInvolvement],Table11[Id_JobInvolvement])</f>
        <v>JI002</v>
      </c>
      <c r="W231">
        <v>2</v>
      </c>
      <c r="X231" t="str">
        <f>_xlfn.XLOOKUP(Table1[[#This Row],[JobLevel]],Table12[JobLevel],Table12[Id_JobLevel])</f>
        <v>JL001</v>
      </c>
      <c r="Y231">
        <v>1</v>
      </c>
      <c r="Z231" t="str">
        <f>_xlfn.XLOOKUP(Table1[[#This Row],[JobRole]],Table13[JobRole],Table13[Id_JobRole])</f>
        <v>JR002</v>
      </c>
      <c r="AA231" t="s">
        <v>48</v>
      </c>
      <c r="AB231" t="str">
        <f>_xlfn.XLOOKUP(Table1[[#This Row],[JobSatisfaction]],Table14[JobSatisfaction],Table14[Id_JobSatisfaction])</f>
        <v>JS004</v>
      </c>
      <c r="AC231">
        <v>4</v>
      </c>
      <c r="AD231" t="str">
        <f>_xlfn.XLOOKUP(Table1[[#This Row],[JobSatisfaction]],Table14[JobSatisfaction],Table14[Deskripsi])</f>
        <v>Very High</v>
      </c>
      <c r="AE231" t="str">
        <f>_xlfn.XLOOKUP(Table1[[#This Row],[MaritalStatus]],Table15[MaritalStatus],Table15[Id_MaritalStatus])</f>
        <v>MS001</v>
      </c>
      <c r="AF231" t="s">
        <v>55</v>
      </c>
      <c r="AG231">
        <v>2389</v>
      </c>
      <c r="AH231">
        <v>14961</v>
      </c>
      <c r="AI231">
        <v>1</v>
      </c>
      <c r="AJ231" t="str">
        <f>_xlfn.XLOOKUP(Table1[[#This Row],[OverTime]],Table16[OverTime],Table16[Id_OverTime])</f>
        <v>OT001</v>
      </c>
      <c r="AK231" t="s">
        <v>32</v>
      </c>
      <c r="AL231">
        <v>13</v>
      </c>
      <c r="AM231" t="str">
        <f>_xlfn.XLOOKUP(Table1[[#This Row],[PerformanceRating]],Table17[PerformanceRating],Table17[Id_PerformanceRating])</f>
        <v>PR003</v>
      </c>
      <c r="AN231">
        <v>3</v>
      </c>
      <c r="AO231" t="str">
        <f>_xlfn.XLOOKUP(Table1[[#This Row],[PerformanceRating]],Table17[PerformanceRating],Table17[Deskripsi])</f>
        <v>Excellent</v>
      </c>
      <c r="AP231" t="str">
        <f>_xlfn.XLOOKUP(Table1[[#This Row],[RelationshipSatisfaction]],Table18[RelationshipSatisfaction],Table18[Id_RelationshipSatisfaction])</f>
        <v>RS003</v>
      </c>
      <c r="AQ231">
        <v>3</v>
      </c>
      <c r="AR231" t="str">
        <f>_xlfn.XLOOKUP(Table1[[#This Row],[RelationshipSatisfaction]],Table18[RelationshipSatisfaction],Table18[Deskripsi])</f>
        <v>High</v>
      </c>
      <c r="AS231" t="str">
        <f>_xlfn.XLOOKUP(Table1[[#This Row],[StockOptionLevel]],Table19[StockOptionLevel],Table19[Id_StockOptionLevel])</f>
        <v>SOL001</v>
      </c>
      <c r="AT231">
        <v>0</v>
      </c>
      <c r="AU231" t="str">
        <f>_xlfn.XLOOKUP(Table1[[#This Row],[StockOptionLevel]],Table19[StockOptionLevel],Table19[Deskripsi])</f>
        <v>Non-Eligible</v>
      </c>
      <c r="AV231">
        <v>4</v>
      </c>
      <c r="AW231">
        <v>3</v>
      </c>
      <c r="AX231" t="str">
        <f>_xlfn.XLOOKUP(Table1[[#This Row],[WorkLifeBalance]],Table20[WorkLifeBalance],Table20[Id_WorkLifeBalance])</f>
        <v>WLB003</v>
      </c>
      <c r="AY231">
        <v>2</v>
      </c>
      <c r="AZ231" t="str">
        <f>_xlfn.XLOOKUP(Table1[[#This Row],[WorkLifeBalance]],Table20[WorkLifeBalance],Table20[Deskripsi])</f>
        <v>Better</v>
      </c>
      <c r="BA231">
        <v>4</v>
      </c>
      <c r="BB231">
        <v>3</v>
      </c>
      <c r="BC231">
        <v>0</v>
      </c>
      <c r="BD231">
        <v>1</v>
      </c>
    </row>
    <row r="232" spans="1:56" x14ac:dyDescent="0.25">
      <c r="A232">
        <v>52</v>
      </c>
      <c r="B232" t="str">
        <f>_xlfn.XLOOKUP(Table1[[#This Row],[Attrition]],Table2[Attrition],Table2[Id_Attrition])</f>
        <v>A002</v>
      </c>
      <c r="C232" t="s">
        <v>33</v>
      </c>
      <c r="D232" t="str">
        <f>_xlfn.XLOOKUP(Table1[[#This Row],[BusinessTravel]],Table5[BusinessTravel],Table5[Id_BusinessTravel])</f>
        <v>BS001</v>
      </c>
      <c r="E232" t="s">
        <v>34</v>
      </c>
      <c r="F232">
        <v>1323</v>
      </c>
      <c r="G232" t="str">
        <f>_xlfn.XLOOKUP(Table1[[#This Row],[Department]],Table6[Department],Table6[Id_Departement])</f>
        <v>D002</v>
      </c>
      <c r="H232" t="s">
        <v>38</v>
      </c>
      <c r="I232">
        <v>2</v>
      </c>
      <c r="J232" t="str">
        <f>_xlfn.XLOOKUP(Table1[[#This Row],[Education]],Table8[Education],Table8[Id_Education])</f>
        <v>E003</v>
      </c>
      <c r="K232">
        <v>3</v>
      </c>
      <c r="L232" t="str">
        <f>_xlfn.XLOOKUP(Table1[[#This Row],[EducationField]],Table7[EducationField],Table7[Id_EducationField])</f>
        <v>EF001</v>
      </c>
      <c r="M232" t="s">
        <v>40</v>
      </c>
      <c r="N232" t="str">
        <f>_xlfn.XLOOKUP(Table1[[#This Row],[EmployeeNumber]],Table4[EmployeeNumber],Table4[Id_Employee])</f>
        <v>EMP00231</v>
      </c>
      <c r="O232">
        <v>316</v>
      </c>
      <c r="P232" t="str">
        <f>_xlfn.XLOOKUP(Table1[[#This Row],[EnvironmentSatisfaction]],Table9[EnvironmentSatisfaction],Table9[Id_EnviromentSatisfaction])</f>
        <v>ES003</v>
      </c>
      <c r="Q232">
        <v>3</v>
      </c>
      <c r="R232" t="str">
        <f>_xlfn.XLOOKUP(Table1[[#This Row],[EnvironmentSatisfaction]],Table9[EnvironmentSatisfaction],Table9[Deskripsi])</f>
        <v>High</v>
      </c>
      <c r="S232" t="str">
        <f>_xlfn.XLOOKUP(Table1[[#This Row],[Gender]],Table10[Gender],Table10[Id_Gender])</f>
        <v>G001</v>
      </c>
      <c r="T232" t="s">
        <v>45</v>
      </c>
      <c r="U232">
        <v>89</v>
      </c>
      <c r="V232" t="str">
        <f>_xlfn.XLOOKUP(Table1[[#This Row],[JobInvolvement]],Table11[JobInvolvement],Table11[Id_JobInvolvement])</f>
        <v>JI002</v>
      </c>
      <c r="W232">
        <v>2</v>
      </c>
      <c r="X232" t="str">
        <f>_xlfn.XLOOKUP(Table1[[#This Row],[JobLevel]],Table12[JobLevel],Table12[Id_JobLevel])</f>
        <v>JL001</v>
      </c>
      <c r="Y232">
        <v>1</v>
      </c>
      <c r="Z232" t="str">
        <f>_xlfn.XLOOKUP(Table1[[#This Row],[JobRole]],Table13[JobRole],Table13[Id_JobRole])</f>
        <v>JR003</v>
      </c>
      <c r="AA232" t="s">
        <v>49</v>
      </c>
      <c r="AB232" t="str">
        <f>_xlfn.XLOOKUP(Table1[[#This Row],[JobSatisfaction]],Table14[JobSatisfaction],Table14[Id_JobSatisfaction])</f>
        <v>JS004</v>
      </c>
      <c r="AC232">
        <v>4</v>
      </c>
      <c r="AD232" t="str">
        <f>_xlfn.XLOOKUP(Table1[[#This Row],[JobSatisfaction]],Table14[JobSatisfaction],Table14[Deskripsi])</f>
        <v>Very High</v>
      </c>
      <c r="AE232" t="str">
        <f>_xlfn.XLOOKUP(Table1[[#This Row],[MaritalStatus]],Table15[MaritalStatus],Table15[Id_MaritalStatus])</f>
        <v>MS001</v>
      </c>
      <c r="AF232" t="s">
        <v>55</v>
      </c>
      <c r="AG232">
        <v>3212</v>
      </c>
      <c r="AH232">
        <v>3300</v>
      </c>
      <c r="AI232">
        <v>7</v>
      </c>
      <c r="AJ232" t="str">
        <f>_xlfn.XLOOKUP(Table1[[#This Row],[OverTime]],Table16[OverTime],Table16[Id_OverTime])</f>
        <v>OT002</v>
      </c>
      <c r="AK232" t="s">
        <v>33</v>
      </c>
      <c r="AL232">
        <v>15</v>
      </c>
      <c r="AM232" t="str">
        <f>_xlfn.XLOOKUP(Table1[[#This Row],[PerformanceRating]],Table17[PerformanceRating],Table17[Id_PerformanceRating])</f>
        <v>PR003</v>
      </c>
      <c r="AN232">
        <v>3</v>
      </c>
      <c r="AO232" t="str">
        <f>_xlfn.XLOOKUP(Table1[[#This Row],[PerformanceRating]],Table17[PerformanceRating],Table17[Deskripsi])</f>
        <v>Excellent</v>
      </c>
      <c r="AP232" t="str">
        <f>_xlfn.XLOOKUP(Table1[[#This Row],[RelationshipSatisfaction]],Table18[RelationshipSatisfaction],Table18[Id_RelationshipSatisfaction])</f>
        <v>RS002</v>
      </c>
      <c r="AQ232">
        <v>2</v>
      </c>
      <c r="AR232" t="str">
        <f>_xlfn.XLOOKUP(Table1[[#This Row],[RelationshipSatisfaction]],Table18[RelationshipSatisfaction],Table18[Deskripsi])</f>
        <v>Medium</v>
      </c>
      <c r="AS232" t="str">
        <f>_xlfn.XLOOKUP(Table1[[#This Row],[StockOptionLevel]],Table19[StockOptionLevel],Table19[Id_StockOptionLevel])</f>
        <v>SOL001</v>
      </c>
      <c r="AT232">
        <v>0</v>
      </c>
      <c r="AU232" t="str">
        <f>_xlfn.XLOOKUP(Table1[[#This Row],[StockOptionLevel]],Table19[StockOptionLevel],Table19[Deskripsi])</f>
        <v>Non-Eligible</v>
      </c>
      <c r="AV232">
        <v>6</v>
      </c>
      <c r="AW232">
        <v>3</v>
      </c>
      <c r="AX232" t="str">
        <f>_xlfn.XLOOKUP(Table1[[#This Row],[WorkLifeBalance]],Table20[WorkLifeBalance],Table20[Id_WorkLifeBalance])</f>
        <v>WLB003</v>
      </c>
      <c r="AY232">
        <v>2</v>
      </c>
      <c r="AZ232" t="str">
        <f>_xlfn.XLOOKUP(Table1[[#This Row],[WorkLifeBalance]],Table20[WorkLifeBalance],Table20[Deskripsi])</f>
        <v>Better</v>
      </c>
      <c r="BA232">
        <v>2</v>
      </c>
      <c r="BB232">
        <v>2</v>
      </c>
      <c r="BC232">
        <v>2</v>
      </c>
      <c r="BD232">
        <v>2</v>
      </c>
    </row>
    <row r="233" spans="1:56" x14ac:dyDescent="0.25">
      <c r="A233">
        <v>42</v>
      </c>
      <c r="B233" t="str">
        <f>_xlfn.XLOOKUP(Table1[[#This Row],[Attrition]],Table2[Attrition],Table2[Id_Attrition])</f>
        <v>A002</v>
      </c>
      <c r="C233" t="s">
        <v>33</v>
      </c>
      <c r="D233" t="str">
        <f>_xlfn.XLOOKUP(Table1[[#This Row],[BusinessTravel]],Table5[BusinessTravel],Table5[Id_BusinessTravel])</f>
        <v>BS001</v>
      </c>
      <c r="E233" t="s">
        <v>34</v>
      </c>
      <c r="F233">
        <v>532</v>
      </c>
      <c r="G233" t="str">
        <f>_xlfn.XLOOKUP(Table1[[#This Row],[Department]],Table6[Department],Table6[Id_Departement])</f>
        <v>D002</v>
      </c>
      <c r="H233" t="s">
        <v>38</v>
      </c>
      <c r="I233">
        <v>4</v>
      </c>
      <c r="J233" t="str">
        <f>_xlfn.XLOOKUP(Table1[[#This Row],[Education]],Table8[Education],Table8[Id_Education])</f>
        <v>E002</v>
      </c>
      <c r="K233">
        <v>2</v>
      </c>
      <c r="L233" t="str">
        <f>_xlfn.XLOOKUP(Table1[[#This Row],[EducationField]],Table7[EducationField],Table7[Id_EducationField])</f>
        <v>EF005</v>
      </c>
      <c r="M233" t="s">
        <v>44</v>
      </c>
      <c r="N233" t="str">
        <f>_xlfn.XLOOKUP(Table1[[#This Row],[EmployeeNumber]],Table4[EmployeeNumber],Table4[Id_Employee])</f>
        <v>EMP00232</v>
      </c>
      <c r="O233">
        <v>319</v>
      </c>
      <c r="P233" t="str">
        <f>_xlfn.XLOOKUP(Table1[[#This Row],[EnvironmentSatisfaction]],Table9[EnvironmentSatisfaction],Table9[Id_EnviromentSatisfaction])</f>
        <v>ES003</v>
      </c>
      <c r="Q233">
        <v>3</v>
      </c>
      <c r="R233" t="str">
        <f>_xlfn.XLOOKUP(Table1[[#This Row],[EnvironmentSatisfaction]],Table9[EnvironmentSatisfaction],Table9[Deskripsi])</f>
        <v>High</v>
      </c>
      <c r="S233" t="str">
        <f>_xlfn.XLOOKUP(Table1[[#This Row],[Gender]],Table10[Gender],Table10[Id_Gender])</f>
        <v>G002</v>
      </c>
      <c r="T233" t="s">
        <v>46</v>
      </c>
      <c r="U233">
        <v>58</v>
      </c>
      <c r="V233" t="str">
        <f>_xlfn.XLOOKUP(Table1[[#This Row],[JobInvolvement]],Table11[JobInvolvement],Table11[Id_JobInvolvement])</f>
        <v>JI003</v>
      </c>
      <c r="W233">
        <v>3</v>
      </c>
      <c r="X233" t="str">
        <f>_xlfn.XLOOKUP(Table1[[#This Row],[JobLevel]],Table12[JobLevel],Table12[Id_JobLevel])</f>
        <v>JL005</v>
      </c>
      <c r="Y233">
        <v>5</v>
      </c>
      <c r="Z233" t="str">
        <f>_xlfn.XLOOKUP(Table1[[#This Row],[JobRole]],Table13[JobRole],Table13[Id_JobRole])</f>
        <v>JR006</v>
      </c>
      <c r="AA233" t="s">
        <v>52</v>
      </c>
      <c r="AB233" t="str">
        <f>_xlfn.XLOOKUP(Table1[[#This Row],[JobSatisfaction]],Table14[JobSatisfaction],Table14[Id_JobSatisfaction])</f>
        <v>JS004</v>
      </c>
      <c r="AC233">
        <v>4</v>
      </c>
      <c r="AD233" t="str">
        <f>_xlfn.XLOOKUP(Table1[[#This Row],[JobSatisfaction]],Table14[JobSatisfaction],Table14[Deskripsi])</f>
        <v>Very High</v>
      </c>
      <c r="AE233" t="str">
        <f>_xlfn.XLOOKUP(Table1[[#This Row],[MaritalStatus]],Table15[MaritalStatus],Table15[Id_MaritalStatus])</f>
        <v>MS002</v>
      </c>
      <c r="AF233" t="s">
        <v>56</v>
      </c>
      <c r="AG233">
        <v>19232</v>
      </c>
      <c r="AH233">
        <v>4933</v>
      </c>
      <c r="AI233">
        <v>1</v>
      </c>
      <c r="AJ233" t="str">
        <f>_xlfn.XLOOKUP(Table1[[#This Row],[OverTime]],Table16[OverTime],Table16[Id_OverTime])</f>
        <v>OT002</v>
      </c>
      <c r="AK233" t="s">
        <v>33</v>
      </c>
      <c r="AL233">
        <v>11</v>
      </c>
      <c r="AM233" t="str">
        <f>_xlfn.XLOOKUP(Table1[[#This Row],[PerformanceRating]],Table17[PerformanceRating],Table17[Id_PerformanceRating])</f>
        <v>PR003</v>
      </c>
      <c r="AN233">
        <v>3</v>
      </c>
      <c r="AO233" t="str">
        <f>_xlfn.XLOOKUP(Table1[[#This Row],[PerformanceRating]],Table17[PerformanceRating],Table17[Deskripsi])</f>
        <v>Excellent</v>
      </c>
      <c r="AP233" t="str">
        <f>_xlfn.XLOOKUP(Table1[[#This Row],[RelationshipSatisfaction]],Table18[RelationshipSatisfaction],Table18[Id_RelationshipSatisfaction])</f>
        <v>RS004</v>
      </c>
      <c r="AQ233">
        <v>4</v>
      </c>
      <c r="AR233" t="str">
        <f>_xlfn.XLOOKUP(Table1[[#This Row],[RelationshipSatisfaction]],Table18[RelationshipSatisfaction],Table18[Deskripsi])</f>
        <v>Very High</v>
      </c>
      <c r="AS233" t="str">
        <f>_xlfn.XLOOKUP(Table1[[#This Row],[StockOptionLevel]],Table19[StockOptionLevel],Table19[Id_StockOptionLevel])</f>
        <v>SOL001</v>
      </c>
      <c r="AT233">
        <v>0</v>
      </c>
      <c r="AU233" t="str">
        <f>_xlfn.XLOOKUP(Table1[[#This Row],[StockOptionLevel]],Table19[StockOptionLevel],Table19[Deskripsi])</f>
        <v>Non-Eligible</v>
      </c>
      <c r="AV233">
        <v>22</v>
      </c>
      <c r="AW233">
        <v>3</v>
      </c>
      <c r="AX233" t="str">
        <f>_xlfn.XLOOKUP(Table1[[#This Row],[WorkLifeBalance]],Table20[WorkLifeBalance],Table20[Id_WorkLifeBalance])</f>
        <v>WLB002</v>
      </c>
      <c r="AY233">
        <v>3</v>
      </c>
      <c r="AZ233" t="str">
        <f>_xlfn.XLOOKUP(Table1[[#This Row],[WorkLifeBalance]],Table20[WorkLifeBalance],Table20[Deskripsi])</f>
        <v>Good</v>
      </c>
      <c r="BA233">
        <v>22</v>
      </c>
      <c r="BB233">
        <v>17</v>
      </c>
      <c r="BC233">
        <v>11</v>
      </c>
      <c r="BD233">
        <v>15</v>
      </c>
    </row>
    <row r="234" spans="1:56" x14ac:dyDescent="0.25">
      <c r="A234">
        <v>59</v>
      </c>
      <c r="B234" t="str">
        <f>_xlfn.XLOOKUP(Table1[[#This Row],[Attrition]],Table2[Attrition],Table2[Id_Attrition])</f>
        <v>A002</v>
      </c>
      <c r="C234" t="s">
        <v>33</v>
      </c>
      <c r="D234" t="str">
        <f>_xlfn.XLOOKUP(Table1[[#This Row],[BusinessTravel]],Table5[BusinessTravel],Table5[Id_BusinessTravel])</f>
        <v>BS001</v>
      </c>
      <c r="E234" t="s">
        <v>34</v>
      </c>
      <c r="F234">
        <v>818</v>
      </c>
      <c r="G234" t="str">
        <f>_xlfn.XLOOKUP(Table1[[#This Row],[Department]],Table6[Department],Table6[Id_Departement])</f>
        <v>D003</v>
      </c>
      <c r="H234" t="s">
        <v>39</v>
      </c>
      <c r="I234">
        <v>6</v>
      </c>
      <c r="J234" t="str">
        <f>_xlfn.XLOOKUP(Table1[[#This Row],[Education]],Table8[Education],Table8[Id_Education])</f>
        <v>E002</v>
      </c>
      <c r="K234">
        <v>2</v>
      </c>
      <c r="L234" t="str">
        <f>_xlfn.XLOOKUP(Table1[[#This Row],[EducationField]],Table7[EducationField],Table7[Id_EducationField])</f>
        <v>EF003</v>
      </c>
      <c r="M234" t="s">
        <v>42</v>
      </c>
      <c r="N234" t="str">
        <f>_xlfn.XLOOKUP(Table1[[#This Row],[EmployeeNumber]],Table4[EmployeeNumber],Table4[Id_Employee])</f>
        <v>EMP00233</v>
      </c>
      <c r="O234">
        <v>321</v>
      </c>
      <c r="P234" t="str">
        <f>_xlfn.XLOOKUP(Table1[[#This Row],[EnvironmentSatisfaction]],Table9[EnvironmentSatisfaction],Table9[Id_EnviromentSatisfaction])</f>
        <v>ES002</v>
      </c>
      <c r="Q234">
        <v>2</v>
      </c>
      <c r="R234" t="str">
        <f>_xlfn.XLOOKUP(Table1[[#This Row],[EnvironmentSatisfaction]],Table9[EnvironmentSatisfaction],Table9[Deskripsi])</f>
        <v>Medium</v>
      </c>
      <c r="S234" t="str">
        <f>_xlfn.XLOOKUP(Table1[[#This Row],[Gender]],Table10[Gender],Table10[Id_Gender])</f>
        <v>G002</v>
      </c>
      <c r="T234" t="s">
        <v>46</v>
      </c>
      <c r="U234">
        <v>52</v>
      </c>
      <c r="V234" t="str">
        <f>_xlfn.XLOOKUP(Table1[[#This Row],[JobInvolvement]],Table11[JobInvolvement],Table11[Id_JobInvolvement])</f>
        <v>JI003</v>
      </c>
      <c r="W234">
        <v>3</v>
      </c>
      <c r="X234" t="str">
        <f>_xlfn.XLOOKUP(Table1[[#This Row],[JobLevel]],Table12[JobLevel],Table12[Id_JobLevel])</f>
        <v>JL001</v>
      </c>
      <c r="Y234">
        <v>1</v>
      </c>
      <c r="Z234" t="str">
        <f>_xlfn.XLOOKUP(Table1[[#This Row],[JobRole]],Table13[JobRole],Table13[Id_JobRole])</f>
        <v>JR009</v>
      </c>
      <c r="AA234" t="s">
        <v>39</v>
      </c>
      <c r="AB234" t="str">
        <f>_xlfn.XLOOKUP(Table1[[#This Row],[JobSatisfaction]],Table14[JobSatisfaction],Table14[Id_JobSatisfaction])</f>
        <v>JS003</v>
      </c>
      <c r="AC234">
        <v>3</v>
      </c>
      <c r="AD234" t="str">
        <f>_xlfn.XLOOKUP(Table1[[#This Row],[JobSatisfaction]],Table14[JobSatisfaction],Table14[Deskripsi])</f>
        <v>High</v>
      </c>
      <c r="AE234" t="str">
        <f>_xlfn.XLOOKUP(Table1[[#This Row],[MaritalStatus]],Table15[MaritalStatus],Table15[Id_MaritalStatus])</f>
        <v>MS002</v>
      </c>
      <c r="AF234" t="s">
        <v>56</v>
      </c>
      <c r="AG234">
        <v>2267</v>
      </c>
      <c r="AH234">
        <v>25657</v>
      </c>
      <c r="AI234">
        <v>8</v>
      </c>
      <c r="AJ234" t="str">
        <f>_xlfn.XLOOKUP(Table1[[#This Row],[OverTime]],Table16[OverTime],Table16[Id_OverTime])</f>
        <v>OT002</v>
      </c>
      <c r="AK234" t="s">
        <v>33</v>
      </c>
      <c r="AL234">
        <v>17</v>
      </c>
      <c r="AM234" t="str">
        <f>_xlfn.XLOOKUP(Table1[[#This Row],[PerformanceRating]],Table17[PerformanceRating],Table17[Id_PerformanceRating])</f>
        <v>PR003</v>
      </c>
      <c r="AN234">
        <v>3</v>
      </c>
      <c r="AO234" t="str">
        <f>_xlfn.XLOOKUP(Table1[[#This Row],[PerformanceRating]],Table17[PerformanceRating],Table17[Deskripsi])</f>
        <v>Excellent</v>
      </c>
      <c r="AP234" t="str">
        <f>_xlfn.XLOOKUP(Table1[[#This Row],[RelationshipSatisfaction]],Table18[RelationshipSatisfaction],Table18[Id_RelationshipSatisfaction])</f>
        <v>RS004</v>
      </c>
      <c r="AQ234">
        <v>4</v>
      </c>
      <c r="AR234" t="str">
        <f>_xlfn.XLOOKUP(Table1[[#This Row],[RelationshipSatisfaction]],Table18[RelationshipSatisfaction],Table18[Deskripsi])</f>
        <v>Very High</v>
      </c>
      <c r="AS234" t="str">
        <f>_xlfn.XLOOKUP(Table1[[#This Row],[StockOptionLevel]],Table19[StockOptionLevel],Table19[Id_StockOptionLevel])</f>
        <v>SOL001</v>
      </c>
      <c r="AT234">
        <v>0</v>
      </c>
      <c r="AU234" t="str">
        <f>_xlfn.XLOOKUP(Table1[[#This Row],[StockOptionLevel]],Table19[StockOptionLevel],Table19[Deskripsi])</f>
        <v>Non-Eligible</v>
      </c>
      <c r="AV234">
        <v>7</v>
      </c>
      <c r="AW234">
        <v>2</v>
      </c>
      <c r="AX234" t="str">
        <f>_xlfn.XLOOKUP(Table1[[#This Row],[WorkLifeBalance]],Table20[WorkLifeBalance],Table20[Id_WorkLifeBalance])</f>
        <v>WLB003</v>
      </c>
      <c r="AY234">
        <v>2</v>
      </c>
      <c r="AZ234" t="str">
        <f>_xlfn.XLOOKUP(Table1[[#This Row],[WorkLifeBalance]],Table20[WorkLifeBalance],Table20[Deskripsi])</f>
        <v>Better</v>
      </c>
      <c r="BA234">
        <v>2</v>
      </c>
      <c r="BB234">
        <v>2</v>
      </c>
      <c r="BC234">
        <v>2</v>
      </c>
      <c r="BD234">
        <v>2</v>
      </c>
    </row>
    <row r="235" spans="1:56" x14ac:dyDescent="0.25">
      <c r="A235">
        <v>50</v>
      </c>
      <c r="B235" t="str">
        <f>_xlfn.XLOOKUP(Table1[[#This Row],[Attrition]],Table2[Attrition],Table2[Id_Attrition])</f>
        <v>A002</v>
      </c>
      <c r="C235" t="s">
        <v>33</v>
      </c>
      <c r="D235" t="str">
        <f>_xlfn.XLOOKUP(Table1[[#This Row],[BusinessTravel]],Table5[BusinessTravel],Table5[Id_BusinessTravel])</f>
        <v>BS001</v>
      </c>
      <c r="E235" t="s">
        <v>34</v>
      </c>
      <c r="F235">
        <v>854</v>
      </c>
      <c r="G235" t="str">
        <f>_xlfn.XLOOKUP(Table1[[#This Row],[Department]],Table6[Department],Table6[Id_Departement])</f>
        <v>D001</v>
      </c>
      <c r="H235" t="s">
        <v>37</v>
      </c>
      <c r="I235">
        <v>1</v>
      </c>
      <c r="J235" t="str">
        <f>_xlfn.XLOOKUP(Table1[[#This Row],[Education]],Table8[Education],Table8[Id_Education])</f>
        <v>E004</v>
      </c>
      <c r="K235">
        <v>4</v>
      </c>
      <c r="L235" t="str">
        <f>_xlfn.XLOOKUP(Table1[[#This Row],[EducationField]],Table7[EducationField],Table7[Id_EducationField])</f>
        <v>EF003</v>
      </c>
      <c r="M235" t="s">
        <v>42</v>
      </c>
      <c r="N235" t="str">
        <f>_xlfn.XLOOKUP(Table1[[#This Row],[EmployeeNumber]],Table4[EmployeeNumber],Table4[Id_Employee])</f>
        <v>EMP00234</v>
      </c>
      <c r="O235">
        <v>323</v>
      </c>
      <c r="P235" t="str">
        <f>_xlfn.XLOOKUP(Table1[[#This Row],[EnvironmentSatisfaction]],Table9[EnvironmentSatisfaction],Table9[Id_EnviromentSatisfaction])</f>
        <v>ES004</v>
      </c>
      <c r="Q235">
        <v>4</v>
      </c>
      <c r="R235" t="str">
        <f>_xlfn.XLOOKUP(Table1[[#This Row],[EnvironmentSatisfaction]],Table9[EnvironmentSatisfaction],Table9[Deskripsi])</f>
        <v>Very High</v>
      </c>
      <c r="S235" t="str">
        <f>_xlfn.XLOOKUP(Table1[[#This Row],[Gender]],Table10[Gender],Table10[Id_Gender])</f>
        <v>G001</v>
      </c>
      <c r="T235" t="s">
        <v>45</v>
      </c>
      <c r="U235">
        <v>68</v>
      </c>
      <c r="V235" t="str">
        <f>_xlfn.XLOOKUP(Table1[[#This Row],[JobInvolvement]],Table11[JobInvolvement],Table11[Id_JobInvolvement])</f>
        <v>JI003</v>
      </c>
      <c r="W235">
        <v>3</v>
      </c>
      <c r="X235" t="str">
        <f>_xlfn.XLOOKUP(Table1[[#This Row],[JobLevel]],Table12[JobLevel],Table12[Id_JobLevel])</f>
        <v>JL005</v>
      </c>
      <c r="Y235">
        <v>5</v>
      </c>
      <c r="Z235" t="str">
        <f>_xlfn.XLOOKUP(Table1[[#This Row],[JobRole]],Table13[JobRole],Table13[Id_JobRole])</f>
        <v>JR006</v>
      </c>
      <c r="AA235" t="s">
        <v>52</v>
      </c>
      <c r="AB235" t="str">
        <f>_xlfn.XLOOKUP(Table1[[#This Row],[JobSatisfaction]],Table14[JobSatisfaction],Table14[Id_JobSatisfaction])</f>
        <v>JS004</v>
      </c>
      <c r="AC235">
        <v>4</v>
      </c>
      <c r="AD235" t="str">
        <f>_xlfn.XLOOKUP(Table1[[#This Row],[JobSatisfaction]],Table14[JobSatisfaction],Table14[Deskripsi])</f>
        <v>Very High</v>
      </c>
      <c r="AE235" t="str">
        <f>_xlfn.XLOOKUP(Table1[[#This Row],[MaritalStatus]],Table15[MaritalStatus],Table15[Id_MaritalStatus])</f>
        <v>MS003</v>
      </c>
      <c r="AF235" t="s">
        <v>57</v>
      </c>
      <c r="AG235">
        <v>19517</v>
      </c>
      <c r="AH235">
        <v>24118</v>
      </c>
      <c r="AI235">
        <v>3</v>
      </c>
      <c r="AJ235" t="str">
        <f>_xlfn.XLOOKUP(Table1[[#This Row],[OverTime]],Table16[OverTime],Table16[Id_OverTime])</f>
        <v>OT002</v>
      </c>
      <c r="AK235" t="s">
        <v>33</v>
      </c>
      <c r="AL235">
        <v>11</v>
      </c>
      <c r="AM235" t="str">
        <f>_xlfn.XLOOKUP(Table1[[#This Row],[PerformanceRating]],Table17[PerformanceRating],Table17[Id_PerformanceRating])</f>
        <v>PR003</v>
      </c>
      <c r="AN235">
        <v>3</v>
      </c>
      <c r="AO235" t="str">
        <f>_xlfn.XLOOKUP(Table1[[#This Row],[PerformanceRating]],Table17[PerformanceRating],Table17[Deskripsi])</f>
        <v>Excellent</v>
      </c>
      <c r="AP235" t="str">
        <f>_xlfn.XLOOKUP(Table1[[#This Row],[RelationshipSatisfaction]],Table18[RelationshipSatisfaction],Table18[Id_RelationshipSatisfaction])</f>
        <v>RS003</v>
      </c>
      <c r="AQ235">
        <v>3</v>
      </c>
      <c r="AR235" t="str">
        <f>_xlfn.XLOOKUP(Table1[[#This Row],[RelationshipSatisfaction]],Table18[RelationshipSatisfaction],Table18[Deskripsi])</f>
        <v>High</v>
      </c>
      <c r="AS235" t="str">
        <f>_xlfn.XLOOKUP(Table1[[#This Row],[StockOptionLevel]],Table19[StockOptionLevel],Table19[Id_StockOptionLevel])</f>
        <v>SOL002</v>
      </c>
      <c r="AT235">
        <v>1</v>
      </c>
      <c r="AU235" t="str">
        <f>_xlfn.XLOOKUP(Table1[[#This Row],[StockOptionLevel]],Table19[StockOptionLevel],Table19[Deskripsi])</f>
        <v>Standard</v>
      </c>
      <c r="AV235">
        <v>32</v>
      </c>
      <c r="AW235">
        <v>3</v>
      </c>
      <c r="AX235" t="str">
        <f>_xlfn.XLOOKUP(Table1[[#This Row],[WorkLifeBalance]],Table20[WorkLifeBalance],Table20[Id_WorkLifeBalance])</f>
        <v>WLB003</v>
      </c>
      <c r="AY235">
        <v>2</v>
      </c>
      <c r="AZ235" t="str">
        <f>_xlfn.XLOOKUP(Table1[[#This Row],[WorkLifeBalance]],Table20[WorkLifeBalance],Table20[Deskripsi])</f>
        <v>Better</v>
      </c>
      <c r="BA235">
        <v>7</v>
      </c>
      <c r="BB235">
        <v>0</v>
      </c>
      <c r="BC235">
        <v>0</v>
      </c>
      <c r="BD235">
        <v>6</v>
      </c>
    </row>
    <row r="236" spans="1:56" x14ac:dyDescent="0.25">
      <c r="A236">
        <v>33</v>
      </c>
      <c r="B236" t="str">
        <f>_xlfn.XLOOKUP(Table1[[#This Row],[Attrition]],Table2[Attrition],Table2[Id_Attrition])</f>
        <v>A001</v>
      </c>
      <c r="C236" t="s">
        <v>32</v>
      </c>
      <c r="D236" t="str">
        <f>_xlfn.XLOOKUP(Table1[[#This Row],[BusinessTravel]],Table5[BusinessTravel],Table5[Id_BusinessTravel])</f>
        <v>BS001</v>
      </c>
      <c r="E236" t="s">
        <v>34</v>
      </c>
      <c r="F236">
        <v>813</v>
      </c>
      <c r="G236" t="str">
        <f>_xlfn.XLOOKUP(Table1[[#This Row],[Department]],Table6[Department],Table6[Id_Departement])</f>
        <v>D002</v>
      </c>
      <c r="H236" t="s">
        <v>38</v>
      </c>
      <c r="I236">
        <v>14</v>
      </c>
      <c r="J236" t="str">
        <f>_xlfn.XLOOKUP(Table1[[#This Row],[Education]],Table8[Education],Table8[Id_Education])</f>
        <v>E003</v>
      </c>
      <c r="K236">
        <v>3</v>
      </c>
      <c r="L236" t="str">
        <f>_xlfn.XLOOKUP(Table1[[#This Row],[EducationField]],Table7[EducationField],Table7[Id_EducationField])</f>
        <v>EF003</v>
      </c>
      <c r="M236" t="s">
        <v>42</v>
      </c>
      <c r="N236" t="str">
        <f>_xlfn.XLOOKUP(Table1[[#This Row],[EmployeeNumber]],Table4[EmployeeNumber],Table4[Id_Employee])</f>
        <v>EMP00235</v>
      </c>
      <c r="O236">
        <v>325</v>
      </c>
      <c r="P236" t="str">
        <f>_xlfn.XLOOKUP(Table1[[#This Row],[EnvironmentSatisfaction]],Table9[EnvironmentSatisfaction],Table9[Id_EnviromentSatisfaction])</f>
        <v>ES003</v>
      </c>
      <c r="Q236">
        <v>3</v>
      </c>
      <c r="R236" t="str">
        <f>_xlfn.XLOOKUP(Table1[[#This Row],[EnvironmentSatisfaction]],Table9[EnvironmentSatisfaction],Table9[Deskripsi])</f>
        <v>High</v>
      </c>
      <c r="S236" t="str">
        <f>_xlfn.XLOOKUP(Table1[[#This Row],[Gender]],Table10[Gender],Table10[Id_Gender])</f>
        <v>G002</v>
      </c>
      <c r="T236" t="s">
        <v>46</v>
      </c>
      <c r="U236">
        <v>58</v>
      </c>
      <c r="V236" t="str">
        <f>_xlfn.XLOOKUP(Table1[[#This Row],[JobInvolvement]],Table11[JobInvolvement],Table11[Id_JobInvolvement])</f>
        <v>JI003</v>
      </c>
      <c r="W236">
        <v>3</v>
      </c>
      <c r="X236" t="str">
        <f>_xlfn.XLOOKUP(Table1[[#This Row],[JobLevel]],Table12[JobLevel],Table12[Id_JobLevel])</f>
        <v>JL001</v>
      </c>
      <c r="Y236">
        <v>1</v>
      </c>
      <c r="Z236" t="str">
        <f>_xlfn.XLOOKUP(Table1[[#This Row],[JobRole]],Table13[JobRole],Table13[Id_JobRole])</f>
        <v>JR003</v>
      </c>
      <c r="AA236" t="s">
        <v>49</v>
      </c>
      <c r="AB236" t="str">
        <f>_xlfn.XLOOKUP(Table1[[#This Row],[JobSatisfaction]],Table14[JobSatisfaction],Table14[Id_JobSatisfaction])</f>
        <v>JS004</v>
      </c>
      <c r="AC236">
        <v>4</v>
      </c>
      <c r="AD236" t="str">
        <f>_xlfn.XLOOKUP(Table1[[#This Row],[JobSatisfaction]],Table14[JobSatisfaction],Table14[Deskripsi])</f>
        <v>Very High</v>
      </c>
      <c r="AE236" t="str">
        <f>_xlfn.XLOOKUP(Table1[[#This Row],[MaritalStatus]],Table15[MaritalStatus],Table15[Id_MaritalStatus])</f>
        <v>MS002</v>
      </c>
      <c r="AF236" t="s">
        <v>56</v>
      </c>
      <c r="AG236">
        <v>2436</v>
      </c>
      <c r="AH236">
        <v>22149</v>
      </c>
      <c r="AI236">
        <v>5</v>
      </c>
      <c r="AJ236" t="str">
        <f>_xlfn.XLOOKUP(Table1[[#This Row],[OverTime]],Table16[OverTime],Table16[Id_OverTime])</f>
        <v>OT001</v>
      </c>
      <c r="AK236" t="s">
        <v>32</v>
      </c>
      <c r="AL236">
        <v>13</v>
      </c>
      <c r="AM236" t="str">
        <f>_xlfn.XLOOKUP(Table1[[#This Row],[PerformanceRating]],Table17[PerformanceRating],Table17[Id_PerformanceRating])</f>
        <v>PR003</v>
      </c>
      <c r="AN236">
        <v>3</v>
      </c>
      <c r="AO236" t="str">
        <f>_xlfn.XLOOKUP(Table1[[#This Row],[PerformanceRating]],Table17[PerformanceRating],Table17[Deskripsi])</f>
        <v>Excellent</v>
      </c>
      <c r="AP236" t="str">
        <f>_xlfn.XLOOKUP(Table1[[#This Row],[RelationshipSatisfaction]],Table18[RelationshipSatisfaction],Table18[Id_RelationshipSatisfaction])</f>
        <v>RS003</v>
      </c>
      <c r="AQ236">
        <v>3</v>
      </c>
      <c r="AR236" t="str">
        <f>_xlfn.XLOOKUP(Table1[[#This Row],[RelationshipSatisfaction]],Table18[RelationshipSatisfaction],Table18[Deskripsi])</f>
        <v>High</v>
      </c>
      <c r="AS236" t="str">
        <f>_xlfn.XLOOKUP(Table1[[#This Row],[StockOptionLevel]],Table19[StockOptionLevel],Table19[Id_StockOptionLevel])</f>
        <v>SOL002</v>
      </c>
      <c r="AT236">
        <v>1</v>
      </c>
      <c r="AU236" t="str">
        <f>_xlfn.XLOOKUP(Table1[[#This Row],[StockOptionLevel]],Table19[StockOptionLevel],Table19[Deskripsi])</f>
        <v>Standard</v>
      </c>
      <c r="AV236">
        <v>8</v>
      </c>
      <c r="AW236">
        <v>2</v>
      </c>
      <c r="AX236" t="str">
        <f>_xlfn.XLOOKUP(Table1[[#This Row],[WorkLifeBalance]],Table20[WorkLifeBalance],Table20[Id_WorkLifeBalance])</f>
        <v>WLB001</v>
      </c>
      <c r="AY236">
        <v>1</v>
      </c>
      <c r="AZ236" t="str">
        <f>_xlfn.XLOOKUP(Table1[[#This Row],[WorkLifeBalance]],Table20[WorkLifeBalance],Table20[Deskripsi])</f>
        <v>Bad</v>
      </c>
      <c r="BA236">
        <v>5</v>
      </c>
      <c r="BB236">
        <v>4</v>
      </c>
      <c r="BC236">
        <v>0</v>
      </c>
      <c r="BD236">
        <v>4</v>
      </c>
    </row>
    <row r="237" spans="1:56" x14ac:dyDescent="0.25">
      <c r="A237">
        <v>43</v>
      </c>
      <c r="B237" t="str">
        <f>_xlfn.XLOOKUP(Table1[[#This Row],[Attrition]],Table2[Attrition],Table2[Id_Attrition])</f>
        <v>A002</v>
      </c>
      <c r="C237" t="s">
        <v>33</v>
      </c>
      <c r="D237" t="str">
        <f>_xlfn.XLOOKUP(Table1[[#This Row],[BusinessTravel]],Table5[BusinessTravel],Table5[Id_BusinessTravel])</f>
        <v>BS001</v>
      </c>
      <c r="E237" t="s">
        <v>34</v>
      </c>
      <c r="F237">
        <v>1034</v>
      </c>
      <c r="G237" t="str">
        <f>_xlfn.XLOOKUP(Table1[[#This Row],[Department]],Table6[Department],Table6[Id_Departement])</f>
        <v>D001</v>
      </c>
      <c r="H237" t="s">
        <v>37</v>
      </c>
      <c r="I237">
        <v>16</v>
      </c>
      <c r="J237" t="str">
        <f>_xlfn.XLOOKUP(Table1[[#This Row],[Education]],Table8[Education],Table8[Id_Education])</f>
        <v>E003</v>
      </c>
      <c r="K237">
        <v>3</v>
      </c>
      <c r="L237" t="str">
        <f>_xlfn.XLOOKUP(Table1[[#This Row],[EducationField]],Table7[EducationField],Table7[Id_EducationField])</f>
        <v>EF004</v>
      </c>
      <c r="M237" t="s">
        <v>43</v>
      </c>
      <c r="N237" t="str">
        <f>_xlfn.XLOOKUP(Table1[[#This Row],[EmployeeNumber]],Table4[EmployeeNumber],Table4[Id_Employee])</f>
        <v>EMP00236</v>
      </c>
      <c r="O237">
        <v>327</v>
      </c>
      <c r="P237" t="str">
        <f>_xlfn.XLOOKUP(Table1[[#This Row],[EnvironmentSatisfaction]],Table9[EnvironmentSatisfaction],Table9[Id_EnviromentSatisfaction])</f>
        <v>ES004</v>
      </c>
      <c r="Q237">
        <v>4</v>
      </c>
      <c r="R237" t="str">
        <f>_xlfn.XLOOKUP(Table1[[#This Row],[EnvironmentSatisfaction]],Table9[EnvironmentSatisfaction],Table9[Deskripsi])</f>
        <v>Very High</v>
      </c>
      <c r="S237" t="str">
        <f>_xlfn.XLOOKUP(Table1[[#This Row],[Gender]],Table10[Gender],Table10[Id_Gender])</f>
        <v>G001</v>
      </c>
      <c r="T237" t="s">
        <v>45</v>
      </c>
      <c r="U237">
        <v>80</v>
      </c>
      <c r="V237" t="str">
        <f>_xlfn.XLOOKUP(Table1[[#This Row],[JobInvolvement]],Table11[JobInvolvement],Table11[Id_JobInvolvement])</f>
        <v>JI003</v>
      </c>
      <c r="W237">
        <v>3</v>
      </c>
      <c r="X237" t="str">
        <f>_xlfn.XLOOKUP(Table1[[#This Row],[JobLevel]],Table12[JobLevel],Table12[Id_JobLevel])</f>
        <v>JL004</v>
      </c>
      <c r="Y237">
        <v>4</v>
      </c>
      <c r="Z237" t="str">
        <f>_xlfn.XLOOKUP(Table1[[#This Row],[JobRole]],Table13[JobRole],Table13[Id_JobRole])</f>
        <v>JR006</v>
      </c>
      <c r="AA237" t="s">
        <v>52</v>
      </c>
      <c r="AB237" t="str">
        <f>_xlfn.XLOOKUP(Table1[[#This Row],[JobSatisfaction]],Table14[JobSatisfaction],Table14[Id_JobSatisfaction])</f>
        <v>JS004</v>
      </c>
      <c r="AC237">
        <v>4</v>
      </c>
      <c r="AD237" t="str">
        <f>_xlfn.XLOOKUP(Table1[[#This Row],[JobSatisfaction]],Table14[JobSatisfaction],Table14[Deskripsi])</f>
        <v>Very High</v>
      </c>
      <c r="AE237" t="str">
        <f>_xlfn.XLOOKUP(Table1[[#This Row],[MaritalStatus]],Table15[MaritalStatus],Table15[Id_MaritalStatus])</f>
        <v>MS002</v>
      </c>
      <c r="AF237" t="s">
        <v>56</v>
      </c>
      <c r="AG237">
        <v>16064</v>
      </c>
      <c r="AH237">
        <v>7744</v>
      </c>
      <c r="AI237">
        <v>5</v>
      </c>
      <c r="AJ237" t="str">
        <f>_xlfn.XLOOKUP(Table1[[#This Row],[OverTime]],Table16[OverTime],Table16[Id_OverTime])</f>
        <v>OT001</v>
      </c>
      <c r="AK237" t="s">
        <v>32</v>
      </c>
      <c r="AL237">
        <v>22</v>
      </c>
      <c r="AM237" t="str">
        <f>_xlfn.XLOOKUP(Table1[[#This Row],[PerformanceRating]],Table17[PerformanceRating],Table17[Id_PerformanceRating])</f>
        <v>PR004</v>
      </c>
      <c r="AN237">
        <v>4</v>
      </c>
      <c r="AO237" t="str">
        <f>_xlfn.XLOOKUP(Table1[[#This Row],[PerformanceRating]],Table17[PerformanceRating],Table17[Deskripsi])</f>
        <v>Outstanding</v>
      </c>
      <c r="AP237" t="str">
        <f>_xlfn.XLOOKUP(Table1[[#This Row],[RelationshipSatisfaction]],Table18[RelationshipSatisfaction],Table18[Id_RelationshipSatisfaction])</f>
        <v>RS003</v>
      </c>
      <c r="AQ237">
        <v>3</v>
      </c>
      <c r="AR237" t="str">
        <f>_xlfn.XLOOKUP(Table1[[#This Row],[RelationshipSatisfaction]],Table18[RelationshipSatisfaction],Table18[Deskripsi])</f>
        <v>High</v>
      </c>
      <c r="AS237" t="str">
        <f>_xlfn.XLOOKUP(Table1[[#This Row],[StockOptionLevel]],Table19[StockOptionLevel],Table19[Id_StockOptionLevel])</f>
        <v>SOL002</v>
      </c>
      <c r="AT237">
        <v>1</v>
      </c>
      <c r="AU237" t="str">
        <f>_xlfn.XLOOKUP(Table1[[#This Row],[StockOptionLevel]],Table19[StockOptionLevel],Table19[Deskripsi])</f>
        <v>Standard</v>
      </c>
      <c r="AV237">
        <v>22</v>
      </c>
      <c r="AW237">
        <v>3</v>
      </c>
      <c r="AX237" t="str">
        <f>_xlfn.XLOOKUP(Table1[[#This Row],[WorkLifeBalance]],Table20[WorkLifeBalance],Table20[Id_WorkLifeBalance])</f>
        <v>WLB002</v>
      </c>
      <c r="AY237">
        <v>3</v>
      </c>
      <c r="AZ237" t="str">
        <f>_xlfn.XLOOKUP(Table1[[#This Row],[WorkLifeBalance]],Table20[WorkLifeBalance],Table20[Deskripsi])</f>
        <v>Good</v>
      </c>
      <c r="BA237">
        <v>17</v>
      </c>
      <c r="BB237">
        <v>13</v>
      </c>
      <c r="BC237">
        <v>1</v>
      </c>
      <c r="BD237">
        <v>9</v>
      </c>
    </row>
    <row r="238" spans="1:56" x14ac:dyDescent="0.25">
      <c r="A238">
        <v>33</v>
      </c>
      <c r="B238" t="str">
        <f>_xlfn.XLOOKUP(Table1[[#This Row],[Attrition]],Table2[Attrition],Table2[Id_Attrition])</f>
        <v>A001</v>
      </c>
      <c r="C238" t="s">
        <v>32</v>
      </c>
      <c r="D238" t="str">
        <f>_xlfn.XLOOKUP(Table1[[#This Row],[BusinessTravel]],Table5[BusinessTravel],Table5[Id_BusinessTravel])</f>
        <v>BS001</v>
      </c>
      <c r="E238" t="s">
        <v>34</v>
      </c>
      <c r="F238">
        <v>465</v>
      </c>
      <c r="G238" t="str">
        <f>_xlfn.XLOOKUP(Table1[[#This Row],[Department]],Table6[Department],Table6[Id_Departement])</f>
        <v>D002</v>
      </c>
      <c r="H238" t="s">
        <v>38</v>
      </c>
      <c r="I238">
        <v>2</v>
      </c>
      <c r="J238" t="str">
        <f>_xlfn.XLOOKUP(Table1[[#This Row],[Education]],Table8[Education],Table8[Id_Education])</f>
        <v>E002</v>
      </c>
      <c r="K238">
        <v>2</v>
      </c>
      <c r="L238" t="str">
        <f>_xlfn.XLOOKUP(Table1[[#This Row],[EducationField]],Table7[EducationField],Table7[Id_EducationField])</f>
        <v>EF001</v>
      </c>
      <c r="M238" t="s">
        <v>40</v>
      </c>
      <c r="N238" t="str">
        <f>_xlfn.XLOOKUP(Table1[[#This Row],[EmployeeNumber]],Table4[EmployeeNumber],Table4[Id_Employee])</f>
        <v>EMP00237</v>
      </c>
      <c r="O238">
        <v>328</v>
      </c>
      <c r="P238" t="str">
        <f>_xlfn.XLOOKUP(Table1[[#This Row],[EnvironmentSatisfaction]],Table9[EnvironmentSatisfaction],Table9[Id_EnviromentSatisfaction])</f>
        <v>ES001</v>
      </c>
      <c r="Q238">
        <v>1</v>
      </c>
      <c r="R238" t="str">
        <f>_xlfn.XLOOKUP(Table1[[#This Row],[EnvironmentSatisfaction]],Table9[EnvironmentSatisfaction],Table9[Deskripsi])</f>
        <v>Low</v>
      </c>
      <c r="S238" t="str">
        <f>_xlfn.XLOOKUP(Table1[[#This Row],[Gender]],Table10[Gender],Table10[Id_Gender])</f>
        <v>G001</v>
      </c>
      <c r="T238" t="s">
        <v>45</v>
      </c>
      <c r="U238">
        <v>39</v>
      </c>
      <c r="V238" t="str">
        <f>_xlfn.XLOOKUP(Table1[[#This Row],[JobInvolvement]],Table11[JobInvolvement],Table11[Id_JobInvolvement])</f>
        <v>JI003</v>
      </c>
      <c r="W238">
        <v>3</v>
      </c>
      <c r="X238" t="str">
        <f>_xlfn.XLOOKUP(Table1[[#This Row],[JobLevel]],Table12[JobLevel],Table12[Id_JobLevel])</f>
        <v>JL001</v>
      </c>
      <c r="Y238">
        <v>1</v>
      </c>
      <c r="Z238" t="str">
        <f>_xlfn.XLOOKUP(Table1[[#This Row],[JobRole]],Table13[JobRole],Table13[Id_JobRole])</f>
        <v>JR003</v>
      </c>
      <c r="AA238" t="s">
        <v>49</v>
      </c>
      <c r="AB238" t="str">
        <f>_xlfn.XLOOKUP(Table1[[#This Row],[JobSatisfaction]],Table14[JobSatisfaction],Table14[Id_JobSatisfaction])</f>
        <v>JS001</v>
      </c>
      <c r="AC238">
        <v>1</v>
      </c>
      <c r="AD238" t="str">
        <f>_xlfn.XLOOKUP(Table1[[#This Row],[JobSatisfaction]],Table14[JobSatisfaction],Table14[Deskripsi])</f>
        <v>Low</v>
      </c>
      <c r="AE238" t="str">
        <f>_xlfn.XLOOKUP(Table1[[#This Row],[MaritalStatus]],Table15[MaritalStatus],Table15[Id_MaritalStatus])</f>
        <v>MS002</v>
      </c>
      <c r="AF238" t="s">
        <v>56</v>
      </c>
      <c r="AG238">
        <v>2707</v>
      </c>
      <c r="AH238">
        <v>21509</v>
      </c>
      <c r="AI238">
        <v>7</v>
      </c>
      <c r="AJ238" t="str">
        <f>_xlfn.XLOOKUP(Table1[[#This Row],[OverTime]],Table16[OverTime],Table16[Id_OverTime])</f>
        <v>OT002</v>
      </c>
      <c r="AK238" t="s">
        <v>33</v>
      </c>
      <c r="AL238">
        <v>20</v>
      </c>
      <c r="AM238" t="str">
        <f>_xlfn.XLOOKUP(Table1[[#This Row],[PerformanceRating]],Table17[PerformanceRating],Table17[Id_PerformanceRating])</f>
        <v>PR004</v>
      </c>
      <c r="AN238">
        <v>4</v>
      </c>
      <c r="AO238" t="str">
        <f>_xlfn.XLOOKUP(Table1[[#This Row],[PerformanceRating]],Table17[PerformanceRating],Table17[Deskripsi])</f>
        <v>Outstanding</v>
      </c>
      <c r="AP238" t="str">
        <f>_xlfn.XLOOKUP(Table1[[#This Row],[RelationshipSatisfaction]],Table18[RelationshipSatisfaction],Table18[Id_RelationshipSatisfaction])</f>
        <v>RS001</v>
      </c>
      <c r="AQ238">
        <v>1</v>
      </c>
      <c r="AR238" t="str">
        <f>_xlfn.XLOOKUP(Table1[[#This Row],[RelationshipSatisfaction]],Table18[RelationshipSatisfaction],Table18[Deskripsi])</f>
        <v>Low</v>
      </c>
      <c r="AS238" t="str">
        <f>_xlfn.XLOOKUP(Table1[[#This Row],[StockOptionLevel]],Table19[StockOptionLevel],Table19[Id_StockOptionLevel])</f>
        <v>SOL001</v>
      </c>
      <c r="AT238">
        <v>0</v>
      </c>
      <c r="AU238" t="str">
        <f>_xlfn.XLOOKUP(Table1[[#This Row],[StockOptionLevel]],Table19[StockOptionLevel],Table19[Deskripsi])</f>
        <v>Non-Eligible</v>
      </c>
      <c r="AV238">
        <v>13</v>
      </c>
      <c r="AW238">
        <v>3</v>
      </c>
      <c r="AX238" t="str">
        <f>_xlfn.XLOOKUP(Table1[[#This Row],[WorkLifeBalance]],Table20[WorkLifeBalance],Table20[Id_WorkLifeBalance])</f>
        <v>WLB004</v>
      </c>
      <c r="AY238">
        <v>4</v>
      </c>
      <c r="AZ238" t="str">
        <f>_xlfn.XLOOKUP(Table1[[#This Row],[WorkLifeBalance]],Table20[WorkLifeBalance],Table20[Deskripsi])</f>
        <v>Best</v>
      </c>
      <c r="BA238">
        <v>9</v>
      </c>
      <c r="BB238">
        <v>7</v>
      </c>
      <c r="BC238">
        <v>1</v>
      </c>
      <c r="BD238">
        <v>7</v>
      </c>
    </row>
    <row r="239" spans="1:56" x14ac:dyDescent="0.25">
      <c r="A239">
        <v>52</v>
      </c>
      <c r="B239" t="str">
        <f>_xlfn.XLOOKUP(Table1[[#This Row],[Attrition]],Table2[Attrition],Table2[Id_Attrition])</f>
        <v>A002</v>
      </c>
      <c r="C239" t="s">
        <v>33</v>
      </c>
      <c r="D239" t="str">
        <f>_xlfn.XLOOKUP(Table1[[#This Row],[BusinessTravel]],Table5[BusinessTravel],Table5[Id_BusinessTravel])</f>
        <v>BS003</v>
      </c>
      <c r="E239" t="s">
        <v>36</v>
      </c>
      <c r="F239">
        <v>771</v>
      </c>
      <c r="G239" t="str">
        <f>_xlfn.XLOOKUP(Table1[[#This Row],[Department]],Table6[Department],Table6[Id_Departement])</f>
        <v>D001</v>
      </c>
      <c r="H239" t="s">
        <v>37</v>
      </c>
      <c r="I239">
        <v>2</v>
      </c>
      <c r="J239" t="str">
        <f>_xlfn.XLOOKUP(Table1[[#This Row],[Education]],Table8[Education],Table8[Id_Education])</f>
        <v>E004</v>
      </c>
      <c r="K239">
        <v>4</v>
      </c>
      <c r="L239" t="str">
        <f>_xlfn.XLOOKUP(Table1[[#This Row],[EducationField]],Table7[EducationField],Table7[Id_EducationField])</f>
        <v>EF001</v>
      </c>
      <c r="M239" t="s">
        <v>40</v>
      </c>
      <c r="N239" t="str">
        <f>_xlfn.XLOOKUP(Table1[[#This Row],[EmployeeNumber]],Table4[EmployeeNumber],Table4[Id_Employee])</f>
        <v>EMP00238</v>
      </c>
      <c r="O239">
        <v>329</v>
      </c>
      <c r="P239" t="str">
        <f>_xlfn.XLOOKUP(Table1[[#This Row],[EnvironmentSatisfaction]],Table9[EnvironmentSatisfaction],Table9[Id_EnviromentSatisfaction])</f>
        <v>ES001</v>
      </c>
      <c r="Q239">
        <v>1</v>
      </c>
      <c r="R239" t="str">
        <f>_xlfn.XLOOKUP(Table1[[#This Row],[EnvironmentSatisfaction]],Table9[EnvironmentSatisfaction],Table9[Deskripsi])</f>
        <v>Low</v>
      </c>
      <c r="S239" t="str">
        <f>_xlfn.XLOOKUP(Table1[[#This Row],[Gender]],Table10[Gender],Table10[Id_Gender])</f>
        <v>G002</v>
      </c>
      <c r="T239" t="s">
        <v>46</v>
      </c>
      <c r="U239">
        <v>79</v>
      </c>
      <c r="V239" t="str">
        <f>_xlfn.XLOOKUP(Table1[[#This Row],[JobInvolvement]],Table11[JobInvolvement],Table11[Id_JobInvolvement])</f>
        <v>JI002</v>
      </c>
      <c r="W239">
        <v>2</v>
      </c>
      <c r="X239" t="str">
        <f>_xlfn.XLOOKUP(Table1[[#This Row],[JobLevel]],Table12[JobLevel],Table12[Id_JobLevel])</f>
        <v>JL005</v>
      </c>
      <c r="Y239">
        <v>5</v>
      </c>
      <c r="Z239" t="str">
        <f>_xlfn.XLOOKUP(Table1[[#This Row],[JobRole]],Table13[JobRole],Table13[Id_JobRole])</f>
        <v>JR006</v>
      </c>
      <c r="AA239" t="s">
        <v>52</v>
      </c>
      <c r="AB239" t="str">
        <f>_xlfn.XLOOKUP(Table1[[#This Row],[JobSatisfaction]],Table14[JobSatisfaction],Table14[Id_JobSatisfaction])</f>
        <v>JS003</v>
      </c>
      <c r="AC239">
        <v>3</v>
      </c>
      <c r="AD239" t="str">
        <f>_xlfn.XLOOKUP(Table1[[#This Row],[JobSatisfaction]],Table14[JobSatisfaction],Table14[Deskripsi])</f>
        <v>High</v>
      </c>
      <c r="AE239" t="str">
        <f>_xlfn.XLOOKUP(Table1[[#This Row],[MaritalStatus]],Table15[MaritalStatus],Table15[Id_MaritalStatus])</f>
        <v>MS001</v>
      </c>
      <c r="AF239" t="s">
        <v>55</v>
      </c>
      <c r="AG239">
        <v>19068</v>
      </c>
      <c r="AH239">
        <v>21030</v>
      </c>
      <c r="AI239">
        <v>1</v>
      </c>
      <c r="AJ239" t="str">
        <f>_xlfn.XLOOKUP(Table1[[#This Row],[OverTime]],Table16[OverTime],Table16[Id_OverTime])</f>
        <v>OT001</v>
      </c>
      <c r="AK239" t="s">
        <v>32</v>
      </c>
      <c r="AL239">
        <v>18</v>
      </c>
      <c r="AM239" t="str">
        <f>_xlfn.XLOOKUP(Table1[[#This Row],[PerformanceRating]],Table17[PerformanceRating],Table17[Id_PerformanceRating])</f>
        <v>PR003</v>
      </c>
      <c r="AN239">
        <v>3</v>
      </c>
      <c r="AO239" t="str">
        <f>_xlfn.XLOOKUP(Table1[[#This Row],[PerformanceRating]],Table17[PerformanceRating],Table17[Deskripsi])</f>
        <v>Excellent</v>
      </c>
      <c r="AP239" t="str">
        <f>_xlfn.XLOOKUP(Table1[[#This Row],[RelationshipSatisfaction]],Table18[RelationshipSatisfaction],Table18[Id_RelationshipSatisfaction])</f>
        <v>RS004</v>
      </c>
      <c r="AQ239">
        <v>4</v>
      </c>
      <c r="AR239" t="str">
        <f>_xlfn.XLOOKUP(Table1[[#This Row],[RelationshipSatisfaction]],Table18[RelationshipSatisfaction],Table18[Deskripsi])</f>
        <v>Very High</v>
      </c>
      <c r="AS239" t="str">
        <f>_xlfn.XLOOKUP(Table1[[#This Row],[StockOptionLevel]],Table19[StockOptionLevel],Table19[Id_StockOptionLevel])</f>
        <v>SOL001</v>
      </c>
      <c r="AT239">
        <v>0</v>
      </c>
      <c r="AU239" t="str">
        <f>_xlfn.XLOOKUP(Table1[[#This Row],[StockOptionLevel]],Table19[StockOptionLevel],Table19[Deskripsi])</f>
        <v>Non-Eligible</v>
      </c>
      <c r="AV239">
        <v>33</v>
      </c>
      <c r="AW239">
        <v>2</v>
      </c>
      <c r="AX239" t="str">
        <f>_xlfn.XLOOKUP(Table1[[#This Row],[WorkLifeBalance]],Table20[WorkLifeBalance],Table20[Id_WorkLifeBalance])</f>
        <v>WLB004</v>
      </c>
      <c r="AY239">
        <v>4</v>
      </c>
      <c r="AZ239" t="str">
        <f>_xlfn.XLOOKUP(Table1[[#This Row],[WorkLifeBalance]],Table20[WorkLifeBalance],Table20[Deskripsi])</f>
        <v>Best</v>
      </c>
      <c r="BA239">
        <v>33</v>
      </c>
      <c r="BB239">
        <v>7</v>
      </c>
      <c r="BC239">
        <v>15</v>
      </c>
      <c r="BD239">
        <v>12</v>
      </c>
    </row>
    <row r="240" spans="1:56" x14ac:dyDescent="0.25">
      <c r="A240">
        <v>32</v>
      </c>
      <c r="B240" t="str">
        <f>_xlfn.XLOOKUP(Table1[[#This Row],[Attrition]],Table2[Attrition],Table2[Id_Attrition])</f>
        <v>A002</v>
      </c>
      <c r="C240" t="s">
        <v>33</v>
      </c>
      <c r="D240" t="str">
        <f>_xlfn.XLOOKUP(Table1[[#This Row],[BusinessTravel]],Table5[BusinessTravel],Table5[Id_BusinessTravel])</f>
        <v>BS001</v>
      </c>
      <c r="E240" t="s">
        <v>34</v>
      </c>
      <c r="F240">
        <v>1401</v>
      </c>
      <c r="G240" t="str">
        <f>_xlfn.XLOOKUP(Table1[[#This Row],[Department]],Table6[Department],Table6[Id_Departement])</f>
        <v>D001</v>
      </c>
      <c r="H240" t="s">
        <v>37</v>
      </c>
      <c r="I240">
        <v>4</v>
      </c>
      <c r="J240" t="str">
        <f>_xlfn.XLOOKUP(Table1[[#This Row],[Education]],Table8[Education],Table8[Id_Education])</f>
        <v>E002</v>
      </c>
      <c r="K240">
        <v>2</v>
      </c>
      <c r="L240" t="str">
        <f>_xlfn.XLOOKUP(Table1[[#This Row],[EducationField]],Table7[EducationField],Table7[Id_EducationField])</f>
        <v>EF001</v>
      </c>
      <c r="M240" t="s">
        <v>40</v>
      </c>
      <c r="N240" t="str">
        <f>_xlfn.XLOOKUP(Table1[[#This Row],[EmployeeNumber]],Table4[EmployeeNumber],Table4[Id_Employee])</f>
        <v>EMP00239</v>
      </c>
      <c r="O240">
        <v>330</v>
      </c>
      <c r="P240" t="str">
        <f>_xlfn.XLOOKUP(Table1[[#This Row],[EnvironmentSatisfaction]],Table9[EnvironmentSatisfaction],Table9[Id_EnviromentSatisfaction])</f>
        <v>ES003</v>
      </c>
      <c r="Q240">
        <v>3</v>
      </c>
      <c r="R240" t="str">
        <f>_xlfn.XLOOKUP(Table1[[#This Row],[EnvironmentSatisfaction]],Table9[EnvironmentSatisfaction],Table9[Deskripsi])</f>
        <v>High</v>
      </c>
      <c r="S240" t="str">
        <f>_xlfn.XLOOKUP(Table1[[#This Row],[Gender]],Table10[Gender],Table10[Id_Gender])</f>
        <v>G001</v>
      </c>
      <c r="T240" t="s">
        <v>45</v>
      </c>
      <c r="U240">
        <v>56</v>
      </c>
      <c r="V240" t="str">
        <f>_xlfn.XLOOKUP(Table1[[#This Row],[JobInvolvement]],Table11[JobInvolvement],Table11[Id_JobInvolvement])</f>
        <v>JI003</v>
      </c>
      <c r="W240">
        <v>3</v>
      </c>
      <c r="X240" t="str">
        <f>_xlfn.XLOOKUP(Table1[[#This Row],[JobLevel]],Table12[JobLevel],Table12[Id_JobLevel])</f>
        <v>JL001</v>
      </c>
      <c r="Y240">
        <v>1</v>
      </c>
      <c r="Z240" t="str">
        <f>_xlfn.XLOOKUP(Table1[[#This Row],[JobRole]],Table13[JobRole],Table13[Id_JobRole])</f>
        <v>JR007</v>
      </c>
      <c r="AA240" t="s">
        <v>53</v>
      </c>
      <c r="AB240" t="str">
        <f>_xlfn.XLOOKUP(Table1[[#This Row],[JobSatisfaction]],Table14[JobSatisfaction],Table14[Id_JobSatisfaction])</f>
        <v>JS002</v>
      </c>
      <c r="AC240">
        <v>2</v>
      </c>
      <c r="AD240" t="str">
        <f>_xlfn.XLOOKUP(Table1[[#This Row],[JobSatisfaction]],Table14[JobSatisfaction],Table14[Deskripsi])</f>
        <v>Medium</v>
      </c>
      <c r="AE240" t="str">
        <f>_xlfn.XLOOKUP(Table1[[#This Row],[MaritalStatus]],Table15[MaritalStatus],Table15[Id_MaritalStatus])</f>
        <v>MS002</v>
      </c>
      <c r="AF240" t="s">
        <v>56</v>
      </c>
      <c r="AG240">
        <v>3931</v>
      </c>
      <c r="AH240">
        <v>20990</v>
      </c>
      <c r="AI240">
        <v>2</v>
      </c>
      <c r="AJ240" t="str">
        <f>_xlfn.XLOOKUP(Table1[[#This Row],[OverTime]],Table16[OverTime],Table16[Id_OverTime])</f>
        <v>OT002</v>
      </c>
      <c r="AK240" t="s">
        <v>33</v>
      </c>
      <c r="AL240">
        <v>11</v>
      </c>
      <c r="AM240" t="str">
        <f>_xlfn.XLOOKUP(Table1[[#This Row],[PerformanceRating]],Table17[PerformanceRating],Table17[Id_PerformanceRating])</f>
        <v>PR003</v>
      </c>
      <c r="AN240">
        <v>3</v>
      </c>
      <c r="AO240" t="str">
        <f>_xlfn.XLOOKUP(Table1[[#This Row],[PerformanceRating]],Table17[PerformanceRating],Table17[Deskripsi])</f>
        <v>Excellent</v>
      </c>
      <c r="AP240" t="str">
        <f>_xlfn.XLOOKUP(Table1[[#This Row],[RelationshipSatisfaction]],Table18[RelationshipSatisfaction],Table18[Id_RelationshipSatisfaction])</f>
        <v>RS001</v>
      </c>
      <c r="AQ240">
        <v>1</v>
      </c>
      <c r="AR240" t="str">
        <f>_xlfn.XLOOKUP(Table1[[#This Row],[RelationshipSatisfaction]],Table18[RelationshipSatisfaction],Table18[Deskripsi])</f>
        <v>Low</v>
      </c>
      <c r="AS240" t="str">
        <f>_xlfn.XLOOKUP(Table1[[#This Row],[StockOptionLevel]],Table19[StockOptionLevel],Table19[Id_StockOptionLevel])</f>
        <v>SOL002</v>
      </c>
      <c r="AT240">
        <v>1</v>
      </c>
      <c r="AU240" t="str">
        <f>_xlfn.XLOOKUP(Table1[[#This Row],[StockOptionLevel]],Table19[StockOptionLevel],Table19[Deskripsi])</f>
        <v>Standard</v>
      </c>
      <c r="AV240">
        <v>6</v>
      </c>
      <c r="AW240">
        <v>5</v>
      </c>
      <c r="AX240" t="str">
        <f>_xlfn.XLOOKUP(Table1[[#This Row],[WorkLifeBalance]],Table20[WorkLifeBalance],Table20[Id_WorkLifeBalance])</f>
        <v>WLB002</v>
      </c>
      <c r="AY240">
        <v>3</v>
      </c>
      <c r="AZ240" t="str">
        <f>_xlfn.XLOOKUP(Table1[[#This Row],[WorkLifeBalance]],Table20[WorkLifeBalance],Table20[Deskripsi])</f>
        <v>Good</v>
      </c>
      <c r="BA240">
        <v>4</v>
      </c>
      <c r="BB240">
        <v>3</v>
      </c>
      <c r="BC240">
        <v>1</v>
      </c>
      <c r="BD240">
        <v>2</v>
      </c>
    </row>
    <row r="241" spans="1:56" x14ac:dyDescent="0.25">
      <c r="A241">
        <v>32</v>
      </c>
      <c r="B241" t="str">
        <f>_xlfn.XLOOKUP(Table1[[#This Row],[Attrition]],Table2[Attrition],Table2[Id_Attrition])</f>
        <v>A001</v>
      </c>
      <c r="C241" t="s">
        <v>32</v>
      </c>
      <c r="D241" t="str">
        <f>_xlfn.XLOOKUP(Table1[[#This Row],[BusinessTravel]],Table5[BusinessTravel],Table5[Id_BusinessTravel])</f>
        <v>BS001</v>
      </c>
      <c r="E241" t="s">
        <v>34</v>
      </c>
      <c r="F241">
        <v>515</v>
      </c>
      <c r="G241" t="str">
        <f>_xlfn.XLOOKUP(Table1[[#This Row],[Department]],Table6[Department],Table6[Id_Departement])</f>
        <v>D002</v>
      </c>
      <c r="H241" t="s">
        <v>38</v>
      </c>
      <c r="I241">
        <v>1</v>
      </c>
      <c r="J241" t="str">
        <f>_xlfn.XLOOKUP(Table1[[#This Row],[Education]],Table8[Education],Table8[Id_Education])</f>
        <v>E003</v>
      </c>
      <c r="K241">
        <v>3</v>
      </c>
      <c r="L241" t="str">
        <f>_xlfn.XLOOKUP(Table1[[#This Row],[EducationField]],Table7[EducationField],Table7[Id_EducationField])</f>
        <v>EF001</v>
      </c>
      <c r="M241" t="s">
        <v>40</v>
      </c>
      <c r="N241" t="str">
        <f>_xlfn.XLOOKUP(Table1[[#This Row],[EmployeeNumber]],Table4[EmployeeNumber],Table4[Id_Employee])</f>
        <v>EMP00240</v>
      </c>
      <c r="O241">
        <v>331</v>
      </c>
      <c r="P241" t="str">
        <f>_xlfn.XLOOKUP(Table1[[#This Row],[EnvironmentSatisfaction]],Table9[EnvironmentSatisfaction],Table9[Id_EnviromentSatisfaction])</f>
        <v>ES004</v>
      </c>
      <c r="Q241">
        <v>4</v>
      </c>
      <c r="R241" t="str">
        <f>_xlfn.XLOOKUP(Table1[[#This Row],[EnvironmentSatisfaction]],Table9[EnvironmentSatisfaction],Table9[Deskripsi])</f>
        <v>Very High</v>
      </c>
      <c r="S241" t="str">
        <f>_xlfn.XLOOKUP(Table1[[#This Row],[Gender]],Table10[Gender],Table10[Id_Gender])</f>
        <v>G002</v>
      </c>
      <c r="T241" t="s">
        <v>46</v>
      </c>
      <c r="U241">
        <v>62</v>
      </c>
      <c r="V241" t="str">
        <f>_xlfn.XLOOKUP(Table1[[#This Row],[JobInvolvement]],Table11[JobInvolvement],Table11[Id_JobInvolvement])</f>
        <v>JI002</v>
      </c>
      <c r="W241">
        <v>2</v>
      </c>
      <c r="X241" t="str">
        <f>_xlfn.XLOOKUP(Table1[[#This Row],[JobLevel]],Table12[JobLevel],Table12[Id_JobLevel])</f>
        <v>JL001</v>
      </c>
      <c r="Y241">
        <v>1</v>
      </c>
      <c r="Z241" t="str">
        <f>_xlfn.XLOOKUP(Table1[[#This Row],[JobRole]],Table13[JobRole],Table13[Id_JobRole])</f>
        <v>JR003</v>
      </c>
      <c r="AA241" t="s">
        <v>49</v>
      </c>
      <c r="AB241" t="str">
        <f>_xlfn.XLOOKUP(Table1[[#This Row],[JobSatisfaction]],Table14[JobSatisfaction],Table14[Id_JobSatisfaction])</f>
        <v>JS003</v>
      </c>
      <c r="AC241">
        <v>3</v>
      </c>
      <c r="AD241" t="str">
        <f>_xlfn.XLOOKUP(Table1[[#This Row],[JobSatisfaction]],Table14[JobSatisfaction],Table14[Deskripsi])</f>
        <v>High</v>
      </c>
      <c r="AE241" t="str">
        <f>_xlfn.XLOOKUP(Table1[[#This Row],[MaritalStatus]],Table15[MaritalStatus],Table15[Id_MaritalStatus])</f>
        <v>MS001</v>
      </c>
      <c r="AF241" t="s">
        <v>55</v>
      </c>
      <c r="AG241">
        <v>3730</v>
      </c>
      <c r="AH241">
        <v>9571</v>
      </c>
      <c r="AI241">
        <v>0</v>
      </c>
      <c r="AJ241" t="str">
        <f>_xlfn.XLOOKUP(Table1[[#This Row],[OverTime]],Table16[OverTime],Table16[Id_OverTime])</f>
        <v>OT001</v>
      </c>
      <c r="AK241" t="s">
        <v>32</v>
      </c>
      <c r="AL241">
        <v>14</v>
      </c>
      <c r="AM241" t="str">
        <f>_xlfn.XLOOKUP(Table1[[#This Row],[PerformanceRating]],Table17[PerformanceRating],Table17[Id_PerformanceRating])</f>
        <v>PR003</v>
      </c>
      <c r="AN241">
        <v>3</v>
      </c>
      <c r="AO241" t="str">
        <f>_xlfn.XLOOKUP(Table1[[#This Row],[PerformanceRating]],Table17[PerformanceRating],Table17[Deskripsi])</f>
        <v>Excellent</v>
      </c>
      <c r="AP241" t="str">
        <f>_xlfn.XLOOKUP(Table1[[#This Row],[RelationshipSatisfaction]],Table18[RelationshipSatisfaction],Table18[Id_RelationshipSatisfaction])</f>
        <v>RS004</v>
      </c>
      <c r="AQ241">
        <v>4</v>
      </c>
      <c r="AR241" t="str">
        <f>_xlfn.XLOOKUP(Table1[[#This Row],[RelationshipSatisfaction]],Table18[RelationshipSatisfaction],Table18[Deskripsi])</f>
        <v>Very High</v>
      </c>
      <c r="AS241" t="str">
        <f>_xlfn.XLOOKUP(Table1[[#This Row],[StockOptionLevel]],Table19[StockOptionLevel],Table19[Id_StockOptionLevel])</f>
        <v>SOL001</v>
      </c>
      <c r="AT241">
        <v>0</v>
      </c>
      <c r="AU241" t="str">
        <f>_xlfn.XLOOKUP(Table1[[#This Row],[StockOptionLevel]],Table19[StockOptionLevel],Table19[Deskripsi])</f>
        <v>Non-Eligible</v>
      </c>
      <c r="AV241">
        <v>4</v>
      </c>
      <c r="AW241">
        <v>2</v>
      </c>
      <c r="AX241" t="str">
        <f>_xlfn.XLOOKUP(Table1[[#This Row],[WorkLifeBalance]],Table20[WorkLifeBalance],Table20[Id_WorkLifeBalance])</f>
        <v>WLB001</v>
      </c>
      <c r="AY241">
        <v>1</v>
      </c>
      <c r="AZ241" t="str">
        <f>_xlfn.XLOOKUP(Table1[[#This Row],[WorkLifeBalance]],Table20[WorkLifeBalance],Table20[Deskripsi])</f>
        <v>Bad</v>
      </c>
      <c r="BA241">
        <v>3</v>
      </c>
      <c r="BB241">
        <v>2</v>
      </c>
      <c r="BC241">
        <v>1</v>
      </c>
      <c r="BD241">
        <v>2</v>
      </c>
    </row>
    <row r="242" spans="1:56" x14ac:dyDescent="0.25">
      <c r="A242">
        <v>39</v>
      </c>
      <c r="B242" t="str">
        <f>_xlfn.XLOOKUP(Table1[[#This Row],[Attrition]],Table2[Attrition],Table2[Id_Attrition])</f>
        <v>A002</v>
      </c>
      <c r="C242" t="s">
        <v>33</v>
      </c>
      <c r="D242" t="str">
        <f>_xlfn.XLOOKUP(Table1[[#This Row],[BusinessTravel]],Table5[BusinessTravel],Table5[Id_BusinessTravel])</f>
        <v>BS001</v>
      </c>
      <c r="E242" t="s">
        <v>34</v>
      </c>
      <c r="F242">
        <v>1431</v>
      </c>
      <c r="G242" t="str">
        <f>_xlfn.XLOOKUP(Table1[[#This Row],[Department]],Table6[Department],Table6[Id_Departement])</f>
        <v>D002</v>
      </c>
      <c r="H242" t="s">
        <v>38</v>
      </c>
      <c r="I242">
        <v>1</v>
      </c>
      <c r="J242" t="str">
        <f>_xlfn.XLOOKUP(Table1[[#This Row],[Education]],Table8[Education],Table8[Id_Education])</f>
        <v>E004</v>
      </c>
      <c r="K242">
        <v>4</v>
      </c>
      <c r="L242" t="str">
        <f>_xlfn.XLOOKUP(Table1[[#This Row],[EducationField]],Table7[EducationField],Table7[Id_EducationField])</f>
        <v>EF003</v>
      </c>
      <c r="M242" t="s">
        <v>42</v>
      </c>
      <c r="N242" t="str">
        <f>_xlfn.XLOOKUP(Table1[[#This Row],[EmployeeNumber]],Table4[EmployeeNumber],Table4[Id_Employee])</f>
        <v>EMP00241</v>
      </c>
      <c r="O242">
        <v>332</v>
      </c>
      <c r="P242" t="str">
        <f>_xlfn.XLOOKUP(Table1[[#This Row],[EnvironmentSatisfaction]],Table9[EnvironmentSatisfaction],Table9[Id_EnviromentSatisfaction])</f>
        <v>ES003</v>
      </c>
      <c r="Q242">
        <v>3</v>
      </c>
      <c r="R242" t="str">
        <f>_xlfn.XLOOKUP(Table1[[#This Row],[EnvironmentSatisfaction]],Table9[EnvironmentSatisfaction],Table9[Deskripsi])</f>
        <v>High</v>
      </c>
      <c r="S242" t="str">
        <f>_xlfn.XLOOKUP(Table1[[#This Row],[Gender]],Table10[Gender],Table10[Id_Gender])</f>
        <v>G001</v>
      </c>
      <c r="T242" t="s">
        <v>45</v>
      </c>
      <c r="U242">
        <v>96</v>
      </c>
      <c r="V242" t="str">
        <f>_xlfn.XLOOKUP(Table1[[#This Row],[JobInvolvement]],Table11[JobInvolvement],Table11[Id_JobInvolvement])</f>
        <v>JI003</v>
      </c>
      <c r="W242">
        <v>3</v>
      </c>
      <c r="X242" t="str">
        <f>_xlfn.XLOOKUP(Table1[[#This Row],[JobLevel]],Table12[JobLevel],Table12[Id_JobLevel])</f>
        <v>JL001</v>
      </c>
      <c r="Y242">
        <v>1</v>
      </c>
      <c r="Z242" t="str">
        <f>_xlfn.XLOOKUP(Table1[[#This Row],[JobRole]],Table13[JobRole],Table13[Id_JobRole])</f>
        <v>JR003</v>
      </c>
      <c r="AA242" t="s">
        <v>49</v>
      </c>
      <c r="AB242" t="str">
        <f>_xlfn.XLOOKUP(Table1[[#This Row],[JobSatisfaction]],Table14[JobSatisfaction],Table14[Id_JobSatisfaction])</f>
        <v>JS003</v>
      </c>
      <c r="AC242">
        <v>3</v>
      </c>
      <c r="AD242" t="str">
        <f>_xlfn.XLOOKUP(Table1[[#This Row],[JobSatisfaction]],Table14[JobSatisfaction],Table14[Deskripsi])</f>
        <v>High</v>
      </c>
      <c r="AE242" t="str">
        <f>_xlfn.XLOOKUP(Table1[[#This Row],[MaritalStatus]],Table15[MaritalStatus],Table15[Id_MaritalStatus])</f>
        <v>MS003</v>
      </c>
      <c r="AF242" t="s">
        <v>57</v>
      </c>
      <c r="AG242">
        <v>2232</v>
      </c>
      <c r="AH242">
        <v>15417</v>
      </c>
      <c r="AI242">
        <v>7</v>
      </c>
      <c r="AJ242" t="str">
        <f>_xlfn.XLOOKUP(Table1[[#This Row],[OverTime]],Table16[OverTime],Table16[Id_OverTime])</f>
        <v>OT002</v>
      </c>
      <c r="AK242" t="s">
        <v>33</v>
      </c>
      <c r="AL242">
        <v>14</v>
      </c>
      <c r="AM242" t="str">
        <f>_xlfn.XLOOKUP(Table1[[#This Row],[PerformanceRating]],Table17[PerformanceRating],Table17[Id_PerformanceRating])</f>
        <v>PR003</v>
      </c>
      <c r="AN242">
        <v>3</v>
      </c>
      <c r="AO242" t="str">
        <f>_xlfn.XLOOKUP(Table1[[#This Row],[PerformanceRating]],Table17[PerformanceRating],Table17[Deskripsi])</f>
        <v>Excellent</v>
      </c>
      <c r="AP242" t="str">
        <f>_xlfn.XLOOKUP(Table1[[#This Row],[RelationshipSatisfaction]],Table18[RelationshipSatisfaction],Table18[Id_RelationshipSatisfaction])</f>
        <v>RS003</v>
      </c>
      <c r="AQ242">
        <v>3</v>
      </c>
      <c r="AR242" t="str">
        <f>_xlfn.XLOOKUP(Table1[[#This Row],[RelationshipSatisfaction]],Table18[RelationshipSatisfaction],Table18[Deskripsi])</f>
        <v>High</v>
      </c>
      <c r="AS242" t="str">
        <f>_xlfn.XLOOKUP(Table1[[#This Row],[StockOptionLevel]],Table19[StockOptionLevel],Table19[Id_StockOptionLevel])</f>
        <v>SOL004</v>
      </c>
      <c r="AT242">
        <v>3</v>
      </c>
      <c r="AU242" t="str">
        <f>_xlfn.XLOOKUP(Table1[[#This Row],[StockOptionLevel]],Table19[StockOptionLevel],Table19[Deskripsi])</f>
        <v>Senior/Executive</v>
      </c>
      <c r="AV242">
        <v>7</v>
      </c>
      <c r="AW242">
        <v>1</v>
      </c>
      <c r="AX242" t="str">
        <f>_xlfn.XLOOKUP(Table1[[#This Row],[WorkLifeBalance]],Table20[WorkLifeBalance],Table20[Id_WorkLifeBalance])</f>
        <v>WLB002</v>
      </c>
      <c r="AY242">
        <v>3</v>
      </c>
      <c r="AZ242" t="str">
        <f>_xlfn.XLOOKUP(Table1[[#This Row],[WorkLifeBalance]],Table20[WorkLifeBalance],Table20[Deskripsi])</f>
        <v>Good</v>
      </c>
      <c r="BA242">
        <v>3</v>
      </c>
      <c r="BB242">
        <v>2</v>
      </c>
      <c r="BC242">
        <v>1</v>
      </c>
      <c r="BD242">
        <v>2</v>
      </c>
    </row>
    <row r="243" spans="1:56" x14ac:dyDescent="0.25">
      <c r="A243">
        <v>32</v>
      </c>
      <c r="B243" t="str">
        <f>_xlfn.XLOOKUP(Table1[[#This Row],[Attrition]],Table2[Attrition],Table2[Id_Attrition])</f>
        <v>A002</v>
      </c>
      <c r="C243" t="s">
        <v>33</v>
      </c>
      <c r="D243" t="str">
        <f>_xlfn.XLOOKUP(Table1[[#This Row],[BusinessTravel]],Table5[BusinessTravel],Table5[Id_BusinessTravel])</f>
        <v>BS003</v>
      </c>
      <c r="E243" t="s">
        <v>36</v>
      </c>
      <c r="F243">
        <v>976</v>
      </c>
      <c r="G243" t="str">
        <f>_xlfn.XLOOKUP(Table1[[#This Row],[Department]],Table6[Department],Table6[Id_Departement])</f>
        <v>D001</v>
      </c>
      <c r="H243" t="s">
        <v>37</v>
      </c>
      <c r="I243">
        <v>26</v>
      </c>
      <c r="J243" t="str">
        <f>_xlfn.XLOOKUP(Table1[[#This Row],[Education]],Table8[Education],Table8[Id_Education])</f>
        <v>E004</v>
      </c>
      <c r="K243">
        <v>4</v>
      </c>
      <c r="L243" t="str">
        <f>_xlfn.XLOOKUP(Table1[[#This Row],[EducationField]],Table7[EducationField],Table7[Id_EducationField])</f>
        <v>EF004</v>
      </c>
      <c r="M243" t="s">
        <v>43</v>
      </c>
      <c r="N243" t="str">
        <f>_xlfn.XLOOKUP(Table1[[#This Row],[EmployeeNumber]],Table4[EmployeeNumber],Table4[Id_Employee])</f>
        <v>EMP00242</v>
      </c>
      <c r="O243">
        <v>333</v>
      </c>
      <c r="P243" t="str">
        <f>_xlfn.XLOOKUP(Table1[[#This Row],[EnvironmentSatisfaction]],Table9[EnvironmentSatisfaction],Table9[Id_EnviromentSatisfaction])</f>
        <v>ES003</v>
      </c>
      <c r="Q243">
        <v>3</v>
      </c>
      <c r="R243" t="str">
        <f>_xlfn.XLOOKUP(Table1[[#This Row],[EnvironmentSatisfaction]],Table9[EnvironmentSatisfaction],Table9[Deskripsi])</f>
        <v>High</v>
      </c>
      <c r="S243" t="str">
        <f>_xlfn.XLOOKUP(Table1[[#This Row],[Gender]],Table10[Gender],Table10[Id_Gender])</f>
        <v>G002</v>
      </c>
      <c r="T243" t="s">
        <v>46</v>
      </c>
      <c r="U243">
        <v>100</v>
      </c>
      <c r="V243" t="str">
        <f>_xlfn.XLOOKUP(Table1[[#This Row],[JobInvolvement]],Table11[JobInvolvement],Table11[Id_JobInvolvement])</f>
        <v>JI003</v>
      </c>
      <c r="W243">
        <v>3</v>
      </c>
      <c r="X243" t="str">
        <f>_xlfn.XLOOKUP(Table1[[#This Row],[JobLevel]],Table12[JobLevel],Table12[Id_JobLevel])</f>
        <v>JL002</v>
      </c>
      <c r="Y243">
        <v>2</v>
      </c>
      <c r="Z243" t="str">
        <f>_xlfn.XLOOKUP(Table1[[#This Row],[JobRole]],Table13[JobRole],Table13[Id_JobRole])</f>
        <v>JR001</v>
      </c>
      <c r="AA243" t="s">
        <v>47</v>
      </c>
      <c r="AB243" t="str">
        <f>_xlfn.XLOOKUP(Table1[[#This Row],[JobSatisfaction]],Table14[JobSatisfaction],Table14[Id_JobSatisfaction])</f>
        <v>JS004</v>
      </c>
      <c r="AC243">
        <v>4</v>
      </c>
      <c r="AD243" t="str">
        <f>_xlfn.XLOOKUP(Table1[[#This Row],[JobSatisfaction]],Table14[JobSatisfaction],Table14[Deskripsi])</f>
        <v>Very High</v>
      </c>
      <c r="AE243" t="str">
        <f>_xlfn.XLOOKUP(Table1[[#This Row],[MaritalStatus]],Table15[MaritalStatus],Table15[Id_MaritalStatus])</f>
        <v>MS002</v>
      </c>
      <c r="AF243" t="s">
        <v>56</v>
      </c>
      <c r="AG243">
        <v>4465</v>
      </c>
      <c r="AH243">
        <v>12069</v>
      </c>
      <c r="AI243">
        <v>0</v>
      </c>
      <c r="AJ243" t="str">
        <f>_xlfn.XLOOKUP(Table1[[#This Row],[OverTime]],Table16[OverTime],Table16[Id_OverTime])</f>
        <v>OT002</v>
      </c>
      <c r="AK243" t="s">
        <v>33</v>
      </c>
      <c r="AL243">
        <v>18</v>
      </c>
      <c r="AM243" t="str">
        <f>_xlfn.XLOOKUP(Table1[[#This Row],[PerformanceRating]],Table17[PerformanceRating],Table17[Id_PerformanceRating])</f>
        <v>PR003</v>
      </c>
      <c r="AN243">
        <v>3</v>
      </c>
      <c r="AO243" t="str">
        <f>_xlfn.XLOOKUP(Table1[[#This Row],[PerformanceRating]],Table17[PerformanceRating],Table17[Deskripsi])</f>
        <v>Excellent</v>
      </c>
      <c r="AP243" t="str">
        <f>_xlfn.XLOOKUP(Table1[[#This Row],[RelationshipSatisfaction]],Table18[RelationshipSatisfaction],Table18[Id_RelationshipSatisfaction])</f>
        <v>RS001</v>
      </c>
      <c r="AQ243">
        <v>1</v>
      </c>
      <c r="AR243" t="str">
        <f>_xlfn.XLOOKUP(Table1[[#This Row],[RelationshipSatisfaction]],Table18[RelationshipSatisfaction],Table18[Deskripsi])</f>
        <v>Low</v>
      </c>
      <c r="AS243" t="str">
        <f>_xlfn.XLOOKUP(Table1[[#This Row],[StockOptionLevel]],Table19[StockOptionLevel],Table19[Id_StockOptionLevel])</f>
        <v>SOL001</v>
      </c>
      <c r="AT243">
        <v>0</v>
      </c>
      <c r="AU243" t="str">
        <f>_xlfn.XLOOKUP(Table1[[#This Row],[StockOptionLevel]],Table19[StockOptionLevel],Table19[Deskripsi])</f>
        <v>Non-Eligible</v>
      </c>
      <c r="AV243">
        <v>4</v>
      </c>
      <c r="AW243">
        <v>2</v>
      </c>
      <c r="AX243" t="str">
        <f>_xlfn.XLOOKUP(Table1[[#This Row],[WorkLifeBalance]],Table20[WorkLifeBalance],Table20[Id_WorkLifeBalance])</f>
        <v>WLB002</v>
      </c>
      <c r="AY243">
        <v>3</v>
      </c>
      <c r="AZ243" t="str">
        <f>_xlfn.XLOOKUP(Table1[[#This Row],[WorkLifeBalance]],Table20[WorkLifeBalance],Table20[Deskripsi])</f>
        <v>Good</v>
      </c>
      <c r="BA243">
        <v>3</v>
      </c>
      <c r="BB243">
        <v>2</v>
      </c>
      <c r="BC243">
        <v>2</v>
      </c>
      <c r="BD243">
        <v>2</v>
      </c>
    </row>
    <row r="244" spans="1:56" x14ac:dyDescent="0.25">
      <c r="A244">
        <v>41</v>
      </c>
      <c r="B244" t="str">
        <f>_xlfn.XLOOKUP(Table1[[#This Row],[Attrition]],Table2[Attrition],Table2[Id_Attrition])</f>
        <v>A002</v>
      </c>
      <c r="C244" t="s">
        <v>33</v>
      </c>
      <c r="D244" t="str">
        <f>_xlfn.XLOOKUP(Table1[[#This Row],[BusinessTravel]],Table5[BusinessTravel],Table5[Id_BusinessTravel])</f>
        <v>BS001</v>
      </c>
      <c r="E244" t="s">
        <v>34</v>
      </c>
      <c r="F244">
        <v>1411</v>
      </c>
      <c r="G244" t="str">
        <f>_xlfn.XLOOKUP(Table1[[#This Row],[Department]],Table6[Department],Table6[Id_Departement])</f>
        <v>D002</v>
      </c>
      <c r="H244" t="s">
        <v>38</v>
      </c>
      <c r="I244">
        <v>19</v>
      </c>
      <c r="J244" t="str">
        <f>_xlfn.XLOOKUP(Table1[[#This Row],[Education]],Table8[Education],Table8[Id_Education])</f>
        <v>E002</v>
      </c>
      <c r="K244">
        <v>2</v>
      </c>
      <c r="L244" t="str">
        <f>_xlfn.XLOOKUP(Table1[[#This Row],[EducationField]],Table7[EducationField],Table7[Id_EducationField])</f>
        <v>EF001</v>
      </c>
      <c r="M244" t="s">
        <v>40</v>
      </c>
      <c r="N244" t="str">
        <f>_xlfn.XLOOKUP(Table1[[#This Row],[EmployeeNumber]],Table4[EmployeeNumber],Table4[Id_Employee])</f>
        <v>EMP00243</v>
      </c>
      <c r="O244">
        <v>334</v>
      </c>
      <c r="P244" t="str">
        <f>_xlfn.XLOOKUP(Table1[[#This Row],[EnvironmentSatisfaction]],Table9[EnvironmentSatisfaction],Table9[Id_EnviromentSatisfaction])</f>
        <v>ES003</v>
      </c>
      <c r="Q244">
        <v>3</v>
      </c>
      <c r="R244" t="str">
        <f>_xlfn.XLOOKUP(Table1[[#This Row],[EnvironmentSatisfaction]],Table9[EnvironmentSatisfaction],Table9[Deskripsi])</f>
        <v>High</v>
      </c>
      <c r="S244" t="str">
        <f>_xlfn.XLOOKUP(Table1[[#This Row],[Gender]],Table10[Gender],Table10[Id_Gender])</f>
        <v>G002</v>
      </c>
      <c r="T244" t="s">
        <v>46</v>
      </c>
      <c r="U244">
        <v>36</v>
      </c>
      <c r="V244" t="str">
        <f>_xlfn.XLOOKUP(Table1[[#This Row],[JobInvolvement]],Table11[JobInvolvement],Table11[Id_JobInvolvement])</f>
        <v>JI003</v>
      </c>
      <c r="W244">
        <v>3</v>
      </c>
      <c r="X244" t="str">
        <f>_xlfn.XLOOKUP(Table1[[#This Row],[JobLevel]],Table12[JobLevel],Table12[Id_JobLevel])</f>
        <v>JL002</v>
      </c>
      <c r="Y244">
        <v>2</v>
      </c>
      <c r="Z244" t="str">
        <f>_xlfn.XLOOKUP(Table1[[#This Row],[JobRole]],Table13[JobRole],Table13[Id_JobRole])</f>
        <v>JR002</v>
      </c>
      <c r="AA244" t="s">
        <v>48</v>
      </c>
      <c r="AB244" t="str">
        <f>_xlfn.XLOOKUP(Table1[[#This Row],[JobSatisfaction]],Table14[JobSatisfaction],Table14[Id_JobSatisfaction])</f>
        <v>JS001</v>
      </c>
      <c r="AC244">
        <v>1</v>
      </c>
      <c r="AD244" t="str">
        <f>_xlfn.XLOOKUP(Table1[[#This Row],[JobSatisfaction]],Table14[JobSatisfaction],Table14[Deskripsi])</f>
        <v>Low</v>
      </c>
      <c r="AE244" t="str">
        <f>_xlfn.XLOOKUP(Table1[[#This Row],[MaritalStatus]],Table15[MaritalStatus],Table15[Id_MaritalStatus])</f>
        <v>MS003</v>
      </c>
      <c r="AF244" t="s">
        <v>57</v>
      </c>
      <c r="AG244">
        <v>3072</v>
      </c>
      <c r="AH244">
        <v>19877</v>
      </c>
      <c r="AI244">
        <v>2</v>
      </c>
      <c r="AJ244" t="str">
        <f>_xlfn.XLOOKUP(Table1[[#This Row],[OverTime]],Table16[OverTime],Table16[Id_OverTime])</f>
        <v>OT002</v>
      </c>
      <c r="AK244" t="s">
        <v>33</v>
      </c>
      <c r="AL244">
        <v>16</v>
      </c>
      <c r="AM244" t="str">
        <f>_xlfn.XLOOKUP(Table1[[#This Row],[PerformanceRating]],Table17[PerformanceRating],Table17[Id_PerformanceRating])</f>
        <v>PR003</v>
      </c>
      <c r="AN244">
        <v>3</v>
      </c>
      <c r="AO244" t="str">
        <f>_xlfn.XLOOKUP(Table1[[#This Row],[PerformanceRating]],Table17[PerformanceRating],Table17[Deskripsi])</f>
        <v>Excellent</v>
      </c>
      <c r="AP244" t="str">
        <f>_xlfn.XLOOKUP(Table1[[#This Row],[RelationshipSatisfaction]],Table18[RelationshipSatisfaction],Table18[Id_RelationshipSatisfaction])</f>
        <v>RS001</v>
      </c>
      <c r="AQ244">
        <v>1</v>
      </c>
      <c r="AR244" t="str">
        <f>_xlfn.XLOOKUP(Table1[[#This Row],[RelationshipSatisfaction]],Table18[RelationshipSatisfaction],Table18[Deskripsi])</f>
        <v>Low</v>
      </c>
      <c r="AS244" t="str">
        <f>_xlfn.XLOOKUP(Table1[[#This Row],[StockOptionLevel]],Table19[StockOptionLevel],Table19[Id_StockOptionLevel])</f>
        <v>SOL003</v>
      </c>
      <c r="AT244">
        <v>2</v>
      </c>
      <c r="AU244" t="str">
        <f>_xlfn.XLOOKUP(Table1[[#This Row],[StockOptionLevel]],Table19[StockOptionLevel],Table19[Deskripsi])</f>
        <v>Intermediate</v>
      </c>
      <c r="AV244">
        <v>17</v>
      </c>
      <c r="AW244">
        <v>2</v>
      </c>
      <c r="AX244" t="str">
        <f>_xlfn.XLOOKUP(Table1[[#This Row],[WorkLifeBalance]],Table20[WorkLifeBalance],Table20[Id_WorkLifeBalance])</f>
        <v>WLB003</v>
      </c>
      <c r="AY244">
        <v>2</v>
      </c>
      <c r="AZ244" t="str">
        <f>_xlfn.XLOOKUP(Table1[[#This Row],[WorkLifeBalance]],Table20[WorkLifeBalance],Table20[Deskripsi])</f>
        <v>Better</v>
      </c>
      <c r="BA244">
        <v>1</v>
      </c>
      <c r="BB244">
        <v>0</v>
      </c>
      <c r="BC244">
        <v>0</v>
      </c>
      <c r="BD244">
        <v>0</v>
      </c>
    </row>
    <row r="245" spans="1:56" x14ac:dyDescent="0.25">
      <c r="A245">
        <v>40</v>
      </c>
      <c r="B245" t="str">
        <f>_xlfn.XLOOKUP(Table1[[#This Row],[Attrition]],Table2[Attrition],Table2[Id_Attrition])</f>
        <v>A002</v>
      </c>
      <c r="C245" t="s">
        <v>33</v>
      </c>
      <c r="D245" t="str">
        <f>_xlfn.XLOOKUP(Table1[[#This Row],[BusinessTravel]],Table5[BusinessTravel],Table5[Id_BusinessTravel])</f>
        <v>BS001</v>
      </c>
      <c r="E245" t="s">
        <v>34</v>
      </c>
      <c r="F245">
        <v>1300</v>
      </c>
      <c r="G245" t="str">
        <f>_xlfn.XLOOKUP(Table1[[#This Row],[Department]],Table6[Department],Table6[Id_Departement])</f>
        <v>D002</v>
      </c>
      <c r="H245" t="s">
        <v>38</v>
      </c>
      <c r="I245">
        <v>24</v>
      </c>
      <c r="J245" t="str">
        <f>_xlfn.XLOOKUP(Table1[[#This Row],[Education]],Table8[Education],Table8[Id_Education])</f>
        <v>E002</v>
      </c>
      <c r="K245">
        <v>2</v>
      </c>
      <c r="L245" t="str">
        <f>_xlfn.XLOOKUP(Table1[[#This Row],[EducationField]],Table7[EducationField],Table7[Id_EducationField])</f>
        <v>EF005</v>
      </c>
      <c r="M245" t="s">
        <v>44</v>
      </c>
      <c r="N245" t="str">
        <f>_xlfn.XLOOKUP(Table1[[#This Row],[EmployeeNumber]],Table4[EmployeeNumber],Table4[Id_Employee])</f>
        <v>EMP00244</v>
      </c>
      <c r="O245">
        <v>335</v>
      </c>
      <c r="P245" t="str">
        <f>_xlfn.XLOOKUP(Table1[[#This Row],[EnvironmentSatisfaction]],Table9[EnvironmentSatisfaction],Table9[Id_EnviromentSatisfaction])</f>
        <v>ES001</v>
      </c>
      <c r="Q245">
        <v>1</v>
      </c>
      <c r="R245" t="str">
        <f>_xlfn.XLOOKUP(Table1[[#This Row],[EnvironmentSatisfaction]],Table9[EnvironmentSatisfaction],Table9[Deskripsi])</f>
        <v>Low</v>
      </c>
      <c r="S245" t="str">
        <f>_xlfn.XLOOKUP(Table1[[#This Row],[Gender]],Table10[Gender],Table10[Id_Gender])</f>
        <v>G002</v>
      </c>
      <c r="T245" t="s">
        <v>46</v>
      </c>
      <c r="U245">
        <v>62</v>
      </c>
      <c r="V245" t="str">
        <f>_xlfn.XLOOKUP(Table1[[#This Row],[JobInvolvement]],Table11[JobInvolvement],Table11[Id_JobInvolvement])</f>
        <v>JI003</v>
      </c>
      <c r="W245">
        <v>3</v>
      </c>
      <c r="X245" t="str">
        <f>_xlfn.XLOOKUP(Table1[[#This Row],[JobLevel]],Table12[JobLevel],Table12[Id_JobLevel])</f>
        <v>JL002</v>
      </c>
      <c r="Y245">
        <v>2</v>
      </c>
      <c r="Z245" t="str">
        <f>_xlfn.XLOOKUP(Table1[[#This Row],[JobRole]],Table13[JobRole],Table13[Id_JobRole])</f>
        <v>JR002</v>
      </c>
      <c r="AA245" t="s">
        <v>48</v>
      </c>
      <c r="AB245" t="str">
        <f>_xlfn.XLOOKUP(Table1[[#This Row],[JobSatisfaction]],Table14[JobSatisfaction],Table14[Id_JobSatisfaction])</f>
        <v>JS004</v>
      </c>
      <c r="AC245">
        <v>4</v>
      </c>
      <c r="AD245" t="str">
        <f>_xlfn.XLOOKUP(Table1[[#This Row],[JobSatisfaction]],Table14[JobSatisfaction],Table14[Deskripsi])</f>
        <v>Very High</v>
      </c>
      <c r="AE245" t="str">
        <f>_xlfn.XLOOKUP(Table1[[#This Row],[MaritalStatus]],Table15[MaritalStatus],Table15[Id_MaritalStatus])</f>
        <v>MS003</v>
      </c>
      <c r="AF245" t="s">
        <v>57</v>
      </c>
      <c r="AG245">
        <v>3319</v>
      </c>
      <c r="AH245">
        <v>24447</v>
      </c>
      <c r="AI245">
        <v>1</v>
      </c>
      <c r="AJ245" t="str">
        <f>_xlfn.XLOOKUP(Table1[[#This Row],[OverTime]],Table16[OverTime],Table16[Id_OverTime])</f>
        <v>OT002</v>
      </c>
      <c r="AK245" t="s">
        <v>33</v>
      </c>
      <c r="AL245">
        <v>17</v>
      </c>
      <c r="AM245" t="str">
        <f>_xlfn.XLOOKUP(Table1[[#This Row],[PerformanceRating]],Table17[PerformanceRating],Table17[Id_PerformanceRating])</f>
        <v>PR003</v>
      </c>
      <c r="AN245">
        <v>3</v>
      </c>
      <c r="AO245" t="str">
        <f>_xlfn.XLOOKUP(Table1[[#This Row],[PerformanceRating]],Table17[PerformanceRating],Table17[Deskripsi])</f>
        <v>Excellent</v>
      </c>
      <c r="AP245" t="str">
        <f>_xlfn.XLOOKUP(Table1[[#This Row],[RelationshipSatisfaction]],Table18[RelationshipSatisfaction],Table18[Id_RelationshipSatisfaction])</f>
        <v>RS001</v>
      </c>
      <c r="AQ245">
        <v>1</v>
      </c>
      <c r="AR245" t="str">
        <f>_xlfn.XLOOKUP(Table1[[#This Row],[RelationshipSatisfaction]],Table18[RelationshipSatisfaction],Table18[Deskripsi])</f>
        <v>Low</v>
      </c>
      <c r="AS245" t="str">
        <f>_xlfn.XLOOKUP(Table1[[#This Row],[StockOptionLevel]],Table19[StockOptionLevel],Table19[Id_StockOptionLevel])</f>
        <v>SOL003</v>
      </c>
      <c r="AT245">
        <v>2</v>
      </c>
      <c r="AU245" t="str">
        <f>_xlfn.XLOOKUP(Table1[[#This Row],[StockOptionLevel]],Table19[StockOptionLevel],Table19[Deskripsi])</f>
        <v>Intermediate</v>
      </c>
      <c r="AV245">
        <v>9</v>
      </c>
      <c r="AW245">
        <v>3</v>
      </c>
      <c r="AX245" t="str">
        <f>_xlfn.XLOOKUP(Table1[[#This Row],[WorkLifeBalance]],Table20[WorkLifeBalance],Table20[Id_WorkLifeBalance])</f>
        <v>WLB002</v>
      </c>
      <c r="AY245">
        <v>3</v>
      </c>
      <c r="AZ245" t="str">
        <f>_xlfn.XLOOKUP(Table1[[#This Row],[WorkLifeBalance]],Table20[WorkLifeBalance],Table20[Deskripsi])</f>
        <v>Good</v>
      </c>
      <c r="BA245">
        <v>9</v>
      </c>
      <c r="BB245">
        <v>8</v>
      </c>
      <c r="BC245">
        <v>4</v>
      </c>
      <c r="BD245">
        <v>7</v>
      </c>
    </row>
    <row r="246" spans="1:56" x14ac:dyDescent="0.25">
      <c r="A246">
        <v>45</v>
      </c>
      <c r="B246" t="str">
        <f>_xlfn.XLOOKUP(Table1[[#This Row],[Attrition]],Table2[Attrition],Table2[Id_Attrition])</f>
        <v>A002</v>
      </c>
      <c r="C246" t="s">
        <v>33</v>
      </c>
      <c r="D246" t="str">
        <f>_xlfn.XLOOKUP(Table1[[#This Row],[BusinessTravel]],Table5[BusinessTravel],Table5[Id_BusinessTravel])</f>
        <v>BS001</v>
      </c>
      <c r="E246" t="s">
        <v>34</v>
      </c>
      <c r="F246">
        <v>252</v>
      </c>
      <c r="G246" t="str">
        <f>_xlfn.XLOOKUP(Table1[[#This Row],[Department]],Table6[Department],Table6[Id_Departement])</f>
        <v>D002</v>
      </c>
      <c r="H246" t="s">
        <v>38</v>
      </c>
      <c r="I246">
        <v>1</v>
      </c>
      <c r="J246" t="str">
        <f>_xlfn.XLOOKUP(Table1[[#This Row],[Education]],Table8[Education],Table8[Id_Education])</f>
        <v>E003</v>
      </c>
      <c r="K246">
        <v>3</v>
      </c>
      <c r="L246" t="str">
        <f>_xlfn.XLOOKUP(Table1[[#This Row],[EducationField]],Table7[EducationField],Table7[Id_EducationField])</f>
        <v>EF002</v>
      </c>
      <c r="M246" t="s">
        <v>41</v>
      </c>
      <c r="N246" t="str">
        <f>_xlfn.XLOOKUP(Table1[[#This Row],[EmployeeNumber]],Table4[EmployeeNumber],Table4[Id_Employee])</f>
        <v>EMP00245</v>
      </c>
      <c r="O246">
        <v>336</v>
      </c>
      <c r="P246" t="str">
        <f>_xlfn.XLOOKUP(Table1[[#This Row],[EnvironmentSatisfaction]],Table9[EnvironmentSatisfaction],Table9[Id_EnviromentSatisfaction])</f>
        <v>ES003</v>
      </c>
      <c r="Q246">
        <v>3</v>
      </c>
      <c r="R246" t="str">
        <f>_xlfn.XLOOKUP(Table1[[#This Row],[EnvironmentSatisfaction]],Table9[EnvironmentSatisfaction],Table9[Deskripsi])</f>
        <v>High</v>
      </c>
      <c r="S246" t="str">
        <f>_xlfn.XLOOKUP(Table1[[#This Row],[Gender]],Table10[Gender],Table10[Id_Gender])</f>
        <v>G002</v>
      </c>
      <c r="T246" t="s">
        <v>46</v>
      </c>
      <c r="U246">
        <v>70</v>
      </c>
      <c r="V246" t="str">
        <f>_xlfn.XLOOKUP(Table1[[#This Row],[JobInvolvement]],Table11[JobInvolvement],Table11[Id_JobInvolvement])</f>
        <v>JI004</v>
      </c>
      <c r="W246">
        <v>4</v>
      </c>
      <c r="X246" t="str">
        <f>_xlfn.XLOOKUP(Table1[[#This Row],[JobLevel]],Table12[JobLevel],Table12[Id_JobLevel])</f>
        <v>JL005</v>
      </c>
      <c r="Y246">
        <v>5</v>
      </c>
      <c r="Z246" t="str">
        <f>_xlfn.XLOOKUP(Table1[[#This Row],[JobRole]],Table13[JobRole],Table13[Id_JobRole])</f>
        <v>JR006</v>
      </c>
      <c r="AA246" t="s">
        <v>52</v>
      </c>
      <c r="AB246" t="str">
        <f>_xlfn.XLOOKUP(Table1[[#This Row],[JobSatisfaction]],Table14[JobSatisfaction],Table14[Id_JobSatisfaction])</f>
        <v>JS004</v>
      </c>
      <c r="AC246">
        <v>4</v>
      </c>
      <c r="AD246" t="str">
        <f>_xlfn.XLOOKUP(Table1[[#This Row],[JobSatisfaction]],Table14[JobSatisfaction],Table14[Deskripsi])</f>
        <v>Very High</v>
      </c>
      <c r="AE246" t="str">
        <f>_xlfn.XLOOKUP(Table1[[#This Row],[MaritalStatus]],Table15[MaritalStatus],Table15[Id_MaritalStatus])</f>
        <v>MS002</v>
      </c>
      <c r="AF246" t="s">
        <v>56</v>
      </c>
      <c r="AG246">
        <v>19202</v>
      </c>
      <c r="AH246">
        <v>15970</v>
      </c>
      <c r="AI246">
        <v>0</v>
      </c>
      <c r="AJ246" t="str">
        <f>_xlfn.XLOOKUP(Table1[[#This Row],[OverTime]],Table16[OverTime],Table16[Id_OverTime])</f>
        <v>OT002</v>
      </c>
      <c r="AK246" t="s">
        <v>33</v>
      </c>
      <c r="AL246">
        <v>11</v>
      </c>
      <c r="AM246" t="str">
        <f>_xlfn.XLOOKUP(Table1[[#This Row],[PerformanceRating]],Table17[PerformanceRating],Table17[Id_PerformanceRating])</f>
        <v>PR003</v>
      </c>
      <c r="AN246">
        <v>3</v>
      </c>
      <c r="AO246" t="str">
        <f>_xlfn.XLOOKUP(Table1[[#This Row],[PerformanceRating]],Table17[PerformanceRating],Table17[Deskripsi])</f>
        <v>Excellent</v>
      </c>
      <c r="AP246" t="str">
        <f>_xlfn.XLOOKUP(Table1[[#This Row],[RelationshipSatisfaction]],Table18[RelationshipSatisfaction],Table18[Id_RelationshipSatisfaction])</f>
        <v>RS003</v>
      </c>
      <c r="AQ246">
        <v>3</v>
      </c>
      <c r="AR246" t="str">
        <f>_xlfn.XLOOKUP(Table1[[#This Row],[RelationshipSatisfaction]],Table18[RelationshipSatisfaction],Table18[Deskripsi])</f>
        <v>High</v>
      </c>
      <c r="AS246" t="str">
        <f>_xlfn.XLOOKUP(Table1[[#This Row],[StockOptionLevel]],Table19[StockOptionLevel],Table19[Id_StockOptionLevel])</f>
        <v>SOL002</v>
      </c>
      <c r="AT246">
        <v>1</v>
      </c>
      <c r="AU246" t="str">
        <f>_xlfn.XLOOKUP(Table1[[#This Row],[StockOptionLevel]],Table19[StockOptionLevel],Table19[Deskripsi])</f>
        <v>Standard</v>
      </c>
      <c r="AV246">
        <v>25</v>
      </c>
      <c r="AW246">
        <v>2</v>
      </c>
      <c r="AX246" t="str">
        <f>_xlfn.XLOOKUP(Table1[[#This Row],[WorkLifeBalance]],Table20[WorkLifeBalance],Table20[Id_WorkLifeBalance])</f>
        <v>WLB002</v>
      </c>
      <c r="AY246">
        <v>3</v>
      </c>
      <c r="AZ246" t="str">
        <f>_xlfn.XLOOKUP(Table1[[#This Row],[WorkLifeBalance]],Table20[WorkLifeBalance],Table20[Deskripsi])</f>
        <v>Good</v>
      </c>
      <c r="BA246">
        <v>24</v>
      </c>
      <c r="BB246">
        <v>0</v>
      </c>
      <c r="BC246">
        <v>1</v>
      </c>
      <c r="BD246">
        <v>7</v>
      </c>
    </row>
    <row r="247" spans="1:56" x14ac:dyDescent="0.25">
      <c r="A247">
        <v>31</v>
      </c>
      <c r="B247" t="str">
        <f>_xlfn.XLOOKUP(Table1[[#This Row],[Attrition]],Table2[Attrition],Table2[Id_Attrition])</f>
        <v>A002</v>
      </c>
      <c r="C247" t="s">
        <v>33</v>
      </c>
      <c r="D247" t="str">
        <f>_xlfn.XLOOKUP(Table1[[#This Row],[BusinessTravel]],Table5[BusinessTravel],Table5[Id_BusinessTravel])</f>
        <v>BS002</v>
      </c>
      <c r="E247" t="s">
        <v>35</v>
      </c>
      <c r="F247">
        <v>1327</v>
      </c>
      <c r="G247" t="str">
        <f>_xlfn.XLOOKUP(Table1[[#This Row],[Department]],Table6[Department],Table6[Id_Departement])</f>
        <v>D002</v>
      </c>
      <c r="H247" t="s">
        <v>38</v>
      </c>
      <c r="I247">
        <v>3</v>
      </c>
      <c r="J247" t="str">
        <f>_xlfn.XLOOKUP(Table1[[#This Row],[Education]],Table8[Education],Table8[Id_Education])</f>
        <v>E004</v>
      </c>
      <c r="K247">
        <v>4</v>
      </c>
      <c r="L247" t="str">
        <f>_xlfn.XLOOKUP(Table1[[#This Row],[EducationField]],Table7[EducationField],Table7[Id_EducationField])</f>
        <v>EF003</v>
      </c>
      <c r="M247" t="s">
        <v>42</v>
      </c>
      <c r="N247" t="str">
        <f>_xlfn.XLOOKUP(Table1[[#This Row],[EmployeeNumber]],Table4[EmployeeNumber],Table4[Id_Employee])</f>
        <v>EMP00246</v>
      </c>
      <c r="O247">
        <v>337</v>
      </c>
      <c r="P247" t="str">
        <f>_xlfn.XLOOKUP(Table1[[#This Row],[EnvironmentSatisfaction]],Table9[EnvironmentSatisfaction],Table9[Id_EnviromentSatisfaction])</f>
        <v>ES002</v>
      </c>
      <c r="Q247">
        <v>2</v>
      </c>
      <c r="R247" t="str">
        <f>_xlfn.XLOOKUP(Table1[[#This Row],[EnvironmentSatisfaction]],Table9[EnvironmentSatisfaction],Table9[Deskripsi])</f>
        <v>Medium</v>
      </c>
      <c r="S247" t="str">
        <f>_xlfn.XLOOKUP(Table1[[#This Row],[Gender]],Table10[Gender],Table10[Id_Gender])</f>
        <v>G002</v>
      </c>
      <c r="T247" t="s">
        <v>46</v>
      </c>
      <c r="U247">
        <v>73</v>
      </c>
      <c r="V247" t="str">
        <f>_xlfn.XLOOKUP(Table1[[#This Row],[JobInvolvement]],Table11[JobInvolvement],Table11[Id_JobInvolvement])</f>
        <v>JI003</v>
      </c>
      <c r="W247">
        <v>3</v>
      </c>
      <c r="X247" t="str">
        <f>_xlfn.XLOOKUP(Table1[[#This Row],[JobLevel]],Table12[JobLevel],Table12[Id_JobLevel])</f>
        <v>JL003</v>
      </c>
      <c r="Y247">
        <v>3</v>
      </c>
      <c r="Z247" t="str">
        <f>_xlfn.XLOOKUP(Table1[[#This Row],[JobRole]],Table13[JobRole],Table13[Id_JobRole])</f>
        <v>JR008</v>
      </c>
      <c r="AA247" t="s">
        <v>54</v>
      </c>
      <c r="AB247" t="str">
        <f>_xlfn.XLOOKUP(Table1[[#This Row],[JobSatisfaction]],Table14[JobSatisfaction],Table14[Id_JobSatisfaction])</f>
        <v>JS003</v>
      </c>
      <c r="AC247">
        <v>3</v>
      </c>
      <c r="AD247" t="str">
        <f>_xlfn.XLOOKUP(Table1[[#This Row],[JobSatisfaction]],Table14[JobSatisfaction],Table14[Deskripsi])</f>
        <v>High</v>
      </c>
      <c r="AE247" t="str">
        <f>_xlfn.XLOOKUP(Table1[[#This Row],[MaritalStatus]],Table15[MaritalStatus],Table15[Id_MaritalStatus])</f>
        <v>MS003</v>
      </c>
      <c r="AF247" t="s">
        <v>57</v>
      </c>
      <c r="AG247">
        <v>13675</v>
      </c>
      <c r="AH247">
        <v>13523</v>
      </c>
      <c r="AI247">
        <v>9</v>
      </c>
      <c r="AJ247" t="str">
        <f>_xlfn.XLOOKUP(Table1[[#This Row],[OverTime]],Table16[OverTime],Table16[Id_OverTime])</f>
        <v>OT002</v>
      </c>
      <c r="AK247" t="s">
        <v>33</v>
      </c>
      <c r="AL247">
        <v>12</v>
      </c>
      <c r="AM247" t="str">
        <f>_xlfn.XLOOKUP(Table1[[#This Row],[PerformanceRating]],Table17[PerformanceRating],Table17[Id_PerformanceRating])</f>
        <v>PR003</v>
      </c>
      <c r="AN247">
        <v>3</v>
      </c>
      <c r="AO247" t="str">
        <f>_xlfn.XLOOKUP(Table1[[#This Row],[PerformanceRating]],Table17[PerformanceRating],Table17[Deskripsi])</f>
        <v>Excellent</v>
      </c>
      <c r="AP247" t="str">
        <f>_xlfn.XLOOKUP(Table1[[#This Row],[RelationshipSatisfaction]],Table18[RelationshipSatisfaction],Table18[Id_RelationshipSatisfaction])</f>
        <v>RS001</v>
      </c>
      <c r="AQ247">
        <v>1</v>
      </c>
      <c r="AR247" t="str">
        <f>_xlfn.XLOOKUP(Table1[[#This Row],[RelationshipSatisfaction]],Table18[RelationshipSatisfaction],Table18[Deskripsi])</f>
        <v>Low</v>
      </c>
      <c r="AS247" t="str">
        <f>_xlfn.XLOOKUP(Table1[[#This Row],[StockOptionLevel]],Table19[StockOptionLevel],Table19[Id_StockOptionLevel])</f>
        <v>SOL002</v>
      </c>
      <c r="AT247">
        <v>1</v>
      </c>
      <c r="AU247" t="str">
        <f>_xlfn.XLOOKUP(Table1[[#This Row],[StockOptionLevel]],Table19[StockOptionLevel],Table19[Deskripsi])</f>
        <v>Standard</v>
      </c>
      <c r="AV247">
        <v>9</v>
      </c>
      <c r="AW247">
        <v>3</v>
      </c>
      <c r="AX247" t="str">
        <f>_xlfn.XLOOKUP(Table1[[#This Row],[WorkLifeBalance]],Table20[WorkLifeBalance],Table20[Id_WorkLifeBalance])</f>
        <v>WLB002</v>
      </c>
      <c r="AY247">
        <v>3</v>
      </c>
      <c r="AZ247" t="str">
        <f>_xlfn.XLOOKUP(Table1[[#This Row],[WorkLifeBalance]],Table20[WorkLifeBalance],Table20[Deskripsi])</f>
        <v>Good</v>
      </c>
      <c r="BA247">
        <v>2</v>
      </c>
      <c r="BB247">
        <v>2</v>
      </c>
      <c r="BC247">
        <v>2</v>
      </c>
      <c r="BD247">
        <v>2</v>
      </c>
    </row>
    <row r="248" spans="1:56" x14ac:dyDescent="0.25">
      <c r="A248">
        <v>33</v>
      </c>
      <c r="B248" t="str">
        <f>_xlfn.XLOOKUP(Table1[[#This Row],[Attrition]],Table2[Attrition],Table2[Id_Attrition])</f>
        <v>A002</v>
      </c>
      <c r="C248" t="s">
        <v>33</v>
      </c>
      <c r="D248" t="str">
        <f>_xlfn.XLOOKUP(Table1[[#This Row],[BusinessTravel]],Table5[BusinessTravel],Table5[Id_BusinessTravel])</f>
        <v>BS001</v>
      </c>
      <c r="E248" t="s">
        <v>34</v>
      </c>
      <c r="F248">
        <v>832</v>
      </c>
      <c r="G248" t="str">
        <f>_xlfn.XLOOKUP(Table1[[#This Row],[Department]],Table6[Department],Table6[Id_Departement])</f>
        <v>D002</v>
      </c>
      <c r="H248" t="s">
        <v>38</v>
      </c>
      <c r="I248">
        <v>5</v>
      </c>
      <c r="J248" t="str">
        <f>_xlfn.XLOOKUP(Table1[[#This Row],[Education]],Table8[Education],Table8[Id_Education])</f>
        <v>E004</v>
      </c>
      <c r="K248">
        <v>4</v>
      </c>
      <c r="L248" t="str">
        <f>_xlfn.XLOOKUP(Table1[[#This Row],[EducationField]],Table7[EducationField],Table7[Id_EducationField])</f>
        <v>EF001</v>
      </c>
      <c r="M248" t="s">
        <v>40</v>
      </c>
      <c r="N248" t="str">
        <f>_xlfn.XLOOKUP(Table1[[#This Row],[EmployeeNumber]],Table4[EmployeeNumber],Table4[Id_Employee])</f>
        <v>EMP00247</v>
      </c>
      <c r="O248">
        <v>338</v>
      </c>
      <c r="P248" t="str">
        <f>_xlfn.XLOOKUP(Table1[[#This Row],[EnvironmentSatisfaction]],Table9[EnvironmentSatisfaction],Table9[Id_EnviromentSatisfaction])</f>
        <v>ES003</v>
      </c>
      <c r="Q248">
        <v>3</v>
      </c>
      <c r="R248" t="str">
        <f>_xlfn.XLOOKUP(Table1[[#This Row],[EnvironmentSatisfaction]],Table9[EnvironmentSatisfaction],Table9[Deskripsi])</f>
        <v>High</v>
      </c>
      <c r="S248" t="str">
        <f>_xlfn.XLOOKUP(Table1[[#This Row],[Gender]],Table10[Gender],Table10[Id_Gender])</f>
        <v>G001</v>
      </c>
      <c r="T248" t="s">
        <v>45</v>
      </c>
      <c r="U248">
        <v>63</v>
      </c>
      <c r="V248" t="str">
        <f>_xlfn.XLOOKUP(Table1[[#This Row],[JobInvolvement]],Table11[JobInvolvement],Table11[Id_JobInvolvement])</f>
        <v>JI002</v>
      </c>
      <c r="W248">
        <v>2</v>
      </c>
      <c r="X248" t="str">
        <f>_xlfn.XLOOKUP(Table1[[#This Row],[JobLevel]],Table12[JobLevel],Table12[Id_JobLevel])</f>
        <v>JL001</v>
      </c>
      <c r="Y248">
        <v>1</v>
      </c>
      <c r="Z248" t="str">
        <f>_xlfn.XLOOKUP(Table1[[#This Row],[JobRole]],Table13[JobRole],Table13[Id_JobRole])</f>
        <v>JR002</v>
      </c>
      <c r="AA248" t="s">
        <v>48</v>
      </c>
      <c r="AB248" t="str">
        <f>_xlfn.XLOOKUP(Table1[[#This Row],[JobSatisfaction]],Table14[JobSatisfaction],Table14[Id_JobSatisfaction])</f>
        <v>JS004</v>
      </c>
      <c r="AC248">
        <v>4</v>
      </c>
      <c r="AD248" t="str">
        <f>_xlfn.XLOOKUP(Table1[[#This Row],[JobSatisfaction]],Table14[JobSatisfaction],Table14[Deskripsi])</f>
        <v>Very High</v>
      </c>
      <c r="AE248" t="str">
        <f>_xlfn.XLOOKUP(Table1[[#This Row],[MaritalStatus]],Table15[MaritalStatus],Table15[Id_MaritalStatus])</f>
        <v>MS002</v>
      </c>
      <c r="AF248" t="s">
        <v>56</v>
      </c>
      <c r="AG248">
        <v>2911</v>
      </c>
      <c r="AH248">
        <v>14776</v>
      </c>
      <c r="AI248">
        <v>1</v>
      </c>
      <c r="AJ248" t="str">
        <f>_xlfn.XLOOKUP(Table1[[#This Row],[OverTime]],Table16[OverTime],Table16[Id_OverTime])</f>
        <v>OT002</v>
      </c>
      <c r="AK248" t="s">
        <v>33</v>
      </c>
      <c r="AL248">
        <v>13</v>
      </c>
      <c r="AM248" t="str">
        <f>_xlfn.XLOOKUP(Table1[[#This Row],[PerformanceRating]],Table17[PerformanceRating],Table17[Id_PerformanceRating])</f>
        <v>PR003</v>
      </c>
      <c r="AN248">
        <v>3</v>
      </c>
      <c r="AO248" t="str">
        <f>_xlfn.XLOOKUP(Table1[[#This Row],[PerformanceRating]],Table17[PerformanceRating],Table17[Deskripsi])</f>
        <v>Excellent</v>
      </c>
      <c r="AP248" t="str">
        <f>_xlfn.XLOOKUP(Table1[[#This Row],[RelationshipSatisfaction]],Table18[RelationshipSatisfaction],Table18[Id_RelationshipSatisfaction])</f>
        <v>RS003</v>
      </c>
      <c r="AQ248">
        <v>3</v>
      </c>
      <c r="AR248" t="str">
        <f>_xlfn.XLOOKUP(Table1[[#This Row],[RelationshipSatisfaction]],Table18[RelationshipSatisfaction],Table18[Deskripsi])</f>
        <v>High</v>
      </c>
      <c r="AS248" t="str">
        <f>_xlfn.XLOOKUP(Table1[[#This Row],[StockOptionLevel]],Table19[StockOptionLevel],Table19[Id_StockOptionLevel])</f>
        <v>SOL002</v>
      </c>
      <c r="AT248">
        <v>1</v>
      </c>
      <c r="AU248" t="str">
        <f>_xlfn.XLOOKUP(Table1[[#This Row],[StockOptionLevel]],Table19[StockOptionLevel],Table19[Deskripsi])</f>
        <v>Standard</v>
      </c>
      <c r="AV248">
        <v>2</v>
      </c>
      <c r="AW248">
        <v>2</v>
      </c>
      <c r="AX248" t="str">
        <f>_xlfn.XLOOKUP(Table1[[#This Row],[WorkLifeBalance]],Table20[WorkLifeBalance],Table20[Id_WorkLifeBalance])</f>
        <v>WLB003</v>
      </c>
      <c r="AY248">
        <v>2</v>
      </c>
      <c r="AZ248" t="str">
        <f>_xlfn.XLOOKUP(Table1[[#This Row],[WorkLifeBalance]],Table20[WorkLifeBalance],Table20[Deskripsi])</f>
        <v>Better</v>
      </c>
      <c r="BA248">
        <v>2</v>
      </c>
      <c r="BB248">
        <v>2</v>
      </c>
      <c r="BC248">
        <v>0</v>
      </c>
      <c r="BD248">
        <v>2</v>
      </c>
    </row>
    <row r="249" spans="1:56" x14ac:dyDescent="0.25">
      <c r="A249">
        <v>34</v>
      </c>
      <c r="B249" t="str">
        <f>_xlfn.XLOOKUP(Table1[[#This Row],[Attrition]],Table2[Attrition],Table2[Id_Attrition])</f>
        <v>A002</v>
      </c>
      <c r="C249" t="s">
        <v>33</v>
      </c>
      <c r="D249" t="str">
        <f>_xlfn.XLOOKUP(Table1[[#This Row],[BusinessTravel]],Table5[BusinessTravel],Table5[Id_BusinessTravel])</f>
        <v>BS001</v>
      </c>
      <c r="E249" t="s">
        <v>34</v>
      </c>
      <c r="F249">
        <v>470</v>
      </c>
      <c r="G249" t="str">
        <f>_xlfn.XLOOKUP(Table1[[#This Row],[Department]],Table6[Department],Table6[Id_Departement])</f>
        <v>D002</v>
      </c>
      <c r="H249" t="s">
        <v>38</v>
      </c>
      <c r="I249">
        <v>2</v>
      </c>
      <c r="J249" t="str">
        <f>_xlfn.XLOOKUP(Table1[[#This Row],[Education]],Table8[Education],Table8[Id_Education])</f>
        <v>E004</v>
      </c>
      <c r="K249">
        <v>4</v>
      </c>
      <c r="L249" t="str">
        <f>_xlfn.XLOOKUP(Table1[[#This Row],[EducationField]],Table7[EducationField],Table7[Id_EducationField])</f>
        <v>EF001</v>
      </c>
      <c r="M249" t="s">
        <v>40</v>
      </c>
      <c r="N249" t="str">
        <f>_xlfn.XLOOKUP(Table1[[#This Row],[EmployeeNumber]],Table4[EmployeeNumber],Table4[Id_Employee])</f>
        <v>EMP00248</v>
      </c>
      <c r="O249">
        <v>339</v>
      </c>
      <c r="P249" t="str">
        <f>_xlfn.XLOOKUP(Table1[[#This Row],[EnvironmentSatisfaction]],Table9[EnvironmentSatisfaction],Table9[Id_EnviromentSatisfaction])</f>
        <v>ES004</v>
      </c>
      <c r="Q249">
        <v>4</v>
      </c>
      <c r="R249" t="str">
        <f>_xlfn.XLOOKUP(Table1[[#This Row],[EnvironmentSatisfaction]],Table9[EnvironmentSatisfaction],Table9[Deskripsi])</f>
        <v>Very High</v>
      </c>
      <c r="S249" t="str">
        <f>_xlfn.XLOOKUP(Table1[[#This Row],[Gender]],Table10[Gender],Table10[Id_Gender])</f>
        <v>G002</v>
      </c>
      <c r="T249" t="s">
        <v>46</v>
      </c>
      <c r="U249">
        <v>84</v>
      </c>
      <c r="V249" t="str">
        <f>_xlfn.XLOOKUP(Table1[[#This Row],[JobInvolvement]],Table11[JobInvolvement],Table11[Id_JobInvolvement])</f>
        <v>JI002</v>
      </c>
      <c r="W249">
        <v>2</v>
      </c>
      <c r="X249" t="str">
        <f>_xlfn.XLOOKUP(Table1[[#This Row],[JobLevel]],Table12[JobLevel],Table12[Id_JobLevel])</f>
        <v>JL002</v>
      </c>
      <c r="Y249">
        <v>2</v>
      </c>
      <c r="Z249" t="str">
        <f>_xlfn.XLOOKUP(Table1[[#This Row],[JobRole]],Table13[JobRole],Table13[Id_JobRole])</f>
        <v>JR004</v>
      </c>
      <c r="AA249" t="s">
        <v>50</v>
      </c>
      <c r="AB249" t="str">
        <f>_xlfn.XLOOKUP(Table1[[#This Row],[JobSatisfaction]],Table14[JobSatisfaction],Table14[Id_JobSatisfaction])</f>
        <v>JS001</v>
      </c>
      <c r="AC249">
        <v>1</v>
      </c>
      <c r="AD249" t="str">
        <f>_xlfn.XLOOKUP(Table1[[#This Row],[JobSatisfaction]],Table14[JobSatisfaction],Table14[Deskripsi])</f>
        <v>Low</v>
      </c>
      <c r="AE249" t="str">
        <f>_xlfn.XLOOKUP(Table1[[#This Row],[MaritalStatus]],Table15[MaritalStatus],Table15[Id_MaritalStatus])</f>
        <v>MS002</v>
      </c>
      <c r="AF249" t="s">
        <v>56</v>
      </c>
      <c r="AG249">
        <v>5957</v>
      </c>
      <c r="AH249">
        <v>23687</v>
      </c>
      <c r="AI249">
        <v>6</v>
      </c>
      <c r="AJ249" t="str">
        <f>_xlfn.XLOOKUP(Table1[[#This Row],[OverTime]],Table16[OverTime],Table16[Id_OverTime])</f>
        <v>OT002</v>
      </c>
      <c r="AK249" t="s">
        <v>33</v>
      </c>
      <c r="AL249">
        <v>13</v>
      </c>
      <c r="AM249" t="str">
        <f>_xlfn.XLOOKUP(Table1[[#This Row],[PerformanceRating]],Table17[PerformanceRating],Table17[Id_PerformanceRating])</f>
        <v>PR003</v>
      </c>
      <c r="AN249">
        <v>3</v>
      </c>
      <c r="AO249" t="str">
        <f>_xlfn.XLOOKUP(Table1[[#This Row],[PerformanceRating]],Table17[PerformanceRating],Table17[Deskripsi])</f>
        <v>Excellent</v>
      </c>
      <c r="AP249" t="str">
        <f>_xlfn.XLOOKUP(Table1[[#This Row],[RelationshipSatisfaction]],Table18[RelationshipSatisfaction],Table18[Id_RelationshipSatisfaction])</f>
        <v>RS002</v>
      </c>
      <c r="AQ249">
        <v>2</v>
      </c>
      <c r="AR249" t="str">
        <f>_xlfn.XLOOKUP(Table1[[#This Row],[RelationshipSatisfaction]],Table18[RelationshipSatisfaction],Table18[Deskripsi])</f>
        <v>Medium</v>
      </c>
      <c r="AS249" t="str">
        <f>_xlfn.XLOOKUP(Table1[[#This Row],[StockOptionLevel]],Table19[StockOptionLevel],Table19[Id_StockOptionLevel])</f>
        <v>SOL002</v>
      </c>
      <c r="AT249">
        <v>1</v>
      </c>
      <c r="AU249" t="str">
        <f>_xlfn.XLOOKUP(Table1[[#This Row],[StockOptionLevel]],Table19[StockOptionLevel],Table19[Deskripsi])</f>
        <v>Standard</v>
      </c>
      <c r="AV249">
        <v>13</v>
      </c>
      <c r="AW249">
        <v>3</v>
      </c>
      <c r="AX249" t="str">
        <f>_xlfn.XLOOKUP(Table1[[#This Row],[WorkLifeBalance]],Table20[WorkLifeBalance],Table20[Id_WorkLifeBalance])</f>
        <v>WLB002</v>
      </c>
      <c r="AY249">
        <v>3</v>
      </c>
      <c r="AZ249" t="str">
        <f>_xlfn.XLOOKUP(Table1[[#This Row],[WorkLifeBalance]],Table20[WorkLifeBalance],Table20[Deskripsi])</f>
        <v>Good</v>
      </c>
      <c r="BA249">
        <v>11</v>
      </c>
      <c r="BB249">
        <v>9</v>
      </c>
      <c r="BC249">
        <v>5</v>
      </c>
      <c r="BD249">
        <v>9</v>
      </c>
    </row>
    <row r="250" spans="1:56" x14ac:dyDescent="0.25">
      <c r="A250">
        <v>37</v>
      </c>
      <c r="B250" t="str">
        <f>_xlfn.XLOOKUP(Table1[[#This Row],[Attrition]],Table2[Attrition],Table2[Id_Attrition])</f>
        <v>A002</v>
      </c>
      <c r="C250" t="s">
        <v>33</v>
      </c>
      <c r="D250" t="str">
        <f>_xlfn.XLOOKUP(Table1[[#This Row],[BusinessTravel]],Table5[BusinessTravel],Table5[Id_BusinessTravel])</f>
        <v>BS001</v>
      </c>
      <c r="E250" t="s">
        <v>34</v>
      </c>
      <c r="F250">
        <v>1017</v>
      </c>
      <c r="G250" t="str">
        <f>_xlfn.XLOOKUP(Table1[[#This Row],[Department]],Table6[Department],Table6[Id_Departement])</f>
        <v>D002</v>
      </c>
      <c r="H250" t="s">
        <v>38</v>
      </c>
      <c r="I250">
        <v>1</v>
      </c>
      <c r="J250" t="str">
        <f>_xlfn.XLOOKUP(Table1[[#This Row],[Education]],Table8[Education],Table8[Id_Education])</f>
        <v>E002</v>
      </c>
      <c r="K250">
        <v>2</v>
      </c>
      <c r="L250" t="str">
        <f>_xlfn.XLOOKUP(Table1[[#This Row],[EducationField]],Table7[EducationField],Table7[Id_EducationField])</f>
        <v>EF003</v>
      </c>
      <c r="M250" t="s">
        <v>42</v>
      </c>
      <c r="N250" t="str">
        <f>_xlfn.XLOOKUP(Table1[[#This Row],[EmployeeNumber]],Table4[EmployeeNumber],Table4[Id_Employee])</f>
        <v>EMP00249</v>
      </c>
      <c r="O250">
        <v>340</v>
      </c>
      <c r="P250" t="str">
        <f>_xlfn.XLOOKUP(Table1[[#This Row],[EnvironmentSatisfaction]],Table9[EnvironmentSatisfaction],Table9[Id_EnviromentSatisfaction])</f>
        <v>ES003</v>
      </c>
      <c r="Q250">
        <v>3</v>
      </c>
      <c r="R250" t="str">
        <f>_xlfn.XLOOKUP(Table1[[#This Row],[EnvironmentSatisfaction]],Table9[EnvironmentSatisfaction],Table9[Deskripsi])</f>
        <v>High</v>
      </c>
      <c r="S250" t="str">
        <f>_xlfn.XLOOKUP(Table1[[#This Row],[Gender]],Table10[Gender],Table10[Id_Gender])</f>
        <v>G001</v>
      </c>
      <c r="T250" t="s">
        <v>45</v>
      </c>
      <c r="U250">
        <v>83</v>
      </c>
      <c r="V250" t="str">
        <f>_xlfn.XLOOKUP(Table1[[#This Row],[JobInvolvement]],Table11[JobInvolvement],Table11[Id_JobInvolvement])</f>
        <v>JI002</v>
      </c>
      <c r="W250">
        <v>2</v>
      </c>
      <c r="X250" t="str">
        <f>_xlfn.XLOOKUP(Table1[[#This Row],[JobLevel]],Table12[JobLevel],Table12[Id_JobLevel])</f>
        <v>JL001</v>
      </c>
      <c r="Y250">
        <v>1</v>
      </c>
      <c r="Z250" t="str">
        <f>_xlfn.XLOOKUP(Table1[[#This Row],[JobRole]],Table13[JobRole],Table13[Id_JobRole])</f>
        <v>JR002</v>
      </c>
      <c r="AA250" t="s">
        <v>48</v>
      </c>
      <c r="AB250" t="str">
        <f>_xlfn.XLOOKUP(Table1[[#This Row],[JobSatisfaction]],Table14[JobSatisfaction],Table14[Id_JobSatisfaction])</f>
        <v>JS001</v>
      </c>
      <c r="AC250">
        <v>1</v>
      </c>
      <c r="AD250" t="str">
        <f>_xlfn.XLOOKUP(Table1[[#This Row],[JobSatisfaction]],Table14[JobSatisfaction],Table14[Deskripsi])</f>
        <v>Low</v>
      </c>
      <c r="AE250" t="str">
        <f>_xlfn.XLOOKUP(Table1[[#This Row],[MaritalStatus]],Table15[MaritalStatus],Table15[Id_MaritalStatus])</f>
        <v>MS002</v>
      </c>
      <c r="AF250" t="s">
        <v>56</v>
      </c>
      <c r="AG250">
        <v>3920</v>
      </c>
      <c r="AH250">
        <v>18697</v>
      </c>
      <c r="AI250">
        <v>2</v>
      </c>
      <c r="AJ250" t="str">
        <f>_xlfn.XLOOKUP(Table1[[#This Row],[OverTime]],Table16[OverTime],Table16[Id_OverTime])</f>
        <v>OT002</v>
      </c>
      <c r="AK250" t="s">
        <v>33</v>
      </c>
      <c r="AL250">
        <v>14</v>
      </c>
      <c r="AM250" t="str">
        <f>_xlfn.XLOOKUP(Table1[[#This Row],[PerformanceRating]],Table17[PerformanceRating],Table17[Id_PerformanceRating])</f>
        <v>PR003</v>
      </c>
      <c r="AN250">
        <v>3</v>
      </c>
      <c r="AO250" t="str">
        <f>_xlfn.XLOOKUP(Table1[[#This Row],[PerformanceRating]],Table17[PerformanceRating],Table17[Deskripsi])</f>
        <v>Excellent</v>
      </c>
      <c r="AP250" t="str">
        <f>_xlfn.XLOOKUP(Table1[[#This Row],[RelationshipSatisfaction]],Table18[RelationshipSatisfaction],Table18[Id_RelationshipSatisfaction])</f>
        <v>RS001</v>
      </c>
      <c r="AQ250">
        <v>1</v>
      </c>
      <c r="AR250" t="str">
        <f>_xlfn.XLOOKUP(Table1[[#This Row],[RelationshipSatisfaction]],Table18[RelationshipSatisfaction],Table18[Deskripsi])</f>
        <v>Low</v>
      </c>
      <c r="AS250" t="str">
        <f>_xlfn.XLOOKUP(Table1[[#This Row],[StockOptionLevel]],Table19[StockOptionLevel],Table19[Id_StockOptionLevel])</f>
        <v>SOL002</v>
      </c>
      <c r="AT250">
        <v>1</v>
      </c>
      <c r="AU250" t="str">
        <f>_xlfn.XLOOKUP(Table1[[#This Row],[StockOptionLevel]],Table19[StockOptionLevel],Table19[Deskripsi])</f>
        <v>Standard</v>
      </c>
      <c r="AV250">
        <v>17</v>
      </c>
      <c r="AW250">
        <v>2</v>
      </c>
      <c r="AX250" t="str">
        <f>_xlfn.XLOOKUP(Table1[[#This Row],[WorkLifeBalance]],Table20[WorkLifeBalance],Table20[Id_WorkLifeBalance])</f>
        <v>WLB003</v>
      </c>
      <c r="AY250">
        <v>2</v>
      </c>
      <c r="AZ250" t="str">
        <f>_xlfn.XLOOKUP(Table1[[#This Row],[WorkLifeBalance]],Table20[WorkLifeBalance],Table20[Deskripsi])</f>
        <v>Better</v>
      </c>
      <c r="BA250">
        <v>3</v>
      </c>
      <c r="BB250">
        <v>1</v>
      </c>
      <c r="BC250">
        <v>0</v>
      </c>
      <c r="BD250">
        <v>2</v>
      </c>
    </row>
    <row r="251" spans="1:56" x14ac:dyDescent="0.25">
      <c r="A251">
        <v>45</v>
      </c>
      <c r="B251" t="str">
        <f>_xlfn.XLOOKUP(Table1[[#This Row],[Attrition]],Table2[Attrition],Table2[Id_Attrition])</f>
        <v>A002</v>
      </c>
      <c r="C251" t="s">
        <v>33</v>
      </c>
      <c r="D251" t="str">
        <f>_xlfn.XLOOKUP(Table1[[#This Row],[BusinessTravel]],Table5[BusinessTravel],Table5[Id_BusinessTravel])</f>
        <v>BS002</v>
      </c>
      <c r="E251" t="s">
        <v>35</v>
      </c>
      <c r="F251">
        <v>1199</v>
      </c>
      <c r="G251" t="str">
        <f>_xlfn.XLOOKUP(Table1[[#This Row],[Department]],Table6[Department],Table6[Id_Departement])</f>
        <v>D002</v>
      </c>
      <c r="H251" t="s">
        <v>38</v>
      </c>
      <c r="I251">
        <v>7</v>
      </c>
      <c r="J251" t="str">
        <f>_xlfn.XLOOKUP(Table1[[#This Row],[Education]],Table8[Education],Table8[Id_Education])</f>
        <v>E004</v>
      </c>
      <c r="K251">
        <v>4</v>
      </c>
      <c r="L251" t="str">
        <f>_xlfn.XLOOKUP(Table1[[#This Row],[EducationField]],Table7[EducationField],Table7[Id_EducationField])</f>
        <v>EF001</v>
      </c>
      <c r="M251" t="s">
        <v>40</v>
      </c>
      <c r="N251" t="str">
        <f>_xlfn.XLOOKUP(Table1[[#This Row],[EmployeeNumber]],Table4[EmployeeNumber],Table4[Id_Employee])</f>
        <v>EMP00250</v>
      </c>
      <c r="O251">
        <v>341</v>
      </c>
      <c r="P251" t="str">
        <f>_xlfn.XLOOKUP(Table1[[#This Row],[EnvironmentSatisfaction]],Table9[EnvironmentSatisfaction],Table9[Id_EnviromentSatisfaction])</f>
        <v>ES001</v>
      </c>
      <c r="Q251">
        <v>1</v>
      </c>
      <c r="R251" t="str">
        <f>_xlfn.XLOOKUP(Table1[[#This Row],[EnvironmentSatisfaction]],Table9[EnvironmentSatisfaction],Table9[Deskripsi])</f>
        <v>Low</v>
      </c>
      <c r="S251" t="str">
        <f>_xlfn.XLOOKUP(Table1[[#This Row],[Gender]],Table10[Gender],Table10[Id_Gender])</f>
        <v>G002</v>
      </c>
      <c r="T251" t="s">
        <v>46</v>
      </c>
      <c r="U251">
        <v>77</v>
      </c>
      <c r="V251" t="str">
        <f>_xlfn.XLOOKUP(Table1[[#This Row],[JobInvolvement]],Table11[JobInvolvement],Table11[Id_JobInvolvement])</f>
        <v>JI004</v>
      </c>
      <c r="W251">
        <v>4</v>
      </c>
      <c r="X251" t="str">
        <f>_xlfn.XLOOKUP(Table1[[#This Row],[JobLevel]],Table12[JobLevel],Table12[Id_JobLevel])</f>
        <v>JL002</v>
      </c>
      <c r="Y251">
        <v>2</v>
      </c>
      <c r="Z251" t="str">
        <f>_xlfn.XLOOKUP(Table1[[#This Row],[JobRole]],Table13[JobRole],Table13[Id_JobRole])</f>
        <v>JR004</v>
      </c>
      <c r="AA251" t="s">
        <v>50</v>
      </c>
      <c r="AB251" t="str">
        <f>_xlfn.XLOOKUP(Table1[[#This Row],[JobSatisfaction]],Table14[JobSatisfaction],Table14[Id_JobSatisfaction])</f>
        <v>JS003</v>
      </c>
      <c r="AC251">
        <v>3</v>
      </c>
      <c r="AD251" t="str">
        <f>_xlfn.XLOOKUP(Table1[[#This Row],[JobSatisfaction]],Table14[JobSatisfaction],Table14[Deskripsi])</f>
        <v>High</v>
      </c>
      <c r="AE251" t="str">
        <f>_xlfn.XLOOKUP(Table1[[#This Row],[MaritalStatus]],Table15[MaritalStatus],Table15[Id_MaritalStatus])</f>
        <v>MS002</v>
      </c>
      <c r="AF251" t="s">
        <v>56</v>
      </c>
      <c r="AG251">
        <v>6434</v>
      </c>
      <c r="AH251">
        <v>5118</v>
      </c>
      <c r="AI251">
        <v>4</v>
      </c>
      <c r="AJ251" t="str">
        <f>_xlfn.XLOOKUP(Table1[[#This Row],[OverTime]],Table16[OverTime],Table16[Id_OverTime])</f>
        <v>OT002</v>
      </c>
      <c r="AK251" t="s">
        <v>33</v>
      </c>
      <c r="AL251">
        <v>17</v>
      </c>
      <c r="AM251" t="str">
        <f>_xlfn.XLOOKUP(Table1[[#This Row],[PerformanceRating]],Table17[PerformanceRating],Table17[Id_PerformanceRating])</f>
        <v>PR003</v>
      </c>
      <c r="AN251">
        <v>3</v>
      </c>
      <c r="AO251" t="str">
        <f>_xlfn.XLOOKUP(Table1[[#This Row],[PerformanceRating]],Table17[PerformanceRating],Table17[Deskripsi])</f>
        <v>Excellent</v>
      </c>
      <c r="AP251" t="str">
        <f>_xlfn.XLOOKUP(Table1[[#This Row],[RelationshipSatisfaction]],Table18[RelationshipSatisfaction],Table18[Id_RelationshipSatisfaction])</f>
        <v>RS004</v>
      </c>
      <c r="AQ251">
        <v>4</v>
      </c>
      <c r="AR251" t="str">
        <f>_xlfn.XLOOKUP(Table1[[#This Row],[RelationshipSatisfaction]],Table18[RelationshipSatisfaction],Table18[Deskripsi])</f>
        <v>Very High</v>
      </c>
      <c r="AS251" t="str">
        <f>_xlfn.XLOOKUP(Table1[[#This Row],[StockOptionLevel]],Table19[StockOptionLevel],Table19[Id_StockOptionLevel])</f>
        <v>SOL002</v>
      </c>
      <c r="AT251">
        <v>1</v>
      </c>
      <c r="AU251" t="str">
        <f>_xlfn.XLOOKUP(Table1[[#This Row],[StockOptionLevel]],Table19[StockOptionLevel],Table19[Deskripsi])</f>
        <v>Standard</v>
      </c>
      <c r="AV251">
        <v>9</v>
      </c>
      <c r="AW251">
        <v>1</v>
      </c>
      <c r="AX251" t="str">
        <f>_xlfn.XLOOKUP(Table1[[#This Row],[WorkLifeBalance]],Table20[WorkLifeBalance],Table20[Id_WorkLifeBalance])</f>
        <v>WLB002</v>
      </c>
      <c r="AY251">
        <v>3</v>
      </c>
      <c r="AZ251" t="str">
        <f>_xlfn.XLOOKUP(Table1[[#This Row],[WorkLifeBalance]],Table20[WorkLifeBalance],Table20[Deskripsi])</f>
        <v>Good</v>
      </c>
      <c r="BA251">
        <v>3</v>
      </c>
      <c r="BB251">
        <v>2</v>
      </c>
      <c r="BC251">
        <v>0</v>
      </c>
      <c r="BD251">
        <v>2</v>
      </c>
    </row>
    <row r="252" spans="1:56" x14ac:dyDescent="0.25">
      <c r="A252">
        <v>37</v>
      </c>
      <c r="B252" t="str">
        <f>_xlfn.XLOOKUP(Table1[[#This Row],[Attrition]],Table2[Attrition],Table2[Id_Attrition])</f>
        <v>A001</v>
      </c>
      <c r="C252" t="s">
        <v>32</v>
      </c>
      <c r="D252" t="str">
        <f>_xlfn.XLOOKUP(Table1[[#This Row],[BusinessTravel]],Table5[BusinessTravel],Table5[Id_BusinessTravel])</f>
        <v>BS002</v>
      </c>
      <c r="E252" t="s">
        <v>35</v>
      </c>
      <c r="F252">
        <v>504</v>
      </c>
      <c r="G252" t="str">
        <f>_xlfn.XLOOKUP(Table1[[#This Row],[Department]],Table6[Department],Table6[Id_Departement])</f>
        <v>D002</v>
      </c>
      <c r="H252" t="s">
        <v>38</v>
      </c>
      <c r="I252">
        <v>10</v>
      </c>
      <c r="J252" t="str">
        <f>_xlfn.XLOOKUP(Table1[[#This Row],[Education]],Table8[Education],Table8[Id_Education])</f>
        <v>E003</v>
      </c>
      <c r="K252">
        <v>3</v>
      </c>
      <c r="L252" t="str">
        <f>_xlfn.XLOOKUP(Table1[[#This Row],[EducationField]],Table7[EducationField],Table7[Id_EducationField])</f>
        <v>EF003</v>
      </c>
      <c r="M252" t="s">
        <v>42</v>
      </c>
      <c r="N252" t="str">
        <f>_xlfn.XLOOKUP(Table1[[#This Row],[EmployeeNumber]],Table4[EmployeeNumber],Table4[Id_Employee])</f>
        <v>EMP00251</v>
      </c>
      <c r="O252">
        <v>342</v>
      </c>
      <c r="P252" t="str">
        <f>_xlfn.XLOOKUP(Table1[[#This Row],[EnvironmentSatisfaction]],Table9[EnvironmentSatisfaction],Table9[Id_EnviromentSatisfaction])</f>
        <v>ES001</v>
      </c>
      <c r="Q252">
        <v>1</v>
      </c>
      <c r="R252" t="str">
        <f>_xlfn.XLOOKUP(Table1[[#This Row],[EnvironmentSatisfaction]],Table9[EnvironmentSatisfaction],Table9[Deskripsi])</f>
        <v>Low</v>
      </c>
      <c r="S252" t="str">
        <f>_xlfn.XLOOKUP(Table1[[#This Row],[Gender]],Table10[Gender],Table10[Id_Gender])</f>
        <v>G002</v>
      </c>
      <c r="T252" t="s">
        <v>46</v>
      </c>
      <c r="U252">
        <v>61</v>
      </c>
      <c r="V252" t="str">
        <f>_xlfn.XLOOKUP(Table1[[#This Row],[JobInvolvement]],Table11[JobInvolvement],Table11[Id_JobInvolvement])</f>
        <v>JI003</v>
      </c>
      <c r="W252">
        <v>3</v>
      </c>
      <c r="X252" t="str">
        <f>_xlfn.XLOOKUP(Table1[[#This Row],[JobLevel]],Table12[JobLevel],Table12[Id_JobLevel])</f>
        <v>JL003</v>
      </c>
      <c r="Y252">
        <v>3</v>
      </c>
      <c r="Z252" t="str">
        <f>_xlfn.XLOOKUP(Table1[[#This Row],[JobRole]],Table13[JobRole],Table13[Id_JobRole])</f>
        <v>JR004</v>
      </c>
      <c r="AA252" t="s">
        <v>50</v>
      </c>
      <c r="AB252" t="str">
        <f>_xlfn.XLOOKUP(Table1[[#This Row],[JobSatisfaction]],Table14[JobSatisfaction],Table14[Id_JobSatisfaction])</f>
        <v>JS003</v>
      </c>
      <c r="AC252">
        <v>3</v>
      </c>
      <c r="AD252" t="str">
        <f>_xlfn.XLOOKUP(Table1[[#This Row],[JobSatisfaction]],Table14[JobSatisfaction],Table14[Deskripsi])</f>
        <v>High</v>
      </c>
      <c r="AE252" t="str">
        <f>_xlfn.XLOOKUP(Table1[[#This Row],[MaritalStatus]],Table15[MaritalStatus],Table15[Id_MaritalStatus])</f>
        <v>MS003</v>
      </c>
      <c r="AF252" t="s">
        <v>57</v>
      </c>
      <c r="AG252">
        <v>10048</v>
      </c>
      <c r="AH252">
        <v>22573</v>
      </c>
      <c r="AI252">
        <v>6</v>
      </c>
      <c r="AJ252" t="str">
        <f>_xlfn.XLOOKUP(Table1[[#This Row],[OverTime]],Table16[OverTime],Table16[Id_OverTime])</f>
        <v>OT002</v>
      </c>
      <c r="AK252" t="s">
        <v>33</v>
      </c>
      <c r="AL252">
        <v>11</v>
      </c>
      <c r="AM252" t="str">
        <f>_xlfn.XLOOKUP(Table1[[#This Row],[PerformanceRating]],Table17[PerformanceRating],Table17[Id_PerformanceRating])</f>
        <v>PR003</v>
      </c>
      <c r="AN252">
        <v>3</v>
      </c>
      <c r="AO252" t="str">
        <f>_xlfn.XLOOKUP(Table1[[#This Row],[PerformanceRating]],Table17[PerformanceRating],Table17[Deskripsi])</f>
        <v>Excellent</v>
      </c>
      <c r="AP252" t="str">
        <f>_xlfn.XLOOKUP(Table1[[#This Row],[RelationshipSatisfaction]],Table18[RelationshipSatisfaction],Table18[Id_RelationshipSatisfaction])</f>
        <v>RS002</v>
      </c>
      <c r="AQ252">
        <v>2</v>
      </c>
      <c r="AR252" t="str">
        <f>_xlfn.XLOOKUP(Table1[[#This Row],[RelationshipSatisfaction]],Table18[RelationshipSatisfaction],Table18[Deskripsi])</f>
        <v>Medium</v>
      </c>
      <c r="AS252" t="str">
        <f>_xlfn.XLOOKUP(Table1[[#This Row],[StockOptionLevel]],Table19[StockOptionLevel],Table19[Id_StockOptionLevel])</f>
        <v>SOL003</v>
      </c>
      <c r="AT252">
        <v>2</v>
      </c>
      <c r="AU252" t="str">
        <f>_xlfn.XLOOKUP(Table1[[#This Row],[StockOptionLevel]],Table19[StockOptionLevel],Table19[Deskripsi])</f>
        <v>Intermediate</v>
      </c>
      <c r="AV252">
        <v>17</v>
      </c>
      <c r="AW252">
        <v>5</v>
      </c>
      <c r="AX252" t="str">
        <f>_xlfn.XLOOKUP(Table1[[#This Row],[WorkLifeBalance]],Table20[WorkLifeBalance],Table20[Id_WorkLifeBalance])</f>
        <v>WLB002</v>
      </c>
      <c r="AY252">
        <v>3</v>
      </c>
      <c r="AZ252" t="str">
        <f>_xlfn.XLOOKUP(Table1[[#This Row],[WorkLifeBalance]],Table20[WorkLifeBalance],Table20[Deskripsi])</f>
        <v>Good</v>
      </c>
      <c r="BA252">
        <v>1</v>
      </c>
      <c r="BB252">
        <v>0</v>
      </c>
      <c r="BC252">
        <v>0</v>
      </c>
      <c r="BD252">
        <v>0</v>
      </c>
    </row>
    <row r="253" spans="1:56" x14ac:dyDescent="0.25">
      <c r="A253">
        <v>39</v>
      </c>
      <c r="B253" t="str">
        <f>_xlfn.XLOOKUP(Table1[[#This Row],[Attrition]],Table2[Attrition],Table2[Id_Attrition])</f>
        <v>A002</v>
      </c>
      <c r="C253" t="s">
        <v>33</v>
      </c>
      <c r="D253" t="str">
        <f>_xlfn.XLOOKUP(Table1[[#This Row],[BusinessTravel]],Table5[BusinessTravel],Table5[Id_BusinessTravel])</f>
        <v>BS002</v>
      </c>
      <c r="E253" t="s">
        <v>35</v>
      </c>
      <c r="F253">
        <v>505</v>
      </c>
      <c r="G253" t="str">
        <f>_xlfn.XLOOKUP(Table1[[#This Row],[Department]],Table6[Department],Table6[Id_Departement])</f>
        <v>D002</v>
      </c>
      <c r="H253" t="s">
        <v>38</v>
      </c>
      <c r="I253">
        <v>2</v>
      </c>
      <c r="J253" t="str">
        <f>_xlfn.XLOOKUP(Table1[[#This Row],[Education]],Table8[Education],Table8[Id_Education])</f>
        <v>E004</v>
      </c>
      <c r="K253">
        <v>4</v>
      </c>
      <c r="L253" t="str">
        <f>_xlfn.XLOOKUP(Table1[[#This Row],[EducationField]],Table7[EducationField],Table7[Id_EducationField])</f>
        <v>EF005</v>
      </c>
      <c r="M253" t="s">
        <v>44</v>
      </c>
      <c r="N253" t="str">
        <f>_xlfn.XLOOKUP(Table1[[#This Row],[EmployeeNumber]],Table4[EmployeeNumber],Table4[Id_Employee])</f>
        <v>EMP00252</v>
      </c>
      <c r="O253">
        <v>343</v>
      </c>
      <c r="P253" t="str">
        <f>_xlfn.XLOOKUP(Table1[[#This Row],[EnvironmentSatisfaction]],Table9[EnvironmentSatisfaction],Table9[Id_EnviromentSatisfaction])</f>
        <v>ES003</v>
      </c>
      <c r="Q253">
        <v>3</v>
      </c>
      <c r="R253" t="str">
        <f>_xlfn.XLOOKUP(Table1[[#This Row],[EnvironmentSatisfaction]],Table9[EnvironmentSatisfaction],Table9[Deskripsi])</f>
        <v>High</v>
      </c>
      <c r="S253" t="str">
        <f>_xlfn.XLOOKUP(Table1[[#This Row],[Gender]],Table10[Gender],Table10[Id_Gender])</f>
        <v>G001</v>
      </c>
      <c r="T253" t="s">
        <v>45</v>
      </c>
      <c r="U253">
        <v>64</v>
      </c>
      <c r="V253" t="str">
        <f>_xlfn.XLOOKUP(Table1[[#This Row],[JobInvolvement]],Table11[JobInvolvement],Table11[Id_JobInvolvement])</f>
        <v>JI003</v>
      </c>
      <c r="W253">
        <v>3</v>
      </c>
      <c r="X253" t="str">
        <f>_xlfn.XLOOKUP(Table1[[#This Row],[JobLevel]],Table12[JobLevel],Table12[Id_JobLevel])</f>
        <v>JL003</v>
      </c>
      <c r="Y253">
        <v>3</v>
      </c>
      <c r="Z253" t="str">
        <f>_xlfn.XLOOKUP(Table1[[#This Row],[JobRole]],Table13[JobRole],Table13[Id_JobRole])</f>
        <v>JR005</v>
      </c>
      <c r="AA253" t="s">
        <v>51</v>
      </c>
      <c r="AB253" t="str">
        <f>_xlfn.XLOOKUP(Table1[[#This Row],[JobSatisfaction]],Table14[JobSatisfaction],Table14[Id_JobSatisfaction])</f>
        <v>JS003</v>
      </c>
      <c r="AC253">
        <v>3</v>
      </c>
      <c r="AD253" t="str">
        <f>_xlfn.XLOOKUP(Table1[[#This Row],[JobSatisfaction]],Table14[JobSatisfaction],Table14[Deskripsi])</f>
        <v>High</v>
      </c>
      <c r="AE253" t="str">
        <f>_xlfn.XLOOKUP(Table1[[#This Row],[MaritalStatus]],Table15[MaritalStatus],Table15[Id_MaritalStatus])</f>
        <v>MS001</v>
      </c>
      <c r="AF253" t="s">
        <v>55</v>
      </c>
      <c r="AG253">
        <v>10938</v>
      </c>
      <c r="AH253">
        <v>6420</v>
      </c>
      <c r="AI253">
        <v>0</v>
      </c>
      <c r="AJ253" t="str">
        <f>_xlfn.XLOOKUP(Table1[[#This Row],[OverTime]],Table16[OverTime],Table16[Id_OverTime])</f>
        <v>OT002</v>
      </c>
      <c r="AK253" t="s">
        <v>33</v>
      </c>
      <c r="AL253">
        <v>25</v>
      </c>
      <c r="AM253" t="str">
        <f>_xlfn.XLOOKUP(Table1[[#This Row],[PerformanceRating]],Table17[PerformanceRating],Table17[Id_PerformanceRating])</f>
        <v>PR004</v>
      </c>
      <c r="AN253">
        <v>4</v>
      </c>
      <c r="AO253" t="str">
        <f>_xlfn.XLOOKUP(Table1[[#This Row],[PerformanceRating]],Table17[PerformanceRating],Table17[Deskripsi])</f>
        <v>Outstanding</v>
      </c>
      <c r="AP253" t="str">
        <f>_xlfn.XLOOKUP(Table1[[#This Row],[RelationshipSatisfaction]],Table18[RelationshipSatisfaction],Table18[Id_RelationshipSatisfaction])</f>
        <v>RS004</v>
      </c>
      <c r="AQ253">
        <v>4</v>
      </c>
      <c r="AR253" t="str">
        <f>_xlfn.XLOOKUP(Table1[[#This Row],[RelationshipSatisfaction]],Table18[RelationshipSatisfaction],Table18[Deskripsi])</f>
        <v>Very High</v>
      </c>
      <c r="AS253" t="str">
        <f>_xlfn.XLOOKUP(Table1[[#This Row],[StockOptionLevel]],Table19[StockOptionLevel],Table19[Id_StockOptionLevel])</f>
        <v>SOL001</v>
      </c>
      <c r="AT253">
        <v>0</v>
      </c>
      <c r="AU253" t="str">
        <f>_xlfn.XLOOKUP(Table1[[#This Row],[StockOptionLevel]],Table19[StockOptionLevel],Table19[Deskripsi])</f>
        <v>Non-Eligible</v>
      </c>
      <c r="AV253">
        <v>20</v>
      </c>
      <c r="AW253">
        <v>1</v>
      </c>
      <c r="AX253" t="str">
        <f>_xlfn.XLOOKUP(Table1[[#This Row],[WorkLifeBalance]],Table20[WorkLifeBalance],Table20[Id_WorkLifeBalance])</f>
        <v>WLB002</v>
      </c>
      <c r="AY253">
        <v>3</v>
      </c>
      <c r="AZ253" t="str">
        <f>_xlfn.XLOOKUP(Table1[[#This Row],[WorkLifeBalance]],Table20[WorkLifeBalance],Table20[Deskripsi])</f>
        <v>Good</v>
      </c>
      <c r="BA253">
        <v>19</v>
      </c>
      <c r="BB253">
        <v>6</v>
      </c>
      <c r="BC253">
        <v>11</v>
      </c>
      <c r="BD253">
        <v>8</v>
      </c>
    </row>
    <row r="254" spans="1:56" x14ac:dyDescent="0.25">
      <c r="A254">
        <v>29</v>
      </c>
      <c r="B254" t="str">
        <f>_xlfn.XLOOKUP(Table1[[#This Row],[Attrition]],Table2[Attrition],Table2[Id_Attrition])</f>
        <v>A002</v>
      </c>
      <c r="C254" t="s">
        <v>33</v>
      </c>
      <c r="D254" t="str">
        <f>_xlfn.XLOOKUP(Table1[[#This Row],[BusinessTravel]],Table5[BusinessTravel],Table5[Id_BusinessTravel])</f>
        <v>BS001</v>
      </c>
      <c r="E254" t="s">
        <v>34</v>
      </c>
      <c r="F254">
        <v>665</v>
      </c>
      <c r="G254" t="str">
        <f>_xlfn.XLOOKUP(Table1[[#This Row],[Department]],Table6[Department],Table6[Id_Departement])</f>
        <v>D002</v>
      </c>
      <c r="H254" t="s">
        <v>38</v>
      </c>
      <c r="I254">
        <v>15</v>
      </c>
      <c r="J254" t="str">
        <f>_xlfn.XLOOKUP(Table1[[#This Row],[Education]],Table8[Education],Table8[Id_Education])</f>
        <v>E003</v>
      </c>
      <c r="K254">
        <v>3</v>
      </c>
      <c r="L254" t="str">
        <f>_xlfn.XLOOKUP(Table1[[#This Row],[EducationField]],Table7[EducationField],Table7[Id_EducationField])</f>
        <v>EF001</v>
      </c>
      <c r="M254" t="s">
        <v>40</v>
      </c>
      <c r="N254" t="str">
        <f>_xlfn.XLOOKUP(Table1[[#This Row],[EmployeeNumber]],Table4[EmployeeNumber],Table4[Id_Employee])</f>
        <v>EMP00253</v>
      </c>
      <c r="O254">
        <v>346</v>
      </c>
      <c r="P254" t="str">
        <f>_xlfn.XLOOKUP(Table1[[#This Row],[EnvironmentSatisfaction]],Table9[EnvironmentSatisfaction],Table9[Id_EnviromentSatisfaction])</f>
        <v>ES003</v>
      </c>
      <c r="Q254">
        <v>3</v>
      </c>
      <c r="R254" t="str">
        <f>_xlfn.XLOOKUP(Table1[[#This Row],[EnvironmentSatisfaction]],Table9[EnvironmentSatisfaction],Table9[Deskripsi])</f>
        <v>High</v>
      </c>
      <c r="S254" t="str">
        <f>_xlfn.XLOOKUP(Table1[[#This Row],[Gender]],Table10[Gender],Table10[Id_Gender])</f>
        <v>G002</v>
      </c>
      <c r="T254" t="s">
        <v>46</v>
      </c>
      <c r="U254">
        <v>60</v>
      </c>
      <c r="V254" t="str">
        <f>_xlfn.XLOOKUP(Table1[[#This Row],[JobInvolvement]],Table11[JobInvolvement],Table11[Id_JobInvolvement])</f>
        <v>JI003</v>
      </c>
      <c r="W254">
        <v>3</v>
      </c>
      <c r="X254" t="str">
        <f>_xlfn.XLOOKUP(Table1[[#This Row],[JobLevel]],Table12[JobLevel],Table12[Id_JobLevel])</f>
        <v>JL001</v>
      </c>
      <c r="Y254">
        <v>1</v>
      </c>
      <c r="Z254" t="str">
        <f>_xlfn.XLOOKUP(Table1[[#This Row],[JobRole]],Table13[JobRole],Table13[Id_JobRole])</f>
        <v>JR002</v>
      </c>
      <c r="AA254" t="s">
        <v>48</v>
      </c>
      <c r="AB254" t="str">
        <f>_xlfn.XLOOKUP(Table1[[#This Row],[JobSatisfaction]],Table14[JobSatisfaction],Table14[Id_JobSatisfaction])</f>
        <v>JS004</v>
      </c>
      <c r="AC254">
        <v>4</v>
      </c>
      <c r="AD254" t="str">
        <f>_xlfn.XLOOKUP(Table1[[#This Row],[JobSatisfaction]],Table14[JobSatisfaction],Table14[Deskripsi])</f>
        <v>Very High</v>
      </c>
      <c r="AE254" t="str">
        <f>_xlfn.XLOOKUP(Table1[[#This Row],[MaritalStatus]],Table15[MaritalStatus],Table15[Id_MaritalStatus])</f>
        <v>MS001</v>
      </c>
      <c r="AF254" t="s">
        <v>55</v>
      </c>
      <c r="AG254">
        <v>2340</v>
      </c>
      <c r="AH254">
        <v>22673</v>
      </c>
      <c r="AI254">
        <v>1</v>
      </c>
      <c r="AJ254" t="str">
        <f>_xlfn.XLOOKUP(Table1[[#This Row],[OverTime]],Table16[OverTime],Table16[Id_OverTime])</f>
        <v>OT002</v>
      </c>
      <c r="AK254" t="s">
        <v>33</v>
      </c>
      <c r="AL254">
        <v>19</v>
      </c>
      <c r="AM254" t="str">
        <f>_xlfn.XLOOKUP(Table1[[#This Row],[PerformanceRating]],Table17[PerformanceRating],Table17[Id_PerformanceRating])</f>
        <v>PR003</v>
      </c>
      <c r="AN254">
        <v>3</v>
      </c>
      <c r="AO254" t="str">
        <f>_xlfn.XLOOKUP(Table1[[#This Row],[PerformanceRating]],Table17[PerformanceRating],Table17[Deskripsi])</f>
        <v>Excellent</v>
      </c>
      <c r="AP254" t="str">
        <f>_xlfn.XLOOKUP(Table1[[#This Row],[RelationshipSatisfaction]],Table18[RelationshipSatisfaction],Table18[Id_RelationshipSatisfaction])</f>
        <v>RS001</v>
      </c>
      <c r="AQ254">
        <v>1</v>
      </c>
      <c r="AR254" t="str">
        <f>_xlfn.XLOOKUP(Table1[[#This Row],[RelationshipSatisfaction]],Table18[RelationshipSatisfaction],Table18[Deskripsi])</f>
        <v>Low</v>
      </c>
      <c r="AS254" t="str">
        <f>_xlfn.XLOOKUP(Table1[[#This Row],[StockOptionLevel]],Table19[StockOptionLevel],Table19[Id_StockOptionLevel])</f>
        <v>SOL001</v>
      </c>
      <c r="AT254">
        <v>0</v>
      </c>
      <c r="AU254" t="str">
        <f>_xlfn.XLOOKUP(Table1[[#This Row],[StockOptionLevel]],Table19[StockOptionLevel],Table19[Deskripsi])</f>
        <v>Non-Eligible</v>
      </c>
      <c r="AV254">
        <v>6</v>
      </c>
      <c r="AW254">
        <v>1</v>
      </c>
      <c r="AX254" t="str">
        <f>_xlfn.XLOOKUP(Table1[[#This Row],[WorkLifeBalance]],Table20[WorkLifeBalance],Table20[Id_WorkLifeBalance])</f>
        <v>WLB002</v>
      </c>
      <c r="AY254">
        <v>3</v>
      </c>
      <c r="AZ254" t="str">
        <f>_xlfn.XLOOKUP(Table1[[#This Row],[WorkLifeBalance]],Table20[WorkLifeBalance],Table20[Deskripsi])</f>
        <v>Good</v>
      </c>
      <c r="BA254">
        <v>6</v>
      </c>
      <c r="BB254">
        <v>5</v>
      </c>
      <c r="BC254">
        <v>1</v>
      </c>
      <c r="BD254">
        <v>5</v>
      </c>
    </row>
    <row r="255" spans="1:56" x14ac:dyDescent="0.25">
      <c r="A255">
        <v>42</v>
      </c>
      <c r="B255" t="str">
        <f>_xlfn.XLOOKUP(Table1[[#This Row],[Attrition]],Table2[Attrition],Table2[Id_Attrition])</f>
        <v>A002</v>
      </c>
      <c r="C255" t="s">
        <v>33</v>
      </c>
      <c r="D255" t="str">
        <f>_xlfn.XLOOKUP(Table1[[#This Row],[BusinessTravel]],Table5[BusinessTravel],Table5[Id_BusinessTravel])</f>
        <v>BS001</v>
      </c>
      <c r="E255" t="s">
        <v>34</v>
      </c>
      <c r="F255">
        <v>916</v>
      </c>
      <c r="G255" t="str">
        <f>_xlfn.XLOOKUP(Table1[[#This Row],[Department]],Table6[Department],Table6[Id_Departement])</f>
        <v>D002</v>
      </c>
      <c r="H255" t="s">
        <v>38</v>
      </c>
      <c r="I255">
        <v>17</v>
      </c>
      <c r="J255" t="str">
        <f>_xlfn.XLOOKUP(Table1[[#This Row],[Education]],Table8[Education],Table8[Id_Education])</f>
        <v>E002</v>
      </c>
      <c r="K255">
        <v>2</v>
      </c>
      <c r="L255" t="str">
        <f>_xlfn.XLOOKUP(Table1[[#This Row],[EducationField]],Table7[EducationField],Table7[Id_EducationField])</f>
        <v>EF001</v>
      </c>
      <c r="M255" t="s">
        <v>40</v>
      </c>
      <c r="N255" t="str">
        <f>_xlfn.XLOOKUP(Table1[[#This Row],[EmployeeNumber]],Table4[EmployeeNumber],Table4[Id_Employee])</f>
        <v>EMP00254</v>
      </c>
      <c r="O255">
        <v>347</v>
      </c>
      <c r="P255" t="str">
        <f>_xlfn.XLOOKUP(Table1[[#This Row],[EnvironmentSatisfaction]],Table9[EnvironmentSatisfaction],Table9[Id_EnviromentSatisfaction])</f>
        <v>ES004</v>
      </c>
      <c r="Q255">
        <v>4</v>
      </c>
      <c r="R255" t="str">
        <f>_xlfn.XLOOKUP(Table1[[#This Row],[EnvironmentSatisfaction]],Table9[EnvironmentSatisfaction],Table9[Deskripsi])</f>
        <v>Very High</v>
      </c>
      <c r="S255" t="str">
        <f>_xlfn.XLOOKUP(Table1[[#This Row],[Gender]],Table10[Gender],Table10[Id_Gender])</f>
        <v>G001</v>
      </c>
      <c r="T255" t="s">
        <v>45</v>
      </c>
      <c r="U255">
        <v>82</v>
      </c>
      <c r="V255" t="str">
        <f>_xlfn.XLOOKUP(Table1[[#This Row],[JobInvolvement]],Table11[JobInvolvement],Table11[Id_JobInvolvement])</f>
        <v>JI004</v>
      </c>
      <c r="W255">
        <v>4</v>
      </c>
      <c r="X255" t="str">
        <f>_xlfn.XLOOKUP(Table1[[#This Row],[JobLevel]],Table12[JobLevel],Table12[Id_JobLevel])</f>
        <v>JL002</v>
      </c>
      <c r="Y255">
        <v>2</v>
      </c>
      <c r="Z255" t="str">
        <f>_xlfn.XLOOKUP(Table1[[#This Row],[JobRole]],Table13[JobRole],Table13[Id_JobRole])</f>
        <v>JR002</v>
      </c>
      <c r="AA255" t="s">
        <v>48</v>
      </c>
      <c r="AB255" t="str">
        <f>_xlfn.XLOOKUP(Table1[[#This Row],[JobSatisfaction]],Table14[JobSatisfaction],Table14[Id_JobSatisfaction])</f>
        <v>JS001</v>
      </c>
      <c r="AC255">
        <v>1</v>
      </c>
      <c r="AD255" t="str">
        <f>_xlfn.XLOOKUP(Table1[[#This Row],[JobSatisfaction]],Table14[JobSatisfaction],Table14[Deskripsi])</f>
        <v>Low</v>
      </c>
      <c r="AE255" t="str">
        <f>_xlfn.XLOOKUP(Table1[[#This Row],[MaritalStatus]],Table15[MaritalStatus],Table15[Id_MaritalStatus])</f>
        <v>MS001</v>
      </c>
      <c r="AF255" t="s">
        <v>55</v>
      </c>
      <c r="AG255">
        <v>6545</v>
      </c>
      <c r="AH255">
        <v>23016</v>
      </c>
      <c r="AI255">
        <v>3</v>
      </c>
      <c r="AJ255" t="str">
        <f>_xlfn.XLOOKUP(Table1[[#This Row],[OverTime]],Table16[OverTime],Table16[Id_OverTime])</f>
        <v>OT001</v>
      </c>
      <c r="AK255" t="s">
        <v>32</v>
      </c>
      <c r="AL255">
        <v>13</v>
      </c>
      <c r="AM255" t="str">
        <f>_xlfn.XLOOKUP(Table1[[#This Row],[PerformanceRating]],Table17[PerformanceRating],Table17[Id_PerformanceRating])</f>
        <v>PR003</v>
      </c>
      <c r="AN255">
        <v>3</v>
      </c>
      <c r="AO255" t="str">
        <f>_xlfn.XLOOKUP(Table1[[#This Row],[PerformanceRating]],Table17[PerformanceRating],Table17[Deskripsi])</f>
        <v>Excellent</v>
      </c>
      <c r="AP255" t="str">
        <f>_xlfn.XLOOKUP(Table1[[#This Row],[RelationshipSatisfaction]],Table18[RelationshipSatisfaction],Table18[Id_RelationshipSatisfaction])</f>
        <v>RS003</v>
      </c>
      <c r="AQ255">
        <v>3</v>
      </c>
      <c r="AR255" t="str">
        <f>_xlfn.XLOOKUP(Table1[[#This Row],[RelationshipSatisfaction]],Table18[RelationshipSatisfaction],Table18[Deskripsi])</f>
        <v>High</v>
      </c>
      <c r="AS255" t="str">
        <f>_xlfn.XLOOKUP(Table1[[#This Row],[StockOptionLevel]],Table19[StockOptionLevel],Table19[Id_StockOptionLevel])</f>
        <v>SOL001</v>
      </c>
      <c r="AT255">
        <v>0</v>
      </c>
      <c r="AU255" t="str">
        <f>_xlfn.XLOOKUP(Table1[[#This Row],[StockOptionLevel]],Table19[StockOptionLevel],Table19[Deskripsi])</f>
        <v>Non-Eligible</v>
      </c>
      <c r="AV255">
        <v>10</v>
      </c>
      <c r="AW255">
        <v>1</v>
      </c>
      <c r="AX255" t="str">
        <f>_xlfn.XLOOKUP(Table1[[#This Row],[WorkLifeBalance]],Table20[WorkLifeBalance],Table20[Id_WorkLifeBalance])</f>
        <v>WLB002</v>
      </c>
      <c r="AY255">
        <v>3</v>
      </c>
      <c r="AZ255" t="str">
        <f>_xlfn.XLOOKUP(Table1[[#This Row],[WorkLifeBalance]],Table20[WorkLifeBalance],Table20[Deskripsi])</f>
        <v>Good</v>
      </c>
      <c r="BA255">
        <v>3</v>
      </c>
      <c r="BB255">
        <v>2</v>
      </c>
      <c r="BC255">
        <v>0</v>
      </c>
      <c r="BD255">
        <v>2</v>
      </c>
    </row>
    <row r="256" spans="1:56" x14ac:dyDescent="0.25">
      <c r="A256">
        <v>29</v>
      </c>
      <c r="B256" t="str">
        <f>_xlfn.XLOOKUP(Table1[[#This Row],[Attrition]],Table2[Attrition],Table2[Id_Attrition])</f>
        <v>A002</v>
      </c>
      <c r="C256" t="s">
        <v>33</v>
      </c>
      <c r="D256" t="str">
        <f>_xlfn.XLOOKUP(Table1[[#This Row],[BusinessTravel]],Table5[BusinessTravel],Table5[Id_BusinessTravel])</f>
        <v>BS001</v>
      </c>
      <c r="E256" t="s">
        <v>34</v>
      </c>
      <c r="F256">
        <v>1247</v>
      </c>
      <c r="G256" t="str">
        <f>_xlfn.XLOOKUP(Table1[[#This Row],[Department]],Table6[Department],Table6[Id_Departement])</f>
        <v>D001</v>
      </c>
      <c r="H256" t="s">
        <v>37</v>
      </c>
      <c r="I256">
        <v>20</v>
      </c>
      <c r="J256" t="str">
        <f>_xlfn.XLOOKUP(Table1[[#This Row],[Education]],Table8[Education],Table8[Id_Education])</f>
        <v>E002</v>
      </c>
      <c r="K256">
        <v>2</v>
      </c>
      <c r="L256" t="str">
        <f>_xlfn.XLOOKUP(Table1[[#This Row],[EducationField]],Table7[EducationField],Table7[Id_EducationField])</f>
        <v>EF004</v>
      </c>
      <c r="M256" t="s">
        <v>43</v>
      </c>
      <c r="N256" t="str">
        <f>_xlfn.XLOOKUP(Table1[[#This Row],[EmployeeNumber]],Table4[EmployeeNumber],Table4[Id_Employee])</f>
        <v>EMP00255</v>
      </c>
      <c r="O256">
        <v>349</v>
      </c>
      <c r="P256" t="str">
        <f>_xlfn.XLOOKUP(Table1[[#This Row],[EnvironmentSatisfaction]],Table9[EnvironmentSatisfaction],Table9[Id_EnviromentSatisfaction])</f>
        <v>ES004</v>
      </c>
      <c r="Q256">
        <v>4</v>
      </c>
      <c r="R256" t="str">
        <f>_xlfn.XLOOKUP(Table1[[#This Row],[EnvironmentSatisfaction]],Table9[EnvironmentSatisfaction],Table9[Deskripsi])</f>
        <v>Very High</v>
      </c>
      <c r="S256" t="str">
        <f>_xlfn.XLOOKUP(Table1[[#This Row],[Gender]],Table10[Gender],Table10[Id_Gender])</f>
        <v>G002</v>
      </c>
      <c r="T256" t="s">
        <v>46</v>
      </c>
      <c r="U256">
        <v>45</v>
      </c>
      <c r="V256" t="str">
        <f>_xlfn.XLOOKUP(Table1[[#This Row],[JobInvolvement]],Table11[JobInvolvement],Table11[Id_JobInvolvement])</f>
        <v>JI003</v>
      </c>
      <c r="W256">
        <v>3</v>
      </c>
      <c r="X256" t="str">
        <f>_xlfn.XLOOKUP(Table1[[#This Row],[JobLevel]],Table12[JobLevel],Table12[Id_JobLevel])</f>
        <v>JL002</v>
      </c>
      <c r="Y256">
        <v>2</v>
      </c>
      <c r="Z256" t="str">
        <f>_xlfn.XLOOKUP(Table1[[#This Row],[JobRole]],Table13[JobRole],Table13[Id_JobRole])</f>
        <v>JR001</v>
      </c>
      <c r="AA256" t="s">
        <v>47</v>
      </c>
      <c r="AB256" t="str">
        <f>_xlfn.XLOOKUP(Table1[[#This Row],[JobSatisfaction]],Table14[JobSatisfaction],Table14[Id_JobSatisfaction])</f>
        <v>JS004</v>
      </c>
      <c r="AC256">
        <v>4</v>
      </c>
      <c r="AD256" t="str">
        <f>_xlfn.XLOOKUP(Table1[[#This Row],[JobSatisfaction]],Table14[JobSatisfaction],Table14[Deskripsi])</f>
        <v>Very High</v>
      </c>
      <c r="AE256" t="str">
        <f>_xlfn.XLOOKUP(Table1[[#This Row],[MaritalStatus]],Table15[MaritalStatus],Table15[Id_MaritalStatus])</f>
        <v>MS003</v>
      </c>
      <c r="AF256" t="s">
        <v>57</v>
      </c>
      <c r="AG256">
        <v>6931</v>
      </c>
      <c r="AH256">
        <v>10732</v>
      </c>
      <c r="AI256">
        <v>2</v>
      </c>
      <c r="AJ256" t="str">
        <f>_xlfn.XLOOKUP(Table1[[#This Row],[OverTime]],Table16[OverTime],Table16[Id_OverTime])</f>
        <v>OT002</v>
      </c>
      <c r="AK256" t="s">
        <v>33</v>
      </c>
      <c r="AL256">
        <v>14</v>
      </c>
      <c r="AM256" t="str">
        <f>_xlfn.XLOOKUP(Table1[[#This Row],[PerformanceRating]],Table17[PerformanceRating],Table17[Id_PerformanceRating])</f>
        <v>PR003</v>
      </c>
      <c r="AN256">
        <v>3</v>
      </c>
      <c r="AO256" t="str">
        <f>_xlfn.XLOOKUP(Table1[[#This Row],[PerformanceRating]],Table17[PerformanceRating],Table17[Deskripsi])</f>
        <v>Excellent</v>
      </c>
      <c r="AP256" t="str">
        <f>_xlfn.XLOOKUP(Table1[[#This Row],[RelationshipSatisfaction]],Table18[RelationshipSatisfaction],Table18[Id_RelationshipSatisfaction])</f>
        <v>RS004</v>
      </c>
      <c r="AQ256">
        <v>4</v>
      </c>
      <c r="AR256" t="str">
        <f>_xlfn.XLOOKUP(Table1[[#This Row],[RelationshipSatisfaction]],Table18[RelationshipSatisfaction],Table18[Deskripsi])</f>
        <v>Very High</v>
      </c>
      <c r="AS256" t="str">
        <f>_xlfn.XLOOKUP(Table1[[#This Row],[StockOptionLevel]],Table19[StockOptionLevel],Table19[Id_StockOptionLevel])</f>
        <v>SOL002</v>
      </c>
      <c r="AT256">
        <v>1</v>
      </c>
      <c r="AU256" t="str">
        <f>_xlfn.XLOOKUP(Table1[[#This Row],[StockOptionLevel]],Table19[StockOptionLevel],Table19[Deskripsi])</f>
        <v>Standard</v>
      </c>
      <c r="AV256">
        <v>10</v>
      </c>
      <c r="AW256">
        <v>2</v>
      </c>
      <c r="AX256" t="str">
        <f>_xlfn.XLOOKUP(Table1[[#This Row],[WorkLifeBalance]],Table20[WorkLifeBalance],Table20[Id_WorkLifeBalance])</f>
        <v>WLB002</v>
      </c>
      <c r="AY256">
        <v>3</v>
      </c>
      <c r="AZ256" t="str">
        <f>_xlfn.XLOOKUP(Table1[[#This Row],[WorkLifeBalance]],Table20[WorkLifeBalance],Table20[Deskripsi])</f>
        <v>Good</v>
      </c>
      <c r="BA256">
        <v>3</v>
      </c>
      <c r="BB256">
        <v>2</v>
      </c>
      <c r="BC256">
        <v>0</v>
      </c>
      <c r="BD256">
        <v>2</v>
      </c>
    </row>
    <row r="257" spans="1:56" x14ac:dyDescent="0.25">
      <c r="A257">
        <v>25</v>
      </c>
      <c r="B257" t="str">
        <f>_xlfn.XLOOKUP(Table1[[#This Row],[Attrition]],Table2[Attrition],Table2[Id_Attrition])</f>
        <v>A002</v>
      </c>
      <c r="C257" t="s">
        <v>33</v>
      </c>
      <c r="D257" t="str">
        <f>_xlfn.XLOOKUP(Table1[[#This Row],[BusinessTravel]],Table5[BusinessTravel],Table5[Id_BusinessTravel])</f>
        <v>BS001</v>
      </c>
      <c r="E257" t="s">
        <v>34</v>
      </c>
      <c r="F257">
        <v>685</v>
      </c>
      <c r="G257" t="str">
        <f>_xlfn.XLOOKUP(Table1[[#This Row],[Department]],Table6[Department],Table6[Id_Departement])</f>
        <v>D002</v>
      </c>
      <c r="H257" t="s">
        <v>38</v>
      </c>
      <c r="I257">
        <v>1</v>
      </c>
      <c r="J257" t="str">
        <f>_xlfn.XLOOKUP(Table1[[#This Row],[Education]],Table8[Education],Table8[Id_Education])</f>
        <v>E003</v>
      </c>
      <c r="K257">
        <v>3</v>
      </c>
      <c r="L257" t="str">
        <f>_xlfn.XLOOKUP(Table1[[#This Row],[EducationField]],Table7[EducationField],Table7[Id_EducationField])</f>
        <v>EF001</v>
      </c>
      <c r="M257" t="s">
        <v>40</v>
      </c>
      <c r="N257" t="str">
        <f>_xlfn.XLOOKUP(Table1[[#This Row],[EmployeeNumber]],Table4[EmployeeNumber],Table4[Id_Employee])</f>
        <v>EMP00256</v>
      </c>
      <c r="O257">
        <v>350</v>
      </c>
      <c r="P257" t="str">
        <f>_xlfn.XLOOKUP(Table1[[#This Row],[EnvironmentSatisfaction]],Table9[EnvironmentSatisfaction],Table9[Id_EnviromentSatisfaction])</f>
        <v>ES001</v>
      </c>
      <c r="Q257">
        <v>1</v>
      </c>
      <c r="R257" t="str">
        <f>_xlfn.XLOOKUP(Table1[[#This Row],[EnvironmentSatisfaction]],Table9[EnvironmentSatisfaction],Table9[Deskripsi])</f>
        <v>Low</v>
      </c>
      <c r="S257" t="str">
        <f>_xlfn.XLOOKUP(Table1[[#This Row],[Gender]],Table10[Gender],Table10[Id_Gender])</f>
        <v>G001</v>
      </c>
      <c r="T257" t="s">
        <v>45</v>
      </c>
      <c r="U257">
        <v>62</v>
      </c>
      <c r="V257" t="str">
        <f>_xlfn.XLOOKUP(Table1[[#This Row],[JobInvolvement]],Table11[JobInvolvement],Table11[Id_JobInvolvement])</f>
        <v>JI003</v>
      </c>
      <c r="W257">
        <v>3</v>
      </c>
      <c r="X257" t="str">
        <f>_xlfn.XLOOKUP(Table1[[#This Row],[JobLevel]],Table12[JobLevel],Table12[Id_JobLevel])</f>
        <v>JL002</v>
      </c>
      <c r="Y257">
        <v>2</v>
      </c>
      <c r="Z257" t="str">
        <f>_xlfn.XLOOKUP(Table1[[#This Row],[JobRole]],Table13[JobRole],Table13[Id_JobRole])</f>
        <v>JR004</v>
      </c>
      <c r="AA257" t="s">
        <v>50</v>
      </c>
      <c r="AB257" t="str">
        <f>_xlfn.XLOOKUP(Table1[[#This Row],[JobSatisfaction]],Table14[JobSatisfaction],Table14[Id_JobSatisfaction])</f>
        <v>JS003</v>
      </c>
      <c r="AC257">
        <v>3</v>
      </c>
      <c r="AD257" t="str">
        <f>_xlfn.XLOOKUP(Table1[[#This Row],[JobSatisfaction]],Table14[JobSatisfaction],Table14[Deskripsi])</f>
        <v>High</v>
      </c>
      <c r="AE257" t="str">
        <f>_xlfn.XLOOKUP(Table1[[#This Row],[MaritalStatus]],Table15[MaritalStatus],Table15[Id_MaritalStatus])</f>
        <v>MS002</v>
      </c>
      <c r="AF257" t="s">
        <v>56</v>
      </c>
      <c r="AG257">
        <v>4898</v>
      </c>
      <c r="AH257">
        <v>7505</v>
      </c>
      <c r="AI257">
        <v>0</v>
      </c>
      <c r="AJ257" t="str">
        <f>_xlfn.XLOOKUP(Table1[[#This Row],[OverTime]],Table16[OverTime],Table16[Id_OverTime])</f>
        <v>OT002</v>
      </c>
      <c r="AK257" t="s">
        <v>33</v>
      </c>
      <c r="AL257">
        <v>12</v>
      </c>
      <c r="AM257" t="str">
        <f>_xlfn.XLOOKUP(Table1[[#This Row],[PerformanceRating]],Table17[PerformanceRating],Table17[Id_PerformanceRating])</f>
        <v>PR003</v>
      </c>
      <c r="AN257">
        <v>3</v>
      </c>
      <c r="AO257" t="str">
        <f>_xlfn.XLOOKUP(Table1[[#This Row],[PerformanceRating]],Table17[PerformanceRating],Table17[Deskripsi])</f>
        <v>Excellent</v>
      </c>
      <c r="AP257" t="str">
        <f>_xlfn.XLOOKUP(Table1[[#This Row],[RelationshipSatisfaction]],Table18[RelationshipSatisfaction],Table18[Id_RelationshipSatisfaction])</f>
        <v>RS004</v>
      </c>
      <c r="AQ257">
        <v>4</v>
      </c>
      <c r="AR257" t="str">
        <f>_xlfn.XLOOKUP(Table1[[#This Row],[RelationshipSatisfaction]],Table18[RelationshipSatisfaction],Table18[Deskripsi])</f>
        <v>Very High</v>
      </c>
      <c r="AS257" t="str">
        <f>_xlfn.XLOOKUP(Table1[[#This Row],[StockOptionLevel]],Table19[StockOptionLevel],Table19[Id_StockOptionLevel])</f>
        <v>SOL003</v>
      </c>
      <c r="AT257">
        <v>2</v>
      </c>
      <c r="AU257" t="str">
        <f>_xlfn.XLOOKUP(Table1[[#This Row],[StockOptionLevel]],Table19[StockOptionLevel],Table19[Deskripsi])</f>
        <v>Intermediate</v>
      </c>
      <c r="AV257">
        <v>5</v>
      </c>
      <c r="AW257">
        <v>3</v>
      </c>
      <c r="AX257" t="str">
        <f>_xlfn.XLOOKUP(Table1[[#This Row],[WorkLifeBalance]],Table20[WorkLifeBalance],Table20[Id_WorkLifeBalance])</f>
        <v>WLB002</v>
      </c>
      <c r="AY257">
        <v>3</v>
      </c>
      <c r="AZ257" t="str">
        <f>_xlfn.XLOOKUP(Table1[[#This Row],[WorkLifeBalance]],Table20[WorkLifeBalance],Table20[Deskripsi])</f>
        <v>Good</v>
      </c>
      <c r="BA257">
        <v>4</v>
      </c>
      <c r="BB257">
        <v>2</v>
      </c>
      <c r="BC257">
        <v>1</v>
      </c>
      <c r="BD257">
        <v>2</v>
      </c>
    </row>
    <row r="258" spans="1:56" x14ac:dyDescent="0.25">
      <c r="A258">
        <v>42</v>
      </c>
      <c r="B258" t="str">
        <f>_xlfn.XLOOKUP(Table1[[#This Row],[Attrition]],Table2[Attrition],Table2[Id_Attrition])</f>
        <v>A002</v>
      </c>
      <c r="C258" t="s">
        <v>33</v>
      </c>
      <c r="D258" t="str">
        <f>_xlfn.XLOOKUP(Table1[[#This Row],[BusinessTravel]],Table5[BusinessTravel],Table5[Id_BusinessTravel])</f>
        <v>BS001</v>
      </c>
      <c r="E258" t="s">
        <v>34</v>
      </c>
      <c r="F258">
        <v>269</v>
      </c>
      <c r="G258" t="str">
        <f>_xlfn.XLOOKUP(Table1[[#This Row],[Department]],Table6[Department],Table6[Id_Departement])</f>
        <v>D002</v>
      </c>
      <c r="H258" t="s">
        <v>38</v>
      </c>
      <c r="I258">
        <v>2</v>
      </c>
      <c r="J258" t="str">
        <f>_xlfn.XLOOKUP(Table1[[#This Row],[Education]],Table8[Education],Table8[Id_Education])</f>
        <v>E003</v>
      </c>
      <c r="K258">
        <v>3</v>
      </c>
      <c r="L258" t="str">
        <f>_xlfn.XLOOKUP(Table1[[#This Row],[EducationField]],Table7[EducationField],Table7[Id_EducationField])</f>
        <v>EF003</v>
      </c>
      <c r="M258" t="s">
        <v>42</v>
      </c>
      <c r="N258" t="str">
        <f>_xlfn.XLOOKUP(Table1[[#This Row],[EmployeeNumber]],Table4[EmployeeNumber],Table4[Id_Employee])</f>
        <v>EMP00257</v>
      </c>
      <c r="O258">
        <v>351</v>
      </c>
      <c r="P258" t="str">
        <f>_xlfn.XLOOKUP(Table1[[#This Row],[EnvironmentSatisfaction]],Table9[EnvironmentSatisfaction],Table9[Id_EnviromentSatisfaction])</f>
        <v>ES004</v>
      </c>
      <c r="Q258">
        <v>4</v>
      </c>
      <c r="R258" t="str">
        <f>_xlfn.XLOOKUP(Table1[[#This Row],[EnvironmentSatisfaction]],Table9[EnvironmentSatisfaction],Table9[Deskripsi])</f>
        <v>Very High</v>
      </c>
      <c r="S258" t="str">
        <f>_xlfn.XLOOKUP(Table1[[#This Row],[Gender]],Table10[Gender],Table10[Id_Gender])</f>
        <v>G001</v>
      </c>
      <c r="T258" t="s">
        <v>45</v>
      </c>
      <c r="U258">
        <v>56</v>
      </c>
      <c r="V258" t="str">
        <f>_xlfn.XLOOKUP(Table1[[#This Row],[JobInvolvement]],Table11[JobInvolvement],Table11[Id_JobInvolvement])</f>
        <v>JI002</v>
      </c>
      <c r="W258">
        <v>2</v>
      </c>
      <c r="X258" t="str">
        <f>_xlfn.XLOOKUP(Table1[[#This Row],[JobLevel]],Table12[JobLevel],Table12[Id_JobLevel])</f>
        <v>JL001</v>
      </c>
      <c r="Y258">
        <v>1</v>
      </c>
      <c r="Z258" t="str">
        <f>_xlfn.XLOOKUP(Table1[[#This Row],[JobRole]],Table13[JobRole],Table13[Id_JobRole])</f>
        <v>JR003</v>
      </c>
      <c r="AA258" t="s">
        <v>49</v>
      </c>
      <c r="AB258" t="str">
        <f>_xlfn.XLOOKUP(Table1[[#This Row],[JobSatisfaction]],Table14[JobSatisfaction],Table14[Id_JobSatisfaction])</f>
        <v>JS001</v>
      </c>
      <c r="AC258">
        <v>1</v>
      </c>
      <c r="AD258" t="str">
        <f>_xlfn.XLOOKUP(Table1[[#This Row],[JobSatisfaction]],Table14[JobSatisfaction],Table14[Deskripsi])</f>
        <v>Low</v>
      </c>
      <c r="AE258" t="str">
        <f>_xlfn.XLOOKUP(Table1[[#This Row],[MaritalStatus]],Table15[MaritalStatus],Table15[Id_MaritalStatus])</f>
        <v>MS003</v>
      </c>
      <c r="AF258" t="s">
        <v>57</v>
      </c>
      <c r="AG258">
        <v>2593</v>
      </c>
      <c r="AH258">
        <v>8007</v>
      </c>
      <c r="AI258">
        <v>0</v>
      </c>
      <c r="AJ258" t="str">
        <f>_xlfn.XLOOKUP(Table1[[#This Row],[OverTime]],Table16[OverTime],Table16[Id_OverTime])</f>
        <v>OT001</v>
      </c>
      <c r="AK258" t="s">
        <v>32</v>
      </c>
      <c r="AL258">
        <v>11</v>
      </c>
      <c r="AM258" t="str">
        <f>_xlfn.XLOOKUP(Table1[[#This Row],[PerformanceRating]],Table17[PerformanceRating],Table17[Id_PerformanceRating])</f>
        <v>PR003</v>
      </c>
      <c r="AN258">
        <v>3</v>
      </c>
      <c r="AO258" t="str">
        <f>_xlfn.XLOOKUP(Table1[[#This Row],[PerformanceRating]],Table17[PerformanceRating],Table17[Deskripsi])</f>
        <v>Excellent</v>
      </c>
      <c r="AP258" t="str">
        <f>_xlfn.XLOOKUP(Table1[[#This Row],[RelationshipSatisfaction]],Table18[RelationshipSatisfaction],Table18[Id_RelationshipSatisfaction])</f>
        <v>RS003</v>
      </c>
      <c r="AQ258">
        <v>3</v>
      </c>
      <c r="AR258" t="str">
        <f>_xlfn.XLOOKUP(Table1[[#This Row],[RelationshipSatisfaction]],Table18[RelationshipSatisfaction],Table18[Deskripsi])</f>
        <v>High</v>
      </c>
      <c r="AS258" t="str">
        <f>_xlfn.XLOOKUP(Table1[[#This Row],[StockOptionLevel]],Table19[StockOptionLevel],Table19[Id_StockOptionLevel])</f>
        <v>SOL002</v>
      </c>
      <c r="AT258">
        <v>1</v>
      </c>
      <c r="AU258" t="str">
        <f>_xlfn.XLOOKUP(Table1[[#This Row],[StockOptionLevel]],Table19[StockOptionLevel],Table19[Deskripsi])</f>
        <v>Standard</v>
      </c>
      <c r="AV258">
        <v>10</v>
      </c>
      <c r="AW258">
        <v>4</v>
      </c>
      <c r="AX258" t="str">
        <f>_xlfn.XLOOKUP(Table1[[#This Row],[WorkLifeBalance]],Table20[WorkLifeBalance],Table20[Id_WorkLifeBalance])</f>
        <v>WLB002</v>
      </c>
      <c r="AY258">
        <v>3</v>
      </c>
      <c r="AZ258" t="str">
        <f>_xlfn.XLOOKUP(Table1[[#This Row],[WorkLifeBalance]],Table20[WorkLifeBalance],Table20[Deskripsi])</f>
        <v>Good</v>
      </c>
      <c r="BA258">
        <v>9</v>
      </c>
      <c r="BB258">
        <v>6</v>
      </c>
      <c r="BC258">
        <v>7</v>
      </c>
      <c r="BD258">
        <v>8</v>
      </c>
    </row>
    <row r="259" spans="1:56" x14ac:dyDescent="0.25">
      <c r="A259">
        <v>40</v>
      </c>
      <c r="B259" t="str">
        <f>_xlfn.XLOOKUP(Table1[[#This Row],[Attrition]],Table2[Attrition],Table2[Id_Attrition])</f>
        <v>A002</v>
      </c>
      <c r="C259" t="s">
        <v>33</v>
      </c>
      <c r="D259" t="str">
        <f>_xlfn.XLOOKUP(Table1[[#This Row],[BusinessTravel]],Table5[BusinessTravel],Table5[Id_BusinessTravel])</f>
        <v>BS001</v>
      </c>
      <c r="E259" t="s">
        <v>34</v>
      </c>
      <c r="F259">
        <v>1416</v>
      </c>
      <c r="G259" t="str">
        <f>_xlfn.XLOOKUP(Table1[[#This Row],[Department]],Table6[Department],Table6[Id_Departement])</f>
        <v>D002</v>
      </c>
      <c r="H259" t="s">
        <v>38</v>
      </c>
      <c r="I259">
        <v>2</v>
      </c>
      <c r="J259" t="str">
        <f>_xlfn.XLOOKUP(Table1[[#This Row],[Education]],Table8[Education],Table8[Id_Education])</f>
        <v>E002</v>
      </c>
      <c r="K259">
        <v>2</v>
      </c>
      <c r="L259" t="str">
        <f>_xlfn.XLOOKUP(Table1[[#This Row],[EducationField]],Table7[EducationField],Table7[Id_EducationField])</f>
        <v>EF003</v>
      </c>
      <c r="M259" t="s">
        <v>42</v>
      </c>
      <c r="N259" t="str">
        <f>_xlfn.XLOOKUP(Table1[[#This Row],[EmployeeNumber]],Table4[EmployeeNumber],Table4[Id_Employee])</f>
        <v>EMP00258</v>
      </c>
      <c r="O259">
        <v>352</v>
      </c>
      <c r="P259" t="str">
        <f>_xlfn.XLOOKUP(Table1[[#This Row],[EnvironmentSatisfaction]],Table9[EnvironmentSatisfaction],Table9[Id_EnviromentSatisfaction])</f>
        <v>ES001</v>
      </c>
      <c r="Q259">
        <v>1</v>
      </c>
      <c r="R259" t="str">
        <f>_xlfn.XLOOKUP(Table1[[#This Row],[EnvironmentSatisfaction]],Table9[EnvironmentSatisfaction],Table9[Deskripsi])</f>
        <v>Low</v>
      </c>
      <c r="S259" t="str">
        <f>_xlfn.XLOOKUP(Table1[[#This Row],[Gender]],Table10[Gender],Table10[Id_Gender])</f>
        <v>G002</v>
      </c>
      <c r="T259" t="s">
        <v>46</v>
      </c>
      <c r="U259">
        <v>49</v>
      </c>
      <c r="V259" t="str">
        <f>_xlfn.XLOOKUP(Table1[[#This Row],[JobInvolvement]],Table11[JobInvolvement],Table11[Id_JobInvolvement])</f>
        <v>JI003</v>
      </c>
      <c r="W259">
        <v>3</v>
      </c>
      <c r="X259" t="str">
        <f>_xlfn.XLOOKUP(Table1[[#This Row],[JobLevel]],Table12[JobLevel],Table12[Id_JobLevel])</f>
        <v>JL005</v>
      </c>
      <c r="Y259">
        <v>5</v>
      </c>
      <c r="Z259" t="str">
        <f>_xlfn.XLOOKUP(Table1[[#This Row],[JobRole]],Table13[JobRole],Table13[Id_JobRole])</f>
        <v>JR008</v>
      </c>
      <c r="AA259" t="s">
        <v>54</v>
      </c>
      <c r="AB259" t="str">
        <f>_xlfn.XLOOKUP(Table1[[#This Row],[JobSatisfaction]],Table14[JobSatisfaction],Table14[Id_JobSatisfaction])</f>
        <v>JS003</v>
      </c>
      <c r="AC259">
        <v>3</v>
      </c>
      <c r="AD259" t="str">
        <f>_xlfn.XLOOKUP(Table1[[#This Row],[JobSatisfaction]],Table14[JobSatisfaction],Table14[Deskripsi])</f>
        <v>High</v>
      </c>
      <c r="AE259" t="str">
        <f>_xlfn.XLOOKUP(Table1[[#This Row],[MaritalStatus]],Table15[MaritalStatus],Table15[Id_MaritalStatus])</f>
        <v>MS003</v>
      </c>
      <c r="AF259" t="s">
        <v>57</v>
      </c>
      <c r="AG259">
        <v>19436</v>
      </c>
      <c r="AH259">
        <v>5949</v>
      </c>
      <c r="AI259">
        <v>0</v>
      </c>
      <c r="AJ259" t="str">
        <f>_xlfn.XLOOKUP(Table1[[#This Row],[OverTime]],Table16[OverTime],Table16[Id_OverTime])</f>
        <v>OT002</v>
      </c>
      <c r="AK259" t="s">
        <v>33</v>
      </c>
      <c r="AL259">
        <v>19</v>
      </c>
      <c r="AM259" t="str">
        <f>_xlfn.XLOOKUP(Table1[[#This Row],[PerformanceRating]],Table17[PerformanceRating],Table17[Id_PerformanceRating])</f>
        <v>PR003</v>
      </c>
      <c r="AN259">
        <v>3</v>
      </c>
      <c r="AO259" t="str">
        <f>_xlfn.XLOOKUP(Table1[[#This Row],[PerformanceRating]],Table17[PerformanceRating],Table17[Deskripsi])</f>
        <v>Excellent</v>
      </c>
      <c r="AP259" t="str">
        <f>_xlfn.XLOOKUP(Table1[[#This Row],[RelationshipSatisfaction]],Table18[RelationshipSatisfaction],Table18[Id_RelationshipSatisfaction])</f>
        <v>RS004</v>
      </c>
      <c r="AQ259">
        <v>4</v>
      </c>
      <c r="AR259" t="str">
        <f>_xlfn.XLOOKUP(Table1[[#This Row],[RelationshipSatisfaction]],Table18[RelationshipSatisfaction],Table18[Deskripsi])</f>
        <v>Very High</v>
      </c>
      <c r="AS259" t="str">
        <f>_xlfn.XLOOKUP(Table1[[#This Row],[StockOptionLevel]],Table19[StockOptionLevel],Table19[Id_StockOptionLevel])</f>
        <v>SOL002</v>
      </c>
      <c r="AT259">
        <v>1</v>
      </c>
      <c r="AU259" t="str">
        <f>_xlfn.XLOOKUP(Table1[[#This Row],[StockOptionLevel]],Table19[StockOptionLevel],Table19[Deskripsi])</f>
        <v>Standard</v>
      </c>
      <c r="AV259">
        <v>22</v>
      </c>
      <c r="AW259">
        <v>5</v>
      </c>
      <c r="AX259" t="str">
        <f>_xlfn.XLOOKUP(Table1[[#This Row],[WorkLifeBalance]],Table20[WorkLifeBalance],Table20[Id_WorkLifeBalance])</f>
        <v>WLB002</v>
      </c>
      <c r="AY259">
        <v>3</v>
      </c>
      <c r="AZ259" t="str">
        <f>_xlfn.XLOOKUP(Table1[[#This Row],[WorkLifeBalance]],Table20[WorkLifeBalance],Table20[Deskripsi])</f>
        <v>Good</v>
      </c>
      <c r="BA259">
        <v>21</v>
      </c>
      <c r="BB259">
        <v>7</v>
      </c>
      <c r="BC259">
        <v>3</v>
      </c>
      <c r="BD259">
        <v>9</v>
      </c>
    </row>
    <row r="260" spans="1:56" x14ac:dyDescent="0.25">
      <c r="A260">
        <v>51</v>
      </c>
      <c r="B260" t="str">
        <f>_xlfn.XLOOKUP(Table1[[#This Row],[Attrition]],Table2[Attrition],Table2[Id_Attrition])</f>
        <v>A002</v>
      </c>
      <c r="C260" t="s">
        <v>33</v>
      </c>
      <c r="D260" t="str">
        <f>_xlfn.XLOOKUP(Table1[[#This Row],[BusinessTravel]],Table5[BusinessTravel],Table5[Id_BusinessTravel])</f>
        <v>BS001</v>
      </c>
      <c r="E260" t="s">
        <v>34</v>
      </c>
      <c r="F260">
        <v>833</v>
      </c>
      <c r="G260" t="str">
        <f>_xlfn.XLOOKUP(Table1[[#This Row],[Department]],Table6[Department],Table6[Id_Departement])</f>
        <v>D002</v>
      </c>
      <c r="H260" t="s">
        <v>38</v>
      </c>
      <c r="I260">
        <v>1</v>
      </c>
      <c r="J260" t="str">
        <f>_xlfn.XLOOKUP(Table1[[#This Row],[Education]],Table8[Education],Table8[Id_Education])</f>
        <v>E003</v>
      </c>
      <c r="K260">
        <v>3</v>
      </c>
      <c r="L260" t="str">
        <f>_xlfn.XLOOKUP(Table1[[#This Row],[EducationField]],Table7[EducationField],Table7[Id_EducationField])</f>
        <v>EF001</v>
      </c>
      <c r="M260" t="s">
        <v>40</v>
      </c>
      <c r="N260" t="str">
        <f>_xlfn.XLOOKUP(Table1[[#This Row],[EmployeeNumber]],Table4[EmployeeNumber],Table4[Id_Employee])</f>
        <v>EMP00259</v>
      </c>
      <c r="O260">
        <v>353</v>
      </c>
      <c r="P260" t="str">
        <f>_xlfn.XLOOKUP(Table1[[#This Row],[EnvironmentSatisfaction]],Table9[EnvironmentSatisfaction],Table9[Id_EnviromentSatisfaction])</f>
        <v>ES003</v>
      </c>
      <c r="Q260">
        <v>3</v>
      </c>
      <c r="R260" t="str">
        <f>_xlfn.XLOOKUP(Table1[[#This Row],[EnvironmentSatisfaction]],Table9[EnvironmentSatisfaction],Table9[Deskripsi])</f>
        <v>High</v>
      </c>
      <c r="S260" t="str">
        <f>_xlfn.XLOOKUP(Table1[[#This Row],[Gender]],Table10[Gender],Table10[Id_Gender])</f>
        <v>G002</v>
      </c>
      <c r="T260" t="s">
        <v>46</v>
      </c>
      <c r="U260">
        <v>96</v>
      </c>
      <c r="V260" t="str">
        <f>_xlfn.XLOOKUP(Table1[[#This Row],[JobInvolvement]],Table11[JobInvolvement],Table11[Id_JobInvolvement])</f>
        <v>JI003</v>
      </c>
      <c r="W260">
        <v>3</v>
      </c>
      <c r="X260" t="str">
        <f>_xlfn.XLOOKUP(Table1[[#This Row],[JobLevel]],Table12[JobLevel],Table12[Id_JobLevel])</f>
        <v>JL001</v>
      </c>
      <c r="Y260">
        <v>1</v>
      </c>
      <c r="Z260" t="str">
        <f>_xlfn.XLOOKUP(Table1[[#This Row],[JobRole]],Table13[JobRole],Table13[Id_JobRole])</f>
        <v>JR002</v>
      </c>
      <c r="AA260" t="s">
        <v>48</v>
      </c>
      <c r="AB260" t="str">
        <f>_xlfn.XLOOKUP(Table1[[#This Row],[JobSatisfaction]],Table14[JobSatisfaction],Table14[Id_JobSatisfaction])</f>
        <v>JS004</v>
      </c>
      <c r="AC260">
        <v>4</v>
      </c>
      <c r="AD260" t="str">
        <f>_xlfn.XLOOKUP(Table1[[#This Row],[JobSatisfaction]],Table14[JobSatisfaction],Table14[Deskripsi])</f>
        <v>Very High</v>
      </c>
      <c r="AE260" t="str">
        <f>_xlfn.XLOOKUP(Table1[[#This Row],[MaritalStatus]],Table15[MaritalStatus],Table15[Id_MaritalStatus])</f>
        <v>MS002</v>
      </c>
      <c r="AF260" t="s">
        <v>56</v>
      </c>
      <c r="AG260">
        <v>2723</v>
      </c>
      <c r="AH260">
        <v>23231</v>
      </c>
      <c r="AI260">
        <v>1</v>
      </c>
      <c r="AJ260" t="str">
        <f>_xlfn.XLOOKUP(Table1[[#This Row],[OverTime]],Table16[OverTime],Table16[Id_OverTime])</f>
        <v>OT002</v>
      </c>
      <c r="AK260" t="s">
        <v>33</v>
      </c>
      <c r="AL260">
        <v>11</v>
      </c>
      <c r="AM260" t="str">
        <f>_xlfn.XLOOKUP(Table1[[#This Row],[PerformanceRating]],Table17[PerformanceRating],Table17[Id_PerformanceRating])</f>
        <v>PR003</v>
      </c>
      <c r="AN260">
        <v>3</v>
      </c>
      <c r="AO260" t="str">
        <f>_xlfn.XLOOKUP(Table1[[#This Row],[PerformanceRating]],Table17[PerformanceRating],Table17[Deskripsi])</f>
        <v>Excellent</v>
      </c>
      <c r="AP260" t="str">
        <f>_xlfn.XLOOKUP(Table1[[#This Row],[RelationshipSatisfaction]],Table18[RelationshipSatisfaction],Table18[Id_RelationshipSatisfaction])</f>
        <v>RS002</v>
      </c>
      <c r="AQ260">
        <v>2</v>
      </c>
      <c r="AR260" t="str">
        <f>_xlfn.XLOOKUP(Table1[[#This Row],[RelationshipSatisfaction]],Table18[RelationshipSatisfaction],Table18[Deskripsi])</f>
        <v>Medium</v>
      </c>
      <c r="AS260" t="str">
        <f>_xlfn.XLOOKUP(Table1[[#This Row],[StockOptionLevel]],Table19[StockOptionLevel],Table19[Id_StockOptionLevel])</f>
        <v>SOL001</v>
      </c>
      <c r="AT260">
        <v>0</v>
      </c>
      <c r="AU260" t="str">
        <f>_xlfn.XLOOKUP(Table1[[#This Row],[StockOptionLevel]],Table19[StockOptionLevel],Table19[Deskripsi])</f>
        <v>Non-Eligible</v>
      </c>
      <c r="AV260">
        <v>1</v>
      </c>
      <c r="AW260">
        <v>0</v>
      </c>
      <c r="AX260" t="str">
        <f>_xlfn.XLOOKUP(Table1[[#This Row],[WorkLifeBalance]],Table20[WorkLifeBalance],Table20[Id_WorkLifeBalance])</f>
        <v>WLB003</v>
      </c>
      <c r="AY260">
        <v>2</v>
      </c>
      <c r="AZ260" t="str">
        <f>_xlfn.XLOOKUP(Table1[[#This Row],[WorkLifeBalance]],Table20[WorkLifeBalance],Table20[Deskripsi])</f>
        <v>Better</v>
      </c>
      <c r="BA260">
        <v>1</v>
      </c>
      <c r="BB260">
        <v>0</v>
      </c>
      <c r="BC260">
        <v>0</v>
      </c>
      <c r="BD260">
        <v>0</v>
      </c>
    </row>
    <row r="261" spans="1:56" x14ac:dyDescent="0.25">
      <c r="A261">
        <v>31</v>
      </c>
      <c r="B261" t="str">
        <f>_xlfn.XLOOKUP(Table1[[#This Row],[Attrition]],Table2[Attrition],Table2[Id_Attrition])</f>
        <v>A001</v>
      </c>
      <c r="C261" t="s">
        <v>32</v>
      </c>
      <c r="D261" t="str">
        <f>_xlfn.XLOOKUP(Table1[[#This Row],[BusinessTravel]],Table5[BusinessTravel],Table5[Id_BusinessTravel])</f>
        <v>BS002</v>
      </c>
      <c r="E261" t="s">
        <v>35</v>
      </c>
      <c r="F261">
        <v>307</v>
      </c>
      <c r="G261" t="str">
        <f>_xlfn.XLOOKUP(Table1[[#This Row],[Department]],Table6[Department],Table6[Id_Departement])</f>
        <v>D002</v>
      </c>
      <c r="H261" t="s">
        <v>38</v>
      </c>
      <c r="I261">
        <v>29</v>
      </c>
      <c r="J261" t="str">
        <f>_xlfn.XLOOKUP(Table1[[#This Row],[Education]],Table8[Education],Table8[Id_Education])</f>
        <v>E002</v>
      </c>
      <c r="K261">
        <v>2</v>
      </c>
      <c r="L261" t="str">
        <f>_xlfn.XLOOKUP(Table1[[#This Row],[EducationField]],Table7[EducationField],Table7[Id_EducationField])</f>
        <v>EF003</v>
      </c>
      <c r="M261" t="s">
        <v>42</v>
      </c>
      <c r="N261" t="str">
        <f>_xlfn.XLOOKUP(Table1[[#This Row],[EmployeeNumber]],Table4[EmployeeNumber],Table4[Id_Employee])</f>
        <v>EMP00260</v>
      </c>
      <c r="O261">
        <v>355</v>
      </c>
      <c r="P261" t="str">
        <f>_xlfn.XLOOKUP(Table1[[#This Row],[EnvironmentSatisfaction]],Table9[EnvironmentSatisfaction],Table9[Id_EnviromentSatisfaction])</f>
        <v>ES003</v>
      </c>
      <c r="Q261">
        <v>3</v>
      </c>
      <c r="R261" t="str">
        <f>_xlfn.XLOOKUP(Table1[[#This Row],[EnvironmentSatisfaction]],Table9[EnvironmentSatisfaction],Table9[Deskripsi])</f>
        <v>High</v>
      </c>
      <c r="S261" t="str">
        <f>_xlfn.XLOOKUP(Table1[[#This Row],[Gender]],Table10[Gender],Table10[Id_Gender])</f>
        <v>G002</v>
      </c>
      <c r="T261" t="s">
        <v>46</v>
      </c>
      <c r="U261">
        <v>71</v>
      </c>
      <c r="V261" t="str">
        <f>_xlfn.XLOOKUP(Table1[[#This Row],[JobInvolvement]],Table11[JobInvolvement],Table11[Id_JobInvolvement])</f>
        <v>JI002</v>
      </c>
      <c r="W261">
        <v>2</v>
      </c>
      <c r="X261" t="str">
        <f>_xlfn.XLOOKUP(Table1[[#This Row],[JobLevel]],Table12[JobLevel],Table12[Id_JobLevel])</f>
        <v>JL001</v>
      </c>
      <c r="Y261">
        <v>1</v>
      </c>
      <c r="Z261" t="str">
        <f>_xlfn.XLOOKUP(Table1[[#This Row],[JobRole]],Table13[JobRole],Table13[Id_JobRole])</f>
        <v>JR003</v>
      </c>
      <c r="AA261" t="s">
        <v>49</v>
      </c>
      <c r="AB261" t="str">
        <f>_xlfn.XLOOKUP(Table1[[#This Row],[JobSatisfaction]],Table14[JobSatisfaction],Table14[Id_JobSatisfaction])</f>
        <v>JS002</v>
      </c>
      <c r="AC261">
        <v>2</v>
      </c>
      <c r="AD261" t="str">
        <f>_xlfn.XLOOKUP(Table1[[#This Row],[JobSatisfaction]],Table14[JobSatisfaction],Table14[Deskripsi])</f>
        <v>Medium</v>
      </c>
      <c r="AE261" t="str">
        <f>_xlfn.XLOOKUP(Table1[[#This Row],[MaritalStatus]],Table15[MaritalStatus],Table15[Id_MaritalStatus])</f>
        <v>MS001</v>
      </c>
      <c r="AF261" t="s">
        <v>55</v>
      </c>
      <c r="AG261">
        <v>3479</v>
      </c>
      <c r="AH261">
        <v>11652</v>
      </c>
      <c r="AI261">
        <v>0</v>
      </c>
      <c r="AJ261" t="str">
        <f>_xlfn.XLOOKUP(Table1[[#This Row],[OverTime]],Table16[OverTime],Table16[Id_OverTime])</f>
        <v>OT002</v>
      </c>
      <c r="AK261" t="s">
        <v>33</v>
      </c>
      <c r="AL261">
        <v>11</v>
      </c>
      <c r="AM261" t="str">
        <f>_xlfn.XLOOKUP(Table1[[#This Row],[PerformanceRating]],Table17[PerformanceRating],Table17[Id_PerformanceRating])</f>
        <v>PR003</v>
      </c>
      <c r="AN261">
        <v>3</v>
      </c>
      <c r="AO261" t="str">
        <f>_xlfn.XLOOKUP(Table1[[#This Row],[PerformanceRating]],Table17[PerformanceRating],Table17[Deskripsi])</f>
        <v>Excellent</v>
      </c>
      <c r="AP261" t="str">
        <f>_xlfn.XLOOKUP(Table1[[#This Row],[RelationshipSatisfaction]],Table18[RelationshipSatisfaction],Table18[Id_RelationshipSatisfaction])</f>
        <v>RS002</v>
      </c>
      <c r="AQ261">
        <v>2</v>
      </c>
      <c r="AR261" t="str">
        <f>_xlfn.XLOOKUP(Table1[[#This Row],[RelationshipSatisfaction]],Table18[RelationshipSatisfaction],Table18[Deskripsi])</f>
        <v>Medium</v>
      </c>
      <c r="AS261" t="str">
        <f>_xlfn.XLOOKUP(Table1[[#This Row],[StockOptionLevel]],Table19[StockOptionLevel],Table19[Id_StockOptionLevel])</f>
        <v>SOL001</v>
      </c>
      <c r="AT261">
        <v>0</v>
      </c>
      <c r="AU261" t="str">
        <f>_xlfn.XLOOKUP(Table1[[#This Row],[StockOptionLevel]],Table19[StockOptionLevel],Table19[Deskripsi])</f>
        <v>Non-Eligible</v>
      </c>
      <c r="AV261">
        <v>6</v>
      </c>
      <c r="AW261">
        <v>2</v>
      </c>
      <c r="AX261" t="str">
        <f>_xlfn.XLOOKUP(Table1[[#This Row],[WorkLifeBalance]],Table20[WorkLifeBalance],Table20[Id_WorkLifeBalance])</f>
        <v>WLB004</v>
      </c>
      <c r="AY261">
        <v>4</v>
      </c>
      <c r="AZ261" t="str">
        <f>_xlfn.XLOOKUP(Table1[[#This Row],[WorkLifeBalance]],Table20[WorkLifeBalance],Table20[Deskripsi])</f>
        <v>Best</v>
      </c>
      <c r="BA261">
        <v>5</v>
      </c>
      <c r="BB261">
        <v>4</v>
      </c>
      <c r="BC261">
        <v>1</v>
      </c>
      <c r="BD261">
        <v>4</v>
      </c>
    </row>
    <row r="262" spans="1:56" x14ac:dyDescent="0.25">
      <c r="A262">
        <v>32</v>
      </c>
      <c r="B262" t="str">
        <f>_xlfn.XLOOKUP(Table1[[#This Row],[Attrition]],Table2[Attrition],Table2[Id_Attrition])</f>
        <v>A002</v>
      </c>
      <c r="C262" t="s">
        <v>33</v>
      </c>
      <c r="D262" t="str">
        <f>_xlfn.XLOOKUP(Table1[[#This Row],[BusinessTravel]],Table5[BusinessTravel],Table5[Id_BusinessTravel])</f>
        <v>BS002</v>
      </c>
      <c r="E262" t="s">
        <v>35</v>
      </c>
      <c r="F262">
        <v>1311</v>
      </c>
      <c r="G262" t="str">
        <f>_xlfn.XLOOKUP(Table1[[#This Row],[Department]],Table6[Department],Table6[Id_Departement])</f>
        <v>D002</v>
      </c>
      <c r="H262" t="s">
        <v>38</v>
      </c>
      <c r="I262">
        <v>7</v>
      </c>
      <c r="J262" t="str">
        <f>_xlfn.XLOOKUP(Table1[[#This Row],[Education]],Table8[Education],Table8[Id_Education])</f>
        <v>E003</v>
      </c>
      <c r="K262">
        <v>3</v>
      </c>
      <c r="L262" t="str">
        <f>_xlfn.XLOOKUP(Table1[[#This Row],[EducationField]],Table7[EducationField],Table7[Id_EducationField])</f>
        <v>EF001</v>
      </c>
      <c r="M262" t="s">
        <v>40</v>
      </c>
      <c r="N262" t="str">
        <f>_xlfn.XLOOKUP(Table1[[#This Row],[EmployeeNumber]],Table4[EmployeeNumber],Table4[Id_Employee])</f>
        <v>EMP00261</v>
      </c>
      <c r="O262">
        <v>359</v>
      </c>
      <c r="P262" t="str">
        <f>_xlfn.XLOOKUP(Table1[[#This Row],[EnvironmentSatisfaction]],Table9[EnvironmentSatisfaction],Table9[Id_EnviromentSatisfaction])</f>
        <v>ES002</v>
      </c>
      <c r="Q262">
        <v>2</v>
      </c>
      <c r="R262" t="str">
        <f>_xlfn.XLOOKUP(Table1[[#This Row],[EnvironmentSatisfaction]],Table9[EnvironmentSatisfaction],Table9[Deskripsi])</f>
        <v>Medium</v>
      </c>
      <c r="S262" t="str">
        <f>_xlfn.XLOOKUP(Table1[[#This Row],[Gender]],Table10[Gender],Table10[Id_Gender])</f>
        <v>G002</v>
      </c>
      <c r="T262" t="s">
        <v>46</v>
      </c>
      <c r="U262">
        <v>100</v>
      </c>
      <c r="V262" t="str">
        <f>_xlfn.XLOOKUP(Table1[[#This Row],[JobInvolvement]],Table11[JobInvolvement],Table11[Id_JobInvolvement])</f>
        <v>JI004</v>
      </c>
      <c r="W262">
        <v>4</v>
      </c>
      <c r="X262" t="str">
        <f>_xlfn.XLOOKUP(Table1[[#This Row],[JobLevel]],Table12[JobLevel],Table12[Id_JobLevel])</f>
        <v>JL001</v>
      </c>
      <c r="Y262">
        <v>1</v>
      </c>
      <c r="Z262" t="str">
        <f>_xlfn.XLOOKUP(Table1[[#This Row],[JobRole]],Table13[JobRole],Table13[Id_JobRole])</f>
        <v>JR003</v>
      </c>
      <c r="AA262" t="s">
        <v>49</v>
      </c>
      <c r="AB262" t="str">
        <f>_xlfn.XLOOKUP(Table1[[#This Row],[JobSatisfaction]],Table14[JobSatisfaction],Table14[Id_JobSatisfaction])</f>
        <v>JS002</v>
      </c>
      <c r="AC262">
        <v>2</v>
      </c>
      <c r="AD262" t="str">
        <f>_xlfn.XLOOKUP(Table1[[#This Row],[JobSatisfaction]],Table14[JobSatisfaction],Table14[Deskripsi])</f>
        <v>Medium</v>
      </c>
      <c r="AE262" t="str">
        <f>_xlfn.XLOOKUP(Table1[[#This Row],[MaritalStatus]],Table15[MaritalStatus],Table15[Id_MaritalStatus])</f>
        <v>MS002</v>
      </c>
      <c r="AF262" t="s">
        <v>56</v>
      </c>
      <c r="AG262">
        <v>2794</v>
      </c>
      <c r="AH262">
        <v>26062</v>
      </c>
      <c r="AI262">
        <v>1</v>
      </c>
      <c r="AJ262" t="str">
        <f>_xlfn.XLOOKUP(Table1[[#This Row],[OverTime]],Table16[OverTime],Table16[Id_OverTime])</f>
        <v>OT002</v>
      </c>
      <c r="AK262" t="s">
        <v>33</v>
      </c>
      <c r="AL262">
        <v>20</v>
      </c>
      <c r="AM262" t="str">
        <f>_xlfn.XLOOKUP(Table1[[#This Row],[PerformanceRating]],Table17[PerformanceRating],Table17[Id_PerformanceRating])</f>
        <v>PR004</v>
      </c>
      <c r="AN262">
        <v>4</v>
      </c>
      <c r="AO262" t="str">
        <f>_xlfn.XLOOKUP(Table1[[#This Row],[PerformanceRating]],Table17[PerformanceRating],Table17[Deskripsi])</f>
        <v>Outstanding</v>
      </c>
      <c r="AP262" t="str">
        <f>_xlfn.XLOOKUP(Table1[[#This Row],[RelationshipSatisfaction]],Table18[RelationshipSatisfaction],Table18[Id_RelationshipSatisfaction])</f>
        <v>RS003</v>
      </c>
      <c r="AQ262">
        <v>3</v>
      </c>
      <c r="AR262" t="str">
        <f>_xlfn.XLOOKUP(Table1[[#This Row],[RelationshipSatisfaction]],Table18[RelationshipSatisfaction],Table18[Deskripsi])</f>
        <v>High</v>
      </c>
      <c r="AS262" t="str">
        <f>_xlfn.XLOOKUP(Table1[[#This Row],[StockOptionLevel]],Table19[StockOptionLevel],Table19[Id_StockOptionLevel])</f>
        <v>SOL001</v>
      </c>
      <c r="AT262">
        <v>0</v>
      </c>
      <c r="AU262" t="str">
        <f>_xlfn.XLOOKUP(Table1[[#This Row],[StockOptionLevel]],Table19[StockOptionLevel],Table19[Deskripsi])</f>
        <v>Non-Eligible</v>
      </c>
      <c r="AV262">
        <v>5</v>
      </c>
      <c r="AW262">
        <v>3</v>
      </c>
      <c r="AX262" t="str">
        <f>_xlfn.XLOOKUP(Table1[[#This Row],[WorkLifeBalance]],Table20[WorkLifeBalance],Table20[Id_WorkLifeBalance])</f>
        <v>WLB001</v>
      </c>
      <c r="AY262">
        <v>1</v>
      </c>
      <c r="AZ262" t="str">
        <f>_xlfn.XLOOKUP(Table1[[#This Row],[WorkLifeBalance]],Table20[WorkLifeBalance],Table20[Deskripsi])</f>
        <v>Bad</v>
      </c>
      <c r="BA262">
        <v>5</v>
      </c>
      <c r="BB262">
        <v>1</v>
      </c>
      <c r="BC262">
        <v>0</v>
      </c>
      <c r="BD262">
        <v>3</v>
      </c>
    </row>
    <row r="263" spans="1:56" x14ac:dyDescent="0.25">
      <c r="A263">
        <v>38</v>
      </c>
      <c r="B263" t="str">
        <f>_xlfn.XLOOKUP(Table1[[#This Row],[Attrition]],Table2[Attrition],Table2[Id_Attrition])</f>
        <v>A002</v>
      </c>
      <c r="C263" t="s">
        <v>33</v>
      </c>
      <c r="D263" t="str">
        <f>_xlfn.XLOOKUP(Table1[[#This Row],[BusinessTravel]],Table5[BusinessTravel],Table5[Id_BusinessTravel])</f>
        <v>BS003</v>
      </c>
      <c r="E263" t="s">
        <v>36</v>
      </c>
      <c r="F263">
        <v>1327</v>
      </c>
      <c r="G263" t="str">
        <f>_xlfn.XLOOKUP(Table1[[#This Row],[Department]],Table6[Department],Table6[Id_Departement])</f>
        <v>D001</v>
      </c>
      <c r="H263" t="s">
        <v>37</v>
      </c>
      <c r="I263">
        <v>2</v>
      </c>
      <c r="J263" t="str">
        <f>_xlfn.XLOOKUP(Table1[[#This Row],[Education]],Table8[Education],Table8[Id_Education])</f>
        <v>E002</v>
      </c>
      <c r="K263">
        <v>2</v>
      </c>
      <c r="L263" t="str">
        <f>_xlfn.XLOOKUP(Table1[[#This Row],[EducationField]],Table7[EducationField],Table7[Id_EducationField])</f>
        <v>EF001</v>
      </c>
      <c r="M263" t="s">
        <v>40</v>
      </c>
      <c r="N263" t="str">
        <f>_xlfn.XLOOKUP(Table1[[#This Row],[EmployeeNumber]],Table4[EmployeeNumber],Table4[Id_Employee])</f>
        <v>EMP00262</v>
      </c>
      <c r="O263">
        <v>361</v>
      </c>
      <c r="P263" t="str">
        <f>_xlfn.XLOOKUP(Table1[[#This Row],[EnvironmentSatisfaction]],Table9[EnvironmentSatisfaction],Table9[Id_EnviromentSatisfaction])</f>
        <v>ES004</v>
      </c>
      <c r="Q263">
        <v>4</v>
      </c>
      <c r="R263" t="str">
        <f>_xlfn.XLOOKUP(Table1[[#This Row],[EnvironmentSatisfaction]],Table9[EnvironmentSatisfaction],Table9[Deskripsi])</f>
        <v>Very High</v>
      </c>
      <c r="S263" t="str">
        <f>_xlfn.XLOOKUP(Table1[[#This Row],[Gender]],Table10[Gender],Table10[Id_Gender])</f>
        <v>G002</v>
      </c>
      <c r="T263" t="s">
        <v>46</v>
      </c>
      <c r="U263">
        <v>39</v>
      </c>
      <c r="V263" t="str">
        <f>_xlfn.XLOOKUP(Table1[[#This Row],[JobInvolvement]],Table11[JobInvolvement],Table11[Id_JobInvolvement])</f>
        <v>JI002</v>
      </c>
      <c r="W263">
        <v>2</v>
      </c>
      <c r="X263" t="str">
        <f>_xlfn.XLOOKUP(Table1[[#This Row],[JobLevel]],Table12[JobLevel],Table12[Id_JobLevel])</f>
        <v>JL002</v>
      </c>
      <c r="Y263">
        <v>2</v>
      </c>
      <c r="Z263" t="str">
        <f>_xlfn.XLOOKUP(Table1[[#This Row],[JobRole]],Table13[JobRole],Table13[Id_JobRole])</f>
        <v>JR001</v>
      </c>
      <c r="AA263" t="s">
        <v>47</v>
      </c>
      <c r="AB263" t="str">
        <f>_xlfn.XLOOKUP(Table1[[#This Row],[JobSatisfaction]],Table14[JobSatisfaction],Table14[Id_JobSatisfaction])</f>
        <v>JS004</v>
      </c>
      <c r="AC263">
        <v>4</v>
      </c>
      <c r="AD263" t="str">
        <f>_xlfn.XLOOKUP(Table1[[#This Row],[JobSatisfaction]],Table14[JobSatisfaction],Table14[Deskripsi])</f>
        <v>Very High</v>
      </c>
      <c r="AE263" t="str">
        <f>_xlfn.XLOOKUP(Table1[[#This Row],[MaritalStatus]],Table15[MaritalStatus],Table15[Id_MaritalStatus])</f>
        <v>MS002</v>
      </c>
      <c r="AF263" t="s">
        <v>56</v>
      </c>
      <c r="AG263">
        <v>5249</v>
      </c>
      <c r="AH263">
        <v>19682</v>
      </c>
      <c r="AI263">
        <v>3</v>
      </c>
      <c r="AJ263" t="str">
        <f>_xlfn.XLOOKUP(Table1[[#This Row],[OverTime]],Table16[OverTime],Table16[Id_OverTime])</f>
        <v>OT002</v>
      </c>
      <c r="AK263" t="s">
        <v>33</v>
      </c>
      <c r="AL263">
        <v>18</v>
      </c>
      <c r="AM263" t="str">
        <f>_xlfn.XLOOKUP(Table1[[#This Row],[PerformanceRating]],Table17[PerformanceRating],Table17[Id_PerformanceRating])</f>
        <v>PR003</v>
      </c>
      <c r="AN263">
        <v>3</v>
      </c>
      <c r="AO263" t="str">
        <f>_xlfn.XLOOKUP(Table1[[#This Row],[PerformanceRating]],Table17[PerformanceRating],Table17[Deskripsi])</f>
        <v>Excellent</v>
      </c>
      <c r="AP263" t="str">
        <f>_xlfn.XLOOKUP(Table1[[#This Row],[RelationshipSatisfaction]],Table18[RelationshipSatisfaction],Table18[Id_RelationshipSatisfaction])</f>
        <v>RS004</v>
      </c>
      <c r="AQ263">
        <v>4</v>
      </c>
      <c r="AR263" t="str">
        <f>_xlfn.XLOOKUP(Table1[[#This Row],[RelationshipSatisfaction]],Table18[RelationshipSatisfaction],Table18[Deskripsi])</f>
        <v>Very High</v>
      </c>
      <c r="AS263" t="str">
        <f>_xlfn.XLOOKUP(Table1[[#This Row],[StockOptionLevel]],Table19[StockOptionLevel],Table19[Id_StockOptionLevel])</f>
        <v>SOL002</v>
      </c>
      <c r="AT263">
        <v>1</v>
      </c>
      <c r="AU263" t="str">
        <f>_xlfn.XLOOKUP(Table1[[#This Row],[StockOptionLevel]],Table19[StockOptionLevel],Table19[Deskripsi])</f>
        <v>Standard</v>
      </c>
      <c r="AV263">
        <v>13</v>
      </c>
      <c r="AW263">
        <v>0</v>
      </c>
      <c r="AX263" t="str">
        <f>_xlfn.XLOOKUP(Table1[[#This Row],[WorkLifeBalance]],Table20[WorkLifeBalance],Table20[Id_WorkLifeBalance])</f>
        <v>WLB002</v>
      </c>
      <c r="AY263">
        <v>3</v>
      </c>
      <c r="AZ263" t="str">
        <f>_xlfn.XLOOKUP(Table1[[#This Row],[WorkLifeBalance]],Table20[WorkLifeBalance],Table20[Deskripsi])</f>
        <v>Good</v>
      </c>
      <c r="BA263">
        <v>8</v>
      </c>
      <c r="BB263">
        <v>7</v>
      </c>
      <c r="BC263">
        <v>7</v>
      </c>
      <c r="BD263">
        <v>5</v>
      </c>
    </row>
    <row r="264" spans="1:56" x14ac:dyDescent="0.25">
      <c r="A264">
        <v>32</v>
      </c>
      <c r="B264" t="str">
        <f>_xlfn.XLOOKUP(Table1[[#This Row],[Attrition]],Table2[Attrition],Table2[Id_Attrition])</f>
        <v>A002</v>
      </c>
      <c r="C264" t="s">
        <v>33</v>
      </c>
      <c r="D264" t="str">
        <f>_xlfn.XLOOKUP(Table1[[#This Row],[BusinessTravel]],Table5[BusinessTravel],Table5[Id_BusinessTravel])</f>
        <v>BS001</v>
      </c>
      <c r="E264" t="s">
        <v>34</v>
      </c>
      <c r="F264">
        <v>128</v>
      </c>
      <c r="G264" t="str">
        <f>_xlfn.XLOOKUP(Table1[[#This Row],[Department]],Table6[Department],Table6[Id_Departement])</f>
        <v>D002</v>
      </c>
      <c r="H264" t="s">
        <v>38</v>
      </c>
      <c r="I264">
        <v>2</v>
      </c>
      <c r="J264" t="str">
        <f>_xlfn.XLOOKUP(Table1[[#This Row],[Education]],Table8[Education],Table8[Id_Education])</f>
        <v>E001</v>
      </c>
      <c r="K264">
        <v>1</v>
      </c>
      <c r="L264" t="str">
        <f>_xlfn.XLOOKUP(Table1[[#This Row],[EducationField]],Table7[EducationField],Table7[Id_EducationField])</f>
        <v>EF005</v>
      </c>
      <c r="M264" t="s">
        <v>44</v>
      </c>
      <c r="N264" t="str">
        <f>_xlfn.XLOOKUP(Table1[[#This Row],[EmployeeNumber]],Table4[EmployeeNumber],Table4[Id_Employee])</f>
        <v>EMP00263</v>
      </c>
      <c r="O264">
        <v>362</v>
      </c>
      <c r="P264" t="str">
        <f>_xlfn.XLOOKUP(Table1[[#This Row],[EnvironmentSatisfaction]],Table9[EnvironmentSatisfaction],Table9[Id_EnviromentSatisfaction])</f>
        <v>ES004</v>
      </c>
      <c r="Q264">
        <v>4</v>
      </c>
      <c r="R264" t="str">
        <f>_xlfn.XLOOKUP(Table1[[#This Row],[EnvironmentSatisfaction]],Table9[EnvironmentSatisfaction],Table9[Deskripsi])</f>
        <v>Very High</v>
      </c>
      <c r="S264" t="str">
        <f>_xlfn.XLOOKUP(Table1[[#This Row],[Gender]],Table10[Gender],Table10[Id_Gender])</f>
        <v>G002</v>
      </c>
      <c r="T264" t="s">
        <v>46</v>
      </c>
      <c r="U264">
        <v>84</v>
      </c>
      <c r="V264" t="str">
        <f>_xlfn.XLOOKUP(Table1[[#This Row],[JobInvolvement]],Table11[JobInvolvement],Table11[Id_JobInvolvement])</f>
        <v>JI002</v>
      </c>
      <c r="W264">
        <v>2</v>
      </c>
      <c r="X264" t="str">
        <f>_xlfn.XLOOKUP(Table1[[#This Row],[JobLevel]],Table12[JobLevel],Table12[Id_JobLevel])</f>
        <v>JL002</v>
      </c>
      <c r="Y264">
        <v>2</v>
      </c>
      <c r="Z264" t="str">
        <f>_xlfn.XLOOKUP(Table1[[#This Row],[JobRole]],Table13[JobRole],Table13[Id_JobRole])</f>
        <v>JR003</v>
      </c>
      <c r="AA264" t="s">
        <v>49</v>
      </c>
      <c r="AB264" t="str">
        <f>_xlfn.XLOOKUP(Table1[[#This Row],[JobSatisfaction]],Table14[JobSatisfaction],Table14[Id_JobSatisfaction])</f>
        <v>JS001</v>
      </c>
      <c r="AC264">
        <v>1</v>
      </c>
      <c r="AD264" t="str">
        <f>_xlfn.XLOOKUP(Table1[[#This Row],[JobSatisfaction]],Table14[JobSatisfaction],Table14[Deskripsi])</f>
        <v>Low</v>
      </c>
      <c r="AE264" t="str">
        <f>_xlfn.XLOOKUP(Table1[[#This Row],[MaritalStatus]],Table15[MaritalStatus],Table15[Id_MaritalStatus])</f>
        <v>MS001</v>
      </c>
      <c r="AF264" t="s">
        <v>55</v>
      </c>
      <c r="AG264">
        <v>2176</v>
      </c>
      <c r="AH264">
        <v>19737</v>
      </c>
      <c r="AI264">
        <v>4</v>
      </c>
      <c r="AJ264" t="str">
        <f>_xlfn.XLOOKUP(Table1[[#This Row],[OverTime]],Table16[OverTime],Table16[Id_OverTime])</f>
        <v>OT002</v>
      </c>
      <c r="AK264" t="s">
        <v>33</v>
      </c>
      <c r="AL264">
        <v>13</v>
      </c>
      <c r="AM264" t="str">
        <f>_xlfn.XLOOKUP(Table1[[#This Row],[PerformanceRating]],Table17[PerformanceRating],Table17[Id_PerformanceRating])</f>
        <v>PR003</v>
      </c>
      <c r="AN264">
        <v>3</v>
      </c>
      <c r="AO264" t="str">
        <f>_xlfn.XLOOKUP(Table1[[#This Row],[PerformanceRating]],Table17[PerformanceRating],Table17[Deskripsi])</f>
        <v>Excellent</v>
      </c>
      <c r="AP264" t="str">
        <f>_xlfn.XLOOKUP(Table1[[#This Row],[RelationshipSatisfaction]],Table18[RelationshipSatisfaction],Table18[Id_RelationshipSatisfaction])</f>
        <v>RS004</v>
      </c>
      <c r="AQ264">
        <v>4</v>
      </c>
      <c r="AR264" t="str">
        <f>_xlfn.XLOOKUP(Table1[[#This Row],[RelationshipSatisfaction]],Table18[RelationshipSatisfaction],Table18[Deskripsi])</f>
        <v>Very High</v>
      </c>
      <c r="AS264" t="str">
        <f>_xlfn.XLOOKUP(Table1[[#This Row],[StockOptionLevel]],Table19[StockOptionLevel],Table19[Id_StockOptionLevel])</f>
        <v>SOL001</v>
      </c>
      <c r="AT264">
        <v>0</v>
      </c>
      <c r="AU264" t="str">
        <f>_xlfn.XLOOKUP(Table1[[#This Row],[StockOptionLevel]],Table19[StockOptionLevel],Table19[Deskripsi])</f>
        <v>Non-Eligible</v>
      </c>
      <c r="AV264">
        <v>9</v>
      </c>
      <c r="AW264">
        <v>5</v>
      </c>
      <c r="AX264" t="str">
        <f>_xlfn.XLOOKUP(Table1[[#This Row],[WorkLifeBalance]],Table20[WorkLifeBalance],Table20[Id_WorkLifeBalance])</f>
        <v>WLB002</v>
      </c>
      <c r="AY264">
        <v>3</v>
      </c>
      <c r="AZ264" t="str">
        <f>_xlfn.XLOOKUP(Table1[[#This Row],[WorkLifeBalance]],Table20[WorkLifeBalance],Table20[Deskripsi])</f>
        <v>Good</v>
      </c>
      <c r="BA264">
        <v>6</v>
      </c>
      <c r="BB264">
        <v>2</v>
      </c>
      <c r="BC264">
        <v>0</v>
      </c>
      <c r="BD264">
        <v>4</v>
      </c>
    </row>
    <row r="265" spans="1:56" x14ac:dyDescent="0.25">
      <c r="A265">
        <v>46</v>
      </c>
      <c r="B265" t="str">
        <f>_xlfn.XLOOKUP(Table1[[#This Row],[Attrition]],Table2[Attrition],Table2[Id_Attrition])</f>
        <v>A002</v>
      </c>
      <c r="C265" t="s">
        <v>33</v>
      </c>
      <c r="D265" t="str">
        <f>_xlfn.XLOOKUP(Table1[[#This Row],[BusinessTravel]],Table5[BusinessTravel],Table5[Id_BusinessTravel])</f>
        <v>BS001</v>
      </c>
      <c r="E265" t="s">
        <v>34</v>
      </c>
      <c r="F265">
        <v>488</v>
      </c>
      <c r="G265" t="str">
        <f>_xlfn.XLOOKUP(Table1[[#This Row],[Department]],Table6[Department],Table6[Id_Departement])</f>
        <v>D001</v>
      </c>
      <c r="H265" t="s">
        <v>37</v>
      </c>
      <c r="I265">
        <v>2</v>
      </c>
      <c r="J265" t="str">
        <f>_xlfn.XLOOKUP(Table1[[#This Row],[Education]],Table8[Education],Table8[Id_Education])</f>
        <v>E003</v>
      </c>
      <c r="K265">
        <v>3</v>
      </c>
      <c r="L265" t="str">
        <f>_xlfn.XLOOKUP(Table1[[#This Row],[EducationField]],Table7[EducationField],Table7[Id_EducationField])</f>
        <v>EF005</v>
      </c>
      <c r="M265" t="s">
        <v>44</v>
      </c>
      <c r="N265" t="str">
        <f>_xlfn.XLOOKUP(Table1[[#This Row],[EmployeeNumber]],Table4[EmployeeNumber],Table4[Id_Employee])</f>
        <v>EMP00264</v>
      </c>
      <c r="O265">
        <v>363</v>
      </c>
      <c r="P265" t="str">
        <f>_xlfn.XLOOKUP(Table1[[#This Row],[EnvironmentSatisfaction]],Table9[EnvironmentSatisfaction],Table9[Id_EnviromentSatisfaction])</f>
        <v>ES003</v>
      </c>
      <c r="Q265">
        <v>3</v>
      </c>
      <c r="R265" t="str">
        <f>_xlfn.XLOOKUP(Table1[[#This Row],[EnvironmentSatisfaction]],Table9[EnvironmentSatisfaction],Table9[Deskripsi])</f>
        <v>High</v>
      </c>
      <c r="S265" t="str">
        <f>_xlfn.XLOOKUP(Table1[[#This Row],[Gender]],Table10[Gender],Table10[Id_Gender])</f>
        <v>G001</v>
      </c>
      <c r="T265" t="s">
        <v>45</v>
      </c>
      <c r="U265">
        <v>75</v>
      </c>
      <c r="V265" t="str">
        <f>_xlfn.XLOOKUP(Table1[[#This Row],[JobInvolvement]],Table11[JobInvolvement],Table11[Id_JobInvolvement])</f>
        <v>JI001</v>
      </c>
      <c r="W265">
        <v>1</v>
      </c>
      <c r="X265" t="str">
        <f>_xlfn.XLOOKUP(Table1[[#This Row],[JobLevel]],Table12[JobLevel],Table12[Id_JobLevel])</f>
        <v>JL004</v>
      </c>
      <c r="Y265">
        <v>4</v>
      </c>
      <c r="Z265" t="str">
        <f>_xlfn.XLOOKUP(Table1[[#This Row],[JobRole]],Table13[JobRole],Table13[Id_JobRole])</f>
        <v>JR006</v>
      </c>
      <c r="AA265" t="s">
        <v>52</v>
      </c>
      <c r="AB265" t="str">
        <f>_xlfn.XLOOKUP(Table1[[#This Row],[JobSatisfaction]],Table14[JobSatisfaction],Table14[Id_JobSatisfaction])</f>
        <v>JS002</v>
      </c>
      <c r="AC265">
        <v>2</v>
      </c>
      <c r="AD265" t="str">
        <f>_xlfn.XLOOKUP(Table1[[#This Row],[JobSatisfaction]],Table14[JobSatisfaction],Table14[Deskripsi])</f>
        <v>Medium</v>
      </c>
      <c r="AE265" t="str">
        <f>_xlfn.XLOOKUP(Table1[[#This Row],[MaritalStatus]],Table15[MaritalStatus],Table15[Id_MaritalStatus])</f>
        <v>MS002</v>
      </c>
      <c r="AF265" t="s">
        <v>56</v>
      </c>
      <c r="AG265">
        <v>16872</v>
      </c>
      <c r="AH265">
        <v>14977</v>
      </c>
      <c r="AI265">
        <v>3</v>
      </c>
      <c r="AJ265" t="str">
        <f>_xlfn.XLOOKUP(Table1[[#This Row],[OverTime]],Table16[OverTime],Table16[Id_OverTime])</f>
        <v>OT001</v>
      </c>
      <c r="AK265" t="s">
        <v>32</v>
      </c>
      <c r="AL265">
        <v>12</v>
      </c>
      <c r="AM265" t="str">
        <f>_xlfn.XLOOKUP(Table1[[#This Row],[PerformanceRating]],Table17[PerformanceRating],Table17[Id_PerformanceRating])</f>
        <v>PR003</v>
      </c>
      <c r="AN265">
        <v>3</v>
      </c>
      <c r="AO265" t="str">
        <f>_xlfn.XLOOKUP(Table1[[#This Row],[PerformanceRating]],Table17[PerformanceRating],Table17[Deskripsi])</f>
        <v>Excellent</v>
      </c>
      <c r="AP265" t="str">
        <f>_xlfn.XLOOKUP(Table1[[#This Row],[RelationshipSatisfaction]],Table18[RelationshipSatisfaction],Table18[Id_RelationshipSatisfaction])</f>
        <v>RS002</v>
      </c>
      <c r="AQ265">
        <v>2</v>
      </c>
      <c r="AR265" t="str">
        <f>_xlfn.XLOOKUP(Table1[[#This Row],[RelationshipSatisfaction]],Table18[RelationshipSatisfaction],Table18[Deskripsi])</f>
        <v>Medium</v>
      </c>
      <c r="AS265" t="str">
        <f>_xlfn.XLOOKUP(Table1[[#This Row],[StockOptionLevel]],Table19[StockOptionLevel],Table19[Id_StockOptionLevel])</f>
        <v>SOL002</v>
      </c>
      <c r="AT265">
        <v>1</v>
      </c>
      <c r="AU265" t="str">
        <f>_xlfn.XLOOKUP(Table1[[#This Row],[StockOptionLevel]],Table19[StockOptionLevel],Table19[Deskripsi])</f>
        <v>Standard</v>
      </c>
      <c r="AV265">
        <v>28</v>
      </c>
      <c r="AW265">
        <v>2</v>
      </c>
      <c r="AX265" t="str">
        <f>_xlfn.XLOOKUP(Table1[[#This Row],[WorkLifeBalance]],Table20[WorkLifeBalance],Table20[Id_WorkLifeBalance])</f>
        <v>WLB003</v>
      </c>
      <c r="AY265">
        <v>2</v>
      </c>
      <c r="AZ265" t="str">
        <f>_xlfn.XLOOKUP(Table1[[#This Row],[WorkLifeBalance]],Table20[WorkLifeBalance],Table20[Deskripsi])</f>
        <v>Better</v>
      </c>
      <c r="BA265">
        <v>7</v>
      </c>
      <c r="BB265">
        <v>7</v>
      </c>
      <c r="BC265">
        <v>7</v>
      </c>
      <c r="BD265">
        <v>7</v>
      </c>
    </row>
    <row r="266" spans="1:56" x14ac:dyDescent="0.25">
      <c r="A266">
        <v>28</v>
      </c>
      <c r="B266" t="str">
        <f>_xlfn.XLOOKUP(Table1[[#This Row],[Attrition]],Table2[Attrition],Table2[Id_Attrition])</f>
        <v>A001</v>
      </c>
      <c r="C266" t="s">
        <v>32</v>
      </c>
      <c r="D266" t="str">
        <f>_xlfn.XLOOKUP(Table1[[#This Row],[BusinessTravel]],Table5[BusinessTravel],Table5[Id_BusinessTravel])</f>
        <v>BS001</v>
      </c>
      <c r="E266" t="s">
        <v>34</v>
      </c>
      <c r="F266">
        <v>529</v>
      </c>
      <c r="G266" t="str">
        <f>_xlfn.XLOOKUP(Table1[[#This Row],[Department]],Table6[Department],Table6[Id_Departement])</f>
        <v>D002</v>
      </c>
      <c r="H266" t="s">
        <v>38</v>
      </c>
      <c r="I266">
        <v>2</v>
      </c>
      <c r="J266" t="str">
        <f>_xlfn.XLOOKUP(Table1[[#This Row],[Education]],Table8[Education],Table8[Id_Education])</f>
        <v>E004</v>
      </c>
      <c r="K266">
        <v>4</v>
      </c>
      <c r="L266" t="str">
        <f>_xlfn.XLOOKUP(Table1[[#This Row],[EducationField]],Table7[EducationField],Table7[Id_EducationField])</f>
        <v>EF001</v>
      </c>
      <c r="M266" t="s">
        <v>40</v>
      </c>
      <c r="N266" t="str">
        <f>_xlfn.XLOOKUP(Table1[[#This Row],[EmployeeNumber]],Table4[EmployeeNumber],Table4[Id_Employee])</f>
        <v>EMP00265</v>
      </c>
      <c r="O266">
        <v>364</v>
      </c>
      <c r="P266" t="str">
        <f>_xlfn.XLOOKUP(Table1[[#This Row],[EnvironmentSatisfaction]],Table9[EnvironmentSatisfaction],Table9[Id_EnviromentSatisfaction])</f>
        <v>ES001</v>
      </c>
      <c r="Q266">
        <v>1</v>
      </c>
      <c r="R266" t="str">
        <f>_xlfn.XLOOKUP(Table1[[#This Row],[EnvironmentSatisfaction]],Table9[EnvironmentSatisfaction],Table9[Deskripsi])</f>
        <v>Low</v>
      </c>
      <c r="S266" t="str">
        <f>_xlfn.XLOOKUP(Table1[[#This Row],[Gender]],Table10[Gender],Table10[Id_Gender])</f>
        <v>G002</v>
      </c>
      <c r="T266" t="s">
        <v>46</v>
      </c>
      <c r="U266">
        <v>79</v>
      </c>
      <c r="V266" t="str">
        <f>_xlfn.XLOOKUP(Table1[[#This Row],[JobInvolvement]],Table11[JobInvolvement],Table11[Id_JobInvolvement])</f>
        <v>JI003</v>
      </c>
      <c r="W266">
        <v>3</v>
      </c>
      <c r="X266" t="str">
        <f>_xlfn.XLOOKUP(Table1[[#This Row],[JobLevel]],Table12[JobLevel],Table12[Id_JobLevel])</f>
        <v>JL001</v>
      </c>
      <c r="Y266">
        <v>1</v>
      </c>
      <c r="Z266" t="str">
        <f>_xlfn.XLOOKUP(Table1[[#This Row],[JobRole]],Table13[JobRole],Table13[Id_JobRole])</f>
        <v>JR003</v>
      </c>
      <c r="AA266" t="s">
        <v>49</v>
      </c>
      <c r="AB266" t="str">
        <f>_xlfn.XLOOKUP(Table1[[#This Row],[JobSatisfaction]],Table14[JobSatisfaction],Table14[Id_JobSatisfaction])</f>
        <v>JS003</v>
      </c>
      <c r="AC266">
        <v>3</v>
      </c>
      <c r="AD266" t="str">
        <f>_xlfn.XLOOKUP(Table1[[#This Row],[JobSatisfaction]],Table14[JobSatisfaction],Table14[Deskripsi])</f>
        <v>High</v>
      </c>
      <c r="AE266" t="str">
        <f>_xlfn.XLOOKUP(Table1[[#This Row],[MaritalStatus]],Table15[MaritalStatus],Table15[Id_MaritalStatus])</f>
        <v>MS001</v>
      </c>
      <c r="AF266" t="s">
        <v>55</v>
      </c>
      <c r="AG266">
        <v>3485</v>
      </c>
      <c r="AH266">
        <v>14935</v>
      </c>
      <c r="AI266">
        <v>2</v>
      </c>
      <c r="AJ266" t="str">
        <f>_xlfn.XLOOKUP(Table1[[#This Row],[OverTime]],Table16[OverTime],Table16[Id_OverTime])</f>
        <v>OT002</v>
      </c>
      <c r="AK266" t="s">
        <v>33</v>
      </c>
      <c r="AL266">
        <v>11</v>
      </c>
      <c r="AM266" t="str">
        <f>_xlfn.XLOOKUP(Table1[[#This Row],[PerformanceRating]],Table17[PerformanceRating],Table17[Id_PerformanceRating])</f>
        <v>PR003</v>
      </c>
      <c r="AN266">
        <v>3</v>
      </c>
      <c r="AO266" t="str">
        <f>_xlfn.XLOOKUP(Table1[[#This Row],[PerformanceRating]],Table17[PerformanceRating],Table17[Deskripsi])</f>
        <v>Excellent</v>
      </c>
      <c r="AP266" t="str">
        <f>_xlfn.XLOOKUP(Table1[[#This Row],[RelationshipSatisfaction]],Table18[RelationshipSatisfaction],Table18[Id_RelationshipSatisfaction])</f>
        <v>RS003</v>
      </c>
      <c r="AQ266">
        <v>3</v>
      </c>
      <c r="AR266" t="str">
        <f>_xlfn.XLOOKUP(Table1[[#This Row],[RelationshipSatisfaction]],Table18[RelationshipSatisfaction],Table18[Deskripsi])</f>
        <v>High</v>
      </c>
      <c r="AS266" t="str">
        <f>_xlfn.XLOOKUP(Table1[[#This Row],[StockOptionLevel]],Table19[StockOptionLevel],Table19[Id_StockOptionLevel])</f>
        <v>SOL001</v>
      </c>
      <c r="AT266">
        <v>0</v>
      </c>
      <c r="AU266" t="str">
        <f>_xlfn.XLOOKUP(Table1[[#This Row],[StockOptionLevel]],Table19[StockOptionLevel],Table19[Deskripsi])</f>
        <v>Non-Eligible</v>
      </c>
      <c r="AV266">
        <v>5</v>
      </c>
      <c r="AW266">
        <v>5</v>
      </c>
      <c r="AX266" t="str">
        <f>_xlfn.XLOOKUP(Table1[[#This Row],[WorkLifeBalance]],Table20[WorkLifeBalance],Table20[Id_WorkLifeBalance])</f>
        <v>WLB001</v>
      </c>
      <c r="AY266">
        <v>1</v>
      </c>
      <c r="AZ266" t="str">
        <f>_xlfn.XLOOKUP(Table1[[#This Row],[WorkLifeBalance]],Table20[WorkLifeBalance],Table20[Deskripsi])</f>
        <v>Bad</v>
      </c>
      <c r="BA266">
        <v>0</v>
      </c>
      <c r="BB266">
        <v>0</v>
      </c>
      <c r="BC266">
        <v>0</v>
      </c>
      <c r="BD266">
        <v>0</v>
      </c>
    </row>
    <row r="267" spans="1:56" x14ac:dyDescent="0.25">
      <c r="A267">
        <v>29</v>
      </c>
      <c r="B267" t="str">
        <f>_xlfn.XLOOKUP(Table1[[#This Row],[Attrition]],Table2[Attrition],Table2[Id_Attrition])</f>
        <v>A002</v>
      </c>
      <c r="C267" t="s">
        <v>33</v>
      </c>
      <c r="D267" t="str">
        <f>_xlfn.XLOOKUP(Table1[[#This Row],[BusinessTravel]],Table5[BusinessTravel],Table5[Id_BusinessTravel])</f>
        <v>BS001</v>
      </c>
      <c r="E267" t="s">
        <v>34</v>
      </c>
      <c r="F267">
        <v>1210</v>
      </c>
      <c r="G267" t="str">
        <f>_xlfn.XLOOKUP(Table1[[#This Row],[Department]],Table6[Department],Table6[Id_Departement])</f>
        <v>D001</v>
      </c>
      <c r="H267" t="s">
        <v>37</v>
      </c>
      <c r="I267">
        <v>2</v>
      </c>
      <c r="J267" t="str">
        <f>_xlfn.XLOOKUP(Table1[[#This Row],[Education]],Table8[Education],Table8[Id_Education])</f>
        <v>E003</v>
      </c>
      <c r="K267">
        <v>3</v>
      </c>
      <c r="L267" t="str">
        <f>_xlfn.XLOOKUP(Table1[[#This Row],[EducationField]],Table7[EducationField],Table7[Id_EducationField])</f>
        <v>EF003</v>
      </c>
      <c r="M267" t="s">
        <v>42</v>
      </c>
      <c r="N267" t="str">
        <f>_xlfn.XLOOKUP(Table1[[#This Row],[EmployeeNumber]],Table4[EmployeeNumber],Table4[Id_Employee])</f>
        <v>EMP00266</v>
      </c>
      <c r="O267">
        <v>366</v>
      </c>
      <c r="P267" t="str">
        <f>_xlfn.XLOOKUP(Table1[[#This Row],[EnvironmentSatisfaction]],Table9[EnvironmentSatisfaction],Table9[Id_EnviromentSatisfaction])</f>
        <v>ES001</v>
      </c>
      <c r="Q267">
        <v>1</v>
      </c>
      <c r="R267" t="str">
        <f>_xlfn.XLOOKUP(Table1[[#This Row],[EnvironmentSatisfaction]],Table9[EnvironmentSatisfaction],Table9[Deskripsi])</f>
        <v>Low</v>
      </c>
      <c r="S267" t="str">
        <f>_xlfn.XLOOKUP(Table1[[#This Row],[Gender]],Table10[Gender],Table10[Id_Gender])</f>
        <v>G002</v>
      </c>
      <c r="T267" t="s">
        <v>46</v>
      </c>
      <c r="U267">
        <v>78</v>
      </c>
      <c r="V267" t="str">
        <f>_xlfn.XLOOKUP(Table1[[#This Row],[JobInvolvement]],Table11[JobInvolvement],Table11[Id_JobInvolvement])</f>
        <v>JI002</v>
      </c>
      <c r="W267">
        <v>2</v>
      </c>
      <c r="X267" t="str">
        <f>_xlfn.XLOOKUP(Table1[[#This Row],[JobLevel]],Table12[JobLevel],Table12[Id_JobLevel])</f>
        <v>JL002</v>
      </c>
      <c r="Y267">
        <v>2</v>
      </c>
      <c r="Z267" t="str">
        <f>_xlfn.XLOOKUP(Table1[[#This Row],[JobRole]],Table13[JobRole],Table13[Id_JobRole])</f>
        <v>JR001</v>
      </c>
      <c r="AA267" t="s">
        <v>47</v>
      </c>
      <c r="AB267" t="str">
        <f>_xlfn.XLOOKUP(Table1[[#This Row],[JobSatisfaction]],Table14[JobSatisfaction],Table14[Id_JobSatisfaction])</f>
        <v>JS002</v>
      </c>
      <c r="AC267">
        <v>2</v>
      </c>
      <c r="AD267" t="str">
        <f>_xlfn.XLOOKUP(Table1[[#This Row],[JobSatisfaction]],Table14[JobSatisfaction],Table14[Deskripsi])</f>
        <v>Medium</v>
      </c>
      <c r="AE267" t="str">
        <f>_xlfn.XLOOKUP(Table1[[#This Row],[MaritalStatus]],Table15[MaritalStatus],Table15[Id_MaritalStatus])</f>
        <v>MS002</v>
      </c>
      <c r="AF267" t="s">
        <v>56</v>
      </c>
      <c r="AG267">
        <v>6644</v>
      </c>
      <c r="AH267">
        <v>3687</v>
      </c>
      <c r="AI267">
        <v>2</v>
      </c>
      <c r="AJ267" t="str">
        <f>_xlfn.XLOOKUP(Table1[[#This Row],[OverTime]],Table16[OverTime],Table16[Id_OverTime])</f>
        <v>OT002</v>
      </c>
      <c r="AK267" t="s">
        <v>33</v>
      </c>
      <c r="AL267">
        <v>19</v>
      </c>
      <c r="AM267" t="str">
        <f>_xlfn.XLOOKUP(Table1[[#This Row],[PerformanceRating]],Table17[PerformanceRating],Table17[Id_PerformanceRating])</f>
        <v>PR003</v>
      </c>
      <c r="AN267">
        <v>3</v>
      </c>
      <c r="AO267" t="str">
        <f>_xlfn.XLOOKUP(Table1[[#This Row],[PerformanceRating]],Table17[PerformanceRating],Table17[Deskripsi])</f>
        <v>Excellent</v>
      </c>
      <c r="AP267" t="str">
        <f>_xlfn.XLOOKUP(Table1[[#This Row],[RelationshipSatisfaction]],Table18[RelationshipSatisfaction],Table18[Id_RelationshipSatisfaction])</f>
        <v>RS002</v>
      </c>
      <c r="AQ267">
        <v>2</v>
      </c>
      <c r="AR267" t="str">
        <f>_xlfn.XLOOKUP(Table1[[#This Row],[RelationshipSatisfaction]],Table18[RelationshipSatisfaction],Table18[Deskripsi])</f>
        <v>Medium</v>
      </c>
      <c r="AS267" t="str">
        <f>_xlfn.XLOOKUP(Table1[[#This Row],[StockOptionLevel]],Table19[StockOptionLevel],Table19[Id_StockOptionLevel])</f>
        <v>SOL003</v>
      </c>
      <c r="AT267">
        <v>2</v>
      </c>
      <c r="AU267" t="str">
        <f>_xlfn.XLOOKUP(Table1[[#This Row],[StockOptionLevel]],Table19[StockOptionLevel],Table19[Deskripsi])</f>
        <v>Intermediate</v>
      </c>
      <c r="AV267">
        <v>10</v>
      </c>
      <c r="AW267">
        <v>2</v>
      </c>
      <c r="AX267" t="str">
        <f>_xlfn.XLOOKUP(Table1[[#This Row],[WorkLifeBalance]],Table20[WorkLifeBalance],Table20[Id_WorkLifeBalance])</f>
        <v>WLB002</v>
      </c>
      <c r="AY267">
        <v>3</v>
      </c>
      <c r="AZ267" t="str">
        <f>_xlfn.XLOOKUP(Table1[[#This Row],[WorkLifeBalance]],Table20[WorkLifeBalance],Table20[Deskripsi])</f>
        <v>Good</v>
      </c>
      <c r="BA267">
        <v>0</v>
      </c>
      <c r="BB267">
        <v>0</v>
      </c>
      <c r="BC267">
        <v>0</v>
      </c>
      <c r="BD267">
        <v>0</v>
      </c>
    </row>
    <row r="268" spans="1:56" x14ac:dyDescent="0.25">
      <c r="A268">
        <v>31</v>
      </c>
      <c r="B268" t="str">
        <f>_xlfn.XLOOKUP(Table1[[#This Row],[Attrition]],Table2[Attrition],Table2[Id_Attrition])</f>
        <v>A002</v>
      </c>
      <c r="C268" t="s">
        <v>33</v>
      </c>
      <c r="D268" t="str">
        <f>_xlfn.XLOOKUP(Table1[[#This Row],[BusinessTravel]],Table5[BusinessTravel],Table5[Id_BusinessTravel])</f>
        <v>BS001</v>
      </c>
      <c r="E268" t="s">
        <v>34</v>
      </c>
      <c r="F268">
        <v>1463</v>
      </c>
      <c r="G268" t="str">
        <f>_xlfn.XLOOKUP(Table1[[#This Row],[Department]],Table6[Department],Table6[Id_Departement])</f>
        <v>D002</v>
      </c>
      <c r="H268" t="s">
        <v>38</v>
      </c>
      <c r="I268">
        <v>23</v>
      </c>
      <c r="J268" t="str">
        <f>_xlfn.XLOOKUP(Table1[[#This Row],[Education]],Table8[Education],Table8[Id_Education])</f>
        <v>E003</v>
      </c>
      <c r="K268">
        <v>3</v>
      </c>
      <c r="L268" t="str">
        <f>_xlfn.XLOOKUP(Table1[[#This Row],[EducationField]],Table7[EducationField],Table7[Id_EducationField])</f>
        <v>EF003</v>
      </c>
      <c r="M268" t="s">
        <v>42</v>
      </c>
      <c r="N268" t="str">
        <f>_xlfn.XLOOKUP(Table1[[#This Row],[EmployeeNumber]],Table4[EmployeeNumber],Table4[Id_Employee])</f>
        <v>EMP00267</v>
      </c>
      <c r="O268">
        <v>367</v>
      </c>
      <c r="P268" t="str">
        <f>_xlfn.XLOOKUP(Table1[[#This Row],[EnvironmentSatisfaction]],Table9[EnvironmentSatisfaction],Table9[Id_EnviromentSatisfaction])</f>
        <v>ES002</v>
      </c>
      <c r="Q268">
        <v>2</v>
      </c>
      <c r="R268" t="str">
        <f>_xlfn.XLOOKUP(Table1[[#This Row],[EnvironmentSatisfaction]],Table9[EnvironmentSatisfaction],Table9[Deskripsi])</f>
        <v>Medium</v>
      </c>
      <c r="S268" t="str">
        <f>_xlfn.XLOOKUP(Table1[[#This Row],[Gender]],Table10[Gender],Table10[Id_Gender])</f>
        <v>G002</v>
      </c>
      <c r="T268" t="s">
        <v>46</v>
      </c>
      <c r="U268">
        <v>64</v>
      </c>
      <c r="V268" t="str">
        <f>_xlfn.XLOOKUP(Table1[[#This Row],[JobInvolvement]],Table11[JobInvolvement],Table11[Id_JobInvolvement])</f>
        <v>JI002</v>
      </c>
      <c r="W268">
        <v>2</v>
      </c>
      <c r="X268" t="str">
        <f>_xlfn.XLOOKUP(Table1[[#This Row],[JobLevel]],Table12[JobLevel],Table12[Id_JobLevel])</f>
        <v>JL002</v>
      </c>
      <c r="Y268">
        <v>2</v>
      </c>
      <c r="Z268" t="str">
        <f>_xlfn.XLOOKUP(Table1[[#This Row],[JobRole]],Table13[JobRole],Table13[Id_JobRole])</f>
        <v>JR005</v>
      </c>
      <c r="AA268" t="s">
        <v>51</v>
      </c>
      <c r="AB268" t="str">
        <f>_xlfn.XLOOKUP(Table1[[#This Row],[JobSatisfaction]],Table14[JobSatisfaction],Table14[Id_JobSatisfaction])</f>
        <v>JS004</v>
      </c>
      <c r="AC268">
        <v>4</v>
      </c>
      <c r="AD268" t="str">
        <f>_xlfn.XLOOKUP(Table1[[#This Row],[JobSatisfaction]],Table14[JobSatisfaction],Table14[Deskripsi])</f>
        <v>Very High</v>
      </c>
      <c r="AE268" t="str">
        <f>_xlfn.XLOOKUP(Table1[[#This Row],[MaritalStatus]],Table15[MaritalStatus],Table15[Id_MaritalStatus])</f>
        <v>MS002</v>
      </c>
      <c r="AF268" t="s">
        <v>56</v>
      </c>
      <c r="AG268">
        <v>5582</v>
      </c>
      <c r="AH268">
        <v>14408</v>
      </c>
      <c r="AI268">
        <v>0</v>
      </c>
      <c r="AJ268" t="str">
        <f>_xlfn.XLOOKUP(Table1[[#This Row],[OverTime]],Table16[OverTime],Table16[Id_OverTime])</f>
        <v>OT002</v>
      </c>
      <c r="AK268" t="s">
        <v>33</v>
      </c>
      <c r="AL268">
        <v>21</v>
      </c>
      <c r="AM268" t="str">
        <f>_xlfn.XLOOKUP(Table1[[#This Row],[PerformanceRating]],Table17[PerformanceRating],Table17[Id_PerformanceRating])</f>
        <v>PR004</v>
      </c>
      <c r="AN268">
        <v>4</v>
      </c>
      <c r="AO268" t="str">
        <f>_xlfn.XLOOKUP(Table1[[#This Row],[PerformanceRating]],Table17[PerformanceRating],Table17[Deskripsi])</f>
        <v>Outstanding</v>
      </c>
      <c r="AP268" t="str">
        <f>_xlfn.XLOOKUP(Table1[[#This Row],[RelationshipSatisfaction]],Table18[RelationshipSatisfaction],Table18[Id_RelationshipSatisfaction])</f>
        <v>RS002</v>
      </c>
      <c r="AQ268">
        <v>2</v>
      </c>
      <c r="AR268" t="str">
        <f>_xlfn.XLOOKUP(Table1[[#This Row],[RelationshipSatisfaction]],Table18[RelationshipSatisfaction],Table18[Deskripsi])</f>
        <v>Medium</v>
      </c>
      <c r="AS268" t="str">
        <f>_xlfn.XLOOKUP(Table1[[#This Row],[StockOptionLevel]],Table19[StockOptionLevel],Table19[Id_StockOptionLevel])</f>
        <v>SOL002</v>
      </c>
      <c r="AT268">
        <v>1</v>
      </c>
      <c r="AU268" t="str">
        <f>_xlfn.XLOOKUP(Table1[[#This Row],[StockOptionLevel]],Table19[StockOptionLevel],Table19[Deskripsi])</f>
        <v>Standard</v>
      </c>
      <c r="AV268">
        <v>10</v>
      </c>
      <c r="AW268">
        <v>2</v>
      </c>
      <c r="AX268" t="str">
        <f>_xlfn.XLOOKUP(Table1[[#This Row],[WorkLifeBalance]],Table20[WorkLifeBalance],Table20[Id_WorkLifeBalance])</f>
        <v>WLB002</v>
      </c>
      <c r="AY268">
        <v>3</v>
      </c>
      <c r="AZ268" t="str">
        <f>_xlfn.XLOOKUP(Table1[[#This Row],[WorkLifeBalance]],Table20[WorkLifeBalance],Table20[Deskripsi])</f>
        <v>Good</v>
      </c>
      <c r="BA268">
        <v>9</v>
      </c>
      <c r="BB268">
        <v>0</v>
      </c>
      <c r="BC268">
        <v>7</v>
      </c>
      <c r="BD268">
        <v>8</v>
      </c>
    </row>
    <row r="269" spans="1:56" x14ac:dyDescent="0.25">
      <c r="A269">
        <v>25</v>
      </c>
      <c r="B269" t="str">
        <f>_xlfn.XLOOKUP(Table1[[#This Row],[Attrition]],Table2[Attrition],Table2[Id_Attrition])</f>
        <v>A002</v>
      </c>
      <c r="C269" t="s">
        <v>33</v>
      </c>
      <c r="D269" t="str">
        <f>_xlfn.XLOOKUP(Table1[[#This Row],[BusinessTravel]],Table5[BusinessTravel],Table5[Id_BusinessTravel])</f>
        <v>BS003</v>
      </c>
      <c r="E269" t="s">
        <v>36</v>
      </c>
      <c r="F269">
        <v>675</v>
      </c>
      <c r="G269" t="str">
        <f>_xlfn.XLOOKUP(Table1[[#This Row],[Department]],Table6[Department],Table6[Id_Departement])</f>
        <v>D002</v>
      </c>
      <c r="H269" t="s">
        <v>38</v>
      </c>
      <c r="I269">
        <v>5</v>
      </c>
      <c r="J269" t="str">
        <f>_xlfn.XLOOKUP(Table1[[#This Row],[Education]],Table8[Education],Table8[Id_Education])</f>
        <v>E002</v>
      </c>
      <c r="K269">
        <v>2</v>
      </c>
      <c r="L269" t="str">
        <f>_xlfn.XLOOKUP(Table1[[#This Row],[EducationField]],Table7[EducationField],Table7[Id_EducationField])</f>
        <v>EF001</v>
      </c>
      <c r="M269" t="s">
        <v>40</v>
      </c>
      <c r="N269" t="str">
        <f>_xlfn.XLOOKUP(Table1[[#This Row],[EmployeeNumber]],Table4[EmployeeNumber],Table4[Id_Employee])</f>
        <v>EMP00268</v>
      </c>
      <c r="O269">
        <v>369</v>
      </c>
      <c r="P269" t="str">
        <f>_xlfn.XLOOKUP(Table1[[#This Row],[EnvironmentSatisfaction]],Table9[EnvironmentSatisfaction],Table9[Id_EnviromentSatisfaction])</f>
        <v>ES002</v>
      </c>
      <c r="Q269">
        <v>2</v>
      </c>
      <c r="R269" t="str">
        <f>_xlfn.XLOOKUP(Table1[[#This Row],[EnvironmentSatisfaction]],Table9[EnvironmentSatisfaction],Table9[Deskripsi])</f>
        <v>Medium</v>
      </c>
      <c r="S269" t="str">
        <f>_xlfn.XLOOKUP(Table1[[#This Row],[Gender]],Table10[Gender],Table10[Id_Gender])</f>
        <v>G002</v>
      </c>
      <c r="T269" t="s">
        <v>46</v>
      </c>
      <c r="U269">
        <v>85</v>
      </c>
      <c r="V269" t="str">
        <f>_xlfn.XLOOKUP(Table1[[#This Row],[JobInvolvement]],Table11[JobInvolvement],Table11[Id_JobInvolvement])</f>
        <v>JI004</v>
      </c>
      <c r="W269">
        <v>4</v>
      </c>
      <c r="X269" t="str">
        <f>_xlfn.XLOOKUP(Table1[[#This Row],[JobLevel]],Table12[JobLevel],Table12[Id_JobLevel])</f>
        <v>JL002</v>
      </c>
      <c r="Y269">
        <v>2</v>
      </c>
      <c r="Z269" t="str">
        <f>_xlfn.XLOOKUP(Table1[[#This Row],[JobRole]],Table13[JobRole],Table13[Id_JobRole])</f>
        <v>JR005</v>
      </c>
      <c r="AA269" t="s">
        <v>51</v>
      </c>
      <c r="AB269" t="str">
        <f>_xlfn.XLOOKUP(Table1[[#This Row],[JobSatisfaction]],Table14[JobSatisfaction],Table14[Id_JobSatisfaction])</f>
        <v>JS001</v>
      </c>
      <c r="AC269">
        <v>1</v>
      </c>
      <c r="AD269" t="str">
        <f>_xlfn.XLOOKUP(Table1[[#This Row],[JobSatisfaction]],Table14[JobSatisfaction],Table14[Deskripsi])</f>
        <v>Low</v>
      </c>
      <c r="AE269" t="str">
        <f>_xlfn.XLOOKUP(Table1[[#This Row],[MaritalStatus]],Table15[MaritalStatus],Table15[Id_MaritalStatus])</f>
        <v>MS003</v>
      </c>
      <c r="AF269" t="s">
        <v>57</v>
      </c>
      <c r="AG269">
        <v>4000</v>
      </c>
      <c r="AH269">
        <v>18384</v>
      </c>
      <c r="AI269">
        <v>1</v>
      </c>
      <c r="AJ269" t="str">
        <f>_xlfn.XLOOKUP(Table1[[#This Row],[OverTime]],Table16[OverTime],Table16[Id_OverTime])</f>
        <v>OT002</v>
      </c>
      <c r="AK269" t="s">
        <v>33</v>
      </c>
      <c r="AL269">
        <v>12</v>
      </c>
      <c r="AM269" t="str">
        <f>_xlfn.XLOOKUP(Table1[[#This Row],[PerformanceRating]],Table17[PerformanceRating],Table17[Id_PerformanceRating])</f>
        <v>PR003</v>
      </c>
      <c r="AN269">
        <v>3</v>
      </c>
      <c r="AO269" t="str">
        <f>_xlfn.XLOOKUP(Table1[[#This Row],[PerformanceRating]],Table17[PerformanceRating],Table17[Deskripsi])</f>
        <v>Excellent</v>
      </c>
      <c r="AP269" t="str">
        <f>_xlfn.XLOOKUP(Table1[[#This Row],[RelationshipSatisfaction]],Table18[RelationshipSatisfaction],Table18[Id_RelationshipSatisfaction])</f>
        <v>RS004</v>
      </c>
      <c r="AQ269">
        <v>4</v>
      </c>
      <c r="AR269" t="str">
        <f>_xlfn.XLOOKUP(Table1[[#This Row],[RelationshipSatisfaction]],Table18[RelationshipSatisfaction],Table18[Deskripsi])</f>
        <v>Very High</v>
      </c>
      <c r="AS269" t="str">
        <f>_xlfn.XLOOKUP(Table1[[#This Row],[StockOptionLevel]],Table19[StockOptionLevel],Table19[Id_StockOptionLevel])</f>
        <v>SOL003</v>
      </c>
      <c r="AT269">
        <v>2</v>
      </c>
      <c r="AU269" t="str">
        <f>_xlfn.XLOOKUP(Table1[[#This Row],[StockOptionLevel]],Table19[StockOptionLevel],Table19[Deskripsi])</f>
        <v>Intermediate</v>
      </c>
      <c r="AV269">
        <v>6</v>
      </c>
      <c r="AW269">
        <v>2</v>
      </c>
      <c r="AX269" t="str">
        <f>_xlfn.XLOOKUP(Table1[[#This Row],[WorkLifeBalance]],Table20[WorkLifeBalance],Table20[Id_WorkLifeBalance])</f>
        <v>WLB002</v>
      </c>
      <c r="AY269">
        <v>3</v>
      </c>
      <c r="AZ269" t="str">
        <f>_xlfn.XLOOKUP(Table1[[#This Row],[WorkLifeBalance]],Table20[WorkLifeBalance],Table20[Deskripsi])</f>
        <v>Good</v>
      </c>
      <c r="BA269">
        <v>6</v>
      </c>
      <c r="BB269">
        <v>3</v>
      </c>
      <c r="BC269">
        <v>1</v>
      </c>
      <c r="BD269">
        <v>5</v>
      </c>
    </row>
    <row r="270" spans="1:56" x14ac:dyDescent="0.25">
      <c r="A270">
        <v>45</v>
      </c>
      <c r="B270" t="str">
        <f>_xlfn.XLOOKUP(Table1[[#This Row],[Attrition]],Table2[Attrition],Table2[Id_Attrition])</f>
        <v>A002</v>
      </c>
      <c r="C270" t="s">
        <v>33</v>
      </c>
      <c r="D270" t="str">
        <f>_xlfn.XLOOKUP(Table1[[#This Row],[BusinessTravel]],Table5[BusinessTravel],Table5[Id_BusinessTravel])</f>
        <v>BS001</v>
      </c>
      <c r="E270" t="s">
        <v>34</v>
      </c>
      <c r="F270">
        <v>1385</v>
      </c>
      <c r="G270" t="str">
        <f>_xlfn.XLOOKUP(Table1[[#This Row],[Department]],Table6[Department],Table6[Id_Departement])</f>
        <v>D002</v>
      </c>
      <c r="H270" t="s">
        <v>38</v>
      </c>
      <c r="I270">
        <v>20</v>
      </c>
      <c r="J270" t="str">
        <f>_xlfn.XLOOKUP(Table1[[#This Row],[Education]],Table8[Education],Table8[Id_Education])</f>
        <v>E002</v>
      </c>
      <c r="K270">
        <v>2</v>
      </c>
      <c r="L270" t="str">
        <f>_xlfn.XLOOKUP(Table1[[#This Row],[EducationField]],Table7[EducationField],Table7[Id_EducationField])</f>
        <v>EF003</v>
      </c>
      <c r="M270" t="s">
        <v>42</v>
      </c>
      <c r="N270" t="str">
        <f>_xlfn.XLOOKUP(Table1[[#This Row],[EmployeeNumber]],Table4[EmployeeNumber],Table4[Id_Employee])</f>
        <v>EMP00269</v>
      </c>
      <c r="O270">
        <v>372</v>
      </c>
      <c r="P270" t="str">
        <f>_xlfn.XLOOKUP(Table1[[#This Row],[EnvironmentSatisfaction]],Table9[EnvironmentSatisfaction],Table9[Id_EnviromentSatisfaction])</f>
        <v>ES003</v>
      </c>
      <c r="Q270">
        <v>3</v>
      </c>
      <c r="R270" t="str">
        <f>_xlfn.XLOOKUP(Table1[[#This Row],[EnvironmentSatisfaction]],Table9[EnvironmentSatisfaction],Table9[Deskripsi])</f>
        <v>High</v>
      </c>
      <c r="S270" t="str">
        <f>_xlfn.XLOOKUP(Table1[[#This Row],[Gender]],Table10[Gender],Table10[Id_Gender])</f>
        <v>G002</v>
      </c>
      <c r="T270" t="s">
        <v>46</v>
      </c>
      <c r="U270">
        <v>79</v>
      </c>
      <c r="V270" t="str">
        <f>_xlfn.XLOOKUP(Table1[[#This Row],[JobInvolvement]],Table11[JobInvolvement],Table11[Id_JobInvolvement])</f>
        <v>JI003</v>
      </c>
      <c r="W270">
        <v>3</v>
      </c>
      <c r="X270" t="str">
        <f>_xlfn.XLOOKUP(Table1[[#This Row],[JobLevel]],Table12[JobLevel],Table12[Id_JobLevel])</f>
        <v>JL004</v>
      </c>
      <c r="Y270">
        <v>4</v>
      </c>
      <c r="Z270" t="str">
        <f>_xlfn.XLOOKUP(Table1[[#This Row],[JobRole]],Table13[JobRole],Table13[Id_JobRole])</f>
        <v>JR005</v>
      </c>
      <c r="AA270" t="s">
        <v>51</v>
      </c>
      <c r="AB270" t="str">
        <f>_xlfn.XLOOKUP(Table1[[#This Row],[JobSatisfaction]],Table14[JobSatisfaction],Table14[Id_JobSatisfaction])</f>
        <v>JS004</v>
      </c>
      <c r="AC270">
        <v>4</v>
      </c>
      <c r="AD270" t="str">
        <f>_xlfn.XLOOKUP(Table1[[#This Row],[JobSatisfaction]],Table14[JobSatisfaction],Table14[Deskripsi])</f>
        <v>Very High</v>
      </c>
      <c r="AE270" t="str">
        <f>_xlfn.XLOOKUP(Table1[[#This Row],[MaritalStatus]],Table15[MaritalStatus],Table15[Id_MaritalStatus])</f>
        <v>MS002</v>
      </c>
      <c r="AF270" t="s">
        <v>56</v>
      </c>
      <c r="AG270">
        <v>13496</v>
      </c>
      <c r="AH270">
        <v>7501</v>
      </c>
      <c r="AI270">
        <v>0</v>
      </c>
      <c r="AJ270" t="str">
        <f>_xlfn.XLOOKUP(Table1[[#This Row],[OverTime]],Table16[OverTime],Table16[Id_OverTime])</f>
        <v>OT001</v>
      </c>
      <c r="AK270" t="s">
        <v>32</v>
      </c>
      <c r="AL270">
        <v>14</v>
      </c>
      <c r="AM270" t="str">
        <f>_xlfn.XLOOKUP(Table1[[#This Row],[PerformanceRating]],Table17[PerformanceRating],Table17[Id_PerformanceRating])</f>
        <v>PR003</v>
      </c>
      <c r="AN270">
        <v>3</v>
      </c>
      <c r="AO270" t="str">
        <f>_xlfn.XLOOKUP(Table1[[#This Row],[PerformanceRating]],Table17[PerformanceRating],Table17[Deskripsi])</f>
        <v>Excellent</v>
      </c>
      <c r="AP270" t="str">
        <f>_xlfn.XLOOKUP(Table1[[#This Row],[RelationshipSatisfaction]],Table18[RelationshipSatisfaction],Table18[Id_RelationshipSatisfaction])</f>
        <v>RS002</v>
      </c>
      <c r="AQ270">
        <v>2</v>
      </c>
      <c r="AR270" t="str">
        <f>_xlfn.XLOOKUP(Table1[[#This Row],[RelationshipSatisfaction]],Table18[RelationshipSatisfaction],Table18[Deskripsi])</f>
        <v>Medium</v>
      </c>
      <c r="AS270" t="str">
        <f>_xlfn.XLOOKUP(Table1[[#This Row],[StockOptionLevel]],Table19[StockOptionLevel],Table19[Id_StockOptionLevel])</f>
        <v>SOL001</v>
      </c>
      <c r="AT270">
        <v>0</v>
      </c>
      <c r="AU270" t="str">
        <f>_xlfn.XLOOKUP(Table1[[#This Row],[StockOptionLevel]],Table19[StockOptionLevel],Table19[Deskripsi])</f>
        <v>Non-Eligible</v>
      </c>
      <c r="AV270">
        <v>21</v>
      </c>
      <c r="AW270">
        <v>2</v>
      </c>
      <c r="AX270" t="str">
        <f>_xlfn.XLOOKUP(Table1[[#This Row],[WorkLifeBalance]],Table20[WorkLifeBalance],Table20[Id_WorkLifeBalance])</f>
        <v>WLB002</v>
      </c>
      <c r="AY270">
        <v>3</v>
      </c>
      <c r="AZ270" t="str">
        <f>_xlfn.XLOOKUP(Table1[[#This Row],[WorkLifeBalance]],Table20[WorkLifeBalance],Table20[Deskripsi])</f>
        <v>Good</v>
      </c>
      <c r="BA270">
        <v>20</v>
      </c>
      <c r="BB270">
        <v>7</v>
      </c>
      <c r="BC270">
        <v>4</v>
      </c>
      <c r="BD270">
        <v>10</v>
      </c>
    </row>
    <row r="271" spans="1:56" x14ac:dyDescent="0.25">
      <c r="A271">
        <v>36</v>
      </c>
      <c r="B271" t="str">
        <f>_xlfn.XLOOKUP(Table1[[#This Row],[Attrition]],Table2[Attrition],Table2[Id_Attrition])</f>
        <v>A002</v>
      </c>
      <c r="C271" t="s">
        <v>33</v>
      </c>
      <c r="D271" t="str">
        <f>_xlfn.XLOOKUP(Table1[[#This Row],[BusinessTravel]],Table5[BusinessTravel],Table5[Id_BusinessTravel])</f>
        <v>BS001</v>
      </c>
      <c r="E271" t="s">
        <v>34</v>
      </c>
      <c r="F271">
        <v>1403</v>
      </c>
      <c r="G271" t="str">
        <f>_xlfn.XLOOKUP(Table1[[#This Row],[Department]],Table6[Department],Table6[Id_Departement])</f>
        <v>D002</v>
      </c>
      <c r="H271" t="s">
        <v>38</v>
      </c>
      <c r="I271">
        <v>6</v>
      </c>
      <c r="J271" t="str">
        <f>_xlfn.XLOOKUP(Table1[[#This Row],[Education]],Table8[Education],Table8[Id_Education])</f>
        <v>E003</v>
      </c>
      <c r="K271">
        <v>3</v>
      </c>
      <c r="L271" t="str">
        <f>_xlfn.XLOOKUP(Table1[[#This Row],[EducationField]],Table7[EducationField],Table7[Id_EducationField])</f>
        <v>EF001</v>
      </c>
      <c r="M271" t="s">
        <v>40</v>
      </c>
      <c r="N271" t="str">
        <f>_xlfn.XLOOKUP(Table1[[#This Row],[EmployeeNumber]],Table4[EmployeeNumber],Table4[Id_Employee])</f>
        <v>EMP00270</v>
      </c>
      <c r="O271">
        <v>373</v>
      </c>
      <c r="P271" t="str">
        <f>_xlfn.XLOOKUP(Table1[[#This Row],[EnvironmentSatisfaction]],Table9[EnvironmentSatisfaction],Table9[Id_EnviromentSatisfaction])</f>
        <v>ES004</v>
      </c>
      <c r="Q271">
        <v>4</v>
      </c>
      <c r="R271" t="str">
        <f>_xlfn.XLOOKUP(Table1[[#This Row],[EnvironmentSatisfaction]],Table9[EnvironmentSatisfaction],Table9[Deskripsi])</f>
        <v>Very High</v>
      </c>
      <c r="S271" t="str">
        <f>_xlfn.XLOOKUP(Table1[[#This Row],[Gender]],Table10[Gender],Table10[Id_Gender])</f>
        <v>G002</v>
      </c>
      <c r="T271" t="s">
        <v>46</v>
      </c>
      <c r="U271">
        <v>47</v>
      </c>
      <c r="V271" t="str">
        <f>_xlfn.XLOOKUP(Table1[[#This Row],[JobInvolvement]],Table11[JobInvolvement],Table11[Id_JobInvolvement])</f>
        <v>JI003</v>
      </c>
      <c r="W271">
        <v>3</v>
      </c>
      <c r="X271" t="str">
        <f>_xlfn.XLOOKUP(Table1[[#This Row],[JobLevel]],Table12[JobLevel],Table12[Id_JobLevel])</f>
        <v>JL001</v>
      </c>
      <c r="Y271">
        <v>1</v>
      </c>
      <c r="Z271" t="str">
        <f>_xlfn.XLOOKUP(Table1[[#This Row],[JobRole]],Table13[JobRole],Table13[Id_JobRole])</f>
        <v>JR003</v>
      </c>
      <c r="AA271" t="s">
        <v>49</v>
      </c>
      <c r="AB271" t="str">
        <f>_xlfn.XLOOKUP(Table1[[#This Row],[JobSatisfaction]],Table14[JobSatisfaction],Table14[Id_JobSatisfaction])</f>
        <v>JS004</v>
      </c>
      <c r="AC271">
        <v>4</v>
      </c>
      <c r="AD271" t="str">
        <f>_xlfn.XLOOKUP(Table1[[#This Row],[JobSatisfaction]],Table14[JobSatisfaction],Table14[Deskripsi])</f>
        <v>Very High</v>
      </c>
      <c r="AE271" t="str">
        <f>_xlfn.XLOOKUP(Table1[[#This Row],[MaritalStatus]],Table15[MaritalStatus],Table15[Id_MaritalStatus])</f>
        <v>MS002</v>
      </c>
      <c r="AF271" t="s">
        <v>56</v>
      </c>
      <c r="AG271">
        <v>3210</v>
      </c>
      <c r="AH271">
        <v>20251</v>
      </c>
      <c r="AI271">
        <v>0</v>
      </c>
      <c r="AJ271" t="str">
        <f>_xlfn.XLOOKUP(Table1[[#This Row],[OverTime]],Table16[OverTime],Table16[Id_OverTime])</f>
        <v>OT002</v>
      </c>
      <c r="AK271" t="s">
        <v>33</v>
      </c>
      <c r="AL271">
        <v>11</v>
      </c>
      <c r="AM271" t="str">
        <f>_xlfn.XLOOKUP(Table1[[#This Row],[PerformanceRating]],Table17[PerformanceRating],Table17[Id_PerformanceRating])</f>
        <v>PR003</v>
      </c>
      <c r="AN271">
        <v>3</v>
      </c>
      <c r="AO271" t="str">
        <f>_xlfn.XLOOKUP(Table1[[#This Row],[PerformanceRating]],Table17[PerformanceRating],Table17[Deskripsi])</f>
        <v>Excellent</v>
      </c>
      <c r="AP271" t="str">
        <f>_xlfn.XLOOKUP(Table1[[#This Row],[RelationshipSatisfaction]],Table18[RelationshipSatisfaction],Table18[Id_RelationshipSatisfaction])</f>
        <v>RS003</v>
      </c>
      <c r="AQ271">
        <v>3</v>
      </c>
      <c r="AR271" t="str">
        <f>_xlfn.XLOOKUP(Table1[[#This Row],[RelationshipSatisfaction]],Table18[RelationshipSatisfaction],Table18[Deskripsi])</f>
        <v>High</v>
      </c>
      <c r="AS271" t="str">
        <f>_xlfn.XLOOKUP(Table1[[#This Row],[StockOptionLevel]],Table19[StockOptionLevel],Table19[Id_StockOptionLevel])</f>
        <v>SOL002</v>
      </c>
      <c r="AT271">
        <v>1</v>
      </c>
      <c r="AU271" t="str">
        <f>_xlfn.XLOOKUP(Table1[[#This Row],[StockOptionLevel]],Table19[StockOptionLevel],Table19[Deskripsi])</f>
        <v>Standard</v>
      </c>
      <c r="AV271">
        <v>16</v>
      </c>
      <c r="AW271">
        <v>4</v>
      </c>
      <c r="AX271" t="str">
        <f>_xlfn.XLOOKUP(Table1[[#This Row],[WorkLifeBalance]],Table20[WorkLifeBalance],Table20[Id_WorkLifeBalance])</f>
        <v>WLB002</v>
      </c>
      <c r="AY271">
        <v>3</v>
      </c>
      <c r="AZ271" t="str">
        <f>_xlfn.XLOOKUP(Table1[[#This Row],[WorkLifeBalance]],Table20[WorkLifeBalance],Table20[Deskripsi])</f>
        <v>Good</v>
      </c>
      <c r="BA271">
        <v>15</v>
      </c>
      <c r="BB271">
        <v>13</v>
      </c>
      <c r="BC271">
        <v>10</v>
      </c>
      <c r="BD271">
        <v>11</v>
      </c>
    </row>
    <row r="272" spans="1:56" x14ac:dyDescent="0.25">
      <c r="A272">
        <v>55</v>
      </c>
      <c r="B272" t="str">
        <f>_xlfn.XLOOKUP(Table1[[#This Row],[Attrition]],Table2[Attrition],Table2[Id_Attrition])</f>
        <v>A002</v>
      </c>
      <c r="C272" t="s">
        <v>33</v>
      </c>
      <c r="D272" t="str">
        <f>_xlfn.XLOOKUP(Table1[[#This Row],[BusinessTravel]],Table5[BusinessTravel],Table5[Id_BusinessTravel])</f>
        <v>BS001</v>
      </c>
      <c r="E272" t="s">
        <v>34</v>
      </c>
      <c r="F272">
        <v>452</v>
      </c>
      <c r="G272" t="str">
        <f>_xlfn.XLOOKUP(Table1[[#This Row],[Department]],Table6[Department],Table6[Id_Departement])</f>
        <v>D002</v>
      </c>
      <c r="H272" t="s">
        <v>38</v>
      </c>
      <c r="I272">
        <v>1</v>
      </c>
      <c r="J272" t="str">
        <f>_xlfn.XLOOKUP(Table1[[#This Row],[Education]],Table8[Education],Table8[Id_Education])</f>
        <v>E003</v>
      </c>
      <c r="K272">
        <v>3</v>
      </c>
      <c r="L272" t="str">
        <f>_xlfn.XLOOKUP(Table1[[#This Row],[EducationField]],Table7[EducationField],Table7[Id_EducationField])</f>
        <v>EF003</v>
      </c>
      <c r="M272" t="s">
        <v>42</v>
      </c>
      <c r="N272" t="str">
        <f>_xlfn.XLOOKUP(Table1[[#This Row],[EmployeeNumber]],Table4[EmployeeNumber],Table4[Id_Employee])</f>
        <v>EMP00271</v>
      </c>
      <c r="O272">
        <v>374</v>
      </c>
      <c r="P272" t="str">
        <f>_xlfn.XLOOKUP(Table1[[#This Row],[EnvironmentSatisfaction]],Table9[EnvironmentSatisfaction],Table9[Id_EnviromentSatisfaction])</f>
        <v>ES004</v>
      </c>
      <c r="Q272">
        <v>4</v>
      </c>
      <c r="R272" t="str">
        <f>_xlfn.XLOOKUP(Table1[[#This Row],[EnvironmentSatisfaction]],Table9[EnvironmentSatisfaction],Table9[Deskripsi])</f>
        <v>Very High</v>
      </c>
      <c r="S272" t="str">
        <f>_xlfn.XLOOKUP(Table1[[#This Row],[Gender]],Table10[Gender],Table10[Id_Gender])</f>
        <v>G002</v>
      </c>
      <c r="T272" t="s">
        <v>46</v>
      </c>
      <c r="U272">
        <v>81</v>
      </c>
      <c r="V272" t="str">
        <f>_xlfn.XLOOKUP(Table1[[#This Row],[JobInvolvement]],Table11[JobInvolvement],Table11[Id_JobInvolvement])</f>
        <v>JI003</v>
      </c>
      <c r="W272">
        <v>3</v>
      </c>
      <c r="X272" t="str">
        <f>_xlfn.XLOOKUP(Table1[[#This Row],[JobLevel]],Table12[JobLevel],Table12[Id_JobLevel])</f>
        <v>JL005</v>
      </c>
      <c r="Y272">
        <v>5</v>
      </c>
      <c r="Z272" t="str">
        <f>_xlfn.XLOOKUP(Table1[[#This Row],[JobRole]],Table13[JobRole],Table13[Id_JobRole])</f>
        <v>JR006</v>
      </c>
      <c r="AA272" t="s">
        <v>52</v>
      </c>
      <c r="AB272" t="str">
        <f>_xlfn.XLOOKUP(Table1[[#This Row],[JobSatisfaction]],Table14[JobSatisfaction],Table14[Id_JobSatisfaction])</f>
        <v>JS001</v>
      </c>
      <c r="AC272">
        <v>1</v>
      </c>
      <c r="AD272" t="str">
        <f>_xlfn.XLOOKUP(Table1[[#This Row],[JobSatisfaction]],Table14[JobSatisfaction],Table14[Deskripsi])</f>
        <v>Low</v>
      </c>
      <c r="AE272" t="str">
        <f>_xlfn.XLOOKUP(Table1[[#This Row],[MaritalStatus]],Table15[MaritalStatus],Table15[Id_MaritalStatus])</f>
        <v>MS001</v>
      </c>
      <c r="AF272" t="s">
        <v>55</v>
      </c>
      <c r="AG272">
        <v>19045</v>
      </c>
      <c r="AH272">
        <v>18938</v>
      </c>
      <c r="AI272">
        <v>0</v>
      </c>
      <c r="AJ272" t="str">
        <f>_xlfn.XLOOKUP(Table1[[#This Row],[OverTime]],Table16[OverTime],Table16[Id_OverTime])</f>
        <v>OT001</v>
      </c>
      <c r="AK272" t="s">
        <v>32</v>
      </c>
      <c r="AL272">
        <v>14</v>
      </c>
      <c r="AM272" t="str">
        <f>_xlfn.XLOOKUP(Table1[[#This Row],[PerformanceRating]],Table17[PerformanceRating],Table17[Id_PerformanceRating])</f>
        <v>PR003</v>
      </c>
      <c r="AN272">
        <v>3</v>
      </c>
      <c r="AO272" t="str">
        <f>_xlfn.XLOOKUP(Table1[[#This Row],[PerformanceRating]],Table17[PerformanceRating],Table17[Deskripsi])</f>
        <v>Excellent</v>
      </c>
      <c r="AP272" t="str">
        <f>_xlfn.XLOOKUP(Table1[[#This Row],[RelationshipSatisfaction]],Table18[RelationshipSatisfaction],Table18[Id_RelationshipSatisfaction])</f>
        <v>RS003</v>
      </c>
      <c r="AQ272">
        <v>3</v>
      </c>
      <c r="AR272" t="str">
        <f>_xlfn.XLOOKUP(Table1[[#This Row],[RelationshipSatisfaction]],Table18[RelationshipSatisfaction],Table18[Deskripsi])</f>
        <v>High</v>
      </c>
      <c r="AS272" t="str">
        <f>_xlfn.XLOOKUP(Table1[[#This Row],[StockOptionLevel]],Table19[StockOptionLevel],Table19[Id_StockOptionLevel])</f>
        <v>SOL001</v>
      </c>
      <c r="AT272">
        <v>0</v>
      </c>
      <c r="AU272" t="str">
        <f>_xlfn.XLOOKUP(Table1[[#This Row],[StockOptionLevel]],Table19[StockOptionLevel],Table19[Deskripsi])</f>
        <v>Non-Eligible</v>
      </c>
      <c r="AV272">
        <v>37</v>
      </c>
      <c r="AW272">
        <v>2</v>
      </c>
      <c r="AX272" t="str">
        <f>_xlfn.XLOOKUP(Table1[[#This Row],[WorkLifeBalance]],Table20[WorkLifeBalance],Table20[Id_WorkLifeBalance])</f>
        <v>WLB002</v>
      </c>
      <c r="AY272">
        <v>3</v>
      </c>
      <c r="AZ272" t="str">
        <f>_xlfn.XLOOKUP(Table1[[#This Row],[WorkLifeBalance]],Table20[WorkLifeBalance],Table20[Deskripsi])</f>
        <v>Good</v>
      </c>
      <c r="BA272">
        <v>36</v>
      </c>
      <c r="BB272">
        <v>10</v>
      </c>
      <c r="BC272">
        <v>4</v>
      </c>
      <c r="BD272">
        <v>13</v>
      </c>
    </row>
    <row r="273" spans="1:56" x14ac:dyDescent="0.25">
      <c r="A273">
        <v>47</v>
      </c>
      <c r="B273" t="str">
        <f>_xlfn.XLOOKUP(Table1[[#This Row],[Attrition]],Table2[Attrition],Table2[Id_Attrition])</f>
        <v>A001</v>
      </c>
      <c r="C273" t="s">
        <v>32</v>
      </c>
      <c r="D273" t="str">
        <f>_xlfn.XLOOKUP(Table1[[#This Row],[BusinessTravel]],Table5[BusinessTravel],Table5[Id_BusinessTravel])</f>
        <v>BS003</v>
      </c>
      <c r="E273" t="s">
        <v>36</v>
      </c>
      <c r="F273">
        <v>666</v>
      </c>
      <c r="G273" t="str">
        <f>_xlfn.XLOOKUP(Table1[[#This Row],[Department]],Table6[Department],Table6[Id_Departement])</f>
        <v>D002</v>
      </c>
      <c r="H273" t="s">
        <v>38</v>
      </c>
      <c r="I273">
        <v>29</v>
      </c>
      <c r="J273" t="str">
        <f>_xlfn.XLOOKUP(Table1[[#This Row],[Education]],Table8[Education],Table8[Id_Education])</f>
        <v>E004</v>
      </c>
      <c r="K273">
        <v>4</v>
      </c>
      <c r="L273" t="str">
        <f>_xlfn.XLOOKUP(Table1[[#This Row],[EducationField]],Table7[EducationField],Table7[Id_EducationField])</f>
        <v>EF001</v>
      </c>
      <c r="M273" t="s">
        <v>40</v>
      </c>
      <c r="N273" t="str">
        <f>_xlfn.XLOOKUP(Table1[[#This Row],[EmployeeNumber]],Table4[EmployeeNumber],Table4[Id_Employee])</f>
        <v>EMP00272</v>
      </c>
      <c r="O273">
        <v>376</v>
      </c>
      <c r="P273" t="str">
        <f>_xlfn.XLOOKUP(Table1[[#This Row],[EnvironmentSatisfaction]],Table9[EnvironmentSatisfaction],Table9[Id_EnviromentSatisfaction])</f>
        <v>ES001</v>
      </c>
      <c r="Q273">
        <v>1</v>
      </c>
      <c r="R273" t="str">
        <f>_xlfn.XLOOKUP(Table1[[#This Row],[EnvironmentSatisfaction]],Table9[EnvironmentSatisfaction],Table9[Deskripsi])</f>
        <v>Low</v>
      </c>
      <c r="S273" t="str">
        <f>_xlfn.XLOOKUP(Table1[[#This Row],[Gender]],Table10[Gender],Table10[Id_Gender])</f>
        <v>G002</v>
      </c>
      <c r="T273" t="s">
        <v>46</v>
      </c>
      <c r="U273">
        <v>88</v>
      </c>
      <c r="V273" t="str">
        <f>_xlfn.XLOOKUP(Table1[[#This Row],[JobInvolvement]],Table11[JobInvolvement],Table11[Id_JobInvolvement])</f>
        <v>JI003</v>
      </c>
      <c r="W273">
        <v>3</v>
      </c>
      <c r="X273" t="str">
        <f>_xlfn.XLOOKUP(Table1[[#This Row],[JobLevel]],Table12[JobLevel],Table12[Id_JobLevel])</f>
        <v>JL003</v>
      </c>
      <c r="Y273">
        <v>3</v>
      </c>
      <c r="Z273" t="str">
        <f>_xlfn.XLOOKUP(Table1[[#This Row],[JobRole]],Table13[JobRole],Table13[Id_JobRole])</f>
        <v>JR006</v>
      </c>
      <c r="AA273" t="s">
        <v>52</v>
      </c>
      <c r="AB273" t="str">
        <f>_xlfn.XLOOKUP(Table1[[#This Row],[JobSatisfaction]],Table14[JobSatisfaction],Table14[Id_JobSatisfaction])</f>
        <v>JS002</v>
      </c>
      <c r="AC273">
        <v>2</v>
      </c>
      <c r="AD273" t="str">
        <f>_xlfn.XLOOKUP(Table1[[#This Row],[JobSatisfaction]],Table14[JobSatisfaction],Table14[Deskripsi])</f>
        <v>Medium</v>
      </c>
      <c r="AE273" t="str">
        <f>_xlfn.XLOOKUP(Table1[[#This Row],[MaritalStatus]],Table15[MaritalStatus],Table15[Id_MaritalStatus])</f>
        <v>MS002</v>
      </c>
      <c r="AF273" t="s">
        <v>56</v>
      </c>
      <c r="AG273">
        <v>11849</v>
      </c>
      <c r="AH273">
        <v>10268</v>
      </c>
      <c r="AI273">
        <v>1</v>
      </c>
      <c r="AJ273" t="str">
        <f>_xlfn.XLOOKUP(Table1[[#This Row],[OverTime]],Table16[OverTime],Table16[Id_OverTime])</f>
        <v>OT001</v>
      </c>
      <c r="AK273" t="s">
        <v>32</v>
      </c>
      <c r="AL273">
        <v>12</v>
      </c>
      <c r="AM273" t="str">
        <f>_xlfn.XLOOKUP(Table1[[#This Row],[PerformanceRating]],Table17[PerformanceRating],Table17[Id_PerformanceRating])</f>
        <v>PR003</v>
      </c>
      <c r="AN273">
        <v>3</v>
      </c>
      <c r="AO273" t="str">
        <f>_xlfn.XLOOKUP(Table1[[#This Row],[PerformanceRating]],Table17[PerformanceRating],Table17[Deskripsi])</f>
        <v>Excellent</v>
      </c>
      <c r="AP273" t="str">
        <f>_xlfn.XLOOKUP(Table1[[#This Row],[RelationshipSatisfaction]],Table18[RelationshipSatisfaction],Table18[Id_RelationshipSatisfaction])</f>
        <v>RS004</v>
      </c>
      <c r="AQ273">
        <v>4</v>
      </c>
      <c r="AR273" t="str">
        <f>_xlfn.XLOOKUP(Table1[[#This Row],[RelationshipSatisfaction]],Table18[RelationshipSatisfaction],Table18[Deskripsi])</f>
        <v>Very High</v>
      </c>
      <c r="AS273" t="str">
        <f>_xlfn.XLOOKUP(Table1[[#This Row],[StockOptionLevel]],Table19[StockOptionLevel],Table19[Id_StockOptionLevel])</f>
        <v>SOL002</v>
      </c>
      <c r="AT273">
        <v>1</v>
      </c>
      <c r="AU273" t="str">
        <f>_xlfn.XLOOKUP(Table1[[#This Row],[StockOptionLevel]],Table19[StockOptionLevel],Table19[Deskripsi])</f>
        <v>Standard</v>
      </c>
      <c r="AV273">
        <v>10</v>
      </c>
      <c r="AW273">
        <v>2</v>
      </c>
      <c r="AX273" t="str">
        <f>_xlfn.XLOOKUP(Table1[[#This Row],[WorkLifeBalance]],Table20[WorkLifeBalance],Table20[Id_WorkLifeBalance])</f>
        <v>WLB003</v>
      </c>
      <c r="AY273">
        <v>2</v>
      </c>
      <c r="AZ273" t="str">
        <f>_xlfn.XLOOKUP(Table1[[#This Row],[WorkLifeBalance]],Table20[WorkLifeBalance],Table20[Deskripsi])</f>
        <v>Better</v>
      </c>
      <c r="BA273">
        <v>10</v>
      </c>
      <c r="BB273">
        <v>7</v>
      </c>
      <c r="BC273">
        <v>9</v>
      </c>
      <c r="BD273">
        <v>9</v>
      </c>
    </row>
    <row r="274" spans="1:56" x14ac:dyDescent="0.25">
      <c r="A274">
        <v>28</v>
      </c>
      <c r="B274" t="str">
        <f>_xlfn.XLOOKUP(Table1[[#This Row],[Attrition]],Table2[Attrition],Table2[Id_Attrition])</f>
        <v>A002</v>
      </c>
      <c r="C274" t="s">
        <v>33</v>
      </c>
      <c r="D274" t="str">
        <f>_xlfn.XLOOKUP(Table1[[#This Row],[BusinessTravel]],Table5[BusinessTravel],Table5[Id_BusinessTravel])</f>
        <v>BS001</v>
      </c>
      <c r="E274" t="s">
        <v>34</v>
      </c>
      <c r="F274">
        <v>1158</v>
      </c>
      <c r="G274" t="str">
        <f>_xlfn.XLOOKUP(Table1[[#This Row],[Department]],Table6[Department],Table6[Id_Departement])</f>
        <v>D002</v>
      </c>
      <c r="H274" t="s">
        <v>38</v>
      </c>
      <c r="I274">
        <v>9</v>
      </c>
      <c r="J274" t="str">
        <f>_xlfn.XLOOKUP(Table1[[#This Row],[Education]],Table8[Education],Table8[Id_Education])</f>
        <v>E003</v>
      </c>
      <c r="K274">
        <v>3</v>
      </c>
      <c r="L274" t="str">
        <f>_xlfn.XLOOKUP(Table1[[#This Row],[EducationField]],Table7[EducationField],Table7[Id_EducationField])</f>
        <v>EF003</v>
      </c>
      <c r="M274" t="s">
        <v>42</v>
      </c>
      <c r="N274" t="str">
        <f>_xlfn.XLOOKUP(Table1[[#This Row],[EmployeeNumber]],Table4[EmployeeNumber],Table4[Id_Employee])</f>
        <v>EMP00273</v>
      </c>
      <c r="O274">
        <v>377</v>
      </c>
      <c r="P274" t="str">
        <f>_xlfn.XLOOKUP(Table1[[#This Row],[EnvironmentSatisfaction]],Table9[EnvironmentSatisfaction],Table9[Id_EnviromentSatisfaction])</f>
        <v>ES004</v>
      </c>
      <c r="Q274">
        <v>4</v>
      </c>
      <c r="R274" t="str">
        <f>_xlfn.XLOOKUP(Table1[[#This Row],[EnvironmentSatisfaction]],Table9[EnvironmentSatisfaction],Table9[Deskripsi])</f>
        <v>Very High</v>
      </c>
      <c r="S274" t="str">
        <f>_xlfn.XLOOKUP(Table1[[#This Row],[Gender]],Table10[Gender],Table10[Id_Gender])</f>
        <v>G002</v>
      </c>
      <c r="T274" t="s">
        <v>46</v>
      </c>
      <c r="U274">
        <v>94</v>
      </c>
      <c r="V274" t="str">
        <f>_xlfn.XLOOKUP(Table1[[#This Row],[JobInvolvement]],Table11[JobInvolvement],Table11[Id_JobInvolvement])</f>
        <v>JI003</v>
      </c>
      <c r="W274">
        <v>3</v>
      </c>
      <c r="X274" t="str">
        <f>_xlfn.XLOOKUP(Table1[[#This Row],[JobLevel]],Table12[JobLevel],Table12[Id_JobLevel])</f>
        <v>JL001</v>
      </c>
      <c r="Y274">
        <v>1</v>
      </c>
      <c r="Z274" t="str">
        <f>_xlfn.XLOOKUP(Table1[[#This Row],[JobRole]],Table13[JobRole],Table13[Id_JobRole])</f>
        <v>JR002</v>
      </c>
      <c r="AA274" t="s">
        <v>48</v>
      </c>
      <c r="AB274" t="str">
        <f>_xlfn.XLOOKUP(Table1[[#This Row],[JobSatisfaction]],Table14[JobSatisfaction],Table14[Id_JobSatisfaction])</f>
        <v>JS004</v>
      </c>
      <c r="AC274">
        <v>4</v>
      </c>
      <c r="AD274" t="str">
        <f>_xlfn.XLOOKUP(Table1[[#This Row],[JobSatisfaction]],Table14[JobSatisfaction],Table14[Deskripsi])</f>
        <v>Very High</v>
      </c>
      <c r="AE274" t="str">
        <f>_xlfn.XLOOKUP(Table1[[#This Row],[MaritalStatus]],Table15[MaritalStatus],Table15[Id_MaritalStatus])</f>
        <v>MS002</v>
      </c>
      <c r="AF274" t="s">
        <v>56</v>
      </c>
      <c r="AG274">
        <v>2070</v>
      </c>
      <c r="AH274">
        <v>2613</v>
      </c>
      <c r="AI274">
        <v>1</v>
      </c>
      <c r="AJ274" t="str">
        <f>_xlfn.XLOOKUP(Table1[[#This Row],[OverTime]],Table16[OverTime],Table16[Id_OverTime])</f>
        <v>OT002</v>
      </c>
      <c r="AK274" t="s">
        <v>33</v>
      </c>
      <c r="AL274">
        <v>23</v>
      </c>
      <c r="AM274" t="str">
        <f>_xlfn.XLOOKUP(Table1[[#This Row],[PerformanceRating]],Table17[PerformanceRating],Table17[Id_PerformanceRating])</f>
        <v>PR004</v>
      </c>
      <c r="AN274">
        <v>4</v>
      </c>
      <c r="AO274" t="str">
        <f>_xlfn.XLOOKUP(Table1[[#This Row],[PerformanceRating]],Table17[PerformanceRating],Table17[Deskripsi])</f>
        <v>Outstanding</v>
      </c>
      <c r="AP274" t="str">
        <f>_xlfn.XLOOKUP(Table1[[#This Row],[RelationshipSatisfaction]],Table18[RelationshipSatisfaction],Table18[Id_RelationshipSatisfaction])</f>
        <v>RS004</v>
      </c>
      <c r="AQ274">
        <v>4</v>
      </c>
      <c r="AR274" t="str">
        <f>_xlfn.XLOOKUP(Table1[[#This Row],[RelationshipSatisfaction]],Table18[RelationshipSatisfaction],Table18[Deskripsi])</f>
        <v>Very High</v>
      </c>
      <c r="AS274" t="str">
        <f>_xlfn.XLOOKUP(Table1[[#This Row],[StockOptionLevel]],Table19[StockOptionLevel],Table19[Id_StockOptionLevel])</f>
        <v>SOL002</v>
      </c>
      <c r="AT274">
        <v>1</v>
      </c>
      <c r="AU274" t="str">
        <f>_xlfn.XLOOKUP(Table1[[#This Row],[StockOptionLevel]],Table19[StockOptionLevel],Table19[Deskripsi])</f>
        <v>Standard</v>
      </c>
      <c r="AV274">
        <v>5</v>
      </c>
      <c r="AW274">
        <v>3</v>
      </c>
      <c r="AX274" t="str">
        <f>_xlfn.XLOOKUP(Table1[[#This Row],[WorkLifeBalance]],Table20[WorkLifeBalance],Table20[Id_WorkLifeBalance])</f>
        <v>WLB003</v>
      </c>
      <c r="AY274">
        <v>2</v>
      </c>
      <c r="AZ274" t="str">
        <f>_xlfn.XLOOKUP(Table1[[#This Row],[WorkLifeBalance]],Table20[WorkLifeBalance],Table20[Deskripsi])</f>
        <v>Better</v>
      </c>
      <c r="BA274">
        <v>5</v>
      </c>
      <c r="BB274">
        <v>2</v>
      </c>
      <c r="BC274">
        <v>0</v>
      </c>
      <c r="BD274">
        <v>4</v>
      </c>
    </row>
    <row r="275" spans="1:56" x14ac:dyDescent="0.25">
      <c r="A275">
        <v>37</v>
      </c>
      <c r="B275" t="str">
        <f>_xlfn.XLOOKUP(Table1[[#This Row],[Attrition]],Table2[Attrition],Table2[Id_Attrition])</f>
        <v>A002</v>
      </c>
      <c r="C275" t="s">
        <v>33</v>
      </c>
      <c r="D275" t="str">
        <f>_xlfn.XLOOKUP(Table1[[#This Row],[BusinessTravel]],Table5[BusinessTravel],Table5[Id_BusinessTravel])</f>
        <v>BS001</v>
      </c>
      <c r="E275" t="s">
        <v>34</v>
      </c>
      <c r="F275">
        <v>228</v>
      </c>
      <c r="G275" t="str">
        <f>_xlfn.XLOOKUP(Table1[[#This Row],[Department]],Table6[Department],Table6[Id_Departement])</f>
        <v>D001</v>
      </c>
      <c r="H275" t="s">
        <v>37</v>
      </c>
      <c r="I275">
        <v>6</v>
      </c>
      <c r="J275" t="str">
        <f>_xlfn.XLOOKUP(Table1[[#This Row],[Education]],Table8[Education],Table8[Id_Education])</f>
        <v>E004</v>
      </c>
      <c r="K275">
        <v>4</v>
      </c>
      <c r="L275" t="str">
        <f>_xlfn.XLOOKUP(Table1[[#This Row],[EducationField]],Table7[EducationField],Table7[Id_EducationField])</f>
        <v>EF003</v>
      </c>
      <c r="M275" t="s">
        <v>42</v>
      </c>
      <c r="N275" t="str">
        <f>_xlfn.XLOOKUP(Table1[[#This Row],[EmployeeNumber]],Table4[EmployeeNumber],Table4[Id_Employee])</f>
        <v>EMP00274</v>
      </c>
      <c r="O275">
        <v>378</v>
      </c>
      <c r="P275" t="str">
        <f>_xlfn.XLOOKUP(Table1[[#This Row],[EnvironmentSatisfaction]],Table9[EnvironmentSatisfaction],Table9[Id_EnviromentSatisfaction])</f>
        <v>ES003</v>
      </c>
      <c r="Q275">
        <v>3</v>
      </c>
      <c r="R275" t="str">
        <f>_xlfn.XLOOKUP(Table1[[#This Row],[EnvironmentSatisfaction]],Table9[EnvironmentSatisfaction],Table9[Deskripsi])</f>
        <v>High</v>
      </c>
      <c r="S275" t="str">
        <f>_xlfn.XLOOKUP(Table1[[#This Row],[Gender]],Table10[Gender],Table10[Id_Gender])</f>
        <v>G002</v>
      </c>
      <c r="T275" t="s">
        <v>46</v>
      </c>
      <c r="U275">
        <v>98</v>
      </c>
      <c r="V275" t="str">
        <f>_xlfn.XLOOKUP(Table1[[#This Row],[JobInvolvement]],Table11[JobInvolvement],Table11[Id_JobInvolvement])</f>
        <v>JI003</v>
      </c>
      <c r="W275">
        <v>3</v>
      </c>
      <c r="X275" t="str">
        <f>_xlfn.XLOOKUP(Table1[[#This Row],[JobLevel]],Table12[JobLevel],Table12[Id_JobLevel])</f>
        <v>JL002</v>
      </c>
      <c r="Y275">
        <v>2</v>
      </c>
      <c r="Z275" t="str">
        <f>_xlfn.XLOOKUP(Table1[[#This Row],[JobRole]],Table13[JobRole],Table13[Id_JobRole])</f>
        <v>JR001</v>
      </c>
      <c r="AA275" t="s">
        <v>47</v>
      </c>
      <c r="AB275" t="str">
        <f>_xlfn.XLOOKUP(Table1[[#This Row],[JobSatisfaction]],Table14[JobSatisfaction],Table14[Id_JobSatisfaction])</f>
        <v>JS004</v>
      </c>
      <c r="AC275">
        <v>4</v>
      </c>
      <c r="AD275" t="str">
        <f>_xlfn.XLOOKUP(Table1[[#This Row],[JobSatisfaction]],Table14[JobSatisfaction],Table14[Deskripsi])</f>
        <v>Very High</v>
      </c>
      <c r="AE275" t="str">
        <f>_xlfn.XLOOKUP(Table1[[#This Row],[MaritalStatus]],Table15[MaritalStatus],Table15[Id_MaritalStatus])</f>
        <v>MS002</v>
      </c>
      <c r="AF275" t="s">
        <v>56</v>
      </c>
      <c r="AG275">
        <v>6502</v>
      </c>
      <c r="AH275">
        <v>22825</v>
      </c>
      <c r="AI275">
        <v>4</v>
      </c>
      <c r="AJ275" t="str">
        <f>_xlfn.XLOOKUP(Table1[[#This Row],[OverTime]],Table16[OverTime],Table16[Id_OverTime])</f>
        <v>OT002</v>
      </c>
      <c r="AK275" t="s">
        <v>33</v>
      </c>
      <c r="AL275">
        <v>14</v>
      </c>
      <c r="AM275" t="str">
        <f>_xlfn.XLOOKUP(Table1[[#This Row],[PerformanceRating]],Table17[PerformanceRating],Table17[Id_PerformanceRating])</f>
        <v>PR003</v>
      </c>
      <c r="AN275">
        <v>3</v>
      </c>
      <c r="AO275" t="str">
        <f>_xlfn.XLOOKUP(Table1[[#This Row],[PerformanceRating]],Table17[PerformanceRating],Table17[Deskripsi])</f>
        <v>Excellent</v>
      </c>
      <c r="AP275" t="str">
        <f>_xlfn.XLOOKUP(Table1[[#This Row],[RelationshipSatisfaction]],Table18[RelationshipSatisfaction],Table18[Id_RelationshipSatisfaction])</f>
        <v>RS002</v>
      </c>
      <c r="AQ275">
        <v>2</v>
      </c>
      <c r="AR275" t="str">
        <f>_xlfn.XLOOKUP(Table1[[#This Row],[RelationshipSatisfaction]],Table18[RelationshipSatisfaction],Table18[Deskripsi])</f>
        <v>Medium</v>
      </c>
      <c r="AS275" t="str">
        <f>_xlfn.XLOOKUP(Table1[[#This Row],[StockOptionLevel]],Table19[StockOptionLevel],Table19[Id_StockOptionLevel])</f>
        <v>SOL002</v>
      </c>
      <c r="AT275">
        <v>1</v>
      </c>
      <c r="AU275" t="str">
        <f>_xlfn.XLOOKUP(Table1[[#This Row],[StockOptionLevel]],Table19[StockOptionLevel],Table19[Deskripsi])</f>
        <v>Standard</v>
      </c>
      <c r="AV275">
        <v>7</v>
      </c>
      <c r="AW275">
        <v>5</v>
      </c>
      <c r="AX275" t="str">
        <f>_xlfn.XLOOKUP(Table1[[#This Row],[WorkLifeBalance]],Table20[WorkLifeBalance],Table20[Id_WorkLifeBalance])</f>
        <v>WLB004</v>
      </c>
      <c r="AY275">
        <v>4</v>
      </c>
      <c r="AZ275" t="str">
        <f>_xlfn.XLOOKUP(Table1[[#This Row],[WorkLifeBalance]],Table20[WorkLifeBalance],Table20[Deskripsi])</f>
        <v>Best</v>
      </c>
      <c r="BA275">
        <v>5</v>
      </c>
      <c r="BB275">
        <v>4</v>
      </c>
      <c r="BC275">
        <v>0</v>
      </c>
      <c r="BD275">
        <v>1</v>
      </c>
    </row>
    <row r="276" spans="1:56" x14ac:dyDescent="0.25">
      <c r="A276">
        <v>21</v>
      </c>
      <c r="B276" t="str">
        <f>_xlfn.XLOOKUP(Table1[[#This Row],[Attrition]],Table2[Attrition],Table2[Id_Attrition])</f>
        <v>A002</v>
      </c>
      <c r="C276" t="s">
        <v>33</v>
      </c>
      <c r="D276" t="str">
        <f>_xlfn.XLOOKUP(Table1[[#This Row],[BusinessTravel]],Table5[BusinessTravel],Table5[Id_BusinessTravel])</f>
        <v>BS001</v>
      </c>
      <c r="E276" t="s">
        <v>34</v>
      </c>
      <c r="F276">
        <v>996</v>
      </c>
      <c r="G276" t="str">
        <f>_xlfn.XLOOKUP(Table1[[#This Row],[Department]],Table6[Department],Table6[Id_Departement])</f>
        <v>D002</v>
      </c>
      <c r="H276" t="s">
        <v>38</v>
      </c>
      <c r="I276">
        <v>3</v>
      </c>
      <c r="J276" t="str">
        <f>_xlfn.XLOOKUP(Table1[[#This Row],[Education]],Table8[Education],Table8[Id_Education])</f>
        <v>E002</v>
      </c>
      <c r="K276">
        <v>2</v>
      </c>
      <c r="L276" t="str">
        <f>_xlfn.XLOOKUP(Table1[[#This Row],[EducationField]],Table7[EducationField],Table7[Id_EducationField])</f>
        <v>EF003</v>
      </c>
      <c r="M276" t="s">
        <v>42</v>
      </c>
      <c r="N276" t="str">
        <f>_xlfn.XLOOKUP(Table1[[#This Row],[EmployeeNumber]],Table4[EmployeeNumber],Table4[Id_Employee])</f>
        <v>EMP00275</v>
      </c>
      <c r="O276">
        <v>379</v>
      </c>
      <c r="P276" t="str">
        <f>_xlfn.XLOOKUP(Table1[[#This Row],[EnvironmentSatisfaction]],Table9[EnvironmentSatisfaction],Table9[Id_EnviromentSatisfaction])</f>
        <v>ES004</v>
      </c>
      <c r="Q276">
        <v>4</v>
      </c>
      <c r="R276" t="str">
        <f>_xlfn.XLOOKUP(Table1[[#This Row],[EnvironmentSatisfaction]],Table9[EnvironmentSatisfaction],Table9[Deskripsi])</f>
        <v>Very High</v>
      </c>
      <c r="S276" t="str">
        <f>_xlfn.XLOOKUP(Table1[[#This Row],[Gender]],Table10[Gender],Table10[Id_Gender])</f>
        <v>G002</v>
      </c>
      <c r="T276" t="s">
        <v>46</v>
      </c>
      <c r="U276">
        <v>100</v>
      </c>
      <c r="V276" t="str">
        <f>_xlfn.XLOOKUP(Table1[[#This Row],[JobInvolvement]],Table11[JobInvolvement],Table11[Id_JobInvolvement])</f>
        <v>JI002</v>
      </c>
      <c r="W276">
        <v>2</v>
      </c>
      <c r="X276" t="str">
        <f>_xlfn.XLOOKUP(Table1[[#This Row],[JobLevel]],Table12[JobLevel],Table12[Id_JobLevel])</f>
        <v>JL001</v>
      </c>
      <c r="Y276">
        <v>1</v>
      </c>
      <c r="Z276" t="str">
        <f>_xlfn.XLOOKUP(Table1[[#This Row],[JobRole]],Table13[JobRole],Table13[Id_JobRole])</f>
        <v>JR002</v>
      </c>
      <c r="AA276" t="s">
        <v>48</v>
      </c>
      <c r="AB276" t="str">
        <f>_xlfn.XLOOKUP(Table1[[#This Row],[JobSatisfaction]],Table14[JobSatisfaction],Table14[Id_JobSatisfaction])</f>
        <v>JS003</v>
      </c>
      <c r="AC276">
        <v>3</v>
      </c>
      <c r="AD276" t="str">
        <f>_xlfn.XLOOKUP(Table1[[#This Row],[JobSatisfaction]],Table14[JobSatisfaction],Table14[Deskripsi])</f>
        <v>High</v>
      </c>
      <c r="AE276" t="str">
        <f>_xlfn.XLOOKUP(Table1[[#This Row],[MaritalStatus]],Table15[MaritalStatus],Table15[Id_MaritalStatus])</f>
        <v>MS001</v>
      </c>
      <c r="AF276" t="s">
        <v>55</v>
      </c>
      <c r="AG276">
        <v>3230</v>
      </c>
      <c r="AH276">
        <v>10531</v>
      </c>
      <c r="AI276">
        <v>1</v>
      </c>
      <c r="AJ276" t="str">
        <f>_xlfn.XLOOKUP(Table1[[#This Row],[OverTime]],Table16[OverTime],Table16[Id_OverTime])</f>
        <v>OT002</v>
      </c>
      <c r="AK276" t="s">
        <v>33</v>
      </c>
      <c r="AL276">
        <v>17</v>
      </c>
      <c r="AM276" t="str">
        <f>_xlfn.XLOOKUP(Table1[[#This Row],[PerformanceRating]],Table17[PerformanceRating],Table17[Id_PerformanceRating])</f>
        <v>PR003</v>
      </c>
      <c r="AN276">
        <v>3</v>
      </c>
      <c r="AO276" t="str">
        <f>_xlfn.XLOOKUP(Table1[[#This Row],[PerformanceRating]],Table17[PerformanceRating],Table17[Deskripsi])</f>
        <v>Excellent</v>
      </c>
      <c r="AP276" t="str">
        <f>_xlfn.XLOOKUP(Table1[[#This Row],[RelationshipSatisfaction]],Table18[RelationshipSatisfaction],Table18[Id_RelationshipSatisfaction])</f>
        <v>RS001</v>
      </c>
      <c r="AQ276">
        <v>1</v>
      </c>
      <c r="AR276" t="str">
        <f>_xlfn.XLOOKUP(Table1[[#This Row],[RelationshipSatisfaction]],Table18[RelationshipSatisfaction],Table18[Deskripsi])</f>
        <v>Low</v>
      </c>
      <c r="AS276" t="str">
        <f>_xlfn.XLOOKUP(Table1[[#This Row],[StockOptionLevel]],Table19[StockOptionLevel],Table19[Id_StockOptionLevel])</f>
        <v>SOL001</v>
      </c>
      <c r="AT276">
        <v>0</v>
      </c>
      <c r="AU276" t="str">
        <f>_xlfn.XLOOKUP(Table1[[#This Row],[StockOptionLevel]],Table19[StockOptionLevel],Table19[Deskripsi])</f>
        <v>Non-Eligible</v>
      </c>
      <c r="AV276">
        <v>3</v>
      </c>
      <c r="AW276">
        <v>4</v>
      </c>
      <c r="AX276" t="str">
        <f>_xlfn.XLOOKUP(Table1[[#This Row],[WorkLifeBalance]],Table20[WorkLifeBalance],Table20[Id_WorkLifeBalance])</f>
        <v>WLB004</v>
      </c>
      <c r="AY276">
        <v>4</v>
      </c>
      <c r="AZ276" t="str">
        <f>_xlfn.XLOOKUP(Table1[[#This Row],[WorkLifeBalance]],Table20[WorkLifeBalance],Table20[Deskripsi])</f>
        <v>Best</v>
      </c>
      <c r="BA276">
        <v>3</v>
      </c>
      <c r="BB276">
        <v>2</v>
      </c>
      <c r="BC276">
        <v>1</v>
      </c>
      <c r="BD276">
        <v>0</v>
      </c>
    </row>
    <row r="277" spans="1:56" x14ac:dyDescent="0.25">
      <c r="A277">
        <v>37</v>
      </c>
      <c r="B277" t="str">
        <f>_xlfn.XLOOKUP(Table1[[#This Row],[Attrition]],Table2[Attrition],Table2[Id_Attrition])</f>
        <v>A002</v>
      </c>
      <c r="C277" t="s">
        <v>33</v>
      </c>
      <c r="D277" t="str">
        <f>_xlfn.XLOOKUP(Table1[[#This Row],[BusinessTravel]],Table5[BusinessTravel],Table5[Id_BusinessTravel])</f>
        <v>BS003</v>
      </c>
      <c r="E277" t="s">
        <v>36</v>
      </c>
      <c r="F277">
        <v>728</v>
      </c>
      <c r="G277" t="str">
        <f>_xlfn.XLOOKUP(Table1[[#This Row],[Department]],Table6[Department],Table6[Id_Departement])</f>
        <v>D002</v>
      </c>
      <c r="H277" t="s">
        <v>38</v>
      </c>
      <c r="I277">
        <v>1</v>
      </c>
      <c r="J277" t="str">
        <f>_xlfn.XLOOKUP(Table1[[#This Row],[Education]],Table8[Education],Table8[Id_Education])</f>
        <v>E004</v>
      </c>
      <c r="K277">
        <v>4</v>
      </c>
      <c r="L277" t="str">
        <f>_xlfn.XLOOKUP(Table1[[#This Row],[EducationField]],Table7[EducationField],Table7[Id_EducationField])</f>
        <v>EF003</v>
      </c>
      <c r="M277" t="s">
        <v>42</v>
      </c>
      <c r="N277" t="str">
        <f>_xlfn.XLOOKUP(Table1[[#This Row],[EmployeeNumber]],Table4[EmployeeNumber],Table4[Id_Employee])</f>
        <v>EMP00276</v>
      </c>
      <c r="O277">
        <v>380</v>
      </c>
      <c r="P277" t="str">
        <f>_xlfn.XLOOKUP(Table1[[#This Row],[EnvironmentSatisfaction]],Table9[EnvironmentSatisfaction],Table9[Id_EnviromentSatisfaction])</f>
        <v>ES001</v>
      </c>
      <c r="Q277">
        <v>1</v>
      </c>
      <c r="R277" t="str">
        <f>_xlfn.XLOOKUP(Table1[[#This Row],[EnvironmentSatisfaction]],Table9[EnvironmentSatisfaction],Table9[Deskripsi])</f>
        <v>Low</v>
      </c>
      <c r="S277" t="str">
        <f>_xlfn.XLOOKUP(Table1[[#This Row],[Gender]],Table10[Gender],Table10[Id_Gender])</f>
        <v>G001</v>
      </c>
      <c r="T277" t="s">
        <v>45</v>
      </c>
      <c r="U277">
        <v>80</v>
      </c>
      <c r="V277" t="str">
        <f>_xlfn.XLOOKUP(Table1[[#This Row],[JobInvolvement]],Table11[JobInvolvement],Table11[Id_JobInvolvement])</f>
        <v>JI003</v>
      </c>
      <c r="W277">
        <v>3</v>
      </c>
      <c r="X277" t="str">
        <f>_xlfn.XLOOKUP(Table1[[#This Row],[JobLevel]],Table12[JobLevel],Table12[Id_JobLevel])</f>
        <v>JL003</v>
      </c>
      <c r="Y277">
        <v>3</v>
      </c>
      <c r="Z277" t="str">
        <f>_xlfn.XLOOKUP(Table1[[#This Row],[JobRole]],Table13[JobRole],Table13[Id_JobRole])</f>
        <v>JR008</v>
      </c>
      <c r="AA277" t="s">
        <v>54</v>
      </c>
      <c r="AB277" t="str">
        <f>_xlfn.XLOOKUP(Table1[[#This Row],[JobSatisfaction]],Table14[JobSatisfaction],Table14[Id_JobSatisfaction])</f>
        <v>JS004</v>
      </c>
      <c r="AC277">
        <v>4</v>
      </c>
      <c r="AD277" t="str">
        <f>_xlfn.XLOOKUP(Table1[[#This Row],[JobSatisfaction]],Table14[JobSatisfaction],Table14[Deskripsi])</f>
        <v>Very High</v>
      </c>
      <c r="AE277" t="str">
        <f>_xlfn.XLOOKUP(Table1[[#This Row],[MaritalStatus]],Table15[MaritalStatus],Table15[Id_MaritalStatus])</f>
        <v>MS003</v>
      </c>
      <c r="AF277" t="s">
        <v>57</v>
      </c>
      <c r="AG277">
        <v>13603</v>
      </c>
      <c r="AH277">
        <v>11677</v>
      </c>
      <c r="AI277">
        <v>2</v>
      </c>
      <c r="AJ277" t="str">
        <f>_xlfn.XLOOKUP(Table1[[#This Row],[OverTime]],Table16[OverTime],Table16[Id_OverTime])</f>
        <v>OT001</v>
      </c>
      <c r="AK277" t="s">
        <v>32</v>
      </c>
      <c r="AL277">
        <v>18</v>
      </c>
      <c r="AM277" t="str">
        <f>_xlfn.XLOOKUP(Table1[[#This Row],[PerformanceRating]],Table17[PerformanceRating],Table17[Id_PerformanceRating])</f>
        <v>PR003</v>
      </c>
      <c r="AN277">
        <v>3</v>
      </c>
      <c r="AO277" t="str">
        <f>_xlfn.XLOOKUP(Table1[[#This Row],[PerformanceRating]],Table17[PerformanceRating],Table17[Deskripsi])</f>
        <v>Excellent</v>
      </c>
      <c r="AP277" t="str">
        <f>_xlfn.XLOOKUP(Table1[[#This Row],[RelationshipSatisfaction]],Table18[RelationshipSatisfaction],Table18[Id_RelationshipSatisfaction])</f>
        <v>RS001</v>
      </c>
      <c r="AQ277">
        <v>1</v>
      </c>
      <c r="AR277" t="str">
        <f>_xlfn.XLOOKUP(Table1[[#This Row],[RelationshipSatisfaction]],Table18[RelationshipSatisfaction],Table18[Deskripsi])</f>
        <v>Low</v>
      </c>
      <c r="AS277" t="str">
        <f>_xlfn.XLOOKUP(Table1[[#This Row],[StockOptionLevel]],Table19[StockOptionLevel],Table19[Id_StockOptionLevel])</f>
        <v>SOL003</v>
      </c>
      <c r="AT277">
        <v>2</v>
      </c>
      <c r="AU277" t="str">
        <f>_xlfn.XLOOKUP(Table1[[#This Row],[StockOptionLevel]],Table19[StockOptionLevel],Table19[Deskripsi])</f>
        <v>Intermediate</v>
      </c>
      <c r="AV277">
        <v>15</v>
      </c>
      <c r="AW277">
        <v>2</v>
      </c>
      <c r="AX277" t="str">
        <f>_xlfn.XLOOKUP(Table1[[#This Row],[WorkLifeBalance]],Table20[WorkLifeBalance],Table20[Id_WorkLifeBalance])</f>
        <v>WLB002</v>
      </c>
      <c r="AY277">
        <v>3</v>
      </c>
      <c r="AZ277" t="str">
        <f>_xlfn.XLOOKUP(Table1[[#This Row],[WorkLifeBalance]],Table20[WorkLifeBalance],Table20[Deskripsi])</f>
        <v>Good</v>
      </c>
      <c r="BA277">
        <v>5</v>
      </c>
      <c r="BB277">
        <v>2</v>
      </c>
      <c r="BC277">
        <v>0</v>
      </c>
      <c r="BD277">
        <v>2</v>
      </c>
    </row>
    <row r="278" spans="1:56" x14ac:dyDescent="0.25">
      <c r="A278">
        <v>35</v>
      </c>
      <c r="B278" t="str">
        <f>_xlfn.XLOOKUP(Table1[[#This Row],[Attrition]],Table2[Attrition],Table2[Id_Attrition])</f>
        <v>A002</v>
      </c>
      <c r="C278" t="s">
        <v>33</v>
      </c>
      <c r="D278" t="str">
        <f>_xlfn.XLOOKUP(Table1[[#This Row],[BusinessTravel]],Table5[BusinessTravel],Table5[Id_BusinessTravel])</f>
        <v>BS001</v>
      </c>
      <c r="E278" t="s">
        <v>34</v>
      </c>
      <c r="F278">
        <v>1315</v>
      </c>
      <c r="G278" t="str">
        <f>_xlfn.XLOOKUP(Table1[[#This Row],[Department]],Table6[Department],Table6[Id_Departement])</f>
        <v>D002</v>
      </c>
      <c r="H278" t="s">
        <v>38</v>
      </c>
      <c r="I278">
        <v>22</v>
      </c>
      <c r="J278" t="str">
        <f>_xlfn.XLOOKUP(Table1[[#This Row],[Education]],Table8[Education],Table8[Id_Education])</f>
        <v>E003</v>
      </c>
      <c r="K278">
        <v>3</v>
      </c>
      <c r="L278" t="str">
        <f>_xlfn.XLOOKUP(Table1[[#This Row],[EducationField]],Table7[EducationField],Table7[Id_EducationField])</f>
        <v>EF001</v>
      </c>
      <c r="M278" t="s">
        <v>40</v>
      </c>
      <c r="N278" t="str">
        <f>_xlfn.XLOOKUP(Table1[[#This Row],[EmployeeNumber]],Table4[EmployeeNumber],Table4[Id_Employee])</f>
        <v>EMP00277</v>
      </c>
      <c r="O278">
        <v>381</v>
      </c>
      <c r="P278" t="str">
        <f>_xlfn.XLOOKUP(Table1[[#This Row],[EnvironmentSatisfaction]],Table9[EnvironmentSatisfaction],Table9[Id_EnviromentSatisfaction])</f>
        <v>ES002</v>
      </c>
      <c r="Q278">
        <v>2</v>
      </c>
      <c r="R278" t="str">
        <f>_xlfn.XLOOKUP(Table1[[#This Row],[EnvironmentSatisfaction]],Table9[EnvironmentSatisfaction],Table9[Deskripsi])</f>
        <v>Medium</v>
      </c>
      <c r="S278" t="str">
        <f>_xlfn.XLOOKUP(Table1[[#This Row],[Gender]],Table10[Gender],Table10[Id_Gender])</f>
        <v>G001</v>
      </c>
      <c r="T278" t="s">
        <v>45</v>
      </c>
      <c r="U278">
        <v>71</v>
      </c>
      <c r="V278" t="str">
        <f>_xlfn.XLOOKUP(Table1[[#This Row],[JobInvolvement]],Table11[JobInvolvement],Table11[Id_JobInvolvement])</f>
        <v>JI004</v>
      </c>
      <c r="W278">
        <v>4</v>
      </c>
      <c r="X278" t="str">
        <f>_xlfn.XLOOKUP(Table1[[#This Row],[JobLevel]],Table12[JobLevel],Table12[Id_JobLevel])</f>
        <v>JL003</v>
      </c>
      <c r="Y278">
        <v>3</v>
      </c>
      <c r="Z278" t="str">
        <f>_xlfn.XLOOKUP(Table1[[#This Row],[JobRole]],Table13[JobRole],Table13[Id_JobRole])</f>
        <v>JR006</v>
      </c>
      <c r="AA278" t="s">
        <v>52</v>
      </c>
      <c r="AB278" t="str">
        <f>_xlfn.XLOOKUP(Table1[[#This Row],[JobSatisfaction]],Table14[JobSatisfaction],Table14[Id_JobSatisfaction])</f>
        <v>JS002</v>
      </c>
      <c r="AC278">
        <v>2</v>
      </c>
      <c r="AD278" t="str">
        <f>_xlfn.XLOOKUP(Table1[[#This Row],[JobSatisfaction]],Table14[JobSatisfaction],Table14[Deskripsi])</f>
        <v>Medium</v>
      </c>
      <c r="AE278" t="str">
        <f>_xlfn.XLOOKUP(Table1[[#This Row],[MaritalStatus]],Table15[MaritalStatus],Table15[Id_MaritalStatus])</f>
        <v>MS003</v>
      </c>
      <c r="AF278" t="s">
        <v>57</v>
      </c>
      <c r="AG278">
        <v>11996</v>
      </c>
      <c r="AH278">
        <v>19100</v>
      </c>
      <c r="AI278">
        <v>7</v>
      </c>
      <c r="AJ278" t="str">
        <f>_xlfn.XLOOKUP(Table1[[#This Row],[OverTime]],Table16[OverTime],Table16[Id_OverTime])</f>
        <v>OT002</v>
      </c>
      <c r="AK278" t="s">
        <v>33</v>
      </c>
      <c r="AL278">
        <v>18</v>
      </c>
      <c r="AM278" t="str">
        <f>_xlfn.XLOOKUP(Table1[[#This Row],[PerformanceRating]],Table17[PerformanceRating],Table17[Id_PerformanceRating])</f>
        <v>PR003</v>
      </c>
      <c r="AN278">
        <v>3</v>
      </c>
      <c r="AO278" t="str">
        <f>_xlfn.XLOOKUP(Table1[[#This Row],[PerformanceRating]],Table17[PerformanceRating],Table17[Deskripsi])</f>
        <v>Excellent</v>
      </c>
      <c r="AP278" t="str">
        <f>_xlfn.XLOOKUP(Table1[[#This Row],[RelationshipSatisfaction]],Table18[RelationshipSatisfaction],Table18[Id_RelationshipSatisfaction])</f>
        <v>RS002</v>
      </c>
      <c r="AQ278">
        <v>2</v>
      </c>
      <c r="AR278" t="str">
        <f>_xlfn.XLOOKUP(Table1[[#This Row],[RelationshipSatisfaction]],Table18[RelationshipSatisfaction],Table18[Deskripsi])</f>
        <v>Medium</v>
      </c>
      <c r="AS278" t="str">
        <f>_xlfn.XLOOKUP(Table1[[#This Row],[StockOptionLevel]],Table19[StockOptionLevel],Table19[Id_StockOptionLevel])</f>
        <v>SOL002</v>
      </c>
      <c r="AT278">
        <v>1</v>
      </c>
      <c r="AU278" t="str">
        <f>_xlfn.XLOOKUP(Table1[[#This Row],[StockOptionLevel]],Table19[StockOptionLevel],Table19[Deskripsi])</f>
        <v>Standard</v>
      </c>
      <c r="AV278">
        <v>10</v>
      </c>
      <c r="AW278">
        <v>6</v>
      </c>
      <c r="AX278" t="str">
        <f>_xlfn.XLOOKUP(Table1[[#This Row],[WorkLifeBalance]],Table20[WorkLifeBalance],Table20[Id_WorkLifeBalance])</f>
        <v>WLB003</v>
      </c>
      <c r="AY278">
        <v>2</v>
      </c>
      <c r="AZ278" t="str">
        <f>_xlfn.XLOOKUP(Table1[[#This Row],[WorkLifeBalance]],Table20[WorkLifeBalance],Table20[Deskripsi])</f>
        <v>Better</v>
      </c>
      <c r="BA278">
        <v>7</v>
      </c>
      <c r="BB278">
        <v>7</v>
      </c>
      <c r="BC278">
        <v>6</v>
      </c>
      <c r="BD278">
        <v>2</v>
      </c>
    </row>
    <row r="279" spans="1:56" x14ac:dyDescent="0.25">
      <c r="A279">
        <v>38</v>
      </c>
      <c r="B279" t="str">
        <f>_xlfn.XLOOKUP(Table1[[#This Row],[Attrition]],Table2[Attrition],Table2[Id_Attrition])</f>
        <v>A002</v>
      </c>
      <c r="C279" t="s">
        <v>33</v>
      </c>
      <c r="D279" t="str">
        <f>_xlfn.XLOOKUP(Table1[[#This Row],[BusinessTravel]],Table5[BusinessTravel],Table5[Id_BusinessTravel])</f>
        <v>BS001</v>
      </c>
      <c r="E279" t="s">
        <v>34</v>
      </c>
      <c r="F279">
        <v>322</v>
      </c>
      <c r="G279" t="str">
        <f>_xlfn.XLOOKUP(Table1[[#This Row],[Department]],Table6[Department],Table6[Id_Departement])</f>
        <v>D001</v>
      </c>
      <c r="H279" t="s">
        <v>37</v>
      </c>
      <c r="I279">
        <v>7</v>
      </c>
      <c r="J279" t="str">
        <f>_xlfn.XLOOKUP(Table1[[#This Row],[Education]],Table8[Education],Table8[Id_Education])</f>
        <v>E002</v>
      </c>
      <c r="K279">
        <v>2</v>
      </c>
      <c r="L279" t="str">
        <f>_xlfn.XLOOKUP(Table1[[#This Row],[EducationField]],Table7[EducationField],Table7[Id_EducationField])</f>
        <v>EF003</v>
      </c>
      <c r="M279" t="s">
        <v>42</v>
      </c>
      <c r="N279" t="str">
        <f>_xlfn.XLOOKUP(Table1[[#This Row],[EmployeeNumber]],Table4[EmployeeNumber],Table4[Id_Employee])</f>
        <v>EMP00278</v>
      </c>
      <c r="O279">
        <v>382</v>
      </c>
      <c r="P279" t="str">
        <f>_xlfn.XLOOKUP(Table1[[#This Row],[EnvironmentSatisfaction]],Table9[EnvironmentSatisfaction],Table9[Id_EnviromentSatisfaction])</f>
        <v>ES001</v>
      </c>
      <c r="Q279">
        <v>1</v>
      </c>
      <c r="R279" t="str">
        <f>_xlfn.XLOOKUP(Table1[[#This Row],[EnvironmentSatisfaction]],Table9[EnvironmentSatisfaction],Table9[Deskripsi])</f>
        <v>Low</v>
      </c>
      <c r="S279" t="str">
        <f>_xlfn.XLOOKUP(Table1[[#This Row],[Gender]],Table10[Gender],Table10[Id_Gender])</f>
        <v>G001</v>
      </c>
      <c r="T279" t="s">
        <v>45</v>
      </c>
      <c r="U279">
        <v>44</v>
      </c>
      <c r="V279" t="str">
        <f>_xlfn.XLOOKUP(Table1[[#This Row],[JobInvolvement]],Table11[JobInvolvement],Table11[Id_JobInvolvement])</f>
        <v>JI004</v>
      </c>
      <c r="W279">
        <v>4</v>
      </c>
      <c r="X279" t="str">
        <f>_xlfn.XLOOKUP(Table1[[#This Row],[JobLevel]],Table12[JobLevel],Table12[Id_JobLevel])</f>
        <v>JL002</v>
      </c>
      <c r="Y279">
        <v>2</v>
      </c>
      <c r="Z279" t="str">
        <f>_xlfn.XLOOKUP(Table1[[#This Row],[JobRole]],Table13[JobRole],Table13[Id_JobRole])</f>
        <v>JR001</v>
      </c>
      <c r="AA279" t="s">
        <v>47</v>
      </c>
      <c r="AB279" t="str">
        <f>_xlfn.XLOOKUP(Table1[[#This Row],[JobSatisfaction]],Table14[JobSatisfaction],Table14[Id_JobSatisfaction])</f>
        <v>JS001</v>
      </c>
      <c r="AC279">
        <v>1</v>
      </c>
      <c r="AD279" t="str">
        <f>_xlfn.XLOOKUP(Table1[[#This Row],[JobSatisfaction]],Table14[JobSatisfaction],Table14[Deskripsi])</f>
        <v>Low</v>
      </c>
      <c r="AE279" t="str">
        <f>_xlfn.XLOOKUP(Table1[[#This Row],[MaritalStatus]],Table15[MaritalStatus],Table15[Id_MaritalStatus])</f>
        <v>MS003</v>
      </c>
      <c r="AF279" t="s">
        <v>57</v>
      </c>
      <c r="AG279">
        <v>5605</v>
      </c>
      <c r="AH279">
        <v>19191</v>
      </c>
      <c r="AI279">
        <v>1</v>
      </c>
      <c r="AJ279" t="str">
        <f>_xlfn.XLOOKUP(Table1[[#This Row],[OverTime]],Table16[OverTime],Table16[Id_OverTime])</f>
        <v>OT001</v>
      </c>
      <c r="AK279" t="s">
        <v>32</v>
      </c>
      <c r="AL279">
        <v>24</v>
      </c>
      <c r="AM279" t="str">
        <f>_xlfn.XLOOKUP(Table1[[#This Row],[PerformanceRating]],Table17[PerformanceRating],Table17[Id_PerformanceRating])</f>
        <v>PR004</v>
      </c>
      <c r="AN279">
        <v>4</v>
      </c>
      <c r="AO279" t="str">
        <f>_xlfn.XLOOKUP(Table1[[#This Row],[PerformanceRating]],Table17[PerformanceRating],Table17[Deskripsi])</f>
        <v>Outstanding</v>
      </c>
      <c r="AP279" t="str">
        <f>_xlfn.XLOOKUP(Table1[[#This Row],[RelationshipSatisfaction]],Table18[RelationshipSatisfaction],Table18[Id_RelationshipSatisfaction])</f>
        <v>RS003</v>
      </c>
      <c r="AQ279">
        <v>3</v>
      </c>
      <c r="AR279" t="str">
        <f>_xlfn.XLOOKUP(Table1[[#This Row],[RelationshipSatisfaction]],Table18[RelationshipSatisfaction],Table18[Deskripsi])</f>
        <v>High</v>
      </c>
      <c r="AS279" t="str">
        <f>_xlfn.XLOOKUP(Table1[[#This Row],[StockOptionLevel]],Table19[StockOptionLevel],Table19[Id_StockOptionLevel])</f>
        <v>SOL002</v>
      </c>
      <c r="AT279">
        <v>1</v>
      </c>
      <c r="AU279" t="str">
        <f>_xlfn.XLOOKUP(Table1[[#This Row],[StockOptionLevel]],Table19[StockOptionLevel],Table19[Deskripsi])</f>
        <v>Standard</v>
      </c>
      <c r="AV279">
        <v>8</v>
      </c>
      <c r="AW279">
        <v>3</v>
      </c>
      <c r="AX279" t="str">
        <f>_xlfn.XLOOKUP(Table1[[#This Row],[WorkLifeBalance]],Table20[WorkLifeBalance],Table20[Id_WorkLifeBalance])</f>
        <v>WLB002</v>
      </c>
      <c r="AY279">
        <v>3</v>
      </c>
      <c r="AZ279" t="str">
        <f>_xlfn.XLOOKUP(Table1[[#This Row],[WorkLifeBalance]],Table20[WorkLifeBalance],Table20[Deskripsi])</f>
        <v>Good</v>
      </c>
      <c r="BA279">
        <v>8</v>
      </c>
      <c r="BB279">
        <v>0</v>
      </c>
      <c r="BC279">
        <v>7</v>
      </c>
      <c r="BD279">
        <v>7</v>
      </c>
    </row>
    <row r="280" spans="1:56" x14ac:dyDescent="0.25">
      <c r="A280">
        <v>26</v>
      </c>
      <c r="B280" t="str">
        <f>_xlfn.XLOOKUP(Table1[[#This Row],[Attrition]],Table2[Attrition],Table2[Id_Attrition])</f>
        <v>A002</v>
      </c>
      <c r="C280" t="s">
        <v>33</v>
      </c>
      <c r="D280" t="str">
        <f>_xlfn.XLOOKUP(Table1[[#This Row],[BusinessTravel]],Table5[BusinessTravel],Table5[Id_BusinessTravel])</f>
        <v>BS002</v>
      </c>
      <c r="E280" t="s">
        <v>35</v>
      </c>
      <c r="F280">
        <v>1479</v>
      </c>
      <c r="G280" t="str">
        <f>_xlfn.XLOOKUP(Table1[[#This Row],[Department]],Table6[Department],Table6[Id_Departement])</f>
        <v>D002</v>
      </c>
      <c r="H280" t="s">
        <v>38</v>
      </c>
      <c r="I280">
        <v>1</v>
      </c>
      <c r="J280" t="str">
        <f>_xlfn.XLOOKUP(Table1[[#This Row],[Education]],Table8[Education],Table8[Id_Education])</f>
        <v>E003</v>
      </c>
      <c r="K280">
        <v>3</v>
      </c>
      <c r="L280" t="str">
        <f>_xlfn.XLOOKUP(Table1[[#This Row],[EducationField]],Table7[EducationField],Table7[Id_EducationField])</f>
        <v>EF001</v>
      </c>
      <c r="M280" t="s">
        <v>40</v>
      </c>
      <c r="N280" t="str">
        <f>_xlfn.XLOOKUP(Table1[[#This Row],[EmployeeNumber]],Table4[EmployeeNumber],Table4[Id_Employee])</f>
        <v>EMP00279</v>
      </c>
      <c r="O280">
        <v>384</v>
      </c>
      <c r="P280" t="str">
        <f>_xlfn.XLOOKUP(Table1[[#This Row],[EnvironmentSatisfaction]],Table9[EnvironmentSatisfaction],Table9[Id_EnviromentSatisfaction])</f>
        <v>ES003</v>
      </c>
      <c r="Q280">
        <v>3</v>
      </c>
      <c r="R280" t="str">
        <f>_xlfn.XLOOKUP(Table1[[#This Row],[EnvironmentSatisfaction]],Table9[EnvironmentSatisfaction],Table9[Deskripsi])</f>
        <v>High</v>
      </c>
      <c r="S280" t="str">
        <f>_xlfn.XLOOKUP(Table1[[#This Row],[Gender]],Table10[Gender],Table10[Id_Gender])</f>
        <v>G001</v>
      </c>
      <c r="T280" t="s">
        <v>45</v>
      </c>
      <c r="U280">
        <v>84</v>
      </c>
      <c r="V280" t="str">
        <f>_xlfn.XLOOKUP(Table1[[#This Row],[JobInvolvement]],Table11[JobInvolvement],Table11[Id_JobInvolvement])</f>
        <v>JI003</v>
      </c>
      <c r="W280">
        <v>3</v>
      </c>
      <c r="X280" t="str">
        <f>_xlfn.XLOOKUP(Table1[[#This Row],[JobLevel]],Table12[JobLevel],Table12[Id_JobLevel])</f>
        <v>JL002</v>
      </c>
      <c r="Y280">
        <v>2</v>
      </c>
      <c r="Z280" t="str">
        <f>_xlfn.XLOOKUP(Table1[[#This Row],[JobRole]],Table13[JobRole],Table13[Id_JobRole])</f>
        <v>JR004</v>
      </c>
      <c r="AA280" t="s">
        <v>50</v>
      </c>
      <c r="AB280" t="str">
        <f>_xlfn.XLOOKUP(Table1[[#This Row],[JobSatisfaction]],Table14[JobSatisfaction],Table14[Id_JobSatisfaction])</f>
        <v>JS002</v>
      </c>
      <c r="AC280">
        <v>2</v>
      </c>
      <c r="AD280" t="str">
        <f>_xlfn.XLOOKUP(Table1[[#This Row],[JobSatisfaction]],Table14[JobSatisfaction],Table14[Deskripsi])</f>
        <v>Medium</v>
      </c>
      <c r="AE280" t="str">
        <f>_xlfn.XLOOKUP(Table1[[#This Row],[MaritalStatus]],Table15[MaritalStatus],Table15[Id_MaritalStatus])</f>
        <v>MS003</v>
      </c>
      <c r="AF280" t="s">
        <v>57</v>
      </c>
      <c r="AG280">
        <v>6397</v>
      </c>
      <c r="AH280">
        <v>26767</v>
      </c>
      <c r="AI280">
        <v>1</v>
      </c>
      <c r="AJ280" t="str">
        <f>_xlfn.XLOOKUP(Table1[[#This Row],[OverTime]],Table16[OverTime],Table16[Id_OverTime])</f>
        <v>OT002</v>
      </c>
      <c r="AK280" t="s">
        <v>33</v>
      </c>
      <c r="AL280">
        <v>20</v>
      </c>
      <c r="AM280" t="str">
        <f>_xlfn.XLOOKUP(Table1[[#This Row],[PerformanceRating]],Table17[PerformanceRating],Table17[Id_PerformanceRating])</f>
        <v>PR004</v>
      </c>
      <c r="AN280">
        <v>4</v>
      </c>
      <c r="AO280" t="str">
        <f>_xlfn.XLOOKUP(Table1[[#This Row],[PerformanceRating]],Table17[PerformanceRating],Table17[Deskripsi])</f>
        <v>Outstanding</v>
      </c>
      <c r="AP280" t="str">
        <f>_xlfn.XLOOKUP(Table1[[#This Row],[RelationshipSatisfaction]],Table18[RelationshipSatisfaction],Table18[Id_RelationshipSatisfaction])</f>
        <v>RS001</v>
      </c>
      <c r="AQ280">
        <v>1</v>
      </c>
      <c r="AR280" t="str">
        <f>_xlfn.XLOOKUP(Table1[[#This Row],[RelationshipSatisfaction]],Table18[RelationshipSatisfaction],Table18[Deskripsi])</f>
        <v>Low</v>
      </c>
      <c r="AS280" t="str">
        <f>_xlfn.XLOOKUP(Table1[[#This Row],[StockOptionLevel]],Table19[StockOptionLevel],Table19[Id_StockOptionLevel])</f>
        <v>SOL002</v>
      </c>
      <c r="AT280">
        <v>1</v>
      </c>
      <c r="AU280" t="str">
        <f>_xlfn.XLOOKUP(Table1[[#This Row],[StockOptionLevel]],Table19[StockOptionLevel],Table19[Deskripsi])</f>
        <v>Standard</v>
      </c>
      <c r="AV280">
        <v>6</v>
      </c>
      <c r="AW280">
        <v>6</v>
      </c>
      <c r="AX280" t="str">
        <f>_xlfn.XLOOKUP(Table1[[#This Row],[WorkLifeBalance]],Table20[WorkLifeBalance],Table20[Id_WorkLifeBalance])</f>
        <v>WLB001</v>
      </c>
      <c r="AY280">
        <v>1</v>
      </c>
      <c r="AZ280" t="str">
        <f>_xlfn.XLOOKUP(Table1[[#This Row],[WorkLifeBalance]],Table20[WorkLifeBalance],Table20[Deskripsi])</f>
        <v>Bad</v>
      </c>
      <c r="BA280">
        <v>6</v>
      </c>
      <c r="BB280">
        <v>5</v>
      </c>
      <c r="BC280">
        <v>1</v>
      </c>
      <c r="BD280">
        <v>4</v>
      </c>
    </row>
    <row r="281" spans="1:56" x14ac:dyDescent="0.25">
      <c r="A281">
        <v>50</v>
      </c>
      <c r="B281" t="str">
        <f>_xlfn.XLOOKUP(Table1[[#This Row],[Attrition]],Table2[Attrition],Table2[Id_Attrition])</f>
        <v>A002</v>
      </c>
      <c r="C281" t="s">
        <v>33</v>
      </c>
      <c r="D281" t="str">
        <f>_xlfn.XLOOKUP(Table1[[#This Row],[BusinessTravel]],Table5[BusinessTravel],Table5[Id_BusinessTravel])</f>
        <v>BS001</v>
      </c>
      <c r="E281" t="s">
        <v>34</v>
      </c>
      <c r="F281">
        <v>797</v>
      </c>
      <c r="G281" t="str">
        <f>_xlfn.XLOOKUP(Table1[[#This Row],[Department]],Table6[Department],Table6[Id_Departement])</f>
        <v>D002</v>
      </c>
      <c r="H281" t="s">
        <v>38</v>
      </c>
      <c r="I281">
        <v>4</v>
      </c>
      <c r="J281" t="str">
        <f>_xlfn.XLOOKUP(Table1[[#This Row],[Education]],Table8[Education],Table8[Id_Education])</f>
        <v>E001</v>
      </c>
      <c r="K281">
        <v>1</v>
      </c>
      <c r="L281" t="str">
        <f>_xlfn.XLOOKUP(Table1[[#This Row],[EducationField]],Table7[EducationField],Table7[Id_EducationField])</f>
        <v>EF001</v>
      </c>
      <c r="M281" t="s">
        <v>40</v>
      </c>
      <c r="N281" t="str">
        <f>_xlfn.XLOOKUP(Table1[[#This Row],[EmployeeNumber]],Table4[EmployeeNumber],Table4[Id_Employee])</f>
        <v>EMP00280</v>
      </c>
      <c r="O281">
        <v>385</v>
      </c>
      <c r="P281" t="str">
        <f>_xlfn.XLOOKUP(Table1[[#This Row],[EnvironmentSatisfaction]],Table9[EnvironmentSatisfaction],Table9[Id_EnviromentSatisfaction])</f>
        <v>ES001</v>
      </c>
      <c r="Q281">
        <v>1</v>
      </c>
      <c r="R281" t="str">
        <f>_xlfn.XLOOKUP(Table1[[#This Row],[EnvironmentSatisfaction]],Table9[EnvironmentSatisfaction],Table9[Deskripsi])</f>
        <v>Low</v>
      </c>
      <c r="S281" t="str">
        <f>_xlfn.XLOOKUP(Table1[[#This Row],[Gender]],Table10[Gender],Table10[Id_Gender])</f>
        <v>G002</v>
      </c>
      <c r="T281" t="s">
        <v>46</v>
      </c>
      <c r="U281">
        <v>96</v>
      </c>
      <c r="V281" t="str">
        <f>_xlfn.XLOOKUP(Table1[[#This Row],[JobInvolvement]],Table11[JobInvolvement],Table11[Id_JobInvolvement])</f>
        <v>JI003</v>
      </c>
      <c r="W281">
        <v>3</v>
      </c>
      <c r="X281" t="str">
        <f>_xlfn.XLOOKUP(Table1[[#This Row],[JobLevel]],Table12[JobLevel],Table12[Id_JobLevel])</f>
        <v>JL005</v>
      </c>
      <c r="Y281">
        <v>5</v>
      </c>
      <c r="Z281" t="str">
        <f>_xlfn.XLOOKUP(Table1[[#This Row],[JobRole]],Table13[JobRole],Table13[Id_JobRole])</f>
        <v>JR008</v>
      </c>
      <c r="AA281" t="s">
        <v>54</v>
      </c>
      <c r="AB281" t="str">
        <f>_xlfn.XLOOKUP(Table1[[#This Row],[JobSatisfaction]],Table14[JobSatisfaction],Table14[Id_JobSatisfaction])</f>
        <v>JS002</v>
      </c>
      <c r="AC281">
        <v>2</v>
      </c>
      <c r="AD281" t="str">
        <f>_xlfn.XLOOKUP(Table1[[#This Row],[JobSatisfaction]],Table14[JobSatisfaction],Table14[Deskripsi])</f>
        <v>Medium</v>
      </c>
      <c r="AE281" t="str">
        <f>_xlfn.XLOOKUP(Table1[[#This Row],[MaritalStatus]],Table15[MaritalStatus],Table15[Id_MaritalStatus])</f>
        <v>MS003</v>
      </c>
      <c r="AF281" t="s">
        <v>57</v>
      </c>
      <c r="AG281">
        <v>19144</v>
      </c>
      <c r="AH281">
        <v>15815</v>
      </c>
      <c r="AI281">
        <v>3</v>
      </c>
      <c r="AJ281" t="str">
        <f>_xlfn.XLOOKUP(Table1[[#This Row],[OverTime]],Table16[OverTime],Table16[Id_OverTime])</f>
        <v>OT002</v>
      </c>
      <c r="AK281" t="s">
        <v>33</v>
      </c>
      <c r="AL281">
        <v>14</v>
      </c>
      <c r="AM281" t="str">
        <f>_xlfn.XLOOKUP(Table1[[#This Row],[PerformanceRating]],Table17[PerformanceRating],Table17[Id_PerformanceRating])</f>
        <v>PR003</v>
      </c>
      <c r="AN281">
        <v>3</v>
      </c>
      <c r="AO281" t="str">
        <f>_xlfn.XLOOKUP(Table1[[#This Row],[PerformanceRating]],Table17[PerformanceRating],Table17[Deskripsi])</f>
        <v>Excellent</v>
      </c>
      <c r="AP281" t="str">
        <f>_xlfn.XLOOKUP(Table1[[#This Row],[RelationshipSatisfaction]],Table18[RelationshipSatisfaction],Table18[Id_RelationshipSatisfaction])</f>
        <v>RS001</v>
      </c>
      <c r="AQ281">
        <v>1</v>
      </c>
      <c r="AR281" t="str">
        <f>_xlfn.XLOOKUP(Table1[[#This Row],[RelationshipSatisfaction]],Table18[RelationshipSatisfaction],Table18[Deskripsi])</f>
        <v>Low</v>
      </c>
      <c r="AS281" t="str">
        <f>_xlfn.XLOOKUP(Table1[[#This Row],[StockOptionLevel]],Table19[StockOptionLevel],Table19[Id_StockOptionLevel])</f>
        <v>SOL003</v>
      </c>
      <c r="AT281">
        <v>2</v>
      </c>
      <c r="AU281" t="str">
        <f>_xlfn.XLOOKUP(Table1[[#This Row],[StockOptionLevel]],Table19[StockOptionLevel],Table19[Deskripsi])</f>
        <v>Intermediate</v>
      </c>
      <c r="AV281">
        <v>28</v>
      </c>
      <c r="AW281">
        <v>4</v>
      </c>
      <c r="AX281" t="str">
        <f>_xlfn.XLOOKUP(Table1[[#This Row],[WorkLifeBalance]],Table20[WorkLifeBalance],Table20[Id_WorkLifeBalance])</f>
        <v>WLB003</v>
      </c>
      <c r="AY281">
        <v>2</v>
      </c>
      <c r="AZ281" t="str">
        <f>_xlfn.XLOOKUP(Table1[[#This Row],[WorkLifeBalance]],Table20[WorkLifeBalance],Table20[Deskripsi])</f>
        <v>Better</v>
      </c>
      <c r="BA281">
        <v>10</v>
      </c>
      <c r="BB281">
        <v>4</v>
      </c>
      <c r="BC281">
        <v>1</v>
      </c>
      <c r="BD281">
        <v>6</v>
      </c>
    </row>
    <row r="282" spans="1:56" x14ac:dyDescent="0.25">
      <c r="A282">
        <v>53</v>
      </c>
      <c r="B282" t="str">
        <f>_xlfn.XLOOKUP(Table1[[#This Row],[Attrition]],Table2[Attrition],Table2[Id_Attrition])</f>
        <v>A002</v>
      </c>
      <c r="C282" t="s">
        <v>33</v>
      </c>
      <c r="D282" t="str">
        <f>_xlfn.XLOOKUP(Table1[[#This Row],[BusinessTravel]],Table5[BusinessTravel],Table5[Id_BusinessTravel])</f>
        <v>BS001</v>
      </c>
      <c r="E282" t="s">
        <v>34</v>
      </c>
      <c r="F282">
        <v>1070</v>
      </c>
      <c r="G282" t="str">
        <f>_xlfn.XLOOKUP(Table1[[#This Row],[Department]],Table6[Department],Table6[Id_Departement])</f>
        <v>D002</v>
      </c>
      <c r="H282" t="s">
        <v>38</v>
      </c>
      <c r="I282">
        <v>3</v>
      </c>
      <c r="J282" t="str">
        <f>_xlfn.XLOOKUP(Table1[[#This Row],[Education]],Table8[Education],Table8[Id_Education])</f>
        <v>E004</v>
      </c>
      <c r="K282">
        <v>4</v>
      </c>
      <c r="L282" t="str">
        <f>_xlfn.XLOOKUP(Table1[[#This Row],[EducationField]],Table7[EducationField],Table7[Id_EducationField])</f>
        <v>EF003</v>
      </c>
      <c r="M282" t="s">
        <v>42</v>
      </c>
      <c r="N282" t="str">
        <f>_xlfn.XLOOKUP(Table1[[#This Row],[EmployeeNumber]],Table4[EmployeeNumber],Table4[Id_Employee])</f>
        <v>EMP00281</v>
      </c>
      <c r="O282">
        <v>386</v>
      </c>
      <c r="P282" t="str">
        <f>_xlfn.XLOOKUP(Table1[[#This Row],[EnvironmentSatisfaction]],Table9[EnvironmentSatisfaction],Table9[Id_EnviromentSatisfaction])</f>
        <v>ES003</v>
      </c>
      <c r="Q282">
        <v>3</v>
      </c>
      <c r="R282" t="str">
        <f>_xlfn.XLOOKUP(Table1[[#This Row],[EnvironmentSatisfaction]],Table9[EnvironmentSatisfaction],Table9[Deskripsi])</f>
        <v>High</v>
      </c>
      <c r="S282" t="str">
        <f>_xlfn.XLOOKUP(Table1[[#This Row],[Gender]],Table10[Gender],Table10[Id_Gender])</f>
        <v>G002</v>
      </c>
      <c r="T282" t="s">
        <v>46</v>
      </c>
      <c r="U282">
        <v>45</v>
      </c>
      <c r="V282" t="str">
        <f>_xlfn.XLOOKUP(Table1[[#This Row],[JobInvolvement]],Table11[JobInvolvement],Table11[Id_JobInvolvement])</f>
        <v>JI003</v>
      </c>
      <c r="W282">
        <v>3</v>
      </c>
      <c r="X282" t="str">
        <f>_xlfn.XLOOKUP(Table1[[#This Row],[JobLevel]],Table12[JobLevel],Table12[Id_JobLevel])</f>
        <v>JL004</v>
      </c>
      <c r="Y282">
        <v>4</v>
      </c>
      <c r="Z282" t="str">
        <f>_xlfn.XLOOKUP(Table1[[#This Row],[JobRole]],Table13[JobRole],Table13[Id_JobRole])</f>
        <v>JR008</v>
      </c>
      <c r="AA282" t="s">
        <v>54</v>
      </c>
      <c r="AB282" t="str">
        <f>_xlfn.XLOOKUP(Table1[[#This Row],[JobSatisfaction]],Table14[JobSatisfaction],Table14[Id_JobSatisfaction])</f>
        <v>JS003</v>
      </c>
      <c r="AC282">
        <v>3</v>
      </c>
      <c r="AD282" t="str">
        <f>_xlfn.XLOOKUP(Table1[[#This Row],[JobSatisfaction]],Table14[JobSatisfaction],Table14[Deskripsi])</f>
        <v>High</v>
      </c>
      <c r="AE282" t="str">
        <f>_xlfn.XLOOKUP(Table1[[#This Row],[MaritalStatus]],Table15[MaritalStatus],Table15[Id_MaritalStatus])</f>
        <v>MS002</v>
      </c>
      <c r="AF282" t="s">
        <v>56</v>
      </c>
      <c r="AG282">
        <v>17584</v>
      </c>
      <c r="AH282">
        <v>21016</v>
      </c>
      <c r="AI282">
        <v>3</v>
      </c>
      <c r="AJ282" t="str">
        <f>_xlfn.XLOOKUP(Table1[[#This Row],[OverTime]],Table16[OverTime],Table16[Id_OverTime])</f>
        <v>OT001</v>
      </c>
      <c r="AK282" t="s">
        <v>32</v>
      </c>
      <c r="AL282">
        <v>16</v>
      </c>
      <c r="AM282" t="str">
        <f>_xlfn.XLOOKUP(Table1[[#This Row],[PerformanceRating]],Table17[PerformanceRating],Table17[Id_PerformanceRating])</f>
        <v>PR003</v>
      </c>
      <c r="AN282">
        <v>3</v>
      </c>
      <c r="AO282" t="str">
        <f>_xlfn.XLOOKUP(Table1[[#This Row],[PerformanceRating]],Table17[PerformanceRating],Table17[Deskripsi])</f>
        <v>Excellent</v>
      </c>
      <c r="AP282" t="str">
        <f>_xlfn.XLOOKUP(Table1[[#This Row],[RelationshipSatisfaction]],Table18[RelationshipSatisfaction],Table18[Id_RelationshipSatisfaction])</f>
        <v>RS004</v>
      </c>
      <c r="AQ282">
        <v>4</v>
      </c>
      <c r="AR282" t="str">
        <f>_xlfn.XLOOKUP(Table1[[#This Row],[RelationshipSatisfaction]],Table18[RelationshipSatisfaction],Table18[Deskripsi])</f>
        <v>Very High</v>
      </c>
      <c r="AS282" t="str">
        <f>_xlfn.XLOOKUP(Table1[[#This Row],[StockOptionLevel]],Table19[StockOptionLevel],Table19[Id_StockOptionLevel])</f>
        <v>SOL004</v>
      </c>
      <c r="AT282">
        <v>3</v>
      </c>
      <c r="AU282" t="str">
        <f>_xlfn.XLOOKUP(Table1[[#This Row],[StockOptionLevel]],Table19[StockOptionLevel],Table19[Deskripsi])</f>
        <v>Senior/Executive</v>
      </c>
      <c r="AV282">
        <v>21</v>
      </c>
      <c r="AW282">
        <v>5</v>
      </c>
      <c r="AX282" t="str">
        <f>_xlfn.XLOOKUP(Table1[[#This Row],[WorkLifeBalance]],Table20[WorkLifeBalance],Table20[Id_WorkLifeBalance])</f>
        <v>WLB003</v>
      </c>
      <c r="AY282">
        <v>2</v>
      </c>
      <c r="AZ282" t="str">
        <f>_xlfn.XLOOKUP(Table1[[#This Row],[WorkLifeBalance]],Table20[WorkLifeBalance],Table20[Deskripsi])</f>
        <v>Better</v>
      </c>
      <c r="BA282">
        <v>5</v>
      </c>
      <c r="BB282">
        <v>3</v>
      </c>
      <c r="BC282">
        <v>1</v>
      </c>
      <c r="BD282">
        <v>3</v>
      </c>
    </row>
    <row r="283" spans="1:56" x14ac:dyDescent="0.25">
      <c r="A283">
        <v>42</v>
      </c>
      <c r="B283" t="str">
        <f>_xlfn.XLOOKUP(Table1[[#This Row],[Attrition]],Table2[Attrition],Table2[Id_Attrition])</f>
        <v>A002</v>
      </c>
      <c r="C283" t="s">
        <v>33</v>
      </c>
      <c r="D283" t="str">
        <f>_xlfn.XLOOKUP(Table1[[#This Row],[BusinessTravel]],Table5[BusinessTravel],Table5[Id_BusinessTravel])</f>
        <v>BS001</v>
      </c>
      <c r="E283" t="s">
        <v>34</v>
      </c>
      <c r="F283">
        <v>635</v>
      </c>
      <c r="G283" t="str">
        <f>_xlfn.XLOOKUP(Table1[[#This Row],[Department]],Table6[Department],Table6[Id_Departement])</f>
        <v>D001</v>
      </c>
      <c r="H283" t="s">
        <v>37</v>
      </c>
      <c r="I283">
        <v>1</v>
      </c>
      <c r="J283" t="str">
        <f>_xlfn.XLOOKUP(Table1[[#This Row],[Education]],Table8[Education],Table8[Id_Education])</f>
        <v>E001</v>
      </c>
      <c r="K283">
        <v>1</v>
      </c>
      <c r="L283" t="str">
        <f>_xlfn.XLOOKUP(Table1[[#This Row],[EducationField]],Table7[EducationField],Table7[Id_EducationField])</f>
        <v>EF001</v>
      </c>
      <c r="M283" t="s">
        <v>40</v>
      </c>
      <c r="N283" t="str">
        <f>_xlfn.XLOOKUP(Table1[[#This Row],[EmployeeNumber]],Table4[EmployeeNumber],Table4[Id_Employee])</f>
        <v>EMP00282</v>
      </c>
      <c r="O283">
        <v>387</v>
      </c>
      <c r="P283" t="str">
        <f>_xlfn.XLOOKUP(Table1[[#This Row],[EnvironmentSatisfaction]],Table9[EnvironmentSatisfaction],Table9[Id_EnviromentSatisfaction])</f>
        <v>ES002</v>
      </c>
      <c r="Q283">
        <v>2</v>
      </c>
      <c r="R283" t="str">
        <f>_xlfn.XLOOKUP(Table1[[#This Row],[EnvironmentSatisfaction]],Table9[EnvironmentSatisfaction],Table9[Deskripsi])</f>
        <v>Medium</v>
      </c>
      <c r="S283" t="str">
        <f>_xlfn.XLOOKUP(Table1[[#This Row],[Gender]],Table10[Gender],Table10[Id_Gender])</f>
        <v>G002</v>
      </c>
      <c r="T283" t="s">
        <v>46</v>
      </c>
      <c r="U283">
        <v>99</v>
      </c>
      <c r="V283" t="str">
        <f>_xlfn.XLOOKUP(Table1[[#This Row],[JobInvolvement]],Table11[JobInvolvement],Table11[Id_JobInvolvement])</f>
        <v>JI003</v>
      </c>
      <c r="W283">
        <v>3</v>
      </c>
      <c r="X283" t="str">
        <f>_xlfn.XLOOKUP(Table1[[#This Row],[JobLevel]],Table12[JobLevel],Table12[Id_JobLevel])</f>
        <v>JL002</v>
      </c>
      <c r="Y283">
        <v>2</v>
      </c>
      <c r="Z283" t="str">
        <f>_xlfn.XLOOKUP(Table1[[#This Row],[JobRole]],Table13[JobRole],Table13[Id_JobRole])</f>
        <v>JR001</v>
      </c>
      <c r="AA283" t="s">
        <v>47</v>
      </c>
      <c r="AB283" t="str">
        <f>_xlfn.XLOOKUP(Table1[[#This Row],[JobSatisfaction]],Table14[JobSatisfaction],Table14[Id_JobSatisfaction])</f>
        <v>JS003</v>
      </c>
      <c r="AC283">
        <v>3</v>
      </c>
      <c r="AD283" t="str">
        <f>_xlfn.XLOOKUP(Table1[[#This Row],[JobSatisfaction]],Table14[JobSatisfaction],Table14[Deskripsi])</f>
        <v>High</v>
      </c>
      <c r="AE283" t="str">
        <f>_xlfn.XLOOKUP(Table1[[#This Row],[MaritalStatus]],Table15[MaritalStatus],Table15[Id_MaritalStatus])</f>
        <v>MS002</v>
      </c>
      <c r="AF283" t="s">
        <v>56</v>
      </c>
      <c r="AG283">
        <v>4907</v>
      </c>
      <c r="AH283">
        <v>24532</v>
      </c>
      <c r="AI283">
        <v>1</v>
      </c>
      <c r="AJ283" t="str">
        <f>_xlfn.XLOOKUP(Table1[[#This Row],[OverTime]],Table16[OverTime],Table16[Id_OverTime])</f>
        <v>OT002</v>
      </c>
      <c r="AK283" t="s">
        <v>33</v>
      </c>
      <c r="AL283">
        <v>25</v>
      </c>
      <c r="AM283" t="str">
        <f>_xlfn.XLOOKUP(Table1[[#This Row],[PerformanceRating]],Table17[PerformanceRating],Table17[Id_PerformanceRating])</f>
        <v>PR004</v>
      </c>
      <c r="AN283">
        <v>4</v>
      </c>
      <c r="AO283" t="str">
        <f>_xlfn.XLOOKUP(Table1[[#This Row],[PerformanceRating]],Table17[PerformanceRating],Table17[Deskripsi])</f>
        <v>Outstanding</v>
      </c>
      <c r="AP283" t="str">
        <f>_xlfn.XLOOKUP(Table1[[#This Row],[RelationshipSatisfaction]],Table18[RelationshipSatisfaction],Table18[Id_RelationshipSatisfaction])</f>
        <v>RS003</v>
      </c>
      <c r="AQ283">
        <v>3</v>
      </c>
      <c r="AR283" t="str">
        <f>_xlfn.XLOOKUP(Table1[[#This Row],[RelationshipSatisfaction]],Table18[RelationshipSatisfaction],Table18[Deskripsi])</f>
        <v>High</v>
      </c>
      <c r="AS283" t="str">
        <f>_xlfn.XLOOKUP(Table1[[#This Row],[StockOptionLevel]],Table19[StockOptionLevel],Table19[Id_StockOptionLevel])</f>
        <v>SOL001</v>
      </c>
      <c r="AT283">
        <v>0</v>
      </c>
      <c r="AU283" t="str">
        <f>_xlfn.XLOOKUP(Table1[[#This Row],[StockOptionLevel]],Table19[StockOptionLevel],Table19[Deskripsi])</f>
        <v>Non-Eligible</v>
      </c>
      <c r="AV283">
        <v>20</v>
      </c>
      <c r="AW283">
        <v>3</v>
      </c>
      <c r="AX283" t="str">
        <f>_xlfn.XLOOKUP(Table1[[#This Row],[WorkLifeBalance]],Table20[WorkLifeBalance],Table20[Id_WorkLifeBalance])</f>
        <v>WLB002</v>
      </c>
      <c r="AY283">
        <v>3</v>
      </c>
      <c r="AZ283" t="str">
        <f>_xlfn.XLOOKUP(Table1[[#This Row],[WorkLifeBalance]],Table20[WorkLifeBalance],Table20[Deskripsi])</f>
        <v>Good</v>
      </c>
      <c r="BA283">
        <v>20</v>
      </c>
      <c r="BB283">
        <v>16</v>
      </c>
      <c r="BC283">
        <v>11</v>
      </c>
      <c r="BD283">
        <v>6</v>
      </c>
    </row>
    <row r="284" spans="1:56" x14ac:dyDescent="0.25">
      <c r="A284">
        <v>29</v>
      </c>
      <c r="B284" t="str">
        <f>_xlfn.XLOOKUP(Table1[[#This Row],[Attrition]],Table2[Attrition],Table2[Id_Attrition])</f>
        <v>A002</v>
      </c>
      <c r="C284" t="s">
        <v>33</v>
      </c>
      <c r="D284" t="str">
        <f>_xlfn.XLOOKUP(Table1[[#This Row],[BusinessTravel]],Table5[BusinessTravel],Table5[Id_BusinessTravel])</f>
        <v>BS002</v>
      </c>
      <c r="E284" t="s">
        <v>35</v>
      </c>
      <c r="F284">
        <v>442</v>
      </c>
      <c r="G284" t="str">
        <f>_xlfn.XLOOKUP(Table1[[#This Row],[Department]],Table6[Department],Table6[Id_Departement])</f>
        <v>D001</v>
      </c>
      <c r="H284" t="s">
        <v>37</v>
      </c>
      <c r="I284">
        <v>2</v>
      </c>
      <c r="J284" t="str">
        <f>_xlfn.XLOOKUP(Table1[[#This Row],[Education]],Table8[Education],Table8[Id_Education])</f>
        <v>E002</v>
      </c>
      <c r="K284">
        <v>2</v>
      </c>
      <c r="L284" t="str">
        <f>_xlfn.XLOOKUP(Table1[[#This Row],[EducationField]],Table7[EducationField],Table7[Id_EducationField])</f>
        <v>EF001</v>
      </c>
      <c r="M284" t="s">
        <v>40</v>
      </c>
      <c r="N284" t="str">
        <f>_xlfn.XLOOKUP(Table1[[#This Row],[EmployeeNumber]],Table4[EmployeeNumber],Table4[Id_Employee])</f>
        <v>EMP00283</v>
      </c>
      <c r="O284">
        <v>388</v>
      </c>
      <c r="P284" t="str">
        <f>_xlfn.XLOOKUP(Table1[[#This Row],[EnvironmentSatisfaction]],Table9[EnvironmentSatisfaction],Table9[Id_EnviromentSatisfaction])</f>
        <v>ES002</v>
      </c>
      <c r="Q284">
        <v>2</v>
      </c>
      <c r="R284" t="str">
        <f>_xlfn.XLOOKUP(Table1[[#This Row],[EnvironmentSatisfaction]],Table9[EnvironmentSatisfaction],Table9[Deskripsi])</f>
        <v>Medium</v>
      </c>
      <c r="S284" t="str">
        <f>_xlfn.XLOOKUP(Table1[[#This Row],[Gender]],Table10[Gender],Table10[Id_Gender])</f>
        <v>G002</v>
      </c>
      <c r="T284" t="s">
        <v>46</v>
      </c>
      <c r="U284">
        <v>44</v>
      </c>
      <c r="V284" t="str">
        <f>_xlfn.XLOOKUP(Table1[[#This Row],[JobInvolvement]],Table11[JobInvolvement],Table11[Id_JobInvolvement])</f>
        <v>JI003</v>
      </c>
      <c r="W284">
        <v>3</v>
      </c>
      <c r="X284" t="str">
        <f>_xlfn.XLOOKUP(Table1[[#This Row],[JobLevel]],Table12[JobLevel],Table12[Id_JobLevel])</f>
        <v>JL002</v>
      </c>
      <c r="Y284">
        <v>2</v>
      </c>
      <c r="Z284" t="str">
        <f>_xlfn.XLOOKUP(Table1[[#This Row],[JobRole]],Table13[JobRole],Table13[Id_JobRole])</f>
        <v>JR001</v>
      </c>
      <c r="AA284" t="s">
        <v>47</v>
      </c>
      <c r="AB284" t="str">
        <f>_xlfn.XLOOKUP(Table1[[#This Row],[JobSatisfaction]],Table14[JobSatisfaction],Table14[Id_JobSatisfaction])</f>
        <v>JS004</v>
      </c>
      <c r="AC284">
        <v>4</v>
      </c>
      <c r="AD284" t="str">
        <f>_xlfn.XLOOKUP(Table1[[#This Row],[JobSatisfaction]],Table14[JobSatisfaction],Table14[Deskripsi])</f>
        <v>Very High</v>
      </c>
      <c r="AE284" t="str">
        <f>_xlfn.XLOOKUP(Table1[[#This Row],[MaritalStatus]],Table15[MaritalStatus],Table15[Id_MaritalStatus])</f>
        <v>MS001</v>
      </c>
      <c r="AF284" t="s">
        <v>55</v>
      </c>
      <c r="AG284">
        <v>4554</v>
      </c>
      <c r="AH284">
        <v>20260</v>
      </c>
      <c r="AI284">
        <v>1</v>
      </c>
      <c r="AJ284" t="str">
        <f>_xlfn.XLOOKUP(Table1[[#This Row],[OverTime]],Table16[OverTime],Table16[Id_OverTime])</f>
        <v>OT002</v>
      </c>
      <c r="AK284" t="s">
        <v>33</v>
      </c>
      <c r="AL284">
        <v>18</v>
      </c>
      <c r="AM284" t="str">
        <f>_xlfn.XLOOKUP(Table1[[#This Row],[PerformanceRating]],Table17[PerformanceRating],Table17[Id_PerformanceRating])</f>
        <v>PR003</v>
      </c>
      <c r="AN284">
        <v>3</v>
      </c>
      <c r="AO284" t="str">
        <f>_xlfn.XLOOKUP(Table1[[#This Row],[PerformanceRating]],Table17[PerformanceRating],Table17[Deskripsi])</f>
        <v>Excellent</v>
      </c>
      <c r="AP284" t="str">
        <f>_xlfn.XLOOKUP(Table1[[#This Row],[RelationshipSatisfaction]],Table18[RelationshipSatisfaction],Table18[Id_RelationshipSatisfaction])</f>
        <v>RS001</v>
      </c>
      <c r="AQ284">
        <v>1</v>
      </c>
      <c r="AR284" t="str">
        <f>_xlfn.XLOOKUP(Table1[[#This Row],[RelationshipSatisfaction]],Table18[RelationshipSatisfaction],Table18[Deskripsi])</f>
        <v>Low</v>
      </c>
      <c r="AS284" t="str">
        <f>_xlfn.XLOOKUP(Table1[[#This Row],[StockOptionLevel]],Table19[StockOptionLevel],Table19[Id_StockOptionLevel])</f>
        <v>SOL001</v>
      </c>
      <c r="AT284">
        <v>0</v>
      </c>
      <c r="AU284" t="str">
        <f>_xlfn.XLOOKUP(Table1[[#This Row],[StockOptionLevel]],Table19[StockOptionLevel],Table19[Deskripsi])</f>
        <v>Non-Eligible</v>
      </c>
      <c r="AV284">
        <v>10</v>
      </c>
      <c r="AW284">
        <v>3</v>
      </c>
      <c r="AX284" t="str">
        <f>_xlfn.XLOOKUP(Table1[[#This Row],[WorkLifeBalance]],Table20[WorkLifeBalance],Table20[Id_WorkLifeBalance])</f>
        <v>WLB003</v>
      </c>
      <c r="AY284">
        <v>2</v>
      </c>
      <c r="AZ284" t="str">
        <f>_xlfn.XLOOKUP(Table1[[#This Row],[WorkLifeBalance]],Table20[WorkLifeBalance],Table20[Deskripsi])</f>
        <v>Better</v>
      </c>
      <c r="BA284">
        <v>10</v>
      </c>
      <c r="BB284">
        <v>7</v>
      </c>
      <c r="BC284">
        <v>0</v>
      </c>
      <c r="BD284">
        <v>9</v>
      </c>
    </row>
    <row r="285" spans="1:56" x14ac:dyDescent="0.25">
      <c r="A285">
        <v>55</v>
      </c>
      <c r="B285" t="str">
        <f>_xlfn.XLOOKUP(Table1[[#This Row],[Attrition]],Table2[Attrition],Table2[Id_Attrition])</f>
        <v>A002</v>
      </c>
      <c r="C285" t="s">
        <v>33</v>
      </c>
      <c r="D285" t="str">
        <f>_xlfn.XLOOKUP(Table1[[#This Row],[BusinessTravel]],Table5[BusinessTravel],Table5[Id_BusinessTravel])</f>
        <v>BS001</v>
      </c>
      <c r="E285" t="s">
        <v>34</v>
      </c>
      <c r="F285">
        <v>147</v>
      </c>
      <c r="G285" t="str">
        <f>_xlfn.XLOOKUP(Table1[[#This Row],[Department]],Table6[Department],Table6[Id_Departement])</f>
        <v>D002</v>
      </c>
      <c r="H285" t="s">
        <v>38</v>
      </c>
      <c r="I285">
        <v>20</v>
      </c>
      <c r="J285" t="str">
        <f>_xlfn.XLOOKUP(Table1[[#This Row],[Education]],Table8[Education],Table8[Id_Education])</f>
        <v>E002</v>
      </c>
      <c r="K285">
        <v>2</v>
      </c>
      <c r="L285" t="str">
        <f>_xlfn.XLOOKUP(Table1[[#This Row],[EducationField]],Table7[EducationField],Table7[Id_EducationField])</f>
        <v>EF005</v>
      </c>
      <c r="M285" t="s">
        <v>44</v>
      </c>
      <c r="N285" t="str">
        <f>_xlfn.XLOOKUP(Table1[[#This Row],[EmployeeNumber]],Table4[EmployeeNumber],Table4[Id_Employee])</f>
        <v>EMP00284</v>
      </c>
      <c r="O285">
        <v>389</v>
      </c>
      <c r="P285" t="str">
        <f>_xlfn.XLOOKUP(Table1[[#This Row],[EnvironmentSatisfaction]],Table9[EnvironmentSatisfaction],Table9[Id_EnviromentSatisfaction])</f>
        <v>ES002</v>
      </c>
      <c r="Q285">
        <v>2</v>
      </c>
      <c r="R285" t="str">
        <f>_xlfn.XLOOKUP(Table1[[#This Row],[EnvironmentSatisfaction]],Table9[EnvironmentSatisfaction],Table9[Deskripsi])</f>
        <v>Medium</v>
      </c>
      <c r="S285" t="str">
        <f>_xlfn.XLOOKUP(Table1[[#This Row],[Gender]],Table10[Gender],Table10[Id_Gender])</f>
        <v>G002</v>
      </c>
      <c r="T285" t="s">
        <v>46</v>
      </c>
      <c r="U285">
        <v>37</v>
      </c>
      <c r="V285" t="str">
        <f>_xlfn.XLOOKUP(Table1[[#This Row],[JobInvolvement]],Table11[JobInvolvement],Table11[Id_JobInvolvement])</f>
        <v>JI003</v>
      </c>
      <c r="W285">
        <v>3</v>
      </c>
      <c r="X285" t="str">
        <f>_xlfn.XLOOKUP(Table1[[#This Row],[JobLevel]],Table12[JobLevel],Table12[Id_JobLevel])</f>
        <v>JL002</v>
      </c>
      <c r="Y285">
        <v>2</v>
      </c>
      <c r="Z285" t="str">
        <f>_xlfn.XLOOKUP(Table1[[#This Row],[JobRole]],Table13[JobRole],Table13[Id_JobRole])</f>
        <v>JR003</v>
      </c>
      <c r="AA285" t="s">
        <v>49</v>
      </c>
      <c r="AB285" t="str">
        <f>_xlfn.XLOOKUP(Table1[[#This Row],[JobSatisfaction]],Table14[JobSatisfaction],Table14[Id_JobSatisfaction])</f>
        <v>JS004</v>
      </c>
      <c r="AC285">
        <v>4</v>
      </c>
      <c r="AD285" t="str">
        <f>_xlfn.XLOOKUP(Table1[[#This Row],[JobSatisfaction]],Table14[JobSatisfaction],Table14[Deskripsi])</f>
        <v>Very High</v>
      </c>
      <c r="AE285" t="str">
        <f>_xlfn.XLOOKUP(Table1[[#This Row],[MaritalStatus]],Table15[MaritalStatus],Table15[Id_MaritalStatus])</f>
        <v>MS002</v>
      </c>
      <c r="AF285" t="s">
        <v>56</v>
      </c>
      <c r="AG285">
        <v>5415</v>
      </c>
      <c r="AH285">
        <v>15972</v>
      </c>
      <c r="AI285">
        <v>3</v>
      </c>
      <c r="AJ285" t="str">
        <f>_xlfn.XLOOKUP(Table1[[#This Row],[OverTime]],Table16[OverTime],Table16[Id_OverTime])</f>
        <v>OT001</v>
      </c>
      <c r="AK285" t="s">
        <v>32</v>
      </c>
      <c r="AL285">
        <v>19</v>
      </c>
      <c r="AM285" t="str">
        <f>_xlfn.XLOOKUP(Table1[[#This Row],[PerformanceRating]],Table17[PerformanceRating],Table17[Id_PerformanceRating])</f>
        <v>PR003</v>
      </c>
      <c r="AN285">
        <v>3</v>
      </c>
      <c r="AO285" t="str">
        <f>_xlfn.XLOOKUP(Table1[[#This Row],[PerformanceRating]],Table17[PerformanceRating],Table17[Deskripsi])</f>
        <v>Excellent</v>
      </c>
      <c r="AP285" t="str">
        <f>_xlfn.XLOOKUP(Table1[[#This Row],[RelationshipSatisfaction]],Table18[RelationshipSatisfaction],Table18[Id_RelationshipSatisfaction])</f>
        <v>RS004</v>
      </c>
      <c r="AQ285">
        <v>4</v>
      </c>
      <c r="AR285" t="str">
        <f>_xlfn.XLOOKUP(Table1[[#This Row],[RelationshipSatisfaction]],Table18[RelationshipSatisfaction],Table18[Deskripsi])</f>
        <v>Very High</v>
      </c>
      <c r="AS285" t="str">
        <f>_xlfn.XLOOKUP(Table1[[#This Row],[StockOptionLevel]],Table19[StockOptionLevel],Table19[Id_StockOptionLevel])</f>
        <v>SOL002</v>
      </c>
      <c r="AT285">
        <v>1</v>
      </c>
      <c r="AU285" t="str">
        <f>_xlfn.XLOOKUP(Table1[[#This Row],[StockOptionLevel]],Table19[StockOptionLevel],Table19[Deskripsi])</f>
        <v>Standard</v>
      </c>
      <c r="AV285">
        <v>12</v>
      </c>
      <c r="AW285">
        <v>4</v>
      </c>
      <c r="AX285" t="str">
        <f>_xlfn.XLOOKUP(Table1[[#This Row],[WorkLifeBalance]],Table20[WorkLifeBalance],Table20[Id_WorkLifeBalance])</f>
        <v>WLB002</v>
      </c>
      <c r="AY285">
        <v>3</v>
      </c>
      <c r="AZ285" t="str">
        <f>_xlfn.XLOOKUP(Table1[[#This Row],[WorkLifeBalance]],Table20[WorkLifeBalance],Table20[Deskripsi])</f>
        <v>Good</v>
      </c>
      <c r="BA285">
        <v>10</v>
      </c>
      <c r="BB285">
        <v>7</v>
      </c>
      <c r="BC285">
        <v>0</v>
      </c>
      <c r="BD285">
        <v>8</v>
      </c>
    </row>
    <row r="286" spans="1:56" x14ac:dyDescent="0.25">
      <c r="A286">
        <v>26</v>
      </c>
      <c r="B286" t="str">
        <f>_xlfn.XLOOKUP(Table1[[#This Row],[Attrition]],Table2[Attrition],Table2[Id_Attrition])</f>
        <v>A002</v>
      </c>
      <c r="C286" t="s">
        <v>33</v>
      </c>
      <c r="D286" t="str">
        <f>_xlfn.XLOOKUP(Table1[[#This Row],[BusinessTravel]],Table5[BusinessTravel],Table5[Id_BusinessTravel])</f>
        <v>BS002</v>
      </c>
      <c r="E286" t="s">
        <v>35</v>
      </c>
      <c r="F286">
        <v>496</v>
      </c>
      <c r="G286" t="str">
        <f>_xlfn.XLOOKUP(Table1[[#This Row],[Department]],Table6[Department],Table6[Id_Departement])</f>
        <v>D002</v>
      </c>
      <c r="H286" t="s">
        <v>38</v>
      </c>
      <c r="I286">
        <v>11</v>
      </c>
      <c r="J286" t="str">
        <f>_xlfn.XLOOKUP(Table1[[#This Row],[Education]],Table8[Education],Table8[Id_Education])</f>
        <v>E002</v>
      </c>
      <c r="K286">
        <v>2</v>
      </c>
      <c r="L286" t="str">
        <f>_xlfn.XLOOKUP(Table1[[#This Row],[EducationField]],Table7[EducationField],Table7[Id_EducationField])</f>
        <v>EF003</v>
      </c>
      <c r="M286" t="s">
        <v>42</v>
      </c>
      <c r="N286" t="str">
        <f>_xlfn.XLOOKUP(Table1[[#This Row],[EmployeeNumber]],Table4[EmployeeNumber],Table4[Id_Employee])</f>
        <v>EMP00285</v>
      </c>
      <c r="O286">
        <v>390</v>
      </c>
      <c r="P286" t="str">
        <f>_xlfn.XLOOKUP(Table1[[#This Row],[EnvironmentSatisfaction]],Table9[EnvironmentSatisfaction],Table9[Id_EnviromentSatisfaction])</f>
        <v>ES001</v>
      </c>
      <c r="Q286">
        <v>1</v>
      </c>
      <c r="R286" t="str">
        <f>_xlfn.XLOOKUP(Table1[[#This Row],[EnvironmentSatisfaction]],Table9[EnvironmentSatisfaction],Table9[Deskripsi])</f>
        <v>Low</v>
      </c>
      <c r="S286" t="str">
        <f>_xlfn.XLOOKUP(Table1[[#This Row],[Gender]],Table10[Gender],Table10[Id_Gender])</f>
        <v>G002</v>
      </c>
      <c r="T286" t="s">
        <v>46</v>
      </c>
      <c r="U286">
        <v>60</v>
      </c>
      <c r="V286" t="str">
        <f>_xlfn.XLOOKUP(Table1[[#This Row],[JobInvolvement]],Table11[JobInvolvement],Table11[Id_JobInvolvement])</f>
        <v>JI003</v>
      </c>
      <c r="W286">
        <v>3</v>
      </c>
      <c r="X286" t="str">
        <f>_xlfn.XLOOKUP(Table1[[#This Row],[JobLevel]],Table12[JobLevel],Table12[Id_JobLevel])</f>
        <v>JL002</v>
      </c>
      <c r="Y286">
        <v>2</v>
      </c>
      <c r="Z286" t="str">
        <f>_xlfn.XLOOKUP(Table1[[#This Row],[JobRole]],Table13[JobRole],Table13[Id_JobRole])</f>
        <v>JR005</v>
      </c>
      <c r="AA286" t="s">
        <v>51</v>
      </c>
      <c r="AB286" t="str">
        <f>_xlfn.XLOOKUP(Table1[[#This Row],[JobSatisfaction]],Table14[JobSatisfaction],Table14[Id_JobSatisfaction])</f>
        <v>JS001</v>
      </c>
      <c r="AC286">
        <v>1</v>
      </c>
      <c r="AD286" t="str">
        <f>_xlfn.XLOOKUP(Table1[[#This Row],[JobSatisfaction]],Table14[JobSatisfaction],Table14[Deskripsi])</f>
        <v>Low</v>
      </c>
      <c r="AE286" t="str">
        <f>_xlfn.XLOOKUP(Table1[[#This Row],[MaritalStatus]],Table15[MaritalStatus],Table15[Id_MaritalStatus])</f>
        <v>MS002</v>
      </c>
      <c r="AF286" t="s">
        <v>56</v>
      </c>
      <c r="AG286">
        <v>4741</v>
      </c>
      <c r="AH286">
        <v>22722</v>
      </c>
      <c r="AI286">
        <v>1</v>
      </c>
      <c r="AJ286" t="str">
        <f>_xlfn.XLOOKUP(Table1[[#This Row],[OverTime]],Table16[OverTime],Table16[Id_OverTime])</f>
        <v>OT001</v>
      </c>
      <c r="AK286" t="s">
        <v>32</v>
      </c>
      <c r="AL286">
        <v>13</v>
      </c>
      <c r="AM286" t="str">
        <f>_xlfn.XLOOKUP(Table1[[#This Row],[PerformanceRating]],Table17[PerformanceRating],Table17[Id_PerformanceRating])</f>
        <v>PR003</v>
      </c>
      <c r="AN286">
        <v>3</v>
      </c>
      <c r="AO286" t="str">
        <f>_xlfn.XLOOKUP(Table1[[#This Row],[PerformanceRating]],Table17[PerformanceRating],Table17[Deskripsi])</f>
        <v>Excellent</v>
      </c>
      <c r="AP286" t="str">
        <f>_xlfn.XLOOKUP(Table1[[#This Row],[RelationshipSatisfaction]],Table18[RelationshipSatisfaction],Table18[Id_RelationshipSatisfaction])</f>
        <v>RS003</v>
      </c>
      <c r="AQ286">
        <v>3</v>
      </c>
      <c r="AR286" t="str">
        <f>_xlfn.XLOOKUP(Table1[[#This Row],[RelationshipSatisfaction]],Table18[RelationshipSatisfaction],Table18[Deskripsi])</f>
        <v>High</v>
      </c>
      <c r="AS286" t="str">
        <f>_xlfn.XLOOKUP(Table1[[#This Row],[StockOptionLevel]],Table19[StockOptionLevel],Table19[Id_StockOptionLevel])</f>
        <v>SOL002</v>
      </c>
      <c r="AT286">
        <v>1</v>
      </c>
      <c r="AU286" t="str">
        <f>_xlfn.XLOOKUP(Table1[[#This Row],[StockOptionLevel]],Table19[StockOptionLevel],Table19[Deskripsi])</f>
        <v>Standard</v>
      </c>
      <c r="AV286">
        <v>5</v>
      </c>
      <c r="AW286">
        <v>3</v>
      </c>
      <c r="AX286" t="str">
        <f>_xlfn.XLOOKUP(Table1[[#This Row],[WorkLifeBalance]],Table20[WorkLifeBalance],Table20[Id_WorkLifeBalance])</f>
        <v>WLB002</v>
      </c>
      <c r="AY286">
        <v>3</v>
      </c>
      <c r="AZ286" t="str">
        <f>_xlfn.XLOOKUP(Table1[[#This Row],[WorkLifeBalance]],Table20[WorkLifeBalance],Table20[Deskripsi])</f>
        <v>Good</v>
      </c>
      <c r="BA286">
        <v>5</v>
      </c>
      <c r="BB286">
        <v>3</v>
      </c>
      <c r="BC286">
        <v>3</v>
      </c>
      <c r="BD286">
        <v>3</v>
      </c>
    </row>
    <row r="287" spans="1:56" x14ac:dyDescent="0.25">
      <c r="A287">
        <v>37</v>
      </c>
      <c r="B287" t="str">
        <f>_xlfn.XLOOKUP(Table1[[#This Row],[Attrition]],Table2[Attrition],Table2[Id_Attrition])</f>
        <v>A002</v>
      </c>
      <c r="C287" t="s">
        <v>33</v>
      </c>
      <c r="D287" t="str">
        <f>_xlfn.XLOOKUP(Table1[[#This Row],[BusinessTravel]],Table5[BusinessTravel],Table5[Id_BusinessTravel])</f>
        <v>BS001</v>
      </c>
      <c r="E287" t="s">
        <v>34</v>
      </c>
      <c r="F287">
        <v>1372</v>
      </c>
      <c r="G287" t="str">
        <f>_xlfn.XLOOKUP(Table1[[#This Row],[Department]],Table6[Department],Table6[Id_Departement])</f>
        <v>D002</v>
      </c>
      <c r="H287" t="s">
        <v>38</v>
      </c>
      <c r="I287">
        <v>1</v>
      </c>
      <c r="J287" t="str">
        <f>_xlfn.XLOOKUP(Table1[[#This Row],[Education]],Table8[Education],Table8[Id_Education])</f>
        <v>E003</v>
      </c>
      <c r="K287">
        <v>3</v>
      </c>
      <c r="L287" t="str">
        <f>_xlfn.XLOOKUP(Table1[[#This Row],[EducationField]],Table7[EducationField],Table7[Id_EducationField])</f>
        <v>EF001</v>
      </c>
      <c r="M287" t="s">
        <v>40</v>
      </c>
      <c r="N287" t="str">
        <f>_xlfn.XLOOKUP(Table1[[#This Row],[EmployeeNumber]],Table4[EmployeeNumber],Table4[Id_Employee])</f>
        <v>EMP00286</v>
      </c>
      <c r="O287">
        <v>391</v>
      </c>
      <c r="P287" t="str">
        <f>_xlfn.XLOOKUP(Table1[[#This Row],[EnvironmentSatisfaction]],Table9[EnvironmentSatisfaction],Table9[Id_EnviromentSatisfaction])</f>
        <v>ES004</v>
      </c>
      <c r="Q287">
        <v>4</v>
      </c>
      <c r="R287" t="str">
        <f>_xlfn.XLOOKUP(Table1[[#This Row],[EnvironmentSatisfaction]],Table9[EnvironmentSatisfaction],Table9[Deskripsi])</f>
        <v>Very High</v>
      </c>
      <c r="S287" t="str">
        <f>_xlfn.XLOOKUP(Table1[[#This Row],[Gender]],Table10[Gender],Table10[Id_Gender])</f>
        <v>G001</v>
      </c>
      <c r="T287" t="s">
        <v>45</v>
      </c>
      <c r="U287">
        <v>42</v>
      </c>
      <c r="V287" t="str">
        <f>_xlfn.XLOOKUP(Table1[[#This Row],[JobInvolvement]],Table11[JobInvolvement],Table11[Id_JobInvolvement])</f>
        <v>JI003</v>
      </c>
      <c r="W287">
        <v>3</v>
      </c>
      <c r="X287" t="str">
        <f>_xlfn.XLOOKUP(Table1[[#This Row],[JobLevel]],Table12[JobLevel],Table12[Id_JobLevel])</f>
        <v>JL001</v>
      </c>
      <c r="Y287">
        <v>1</v>
      </c>
      <c r="Z287" t="str">
        <f>_xlfn.XLOOKUP(Table1[[#This Row],[JobRole]],Table13[JobRole],Table13[Id_JobRole])</f>
        <v>JR002</v>
      </c>
      <c r="AA287" t="s">
        <v>48</v>
      </c>
      <c r="AB287" t="str">
        <f>_xlfn.XLOOKUP(Table1[[#This Row],[JobSatisfaction]],Table14[JobSatisfaction],Table14[Id_JobSatisfaction])</f>
        <v>JS004</v>
      </c>
      <c r="AC287">
        <v>4</v>
      </c>
      <c r="AD287" t="str">
        <f>_xlfn.XLOOKUP(Table1[[#This Row],[JobSatisfaction]],Table14[JobSatisfaction],Table14[Deskripsi])</f>
        <v>Very High</v>
      </c>
      <c r="AE287" t="str">
        <f>_xlfn.XLOOKUP(Table1[[#This Row],[MaritalStatus]],Table15[MaritalStatus],Table15[Id_MaritalStatus])</f>
        <v>MS001</v>
      </c>
      <c r="AF287" t="s">
        <v>55</v>
      </c>
      <c r="AG287">
        <v>2115</v>
      </c>
      <c r="AH287">
        <v>15881</v>
      </c>
      <c r="AI287">
        <v>1</v>
      </c>
      <c r="AJ287" t="str">
        <f>_xlfn.XLOOKUP(Table1[[#This Row],[OverTime]],Table16[OverTime],Table16[Id_OverTime])</f>
        <v>OT002</v>
      </c>
      <c r="AK287" t="s">
        <v>33</v>
      </c>
      <c r="AL287">
        <v>12</v>
      </c>
      <c r="AM287" t="str">
        <f>_xlfn.XLOOKUP(Table1[[#This Row],[PerformanceRating]],Table17[PerformanceRating],Table17[Id_PerformanceRating])</f>
        <v>PR003</v>
      </c>
      <c r="AN287">
        <v>3</v>
      </c>
      <c r="AO287" t="str">
        <f>_xlfn.XLOOKUP(Table1[[#This Row],[PerformanceRating]],Table17[PerformanceRating],Table17[Deskripsi])</f>
        <v>Excellent</v>
      </c>
      <c r="AP287" t="str">
        <f>_xlfn.XLOOKUP(Table1[[#This Row],[RelationshipSatisfaction]],Table18[RelationshipSatisfaction],Table18[Id_RelationshipSatisfaction])</f>
        <v>RS002</v>
      </c>
      <c r="AQ287">
        <v>2</v>
      </c>
      <c r="AR287" t="str">
        <f>_xlfn.XLOOKUP(Table1[[#This Row],[RelationshipSatisfaction]],Table18[RelationshipSatisfaction],Table18[Deskripsi])</f>
        <v>Medium</v>
      </c>
      <c r="AS287" t="str">
        <f>_xlfn.XLOOKUP(Table1[[#This Row],[StockOptionLevel]],Table19[StockOptionLevel],Table19[Id_StockOptionLevel])</f>
        <v>SOL001</v>
      </c>
      <c r="AT287">
        <v>0</v>
      </c>
      <c r="AU287" t="str">
        <f>_xlfn.XLOOKUP(Table1[[#This Row],[StockOptionLevel]],Table19[StockOptionLevel],Table19[Deskripsi])</f>
        <v>Non-Eligible</v>
      </c>
      <c r="AV287">
        <v>17</v>
      </c>
      <c r="AW287">
        <v>3</v>
      </c>
      <c r="AX287" t="str">
        <f>_xlfn.XLOOKUP(Table1[[#This Row],[WorkLifeBalance]],Table20[WorkLifeBalance],Table20[Id_WorkLifeBalance])</f>
        <v>WLB002</v>
      </c>
      <c r="AY287">
        <v>3</v>
      </c>
      <c r="AZ287" t="str">
        <f>_xlfn.XLOOKUP(Table1[[#This Row],[WorkLifeBalance]],Table20[WorkLifeBalance],Table20[Deskripsi])</f>
        <v>Good</v>
      </c>
      <c r="BA287">
        <v>17</v>
      </c>
      <c r="BB287">
        <v>12</v>
      </c>
      <c r="BC287">
        <v>5</v>
      </c>
      <c r="BD287">
        <v>7</v>
      </c>
    </row>
    <row r="288" spans="1:56" x14ac:dyDescent="0.25">
      <c r="A288">
        <v>44</v>
      </c>
      <c r="B288" t="str">
        <f>_xlfn.XLOOKUP(Table1[[#This Row],[Attrition]],Table2[Attrition],Table2[Id_Attrition])</f>
        <v>A001</v>
      </c>
      <c r="C288" t="s">
        <v>32</v>
      </c>
      <c r="D288" t="str">
        <f>_xlfn.XLOOKUP(Table1[[#This Row],[BusinessTravel]],Table5[BusinessTravel],Table5[Id_BusinessTravel])</f>
        <v>BS002</v>
      </c>
      <c r="E288" t="s">
        <v>35</v>
      </c>
      <c r="F288">
        <v>920</v>
      </c>
      <c r="G288" t="str">
        <f>_xlfn.XLOOKUP(Table1[[#This Row],[Department]],Table6[Department],Table6[Id_Departement])</f>
        <v>D002</v>
      </c>
      <c r="H288" t="s">
        <v>38</v>
      </c>
      <c r="I288">
        <v>24</v>
      </c>
      <c r="J288" t="str">
        <f>_xlfn.XLOOKUP(Table1[[#This Row],[Education]],Table8[Education],Table8[Id_Education])</f>
        <v>E003</v>
      </c>
      <c r="K288">
        <v>3</v>
      </c>
      <c r="L288" t="str">
        <f>_xlfn.XLOOKUP(Table1[[#This Row],[EducationField]],Table7[EducationField],Table7[Id_EducationField])</f>
        <v>EF001</v>
      </c>
      <c r="M288" t="s">
        <v>40</v>
      </c>
      <c r="N288" t="str">
        <f>_xlfn.XLOOKUP(Table1[[#This Row],[EmployeeNumber]],Table4[EmployeeNumber],Table4[Id_Employee])</f>
        <v>EMP00287</v>
      </c>
      <c r="O288">
        <v>392</v>
      </c>
      <c r="P288" t="str">
        <f>_xlfn.XLOOKUP(Table1[[#This Row],[EnvironmentSatisfaction]],Table9[EnvironmentSatisfaction],Table9[Id_EnviromentSatisfaction])</f>
        <v>ES004</v>
      </c>
      <c r="Q288">
        <v>4</v>
      </c>
      <c r="R288" t="str">
        <f>_xlfn.XLOOKUP(Table1[[#This Row],[EnvironmentSatisfaction]],Table9[EnvironmentSatisfaction],Table9[Deskripsi])</f>
        <v>Very High</v>
      </c>
      <c r="S288" t="str">
        <f>_xlfn.XLOOKUP(Table1[[#This Row],[Gender]],Table10[Gender],Table10[Id_Gender])</f>
        <v>G002</v>
      </c>
      <c r="T288" t="s">
        <v>46</v>
      </c>
      <c r="U288">
        <v>43</v>
      </c>
      <c r="V288" t="str">
        <f>_xlfn.XLOOKUP(Table1[[#This Row],[JobInvolvement]],Table11[JobInvolvement],Table11[Id_JobInvolvement])</f>
        <v>JI003</v>
      </c>
      <c r="W288">
        <v>3</v>
      </c>
      <c r="X288" t="str">
        <f>_xlfn.XLOOKUP(Table1[[#This Row],[JobLevel]],Table12[JobLevel],Table12[Id_JobLevel])</f>
        <v>JL001</v>
      </c>
      <c r="Y288">
        <v>1</v>
      </c>
      <c r="Z288" t="str">
        <f>_xlfn.XLOOKUP(Table1[[#This Row],[JobRole]],Table13[JobRole],Table13[Id_JobRole])</f>
        <v>JR003</v>
      </c>
      <c r="AA288" t="s">
        <v>49</v>
      </c>
      <c r="AB288" t="str">
        <f>_xlfn.XLOOKUP(Table1[[#This Row],[JobSatisfaction]],Table14[JobSatisfaction],Table14[Id_JobSatisfaction])</f>
        <v>JS003</v>
      </c>
      <c r="AC288">
        <v>3</v>
      </c>
      <c r="AD288" t="str">
        <f>_xlfn.XLOOKUP(Table1[[#This Row],[JobSatisfaction]],Table14[JobSatisfaction],Table14[Deskripsi])</f>
        <v>High</v>
      </c>
      <c r="AE288" t="str">
        <f>_xlfn.XLOOKUP(Table1[[#This Row],[MaritalStatus]],Table15[MaritalStatus],Table15[Id_MaritalStatus])</f>
        <v>MS003</v>
      </c>
      <c r="AF288" t="s">
        <v>57</v>
      </c>
      <c r="AG288">
        <v>3161</v>
      </c>
      <c r="AH288">
        <v>19920</v>
      </c>
      <c r="AI288">
        <v>3</v>
      </c>
      <c r="AJ288" t="str">
        <f>_xlfn.XLOOKUP(Table1[[#This Row],[OverTime]],Table16[OverTime],Table16[Id_OverTime])</f>
        <v>OT001</v>
      </c>
      <c r="AK288" t="s">
        <v>32</v>
      </c>
      <c r="AL288">
        <v>22</v>
      </c>
      <c r="AM288" t="str">
        <f>_xlfn.XLOOKUP(Table1[[#This Row],[PerformanceRating]],Table17[PerformanceRating],Table17[Id_PerformanceRating])</f>
        <v>PR004</v>
      </c>
      <c r="AN288">
        <v>4</v>
      </c>
      <c r="AO288" t="str">
        <f>_xlfn.XLOOKUP(Table1[[#This Row],[PerformanceRating]],Table17[PerformanceRating],Table17[Deskripsi])</f>
        <v>Outstanding</v>
      </c>
      <c r="AP288" t="str">
        <f>_xlfn.XLOOKUP(Table1[[#This Row],[RelationshipSatisfaction]],Table18[RelationshipSatisfaction],Table18[Id_RelationshipSatisfaction])</f>
        <v>RS004</v>
      </c>
      <c r="AQ288">
        <v>4</v>
      </c>
      <c r="AR288" t="str">
        <f>_xlfn.XLOOKUP(Table1[[#This Row],[RelationshipSatisfaction]],Table18[RelationshipSatisfaction],Table18[Deskripsi])</f>
        <v>Very High</v>
      </c>
      <c r="AS288" t="str">
        <f>_xlfn.XLOOKUP(Table1[[#This Row],[StockOptionLevel]],Table19[StockOptionLevel],Table19[Id_StockOptionLevel])</f>
        <v>SOL002</v>
      </c>
      <c r="AT288">
        <v>1</v>
      </c>
      <c r="AU288" t="str">
        <f>_xlfn.XLOOKUP(Table1[[#This Row],[StockOptionLevel]],Table19[StockOptionLevel],Table19[Deskripsi])</f>
        <v>Standard</v>
      </c>
      <c r="AV288">
        <v>19</v>
      </c>
      <c r="AW288">
        <v>0</v>
      </c>
      <c r="AX288" t="str">
        <f>_xlfn.XLOOKUP(Table1[[#This Row],[WorkLifeBalance]],Table20[WorkLifeBalance],Table20[Id_WorkLifeBalance])</f>
        <v>WLB001</v>
      </c>
      <c r="AY288">
        <v>1</v>
      </c>
      <c r="AZ288" t="str">
        <f>_xlfn.XLOOKUP(Table1[[#This Row],[WorkLifeBalance]],Table20[WorkLifeBalance],Table20[Deskripsi])</f>
        <v>Bad</v>
      </c>
      <c r="BA288">
        <v>1</v>
      </c>
      <c r="BB288">
        <v>0</v>
      </c>
      <c r="BC288">
        <v>0</v>
      </c>
      <c r="BD288">
        <v>0</v>
      </c>
    </row>
    <row r="289" spans="1:56" x14ac:dyDescent="0.25">
      <c r="A289">
        <v>38</v>
      </c>
      <c r="B289" t="str">
        <f>_xlfn.XLOOKUP(Table1[[#This Row],[Attrition]],Table2[Attrition],Table2[Id_Attrition])</f>
        <v>A002</v>
      </c>
      <c r="C289" t="s">
        <v>33</v>
      </c>
      <c r="D289" t="str">
        <f>_xlfn.XLOOKUP(Table1[[#This Row],[BusinessTravel]],Table5[BusinessTravel],Table5[Id_BusinessTravel])</f>
        <v>BS001</v>
      </c>
      <c r="E289" t="s">
        <v>34</v>
      </c>
      <c r="F289">
        <v>688</v>
      </c>
      <c r="G289" t="str">
        <f>_xlfn.XLOOKUP(Table1[[#This Row],[Department]],Table6[Department],Table6[Id_Departement])</f>
        <v>D002</v>
      </c>
      <c r="H289" t="s">
        <v>38</v>
      </c>
      <c r="I289">
        <v>23</v>
      </c>
      <c r="J289" t="str">
        <f>_xlfn.XLOOKUP(Table1[[#This Row],[Education]],Table8[Education],Table8[Id_Education])</f>
        <v>E004</v>
      </c>
      <c r="K289">
        <v>4</v>
      </c>
      <c r="L289" t="str">
        <f>_xlfn.XLOOKUP(Table1[[#This Row],[EducationField]],Table7[EducationField],Table7[Id_EducationField])</f>
        <v>EF001</v>
      </c>
      <c r="M289" t="s">
        <v>40</v>
      </c>
      <c r="N289" t="str">
        <f>_xlfn.XLOOKUP(Table1[[#This Row],[EmployeeNumber]],Table4[EmployeeNumber],Table4[Id_Employee])</f>
        <v>EMP00288</v>
      </c>
      <c r="O289">
        <v>393</v>
      </c>
      <c r="P289" t="str">
        <f>_xlfn.XLOOKUP(Table1[[#This Row],[EnvironmentSatisfaction]],Table9[EnvironmentSatisfaction],Table9[Id_EnviromentSatisfaction])</f>
        <v>ES004</v>
      </c>
      <c r="Q289">
        <v>4</v>
      </c>
      <c r="R289" t="str">
        <f>_xlfn.XLOOKUP(Table1[[#This Row],[EnvironmentSatisfaction]],Table9[EnvironmentSatisfaction],Table9[Deskripsi])</f>
        <v>Very High</v>
      </c>
      <c r="S289" t="str">
        <f>_xlfn.XLOOKUP(Table1[[#This Row],[Gender]],Table10[Gender],Table10[Id_Gender])</f>
        <v>G002</v>
      </c>
      <c r="T289" t="s">
        <v>46</v>
      </c>
      <c r="U289">
        <v>82</v>
      </c>
      <c r="V289" t="str">
        <f>_xlfn.XLOOKUP(Table1[[#This Row],[JobInvolvement]],Table11[JobInvolvement],Table11[Id_JobInvolvement])</f>
        <v>JI003</v>
      </c>
      <c r="W289">
        <v>3</v>
      </c>
      <c r="X289" t="str">
        <f>_xlfn.XLOOKUP(Table1[[#This Row],[JobLevel]],Table12[JobLevel],Table12[Id_JobLevel])</f>
        <v>JL002</v>
      </c>
      <c r="Y289">
        <v>2</v>
      </c>
      <c r="Z289" t="str">
        <f>_xlfn.XLOOKUP(Table1[[#This Row],[JobRole]],Table13[JobRole],Table13[Id_JobRole])</f>
        <v>JR005</v>
      </c>
      <c r="AA289" t="s">
        <v>51</v>
      </c>
      <c r="AB289" t="str">
        <f>_xlfn.XLOOKUP(Table1[[#This Row],[JobSatisfaction]],Table14[JobSatisfaction],Table14[Id_JobSatisfaction])</f>
        <v>JS004</v>
      </c>
      <c r="AC289">
        <v>4</v>
      </c>
      <c r="AD289" t="str">
        <f>_xlfn.XLOOKUP(Table1[[#This Row],[JobSatisfaction]],Table14[JobSatisfaction],Table14[Deskripsi])</f>
        <v>Very High</v>
      </c>
      <c r="AE289" t="str">
        <f>_xlfn.XLOOKUP(Table1[[#This Row],[MaritalStatus]],Table15[MaritalStatus],Table15[Id_MaritalStatus])</f>
        <v>MS003</v>
      </c>
      <c r="AF289" t="s">
        <v>57</v>
      </c>
      <c r="AG289">
        <v>5745</v>
      </c>
      <c r="AH289">
        <v>18899</v>
      </c>
      <c r="AI289">
        <v>9</v>
      </c>
      <c r="AJ289" t="str">
        <f>_xlfn.XLOOKUP(Table1[[#This Row],[OverTime]],Table16[OverTime],Table16[Id_OverTime])</f>
        <v>OT002</v>
      </c>
      <c r="AK289" t="s">
        <v>33</v>
      </c>
      <c r="AL289">
        <v>14</v>
      </c>
      <c r="AM289" t="str">
        <f>_xlfn.XLOOKUP(Table1[[#This Row],[PerformanceRating]],Table17[PerformanceRating],Table17[Id_PerformanceRating])</f>
        <v>PR003</v>
      </c>
      <c r="AN289">
        <v>3</v>
      </c>
      <c r="AO289" t="str">
        <f>_xlfn.XLOOKUP(Table1[[#This Row],[PerformanceRating]],Table17[PerformanceRating],Table17[Deskripsi])</f>
        <v>Excellent</v>
      </c>
      <c r="AP289" t="str">
        <f>_xlfn.XLOOKUP(Table1[[#This Row],[RelationshipSatisfaction]],Table18[RelationshipSatisfaction],Table18[Id_RelationshipSatisfaction])</f>
        <v>RS002</v>
      </c>
      <c r="AQ289">
        <v>2</v>
      </c>
      <c r="AR289" t="str">
        <f>_xlfn.XLOOKUP(Table1[[#This Row],[RelationshipSatisfaction]],Table18[RelationshipSatisfaction],Table18[Deskripsi])</f>
        <v>Medium</v>
      </c>
      <c r="AS289" t="str">
        <f>_xlfn.XLOOKUP(Table1[[#This Row],[StockOptionLevel]],Table19[StockOptionLevel],Table19[Id_StockOptionLevel])</f>
        <v>SOL002</v>
      </c>
      <c r="AT289">
        <v>1</v>
      </c>
      <c r="AU289" t="str">
        <f>_xlfn.XLOOKUP(Table1[[#This Row],[StockOptionLevel]],Table19[StockOptionLevel],Table19[Deskripsi])</f>
        <v>Standard</v>
      </c>
      <c r="AV289">
        <v>10</v>
      </c>
      <c r="AW289">
        <v>2</v>
      </c>
      <c r="AX289" t="str">
        <f>_xlfn.XLOOKUP(Table1[[#This Row],[WorkLifeBalance]],Table20[WorkLifeBalance],Table20[Id_WorkLifeBalance])</f>
        <v>WLB002</v>
      </c>
      <c r="AY289">
        <v>3</v>
      </c>
      <c r="AZ289" t="str">
        <f>_xlfn.XLOOKUP(Table1[[#This Row],[WorkLifeBalance]],Table20[WorkLifeBalance],Table20[Deskripsi])</f>
        <v>Good</v>
      </c>
      <c r="BA289">
        <v>2</v>
      </c>
      <c r="BB289">
        <v>2</v>
      </c>
      <c r="BC289">
        <v>1</v>
      </c>
      <c r="BD289">
        <v>2</v>
      </c>
    </row>
    <row r="290" spans="1:56" x14ac:dyDescent="0.25">
      <c r="A290">
        <v>26</v>
      </c>
      <c r="B290" t="str">
        <f>_xlfn.XLOOKUP(Table1[[#This Row],[Attrition]],Table2[Attrition],Table2[Id_Attrition])</f>
        <v>A001</v>
      </c>
      <c r="C290" t="s">
        <v>32</v>
      </c>
      <c r="D290" t="str">
        <f>_xlfn.XLOOKUP(Table1[[#This Row],[BusinessTravel]],Table5[BusinessTravel],Table5[Id_BusinessTravel])</f>
        <v>BS001</v>
      </c>
      <c r="E290" t="s">
        <v>34</v>
      </c>
      <c r="F290">
        <v>1449</v>
      </c>
      <c r="G290" t="str">
        <f>_xlfn.XLOOKUP(Table1[[#This Row],[Department]],Table6[Department],Table6[Id_Departement])</f>
        <v>D002</v>
      </c>
      <c r="H290" t="s">
        <v>38</v>
      </c>
      <c r="I290">
        <v>16</v>
      </c>
      <c r="J290" t="str">
        <f>_xlfn.XLOOKUP(Table1[[#This Row],[Education]],Table8[Education],Table8[Id_Education])</f>
        <v>E004</v>
      </c>
      <c r="K290">
        <v>4</v>
      </c>
      <c r="L290" t="str">
        <f>_xlfn.XLOOKUP(Table1[[#This Row],[EducationField]],Table7[EducationField],Table7[Id_EducationField])</f>
        <v>EF003</v>
      </c>
      <c r="M290" t="s">
        <v>42</v>
      </c>
      <c r="N290" t="str">
        <f>_xlfn.XLOOKUP(Table1[[#This Row],[EmployeeNumber]],Table4[EmployeeNumber],Table4[Id_Employee])</f>
        <v>EMP00289</v>
      </c>
      <c r="O290">
        <v>394</v>
      </c>
      <c r="P290" t="str">
        <f>_xlfn.XLOOKUP(Table1[[#This Row],[EnvironmentSatisfaction]],Table9[EnvironmentSatisfaction],Table9[Id_EnviromentSatisfaction])</f>
        <v>ES001</v>
      </c>
      <c r="Q290">
        <v>1</v>
      </c>
      <c r="R290" t="str">
        <f>_xlfn.XLOOKUP(Table1[[#This Row],[EnvironmentSatisfaction]],Table9[EnvironmentSatisfaction],Table9[Deskripsi])</f>
        <v>Low</v>
      </c>
      <c r="S290" t="str">
        <f>_xlfn.XLOOKUP(Table1[[#This Row],[Gender]],Table10[Gender],Table10[Id_Gender])</f>
        <v>G002</v>
      </c>
      <c r="T290" t="s">
        <v>46</v>
      </c>
      <c r="U290">
        <v>45</v>
      </c>
      <c r="V290" t="str">
        <f>_xlfn.XLOOKUP(Table1[[#This Row],[JobInvolvement]],Table11[JobInvolvement],Table11[Id_JobInvolvement])</f>
        <v>JI003</v>
      </c>
      <c r="W290">
        <v>3</v>
      </c>
      <c r="X290" t="str">
        <f>_xlfn.XLOOKUP(Table1[[#This Row],[JobLevel]],Table12[JobLevel],Table12[Id_JobLevel])</f>
        <v>JL001</v>
      </c>
      <c r="Y290">
        <v>1</v>
      </c>
      <c r="Z290" t="str">
        <f>_xlfn.XLOOKUP(Table1[[#This Row],[JobRole]],Table13[JobRole],Table13[Id_JobRole])</f>
        <v>JR003</v>
      </c>
      <c r="AA290" t="s">
        <v>49</v>
      </c>
      <c r="AB290" t="str">
        <f>_xlfn.XLOOKUP(Table1[[#This Row],[JobSatisfaction]],Table14[JobSatisfaction],Table14[Id_JobSatisfaction])</f>
        <v>JS002</v>
      </c>
      <c r="AC290">
        <v>2</v>
      </c>
      <c r="AD290" t="str">
        <f>_xlfn.XLOOKUP(Table1[[#This Row],[JobSatisfaction]],Table14[JobSatisfaction],Table14[Deskripsi])</f>
        <v>Medium</v>
      </c>
      <c r="AE290" t="str">
        <f>_xlfn.XLOOKUP(Table1[[#This Row],[MaritalStatus]],Table15[MaritalStatus],Table15[Id_MaritalStatus])</f>
        <v>MS003</v>
      </c>
      <c r="AF290" t="s">
        <v>57</v>
      </c>
      <c r="AG290">
        <v>2373</v>
      </c>
      <c r="AH290">
        <v>14180</v>
      </c>
      <c r="AI290">
        <v>2</v>
      </c>
      <c r="AJ290" t="str">
        <f>_xlfn.XLOOKUP(Table1[[#This Row],[OverTime]],Table16[OverTime],Table16[Id_OverTime])</f>
        <v>OT001</v>
      </c>
      <c r="AK290" t="s">
        <v>32</v>
      </c>
      <c r="AL290">
        <v>13</v>
      </c>
      <c r="AM290" t="str">
        <f>_xlfn.XLOOKUP(Table1[[#This Row],[PerformanceRating]],Table17[PerformanceRating],Table17[Id_PerformanceRating])</f>
        <v>PR003</v>
      </c>
      <c r="AN290">
        <v>3</v>
      </c>
      <c r="AO290" t="str">
        <f>_xlfn.XLOOKUP(Table1[[#This Row],[PerformanceRating]],Table17[PerformanceRating],Table17[Deskripsi])</f>
        <v>Excellent</v>
      </c>
      <c r="AP290" t="str">
        <f>_xlfn.XLOOKUP(Table1[[#This Row],[RelationshipSatisfaction]],Table18[RelationshipSatisfaction],Table18[Id_RelationshipSatisfaction])</f>
        <v>RS004</v>
      </c>
      <c r="AQ290">
        <v>4</v>
      </c>
      <c r="AR290" t="str">
        <f>_xlfn.XLOOKUP(Table1[[#This Row],[RelationshipSatisfaction]],Table18[RelationshipSatisfaction],Table18[Deskripsi])</f>
        <v>Very High</v>
      </c>
      <c r="AS290" t="str">
        <f>_xlfn.XLOOKUP(Table1[[#This Row],[StockOptionLevel]],Table19[StockOptionLevel],Table19[Id_StockOptionLevel])</f>
        <v>SOL002</v>
      </c>
      <c r="AT290">
        <v>1</v>
      </c>
      <c r="AU290" t="str">
        <f>_xlfn.XLOOKUP(Table1[[#This Row],[StockOptionLevel]],Table19[StockOptionLevel],Table19[Deskripsi])</f>
        <v>Standard</v>
      </c>
      <c r="AV290">
        <v>5</v>
      </c>
      <c r="AW290">
        <v>2</v>
      </c>
      <c r="AX290" t="str">
        <f>_xlfn.XLOOKUP(Table1[[#This Row],[WorkLifeBalance]],Table20[WorkLifeBalance],Table20[Id_WorkLifeBalance])</f>
        <v>WLB002</v>
      </c>
      <c r="AY290">
        <v>3</v>
      </c>
      <c r="AZ290" t="str">
        <f>_xlfn.XLOOKUP(Table1[[#This Row],[WorkLifeBalance]],Table20[WorkLifeBalance],Table20[Deskripsi])</f>
        <v>Good</v>
      </c>
      <c r="BA290">
        <v>3</v>
      </c>
      <c r="BB290">
        <v>2</v>
      </c>
      <c r="BC290">
        <v>0</v>
      </c>
      <c r="BD290">
        <v>2</v>
      </c>
    </row>
    <row r="291" spans="1:56" x14ac:dyDescent="0.25">
      <c r="A291">
        <v>28</v>
      </c>
      <c r="B291" t="str">
        <f>_xlfn.XLOOKUP(Table1[[#This Row],[Attrition]],Table2[Attrition],Table2[Id_Attrition])</f>
        <v>A002</v>
      </c>
      <c r="C291" t="s">
        <v>33</v>
      </c>
      <c r="D291" t="str">
        <f>_xlfn.XLOOKUP(Table1[[#This Row],[BusinessTravel]],Table5[BusinessTravel],Table5[Id_BusinessTravel])</f>
        <v>BS001</v>
      </c>
      <c r="E291" t="s">
        <v>34</v>
      </c>
      <c r="F291">
        <v>1117</v>
      </c>
      <c r="G291" t="str">
        <f>_xlfn.XLOOKUP(Table1[[#This Row],[Department]],Table6[Department],Table6[Id_Departement])</f>
        <v>D002</v>
      </c>
      <c r="H291" t="s">
        <v>38</v>
      </c>
      <c r="I291">
        <v>8</v>
      </c>
      <c r="J291" t="str">
        <f>_xlfn.XLOOKUP(Table1[[#This Row],[Education]],Table8[Education],Table8[Id_Education])</f>
        <v>E002</v>
      </c>
      <c r="K291">
        <v>2</v>
      </c>
      <c r="L291" t="str">
        <f>_xlfn.XLOOKUP(Table1[[#This Row],[EducationField]],Table7[EducationField],Table7[Id_EducationField])</f>
        <v>EF001</v>
      </c>
      <c r="M291" t="s">
        <v>40</v>
      </c>
      <c r="N291" t="str">
        <f>_xlfn.XLOOKUP(Table1[[#This Row],[EmployeeNumber]],Table4[EmployeeNumber],Table4[Id_Employee])</f>
        <v>EMP00290</v>
      </c>
      <c r="O291">
        <v>395</v>
      </c>
      <c r="P291" t="str">
        <f>_xlfn.XLOOKUP(Table1[[#This Row],[EnvironmentSatisfaction]],Table9[EnvironmentSatisfaction],Table9[Id_EnviromentSatisfaction])</f>
        <v>ES004</v>
      </c>
      <c r="Q291">
        <v>4</v>
      </c>
      <c r="R291" t="str">
        <f>_xlfn.XLOOKUP(Table1[[#This Row],[EnvironmentSatisfaction]],Table9[EnvironmentSatisfaction],Table9[Deskripsi])</f>
        <v>Very High</v>
      </c>
      <c r="S291" t="str">
        <f>_xlfn.XLOOKUP(Table1[[#This Row],[Gender]],Table10[Gender],Table10[Id_Gender])</f>
        <v>G001</v>
      </c>
      <c r="T291" t="s">
        <v>45</v>
      </c>
      <c r="U291">
        <v>66</v>
      </c>
      <c r="V291" t="str">
        <f>_xlfn.XLOOKUP(Table1[[#This Row],[JobInvolvement]],Table11[JobInvolvement],Table11[Id_JobInvolvement])</f>
        <v>JI003</v>
      </c>
      <c r="W291">
        <v>3</v>
      </c>
      <c r="X291" t="str">
        <f>_xlfn.XLOOKUP(Table1[[#This Row],[JobLevel]],Table12[JobLevel],Table12[Id_JobLevel])</f>
        <v>JL001</v>
      </c>
      <c r="Y291">
        <v>1</v>
      </c>
      <c r="Z291" t="str">
        <f>_xlfn.XLOOKUP(Table1[[#This Row],[JobRole]],Table13[JobRole],Table13[Id_JobRole])</f>
        <v>JR002</v>
      </c>
      <c r="AA291" t="s">
        <v>48</v>
      </c>
      <c r="AB291" t="str">
        <f>_xlfn.XLOOKUP(Table1[[#This Row],[JobSatisfaction]],Table14[JobSatisfaction],Table14[Id_JobSatisfaction])</f>
        <v>JS004</v>
      </c>
      <c r="AC291">
        <v>4</v>
      </c>
      <c r="AD291" t="str">
        <f>_xlfn.XLOOKUP(Table1[[#This Row],[JobSatisfaction]],Table14[JobSatisfaction],Table14[Deskripsi])</f>
        <v>Very High</v>
      </c>
      <c r="AE291" t="str">
        <f>_xlfn.XLOOKUP(Table1[[#This Row],[MaritalStatus]],Table15[MaritalStatus],Table15[Id_MaritalStatus])</f>
        <v>MS001</v>
      </c>
      <c r="AF291" t="s">
        <v>55</v>
      </c>
      <c r="AG291">
        <v>3310</v>
      </c>
      <c r="AH291">
        <v>4488</v>
      </c>
      <c r="AI291">
        <v>1</v>
      </c>
      <c r="AJ291" t="str">
        <f>_xlfn.XLOOKUP(Table1[[#This Row],[OverTime]],Table16[OverTime],Table16[Id_OverTime])</f>
        <v>OT002</v>
      </c>
      <c r="AK291" t="s">
        <v>33</v>
      </c>
      <c r="AL291">
        <v>21</v>
      </c>
      <c r="AM291" t="str">
        <f>_xlfn.XLOOKUP(Table1[[#This Row],[PerformanceRating]],Table17[PerformanceRating],Table17[Id_PerformanceRating])</f>
        <v>PR004</v>
      </c>
      <c r="AN291">
        <v>4</v>
      </c>
      <c r="AO291" t="str">
        <f>_xlfn.XLOOKUP(Table1[[#This Row],[PerformanceRating]],Table17[PerformanceRating],Table17[Deskripsi])</f>
        <v>Outstanding</v>
      </c>
      <c r="AP291" t="str">
        <f>_xlfn.XLOOKUP(Table1[[#This Row],[RelationshipSatisfaction]],Table18[RelationshipSatisfaction],Table18[Id_RelationshipSatisfaction])</f>
        <v>RS004</v>
      </c>
      <c r="AQ291">
        <v>4</v>
      </c>
      <c r="AR291" t="str">
        <f>_xlfn.XLOOKUP(Table1[[#This Row],[RelationshipSatisfaction]],Table18[RelationshipSatisfaction],Table18[Deskripsi])</f>
        <v>Very High</v>
      </c>
      <c r="AS291" t="str">
        <f>_xlfn.XLOOKUP(Table1[[#This Row],[StockOptionLevel]],Table19[StockOptionLevel],Table19[Id_StockOptionLevel])</f>
        <v>SOL001</v>
      </c>
      <c r="AT291">
        <v>0</v>
      </c>
      <c r="AU291" t="str">
        <f>_xlfn.XLOOKUP(Table1[[#This Row],[StockOptionLevel]],Table19[StockOptionLevel],Table19[Deskripsi])</f>
        <v>Non-Eligible</v>
      </c>
      <c r="AV291">
        <v>5</v>
      </c>
      <c r="AW291">
        <v>3</v>
      </c>
      <c r="AX291" t="str">
        <f>_xlfn.XLOOKUP(Table1[[#This Row],[WorkLifeBalance]],Table20[WorkLifeBalance],Table20[Id_WorkLifeBalance])</f>
        <v>WLB002</v>
      </c>
      <c r="AY291">
        <v>3</v>
      </c>
      <c r="AZ291" t="str">
        <f>_xlfn.XLOOKUP(Table1[[#This Row],[WorkLifeBalance]],Table20[WorkLifeBalance],Table20[Deskripsi])</f>
        <v>Good</v>
      </c>
      <c r="BA291">
        <v>5</v>
      </c>
      <c r="BB291">
        <v>3</v>
      </c>
      <c r="BC291">
        <v>0</v>
      </c>
      <c r="BD291">
        <v>2</v>
      </c>
    </row>
    <row r="292" spans="1:56" x14ac:dyDescent="0.25">
      <c r="A292">
        <v>49</v>
      </c>
      <c r="B292" t="str">
        <f>_xlfn.XLOOKUP(Table1[[#This Row],[Attrition]],Table2[Attrition],Table2[Id_Attrition])</f>
        <v>A002</v>
      </c>
      <c r="C292" t="s">
        <v>33</v>
      </c>
      <c r="D292" t="str">
        <f>_xlfn.XLOOKUP(Table1[[#This Row],[BusinessTravel]],Table5[BusinessTravel],Table5[Id_BusinessTravel])</f>
        <v>BS002</v>
      </c>
      <c r="E292" t="s">
        <v>35</v>
      </c>
      <c r="F292">
        <v>636</v>
      </c>
      <c r="G292" t="str">
        <f>_xlfn.XLOOKUP(Table1[[#This Row],[Department]],Table6[Department],Table6[Id_Departement])</f>
        <v>D002</v>
      </c>
      <c r="H292" t="s">
        <v>38</v>
      </c>
      <c r="I292">
        <v>10</v>
      </c>
      <c r="J292" t="str">
        <f>_xlfn.XLOOKUP(Table1[[#This Row],[Education]],Table8[Education],Table8[Id_Education])</f>
        <v>E004</v>
      </c>
      <c r="K292">
        <v>4</v>
      </c>
      <c r="L292" t="str">
        <f>_xlfn.XLOOKUP(Table1[[#This Row],[EducationField]],Table7[EducationField],Table7[Id_EducationField])</f>
        <v>EF001</v>
      </c>
      <c r="M292" t="s">
        <v>40</v>
      </c>
      <c r="N292" t="str">
        <f>_xlfn.XLOOKUP(Table1[[#This Row],[EmployeeNumber]],Table4[EmployeeNumber],Table4[Id_Employee])</f>
        <v>EMP00291</v>
      </c>
      <c r="O292">
        <v>396</v>
      </c>
      <c r="P292" t="str">
        <f>_xlfn.XLOOKUP(Table1[[#This Row],[EnvironmentSatisfaction]],Table9[EnvironmentSatisfaction],Table9[Id_EnviromentSatisfaction])</f>
        <v>ES003</v>
      </c>
      <c r="Q292">
        <v>3</v>
      </c>
      <c r="R292" t="str">
        <f>_xlfn.XLOOKUP(Table1[[#This Row],[EnvironmentSatisfaction]],Table9[EnvironmentSatisfaction],Table9[Deskripsi])</f>
        <v>High</v>
      </c>
      <c r="S292" t="str">
        <f>_xlfn.XLOOKUP(Table1[[#This Row],[Gender]],Table10[Gender],Table10[Id_Gender])</f>
        <v>G001</v>
      </c>
      <c r="T292" t="s">
        <v>45</v>
      </c>
      <c r="U292">
        <v>35</v>
      </c>
      <c r="V292" t="str">
        <f>_xlfn.XLOOKUP(Table1[[#This Row],[JobInvolvement]],Table11[JobInvolvement],Table11[Id_JobInvolvement])</f>
        <v>JI003</v>
      </c>
      <c r="W292">
        <v>3</v>
      </c>
      <c r="X292" t="str">
        <f>_xlfn.XLOOKUP(Table1[[#This Row],[JobLevel]],Table12[JobLevel],Table12[Id_JobLevel])</f>
        <v>JL005</v>
      </c>
      <c r="Y292">
        <v>5</v>
      </c>
      <c r="Z292" t="str">
        <f>_xlfn.XLOOKUP(Table1[[#This Row],[JobRole]],Table13[JobRole],Table13[Id_JobRole])</f>
        <v>JR008</v>
      </c>
      <c r="AA292" t="s">
        <v>54</v>
      </c>
      <c r="AB292" t="str">
        <f>_xlfn.XLOOKUP(Table1[[#This Row],[JobSatisfaction]],Table14[JobSatisfaction],Table14[Id_JobSatisfaction])</f>
        <v>JS001</v>
      </c>
      <c r="AC292">
        <v>1</v>
      </c>
      <c r="AD292" t="str">
        <f>_xlfn.XLOOKUP(Table1[[#This Row],[JobSatisfaction]],Table14[JobSatisfaction],Table14[Deskripsi])</f>
        <v>Low</v>
      </c>
      <c r="AE292" t="str">
        <f>_xlfn.XLOOKUP(Table1[[#This Row],[MaritalStatus]],Table15[MaritalStatus],Table15[Id_MaritalStatus])</f>
        <v>MS001</v>
      </c>
      <c r="AF292" t="s">
        <v>55</v>
      </c>
      <c r="AG292">
        <v>18665</v>
      </c>
      <c r="AH292">
        <v>25594</v>
      </c>
      <c r="AI292">
        <v>9</v>
      </c>
      <c r="AJ292" t="str">
        <f>_xlfn.XLOOKUP(Table1[[#This Row],[OverTime]],Table16[OverTime],Table16[Id_OverTime])</f>
        <v>OT001</v>
      </c>
      <c r="AK292" t="s">
        <v>32</v>
      </c>
      <c r="AL292">
        <v>11</v>
      </c>
      <c r="AM292" t="str">
        <f>_xlfn.XLOOKUP(Table1[[#This Row],[PerformanceRating]],Table17[PerformanceRating],Table17[Id_PerformanceRating])</f>
        <v>PR003</v>
      </c>
      <c r="AN292">
        <v>3</v>
      </c>
      <c r="AO292" t="str">
        <f>_xlfn.XLOOKUP(Table1[[#This Row],[PerformanceRating]],Table17[PerformanceRating],Table17[Deskripsi])</f>
        <v>Excellent</v>
      </c>
      <c r="AP292" t="str">
        <f>_xlfn.XLOOKUP(Table1[[#This Row],[RelationshipSatisfaction]],Table18[RelationshipSatisfaction],Table18[Id_RelationshipSatisfaction])</f>
        <v>RS004</v>
      </c>
      <c r="AQ292">
        <v>4</v>
      </c>
      <c r="AR292" t="str">
        <f>_xlfn.XLOOKUP(Table1[[#This Row],[RelationshipSatisfaction]],Table18[RelationshipSatisfaction],Table18[Deskripsi])</f>
        <v>Very High</v>
      </c>
      <c r="AS292" t="str">
        <f>_xlfn.XLOOKUP(Table1[[#This Row],[StockOptionLevel]],Table19[StockOptionLevel],Table19[Id_StockOptionLevel])</f>
        <v>SOL001</v>
      </c>
      <c r="AT292">
        <v>0</v>
      </c>
      <c r="AU292" t="str">
        <f>_xlfn.XLOOKUP(Table1[[#This Row],[StockOptionLevel]],Table19[StockOptionLevel],Table19[Deskripsi])</f>
        <v>Non-Eligible</v>
      </c>
      <c r="AV292">
        <v>22</v>
      </c>
      <c r="AW292">
        <v>4</v>
      </c>
      <c r="AX292" t="str">
        <f>_xlfn.XLOOKUP(Table1[[#This Row],[WorkLifeBalance]],Table20[WorkLifeBalance],Table20[Id_WorkLifeBalance])</f>
        <v>WLB002</v>
      </c>
      <c r="AY292">
        <v>3</v>
      </c>
      <c r="AZ292" t="str">
        <f>_xlfn.XLOOKUP(Table1[[#This Row],[WorkLifeBalance]],Table20[WorkLifeBalance],Table20[Deskripsi])</f>
        <v>Good</v>
      </c>
      <c r="BA292">
        <v>3</v>
      </c>
      <c r="BB292">
        <v>2</v>
      </c>
      <c r="BC292">
        <v>1</v>
      </c>
      <c r="BD292">
        <v>2</v>
      </c>
    </row>
    <row r="293" spans="1:56" x14ac:dyDescent="0.25">
      <c r="A293">
        <v>36</v>
      </c>
      <c r="B293" t="str">
        <f>_xlfn.XLOOKUP(Table1[[#This Row],[Attrition]],Table2[Attrition],Table2[Id_Attrition])</f>
        <v>A002</v>
      </c>
      <c r="C293" t="s">
        <v>33</v>
      </c>
      <c r="D293" t="str">
        <f>_xlfn.XLOOKUP(Table1[[#This Row],[BusinessTravel]],Table5[BusinessTravel],Table5[Id_BusinessTravel])</f>
        <v>BS001</v>
      </c>
      <c r="E293" t="s">
        <v>34</v>
      </c>
      <c r="F293">
        <v>506</v>
      </c>
      <c r="G293" t="str">
        <f>_xlfn.XLOOKUP(Table1[[#This Row],[Department]],Table6[Department],Table6[Id_Departement])</f>
        <v>D002</v>
      </c>
      <c r="H293" t="s">
        <v>38</v>
      </c>
      <c r="I293">
        <v>3</v>
      </c>
      <c r="J293" t="str">
        <f>_xlfn.XLOOKUP(Table1[[#This Row],[Education]],Table8[Education],Table8[Id_Education])</f>
        <v>E003</v>
      </c>
      <c r="K293">
        <v>3</v>
      </c>
      <c r="L293" t="str">
        <f>_xlfn.XLOOKUP(Table1[[#This Row],[EducationField]],Table7[EducationField],Table7[Id_EducationField])</f>
        <v>EF005</v>
      </c>
      <c r="M293" t="s">
        <v>44</v>
      </c>
      <c r="N293" t="str">
        <f>_xlfn.XLOOKUP(Table1[[#This Row],[EmployeeNumber]],Table4[EmployeeNumber],Table4[Id_Employee])</f>
        <v>EMP00292</v>
      </c>
      <c r="O293">
        <v>397</v>
      </c>
      <c r="P293" t="str">
        <f>_xlfn.XLOOKUP(Table1[[#This Row],[EnvironmentSatisfaction]],Table9[EnvironmentSatisfaction],Table9[Id_EnviromentSatisfaction])</f>
        <v>ES003</v>
      </c>
      <c r="Q293">
        <v>3</v>
      </c>
      <c r="R293" t="str">
        <f>_xlfn.XLOOKUP(Table1[[#This Row],[EnvironmentSatisfaction]],Table9[EnvironmentSatisfaction],Table9[Deskripsi])</f>
        <v>High</v>
      </c>
      <c r="S293" t="str">
        <f>_xlfn.XLOOKUP(Table1[[#This Row],[Gender]],Table10[Gender],Table10[Id_Gender])</f>
        <v>G002</v>
      </c>
      <c r="T293" t="s">
        <v>46</v>
      </c>
      <c r="U293">
        <v>30</v>
      </c>
      <c r="V293" t="str">
        <f>_xlfn.XLOOKUP(Table1[[#This Row],[JobInvolvement]],Table11[JobInvolvement],Table11[Id_JobInvolvement])</f>
        <v>JI003</v>
      </c>
      <c r="W293">
        <v>3</v>
      </c>
      <c r="X293" t="str">
        <f>_xlfn.XLOOKUP(Table1[[#This Row],[JobLevel]],Table12[JobLevel],Table12[Id_JobLevel])</f>
        <v>JL002</v>
      </c>
      <c r="Y293">
        <v>2</v>
      </c>
      <c r="Z293" t="str">
        <f>_xlfn.XLOOKUP(Table1[[#This Row],[JobRole]],Table13[JobRole],Table13[Id_JobRole])</f>
        <v>JR002</v>
      </c>
      <c r="AA293" t="s">
        <v>48</v>
      </c>
      <c r="AB293" t="str">
        <f>_xlfn.XLOOKUP(Table1[[#This Row],[JobSatisfaction]],Table14[JobSatisfaction],Table14[Id_JobSatisfaction])</f>
        <v>JS002</v>
      </c>
      <c r="AC293">
        <v>2</v>
      </c>
      <c r="AD293" t="str">
        <f>_xlfn.XLOOKUP(Table1[[#This Row],[JobSatisfaction]],Table14[JobSatisfaction],Table14[Deskripsi])</f>
        <v>Medium</v>
      </c>
      <c r="AE293" t="str">
        <f>_xlfn.XLOOKUP(Table1[[#This Row],[MaritalStatus]],Table15[MaritalStatus],Table15[Id_MaritalStatus])</f>
        <v>MS001</v>
      </c>
      <c r="AF293" t="s">
        <v>55</v>
      </c>
      <c r="AG293">
        <v>4485</v>
      </c>
      <c r="AH293">
        <v>26285</v>
      </c>
      <c r="AI293">
        <v>4</v>
      </c>
      <c r="AJ293" t="str">
        <f>_xlfn.XLOOKUP(Table1[[#This Row],[OverTime]],Table16[OverTime],Table16[Id_OverTime])</f>
        <v>OT002</v>
      </c>
      <c r="AK293" t="s">
        <v>33</v>
      </c>
      <c r="AL293">
        <v>12</v>
      </c>
      <c r="AM293" t="str">
        <f>_xlfn.XLOOKUP(Table1[[#This Row],[PerformanceRating]],Table17[PerformanceRating],Table17[Id_PerformanceRating])</f>
        <v>PR003</v>
      </c>
      <c r="AN293">
        <v>3</v>
      </c>
      <c r="AO293" t="str">
        <f>_xlfn.XLOOKUP(Table1[[#This Row],[PerformanceRating]],Table17[PerformanceRating],Table17[Deskripsi])</f>
        <v>Excellent</v>
      </c>
      <c r="AP293" t="str">
        <f>_xlfn.XLOOKUP(Table1[[#This Row],[RelationshipSatisfaction]],Table18[RelationshipSatisfaction],Table18[Id_RelationshipSatisfaction])</f>
        <v>RS004</v>
      </c>
      <c r="AQ293">
        <v>4</v>
      </c>
      <c r="AR293" t="str">
        <f>_xlfn.XLOOKUP(Table1[[#This Row],[RelationshipSatisfaction]],Table18[RelationshipSatisfaction],Table18[Deskripsi])</f>
        <v>Very High</v>
      </c>
      <c r="AS293" t="str">
        <f>_xlfn.XLOOKUP(Table1[[#This Row],[StockOptionLevel]],Table19[StockOptionLevel],Table19[Id_StockOptionLevel])</f>
        <v>SOL001</v>
      </c>
      <c r="AT293">
        <v>0</v>
      </c>
      <c r="AU293" t="str">
        <f>_xlfn.XLOOKUP(Table1[[#This Row],[StockOptionLevel]],Table19[StockOptionLevel],Table19[Deskripsi])</f>
        <v>Non-Eligible</v>
      </c>
      <c r="AV293">
        <v>10</v>
      </c>
      <c r="AW293">
        <v>2</v>
      </c>
      <c r="AX293" t="str">
        <f>_xlfn.XLOOKUP(Table1[[#This Row],[WorkLifeBalance]],Table20[WorkLifeBalance],Table20[Id_WorkLifeBalance])</f>
        <v>WLB002</v>
      </c>
      <c r="AY293">
        <v>3</v>
      </c>
      <c r="AZ293" t="str">
        <f>_xlfn.XLOOKUP(Table1[[#This Row],[WorkLifeBalance]],Table20[WorkLifeBalance],Table20[Deskripsi])</f>
        <v>Good</v>
      </c>
      <c r="BA293">
        <v>8</v>
      </c>
      <c r="BB293">
        <v>0</v>
      </c>
      <c r="BC293">
        <v>7</v>
      </c>
      <c r="BD293">
        <v>7</v>
      </c>
    </row>
    <row r="294" spans="1:56" x14ac:dyDescent="0.25">
      <c r="A294">
        <v>31</v>
      </c>
      <c r="B294" t="str">
        <f>_xlfn.XLOOKUP(Table1[[#This Row],[Attrition]],Table2[Attrition],Table2[Id_Attrition])</f>
        <v>A002</v>
      </c>
      <c r="C294" t="s">
        <v>33</v>
      </c>
      <c r="D294" t="str">
        <f>_xlfn.XLOOKUP(Table1[[#This Row],[BusinessTravel]],Table5[BusinessTravel],Table5[Id_BusinessTravel])</f>
        <v>BS002</v>
      </c>
      <c r="E294" t="s">
        <v>35</v>
      </c>
      <c r="F294">
        <v>444</v>
      </c>
      <c r="G294" t="str">
        <f>_xlfn.XLOOKUP(Table1[[#This Row],[Department]],Table6[Department],Table6[Id_Departement])</f>
        <v>D001</v>
      </c>
      <c r="H294" t="s">
        <v>37</v>
      </c>
      <c r="I294">
        <v>5</v>
      </c>
      <c r="J294" t="str">
        <f>_xlfn.XLOOKUP(Table1[[#This Row],[Education]],Table8[Education],Table8[Id_Education])</f>
        <v>E003</v>
      </c>
      <c r="K294">
        <v>3</v>
      </c>
      <c r="L294" t="str">
        <f>_xlfn.XLOOKUP(Table1[[#This Row],[EducationField]],Table7[EducationField],Table7[Id_EducationField])</f>
        <v>EF004</v>
      </c>
      <c r="M294" t="s">
        <v>43</v>
      </c>
      <c r="N294" t="str">
        <f>_xlfn.XLOOKUP(Table1[[#This Row],[EmployeeNumber]],Table4[EmployeeNumber],Table4[Id_Employee])</f>
        <v>EMP00293</v>
      </c>
      <c r="O294">
        <v>399</v>
      </c>
      <c r="P294" t="str">
        <f>_xlfn.XLOOKUP(Table1[[#This Row],[EnvironmentSatisfaction]],Table9[EnvironmentSatisfaction],Table9[Id_EnviromentSatisfaction])</f>
        <v>ES004</v>
      </c>
      <c r="Q294">
        <v>4</v>
      </c>
      <c r="R294" t="str">
        <f>_xlfn.XLOOKUP(Table1[[#This Row],[EnvironmentSatisfaction]],Table9[EnvironmentSatisfaction],Table9[Deskripsi])</f>
        <v>Very High</v>
      </c>
      <c r="S294" t="str">
        <f>_xlfn.XLOOKUP(Table1[[#This Row],[Gender]],Table10[Gender],Table10[Id_Gender])</f>
        <v>G001</v>
      </c>
      <c r="T294" t="s">
        <v>45</v>
      </c>
      <c r="U294">
        <v>84</v>
      </c>
      <c r="V294" t="str">
        <f>_xlfn.XLOOKUP(Table1[[#This Row],[JobInvolvement]],Table11[JobInvolvement],Table11[Id_JobInvolvement])</f>
        <v>JI003</v>
      </c>
      <c r="W294">
        <v>3</v>
      </c>
      <c r="X294" t="str">
        <f>_xlfn.XLOOKUP(Table1[[#This Row],[JobLevel]],Table12[JobLevel],Table12[Id_JobLevel])</f>
        <v>JL001</v>
      </c>
      <c r="Y294">
        <v>1</v>
      </c>
      <c r="Z294" t="str">
        <f>_xlfn.XLOOKUP(Table1[[#This Row],[JobRole]],Table13[JobRole],Table13[Id_JobRole])</f>
        <v>JR007</v>
      </c>
      <c r="AA294" t="s">
        <v>53</v>
      </c>
      <c r="AB294" t="str">
        <f>_xlfn.XLOOKUP(Table1[[#This Row],[JobSatisfaction]],Table14[JobSatisfaction],Table14[Id_JobSatisfaction])</f>
        <v>JS002</v>
      </c>
      <c r="AC294">
        <v>2</v>
      </c>
      <c r="AD294" t="str">
        <f>_xlfn.XLOOKUP(Table1[[#This Row],[JobSatisfaction]],Table14[JobSatisfaction],Table14[Deskripsi])</f>
        <v>Medium</v>
      </c>
      <c r="AE294" t="str">
        <f>_xlfn.XLOOKUP(Table1[[#This Row],[MaritalStatus]],Table15[MaritalStatus],Table15[Id_MaritalStatus])</f>
        <v>MS003</v>
      </c>
      <c r="AF294" t="s">
        <v>57</v>
      </c>
      <c r="AG294">
        <v>2789</v>
      </c>
      <c r="AH294">
        <v>3909</v>
      </c>
      <c r="AI294">
        <v>1</v>
      </c>
      <c r="AJ294" t="str">
        <f>_xlfn.XLOOKUP(Table1[[#This Row],[OverTime]],Table16[OverTime],Table16[Id_OverTime])</f>
        <v>OT002</v>
      </c>
      <c r="AK294" t="s">
        <v>33</v>
      </c>
      <c r="AL294">
        <v>11</v>
      </c>
      <c r="AM294" t="str">
        <f>_xlfn.XLOOKUP(Table1[[#This Row],[PerformanceRating]],Table17[PerformanceRating],Table17[Id_PerformanceRating])</f>
        <v>PR003</v>
      </c>
      <c r="AN294">
        <v>3</v>
      </c>
      <c r="AO294" t="str">
        <f>_xlfn.XLOOKUP(Table1[[#This Row],[PerformanceRating]],Table17[PerformanceRating],Table17[Deskripsi])</f>
        <v>Excellent</v>
      </c>
      <c r="AP294" t="str">
        <f>_xlfn.XLOOKUP(Table1[[#This Row],[RelationshipSatisfaction]],Table18[RelationshipSatisfaction],Table18[Id_RelationshipSatisfaction])</f>
        <v>RS003</v>
      </c>
      <c r="AQ294">
        <v>3</v>
      </c>
      <c r="AR294" t="str">
        <f>_xlfn.XLOOKUP(Table1[[#This Row],[RelationshipSatisfaction]],Table18[RelationshipSatisfaction],Table18[Deskripsi])</f>
        <v>High</v>
      </c>
      <c r="AS294" t="str">
        <f>_xlfn.XLOOKUP(Table1[[#This Row],[StockOptionLevel]],Table19[StockOptionLevel],Table19[Id_StockOptionLevel])</f>
        <v>SOL002</v>
      </c>
      <c r="AT294">
        <v>1</v>
      </c>
      <c r="AU294" t="str">
        <f>_xlfn.XLOOKUP(Table1[[#This Row],[StockOptionLevel]],Table19[StockOptionLevel],Table19[Deskripsi])</f>
        <v>Standard</v>
      </c>
      <c r="AV294">
        <v>2</v>
      </c>
      <c r="AW294">
        <v>5</v>
      </c>
      <c r="AX294" t="str">
        <f>_xlfn.XLOOKUP(Table1[[#This Row],[WorkLifeBalance]],Table20[WorkLifeBalance],Table20[Id_WorkLifeBalance])</f>
        <v>WLB003</v>
      </c>
      <c r="AY294">
        <v>2</v>
      </c>
      <c r="AZ294" t="str">
        <f>_xlfn.XLOOKUP(Table1[[#This Row],[WorkLifeBalance]],Table20[WorkLifeBalance],Table20[Deskripsi])</f>
        <v>Better</v>
      </c>
      <c r="BA294">
        <v>2</v>
      </c>
      <c r="BB294">
        <v>2</v>
      </c>
      <c r="BC294">
        <v>2</v>
      </c>
      <c r="BD294">
        <v>2</v>
      </c>
    </row>
    <row r="295" spans="1:56" x14ac:dyDescent="0.25">
      <c r="A295">
        <v>26</v>
      </c>
      <c r="B295" t="str">
        <f>_xlfn.XLOOKUP(Table1[[#This Row],[Attrition]],Table2[Attrition],Table2[Id_Attrition])</f>
        <v>A001</v>
      </c>
      <c r="C295" t="s">
        <v>32</v>
      </c>
      <c r="D295" t="str">
        <f>_xlfn.XLOOKUP(Table1[[#This Row],[BusinessTravel]],Table5[BusinessTravel],Table5[Id_BusinessTravel])</f>
        <v>BS001</v>
      </c>
      <c r="E295" t="s">
        <v>34</v>
      </c>
      <c r="F295">
        <v>950</v>
      </c>
      <c r="G295" t="str">
        <f>_xlfn.XLOOKUP(Table1[[#This Row],[Department]],Table6[Department],Table6[Id_Departement])</f>
        <v>D001</v>
      </c>
      <c r="H295" t="s">
        <v>37</v>
      </c>
      <c r="I295">
        <v>4</v>
      </c>
      <c r="J295" t="str">
        <f>_xlfn.XLOOKUP(Table1[[#This Row],[Education]],Table8[Education],Table8[Id_Education])</f>
        <v>E004</v>
      </c>
      <c r="K295">
        <v>4</v>
      </c>
      <c r="L295" t="str">
        <f>_xlfn.XLOOKUP(Table1[[#This Row],[EducationField]],Table7[EducationField],Table7[Id_EducationField])</f>
        <v>EF004</v>
      </c>
      <c r="M295" t="s">
        <v>43</v>
      </c>
      <c r="N295" t="str">
        <f>_xlfn.XLOOKUP(Table1[[#This Row],[EmployeeNumber]],Table4[EmployeeNumber],Table4[Id_Employee])</f>
        <v>EMP00294</v>
      </c>
      <c r="O295">
        <v>401</v>
      </c>
      <c r="P295" t="str">
        <f>_xlfn.XLOOKUP(Table1[[#This Row],[EnvironmentSatisfaction]],Table9[EnvironmentSatisfaction],Table9[Id_EnviromentSatisfaction])</f>
        <v>ES004</v>
      </c>
      <c r="Q295">
        <v>4</v>
      </c>
      <c r="R295" t="str">
        <f>_xlfn.XLOOKUP(Table1[[#This Row],[EnvironmentSatisfaction]],Table9[EnvironmentSatisfaction],Table9[Deskripsi])</f>
        <v>Very High</v>
      </c>
      <c r="S295" t="str">
        <f>_xlfn.XLOOKUP(Table1[[#This Row],[Gender]],Table10[Gender],Table10[Id_Gender])</f>
        <v>G002</v>
      </c>
      <c r="T295" t="s">
        <v>46</v>
      </c>
      <c r="U295">
        <v>48</v>
      </c>
      <c r="V295" t="str">
        <f>_xlfn.XLOOKUP(Table1[[#This Row],[JobInvolvement]],Table11[JobInvolvement],Table11[Id_JobInvolvement])</f>
        <v>JI002</v>
      </c>
      <c r="W295">
        <v>2</v>
      </c>
      <c r="X295" t="str">
        <f>_xlfn.XLOOKUP(Table1[[#This Row],[JobLevel]],Table12[JobLevel],Table12[Id_JobLevel])</f>
        <v>JL002</v>
      </c>
      <c r="Y295">
        <v>2</v>
      </c>
      <c r="Z295" t="str">
        <f>_xlfn.XLOOKUP(Table1[[#This Row],[JobRole]],Table13[JobRole],Table13[Id_JobRole])</f>
        <v>JR001</v>
      </c>
      <c r="AA295" t="s">
        <v>47</v>
      </c>
      <c r="AB295" t="str">
        <f>_xlfn.XLOOKUP(Table1[[#This Row],[JobSatisfaction]],Table14[JobSatisfaction],Table14[Id_JobSatisfaction])</f>
        <v>JS004</v>
      </c>
      <c r="AC295">
        <v>4</v>
      </c>
      <c r="AD295" t="str">
        <f>_xlfn.XLOOKUP(Table1[[#This Row],[JobSatisfaction]],Table14[JobSatisfaction],Table14[Deskripsi])</f>
        <v>Very High</v>
      </c>
      <c r="AE295" t="str">
        <f>_xlfn.XLOOKUP(Table1[[#This Row],[MaritalStatus]],Table15[MaritalStatus],Table15[Id_MaritalStatus])</f>
        <v>MS001</v>
      </c>
      <c r="AF295" t="s">
        <v>55</v>
      </c>
      <c r="AG295">
        <v>5828</v>
      </c>
      <c r="AH295">
        <v>8450</v>
      </c>
      <c r="AI295">
        <v>1</v>
      </c>
      <c r="AJ295" t="str">
        <f>_xlfn.XLOOKUP(Table1[[#This Row],[OverTime]],Table16[OverTime],Table16[Id_OverTime])</f>
        <v>OT001</v>
      </c>
      <c r="AK295" t="s">
        <v>32</v>
      </c>
      <c r="AL295">
        <v>12</v>
      </c>
      <c r="AM295" t="str">
        <f>_xlfn.XLOOKUP(Table1[[#This Row],[PerformanceRating]],Table17[PerformanceRating],Table17[Id_PerformanceRating])</f>
        <v>PR003</v>
      </c>
      <c r="AN295">
        <v>3</v>
      </c>
      <c r="AO295" t="str">
        <f>_xlfn.XLOOKUP(Table1[[#This Row],[PerformanceRating]],Table17[PerformanceRating],Table17[Deskripsi])</f>
        <v>Excellent</v>
      </c>
      <c r="AP295" t="str">
        <f>_xlfn.XLOOKUP(Table1[[#This Row],[RelationshipSatisfaction]],Table18[RelationshipSatisfaction],Table18[Id_RelationshipSatisfaction])</f>
        <v>RS002</v>
      </c>
      <c r="AQ295">
        <v>2</v>
      </c>
      <c r="AR295" t="str">
        <f>_xlfn.XLOOKUP(Table1[[#This Row],[RelationshipSatisfaction]],Table18[RelationshipSatisfaction],Table18[Deskripsi])</f>
        <v>Medium</v>
      </c>
      <c r="AS295" t="str">
        <f>_xlfn.XLOOKUP(Table1[[#This Row],[StockOptionLevel]],Table19[StockOptionLevel],Table19[Id_StockOptionLevel])</f>
        <v>SOL001</v>
      </c>
      <c r="AT295">
        <v>0</v>
      </c>
      <c r="AU295" t="str">
        <f>_xlfn.XLOOKUP(Table1[[#This Row],[StockOptionLevel]],Table19[StockOptionLevel],Table19[Deskripsi])</f>
        <v>Non-Eligible</v>
      </c>
      <c r="AV295">
        <v>8</v>
      </c>
      <c r="AW295">
        <v>0</v>
      </c>
      <c r="AX295" t="str">
        <f>_xlfn.XLOOKUP(Table1[[#This Row],[WorkLifeBalance]],Table20[WorkLifeBalance],Table20[Id_WorkLifeBalance])</f>
        <v>WLB002</v>
      </c>
      <c r="AY295">
        <v>3</v>
      </c>
      <c r="AZ295" t="str">
        <f>_xlfn.XLOOKUP(Table1[[#This Row],[WorkLifeBalance]],Table20[WorkLifeBalance],Table20[Deskripsi])</f>
        <v>Good</v>
      </c>
      <c r="BA295">
        <v>8</v>
      </c>
      <c r="BB295">
        <v>7</v>
      </c>
      <c r="BC295">
        <v>7</v>
      </c>
      <c r="BD295">
        <v>4</v>
      </c>
    </row>
    <row r="296" spans="1:56" x14ac:dyDescent="0.25">
      <c r="A296">
        <v>37</v>
      </c>
      <c r="B296" t="str">
        <f>_xlfn.XLOOKUP(Table1[[#This Row],[Attrition]],Table2[Attrition],Table2[Id_Attrition])</f>
        <v>A002</v>
      </c>
      <c r="C296" t="s">
        <v>33</v>
      </c>
      <c r="D296" t="str">
        <f>_xlfn.XLOOKUP(Table1[[#This Row],[BusinessTravel]],Table5[BusinessTravel],Table5[Id_BusinessTravel])</f>
        <v>BS002</v>
      </c>
      <c r="E296" t="s">
        <v>35</v>
      </c>
      <c r="F296">
        <v>889</v>
      </c>
      <c r="G296" t="str">
        <f>_xlfn.XLOOKUP(Table1[[#This Row],[Department]],Table6[Department],Table6[Id_Departement])</f>
        <v>D002</v>
      </c>
      <c r="H296" t="s">
        <v>38</v>
      </c>
      <c r="I296">
        <v>9</v>
      </c>
      <c r="J296" t="str">
        <f>_xlfn.XLOOKUP(Table1[[#This Row],[Education]],Table8[Education],Table8[Id_Education])</f>
        <v>E003</v>
      </c>
      <c r="K296">
        <v>3</v>
      </c>
      <c r="L296" t="str">
        <f>_xlfn.XLOOKUP(Table1[[#This Row],[EducationField]],Table7[EducationField],Table7[Id_EducationField])</f>
        <v>EF003</v>
      </c>
      <c r="M296" t="s">
        <v>42</v>
      </c>
      <c r="N296" t="str">
        <f>_xlfn.XLOOKUP(Table1[[#This Row],[EmployeeNumber]],Table4[EmployeeNumber],Table4[Id_Employee])</f>
        <v>EMP00295</v>
      </c>
      <c r="O296">
        <v>403</v>
      </c>
      <c r="P296" t="str">
        <f>_xlfn.XLOOKUP(Table1[[#This Row],[EnvironmentSatisfaction]],Table9[EnvironmentSatisfaction],Table9[Id_EnviromentSatisfaction])</f>
        <v>ES002</v>
      </c>
      <c r="Q296">
        <v>2</v>
      </c>
      <c r="R296" t="str">
        <f>_xlfn.XLOOKUP(Table1[[#This Row],[EnvironmentSatisfaction]],Table9[EnvironmentSatisfaction],Table9[Deskripsi])</f>
        <v>Medium</v>
      </c>
      <c r="S296" t="str">
        <f>_xlfn.XLOOKUP(Table1[[#This Row],[Gender]],Table10[Gender],Table10[Id_Gender])</f>
        <v>G002</v>
      </c>
      <c r="T296" t="s">
        <v>46</v>
      </c>
      <c r="U296">
        <v>53</v>
      </c>
      <c r="V296" t="str">
        <f>_xlfn.XLOOKUP(Table1[[#This Row],[JobInvolvement]],Table11[JobInvolvement],Table11[Id_JobInvolvement])</f>
        <v>JI003</v>
      </c>
      <c r="W296">
        <v>3</v>
      </c>
      <c r="X296" t="str">
        <f>_xlfn.XLOOKUP(Table1[[#This Row],[JobLevel]],Table12[JobLevel],Table12[Id_JobLevel])</f>
        <v>JL001</v>
      </c>
      <c r="Y296">
        <v>1</v>
      </c>
      <c r="Z296" t="str">
        <f>_xlfn.XLOOKUP(Table1[[#This Row],[JobRole]],Table13[JobRole],Table13[Id_JobRole])</f>
        <v>JR002</v>
      </c>
      <c r="AA296" t="s">
        <v>48</v>
      </c>
      <c r="AB296" t="str">
        <f>_xlfn.XLOOKUP(Table1[[#This Row],[JobSatisfaction]],Table14[JobSatisfaction],Table14[Id_JobSatisfaction])</f>
        <v>JS004</v>
      </c>
      <c r="AC296">
        <v>4</v>
      </c>
      <c r="AD296" t="str">
        <f>_xlfn.XLOOKUP(Table1[[#This Row],[JobSatisfaction]],Table14[JobSatisfaction],Table14[Deskripsi])</f>
        <v>Very High</v>
      </c>
      <c r="AE296" t="str">
        <f>_xlfn.XLOOKUP(Table1[[#This Row],[MaritalStatus]],Table15[MaritalStatus],Table15[Id_MaritalStatus])</f>
        <v>MS002</v>
      </c>
      <c r="AF296" t="s">
        <v>56</v>
      </c>
      <c r="AG296">
        <v>2326</v>
      </c>
      <c r="AH296">
        <v>11411</v>
      </c>
      <c r="AI296">
        <v>1</v>
      </c>
      <c r="AJ296" t="str">
        <f>_xlfn.XLOOKUP(Table1[[#This Row],[OverTime]],Table16[OverTime],Table16[Id_OverTime])</f>
        <v>OT001</v>
      </c>
      <c r="AK296" t="s">
        <v>32</v>
      </c>
      <c r="AL296">
        <v>12</v>
      </c>
      <c r="AM296" t="str">
        <f>_xlfn.XLOOKUP(Table1[[#This Row],[PerformanceRating]],Table17[PerformanceRating],Table17[Id_PerformanceRating])</f>
        <v>PR003</v>
      </c>
      <c r="AN296">
        <v>3</v>
      </c>
      <c r="AO296" t="str">
        <f>_xlfn.XLOOKUP(Table1[[#This Row],[PerformanceRating]],Table17[PerformanceRating],Table17[Deskripsi])</f>
        <v>Excellent</v>
      </c>
      <c r="AP296" t="str">
        <f>_xlfn.XLOOKUP(Table1[[#This Row],[RelationshipSatisfaction]],Table18[RelationshipSatisfaction],Table18[Id_RelationshipSatisfaction])</f>
        <v>RS003</v>
      </c>
      <c r="AQ296">
        <v>3</v>
      </c>
      <c r="AR296" t="str">
        <f>_xlfn.XLOOKUP(Table1[[#This Row],[RelationshipSatisfaction]],Table18[RelationshipSatisfaction],Table18[Deskripsi])</f>
        <v>High</v>
      </c>
      <c r="AS296" t="str">
        <f>_xlfn.XLOOKUP(Table1[[#This Row],[StockOptionLevel]],Table19[StockOptionLevel],Table19[Id_StockOptionLevel])</f>
        <v>SOL004</v>
      </c>
      <c r="AT296">
        <v>3</v>
      </c>
      <c r="AU296" t="str">
        <f>_xlfn.XLOOKUP(Table1[[#This Row],[StockOptionLevel]],Table19[StockOptionLevel],Table19[Deskripsi])</f>
        <v>Senior/Executive</v>
      </c>
      <c r="AV296">
        <v>4</v>
      </c>
      <c r="AW296">
        <v>3</v>
      </c>
      <c r="AX296" t="str">
        <f>_xlfn.XLOOKUP(Table1[[#This Row],[WorkLifeBalance]],Table20[WorkLifeBalance],Table20[Id_WorkLifeBalance])</f>
        <v>WLB003</v>
      </c>
      <c r="AY296">
        <v>2</v>
      </c>
      <c r="AZ296" t="str">
        <f>_xlfn.XLOOKUP(Table1[[#This Row],[WorkLifeBalance]],Table20[WorkLifeBalance],Table20[Deskripsi])</f>
        <v>Better</v>
      </c>
      <c r="BA296">
        <v>4</v>
      </c>
      <c r="BB296">
        <v>2</v>
      </c>
      <c r="BC296">
        <v>1</v>
      </c>
      <c r="BD296">
        <v>2</v>
      </c>
    </row>
    <row r="297" spans="1:56" x14ac:dyDescent="0.25">
      <c r="A297">
        <v>42</v>
      </c>
      <c r="B297" t="str">
        <f>_xlfn.XLOOKUP(Table1[[#This Row],[Attrition]],Table2[Attrition],Table2[Id_Attrition])</f>
        <v>A002</v>
      </c>
      <c r="C297" t="s">
        <v>33</v>
      </c>
      <c r="D297" t="str">
        <f>_xlfn.XLOOKUP(Table1[[#This Row],[BusinessTravel]],Table5[BusinessTravel],Table5[Id_BusinessTravel])</f>
        <v>BS002</v>
      </c>
      <c r="E297" t="s">
        <v>35</v>
      </c>
      <c r="F297">
        <v>555</v>
      </c>
      <c r="G297" t="str">
        <f>_xlfn.XLOOKUP(Table1[[#This Row],[Department]],Table6[Department],Table6[Id_Departement])</f>
        <v>D001</v>
      </c>
      <c r="H297" t="s">
        <v>37</v>
      </c>
      <c r="I297">
        <v>26</v>
      </c>
      <c r="J297" t="str">
        <f>_xlfn.XLOOKUP(Table1[[#This Row],[Education]],Table8[Education],Table8[Id_Education])</f>
        <v>E003</v>
      </c>
      <c r="K297">
        <v>3</v>
      </c>
      <c r="L297" t="str">
        <f>_xlfn.XLOOKUP(Table1[[#This Row],[EducationField]],Table7[EducationField],Table7[Id_EducationField])</f>
        <v>EF004</v>
      </c>
      <c r="M297" t="s">
        <v>43</v>
      </c>
      <c r="N297" t="str">
        <f>_xlfn.XLOOKUP(Table1[[#This Row],[EmployeeNumber]],Table4[EmployeeNumber],Table4[Id_Employee])</f>
        <v>EMP00296</v>
      </c>
      <c r="O297">
        <v>404</v>
      </c>
      <c r="P297" t="str">
        <f>_xlfn.XLOOKUP(Table1[[#This Row],[EnvironmentSatisfaction]],Table9[EnvironmentSatisfaction],Table9[Id_EnviromentSatisfaction])</f>
        <v>ES003</v>
      </c>
      <c r="Q297">
        <v>3</v>
      </c>
      <c r="R297" t="str">
        <f>_xlfn.XLOOKUP(Table1[[#This Row],[EnvironmentSatisfaction]],Table9[EnvironmentSatisfaction],Table9[Deskripsi])</f>
        <v>High</v>
      </c>
      <c r="S297" t="str">
        <f>_xlfn.XLOOKUP(Table1[[#This Row],[Gender]],Table10[Gender],Table10[Id_Gender])</f>
        <v>G001</v>
      </c>
      <c r="T297" t="s">
        <v>45</v>
      </c>
      <c r="U297">
        <v>77</v>
      </c>
      <c r="V297" t="str">
        <f>_xlfn.XLOOKUP(Table1[[#This Row],[JobInvolvement]],Table11[JobInvolvement],Table11[Id_JobInvolvement])</f>
        <v>JI003</v>
      </c>
      <c r="W297">
        <v>3</v>
      </c>
      <c r="X297" t="str">
        <f>_xlfn.XLOOKUP(Table1[[#This Row],[JobLevel]],Table12[JobLevel],Table12[Id_JobLevel])</f>
        <v>JL004</v>
      </c>
      <c r="Y297">
        <v>4</v>
      </c>
      <c r="Z297" t="str">
        <f>_xlfn.XLOOKUP(Table1[[#This Row],[JobRole]],Table13[JobRole],Table13[Id_JobRole])</f>
        <v>JR001</v>
      </c>
      <c r="AA297" t="s">
        <v>47</v>
      </c>
      <c r="AB297" t="str">
        <f>_xlfn.XLOOKUP(Table1[[#This Row],[JobSatisfaction]],Table14[JobSatisfaction],Table14[Id_JobSatisfaction])</f>
        <v>JS002</v>
      </c>
      <c r="AC297">
        <v>2</v>
      </c>
      <c r="AD297" t="str">
        <f>_xlfn.XLOOKUP(Table1[[#This Row],[JobSatisfaction]],Table14[JobSatisfaction],Table14[Deskripsi])</f>
        <v>Medium</v>
      </c>
      <c r="AE297" t="str">
        <f>_xlfn.XLOOKUP(Table1[[#This Row],[MaritalStatus]],Table15[MaritalStatus],Table15[Id_MaritalStatus])</f>
        <v>MS002</v>
      </c>
      <c r="AF297" t="s">
        <v>56</v>
      </c>
      <c r="AG297">
        <v>13525</v>
      </c>
      <c r="AH297">
        <v>14864</v>
      </c>
      <c r="AI297">
        <v>5</v>
      </c>
      <c r="AJ297" t="str">
        <f>_xlfn.XLOOKUP(Table1[[#This Row],[OverTime]],Table16[OverTime],Table16[Id_OverTime])</f>
        <v>OT002</v>
      </c>
      <c r="AK297" t="s">
        <v>33</v>
      </c>
      <c r="AL297">
        <v>14</v>
      </c>
      <c r="AM297" t="str">
        <f>_xlfn.XLOOKUP(Table1[[#This Row],[PerformanceRating]],Table17[PerformanceRating],Table17[Id_PerformanceRating])</f>
        <v>PR003</v>
      </c>
      <c r="AN297">
        <v>3</v>
      </c>
      <c r="AO297" t="str">
        <f>_xlfn.XLOOKUP(Table1[[#This Row],[PerformanceRating]],Table17[PerformanceRating],Table17[Deskripsi])</f>
        <v>Excellent</v>
      </c>
      <c r="AP297" t="str">
        <f>_xlfn.XLOOKUP(Table1[[#This Row],[RelationshipSatisfaction]],Table18[RelationshipSatisfaction],Table18[Id_RelationshipSatisfaction])</f>
        <v>RS004</v>
      </c>
      <c r="AQ297">
        <v>4</v>
      </c>
      <c r="AR297" t="str">
        <f>_xlfn.XLOOKUP(Table1[[#This Row],[RelationshipSatisfaction]],Table18[RelationshipSatisfaction],Table18[Deskripsi])</f>
        <v>Very High</v>
      </c>
      <c r="AS297" t="str">
        <f>_xlfn.XLOOKUP(Table1[[#This Row],[StockOptionLevel]],Table19[StockOptionLevel],Table19[Id_StockOptionLevel])</f>
        <v>SOL002</v>
      </c>
      <c r="AT297">
        <v>1</v>
      </c>
      <c r="AU297" t="str">
        <f>_xlfn.XLOOKUP(Table1[[#This Row],[StockOptionLevel]],Table19[StockOptionLevel],Table19[Deskripsi])</f>
        <v>Standard</v>
      </c>
      <c r="AV297">
        <v>23</v>
      </c>
      <c r="AW297">
        <v>2</v>
      </c>
      <c r="AX297" t="str">
        <f>_xlfn.XLOOKUP(Table1[[#This Row],[WorkLifeBalance]],Table20[WorkLifeBalance],Table20[Id_WorkLifeBalance])</f>
        <v>WLB004</v>
      </c>
      <c r="AY297">
        <v>4</v>
      </c>
      <c r="AZ297" t="str">
        <f>_xlfn.XLOOKUP(Table1[[#This Row],[WorkLifeBalance]],Table20[WorkLifeBalance],Table20[Deskripsi])</f>
        <v>Best</v>
      </c>
      <c r="BA297">
        <v>20</v>
      </c>
      <c r="BB297">
        <v>4</v>
      </c>
      <c r="BC297">
        <v>4</v>
      </c>
      <c r="BD297">
        <v>8</v>
      </c>
    </row>
    <row r="298" spans="1:56" x14ac:dyDescent="0.25">
      <c r="A298">
        <v>18</v>
      </c>
      <c r="B298" t="str">
        <f>_xlfn.XLOOKUP(Table1[[#This Row],[Attrition]],Table2[Attrition],Table2[Id_Attrition])</f>
        <v>A001</v>
      </c>
      <c r="C298" t="s">
        <v>32</v>
      </c>
      <c r="D298" t="str">
        <f>_xlfn.XLOOKUP(Table1[[#This Row],[BusinessTravel]],Table5[BusinessTravel],Table5[Id_BusinessTravel])</f>
        <v>BS001</v>
      </c>
      <c r="E298" t="s">
        <v>34</v>
      </c>
      <c r="F298">
        <v>230</v>
      </c>
      <c r="G298" t="str">
        <f>_xlfn.XLOOKUP(Table1[[#This Row],[Department]],Table6[Department],Table6[Id_Departement])</f>
        <v>D002</v>
      </c>
      <c r="H298" t="s">
        <v>38</v>
      </c>
      <c r="I298">
        <v>3</v>
      </c>
      <c r="J298" t="str">
        <f>_xlfn.XLOOKUP(Table1[[#This Row],[Education]],Table8[Education],Table8[Id_Education])</f>
        <v>E003</v>
      </c>
      <c r="K298">
        <v>3</v>
      </c>
      <c r="L298" t="str">
        <f>_xlfn.XLOOKUP(Table1[[#This Row],[EducationField]],Table7[EducationField],Table7[Id_EducationField])</f>
        <v>EF001</v>
      </c>
      <c r="M298" t="s">
        <v>40</v>
      </c>
      <c r="N298" t="str">
        <f>_xlfn.XLOOKUP(Table1[[#This Row],[EmployeeNumber]],Table4[EmployeeNumber],Table4[Id_Employee])</f>
        <v>EMP00297</v>
      </c>
      <c r="O298">
        <v>405</v>
      </c>
      <c r="P298" t="str">
        <f>_xlfn.XLOOKUP(Table1[[#This Row],[EnvironmentSatisfaction]],Table9[EnvironmentSatisfaction],Table9[Id_EnviromentSatisfaction])</f>
        <v>ES003</v>
      </c>
      <c r="Q298">
        <v>3</v>
      </c>
      <c r="R298" t="str">
        <f>_xlfn.XLOOKUP(Table1[[#This Row],[EnvironmentSatisfaction]],Table9[EnvironmentSatisfaction],Table9[Deskripsi])</f>
        <v>High</v>
      </c>
      <c r="S298" t="str">
        <f>_xlfn.XLOOKUP(Table1[[#This Row],[Gender]],Table10[Gender],Table10[Id_Gender])</f>
        <v>G002</v>
      </c>
      <c r="T298" t="s">
        <v>46</v>
      </c>
      <c r="U298">
        <v>54</v>
      </c>
      <c r="V298" t="str">
        <f>_xlfn.XLOOKUP(Table1[[#This Row],[JobInvolvement]],Table11[JobInvolvement],Table11[Id_JobInvolvement])</f>
        <v>JI003</v>
      </c>
      <c r="W298">
        <v>3</v>
      </c>
      <c r="X298" t="str">
        <f>_xlfn.XLOOKUP(Table1[[#This Row],[JobLevel]],Table12[JobLevel],Table12[Id_JobLevel])</f>
        <v>JL001</v>
      </c>
      <c r="Y298">
        <v>1</v>
      </c>
      <c r="Z298" t="str">
        <f>_xlfn.XLOOKUP(Table1[[#This Row],[JobRole]],Table13[JobRole],Table13[Id_JobRole])</f>
        <v>JR003</v>
      </c>
      <c r="AA298" t="s">
        <v>49</v>
      </c>
      <c r="AB298" t="str">
        <f>_xlfn.XLOOKUP(Table1[[#This Row],[JobSatisfaction]],Table14[JobSatisfaction],Table14[Id_JobSatisfaction])</f>
        <v>JS003</v>
      </c>
      <c r="AC298">
        <v>3</v>
      </c>
      <c r="AD298" t="str">
        <f>_xlfn.XLOOKUP(Table1[[#This Row],[JobSatisfaction]],Table14[JobSatisfaction],Table14[Deskripsi])</f>
        <v>High</v>
      </c>
      <c r="AE298" t="str">
        <f>_xlfn.XLOOKUP(Table1[[#This Row],[MaritalStatus]],Table15[MaritalStatus],Table15[Id_MaritalStatus])</f>
        <v>MS001</v>
      </c>
      <c r="AF298" t="s">
        <v>55</v>
      </c>
      <c r="AG298">
        <v>1420</v>
      </c>
      <c r="AH298">
        <v>25233</v>
      </c>
      <c r="AI298">
        <v>1</v>
      </c>
      <c r="AJ298" t="str">
        <f>_xlfn.XLOOKUP(Table1[[#This Row],[OverTime]],Table16[OverTime],Table16[Id_OverTime])</f>
        <v>OT002</v>
      </c>
      <c r="AK298" t="s">
        <v>33</v>
      </c>
      <c r="AL298">
        <v>13</v>
      </c>
      <c r="AM298" t="str">
        <f>_xlfn.XLOOKUP(Table1[[#This Row],[PerformanceRating]],Table17[PerformanceRating],Table17[Id_PerformanceRating])</f>
        <v>PR003</v>
      </c>
      <c r="AN298">
        <v>3</v>
      </c>
      <c r="AO298" t="str">
        <f>_xlfn.XLOOKUP(Table1[[#This Row],[PerformanceRating]],Table17[PerformanceRating],Table17[Deskripsi])</f>
        <v>Excellent</v>
      </c>
      <c r="AP298" t="str">
        <f>_xlfn.XLOOKUP(Table1[[#This Row],[RelationshipSatisfaction]],Table18[RelationshipSatisfaction],Table18[Id_RelationshipSatisfaction])</f>
        <v>RS003</v>
      </c>
      <c r="AQ298">
        <v>3</v>
      </c>
      <c r="AR298" t="str">
        <f>_xlfn.XLOOKUP(Table1[[#This Row],[RelationshipSatisfaction]],Table18[RelationshipSatisfaction],Table18[Deskripsi])</f>
        <v>High</v>
      </c>
      <c r="AS298" t="str">
        <f>_xlfn.XLOOKUP(Table1[[#This Row],[StockOptionLevel]],Table19[StockOptionLevel],Table19[Id_StockOptionLevel])</f>
        <v>SOL001</v>
      </c>
      <c r="AT298">
        <v>0</v>
      </c>
      <c r="AU298" t="str">
        <f>_xlfn.XLOOKUP(Table1[[#This Row],[StockOptionLevel]],Table19[StockOptionLevel],Table19[Deskripsi])</f>
        <v>Non-Eligible</v>
      </c>
      <c r="AV298">
        <v>0</v>
      </c>
      <c r="AW298">
        <v>2</v>
      </c>
      <c r="AX298" t="str">
        <f>_xlfn.XLOOKUP(Table1[[#This Row],[WorkLifeBalance]],Table20[WorkLifeBalance],Table20[Id_WorkLifeBalance])</f>
        <v>WLB002</v>
      </c>
      <c r="AY298">
        <v>3</v>
      </c>
      <c r="AZ298" t="str">
        <f>_xlfn.XLOOKUP(Table1[[#This Row],[WorkLifeBalance]],Table20[WorkLifeBalance],Table20[Deskripsi])</f>
        <v>Good</v>
      </c>
      <c r="BA298">
        <v>0</v>
      </c>
      <c r="BB298">
        <v>0</v>
      </c>
      <c r="BC298">
        <v>0</v>
      </c>
      <c r="BD298">
        <v>0</v>
      </c>
    </row>
    <row r="299" spans="1:56" x14ac:dyDescent="0.25">
      <c r="A299">
        <v>35</v>
      </c>
      <c r="B299" t="str">
        <f>_xlfn.XLOOKUP(Table1[[#This Row],[Attrition]],Table2[Attrition],Table2[Id_Attrition])</f>
        <v>A002</v>
      </c>
      <c r="C299" t="s">
        <v>33</v>
      </c>
      <c r="D299" t="str">
        <f>_xlfn.XLOOKUP(Table1[[#This Row],[BusinessTravel]],Table5[BusinessTravel],Table5[Id_BusinessTravel])</f>
        <v>BS001</v>
      </c>
      <c r="E299" t="s">
        <v>34</v>
      </c>
      <c r="F299">
        <v>1232</v>
      </c>
      <c r="G299" t="str">
        <f>_xlfn.XLOOKUP(Table1[[#This Row],[Department]],Table6[Department],Table6[Id_Departement])</f>
        <v>D001</v>
      </c>
      <c r="H299" t="s">
        <v>37</v>
      </c>
      <c r="I299">
        <v>16</v>
      </c>
      <c r="J299" t="str">
        <f>_xlfn.XLOOKUP(Table1[[#This Row],[Education]],Table8[Education],Table8[Id_Education])</f>
        <v>E003</v>
      </c>
      <c r="K299">
        <v>3</v>
      </c>
      <c r="L299" t="str">
        <f>_xlfn.XLOOKUP(Table1[[#This Row],[EducationField]],Table7[EducationField],Table7[Id_EducationField])</f>
        <v>EF004</v>
      </c>
      <c r="M299" t="s">
        <v>43</v>
      </c>
      <c r="N299" t="str">
        <f>_xlfn.XLOOKUP(Table1[[#This Row],[EmployeeNumber]],Table4[EmployeeNumber],Table4[Id_Employee])</f>
        <v>EMP00298</v>
      </c>
      <c r="O299">
        <v>406</v>
      </c>
      <c r="P299" t="str">
        <f>_xlfn.XLOOKUP(Table1[[#This Row],[EnvironmentSatisfaction]],Table9[EnvironmentSatisfaction],Table9[Id_EnviromentSatisfaction])</f>
        <v>ES003</v>
      </c>
      <c r="Q299">
        <v>3</v>
      </c>
      <c r="R299" t="str">
        <f>_xlfn.XLOOKUP(Table1[[#This Row],[EnvironmentSatisfaction]],Table9[EnvironmentSatisfaction],Table9[Deskripsi])</f>
        <v>High</v>
      </c>
      <c r="S299" t="str">
        <f>_xlfn.XLOOKUP(Table1[[#This Row],[Gender]],Table10[Gender],Table10[Id_Gender])</f>
        <v>G002</v>
      </c>
      <c r="T299" t="s">
        <v>46</v>
      </c>
      <c r="U299">
        <v>96</v>
      </c>
      <c r="V299" t="str">
        <f>_xlfn.XLOOKUP(Table1[[#This Row],[JobInvolvement]],Table11[JobInvolvement],Table11[Id_JobInvolvement])</f>
        <v>JI003</v>
      </c>
      <c r="W299">
        <v>3</v>
      </c>
      <c r="X299" t="str">
        <f>_xlfn.XLOOKUP(Table1[[#This Row],[JobLevel]],Table12[JobLevel],Table12[Id_JobLevel])</f>
        <v>JL003</v>
      </c>
      <c r="Y299">
        <v>3</v>
      </c>
      <c r="Z299" t="str">
        <f>_xlfn.XLOOKUP(Table1[[#This Row],[JobRole]],Table13[JobRole],Table13[Id_JobRole])</f>
        <v>JR001</v>
      </c>
      <c r="AA299" t="s">
        <v>47</v>
      </c>
      <c r="AB299" t="str">
        <f>_xlfn.XLOOKUP(Table1[[#This Row],[JobSatisfaction]],Table14[JobSatisfaction],Table14[Id_JobSatisfaction])</f>
        <v>JS002</v>
      </c>
      <c r="AC299">
        <v>2</v>
      </c>
      <c r="AD299" t="str">
        <f>_xlfn.XLOOKUP(Table1[[#This Row],[JobSatisfaction]],Table14[JobSatisfaction],Table14[Deskripsi])</f>
        <v>Medium</v>
      </c>
      <c r="AE299" t="str">
        <f>_xlfn.XLOOKUP(Table1[[#This Row],[MaritalStatus]],Table15[MaritalStatus],Table15[Id_MaritalStatus])</f>
        <v>MS002</v>
      </c>
      <c r="AF299" t="s">
        <v>56</v>
      </c>
      <c r="AG299">
        <v>8020</v>
      </c>
      <c r="AH299">
        <v>5100</v>
      </c>
      <c r="AI299">
        <v>0</v>
      </c>
      <c r="AJ299" t="str">
        <f>_xlfn.XLOOKUP(Table1[[#This Row],[OverTime]],Table16[OverTime],Table16[Id_OverTime])</f>
        <v>OT002</v>
      </c>
      <c r="AK299" t="s">
        <v>33</v>
      </c>
      <c r="AL299">
        <v>15</v>
      </c>
      <c r="AM299" t="str">
        <f>_xlfn.XLOOKUP(Table1[[#This Row],[PerformanceRating]],Table17[PerformanceRating],Table17[Id_PerformanceRating])</f>
        <v>PR003</v>
      </c>
      <c r="AN299">
        <v>3</v>
      </c>
      <c r="AO299" t="str">
        <f>_xlfn.XLOOKUP(Table1[[#This Row],[PerformanceRating]],Table17[PerformanceRating],Table17[Deskripsi])</f>
        <v>Excellent</v>
      </c>
      <c r="AP299" t="str">
        <f>_xlfn.XLOOKUP(Table1[[#This Row],[RelationshipSatisfaction]],Table18[RelationshipSatisfaction],Table18[Id_RelationshipSatisfaction])</f>
        <v>RS003</v>
      </c>
      <c r="AQ299">
        <v>3</v>
      </c>
      <c r="AR299" t="str">
        <f>_xlfn.XLOOKUP(Table1[[#This Row],[RelationshipSatisfaction]],Table18[RelationshipSatisfaction],Table18[Deskripsi])</f>
        <v>High</v>
      </c>
      <c r="AS299" t="str">
        <f>_xlfn.XLOOKUP(Table1[[#This Row],[StockOptionLevel]],Table19[StockOptionLevel],Table19[Id_StockOptionLevel])</f>
        <v>SOL003</v>
      </c>
      <c r="AT299">
        <v>2</v>
      </c>
      <c r="AU299" t="str">
        <f>_xlfn.XLOOKUP(Table1[[#This Row],[StockOptionLevel]],Table19[StockOptionLevel],Table19[Deskripsi])</f>
        <v>Intermediate</v>
      </c>
      <c r="AV299">
        <v>12</v>
      </c>
      <c r="AW299">
        <v>3</v>
      </c>
      <c r="AX299" t="str">
        <f>_xlfn.XLOOKUP(Table1[[#This Row],[WorkLifeBalance]],Table20[WorkLifeBalance],Table20[Id_WorkLifeBalance])</f>
        <v>WLB003</v>
      </c>
      <c r="AY299">
        <v>2</v>
      </c>
      <c r="AZ299" t="str">
        <f>_xlfn.XLOOKUP(Table1[[#This Row],[WorkLifeBalance]],Table20[WorkLifeBalance],Table20[Deskripsi])</f>
        <v>Better</v>
      </c>
      <c r="BA299">
        <v>11</v>
      </c>
      <c r="BB299">
        <v>9</v>
      </c>
      <c r="BC299">
        <v>6</v>
      </c>
      <c r="BD299">
        <v>9</v>
      </c>
    </row>
    <row r="300" spans="1:56" x14ac:dyDescent="0.25">
      <c r="A300">
        <v>36</v>
      </c>
      <c r="B300" t="str">
        <f>_xlfn.XLOOKUP(Table1[[#This Row],[Attrition]],Table2[Attrition],Table2[Id_Attrition])</f>
        <v>A002</v>
      </c>
      <c r="C300" t="s">
        <v>33</v>
      </c>
      <c r="D300" t="str">
        <f>_xlfn.XLOOKUP(Table1[[#This Row],[BusinessTravel]],Table5[BusinessTravel],Table5[Id_BusinessTravel])</f>
        <v>BS002</v>
      </c>
      <c r="E300" t="s">
        <v>35</v>
      </c>
      <c r="F300">
        <v>566</v>
      </c>
      <c r="G300" t="str">
        <f>_xlfn.XLOOKUP(Table1[[#This Row],[Department]],Table6[Department],Table6[Id_Departement])</f>
        <v>D002</v>
      </c>
      <c r="H300" t="s">
        <v>38</v>
      </c>
      <c r="I300">
        <v>18</v>
      </c>
      <c r="J300" t="str">
        <f>_xlfn.XLOOKUP(Table1[[#This Row],[Education]],Table8[Education],Table8[Id_Education])</f>
        <v>E004</v>
      </c>
      <c r="K300">
        <v>4</v>
      </c>
      <c r="L300" t="str">
        <f>_xlfn.XLOOKUP(Table1[[#This Row],[EducationField]],Table7[EducationField],Table7[Id_EducationField])</f>
        <v>EF001</v>
      </c>
      <c r="M300" t="s">
        <v>40</v>
      </c>
      <c r="N300" t="str">
        <f>_xlfn.XLOOKUP(Table1[[#This Row],[EmployeeNumber]],Table4[EmployeeNumber],Table4[Id_Employee])</f>
        <v>EMP00299</v>
      </c>
      <c r="O300">
        <v>407</v>
      </c>
      <c r="P300" t="str">
        <f>_xlfn.XLOOKUP(Table1[[#This Row],[EnvironmentSatisfaction]],Table9[EnvironmentSatisfaction],Table9[Id_EnviromentSatisfaction])</f>
        <v>ES003</v>
      </c>
      <c r="Q300">
        <v>3</v>
      </c>
      <c r="R300" t="str">
        <f>_xlfn.XLOOKUP(Table1[[#This Row],[EnvironmentSatisfaction]],Table9[EnvironmentSatisfaction],Table9[Deskripsi])</f>
        <v>High</v>
      </c>
      <c r="S300" t="str">
        <f>_xlfn.XLOOKUP(Table1[[#This Row],[Gender]],Table10[Gender],Table10[Id_Gender])</f>
        <v>G002</v>
      </c>
      <c r="T300" t="s">
        <v>46</v>
      </c>
      <c r="U300">
        <v>81</v>
      </c>
      <c r="V300" t="str">
        <f>_xlfn.XLOOKUP(Table1[[#This Row],[JobInvolvement]],Table11[JobInvolvement],Table11[Id_JobInvolvement])</f>
        <v>JI004</v>
      </c>
      <c r="W300">
        <v>4</v>
      </c>
      <c r="X300" t="str">
        <f>_xlfn.XLOOKUP(Table1[[#This Row],[JobLevel]],Table12[JobLevel],Table12[Id_JobLevel])</f>
        <v>JL001</v>
      </c>
      <c r="Y300">
        <v>1</v>
      </c>
      <c r="Z300" t="str">
        <f>_xlfn.XLOOKUP(Table1[[#This Row],[JobRole]],Table13[JobRole],Table13[Id_JobRole])</f>
        <v>JR003</v>
      </c>
      <c r="AA300" t="s">
        <v>49</v>
      </c>
      <c r="AB300" t="str">
        <f>_xlfn.XLOOKUP(Table1[[#This Row],[JobSatisfaction]],Table14[JobSatisfaction],Table14[Id_JobSatisfaction])</f>
        <v>JS004</v>
      </c>
      <c r="AC300">
        <v>4</v>
      </c>
      <c r="AD300" t="str">
        <f>_xlfn.XLOOKUP(Table1[[#This Row],[JobSatisfaction]],Table14[JobSatisfaction],Table14[Deskripsi])</f>
        <v>Very High</v>
      </c>
      <c r="AE300" t="str">
        <f>_xlfn.XLOOKUP(Table1[[#This Row],[MaritalStatus]],Table15[MaritalStatus],Table15[Id_MaritalStatus])</f>
        <v>MS002</v>
      </c>
      <c r="AF300" t="s">
        <v>56</v>
      </c>
      <c r="AG300">
        <v>3688</v>
      </c>
      <c r="AH300">
        <v>7122</v>
      </c>
      <c r="AI300">
        <v>4</v>
      </c>
      <c r="AJ300" t="str">
        <f>_xlfn.XLOOKUP(Table1[[#This Row],[OverTime]],Table16[OverTime],Table16[Id_OverTime])</f>
        <v>OT002</v>
      </c>
      <c r="AK300" t="s">
        <v>33</v>
      </c>
      <c r="AL300">
        <v>18</v>
      </c>
      <c r="AM300" t="str">
        <f>_xlfn.XLOOKUP(Table1[[#This Row],[PerformanceRating]],Table17[PerformanceRating],Table17[Id_PerformanceRating])</f>
        <v>PR003</v>
      </c>
      <c r="AN300">
        <v>3</v>
      </c>
      <c r="AO300" t="str">
        <f>_xlfn.XLOOKUP(Table1[[#This Row],[PerformanceRating]],Table17[PerformanceRating],Table17[Deskripsi])</f>
        <v>Excellent</v>
      </c>
      <c r="AP300" t="str">
        <f>_xlfn.XLOOKUP(Table1[[#This Row],[RelationshipSatisfaction]],Table18[RelationshipSatisfaction],Table18[Id_RelationshipSatisfaction])</f>
        <v>RS004</v>
      </c>
      <c r="AQ300">
        <v>4</v>
      </c>
      <c r="AR300" t="str">
        <f>_xlfn.XLOOKUP(Table1[[#This Row],[RelationshipSatisfaction]],Table18[RelationshipSatisfaction],Table18[Deskripsi])</f>
        <v>Very High</v>
      </c>
      <c r="AS300" t="str">
        <f>_xlfn.XLOOKUP(Table1[[#This Row],[StockOptionLevel]],Table19[StockOptionLevel],Table19[Id_StockOptionLevel])</f>
        <v>SOL003</v>
      </c>
      <c r="AT300">
        <v>2</v>
      </c>
      <c r="AU300" t="str">
        <f>_xlfn.XLOOKUP(Table1[[#This Row],[StockOptionLevel]],Table19[StockOptionLevel],Table19[Deskripsi])</f>
        <v>Intermediate</v>
      </c>
      <c r="AV300">
        <v>4</v>
      </c>
      <c r="AW300">
        <v>2</v>
      </c>
      <c r="AX300" t="str">
        <f>_xlfn.XLOOKUP(Table1[[#This Row],[WorkLifeBalance]],Table20[WorkLifeBalance],Table20[Id_WorkLifeBalance])</f>
        <v>WLB002</v>
      </c>
      <c r="AY300">
        <v>3</v>
      </c>
      <c r="AZ300" t="str">
        <f>_xlfn.XLOOKUP(Table1[[#This Row],[WorkLifeBalance]],Table20[WorkLifeBalance],Table20[Deskripsi])</f>
        <v>Good</v>
      </c>
      <c r="BA300">
        <v>1</v>
      </c>
      <c r="BB300">
        <v>0</v>
      </c>
      <c r="BC300">
        <v>0</v>
      </c>
      <c r="BD300">
        <v>0</v>
      </c>
    </row>
    <row r="301" spans="1:56" x14ac:dyDescent="0.25">
      <c r="A301">
        <v>51</v>
      </c>
      <c r="B301" t="str">
        <f>_xlfn.XLOOKUP(Table1[[#This Row],[Attrition]],Table2[Attrition],Table2[Id_Attrition])</f>
        <v>A002</v>
      </c>
      <c r="C301" t="s">
        <v>33</v>
      </c>
      <c r="D301" t="str">
        <f>_xlfn.XLOOKUP(Table1[[#This Row],[BusinessTravel]],Table5[BusinessTravel],Table5[Id_BusinessTravel])</f>
        <v>BS001</v>
      </c>
      <c r="E301" t="s">
        <v>34</v>
      </c>
      <c r="F301">
        <v>1302</v>
      </c>
      <c r="G301" t="str">
        <f>_xlfn.XLOOKUP(Table1[[#This Row],[Department]],Table6[Department],Table6[Id_Departement])</f>
        <v>D002</v>
      </c>
      <c r="H301" t="s">
        <v>38</v>
      </c>
      <c r="I301">
        <v>2</v>
      </c>
      <c r="J301" t="str">
        <f>_xlfn.XLOOKUP(Table1[[#This Row],[Education]],Table8[Education],Table8[Id_Education])</f>
        <v>E003</v>
      </c>
      <c r="K301">
        <v>3</v>
      </c>
      <c r="L301" t="str">
        <f>_xlfn.XLOOKUP(Table1[[#This Row],[EducationField]],Table7[EducationField],Table7[Id_EducationField])</f>
        <v>EF003</v>
      </c>
      <c r="M301" t="s">
        <v>42</v>
      </c>
      <c r="N301" t="str">
        <f>_xlfn.XLOOKUP(Table1[[#This Row],[EmployeeNumber]],Table4[EmployeeNumber],Table4[Id_Employee])</f>
        <v>EMP00300</v>
      </c>
      <c r="O301">
        <v>408</v>
      </c>
      <c r="P301" t="str">
        <f>_xlfn.XLOOKUP(Table1[[#This Row],[EnvironmentSatisfaction]],Table9[EnvironmentSatisfaction],Table9[Id_EnviromentSatisfaction])</f>
        <v>ES004</v>
      </c>
      <c r="Q301">
        <v>4</v>
      </c>
      <c r="R301" t="str">
        <f>_xlfn.XLOOKUP(Table1[[#This Row],[EnvironmentSatisfaction]],Table9[EnvironmentSatisfaction],Table9[Deskripsi])</f>
        <v>Very High</v>
      </c>
      <c r="S301" t="str">
        <f>_xlfn.XLOOKUP(Table1[[#This Row],[Gender]],Table10[Gender],Table10[Id_Gender])</f>
        <v>G002</v>
      </c>
      <c r="T301" t="s">
        <v>46</v>
      </c>
      <c r="U301">
        <v>84</v>
      </c>
      <c r="V301" t="str">
        <f>_xlfn.XLOOKUP(Table1[[#This Row],[JobInvolvement]],Table11[JobInvolvement],Table11[Id_JobInvolvement])</f>
        <v>JI001</v>
      </c>
      <c r="W301">
        <v>1</v>
      </c>
      <c r="X301" t="str">
        <f>_xlfn.XLOOKUP(Table1[[#This Row],[JobLevel]],Table12[JobLevel],Table12[Id_JobLevel])</f>
        <v>JL002</v>
      </c>
      <c r="Y301">
        <v>2</v>
      </c>
      <c r="Z301" t="str">
        <f>_xlfn.XLOOKUP(Table1[[#This Row],[JobRole]],Table13[JobRole],Table13[Id_JobRole])</f>
        <v>JR004</v>
      </c>
      <c r="AA301" t="s">
        <v>50</v>
      </c>
      <c r="AB301" t="str">
        <f>_xlfn.XLOOKUP(Table1[[#This Row],[JobSatisfaction]],Table14[JobSatisfaction],Table14[Id_JobSatisfaction])</f>
        <v>JS002</v>
      </c>
      <c r="AC301">
        <v>2</v>
      </c>
      <c r="AD301" t="str">
        <f>_xlfn.XLOOKUP(Table1[[#This Row],[JobSatisfaction]],Table14[JobSatisfaction],Table14[Deskripsi])</f>
        <v>Medium</v>
      </c>
      <c r="AE301" t="str">
        <f>_xlfn.XLOOKUP(Table1[[#This Row],[MaritalStatus]],Table15[MaritalStatus],Table15[Id_MaritalStatus])</f>
        <v>MS003</v>
      </c>
      <c r="AF301" t="s">
        <v>57</v>
      </c>
      <c r="AG301">
        <v>5482</v>
      </c>
      <c r="AH301">
        <v>16321</v>
      </c>
      <c r="AI301">
        <v>5</v>
      </c>
      <c r="AJ301" t="str">
        <f>_xlfn.XLOOKUP(Table1[[#This Row],[OverTime]],Table16[OverTime],Table16[Id_OverTime])</f>
        <v>OT002</v>
      </c>
      <c r="AK301" t="s">
        <v>33</v>
      </c>
      <c r="AL301">
        <v>18</v>
      </c>
      <c r="AM301" t="str">
        <f>_xlfn.XLOOKUP(Table1[[#This Row],[PerformanceRating]],Table17[PerformanceRating],Table17[Id_PerformanceRating])</f>
        <v>PR003</v>
      </c>
      <c r="AN301">
        <v>3</v>
      </c>
      <c r="AO301" t="str">
        <f>_xlfn.XLOOKUP(Table1[[#This Row],[PerformanceRating]],Table17[PerformanceRating],Table17[Deskripsi])</f>
        <v>Excellent</v>
      </c>
      <c r="AP301" t="str">
        <f>_xlfn.XLOOKUP(Table1[[#This Row],[RelationshipSatisfaction]],Table18[RelationshipSatisfaction],Table18[Id_RelationshipSatisfaction])</f>
        <v>RS004</v>
      </c>
      <c r="AQ301">
        <v>4</v>
      </c>
      <c r="AR301" t="str">
        <f>_xlfn.XLOOKUP(Table1[[#This Row],[RelationshipSatisfaction]],Table18[RelationshipSatisfaction],Table18[Deskripsi])</f>
        <v>Very High</v>
      </c>
      <c r="AS301" t="str">
        <f>_xlfn.XLOOKUP(Table1[[#This Row],[StockOptionLevel]],Table19[StockOptionLevel],Table19[Id_StockOptionLevel])</f>
        <v>SOL002</v>
      </c>
      <c r="AT301">
        <v>1</v>
      </c>
      <c r="AU301" t="str">
        <f>_xlfn.XLOOKUP(Table1[[#This Row],[StockOptionLevel]],Table19[StockOptionLevel],Table19[Deskripsi])</f>
        <v>Standard</v>
      </c>
      <c r="AV301">
        <v>13</v>
      </c>
      <c r="AW301">
        <v>3</v>
      </c>
      <c r="AX301" t="str">
        <f>_xlfn.XLOOKUP(Table1[[#This Row],[WorkLifeBalance]],Table20[WorkLifeBalance],Table20[Id_WorkLifeBalance])</f>
        <v>WLB002</v>
      </c>
      <c r="AY301">
        <v>3</v>
      </c>
      <c r="AZ301" t="str">
        <f>_xlfn.XLOOKUP(Table1[[#This Row],[WorkLifeBalance]],Table20[WorkLifeBalance],Table20[Deskripsi])</f>
        <v>Good</v>
      </c>
      <c r="BA301">
        <v>4</v>
      </c>
      <c r="BB301">
        <v>1</v>
      </c>
      <c r="BC301">
        <v>1</v>
      </c>
      <c r="BD301">
        <v>2</v>
      </c>
    </row>
    <row r="302" spans="1:56" x14ac:dyDescent="0.25">
      <c r="A302">
        <v>41</v>
      </c>
      <c r="B302" t="str">
        <f>_xlfn.XLOOKUP(Table1[[#This Row],[Attrition]],Table2[Attrition],Table2[Id_Attrition])</f>
        <v>A002</v>
      </c>
      <c r="C302" t="s">
        <v>33</v>
      </c>
      <c r="D302" t="str">
        <f>_xlfn.XLOOKUP(Table1[[#This Row],[BusinessTravel]],Table5[BusinessTravel],Table5[Id_BusinessTravel])</f>
        <v>BS001</v>
      </c>
      <c r="E302" t="s">
        <v>34</v>
      </c>
      <c r="F302">
        <v>334</v>
      </c>
      <c r="G302" t="str">
        <f>_xlfn.XLOOKUP(Table1[[#This Row],[Department]],Table6[Department],Table6[Id_Departement])</f>
        <v>D001</v>
      </c>
      <c r="H302" t="s">
        <v>37</v>
      </c>
      <c r="I302">
        <v>2</v>
      </c>
      <c r="J302" t="str">
        <f>_xlfn.XLOOKUP(Table1[[#This Row],[Education]],Table8[Education],Table8[Id_Education])</f>
        <v>E004</v>
      </c>
      <c r="K302">
        <v>4</v>
      </c>
      <c r="L302" t="str">
        <f>_xlfn.XLOOKUP(Table1[[#This Row],[EducationField]],Table7[EducationField],Table7[Id_EducationField])</f>
        <v>EF001</v>
      </c>
      <c r="M302" t="s">
        <v>40</v>
      </c>
      <c r="N302" t="str">
        <f>_xlfn.XLOOKUP(Table1[[#This Row],[EmployeeNumber]],Table4[EmployeeNumber],Table4[Id_Employee])</f>
        <v>EMP00301</v>
      </c>
      <c r="O302">
        <v>410</v>
      </c>
      <c r="P302" t="str">
        <f>_xlfn.XLOOKUP(Table1[[#This Row],[EnvironmentSatisfaction]],Table9[EnvironmentSatisfaction],Table9[Id_EnviromentSatisfaction])</f>
        <v>ES004</v>
      </c>
      <c r="Q302">
        <v>4</v>
      </c>
      <c r="R302" t="str">
        <f>_xlfn.XLOOKUP(Table1[[#This Row],[EnvironmentSatisfaction]],Table9[EnvironmentSatisfaction],Table9[Deskripsi])</f>
        <v>Very High</v>
      </c>
      <c r="S302" t="str">
        <f>_xlfn.XLOOKUP(Table1[[#This Row],[Gender]],Table10[Gender],Table10[Id_Gender])</f>
        <v>G002</v>
      </c>
      <c r="T302" t="s">
        <v>46</v>
      </c>
      <c r="U302">
        <v>88</v>
      </c>
      <c r="V302" t="str">
        <f>_xlfn.XLOOKUP(Table1[[#This Row],[JobInvolvement]],Table11[JobInvolvement],Table11[Id_JobInvolvement])</f>
        <v>JI003</v>
      </c>
      <c r="W302">
        <v>3</v>
      </c>
      <c r="X302" t="str">
        <f>_xlfn.XLOOKUP(Table1[[#This Row],[JobLevel]],Table12[JobLevel],Table12[Id_JobLevel])</f>
        <v>JL004</v>
      </c>
      <c r="Y302">
        <v>4</v>
      </c>
      <c r="Z302" t="str">
        <f>_xlfn.XLOOKUP(Table1[[#This Row],[JobRole]],Table13[JobRole],Table13[Id_JobRole])</f>
        <v>JR006</v>
      </c>
      <c r="AA302" t="s">
        <v>52</v>
      </c>
      <c r="AB302" t="str">
        <f>_xlfn.XLOOKUP(Table1[[#This Row],[JobSatisfaction]],Table14[JobSatisfaction],Table14[Id_JobSatisfaction])</f>
        <v>JS002</v>
      </c>
      <c r="AC302">
        <v>2</v>
      </c>
      <c r="AD302" t="str">
        <f>_xlfn.XLOOKUP(Table1[[#This Row],[JobSatisfaction]],Table14[JobSatisfaction],Table14[Deskripsi])</f>
        <v>Medium</v>
      </c>
      <c r="AE302" t="str">
        <f>_xlfn.XLOOKUP(Table1[[#This Row],[MaritalStatus]],Table15[MaritalStatus],Table15[Id_MaritalStatus])</f>
        <v>MS001</v>
      </c>
      <c r="AF302" t="s">
        <v>55</v>
      </c>
      <c r="AG302">
        <v>16015</v>
      </c>
      <c r="AH302">
        <v>15896</v>
      </c>
      <c r="AI302">
        <v>1</v>
      </c>
      <c r="AJ302" t="str">
        <f>_xlfn.XLOOKUP(Table1[[#This Row],[OverTime]],Table16[OverTime],Table16[Id_OverTime])</f>
        <v>OT002</v>
      </c>
      <c r="AK302" t="s">
        <v>33</v>
      </c>
      <c r="AL302">
        <v>19</v>
      </c>
      <c r="AM302" t="str">
        <f>_xlfn.XLOOKUP(Table1[[#This Row],[PerformanceRating]],Table17[PerformanceRating],Table17[Id_PerformanceRating])</f>
        <v>PR003</v>
      </c>
      <c r="AN302">
        <v>3</v>
      </c>
      <c r="AO302" t="str">
        <f>_xlfn.XLOOKUP(Table1[[#This Row],[PerformanceRating]],Table17[PerformanceRating],Table17[Deskripsi])</f>
        <v>Excellent</v>
      </c>
      <c r="AP302" t="str">
        <f>_xlfn.XLOOKUP(Table1[[#This Row],[RelationshipSatisfaction]],Table18[RelationshipSatisfaction],Table18[Id_RelationshipSatisfaction])</f>
        <v>RS002</v>
      </c>
      <c r="AQ302">
        <v>2</v>
      </c>
      <c r="AR302" t="str">
        <f>_xlfn.XLOOKUP(Table1[[#This Row],[RelationshipSatisfaction]],Table18[RelationshipSatisfaction],Table18[Deskripsi])</f>
        <v>Medium</v>
      </c>
      <c r="AS302" t="str">
        <f>_xlfn.XLOOKUP(Table1[[#This Row],[StockOptionLevel]],Table19[StockOptionLevel],Table19[Id_StockOptionLevel])</f>
        <v>SOL001</v>
      </c>
      <c r="AT302">
        <v>0</v>
      </c>
      <c r="AU302" t="str">
        <f>_xlfn.XLOOKUP(Table1[[#This Row],[StockOptionLevel]],Table19[StockOptionLevel],Table19[Deskripsi])</f>
        <v>Non-Eligible</v>
      </c>
      <c r="AV302">
        <v>22</v>
      </c>
      <c r="AW302">
        <v>2</v>
      </c>
      <c r="AX302" t="str">
        <f>_xlfn.XLOOKUP(Table1[[#This Row],[WorkLifeBalance]],Table20[WorkLifeBalance],Table20[Id_WorkLifeBalance])</f>
        <v>WLB002</v>
      </c>
      <c r="AY302">
        <v>3</v>
      </c>
      <c r="AZ302" t="str">
        <f>_xlfn.XLOOKUP(Table1[[#This Row],[WorkLifeBalance]],Table20[WorkLifeBalance],Table20[Deskripsi])</f>
        <v>Good</v>
      </c>
      <c r="BA302">
        <v>22</v>
      </c>
      <c r="BB302">
        <v>10</v>
      </c>
      <c r="BC302">
        <v>0</v>
      </c>
      <c r="BD302">
        <v>4</v>
      </c>
    </row>
    <row r="303" spans="1:56" x14ac:dyDescent="0.25">
      <c r="A303">
        <v>18</v>
      </c>
      <c r="B303" t="str">
        <f>_xlfn.XLOOKUP(Table1[[#This Row],[Attrition]],Table2[Attrition],Table2[Id_Attrition])</f>
        <v>A002</v>
      </c>
      <c r="C303" t="s">
        <v>33</v>
      </c>
      <c r="D303" t="str">
        <f>_xlfn.XLOOKUP(Table1[[#This Row],[BusinessTravel]],Table5[BusinessTravel],Table5[Id_BusinessTravel])</f>
        <v>BS001</v>
      </c>
      <c r="E303" t="s">
        <v>34</v>
      </c>
      <c r="F303">
        <v>812</v>
      </c>
      <c r="G303" t="str">
        <f>_xlfn.XLOOKUP(Table1[[#This Row],[Department]],Table6[Department],Table6[Id_Departement])</f>
        <v>D001</v>
      </c>
      <c r="H303" t="s">
        <v>37</v>
      </c>
      <c r="I303">
        <v>10</v>
      </c>
      <c r="J303" t="str">
        <f>_xlfn.XLOOKUP(Table1[[#This Row],[Education]],Table8[Education],Table8[Id_Education])</f>
        <v>E003</v>
      </c>
      <c r="K303">
        <v>3</v>
      </c>
      <c r="L303" t="str">
        <f>_xlfn.XLOOKUP(Table1[[#This Row],[EducationField]],Table7[EducationField],Table7[Id_EducationField])</f>
        <v>EF003</v>
      </c>
      <c r="M303" t="s">
        <v>42</v>
      </c>
      <c r="N303" t="str">
        <f>_xlfn.XLOOKUP(Table1[[#This Row],[EmployeeNumber]],Table4[EmployeeNumber],Table4[Id_Employee])</f>
        <v>EMP00302</v>
      </c>
      <c r="O303">
        <v>411</v>
      </c>
      <c r="P303" t="str">
        <f>_xlfn.XLOOKUP(Table1[[#This Row],[EnvironmentSatisfaction]],Table9[EnvironmentSatisfaction],Table9[Id_EnviromentSatisfaction])</f>
        <v>ES004</v>
      </c>
      <c r="Q303">
        <v>4</v>
      </c>
      <c r="R303" t="str">
        <f>_xlfn.XLOOKUP(Table1[[#This Row],[EnvironmentSatisfaction]],Table9[EnvironmentSatisfaction],Table9[Deskripsi])</f>
        <v>Very High</v>
      </c>
      <c r="S303" t="str">
        <f>_xlfn.XLOOKUP(Table1[[#This Row],[Gender]],Table10[Gender],Table10[Id_Gender])</f>
        <v>G001</v>
      </c>
      <c r="T303" t="s">
        <v>45</v>
      </c>
      <c r="U303">
        <v>69</v>
      </c>
      <c r="V303" t="str">
        <f>_xlfn.XLOOKUP(Table1[[#This Row],[JobInvolvement]],Table11[JobInvolvement],Table11[Id_JobInvolvement])</f>
        <v>JI002</v>
      </c>
      <c r="W303">
        <v>2</v>
      </c>
      <c r="X303" t="str">
        <f>_xlfn.XLOOKUP(Table1[[#This Row],[JobLevel]],Table12[JobLevel],Table12[Id_JobLevel])</f>
        <v>JL001</v>
      </c>
      <c r="Y303">
        <v>1</v>
      </c>
      <c r="Z303" t="str">
        <f>_xlfn.XLOOKUP(Table1[[#This Row],[JobRole]],Table13[JobRole],Table13[Id_JobRole])</f>
        <v>JR007</v>
      </c>
      <c r="AA303" t="s">
        <v>53</v>
      </c>
      <c r="AB303" t="str">
        <f>_xlfn.XLOOKUP(Table1[[#This Row],[JobSatisfaction]],Table14[JobSatisfaction],Table14[Id_JobSatisfaction])</f>
        <v>JS003</v>
      </c>
      <c r="AC303">
        <v>3</v>
      </c>
      <c r="AD303" t="str">
        <f>_xlfn.XLOOKUP(Table1[[#This Row],[JobSatisfaction]],Table14[JobSatisfaction],Table14[Deskripsi])</f>
        <v>High</v>
      </c>
      <c r="AE303" t="str">
        <f>_xlfn.XLOOKUP(Table1[[#This Row],[MaritalStatus]],Table15[MaritalStatus],Table15[Id_MaritalStatus])</f>
        <v>MS001</v>
      </c>
      <c r="AF303" t="s">
        <v>55</v>
      </c>
      <c r="AG303">
        <v>1200</v>
      </c>
      <c r="AH303">
        <v>9724</v>
      </c>
      <c r="AI303">
        <v>1</v>
      </c>
      <c r="AJ303" t="str">
        <f>_xlfn.XLOOKUP(Table1[[#This Row],[OverTime]],Table16[OverTime],Table16[Id_OverTime])</f>
        <v>OT002</v>
      </c>
      <c r="AK303" t="s">
        <v>33</v>
      </c>
      <c r="AL303">
        <v>12</v>
      </c>
      <c r="AM303" t="str">
        <f>_xlfn.XLOOKUP(Table1[[#This Row],[PerformanceRating]],Table17[PerformanceRating],Table17[Id_PerformanceRating])</f>
        <v>PR003</v>
      </c>
      <c r="AN303">
        <v>3</v>
      </c>
      <c r="AO303" t="str">
        <f>_xlfn.XLOOKUP(Table1[[#This Row],[PerformanceRating]],Table17[PerformanceRating],Table17[Deskripsi])</f>
        <v>Excellent</v>
      </c>
      <c r="AP303" t="str">
        <f>_xlfn.XLOOKUP(Table1[[#This Row],[RelationshipSatisfaction]],Table18[RelationshipSatisfaction],Table18[Id_RelationshipSatisfaction])</f>
        <v>RS001</v>
      </c>
      <c r="AQ303">
        <v>1</v>
      </c>
      <c r="AR303" t="str">
        <f>_xlfn.XLOOKUP(Table1[[#This Row],[RelationshipSatisfaction]],Table18[RelationshipSatisfaction],Table18[Deskripsi])</f>
        <v>Low</v>
      </c>
      <c r="AS303" t="str">
        <f>_xlfn.XLOOKUP(Table1[[#This Row],[StockOptionLevel]],Table19[StockOptionLevel],Table19[Id_StockOptionLevel])</f>
        <v>SOL001</v>
      </c>
      <c r="AT303">
        <v>0</v>
      </c>
      <c r="AU303" t="str">
        <f>_xlfn.XLOOKUP(Table1[[#This Row],[StockOptionLevel]],Table19[StockOptionLevel],Table19[Deskripsi])</f>
        <v>Non-Eligible</v>
      </c>
      <c r="AV303">
        <v>0</v>
      </c>
      <c r="AW303">
        <v>2</v>
      </c>
      <c r="AX303" t="str">
        <f>_xlfn.XLOOKUP(Table1[[#This Row],[WorkLifeBalance]],Table20[WorkLifeBalance],Table20[Id_WorkLifeBalance])</f>
        <v>WLB002</v>
      </c>
      <c r="AY303">
        <v>3</v>
      </c>
      <c r="AZ303" t="str">
        <f>_xlfn.XLOOKUP(Table1[[#This Row],[WorkLifeBalance]],Table20[WorkLifeBalance],Table20[Deskripsi])</f>
        <v>Good</v>
      </c>
      <c r="BA303">
        <v>0</v>
      </c>
      <c r="BB303">
        <v>0</v>
      </c>
      <c r="BC303">
        <v>0</v>
      </c>
      <c r="BD303">
        <v>0</v>
      </c>
    </row>
    <row r="304" spans="1:56" x14ac:dyDescent="0.25">
      <c r="A304">
        <v>28</v>
      </c>
      <c r="B304" t="str">
        <f>_xlfn.XLOOKUP(Table1[[#This Row],[Attrition]],Table2[Attrition],Table2[Id_Attrition])</f>
        <v>A002</v>
      </c>
      <c r="C304" t="s">
        <v>33</v>
      </c>
      <c r="D304" t="str">
        <f>_xlfn.XLOOKUP(Table1[[#This Row],[BusinessTravel]],Table5[BusinessTravel],Table5[Id_BusinessTravel])</f>
        <v>BS001</v>
      </c>
      <c r="E304" t="s">
        <v>34</v>
      </c>
      <c r="F304">
        <v>1476</v>
      </c>
      <c r="G304" t="str">
        <f>_xlfn.XLOOKUP(Table1[[#This Row],[Department]],Table6[Department],Table6[Id_Departement])</f>
        <v>D002</v>
      </c>
      <c r="H304" t="s">
        <v>38</v>
      </c>
      <c r="I304">
        <v>16</v>
      </c>
      <c r="J304" t="str">
        <f>_xlfn.XLOOKUP(Table1[[#This Row],[Education]],Table8[Education],Table8[Id_Education])</f>
        <v>E002</v>
      </c>
      <c r="K304">
        <v>2</v>
      </c>
      <c r="L304" t="str">
        <f>_xlfn.XLOOKUP(Table1[[#This Row],[EducationField]],Table7[EducationField],Table7[Id_EducationField])</f>
        <v>EF003</v>
      </c>
      <c r="M304" t="s">
        <v>42</v>
      </c>
      <c r="N304" t="str">
        <f>_xlfn.XLOOKUP(Table1[[#This Row],[EmployeeNumber]],Table4[EmployeeNumber],Table4[Id_Employee])</f>
        <v>EMP00303</v>
      </c>
      <c r="O304">
        <v>412</v>
      </c>
      <c r="P304" t="str">
        <f>_xlfn.XLOOKUP(Table1[[#This Row],[EnvironmentSatisfaction]],Table9[EnvironmentSatisfaction],Table9[Id_EnviromentSatisfaction])</f>
        <v>ES002</v>
      </c>
      <c r="Q304">
        <v>2</v>
      </c>
      <c r="R304" t="str">
        <f>_xlfn.XLOOKUP(Table1[[#This Row],[EnvironmentSatisfaction]],Table9[EnvironmentSatisfaction],Table9[Deskripsi])</f>
        <v>Medium</v>
      </c>
      <c r="S304" t="str">
        <f>_xlfn.XLOOKUP(Table1[[#This Row],[Gender]],Table10[Gender],Table10[Id_Gender])</f>
        <v>G002</v>
      </c>
      <c r="T304" t="s">
        <v>46</v>
      </c>
      <c r="U304">
        <v>68</v>
      </c>
      <c r="V304" t="str">
        <f>_xlfn.XLOOKUP(Table1[[#This Row],[JobInvolvement]],Table11[JobInvolvement],Table11[Id_JobInvolvement])</f>
        <v>JI004</v>
      </c>
      <c r="W304">
        <v>4</v>
      </c>
      <c r="X304" t="str">
        <f>_xlfn.XLOOKUP(Table1[[#This Row],[JobLevel]],Table12[JobLevel],Table12[Id_JobLevel])</f>
        <v>JL002</v>
      </c>
      <c r="Y304">
        <v>2</v>
      </c>
      <c r="Z304" t="str">
        <f>_xlfn.XLOOKUP(Table1[[#This Row],[JobRole]],Table13[JobRole],Table13[Id_JobRole])</f>
        <v>JR005</v>
      </c>
      <c r="AA304" t="s">
        <v>51</v>
      </c>
      <c r="AB304" t="str">
        <f>_xlfn.XLOOKUP(Table1[[#This Row],[JobSatisfaction]],Table14[JobSatisfaction],Table14[Id_JobSatisfaction])</f>
        <v>JS001</v>
      </c>
      <c r="AC304">
        <v>1</v>
      </c>
      <c r="AD304" t="str">
        <f>_xlfn.XLOOKUP(Table1[[#This Row],[JobSatisfaction]],Table14[JobSatisfaction],Table14[Deskripsi])</f>
        <v>Low</v>
      </c>
      <c r="AE304" t="str">
        <f>_xlfn.XLOOKUP(Table1[[#This Row],[MaritalStatus]],Table15[MaritalStatus],Table15[Id_MaritalStatus])</f>
        <v>MS001</v>
      </c>
      <c r="AF304" t="s">
        <v>55</v>
      </c>
      <c r="AG304">
        <v>5661</v>
      </c>
      <c r="AH304">
        <v>4824</v>
      </c>
      <c r="AI304">
        <v>0</v>
      </c>
      <c r="AJ304" t="str">
        <f>_xlfn.XLOOKUP(Table1[[#This Row],[OverTime]],Table16[OverTime],Table16[Id_OverTime])</f>
        <v>OT002</v>
      </c>
      <c r="AK304" t="s">
        <v>33</v>
      </c>
      <c r="AL304">
        <v>19</v>
      </c>
      <c r="AM304" t="str">
        <f>_xlfn.XLOOKUP(Table1[[#This Row],[PerformanceRating]],Table17[PerformanceRating],Table17[Id_PerformanceRating])</f>
        <v>PR003</v>
      </c>
      <c r="AN304">
        <v>3</v>
      </c>
      <c r="AO304" t="str">
        <f>_xlfn.XLOOKUP(Table1[[#This Row],[PerformanceRating]],Table17[PerformanceRating],Table17[Deskripsi])</f>
        <v>Excellent</v>
      </c>
      <c r="AP304" t="str">
        <f>_xlfn.XLOOKUP(Table1[[#This Row],[RelationshipSatisfaction]],Table18[RelationshipSatisfaction],Table18[Id_RelationshipSatisfaction])</f>
        <v>RS003</v>
      </c>
      <c r="AQ304">
        <v>3</v>
      </c>
      <c r="AR304" t="str">
        <f>_xlfn.XLOOKUP(Table1[[#This Row],[RelationshipSatisfaction]],Table18[RelationshipSatisfaction],Table18[Deskripsi])</f>
        <v>High</v>
      </c>
      <c r="AS304" t="str">
        <f>_xlfn.XLOOKUP(Table1[[#This Row],[StockOptionLevel]],Table19[StockOptionLevel],Table19[Id_StockOptionLevel])</f>
        <v>SOL001</v>
      </c>
      <c r="AT304">
        <v>0</v>
      </c>
      <c r="AU304" t="str">
        <f>_xlfn.XLOOKUP(Table1[[#This Row],[StockOptionLevel]],Table19[StockOptionLevel],Table19[Deskripsi])</f>
        <v>Non-Eligible</v>
      </c>
      <c r="AV304">
        <v>9</v>
      </c>
      <c r="AW304">
        <v>2</v>
      </c>
      <c r="AX304" t="str">
        <f>_xlfn.XLOOKUP(Table1[[#This Row],[WorkLifeBalance]],Table20[WorkLifeBalance],Table20[Id_WorkLifeBalance])</f>
        <v>WLB002</v>
      </c>
      <c r="AY304">
        <v>3</v>
      </c>
      <c r="AZ304" t="str">
        <f>_xlfn.XLOOKUP(Table1[[#This Row],[WorkLifeBalance]],Table20[WorkLifeBalance],Table20[Deskripsi])</f>
        <v>Good</v>
      </c>
      <c r="BA304">
        <v>8</v>
      </c>
      <c r="BB304">
        <v>3</v>
      </c>
      <c r="BC304">
        <v>0</v>
      </c>
      <c r="BD304">
        <v>7</v>
      </c>
    </row>
    <row r="305" spans="1:56" x14ac:dyDescent="0.25">
      <c r="A305">
        <v>31</v>
      </c>
      <c r="B305" t="str">
        <f>_xlfn.XLOOKUP(Table1[[#This Row],[Attrition]],Table2[Attrition],Table2[Id_Attrition])</f>
        <v>A002</v>
      </c>
      <c r="C305" t="s">
        <v>33</v>
      </c>
      <c r="D305" t="str">
        <f>_xlfn.XLOOKUP(Table1[[#This Row],[BusinessTravel]],Table5[BusinessTravel],Table5[Id_BusinessTravel])</f>
        <v>BS001</v>
      </c>
      <c r="E305" t="s">
        <v>34</v>
      </c>
      <c r="F305">
        <v>218</v>
      </c>
      <c r="G305" t="str">
        <f>_xlfn.XLOOKUP(Table1[[#This Row],[Department]],Table6[Department],Table6[Id_Departement])</f>
        <v>D001</v>
      </c>
      <c r="H305" t="s">
        <v>37</v>
      </c>
      <c r="I305">
        <v>7</v>
      </c>
      <c r="J305" t="str">
        <f>_xlfn.XLOOKUP(Table1[[#This Row],[Education]],Table8[Education],Table8[Id_Education])</f>
        <v>E003</v>
      </c>
      <c r="K305">
        <v>3</v>
      </c>
      <c r="L305" t="str">
        <f>_xlfn.XLOOKUP(Table1[[#This Row],[EducationField]],Table7[EducationField],Table7[Id_EducationField])</f>
        <v>EF005</v>
      </c>
      <c r="M305" t="s">
        <v>44</v>
      </c>
      <c r="N305" t="str">
        <f>_xlfn.XLOOKUP(Table1[[#This Row],[EmployeeNumber]],Table4[EmployeeNumber],Table4[Id_Employee])</f>
        <v>EMP00304</v>
      </c>
      <c r="O305">
        <v>416</v>
      </c>
      <c r="P305" t="str">
        <f>_xlfn.XLOOKUP(Table1[[#This Row],[EnvironmentSatisfaction]],Table9[EnvironmentSatisfaction],Table9[Id_EnviromentSatisfaction])</f>
        <v>ES002</v>
      </c>
      <c r="Q305">
        <v>2</v>
      </c>
      <c r="R305" t="str">
        <f>_xlfn.XLOOKUP(Table1[[#This Row],[EnvironmentSatisfaction]],Table9[EnvironmentSatisfaction],Table9[Deskripsi])</f>
        <v>Medium</v>
      </c>
      <c r="S305" t="str">
        <f>_xlfn.XLOOKUP(Table1[[#This Row],[Gender]],Table10[Gender],Table10[Id_Gender])</f>
        <v>G002</v>
      </c>
      <c r="T305" t="s">
        <v>46</v>
      </c>
      <c r="U305">
        <v>100</v>
      </c>
      <c r="V305" t="str">
        <f>_xlfn.XLOOKUP(Table1[[#This Row],[JobInvolvement]],Table11[JobInvolvement],Table11[Id_JobInvolvement])</f>
        <v>JI004</v>
      </c>
      <c r="W305">
        <v>4</v>
      </c>
      <c r="X305" t="str">
        <f>_xlfn.XLOOKUP(Table1[[#This Row],[JobLevel]],Table12[JobLevel],Table12[Id_JobLevel])</f>
        <v>JL002</v>
      </c>
      <c r="Y305">
        <v>2</v>
      </c>
      <c r="Z305" t="str">
        <f>_xlfn.XLOOKUP(Table1[[#This Row],[JobRole]],Table13[JobRole],Table13[Id_JobRole])</f>
        <v>JR001</v>
      </c>
      <c r="AA305" t="s">
        <v>47</v>
      </c>
      <c r="AB305" t="str">
        <f>_xlfn.XLOOKUP(Table1[[#This Row],[JobSatisfaction]],Table14[JobSatisfaction],Table14[Id_JobSatisfaction])</f>
        <v>JS004</v>
      </c>
      <c r="AC305">
        <v>4</v>
      </c>
      <c r="AD305" t="str">
        <f>_xlfn.XLOOKUP(Table1[[#This Row],[JobSatisfaction]],Table14[JobSatisfaction],Table14[Deskripsi])</f>
        <v>Very High</v>
      </c>
      <c r="AE305" t="str">
        <f>_xlfn.XLOOKUP(Table1[[#This Row],[MaritalStatus]],Table15[MaritalStatus],Table15[Id_MaritalStatus])</f>
        <v>MS002</v>
      </c>
      <c r="AF305" t="s">
        <v>56</v>
      </c>
      <c r="AG305">
        <v>6929</v>
      </c>
      <c r="AH305">
        <v>12241</v>
      </c>
      <c r="AI305">
        <v>4</v>
      </c>
      <c r="AJ305" t="str">
        <f>_xlfn.XLOOKUP(Table1[[#This Row],[OverTime]],Table16[OverTime],Table16[Id_OverTime])</f>
        <v>OT002</v>
      </c>
      <c r="AK305" t="s">
        <v>33</v>
      </c>
      <c r="AL305">
        <v>11</v>
      </c>
      <c r="AM305" t="str">
        <f>_xlfn.XLOOKUP(Table1[[#This Row],[PerformanceRating]],Table17[PerformanceRating],Table17[Id_PerformanceRating])</f>
        <v>PR003</v>
      </c>
      <c r="AN305">
        <v>3</v>
      </c>
      <c r="AO305" t="str">
        <f>_xlfn.XLOOKUP(Table1[[#This Row],[PerformanceRating]],Table17[PerformanceRating],Table17[Deskripsi])</f>
        <v>Excellent</v>
      </c>
      <c r="AP305" t="str">
        <f>_xlfn.XLOOKUP(Table1[[#This Row],[RelationshipSatisfaction]],Table18[RelationshipSatisfaction],Table18[Id_RelationshipSatisfaction])</f>
        <v>RS002</v>
      </c>
      <c r="AQ305">
        <v>2</v>
      </c>
      <c r="AR305" t="str">
        <f>_xlfn.XLOOKUP(Table1[[#This Row],[RelationshipSatisfaction]],Table18[RelationshipSatisfaction],Table18[Deskripsi])</f>
        <v>Medium</v>
      </c>
      <c r="AS305" t="str">
        <f>_xlfn.XLOOKUP(Table1[[#This Row],[StockOptionLevel]],Table19[StockOptionLevel],Table19[Id_StockOptionLevel])</f>
        <v>SOL002</v>
      </c>
      <c r="AT305">
        <v>1</v>
      </c>
      <c r="AU305" t="str">
        <f>_xlfn.XLOOKUP(Table1[[#This Row],[StockOptionLevel]],Table19[StockOptionLevel],Table19[Deskripsi])</f>
        <v>Standard</v>
      </c>
      <c r="AV305">
        <v>10</v>
      </c>
      <c r="AW305">
        <v>3</v>
      </c>
      <c r="AX305" t="str">
        <f>_xlfn.XLOOKUP(Table1[[#This Row],[WorkLifeBalance]],Table20[WorkLifeBalance],Table20[Id_WorkLifeBalance])</f>
        <v>WLB003</v>
      </c>
      <c r="AY305">
        <v>2</v>
      </c>
      <c r="AZ305" t="str">
        <f>_xlfn.XLOOKUP(Table1[[#This Row],[WorkLifeBalance]],Table20[WorkLifeBalance],Table20[Deskripsi])</f>
        <v>Better</v>
      </c>
      <c r="BA305">
        <v>8</v>
      </c>
      <c r="BB305">
        <v>7</v>
      </c>
      <c r="BC305">
        <v>7</v>
      </c>
      <c r="BD305">
        <v>7</v>
      </c>
    </row>
    <row r="306" spans="1:56" x14ac:dyDescent="0.25">
      <c r="A306">
        <v>39</v>
      </c>
      <c r="B306" t="str">
        <f>_xlfn.XLOOKUP(Table1[[#This Row],[Attrition]],Table2[Attrition],Table2[Id_Attrition])</f>
        <v>A002</v>
      </c>
      <c r="C306" t="s">
        <v>33</v>
      </c>
      <c r="D306" t="str">
        <f>_xlfn.XLOOKUP(Table1[[#This Row],[BusinessTravel]],Table5[BusinessTravel],Table5[Id_BusinessTravel])</f>
        <v>BS001</v>
      </c>
      <c r="E306" t="s">
        <v>34</v>
      </c>
      <c r="F306">
        <v>1132</v>
      </c>
      <c r="G306" t="str">
        <f>_xlfn.XLOOKUP(Table1[[#This Row],[Department]],Table6[Department],Table6[Id_Departement])</f>
        <v>D002</v>
      </c>
      <c r="H306" t="s">
        <v>38</v>
      </c>
      <c r="I306">
        <v>1</v>
      </c>
      <c r="J306" t="str">
        <f>_xlfn.XLOOKUP(Table1[[#This Row],[Education]],Table8[Education],Table8[Id_Education])</f>
        <v>E003</v>
      </c>
      <c r="K306">
        <v>3</v>
      </c>
      <c r="L306" t="str">
        <f>_xlfn.XLOOKUP(Table1[[#This Row],[EducationField]],Table7[EducationField],Table7[Id_EducationField])</f>
        <v>EF003</v>
      </c>
      <c r="M306" t="s">
        <v>42</v>
      </c>
      <c r="N306" t="str">
        <f>_xlfn.XLOOKUP(Table1[[#This Row],[EmployeeNumber]],Table4[EmployeeNumber],Table4[Id_Employee])</f>
        <v>EMP00305</v>
      </c>
      <c r="O306">
        <v>417</v>
      </c>
      <c r="P306" t="str">
        <f>_xlfn.XLOOKUP(Table1[[#This Row],[EnvironmentSatisfaction]],Table9[EnvironmentSatisfaction],Table9[Id_EnviromentSatisfaction])</f>
        <v>ES003</v>
      </c>
      <c r="Q306">
        <v>3</v>
      </c>
      <c r="R306" t="str">
        <f>_xlfn.XLOOKUP(Table1[[#This Row],[EnvironmentSatisfaction]],Table9[EnvironmentSatisfaction],Table9[Deskripsi])</f>
        <v>High</v>
      </c>
      <c r="S306" t="str">
        <f>_xlfn.XLOOKUP(Table1[[#This Row],[Gender]],Table10[Gender],Table10[Id_Gender])</f>
        <v>G002</v>
      </c>
      <c r="T306" t="s">
        <v>46</v>
      </c>
      <c r="U306">
        <v>48</v>
      </c>
      <c r="V306" t="str">
        <f>_xlfn.XLOOKUP(Table1[[#This Row],[JobInvolvement]],Table11[JobInvolvement],Table11[Id_JobInvolvement])</f>
        <v>JI004</v>
      </c>
      <c r="W306">
        <v>4</v>
      </c>
      <c r="X306" t="str">
        <f>_xlfn.XLOOKUP(Table1[[#This Row],[JobLevel]],Table12[JobLevel],Table12[Id_JobLevel])</f>
        <v>JL003</v>
      </c>
      <c r="Y306">
        <v>3</v>
      </c>
      <c r="Z306" t="str">
        <f>_xlfn.XLOOKUP(Table1[[#This Row],[JobRole]],Table13[JobRole],Table13[Id_JobRole])</f>
        <v>JR005</v>
      </c>
      <c r="AA306" t="s">
        <v>51</v>
      </c>
      <c r="AB306" t="str">
        <f>_xlfn.XLOOKUP(Table1[[#This Row],[JobSatisfaction]],Table14[JobSatisfaction],Table14[Id_JobSatisfaction])</f>
        <v>JS004</v>
      </c>
      <c r="AC306">
        <v>4</v>
      </c>
      <c r="AD306" t="str">
        <f>_xlfn.XLOOKUP(Table1[[#This Row],[JobSatisfaction]],Table14[JobSatisfaction],Table14[Deskripsi])</f>
        <v>Very High</v>
      </c>
      <c r="AE306" t="str">
        <f>_xlfn.XLOOKUP(Table1[[#This Row],[MaritalStatus]],Table15[MaritalStatus],Table15[Id_MaritalStatus])</f>
        <v>MS003</v>
      </c>
      <c r="AF306" t="s">
        <v>57</v>
      </c>
      <c r="AG306">
        <v>9613</v>
      </c>
      <c r="AH306">
        <v>10942</v>
      </c>
      <c r="AI306">
        <v>0</v>
      </c>
      <c r="AJ306" t="str">
        <f>_xlfn.XLOOKUP(Table1[[#This Row],[OverTime]],Table16[OverTime],Table16[Id_OverTime])</f>
        <v>OT002</v>
      </c>
      <c r="AK306" t="s">
        <v>33</v>
      </c>
      <c r="AL306">
        <v>17</v>
      </c>
      <c r="AM306" t="str">
        <f>_xlfn.XLOOKUP(Table1[[#This Row],[PerformanceRating]],Table17[PerformanceRating],Table17[Id_PerformanceRating])</f>
        <v>PR003</v>
      </c>
      <c r="AN306">
        <v>3</v>
      </c>
      <c r="AO306" t="str">
        <f>_xlfn.XLOOKUP(Table1[[#This Row],[PerformanceRating]],Table17[PerformanceRating],Table17[Deskripsi])</f>
        <v>Excellent</v>
      </c>
      <c r="AP306" t="str">
        <f>_xlfn.XLOOKUP(Table1[[#This Row],[RelationshipSatisfaction]],Table18[RelationshipSatisfaction],Table18[Id_RelationshipSatisfaction])</f>
        <v>RS001</v>
      </c>
      <c r="AQ306">
        <v>1</v>
      </c>
      <c r="AR306" t="str">
        <f>_xlfn.XLOOKUP(Table1[[#This Row],[RelationshipSatisfaction]],Table18[RelationshipSatisfaction],Table18[Deskripsi])</f>
        <v>Low</v>
      </c>
      <c r="AS306" t="str">
        <f>_xlfn.XLOOKUP(Table1[[#This Row],[StockOptionLevel]],Table19[StockOptionLevel],Table19[Id_StockOptionLevel])</f>
        <v>SOL004</v>
      </c>
      <c r="AT306">
        <v>3</v>
      </c>
      <c r="AU306" t="str">
        <f>_xlfn.XLOOKUP(Table1[[#This Row],[StockOptionLevel]],Table19[StockOptionLevel],Table19[Deskripsi])</f>
        <v>Senior/Executive</v>
      </c>
      <c r="AV306">
        <v>19</v>
      </c>
      <c r="AW306">
        <v>5</v>
      </c>
      <c r="AX306" t="str">
        <f>_xlfn.XLOOKUP(Table1[[#This Row],[WorkLifeBalance]],Table20[WorkLifeBalance],Table20[Id_WorkLifeBalance])</f>
        <v>WLB003</v>
      </c>
      <c r="AY306">
        <v>2</v>
      </c>
      <c r="AZ306" t="str">
        <f>_xlfn.XLOOKUP(Table1[[#This Row],[WorkLifeBalance]],Table20[WorkLifeBalance],Table20[Deskripsi])</f>
        <v>Better</v>
      </c>
      <c r="BA306">
        <v>18</v>
      </c>
      <c r="BB306">
        <v>10</v>
      </c>
      <c r="BC306">
        <v>3</v>
      </c>
      <c r="BD306">
        <v>7</v>
      </c>
    </row>
    <row r="307" spans="1:56" x14ac:dyDescent="0.25">
      <c r="A307">
        <v>36</v>
      </c>
      <c r="B307" t="str">
        <f>_xlfn.XLOOKUP(Table1[[#This Row],[Attrition]],Table2[Attrition],Table2[Id_Attrition])</f>
        <v>A002</v>
      </c>
      <c r="C307" t="s">
        <v>33</v>
      </c>
      <c r="D307" t="str">
        <f>_xlfn.XLOOKUP(Table1[[#This Row],[BusinessTravel]],Table5[BusinessTravel],Table5[Id_BusinessTravel])</f>
        <v>BS003</v>
      </c>
      <c r="E307" t="s">
        <v>36</v>
      </c>
      <c r="F307">
        <v>1105</v>
      </c>
      <c r="G307" t="str">
        <f>_xlfn.XLOOKUP(Table1[[#This Row],[Department]],Table6[Department],Table6[Id_Departement])</f>
        <v>D002</v>
      </c>
      <c r="H307" t="s">
        <v>38</v>
      </c>
      <c r="I307">
        <v>24</v>
      </c>
      <c r="J307" t="str">
        <f>_xlfn.XLOOKUP(Table1[[#This Row],[Education]],Table8[Education],Table8[Id_Education])</f>
        <v>E004</v>
      </c>
      <c r="K307">
        <v>4</v>
      </c>
      <c r="L307" t="str">
        <f>_xlfn.XLOOKUP(Table1[[#This Row],[EducationField]],Table7[EducationField],Table7[Id_EducationField])</f>
        <v>EF001</v>
      </c>
      <c r="M307" t="s">
        <v>40</v>
      </c>
      <c r="N307" t="str">
        <f>_xlfn.XLOOKUP(Table1[[#This Row],[EmployeeNumber]],Table4[EmployeeNumber],Table4[Id_Employee])</f>
        <v>EMP00306</v>
      </c>
      <c r="O307">
        <v>419</v>
      </c>
      <c r="P307" t="str">
        <f>_xlfn.XLOOKUP(Table1[[#This Row],[EnvironmentSatisfaction]],Table9[EnvironmentSatisfaction],Table9[Id_EnviromentSatisfaction])</f>
        <v>ES002</v>
      </c>
      <c r="Q307">
        <v>2</v>
      </c>
      <c r="R307" t="str">
        <f>_xlfn.XLOOKUP(Table1[[#This Row],[EnvironmentSatisfaction]],Table9[EnvironmentSatisfaction],Table9[Deskripsi])</f>
        <v>Medium</v>
      </c>
      <c r="S307" t="str">
        <f>_xlfn.XLOOKUP(Table1[[#This Row],[Gender]],Table10[Gender],Table10[Id_Gender])</f>
        <v>G001</v>
      </c>
      <c r="T307" t="s">
        <v>45</v>
      </c>
      <c r="U307">
        <v>47</v>
      </c>
      <c r="V307" t="str">
        <f>_xlfn.XLOOKUP(Table1[[#This Row],[JobInvolvement]],Table11[JobInvolvement],Table11[Id_JobInvolvement])</f>
        <v>JI003</v>
      </c>
      <c r="W307">
        <v>3</v>
      </c>
      <c r="X307" t="str">
        <f>_xlfn.XLOOKUP(Table1[[#This Row],[JobLevel]],Table12[JobLevel],Table12[Id_JobLevel])</f>
        <v>JL002</v>
      </c>
      <c r="Y307">
        <v>2</v>
      </c>
      <c r="Z307" t="str">
        <f>_xlfn.XLOOKUP(Table1[[#This Row],[JobRole]],Table13[JobRole],Table13[Id_JobRole])</f>
        <v>JR003</v>
      </c>
      <c r="AA307" t="s">
        <v>49</v>
      </c>
      <c r="AB307" t="str">
        <f>_xlfn.XLOOKUP(Table1[[#This Row],[JobSatisfaction]],Table14[JobSatisfaction],Table14[Id_JobSatisfaction])</f>
        <v>JS002</v>
      </c>
      <c r="AC307">
        <v>2</v>
      </c>
      <c r="AD307" t="str">
        <f>_xlfn.XLOOKUP(Table1[[#This Row],[JobSatisfaction]],Table14[JobSatisfaction],Table14[Deskripsi])</f>
        <v>Medium</v>
      </c>
      <c r="AE307" t="str">
        <f>_xlfn.XLOOKUP(Table1[[#This Row],[MaritalStatus]],Table15[MaritalStatus],Table15[Id_MaritalStatus])</f>
        <v>MS002</v>
      </c>
      <c r="AF307" t="s">
        <v>56</v>
      </c>
      <c r="AG307">
        <v>5674</v>
      </c>
      <c r="AH307">
        <v>6927</v>
      </c>
      <c r="AI307">
        <v>7</v>
      </c>
      <c r="AJ307" t="str">
        <f>_xlfn.XLOOKUP(Table1[[#This Row],[OverTime]],Table16[OverTime],Table16[Id_OverTime])</f>
        <v>OT002</v>
      </c>
      <c r="AK307" t="s">
        <v>33</v>
      </c>
      <c r="AL307">
        <v>15</v>
      </c>
      <c r="AM307" t="str">
        <f>_xlfn.XLOOKUP(Table1[[#This Row],[PerformanceRating]],Table17[PerformanceRating],Table17[Id_PerformanceRating])</f>
        <v>PR003</v>
      </c>
      <c r="AN307">
        <v>3</v>
      </c>
      <c r="AO307" t="str">
        <f>_xlfn.XLOOKUP(Table1[[#This Row],[PerformanceRating]],Table17[PerformanceRating],Table17[Deskripsi])</f>
        <v>Excellent</v>
      </c>
      <c r="AP307" t="str">
        <f>_xlfn.XLOOKUP(Table1[[#This Row],[RelationshipSatisfaction]],Table18[RelationshipSatisfaction],Table18[Id_RelationshipSatisfaction])</f>
        <v>RS003</v>
      </c>
      <c r="AQ307">
        <v>3</v>
      </c>
      <c r="AR307" t="str">
        <f>_xlfn.XLOOKUP(Table1[[#This Row],[RelationshipSatisfaction]],Table18[RelationshipSatisfaction],Table18[Deskripsi])</f>
        <v>High</v>
      </c>
      <c r="AS307" t="str">
        <f>_xlfn.XLOOKUP(Table1[[#This Row],[StockOptionLevel]],Table19[StockOptionLevel],Table19[Id_StockOptionLevel])</f>
        <v>SOL002</v>
      </c>
      <c r="AT307">
        <v>1</v>
      </c>
      <c r="AU307" t="str">
        <f>_xlfn.XLOOKUP(Table1[[#This Row],[StockOptionLevel]],Table19[StockOptionLevel],Table19[Deskripsi])</f>
        <v>Standard</v>
      </c>
      <c r="AV307">
        <v>11</v>
      </c>
      <c r="AW307">
        <v>3</v>
      </c>
      <c r="AX307" t="str">
        <f>_xlfn.XLOOKUP(Table1[[#This Row],[WorkLifeBalance]],Table20[WorkLifeBalance],Table20[Id_WorkLifeBalance])</f>
        <v>WLB002</v>
      </c>
      <c r="AY307">
        <v>3</v>
      </c>
      <c r="AZ307" t="str">
        <f>_xlfn.XLOOKUP(Table1[[#This Row],[WorkLifeBalance]],Table20[WorkLifeBalance],Table20[Deskripsi])</f>
        <v>Good</v>
      </c>
      <c r="BA307">
        <v>9</v>
      </c>
      <c r="BB307">
        <v>8</v>
      </c>
      <c r="BC307">
        <v>0</v>
      </c>
      <c r="BD307">
        <v>8</v>
      </c>
    </row>
    <row r="308" spans="1:56" x14ac:dyDescent="0.25">
      <c r="A308">
        <v>32</v>
      </c>
      <c r="B308" t="str">
        <f>_xlfn.XLOOKUP(Table1[[#This Row],[Attrition]],Table2[Attrition],Table2[Id_Attrition])</f>
        <v>A002</v>
      </c>
      <c r="C308" t="s">
        <v>33</v>
      </c>
      <c r="D308" t="str">
        <f>_xlfn.XLOOKUP(Table1[[#This Row],[BusinessTravel]],Table5[BusinessTravel],Table5[Id_BusinessTravel])</f>
        <v>BS001</v>
      </c>
      <c r="E308" t="s">
        <v>34</v>
      </c>
      <c r="F308">
        <v>906</v>
      </c>
      <c r="G308" t="str">
        <f>_xlfn.XLOOKUP(Table1[[#This Row],[Department]],Table6[Department],Table6[Id_Departement])</f>
        <v>D001</v>
      </c>
      <c r="H308" t="s">
        <v>37</v>
      </c>
      <c r="I308">
        <v>7</v>
      </c>
      <c r="J308" t="str">
        <f>_xlfn.XLOOKUP(Table1[[#This Row],[Education]],Table8[Education],Table8[Id_Education])</f>
        <v>E003</v>
      </c>
      <c r="K308">
        <v>3</v>
      </c>
      <c r="L308" t="str">
        <f>_xlfn.XLOOKUP(Table1[[#This Row],[EducationField]],Table7[EducationField],Table7[Id_EducationField])</f>
        <v>EF001</v>
      </c>
      <c r="M308" t="s">
        <v>40</v>
      </c>
      <c r="N308" t="str">
        <f>_xlfn.XLOOKUP(Table1[[#This Row],[EmployeeNumber]],Table4[EmployeeNumber],Table4[Id_Employee])</f>
        <v>EMP00307</v>
      </c>
      <c r="O308">
        <v>420</v>
      </c>
      <c r="P308" t="str">
        <f>_xlfn.XLOOKUP(Table1[[#This Row],[EnvironmentSatisfaction]],Table9[EnvironmentSatisfaction],Table9[Id_EnviromentSatisfaction])</f>
        <v>ES004</v>
      </c>
      <c r="Q308">
        <v>4</v>
      </c>
      <c r="R308" t="str">
        <f>_xlfn.XLOOKUP(Table1[[#This Row],[EnvironmentSatisfaction]],Table9[EnvironmentSatisfaction],Table9[Deskripsi])</f>
        <v>Very High</v>
      </c>
      <c r="S308" t="str">
        <f>_xlfn.XLOOKUP(Table1[[#This Row],[Gender]],Table10[Gender],Table10[Id_Gender])</f>
        <v>G002</v>
      </c>
      <c r="T308" t="s">
        <v>46</v>
      </c>
      <c r="U308">
        <v>91</v>
      </c>
      <c r="V308" t="str">
        <f>_xlfn.XLOOKUP(Table1[[#This Row],[JobInvolvement]],Table11[JobInvolvement],Table11[Id_JobInvolvement])</f>
        <v>JI002</v>
      </c>
      <c r="W308">
        <v>2</v>
      </c>
      <c r="X308" t="str">
        <f>_xlfn.XLOOKUP(Table1[[#This Row],[JobLevel]],Table12[JobLevel],Table12[Id_JobLevel])</f>
        <v>JL002</v>
      </c>
      <c r="Y308">
        <v>2</v>
      </c>
      <c r="Z308" t="str">
        <f>_xlfn.XLOOKUP(Table1[[#This Row],[JobRole]],Table13[JobRole],Table13[Id_JobRole])</f>
        <v>JR001</v>
      </c>
      <c r="AA308" t="s">
        <v>47</v>
      </c>
      <c r="AB308" t="str">
        <f>_xlfn.XLOOKUP(Table1[[#This Row],[JobSatisfaction]],Table14[JobSatisfaction],Table14[Id_JobSatisfaction])</f>
        <v>JS003</v>
      </c>
      <c r="AC308">
        <v>3</v>
      </c>
      <c r="AD308" t="str">
        <f>_xlfn.XLOOKUP(Table1[[#This Row],[JobSatisfaction]],Table14[JobSatisfaction],Table14[Deskripsi])</f>
        <v>High</v>
      </c>
      <c r="AE308" t="str">
        <f>_xlfn.XLOOKUP(Table1[[#This Row],[MaritalStatus]],Table15[MaritalStatus],Table15[Id_MaritalStatus])</f>
        <v>MS002</v>
      </c>
      <c r="AF308" t="s">
        <v>56</v>
      </c>
      <c r="AG308">
        <v>5484</v>
      </c>
      <c r="AH308">
        <v>16985</v>
      </c>
      <c r="AI308">
        <v>1</v>
      </c>
      <c r="AJ308" t="str">
        <f>_xlfn.XLOOKUP(Table1[[#This Row],[OverTime]],Table16[OverTime],Table16[Id_OverTime])</f>
        <v>OT002</v>
      </c>
      <c r="AK308" t="s">
        <v>33</v>
      </c>
      <c r="AL308">
        <v>14</v>
      </c>
      <c r="AM308" t="str">
        <f>_xlfn.XLOOKUP(Table1[[#This Row],[PerformanceRating]],Table17[PerformanceRating],Table17[Id_PerformanceRating])</f>
        <v>PR003</v>
      </c>
      <c r="AN308">
        <v>3</v>
      </c>
      <c r="AO308" t="str">
        <f>_xlfn.XLOOKUP(Table1[[#This Row],[PerformanceRating]],Table17[PerformanceRating],Table17[Deskripsi])</f>
        <v>Excellent</v>
      </c>
      <c r="AP308" t="str">
        <f>_xlfn.XLOOKUP(Table1[[#This Row],[RelationshipSatisfaction]],Table18[RelationshipSatisfaction],Table18[Id_RelationshipSatisfaction])</f>
        <v>RS003</v>
      </c>
      <c r="AQ308">
        <v>3</v>
      </c>
      <c r="AR308" t="str">
        <f>_xlfn.XLOOKUP(Table1[[#This Row],[RelationshipSatisfaction]],Table18[RelationshipSatisfaction],Table18[Deskripsi])</f>
        <v>High</v>
      </c>
      <c r="AS308" t="str">
        <f>_xlfn.XLOOKUP(Table1[[#This Row],[StockOptionLevel]],Table19[StockOptionLevel],Table19[Id_StockOptionLevel])</f>
        <v>SOL002</v>
      </c>
      <c r="AT308">
        <v>1</v>
      </c>
      <c r="AU308" t="str">
        <f>_xlfn.XLOOKUP(Table1[[#This Row],[StockOptionLevel]],Table19[StockOptionLevel],Table19[Deskripsi])</f>
        <v>Standard</v>
      </c>
      <c r="AV308">
        <v>13</v>
      </c>
      <c r="AW308">
        <v>3</v>
      </c>
      <c r="AX308" t="str">
        <f>_xlfn.XLOOKUP(Table1[[#This Row],[WorkLifeBalance]],Table20[WorkLifeBalance],Table20[Id_WorkLifeBalance])</f>
        <v>WLB003</v>
      </c>
      <c r="AY308">
        <v>2</v>
      </c>
      <c r="AZ308" t="str">
        <f>_xlfn.XLOOKUP(Table1[[#This Row],[WorkLifeBalance]],Table20[WorkLifeBalance],Table20[Deskripsi])</f>
        <v>Better</v>
      </c>
      <c r="BA308">
        <v>13</v>
      </c>
      <c r="BB308">
        <v>8</v>
      </c>
      <c r="BC308">
        <v>4</v>
      </c>
      <c r="BD308">
        <v>8</v>
      </c>
    </row>
    <row r="309" spans="1:56" x14ac:dyDescent="0.25">
      <c r="A309">
        <v>38</v>
      </c>
      <c r="B309" t="str">
        <f>_xlfn.XLOOKUP(Table1[[#This Row],[Attrition]],Table2[Attrition],Table2[Id_Attrition])</f>
        <v>A002</v>
      </c>
      <c r="C309" t="s">
        <v>33</v>
      </c>
      <c r="D309" t="str">
        <f>_xlfn.XLOOKUP(Table1[[#This Row],[BusinessTravel]],Table5[BusinessTravel],Table5[Id_BusinessTravel])</f>
        <v>BS001</v>
      </c>
      <c r="E309" t="s">
        <v>34</v>
      </c>
      <c r="F309">
        <v>849</v>
      </c>
      <c r="G309" t="str">
        <f>_xlfn.XLOOKUP(Table1[[#This Row],[Department]],Table6[Department],Table6[Id_Departement])</f>
        <v>D002</v>
      </c>
      <c r="H309" t="s">
        <v>38</v>
      </c>
      <c r="I309">
        <v>25</v>
      </c>
      <c r="J309" t="str">
        <f>_xlfn.XLOOKUP(Table1[[#This Row],[Education]],Table8[Education],Table8[Id_Education])</f>
        <v>E002</v>
      </c>
      <c r="K309">
        <v>2</v>
      </c>
      <c r="L309" t="str">
        <f>_xlfn.XLOOKUP(Table1[[#This Row],[EducationField]],Table7[EducationField],Table7[Id_EducationField])</f>
        <v>EF001</v>
      </c>
      <c r="M309" t="s">
        <v>40</v>
      </c>
      <c r="N309" t="str">
        <f>_xlfn.XLOOKUP(Table1[[#This Row],[EmployeeNumber]],Table4[EmployeeNumber],Table4[Id_Employee])</f>
        <v>EMP00308</v>
      </c>
      <c r="O309">
        <v>421</v>
      </c>
      <c r="P309" t="str">
        <f>_xlfn.XLOOKUP(Table1[[#This Row],[EnvironmentSatisfaction]],Table9[EnvironmentSatisfaction],Table9[Id_EnviromentSatisfaction])</f>
        <v>ES001</v>
      </c>
      <c r="Q309">
        <v>1</v>
      </c>
      <c r="R309" t="str">
        <f>_xlfn.XLOOKUP(Table1[[#This Row],[EnvironmentSatisfaction]],Table9[EnvironmentSatisfaction],Table9[Deskripsi])</f>
        <v>Low</v>
      </c>
      <c r="S309" t="str">
        <f>_xlfn.XLOOKUP(Table1[[#This Row],[Gender]],Table10[Gender],Table10[Id_Gender])</f>
        <v>G001</v>
      </c>
      <c r="T309" t="s">
        <v>45</v>
      </c>
      <c r="U309">
        <v>81</v>
      </c>
      <c r="V309" t="str">
        <f>_xlfn.XLOOKUP(Table1[[#This Row],[JobInvolvement]],Table11[JobInvolvement],Table11[Id_JobInvolvement])</f>
        <v>JI002</v>
      </c>
      <c r="W309">
        <v>2</v>
      </c>
      <c r="X309" t="str">
        <f>_xlfn.XLOOKUP(Table1[[#This Row],[JobLevel]],Table12[JobLevel],Table12[Id_JobLevel])</f>
        <v>JL003</v>
      </c>
      <c r="Y309">
        <v>3</v>
      </c>
      <c r="Z309" t="str">
        <f>_xlfn.XLOOKUP(Table1[[#This Row],[JobRole]],Table13[JobRole],Table13[Id_JobRole])</f>
        <v>JR008</v>
      </c>
      <c r="AA309" t="s">
        <v>54</v>
      </c>
      <c r="AB309" t="str">
        <f>_xlfn.XLOOKUP(Table1[[#This Row],[JobSatisfaction]],Table14[JobSatisfaction],Table14[Id_JobSatisfaction])</f>
        <v>JS002</v>
      </c>
      <c r="AC309">
        <v>2</v>
      </c>
      <c r="AD309" t="str">
        <f>_xlfn.XLOOKUP(Table1[[#This Row],[JobSatisfaction]],Table14[JobSatisfaction],Table14[Deskripsi])</f>
        <v>Medium</v>
      </c>
      <c r="AE309" t="str">
        <f>_xlfn.XLOOKUP(Table1[[#This Row],[MaritalStatus]],Table15[MaritalStatus],Table15[Id_MaritalStatus])</f>
        <v>MS002</v>
      </c>
      <c r="AF309" t="s">
        <v>56</v>
      </c>
      <c r="AG309">
        <v>12061</v>
      </c>
      <c r="AH309">
        <v>26707</v>
      </c>
      <c r="AI309">
        <v>3</v>
      </c>
      <c r="AJ309" t="str">
        <f>_xlfn.XLOOKUP(Table1[[#This Row],[OverTime]],Table16[OverTime],Table16[Id_OverTime])</f>
        <v>OT002</v>
      </c>
      <c r="AK309" t="s">
        <v>33</v>
      </c>
      <c r="AL309">
        <v>17</v>
      </c>
      <c r="AM309" t="str">
        <f>_xlfn.XLOOKUP(Table1[[#This Row],[PerformanceRating]],Table17[PerformanceRating],Table17[Id_PerformanceRating])</f>
        <v>PR003</v>
      </c>
      <c r="AN309">
        <v>3</v>
      </c>
      <c r="AO309" t="str">
        <f>_xlfn.XLOOKUP(Table1[[#This Row],[PerformanceRating]],Table17[PerformanceRating],Table17[Deskripsi])</f>
        <v>Excellent</v>
      </c>
      <c r="AP309" t="str">
        <f>_xlfn.XLOOKUP(Table1[[#This Row],[RelationshipSatisfaction]],Table18[RelationshipSatisfaction],Table18[Id_RelationshipSatisfaction])</f>
        <v>RS003</v>
      </c>
      <c r="AQ309">
        <v>3</v>
      </c>
      <c r="AR309" t="str">
        <f>_xlfn.XLOOKUP(Table1[[#This Row],[RelationshipSatisfaction]],Table18[RelationshipSatisfaction],Table18[Deskripsi])</f>
        <v>High</v>
      </c>
      <c r="AS309" t="str">
        <f>_xlfn.XLOOKUP(Table1[[#This Row],[StockOptionLevel]],Table19[StockOptionLevel],Table19[Id_StockOptionLevel])</f>
        <v>SOL002</v>
      </c>
      <c r="AT309">
        <v>1</v>
      </c>
      <c r="AU309" t="str">
        <f>_xlfn.XLOOKUP(Table1[[#This Row],[StockOptionLevel]],Table19[StockOptionLevel],Table19[Deskripsi])</f>
        <v>Standard</v>
      </c>
      <c r="AV309">
        <v>19</v>
      </c>
      <c r="AW309">
        <v>2</v>
      </c>
      <c r="AX309" t="str">
        <f>_xlfn.XLOOKUP(Table1[[#This Row],[WorkLifeBalance]],Table20[WorkLifeBalance],Table20[Id_WorkLifeBalance])</f>
        <v>WLB002</v>
      </c>
      <c r="AY309">
        <v>3</v>
      </c>
      <c r="AZ309" t="str">
        <f>_xlfn.XLOOKUP(Table1[[#This Row],[WorkLifeBalance]],Table20[WorkLifeBalance],Table20[Deskripsi])</f>
        <v>Good</v>
      </c>
      <c r="BA309">
        <v>10</v>
      </c>
      <c r="BB309">
        <v>8</v>
      </c>
      <c r="BC309">
        <v>0</v>
      </c>
      <c r="BD309">
        <v>1</v>
      </c>
    </row>
    <row r="310" spans="1:56" x14ac:dyDescent="0.25">
      <c r="A310">
        <v>58</v>
      </c>
      <c r="B310" t="str">
        <f>_xlfn.XLOOKUP(Table1[[#This Row],[Attrition]],Table2[Attrition],Table2[Id_Attrition])</f>
        <v>A002</v>
      </c>
      <c r="C310" t="s">
        <v>33</v>
      </c>
      <c r="D310" t="str">
        <f>_xlfn.XLOOKUP(Table1[[#This Row],[BusinessTravel]],Table5[BusinessTravel],Table5[Id_BusinessTravel])</f>
        <v>BS003</v>
      </c>
      <c r="E310" t="s">
        <v>36</v>
      </c>
      <c r="F310">
        <v>390</v>
      </c>
      <c r="G310" t="str">
        <f>_xlfn.XLOOKUP(Table1[[#This Row],[Department]],Table6[Department],Table6[Id_Departement])</f>
        <v>D002</v>
      </c>
      <c r="H310" t="s">
        <v>38</v>
      </c>
      <c r="I310">
        <v>1</v>
      </c>
      <c r="J310" t="str">
        <f>_xlfn.XLOOKUP(Table1[[#This Row],[Education]],Table8[Education],Table8[Id_Education])</f>
        <v>E004</v>
      </c>
      <c r="K310">
        <v>4</v>
      </c>
      <c r="L310" t="str">
        <f>_xlfn.XLOOKUP(Table1[[#This Row],[EducationField]],Table7[EducationField],Table7[Id_EducationField])</f>
        <v>EF001</v>
      </c>
      <c r="M310" t="s">
        <v>40</v>
      </c>
      <c r="N310" t="str">
        <f>_xlfn.XLOOKUP(Table1[[#This Row],[EmployeeNumber]],Table4[EmployeeNumber],Table4[Id_Employee])</f>
        <v>EMP00309</v>
      </c>
      <c r="O310">
        <v>422</v>
      </c>
      <c r="P310" t="str">
        <f>_xlfn.XLOOKUP(Table1[[#This Row],[EnvironmentSatisfaction]],Table9[EnvironmentSatisfaction],Table9[Id_EnviromentSatisfaction])</f>
        <v>ES004</v>
      </c>
      <c r="Q310">
        <v>4</v>
      </c>
      <c r="R310" t="str">
        <f>_xlfn.XLOOKUP(Table1[[#This Row],[EnvironmentSatisfaction]],Table9[EnvironmentSatisfaction],Table9[Deskripsi])</f>
        <v>Very High</v>
      </c>
      <c r="S310" t="str">
        <f>_xlfn.XLOOKUP(Table1[[#This Row],[Gender]],Table10[Gender],Table10[Id_Gender])</f>
        <v>G002</v>
      </c>
      <c r="T310" t="s">
        <v>46</v>
      </c>
      <c r="U310">
        <v>32</v>
      </c>
      <c r="V310" t="str">
        <f>_xlfn.XLOOKUP(Table1[[#This Row],[JobInvolvement]],Table11[JobInvolvement],Table11[Id_JobInvolvement])</f>
        <v>JI001</v>
      </c>
      <c r="W310">
        <v>1</v>
      </c>
      <c r="X310" t="str">
        <f>_xlfn.XLOOKUP(Table1[[#This Row],[JobLevel]],Table12[JobLevel],Table12[Id_JobLevel])</f>
        <v>JL002</v>
      </c>
      <c r="Y310">
        <v>2</v>
      </c>
      <c r="Z310" t="str">
        <f>_xlfn.XLOOKUP(Table1[[#This Row],[JobRole]],Table13[JobRole],Table13[Id_JobRole])</f>
        <v>JR005</v>
      </c>
      <c r="AA310" t="s">
        <v>51</v>
      </c>
      <c r="AB310" t="str">
        <f>_xlfn.XLOOKUP(Table1[[#This Row],[JobSatisfaction]],Table14[JobSatisfaction],Table14[Id_JobSatisfaction])</f>
        <v>JS003</v>
      </c>
      <c r="AC310">
        <v>3</v>
      </c>
      <c r="AD310" t="str">
        <f>_xlfn.XLOOKUP(Table1[[#This Row],[JobSatisfaction]],Table14[JobSatisfaction],Table14[Deskripsi])</f>
        <v>High</v>
      </c>
      <c r="AE310" t="str">
        <f>_xlfn.XLOOKUP(Table1[[#This Row],[MaritalStatus]],Table15[MaritalStatus],Table15[Id_MaritalStatus])</f>
        <v>MS003</v>
      </c>
      <c r="AF310" t="s">
        <v>57</v>
      </c>
      <c r="AG310">
        <v>5660</v>
      </c>
      <c r="AH310">
        <v>17056</v>
      </c>
      <c r="AI310">
        <v>2</v>
      </c>
      <c r="AJ310" t="str">
        <f>_xlfn.XLOOKUP(Table1[[#This Row],[OverTime]],Table16[OverTime],Table16[Id_OverTime])</f>
        <v>OT001</v>
      </c>
      <c r="AK310" t="s">
        <v>32</v>
      </c>
      <c r="AL310">
        <v>13</v>
      </c>
      <c r="AM310" t="str">
        <f>_xlfn.XLOOKUP(Table1[[#This Row],[PerformanceRating]],Table17[PerformanceRating],Table17[Id_PerformanceRating])</f>
        <v>PR003</v>
      </c>
      <c r="AN310">
        <v>3</v>
      </c>
      <c r="AO310" t="str">
        <f>_xlfn.XLOOKUP(Table1[[#This Row],[PerformanceRating]],Table17[PerformanceRating],Table17[Deskripsi])</f>
        <v>Excellent</v>
      </c>
      <c r="AP310" t="str">
        <f>_xlfn.XLOOKUP(Table1[[#This Row],[RelationshipSatisfaction]],Table18[RelationshipSatisfaction],Table18[Id_RelationshipSatisfaction])</f>
        <v>RS004</v>
      </c>
      <c r="AQ310">
        <v>4</v>
      </c>
      <c r="AR310" t="str">
        <f>_xlfn.XLOOKUP(Table1[[#This Row],[RelationshipSatisfaction]],Table18[RelationshipSatisfaction],Table18[Deskripsi])</f>
        <v>Very High</v>
      </c>
      <c r="AS310" t="str">
        <f>_xlfn.XLOOKUP(Table1[[#This Row],[StockOptionLevel]],Table19[StockOptionLevel],Table19[Id_StockOptionLevel])</f>
        <v>SOL002</v>
      </c>
      <c r="AT310">
        <v>1</v>
      </c>
      <c r="AU310" t="str">
        <f>_xlfn.XLOOKUP(Table1[[#This Row],[StockOptionLevel]],Table19[StockOptionLevel],Table19[Deskripsi])</f>
        <v>Standard</v>
      </c>
      <c r="AV310">
        <v>12</v>
      </c>
      <c r="AW310">
        <v>2</v>
      </c>
      <c r="AX310" t="str">
        <f>_xlfn.XLOOKUP(Table1[[#This Row],[WorkLifeBalance]],Table20[WorkLifeBalance],Table20[Id_WorkLifeBalance])</f>
        <v>WLB002</v>
      </c>
      <c r="AY310">
        <v>3</v>
      </c>
      <c r="AZ310" t="str">
        <f>_xlfn.XLOOKUP(Table1[[#This Row],[WorkLifeBalance]],Table20[WorkLifeBalance],Table20[Deskripsi])</f>
        <v>Good</v>
      </c>
      <c r="BA310">
        <v>5</v>
      </c>
      <c r="BB310">
        <v>3</v>
      </c>
      <c r="BC310">
        <v>1</v>
      </c>
      <c r="BD310">
        <v>2</v>
      </c>
    </row>
    <row r="311" spans="1:56" x14ac:dyDescent="0.25">
      <c r="A311">
        <v>31</v>
      </c>
      <c r="B311" t="str">
        <f>_xlfn.XLOOKUP(Table1[[#This Row],[Attrition]],Table2[Attrition],Table2[Id_Attrition])</f>
        <v>A002</v>
      </c>
      <c r="C311" t="s">
        <v>33</v>
      </c>
      <c r="D311" t="str">
        <f>_xlfn.XLOOKUP(Table1[[#This Row],[BusinessTravel]],Table5[BusinessTravel],Table5[Id_BusinessTravel])</f>
        <v>BS001</v>
      </c>
      <c r="E311" t="s">
        <v>34</v>
      </c>
      <c r="F311">
        <v>691</v>
      </c>
      <c r="G311" t="str">
        <f>_xlfn.XLOOKUP(Table1[[#This Row],[Department]],Table6[Department],Table6[Id_Departement])</f>
        <v>D002</v>
      </c>
      <c r="H311" t="s">
        <v>38</v>
      </c>
      <c r="I311">
        <v>5</v>
      </c>
      <c r="J311" t="str">
        <f>_xlfn.XLOOKUP(Table1[[#This Row],[Education]],Table8[Education],Table8[Id_Education])</f>
        <v>E004</v>
      </c>
      <c r="K311">
        <v>4</v>
      </c>
      <c r="L311" t="str">
        <f>_xlfn.XLOOKUP(Table1[[#This Row],[EducationField]],Table7[EducationField],Table7[Id_EducationField])</f>
        <v>EF005</v>
      </c>
      <c r="M311" t="s">
        <v>44</v>
      </c>
      <c r="N311" t="str">
        <f>_xlfn.XLOOKUP(Table1[[#This Row],[EmployeeNumber]],Table4[EmployeeNumber],Table4[Id_Employee])</f>
        <v>EMP00310</v>
      </c>
      <c r="O311">
        <v>423</v>
      </c>
      <c r="P311" t="str">
        <f>_xlfn.XLOOKUP(Table1[[#This Row],[EnvironmentSatisfaction]],Table9[EnvironmentSatisfaction],Table9[Id_EnviromentSatisfaction])</f>
        <v>ES003</v>
      </c>
      <c r="Q311">
        <v>3</v>
      </c>
      <c r="R311" t="str">
        <f>_xlfn.XLOOKUP(Table1[[#This Row],[EnvironmentSatisfaction]],Table9[EnvironmentSatisfaction],Table9[Deskripsi])</f>
        <v>High</v>
      </c>
      <c r="S311" t="str">
        <f>_xlfn.XLOOKUP(Table1[[#This Row],[Gender]],Table10[Gender],Table10[Id_Gender])</f>
        <v>G002</v>
      </c>
      <c r="T311" t="s">
        <v>46</v>
      </c>
      <c r="U311">
        <v>86</v>
      </c>
      <c r="V311" t="str">
        <f>_xlfn.XLOOKUP(Table1[[#This Row],[JobInvolvement]],Table11[JobInvolvement],Table11[Id_JobInvolvement])</f>
        <v>JI003</v>
      </c>
      <c r="W311">
        <v>3</v>
      </c>
      <c r="X311" t="str">
        <f>_xlfn.XLOOKUP(Table1[[#This Row],[JobLevel]],Table12[JobLevel],Table12[Id_JobLevel])</f>
        <v>JL001</v>
      </c>
      <c r="Y311">
        <v>1</v>
      </c>
      <c r="Z311" t="str">
        <f>_xlfn.XLOOKUP(Table1[[#This Row],[JobRole]],Table13[JobRole],Table13[Id_JobRole])</f>
        <v>JR002</v>
      </c>
      <c r="AA311" t="s">
        <v>48</v>
      </c>
      <c r="AB311" t="str">
        <f>_xlfn.XLOOKUP(Table1[[#This Row],[JobSatisfaction]],Table14[JobSatisfaction],Table14[Id_JobSatisfaction])</f>
        <v>JS004</v>
      </c>
      <c r="AC311">
        <v>4</v>
      </c>
      <c r="AD311" t="str">
        <f>_xlfn.XLOOKUP(Table1[[#This Row],[JobSatisfaction]],Table14[JobSatisfaction],Table14[Deskripsi])</f>
        <v>Very High</v>
      </c>
      <c r="AE311" t="str">
        <f>_xlfn.XLOOKUP(Table1[[#This Row],[MaritalStatus]],Table15[MaritalStatus],Table15[Id_MaritalStatus])</f>
        <v>MS002</v>
      </c>
      <c r="AF311" t="s">
        <v>56</v>
      </c>
      <c r="AG311">
        <v>4821</v>
      </c>
      <c r="AH311">
        <v>10077</v>
      </c>
      <c r="AI311">
        <v>0</v>
      </c>
      <c r="AJ311" t="str">
        <f>_xlfn.XLOOKUP(Table1[[#This Row],[OverTime]],Table16[OverTime],Table16[Id_OverTime])</f>
        <v>OT001</v>
      </c>
      <c r="AK311" t="s">
        <v>32</v>
      </c>
      <c r="AL311">
        <v>12</v>
      </c>
      <c r="AM311" t="str">
        <f>_xlfn.XLOOKUP(Table1[[#This Row],[PerformanceRating]],Table17[PerformanceRating],Table17[Id_PerformanceRating])</f>
        <v>PR003</v>
      </c>
      <c r="AN311">
        <v>3</v>
      </c>
      <c r="AO311" t="str">
        <f>_xlfn.XLOOKUP(Table1[[#This Row],[PerformanceRating]],Table17[PerformanceRating],Table17[Deskripsi])</f>
        <v>Excellent</v>
      </c>
      <c r="AP311" t="str">
        <f>_xlfn.XLOOKUP(Table1[[#This Row],[RelationshipSatisfaction]],Table18[RelationshipSatisfaction],Table18[Id_RelationshipSatisfaction])</f>
        <v>RS003</v>
      </c>
      <c r="AQ311">
        <v>3</v>
      </c>
      <c r="AR311" t="str">
        <f>_xlfn.XLOOKUP(Table1[[#This Row],[RelationshipSatisfaction]],Table18[RelationshipSatisfaction],Table18[Deskripsi])</f>
        <v>High</v>
      </c>
      <c r="AS311" t="str">
        <f>_xlfn.XLOOKUP(Table1[[#This Row],[StockOptionLevel]],Table19[StockOptionLevel],Table19[Id_StockOptionLevel])</f>
        <v>SOL002</v>
      </c>
      <c r="AT311">
        <v>1</v>
      </c>
      <c r="AU311" t="str">
        <f>_xlfn.XLOOKUP(Table1[[#This Row],[StockOptionLevel]],Table19[StockOptionLevel],Table19[Deskripsi])</f>
        <v>Standard</v>
      </c>
      <c r="AV311">
        <v>6</v>
      </c>
      <c r="AW311">
        <v>4</v>
      </c>
      <c r="AX311" t="str">
        <f>_xlfn.XLOOKUP(Table1[[#This Row],[WorkLifeBalance]],Table20[WorkLifeBalance],Table20[Id_WorkLifeBalance])</f>
        <v>WLB002</v>
      </c>
      <c r="AY311">
        <v>3</v>
      </c>
      <c r="AZ311" t="str">
        <f>_xlfn.XLOOKUP(Table1[[#This Row],[WorkLifeBalance]],Table20[WorkLifeBalance],Table20[Deskripsi])</f>
        <v>Good</v>
      </c>
      <c r="BA311">
        <v>5</v>
      </c>
      <c r="BB311">
        <v>2</v>
      </c>
      <c r="BC311">
        <v>0</v>
      </c>
      <c r="BD311">
        <v>3</v>
      </c>
    </row>
    <row r="312" spans="1:56" x14ac:dyDescent="0.25">
      <c r="A312">
        <v>31</v>
      </c>
      <c r="B312" t="str">
        <f>_xlfn.XLOOKUP(Table1[[#This Row],[Attrition]],Table2[Attrition],Table2[Id_Attrition])</f>
        <v>A002</v>
      </c>
      <c r="C312" t="s">
        <v>33</v>
      </c>
      <c r="D312" t="str">
        <f>_xlfn.XLOOKUP(Table1[[#This Row],[BusinessTravel]],Table5[BusinessTravel],Table5[Id_BusinessTravel])</f>
        <v>BS001</v>
      </c>
      <c r="E312" t="s">
        <v>34</v>
      </c>
      <c r="F312">
        <v>106</v>
      </c>
      <c r="G312" t="str">
        <f>_xlfn.XLOOKUP(Table1[[#This Row],[Department]],Table6[Department],Table6[Id_Departement])</f>
        <v>D003</v>
      </c>
      <c r="H312" t="s">
        <v>39</v>
      </c>
      <c r="I312">
        <v>2</v>
      </c>
      <c r="J312" t="str">
        <f>_xlfn.XLOOKUP(Table1[[#This Row],[Education]],Table8[Education],Table8[Id_Education])</f>
        <v>E003</v>
      </c>
      <c r="K312">
        <v>3</v>
      </c>
      <c r="L312" t="str">
        <f>_xlfn.XLOOKUP(Table1[[#This Row],[EducationField]],Table7[EducationField],Table7[Id_EducationField])</f>
        <v>EF006</v>
      </c>
      <c r="M312" t="s">
        <v>39</v>
      </c>
      <c r="N312" t="str">
        <f>_xlfn.XLOOKUP(Table1[[#This Row],[EmployeeNumber]],Table4[EmployeeNumber],Table4[Id_Employee])</f>
        <v>EMP00311</v>
      </c>
      <c r="O312">
        <v>424</v>
      </c>
      <c r="P312" t="str">
        <f>_xlfn.XLOOKUP(Table1[[#This Row],[EnvironmentSatisfaction]],Table9[EnvironmentSatisfaction],Table9[Id_EnviromentSatisfaction])</f>
        <v>ES001</v>
      </c>
      <c r="Q312">
        <v>1</v>
      </c>
      <c r="R312" t="str">
        <f>_xlfn.XLOOKUP(Table1[[#This Row],[EnvironmentSatisfaction]],Table9[EnvironmentSatisfaction],Table9[Deskripsi])</f>
        <v>Low</v>
      </c>
      <c r="S312" t="str">
        <f>_xlfn.XLOOKUP(Table1[[#This Row],[Gender]],Table10[Gender],Table10[Id_Gender])</f>
        <v>G002</v>
      </c>
      <c r="T312" t="s">
        <v>46</v>
      </c>
      <c r="U312">
        <v>62</v>
      </c>
      <c r="V312" t="str">
        <f>_xlfn.XLOOKUP(Table1[[#This Row],[JobInvolvement]],Table11[JobInvolvement],Table11[Id_JobInvolvement])</f>
        <v>JI002</v>
      </c>
      <c r="W312">
        <v>2</v>
      </c>
      <c r="X312" t="str">
        <f>_xlfn.XLOOKUP(Table1[[#This Row],[JobLevel]],Table12[JobLevel],Table12[Id_JobLevel])</f>
        <v>JL002</v>
      </c>
      <c r="Y312">
        <v>2</v>
      </c>
      <c r="Z312" t="str">
        <f>_xlfn.XLOOKUP(Table1[[#This Row],[JobRole]],Table13[JobRole],Table13[Id_JobRole])</f>
        <v>JR009</v>
      </c>
      <c r="AA312" t="s">
        <v>39</v>
      </c>
      <c r="AB312" t="str">
        <f>_xlfn.XLOOKUP(Table1[[#This Row],[JobSatisfaction]],Table14[JobSatisfaction],Table14[Id_JobSatisfaction])</f>
        <v>JS001</v>
      </c>
      <c r="AC312">
        <v>1</v>
      </c>
      <c r="AD312" t="str">
        <f>_xlfn.XLOOKUP(Table1[[#This Row],[JobSatisfaction]],Table14[JobSatisfaction],Table14[Deskripsi])</f>
        <v>Low</v>
      </c>
      <c r="AE312" t="str">
        <f>_xlfn.XLOOKUP(Table1[[#This Row],[MaritalStatus]],Table15[MaritalStatus],Table15[Id_MaritalStatus])</f>
        <v>MS002</v>
      </c>
      <c r="AF312" t="s">
        <v>56</v>
      </c>
      <c r="AG312">
        <v>6410</v>
      </c>
      <c r="AH312">
        <v>17822</v>
      </c>
      <c r="AI312">
        <v>3</v>
      </c>
      <c r="AJ312" t="str">
        <f>_xlfn.XLOOKUP(Table1[[#This Row],[OverTime]],Table16[OverTime],Table16[Id_OverTime])</f>
        <v>OT002</v>
      </c>
      <c r="AK312" t="s">
        <v>33</v>
      </c>
      <c r="AL312">
        <v>12</v>
      </c>
      <c r="AM312" t="str">
        <f>_xlfn.XLOOKUP(Table1[[#This Row],[PerformanceRating]],Table17[PerformanceRating],Table17[Id_PerformanceRating])</f>
        <v>PR003</v>
      </c>
      <c r="AN312">
        <v>3</v>
      </c>
      <c r="AO312" t="str">
        <f>_xlfn.XLOOKUP(Table1[[#This Row],[PerformanceRating]],Table17[PerformanceRating],Table17[Deskripsi])</f>
        <v>Excellent</v>
      </c>
      <c r="AP312" t="str">
        <f>_xlfn.XLOOKUP(Table1[[#This Row],[RelationshipSatisfaction]],Table18[RelationshipSatisfaction],Table18[Id_RelationshipSatisfaction])</f>
        <v>RS004</v>
      </c>
      <c r="AQ312">
        <v>4</v>
      </c>
      <c r="AR312" t="str">
        <f>_xlfn.XLOOKUP(Table1[[#This Row],[RelationshipSatisfaction]],Table18[RelationshipSatisfaction],Table18[Deskripsi])</f>
        <v>Very High</v>
      </c>
      <c r="AS312" t="str">
        <f>_xlfn.XLOOKUP(Table1[[#This Row],[StockOptionLevel]],Table19[StockOptionLevel],Table19[Id_StockOptionLevel])</f>
        <v>SOL001</v>
      </c>
      <c r="AT312">
        <v>0</v>
      </c>
      <c r="AU312" t="str">
        <f>_xlfn.XLOOKUP(Table1[[#This Row],[StockOptionLevel]],Table19[StockOptionLevel],Table19[Deskripsi])</f>
        <v>Non-Eligible</v>
      </c>
      <c r="AV312">
        <v>9</v>
      </c>
      <c r="AW312">
        <v>1</v>
      </c>
      <c r="AX312" t="str">
        <f>_xlfn.XLOOKUP(Table1[[#This Row],[WorkLifeBalance]],Table20[WorkLifeBalance],Table20[Id_WorkLifeBalance])</f>
        <v>WLB002</v>
      </c>
      <c r="AY312">
        <v>3</v>
      </c>
      <c r="AZ312" t="str">
        <f>_xlfn.XLOOKUP(Table1[[#This Row],[WorkLifeBalance]],Table20[WorkLifeBalance],Table20[Deskripsi])</f>
        <v>Good</v>
      </c>
      <c r="BA312">
        <v>2</v>
      </c>
      <c r="BB312">
        <v>2</v>
      </c>
      <c r="BC312">
        <v>1</v>
      </c>
      <c r="BD312">
        <v>0</v>
      </c>
    </row>
    <row r="313" spans="1:56" x14ac:dyDescent="0.25">
      <c r="A313">
        <v>45</v>
      </c>
      <c r="B313" t="str">
        <f>_xlfn.XLOOKUP(Table1[[#This Row],[Attrition]],Table2[Attrition],Table2[Id_Attrition])</f>
        <v>A002</v>
      </c>
      <c r="C313" t="s">
        <v>33</v>
      </c>
      <c r="D313" t="str">
        <f>_xlfn.XLOOKUP(Table1[[#This Row],[BusinessTravel]],Table5[BusinessTravel],Table5[Id_BusinessTravel])</f>
        <v>BS002</v>
      </c>
      <c r="E313" t="s">
        <v>35</v>
      </c>
      <c r="F313">
        <v>1249</v>
      </c>
      <c r="G313" t="str">
        <f>_xlfn.XLOOKUP(Table1[[#This Row],[Department]],Table6[Department],Table6[Id_Departement])</f>
        <v>D002</v>
      </c>
      <c r="H313" t="s">
        <v>38</v>
      </c>
      <c r="I313">
        <v>7</v>
      </c>
      <c r="J313" t="str">
        <f>_xlfn.XLOOKUP(Table1[[#This Row],[Education]],Table8[Education],Table8[Id_Education])</f>
        <v>E003</v>
      </c>
      <c r="K313">
        <v>3</v>
      </c>
      <c r="L313" t="str">
        <f>_xlfn.XLOOKUP(Table1[[#This Row],[EducationField]],Table7[EducationField],Table7[Id_EducationField])</f>
        <v>EF001</v>
      </c>
      <c r="M313" t="s">
        <v>40</v>
      </c>
      <c r="N313" t="str">
        <f>_xlfn.XLOOKUP(Table1[[#This Row],[EmployeeNumber]],Table4[EmployeeNumber],Table4[Id_Employee])</f>
        <v>EMP00312</v>
      </c>
      <c r="O313">
        <v>425</v>
      </c>
      <c r="P313" t="str">
        <f>_xlfn.XLOOKUP(Table1[[#This Row],[EnvironmentSatisfaction]],Table9[EnvironmentSatisfaction],Table9[Id_EnviromentSatisfaction])</f>
        <v>ES001</v>
      </c>
      <c r="Q313">
        <v>1</v>
      </c>
      <c r="R313" t="str">
        <f>_xlfn.XLOOKUP(Table1[[#This Row],[EnvironmentSatisfaction]],Table9[EnvironmentSatisfaction],Table9[Deskripsi])</f>
        <v>Low</v>
      </c>
      <c r="S313" t="str">
        <f>_xlfn.XLOOKUP(Table1[[#This Row],[Gender]],Table10[Gender],Table10[Id_Gender])</f>
        <v>G002</v>
      </c>
      <c r="T313" t="s">
        <v>46</v>
      </c>
      <c r="U313">
        <v>97</v>
      </c>
      <c r="V313" t="str">
        <f>_xlfn.XLOOKUP(Table1[[#This Row],[JobInvolvement]],Table11[JobInvolvement],Table11[Id_JobInvolvement])</f>
        <v>JI003</v>
      </c>
      <c r="W313">
        <v>3</v>
      </c>
      <c r="X313" t="str">
        <f>_xlfn.XLOOKUP(Table1[[#This Row],[JobLevel]],Table12[JobLevel],Table12[Id_JobLevel])</f>
        <v>JL003</v>
      </c>
      <c r="Y313">
        <v>3</v>
      </c>
      <c r="Z313" t="str">
        <f>_xlfn.XLOOKUP(Table1[[#This Row],[JobRole]],Table13[JobRole],Table13[Id_JobRole])</f>
        <v>JR003</v>
      </c>
      <c r="AA313" t="s">
        <v>49</v>
      </c>
      <c r="AB313" t="str">
        <f>_xlfn.XLOOKUP(Table1[[#This Row],[JobSatisfaction]],Table14[JobSatisfaction],Table14[Id_JobSatisfaction])</f>
        <v>JS001</v>
      </c>
      <c r="AC313">
        <v>1</v>
      </c>
      <c r="AD313" t="str">
        <f>_xlfn.XLOOKUP(Table1[[#This Row],[JobSatisfaction]],Table14[JobSatisfaction],Table14[Deskripsi])</f>
        <v>Low</v>
      </c>
      <c r="AE313" t="str">
        <f>_xlfn.XLOOKUP(Table1[[#This Row],[MaritalStatus]],Table15[MaritalStatus],Table15[Id_MaritalStatus])</f>
        <v>MS003</v>
      </c>
      <c r="AF313" t="s">
        <v>57</v>
      </c>
      <c r="AG313">
        <v>5210</v>
      </c>
      <c r="AH313">
        <v>20308</v>
      </c>
      <c r="AI313">
        <v>1</v>
      </c>
      <c r="AJ313" t="str">
        <f>_xlfn.XLOOKUP(Table1[[#This Row],[OverTime]],Table16[OverTime],Table16[Id_OverTime])</f>
        <v>OT002</v>
      </c>
      <c r="AK313" t="s">
        <v>33</v>
      </c>
      <c r="AL313">
        <v>18</v>
      </c>
      <c r="AM313" t="str">
        <f>_xlfn.XLOOKUP(Table1[[#This Row],[PerformanceRating]],Table17[PerformanceRating],Table17[Id_PerformanceRating])</f>
        <v>PR003</v>
      </c>
      <c r="AN313">
        <v>3</v>
      </c>
      <c r="AO313" t="str">
        <f>_xlfn.XLOOKUP(Table1[[#This Row],[PerformanceRating]],Table17[PerformanceRating],Table17[Deskripsi])</f>
        <v>Excellent</v>
      </c>
      <c r="AP313" t="str">
        <f>_xlfn.XLOOKUP(Table1[[#This Row],[RelationshipSatisfaction]],Table18[RelationshipSatisfaction],Table18[Id_RelationshipSatisfaction])</f>
        <v>RS001</v>
      </c>
      <c r="AQ313">
        <v>1</v>
      </c>
      <c r="AR313" t="str">
        <f>_xlfn.XLOOKUP(Table1[[#This Row],[RelationshipSatisfaction]],Table18[RelationshipSatisfaction],Table18[Deskripsi])</f>
        <v>Low</v>
      </c>
      <c r="AS313" t="str">
        <f>_xlfn.XLOOKUP(Table1[[#This Row],[StockOptionLevel]],Table19[StockOptionLevel],Table19[Id_StockOptionLevel])</f>
        <v>SOL002</v>
      </c>
      <c r="AT313">
        <v>1</v>
      </c>
      <c r="AU313" t="str">
        <f>_xlfn.XLOOKUP(Table1[[#This Row],[StockOptionLevel]],Table19[StockOptionLevel],Table19[Deskripsi])</f>
        <v>Standard</v>
      </c>
      <c r="AV313">
        <v>24</v>
      </c>
      <c r="AW313">
        <v>2</v>
      </c>
      <c r="AX313" t="str">
        <f>_xlfn.XLOOKUP(Table1[[#This Row],[WorkLifeBalance]],Table20[WorkLifeBalance],Table20[Id_WorkLifeBalance])</f>
        <v>WLB002</v>
      </c>
      <c r="AY313">
        <v>3</v>
      </c>
      <c r="AZ313" t="str">
        <f>_xlfn.XLOOKUP(Table1[[#This Row],[WorkLifeBalance]],Table20[WorkLifeBalance],Table20[Deskripsi])</f>
        <v>Good</v>
      </c>
      <c r="BA313">
        <v>24</v>
      </c>
      <c r="BB313">
        <v>9</v>
      </c>
      <c r="BC313">
        <v>9</v>
      </c>
      <c r="BD313">
        <v>11</v>
      </c>
    </row>
    <row r="314" spans="1:56" x14ac:dyDescent="0.25">
      <c r="A314">
        <v>31</v>
      </c>
      <c r="B314" t="str">
        <f>_xlfn.XLOOKUP(Table1[[#This Row],[Attrition]],Table2[Attrition],Table2[Id_Attrition])</f>
        <v>A002</v>
      </c>
      <c r="C314" t="s">
        <v>33</v>
      </c>
      <c r="D314" t="str">
        <f>_xlfn.XLOOKUP(Table1[[#This Row],[BusinessTravel]],Table5[BusinessTravel],Table5[Id_BusinessTravel])</f>
        <v>BS001</v>
      </c>
      <c r="E314" t="s">
        <v>34</v>
      </c>
      <c r="F314">
        <v>192</v>
      </c>
      <c r="G314" t="str">
        <f>_xlfn.XLOOKUP(Table1[[#This Row],[Department]],Table6[Department],Table6[Id_Departement])</f>
        <v>D002</v>
      </c>
      <c r="H314" t="s">
        <v>38</v>
      </c>
      <c r="I314">
        <v>2</v>
      </c>
      <c r="J314" t="str">
        <f>_xlfn.XLOOKUP(Table1[[#This Row],[Education]],Table8[Education],Table8[Id_Education])</f>
        <v>E004</v>
      </c>
      <c r="K314">
        <v>4</v>
      </c>
      <c r="L314" t="str">
        <f>_xlfn.XLOOKUP(Table1[[#This Row],[EducationField]],Table7[EducationField],Table7[Id_EducationField])</f>
        <v>EF001</v>
      </c>
      <c r="M314" t="s">
        <v>40</v>
      </c>
      <c r="N314" t="str">
        <f>_xlfn.XLOOKUP(Table1[[#This Row],[EmployeeNumber]],Table4[EmployeeNumber],Table4[Id_Employee])</f>
        <v>EMP00313</v>
      </c>
      <c r="O314">
        <v>426</v>
      </c>
      <c r="P314" t="str">
        <f>_xlfn.XLOOKUP(Table1[[#This Row],[EnvironmentSatisfaction]],Table9[EnvironmentSatisfaction],Table9[Id_EnviromentSatisfaction])</f>
        <v>ES003</v>
      </c>
      <c r="Q314">
        <v>3</v>
      </c>
      <c r="R314" t="str">
        <f>_xlfn.XLOOKUP(Table1[[#This Row],[EnvironmentSatisfaction]],Table9[EnvironmentSatisfaction],Table9[Deskripsi])</f>
        <v>High</v>
      </c>
      <c r="S314" t="str">
        <f>_xlfn.XLOOKUP(Table1[[#This Row],[Gender]],Table10[Gender],Table10[Id_Gender])</f>
        <v>G002</v>
      </c>
      <c r="T314" t="s">
        <v>46</v>
      </c>
      <c r="U314">
        <v>32</v>
      </c>
      <c r="V314" t="str">
        <f>_xlfn.XLOOKUP(Table1[[#This Row],[JobInvolvement]],Table11[JobInvolvement],Table11[Id_JobInvolvement])</f>
        <v>JI003</v>
      </c>
      <c r="W314">
        <v>3</v>
      </c>
      <c r="X314" t="str">
        <f>_xlfn.XLOOKUP(Table1[[#This Row],[JobLevel]],Table12[JobLevel],Table12[Id_JobLevel])</f>
        <v>JL001</v>
      </c>
      <c r="Y314">
        <v>1</v>
      </c>
      <c r="Z314" t="str">
        <f>_xlfn.XLOOKUP(Table1[[#This Row],[JobRole]],Table13[JobRole],Table13[Id_JobRole])</f>
        <v>JR002</v>
      </c>
      <c r="AA314" t="s">
        <v>48</v>
      </c>
      <c r="AB314" t="str">
        <f>_xlfn.XLOOKUP(Table1[[#This Row],[JobSatisfaction]],Table14[JobSatisfaction],Table14[Id_JobSatisfaction])</f>
        <v>JS004</v>
      </c>
      <c r="AC314">
        <v>4</v>
      </c>
      <c r="AD314" t="str">
        <f>_xlfn.XLOOKUP(Table1[[#This Row],[JobSatisfaction]],Table14[JobSatisfaction],Table14[Deskripsi])</f>
        <v>Very High</v>
      </c>
      <c r="AE314" t="str">
        <f>_xlfn.XLOOKUP(Table1[[#This Row],[MaritalStatus]],Table15[MaritalStatus],Table15[Id_MaritalStatus])</f>
        <v>MS003</v>
      </c>
      <c r="AF314" t="s">
        <v>57</v>
      </c>
      <c r="AG314">
        <v>2695</v>
      </c>
      <c r="AH314">
        <v>7747</v>
      </c>
      <c r="AI314">
        <v>0</v>
      </c>
      <c r="AJ314" t="str">
        <f>_xlfn.XLOOKUP(Table1[[#This Row],[OverTime]],Table16[OverTime],Table16[Id_OverTime])</f>
        <v>OT001</v>
      </c>
      <c r="AK314" t="s">
        <v>32</v>
      </c>
      <c r="AL314">
        <v>18</v>
      </c>
      <c r="AM314" t="str">
        <f>_xlfn.XLOOKUP(Table1[[#This Row],[PerformanceRating]],Table17[PerformanceRating],Table17[Id_PerformanceRating])</f>
        <v>PR003</v>
      </c>
      <c r="AN314">
        <v>3</v>
      </c>
      <c r="AO314" t="str">
        <f>_xlfn.XLOOKUP(Table1[[#This Row],[PerformanceRating]],Table17[PerformanceRating],Table17[Deskripsi])</f>
        <v>Excellent</v>
      </c>
      <c r="AP314" t="str">
        <f>_xlfn.XLOOKUP(Table1[[#This Row],[RelationshipSatisfaction]],Table18[RelationshipSatisfaction],Table18[Id_RelationshipSatisfaction])</f>
        <v>RS002</v>
      </c>
      <c r="AQ314">
        <v>2</v>
      </c>
      <c r="AR314" t="str">
        <f>_xlfn.XLOOKUP(Table1[[#This Row],[RelationshipSatisfaction]],Table18[RelationshipSatisfaction],Table18[Deskripsi])</f>
        <v>Medium</v>
      </c>
      <c r="AS314" t="str">
        <f>_xlfn.XLOOKUP(Table1[[#This Row],[StockOptionLevel]],Table19[StockOptionLevel],Table19[Id_StockOptionLevel])</f>
        <v>SOL002</v>
      </c>
      <c r="AT314">
        <v>1</v>
      </c>
      <c r="AU314" t="str">
        <f>_xlfn.XLOOKUP(Table1[[#This Row],[StockOptionLevel]],Table19[StockOptionLevel],Table19[Deskripsi])</f>
        <v>Standard</v>
      </c>
      <c r="AV314">
        <v>3</v>
      </c>
      <c r="AW314">
        <v>2</v>
      </c>
      <c r="AX314" t="str">
        <f>_xlfn.XLOOKUP(Table1[[#This Row],[WorkLifeBalance]],Table20[WorkLifeBalance],Table20[Id_WorkLifeBalance])</f>
        <v>WLB001</v>
      </c>
      <c r="AY314">
        <v>1</v>
      </c>
      <c r="AZ314" t="str">
        <f>_xlfn.XLOOKUP(Table1[[#This Row],[WorkLifeBalance]],Table20[WorkLifeBalance],Table20[Deskripsi])</f>
        <v>Bad</v>
      </c>
      <c r="BA314">
        <v>2</v>
      </c>
      <c r="BB314">
        <v>2</v>
      </c>
      <c r="BC314">
        <v>2</v>
      </c>
      <c r="BD314">
        <v>2</v>
      </c>
    </row>
    <row r="315" spans="1:56" x14ac:dyDescent="0.25">
      <c r="A315">
        <v>33</v>
      </c>
      <c r="B315" t="str">
        <f>_xlfn.XLOOKUP(Table1[[#This Row],[Attrition]],Table2[Attrition],Table2[Id_Attrition])</f>
        <v>A002</v>
      </c>
      <c r="C315" t="s">
        <v>33</v>
      </c>
      <c r="D315" t="str">
        <f>_xlfn.XLOOKUP(Table1[[#This Row],[BusinessTravel]],Table5[BusinessTravel],Table5[Id_BusinessTravel])</f>
        <v>BS002</v>
      </c>
      <c r="E315" t="s">
        <v>35</v>
      </c>
      <c r="F315">
        <v>553</v>
      </c>
      <c r="G315" t="str">
        <f>_xlfn.XLOOKUP(Table1[[#This Row],[Department]],Table6[Department],Table6[Id_Departement])</f>
        <v>D002</v>
      </c>
      <c r="H315" t="s">
        <v>38</v>
      </c>
      <c r="I315">
        <v>5</v>
      </c>
      <c r="J315" t="str">
        <f>_xlfn.XLOOKUP(Table1[[#This Row],[Education]],Table8[Education],Table8[Id_Education])</f>
        <v>E004</v>
      </c>
      <c r="K315">
        <v>4</v>
      </c>
      <c r="L315" t="str">
        <f>_xlfn.XLOOKUP(Table1[[#This Row],[EducationField]],Table7[EducationField],Table7[Id_EducationField])</f>
        <v>EF001</v>
      </c>
      <c r="M315" t="s">
        <v>40</v>
      </c>
      <c r="N315" t="str">
        <f>_xlfn.XLOOKUP(Table1[[#This Row],[EmployeeNumber]],Table4[EmployeeNumber],Table4[Id_Employee])</f>
        <v>EMP00314</v>
      </c>
      <c r="O315">
        <v>428</v>
      </c>
      <c r="P315" t="str">
        <f>_xlfn.XLOOKUP(Table1[[#This Row],[EnvironmentSatisfaction]],Table9[EnvironmentSatisfaction],Table9[Id_EnviromentSatisfaction])</f>
        <v>ES004</v>
      </c>
      <c r="Q315">
        <v>4</v>
      </c>
      <c r="R315" t="str">
        <f>_xlfn.XLOOKUP(Table1[[#This Row],[EnvironmentSatisfaction]],Table9[EnvironmentSatisfaction],Table9[Deskripsi])</f>
        <v>Very High</v>
      </c>
      <c r="S315" t="str">
        <f>_xlfn.XLOOKUP(Table1[[#This Row],[Gender]],Table10[Gender],Table10[Id_Gender])</f>
        <v>G001</v>
      </c>
      <c r="T315" t="s">
        <v>45</v>
      </c>
      <c r="U315">
        <v>74</v>
      </c>
      <c r="V315" t="str">
        <f>_xlfn.XLOOKUP(Table1[[#This Row],[JobInvolvement]],Table11[JobInvolvement],Table11[Id_JobInvolvement])</f>
        <v>JI003</v>
      </c>
      <c r="W315">
        <v>3</v>
      </c>
      <c r="X315" t="str">
        <f>_xlfn.XLOOKUP(Table1[[#This Row],[JobLevel]],Table12[JobLevel],Table12[Id_JobLevel])</f>
        <v>JL003</v>
      </c>
      <c r="Y315">
        <v>3</v>
      </c>
      <c r="Z315" t="str">
        <f>_xlfn.XLOOKUP(Table1[[#This Row],[JobRole]],Table13[JobRole],Table13[Id_JobRole])</f>
        <v>JR006</v>
      </c>
      <c r="AA315" t="s">
        <v>52</v>
      </c>
      <c r="AB315" t="str">
        <f>_xlfn.XLOOKUP(Table1[[#This Row],[JobSatisfaction]],Table14[JobSatisfaction],Table14[Id_JobSatisfaction])</f>
        <v>JS002</v>
      </c>
      <c r="AC315">
        <v>2</v>
      </c>
      <c r="AD315" t="str">
        <f>_xlfn.XLOOKUP(Table1[[#This Row],[JobSatisfaction]],Table14[JobSatisfaction],Table14[Deskripsi])</f>
        <v>Medium</v>
      </c>
      <c r="AE315" t="str">
        <f>_xlfn.XLOOKUP(Table1[[#This Row],[MaritalStatus]],Table15[MaritalStatus],Table15[Id_MaritalStatus])</f>
        <v>MS002</v>
      </c>
      <c r="AF315" t="s">
        <v>56</v>
      </c>
      <c r="AG315">
        <v>11878</v>
      </c>
      <c r="AH315">
        <v>23364</v>
      </c>
      <c r="AI315">
        <v>6</v>
      </c>
      <c r="AJ315" t="str">
        <f>_xlfn.XLOOKUP(Table1[[#This Row],[OverTime]],Table16[OverTime],Table16[Id_OverTime])</f>
        <v>OT002</v>
      </c>
      <c r="AK315" t="s">
        <v>33</v>
      </c>
      <c r="AL315">
        <v>11</v>
      </c>
      <c r="AM315" t="str">
        <f>_xlfn.XLOOKUP(Table1[[#This Row],[PerformanceRating]],Table17[PerformanceRating],Table17[Id_PerformanceRating])</f>
        <v>PR003</v>
      </c>
      <c r="AN315">
        <v>3</v>
      </c>
      <c r="AO315" t="str">
        <f>_xlfn.XLOOKUP(Table1[[#This Row],[PerformanceRating]],Table17[PerformanceRating],Table17[Deskripsi])</f>
        <v>Excellent</v>
      </c>
      <c r="AP315" t="str">
        <f>_xlfn.XLOOKUP(Table1[[#This Row],[RelationshipSatisfaction]],Table18[RelationshipSatisfaction],Table18[Id_RelationshipSatisfaction])</f>
        <v>RS002</v>
      </c>
      <c r="AQ315">
        <v>2</v>
      </c>
      <c r="AR315" t="str">
        <f>_xlfn.XLOOKUP(Table1[[#This Row],[RelationshipSatisfaction]],Table18[RelationshipSatisfaction],Table18[Deskripsi])</f>
        <v>Medium</v>
      </c>
      <c r="AS315" t="str">
        <f>_xlfn.XLOOKUP(Table1[[#This Row],[StockOptionLevel]],Table19[StockOptionLevel],Table19[Id_StockOptionLevel])</f>
        <v>SOL003</v>
      </c>
      <c r="AT315">
        <v>2</v>
      </c>
      <c r="AU315" t="str">
        <f>_xlfn.XLOOKUP(Table1[[#This Row],[StockOptionLevel]],Table19[StockOptionLevel],Table19[Deskripsi])</f>
        <v>Intermediate</v>
      </c>
      <c r="AV315">
        <v>12</v>
      </c>
      <c r="AW315">
        <v>2</v>
      </c>
      <c r="AX315" t="str">
        <f>_xlfn.XLOOKUP(Table1[[#This Row],[WorkLifeBalance]],Table20[WorkLifeBalance],Table20[Id_WorkLifeBalance])</f>
        <v>WLB002</v>
      </c>
      <c r="AY315">
        <v>3</v>
      </c>
      <c r="AZ315" t="str">
        <f>_xlfn.XLOOKUP(Table1[[#This Row],[WorkLifeBalance]],Table20[WorkLifeBalance],Table20[Deskripsi])</f>
        <v>Good</v>
      </c>
      <c r="BA315">
        <v>10</v>
      </c>
      <c r="BB315">
        <v>6</v>
      </c>
      <c r="BC315">
        <v>8</v>
      </c>
      <c r="BD315">
        <v>8</v>
      </c>
    </row>
    <row r="316" spans="1:56" x14ac:dyDescent="0.25">
      <c r="A316">
        <v>39</v>
      </c>
      <c r="B316" t="str">
        <f>_xlfn.XLOOKUP(Table1[[#This Row],[Attrition]],Table2[Attrition],Table2[Id_Attrition])</f>
        <v>A002</v>
      </c>
      <c r="C316" t="s">
        <v>33</v>
      </c>
      <c r="D316" t="str">
        <f>_xlfn.XLOOKUP(Table1[[#This Row],[BusinessTravel]],Table5[BusinessTravel],Table5[Id_BusinessTravel])</f>
        <v>BS001</v>
      </c>
      <c r="E316" t="s">
        <v>34</v>
      </c>
      <c r="F316">
        <v>117</v>
      </c>
      <c r="G316" t="str">
        <f>_xlfn.XLOOKUP(Table1[[#This Row],[Department]],Table6[Department],Table6[Id_Departement])</f>
        <v>D002</v>
      </c>
      <c r="H316" t="s">
        <v>38</v>
      </c>
      <c r="I316">
        <v>10</v>
      </c>
      <c r="J316" t="str">
        <f>_xlfn.XLOOKUP(Table1[[#This Row],[Education]],Table8[Education],Table8[Id_Education])</f>
        <v>E001</v>
      </c>
      <c r="K316">
        <v>1</v>
      </c>
      <c r="L316" t="str">
        <f>_xlfn.XLOOKUP(Table1[[#This Row],[EducationField]],Table7[EducationField],Table7[Id_EducationField])</f>
        <v>EF003</v>
      </c>
      <c r="M316" t="s">
        <v>42</v>
      </c>
      <c r="N316" t="str">
        <f>_xlfn.XLOOKUP(Table1[[#This Row],[EmployeeNumber]],Table4[EmployeeNumber],Table4[Id_Employee])</f>
        <v>EMP00315</v>
      </c>
      <c r="O316">
        <v>429</v>
      </c>
      <c r="P316" t="str">
        <f>_xlfn.XLOOKUP(Table1[[#This Row],[EnvironmentSatisfaction]],Table9[EnvironmentSatisfaction],Table9[Id_EnviromentSatisfaction])</f>
        <v>ES003</v>
      </c>
      <c r="Q316">
        <v>3</v>
      </c>
      <c r="R316" t="str">
        <f>_xlfn.XLOOKUP(Table1[[#This Row],[EnvironmentSatisfaction]],Table9[EnvironmentSatisfaction],Table9[Deskripsi])</f>
        <v>High</v>
      </c>
      <c r="S316" t="str">
        <f>_xlfn.XLOOKUP(Table1[[#This Row],[Gender]],Table10[Gender],Table10[Id_Gender])</f>
        <v>G002</v>
      </c>
      <c r="T316" t="s">
        <v>46</v>
      </c>
      <c r="U316">
        <v>99</v>
      </c>
      <c r="V316" t="str">
        <f>_xlfn.XLOOKUP(Table1[[#This Row],[JobInvolvement]],Table11[JobInvolvement],Table11[Id_JobInvolvement])</f>
        <v>JI003</v>
      </c>
      <c r="W316">
        <v>3</v>
      </c>
      <c r="X316" t="str">
        <f>_xlfn.XLOOKUP(Table1[[#This Row],[JobLevel]],Table12[JobLevel],Table12[Id_JobLevel])</f>
        <v>JL004</v>
      </c>
      <c r="Y316">
        <v>4</v>
      </c>
      <c r="Z316" t="str">
        <f>_xlfn.XLOOKUP(Table1[[#This Row],[JobRole]],Table13[JobRole],Table13[Id_JobRole])</f>
        <v>JR006</v>
      </c>
      <c r="AA316" t="s">
        <v>52</v>
      </c>
      <c r="AB316" t="str">
        <f>_xlfn.XLOOKUP(Table1[[#This Row],[JobSatisfaction]],Table14[JobSatisfaction],Table14[Id_JobSatisfaction])</f>
        <v>JS001</v>
      </c>
      <c r="AC316">
        <v>1</v>
      </c>
      <c r="AD316" t="str">
        <f>_xlfn.XLOOKUP(Table1[[#This Row],[JobSatisfaction]],Table14[JobSatisfaction],Table14[Deskripsi])</f>
        <v>Low</v>
      </c>
      <c r="AE316" t="str">
        <f>_xlfn.XLOOKUP(Table1[[#This Row],[MaritalStatus]],Table15[MaritalStatus],Table15[Id_MaritalStatus])</f>
        <v>MS002</v>
      </c>
      <c r="AF316" t="s">
        <v>56</v>
      </c>
      <c r="AG316">
        <v>17068</v>
      </c>
      <c r="AH316">
        <v>5355</v>
      </c>
      <c r="AI316">
        <v>1</v>
      </c>
      <c r="AJ316" t="str">
        <f>_xlfn.XLOOKUP(Table1[[#This Row],[OverTime]],Table16[OverTime],Table16[Id_OverTime])</f>
        <v>OT001</v>
      </c>
      <c r="AK316" t="s">
        <v>32</v>
      </c>
      <c r="AL316">
        <v>14</v>
      </c>
      <c r="AM316" t="str">
        <f>_xlfn.XLOOKUP(Table1[[#This Row],[PerformanceRating]],Table17[PerformanceRating],Table17[Id_PerformanceRating])</f>
        <v>PR003</v>
      </c>
      <c r="AN316">
        <v>3</v>
      </c>
      <c r="AO316" t="str">
        <f>_xlfn.XLOOKUP(Table1[[#This Row],[PerformanceRating]],Table17[PerformanceRating],Table17[Deskripsi])</f>
        <v>Excellent</v>
      </c>
      <c r="AP316" t="str">
        <f>_xlfn.XLOOKUP(Table1[[#This Row],[RelationshipSatisfaction]],Table18[RelationshipSatisfaction],Table18[Id_RelationshipSatisfaction])</f>
        <v>RS004</v>
      </c>
      <c r="AQ316">
        <v>4</v>
      </c>
      <c r="AR316" t="str">
        <f>_xlfn.XLOOKUP(Table1[[#This Row],[RelationshipSatisfaction]],Table18[RelationshipSatisfaction],Table18[Deskripsi])</f>
        <v>Very High</v>
      </c>
      <c r="AS316" t="str">
        <f>_xlfn.XLOOKUP(Table1[[#This Row],[StockOptionLevel]],Table19[StockOptionLevel],Table19[Id_StockOptionLevel])</f>
        <v>SOL001</v>
      </c>
      <c r="AT316">
        <v>0</v>
      </c>
      <c r="AU316" t="str">
        <f>_xlfn.XLOOKUP(Table1[[#This Row],[StockOptionLevel]],Table19[StockOptionLevel],Table19[Deskripsi])</f>
        <v>Non-Eligible</v>
      </c>
      <c r="AV316">
        <v>21</v>
      </c>
      <c r="AW316">
        <v>3</v>
      </c>
      <c r="AX316" t="str">
        <f>_xlfn.XLOOKUP(Table1[[#This Row],[WorkLifeBalance]],Table20[WorkLifeBalance],Table20[Id_WorkLifeBalance])</f>
        <v>WLB002</v>
      </c>
      <c r="AY316">
        <v>3</v>
      </c>
      <c r="AZ316" t="str">
        <f>_xlfn.XLOOKUP(Table1[[#This Row],[WorkLifeBalance]],Table20[WorkLifeBalance],Table20[Deskripsi])</f>
        <v>Good</v>
      </c>
      <c r="BA316">
        <v>21</v>
      </c>
      <c r="BB316">
        <v>9</v>
      </c>
      <c r="BC316">
        <v>11</v>
      </c>
      <c r="BD316">
        <v>10</v>
      </c>
    </row>
    <row r="317" spans="1:56" x14ac:dyDescent="0.25">
      <c r="A317">
        <v>43</v>
      </c>
      <c r="B317" t="str">
        <f>_xlfn.XLOOKUP(Table1[[#This Row],[Attrition]],Table2[Attrition],Table2[Id_Attrition])</f>
        <v>A002</v>
      </c>
      <c r="C317" t="s">
        <v>33</v>
      </c>
      <c r="D317" t="str">
        <f>_xlfn.XLOOKUP(Table1[[#This Row],[BusinessTravel]],Table5[BusinessTravel],Table5[Id_BusinessTravel])</f>
        <v>BS002</v>
      </c>
      <c r="E317" t="s">
        <v>35</v>
      </c>
      <c r="F317">
        <v>185</v>
      </c>
      <c r="G317" t="str">
        <f>_xlfn.XLOOKUP(Table1[[#This Row],[Department]],Table6[Department],Table6[Id_Departement])</f>
        <v>D002</v>
      </c>
      <c r="H317" t="s">
        <v>38</v>
      </c>
      <c r="I317">
        <v>10</v>
      </c>
      <c r="J317" t="str">
        <f>_xlfn.XLOOKUP(Table1[[#This Row],[Education]],Table8[Education],Table8[Id_Education])</f>
        <v>E004</v>
      </c>
      <c r="K317">
        <v>4</v>
      </c>
      <c r="L317" t="str">
        <f>_xlfn.XLOOKUP(Table1[[#This Row],[EducationField]],Table7[EducationField],Table7[Id_EducationField])</f>
        <v>EF001</v>
      </c>
      <c r="M317" t="s">
        <v>40</v>
      </c>
      <c r="N317" t="str">
        <f>_xlfn.XLOOKUP(Table1[[#This Row],[EmployeeNumber]],Table4[EmployeeNumber],Table4[Id_Employee])</f>
        <v>EMP00316</v>
      </c>
      <c r="O317">
        <v>430</v>
      </c>
      <c r="P317" t="str">
        <f>_xlfn.XLOOKUP(Table1[[#This Row],[EnvironmentSatisfaction]],Table9[EnvironmentSatisfaction],Table9[Id_EnviromentSatisfaction])</f>
        <v>ES003</v>
      </c>
      <c r="Q317">
        <v>3</v>
      </c>
      <c r="R317" t="str">
        <f>_xlfn.XLOOKUP(Table1[[#This Row],[EnvironmentSatisfaction]],Table9[EnvironmentSatisfaction],Table9[Deskripsi])</f>
        <v>High</v>
      </c>
      <c r="S317" t="str">
        <f>_xlfn.XLOOKUP(Table1[[#This Row],[Gender]],Table10[Gender],Table10[Id_Gender])</f>
        <v>G001</v>
      </c>
      <c r="T317" t="s">
        <v>45</v>
      </c>
      <c r="U317">
        <v>33</v>
      </c>
      <c r="V317" t="str">
        <f>_xlfn.XLOOKUP(Table1[[#This Row],[JobInvolvement]],Table11[JobInvolvement],Table11[Id_JobInvolvement])</f>
        <v>JI003</v>
      </c>
      <c r="W317">
        <v>3</v>
      </c>
      <c r="X317" t="str">
        <f>_xlfn.XLOOKUP(Table1[[#This Row],[JobLevel]],Table12[JobLevel],Table12[Id_JobLevel])</f>
        <v>JL001</v>
      </c>
      <c r="Y317">
        <v>1</v>
      </c>
      <c r="Z317" t="str">
        <f>_xlfn.XLOOKUP(Table1[[#This Row],[JobRole]],Table13[JobRole],Table13[Id_JobRole])</f>
        <v>JR003</v>
      </c>
      <c r="AA317" t="s">
        <v>49</v>
      </c>
      <c r="AB317" t="str">
        <f>_xlfn.XLOOKUP(Table1[[#This Row],[JobSatisfaction]],Table14[JobSatisfaction],Table14[Id_JobSatisfaction])</f>
        <v>JS004</v>
      </c>
      <c r="AC317">
        <v>4</v>
      </c>
      <c r="AD317" t="str">
        <f>_xlfn.XLOOKUP(Table1[[#This Row],[JobSatisfaction]],Table14[JobSatisfaction],Table14[Deskripsi])</f>
        <v>Very High</v>
      </c>
      <c r="AE317" t="str">
        <f>_xlfn.XLOOKUP(Table1[[#This Row],[MaritalStatus]],Table15[MaritalStatus],Table15[Id_MaritalStatus])</f>
        <v>MS001</v>
      </c>
      <c r="AF317" t="s">
        <v>55</v>
      </c>
      <c r="AG317">
        <v>2455</v>
      </c>
      <c r="AH317">
        <v>10675</v>
      </c>
      <c r="AI317">
        <v>0</v>
      </c>
      <c r="AJ317" t="str">
        <f>_xlfn.XLOOKUP(Table1[[#This Row],[OverTime]],Table16[OverTime],Table16[Id_OverTime])</f>
        <v>OT002</v>
      </c>
      <c r="AK317" t="s">
        <v>33</v>
      </c>
      <c r="AL317">
        <v>19</v>
      </c>
      <c r="AM317" t="str">
        <f>_xlfn.XLOOKUP(Table1[[#This Row],[PerformanceRating]],Table17[PerformanceRating],Table17[Id_PerformanceRating])</f>
        <v>PR003</v>
      </c>
      <c r="AN317">
        <v>3</v>
      </c>
      <c r="AO317" t="str">
        <f>_xlfn.XLOOKUP(Table1[[#This Row],[PerformanceRating]],Table17[PerformanceRating],Table17[Deskripsi])</f>
        <v>Excellent</v>
      </c>
      <c r="AP317" t="str">
        <f>_xlfn.XLOOKUP(Table1[[#This Row],[RelationshipSatisfaction]],Table18[RelationshipSatisfaction],Table18[Id_RelationshipSatisfaction])</f>
        <v>RS001</v>
      </c>
      <c r="AQ317">
        <v>1</v>
      </c>
      <c r="AR317" t="str">
        <f>_xlfn.XLOOKUP(Table1[[#This Row],[RelationshipSatisfaction]],Table18[RelationshipSatisfaction],Table18[Deskripsi])</f>
        <v>Low</v>
      </c>
      <c r="AS317" t="str">
        <f>_xlfn.XLOOKUP(Table1[[#This Row],[StockOptionLevel]],Table19[StockOptionLevel],Table19[Id_StockOptionLevel])</f>
        <v>SOL001</v>
      </c>
      <c r="AT317">
        <v>0</v>
      </c>
      <c r="AU317" t="str">
        <f>_xlfn.XLOOKUP(Table1[[#This Row],[StockOptionLevel]],Table19[StockOptionLevel],Table19[Deskripsi])</f>
        <v>Non-Eligible</v>
      </c>
      <c r="AV317">
        <v>9</v>
      </c>
      <c r="AW317">
        <v>5</v>
      </c>
      <c r="AX317" t="str">
        <f>_xlfn.XLOOKUP(Table1[[#This Row],[WorkLifeBalance]],Table20[WorkLifeBalance],Table20[Id_WorkLifeBalance])</f>
        <v>WLB002</v>
      </c>
      <c r="AY317">
        <v>3</v>
      </c>
      <c r="AZ317" t="str">
        <f>_xlfn.XLOOKUP(Table1[[#This Row],[WorkLifeBalance]],Table20[WorkLifeBalance],Table20[Deskripsi])</f>
        <v>Good</v>
      </c>
      <c r="BA317">
        <v>8</v>
      </c>
      <c r="BB317">
        <v>7</v>
      </c>
      <c r="BC317">
        <v>1</v>
      </c>
      <c r="BD317">
        <v>7</v>
      </c>
    </row>
    <row r="318" spans="1:56" x14ac:dyDescent="0.25">
      <c r="A318">
        <v>49</v>
      </c>
      <c r="B318" t="str">
        <f>_xlfn.XLOOKUP(Table1[[#This Row],[Attrition]],Table2[Attrition],Table2[Id_Attrition])</f>
        <v>A002</v>
      </c>
      <c r="C318" t="s">
        <v>33</v>
      </c>
      <c r="D318" t="str">
        <f>_xlfn.XLOOKUP(Table1[[#This Row],[BusinessTravel]],Table5[BusinessTravel],Table5[Id_BusinessTravel])</f>
        <v>BS001</v>
      </c>
      <c r="E318" t="s">
        <v>34</v>
      </c>
      <c r="F318">
        <v>1091</v>
      </c>
      <c r="G318" t="str">
        <f>_xlfn.XLOOKUP(Table1[[#This Row],[Department]],Table6[Department],Table6[Id_Departement])</f>
        <v>D002</v>
      </c>
      <c r="H318" t="s">
        <v>38</v>
      </c>
      <c r="I318">
        <v>1</v>
      </c>
      <c r="J318" t="str">
        <f>_xlfn.XLOOKUP(Table1[[#This Row],[Education]],Table8[Education],Table8[Id_Education])</f>
        <v>E002</v>
      </c>
      <c r="K318">
        <v>2</v>
      </c>
      <c r="L318" t="str">
        <f>_xlfn.XLOOKUP(Table1[[#This Row],[EducationField]],Table7[EducationField],Table7[Id_EducationField])</f>
        <v>EF005</v>
      </c>
      <c r="M318" t="s">
        <v>44</v>
      </c>
      <c r="N318" t="str">
        <f>_xlfn.XLOOKUP(Table1[[#This Row],[EmployeeNumber]],Table4[EmployeeNumber],Table4[Id_Employee])</f>
        <v>EMP00317</v>
      </c>
      <c r="O318">
        <v>431</v>
      </c>
      <c r="P318" t="str">
        <f>_xlfn.XLOOKUP(Table1[[#This Row],[EnvironmentSatisfaction]],Table9[EnvironmentSatisfaction],Table9[Id_EnviromentSatisfaction])</f>
        <v>ES003</v>
      </c>
      <c r="Q318">
        <v>3</v>
      </c>
      <c r="R318" t="str">
        <f>_xlfn.XLOOKUP(Table1[[#This Row],[EnvironmentSatisfaction]],Table9[EnvironmentSatisfaction],Table9[Deskripsi])</f>
        <v>High</v>
      </c>
      <c r="S318" t="str">
        <f>_xlfn.XLOOKUP(Table1[[#This Row],[Gender]],Table10[Gender],Table10[Id_Gender])</f>
        <v>G001</v>
      </c>
      <c r="T318" t="s">
        <v>45</v>
      </c>
      <c r="U318">
        <v>90</v>
      </c>
      <c r="V318" t="str">
        <f>_xlfn.XLOOKUP(Table1[[#This Row],[JobInvolvement]],Table11[JobInvolvement],Table11[Id_JobInvolvement])</f>
        <v>JI002</v>
      </c>
      <c r="W318">
        <v>2</v>
      </c>
      <c r="X318" t="str">
        <f>_xlfn.XLOOKUP(Table1[[#This Row],[JobLevel]],Table12[JobLevel],Table12[Id_JobLevel])</f>
        <v>JL004</v>
      </c>
      <c r="Y318">
        <v>4</v>
      </c>
      <c r="Z318" t="str">
        <f>_xlfn.XLOOKUP(Table1[[#This Row],[JobRole]],Table13[JobRole],Table13[Id_JobRole])</f>
        <v>JR005</v>
      </c>
      <c r="AA318" t="s">
        <v>51</v>
      </c>
      <c r="AB318" t="str">
        <f>_xlfn.XLOOKUP(Table1[[#This Row],[JobSatisfaction]],Table14[JobSatisfaction],Table14[Id_JobSatisfaction])</f>
        <v>JS003</v>
      </c>
      <c r="AC318">
        <v>3</v>
      </c>
      <c r="AD318" t="str">
        <f>_xlfn.XLOOKUP(Table1[[#This Row],[JobSatisfaction]],Table14[JobSatisfaction],Table14[Deskripsi])</f>
        <v>High</v>
      </c>
      <c r="AE318" t="str">
        <f>_xlfn.XLOOKUP(Table1[[#This Row],[MaritalStatus]],Table15[MaritalStatus],Table15[Id_MaritalStatus])</f>
        <v>MS001</v>
      </c>
      <c r="AF318" t="s">
        <v>55</v>
      </c>
      <c r="AG318">
        <v>13964</v>
      </c>
      <c r="AH318">
        <v>17810</v>
      </c>
      <c r="AI318">
        <v>7</v>
      </c>
      <c r="AJ318" t="str">
        <f>_xlfn.XLOOKUP(Table1[[#This Row],[OverTime]],Table16[OverTime],Table16[Id_OverTime])</f>
        <v>OT001</v>
      </c>
      <c r="AK318" t="s">
        <v>32</v>
      </c>
      <c r="AL318">
        <v>12</v>
      </c>
      <c r="AM318" t="str">
        <f>_xlfn.XLOOKUP(Table1[[#This Row],[PerformanceRating]],Table17[PerformanceRating],Table17[Id_PerformanceRating])</f>
        <v>PR003</v>
      </c>
      <c r="AN318">
        <v>3</v>
      </c>
      <c r="AO318" t="str">
        <f>_xlfn.XLOOKUP(Table1[[#This Row],[PerformanceRating]],Table17[PerformanceRating],Table17[Deskripsi])</f>
        <v>Excellent</v>
      </c>
      <c r="AP318" t="str">
        <f>_xlfn.XLOOKUP(Table1[[#This Row],[RelationshipSatisfaction]],Table18[RelationshipSatisfaction],Table18[Id_RelationshipSatisfaction])</f>
        <v>RS004</v>
      </c>
      <c r="AQ318">
        <v>4</v>
      </c>
      <c r="AR318" t="str">
        <f>_xlfn.XLOOKUP(Table1[[#This Row],[RelationshipSatisfaction]],Table18[RelationshipSatisfaction],Table18[Deskripsi])</f>
        <v>Very High</v>
      </c>
      <c r="AS318" t="str">
        <f>_xlfn.XLOOKUP(Table1[[#This Row],[StockOptionLevel]],Table19[StockOptionLevel],Table19[Id_StockOptionLevel])</f>
        <v>SOL001</v>
      </c>
      <c r="AT318">
        <v>0</v>
      </c>
      <c r="AU318" t="str">
        <f>_xlfn.XLOOKUP(Table1[[#This Row],[StockOptionLevel]],Table19[StockOptionLevel],Table19[Deskripsi])</f>
        <v>Non-Eligible</v>
      </c>
      <c r="AV318">
        <v>25</v>
      </c>
      <c r="AW318">
        <v>2</v>
      </c>
      <c r="AX318" t="str">
        <f>_xlfn.XLOOKUP(Table1[[#This Row],[WorkLifeBalance]],Table20[WorkLifeBalance],Table20[Id_WorkLifeBalance])</f>
        <v>WLB002</v>
      </c>
      <c r="AY318">
        <v>3</v>
      </c>
      <c r="AZ318" t="str">
        <f>_xlfn.XLOOKUP(Table1[[#This Row],[WorkLifeBalance]],Table20[WorkLifeBalance],Table20[Deskripsi])</f>
        <v>Good</v>
      </c>
      <c r="BA318">
        <v>7</v>
      </c>
      <c r="BB318">
        <v>1</v>
      </c>
      <c r="BC318">
        <v>0</v>
      </c>
      <c r="BD318">
        <v>7</v>
      </c>
    </row>
    <row r="319" spans="1:56" x14ac:dyDescent="0.25">
      <c r="A319">
        <v>52</v>
      </c>
      <c r="B319" t="str">
        <f>_xlfn.XLOOKUP(Table1[[#This Row],[Attrition]],Table2[Attrition],Table2[Id_Attrition])</f>
        <v>A001</v>
      </c>
      <c r="C319" t="s">
        <v>32</v>
      </c>
      <c r="D319" t="str">
        <f>_xlfn.XLOOKUP(Table1[[#This Row],[BusinessTravel]],Table5[BusinessTravel],Table5[Id_BusinessTravel])</f>
        <v>BS001</v>
      </c>
      <c r="E319" t="s">
        <v>34</v>
      </c>
      <c r="F319">
        <v>723</v>
      </c>
      <c r="G319" t="str">
        <f>_xlfn.XLOOKUP(Table1[[#This Row],[Department]],Table6[Department],Table6[Id_Departement])</f>
        <v>D002</v>
      </c>
      <c r="H319" t="s">
        <v>38</v>
      </c>
      <c r="I319">
        <v>8</v>
      </c>
      <c r="J319" t="str">
        <f>_xlfn.XLOOKUP(Table1[[#This Row],[Education]],Table8[Education],Table8[Id_Education])</f>
        <v>E004</v>
      </c>
      <c r="K319">
        <v>4</v>
      </c>
      <c r="L319" t="str">
        <f>_xlfn.XLOOKUP(Table1[[#This Row],[EducationField]],Table7[EducationField],Table7[Id_EducationField])</f>
        <v>EF003</v>
      </c>
      <c r="M319" t="s">
        <v>42</v>
      </c>
      <c r="N319" t="str">
        <f>_xlfn.XLOOKUP(Table1[[#This Row],[EmployeeNumber]],Table4[EmployeeNumber],Table4[Id_Employee])</f>
        <v>EMP00318</v>
      </c>
      <c r="O319">
        <v>433</v>
      </c>
      <c r="P319" t="str">
        <f>_xlfn.XLOOKUP(Table1[[#This Row],[EnvironmentSatisfaction]],Table9[EnvironmentSatisfaction],Table9[Id_EnviromentSatisfaction])</f>
        <v>ES003</v>
      </c>
      <c r="Q319">
        <v>3</v>
      </c>
      <c r="R319" t="str">
        <f>_xlfn.XLOOKUP(Table1[[#This Row],[EnvironmentSatisfaction]],Table9[EnvironmentSatisfaction],Table9[Deskripsi])</f>
        <v>High</v>
      </c>
      <c r="S319" t="str">
        <f>_xlfn.XLOOKUP(Table1[[#This Row],[Gender]],Table10[Gender],Table10[Id_Gender])</f>
        <v>G002</v>
      </c>
      <c r="T319" t="s">
        <v>46</v>
      </c>
      <c r="U319">
        <v>85</v>
      </c>
      <c r="V319" t="str">
        <f>_xlfn.XLOOKUP(Table1[[#This Row],[JobInvolvement]],Table11[JobInvolvement],Table11[Id_JobInvolvement])</f>
        <v>JI002</v>
      </c>
      <c r="W319">
        <v>2</v>
      </c>
      <c r="X319" t="str">
        <f>_xlfn.XLOOKUP(Table1[[#This Row],[JobLevel]],Table12[JobLevel],Table12[Id_JobLevel])</f>
        <v>JL002</v>
      </c>
      <c r="Y319">
        <v>2</v>
      </c>
      <c r="Z319" t="str">
        <f>_xlfn.XLOOKUP(Table1[[#This Row],[JobRole]],Table13[JobRole],Table13[Id_JobRole])</f>
        <v>JR002</v>
      </c>
      <c r="AA319" t="s">
        <v>48</v>
      </c>
      <c r="AB319" t="str">
        <f>_xlfn.XLOOKUP(Table1[[#This Row],[JobSatisfaction]],Table14[JobSatisfaction],Table14[Id_JobSatisfaction])</f>
        <v>JS002</v>
      </c>
      <c r="AC319">
        <v>2</v>
      </c>
      <c r="AD319" t="str">
        <f>_xlfn.XLOOKUP(Table1[[#This Row],[JobSatisfaction]],Table14[JobSatisfaction],Table14[Deskripsi])</f>
        <v>Medium</v>
      </c>
      <c r="AE319" t="str">
        <f>_xlfn.XLOOKUP(Table1[[#This Row],[MaritalStatus]],Table15[MaritalStatus],Table15[Id_MaritalStatus])</f>
        <v>MS002</v>
      </c>
      <c r="AF319" t="s">
        <v>56</v>
      </c>
      <c r="AG319">
        <v>4941</v>
      </c>
      <c r="AH319">
        <v>17747</v>
      </c>
      <c r="AI319">
        <v>2</v>
      </c>
      <c r="AJ319" t="str">
        <f>_xlfn.XLOOKUP(Table1[[#This Row],[OverTime]],Table16[OverTime],Table16[Id_OverTime])</f>
        <v>OT002</v>
      </c>
      <c r="AK319" t="s">
        <v>33</v>
      </c>
      <c r="AL319">
        <v>15</v>
      </c>
      <c r="AM319" t="str">
        <f>_xlfn.XLOOKUP(Table1[[#This Row],[PerformanceRating]],Table17[PerformanceRating],Table17[Id_PerformanceRating])</f>
        <v>PR003</v>
      </c>
      <c r="AN319">
        <v>3</v>
      </c>
      <c r="AO319" t="str">
        <f>_xlfn.XLOOKUP(Table1[[#This Row],[PerformanceRating]],Table17[PerformanceRating],Table17[Deskripsi])</f>
        <v>Excellent</v>
      </c>
      <c r="AP319" t="str">
        <f>_xlfn.XLOOKUP(Table1[[#This Row],[RelationshipSatisfaction]],Table18[RelationshipSatisfaction],Table18[Id_RelationshipSatisfaction])</f>
        <v>RS001</v>
      </c>
      <c r="AQ319">
        <v>1</v>
      </c>
      <c r="AR319" t="str">
        <f>_xlfn.XLOOKUP(Table1[[#This Row],[RelationshipSatisfaction]],Table18[RelationshipSatisfaction],Table18[Deskripsi])</f>
        <v>Low</v>
      </c>
      <c r="AS319" t="str">
        <f>_xlfn.XLOOKUP(Table1[[#This Row],[StockOptionLevel]],Table19[StockOptionLevel],Table19[Id_StockOptionLevel])</f>
        <v>SOL001</v>
      </c>
      <c r="AT319">
        <v>0</v>
      </c>
      <c r="AU319" t="str">
        <f>_xlfn.XLOOKUP(Table1[[#This Row],[StockOptionLevel]],Table19[StockOptionLevel],Table19[Deskripsi])</f>
        <v>Non-Eligible</v>
      </c>
      <c r="AV319">
        <v>11</v>
      </c>
      <c r="AW319">
        <v>3</v>
      </c>
      <c r="AX319" t="str">
        <f>_xlfn.XLOOKUP(Table1[[#This Row],[WorkLifeBalance]],Table20[WorkLifeBalance],Table20[Id_WorkLifeBalance])</f>
        <v>WLB003</v>
      </c>
      <c r="AY319">
        <v>2</v>
      </c>
      <c r="AZ319" t="str">
        <f>_xlfn.XLOOKUP(Table1[[#This Row],[WorkLifeBalance]],Table20[WorkLifeBalance],Table20[Deskripsi])</f>
        <v>Better</v>
      </c>
      <c r="BA319">
        <v>8</v>
      </c>
      <c r="BB319">
        <v>2</v>
      </c>
      <c r="BC319">
        <v>7</v>
      </c>
      <c r="BD319">
        <v>7</v>
      </c>
    </row>
    <row r="320" spans="1:56" x14ac:dyDescent="0.25">
      <c r="A320">
        <v>27</v>
      </c>
      <c r="B320" t="str">
        <f>_xlfn.XLOOKUP(Table1[[#This Row],[Attrition]],Table2[Attrition],Table2[Id_Attrition])</f>
        <v>A002</v>
      </c>
      <c r="C320" t="s">
        <v>33</v>
      </c>
      <c r="D320" t="str">
        <f>_xlfn.XLOOKUP(Table1[[#This Row],[BusinessTravel]],Table5[BusinessTravel],Table5[Id_BusinessTravel])</f>
        <v>BS001</v>
      </c>
      <c r="E320" t="s">
        <v>34</v>
      </c>
      <c r="F320">
        <v>1220</v>
      </c>
      <c r="G320" t="str">
        <f>_xlfn.XLOOKUP(Table1[[#This Row],[Department]],Table6[Department],Table6[Id_Departement])</f>
        <v>D002</v>
      </c>
      <c r="H320" t="s">
        <v>38</v>
      </c>
      <c r="I320">
        <v>5</v>
      </c>
      <c r="J320" t="str">
        <f>_xlfn.XLOOKUP(Table1[[#This Row],[Education]],Table8[Education],Table8[Id_Education])</f>
        <v>E003</v>
      </c>
      <c r="K320">
        <v>3</v>
      </c>
      <c r="L320" t="str">
        <f>_xlfn.XLOOKUP(Table1[[#This Row],[EducationField]],Table7[EducationField],Table7[Id_EducationField])</f>
        <v>EF001</v>
      </c>
      <c r="M320" t="s">
        <v>40</v>
      </c>
      <c r="N320" t="str">
        <f>_xlfn.XLOOKUP(Table1[[#This Row],[EmployeeNumber]],Table4[EmployeeNumber],Table4[Id_Employee])</f>
        <v>EMP00319</v>
      </c>
      <c r="O320">
        <v>434</v>
      </c>
      <c r="P320" t="str">
        <f>_xlfn.XLOOKUP(Table1[[#This Row],[EnvironmentSatisfaction]],Table9[EnvironmentSatisfaction],Table9[Id_EnviromentSatisfaction])</f>
        <v>ES003</v>
      </c>
      <c r="Q320">
        <v>3</v>
      </c>
      <c r="R320" t="str">
        <f>_xlfn.XLOOKUP(Table1[[#This Row],[EnvironmentSatisfaction]],Table9[EnvironmentSatisfaction],Table9[Deskripsi])</f>
        <v>High</v>
      </c>
      <c r="S320" t="str">
        <f>_xlfn.XLOOKUP(Table1[[#This Row],[Gender]],Table10[Gender],Table10[Id_Gender])</f>
        <v>G001</v>
      </c>
      <c r="T320" t="s">
        <v>45</v>
      </c>
      <c r="U320">
        <v>85</v>
      </c>
      <c r="V320" t="str">
        <f>_xlfn.XLOOKUP(Table1[[#This Row],[JobInvolvement]],Table11[JobInvolvement],Table11[Id_JobInvolvement])</f>
        <v>JI003</v>
      </c>
      <c r="W320">
        <v>3</v>
      </c>
      <c r="X320" t="str">
        <f>_xlfn.XLOOKUP(Table1[[#This Row],[JobLevel]],Table12[JobLevel],Table12[Id_JobLevel])</f>
        <v>JL001</v>
      </c>
      <c r="Y320">
        <v>1</v>
      </c>
      <c r="Z320" t="str">
        <f>_xlfn.XLOOKUP(Table1[[#This Row],[JobRole]],Table13[JobRole],Table13[Id_JobRole])</f>
        <v>JR002</v>
      </c>
      <c r="AA320" t="s">
        <v>48</v>
      </c>
      <c r="AB320" t="str">
        <f>_xlfn.XLOOKUP(Table1[[#This Row],[JobSatisfaction]],Table14[JobSatisfaction],Table14[Id_JobSatisfaction])</f>
        <v>JS002</v>
      </c>
      <c r="AC320">
        <v>2</v>
      </c>
      <c r="AD320" t="str">
        <f>_xlfn.XLOOKUP(Table1[[#This Row],[JobSatisfaction]],Table14[JobSatisfaction],Table14[Deskripsi])</f>
        <v>Medium</v>
      </c>
      <c r="AE320" t="str">
        <f>_xlfn.XLOOKUP(Table1[[#This Row],[MaritalStatus]],Table15[MaritalStatus],Table15[Id_MaritalStatus])</f>
        <v>MS001</v>
      </c>
      <c r="AF320" t="s">
        <v>55</v>
      </c>
      <c r="AG320">
        <v>2478</v>
      </c>
      <c r="AH320">
        <v>20938</v>
      </c>
      <c r="AI320">
        <v>1</v>
      </c>
      <c r="AJ320" t="str">
        <f>_xlfn.XLOOKUP(Table1[[#This Row],[OverTime]],Table16[OverTime],Table16[Id_OverTime])</f>
        <v>OT001</v>
      </c>
      <c r="AK320" t="s">
        <v>32</v>
      </c>
      <c r="AL320">
        <v>12</v>
      </c>
      <c r="AM320" t="str">
        <f>_xlfn.XLOOKUP(Table1[[#This Row],[PerformanceRating]],Table17[PerformanceRating],Table17[Id_PerformanceRating])</f>
        <v>PR003</v>
      </c>
      <c r="AN320">
        <v>3</v>
      </c>
      <c r="AO320" t="str">
        <f>_xlfn.XLOOKUP(Table1[[#This Row],[PerformanceRating]],Table17[PerformanceRating],Table17[Deskripsi])</f>
        <v>Excellent</v>
      </c>
      <c r="AP320" t="str">
        <f>_xlfn.XLOOKUP(Table1[[#This Row],[RelationshipSatisfaction]],Table18[RelationshipSatisfaction],Table18[Id_RelationshipSatisfaction])</f>
        <v>RS002</v>
      </c>
      <c r="AQ320">
        <v>2</v>
      </c>
      <c r="AR320" t="str">
        <f>_xlfn.XLOOKUP(Table1[[#This Row],[RelationshipSatisfaction]],Table18[RelationshipSatisfaction],Table18[Deskripsi])</f>
        <v>Medium</v>
      </c>
      <c r="AS320" t="str">
        <f>_xlfn.XLOOKUP(Table1[[#This Row],[StockOptionLevel]],Table19[StockOptionLevel],Table19[Id_StockOptionLevel])</f>
        <v>SOL001</v>
      </c>
      <c r="AT320">
        <v>0</v>
      </c>
      <c r="AU320" t="str">
        <f>_xlfn.XLOOKUP(Table1[[#This Row],[StockOptionLevel]],Table19[StockOptionLevel],Table19[Deskripsi])</f>
        <v>Non-Eligible</v>
      </c>
      <c r="AV320">
        <v>4</v>
      </c>
      <c r="AW320">
        <v>2</v>
      </c>
      <c r="AX320" t="str">
        <f>_xlfn.XLOOKUP(Table1[[#This Row],[WorkLifeBalance]],Table20[WorkLifeBalance],Table20[Id_WorkLifeBalance])</f>
        <v>WLB003</v>
      </c>
      <c r="AY320">
        <v>2</v>
      </c>
      <c r="AZ320" t="str">
        <f>_xlfn.XLOOKUP(Table1[[#This Row],[WorkLifeBalance]],Table20[WorkLifeBalance],Table20[Deskripsi])</f>
        <v>Better</v>
      </c>
      <c r="BA320">
        <v>4</v>
      </c>
      <c r="BB320">
        <v>3</v>
      </c>
      <c r="BC320">
        <v>1</v>
      </c>
      <c r="BD320">
        <v>2</v>
      </c>
    </row>
    <row r="321" spans="1:56" x14ac:dyDescent="0.25">
      <c r="A321">
        <v>32</v>
      </c>
      <c r="B321" t="str">
        <f>_xlfn.XLOOKUP(Table1[[#This Row],[Attrition]],Table2[Attrition],Table2[Id_Attrition])</f>
        <v>A002</v>
      </c>
      <c r="C321" t="s">
        <v>33</v>
      </c>
      <c r="D321" t="str">
        <f>_xlfn.XLOOKUP(Table1[[#This Row],[BusinessTravel]],Table5[BusinessTravel],Table5[Id_BusinessTravel])</f>
        <v>BS001</v>
      </c>
      <c r="E321" t="s">
        <v>34</v>
      </c>
      <c r="F321">
        <v>588</v>
      </c>
      <c r="G321" t="str">
        <f>_xlfn.XLOOKUP(Table1[[#This Row],[Department]],Table6[Department],Table6[Id_Departement])</f>
        <v>D001</v>
      </c>
      <c r="H321" t="s">
        <v>37</v>
      </c>
      <c r="I321">
        <v>8</v>
      </c>
      <c r="J321" t="str">
        <f>_xlfn.XLOOKUP(Table1[[#This Row],[Education]],Table8[Education],Table8[Id_Education])</f>
        <v>E002</v>
      </c>
      <c r="K321">
        <v>2</v>
      </c>
      <c r="L321" t="str">
        <f>_xlfn.XLOOKUP(Table1[[#This Row],[EducationField]],Table7[EducationField],Table7[Id_EducationField])</f>
        <v>EF005</v>
      </c>
      <c r="M321" t="s">
        <v>44</v>
      </c>
      <c r="N321" t="str">
        <f>_xlfn.XLOOKUP(Table1[[#This Row],[EmployeeNumber]],Table4[EmployeeNumber],Table4[Id_Employee])</f>
        <v>EMP00320</v>
      </c>
      <c r="O321">
        <v>436</v>
      </c>
      <c r="P321" t="str">
        <f>_xlfn.XLOOKUP(Table1[[#This Row],[EnvironmentSatisfaction]],Table9[EnvironmentSatisfaction],Table9[Id_EnviromentSatisfaction])</f>
        <v>ES003</v>
      </c>
      <c r="Q321">
        <v>3</v>
      </c>
      <c r="R321" t="str">
        <f>_xlfn.XLOOKUP(Table1[[#This Row],[EnvironmentSatisfaction]],Table9[EnvironmentSatisfaction],Table9[Deskripsi])</f>
        <v>High</v>
      </c>
      <c r="S321" t="str">
        <f>_xlfn.XLOOKUP(Table1[[#This Row],[Gender]],Table10[Gender],Table10[Id_Gender])</f>
        <v>G001</v>
      </c>
      <c r="T321" t="s">
        <v>45</v>
      </c>
      <c r="U321">
        <v>65</v>
      </c>
      <c r="V321" t="str">
        <f>_xlfn.XLOOKUP(Table1[[#This Row],[JobInvolvement]],Table11[JobInvolvement],Table11[Id_JobInvolvement])</f>
        <v>JI002</v>
      </c>
      <c r="W321">
        <v>2</v>
      </c>
      <c r="X321" t="str">
        <f>_xlfn.XLOOKUP(Table1[[#This Row],[JobLevel]],Table12[JobLevel],Table12[Id_JobLevel])</f>
        <v>JL002</v>
      </c>
      <c r="Y321">
        <v>2</v>
      </c>
      <c r="Z321" t="str">
        <f>_xlfn.XLOOKUP(Table1[[#This Row],[JobRole]],Table13[JobRole],Table13[Id_JobRole])</f>
        <v>JR001</v>
      </c>
      <c r="AA321" t="s">
        <v>47</v>
      </c>
      <c r="AB321" t="str">
        <f>_xlfn.XLOOKUP(Table1[[#This Row],[JobSatisfaction]],Table14[JobSatisfaction],Table14[Id_JobSatisfaction])</f>
        <v>JS002</v>
      </c>
      <c r="AC321">
        <v>2</v>
      </c>
      <c r="AD321" t="str">
        <f>_xlfn.XLOOKUP(Table1[[#This Row],[JobSatisfaction]],Table14[JobSatisfaction],Table14[Deskripsi])</f>
        <v>Medium</v>
      </c>
      <c r="AE321" t="str">
        <f>_xlfn.XLOOKUP(Table1[[#This Row],[MaritalStatus]],Table15[MaritalStatus],Table15[Id_MaritalStatus])</f>
        <v>MS002</v>
      </c>
      <c r="AF321" t="s">
        <v>56</v>
      </c>
      <c r="AG321">
        <v>5228</v>
      </c>
      <c r="AH321">
        <v>24624</v>
      </c>
      <c r="AI321">
        <v>1</v>
      </c>
      <c r="AJ321" t="str">
        <f>_xlfn.XLOOKUP(Table1[[#This Row],[OverTime]],Table16[OverTime],Table16[Id_OverTime])</f>
        <v>OT001</v>
      </c>
      <c r="AK321" t="s">
        <v>32</v>
      </c>
      <c r="AL321">
        <v>11</v>
      </c>
      <c r="AM321" t="str">
        <f>_xlfn.XLOOKUP(Table1[[#This Row],[PerformanceRating]],Table17[PerformanceRating],Table17[Id_PerformanceRating])</f>
        <v>PR003</v>
      </c>
      <c r="AN321">
        <v>3</v>
      </c>
      <c r="AO321" t="str">
        <f>_xlfn.XLOOKUP(Table1[[#This Row],[PerformanceRating]],Table17[PerformanceRating],Table17[Deskripsi])</f>
        <v>Excellent</v>
      </c>
      <c r="AP321" t="str">
        <f>_xlfn.XLOOKUP(Table1[[#This Row],[RelationshipSatisfaction]],Table18[RelationshipSatisfaction],Table18[Id_RelationshipSatisfaction])</f>
        <v>RS004</v>
      </c>
      <c r="AQ321">
        <v>4</v>
      </c>
      <c r="AR321" t="str">
        <f>_xlfn.XLOOKUP(Table1[[#This Row],[RelationshipSatisfaction]],Table18[RelationshipSatisfaction],Table18[Deskripsi])</f>
        <v>Very High</v>
      </c>
      <c r="AS321" t="str">
        <f>_xlfn.XLOOKUP(Table1[[#This Row],[StockOptionLevel]],Table19[StockOptionLevel],Table19[Id_StockOptionLevel])</f>
        <v>SOL001</v>
      </c>
      <c r="AT321">
        <v>0</v>
      </c>
      <c r="AU321" t="str">
        <f>_xlfn.XLOOKUP(Table1[[#This Row],[StockOptionLevel]],Table19[StockOptionLevel],Table19[Deskripsi])</f>
        <v>Non-Eligible</v>
      </c>
      <c r="AV321">
        <v>13</v>
      </c>
      <c r="AW321">
        <v>2</v>
      </c>
      <c r="AX321" t="str">
        <f>_xlfn.XLOOKUP(Table1[[#This Row],[WorkLifeBalance]],Table20[WorkLifeBalance],Table20[Id_WorkLifeBalance])</f>
        <v>WLB002</v>
      </c>
      <c r="AY321">
        <v>3</v>
      </c>
      <c r="AZ321" t="str">
        <f>_xlfn.XLOOKUP(Table1[[#This Row],[WorkLifeBalance]],Table20[WorkLifeBalance],Table20[Deskripsi])</f>
        <v>Good</v>
      </c>
      <c r="BA321">
        <v>13</v>
      </c>
      <c r="BB321">
        <v>12</v>
      </c>
      <c r="BC321">
        <v>11</v>
      </c>
      <c r="BD321">
        <v>9</v>
      </c>
    </row>
    <row r="322" spans="1:56" x14ac:dyDescent="0.25">
      <c r="A322">
        <v>27</v>
      </c>
      <c r="B322" t="str">
        <f>_xlfn.XLOOKUP(Table1[[#This Row],[Attrition]],Table2[Attrition],Table2[Id_Attrition])</f>
        <v>A002</v>
      </c>
      <c r="C322" t="s">
        <v>33</v>
      </c>
      <c r="D322" t="str">
        <f>_xlfn.XLOOKUP(Table1[[#This Row],[BusinessTravel]],Table5[BusinessTravel],Table5[Id_BusinessTravel])</f>
        <v>BS001</v>
      </c>
      <c r="E322" t="s">
        <v>34</v>
      </c>
      <c r="F322">
        <v>1377</v>
      </c>
      <c r="G322" t="str">
        <f>_xlfn.XLOOKUP(Table1[[#This Row],[Department]],Table6[Department],Table6[Id_Departement])</f>
        <v>D001</v>
      </c>
      <c r="H322" t="s">
        <v>37</v>
      </c>
      <c r="I322">
        <v>2</v>
      </c>
      <c r="J322" t="str">
        <f>_xlfn.XLOOKUP(Table1[[#This Row],[Education]],Table8[Education],Table8[Id_Education])</f>
        <v>E003</v>
      </c>
      <c r="K322">
        <v>3</v>
      </c>
      <c r="L322" t="str">
        <f>_xlfn.XLOOKUP(Table1[[#This Row],[EducationField]],Table7[EducationField],Table7[Id_EducationField])</f>
        <v>EF001</v>
      </c>
      <c r="M322" t="s">
        <v>40</v>
      </c>
      <c r="N322" t="str">
        <f>_xlfn.XLOOKUP(Table1[[#This Row],[EmployeeNumber]],Table4[EmployeeNumber],Table4[Id_Employee])</f>
        <v>EMP00321</v>
      </c>
      <c r="O322">
        <v>437</v>
      </c>
      <c r="P322" t="str">
        <f>_xlfn.XLOOKUP(Table1[[#This Row],[EnvironmentSatisfaction]],Table9[EnvironmentSatisfaction],Table9[Id_EnviromentSatisfaction])</f>
        <v>ES004</v>
      </c>
      <c r="Q322">
        <v>4</v>
      </c>
      <c r="R322" t="str">
        <f>_xlfn.XLOOKUP(Table1[[#This Row],[EnvironmentSatisfaction]],Table9[EnvironmentSatisfaction],Table9[Deskripsi])</f>
        <v>Very High</v>
      </c>
      <c r="S322" t="str">
        <f>_xlfn.XLOOKUP(Table1[[#This Row],[Gender]],Table10[Gender],Table10[Id_Gender])</f>
        <v>G002</v>
      </c>
      <c r="T322" t="s">
        <v>46</v>
      </c>
      <c r="U322">
        <v>74</v>
      </c>
      <c r="V322" t="str">
        <f>_xlfn.XLOOKUP(Table1[[#This Row],[JobInvolvement]],Table11[JobInvolvement],Table11[Id_JobInvolvement])</f>
        <v>JI003</v>
      </c>
      <c r="W322">
        <v>3</v>
      </c>
      <c r="X322" t="str">
        <f>_xlfn.XLOOKUP(Table1[[#This Row],[JobLevel]],Table12[JobLevel],Table12[Id_JobLevel])</f>
        <v>JL002</v>
      </c>
      <c r="Y322">
        <v>2</v>
      </c>
      <c r="Z322" t="str">
        <f>_xlfn.XLOOKUP(Table1[[#This Row],[JobRole]],Table13[JobRole],Table13[Id_JobRole])</f>
        <v>JR001</v>
      </c>
      <c r="AA322" t="s">
        <v>47</v>
      </c>
      <c r="AB322" t="str">
        <f>_xlfn.XLOOKUP(Table1[[#This Row],[JobSatisfaction]],Table14[JobSatisfaction],Table14[Id_JobSatisfaction])</f>
        <v>JS003</v>
      </c>
      <c r="AC322">
        <v>3</v>
      </c>
      <c r="AD322" t="str">
        <f>_xlfn.XLOOKUP(Table1[[#This Row],[JobSatisfaction]],Table14[JobSatisfaction],Table14[Deskripsi])</f>
        <v>High</v>
      </c>
      <c r="AE322" t="str">
        <f>_xlfn.XLOOKUP(Table1[[#This Row],[MaritalStatus]],Table15[MaritalStatus],Table15[Id_MaritalStatus])</f>
        <v>MS001</v>
      </c>
      <c r="AF322" t="s">
        <v>55</v>
      </c>
      <c r="AG322">
        <v>4478</v>
      </c>
      <c r="AH322">
        <v>5242</v>
      </c>
      <c r="AI322">
        <v>1</v>
      </c>
      <c r="AJ322" t="str">
        <f>_xlfn.XLOOKUP(Table1[[#This Row],[OverTime]],Table16[OverTime],Table16[Id_OverTime])</f>
        <v>OT001</v>
      </c>
      <c r="AK322" t="s">
        <v>32</v>
      </c>
      <c r="AL322">
        <v>11</v>
      </c>
      <c r="AM322" t="str">
        <f>_xlfn.XLOOKUP(Table1[[#This Row],[PerformanceRating]],Table17[PerformanceRating],Table17[Id_PerformanceRating])</f>
        <v>PR003</v>
      </c>
      <c r="AN322">
        <v>3</v>
      </c>
      <c r="AO322" t="str">
        <f>_xlfn.XLOOKUP(Table1[[#This Row],[PerformanceRating]],Table17[PerformanceRating],Table17[Deskripsi])</f>
        <v>Excellent</v>
      </c>
      <c r="AP322" t="str">
        <f>_xlfn.XLOOKUP(Table1[[#This Row],[RelationshipSatisfaction]],Table18[RelationshipSatisfaction],Table18[Id_RelationshipSatisfaction])</f>
        <v>RS001</v>
      </c>
      <c r="AQ322">
        <v>1</v>
      </c>
      <c r="AR322" t="str">
        <f>_xlfn.XLOOKUP(Table1[[#This Row],[RelationshipSatisfaction]],Table18[RelationshipSatisfaction],Table18[Deskripsi])</f>
        <v>Low</v>
      </c>
      <c r="AS322" t="str">
        <f>_xlfn.XLOOKUP(Table1[[#This Row],[StockOptionLevel]],Table19[StockOptionLevel],Table19[Id_StockOptionLevel])</f>
        <v>SOL001</v>
      </c>
      <c r="AT322">
        <v>0</v>
      </c>
      <c r="AU322" t="str">
        <f>_xlfn.XLOOKUP(Table1[[#This Row],[StockOptionLevel]],Table19[StockOptionLevel],Table19[Deskripsi])</f>
        <v>Non-Eligible</v>
      </c>
      <c r="AV322">
        <v>5</v>
      </c>
      <c r="AW322">
        <v>3</v>
      </c>
      <c r="AX322" t="str">
        <f>_xlfn.XLOOKUP(Table1[[#This Row],[WorkLifeBalance]],Table20[WorkLifeBalance],Table20[Id_WorkLifeBalance])</f>
        <v>WLB002</v>
      </c>
      <c r="AY322">
        <v>3</v>
      </c>
      <c r="AZ322" t="str">
        <f>_xlfn.XLOOKUP(Table1[[#This Row],[WorkLifeBalance]],Table20[WorkLifeBalance],Table20[Deskripsi])</f>
        <v>Good</v>
      </c>
      <c r="BA322">
        <v>5</v>
      </c>
      <c r="BB322">
        <v>4</v>
      </c>
      <c r="BC322">
        <v>0</v>
      </c>
      <c r="BD322">
        <v>4</v>
      </c>
    </row>
    <row r="323" spans="1:56" x14ac:dyDescent="0.25">
      <c r="A323">
        <v>31</v>
      </c>
      <c r="B323" t="str">
        <f>_xlfn.XLOOKUP(Table1[[#This Row],[Attrition]],Table2[Attrition],Table2[Id_Attrition])</f>
        <v>A002</v>
      </c>
      <c r="C323" t="s">
        <v>33</v>
      </c>
      <c r="D323" t="str">
        <f>_xlfn.XLOOKUP(Table1[[#This Row],[BusinessTravel]],Table5[BusinessTravel],Table5[Id_BusinessTravel])</f>
        <v>BS001</v>
      </c>
      <c r="E323" t="s">
        <v>34</v>
      </c>
      <c r="F323">
        <v>691</v>
      </c>
      <c r="G323" t="str">
        <f>_xlfn.XLOOKUP(Table1[[#This Row],[Department]],Table6[Department],Table6[Id_Departement])</f>
        <v>D001</v>
      </c>
      <c r="H323" t="s">
        <v>37</v>
      </c>
      <c r="I323">
        <v>7</v>
      </c>
      <c r="J323" t="str">
        <f>_xlfn.XLOOKUP(Table1[[#This Row],[Education]],Table8[Education],Table8[Id_Education])</f>
        <v>E003</v>
      </c>
      <c r="K323">
        <v>3</v>
      </c>
      <c r="L323" t="str">
        <f>_xlfn.XLOOKUP(Table1[[#This Row],[EducationField]],Table7[EducationField],Table7[Id_EducationField])</f>
        <v>EF004</v>
      </c>
      <c r="M323" t="s">
        <v>43</v>
      </c>
      <c r="N323" t="str">
        <f>_xlfn.XLOOKUP(Table1[[#This Row],[EmployeeNumber]],Table4[EmployeeNumber],Table4[Id_Employee])</f>
        <v>EMP00322</v>
      </c>
      <c r="O323">
        <v>438</v>
      </c>
      <c r="P323" t="str">
        <f>_xlfn.XLOOKUP(Table1[[#This Row],[EnvironmentSatisfaction]],Table9[EnvironmentSatisfaction],Table9[Id_EnviromentSatisfaction])</f>
        <v>ES004</v>
      </c>
      <c r="Q323">
        <v>4</v>
      </c>
      <c r="R323" t="str">
        <f>_xlfn.XLOOKUP(Table1[[#This Row],[EnvironmentSatisfaction]],Table9[EnvironmentSatisfaction],Table9[Deskripsi])</f>
        <v>Very High</v>
      </c>
      <c r="S323" t="str">
        <f>_xlfn.XLOOKUP(Table1[[#This Row],[Gender]],Table10[Gender],Table10[Id_Gender])</f>
        <v>G002</v>
      </c>
      <c r="T323" t="s">
        <v>46</v>
      </c>
      <c r="U323">
        <v>73</v>
      </c>
      <c r="V323" t="str">
        <f>_xlfn.XLOOKUP(Table1[[#This Row],[JobInvolvement]],Table11[JobInvolvement],Table11[Id_JobInvolvement])</f>
        <v>JI003</v>
      </c>
      <c r="W323">
        <v>3</v>
      </c>
      <c r="X323" t="str">
        <f>_xlfn.XLOOKUP(Table1[[#This Row],[JobLevel]],Table12[JobLevel],Table12[Id_JobLevel])</f>
        <v>JL002</v>
      </c>
      <c r="Y323">
        <v>2</v>
      </c>
      <c r="Z323" t="str">
        <f>_xlfn.XLOOKUP(Table1[[#This Row],[JobRole]],Table13[JobRole],Table13[Id_JobRole])</f>
        <v>JR001</v>
      </c>
      <c r="AA323" t="s">
        <v>47</v>
      </c>
      <c r="AB323" t="str">
        <f>_xlfn.XLOOKUP(Table1[[#This Row],[JobSatisfaction]],Table14[JobSatisfaction],Table14[Id_JobSatisfaction])</f>
        <v>JS004</v>
      </c>
      <c r="AC323">
        <v>4</v>
      </c>
      <c r="AD323" t="str">
        <f>_xlfn.XLOOKUP(Table1[[#This Row],[JobSatisfaction]],Table14[JobSatisfaction],Table14[Deskripsi])</f>
        <v>Very High</v>
      </c>
      <c r="AE323" t="str">
        <f>_xlfn.XLOOKUP(Table1[[#This Row],[MaritalStatus]],Table15[MaritalStatus],Table15[Id_MaritalStatus])</f>
        <v>MS003</v>
      </c>
      <c r="AF323" t="s">
        <v>57</v>
      </c>
      <c r="AG323">
        <v>7547</v>
      </c>
      <c r="AH323">
        <v>7143</v>
      </c>
      <c r="AI323">
        <v>4</v>
      </c>
      <c r="AJ323" t="str">
        <f>_xlfn.XLOOKUP(Table1[[#This Row],[OverTime]],Table16[OverTime],Table16[Id_OverTime])</f>
        <v>OT002</v>
      </c>
      <c r="AK323" t="s">
        <v>33</v>
      </c>
      <c r="AL323">
        <v>12</v>
      </c>
      <c r="AM323" t="str">
        <f>_xlfn.XLOOKUP(Table1[[#This Row],[PerformanceRating]],Table17[PerformanceRating],Table17[Id_PerformanceRating])</f>
        <v>PR003</v>
      </c>
      <c r="AN323">
        <v>3</v>
      </c>
      <c r="AO323" t="str">
        <f>_xlfn.XLOOKUP(Table1[[#This Row],[PerformanceRating]],Table17[PerformanceRating],Table17[Deskripsi])</f>
        <v>Excellent</v>
      </c>
      <c r="AP323" t="str">
        <f>_xlfn.XLOOKUP(Table1[[#This Row],[RelationshipSatisfaction]],Table18[RelationshipSatisfaction],Table18[Id_RelationshipSatisfaction])</f>
        <v>RS004</v>
      </c>
      <c r="AQ323">
        <v>4</v>
      </c>
      <c r="AR323" t="str">
        <f>_xlfn.XLOOKUP(Table1[[#This Row],[RelationshipSatisfaction]],Table18[RelationshipSatisfaction],Table18[Deskripsi])</f>
        <v>Very High</v>
      </c>
      <c r="AS323" t="str">
        <f>_xlfn.XLOOKUP(Table1[[#This Row],[StockOptionLevel]],Table19[StockOptionLevel],Table19[Id_StockOptionLevel])</f>
        <v>SOL004</v>
      </c>
      <c r="AT323">
        <v>3</v>
      </c>
      <c r="AU323" t="str">
        <f>_xlfn.XLOOKUP(Table1[[#This Row],[StockOptionLevel]],Table19[StockOptionLevel],Table19[Deskripsi])</f>
        <v>Senior/Executive</v>
      </c>
      <c r="AV323">
        <v>13</v>
      </c>
      <c r="AW323">
        <v>3</v>
      </c>
      <c r="AX323" t="str">
        <f>_xlfn.XLOOKUP(Table1[[#This Row],[WorkLifeBalance]],Table20[WorkLifeBalance],Table20[Id_WorkLifeBalance])</f>
        <v>WLB002</v>
      </c>
      <c r="AY323">
        <v>3</v>
      </c>
      <c r="AZ323" t="str">
        <f>_xlfn.XLOOKUP(Table1[[#This Row],[WorkLifeBalance]],Table20[WorkLifeBalance],Table20[Deskripsi])</f>
        <v>Good</v>
      </c>
      <c r="BA323">
        <v>7</v>
      </c>
      <c r="BB323">
        <v>7</v>
      </c>
      <c r="BC323">
        <v>1</v>
      </c>
      <c r="BD323">
        <v>7</v>
      </c>
    </row>
    <row r="324" spans="1:56" x14ac:dyDescent="0.25">
      <c r="A324">
        <v>32</v>
      </c>
      <c r="B324" t="str">
        <f>_xlfn.XLOOKUP(Table1[[#This Row],[Attrition]],Table2[Attrition],Table2[Id_Attrition])</f>
        <v>A002</v>
      </c>
      <c r="C324" t="s">
        <v>33</v>
      </c>
      <c r="D324" t="str">
        <f>_xlfn.XLOOKUP(Table1[[#This Row],[BusinessTravel]],Table5[BusinessTravel],Table5[Id_BusinessTravel])</f>
        <v>BS001</v>
      </c>
      <c r="E324" t="s">
        <v>34</v>
      </c>
      <c r="F324">
        <v>1018</v>
      </c>
      <c r="G324" t="str">
        <f>_xlfn.XLOOKUP(Table1[[#This Row],[Department]],Table6[Department],Table6[Id_Departement])</f>
        <v>D002</v>
      </c>
      <c r="H324" t="s">
        <v>38</v>
      </c>
      <c r="I324">
        <v>2</v>
      </c>
      <c r="J324" t="str">
        <f>_xlfn.XLOOKUP(Table1[[#This Row],[Education]],Table8[Education],Table8[Id_Education])</f>
        <v>E004</v>
      </c>
      <c r="K324">
        <v>4</v>
      </c>
      <c r="L324" t="str">
        <f>_xlfn.XLOOKUP(Table1[[#This Row],[EducationField]],Table7[EducationField],Table7[Id_EducationField])</f>
        <v>EF003</v>
      </c>
      <c r="M324" t="s">
        <v>42</v>
      </c>
      <c r="N324" t="str">
        <f>_xlfn.XLOOKUP(Table1[[#This Row],[EmployeeNumber]],Table4[EmployeeNumber],Table4[Id_Employee])</f>
        <v>EMP00323</v>
      </c>
      <c r="O324">
        <v>439</v>
      </c>
      <c r="P324" t="str">
        <f>_xlfn.XLOOKUP(Table1[[#This Row],[EnvironmentSatisfaction]],Table9[EnvironmentSatisfaction],Table9[Id_EnviromentSatisfaction])</f>
        <v>ES001</v>
      </c>
      <c r="Q324">
        <v>1</v>
      </c>
      <c r="R324" t="str">
        <f>_xlfn.XLOOKUP(Table1[[#This Row],[EnvironmentSatisfaction]],Table9[EnvironmentSatisfaction],Table9[Deskripsi])</f>
        <v>Low</v>
      </c>
      <c r="S324" t="str">
        <f>_xlfn.XLOOKUP(Table1[[#This Row],[Gender]],Table10[Gender],Table10[Id_Gender])</f>
        <v>G001</v>
      </c>
      <c r="T324" t="s">
        <v>45</v>
      </c>
      <c r="U324">
        <v>74</v>
      </c>
      <c r="V324" t="str">
        <f>_xlfn.XLOOKUP(Table1[[#This Row],[JobInvolvement]],Table11[JobInvolvement],Table11[Id_JobInvolvement])</f>
        <v>JI004</v>
      </c>
      <c r="W324">
        <v>4</v>
      </c>
      <c r="X324" t="str">
        <f>_xlfn.XLOOKUP(Table1[[#This Row],[JobLevel]],Table12[JobLevel],Table12[Id_JobLevel])</f>
        <v>JL002</v>
      </c>
      <c r="Y324">
        <v>2</v>
      </c>
      <c r="Z324" t="str">
        <f>_xlfn.XLOOKUP(Table1[[#This Row],[JobRole]],Table13[JobRole],Table13[Id_JobRole])</f>
        <v>JR002</v>
      </c>
      <c r="AA324" t="s">
        <v>48</v>
      </c>
      <c r="AB324" t="str">
        <f>_xlfn.XLOOKUP(Table1[[#This Row],[JobSatisfaction]],Table14[JobSatisfaction],Table14[Id_JobSatisfaction])</f>
        <v>JS004</v>
      </c>
      <c r="AC324">
        <v>4</v>
      </c>
      <c r="AD324" t="str">
        <f>_xlfn.XLOOKUP(Table1[[#This Row],[JobSatisfaction]],Table14[JobSatisfaction],Table14[Deskripsi])</f>
        <v>Very High</v>
      </c>
      <c r="AE324" t="str">
        <f>_xlfn.XLOOKUP(Table1[[#This Row],[MaritalStatus]],Table15[MaritalStatus],Table15[Id_MaritalStatus])</f>
        <v>MS001</v>
      </c>
      <c r="AF324" t="s">
        <v>55</v>
      </c>
      <c r="AG324">
        <v>5055</v>
      </c>
      <c r="AH324">
        <v>10557</v>
      </c>
      <c r="AI324">
        <v>7</v>
      </c>
      <c r="AJ324" t="str">
        <f>_xlfn.XLOOKUP(Table1[[#This Row],[OverTime]],Table16[OverTime],Table16[Id_OverTime])</f>
        <v>OT002</v>
      </c>
      <c r="AK324" t="s">
        <v>33</v>
      </c>
      <c r="AL324">
        <v>16</v>
      </c>
      <c r="AM324" t="str">
        <f>_xlfn.XLOOKUP(Table1[[#This Row],[PerformanceRating]],Table17[PerformanceRating],Table17[Id_PerformanceRating])</f>
        <v>PR003</v>
      </c>
      <c r="AN324">
        <v>3</v>
      </c>
      <c r="AO324" t="str">
        <f>_xlfn.XLOOKUP(Table1[[#This Row],[PerformanceRating]],Table17[PerformanceRating],Table17[Deskripsi])</f>
        <v>Excellent</v>
      </c>
      <c r="AP324" t="str">
        <f>_xlfn.XLOOKUP(Table1[[#This Row],[RelationshipSatisfaction]],Table18[RelationshipSatisfaction],Table18[Id_RelationshipSatisfaction])</f>
        <v>RS003</v>
      </c>
      <c r="AQ324">
        <v>3</v>
      </c>
      <c r="AR324" t="str">
        <f>_xlfn.XLOOKUP(Table1[[#This Row],[RelationshipSatisfaction]],Table18[RelationshipSatisfaction],Table18[Deskripsi])</f>
        <v>High</v>
      </c>
      <c r="AS324" t="str">
        <f>_xlfn.XLOOKUP(Table1[[#This Row],[StockOptionLevel]],Table19[StockOptionLevel],Table19[Id_StockOptionLevel])</f>
        <v>SOL001</v>
      </c>
      <c r="AT324">
        <v>0</v>
      </c>
      <c r="AU324" t="str">
        <f>_xlfn.XLOOKUP(Table1[[#This Row],[StockOptionLevel]],Table19[StockOptionLevel],Table19[Deskripsi])</f>
        <v>Non-Eligible</v>
      </c>
      <c r="AV324">
        <v>10</v>
      </c>
      <c r="AW324">
        <v>0</v>
      </c>
      <c r="AX324" t="str">
        <f>_xlfn.XLOOKUP(Table1[[#This Row],[WorkLifeBalance]],Table20[WorkLifeBalance],Table20[Id_WorkLifeBalance])</f>
        <v>WLB003</v>
      </c>
      <c r="AY324">
        <v>2</v>
      </c>
      <c r="AZ324" t="str">
        <f>_xlfn.XLOOKUP(Table1[[#This Row],[WorkLifeBalance]],Table20[WorkLifeBalance],Table20[Deskripsi])</f>
        <v>Better</v>
      </c>
      <c r="BA324">
        <v>7</v>
      </c>
      <c r="BB324">
        <v>7</v>
      </c>
      <c r="BC324">
        <v>0</v>
      </c>
      <c r="BD324">
        <v>7</v>
      </c>
    </row>
    <row r="325" spans="1:56" x14ac:dyDescent="0.25">
      <c r="A325">
        <v>28</v>
      </c>
      <c r="B325" t="str">
        <f>_xlfn.XLOOKUP(Table1[[#This Row],[Attrition]],Table2[Attrition],Table2[Id_Attrition])</f>
        <v>A001</v>
      </c>
      <c r="C325" t="s">
        <v>32</v>
      </c>
      <c r="D325" t="str">
        <f>_xlfn.XLOOKUP(Table1[[#This Row],[BusinessTravel]],Table5[BusinessTravel],Table5[Id_BusinessTravel])</f>
        <v>BS001</v>
      </c>
      <c r="E325" t="s">
        <v>34</v>
      </c>
      <c r="F325">
        <v>1157</v>
      </c>
      <c r="G325" t="str">
        <f>_xlfn.XLOOKUP(Table1[[#This Row],[Department]],Table6[Department],Table6[Id_Departement])</f>
        <v>D002</v>
      </c>
      <c r="H325" t="s">
        <v>38</v>
      </c>
      <c r="I325">
        <v>2</v>
      </c>
      <c r="J325" t="str">
        <f>_xlfn.XLOOKUP(Table1[[#This Row],[Education]],Table8[Education],Table8[Id_Education])</f>
        <v>E004</v>
      </c>
      <c r="K325">
        <v>4</v>
      </c>
      <c r="L325" t="str">
        <f>_xlfn.XLOOKUP(Table1[[#This Row],[EducationField]],Table7[EducationField],Table7[Id_EducationField])</f>
        <v>EF003</v>
      </c>
      <c r="M325" t="s">
        <v>42</v>
      </c>
      <c r="N325" t="str">
        <f>_xlfn.XLOOKUP(Table1[[#This Row],[EmployeeNumber]],Table4[EmployeeNumber],Table4[Id_Employee])</f>
        <v>EMP00324</v>
      </c>
      <c r="O325">
        <v>440</v>
      </c>
      <c r="P325" t="str">
        <f>_xlfn.XLOOKUP(Table1[[#This Row],[EnvironmentSatisfaction]],Table9[EnvironmentSatisfaction],Table9[Id_EnviromentSatisfaction])</f>
        <v>ES001</v>
      </c>
      <c r="Q325">
        <v>1</v>
      </c>
      <c r="R325" t="str">
        <f>_xlfn.XLOOKUP(Table1[[#This Row],[EnvironmentSatisfaction]],Table9[EnvironmentSatisfaction],Table9[Deskripsi])</f>
        <v>Low</v>
      </c>
      <c r="S325" t="str">
        <f>_xlfn.XLOOKUP(Table1[[#This Row],[Gender]],Table10[Gender],Table10[Id_Gender])</f>
        <v>G002</v>
      </c>
      <c r="T325" t="s">
        <v>46</v>
      </c>
      <c r="U325">
        <v>84</v>
      </c>
      <c r="V325" t="str">
        <f>_xlfn.XLOOKUP(Table1[[#This Row],[JobInvolvement]],Table11[JobInvolvement],Table11[Id_JobInvolvement])</f>
        <v>JI001</v>
      </c>
      <c r="W325">
        <v>1</v>
      </c>
      <c r="X325" t="str">
        <f>_xlfn.XLOOKUP(Table1[[#This Row],[JobLevel]],Table12[JobLevel],Table12[Id_JobLevel])</f>
        <v>JL001</v>
      </c>
      <c r="Y325">
        <v>1</v>
      </c>
      <c r="Z325" t="str">
        <f>_xlfn.XLOOKUP(Table1[[#This Row],[JobRole]],Table13[JobRole],Table13[Id_JobRole])</f>
        <v>JR002</v>
      </c>
      <c r="AA325" t="s">
        <v>48</v>
      </c>
      <c r="AB325" t="str">
        <f>_xlfn.XLOOKUP(Table1[[#This Row],[JobSatisfaction]],Table14[JobSatisfaction],Table14[Id_JobSatisfaction])</f>
        <v>JS004</v>
      </c>
      <c r="AC325">
        <v>4</v>
      </c>
      <c r="AD325" t="str">
        <f>_xlfn.XLOOKUP(Table1[[#This Row],[JobSatisfaction]],Table14[JobSatisfaction],Table14[Deskripsi])</f>
        <v>Very High</v>
      </c>
      <c r="AE325" t="str">
        <f>_xlfn.XLOOKUP(Table1[[#This Row],[MaritalStatus]],Table15[MaritalStatus],Table15[Id_MaritalStatus])</f>
        <v>MS002</v>
      </c>
      <c r="AF325" t="s">
        <v>56</v>
      </c>
      <c r="AG325">
        <v>3464</v>
      </c>
      <c r="AH325">
        <v>24737</v>
      </c>
      <c r="AI325">
        <v>5</v>
      </c>
      <c r="AJ325" t="str">
        <f>_xlfn.XLOOKUP(Table1[[#This Row],[OverTime]],Table16[OverTime],Table16[Id_OverTime])</f>
        <v>OT001</v>
      </c>
      <c r="AK325" t="s">
        <v>32</v>
      </c>
      <c r="AL325">
        <v>13</v>
      </c>
      <c r="AM325" t="str">
        <f>_xlfn.XLOOKUP(Table1[[#This Row],[PerformanceRating]],Table17[PerformanceRating],Table17[Id_PerformanceRating])</f>
        <v>PR003</v>
      </c>
      <c r="AN325">
        <v>3</v>
      </c>
      <c r="AO325" t="str">
        <f>_xlfn.XLOOKUP(Table1[[#This Row],[PerformanceRating]],Table17[PerformanceRating],Table17[Deskripsi])</f>
        <v>Excellent</v>
      </c>
      <c r="AP325" t="str">
        <f>_xlfn.XLOOKUP(Table1[[#This Row],[RelationshipSatisfaction]],Table18[RelationshipSatisfaction],Table18[Id_RelationshipSatisfaction])</f>
        <v>RS004</v>
      </c>
      <c r="AQ325">
        <v>4</v>
      </c>
      <c r="AR325" t="str">
        <f>_xlfn.XLOOKUP(Table1[[#This Row],[RelationshipSatisfaction]],Table18[RelationshipSatisfaction],Table18[Deskripsi])</f>
        <v>Very High</v>
      </c>
      <c r="AS325" t="str">
        <f>_xlfn.XLOOKUP(Table1[[#This Row],[StockOptionLevel]],Table19[StockOptionLevel],Table19[Id_StockOptionLevel])</f>
        <v>SOL001</v>
      </c>
      <c r="AT325">
        <v>0</v>
      </c>
      <c r="AU325" t="str">
        <f>_xlfn.XLOOKUP(Table1[[#This Row],[StockOptionLevel]],Table19[StockOptionLevel],Table19[Deskripsi])</f>
        <v>Non-Eligible</v>
      </c>
      <c r="AV325">
        <v>5</v>
      </c>
      <c r="AW325">
        <v>4</v>
      </c>
      <c r="AX325" t="str">
        <f>_xlfn.XLOOKUP(Table1[[#This Row],[WorkLifeBalance]],Table20[WorkLifeBalance],Table20[Id_WorkLifeBalance])</f>
        <v>WLB003</v>
      </c>
      <c r="AY325">
        <v>2</v>
      </c>
      <c r="AZ325" t="str">
        <f>_xlfn.XLOOKUP(Table1[[#This Row],[WorkLifeBalance]],Table20[WorkLifeBalance],Table20[Deskripsi])</f>
        <v>Better</v>
      </c>
      <c r="BA325">
        <v>3</v>
      </c>
      <c r="BB325">
        <v>2</v>
      </c>
      <c r="BC325">
        <v>2</v>
      </c>
      <c r="BD325">
        <v>2</v>
      </c>
    </row>
    <row r="326" spans="1:56" x14ac:dyDescent="0.25">
      <c r="A326">
        <v>30</v>
      </c>
      <c r="B326" t="str">
        <f>_xlfn.XLOOKUP(Table1[[#This Row],[Attrition]],Table2[Attrition],Table2[Id_Attrition])</f>
        <v>A002</v>
      </c>
      <c r="C326" t="s">
        <v>33</v>
      </c>
      <c r="D326" t="str">
        <f>_xlfn.XLOOKUP(Table1[[#This Row],[BusinessTravel]],Table5[BusinessTravel],Table5[Id_BusinessTravel])</f>
        <v>BS001</v>
      </c>
      <c r="E326" t="s">
        <v>34</v>
      </c>
      <c r="F326">
        <v>1275</v>
      </c>
      <c r="G326" t="str">
        <f>_xlfn.XLOOKUP(Table1[[#This Row],[Department]],Table6[Department],Table6[Id_Departement])</f>
        <v>D002</v>
      </c>
      <c r="H326" t="s">
        <v>38</v>
      </c>
      <c r="I326">
        <v>28</v>
      </c>
      <c r="J326" t="str">
        <f>_xlfn.XLOOKUP(Table1[[#This Row],[Education]],Table8[Education],Table8[Id_Education])</f>
        <v>E002</v>
      </c>
      <c r="K326">
        <v>2</v>
      </c>
      <c r="L326" t="str">
        <f>_xlfn.XLOOKUP(Table1[[#This Row],[EducationField]],Table7[EducationField],Table7[Id_EducationField])</f>
        <v>EF003</v>
      </c>
      <c r="M326" t="s">
        <v>42</v>
      </c>
      <c r="N326" t="str">
        <f>_xlfn.XLOOKUP(Table1[[#This Row],[EmployeeNumber]],Table4[EmployeeNumber],Table4[Id_Employee])</f>
        <v>EMP00325</v>
      </c>
      <c r="O326">
        <v>441</v>
      </c>
      <c r="P326" t="str">
        <f>_xlfn.XLOOKUP(Table1[[#This Row],[EnvironmentSatisfaction]],Table9[EnvironmentSatisfaction],Table9[Id_EnviromentSatisfaction])</f>
        <v>ES004</v>
      </c>
      <c r="Q326">
        <v>4</v>
      </c>
      <c r="R326" t="str">
        <f>_xlfn.XLOOKUP(Table1[[#This Row],[EnvironmentSatisfaction]],Table9[EnvironmentSatisfaction],Table9[Deskripsi])</f>
        <v>Very High</v>
      </c>
      <c r="S326" t="str">
        <f>_xlfn.XLOOKUP(Table1[[#This Row],[Gender]],Table10[Gender],Table10[Id_Gender])</f>
        <v>G001</v>
      </c>
      <c r="T326" t="s">
        <v>45</v>
      </c>
      <c r="U326">
        <v>64</v>
      </c>
      <c r="V326" t="str">
        <f>_xlfn.XLOOKUP(Table1[[#This Row],[JobInvolvement]],Table11[JobInvolvement],Table11[Id_JobInvolvement])</f>
        <v>JI003</v>
      </c>
      <c r="W326">
        <v>3</v>
      </c>
      <c r="X326" t="str">
        <f>_xlfn.XLOOKUP(Table1[[#This Row],[JobLevel]],Table12[JobLevel],Table12[Id_JobLevel])</f>
        <v>JL002</v>
      </c>
      <c r="Y326">
        <v>2</v>
      </c>
      <c r="Z326" t="str">
        <f>_xlfn.XLOOKUP(Table1[[#This Row],[JobRole]],Table13[JobRole],Table13[Id_JobRole])</f>
        <v>JR002</v>
      </c>
      <c r="AA326" t="s">
        <v>48</v>
      </c>
      <c r="AB326" t="str">
        <f>_xlfn.XLOOKUP(Table1[[#This Row],[JobSatisfaction]],Table14[JobSatisfaction],Table14[Id_JobSatisfaction])</f>
        <v>JS004</v>
      </c>
      <c r="AC326">
        <v>4</v>
      </c>
      <c r="AD326" t="str">
        <f>_xlfn.XLOOKUP(Table1[[#This Row],[JobSatisfaction]],Table14[JobSatisfaction],Table14[Deskripsi])</f>
        <v>Very High</v>
      </c>
      <c r="AE326" t="str">
        <f>_xlfn.XLOOKUP(Table1[[#This Row],[MaritalStatus]],Table15[MaritalStatus],Table15[Id_MaritalStatus])</f>
        <v>MS002</v>
      </c>
      <c r="AF326" t="s">
        <v>56</v>
      </c>
      <c r="AG326">
        <v>5775</v>
      </c>
      <c r="AH326">
        <v>11934</v>
      </c>
      <c r="AI326">
        <v>1</v>
      </c>
      <c r="AJ326" t="str">
        <f>_xlfn.XLOOKUP(Table1[[#This Row],[OverTime]],Table16[OverTime],Table16[Id_OverTime])</f>
        <v>OT002</v>
      </c>
      <c r="AK326" t="s">
        <v>33</v>
      </c>
      <c r="AL326">
        <v>13</v>
      </c>
      <c r="AM326" t="str">
        <f>_xlfn.XLOOKUP(Table1[[#This Row],[PerformanceRating]],Table17[PerformanceRating],Table17[Id_PerformanceRating])</f>
        <v>PR003</v>
      </c>
      <c r="AN326">
        <v>3</v>
      </c>
      <c r="AO326" t="str">
        <f>_xlfn.XLOOKUP(Table1[[#This Row],[PerformanceRating]],Table17[PerformanceRating],Table17[Deskripsi])</f>
        <v>Excellent</v>
      </c>
      <c r="AP326" t="str">
        <f>_xlfn.XLOOKUP(Table1[[#This Row],[RelationshipSatisfaction]],Table18[RelationshipSatisfaction],Table18[Id_RelationshipSatisfaction])</f>
        <v>RS004</v>
      </c>
      <c r="AQ326">
        <v>4</v>
      </c>
      <c r="AR326" t="str">
        <f>_xlfn.XLOOKUP(Table1[[#This Row],[RelationshipSatisfaction]],Table18[RelationshipSatisfaction],Table18[Deskripsi])</f>
        <v>Very High</v>
      </c>
      <c r="AS326" t="str">
        <f>_xlfn.XLOOKUP(Table1[[#This Row],[StockOptionLevel]],Table19[StockOptionLevel],Table19[Id_StockOptionLevel])</f>
        <v>SOL003</v>
      </c>
      <c r="AT326">
        <v>2</v>
      </c>
      <c r="AU326" t="str">
        <f>_xlfn.XLOOKUP(Table1[[#This Row],[StockOptionLevel]],Table19[StockOptionLevel],Table19[Deskripsi])</f>
        <v>Intermediate</v>
      </c>
      <c r="AV326">
        <v>11</v>
      </c>
      <c r="AW326">
        <v>2</v>
      </c>
      <c r="AX326" t="str">
        <f>_xlfn.XLOOKUP(Table1[[#This Row],[WorkLifeBalance]],Table20[WorkLifeBalance],Table20[Id_WorkLifeBalance])</f>
        <v>WLB002</v>
      </c>
      <c r="AY326">
        <v>3</v>
      </c>
      <c r="AZ326" t="str">
        <f>_xlfn.XLOOKUP(Table1[[#This Row],[WorkLifeBalance]],Table20[WorkLifeBalance],Table20[Deskripsi])</f>
        <v>Good</v>
      </c>
      <c r="BA326">
        <v>10</v>
      </c>
      <c r="BB326">
        <v>8</v>
      </c>
      <c r="BC326">
        <v>1</v>
      </c>
      <c r="BD326">
        <v>9</v>
      </c>
    </row>
    <row r="327" spans="1:56" x14ac:dyDescent="0.25">
      <c r="A327">
        <v>31</v>
      </c>
      <c r="B327" t="str">
        <f>_xlfn.XLOOKUP(Table1[[#This Row],[Attrition]],Table2[Attrition],Table2[Id_Attrition])</f>
        <v>A002</v>
      </c>
      <c r="C327" t="s">
        <v>33</v>
      </c>
      <c r="D327" t="str">
        <f>_xlfn.XLOOKUP(Table1[[#This Row],[BusinessTravel]],Table5[BusinessTravel],Table5[Id_BusinessTravel])</f>
        <v>BS002</v>
      </c>
      <c r="E327" t="s">
        <v>35</v>
      </c>
      <c r="F327">
        <v>798</v>
      </c>
      <c r="G327" t="str">
        <f>_xlfn.XLOOKUP(Table1[[#This Row],[Department]],Table6[Department],Table6[Id_Departement])</f>
        <v>D002</v>
      </c>
      <c r="H327" t="s">
        <v>38</v>
      </c>
      <c r="I327">
        <v>7</v>
      </c>
      <c r="J327" t="str">
        <f>_xlfn.XLOOKUP(Table1[[#This Row],[Education]],Table8[Education],Table8[Id_Education])</f>
        <v>E002</v>
      </c>
      <c r="K327">
        <v>2</v>
      </c>
      <c r="L327" t="str">
        <f>_xlfn.XLOOKUP(Table1[[#This Row],[EducationField]],Table7[EducationField],Table7[Id_EducationField])</f>
        <v>EF001</v>
      </c>
      <c r="M327" t="s">
        <v>40</v>
      </c>
      <c r="N327" t="str">
        <f>_xlfn.XLOOKUP(Table1[[#This Row],[EmployeeNumber]],Table4[EmployeeNumber],Table4[Id_Employee])</f>
        <v>EMP00326</v>
      </c>
      <c r="O327">
        <v>442</v>
      </c>
      <c r="P327" t="str">
        <f>_xlfn.XLOOKUP(Table1[[#This Row],[EnvironmentSatisfaction]],Table9[EnvironmentSatisfaction],Table9[Id_EnviromentSatisfaction])</f>
        <v>ES003</v>
      </c>
      <c r="Q327">
        <v>3</v>
      </c>
      <c r="R327" t="str">
        <f>_xlfn.XLOOKUP(Table1[[#This Row],[EnvironmentSatisfaction]],Table9[EnvironmentSatisfaction],Table9[Deskripsi])</f>
        <v>High</v>
      </c>
      <c r="S327" t="str">
        <f>_xlfn.XLOOKUP(Table1[[#This Row],[Gender]],Table10[Gender],Table10[Id_Gender])</f>
        <v>G001</v>
      </c>
      <c r="T327" t="s">
        <v>45</v>
      </c>
      <c r="U327">
        <v>48</v>
      </c>
      <c r="V327" t="str">
        <f>_xlfn.XLOOKUP(Table1[[#This Row],[JobInvolvement]],Table11[JobInvolvement],Table11[Id_JobInvolvement])</f>
        <v>JI002</v>
      </c>
      <c r="W327">
        <v>2</v>
      </c>
      <c r="X327" t="str">
        <f>_xlfn.XLOOKUP(Table1[[#This Row],[JobLevel]],Table12[JobLevel],Table12[Id_JobLevel])</f>
        <v>JL003</v>
      </c>
      <c r="Y327">
        <v>3</v>
      </c>
      <c r="Z327" t="str">
        <f>_xlfn.XLOOKUP(Table1[[#This Row],[JobRole]],Table13[JobRole],Table13[Id_JobRole])</f>
        <v>JR004</v>
      </c>
      <c r="AA327" t="s">
        <v>50</v>
      </c>
      <c r="AB327" t="str">
        <f>_xlfn.XLOOKUP(Table1[[#This Row],[JobSatisfaction]],Table14[JobSatisfaction],Table14[Id_JobSatisfaction])</f>
        <v>JS003</v>
      </c>
      <c r="AC327">
        <v>3</v>
      </c>
      <c r="AD327" t="str">
        <f>_xlfn.XLOOKUP(Table1[[#This Row],[JobSatisfaction]],Table14[JobSatisfaction],Table14[Deskripsi])</f>
        <v>High</v>
      </c>
      <c r="AE327" t="str">
        <f>_xlfn.XLOOKUP(Table1[[#This Row],[MaritalStatus]],Table15[MaritalStatus],Table15[Id_MaritalStatus])</f>
        <v>MS002</v>
      </c>
      <c r="AF327" t="s">
        <v>56</v>
      </c>
      <c r="AG327">
        <v>8943</v>
      </c>
      <c r="AH327">
        <v>14034</v>
      </c>
      <c r="AI327">
        <v>1</v>
      </c>
      <c r="AJ327" t="str">
        <f>_xlfn.XLOOKUP(Table1[[#This Row],[OverTime]],Table16[OverTime],Table16[Id_OverTime])</f>
        <v>OT002</v>
      </c>
      <c r="AK327" t="s">
        <v>33</v>
      </c>
      <c r="AL327">
        <v>24</v>
      </c>
      <c r="AM327" t="str">
        <f>_xlfn.XLOOKUP(Table1[[#This Row],[PerformanceRating]],Table17[PerformanceRating],Table17[Id_PerformanceRating])</f>
        <v>PR004</v>
      </c>
      <c r="AN327">
        <v>4</v>
      </c>
      <c r="AO327" t="str">
        <f>_xlfn.XLOOKUP(Table1[[#This Row],[PerformanceRating]],Table17[PerformanceRating],Table17[Deskripsi])</f>
        <v>Outstanding</v>
      </c>
      <c r="AP327" t="str">
        <f>_xlfn.XLOOKUP(Table1[[#This Row],[RelationshipSatisfaction]],Table18[RelationshipSatisfaction],Table18[Id_RelationshipSatisfaction])</f>
        <v>RS001</v>
      </c>
      <c r="AQ327">
        <v>1</v>
      </c>
      <c r="AR327" t="str">
        <f>_xlfn.XLOOKUP(Table1[[#This Row],[RelationshipSatisfaction]],Table18[RelationshipSatisfaction],Table18[Deskripsi])</f>
        <v>Low</v>
      </c>
      <c r="AS327" t="str">
        <f>_xlfn.XLOOKUP(Table1[[#This Row],[StockOptionLevel]],Table19[StockOptionLevel],Table19[Id_StockOptionLevel])</f>
        <v>SOL002</v>
      </c>
      <c r="AT327">
        <v>1</v>
      </c>
      <c r="AU327" t="str">
        <f>_xlfn.XLOOKUP(Table1[[#This Row],[StockOptionLevel]],Table19[StockOptionLevel],Table19[Deskripsi])</f>
        <v>Standard</v>
      </c>
      <c r="AV327">
        <v>10</v>
      </c>
      <c r="AW327">
        <v>2</v>
      </c>
      <c r="AX327" t="str">
        <f>_xlfn.XLOOKUP(Table1[[#This Row],[WorkLifeBalance]],Table20[WorkLifeBalance],Table20[Id_WorkLifeBalance])</f>
        <v>WLB002</v>
      </c>
      <c r="AY327">
        <v>3</v>
      </c>
      <c r="AZ327" t="str">
        <f>_xlfn.XLOOKUP(Table1[[#This Row],[WorkLifeBalance]],Table20[WorkLifeBalance],Table20[Deskripsi])</f>
        <v>Good</v>
      </c>
      <c r="BA327">
        <v>10</v>
      </c>
      <c r="BB327">
        <v>9</v>
      </c>
      <c r="BC327">
        <v>8</v>
      </c>
      <c r="BD327">
        <v>9</v>
      </c>
    </row>
    <row r="328" spans="1:56" x14ac:dyDescent="0.25">
      <c r="A328">
        <v>39</v>
      </c>
      <c r="B328" t="str">
        <f>_xlfn.XLOOKUP(Table1[[#This Row],[Attrition]],Table2[Attrition],Table2[Id_Attrition])</f>
        <v>A002</v>
      </c>
      <c r="C328" t="s">
        <v>33</v>
      </c>
      <c r="D328" t="str">
        <f>_xlfn.XLOOKUP(Table1[[#This Row],[BusinessTravel]],Table5[BusinessTravel],Table5[Id_BusinessTravel])</f>
        <v>BS002</v>
      </c>
      <c r="E328" t="s">
        <v>35</v>
      </c>
      <c r="F328">
        <v>672</v>
      </c>
      <c r="G328" t="str">
        <f>_xlfn.XLOOKUP(Table1[[#This Row],[Department]],Table6[Department],Table6[Id_Departement])</f>
        <v>D002</v>
      </c>
      <c r="H328" t="s">
        <v>38</v>
      </c>
      <c r="I328">
        <v>7</v>
      </c>
      <c r="J328" t="str">
        <f>_xlfn.XLOOKUP(Table1[[#This Row],[Education]],Table8[Education],Table8[Id_Education])</f>
        <v>E002</v>
      </c>
      <c r="K328">
        <v>2</v>
      </c>
      <c r="L328" t="str">
        <f>_xlfn.XLOOKUP(Table1[[#This Row],[EducationField]],Table7[EducationField],Table7[Id_EducationField])</f>
        <v>EF003</v>
      </c>
      <c r="M328" t="s">
        <v>42</v>
      </c>
      <c r="N328" t="str">
        <f>_xlfn.XLOOKUP(Table1[[#This Row],[EmployeeNumber]],Table4[EmployeeNumber],Table4[Id_Employee])</f>
        <v>EMP00327</v>
      </c>
      <c r="O328">
        <v>444</v>
      </c>
      <c r="P328" t="str">
        <f>_xlfn.XLOOKUP(Table1[[#This Row],[EnvironmentSatisfaction]],Table9[EnvironmentSatisfaction],Table9[Id_EnviromentSatisfaction])</f>
        <v>ES003</v>
      </c>
      <c r="Q328">
        <v>3</v>
      </c>
      <c r="R328" t="str">
        <f>_xlfn.XLOOKUP(Table1[[#This Row],[EnvironmentSatisfaction]],Table9[EnvironmentSatisfaction],Table9[Deskripsi])</f>
        <v>High</v>
      </c>
      <c r="S328" t="str">
        <f>_xlfn.XLOOKUP(Table1[[#This Row],[Gender]],Table10[Gender],Table10[Id_Gender])</f>
        <v>G002</v>
      </c>
      <c r="T328" t="s">
        <v>46</v>
      </c>
      <c r="U328">
        <v>54</v>
      </c>
      <c r="V328" t="str">
        <f>_xlfn.XLOOKUP(Table1[[#This Row],[JobInvolvement]],Table11[JobInvolvement],Table11[Id_JobInvolvement])</f>
        <v>JI002</v>
      </c>
      <c r="W328">
        <v>2</v>
      </c>
      <c r="X328" t="str">
        <f>_xlfn.XLOOKUP(Table1[[#This Row],[JobLevel]],Table12[JobLevel],Table12[Id_JobLevel])</f>
        <v>JL005</v>
      </c>
      <c r="Y328">
        <v>5</v>
      </c>
      <c r="Z328" t="str">
        <f>_xlfn.XLOOKUP(Table1[[#This Row],[JobRole]],Table13[JobRole],Table13[Id_JobRole])</f>
        <v>JR006</v>
      </c>
      <c r="AA328" t="s">
        <v>52</v>
      </c>
      <c r="AB328" t="str">
        <f>_xlfn.XLOOKUP(Table1[[#This Row],[JobSatisfaction]],Table14[JobSatisfaction],Table14[Id_JobSatisfaction])</f>
        <v>JS004</v>
      </c>
      <c r="AC328">
        <v>4</v>
      </c>
      <c r="AD328" t="str">
        <f>_xlfn.XLOOKUP(Table1[[#This Row],[JobSatisfaction]],Table14[JobSatisfaction],Table14[Deskripsi])</f>
        <v>Very High</v>
      </c>
      <c r="AE328" t="str">
        <f>_xlfn.XLOOKUP(Table1[[#This Row],[MaritalStatus]],Table15[MaritalStatus],Table15[Id_MaritalStatus])</f>
        <v>MS002</v>
      </c>
      <c r="AF328" t="s">
        <v>56</v>
      </c>
      <c r="AG328">
        <v>19272</v>
      </c>
      <c r="AH328">
        <v>21141</v>
      </c>
      <c r="AI328">
        <v>1</v>
      </c>
      <c r="AJ328" t="str">
        <f>_xlfn.XLOOKUP(Table1[[#This Row],[OverTime]],Table16[OverTime],Table16[Id_OverTime])</f>
        <v>OT002</v>
      </c>
      <c r="AK328" t="s">
        <v>33</v>
      </c>
      <c r="AL328">
        <v>15</v>
      </c>
      <c r="AM328" t="str">
        <f>_xlfn.XLOOKUP(Table1[[#This Row],[PerformanceRating]],Table17[PerformanceRating],Table17[Id_PerformanceRating])</f>
        <v>PR003</v>
      </c>
      <c r="AN328">
        <v>3</v>
      </c>
      <c r="AO328" t="str">
        <f>_xlfn.XLOOKUP(Table1[[#This Row],[PerformanceRating]],Table17[PerformanceRating],Table17[Deskripsi])</f>
        <v>Excellent</v>
      </c>
      <c r="AP328" t="str">
        <f>_xlfn.XLOOKUP(Table1[[#This Row],[RelationshipSatisfaction]],Table18[RelationshipSatisfaction],Table18[Id_RelationshipSatisfaction])</f>
        <v>RS001</v>
      </c>
      <c r="AQ328">
        <v>1</v>
      </c>
      <c r="AR328" t="str">
        <f>_xlfn.XLOOKUP(Table1[[#This Row],[RelationshipSatisfaction]],Table18[RelationshipSatisfaction],Table18[Deskripsi])</f>
        <v>Low</v>
      </c>
      <c r="AS328" t="str">
        <f>_xlfn.XLOOKUP(Table1[[#This Row],[StockOptionLevel]],Table19[StockOptionLevel],Table19[Id_StockOptionLevel])</f>
        <v>SOL002</v>
      </c>
      <c r="AT328">
        <v>1</v>
      </c>
      <c r="AU328" t="str">
        <f>_xlfn.XLOOKUP(Table1[[#This Row],[StockOptionLevel]],Table19[StockOptionLevel],Table19[Deskripsi])</f>
        <v>Standard</v>
      </c>
      <c r="AV328">
        <v>21</v>
      </c>
      <c r="AW328">
        <v>2</v>
      </c>
      <c r="AX328" t="str">
        <f>_xlfn.XLOOKUP(Table1[[#This Row],[WorkLifeBalance]],Table20[WorkLifeBalance],Table20[Id_WorkLifeBalance])</f>
        <v>WLB002</v>
      </c>
      <c r="AY328">
        <v>3</v>
      </c>
      <c r="AZ328" t="str">
        <f>_xlfn.XLOOKUP(Table1[[#This Row],[WorkLifeBalance]],Table20[WorkLifeBalance],Table20[Deskripsi])</f>
        <v>Good</v>
      </c>
      <c r="BA328">
        <v>21</v>
      </c>
      <c r="BB328">
        <v>9</v>
      </c>
      <c r="BC328">
        <v>13</v>
      </c>
      <c r="BD328">
        <v>3</v>
      </c>
    </row>
    <row r="329" spans="1:56" x14ac:dyDescent="0.25">
      <c r="A329">
        <v>39</v>
      </c>
      <c r="B329" t="str">
        <f>_xlfn.XLOOKUP(Table1[[#This Row],[Attrition]],Table2[Attrition],Table2[Id_Attrition])</f>
        <v>A001</v>
      </c>
      <c r="C329" t="s">
        <v>32</v>
      </c>
      <c r="D329" t="str">
        <f>_xlfn.XLOOKUP(Table1[[#This Row],[BusinessTravel]],Table5[BusinessTravel],Table5[Id_BusinessTravel])</f>
        <v>BS001</v>
      </c>
      <c r="E329" t="s">
        <v>34</v>
      </c>
      <c r="F329">
        <v>1162</v>
      </c>
      <c r="G329" t="str">
        <f>_xlfn.XLOOKUP(Table1[[#This Row],[Department]],Table6[Department],Table6[Id_Departement])</f>
        <v>D001</v>
      </c>
      <c r="H329" t="s">
        <v>37</v>
      </c>
      <c r="I329">
        <v>3</v>
      </c>
      <c r="J329" t="str">
        <f>_xlfn.XLOOKUP(Table1[[#This Row],[Education]],Table8[Education],Table8[Id_Education])</f>
        <v>E002</v>
      </c>
      <c r="K329">
        <v>2</v>
      </c>
      <c r="L329" t="str">
        <f>_xlfn.XLOOKUP(Table1[[#This Row],[EducationField]],Table7[EducationField],Table7[Id_EducationField])</f>
        <v>EF003</v>
      </c>
      <c r="M329" t="s">
        <v>42</v>
      </c>
      <c r="N329" t="str">
        <f>_xlfn.XLOOKUP(Table1[[#This Row],[EmployeeNumber]],Table4[EmployeeNumber],Table4[Id_Employee])</f>
        <v>EMP00328</v>
      </c>
      <c r="O329">
        <v>445</v>
      </c>
      <c r="P329" t="str">
        <f>_xlfn.XLOOKUP(Table1[[#This Row],[EnvironmentSatisfaction]],Table9[EnvironmentSatisfaction],Table9[Id_EnviromentSatisfaction])</f>
        <v>ES004</v>
      </c>
      <c r="Q329">
        <v>4</v>
      </c>
      <c r="R329" t="str">
        <f>_xlfn.XLOOKUP(Table1[[#This Row],[EnvironmentSatisfaction]],Table9[EnvironmentSatisfaction],Table9[Deskripsi])</f>
        <v>Very High</v>
      </c>
      <c r="S329" t="str">
        <f>_xlfn.XLOOKUP(Table1[[#This Row],[Gender]],Table10[Gender],Table10[Id_Gender])</f>
        <v>G001</v>
      </c>
      <c r="T329" t="s">
        <v>45</v>
      </c>
      <c r="U329">
        <v>41</v>
      </c>
      <c r="V329" t="str">
        <f>_xlfn.XLOOKUP(Table1[[#This Row],[JobInvolvement]],Table11[JobInvolvement],Table11[Id_JobInvolvement])</f>
        <v>JI003</v>
      </c>
      <c r="W329">
        <v>3</v>
      </c>
      <c r="X329" t="str">
        <f>_xlfn.XLOOKUP(Table1[[#This Row],[JobLevel]],Table12[JobLevel],Table12[Id_JobLevel])</f>
        <v>JL002</v>
      </c>
      <c r="Y329">
        <v>2</v>
      </c>
      <c r="Z329" t="str">
        <f>_xlfn.XLOOKUP(Table1[[#This Row],[JobRole]],Table13[JobRole],Table13[Id_JobRole])</f>
        <v>JR001</v>
      </c>
      <c r="AA329" t="s">
        <v>47</v>
      </c>
      <c r="AB329" t="str">
        <f>_xlfn.XLOOKUP(Table1[[#This Row],[JobSatisfaction]],Table14[JobSatisfaction],Table14[Id_JobSatisfaction])</f>
        <v>JS003</v>
      </c>
      <c r="AC329">
        <v>3</v>
      </c>
      <c r="AD329" t="str">
        <f>_xlfn.XLOOKUP(Table1[[#This Row],[JobSatisfaction]],Table14[JobSatisfaction],Table14[Deskripsi])</f>
        <v>High</v>
      </c>
      <c r="AE329" t="str">
        <f>_xlfn.XLOOKUP(Table1[[#This Row],[MaritalStatus]],Table15[MaritalStatus],Table15[Id_MaritalStatus])</f>
        <v>MS002</v>
      </c>
      <c r="AF329" t="s">
        <v>56</v>
      </c>
      <c r="AG329">
        <v>5238</v>
      </c>
      <c r="AH329">
        <v>17778</v>
      </c>
      <c r="AI329">
        <v>4</v>
      </c>
      <c r="AJ329" t="str">
        <f>_xlfn.XLOOKUP(Table1[[#This Row],[OverTime]],Table16[OverTime],Table16[Id_OverTime])</f>
        <v>OT001</v>
      </c>
      <c r="AK329" t="s">
        <v>32</v>
      </c>
      <c r="AL329">
        <v>18</v>
      </c>
      <c r="AM329" t="str">
        <f>_xlfn.XLOOKUP(Table1[[#This Row],[PerformanceRating]],Table17[PerformanceRating],Table17[Id_PerformanceRating])</f>
        <v>PR003</v>
      </c>
      <c r="AN329">
        <v>3</v>
      </c>
      <c r="AO329" t="str">
        <f>_xlfn.XLOOKUP(Table1[[#This Row],[PerformanceRating]],Table17[PerformanceRating],Table17[Deskripsi])</f>
        <v>Excellent</v>
      </c>
      <c r="AP329" t="str">
        <f>_xlfn.XLOOKUP(Table1[[#This Row],[RelationshipSatisfaction]],Table18[RelationshipSatisfaction],Table18[Id_RelationshipSatisfaction])</f>
        <v>RS001</v>
      </c>
      <c r="AQ329">
        <v>1</v>
      </c>
      <c r="AR329" t="str">
        <f>_xlfn.XLOOKUP(Table1[[#This Row],[RelationshipSatisfaction]],Table18[RelationshipSatisfaction],Table18[Deskripsi])</f>
        <v>Low</v>
      </c>
      <c r="AS329" t="str">
        <f>_xlfn.XLOOKUP(Table1[[#This Row],[StockOptionLevel]],Table19[StockOptionLevel],Table19[Id_StockOptionLevel])</f>
        <v>SOL001</v>
      </c>
      <c r="AT329">
        <v>0</v>
      </c>
      <c r="AU329" t="str">
        <f>_xlfn.XLOOKUP(Table1[[#This Row],[StockOptionLevel]],Table19[StockOptionLevel],Table19[Deskripsi])</f>
        <v>Non-Eligible</v>
      </c>
      <c r="AV329">
        <v>12</v>
      </c>
      <c r="AW329">
        <v>3</v>
      </c>
      <c r="AX329" t="str">
        <f>_xlfn.XLOOKUP(Table1[[#This Row],[WorkLifeBalance]],Table20[WorkLifeBalance],Table20[Id_WorkLifeBalance])</f>
        <v>WLB003</v>
      </c>
      <c r="AY329">
        <v>2</v>
      </c>
      <c r="AZ329" t="str">
        <f>_xlfn.XLOOKUP(Table1[[#This Row],[WorkLifeBalance]],Table20[WorkLifeBalance],Table20[Deskripsi])</f>
        <v>Better</v>
      </c>
      <c r="BA329">
        <v>1</v>
      </c>
      <c r="BB329">
        <v>0</v>
      </c>
      <c r="BC329">
        <v>0</v>
      </c>
      <c r="BD329">
        <v>0</v>
      </c>
    </row>
    <row r="330" spans="1:56" x14ac:dyDescent="0.25">
      <c r="A330">
        <v>33</v>
      </c>
      <c r="B330" t="str">
        <f>_xlfn.XLOOKUP(Table1[[#This Row],[Attrition]],Table2[Attrition],Table2[Id_Attrition])</f>
        <v>A002</v>
      </c>
      <c r="C330" t="s">
        <v>33</v>
      </c>
      <c r="D330" t="str">
        <f>_xlfn.XLOOKUP(Table1[[#This Row],[BusinessTravel]],Table5[BusinessTravel],Table5[Id_BusinessTravel])</f>
        <v>BS002</v>
      </c>
      <c r="E330" t="s">
        <v>35</v>
      </c>
      <c r="F330">
        <v>508</v>
      </c>
      <c r="G330" t="str">
        <f>_xlfn.XLOOKUP(Table1[[#This Row],[Department]],Table6[Department],Table6[Id_Departement])</f>
        <v>D001</v>
      </c>
      <c r="H330" t="s">
        <v>37</v>
      </c>
      <c r="I330">
        <v>10</v>
      </c>
      <c r="J330" t="str">
        <f>_xlfn.XLOOKUP(Table1[[#This Row],[Education]],Table8[Education],Table8[Id_Education])</f>
        <v>E003</v>
      </c>
      <c r="K330">
        <v>3</v>
      </c>
      <c r="L330" t="str">
        <f>_xlfn.XLOOKUP(Table1[[#This Row],[EducationField]],Table7[EducationField],Table7[Id_EducationField])</f>
        <v>EF004</v>
      </c>
      <c r="M330" t="s">
        <v>43</v>
      </c>
      <c r="N330" t="str">
        <f>_xlfn.XLOOKUP(Table1[[#This Row],[EmployeeNumber]],Table4[EmployeeNumber],Table4[Id_Employee])</f>
        <v>EMP00329</v>
      </c>
      <c r="O330">
        <v>446</v>
      </c>
      <c r="P330" t="str">
        <f>_xlfn.XLOOKUP(Table1[[#This Row],[EnvironmentSatisfaction]],Table9[EnvironmentSatisfaction],Table9[Id_EnviromentSatisfaction])</f>
        <v>ES002</v>
      </c>
      <c r="Q330">
        <v>2</v>
      </c>
      <c r="R330" t="str">
        <f>_xlfn.XLOOKUP(Table1[[#This Row],[EnvironmentSatisfaction]],Table9[EnvironmentSatisfaction],Table9[Deskripsi])</f>
        <v>Medium</v>
      </c>
      <c r="S330" t="str">
        <f>_xlfn.XLOOKUP(Table1[[#This Row],[Gender]],Table10[Gender],Table10[Id_Gender])</f>
        <v>G002</v>
      </c>
      <c r="T330" t="s">
        <v>46</v>
      </c>
      <c r="U330">
        <v>46</v>
      </c>
      <c r="V330" t="str">
        <f>_xlfn.XLOOKUP(Table1[[#This Row],[JobInvolvement]],Table11[JobInvolvement],Table11[Id_JobInvolvement])</f>
        <v>JI002</v>
      </c>
      <c r="W330">
        <v>2</v>
      </c>
      <c r="X330" t="str">
        <f>_xlfn.XLOOKUP(Table1[[#This Row],[JobLevel]],Table12[JobLevel],Table12[Id_JobLevel])</f>
        <v>JL002</v>
      </c>
      <c r="Y330">
        <v>2</v>
      </c>
      <c r="Z330" t="str">
        <f>_xlfn.XLOOKUP(Table1[[#This Row],[JobRole]],Table13[JobRole],Table13[Id_JobRole])</f>
        <v>JR001</v>
      </c>
      <c r="AA330" t="s">
        <v>47</v>
      </c>
      <c r="AB330" t="str">
        <f>_xlfn.XLOOKUP(Table1[[#This Row],[JobSatisfaction]],Table14[JobSatisfaction],Table14[Id_JobSatisfaction])</f>
        <v>JS004</v>
      </c>
      <c r="AC330">
        <v>4</v>
      </c>
      <c r="AD330" t="str">
        <f>_xlfn.XLOOKUP(Table1[[#This Row],[JobSatisfaction]],Table14[JobSatisfaction],Table14[Deskripsi])</f>
        <v>Very High</v>
      </c>
      <c r="AE330" t="str">
        <f>_xlfn.XLOOKUP(Table1[[#This Row],[MaritalStatus]],Table15[MaritalStatus],Table15[Id_MaritalStatus])</f>
        <v>MS001</v>
      </c>
      <c r="AF330" t="s">
        <v>55</v>
      </c>
      <c r="AG330">
        <v>4682</v>
      </c>
      <c r="AH330">
        <v>4317</v>
      </c>
      <c r="AI330">
        <v>3</v>
      </c>
      <c r="AJ330" t="str">
        <f>_xlfn.XLOOKUP(Table1[[#This Row],[OverTime]],Table16[OverTime],Table16[Id_OverTime])</f>
        <v>OT002</v>
      </c>
      <c r="AK330" t="s">
        <v>33</v>
      </c>
      <c r="AL330">
        <v>14</v>
      </c>
      <c r="AM330" t="str">
        <f>_xlfn.XLOOKUP(Table1[[#This Row],[PerformanceRating]],Table17[PerformanceRating],Table17[Id_PerformanceRating])</f>
        <v>PR003</v>
      </c>
      <c r="AN330">
        <v>3</v>
      </c>
      <c r="AO330" t="str">
        <f>_xlfn.XLOOKUP(Table1[[#This Row],[PerformanceRating]],Table17[PerformanceRating],Table17[Deskripsi])</f>
        <v>Excellent</v>
      </c>
      <c r="AP330" t="str">
        <f>_xlfn.XLOOKUP(Table1[[#This Row],[RelationshipSatisfaction]],Table18[RelationshipSatisfaction],Table18[Id_RelationshipSatisfaction])</f>
        <v>RS003</v>
      </c>
      <c r="AQ330">
        <v>3</v>
      </c>
      <c r="AR330" t="str">
        <f>_xlfn.XLOOKUP(Table1[[#This Row],[RelationshipSatisfaction]],Table18[RelationshipSatisfaction],Table18[Deskripsi])</f>
        <v>High</v>
      </c>
      <c r="AS330" t="str">
        <f>_xlfn.XLOOKUP(Table1[[#This Row],[StockOptionLevel]],Table19[StockOptionLevel],Table19[Id_StockOptionLevel])</f>
        <v>SOL001</v>
      </c>
      <c r="AT330">
        <v>0</v>
      </c>
      <c r="AU330" t="str">
        <f>_xlfn.XLOOKUP(Table1[[#This Row],[StockOptionLevel]],Table19[StockOptionLevel],Table19[Deskripsi])</f>
        <v>Non-Eligible</v>
      </c>
      <c r="AV330">
        <v>9</v>
      </c>
      <c r="AW330">
        <v>6</v>
      </c>
      <c r="AX330" t="str">
        <f>_xlfn.XLOOKUP(Table1[[#This Row],[WorkLifeBalance]],Table20[WorkLifeBalance],Table20[Id_WorkLifeBalance])</f>
        <v>WLB003</v>
      </c>
      <c r="AY330">
        <v>2</v>
      </c>
      <c r="AZ330" t="str">
        <f>_xlfn.XLOOKUP(Table1[[#This Row],[WorkLifeBalance]],Table20[WorkLifeBalance],Table20[Deskripsi])</f>
        <v>Better</v>
      </c>
      <c r="BA330">
        <v>7</v>
      </c>
      <c r="BB330">
        <v>7</v>
      </c>
      <c r="BC330">
        <v>0</v>
      </c>
      <c r="BD330">
        <v>1</v>
      </c>
    </row>
    <row r="331" spans="1:56" x14ac:dyDescent="0.25">
      <c r="A331">
        <v>47</v>
      </c>
      <c r="B331" t="str">
        <f>_xlfn.XLOOKUP(Table1[[#This Row],[Attrition]],Table2[Attrition],Table2[Id_Attrition])</f>
        <v>A002</v>
      </c>
      <c r="C331" t="s">
        <v>33</v>
      </c>
      <c r="D331" t="str">
        <f>_xlfn.XLOOKUP(Table1[[#This Row],[BusinessTravel]],Table5[BusinessTravel],Table5[Id_BusinessTravel])</f>
        <v>BS001</v>
      </c>
      <c r="E331" t="s">
        <v>34</v>
      </c>
      <c r="F331">
        <v>1482</v>
      </c>
      <c r="G331" t="str">
        <f>_xlfn.XLOOKUP(Table1[[#This Row],[Department]],Table6[Department],Table6[Id_Departement])</f>
        <v>D002</v>
      </c>
      <c r="H331" t="s">
        <v>38</v>
      </c>
      <c r="I331">
        <v>5</v>
      </c>
      <c r="J331" t="str">
        <f>_xlfn.XLOOKUP(Table1[[#This Row],[Education]],Table8[Education],Table8[Id_Education])</f>
        <v>E005</v>
      </c>
      <c r="K331">
        <v>5</v>
      </c>
      <c r="L331" t="str">
        <f>_xlfn.XLOOKUP(Table1[[#This Row],[EducationField]],Table7[EducationField],Table7[Id_EducationField])</f>
        <v>EF001</v>
      </c>
      <c r="M331" t="s">
        <v>40</v>
      </c>
      <c r="N331" t="str">
        <f>_xlfn.XLOOKUP(Table1[[#This Row],[EmployeeNumber]],Table4[EmployeeNumber],Table4[Id_Employee])</f>
        <v>EMP00330</v>
      </c>
      <c r="O331">
        <v>447</v>
      </c>
      <c r="P331" t="str">
        <f>_xlfn.XLOOKUP(Table1[[#This Row],[EnvironmentSatisfaction]],Table9[EnvironmentSatisfaction],Table9[Id_EnviromentSatisfaction])</f>
        <v>ES004</v>
      </c>
      <c r="Q331">
        <v>4</v>
      </c>
      <c r="R331" t="str">
        <f>_xlfn.XLOOKUP(Table1[[#This Row],[EnvironmentSatisfaction]],Table9[EnvironmentSatisfaction],Table9[Deskripsi])</f>
        <v>Very High</v>
      </c>
      <c r="S331" t="str">
        <f>_xlfn.XLOOKUP(Table1[[#This Row],[Gender]],Table10[Gender],Table10[Id_Gender])</f>
        <v>G002</v>
      </c>
      <c r="T331" t="s">
        <v>46</v>
      </c>
      <c r="U331">
        <v>42</v>
      </c>
      <c r="V331" t="str">
        <f>_xlfn.XLOOKUP(Table1[[#This Row],[JobInvolvement]],Table11[JobInvolvement],Table11[Id_JobInvolvement])</f>
        <v>JI003</v>
      </c>
      <c r="W331">
        <v>3</v>
      </c>
      <c r="X331" t="str">
        <f>_xlfn.XLOOKUP(Table1[[#This Row],[JobLevel]],Table12[JobLevel],Table12[Id_JobLevel])</f>
        <v>JL005</v>
      </c>
      <c r="Y331">
        <v>5</v>
      </c>
      <c r="Z331" t="str">
        <f>_xlfn.XLOOKUP(Table1[[#This Row],[JobRole]],Table13[JobRole],Table13[Id_JobRole])</f>
        <v>JR008</v>
      </c>
      <c r="AA331" t="s">
        <v>54</v>
      </c>
      <c r="AB331" t="str">
        <f>_xlfn.XLOOKUP(Table1[[#This Row],[JobSatisfaction]],Table14[JobSatisfaction],Table14[Id_JobSatisfaction])</f>
        <v>JS003</v>
      </c>
      <c r="AC331">
        <v>3</v>
      </c>
      <c r="AD331" t="str">
        <f>_xlfn.XLOOKUP(Table1[[#This Row],[JobSatisfaction]],Table14[JobSatisfaction],Table14[Deskripsi])</f>
        <v>High</v>
      </c>
      <c r="AE331" t="str">
        <f>_xlfn.XLOOKUP(Table1[[#This Row],[MaritalStatus]],Table15[MaritalStatus],Table15[Id_MaritalStatus])</f>
        <v>MS002</v>
      </c>
      <c r="AF331" t="s">
        <v>56</v>
      </c>
      <c r="AG331">
        <v>18300</v>
      </c>
      <c r="AH331">
        <v>16375</v>
      </c>
      <c r="AI331">
        <v>4</v>
      </c>
      <c r="AJ331" t="str">
        <f>_xlfn.XLOOKUP(Table1[[#This Row],[OverTime]],Table16[OverTime],Table16[Id_OverTime])</f>
        <v>OT002</v>
      </c>
      <c r="AK331" t="s">
        <v>33</v>
      </c>
      <c r="AL331">
        <v>11</v>
      </c>
      <c r="AM331" t="str">
        <f>_xlfn.XLOOKUP(Table1[[#This Row],[PerformanceRating]],Table17[PerformanceRating],Table17[Id_PerformanceRating])</f>
        <v>PR003</v>
      </c>
      <c r="AN331">
        <v>3</v>
      </c>
      <c r="AO331" t="str">
        <f>_xlfn.XLOOKUP(Table1[[#This Row],[PerformanceRating]],Table17[PerformanceRating],Table17[Deskripsi])</f>
        <v>Excellent</v>
      </c>
      <c r="AP331" t="str">
        <f>_xlfn.XLOOKUP(Table1[[#This Row],[RelationshipSatisfaction]],Table18[RelationshipSatisfaction],Table18[Id_RelationshipSatisfaction])</f>
        <v>RS002</v>
      </c>
      <c r="AQ331">
        <v>2</v>
      </c>
      <c r="AR331" t="str">
        <f>_xlfn.XLOOKUP(Table1[[#This Row],[RelationshipSatisfaction]],Table18[RelationshipSatisfaction],Table18[Deskripsi])</f>
        <v>Medium</v>
      </c>
      <c r="AS331" t="str">
        <f>_xlfn.XLOOKUP(Table1[[#This Row],[StockOptionLevel]],Table19[StockOptionLevel],Table19[Id_StockOptionLevel])</f>
        <v>SOL002</v>
      </c>
      <c r="AT331">
        <v>1</v>
      </c>
      <c r="AU331" t="str">
        <f>_xlfn.XLOOKUP(Table1[[#This Row],[StockOptionLevel]],Table19[StockOptionLevel],Table19[Deskripsi])</f>
        <v>Standard</v>
      </c>
      <c r="AV331">
        <v>21</v>
      </c>
      <c r="AW331">
        <v>2</v>
      </c>
      <c r="AX331" t="str">
        <f>_xlfn.XLOOKUP(Table1[[#This Row],[WorkLifeBalance]],Table20[WorkLifeBalance],Table20[Id_WorkLifeBalance])</f>
        <v>WLB002</v>
      </c>
      <c r="AY331">
        <v>3</v>
      </c>
      <c r="AZ331" t="str">
        <f>_xlfn.XLOOKUP(Table1[[#This Row],[WorkLifeBalance]],Table20[WorkLifeBalance],Table20[Deskripsi])</f>
        <v>Good</v>
      </c>
      <c r="BA331">
        <v>3</v>
      </c>
      <c r="BB331">
        <v>2</v>
      </c>
      <c r="BC331">
        <v>1</v>
      </c>
      <c r="BD331">
        <v>1</v>
      </c>
    </row>
    <row r="332" spans="1:56" x14ac:dyDescent="0.25">
      <c r="A332">
        <v>43</v>
      </c>
      <c r="B332" t="str">
        <f>_xlfn.XLOOKUP(Table1[[#This Row],[Attrition]],Table2[Attrition],Table2[Id_Attrition])</f>
        <v>A002</v>
      </c>
      <c r="C332" t="s">
        <v>33</v>
      </c>
      <c r="D332" t="str">
        <f>_xlfn.XLOOKUP(Table1[[#This Row],[BusinessTravel]],Table5[BusinessTravel],Table5[Id_BusinessTravel])</f>
        <v>BS002</v>
      </c>
      <c r="E332" t="s">
        <v>35</v>
      </c>
      <c r="F332">
        <v>559</v>
      </c>
      <c r="G332" t="str">
        <f>_xlfn.XLOOKUP(Table1[[#This Row],[Department]],Table6[Department],Table6[Id_Departement])</f>
        <v>D002</v>
      </c>
      <c r="H332" t="s">
        <v>38</v>
      </c>
      <c r="I332">
        <v>10</v>
      </c>
      <c r="J332" t="str">
        <f>_xlfn.XLOOKUP(Table1[[#This Row],[Education]],Table8[Education],Table8[Id_Education])</f>
        <v>E004</v>
      </c>
      <c r="K332">
        <v>4</v>
      </c>
      <c r="L332" t="str">
        <f>_xlfn.XLOOKUP(Table1[[#This Row],[EducationField]],Table7[EducationField],Table7[Id_EducationField])</f>
        <v>EF001</v>
      </c>
      <c r="M332" t="s">
        <v>40</v>
      </c>
      <c r="N332" t="str">
        <f>_xlfn.XLOOKUP(Table1[[#This Row],[EmployeeNumber]],Table4[EmployeeNumber],Table4[Id_Employee])</f>
        <v>EMP00331</v>
      </c>
      <c r="O332">
        <v>448</v>
      </c>
      <c r="P332" t="str">
        <f>_xlfn.XLOOKUP(Table1[[#This Row],[EnvironmentSatisfaction]],Table9[EnvironmentSatisfaction],Table9[Id_EnviromentSatisfaction])</f>
        <v>ES003</v>
      </c>
      <c r="Q332">
        <v>3</v>
      </c>
      <c r="R332" t="str">
        <f>_xlfn.XLOOKUP(Table1[[#This Row],[EnvironmentSatisfaction]],Table9[EnvironmentSatisfaction],Table9[Deskripsi])</f>
        <v>High</v>
      </c>
      <c r="S332" t="str">
        <f>_xlfn.XLOOKUP(Table1[[#This Row],[Gender]],Table10[Gender],Table10[Id_Gender])</f>
        <v>G001</v>
      </c>
      <c r="T332" t="s">
        <v>45</v>
      </c>
      <c r="U332">
        <v>82</v>
      </c>
      <c r="V332" t="str">
        <f>_xlfn.XLOOKUP(Table1[[#This Row],[JobInvolvement]],Table11[JobInvolvement],Table11[Id_JobInvolvement])</f>
        <v>JI002</v>
      </c>
      <c r="W332">
        <v>2</v>
      </c>
      <c r="X332" t="str">
        <f>_xlfn.XLOOKUP(Table1[[#This Row],[JobLevel]],Table12[JobLevel],Table12[Id_JobLevel])</f>
        <v>JL002</v>
      </c>
      <c r="Y332">
        <v>2</v>
      </c>
      <c r="Z332" t="str">
        <f>_xlfn.XLOOKUP(Table1[[#This Row],[JobRole]],Table13[JobRole],Table13[Id_JobRole])</f>
        <v>JR003</v>
      </c>
      <c r="AA332" t="s">
        <v>49</v>
      </c>
      <c r="AB332" t="str">
        <f>_xlfn.XLOOKUP(Table1[[#This Row],[JobSatisfaction]],Table14[JobSatisfaction],Table14[Id_JobSatisfaction])</f>
        <v>JS003</v>
      </c>
      <c r="AC332">
        <v>3</v>
      </c>
      <c r="AD332" t="str">
        <f>_xlfn.XLOOKUP(Table1[[#This Row],[JobSatisfaction]],Table14[JobSatisfaction],Table14[Deskripsi])</f>
        <v>High</v>
      </c>
      <c r="AE332" t="str">
        <f>_xlfn.XLOOKUP(Table1[[#This Row],[MaritalStatus]],Table15[MaritalStatus],Table15[Id_MaritalStatus])</f>
        <v>MS003</v>
      </c>
      <c r="AF332" t="s">
        <v>57</v>
      </c>
      <c r="AG332">
        <v>5257</v>
      </c>
      <c r="AH332">
        <v>6227</v>
      </c>
      <c r="AI332">
        <v>1</v>
      </c>
      <c r="AJ332" t="str">
        <f>_xlfn.XLOOKUP(Table1[[#This Row],[OverTime]],Table16[OverTime],Table16[Id_OverTime])</f>
        <v>OT002</v>
      </c>
      <c r="AK332" t="s">
        <v>33</v>
      </c>
      <c r="AL332">
        <v>11</v>
      </c>
      <c r="AM332" t="str">
        <f>_xlfn.XLOOKUP(Table1[[#This Row],[PerformanceRating]],Table17[PerformanceRating],Table17[Id_PerformanceRating])</f>
        <v>PR003</v>
      </c>
      <c r="AN332">
        <v>3</v>
      </c>
      <c r="AO332" t="str">
        <f>_xlfn.XLOOKUP(Table1[[#This Row],[PerformanceRating]],Table17[PerformanceRating],Table17[Deskripsi])</f>
        <v>Excellent</v>
      </c>
      <c r="AP332" t="str">
        <f>_xlfn.XLOOKUP(Table1[[#This Row],[RelationshipSatisfaction]],Table18[RelationshipSatisfaction],Table18[Id_RelationshipSatisfaction])</f>
        <v>RS002</v>
      </c>
      <c r="AQ332">
        <v>2</v>
      </c>
      <c r="AR332" t="str">
        <f>_xlfn.XLOOKUP(Table1[[#This Row],[RelationshipSatisfaction]],Table18[RelationshipSatisfaction],Table18[Deskripsi])</f>
        <v>Medium</v>
      </c>
      <c r="AS332" t="str">
        <f>_xlfn.XLOOKUP(Table1[[#This Row],[StockOptionLevel]],Table19[StockOptionLevel],Table19[Id_StockOptionLevel])</f>
        <v>SOL002</v>
      </c>
      <c r="AT332">
        <v>1</v>
      </c>
      <c r="AU332" t="str">
        <f>_xlfn.XLOOKUP(Table1[[#This Row],[StockOptionLevel]],Table19[StockOptionLevel],Table19[Deskripsi])</f>
        <v>Standard</v>
      </c>
      <c r="AV332">
        <v>9</v>
      </c>
      <c r="AW332">
        <v>3</v>
      </c>
      <c r="AX332" t="str">
        <f>_xlfn.XLOOKUP(Table1[[#This Row],[WorkLifeBalance]],Table20[WorkLifeBalance],Table20[Id_WorkLifeBalance])</f>
        <v>WLB004</v>
      </c>
      <c r="AY332">
        <v>4</v>
      </c>
      <c r="AZ332" t="str">
        <f>_xlfn.XLOOKUP(Table1[[#This Row],[WorkLifeBalance]],Table20[WorkLifeBalance],Table20[Deskripsi])</f>
        <v>Best</v>
      </c>
      <c r="BA332">
        <v>9</v>
      </c>
      <c r="BB332">
        <v>7</v>
      </c>
      <c r="BC332">
        <v>0</v>
      </c>
      <c r="BD332">
        <v>0</v>
      </c>
    </row>
    <row r="333" spans="1:56" x14ac:dyDescent="0.25">
      <c r="A333">
        <v>27</v>
      </c>
      <c r="B333" t="str">
        <f>_xlfn.XLOOKUP(Table1[[#This Row],[Attrition]],Table2[Attrition],Table2[Id_Attrition])</f>
        <v>A002</v>
      </c>
      <c r="C333" t="s">
        <v>33</v>
      </c>
      <c r="D333" t="str">
        <f>_xlfn.XLOOKUP(Table1[[#This Row],[BusinessTravel]],Table5[BusinessTravel],Table5[Id_BusinessTravel])</f>
        <v>BS003</v>
      </c>
      <c r="E333" t="s">
        <v>36</v>
      </c>
      <c r="F333">
        <v>210</v>
      </c>
      <c r="G333" t="str">
        <f>_xlfn.XLOOKUP(Table1[[#This Row],[Department]],Table6[Department],Table6[Id_Departement])</f>
        <v>D001</v>
      </c>
      <c r="H333" t="s">
        <v>37</v>
      </c>
      <c r="I333">
        <v>1</v>
      </c>
      <c r="J333" t="str">
        <f>_xlfn.XLOOKUP(Table1[[#This Row],[Education]],Table8[Education],Table8[Id_Education])</f>
        <v>E001</v>
      </c>
      <c r="K333">
        <v>1</v>
      </c>
      <c r="L333" t="str">
        <f>_xlfn.XLOOKUP(Table1[[#This Row],[EducationField]],Table7[EducationField],Table7[Id_EducationField])</f>
        <v>EF004</v>
      </c>
      <c r="M333" t="s">
        <v>43</v>
      </c>
      <c r="N333" t="str">
        <f>_xlfn.XLOOKUP(Table1[[#This Row],[EmployeeNumber]],Table4[EmployeeNumber],Table4[Id_Employee])</f>
        <v>EMP00332</v>
      </c>
      <c r="O333">
        <v>449</v>
      </c>
      <c r="P333" t="str">
        <f>_xlfn.XLOOKUP(Table1[[#This Row],[EnvironmentSatisfaction]],Table9[EnvironmentSatisfaction],Table9[Id_EnviromentSatisfaction])</f>
        <v>ES003</v>
      </c>
      <c r="Q333">
        <v>3</v>
      </c>
      <c r="R333" t="str">
        <f>_xlfn.XLOOKUP(Table1[[#This Row],[EnvironmentSatisfaction]],Table9[EnvironmentSatisfaction],Table9[Deskripsi])</f>
        <v>High</v>
      </c>
      <c r="S333" t="str">
        <f>_xlfn.XLOOKUP(Table1[[#This Row],[Gender]],Table10[Gender],Table10[Id_Gender])</f>
        <v>G002</v>
      </c>
      <c r="T333" t="s">
        <v>46</v>
      </c>
      <c r="U333">
        <v>73</v>
      </c>
      <c r="V333" t="str">
        <f>_xlfn.XLOOKUP(Table1[[#This Row],[JobInvolvement]],Table11[JobInvolvement],Table11[Id_JobInvolvement])</f>
        <v>JI003</v>
      </c>
      <c r="W333">
        <v>3</v>
      </c>
      <c r="X333" t="str">
        <f>_xlfn.XLOOKUP(Table1[[#This Row],[JobLevel]],Table12[JobLevel],Table12[Id_JobLevel])</f>
        <v>JL002</v>
      </c>
      <c r="Y333">
        <v>2</v>
      </c>
      <c r="Z333" t="str">
        <f>_xlfn.XLOOKUP(Table1[[#This Row],[JobRole]],Table13[JobRole],Table13[Id_JobRole])</f>
        <v>JR001</v>
      </c>
      <c r="AA333" t="s">
        <v>47</v>
      </c>
      <c r="AB333" t="str">
        <f>_xlfn.XLOOKUP(Table1[[#This Row],[JobSatisfaction]],Table14[JobSatisfaction],Table14[Id_JobSatisfaction])</f>
        <v>JS002</v>
      </c>
      <c r="AC333">
        <v>2</v>
      </c>
      <c r="AD333" t="str">
        <f>_xlfn.XLOOKUP(Table1[[#This Row],[JobSatisfaction]],Table14[JobSatisfaction],Table14[Deskripsi])</f>
        <v>Medium</v>
      </c>
      <c r="AE333" t="str">
        <f>_xlfn.XLOOKUP(Table1[[#This Row],[MaritalStatus]],Table15[MaritalStatus],Table15[Id_MaritalStatus])</f>
        <v>MS002</v>
      </c>
      <c r="AF333" t="s">
        <v>56</v>
      </c>
      <c r="AG333">
        <v>6349</v>
      </c>
      <c r="AH333">
        <v>22107</v>
      </c>
      <c r="AI333">
        <v>0</v>
      </c>
      <c r="AJ333" t="str">
        <f>_xlfn.XLOOKUP(Table1[[#This Row],[OverTime]],Table16[OverTime],Table16[Id_OverTime])</f>
        <v>OT001</v>
      </c>
      <c r="AK333" t="s">
        <v>32</v>
      </c>
      <c r="AL333">
        <v>13</v>
      </c>
      <c r="AM333" t="str">
        <f>_xlfn.XLOOKUP(Table1[[#This Row],[PerformanceRating]],Table17[PerformanceRating],Table17[Id_PerformanceRating])</f>
        <v>PR003</v>
      </c>
      <c r="AN333">
        <v>3</v>
      </c>
      <c r="AO333" t="str">
        <f>_xlfn.XLOOKUP(Table1[[#This Row],[PerformanceRating]],Table17[PerformanceRating],Table17[Deskripsi])</f>
        <v>Excellent</v>
      </c>
      <c r="AP333" t="str">
        <f>_xlfn.XLOOKUP(Table1[[#This Row],[RelationshipSatisfaction]],Table18[RelationshipSatisfaction],Table18[Id_RelationshipSatisfaction])</f>
        <v>RS004</v>
      </c>
      <c r="AQ333">
        <v>4</v>
      </c>
      <c r="AR333" t="str">
        <f>_xlfn.XLOOKUP(Table1[[#This Row],[RelationshipSatisfaction]],Table18[RelationshipSatisfaction],Table18[Deskripsi])</f>
        <v>Very High</v>
      </c>
      <c r="AS333" t="str">
        <f>_xlfn.XLOOKUP(Table1[[#This Row],[StockOptionLevel]],Table19[StockOptionLevel],Table19[Id_StockOptionLevel])</f>
        <v>SOL002</v>
      </c>
      <c r="AT333">
        <v>1</v>
      </c>
      <c r="AU333" t="str">
        <f>_xlfn.XLOOKUP(Table1[[#This Row],[StockOptionLevel]],Table19[StockOptionLevel],Table19[Deskripsi])</f>
        <v>Standard</v>
      </c>
      <c r="AV333">
        <v>6</v>
      </c>
      <c r="AW333">
        <v>0</v>
      </c>
      <c r="AX333" t="str">
        <f>_xlfn.XLOOKUP(Table1[[#This Row],[WorkLifeBalance]],Table20[WorkLifeBalance],Table20[Id_WorkLifeBalance])</f>
        <v>WLB002</v>
      </c>
      <c r="AY333">
        <v>3</v>
      </c>
      <c r="AZ333" t="str">
        <f>_xlfn.XLOOKUP(Table1[[#This Row],[WorkLifeBalance]],Table20[WorkLifeBalance],Table20[Deskripsi])</f>
        <v>Good</v>
      </c>
      <c r="BA333">
        <v>5</v>
      </c>
      <c r="BB333">
        <v>4</v>
      </c>
      <c r="BC333">
        <v>1</v>
      </c>
      <c r="BD333">
        <v>4</v>
      </c>
    </row>
    <row r="334" spans="1:56" x14ac:dyDescent="0.25">
      <c r="A334">
        <v>54</v>
      </c>
      <c r="B334" t="str">
        <f>_xlfn.XLOOKUP(Table1[[#This Row],[Attrition]],Table2[Attrition],Table2[Id_Attrition])</f>
        <v>A002</v>
      </c>
      <c r="C334" t="s">
        <v>33</v>
      </c>
      <c r="D334" t="str">
        <f>_xlfn.XLOOKUP(Table1[[#This Row],[BusinessTravel]],Table5[BusinessTravel],Table5[Id_BusinessTravel])</f>
        <v>BS002</v>
      </c>
      <c r="E334" t="s">
        <v>35</v>
      </c>
      <c r="F334">
        <v>928</v>
      </c>
      <c r="G334" t="str">
        <f>_xlfn.XLOOKUP(Table1[[#This Row],[Department]],Table6[Department],Table6[Id_Departement])</f>
        <v>D002</v>
      </c>
      <c r="H334" t="s">
        <v>38</v>
      </c>
      <c r="I334">
        <v>20</v>
      </c>
      <c r="J334" t="str">
        <f>_xlfn.XLOOKUP(Table1[[#This Row],[Education]],Table8[Education],Table8[Id_Education])</f>
        <v>E004</v>
      </c>
      <c r="K334">
        <v>4</v>
      </c>
      <c r="L334" t="str">
        <f>_xlfn.XLOOKUP(Table1[[#This Row],[EducationField]],Table7[EducationField],Table7[Id_EducationField])</f>
        <v>EF001</v>
      </c>
      <c r="M334" t="s">
        <v>40</v>
      </c>
      <c r="N334" t="str">
        <f>_xlfn.XLOOKUP(Table1[[#This Row],[EmployeeNumber]],Table4[EmployeeNumber],Table4[Id_Employee])</f>
        <v>EMP00333</v>
      </c>
      <c r="O334">
        <v>450</v>
      </c>
      <c r="P334" t="str">
        <f>_xlfn.XLOOKUP(Table1[[#This Row],[EnvironmentSatisfaction]],Table9[EnvironmentSatisfaction],Table9[Id_EnviromentSatisfaction])</f>
        <v>ES004</v>
      </c>
      <c r="Q334">
        <v>4</v>
      </c>
      <c r="R334" t="str">
        <f>_xlfn.XLOOKUP(Table1[[#This Row],[EnvironmentSatisfaction]],Table9[EnvironmentSatisfaction],Table9[Deskripsi])</f>
        <v>Very High</v>
      </c>
      <c r="S334" t="str">
        <f>_xlfn.XLOOKUP(Table1[[#This Row],[Gender]],Table10[Gender],Table10[Id_Gender])</f>
        <v>G001</v>
      </c>
      <c r="T334" t="s">
        <v>45</v>
      </c>
      <c r="U334">
        <v>31</v>
      </c>
      <c r="V334" t="str">
        <f>_xlfn.XLOOKUP(Table1[[#This Row],[JobInvolvement]],Table11[JobInvolvement],Table11[Id_JobInvolvement])</f>
        <v>JI003</v>
      </c>
      <c r="W334">
        <v>3</v>
      </c>
      <c r="X334" t="str">
        <f>_xlfn.XLOOKUP(Table1[[#This Row],[JobLevel]],Table12[JobLevel],Table12[Id_JobLevel])</f>
        <v>JL002</v>
      </c>
      <c r="Y334">
        <v>2</v>
      </c>
      <c r="Z334" t="str">
        <f>_xlfn.XLOOKUP(Table1[[#This Row],[JobRole]],Table13[JobRole],Table13[Id_JobRole])</f>
        <v>JR002</v>
      </c>
      <c r="AA334" t="s">
        <v>48</v>
      </c>
      <c r="AB334" t="str">
        <f>_xlfn.XLOOKUP(Table1[[#This Row],[JobSatisfaction]],Table14[JobSatisfaction],Table14[Id_JobSatisfaction])</f>
        <v>JS003</v>
      </c>
      <c r="AC334">
        <v>3</v>
      </c>
      <c r="AD334" t="str">
        <f>_xlfn.XLOOKUP(Table1[[#This Row],[JobSatisfaction]],Table14[JobSatisfaction],Table14[Deskripsi])</f>
        <v>High</v>
      </c>
      <c r="AE334" t="str">
        <f>_xlfn.XLOOKUP(Table1[[#This Row],[MaritalStatus]],Table15[MaritalStatus],Table15[Id_MaritalStatus])</f>
        <v>MS001</v>
      </c>
      <c r="AF334" t="s">
        <v>55</v>
      </c>
      <c r="AG334">
        <v>4869</v>
      </c>
      <c r="AH334">
        <v>16885</v>
      </c>
      <c r="AI334">
        <v>3</v>
      </c>
      <c r="AJ334" t="str">
        <f>_xlfn.XLOOKUP(Table1[[#This Row],[OverTime]],Table16[OverTime],Table16[Id_OverTime])</f>
        <v>OT002</v>
      </c>
      <c r="AK334" t="s">
        <v>33</v>
      </c>
      <c r="AL334">
        <v>12</v>
      </c>
      <c r="AM334" t="str">
        <f>_xlfn.XLOOKUP(Table1[[#This Row],[PerformanceRating]],Table17[PerformanceRating],Table17[Id_PerformanceRating])</f>
        <v>PR003</v>
      </c>
      <c r="AN334">
        <v>3</v>
      </c>
      <c r="AO334" t="str">
        <f>_xlfn.XLOOKUP(Table1[[#This Row],[PerformanceRating]],Table17[PerformanceRating],Table17[Deskripsi])</f>
        <v>Excellent</v>
      </c>
      <c r="AP334" t="str">
        <f>_xlfn.XLOOKUP(Table1[[#This Row],[RelationshipSatisfaction]],Table18[RelationshipSatisfaction],Table18[Id_RelationshipSatisfaction])</f>
        <v>RS004</v>
      </c>
      <c r="AQ334">
        <v>4</v>
      </c>
      <c r="AR334" t="str">
        <f>_xlfn.XLOOKUP(Table1[[#This Row],[RelationshipSatisfaction]],Table18[RelationshipSatisfaction],Table18[Deskripsi])</f>
        <v>Very High</v>
      </c>
      <c r="AS334" t="str">
        <f>_xlfn.XLOOKUP(Table1[[#This Row],[StockOptionLevel]],Table19[StockOptionLevel],Table19[Id_StockOptionLevel])</f>
        <v>SOL001</v>
      </c>
      <c r="AT334">
        <v>0</v>
      </c>
      <c r="AU334" t="str">
        <f>_xlfn.XLOOKUP(Table1[[#This Row],[StockOptionLevel]],Table19[StockOptionLevel],Table19[Deskripsi])</f>
        <v>Non-Eligible</v>
      </c>
      <c r="AV334">
        <v>20</v>
      </c>
      <c r="AW334">
        <v>4</v>
      </c>
      <c r="AX334" t="str">
        <f>_xlfn.XLOOKUP(Table1[[#This Row],[WorkLifeBalance]],Table20[WorkLifeBalance],Table20[Id_WorkLifeBalance])</f>
        <v>WLB003</v>
      </c>
      <c r="AY334">
        <v>2</v>
      </c>
      <c r="AZ334" t="str">
        <f>_xlfn.XLOOKUP(Table1[[#This Row],[WorkLifeBalance]],Table20[WorkLifeBalance],Table20[Deskripsi])</f>
        <v>Better</v>
      </c>
      <c r="BA334">
        <v>4</v>
      </c>
      <c r="BB334">
        <v>3</v>
      </c>
      <c r="BC334">
        <v>0</v>
      </c>
      <c r="BD334">
        <v>3</v>
      </c>
    </row>
    <row r="335" spans="1:56" x14ac:dyDescent="0.25">
      <c r="A335">
        <v>43</v>
      </c>
      <c r="B335" t="str">
        <f>_xlfn.XLOOKUP(Table1[[#This Row],[Attrition]],Table2[Attrition],Table2[Id_Attrition])</f>
        <v>A002</v>
      </c>
      <c r="C335" t="s">
        <v>33</v>
      </c>
      <c r="D335" t="str">
        <f>_xlfn.XLOOKUP(Table1[[#This Row],[BusinessTravel]],Table5[BusinessTravel],Table5[Id_BusinessTravel])</f>
        <v>BS001</v>
      </c>
      <c r="E335" t="s">
        <v>34</v>
      </c>
      <c r="F335">
        <v>1001</v>
      </c>
      <c r="G335" t="str">
        <f>_xlfn.XLOOKUP(Table1[[#This Row],[Department]],Table6[Department],Table6[Id_Departement])</f>
        <v>D002</v>
      </c>
      <c r="H335" t="s">
        <v>38</v>
      </c>
      <c r="I335">
        <v>7</v>
      </c>
      <c r="J335" t="str">
        <f>_xlfn.XLOOKUP(Table1[[#This Row],[Education]],Table8[Education],Table8[Id_Education])</f>
        <v>E003</v>
      </c>
      <c r="K335">
        <v>3</v>
      </c>
      <c r="L335" t="str">
        <f>_xlfn.XLOOKUP(Table1[[#This Row],[EducationField]],Table7[EducationField],Table7[Id_EducationField])</f>
        <v>EF001</v>
      </c>
      <c r="M335" t="s">
        <v>40</v>
      </c>
      <c r="N335" t="str">
        <f>_xlfn.XLOOKUP(Table1[[#This Row],[EmployeeNumber]],Table4[EmployeeNumber],Table4[Id_Employee])</f>
        <v>EMP00334</v>
      </c>
      <c r="O335">
        <v>451</v>
      </c>
      <c r="P335" t="str">
        <f>_xlfn.XLOOKUP(Table1[[#This Row],[EnvironmentSatisfaction]],Table9[EnvironmentSatisfaction],Table9[Id_EnviromentSatisfaction])</f>
        <v>ES003</v>
      </c>
      <c r="Q335">
        <v>3</v>
      </c>
      <c r="R335" t="str">
        <f>_xlfn.XLOOKUP(Table1[[#This Row],[EnvironmentSatisfaction]],Table9[EnvironmentSatisfaction],Table9[Deskripsi])</f>
        <v>High</v>
      </c>
      <c r="S335" t="str">
        <f>_xlfn.XLOOKUP(Table1[[#This Row],[Gender]],Table10[Gender],Table10[Id_Gender])</f>
        <v>G001</v>
      </c>
      <c r="T335" t="s">
        <v>45</v>
      </c>
      <c r="U335">
        <v>43</v>
      </c>
      <c r="V335" t="str">
        <f>_xlfn.XLOOKUP(Table1[[#This Row],[JobInvolvement]],Table11[JobInvolvement],Table11[Id_JobInvolvement])</f>
        <v>JI003</v>
      </c>
      <c r="W335">
        <v>3</v>
      </c>
      <c r="X335" t="str">
        <f>_xlfn.XLOOKUP(Table1[[#This Row],[JobLevel]],Table12[JobLevel],Table12[Id_JobLevel])</f>
        <v>JL003</v>
      </c>
      <c r="Y335">
        <v>3</v>
      </c>
      <c r="Z335" t="str">
        <f>_xlfn.XLOOKUP(Table1[[#This Row],[JobRole]],Table13[JobRole],Table13[Id_JobRole])</f>
        <v>JR005</v>
      </c>
      <c r="AA335" t="s">
        <v>51</v>
      </c>
      <c r="AB335" t="str">
        <f>_xlfn.XLOOKUP(Table1[[#This Row],[JobSatisfaction]],Table14[JobSatisfaction],Table14[Id_JobSatisfaction])</f>
        <v>JS001</v>
      </c>
      <c r="AC335">
        <v>1</v>
      </c>
      <c r="AD335" t="str">
        <f>_xlfn.XLOOKUP(Table1[[#This Row],[JobSatisfaction]],Table14[JobSatisfaction],Table14[Deskripsi])</f>
        <v>Low</v>
      </c>
      <c r="AE335" t="str">
        <f>_xlfn.XLOOKUP(Table1[[#This Row],[MaritalStatus]],Table15[MaritalStatus],Table15[Id_MaritalStatus])</f>
        <v>MS002</v>
      </c>
      <c r="AF335" t="s">
        <v>56</v>
      </c>
      <c r="AG335">
        <v>9985</v>
      </c>
      <c r="AH335">
        <v>9262</v>
      </c>
      <c r="AI335">
        <v>8</v>
      </c>
      <c r="AJ335" t="str">
        <f>_xlfn.XLOOKUP(Table1[[#This Row],[OverTime]],Table16[OverTime],Table16[Id_OverTime])</f>
        <v>OT002</v>
      </c>
      <c r="AK335" t="s">
        <v>33</v>
      </c>
      <c r="AL335">
        <v>16</v>
      </c>
      <c r="AM335" t="str">
        <f>_xlfn.XLOOKUP(Table1[[#This Row],[PerformanceRating]],Table17[PerformanceRating],Table17[Id_PerformanceRating])</f>
        <v>PR003</v>
      </c>
      <c r="AN335">
        <v>3</v>
      </c>
      <c r="AO335" t="str">
        <f>_xlfn.XLOOKUP(Table1[[#This Row],[PerformanceRating]],Table17[PerformanceRating],Table17[Deskripsi])</f>
        <v>Excellent</v>
      </c>
      <c r="AP335" t="str">
        <f>_xlfn.XLOOKUP(Table1[[#This Row],[RelationshipSatisfaction]],Table18[RelationshipSatisfaction],Table18[Id_RelationshipSatisfaction])</f>
        <v>RS001</v>
      </c>
      <c r="AQ335">
        <v>1</v>
      </c>
      <c r="AR335" t="str">
        <f>_xlfn.XLOOKUP(Table1[[#This Row],[RelationshipSatisfaction]],Table18[RelationshipSatisfaction],Table18[Deskripsi])</f>
        <v>Low</v>
      </c>
      <c r="AS335" t="str">
        <f>_xlfn.XLOOKUP(Table1[[#This Row],[StockOptionLevel]],Table19[StockOptionLevel],Table19[Id_StockOptionLevel])</f>
        <v>SOL002</v>
      </c>
      <c r="AT335">
        <v>1</v>
      </c>
      <c r="AU335" t="str">
        <f>_xlfn.XLOOKUP(Table1[[#This Row],[StockOptionLevel]],Table19[StockOptionLevel],Table19[Deskripsi])</f>
        <v>Standard</v>
      </c>
      <c r="AV335">
        <v>10</v>
      </c>
      <c r="AW335">
        <v>1</v>
      </c>
      <c r="AX335" t="str">
        <f>_xlfn.XLOOKUP(Table1[[#This Row],[WorkLifeBalance]],Table20[WorkLifeBalance],Table20[Id_WorkLifeBalance])</f>
        <v>WLB003</v>
      </c>
      <c r="AY335">
        <v>2</v>
      </c>
      <c r="AZ335" t="str">
        <f>_xlfn.XLOOKUP(Table1[[#This Row],[WorkLifeBalance]],Table20[WorkLifeBalance],Table20[Deskripsi])</f>
        <v>Better</v>
      </c>
      <c r="BA335">
        <v>1</v>
      </c>
      <c r="BB335">
        <v>0</v>
      </c>
      <c r="BC335">
        <v>0</v>
      </c>
      <c r="BD335">
        <v>0</v>
      </c>
    </row>
    <row r="336" spans="1:56" x14ac:dyDescent="0.25">
      <c r="A336">
        <v>45</v>
      </c>
      <c r="B336" t="str">
        <f>_xlfn.XLOOKUP(Table1[[#This Row],[Attrition]],Table2[Attrition],Table2[Id_Attrition])</f>
        <v>A002</v>
      </c>
      <c r="C336" t="s">
        <v>33</v>
      </c>
      <c r="D336" t="str">
        <f>_xlfn.XLOOKUP(Table1[[#This Row],[BusinessTravel]],Table5[BusinessTravel],Table5[Id_BusinessTravel])</f>
        <v>BS001</v>
      </c>
      <c r="E336" t="s">
        <v>34</v>
      </c>
      <c r="F336">
        <v>549</v>
      </c>
      <c r="G336" t="str">
        <f>_xlfn.XLOOKUP(Table1[[#This Row],[Department]],Table6[Department],Table6[Id_Departement])</f>
        <v>D002</v>
      </c>
      <c r="H336" t="s">
        <v>38</v>
      </c>
      <c r="I336">
        <v>8</v>
      </c>
      <c r="J336" t="str">
        <f>_xlfn.XLOOKUP(Table1[[#This Row],[Education]],Table8[Education],Table8[Id_Education])</f>
        <v>E004</v>
      </c>
      <c r="K336">
        <v>4</v>
      </c>
      <c r="L336" t="str">
        <f>_xlfn.XLOOKUP(Table1[[#This Row],[EducationField]],Table7[EducationField],Table7[Id_EducationField])</f>
        <v>EF002</v>
      </c>
      <c r="M336" t="s">
        <v>41</v>
      </c>
      <c r="N336" t="str">
        <f>_xlfn.XLOOKUP(Table1[[#This Row],[EmployeeNumber]],Table4[EmployeeNumber],Table4[Id_Employee])</f>
        <v>EMP00335</v>
      </c>
      <c r="O336">
        <v>452</v>
      </c>
      <c r="P336" t="str">
        <f>_xlfn.XLOOKUP(Table1[[#This Row],[EnvironmentSatisfaction]],Table9[EnvironmentSatisfaction],Table9[Id_EnviromentSatisfaction])</f>
        <v>ES004</v>
      </c>
      <c r="Q336">
        <v>4</v>
      </c>
      <c r="R336" t="str">
        <f>_xlfn.XLOOKUP(Table1[[#This Row],[EnvironmentSatisfaction]],Table9[EnvironmentSatisfaction],Table9[Deskripsi])</f>
        <v>Very High</v>
      </c>
      <c r="S336" t="str">
        <f>_xlfn.XLOOKUP(Table1[[#This Row],[Gender]],Table10[Gender],Table10[Id_Gender])</f>
        <v>G002</v>
      </c>
      <c r="T336" t="s">
        <v>46</v>
      </c>
      <c r="U336">
        <v>75</v>
      </c>
      <c r="V336" t="str">
        <f>_xlfn.XLOOKUP(Table1[[#This Row],[JobInvolvement]],Table11[JobInvolvement],Table11[Id_JobInvolvement])</f>
        <v>JI003</v>
      </c>
      <c r="W336">
        <v>3</v>
      </c>
      <c r="X336" t="str">
        <f>_xlfn.XLOOKUP(Table1[[#This Row],[JobLevel]],Table12[JobLevel],Table12[Id_JobLevel])</f>
        <v>JL002</v>
      </c>
      <c r="Y336">
        <v>2</v>
      </c>
      <c r="Z336" t="str">
        <f>_xlfn.XLOOKUP(Table1[[#This Row],[JobRole]],Table13[JobRole],Table13[Id_JobRole])</f>
        <v>JR002</v>
      </c>
      <c r="AA336" t="s">
        <v>48</v>
      </c>
      <c r="AB336" t="str">
        <f>_xlfn.XLOOKUP(Table1[[#This Row],[JobSatisfaction]],Table14[JobSatisfaction],Table14[Id_JobSatisfaction])</f>
        <v>JS004</v>
      </c>
      <c r="AC336">
        <v>4</v>
      </c>
      <c r="AD336" t="str">
        <f>_xlfn.XLOOKUP(Table1[[#This Row],[JobSatisfaction]],Table14[JobSatisfaction],Table14[Deskripsi])</f>
        <v>Very High</v>
      </c>
      <c r="AE336" t="str">
        <f>_xlfn.XLOOKUP(Table1[[#This Row],[MaritalStatus]],Table15[MaritalStatus],Table15[Id_MaritalStatus])</f>
        <v>MS002</v>
      </c>
      <c r="AF336" t="s">
        <v>56</v>
      </c>
      <c r="AG336">
        <v>3697</v>
      </c>
      <c r="AH336">
        <v>9278</v>
      </c>
      <c r="AI336">
        <v>9</v>
      </c>
      <c r="AJ336" t="str">
        <f>_xlfn.XLOOKUP(Table1[[#This Row],[OverTime]],Table16[OverTime],Table16[Id_OverTime])</f>
        <v>OT002</v>
      </c>
      <c r="AK336" t="s">
        <v>33</v>
      </c>
      <c r="AL336">
        <v>14</v>
      </c>
      <c r="AM336" t="str">
        <f>_xlfn.XLOOKUP(Table1[[#This Row],[PerformanceRating]],Table17[PerformanceRating],Table17[Id_PerformanceRating])</f>
        <v>PR003</v>
      </c>
      <c r="AN336">
        <v>3</v>
      </c>
      <c r="AO336" t="str">
        <f>_xlfn.XLOOKUP(Table1[[#This Row],[PerformanceRating]],Table17[PerformanceRating],Table17[Deskripsi])</f>
        <v>Excellent</v>
      </c>
      <c r="AP336" t="str">
        <f>_xlfn.XLOOKUP(Table1[[#This Row],[RelationshipSatisfaction]],Table18[RelationshipSatisfaction],Table18[Id_RelationshipSatisfaction])</f>
        <v>RS001</v>
      </c>
      <c r="AQ336">
        <v>1</v>
      </c>
      <c r="AR336" t="str">
        <f>_xlfn.XLOOKUP(Table1[[#This Row],[RelationshipSatisfaction]],Table18[RelationshipSatisfaction],Table18[Deskripsi])</f>
        <v>Low</v>
      </c>
      <c r="AS336" t="str">
        <f>_xlfn.XLOOKUP(Table1[[#This Row],[StockOptionLevel]],Table19[StockOptionLevel],Table19[Id_StockOptionLevel])</f>
        <v>SOL003</v>
      </c>
      <c r="AT336">
        <v>2</v>
      </c>
      <c r="AU336" t="str">
        <f>_xlfn.XLOOKUP(Table1[[#This Row],[StockOptionLevel]],Table19[StockOptionLevel],Table19[Deskripsi])</f>
        <v>Intermediate</v>
      </c>
      <c r="AV336">
        <v>12</v>
      </c>
      <c r="AW336">
        <v>3</v>
      </c>
      <c r="AX336" t="str">
        <f>_xlfn.XLOOKUP(Table1[[#This Row],[WorkLifeBalance]],Table20[WorkLifeBalance],Table20[Id_WorkLifeBalance])</f>
        <v>WLB002</v>
      </c>
      <c r="AY336">
        <v>3</v>
      </c>
      <c r="AZ336" t="str">
        <f>_xlfn.XLOOKUP(Table1[[#This Row],[WorkLifeBalance]],Table20[WorkLifeBalance],Table20[Deskripsi])</f>
        <v>Good</v>
      </c>
      <c r="BA336">
        <v>10</v>
      </c>
      <c r="BB336">
        <v>9</v>
      </c>
      <c r="BC336">
        <v>9</v>
      </c>
      <c r="BD336">
        <v>8</v>
      </c>
    </row>
    <row r="337" spans="1:56" x14ac:dyDescent="0.25">
      <c r="A337">
        <v>40</v>
      </c>
      <c r="B337" t="str">
        <f>_xlfn.XLOOKUP(Table1[[#This Row],[Attrition]],Table2[Attrition],Table2[Id_Attrition])</f>
        <v>A002</v>
      </c>
      <c r="C337" t="s">
        <v>33</v>
      </c>
      <c r="D337" t="str">
        <f>_xlfn.XLOOKUP(Table1[[#This Row],[BusinessTravel]],Table5[BusinessTravel],Table5[Id_BusinessTravel])</f>
        <v>BS001</v>
      </c>
      <c r="E337" t="s">
        <v>34</v>
      </c>
      <c r="F337">
        <v>1124</v>
      </c>
      <c r="G337" t="str">
        <f>_xlfn.XLOOKUP(Table1[[#This Row],[Department]],Table6[Department],Table6[Id_Departement])</f>
        <v>D001</v>
      </c>
      <c r="H337" t="s">
        <v>37</v>
      </c>
      <c r="I337">
        <v>1</v>
      </c>
      <c r="J337" t="str">
        <f>_xlfn.XLOOKUP(Table1[[#This Row],[Education]],Table8[Education],Table8[Id_Education])</f>
        <v>E002</v>
      </c>
      <c r="K337">
        <v>2</v>
      </c>
      <c r="L337" t="str">
        <f>_xlfn.XLOOKUP(Table1[[#This Row],[EducationField]],Table7[EducationField],Table7[Id_EducationField])</f>
        <v>EF003</v>
      </c>
      <c r="M337" t="s">
        <v>42</v>
      </c>
      <c r="N337" t="str">
        <f>_xlfn.XLOOKUP(Table1[[#This Row],[EmployeeNumber]],Table4[EmployeeNumber],Table4[Id_Employee])</f>
        <v>EMP00336</v>
      </c>
      <c r="O337">
        <v>453</v>
      </c>
      <c r="P337" t="str">
        <f>_xlfn.XLOOKUP(Table1[[#This Row],[EnvironmentSatisfaction]],Table9[EnvironmentSatisfaction],Table9[Id_EnviromentSatisfaction])</f>
        <v>ES002</v>
      </c>
      <c r="Q337">
        <v>2</v>
      </c>
      <c r="R337" t="str">
        <f>_xlfn.XLOOKUP(Table1[[#This Row],[EnvironmentSatisfaction]],Table9[EnvironmentSatisfaction],Table9[Deskripsi])</f>
        <v>Medium</v>
      </c>
      <c r="S337" t="str">
        <f>_xlfn.XLOOKUP(Table1[[#This Row],[Gender]],Table10[Gender],Table10[Id_Gender])</f>
        <v>G002</v>
      </c>
      <c r="T337" t="s">
        <v>46</v>
      </c>
      <c r="U337">
        <v>57</v>
      </c>
      <c r="V337" t="str">
        <f>_xlfn.XLOOKUP(Table1[[#This Row],[JobInvolvement]],Table11[JobInvolvement],Table11[Id_JobInvolvement])</f>
        <v>JI001</v>
      </c>
      <c r="W337">
        <v>1</v>
      </c>
      <c r="X337" t="str">
        <f>_xlfn.XLOOKUP(Table1[[#This Row],[JobLevel]],Table12[JobLevel],Table12[Id_JobLevel])</f>
        <v>JL002</v>
      </c>
      <c r="Y337">
        <v>2</v>
      </c>
      <c r="Z337" t="str">
        <f>_xlfn.XLOOKUP(Table1[[#This Row],[JobRole]],Table13[JobRole],Table13[Id_JobRole])</f>
        <v>JR001</v>
      </c>
      <c r="AA337" t="s">
        <v>47</v>
      </c>
      <c r="AB337" t="str">
        <f>_xlfn.XLOOKUP(Table1[[#This Row],[JobSatisfaction]],Table14[JobSatisfaction],Table14[Id_JobSatisfaction])</f>
        <v>JS004</v>
      </c>
      <c r="AC337">
        <v>4</v>
      </c>
      <c r="AD337" t="str">
        <f>_xlfn.XLOOKUP(Table1[[#This Row],[JobSatisfaction]],Table14[JobSatisfaction],Table14[Deskripsi])</f>
        <v>Very High</v>
      </c>
      <c r="AE337" t="str">
        <f>_xlfn.XLOOKUP(Table1[[#This Row],[MaritalStatus]],Table15[MaritalStatus],Table15[Id_MaritalStatus])</f>
        <v>MS002</v>
      </c>
      <c r="AF337" t="s">
        <v>56</v>
      </c>
      <c r="AG337">
        <v>7457</v>
      </c>
      <c r="AH337">
        <v>13273</v>
      </c>
      <c r="AI337">
        <v>2</v>
      </c>
      <c r="AJ337" t="str">
        <f>_xlfn.XLOOKUP(Table1[[#This Row],[OverTime]],Table16[OverTime],Table16[Id_OverTime])</f>
        <v>OT001</v>
      </c>
      <c r="AK337" t="s">
        <v>32</v>
      </c>
      <c r="AL337">
        <v>22</v>
      </c>
      <c r="AM337" t="str">
        <f>_xlfn.XLOOKUP(Table1[[#This Row],[PerformanceRating]],Table17[PerformanceRating],Table17[Id_PerformanceRating])</f>
        <v>PR004</v>
      </c>
      <c r="AN337">
        <v>4</v>
      </c>
      <c r="AO337" t="str">
        <f>_xlfn.XLOOKUP(Table1[[#This Row],[PerformanceRating]],Table17[PerformanceRating],Table17[Deskripsi])</f>
        <v>Outstanding</v>
      </c>
      <c r="AP337" t="str">
        <f>_xlfn.XLOOKUP(Table1[[#This Row],[RelationshipSatisfaction]],Table18[RelationshipSatisfaction],Table18[Id_RelationshipSatisfaction])</f>
        <v>RS003</v>
      </c>
      <c r="AQ337">
        <v>3</v>
      </c>
      <c r="AR337" t="str">
        <f>_xlfn.XLOOKUP(Table1[[#This Row],[RelationshipSatisfaction]],Table18[RelationshipSatisfaction],Table18[Deskripsi])</f>
        <v>High</v>
      </c>
      <c r="AS337" t="str">
        <f>_xlfn.XLOOKUP(Table1[[#This Row],[StockOptionLevel]],Table19[StockOptionLevel],Table19[Id_StockOptionLevel])</f>
        <v>SOL004</v>
      </c>
      <c r="AT337">
        <v>3</v>
      </c>
      <c r="AU337" t="str">
        <f>_xlfn.XLOOKUP(Table1[[#This Row],[StockOptionLevel]],Table19[StockOptionLevel],Table19[Deskripsi])</f>
        <v>Senior/Executive</v>
      </c>
      <c r="AV337">
        <v>6</v>
      </c>
      <c r="AW337">
        <v>2</v>
      </c>
      <c r="AX337" t="str">
        <f>_xlfn.XLOOKUP(Table1[[#This Row],[WorkLifeBalance]],Table20[WorkLifeBalance],Table20[Id_WorkLifeBalance])</f>
        <v>WLB003</v>
      </c>
      <c r="AY337">
        <v>2</v>
      </c>
      <c r="AZ337" t="str">
        <f>_xlfn.XLOOKUP(Table1[[#This Row],[WorkLifeBalance]],Table20[WorkLifeBalance],Table20[Deskripsi])</f>
        <v>Better</v>
      </c>
      <c r="BA337">
        <v>4</v>
      </c>
      <c r="BB337">
        <v>3</v>
      </c>
      <c r="BC337">
        <v>0</v>
      </c>
      <c r="BD337">
        <v>2</v>
      </c>
    </row>
    <row r="338" spans="1:56" x14ac:dyDescent="0.25">
      <c r="A338">
        <v>29</v>
      </c>
      <c r="B338" t="str">
        <f>_xlfn.XLOOKUP(Table1[[#This Row],[Attrition]],Table2[Attrition],Table2[Id_Attrition])</f>
        <v>A001</v>
      </c>
      <c r="C338" t="s">
        <v>32</v>
      </c>
      <c r="D338" t="str">
        <f>_xlfn.XLOOKUP(Table1[[#This Row],[BusinessTravel]],Table5[BusinessTravel],Table5[Id_BusinessTravel])</f>
        <v>BS001</v>
      </c>
      <c r="E338" t="s">
        <v>34</v>
      </c>
      <c r="F338">
        <v>318</v>
      </c>
      <c r="G338" t="str">
        <f>_xlfn.XLOOKUP(Table1[[#This Row],[Department]],Table6[Department],Table6[Id_Departement])</f>
        <v>D002</v>
      </c>
      <c r="H338" t="s">
        <v>38</v>
      </c>
      <c r="I338">
        <v>8</v>
      </c>
      <c r="J338" t="str">
        <f>_xlfn.XLOOKUP(Table1[[#This Row],[Education]],Table8[Education],Table8[Id_Education])</f>
        <v>E004</v>
      </c>
      <c r="K338">
        <v>4</v>
      </c>
      <c r="L338" t="str">
        <f>_xlfn.XLOOKUP(Table1[[#This Row],[EducationField]],Table7[EducationField],Table7[Id_EducationField])</f>
        <v>EF002</v>
      </c>
      <c r="M338" t="s">
        <v>41</v>
      </c>
      <c r="N338" t="str">
        <f>_xlfn.XLOOKUP(Table1[[#This Row],[EmployeeNumber]],Table4[EmployeeNumber],Table4[Id_Employee])</f>
        <v>EMP00337</v>
      </c>
      <c r="O338">
        <v>454</v>
      </c>
      <c r="P338" t="str">
        <f>_xlfn.XLOOKUP(Table1[[#This Row],[EnvironmentSatisfaction]],Table9[EnvironmentSatisfaction],Table9[Id_EnviromentSatisfaction])</f>
        <v>ES002</v>
      </c>
      <c r="Q338">
        <v>2</v>
      </c>
      <c r="R338" t="str">
        <f>_xlfn.XLOOKUP(Table1[[#This Row],[EnvironmentSatisfaction]],Table9[EnvironmentSatisfaction],Table9[Deskripsi])</f>
        <v>Medium</v>
      </c>
      <c r="S338" t="str">
        <f>_xlfn.XLOOKUP(Table1[[#This Row],[Gender]],Table10[Gender],Table10[Id_Gender])</f>
        <v>G002</v>
      </c>
      <c r="T338" t="s">
        <v>46</v>
      </c>
      <c r="U338">
        <v>77</v>
      </c>
      <c r="V338" t="str">
        <f>_xlfn.XLOOKUP(Table1[[#This Row],[JobInvolvement]],Table11[JobInvolvement],Table11[Id_JobInvolvement])</f>
        <v>JI001</v>
      </c>
      <c r="W338">
        <v>1</v>
      </c>
      <c r="X338" t="str">
        <f>_xlfn.XLOOKUP(Table1[[#This Row],[JobLevel]],Table12[JobLevel],Table12[Id_JobLevel])</f>
        <v>JL001</v>
      </c>
      <c r="Y338">
        <v>1</v>
      </c>
      <c r="Z338" t="str">
        <f>_xlfn.XLOOKUP(Table1[[#This Row],[JobRole]],Table13[JobRole],Table13[Id_JobRole])</f>
        <v>JR003</v>
      </c>
      <c r="AA338" t="s">
        <v>49</v>
      </c>
      <c r="AB338" t="str">
        <f>_xlfn.XLOOKUP(Table1[[#This Row],[JobSatisfaction]],Table14[JobSatisfaction],Table14[Id_JobSatisfaction])</f>
        <v>JS001</v>
      </c>
      <c r="AC338">
        <v>1</v>
      </c>
      <c r="AD338" t="str">
        <f>_xlfn.XLOOKUP(Table1[[#This Row],[JobSatisfaction]],Table14[JobSatisfaction],Table14[Deskripsi])</f>
        <v>Low</v>
      </c>
      <c r="AE338" t="str">
        <f>_xlfn.XLOOKUP(Table1[[#This Row],[MaritalStatus]],Table15[MaritalStatus],Table15[Id_MaritalStatus])</f>
        <v>MS002</v>
      </c>
      <c r="AF338" t="s">
        <v>56</v>
      </c>
      <c r="AG338">
        <v>2119</v>
      </c>
      <c r="AH338">
        <v>4759</v>
      </c>
      <c r="AI338">
        <v>1</v>
      </c>
      <c r="AJ338" t="str">
        <f>_xlfn.XLOOKUP(Table1[[#This Row],[OverTime]],Table16[OverTime],Table16[Id_OverTime])</f>
        <v>OT001</v>
      </c>
      <c r="AK338" t="s">
        <v>32</v>
      </c>
      <c r="AL338">
        <v>11</v>
      </c>
      <c r="AM338" t="str">
        <f>_xlfn.XLOOKUP(Table1[[#This Row],[PerformanceRating]],Table17[PerformanceRating],Table17[Id_PerformanceRating])</f>
        <v>PR003</v>
      </c>
      <c r="AN338">
        <v>3</v>
      </c>
      <c r="AO338" t="str">
        <f>_xlfn.XLOOKUP(Table1[[#This Row],[PerformanceRating]],Table17[PerformanceRating],Table17[Deskripsi])</f>
        <v>Excellent</v>
      </c>
      <c r="AP338" t="str">
        <f>_xlfn.XLOOKUP(Table1[[#This Row],[RelationshipSatisfaction]],Table18[RelationshipSatisfaction],Table18[Id_RelationshipSatisfaction])</f>
        <v>RS004</v>
      </c>
      <c r="AQ338">
        <v>4</v>
      </c>
      <c r="AR338" t="str">
        <f>_xlfn.XLOOKUP(Table1[[#This Row],[RelationshipSatisfaction]],Table18[RelationshipSatisfaction],Table18[Deskripsi])</f>
        <v>Very High</v>
      </c>
      <c r="AS338" t="str">
        <f>_xlfn.XLOOKUP(Table1[[#This Row],[StockOptionLevel]],Table19[StockOptionLevel],Table19[Id_StockOptionLevel])</f>
        <v>SOL001</v>
      </c>
      <c r="AT338">
        <v>0</v>
      </c>
      <c r="AU338" t="str">
        <f>_xlfn.XLOOKUP(Table1[[#This Row],[StockOptionLevel]],Table19[StockOptionLevel],Table19[Deskripsi])</f>
        <v>Non-Eligible</v>
      </c>
      <c r="AV338">
        <v>7</v>
      </c>
      <c r="AW338">
        <v>4</v>
      </c>
      <c r="AX338" t="str">
        <f>_xlfn.XLOOKUP(Table1[[#This Row],[WorkLifeBalance]],Table20[WorkLifeBalance],Table20[Id_WorkLifeBalance])</f>
        <v>WLB003</v>
      </c>
      <c r="AY338">
        <v>2</v>
      </c>
      <c r="AZ338" t="str">
        <f>_xlfn.XLOOKUP(Table1[[#This Row],[WorkLifeBalance]],Table20[WorkLifeBalance],Table20[Deskripsi])</f>
        <v>Better</v>
      </c>
      <c r="BA338">
        <v>7</v>
      </c>
      <c r="BB338">
        <v>7</v>
      </c>
      <c r="BC338">
        <v>0</v>
      </c>
      <c r="BD338">
        <v>7</v>
      </c>
    </row>
    <row r="339" spans="1:56" x14ac:dyDescent="0.25">
      <c r="A339">
        <v>29</v>
      </c>
      <c r="B339" t="str">
        <f>_xlfn.XLOOKUP(Table1[[#This Row],[Attrition]],Table2[Attrition],Table2[Id_Attrition])</f>
        <v>A002</v>
      </c>
      <c r="C339" t="s">
        <v>33</v>
      </c>
      <c r="D339" t="str">
        <f>_xlfn.XLOOKUP(Table1[[#This Row],[BusinessTravel]],Table5[BusinessTravel],Table5[Id_BusinessTravel])</f>
        <v>BS001</v>
      </c>
      <c r="E339" t="s">
        <v>34</v>
      </c>
      <c r="F339">
        <v>738</v>
      </c>
      <c r="G339" t="str">
        <f>_xlfn.XLOOKUP(Table1[[#This Row],[Department]],Table6[Department],Table6[Id_Departement])</f>
        <v>D002</v>
      </c>
      <c r="H339" t="s">
        <v>38</v>
      </c>
      <c r="I339">
        <v>9</v>
      </c>
      <c r="J339" t="str">
        <f>_xlfn.XLOOKUP(Table1[[#This Row],[Education]],Table8[Education],Table8[Id_Education])</f>
        <v>E005</v>
      </c>
      <c r="K339">
        <v>5</v>
      </c>
      <c r="L339" t="str">
        <f>_xlfn.XLOOKUP(Table1[[#This Row],[EducationField]],Table7[EducationField],Table7[Id_EducationField])</f>
        <v>EF002</v>
      </c>
      <c r="M339" t="s">
        <v>41</v>
      </c>
      <c r="N339" t="str">
        <f>_xlfn.XLOOKUP(Table1[[#This Row],[EmployeeNumber]],Table4[EmployeeNumber],Table4[Id_Employee])</f>
        <v>EMP00338</v>
      </c>
      <c r="O339">
        <v>455</v>
      </c>
      <c r="P339" t="str">
        <f>_xlfn.XLOOKUP(Table1[[#This Row],[EnvironmentSatisfaction]],Table9[EnvironmentSatisfaction],Table9[Id_EnviromentSatisfaction])</f>
        <v>ES002</v>
      </c>
      <c r="Q339">
        <v>2</v>
      </c>
      <c r="R339" t="str">
        <f>_xlfn.XLOOKUP(Table1[[#This Row],[EnvironmentSatisfaction]],Table9[EnvironmentSatisfaction],Table9[Deskripsi])</f>
        <v>Medium</v>
      </c>
      <c r="S339" t="str">
        <f>_xlfn.XLOOKUP(Table1[[#This Row],[Gender]],Table10[Gender],Table10[Id_Gender])</f>
        <v>G002</v>
      </c>
      <c r="T339" t="s">
        <v>46</v>
      </c>
      <c r="U339">
        <v>30</v>
      </c>
      <c r="V339" t="str">
        <f>_xlfn.XLOOKUP(Table1[[#This Row],[JobInvolvement]],Table11[JobInvolvement],Table11[Id_JobInvolvement])</f>
        <v>JI002</v>
      </c>
      <c r="W339">
        <v>2</v>
      </c>
      <c r="X339" t="str">
        <f>_xlfn.XLOOKUP(Table1[[#This Row],[JobLevel]],Table12[JobLevel],Table12[Id_JobLevel])</f>
        <v>JL001</v>
      </c>
      <c r="Y339">
        <v>1</v>
      </c>
      <c r="Z339" t="str">
        <f>_xlfn.XLOOKUP(Table1[[#This Row],[JobRole]],Table13[JobRole],Table13[Id_JobRole])</f>
        <v>JR003</v>
      </c>
      <c r="AA339" t="s">
        <v>49</v>
      </c>
      <c r="AB339" t="str">
        <f>_xlfn.XLOOKUP(Table1[[#This Row],[JobSatisfaction]],Table14[JobSatisfaction],Table14[Id_JobSatisfaction])</f>
        <v>JS004</v>
      </c>
      <c r="AC339">
        <v>4</v>
      </c>
      <c r="AD339" t="str">
        <f>_xlfn.XLOOKUP(Table1[[#This Row],[JobSatisfaction]],Table14[JobSatisfaction],Table14[Deskripsi])</f>
        <v>Very High</v>
      </c>
      <c r="AE339" t="str">
        <f>_xlfn.XLOOKUP(Table1[[#This Row],[MaritalStatus]],Table15[MaritalStatus],Table15[Id_MaritalStatus])</f>
        <v>MS001</v>
      </c>
      <c r="AF339" t="s">
        <v>55</v>
      </c>
      <c r="AG339">
        <v>3983</v>
      </c>
      <c r="AH339">
        <v>7621</v>
      </c>
      <c r="AI339">
        <v>0</v>
      </c>
      <c r="AJ339" t="str">
        <f>_xlfn.XLOOKUP(Table1[[#This Row],[OverTime]],Table16[OverTime],Table16[Id_OverTime])</f>
        <v>OT002</v>
      </c>
      <c r="AK339" t="s">
        <v>33</v>
      </c>
      <c r="AL339">
        <v>17</v>
      </c>
      <c r="AM339" t="str">
        <f>_xlfn.XLOOKUP(Table1[[#This Row],[PerformanceRating]],Table17[PerformanceRating],Table17[Id_PerformanceRating])</f>
        <v>PR003</v>
      </c>
      <c r="AN339">
        <v>3</v>
      </c>
      <c r="AO339" t="str">
        <f>_xlfn.XLOOKUP(Table1[[#This Row],[PerformanceRating]],Table17[PerformanceRating],Table17[Deskripsi])</f>
        <v>Excellent</v>
      </c>
      <c r="AP339" t="str">
        <f>_xlfn.XLOOKUP(Table1[[#This Row],[RelationshipSatisfaction]],Table18[RelationshipSatisfaction],Table18[Id_RelationshipSatisfaction])</f>
        <v>RS003</v>
      </c>
      <c r="AQ339">
        <v>3</v>
      </c>
      <c r="AR339" t="str">
        <f>_xlfn.XLOOKUP(Table1[[#This Row],[RelationshipSatisfaction]],Table18[RelationshipSatisfaction],Table18[Deskripsi])</f>
        <v>High</v>
      </c>
      <c r="AS339" t="str">
        <f>_xlfn.XLOOKUP(Table1[[#This Row],[StockOptionLevel]],Table19[StockOptionLevel],Table19[Id_StockOptionLevel])</f>
        <v>SOL001</v>
      </c>
      <c r="AT339">
        <v>0</v>
      </c>
      <c r="AU339" t="str">
        <f>_xlfn.XLOOKUP(Table1[[#This Row],[StockOptionLevel]],Table19[StockOptionLevel],Table19[Deskripsi])</f>
        <v>Non-Eligible</v>
      </c>
      <c r="AV339">
        <v>4</v>
      </c>
      <c r="AW339">
        <v>2</v>
      </c>
      <c r="AX339" t="str">
        <f>_xlfn.XLOOKUP(Table1[[#This Row],[WorkLifeBalance]],Table20[WorkLifeBalance],Table20[Id_WorkLifeBalance])</f>
        <v>WLB002</v>
      </c>
      <c r="AY339">
        <v>3</v>
      </c>
      <c r="AZ339" t="str">
        <f>_xlfn.XLOOKUP(Table1[[#This Row],[WorkLifeBalance]],Table20[WorkLifeBalance],Table20[Deskripsi])</f>
        <v>Good</v>
      </c>
      <c r="BA339">
        <v>3</v>
      </c>
      <c r="BB339">
        <v>2</v>
      </c>
      <c r="BC339">
        <v>2</v>
      </c>
      <c r="BD339">
        <v>2</v>
      </c>
    </row>
    <row r="340" spans="1:56" x14ac:dyDescent="0.25">
      <c r="A340">
        <v>30</v>
      </c>
      <c r="B340" t="str">
        <f>_xlfn.XLOOKUP(Table1[[#This Row],[Attrition]],Table2[Attrition],Table2[Id_Attrition])</f>
        <v>A002</v>
      </c>
      <c r="C340" t="s">
        <v>33</v>
      </c>
      <c r="D340" t="str">
        <f>_xlfn.XLOOKUP(Table1[[#This Row],[BusinessTravel]],Table5[BusinessTravel],Table5[Id_BusinessTravel])</f>
        <v>BS001</v>
      </c>
      <c r="E340" t="s">
        <v>34</v>
      </c>
      <c r="F340">
        <v>570</v>
      </c>
      <c r="G340" t="str">
        <f>_xlfn.XLOOKUP(Table1[[#This Row],[Department]],Table6[Department],Table6[Id_Departement])</f>
        <v>D001</v>
      </c>
      <c r="H340" t="s">
        <v>37</v>
      </c>
      <c r="I340">
        <v>5</v>
      </c>
      <c r="J340" t="str">
        <f>_xlfn.XLOOKUP(Table1[[#This Row],[Education]],Table8[Education],Table8[Id_Education])</f>
        <v>E003</v>
      </c>
      <c r="K340">
        <v>3</v>
      </c>
      <c r="L340" t="str">
        <f>_xlfn.XLOOKUP(Table1[[#This Row],[EducationField]],Table7[EducationField],Table7[Id_EducationField])</f>
        <v>EF004</v>
      </c>
      <c r="M340" t="s">
        <v>43</v>
      </c>
      <c r="N340" t="str">
        <f>_xlfn.XLOOKUP(Table1[[#This Row],[EmployeeNumber]],Table4[EmployeeNumber],Table4[Id_Employee])</f>
        <v>EMP00339</v>
      </c>
      <c r="O340">
        <v>456</v>
      </c>
      <c r="P340" t="str">
        <f>_xlfn.XLOOKUP(Table1[[#This Row],[EnvironmentSatisfaction]],Table9[EnvironmentSatisfaction],Table9[Id_EnviromentSatisfaction])</f>
        <v>ES004</v>
      </c>
      <c r="Q340">
        <v>4</v>
      </c>
      <c r="R340" t="str">
        <f>_xlfn.XLOOKUP(Table1[[#This Row],[EnvironmentSatisfaction]],Table9[EnvironmentSatisfaction],Table9[Deskripsi])</f>
        <v>Very High</v>
      </c>
      <c r="S340" t="str">
        <f>_xlfn.XLOOKUP(Table1[[#This Row],[Gender]],Table10[Gender],Table10[Id_Gender])</f>
        <v>G001</v>
      </c>
      <c r="T340" t="s">
        <v>45</v>
      </c>
      <c r="U340">
        <v>30</v>
      </c>
      <c r="V340" t="str">
        <f>_xlfn.XLOOKUP(Table1[[#This Row],[JobInvolvement]],Table11[JobInvolvement],Table11[Id_JobInvolvement])</f>
        <v>JI002</v>
      </c>
      <c r="W340">
        <v>2</v>
      </c>
      <c r="X340" t="str">
        <f>_xlfn.XLOOKUP(Table1[[#This Row],[JobLevel]],Table12[JobLevel],Table12[Id_JobLevel])</f>
        <v>JL002</v>
      </c>
      <c r="Y340">
        <v>2</v>
      </c>
      <c r="Z340" t="str">
        <f>_xlfn.XLOOKUP(Table1[[#This Row],[JobRole]],Table13[JobRole],Table13[Id_JobRole])</f>
        <v>JR001</v>
      </c>
      <c r="AA340" t="s">
        <v>47</v>
      </c>
      <c r="AB340" t="str">
        <f>_xlfn.XLOOKUP(Table1[[#This Row],[JobSatisfaction]],Table14[JobSatisfaction],Table14[Id_JobSatisfaction])</f>
        <v>JS003</v>
      </c>
      <c r="AC340">
        <v>3</v>
      </c>
      <c r="AD340" t="str">
        <f>_xlfn.XLOOKUP(Table1[[#This Row],[JobSatisfaction]],Table14[JobSatisfaction],Table14[Deskripsi])</f>
        <v>High</v>
      </c>
      <c r="AE340" t="str">
        <f>_xlfn.XLOOKUP(Table1[[#This Row],[MaritalStatus]],Table15[MaritalStatus],Table15[Id_MaritalStatus])</f>
        <v>MS003</v>
      </c>
      <c r="AF340" t="s">
        <v>57</v>
      </c>
      <c r="AG340">
        <v>6118</v>
      </c>
      <c r="AH340">
        <v>5431</v>
      </c>
      <c r="AI340">
        <v>1</v>
      </c>
      <c r="AJ340" t="str">
        <f>_xlfn.XLOOKUP(Table1[[#This Row],[OverTime]],Table16[OverTime],Table16[Id_OverTime])</f>
        <v>OT002</v>
      </c>
      <c r="AK340" t="s">
        <v>33</v>
      </c>
      <c r="AL340">
        <v>13</v>
      </c>
      <c r="AM340" t="str">
        <f>_xlfn.XLOOKUP(Table1[[#This Row],[PerformanceRating]],Table17[PerformanceRating],Table17[Id_PerformanceRating])</f>
        <v>PR003</v>
      </c>
      <c r="AN340">
        <v>3</v>
      </c>
      <c r="AO340" t="str">
        <f>_xlfn.XLOOKUP(Table1[[#This Row],[PerformanceRating]],Table17[PerformanceRating],Table17[Deskripsi])</f>
        <v>Excellent</v>
      </c>
      <c r="AP340" t="str">
        <f>_xlfn.XLOOKUP(Table1[[#This Row],[RelationshipSatisfaction]],Table18[RelationshipSatisfaction],Table18[Id_RelationshipSatisfaction])</f>
        <v>RS003</v>
      </c>
      <c r="AQ340">
        <v>3</v>
      </c>
      <c r="AR340" t="str">
        <f>_xlfn.XLOOKUP(Table1[[#This Row],[RelationshipSatisfaction]],Table18[RelationshipSatisfaction],Table18[Deskripsi])</f>
        <v>High</v>
      </c>
      <c r="AS340" t="str">
        <f>_xlfn.XLOOKUP(Table1[[#This Row],[StockOptionLevel]],Table19[StockOptionLevel],Table19[Id_StockOptionLevel])</f>
        <v>SOL004</v>
      </c>
      <c r="AT340">
        <v>3</v>
      </c>
      <c r="AU340" t="str">
        <f>_xlfn.XLOOKUP(Table1[[#This Row],[StockOptionLevel]],Table19[StockOptionLevel],Table19[Deskripsi])</f>
        <v>Senior/Executive</v>
      </c>
      <c r="AV340">
        <v>10</v>
      </c>
      <c r="AW340">
        <v>2</v>
      </c>
      <c r="AX340" t="str">
        <f>_xlfn.XLOOKUP(Table1[[#This Row],[WorkLifeBalance]],Table20[WorkLifeBalance],Table20[Id_WorkLifeBalance])</f>
        <v>WLB002</v>
      </c>
      <c r="AY340">
        <v>3</v>
      </c>
      <c r="AZ340" t="str">
        <f>_xlfn.XLOOKUP(Table1[[#This Row],[WorkLifeBalance]],Table20[WorkLifeBalance],Table20[Deskripsi])</f>
        <v>Good</v>
      </c>
      <c r="BA340">
        <v>10</v>
      </c>
      <c r="BB340">
        <v>9</v>
      </c>
      <c r="BC340">
        <v>1</v>
      </c>
      <c r="BD340">
        <v>2</v>
      </c>
    </row>
    <row r="341" spans="1:56" x14ac:dyDescent="0.25">
      <c r="A341">
        <v>27</v>
      </c>
      <c r="B341" t="str">
        <f>_xlfn.XLOOKUP(Table1[[#This Row],[Attrition]],Table2[Attrition],Table2[Id_Attrition])</f>
        <v>A002</v>
      </c>
      <c r="C341" t="s">
        <v>33</v>
      </c>
      <c r="D341" t="str">
        <f>_xlfn.XLOOKUP(Table1[[#This Row],[BusinessTravel]],Table5[BusinessTravel],Table5[Id_BusinessTravel])</f>
        <v>BS001</v>
      </c>
      <c r="E341" t="s">
        <v>34</v>
      </c>
      <c r="F341">
        <v>1130</v>
      </c>
      <c r="G341" t="str">
        <f>_xlfn.XLOOKUP(Table1[[#This Row],[Department]],Table6[Department],Table6[Id_Departement])</f>
        <v>D001</v>
      </c>
      <c r="H341" t="s">
        <v>37</v>
      </c>
      <c r="I341">
        <v>8</v>
      </c>
      <c r="J341" t="str">
        <f>_xlfn.XLOOKUP(Table1[[#This Row],[Education]],Table8[Education],Table8[Id_Education])</f>
        <v>E004</v>
      </c>
      <c r="K341">
        <v>4</v>
      </c>
      <c r="L341" t="str">
        <f>_xlfn.XLOOKUP(Table1[[#This Row],[EducationField]],Table7[EducationField],Table7[Id_EducationField])</f>
        <v>EF004</v>
      </c>
      <c r="M341" t="s">
        <v>43</v>
      </c>
      <c r="N341" t="str">
        <f>_xlfn.XLOOKUP(Table1[[#This Row],[EmployeeNumber]],Table4[EmployeeNumber],Table4[Id_Employee])</f>
        <v>EMP00340</v>
      </c>
      <c r="O341">
        <v>458</v>
      </c>
      <c r="P341" t="str">
        <f>_xlfn.XLOOKUP(Table1[[#This Row],[EnvironmentSatisfaction]],Table9[EnvironmentSatisfaction],Table9[Id_EnviromentSatisfaction])</f>
        <v>ES002</v>
      </c>
      <c r="Q341">
        <v>2</v>
      </c>
      <c r="R341" t="str">
        <f>_xlfn.XLOOKUP(Table1[[#This Row],[EnvironmentSatisfaction]],Table9[EnvironmentSatisfaction],Table9[Deskripsi])</f>
        <v>Medium</v>
      </c>
      <c r="S341" t="str">
        <f>_xlfn.XLOOKUP(Table1[[#This Row],[Gender]],Table10[Gender],Table10[Id_Gender])</f>
        <v>G001</v>
      </c>
      <c r="T341" t="s">
        <v>45</v>
      </c>
      <c r="U341">
        <v>56</v>
      </c>
      <c r="V341" t="str">
        <f>_xlfn.XLOOKUP(Table1[[#This Row],[JobInvolvement]],Table11[JobInvolvement],Table11[Id_JobInvolvement])</f>
        <v>JI003</v>
      </c>
      <c r="W341">
        <v>3</v>
      </c>
      <c r="X341" t="str">
        <f>_xlfn.XLOOKUP(Table1[[#This Row],[JobLevel]],Table12[JobLevel],Table12[Id_JobLevel])</f>
        <v>JL002</v>
      </c>
      <c r="Y341">
        <v>2</v>
      </c>
      <c r="Z341" t="str">
        <f>_xlfn.XLOOKUP(Table1[[#This Row],[JobRole]],Table13[JobRole],Table13[Id_JobRole])</f>
        <v>JR001</v>
      </c>
      <c r="AA341" t="s">
        <v>47</v>
      </c>
      <c r="AB341" t="str">
        <f>_xlfn.XLOOKUP(Table1[[#This Row],[JobSatisfaction]],Table14[JobSatisfaction],Table14[Id_JobSatisfaction])</f>
        <v>JS002</v>
      </c>
      <c r="AC341">
        <v>2</v>
      </c>
      <c r="AD341" t="str">
        <f>_xlfn.XLOOKUP(Table1[[#This Row],[JobSatisfaction]],Table14[JobSatisfaction],Table14[Deskripsi])</f>
        <v>Medium</v>
      </c>
      <c r="AE341" t="str">
        <f>_xlfn.XLOOKUP(Table1[[#This Row],[MaritalStatus]],Table15[MaritalStatus],Table15[Id_MaritalStatus])</f>
        <v>MS002</v>
      </c>
      <c r="AF341" t="s">
        <v>56</v>
      </c>
      <c r="AG341">
        <v>6214</v>
      </c>
      <c r="AH341">
        <v>3415</v>
      </c>
      <c r="AI341">
        <v>1</v>
      </c>
      <c r="AJ341" t="str">
        <f>_xlfn.XLOOKUP(Table1[[#This Row],[OverTime]],Table16[OverTime],Table16[Id_OverTime])</f>
        <v>OT002</v>
      </c>
      <c r="AK341" t="s">
        <v>33</v>
      </c>
      <c r="AL341">
        <v>18</v>
      </c>
      <c r="AM341" t="str">
        <f>_xlfn.XLOOKUP(Table1[[#This Row],[PerformanceRating]],Table17[PerformanceRating],Table17[Id_PerformanceRating])</f>
        <v>PR003</v>
      </c>
      <c r="AN341">
        <v>3</v>
      </c>
      <c r="AO341" t="str">
        <f>_xlfn.XLOOKUP(Table1[[#This Row],[PerformanceRating]],Table17[PerformanceRating],Table17[Deskripsi])</f>
        <v>Excellent</v>
      </c>
      <c r="AP341" t="str">
        <f>_xlfn.XLOOKUP(Table1[[#This Row],[RelationshipSatisfaction]],Table18[RelationshipSatisfaction],Table18[Id_RelationshipSatisfaction])</f>
        <v>RS001</v>
      </c>
      <c r="AQ341">
        <v>1</v>
      </c>
      <c r="AR341" t="str">
        <f>_xlfn.XLOOKUP(Table1[[#This Row],[RelationshipSatisfaction]],Table18[RelationshipSatisfaction],Table18[Deskripsi])</f>
        <v>Low</v>
      </c>
      <c r="AS341" t="str">
        <f>_xlfn.XLOOKUP(Table1[[#This Row],[StockOptionLevel]],Table19[StockOptionLevel],Table19[Id_StockOptionLevel])</f>
        <v>SOL002</v>
      </c>
      <c r="AT341">
        <v>1</v>
      </c>
      <c r="AU341" t="str">
        <f>_xlfn.XLOOKUP(Table1[[#This Row],[StockOptionLevel]],Table19[StockOptionLevel],Table19[Deskripsi])</f>
        <v>Standard</v>
      </c>
      <c r="AV341">
        <v>8</v>
      </c>
      <c r="AW341">
        <v>3</v>
      </c>
      <c r="AX341" t="str">
        <f>_xlfn.XLOOKUP(Table1[[#This Row],[WorkLifeBalance]],Table20[WorkLifeBalance],Table20[Id_WorkLifeBalance])</f>
        <v>WLB002</v>
      </c>
      <c r="AY341">
        <v>3</v>
      </c>
      <c r="AZ341" t="str">
        <f>_xlfn.XLOOKUP(Table1[[#This Row],[WorkLifeBalance]],Table20[WorkLifeBalance],Table20[Deskripsi])</f>
        <v>Good</v>
      </c>
      <c r="BA341">
        <v>8</v>
      </c>
      <c r="BB341">
        <v>7</v>
      </c>
      <c r="BC341">
        <v>0</v>
      </c>
      <c r="BD341">
        <v>7</v>
      </c>
    </row>
    <row r="342" spans="1:56" x14ac:dyDescent="0.25">
      <c r="A342">
        <v>37</v>
      </c>
      <c r="B342" t="str">
        <f>_xlfn.XLOOKUP(Table1[[#This Row],[Attrition]],Table2[Attrition],Table2[Id_Attrition])</f>
        <v>A002</v>
      </c>
      <c r="C342" t="s">
        <v>33</v>
      </c>
      <c r="D342" t="str">
        <f>_xlfn.XLOOKUP(Table1[[#This Row],[BusinessTravel]],Table5[BusinessTravel],Table5[Id_BusinessTravel])</f>
        <v>BS001</v>
      </c>
      <c r="E342" t="s">
        <v>34</v>
      </c>
      <c r="F342">
        <v>1192</v>
      </c>
      <c r="G342" t="str">
        <f>_xlfn.XLOOKUP(Table1[[#This Row],[Department]],Table6[Department],Table6[Id_Departement])</f>
        <v>D002</v>
      </c>
      <c r="H342" t="s">
        <v>38</v>
      </c>
      <c r="I342">
        <v>5</v>
      </c>
      <c r="J342" t="str">
        <f>_xlfn.XLOOKUP(Table1[[#This Row],[Education]],Table8[Education],Table8[Id_Education])</f>
        <v>E002</v>
      </c>
      <c r="K342">
        <v>2</v>
      </c>
      <c r="L342" t="str">
        <f>_xlfn.XLOOKUP(Table1[[#This Row],[EducationField]],Table7[EducationField],Table7[Id_EducationField])</f>
        <v>EF003</v>
      </c>
      <c r="M342" t="s">
        <v>42</v>
      </c>
      <c r="N342" t="str">
        <f>_xlfn.XLOOKUP(Table1[[#This Row],[EmployeeNumber]],Table4[EmployeeNumber],Table4[Id_Employee])</f>
        <v>EMP00341</v>
      </c>
      <c r="O342">
        <v>460</v>
      </c>
      <c r="P342" t="str">
        <f>_xlfn.XLOOKUP(Table1[[#This Row],[EnvironmentSatisfaction]],Table9[EnvironmentSatisfaction],Table9[Id_EnviromentSatisfaction])</f>
        <v>ES004</v>
      </c>
      <c r="Q342">
        <v>4</v>
      </c>
      <c r="R342" t="str">
        <f>_xlfn.XLOOKUP(Table1[[#This Row],[EnvironmentSatisfaction]],Table9[EnvironmentSatisfaction],Table9[Deskripsi])</f>
        <v>Very High</v>
      </c>
      <c r="S342" t="str">
        <f>_xlfn.XLOOKUP(Table1[[#This Row],[Gender]],Table10[Gender],Table10[Id_Gender])</f>
        <v>G002</v>
      </c>
      <c r="T342" t="s">
        <v>46</v>
      </c>
      <c r="U342">
        <v>61</v>
      </c>
      <c r="V342" t="str">
        <f>_xlfn.XLOOKUP(Table1[[#This Row],[JobInvolvement]],Table11[JobInvolvement],Table11[Id_JobInvolvement])</f>
        <v>JI003</v>
      </c>
      <c r="W342">
        <v>3</v>
      </c>
      <c r="X342" t="str">
        <f>_xlfn.XLOOKUP(Table1[[#This Row],[JobLevel]],Table12[JobLevel],Table12[Id_JobLevel])</f>
        <v>JL002</v>
      </c>
      <c r="Y342">
        <v>2</v>
      </c>
      <c r="Z342" t="str">
        <f>_xlfn.XLOOKUP(Table1[[#This Row],[JobRole]],Table13[JobRole],Table13[Id_JobRole])</f>
        <v>JR004</v>
      </c>
      <c r="AA342" t="s">
        <v>50</v>
      </c>
      <c r="AB342" t="str">
        <f>_xlfn.XLOOKUP(Table1[[#This Row],[JobSatisfaction]],Table14[JobSatisfaction],Table14[Id_JobSatisfaction])</f>
        <v>JS004</v>
      </c>
      <c r="AC342">
        <v>4</v>
      </c>
      <c r="AD342" t="str">
        <f>_xlfn.XLOOKUP(Table1[[#This Row],[JobSatisfaction]],Table14[JobSatisfaction],Table14[Deskripsi])</f>
        <v>Very High</v>
      </c>
      <c r="AE342" t="str">
        <f>_xlfn.XLOOKUP(Table1[[#This Row],[MaritalStatus]],Table15[MaritalStatus],Table15[Id_MaritalStatus])</f>
        <v>MS003</v>
      </c>
      <c r="AF342" t="s">
        <v>57</v>
      </c>
      <c r="AG342">
        <v>6347</v>
      </c>
      <c r="AH342">
        <v>23177</v>
      </c>
      <c r="AI342">
        <v>7</v>
      </c>
      <c r="AJ342" t="str">
        <f>_xlfn.XLOOKUP(Table1[[#This Row],[OverTime]],Table16[OverTime],Table16[Id_OverTime])</f>
        <v>OT002</v>
      </c>
      <c r="AK342" t="s">
        <v>33</v>
      </c>
      <c r="AL342">
        <v>16</v>
      </c>
      <c r="AM342" t="str">
        <f>_xlfn.XLOOKUP(Table1[[#This Row],[PerformanceRating]],Table17[PerformanceRating],Table17[Id_PerformanceRating])</f>
        <v>PR003</v>
      </c>
      <c r="AN342">
        <v>3</v>
      </c>
      <c r="AO342" t="str">
        <f>_xlfn.XLOOKUP(Table1[[#This Row],[PerformanceRating]],Table17[PerformanceRating],Table17[Deskripsi])</f>
        <v>Excellent</v>
      </c>
      <c r="AP342" t="str">
        <f>_xlfn.XLOOKUP(Table1[[#This Row],[RelationshipSatisfaction]],Table18[RelationshipSatisfaction],Table18[Id_RelationshipSatisfaction])</f>
        <v>RS003</v>
      </c>
      <c r="AQ342">
        <v>3</v>
      </c>
      <c r="AR342" t="str">
        <f>_xlfn.XLOOKUP(Table1[[#This Row],[RelationshipSatisfaction]],Table18[RelationshipSatisfaction],Table18[Deskripsi])</f>
        <v>High</v>
      </c>
      <c r="AS342" t="str">
        <f>_xlfn.XLOOKUP(Table1[[#This Row],[StockOptionLevel]],Table19[StockOptionLevel],Table19[Id_StockOptionLevel])</f>
        <v>SOL003</v>
      </c>
      <c r="AT342">
        <v>2</v>
      </c>
      <c r="AU342" t="str">
        <f>_xlfn.XLOOKUP(Table1[[#This Row],[StockOptionLevel]],Table19[StockOptionLevel],Table19[Deskripsi])</f>
        <v>Intermediate</v>
      </c>
      <c r="AV342">
        <v>8</v>
      </c>
      <c r="AW342">
        <v>2</v>
      </c>
      <c r="AX342" t="str">
        <f>_xlfn.XLOOKUP(Table1[[#This Row],[WorkLifeBalance]],Table20[WorkLifeBalance],Table20[Id_WorkLifeBalance])</f>
        <v>WLB003</v>
      </c>
      <c r="AY342">
        <v>2</v>
      </c>
      <c r="AZ342" t="str">
        <f>_xlfn.XLOOKUP(Table1[[#This Row],[WorkLifeBalance]],Table20[WorkLifeBalance],Table20[Deskripsi])</f>
        <v>Better</v>
      </c>
      <c r="BA342">
        <v>6</v>
      </c>
      <c r="BB342">
        <v>2</v>
      </c>
      <c r="BC342">
        <v>0</v>
      </c>
      <c r="BD342">
        <v>4</v>
      </c>
    </row>
    <row r="343" spans="1:56" x14ac:dyDescent="0.25">
      <c r="A343">
        <v>38</v>
      </c>
      <c r="B343" t="str">
        <f>_xlfn.XLOOKUP(Table1[[#This Row],[Attrition]],Table2[Attrition],Table2[Id_Attrition])</f>
        <v>A002</v>
      </c>
      <c r="C343" t="s">
        <v>33</v>
      </c>
      <c r="D343" t="str">
        <f>_xlfn.XLOOKUP(Table1[[#This Row],[BusinessTravel]],Table5[BusinessTravel],Table5[Id_BusinessTravel])</f>
        <v>BS001</v>
      </c>
      <c r="E343" t="s">
        <v>34</v>
      </c>
      <c r="F343">
        <v>343</v>
      </c>
      <c r="G343" t="str">
        <f>_xlfn.XLOOKUP(Table1[[#This Row],[Department]],Table6[Department],Table6[Id_Departement])</f>
        <v>D002</v>
      </c>
      <c r="H343" t="s">
        <v>38</v>
      </c>
      <c r="I343">
        <v>15</v>
      </c>
      <c r="J343" t="str">
        <f>_xlfn.XLOOKUP(Table1[[#This Row],[Education]],Table8[Education],Table8[Id_Education])</f>
        <v>E002</v>
      </c>
      <c r="K343">
        <v>2</v>
      </c>
      <c r="L343" t="str">
        <f>_xlfn.XLOOKUP(Table1[[#This Row],[EducationField]],Table7[EducationField],Table7[Id_EducationField])</f>
        <v>EF001</v>
      </c>
      <c r="M343" t="s">
        <v>40</v>
      </c>
      <c r="N343" t="str">
        <f>_xlfn.XLOOKUP(Table1[[#This Row],[EmployeeNumber]],Table4[EmployeeNumber],Table4[Id_Employee])</f>
        <v>EMP00342</v>
      </c>
      <c r="O343">
        <v>461</v>
      </c>
      <c r="P343" t="str">
        <f>_xlfn.XLOOKUP(Table1[[#This Row],[EnvironmentSatisfaction]],Table9[EnvironmentSatisfaction],Table9[Id_EnviromentSatisfaction])</f>
        <v>ES003</v>
      </c>
      <c r="Q343">
        <v>3</v>
      </c>
      <c r="R343" t="str">
        <f>_xlfn.XLOOKUP(Table1[[#This Row],[EnvironmentSatisfaction]],Table9[EnvironmentSatisfaction],Table9[Deskripsi])</f>
        <v>High</v>
      </c>
      <c r="S343" t="str">
        <f>_xlfn.XLOOKUP(Table1[[#This Row],[Gender]],Table10[Gender],Table10[Id_Gender])</f>
        <v>G002</v>
      </c>
      <c r="T343" t="s">
        <v>46</v>
      </c>
      <c r="U343">
        <v>92</v>
      </c>
      <c r="V343" t="str">
        <f>_xlfn.XLOOKUP(Table1[[#This Row],[JobInvolvement]],Table11[JobInvolvement],Table11[Id_JobInvolvement])</f>
        <v>JI002</v>
      </c>
      <c r="W343">
        <v>2</v>
      </c>
      <c r="X343" t="str">
        <f>_xlfn.XLOOKUP(Table1[[#This Row],[JobLevel]],Table12[JobLevel],Table12[Id_JobLevel])</f>
        <v>JL003</v>
      </c>
      <c r="Y343">
        <v>3</v>
      </c>
      <c r="Z343" t="str">
        <f>_xlfn.XLOOKUP(Table1[[#This Row],[JobRole]],Table13[JobRole],Table13[Id_JobRole])</f>
        <v>JR008</v>
      </c>
      <c r="AA343" t="s">
        <v>54</v>
      </c>
      <c r="AB343" t="str">
        <f>_xlfn.XLOOKUP(Table1[[#This Row],[JobSatisfaction]],Table14[JobSatisfaction],Table14[Id_JobSatisfaction])</f>
        <v>JS004</v>
      </c>
      <c r="AC343">
        <v>4</v>
      </c>
      <c r="AD343" t="str">
        <f>_xlfn.XLOOKUP(Table1[[#This Row],[JobSatisfaction]],Table14[JobSatisfaction],Table14[Deskripsi])</f>
        <v>Very High</v>
      </c>
      <c r="AE343" t="str">
        <f>_xlfn.XLOOKUP(Table1[[#This Row],[MaritalStatus]],Table15[MaritalStatus],Table15[Id_MaritalStatus])</f>
        <v>MS003</v>
      </c>
      <c r="AF343" t="s">
        <v>57</v>
      </c>
      <c r="AG343">
        <v>11510</v>
      </c>
      <c r="AH343">
        <v>15682</v>
      </c>
      <c r="AI343">
        <v>0</v>
      </c>
      <c r="AJ343" t="str">
        <f>_xlfn.XLOOKUP(Table1[[#This Row],[OverTime]],Table16[OverTime],Table16[Id_OverTime])</f>
        <v>OT001</v>
      </c>
      <c r="AK343" t="s">
        <v>32</v>
      </c>
      <c r="AL343">
        <v>14</v>
      </c>
      <c r="AM343" t="str">
        <f>_xlfn.XLOOKUP(Table1[[#This Row],[PerformanceRating]],Table17[PerformanceRating],Table17[Id_PerformanceRating])</f>
        <v>PR003</v>
      </c>
      <c r="AN343">
        <v>3</v>
      </c>
      <c r="AO343" t="str">
        <f>_xlfn.XLOOKUP(Table1[[#This Row],[PerformanceRating]],Table17[PerformanceRating],Table17[Deskripsi])</f>
        <v>Excellent</v>
      </c>
      <c r="AP343" t="str">
        <f>_xlfn.XLOOKUP(Table1[[#This Row],[RelationshipSatisfaction]],Table18[RelationshipSatisfaction],Table18[Id_RelationshipSatisfaction])</f>
        <v>RS002</v>
      </c>
      <c r="AQ343">
        <v>2</v>
      </c>
      <c r="AR343" t="str">
        <f>_xlfn.XLOOKUP(Table1[[#This Row],[RelationshipSatisfaction]],Table18[RelationshipSatisfaction],Table18[Deskripsi])</f>
        <v>Medium</v>
      </c>
      <c r="AS343" t="str">
        <f>_xlfn.XLOOKUP(Table1[[#This Row],[StockOptionLevel]],Table19[StockOptionLevel],Table19[Id_StockOptionLevel])</f>
        <v>SOL002</v>
      </c>
      <c r="AT343">
        <v>1</v>
      </c>
      <c r="AU343" t="str">
        <f>_xlfn.XLOOKUP(Table1[[#This Row],[StockOptionLevel]],Table19[StockOptionLevel],Table19[Deskripsi])</f>
        <v>Standard</v>
      </c>
      <c r="AV343">
        <v>12</v>
      </c>
      <c r="AW343">
        <v>3</v>
      </c>
      <c r="AX343" t="str">
        <f>_xlfn.XLOOKUP(Table1[[#This Row],[WorkLifeBalance]],Table20[WorkLifeBalance],Table20[Id_WorkLifeBalance])</f>
        <v>WLB002</v>
      </c>
      <c r="AY343">
        <v>3</v>
      </c>
      <c r="AZ343" t="str">
        <f>_xlfn.XLOOKUP(Table1[[#This Row],[WorkLifeBalance]],Table20[WorkLifeBalance],Table20[Deskripsi])</f>
        <v>Good</v>
      </c>
      <c r="BA343">
        <v>11</v>
      </c>
      <c r="BB343">
        <v>10</v>
      </c>
      <c r="BC343">
        <v>2</v>
      </c>
      <c r="BD343">
        <v>9</v>
      </c>
    </row>
    <row r="344" spans="1:56" x14ac:dyDescent="0.25">
      <c r="A344">
        <v>31</v>
      </c>
      <c r="B344" t="str">
        <f>_xlfn.XLOOKUP(Table1[[#This Row],[Attrition]],Table2[Attrition],Table2[Id_Attrition])</f>
        <v>A002</v>
      </c>
      <c r="C344" t="s">
        <v>33</v>
      </c>
      <c r="D344" t="str">
        <f>_xlfn.XLOOKUP(Table1[[#This Row],[BusinessTravel]],Table5[BusinessTravel],Table5[Id_BusinessTravel])</f>
        <v>BS001</v>
      </c>
      <c r="E344" t="s">
        <v>34</v>
      </c>
      <c r="F344">
        <v>1232</v>
      </c>
      <c r="G344" t="str">
        <f>_xlfn.XLOOKUP(Table1[[#This Row],[Department]],Table6[Department],Table6[Id_Departement])</f>
        <v>D002</v>
      </c>
      <c r="H344" t="s">
        <v>38</v>
      </c>
      <c r="I344">
        <v>7</v>
      </c>
      <c r="J344" t="str">
        <f>_xlfn.XLOOKUP(Table1[[#This Row],[Education]],Table8[Education],Table8[Id_Education])</f>
        <v>E004</v>
      </c>
      <c r="K344">
        <v>4</v>
      </c>
      <c r="L344" t="str">
        <f>_xlfn.XLOOKUP(Table1[[#This Row],[EducationField]],Table7[EducationField],Table7[Id_EducationField])</f>
        <v>EF003</v>
      </c>
      <c r="M344" t="s">
        <v>42</v>
      </c>
      <c r="N344" t="str">
        <f>_xlfn.XLOOKUP(Table1[[#This Row],[EmployeeNumber]],Table4[EmployeeNumber],Table4[Id_Employee])</f>
        <v>EMP00343</v>
      </c>
      <c r="O344">
        <v>462</v>
      </c>
      <c r="P344" t="str">
        <f>_xlfn.XLOOKUP(Table1[[#This Row],[EnvironmentSatisfaction]],Table9[EnvironmentSatisfaction],Table9[Id_EnviromentSatisfaction])</f>
        <v>ES003</v>
      </c>
      <c r="Q344">
        <v>3</v>
      </c>
      <c r="R344" t="str">
        <f>_xlfn.XLOOKUP(Table1[[#This Row],[EnvironmentSatisfaction]],Table9[EnvironmentSatisfaction],Table9[Deskripsi])</f>
        <v>High</v>
      </c>
      <c r="S344" t="str">
        <f>_xlfn.XLOOKUP(Table1[[#This Row],[Gender]],Table10[Gender],Table10[Id_Gender])</f>
        <v>G001</v>
      </c>
      <c r="T344" t="s">
        <v>45</v>
      </c>
      <c r="U344">
        <v>39</v>
      </c>
      <c r="V344" t="str">
        <f>_xlfn.XLOOKUP(Table1[[#This Row],[JobInvolvement]],Table11[JobInvolvement],Table11[Id_JobInvolvement])</f>
        <v>JI003</v>
      </c>
      <c r="W344">
        <v>3</v>
      </c>
      <c r="X344" t="str">
        <f>_xlfn.XLOOKUP(Table1[[#This Row],[JobLevel]],Table12[JobLevel],Table12[Id_JobLevel])</f>
        <v>JL003</v>
      </c>
      <c r="Y344">
        <v>3</v>
      </c>
      <c r="Z344" t="str">
        <f>_xlfn.XLOOKUP(Table1[[#This Row],[JobRole]],Table13[JobRole],Table13[Id_JobRole])</f>
        <v>JR004</v>
      </c>
      <c r="AA344" t="s">
        <v>50</v>
      </c>
      <c r="AB344" t="str">
        <f>_xlfn.XLOOKUP(Table1[[#This Row],[JobSatisfaction]],Table14[JobSatisfaction],Table14[Id_JobSatisfaction])</f>
        <v>JS004</v>
      </c>
      <c r="AC344">
        <v>4</v>
      </c>
      <c r="AD344" t="str">
        <f>_xlfn.XLOOKUP(Table1[[#This Row],[JobSatisfaction]],Table14[JobSatisfaction],Table14[Deskripsi])</f>
        <v>Very High</v>
      </c>
      <c r="AE344" t="str">
        <f>_xlfn.XLOOKUP(Table1[[#This Row],[MaritalStatus]],Table15[MaritalStatus],Table15[Id_MaritalStatus])</f>
        <v>MS001</v>
      </c>
      <c r="AF344" t="s">
        <v>55</v>
      </c>
      <c r="AG344">
        <v>7143</v>
      </c>
      <c r="AH344">
        <v>25713</v>
      </c>
      <c r="AI344">
        <v>1</v>
      </c>
      <c r="AJ344" t="str">
        <f>_xlfn.XLOOKUP(Table1[[#This Row],[OverTime]],Table16[OverTime],Table16[Id_OverTime])</f>
        <v>OT001</v>
      </c>
      <c r="AK344" t="s">
        <v>32</v>
      </c>
      <c r="AL344">
        <v>14</v>
      </c>
      <c r="AM344" t="str">
        <f>_xlfn.XLOOKUP(Table1[[#This Row],[PerformanceRating]],Table17[PerformanceRating],Table17[Id_PerformanceRating])</f>
        <v>PR003</v>
      </c>
      <c r="AN344">
        <v>3</v>
      </c>
      <c r="AO344" t="str">
        <f>_xlfn.XLOOKUP(Table1[[#This Row],[PerformanceRating]],Table17[PerformanceRating],Table17[Deskripsi])</f>
        <v>Excellent</v>
      </c>
      <c r="AP344" t="str">
        <f>_xlfn.XLOOKUP(Table1[[#This Row],[RelationshipSatisfaction]],Table18[RelationshipSatisfaction],Table18[Id_RelationshipSatisfaction])</f>
        <v>RS003</v>
      </c>
      <c r="AQ344">
        <v>3</v>
      </c>
      <c r="AR344" t="str">
        <f>_xlfn.XLOOKUP(Table1[[#This Row],[RelationshipSatisfaction]],Table18[RelationshipSatisfaction],Table18[Deskripsi])</f>
        <v>High</v>
      </c>
      <c r="AS344" t="str">
        <f>_xlfn.XLOOKUP(Table1[[#This Row],[StockOptionLevel]],Table19[StockOptionLevel],Table19[Id_StockOptionLevel])</f>
        <v>SOL001</v>
      </c>
      <c r="AT344">
        <v>0</v>
      </c>
      <c r="AU344" t="str">
        <f>_xlfn.XLOOKUP(Table1[[#This Row],[StockOptionLevel]],Table19[StockOptionLevel],Table19[Deskripsi])</f>
        <v>Non-Eligible</v>
      </c>
      <c r="AV344">
        <v>11</v>
      </c>
      <c r="AW344">
        <v>2</v>
      </c>
      <c r="AX344" t="str">
        <f>_xlfn.XLOOKUP(Table1[[#This Row],[WorkLifeBalance]],Table20[WorkLifeBalance],Table20[Id_WorkLifeBalance])</f>
        <v>WLB003</v>
      </c>
      <c r="AY344">
        <v>2</v>
      </c>
      <c r="AZ344" t="str">
        <f>_xlfn.XLOOKUP(Table1[[#This Row],[WorkLifeBalance]],Table20[WorkLifeBalance],Table20[Deskripsi])</f>
        <v>Better</v>
      </c>
      <c r="BA344">
        <v>11</v>
      </c>
      <c r="BB344">
        <v>9</v>
      </c>
      <c r="BC344">
        <v>4</v>
      </c>
      <c r="BD344">
        <v>10</v>
      </c>
    </row>
    <row r="345" spans="1:56" x14ac:dyDescent="0.25">
      <c r="A345">
        <v>29</v>
      </c>
      <c r="B345" t="str">
        <f>_xlfn.XLOOKUP(Table1[[#This Row],[Attrition]],Table2[Attrition],Table2[Id_Attrition])</f>
        <v>A002</v>
      </c>
      <c r="C345" t="s">
        <v>33</v>
      </c>
      <c r="D345" t="str">
        <f>_xlfn.XLOOKUP(Table1[[#This Row],[BusinessTravel]],Table5[BusinessTravel],Table5[Id_BusinessTravel])</f>
        <v>BS001</v>
      </c>
      <c r="E345" t="s">
        <v>34</v>
      </c>
      <c r="F345">
        <v>144</v>
      </c>
      <c r="G345" t="str">
        <f>_xlfn.XLOOKUP(Table1[[#This Row],[Department]],Table6[Department],Table6[Id_Departement])</f>
        <v>D001</v>
      </c>
      <c r="H345" t="s">
        <v>37</v>
      </c>
      <c r="I345">
        <v>10</v>
      </c>
      <c r="J345" t="str">
        <f>_xlfn.XLOOKUP(Table1[[#This Row],[Education]],Table8[Education],Table8[Id_Education])</f>
        <v>E001</v>
      </c>
      <c r="K345">
        <v>1</v>
      </c>
      <c r="L345" t="str">
        <f>_xlfn.XLOOKUP(Table1[[#This Row],[EducationField]],Table7[EducationField],Table7[Id_EducationField])</f>
        <v>EF004</v>
      </c>
      <c r="M345" t="s">
        <v>43</v>
      </c>
      <c r="N345" t="str">
        <f>_xlfn.XLOOKUP(Table1[[#This Row],[EmployeeNumber]],Table4[EmployeeNumber],Table4[Id_Employee])</f>
        <v>EMP00344</v>
      </c>
      <c r="O345">
        <v>463</v>
      </c>
      <c r="P345" t="str">
        <f>_xlfn.XLOOKUP(Table1[[#This Row],[EnvironmentSatisfaction]],Table9[EnvironmentSatisfaction],Table9[Id_EnviromentSatisfaction])</f>
        <v>ES004</v>
      </c>
      <c r="Q345">
        <v>4</v>
      </c>
      <c r="R345" t="str">
        <f>_xlfn.XLOOKUP(Table1[[#This Row],[EnvironmentSatisfaction]],Table9[EnvironmentSatisfaction],Table9[Deskripsi])</f>
        <v>Very High</v>
      </c>
      <c r="S345" t="str">
        <f>_xlfn.XLOOKUP(Table1[[#This Row],[Gender]],Table10[Gender],Table10[Id_Gender])</f>
        <v>G001</v>
      </c>
      <c r="T345" t="s">
        <v>45</v>
      </c>
      <c r="U345">
        <v>39</v>
      </c>
      <c r="V345" t="str">
        <f>_xlfn.XLOOKUP(Table1[[#This Row],[JobInvolvement]],Table11[JobInvolvement],Table11[Id_JobInvolvement])</f>
        <v>JI002</v>
      </c>
      <c r="W345">
        <v>2</v>
      </c>
      <c r="X345" t="str">
        <f>_xlfn.XLOOKUP(Table1[[#This Row],[JobLevel]],Table12[JobLevel],Table12[Id_JobLevel])</f>
        <v>JL002</v>
      </c>
      <c r="Y345">
        <v>2</v>
      </c>
      <c r="Z345" t="str">
        <f>_xlfn.XLOOKUP(Table1[[#This Row],[JobRole]],Table13[JobRole],Table13[Id_JobRole])</f>
        <v>JR001</v>
      </c>
      <c r="AA345" t="s">
        <v>47</v>
      </c>
      <c r="AB345" t="str">
        <f>_xlfn.XLOOKUP(Table1[[#This Row],[JobSatisfaction]],Table14[JobSatisfaction],Table14[Id_JobSatisfaction])</f>
        <v>JS002</v>
      </c>
      <c r="AC345">
        <v>2</v>
      </c>
      <c r="AD345" t="str">
        <f>_xlfn.XLOOKUP(Table1[[#This Row],[JobSatisfaction]],Table14[JobSatisfaction],Table14[Deskripsi])</f>
        <v>Medium</v>
      </c>
      <c r="AE345" t="str">
        <f>_xlfn.XLOOKUP(Table1[[#This Row],[MaritalStatus]],Table15[MaritalStatus],Table15[Id_MaritalStatus])</f>
        <v>MS003</v>
      </c>
      <c r="AF345" t="s">
        <v>57</v>
      </c>
      <c r="AG345">
        <v>8268</v>
      </c>
      <c r="AH345">
        <v>11866</v>
      </c>
      <c r="AI345">
        <v>1</v>
      </c>
      <c r="AJ345" t="str">
        <f>_xlfn.XLOOKUP(Table1[[#This Row],[OverTime]],Table16[OverTime],Table16[Id_OverTime])</f>
        <v>OT001</v>
      </c>
      <c r="AK345" t="s">
        <v>32</v>
      </c>
      <c r="AL345">
        <v>14</v>
      </c>
      <c r="AM345" t="str">
        <f>_xlfn.XLOOKUP(Table1[[#This Row],[PerformanceRating]],Table17[PerformanceRating],Table17[Id_PerformanceRating])</f>
        <v>PR003</v>
      </c>
      <c r="AN345">
        <v>3</v>
      </c>
      <c r="AO345" t="str">
        <f>_xlfn.XLOOKUP(Table1[[#This Row],[PerformanceRating]],Table17[PerformanceRating],Table17[Deskripsi])</f>
        <v>Excellent</v>
      </c>
      <c r="AP345" t="str">
        <f>_xlfn.XLOOKUP(Table1[[#This Row],[RelationshipSatisfaction]],Table18[RelationshipSatisfaction],Table18[Id_RelationshipSatisfaction])</f>
        <v>RS001</v>
      </c>
      <c r="AQ345">
        <v>1</v>
      </c>
      <c r="AR345" t="str">
        <f>_xlfn.XLOOKUP(Table1[[#This Row],[RelationshipSatisfaction]],Table18[RelationshipSatisfaction],Table18[Deskripsi])</f>
        <v>Low</v>
      </c>
      <c r="AS345" t="str">
        <f>_xlfn.XLOOKUP(Table1[[#This Row],[StockOptionLevel]],Table19[StockOptionLevel],Table19[Id_StockOptionLevel])</f>
        <v>SOL003</v>
      </c>
      <c r="AT345">
        <v>2</v>
      </c>
      <c r="AU345" t="str">
        <f>_xlfn.XLOOKUP(Table1[[#This Row],[StockOptionLevel]],Table19[StockOptionLevel],Table19[Deskripsi])</f>
        <v>Intermediate</v>
      </c>
      <c r="AV345">
        <v>7</v>
      </c>
      <c r="AW345">
        <v>2</v>
      </c>
      <c r="AX345" t="str">
        <f>_xlfn.XLOOKUP(Table1[[#This Row],[WorkLifeBalance]],Table20[WorkLifeBalance],Table20[Id_WorkLifeBalance])</f>
        <v>WLB002</v>
      </c>
      <c r="AY345">
        <v>3</v>
      </c>
      <c r="AZ345" t="str">
        <f>_xlfn.XLOOKUP(Table1[[#This Row],[WorkLifeBalance]],Table20[WorkLifeBalance],Table20[Deskripsi])</f>
        <v>Good</v>
      </c>
      <c r="BA345">
        <v>7</v>
      </c>
      <c r="BB345">
        <v>7</v>
      </c>
      <c r="BC345">
        <v>1</v>
      </c>
      <c r="BD345">
        <v>7</v>
      </c>
    </row>
    <row r="346" spans="1:56" x14ac:dyDescent="0.25">
      <c r="A346">
        <v>35</v>
      </c>
      <c r="B346" t="str">
        <f>_xlfn.XLOOKUP(Table1[[#This Row],[Attrition]],Table2[Attrition],Table2[Id_Attrition])</f>
        <v>A002</v>
      </c>
      <c r="C346" t="s">
        <v>33</v>
      </c>
      <c r="D346" t="str">
        <f>_xlfn.XLOOKUP(Table1[[#This Row],[BusinessTravel]],Table5[BusinessTravel],Table5[Id_BusinessTravel])</f>
        <v>BS001</v>
      </c>
      <c r="E346" t="s">
        <v>34</v>
      </c>
      <c r="F346">
        <v>1296</v>
      </c>
      <c r="G346" t="str">
        <f>_xlfn.XLOOKUP(Table1[[#This Row],[Department]],Table6[Department],Table6[Id_Departement])</f>
        <v>D002</v>
      </c>
      <c r="H346" t="s">
        <v>38</v>
      </c>
      <c r="I346">
        <v>5</v>
      </c>
      <c r="J346" t="str">
        <f>_xlfn.XLOOKUP(Table1[[#This Row],[Education]],Table8[Education],Table8[Id_Education])</f>
        <v>E004</v>
      </c>
      <c r="K346">
        <v>4</v>
      </c>
      <c r="L346" t="str">
        <f>_xlfn.XLOOKUP(Table1[[#This Row],[EducationField]],Table7[EducationField],Table7[Id_EducationField])</f>
        <v>EF005</v>
      </c>
      <c r="M346" t="s">
        <v>44</v>
      </c>
      <c r="N346" t="str">
        <f>_xlfn.XLOOKUP(Table1[[#This Row],[EmployeeNumber]],Table4[EmployeeNumber],Table4[Id_Employee])</f>
        <v>EMP00345</v>
      </c>
      <c r="O346">
        <v>464</v>
      </c>
      <c r="P346" t="str">
        <f>_xlfn.XLOOKUP(Table1[[#This Row],[EnvironmentSatisfaction]],Table9[EnvironmentSatisfaction],Table9[Id_EnviromentSatisfaction])</f>
        <v>ES003</v>
      </c>
      <c r="Q346">
        <v>3</v>
      </c>
      <c r="R346" t="str">
        <f>_xlfn.XLOOKUP(Table1[[#This Row],[EnvironmentSatisfaction]],Table9[EnvironmentSatisfaction],Table9[Deskripsi])</f>
        <v>High</v>
      </c>
      <c r="S346" t="str">
        <f>_xlfn.XLOOKUP(Table1[[#This Row],[Gender]],Table10[Gender],Table10[Id_Gender])</f>
        <v>G002</v>
      </c>
      <c r="T346" t="s">
        <v>46</v>
      </c>
      <c r="U346">
        <v>62</v>
      </c>
      <c r="V346" t="str">
        <f>_xlfn.XLOOKUP(Table1[[#This Row],[JobInvolvement]],Table11[JobInvolvement],Table11[Id_JobInvolvement])</f>
        <v>JI003</v>
      </c>
      <c r="W346">
        <v>3</v>
      </c>
      <c r="X346" t="str">
        <f>_xlfn.XLOOKUP(Table1[[#This Row],[JobLevel]],Table12[JobLevel],Table12[Id_JobLevel])</f>
        <v>JL003</v>
      </c>
      <c r="Y346">
        <v>3</v>
      </c>
      <c r="Z346" t="str">
        <f>_xlfn.XLOOKUP(Table1[[#This Row],[JobRole]],Table13[JobRole],Table13[Id_JobRole])</f>
        <v>JR004</v>
      </c>
      <c r="AA346" t="s">
        <v>50</v>
      </c>
      <c r="AB346" t="str">
        <f>_xlfn.XLOOKUP(Table1[[#This Row],[JobSatisfaction]],Table14[JobSatisfaction],Table14[Id_JobSatisfaction])</f>
        <v>JS002</v>
      </c>
      <c r="AC346">
        <v>2</v>
      </c>
      <c r="AD346" t="str">
        <f>_xlfn.XLOOKUP(Table1[[#This Row],[JobSatisfaction]],Table14[JobSatisfaction],Table14[Deskripsi])</f>
        <v>Medium</v>
      </c>
      <c r="AE346" t="str">
        <f>_xlfn.XLOOKUP(Table1[[#This Row],[MaritalStatus]],Table15[MaritalStatus],Table15[Id_MaritalStatus])</f>
        <v>MS001</v>
      </c>
      <c r="AF346" t="s">
        <v>55</v>
      </c>
      <c r="AG346">
        <v>8095</v>
      </c>
      <c r="AH346">
        <v>18264</v>
      </c>
      <c r="AI346">
        <v>0</v>
      </c>
      <c r="AJ346" t="str">
        <f>_xlfn.XLOOKUP(Table1[[#This Row],[OverTime]],Table16[OverTime],Table16[Id_OverTime])</f>
        <v>OT002</v>
      </c>
      <c r="AK346" t="s">
        <v>33</v>
      </c>
      <c r="AL346">
        <v>13</v>
      </c>
      <c r="AM346" t="str">
        <f>_xlfn.XLOOKUP(Table1[[#This Row],[PerformanceRating]],Table17[PerformanceRating],Table17[Id_PerformanceRating])</f>
        <v>PR003</v>
      </c>
      <c r="AN346">
        <v>3</v>
      </c>
      <c r="AO346" t="str">
        <f>_xlfn.XLOOKUP(Table1[[#This Row],[PerformanceRating]],Table17[PerformanceRating],Table17[Deskripsi])</f>
        <v>Excellent</v>
      </c>
      <c r="AP346" t="str">
        <f>_xlfn.XLOOKUP(Table1[[#This Row],[RelationshipSatisfaction]],Table18[RelationshipSatisfaction],Table18[Id_RelationshipSatisfaction])</f>
        <v>RS004</v>
      </c>
      <c r="AQ346">
        <v>4</v>
      </c>
      <c r="AR346" t="str">
        <f>_xlfn.XLOOKUP(Table1[[#This Row],[RelationshipSatisfaction]],Table18[RelationshipSatisfaction],Table18[Deskripsi])</f>
        <v>Very High</v>
      </c>
      <c r="AS346" t="str">
        <f>_xlfn.XLOOKUP(Table1[[#This Row],[StockOptionLevel]],Table19[StockOptionLevel],Table19[Id_StockOptionLevel])</f>
        <v>SOL001</v>
      </c>
      <c r="AT346">
        <v>0</v>
      </c>
      <c r="AU346" t="str">
        <f>_xlfn.XLOOKUP(Table1[[#This Row],[StockOptionLevel]],Table19[StockOptionLevel],Table19[Deskripsi])</f>
        <v>Non-Eligible</v>
      </c>
      <c r="AV346">
        <v>17</v>
      </c>
      <c r="AW346">
        <v>5</v>
      </c>
      <c r="AX346" t="str">
        <f>_xlfn.XLOOKUP(Table1[[#This Row],[WorkLifeBalance]],Table20[WorkLifeBalance],Table20[Id_WorkLifeBalance])</f>
        <v>WLB002</v>
      </c>
      <c r="AY346">
        <v>3</v>
      </c>
      <c r="AZ346" t="str">
        <f>_xlfn.XLOOKUP(Table1[[#This Row],[WorkLifeBalance]],Table20[WorkLifeBalance],Table20[Deskripsi])</f>
        <v>Good</v>
      </c>
      <c r="BA346">
        <v>16</v>
      </c>
      <c r="BB346">
        <v>6</v>
      </c>
      <c r="BC346">
        <v>0</v>
      </c>
      <c r="BD346">
        <v>13</v>
      </c>
    </row>
    <row r="347" spans="1:56" x14ac:dyDescent="0.25">
      <c r="A347">
        <v>23</v>
      </c>
      <c r="B347" t="str">
        <f>_xlfn.XLOOKUP(Table1[[#This Row],[Attrition]],Table2[Attrition],Table2[Id_Attrition])</f>
        <v>A002</v>
      </c>
      <c r="C347" t="s">
        <v>33</v>
      </c>
      <c r="D347" t="str">
        <f>_xlfn.XLOOKUP(Table1[[#This Row],[BusinessTravel]],Table5[BusinessTravel],Table5[Id_BusinessTravel])</f>
        <v>BS001</v>
      </c>
      <c r="E347" t="s">
        <v>34</v>
      </c>
      <c r="F347">
        <v>1309</v>
      </c>
      <c r="G347" t="str">
        <f>_xlfn.XLOOKUP(Table1[[#This Row],[Department]],Table6[Department],Table6[Id_Departement])</f>
        <v>D002</v>
      </c>
      <c r="H347" t="s">
        <v>38</v>
      </c>
      <c r="I347">
        <v>26</v>
      </c>
      <c r="J347" t="str">
        <f>_xlfn.XLOOKUP(Table1[[#This Row],[Education]],Table8[Education],Table8[Id_Education])</f>
        <v>E001</v>
      </c>
      <c r="K347">
        <v>1</v>
      </c>
      <c r="L347" t="str">
        <f>_xlfn.XLOOKUP(Table1[[#This Row],[EducationField]],Table7[EducationField],Table7[Id_EducationField])</f>
        <v>EF001</v>
      </c>
      <c r="M347" t="s">
        <v>40</v>
      </c>
      <c r="N347" t="str">
        <f>_xlfn.XLOOKUP(Table1[[#This Row],[EmployeeNumber]],Table4[EmployeeNumber],Table4[Id_Employee])</f>
        <v>EMP00346</v>
      </c>
      <c r="O347">
        <v>465</v>
      </c>
      <c r="P347" t="str">
        <f>_xlfn.XLOOKUP(Table1[[#This Row],[EnvironmentSatisfaction]],Table9[EnvironmentSatisfaction],Table9[Id_EnviromentSatisfaction])</f>
        <v>ES003</v>
      </c>
      <c r="Q347">
        <v>3</v>
      </c>
      <c r="R347" t="str">
        <f>_xlfn.XLOOKUP(Table1[[#This Row],[EnvironmentSatisfaction]],Table9[EnvironmentSatisfaction],Table9[Deskripsi])</f>
        <v>High</v>
      </c>
      <c r="S347" t="str">
        <f>_xlfn.XLOOKUP(Table1[[#This Row],[Gender]],Table10[Gender],Table10[Id_Gender])</f>
        <v>G002</v>
      </c>
      <c r="T347" t="s">
        <v>46</v>
      </c>
      <c r="U347">
        <v>83</v>
      </c>
      <c r="V347" t="str">
        <f>_xlfn.XLOOKUP(Table1[[#This Row],[JobInvolvement]],Table11[JobInvolvement],Table11[Id_JobInvolvement])</f>
        <v>JI003</v>
      </c>
      <c r="W347">
        <v>3</v>
      </c>
      <c r="X347" t="str">
        <f>_xlfn.XLOOKUP(Table1[[#This Row],[JobLevel]],Table12[JobLevel],Table12[Id_JobLevel])</f>
        <v>JL001</v>
      </c>
      <c r="Y347">
        <v>1</v>
      </c>
      <c r="Z347" t="str">
        <f>_xlfn.XLOOKUP(Table1[[#This Row],[JobRole]],Table13[JobRole],Table13[Id_JobRole])</f>
        <v>JR002</v>
      </c>
      <c r="AA347" t="s">
        <v>48</v>
      </c>
      <c r="AB347" t="str">
        <f>_xlfn.XLOOKUP(Table1[[#This Row],[JobSatisfaction]],Table14[JobSatisfaction],Table14[Id_JobSatisfaction])</f>
        <v>JS004</v>
      </c>
      <c r="AC347">
        <v>4</v>
      </c>
      <c r="AD347" t="str">
        <f>_xlfn.XLOOKUP(Table1[[#This Row],[JobSatisfaction]],Table14[JobSatisfaction],Table14[Deskripsi])</f>
        <v>Very High</v>
      </c>
      <c r="AE347" t="str">
        <f>_xlfn.XLOOKUP(Table1[[#This Row],[MaritalStatus]],Table15[MaritalStatus],Table15[Id_MaritalStatus])</f>
        <v>MS003</v>
      </c>
      <c r="AF347" t="s">
        <v>57</v>
      </c>
      <c r="AG347">
        <v>2904</v>
      </c>
      <c r="AH347">
        <v>16092</v>
      </c>
      <c r="AI347">
        <v>1</v>
      </c>
      <c r="AJ347" t="str">
        <f>_xlfn.XLOOKUP(Table1[[#This Row],[OverTime]],Table16[OverTime],Table16[Id_OverTime])</f>
        <v>OT002</v>
      </c>
      <c r="AK347" t="s">
        <v>33</v>
      </c>
      <c r="AL347">
        <v>12</v>
      </c>
      <c r="AM347" t="str">
        <f>_xlfn.XLOOKUP(Table1[[#This Row],[PerformanceRating]],Table17[PerformanceRating],Table17[Id_PerformanceRating])</f>
        <v>PR003</v>
      </c>
      <c r="AN347">
        <v>3</v>
      </c>
      <c r="AO347" t="str">
        <f>_xlfn.XLOOKUP(Table1[[#This Row],[PerformanceRating]],Table17[PerformanceRating],Table17[Deskripsi])</f>
        <v>Excellent</v>
      </c>
      <c r="AP347" t="str">
        <f>_xlfn.XLOOKUP(Table1[[#This Row],[RelationshipSatisfaction]],Table18[RelationshipSatisfaction],Table18[Id_RelationshipSatisfaction])</f>
        <v>RS003</v>
      </c>
      <c r="AQ347">
        <v>3</v>
      </c>
      <c r="AR347" t="str">
        <f>_xlfn.XLOOKUP(Table1[[#This Row],[RelationshipSatisfaction]],Table18[RelationshipSatisfaction],Table18[Deskripsi])</f>
        <v>High</v>
      </c>
      <c r="AS347" t="str">
        <f>_xlfn.XLOOKUP(Table1[[#This Row],[StockOptionLevel]],Table19[StockOptionLevel],Table19[Id_StockOptionLevel])</f>
        <v>SOL003</v>
      </c>
      <c r="AT347">
        <v>2</v>
      </c>
      <c r="AU347" t="str">
        <f>_xlfn.XLOOKUP(Table1[[#This Row],[StockOptionLevel]],Table19[StockOptionLevel],Table19[Deskripsi])</f>
        <v>Intermediate</v>
      </c>
      <c r="AV347">
        <v>4</v>
      </c>
      <c r="AW347">
        <v>2</v>
      </c>
      <c r="AX347" t="str">
        <f>_xlfn.XLOOKUP(Table1[[#This Row],[WorkLifeBalance]],Table20[WorkLifeBalance],Table20[Id_WorkLifeBalance])</f>
        <v>WLB003</v>
      </c>
      <c r="AY347">
        <v>2</v>
      </c>
      <c r="AZ347" t="str">
        <f>_xlfn.XLOOKUP(Table1[[#This Row],[WorkLifeBalance]],Table20[WorkLifeBalance],Table20[Deskripsi])</f>
        <v>Better</v>
      </c>
      <c r="BA347">
        <v>4</v>
      </c>
      <c r="BB347">
        <v>2</v>
      </c>
      <c r="BC347">
        <v>0</v>
      </c>
      <c r="BD347">
        <v>2</v>
      </c>
    </row>
    <row r="348" spans="1:56" x14ac:dyDescent="0.25">
      <c r="A348">
        <v>41</v>
      </c>
      <c r="B348" t="str">
        <f>_xlfn.XLOOKUP(Table1[[#This Row],[Attrition]],Table2[Attrition],Table2[Id_Attrition])</f>
        <v>A002</v>
      </c>
      <c r="C348" t="s">
        <v>33</v>
      </c>
      <c r="D348" t="str">
        <f>_xlfn.XLOOKUP(Table1[[#This Row],[BusinessTravel]],Table5[BusinessTravel],Table5[Id_BusinessTravel])</f>
        <v>BS001</v>
      </c>
      <c r="E348" t="s">
        <v>34</v>
      </c>
      <c r="F348">
        <v>483</v>
      </c>
      <c r="G348" t="str">
        <f>_xlfn.XLOOKUP(Table1[[#This Row],[Department]],Table6[Department],Table6[Id_Departement])</f>
        <v>D002</v>
      </c>
      <c r="H348" t="s">
        <v>38</v>
      </c>
      <c r="I348">
        <v>6</v>
      </c>
      <c r="J348" t="str">
        <f>_xlfn.XLOOKUP(Table1[[#This Row],[Education]],Table8[Education],Table8[Id_Education])</f>
        <v>E003</v>
      </c>
      <c r="K348">
        <v>3</v>
      </c>
      <c r="L348" t="str">
        <f>_xlfn.XLOOKUP(Table1[[#This Row],[EducationField]],Table7[EducationField],Table7[Id_EducationField])</f>
        <v>EF003</v>
      </c>
      <c r="M348" t="s">
        <v>42</v>
      </c>
      <c r="N348" t="str">
        <f>_xlfn.XLOOKUP(Table1[[#This Row],[EmployeeNumber]],Table4[EmployeeNumber],Table4[Id_Employee])</f>
        <v>EMP00347</v>
      </c>
      <c r="O348">
        <v>466</v>
      </c>
      <c r="P348" t="str">
        <f>_xlfn.XLOOKUP(Table1[[#This Row],[EnvironmentSatisfaction]],Table9[EnvironmentSatisfaction],Table9[Id_EnviromentSatisfaction])</f>
        <v>ES004</v>
      </c>
      <c r="Q348">
        <v>4</v>
      </c>
      <c r="R348" t="str">
        <f>_xlfn.XLOOKUP(Table1[[#This Row],[EnvironmentSatisfaction]],Table9[EnvironmentSatisfaction],Table9[Deskripsi])</f>
        <v>Very High</v>
      </c>
      <c r="S348" t="str">
        <f>_xlfn.XLOOKUP(Table1[[#This Row],[Gender]],Table10[Gender],Table10[Id_Gender])</f>
        <v>G002</v>
      </c>
      <c r="T348" t="s">
        <v>46</v>
      </c>
      <c r="U348">
        <v>95</v>
      </c>
      <c r="V348" t="str">
        <f>_xlfn.XLOOKUP(Table1[[#This Row],[JobInvolvement]],Table11[JobInvolvement],Table11[Id_JobInvolvement])</f>
        <v>JI002</v>
      </c>
      <c r="W348">
        <v>2</v>
      </c>
      <c r="X348" t="str">
        <f>_xlfn.XLOOKUP(Table1[[#This Row],[JobLevel]],Table12[JobLevel],Table12[Id_JobLevel])</f>
        <v>JL002</v>
      </c>
      <c r="Y348">
        <v>2</v>
      </c>
      <c r="Z348" t="str">
        <f>_xlfn.XLOOKUP(Table1[[#This Row],[JobRole]],Table13[JobRole],Table13[Id_JobRole])</f>
        <v>JR004</v>
      </c>
      <c r="AA348" t="s">
        <v>50</v>
      </c>
      <c r="AB348" t="str">
        <f>_xlfn.XLOOKUP(Table1[[#This Row],[JobSatisfaction]],Table14[JobSatisfaction],Table14[Id_JobSatisfaction])</f>
        <v>JS002</v>
      </c>
      <c r="AC348">
        <v>2</v>
      </c>
      <c r="AD348" t="str">
        <f>_xlfn.XLOOKUP(Table1[[#This Row],[JobSatisfaction]],Table14[JobSatisfaction],Table14[Deskripsi])</f>
        <v>Medium</v>
      </c>
      <c r="AE348" t="str">
        <f>_xlfn.XLOOKUP(Table1[[#This Row],[MaritalStatus]],Table15[MaritalStatus],Table15[Id_MaritalStatus])</f>
        <v>MS001</v>
      </c>
      <c r="AF348" t="s">
        <v>55</v>
      </c>
      <c r="AG348">
        <v>6032</v>
      </c>
      <c r="AH348">
        <v>10110</v>
      </c>
      <c r="AI348">
        <v>6</v>
      </c>
      <c r="AJ348" t="str">
        <f>_xlfn.XLOOKUP(Table1[[#This Row],[OverTime]],Table16[OverTime],Table16[Id_OverTime])</f>
        <v>OT001</v>
      </c>
      <c r="AK348" t="s">
        <v>32</v>
      </c>
      <c r="AL348">
        <v>15</v>
      </c>
      <c r="AM348" t="str">
        <f>_xlfn.XLOOKUP(Table1[[#This Row],[PerformanceRating]],Table17[PerformanceRating],Table17[Id_PerformanceRating])</f>
        <v>PR003</v>
      </c>
      <c r="AN348">
        <v>3</v>
      </c>
      <c r="AO348" t="str">
        <f>_xlfn.XLOOKUP(Table1[[#This Row],[PerformanceRating]],Table17[PerformanceRating],Table17[Deskripsi])</f>
        <v>Excellent</v>
      </c>
      <c r="AP348" t="str">
        <f>_xlfn.XLOOKUP(Table1[[#This Row],[RelationshipSatisfaction]],Table18[RelationshipSatisfaction],Table18[Id_RelationshipSatisfaction])</f>
        <v>RS004</v>
      </c>
      <c r="AQ348">
        <v>4</v>
      </c>
      <c r="AR348" t="str">
        <f>_xlfn.XLOOKUP(Table1[[#This Row],[RelationshipSatisfaction]],Table18[RelationshipSatisfaction],Table18[Deskripsi])</f>
        <v>Very High</v>
      </c>
      <c r="AS348" t="str">
        <f>_xlfn.XLOOKUP(Table1[[#This Row],[StockOptionLevel]],Table19[StockOptionLevel],Table19[Id_StockOptionLevel])</f>
        <v>SOL001</v>
      </c>
      <c r="AT348">
        <v>0</v>
      </c>
      <c r="AU348" t="str">
        <f>_xlfn.XLOOKUP(Table1[[#This Row],[StockOptionLevel]],Table19[StockOptionLevel],Table19[Deskripsi])</f>
        <v>Non-Eligible</v>
      </c>
      <c r="AV348">
        <v>8</v>
      </c>
      <c r="AW348">
        <v>3</v>
      </c>
      <c r="AX348" t="str">
        <f>_xlfn.XLOOKUP(Table1[[#This Row],[WorkLifeBalance]],Table20[WorkLifeBalance],Table20[Id_WorkLifeBalance])</f>
        <v>WLB002</v>
      </c>
      <c r="AY348">
        <v>3</v>
      </c>
      <c r="AZ348" t="str">
        <f>_xlfn.XLOOKUP(Table1[[#This Row],[WorkLifeBalance]],Table20[WorkLifeBalance],Table20[Deskripsi])</f>
        <v>Good</v>
      </c>
      <c r="BA348">
        <v>5</v>
      </c>
      <c r="BB348">
        <v>4</v>
      </c>
      <c r="BC348">
        <v>1</v>
      </c>
      <c r="BD348">
        <v>2</v>
      </c>
    </row>
    <row r="349" spans="1:56" x14ac:dyDescent="0.25">
      <c r="A349">
        <v>47</v>
      </c>
      <c r="B349" t="str">
        <f>_xlfn.XLOOKUP(Table1[[#This Row],[Attrition]],Table2[Attrition],Table2[Id_Attrition])</f>
        <v>A002</v>
      </c>
      <c r="C349" t="s">
        <v>33</v>
      </c>
      <c r="D349" t="str">
        <f>_xlfn.XLOOKUP(Table1[[#This Row],[BusinessTravel]],Table5[BusinessTravel],Table5[Id_BusinessTravel])</f>
        <v>BS002</v>
      </c>
      <c r="E349" t="s">
        <v>35</v>
      </c>
      <c r="F349">
        <v>1309</v>
      </c>
      <c r="G349" t="str">
        <f>_xlfn.XLOOKUP(Table1[[#This Row],[Department]],Table6[Department],Table6[Id_Departement])</f>
        <v>D001</v>
      </c>
      <c r="H349" t="s">
        <v>37</v>
      </c>
      <c r="I349">
        <v>4</v>
      </c>
      <c r="J349" t="str">
        <f>_xlfn.XLOOKUP(Table1[[#This Row],[Education]],Table8[Education],Table8[Id_Education])</f>
        <v>E001</v>
      </c>
      <c r="K349">
        <v>1</v>
      </c>
      <c r="L349" t="str">
        <f>_xlfn.XLOOKUP(Table1[[#This Row],[EducationField]],Table7[EducationField],Table7[Id_EducationField])</f>
        <v>EF003</v>
      </c>
      <c r="M349" t="s">
        <v>42</v>
      </c>
      <c r="N349" t="str">
        <f>_xlfn.XLOOKUP(Table1[[#This Row],[EmployeeNumber]],Table4[EmployeeNumber],Table4[Id_Employee])</f>
        <v>EMP00348</v>
      </c>
      <c r="O349">
        <v>467</v>
      </c>
      <c r="P349" t="str">
        <f>_xlfn.XLOOKUP(Table1[[#This Row],[EnvironmentSatisfaction]],Table9[EnvironmentSatisfaction],Table9[Id_EnviromentSatisfaction])</f>
        <v>ES002</v>
      </c>
      <c r="Q349">
        <v>2</v>
      </c>
      <c r="R349" t="str">
        <f>_xlfn.XLOOKUP(Table1[[#This Row],[EnvironmentSatisfaction]],Table9[EnvironmentSatisfaction],Table9[Deskripsi])</f>
        <v>Medium</v>
      </c>
      <c r="S349" t="str">
        <f>_xlfn.XLOOKUP(Table1[[#This Row],[Gender]],Table10[Gender],Table10[Id_Gender])</f>
        <v>G002</v>
      </c>
      <c r="T349" t="s">
        <v>46</v>
      </c>
      <c r="U349">
        <v>99</v>
      </c>
      <c r="V349" t="str">
        <f>_xlfn.XLOOKUP(Table1[[#This Row],[JobInvolvement]],Table11[JobInvolvement],Table11[Id_JobInvolvement])</f>
        <v>JI003</v>
      </c>
      <c r="W349">
        <v>3</v>
      </c>
      <c r="X349" t="str">
        <f>_xlfn.XLOOKUP(Table1[[#This Row],[JobLevel]],Table12[JobLevel],Table12[Id_JobLevel])</f>
        <v>JL002</v>
      </c>
      <c r="Y349">
        <v>2</v>
      </c>
      <c r="Z349" t="str">
        <f>_xlfn.XLOOKUP(Table1[[#This Row],[JobRole]],Table13[JobRole],Table13[Id_JobRole])</f>
        <v>JR007</v>
      </c>
      <c r="AA349" t="s">
        <v>53</v>
      </c>
      <c r="AB349" t="str">
        <f>_xlfn.XLOOKUP(Table1[[#This Row],[JobSatisfaction]],Table14[JobSatisfaction],Table14[Id_JobSatisfaction])</f>
        <v>JS003</v>
      </c>
      <c r="AC349">
        <v>3</v>
      </c>
      <c r="AD349" t="str">
        <f>_xlfn.XLOOKUP(Table1[[#This Row],[JobSatisfaction]],Table14[JobSatisfaction],Table14[Deskripsi])</f>
        <v>High</v>
      </c>
      <c r="AE349" t="str">
        <f>_xlfn.XLOOKUP(Table1[[#This Row],[MaritalStatus]],Table15[MaritalStatus],Table15[Id_MaritalStatus])</f>
        <v>MS001</v>
      </c>
      <c r="AF349" t="s">
        <v>55</v>
      </c>
      <c r="AG349">
        <v>2976</v>
      </c>
      <c r="AH349">
        <v>25751</v>
      </c>
      <c r="AI349">
        <v>3</v>
      </c>
      <c r="AJ349" t="str">
        <f>_xlfn.XLOOKUP(Table1[[#This Row],[OverTime]],Table16[OverTime],Table16[Id_OverTime])</f>
        <v>OT002</v>
      </c>
      <c r="AK349" t="s">
        <v>33</v>
      </c>
      <c r="AL349">
        <v>19</v>
      </c>
      <c r="AM349" t="str">
        <f>_xlfn.XLOOKUP(Table1[[#This Row],[PerformanceRating]],Table17[PerformanceRating],Table17[Id_PerformanceRating])</f>
        <v>PR003</v>
      </c>
      <c r="AN349">
        <v>3</v>
      </c>
      <c r="AO349" t="str">
        <f>_xlfn.XLOOKUP(Table1[[#This Row],[PerformanceRating]],Table17[PerformanceRating],Table17[Deskripsi])</f>
        <v>Excellent</v>
      </c>
      <c r="AP349" t="str">
        <f>_xlfn.XLOOKUP(Table1[[#This Row],[RelationshipSatisfaction]],Table18[RelationshipSatisfaction],Table18[Id_RelationshipSatisfaction])</f>
        <v>RS001</v>
      </c>
      <c r="AQ349">
        <v>1</v>
      </c>
      <c r="AR349" t="str">
        <f>_xlfn.XLOOKUP(Table1[[#This Row],[RelationshipSatisfaction]],Table18[RelationshipSatisfaction],Table18[Deskripsi])</f>
        <v>Low</v>
      </c>
      <c r="AS349" t="str">
        <f>_xlfn.XLOOKUP(Table1[[#This Row],[StockOptionLevel]],Table19[StockOptionLevel],Table19[Id_StockOptionLevel])</f>
        <v>SOL001</v>
      </c>
      <c r="AT349">
        <v>0</v>
      </c>
      <c r="AU349" t="str">
        <f>_xlfn.XLOOKUP(Table1[[#This Row],[StockOptionLevel]],Table19[StockOptionLevel],Table19[Deskripsi])</f>
        <v>Non-Eligible</v>
      </c>
      <c r="AV349">
        <v>5</v>
      </c>
      <c r="AW349">
        <v>3</v>
      </c>
      <c r="AX349" t="str">
        <f>_xlfn.XLOOKUP(Table1[[#This Row],[WorkLifeBalance]],Table20[WorkLifeBalance],Table20[Id_WorkLifeBalance])</f>
        <v>WLB002</v>
      </c>
      <c r="AY349">
        <v>3</v>
      </c>
      <c r="AZ349" t="str">
        <f>_xlfn.XLOOKUP(Table1[[#This Row],[WorkLifeBalance]],Table20[WorkLifeBalance],Table20[Deskripsi])</f>
        <v>Good</v>
      </c>
      <c r="BA349">
        <v>0</v>
      </c>
      <c r="BB349">
        <v>0</v>
      </c>
      <c r="BC349">
        <v>0</v>
      </c>
      <c r="BD349">
        <v>0</v>
      </c>
    </row>
    <row r="350" spans="1:56" x14ac:dyDescent="0.25">
      <c r="A350">
        <v>42</v>
      </c>
      <c r="B350" t="str">
        <f>_xlfn.XLOOKUP(Table1[[#This Row],[Attrition]],Table2[Attrition],Table2[Id_Attrition])</f>
        <v>A002</v>
      </c>
      <c r="C350" t="s">
        <v>33</v>
      </c>
      <c r="D350" t="str">
        <f>_xlfn.XLOOKUP(Table1[[#This Row],[BusinessTravel]],Table5[BusinessTravel],Table5[Id_BusinessTravel])</f>
        <v>BS001</v>
      </c>
      <c r="E350" t="s">
        <v>34</v>
      </c>
      <c r="F350">
        <v>810</v>
      </c>
      <c r="G350" t="str">
        <f>_xlfn.XLOOKUP(Table1[[#This Row],[Department]],Table6[Department],Table6[Id_Departement])</f>
        <v>D002</v>
      </c>
      <c r="H350" t="s">
        <v>38</v>
      </c>
      <c r="I350">
        <v>23</v>
      </c>
      <c r="J350" t="str">
        <f>_xlfn.XLOOKUP(Table1[[#This Row],[Education]],Table8[Education],Table8[Id_Education])</f>
        <v>E005</v>
      </c>
      <c r="K350">
        <v>5</v>
      </c>
      <c r="L350" t="str">
        <f>_xlfn.XLOOKUP(Table1[[#This Row],[EducationField]],Table7[EducationField],Table7[Id_EducationField])</f>
        <v>EF001</v>
      </c>
      <c r="M350" t="s">
        <v>40</v>
      </c>
      <c r="N350" t="str">
        <f>_xlfn.XLOOKUP(Table1[[#This Row],[EmployeeNumber]],Table4[EmployeeNumber],Table4[Id_Employee])</f>
        <v>EMP00349</v>
      </c>
      <c r="O350">
        <v>468</v>
      </c>
      <c r="P350" t="str">
        <f>_xlfn.XLOOKUP(Table1[[#This Row],[EnvironmentSatisfaction]],Table9[EnvironmentSatisfaction],Table9[Id_EnviromentSatisfaction])</f>
        <v>ES001</v>
      </c>
      <c r="Q350">
        <v>1</v>
      </c>
      <c r="R350" t="str">
        <f>_xlfn.XLOOKUP(Table1[[#This Row],[EnvironmentSatisfaction]],Table9[EnvironmentSatisfaction],Table9[Deskripsi])</f>
        <v>Low</v>
      </c>
      <c r="S350" t="str">
        <f>_xlfn.XLOOKUP(Table1[[#This Row],[Gender]],Table10[Gender],Table10[Id_Gender])</f>
        <v>G001</v>
      </c>
      <c r="T350" t="s">
        <v>45</v>
      </c>
      <c r="U350">
        <v>44</v>
      </c>
      <c r="V350" t="str">
        <f>_xlfn.XLOOKUP(Table1[[#This Row],[JobInvolvement]],Table11[JobInvolvement],Table11[Id_JobInvolvement])</f>
        <v>JI003</v>
      </c>
      <c r="W350">
        <v>3</v>
      </c>
      <c r="X350" t="str">
        <f>_xlfn.XLOOKUP(Table1[[#This Row],[JobLevel]],Table12[JobLevel],Table12[Id_JobLevel])</f>
        <v>JL004</v>
      </c>
      <c r="Y350">
        <v>4</v>
      </c>
      <c r="Z350" t="str">
        <f>_xlfn.XLOOKUP(Table1[[#This Row],[JobRole]],Table13[JobRole],Table13[Id_JobRole])</f>
        <v>JR008</v>
      </c>
      <c r="AA350" t="s">
        <v>54</v>
      </c>
      <c r="AB350" t="str">
        <f>_xlfn.XLOOKUP(Table1[[#This Row],[JobSatisfaction]],Table14[JobSatisfaction],Table14[Id_JobSatisfaction])</f>
        <v>JS004</v>
      </c>
      <c r="AC350">
        <v>4</v>
      </c>
      <c r="AD350" t="str">
        <f>_xlfn.XLOOKUP(Table1[[#This Row],[JobSatisfaction]],Table14[JobSatisfaction],Table14[Deskripsi])</f>
        <v>Very High</v>
      </c>
      <c r="AE350" t="str">
        <f>_xlfn.XLOOKUP(Table1[[#This Row],[MaritalStatus]],Table15[MaritalStatus],Table15[Id_MaritalStatus])</f>
        <v>MS001</v>
      </c>
      <c r="AF350" t="s">
        <v>55</v>
      </c>
      <c r="AG350">
        <v>15992</v>
      </c>
      <c r="AH350">
        <v>15901</v>
      </c>
      <c r="AI350">
        <v>2</v>
      </c>
      <c r="AJ350" t="str">
        <f>_xlfn.XLOOKUP(Table1[[#This Row],[OverTime]],Table16[OverTime],Table16[Id_OverTime])</f>
        <v>OT002</v>
      </c>
      <c r="AK350" t="s">
        <v>33</v>
      </c>
      <c r="AL350">
        <v>14</v>
      </c>
      <c r="AM350" t="str">
        <f>_xlfn.XLOOKUP(Table1[[#This Row],[PerformanceRating]],Table17[PerformanceRating],Table17[Id_PerformanceRating])</f>
        <v>PR003</v>
      </c>
      <c r="AN350">
        <v>3</v>
      </c>
      <c r="AO350" t="str">
        <f>_xlfn.XLOOKUP(Table1[[#This Row],[PerformanceRating]],Table17[PerformanceRating],Table17[Deskripsi])</f>
        <v>Excellent</v>
      </c>
      <c r="AP350" t="str">
        <f>_xlfn.XLOOKUP(Table1[[#This Row],[RelationshipSatisfaction]],Table18[RelationshipSatisfaction],Table18[Id_RelationshipSatisfaction])</f>
        <v>RS002</v>
      </c>
      <c r="AQ350">
        <v>2</v>
      </c>
      <c r="AR350" t="str">
        <f>_xlfn.XLOOKUP(Table1[[#This Row],[RelationshipSatisfaction]],Table18[RelationshipSatisfaction],Table18[Deskripsi])</f>
        <v>Medium</v>
      </c>
      <c r="AS350" t="str">
        <f>_xlfn.XLOOKUP(Table1[[#This Row],[StockOptionLevel]],Table19[StockOptionLevel],Table19[Id_StockOptionLevel])</f>
        <v>SOL001</v>
      </c>
      <c r="AT350">
        <v>0</v>
      </c>
      <c r="AU350" t="str">
        <f>_xlfn.XLOOKUP(Table1[[#This Row],[StockOptionLevel]],Table19[StockOptionLevel],Table19[Deskripsi])</f>
        <v>Non-Eligible</v>
      </c>
      <c r="AV350">
        <v>16</v>
      </c>
      <c r="AW350">
        <v>2</v>
      </c>
      <c r="AX350" t="str">
        <f>_xlfn.XLOOKUP(Table1[[#This Row],[WorkLifeBalance]],Table20[WorkLifeBalance],Table20[Id_WorkLifeBalance])</f>
        <v>WLB002</v>
      </c>
      <c r="AY350">
        <v>3</v>
      </c>
      <c r="AZ350" t="str">
        <f>_xlfn.XLOOKUP(Table1[[#This Row],[WorkLifeBalance]],Table20[WorkLifeBalance],Table20[Deskripsi])</f>
        <v>Good</v>
      </c>
      <c r="BA350">
        <v>1</v>
      </c>
      <c r="BB350">
        <v>0</v>
      </c>
      <c r="BC350">
        <v>0</v>
      </c>
      <c r="BD350">
        <v>0</v>
      </c>
    </row>
    <row r="351" spans="1:56" x14ac:dyDescent="0.25">
      <c r="A351">
        <v>29</v>
      </c>
      <c r="B351" t="str">
        <f>_xlfn.XLOOKUP(Table1[[#This Row],[Attrition]],Table2[Attrition],Table2[Id_Attrition])</f>
        <v>A002</v>
      </c>
      <c r="C351" t="s">
        <v>33</v>
      </c>
      <c r="D351" t="str">
        <f>_xlfn.XLOOKUP(Table1[[#This Row],[BusinessTravel]],Table5[BusinessTravel],Table5[Id_BusinessTravel])</f>
        <v>BS003</v>
      </c>
      <c r="E351" t="s">
        <v>36</v>
      </c>
      <c r="F351">
        <v>746</v>
      </c>
      <c r="G351" t="str">
        <f>_xlfn.XLOOKUP(Table1[[#This Row],[Department]],Table6[Department],Table6[Id_Departement])</f>
        <v>D001</v>
      </c>
      <c r="H351" t="s">
        <v>37</v>
      </c>
      <c r="I351">
        <v>2</v>
      </c>
      <c r="J351" t="str">
        <f>_xlfn.XLOOKUP(Table1[[#This Row],[Education]],Table8[Education],Table8[Id_Education])</f>
        <v>E003</v>
      </c>
      <c r="K351">
        <v>3</v>
      </c>
      <c r="L351" t="str">
        <f>_xlfn.XLOOKUP(Table1[[#This Row],[EducationField]],Table7[EducationField],Table7[Id_EducationField])</f>
        <v>EF001</v>
      </c>
      <c r="M351" t="s">
        <v>40</v>
      </c>
      <c r="N351" t="str">
        <f>_xlfn.XLOOKUP(Table1[[#This Row],[EmployeeNumber]],Table4[EmployeeNumber],Table4[Id_Employee])</f>
        <v>EMP00350</v>
      </c>
      <c r="O351">
        <v>469</v>
      </c>
      <c r="P351" t="str">
        <f>_xlfn.XLOOKUP(Table1[[#This Row],[EnvironmentSatisfaction]],Table9[EnvironmentSatisfaction],Table9[Id_EnviromentSatisfaction])</f>
        <v>ES004</v>
      </c>
      <c r="Q351">
        <v>4</v>
      </c>
      <c r="R351" t="str">
        <f>_xlfn.XLOOKUP(Table1[[#This Row],[EnvironmentSatisfaction]],Table9[EnvironmentSatisfaction],Table9[Deskripsi])</f>
        <v>Very High</v>
      </c>
      <c r="S351" t="str">
        <f>_xlfn.XLOOKUP(Table1[[#This Row],[Gender]],Table10[Gender],Table10[Id_Gender])</f>
        <v>G002</v>
      </c>
      <c r="T351" t="s">
        <v>46</v>
      </c>
      <c r="U351">
        <v>61</v>
      </c>
      <c r="V351" t="str">
        <f>_xlfn.XLOOKUP(Table1[[#This Row],[JobInvolvement]],Table11[JobInvolvement],Table11[Id_JobInvolvement])</f>
        <v>JI003</v>
      </c>
      <c r="W351">
        <v>3</v>
      </c>
      <c r="X351" t="str">
        <f>_xlfn.XLOOKUP(Table1[[#This Row],[JobLevel]],Table12[JobLevel],Table12[Id_JobLevel])</f>
        <v>JL002</v>
      </c>
      <c r="Y351">
        <v>2</v>
      </c>
      <c r="Z351" t="str">
        <f>_xlfn.XLOOKUP(Table1[[#This Row],[JobRole]],Table13[JobRole],Table13[Id_JobRole])</f>
        <v>JR001</v>
      </c>
      <c r="AA351" t="s">
        <v>47</v>
      </c>
      <c r="AB351" t="str">
        <f>_xlfn.XLOOKUP(Table1[[#This Row],[JobSatisfaction]],Table14[JobSatisfaction],Table14[Id_JobSatisfaction])</f>
        <v>JS003</v>
      </c>
      <c r="AC351">
        <v>3</v>
      </c>
      <c r="AD351" t="str">
        <f>_xlfn.XLOOKUP(Table1[[#This Row],[JobSatisfaction]],Table14[JobSatisfaction],Table14[Deskripsi])</f>
        <v>High</v>
      </c>
      <c r="AE351" t="str">
        <f>_xlfn.XLOOKUP(Table1[[#This Row],[MaritalStatus]],Table15[MaritalStatus],Table15[Id_MaritalStatus])</f>
        <v>MS002</v>
      </c>
      <c r="AF351" t="s">
        <v>56</v>
      </c>
      <c r="AG351">
        <v>4649</v>
      </c>
      <c r="AH351">
        <v>16928</v>
      </c>
      <c r="AI351">
        <v>1</v>
      </c>
      <c r="AJ351" t="str">
        <f>_xlfn.XLOOKUP(Table1[[#This Row],[OverTime]],Table16[OverTime],Table16[Id_OverTime])</f>
        <v>OT002</v>
      </c>
      <c r="AK351" t="s">
        <v>33</v>
      </c>
      <c r="AL351">
        <v>14</v>
      </c>
      <c r="AM351" t="str">
        <f>_xlfn.XLOOKUP(Table1[[#This Row],[PerformanceRating]],Table17[PerformanceRating],Table17[Id_PerformanceRating])</f>
        <v>PR003</v>
      </c>
      <c r="AN351">
        <v>3</v>
      </c>
      <c r="AO351" t="str">
        <f>_xlfn.XLOOKUP(Table1[[#This Row],[PerformanceRating]],Table17[PerformanceRating],Table17[Deskripsi])</f>
        <v>Excellent</v>
      </c>
      <c r="AP351" t="str">
        <f>_xlfn.XLOOKUP(Table1[[#This Row],[RelationshipSatisfaction]],Table18[RelationshipSatisfaction],Table18[Id_RelationshipSatisfaction])</f>
        <v>RS001</v>
      </c>
      <c r="AQ351">
        <v>1</v>
      </c>
      <c r="AR351" t="str">
        <f>_xlfn.XLOOKUP(Table1[[#This Row],[RelationshipSatisfaction]],Table18[RelationshipSatisfaction],Table18[Deskripsi])</f>
        <v>Low</v>
      </c>
      <c r="AS351" t="str">
        <f>_xlfn.XLOOKUP(Table1[[#This Row],[StockOptionLevel]],Table19[StockOptionLevel],Table19[Id_StockOptionLevel])</f>
        <v>SOL002</v>
      </c>
      <c r="AT351">
        <v>1</v>
      </c>
      <c r="AU351" t="str">
        <f>_xlfn.XLOOKUP(Table1[[#This Row],[StockOptionLevel]],Table19[StockOptionLevel],Table19[Deskripsi])</f>
        <v>Standard</v>
      </c>
      <c r="AV351">
        <v>4</v>
      </c>
      <c r="AW351">
        <v>3</v>
      </c>
      <c r="AX351" t="str">
        <f>_xlfn.XLOOKUP(Table1[[#This Row],[WorkLifeBalance]],Table20[WorkLifeBalance],Table20[Id_WorkLifeBalance])</f>
        <v>WLB003</v>
      </c>
      <c r="AY351">
        <v>2</v>
      </c>
      <c r="AZ351" t="str">
        <f>_xlfn.XLOOKUP(Table1[[#This Row],[WorkLifeBalance]],Table20[WorkLifeBalance],Table20[Deskripsi])</f>
        <v>Better</v>
      </c>
      <c r="BA351">
        <v>4</v>
      </c>
      <c r="BB351">
        <v>3</v>
      </c>
      <c r="BC351">
        <v>0</v>
      </c>
      <c r="BD351">
        <v>2</v>
      </c>
    </row>
    <row r="352" spans="1:56" x14ac:dyDescent="0.25">
      <c r="A352">
        <v>42</v>
      </c>
      <c r="B352" t="str">
        <f>_xlfn.XLOOKUP(Table1[[#This Row],[Attrition]],Table2[Attrition],Table2[Id_Attrition])</f>
        <v>A002</v>
      </c>
      <c r="C352" t="s">
        <v>33</v>
      </c>
      <c r="D352" t="str">
        <f>_xlfn.XLOOKUP(Table1[[#This Row],[BusinessTravel]],Table5[BusinessTravel],Table5[Id_BusinessTravel])</f>
        <v>BS001</v>
      </c>
      <c r="E352" t="s">
        <v>34</v>
      </c>
      <c r="F352">
        <v>544</v>
      </c>
      <c r="G352" t="str">
        <f>_xlfn.XLOOKUP(Table1[[#This Row],[Department]],Table6[Department],Table6[Id_Departement])</f>
        <v>D003</v>
      </c>
      <c r="H352" t="s">
        <v>39</v>
      </c>
      <c r="I352">
        <v>2</v>
      </c>
      <c r="J352" t="str">
        <f>_xlfn.XLOOKUP(Table1[[#This Row],[Education]],Table8[Education],Table8[Id_Education])</f>
        <v>E001</v>
      </c>
      <c r="K352">
        <v>1</v>
      </c>
      <c r="L352" t="str">
        <f>_xlfn.XLOOKUP(Table1[[#This Row],[EducationField]],Table7[EducationField],Table7[Id_EducationField])</f>
        <v>EF005</v>
      </c>
      <c r="M352" t="s">
        <v>44</v>
      </c>
      <c r="N352" t="str">
        <f>_xlfn.XLOOKUP(Table1[[#This Row],[EmployeeNumber]],Table4[EmployeeNumber],Table4[Id_Employee])</f>
        <v>EMP00351</v>
      </c>
      <c r="O352">
        <v>470</v>
      </c>
      <c r="P352" t="str">
        <f>_xlfn.XLOOKUP(Table1[[#This Row],[EnvironmentSatisfaction]],Table9[EnvironmentSatisfaction],Table9[Id_EnviromentSatisfaction])</f>
        <v>ES003</v>
      </c>
      <c r="Q352">
        <v>3</v>
      </c>
      <c r="R352" t="str">
        <f>_xlfn.XLOOKUP(Table1[[#This Row],[EnvironmentSatisfaction]],Table9[EnvironmentSatisfaction],Table9[Deskripsi])</f>
        <v>High</v>
      </c>
      <c r="S352" t="str">
        <f>_xlfn.XLOOKUP(Table1[[#This Row],[Gender]],Table10[Gender],Table10[Id_Gender])</f>
        <v>G002</v>
      </c>
      <c r="T352" t="s">
        <v>46</v>
      </c>
      <c r="U352">
        <v>52</v>
      </c>
      <c r="V352" t="str">
        <f>_xlfn.XLOOKUP(Table1[[#This Row],[JobInvolvement]],Table11[JobInvolvement],Table11[Id_JobInvolvement])</f>
        <v>JI003</v>
      </c>
      <c r="W352">
        <v>3</v>
      </c>
      <c r="X352" t="str">
        <f>_xlfn.XLOOKUP(Table1[[#This Row],[JobLevel]],Table12[JobLevel],Table12[Id_JobLevel])</f>
        <v>JL001</v>
      </c>
      <c r="Y352">
        <v>1</v>
      </c>
      <c r="Z352" t="str">
        <f>_xlfn.XLOOKUP(Table1[[#This Row],[JobRole]],Table13[JobRole],Table13[Id_JobRole])</f>
        <v>JR009</v>
      </c>
      <c r="AA352" t="s">
        <v>39</v>
      </c>
      <c r="AB352" t="str">
        <f>_xlfn.XLOOKUP(Table1[[#This Row],[JobSatisfaction]],Table14[JobSatisfaction],Table14[Id_JobSatisfaction])</f>
        <v>JS003</v>
      </c>
      <c r="AC352">
        <v>3</v>
      </c>
      <c r="AD352" t="str">
        <f>_xlfn.XLOOKUP(Table1[[#This Row],[JobSatisfaction]],Table14[JobSatisfaction],Table14[Deskripsi])</f>
        <v>High</v>
      </c>
      <c r="AE352" t="str">
        <f>_xlfn.XLOOKUP(Table1[[#This Row],[MaritalStatus]],Table15[MaritalStatus],Table15[Id_MaritalStatus])</f>
        <v>MS003</v>
      </c>
      <c r="AF352" t="s">
        <v>57</v>
      </c>
      <c r="AG352">
        <v>2696</v>
      </c>
      <c r="AH352">
        <v>24017</v>
      </c>
      <c r="AI352">
        <v>0</v>
      </c>
      <c r="AJ352" t="str">
        <f>_xlfn.XLOOKUP(Table1[[#This Row],[OverTime]],Table16[OverTime],Table16[Id_OverTime])</f>
        <v>OT001</v>
      </c>
      <c r="AK352" t="s">
        <v>32</v>
      </c>
      <c r="AL352">
        <v>11</v>
      </c>
      <c r="AM352" t="str">
        <f>_xlfn.XLOOKUP(Table1[[#This Row],[PerformanceRating]],Table17[PerformanceRating],Table17[Id_PerformanceRating])</f>
        <v>PR003</v>
      </c>
      <c r="AN352">
        <v>3</v>
      </c>
      <c r="AO352" t="str">
        <f>_xlfn.XLOOKUP(Table1[[#This Row],[PerformanceRating]],Table17[PerformanceRating],Table17[Deskripsi])</f>
        <v>Excellent</v>
      </c>
      <c r="AP352" t="str">
        <f>_xlfn.XLOOKUP(Table1[[#This Row],[RelationshipSatisfaction]],Table18[RelationshipSatisfaction],Table18[Id_RelationshipSatisfaction])</f>
        <v>RS003</v>
      </c>
      <c r="AQ352">
        <v>3</v>
      </c>
      <c r="AR352" t="str">
        <f>_xlfn.XLOOKUP(Table1[[#This Row],[RelationshipSatisfaction]],Table18[RelationshipSatisfaction],Table18[Deskripsi])</f>
        <v>High</v>
      </c>
      <c r="AS352" t="str">
        <f>_xlfn.XLOOKUP(Table1[[#This Row],[StockOptionLevel]],Table19[StockOptionLevel],Table19[Id_StockOptionLevel])</f>
        <v>SOL002</v>
      </c>
      <c r="AT352">
        <v>1</v>
      </c>
      <c r="AU352" t="str">
        <f>_xlfn.XLOOKUP(Table1[[#This Row],[StockOptionLevel]],Table19[StockOptionLevel],Table19[Deskripsi])</f>
        <v>Standard</v>
      </c>
      <c r="AV352">
        <v>4</v>
      </c>
      <c r="AW352">
        <v>5</v>
      </c>
      <c r="AX352" t="str">
        <f>_xlfn.XLOOKUP(Table1[[#This Row],[WorkLifeBalance]],Table20[WorkLifeBalance],Table20[Id_WorkLifeBalance])</f>
        <v>WLB002</v>
      </c>
      <c r="AY352">
        <v>3</v>
      </c>
      <c r="AZ352" t="str">
        <f>_xlfn.XLOOKUP(Table1[[#This Row],[WorkLifeBalance]],Table20[WorkLifeBalance],Table20[Deskripsi])</f>
        <v>Good</v>
      </c>
      <c r="BA352">
        <v>3</v>
      </c>
      <c r="BB352">
        <v>2</v>
      </c>
      <c r="BC352">
        <v>1</v>
      </c>
      <c r="BD352">
        <v>0</v>
      </c>
    </row>
    <row r="353" spans="1:56" x14ac:dyDescent="0.25">
      <c r="A353">
        <v>32</v>
      </c>
      <c r="B353" t="str">
        <f>_xlfn.XLOOKUP(Table1[[#This Row],[Attrition]],Table2[Attrition],Table2[Id_Attrition])</f>
        <v>A002</v>
      </c>
      <c r="C353" t="s">
        <v>33</v>
      </c>
      <c r="D353" t="str">
        <f>_xlfn.XLOOKUP(Table1[[#This Row],[BusinessTravel]],Table5[BusinessTravel],Table5[Id_BusinessTravel])</f>
        <v>BS001</v>
      </c>
      <c r="E353" t="s">
        <v>34</v>
      </c>
      <c r="F353">
        <v>1062</v>
      </c>
      <c r="G353" t="str">
        <f>_xlfn.XLOOKUP(Table1[[#This Row],[Department]],Table6[Department],Table6[Id_Departement])</f>
        <v>D002</v>
      </c>
      <c r="H353" t="s">
        <v>38</v>
      </c>
      <c r="I353">
        <v>2</v>
      </c>
      <c r="J353" t="str">
        <f>_xlfn.XLOOKUP(Table1[[#This Row],[Education]],Table8[Education],Table8[Id_Education])</f>
        <v>E003</v>
      </c>
      <c r="K353">
        <v>3</v>
      </c>
      <c r="L353" t="str">
        <f>_xlfn.XLOOKUP(Table1[[#This Row],[EducationField]],Table7[EducationField],Table7[Id_EducationField])</f>
        <v>EF003</v>
      </c>
      <c r="M353" t="s">
        <v>42</v>
      </c>
      <c r="N353" t="str">
        <f>_xlfn.XLOOKUP(Table1[[#This Row],[EmployeeNumber]],Table4[EmployeeNumber],Table4[Id_Employee])</f>
        <v>EMP00352</v>
      </c>
      <c r="O353">
        <v>471</v>
      </c>
      <c r="P353" t="str">
        <f>_xlfn.XLOOKUP(Table1[[#This Row],[EnvironmentSatisfaction]],Table9[EnvironmentSatisfaction],Table9[Id_EnviromentSatisfaction])</f>
        <v>ES003</v>
      </c>
      <c r="Q353">
        <v>3</v>
      </c>
      <c r="R353" t="str">
        <f>_xlfn.XLOOKUP(Table1[[#This Row],[EnvironmentSatisfaction]],Table9[EnvironmentSatisfaction],Table9[Deskripsi])</f>
        <v>High</v>
      </c>
      <c r="S353" t="str">
        <f>_xlfn.XLOOKUP(Table1[[#This Row],[Gender]],Table10[Gender],Table10[Id_Gender])</f>
        <v>G001</v>
      </c>
      <c r="T353" t="s">
        <v>45</v>
      </c>
      <c r="U353">
        <v>75</v>
      </c>
      <c r="V353" t="str">
        <f>_xlfn.XLOOKUP(Table1[[#This Row],[JobInvolvement]],Table11[JobInvolvement],Table11[Id_JobInvolvement])</f>
        <v>JI003</v>
      </c>
      <c r="W353">
        <v>3</v>
      </c>
      <c r="X353" t="str">
        <f>_xlfn.XLOOKUP(Table1[[#This Row],[JobLevel]],Table12[JobLevel],Table12[Id_JobLevel])</f>
        <v>JL001</v>
      </c>
      <c r="Y353">
        <v>1</v>
      </c>
      <c r="Z353" t="str">
        <f>_xlfn.XLOOKUP(Table1[[#This Row],[JobRole]],Table13[JobRole],Table13[Id_JobRole])</f>
        <v>JR003</v>
      </c>
      <c r="AA353" t="s">
        <v>49</v>
      </c>
      <c r="AB353" t="str">
        <f>_xlfn.XLOOKUP(Table1[[#This Row],[JobSatisfaction]],Table14[JobSatisfaction],Table14[Id_JobSatisfaction])</f>
        <v>JS002</v>
      </c>
      <c r="AC353">
        <v>2</v>
      </c>
      <c r="AD353" t="str">
        <f>_xlfn.XLOOKUP(Table1[[#This Row],[JobSatisfaction]],Table14[JobSatisfaction],Table14[Deskripsi])</f>
        <v>Medium</v>
      </c>
      <c r="AE353" t="str">
        <f>_xlfn.XLOOKUP(Table1[[#This Row],[MaritalStatus]],Table15[MaritalStatus],Table15[Id_MaritalStatus])</f>
        <v>MS002</v>
      </c>
      <c r="AF353" t="s">
        <v>56</v>
      </c>
      <c r="AG353">
        <v>2370</v>
      </c>
      <c r="AH353">
        <v>3956</v>
      </c>
      <c r="AI353">
        <v>1</v>
      </c>
      <c r="AJ353" t="str">
        <f>_xlfn.XLOOKUP(Table1[[#This Row],[OverTime]],Table16[OverTime],Table16[Id_OverTime])</f>
        <v>OT002</v>
      </c>
      <c r="AK353" t="s">
        <v>33</v>
      </c>
      <c r="AL353">
        <v>13</v>
      </c>
      <c r="AM353" t="str">
        <f>_xlfn.XLOOKUP(Table1[[#This Row],[PerformanceRating]],Table17[PerformanceRating],Table17[Id_PerformanceRating])</f>
        <v>PR003</v>
      </c>
      <c r="AN353">
        <v>3</v>
      </c>
      <c r="AO353" t="str">
        <f>_xlfn.XLOOKUP(Table1[[#This Row],[PerformanceRating]],Table17[PerformanceRating],Table17[Deskripsi])</f>
        <v>Excellent</v>
      </c>
      <c r="AP353" t="str">
        <f>_xlfn.XLOOKUP(Table1[[#This Row],[RelationshipSatisfaction]],Table18[RelationshipSatisfaction],Table18[Id_RelationshipSatisfaction])</f>
        <v>RS003</v>
      </c>
      <c r="AQ353">
        <v>3</v>
      </c>
      <c r="AR353" t="str">
        <f>_xlfn.XLOOKUP(Table1[[#This Row],[RelationshipSatisfaction]],Table18[RelationshipSatisfaction],Table18[Deskripsi])</f>
        <v>High</v>
      </c>
      <c r="AS353" t="str">
        <f>_xlfn.XLOOKUP(Table1[[#This Row],[StockOptionLevel]],Table19[StockOptionLevel],Table19[Id_StockOptionLevel])</f>
        <v>SOL002</v>
      </c>
      <c r="AT353">
        <v>1</v>
      </c>
      <c r="AU353" t="str">
        <f>_xlfn.XLOOKUP(Table1[[#This Row],[StockOptionLevel]],Table19[StockOptionLevel],Table19[Deskripsi])</f>
        <v>Standard</v>
      </c>
      <c r="AV353">
        <v>8</v>
      </c>
      <c r="AW353">
        <v>4</v>
      </c>
      <c r="AX353" t="str">
        <f>_xlfn.XLOOKUP(Table1[[#This Row],[WorkLifeBalance]],Table20[WorkLifeBalance],Table20[Id_WorkLifeBalance])</f>
        <v>WLB002</v>
      </c>
      <c r="AY353">
        <v>3</v>
      </c>
      <c r="AZ353" t="str">
        <f>_xlfn.XLOOKUP(Table1[[#This Row],[WorkLifeBalance]],Table20[WorkLifeBalance],Table20[Deskripsi])</f>
        <v>Good</v>
      </c>
      <c r="BA353">
        <v>8</v>
      </c>
      <c r="BB353">
        <v>0</v>
      </c>
      <c r="BC353">
        <v>0</v>
      </c>
      <c r="BD353">
        <v>7</v>
      </c>
    </row>
    <row r="354" spans="1:56" x14ac:dyDescent="0.25">
      <c r="A354">
        <v>48</v>
      </c>
      <c r="B354" t="str">
        <f>_xlfn.XLOOKUP(Table1[[#This Row],[Attrition]],Table2[Attrition],Table2[Id_Attrition])</f>
        <v>A002</v>
      </c>
      <c r="C354" t="s">
        <v>33</v>
      </c>
      <c r="D354" t="str">
        <f>_xlfn.XLOOKUP(Table1[[#This Row],[BusinessTravel]],Table5[BusinessTravel],Table5[Id_BusinessTravel])</f>
        <v>BS001</v>
      </c>
      <c r="E354" t="s">
        <v>34</v>
      </c>
      <c r="F354">
        <v>530</v>
      </c>
      <c r="G354" t="str">
        <f>_xlfn.XLOOKUP(Table1[[#This Row],[Department]],Table6[Department],Table6[Id_Departement])</f>
        <v>D001</v>
      </c>
      <c r="H354" t="s">
        <v>37</v>
      </c>
      <c r="I354">
        <v>29</v>
      </c>
      <c r="J354" t="str">
        <f>_xlfn.XLOOKUP(Table1[[#This Row],[Education]],Table8[Education],Table8[Id_Education])</f>
        <v>E001</v>
      </c>
      <c r="K354">
        <v>1</v>
      </c>
      <c r="L354" t="str">
        <f>_xlfn.XLOOKUP(Table1[[#This Row],[EducationField]],Table7[EducationField],Table7[Id_EducationField])</f>
        <v>EF003</v>
      </c>
      <c r="M354" t="s">
        <v>42</v>
      </c>
      <c r="N354" t="str">
        <f>_xlfn.XLOOKUP(Table1[[#This Row],[EmployeeNumber]],Table4[EmployeeNumber],Table4[Id_Employee])</f>
        <v>EMP00353</v>
      </c>
      <c r="O354">
        <v>473</v>
      </c>
      <c r="P354" t="str">
        <f>_xlfn.XLOOKUP(Table1[[#This Row],[EnvironmentSatisfaction]],Table9[EnvironmentSatisfaction],Table9[Id_EnviromentSatisfaction])</f>
        <v>ES001</v>
      </c>
      <c r="Q354">
        <v>1</v>
      </c>
      <c r="R354" t="str">
        <f>_xlfn.XLOOKUP(Table1[[#This Row],[EnvironmentSatisfaction]],Table9[EnvironmentSatisfaction],Table9[Deskripsi])</f>
        <v>Low</v>
      </c>
      <c r="S354" t="str">
        <f>_xlfn.XLOOKUP(Table1[[#This Row],[Gender]],Table10[Gender],Table10[Id_Gender])</f>
        <v>G001</v>
      </c>
      <c r="T354" t="s">
        <v>45</v>
      </c>
      <c r="U354">
        <v>91</v>
      </c>
      <c r="V354" t="str">
        <f>_xlfn.XLOOKUP(Table1[[#This Row],[JobInvolvement]],Table11[JobInvolvement],Table11[Id_JobInvolvement])</f>
        <v>JI003</v>
      </c>
      <c r="W354">
        <v>3</v>
      </c>
      <c r="X354" t="str">
        <f>_xlfn.XLOOKUP(Table1[[#This Row],[JobLevel]],Table12[JobLevel],Table12[Id_JobLevel])</f>
        <v>JL003</v>
      </c>
      <c r="Y354">
        <v>3</v>
      </c>
      <c r="Z354" t="str">
        <f>_xlfn.XLOOKUP(Table1[[#This Row],[JobRole]],Table13[JobRole],Table13[Id_JobRole])</f>
        <v>JR006</v>
      </c>
      <c r="AA354" t="s">
        <v>52</v>
      </c>
      <c r="AB354" t="str">
        <f>_xlfn.XLOOKUP(Table1[[#This Row],[JobSatisfaction]],Table14[JobSatisfaction],Table14[Id_JobSatisfaction])</f>
        <v>JS003</v>
      </c>
      <c r="AC354">
        <v>3</v>
      </c>
      <c r="AD354" t="str">
        <f>_xlfn.XLOOKUP(Table1[[#This Row],[JobSatisfaction]],Table14[JobSatisfaction],Table14[Deskripsi])</f>
        <v>High</v>
      </c>
      <c r="AE354" t="str">
        <f>_xlfn.XLOOKUP(Table1[[#This Row],[MaritalStatus]],Table15[MaritalStatus],Table15[Id_MaritalStatus])</f>
        <v>MS002</v>
      </c>
      <c r="AF354" t="s">
        <v>56</v>
      </c>
      <c r="AG354">
        <v>12504</v>
      </c>
      <c r="AH354">
        <v>23978</v>
      </c>
      <c r="AI354">
        <v>3</v>
      </c>
      <c r="AJ354" t="str">
        <f>_xlfn.XLOOKUP(Table1[[#This Row],[OverTime]],Table16[OverTime],Table16[Id_OverTime])</f>
        <v>OT002</v>
      </c>
      <c r="AK354" t="s">
        <v>33</v>
      </c>
      <c r="AL354">
        <v>21</v>
      </c>
      <c r="AM354" t="str">
        <f>_xlfn.XLOOKUP(Table1[[#This Row],[PerformanceRating]],Table17[PerformanceRating],Table17[Id_PerformanceRating])</f>
        <v>PR004</v>
      </c>
      <c r="AN354">
        <v>4</v>
      </c>
      <c r="AO354" t="str">
        <f>_xlfn.XLOOKUP(Table1[[#This Row],[PerformanceRating]],Table17[PerformanceRating],Table17[Deskripsi])</f>
        <v>Outstanding</v>
      </c>
      <c r="AP354" t="str">
        <f>_xlfn.XLOOKUP(Table1[[#This Row],[RelationshipSatisfaction]],Table18[RelationshipSatisfaction],Table18[Id_RelationshipSatisfaction])</f>
        <v>RS002</v>
      </c>
      <c r="AQ354">
        <v>2</v>
      </c>
      <c r="AR354" t="str">
        <f>_xlfn.XLOOKUP(Table1[[#This Row],[RelationshipSatisfaction]],Table18[RelationshipSatisfaction],Table18[Deskripsi])</f>
        <v>Medium</v>
      </c>
      <c r="AS354" t="str">
        <f>_xlfn.XLOOKUP(Table1[[#This Row],[StockOptionLevel]],Table19[StockOptionLevel],Table19[Id_StockOptionLevel])</f>
        <v>SOL002</v>
      </c>
      <c r="AT354">
        <v>1</v>
      </c>
      <c r="AU354" t="str">
        <f>_xlfn.XLOOKUP(Table1[[#This Row],[StockOptionLevel]],Table19[StockOptionLevel],Table19[Deskripsi])</f>
        <v>Standard</v>
      </c>
      <c r="AV354">
        <v>15</v>
      </c>
      <c r="AW354">
        <v>3</v>
      </c>
      <c r="AX354" t="str">
        <f>_xlfn.XLOOKUP(Table1[[#This Row],[WorkLifeBalance]],Table20[WorkLifeBalance],Table20[Id_WorkLifeBalance])</f>
        <v>WLB001</v>
      </c>
      <c r="AY354">
        <v>1</v>
      </c>
      <c r="AZ354" t="str">
        <f>_xlfn.XLOOKUP(Table1[[#This Row],[WorkLifeBalance]],Table20[WorkLifeBalance],Table20[Deskripsi])</f>
        <v>Bad</v>
      </c>
      <c r="BA354">
        <v>0</v>
      </c>
      <c r="BB354">
        <v>0</v>
      </c>
      <c r="BC354">
        <v>0</v>
      </c>
      <c r="BD354">
        <v>0</v>
      </c>
    </row>
    <row r="355" spans="1:56" x14ac:dyDescent="0.25">
      <c r="A355">
        <v>37</v>
      </c>
      <c r="B355" t="str">
        <f>_xlfn.XLOOKUP(Table1[[#This Row],[Attrition]],Table2[Attrition],Table2[Id_Attrition])</f>
        <v>A002</v>
      </c>
      <c r="C355" t="s">
        <v>33</v>
      </c>
      <c r="D355" t="str">
        <f>_xlfn.XLOOKUP(Table1[[#This Row],[BusinessTravel]],Table5[BusinessTravel],Table5[Id_BusinessTravel])</f>
        <v>BS001</v>
      </c>
      <c r="E355" t="s">
        <v>34</v>
      </c>
      <c r="F355">
        <v>1319</v>
      </c>
      <c r="G355" t="str">
        <f>_xlfn.XLOOKUP(Table1[[#This Row],[Department]],Table6[Department],Table6[Id_Departement])</f>
        <v>D002</v>
      </c>
      <c r="H355" t="s">
        <v>38</v>
      </c>
      <c r="I355">
        <v>6</v>
      </c>
      <c r="J355" t="str">
        <f>_xlfn.XLOOKUP(Table1[[#This Row],[Education]],Table8[Education],Table8[Id_Education])</f>
        <v>E003</v>
      </c>
      <c r="K355">
        <v>3</v>
      </c>
      <c r="L355" t="str">
        <f>_xlfn.XLOOKUP(Table1[[#This Row],[EducationField]],Table7[EducationField],Table7[Id_EducationField])</f>
        <v>EF003</v>
      </c>
      <c r="M355" t="s">
        <v>42</v>
      </c>
      <c r="N355" t="str">
        <f>_xlfn.XLOOKUP(Table1[[#This Row],[EmployeeNumber]],Table4[EmployeeNumber],Table4[Id_Employee])</f>
        <v>EMP00354</v>
      </c>
      <c r="O355">
        <v>474</v>
      </c>
      <c r="P355" t="str">
        <f>_xlfn.XLOOKUP(Table1[[#This Row],[EnvironmentSatisfaction]],Table9[EnvironmentSatisfaction],Table9[Id_EnviromentSatisfaction])</f>
        <v>ES003</v>
      </c>
      <c r="Q355">
        <v>3</v>
      </c>
      <c r="R355" t="str">
        <f>_xlfn.XLOOKUP(Table1[[#This Row],[EnvironmentSatisfaction]],Table9[EnvironmentSatisfaction],Table9[Deskripsi])</f>
        <v>High</v>
      </c>
      <c r="S355" t="str">
        <f>_xlfn.XLOOKUP(Table1[[#This Row],[Gender]],Table10[Gender],Table10[Id_Gender])</f>
        <v>G002</v>
      </c>
      <c r="T355" t="s">
        <v>46</v>
      </c>
      <c r="U355">
        <v>51</v>
      </c>
      <c r="V355" t="str">
        <f>_xlfn.XLOOKUP(Table1[[#This Row],[JobInvolvement]],Table11[JobInvolvement],Table11[Id_JobInvolvement])</f>
        <v>JI004</v>
      </c>
      <c r="W355">
        <v>4</v>
      </c>
      <c r="X355" t="str">
        <f>_xlfn.XLOOKUP(Table1[[#This Row],[JobLevel]],Table12[JobLevel],Table12[Id_JobLevel])</f>
        <v>JL002</v>
      </c>
      <c r="Y355">
        <v>2</v>
      </c>
      <c r="Z355" t="str">
        <f>_xlfn.XLOOKUP(Table1[[#This Row],[JobRole]],Table13[JobRole],Table13[Id_JobRole])</f>
        <v>JR002</v>
      </c>
      <c r="AA355" t="s">
        <v>48</v>
      </c>
      <c r="AB355" t="str">
        <f>_xlfn.XLOOKUP(Table1[[#This Row],[JobSatisfaction]],Table14[JobSatisfaction],Table14[Id_JobSatisfaction])</f>
        <v>JS001</v>
      </c>
      <c r="AC355">
        <v>1</v>
      </c>
      <c r="AD355" t="str">
        <f>_xlfn.XLOOKUP(Table1[[#This Row],[JobSatisfaction]],Table14[JobSatisfaction],Table14[Deskripsi])</f>
        <v>Low</v>
      </c>
      <c r="AE355" t="str">
        <f>_xlfn.XLOOKUP(Table1[[#This Row],[MaritalStatus]],Table15[MaritalStatus],Table15[Id_MaritalStatus])</f>
        <v>MS003</v>
      </c>
      <c r="AF355" t="s">
        <v>57</v>
      </c>
      <c r="AG355">
        <v>5974</v>
      </c>
      <c r="AH355">
        <v>17001</v>
      </c>
      <c r="AI355">
        <v>4</v>
      </c>
      <c r="AJ355" t="str">
        <f>_xlfn.XLOOKUP(Table1[[#This Row],[OverTime]],Table16[OverTime],Table16[Id_OverTime])</f>
        <v>OT001</v>
      </c>
      <c r="AK355" t="s">
        <v>32</v>
      </c>
      <c r="AL355">
        <v>13</v>
      </c>
      <c r="AM355" t="str">
        <f>_xlfn.XLOOKUP(Table1[[#This Row],[PerformanceRating]],Table17[PerformanceRating],Table17[Id_PerformanceRating])</f>
        <v>PR003</v>
      </c>
      <c r="AN355">
        <v>3</v>
      </c>
      <c r="AO355" t="str">
        <f>_xlfn.XLOOKUP(Table1[[#This Row],[PerformanceRating]],Table17[PerformanceRating],Table17[Deskripsi])</f>
        <v>Excellent</v>
      </c>
      <c r="AP355" t="str">
        <f>_xlfn.XLOOKUP(Table1[[#This Row],[RelationshipSatisfaction]],Table18[RelationshipSatisfaction],Table18[Id_RelationshipSatisfaction])</f>
        <v>RS001</v>
      </c>
      <c r="AQ355">
        <v>1</v>
      </c>
      <c r="AR355" t="str">
        <f>_xlfn.XLOOKUP(Table1[[#This Row],[RelationshipSatisfaction]],Table18[RelationshipSatisfaction],Table18[Deskripsi])</f>
        <v>Low</v>
      </c>
      <c r="AS355" t="str">
        <f>_xlfn.XLOOKUP(Table1[[#This Row],[StockOptionLevel]],Table19[StockOptionLevel],Table19[Id_StockOptionLevel])</f>
        <v>SOL003</v>
      </c>
      <c r="AT355">
        <v>2</v>
      </c>
      <c r="AU355" t="str">
        <f>_xlfn.XLOOKUP(Table1[[#This Row],[StockOptionLevel]],Table19[StockOptionLevel],Table19[Deskripsi])</f>
        <v>Intermediate</v>
      </c>
      <c r="AV355">
        <v>13</v>
      </c>
      <c r="AW355">
        <v>2</v>
      </c>
      <c r="AX355" t="str">
        <f>_xlfn.XLOOKUP(Table1[[#This Row],[WorkLifeBalance]],Table20[WorkLifeBalance],Table20[Id_WorkLifeBalance])</f>
        <v>WLB002</v>
      </c>
      <c r="AY355">
        <v>3</v>
      </c>
      <c r="AZ355" t="str">
        <f>_xlfn.XLOOKUP(Table1[[#This Row],[WorkLifeBalance]],Table20[WorkLifeBalance],Table20[Deskripsi])</f>
        <v>Good</v>
      </c>
      <c r="BA355">
        <v>7</v>
      </c>
      <c r="BB355">
        <v>7</v>
      </c>
      <c r="BC355">
        <v>6</v>
      </c>
      <c r="BD355">
        <v>7</v>
      </c>
    </row>
    <row r="356" spans="1:56" x14ac:dyDescent="0.25">
      <c r="A356">
        <v>30</v>
      </c>
      <c r="B356" t="str">
        <f>_xlfn.XLOOKUP(Table1[[#This Row],[Attrition]],Table2[Attrition],Table2[Id_Attrition])</f>
        <v>A002</v>
      </c>
      <c r="C356" t="s">
        <v>33</v>
      </c>
      <c r="D356" t="str">
        <f>_xlfn.XLOOKUP(Table1[[#This Row],[BusinessTravel]],Table5[BusinessTravel],Table5[Id_BusinessTravel])</f>
        <v>BS003</v>
      </c>
      <c r="E356" t="s">
        <v>36</v>
      </c>
      <c r="F356">
        <v>641</v>
      </c>
      <c r="G356" t="str">
        <f>_xlfn.XLOOKUP(Table1[[#This Row],[Department]],Table6[Department],Table6[Id_Departement])</f>
        <v>D001</v>
      </c>
      <c r="H356" t="s">
        <v>37</v>
      </c>
      <c r="I356">
        <v>25</v>
      </c>
      <c r="J356" t="str">
        <f>_xlfn.XLOOKUP(Table1[[#This Row],[Education]],Table8[Education],Table8[Id_Education])</f>
        <v>E002</v>
      </c>
      <c r="K356">
        <v>2</v>
      </c>
      <c r="L356" t="str">
        <f>_xlfn.XLOOKUP(Table1[[#This Row],[EducationField]],Table7[EducationField],Table7[Id_EducationField])</f>
        <v>EF005</v>
      </c>
      <c r="M356" t="s">
        <v>44</v>
      </c>
      <c r="N356" t="str">
        <f>_xlfn.XLOOKUP(Table1[[#This Row],[EmployeeNumber]],Table4[EmployeeNumber],Table4[Id_Employee])</f>
        <v>EMP00355</v>
      </c>
      <c r="O356">
        <v>475</v>
      </c>
      <c r="P356" t="str">
        <f>_xlfn.XLOOKUP(Table1[[#This Row],[EnvironmentSatisfaction]],Table9[EnvironmentSatisfaction],Table9[Id_EnviromentSatisfaction])</f>
        <v>ES004</v>
      </c>
      <c r="Q356">
        <v>4</v>
      </c>
      <c r="R356" t="str">
        <f>_xlfn.XLOOKUP(Table1[[#This Row],[EnvironmentSatisfaction]],Table9[EnvironmentSatisfaction],Table9[Deskripsi])</f>
        <v>Very High</v>
      </c>
      <c r="S356" t="str">
        <f>_xlfn.XLOOKUP(Table1[[#This Row],[Gender]],Table10[Gender],Table10[Id_Gender])</f>
        <v>G001</v>
      </c>
      <c r="T356" t="s">
        <v>45</v>
      </c>
      <c r="U356">
        <v>85</v>
      </c>
      <c r="V356" t="str">
        <f>_xlfn.XLOOKUP(Table1[[#This Row],[JobInvolvement]],Table11[JobInvolvement],Table11[Id_JobInvolvement])</f>
        <v>JI003</v>
      </c>
      <c r="W356">
        <v>3</v>
      </c>
      <c r="X356" t="str">
        <f>_xlfn.XLOOKUP(Table1[[#This Row],[JobLevel]],Table12[JobLevel],Table12[Id_JobLevel])</f>
        <v>JL002</v>
      </c>
      <c r="Y356">
        <v>2</v>
      </c>
      <c r="Z356" t="str">
        <f>_xlfn.XLOOKUP(Table1[[#This Row],[JobRole]],Table13[JobRole],Table13[Id_JobRole])</f>
        <v>JR001</v>
      </c>
      <c r="AA356" t="s">
        <v>47</v>
      </c>
      <c r="AB356" t="str">
        <f>_xlfn.XLOOKUP(Table1[[#This Row],[JobSatisfaction]],Table14[JobSatisfaction],Table14[Id_JobSatisfaction])</f>
        <v>JS003</v>
      </c>
      <c r="AC356">
        <v>3</v>
      </c>
      <c r="AD356" t="str">
        <f>_xlfn.XLOOKUP(Table1[[#This Row],[JobSatisfaction]],Table14[JobSatisfaction],Table14[Deskripsi])</f>
        <v>High</v>
      </c>
      <c r="AE356" t="str">
        <f>_xlfn.XLOOKUP(Table1[[#This Row],[MaritalStatus]],Table15[MaritalStatus],Table15[Id_MaritalStatus])</f>
        <v>MS002</v>
      </c>
      <c r="AF356" t="s">
        <v>56</v>
      </c>
      <c r="AG356">
        <v>4736</v>
      </c>
      <c r="AH356">
        <v>6069</v>
      </c>
      <c r="AI356">
        <v>7</v>
      </c>
      <c r="AJ356" t="str">
        <f>_xlfn.XLOOKUP(Table1[[#This Row],[OverTime]],Table16[OverTime],Table16[Id_OverTime])</f>
        <v>OT001</v>
      </c>
      <c r="AK356" t="s">
        <v>32</v>
      </c>
      <c r="AL356">
        <v>12</v>
      </c>
      <c r="AM356" t="str">
        <f>_xlfn.XLOOKUP(Table1[[#This Row],[PerformanceRating]],Table17[PerformanceRating],Table17[Id_PerformanceRating])</f>
        <v>PR003</v>
      </c>
      <c r="AN356">
        <v>3</v>
      </c>
      <c r="AO356" t="str">
        <f>_xlfn.XLOOKUP(Table1[[#This Row],[PerformanceRating]],Table17[PerformanceRating],Table17[Deskripsi])</f>
        <v>Excellent</v>
      </c>
      <c r="AP356" t="str">
        <f>_xlfn.XLOOKUP(Table1[[#This Row],[RelationshipSatisfaction]],Table18[RelationshipSatisfaction],Table18[Id_RelationshipSatisfaction])</f>
        <v>RS002</v>
      </c>
      <c r="AQ356">
        <v>2</v>
      </c>
      <c r="AR356" t="str">
        <f>_xlfn.XLOOKUP(Table1[[#This Row],[RelationshipSatisfaction]],Table18[RelationshipSatisfaction],Table18[Deskripsi])</f>
        <v>Medium</v>
      </c>
      <c r="AS356" t="str">
        <f>_xlfn.XLOOKUP(Table1[[#This Row],[StockOptionLevel]],Table19[StockOptionLevel],Table19[Id_StockOptionLevel])</f>
        <v>SOL002</v>
      </c>
      <c r="AT356">
        <v>1</v>
      </c>
      <c r="AU356" t="str">
        <f>_xlfn.XLOOKUP(Table1[[#This Row],[StockOptionLevel]],Table19[StockOptionLevel],Table19[Deskripsi])</f>
        <v>Standard</v>
      </c>
      <c r="AV356">
        <v>4</v>
      </c>
      <c r="AW356">
        <v>2</v>
      </c>
      <c r="AX356" t="str">
        <f>_xlfn.XLOOKUP(Table1[[#This Row],[WorkLifeBalance]],Table20[WorkLifeBalance],Table20[Id_WorkLifeBalance])</f>
        <v>WLB004</v>
      </c>
      <c r="AY356">
        <v>4</v>
      </c>
      <c r="AZ356" t="str">
        <f>_xlfn.XLOOKUP(Table1[[#This Row],[WorkLifeBalance]],Table20[WorkLifeBalance],Table20[Deskripsi])</f>
        <v>Best</v>
      </c>
      <c r="BA356">
        <v>2</v>
      </c>
      <c r="BB356">
        <v>2</v>
      </c>
      <c r="BC356">
        <v>2</v>
      </c>
      <c r="BD356">
        <v>2</v>
      </c>
    </row>
    <row r="357" spans="1:56" x14ac:dyDescent="0.25">
      <c r="A357">
        <v>26</v>
      </c>
      <c r="B357" t="str">
        <f>_xlfn.XLOOKUP(Table1[[#This Row],[Attrition]],Table2[Attrition],Table2[Id_Attrition])</f>
        <v>A002</v>
      </c>
      <c r="C357" t="s">
        <v>33</v>
      </c>
      <c r="D357" t="str">
        <f>_xlfn.XLOOKUP(Table1[[#This Row],[BusinessTravel]],Table5[BusinessTravel],Table5[Id_BusinessTravel])</f>
        <v>BS001</v>
      </c>
      <c r="E357" t="s">
        <v>34</v>
      </c>
      <c r="F357">
        <v>933</v>
      </c>
      <c r="G357" t="str">
        <f>_xlfn.XLOOKUP(Table1[[#This Row],[Department]],Table6[Department],Table6[Id_Departement])</f>
        <v>D001</v>
      </c>
      <c r="H357" t="s">
        <v>37</v>
      </c>
      <c r="I357">
        <v>1</v>
      </c>
      <c r="J357" t="str">
        <f>_xlfn.XLOOKUP(Table1[[#This Row],[Education]],Table8[Education],Table8[Id_Education])</f>
        <v>E003</v>
      </c>
      <c r="K357">
        <v>3</v>
      </c>
      <c r="L357" t="str">
        <f>_xlfn.XLOOKUP(Table1[[#This Row],[EducationField]],Table7[EducationField],Table7[Id_EducationField])</f>
        <v>EF001</v>
      </c>
      <c r="M357" t="s">
        <v>40</v>
      </c>
      <c r="N357" t="str">
        <f>_xlfn.XLOOKUP(Table1[[#This Row],[EmployeeNumber]],Table4[EmployeeNumber],Table4[Id_Employee])</f>
        <v>EMP00356</v>
      </c>
      <c r="O357">
        <v>476</v>
      </c>
      <c r="P357" t="str">
        <f>_xlfn.XLOOKUP(Table1[[#This Row],[EnvironmentSatisfaction]],Table9[EnvironmentSatisfaction],Table9[Id_EnviromentSatisfaction])</f>
        <v>ES003</v>
      </c>
      <c r="Q357">
        <v>3</v>
      </c>
      <c r="R357" t="str">
        <f>_xlfn.XLOOKUP(Table1[[#This Row],[EnvironmentSatisfaction]],Table9[EnvironmentSatisfaction],Table9[Deskripsi])</f>
        <v>High</v>
      </c>
      <c r="S357" t="str">
        <f>_xlfn.XLOOKUP(Table1[[#This Row],[Gender]],Table10[Gender],Table10[Id_Gender])</f>
        <v>G002</v>
      </c>
      <c r="T357" t="s">
        <v>46</v>
      </c>
      <c r="U357">
        <v>57</v>
      </c>
      <c r="V357" t="str">
        <f>_xlfn.XLOOKUP(Table1[[#This Row],[JobInvolvement]],Table11[JobInvolvement],Table11[Id_JobInvolvement])</f>
        <v>JI003</v>
      </c>
      <c r="W357">
        <v>3</v>
      </c>
      <c r="X357" t="str">
        <f>_xlfn.XLOOKUP(Table1[[#This Row],[JobLevel]],Table12[JobLevel],Table12[Id_JobLevel])</f>
        <v>JL002</v>
      </c>
      <c r="Y357">
        <v>2</v>
      </c>
      <c r="Z357" t="str">
        <f>_xlfn.XLOOKUP(Table1[[#This Row],[JobRole]],Table13[JobRole],Table13[Id_JobRole])</f>
        <v>JR001</v>
      </c>
      <c r="AA357" t="s">
        <v>47</v>
      </c>
      <c r="AB357" t="str">
        <f>_xlfn.XLOOKUP(Table1[[#This Row],[JobSatisfaction]],Table14[JobSatisfaction],Table14[Id_JobSatisfaction])</f>
        <v>JS003</v>
      </c>
      <c r="AC357">
        <v>3</v>
      </c>
      <c r="AD357" t="str">
        <f>_xlfn.XLOOKUP(Table1[[#This Row],[JobSatisfaction]],Table14[JobSatisfaction],Table14[Deskripsi])</f>
        <v>High</v>
      </c>
      <c r="AE357" t="str">
        <f>_xlfn.XLOOKUP(Table1[[#This Row],[MaritalStatus]],Table15[MaritalStatus],Table15[Id_MaritalStatus])</f>
        <v>MS002</v>
      </c>
      <c r="AF357" t="s">
        <v>56</v>
      </c>
      <c r="AG357">
        <v>5296</v>
      </c>
      <c r="AH357">
        <v>20156</v>
      </c>
      <c r="AI357">
        <v>1</v>
      </c>
      <c r="AJ357" t="str">
        <f>_xlfn.XLOOKUP(Table1[[#This Row],[OverTime]],Table16[OverTime],Table16[Id_OverTime])</f>
        <v>OT002</v>
      </c>
      <c r="AK357" t="s">
        <v>33</v>
      </c>
      <c r="AL357">
        <v>17</v>
      </c>
      <c r="AM357" t="str">
        <f>_xlfn.XLOOKUP(Table1[[#This Row],[PerformanceRating]],Table17[PerformanceRating],Table17[Id_PerformanceRating])</f>
        <v>PR003</v>
      </c>
      <c r="AN357">
        <v>3</v>
      </c>
      <c r="AO357" t="str">
        <f>_xlfn.XLOOKUP(Table1[[#This Row],[PerformanceRating]],Table17[PerformanceRating],Table17[Deskripsi])</f>
        <v>Excellent</v>
      </c>
      <c r="AP357" t="str">
        <f>_xlfn.XLOOKUP(Table1[[#This Row],[RelationshipSatisfaction]],Table18[RelationshipSatisfaction],Table18[Id_RelationshipSatisfaction])</f>
        <v>RS002</v>
      </c>
      <c r="AQ357">
        <v>2</v>
      </c>
      <c r="AR357" t="str">
        <f>_xlfn.XLOOKUP(Table1[[#This Row],[RelationshipSatisfaction]],Table18[RelationshipSatisfaction],Table18[Deskripsi])</f>
        <v>Medium</v>
      </c>
      <c r="AS357" t="str">
        <f>_xlfn.XLOOKUP(Table1[[#This Row],[StockOptionLevel]],Table19[StockOptionLevel],Table19[Id_StockOptionLevel])</f>
        <v>SOL002</v>
      </c>
      <c r="AT357">
        <v>1</v>
      </c>
      <c r="AU357" t="str">
        <f>_xlfn.XLOOKUP(Table1[[#This Row],[StockOptionLevel]],Table19[StockOptionLevel],Table19[Deskripsi])</f>
        <v>Standard</v>
      </c>
      <c r="AV357">
        <v>8</v>
      </c>
      <c r="AW357">
        <v>3</v>
      </c>
      <c r="AX357" t="str">
        <f>_xlfn.XLOOKUP(Table1[[#This Row],[WorkLifeBalance]],Table20[WorkLifeBalance],Table20[Id_WorkLifeBalance])</f>
        <v>WLB002</v>
      </c>
      <c r="AY357">
        <v>3</v>
      </c>
      <c r="AZ357" t="str">
        <f>_xlfn.XLOOKUP(Table1[[#This Row],[WorkLifeBalance]],Table20[WorkLifeBalance],Table20[Deskripsi])</f>
        <v>Good</v>
      </c>
      <c r="BA357">
        <v>8</v>
      </c>
      <c r="BB357">
        <v>7</v>
      </c>
      <c r="BC357">
        <v>7</v>
      </c>
      <c r="BD357">
        <v>7</v>
      </c>
    </row>
    <row r="358" spans="1:56" x14ac:dyDescent="0.25">
      <c r="A358">
        <v>42</v>
      </c>
      <c r="B358" t="str">
        <f>_xlfn.XLOOKUP(Table1[[#This Row],[Attrition]],Table2[Attrition],Table2[Id_Attrition])</f>
        <v>A002</v>
      </c>
      <c r="C358" t="s">
        <v>33</v>
      </c>
      <c r="D358" t="str">
        <f>_xlfn.XLOOKUP(Table1[[#This Row],[BusinessTravel]],Table5[BusinessTravel],Table5[Id_BusinessTravel])</f>
        <v>BS001</v>
      </c>
      <c r="E358" t="s">
        <v>34</v>
      </c>
      <c r="F358">
        <v>1332</v>
      </c>
      <c r="G358" t="str">
        <f>_xlfn.XLOOKUP(Table1[[#This Row],[Department]],Table6[Department],Table6[Id_Departement])</f>
        <v>D002</v>
      </c>
      <c r="H358" t="s">
        <v>38</v>
      </c>
      <c r="I358">
        <v>2</v>
      </c>
      <c r="J358" t="str">
        <f>_xlfn.XLOOKUP(Table1[[#This Row],[Education]],Table8[Education],Table8[Id_Education])</f>
        <v>E004</v>
      </c>
      <c r="K358">
        <v>4</v>
      </c>
      <c r="L358" t="str">
        <f>_xlfn.XLOOKUP(Table1[[#This Row],[EducationField]],Table7[EducationField],Table7[Id_EducationField])</f>
        <v>EF002</v>
      </c>
      <c r="M358" t="s">
        <v>41</v>
      </c>
      <c r="N358" t="str">
        <f>_xlfn.XLOOKUP(Table1[[#This Row],[EmployeeNumber]],Table4[EmployeeNumber],Table4[Id_Employee])</f>
        <v>EMP00357</v>
      </c>
      <c r="O358">
        <v>477</v>
      </c>
      <c r="P358" t="str">
        <f>_xlfn.XLOOKUP(Table1[[#This Row],[EnvironmentSatisfaction]],Table9[EnvironmentSatisfaction],Table9[Id_EnviromentSatisfaction])</f>
        <v>ES001</v>
      </c>
      <c r="Q358">
        <v>1</v>
      </c>
      <c r="R358" t="str">
        <f>_xlfn.XLOOKUP(Table1[[#This Row],[EnvironmentSatisfaction]],Table9[EnvironmentSatisfaction],Table9[Deskripsi])</f>
        <v>Low</v>
      </c>
      <c r="S358" t="str">
        <f>_xlfn.XLOOKUP(Table1[[#This Row],[Gender]],Table10[Gender],Table10[Id_Gender])</f>
        <v>G002</v>
      </c>
      <c r="T358" t="s">
        <v>46</v>
      </c>
      <c r="U358">
        <v>98</v>
      </c>
      <c r="V358" t="str">
        <f>_xlfn.XLOOKUP(Table1[[#This Row],[JobInvolvement]],Table11[JobInvolvement],Table11[Id_JobInvolvement])</f>
        <v>JI002</v>
      </c>
      <c r="W358">
        <v>2</v>
      </c>
      <c r="X358" t="str">
        <f>_xlfn.XLOOKUP(Table1[[#This Row],[JobLevel]],Table12[JobLevel],Table12[Id_JobLevel])</f>
        <v>JL002</v>
      </c>
      <c r="Y358">
        <v>2</v>
      </c>
      <c r="Z358" t="str">
        <f>_xlfn.XLOOKUP(Table1[[#This Row],[JobRole]],Table13[JobRole],Table13[Id_JobRole])</f>
        <v>JR005</v>
      </c>
      <c r="AA358" t="s">
        <v>51</v>
      </c>
      <c r="AB358" t="str">
        <f>_xlfn.XLOOKUP(Table1[[#This Row],[JobSatisfaction]],Table14[JobSatisfaction],Table14[Id_JobSatisfaction])</f>
        <v>JS004</v>
      </c>
      <c r="AC358">
        <v>4</v>
      </c>
      <c r="AD358" t="str">
        <f>_xlfn.XLOOKUP(Table1[[#This Row],[JobSatisfaction]],Table14[JobSatisfaction],Table14[Deskripsi])</f>
        <v>Very High</v>
      </c>
      <c r="AE358" t="str">
        <f>_xlfn.XLOOKUP(Table1[[#This Row],[MaritalStatus]],Table15[MaritalStatus],Table15[Id_MaritalStatus])</f>
        <v>MS001</v>
      </c>
      <c r="AF358" t="s">
        <v>55</v>
      </c>
      <c r="AG358">
        <v>6781</v>
      </c>
      <c r="AH358">
        <v>17078</v>
      </c>
      <c r="AI358">
        <v>3</v>
      </c>
      <c r="AJ358" t="str">
        <f>_xlfn.XLOOKUP(Table1[[#This Row],[OverTime]],Table16[OverTime],Table16[Id_OverTime])</f>
        <v>OT002</v>
      </c>
      <c r="AK358" t="s">
        <v>33</v>
      </c>
      <c r="AL358">
        <v>23</v>
      </c>
      <c r="AM358" t="str">
        <f>_xlfn.XLOOKUP(Table1[[#This Row],[PerformanceRating]],Table17[PerformanceRating],Table17[Id_PerformanceRating])</f>
        <v>PR004</v>
      </c>
      <c r="AN358">
        <v>4</v>
      </c>
      <c r="AO358" t="str">
        <f>_xlfn.XLOOKUP(Table1[[#This Row],[PerformanceRating]],Table17[PerformanceRating],Table17[Deskripsi])</f>
        <v>Outstanding</v>
      </c>
      <c r="AP358" t="str">
        <f>_xlfn.XLOOKUP(Table1[[#This Row],[RelationshipSatisfaction]],Table18[RelationshipSatisfaction],Table18[Id_RelationshipSatisfaction])</f>
        <v>RS002</v>
      </c>
      <c r="AQ358">
        <v>2</v>
      </c>
      <c r="AR358" t="str">
        <f>_xlfn.XLOOKUP(Table1[[#This Row],[RelationshipSatisfaction]],Table18[RelationshipSatisfaction],Table18[Deskripsi])</f>
        <v>Medium</v>
      </c>
      <c r="AS358" t="str">
        <f>_xlfn.XLOOKUP(Table1[[#This Row],[StockOptionLevel]],Table19[StockOptionLevel],Table19[Id_StockOptionLevel])</f>
        <v>SOL001</v>
      </c>
      <c r="AT358">
        <v>0</v>
      </c>
      <c r="AU358" t="str">
        <f>_xlfn.XLOOKUP(Table1[[#This Row],[StockOptionLevel]],Table19[StockOptionLevel],Table19[Deskripsi])</f>
        <v>Non-Eligible</v>
      </c>
      <c r="AV358">
        <v>14</v>
      </c>
      <c r="AW358">
        <v>6</v>
      </c>
      <c r="AX358" t="str">
        <f>_xlfn.XLOOKUP(Table1[[#This Row],[WorkLifeBalance]],Table20[WorkLifeBalance],Table20[Id_WorkLifeBalance])</f>
        <v>WLB002</v>
      </c>
      <c r="AY358">
        <v>3</v>
      </c>
      <c r="AZ358" t="str">
        <f>_xlfn.XLOOKUP(Table1[[#This Row],[WorkLifeBalance]],Table20[WorkLifeBalance],Table20[Deskripsi])</f>
        <v>Good</v>
      </c>
      <c r="BA358">
        <v>1</v>
      </c>
      <c r="BB358">
        <v>0</v>
      </c>
      <c r="BC358">
        <v>0</v>
      </c>
      <c r="BD358">
        <v>0</v>
      </c>
    </row>
    <row r="359" spans="1:56" x14ac:dyDescent="0.25">
      <c r="A359">
        <v>21</v>
      </c>
      <c r="B359" t="str">
        <f>_xlfn.XLOOKUP(Table1[[#This Row],[Attrition]],Table2[Attrition],Table2[Id_Attrition])</f>
        <v>A001</v>
      </c>
      <c r="C359" t="s">
        <v>32</v>
      </c>
      <c r="D359" t="str">
        <f>_xlfn.XLOOKUP(Table1[[#This Row],[BusinessTravel]],Table5[BusinessTravel],Table5[Id_BusinessTravel])</f>
        <v>BS002</v>
      </c>
      <c r="E359" t="s">
        <v>35</v>
      </c>
      <c r="F359">
        <v>756</v>
      </c>
      <c r="G359" t="str">
        <f>_xlfn.XLOOKUP(Table1[[#This Row],[Department]],Table6[Department],Table6[Id_Departement])</f>
        <v>D001</v>
      </c>
      <c r="H359" t="s">
        <v>37</v>
      </c>
      <c r="I359">
        <v>1</v>
      </c>
      <c r="J359" t="str">
        <f>_xlfn.XLOOKUP(Table1[[#This Row],[Education]],Table8[Education],Table8[Id_Education])</f>
        <v>E001</v>
      </c>
      <c r="K359">
        <v>1</v>
      </c>
      <c r="L359" t="str">
        <f>_xlfn.XLOOKUP(Table1[[#This Row],[EducationField]],Table7[EducationField],Table7[Id_EducationField])</f>
        <v>EF005</v>
      </c>
      <c r="M359" t="s">
        <v>44</v>
      </c>
      <c r="N359" t="str">
        <f>_xlfn.XLOOKUP(Table1[[#This Row],[EmployeeNumber]],Table4[EmployeeNumber],Table4[Id_Employee])</f>
        <v>EMP00358</v>
      </c>
      <c r="O359">
        <v>478</v>
      </c>
      <c r="P359" t="str">
        <f>_xlfn.XLOOKUP(Table1[[#This Row],[EnvironmentSatisfaction]],Table9[EnvironmentSatisfaction],Table9[Id_EnviromentSatisfaction])</f>
        <v>ES001</v>
      </c>
      <c r="Q359">
        <v>1</v>
      </c>
      <c r="R359" t="str">
        <f>_xlfn.XLOOKUP(Table1[[#This Row],[EnvironmentSatisfaction]],Table9[EnvironmentSatisfaction],Table9[Deskripsi])</f>
        <v>Low</v>
      </c>
      <c r="S359" t="str">
        <f>_xlfn.XLOOKUP(Table1[[#This Row],[Gender]],Table10[Gender],Table10[Id_Gender])</f>
        <v>G001</v>
      </c>
      <c r="T359" t="s">
        <v>45</v>
      </c>
      <c r="U359">
        <v>99</v>
      </c>
      <c r="V359" t="str">
        <f>_xlfn.XLOOKUP(Table1[[#This Row],[JobInvolvement]],Table11[JobInvolvement],Table11[Id_JobInvolvement])</f>
        <v>JI002</v>
      </c>
      <c r="W359">
        <v>2</v>
      </c>
      <c r="X359" t="str">
        <f>_xlfn.XLOOKUP(Table1[[#This Row],[JobLevel]],Table12[JobLevel],Table12[Id_JobLevel])</f>
        <v>JL001</v>
      </c>
      <c r="Y359">
        <v>1</v>
      </c>
      <c r="Z359" t="str">
        <f>_xlfn.XLOOKUP(Table1[[#This Row],[JobRole]],Table13[JobRole],Table13[Id_JobRole])</f>
        <v>JR007</v>
      </c>
      <c r="AA359" t="s">
        <v>53</v>
      </c>
      <c r="AB359" t="str">
        <f>_xlfn.XLOOKUP(Table1[[#This Row],[JobSatisfaction]],Table14[JobSatisfaction],Table14[Id_JobSatisfaction])</f>
        <v>JS002</v>
      </c>
      <c r="AC359">
        <v>2</v>
      </c>
      <c r="AD359" t="str">
        <f>_xlfn.XLOOKUP(Table1[[#This Row],[JobSatisfaction]],Table14[JobSatisfaction],Table14[Deskripsi])</f>
        <v>Medium</v>
      </c>
      <c r="AE359" t="str">
        <f>_xlfn.XLOOKUP(Table1[[#This Row],[MaritalStatus]],Table15[MaritalStatus],Table15[Id_MaritalStatus])</f>
        <v>MS001</v>
      </c>
      <c r="AF359" t="s">
        <v>55</v>
      </c>
      <c r="AG359">
        <v>2174</v>
      </c>
      <c r="AH359">
        <v>9150</v>
      </c>
      <c r="AI359">
        <v>1</v>
      </c>
      <c r="AJ359" t="str">
        <f>_xlfn.XLOOKUP(Table1[[#This Row],[OverTime]],Table16[OverTime],Table16[Id_OverTime])</f>
        <v>OT001</v>
      </c>
      <c r="AK359" t="s">
        <v>32</v>
      </c>
      <c r="AL359">
        <v>11</v>
      </c>
      <c r="AM359" t="str">
        <f>_xlfn.XLOOKUP(Table1[[#This Row],[PerformanceRating]],Table17[PerformanceRating],Table17[Id_PerformanceRating])</f>
        <v>PR003</v>
      </c>
      <c r="AN359">
        <v>3</v>
      </c>
      <c r="AO359" t="str">
        <f>_xlfn.XLOOKUP(Table1[[#This Row],[PerformanceRating]],Table17[PerformanceRating],Table17[Deskripsi])</f>
        <v>Excellent</v>
      </c>
      <c r="AP359" t="str">
        <f>_xlfn.XLOOKUP(Table1[[#This Row],[RelationshipSatisfaction]],Table18[RelationshipSatisfaction],Table18[Id_RelationshipSatisfaction])</f>
        <v>RS003</v>
      </c>
      <c r="AQ359">
        <v>3</v>
      </c>
      <c r="AR359" t="str">
        <f>_xlfn.XLOOKUP(Table1[[#This Row],[RelationshipSatisfaction]],Table18[RelationshipSatisfaction],Table18[Deskripsi])</f>
        <v>High</v>
      </c>
      <c r="AS359" t="str">
        <f>_xlfn.XLOOKUP(Table1[[#This Row],[StockOptionLevel]],Table19[StockOptionLevel],Table19[Id_StockOptionLevel])</f>
        <v>SOL001</v>
      </c>
      <c r="AT359">
        <v>0</v>
      </c>
      <c r="AU359" t="str">
        <f>_xlfn.XLOOKUP(Table1[[#This Row],[StockOptionLevel]],Table19[StockOptionLevel],Table19[Deskripsi])</f>
        <v>Non-Eligible</v>
      </c>
      <c r="AV359">
        <v>3</v>
      </c>
      <c r="AW359">
        <v>3</v>
      </c>
      <c r="AX359" t="str">
        <f>_xlfn.XLOOKUP(Table1[[#This Row],[WorkLifeBalance]],Table20[WorkLifeBalance],Table20[Id_WorkLifeBalance])</f>
        <v>WLB002</v>
      </c>
      <c r="AY359">
        <v>3</v>
      </c>
      <c r="AZ359" t="str">
        <f>_xlfn.XLOOKUP(Table1[[#This Row],[WorkLifeBalance]],Table20[WorkLifeBalance],Table20[Deskripsi])</f>
        <v>Good</v>
      </c>
      <c r="BA359">
        <v>3</v>
      </c>
      <c r="BB359">
        <v>2</v>
      </c>
      <c r="BC359">
        <v>1</v>
      </c>
      <c r="BD359">
        <v>2</v>
      </c>
    </row>
    <row r="360" spans="1:56" x14ac:dyDescent="0.25">
      <c r="A360">
        <v>36</v>
      </c>
      <c r="B360" t="str">
        <f>_xlfn.XLOOKUP(Table1[[#This Row],[Attrition]],Table2[Attrition],Table2[Id_Attrition])</f>
        <v>A002</v>
      </c>
      <c r="C360" t="s">
        <v>33</v>
      </c>
      <c r="D360" t="str">
        <f>_xlfn.XLOOKUP(Table1[[#This Row],[BusinessTravel]],Table5[BusinessTravel],Table5[Id_BusinessTravel])</f>
        <v>BS003</v>
      </c>
      <c r="E360" t="s">
        <v>36</v>
      </c>
      <c r="F360">
        <v>845</v>
      </c>
      <c r="G360" t="str">
        <f>_xlfn.XLOOKUP(Table1[[#This Row],[Department]],Table6[Department],Table6[Id_Departement])</f>
        <v>D001</v>
      </c>
      <c r="H360" t="s">
        <v>37</v>
      </c>
      <c r="I360">
        <v>1</v>
      </c>
      <c r="J360" t="str">
        <f>_xlfn.XLOOKUP(Table1[[#This Row],[Education]],Table8[Education],Table8[Id_Education])</f>
        <v>E005</v>
      </c>
      <c r="K360">
        <v>5</v>
      </c>
      <c r="L360" t="str">
        <f>_xlfn.XLOOKUP(Table1[[#This Row],[EducationField]],Table7[EducationField],Table7[Id_EducationField])</f>
        <v>EF003</v>
      </c>
      <c r="M360" t="s">
        <v>42</v>
      </c>
      <c r="N360" t="str">
        <f>_xlfn.XLOOKUP(Table1[[#This Row],[EmployeeNumber]],Table4[EmployeeNumber],Table4[Id_Employee])</f>
        <v>EMP00359</v>
      </c>
      <c r="O360">
        <v>479</v>
      </c>
      <c r="P360" t="str">
        <f>_xlfn.XLOOKUP(Table1[[#This Row],[EnvironmentSatisfaction]],Table9[EnvironmentSatisfaction],Table9[Id_EnviromentSatisfaction])</f>
        <v>ES004</v>
      </c>
      <c r="Q360">
        <v>4</v>
      </c>
      <c r="R360" t="str">
        <f>_xlfn.XLOOKUP(Table1[[#This Row],[EnvironmentSatisfaction]],Table9[EnvironmentSatisfaction],Table9[Deskripsi])</f>
        <v>Very High</v>
      </c>
      <c r="S360" t="str">
        <f>_xlfn.XLOOKUP(Table1[[#This Row],[Gender]],Table10[Gender],Table10[Id_Gender])</f>
        <v>G001</v>
      </c>
      <c r="T360" t="s">
        <v>45</v>
      </c>
      <c r="U360">
        <v>45</v>
      </c>
      <c r="V360" t="str">
        <f>_xlfn.XLOOKUP(Table1[[#This Row],[JobInvolvement]],Table11[JobInvolvement],Table11[Id_JobInvolvement])</f>
        <v>JI003</v>
      </c>
      <c r="W360">
        <v>3</v>
      </c>
      <c r="X360" t="str">
        <f>_xlfn.XLOOKUP(Table1[[#This Row],[JobLevel]],Table12[JobLevel],Table12[Id_JobLevel])</f>
        <v>JL002</v>
      </c>
      <c r="Y360">
        <v>2</v>
      </c>
      <c r="Z360" t="str">
        <f>_xlfn.XLOOKUP(Table1[[#This Row],[JobRole]],Table13[JobRole],Table13[Id_JobRole])</f>
        <v>JR001</v>
      </c>
      <c r="AA360" t="s">
        <v>47</v>
      </c>
      <c r="AB360" t="str">
        <f>_xlfn.XLOOKUP(Table1[[#This Row],[JobSatisfaction]],Table14[JobSatisfaction],Table14[Id_JobSatisfaction])</f>
        <v>JS004</v>
      </c>
      <c r="AC360">
        <v>4</v>
      </c>
      <c r="AD360" t="str">
        <f>_xlfn.XLOOKUP(Table1[[#This Row],[JobSatisfaction]],Table14[JobSatisfaction],Table14[Deskripsi])</f>
        <v>Very High</v>
      </c>
      <c r="AE360" t="str">
        <f>_xlfn.XLOOKUP(Table1[[#This Row],[MaritalStatus]],Table15[MaritalStatus],Table15[Id_MaritalStatus])</f>
        <v>MS001</v>
      </c>
      <c r="AF360" t="s">
        <v>55</v>
      </c>
      <c r="AG360">
        <v>6653</v>
      </c>
      <c r="AH360">
        <v>15276</v>
      </c>
      <c r="AI360">
        <v>4</v>
      </c>
      <c r="AJ360" t="str">
        <f>_xlfn.XLOOKUP(Table1[[#This Row],[OverTime]],Table16[OverTime],Table16[Id_OverTime])</f>
        <v>OT002</v>
      </c>
      <c r="AK360" t="s">
        <v>33</v>
      </c>
      <c r="AL360">
        <v>15</v>
      </c>
      <c r="AM360" t="str">
        <f>_xlfn.XLOOKUP(Table1[[#This Row],[PerformanceRating]],Table17[PerformanceRating],Table17[Id_PerformanceRating])</f>
        <v>PR003</v>
      </c>
      <c r="AN360">
        <v>3</v>
      </c>
      <c r="AO360" t="str">
        <f>_xlfn.XLOOKUP(Table1[[#This Row],[PerformanceRating]],Table17[PerformanceRating],Table17[Deskripsi])</f>
        <v>Excellent</v>
      </c>
      <c r="AP360" t="str">
        <f>_xlfn.XLOOKUP(Table1[[#This Row],[RelationshipSatisfaction]],Table18[RelationshipSatisfaction],Table18[Id_RelationshipSatisfaction])</f>
        <v>RS002</v>
      </c>
      <c r="AQ360">
        <v>2</v>
      </c>
      <c r="AR360" t="str">
        <f>_xlfn.XLOOKUP(Table1[[#This Row],[RelationshipSatisfaction]],Table18[RelationshipSatisfaction],Table18[Deskripsi])</f>
        <v>Medium</v>
      </c>
      <c r="AS360" t="str">
        <f>_xlfn.XLOOKUP(Table1[[#This Row],[StockOptionLevel]],Table19[StockOptionLevel],Table19[Id_StockOptionLevel])</f>
        <v>SOL001</v>
      </c>
      <c r="AT360">
        <v>0</v>
      </c>
      <c r="AU360" t="str">
        <f>_xlfn.XLOOKUP(Table1[[#This Row],[StockOptionLevel]],Table19[StockOptionLevel],Table19[Deskripsi])</f>
        <v>Non-Eligible</v>
      </c>
      <c r="AV360">
        <v>7</v>
      </c>
      <c r="AW360">
        <v>6</v>
      </c>
      <c r="AX360" t="str">
        <f>_xlfn.XLOOKUP(Table1[[#This Row],[WorkLifeBalance]],Table20[WorkLifeBalance],Table20[Id_WorkLifeBalance])</f>
        <v>WLB002</v>
      </c>
      <c r="AY360">
        <v>3</v>
      </c>
      <c r="AZ360" t="str">
        <f>_xlfn.XLOOKUP(Table1[[#This Row],[WorkLifeBalance]],Table20[WorkLifeBalance],Table20[Deskripsi])</f>
        <v>Good</v>
      </c>
      <c r="BA360">
        <v>1</v>
      </c>
      <c r="BB360">
        <v>0</v>
      </c>
      <c r="BC360">
        <v>0</v>
      </c>
      <c r="BD360">
        <v>0</v>
      </c>
    </row>
    <row r="361" spans="1:56" x14ac:dyDescent="0.25">
      <c r="A361">
        <v>36</v>
      </c>
      <c r="B361" t="str">
        <f>_xlfn.XLOOKUP(Table1[[#This Row],[Attrition]],Table2[Attrition],Table2[Id_Attrition])</f>
        <v>A002</v>
      </c>
      <c r="C361" t="s">
        <v>33</v>
      </c>
      <c r="D361" t="str">
        <f>_xlfn.XLOOKUP(Table1[[#This Row],[BusinessTravel]],Table5[BusinessTravel],Table5[Id_BusinessTravel])</f>
        <v>BS002</v>
      </c>
      <c r="E361" t="s">
        <v>35</v>
      </c>
      <c r="F361">
        <v>541</v>
      </c>
      <c r="G361" t="str">
        <f>_xlfn.XLOOKUP(Table1[[#This Row],[Department]],Table6[Department],Table6[Id_Departement])</f>
        <v>D001</v>
      </c>
      <c r="H361" t="s">
        <v>37</v>
      </c>
      <c r="I361">
        <v>3</v>
      </c>
      <c r="J361" t="str">
        <f>_xlfn.XLOOKUP(Table1[[#This Row],[Education]],Table8[Education],Table8[Id_Education])</f>
        <v>E004</v>
      </c>
      <c r="K361">
        <v>4</v>
      </c>
      <c r="L361" t="str">
        <f>_xlfn.XLOOKUP(Table1[[#This Row],[EducationField]],Table7[EducationField],Table7[Id_EducationField])</f>
        <v>EF003</v>
      </c>
      <c r="M361" t="s">
        <v>42</v>
      </c>
      <c r="N361" t="str">
        <f>_xlfn.XLOOKUP(Table1[[#This Row],[EmployeeNumber]],Table4[EmployeeNumber],Table4[Id_Employee])</f>
        <v>EMP00360</v>
      </c>
      <c r="O361">
        <v>481</v>
      </c>
      <c r="P361" t="str">
        <f>_xlfn.XLOOKUP(Table1[[#This Row],[EnvironmentSatisfaction]],Table9[EnvironmentSatisfaction],Table9[Id_EnviromentSatisfaction])</f>
        <v>ES001</v>
      </c>
      <c r="Q361">
        <v>1</v>
      </c>
      <c r="R361" t="str">
        <f>_xlfn.XLOOKUP(Table1[[#This Row],[EnvironmentSatisfaction]],Table9[EnvironmentSatisfaction],Table9[Deskripsi])</f>
        <v>Low</v>
      </c>
      <c r="S361" t="str">
        <f>_xlfn.XLOOKUP(Table1[[#This Row],[Gender]],Table10[Gender],Table10[Id_Gender])</f>
        <v>G002</v>
      </c>
      <c r="T361" t="s">
        <v>46</v>
      </c>
      <c r="U361">
        <v>48</v>
      </c>
      <c r="V361" t="str">
        <f>_xlfn.XLOOKUP(Table1[[#This Row],[JobInvolvement]],Table11[JobInvolvement],Table11[Id_JobInvolvement])</f>
        <v>JI002</v>
      </c>
      <c r="W361">
        <v>2</v>
      </c>
      <c r="X361" t="str">
        <f>_xlfn.XLOOKUP(Table1[[#This Row],[JobLevel]],Table12[JobLevel],Table12[Id_JobLevel])</f>
        <v>JL003</v>
      </c>
      <c r="Y361">
        <v>3</v>
      </c>
      <c r="Z361" t="str">
        <f>_xlfn.XLOOKUP(Table1[[#This Row],[JobRole]],Table13[JobRole],Table13[Id_JobRole])</f>
        <v>JR001</v>
      </c>
      <c r="AA361" t="s">
        <v>47</v>
      </c>
      <c r="AB361" t="str">
        <f>_xlfn.XLOOKUP(Table1[[#This Row],[JobSatisfaction]],Table14[JobSatisfaction],Table14[Id_JobSatisfaction])</f>
        <v>JS004</v>
      </c>
      <c r="AC361">
        <v>4</v>
      </c>
      <c r="AD361" t="str">
        <f>_xlfn.XLOOKUP(Table1[[#This Row],[JobSatisfaction]],Table14[JobSatisfaction],Table14[Deskripsi])</f>
        <v>Very High</v>
      </c>
      <c r="AE361" t="str">
        <f>_xlfn.XLOOKUP(Table1[[#This Row],[MaritalStatus]],Table15[MaritalStatus],Table15[Id_MaritalStatus])</f>
        <v>MS002</v>
      </c>
      <c r="AF361" t="s">
        <v>56</v>
      </c>
      <c r="AG361">
        <v>9699</v>
      </c>
      <c r="AH361">
        <v>7246</v>
      </c>
      <c r="AI361">
        <v>4</v>
      </c>
      <c r="AJ361" t="str">
        <f>_xlfn.XLOOKUP(Table1[[#This Row],[OverTime]],Table16[OverTime],Table16[Id_OverTime])</f>
        <v>OT002</v>
      </c>
      <c r="AK361" t="s">
        <v>33</v>
      </c>
      <c r="AL361">
        <v>11</v>
      </c>
      <c r="AM361" t="str">
        <f>_xlfn.XLOOKUP(Table1[[#This Row],[PerformanceRating]],Table17[PerformanceRating],Table17[Id_PerformanceRating])</f>
        <v>PR003</v>
      </c>
      <c r="AN361">
        <v>3</v>
      </c>
      <c r="AO361" t="str">
        <f>_xlfn.XLOOKUP(Table1[[#This Row],[PerformanceRating]],Table17[PerformanceRating],Table17[Deskripsi])</f>
        <v>Excellent</v>
      </c>
      <c r="AP361" t="str">
        <f>_xlfn.XLOOKUP(Table1[[#This Row],[RelationshipSatisfaction]],Table18[RelationshipSatisfaction],Table18[Id_RelationshipSatisfaction])</f>
        <v>RS001</v>
      </c>
      <c r="AQ361">
        <v>1</v>
      </c>
      <c r="AR361" t="str">
        <f>_xlfn.XLOOKUP(Table1[[#This Row],[RelationshipSatisfaction]],Table18[RelationshipSatisfaction],Table18[Deskripsi])</f>
        <v>Low</v>
      </c>
      <c r="AS361" t="str">
        <f>_xlfn.XLOOKUP(Table1[[#This Row],[StockOptionLevel]],Table19[StockOptionLevel],Table19[Id_StockOptionLevel])</f>
        <v>SOL002</v>
      </c>
      <c r="AT361">
        <v>1</v>
      </c>
      <c r="AU361" t="str">
        <f>_xlfn.XLOOKUP(Table1[[#This Row],[StockOptionLevel]],Table19[StockOptionLevel],Table19[Deskripsi])</f>
        <v>Standard</v>
      </c>
      <c r="AV361">
        <v>16</v>
      </c>
      <c r="AW361">
        <v>2</v>
      </c>
      <c r="AX361" t="str">
        <f>_xlfn.XLOOKUP(Table1[[#This Row],[WorkLifeBalance]],Table20[WorkLifeBalance],Table20[Id_WorkLifeBalance])</f>
        <v>WLB002</v>
      </c>
      <c r="AY361">
        <v>3</v>
      </c>
      <c r="AZ361" t="str">
        <f>_xlfn.XLOOKUP(Table1[[#This Row],[WorkLifeBalance]],Table20[WorkLifeBalance],Table20[Deskripsi])</f>
        <v>Good</v>
      </c>
      <c r="BA361">
        <v>13</v>
      </c>
      <c r="BB361">
        <v>9</v>
      </c>
      <c r="BC361">
        <v>1</v>
      </c>
      <c r="BD361">
        <v>12</v>
      </c>
    </row>
    <row r="362" spans="1:56" x14ac:dyDescent="0.25">
      <c r="A362">
        <v>57</v>
      </c>
      <c r="B362" t="str">
        <f>_xlfn.XLOOKUP(Table1[[#This Row],[Attrition]],Table2[Attrition],Table2[Id_Attrition])</f>
        <v>A002</v>
      </c>
      <c r="C362" t="s">
        <v>33</v>
      </c>
      <c r="D362" t="str">
        <f>_xlfn.XLOOKUP(Table1[[#This Row],[BusinessTravel]],Table5[BusinessTravel],Table5[Id_BusinessTravel])</f>
        <v>BS001</v>
      </c>
      <c r="E362" t="s">
        <v>34</v>
      </c>
      <c r="F362">
        <v>593</v>
      </c>
      <c r="G362" t="str">
        <f>_xlfn.XLOOKUP(Table1[[#This Row],[Department]],Table6[Department],Table6[Id_Departement])</f>
        <v>D002</v>
      </c>
      <c r="H362" t="s">
        <v>38</v>
      </c>
      <c r="I362">
        <v>1</v>
      </c>
      <c r="J362" t="str">
        <f>_xlfn.XLOOKUP(Table1[[#This Row],[Education]],Table8[Education],Table8[Id_Education])</f>
        <v>E004</v>
      </c>
      <c r="K362">
        <v>4</v>
      </c>
      <c r="L362" t="str">
        <f>_xlfn.XLOOKUP(Table1[[#This Row],[EducationField]],Table7[EducationField],Table7[Id_EducationField])</f>
        <v>EF003</v>
      </c>
      <c r="M362" t="s">
        <v>42</v>
      </c>
      <c r="N362" t="str">
        <f>_xlfn.XLOOKUP(Table1[[#This Row],[EmployeeNumber]],Table4[EmployeeNumber],Table4[Id_Employee])</f>
        <v>EMP00361</v>
      </c>
      <c r="O362">
        <v>482</v>
      </c>
      <c r="P362" t="str">
        <f>_xlfn.XLOOKUP(Table1[[#This Row],[EnvironmentSatisfaction]],Table9[EnvironmentSatisfaction],Table9[Id_EnviromentSatisfaction])</f>
        <v>ES004</v>
      </c>
      <c r="Q362">
        <v>4</v>
      </c>
      <c r="R362" t="str">
        <f>_xlfn.XLOOKUP(Table1[[#This Row],[EnvironmentSatisfaction]],Table9[EnvironmentSatisfaction],Table9[Deskripsi])</f>
        <v>Very High</v>
      </c>
      <c r="S362" t="str">
        <f>_xlfn.XLOOKUP(Table1[[#This Row],[Gender]],Table10[Gender],Table10[Id_Gender])</f>
        <v>G002</v>
      </c>
      <c r="T362" t="s">
        <v>46</v>
      </c>
      <c r="U362">
        <v>88</v>
      </c>
      <c r="V362" t="str">
        <f>_xlfn.XLOOKUP(Table1[[#This Row],[JobInvolvement]],Table11[JobInvolvement],Table11[Id_JobInvolvement])</f>
        <v>JI003</v>
      </c>
      <c r="W362">
        <v>3</v>
      </c>
      <c r="X362" t="str">
        <f>_xlfn.XLOOKUP(Table1[[#This Row],[JobLevel]],Table12[JobLevel],Table12[Id_JobLevel])</f>
        <v>JL002</v>
      </c>
      <c r="Y362">
        <v>2</v>
      </c>
      <c r="Z362" t="str">
        <f>_xlfn.XLOOKUP(Table1[[#This Row],[JobRole]],Table13[JobRole],Table13[Id_JobRole])</f>
        <v>JR005</v>
      </c>
      <c r="AA362" t="s">
        <v>51</v>
      </c>
      <c r="AB362" t="str">
        <f>_xlfn.XLOOKUP(Table1[[#This Row],[JobSatisfaction]],Table14[JobSatisfaction],Table14[Id_JobSatisfaction])</f>
        <v>JS003</v>
      </c>
      <c r="AC362">
        <v>3</v>
      </c>
      <c r="AD362" t="str">
        <f>_xlfn.XLOOKUP(Table1[[#This Row],[JobSatisfaction]],Table14[JobSatisfaction],Table14[Deskripsi])</f>
        <v>High</v>
      </c>
      <c r="AE362" t="str">
        <f>_xlfn.XLOOKUP(Table1[[#This Row],[MaritalStatus]],Table15[MaritalStatus],Table15[Id_MaritalStatus])</f>
        <v>MS002</v>
      </c>
      <c r="AF362" t="s">
        <v>56</v>
      </c>
      <c r="AG362">
        <v>6755</v>
      </c>
      <c r="AH362">
        <v>2967</v>
      </c>
      <c r="AI362">
        <v>2</v>
      </c>
      <c r="AJ362" t="str">
        <f>_xlfn.XLOOKUP(Table1[[#This Row],[OverTime]],Table16[OverTime],Table16[Id_OverTime])</f>
        <v>OT002</v>
      </c>
      <c r="AK362" t="s">
        <v>33</v>
      </c>
      <c r="AL362">
        <v>11</v>
      </c>
      <c r="AM362" t="str">
        <f>_xlfn.XLOOKUP(Table1[[#This Row],[PerformanceRating]],Table17[PerformanceRating],Table17[Id_PerformanceRating])</f>
        <v>PR003</v>
      </c>
      <c r="AN362">
        <v>3</v>
      </c>
      <c r="AO362" t="str">
        <f>_xlfn.XLOOKUP(Table1[[#This Row],[PerformanceRating]],Table17[PerformanceRating],Table17[Deskripsi])</f>
        <v>Excellent</v>
      </c>
      <c r="AP362" t="str">
        <f>_xlfn.XLOOKUP(Table1[[#This Row],[RelationshipSatisfaction]],Table18[RelationshipSatisfaction],Table18[Id_RelationshipSatisfaction])</f>
        <v>RS003</v>
      </c>
      <c r="AQ362">
        <v>3</v>
      </c>
      <c r="AR362" t="str">
        <f>_xlfn.XLOOKUP(Table1[[#This Row],[RelationshipSatisfaction]],Table18[RelationshipSatisfaction],Table18[Deskripsi])</f>
        <v>High</v>
      </c>
      <c r="AS362" t="str">
        <f>_xlfn.XLOOKUP(Table1[[#This Row],[StockOptionLevel]],Table19[StockOptionLevel],Table19[Id_StockOptionLevel])</f>
        <v>SOL001</v>
      </c>
      <c r="AT362">
        <v>0</v>
      </c>
      <c r="AU362" t="str">
        <f>_xlfn.XLOOKUP(Table1[[#This Row],[StockOptionLevel]],Table19[StockOptionLevel],Table19[Deskripsi])</f>
        <v>Non-Eligible</v>
      </c>
      <c r="AV362">
        <v>15</v>
      </c>
      <c r="AW362">
        <v>2</v>
      </c>
      <c r="AX362" t="str">
        <f>_xlfn.XLOOKUP(Table1[[#This Row],[WorkLifeBalance]],Table20[WorkLifeBalance],Table20[Id_WorkLifeBalance])</f>
        <v>WLB002</v>
      </c>
      <c r="AY362">
        <v>3</v>
      </c>
      <c r="AZ362" t="str">
        <f>_xlfn.XLOOKUP(Table1[[#This Row],[WorkLifeBalance]],Table20[WorkLifeBalance],Table20[Deskripsi])</f>
        <v>Good</v>
      </c>
      <c r="BA362">
        <v>3</v>
      </c>
      <c r="BB362">
        <v>2</v>
      </c>
      <c r="BC362">
        <v>1</v>
      </c>
      <c r="BD362">
        <v>2</v>
      </c>
    </row>
    <row r="363" spans="1:56" x14ac:dyDescent="0.25">
      <c r="A363">
        <v>40</v>
      </c>
      <c r="B363" t="str">
        <f>_xlfn.XLOOKUP(Table1[[#This Row],[Attrition]],Table2[Attrition],Table2[Id_Attrition])</f>
        <v>A002</v>
      </c>
      <c r="C363" t="s">
        <v>33</v>
      </c>
      <c r="D363" t="str">
        <f>_xlfn.XLOOKUP(Table1[[#This Row],[BusinessTravel]],Table5[BusinessTravel],Table5[Id_BusinessTravel])</f>
        <v>BS001</v>
      </c>
      <c r="E363" t="s">
        <v>34</v>
      </c>
      <c r="F363">
        <v>1171</v>
      </c>
      <c r="G363" t="str">
        <f>_xlfn.XLOOKUP(Table1[[#This Row],[Department]],Table6[Department],Table6[Id_Departement])</f>
        <v>D002</v>
      </c>
      <c r="H363" t="s">
        <v>38</v>
      </c>
      <c r="I363">
        <v>10</v>
      </c>
      <c r="J363" t="str">
        <f>_xlfn.XLOOKUP(Table1[[#This Row],[Education]],Table8[Education],Table8[Id_Education])</f>
        <v>E004</v>
      </c>
      <c r="K363">
        <v>4</v>
      </c>
      <c r="L363" t="str">
        <f>_xlfn.XLOOKUP(Table1[[#This Row],[EducationField]],Table7[EducationField],Table7[Id_EducationField])</f>
        <v>EF001</v>
      </c>
      <c r="M363" t="s">
        <v>40</v>
      </c>
      <c r="N363" t="str">
        <f>_xlfn.XLOOKUP(Table1[[#This Row],[EmployeeNumber]],Table4[EmployeeNumber],Table4[Id_Employee])</f>
        <v>EMP00362</v>
      </c>
      <c r="O363">
        <v>483</v>
      </c>
      <c r="P363" t="str">
        <f>_xlfn.XLOOKUP(Table1[[#This Row],[EnvironmentSatisfaction]],Table9[EnvironmentSatisfaction],Table9[Id_EnviromentSatisfaction])</f>
        <v>ES004</v>
      </c>
      <c r="Q363">
        <v>4</v>
      </c>
      <c r="R363" t="str">
        <f>_xlfn.XLOOKUP(Table1[[#This Row],[EnvironmentSatisfaction]],Table9[EnvironmentSatisfaction],Table9[Deskripsi])</f>
        <v>Very High</v>
      </c>
      <c r="S363" t="str">
        <f>_xlfn.XLOOKUP(Table1[[#This Row],[Gender]],Table10[Gender],Table10[Id_Gender])</f>
        <v>G001</v>
      </c>
      <c r="T363" t="s">
        <v>45</v>
      </c>
      <c r="U363">
        <v>46</v>
      </c>
      <c r="V363" t="str">
        <f>_xlfn.XLOOKUP(Table1[[#This Row],[JobInvolvement]],Table11[JobInvolvement],Table11[Id_JobInvolvement])</f>
        <v>JI004</v>
      </c>
      <c r="W363">
        <v>4</v>
      </c>
      <c r="X363" t="str">
        <f>_xlfn.XLOOKUP(Table1[[#This Row],[JobLevel]],Table12[JobLevel],Table12[Id_JobLevel])</f>
        <v>JL001</v>
      </c>
      <c r="Y363">
        <v>1</v>
      </c>
      <c r="Z363" t="str">
        <f>_xlfn.XLOOKUP(Table1[[#This Row],[JobRole]],Table13[JobRole],Table13[Id_JobRole])</f>
        <v>JR003</v>
      </c>
      <c r="AA363" t="s">
        <v>49</v>
      </c>
      <c r="AB363" t="str">
        <f>_xlfn.XLOOKUP(Table1[[#This Row],[JobSatisfaction]],Table14[JobSatisfaction],Table14[Id_JobSatisfaction])</f>
        <v>JS003</v>
      </c>
      <c r="AC363">
        <v>3</v>
      </c>
      <c r="AD363" t="str">
        <f>_xlfn.XLOOKUP(Table1[[#This Row],[JobSatisfaction]],Table14[JobSatisfaction],Table14[Deskripsi])</f>
        <v>High</v>
      </c>
      <c r="AE363" t="str">
        <f>_xlfn.XLOOKUP(Table1[[#This Row],[MaritalStatus]],Table15[MaritalStatus],Table15[Id_MaritalStatus])</f>
        <v>MS002</v>
      </c>
      <c r="AF363" t="s">
        <v>56</v>
      </c>
      <c r="AG363">
        <v>2213</v>
      </c>
      <c r="AH363">
        <v>22495</v>
      </c>
      <c r="AI363">
        <v>3</v>
      </c>
      <c r="AJ363" t="str">
        <f>_xlfn.XLOOKUP(Table1[[#This Row],[OverTime]],Table16[OverTime],Table16[Id_OverTime])</f>
        <v>OT001</v>
      </c>
      <c r="AK363" t="s">
        <v>32</v>
      </c>
      <c r="AL363">
        <v>13</v>
      </c>
      <c r="AM363" t="str">
        <f>_xlfn.XLOOKUP(Table1[[#This Row],[PerformanceRating]],Table17[PerformanceRating],Table17[Id_PerformanceRating])</f>
        <v>PR003</v>
      </c>
      <c r="AN363">
        <v>3</v>
      </c>
      <c r="AO363" t="str">
        <f>_xlfn.XLOOKUP(Table1[[#This Row],[PerformanceRating]],Table17[PerformanceRating],Table17[Deskripsi])</f>
        <v>Excellent</v>
      </c>
      <c r="AP363" t="str">
        <f>_xlfn.XLOOKUP(Table1[[#This Row],[RelationshipSatisfaction]],Table18[RelationshipSatisfaction],Table18[Id_RelationshipSatisfaction])</f>
        <v>RS003</v>
      </c>
      <c r="AQ363">
        <v>3</v>
      </c>
      <c r="AR363" t="str">
        <f>_xlfn.XLOOKUP(Table1[[#This Row],[RelationshipSatisfaction]],Table18[RelationshipSatisfaction],Table18[Deskripsi])</f>
        <v>High</v>
      </c>
      <c r="AS363" t="str">
        <f>_xlfn.XLOOKUP(Table1[[#This Row],[StockOptionLevel]],Table19[StockOptionLevel],Table19[Id_StockOptionLevel])</f>
        <v>SOL002</v>
      </c>
      <c r="AT363">
        <v>1</v>
      </c>
      <c r="AU363" t="str">
        <f>_xlfn.XLOOKUP(Table1[[#This Row],[StockOptionLevel]],Table19[StockOptionLevel],Table19[Deskripsi])</f>
        <v>Standard</v>
      </c>
      <c r="AV363">
        <v>10</v>
      </c>
      <c r="AW363">
        <v>3</v>
      </c>
      <c r="AX363" t="str">
        <f>_xlfn.XLOOKUP(Table1[[#This Row],[WorkLifeBalance]],Table20[WorkLifeBalance],Table20[Id_WorkLifeBalance])</f>
        <v>WLB002</v>
      </c>
      <c r="AY363">
        <v>3</v>
      </c>
      <c r="AZ363" t="str">
        <f>_xlfn.XLOOKUP(Table1[[#This Row],[WorkLifeBalance]],Table20[WorkLifeBalance],Table20[Deskripsi])</f>
        <v>Good</v>
      </c>
      <c r="BA363">
        <v>7</v>
      </c>
      <c r="BB363">
        <v>7</v>
      </c>
      <c r="BC363">
        <v>1</v>
      </c>
      <c r="BD363">
        <v>7</v>
      </c>
    </row>
    <row r="364" spans="1:56" x14ac:dyDescent="0.25">
      <c r="A364">
        <v>21</v>
      </c>
      <c r="B364" t="str">
        <f>_xlfn.XLOOKUP(Table1[[#This Row],[Attrition]],Table2[Attrition],Table2[Id_Attrition])</f>
        <v>A002</v>
      </c>
      <c r="C364" t="s">
        <v>33</v>
      </c>
      <c r="D364" t="str">
        <f>_xlfn.XLOOKUP(Table1[[#This Row],[BusinessTravel]],Table5[BusinessTravel],Table5[Id_BusinessTravel])</f>
        <v>BS003</v>
      </c>
      <c r="E364" t="s">
        <v>36</v>
      </c>
      <c r="F364">
        <v>895</v>
      </c>
      <c r="G364" t="str">
        <f>_xlfn.XLOOKUP(Table1[[#This Row],[Department]],Table6[Department],Table6[Id_Departement])</f>
        <v>D001</v>
      </c>
      <c r="H364" t="s">
        <v>37</v>
      </c>
      <c r="I364">
        <v>9</v>
      </c>
      <c r="J364" t="str">
        <f>_xlfn.XLOOKUP(Table1[[#This Row],[Education]],Table8[Education],Table8[Id_Education])</f>
        <v>E002</v>
      </c>
      <c r="K364">
        <v>2</v>
      </c>
      <c r="L364" t="str">
        <f>_xlfn.XLOOKUP(Table1[[#This Row],[EducationField]],Table7[EducationField],Table7[Id_EducationField])</f>
        <v>EF003</v>
      </c>
      <c r="M364" t="s">
        <v>42</v>
      </c>
      <c r="N364" t="str">
        <f>_xlfn.XLOOKUP(Table1[[#This Row],[EmployeeNumber]],Table4[EmployeeNumber],Table4[Id_Employee])</f>
        <v>EMP00363</v>
      </c>
      <c r="O364">
        <v>484</v>
      </c>
      <c r="P364" t="str">
        <f>_xlfn.XLOOKUP(Table1[[#This Row],[EnvironmentSatisfaction]],Table9[EnvironmentSatisfaction],Table9[Id_EnviromentSatisfaction])</f>
        <v>ES001</v>
      </c>
      <c r="Q364">
        <v>1</v>
      </c>
      <c r="R364" t="str">
        <f>_xlfn.XLOOKUP(Table1[[#This Row],[EnvironmentSatisfaction]],Table9[EnvironmentSatisfaction],Table9[Deskripsi])</f>
        <v>Low</v>
      </c>
      <c r="S364" t="str">
        <f>_xlfn.XLOOKUP(Table1[[#This Row],[Gender]],Table10[Gender],Table10[Id_Gender])</f>
        <v>G002</v>
      </c>
      <c r="T364" t="s">
        <v>46</v>
      </c>
      <c r="U364">
        <v>39</v>
      </c>
      <c r="V364" t="str">
        <f>_xlfn.XLOOKUP(Table1[[#This Row],[JobInvolvement]],Table11[JobInvolvement],Table11[Id_JobInvolvement])</f>
        <v>JI003</v>
      </c>
      <c r="W364">
        <v>3</v>
      </c>
      <c r="X364" t="str">
        <f>_xlfn.XLOOKUP(Table1[[#This Row],[JobLevel]],Table12[JobLevel],Table12[Id_JobLevel])</f>
        <v>JL001</v>
      </c>
      <c r="Y364">
        <v>1</v>
      </c>
      <c r="Z364" t="str">
        <f>_xlfn.XLOOKUP(Table1[[#This Row],[JobRole]],Table13[JobRole],Table13[Id_JobRole])</f>
        <v>JR007</v>
      </c>
      <c r="AA364" t="s">
        <v>53</v>
      </c>
      <c r="AB364" t="str">
        <f>_xlfn.XLOOKUP(Table1[[#This Row],[JobSatisfaction]],Table14[JobSatisfaction],Table14[Id_JobSatisfaction])</f>
        <v>JS004</v>
      </c>
      <c r="AC364">
        <v>4</v>
      </c>
      <c r="AD364" t="str">
        <f>_xlfn.XLOOKUP(Table1[[#This Row],[JobSatisfaction]],Table14[JobSatisfaction],Table14[Deskripsi])</f>
        <v>Very High</v>
      </c>
      <c r="AE364" t="str">
        <f>_xlfn.XLOOKUP(Table1[[#This Row],[MaritalStatus]],Table15[MaritalStatus],Table15[Id_MaritalStatus])</f>
        <v>MS001</v>
      </c>
      <c r="AF364" t="s">
        <v>55</v>
      </c>
      <c r="AG364">
        <v>2610</v>
      </c>
      <c r="AH364">
        <v>2851</v>
      </c>
      <c r="AI364">
        <v>1</v>
      </c>
      <c r="AJ364" t="str">
        <f>_xlfn.XLOOKUP(Table1[[#This Row],[OverTime]],Table16[OverTime],Table16[Id_OverTime])</f>
        <v>OT002</v>
      </c>
      <c r="AK364" t="s">
        <v>33</v>
      </c>
      <c r="AL364">
        <v>24</v>
      </c>
      <c r="AM364" t="str">
        <f>_xlfn.XLOOKUP(Table1[[#This Row],[PerformanceRating]],Table17[PerformanceRating],Table17[Id_PerformanceRating])</f>
        <v>PR004</v>
      </c>
      <c r="AN364">
        <v>4</v>
      </c>
      <c r="AO364" t="str">
        <f>_xlfn.XLOOKUP(Table1[[#This Row],[PerformanceRating]],Table17[PerformanceRating],Table17[Deskripsi])</f>
        <v>Outstanding</v>
      </c>
      <c r="AP364" t="str">
        <f>_xlfn.XLOOKUP(Table1[[#This Row],[RelationshipSatisfaction]],Table18[RelationshipSatisfaction],Table18[Id_RelationshipSatisfaction])</f>
        <v>RS003</v>
      </c>
      <c r="AQ364">
        <v>3</v>
      </c>
      <c r="AR364" t="str">
        <f>_xlfn.XLOOKUP(Table1[[#This Row],[RelationshipSatisfaction]],Table18[RelationshipSatisfaction],Table18[Deskripsi])</f>
        <v>High</v>
      </c>
      <c r="AS364" t="str">
        <f>_xlfn.XLOOKUP(Table1[[#This Row],[StockOptionLevel]],Table19[StockOptionLevel],Table19[Id_StockOptionLevel])</f>
        <v>SOL001</v>
      </c>
      <c r="AT364">
        <v>0</v>
      </c>
      <c r="AU364" t="str">
        <f>_xlfn.XLOOKUP(Table1[[#This Row],[StockOptionLevel]],Table19[StockOptionLevel],Table19[Deskripsi])</f>
        <v>Non-Eligible</v>
      </c>
      <c r="AV364">
        <v>3</v>
      </c>
      <c r="AW364">
        <v>3</v>
      </c>
      <c r="AX364" t="str">
        <f>_xlfn.XLOOKUP(Table1[[#This Row],[WorkLifeBalance]],Table20[WorkLifeBalance],Table20[Id_WorkLifeBalance])</f>
        <v>WLB003</v>
      </c>
      <c r="AY364">
        <v>2</v>
      </c>
      <c r="AZ364" t="str">
        <f>_xlfn.XLOOKUP(Table1[[#This Row],[WorkLifeBalance]],Table20[WorkLifeBalance],Table20[Deskripsi])</f>
        <v>Better</v>
      </c>
      <c r="BA364">
        <v>3</v>
      </c>
      <c r="BB364">
        <v>2</v>
      </c>
      <c r="BC364">
        <v>2</v>
      </c>
      <c r="BD364">
        <v>2</v>
      </c>
    </row>
    <row r="365" spans="1:56" x14ac:dyDescent="0.25">
      <c r="A365">
        <v>33</v>
      </c>
      <c r="B365" t="str">
        <f>_xlfn.XLOOKUP(Table1[[#This Row],[Attrition]],Table2[Attrition],Table2[Id_Attrition])</f>
        <v>A001</v>
      </c>
      <c r="C365" t="s">
        <v>32</v>
      </c>
      <c r="D365" t="str">
        <f>_xlfn.XLOOKUP(Table1[[#This Row],[BusinessTravel]],Table5[BusinessTravel],Table5[Id_BusinessTravel])</f>
        <v>BS001</v>
      </c>
      <c r="E365" t="s">
        <v>34</v>
      </c>
      <c r="F365">
        <v>350</v>
      </c>
      <c r="G365" t="str">
        <f>_xlfn.XLOOKUP(Table1[[#This Row],[Department]],Table6[Department],Table6[Id_Departement])</f>
        <v>D001</v>
      </c>
      <c r="H365" t="s">
        <v>37</v>
      </c>
      <c r="I365">
        <v>5</v>
      </c>
      <c r="J365" t="str">
        <f>_xlfn.XLOOKUP(Table1[[#This Row],[Education]],Table8[Education],Table8[Id_Education])</f>
        <v>E003</v>
      </c>
      <c r="K365">
        <v>3</v>
      </c>
      <c r="L365" t="str">
        <f>_xlfn.XLOOKUP(Table1[[#This Row],[EducationField]],Table7[EducationField],Table7[Id_EducationField])</f>
        <v>EF004</v>
      </c>
      <c r="M365" t="s">
        <v>43</v>
      </c>
      <c r="N365" t="str">
        <f>_xlfn.XLOOKUP(Table1[[#This Row],[EmployeeNumber]],Table4[EmployeeNumber],Table4[Id_Employee])</f>
        <v>EMP00364</v>
      </c>
      <c r="O365">
        <v>485</v>
      </c>
      <c r="P365" t="str">
        <f>_xlfn.XLOOKUP(Table1[[#This Row],[EnvironmentSatisfaction]],Table9[EnvironmentSatisfaction],Table9[Id_EnviromentSatisfaction])</f>
        <v>ES004</v>
      </c>
      <c r="Q365">
        <v>4</v>
      </c>
      <c r="R365" t="str">
        <f>_xlfn.XLOOKUP(Table1[[#This Row],[EnvironmentSatisfaction]],Table9[EnvironmentSatisfaction],Table9[Deskripsi])</f>
        <v>Very High</v>
      </c>
      <c r="S365" t="str">
        <f>_xlfn.XLOOKUP(Table1[[#This Row],[Gender]],Table10[Gender],Table10[Id_Gender])</f>
        <v>G001</v>
      </c>
      <c r="T365" t="s">
        <v>45</v>
      </c>
      <c r="U365">
        <v>34</v>
      </c>
      <c r="V365" t="str">
        <f>_xlfn.XLOOKUP(Table1[[#This Row],[JobInvolvement]],Table11[JobInvolvement],Table11[Id_JobInvolvement])</f>
        <v>JI003</v>
      </c>
      <c r="W365">
        <v>3</v>
      </c>
      <c r="X365" t="str">
        <f>_xlfn.XLOOKUP(Table1[[#This Row],[JobLevel]],Table12[JobLevel],Table12[Id_JobLevel])</f>
        <v>JL001</v>
      </c>
      <c r="Y365">
        <v>1</v>
      </c>
      <c r="Z365" t="str">
        <f>_xlfn.XLOOKUP(Table1[[#This Row],[JobRole]],Table13[JobRole],Table13[Id_JobRole])</f>
        <v>JR007</v>
      </c>
      <c r="AA365" t="s">
        <v>53</v>
      </c>
      <c r="AB365" t="str">
        <f>_xlfn.XLOOKUP(Table1[[#This Row],[JobSatisfaction]],Table14[JobSatisfaction],Table14[Id_JobSatisfaction])</f>
        <v>JS003</v>
      </c>
      <c r="AC365">
        <v>3</v>
      </c>
      <c r="AD365" t="str">
        <f>_xlfn.XLOOKUP(Table1[[#This Row],[JobSatisfaction]],Table14[JobSatisfaction],Table14[Deskripsi])</f>
        <v>High</v>
      </c>
      <c r="AE365" t="str">
        <f>_xlfn.XLOOKUP(Table1[[#This Row],[MaritalStatus]],Table15[MaritalStatus],Table15[Id_MaritalStatus])</f>
        <v>MS001</v>
      </c>
      <c r="AF365" t="s">
        <v>55</v>
      </c>
      <c r="AG365">
        <v>2851</v>
      </c>
      <c r="AH365">
        <v>9150</v>
      </c>
      <c r="AI365">
        <v>1</v>
      </c>
      <c r="AJ365" t="str">
        <f>_xlfn.XLOOKUP(Table1[[#This Row],[OverTime]],Table16[OverTime],Table16[Id_OverTime])</f>
        <v>OT001</v>
      </c>
      <c r="AK365" t="s">
        <v>32</v>
      </c>
      <c r="AL365">
        <v>13</v>
      </c>
      <c r="AM365" t="str">
        <f>_xlfn.XLOOKUP(Table1[[#This Row],[PerformanceRating]],Table17[PerformanceRating],Table17[Id_PerformanceRating])</f>
        <v>PR003</v>
      </c>
      <c r="AN365">
        <v>3</v>
      </c>
      <c r="AO365" t="str">
        <f>_xlfn.XLOOKUP(Table1[[#This Row],[PerformanceRating]],Table17[PerformanceRating],Table17[Deskripsi])</f>
        <v>Excellent</v>
      </c>
      <c r="AP365" t="str">
        <f>_xlfn.XLOOKUP(Table1[[#This Row],[RelationshipSatisfaction]],Table18[RelationshipSatisfaction],Table18[Id_RelationshipSatisfaction])</f>
        <v>RS002</v>
      </c>
      <c r="AQ365">
        <v>2</v>
      </c>
      <c r="AR365" t="str">
        <f>_xlfn.XLOOKUP(Table1[[#This Row],[RelationshipSatisfaction]],Table18[RelationshipSatisfaction],Table18[Deskripsi])</f>
        <v>Medium</v>
      </c>
      <c r="AS365" t="str">
        <f>_xlfn.XLOOKUP(Table1[[#This Row],[StockOptionLevel]],Table19[StockOptionLevel],Table19[Id_StockOptionLevel])</f>
        <v>SOL001</v>
      </c>
      <c r="AT365">
        <v>0</v>
      </c>
      <c r="AU365" t="str">
        <f>_xlfn.XLOOKUP(Table1[[#This Row],[StockOptionLevel]],Table19[StockOptionLevel],Table19[Deskripsi])</f>
        <v>Non-Eligible</v>
      </c>
      <c r="AV365">
        <v>1</v>
      </c>
      <c r="AW365">
        <v>2</v>
      </c>
      <c r="AX365" t="str">
        <f>_xlfn.XLOOKUP(Table1[[#This Row],[WorkLifeBalance]],Table20[WorkLifeBalance],Table20[Id_WorkLifeBalance])</f>
        <v>WLB002</v>
      </c>
      <c r="AY365">
        <v>3</v>
      </c>
      <c r="AZ365" t="str">
        <f>_xlfn.XLOOKUP(Table1[[#This Row],[WorkLifeBalance]],Table20[WorkLifeBalance],Table20[Deskripsi])</f>
        <v>Good</v>
      </c>
      <c r="BA365">
        <v>1</v>
      </c>
      <c r="BB365">
        <v>0</v>
      </c>
      <c r="BC365">
        <v>0</v>
      </c>
      <c r="BD365">
        <v>0</v>
      </c>
    </row>
    <row r="366" spans="1:56" x14ac:dyDescent="0.25">
      <c r="A366">
        <v>37</v>
      </c>
      <c r="B366" t="str">
        <f>_xlfn.XLOOKUP(Table1[[#This Row],[Attrition]],Table2[Attrition],Table2[Id_Attrition])</f>
        <v>A002</v>
      </c>
      <c r="C366" t="s">
        <v>33</v>
      </c>
      <c r="D366" t="str">
        <f>_xlfn.XLOOKUP(Table1[[#This Row],[BusinessTravel]],Table5[BusinessTravel],Table5[Id_BusinessTravel])</f>
        <v>BS001</v>
      </c>
      <c r="E366" t="s">
        <v>34</v>
      </c>
      <c r="F366">
        <v>921</v>
      </c>
      <c r="G366" t="str">
        <f>_xlfn.XLOOKUP(Table1[[#This Row],[Department]],Table6[Department],Table6[Id_Departement])</f>
        <v>D002</v>
      </c>
      <c r="H366" t="s">
        <v>38</v>
      </c>
      <c r="I366">
        <v>10</v>
      </c>
      <c r="J366" t="str">
        <f>_xlfn.XLOOKUP(Table1[[#This Row],[Education]],Table8[Education],Table8[Id_Education])</f>
        <v>E003</v>
      </c>
      <c r="K366">
        <v>3</v>
      </c>
      <c r="L366" t="str">
        <f>_xlfn.XLOOKUP(Table1[[#This Row],[EducationField]],Table7[EducationField],Table7[Id_EducationField])</f>
        <v>EF003</v>
      </c>
      <c r="M366" t="s">
        <v>42</v>
      </c>
      <c r="N366" t="str">
        <f>_xlfn.XLOOKUP(Table1[[#This Row],[EmployeeNumber]],Table4[EmployeeNumber],Table4[Id_Employee])</f>
        <v>EMP00365</v>
      </c>
      <c r="O366">
        <v>486</v>
      </c>
      <c r="P366" t="str">
        <f>_xlfn.XLOOKUP(Table1[[#This Row],[EnvironmentSatisfaction]],Table9[EnvironmentSatisfaction],Table9[Id_EnviromentSatisfaction])</f>
        <v>ES003</v>
      </c>
      <c r="Q366">
        <v>3</v>
      </c>
      <c r="R366" t="str">
        <f>_xlfn.XLOOKUP(Table1[[#This Row],[EnvironmentSatisfaction]],Table9[EnvironmentSatisfaction],Table9[Deskripsi])</f>
        <v>High</v>
      </c>
      <c r="S366" t="str">
        <f>_xlfn.XLOOKUP(Table1[[#This Row],[Gender]],Table10[Gender],Table10[Id_Gender])</f>
        <v>G001</v>
      </c>
      <c r="T366" t="s">
        <v>45</v>
      </c>
      <c r="U366">
        <v>98</v>
      </c>
      <c r="V366" t="str">
        <f>_xlfn.XLOOKUP(Table1[[#This Row],[JobInvolvement]],Table11[JobInvolvement],Table11[Id_JobInvolvement])</f>
        <v>JI003</v>
      </c>
      <c r="W366">
        <v>3</v>
      </c>
      <c r="X366" t="str">
        <f>_xlfn.XLOOKUP(Table1[[#This Row],[JobLevel]],Table12[JobLevel],Table12[Id_JobLevel])</f>
        <v>JL001</v>
      </c>
      <c r="Y366">
        <v>1</v>
      </c>
      <c r="Z366" t="str">
        <f>_xlfn.XLOOKUP(Table1[[#This Row],[JobRole]],Table13[JobRole],Table13[Id_JobRole])</f>
        <v>JR003</v>
      </c>
      <c r="AA366" t="s">
        <v>49</v>
      </c>
      <c r="AB366" t="str">
        <f>_xlfn.XLOOKUP(Table1[[#This Row],[JobSatisfaction]],Table14[JobSatisfaction],Table14[Id_JobSatisfaction])</f>
        <v>JS001</v>
      </c>
      <c r="AC366">
        <v>1</v>
      </c>
      <c r="AD366" t="str">
        <f>_xlfn.XLOOKUP(Table1[[#This Row],[JobSatisfaction]],Table14[JobSatisfaction],Table14[Deskripsi])</f>
        <v>Low</v>
      </c>
      <c r="AE366" t="str">
        <f>_xlfn.XLOOKUP(Table1[[#This Row],[MaritalStatus]],Table15[MaritalStatus],Table15[Id_MaritalStatus])</f>
        <v>MS002</v>
      </c>
      <c r="AF366" t="s">
        <v>56</v>
      </c>
      <c r="AG366">
        <v>3452</v>
      </c>
      <c r="AH366">
        <v>17663</v>
      </c>
      <c r="AI366">
        <v>6</v>
      </c>
      <c r="AJ366" t="str">
        <f>_xlfn.XLOOKUP(Table1[[#This Row],[OverTime]],Table16[OverTime],Table16[Id_OverTime])</f>
        <v>OT002</v>
      </c>
      <c r="AK366" t="s">
        <v>33</v>
      </c>
      <c r="AL366">
        <v>20</v>
      </c>
      <c r="AM366" t="str">
        <f>_xlfn.XLOOKUP(Table1[[#This Row],[PerformanceRating]],Table17[PerformanceRating],Table17[Id_PerformanceRating])</f>
        <v>PR004</v>
      </c>
      <c r="AN366">
        <v>4</v>
      </c>
      <c r="AO366" t="str">
        <f>_xlfn.XLOOKUP(Table1[[#This Row],[PerformanceRating]],Table17[PerformanceRating],Table17[Deskripsi])</f>
        <v>Outstanding</v>
      </c>
      <c r="AP366" t="str">
        <f>_xlfn.XLOOKUP(Table1[[#This Row],[RelationshipSatisfaction]],Table18[RelationshipSatisfaction],Table18[Id_RelationshipSatisfaction])</f>
        <v>RS002</v>
      </c>
      <c r="AQ366">
        <v>2</v>
      </c>
      <c r="AR366" t="str">
        <f>_xlfn.XLOOKUP(Table1[[#This Row],[RelationshipSatisfaction]],Table18[RelationshipSatisfaction],Table18[Deskripsi])</f>
        <v>Medium</v>
      </c>
      <c r="AS366" t="str">
        <f>_xlfn.XLOOKUP(Table1[[#This Row],[StockOptionLevel]],Table19[StockOptionLevel],Table19[Id_StockOptionLevel])</f>
        <v>SOL002</v>
      </c>
      <c r="AT366">
        <v>1</v>
      </c>
      <c r="AU366" t="str">
        <f>_xlfn.XLOOKUP(Table1[[#This Row],[StockOptionLevel]],Table19[StockOptionLevel],Table19[Deskripsi])</f>
        <v>Standard</v>
      </c>
      <c r="AV366">
        <v>17</v>
      </c>
      <c r="AW366">
        <v>3</v>
      </c>
      <c r="AX366" t="str">
        <f>_xlfn.XLOOKUP(Table1[[#This Row],[WorkLifeBalance]],Table20[WorkLifeBalance],Table20[Id_WorkLifeBalance])</f>
        <v>WLB002</v>
      </c>
      <c r="AY366">
        <v>3</v>
      </c>
      <c r="AZ366" t="str">
        <f>_xlfn.XLOOKUP(Table1[[#This Row],[WorkLifeBalance]],Table20[WorkLifeBalance],Table20[Deskripsi])</f>
        <v>Good</v>
      </c>
      <c r="BA366">
        <v>5</v>
      </c>
      <c r="BB366">
        <v>4</v>
      </c>
      <c r="BC366">
        <v>0</v>
      </c>
      <c r="BD366">
        <v>3</v>
      </c>
    </row>
    <row r="367" spans="1:56" x14ac:dyDescent="0.25">
      <c r="A367">
        <v>46</v>
      </c>
      <c r="B367" t="str">
        <f>_xlfn.XLOOKUP(Table1[[#This Row],[Attrition]],Table2[Attrition],Table2[Id_Attrition])</f>
        <v>A002</v>
      </c>
      <c r="C367" t="s">
        <v>33</v>
      </c>
      <c r="D367" t="str">
        <f>_xlfn.XLOOKUP(Table1[[#This Row],[BusinessTravel]],Table5[BusinessTravel],Table5[Id_BusinessTravel])</f>
        <v>BS003</v>
      </c>
      <c r="E367" t="s">
        <v>36</v>
      </c>
      <c r="F367">
        <v>1144</v>
      </c>
      <c r="G367" t="str">
        <f>_xlfn.XLOOKUP(Table1[[#This Row],[Department]],Table6[Department],Table6[Id_Departement])</f>
        <v>D002</v>
      </c>
      <c r="H367" t="s">
        <v>38</v>
      </c>
      <c r="I367">
        <v>7</v>
      </c>
      <c r="J367" t="str">
        <f>_xlfn.XLOOKUP(Table1[[#This Row],[Education]],Table8[Education],Table8[Id_Education])</f>
        <v>E004</v>
      </c>
      <c r="K367">
        <v>4</v>
      </c>
      <c r="L367" t="str">
        <f>_xlfn.XLOOKUP(Table1[[#This Row],[EducationField]],Table7[EducationField],Table7[Id_EducationField])</f>
        <v>EF003</v>
      </c>
      <c r="M367" t="s">
        <v>42</v>
      </c>
      <c r="N367" t="str">
        <f>_xlfn.XLOOKUP(Table1[[#This Row],[EmployeeNumber]],Table4[EmployeeNumber],Table4[Id_Employee])</f>
        <v>EMP00366</v>
      </c>
      <c r="O367">
        <v>487</v>
      </c>
      <c r="P367" t="str">
        <f>_xlfn.XLOOKUP(Table1[[#This Row],[EnvironmentSatisfaction]],Table9[EnvironmentSatisfaction],Table9[Id_EnviromentSatisfaction])</f>
        <v>ES003</v>
      </c>
      <c r="Q367">
        <v>3</v>
      </c>
      <c r="R367" t="str">
        <f>_xlfn.XLOOKUP(Table1[[#This Row],[EnvironmentSatisfaction]],Table9[EnvironmentSatisfaction],Table9[Deskripsi])</f>
        <v>High</v>
      </c>
      <c r="S367" t="str">
        <f>_xlfn.XLOOKUP(Table1[[#This Row],[Gender]],Table10[Gender],Table10[Id_Gender])</f>
        <v>G001</v>
      </c>
      <c r="T367" t="s">
        <v>45</v>
      </c>
      <c r="U367">
        <v>30</v>
      </c>
      <c r="V367" t="str">
        <f>_xlfn.XLOOKUP(Table1[[#This Row],[JobInvolvement]],Table11[JobInvolvement],Table11[Id_JobInvolvement])</f>
        <v>JI003</v>
      </c>
      <c r="W367">
        <v>3</v>
      </c>
      <c r="X367" t="str">
        <f>_xlfn.XLOOKUP(Table1[[#This Row],[JobLevel]],Table12[JobLevel],Table12[Id_JobLevel])</f>
        <v>JL002</v>
      </c>
      <c r="Y367">
        <v>2</v>
      </c>
      <c r="Z367" t="str">
        <f>_xlfn.XLOOKUP(Table1[[#This Row],[JobRole]],Table13[JobRole],Table13[Id_JobRole])</f>
        <v>JR004</v>
      </c>
      <c r="AA367" t="s">
        <v>50</v>
      </c>
      <c r="AB367" t="str">
        <f>_xlfn.XLOOKUP(Table1[[#This Row],[JobSatisfaction]],Table14[JobSatisfaction],Table14[Id_JobSatisfaction])</f>
        <v>JS003</v>
      </c>
      <c r="AC367">
        <v>3</v>
      </c>
      <c r="AD367" t="str">
        <f>_xlfn.XLOOKUP(Table1[[#This Row],[JobSatisfaction]],Table14[JobSatisfaction],Table14[Deskripsi])</f>
        <v>High</v>
      </c>
      <c r="AE367" t="str">
        <f>_xlfn.XLOOKUP(Table1[[#This Row],[MaritalStatus]],Table15[MaritalStatus],Table15[Id_MaritalStatus])</f>
        <v>MS002</v>
      </c>
      <c r="AF367" t="s">
        <v>56</v>
      </c>
      <c r="AG367">
        <v>5258</v>
      </c>
      <c r="AH367">
        <v>16044</v>
      </c>
      <c r="AI367">
        <v>2</v>
      </c>
      <c r="AJ367" t="str">
        <f>_xlfn.XLOOKUP(Table1[[#This Row],[OverTime]],Table16[OverTime],Table16[Id_OverTime])</f>
        <v>OT002</v>
      </c>
      <c r="AK367" t="s">
        <v>33</v>
      </c>
      <c r="AL367">
        <v>14</v>
      </c>
      <c r="AM367" t="str">
        <f>_xlfn.XLOOKUP(Table1[[#This Row],[PerformanceRating]],Table17[PerformanceRating],Table17[Id_PerformanceRating])</f>
        <v>PR003</v>
      </c>
      <c r="AN367">
        <v>3</v>
      </c>
      <c r="AO367" t="str">
        <f>_xlfn.XLOOKUP(Table1[[#This Row],[PerformanceRating]],Table17[PerformanceRating],Table17[Deskripsi])</f>
        <v>Excellent</v>
      </c>
      <c r="AP367" t="str">
        <f>_xlfn.XLOOKUP(Table1[[#This Row],[RelationshipSatisfaction]],Table18[RelationshipSatisfaction],Table18[Id_RelationshipSatisfaction])</f>
        <v>RS003</v>
      </c>
      <c r="AQ367">
        <v>3</v>
      </c>
      <c r="AR367" t="str">
        <f>_xlfn.XLOOKUP(Table1[[#This Row],[RelationshipSatisfaction]],Table18[RelationshipSatisfaction],Table18[Deskripsi])</f>
        <v>High</v>
      </c>
      <c r="AS367" t="str">
        <f>_xlfn.XLOOKUP(Table1[[#This Row],[StockOptionLevel]],Table19[StockOptionLevel],Table19[Id_StockOptionLevel])</f>
        <v>SOL001</v>
      </c>
      <c r="AT367">
        <v>0</v>
      </c>
      <c r="AU367" t="str">
        <f>_xlfn.XLOOKUP(Table1[[#This Row],[StockOptionLevel]],Table19[StockOptionLevel],Table19[Deskripsi])</f>
        <v>Non-Eligible</v>
      </c>
      <c r="AV367">
        <v>7</v>
      </c>
      <c r="AW367">
        <v>2</v>
      </c>
      <c r="AX367" t="str">
        <f>_xlfn.XLOOKUP(Table1[[#This Row],[WorkLifeBalance]],Table20[WorkLifeBalance],Table20[Id_WorkLifeBalance])</f>
        <v>WLB004</v>
      </c>
      <c r="AY367">
        <v>4</v>
      </c>
      <c r="AZ367" t="str">
        <f>_xlfn.XLOOKUP(Table1[[#This Row],[WorkLifeBalance]],Table20[WorkLifeBalance],Table20[Deskripsi])</f>
        <v>Best</v>
      </c>
      <c r="BA367">
        <v>1</v>
      </c>
      <c r="BB367">
        <v>0</v>
      </c>
      <c r="BC367">
        <v>0</v>
      </c>
      <c r="BD367">
        <v>0</v>
      </c>
    </row>
    <row r="368" spans="1:56" x14ac:dyDescent="0.25">
      <c r="A368">
        <v>41</v>
      </c>
      <c r="B368" t="str">
        <f>_xlfn.XLOOKUP(Table1[[#This Row],[Attrition]],Table2[Attrition],Table2[Id_Attrition])</f>
        <v>A001</v>
      </c>
      <c r="C368" t="s">
        <v>32</v>
      </c>
      <c r="D368" t="str">
        <f>_xlfn.XLOOKUP(Table1[[#This Row],[BusinessTravel]],Table5[BusinessTravel],Table5[Id_BusinessTravel])</f>
        <v>BS002</v>
      </c>
      <c r="E368" t="s">
        <v>35</v>
      </c>
      <c r="F368">
        <v>143</v>
      </c>
      <c r="G368" t="str">
        <f>_xlfn.XLOOKUP(Table1[[#This Row],[Department]],Table6[Department],Table6[Id_Departement])</f>
        <v>D001</v>
      </c>
      <c r="H368" t="s">
        <v>37</v>
      </c>
      <c r="I368">
        <v>4</v>
      </c>
      <c r="J368" t="str">
        <f>_xlfn.XLOOKUP(Table1[[#This Row],[Education]],Table8[Education],Table8[Id_Education])</f>
        <v>E003</v>
      </c>
      <c r="K368">
        <v>3</v>
      </c>
      <c r="L368" t="str">
        <f>_xlfn.XLOOKUP(Table1[[#This Row],[EducationField]],Table7[EducationField],Table7[Id_EducationField])</f>
        <v>EF004</v>
      </c>
      <c r="M368" t="s">
        <v>43</v>
      </c>
      <c r="N368" t="str">
        <f>_xlfn.XLOOKUP(Table1[[#This Row],[EmployeeNumber]],Table4[EmployeeNumber],Table4[Id_Employee])</f>
        <v>EMP00367</v>
      </c>
      <c r="O368">
        <v>488</v>
      </c>
      <c r="P368" t="str">
        <f>_xlfn.XLOOKUP(Table1[[#This Row],[EnvironmentSatisfaction]],Table9[EnvironmentSatisfaction],Table9[Id_EnviromentSatisfaction])</f>
        <v>ES001</v>
      </c>
      <c r="Q368">
        <v>1</v>
      </c>
      <c r="R368" t="str">
        <f>_xlfn.XLOOKUP(Table1[[#This Row],[EnvironmentSatisfaction]],Table9[EnvironmentSatisfaction],Table9[Deskripsi])</f>
        <v>Low</v>
      </c>
      <c r="S368" t="str">
        <f>_xlfn.XLOOKUP(Table1[[#This Row],[Gender]],Table10[Gender],Table10[Id_Gender])</f>
        <v>G002</v>
      </c>
      <c r="T368" t="s">
        <v>46</v>
      </c>
      <c r="U368">
        <v>56</v>
      </c>
      <c r="V368" t="str">
        <f>_xlfn.XLOOKUP(Table1[[#This Row],[JobInvolvement]],Table11[JobInvolvement],Table11[Id_JobInvolvement])</f>
        <v>JI003</v>
      </c>
      <c r="W368">
        <v>3</v>
      </c>
      <c r="X368" t="str">
        <f>_xlfn.XLOOKUP(Table1[[#This Row],[JobLevel]],Table12[JobLevel],Table12[Id_JobLevel])</f>
        <v>JL002</v>
      </c>
      <c r="Y368">
        <v>2</v>
      </c>
      <c r="Z368" t="str">
        <f>_xlfn.XLOOKUP(Table1[[#This Row],[JobRole]],Table13[JobRole],Table13[Id_JobRole])</f>
        <v>JR001</v>
      </c>
      <c r="AA368" t="s">
        <v>47</v>
      </c>
      <c r="AB368" t="str">
        <f>_xlfn.XLOOKUP(Table1[[#This Row],[JobSatisfaction]],Table14[JobSatisfaction],Table14[Id_JobSatisfaction])</f>
        <v>JS002</v>
      </c>
      <c r="AC368">
        <v>2</v>
      </c>
      <c r="AD368" t="str">
        <f>_xlfn.XLOOKUP(Table1[[#This Row],[JobSatisfaction]],Table14[JobSatisfaction],Table14[Deskripsi])</f>
        <v>Medium</v>
      </c>
      <c r="AE368" t="str">
        <f>_xlfn.XLOOKUP(Table1[[#This Row],[MaritalStatus]],Table15[MaritalStatus],Table15[Id_MaritalStatus])</f>
        <v>MS001</v>
      </c>
      <c r="AF368" t="s">
        <v>55</v>
      </c>
      <c r="AG368">
        <v>9355</v>
      </c>
      <c r="AH368">
        <v>9558</v>
      </c>
      <c r="AI368">
        <v>1</v>
      </c>
      <c r="AJ368" t="str">
        <f>_xlfn.XLOOKUP(Table1[[#This Row],[OverTime]],Table16[OverTime],Table16[Id_OverTime])</f>
        <v>OT002</v>
      </c>
      <c r="AK368" t="s">
        <v>33</v>
      </c>
      <c r="AL368">
        <v>18</v>
      </c>
      <c r="AM368" t="str">
        <f>_xlfn.XLOOKUP(Table1[[#This Row],[PerformanceRating]],Table17[PerformanceRating],Table17[Id_PerformanceRating])</f>
        <v>PR003</v>
      </c>
      <c r="AN368">
        <v>3</v>
      </c>
      <c r="AO368" t="str">
        <f>_xlfn.XLOOKUP(Table1[[#This Row],[PerformanceRating]],Table17[PerformanceRating],Table17[Deskripsi])</f>
        <v>Excellent</v>
      </c>
      <c r="AP368" t="str">
        <f>_xlfn.XLOOKUP(Table1[[#This Row],[RelationshipSatisfaction]],Table18[RelationshipSatisfaction],Table18[Id_RelationshipSatisfaction])</f>
        <v>RS003</v>
      </c>
      <c r="AQ368">
        <v>3</v>
      </c>
      <c r="AR368" t="str">
        <f>_xlfn.XLOOKUP(Table1[[#This Row],[RelationshipSatisfaction]],Table18[RelationshipSatisfaction],Table18[Deskripsi])</f>
        <v>High</v>
      </c>
      <c r="AS368" t="str">
        <f>_xlfn.XLOOKUP(Table1[[#This Row],[StockOptionLevel]],Table19[StockOptionLevel],Table19[Id_StockOptionLevel])</f>
        <v>SOL001</v>
      </c>
      <c r="AT368">
        <v>0</v>
      </c>
      <c r="AU368" t="str">
        <f>_xlfn.XLOOKUP(Table1[[#This Row],[StockOptionLevel]],Table19[StockOptionLevel],Table19[Deskripsi])</f>
        <v>Non-Eligible</v>
      </c>
      <c r="AV368">
        <v>8</v>
      </c>
      <c r="AW368">
        <v>5</v>
      </c>
      <c r="AX368" t="str">
        <f>_xlfn.XLOOKUP(Table1[[#This Row],[WorkLifeBalance]],Table20[WorkLifeBalance],Table20[Id_WorkLifeBalance])</f>
        <v>WLB002</v>
      </c>
      <c r="AY368">
        <v>3</v>
      </c>
      <c r="AZ368" t="str">
        <f>_xlfn.XLOOKUP(Table1[[#This Row],[WorkLifeBalance]],Table20[WorkLifeBalance],Table20[Deskripsi])</f>
        <v>Good</v>
      </c>
      <c r="BA368">
        <v>8</v>
      </c>
      <c r="BB368">
        <v>7</v>
      </c>
      <c r="BC368">
        <v>7</v>
      </c>
      <c r="BD368">
        <v>7</v>
      </c>
    </row>
    <row r="369" spans="1:56" x14ac:dyDescent="0.25">
      <c r="A369">
        <v>50</v>
      </c>
      <c r="B369" t="str">
        <f>_xlfn.XLOOKUP(Table1[[#This Row],[Attrition]],Table2[Attrition],Table2[Id_Attrition])</f>
        <v>A002</v>
      </c>
      <c r="C369" t="s">
        <v>33</v>
      </c>
      <c r="D369" t="str">
        <f>_xlfn.XLOOKUP(Table1[[#This Row],[BusinessTravel]],Table5[BusinessTravel],Table5[Id_BusinessTravel])</f>
        <v>BS001</v>
      </c>
      <c r="E369" t="s">
        <v>34</v>
      </c>
      <c r="F369">
        <v>1046</v>
      </c>
      <c r="G369" t="str">
        <f>_xlfn.XLOOKUP(Table1[[#This Row],[Department]],Table6[Department],Table6[Id_Departement])</f>
        <v>D002</v>
      </c>
      <c r="H369" t="s">
        <v>38</v>
      </c>
      <c r="I369">
        <v>10</v>
      </c>
      <c r="J369" t="str">
        <f>_xlfn.XLOOKUP(Table1[[#This Row],[Education]],Table8[Education],Table8[Id_Education])</f>
        <v>E003</v>
      </c>
      <c r="K369">
        <v>3</v>
      </c>
      <c r="L369" t="str">
        <f>_xlfn.XLOOKUP(Table1[[#This Row],[EducationField]],Table7[EducationField],Table7[Id_EducationField])</f>
        <v>EF005</v>
      </c>
      <c r="M369" t="s">
        <v>44</v>
      </c>
      <c r="N369" t="str">
        <f>_xlfn.XLOOKUP(Table1[[#This Row],[EmployeeNumber]],Table4[EmployeeNumber],Table4[Id_Employee])</f>
        <v>EMP00368</v>
      </c>
      <c r="O369">
        <v>491</v>
      </c>
      <c r="P369" t="str">
        <f>_xlfn.XLOOKUP(Table1[[#This Row],[EnvironmentSatisfaction]],Table9[EnvironmentSatisfaction],Table9[Id_EnviromentSatisfaction])</f>
        <v>ES004</v>
      </c>
      <c r="Q369">
        <v>4</v>
      </c>
      <c r="R369" t="str">
        <f>_xlfn.XLOOKUP(Table1[[#This Row],[EnvironmentSatisfaction]],Table9[EnvironmentSatisfaction],Table9[Deskripsi])</f>
        <v>Very High</v>
      </c>
      <c r="S369" t="str">
        <f>_xlfn.XLOOKUP(Table1[[#This Row],[Gender]],Table10[Gender],Table10[Id_Gender])</f>
        <v>G002</v>
      </c>
      <c r="T369" t="s">
        <v>46</v>
      </c>
      <c r="U369">
        <v>100</v>
      </c>
      <c r="V369" t="str">
        <f>_xlfn.XLOOKUP(Table1[[#This Row],[JobInvolvement]],Table11[JobInvolvement],Table11[Id_JobInvolvement])</f>
        <v>JI002</v>
      </c>
      <c r="W369">
        <v>2</v>
      </c>
      <c r="X369" t="str">
        <f>_xlfn.XLOOKUP(Table1[[#This Row],[JobLevel]],Table12[JobLevel],Table12[Id_JobLevel])</f>
        <v>JL003</v>
      </c>
      <c r="Y369">
        <v>3</v>
      </c>
      <c r="Z369" t="str">
        <f>_xlfn.XLOOKUP(Table1[[#This Row],[JobRole]],Table13[JobRole],Table13[Id_JobRole])</f>
        <v>JR005</v>
      </c>
      <c r="AA369" t="s">
        <v>51</v>
      </c>
      <c r="AB369" t="str">
        <f>_xlfn.XLOOKUP(Table1[[#This Row],[JobSatisfaction]],Table14[JobSatisfaction],Table14[Id_JobSatisfaction])</f>
        <v>JS004</v>
      </c>
      <c r="AC369">
        <v>4</v>
      </c>
      <c r="AD369" t="str">
        <f>_xlfn.XLOOKUP(Table1[[#This Row],[JobSatisfaction]],Table14[JobSatisfaction],Table14[Deskripsi])</f>
        <v>Very High</v>
      </c>
      <c r="AE369" t="str">
        <f>_xlfn.XLOOKUP(Table1[[#This Row],[MaritalStatus]],Table15[MaritalStatus],Table15[Id_MaritalStatus])</f>
        <v>MS001</v>
      </c>
      <c r="AF369" t="s">
        <v>55</v>
      </c>
      <c r="AG369">
        <v>10496</v>
      </c>
      <c r="AH369">
        <v>2755</v>
      </c>
      <c r="AI369">
        <v>6</v>
      </c>
      <c r="AJ369" t="str">
        <f>_xlfn.XLOOKUP(Table1[[#This Row],[OverTime]],Table16[OverTime],Table16[Id_OverTime])</f>
        <v>OT002</v>
      </c>
      <c r="AK369" t="s">
        <v>33</v>
      </c>
      <c r="AL369">
        <v>15</v>
      </c>
      <c r="AM369" t="str">
        <f>_xlfn.XLOOKUP(Table1[[#This Row],[PerformanceRating]],Table17[PerformanceRating],Table17[Id_PerformanceRating])</f>
        <v>PR003</v>
      </c>
      <c r="AN369">
        <v>3</v>
      </c>
      <c r="AO369" t="str">
        <f>_xlfn.XLOOKUP(Table1[[#This Row],[PerformanceRating]],Table17[PerformanceRating],Table17[Deskripsi])</f>
        <v>Excellent</v>
      </c>
      <c r="AP369" t="str">
        <f>_xlfn.XLOOKUP(Table1[[#This Row],[RelationshipSatisfaction]],Table18[RelationshipSatisfaction],Table18[Id_RelationshipSatisfaction])</f>
        <v>RS004</v>
      </c>
      <c r="AQ369">
        <v>4</v>
      </c>
      <c r="AR369" t="str">
        <f>_xlfn.XLOOKUP(Table1[[#This Row],[RelationshipSatisfaction]],Table18[RelationshipSatisfaction],Table18[Deskripsi])</f>
        <v>Very High</v>
      </c>
      <c r="AS369" t="str">
        <f>_xlfn.XLOOKUP(Table1[[#This Row],[StockOptionLevel]],Table19[StockOptionLevel],Table19[Id_StockOptionLevel])</f>
        <v>SOL001</v>
      </c>
      <c r="AT369">
        <v>0</v>
      </c>
      <c r="AU369" t="str">
        <f>_xlfn.XLOOKUP(Table1[[#This Row],[StockOptionLevel]],Table19[StockOptionLevel],Table19[Deskripsi])</f>
        <v>Non-Eligible</v>
      </c>
      <c r="AV369">
        <v>20</v>
      </c>
      <c r="AW369">
        <v>2</v>
      </c>
      <c r="AX369" t="str">
        <f>_xlfn.XLOOKUP(Table1[[#This Row],[WorkLifeBalance]],Table20[WorkLifeBalance],Table20[Id_WorkLifeBalance])</f>
        <v>WLB002</v>
      </c>
      <c r="AY369">
        <v>3</v>
      </c>
      <c r="AZ369" t="str">
        <f>_xlfn.XLOOKUP(Table1[[#This Row],[WorkLifeBalance]],Table20[WorkLifeBalance],Table20[Deskripsi])</f>
        <v>Good</v>
      </c>
      <c r="BA369">
        <v>4</v>
      </c>
      <c r="BB369">
        <v>3</v>
      </c>
      <c r="BC369">
        <v>1</v>
      </c>
      <c r="BD369">
        <v>3</v>
      </c>
    </row>
    <row r="370" spans="1:56" x14ac:dyDescent="0.25">
      <c r="A370">
        <v>40</v>
      </c>
      <c r="B370" t="str">
        <f>_xlfn.XLOOKUP(Table1[[#This Row],[Attrition]],Table2[Attrition],Table2[Id_Attrition])</f>
        <v>A001</v>
      </c>
      <c r="C370" t="s">
        <v>32</v>
      </c>
      <c r="D370" t="str">
        <f>_xlfn.XLOOKUP(Table1[[#This Row],[BusinessTravel]],Table5[BusinessTravel],Table5[Id_BusinessTravel])</f>
        <v>BS001</v>
      </c>
      <c r="E370" t="s">
        <v>34</v>
      </c>
      <c r="F370">
        <v>575</v>
      </c>
      <c r="G370" t="str">
        <f>_xlfn.XLOOKUP(Table1[[#This Row],[Department]],Table6[Department],Table6[Id_Departement])</f>
        <v>D001</v>
      </c>
      <c r="H370" t="s">
        <v>37</v>
      </c>
      <c r="I370">
        <v>22</v>
      </c>
      <c r="J370" t="str">
        <f>_xlfn.XLOOKUP(Table1[[#This Row],[Education]],Table8[Education],Table8[Id_Education])</f>
        <v>E002</v>
      </c>
      <c r="K370">
        <v>2</v>
      </c>
      <c r="L370" t="str">
        <f>_xlfn.XLOOKUP(Table1[[#This Row],[EducationField]],Table7[EducationField],Table7[Id_EducationField])</f>
        <v>EF004</v>
      </c>
      <c r="M370" t="s">
        <v>43</v>
      </c>
      <c r="N370" t="str">
        <f>_xlfn.XLOOKUP(Table1[[#This Row],[EmployeeNumber]],Table4[EmployeeNumber],Table4[Id_Employee])</f>
        <v>EMP00369</v>
      </c>
      <c r="O370">
        <v>492</v>
      </c>
      <c r="P370" t="str">
        <f>_xlfn.XLOOKUP(Table1[[#This Row],[EnvironmentSatisfaction]],Table9[EnvironmentSatisfaction],Table9[Id_EnviromentSatisfaction])</f>
        <v>ES003</v>
      </c>
      <c r="Q370">
        <v>3</v>
      </c>
      <c r="R370" t="str">
        <f>_xlfn.XLOOKUP(Table1[[#This Row],[EnvironmentSatisfaction]],Table9[EnvironmentSatisfaction],Table9[Deskripsi])</f>
        <v>High</v>
      </c>
      <c r="S370" t="str">
        <f>_xlfn.XLOOKUP(Table1[[#This Row],[Gender]],Table10[Gender],Table10[Id_Gender])</f>
        <v>G002</v>
      </c>
      <c r="T370" t="s">
        <v>46</v>
      </c>
      <c r="U370">
        <v>68</v>
      </c>
      <c r="V370" t="str">
        <f>_xlfn.XLOOKUP(Table1[[#This Row],[JobInvolvement]],Table11[JobInvolvement],Table11[Id_JobInvolvement])</f>
        <v>JI002</v>
      </c>
      <c r="W370">
        <v>2</v>
      </c>
      <c r="X370" t="str">
        <f>_xlfn.XLOOKUP(Table1[[#This Row],[JobLevel]],Table12[JobLevel],Table12[Id_JobLevel])</f>
        <v>JL002</v>
      </c>
      <c r="Y370">
        <v>2</v>
      </c>
      <c r="Z370" t="str">
        <f>_xlfn.XLOOKUP(Table1[[#This Row],[JobRole]],Table13[JobRole],Table13[Id_JobRole])</f>
        <v>JR001</v>
      </c>
      <c r="AA370" t="s">
        <v>47</v>
      </c>
      <c r="AB370" t="str">
        <f>_xlfn.XLOOKUP(Table1[[#This Row],[JobSatisfaction]],Table14[JobSatisfaction],Table14[Id_JobSatisfaction])</f>
        <v>JS003</v>
      </c>
      <c r="AC370">
        <v>3</v>
      </c>
      <c r="AD370" t="str">
        <f>_xlfn.XLOOKUP(Table1[[#This Row],[JobSatisfaction]],Table14[JobSatisfaction],Table14[Deskripsi])</f>
        <v>High</v>
      </c>
      <c r="AE370" t="str">
        <f>_xlfn.XLOOKUP(Table1[[#This Row],[MaritalStatus]],Table15[MaritalStatus],Table15[Id_MaritalStatus])</f>
        <v>MS002</v>
      </c>
      <c r="AF370" t="s">
        <v>56</v>
      </c>
      <c r="AG370">
        <v>6380</v>
      </c>
      <c r="AH370">
        <v>6110</v>
      </c>
      <c r="AI370">
        <v>2</v>
      </c>
      <c r="AJ370" t="str">
        <f>_xlfn.XLOOKUP(Table1[[#This Row],[OverTime]],Table16[OverTime],Table16[Id_OverTime])</f>
        <v>OT001</v>
      </c>
      <c r="AK370" t="s">
        <v>32</v>
      </c>
      <c r="AL370">
        <v>12</v>
      </c>
      <c r="AM370" t="str">
        <f>_xlfn.XLOOKUP(Table1[[#This Row],[PerformanceRating]],Table17[PerformanceRating],Table17[Id_PerformanceRating])</f>
        <v>PR003</v>
      </c>
      <c r="AN370">
        <v>3</v>
      </c>
      <c r="AO370" t="str">
        <f>_xlfn.XLOOKUP(Table1[[#This Row],[PerformanceRating]],Table17[PerformanceRating],Table17[Deskripsi])</f>
        <v>Excellent</v>
      </c>
      <c r="AP370" t="str">
        <f>_xlfn.XLOOKUP(Table1[[#This Row],[RelationshipSatisfaction]],Table18[RelationshipSatisfaction],Table18[Id_RelationshipSatisfaction])</f>
        <v>RS001</v>
      </c>
      <c r="AQ370">
        <v>1</v>
      </c>
      <c r="AR370" t="str">
        <f>_xlfn.XLOOKUP(Table1[[#This Row],[RelationshipSatisfaction]],Table18[RelationshipSatisfaction],Table18[Deskripsi])</f>
        <v>Low</v>
      </c>
      <c r="AS370" t="str">
        <f>_xlfn.XLOOKUP(Table1[[#This Row],[StockOptionLevel]],Table19[StockOptionLevel],Table19[Id_StockOptionLevel])</f>
        <v>SOL003</v>
      </c>
      <c r="AT370">
        <v>2</v>
      </c>
      <c r="AU370" t="str">
        <f>_xlfn.XLOOKUP(Table1[[#This Row],[StockOptionLevel]],Table19[StockOptionLevel],Table19[Deskripsi])</f>
        <v>Intermediate</v>
      </c>
      <c r="AV370">
        <v>8</v>
      </c>
      <c r="AW370">
        <v>6</v>
      </c>
      <c r="AX370" t="str">
        <f>_xlfn.XLOOKUP(Table1[[#This Row],[WorkLifeBalance]],Table20[WorkLifeBalance],Table20[Id_WorkLifeBalance])</f>
        <v>WLB002</v>
      </c>
      <c r="AY370">
        <v>3</v>
      </c>
      <c r="AZ370" t="str">
        <f>_xlfn.XLOOKUP(Table1[[#This Row],[WorkLifeBalance]],Table20[WorkLifeBalance],Table20[Deskripsi])</f>
        <v>Good</v>
      </c>
      <c r="BA370">
        <v>6</v>
      </c>
      <c r="BB370">
        <v>4</v>
      </c>
      <c r="BC370">
        <v>1</v>
      </c>
      <c r="BD370">
        <v>0</v>
      </c>
    </row>
    <row r="371" spans="1:56" x14ac:dyDescent="0.25">
      <c r="A371">
        <v>31</v>
      </c>
      <c r="B371" t="str">
        <f>_xlfn.XLOOKUP(Table1[[#This Row],[Attrition]],Table2[Attrition],Table2[Id_Attrition])</f>
        <v>A002</v>
      </c>
      <c r="C371" t="s">
        <v>33</v>
      </c>
      <c r="D371" t="str">
        <f>_xlfn.XLOOKUP(Table1[[#This Row],[BusinessTravel]],Table5[BusinessTravel],Table5[Id_BusinessTravel])</f>
        <v>BS001</v>
      </c>
      <c r="E371" t="s">
        <v>34</v>
      </c>
      <c r="F371">
        <v>408</v>
      </c>
      <c r="G371" t="str">
        <f>_xlfn.XLOOKUP(Table1[[#This Row],[Department]],Table6[Department],Table6[Id_Departement])</f>
        <v>D002</v>
      </c>
      <c r="H371" t="s">
        <v>38</v>
      </c>
      <c r="I371">
        <v>9</v>
      </c>
      <c r="J371" t="str">
        <f>_xlfn.XLOOKUP(Table1[[#This Row],[Education]],Table8[Education],Table8[Id_Education])</f>
        <v>E004</v>
      </c>
      <c r="K371">
        <v>4</v>
      </c>
      <c r="L371" t="str">
        <f>_xlfn.XLOOKUP(Table1[[#This Row],[EducationField]],Table7[EducationField],Table7[Id_EducationField])</f>
        <v>EF001</v>
      </c>
      <c r="M371" t="s">
        <v>40</v>
      </c>
      <c r="N371" t="str">
        <f>_xlfn.XLOOKUP(Table1[[#This Row],[EmployeeNumber]],Table4[EmployeeNumber],Table4[Id_Employee])</f>
        <v>EMP00370</v>
      </c>
      <c r="O371">
        <v>493</v>
      </c>
      <c r="P371" t="str">
        <f>_xlfn.XLOOKUP(Table1[[#This Row],[EnvironmentSatisfaction]],Table9[EnvironmentSatisfaction],Table9[Id_EnviromentSatisfaction])</f>
        <v>ES003</v>
      </c>
      <c r="Q371">
        <v>3</v>
      </c>
      <c r="R371" t="str">
        <f>_xlfn.XLOOKUP(Table1[[#This Row],[EnvironmentSatisfaction]],Table9[EnvironmentSatisfaction],Table9[Deskripsi])</f>
        <v>High</v>
      </c>
      <c r="S371" t="str">
        <f>_xlfn.XLOOKUP(Table1[[#This Row],[Gender]],Table10[Gender],Table10[Id_Gender])</f>
        <v>G002</v>
      </c>
      <c r="T371" t="s">
        <v>46</v>
      </c>
      <c r="U371">
        <v>42</v>
      </c>
      <c r="V371" t="str">
        <f>_xlfn.XLOOKUP(Table1[[#This Row],[JobInvolvement]],Table11[JobInvolvement],Table11[Id_JobInvolvement])</f>
        <v>JI002</v>
      </c>
      <c r="W371">
        <v>2</v>
      </c>
      <c r="X371" t="str">
        <f>_xlfn.XLOOKUP(Table1[[#This Row],[JobLevel]],Table12[JobLevel],Table12[Id_JobLevel])</f>
        <v>JL001</v>
      </c>
      <c r="Y371">
        <v>1</v>
      </c>
      <c r="Z371" t="str">
        <f>_xlfn.XLOOKUP(Table1[[#This Row],[JobRole]],Table13[JobRole],Table13[Id_JobRole])</f>
        <v>JR002</v>
      </c>
      <c r="AA371" t="s">
        <v>48</v>
      </c>
      <c r="AB371" t="str">
        <f>_xlfn.XLOOKUP(Table1[[#This Row],[JobSatisfaction]],Table14[JobSatisfaction],Table14[Id_JobSatisfaction])</f>
        <v>JS002</v>
      </c>
      <c r="AC371">
        <v>2</v>
      </c>
      <c r="AD371" t="str">
        <f>_xlfn.XLOOKUP(Table1[[#This Row],[JobSatisfaction]],Table14[JobSatisfaction],Table14[Deskripsi])</f>
        <v>Medium</v>
      </c>
      <c r="AE371" t="str">
        <f>_xlfn.XLOOKUP(Table1[[#This Row],[MaritalStatus]],Table15[MaritalStatus],Table15[Id_MaritalStatus])</f>
        <v>MS001</v>
      </c>
      <c r="AF371" t="s">
        <v>55</v>
      </c>
      <c r="AG371">
        <v>2657</v>
      </c>
      <c r="AH371">
        <v>7551</v>
      </c>
      <c r="AI371">
        <v>0</v>
      </c>
      <c r="AJ371" t="str">
        <f>_xlfn.XLOOKUP(Table1[[#This Row],[OverTime]],Table16[OverTime],Table16[Id_OverTime])</f>
        <v>OT001</v>
      </c>
      <c r="AK371" t="s">
        <v>32</v>
      </c>
      <c r="AL371">
        <v>16</v>
      </c>
      <c r="AM371" t="str">
        <f>_xlfn.XLOOKUP(Table1[[#This Row],[PerformanceRating]],Table17[PerformanceRating],Table17[Id_PerformanceRating])</f>
        <v>PR003</v>
      </c>
      <c r="AN371">
        <v>3</v>
      </c>
      <c r="AO371" t="str">
        <f>_xlfn.XLOOKUP(Table1[[#This Row],[PerformanceRating]],Table17[PerformanceRating],Table17[Deskripsi])</f>
        <v>Excellent</v>
      </c>
      <c r="AP371" t="str">
        <f>_xlfn.XLOOKUP(Table1[[#This Row],[RelationshipSatisfaction]],Table18[RelationshipSatisfaction],Table18[Id_RelationshipSatisfaction])</f>
        <v>RS004</v>
      </c>
      <c r="AQ371">
        <v>4</v>
      </c>
      <c r="AR371" t="str">
        <f>_xlfn.XLOOKUP(Table1[[#This Row],[RelationshipSatisfaction]],Table18[RelationshipSatisfaction],Table18[Deskripsi])</f>
        <v>Very High</v>
      </c>
      <c r="AS371" t="str">
        <f>_xlfn.XLOOKUP(Table1[[#This Row],[StockOptionLevel]],Table19[StockOptionLevel],Table19[Id_StockOptionLevel])</f>
        <v>SOL001</v>
      </c>
      <c r="AT371">
        <v>0</v>
      </c>
      <c r="AU371" t="str">
        <f>_xlfn.XLOOKUP(Table1[[#This Row],[StockOptionLevel]],Table19[StockOptionLevel],Table19[Deskripsi])</f>
        <v>Non-Eligible</v>
      </c>
      <c r="AV371">
        <v>3</v>
      </c>
      <c r="AW371">
        <v>5</v>
      </c>
      <c r="AX371" t="str">
        <f>_xlfn.XLOOKUP(Table1[[#This Row],[WorkLifeBalance]],Table20[WorkLifeBalance],Table20[Id_WorkLifeBalance])</f>
        <v>WLB002</v>
      </c>
      <c r="AY371">
        <v>3</v>
      </c>
      <c r="AZ371" t="str">
        <f>_xlfn.XLOOKUP(Table1[[#This Row],[WorkLifeBalance]],Table20[WorkLifeBalance],Table20[Deskripsi])</f>
        <v>Good</v>
      </c>
      <c r="BA371">
        <v>2</v>
      </c>
      <c r="BB371">
        <v>2</v>
      </c>
      <c r="BC371">
        <v>2</v>
      </c>
      <c r="BD371">
        <v>2</v>
      </c>
    </row>
    <row r="372" spans="1:56" x14ac:dyDescent="0.25">
      <c r="A372">
        <v>21</v>
      </c>
      <c r="B372" t="str">
        <f>_xlfn.XLOOKUP(Table1[[#This Row],[Attrition]],Table2[Attrition],Table2[Id_Attrition])</f>
        <v>A001</v>
      </c>
      <c r="C372" t="s">
        <v>32</v>
      </c>
      <c r="D372" t="str">
        <f>_xlfn.XLOOKUP(Table1[[#This Row],[BusinessTravel]],Table5[BusinessTravel],Table5[Id_BusinessTravel])</f>
        <v>BS001</v>
      </c>
      <c r="E372" t="s">
        <v>34</v>
      </c>
      <c r="F372">
        <v>156</v>
      </c>
      <c r="G372" t="str">
        <f>_xlfn.XLOOKUP(Table1[[#This Row],[Department]],Table6[Department],Table6[Id_Departement])</f>
        <v>D001</v>
      </c>
      <c r="H372" t="s">
        <v>37</v>
      </c>
      <c r="I372">
        <v>12</v>
      </c>
      <c r="J372" t="str">
        <f>_xlfn.XLOOKUP(Table1[[#This Row],[Education]],Table8[Education],Table8[Id_Education])</f>
        <v>E003</v>
      </c>
      <c r="K372">
        <v>3</v>
      </c>
      <c r="L372" t="str">
        <f>_xlfn.XLOOKUP(Table1[[#This Row],[EducationField]],Table7[EducationField],Table7[Id_EducationField])</f>
        <v>EF001</v>
      </c>
      <c r="M372" t="s">
        <v>40</v>
      </c>
      <c r="N372" t="str">
        <f>_xlfn.XLOOKUP(Table1[[#This Row],[EmployeeNumber]],Table4[EmployeeNumber],Table4[Id_Employee])</f>
        <v>EMP00371</v>
      </c>
      <c r="O372">
        <v>494</v>
      </c>
      <c r="P372" t="str">
        <f>_xlfn.XLOOKUP(Table1[[#This Row],[EnvironmentSatisfaction]],Table9[EnvironmentSatisfaction],Table9[Id_EnviromentSatisfaction])</f>
        <v>ES003</v>
      </c>
      <c r="Q372">
        <v>3</v>
      </c>
      <c r="R372" t="str">
        <f>_xlfn.XLOOKUP(Table1[[#This Row],[EnvironmentSatisfaction]],Table9[EnvironmentSatisfaction],Table9[Deskripsi])</f>
        <v>High</v>
      </c>
      <c r="S372" t="str">
        <f>_xlfn.XLOOKUP(Table1[[#This Row],[Gender]],Table10[Gender],Table10[Id_Gender])</f>
        <v>G001</v>
      </c>
      <c r="T372" t="s">
        <v>45</v>
      </c>
      <c r="U372">
        <v>90</v>
      </c>
      <c r="V372" t="str">
        <f>_xlfn.XLOOKUP(Table1[[#This Row],[JobInvolvement]],Table11[JobInvolvement],Table11[Id_JobInvolvement])</f>
        <v>JI004</v>
      </c>
      <c r="W372">
        <v>4</v>
      </c>
      <c r="X372" t="str">
        <f>_xlfn.XLOOKUP(Table1[[#This Row],[JobLevel]],Table12[JobLevel],Table12[Id_JobLevel])</f>
        <v>JL001</v>
      </c>
      <c r="Y372">
        <v>1</v>
      </c>
      <c r="Z372" t="str">
        <f>_xlfn.XLOOKUP(Table1[[#This Row],[JobRole]],Table13[JobRole],Table13[Id_JobRole])</f>
        <v>JR007</v>
      </c>
      <c r="AA372" t="s">
        <v>53</v>
      </c>
      <c r="AB372" t="str">
        <f>_xlfn.XLOOKUP(Table1[[#This Row],[JobSatisfaction]],Table14[JobSatisfaction],Table14[Id_JobSatisfaction])</f>
        <v>JS002</v>
      </c>
      <c r="AC372">
        <v>2</v>
      </c>
      <c r="AD372" t="str">
        <f>_xlfn.XLOOKUP(Table1[[#This Row],[JobSatisfaction]],Table14[JobSatisfaction],Table14[Deskripsi])</f>
        <v>Medium</v>
      </c>
      <c r="AE372" t="str">
        <f>_xlfn.XLOOKUP(Table1[[#This Row],[MaritalStatus]],Table15[MaritalStatus],Table15[Id_MaritalStatus])</f>
        <v>MS001</v>
      </c>
      <c r="AF372" t="s">
        <v>55</v>
      </c>
      <c r="AG372">
        <v>2716</v>
      </c>
      <c r="AH372">
        <v>25422</v>
      </c>
      <c r="AI372">
        <v>1</v>
      </c>
      <c r="AJ372" t="str">
        <f>_xlfn.XLOOKUP(Table1[[#This Row],[OverTime]],Table16[OverTime],Table16[Id_OverTime])</f>
        <v>OT002</v>
      </c>
      <c r="AK372" t="s">
        <v>33</v>
      </c>
      <c r="AL372">
        <v>15</v>
      </c>
      <c r="AM372" t="str">
        <f>_xlfn.XLOOKUP(Table1[[#This Row],[PerformanceRating]],Table17[PerformanceRating],Table17[Id_PerformanceRating])</f>
        <v>PR003</v>
      </c>
      <c r="AN372">
        <v>3</v>
      </c>
      <c r="AO372" t="str">
        <f>_xlfn.XLOOKUP(Table1[[#This Row],[PerformanceRating]],Table17[PerformanceRating],Table17[Deskripsi])</f>
        <v>Excellent</v>
      </c>
      <c r="AP372" t="str">
        <f>_xlfn.XLOOKUP(Table1[[#This Row],[RelationshipSatisfaction]],Table18[RelationshipSatisfaction],Table18[Id_RelationshipSatisfaction])</f>
        <v>RS004</v>
      </c>
      <c r="AQ372">
        <v>4</v>
      </c>
      <c r="AR372" t="str">
        <f>_xlfn.XLOOKUP(Table1[[#This Row],[RelationshipSatisfaction]],Table18[RelationshipSatisfaction],Table18[Deskripsi])</f>
        <v>Very High</v>
      </c>
      <c r="AS372" t="str">
        <f>_xlfn.XLOOKUP(Table1[[#This Row],[StockOptionLevel]],Table19[StockOptionLevel],Table19[Id_StockOptionLevel])</f>
        <v>SOL001</v>
      </c>
      <c r="AT372">
        <v>0</v>
      </c>
      <c r="AU372" t="str">
        <f>_xlfn.XLOOKUP(Table1[[#This Row],[StockOptionLevel]],Table19[StockOptionLevel],Table19[Deskripsi])</f>
        <v>Non-Eligible</v>
      </c>
      <c r="AV372">
        <v>1</v>
      </c>
      <c r="AW372">
        <v>0</v>
      </c>
      <c r="AX372" t="str">
        <f>_xlfn.XLOOKUP(Table1[[#This Row],[WorkLifeBalance]],Table20[WorkLifeBalance],Table20[Id_WorkLifeBalance])</f>
        <v>WLB002</v>
      </c>
      <c r="AY372">
        <v>3</v>
      </c>
      <c r="AZ372" t="str">
        <f>_xlfn.XLOOKUP(Table1[[#This Row],[WorkLifeBalance]],Table20[WorkLifeBalance],Table20[Deskripsi])</f>
        <v>Good</v>
      </c>
      <c r="BA372">
        <v>1</v>
      </c>
      <c r="BB372">
        <v>0</v>
      </c>
      <c r="BC372">
        <v>0</v>
      </c>
      <c r="BD372">
        <v>0</v>
      </c>
    </row>
    <row r="373" spans="1:56" x14ac:dyDescent="0.25">
      <c r="A373">
        <v>29</v>
      </c>
      <c r="B373" t="str">
        <f>_xlfn.XLOOKUP(Table1[[#This Row],[Attrition]],Table2[Attrition],Table2[Id_Attrition])</f>
        <v>A002</v>
      </c>
      <c r="C373" t="s">
        <v>33</v>
      </c>
      <c r="D373" t="str">
        <f>_xlfn.XLOOKUP(Table1[[#This Row],[BusinessTravel]],Table5[BusinessTravel],Table5[Id_BusinessTravel])</f>
        <v>BS001</v>
      </c>
      <c r="E373" t="s">
        <v>34</v>
      </c>
      <c r="F373">
        <v>1283</v>
      </c>
      <c r="G373" t="str">
        <f>_xlfn.XLOOKUP(Table1[[#This Row],[Department]],Table6[Department],Table6[Id_Departement])</f>
        <v>D002</v>
      </c>
      <c r="H373" t="s">
        <v>38</v>
      </c>
      <c r="I373">
        <v>23</v>
      </c>
      <c r="J373" t="str">
        <f>_xlfn.XLOOKUP(Table1[[#This Row],[Education]],Table8[Education],Table8[Id_Education])</f>
        <v>E003</v>
      </c>
      <c r="K373">
        <v>3</v>
      </c>
      <c r="L373" t="str">
        <f>_xlfn.XLOOKUP(Table1[[#This Row],[EducationField]],Table7[EducationField],Table7[Id_EducationField])</f>
        <v>EF001</v>
      </c>
      <c r="M373" t="s">
        <v>40</v>
      </c>
      <c r="N373" t="str">
        <f>_xlfn.XLOOKUP(Table1[[#This Row],[EmployeeNumber]],Table4[EmployeeNumber],Table4[Id_Employee])</f>
        <v>EMP00372</v>
      </c>
      <c r="O373">
        <v>495</v>
      </c>
      <c r="P373" t="str">
        <f>_xlfn.XLOOKUP(Table1[[#This Row],[EnvironmentSatisfaction]],Table9[EnvironmentSatisfaction],Table9[Id_EnviromentSatisfaction])</f>
        <v>ES004</v>
      </c>
      <c r="Q373">
        <v>4</v>
      </c>
      <c r="R373" t="str">
        <f>_xlfn.XLOOKUP(Table1[[#This Row],[EnvironmentSatisfaction]],Table9[EnvironmentSatisfaction],Table9[Deskripsi])</f>
        <v>Very High</v>
      </c>
      <c r="S373" t="str">
        <f>_xlfn.XLOOKUP(Table1[[#This Row],[Gender]],Table10[Gender],Table10[Id_Gender])</f>
        <v>G002</v>
      </c>
      <c r="T373" t="s">
        <v>46</v>
      </c>
      <c r="U373">
        <v>54</v>
      </c>
      <c r="V373" t="str">
        <f>_xlfn.XLOOKUP(Table1[[#This Row],[JobInvolvement]],Table11[JobInvolvement],Table11[Id_JobInvolvement])</f>
        <v>JI003</v>
      </c>
      <c r="W373">
        <v>3</v>
      </c>
      <c r="X373" t="str">
        <f>_xlfn.XLOOKUP(Table1[[#This Row],[JobLevel]],Table12[JobLevel],Table12[Id_JobLevel])</f>
        <v>JL001</v>
      </c>
      <c r="Y373">
        <v>1</v>
      </c>
      <c r="Z373" t="str">
        <f>_xlfn.XLOOKUP(Table1[[#This Row],[JobRole]],Table13[JobRole],Table13[Id_JobRole])</f>
        <v>JR002</v>
      </c>
      <c r="AA373" t="s">
        <v>48</v>
      </c>
      <c r="AB373" t="str">
        <f>_xlfn.XLOOKUP(Table1[[#This Row],[JobSatisfaction]],Table14[JobSatisfaction],Table14[Id_JobSatisfaction])</f>
        <v>JS004</v>
      </c>
      <c r="AC373">
        <v>4</v>
      </c>
      <c r="AD373" t="str">
        <f>_xlfn.XLOOKUP(Table1[[#This Row],[JobSatisfaction]],Table14[JobSatisfaction],Table14[Deskripsi])</f>
        <v>Very High</v>
      </c>
      <c r="AE373" t="str">
        <f>_xlfn.XLOOKUP(Table1[[#This Row],[MaritalStatus]],Table15[MaritalStatus],Table15[Id_MaritalStatus])</f>
        <v>MS001</v>
      </c>
      <c r="AF373" t="s">
        <v>55</v>
      </c>
      <c r="AG373">
        <v>2201</v>
      </c>
      <c r="AH373">
        <v>18168</v>
      </c>
      <c r="AI373">
        <v>9</v>
      </c>
      <c r="AJ373" t="str">
        <f>_xlfn.XLOOKUP(Table1[[#This Row],[OverTime]],Table16[OverTime],Table16[Id_OverTime])</f>
        <v>OT002</v>
      </c>
      <c r="AK373" t="s">
        <v>33</v>
      </c>
      <c r="AL373">
        <v>16</v>
      </c>
      <c r="AM373" t="str">
        <f>_xlfn.XLOOKUP(Table1[[#This Row],[PerformanceRating]],Table17[PerformanceRating],Table17[Id_PerformanceRating])</f>
        <v>PR003</v>
      </c>
      <c r="AN373">
        <v>3</v>
      </c>
      <c r="AO373" t="str">
        <f>_xlfn.XLOOKUP(Table1[[#This Row],[PerformanceRating]],Table17[PerformanceRating],Table17[Deskripsi])</f>
        <v>Excellent</v>
      </c>
      <c r="AP373" t="str">
        <f>_xlfn.XLOOKUP(Table1[[#This Row],[RelationshipSatisfaction]],Table18[RelationshipSatisfaction],Table18[Id_RelationshipSatisfaction])</f>
        <v>RS004</v>
      </c>
      <c r="AQ373">
        <v>4</v>
      </c>
      <c r="AR373" t="str">
        <f>_xlfn.XLOOKUP(Table1[[#This Row],[RelationshipSatisfaction]],Table18[RelationshipSatisfaction],Table18[Deskripsi])</f>
        <v>Very High</v>
      </c>
      <c r="AS373" t="str">
        <f>_xlfn.XLOOKUP(Table1[[#This Row],[StockOptionLevel]],Table19[StockOptionLevel],Table19[Id_StockOptionLevel])</f>
        <v>SOL001</v>
      </c>
      <c r="AT373">
        <v>0</v>
      </c>
      <c r="AU373" t="str">
        <f>_xlfn.XLOOKUP(Table1[[#This Row],[StockOptionLevel]],Table19[StockOptionLevel],Table19[Deskripsi])</f>
        <v>Non-Eligible</v>
      </c>
      <c r="AV373">
        <v>6</v>
      </c>
      <c r="AW373">
        <v>4</v>
      </c>
      <c r="AX373" t="str">
        <f>_xlfn.XLOOKUP(Table1[[#This Row],[WorkLifeBalance]],Table20[WorkLifeBalance],Table20[Id_WorkLifeBalance])</f>
        <v>WLB002</v>
      </c>
      <c r="AY373">
        <v>3</v>
      </c>
      <c r="AZ373" t="str">
        <f>_xlfn.XLOOKUP(Table1[[#This Row],[WorkLifeBalance]],Table20[WorkLifeBalance],Table20[Deskripsi])</f>
        <v>Good</v>
      </c>
      <c r="BA373">
        <v>3</v>
      </c>
      <c r="BB373">
        <v>2</v>
      </c>
      <c r="BC373">
        <v>1</v>
      </c>
      <c r="BD373">
        <v>2</v>
      </c>
    </row>
    <row r="374" spans="1:56" x14ac:dyDescent="0.25">
      <c r="A374">
        <v>35</v>
      </c>
      <c r="B374" t="str">
        <f>_xlfn.XLOOKUP(Table1[[#This Row],[Attrition]],Table2[Attrition],Table2[Id_Attrition])</f>
        <v>A002</v>
      </c>
      <c r="C374" t="s">
        <v>33</v>
      </c>
      <c r="D374" t="str">
        <f>_xlfn.XLOOKUP(Table1[[#This Row],[BusinessTravel]],Table5[BusinessTravel],Table5[Id_BusinessTravel])</f>
        <v>BS001</v>
      </c>
      <c r="E374" t="s">
        <v>34</v>
      </c>
      <c r="F374">
        <v>755</v>
      </c>
      <c r="G374" t="str">
        <f>_xlfn.XLOOKUP(Table1[[#This Row],[Department]],Table6[Department],Table6[Id_Departement])</f>
        <v>D002</v>
      </c>
      <c r="H374" t="s">
        <v>38</v>
      </c>
      <c r="I374">
        <v>9</v>
      </c>
      <c r="J374" t="str">
        <f>_xlfn.XLOOKUP(Table1[[#This Row],[Education]],Table8[Education],Table8[Id_Education])</f>
        <v>E004</v>
      </c>
      <c r="K374">
        <v>4</v>
      </c>
      <c r="L374" t="str">
        <f>_xlfn.XLOOKUP(Table1[[#This Row],[EducationField]],Table7[EducationField],Table7[Id_EducationField])</f>
        <v>EF001</v>
      </c>
      <c r="M374" t="s">
        <v>40</v>
      </c>
      <c r="N374" t="str">
        <f>_xlfn.XLOOKUP(Table1[[#This Row],[EmployeeNumber]],Table4[EmployeeNumber],Table4[Id_Employee])</f>
        <v>EMP00373</v>
      </c>
      <c r="O374">
        <v>496</v>
      </c>
      <c r="P374" t="str">
        <f>_xlfn.XLOOKUP(Table1[[#This Row],[EnvironmentSatisfaction]],Table9[EnvironmentSatisfaction],Table9[Id_EnviromentSatisfaction])</f>
        <v>ES003</v>
      </c>
      <c r="Q374">
        <v>3</v>
      </c>
      <c r="R374" t="str">
        <f>_xlfn.XLOOKUP(Table1[[#This Row],[EnvironmentSatisfaction]],Table9[EnvironmentSatisfaction],Table9[Deskripsi])</f>
        <v>High</v>
      </c>
      <c r="S374" t="str">
        <f>_xlfn.XLOOKUP(Table1[[#This Row],[Gender]],Table10[Gender],Table10[Id_Gender])</f>
        <v>G002</v>
      </c>
      <c r="T374" t="s">
        <v>46</v>
      </c>
      <c r="U374">
        <v>97</v>
      </c>
      <c r="V374" t="str">
        <f>_xlfn.XLOOKUP(Table1[[#This Row],[JobInvolvement]],Table11[JobInvolvement],Table11[Id_JobInvolvement])</f>
        <v>JI002</v>
      </c>
      <c r="W374">
        <v>2</v>
      </c>
      <c r="X374" t="str">
        <f>_xlfn.XLOOKUP(Table1[[#This Row],[JobLevel]],Table12[JobLevel],Table12[Id_JobLevel])</f>
        <v>JL002</v>
      </c>
      <c r="Y374">
        <v>2</v>
      </c>
      <c r="Z374" t="str">
        <f>_xlfn.XLOOKUP(Table1[[#This Row],[JobRole]],Table13[JobRole],Table13[Id_JobRole])</f>
        <v>JR005</v>
      </c>
      <c r="AA374" t="s">
        <v>51</v>
      </c>
      <c r="AB374" t="str">
        <f>_xlfn.XLOOKUP(Table1[[#This Row],[JobSatisfaction]],Table14[JobSatisfaction],Table14[Id_JobSatisfaction])</f>
        <v>JS002</v>
      </c>
      <c r="AC374">
        <v>2</v>
      </c>
      <c r="AD374" t="str">
        <f>_xlfn.XLOOKUP(Table1[[#This Row],[JobSatisfaction]],Table14[JobSatisfaction],Table14[Deskripsi])</f>
        <v>Medium</v>
      </c>
      <c r="AE374" t="str">
        <f>_xlfn.XLOOKUP(Table1[[#This Row],[MaritalStatus]],Table15[MaritalStatus],Table15[Id_MaritalStatus])</f>
        <v>MS001</v>
      </c>
      <c r="AF374" t="s">
        <v>55</v>
      </c>
      <c r="AG374">
        <v>6540</v>
      </c>
      <c r="AH374">
        <v>19394</v>
      </c>
      <c r="AI374">
        <v>9</v>
      </c>
      <c r="AJ374" t="str">
        <f>_xlfn.XLOOKUP(Table1[[#This Row],[OverTime]],Table16[OverTime],Table16[Id_OverTime])</f>
        <v>OT002</v>
      </c>
      <c r="AK374" t="s">
        <v>33</v>
      </c>
      <c r="AL374">
        <v>19</v>
      </c>
      <c r="AM374" t="str">
        <f>_xlfn.XLOOKUP(Table1[[#This Row],[PerformanceRating]],Table17[PerformanceRating],Table17[Id_PerformanceRating])</f>
        <v>PR003</v>
      </c>
      <c r="AN374">
        <v>3</v>
      </c>
      <c r="AO374" t="str">
        <f>_xlfn.XLOOKUP(Table1[[#This Row],[PerformanceRating]],Table17[PerformanceRating],Table17[Deskripsi])</f>
        <v>Excellent</v>
      </c>
      <c r="AP374" t="str">
        <f>_xlfn.XLOOKUP(Table1[[#This Row],[RelationshipSatisfaction]],Table18[RelationshipSatisfaction],Table18[Id_RelationshipSatisfaction])</f>
        <v>RS003</v>
      </c>
      <c r="AQ374">
        <v>3</v>
      </c>
      <c r="AR374" t="str">
        <f>_xlfn.XLOOKUP(Table1[[#This Row],[RelationshipSatisfaction]],Table18[RelationshipSatisfaction],Table18[Deskripsi])</f>
        <v>High</v>
      </c>
      <c r="AS374" t="str">
        <f>_xlfn.XLOOKUP(Table1[[#This Row],[StockOptionLevel]],Table19[StockOptionLevel],Table19[Id_StockOptionLevel])</f>
        <v>SOL001</v>
      </c>
      <c r="AT374">
        <v>0</v>
      </c>
      <c r="AU374" t="str">
        <f>_xlfn.XLOOKUP(Table1[[#This Row],[StockOptionLevel]],Table19[StockOptionLevel],Table19[Deskripsi])</f>
        <v>Non-Eligible</v>
      </c>
      <c r="AV374">
        <v>10</v>
      </c>
      <c r="AW374">
        <v>5</v>
      </c>
      <c r="AX374" t="str">
        <f>_xlfn.XLOOKUP(Table1[[#This Row],[WorkLifeBalance]],Table20[WorkLifeBalance],Table20[Id_WorkLifeBalance])</f>
        <v>WLB002</v>
      </c>
      <c r="AY374">
        <v>3</v>
      </c>
      <c r="AZ374" t="str">
        <f>_xlfn.XLOOKUP(Table1[[#This Row],[WorkLifeBalance]],Table20[WorkLifeBalance],Table20[Deskripsi])</f>
        <v>Good</v>
      </c>
      <c r="BA374">
        <v>1</v>
      </c>
      <c r="BB374">
        <v>1</v>
      </c>
      <c r="BC374">
        <v>0</v>
      </c>
      <c r="BD374">
        <v>0</v>
      </c>
    </row>
    <row r="375" spans="1:56" x14ac:dyDescent="0.25">
      <c r="A375">
        <v>27</v>
      </c>
      <c r="B375" t="str">
        <f>_xlfn.XLOOKUP(Table1[[#This Row],[Attrition]],Table2[Attrition],Table2[Id_Attrition])</f>
        <v>A002</v>
      </c>
      <c r="C375" t="s">
        <v>33</v>
      </c>
      <c r="D375" t="str">
        <f>_xlfn.XLOOKUP(Table1[[#This Row],[BusinessTravel]],Table5[BusinessTravel],Table5[Id_BusinessTravel])</f>
        <v>BS001</v>
      </c>
      <c r="E375" t="s">
        <v>34</v>
      </c>
      <c r="F375">
        <v>1469</v>
      </c>
      <c r="G375" t="str">
        <f>_xlfn.XLOOKUP(Table1[[#This Row],[Department]],Table6[Department],Table6[Id_Departement])</f>
        <v>D002</v>
      </c>
      <c r="H375" t="s">
        <v>38</v>
      </c>
      <c r="I375">
        <v>1</v>
      </c>
      <c r="J375" t="str">
        <f>_xlfn.XLOOKUP(Table1[[#This Row],[Education]],Table8[Education],Table8[Id_Education])</f>
        <v>E002</v>
      </c>
      <c r="K375">
        <v>2</v>
      </c>
      <c r="L375" t="str">
        <f>_xlfn.XLOOKUP(Table1[[#This Row],[EducationField]],Table7[EducationField],Table7[Id_EducationField])</f>
        <v>EF003</v>
      </c>
      <c r="M375" t="s">
        <v>42</v>
      </c>
      <c r="N375" t="str">
        <f>_xlfn.XLOOKUP(Table1[[#This Row],[EmployeeNumber]],Table4[EmployeeNumber],Table4[Id_Employee])</f>
        <v>EMP00374</v>
      </c>
      <c r="O375">
        <v>497</v>
      </c>
      <c r="P375" t="str">
        <f>_xlfn.XLOOKUP(Table1[[#This Row],[EnvironmentSatisfaction]],Table9[EnvironmentSatisfaction],Table9[Id_EnviromentSatisfaction])</f>
        <v>ES004</v>
      </c>
      <c r="Q375">
        <v>4</v>
      </c>
      <c r="R375" t="str">
        <f>_xlfn.XLOOKUP(Table1[[#This Row],[EnvironmentSatisfaction]],Table9[EnvironmentSatisfaction],Table9[Deskripsi])</f>
        <v>Very High</v>
      </c>
      <c r="S375" t="str">
        <f>_xlfn.XLOOKUP(Table1[[#This Row],[Gender]],Table10[Gender],Table10[Id_Gender])</f>
        <v>G002</v>
      </c>
      <c r="T375" t="s">
        <v>46</v>
      </c>
      <c r="U375">
        <v>82</v>
      </c>
      <c r="V375" t="str">
        <f>_xlfn.XLOOKUP(Table1[[#This Row],[JobInvolvement]],Table11[JobInvolvement],Table11[Id_JobInvolvement])</f>
        <v>JI003</v>
      </c>
      <c r="W375">
        <v>3</v>
      </c>
      <c r="X375" t="str">
        <f>_xlfn.XLOOKUP(Table1[[#This Row],[JobLevel]],Table12[JobLevel],Table12[Id_JobLevel])</f>
        <v>JL001</v>
      </c>
      <c r="Y375">
        <v>1</v>
      </c>
      <c r="Z375" t="str">
        <f>_xlfn.XLOOKUP(Table1[[#This Row],[JobRole]],Table13[JobRole],Table13[Id_JobRole])</f>
        <v>JR003</v>
      </c>
      <c r="AA375" t="s">
        <v>49</v>
      </c>
      <c r="AB375" t="str">
        <f>_xlfn.XLOOKUP(Table1[[#This Row],[JobSatisfaction]],Table14[JobSatisfaction],Table14[Id_JobSatisfaction])</f>
        <v>JS002</v>
      </c>
      <c r="AC375">
        <v>2</v>
      </c>
      <c r="AD375" t="str">
        <f>_xlfn.XLOOKUP(Table1[[#This Row],[JobSatisfaction]],Table14[JobSatisfaction],Table14[Deskripsi])</f>
        <v>Medium</v>
      </c>
      <c r="AE375" t="str">
        <f>_xlfn.XLOOKUP(Table1[[#This Row],[MaritalStatus]],Table15[MaritalStatus],Table15[Id_MaritalStatus])</f>
        <v>MS003</v>
      </c>
      <c r="AF375" t="s">
        <v>57</v>
      </c>
      <c r="AG375">
        <v>3816</v>
      </c>
      <c r="AH375">
        <v>17881</v>
      </c>
      <c r="AI375">
        <v>1</v>
      </c>
      <c r="AJ375" t="str">
        <f>_xlfn.XLOOKUP(Table1[[#This Row],[OverTime]],Table16[OverTime],Table16[Id_OverTime])</f>
        <v>OT002</v>
      </c>
      <c r="AK375" t="s">
        <v>33</v>
      </c>
      <c r="AL375">
        <v>11</v>
      </c>
      <c r="AM375" t="str">
        <f>_xlfn.XLOOKUP(Table1[[#This Row],[PerformanceRating]],Table17[PerformanceRating],Table17[Id_PerformanceRating])</f>
        <v>PR003</v>
      </c>
      <c r="AN375">
        <v>3</v>
      </c>
      <c r="AO375" t="str">
        <f>_xlfn.XLOOKUP(Table1[[#This Row],[PerformanceRating]],Table17[PerformanceRating],Table17[Deskripsi])</f>
        <v>Excellent</v>
      </c>
      <c r="AP375" t="str">
        <f>_xlfn.XLOOKUP(Table1[[#This Row],[RelationshipSatisfaction]],Table18[RelationshipSatisfaction],Table18[Id_RelationshipSatisfaction])</f>
        <v>RS002</v>
      </c>
      <c r="AQ375">
        <v>2</v>
      </c>
      <c r="AR375" t="str">
        <f>_xlfn.XLOOKUP(Table1[[#This Row],[RelationshipSatisfaction]],Table18[RelationshipSatisfaction],Table18[Deskripsi])</f>
        <v>Medium</v>
      </c>
      <c r="AS375" t="str">
        <f>_xlfn.XLOOKUP(Table1[[#This Row],[StockOptionLevel]],Table19[StockOptionLevel],Table19[Id_StockOptionLevel])</f>
        <v>SOL002</v>
      </c>
      <c r="AT375">
        <v>1</v>
      </c>
      <c r="AU375" t="str">
        <f>_xlfn.XLOOKUP(Table1[[#This Row],[StockOptionLevel]],Table19[StockOptionLevel],Table19[Deskripsi])</f>
        <v>Standard</v>
      </c>
      <c r="AV375">
        <v>5</v>
      </c>
      <c r="AW375">
        <v>2</v>
      </c>
      <c r="AX375" t="str">
        <f>_xlfn.XLOOKUP(Table1[[#This Row],[WorkLifeBalance]],Table20[WorkLifeBalance],Table20[Id_WorkLifeBalance])</f>
        <v>WLB002</v>
      </c>
      <c r="AY375">
        <v>3</v>
      </c>
      <c r="AZ375" t="str">
        <f>_xlfn.XLOOKUP(Table1[[#This Row],[WorkLifeBalance]],Table20[WorkLifeBalance],Table20[Deskripsi])</f>
        <v>Good</v>
      </c>
      <c r="BA375">
        <v>5</v>
      </c>
      <c r="BB375">
        <v>2</v>
      </c>
      <c r="BC375">
        <v>0</v>
      </c>
      <c r="BD375">
        <v>4</v>
      </c>
    </row>
    <row r="376" spans="1:56" x14ac:dyDescent="0.25">
      <c r="A376">
        <v>28</v>
      </c>
      <c r="B376" t="str">
        <f>_xlfn.XLOOKUP(Table1[[#This Row],[Attrition]],Table2[Attrition],Table2[Id_Attrition])</f>
        <v>A002</v>
      </c>
      <c r="C376" t="s">
        <v>33</v>
      </c>
      <c r="D376" t="str">
        <f>_xlfn.XLOOKUP(Table1[[#This Row],[BusinessTravel]],Table5[BusinessTravel],Table5[Id_BusinessTravel])</f>
        <v>BS001</v>
      </c>
      <c r="E376" t="s">
        <v>34</v>
      </c>
      <c r="F376">
        <v>304</v>
      </c>
      <c r="G376" t="str">
        <f>_xlfn.XLOOKUP(Table1[[#This Row],[Department]],Table6[Department],Table6[Id_Departement])</f>
        <v>D001</v>
      </c>
      <c r="H376" t="s">
        <v>37</v>
      </c>
      <c r="I376">
        <v>9</v>
      </c>
      <c r="J376" t="str">
        <f>_xlfn.XLOOKUP(Table1[[#This Row],[Education]],Table8[Education],Table8[Id_Education])</f>
        <v>E004</v>
      </c>
      <c r="K376">
        <v>4</v>
      </c>
      <c r="L376" t="str">
        <f>_xlfn.XLOOKUP(Table1[[#This Row],[EducationField]],Table7[EducationField],Table7[Id_EducationField])</f>
        <v>EF001</v>
      </c>
      <c r="M376" t="s">
        <v>40</v>
      </c>
      <c r="N376" t="str">
        <f>_xlfn.XLOOKUP(Table1[[#This Row],[EmployeeNumber]],Table4[EmployeeNumber],Table4[Id_Employee])</f>
        <v>EMP00375</v>
      </c>
      <c r="O376">
        <v>498</v>
      </c>
      <c r="P376" t="str">
        <f>_xlfn.XLOOKUP(Table1[[#This Row],[EnvironmentSatisfaction]],Table9[EnvironmentSatisfaction],Table9[Id_EnviromentSatisfaction])</f>
        <v>ES002</v>
      </c>
      <c r="Q376">
        <v>2</v>
      </c>
      <c r="R376" t="str">
        <f>_xlfn.XLOOKUP(Table1[[#This Row],[EnvironmentSatisfaction]],Table9[EnvironmentSatisfaction],Table9[Deskripsi])</f>
        <v>Medium</v>
      </c>
      <c r="S376" t="str">
        <f>_xlfn.XLOOKUP(Table1[[#This Row],[Gender]],Table10[Gender],Table10[Id_Gender])</f>
        <v>G002</v>
      </c>
      <c r="T376" t="s">
        <v>46</v>
      </c>
      <c r="U376">
        <v>92</v>
      </c>
      <c r="V376" t="str">
        <f>_xlfn.XLOOKUP(Table1[[#This Row],[JobInvolvement]],Table11[JobInvolvement],Table11[Id_JobInvolvement])</f>
        <v>JI003</v>
      </c>
      <c r="W376">
        <v>3</v>
      </c>
      <c r="X376" t="str">
        <f>_xlfn.XLOOKUP(Table1[[#This Row],[JobLevel]],Table12[JobLevel],Table12[Id_JobLevel])</f>
        <v>JL002</v>
      </c>
      <c r="Y376">
        <v>2</v>
      </c>
      <c r="Z376" t="str">
        <f>_xlfn.XLOOKUP(Table1[[#This Row],[JobRole]],Table13[JobRole],Table13[Id_JobRole])</f>
        <v>JR001</v>
      </c>
      <c r="AA376" t="s">
        <v>47</v>
      </c>
      <c r="AB376" t="str">
        <f>_xlfn.XLOOKUP(Table1[[#This Row],[JobSatisfaction]],Table14[JobSatisfaction],Table14[Id_JobSatisfaction])</f>
        <v>JS004</v>
      </c>
      <c r="AC376">
        <v>4</v>
      </c>
      <c r="AD376" t="str">
        <f>_xlfn.XLOOKUP(Table1[[#This Row],[JobSatisfaction]],Table14[JobSatisfaction],Table14[Deskripsi])</f>
        <v>Very High</v>
      </c>
      <c r="AE376" t="str">
        <f>_xlfn.XLOOKUP(Table1[[#This Row],[MaritalStatus]],Table15[MaritalStatus],Table15[Id_MaritalStatus])</f>
        <v>MS001</v>
      </c>
      <c r="AF376" t="s">
        <v>55</v>
      </c>
      <c r="AG376">
        <v>5253</v>
      </c>
      <c r="AH376">
        <v>20750</v>
      </c>
      <c r="AI376">
        <v>1</v>
      </c>
      <c r="AJ376" t="str">
        <f>_xlfn.XLOOKUP(Table1[[#This Row],[OverTime]],Table16[OverTime],Table16[Id_OverTime])</f>
        <v>OT002</v>
      </c>
      <c r="AK376" t="s">
        <v>33</v>
      </c>
      <c r="AL376">
        <v>16</v>
      </c>
      <c r="AM376" t="str">
        <f>_xlfn.XLOOKUP(Table1[[#This Row],[PerformanceRating]],Table17[PerformanceRating],Table17[Id_PerformanceRating])</f>
        <v>PR003</v>
      </c>
      <c r="AN376">
        <v>3</v>
      </c>
      <c r="AO376" t="str">
        <f>_xlfn.XLOOKUP(Table1[[#This Row],[PerformanceRating]],Table17[PerformanceRating],Table17[Deskripsi])</f>
        <v>Excellent</v>
      </c>
      <c r="AP376" t="str">
        <f>_xlfn.XLOOKUP(Table1[[#This Row],[RelationshipSatisfaction]],Table18[RelationshipSatisfaction],Table18[Id_RelationshipSatisfaction])</f>
        <v>RS004</v>
      </c>
      <c r="AQ376">
        <v>4</v>
      </c>
      <c r="AR376" t="str">
        <f>_xlfn.XLOOKUP(Table1[[#This Row],[RelationshipSatisfaction]],Table18[RelationshipSatisfaction],Table18[Deskripsi])</f>
        <v>Very High</v>
      </c>
      <c r="AS376" t="str">
        <f>_xlfn.XLOOKUP(Table1[[#This Row],[StockOptionLevel]],Table19[StockOptionLevel],Table19[Id_StockOptionLevel])</f>
        <v>SOL001</v>
      </c>
      <c r="AT376">
        <v>0</v>
      </c>
      <c r="AU376" t="str">
        <f>_xlfn.XLOOKUP(Table1[[#This Row],[StockOptionLevel]],Table19[StockOptionLevel],Table19[Deskripsi])</f>
        <v>Non-Eligible</v>
      </c>
      <c r="AV376">
        <v>7</v>
      </c>
      <c r="AW376">
        <v>1</v>
      </c>
      <c r="AX376" t="str">
        <f>_xlfn.XLOOKUP(Table1[[#This Row],[WorkLifeBalance]],Table20[WorkLifeBalance],Table20[Id_WorkLifeBalance])</f>
        <v>WLB002</v>
      </c>
      <c r="AY376">
        <v>3</v>
      </c>
      <c r="AZ376" t="str">
        <f>_xlfn.XLOOKUP(Table1[[#This Row],[WorkLifeBalance]],Table20[WorkLifeBalance],Table20[Deskripsi])</f>
        <v>Good</v>
      </c>
      <c r="BA376">
        <v>7</v>
      </c>
      <c r="BB376">
        <v>5</v>
      </c>
      <c r="BC376">
        <v>0</v>
      </c>
      <c r="BD376">
        <v>7</v>
      </c>
    </row>
    <row r="377" spans="1:56" x14ac:dyDescent="0.25">
      <c r="A377">
        <v>49</v>
      </c>
      <c r="B377" t="str">
        <f>_xlfn.XLOOKUP(Table1[[#This Row],[Attrition]],Table2[Attrition],Table2[Id_Attrition])</f>
        <v>A002</v>
      </c>
      <c r="C377" t="s">
        <v>33</v>
      </c>
      <c r="D377" t="str">
        <f>_xlfn.XLOOKUP(Table1[[#This Row],[BusinessTravel]],Table5[BusinessTravel],Table5[Id_BusinessTravel])</f>
        <v>BS001</v>
      </c>
      <c r="E377" t="s">
        <v>34</v>
      </c>
      <c r="F377">
        <v>1261</v>
      </c>
      <c r="G377" t="str">
        <f>_xlfn.XLOOKUP(Table1[[#This Row],[Department]],Table6[Department],Table6[Id_Departement])</f>
        <v>D002</v>
      </c>
      <c r="H377" t="s">
        <v>38</v>
      </c>
      <c r="I377">
        <v>7</v>
      </c>
      <c r="J377" t="str">
        <f>_xlfn.XLOOKUP(Table1[[#This Row],[Education]],Table8[Education],Table8[Id_Education])</f>
        <v>E003</v>
      </c>
      <c r="K377">
        <v>3</v>
      </c>
      <c r="L377" t="str">
        <f>_xlfn.XLOOKUP(Table1[[#This Row],[EducationField]],Table7[EducationField],Table7[Id_EducationField])</f>
        <v>EF002</v>
      </c>
      <c r="M377" t="s">
        <v>41</v>
      </c>
      <c r="N377" t="str">
        <f>_xlfn.XLOOKUP(Table1[[#This Row],[EmployeeNumber]],Table4[EmployeeNumber],Table4[Id_Employee])</f>
        <v>EMP00376</v>
      </c>
      <c r="O377">
        <v>499</v>
      </c>
      <c r="P377" t="str">
        <f>_xlfn.XLOOKUP(Table1[[#This Row],[EnvironmentSatisfaction]],Table9[EnvironmentSatisfaction],Table9[Id_EnviromentSatisfaction])</f>
        <v>ES002</v>
      </c>
      <c r="Q377">
        <v>2</v>
      </c>
      <c r="R377" t="str">
        <f>_xlfn.XLOOKUP(Table1[[#This Row],[EnvironmentSatisfaction]],Table9[EnvironmentSatisfaction],Table9[Deskripsi])</f>
        <v>Medium</v>
      </c>
      <c r="S377" t="str">
        <f>_xlfn.XLOOKUP(Table1[[#This Row],[Gender]],Table10[Gender],Table10[Id_Gender])</f>
        <v>G002</v>
      </c>
      <c r="T377" t="s">
        <v>46</v>
      </c>
      <c r="U377">
        <v>31</v>
      </c>
      <c r="V377" t="str">
        <f>_xlfn.XLOOKUP(Table1[[#This Row],[JobInvolvement]],Table11[JobInvolvement],Table11[Id_JobInvolvement])</f>
        <v>JI002</v>
      </c>
      <c r="W377">
        <v>2</v>
      </c>
      <c r="X377" t="str">
        <f>_xlfn.XLOOKUP(Table1[[#This Row],[JobLevel]],Table12[JobLevel],Table12[Id_JobLevel])</f>
        <v>JL003</v>
      </c>
      <c r="Y377">
        <v>3</v>
      </c>
      <c r="Z377" t="str">
        <f>_xlfn.XLOOKUP(Table1[[#This Row],[JobRole]],Table13[JobRole],Table13[Id_JobRole])</f>
        <v>JR005</v>
      </c>
      <c r="AA377" t="s">
        <v>51</v>
      </c>
      <c r="AB377" t="str">
        <f>_xlfn.XLOOKUP(Table1[[#This Row],[JobSatisfaction]],Table14[JobSatisfaction],Table14[Id_JobSatisfaction])</f>
        <v>JS003</v>
      </c>
      <c r="AC377">
        <v>3</v>
      </c>
      <c r="AD377" t="str">
        <f>_xlfn.XLOOKUP(Table1[[#This Row],[JobSatisfaction]],Table14[JobSatisfaction],Table14[Deskripsi])</f>
        <v>High</v>
      </c>
      <c r="AE377" t="str">
        <f>_xlfn.XLOOKUP(Table1[[#This Row],[MaritalStatus]],Table15[MaritalStatus],Table15[Id_MaritalStatus])</f>
        <v>MS001</v>
      </c>
      <c r="AF377" t="s">
        <v>55</v>
      </c>
      <c r="AG377">
        <v>10965</v>
      </c>
      <c r="AH377">
        <v>12066</v>
      </c>
      <c r="AI377">
        <v>8</v>
      </c>
      <c r="AJ377" t="str">
        <f>_xlfn.XLOOKUP(Table1[[#This Row],[OverTime]],Table16[OverTime],Table16[Id_OverTime])</f>
        <v>OT002</v>
      </c>
      <c r="AK377" t="s">
        <v>33</v>
      </c>
      <c r="AL377">
        <v>24</v>
      </c>
      <c r="AM377" t="str">
        <f>_xlfn.XLOOKUP(Table1[[#This Row],[PerformanceRating]],Table17[PerformanceRating],Table17[Id_PerformanceRating])</f>
        <v>PR004</v>
      </c>
      <c r="AN377">
        <v>4</v>
      </c>
      <c r="AO377" t="str">
        <f>_xlfn.XLOOKUP(Table1[[#This Row],[PerformanceRating]],Table17[PerformanceRating],Table17[Deskripsi])</f>
        <v>Outstanding</v>
      </c>
      <c r="AP377" t="str">
        <f>_xlfn.XLOOKUP(Table1[[#This Row],[RelationshipSatisfaction]],Table18[RelationshipSatisfaction],Table18[Id_RelationshipSatisfaction])</f>
        <v>RS003</v>
      </c>
      <c r="AQ377">
        <v>3</v>
      </c>
      <c r="AR377" t="str">
        <f>_xlfn.XLOOKUP(Table1[[#This Row],[RelationshipSatisfaction]],Table18[RelationshipSatisfaction],Table18[Deskripsi])</f>
        <v>High</v>
      </c>
      <c r="AS377" t="str">
        <f>_xlfn.XLOOKUP(Table1[[#This Row],[StockOptionLevel]],Table19[StockOptionLevel],Table19[Id_StockOptionLevel])</f>
        <v>SOL001</v>
      </c>
      <c r="AT377">
        <v>0</v>
      </c>
      <c r="AU377" t="str">
        <f>_xlfn.XLOOKUP(Table1[[#This Row],[StockOptionLevel]],Table19[StockOptionLevel],Table19[Deskripsi])</f>
        <v>Non-Eligible</v>
      </c>
      <c r="AV377">
        <v>26</v>
      </c>
      <c r="AW377">
        <v>2</v>
      </c>
      <c r="AX377" t="str">
        <f>_xlfn.XLOOKUP(Table1[[#This Row],[WorkLifeBalance]],Table20[WorkLifeBalance],Table20[Id_WorkLifeBalance])</f>
        <v>WLB002</v>
      </c>
      <c r="AY377">
        <v>3</v>
      </c>
      <c r="AZ377" t="str">
        <f>_xlfn.XLOOKUP(Table1[[#This Row],[WorkLifeBalance]],Table20[WorkLifeBalance],Table20[Deskripsi])</f>
        <v>Good</v>
      </c>
      <c r="BA377">
        <v>5</v>
      </c>
      <c r="BB377">
        <v>2</v>
      </c>
      <c r="BC377">
        <v>0</v>
      </c>
      <c r="BD377">
        <v>0</v>
      </c>
    </row>
    <row r="378" spans="1:56" x14ac:dyDescent="0.25">
      <c r="A378">
        <v>51</v>
      </c>
      <c r="B378" t="str">
        <f>_xlfn.XLOOKUP(Table1[[#This Row],[Attrition]],Table2[Attrition],Table2[Id_Attrition])</f>
        <v>A002</v>
      </c>
      <c r="C378" t="s">
        <v>33</v>
      </c>
      <c r="D378" t="str">
        <f>_xlfn.XLOOKUP(Table1[[#This Row],[BusinessTravel]],Table5[BusinessTravel],Table5[Id_BusinessTravel])</f>
        <v>BS001</v>
      </c>
      <c r="E378" t="s">
        <v>34</v>
      </c>
      <c r="F378">
        <v>1178</v>
      </c>
      <c r="G378" t="str">
        <f>_xlfn.XLOOKUP(Table1[[#This Row],[Department]],Table6[Department],Table6[Id_Departement])</f>
        <v>D001</v>
      </c>
      <c r="H378" t="s">
        <v>37</v>
      </c>
      <c r="I378">
        <v>14</v>
      </c>
      <c r="J378" t="str">
        <f>_xlfn.XLOOKUP(Table1[[#This Row],[Education]],Table8[Education],Table8[Id_Education])</f>
        <v>E002</v>
      </c>
      <c r="K378">
        <v>2</v>
      </c>
      <c r="L378" t="str">
        <f>_xlfn.XLOOKUP(Table1[[#This Row],[EducationField]],Table7[EducationField],Table7[Id_EducationField])</f>
        <v>EF001</v>
      </c>
      <c r="M378" t="s">
        <v>40</v>
      </c>
      <c r="N378" t="str">
        <f>_xlfn.XLOOKUP(Table1[[#This Row],[EmployeeNumber]],Table4[EmployeeNumber],Table4[Id_Employee])</f>
        <v>EMP00377</v>
      </c>
      <c r="O378">
        <v>500</v>
      </c>
      <c r="P378" t="str">
        <f>_xlfn.XLOOKUP(Table1[[#This Row],[EnvironmentSatisfaction]],Table9[EnvironmentSatisfaction],Table9[Id_EnviromentSatisfaction])</f>
        <v>ES003</v>
      </c>
      <c r="Q378">
        <v>3</v>
      </c>
      <c r="R378" t="str">
        <f>_xlfn.XLOOKUP(Table1[[#This Row],[EnvironmentSatisfaction]],Table9[EnvironmentSatisfaction],Table9[Deskripsi])</f>
        <v>High</v>
      </c>
      <c r="S378" t="str">
        <f>_xlfn.XLOOKUP(Table1[[#This Row],[Gender]],Table10[Gender],Table10[Id_Gender])</f>
        <v>G001</v>
      </c>
      <c r="T378" t="s">
        <v>45</v>
      </c>
      <c r="U378">
        <v>87</v>
      </c>
      <c r="V378" t="str">
        <f>_xlfn.XLOOKUP(Table1[[#This Row],[JobInvolvement]],Table11[JobInvolvement],Table11[Id_JobInvolvement])</f>
        <v>JI003</v>
      </c>
      <c r="W378">
        <v>3</v>
      </c>
      <c r="X378" t="str">
        <f>_xlfn.XLOOKUP(Table1[[#This Row],[JobLevel]],Table12[JobLevel],Table12[Id_JobLevel])</f>
        <v>JL002</v>
      </c>
      <c r="Y378">
        <v>2</v>
      </c>
      <c r="Z378" t="str">
        <f>_xlfn.XLOOKUP(Table1[[#This Row],[JobRole]],Table13[JobRole],Table13[Id_JobRole])</f>
        <v>JR001</v>
      </c>
      <c r="AA378" t="s">
        <v>47</v>
      </c>
      <c r="AB378" t="str">
        <f>_xlfn.XLOOKUP(Table1[[#This Row],[JobSatisfaction]],Table14[JobSatisfaction],Table14[Id_JobSatisfaction])</f>
        <v>JS004</v>
      </c>
      <c r="AC378">
        <v>4</v>
      </c>
      <c r="AD378" t="str">
        <f>_xlfn.XLOOKUP(Table1[[#This Row],[JobSatisfaction]],Table14[JobSatisfaction],Table14[Deskripsi])</f>
        <v>Very High</v>
      </c>
      <c r="AE378" t="str">
        <f>_xlfn.XLOOKUP(Table1[[#This Row],[MaritalStatus]],Table15[MaritalStatus],Table15[Id_MaritalStatus])</f>
        <v>MS002</v>
      </c>
      <c r="AF378" t="s">
        <v>56</v>
      </c>
      <c r="AG378">
        <v>4936</v>
      </c>
      <c r="AH378">
        <v>14862</v>
      </c>
      <c r="AI378">
        <v>4</v>
      </c>
      <c r="AJ378" t="str">
        <f>_xlfn.XLOOKUP(Table1[[#This Row],[OverTime]],Table16[OverTime],Table16[Id_OverTime])</f>
        <v>OT002</v>
      </c>
      <c r="AK378" t="s">
        <v>33</v>
      </c>
      <c r="AL378">
        <v>11</v>
      </c>
      <c r="AM378" t="str">
        <f>_xlfn.XLOOKUP(Table1[[#This Row],[PerformanceRating]],Table17[PerformanceRating],Table17[Id_PerformanceRating])</f>
        <v>PR003</v>
      </c>
      <c r="AN378">
        <v>3</v>
      </c>
      <c r="AO378" t="str">
        <f>_xlfn.XLOOKUP(Table1[[#This Row],[PerformanceRating]],Table17[PerformanceRating],Table17[Deskripsi])</f>
        <v>Excellent</v>
      </c>
      <c r="AP378" t="str">
        <f>_xlfn.XLOOKUP(Table1[[#This Row],[RelationshipSatisfaction]],Table18[RelationshipSatisfaction],Table18[Id_RelationshipSatisfaction])</f>
        <v>RS003</v>
      </c>
      <c r="AQ378">
        <v>3</v>
      </c>
      <c r="AR378" t="str">
        <f>_xlfn.XLOOKUP(Table1[[#This Row],[RelationshipSatisfaction]],Table18[RelationshipSatisfaction],Table18[Deskripsi])</f>
        <v>High</v>
      </c>
      <c r="AS378" t="str">
        <f>_xlfn.XLOOKUP(Table1[[#This Row],[StockOptionLevel]],Table19[StockOptionLevel],Table19[Id_StockOptionLevel])</f>
        <v>SOL002</v>
      </c>
      <c r="AT378">
        <v>1</v>
      </c>
      <c r="AU378" t="str">
        <f>_xlfn.XLOOKUP(Table1[[#This Row],[StockOptionLevel]],Table19[StockOptionLevel],Table19[Deskripsi])</f>
        <v>Standard</v>
      </c>
      <c r="AV378">
        <v>18</v>
      </c>
      <c r="AW378">
        <v>2</v>
      </c>
      <c r="AX378" t="str">
        <f>_xlfn.XLOOKUP(Table1[[#This Row],[WorkLifeBalance]],Table20[WorkLifeBalance],Table20[Id_WorkLifeBalance])</f>
        <v>WLB003</v>
      </c>
      <c r="AY378">
        <v>2</v>
      </c>
      <c r="AZ378" t="str">
        <f>_xlfn.XLOOKUP(Table1[[#This Row],[WorkLifeBalance]],Table20[WorkLifeBalance],Table20[Deskripsi])</f>
        <v>Better</v>
      </c>
      <c r="BA378">
        <v>7</v>
      </c>
      <c r="BB378">
        <v>7</v>
      </c>
      <c r="BC378">
        <v>0</v>
      </c>
      <c r="BD378">
        <v>7</v>
      </c>
    </row>
    <row r="379" spans="1:56" x14ac:dyDescent="0.25">
      <c r="A379">
        <v>36</v>
      </c>
      <c r="B379" t="str">
        <f>_xlfn.XLOOKUP(Table1[[#This Row],[Attrition]],Table2[Attrition],Table2[Id_Attrition])</f>
        <v>A002</v>
      </c>
      <c r="C379" t="s">
        <v>33</v>
      </c>
      <c r="D379" t="str">
        <f>_xlfn.XLOOKUP(Table1[[#This Row],[BusinessTravel]],Table5[BusinessTravel],Table5[Id_BusinessTravel])</f>
        <v>BS001</v>
      </c>
      <c r="E379" t="s">
        <v>34</v>
      </c>
      <c r="F379">
        <v>329</v>
      </c>
      <c r="G379" t="str">
        <f>_xlfn.XLOOKUP(Table1[[#This Row],[Department]],Table6[Department],Table6[Id_Departement])</f>
        <v>D002</v>
      </c>
      <c r="H379" t="s">
        <v>38</v>
      </c>
      <c r="I379">
        <v>2</v>
      </c>
      <c r="J379" t="str">
        <f>_xlfn.XLOOKUP(Table1[[#This Row],[Education]],Table8[Education],Table8[Id_Education])</f>
        <v>E003</v>
      </c>
      <c r="K379">
        <v>3</v>
      </c>
      <c r="L379" t="str">
        <f>_xlfn.XLOOKUP(Table1[[#This Row],[EducationField]],Table7[EducationField],Table7[Id_EducationField])</f>
        <v>EF001</v>
      </c>
      <c r="M379" t="s">
        <v>40</v>
      </c>
      <c r="N379" t="str">
        <f>_xlfn.XLOOKUP(Table1[[#This Row],[EmployeeNumber]],Table4[EmployeeNumber],Table4[Id_Employee])</f>
        <v>EMP00378</v>
      </c>
      <c r="O379">
        <v>501</v>
      </c>
      <c r="P379" t="str">
        <f>_xlfn.XLOOKUP(Table1[[#This Row],[EnvironmentSatisfaction]],Table9[EnvironmentSatisfaction],Table9[Id_EnviromentSatisfaction])</f>
        <v>ES004</v>
      </c>
      <c r="Q379">
        <v>4</v>
      </c>
      <c r="R379" t="str">
        <f>_xlfn.XLOOKUP(Table1[[#This Row],[EnvironmentSatisfaction]],Table9[EnvironmentSatisfaction],Table9[Deskripsi])</f>
        <v>Very High</v>
      </c>
      <c r="S379" t="str">
        <f>_xlfn.XLOOKUP(Table1[[#This Row],[Gender]],Table10[Gender],Table10[Id_Gender])</f>
        <v>G001</v>
      </c>
      <c r="T379" t="s">
        <v>45</v>
      </c>
      <c r="U379">
        <v>96</v>
      </c>
      <c r="V379" t="str">
        <f>_xlfn.XLOOKUP(Table1[[#This Row],[JobInvolvement]],Table11[JobInvolvement],Table11[Id_JobInvolvement])</f>
        <v>JI003</v>
      </c>
      <c r="W379">
        <v>3</v>
      </c>
      <c r="X379" t="str">
        <f>_xlfn.XLOOKUP(Table1[[#This Row],[JobLevel]],Table12[JobLevel],Table12[Id_JobLevel])</f>
        <v>JL001</v>
      </c>
      <c r="Y379">
        <v>1</v>
      </c>
      <c r="Z379" t="str">
        <f>_xlfn.XLOOKUP(Table1[[#This Row],[JobRole]],Table13[JobRole],Table13[Id_JobRole])</f>
        <v>JR002</v>
      </c>
      <c r="AA379" t="s">
        <v>48</v>
      </c>
      <c r="AB379" t="str">
        <f>_xlfn.XLOOKUP(Table1[[#This Row],[JobSatisfaction]],Table14[JobSatisfaction],Table14[Id_JobSatisfaction])</f>
        <v>JS003</v>
      </c>
      <c r="AC379">
        <v>3</v>
      </c>
      <c r="AD379" t="str">
        <f>_xlfn.XLOOKUP(Table1[[#This Row],[JobSatisfaction]],Table14[JobSatisfaction],Table14[Deskripsi])</f>
        <v>High</v>
      </c>
      <c r="AE379" t="str">
        <f>_xlfn.XLOOKUP(Table1[[#This Row],[MaritalStatus]],Table15[MaritalStatus],Table15[Id_MaritalStatus])</f>
        <v>MS002</v>
      </c>
      <c r="AF379" t="s">
        <v>56</v>
      </c>
      <c r="AG379">
        <v>2543</v>
      </c>
      <c r="AH379">
        <v>11868</v>
      </c>
      <c r="AI379">
        <v>4</v>
      </c>
      <c r="AJ379" t="str">
        <f>_xlfn.XLOOKUP(Table1[[#This Row],[OverTime]],Table16[OverTime],Table16[Id_OverTime])</f>
        <v>OT002</v>
      </c>
      <c r="AK379" t="s">
        <v>33</v>
      </c>
      <c r="AL379">
        <v>13</v>
      </c>
      <c r="AM379" t="str">
        <f>_xlfn.XLOOKUP(Table1[[#This Row],[PerformanceRating]],Table17[PerformanceRating],Table17[Id_PerformanceRating])</f>
        <v>PR003</v>
      </c>
      <c r="AN379">
        <v>3</v>
      </c>
      <c r="AO379" t="str">
        <f>_xlfn.XLOOKUP(Table1[[#This Row],[PerformanceRating]],Table17[PerformanceRating],Table17[Deskripsi])</f>
        <v>Excellent</v>
      </c>
      <c r="AP379" t="str">
        <f>_xlfn.XLOOKUP(Table1[[#This Row],[RelationshipSatisfaction]],Table18[RelationshipSatisfaction],Table18[Id_RelationshipSatisfaction])</f>
        <v>RS002</v>
      </c>
      <c r="AQ379">
        <v>2</v>
      </c>
      <c r="AR379" t="str">
        <f>_xlfn.XLOOKUP(Table1[[#This Row],[RelationshipSatisfaction]],Table18[RelationshipSatisfaction],Table18[Deskripsi])</f>
        <v>Medium</v>
      </c>
      <c r="AS379" t="str">
        <f>_xlfn.XLOOKUP(Table1[[#This Row],[StockOptionLevel]],Table19[StockOptionLevel],Table19[Id_StockOptionLevel])</f>
        <v>SOL002</v>
      </c>
      <c r="AT379">
        <v>1</v>
      </c>
      <c r="AU379" t="str">
        <f>_xlfn.XLOOKUP(Table1[[#This Row],[StockOptionLevel]],Table19[StockOptionLevel],Table19[Deskripsi])</f>
        <v>Standard</v>
      </c>
      <c r="AV379">
        <v>6</v>
      </c>
      <c r="AW379">
        <v>3</v>
      </c>
      <c r="AX379" t="str">
        <f>_xlfn.XLOOKUP(Table1[[#This Row],[WorkLifeBalance]],Table20[WorkLifeBalance],Table20[Id_WorkLifeBalance])</f>
        <v>WLB002</v>
      </c>
      <c r="AY379">
        <v>3</v>
      </c>
      <c r="AZ379" t="str">
        <f>_xlfn.XLOOKUP(Table1[[#This Row],[WorkLifeBalance]],Table20[WorkLifeBalance],Table20[Deskripsi])</f>
        <v>Good</v>
      </c>
      <c r="BA379">
        <v>2</v>
      </c>
      <c r="BB379">
        <v>2</v>
      </c>
      <c r="BC379">
        <v>2</v>
      </c>
      <c r="BD379">
        <v>2</v>
      </c>
    </row>
    <row r="380" spans="1:56" x14ac:dyDescent="0.25">
      <c r="A380">
        <v>34</v>
      </c>
      <c r="B380" t="str">
        <f>_xlfn.XLOOKUP(Table1[[#This Row],[Attrition]],Table2[Attrition],Table2[Id_Attrition])</f>
        <v>A001</v>
      </c>
      <c r="C380" t="s">
        <v>32</v>
      </c>
      <c r="D380" t="str">
        <f>_xlfn.XLOOKUP(Table1[[#This Row],[BusinessTravel]],Table5[BusinessTravel],Table5[Id_BusinessTravel])</f>
        <v>BS003</v>
      </c>
      <c r="E380" t="s">
        <v>36</v>
      </c>
      <c r="F380">
        <v>1362</v>
      </c>
      <c r="G380" t="str">
        <f>_xlfn.XLOOKUP(Table1[[#This Row],[Department]],Table6[Department],Table6[Id_Departement])</f>
        <v>D001</v>
      </c>
      <c r="H380" t="s">
        <v>37</v>
      </c>
      <c r="I380">
        <v>19</v>
      </c>
      <c r="J380" t="str">
        <f>_xlfn.XLOOKUP(Table1[[#This Row],[Education]],Table8[Education],Table8[Id_Education])</f>
        <v>E003</v>
      </c>
      <c r="K380">
        <v>3</v>
      </c>
      <c r="L380" t="str">
        <f>_xlfn.XLOOKUP(Table1[[#This Row],[EducationField]],Table7[EducationField],Table7[Id_EducationField])</f>
        <v>EF004</v>
      </c>
      <c r="M380" t="s">
        <v>43</v>
      </c>
      <c r="N380" t="str">
        <f>_xlfn.XLOOKUP(Table1[[#This Row],[EmployeeNumber]],Table4[EmployeeNumber],Table4[Id_Employee])</f>
        <v>EMP00379</v>
      </c>
      <c r="O380">
        <v>502</v>
      </c>
      <c r="P380" t="str">
        <f>_xlfn.XLOOKUP(Table1[[#This Row],[EnvironmentSatisfaction]],Table9[EnvironmentSatisfaction],Table9[Id_EnviromentSatisfaction])</f>
        <v>ES001</v>
      </c>
      <c r="Q380">
        <v>1</v>
      </c>
      <c r="R380" t="str">
        <f>_xlfn.XLOOKUP(Table1[[#This Row],[EnvironmentSatisfaction]],Table9[EnvironmentSatisfaction],Table9[Deskripsi])</f>
        <v>Low</v>
      </c>
      <c r="S380" t="str">
        <f>_xlfn.XLOOKUP(Table1[[#This Row],[Gender]],Table10[Gender],Table10[Id_Gender])</f>
        <v>G002</v>
      </c>
      <c r="T380" t="s">
        <v>46</v>
      </c>
      <c r="U380">
        <v>67</v>
      </c>
      <c r="V380" t="str">
        <f>_xlfn.XLOOKUP(Table1[[#This Row],[JobInvolvement]],Table11[JobInvolvement],Table11[Id_JobInvolvement])</f>
        <v>JI004</v>
      </c>
      <c r="W380">
        <v>4</v>
      </c>
      <c r="X380" t="str">
        <f>_xlfn.XLOOKUP(Table1[[#This Row],[JobLevel]],Table12[JobLevel],Table12[Id_JobLevel])</f>
        <v>JL002</v>
      </c>
      <c r="Y380">
        <v>2</v>
      </c>
      <c r="Z380" t="str">
        <f>_xlfn.XLOOKUP(Table1[[#This Row],[JobRole]],Table13[JobRole],Table13[Id_JobRole])</f>
        <v>JR001</v>
      </c>
      <c r="AA380" t="s">
        <v>47</v>
      </c>
      <c r="AB380" t="str">
        <f>_xlfn.XLOOKUP(Table1[[#This Row],[JobSatisfaction]],Table14[JobSatisfaction],Table14[Id_JobSatisfaction])</f>
        <v>JS004</v>
      </c>
      <c r="AC380">
        <v>4</v>
      </c>
      <c r="AD380" t="str">
        <f>_xlfn.XLOOKUP(Table1[[#This Row],[JobSatisfaction]],Table14[JobSatisfaction],Table14[Deskripsi])</f>
        <v>Very High</v>
      </c>
      <c r="AE380" t="str">
        <f>_xlfn.XLOOKUP(Table1[[#This Row],[MaritalStatus]],Table15[MaritalStatus],Table15[Id_MaritalStatus])</f>
        <v>MS001</v>
      </c>
      <c r="AF380" t="s">
        <v>55</v>
      </c>
      <c r="AG380">
        <v>5304</v>
      </c>
      <c r="AH380">
        <v>4652</v>
      </c>
      <c r="AI380">
        <v>8</v>
      </c>
      <c r="AJ380" t="str">
        <f>_xlfn.XLOOKUP(Table1[[#This Row],[OverTime]],Table16[OverTime],Table16[Id_OverTime])</f>
        <v>OT001</v>
      </c>
      <c r="AK380" t="s">
        <v>32</v>
      </c>
      <c r="AL380">
        <v>13</v>
      </c>
      <c r="AM380" t="str">
        <f>_xlfn.XLOOKUP(Table1[[#This Row],[PerformanceRating]],Table17[PerformanceRating],Table17[Id_PerformanceRating])</f>
        <v>PR003</v>
      </c>
      <c r="AN380">
        <v>3</v>
      </c>
      <c r="AO380" t="str">
        <f>_xlfn.XLOOKUP(Table1[[#This Row],[PerformanceRating]],Table17[PerformanceRating],Table17[Deskripsi])</f>
        <v>Excellent</v>
      </c>
      <c r="AP380" t="str">
        <f>_xlfn.XLOOKUP(Table1[[#This Row],[RelationshipSatisfaction]],Table18[RelationshipSatisfaction],Table18[Id_RelationshipSatisfaction])</f>
        <v>RS002</v>
      </c>
      <c r="AQ380">
        <v>2</v>
      </c>
      <c r="AR380" t="str">
        <f>_xlfn.XLOOKUP(Table1[[#This Row],[RelationshipSatisfaction]],Table18[RelationshipSatisfaction],Table18[Deskripsi])</f>
        <v>Medium</v>
      </c>
      <c r="AS380" t="str">
        <f>_xlfn.XLOOKUP(Table1[[#This Row],[StockOptionLevel]],Table19[StockOptionLevel],Table19[Id_StockOptionLevel])</f>
        <v>SOL001</v>
      </c>
      <c r="AT380">
        <v>0</v>
      </c>
      <c r="AU380" t="str">
        <f>_xlfn.XLOOKUP(Table1[[#This Row],[StockOptionLevel]],Table19[StockOptionLevel],Table19[Deskripsi])</f>
        <v>Non-Eligible</v>
      </c>
      <c r="AV380">
        <v>9</v>
      </c>
      <c r="AW380">
        <v>3</v>
      </c>
      <c r="AX380" t="str">
        <f>_xlfn.XLOOKUP(Table1[[#This Row],[WorkLifeBalance]],Table20[WorkLifeBalance],Table20[Id_WorkLifeBalance])</f>
        <v>WLB003</v>
      </c>
      <c r="AY380">
        <v>2</v>
      </c>
      <c r="AZ380" t="str">
        <f>_xlfn.XLOOKUP(Table1[[#This Row],[WorkLifeBalance]],Table20[WorkLifeBalance],Table20[Deskripsi])</f>
        <v>Better</v>
      </c>
      <c r="BA380">
        <v>5</v>
      </c>
      <c r="BB380">
        <v>2</v>
      </c>
      <c r="BC380">
        <v>0</v>
      </c>
      <c r="BD380">
        <v>4</v>
      </c>
    </row>
    <row r="381" spans="1:56" x14ac:dyDescent="0.25">
      <c r="A381">
        <v>55</v>
      </c>
      <c r="B381" t="str">
        <f>_xlfn.XLOOKUP(Table1[[#This Row],[Attrition]],Table2[Attrition],Table2[Id_Attrition])</f>
        <v>A002</v>
      </c>
      <c r="C381" t="s">
        <v>33</v>
      </c>
      <c r="D381" t="str">
        <f>_xlfn.XLOOKUP(Table1[[#This Row],[BusinessTravel]],Table5[BusinessTravel],Table5[Id_BusinessTravel])</f>
        <v>BS001</v>
      </c>
      <c r="E381" t="s">
        <v>34</v>
      </c>
      <c r="F381">
        <v>1311</v>
      </c>
      <c r="G381" t="str">
        <f>_xlfn.XLOOKUP(Table1[[#This Row],[Department]],Table6[Department],Table6[Id_Departement])</f>
        <v>D002</v>
      </c>
      <c r="H381" t="s">
        <v>38</v>
      </c>
      <c r="I381">
        <v>2</v>
      </c>
      <c r="J381" t="str">
        <f>_xlfn.XLOOKUP(Table1[[#This Row],[Education]],Table8[Education],Table8[Id_Education])</f>
        <v>E003</v>
      </c>
      <c r="K381">
        <v>3</v>
      </c>
      <c r="L381" t="str">
        <f>_xlfn.XLOOKUP(Table1[[#This Row],[EducationField]],Table7[EducationField],Table7[Id_EducationField])</f>
        <v>EF001</v>
      </c>
      <c r="M381" t="s">
        <v>40</v>
      </c>
      <c r="N381" t="str">
        <f>_xlfn.XLOOKUP(Table1[[#This Row],[EmployeeNumber]],Table4[EmployeeNumber],Table4[Id_Employee])</f>
        <v>EMP00380</v>
      </c>
      <c r="O381">
        <v>505</v>
      </c>
      <c r="P381" t="str">
        <f>_xlfn.XLOOKUP(Table1[[#This Row],[EnvironmentSatisfaction]],Table9[EnvironmentSatisfaction],Table9[Id_EnviromentSatisfaction])</f>
        <v>ES003</v>
      </c>
      <c r="Q381">
        <v>3</v>
      </c>
      <c r="R381" t="str">
        <f>_xlfn.XLOOKUP(Table1[[#This Row],[EnvironmentSatisfaction]],Table9[EnvironmentSatisfaction],Table9[Deskripsi])</f>
        <v>High</v>
      </c>
      <c r="S381" t="str">
        <f>_xlfn.XLOOKUP(Table1[[#This Row],[Gender]],Table10[Gender],Table10[Id_Gender])</f>
        <v>G001</v>
      </c>
      <c r="T381" t="s">
        <v>45</v>
      </c>
      <c r="U381">
        <v>97</v>
      </c>
      <c r="V381" t="str">
        <f>_xlfn.XLOOKUP(Table1[[#This Row],[JobInvolvement]],Table11[JobInvolvement],Table11[Id_JobInvolvement])</f>
        <v>JI003</v>
      </c>
      <c r="W381">
        <v>3</v>
      </c>
      <c r="X381" t="str">
        <f>_xlfn.XLOOKUP(Table1[[#This Row],[JobLevel]],Table12[JobLevel],Table12[Id_JobLevel])</f>
        <v>JL004</v>
      </c>
      <c r="Y381">
        <v>4</v>
      </c>
      <c r="Z381" t="str">
        <f>_xlfn.XLOOKUP(Table1[[#This Row],[JobRole]],Table13[JobRole],Table13[Id_JobRole])</f>
        <v>JR006</v>
      </c>
      <c r="AA381" t="s">
        <v>52</v>
      </c>
      <c r="AB381" t="str">
        <f>_xlfn.XLOOKUP(Table1[[#This Row],[JobSatisfaction]],Table14[JobSatisfaction],Table14[Id_JobSatisfaction])</f>
        <v>JS004</v>
      </c>
      <c r="AC381">
        <v>4</v>
      </c>
      <c r="AD381" t="str">
        <f>_xlfn.XLOOKUP(Table1[[#This Row],[JobSatisfaction]],Table14[JobSatisfaction],Table14[Deskripsi])</f>
        <v>Very High</v>
      </c>
      <c r="AE381" t="str">
        <f>_xlfn.XLOOKUP(Table1[[#This Row],[MaritalStatus]],Table15[MaritalStatus],Table15[Id_MaritalStatus])</f>
        <v>MS001</v>
      </c>
      <c r="AF381" t="s">
        <v>55</v>
      </c>
      <c r="AG381">
        <v>16659</v>
      </c>
      <c r="AH381">
        <v>23258</v>
      </c>
      <c r="AI381">
        <v>2</v>
      </c>
      <c r="AJ381" t="str">
        <f>_xlfn.XLOOKUP(Table1[[#This Row],[OverTime]],Table16[OverTime],Table16[Id_OverTime])</f>
        <v>OT001</v>
      </c>
      <c r="AK381" t="s">
        <v>32</v>
      </c>
      <c r="AL381">
        <v>13</v>
      </c>
      <c r="AM381" t="str">
        <f>_xlfn.XLOOKUP(Table1[[#This Row],[PerformanceRating]],Table17[PerformanceRating],Table17[Id_PerformanceRating])</f>
        <v>PR003</v>
      </c>
      <c r="AN381">
        <v>3</v>
      </c>
      <c r="AO381" t="str">
        <f>_xlfn.XLOOKUP(Table1[[#This Row],[PerformanceRating]],Table17[PerformanceRating],Table17[Deskripsi])</f>
        <v>Excellent</v>
      </c>
      <c r="AP381" t="str">
        <f>_xlfn.XLOOKUP(Table1[[#This Row],[RelationshipSatisfaction]],Table18[RelationshipSatisfaction],Table18[Id_RelationshipSatisfaction])</f>
        <v>RS003</v>
      </c>
      <c r="AQ381">
        <v>3</v>
      </c>
      <c r="AR381" t="str">
        <f>_xlfn.XLOOKUP(Table1[[#This Row],[RelationshipSatisfaction]],Table18[RelationshipSatisfaction],Table18[Deskripsi])</f>
        <v>High</v>
      </c>
      <c r="AS381" t="str">
        <f>_xlfn.XLOOKUP(Table1[[#This Row],[StockOptionLevel]],Table19[StockOptionLevel],Table19[Id_StockOptionLevel])</f>
        <v>SOL001</v>
      </c>
      <c r="AT381">
        <v>0</v>
      </c>
      <c r="AU381" t="str">
        <f>_xlfn.XLOOKUP(Table1[[#This Row],[StockOptionLevel]],Table19[StockOptionLevel],Table19[Deskripsi])</f>
        <v>Non-Eligible</v>
      </c>
      <c r="AV381">
        <v>30</v>
      </c>
      <c r="AW381">
        <v>2</v>
      </c>
      <c r="AX381" t="str">
        <f>_xlfn.XLOOKUP(Table1[[#This Row],[WorkLifeBalance]],Table20[WorkLifeBalance],Table20[Id_WorkLifeBalance])</f>
        <v>WLB002</v>
      </c>
      <c r="AY381">
        <v>3</v>
      </c>
      <c r="AZ381" t="str">
        <f>_xlfn.XLOOKUP(Table1[[#This Row],[WorkLifeBalance]],Table20[WorkLifeBalance],Table20[Deskripsi])</f>
        <v>Good</v>
      </c>
      <c r="BA381">
        <v>5</v>
      </c>
      <c r="BB381">
        <v>4</v>
      </c>
      <c r="BC381">
        <v>1</v>
      </c>
      <c r="BD381">
        <v>2</v>
      </c>
    </row>
    <row r="382" spans="1:56" x14ac:dyDescent="0.25">
      <c r="A382">
        <v>24</v>
      </c>
      <c r="B382" t="str">
        <f>_xlfn.XLOOKUP(Table1[[#This Row],[Attrition]],Table2[Attrition],Table2[Id_Attrition])</f>
        <v>A002</v>
      </c>
      <c r="C382" t="s">
        <v>33</v>
      </c>
      <c r="D382" t="str">
        <f>_xlfn.XLOOKUP(Table1[[#This Row],[BusinessTravel]],Table5[BusinessTravel],Table5[Id_BusinessTravel])</f>
        <v>BS001</v>
      </c>
      <c r="E382" t="s">
        <v>34</v>
      </c>
      <c r="F382">
        <v>1371</v>
      </c>
      <c r="G382" t="str">
        <f>_xlfn.XLOOKUP(Table1[[#This Row],[Department]],Table6[Department],Table6[Id_Departement])</f>
        <v>D001</v>
      </c>
      <c r="H382" t="s">
        <v>37</v>
      </c>
      <c r="I382">
        <v>10</v>
      </c>
      <c r="J382" t="str">
        <f>_xlfn.XLOOKUP(Table1[[#This Row],[Education]],Table8[Education],Table8[Id_Education])</f>
        <v>E004</v>
      </c>
      <c r="K382">
        <v>4</v>
      </c>
      <c r="L382" t="str">
        <f>_xlfn.XLOOKUP(Table1[[#This Row],[EducationField]],Table7[EducationField],Table7[Id_EducationField])</f>
        <v>EF004</v>
      </c>
      <c r="M382" t="s">
        <v>43</v>
      </c>
      <c r="N382" t="str">
        <f>_xlfn.XLOOKUP(Table1[[#This Row],[EmployeeNumber]],Table4[EmployeeNumber],Table4[Id_Employee])</f>
        <v>EMP00381</v>
      </c>
      <c r="O382">
        <v>507</v>
      </c>
      <c r="P382" t="str">
        <f>_xlfn.XLOOKUP(Table1[[#This Row],[EnvironmentSatisfaction]],Table9[EnvironmentSatisfaction],Table9[Id_EnviromentSatisfaction])</f>
        <v>ES004</v>
      </c>
      <c r="Q382">
        <v>4</v>
      </c>
      <c r="R382" t="str">
        <f>_xlfn.XLOOKUP(Table1[[#This Row],[EnvironmentSatisfaction]],Table9[EnvironmentSatisfaction],Table9[Deskripsi])</f>
        <v>Very High</v>
      </c>
      <c r="S382" t="str">
        <f>_xlfn.XLOOKUP(Table1[[#This Row],[Gender]],Table10[Gender],Table10[Id_Gender])</f>
        <v>G001</v>
      </c>
      <c r="T382" t="s">
        <v>45</v>
      </c>
      <c r="U382">
        <v>77</v>
      </c>
      <c r="V382" t="str">
        <f>_xlfn.XLOOKUP(Table1[[#This Row],[JobInvolvement]],Table11[JobInvolvement],Table11[Id_JobInvolvement])</f>
        <v>JI003</v>
      </c>
      <c r="W382">
        <v>3</v>
      </c>
      <c r="X382" t="str">
        <f>_xlfn.XLOOKUP(Table1[[#This Row],[JobLevel]],Table12[JobLevel],Table12[Id_JobLevel])</f>
        <v>JL002</v>
      </c>
      <c r="Y382">
        <v>2</v>
      </c>
      <c r="Z382" t="str">
        <f>_xlfn.XLOOKUP(Table1[[#This Row],[JobRole]],Table13[JobRole],Table13[Id_JobRole])</f>
        <v>JR001</v>
      </c>
      <c r="AA382" t="s">
        <v>47</v>
      </c>
      <c r="AB382" t="str">
        <f>_xlfn.XLOOKUP(Table1[[#This Row],[JobSatisfaction]],Table14[JobSatisfaction],Table14[Id_JobSatisfaction])</f>
        <v>JS003</v>
      </c>
      <c r="AC382">
        <v>3</v>
      </c>
      <c r="AD382" t="str">
        <f>_xlfn.XLOOKUP(Table1[[#This Row],[JobSatisfaction]],Table14[JobSatisfaction],Table14[Deskripsi])</f>
        <v>High</v>
      </c>
      <c r="AE382" t="str">
        <f>_xlfn.XLOOKUP(Table1[[#This Row],[MaritalStatus]],Table15[MaritalStatus],Table15[Id_MaritalStatus])</f>
        <v>MS003</v>
      </c>
      <c r="AF382" t="s">
        <v>57</v>
      </c>
      <c r="AG382">
        <v>4260</v>
      </c>
      <c r="AH382">
        <v>5915</v>
      </c>
      <c r="AI382">
        <v>1</v>
      </c>
      <c r="AJ382" t="str">
        <f>_xlfn.XLOOKUP(Table1[[#This Row],[OverTime]],Table16[OverTime],Table16[Id_OverTime])</f>
        <v>OT001</v>
      </c>
      <c r="AK382" t="s">
        <v>32</v>
      </c>
      <c r="AL382">
        <v>12</v>
      </c>
      <c r="AM382" t="str">
        <f>_xlfn.XLOOKUP(Table1[[#This Row],[PerformanceRating]],Table17[PerformanceRating],Table17[Id_PerformanceRating])</f>
        <v>PR003</v>
      </c>
      <c r="AN382">
        <v>3</v>
      </c>
      <c r="AO382" t="str">
        <f>_xlfn.XLOOKUP(Table1[[#This Row],[PerformanceRating]],Table17[PerformanceRating],Table17[Deskripsi])</f>
        <v>Excellent</v>
      </c>
      <c r="AP382" t="str">
        <f>_xlfn.XLOOKUP(Table1[[#This Row],[RelationshipSatisfaction]],Table18[RelationshipSatisfaction],Table18[Id_RelationshipSatisfaction])</f>
        <v>RS004</v>
      </c>
      <c r="AQ382">
        <v>4</v>
      </c>
      <c r="AR382" t="str">
        <f>_xlfn.XLOOKUP(Table1[[#This Row],[RelationshipSatisfaction]],Table18[RelationshipSatisfaction],Table18[Deskripsi])</f>
        <v>Very High</v>
      </c>
      <c r="AS382" t="str">
        <f>_xlfn.XLOOKUP(Table1[[#This Row],[StockOptionLevel]],Table19[StockOptionLevel],Table19[Id_StockOptionLevel])</f>
        <v>SOL002</v>
      </c>
      <c r="AT382">
        <v>1</v>
      </c>
      <c r="AU382" t="str">
        <f>_xlfn.XLOOKUP(Table1[[#This Row],[StockOptionLevel]],Table19[StockOptionLevel],Table19[Deskripsi])</f>
        <v>Standard</v>
      </c>
      <c r="AV382">
        <v>5</v>
      </c>
      <c r="AW382">
        <v>2</v>
      </c>
      <c r="AX382" t="str">
        <f>_xlfn.XLOOKUP(Table1[[#This Row],[WorkLifeBalance]],Table20[WorkLifeBalance],Table20[Id_WorkLifeBalance])</f>
        <v>WLB004</v>
      </c>
      <c r="AY382">
        <v>4</v>
      </c>
      <c r="AZ382" t="str">
        <f>_xlfn.XLOOKUP(Table1[[#This Row],[WorkLifeBalance]],Table20[WorkLifeBalance],Table20[Deskripsi])</f>
        <v>Best</v>
      </c>
      <c r="BA382">
        <v>5</v>
      </c>
      <c r="BB382">
        <v>2</v>
      </c>
      <c r="BC382">
        <v>0</v>
      </c>
      <c r="BD382">
        <v>3</v>
      </c>
    </row>
    <row r="383" spans="1:56" x14ac:dyDescent="0.25">
      <c r="A383">
        <v>30</v>
      </c>
      <c r="B383" t="str">
        <f>_xlfn.XLOOKUP(Table1[[#This Row],[Attrition]],Table2[Attrition],Table2[Id_Attrition])</f>
        <v>A002</v>
      </c>
      <c r="C383" t="s">
        <v>33</v>
      </c>
      <c r="D383" t="str">
        <f>_xlfn.XLOOKUP(Table1[[#This Row],[BusinessTravel]],Table5[BusinessTravel],Table5[Id_BusinessTravel])</f>
        <v>BS001</v>
      </c>
      <c r="E383" t="s">
        <v>34</v>
      </c>
      <c r="F383">
        <v>202</v>
      </c>
      <c r="G383" t="str">
        <f>_xlfn.XLOOKUP(Table1[[#This Row],[Department]],Table6[Department],Table6[Id_Departement])</f>
        <v>D001</v>
      </c>
      <c r="H383" t="s">
        <v>37</v>
      </c>
      <c r="I383">
        <v>2</v>
      </c>
      <c r="J383" t="str">
        <f>_xlfn.XLOOKUP(Table1[[#This Row],[Education]],Table8[Education],Table8[Id_Education])</f>
        <v>E001</v>
      </c>
      <c r="K383">
        <v>1</v>
      </c>
      <c r="L383" t="str">
        <f>_xlfn.XLOOKUP(Table1[[#This Row],[EducationField]],Table7[EducationField],Table7[Id_EducationField])</f>
        <v>EF005</v>
      </c>
      <c r="M383" t="s">
        <v>44</v>
      </c>
      <c r="N383" t="str">
        <f>_xlfn.XLOOKUP(Table1[[#This Row],[EmployeeNumber]],Table4[EmployeeNumber],Table4[Id_Employee])</f>
        <v>EMP00382</v>
      </c>
      <c r="O383">
        <v>508</v>
      </c>
      <c r="P383" t="str">
        <f>_xlfn.XLOOKUP(Table1[[#This Row],[EnvironmentSatisfaction]],Table9[EnvironmentSatisfaction],Table9[Id_EnviromentSatisfaction])</f>
        <v>ES003</v>
      </c>
      <c r="Q383">
        <v>3</v>
      </c>
      <c r="R383" t="str">
        <f>_xlfn.XLOOKUP(Table1[[#This Row],[EnvironmentSatisfaction]],Table9[EnvironmentSatisfaction],Table9[Deskripsi])</f>
        <v>High</v>
      </c>
      <c r="S383" t="str">
        <f>_xlfn.XLOOKUP(Table1[[#This Row],[Gender]],Table10[Gender],Table10[Id_Gender])</f>
        <v>G002</v>
      </c>
      <c r="T383" t="s">
        <v>46</v>
      </c>
      <c r="U383">
        <v>72</v>
      </c>
      <c r="V383" t="str">
        <f>_xlfn.XLOOKUP(Table1[[#This Row],[JobInvolvement]],Table11[JobInvolvement],Table11[Id_JobInvolvement])</f>
        <v>JI003</v>
      </c>
      <c r="W383">
        <v>3</v>
      </c>
      <c r="X383" t="str">
        <f>_xlfn.XLOOKUP(Table1[[#This Row],[JobLevel]],Table12[JobLevel],Table12[Id_JobLevel])</f>
        <v>JL001</v>
      </c>
      <c r="Y383">
        <v>1</v>
      </c>
      <c r="Z383" t="str">
        <f>_xlfn.XLOOKUP(Table1[[#This Row],[JobRole]],Table13[JobRole],Table13[Id_JobRole])</f>
        <v>JR007</v>
      </c>
      <c r="AA383" t="s">
        <v>53</v>
      </c>
      <c r="AB383" t="str">
        <f>_xlfn.XLOOKUP(Table1[[#This Row],[JobSatisfaction]],Table14[JobSatisfaction],Table14[Id_JobSatisfaction])</f>
        <v>JS002</v>
      </c>
      <c r="AC383">
        <v>2</v>
      </c>
      <c r="AD383" t="str">
        <f>_xlfn.XLOOKUP(Table1[[#This Row],[JobSatisfaction]],Table14[JobSatisfaction],Table14[Deskripsi])</f>
        <v>Medium</v>
      </c>
      <c r="AE383" t="str">
        <f>_xlfn.XLOOKUP(Table1[[#This Row],[MaritalStatus]],Table15[MaritalStatus],Table15[Id_MaritalStatus])</f>
        <v>MS002</v>
      </c>
      <c r="AF383" t="s">
        <v>56</v>
      </c>
      <c r="AG383">
        <v>2476</v>
      </c>
      <c r="AH383">
        <v>17434</v>
      </c>
      <c r="AI383">
        <v>1</v>
      </c>
      <c r="AJ383" t="str">
        <f>_xlfn.XLOOKUP(Table1[[#This Row],[OverTime]],Table16[OverTime],Table16[Id_OverTime])</f>
        <v>OT002</v>
      </c>
      <c r="AK383" t="s">
        <v>33</v>
      </c>
      <c r="AL383">
        <v>18</v>
      </c>
      <c r="AM383" t="str">
        <f>_xlfn.XLOOKUP(Table1[[#This Row],[PerformanceRating]],Table17[PerformanceRating],Table17[Id_PerformanceRating])</f>
        <v>PR003</v>
      </c>
      <c r="AN383">
        <v>3</v>
      </c>
      <c r="AO383" t="str">
        <f>_xlfn.XLOOKUP(Table1[[#This Row],[PerformanceRating]],Table17[PerformanceRating],Table17[Deskripsi])</f>
        <v>Excellent</v>
      </c>
      <c r="AP383" t="str">
        <f>_xlfn.XLOOKUP(Table1[[#This Row],[RelationshipSatisfaction]],Table18[RelationshipSatisfaction],Table18[Id_RelationshipSatisfaction])</f>
        <v>RS001</v>
      </c>
      <c r="AQ383">
        <v>1</v>
      </c>
      <c r="AR383" t="str">
        <f>_xlfn.XLOOKUP(Table1[[#This Row],[RelationshipSatisfaction]],Table18[RelationshipSatisfaction],Table18[Deskripsi])</f>
        <v>Low</v>
      </c>
      <c r="AS383" t="str">
        <f>_xlfn.XLOOKUP(Table1[[#This Row],[StockOptionLevel]],Table19[StockOptionLevel],Table19[Id_StockOptionLevel])</f>
        <v>SOL002</v>
      </c>
      <c r="AT383">
        <v>1</v>
      </c>
      <c r="AU383" t="str">
        <f>_xlfn.XLOOKUP(Table1[[#This Row],[StockOptionLevel]],Table19[StockOptionLevel],Table19[Deskripsi])</f>
        <v>Standard</v>
      </c>
      <c r="AV383">
        <v>1</v>
      </c>
      <c r="AW383">
        <v>3</v>
      </c>
      <c r="AX383" t="str">
        <f>_xlfn.XLOOKUP(Table1[[#This Row],[WorkLifeBalance]],Table20[WorkLifeBalance],Table20[Id_WorkLifeBalance])</f>
        <v>WLB002</v>
      </c>
      <c r="AY383">
        <v>3</v>
      </c>
      <c r="AZ383" t="str">
        <f>_xlfn.XLOOKUP(Table1[[#This Row],[WorkLifeBalance]],Table20[WorkLifeBalance],Table20[Deskripsi])</f>
        <v>Good</v>
      </c>
      <c r="BA383">
        <v>1</v>
      </c>
      <c r="BB383">
        <v>0</v>
      </c>
      <c r="BC383">
        <v>0</v>
      </c>
      <c r="BD383">
        <v>0</v>
      </c>
    </row>
    <row r="384" spans="1:56" x14ac:dyDescent="0.25">
      <c r="A384">
        <v>26</v>
      </c>
      <c r="B384" t="str">
        <f>_xlfn.XLOOKUP(Table1[[#This Row],[Attrition]],Table2[Attrition],Table2[Id_Attrition])</f>
        <v>A001</v>
      </c>
      <c r="C384" t="s">
        <v>32</v>
      </c>
      <c r="D384" t="str">
        <f>_xlfn.XLOOKUP(Table1[[#This Row],[BusinessTravel]],Table5[BusinessTravel],Table5[Id_BusinessTravel])</f>
        <v>BS002</v>
      </c>
      <c r="E384" t="s">
        <v>35</v>
      </c>
      <c r="F384">
        <v>575</v>
      </c>
      <c r="G384" t="str">
        <f>_xlfn.XLOOKUP(Table1[[#This Row],[Department]],Table6[Department],Table6[Id_Departement])</f>
        <v>D002</v>
      </c>
      <c r="H384" t="s">
        <v>38</v>
      </c>
      <c r="I384">
        <v>3</v>
      </c>
      <c r="J384" t="str">
        <f>_xlfn.XLOOKUP(Table1[[#This Row],[Education]],Table8[Education],Table8[Id_Education])</f>
        <v>E001</v>
      </c>
      <c r="K384">
        <v>1</v>
      </c>
      <c r="L384" t="str">
        <f>_xlfn.XLOOKUP(Table1[[#This Row],[EducationField]],Table7[EducationField],Table7[Id_EducationField])</f>
        <v>EF005</v>
      </c>
      <c r="M384" t="s">
        <v>44</v>
      </c>
      <c r="N384" t="str">
        <f>_xlfn.XLOOKUP(Table1[[#This Row],[EmployeeNumber]],Table4[EmployeeNumber],Table4[Id_Employee])</f>
        <v>EMP00383</v>
      </c>
      <c r="O384">
        <v>510</v>
      </c>
      <c r="P384" t="str">
        <f>_xlfn.XLOOKUP(Table1[[#This Row],[EnvironmentSatisfaction]],Table9[EnvironmentSatisfaction],Table9[Id_EnviromentSatisfaction])</f>
        <v>ES003</v>
      </c>
      <c r="Q384">
        <v>3</v>
      </c>
      <c r="R384" t="str">
        <f>_xlfn.XLOOKUP(Table1[[#This Row],[EnvironmentSatisfaction]],Table9[EnvironmentSatisfaction],Table9[Deskripsi])</f>
        <v>High</v>
      </c>
      <c r="S384" t="str">
        <f>_xlfn.XLOOKUP(Table1[[#This Row],[Gender]],Table10[Gender],Table10[Id_Gender])</f>
        <v>G002</v>
      </c>
      <c r="T384" t="s">
        <v>46</v>
      </c>
      <c r="U384">
        <v>73</v>
      </c>
      <c r="V384" t="str">
        <f>_xlfn.XLOOKUP(Table1[[#This Row],[JobInvolvement]],Table11[JobInvolvement],Table11[Id_JobInvolvement])</f>
        <v>JI003</v>
      </c>
      <c r="W384">
        <v>3</v>
      </c>
      <c r="X384" t="str">
        <f>_xlfn.XLOOKUP(Table1[[#This Row],[JobLevel]],Table12[JobLevel],Table12[Id_JobLevel])</f>
        <v>JL001</v>
      </c>
      <c r="Y384">
        <v>1</v>
      </c>
      <c r="Z384" t="str">
        <f>_xlfn.XLOOKUP(Table1[[#This Row],[JobRole]],Table13[JobRole],Table13[Id_JobRole])</f>
        <v>JR002</v>
      </c>
      <c r="AA384" t="s">
        <v>48</v>
      </c>
      <c r="AB384" t="str">
        <f>_xlfn.XLOOKUP(Table1[[#This Row],[JobSatisfaction]],Table14[JobSatisfaction],Table14[Id_JobSatisfaction])</f>
        <v>JS001</v>
      </c>
      <c r="AC384">
        <v>1</v>
      </c>
      <c r="AD384" t="str">
        <f>_xlfn.XLOOKUP(Table1[[#This Row],[JobSatisfaction]],Table14[JobSatisfaction],Table14[Deskripsi])</f>
        <v>Low</v>
      </c>
      <c r="AE384" t="str">
        <f>_xlfn.XLOOKUP(Table1[[#This Row],[MaritalStatus]],Table15[MaritalStatus],Table15[Id_MaritalStatus])</f>
        <v>MS001</v>
      </c>
      <c r="AF384" t="s">
        <v>55</v>
      </c>
      <c r="AG384">
        <v>3102</v>
      </c>
      <c r="AH384">
        <v>6582</v>
      </c>
      <c r="AI384">
        <v>0</v>
      </c>
      <c r="AJ384" t="str">
        <f>_xlfn.XLOOKUP(Table1[[#This Row],[OverTime]],Table16[OverTime],Table16[Id_OverTime])</f>
        <v>OT002</v>
      </c>
      <c r="AK384" t="s">
        <v>33</v>
      </c>
      <c r="AL384">
        <v>22</v>
      </c>
      <c r="AM384" t="str">
        <f>_xlfn.XLOOKUP(Table1[[#This Row],[PerformanceRating]],Table17[PerformanceRating],Table17[Id_PerformanceRating])</f>
        <v>PR004</v>
      </c>
      <c r="AN384">
        <v>4</v>
      </c>
      <c r="AO384" t="str">
        <f>_xlfn.XLOOKUP(Table1[[#This Row],[PerformanceRating]],Table17[PerformanceRating],Table17[Deskripsi])</f>
        <v>Outstanding</v>
      </c>
      <c r="AP384" t="str">
        <f>_xlfn.XLOOKUP(Table1[[#This Row],[RelationshipSatisfaction]],Table18[RelationshipSatisfaction],Table18[Id_RelationshipSatisfaction])</f>
        <v>RS003</v>
      </c>
      <c r="AQ384">
        <v>3</v>
      </c>
      <c r="AR384" t="str">
        <f>_xlfn.XLOOKUP(Table1[[#This Row],[RelationshipSatisfaction]],Table18[RelationshipSatisfaction],Table18[Deskripsi])</f>
        <v>High</v>
      </c>
      <c r="AS384" t="str">
        <f>_xlfn.XLOOKUP(Table1[[#This Row],[StockOptionLevel]],Table19[StockOptionLevel],Table19[Id_StockOptionLevel])</f>
        <v>SOL001</v>
      </c>
      <c r="AT384">
        <v>0</v>
      </c>
      <c r="AU384" t="str">
        <f>_xlfn.XLOOKUP(Table1[[#This Row],[StockOptionLevel]],Table19[StockOptionLevel],Table19[Deskripsi])</f>
        <v>Non-Eligible</v>
      </c>
      <c r="AV384">
        <v>7</v>
      </c>
      <c r="AW384">
        <v>2</v>
      </c>
      <c r="AX384" t="str">
        <f>_xlfn.XLOOKUP(Table1[[#This Row],[WorkLifeBalance]],Table20[WorkLifeBalance],Table20[Id_WorkLifeBalance])</f>
        <v>WLB002</v>
      </c>
      <c r="AY384">
        <v>3</v>
      </c>
      <c r="AZ384" t="str">
        <f>_xlfn.XLOOKUP(Table1[[#This Row],[WorkLifeBalance]],Table20[WorkLifeBalance],Table20[Deskripsi])</f>
        <v>Good</v>
      </c>
      <c r="BA384">
        <v>6</v>
      </c>
      <c r="BB384">
        <v>4</v>
      </c>
      <c r="BC384">
        <v>0</v>
      </c>
      <c r="BD384">
        <v>4</v>
      </c>
    </row>
    <row r="385" spans="1:56" x14ac:dyDescent="0.25">
      <c r="A385">
        <v>22</v>
      </c>
      <c r="B385" t="str">
        <f>_xlfn.XLOOKUP(Table1[[#This Row],[Attrition]],Table2[Attrition],Table2[Id_Attrition])</f>
        <v>A002</v>
      </c>
      <c r="C385" t="s">
        <v>33</v>
      </c>
      <c r="D385" t="str">
        <f>_xlfn.XLOOKUP(Table1[[#This Row],[BusinessTravel]],Table5[BusinessTravel],Table5[Id_BusinessTravel])</f>
        <v>BS001</v>
      </c>
      <c r="E385" t="s">
        <v>34</v>
      </c>
      <c r="F385">
        <v>253</v>
      </c>
      <c r="G385" t="str">
        <f>_xlfn.XLOOKUP(Table1[[#This Row],[Department]],Table6[Department],Table6[Id_Departement])</f>
        <v>D002</v>
      </c>
      <c r="H385" t="s">
        <v>38</v>
      </c>
      <c r="I385">
        <v>11</v>
      </c>
      <c r="J385" t="str">
        <f>_xlfn.XLOOKUP(Table1[[#This Row],[Education]],Table8[Education],Table8[Id_Education])</f>
        <v>E003</v>
      </c>
      <c r="K385">
        <v>3</v>
      </c>
      <c r="L385" t="str">
        <f>_xlfn.XLOOKUP(Table1[[#This Row],[EducationField]],Table7[EducationField],Table7[Id_EducationField])</f>
        <v>EF003</v>
      </c>
      <c r="M385" t="s">
        <v>42</v>
      </c>
      <c r="N385" t="str">
        <f>_xlfn.XLOOKUP(Table1[[#This Row],[EmployeeNumber]],Table4[EmployeeNumber],Table4[Id_Employee])</f>
        <v>EMP00384</v>
      </c>
      <c r="O385">
        <v>511</v>
      </c>
      <c r="P385" t="str">
        <f>_xlfn.XLOOKUP(Table1[[#This Row],[EnvironmentSatisfaction]],Table9[EnvironmentSatisfaction],Table9[Id_EnviromentSatisfaction])</f>
        <v>ES001</v>
      </c>
      <c r="Q385">
        <v>1</v>
      </c>
      <c r="R385" t="str">
        <f>_xlfn.XLOOKUP(Table1[[#This Row],[EnvironmentSatisfaction]],Table9[EnvironmentSatisfaction],Table9[Deskripsi])</f>
        <v>Low</v>
      </c>
      <c r="S385" t="str">
        <f>_xlfn.XLOOKUP(Table1[[#This Row],[Gender]],Table10[Gender],Table10[Id_Gender])</f>
        <v>G001</v>
      </c>
      <c r="T385" t="s">
        <v>45</v>
      </c>
      <c r="U385">
        <v>43</v>
      </c>
      <c r="V385" t="str">
        <f>_xlfn.XLOOKUP(Table1[[#This Row],[JobInvolvement]],Table11[JobInvolvement],Table11[Id_JobInvolvement])</f>
        <v>JI003</v>
      </c>
      <c r="W385">
        <v>3</v>
      </c>
      <c r="X385" t="str">
        <f>_xlfn.XLOOKUP(Table1[[#This Row],[JobLevel]],Table12[JobLevel],Table12[Id_JobLevel])</f>
        <v>JL001</v>
      </c>
      <c r="Y385">
        <v>1</v>
      </c>
      <c r="Z385" t="str">
        <f>_xlfn.XLOOKUP(Table1[[#This Row],[JobRole]],Table13[JobRole],Table13[Id_JobRole])</f>
        <v>JR002</v>
      </c>
      <c r="AA385" t="s">
        <v>48</v>
      </c>
      <c r="AB385" t="str">
        <f>_xlfn.XLOOKUP(Table1[[#This Row],[JobSatisfaction]],Table14[JobSatisfaction],Table14[Id_JobSatisfaction])</f>
        <v>JS002</v>
      </c>
      <c r="AC385">
        <v>2</v>
      </c>
      <c r="AD385" t="str">
        <f>_xlfn.XLOOKUP(Table1[[#This Row],[JobSatisfaction]],Table14[JobSatisfaction],Table14[Deskripsi])</f>
        <v>Medium</v>
      </c>
      <c r="AE385" t="str">
        <f>_xlfn.XLOOKUP(Table1[[#This Row],[MaritalStatus]],Table15[MaritalStatus],Table15[Id_MaritalStatus])</f>
        <v>MS002</v>
      </c>
      <c r="AF385" t="s">
        <v>56</v>
      </c>
      <c r="AG385">
        <v>2244</v>
      </c>
      <c r="AH385">
        <v>24440</v>
      </c>
      <c r="AI385">
        <v>1</v>
      </c>
      <c r="AJ385" t="str">
        <f>_xlfn.XLOOKUP(Table1[[#This Row],[OverTime]],Table16[OverTime],Table16[Id_OverTime])</f>
        <v>OT002</v>
      </c>
      <c r="AK385" t="s">
        <v>33</v>
      </c>
      <c r="AL385">
        <v>13</v>
      </c>
      <c r="AM385" t="str">
        <f>_xlfn.XLOOKUP(Table1[[#This Row],[PerformanceRating]],Table17[PerformanceRating],Table17[Id_PerformanceRating])</f>
        <v>PR003</v>
      </c>
      <c r="AN385">
        <v>3</v>
      </c>
      <c r="AO385" t="str">
        <f>_xlfn.XLOOKUP(Table1[[#This Row],[PerformanceRating]],Table17[PerformanceRating],Table17[Deskripsi])</f>
        <v>Excellent</v>
      </c>
      <c r="AP385" t="str">
        <f>_xlfn.XLOOKUP(Table1[[#This Row],[RelationshipSatisfaction]],Table18[RelationshipSatisfaction],Table18[Id_RelationshipSatisfaction])</f>
        <v>RS004</v>
      </c>
      <c r="AQ385">
        <v>4</v>
      </c>
      <c r="AR385" t="str">
        <f>_xlfn.XLOOKUP(Table1[[#This Row],[RelationshipSatisfaction]],Table18[RelationshipSatisfaction],Table18[Deskripsi])</f>
        <v>Very High</v>
      </c>
      <c r="AS385" t="str">
        <f>_xlfn.XLOOKUP(Table1[[#This Row],[StockOptionLevel]],Table19[StockOptionLevel],Table19[Id_StockOptionLevel])</f>
        <v>SOL002</v>
      </c>
      <c r="AT385">
        <v>1</v>
      </c>
      <c r="AU385" t="str">
        <f>_xlfn.XLOOKUP(Table1[[#This Row],[StockOptionLevel]],Table19[StockOptionLevel],Table19[Deskripsi])</f>
        <v>Standard</v>
      </c>
      <c r="AV385">
        <v>2</v>
      </c>
      <c r="AW385">
        <v>1</v>
      </c>
      <c r="AX385" t="str">
        <f>_xlfn.XLOOKUP(Table1[[#This Row],[WorkLifeBalance]],Table20[WorkLifeBalance],Table20[Id_WorkLifeBalance])</f>
        <v>WLB002</v>
      </c>
      <c r="AY385">
        <v>3</v>
      </c>
      <c r="AZ385" t="str">
        <f>_xlfn.XLOOKUP(Table1[[#This Row],[WorkLifeBalance]],Table20[WorkLifeBalance],Table20[Deskripsi])</f>
        <v>Good</v>
      </c>
      <c r="BA385">
        <v>2</v>
      </c>
      <c r="BB385">
        <v>1</v>
      </c>
      <c r="BC385">
        <v>1</v>
      </c>
      <c r="BD385">
        <v>2</v>
      </c>
    </row>
    <row r="386" spans="1:56" x14ac:dyDescent="0.25">
      <c r="A386">
        <v>36</v>
      </c>
      <c r="B386" t="str">
        <f>_xlfn.XLOOKUP(Table1[[#This Row],[Attrition]],Table2[Attrition],Table2[Id_Attrition])</f>
        <v>A002</v>
      </c>
      <c r="C386" t="s">
        <v>33</v>
      </c>
      <c r="D386" t="str">
        <f>_xlfn.XLOOKUP(Table1[[#This Row],[BusinessTravel]],Table5[BusinessTravel],Table5[Id_BusinessTravel])</f>
        <v>BS001</v>
      </c>
      <c r="E386" t="s">
        <v>34</v>
      </c>
      <c r="F386">
        <v>164</v>
      </c>
      <c r="G386" t="str">
        <f>_xlfn.XLOOKUP(Table1[[#This Row],[Department]],Table6[Department],Table6[Id_Departement])</f>
        <v>D001</v>
      </c>
      <c r="H386" t="s">
        <v>37</v>
      </c>
      <c r="I386">
        <v>2</v>
      </c>
      <c r="J386" t="str">
        <f>_xlfn.XLOOKUP(Table1[[#This Row],[Education]],Table8[Education],Table8[Id_Education])</f>
        <v>E002</v>
      </c>
      <c r="K386">
        <v>2</v>
      </c>
      <c r="L386" t="str">
        <f>_xlfn.XLOOKUP(Table1[[#This Row],[EducationField]],Table7[EducationField],Table7[Id_EducationField])</f>
        <v>EF003</v>
      </c>
      <c r="M386" t="s">
        <v>42</v>
      </c>
      <c r="N386" t="str">
        <f>_xlfn.XLOOKUP(Table1[[#This Row],[EmployeeNumber]],Table4[EmployeeNumber],Table4[Id_Employee])</f>
        <v>EMP00385</v>
      </c>
      <c r="O386">
        <v>513</v>
      </c>
      <c r="P386" t="str">
        <f>_xlfn.XLOOKUP(Table1[[#This Row],[EnvironmentSatisfaction]],Table9[EnvironmentSatisfaction],Table9[Id_EnviromentSatisfaction])</f>
        <v>ES002</v>
      </c>
      <c r="Q386">
        <v>2</v>
      </c>
      <c r="R386" t="str">
        <f>_xlfn.XLOOKUP(Table1[[#This Row],[EnvironmentSatisfaction]],Table9[EnvironmentSatisfaction],Table9[Deskripsi])</f>
        <v>Medium</v>
      </c>
      <c r="S386" t="str">
        <f>_xlfn.XLOOKUP(Table1[[#This Row],[Gender]],Table10[Gender],Table10[Id_Gender])</f>
        <v>G002</v>
      </c>
      <c r="T386" t="s">
        <v>46</v>
      </c>
      <c r="U386">
        <v>61</v>
      </c>
      <c r="V386" t="str">
        <f>_xlfn.XLOOKUP(Table1[[#This Row],[JobInvolvement]],Table11[JobInvolvement],Table11[Id_JobInvolvement])</f>
        <v>JI002</v>
      </c>
      <c r="W386">
        <v>2</v>
      </c>
      <c r="X386" t="str">
        <f>_xlfn.XLOOKUP(Table1[[#This Row],[JobLevel]],Table12[JobLevel],Table12[Id_JobLevel])</f>
        <v>JL003</v>
      </c>
      <c r="Y386">
        <v>3</v>
      </c>
      <c r="Z386" t="str">
        <f>_xlfn.XLOOKUP(Table1[[#This Row],[JobRole]],Table13[JobRole],Table13[Id_JobRole])</f>
        <v>JR001</v>
      </c>
      <c r="AA386" t="s">
        <v>47</v>
      </c>
      <c r="AB386" t="str">
        <f>_xlfn.XLOOKUP(Table1[[#This Row],[JobSatisfaction]],Table14[JobSatisfaction],Table14[Id_JobSatisfaction])</f>
        <v>JS003</v>
      </c>
      <c r="AC386">
        <v>3</v>
      </c>
      <c r="AD386" t="str">
        <f>_xlfn.XLOOKUP(Table1[[#This Row],[JobSatisfaction]],Table14[JobSatisfaction],Table14[Deskripsi])</f>
        <v>High</v>
      </c>
      <c r="AE386" t="str">
        <f>_xlfn.XLOOKUP(Table1[[#This Row],[MaritalStatus]],Table15[MaritalStatus],Table15[Id_MaritalStatus])</f>
        <v>MS002</v>
      </c>
      <c r="AF386" t="s">
        <v>56</v>
      </c>
      <c r="AG386">
        <v>7596</v>
      </c>
      <c r="AH386">
        <v>3809</v>
      </c>
      <c r="AI386">
        <v>1</v>
      </c>
      <c r="AJ386" t="str">
        <f>_xlfn.XLOOKUP(Table1[[#This Row],[OverTime]],Table16[OverTime],Table16[Id_OverTime])</f>
        <v>OT002</v>
      </c>
      <c r="AK386" t="s">
        <v>33</v>
      </c>
      <c r="AL386">
        <v>13</v>
      </c>
      <c r="AM386" t="str">
        <f>_xlfn.XLOOKUP(Table1[[#This Row],[PerformanceRating]],Table17[PerformanceRating],Table17[Id_PerformanceRating])</f>
        <v>PR003</v>
      </c>
      <c r="AN386">
        <v>3</v>
      </c>
      <c r="AO386" t="str">
        <f>_xlfn.XLOOKUP(Table1[[#This Row],[PerformanceRating]],Table17[PerformanceRating],Table17[Deskripsi])</f>
        <v>Excellent</v>
      </c>
      <c r="AP386" t="str">
        <f>_xlfn.XLOOKUP(Table1[[#This Row],[RelationshipSatisfaction]],Table18[RelationshipSatisfaction],Table18[Id_RelationshipSatisfaction])</f>
        <v>RS002</v>
      </c>
      <c r="AQ386">
        <v>2</v>
      </c>
      <c r="AR386" t="str">
        <f>_xlfn.XLOOKUP(Table1[[#This Row],[RelationshipSatisfaction]],Table18[RelationshipSatisfaction],Table18[Deskripsi])</f>
        <v>Medium</v>
      </c>
      <c r="AS386" t="str">
        <f>_xlfn.XLOOKUP(Table1[[#This Row],[StockOptionLevel]],Table19[StockOptionLevel],Table19[Id_StockOptionLevel])</f>
        <v>SOL003</v>
      </c>
      <c r="AT386">
        <v>2</v>
      </c>
      <c r="AU386" t="str">
        <f>_xlfn.XLOOKUP(Table1[[#This Row],[StockOptionLevel]],Table19[StockOptionLevel],Table19[Deskripsi])</f>
        <v>Intermediate</v>
      </c>
      <c r="AV386">
        <v>10</v>
      </c>
      <c r="AW386">
        <v>2</v>
      </c>
      <c r="AX386" t="str">
        <f>_xlfn.XLOOKUP(Table1[[#This Row],[WorkLifeBalance]],Table20[WorkLifeBalance],Table20[Id_WorkLifeBalance])</f>
        <v>WLB002</v>
      </c>
      <c r="AY386">
        <v>3</v>
      </c>
      <c r="AZ386" t="str">
        <f>_xlfn.XLOOKUP(Table1[[#This Row],[WorkLifeBalance]],Table20[WorkLifeBalance],Table20[Deskripsi])</f>
        <v>Good</v>
      </c>
      <c r="BA386">
        <v>10</v>
      </c>
      <c r="BB386">
        <v>9</v>
      </c>
      <c r="BC386">
        <v>9</v>
      </c>
      <c r="BD386">
        <v>0</v>
      </c>
    </row>
    <row r="387" spans="1:56" x14ac:dyDescent="0.25">
      <c r="A387">
        <v>30</v>
      </c>
      <c r="B387" t="str">
        <f>_xlfn.XLOOKUP(Table1[[#This Row],[Attrition]],Table2[Attrition],Table2[Id_Attrition])</f>
        <v>A001</v>
      </c>
      <c r="C387" t="s">
        <v>32</v>
      </c>
      <c r="D387" t="str">
        <f>_xlfn.XLOOKUP(Table1[[#This Row],[BusinessTravel]],Table5[BusinessTravel],Table5[Id_BusinessTravel])</f>
        <v>BS002</v>
      </c>
      <c r="E387" t="s">
        <v>35</v>
      </c>
      <c r="F387">
        <v>464</v>
      </c>
      <c r="G387" t="str">
        <f>_xlfn.XLOOKUP(Table1[[#This Row],[Department]],Table6[Department],Table6[Id_Departement])</f>
        <v>D002</v>
      </c>
      <c r="H387" t="s">
        <v>38</v>
      </c>
      <c r="I387">
        <v>4</v>
      </c>
      <c r="J387" t="str">
        <f>_xlfn.XLOOKUP(Table1[[#This Row],[Education]],Table8[Education],Table8[Id_Education])</f>
        <v>E003</v>
      </c>
      <c r="K387">
        <v>3</v>
      </c>
      <c r="L387" t="str">
        <f>_xlfn.XLOOKUP(Table1[[#This Row],[EducationField]],Table7[EducationField],Table7[Id_EducationField])</f>
        <v>EF005</v>
      </c>
      <c r="M387" t="s">
        <v>44</v>
      </c>
      <c r="N387" t="str">
        <f>_xlfn.XLOOKUP(Table1[[#This Row],[EmployeeNumber]],Table4[EmployeeNumber],Table4[Id_Employee])</f>
        <v>EMP00386</v>
      </c>
      <c r="O387">
        <v>514</v>
      </c>
      <c r="P387" t="str">
        <f>_xlfn.XLOOKUP(Table1[[#This Row],[EnvironmentSatisfaction]],Table9[EnvironmentSatisfaction],Table9[Id_EnviromentSatisfaction])</f>
        <v>ES003</v>
      </c>
      <c r="Q387">
        <v>3</v>
      </c>
      <c r="R387" t="str">
        <f>_xlfn.XLOOKUP(Table1[[#This Row],[EnvironmentSatisfaction]],Table9[EnvironmentSatisfaction],Table9[Deskripsi])</f>
        <v>High</v>
      </c>
      <c r="S387" t="str">
        <f>_xlfn.XLOOKUP(Table1[[#This Row],[Gender]],Table10[Gender],Table10[Id_Gender])</f>
        <v>G002</v>
      </c>
      <c r="T387" t="s">
        <v>46</v>
      </c>
      <c r="U387">
        <v>40</v>
      </c>
      <c r="V387" t="str">
        <f>_xlfn.XLOOKUP(Table1[[#This Row],[JobInvolvement]],Table11[JobInvolvement],Table11[Id_JobInvolvement])</f>
        <v>JI003</v>
      </c>
      <c r="W387">
        <v>3</v>
      </c>
      <c r="X387" t="str">
        <f>_xlfn.XLOOKUP(Table1[[#This Row],[JobLevel]],Table12[JobLevel],Table12[Id_JobLevel])</f>
        <v>JL001</v>
      </c>
      <c r="Y387">
        <v>1</v>
      </c>
      <c r="Z387" t="str">
        <f>_xlfn.XLOOKUP(Table1[[#This Row],[JobRole]],Table13[JobRole],Table13[Id_JobRole])</f>
        <v>JR002</v>
      </c>
      <c r="AA387" t="s">
        <v>48</v>
      </c>
      <c r="AB387" t="str">
        <f>_xlfn.XLOOKUP(Table1[[#This Row],[JobSatisfaction]],Table14[JobSatisfaction],Table14[Id_JobSatisfaction])</f>
        <v>JS004</v>
      </c>
      <c r="AC387">
        <v>4</v>
      </c>
      <c r="AD387" t="str">
        <f>_xlfn.XLOOKUP(Table1[[#This Row],[JobSatisfaction]],Table14[JobSatisfaction],Table14[Deskripsi])</f>
        <v>Very High</v>
      </c>
      <c r="AE387" t="str">
        <f>_xlfn.XLOOKUP(Table1[[#This Row],[MaritalStatus]],Table15[MaritalStatus],Table15[Id_MaritalStatus])</f>
        <v>MS001</v>
      </c>
      <c r="AF387" t="s">
        <v>55</v>
      </c>
      <c r="AG387">
        <v>2285</v>
      </c>
      <c r="AH387">
        <v>3427</v>
      </c>
      <c r="AI387">
        <v>9</v>
      </c>
      <c r="AJ387" t="str">
        <f>_xlfn.XLOOKUP(Table1[[#This Row],[OverTime]],Table16[OverTime],Table16[Id_OverTime])</f>
        <v>OT001</v>
      </c>
      <c r="AK387" t="s">
        <v>32</v>
      </c>
      <c r="AL387">
        <v>23</v>
      </c>
      <c r="AM387" t="str">
        <f>_xlfn.XLOOKUP(Table1[[#This Row],[PerformanceRating]],Table17[PerformanceRating],Table17[Id_PerformanceRating])</f>
        <v>PR004</v>
      </c>
      <c r="AN387">
        <v>4</v>
      </c>
      <c r="AO387" t="str">
        <f>_xlfn.XLOOKUP(Table1[[#This Row],[PerformanceRating]],Table17[PerformanceRating],Table17[Deskripsi])</f>
        <v>Outstanding</v>
      </c>
      <c r="AP387" t="str">
        <f>_xlfn.XLOOKUP(Table1[[#This Row],[RelationshipSatisfaction]],Table18[RelationshipSatisfaction],Table18[Id_RelationshipSatisfaction])</f>
        <v>RS003</v>
      </c>
      <c r="AQ387">
        <v>3</v>
      </c>
      <c r="AR387" t="str">
        <f>_xlfn.XLOOKUP(Table1[[#This Row],[RelationshipSatisfaction]],Table18[RelationshipSatisfaction],Table18[Deskripsi])</f>
        <v>High</v>
      </c>
      <c r="AS387" t="str">
        <f>_xlfn.XLOOKUP(Table1[[#This Row],[StockOptionLevel]],Table19[StockOptionLevel],Table19[Id_StockOptionLevel])</f>
        <v>SOL001</v>
      </c>
      <c r="AT387">
        <v>0</v>
      </c>
      <c r="AU387" t="str">
        <f>_xlfn.XLOOKUP(Table1[[#This Row],[StockOptionLevel]],Table19[StockOptionLevel],Table19[Deskripsi])</f>
        <v>Non-Eligible</v>
      </c>
      <c r="AV387">
        <v>3</v>
      </c>
      <c r="AW387">
        <v>4</v>
      </c>
      <c r="AX387" t="str">
        <f>_xlfn.XLOOKUP(Table1[[#This Row],[WorkLifeBalance]],Table20[WorkLifeBalance],Table20[Id_WorkLifeBalance])</f>
        <v>WLB002</v>
      </c>
      <c r="AY387">
        <v>3</v>
      </c>
      <c r="AZ387" t="str">
        <f>_xlfn.XLOOKUP(Table1[[#This Row],[WorkLifeBalance]],Table20[WorkLifeBalance],Table20[Deskripsi])</f>
        <v>Good</v>
      </c>
      <c r="BA387">
        <v>1</v>
      </c>
      <c r="BB387">
        <v>0</v>
      </c>
      <c r="BC387">
        <v>0</v>
      </c>
      <c r="BD387">
        <v>0</v>
      </c>
    </row>
    <row r="388" spans="1:56" x14ac:dyDescent="0.25">
      <c r="A388">
        <v>37</v>
      </c>
      <c r="B388" t="str">
        <f>_xlfn.XLOOKUP(Table1[[#This Row],[Attrition]],Table2[Attrition],Table2[Id_Attrition])</f>
        <v>A002</v>
      </c>
      <c r="C388" t="s">
        <v>33</v>
      </c>
      <c r="D388" t="str">
        <f>_xlfn.XLOOKUP(Table1[[#This Row],[BusinessTravel]],Table5[BusinessTravel],Table5[Id_BusinessTravel])</f>
        <v>BS001</v>
      </c>
      <c r="E388" t="s">
        <v>34</v>
      </c>
      <c r="F388">
        <v>1107</v>
      </c>
      <c r="G388" t="str">
        <f>_xlfn.XLOOKUP(Table1[[#This Row],[Department]],Table6[Department],Table6[Id_Departement])</f>
        <v>D002</v>
      </c>
      <c r="H388" t="s">
        <v>38</v>
      </c>
      <c r="I388">
        <v>14</v>
      </c>
      <c r="J388" t="str">
        <f>_xlfn.XLOOKUP(Table1[[#This Row],[Education]],Table8[Education],Table8[Id_Education])</f>
        <v>E003</v>
      </c>
      <c r="K388">
        <v>3</v>
      </c>
      <c r="L388" t="str">
        <f>_xlfn.XLOOKUP(Table1[[#This Row],[EducationField]],Table7[EducationField],Table7[Id_EducationField])</f>
        <v>EF001</v>
      </c>
      <c r="M388" t="s">
        <v>40</v>
      </c>
      <c r="N388" t="str">
        <f>_xlfn.XLOOKUP(Table1[[#This Row],[EmployeeNumber]],Table4[EmployeeNumber],Table4[Id_Employee])</f>
        <v>EMP00387</v>
      </c>
      <c r="O388">
        <v>515</v>
      </c>
      <c r="P388" t="str">
        <f>_xlfn.XLOOKUP(Table1[[#This Row],[EnvironmentSatisfaction]],Table9[EnvironmentSatisfaction],Table9[Id_EnviromentSatisfaction])</f>
        <v>ES004</v>
      </c>
      <c r="Q388">
        <v>4</v>
      </c>
      <c r="R388" t="str">
        <f>_xlfn.XLOOKUP(Table1[[#This Row],[EnvironmentSatisfaction]],Table9[EnvironmentSatisfaction],Table9[Deskripsi])</f>
        <v>Very High</v>
      </c>
      <c r="S388" t="str">
        <f>_xlfn.XLOOKUP(Table1[[#This Row],[Gender]],Table10[Gender],Table10[Id_Gender])</f>
        <v>G001</v>
      </c>
      <c r="T388" t="s">
        <v>45</v>
      </c>
      <c r="U388">
        <v>95</v>
      </c>
      <c r="V388" t="str">
        <f>_xlfn.XLOOKUP(Table1[[#This Row],[JobInvolvement]],Table11[JobInvolvement],Table11[Id_JobInvolvement])</f>
        <v>JI003</v>
      </c>
      <c r="W388">
        <v>3</v>
      </c>
      <c r="X388" t="str">
        <f>_xlfn.XLOOKUP(Table1[[#This Row],[JobLevel]],Table12[JobLevel],Table12[Id_JobLevel])</f>
        <v>JL001</v>
      </c>
      <c r="Y388">
        <v>1</v>
      </c>
      <c r="Z388" t="str">
        <f>_xlfn.XLOOKUP(Table1[[#This Row],[JobRole]],Table13[JobRole],Table13[Id_JobRole])</f>
        <v>JR003</v>
      </c>
      <c r="AA388" t="s">
        <v>49</v>
      </c>
      <c r="AB388" t="str">
        <f>_xlfn.XLOOKUP(Table1[[#This Row],[JobSatisfaction]],Table14[JobSatisfaction],Table14[Id_JobSatisfaction])</f>
        <v>JS001</v>
      </c>
      <c r="AC388">
        <v>1</v>
      </c>
      <c r="AD388" t="str">
        <f>_xlfn.XLOOKUP(Table1[[#This Row],[JobSatisfaction]],Table14[JobSatisfaction],Table14[Deskripsi])</f>
        <v>Low</v>
      </c>
      <c r="AE388" t="str">
        <f>_xlfn.XLOOKUP(Table1[[#This Row],[MaritalStatus]],Table15[MaritalStatus],Table15[Id_MaritalStatus])</f>
        <v>MS003</v>
      </c>
      <c r="AF388" t="s">
        <v>57</v>
      </c>
      <c r="AG388">
        <v>3034</v>
      </c>
      <c r="AH388">
        <v>26914</v>
      </c>
      <c r="AI388">
        <v>1</v>
      </c>
      <c r="AJ388" t="str">
        <f>_xlfn.XLOOKUP(Table1[[#This Row],[OverTime]],Table16[OverTime],Table16[Id_OverTime])</f>
        <v>OT002</v>
      </c>
      <c r="AK388" t="s">
        <v>33</v>
      </c>
      <c r="AL388">
        <v>12</v>
      </c>
      <c r="AM388" t="str">
        <f>_xlfn.XLOOKUP(Table1[[#This Row],[PerformanceRating]],Table17[PerformanceRating],Table17[Id_PerformanceRating])</f>
        <v>PR003</v>
      </c>
      <c r="AN388">
        <v>3</v>
      </c>
      <c r="AO388" t="str">
        <f>_xlfn.XLOOKUP(Table1[[#This Row],[PerformanceRating]],Table17[PerformanceRating],Table17[Deskripsi])</f>
        <v>Excellent</v>
      </c>
      <c r="AP388" t="str">
        <f>_xlfn.XLOOKUP(Table1[[#This Row],[RelationshipSatisfaction]],Table18[RelationshipSatisfaction],Table18[Id_RelationshipSatisfaction])</f>
        <v>RS003</v>
      </c>
      <c r="AQ388">
        <v>3</v>
      </c>
      <c r="AR388" t="str">
        <f>_xlfn.XLOOKUP(Table1[[#This Row],[RelationshipSatisfaction]],Table18[RelationshipSatisfaction],Table18[Deskripsi])</f>
        <v>High</v>
      </c>
      <c r="AS388" t="str">
        <f>_xlfn.XLOOKUP(Table1[[#This Row],[StockOptionLevel]],Table19[StockOptionLevel],Table19[Id_StockOptionLevel])</f>
        <v>SOL002</v>
      </c>
      <c r="AT388">
        <v>1</v>
      </c>
      <c r="AU388" t="str">
        <f>_xlfn.XLOOKUP(Table1[[#This Row],[StockOptionLevel]],Table19[StockOptionLevel],Table19[Deskripsi])</f>
        <v>Standard</v>
      </c>
      <c r="AV388">
        <v>18</v>
      </c>
      <c r="AW388">
        <v>2</v>
      </c>
      <c r="AX388" t="str">
        <f>_xlfn.XLOOKUP(Table1[[#This Row],[WorkLifeBalance]],Table20[WorkLifeBalance],Table20[Id_WorkLifeBalance])</f>
        <v>WLB003</v>
      </c>
      <c r="AY388">
        <v>2</v>
      </c>
      <c r="AZ388" t="str">
        <f>_xlfn.XLOOKUP(Table1[[#This Row],[WorkLifeBalance]],Table20[WorkLifeBalance],Table20[Deskripsi])</f>
        <v>Better</v>
      </c>
      <c r="BA388">
        <v>18</v>
      </c>
      <c r="BB388">
        <v>7</v>
      </c>
      <c r="BC388">
        <v>12</v>
      </c>
      <c r="BD388">
        <v>17</v>
      </c>
    </row>
    <row r="389" spans="1:56" x14ac:dyDescent="0.25">
      <c r="A389">
        <v>40</v>
      </c>
      <c r="B389" t="str">
        <f>_xlfn.XLOOKUP(Table1[[#This Row],[Attrition]],Table2[Attrition],Table2[Id_Attrition])</f>
        <v>A002</v>
      </c>
      <c r="C389" t="s">
        <v>33</v>
      </c>
      <c r="D389" t="str">
        <f>_xlfn.XLOOKUP(Table1[[#This Row],[BusinessTravel]],Table5[BusinessTravel],Table5[Id_BusinessTravel])</f>
        <v>BS001</v>
      </c>
      <c r="E389" t="s">
        <v>34</v>
      </c>
      <c r="F389">
        <v>759</v>
      </c>
      <c r="G389" t="str">
        <f>_xlfn.XLOOKUP(Table1[[#This Row],[Department]],Table6[Department],Table6[Id_Departement])</f>
        <v>D001</v>
      </c>
      <c r="H389" t="s">
        <v>37</v>
      </c>
      <c r="I389">
        <v>2</v>
      </c>
      <c r="J389" t="str">
        <f>_xlfn.XLOOKUP(Table1[[#This Row],[Education]],Table8[Education],Table8[Id_Education])</f>
        <v>E002</v>
      </c>
      <c r="K389">
        <v>2</v>
      </c>
      <c r="L389" t="str">
        <f>_xlfn.XLOOKUP(Table1[[#This Row],[EducationField]],Table7[EducationField],Table7[Id_EducationField])</f>
        <v>EF004</v>
      </c>
      <c r="M389" t="s">
        <v>43</v>
      </c>
      <c r="N389" t="str">
        <f>_xlfn.XLOOKUP(Table1[[#This Row],[EmployeeNumber]],Table4[EmployeeNumber],Table4[Id_Employee])</f>
        <v>EMP00388</v>
      </c>
      <c r="O389">
        <v>516</v>
      </c>
      <c r="P389" t="str">
        <f>_xlfn.XLOOKUP(Table1[[#This Row],[EnvironmentSatisfaction]],Table9[EnvironmentSatisfaction],Table9[Id_EnviromentSatisfaction])</f>
        <v>ES004</v>
      </c>
      <c r="Q389">
        <v>4</v>
      </c>
      <c r="R389" t="str">
        <f>_xlfn.XLOOKUP(Table1[[#This Row],[EnvironmentSatisfaction]],Table9[EnvironmentSatisfaction],Table9[Deskripsi])</f>
        <v>Very High</v>
      </c>
      <c r="S389" t="str">
        <f>_xlfn.XLOOKUP(Table1[[#This Row],[Gender]],Table10[Gender],Table10[Id_Gender])</f>
        <v>G001</v>
      </c>
      <c r="T389" t="s">
        <v>45</v>
      </c>
      <c r="U389">
        <v>46</v>
      </c>
      <c r="V389" t="str">
        <f>_xlfn.XLOOKUP(Table1[[#This Row],[JobInvolvement]],Table11[JobInvolvement],Table11[Id_JobInvolvement])</f>
        <v>JI003</v>
      </c>
      <c r="W389">
        <v>3</v>
      </c>
      <c r="X389" t="str">
        <f>_xlfn.XLOOKUP(Table1[[#This Row],[JobLevel]],Table12[JobLevel],Table12[Id_JobLevel])</f>
        <v>JL002</v>
      </c>
      <c r="Y389">
        <v>2</v>
      </c>
      <c r="Z389" t="str">
        <f>_xlfn.XLOOKUP(Table1[[#This Row],[JobRole]],Table13[JobRole],Table13[Id_JobRole])</f>
        <v>JR001</v>
      </c>
      <c r="AA389" t="s">
        <v>47</v>
      </c>
      <c r="AB389" t="str">
        <f>_xlfn.XLOOKUP(Table1[[#This Row],[JobSatisfaction]],Table14[JobSatisfaction],Table14[Id_JobSatisfaction])</f>
        <v>JS002</v>
      </c>
      <c r="AC389">
        <v>2</v>
      </c>
      <c r="AD389" t="str">
        <f>_xlfn.XLOOKUP(Table1[[#This Row],[JobSatisfaction]],Table14[JobSatisfaction],Table14[Deskripsi])</f>
        <v>Medium</v>
      </c>
      <c r="AE389" t="str">
        <f>_xlfn.XLOOKUP(Table1[[#This Row],[MaritalStatus]],Table15[MaritalStatus],Table15[Id_MaritalStatus])</f>
        <v>MS003</v>
      </c>
      <c r="AF389" t="s">
        <v>57</v>
      </c>
      <c r="AG389">
        <v>5715</v>
      </c>
      <c r="AH389">
        <v>22553</v>
      </c>
      <c r="AI389">
        <v>7</v>
      </c>
      <c r="AJ389" t="str">
        <f>_xlfn.XLOOKUP(Table1[[#This Row],[OverTime]],Table16[OverTime],Table16[Id_OverTime])</f>
        <v>OT002</v>
      </c>
      <c r="AK389" t="s">
        <v>33</v>
      </c>
      <c r="AL389">
        <v>12</v>
      </c>
      <c r="AM389" t="str">
        <f>_xlfn.XLOOKUP(Table1[[#This Row],[PerformanceRating]],Table17[PerformanceRating],Table17[Id_PerformanceRating])</f>
        <v>PR003</v>
      </c>
      <c r="AN389">
        <v>3</v>
      </c>
      <c r="AO389" t="str">
        <f>_xlfn.XLOOKUP(Table1[[#This Row],[PerformanceRating]],Table17[PerformanceRating],Table17[Deskripsi])</f>
        <v>Excellent</v>
      </c>
      <c r="AP389" t="str">
        <f>_xlfn.XLOOKUP(Table1[[#This Row],[RelationshipSatisfaction]],Table18[RelationshipSatisfaction],Table18[Id_RelationshipSatisfaction])</f>
        <v>RS003</v>
      </c>
      <c r="AQ389">
        <v>3</v>
      </c>
      <c r="AR389" t="str">
        <f>_xlfn.XLOOKUP(Table1[[#This Row],[RelationshipSatisfaction]],Table18[RelationshipSatisfaction],Table18[Deskripsi])</f>
        <v>High</v>
      </c>
      <c r="AS389" t="str">
        <f>_xlfn.XLOOKUP(Table1[[#This Row],[StockOptionLevel]],Table19[StockOptionLevel],Table19[Id_StockOptionLevel])</f>
        <v>SOL003</v>
      </c>
      <c r="AT389">
        <v>2</v>
      </c>
      <c r="AU389" t="str">
        <f>_xlfn.XLOOKUP(Table1[[#This Row],[StockOptionLevel]],Table19[StockOptionLevel],Table19[Deskripsi])</f>
        <v>Intermediate</v>
      </c>
      <c r="AV389">
        <v>8</v>
      </c>
      <c r="AW389">
        <v>5</v>
      </c>
      <c r="AX389" t="str">
        <f>_xlfn.XLOOKUP(Table1[[#This Row],[WorkLifeBalance]],Table20[WorkLifeBalance],Table20[Id_WorkLifeBalance])</f>
        <v>WLB002</v>
      </c>
      <c r="AY389">
        <v>3</v>
      </c>
      <c r="AZ389" t="str">
        <f>_xlfn.XLOOKUP(Table1[[#This Row],[WorkLifeBalance]],Table20[WorkLifeBalance],Table20[Deskripsi])</f>
        <v>Good</v>
      </c>
      <c r="BA389">
        <v>5</v>
      </c>
      <c r="BB389">
        <v>4</v>
      </c>
      <c r="BC389">
        <v>1</v>
      </c>
      <c r="BD389">
        <v>3</v>
      </c>
    </row>
    <row r="390" spans="1:56" x14ac:dyDescent="0.25">
      <c r="A390">
        <v>42</v>
      </c>
      <c r="B390" t="str">
        <f>_xlfn.XLOOKUP(Table1[[#This Row],[Attrition]],Table2[Attrition],Table2[Id_Attrition])</f>
        <v>A002</v>
      </c>
      <c r="C390" t="s">
        <v>33</v>
      </c>
      <c r="D390" t="str">
        <f>_xlfn.XLOOKUP(Table1[[#This Row],[BusinessTravel]],Table5[BusinessTravel],Table5[Id_BusinessTravel])</f>
        <v>BS001</v>
      </c>
      <c r="E390" t="s">
        <v>34</v>
      </c>
      <c r="F390">
        <v>201</v>
      </c>
      <c r="G390" t="str">
        <f>_xlfn.XLOOKUP(Table1[[#This Row],[Department]],Table6[Department],Table6[Id_Departement])</f>
        <v>D002</v>
      </c>
      <c r="H390" t="s">
        <v>38</v>
      </c>
      <c r="I390">
        <v>1</v>
      </c>
      <c r="J390" t="str">
        <f>_xlfn.XLOOKUP(Table1[[#This Row],[Education]],Table8[Education],Table8[Id_Education])</f>
        <v>E004</v>
      </c>
      <c r="K390">
        <v>4</v>
      </c>
      <c r="L390" t="str">
        <f>_xlfn.XLOOKUP(Table1[[#This Row],[EducationField]],Table7[EducationField],Table7[Id_EducationField])</f>
        <v>EF001</v>
      </c>
      <c r="M390" t="s">
        <v>40</v>
      </c>
      <c r="N390" t="str">
        <f>_xlfn.XLOOKUP(Table1[[#This Row],[EmployeeNumber]],Table4[EmployeeNumber],Table4[Id_Employee])</f>
        <v>EMP00389</v>
      </c>
      <c r="O390">
        <v>517</v>
      </c>
      <c r="P390" t="str">
        <f>_xlfn.XLOOKUP(Table1[[#This Row],[EnvironmentSatisfaction]],Table9[EnvironmentSatisfaction],Table9[Id_EnviromentSatisfaction])</f>
        <v>ES002</v>
      </c>
      <c r="Q390">
        <v>2</v>
      </c>
      <c r="R390" t="str">
        <f>_xlfn.XLOOKUP(Table1[[#This Row],[EnvironmentSatisfaction]],Table9[EnvironmentSatisfaction],Table9[Deskripsi])</f>
        <v>Medium</v>
      </c>
      <c r="S390" t="str">
        <f>_xlfn.XLOOKUP(Table1[[#This Row],[Gender]],Table10[Gender],Table10[Id_Gender])</f>
        <v>G001</v>
      </c>
      <c r="T390" t="s">
        <v>45</v>
      </c>
      <c r="U390">
        <v>95</v>
      </c>
      <c r="V390" t="str">
        <f>_xlfn.XLOOKUP(Table1[[#This Row],[JobInvolvement]],Table11[JobInvolvement],Table11[Id_JobInvolvement])</f>
        <v>JI003</v>
      </c>
      <c r="W390">
        <v>3</v>
      </c>
      <c r="X390" t="str">
        <f>_xlfn.XLOOKUP(Table1[[#This Row],[JobLevel]],Table12[JobLevel],Table12[Id_JobLevel])</f>
        <v>JL001</v>
      </c>
      <c r="Y390">
        <v>1</v>
      </c>
      <c r="Z390" t="str">
        <f>_xlfn.XLOOKUP(Table1[[#This Row],[JobRole]],Table13[JobRole],Table13[Id_JobRole])</f>
        <v>JR003</v>
      </c>
      <c r="AA390" t="s">
        <v>49</v>
      </c>
      <c r="AB390" t="str">
        <f>_xlfn.XLOOKUP(Table1[[#This Row],[JobSatisfaction]],Table14[JobSatisfaction],Table14[Id_JobSatisfaction])</f>
        <v>JS001</v>
      </c>
      <c r="AC390">
        <v>1</v>
      </c>
      <c r="AD390" t="str">
        <f>_xlfn.XLOOKUP(Table1[[#This Row],[JobSatisfaction]],Table14[JobSatisfaction],Table14[Deskripsi])</f>
        <v>Low</v>
      </c>
      <c r="AE390" t="str">
        <f>_xlfn.XLOOKUP(Table1[[#This Row],[MaritalStatus]],Table15[MaritalStatus],Table15[Id_MaritalStatus])</f>
        <v>MS003</v>
      </c>
      <c r="AF390" t="s">
        <v>57</v>
      </c>
      <c r="AG390">
        <v>2576</v>
      </c>
      <c r="AH390">
        <v>20490</v>
      </c>
      <c r="AI390">
        <v>3</v>
      </c>
      <c r="AJ390" t="str">
        <f>_xlfn.XLOOKUP(Table1[[#This Row],[OverTime]],Table16[OverTime],Table16[Id_OverTime])</f>
        <v>OT002</v>
      </c>
      <c r="AK390" t="s">
        <v>33</v>
      </c>
      <c r="AL390">
        <v>16</v>
      </c>
      <c r="AM390" t="str">
        <f>_xlfn.XLOOKUP(Table1[[#This Row],[PerformanceRating]],Table17[PerformanceRating],Table17[Id_PerformanceRating])</f>
        <v>PR003</v>
      </c>
      <c r="AN390">
        <v>3</v>
      </c>
      <c r="AO390" t="str">
        <f>_xlfn.XLOOKUP(Table1[[#This Row],[PerformanceRating]],Table17[PerformanceRating],Table17[Deskripsi])</f>
        <v>Excellent</v>
      </c>
      <c r="AP390" t="str">
        <f>_xlfn.XLOOKUP(Table1[[#This Row],[RelationshipSatisfaction]],Table18[RelationshipSatisfaction],Table18[Id_RelationshipSatisfaction])</f>
        <v>RS002</v>
      </c>
      <c r="AQ390">
        <v>2</v>
      </c>
      <c r="AR390" t="str">
        <f>_xlfn.XLOOKUP(Table1[[#This Row],[RelationshipSatisfaction]],Table18[RelationshipSatisfaction],Table18[Deskripsi])</f>
        <v>Medium</v>
      </c>
      <c r="AS390" t="str">
        <f>_xlfn.XLOOKUP(Table1[[#This Row],[StockOptionLevel]],Table19[StockOptionLevel],Table19[Id_StockOptionLevel])</f>
        <v>SOL002</v>
      </c>
      <c r="AT390">
        <v>1</v>
      </c>
      <c r="AU390" t="str">
        <f>_xlfn.XLOOKUP(Table1[[#This Row],[StockOptionLevel]],Table19[StockOptionLevel],Table19[Deskripsi])</f>
        <v>Standard</v>
      </c>
      <c r="AV390">
        <v>8</v>
      </c>
      <c r="AW390">
        <v>5</v>
      </c>
      <c r="AX390" t="str">
        <f>_xlfn.XLOOKUP(Table1[[#This Row],[WorkLifeBalance]],Table20[WorkLifeBalance],Table20[Id_WorkLifeBalance])</f>
        <v>WLB002</v>
      </c>
      <c r="AY390">
        <v>3</v>
      </c>
      <c r="AZ390" t="str">
        <f>_xlfn.XLOOKUP(Table1[[#This Row],[WorkLifeBalance]],Table20[WorkLifeBalance],Table20[Deskripsi])</f>
        <v>Good</v>
      </c>
      <c r="BA390">
        <v>5</v>
      </c>
      <c r="BB390">
        <v>2</v>
      </c>
      <c r="BC390">
        <v>1</v>
      </c>
      <c r="BD390">
        <v>2</v>
      </c>
    </row>
    <row r="391" spans="1:56" x14ac:dyDescent="0.25">
      <c r="A391">
        <v>37</v>
      </c>
      <c r="B391" t="str">
        <f>_xlfn.XLOOKUP(Table1[[#This Row],[Attrition]],Table2[Attrition],Table2[Id_Attrition])</f>
        <v>A002</v>
      </c>
      <c r="C391" t="s">
        <v>33</v>
      </c>
      <c r="D391" t="str">
        <f>_xlfn.XLOOKUP(Table1[[#This Row],[BusinessTravel]],Table5[BusinessTravel],Table5[Id_BusinessTravel])</f>
        <v>BS001</v>
      </c>
      <c r="E391" t="s">
        <v>34</v>
      </c>
      <c r="F391">
        <v>1305</v>
      </c>
      <c r="G391" t="str">
        <f>_xlfn.XLOOKUP(Table1[[#This Row],[Department]],Table6[Department],Table6[Id_Departement])</f>
        <v>D002</v>
      </c>
      <c r="H391" t="s">
        <v>38</v>
      </c>
      <c r="I391">
        <v>10</v>
      </c>
      <c r="J391" t="str">
        <f>_xlfn.XLOOKUP(Table1[[#This Row],[Education]],Table8[Education],Table8[Id_Education])</f>
        <v>E004</v>
      </c>
      <c r="K391">
        <v>4</v>
      </c>
      <c r="L391" t="str">
        <f>_xlfn.XLOOKUP(Table1[[#This Row],[EducationField]],Table7[EducationField],Table7[Id_EducationField])</f>
        <v>EF001</v>
      </c>
      <c r="M391" t="s">
        <v>40</v>
      </c>
      <c r="N391" t="str">
        <f>_xlfn.XLOOKUP(Table1[[#This Row],[EmployeeNumber]],Table4[EmployeeNumber],Table4[Id_Employee])</f>
        <v>EMP00390</v>
      </c>
      <c r="O391">
        <v>518</v>
      </c>
      <c r="P391" t="str">
        <f>_xlfn.XLOOKUP(Table1[[#This Row],[EnvironmentSatisfaction]],Table9[EnvironmentSatisfaction],Table9[Id_EnviromentSatisfaction])</f>
        <v>ES003</v>
      </c>
      <c r="Q391">
        <v>3</v>
      </c>
      <c r="R391" t="str">
        <f>_xlfn.XLOOKUP(Table1[[#This Row],[EnvironmentSatisfaction]],Table9[EnvironmentSatisfaction],Table9[Deskripsi])</f>
        <v>High</v>
      </c>
      <c r="S391" t="str">
        <f>_xlfn.XLOOKUP(Table1[[#This Row],[Gender]],Table10[Gender],Table10[Id_Gender])</f>
        <v>G002</v>
      </c>
      <c r="T391" t="s">
        <v>46</v>
      </c>
      <c r="U391">
        <v>49</v>
      </c>
      <c r="V391" t="str">
        <f>_xlfn.XLOOKUP(Table1[[#This Row],[JobInvolvement]],Table11[JobInvolvement],Table11[Id_JobInvolvement])</f>
        <v>JI003</v>
      </c>
      <c r="W391">
        <v>3</v>
      </c>
      <c r="X391" t="str">
        <f>_xlfn.XLOOKUP(Table1[[#This Row],[JobLevel]],Table12[JobLevel],Table12[Id_JobLevel])</f>
        <v>JL002</v>
      </c>
      <c r="Y391">
        <v>2</v>
      </c>
      <c r="Z391" t="str">
        <f>_xlfn.XLOOKUP(Table1[[#This Row],[JobRole]],Table13[JobRole],Table13[Id_JobRole])</f>
        <v>JR004</v>
      </c>
      <c r="AA391" t="s">
        <v>50</v>
      </c>
      <c r="AB391" t="str">
        <f>_xlfn.XLOOKUP(Table1[[#This Row],[JobSatisfaction]],Table14[JobSatisfaction],Table14[Id_JobSatisfaction])</f>
        <v>JS002</v>
      </c>
      <c r="AC391">
        <v>2</v>
      </c>
      <c r="AD391" t="str">
        <f>_xlfn.XLOOKUP(Table1[[#This Row],[JobSatisfaction]],Table14[JobSatisfaction],Table14[Deskripsi])</f>
        <v>Medium</v>
      </c>
      <c r="AE391" t="str">
        <f>_xlfn.XLOOKUP(Table1[[#This Row],[MaritalStatus]],Table15[MaritalStatus],Table15[Id_MaritalStatus])</f>
        <v>MS001</v>
      </c>
      <c r="AF391" t="s">
        <v>55</v>
      </c>
      <c r="AG391">
        <v>4197</v>
      </c>
      <c r="AH391">
        <v>21123</v>
      </c>
      <c r="AI391">
        <v>2</v>
      </c>
      <c r="AJ391" t="str">
        <f>_xlfn.XLOOKUP(Table1[[#This Row],[OverTime]],Table16[OverTime],Table16[Id_OverTime])</f>
        <v>OT001</v>
      </c>
      <c r="AK391" t="s">
        <v>32</v>
      </c>
      <c r="AL391">
        <v>12</v>
      </c>
      <c r="AM391" t="str">
        <f>_xlfn.XLOOKUP(Table1[[#This Row],[PerformanceRating]],Table17[PerformanceRating],Table17[Id_PerformanceRating])</f>
        <v>PR003</v>
      </c>
      <c r="AN391">
        <v>3</v>
      </c>
      <c r="AO391" t="str">
        <f>_xlfn.XLOOKUP(Table1[[#This Row],[PerformanceRating]],Table17[PerformanceRating],Table17[Deskripsi])</f>
        <v>Excellent</v>
      </c>
      <c r="AP391" t="str">
        <f>_xlfn.XLOOKUP(Table1[[#This Row],[RelationshipSatisfaction]],Table18[RelationshipSatisfaction],Table18[Id_RelationshipSatisfaction])</f>
        <v>RS004</v>
      </c>
      <c r="AQ391">
        <v>4</v>
      </c>
      <c r="AR391" t="str">
        <f>_xlfn.XLOOKUP(Table1[[#This Row],[RelationshipSatisfaction]],Table18[RelationshipSatisfaction],Table18[Deskripsi])</f>
        <v>Very High</v>
      </c>
      <c r="AS391" t="str">
        <f>_xlfn.XLOOKUP(Table1[[#This Row],[StockOptionLevel]],Table19[StockOptionLevel],Table19[Id_StockOptionLevel])</f>
        <v>SOL001</v>
      </c>
      <c r="AT391">
        <v>0</v>
      </c>
      <c r="AU391" t="str">
        <f>_xlfn.XLOOKUP(Table1[[#This Row],[StockOptionLevel]],Table19[StockOptionLevel],Table19[Deskripsi])</f>
        <v>Non-Eligible</v>
      </c>
      <c r="AV391">
        <v>18</v>
      </c>
      <c r="AW391">
        <v>2</v>
      </c>
      <c r="AX391" t="str">
        <f>_xlfn.XLOOKUP(Table1[[#This Row],[WorkLifeBalance]],Table20[WorkLifeBalance],Table20[Id_WorkLifeBalance])</f>
        <v>WLB003</v>
      </c>
      <c r="AY391">
        <v>2</v>
      </c>
      <c r="AZ391" t="str">
        <f>_xlfn.XLOOKUP(Table1[[#This Row],[WorkLifeBalance]],Table20[WorkLifeBalance],Table20[Deskripsi])</f>
        <v>Better</v>
      </c>
      <c r="BA391">
        <v>1</v>
      </c>
      <c r="BB391">
        <v>0</v>
      </c>
      <c r="BC391">
        <v>0</v>
      </c>
      <c r="BD391">
        <v>1</v>
      </c>
    </row>
    <row r="392" spans="1:56" x14ac:dyDescent="0.25">
      <c r="A392">
        <v>43</v>
      </c>
      <c r="B392" t="str">
        <f>_xlfn.XLOOKUP(Table1[[#This Row],[Attrition]],Table2[Attrition],Table2[Id_Attrition])</f>
        <v>A002</v>
      </c>
      <c r="C392" t="s">
        <v>33</v>
      </c>
      <c r="D392" t="str">
        <f>_xlfn.XLOOKUP(Table1[[#This Row],[BusinessTravel]],Table5[BusinessTravel],Table5[Id_BusinessTravel])</f>
        <v>BS001</v>
      </c>
      <c r="E392" t="s">
        <v>34</v>
      </c>
      <c r="F392">
        <v>982</v>
      </c>
      <c r="G392" t="str">
        <f>_xlfn.XLOOKUP(Table1[[#This Row],[Department]],Table6[Department],Table6[Id_Departement])</f>
        <v>D002</v>
      </c>
      <c r="H392" t="s">
        <v>38</v>
      </c>
      <c r="I392">
        <v>12</v>
      </c>
      <c r="J392" t="str">
        <f>_xlfn.XLOOKUP(Table1[[#This Row],[Education]],Table8[Education],Table8[Id_Education])</f>
        <v>E003</v>
      </c>
      <c r="K392">
        <v>3</v>
      </c>
      <c r="L392" t="str">
        <f>_xlfn.XLOOKUP(Table1[[#This Row],[EducationField]],Table7[EducationField],Table7[Id_EducationField])</f>
        <v>EF001</v>
      </c>
      <c r="M392" t="s">
        <v>40</v>
      </c>
      <c r="N392" t="str">
        <f>_xlfn.XLOOKUP(Table1[[#This Row],[EmployeeNumber]],Table4[EmployeeNumber],Table4[Id_Employee])</f>
        <v>EMP00391</v>
      </c>
      <c r="O392">
        <v>520</v>
      </c>
      <c r="P392" t="str">
        <f>_xlfn.XLOOKUP(Table1[[#This Row],[EnvironmentSatisfaction]],Table9[EnvironmentSatisfaction],Table9[Id_EnviromentSatisfaction])</f>
        <v>ES001</v>
      </c>
      <c r="Q392">
        <v>1</v>
      </c>
      <c r="R392" t="str">
        <f>_xlfn.XLOOKUP(Table1[[#This Row],[EnvironmentSatisfaction]],Table9[EnvironmentSatisfaction],Table9[Deskripsi])</f>
        <v>Low</v>
      </c>
      <c r="S392" t="str">
        <f>_xlfn.XLOOKUP(Table1[[#This Row],[Gender]],Table10[Gender],Table10[Id_Gender])</f>
        <v>G002</v>
      </c>
      <c r="T392" t="s">
        <v>46</v>
      </c>
      <c r="U392">
        <v>59</v>
      </c>
      <c r="V392" t="str">
        <f>_xlfn.XLOOKUP(Table1[[#This Row],[JobInvolvement]],Table11[JobInvolvement],Table11[Id_JobInvolvement])</f>
        <v>JI002</v>
      </c>
      <c r="W392">
        <v>2</v>
      </c>
      <c r="X392" t="str">
        <f>_xlfn.XLOOKUP(Table1[[#This Row],[JobLevel]],Table12[JobLevel],Table12[Id_JobLevel])</f>
        <v>JL004</v>
      </c>
      <c r="Y392">
        <v>4</v>
      </c>
      <c r="Z392" t="str">
        <f>_xlfn.XLOOKUP(Table1[[#This Row],[JobRole]],Table13[JobRole],Table13[Id_JobRole])</f>
        <v>JR008</v>
      </c>
      <c r="AA392" t="s">
        <v>54</v>
      </c>
      <c r="AB392" t="str">
        <f>_xlfn.XLOOKUP(Table1[[#This Row],[JobSatisfaction]],Table14[JobSatisfaction],Table14[Id_JobSatisfaction])</f>
        <v>JS002</v>
      </c>
      <c r="AC392">
        <v>2</v>
      </c>
      <c r="AD392" t="str">
        <f>_xlfn.XLOOKUP(Table1[[#This Row],[JobSatisfaction]],Table14[JobSatisfaction],Table14[Deskripsi])</f>
        <v>Medium</v>
      </c>
      <c r="AE392" t="str">
        <f>_xlfn.XLOOKUP(Table1[[#This Row],[MaritalStatus]],Table15[MaritalStatus],Table15[Id_MaritalStatus])</f>
        <v>MS003</v>
      </c>
      <c r="AF392" t="s">
        <v>57</v>
      </c>
      <c r="AG392">
        <v>14336</v>
      </c>
      <c r="AH392">
        <v>4345</v>
      </c>
      <c r="AI392">
        <v>1</v>
      </c>
      <c r="AJ392" t="str">
        <f>_xlfn.XLOOKUP(Table1[[#This Row],[OverTime]],Table16[OverTime],Table16[Id_OverTime])</f>
        <v>OT002</v>
      </c>
      <c r="AK392" t="s">
        <v>33</v>
      </c>
      <c r="AL392">
        <v>11</v>
      </c>
      <c r="AM392" t="str">
        <f>_xlfn.XLOOKUP(Table1[[#This Row],[PerformanceRating]],Table17[PerformanceRating],Table17[Id_PerformanceRating])</f>
        <v>PR003</v>
      </c>
      <c r="AN392">
        <v>3</v>
      </c>
      <c r="AO392" t="str">
        <f>_xlfn.XLOOKUP(Table1[[#This Row],[PerformanceRating]],Table17[PerformanceRating],Table17[Deskripsi])</f>
        <v>Excellent</v>
      </c>
      <c r="AP392" t="str">
        <f>_xlfn.XLOOKUP(Table1[[#This Row],[RelationshipSatisfaction]],Table18[RelationshipSatisfaction],Table18[Id_RelationshipSatisfaction])</f>
        <v>RS003</v>
      </c>
      <c r="AQ392">
        <v>3</v>
      </c>
      <c r="AR392" t="str">
        <f>_xlfn.XLOOKUP(Table1[[#This Row],[RelationshipSatisfaction]],Table18[RelationshipSatisfaction],Table18[Deskripsi])</f>
        <v>High</v>
      </c>
      <c r="AS392" t="str">
        <f>_xlfn.XLOOKUP(Table1[[#This Row],[StockOptionLevel]],Table19[StockOptionLevel],Table19[Id_StockOptionLevel])</f>
        <v>SOL002</v>
      </c>
      <c r="AT392">
        <v>1</v>
      </c>
      <c r="AU392" t="str">
        <f>_xlfn.XLOOKUP(Table1[[#This Row],[StockOptionLevel]],Table19[StockOptionLevel],Table19[Deskripsi])</f>
        <v>Standard</v>
      </c>
      <c r="AV392">
        <v>25</v>
      </c>
      <c r="AW392">
        <v>3</v>
      </c>
      <c r="AX392" t="str">
        <f>_xlfn.XLOOKUP(Table1[[#This Row],[WorkLifeBalance]],Table20[WorkLifeBalance],Table20[Id_WorkLifeBalance])</f>
        <v>WLB002</v>
      </c>
      <c r="AY392">
        <v>3</v>
      </c>
      <c r="AZ392" t="str">
        <f>_xlfn.XLOOKUP(Table1[[#This Row],[WorkLifeBalance]],Table20[WorkLifeBalance],Table20[Deskripsi])</f>
        <v>Good</v>
      </c>
      <c r="BA392">
        <v>25</v>
      </c>
      <c r="BB392">
        <v>10</v>
      </c>
      <c r="BC392">
        <v>3</v>
      </c>
      <c r="BD392">
        <v>9</v>
      </c>
    </row>
    <row r="393" spans="1:56" x14ac:dyDescent="0.25">
      <c r="A393">
        <v>40</v>
      </c>
      <c r="B393" t="str">
        <f>_xlfn.XLOOKUP(Table1[[#This Row],[Attrition]],Table2[Attrition],Table2[Id_Attrition])</f>
        <v>A002</v>
      </c>
      <c r="C393" t="s">
        <v>33</v>
      </c>
      <c r="D393" t="str">
        <f>_xlfn.XLOOKUP(Table1[[#This Row],[BusinessTravel]],Table5[BusinessTravel],Table5[Id_BusinessTravel])</f>
        <v>BS001</v>
      </c>
      <c r="E393" t="s">
        <v>34</v>
      </c>
      <c r="F393">
        <v>555</v>
      </c>
      <c r="G393" t="str">
        <f>_xlfn.XLOOKUP(Table1[[#This Row],[Department]],Table6[Department],Table6[Id_Departement])</f>
        <v>D002</v>
      </c>
      <c r="H393" t="s">
        <v>38</v>
      </c>
      <c r="I393">
        <v>2</v>
      </c>
      <c r="J393" t="str">
        <f>_xlfn.XLOOKUP(Table1[[#This Row],[Education]],Table8[Education],Table8[Id_Education])</f>
        <v>E003</v>
      </c>
      <c r="K393">
        <v>3</v>
      </c>
      <c r="L393" t="str">
        <f>_xlfn.XLOOKUP(Table1[[#This Row],[EducationField]],Table7[EducationField],Table7[Id_EducationField])</f>
        <v>EF003</v>
      </c>
      <c r="M393" t="s">
        <v>42</v>
      </c>
      <c r="N393" t="str">
        <f>_xlfn.XLOOKUP(Table1[[#This Row],[EmployeeNumber]],Table4[EmployeeNumber],Table4[Id_Employee])</f>
        <v>EMP00392</v>
      </c>
      <c r="O393">
        <v>521</v>
      </c>
      <c r="P393" t="str">
        <f>_xlfn.XLOOKUP(Table1[[#This Row],[EnvironmentSatisfaction]],Table9[EnvironmentSatisfaction],Table9[Id_EnviromentSatisfaction])</f>
        <v>ES002</v>
      </c>
      <c r="Q393">
        <v>2</v>
      </c>
      <c r="R393" t="str">
        <f>_xlfn.XLOOKUP(Table1[[#This Row],[EnvironmentSatisfaction]],Table9[EnvironmentSatisfaction],Table9[Deskripsi])</f>
        <v>Medium</v>
      </c>
      <c r="S393" t="str">
        <f>_xlfn.XLOOKUP(Table1[[#This Row],[Gender]],Table10[Gender],Table10[Id_Gender])</f>
        <v>G001</v>
      </c>
      <c r="T393" t="s">
        <v>45</v>
      </c>
      <c r="U393">
        <v>78</v>
      </c>
      <c r="V393" t="str">
        <f>_xlfn.XLOOKUP(Table1[[#This Row],[JobInvolvement]],Table11[JobInvolvement],Table11[Id_JobInvolvement])</f>
        <v>JI002</v>
      </c>
      <c r="W393">
        <v>2</v>
      </c>
      <c r="X393" t="str">
        <f>_xlfn.XLOOKUP(Table1[[#This Row],[JobLevel]],Table12[JobLevel],Table12[Id_JobLevel])</f>
        <v>JL002</v>
      </c>
      <c r="Y393">
        <v>2</v>
      </c>
      <c r="Z393" t="str">
        <f>_xlfn.XLOOKUP(Table1[[#This Row],[JobRole]],Table13[JobRole],Table13[Id_JobRole])</f>
        <v>JR003</v>
      </c>
      <c r="AA393" t="s">
        <v>49</v>
      </c>
      <c r="AB393" t="str">
        <f>_xlfn.XLOOKUP(Table1[[#This Row],[JobSatisfaction]],Table14[JobSatisfaction],Table14[Id_JobSatisfaction])</f>
        <v>JS003</v>
      </c>
      <c r="AC393">
        <v>3</v>
      </c>
      <c r="AD393" t="str">
        <f>_xlfn.XLOOKUP(Table1[[#This Row],[JobSatisfaction]],Table14[JobSatisfaction],Table14[Deskripsi])</f>
        <v>High</v>
      </c>
      <c r="AE393" t="str">
        <f>_xlfn.XLOOKUP(Table1[[#This Row],[MaritalStatus]],Table15[MaritalStatus],Table15[Id_MaritalStatus])</f>
        <v>MS002</v>
      </c>
      <c r="AF393" t="s">
        <v>56</v>
      </c>
      <c r="AG393">
        <v>3448</v>
      </c>
      <c r="AH393">
        <v>13436</v>
      </c>
      <c r="AI393">
        <v>6</v>
      </c>
      <c r="AJ393" t="str">
        <f>_xlfn.XLOOKUP(Table1[[#This Row],[OverTime]],Table16[OverTime],Table16[Id_OverTime])</f>
        <v>OT002</v>
      </c>
      <c r="AK393" t="s">
        <v>33</v>
      </c>
      <c r="AL393">
        <v>22</v>
      </c>
      <c r="AM393" t="str">
        <f>_xlfn.XLOOKUP(Table1[[#This Row],[PerformanceRating]],Table17[PerformanceRating],Table17[Id_PerformanceRating])</f>
        <v>PR004</v>
      </c>
      <c r="AN393">
        <v>4</v>
      </c>
      <c r="AO393" t="str">
        <f>_xlfn.XLOOKUP(Table1[[#This Row],[PerformanceRating]],Table17[PerformanceRating],Table17[Deskripsi])</f>
        <v>Outstanding</v>
      </c>
      <c r="AP393" t="str">
        <f>_xlfn.XLOOKUP(Table1[[#This Row],[RelationshipSatisfaction]],Table18[RelationshipSatisfaction],Table18[Id_RelationshipSatisfaction])</f>
        <v>RS002</v>
      </c>
      <c r="AQ393">
        <v>2</v>
      </c>
      <c r="AR393" t="str">
        <f>_xlfn.XLOOKUP(Table1[[#This Row],[RelationshipSatisfaction]],Table18[RelationshipSatisfaction],Table18[Deskripsi])</f>
        <v>Medium</v>
      </c>
      <c r="AS393" t="str">
        <f>_xlfn.XLOOKUP(Table1[[#This Row],[StockOptionLevel]],Table19[StockOptionLevel],Table19[Id_StockOptionLevel])</f>
        <v>SOL002</v>
      </c>
      <c r="AT393">
        <v>1</v>
      </c>
      <c r="AU393" t="str">
        <f>_xlfn.XLOOKUP(Table1[[#This Row],[StockOptionLevel]],Table19[StockOptionLevel],Table19[Deskripsi])</f>
        <v>Standard</v>
      </c>
      <c r="AV393">
        <v>20</v>
      </c>
      <c r="AW393">
        <v>3</v>
      </c>
      <c r="AX393" t="str">
        <f>_xlfn.XLOOKUP(Table1[[#This Row],[WorkLifeBalance]],Table20[WorkLifeBalance],Table20[Id_WorkLifeBalance])</f>
        <v>WLB002</v>
      </c>
      <c r="AY393">
        <v>3</v>
      </c>
      <c r="AZ393" t="str">
        <f>_xlfn.XLOOKUP(Table1[[#This Row],[WorkLifeBalance]],Table20[WorkLifeBalance],Table20[Deskripsi])</f>
        <v>Good</v>
      </c>
      <c r="BA393">
        <v>1</v>
      </c>
      <c r="BB393">
        <v>0</v>
      </c>
      <c r="BC393">
        <v>0</v>
      </c>
      <c r="BD393">
        <v>0</v>
      </c>
    </row>
    <row r="394" spans="1:56" x14ac:dyDescent="0.25">
      <c r="A394">
        <v>54</v>
      </c>
      <c r="B394" t="str">
        <f>_xlfn.XLOOKUP(Table1[[#This Row],[Attrition]],Table2[Attrition],Table2[Id_Attrition])</f>
        <v>A002</v>
      </c>
      <c r="C394" t="s">
        <v>33</v>
      </c>
      <c r="D394" t="str">
        <f>_xlfn.XLOOKUP(Table1[[#This Row],[BusinessTravel]],Table5[BusinessTravel],Table5[Id_BusinessTravel])</f>
        <v>BS001</v>
      </c>
      <c r="E394" t="s">
        <v>34</v>
      </c>
      <c r="F394">
        <v>821</v>
      </c>
      <c r="G394" t="str">
        <f>_xlfn.XLOOKUP(Table1[[#This Row],[Department]],Table6[Department],Table6[Id_Departement])</f>
        <v>D002</v>
      </c>
      <c r="H394" t="s">
        <v>38</v>
      </c>
      <c r="I394">
        <v>5</v>
      </c>
      <c r="J394" t="str">
        <f>_xlfn.XLOOKUP(Table1[[#This Row],[Education]],Table8[Education],Table8[Id_Education])</f>
        <v>E002</v>
      </c>
      <c r="K394">
        <v>2</v>
      </c>
      <c r="L394" t="str">
        <f>_xlfn.XLOOKUP(Table1[[#This Row],[EducationField]],Table7[EducationField],Table7[Id_EducationField])</f>
        <v>EF003</v>
      </c>
      <c r="M394" t="s">
        <v>42</v>
      </c>
      <c r="N394" t="str">
        <f>_xlfn.XLOOKUP(Table1[[#This Row],[EmployeeNumber]],Table4[EmployeeNumber],Table4[Id_Employee])</f>
        <v>EMP00393</v>
      </c>
      <c r="O394">
        <v>522</v>
      </c>
      <c r="P394" t="str">
        <f>_xlfn.XLOOKUP(Table1[[#This Row],[EnvironmentSatisfaction]],Table9[EnvironmentSatisfaction],Table9[Id_EnviromentSatisfaction])</f>
        <v>ES001</v>
      </c>
      <c r="Q394">
        <v>1</v>
      </c>
      <c r="R394" t="str">
        <f>_xlfn.XLOOKUP(Table1[[#This Row],[EnvironmentSatisfaction]],Table9[EnvironmentSatisfaction],Table9[Deskripsi])</f>
        <v>Low</v>
      </c>
      <c r="S394" t="str">
        <f>_xlfn.XLOOKUP(Table1[[#This Row],[Gender]],Table10[Gender],Table10[Id_Gender])</f>
        <v>G002</v>
      </c>
      <c r="T394" t="s">
        <v>46</v>
      </c>
      <c r="U394">
        <v>86</v>
      </c>
      <c r="V394" t="str">
        <f>_xlfn.XLOOKUP(Table1[[#This Row],[JobInvolvement]],Table11[JobInvolvement],Table11[Id_JobInvolvement])</f>
        <v>JI003</v>
      </c>
      <c r="W394">
        <v>3</v>
      </c>
      <c r="X394" t="str">
        <f>_xlfn.XLOOKUP(Table1[[#This Row],[JobLevel]],Table12[JobLevel],Table12[Id_JobLevel])</f>
        <v>JL005</v>
      </c>
      <c r="Y394">
        <v>5</v>
      </c>
      <c r="Z394" t="str">
        <f>_xlfn.XLOOKUP(Table1[[#This Row],[JobRole]],Table13[JobRole],Table13[Id_JobRole])</f>
        <v>JR008</v>
      </c>
      <c r="AA394" t="s">
        <v>54</v>
      </c>
      <c r="AB394" t="str">
        <f>_xlfn.XLOOKUP(Table1[[#This Row],[JobSatisfaction]],Table14[JobSatisfaction],Table14[Id_JobSatisfaction])</f>
        <v>JS001</v>
      </c>
      <c r="AC394">
        <v>1</v>
      </c>
      <c r="AD394" t="str">
        <f>_xlfn.XLOOKUP(Table1[[#This Row],[JobSatisfaction]],Table14[JobSatisfaction],Table14[Deskripsi])</f>
        <v>Low</v>
      </c>
      <c r="AE394" t="str">
        <f>_xlfn.XLOOKUP(Table1[[#This Row],[MaritalStatus]],Table15[MaritalStatus],Table15[Id_MaritalStatus])</f>
        <v>MS002</v>
      </c>
      <c r="AF394" t="s">
        <v>56</v>
      </c>
      <c r="AG394">
        <v>19406</v>
      </c>
      <c r="AH394">
        <v>8509</v>
      </c>
      <c r="AI394">
        <v>4</v>
      </c>
      <c r="AJ394" t="str">
        <f>_xlfn.XLOOKUP(Table1[[#This Row],[OverTime]],Table16[OverTime],Table16[Id_OverTime])</f>
        <v>OT002</v>
      </c>
      <c r="AK394" t="s">
        <v>33</v>
      </c>
      <c r="AL394">
        <v>11</v>
      </c>
      <c r="AM394" t="str">
        <f>_xlfn.XLOOKUP(Table1[[#This Row],[PerformanceRating]],Table17[PerformanceRating],Table17[Id_PerformanceRating])</f>
        <v>PR003</v>
      </c>
      <c r="AN394">
        <v>3</v>
      </c>
      <c r="AO394" t="str">
        <f>_xlfn.XLOOKUP(Table1[[#This Row],[PerformanceRating]],Table17[PerformanceRating],Table17[Deskripsi])</f>
        <v>Excellent</v>
      </c>
      <c r="AP394" t="str">
        <f>_xlfn.XLOOKUP(Table1[[#This Row],[RelationshipSatisfaction]],Table18[RelationshipSatisfaction],Table18[Id_RelationshipSatisfaction])</f>
        <v>RS003</v>
      </c>
      <c r="AQ394">
        <v>3</v>
      </c>
      <c r="AR394" t="str">
        <f>_xlfn.XLOOKUP(Table1[[#This Row],[RelationshipSatisfaction]],Table18[RelationshipSatisfaction],Table18[Deskripsi])</f>
        <v>High</v>
      </c>
      <c r="AS394" t="str">
        <f>_xlfn.XLOOKUP(Table1[[#This Row],[StockOptionLevel]],Table19[StockOptionLevel],Table19[Id_StockOptionLevel])</f>
        <v>SOL002</v>
      </c>
      <c r="AT394">
        <v>1</v>
      </c>
      <c r="AU394" t="str">
        <f>_xlfn.XLOOKUP(Table1[[#This Row],[StockOptionLevel]],Table19[StockOptionLevel],Table19[Deskripsi])</f>
        <v>Standard</v>
      </c>
      <c r="AV394">
        <v>24</v>
      </c>
      <c r="AW394">
        <v>4</v>
      </c>
      <c r="AX394" t="str">
        <f>_xlfn.XLOOKUP(Table1[[#This Row],[WorkLifeBalance]],Table20[WorkLifeBalance],Table20[Id_WorkLifeBalance])</f>
        <v>WLB003</v>
      </c>
      <c r="AY394">
        <v>2</v>
      </c>
      <c r="AZ394" t="str">
        <f>_xlfn.XLOOKUP(Table1[[#This Row],[WorkLifeBalance]],Table20[WorkLifeBalance],Table20[Deskripsi])</f>
        <v>Better</v>
      </c>
      <c r="BA394">
        <v>4</v>
      </c>
      <c r="BB394">
        <v>2</v>
      </c>
      <c r="BC394">
        <v>1</v>
      </c>
      <c r="BD394">
        <v>2</v>
      </c>
    </row>
    <row r="395" spans="1:56" x14ac:dyDescent="0.25">
      <c r="A395">
        <v>34</v>
      </c>
      <c r="B395" t="str">
        <f>_xlfn.XLOOKUP(Table1[[#This Row],[Attrition]],Table2[Attrition],Table2[Id_Attrition])</f>
        <v>A002</v>
      </c>
      <c r="C395" t="s">
        <v>33</v>
      </c>
      <c r="D395" t="str">
        <f>_xlfn.XLOOKUP(Table1[[#This Row],[BusinessTravel]],Table5[BusinessTravel],Table5[Id_BusinessTravel])</f>
        <v>BS003</v>
      </c>
      <c r="E395" t="s">
        <v>36</v>
      </c>
      <c r="F395">
        <v>1381</v>
      </c>
      <c r="G395" t="str">
        <f>_xlfn.XLOOKUP(Table1[[#This Row],[Department]],Table6[Department],Table6[Id_Departement])</f>
        <v>D001</v>
      </c>
      <c r="H395" t="s">
        <v>37</v>
      </c>
      <c r="I395">
        <v>4</v>
      </c>
      <c r="J395" t="str">
        <f>_xlfn.XLOOKUP(Table1[[#This Row],[Education]],Table8[Education],Table8[Id_Education])</f>
        <v>E004</v>
      </c>
      <c r="K395">
        <v>4</v>
      </c>
      <c r="L395" t="str">
        <f>_xlfn.XLOOKUP(Table1[[#This Row],[EducationField]],Table7[EducationField],Table7[Id_EducationField])</f>
        <v>EF004</v>
      </c>
      <c r="M395" t="s">
        <v>43</v>
      </c>
      <c r="N395" t="str">
        <f>_xlfn.XLOOKUP(Table1[[#This Row],[EmployeeNumber]],Table4[EmployeeNumber],Table4[Id_Employee])</f>
        <v>EMP00394</v>
      </c>
      <c r="O395">
        <v>523</v>
      </c>
      <c r="P395" t="str">
        <f>_xlfn.XLOOKUP(Table1[[#This Row],[EnvironmentSatisfaction]],Table9[EnvironmentSatisfaction],Table9[Id_EnviromentSatisfaction])</f>
        <v>ES003</v>
      </c>
      <c r="Q395">
        <v>3</v>
      </c>
      <c r="R395" t="str">
        <f>_xlfn.XLOOKUP(Table1[[#This Row],[EnvironmentSatisfaction]],Table9[EnvironmentSatisfaction],Table9[Deskripsi])</f>
        <v>High</v>
      </c>
      <c r="S395" t="str">
        <f>_xlfn.XLOOKUP(Table1[[#This Row],[Gender]],Table10[Gender],Table10[Id_Gender])</f>
        <v>G001</v>
      </c>
      <c r="T395" t="s">
        <v>45</v>
      </c>
      <c r="U395">
        <v>72</v>
      </c>
      <c r="V395" t="str">
        <f>_xlfn.XLOOKUP(Table1[[#This Row],[JobInvolvement]],Table11[JobInvolvement],Table11[Id_JobInvolvement])</f>
        <v>JI003</v>
      </c>
      <c r="W395">
        <v>3</v>
      </c>
      <c r="X395" t="str">
        <f>_xlfn.XLOOKUP(Table1[[#This Row],[JobLevel]],Table12[JobLevel],Table12[Id_JobLevel])</f>
        <v>JL002</v>
      </c>
      <c r="Y395">
        <v>2</v>
      </c>
      <c r="Z395" t="str">
        <f>_xlfn.XLOOKUP(Table1[[#This Row],[JobRole]],Table13[JobRole],Table13[Id_JobRole])</f>
        <v>JR001</v>
      </c>
      <c r="AA395" t="s">
        <v>47</v>
      </c>
      <c r="AB395" t="str">
        <f>_xlfn.XLOOKUP(Table1[[#This Row],[JobSatisfaction]],Table14[JobSatisfaction],Table14[Id_JobSatisfaction])</f>
        <v>JS003</v>
      </c>
      <c r="AC395">
        <v>3</v>
      </c>
      <c r="AD395" t="str">
        <f>_xlfn.XLOOKUP(Table1[[#This Row],[JobSatisfaction]],Table14[JobSatisfaction],Table14[Deskripsi])</f>
        <v>High</v>
      </c>
      <c r="AE395" t="str">
        <f>_xlfn.XLOOKUP(Table1[[#This Row],[MaritalStatus]],Table15[MaritalStatus],Table15[Id_MaritalStatus])</f>
        <v>MS002</v>
      </c>
      <c r="AF395" t="s">
        <v>56</v>
      </c>
      <c r="AG395">
        <v>6538</v>
      </c>
      <c r="AH395">
        <v>12740</v>
      </c>
      <c r="AI395">
        <v>9</v>
      </c>
      <c r="AJ395" t="str">
        <f>_xlfn.XLOOKUP(Table1[[#This Row],[OverTime]],Table16[OverTime],Table16[Id_OverTime])</f>
        <v>OT002</v>
      </c>
      <c r="AK395" t="s">
        <v>33</v>
      </c>
      <c r="AL395">
        <v>15</v>
      </c>
      <c r="AM395" t="str">
        <f>_xlfn.XLOOKUP(Table1[[#This Row],[PerformanceRating]],Table17[PerformanceRating],Table17[Id_PerformanceRating])</f>
        <v>PR003</v>
      </c>
      <c r="AN395">
        <v>3</v>
      </c>
      <c r="AO395" t="str">
        <f>_xlfn.XLOOKUP(Table1[[#This Row],[PerformanceRating]],Table17[PerformanceRating],Table17[Deskripsi])</f>
        <v>Excellent</v>
      </c>
      <c r="AP395" t="str">
        <f>_xlfn.XLOOKUP(Table1[[#This Row],[RelationshipSatisfaction]],Table18[RelationshipSatisfaction],Table18[Id_RelationshipSatisfaction])</f>
        <v>RS001</v>
      </c>
      <c r="AQ395">
        <v>1</v>
      </c>
      <c r="AR395" t="str">
        <f>_xlfn.XLOOKUP(Table1[[#This Row],[RelationshipSatisfaction]],Table18[RelationshipSatisfaction],Table18[Deskripsi])</f>
        <v>Low</v>
      </c>
      <c r="AS395" t="str">
        <f>_xlfn.XLOOKUP(Table1[[#This Row],[StockOptionLevel]],Table19[StockOptionLevel],Table19[Id_StockOptionLevel])</f>
        <v>SOL002</v>
      </c>
      <c r="AT395">
        <v>1</v>
      </c>
      <c r="AU395" t="str">
        <f>_xlfn.XLOOKUP(Table1[[#This Row],[StockOptionLevel]],Table19[StockOptionLevel],Table19[Deskripsi])</f>
        <v>Standard</v>
      </c>
      <c r="AV395">
        <v>6</v>
      </c>
      <c r="AW395">
        <v>3</v>
      </c>
      <c r="AX395" t="str">
        <f>_xlfn.XLOOKUP(Table1[[#This Row],[WorkLifeBalance]],Table20[WorkLifeBalance],Table20[Id_WorkLifeBalance])</f>
        <v>WLB002</v>
      </c>
      <c r="AY395">
        <v>3</v>
      </c>
      <c r="AZ395" t="str">
        <f>_xlfn.XLOOKUP(Table1[[#This Row],[WorkLifeBalance]],Table20[WorkLifeBalance],Table20[Deskripsi])</f>
        <v>Good</v>
      </c>
      <c r="BA395">
        <v>3</v>
      </c>
      <c r="BB395">
        <v>2</v>
      </c>
      <c r="BC395">
        <v>1</v>
      </c>
      <c r="BD395">
        <v>2</v>
      </c>
    </row>
    <row r="396" spans="1:56" x14ac:dyDescent="0.25">
      <c r="A396">
        <v>31</v>
      </c>
      <c r="B396" t="str">
        <f>_xlfn.XLOOKUP(Table1[[#This Row],[Attrition]],Table2[Attrition],Table2[Id_Attrition])</f>
        <v>A002</v>
      </c>
      <c r="C396" t="s">
        <v>33</v>
      </c>
      <c r="D396" t="str">
        <f>_xlfn.XLOOKUP(Table1[[#This Row],[BusinessTravel]],Table5[BusinessTravel],Table5[Id_BusinessTravel])</f>
        <v>BS001</v>
      </c>
      <c r="E396" t="s">
        <v>34</v>
      </c>
      <c r="F396">
        <v>480</v>
      </c>
      <c r="G396" t="str">
        <f>_xlfn.XLOOKUP(Table1[[#This Row],[Department]],Table6[Department],Table6[Id_Departement])</f>
        <v>D002</v>
      </c>
      <c r="H396" t="s">
        <v>38</v>
      </c>
      <c r="I396">
        <v>7</v>
      </c>
      <c r="J396" t="str">
        <f>_xlfn.XLOOKUP(Table1[[#This Row],[Education]],Table8[Education],Table8[Id_Education])</f>
        <v>E002</v>
      </c>
      <c r="K396">
        <v>2</v>
      </c>
      <c r="L396" t="str">
        <f>_xlfn.XLOOKUP(Table1[[#This Row],[EducationField]],Table7[EducationField],Table7[Id_EducationField])</f>
        <v>EF003</v>
      </c>
      <c r="M396" t="s">
        <v>42</v>
      </c>
      <c r="N396" t="str">
        <f>_xlfn.XLOOKUP(Table1[[#This Row],[EmployeeNumber]],Table4[EmployeeNumber],Table4[Id_Employee])</f>
        <v>EMP00395</v>
      </c>
      <c r="O396">
        <v>524</v>
      </c>
      <c r="P396" t="str">
        <f>_xlfn.XLOOKUP(Table1[[#This Row],[EnvironmentSatisfaction]],Table9[EnvironmentSatisfaction],Table9[Id_EnviromentSatisfaction])</f>
        <v>ES002</v>
      </c>
      <c r="Q396">
        <v>2</v>
      </c>
      <c r="R396" t="str">
        <f>_xlfn.XLOOKUP(Table1[[#This Row],[EnvironmentSatisfaction]],Table9[EnvironmentSatisfaction],Table9[Deskripsi])</f>
        <v>Medium</v>
      </c>
      <c r="S396" t="str">
        <f>_xlfn.XLOOKUP(Table1[[#This Row],[Gender]],Table10[Gender],Table10[Id_Gender])</f>
        <v>G001</v>
      </c>
      <c r="T396" t="s">
        <v>45</v>
      </c>
      <c r="U396">
        <v>31</v>
      </c>
      <c r="V396" t="str">
        <f>_xlfn.XLOOKUP(Table1[[#This Row],[JobInvolvement]],Table11[JobInvolvement],Table11[Id_JobInvolvement])</f>
        <v>JI003</v>
      </c>
      <c r="W396">
        <v>3</v>
      </c>
      <c r="X396" t="str">
        <f>_xlfn.XLOOKUP(Table1[[#This Row],[JobLevel]],Table12[JobLevel],Table12[Id_JobLevel])</f>
        <v>JL002</v>
      </c>
      <c r="Y396">
        <v>2</v>
      </c>
      <c r="Z396" t="str">
        <f>_xlfn.XLOOKUP(Table1[[#This Row],[JobRole]],Table13[JobRole],Table13[Id_JobRole])</f>
        <v>JR004</v>
      </c>
      <c r="AA396" t="s">
        <v>50</v>
      </c>
      <c r="AB396" t="str">
        <f>_xlfn.XLOOKUP(Table1[[#This Row],[JobSatisfaction]],Table14[JobSatisfaction],Table14[Id_JobSatisfaction])</f>
        <v>JS001</v>
      </c>
      <c r="AC396">
        <v>1</v>
      </c>
      <c r="AD396" t="str">
        <f>_xlfn.XLOOKUP(Table1[[#This Row],[JobSatisfaction]],Table14[JobSatisfaction],Table14[Deskripsi])</f>
        <v>Low</v>
      </c>
      <c r="AE396" t="str">
        <f>_xlfn.XLOOKUP(Table1[[#This Row],[MaritalStatus]],Table15[MaritalStatus],Table15[Id_MaritalStatus])</f>
        <v>MS002</v>
      </c>
      <c r="AF396" t="s">
        <v>56</v>
      </c>
      <c r="AG396">
        <v>4306</v>
      </c>
      <c r="AH396">
        <v>4156</v>
      </c>
      <c r="AI396">
        <v>1</v>
      </c>
      <c r="AJ396" t="str">
        <f>_xlfn.XLOOKUP(Table1[[#This Row],[OverTime]],Table16[OverTime],Table16[Id_OverTime])</f>
        <v>OT002</v>
      </c>
      <c r="AK396" t="s">
        <v>33</v>
      </c>
      <c r="AL396">
        <v>12</v>
      </c>
      <c r="AM396" t="str">
        <f>_xlfn.XLOOKUP(Table1[[#This Row],[PerformanceRating]],Table17[PerformanceRating],Table17[Id_PerformanceRating])</f>
        <v>PR003</v>
      </c>
      <c r="AN396">
        <v>3</v>
      </c>
      <c r="AO396" t="str">
        <f>_xlfn.XLOOKUP(Table1[[#This Row],[PerformanceRating]],Table17[PerformanceRating],Table17[Deskripsi])</f>
        <v>Excellent</v>
      </c>
      <c r="AP396" t="str">
        <f>_xlfn.XLOOKUP(Table1[[#This Row],[RelationshipSatisfaction]],Table18[RelationshipSatisfaction],Table18[Id_RelationshipSatisfaction])</f>
        <v>RS002</v>
      </c>
      <c r="AQ396">
        <v>2</v>
      </c>
      <c r="AR396" t="str">
        <f>_xlfn.XLOOKUP(Table1[[#This Row],[RelationshipSatisfaction]],Table18[RelationshipSatisfaction],Table18[Deskripsi])</f>
        <v>Medium</v>
      </c>
      <c r="AS396" t="str">
        <f>_xlfn.XLOOKUP(Table1[[#This Row],[StockOptionLevel]],Table19[StockOptionLevel],Table19[Id_StockOptionLevel])</f>
        <v>SOL002</v>
      </c>
      <c r="AT396">
        <v>1</v>
      </c>
      <c r="AU396" t="str">
        <f>_xlfn.XLOOKUP(Table1[[#This Row],[StockOptionLevel]],Table19[StockOptionLevel],Table19[Deskripsi])</f>
        <v>Standard</v>
      </c>
      <c r="AV396">
        <v>13</v>
      </c>
      <c r="AW396">
        <v>5</v>
      </c>
      <c r="AX396" t="str">
        <f>_xlfn.XLOOKUP(Table1[[#This Row],[WorkLifeBalance]],Table20[WorkLifeBalance],Table20[Id_WorkLifeBalance])</f>
        <v>WLB001</v>
      </c>
      <c r="AY396">
        <v>1</v>
      </c>
      <c r="AZ396" t="str">
        <f>_xlfn.XLOOKUP(Table1[[#This Row],[WorkLifeBalance]],Table20[WorkLifeBalance],Table20[Deskripsi])</f>
        <v>Bad</v>
      </c>
      <c r="BA396">
        <v>13</v>
      </c>
      <c r="BB396">
        <v>10</v>
      </c>
      <c r="BC396">
        <v>3</v>
      </c>
      <c r="BD396">
        <v>12</v>
      </c>
    </row>
    <row r="397" spans="1:56" x14ac:dyDescent="0.25">
      <c r="A397">
        <v>43</v>
      </c>
      <c r="B397" t="str">
        <f>_xlfn.XLOOKUP(Table1[[#This Row],[Attrition]],Table2[Attrition],Table2[Id_Attrition])</f>
        <v>A002</v>
      </c>
      <c r="C397" t="s">
        <v>33</v>
      </c>
      <c r="D397" t="str">
        <f>_xlfn.XLOOKUP(Table1[[#This Row],[BusinessTravel]],Table5[BusinessTravel],Table5[Id_BusinessTravel])</f>
        <v>BS002</v>
      </c>
      <c r="E397" t="s">
        <v>35</v>
      </c>
      <c r="F397">
        <v>313</v>
      </c>
      <c r="G397" t="str">
        <f>_xlfn.XLOOKUP(Table1[[#This Row],[Department]],Table6[Department],Table6[Id_Departement])</f>
        <v>D002</v>
      </c>
      <c r="H397" t="s">
        <v>38</v>
      </c>
      <c r="I397">
        <v>21</v>
      </c>
      <c r="J397" t="str">
        <f>_xlfn.XLOOKUP(Table1[[#This Row],[Education]],Table8[Education],Table8[Id_Education])</f>
        <v>E003</v>
      </c>
      <c r="K397">
        <v>3</v>
      </c>
      <c r="L397" t="str">
        <f>_xlfn.XLOOKUP(Table1[[#This Row],[EducationField]],Table7[EducationField],Table7[Id_EducationField])</f>
        <v>EF003</v>
      </c>
      <c r="M397" t="s">
        <v>42</v>
      </c>
      <c r="N397" t="str">
        <f>_xlfn.XLOOKUP(Table1[[#This Row],[EmployeeNumber]],Table4[EmployeeNumber],Table4[Id_Employee])</f>
        <v>EMP00396</v>
      </c>
      <c r="O397">
        <v>525</v>
      </c>
      <c r="P397" t="str">
        <f>_xlfn.XLOOKUP(Table1[[#This Row],[EnvironmentSatisfaction]],Table9[EnvironmentSatisfaction],Table9[Id_EnviromentSatisfaction])</f>
        <v>ES004</v>
      </c>
      <c r="Q397">
        <v>4</v>
      </c>
      <c r="R397" t="str">
        <f>_xlfn.XLOOKUP(Table1[[#This Row],[EnvironmentSatisfaction]],Table9[EnvironmentSatisfaction],Table9[Deskripsi])</f>
        <v>Very High</v>
      </c>
      <c r="S397" t="str">
        <f>_xlfn.XLOOKUP(Table1[[#This Row],[Gender]],Table10[Gender],Table10[Id_Gender])</f>
        <v>G002</v>
      </c>
      <c r="T397" t="s">
        <v>46</v>
      </c>
      <c r="U397">
        <v>61</v>
      </c>
      <c r="V397" t="str">
        <f>_xlfn.XLOOKUP(Table1[[#This Row],[JobInvolvement]],Table11[JobInvolvement],Table11[Id_JobInvolvement])</f>
        <v>JI003</v>
      </c>
      <c r="W397">
        <v>3</v>
      </c>
      <c r="X397" t="str">
        <f>_xlfn.XLOOKUP(Table1[[#This Row],[JobLevel]],Table12[JobLevel],Table12[Id_JobLevel])</f>
        <v>JL001</v>
      </c>
      <c r="Y397">
        <v>1</v>
      </c>
      <c r="Z397" t="str">
        <f>_xlfn.XLOOKUP(Table1[[#This Row],[JobRole]],Table13[JobRole],Table13[Id_JobRole])</f>
        <v>JR003</v>
      </c>
      <c r="AA397" t="s">
        <v>49</v>
      </c>
      <c r="AB397" t="str">
        <f>_xlfn.XLOOKUP(Table1[[#This Row],[JobSatisfaction]],Table14[JobSatisfaction],Table14[Id_JobSatisfaction])</f>
        <v>JS004</v>
      </c>
      <c r="AC397">
        <v>4</v>
      </c>
      <c r="AD397" t="str">
        <f>_xlfn.XLOOKUP(Table1[[#This Row],[JobSatisfaction]],Table14[JobSatisfaction],Table14[Deskripsi])</f>
        <v>Very High</v>
      </c>
      <c r="AE397" t="str">
        <f>_xlfn.XLOOKUP(Table1[[#This Row],[MaritalStatus]],Table15[MaritalStatus],Table15[Id_MaritalStatus])</f>
        <v>MS002</v>
      </c>
      <c r="AF397" t="s">
        <v>56</v>
      </c>
      <c r="AG397">
        <v>2258</v>
      </c>
      <c r="AH397">
        <v>15238</v>
      </c>
      <c r="AI397">
        <v>7</v>
      </c>
      <c r="AJ397" t="str">
        <f>_xlfn.XLOOKUP(Table1[[#This Row],[OverTime]],Table16[OverTime],Table16[Id_OverTime])</f>
        <v>OT002</v>
      </c>
      <c r="AK397" t="s">
        <v>33</v>
      </c>
      <c r="AL397">
        <v>20</v>
      </c>
      <c r="AM397" t="str">
        <f>_xlfn.XLOOKUP(Table1[[#This Row],[PerformanceRating]],Table17[PerformanceRating],Table17[Id_PerformanceRating])</f>
        <v>PR004</v>
      </c>
      <c r="AN397">
        <v>4</v>
      </c>
      <c r="AO397" t="str">
        <f>_xlfn.XLOOKUP(Table1[[#This Row],[PerformanceRating]],Table17[PerformanceRating],Table17[Deskripsi])</f>
        <v>Outstanding</v>
      </c>
      <c r="AP397" t="str">
        <f>_xlfn.XLOOKUP(Table1[[#This Row],[RelationshipSatisfaction]],Table18[RelationshipSatisfaction],Table18[Id_RelationshipSatisfaction])</f>
        <v>RS001</v>
      </c>
      <c r="AQ397">
        <v>1</v>
      </c>
      <c r="AR397" t="str">
        <f>_xlfn.XLOOKUP(Table1[[#This Row],[RelationshipSatisfaction]],Table18[RelationshipSatisfaction],Table18[Deskripsi])</f>
        <v>Low</v>
      </c>
      <c r="AS397" t="str">
        <f>_xlfn.XLOOKUP(Table1[[#This Row],[StockOptionLevel]],Table19[StockOptionLevel],Table19[Id_StockOptionLevel])</f>
        <v>SOL002</v>
      </c>
      <c r="AT397">
        <v>1</v>
      </c>
      <c r="AU397" t="str">
        <f>_xlfn.XLOOKUP(Table1[[#This Row],[StockOptionLevel]],Table19[StockOptionLevel],Table19[Deskripsi])</f>
        <v>Standard</v>
      </c>
      <c r="AV397">
        <v>8</v>
      </c>
      <c r="AW397">
        <v>1</v>
      </c>
      <c r="AX397" t="str">
        <f>_xlfn.XLOOKUP(Table1[[#This Row],[WorkLifeBalance]],Table20[WorkLifeBalance],Table20[Id_WorkLifeBalance])</f>
        <v>WLB002</v>
      </c>
      <c r="AY397">
        <v>3</v>
      </c>
      <c r="AZ397" t="str">
        <f>_xlfn.XLOOKUP(Table1[[#This Row],[WorkLifeBalance]],Table20[WorkLifeBalance],Table20[Deskripsi])</f>
        <v>Good</v>
      </c>
      <c r="BA397">
        <v>3</v>
      </c>
      <c r="BB397">
        <v>2</v>
      </c>
      <c r="BC397">
        <v>1</v>
      </c>
      <c r="BD397">
        <v>2</v>
      </c>
    </row>
    <row r="398" spans="1:56" x14ac:dyDescent="0.25">
      <c r="A398">
        <v>43</v>
      </c>
      <c r="B398" t="str">
        <f>_xlfn.XLOOKUP(Table1[[#This Row],[Attrition]],Table2[Attrition],Table2[Id_Attrition])</f>
        <v>A002</v>
      </c>
      <c r="C398" t="s">
        <v>33</v>
      </c>
      <c r="D398" t="str">
        <f>_xlfn.XLOOKUP(Table1[[#This Row],[BusinessTravel]],Table5[BusinessTravel],Table5[Id_BusinessTravel])</f>
        <v>BS001</v>
      </c>
      <c r="E398" t="s">
        <v>34</v>
      </c>
      <c r="F398">
        <v>1473</v>
      </c>
      <c r="G398" t="str">
        <f>_xlfn.XLOOKUP(Table1[[#This Row],[Department]],Table6[Department],Table6[Id_Departement])</f>
        <v>D002</v>
      </c>
      <c r="H398" t="s">
        <v>38</v>
      </c>
      <c r="I398">
        <v>8</v>
      </c>
      <c r="J398" t="str">
        <f>_xlfn.XLOOKUP(Table1[[#This Row],[Education]],Table8[Education],Table8[Id_Education])</f>
        <v>E004</v>
      </c>
      <c r="K398">
        <v>4</v>
      </c>
      <c r="L398" t="str">
        <f>_xlfn.XLOOKUP(Table1[[#This Row],[EducationField]],Table7[EducationField],Table7[Id_EducationField])</f>
        <v>EF002</v>
      </c>
      <c r="M398" t="s">
        <v>41</v>
      </c>
      <c r="N398" t="str">
        <f>_xlfn.XLOOKUP(Table1[[#This Row],[EmployeeNumber]],Table4[EmployeeNumber],Table4[Id_Employee])</f>
        <v>EMP00397</v>
      </c>
      <c r="O398">
        <v>526</v>
      </c>
      <c r="P398" t="str">
        <f>_xlfn.XLOOKUP(Table1[[#This Row],[EnvironmentSatisfaction]],Table9[EnvironmentSatisfaction],Table9[Id_EnviromentSatisfaction])</f>
        <v>ES003</v>
      </c>
      <c r="Q398">
        <v>3</v>
      </c>
      <c r="R398" t="str">
        <f>_xlfn.XLOOKUP(Table1[[#This Row],[EnvironmentSatisfaction]],Table9[EnvironmentSatisfaction],Table9[Deskripsi])</f>
        <v>High</v>
      </c>
      <c r="S398" t="str">
        <f>_xlfn.XLOOKUP(Table1[[#This Row],[Gender]],Table10[Gender],Table10[Id_Gender])</f>
        <v>G001</v>
      </c>
      <c r="T398" t="s">
        <v>45</v>
      </c>
      <c r="U398">
        <v>74</v>
      </c>
      <c r="V398" t="str">
        <f>_xlfn.XLOOKUP(Table1[[#This Row],[JobInvolvement]],Table11[JobInvolvement],Table11[Id_JobInvolvement])</f>
        <v>JI003</v>
      </c>
      <c r="W398">
        <v>3</v>
      </c>
      <c r="X398" t="str">
        <f>_xlfn.XLOOKUP(Table1[[#This Row],[JobLevel]],Table12[JobLevel],Table12[Id_JobLevel])</f>
        <v>JL002</v>
      </c>
      <c r="Y398">
        <v>2</v>
      </c>
      <c r="Z398" t="str">
        <f>_xlfn.XLOOKUP(Table1[[#This Row],[JobRole]],Table13[JobRole],Table13[Id_JobRole])</f>
        <v>JR005</v>
      </c>
      <c r="AA398" t="s">
        <v>51</v>
      </c>
      <c r="AB398" t="str">
        <f>_xlfn.XLOOKUP(Table1[[#This Row],[JobSatisfaction]],Table14[JobSatisfaction],Table14[Id_JobSatisfaction])</f>
        <v>JS003</v>
      </c>
      <c r="AC398">
        <v>3</v>
      </c>
      <c r="AD398" t="str">
        <f>_xlfn.XLOOKUP(Table1[[#This Row],[JobSatisfaction]],Table14[JobSatisfaction],Table14[Deskripsi])</f>
        <v>High</v>
      </c>
      <c r="AE398" t="str">
        <f>_xlfn.XLOOKUP(Table1[[#This Row],[MaritalStatus]],Table15[MaritalStatus],Table15[Id_MaritalStatus])</f>
        <v>MS003</v>
      </c>
      <c r="AF398" t="s">
        <v>57</v>
      </c>
      <c r="AG398">
        <v>4522</v>
      </c>
      <c r="AH398">
        <v>2227</v>
      </c>
      <c r="AI398">
        <v>4</v>
      </c>
      <c r="AJ398" t="str">
        <f>_xlfn.XLOOKUP(Table1[[#This Row],[OverTime]],Table16[OverTime],Table16[Id_OverTime])</f>
        <v>OT001</v>
      </c>
      <c r="AK398" t="s">
        <v>32</v>
      </c>
      <c r="AL398">
        <v>14</v>
      </c>
      <c r="AM398" t="str">
        <f>_xlfn.XLOOKUP(Table1[[#This Row],[PerformanceRating]],Table17[PerformanceRating],Table17[Id_PerformanceRating])</f>
        <v>PR003</v>
      </c>
      <c r="AN398">
        <v>3</v>
      </c>
      <c r="AO398" t="str">
        <f>_xlfn.XLOOKUP(Table1[[#This Row],[PerformanceRating]],Table17[PerformanceRating],Table17[Deskripsi])</f>
        <v>Excellent</v>
      </c>
      <c r="AP398" t="str">
        <f>_xlfn.XLOOKUP(Table1[[#This Row],[RelationshipSatisfaction]],Table18[RelationshipSatisfaction],Table18[Id_RelationshipSatisfaction])</f>
        <v>RS004</v>
      </c>
      <c r="AQ398">
        <v>4</v>
      </c>
      <c r="AR398" t="str">
        <f>_xlfn.XLOOKUP(Table1[[#This Row],[RelationshipSatisfaction]],Table18[RelationshipSatisfaction],Table18[Deskripsi])</f>
        <v>Very High</v>
      </c>
      <c r="AS398" t="str">
        <f>_xlfn.XLOOKUP(Table1[[#This Row],[StockOptionLevel]],Table19[StockOptionLevel],Table19[Id_StockOptionLevel])</f>
        <v>SOL001</v>
      </c>
      <c r="AT398">
        <v>0</v>
      </c>
      <c r="AU398" t="str">
        <f>_xlfn.XLOOKUP(Table1[[#This Row],[StockOptionLevel]],Table19[StockOptionLevel],Table19[Deskripsi])</f>
        <v>Non-Eligible</v>
      </c>
      <c r="AV398">
        <v>8</v>
      </c>
      <c r="AW398">
        <v>3</v>
      </c>
      <c r="AX398" t="str">
        <f>_xlfn.XLOOKUP(Table1[[#This Row],[WorkLifeBalance]],Table20[WorkLifeBalance],Table20[Id_WorkLifeBalance])</f>
        <v>WLB002</v>
      </c>
      <c r="AY398">
        <v>3</v>
      </c>
      <c r="AZ398" t="str">
        <f>_xlfn.XLOOKUP(Table1[[#This Row],[WorkLifeBalance]],Table20[WorkLifeBalance],Table20[Deskripsi])</f>
        <v>Good</v>
      </c>
      <c r="BA398">
        <v>5</v>
      </c>
      <c r="BB398">
        <v>2</v>
      </c>
      <c r="BC398">
        <v>0</v>
      </c>
      <c r="BD398">
        <v>2</v>
      </c>
    </row>
    <row r="399" spans="1:56" x14ac:dyDescent="0.25">
      <c r="A399">
        <v>25</v>
      </c>
      <c r="B399" t="str">
        <f>_xlfn.XLOOKUP(Table1[[#This Row],[Attrition]],Table2[Attrition],Table2[Id_Attrition])</f>
        <v>A002</v>
      </c>
      <c r="C399" t="s">
        <v>33</v>
      </c>
      <c r="D399" t="str">
        <f>_xlfn.XLOOKUP(Table1[[#This Row],[BusinessTravel]],Table5[BusinessTravel],Table5[Id_BusinessTravel])</f>
        <v>BS001</v>
      </c>
      <c r="E399" t="s">
        <v>34</v>
      </c>
      <c r="F399">
        <v>891</v>
      </c>
      <c r="G399" t="str">
        <f>_xlfn.XLOOKUP(Table1[[#This Row],[Department]],Table6[Department],Table6[Id_Departement])</f>
        <v>D001</v>
      </c>
      <c r="H399" t="s">
        <v>37</v>
      </c>
      <c r="I399">
        <v>4</v>
      </c>
      <c r="J399" t="str">
        <f>_xlfn.XLOOKUP(Table1[[#This Row],[Education]],Table8[Education],Table8[Id_Education])</f>
        <v>E002</v>
      </c>
      <c r="K399">
        <v>2</v>
      </c>
      <c r="L399" t="str">
        <f>_xlfn.XLOOKUP(Table1[[#This Row],[EducationField]],Table7[EducationField],Table7[Id_EducationField])</f>
        <v>EF001</v>
      </c>
      <c r="M399" t="s">
        <v>40</v>
      </c>
      <c r="N399" t="str">
        <f>_xlfn.XLOOKUP(Table1[[#This Row],[EmployeeNumber]],Table4[EmployeeNumber],Table4[Id_Employee])</f>
        <v>EMP00398</v>
      </c>
      <c r="O399">
        <v>527</v>
      </c>
      <c r="P399" t="str">
        <f>_xlfn.XLOOKUP(Table1[[#This Row],[EnvironmentSatisfaction]],Table9[EnvironmentSatisfaction],Table9[Id_EnviromentSatisfaction])</f>
        <v>ES002</v>
      </c>
      <c r="Q399">
        <v>2</v>
      </c>
      <c r="R399" t="str">
        <f>_xlfn.XLOOKUP(Table1[[#This Row],[EnvironmentSatisfaction]],Table9[EnvironmentSatisfaction],Table9[Deskripsi])</f>
        <v>Medium</v>
      </c>
      <c r="S399" t="str">
        <f>_xlfn.XLOOKUP(Table1[[#This Row],[Gender]],Table10[Gender],Table10[Id_Gender])</f>
        <v>G001</v>
      </c>
      <c r="T399" t="s">
        <v>45</v>
      </c>
      <c r="U399">
        <v>99</v>
      </c>
      <c r="V399" t="str">
        <f>_xlfn.XLOOKUP(Table1[[#This Row],[JobInvolvement]],Table11[JobInvolvement],Table11[Id_JobInvolvement])</f>
        <v>JI002</v>
      </c>
      <c r="W399">
        <v>2</v>
      </c>
      <c r="X399" t="str">
        <f>_xlfn.XLOOKUP(Table1[[#This Row],[JobLevel]],Table12[JobLevel],Table12[Id_JobLevel])</f>
        <v>JL002</v>
      </c>
      <c r="Y399">
        <v>2</v>
      </c>
      <c r="Z399" t="str">
        <f>_xlfn.XLOOKUP(Table1[[#This Row],[JobRole]],Table13[JobRole],Table13[Id_JobRole])</f>
        <v>JR001</v>
      </c>
      <c r="AA399" t="s">
        <v>47</v>
      </c>
      <c r="AB399" t="str">
        <f>_xlfn.XLOOKUP(Table1[[#This Row],[JobSatisfaction]],Table14[JobSatisfaction],Table14[Id_JobSatisfaction])</f>
        <v>JS004</v>
      </c>
      <c r="AC399">
        <v>4</v>
      </c>
      <c r="AD399" t="str">
        <f>_xlfn.XLOOKUP(Table1[[#This Row],[JobSatisfaction]],Table14[JobSatisfaction],Table14[Deskripsi])</f>
        <v>Very High</v>
      </c>
      <c r="AE399" t="str">
        <f>_xlfn.XLOOKUP(Table1[[#This Row],[MaritalStatus]],Table15[MaritalStatus],Table15[Id_MaritalStatus])</f>
        <v>MS001</v>
      </c>
      <c r="AF399" t="s">
        <v>55</v>
      </c>
      <c r="AG399">
        <v>4487</v>
      </c>
      <c r="AH399">
        <v>12090</v>
      </c>
      <c r="AI399">
        <v>1</v>
      </c>
      <c r="AJ399" t="str">
        <f>_xlfn.XLOOKUP(Table1[[#This Row],[OverTime]],Table16[OverTime],Table16[Id_OverTime])</f>
        <v>OT001</v>
      </c>
      <c r="AK399" t="s">
        <v>32</v>
      </c>
      <c r="AL399">
        <v>11</v>
      </c>
      <c r="AM399" t="str">
        <f>_xlfn.XLOOKUP(Table1[[#This Row],[PerformanceRating]],Table17[PerformanceRating],Table17[Id_PerformanceRating])</f>
        <v>PR003</v>
      </c>
      <c r="AN399">
        <v>3</v>
      </c>
      <c r="AO399" t="str">
        <f>_xlfn.XLOOKUP(Table1[[#This Row],[PerformanceRating]],Table17[PerformanceRating],Table17[Deskripsi])</f>
        <v>Excellent</v>
      </c>
      <c r="AP399" t="str">
        <f>_xlfn.XLOOKUP(Table1[[#This Row],[RelationshipSatisfaction]],Table18[RelationshipSatisfaction],Table18[Id_RelationshipSatisfaction])</f>
        <v>RS002</v>
      </c>
      <c r="AQ399">
        <v>2</v>
      </c>
      <c r="AR399" t="str">
        <f>_xlfn.XLOOKUP(Table1[[#This Row],[RelationshipSatisfaction]],Table18[RelationshipSatisfaction],Table18[Deskripsi])</f>
        <v>Medium</v>
      </c>
      <c r="AS399" t="str">
        <f>_xlfn.XLOOKUP(Table1[[#This Row],[StockOptionLevel]],Table19[StockOptionLevel],Table19[Id_StockOptionLevel])</f>
        <v>SOL001</v>
      </c>
      <c r="AT399">
        <v>0</v>
      </c>
      <c r="AU399" t="str">
        <f>_xlfn.XLOOKUP(Table1[[#This Row],[StockOptionLevel]],Table19[StockOptionLevel],Table19[Deskripsi])</f>
        <v>Non-Eligible</v>
      </c>
      <c r="AV399">
        <v>5</v>
      </c>
      <c r="AW399">
        <v>3</v>
      </c>
      <c r="AX399" t="str">
        <f>_xlfn.XLOOKUP(Table1[[#This Row],[WorkLifeBalance]],Table20[WorkLifeBalance],Table20[Id_WorkLifeBalance])</f>
        <v>WLB002</v>
      </c>
      <c r="AY399">
        <v>3</v>
      </c>
      <c r="AZ399" t="str">
        <f>_xlfn.XLOOKUP(Table1[[#This Row],[WorkLifeBalance]],Table20[WorkLifeBalance],Table20[Deskripsi])</f>
        <v>Good</v>
      </c>
      <c r="BA399">
        <v>5</v>
      </c>
      <c r="BB399">
        <v>4</v>
      </c>
      <c r="BC399">
        <v>1</v>
      </c>
      <c r="BD399">
        <v>3</v>
      </c>
    </row>
    <row r="400" spans="1:56" x14ac:dyDescent="0.25">
      <c r="A400">
        <v>37</v>
      </c>
      <c r="B400" t="str">
        <f>_xlfn.XLOOKUP(Table1[[#This Row],[Attrition]],Table2[Attrition],Table2[Id_Attrition])</f>
        <v>A002</v>
      </c>
      <c r="C400" t="s">
        <v>33</v>
      </c>
      <c r="D400" t="str">
        <f>_xlfn.XLOOKUP(Table1[[#This Row],[BusinessTravel]],Table5[BusinessTravel],Table5[Id_BusinessTravel])</f>
        <v>BS003</v>
      </c>
      <c r="E400" t="s">
        <v>36</v>
      </c>
      <c r="F400">
        <v>1063</v>
      </c>
      <c r="G400" t="str">
        <f>_xlfn.XLOOKUP(Table1[[#This Row],[Department]],Table6[Department],Table6[Id_Departement])</f>
        <v>D002</v>
      </c>
      <c r="H400" t="s">
        <v>38</v>
      </c>
      <c r="I400">
        <v>25</v>
      </c>
      <c r="J400" t="str">
        <f>_xlfn.XLOOKUP(Table1[[#This Row],[Education]],Table8[Education],Table8[Id_Education])</f>
        <v>E005</v>
      </c>
      <c r="K400">
        <v>5</v>
      </c>
      <c r="L400" t="str">
        <f>_xlfn.XLOOKUP(Table1[[#This Row],[EducationField]],Table7[EducationField],Table7[Id_EducationField])</f>
        <v>EF003</v>
      </c>
      <c r="M400" t="s">
        <v>42</v>
      </c>
      <c r="N400" t="str">
        <f>_xlfn.XLOOKUP(Table1[[#This Row],[EmployeeNumber]],Table4[EmployeeNumber],Table4[Id_Employee])</f>
        <v>EMP00399</v>
      </c>
      <c r="O400">
        <v>529</v>
      </c>
      <c r="P400" t="str">
        <f>_xlfn.XLOOKUP(Table1[[#This Row],[EnvironmentSatisfaction]],Table9[EnvironmentSatisfaction],Table9[Id_EnviromentSatisfaction])</f>
        <v>ES002</v>
      </c>
      <c r="Q400">
        <v>2</v>
      </c>
      <c r="R400" t="str">
        <f>_xlfn.XLOOKUP(Table1[[#This Row],[EnvironmentSatisfaction]],Table9[EnvironmentSatisfaction],Table9[Deskripsi])</f>
        <v>Medium</v>
      </c>
      <c r="S400" t="str">
        <f>_xlfn.XLOOKUP(Table1[[#This Row],[Gender]],Table10[Gender],Table10[Id_Gender])</f>
        <v>G001</v>
      </c>
      <c r="T400" t="s">
        <v>45</v>
      </c>
      <c r="U400">
        <v>72</v>
      </c>
      <c r="V400" t="str">
        <f>_xlfn.XLOOKUP(Table1[[#This Row],[JobInvolvement]],Table11[JobInvolvement],Table11[Id_JobInvolvement])</f>
        <v>JI003</v>
      </c>
      <c r="W400">
        <v>3</v>
      </c>
      <c r="X400" t="str">
        <f>_xlfn.XLOOKUP(Table1[[#This Row],[JobLevel]],Table12[JobLevel],Table12[Id_JobLevel])</f>
        <v>JL002</v>
      </c>
      <c r="Y400">
        <v>2</v>
      </c>
      <c r="Z400" t="str">
        <f>_xlfn.XLOOKUP(Table1[[#This Row],[JobRole]],Table13[JobRole],Table13[Id_JobRole])</f>
        <v>JR002</v>
      </c>
      <c r="AA400" t="s">
        <v>48</v>
      </c>
      <c r="AB400" t="str">
        <f>_xlfn.XLOOKUP(Table1[[#This Row],[JobSatisfaction]],Table14[JobSatisfaction],Table14[Id_JobSatisfaction])</f>
        <v>JS003</v>
      </c>
      <c r="AC400">
        <v>3</v>
      </c>
      <c r="AD400" t="str">
        <f>_xlfn.XLOOKUP(Table1[[#This Row],[JobSatisfaction]],Table14[JobSatisfaction],Table14[Deskripsi])</f>
        <v>High</v>
      </c>
      <c r="AE400" t="str">
        <f>_xlfn.XLOOKUP(Table1[[#This Row],[MaritalStatus]],Table15[MaritalStatus],Table15[Id_MaritalStatus])</f>
        <v>MS002</v>
      </c>
      <c r="AF400" t="s">
        <v>56</v>
      </c>
      <c r="AG400">
        <v>4449</v>
      </c>
      <c r="AH400">
        <v>23866</v>
      </c>
      <c r="AI400">
        <v>3</v>
      </c>
      <c r="AJ400" t="str">
        <f>_xlfn.XLOOKUP(Table1[[#This Row],[OverTime]],Table16[OverTime],Table16[Id_OverTime])</f>
        <v>OT001</v>
      </c>
      <c r="AK400" t="s">
        <v>32</v>
      </c>
      <c r="AL400">
        <v>15</v>
      </c>
      <c r="AM400" t="str">
        <f>_xlfn.XLOOKUP(Table1[[#This Row],[PerformanceRating]],Table17[PerformanceRating],Table17[Id_PerformanceRating])</f>
        <v>PR003</v>
      </c>
      <c r="AN400">
        <v>3</v>
      </c>
      <c r="AO400" t="str">
        <f>_xlfn.XLOOKUP(Table1[[#This Row],[PerformanceRating]],Table17[PerformanceRating],Table17[Deskripsi])</f>
        <v>Excellent</v>
      </c>
      <c r="AP400" t="str">
        <f>_xlfn.XLOOKUP(Table1[[#This Row],[RelationshipSatisfaction]],Table18[RelationshipSatisfaction],Table18[Id_RelationshipSatisfaction])</f>
        <v>RS001</v>
      </c>
      <c r="AQ400">
        <v>1</v>
      </c>
      <c r="AR400" t="str">
        <f>_xlfn.XLOOKUP(Table1[[#This Row],[RelationshipSatisfaction]],Table18[RelationshipSatisfaction],Table18[Deskripsi])</f>
        <v>Low</v>
      </c>
      <c r="AS400" t="str">
        <f>_xlfn.XLOOKUP(Table1[[#This Row],[StockOptionLevel]],Table19[StockOptionLevel],Table19[Id_StockOptionLevel])</f>
        <v>SOL003</v>
      </c>
      <c r="AT400">
        <v>2</v>
      </c>
      <c r="AU400" t="str">
        <f>_xlfn.XLOOKUP(Table1[[#This Row],[StockOptionLevel]],Table19[StockOptionLevel],Table19[Deskripsi])</f>
        <v>Intermediate</v>
      </c>
      <c r="AV400">
        <v>15</v>
      </c>
      <c r="AW400">
        <v>2</v>
      </c>
      <c r="AX400" t="str">
        <f>_xlfn.XLOOKUP(Table1[[#This Row],[WorkLifeBalance]],Table20[WorkLifeBalance],Table20[Id_WorkLifeBalance])</f>
        <v>WLB002</v>
      </c>
      <c r="AY400">
        <v>3</v>
      </c>
      <c r="AZ400" t="str">
        <f>_xlfn.XLOOKUP(Table1[[#This Row],[WorkLifeBalance]],Table20[WorkLifeBalance],Table20[Deskripsi])</f>
        <v>Good</v>
      </c>
      <c r="BA400">
        <v>13</v>
      </c>
      <c r="BB400">
        <v>11</v>
      </c>
      <c r="BC400">
        <v>10</v>
      </c>
      <c r="BD400">
        <v>7</v>
      </c>
    </row>
    <row r="401" spans="1:56" x14ac:dyDescent="0.25">
      <c r="A401">
        <v>31</v>
      </c>
      <c r="B401" t="str">
        <f>_xlfn.XLOOKUP(Table1[[#This Row],[Attrition]],Table2[Attrition],Table2[Id_Attrition])</f>
        <v>A002</v>
      </c>
      <c r="C401" t="s">
        <v>33</v>
      </c>
      <c r="D401" t="str">
        <f>_xlfn.XLOOKUP(Table1[[#This Row],[BusinessTravel]],Table5[BusinessTravel],Table5[Id_BusinessTravel])</f>
        <v>BS001</v>
      </c>
      <c r="E401" t="s">
        <v>34</v>
      </c>
      <c r="F401">
        <v>329</v>
      </c>
      <c r="G401" t="str">
        <f>_xlfn.XLOOKUP(Table1[[#This Row],[Department]],Table6[Department],Table6[Id_Departement])</f>
        <v>D002</v>
      </c>
      <c r="H401" t="s">
        <v>38</v>
      </c>
      <c r="I401">
        <v>1</v>
      </c>
      <c r="J401" t="str">
        <f>_xlfn.XLOOKUP(Table1[[#This Row],[Education]],Table8[Education],Table8[Id_Education])</f>
        <v>E002</v>
      </c>
      <c r="K401">
        <v>2</v>
      </c>
      <c r="L401" t="str">
        <f>_xlfn.XLOOKUP(Table1[[#This Row],[EducationField]],Table7[EducationField],Table7[Id_EducationField])</f>
        <v>EF001</v>
      </c>
      <c r="M401" t="s">
        <v>40</v>
      </c>
      <c r="N401" t="str">
        <f>_xlfn.XLOOKUP(Table1[[#This Row],[EmployeeNumber]],Table4[EmployeeNumber],Table4[Id_Employee])</f>
        <v>EMP00400</v>
      </c>
      <c r="O401">
        <v>530</v>
      </c>
      <c r="P401" t="str">
        <f>_xlfn.XLOOKUP(Table1[[#This Row],[EnvironmentSatisfaction]],Table9[EnvironmentSatisfaction],Table9[Id_EnviromentSatisfaction])</f>
        <v>ES004</v>
      </c>
      <c r="Q401">
        <v>4</v>
      </c>
      <c r="R401" t="str">
        <f>_xlfn.XLOOKUP(Table1[[#This Row],[EnvironmentSatisfaction]],Table9[EnvironmentSatisfaction],Table9[Deskripsi])</f>
        <v>Very High</v>
      </c>
      <c r="S401" t="str">
        <f>_xlfn.XLOOKUP(Table1[[#This Row],[Gender]],Table10[Gender],Table10[Id_Gender])</f>
        <v>G002</v>
      </c>
      <c r="T401" t="s">
        <v>46</v>
      </c>
      <c r="U401">
        <v>98</v>
      </c>
      <c r="V401" t="str">
        <f>_xlfn.XLOOKUP(Table1[[#This Row],[JobInvolvement]],Table11[JobInvolvement],Table11[Id_JobInvolvement])</f>
        <v>JI002</v>
      </c>
      <c r="W401">
        <v>2</v>
      </c>
      <c r="X401" t="str">
        <f>_xlfn.XLOOKUP(Table1[[#This Row],[JobLevel]],Table12[JobLevel],Table12[Id_JobLevel])</f>
        <v>JL001</v>
      </c>
      <c r="Y401">
        <v>1</v>
      </c>
      <c r="Z401" t="str">
        <f>_xlfn.XLOOKUP(Table1[[#This Row],[JobRole]],Table13[JobRole],Table13[Id_JobRole])</f>
        <v>JR003</v>
      </c>
      <c r="AA401" t="s">
        <v>49</v>
      </c>
      <c r="AB401" t="str">
        <f>_xlfn.XLOOKUP(Table1[[#This Row],[JobSatisfaction]],Table14[JobSatisfaction],Table14[Id_JobSatisfaction])</f>
        <v>JS001</v>
      </c>
      <c r="AC401">
        <v>1</v>
      </c>
      <c r="AD401" t="str">
        <f>_xlfn.XLOOKUP(Table1[[#This Row],[JobSatisfaction]],Table14[JobSatisfaction],Table14[Deskripsi])</f>
        <v>Low</v>
      </c>
      <c r="AE401" t="str">
        <f>_xlfn.XLOOKUP(Table1[[#This Row],[MaritalStatus]],Table15[MaritalStatus],Table15[Id_MaritalStatus])</f>
        <v>MS002</v>
      </c>
      <c r="AF401" t="s">
        <v>56</v>
      </c>
      <c r="AG401">
        <v>2218</v>
      </c>
      <c r="AH401">
        <v>16193</v>
      </c>
      <c r="AI401">
        <v>1</v>
      </c>
      <c r="AJ401" t="str">
        <f>_xlfn.XLOOKUP(Table1[[#This Row],[OverTime]],Table16[OverTime],Table16[Id_OverTime])</f>
        <v>OT002</v>
      </c>
      <c r="AK401" t="s">
        <v>33</v>
      </c>
      <c r="AL401">
        <v>12</v>
      </c>
      <c r="AM401" t="str">
        <f>_xlfn.XLOOKUP(Table1[[#This Row],[PerformanceRating]],Table17[PerformanceRating],Table17[Id_PerformanceRating])</f>
        <v>PR003</v>
      </c>
      <c r="AN401">
        <v>3</v>
      </c>
      <c r="AO401" t="str">
        <f>_xlfn.XLOOKUP(Table1[[#This Row],[PerformanceRating]],Table17[PerformanceRating],Table17[Deskripsi])</f>
        <v>Excellent</v>
      </c>
      <c r="AP401" t="str">
        <f>_xlfn.XLOOKUP(Table1[[#This Row],[RelationshipSatisfaction]],Table18[RelationshipSatisfaction],Table18[Id_RelationshipSatisfaction])</f>
        <v>RS003</v>
      </c>
      <c r="AQ401">
        <v>3</v>
      </c>
      <c r="AR401" t="str">
        <f>_xlfn.XLOOKUP(Table1[[#This Row],[RelationshipSatisfaction]],Table18[RelationshipSatisfaction],Table18[Deskripsi])</f>
        <v>High</v>
      </c>
      <c r="AS401" t="str">
        <f>_xlfn.XLOOKUP(Table1[[#This Row],[StockOptionLevel]],Table19[StockOptionLevel],Table19[Id_StockOptionLevel])</f>
        <v>SOL002</v>
      </c>
      <c r="AT401">
        <v>1</v>
      </c>
      <c r="AU401" t="str">
        <f>_xlfn.XLOOKUP(Table1[[#This Row],[StockOptionLevel]],Table19[StockOptionLevel],Table19[Deskripsi])</f>
        <v>Standard</v>
      </c>
      <c r="AV401">
        <v>4</v>
      </c>
      <c r="AW401">
        <v>3</v>
      </c>
      <c r="AX401" t="str">
        <f>_xlfn.XLOOKUP(Table1[[#This Row],[WorkLifeBalance]],Table20[WorkLifeBalance],Table20[Id_WorkLifeBalance])</f>
        <v>WLB002</v>
      </c>
      <c r="AY401">
        <v>3</v>
      </c>
      <c r="AZ401" t="str">
        <f>_xlfn.XLOOKUP(Table1[[#This Row],[WorkLifeBalance]],Table20[WorkLifeBalance],Table20[Deskripsi])</f>
        <v>Good</v>
      </c>
      <c r="BA401">
        <v>4</v>
      </c>
      <c r="BB401">
        <v>2</v>
      </c>
      <c r="BC401">
        <v>3</v>
      </c>
      <c r="BD401">
        <v>2</v>
      </c>
    </row>
    <row r="402" spans="1:56" x14ac:dyDescent="0.25">
      <c r="A402">
        <v>39</v>
      </c>
      <c r="B402" t="str">
        <f>_xlfn.XLOOKUP(Table1[[#This Row],[Attrition]],Table2[Attrition],Table2[Id_Attrition])</f>
        <v>A002</v>
      </c>
      <c r="C402" t="s">
        <v>33</v>
      </c>
      <c r="D402" t="str">
        <f>_xlfn.XLOOKUP(Table1[[#This Row],[BusinessTravel]],Table5[BusinessTravel],Table5[Id_BusinessTravel])</f>
        <v>BS002</v>
      </c>
      <c r="E402" t="s">
        <v>35</v>
      </c>
      <c r="F402">
        <v>1218</v>
      </c>
      <c r="G402" t="str">
        <f>_xlfn.XLOOKUP(Table1[[#This Row],[Department]],Table6[Department],Table6[Id_Departement])</f>
        <v>D002</v>
      </c>
      <c r="H402" t="s">
        <v>38</v>
      </c>
      <c r="I402">
        <v>1</v>
      </c>
      <c r="J402" t="str">
        <f>_xlfn.XLOOKUP(Table1[[#This Row],[Education]],Table8[Education],Table8[Id_Education])</f>
        <v>E001</v>
      </c>
      <c r="K402">
        <v>1</v>
      </c>
      <c r="L402" t="str">
        <f>_xlfn.XLOOKUP(Table1[[#This Row],[EducationField]],Table7[EducationField],Table7[Id_EducationField])</f>
        <v>EF001</v>
      </c>
      <c r="M402" t="s">
        <v>40</v>
      </c>
      <c r="N402" t="str">
        <f>_xlfn.XLOOKUP(Table1[[#This Row],[EmployeeNumber]],Table4[EmployeeNumber],Table4[Id_Employee])</f>
        <v>EMP00401</v>
      </c>
      <c r="O402">
        <v>531</v>
      </c>
      <c r="P402" t="str">
        <f>_xlfn.XLOOKUP(Table1[[#This Row],[EnvironmentSatisfaction]],Table9[EnvironmentSatisfaction],Table9[Id_EnviromentSatisfaction])</f>
        <v>ES002</v>
      </c>
      <c r="Q402">
        <v>2</v>
      </c>
      <c r="R402" t="str">
        <f>_xlfn.XLOOKUP(Table1[[#This Row],[EnvironmentSatisfaction]],Table9[EnvironmentSatisfaction],Table9[Deskripsi])</f>
        <v>Medium</v>
      </c>
      <c r="S402" t="str">
        <f>_xlfn.XLOOKUP(Table1[[#This Row],[Gender]],Table10[Gender],Table10[Id_Gender])</f>
        <v>G002</v>
      </c>
      <c r="T402" t="s">
        <v>46</v>
      </c>
      <c r="U402">
        <v>52</v>
      </c>
      <c r="V402" t="str">
        <f>_xlfn.XLOOKUP(Table1[[#This Row],[JobInvolvement]],Table11[JobInvolvement],Table11[Id_JobInvolvement])</f>
        <v>JI003</v>
      </c>
      <c r="W402">
        <v>3</v>
      </c>
      <c r="X402" t="str">
        <f>_xlfn.XLOOKUP(Table1[[#This Row],[JobLevel]],Table12[JobLevel],Table12[Id_JobLevel])</f>
        <v>JL005</v>
      </c>
      <c r="Y402">
        <v>5</v>
      </c>
      <c r="Z402" t="str">
        <f>_xlfn.XLOOKUP(Table1[[#This Row],[JobRole]],Table13[JobRole],Table13[Id_JobRole])</f>
        <v>JR006</v>
      </c>
      <c r="AA402" t="s">
        <v>52</v>
      </c>
      <c r="AB402" t="str">
        <f>_xlfn.XLOOKUP(Table1[[#This Row],[JobSatisfaction]],Table14[JobSatisfaction],Table14[Id_JobSatisfaction])</f>
        <v>JS003</v>
      </c>
      <c r="AC402">
        <v>3</v>
      </c>
      <c r="AD402" t="str">
        <f>_xlfn.XLOOKUP(Table1[[#This Row],[JobSatisfaction]],Table14[JobSatisfaction],Table14[Deskripsi])</f>
        <v>High</v>
      </c>
      <c r="AE402" t="str">
        <f>_xlfn.XLOOKUP(Table1[[#This Row],[MaritalStatus]],Table15[MaritalStatus],Table15[Id_MaritalStatus])</f>
        <v>MS003</v>
      </c>
      <c r="AF402" t="s">
        <v>57</v>
      </c>
      <c r="AG402">
        <v>19197</v>
      </c>
      <c r="AH402">
        <v>8213</v>
      </c>
      <c r="AI402">
        <v>1</v>
      </c>
      <c r="AJ402" t="str">
        <f>_xlfn.XLOOKUP(Table1[[#This Row],[OverTime]],Table16[OverTime],Table16[Id_OverTime])</f>
        <v>OT001</v>
      </c>
      <c r="AK402" t="s">
        <v>32</v>
      </c>
      <c r="AL402">
        <v>14</v>
      </c>
      <c r="AM402" t="str">
        <f>_xlfn.XLOOKUP(Table1[[#This Row],[PerformanceRating]],Table17[PerformanceRating],Table17[Id_PerformanceRating])</f>
        <v>PR003</v>
      </c>
      <c r="AN402">
        <v>3</v>
      </c>
      <c r="AO402" t="str">
        <f>_xlfn.XLOOKUP(Table1[[#This Row],[PerformanceRating]],Table17[PerformanceRating],Table17[Deskripsi])</f>
        <v>Excellent</v>
      </c>
      <c r="AP402" t="str">
        <f>_xlfn.XLOOKUP(Table1[[#This Row],[RelationshipSatisfaction]],Table18[RelationshipSatisfaction],Table18[Id_RelationshipSatisfaction])</f>
        <v>RS003</v>
      </c>
      <c r="AQ402">
        <v>3</v>
      </c>
      <c r="AR402" t="str">
        <f>_xlfn.XLOOKUP(Table1[[#This Row],[RelationshipSatisfaction]],Table18[RelationshipSatisfaction],Table18[Deskripsi])</f>
        <v>High</v>
      </c>
      <c r="AS402" t="str">
        <f>_xlfn.XLOOKUP(Table1[[#This Row],[StockOptionLevel]],Table19[StockOptionLevel],Table19[Id_StockOptionLevel])</f>
        <v>SOL002</v>
      </c>
      <c r="AT402">
        <v>1</v>
      </c>
      <c r="AU402" t="str">
        <f>_xlfn.XLOOKUP(Table1[[#This Row],[StockOptionLevel]],Table19[StockOptionLevel],Table19[Deskripsi])</f>
        <v>Standard</v>
      </c>
      <c r="AV402">
        <v>21</v>
      </c>
      <c r="AW402">
        <v>3</v>
      </c>
      <c r="AX402" t="str">
        <f>_xlfn.XLOOKUP(Table1[[#This Row],[WorkLifeBalance]],Table20[WorkLifeBalance],Table20[Id_WorkLifeBalance])</f>
        <v>WLB002</v>
      </c>
      <c r="AY402">
        <v>3</v>
      </c>
      <c r="AZ402" t="str">
        <f>_xlfn.XLOOKUP(Table1[[#This Row],[WorkLifeBalance]],Table20[WorkLifeBalance],Table20[Deskripsi])</f>
        <v>Good</v>
      </c>
      <c r="BA402">
        <v>21</v>
      </c>
      <c r="BB402">
        <v>8</v>
      </c>
      <c r="BC402">
        <v>1</v>
      </c>
      <c r="BD402">
        <v>6</v>
      </c>
    </row>
    <row r="403" spans="1:56" x14ac:dyDescent="0.25">
      <c r="A403">
        <v>56</v>
      </c>
      <c r="B403" t="str">
        <f>_xlfn.XLOOKUP(Table1[[#This Row],[Attrition]],Table2[Attrition],Table2[Id_Attrition])</f>
        <v>A002</v>
      </c>
      <c r="C403" t="s">
        <v>33</v>
      </c>
      <c r="D403" t="str">
        <f>_xlfn.XLOOKUP(Table1[[#This Row],[BusinessTravel]],Table5[BusinessTravel],Table5[Id_BusinessTravel])</f>
        <v>BS002</v>
      </c>
      <c r="E403" t="s">
        <v>35</v>
      </c>
      <c r="F403">
        <v>906</v>
      </c>
      <c r="G403" t="str">
        <f>_xlfn.XLOOKUP(Table1[[#This Row],[Department]],Table6[Department],Table6[Id_Departement])</f>
        <v>D001</v>
      </c>
      <c r="H403" t="s">
        <v>37</v>
      </c>
      <c r="I403">
        <v>6</v>
      </c>
      <c r="J403" t="str">
        <f>_xlfn.XLOOKUP(Table1[[#This Row],[Education]],Table8[Education],Table8[Id_Education])</f>
        <v>E003</v>
      </c>
      <c r="K403">
        <v>3</v>
      </c>
      <c r="L403" t="str">
        <f>_xlfn.XLOOKUP(Table1[[#This Row],[EducationField]],Table7[EducationField],Table7[Id_EducationField])</f>
        <v>EF001</v>
      </c>
      <c r="M403" t="s">
        <v>40</v>
      </c>
      <c r="N403" t="str">
        <f>_xlfn.XLOOKUP(Table1[[#This Row],[EmployeeNumber]],Table4[EmployeeNumber],Table4[Id_Employee])</f>
        <v>EMP00402</v>
      </c>
      <c r="O403">
        <v>532</v>
      </c>
      <c r="P403" t="str">
        <f>_xlfn.XLOOKUP(Table1[[#This Row],[EnvironmentSatisfaction]],Table9[EnvironmentSatisfaction],Table9[Id_EnviromentSatisfaction])</f>
        <v>ES003</v>
      </c>
      <c r="Q403">
        <v>3</v>
      </c>
      <c r="R403" t="str">
        <f>_xlfn.XLOOKUP(Table1[[#This Row],[EnvironmentSatisfaction]],Table9[EnvironmentSatisfaction],Table9[Deskripsi])</f>
        <v>High</v>
      </c>
      <c r="S403" t="str">
        <f>_xlfn.XLOOKUP(Table1[[#This Row],[Gender]],Table10[Gender],Table10[Id_Gender])</f>
        <v>G001</v>
      </c>
      <c r="T403" t="s">
        <v>45</v>
      </c>
      <c r="U403">
        <v>86</v>
      </c>
      <c r="V403" t="str">
        <f>_xlfn.XLOOKUP(Table1[[#This Row],[JobInvolvement]],Table11[JobInvolvement],Table11[Id_JobInvolvement])</f>
        <v>JI004</v>
      </c>
      <c r="W403">
        <v>4</v>
      </c>
      <c r="X403" t="str">
        <f>_xlfn.XLOOKUP(Table1[[#This Row],[JobLevel]],Table12[JobLevel],Table12[Id_JobLevel])</f>
        <v>JL004</v>
      </c>
      <c r="Y403">
        <v>4</v>
      </c>
      <c r="Z403" t="str">
        <f>_xlfn.XLOOKUP(Table1[[#This Row],[JobRole]],Table13[JobRole],Table13[Id_JobRole])</f>
        <v>JR001</v>
      </c>
      <c r="AA403" t="s">
        <v>47</v>
      </c>
      <c r="AB403" t="str">
        <f>_xlfn.XLOOKUP(Table1[[#This Row],[JobSatisfaction]],Table14[JobSatisfaction],Table14[Id_JobSatisfaction])</f>
        <v>JS001</v>
      </c>
      <c r="AC403">
        <v>1</v>
      </c>
      <c r="AD403" t="str">
        <f>_xlfn.XLOOKUP(Table1[[#This Row],[JobSatisfaction]],Table14[JobSatisfaction],Table14[Deskripsi])</f>
        <v>Low</v>
      </c>
      <c r="AE403" t="str">
        <f>_xlfn.XLOOKUP(Table1[[#This Row],[MaritalStatus]],Table15[MaritalStatus],Table15[Id_MaritalStatus])</f>
        <v>MS002</v>
      </c>
      <c r="AF403" t="s">
        <v>56</v>
      </c>
      <c r="AG403">
        <v>13212</v>
      </c>
      <c r="AH403">
        <v>18256</v>
      </c>
      <c r="AI403">
        <v>9</v>
      </c>
      <c r="AJ403" t="str">
        <f>_xlfn.XLOOKUP(Table1[[#This Row],[OverTime]],Table16[OverTime],Table16[Id_OverTime])</f>
        <v>OT002</v>
      </c>
      <c r="AK403" t="s">
        <v>33</v>
      </c>
      <c r="AL403">
        <v>11</v>
      </c>
      <c r="AM403" t="str">
        <f>_xlfn.XLOOKUP(Table1[[#This Row],[PerformanceRating]],Table17[PerformanceRating],Table17[Id_PerformanceRating])</f>
        <v>PR003</v>
      </c>
      <c r="AN403">
        <v>3</v>
      </c>
      <c r="AO403" t="str">
        <f>_xlfn.XLOOKUP(Table1[[#This Row],[PerformanceRating]],Table17[PerformanceRating],Table17[Deskripsi])</f>
        <v>Excellent</v>
      </c>
      <c r="AP403" t="str">
        <f>_xlfn.XLOOKUP(Table1[[#This Row],[RelationshipSatisfaction]],Table18[RelationshipSatisfaction],Table18[Id_RelationshipSatisfaction])</f>
        <v>RS004</v>
      </c>
      <c r="AQ403">
        <v>4</v>
      </c>
      <c r="AR403" t="str">
        <f>_xlfn.XLOOKUP(Table1[[#This Row],[RelationshipSatisfaction]],Table18[RelationshipSatisfaction],Table18[Deskripsi])</f>
        <v>Very High</v>
      </c>
      <c r="AS403" t="str">
        <f>_xlfn.XLOOKUP(Table1[[#This Row],[StockOptionLevel]],Table19[StockOptionLevel],Table19[Id_StockOptionLevel])</f>
        <v>SOL004</v>
      </c>
      <c r="AT403">
        <v>3</v>
      </c>
      <c r="AU403" t="str">
        <f>_xlfn.XLOOKUP(Table1[[#This Row],[StockOptionLevel]],Table19[StockOptionLevel],Table19[Deskripsi])</f>
        <v>Senior/Executive</v>
      </c>
      <c r="AV403">
        <v>36</v>
      </c>
      <c r="AW403">
        <v>0</v>
      </c>
      <c r="AX403" t="str">
        <f>_xlfn.XLOOKUP(Table1[[#This Row],[WorkLifeBalance]],Table20[WorkLifeBalance],Table20[Id_WorkLifeBalance])</f>
        <v>WLB003</v>
      </c>
      <c r="AY403">
        <v>2</v>
      </c>
      <c r="AZ403" t="str">
        <f>_xlfn.XLOOKUP(Table1[[#This Row],[WorkLifeBalance]],Table20[WorkLifeBalance],Table20[Deskripsi])</f>
        <v>Better</v>
      </c>
      <c r="BA403">
        <v>7</v>
      </c>
      <c r="BB403">
        <v>7</v>
      </c>
      <c r="BC403">
        <v>7</v>
      </c>
      <c r="BD403">
        <v>7</v>
      </c>
    </row>
    <row r="404" spans="1:56" x14ac:dyDescent="0.25">
      <c r="A404">
        <v>30</v>
      </c>
      <c r="B404" t="str">
        <f>_xlfn.XLOOKUP(Table1[[#This Row],[Attrition]],Table2[Attrition],Table2[Id_Attrition])</f>
        <v>A002</v>
      </c>
      <c r="C404" t="s">
        <v>33</v>
      </c>
      <c r="D404" t="str">
        <f>_xlfn.XLOOKUP(Table1[[#This Row],[BusinessTravel]],Table5[BusinessTravel],Table5[Id_BusinessTravel])</f>
        <v>BS001</v>
      </c>
      <c r="E404" t="s">
        <v>34</v>
      </c>
      <c r="F404">
        <v>1082</v>
      </c>
      <c r="G404" t="str">
        <f>_xlfn.XLOOKUP(Table1[[#This Row],[Department]],Table6[Department],Table6[Id_Departement])</f>
        <v>D001</v>
      </c>
      <c r="H404" t="s">
        <v>37</v>
      </c>
      <c r="I404">
        <v>12</v>
      </c>
      <c r="J404" t="str">
        <f>_xlfn.XLOOKUP(Table1[[#This Row],[Education]],Table8[Education],Table8[Id_Education])</f>
        <v>E003</v>
      </c>
      <c r="K404">
        <v>3</v>
      </c>
      <c r="L404" t="str">
        <f>_xlfn.XLOOKUP(Table1[[#This Row],[EducationField]],Table7[EducationField],Table7[Id_EducationField])</f>
        <v>EF005</v>
      </c>
      <c r="M404" t="s">
        <v>44</v>
      </c>
      <c r="N404" t="str">
        <f>_xlfn.XLOOKUP(Table1[[#This Row],[EmployeeNumber]],Table4[EmployeeNumber],Table4[Id_Employee])</f>
        <v>EMP00403</v>
      </c>
      <c r="O404">
        <v>533</v>
      </c>
      <c r="P404" t="str">
        <f>_xlfn.XLOOKUP(Table1[[#This Row],[EnvironmentSatisfaction]],Table9[EnvironmentSatisfaction],Table9[Id_EnviromentSatisfaction])</f>
        <v>ES002</v>
      </c>
      <c r="Q404">
        <v>2</v>
      </c>
      <c r="R404" t="str">
        <f>_xlfn.XLOOKUP(Table1[[#This Row],[EnvironmentSatisfaction]],Table9[EnvironmentSatisfaction],Table9[Deskripsi])</f>
        <v>Medium</v>
      </c>
      <c r="S404" t="str">
        <f>_xlfn.XLOOKUP(Table1[[#This Row],[Gender]],Table10[Gender],Table10[Id_Gender])</f>
        <v>G001</v>
      </c>
      <c r="T404" t="s">
        <v>45</v>
      </c>
      <c r="U404">
        <v>83</v>
      </c>
      <c r="V404" t="str">
        <f>_xlfn.XLOOKUP(Table1[[#This Row],[JobInvolvement]],Table11[JobInvolvement],Table11[Id_JobInvolvement])</f>
        <v>JI003</v>
      </c>
      <c r="W404">
        <v>3</v>
      </c>
      <c r="X404" t="str">
        <f>_xlfn.XLOOKUP(Table1[[#This Row],[JobLevel]],Table12[JobLevel],Table12[Id_JobLevel])</f>
        <v>JL002</v>
      </c>
      <c r="Y404">
        <v>2</v>
      </c>
      <c r="Z404" t="str">
        <f>_xlfn.XLOOKUP(Table1[[#This Row],[JobRole]],Table13[JobRole],Table13[Id_JobRole])</f>
        <v>JR001</v>
      </c>
      <c r="AA404" t="s">
        <v>47</v>
      </c>
      <c r="AB404" t="str">
        <f>_xlfn.XLOOKUP(Table1[[#This Row],[JobSatisfaction]],Table14[JobSatisfaction],Table14[Id_JobSatisfaction])</f>
        <v>JS003</v>
      </c>
      <c r="AC404">
        <v>3</v>
      </c>
      <c r="AD404" t="str">
        <f>_xlfn.XLOOKUP(Table1[[#This Row],[JobSatisfaction]],Table14[JobSatisfaction],Table14[Deskripsi])</f>
        <v>High</v>
      </c>
      <c r="AE404" t="str">
        <f>_xlfn.XLOOKUP(Table1[[#This Row],[MaritalStatus]],Table15[MaritalStatus],Table15[Id_MaritalStatus])</f>
        <v>MS001</v>
      </c>
      <c r="AF404" t="s">
        <v>55</v>
      </c>
      <c r="AG404">
        <v>6577</v>
      </c>
      <c r="AH404">
        <v>19558</v>
      </c>
      <c r="AI404">
        <v>0</v>
      </c>
      <c r="AJ404" t="str">
        <f>_xlfn.XLOOKUP(Table1[[#This Row],[OverTime]],Table16[OverTime],Table16[Id_OverTime])</f>
        <v>OT002</v>
      </c>
      <c r="AK404" t="s">
        <v>33</v>
      </c>
      <c r="AL404">
        <v>11</v>
      </c>
      <c r="AM404" t="str">
        <f>_xlfn.XLOOKUP(Table1[[#This Row],[PerformanceRating]],Table17[PerformanceRating],Table17[Id_PerformanceRating])</f>
        <v>PR003</v>
      </c>
      <c r="AN404">
        <v>3</v>
      </c>
      <c r="AO404" t="str">
        <f>_xlfn.XLOOKUP(Table1[[#This Row],[PerformanceRating]],Table17[PerformanceRating],Table17[Deskripsi])</f>
        <v>Excellent</v>
      </c>
      <c r="AP404" t="str">
        <f>_xlfn.XLOOKUP(Table1[[#This Row],[RelationshipSatisfaction]],Table18[RelationshipSatisfaction],Table18[Id_RelationshipSatisfaction])</f>
        <v>RS002</v>
      </c>
      <c r="AQ404">
        <v>2</v>
      </c>
      <c r="AR404" t="str">
        <f>_xlfn.XLOOKUP(Table1[[#This Row],[RelationshipSatisfaction]],Table18[RelationshipSatisfaction],Table18[Deskripsi])</f>
        <v>Medium</v>
      </c>
      <c r="AS404" t="str">
        <f>_xlfn.XLOOKUP(Table1[[#This Row],[StockOptionLevel]],Table19[StockOptionLevel],Table19[Id_StockOptionLevel])</f>
        <v>SOL001</v>
      </c>
      <c r="AT404">
        <v>0</v>
      </c>
      <c r="AU404" t="str">
        <f>_xlfn.XLOOKUP(Table1[[#This Row],[StockOptionLevel]],Table19[StockOptionLevel],Table19[Deskripsi])</f>
        <v>Non-Eligible</v>
      </c>
      <c r="AV404">
        <v>6</v>
      </c>
      <c r="AW404">
        <v>6</v>
      </c>
      <c r="AX404" t="str">
        <f>_xlfn.XLOOKUP(Table1[[#This Row],[WorkLifeBalance]],Table20[WorkLifeBalance],Table20[Id_WorkLifeBalance])</f>
        <v>WLB002</v>
      </c>
      <c r="AY404">
        <v>3</v>
      </c>
      <c r="AZ404" t="str">
        <f>_xlfn.XLOOKUP(Table1[[#This Row],[WorkLifeBalance]],Table20[WorkLifeBalance],Table20[Deskripsi])</f>
        <v>Good</v>
      </c>
      <c r="BA404">
        <v>5</v>
      </c>
      <c r="BB404">
        <v>4</v>
      </c>
      <c r="BC404">
        <v>4</v>
      </c>
      <c r="BD404">
        <v>4</v>
      </c>
    </row>
    <row r="405" spans="1:56" x14ac:dyDescent="0.25">
      <c r="A405">
        <v>41</v>
      </c>
      <c r="B405" t="str">
        <f>_xlfn.XLOOKUP(Table1[[#This Row],[Attrition]],Table2[Attrition],Table2[Id_Attrition])</f>
        <v>A002</v>
      </c>
      <c r="C405" t="s">
        <v>33</v>
      </c>
      <c r="D405" t="str">
        <f>_xlfn.XLOOKUP(Table1[[#This Row],[BusinessTravel]],Table5[BusinessTravel],Table5[Id_BusinessTravel])</f>
        <v>BS001</v>
      </c>
      <c r="E405" t="s">
        <v>34</v>
      </c>
      <c r="F405">
        <v>645</v>
      </c>
      <c r="G405" t="str">
        <f>_xlfn.XLOOKUP(Table1[[#This Row],[Department]],Table6[Department],Table6[Id_Departement])</f>
        <v>D001</v>
      </c>
      <c r="H405" t="s">
        <v>37</v>
      </c>
      <c r="I405">
        <v>1</v>
      </c>
      <c r="J405" t="str">
        <f>_xlfn.XLOOKUP(Table1[[#This Row],[Education]],Table8[Education],Table8[Id_Education])</f>
        <v>E003</v>
      </c>
      <c r="K405">
        <v>3</v>
      </c>
      <c r="L405" t="str">
        <f>_xlfn.XLOOKUP(Table1[[#This Row],[EducationField]],Table7[EducationField],Table7[Id_EducationField])</f>
        <v>EF004</v>
      </c>
      <c r="M405" t="s">
        <v>43</v>
      </c>
      <c r="N405" t="str">
        <f>_xlfn.XLOOKUP(Table1[[#This Row],[EmployeeNumber]],Table4[EmployeeNumber],Table4[Id_Employee])</f>
        <v>EMP00404</v>
      </c>
      <c r="O405">
        <v>534</v>
      </c>
      <c r="P405" t="str">
        <f>_xlfn.XLOOKUP(Table1[[#This Row],[EnvironmentSatisfaction]],Table9[EnvironmentSatisfaction],Table9[Id_EnviromentSatisfaction])</f>
        <v>ES002</v>
      </c>
      <c r="Q405">
        <v>2</v>
      </c>
      <c r="R405" t="str">
        <f>_xlfn.XLOOKUP(Table1[[#This Row],[EnvironmentSatisfaction]],Table9[EnvironmentSatisfaction],Table9[Deskripsi])</f>
        <v>Medium</v>
      </c>
      <c r="S405" t="str">
        <f>_xlfn.XLOOKUP(Table1[[#This Row],[Gender]],Table10[Gender],Table10[Id_Gender])</f>
        <v>G002</v>
      </c>
      <c r="T405" t="s">
        <v>46</v>
      </c>
      <c r="U405">
        <v>49</v>
      </c>
      <c r="V405" t="str">
        <f>_xlfn.XLOOKUP(Table1[[#This Row],[JobInvolvement]],Table11[JobInvolvement],Table11[Id_JobInvolvement])</f>
        <v>JI004</v>
      </c>
      <c r="W405">
        <v>4</v>
      </c>
      <c r="X405" t="str">
        <f>_xlfn.XLOOKUP(Table1[[#This Row],[JobLevel]],Table12[JobLevel],Table12[Id_JobLevel])</f>
        <v>JL003</v>
      </c>
      <c r="Y405">
        <v>3</v>
      </c>
      <c r="Z405" t="str">
        <f>_xlfn.XLOOKUP(Table1[[#This Row],[JobRole]],Table13[JobRole],Table13[Id_JobRole])</f>
        <v>JR001</v>
      </c>
      <c r="AA405" t="s">
        <v>47</v>
      </c>
      <c r="AB405" t="str">
        <f>_xlfn.XLOOKUP(Table1[[#This Row],[JobSatisfaction]],Table14[JobSatisfaction],Table14[Id_JobSatisfaction])</f>
        <v>JS001</v>
      </c>
      <c r="AC405">
        <v>1</v>
      </c>
      <c r="AD405" t="str">
        <f>_xlfn.XLOOKUP(Table1[[#This Row],[JobSatisfaction]],Table14[JobSatisfaction],Table14[Deskripsi])</f>
        <v>Low</v>
      </c>
      <c r="AE405" t="str">
        <f>_xlfn.XLOOKUP(Table1[[#This Row],[MaritalStatus]],Table15[MaritalStatus],Table15[Id_MaritalStatus])</f>
        <v>MS002</v>
      </c>
      <c r="AF405" t="s">
        <v>56</v>
      </c>
      <c r="AG405">
        <v>8392</v>
      </c>
      <c r="AH405">
        <v>19566</v>
      </c>
      <c r="AI405">
        <v>1</v>
      </c>
      <c r="AJ405" t="str">
        <f>_xlfn.XLOOKUP(Table1[[#This Row],[OverTime]],Table16[OverTime],Table16[Id_OverTime])</f>
        <v>OT002</v>
      </c>
      <c r="AK405" t="s">
        <v>33</v>
      </c>
      <c r="AL405">
        <v>16</v>
      </c>
      <c r="AM405" t="str">
        <f>_xlfn.XLOOKUP(Table1[[#This Row],[PerformanceRating]],Table17[PerformanceRating],Table17[Id_PerformanceRating])</f>
        <v>PR003</v>
      </c>
      <c r="AN405">
        <v>3</v>
      </c>
      <c r="AO405" t="str">
        <f>_xlfn.XLOOKUP(Table1[[#This Row],[PerformanceRating]],Table17[PerformanceRating],Table17[Deskripsi])</f>
        <v>Excellent</v>
      </c>
      <c r="AP405" t="str">
        <f>_xlfn.XLOOKUP(Table1[[#This Row],[RelationshipSatisfaction]],Table18[RelationshipSatisfaction],Table18[Id_RelationshipSatisfaction])</f>
        <v>RS003</v>
      </c>
      <c r="AQ405">
        <v>3</v>
      </c>
      <c r="AR405" t="str">
        <f>_xlfn.XLOOKUP(Table1[[#This Row],[RelationshipSatisfaction]],Table18[RelationshipSatisfaction],Table18[Deskripsi])</f>
        <v>High</v>
      </c>
      <c r="AS405" t="str">
        <f>_xlfn.XLOOKUP(Table1[[#This Row],[StockOptionLevel]],Table19[StockOptionLevel],Table19[Id_StockOptionLevel])</f>
        <v>SOL002</v>
      </c>
      <c r="AT405">
        <v>1</v>
      </c>
      <c r="AU405" t="str">
        <f>_xlfn.XLOOKUP(Table1[[#This Row],[StockOptionLevel]],Table19[StockOptionLevel],Table19[Deskripsi])</f>
        <v>Standard</v>
      </c>
      <c r="AV405">
        <v>10</v>
      </c>
      <c r="AW405">
        <v>2</v>
      </c>
      <c r="AX405" t="str">
        <f>_xlfn.XLOOKUP(Table1[[#This Row],[WorkLifeBalance]],Table20[WorkLifeBalance],Table20[Id_WorkLifeBalance])</f>
        <v>WLB002</v>
      </c>
      <c r="AY405">
        <v>3</v>
      </c>
      <c r="AZ405" t="str">
        <f>_xlfn.XLOOKUP(Table1[[#This Row],[WorkLifeBalance]],Table20[WorkLifeBalance],Table20[Deskripsi])</f>
        <v>Good</v>
      </c>
      <c r="BA405">
        <v>10</v>
      </c>
      <c r="BB405">
        <v>7</v>
      </c>
      <c r="BC405">
        <v>0</v>
      </c>
      <c r="BD405">
        <v>7</v>
      </c>
    </row>
    <row r="406" spans="1:56" x14ac:dyDescent="0.25">
      <c r="A406">
        <v>28</v>
      </c>
      <c r="B406" t="str">
        <f>_xlfn.XLOOKUP(Table1[[#This Row],[Attrition]],Table2[Attrition],Table2[Id_Attrition])</f>
        <v>A002</v>
      </c>
      <c r="C406" t="s">
        <v>33</v>
      </c>
      <c r="D406" t="str">
        <f>_xlfn.XLOOKUP(Table1[[#This Row],[BusinessTravel]],Table5[BusinessTravel],Table5[Id_BusinessTravel])</f>
        <v>BS001</v>
      </c>
      <c r="E406" t="s">
        <v>34</v>
      </c>
      <c r="F406">
        <v>1300</v>
      </c>
      <c r="G406" t="str">
        <f>_xlfn.XLOOKUP(Table1[[#This Row],[Department]],Table6[Department],Table6[Id_Departement])</f>
        <v>D002</v>
      </c>
      <c r="H406" t="s">
        <v>38</v>
      </c>
      <c r="I406">
        <v>17</v>
      </c>
      <c r="J406" t="str">
        <f>_xlfn.XLOOKUP(Table1[[#This Row],[Education]],Table8[Education],Table8[Id_Education])</f>
        <v>E002</v>
      </c>
      <c r="K406">
        <v>2</v>
      </c>
      <c r="L406" t="str">
        <f>_xlfn.XLOOKUP(Table1[[#This Row],[EducationField]],Table7[EducationField],Table7[Id_EducationField])</f>
        <v>EF003</v>
      </c>
      <c r="M406" t="s">
        <v>42</v>
      </c>
      <c r="N406" t="str">
        <f>_xlfn.XLOOKUP(Table1[[#This Row],[EmployeeNumber]],Table4[EmployeeNumber],Table4[Id_Employee])</f>
        <v>EMP00405</v>
      </c>
      <c r="O406">
        <v>536</v>
      </c>
      <c r="P406" t="str">
        <f>_xlfn.XLOOKUP(Table1[[#This Row],[EnvironmentSatisfaction]],Table9[EnvironmentSatisfaction],Table9[Id_EnviromentSatisfaction])</f>
        <v>ES003</v>
      </c>
      <c r="Q406">
        <v>3</v>
      </c>
      <c r="R406" t="str">
        <f>_xlfn.XLOOKUP(Table1[[#This Row],[EnvironmentSatisfaction]],Table9[EnvironmentSatisfaction],Table9[Deskripsi])</f>
        <v>High</v>
      </c>
      <c r="S406" t="str">
        <f>_xlfn.XLOOKUP(Table1[[#This Row],[Gender]],Table10[Gender],Table10[Id_Gender])</f>
        <v>G002</v>
      </c>
      <c r="T406" t="s">
        <v>46</v>
      </c>
      <c r="U406">
        <v>79</v>
      </c>
      <c r="V406" t="str">
        <f>_xlfn.XLOOKUP(Table1[[#This Row],[JobInvolvement]],Table11[JobInvolvement],Table11[Id_JobInvolvement])</f>
        <v>JI003</v>
      </c>
      <c r="W406">
        <v>3</v>
      </c>
      <c r="X406" t="str">
        <f>_xlfn.XLOOKUP(Table1[[#This Row],[JobLevel]],Table12[JobLevel],Table12[Id_JobLevel])</f>
        <v>JL002</v>
      </c>
      <c r="Y406">
        <v>2</v>
      </c>
      <c r="Z406" t="str">
        <f>_xlfn.XLOOKUP(Table1[[#This Row],[JobRole]],Table13[JobRole],Table13[Id_JobRole])</f>
        <v>JR003</v>
      </c>
      <c r="AA406" t="s">
        <v>49</v>
      </c>
      <c r="AB406" t="str">
        <f>_xlfn.XLOOKUP(Table1[[#This Row],[JobSatisfaction]],Table14[JobSatisfaction],Table14[Id_JobSatisfaction])</f>
        <v>JS001</v>
      </c>
      <c r="AC406">
        <v>1</v>
      </c>
      <c r="AD406" t="str">
        <f>_xlfn.XLOOKUP(Table1[[#This Row],[JobSatisfaction]],Table14[JobSatisfaction],Table14[Deskripsi])</f>
        <v>Low</v>
      </c>
      <c r="AE406" t="str">
        <f>_xlfn.XLOOKUP(Table1[[#This Row],[MaritalStatus]],Table15[MaritalStatus],Table15[Id_MaritalStatus])</f>
        <v>MS003</v>
      </c>
      <c r="AF406" t="s">
        <v>57</v>
      </c>
      <c r="AG406">
        <v>4558</v>
      </c>
      <c r="AH406">
        <v>13535</v>
      </c>
      <c r="AI406">
        <v>1</v>
      </c>
      <c r="AJ406" t="str">
        <f>_xlfn.XLOOKUP(Table1[[#This Row],[OverTime]],Table16[OverTime],Table16[Id_OverTime])</f>
        <v>OT002</v>
      </c>
      <c r="AK406" t="s">
        <v>33</v>
      </c>
      <c r="AL406">
        <v>12</v>
      </c>
      <c r="AM406" t="str">
        <f>_xlfn.XLOOKUP(Table1[[#This Row],[PerformanceRating]],Table17[PerformanceRating],Table17[Id_PerformanceRating])</f>
        <v>PR003</v>
      </c>
      <c r="AN406">
        <v>3</v>
      </c>
      <c r="AO406" t="str">
        <f>_xlfn.XLOOKUP(Table1[[#This Row],[PerformanceRating]],Table17[PerformanceRating],Table17[Deskripsi])</f>
        <v>Excellent</v>
      </c>
      <c r="AP406" t="str">
        <f>_xlfn.XLOOKUP(Table1[[#This Row],[RelationshipSatisfaction]],Table18[RelationshipSatisfaction],Table18[Id_RelationshipSatisfaction])</f>
        <v>RS004</v>
      </c>
      <c r="AQ406">
        <v>4</v>
      </c>
      <c r="AR406" t="str">
        <f>_xlfn.XLOOKUP(Table1[[#This Row],[RelationshipSatisfaction]],Table18[RelationshipSatisfaction],Table18[Deskripsi])</f>
        <v>Very High</v>
      </c>
      <c r="AS406" t="str">
        <f>_xlfn.XLOOKUP(Table1[[#This Row],[StockOptionLevel]],Table19[StockOptionLevel],Table19[Id_StockOptionLevel])</f>
        <v>SOL002</v>
      </c>
      <c r="AT406">
        <v>1</v>
      </c>
      <c r="AU406" t="str">
        <f>_xlfn.XLOOKUP(Table1[[#This Row],[StockOptionLevel]],Table19[StockOptionLevel],Table19[Deskripsi])</f>
        <v>Standard</v>
      </c>
      <c r="AV406">
        <v>10</v>
      </c>
      <c r="AW406">
        <v>2</v>
      </c>
      <c r="AX406" t="str">
        <f>_xlfn.XLOOKUP(Table1[[#This Row],[WorkLifeBalance]],Table20[WorkLifeBalance],Table20[Id_WorkLifeBalance])</f>
        <v>WLB002</v>
      </c>
      <c r="AY406">
        <v>3</v>
      </c>
      <c r="AZ406" t="str">
        <f>_xlfn.XLOOKUP(Table1[[#This Row],[WorkLifeBalance]],Table20[WorkLifeBalance],Table20[Deskripsi])</f>
        <v>Good</v>
      </c>
      <c r="BA406">
        <v>10</v>
      </c>
      <c r="BB406">
        <v>0</v>
      </c>
      <c r="BC406">
        <v>1</v>
      </c>
      <c r="BD406">
        <v>8</v>
      </c>
    </row>
    <row r="407" spans="1:56" x14ac:dyDescent="0.25">
      <c r="A407">
        <v>25</v>
      </c>
      <c r="B407" t="str">
        <f>_xlfn.XLOOKUP(Table1[[#This Row],[Attrition]],Table2[Attrition],Table2[Id_Attrition])</f>
        <v>A001</v>
      </c>
      <c r="C407" t="s">
        <v>32</v>
      </c>
      <c r="D407" t="str">
        <f>_xlfn.XLOOKUP(Table1[[#This Row],[BusinessTravel]],Table5[BusinessTravel],Table5[Id_BusinessTravel])</f>
        <v>BS001</v>
      </c>
      <c r="E407" t="s">
        <v>34</v>
      </c>
      <c r="F407">
        <v>688</v>
      </c>
      <c r="G407" t="str">
        <f>_xlfn.XLOOKUP(Table1[[#This Row],[Department]],Table6[Department],Table6[Id_Departement])</f>
        <v>D002</v>
      </c>
      <c r="H407" t="s">
        <v>38</v>
      </c>
      <c r="I407">
        <v>3</v>
      </c>
      <c r="J407" t="str">
        <f>_xlfn.XLOOKUP(Table1[[#This Row],[Education]],Table8[Education],Table8[Id_Education])</f>
        <v>E003</v>
      </c>
      <c r="K407">
        <v>3</v>
      </c>
      <c r="L407" t="str">
        <f>_xlfn.XLOOKUP(Table1[[#This Row],[EducationField]],Table7[EducationField],Table7[Id_EducationField])</f>
        <v>EF003</v>
      </c>
      <c r="M407" t="s">
        <v>42</v>
      </c>
      <c r="N407" t="str">
        <f>_xlfn.XLOOKUP(Table1[[#This Row],[EmployeeNumber]],Table4[EmployeeNumber],Table4[Id_Employee])</f>
        <v>EMP00406</v>
      </c>
      <c r="O407">
        <v>538</v>
      </c>
      <c r="P407" t="str">
        <f>_xlfn.XLOOKUP(Table1[[#This Row],[EnvironmentSatisfaction]],Table9[EnvironmentSatisfaction],Table9[Id_EnviromentSatisfaction])</f>
        <v>ES001</v>
      </c>
      <c r="Q407">
        <v>1</v>
      </c>
      <c r="R407" t="str">
        <f>_xlfn.XLOOKUP(Table1[[#This Row],[EnvironmentSatisfaction]],Table9[EnvironmentSatisfaction],Table9[Deskripsi])</f>
        <v>Low</v>
      </c>
      <c r="S407" t="str">
        <f>_xlfn.XLOOKUP(Table1[[#This Row],[Gender]],Table10[Gender],Table10[Id_Gender])</f>
        <v>G002</v>
      </c>
      <c r="T407" t="s">
        <v>46</v>
      </c>
      <c r="U407">
        <v>91</v>
      </c>
      <c r="V407" t="str">
        <f>_xlfn.XLOOKUP(Table1[[#This Row],[JobInvolvement]],Table11[JobInvolvement],Table11[Id_JobInvolvement])</f>
        <v>JI003</v>
      </c>
      <c r="W407">
        <v>3</v>
      </c>
      <c r="X407" t="str">
        <f>_xlfn.XLOOKUP(Table1[[#This Row],[JobLevel]],Table12[JobLevel],Table12[Id_JobLevel])</f>
        <v>JL001</v>
      </c>
      <c r="Y407">
        <v>1</v>
      </c>
      <c r="Z407" t="str">
        <f>_xlfn.XLOOKUP(Table1[[#This Row],[JobRole]],Table13[JobRole],Table13[Id_JobRole])</f>
        <v>JR003</v>
      </c>
      <c r="AA407" t="s">
        <v>49</v>
      </c>
      <c r="AB407" t="str">
        <f>_xlfn.XLOOKUP(Table1[[#This Row],[JobSatisfaction]],Table14[JobSatisfaction],Table14[Id_JobSatisfaction])</f>
        <v>JS001</v>
      </c>
      <c r="AC407">
        <v>1</v>
      </c>
      <c r="AD407" t="str">
        <f>_xlfn.XLOOKUP(Table1[[#This Row],[JobSatisfaction]],Table14[JobSatisfaction],Table14[Deskripsi])</f>
        <v>Low</v>
      </c>
      <c r="AE407" t="str">
        <f>_xlfn.XLOOKUP(Table1[[#This Row],[MaritalStatus]],Table15[MaritalStatus],Table15[Id_MaritalStatus])</f>
        <v>MS002</v>
      </c>
      <c r="AF407" t="s">
        <v>56</v>
      </c>
      <c r="AG407">
        <v>4031</v>
      </c>
      <c r="AH407">
        <v>9396</v>
      </c>
      <c r="AI407">
        <v>5</v>
      </c>
      <c r="AJ407" t="str">
        <f>_xlfn.XLOOKUP(Table1[[#This Row],[OverTime]],Table16[OverTime],Table16[Id_OverTime])</f>
        <v>OT002</v>
      </c>
      <c r="AK407" t="s">
        <v>33</v>
      </c>
      <c r="AL407">
        <v>13</v>
      </c>
      <c r="AM407" t="str">
        <f>_xlfn.XLOOKUP(Table1[[#This Row],[PerformanceRating]],Table17[PerformanceRating],Table17[Id_PerformanceRating])</f>
        <v>PR003</v>
      </c>
      <c r="AN407">
        <v>3</v>
      </c>
      <c r="AO407" t="str">
        <f>_xlfn.XLOOKUP(Table1[[#This Row],[PerformanceRating]],Table17[PerformanceRating],Table17[Deskripsi])</f>
        <v>Excellent</v>
      </c>
      <c r="AP407" t="str">
        <f>_xlfn.XLOOKUP(Table1[[#This Row],[RelationshipSatisfaction]],Table18[RelationshipSatisfaction],Table18[Id_RelationshipSatisfaction])</f>
        <v>RS003</v>
      </c>
      <c r="AQ407">
        <v>3</v>
      </c>
      <c r="AR407" t="str">
        <f>_xlfn.XLOOKUP(Table1[[#This Row],[RelationshipSatisfaction]],Table18[RelationshipSatisfaction],Table18[Deskripsi])</f>
        <v>High</v>
      </c>
      <c r="AS407" t="str">
        <f>_xlfn.XLOOKUP(Table1[[#This Row],[StockOptionLevel]],Table19[StockOptionLevel],Table19[Id_StockOptionLevel])</f>
        <v>SOL002</v>
      </c>
      <c r="AT407">
        <v>1</v>
      </c>
      <c r="AU407" t="str">
        <f>_xlfn.XLOOKUP(Table1[[#This Row],[StockOptionLevel]],Table19[StockOptionLevel],Table19[Deskripsi])</f>
        <v>Standard</v>
      </c>
      <c r="AV407">
        <v>6</v>
      </c>
      <c r="AW407">
        <v>5</v>
      </c>
      <c r="AX407" t="str">
        <f>_xlfn.XLOOKUP(Table1[[#This Row],[WorkLifeBalance]],Table20[WorkLifeBalance],Table20[Id_WorkLifeBalance])</f>
        <v>WLB002</v>
      </c>
      <c r="AY407">
        <v>3</v>
      </c>
      <c r="AZ407" t="str">
        <f>_xlfn.XLOOKUP(Table1[[#This Row],[WorkLifeBalance]],Table20[WorkLifeBalance],Table20[Deskripsi])</f>
        <v>Good</v>
      </c>
      <c r="BA407">
        <v>2</v>
      </c>
      <c r="BB407">
        <v>2</v>
      </c>
      <c r="BC407">
        <v>0</v>
      </c>
      <c r="BD407">
        <v>2</v>
      </c>
    </row>
    <row r="408" spans="1:56" x14ac:dyDescent="0.25">
      <c r="A408">
        <v>52</v>
      </c>
      <c r="B408" t="str">
        <f>_xlfn.XLOOKUP(Table1[[#This Row],[Attrition]],Table2[Attrition],Table2[Id_Attrition])</f>
        <v>A002</v>
      </c>
      <c r="C408" t="s">
        <v>33</v>
      </c>
      <c r="D408" t="str">
        <f>_xlfn.XLOOKUP(Table1[[#This Row],[BusinessTravel]],Table5[BusinessTravel],Table5[Id_BusinessTravel])</f>
        <v>BS001</v>
      </c>
      <c r="E408" t="s">
        <v>34</v>
      </c>
      <c r="F408">
        <v>319</v>
      </c>
      <c r="G408" t="str">
        <f>_xlfn.XLOOKUP(Table1[[#This Row],[Department]],Table6[Department],Table6[Id_Departement])</f>
        <v>D002</v>
      </c>
      <c r="H408" t="s">
        <v>38</v>
      </c>
      <c r="I408">
        <v>3</v>
      </c>
      <c r="J408" t="str">
        <f>_xlfn.XLOOKUP(Table1[[#This Row],[Education]],Table8[Education],Table8[Id_Education])</f>
        <v>E003</v>
      </c>
      <c r="K408">
        <v>3</v>
      </c>
      <c r="L408" t="str">
        <f>_xlfn.XLOOKUP(Table1[[#This Row],[EducationField]],Table7[EducationField],Table7[Id_EducationField])</f>
        <v>EF003</v>
      </c>
      <c r="M408" t="s">
        <v>42</v>
      </c>
      <c r="N408" t="str">
        <f>_xlfn.XLOOKUP(Table1[[#This Row],[EmployeeNumber]],Table4[EmployeeNumber],Table4[Id_Employee])</f>
        <v>EMP00407</v>
      </c>
      <c r="O408">
        <v>543</v>
      </c>
      <c r="P408" t="str">
        <f>_xlfn.XLOOKUP(Table1[[#This Row],[EnvironmentSatisfaction]],Table9[EnvironmentSatisfaction],Table9[Id_EnviromentSatisfaction])</f>
        <v>ES004</v>
      </c>
      <c r="Q408">
        <v>4</v>
      </c>
      <c r="R408" t="str">
        <f>_xlfn.XLOOKUP(Table1[[#This Row],[EnvironmentSatisfaction]],Table9[EnvironmentSatisfaction],Table9[Deskripsi])</f>
        <v>Very High</v>
      </c>
      <c r="S408" t="str">
        <f>_xlfn.XLOOKUP(Table1[[#This Row],[Gender]],Table10[Gender],Table10[Id_Gender])</f>
        <v>G002</v>
      </c>
      <c r="T408" t="s">
        <v>46</v>
      </c>
      <c r="U408">
        <v>39</v>
      </c>
      <c r="V408" t="str">
        <f>_xlfn.XLOOKUP(Table1[[#This Row],[JobInvolvement]],Table11[JobInvolvement],Table11[Id_JobInvolvement])</f>
        <v>JI002</v>
      </c>
      <c r="W408">
        <v>2</v>
      </c>
      <c r="X408" t="str">
        <f>_xlfn.XLOOKUP(Table1[[#This Row],[JobLevel]],Table12[JobLevel],Table12[Id_JobLevel])</f>
        <v>JL003</v>
      </c>
      <c r="Y408">
        <v>3</v>
      </c>
      <c r="Z408" t="str">
        <f>_xlfn.XLOOKUP(Table1[[#This Row],[JobRole]],Table13[JobRole],Table13[Id_JobRole])</f>
        <v>JR004</v>
      </c>
      <c r="AA408" t="s">
        <v>50</v>
      </c>
      <c r="AB408" t="str">
        <f>_xlfn.XLOOKUP(Table1[[#This Row],[JobSatisfaction]],Table14[JobSatisfaction],Table14[Id_JobSatisfaction])</f>
        <v>JS003</v>
      </c>
      <c r="AC408">
        <v>3</v>
      </c>
      <c r="AD408" t="str">
        <f>_xlfn.XLOOKUP(Table1[[#This Row],[JobSatisfaction]],Table14[JobSatisfaction],Table14[Deskripsi])</f>
        <v>High</v>
      </c>
      <c r="AE408" t="str">
        <f>_xlfn.XLOOKUP(Table1[[#This Row],[MaritalStatus]],Table15[MaritalStatus],Table15[Id_MaritalStatus])</f>
        <v>MS002</v>
      </c>
      <c r="AF408" t="s">
        <v>56</v>
      </c>
      <c r="AG408">
        <v>7969</v>
      </c>
      <c r="AH408">
        <v>19609</v>
      </c>
      <c r="AI408">
        <v>2</v>
      </c>
      <c r="AJ408" t="str">
        <f>_xlfn.XLOOKUP(Table1[[#This Row],[OverTime]],Table16[OverTime],Table16[Id_OverTime])</f>
        <v>OT001</v>
      </c>
      <c r="AK408" t="s">
        <v>32</v>
      </c>
      <c r="AL408">
        <v>14</v>
      </c>
      <c r="AM408" t="str">
        <f>_xlfn.XLOOKUP(Table1[[#This Row],[PerformanceRating]],Table17[PerformanceRating],Table17[Id_PerformanceRating])</f>
        <v>PR003</v>
      </c>
      <c r="AN408">
        <v>3</v>
      </c>
      <c r="AO408" t="str">
        <f>_xlfn.XLOOKUP(Table1[[#This Row],[PerformanceRating]],Table17[PerformanceRating],Table17[Deskripsi])</f>
        <v>Excellent</v>
      </c>
      <c r="AP408" t="str">
        <f>_xlfn.XLOOKUP(Table1[[#This Row],[RelationshipSatisfaction]],Table18[RelationshipSatisfaction],Table18[Id_RelationshipSatisfaction])</f>
        <v>RS003</v>
      </c>
      <c r="AQ408">
        <v>3</v>
      </c>
      <c r="AR408" t="str">
        <f>_xlfn.XLOOKUP(Table1[[#This Row],[RelationshipSatisfaction]],Table18[RelationshipSatisfaction],Table18[Deskripsi])</f>
        <v>High</v>
      </c>
      <c r="AS408" t="str">
        <f>_xlfn.XLOOKUP(Table1[[#This Row],[StockOptionLevel]],Table19[StockOptionLevel],Table19[Id_StockOptionLevel])</f>
        <v>SOL001</v>
      </c>
      <c r="AT408">
        <v>0</v>
      </c>
      <c r="AU408" t="str">
        <f>_xlfn.XLOOKUP(Table1[[#This Row],[StockOptionLevel]],Table19[StockOptionLevel],Table19[Deskripsi])</f>
        <v>Non-Eligible</v>
      </c>
      <c r="AV408">
        <v>28</v>
      </c>
      <c r="AW408">
        <v>4</v>
      </c>
      <c r="AX408" t="str">
        <f>_xlfn.XLOOKUP(Table1[[#This Row],[WorkLifeBalance]],Table20[WorkLifeBalance],Table20[Id_WorkLifeBalance])</f>
        <v>WLB002</v>
      </c>
      <c r="AY408">
        <v>3</v>
      </c>
      <c r="AZ408" t="str">
        <f>_xlfn.XLOOKUP(Table1[[#This Row],[WorkLifeBalance]],Table20[WorkLifeBalance],Table20[Deskripsi])</f>
        <v>Good</v>
      </c>
      <c r="BA408">
        <v>5</v>
      </c>
      <c r="BB408">
        <v>4</v>
      </c>
      <c r="BC408">
        <v>0</v>
      </c>
      <c r="BD408">
        <v>4</v>
      </c>
    </row>
    <row r="409" spans="1:56" x14ac:dyDescent="0.25">
      <c r="A409">
        <v>45</v>
      </c>
      <c r="B409" t="str">
        <f>_xlfn.XLOOKUP(Table1[[#This Row],[Attrition]],Table2[Attrition],Table2[Id_Attrition])</f>
        <v>A002</v>
      </c>
      <c r="C409" t="s">
        <v>33</v>
      </c>
      <c r="D409" t="str">
        <f>_xlfn.XLOOKUP(Table1[[#This Row],[BusinessTravel]],Table5[BusinessTravel],Table5[Id_BusinessTravel])</f>
        <v>BS001</v>
      </c>
      <c r="E409" t="s">
        <v>34</v>
      </c>
      <c r="F409">
        <v>192</v>
      </c>
      <c r="G409" t="str">
        <f>_xlfn.XLOOKUP(Table1[[#This Row],[Department]],Table6[Department],Table6[Id_Departement])</f>
        <v>D002</v>
      </c>
      <c r="H409" t="s">
        <v>38</v>
      </c>
      <c r="I409">
        <v>10</v>
      </c>
      <c r="J409" t="str">
        <f>_xlfn.XLOOKUP(Table1[[#This Row],[Education]],Table8[Education],Table8[Id_Education])</f>
        <v>E002</v>
      </c>
      <c r="K409">
        <v>2</v>
      </c>
      <c r="L409" t="str">
        <f>_xlfn.XLOOKUP(Table1[[#This Row],[EducationField]],Table7[EducationField],Table7[Id_EducationField])</f>
        <v>EF001</v>
      </c>
      <c r="M409" t="s">
        <v>40</v>
      </c>
      <c r="N409" t="str">
        <f>_xlfn.XLOOKUP(Table1[[#This Row],[EmployeeNumber]],Table4[EmployeeNumber],Table4[Id_Employee])</f>
        <v>EMP00408</v>
      </c>
      <c r="O409">
        <v>544</v>
      </c>
      <c r="P409" t="str">
        <f>_xlfn.XLOOKUP(Table1[[#This Row],[EnvironmentSatisfaction]],Table9[EnvironmentSatisfaction],Table9[Id_EnviromentSatisfaction])</f>
        <v>ES001</v>
      </c>
      <c r="Q409">
        <v>1</v>
      </c>
      <c r="R409" t="str">
        <f>_xlfn.XLOOKUP(Table1[[#This Row],[EnvironmentSatisfaction]],Table9[EnvironmentSatisfaction],Table9[Deskripsi])</f>
        <v>Low</v>
      </c>
      <c r="S409" t="str">
        <f>_xlfn.XLOOKUP(Table1[[#This Row],[Gender]],Table10[Gender],Table10[Id_Gender])</f>
        <v>G002</v>
      </c>
      <c r="T409" t="s">
        <v>46</v>
      </c>
      <c r="U409">
        <v>69</v>
      </c>
      <c r="V409" t="str">
        <f>_xlfn.XLOOKUP(Table1[[#This Row],[JobInvolvement]],Table11[JobInvolvement],Table11[Id_JobInvolvement])</f>
        <v>JI003</v>
      </c>
      <c r="W409">
        <v>3</v>
      </c>
      <c r="X409" t="str">
        <f>_xlfn.XLOOKUP(Table1[[#This Row],[JobLevel]],Table12[JobLevel],Table12[Id_JobLevel])</f>
        <v>JL001</v>
      </c>
      <c r="Y409">
        <v>1</v>
      </c>
      <c r="Z409" t="str">
        <f>_xlfn.XLOOKUP(Table1[[#This Row],[JobRole]],Table13[JobRole],Table13[Id_JobRole])</f>
        <v>JR002</v>
      </c>
      <c r="AA409" t="s">
        <v>48</v>
      </c>
      <c r="AB409" t="str">
        <f>_xlfn.XLOOKUP(Table1[[#This Row],[JobSatisfaction]],Table14[JobSatisfaction],Table14[Id_JobSatisfaction])</f>
        <v>JS004</v>
      </c>
      <c r="AC409">
        <v>4</v>
      </c>
      <c r="AD409" t="str">
        <f>_xlfn.XLOOKUP(Table1[[#This Row],[JobSatisfaction]],Table14[JobSatisfaction],Table14[Deskripsi])</f>
        <v>Very High</v>
      </c>
      <c r="AE409" t="str">
        <f>_xlfn.XLOOKUP(Table1[[#This Row],[MaritalStatus]],Table15[MaritalStatus],Table15[Id_MaritalStatus])</f>
        <v>MS002</v>
      </c>
      <c r="AF409" t="s">
        <v>56</v>
      </c>
      <c r="AG409">
        <v>2654</v>
      </c>
      <c r="AH409">
        <v>9655</v>
      </c>
      <c r="AI409">
        <v>3</v>
      </c>
      <c r="AJ409" t="str">
        <f>_xlfn.XLOOKUP(Table1[[#This Row],[OverTime]],Table16[OverTime],Table16[Id_OverTime])</f>
        <v>OT002</v>
      </c>
      <c r="AK409" t="s">
        <v>33</v>
      </c>
      <c r="AL409">
        <v>21</v>
      </c>
      <c r="AM409" t="str">
        <f>_xlfn.XLOOKUP(Table1[[#This Row],[PerformanceRating]],Table17[PerformanceRating],Table17[Id_PerformanceRating])</f>
        <v>PR004</v>
      </c>
      <c r="AN409">
        <v>4</v>
      </c>
      <c r="AO409" t="str">
        <f>_xlfn.XLOOKUP(Table1[[#This Row],[PerformanceRating]],Table17[PerformanceRating],Table17[Deskripsi])</f>
        <v>Outstanding</v>
      </c>
      <c r="AP409" t="str">
        <f>_xlfn.XLOOKUP(Table1[[#This Row],[RelationshipSatisfaction]],Table18[RelationshipSatisfaction],Table18[Id_RelationshipSatisfaction])</f>
        <v>RS004</v>
      </c>
      <c r="AQ409">
        <v>4</v>
      </c>
      <c r="AR409" t="str">
        <f>_xlfn.XLOOKUP(Table1[[#This Row],[RelationshipSatisfaction]],Table18[RelationshipSatisfaction],Table18[Deskripsi])</f>
        <v>Very High</v>
      </c>
      <c r="AS409" t="str">
        <f>_xlfn.XLOOKUP(Table1[[#This Row],[StockOptionLevel]],Table19[StockOptionLevel],Table19[Id_StockOptionLevel])</f>
        <v>SOL003</v>
      </c>
      <c r="AT409">
        <v>2</v>
      </c>
      <c r="AU409" t="str">
        <f>_xlfn.XLOOKUP(Table1[[#This Row],[StockOptionLevel]],Table19[StockOptionLevel],Table19[Deskripsi])</f>
        <v>Intermediate</v>
      </c>
      <c r="AV409">
        <v>8</v>
      </c>
      <c r="AW409">
        <v>3</v>
      </c>
      <c r="AX409" t="str">
        <f>_xlfn.XLOOKUP(Table1[[#This Row],[WorkLifeBalance]],Table20[WorkLifeBalance],Table20[Id_WorkLifeBalance])</f>
        <v>WLB003</v>
      </c>
      <c r="AY409">
        <v>2</v>
      </c>
      <c r="AZ409" t="str">
        <f>_xlfn.XLOOKUP(Table1[[#This Row],[WorkLifeBalance]],Table20[WorkLifeBalance],Table20[Deskripsi])</f>
        <v>Better</v>
      </c>
      <c r="BA409">
        <v>2</v>
      </c>
      <c r="BB409">
        <v>2</v>
      </c>
      <c r="BC409">
        <v>0</v>
      </c>
      <c r="BD409">
        <v>2</v>
      </c>
    </row>
    <row r="410" spans="1:56" x14ac:dyDescent="0.25">
      <c r="A410">
        <v>52</v>
      </c>
      <c r="B410" t="str">
        <f>_xlfn.XLOOKUP(Table1[[#This Row],[Attrition]],Table2[Attrition],Table2[Id_Attrition])</f>
        <v>A002</v>
      </c>
      <c r="C410" t="s">
        <v>33</v>
      </c>
      <c r="D410" t="str">
        <f>_xlfn.XLOOKUP(Table1[[#This Row],[BusinessTravel]],Table5[BusinessTravel],Table5[Id_BusinessTravel])</f>
        <v>BS001</v>
      </c>
      <c r="E410" t="s">
        <v>34</v>
      </c>
      <c r="F410">
        <v>1490</v>
      </c>
      <c r="G410" t="str">
        <f>_xlfn.XLOOKUP(Table1[[#This Row],[Department]],Table6[Department],Table6[Id_Departement])</f>
        <v>D002</v>
      </c>
      <c r="H410" t="s">
        <v>38</v>
      </c>
      <c r="I410">
        <v>4</v>
      </c>
      <c r="J410" t="str">
        <f>_xlfn.XLOOKUP(Table1[[#This Row],[Education]],Table8[Education],Table8[Id_Education])</f>
        <v>E002</v>
      </c>
      <c r="K410">
        <v>2</v>
      </c>
      <c r="L410" t="str">
        <f>_xlfn.XLOOKUP(Table1[[#This Row],[EducationField]],Table7[EducationField],Table7[Id_EducationField])</f>
        <v>EF001</v>
      </c>
      <c r="M410" t="s">
        <v>40</v>
      </c>
      <c r="N410" t="str">
        <f>_xlfn.XLOOKUP(Table1[[#This Row],[EmployeeNumber]],Table4[EmployeeNumber],Table4[Id_Employee])</f>
        <v>EMP00409</v>
      </c>
      <c r="O410">
        <v>546</v>
      </c>
      <c r="P410" t="str">
        <f>_xlfn.XLOOKUP(Table1[[#This Row],[EnvironmentSatisfaction]],Table9[EnvironmentSatisfaction],Table9[Id_EnviromentSatisfaction])</f>
        <v>ES004</v>
      </c>
      <c r="Q410">
        <v>4</v>
      </c>
      <c r="R410" t="str">
        <f>_xlfn.XLOOKUP(Table1[[#This Row],[EnvironmentSatisfaction]],Table9[EnvironmentSatisfaction],Table9[Deskripsi])</f>
        <v>Very High</v>
      </c>
      <c r="S410" t="str">
        <f>_xlfn.XLOOKUP(Table1[[#This Row],[Gender]],Table10[Gender],Table10[Id_Gender])</f>
        <v>G001</v>
      </c>
      <c r="T410" t="s">
        <v>45</v>
      </c>
      <c r="U410">
        <v>30</v>
      </c>
      <c r="V410" t="str">
        <f>_xlfn.XLOOKUP(Table1[[#This Row],[JobInvolvement]],Table11[JobInvolvement],Table11[Id_JobInvolvement])</f>
        <v>JI003</v>
      </c>
      <c r="W410">
        <v>3</v>
      </c>
      <c r="X410" t="str">
        <f>_xlfn.XLOOKUP(Table1[[#This Row],[JobLevel]],Table12[JobLevel],Table12[Id_JobLevel])</f>
        <v>JL004</v>
      </c>
      <c r="Y410">
        <v>4</v>
      </c>
      <c r="Z410" t="str">
        <f>_xlfn.XLOOKUP(Table1[[#This Row],[JobRole]],Table13[JobRole],Table13[Id_JobRole])</f>
        <v>JR006</v>
      </c>
      <c r="AA410" t="s">
        <v>52</v>
      </c>
      <c r="AB410" t="str">
        <f>_xlfn.XLOOKUP(Table1[[#This Row],[JobSatisfaction]],Table14[JobSatisfaction],Table14[Id_JobSatisfaction])</f>
        <v>JS004</v>
      </c>
      <c r="AC410">
        <v>4</v>
      </c>
      <c r="AD410" t="str">
        <f>_xlfn.XLOOKUP(Table1[[#This Row],[JobSatisfaction]],Table14[JobSatisfaction],Table14[Deskripsi])</f>
        <v>Very High</v>
      </c>
      <c r="AE410" t="str">
        <f>_xlfn.XLOOKUP(Table1[[#This Row],[MaritalStatus]],Table15[MaritalStatus],Table15[Id_MaritalStatus])</f>
        <v>MS002</v>
      </c>
      <c r="AF410" t="s">
        <v>56</v>
      </c>
      <c r="AG410">
        <v>16555</v>
      </c>
      <c r="AH410">
        <v>10310</v>
      </c>
      <c r="AI410">
        <v>2</v>
      </c>
      <c r="AJ410" t="str">
        <f>_xlfn.XLOOKUP(Table1[[#This Row],[OverTime]],Table16[OverTime],Table16[Id_OverTime])</f>
        <v>OT002</v>
      </c>
      <c r="AK410" t="s">
        <v>33</v>
      </c>
      <c r="AL410">
        <v>13</v>
      </c>
      <c r="AM410" t="str">
        <f>_xlfn.XLOOKUP(Table1[[#This Row],[PerformanceRating]],Table17[PerformanceRating],Table17[Id_PerformanceRating])</f>
        <v>PR003</v>
      </c>
      <c r="AN410">
        <v>3</v>
      </c>
      <c r="AO410" t="str">
        <f>_xlfn.XLOOKUP(Table1[[#This Row],[PerformanceRating]],Table17[PerformanceRating],Table17[Deskripsi])</f>
        <v>Excellent</v>
      </c>
      <c r="AP410" t="str">
        <f>_xlfn.XLOOKUP(Table1[[#This Row],[RelationshipSatisfaction]],Table18[RelationshipSatisfaction],Table18[Id_RelationshipSatisfaction])</f>
        <v>RS004</v>
      </c>
      <c r="AQ410">
        <v>4</v>
      </c>
      <c r="AR410" t="str">
        <f>_xlfn.XLOOKUP(Table1[[#This Row],[RelationshipSatisfaction]],Table18[RelationshipSatisfaction],Table18[Deskripsi])</f>
        <v>Very High</v>
      </c>
      <c r="AS410" t="str">
        <f>_xlfn.XLOOKUP(Table1[[#This Row],[StockOptionLevel]],Table19[StockOptionLevel],Table19[Id_StockOptionLevel])</f>
        <v>SOL001</v>
      </c>
      <c r="AT410">
        <v>0</v>
      </c>
      <c r="AU410" t="str">
        <f>_xlfn.XLOOKUP(Table1[[#This Row],[StockOptionLevel]],Table19[StockOptionLevel],Table19[Deskripsi])</f>
        <v>Non-Eligible</v>
      </c>
      <c r="AV410">
        <v>31</v>
      </c>
      <c r="AW410">
        <v>2</v>
      </c>
      <c r="AX410" t="str">
        <f>_xlfn.XLOOKUP(Table1[[#This Row],[WorkLifeBalance]],Table20[WorkLifeBalance],Table20[Id_WorkLifeBalance])</f>
        <v>WLB001</v>
      </c>
      <c r="AY410">
        <v>1</v>
      </c>
      <c r="AZ410" t="str">
        <f>_xlfn.XLOOKUP(Table1[[#This Row],[WorkLifeBalance]],Table20[WorkLifeBalance],Table20[Deskripsi])</f>
        <v>Bad</v>
      </c>
      <c r="BA410">
        <v>5</v>
      </c>
      <c r="BB410">
        <v>2</v>
      </c>
      <c r="BC410">
        <v>1</v>
      </c>
      <c r="BD410">
        <v>4</v>
      </c>
    </row>
    <row r="411" spans="1:56" x14ac:dyDescent="0.25">
      <c r="A411">
        <v>42</v>
      </c>
      <c r="B411" t="str">
        <f>_xlfn.XLOOKUP(Table1[[#This Row],[Attrition]],Table2[Attrition],Table2[Id_Attrition])</f>
        <v>A002</v>
      </c>
      <c r="C411" t="s">
        <v>33</v>
      </c>
      <c r="D411" t="str">
        <f>_xlfn.XLOOKUP(Table1[[#This Row],[BusinessTravel]],Table5[BusinessTravel],Table5[Id_BusinessTravel])</f>
        <v>BS002</v>
      </c>
      <c r="E411" t="s">
        <v>35</v>
      </c>
      <c r="F411">
        <v>532</v>
      </c>
      <c r="G411" t="str">
        <f>_xlfn.XLOOKUP(Table1[[#This Row],[Department]],Table6[Department],Table6[Id_Departement])</f>
        <v>D002</v>
      </c>
      <c r="H411" t="s">
        <v>38</v>
      </c>
      <c r="I411">
        <v>29</v>
      </c>
      <c r="J411" t="str">
        <f>_xlfn.XLOOKUP(Table1[[#This Row],[Education]],Table8[Education],Table8[Id_Education])</f>
        <v>E002</v>
      </c>
      <c r="K411">
        <v>2</v>
      </c>
      <c r="L411" t="str">
        <f>_xlfn.XLOOKUP(Table1[[#This Row],[EducationField]],Table7[EducationField],Table7[Id_EducationField])</f>
        <v>EF001</v>
      </c>
      <c r="M411" t="s">
        <v>40</v>
      </c>
      <c r="N411" t="str">
        <f>_xlfn.XLOOKUP(Table1[[#This Row],[EmployeeNumber]],Table4[EmployeeNumber],Table4[Id_Employee])</f>
        <v>EMP00410</v>
      </c>
      <c r="O411">
        <v>547</v>
      </c>
      <c r="P411" t="str">
        <f>_xlfn.XLOOKUP(Table1[[#This Row],[EnvironmentSatisfaction]],Table9[EnvironmentSatisfaction],Table9[Id_EnviromentSatisfaction])</f>
        <v>ES001</v>
      </c>
      <c r="Q411">
        <v>1</v>
      </c>
      <c r="R411" t="str">
        <f>_xlfn.XLOOKUP(Table1[[#This Row],[EnvironmentSatisfaction]],Table9[EnvironmentSatisfaction],Table9[Deskripsi])</f>
        <v>Low</v>
      </c>
      <c r="S411" t="str">
        <f>_xlfn.XLOOKUP(Table1[[#This Row],[Gender]],Table10[Gender],Table10[Id_Gender])</f>
        <v>G001</v>
      </c>
      <c r="T411" t="s">
        <v>45</v>
      </c>
      <c r="U411">
        <v>92</v>
      </c>
      <c r="V411" t="str">
        <f>_xlfn.XLOOKUP(Table1[[#This Row],[JobInvolvement]],Table11[JobInvolvement],Table11[Id_JobInvolvement])</f>
        <v>JI003</v>
      </c>
      <c r="W411">
        <v>3</v>
      </c>
      <c r="X411" t="str">
        <f>_xlfn.XLOOKUP(Table1[[#This Row],[JobLevel]],Table12[JobLevel],Table12[Id_JobLevel])</f>
        <v>JL002</v>
      </c>
      <c r="Y411">
        <v>2</v>
      </c>
      <c r="Z411" t="str">
        <f>_xlfn.XLOOKUP(Table1[[#This Row],[JobRole]],Table13[JobRole],Table13[Id_JobRole])</f>
        <v>JR002</v>
      </c>
      <c r="AA411" t="s">
        <v>48</v>
      </c>
      <c r="AB411" t="str">
        <f>_xlfn.XLOOKUP(Table1[[#This Row],[JobSatisfaction]],Table14[JobSatisfaction],Table14[Id_JobSatisfaction])</f>
        <v>JS003</v>
      </c>
      <c r="AC411">
        <v>3</v>
      </c>
      <c r="AD411" t="str">
        <f>_xlfn.XLOOKUP(Table1[[#This Row],[JobSatisfaction]],Table14[JobSatisfaction],Table14[Deskripsi])</f>
        <v>High</v>
      </c>
      <c r="AE411" t="str">
        <f>_xlfn.XLOOKUP(Table1[[#This Row],[MaritalStatus]],Table15[MaritalStatus],Table15[Id_MaritalStatus])</f>
        <v>MS003</v>
      </c>
      <c r="AF411" t="s">
        <v>57</v>
      </c>
      <c r="AG411">
        <v>4556</v>
      </c>
      <c r="AH411">
        <v>12932</v>
      </c>
      <c r="AI411">
        <v>2</v>
      </c>
      <c r="AJ411" t="str">
        <f>_xlfn.XLOOKUP(Table1[[#This Row],[OverTime]],Table16[OverTime],Table16[Id_OverTime])</f>
        <v>OT002</v>
      </c>
      <c r="AK411" t="s">
        <v>33</v>
      </c>
      <c r="AL411">
        <v>11</v>
      </c>
      <c r="AM411" t="str">
        <f>_xlfn.XLOOKUP(Table1[[#This Row],[PerformanceRating]],Table17[PerformanceRating],Table17[Id_PerformanceRating])</f>
        <v>PR003</v>
      </c>
      <c r="AN411">
        <v>3</v>
      </c>
      <c r="AO411" t="str">
        <f>_xlfn.XLOOKUP(Table1[[#This Row],[PerformanceRating]],Table17[PerformanceRating],Table17[Deskripsi])</f>
        <v>Excellent</v>
      </c>
      <c r="AP411" t="str">
        <f>_xlfn.XLOOKUP(Table1[[#This Row],[RelationshipSatisfaction]],Table18[RelationshipSatisfaction],Table18[Id_RelationshipSatisfaction])</f>
        <v>RS002</v>
      </c>
      <c r="AQ411">
        <v>2</v>
      </c>
      <c r="AR411" t="str">
        <f>_xlfn.XLOOKUP(Table1[[#This Row],[RelationshipSatisfaction]],Table18[RelationshipSatisfaction],Table18[Deskripsi])</f>
        <v>Medium</v>
      </c>
      <c r="AS411" t="str">
        <f>_xlfn.XLOOKUP(Table1[[#This Row],[StockOptionLevel]],Table19[StockOptionLevel],Table19[Id_StockOptionLevel])</f>
        <v>SOL002</v>
      </c>
      <c r="AT411">
        <v>1</v>
      </c>
      <c r="AU411" t="str">
        <f>_xlfn.XLOOKUP(Table1[[#This Row],[StockOptionLevel]],Table19[StockOptionLevel],Table19[Deskripsi])</f>
        <v>Standard</v>
      </c>
      <c r="AV411">
        <v>19</v>
      </c>
      <c r="AW411">
        <v>3</v>
      </c>
      <c r="AX411" t="str">
        <f>_xlfn.XLOOKUP(Table1[[#This Row],[WorkLifeBalance]],Table20[WorkLifeBalance],Table20[Id_WorkLifeBalance])</f>
        <v>WLB002</v>
      </c>
      <c r="AY411">
        <v>3</v>
      </c>
      <c r="AZ411" t="str">
        <f>_xlfn.XLOOKUP(Table1[[#This Row],[WorkLifeBalance]],Table20[WorkLifeBalance],Table20[Deskripsi])</f>
        <v>Good</v>
      </c>
      <c r="BA411">
        <v>5</v>
      </c>
      <c r="BB411">
        <v>4</v>
      </c>
      <c r="BC411">
        <v>0</v>
      </c>
      <c r="BD411">
        <v>2</v>
      </c>
    </row>
    <row r="412" spans="1:56" x14ac:dyDescent="0.25">
      <c r="A412">
        <v>30</v>
      </c>
      <c r="B412" t="str">
        <f>_xlfn.XLOOKUP(Table1[[#This Row],[Attrition]],Table2[Attrition],Table2[Id_Attrition])</f>
        <v>A002</v>
      </c>
      <c r="C412" t="s">
        <v>33</v>
      </c>
      <c r="D412" t="str">
        <f>_xlfn.XLOOKUP(Table1[[#This Row],[BusinessTravel]],Table5[BusinessTravel],Table5[Id_BusinessTravel])</f>
        <v>BS001</v>
      </c>
      <c r="E412" t="s">
        <v>34</v>
      </c>
      <c r="F412">
        <v>317</v>
      </c>
      <c r="G412" t="str">
        <f>_xlfn.XLOOKUP(Table1[[#This Row],[Department]],Table6[Department],Table6[Id_Departement])</f>
        <v>D002</v>
      </c>
      <c r="H412" t="s">
        <v>38</v>
      </c>
      <c r="I412">
        <v>2</v>
      </c>
      <c r="J412" t="str">
        <f>_xlfn.XLOOKUP(Table1[[#This Row],[Education]],Table8[Education],Table8[Id_Education])</f>
        <v>E003</v>
      </c>
      <c r="K412">
        <v>3</v>
      </c>
      <c r="L412" t="str">
        <f>_xlfn.XLOOKUP(Table1[[#This Row],[EducationField]],Table7[EducationField],Table7[Id_EducationField])</f>
        <v>EF001</v>
      </c>
      <c r="M412" t="s">
        <v>40</v>
      </c>
      <c r="N412" t="str">
        <f>_xlfn.XLOOKUP(Table1[[#This Row],[EmployeeNumber]],Table4[EmployeeNumber],Table4[Id_Employee])</f>
        <v>EMP00411</v>
      </c>
      <c r="O412">
        <v>548</v>
      </c>
      <c r="P412" t="str">
        <f>_xlfn.XLOOKUP(Table1[[#This Row],[EnvironmentSatisfaction]],Table9[EnvironmentSatisfaction],Table9[Id_EnviromentSatisfaction])</f>
        <v>ES003</v>
      </c>
      <c r="Q412">
        <v>3</v>
      </c>
      <c r="R412" t="str">
        <f>_xlfn.XLOOKUP(Table1[[#This Row],[EnvironmentSatisfaction]],Table9[EnvironmentSatisfaction],Table9[Deskripsi])</f>
        <v>High</v>
      </c>
      <c r="S412" t="str">
        <f>_xlfn.XLOOKUP(Table1[[#This Row],[Gender]],Table10[Gender],Table10[Id_Gender])</f>
        <v>G001</v>
      </c>
      <c r="T412" t="s">
        <v>45</v>
      </c>
      <c r="U412">
        <v>43</v>
      </c>
      <c r="V412" t="str">
        <f>_xlfn.XLOOKUP(Table1[[#This Row],[JobInvolvement]],Table11[JobInvolvement],Table11[Id_JobInvolvement])</f>
        <v>JI001</v>
      </c>
      <c r="W412">
        <v>1</v>
      </c>
      <c r="X412" t="str">
        <f>_xlfn.XLOOKUP(Table1[[#This Row],[JobLevel]],Table12[JobLevel],Table12[Id_JobLevel])</f>
        <v>JL002</v>
      </c>
      <c r="Y412">
        <v>2</v>
      </c>
      <c r="Z412" t="str">
        <f>_xlfn.XLOOKUP(Table1[[#This Row],[JobRole]],Table13[JobRole],Table13[Id_JobRole])</f>
        <v>JR004</v>
      </c>
      <c r="AA412" t="s">
        <v>50</v>
      </c>
      <c r="AB412" t="str">
        <f>_xlfn.XLOOKUP(Table1[[#This Row],[JobSatisfaction]],Table14[JobSatisfaction],Table14[Id_JobSatisfaction])</f>
        <v>JS004</v>
      </c>
      <c r="AC412">
        <v>4</v>
      </c>
      <c r="AD412" t="str">
        <f>_xlfn.XLOOKUP(Table1[[#This Row],[JobSatisfaction]],Table14[JobSatisfaction],Table14[Deskripsi])</f>
        <v>Very High</v>
      </c>
      <c r="AE412" t="str">
        <f>_xlfn.XLOOKUP(Table1[[#This Row],[MaritalStatus]],Table15[MaritalStatus],Table15[Id_MaritalStatus])</f>
        <v>MS001</v>
      </c>
      <c r="AF412" t="s">
        <v>55</v>
      </c>
      <c r="AG412">
        <v>6091</v>
      </c>
      <c r="AH412">
        <v>24793</v>
      </c>
      <c r="AI412">
        <v>2</v>
      </c>
      <c r="AJ412" t="str">
        <f>_xlfn.XLOOKUP(Table1[[#This Row],[OverTime]],Table16[OverTime],Table16[Id_OverTime])</f>
        <v>OT002</v>
      </c>
      <c r="AK412" t="s">
        <v>33</v>
      </c>
      <c r="AL412">
        <v>20</v>
      </c>
      <c r="AM412" t="str">
        <f>_xlfn.XLOOKUP(Table1[[#This Row],[PerformanceRating]],Table17[PerformanceRating],Table17[Id_PerformanceRating])</f>
        <v>PR004</v>
      </c>
      <c r="AN412">
        <v>4</v>
      </c>
      <c r="AO412" t="str">
        <f>_xlfn.XLOOKUP(Table1[[#This Row],[PerformanceRating]],Table17[PerformanceRating],Table17[Deskripsi])</f>
        <v>Outstanding</v>
      </c>
      <c r="AP412" t="str">
        <f>_xlfn.XLOOKUP(Table1[[#This Row],[RelationshipSatisfaction]],Table18[RelationshipSatisfaction],Table18[Id_RelationshipSatisfaction])</f>
        <v>RS003</v>
      </c>
      <c r="AQ412">
        <v>3</v>
      </c>
      <c r="AR412" t="str">
        <f>_xlfn.XLOOKUP(Table1[[#This Row],[RelationshipSatisfaction]],Table18[RelationshipSatisfaction],Table18[Deskripsi])</f>
        <v>High</v>
      </c>
      <c r="AS412" t="str">
        <f>_xlfn.XLOOKUP(Table1[[#This Row],[StockOptionLevel]],Table19[StockOptionLevel],Table19[Id_StockOptionLevel])</f>
        <v>SOL001</v>
      </c>
      <c r="AT412">
        <v>0</v>
      </c>
      <c r="AU412" t="str">
        <f>_xlfn.XLOOKUP(Table1[[#This Row],[StockOptionLevel]],Table19[StockOptionLevel],Table19[Deskripsi])</f>
        <v>Non-Eligible</v>
      </c>
      <c r="AV412">
        <v>11</v>
      </c>
      <c r="AW412">
        <v>2</v>
      </c>
      <c r="AX412" t="str">
        <f>_xlfn.XLOOKUP(Table1[[#This Row],[WorkLifeBalance]],Table20[WorkLifeBalance],Table20[Id_WorkLifeBalance])</f>
        <v>WLB002</v>
      </c>
      <c r="AY412">
        <v>3</v>
      </c>
      <c r="AZ412" t="str">
        <f>_xlfn.XLOOKUP(Table1[[#This Row],[WorkLifeBalance]],Table20[WorkLifeBalance],Table20[Deskripsi])</f>
        <v>Good</v>
      </c>
      <c r="BA412">
        <v>5</v>
      </c>
      <c r="BB412">
        <v>4</v>
      </c>
      <c r="BC412">
        <v>0</v>
      </c>
      <c r="BD412">
        <v>2</v>
      </c>
    </row>
    <row r="413" spans="1:56" x14ac:dyDescent="0.25">
      <c r="A413">
        <v>60</v>
      </c>
      <c r="B413" t="str">
        <f>_xlfn.XLOOKUP(Table1[[#This Row],[Attrition]],Table2[Attrition],Table2[Id_Attrition])</f>
        <v>A002</v>
      </c>
      <c r="C413" t="s">
        <v>33</v>
      </c>
      <c r="D413" t="str">
        <f>_xlfn.XLOOKUP(Table1[[#This Row],[BusinessTravel]],Table5[BusinessTravel],Table5[Id_BusinessTravel])</f>
        <v>BS001</v>
      </c>
      <c r="E413" t="s">
        <v>34</v>
      </c>
      <c r="F413">
        <v>422</v>
      </c>
      <c r="G413" t="str">
        <f>_xlfn.XLOOKUP(Table1[[#This Row],[Department]],Table6[Department],Table6[Id_Departement])</f>
        <v>D002</v>
      </c>
      <c r="H413" t="s">
        <v>38</v>
      </c>
      <c r="I413">
        <v>7</v>
      </c>
      <c r="J413" t="str">
        <f>_xlfn.XLOOKUP(Table1[[#This Row],[Education]],Table8[Education],Table8[Id_Education])</f>
        <v>E003</v>
      </c>
      <c r="K413">
        <v>3</v>
      </c>
      <c r="L413" t="str">
        <f>_xlfn.XLOOKUP(Table1[[#This Row],[EducationField]],Table7[EducationField],Table7[Id_EducationField])</f>
        <v>EF001</v>
      </c>
      <c r="M413" t="s">
        <v>40</v>
      </c>
      <c r="N413" t="str">
        <f>_xlfn.XLOOKUP(Table1[[#This Row],[EmployeeNumber]],Table4[EmployeeNumber],Table4[Id_Employee])</f>
        <v>EMP00412</v>
      </c>
      <c r="O413">
        <v>549</v>
      </c>
      <c r="P413" t="str">
        <f>_xlfn.XLOOKUP(Table1[[#This Row],[EnvironmentSatisfaction]],Table9[EnvironmentSatisfaction],Table9[Id_EnviromentSatisfaction])</f>
        <v>ES001</v>
      </c>
      <c r="Q413">
        <v>1</v>
      </c>
      <c r="R413" t="str">
        <f>_xlfn.XLOOKUP(Table1[[#This Row],[EnvironmentSatisfaction]],Table9[EnvironmentSatisfaction],Table9[Deskripsi])</f>
        <v>Low</v>
      </c>
      <c r="S413" t="str">
        <f>_xlfn.XLOOKUP(Table1[[#This Row],[Gender]],Table10[Gender],Table10[Id_Gender])</f>
        <v>G001</v>
      </c>
      <c r="T413" t="s">
        <v>45</v>
      </c>
      <c r="U413">
        <v>41</v>
      </c>
      <c r="V413" t="str">
        <f>_xlfn.XLOOKUP(Table1[[#This Row],[JobInvolvement]],Table11[JobInvolvement],Table11[Id_JobInvolvement])</f>
        <v>JI003</v>
      </c>
      <c r="W413">
        <v>3</v>
      </c>
      <c r="X413" t="str">
        <f>_xlfn.XLOOKUP(Table1[[#This Row],[JobLevel]],Table12[JobLevel],Table12[Id_JobLevel])</f>
        <v>JL005</v>
      </c>
      <c r="Y413">
        <v>5</v>
      </c>
      <c r="Z413" t="str">
        <f>_xlfn.XLOOKUP(Table1[[#This Row],[JobRole]],Table13[JobRole],Table13[Id_JobRole])</f>
        <v>JR006</v>
      </c>
      <c r="AA413" t="s">
        <v>52</v>
      </c>
      <c r="AB413" t="str">
        <f>_xlfn.XLOOKUP(Table1[[#This Row],[JobSatisfaction]],Table14[JobSatisfaction],Table14[Id_JobSatisfaction])</f>
        <v>JS001</v>
      </c>
      <c r="AC413">
        <v>1</v>
      </c>
      <c r="AD413" t="str">
        <f>_xlfn.XLOOKUP(Table1[[#This Row],[JobSatisfaction]],Table14[JobSatisfaction],Table14[Deskripsi])</f>
        <v>Low</v>
      </c>
      <c r="AE413" t="str">
        <f>_xlfn.XLOOKUP(Table1[[#This Row],[MaritalStatus]],Table15[MaritalStatus],Table15[Id_MaritalStatus])</f>
        <v>MS002</v>
      </c>
      <c r="AF413" t="s">
        <v>56</v>
      </c>
      <c r="AG413">
        <v>19566</v>
      </c>
      <c r="AH413">
        <v>3854</v>
      </c>
      <c r="AI413">
        <v>5</v>
      </c>
      <c r="AJ413" t="str">
        <f>_xlfn.XLOOKUP(Table1[[#This Row],[OverTime]],Table16[OverTime],Table16[Id_OverTime])</f>
        <v>OT002</v>
      </c>
      <c r="AK413" t="s">
        <v>33</v>
      </c>
      <c r="AL413">
        <v>11</v>
      </c>
      <c r="AM413" t="str">
        <f>_xlfn.XLOOKUP(Table1[[#This Row],[PerformanceRating]],Table17[PerformanceRating],Table17[Id_PerformanceRating])</f>
        <v>PR003</v>
      </c>
      <c r="AN413">
        <v>3</v>
      </c>
      <c r="AO413" t="str">
        <f>_xlfn.XLOOKUP(Table1[[#This Row],[PerformanceRating]],Table17[PerformanceRating],Table17[Deskripsi])</f>
        <v>Excellent</v>
      </c>
      <c r="AP413" t="str">
        <f>_xlfn.XLOOKUP(Table1[[#This Row],[RelationshipSatisfaction]],Table18[RelationshipSatisfaction],Table18[Id_RelationshipSatisfaction])</f>
        <v>RS004</v>
      </c>
      <c r="AQ413">
        <v>4</v>
      </c>
      <c r="AR413" t="str">
        <f>_xlfn.XLOOKUP(Table1[[#This Row],[RelationshipSatisfaction]],Table18[RelationshipSatisfaction],Table18[Deskripsi])</f>
        <v>Very High</v>
      </c>
      <c r="AS413" t="str">
        <f>_xlfn.XLOOKUP(Table1[[#This Row],[StockOptionLevel]],Table19[StockOptionLevel],Table19[Id_StockOptionLevel])</f>
        <v>SOL001</v>
      </c>
      <c r="AT413">
        <v>0</v>
      </c>
      <c r="AU413" t="str">
        <f>_xlfn.XLOOKUP(Table1[[#This Row],[StockOptionLevel]],Table19[StockOptionLevel],Table19[Deskripsi])</f>
        <v>Non-Eligible</v>
      </c>
      <c r="AV413">
        <v>33</v>
      </c>
      <c r="AW413">
        <v>5</v>
      </c>
      <c r="AX413" t="str">
        <f>_xlfn.XLOOKUP(Table1[[#This Row],[WorkLifeBalance]],Table20[WorkLifeBalance],Table20[Id_WorkLifeBalance])</f>
        <v>WLB001</v>
      </c>
      <c r="AY413">
        <v>1</v>
      </c>
      <c r="AZ413" t="str">
        <f>_xlfn.XLOOKUP(Table1[[#This Row],[WorkLifeBalance]],Table20[WorkLifeBalance],Table20[Deskripsi])</f>
        <v>Bad</v>
      </c>
      <c r="BA413">
        <v>29</v>
      </c>
      <c r="BB413">
        <v>8</v>
      </c>
      <c r="BC413">
        <v>11</v>
      </c>
      <c r="BD413">
        <v>10</v>
      </c>
    </row>
    <row r="414" spans="1:56" x14ac:dyDescent="0.25">
      <c r="A414">
        <v>46</v>
      </c>
      <c r="B414" t="str">
        <f>_xlfn.XLOOKUP(Table1[[#This Row],[Attrition]],Table2[Attrition],Table2[Id_Attrition])</f>
        <v>A002</v>
      </c>
      <c r="C414" t="s">
        <v>33</v>
      </c>
      <c r="D414" t="str">
        <f>_xlfn.XLOOKUP(Table1[[#This Row],[BusinessTravel]],Table5[BusinessTravel],Table5[Id_BusinessTravel])</f>
        <v>BS001</v>
      </c>
      <c r="E414" t="s">
        <v>34</v>
      </c>
      <c r="F414">
        <v>1485</v>
      </c>
      <c r="G414" t="str">
        <f>_xlfn.XLOOKUP(Table1[[#This Row],[Department]],Table6[Department],Table6[Id_Departement])</f>
        <v>D002</v>
      </c>
      <c r="H414" t="s">
        <v>38</v>
      </c>
      <c r="I414">
        <v>18</v>
      </c>
      <c r="J414" t="str">
        <f>_xlfn.XLOOKUP(Table1[[#This Row],[Education]],Table8[Education],Table8[Id_Education])</f>
        <v>E003</v>
      </c>
      <c r="K414">
        <v>3</v>
      </c>
      <c r="L414" t="str">
        <f>_xlfn.XLOOKUP(Table1[[#This Row],[EducationField]],Table7[EducationField],Table7[Id_EducationField])</f>
        <v>EF003</v>
      </c>
      <c r="M414" t="s">
        <v>42</v>
      </c>
      <c r="N414" t="str">
        <f>_xlfn.XLOOKUP(Table1[[#This Row],[EmployeeNumber]],Table4[EmployeeNumber],Table4[Id_Employee])</f>
        <v>EMP00413</v>
      </c>
      <c r="O414">
        <v>550</v>
      </c>
      <c r="P414" t="str">
        <f>_xlfn.XLOOKUP(Table1[[#This Row],[EnvironmentSatisfaction]],Table9[EnvironmentSatisfaction],Table9[Id_EnviromentSatisfaction])</f>
        <v>ES003</v>
      </c>
      <c r="Q414">
        <v>3</v>
      </c>
      <c r="R414" t="str">
        <f>_xlfn.XLOOKUP(Table1[[#This Row],[EnvironmentSatisfaction]],Table9[EnvironmentSatisfaction],Table9[Deskripsi])</f>
        <v>High</v>
      </c>
      <c r="S414" t="str">
        <f>_xlfn.XLOOKUP(Table1[[#This Row],[Gender]],Table10[Gender],Table10[Id_Gender])</f>
        <v>G001</v>
      </c>
      <c r="T414" t="s">
        <v>45</v>
      </c>
      <c r="U414">
        <v>87</v>
      </c>
      <c r="V414" t="str">
        <f>_xlfn.XLOOKUP(Table1[[#This Row],[JobInvolvement]],Table11[JobInvolvement],Table11[Id_JobInvolvement])</f>
        <v>JI003</v>
      </c>
      <c r="W414">
        <v>3</v>
      </c>
      <c r="X414" t="str">
        <f>_xlfn.XLOOKUP(Table1[[#This Row],[JobLevel]],Table12[JobLevel],Table12[Id_JobLevel])</f>
        <v>JL002</v>
      </c>
      <c r="Y414">
        <v>2</v>
      </c>
      <c r="Z414" t="str">
        <f>_xlfn.XLOOKUP(Table1[[#This Row],[JobRole]],Table13[JobRole],Table13[Id_JobRole])</f>
        <v>JR004</v>
      </c>
      <c r="AA414" t="s">
        <v>50</v>
      </c>
      <c r="AB414" t="str">
        <f>_xlfn.XLOOKUP(Table1[[#This Row],[JobSatisfaction]],Table14[JobSatisfaction],Table14[Id_JobSatisfaction])</f>
        <v>JS003</v>
      </c>
      <c r="AC414">
        <v>3</v>
      </c>
      <c r="AD414" t="str">
        <f>_xlfn.XLOOKUP(Table1[[#This Row],[JobSatisfaction]],Table14[JobSatisfaction],Table14[Deskripsi])</f>
        <v>High</v>
      </c>
      <c r="AE414" t="str">
        <f>_xlfn.XLOOKUP(Table1[[#This Row],[MaritalStatus]],Table15[MaritalStatus],Table15[Id_MaritalStatus])</f>
        <v>MS003</v>
      </c>
      <c r="AF414" t="s">
        <v>57</v>
      </c>
      <c r="AG414">
        <v>4810</v>
      </c>
      <c r="AH414">
        <v>26314</v>
      </c>
      <c r="AI414">
        <v>2</v>
      </c>
      <c r="AJ414" t="str">
        <f>_xlfn.XLOOKUP(Table1[[#This Row],[OverTime]],Table16[OverTime],Table16[Id_OverTime])</f>
        <v>OT002</v>
      </c>
      <c r="AK414" t="s">
        <v>33</v>
      </c>
      <c r="AL414">
        <v>14</v>
      </c>
      <c r="AM414" t="str">
        <f>_xlfn.XLOOKUP(Table1[[#This Row],[PerformanceRating]],Table17[PerformanceRating],Table17[Id_PerformanceRating])</f>
        <v>PR003</v>
      </c>
      <c r="AN414">
        <v>3</v>
      </c>
      <c r="AO414" t="str">
        <f>_xlfn.XLOOKUP(Table1[[#This Row],[PerformanceRating]],Table17[PerformanceRating],Table17[Deskripsi])</f>
        <v>Excellent</v>
      </c>
      <c r="AP414" t="str">
        <f>_xlfn.XLOOKUP(Table1[[#This Row],[RelationshipSatisfaction]],Table18[RelationshipSatisfaction],Table18[Id_RelationshipSatisfaction])</f>
        <v>RS003</v>
      </c>
      <c r="AQ414">
        <v>3</v>
      </c>
      <c r="AR414" t="str">
        <f>_xlfn.XLOOKUP(Table1[[#This Row],[RelationshipSatisfaction]],Table18[RelationshipSatisfaction],Table18[Deskripsi])</f>
        <v>High</v>
      </c>
      <c r="AS414" t="str">
        <f>_xlfn.XLOOKUP(Table1[[#This Row],[StockOptionLevel]],Table19[StockOptionLevel],Table19[Id_StockOptionLevel])</f>
        <v>SOL002</v>
      </c>
      <c r="AT414">
        <v>1</v>
      </c>
      <c r="AU414" t="str">
        <f>_xlfn.XLOOKUP(Table1[[#This Row],[StockOptionLevel]],Table19[StockOptionLevel],Table19[Deskripsi])</f>
        <v>Standard</v>
      </c>
      <c r="AV414">
        <v>19</v>
      </c>
      <c r="AW414">
        <v>5</v>
      </c>
      <c r="AX414" t="str">
        <f>_xlfn.XLOOKUP(Table1[[#This Row],[WorkLifeBalance]],Table20[WorkLifeBalance],Table20[Id_WorkLifeBalance])</f>
        <v>WLB003</v>
      </c>
      <c r="AY414">
        <v>2</v>
      </c>
      <c r="AZ414" t="str">
        <f>_xlfn.XLOOKUP(Table1[[#This Row],[WorkLifeBalance]],Table20[WorkLifeBalance],Table20[Deskripsi])</f>
        <v>Better</v>
      </c>
      <c r="BA414">
        <v>10</v>
      </c>
      <c r="BB414">
        <v>7</v>
      </c>
      <c r="BC414">
        <v>0</v>
      </c>
      <c r="BD414">
        <v>8</v>
      </c>
    </row>
    <row r="415" spans="1:56" x14ac:dyDescent="0.25">
      <c r="A415">
        <v>42</v>
      </c>
      <c r="B415" t="str">
        <f>_xlfn.XLOOKUP(Table1[[#This Row],[Attrition]],Table2[Attrition],Table2[Id_Attrition])</f>
        <v>A002</v>
      </c>
      <c r="C415" t="s">
        <v>33</v>
      </c>
      <c r="D415" t="str">
        <f>_xlfn.XLOOKUP(Table1[[#This Row],[BusinessTravel]],Table5[BusinessTravel],Table5[Id_BusinessTravel])</f>
        <v>BS002</v>
      </c>
      <c r="E415" t="s">
        <v>35</v>
      </c>
      <c r="F415">
        <v>1368</v>
      </c>
      <c r="G415" t="str">
        <f>_xlfn.XLOOKUP(Table1[[#This Row],[Department]],Table6[Department],Table6[Id_Departement])</f>
        <v>D002</v>
      </c>
      <c r="H415" t="s">
        <v>38</v>
      </c>
      <c r="I415">
        <v>28</v>
      </c>
      <c r="J415" t="str">
        <f>_xlfn.XLOOKUP(Table1[[#This Row],[Education]],Table8[Education],Table8[Id_Education])</f>
        <v>E004</v>
      </c>
      <c r="K415">
        <v>4</v>
      </c>
      <c r="L415" t="str">
        <f>_xlfn.XLOOKUP(Table1[[#This Row],[EducationField]],Table7[EducationField],Table7[Id_EducationField])</f>
        <v>EF005</v>
      </c>
      <c r="M415" t="s">
        <v>44</v>
      </c>
      <c r="N415" t="str">
        <f>_xlfn.XLOOKUP(Table1[[#This Row],[EmployeeNumber]],Table4[EmployeeNumber],Table4[Id_Employee])</f>
        <v>EMP00414</v>
      </c>
      <c r="O415">
        <v>551</v>
      </c>
      <c r="P415" t="str">
        <f>_xlfn.XLOOKUP(Table1[[#This Row],[EnvironmentSatisfaction]],Table9[EnvironmentSatisfaction],Table9[Id_EnviromentSatisfaction])</f>
        <v>ES004</v>
      </c>
      <c r="Q415">
        <v>4</v>
      </c>
      <c r="R415" t="str">
        <f>_xlfn.XLOOKUP(Table1[[#This Row],[EnvironmentSatisfaction]],Table9[EnvironmentSatisfaction],Table9[Deskripsi])</f>
        <v>Very High</v>
      </c>
      <c r="S415" t="str">
        <f>_xlfn.XLOOKUP(Table1[[#This Row],[Gender]],Table10[Gender],Table10[Id_Gender])</f>
        <v>G001</v>
      </c>
      <c r="T415" t="s">
        <v>45</v>
      </c>
      <c r="U415">
        <v>88</v>
      </c>
      <c r="V415" t="str">
        <f>_xlfn.XLOOKUP(Table1[[#This Row],[JobInvolvement]],Table11[JobInvolvement],Table11[Id_JobInvolvement])</f>
        <v>JI002</v>
      </c>
      <c r="W415">
        <v>2</v>
      </c>
      <c r="X415" t="str">
        <f>_xlfn.XLOOKUP(Table1[[#This Row],[JobLevel]],Table12[JobLevel],Table12[Id_JobLevel])</f>
        <v>JL002</v>
      </c>
      <c r="Y415">
        <v>2</v>
      </c>
      <c r="Z415" t="str">
        <f>_xlfn.XLOOKUP(Table1[[#This Row],[JobRole]],Table13[JobRole],Table13[Id_JobRole])</f>
        <v>JR005</v>
      </c>
      <c r="AA415" t="s">
        <v>51</v>
      </c>
      <c r="AB415" t="str">
        <f>_xlfn.XLOOKUP(Table1[[#This Row],[JobSatisfaction]],Table14[JobSatisfaction],Table14[Id_JobSatisfaction])</f>
        <v>JS004</v>
      </c>
      <c r="AC415">
        <v>4</v>
      </c>
      <c r="AD415" t="str">
        <f>_xlfn.XLOOKUP(Table1[[#This Row],[JobSatisfaction]],Table14[JobSatisfaction],Table14[Deskripsi])</f>
        <v>Very High</v>
      </c>
      <c r="AE415" t="str">
        <f>_xlfn.XLOOKUP(Table1[[#This Row],[MaritalStatus]],Table15[MaritalStatus],Table15[Id_MaritalStatus])</f>
        <v>MS002</v>
      </c>
      <c r="AF415" t="s">
        <v>56</v>
      </c>
      <c r="AG415">
        <v>4523</v>
      </c>
      <c r="AH415">
        <v>4386</v>
      </c>
      <c r="AI415">
        <v>0</v>
      </c>
      <c r="AJ415" t="str">
        <f>_xlfn.XLOOKUP(Table1[[#This Row],[OverTime]],Table16[OverTime],Table16[Id_OverTime])</f>
        <v>OT002</v>
      </c>
      <c r="AK415" t="s">
        <v>33</v>
      </c>
      <c r="AL415">
        <v>11</v>
      </c>
      <c r="AM415" t="str">
        <f>_xlfn.XLOOKUP(Table1[[#This Row],[PerformanceRating]],Table17[PerformanceRating],Table17[Id_PerformanceRating])</f>
        <v>PR003</v>
      </c>
      <c r="AN415">
        <v>3</v>
      </c>
      <c r="AO415" t="str">
        <f>_xlfn.XLOOKUP(Table1[[#This Row],[PerformanceRating]],Table17[PerformanceRating],Table17[Deskripsi])</f>
        <v>Excellent</v>
      </c>
      <c r="AP415" t="str">
        <f>_xlfn.XLOOKUP(Table1[[#This Row],[RelationshipSatisfaction]],Table18[RelationshipSatisfaction],Table18[Id_RelationshipSatisfaction])</f>
        <v>RS004</v>
      </c>
      <c r="AQ415">
        <v>4</v>
      </c>
      <c r="AR415" t="str">
        <f>_xlfn.XLOOKUP(Table1[[#This Row],[RelationshipSatisfaction]],Table18[RelationshipSatisfaction],Table18[Deskripsi])</f>
        <v>Very High</v>
      </c>
      <c r="AS415" t="str">
        <f>_xlfn.XLOOKUP(Table1[[#This Row],[StockOptionLevel]],Table19[StockOptionLevel],Table19[Id_StockOptionLevel])</f>
        <v>SOL004</v>
      </c>
      <c r="AT415">
        <v>3</v>
      </c>
      <c r="AU415" t="str">
        <f>_xlfn.XLOOKUP(Table1[[#This Row],[StockOptionLevel]],Table19[StockOptionLevel],Table19[Deskripsi])</f>
        <v>Senior/Executive</v>
      </c>
      <c r="AV415">
        <v>7</v>
      </c>
      <c r="AW415">
        <v>4</v>
      </c>
      <c r="AX415" t="str">
        <f>_xlfn.XLOOKUP(Table1[[#This Row],[WorkLifeBalance]],Table20[WorkLifeBalance],Table20[Id_WorkLifeBalance])</f>
        <v>WLB004</v>
      </c>
      <c r="AY415">
        <v>4</v>
      </c>
      <c r="AZ415" t="str">
        <f>_xlfn.XLOOKUP(Table1[[#This Row],[WorkLifeBalance]],Table20[WorkLifeBalance],Table20[Deskripsi])</f>
        <v>Best</v>
      </c>
      <c r="BA415">
        <v>6</v>
      </c>
      <c r="BB415">
        <v>5</v>
      </c>
      <c r="BC415">
        <v>0</v>
      </c>
      <c r="BD415">
        <v>4</v>
      </c>
    </row>
    <row r="416" spans="1:56" x14ac:dyDescent="0.25">
      <c r="A416">
        <v>24</v>
      </c>
      <c r="B416" t="str">
        <f>_xlfn.XLOOKUP(Table1[[#This Row],[Attrition]],Table2[Attrition],Table2[Id_Attrition])</f>
        <v>A001</v>
      </c>
      <c r="C416" t="s">
        <v>32</v>
      </c>
      <c r="D416" t="str">
        <f>_xlfn.XLOOKUP(Table1[[#This Row],[BusinessTravel]],Table5[BusinessTravel],Table5[Id_BusinessTravel])</f>
        <v>BS001</v>
      </c>
      <c r="E416" t="s">
        <v>34</v>
      </c>
      <c r="F416">
        <v>1448</v>
      </c>
      <c r="G416" t="str">
        <f>_xlfn.XLOOKUP(Table1[[#This Row],[Department]],Table6[Department],Table6[Id_Departement])</f>
        <v>D001</v>
      </c>
      <c r="H416" t="s">
        <v>37</v>
      </c>
      <c r="I416">
        <v>1</v>
      </c>
      <c r="J416" t="str">
        <f>_xlfn.XLOOKUP(Table1[[#This Row],[Education]],Table8[Education],Table8[Id_Education])</f>
        <v>E001</v>
      </c>
      <c r="K416">
        <v>1</v>
      </c>
      <c r="L416" t="str">
        <f>_xlfn.XLOOKUP(Table1[[#This Row],[EducationField]],Table7[EducationField],Table7[Id_EducationField])</f>
        <v>EF005</v>
      </c>
      <c r="M416" t="s">
        <v>44</v>
      </c>
      <c r="N416" t="str">
        <f>_xlfn.XLOOKUP(Table1[[#This Row],[EmployeeNumber]],Table4[EmployeeNumber],Table4[Id_Employee])</f>
        <v>EMP00415</v>
      </c>
      <c r="O416">
        <v>554</v>
      </c>
      <c r="P416" t="str">
        <f>_xlfn.XLOOKUP(Table1[[#This Row],[EnvironmentSatisfaction]],Table9[EnvironmentSatisfaction],Table9[Id_EnviromentSatisfaction])</f>
        <v>ES001</v>
      </c>
      <c r="Q416">
        <v>1</v>
      </c>
      <c r="R416" t="str">
        <f>_xlfn.XLOOKUP(Table1[[#This Row],[EnvironmentSatisfaction]],Table9[EnvironmentSatisfaction],Table9[Deskripsi])</f>
        <v>Low</v>
      </c>
      <c r="S416" t="str">
        <f>_xlfn.XLOOKUP(Table1[[#This Row],[Gender]],Table10[Gender],Table10[Id_Gender])</f>
        <v>G001</v>
      </c>
      <c r="T416" t="s">
        <v>45</v>
      </c>
      <c r="U416">
        <v>62</v>
      </c>
      <c r="V416" t="str">
        <f>_xlfn.XLOOKUP(Table1[[#This Row],[JobInvolvement]],Table11[JobInvolvement],Table11[Id_JobInvolvement])</f>
        <v>JI003</v>
      </c>
      <c r="W416">
        <v>3</v>
      </c>
      <c r="X416" t="str">
        <f>_xlfn.XLOOKUP(Table1[[#This Row],[JobLevel]],Table12[JobLevel],Table12[Id_JobLevel])</f>
        <v>JL001</v>
      </c>
      <c r="Y416">
        <v>1</v>
      </c>
      <c r="Z416" t="str">
        <f>_xlfn.XLOOKUP(Table1[[#This Row],[JobRole]],Table13[JobRole],Table13[Id_JobRole])</f>
        <v>JR007</v>
      </c>
      <c r="AA416" t="s">
        <v>53</v>
      </c>
      <c r="AB416" t="str">
        <f>_xlfn.XLOOKUP(Table1[[#This Row],[JobSatisfaction]],Table14[JobSatisfaction],Table14[Id_JobSatisfaction])</f>
        <v>JS002</v>
      </c>
      <c r="AC416">
        <v>2</v>
      </c>
      <c r="AD416" t="str">
        <f>_xlfn.XLOOKUP(Table1[[#This Row],[JobSatisfaction]],Table14[JobSatisfaction],Table14[Deskripsi])</f>
        <v>Medium</v>
      </c>
      <c r="AE416" t="str">
        <f>_xlfn.XLOOKUP(Table1[[#This Row],[MaritalStatus]],Table15[MaritalStatus],Table15[Id_MaritalStatus])</f>
        <v>MS001</v>
      </c>
      <c r="AF416" t="s">
        <v>55</v>
      </c>
      <c r="AG416">
        <v>3202</v>
      </c>
      <c r="AH416">
        <v>21972</v>
      </c>
      <c r="AI416">
        <v>1</v>
      </c>
      <c r="AJ416" t="str">
        <f>_xlfn.XLOOKUP(Table1[[#This Row],[OverTime]],Table16[OverTime],Table16[Id_OverTime])</f>
        <v>OT001</v>
      </c>
      <c r="AK416" t="s">
        <v>32</v>
      </c>
      <c r="AL416">
        <v>16</v>
      </c>
      <c r="AM416" t="str">
        <f>_xlfn.XLOOKUP(Table1[[#This Row],[PerformanceRating]],Table17[PerformanceRating],Table17[Id_PerformanceRating])</f>
        <v>PR003</v>
      </c>
      <c r="AN416">
        <v>3</v>
      </c>
      <c r="AO416" t="str">
        <f>_xlfn.XLOOKUP(Table1[[#This Row],[PerformanceRating]],Table17[PerformanceRating],Table17[Deskripsi])</f>
        <v>Excellent</v>
      </c>
      <c r="AP416" t="str">
        <f>_xlfn.XLOOKUP(Table1[[#This Row],[RelationshipSatisfaction]],Table18[RelationshipSatisfaction],Table18[Id_RelationshipSatisfaction])</f>
        <v>RS002</v>
      </c>
      <c r="AQ416">
        <v>2</v>
      </c>
      <c r="AR416" t="str">
        <f>_xlfn.XLOOKUP(Table1[[#This Row],[RelationshipSatisfaction]],Table18[RelationshipSatisfaction],Table18[Deskripsi])</f>
        <v>Medium</v>
      </c>
      <c r="AS416" t="str">
        <f>_xlfn.XLOOKUP(Table1[[#This Row],[StockOptionLevel]],Table19[StockOptionLevel],Table19[Id_StockOptionLevel])</f>
        <v>SOL001</v>
      </c>
      <c r="AT416">
        <v>0</v>
      </c>
      <c r="AU416" t="str">
        <f>_xlfn.XLOOKUP(Table1[[#This Row],[StockOptionLevel]],Table19[StockOptionLevel],Table19[Deskripsi])</f>
        <v>Non-Eligible</v>
      </c>
      <c r="AV416">
        <v>6</v>
      </c>
      <c r="AW416">
        <v>4</v>
      </c>
      <c r="AX416" t="str">
        <f>_xlfn.XLOOKUP(Table1[[#This Row],[WorkLifeBalance]],Table20[WorkLifeBalance],Table20[Id_WorkLifeBalance])</f>
        <v>WLB002</v>
      </c>
      <c r="AY416">
        <v>3</v>
      </c>
      <c r="AZ416" t="str">
        <f>_xlfn.XLOOKUP(Table1[[#This Row],[WorkLifeBalance]],Table20[WorkLifeBalance],Table20[Deskripsi])</f>
        <v>Good</v>
      </c>
      <c r="BA416">
        <v>5</v>
      </c>
      <c r="BB416">
        <v>3</v>
      </c>
      <c r="BC416">
        <v>1</v>
      </c>
      <c r="BD416">
        <v>4</v>
      </c>
    </row>
    <row r="417" spans="1:56" x14ac:dyDescent="0.25">
      <c r="A417">
        <v>34</v>
      </c>
      <c r="B417" t="str">
        <f>_xlfn.XLOOKUP(Table1[[#This Row],[Attrition]],Table2[Attrition],Table2[Id_Attrition])</f>
        <v>A001</v>
      </c>
      <c r="C417" t="s">
        <v>32</v>
      </c>
      <c r="D417" t="str">
        <f>_xlfn.XLOOKUP(Table1[[#This Row],[BusinessTravel]],Table5[BusinessTravel],Table5[Id_BusinessTravel])</f>
        <v>BS002</v>
      </c>
      <c r="E417" t="s">
        <v>35</v>
      </c>
      <c r="F417">
        <v>296</v>
      </c>
      <c r="G417" t="str">
        <f>_xlfn.XLOOKUP(Table1[[#This Row],[Department]],Table6[Department],Table6[Id_Departement])</f>
        <v>D001</v>
      </c>
      <c r="H417" t="s">
        <v>37</v>
      </c>
      <c r="I417">
        <v>6</v>
      </c>
      <c r="J417" t="str">
        <f>_xlfn.XLOOKUP(Table1[[#This Row],[Education]],Table8[Education],Table8[Id_Education])</f>
        <v>E002</v>
      </c>
      <c r="K417">
        <v>2</v>
      </c>
      <c r="L417" t="str">
        <f>_xlfn.XLOOKUP(Table1[[#This Row],[EducationField]],Table7[EducationField],Table7[Id_EducationField])</f>
        <v>EF004</v>
      </c>
      <c r="M417" t="s">
        <v>43</v>
      </c>
      <c r="N417" t="str">
        <f>_xlfn.XLOOKUP(Table1[[#This Row],[EmployeeNumber]],Table4[EmployeeNumber],Table4[Id_Employee])</f>
        <v>EMP00416</v>
      </c>
      <c r="O417">
        <v>555</v>
      </c>
      <c r="P417" t="str">
        <f>_xlfn.XLOOKUP(Table1[[#This Row],[EnvironmentSatisfaction]],Table9[EnvironmentSatisfaction],Table9[Id_EnviromentSatisfaction])</f>
        <v>ES004</v>
      </c>
      <c r="Q417">
        <v>4</v>
      </c>
      <c r="R417" t="str">
        <f>_xlfn.XLOOKUP(Table1[[#This Row],[EnvironmentSatisfaction]],Table9[EnvironmentSatisfaction],Table9[Deskripsi])</f>
        <v>Very High</v>
      </c>
      <c r="S417" t="str">
        <f>_xlfn.XLOOKUP(Table1[[#This Row],[Gender]],Table10[Gender],Table10[Id_Gender])</f>
        <v>G001</v>
      </c>
      <c r="T417" t="s">
        <v>45</v>
      </c>
      <c r="U417">
        <v>33</v>
      </c>
      <c r="V417" t="str">
        <f>_xlfn.XLOOKUP(Table1[[#This Row],[JobInvolvement]],Table11[JobInvolvement],Table11[Id_JobInvolvement])</f>
        <v>JI001</v>
      </c>
      <c r="W417">
        <v>1</v>
      </c>
      <c r="X417" t="str">
        <f>_xlfn.XLOOKUP(Table1[[#This Row],[JobLevel]],Table12[JobLevel],Table12[Id_JobLevel])</f>
        <v>JL001</v>
      </c>
      <c r="Y417">
        <v>1</v>
      </c>
      <c r="Z417" t="str">
        <f>_xlfn.XLOOKUP(Table1[[#This Row],[JobRole]],Table13[JobRole],Table13[Id_JobRole])</f>
        <v>JR007</v>
      </c>
      <c r="AA417" t="s">
        <v>53</v>
      </c>
      <c r="AB417" t="str">
        <f>_xlfn.XLOOKUP(Table1[[#This Row],[JobSatisfaction]],Table14[JobSatisfaction],Table14[Id_JobSatisfaction])</f>
        <v>JS003</v>
      </c>
      <c r="AC417">
        <v>3</v>
      </c>
      <c r="AD417" t="str">
        <f>_xlfn.XLOOKUP(Table1[[#This Row],[JobSatisfaction]],Table14[JobSatisfaction],Table14[Deskripsi])</f>
        <v>High</v>
      </c>
      <c r="AE417" t="str">
        <f>_xlfn.XLOOKUP(Table1[[#This Row],[MaritalStatus]],Table15[MaritalStatus],Table15[Id_MaritalStatus])</f>
        <v>MS003</v>
      </c>
      <c r="AF417" t="s">
        <v>57</v>
      </c>
      <c r="AG417">
        <v>2351</v>
      </c>
      <c r="AH417">
        <v>12253</v>
      </c>
      <c r="AI417">
        <v>0</v>
      </c>
      <c r="AJ417" t="str">
        <f>_xlfn.XLOOKUP(Table1[[#This Row],[OverTime]],Table16[OverTime],Table16[Id_OverTime])</f>
        <v>OT002</v>
      </c>
      <c r="AK417" t="s">
        <v>33</v>
      </c>
      <c r="AL417">
        <v>16</v>
      </c>
      <c r="AM417" t="str">
        <f>_xlfn.XLOOKUP(Table1[[#This Row],[PerformanceRating]],Table17[PerformanceRating],Table17[Id_PerformanceRating])</f>
        <v>PR003</v>
      </c>
      <c r="AN417">
        <v>3</v>
      </c>
      <c r="AO417" t="str">
        <f>_xlfn.XLOOKUP(Table1[[#This Row],[PerformanceRating]],Table17[PerformanceRating],Table17[Deskripsi])</f>
        <v>Excellent</v>
      </c>
      <c r="AP417" t="str">
        <f>_xlfn.XLOOKUP(Table1[[#This Row],[RelationshipSatisfaction]],Table18[RelationshipSatisfaction],Table18[Id_RelationshipSatisfaction])</f>
        <v>RS004</v>
      </c>
      <c r="AQ417">
        <v>4</v>
      </c>
      <c r="AR417" t="str">
        <f>_xlfn.XLOOKUP(Table1[[#This Row],[RelationshipSatisfaction]],Table18[RelationshipSatisfaction],Table18[Deskripsi])</f>
        <v>Very High</v>
      </c>
      <c r="AS417" t="str">
        <f>_xlfn.XLOOKUP(Table1[[#This Row],[StockOptionLevel]],Table19[StockOptionLevel],Table19[Id_StockOptionLevel])</f>
        <v>SOL002</v>
      </c>
      <c r="AT417">
        <v>1</v>
      </c>
      <c r="AU417" t="str">
        <f>_xlfn.XLOOKUP(Table1[[#This Row],[StockOptionLevel]],Table19[StockOptionLevel],Table19[Deskripsi])</f>
        <v>Standard</v>
      </c>
      <c r="AV417">
        <v>3</v>
      </c>
      <c r="AW417">
        <v>3</v>
      </c>
      <c r="AX417" t="str">
        <f>_xlfn.XLOOKUP(Table1[[#This Row],[WorkLifeBalance]],Table20[WorkLifeBalance],Table20[Id_WorkLifeBalance])</f>
        <v>WLB003</v>
      </c>
      <c r="AY417">
        <v>2</v>
      </c>
      <c r="AZ417" t="str">
        <f>_xlfn.XLOOKUP(Table1[[#This Row],[WorkLifeBalance]],Table20[WorkLifeBalance],Table20[Deskripsi])</f>
        <v>Better</v>
      </c>
      <c r="BA417">
        <v>2</v>
      </c>
      <c r="BB417">
        <v>2</v>
      </c>
      <c r="BC417">
        <v>1</v>
      </c>
      <c r="BD417">
        <v>0</v>
      </c>
    </row>
    <row r="418" spans="1:56" x14ac:dyDescent="0.25">
      <c r="A418">
        <v>38</v>
      </c>
      <c r="B418" t="str">
        <f>_xlfn.XLOOKUP(Table1[[#This Row],[Attrition]],Table2[Attrition],Table2[Id_Attrition])</f>
        <v>A002</v>
      </c>
      <c r="C418" t="s">
        <v>33</v>
      </c>
      <c r="D418" t="str">
        <f>_xlfn.XLOOKUP(Table1[[#This Row],[BusinessTravel]],Table5[BusinessTravel],Table5[Id_BusinessTravel])</f>
        <v>BS002</v>
      </c>
      <c r="E418" t="s">
        <v>35</v>
      </c>
      <c r="F418">
        <v>1490</v>
      </c>
      <c r="G418" t="str">
        <f>_xlfn.XLOOKUP(Table1[[#This Row],[Department]],Table6[Department],Table6[Id_Departement])</f>
        <v>D002</v>
      </c>
      <c r="H418" t="s">
        <v>38</v>
      </c>
      <c r="I418">
        <v>2</v>
      </c>
      <c r="J418" t="str">
        <f>_xlfn.XLOOKUP(Table1[[#This Row],[Education]],Table8[Education],Table8[Id_Education])</f>
        <v>E002</v>
      </c>
      <c r="K418">
        <v>2</v>
      </c>
      <c r="L418" t="str">
        <f>_xlfn.XLOOKUP(Table1[[#This Row],[EducationField]],Table7[EducationField],Table7[Id_EducationField])</f>
        <v>EF001</v>
      </c>
      <c r="M418" t="s">
        <v>40</v>
      </c>
      <c r="N418" t="str">
        <f>_xlfn.XLOOKUP(Table1[[#This Row],[EmployeeNumber]],Table4[EmployeeNumber],Table4[Id_Employee])</f>
        <v>EMP00417</v>
      </c>
      <c r="O418">
        <v>556</v>
      </c>
      <c r="P418" t="str">
        <f>_xlfn.XLOOKUP(Table1[[#This Row],[EnvironmentSatisfaction]],Table9[EnvironmentSatisfaction],Table9[Id_EnviromentSatisfaction])</f>
        <v>ES004</v>
      </c>
      <c r="Q418">
        <v>4</v>
      </c>
      <c r="R418" t="str">
        <f>_xlfn.XLOOKUP(Table1[[#This Row],[EnvironmentSatisfaction]],Table9[EnvironmentSatisfaction],Table9[Deskripsi])</f>
        <v>Very High</v>
      </c>
      <c r="S418" t="str">
        <f>_xlfn.XLOOKUP(Table1[[#This Row],[Gender]],Table10[Gender],Table10[Id_Gender])</f>
        <v>G002</v>
      </c>
      <c r="T418" t="s">
        <v>46</v>
      </c>
      <c r="U418">
        <v>42</v>
      </c>
      <c r="V418" t="str">
        <f>_xlfn.XLOOKUP(Table1[[#This Row],[JobInvolvement]],Table11[JobInvolvement],Table11[Id_JobInvolvement])</f>
        <v>JI003</v>
      </c>
      <c r="W418">
        <v>3</v>
      </c>
      <c r="X418" t="str">
        <f>_xlfn.XLOOKUP(Table1[[#This Row],[JobLevel]],Table12[JobLevel],Table12[Id_JobLevel])</f>
        <v>JL001</v>
      </c>
      <c r="Y418">
        <v>1</v>
      </c>
      <c r="Z418" t="str">
        <f>_xlfn.XLOOKUP(Table1[[#This Row],[JobRole]],Table13[JobRole],Table13[Id_JobRole])</f>
        <v>JR003</v>
      </c>
      <c r="AA418" t="s">
        <v>49</v>
      </c>
      <c r="AB418" t="str">
        <f>_xlfn.XLOOKUP(Table1[[#This Row],[JobSatisfaction]],Table14[JobSatisfaction],Table14[Id_JobSatisfaction])</f>
        <v>JS004</v>
      </c>
      <c r="AC418">
        <v>4</v>
      </c>
      <c r="AD418" t="str">
        <f>_xlfn.XLOOKUP(Table1[[#This Row],[JobSatisfaction]],Table14[JobSatisfaction],Table14[Deskripsi])</f>
        <v>Very High</v>
      </c>
      <c r="AE418" t="str">
        <f>_xlfn.XLOOKUP(Table1[[#This Row],[MaritalStatus]],Table15[MaritalStatus],Table15[Id_MaritalStatus])</f>
        <v>MS002</v>
      </c>
      <c r="AF418" t="s">
        <v>56</v>
      </c>
      <c r="AG418">
        <v>1702</v>
      </c>
      <c r="AH418">
        <v>12106</v>
      </c>
      <c r="AI418">
        <v>1</v>
      </c>
      <c r="AJ418" t="str">
        <f>_xlfn.XLOOKUP(Table1[[#This Row],[OverTime]],Table16[OverTime],Table16[Id_OverTime])</f>
        <v>OT001</v>
      </c>
      <c r="AK418" t="s">
        <v>32</v>
      </c>
      <c r="AL418">
        <v>23</v>
      </c>
      <c r="AM418" t="str">
        <f>_xlfn.XLOOKUP(Table1[[#This Row],[PerformanceRating]],Table17[PerformanceRating],Table17[Id_PerformanceRating])</f>
        <v>PR004</v>
      </c>
      <c r="AN418">
        <v>4</v>
      </c>
      <c r="AO418" t="str">
        <f>_xlfn.XLOOKUP(Table1[[#This Row],[PerformanceRating]],Table17[PerformanceRating],Table17[Deskripsi])</f>
        <v>Outstanding</v>
      </c>
      <c r="AP418" t="str">
        <f>_xlfn.XLOOKUP(Table1[[#This Row],[RelationshipSatisfaction]],Table18[RelationshipSatisfaction],Table18[Id_RelationshipSatisfaction])</f>
        <v>RS003</v>
      </c>
      <c r="AQ418">
        <v>3</v>
      </c>
      <c r="AR418" t="str">
        <f>_xlfn.XLOOKUP(Table1[[#This Row],[RelationshipSatisfaction]],Table18[RelationshipSatisfaction],Table18[Deskripsi])</f>
        <v>High</v>
      </c>
      <c r="AS418" t="str">
        <f>_xlfn.XLOOKUP(Table1[[#This Row],[StockOptionLevel]],Table19[StockOptionLevel],Table19[Id_StockOptionLevel])</f>
        <v>SOL002</v>
      </c>
      <c r="AT418">
        <v>1</v>
      </c>
      <c r="AU418" t="str">
        <f>_xlfn.XLOOKUP(Table1[[#This Row],[StockOptionLevel]],Table19[StockOptionLevel],Table19[Deskripsi])</f>
        <v>Standard</v>
      </c>
      <c r="AV418">
        <v>1</v>
      </c>
      <c r="AW418">
        <v>3</v>
      </c>
      <c r="AX418" t="str">
        <f>_xlfn.XLOOKUP(Table1[[#This Row],[WorkLifeBalance]],Table20[WorkLifeBalance],Table20[Id_WorkLifeBalance])</f>
        <v>WLB002</v>
      </c>
      <c r="AY418">
        <v>3</v>
      </c>
      <c r="AZ418" t="str">
        <f>_xlfn.XLOOKUP(Table1[[#This Row],[WorkLifeBalance]],Table20[WorkLifeBalance],Table20[Deskripsi])</f>
        <v>Good</v>
      </c>
      <c r="BA418">
        <v>1</v>
      </c>
      <c r="BB418">
        <v>0</v>
      </c>
      <c r="BC418">
        <v>0</v>
      </c>
      <c r="BD418">
        <v>0</v>
      </c>
    </row>
    <row r="419" spans="1:56" x14ac:dyDescent="0.25">
      <c r="A419">
        <v>40</v>
      </c>
      <c r="B419" t="str">
        <f>_xlfn.XLOOKUP(Table1[[#This Row],[Attrition]],Table2[Attrition],Table2[Id_Attrition])</f>
        <v>A002</v>
      </c>
      <c r="C419" t="s">
        <v>33</v>
      </c>
      <c r="D419" t="str">
        <f>_xlfn.XLOOKUP(Table1[[#This Row],[BusinessTravel]],Table5[BusinessTravel],Table5[Id_BusinessTravel])</f>
        <v>BS001</v>
      </c>
      <c r="E419" t="s">
        <v>34</v>
      </c>
      <c r="F419">
        <v>1398</v>
      </c>
      <c r="G419" t="str">
        <f>_xlfn.XLOOKUP(Table1[[#This Row],[Department]],Table6[Department],Table6[Id_Departement])</f>
        <v>D001</v>
      </c>
      <c r="H419" t="s">
        <v>37</v>
      </c>
      <c r="I419">
        <v>2</v>
      </c>
      <c r="J419" t="str">
        <f>_xlfn.XLOOKUP(Table1[[#This Row],[Education]],Table8[Education],Table8[Id_Education])</f>
        <v>E004</v>
      </c>
      <c r="K419">
        <v>4</v>
      </c>
      <c r="L419" t="str">
        <f>_xlfn.XLOOKUP(Table1[[#This Row],[EducationField]],Table7[EducationField],Table7[Id_EducationField])</f>
        <v>EF001</v>
      </c>
      <c r="M419" t="s">
        <v>40</v>
      </c>
      <c r="N419" t="str">
        <f>_xlfn.XLOOKUP(Table1[[#This Row],[EmployeeNumber]],Table4[EmployeeNumber],Table4[Id_Employee])</f>
        <v>EMP00418</v>
      </c>
      <c r="O419">
        <v>558</v>
      </c>
      <c r="P419" t="str">
        <f>_xlfn.XLOOKUP(Table1[[#This Row],[EnvironmentSatisfaction]],Table9[EnvironmentSatisfaction],Table9[Id_EnviromentSatisfaction])</f>
        <v>ES003</v>
      </c>
      <c r="Q419">
        <v>3</v>
      </c>
      <c r="R419" t="str">
        <f>_xlfn.XLOOKUP(Table1[[#This Row],[EnvironmentSatisfaction]],Table9[EnvironmentSatisfaction],Table9[Deskripsi])</f>
        <v>High</v>
      </c>
      <c r="S419" t="str">
        <f>_xlfn.XLOOKUP(Table1[[#This Row],[Gender]],Table10[Gender],Table10[Id_Gender])</f>
        <v>G001</v>
      </c>
      <c r="T419" t="s">
        <v>45</v>
      </c>
      <c r="U419">
        <v>79</v>
      </c>
      <c r="V419" t="str">
        <f>_xlfn.XLOOKUP(Table1[[#This Row],[JobInvolvement]],Table11[JobInvolvement],Table11[Id_JobInvolvement])</f>
        <v>JI003</v>
      </c>
      <c r="W419">
        <v>3</v>
      </c>
      <c r="X419" t="str">
        <f>_xlfn.XLOOKUP(Table1[[#This Row],[JobLevel]],Table12[JobLevel],Table12[Id_JobLevel])</f>
        <v>JL005</v>
      </c>
      <c r="Y419">
        <v>5</v>
      </c>
      <c r="Z419" t="str">
        <f>_xlfn.XLOOKUP(Table1[[#This Row],[JobRole]],Table13[JobRole],Table13[Id_JobRole])</f>
        <v>JR006</v>
      </c>
      <c r="AA419" t="s">
        <v>52</v>
      </c>
      <c r="AB419" t="str">
        <f>_xlfn.XLOOKUP(Table1[[#This Row],[JobSatisfaction]],Table14[JobSatisfaction],Table14[Id_JobSatisfaction])</f>
        <v>JS003</v>
      </c>
      <c r="AC419">
        <v>3</v>
      </c>
      <c r="AD419" t="str">
        <f>_xlfn.XLOOKUP(Table1[[#This Row],[JobSatisfaction]],Table14[JobSatisfaction],Table14[Deskripsi])</f>
        <v>High</v>
      </c>
      <c r="AE419" t="str">
        <f>_xlfn.XLOOKUP(Table1[[#This Row],[MaritalStatus]],Table15[MaritalStatus],Table15[Id_MaritalStatus])</f>
        <v>MS002</v>
      </c>
      <c r="AF419" t="s">
        <v>56</v>
      </c>
      <c r="AG419">
        <v>18041</v>
      </c>
      <c r="AH419">
        <v>13022</v>
      </c>
      <c r="AI419">
        <v>0</v>
      </c>
      <c r="AJ419" t="str">
        <f>_xlfn.XLOOKUP(Table1[[#This Row],[OverTime]],Table16[OverTime],Table16[Id_OverTime])</f>
        <v>OT002</v>
      </c>
      <c r="AK419" t="s">
        <v>33</v>
      </c>
      <c r="AL419">
        <v>14</v>
      </c>
      <c r="AM419" t="str">
        <f>_xlfn.XLOOKUP(Table1[[#This Row],[PerformanceRating]],Table17[PerformanceRating],Table17[Id_PerformanceRating])</f>
        <v>PR003</v>
      </c>
      <c r="AN419">
        <v>3</v>
      </c>
      <c r="AO419" t="str">
        <f>_xlfn.XLOOKUP(Table1[[#This Row],[PerformanceRating]],Table17[PerformanceRating],Table17[Deskripsi])</f>
        <v>Excellent</v>
      </c>
      <c r="AP419" t="str">
        <f>_xlfn.XLOOKUP(Table1[[#This Row],[RelationshipSatisfaction]],Table18[RelationshipSatisfaction],Table18[Id_RelationshipSatisfaction])</f>
        <v>RS004</v>
      </c>
      <c r="AQ419">
        <v>4</v>
      </c>
      <c r="AR419" t="str">
        <f>_xlfn.XLOOKUP(Table1[[#This Row],[RelationshipSatisfaction]],Table18[RelationshipSatisfaction],Table18[Deskripsi])</f>
        <v>Very High</v>
      </c>
      <c r="AS419" t="str">
        <f>_xlfn.XLOOKUP(Table1[[#This Row],[StockOptionLevel]],Table19[StockOptionLevel],Table19[Id_StockOptionLevel])</f>
        <v>SOL001</v>
      </c>
      <c r="AT419">
        <v>0</v>
      </c>
      <c r="AU419" t="str">
        <f>_xlfn.XLOOKUP(Table1[[#This Row],[StockOptionLevel]],Table19[StockOptionLevel],Table19[Deskripsi])</f>
        <v>Non-Eligible</v>
      </c>
      <c r="AV419">
        <v>21</v>
      </c>
      <c r="AW419">
        <v>2</v>
      </c>
      <c r="AX419" t="str">
        <f>_xlfn.XLOOKUP(Table1[[#This Row],[WorkLifeBalance]],Table20[WorkLifeBalance],Table20[Id_WorkLifeBalance])</f>
        <v>WLB002</v>
      </c>
      <c r="AY419">
        <v>3</v>
      </c>
      <c r="AZ419" t="str">
        <f>_xlfn.XLOOKUP(Table1[[#This Row],[WorkLifeBalance]],Table20[WorkLifeBalance],Table20[Deskripsi])</f>
        <v>Good</v>
      </c>
      <c r="BA419">
        <v>20</v>
      </c>
      <c r="BB419">
        <v>15</v>
      </c>
      <c r="BC419">
        <v>1</v>
      </c>
      <c r="BD419">
        <v>12</v>
      </c>
    </row>
    <row r="420" spans="1:56" x14ac:dyDescent="0.25">
      <c r="A420">
        <v>26</v>
      </c>
      <c r="B420" t="str">
        <f>_xlfn.XLOOKUP(Table1[[#This Row],[Attrition]],Table2[Attrition],Table2[Id_Attrition])</f>
        <v>A002</v>
      </c>
      <c r="C420" t="s">
        <v>33</v>
      </c>
      <c r="D420" t="str">
        <f>_xlfn.XLOOKUP(Table1[[#This Row],[BusinessTravel]],Table5[BusinessTravel],Table5[Id_BusinessTravel])</f>
        <v>BS001</v>
      </c>
      <c r="E420" t="s">
        <v>34</v>
      </c>
      <c r="F420">
        <v>1349</v>
      </c>
      <c r="G420" t="str">
        <f>_xlfn.XLOOKUP(Table1[[#This Row],[Department]],Table6[Department],Table6[Id_Departement])</f>
        <v>D002</v>
      </c>
      <c r="H420" t="s">
        <v>38</v>
      </c>
      <c r="I420">
        <v>23</v>
      </c>
      <c r="J420" t="str">
        <f>_xlfn.XLOOKUP(Table1[[#This Row],[Education]],Table8[Education],Table8[Id_Education])</f>
        <v>E003</v>
      </c>
      <c r="K420">
        <v>3</v>
      </c>
      <c r="L420" t="str">
        <f>_xlfn.XLOOKUP(Table1[[#This Row],[EducationField]],Table7[EducationField],Table7[Id_EducationField])</f>
        <v>EF001</v>
      </c>
      <c r="M420" t="s">
        <v>40</v>
      </c>
      <c r="N420" t="str">
        <f>_xlfn.XLOOKUP(Table1[[#This Row],[EmployeeNumber]],Table4[EmployeeNumber],Table4[Id_Employee])</f>
        <v>EMP00419</v>
      </c>
      <c r="O420">
        <v>560</v>
      </c>
      <c r="P420" t="str">
        <f>_xlfn.XLOOKUP(Table1[[#This Row],[EnvironmentSatisfaction]],Table9[EnvironmentSatisfaction],Table9[Id_EnviromentSatisfaction])</f>
        <v>ES001</v>
      </c>
      <c r="Q420">
        <v>1</v>
      </c>
      <c r="R420" t="str">
        <f>_xlfn.XLOOKUP(Table1[[#This Row],[EnvironmentSatisfaction]],Table9[EnvironmentSatisfaction],Table9[Deskripsi])</f>
        <v>Low</v>
      </c>
      <c r="S420" t="str">
        <f>_xlfn.XLOOKUP(Table1[[#This Row],[Gender]],Table10[Gender],Table10[Id_Gender])</f>
        <v>G001</v>
      </c>
      <c r="T420" t="s">
        <v>45</v>
      </c>
      <c r="U420">
        <v>90</v>
      </c>
      <c r="V420" t="str">
        <f>_xlfn.XLOOKUP(Table1[[#This Row],[JobInvolvement]],Table11[JobInvolvement],Table11[Id_JobInvolvement])</f>
        <v>JI003</v>
      </c>
      <c r="W420">
        <v>3</v>
      </c>
      <c r="X420" t="str">
        <f>_xlfn.XLOOKUP(Table1[[#This Row],[JobLevel]],Table12[JobLevel],Table12[Id_JobLevel])</f>
        <v>JL001</v>
      </c>
      <c r="Y420">
        <v>1</v>
      </c>
      <c r="Z420" t="str">
        <f>_xlfn.XLOOKUP(Table1[[#This Row],[JobRole]],Table13[JobRole],Table13[Id_JobRole])</f>
        <v>JR002</v>
      </c>
      <c r="AA420" t="s">
        <v>48</v>
      </c>
      <c r="AB420" t="str">
        <f>_xlfn.XLOOKUP(Table1[[#This Row],[JobSatisfaction]],Table14[JobSatisfaction],Table14[Id_JobSatisfaction])</f>
        <v>JS004</v>
      </c>
      <c r="AC420">
        <v>4</v>
      </c>
      <c r="AD420" t="str">
        <f>_xlfn.XLOOKUP(Table1[[#This Row],[JobSatisfaction]],Table14[JobSatisfaction],Table14[Deskripsi])</f>
        <v>Very High</v>
      </c>
      <c r="AE420" t="str">
        <f>_xlfn.XLOOKUP(Table1[[#This Row],[MaritalStatus]],Table15[MaritalStatus],Table15[Id_MaritalStatus])</f>
        <v>MS003</v>
      </c>
      <c r="AF420" t="s">
        <v>57</v>
      </c>
      <c r="AG420">
        <v>2886</v>
      </c>
      <c r="AH420">
        <v>3032</v>
      </c>
      <c r="AI420">
        <v>1</v>
      </c>
      <c r="AJ420" t="str">
        <f>_xlfn.XLOOKUP(Table1[[#This Row],[OverTime]],Table16[OverTime],Table16[Id_OverTime])</f>
        <v>OT002</v>
      </c>
      <c r="AK420" t="s">
        <v>33</v>
      </c>
      <c r="AL420">
        <v>22</v>
      </c>
      <c r="AM420" t="str">
        <f>_xlfn.XLOOKUP(Table1[[#This Row],[PerformanceRating]],Table17[PerformanceRating],Table17[Id_PerformanceRating])</f>
        <v>PR004</v>
      </c>
      <c r="AN420">
        <v>4</v>
      </c>
      <c r="AO420" t="str">
        <f>_xlfn.XLOOKUP(Table1[[#This Row],[PerformanceRating]],Table17[PerformanceRating],Table17[Deskripsi])</f>
        <v>Outstanding</v>
      </c>
      <c r="AP420" t="str">
        <f>_xlfn.XLOOKUP(Table1[[#This Row],[RelationshipSatisfaction]],Table18[RelationshipSatisfaction],Table18[Id_RelationshipSatisfaction])</f>
        <v>RS002</v>
      </c>
      <c r="AQ420">
        <v>2</v>
      </c>
      <c r="AR420" t="str">
        <f>_xlfn.XLOOKUP(Table1[[#This Row],[RelationshipSatisfaction]],Table18[RelationshipSatisfaction],Table18[Deskripsi])</f>
        <v>Medium</v>
      </c>
      <c r="AS420" t="str">
        <f>_xlfn.XLOOKUP(Table1[[#This Row],[StockOptionLevel]],Table19[StockOptionLevel],Table19[Id_StockOptionLevel])</f>
        <v>SOL003</v>
      </c>
      <c r="AT420">
        <v>2</v>
      </c>
      <c r="AU420" t="str">
        <f>_xlfn.XLOOKUP(Table1[[#This Row],[StockOptionLevel]],Table19[StockOptionLevel],Table19[Deskripsi])</f>
        <v>Intermediate</v>
      </c>
      <c r="AV420">
        <v>3</v>
      </c>
      <c r="AW420">
        <v>3</v>
      </c>
      <c r="AX420" t="str">
        <f>_xlfn.XLOOKUP(Table1[[#This Row],[WorkLifeBalance]],Table20[WorkLifeBalance],Table20[Id_WorkLifeBalance])</f>
        <v>WLB001</v>
      </c>
      <c r="AY420">
        <v>1</v>
      </c>
      <c r="AZ420" t="str">
        <f>_xlfn.XLOOKUP(Table1[[#This Row],[WorkLifeBalance]],Table20[WorkLifeBalance],Table20[Deskripsi])</f>
        <v>Bad</v>
      </c>
      <c r="BA420">
        <v>3</v>
      </c>
      <c r="BB420">
        <v>2</v>
      </c>
      <c r="BC420">
        <v>0</v>
      </c>
      <c r="BD420">
        <v>2</v>
      </c>
    </row>
    <row r="421" spans="1:56" x14ac:dyDescent="0.25">
      <c r="A421">
        <v>30</v>
      </c>
      <c r="B421" t="str">
        <f>_xlfn.XLOOKUP(Table1[[#This Row],[Attrition]],Table2[Attrition],Table2[Id_Attrition])</f>
        <v>A002</v>
      </c>
      <c r="C421" t="s">
        <v>33</v>
      </c>
      <c r="D421" t="str">
        <f>_xlfn.XLOOKUP(Table1[[#This Row],[BusinessTravel]],Table5[BusinessTravel],Table5[Id_BusinessTravel])</f>
        <v>BS003</v>
      </c>
      <c r="E421" t="s">
        <v>36</v>
      </c>
      <c r="F421">
        <v>1400</v>
      </c>
      <c r="G421" t="str">
        <f>_xlfn.XLOOKUP(Table1[[#This Row],[Department]],Table6[Department],Table6[Id_Departement])</f>
        <v>D002</v>
      </c>
      <c r="H421" t="s">
        <v>38</v>
      </c>
      <c r="I421">
        <v>3</v>
      </c>
      <c r="J421" t="str">
        <f>_xlfn.XLOOKUP(Table1[[#This Row],[Education]],Table8[Education],Table8[Id_Education])</f>
        <v>E003</v>
      </c>
      <c r="K421">
        <v>3</v>
      </c>
      <c r="L421" t="str">
        <f>_xlfn.XLOOKUP(Table1[[#This Row],[EducationField]],Table7[EducationField],Table7[Id_EducationField])</f>
        <v>EF001</v>
      </c>
      <c r="M421" t="s">
        <v>40</v>
      </c>
      <c r="N421" t="str">
        <f>_xlfn.XLOOKUP(Table1[[#This Row],[EmployeeNumber]],Table4[EmployeeNumber],Table4[Id_Employee])</f>
        <v>EMP00420</v>
      </c>
      <c r="O421">
        <v>562</v>
      </c>
      <c r="P421" t="str">
        <f>_xlfn.XLOOKUP(Table1[[#This Row],[EnvironmentSatisfaction]],Table9[EnvironmentSatisfaction],Table9[Id_EnviromentSatisfaction])</f>
        <v>ES003</v>
      </c>
      <c r="Q421">
        <v>3</v>
      </c>
      <c r="R421" t="str">
        <f>_xlfn.XLOOKUP(Table1[[#This Row],[EnvironmentSatisfaction]],Table9[EnvironmentSatisfaction],Table9[Deskripsi])</f>
        <v>High</v>
      </c>
      <c r="S421" t="str">
        <f>_xlfn.XLOOKUP(Table1[[#This Row],[Gender]],Table10[Gender],Table10[Id_Gender])</f>
        <v>G002</v>
      </c>
      <c r="T421" t="s">
        <v>46</v>
      </c>
      <c r="U421">
        <v>53</v>
      </c>
      <c r="V421" t="str">
        <f>_xlfn.XLOOKUP(Table1[[#This Row],[JobInvolvement]],Table11[JobInvolvement],Table11[Id_JobInvolvement])</f>
        <v>JI003</v>
      </c>
      <c r="W421">
        <v>3</v>
      </c>
      <c r="X421" t="str">
        <f>_xlfn.XLOOKUP(Table1[[#This Row],[JobLevel]],Table12[JobLevel],Table12[Id_JobLevel])</f>
        <v>JL001</v>
      </c>
      <c r="Y421">
        <v>1</v>
      </c>
      <c r="Z421" t="str">
        <f>_xlfn.XLOOKUP(Table1[[#This Row],[JobRole]],Table13[JobRole],Table13[Id_JobRole])</f>
        <v>JR003</v>
      </c>
      <c r="AA421" t="s">
        <v>49</v>
      </c>
      <c r="AB421" t="str">
        <f>_xlfn.XLOOKUP(Table1[[#This Row],[JobSatisfaction]],Table14[JobSatisfaction],Table14[Id_JobSatisfaction])</f>
        <v>JS004</v>
      </c>
      <c r="AC421">
        <v>4</v>
      </c>
      <c r="AD421" t="str">
        <f>_xlfn.XLOOKUP(Table1[[#This Row],[JobSatisfaction]],Table14[JobSatisfaction],Table14[Deskripsi])</f>
        <v>Very High</v>
      </c>
      <c r="AE421" t="str">
        <f>_xlfn.XLOOKUP(Table1[[#This Row],[MaritalStatus]],Table15[MaritalStatus],Table15[Id_MaritalStatus])</f>
        <v>MS002</v>
      </c>
      <c r="AF421" t="s">
        <v>56</v>
      </c>
      <c r="AG421">
        <v>2097</v>
      </c>
      <c r="AH421">
        <v>16734</v>
      </c>
      <c r="AI421">
        <v>4</v>
      </c>
      <c r="AJ421" t="str">
        <f>_xlfn.XLOOKUP(Table1[[#This Row],[OverTime]],Table16[OverTime],Table16[Id_OverTime])</f>
        <v>OT002</v>
      </c>
      <c r="AK421" t="s">
        <v>33</v>
      </c>
      <c r="AL421">
        <v>15</v>
      </c>
      <c r="AM421" t="str">
        <f>_xlfn.XLOOKUP(Table1[[#This Row],[PerformanceRating]],Table17[PerformanceRating],Table17[Id_PerformanceRating])</f>
        <v>PR003</v>
      </c>
      <c r="AN421">
        <v>3</v>
      </c>
      <c r="AO421" t="str">
        <f>_xlfn.XLOOKUP(Table1[[#This Row],[PerformanceRating]],Table17[PerformanceRating],Table17[Deskripsi])</f>
        <v>Excellent</v>
      </c>
      <c r="AP421" t="str">
        <f>_xlfn.XLOOKUP(Table1[[#This Row],[RelationshipSatisfaction]],Table18[RelationshipSatisfaction],Table18[Id_RelationshipSatisfaction])</f>
        <v>RS003</v>
      </c>
      <c r="AQ421">
        <v>3</v>
      </c>
      <c r="AR421" t="str">
        <f>_xlfn.XLOOKUP(Table1[[#This Row],[RelationshipSatisfaction]],Table18[RelationshipSatisfaction],Table18[Deskripsi])</f>
        <v>High</v>
      </c>
      <c r="AS421" t="str">
        <f>_xlfn.XLOOKUP(Table1[[#This Row],[StockOptionLevel]],Table19[StockOptionLevel],Table19[Id_StockOptionLevel])</f>
        <v>SOL002</v>
      </c>
      <c r="AT421">
        <v>1</v>
      </c>
      <c r="AU421" t="str">
        <f>_xlfn.XLOOKUP(Table1[[#This Row],[StockOptionLevel]],Table19[StockOptionLevel],Table19[Deskripsi])</f>
        <v>Standard</v>
      </c>
      <c r="AV421">
        <v>9</v>
      </c>
      <c r="AW421">
        <v>3</v>
      </c>
      <c r="AX421" t="str">
        <f>_xlfn.XLOOKUP(Table1[[#This Row],[WorkLifeBalance]],Table20[WorkLifeBalance],Table20[Id_WorkLifeBalance])</f>
        <v>WLB001</v>
      </c>
      <c r="AY421">
        <v>1</v>
      </c>
      <c r="AZ421" t="str">
        <f>_xlfn.XLOOKUP(Table1[[#This Row],[WorkLifeBalance]],Table20[WorkLifeBalance],Table20[Deskripsi])</f>
        <v>Bad</v>
      </c>
      <c r="BA421">
        <v>5</v>
      </c>
      <c r="BB421">
        <v>3</v>
      </c>
      <c r="BC421">
        <v>1</v>
      </c>
      <c r="BD421">
        <v>4</v>
      </c>
    </row>
    <row r="422" spans="1:56" x14ac:dyDescent="0.25">
      <c r="A422">
        <v>29</v>
      </c>
      <c r="B422" t="str">
        <f>_xlfn.XLOOKUP(Table1[[#This Row],[Attrition]],Table2[Attrition],Table2[Id_Attrition])</f>
        <v>A002</v>
      </c>
      <c r="C422" t="s">
        <v>33</v>
      </c>
      <c r="D422" t="str">
        <f>_xlfn.XLOOKUP(Table1[[#This Row],[BusinessTravel]],Table5[BusinessTravel],Table5[Id_BusinessTravel])</f>
        <v>BS001</v>
      </c>
      <c r="E422" t="s">
        <v>34</v>
      </c>
      <c r="F422">
        <v>986</v>
      </c>
      <c r="G422" t="str">
        <f>_xlfn.XLOOKUP(Table1[[#This Row],[Department]],Table6[Department],Table6[Id_Departement])</f>
        <v>D002</v>
      </c>
      <c r="H422" t="s">
        <v>38</v>
      </c>
      <c r="I422">
        <v>3</v>
      </c>
      <c r="J422" t="str">
        <f>_xlfn.XLOOKUP(Table1[[#This Row],[Education]],Table8[Education],Table8[Id_Education])</f>
        <v>E004</v>
      </c>
      <c r="K422">
        <v>4</v>
      </c>
      <c r="L422" t="str">
        <f>_xlfn.XLOOKUP(Table1[[#This Row],[EducationField]],Table7[EducationField],Table7[Id_EducationField])</f>
        <v>EF003</v>
      </c>
      <c r="M422" t="s">
        <v>42</v>
      </c>
      <c r="N422" t="str">
        <f>_xlfn.XLOOKUP(Table1[[#This Row],[EmployeeNumber]],Table4[EmployeeNumber],Table4[Id_Employee])</f>
        <v>EMP00421</v>
      </c>
      <c r="O422">
        <v>564</v>
      </c>
      <c r="P422" t="str">
        <f>_xlfn.XLOOKUP(Table1[[#This Row],[EnvironmentSatisfaction]],Table9[EnvironmentSatisfaction],Table9[Id_EnviromentSatisfaction])</f>
        <v>ES002</v>
      </c>
      <c r="Q422">
        <v>2</v>
      </c>
      <c r="R422" t="str">
        <f>_xlfn.XLOOKUP(Table1[[#This Row],[EnvironmentSatisfaction]],Table9[EnvironmentSatisfaction],Table9[Deskripsi])</f>
        <v>Medium</v>
      </c>
      <c r="S422" t="str">
        <f>_xlfn.XLOOKUP(Table1[[#This Row],[Gender]],Table10[Gender],Table10[Id_Gender])</f>
        <v>G002</v>
      </c>
      <c r="T422" t="s">
        <v>46</v>
      </c>
      <c r="U422">
        <v>93</v>
      </c>
      <c r="V422" t="str">
        <f>_xlfn.XLOOKUP(Table1[[#This Row],[JobInvolvement]],Table11[JobInvolvement],Table11[Id_JobInvolvement])</f>
        <v>JI002</v>
      </c>
      <c r="W422">
        <v>2</v>
      </c>
      <c r="X422" t="str">
        <f>_xlfn.XLOOKUP(Table1[[#This Row],[JobLevel]],Table12[JobLevel],Table12[Id_JobLevel])</f>
        <v>JL003</v>
      </c>
      <c r="Y422">
        <v>3</v>
      </c>
      <c r="Z422" t="str">
        <f>_xlfn.XLOOKUP(Table1[[#This Row],[JobRole]],Table13[JobRole],Table13[Id_JobRole])</f>
        <v>JR008</v>
      </c>
      <c r="AA422" t="s">
        <v>54</v>
      </c>
      <c r="AB422" t="str">
        <f>_xlfn.XLOOKUP(Table1[[#This Row],[JobSatisfaction]],Table14[JobSatisfaction],Table14[Id_JobSatisfaction])</f>
        <v>JS003</v>
      </c>
      <c r="AC422">
        <v>3</v>
      </c>
      <c r="AD422" t="str">
        <f>_xlfn.XLOOKUP(Table1[[#This Row],[JobSatisfaction]],Table14[JobSatisfaction],Table14[Deskripsi])</f>
        <v>High</v>
      </c>
      <c r="AE422" t="str">
        <f>_xlfn.XLOOKUP(Table1[[#This Row],[MaritalStatus]],Table15[MaritalStatus],Table15[Id_MaritalStatus])</f>
        <v>MS002</v>
      </c>
      <c r="AF422" t="s">
        <v>56</v>
      </c>
      <c r="AG422">
        <v>11935</v>
      </c>
      <c r="AH422">
        <v>21526</v>
      </c>
      <c r="AI422">
        <v>1</v>
      </c>
      <c r="AJ422" t="str">
        <f>_xlfn.XLOOKUP(Table1[[#This Row],[OverTime]],Table16[OverTime],Table16[Id_OverTime])</f>
        <v>OT002</v>
      </c>
      <c r="AK422" t="s">
        <v>33</v>
      </c>
      <c r="AL422">
        <v>18</v>
      </c>
      <c r="AM422" t="str">
        <f>_xlfn.XLOOKUP(Table1[[#This Row],[PerformanceRating]],Table17[PerformanceRating],Table17[Id_PerformanceRating])</f>
        <v>PR003</v>
      </c>
      <c r="AN422">
        <v>3</v>
      </c>
      <c r="AO422" t="str">
        <f>_xlfn.XLOOKUP(Table1[[#This Row],[PerformanceRating]],Table17[PerformanceRating],Table17[Deskripsi])</f>
        <v>Excellent</v>
      </c>
      <c r="AP422" t="str">
        <f>_xlfn.XLOOKUP(Table1[[#This Row],[RelationshipSatisfaction]],Table18[RelationshipSatisfaction],Table18[Id_RelationshipSatisfaction])</f>
        <v>RS003</v>
      </c>
      <c r="AQ422">
        <v>3</v>
      </c>
      <c r="AR422" t="str">
        <f>_xlfn.XLOOKUP(Table1[[#This Row],[RelationshipSatisfaction]],Table18[RelationshipSatisfaction],Table18[Deskripsi])</f>
        <v>High</v>
      </c>
      <c r="AS422" t="str">
        <f>_xlfn.XLOOKUP(Table1[[#This Row],[StockOptionLevel]],Table19[StockOptionLevel],Table19[Id_StockOptionLevel])</f>
        <v>SOL001</v>
      </c>
      <c r="AT422">
        <v>0</v>
      </c>
      <c r="AU422" t="str">
        <f>_xlfn.XLOOKUP(Table1[[#This Row],[StockOptionLevel]],Table19[StockOptionLevel],Table19[Deskripsi])</f>
        <v>Non-Eligible</v>
      </c>
      <c r="AV422">
        <v>10</v>
      </c>
      <c r="AW422">
        <v>2</v>
      </c>
      <c r="AX422" t="str">
        <f>_xlfn.XLOOKUP(Table1[[#This Row],[WorkLifeBalance]],Table20[WorkLifeBalance],Table20[Id_WorkLifeBalance])</f>
        <v>WLB002</v>
      </c>
      <c r="AY422">
        <v>3</v>
      </c>
      <c r="AZ422" t="str">
        <f>_xlfn.XLOOKUP(Table1[[#This Row],[WorkLifeBalance]],Table20[WorkLifeBalance],Table20[Deskripsi])</f>
        <v>Good</v>
      </c>
      <c r="BA422">
        <v>10</v>
      </c>
      <c r="BB422">
        <v>2</v>
      </c>
      <c r="BC422">
        <v>0</v>
      </c>
      <c r="BD422">
        <v>7</v>
      </c>
    </row>
    <row r="423" spans="1:56" x14ac:dyDescent="0.25">
      <c r="A423">
        <v>29</v>
      </c>
      <c r="B423" t="str">
        <f>_xlfn.XLOOKUP(Table1[[#This Row],[Attrition]],Table2[Attrition],Table2[Id_Attrition])</f>
        <v>A001</v>
      </c>
      <c r="C423" t="s">
        <v>32</v>
      </c>
      <c r="D423" t="str">
        <f>_xlfn.XLOOKUP(Table1[[#This Row],[BusinessTravel]],Table5[BusinessTravel],Table5[Id_BusinessTravel])</f>
        <v>BS001</v>
      </c>
      <c r="E423" t="s">
        <v>34</v>
      </c>
      <c r="F423">
        <v>408</v>
      </c>
      <c r="G423" t="str">
        <f>_xlfn.XLOOKUP(Table1[[#This Row],[Department]],Table6[Department],Table6[Id_Departement])</f>
        <v>D002</v>
      </c>
      <c r="H423" t="s">
        <v>38</v>
      </c>
      <c r="I423">
        <v>25</v>
      </c>
      <c r="J423" t="str">
        <f>_xlfn.XLOOKUP(Table1[[#This Row],[Education]],Table8[Education],Table8[Id_Education])</f>
        <v>E005</v>
      </c>
      <c r="K423">
        <v>5</v>
      </c>
      <c r="L423" t="str">
        <f>_xlfn.XLOOKUP(Table1[[#This Row],[EducationField]],Table7[EducationField],Table7[Id_EducationField])</f>
        <v>EF005</v>
      </c>
      <c r="M423" t="s">
        <v>44</v>
      </c>
      <c r="N423" t="str">
        <f>_xlfn.XLOOKUP(Table1[[#This Row],[EmployeeNumber]],Table4[EmployeeNumber],Table4[Id_Employee])</f>
        <v>EMP00422</v>
      </c>
      <c r="O423">
        <v>565</v>
      </c>
      <c r="P423" t="str">
        <f>_xlfn.XLOOKUP(Table1[[#This Row],[EnvironmentSatisfaction]],Table9[EnvironmentSatisfaction],Table9[Id_EnviromentSatisfaction])</f>
        <v>ES003</v>
      </c>
      <c r="Q423">
        <v>3</v>
      </c>
      <c r="R423" t="str">
        <f>_xlfn.XLOOKUP(Table1[[#This Row],[EnvironmentSatisfaction]],Table9[EnvironmentSatisfaction],Table9[Deskripsi])</f>
        <v>High</v>
      </c>
      <c r="S423" t="str">
        <f>_xlfn.XLOOKUP(Table1[[#This Row],[Gender]],Table10[Gender],Table10[Id_Gender])</f>
        <v>G001</v>
      </c>
      <c r="T423" t="s">
        <v>45</v>
      </c>
      <c r="U423">
        <v>71</v>
      </c>
      <c r="V423" t="str">
        <f>_xlfn.XLOOKUP(Table1[[#This Row],[JobInvolvement]],Table11[JobInvolvement],Table11[Id_JobInvolvement])</f>
        <v>JI002</v>
      </c>
      <c r="W423">
        <v>2</v>
      </c>
      <c r="X423" t="str">
        <f>_xlfn.XLOOKUP(Table1[[#This Row],[JobLevel]],Table12[JobLevel],Table12[Id_JobLevel])</f>
        <v>JL001</v>
      </c>
      <c r="Y423">
        <v>1</v>
      </c>
      <c r="Z423" t="str">
        <f>_xlfn.XLOOKUP(Table1[[#This Row],[JobRole]],Table13[JobRole],Table13[Id_JobRole])</f>
        <v>JR002</v>
      </c>
      <c r="AA423" t="s">
        <v>48</v>
      </c>
      <c r="AB423" t="str">
        <f>_xlfn.XLOOKUP(Table1[[#This Row],[JobSatisfaction]],Table14[JobSatisfaction],Table14[Id_JobSatisfaction])</f>
        <v>JS002</v>
      </c>
      <c r="AC423">
        <v>2</v>
      </c>
      <c r="AD423" t="str">
        <f>_xlfn.XLOOKUP(Table1[[#This Row],[JobSatisfaction]],Table14[JobSatisfaction],Table14[Deskripsi])</f>
        <v>Medium</v>
      </c>
      <c r="AE423" t="str">
        <f>_xlfn.XLOOKUP(Table1[[#This Row],[MaritalStatus]],Table15[MaritalStatus],Table15[Id_MaritalStatus])</f>
        <v>MS002</v>
      </c>
      <c r="AF423" t="s">
        <v>56</v>
      </c>
      <c r="AG423">
        <v>2546</v>
      </c>
      <c r="AH423">
        <v>18300</v>
      </c>
      <c r="AI423">
        <v>5</v>
      </c>
      <c r="AJ423" t="str">
        <f>_xlfn.XLOOKUP(Table1[[#This Row],[OverTime]],Table16[OverTime],Table16[Id_OverTime])</f>
        <v>OT002</v>
      </c>
      <c r="AK423" t="s">
        <v>33</v>
      </c>
      <c r="AL423">
        <v>16</v>
      </c>
      <c r="AM423" t="str">
        <f>_xlfn.XLOOKUP(Table1[[#This Row],[PerformanceRating]],Table17[PerformanceRating],Table17[Id_PerformanceRating])</f>
        <v>PR003</v>
      </c>
      <c r="AN423">
        <v>3</v>
      </c>
      <c r="AO423" t="str">
        <f>_xlfn.XLOOKUP(Table1[[#This Row],[PerformanceRating]],Table17[PerformanceRating],Table17[Deskripsi])</f>
        <v>Excellent</v>
      </c>
      <c r="AP423" t="str">
        <f>_xlfn.XLOOKUP(Table1[[#This Row],[RelationshipSatisfaction]],Table18[RelationshipSatisfaction],Table18[Id_RelationshipSatisfaction])</f>
        <v>RS002</v>
      </c>
      <c r="AQ423">
        <v>2</v>
      </c>
      <c r="AR423" t="str">
        <f>_xlfn.XLOOKUP(Table1[[#This Row],[RelationshipSatisfaction]],Table18[RelationshipSatisfaction],Table18[Deskripsi])</f>
        <v>Medium</v>
      </c>
      <c r="AS423" t="str">
        <f>_xlfn.XLOOKUP(Table1[[#This Row],[StockOptionLevel]],Table19[StockOptionLevel],Table19[Id_StockOptionLevel])</f>
        <v>SOL001</v>
      </c>
      <c r="AT423">
        <v>0</v>
      </c>
      <c r="AU423" t="str">
        <f>_xlfn.XLOOKUP(Table1[[#This Row],[StockOptionLevel]],Table19[StockOptionLevel],Table19[Deskripsi])</f>
        <v>Non-Eligible</v>
      </c>
      <c r="AV423">
        <v>6</v>
      </c>
      <c r="AW423">
        <v>2</v>
      </c>
      <c r="AX423" t="str">
        <f>_xlfn.XLOOKUP(Table1[[#This Row],[WorkLifeBalance]],Table20[WorkLifeBalance],Table20[Id_WorkLifeBalance])</f>
        <v>WLB004</v>
      </c>
      <c r="AY423">
        <v>4</v>
      </c>
      <c r="AZ423" t="str">
        <f>_xlfn.XLOOKUP(Table1[[#This Row],[WorkLifeBalance]],Table20[WorkLifeBalance],Table20[Deskripsi])</f>
        <v>Best</v>
      </c>
      <c r="BA423">
        <v>2</v>
      </c>
      <c r="BB423">
        <v>2</v>
      </c>
      <c r="BC423">
        <v>1</v>
      </c>
      <c r="BD423">
        <v>1</v>
      </c>
    </row>
    <row r="424" spans="1:56" x14ac:dyDescent="0.25">
      <c r="A424">
        <v>19</v>
      </c>
      <c r="B424" t="str">
        <f>_xlfn.XLOOKUP(Table1[[#This Row],[Attrition]],Table2[Attrition],Table2[Id_Attrition])</f>
        <v>A001</v>
      </c>
      <c r="C424" t="s">
        <v>32</v>
      </c>
      <c r="D424" t="str">
        <f>_xlfn.XLOOKUP(Table1[[#This Row],[BusinessTravel]],Table5[BusinessTravel],Table5[Id_BusinessTravel])</f>
        <v>BS001</v>
      </c>
      <c r="E424" t="s">
        <v>34</v>
      </c>
      <c r="F424">
        <v>489</v>
      </c>
      <c r="G424" t="str">
        <f>_xlfn.XLOOKUP(Table1[[#This Row],[Department]],Table6[Department],Table6[Id_Departement])</f>
        <v>D003</v>
      </c>
      <c r="H424" t="s">
        <v>39</v>
      </c>
      <c r="I424">
        <v>2</v>
      </c>
      <c r="J424" t="str">
        <f>_xlfn.XLOOKUP(Table1[[#This Row],[Education]],Table8[Education],Table8[Id_Education])</f>
        <v>E002</v>
      </c>
      <c r="K424">
        <v>2</v>
      </c>
      <c r="L424" t="str">
        <f>_xlfn.XLOOKUP(Table1[[#This Row],[EducationField]],Table7[EducationField],Table7[Id_EducationField])</f>
        <v>EF005</v>
      </c>
      <c r="M424" t="s">
        <v>44</v>
      </c>
      <c r="N424" t="str">
        <f>_xlfn.XLOOKUP(Table1[[#This Row],[EmployeeNumber]],Table4[EmployeeNumber],Table4[Id_Employee])</f>
        <v>EMP00423</v>
      </c>
      <c r="O424">
        <v>566</v>
      </c>
      <c r="P424" t="str">
        <f>_xlfn.XLOOKUP(Table1[[#This Row],[EnvironmentSatisfaction]],Table9[EnvironmentSatisfaction],Table9[Id_EnviromentSatisfaction])</f>
        <v>ES001</v>
      </c>
      <c r="Q424">
        <v>1</v>
      </c>
      <c r="R424" t="str">
        <f>_xlfn.XLOOKUP(Table1[[#This Row],[EnvironmentSatisfaction]],Table9[EnvironmentSatisfaction],Table9[Deskripsi])</f>
        <v>Low</v>
      </c>
      <c r="S424" t="str">
        <f>_xlfn.XLOOKUP(Table1[[#This Row],[Gender]],Table10[Gender],Table10[Id_Gender])</f>
        <v>G002</v>
      </c>
      <c r="T424" t="s">
        <v>46</v>
      </c>
      <c r="U424">
        <v>52</v>
      </c>
      <c r="V424" t="str">
        <f>_xlfn.XLOOKUP(Table1[[#This Row],[JobInvolvement]],Table11[JobInvolvement],Table11[Id_JobInvolvement])</f>
        <v>JI002</v>
      </c>
      <c r="W424">
        <v>2</v>
      </c>
      <c r="X424" t="str">
        <f>_xlfn.XLOOKUP(Table1[[#This Row],[JobLevel]],Table12[JobLevel],Table12[Id_JobLevel])</f>
        <v>JL001</v>
      </c>
      <c r="Y424">
        <v>1</v>
      </c>
      <c r="Z424" t="str">
        <f>_xlfn.XLOOKUP(Table1[[#This Row],[JobRole]],Table13[JobRole],Table13[Id_JobRole])</f>
        <v>JR009</v>
      </c>
      <c r="AA424" t="s">
        <v>39</v>
      </c>
      <c r="AB424" t="str">
        <f>_xlfn.XLOOKUP(Table1[[#This Row],[JobSatisfaction]],Table14[JobSatisfaction],Table14[Id_JobSatisfaction])</f>
        <v>JS004</v>
      </c>
      <c r="AC424">
        <v>4</v>
      </c>
      <c r="AD424" t="str">
        <f>_xlfn.XLOOKUP(Table1[[#This Row],[JobSatisfaction]],Table14[JobSatisfaction],Table14[Deskripsi])</f>
        <v>Very High</v>
      </c>
      <c r="AE424" t="str">
        <f>_xlfn.XLOOKUP(Table1[[#This Row],[MaritalStatus]],Table15[MaritalStatus],Table15[Id_MaritalStatus])</f>
        <v>MS001</v>
      </c>
      <c r="AF424" t="s">
        <v>55</v>
      </c>
      <c r="AG424">
        <v>2564</v>
      </c>
      <c r="AH424">
        <v>18437</v>
      </c>
      <c r="AI424">
        <v>1</v>
      </c>
      <c r="AJ424" t="str">
        <f>_xlfn.XLOOKUP(Table1[[#This Row],[OverTime]],Table16[OverTime],Table16[Id_OverTime])</f>
        <v>OT002</v>
      </c>
      <c r="AK424" t="s">
        <v>33</v>
      </c>
      <c r="AL424">
        <v>12</v>
      </c>
      <c r="AM424" t="str">
        <f>_xlfn.XLOOKUP(Table1[[#This Row],[PerformanceRating]],Table17[PerformanceRating],Table17[Id_PerformanceRating])</f>
        <v>PR003</v>
      </c>
      <c r="AN424">
        <v>3</v>
      </c>
      <c r="AO424" t="str">
        <f>_xlfn.XLOOKUP(Table1[[#This Row],[PerformanceRating]],Table17[PerformanceRating],Table17[Deskripsi])</f>
        <v>Excellent</v>
      </c>
      <c r="AP424" t="str">
        <f>_xlfn.XLOOKUP(Table1[[#This Row],[RelationshipSatisfaction]],Table18[RelationshipSatisfaction],Table18[Id_RelationshipSatisfaction])</f>
        <v>RS003</v>
      </c>
      <c r="AQ424">
        <v>3</v>
      </c>
      <c r="AR424" t="str">
        <f>_xlfn.XLOOKUP(Table1[[#This Row],[RelationshipSatisfaction]],Table18[RelationshipSatisfaction],Table18[Deskripsi])</f>
        <v>High</v>
      </c>
      <c r="AS424" t="str">
        <f>_xlfn.XLOOKUP(Table1[[#This Row],[StockOptionLevel]],Table19[StockOptionLevel],Table19[Id_StockOptionLevel])</f>
        <v>SOL001</v>
      </c>
      <c r="AT424">
        <v>0</v>
      </c>
      <c r="AU424" t="str">
        <f>_xlfn.XLOOKUP(Table1[[#This Row],[StockOptionLevel]],Table19[StockOptionLevel],Table19[Deskripsi])</f>
        <v>Non-Eligible</v>
      </c>
      <c r="AV424">
        <v>1</v>
      </c>
      <c r="AW424">
        <v>3</v>
      </c>
      <c r="AX424" t="str">
        <f>_xlfn.XLOOKUP(Table1[[#This Row],[WorkLifeBalance]],Table20[WorkLifeBalance],Table20[Id_WorkLifeBalance])</f>
        <v>WLB004</v>
      </c>
      <c r="AY424">
        <v>4</v>
      </c>
      <c r="AZ424" t="str">
        <f>_xlfn.XLOOKUP(Table1[[#This Row],[WorkLifeBalance]],Table20[WorkLifeBalance],Table20[Deskripsi])</f>
        <v>Best</v>
      </c>
      <c r="BA424">
        <v>1</v>
      </c>
      <c r="BB424">
        <v>0</v>
      </c>
      <c r="BC424">
        <v>0</v>
      </c>
      <c r="BD424">
        <v>0</v>
      </c>
    </row>
    <row r="425" spans="1:56" x14ac:dyDescent="0.25">
      <c r="A425">
        <v>30</v>
      </c>
      <c r="B425" t="str">
        <f>_xlfn.XLOOKUP(Table1[[#This Row],[Attrition]],Table2[Attrition],Table2[Id_Attrition])</f>
        <v>A002</v>
      </c>
      <c r="C425" t="s">
        <v>33</v>
      </c>
      <c r="D425" t="str">
        <f>_xlfn.XLOOKUP(Table1[[#This Row],[BusinessTravel]],Table5[BusinessTravel],Table5[Id_BusinessTravel])</f>
        <v>BS003</v>
      </c>
      <c r="E425" t="s">
        <v>36</v>
      </c>
      <c r="F425">
        <v>1398</v>
      </c>
      <c r="G425" t="str">
        <f>_xlfn.XLOOKUP(Table1[[#This Row],[Department]],Table6[Department],Table6[Id_Departement])</f>
        <v>D001</v>
      </c>
      <c r="H425" t="s">
        <v>37</v>
      </c>
      <c r="I425">
        <v>22</v>
      </c>
      <c r="J425" t="str">
        <f>_xlfn.XLOOKUP(Table1[[#This Row],[Education]],Table8[Education],Table8[Id_Education])</f>
        <v>E004</v>
      </c>
      <c r="K425">
        <v>4</v>
      </c>
      <c r="L425" t="str">
        <f>_xlfn.XLOOKUP(Table1[[#This Row],[EducationField]],Table7[EducationField],Table7[Id_EducationField])</f>
        <v>EF002</v>
      </c>
      <c r="M425" t="s">
        <v>41</v>
      </c>
      <c r="N425" t="str">
        <f>_xlfn.XLOOKUP(Table1[[#This Row],[EmployeeNumber]],Table4[EmployeeNumber],Table4[Id_Employee])</f>
        <v>EMP00424</v>
      </c>
      <c r="O425">
        <v>567</v>
      </c>
      <c r="P425" t="str">
        <f>_xlfn.XLOOKUP(Table1[[#This Row],[EnvironmentSatisfaction]],Table9[EnvironmentSatisfaction],Table9[Id_EnviromentSatisfaction])</f>
        <v>ES003</v>
      </c>
      <c r="Q425">
        <v>3</v>
      </c>
      <c r="R425" t="str">
        <f>_xlfn.XLOOKUP(Table1[[#This Row],[EnvironmentSatisfaction]],Table9[EnvironmentSatisfaction],Table9[Deskripsi])</f>
        <v>High</v>
      </c>
      <c r="S425" t="str">
        <f>_xlfn.XLOOKUP(Table1[[#This Row],[Gender]],Table10[Gender],Table10[Id_Gender])</f>
        <v>G001</v>
      </c>
      <c r="T425" t="s">
        <v>45</v>
      </c>
      <c r="U425">
        <v>69</v>
      </c>
      <c r="V425" t="str">
        <f>_xlfn.XLOOKUP(Table1[[#This Row],[JobInvolvement]],Table11[JobInvolvement],Table11[Id_JobInvolvement])</f>
        <v>JI003</v>
      </c>
      <c r="W425">
        <v>3</v>
      </c>
      <c r="X425" t="str">
        <f>_xlfn.XLOOKUP(Table1[[#This Row],[JobLevel]],Table12[JobLevel],Table12[Id_JobLevel])</f>
        <v>JL003</v>
      </c>
      <c r="Y425">
        <v>3</v>
      </c>
      <c r="Z425" t="str">
        <f>_xlfn.XLOOKUP(Table1[[#This Row],[JobRole]],Table13[JobRole],Table13[Id_JobRole])</f>
        <v>JR001</v>
      </c>
      <c r="AA425" t="s">
        <v>47</v>
      </c>
      <c r="AB425" t="str">
        <f>_xlfn.XLOOKUP(Table1[[#This Row],[JobSatisfaction]],Table14[JobSatisfaction],Table14[Id_JobSatisfaction])</f>
        <v>JS001</v>
      </c>
      <c r="AC425">
        <v>1</v>
      </c>
      <c r="AD425" t="str">
        <f>_xlfn.XLOOKUP(Table1[[#This Row],[JobSatisfaction]],Table14[JobSatisfaction],Table14[Deskripsi])</f>
        <v>Low</v>
      </c>
      <c r="AE425" t="str">
        <f>_xlfn.XLOOKUP(Table1[[#This Row],[MaritalStatus]],Table15[MaritalStatus],Table15[Id_MaritalStatus])</f>
        <v>MS002</v>
      </c>
      <c r="AF425" t="s">
        <v>56</v>
      </c>
      <c r="AG425">
        <v>8412</v>
      </c>
      <c r="AH425">
        <v>2890</v>
      </c>
      <c r="AI425">
        <v>0</v>
      </c>
      <c r="AJ425" t="str">
        <f>_xlfn.XLOOKUP(Table1[[#This Row],[OverTime]],Table16[OverTime],Table16[Id_OverTime])</f>
        <v>OT002</v>
      </c>
      <c r="AK425" t="s">
        <v>33</v>
      </c>
      <c r="AL425">
        <v>11</v>
      </c>
      <c r="AM425" t="str">
        <f>_xlfn.XLOOKUP(Table1[[#This Row],[PerformanceRating]],Table17[PerformanceRating],Table17[Id_PerformanceRating])</f>
        <v>PR003</v>
      </c>
      <c r="AN425">
        <v>3</v>
      </c>
      <c r="AO425" t="str">
        <f>_xlfn.XLOOKUP(Table1[[#This Row],[PerformanceRating]],Table17[PerformanceRating],Table17[Deskripsi])</f>
        <v>Excellent</v>
      </c>
      <c r="AP425" t="str">
        <f>_xlfn.XLOOKUP(Table1[[#This Row],[RelationshipSatisfaction]],Table18[RelationshipSatisfaction],Table18[Id_RelationshipSatisfaction])</f>
        <v>RS003</v>
      </c>
      <c r="AQ425">
        <v>3</v>
      </c>
      <c r="AR425" t="str">
        <f>_xlfn.XLOOKUP(Table1[[#This Row],[RelationshipSatisfaction]],Table18[RelationshipSatisfaction],Table18[Deskripsi])</f>
        <v>High</v>
      </c>
      <c r="AS425" t="str">
        <f>_xlfn.XLOOKUP(Table1[[#This Row],[StockOptionLevel]],Table19[StockOptionLevel],Table19[Id_StockOptionLevel])</f>
        <v>SOL001</v>
      </c>
      <c r="AT425">
        <v>0</v>
      </c>
      <c r="AU425" t="str">
        <f>_xlfn.XLOOKUP(Table1[[#This Row],[StockOptionLevel]],Table19[StockOptionLevel],Table19[Deskripsi])</f>
        <v>Non-Eligible</v>
      </c>
      <c r="AV425">
        <v>10</v>
      </c>
      <c r="AW425">
        <v>3</v>
      </c>
      <c r="AX425" t="str">
        <f>_xlfn.XLOOKUP(Table1[[#This Row],[WorkLifeBalance]],Table20[WorkLifeBalance],Table20[Id_WorkLifeBalance])</f>
        <v>WLB002</v>
      </c>
      <c r="AY425">
        <v>3</v>
      </c>
      <c r="AZ425" t="str">
        <f>_xlfn.XLOOKUP(Table1[[#This Row],[WorkLifeBalance]],Table20[WorkLifeBalance],Table20[Deskripsi])</f>
        <v>Good</v>
      </c>
      <c r="BA425">
        <v>9</v>
      </c>
      <c r="BB425">
        <v>8</v>
      </c>
      <c r="BC425">
        <v>7</v>
      </c>
      <c r="BD425">
        <v>8</v>
      </c>
    </row>
    <row r="426" spans="1:56" x14ac:dyDescent="0.25">
      <c r="A426">
        <v>57</v>
      </c>
      <c r="B426" t="str">
        <f>_xlfn.XLOOKUP(Table1[[#This Row],[Attrition]],Table2[Attrition],Table2[Id_Attrition])</f>
        <v>A002</v>
      </c>
      <c r="C426" t="s">
        <v>33</v>
      </c>
      <c r="D426" t="str">
        <f>_xlfn.XLOOKUP(Table1[[#This Row],[BusinessTravel]],Table5[BusinessTravel],Table5[Id_BusinessTravel])</f>
        <v>BS001</v>
      </c>
      <c r="E426" t="s">
        <v>34</v>
      </c>
      <c r="F426">
        <v>210</v>
      </c>
      <c r="G426" t="str">
        <f>_xlfn.XLOOKUP(Table1[[#This Row],[Department]],Table6[Department],Table6[Id_Departement])</f>
        <v>D001</v>
      </c>
      <c r="H426" t="s">
        <v>37</v>
      </c>
      <c r="I426">
        <v>29</v>
      </c>
      <c r="J426" t="str">
        <f>_xlfn.XLOOKUP(Table1[[#This Row],[Education]],Table8[Education],Table8[Id_Education])</f>
        <v>E003</v>
      </c>
      <c r="K426">
        <v>3</v>
      </c>
      <c r="L426" t="str">
        <f>_xlfn.XLOOKUP(Table1[[#This Row],[EducationField]],Table7[EducationField],Table7[Id_EducationField])</f>
        <v>EF004</v>
      </c>
      <c r="M426" t="s">
        <v>43</v>
      </c>
      <c r="N426" t="str">
        <f>_xlfn.XLOOKUP(Table1[[#This Row],[EmployeeNumber]],Table4[EmployeeNumber],Table4[Id_Employee])</f>
        <v>EMP00425</v>
      </c>
      <c r="O426">
        <v>568</v>
      </c>
      <c r="P426" t="str">
        <f>_xlfn.XLOOKUP(Table1[[#This Row],[EnvironmentSatisfaction]],Table9[EnvironmentSatisfaction],Table9[Id_EnviromentSatisfaction])</f>
        <v>ES001</v>
      </c>
      <c r="Q426">
        <v>1</v>
      </c>
      <c r="R426" t="str">
        <f>_xlfn.XLOOKUP(Table1[[#This Row],[EnvironmentSatisfaction]],Table9[EnvironmentSatisfaction],Table9[Deskripsi])</f>
        <v>Low</v>
      </c>
      <c r="S426" t="str">
        <f>_xlfn.XLOOKUP(Table1[[#This Row],[Gender]],Table10[Gender],Table10[Id_Gender])</f>
        <v>G002</v>
      </c>
      <c r="T426" t="s">
        <v>46</v>
      </c>
      <c r="U426">
        <v>56</v>
      </c>
      <c r="V426" t="str">
        <f>_xlfn.XLOOKUP(Table1[[#This Row],[JobInvolvement]],Table11[JobInvolvement],Table11[Id_JobInvolvement])</f>
        <v>JI002</v>
      </c>
      <c r="W426">
        <v>2</v>
      </c>
      <c r="X426" t="str">
        <f>_xlfn.XLOOKUP(Table1[[#This Row],[JobLevel]],Table12[JobLevel],Table12[Id_JobLevel])</f>
        <v>JL004</v>
      </c>
      <c r="Y426">
        <v>4</v>
      </c>
      <c r="Z426" t="str">
        <f>_xlfn.XLOOKUP(Table1[[#This Row],[JobRole]],Table13[JobRole],Table13[Id_JobRole])</f>
        <v>JR006</v>
      </c>
      <c r="AA426" t="s">
        <v>52</v>
      </c>
      <c r="AB426" t="str">
        <f>_xlfn.XLOOKUP(Table1[[#This Row],[JobSatisfaction]],Table14[JobSatisfaction],Table14[Id_JobSatisfaction])</f>
        <v>JS004</v>
      </c>
      <c r="AC426">
        <v>4</v>
      </c>
      <c r="AD426" t="str">
        <f>_xlfn.XLOOKUP(Table1[[#This Row],[JobSatisfaction]],Table14[JobSatisfaction],Table14[Deskripsi])</f>
        <v>Very High</v>
      </c>
      <c r="AE426" t="str">
        <f>_xlfn.XLOOKUP(Table1[[#This Row],[MaritalStatus]],Table15[MaritalStatus],Table15[Id_MaritalStatus])</f>
        <v>MS003</v>
      </c>
      <c r="AF426" t="s">
        <v>57</v>
      </c>
      <c r="AG426">
        <v>14118</v>
      </c>
      <c r="AH426">
        <v>22102</v>
      </c>
      <c r="AI426">
        <v>3</v>
      </c>
      <c r="AJ426" t="str">
        <f>_xlfn.XLOOKUP(Table1[[#This Row],[OverTime]],Table16[OverTime],Table16[Id_OverTime])</f>
        <v>OT002</v>
      </c>
      <c r="AK426" t="s">
        <v>33</v>
      </c>
      <c r="AL426">
        <v>12</v>
      </c>
      <c r="AM426" t="str">
        <f>_xlfn.XLOOKUP(Table1[[#This Row],[PerformanceRating]],Table17[PerformanceRating],Table17[Id_PerformanceRating])</f>
        <v>PR003</v>
      </c>
      <c r="AN426">
        <v>3</v>
      </c>
      <c r="AO426" t="str">
        <f>_xlfn.XLOOKUP(Table1[[#This Row],[PerformanceRating]],Table17[PerformanceRating],Table17[Deskripsi])</f>
        <v>Excellent</v>
      </c>
      <c r="AP426" t="str">
        <f>_xlfn.XLOOKUP(Table1[[#This Row],[RelationshipSatisfaction]],Table18[RelationshipSatisfaction],Table18[Id_RelationshipSatisfaction])</f>
        <v>RS003</v>
      </c>
      <c r="AQ426">
        <v>3</v>
      </c>
      <c r="AR426" t="str">
        <f>_xlfn.XLOOKUP(Table1[[#This Row],[RelationshipSatisfaction]],Table18[RelationshipSatisfaction],Table18[Deskripsi])</f>
        <v>High</v>
      </c>
      <c r="AS426" t="str">
        <f>_xlfn.XLOOKUP(Table1[[#This Row],[StockOptionLevel]],Table19[StockOptionLevel],Table19[Id_StockOptionLevel])</f>
        <v>SOL002</v>
      </c>
      <c r="AT426">
        <v>1</v>
      </c>
      <c r="AU426" t="str">
        <f>_xlfn.XLOOKUP(Table1[[#This Row],[StockOptionLevel]],Table19[StockOptionLevel],Table19[Deskripsi])</f>
        <v>Standard</v>
      </c>
      <c r="AV426">
        <v>32</v>
      </c>
      <c r="AW426">
        <v>3</v>
      </c>
      <c r="AX426" t="str">
        <f>_xlfn.XLOOKUP(Table1[[#This Row],[WorkLifeBalance]],Table20[WorkLifeBalance],Table20[Id_WorkLifeBalance])</f>
        <v>WLB003</v>
      </c>
      <c r="AY426">
        <v>2</v>
      </c>
      <c r="AZ426" t="str">
        <f>_xlfn.XLOOKUP(Table1[[#This Row],[WorkLifeBalance]],Table20[WorkLifeBalance],Table20[Deskripsi])</f>
        <v>Better</v>
      </c>
      <c r="BA426">
        <v>1</v>
      </c>
      <c r="BB426">
        <v>0</v>
      </c>
      <c r="BC426">
        <v>0</v>
      </c>
      <c r="BD426">
        <v>0</v>
      </c>
    </row>
    <row r="427" spans="1:56" x14ac:dyDescent="0.25">
      <c r="A427">
        <v>50</v>
      </c>
      <c r="B427" t="str">
        <f>_xlfn.XLOOKUP(Table1[[#This Row],[Attrition]],Table2[Attrition],Table2[Id_Attrition])</f>
        <v>A002</v>
      </c>
      <c r="C427" t="s">
        <v>33</v>
      </c>
      <c r="D427" t="str">
        <f>_xlfn.XLOOKUP(Table1[[#This Row],[BusinessTravel]],Table5[BusinessTravel],Table5[Id_BusinessTravel])</f>
        <v>BS001</v>
      </c>
      <c r="E427" t="s">
        <v>34</v>
      </c>
      <c r="F427">
        <v>1099</v>
      </c>
      <c r="G427" t="str">
        <f>_xlfn.XLOOKUP(Table1[[#This Row],[Department]],Table6[Department],Table6[Id_Departement])</f>
        <v>D002</v>
      </c>
      <c r="H427" t="s">
        <v>38</v>
      </c>
      <c r="I427">
        <v>29</v>
      </c>
      <c r="J427" t="str">
        <f>_xlfn.XLOOKUP(Table1[[#This Row],[Education]],Table8[Education],Table8[Id_Education])</f>
        <v>E004</v>
      </c>
      <c r="K427">
        <v>4</v>
      </c>
      <c r="L427" t="str">
        <f>_xlfn.XLOOKUP(Table1[[#This Row],[EducationField]],Table7[EducationField],Table7[Id_EducationField])</f>
        <v>EF001</v>
      </c>
      <c r="M427" t="s">
        <v>40</v>
      </c>
      <c r="N427" t="str">
        <f>_xlfn.XLOOKUP(Table1[[#This Row],[EmployeeNumber]],Table4[EmployeeNumber],Table4[Id_Employee])</f>
        <v>EMP00426</v>
      </c>
      <c r="O427">
        <v>569</v>
      </c>
      <c r="P427" t="str">
        <f>_xlfn.XLOOKUP(Table1[[#This Row],[EnvironmentSatisfaction]],Table9[EnvironmentSatisfaction],Table9[Id_EnviromentSatisfaction])</f>
        <v>ES002</v>
      </c>
      <c r="Q427">
        <v>2</v>
      </c>
      <c r="R427" t="str">
        <f>_xlfn.XLOOKUP(Table1[[#This Row],[EnvironmentSatisfaction]],Table9[EnvironmentSatisfaction],Table9[Deskripsi])</f>
        <v>Medium</v>
      </c>
      <c r="S427" t="str">
        <f>_xlfn.XLOOKUP(Table1[[#This Row],[Gender]],Table10[Gender],Table10[Id_Gender])</f>
        <v>G002</v>
      </c>
      <c r="T427" t="s">
        <v>46</v>
      </c>
      <c r="U427">
        <v>88</v>
      </c>
      <c r="V427" t="str">
        <f>_xlfn.XLOOKUP(Table1[[#This Row],[JobInvolvement]],Table11[JobInvolvement],Table11[Id_JobInvolvement])</f>
        <v>JI002</v>
      </c>
      <c r="W427">
        <v>2</v>
      </c>
      <c r="X427" t="str">
        <f>_xlfn.XLOOKUP(Table1[[#This Row],[JobLevel]],Table12[JobLevel],Table12[Id_JobLevel])</f>
        <v>JL004</v>
      </c>
      <c r="Y427">
        <v>4</v>
      </c>
      <c r="Z427" t="str">
        <f>_xlfn.XLOOKUP(Table1[[#This Row],[JobRole]],Table13[JobRole],Table13[Id_JobRole])</f>
        <v>JR006</v>
      </c>
      <c r="AA427" t="s">
        <v>52</v>
      </c>
      <c r="AB427" t="str">
        <f>_xlfn.XLOOKUP(Table1[[#This Row],[JobSatisfaction]],Table14[JobSatisfaction],Table14[Id_JobSatisfaction])</f>
        <v>JS003</v>
      </c>
      <c r="AC427">
        <v>3</v>
      </c>
      <c r="AD427" t="str">
        <f>_xlfn.XLOOKUP(Table1[[#This Row],[JobSatisfaction]],Table14[JobSatisfaction],Table14[Deskripsi])</f>
        <v>High</v>
      </c>
      <c r="AE427" t="str">
        <f>_xlfn.XLOOKUP(Table1[[#This Row],[MaritalStatus]],Table15[MaritalStatus],Table15[Id_MaritalStatus])</f>
        <v>MS002</v>
      </c>
      <c r="AF427" t="s">
        <v>56</v>
      </c>
      <c r="AG427">
        <v>17046</v>
      </c>
      <c r="AH427">
        <v>9314</v>
      </c>
      <c r="AI427">
        <v>0</v>
      </c>
      <c r="AJ427" t="str">
        <f>_xlfn.XLOOKUP(Table1[[#This Row],[OverTime]],Table16[OverTime],Table16[Id_OverTime])</f>
        <v>OT002</v>
      </c>
      <c r="AK427" t="s">
        <v>33</v>
      </c>
      <c r="AL427">
        <v>15</v>
      </c>
      <c r="AM427" t="str">
        <f>_xlfn.XLOOKUP(Table1[[#This Row],[PerformanceRating]],Table17[PerformanceRating],Table17[Id_PerformanceRating])</f>
        <v>PR003</v>
      </c>
      <c r="AN427">
        <v>3</v>
      </c>
      <c r="AO427" t="str">
        <f>_xlfn.XLOOKUP(Table1[[#This Row],[PerformanceRating]],Table17[PerformanceRating],Table17[Deskripsi])</f>
        <v>Excellent</v>
      </c>
      <c r="AP427" t="str">
        <f>_xlfn.XLOOKUP(Table1[[#This Row],[RelationshipSatisfaction]],Table18[RelationshipSatisfaction],Table18[Id_RelationshipSatisfaction])</f>
        <v>RS002</v>
      </c>
      <c r="AQ427">
        <v>2</v>
      </c>
      <c r="AR427" t="str">
        <f>_xlfn.XLOOKUP(Table1[[#This Row],[RelationshipSatisfaction]],Table18[RelationshipSatisfaction],Table18[Deskripsi])</f>
        <v>Medium</v>
      </c>
      <c r="AS427" t="str">
        <f>_xlfn.XLOOKUP(Table1[[#This Row],[StockOptionLevel]],Table19[StockOptionLevel],Table19[Id_StockOptionLevel])</f>
        <v>SOL002</v>
      </c>
      <c r="AT427">
        <v>1</v>
      </c>
      <c r="AU427" t="str">
        <f>_xlfn.XLOOKUP(Table1[[#This Row],[StockOptionLevel]],Table19[StockOptionLevel],Table19[Deskripsi])</f>
        <v>Standard</v>
      </c>
      <c r="AV427">
        <v>28</v>
      </c>
      <c r="AW427">
        <v>2</v>
      </c>
      <c r="AX427" t="str">
        <f>_xlfn.XLOOKUP(Table1[[#This Row],[WorkLifeBalance]],Table20[WorkLifeBalance],Table20[Id_WorkLifeBalance])</f>
        <v>WLB002</v>
      </c>
      <c r="AY427">
        <v>3</v>
      </c>
      <c r="AZ427" t="str">
        <f>_xlfn.XLOOKUP(Table1[[#This Row],[WorkLifeBalance]],Table20[WorkLifeBalance],Table20[Deskripsi])</f>
        <v>Good</v>
      </c>
      <c r="BA427">
        <v>27</v>
      </c>
      <c r="BB427">
        <v>10</v>
      </c>
      <c r="BC427">
        <v>15</v>
      </c>
      <c r="BD427">
        <v>7</v>
      </c>
    </row>
    <row r="428" spans="1:56" x14ac:dyDescent="0.25">
      <c r="A428">
        <v>30</v>
      </c>
      <c r="B428" t="str">
        <f>_xlfn.XLOOKUP(Table1[[#This Row],[Attrition]],Table2[Attrition],Table2[Id_Attrition])</f>
        <v>A002</v>
      </c>
      <c r="C428" t="s">
        <v>33</v>
      </c>
      <c r="D428" t="str">
        <f>_xlfn.XLOOKUP(Table1[[#This Row],[BusinessTravel]],Table5[BusinessTravel],Table5[Id_BusinessTravel])</f>
        <v>BS003</v>
      </c>
      <c r="E428" t="s">
        <v>36</v>
      </c>
      <c r="F428">
        <v>1116</v>
      </c>
      <c r="G428" t="str">
        <f>_xlfn.XLOOKUP(Table1[[#This Row],[Department]],Table6[Department],Table6[Id_Departement])</f>
        <v>D002</v>
      </c>
      <c r="H428" t="s">
        <v>38</v>
      </c>
      <c r="I428">
        <v>2</v>
      </c>
      <c r="J428" t="str">
        <f>_xlfn.XLOOKUP(Table1[[#This Row],[Education]],Table8[Education],Table8[Id_Education])</f>
        <v>E003</v>
      </c>
      <c r="K428">
        <v>3</v>
      </c>
      <c r="L428" t="str">
        <f>_xlfn.XLOOKUP(Table1[[#This Row],[EducationField]],Table7[EducationField],Table7[Id_EducationField])</f>
        <v>EF003</v>
      </c>
      <c r="M428" t="s">
        <v>42</v>
      </c>
      <c r="N428" t="str">
        <f>_xlfn.XLOOKUP(Table1[[#This Row],[EmployeeNumber]],Table4[EmployeeNumber],Table4[Id_Employee])</f>
        <v>EMP00427</v>
      </c>
      <c r="O428">
        <v>571</v>
      </c>
      <c r="P428" t="str">
        <f>_xlfn.XLOOKUP(Table1[[#This Row],[EnvironmentSatisfaction]],Table9[EnvironmentSatisfaction],Table9[Id_EnviromentSatisfaction])</f>
        <v>ES003</v>
      </c>
      <c r="Q428">
        <v>3</v>
      </c>
      <c r="R428" t="str">
        <f>_xlfn.XLOOKUP(Table1[[#This Row],[EnvironmentSatisfaction]],Table9[EnvironmentSatisfaction],Table9[Deskripsi])</f>
        <v>High</v>
      </c>
      <c r="S428" t="str">
        <f>_xlfn.XLOOKUP(Table1[[#This Row],[Gender]],Table10[Gender],Table10[Id_Gender])</f>
        <v>G001</v>
      </c>
      <c r="T428" t="s">
        <v>45</v>
      </c>
      <c r="U428">
        <v>49</v>
      </c>
      <c r="V428" t="str">
        <f>_xlfn.XLOOKUP(Table1[[#This Row],[JobInvolvement]],Table11[JobInvolvement],Table11[Id_JobInvolvement])</f>
        <v>JI003</v>
      </c>
      <c r="W428">
        <v>3</v>
      </c>
      <c r="X428" t="str">
        <f>_xlfn.XLOOKUP(Table1[[#This Row],[JobLevel]],Table12[JobLevel],Table12[Id_JobLevel])</f>
        <v>JL001</v>
      </c>
      <c r="Y428">
        <v>1</v>
      </c>
      <c r="Z428" t="str">
        <f>_xlfn.XLOOKUP(Table1[[#This Row],[JobRole]],Table13[JobRole],Table13[Id_JobRole])</f>
        <v>JR003</v>
      </c>
      <c r="AA428" t="s">
        <v>49</v>
      </c>
      <c r="AB428" t="str">
        <f>_xlfn.XLOOKUP(Table1[[#This Row],[JobSatisfaction]],Table14[JobSatisfaction],Table14[Id_JobSatisfaction])</f>
        <v>JS004</v>
      </c>
      <c r="AC428">
        <v>4</v>
      </c>
      <c r="AD428" t="str">
        <f>_xlfn.XLOOKUP(Table1[[#This Row],[JobSatisfaction]],Table14[JobSatisfaction],Table14[Deskripsi])</f>
        <v>Very High</v>
      </c>
      <c r="AE428" t="str">
        <f>_xlfn.XLOOKUP(Table1[[#This Row],[MaritalStatus]],Table15[MaritalStatus],Table15[Id_MaritalStatus])</f>
        <v>MS001</v>
      </c>
      <c r="AF428" t="s">
        <v>55</v>
      </c>
      <c r="AG428">
        <v>2564</v>
      </c>
      <c r="AH428">
        <v>7181</v>
      </c>
      <c r="AI428">
        <v>0</v>
      </c>
      <c r="AJ428" t="str">
        <f>_xlfn.XLOOKUP(Table1[[#This Row],[OverTime]],Table16[OverTime],Table16[Id_OverTime])</f>
        <v>OT002</v>
      </c>
      <c r="AK428" t="s">
        <v>33</v>
      </c>
      <c r="AL428">
        <v>14</v>
      </c>
      <c r="AM428" t="str">
        <f>_xlfn.XLOOKUP(Table1[[#This Row],[PerformanceRating]],Table17[PerformanceRating],Table17[Id_PerformanceRating])</f>
        <v>PR003</v>
      </c>
      <c r="AN428">
        <v>3</v>
      </c>
      <c r="AO428" t="str">
        <f>_xlfn.XLOOKUP(Table1[[#This Row],[PerformanceRating]],Table17[PerformanceRating],Table17[Deskripsi])</f>
        <v>Excellent</v>
      </c>
      <c r="AP428" t="str">
        <f>_xlfn.XLOOKUP(Table1[[#This Row],[RelationshipSatisfaction]],Table18[RelationshipSatisfaction],Table18[Id_RelationshipSatisfaction])</f>
        <v>RS003</v>
      </c>
      <c r="AQ428">
        <v>3</v>
      </c>
      <c r="AR428" t="str">
        <f>_xlfn.XLOOKUP(Table1[[#This Row],[RelationshipSatisfaction]],Table18[RelationshipSatisfaction],Table18[Deskripsi])</f>
        <v>High</v>
      </c>
      <c r="AS428" t="str">
        <f>_xlfn.XLOOKUP(Table1[[#This Row],[StockOptionLevel]],Table19[StockOptionLevel],Table19[Id_StockOptionLevel])</f>
        <v>SOL001</v>
      </c>
      <c r="AT428">
        <v>0</v>
      </c>
      <c r="AU428" t="str">
        <f>_xlfn.XLOOKUP(Table1[[#This Row],[StockOptionLevel]],Table19[StockOptionLevel],Table19[Deskripsi])</f>
        <v>Non-Eligible</v>
      </c>
      <c r="AV428">
        <v>12</v>
      </c>
      <c r="AW428">
        <v>2</v>
      </c>
      <c r="AX428" t="str">
        <f>_xlfn.XLOOKUP(Table1[[#This Row],[WorkLifeBalance]],Table20[WorkLifeBalance],Table20[Id_WorkLifeBalance])</f>
        <v>WLB003</v>
      </c>
      <c r="AY428">
        <v>2</v>
      </c>
      <c r="AZ428" t="str">
        <f>_xlfn.XLOOKUP(Table1[[#This Row],[WorkLifeBalance]],Table20[WorkLifeBalance],Table20[Deskripsi])</f>
        <v>Better</v>
      </c>
      <c r="BA428">
        <v>11</v>
      </c>
      <c r="BB428">
        <v>7</v>
      </c>
      <c r="BC428">
        <v>6</v>
      </c>
      <c r="BD428">
        <v>7</v>
      </c>
    </row>
    <row r="429" spans="1:56" x14ac:dyDescent="0.25">
      <c r="A429">
        <v>60</v>
      </c>
      <c r="B429" t="str">
        <f>_xlfn.XLOOKUP(Table1[[#This Row],[Attrition]],Table2[Attrition],Table2[Id_Attrition])</f>
        <v>A002</v>
      </c>
      <c r="C429" t="s">
        <v>33</v>
      </c>
      <c r="D429" t="str">
        <f>_xlfn.XLOOKUP(Table1[[#This Row],[BusinessTravel]],Table5[BusinessTravel],Table5[Id_BusinessTravel])</f>
        <v>BS002</v>
      </c>
      <c r="E429" t="s">
        <v>35</v>
      </c>
      <c r="F429">
        <v>1499</v>
      </c>
      <c r="G429" t="str">
        <f>_xlfn.XLOOKUP(Table1[[#This Row],[Department]],Table6[Department],Table6[Id_Departement])</f>
        <v>D001</v>
      </c>
      <c r="H429" t="s">
        <v>37</v>
      </c>
      <c r="I429">
        <v>28</v>
      </c>
      <c r="J429" t="str">
        <f>_xlfn.XLOOKUP(Table1[[#This Row],[Education]],Table8[Education],Table8[Id_Education])</f>
        <v>E003</v>
      </c>
      <c r="K429">
        <v>3</v>
      </c>
      <c r="L429" t="str">
        <f>_xlfn.XLOOKUP(Table1[[#This Row],[EducationField]],Table7[EducationField],Table7[Id_EducationField])</f>
        <v>EF004</v>
      </c>
      <c r="M429" t="s">
        <v>43</v>
      </c>
      <c r="N429" t="str">
        <f>_xlfn.XLOOKUP(Table1[[#This Row],[EmployeeNumber]],Table4[EmployeeNumber],Table4[Id_Employee])</f>
        <v>EMP00428</v>
      </c>
      <c r="O429">
        <v>573</v>
      </c>
      <c r="P429" t="str">
        <f>_xlfn.XLOOKUP(Table1[[#This Row],[EnvironmentSatisfaction]],Table9[EnvironmentSatisfaction],Table9[Id_EnviromentSatisfaction])</f>
        <v>ES003</v>
      </c>
      <c r="Q429">
        <v>3</v>
      </c>
      <c r="R429" t="str">
        <f>_xlfn.XLOOKUP(Table1[[#This Row],[EnvironmentSatisfaction]],Table9[EnvironmentSatisfaction],Table9[Deskripsi])</f>
        <v>High</v>
      </c>
      <c r="S429" t="str">
        <f>_xlfn.XLOOKUP(Table1[[#This Row],[Gender]],Table10[Gender],Table10[Id_Gender])</f>
        <v>G001</v>
      </c>
      <c r="T429" t="s">
        <v>45</v>
      </c>
      <c r="U429">
        <v>80</v>
      </c>
      <c r="V429" t="str">
        <f>_xlfn.XLOOKUP(Table1[[#This Row],[JobInvolvement]],Table11[JobInvolvement],Table11[Id_JobInvolvement])</f>
        <v>JI002</v>
      </c>
      <c r="W429">
        <v>2</v>
      </c>
      <c r="X429" t="str">
        <f>_xlfn.XLOOKUP(Table1[[#This Row],[JobLevel]],Table12[JobLevel],Table12[Id_JobLevel])</f>
        <v>JL003</v>
      </c>
      <c r="Y429">
        <v>3</v>
      </c>
      <c r="Z429" t="str">
        <f>_xlfn.XLOOKUP(Table1[[#This Row],[JobRole]],Table13[JobRole],Table13[Id_JobRole])</f>
        <v>JR001</v>
      </c>
      <c r="AA429" t="s">
        <v>47</v>
      </c>
      <c r="AB429" t="str">
        <f>_xlfn.XLOOKUP(Table1[[#This Row],[JobSatisfaction]],Table14[JobSatisfaction],Table14[Id_JobSatisfaction])</f>
        <v>JS001</v>
      </c>
      <c r="AC429">
        <v>1</v>
      </c>
      <c r="AD429" t="str">
        <f>_xlfn.XLOOKUP(Table1[[#This Row],[JobSatisfaction]],Table14[JobSatisfaction],Table14[Deskripsi])</f>
        <v>Low</v>
      </c>
      <c r="AE429" t="str">
        <f>_xlfn.XLOOKUP(Table1[[#This Row],[MaritalStatus]],Table15[MaritalStatus],Table15[Id_MaritalStatus])</f>
        <v>MS002</v>
      </c>
      <c r="AF429" t="s">
        <v>56</v>
      </c>
      <c r="AG429">
        <v>10266</v>
      </c>
      <c r="AH429">
        <v>2845</v>
      </c>
      <c r="AI429">
        <v>4</v>
      </c>
      <c r="AJ429" t="str">
        <f>_xlfn.XLOOKUP(Table1[[#This Row],[OverTime]],Table16[OverTime],Table16[Id_OverTime])</f>
        <v>OT002</v>
      </c>
      <c r="AK429" t="s">
        <v>33</v>
      </c>
      <c r="AL429">
        <v>19</v>
      </c>
      <c r="AM429" t="str">
        <f>_xlfn.XLOOKUP(Table1[[#This Row],[PerformanceRating]],Table17[PerformanceRating],Table17[Id_PerformanceRating])</f>
        <v>PR003</v>
      </c>
      <c r="AN429">
        <v>3</v>
      </c>
      <c r="AO429" t="str">
        <f>_xlfn.XLOOKUP(Table1[[#This Row],[PerformanceRating]],Table17[PerformanceRating],Table17[Deskripsi])</f>
        <v>Excellent</v>
      </c>
      <c r="AP429" t="str">
        <f>_xlfn.XLOOKUP(Table1[[#This Row],[RelationshipSatisfaction]],Table18[RelationshipSatisfaction],Table18[Id_RelationshipSatisfaction])</f>
        <v>RS004</v>
      </c>
      <c r="AQ429">
        <v>4</v>
      </c>
      <c r="AR429" t="str">
        <f>_xlfn.XLOOKUP(Table1[[#This Row],[RelationshipSatisfaction]],Table18[RelationshipSatisfaction],Table18[Deskripsi])</f>
        <v>Very High</v>
      </c>
      <c r="AS429" t="str">
        <f>_xlfn.XLOOKUP(Table1[[#This Row],[StockOptionLevel]],Table19[StockOptionLevel],Table19[Id_StockOptionLevel])</f>
        <v>SOL001</v>
      </c>
      <c r="AT429">
        <v>0</v>
      </c>
      <c r="AU429" t="str">
        <f>_xlfn.XLOOKUP(Table1[[#This Row],[StockOptionLevel]],Table19[StockOptionLevel],Table19[Deskripsi])</f>
        <v>Non-Eligible</v>
      </c>
      <c r="AV429">
        <v>22</v>
      </c>
      <c r="AW429">
        <v>5</v>
      </c>
      <c r="AX429" t="str">
        <f>_xlfn.XLOOKUP(Table1[[#This Row],[WorkLifeBalance]],Table20[WorkLifeBalance],Table20[Id_WorkLifeBalance])</f>
        <v>WLB004</v>
      </c>
      <c r="AY429">
        <v>4</v>
      </c>
      <c r="AZ429" t="str">
        <f>_xlfn.XLOOKUP(Table1[[#This Row],[WorkLifeBalance]],Table20[WorkLifeBalance],Table20[Deskripsi])</f>
        <v>Best</v>
      </c>
      <c r="BA429">
        <v>18</v>
      </c>
      <c r="BB429">
        <v>13</v>
      </c>
      <c r="BC429">
        <v>13</v>
      </c>
      <c r="BD429">
        <v>11</v>
      </c>
    </row>
    <row r="430" spans="1:56" x14ac:dyDescent="0.25">
      <c r="A430">
        <v>47</v>
      </c>
      <c r="B430" t="str">
        <f>_xlfn.XLOOKUP(Table1[[#This Row],[Attrition]],Table2[Attrition],Table2[Id_Attrition])</f>
        <v>A002</v>
      </c>
      <c r="C430" t="s">
        <v>33</v>
      </c>
      <c r="D430" t="str">
        <f>_xlfn.XLOOKUP(Table1[[#This Row],[BusinessTravel]],Table5[BusinessTravel],Table5[Id_BusinessTravel])</f>
        <v>BS001</v>
      </c>
      <c r="E430" t="s">
        <v>34</v>
      </c>
      <c r="F430">
        <v>983</v>
      </c>
      <c r="G430" t="str">
        <f>_xlfn.XLOOKUP(Table1[[#This Row],[Department]],Table6[Department],Table6[Id_Departement])</f>
        <v>D002</v>
      </c>
      <c r="H430" t="s">
        <v>38</v>
      </c>
      <c r="I430">
        <v>2</v>
      </c>
      <c r="J430" t="str">
        <f>_xlfn.XLOOKUP(Table1[[#This Row],[Education]],Table8[Education],Table8[Id_Education])</f>
        <v>E002</v>
      </c>
      <c r="K430">
        <v>2</v>
      </c>
      <c r="L430" t="str">
        <f>_xlfn.XLOOKUP(Table1[[#This Row],[EducationField]],Table7[EducationField],Table7[Id_EducationField])</f>
        <v>EF003</v>
      </c>
      <c r="M430" t="s">
        <v>42</v>
      </c>
      <c r="N430" t="str">
        <f>_xlfn.XLOOKUP(Table1[[#This Row],[EmployeeNumber]],Table4[EmployeeNumber],Table4[Id_Employee])</f>
        <v>EMP00429</v>
      </c>
      <c r="O430">
        <v>574</v>
      </c>
      <c r="P430" t="str">
        <f>_xlfn.XLOOKUP(Table1[[#This Row],[EnvironmentSatisfaction]],Table9[EnvironmentSatisfaction],Table9[Id_EnviromentSatisfaction])</f>
        <v>ES001</v>
      </c>
      <c r="Q430">
        <v>1</v>
      </c>
      <c r="R430" t="str">
        <f>_xlfn.XLOOKUP(Table1[[#This Row],[EnvironmentSatisfaction]],Table9[EnvironmentSatisfaction],Table9[Deskripsi])</f>
        <v>Low</v>
      </c>
      <c r="S430" t="str">
        <f>_xlfn.XLOOKUP(Table1[[#This Row],[Gender]],Table10[Gender],Table10[Id_Gender])</f>
        <v>G001</v>
      </c>
      <c r="T430" t="s">
        <v>45</v>
      </c>
      <c r="U430">
        <v>65</v>
      </c>
      <c r="V430" t="str">
        <f>_xlfn.XLOOKUP(Table1[[#This Row],[JobInvolvement]],Table11[JobInvolvement],Table11[Id_JobInvolvement])</f>
        <v>JI003</v>
      </c>
      <c r="W430">
        <v>3</v>
      </c>
      <c r="X430" t="str">
        <f>_xlfn.XLOOKUP(Table1[[#This Row],[JobLevel]],Table12[JobLevel],Table12[Id_JobLevel])</f>
        <v>JL002</v>
      </c>
      <c r="Y430">
        <v>2</v>
      </c>
      <c r="Z430" t="str">
        <f>_xlfn.XLOOKUP(Table1[[#This Row],[JobRole]],Table13[JobRole],Table13[Id_JobRole])</f>
        <v>JR004</v>
      </c>
      <c r="AA430" t="s">
        <v>50</v>
      </c>
      <c r="AB430" t="str">
        <f>_xlfn.XLOOKUP(Table1[[#This Row],[JobSatisfaction]],Table14[JobSatisfaction],Table14[Id_JobSatisfaction])</f>
        <v>JS004</v>
      </c>
      <c r="AC430">
        <v>4</v>
      </c>
      <c r="AD430" t="str">
        <f>_xlfn.XLOOKUP(Table1[[#This Row],[JobSatisfaction]],Table14[JobSatisfaction],Table14[Deskripsi])</f>
        <v>Very High</v>
      </c>
      <c r="AE430" t="str">
        <f>_xlfn.XLOOKUP(Table1[[#This Row],[MaritalStatus]],Table15[MaritalStatus],Table15[Id_MaritalStatus])</f>
        <v>MS003</v>
      </c>
      <c r="AF430" t="s">
        <v>57</v>
      </c>
      <c r="AG430">
        <v>5070</v>
      </c>
      <c r="AH430">
        <v>7389</v>
      </c>
      <c r="AI430">
        <v>5</v>
      </c>
      <c r="AJ430" t="str">
        <f>_xlfn.XLOOKUP(Table1[[#This Row],[OverTime]],Table16[OverTime],Table16[Id_OverTime])</f>
        <v>OT002</v>
      </c>
      <c r="AK430" t="s">
        <v>33</v>
      </c>
      <c r="AL430">
        <v>13</v>
      </c>
      <c r="AM430" t="str">
        <f>_xlfn.XLOOKUP(Table1[[#This Row],[PerformanceRating]],Table17[PerformanceRating],Table17[Id_PerformanceRating])</f>
        <v>PR003</v>
      </c>
      <c r="AN430">
        <v>3</v>
      </c>
      <c r="AO430" t="str">
        <f>_xlfn.XLOOKUP(Table1[[#This Row],[PerformanceRating]],Table17[PerformanceRating],Table17[Deskripsi])</f>
        <v>Excellent</v>
      </c>
      <c r="AP430" t="str">
        <f>_xlfn.XLOOKUP(Table1[[#This Row],[RelationshipSatisfaction]],Table18[RelationshipSatisfaction],Table18[Id_RelationshipSatisfaction])</f>
        <v>RS003</v>
      </c>
      <c r="AQ430">
        <v>3</v>
      </c>
      <c r="AR430" t="str">
        <f>_xlfn.XLOOKUP(Table1[[#This Row],[RelationshipSatisfaction]],Table18[RelationshipSatisfaction],Table18[Deskripsi])</f>
        <v>High</v>
      </c>
      <c r="AS430" t="str">
        <f>_xlfn.XLOOKUP(Table1[[#This Row],[StockOptionLevel]],Table19[StockOptionLevel],Table19[Id_StockOptionLevel])</f>
        <v>SOL004</v>
      </c>
      <c r="AT430">
        <v>3</v>
      </c>
      <c r="AU430" t="str">
        <f>_xlfn.XLOOKUP(Table1[[#This Row],[StockOptionLevel]],Table19[StockOptionLevel],Table19[Deskripsi])</f>
        <v>Senior/Executive</v>
      </c>
      <c r="AV430">
        <v>20</v>
      </c>
      <c r="AW430">
        <v>2</v>
      </c>
      <c r="AX430" t="str">
        <f>_xlfn.XLOOKUP(Table1[[#This Row],[WorkLifeBalance]],Table20[WorkLifeBalance],Table20[Id_WorkLifeBalance])</f>
        <v>WLB002</v>
      </c>
      <c r="AY430">
        <v>3</v>
      </c>
      <c r="AZ430" t="str">
        <f>_xlfn.XLOOKUP(Table1[[#This Row],[WorkLifeBalance]],Table20[WorkLifeBalance],Table20[Deskripsi])</f>
        <v>Good</v>
      </c>
      <c r="BA430">
        <v>5</v>
      </c>
      <c r="BB430">
        <v>0</v>
      </c>
      <c r="BC430">
        <v>0</v>
      </c>
      <c r="BD430">
        <v>4</v>
      </c>
    </row>
    <row r="431" spans="1:56" x14ac:dyDescent="0.25">
      <c r="A431">
        <v>46</v>
      </c>
      <c r="B431" t="str">
        <f>_xlfn.XLOOKUP(Table1[[#This Row],[Attrition]],Table2[Attrition],Table2[Id_Attrition])</f>
        <v>A002</v>
      </c>
      <c r="C431" t="s">
        <v>33</v>
      </c>
      <c r="D431" t="str">
        <f>_xlfn.XLOOKUP(Table1[[#This Row],[BusinessTravel]],Table5[BusinessTravel],Table5[Id_BusinessTravel])</f>
        <v>BS001</v>
      </c>
      <c r="E431" t="s">
        <v>34</v>
      </c>
      <c r="F431">
        <v>1009</v>
      </c>
      <c r="G431" t="str">
        <f>_xlfn.XLOOKUP(Table1[[#This Row],[Department]],Table6[Department],Table6[Id_Departement])</f>
        <v>D002</v>
      </c>
      <c r="H431" t="s">
        <v>38</v>
      </c>
      <c r="I431">
        <v>2</v>
      </c>
      <c r="J431" t="str">
        <f>_xlfn.XLOOKUP(Table1[[#This Row],[Education]],Table8[Education],Table8[Id_Education])</f>
        <v>E003</v>
      </c>
      <c r="K431">
        <v>3</v>
      </c>
      <c r="L431" t="str">
        <f>_xlfn.XLOOKUP(Table1[[#This Row],[EducationField]],Table7[EducationField],Table7[Id_EducationField])</f>
        <v>EF001</v>
      </c>
      <c r="M431" t="s">
        <v>40</v>
      </c>
      <c r="N431" t="str">
        <f>_xlfn.XLOOKUP(Table1[[#This Row],[EmployeeNumber]],Table4[EmployeeNumber],Table4[Id_Employee])</f>
        <v>EMP00430</v>
      </c>
      <c r="O431">
        <v>575</v>
      </c>
      <c r="P431" t="str">
        <f>_xlfn.XLOOKUP(Table1[[#This Row],[EnvironmentSatisfaction]],Table9[EnvironmentSatisfaction],Table9[Id_EnviromentSatisfaction])</f>
        <v>ES001</v>
      </c>
      <c r="Q431">
        <v>1</v>
      </c>
      <c r="R431" t="str">
        <f>_xlfn.XLOOKUP(Table1[[#This Row],[EnvironmentSatisfaction]],Table9[EnvironmentSatisfaction],Table9[Deskripsi])</f>
        <v>Low</v>
      </c>
      <c r="S431" t="str">
        <f>_xlfn.XLOOKUP(Table1[[#This Row],[Gender]],Table10[Gender],Table10[Id_Gender])</f>
        <v>G002</v>
      </c>
      <c r="T431" t="s">
        <v>46</v>
      </c>
      <c r="U431">
        <v>51</v>
      </c>
      <c r="V431" t="str">
        <f>_xlfn.XLOOKUP(Table1[[#This Row],[JobInvolvement]],Table11[JobInvolvement],Table11[Id_JobInvolvement])</f>
        <v>JI003</v>
      </c>
      <c r="W431">
        <v>3</v>
      </c>
      <c r="X431" t="str">
        <f>_xlfn.XLOOKUP(Table1[[#This Row],[JobLevel]],Table12[JobLevel],Table12[Id_JobLevel])</f>
        <v>JL004</v>
      </c>
      <c r="Y431">
        <v>4</v>
      </c>
      <c r="Z431" t="str">
        <f>_xlfn.XLOOKUP(Table1[[#This Row],[JobRole]],Table13[JobRole],Table13[Id_JobRole])</f>
        <v>JR008</v>
      </c>
      <c r="AA431" t="s">
        <v>54</v>
      </c>
      <c r="AB431" t="str">
        <f>_xlfn.XLOOKUP(Table1[[#This Row],[JobSatisfaction]],Table14[JobSatisfaction],Table14[Id_JobSatisfaction])</f>
        <v>JS003</v>
      </c>
      <c r="AC431">
        <v>3</v>
      </c>
      <c r="AD431" t="str">
        <f>_xlfn.XLOOKUP(Table1[[#This Row],[JobSatisfaction]],Table14[JobSatisfaction],Table14[Deskripsi])</f>
        <v>High</v>
      </c>
      <c r="AE431" t="str">
        <f>_xlfn.XLOOKUP(Table1[[#This Row],[MaritalStatus]],Table15[MaritalStatus],Table15[Id_MaritalStatus])</f>
        <v>MS002</v>
      </c>
      <c r="AF431" t="s">
        <v>56</v>
      </c>
      <c r="AG431">
        <v>17861</v>
      </c>
      <c r="AH431">
        <v>2288</v>
      </c>
      <c r="AI431">
        <v>6</v>
      </c>
      <c r="AJ431" t="str">
        <f>_xlfn.XLOOKUP(Table1[[#This Row],[OverTime]],Table16[OverTime],Table16[Id_OverTime])</f>
        <v>OT002</v>
      </c>
      <c r="AK431" t="s">
        <v>33</v>
      </c>
      <c r="AL431">
        <v>13</v>
      </c>
      <c r="AM431" t="str">
        <f>_xlfn.XLOOKUP(Table1[[#This Row],[PerformanceRating]],Table17[PerformanceRating],Table17[Id_PerformanceRating])</f>
        <v>PR003</v>
      </c>
      <c r="AN431">
        <v>3</v>
      </c>
      <c r="AO431" t="str">
        <f>_xlfn.XLOOKUP(Table1[[#This Row],[PerformanceRating]],Table17[PerformanceRating],Table17[Deskripsi])</f>
        <v>Excellent</v>
      </c>
      <c r="AP431" t="str">
        <f>_xlfn.XLOOKUP(Table1[[#This Row],[RelationshipSatisfaction]],Table18[RelationshipSatisfaction],Table18[Id_RelationshipSatisfaction])</f>
        <v>RS003</v>
      </c>
      <c r="AQ431">
        <v>3</v>
      </c>
      <c r="AR431" t="str">
        <f>_xlfn.XLOOKUP(Table1[[#This Row],[RelationshipSatisfaction]],Table18[RelationshipSatisfaction],Table18[Deskripsi])</f>
        <v>High</v>
      </c>
      <c r="AS431" t="str">
        <f>_xlfn.XLOOKUP(Table1[[#This Row],[StockOptionLevel]],Table19[StockOptionLevel],Table19[Id_StockOptionLevel])</f>
        <v>SOL001</v>
      </c>
      <c r="AT431">
        <v>0</v>
      </c>
      <c r="AU431" t="str">
        <f>_xlfn.XLOOKUP(Table1[[#This Row],[StockOptionLevel]],Table19[StockOptionLevel],Table19[Deskripsi])</f>
        <v>Non-Eligible</v>
      </c>
      <c r="AV431">
        <v>26</v>
      </c>
      <c r="AW431">
        <v>2</v>
      </c>
      <c r="AX431" t="str">
        <f>_xlfn.XLOOKUP(Table1[[#This Row],[WorkLifeBalance]],Table20[WorkLifeBalance],Table20[Id_WorkLifeBalance])</f>
        <v>WLB001</v>
      </c>
      <c r="AY431">
        <v>1</v>
      </c>
      <c r="AZ431" t="str">
        <f>_xlfn.XLOOKUP(Table1[[#This Row],[WorkLifeBalance]],Table20[WorkLifeBalance],Table20[Deskripsi])</f>
        <v>Bad</v>
      </c>
      <c r="BA431">
        <v>3</v>
      </c>
      <c r="BB431">
        <v>2</v>
      </c>
      <c r="BC431">
        <v>0</v>
      </c>
      <c r="BD431">
        <v>1</v>
      </c>
    </row>
    <row r="432" spans="1:56" x14ac:dyDescent="0.25">
      <c r="A432">
        <v>35</v>
      </c>
      <c r="B432" t="str">
        <f>_xlfn.XLOOKUP(Table1[[#This Row],[Attrition]],Table2[Attrition],Table2[Id_Attrition])</f>
        <v>A002</v>
      </c>
      <c r="C432" t="s">
        <v>33</v>
      </c>
      <c r="D432" t="str">
        <f>_xlfn.XLOOKUP(Table1[[#This Row],[BusinessTravel]],Table5[BusinessTravel],Table5[Id_BusinessTravel])</f>
        <v>BS001</v>
      </c>
      <c r="E432" t="s">
        <v>34</v>
      </c>
      <c r="F432">
        <v>144</v>
      </c>
      <c r="G432" t="str">
        <f>_xlfn.XLOOKUP(Table1[[#This Row],[Department]],Table6[Department],Table6[Id_Departement])</f>
        <v>D002</v>
      </c>
      <c r="H432" t="s">
        <v>38</v>
      </c>
      <c r="I432">
        <v>22</v>
      </c>
      <c r="J432" t="str">
        <f>_xlfn.XLOOKUP(Table1[[#This Row],[Education]],Table8[Education],Table8[Id_Education])</f>
        <v>E003</v>
      </c>
      <c r="K432">
        <v>3</v>
      </c>
      <c r="L432" t="str">
        <f>_xlfn.XLOOKUP(Table1[[#This Row],[EducationField]],Table7[EducationField],Table7[Id_EducationField])</f>
        <v>EF001</v>
      </c>
      <c r="M432" t="s">
        <v>40</v>
      </c>
      <c r="N432" t="str">
        <f>_xlfn.XLOOKUP(Table1[[#This Row],[EmployeeNumber]],Table4[EmployeeNumber],Table4[Id_Employee])</f>
        <v>EMP00431</v>
      </c>
      <c r="O432">
        <v>577</v>
      </c>
      <c r="P432" t="str">
        <f>_xlfn.XLOOKUP(Table1[[#This Row],[EnvironmentSatisfaction]],Table9[EnvironmentSatisfaction],Table9[Id_EnviromentSatisfaction])</f>
        <v>ES004</v>
      </c>
      <c r="Q432">
        <v>4</v>
      </c>
      <c r="R432" t="str">
        <f>_xlfn.XLOOKUP(Table1[[#This Row],[EnvironmentSatisfaction]],Table9[EnvironmentSatisfaction],Table9[Deskripsi])</f>
        <v>Very High</v>
      </c>
      <c r="S432" t="str">
        <f>_xlfn.XLOOKUP(Table1[[#This Row],[Gender]],Table10[Gender],Table10[Id_Gender])</f>
        <v>G002</v>
      </c>
      <c r="T432" t="s">
        <v>46</v>
      </c>
      <c r="U432">
        <v>46</v>
      </c>
      <c r="V432" t="str">
        <f>_xlfn.XLOOKUP(Table1[[#This Row],[JobInvolvement]],Table11[JobInvolvement],Table11[Id_JobInvolvement])</f>
        <v>JI001</v>
      </c>
      <c r="W432">
        <v>1</v>
      </c>
      <c r="X432" t="str">
        <f>_xlfn.XLOOKUP(Table1[[#This Row],[JobLevel]],Table12[JobLevel],Table12[Id_JobLevel])</f>
        <v>JL001</v>
      </c>
      <c r="Y432">
        <v>1</v>
      </c>
      <c r="Z432" t="str">
        <f>_xlfn.XLOOKUP(Table1[[#This Row],[JobRole]],Table13[JobRole],Table13[Id_JobRole])</f>
        <v>JR003</v>
      </c>
      <c r="AA432" t="s">
        <v>49</v>
      </c>
      <c r="AB432" t="str">
        <f>_xlfn.XLOOKUP(Table1[[#This Row],[JobSatisfaction]],Table14[JobSatisfaction],Table14[Id_JobSatisfaction])</f>
        <v>JS003</v>
      </c>
      <c r="AC432">
        <v>3</v>
      </c>
      <c r="AD432" t="str">
        <f>_xlfn.XLOOKUP(Table1[[#This Row],[JobSatisfaction]],Table14[JobSatisfaction],Table14[Deskripsi])</f>
        <v>High</v>
      </c>
      <c r="AE432" t="str">
        <f>_xlfn.XLOOKUP(Table1[[#This Row],[MaritalStatus]],Table15[MaritalStatus],Table15[Id_MaritalStatus])</f>
        <v>MS001</v>
      </c>
      <c r="AF432" t="s">
        <v>55</v>
      </c>
      <c r="AG432">
        <v>4230</v>
      </c>
      <c r="AH432">
        <v>19225</v>
      </c>
      <c r="AI432">
        <v>0</v>
      </c>
      <c r="AJ432" t="str">
        <f>_xlfn.XLOOKUP(Table1[[#This Row],[OverTime]],Table16[OverTime],Table16[Id_OverTime])</f>
        <v>OT002</v>
      </c>
      <c r="AK432" t="s">
        <v>33</v>
      </c>
      <c r="AL432">
        <v>15</v>
      </c>
      <c r="AM432" t="str">
        <f>_xlfn.XLOOKUP(Table1[[#This Row],[PerformanceRating]],Table17[PerformanceRating],Table17[Id_PerformanceRating])</f>
        <v>PR003</v>
      </c>
      <c r="AN432">
        <v>3</v>
      </c>
      <c r="AO432" t="str">
        <f>_xlfn.XLOOKUP(Table1[[#This Row],[PerformanceRating]],Table17[PerformanceRating],Table17[Deskripsi])</f>
        <v>Excellent</v>
      </c>
      <c r="AP432" t="str">
        <f>_xlfn.XLOOKUP(Table1[[#This Row],[RelationshipSatisfaction]],Table18[RelationshipSatisfaction],Table18[Id_RelationshipSatisfaction])</f>
        <v>RS003</v>
      </c>
      <c r="AQ432">
        <v>3</v>
      </c>
      <c r="AR432" t="str">
        <f>_xlfn.XLOOKUP(Table1[[#This Row],[RelationshipSatisfaction]],Table18[RelationshipSatisfaction],Table18[Deskripsi])</f>
        <v>High</v>
      </c>
      <c r="AS432" t="str">
        <f>_xlfn.XLOOKUP(Table1[[#This Row],[StockOptionLevel]],Table19[StockOptionLevel],Table19[Id_StockOptionLevel])</f>
        <v>SOL001</v>
      </c>
      <c r="AT432">
        <v>0</v>
      </c>
      <c r="AU432" t="str">
        <f>_xlfn.XLOOKUP(Table1[[#This Row],[StockOptionLevel]],Table19[StockOptionLevel],Table19[Deskripsi])</f>
        <v>Non-Eligible</v>
      </c>
      <c r="AV432">
        <v>6</v>
      </c>
      <c r="AW432">
        <v>2</v>
      </c>
      <c r="AX432" t="str">
        <f>_xlfn.XLOOKUP(Table1[[#This Row],[WorkLifeBalance]],Table20[WorkLifeBalance],Table20[Id_WorkLifeBalance])</f>
        <v>WLB002</v>
      </c>
      <c r="AY432">
        <v>3</v>
      </c>
      <c r="AZ432" t="str">
        <f>_xlfn.XLOOKUP(Table1[[#This Row],[WorkLifeBalance]],Table20[WorkLifeBalance],Table20[Deskripsi])</f>
        <v>Good</v>
      </c>
      <c r="BA432">
        <v>5</v>
      </c>
      <c r="BB432">
        <v>4</v>
      </c>
      <c r="BC432">
        <v>4</v>
      </c>
      <c r="BD432">
        <v>3</v>
      </c>
    </row>
    <row r="433" spans="1:56" x14ac:dyDescent="0.25">
      <c r="A433">
        <v>54</v>
      </c>
      <c r="B433" t="str">
        <f>_xlfn.XLOOKUP(Table1[[#This Row],[Attrition]],Table2[Attrition],Table2[Id_Attrition])</f>
        <v>A002</v>
      </c>
      <c r="C433" t="s">
        <v>33</v>
      </c>
      <c r="D433" t="str">
        <f>_xlfn.XLOOKUP(Table1[[#This Row],[BusinessTravel]],Table5[BusinessTravel],Table5[Id_BusinessTravel])</f>
        <v>BS001</v>
      </c>
      <c r="E433" t="s">
        <v>34</v>
      </c>
      <c r="F433">
        <v>548</v>
      </c>
      <c r="G433" t="str">
        <f>_xlfn.XLOOKUP(Table1[[#This Row],[Department]],Table6[Department],Table6[Id_Departement])</f>
        <v>D002</v>
      </c>
      <c r="H433" t="s">
        <v>38</v>
      </c>
      <c r="I433">
        <v>8</v>
      </c>
      <c r="J433" t="str">
        <f>_xlfn.XLOOKUP(Table1[[#This Row],[Education]],Table8[Education],Table8[Id_Education])</f>
        <v>E004</v>
      </c>
      <c r="K433">
        <v>4</v>
      </c>
      <c r="L433" t="str">
        <f>_xlfn.XLOOKUP(Table1[[#This Row],[EducationField]],Table7[EducationField],Table7[Id_EducationField])</f>
        <v>EF001</v>
      </c>
      <c r="M433" t="s">
        <v>40</v>
      </c>
      <c r="N433" t="str">
        <f>_xlfn.XLOOKUP(Table1[[#This Row],[EmployeeNumber]],Table4[EmployeeNumber],Table4[Id_Employee])</f>
        <v>EMP00432</v>
      </c>
      <c r="O433">
        <v>578</v>
      </c>
      <c r="P433" t="str">
        <f>_xlfn.XLOOKUP(Table1[[#This Row],[EnvironmentSatisfaction]],Table9[EnvironmentSatisfaction],Table9[Id_EnviromentSatisfaction])</f>
        <v>ES003</v>
      </c>
      <c r="Q433">
        <v>3</v>
      </c>
      <c r="R433" t="str">
        <f>_xlfn.XLOOKUP(Table1[[#This Row],[EnvironmentSatisfaction]],Table9[EnvironmentSatisfaction],Table9[Deskripsi])</f>
        <v>High</v>
      </c>
      <c r="S433" t="str">
        <f>_xlfn.XLOOKUP(Table1[[#This Row],[Gender]],Table10[Gender],Table10[Id_Gender])</f>
        <v>G001</v>
      </c>
      <c r="T433" t="s">
        <v>45</v>
      </c>
      <c r="U433">
        <v>42</v>
      </c>
      <c r="V433" t="str">
        <f>_xlfn.XLOOKUP(Table1[[#This Row],[JobInvolvement]],Table11[JobInvolvement],Table11[Id_JobInvolvement])</f>
        <v>JI003</v>
      </c>
      <c r="W433">
        <v>3</v>
      </c>
      <c r="X433" t="str">
        <f>_xlfn.XLOOKUP(Table1[[#This Row],[JobLevel]],Table12[JobLevel],Table12[Id_JobLevel])</f>
        <v>JL002</v>
      </c>
      <c r="Y433">
        <v>2</v>
      </c>
      <c r="Z433" t="str">
        <f>_xlfn.XLOOKUP(Table1[[#This Row],[JobRole]],Table13[JobRole],Table13[Id_JobRole])</f>
        <v>JR003</v>
      </c>
      <c r="AA433" t="s">
        <v>49</v>
      </c>
      <c r="AB433" t="str">
        <f>_xlfn.XLOOKUP(Table1[[#This Row],[JobSatisfaction]],Table14[JobSatisfaction],Table14[Id_JobSatisfaction])</f>
        <v>JS003</v>
      </c>
      <c r="AC433">
        <v>3</v>
      </c>
      <c r="AD433" t="str">
        <f>_xlfn.XLOOKUP(Table1[[#This Row],[JobSatisfaction]],Table14[JobSatisfaction],Table14[Deskripsi])</f>
        <v>High</v>
      </c>
      <c r="AE433" t="str">
        <f>_xlfn.XLOOKUP(Table1[[#This Row],[MaritalStatus]],Table15[MaritalStatus],Table15[Id_MaritalStatus])</f>
        <v>MS001</v>
      </c>
      <c r="AF433" t="s">
        <v>55</v>
      </c>
      <c r="AG433">
        <v>3780</v>
      </c>
      <c r="AH433">
        <v>23428</v>
      </c>
      <c r="AI433">
        <v>7</v>
      </c>
      <c r="AJ433" t="str">
        <f>_xlfn.XLOOKUP(Table1[[#This Row],[OverTime]],Table16[OverTime],Table16[Id_OverTime])</f>
        <v>OT002</v>
      </c>
      <c r="AK433" t="s">
        <v>33</v>
      </c>
      <c r="AL433">
        <v>11</v>
      </c>
      <c r="AM433" t="str">
        <f>_xlfn.XLOOKUP(Table1[[#This Row],[PerformanceRating]],Table17[PerformanceRating],Table17[Id_PerformanceRating])</f>
        <v>PR003</v>
      </c>
      <c r="AN433">
        <v>3</v>
      </c>
      <c r="AO433" t="str">
        <f>_xlfn.XLOOKUP(Table1[[#This Row],[PerformanceRating]],Table17[PerformanceRating],Table17[Deskripsi])</f>
        <v>Excellent</v>
      </c>
      <c r="AP433" t="str">
        <f>_xlfn.XLOOKUP(Table1[[#This Row],[RelationshipSatisfaction]],Table18[RelationshipSatisfaction],Table18[Id_RelationshipSatisfaction])</f>
        <v>RS003</v>
      </c>
      <c r="AQ433">
        <v>3</v>
      </c>
      <c r="AR433" t="str">
        <f>_xlfn.XLOOKUP(Table1[[#This Row],[RelationshipSatisfaction]],Table18[RelationshipSatisfaction],Table18[Deskripsi])</f>
        <v>High</v>
      </c>
      <c r="AS433" t="str">
        <f>_xlfn.XLOOKUP(Table1[[#This Row],[StockOptionLevel]],Table19[StockOptionLevel],Table19[Id_StockOptionLevel])</f>
        <v>SOL001</v>
      </c>
      <c r="AT433">
        <v>0</v>
      </c>
      <c r="AU433" t="str">
        <f>_xlfn.XLOOKUP(Table1[[#This Row],[StockOptionLevel]],Table19[StockOptionLevel],Table19[Deskripsi])</f>
        <v>Non-Eligible</v>
      </c>
      <c r="AV433">
        <v>19</v>
      </c>
      <c r="AW433">
        <v>3</v>
      </c>
      <c r="AX433" t="str">
        <f>_xlfn.XLOOKUP(Table1[[#This Row],[WorkLifeBalance]],Table20[WorkLifeBalance],Table20[Id_WorkLifeBalance])</f>
        <v>WLB002</v>
      </c>
      <c r="AY433">
        <v>3</v>
      </c>
      <c r="AZ433" t="str">
        <f>_xlfn.XLOOKUP(Table1[[#This Row],[WorkLifeBalance]],Table20[WorkLifeBalance],Table20[Deskripsi])</f>
        <v>Good</v>
      </c>
      <c r="BA433">
        <v>1</v>
      </c>
      <c r="BB433">
        <v>0</v>
      </c>
      <c r="BC433">
        <v>0</v>
      </c>
      <c r="BD433">
        <v>0</v>
      </c>
    </row>
    <row r="434" spans="1:56" x14ac:dyDescent="0.25">
      <c r="A434">
        <v>34</v>
      </c>
      <c r="B434" t="str">
        <f>_xlfn.XLOOKUP(Table1[[#This Row],[Attrition]],Table2[Attrition],Table2[Id_Attrition])</f>
        <v>A002</v>
      </c>
      <c r="C434" t="s">
        <v>33</v>
      </c>
      <c r="D434" t="str">
        <f>_xlfn.XLOOKUP(Table1[[#This Row],[BusinessTravel]],Table5[BusinessTravel],Table5[Id_BusinessTravel])</f>
        <v>BS001</v>
      </c>
      <c r="E434" t="s">
        <v>34</v>
      </c>
      <c r="F434">
        <v>1303</v>
      </c>
      <c r="G434" t="str">
        <f>_xlfn.XLOOKUP(Table1[[#This Row],[Department]],Table6[Department],Table6[Id_Departement])</f>
        <v>D002</v>
      </c>
      <c r="H434" t="s">
        <v>38</v>
      </c>
      <c r="I434">
        <v>2</v>
      </c>
      <c r="J434" t="str">
        <f>_xlfn.XLOOKUP(Table1[[#This Row],[Education]],Table8[Education],Table8[Id_Education])</f>
        <v>E004</v>
      </c>
      <c r="K434">
        <v>4</v>
      </c>
      <c r="L434" t="str">
        <f>_xlfn.XLOOKUP(Table1[[#This Row],[EducationField]],Table7[EducationField],Table7[Id_EducationField])</f>
        <v>EF001</v>
      </c>
      <c r="M434" t="s">
        <v>40</v>
      </c>
      <c r="N434" t="str">
        <f>_xlfn.XLOOKUP(Table1[[#This Row],[EmployeeNumber]],Table4[EmployeeNumber],Table4[Id_Employee])</f>
        <v>EMP00433</v>
      </c>
      <c r="O434">
        <v>579</v>
      </c>
      <c r="P434" t="str">
        <f>_xlfn.XLOOKUP(Table1[[#This Row],[EnvironmentSatisfaction]],Table9[EnvironmentSatisfaction],Table9[Id_EnviromentSatisfaction])</f>
        <v>ES004</v>
      </c>
      <c r="Q434">
        <v>4</v>
      </c>
      <c r="R434" t="str">
        <f>_xlfn.XLOOKUP(Table1[[#This Row],[EnvironmentSatisfaction]],Table9[EnvironmentSatisfaction],Table9[Deskripsi])</f>
        <v>Very High</v>
      </c>
      <c r="S434" t="str">
        <f>_xlfn.XLOOKUP(Table1[[#This Row],[Gender]],Table10[Gender],Table10[Id_Gender])</f>
        <v>G002</v>
      </c>
      <c r="T434" t="s">
        <v>46</v>
      </c>
      <c r="U434">
        <v>62</v>
      </c>
      <c r="V434" t="str">
        <f>_xlfn.XLOOKUP(Table1[[#This Row],[JobInvolvement]],Table11[JobInvolvement],Table11[Id_JobInvolvement])</f>
        <v>JI002</v>
      </c>
      <c r="W434">
        <v>2</v>
      </c>
      <c r="X434" t="str">
        <f>_xlfn.XLOOKUP(Table1[[#This Row],[JobLevel]],Table12[JobLevel],Table12[Id_JobLevel])</f>
        <v>JL001</v>
      </c>
      <c r="Y434">
        <v>1</v>
      </c>
      <c r="Z434" t="str">
        <f>_xlfn.XLOOKUP(Table1[[#This Row],[JobRole]],Table13[JobRole],Table13[Id_JobRole])</f>
        <v>JR002</v>
      </c>
      <c r="AA434" t="s">
        <v>48</v>
      </c>
      <c r="AB434" t="str">
        <f>_xlfn.XLOOKUP(Table1[[#This Row],[JobSatisfaction]],Table14[JobSatisfaction],Table14[Id_JobSatisfaction])</f>
        <v>JS003</v>
      </c>
      <c r="AC434">
        <v>3</v>
      </c>
      <c r="AD434" t="str">
        <f>_xlfn.XLOOKUP(Table1[[#This Row],[JobSatisfaction]],Table14[JobSatisfaction],Table14[Deskripsi])</f>
        <v>High</v>
      </c>
      <c r="AE434" t="str">
        <f>_xlfn.XLOOKUP(Table1[[#This Row],[MaritalStatus]],Table15[MaritalStatus],Table15[Id_MaritalStatus])</f>
        <v>MS003</v>
      </c>
      <c r="AF434" t="s">
        <v>57</v>
      </c>
      <c r="AG434">
        <v>2768</v>
      </c>
      <c r="AH434">
        <v>8416</v>
      </c>
      <c r="AI434">
        <v>3</v>
      </c>
      <c r="AJ434" t="str">
        <f>_xlfn.XLOOKUP(Table1[[#This Row],[OverTime]],Table16[OverTime],Table16[Id_OverTime])</f>
        <v>OT002</v>
      </c>
      <c r="AK434" t="s">
        <v>33</v>
      </c>
      <c r="AL434">
        <v>12</v>
      </c>
      <c r="AM434" t="str">
        <f>_xlfn.XLOOKUP(Table1[[#This Row],[PerformanceRating]],Table17[PerformanceRating],Table17[Id_PerformanceRating])</f>
        <v>PR003</v>
      </c>
      <c r="AN434">
        <v>3</v>
      </c>
      <c r="AO434" t="str">
        <f>_xlfn.XLOOKUP(Table1[[#This Row],[PerformanceRating]],Table17[PerformanceRating],Table17[Deskripsi])</f>
        <v>Excellent</v>
      </c>
      <c r="AP434" t="str">
        <f>_xlfn.XLOOKUP(Table1[[#This Row],[RelationshipSatisfaction]],Table18[RelationshipSatisfaction],Table18[Id_RelationshipSatisfaction])</f>
        <v>RS003</v>
      </c>
      <c r="AQ434">
        <v>3</v>
      </c>
      <c r="AR434" t="str">
        <f>_xlfn.XLOOKUP(Table1[[#This Row],[RelationshipSatisfaction]],Table18[RelationshipSatisfaction],Table18[Deskripsi])</f>
        <v>High</v>
      </c>
      <c r="AS434" t="str">
        <f>_xlfn.XLOOKUP(Table1[[#This Row],[StockOptionLevel]],Table19[StockOptionLevel],Table19[Id_StockOptionLevel])</f>
        <v>SOL002</v>
      </c>
      <c r="AT434">
        <v>1</v>
      </c>
      <c r="AU434" t="str">
        <f>_xlfn.XLOOKUP(Table1[[#This Row],[StockOptionLevel]],Table19[StockOptionLevel],Table19[Deskripsi])</f>
        <v>Standard</v>
      </c>
      <c r="AV434">
        <v>14</v>
      </c>
      <c r="AW434">
        <v>3</v>
      </c>
      <c r="AX434" t="str">
        <f>_xlfn.XLOOKUP(Table1[[#This Row],[WorkLifeBalance]],Table20[WorkLifeBalance],Table20[Id_WorkLifeBalance])</f>
        <v>WLB002</v>
      </c>
      <c r="AY434">
        <v>3</v>
      </c>
      <c r="AZ434" t="str">
        <f>_xlfn.XLOOKUP(Table1[[#This Row],[WorkLifeBalance]],Table20[WorkLifeBalance],Table20[Deskripsi])</f>
        <v>Good</v>
      </c>
      <c r="BA434">
        <v>7</v>
      </c>
      <c r="BB434">
        <v>3</v>
      </c>
      <c r="BC434">
        <v>5</v>
      </c>
      <c r="BD434">
        <v>7</v>
      </c>
    </row>
    <row r="435" spans="1:56" x14ac:dyDescent="0.25">
      <c r="A435">
        <v>46</v>
      </c>
      <c r="B435" t="str">
        <f>_xlfn.XLOOKUP(Table1[[#This Row],[Attrition]],Table2[Attrition],Table2[Id_Attrition])</f>
        <v>A002</v>
      </c>
      <c r="C435" t="s">
        <v>33</v>
      </c>
      <c r="D435" t="str">
        <f>_xlfn.XLOOKUP(Table1[[#This Row],[BusinessTravel]],Table5[BusinessTravel],Table5[Id_BusinessTravel])</f>
        <v>BS001</v>
      </c>
      <c r="E435" t="s">
        <v>34</v>
      </c>
      <c r="F435">
        <v>1125</v>
      </c>
      <c r="G435" t="str">
        <f>_xlfn.XLOOKUP(Table1[[#This Row],[Department]],Table6[Department],Table6[Id_Departement])</f>
        <v>D001</v>
      </c>
      <c r="H435" t="s">
        <v>37</v>
      </c>
      <c r="I435">
        <v>10</v>
      </c>
      <c r="J435" t="str">
        <f>_xlfn.XLOOKUP(Table1[[#This Row],[Education]],Table8[Education],Table8[Id_Education])</f>
        <v>E003</v>
      </c>
      <c r="K435">
        <v>3</v>
      </c>
      <c r="L435" t="str">
        <f>_xlfn.XLOOKUP(Table1[[#This Row],[EducationField]],Table7[EducationField],Table7[Id_EducationField])</f>
        <v>EF004</v>
      </c>
      <c r="M435" t="s">
        <v>43</v>
      </c>
      <c r="N435" t="str">
        <f>_xlfn.XLOOKUP(Table1[[#This Row],[EmployeeNumber]],Table4[EmployeeNumber],Table4[Id_Employee])</f>
        <v>EMP00434</v>
      </c>
      <c r="O435">
        <v>580</v>
      </c>
      <c r="P435" t="str">
        <f>_xlfn.XLOOKUP(Table1[[#This Row],[EnvironmentSatisfaction]],Table9[EnvironmentSatisfaction],Table9[Id_EnviromentSatisfaction])</f>
        <v>ES003</v>
      </c>
      <c r="Q435">
        <v>3</v>
      </c>
      <c r="R435" t="str">
        <f>_xlfn.XLOOKUP(Table1[[#This Row],[EnvironmentSatisfaction]],Table9[EnvironmentSatisfaction],Table9[Deskripsi])</f>
        <v>High</v>
      </c>
      <c r="S435" t="str">
        <f>_xlfn.XLOOKUP(Table1[[#This Row],[Gender]],Table10[Gender],Table10[Id_Gender])</f>
        <v>G001</v>
      </c>
      <c r="T435" t="s">
        <v>45</v>
      </c>
      <c r="U435">
        <v>94</v>
      </c>
      <c r="V435" t="str">
        <f>_xlfn.XLOOKUP(Table1[[#This Row],[JobInvolvement]],Table11[JobInvolvement],Table11[Id_JobInvolvement])</f>
        <v>JI002</v>
      </c>
      <c r="W435">
        <v>2</v>
      </c>
      <c r="X435" t="str">
        <f>_xlfn.XLOOKUP(Table1[[#This Row],[JobLevel]],Table12[JobLevel],Table12[Id_JobLevel])</f>
        <v>JL003</v>
      </c>
      <c r="Y435">
        <v>3</v>
      </c>
      <c r="Z435" t="str">
        <f>_xlfn.XLOOKUP(Table1[[#This Row],[JobRole]],Table13[JobRole],Table13[Id_JobRole])</f>
        <v>JR001</v>
      </c>
      <c r="AA435" t="s">
        <v>47</v>
      </c>
      <c r="AB435" t="str">
        <f>_xlfn.XLOOKUP(Table1[[#This Row],[JobSatisfaction]],Table14[JobSatisfaction],Table14[Id_JobSatisfaction])</f>
        <v>JS004</v>
      </c>
      <c r="AC435">
        <v>4</v>
      </c>
      <c r="AD435" t="str">
        <f>_xlfn.XLOOKUP(Table1[[#This Row],[JobSatisfaction]],Table14[JobSatisfaction],Table14[Deskripsi])</f>
        <v>Very High</v>
      </c>
      <c r="AE435" t="str">
        <f>_xlfn.XLOOKUP(Table1[[#This Row],[MaritalStatus]],Table15[MaritalStatus],Table15[Id_MaritalStatus])</f>
        <v>MS002</v>
      </c>
      <c r="AF435" t="s">
        <v>56</v>
      </c>
      <c r="AG435">
        <v>9071</v>
      </c>
      <c r="AH435">
        <v>11563</v>
      </c>
      <c r="AI435">
        <v>2</v>
      </c>
      <c r="AJ435" t="str">
        <f>_xlfn.XLOOKUP(Table1[[#This Row],[OverTime]],Table16[OverTime],Table16[Id_OverTime])</f>
        <v>OT001</v>
      </c>
      <c r="AK435" t="s">
        <v>32</v>
      </c>
      <c r="AL435">
        <v>19</v>
      </c>
      <c r="AM435" t="str">
        <f>_xlfn.XLOOKUP(Table1[[#This Row],[PerformanceRating]],Table17[PerformanceRating],Table17[Id_PerformanceRating])</f>
        <v>PR003</v>
      </c>
      <c r="AN435">
        <v>3</v>
      </c>
      <c r="AO435" t="str">
        <f>_xlfn.XLOOKUP(Table1[[#This Row],[PerformanceRating]],Table17[PerformanceRating],Table17[Deskripsi])</f>
        <v>Excellent</v>
      </c>
      <c r="AP435" t="str">
        <f>_xlfn.XLOOKUP(Table1[[#This Row],[RelationshipSatisfaction]],Table18[RelationshipSatisfaction],Table18[Id_RelationshipSatisfaction])</f>
        <v>RS003</v>
      </c>
      <c r="AQ435">
        <v>3</v>
      </c>
      <c r="AR435" t="str">
        <f>_xlfn.XLOOKUP(Table1[[#This Row],[RelationshipSatisfaction]],Table18[RelationshipSatisfaction],Table18[Deskripsi])</f>
        <v>High</v>
      </c>
      <c r="AS435" t="str">
        <f>_xlfn.XLOOKUP(Table1[[#This Row],[StockOptionLevel]],Table19[StockOptionLevel],Table19[Id_StockOptionLevel])</f>
        <v>SOL002</v>
      </c>
      <c r="AT435">
        <v>1</v>
      </c>
      <c r="AU435" t="str">
        <f>_xlfn.XLOOKUP(Table1[[#This Row],[StockOptionLevel]],Table19[StockOptionLevel],Table19[Deskripsi])</f>
        <v>Standard</v>
      </c>
      <c r="AV435">
        <v>15</v>
      </c>
      <c r="AW435">
        <v>3</v>
      </c>
      <c r="AX435" t="str">
        <f>_xlfn.XLOOKUP(Table1[[#This Row],[WorkLifeBalance]],Table20[WorkLifeBalance],Table20[Id_WorkLifeBalance])</f>
        <v>WLB002</v>
      </c>
      <c r="AY435">
        <v>3</v>
      </c>
      <c r="AZ435" t="str">
        <f>_xlfn.XLOOKUP(Table1[[#This Row],[WorkLifeBalance]],Table20[WorkLifeBalance],Table20[Deskripsi])</f>
        <v>Good</v>
      </c>
      <c r="BA435">
        <v>3</v>
      </c>
      <c r="BB435">
        <v>2</v>
      </c>
      <c r="BC435">
        <v>1</v>
      </c>
      <c r="BD435">
        <v>2</v>
      </c>
    </row>
    <row r="436" spans="1:56" x14ac:dyDescent="0.25">
      <c r="A436">
        <v>31</v>
      </c>
      <c r="B436" t="str">
        <f>_xlfn.XLOOKUP(Table1[[#This Row],[Attrition]],Table2[Attrition],Table2[Id_Attrition])</f>
        <v>A002</v>
      </c>
      <c r="C436" t="s">
        <v>33</v>
      </c>
      <c r="D436" t="str">
        <f>_xlfn.XLOOKUP(Table1[[#This Row],[BusinessTravel]],Table5[BusinessTravel],Table5[Id_BusinessTravel])</f>
        <v>BS001</v>
      </c>
      <c r="E436" t="s">
        <v>34</v>
      </c>
      <c r="F436">
        <v>1274</v>
      </c>
      <c r="G436" t="str">
        <f>_xlfn.XLOOKUP(Table1[[#This Row],[Department]],Table6[Department],Table6[Id_Departement])</f>
        <v>D002</v>
      </c>
      <c r="H436" t="s">
        <v>38</v>
      </c>
      <c r="I436">
        <v>9</v>
      </c>
      <c r="J436" t="str">
        <f>_xlfn.XLOOKUP(Table1[[#This Row],[Education]],Table8[Education],Table8[Id_Education])</f>
        <v>E001</v>
      </c>
      <c r="K436">
        <v>1</v>
      </c>
      <c r="L436" t="str">
        <f>_xlfn.XLOOKUP(Table1[[#This Row],[EducationField]],Table7[EducationField],Table7[Id_EducationField])</f>
        <v>EF001</v>
      </c>
      <c r="M436" t="s">
        <v>40</v>
      </c>
      <c r="N436" t="str">
        <f>_xlfn.XLOOKUP(Table1[[#This Row],[EmployeeNumber]],Table4[EmployeeNumber],Table4[Id_Employee])</f>
        <v>EMP00435</v>
      </c>
      <c r="O436">
        <v>581</v>
      </c>
      <c r="P436" t="str">
        <f>_xlfn.XLOOKUP(Table1[[#This Row],[EnvironmentSatisfaction]],Table9[EnvironmentSatisfaction],Table9[Id_EnviromentSatisfaction])</f>
        <v>ES003</v>
      </c>
      <c r="Q436">
        <v>3</v>
      </c>
      <c r="R436" t="str">
        <f>_xlfn.XLOOKUP(Table1[[#This Row],[EnvironmentSatisfaction]],Table9[EnvironmentSatisfaction],Table9[Deskripsi])</f>
        <v>High</v>
      </c>
      <c r="S436" t="str">
        <f>_xlfn.XLOOKUP(Table1[[#This Row],[Gender]],Table10[Gender],Table10[Id_Gender])</f>
        <v>G002</v>
      </c>
      <c r="T436" t="s">
        <v>46</v>
      </c>
      <c r="U436">
        <v>33</v>
      </c>
      <c r="V436" t="str">
        <f>_xlfn.XLOOKUP(Table1[[#This Row],[JobInvolvement]],Table11[JobInvolvement],Table11[Id_JobInvolvement])</f>
        <v>JI003</v>
      </c>
      <c r="W436">
        <v>3</v>
      </c>
      <c r="X436" t="str">
        <f>_xlfn.XLOOKUP(Table1[[#This Row],[JobLevel]],Table12[JobLevel],Table12[Id_JobLevel])</f>
        <v>JL003</v>
      </c>
      <c r="Y436">
        <v>3</v>
      </c>
      <c r="Z436" t="str">
        <f>_xlfn.XLOOKUP(Table1[[#This Row],[JobRole]],Table13[JobRole],Table13[Id_JobRole])</f>
        <v>JR004</v>
      </c>
      <c r="AA436" t="s">
        <v>50</v>
      </c>
      <c r="AB436" t="str">
        <f>_xlfn.XLOOKUP(Table1[[#This Row],[JobSatisfaction]],Table14[JobSatisfaction],Table14[Id_JobSatisfaction])</f>
        <v>JS002</v>
      </c>
      <c r="AC436">
        <v>2</v>
      </c>
      <c r="AD436" t="str">
        <f>_xlfn.XLOOKUP(Table1[[#This Row],[JobSatisfaction]],Table14[JobSatisfaction],Table14[Deskripsi])</f>
        <v>Medium</v>
      </c>
      <c r="AE436" t="str">
        <f>_xlfn.XLOOKUP(Table1[[#This Row],[MaritalStatus]],Table15[MaritalStatus],Table15[Id_MaritalStatus])</f>
        <v>MS003</v>
      </c>
      <c r="AF436" t="s">
        <v>57</v>
      </c>
      <c r="AG436">
        <v>10648</v>
      </c>
      <c r="AH436">
        <v>14394</v>
      </c>
      <c r="AI436">
        <v>1</v>
      </c>
      <c r="AJ436" t="str">
        <f>_xlfn.XLOOKUP(Table1[[#This Row],[OverTime]],Table16[OverTime],Table16[Id_OverTime])</f>
        <v>OT002</v>
      </c>
      <c r="AK436" t="s">
        <v>33</v>
      </c>
      <c r="AL436">
        <v>25</v>
      </c>
      <c r="AM436" t="str">
        <f>_xlfn.XLOOKUP(Table1[[#This Row],[PerformanceRating]],Table17[PerformanceRating],Table17[Id_PerformanceRating])</f>
        <v>PR004</v>
      </c>
      <c r="AN436">
        <v>4</v>
      </c>
      <c r="AO436" t="str">
        <f>_xlfn.XLOOKUP(Table1[[#This Row],[PerformanceRating]],Table17[PerformanceRating],Table17[Deskripsi])</f>
        <v>Outstanding</v>
      </c>
      <c r="AP436" t="str">
        <f>_xlfn.XLOOKUP(Table1[[#This Row],[RelationshipSatisfaction]],Table18[RelationshipSatisfaction],Table18[Id_RelationshipSatisfaction])</f>
        <v>RS004</v>
      </c>
      <c r="AQ436">
        <v>4</v>
      </c>
      <c r="AR436" t="str">
        <f>_xlfn.XLOOKUP(Table1[[#This Row],[RelationshipSatisfaction]],Table18[RelationshipSatisfaction],Table18[Deskripsi])</f>
        <v>Very High</v>
      </c>
      <c r="AS436" t="str">
        <f>_xlfn.XLOOKUP(Table1[[#This Row],[StockOptionLevel]],Table19[StockOptionLevel],Table19[Id_StockOptionLevel])</f>
        <v>SOL002</v>
      </c>
      <c r="AT436">
        <v>1</v>
      </c>
      <c r="AU436" t="str">
        <f>_xlfn.XLOOKUP(Table1[[#This Row],[StockOptionLevel]],Table19[StockOptionLevel],Table19[Deskripsi])</f>
        <v>Standard</v>
      </c>
      <c r="AV436">
        <v>13</v>
      </c>
      <c r="AW436">
        <v>6</v>
      </c>
      <c r="AX436" t="str">
        <f>_xlfn.XLOOKUP(Table1[[#This Row],[WorkLifeBalance]],Table20[WorkLifeBalance],Table20[Id_WorkLifeBalance])</f>
        <v>WLB004</v>
      </c>
      <c r="AY436">
        <v>4</v>
      </c>
      <c r="AZ436" t="str">
        <f>_xlfn.XLOOKUP(Table1[[#This Row],[WorkLifeBalance]],Table20[WorkLifeBalance],Table20[Deskripsi])</f>
        <v>Best</v>
      </c>
      <c r="BA436">
        <v>13</v>
      </c>
      <c r="BB436">
        <v>8</v>
      </c>
      <c r="BC436">
        <v>0</v>
      </c>
      <c r="BD436">
        <v>8</v>
      </c>
    </row>
    <row r="437" spans="1:56" x14ac:dyDescent="0.25">
      <c r="A437">
        <v>33</v>
      </c>
      <c r="B437" t="str">
        <f>_xlfn.XLOOKUP(Table1[[#This Row],[Attrition]],Table2[Attrition],Table2[Id_Attrition])</f>
        <v>A001</v>
      </c>
      <c r="C437" t="s">
        <v>32</v>
      </c>
      <c r="D437" t="str">
        <f>_xlfn.XLOOKUP(Table1[[#This Row],[BusinessTravel]],Table5[BusinessTravel],Table5[Id_BusinessTravel])</f>
        <v>BS001</v>
      </c>
      <c r="E437" t="s">
        <v>34</v>
      </c>
      <c r="F437">
        <v>1277</v>
      </c>
      <c r="G437" t="str">
        <f>_xlfn.XLOOKUP(Table1[[#This Row],[Department]],Table6[Department],Table6[Id_Departement])</f>
        <v>D002</v>
      </c>
      <c r="H437" t="s">
        <v>38</v>
      </c>
      <c r="I437">
        <v>15</v>
      </c>
      <c r="J437" t="str">
        <f>_xlfn.XLOOKUP(Table1[[#This Row],[Education]],Table8[Education],Table8[Id_Education])</f>
        <v>E001</v>
      </c>
      <c r="K437">
        <v>1</v>
      </c>
      <c r="L437" t="str">
        <f>_xlfn.XLOOKUP(Table1[[#This Row],[EducationField]],Table7[EducationField],Table7[Id_EducationField])</f>
        <v>EF003</v>
      </c>
      <c r="M437" t="s">
        <v>42</v>
      </c>
      <c r="N437" t="str">
        <f>_xlfn.XLOOKUP(Table1[[#This Row],[EmployeeNumber]],Table4[EmployeeNumber],Table4[Id_Employee])</f>
        <v>EMP00436</v>
      </c>
      <c r="O437">
        <v>582</v>
      </c>
      <c r="P437" t="str">
        <f>_xlfn.XLOOKUP(Table1[[#This Row],[EnvironmentSatisfaction]],Table9[EnvironmentSatisfaction],Table9[Id_EnviromentSatisfaction])</f>
        <v>ES002</v>
      </c>
      <c r="Q437">
        <v>2</v>
      </c>
      <c r="R437" t="str">
        <f>_xlfn.XLOOKUP(Table1[[#This Row],[EnvironmentSatisfaction]],Table9[EnvironmentSatisfaction],Table9[Deskripsi])</f>
        <v>Medium</v>
      </c>
      <c r="S437" t="str">
        <f>_xlfn.XLOOKUP(Table1[[#This Row],[Gender]],Table10[Gender],Table10[Id_Gender])</f>
        <v>G002</v>
      </c>
      <c r="T437" t="s">
        <v>46</v>
      </c>
      <c r="U437">
        <v>56</v>
      </c>
      <c r="V437" t="str">
        <f>_xlfn.XLOOKUP(Table1[[#This Row],[JobInvolvement]],Table11[JobInvolvement],Table11[Id_JobInvolvement])</f>
        <v>JI003</v>
      </c>
      <c r="W437">
        <v>3</v>
      </c>
      <c r="X437" t="str">
        <f>_xlfn.XLOOKUP(Table1[[#This Row],[JobLevel]],Table12[JobLevel],Table12[Id_JobLevel])</f>
        <v>JL003</v>
      </c>
      <c r="Y437">
        <v>3</v>
      </c>
      <c r="Z437" t="str">
        <f>_xlfn.XLOOKUP(Table1[[#This Row],[JobRole]],Table13[JobRole],Table13[Id_JobRole])</f>
        <v>JR006</v>
      </c>
      <c r="AA437" t="s">
        <v>52</v>
      </c>
      <c r="AB437" t="str">
        <f>_xlfn.XLOOKUP(Table1[[#This Row],[JobSatisfaction]],Table14[JobSatisfaction],Table14[Id_JobSatisfaction])</f>
        <v>JS003</v>
      </c>
      <c r="AC437">
        <v>3</v>
      </c>
      <c r="AD437" t="str">
        <f>_xlfn.XLOOKUP(Table1[[#This Row],[JobSatisfaction]],Table14[JobSatisfaction],Table14[Deskripsi])</f>
        <v>High</v>
      </c>
      <c r="AE437" t="str">
        <f>_xlfn.XLOOKUP(Table1[[#This Row],[MaritalStatus]],Table15[MaritalStatus],Table15[Id_MaritalStatus])</f>
        <v>MS002</v>
      </c>
      <c r="AF437" t="s">
        <v>56</v>
      </c>
      <c r="AG437">
        <v>13610</v>
      </c>
      <c r="AH437">
        <v>24619</v>
      </c>
      <c r="AI437">
        <v>7</v>
      </c>
      <c r="AJ437" t="str">
        <f>_xlfn.XLOOKUP(Table1[[#This Row],[OverTime]],Table16[OverTime],Table16[Id_OverTime])</f>
        <v>OT001</v>
      </c>
      <c r="AK437" t="s">
        <v>32</v>
      </c>
      <c r="AL437">
        <v>12</v>
      </c>
      <c r="AM437" t="str">
        <f>_xlfn.XLOOKUP(Table1[[#This Row],[PerformanceRating]],Table17[PerformanceRating],Table17[Id_PerformanceRating])</f>
        <v>PR003</v>
      </c>
      <c r="AN437">
        <v>3</v>
      </c>
      <c r="AO437" t="str">
        <f>_xlfn.XLOOKUP(Table1[[#This Row],[PerformanceRating]],Table17[PerformanceRating],Table17[Deskripsi])</f>
        <v>Excellent</v>
      </c>
      <c r="AP437" t="str">
        <f>_xlfn.XLOOKUP(Table1[[#This Row],[RelationshipSatisfaction]],Table18[RelationshipSatisfaction],Table18[Id_RelationshipSatisfaction])</f>
        <v>RS004</v>
      </c>
      <c r="AQ437">
        <v>4</v>
      </c>
      <c r="AR437" t="str">
        <f>_xlfn.XLOOKUP(Table1[[#This Row],[RelationshipSatisfaction]],Table18[RelationshipSatisfaction],Table18[Deskripsi])</f>
        <v>Very High</v>
      </c>
      <c r="AS437" t="str">
        <f>_xlfn.XLOOKUP(Table1[[#This Row],[StockOptionLevel]],Table19[StockOptionLevel],Table19[Id_StockOptionLevel])</f>
        <v>SOL001</v>
      </c>
      <c r="AT437">
        <v>0</v>
      </c>
      <c r="AU437" t="str">
        <f>_xlfn.XLOOKUP(Table1[[#This Row],[StockOptionLevel]],Table19[StockOptionLevel],Table19[Deskripsi])</f>
        <v>Non-Eligible</v>
      </c>
      <c r="AV437">
        <v>15</v>
      </c>
      <c r="AW437">
        <v>2</v>
      </c>
      <c r="AX437" t="str">
        <f>_xlfn.XLOOKUP(Table1[[#This Row],[WorkLifeBalance]],Table20[WorkLifeBalance],Table20[Id_WorkLifeBalance])</f>
        <v>WLB004</v>
      </c>
      <c r="AY437">
        <v>4</v>
      </c>
      <c r="AZ437" t="str">
        <f>_xlfn.XLOOKUP(Table1[[#This Row],[WorkLifeBalance]],Table20[WorkLifeBalance],Table20[Deskripsi])</f>
        <v>Best</v>
      </c>
      <c r="BA437">
        <v>7</v>
      </c>
      <c r="BB437">
        <v>6</v>
      </c>
      <c r="BC437">
        <v>7</v>
      </c>
      <c r="BD437">
        <v>7</v>
      </c>
    </row>
    <row r="438" spans="1:56" x14ac:dyDescent="0.25">
      <c r="A438">
        <v>33</v>
      </c>
      <c r="B438" t="str">
        <f>_xlfn.XLOOKUP(Table1[[#This Row],[Attrition]],Table2[Attrition],Table2[Id_Attrition])</f>
        <v>A001</v>
      </c>
      <c r="C438" t="s">
        <v>32</v>
      </c>
      <c r="D438" t="str">
        <f>_xlfn.XLOOKUP(Table1[[#This Row],[BusinessTravel]],Table5[BusinessTravel],Table5[Id_BusinessTravel])</f>
        <v>BS001</v>
      </c>
      <c r="E438" t="s">
        <v>34</v>
      </c>
      <c r="F438">
        <v>587</v>
      </c>
      <c r="G438" t="str">
        <f>_xlfn.XLOOKUP(Table1[[#This Row],[Department]],Table6[Department],Table6[Id_Departement])</f>
        <v>D002</v>
      </c>
      <c r="H438" t="s">
        <v>38</v>
      </c>
      <c r="I438">
        <v>10</v>
      </c>
      <c r="J438" t="str">
        <f>_xlfn.XLOOKUP(Table1[[#This Row],[Education]],Table8[Education],Table8[Id_Education])</f>
        <v>E001</v>
      </c>
      <c r="K438">
        <v>1</v>
      </c>
      <c r="L438" t="str">
        <f>_xlfn.XLOOKUP(Table1[[#This Row],[EducationField]],Table7[EducationField],Table7[Id_EducationField])</f>
        <v>EF003</v>
      </c>
      <c r="M438" t="s">
        <v>42</v>
      </c>
      <c r="N438" t="str">
        <f>_xlfn.XLOOKUP(Table1[[#This Row],[EmployeeNumber]],Table4[EmployeeNumber],Table4[Id_Employee])</f>
        <v>EMP00437</v>
      </c>
      <c r="O438">
        <v>584</v>
      </c>
      <c r="P438" t="str">
        <f>_xlfn.XLOOKUP(Table1[[#This Row],[EnvironmentSatisfaction]],Table9[EnvironmentSatisfaction],Table9[Id_EnviromentSatisfaction])</f>
        <v>ES001</v>
      </c>
      <c r="Q438">
        <v>1</v>
      </c>
      <c r="R438" t="str">
        <f>_xlfn.XLOOKUP(Table1[[#This Row],[EnvironmentSatisfaction]],Table9[EnvironmentSatisfaction],Table9[Deskripsi])</f>
        <v>Low</v>
      </c>
      <c r="S438" t="str">
        <f>_xlfn.XLOOKUP(Table1[[#This Row],[Gender]],Table10[Gender],Table10[Id_Gender])</f>
        <v>G002</v>
      </c>
      <c r="T438" t="s">
        <v>46</v>
      </c>
      <c r="U438">
        <v>38</v>
      </c>
      <c r="V438" t="str">
        <f>_xlfn.XLOOKUP(Table1[[#This Row],[JobInvolvement]],Table11[JobInvolvement],Table11[Id_JobInvolvement])</f>
        <v>JI001</v>
      </c>
      <c r="W438">
        <v>1</v>
      </c>
      <c r="X438" t="str">
        <f>_xlfn.XLOOKUP(Table1[[#This Row],[JobLevel]],Table12[JobLevel],Table12[Id_JobLevel])</f>
        <v>JL001</v>
      </c>
      <c r="Y438">
        <v>1</v>
      </c>
      <c r="Z438" t="str">
        <f>_xlfn.XLOOKUP(Table1[[#This Row],[JobRole]],Table13[JobRole],Table13[Id_JobRole])</f>
        <v>JR003</v>
      </c>
      <c r="AA438" t="s">
        <v>49</v>
      </c>
      <c r="AB438" t="str">
        <f>_xlfn.XLOOKUP(Table1[[#This Row],[JobSatisfaction]],Table14[JobSatisfaction],Table14[Id_JobSatisfaction])</f>
        <v>JS004</v>
      </c>
      <c r="AC438">
        <v>4</v>
      </c>
      <c r="AD438" t="str">
        <f>_xlfn.XLOOKUP(Table1[[#This Row],[JobSatisfaction]],Table14[JobSatisfaction],Table14[Deskripsi])</f>
        <v>Very High</v>
      </c>
      <c r="AE438" t="str">
        <f>_xlfn.XLOOKUP(Table1[[#This Row],[MaritalStatus]],Table15[MaritalStatus],Table15[Id_MaritalStatus])</f>
        <v>MS003</v>
      </c>
      <c r="AF438" t="s">
        <v>57</v>
      </c>
      <c r="AG438">
        <v>3408</v>
      </c>
      <c r="AH438">
        <v>6705</v>
      </c>
      <c r="AI438">
        <v>7</v>
      </c>
      <c r="AJ438" t="str">
        <f>_xlfn.XLOOKUP(Table1[[#This Row],[OverTime]],Table16[OverTime],Table16[Id_OverTime])</f>
        <v>OT002</v>
      </c>
      <c r="AK438" t="s">
        <v>33</v>
      </c>
      <c r="AL438">
        <v>13</v>
      </c>
      <c r="AM438" t="str">
        <f>_xlfn.XLOOKUP(Table1[[#This Row],[PerformanceRating]],Table17[PerformanceRating],Table17[Id_PerformanceRating])</f>
        <v>PR003</v>
      </c>
      <c r="AN438">
        <v>3</v>
      </c>
      <c r="AO438" t="str">
        <f>_xlfn.XLOOKUP(Table1[[#This Row],[PerformanceRating]],Table17[PerformanceRating],Table17[Deskripsi])</f>
        <v>Excellent</v>
      </c>
      <c r="AP438" t="str">
        <f>_xlfn.XLOOKUP(Table1[[#This Row],[RelationshipSatisfaction]],Table18[RelationshipSatisfaction],Table18[Id_RelationshipSatisfaction])</f>
        <v>RS001</v>
      </c>
      <c r="AQ438">
        <v>1</v>
      </c>
      <c r="AR438" t="str">
        <f>_xlfn.XLOOKUP(Table1[[#This Row],[RelationshipSatisfaction]],Table18[RelationshipSatisfaction],Table18[Deskripsi])</f>
        <v>Low</v>
      </c>
      <c r="AS438" t="str">
        <f>_xlfn.XLOOKUP(Table1[[#This Row],[StockOptionLevel]],Table19[StockOptionLevel],Table19[Id_StockOptionLevel])</f>
        <v>SOL004</v>
      </c>
      <c r="AT438">
        <v>3</v>
      </c>
      <c r="AU438" t="str">
        <f>_xlfn.XLOOKUP(Table1[[#This Row],[StockOptionLevel]],Table19[StockOptionLevel],Table19[Deskripsi])</f>
        <v>Senior/Executive</v>
      </c>
      <c r="AV438">
        <v>8</v>
      </c>
      <c r="AW438">
        <v>2</v>
      </c>
      <c r="AX438" t="str">
        <f>_xlfn.XLOOKUP(Table1[[#This Row],[WorkLifeBalance]],Table20[WorkLifeBalance],Table20[Id_WorkLifeBalance])</f>
        <v>WLB002</v>
      </c>
      <c r="AY438">
        <v>3</v>
      </c>
      <c r="AZ438" t="str">
        <f>_xlfn.XLOOKUP(Table1[[#This Row],[WorkLifeBalance]],Table20[WorkLifeBalance],Table20[Deskripsi])</f>
        <v>Good</v>
      </c>
      <c r="BA438">
        <v>4</v>
      </c>
      <c r="BB438">
        <v>3</v>
      </c>
      <c r="BC438">
        <v>1</v>
      </c>
      <c r="BD438">
        <v>3</v>
      </c>
    </row>
    <row r="439" spans="1:56" x14ac:dyDescent="0.25">
      <c r="A439">
        <v>30</v>
      </c>
      <c r="B439" t="str">
        <f>_xlfn.XLOOKUP(Table1[[#This Row],[Attrition]],Table2[Attrition],Table2[Id_Attrition])</f>
        <v>A002</v>
      </c>
      <c r="C439" t="s">
        <v>33</v>
      </c>
      <c r="D439" t="str">
        <f>_xlfn.XLOOKUP(Table1[[#This Row],[BusinessTravel]],Table5[BusinessTravel],Table5[Id_BusinessTravel])</f>
        <v>BS001</v>
      </c>
      <c r="E439" t="s">
        <v>34</v>
      </c>
      <c r="F439">
        <v>413</v>
      </c>
      <c r="G439" t="str">
        <f>_xlfn.XLOOKUP(Table1[[#This Row],[Department]],Table6[Department],Table6[Id_Departement])</f>
        <v>D001</v>
      </c>
      <c r="H439" t="s">
        <v>37</v>
      </c>
      <c r="I439">
        <v>7</v>
      </c>
      <c r="J439" t="str">
        <f>_xlfn.XLOOKUP(Table1[[#This Row],[Education]],Table8[Education],Table8[Id_Education])</f>
        <v>E001</v>
      </c>
      <c r="K439">
        <v>1</v>
      </c>
      <c r="L439" t="str">
        <f>_xlfn.XLOOKUP(Table1[[#This Row],[EducationField]],Table7[EducationField],Table7[Id_EducationField])</f>
        <v>EF004</v>
      </c>
      <c r="M439" t="s">
        <v>43</v>
      </c>
      <c r="N439" t="str">
        <f>_xlfn.XLOOKUP(Table1[[#This Row],[EmployeeNumber]],Table4[EmployeeNumber],Table4[Id_Employee])</f>
        <v>EMP00438</v>
      </c>
      <c r="O439">
        <v>585</v>
      </c>
      <c r="P439" t="str">
        <f>_xlfn.XLOOKUP(Table1[[#This Row],[EnvironmentSatisfaction]],Table9[EnvironmentSatisfaction],Table9[Id_EnviromentSatisfaction])</f>
        <v>ES004</v>
      </c>
      <c r="Q439">
        <v>4</v>
      </c>
      <c r="R439" t="str">
        <f>_xlfn.XLOOKUP(Table1[[#This Row],[EnvironmentSatisfaction]],Table9[EnvironmentSatisfaction],Table9[Deskripsi])</f>
        <v>Very High</v>
      </c>
      <c r="S439" t="str">
        <f>_xlfn.XLOOKUP(Table1[[#This Row],[Gender]],Table10[Gender],Table10[Id_Gender])</f>
        <v>G002</v>
      </c>
      <c r="T439" t="s">
        <v>46</v>
      </c>
      <c r="U439">
        <v>57</v>
      </c>
      <c r="V439" t="str">
        <f>_xlfn.XLOOKUP(Table1[[#This Row],[JobInvolvement]],Table11[JobInvolvement],Table11[Id_JobInvolvement])</f>
        <v>JI003</v>
      </c>
      <c r="W439">
        <v>3</v>
      </c>
      <c r="X439" t="str">
        <f>_xlfn.XLOOKUP(Table1[[#This Row],[JobLevel]],Table12[JobLevel],Table12[Id_JobLevel])</f>
        <v>JL001</v>
      </c>
      <c r="Y439">
        <v>1</v>
      </c>
      <c r="Z439" t="str">
        <f>_xlfn.XLOOKUP(Table1[[#This Row],[JobRole]],Table13[JobRole],Table13[Id_JobRole])</f>
        <v>JR007</v>
      </c>
      <c r="AA439" t="s">
        <v>53</v>
      </c>
      <c r="AB439" t="str">
        <f>_xlfn.XLOOKUP(Table1[[#This Row],[JobSatisfaction]],Table14[JobSatisfaction],Table14[Id_JobSatisfaction])</f>
        <v>JS002</v>
      </c>
      <c r="AC439">
        <v>2</v>
      </c>
      <c r="AD439" t="str">
        <f>_xlfn.XLOOKUP(Table1[[#This Row],[JobSatisfaction]],Table14[JobSatisfaction],Table14[Deskripsi])</f>
        <v>Medium</v>
      </c>
      <c r="AE439" t="str">
        <f>_xlfn.XLOOKUP(Table1[[#This Row],[MaritalStatus]],Table15[MaritalStatus],Table15[Id_MaritalStatus])</f>
        <v>MS001</v>
      </c>
      <c r="AF439" t="s">
        <v>55</v>
      </c>
      <c r="AG439">
        <v>2983</v>
      </c>
      <c r="AH439">
        <v>18398</v>
      </c>
      <c r="AI439">
        <v>0</v>
      </c>
      <c r="AJ439" t="str">
        <f>_xlfn.XLOOKUP(Table1[[#This Row],[OverTime]],Table16[OverTime],Table16[Id_OverTime])</f>
        <v>OT002</v>
      </c>
      <c r="AK439" t="s">
        <v>33</v>
      </c>
      <c r="AL439">
        <v>14</v>
      </c>
      <c r="AM439" t="str">
        <f>_xlfn.XLOOKUP(Table1[[#This Row],[PerformanceRating]],Table17[PerformanceRating],Table17[Id_PerformanceRating])</f>
        <v>PR003</v>
      </c>
      <c r="AN439">
        <v>3</v>
      </c>
      <c r="AO439" t="str">
        <f>_xlfn.XLOOKUP(Table1[[#This Row],[PerformanceRating]],Table17[PerformanceRating],Table17[Deskripsi])</f>
        <v>Excellent</v>
      </c>
      <c r="AP439" t="str">
        <f>_xlfn.XLOOKUP(Table1[[#This Row],[RelationshipSatisfaction]],Table18[RelationshipSatisfaction],Table18[Id_RelationshipSatisfaction])</f>
        <v>RS001</v>
      </c>
      <c r="AQ439">
        <v>1</v>
      </c>
      <c r="AR439" t="str">
        <f>_xlfn.XLOOKUP(Table1[[#This Row],[RelationshipSatisfaction]],Table18[RelationshipSatisfaction],Table18[Deskripsi])</f>
        <v>Low</v>
      </c>
      <c r="AS439" t="str">
        <f>_xlfn.XLOOKUP(Table1[[#This Row],[StockOptionLevel]],Table19[StockOptionLevel],Table19[Id_StockOptionLevel])</f>
        <v>SOL001</v>
      </c>
      <c r="AT439">
        <v>0</v>
      </c>
      <c r="AU439" t="str">
        <f>_xlfn.XLOOKUP(Table1[[#This Row],[StockOptionLevel]],Table19[StockOptionLevel],Table19[Deskripsi])</f>
        <v>Non-Eligible</v>
      </c>
      <c r="AV439">
        <v>4</v>
      </c>
      <c r="AW439">
        <v>3</v>
      </c>
      <c r="AX439" t="str">
        <f>_xlfn.XLOOKUP(Table1[[#This Row],[WorkLifeBalance]],Table20[WorkLifeBalance],Table20[Id_WorkLifeBalance])</f>
        <v>WLB002</v>
      </c>
      <c r="AY439">
        <v>3</v>
      </c>
      <c r="AZ439" t="str">
        <f>_xlfn.XLOOKUP(Table1[[#This Row],[WorkLifeBalance]],Table20[WorkLifeBalance],Table20[Deskripsi])</f>
        <v>Good</v>
      </c>
      <c r="BA439">
        <v>3</v>
      </c>
      <c r="BB439">
        <v>2</v>
      </c>
      <c r="BC439">
        <v>1</v>
      </c>
      <c r="BD439">
        <v>2</v>
      </c>
    </row>
    <row r="440" spans="1:56" x14ac:dyDescent="0.25">
      <c r="A440">
        <v>35</v>
      </c>
      <c r="B440" t="str">
        <f>_xlfn.XLOOKUP(Table1[[#This Row],[Attrition]],Table2[Attrition],Table2[Id_Attrition])</f>
        <v>A002</v>
      </c>
      <c r="C440" t="s">
        <v>33</v>
      </c>
      <c r="D440" t="str">
        <f>_xlfn.XLOOKUP(Table1[[#This Row],[BusinessTravel]],Table5[BusinessTravel],Table5[Id_BusinessTravel])</f>
        <v>BS001</v>
      </c>
      <c r="E440" t="s">
        <v>34</v>
      </c>
      <c r="F440">
        <v>1276</v>
      </c>
      <c r="G440" t="str">
        <f>_xlfn.XLOOKUP(Table1[[#This Row],[Department]],Table6[Department],Table6[Id_Departement])</f>
        <v>D002</v>
      </c>
      <c r="H440" t="s">
        <v>38</v>
      </c>
      <c r="I440">
        <v>16</v>
      </c>
      <c r="J440" t="str">
        <f>_xlfn.XLOOKUP(Table1[[#This Row],[Education]],Table8[Education],Table8[Id_Education])</f>
        <v>E003</v>
      </c>
      <c r="K440">
        <v>3</v>
      </c>
      <c r="L440" t="str">
        <f>_xlfn.XLOOKUP(Table1[[#This Row],[EducationField]],Table7[EducationField],Table7[Id_EducationField])</f>
        <v>EF001</v>
      </c>
      <c r="M440" t="s">
        <v>40</v>
      </c>
      <c r="N440" t="str">
        <f>_xlfn.XLOOKUP(Table1[[#This Row],[EmployeeNumber]],Table4[EmployeeNumber],Table4[Id_Employee])</f>
        <v>EMP00439</v>
      </c>
      <c r="O440">
        <v>586</v>
      </c>
      <c r="P440" t="str">
        <f>_xlfn.XLOOKUP(Table1[[#This Row],[EnvironmentSatisfaction]],Table9[EnvironmentSatisfaction],Table9[Id_EnviromentSatisfaction])</f>
        <v>ES004</v>
      </c>
      <c r="Q440">
        <v>4</v>
      </c>
      <c r="R440" t="str">
        <f>_xlfn.XLOOKUP(Table1[[#This Row],[EnvironmentSatisfaction]],Table9[EnvironmentSatisfaction],Table9[Deskripsi])</f>
        <v>Very High</v>
      </c>
      <c r="S440" t="str">
        <f>_xlfn.XLOOKUP(Table1[[#This Row],[Gender]],Table10[Gender],Table10[Id_Gender])</f>
        <v>G002</v>
      </c>
      <c r="T440" t="s">
        <v>46</v>
      </c>
      <c r="U440">
        <v>72</v>
      </c>
      <c r="V440" t="str">
        <f>_xlfn.XLOOKUP(Table1[[#This Row],[JobInvolvement]],Table11[JobInvolvement],Table11[Id_JobInvolvement])</f>
        <v>JI003</v>
      </c>
      <c r="W440">
        <v>3</v>
      </c>
      <c r="X440" t="str">
        <f>_xlfn.XLOOKUP(Table1[[#This Row],[JobLevel]],Table12[JobLevel],Table12[Id_JobLevel])</f>
        <v>JL003</v>
      </c>
      <c r="Y440">
        <v>3</v>
      </c>
      <c r="Z440" t="str">
        <f>_xlfn.XLOOKUP(Table1[[#This Row],[JobRole]],Table13[JobRole],Table13[Id_JobRole])</f>
        <v>JR005</v>
      </c>
      <c r="AA440" t="s">
        <v>51</v>
      </c>
      <c r="AB440" t="str">
        <f>_xlfn.XLOOKUP(Table1[[#This Row],[JobSatisfaction]],Table14[JobSatisfaction],Table14[Id_JobSatisfaction])</f>
        <v>JS003</v>
      </c>
      <c r="AC440">
        <v>3</v>
      </c>
      <c r="AD440" t="str">
        <f>_xlfn.XLOOKUP(Table1[[#This Row],[JobSatisfaction]],Table14[JobSatisfaction],Table14[Deskripsi])</f>
        <v>High</v>
      </c>
      <c r="AE440" t="str">
        <f>_xlfn.XLOOKUP(Table1[[#This Row],[MaritalStatus]],Table15[MaritalStatus],Table15[Id_MaritalStatus])</f>
        <v>MS002</v>
      </c>
      <c r="AF440" t="s">
        <v>56</v>
      </c>
      <c r="AG440">
        <v>7632</v>
      </c>
      <c r="AH440">
        <v>14295</v>
      </c>
      <c r="AI440">
        <v>4</v>
      </c>
      <c r="AJ440" t="str">
        <f>_xlfn.XLOOKUP(Table1[[#This Row],[OverTime]],Table16[OverTime],Table16[Id_OverTime])</f>
        <v>OT001</v>
      </c>
      <c r="AK440" t="s">
        <v>32</v>
      </c>
      <c r="AL440">
        <v>12</v>
      </c>
      <c r="AM440" t="str">
        <f>_xlfn.XLOOKUP(Table1[[#This Row],[PerformanceRating]],Table17[PerformanceRating],Table17[Id_PerformanceRating])</f>
        <v>PR003</v>
      </c>
      <c r="AN440">
        <v>3</v>
      </c>
      <c r="AO440" t="str">
        <f>_xlfn.XLOOKUP(Table1[[#This Row],[PerformanceRating]],Table17[PerformanceRating],Table17[Deskripsi])</f>
        <v>Excellent</v>
      </c>
      <c r="AP440" t="str">
        <f>_xlfn.XLOOKUP(Table1[[#This Row],[RelationshipSatisfaction]],Table18[RelationshipSatisfaction],Table18[Id_RelationshipSatisfaction])</f>
        <v>RS003</v>
      </c>
      <c r="AQ440">
        <v>3</v>
      </c>
      <c r="AR440" t="str">
        <f>_xlfn.XLOOKUP(Table1[[#This Row],[RelationshipSatisfaction]],Table18[RelationshipSatisfaction],Table18[Deskripsi])</f>
        <v>High</v>
      </c>
      <c r="AS440" t="str">
        <f>_xlfn.XLOOKUP(Table1[[#This Row],[StockOptionLevel]],Table19[StockOptionLevel],Table19[Id_StockOptionLevel])</f>
        <v>SOL001</v>
      </c>
      <c r="AT440">
        <v>0</v>
      </c>
      <c r="AU440" t="str">
        <f>_xlfn.XLOOKUP(Table1[[#This Row],[StockOptionLevel]],Table19[StockOptionLevel],Table19[Deskripsi])</f>
        <v>Non-Eligible</v>
      </c>
      <c r="AV440">
        <v>10</v>
      </c>
      <c r="AW440">
        <v>2</v>
      </c>
      <c r="AX440" t="str">
        <f>_xlfn.XLOOKUP(Table1[[#This Row],[WorkLifeBalance]],Table20[WorkLifeBalance],Table20[Id_WorkLifeBalance])</f>
        <v>WLB002</v>
      </c>
      <c r="AY440">
        <v>3</v>
      </c>
      <c r="AZ440" t="str">
        <f>_xlfn.XLOOKUP(Table1[[#This Row],[WorkLifeBalance]],Table20[WorkLifeBalance],Table20[Deskripsi])</f>
        <v>Good</v>
      </c>
      <c r="BA440">
        <v>8</v>
      </c>
      <c r="BB440">
        <v>7</v>
      </c>
      <c r="BC440">
        <v>0</v>
      </c>
      <c r="BD440">
        <v>0</v>
      </c>
    </row>
    <row r="441" spans="1:56" x14ac:dyDescent="0.25">
      <c r="A441">
        <v>31</v>
      </c>
      <c r="B441" t="str">
        <f>_xlfn.XLOOKUP(Table1[[#This Row],[Attrition]],Table2[Attrition],Table2[Id_Attrition])</f>
        <v>A001</v>
      </c>
      <c r="C441" t="s">
        <v>32</v>
      </c>
      <c r="D441" t="str">
        <f>_xlfn.XLOOKUP(Table1[[#This Row],[BusinessTravel]],Table5[BusinessTravel],Table5[Id_BusinessTravel])</f>
        <v>BS002</v>
      </c>
      <c r="E441" t="s">
        <v>35</v>
      </c>
      <c r="F441">
        <v>534</v>
      </c>
      <c r="G441" t="str">
        <f>_xlfn.XLOOKUP(Table1[[#This Row],[Department]],Table6[Department],Table6[Id_Departement])</f>
        <v>D002</v>
      </c>
      <c r="H441" t="s">
        <v>38</v>
      </c>
      <c r="I441">
        <v>20</v>
      </c>
      <c r="J441" t="str">
        <f>_xlfn.XLOOKUP(Table1[[#This Row],[Education]],Table8[Education],Table8[Id_Education])</f>
        <v>E003</v>
      </c>
      <c r="K441">
        <v>3</v>
      </c>
      <c r="L441" t="str">
        <f>_xlfn.XLOOKUP(Table1[[#This Row],[EducationField]],Table7[EducationField],Table7[Id_EducationField])</f>
        <v>EF001</v>
      </c>
      <c r="M441" t="s">
        <v>40</v>
      </c>
      <c r="N441" t="str">
        <f>_xlfn.XLOOKUP(Table1[[#This Row],[EmployeeNumber]],Table4[EmployeeNumber],Table4[Id_Employee])</f>
        <v>EMP00440</v>
      </c>
      <c r="O441">
        <v>587</v>
      </c>
      <c r="P441" t="str">
        <f>_xlfn.XLOOKUP(Table1[[#This Row],[EnvironmentSatisfaction]],Table9[EnvironmentSatisfaction],Table9[Id_EnviromentSatisfaction])</f>
        <v>ES001</v>
      </c>
      <c r="Q441">
        <v>1</v>
      </c>
      <c r="R441" t="str">
        <f>_xlfn.XLOOKUP(Table1[[#This Row],[EnvironmentSatisfaction]],Table9[EnvironmentSatisfaction],Table9[Deskripsi])</f>
        <v>Low</v>
      </c>
      <c r="S441" t="str">
        <f>_xlfn.XLOOKUP(Table1[[#This Row],[Gender]],Table10[Gender],Table10[Id_Gender])</f>
        <v>G002</v>
      </c>
      <c r="T441" t="s">
        <v>46</v>
      </c>
      <c r="U441">
        <v>66</v>
      </c>
      <c r="V441" t="str">
        <f>_xlfn.XLOOKUP(Table1[[#This Row],[JobInvolvement]],Table11[JobInvolvement],Table11[Id_JobInvolvement])</f>
        <v>JI003</v>
      </c>
      <c r="W441">
        <v>3</v>
      </c>
      <c r="X441" t="str">
        <f>_xlfn.XLOOKUP(Table1[[#This Row],[JobLevel]],Table12[JobLevel],Table12[Id_JobLevel])</f>
        <v>JL003</v>
      </c>
      <c r="Y441">
        <v>3</v>
      </c>
      <c r="Z441" t="str">
        <f>_xlfn.XLOOKUP(Table1[[#This Row],[JobRole]],Table13[JobRole],Table13[Id_JobRole])</f>
        <v>JR005</v>
      </c>
      <c r="AA441" t="s">
        <v>51</v>
      </c>
      <c r="AB441" t="str">
        <f>_xlfn.XLOOKUP(Table1[[#This Row],[JobSatisfaction]],Table14[JobSatisfaction],Table14[Id_JobSatisfaction])</f>
        <v>JS003</v>
      </c>
      <c r="AC441">
        <v>3</v>
      </c>
      <c r="AD441" t="str">
        <f>_xlfn.XLOOKUP(Table1[[#This Row],[JobSatisfaction]],Table14[JobSatisfaction],Table14[Deskripsi])</f>
        <v>High</v>
      </c>
      <c r="AE441" t="str">
        <f>_xlfn.XLOOKUP(Table1[[#This Row],[MaritalStatus]],Table15[MaritalStatus],Table15[Id_MaritalStatus])</f>
        <v>MS002</v>
      </c>
      <c r="AF441" t="s">
        <v>56</v>
      </c>
      <c r="AG441">
        <v>9824</v>
      </c>
      <c r="AH441">
        <v>22908</v>
      </c>
      <c r="AI441">
        <v>3</v>
      </c>
      <c r="AJ441" t="str">
        <f>_xlfn.XLOOKUP(Table1[[#This Row],[OverTime]],Table16[OverTime],Table16[Id_OverTime])</f>
        <v>OT002</v>
      </c>
      <c r="AK441" t="s">
        <v>33</v>
      </c>
      <c r="AL441">
        <v>12</v>
      </c>
      <c r="AM441" t="str">
        <f>_xlfn.XLOOKUP(Table1[[#This Row],[PerformanceRating]],Table17[PerformanceRating],Table17[Id_PerformanceRating])</f>
        <v>PR003</v>
      </c>
      <c r="AN441">
        <v>3</v>
      </c>
      <c r="AO441" t="str">
        <f>_xlfn.XLOOKUP(Table1[[#This Row],[PerformanceRating]],Table17[PerformanceRating],Table17[Deskripsi])</f>
        <v>Excellent</v>
      </c>
      <c r="AP441" t="str">
        <f>_xlfn.XLOOKUP(Table1[[#This Row],[RelationshipSatisfaction]],Table18[RelationshipSatisfaction],Table18[Id_RelationshipSatisfaction])</f>
        <v>RS001</v>
      </c>
      <c r="AQ441">
        <v>1</v>
      </c>
      <c r="AR441" t="str">
        <f>_xlfn.XLOOKUP(Table1[[#This Row],[RelationshipSatisfaction]],Table18[RelationshipSatisfaction],Table18[Deskripsi])</f>
        <v>Low</v>
      </c>
      <c r="AS441" t="str">
        <f>_xlfn.XLOOKUP(Table1[[#This Row],[StockOptionLevel]],Table19[StockOptionLevel],Table19[Id_StockOptionLevel])</f>
        <v>SOL001</v>
      </c>
      <c r="AT441">
        <v>0</v>
      </c>
      <c r="AU441" t="str">
        <f>_xlfn.XLOOKUP(Table1[[#This Row],[StockOptionLevel]],Table19[StockOptionLevel],Table19[Deskripsi])</f>
        <v>Non-Eligible</v>
      </c>
      <c r="AV441">
        <v>12</v>
      </c>
      <c r="AW441">
        <v>2</v>
      </c>
      <c r="AX441" t="str">
        <f>_xlfn.XLOOKUP(Table1[[#This Row],[WorkLifeBalance]],Table20[WorkLifeBalance],Table20[Id_WorkLifeBalance])</f>
        <v>WLB002</v>
      </c>
      <c r="AY441">
        <v>3</v>
      </c>
      <c r="AZ441" t="str">
        <f>_xlfn.XLOOKUP(Table1[[#This Row],[WorkLifeBalance]],Table20[WorkLifeBalance],Table20[Deskripsi])</f>
        <v>Good</v>
      </c>
      <c r="BA441">
        <v>1</v>
      </c>
      <c r="BB441">
        <v>0</v>
      </c>
      <c r="BC441">
        <v>0</v>
      </c>
      <c r="BD441">
        <v>0</v>
      </c>
    </row>
    <row r="442" spans="1:56" x14ac:dyDescent="0.25">
      <c r="A442">
        <v>34</v>
      </c>
      <c r="B442" t="str">
        <f>_xlfn.XLOOKUP(Table1[[#This Row],[Attrition]],Table2[Attrition],Table2[Id_Attrition])</f>
        <v>A001</v>
      </c>
      <c r="C442" t="s">
        <v>32</v>
      </c>
      <c r="D442" t="str">
        <f>_xlfn.XLOOKUP(Table1[[#This Row],[BusinessTravel]],Table5[BusinessTravel],Table5[Id_BusinessTravel])</f>
        <v>BS002</v>
      </c>
      <c r="E442" t="s">
        <v>35</v>
      </c>
      <c r="F442">
        <v>988</v>
      </c>
      <c r="G442" t="str">
        <f>_xlfn.XLOOKUP(Table1[[#This Row],[Department]],Table6[Department],Table6[Id_Departement])</f>
        <v>D003</v>
      </c>
      <c r="H442" t="s">
        <v>39</v>
      </c>
      <c r="I442">
        <v>23</v>
      </c>
      <c r="J442" t="str">
        <f>_xlfn.XLOOKUP(Table1[[#This Row],[Education]],Table8[Education],Table8[Id_Education])</f>
        <v>E003</v>
      </c>
      <c r="K442">
        <v>3</v>
      </c>
      <c r="L442" t="str">
        <f>_xlfn.XLOOKUP(Table1[[#This Row],[EducationField]],Table7[EducationField],Table7[Id_EducationField])</f>
        <v>EF006</v>
      </c>
      <c r="M442" t="s">
        <v>39</v>
      </c>
      <c r="N442" t="str">
        <f>_xlfn.XLOOKUP(Table1[[#This Row],[EmployeeNumber]],Table4[EmployeeNumber],Table4[Id_Employee])</f>
        <v>EMP00441</v>
      </c>
      <c r="O442">
        <v>590</v>
      </c>
      <c r="P442" t="str">
        <f>_xlfn.XLOOKUP(Table1[[#This Row],[EnvironmentSatisfaction]],Table9[EnvironmentSatisfaction],Table9[Id_EnviromentSatisfaction])</f>
        <v>ES002</v>
      </c>
      <c r="Q442">
        <v>2</v>
      </c>
      <c r="R442" t="str">
        <f>_xlfn.XLOOKUP(Table1[[#This Row],[EnvironmentSatisfaction]],Table9[EnvironmentSatisfaction],Table9[Deskripsi])</f>
        <v>Medium</v>
      </c>
      <c r="S442" t="str">
        <f>_xlfn.XLOOKUP(Table1[[#This Row],[Gender]],Table10[Gender],Table10[Id_Gender])</f>
        <v>G001</v>
      </c>
      <c r="T442" t="s">
        <v>45</v>
      </c>
      <c r="U442">
        <v>43</v>
      </c>
      <c r="V442" t="str">
        <f>_xlfn.XLOOKUP(Table1[[#This Row],[JobInvolvement]],Table11[JobInvolvement],Table11[Id_JobInvolvement])</f>
        <v>JI003</v>
      </c>
      <c r="W442">
        <v>3</v>
      </c>
      <c r="X442" t="str">
        <f>_xlfn.XLOOKUP(Table1[[#This Row],[JobLevel]],Table12[JobLevel],Table12[Id_JobLevel])</f>
        <v>JL003</v>
      </c>
      <c r="Y442">
        <v>3</v>
      </c>
      <c r="Z442" t="str">
        <f>_xlfn.XLOOKUP(Table1[[#This Row],[JobRole]],Table13[JobRole],Table13[Id_JobRole])</f>
        <v>JR009</v>
      </c>
      <c r="AA442" t="s">
        <v>39</v>
      </c>
      <c r="AB442" t="str">
        <f>_xlfn.XLOOKUP(Table1[[#This Row],[JobSatisfaction]],Table14[JobSatisfaction],Table14[Id_JobSatisfaction])</f>
        <v>JS001</v>
      </c>
      <c r="AC442">
        <v>1</v>
      </c>
      <c r="AD442" t="str">
        <f>_xlfn.XLOOKUP(Table1[[#This Row],[JobSatisfaction]],Table14[JobSatisfaction],Table14[Deskripsi])</f>
        <v>Low</v>
      </c>
      <c r="AE442" t="str">
        <f>_xlfn.XLOOKUP(Table1[[#This Row],[MaritalStatus]],Table15[MaritalStatus],Table15[Id_MaritalStatus])</f>
        <v>MS003</v>
      </c>
      <c r="AF442" t="s">
        <v>57</v>
      </c>
      <c r="AG442">
        <v>9950</v>
      </c>
      <c r="AH442">
        <v>11533</v>
      </c>
      <c r="AI442">
        <v>9</v>
      </c>
      <c r="AJ442" t="str">
        <f>_xlfn.XLOOKUP(Table1[[#This Row],[OverTime]],Table16[OverTime],Table16[Id_OverTime])</f>
        <v>OT001</v>
      </c>
      <c r="AK442" t="s">
        <v>32</v>
      </c>
      <c r="AL442">
        <v>15</v>
      </c>
      <c r="AM442" t="str">
        <f>_xlfn.XLOOKUP(Table1[[#This Row],[PerformanceRating]],Table17[PerformanceRating],Table17[Id_PerformanceRating])</f>
        <v>PR003</v>
      </c>
      <c r="AN442">
        <v>3</v>
      </c>
      <c r="AO442" t="str">
        <f>_xlfn.XLOOKUP(Table1[[#This Row],[PerformanceRating]],Table17[PerformanceRating],Table17[Deskripsi])</f>
        <v>Excellent</v>
      </c>
      <c r="AP442" t="str">
        <f>_xlfn.XLOOKUP(Table1[[#This Row],[RelationshipSatisfaction]],Table18[RelationshipSatisfaction],Table18[Id_RelationshipSatisfaction])</f>
        <v>RS003</v>
      </c>
      <c r="AQ442">
        <v>3</v>
      </c>
      <c r="AR442" t="str">
        <f>_xlfn.XLOOKUP(Table1[[#This Row],[RelationshipSatisfaction]],Table18[RelationshipSatisfaction],Table18[Deskripsi])</f>
        <v>High</v>
      </c>
      <c r="AS442" t="str">
        <f>_xlfn.XLOOKUP(Table1[[#This Row],[StockOptionLevel]],Table19[StockOptionLevel],Table19[Id_StockOptionLevel])</f>
        <v>SOL004</v>
      </c>
      <c r="AT442">
        <v>3</v>
      </c>
      <c r="AU442" t="str">
        <f>_xlfn.XLOOKUP(Table1[[#This Row],[StockOptionLevel]],Table19[StockOptionLevel],Table19[Deskripsi])</f>
        <v>Senior/Executive</v>
      </c>
      <c r="AV442">
        <v>11</v>
      </c>
      <c r="AW442">
        <v>2</v>
      </c>
      <c r="AX442" t="str">
        <f>_xlfn.XLOOKUP(Table1[[#This Row],[WorkLifeBalance]],Table20[WorkLifeBalance],Table20[Id_WorkLifeBalance])</f>
        <v>WLB002</v>
      </c>
      <c r="AY442">
        <v>3</v>
      </c>
      <c r="AZ442" t="str">
        <f>_xlfn.XLOOKUP(Table1[[#This Row],[WorkLifeBalance]],Table20[WorkLifeBalance],Table20[Deskripsi])</f>
        <v>Good</v>
      </c>
      <c r="BA442">
        <v>3</v>
      </c>
      <c r="BB442">
        <v>2</v>
      </c>
      <c r="BC442">
        <v>0</v>
      </c>
      <c r="BD442">
        <v>2</v>
      </c>
    </row>
    <row r="443" spans="1:56" x14ac:dyDescent="0.25">
      <c r="A443">
        <v>42</v>
      </c>
      <c r="B443" t="str">
        <f>_xlfn.XLOOKUP(Table1[[#This Row],[Attrition]],Table2[Attrition],Table2[Id_Attrition])</f>
        <v>A002</v>
      </c>
      <c r="C443" t="s">
        <v>33</v>
      </c>
      <c r="D443" t="str">
        <f>_xlfn.XLOOKUP(Table1[[#This Row],[BusinessTravel]],Table5[BusinessTravel],Table5[Id_BusinessTravel])</f>
        <v>BS002</v>
      </c>
      <c r="E443" t="s">
        <v>35</v>
      </c>
      <c r="F443">
        <v>1474</v>
      </c>
      <c r="G443" t="str">
        <f>_xlfn.XLOOKUP(Table1[[#This Row],[Department]],Table6[Department],Table6[Id_Departement])</f>
        <v>D002</v>
      </c>
      <c r="H443" t="s">
        <v>38</v>
      </c>
      <c r="I443">
        <v>5</v>
      </c>
      <c r="J443" t="str">
        <f>_xlfn.XLOOKUP(Table1[[#This Row],[Education]],Table8[Education],Table8[Id_Education])</f>
        <v>E002</v>
      </c>
      <c r="K443">
        <v>2</v>
      </c>
      <c r="L443" t="str">
        <f>_xlfn.XLOOKUP(Table1[[#This Row],[EducationField]],Table7[EducationField],Table7[Id_EducationField])</f>
        <v>EF002</v>
      </c>
      <c r="M443" t="s">
        <v>41</v>
      </c>
      <c r="N443" t="str">
        <f>_xlfn.XLOOKUP(Table1[[#This Row],[EmployeeNumber]],Table4[EmployeeNumber],Table4[Id_Employee])</f>
        <v>EMP00442</v>
      </c>
      <c r="O443">
        <v>591</v>
      </c>
      <c r="P443" t="str">
        <f>_xlfn.XLOOKUP(Table1[[#This Row],[EnvironmentSatisfaction]],Table9[EnvironmentSatisfaction],Table9[Id_EnviromentSatisfaction])</f>
        <v>ES002</v>
      </c>
      <c r="Q443">
        <v>2</v>
      </c>
      <c r="R443" t="str">
        <f>_xlfn.XLOOKUP(Table1[[#This Row],[EnvironmentSatisfaction]],Table9[EnvironmentSatisfaction],Table9[Deskripsi])</f>
        <v>Medium</v>
      </c>
      <c r="S443" t="str">
        <f>_xlfn.XLOOKUP(Table1[[#This Row],[Gender]],Table10[Gender],Table10[Id_Gender])</f>
        <v>G002</v>
      </c>
      <c r="T443" t="s">
        <v>46</v>
      </c>
      <c r="U443">
        <v>97</v>
      </c>
      <c r="V443" t="str">
        <f>_xlfn.XLOOKUP(Table1[[#This Row],[JobInvolvement]],Table11[JobInvolvement],Table11[Id_JobInvolvement])</f>
        <v>JI003</v>
      </c>
      <c r="W443">
        <v>3</v>
      </c>
      <c r="X443" t="str">
        <f>_xlfn.XLOOKUP(Table1[[#This Row],[JobLevel]],Table12[JobLevel],Table12[Id_JobLevel])</f>
        <v>JL001</v>
      </c>
      <c r="Y443">
        <v>1</v>
      </c>
      <c r="Z443" t="str">
        <f>_xlfn.XLOOKUP(Table1[[#This Row],[JobRole]],Table13[JobRole],Table13[Id_JobRole])</f>
        <v>JR003</v>
      </c>
      <c r="AA443" t="s">
        <v>49</v>
      </c>
      <c r="AB443" t="str">
        <f>_xlfn.XLOOKUP(Table1[[#This Row],[JobSatisfaction]],Table14[JobSatisfaction],Table14[Id_JobSatisfaction])</f>
        <v>JS003</v>
      </c>
      <c r="AC443">
        <v>3</v>
      </c>
      <c r="AD443" t="str">
        <f>_xlfn.XLOOKUP(Table1[[#This Row],[JobSatisfaction]],Table14[JobSatisfaction],Table14[Deskripsi])</f>
        <v>High</v>
      </c>
      <c r="AE443" t="str">
        <f>_xlfn.XLOOKUP(Table1[[#This Row],[MaritalStatus]],Table15[MaritalStatus],Table15[Id_MaritalStatus])</f>
        <v>MS002</v>
      </c>
      <c r="AF443" t="s">
        <v>56</v>
      </c>
      <c r="AG443">
        <v>2093</v>
      </c>
      <c r="AH443">
        <v>9260</v>
      </c>
      <c r="AI443">
        <v>4</v>
      </c>
      <c r="AJ443" t="str">
        <f>_xlfn.XLOOKUP(Table1[[#This Row],[OverTime]],Table16[OverTime],Table16[Id_OverTime])</f>
        <v>OT002</v>
      </c>
      <c r="AK443" t="s">
        <v>33</v>
      </c>
      <c r="AL443">
        <v>17</v>
      </c>
      <c r="AM443" t="str">
        <f>_xlfn.XLOOKUP(Table1[[#This Row],[PerformanceRating]],Table17[PerformanceRating],Table17[Id_PerformanceRating])</f>
        <v>PR003</v>
      </c>
      <c r="AN443">
        <v>3</v>
      </c>
      <c r="AO443" t="str">
        <f>_xlfn.XLOOKUP(Table1[[#This Row],[PerformanceRating]],Table17[PerformanceRating],Table17[Deskripsi])</f>
        <v>Excellent</v>
      </c>
      <c r="AP443" t="str">
        <f>_xlfn.XLOOKUP(Table1[[#This Row],[RelationshipSatisfaction]],Table18[RelationshipSatisfaction],Table18[Id_RelationshipSatisfaction])</f>
        <v>RS004</v>
      </c>
      <c r="AQ443">
        <v>4</v>
      </c>
      <c r="AR443" t="str">
        <f>_xlfn.XLOOKUP(Table1[[#This Row],[RelationshipSatisfaction]],Table18[RelationshipSatisfaction],Table18[Deskripsi])</f>
        <v>Very High</v>
      </c>
      <c r="AS443" t="str">
        <f>_xlfn.XLOOKUP(Table1[[#This Row],[StockOptionLevel]],Table19[StockOptionLevel],Table19[Id_StockOptionLevel])</f>
        <v>SOL002</v>
      </c>
      <c r="AT443">
        <v>1</v>
      </c>
      <c r="AU443" t="str">
        <f>_xlfn.XLOOKUP(Table1[[#This Row],[StockOptionLevel]],Table19[StockOptionLevel],Table19[Deskripsi])</f>
        <v>Standard</v>
      </c>
      <c r="AV443">
        <v>8</v>
      </c>
      <c r="AW443">
        <v>4</v>
      </c>
      <c r="AX443" t="str">
        <f>_xlfn.XLOOKUP(Table1[[#This Row],[WorkLifeBalance]],Table20[WorkLifeBalance],Table20[Id_WorkLifeBalance])</f>
        <v>WLB002</v>
      </c>
      <c r="AY443">
        <v>3</v>
      </c>
      <c r="AZ443" t="str">
        <f>_xlfn.XLOOKUP(Table1[[#This Row],[WorkLifeBalance]],Table20[WorkLifeBalance],Table20[Deskripsi])</f>
        <v>Good</v>
      </c>
      <c r="BA443">
        <v>2</v>
      </c>
      <c r="BB443">
        <v>2</v>
      </c>
      <c r="BC443">
        <v>2</v>
      </c>
      <c r="BD443">
        <v>0</v>
      </c>
    </row>
    <row r="444" spans="1:56" x14ac:dyDescent="0.25">
      <c r="A444">
        <v>36</v>
      </c>
      <c r="B444" t="str">
        <f>_xlfn.XLOOKUP(Table1[[#This Row],[Attrition]],Table2[Attrition],Table2[Id_Attrition])</f>
        <v>A002</v>
      </c>
      <c r="C444" t="s">
        <v>33</v>
      </c>
      <c r="D444" t="str">
        <f>_xlfn.XLOOKUP(Table1[[#This Row],[BusinessTravel]],Table5[BusinessTravel],Table5[Id_BusinessTravel])</f>
        <v>BS003</v>
      </c>
      <c r="E444" t="s">
        <v>36</v>
      </c>
      <c r="F444">
        <v>635</v>
      </c>
      <c r="G444" t="str">
        <f>_xlfn.XLOOKUP(Table1[[#This Row],[Department]],Table6[Department],Table6[Id_Departement])</f>
        <v>D001</v>
      </c>
      <c r="H444" t="s">
        <v>37</v>
      </c>
      <c r="I444">
        <v>10</v>
      </c>
      <c r="J444" t="str">
        <f>_xlfn.XLOOKUP(Table1[[#This Row],[Education]],Table8[Education],Table8[Id_Education])</f>
        <v>E004</v>
      </c>
      <c r="K444">
        <v>4</v>
      </c>
      <c r="L444" t="str">
        <f>_xlfn.XLOOKUP(Table1[[#This Row],[EducationField]],Table7[EducationField],Table7[Id_EducationField])</f>
        <v>EF003</v>
      </c>
      <c r="M444" t="s">
        <v>42</v>
      </c>
      <c r="N444" t="str">
        <f>_xlfn.XLOOKUP(Table1[[#This Row],[EmployeeNumber]],Table4[EmployeeNumber],Table4[Id_Employee])</f>
        <v>EMP00443</v>
      </c>
      <c r="O444">
        <v>592</v>
      </c>
      <c r="P444" t="str">
        <f>_xlfn.XLOOKUP(Table1[[#This Row],[EnvironmentSatisfaction]],Table9[EnvironmentSatisfaction],Table9[Id_EnviromentSatisfaction])</f>
        <v>ES002</v>
      </c>
      <c r="Q444">
        <v>2</v>
      </c>
      <c r="R444" t="str">
        <f>_xlfn.XLOOKUP(Table1[[#This Row],[EnvironmentSatisfaction]],Table9[EnvironmentSatisfaction],Table9[Deskripsi])</f>
        <v>Medium</v>
      </c>
      <c r="S444" t="str">
        <f>_xlfn.XLOOKUP(Table1[[#This Row],[Gender]],Table10[Gender],Table10[Id_Gender])</f>
        <v>G002</v>
      </c>
      <c r="T444" t="s">
        <v>46</v>
      </c>
      <c r="U444">
        <v>32</v>
      </c>
      <c r="V444" t="str">
        <f>_xlfn.XLOOKUP(Table1[[#This Row],[JobInvolvement]],Table11[JobInvolvement],Table11[Id_JobInvolvement])</f>
        <v>JI003</v>
      </c>
      <c r="W444">
        <v>3</v>
      </c>
      <c r="X444" t="str">
        <f>_xlfn.XLOOKUP(Table1[[#This Row],[JobLevel]],Table12[JobLevel],Table12[Id_JobLevel])</f>
        <v>JL003</v>
      </c>
      <c r="Y444">
        <v>3</v>
      </c>
      <c r="Z444" t="str">
        <f>_xlfn.XLOOKUP(Table1[[#This Row],[JobRole]],Table13[JobRole],Table13[Id_JobRole])</f>
        <v>JR001</v>
      </c>
      <c r="AA444" t="s">
        <v>47</v>
      </c>
      <c r="AB444" t="str">
        <f>_xlfn.XLOOKUP(Table1[[#This Row],[JobSatisfaction]],Table14[JobSatisfaction],Table14[Id_JobSatisfaction])</f>
        <v>JS004</v>
      </c>
      <c r="AC444">
        <v>4</v>
      </c>
      <c r="AD444" t="str">
        <f>_xlfn.XLOOKUP(Table1[[#This Row],[JobSatisfaction]],Table14[JobSatisfaction],Table14[Deskripsi])</f>
        <v>Very High</v>
      </c>
      <c r="AE444" t="str">
        <f>_xlfn.XLOOKUP(Table1[[#This Row],[MaritalStatus]],Table15[MaritalStatus],Table15[Id_MaritalStatus])</f>
        <v>MS001</v>
      </c>
      <c r="AF444" t="s">
        <v>55</v>
      </c>
      <c r="AG444">
        <v>9980</v>
      </c>
      <c r="AH444">
        <v>15318</v>
      </c>
      <c r="AI444">
        <v>1</v>
      </c>
      <c r="AJ444" t="str">
        <f>_xlfn.XLOOKUP(Table1[[#This Row],[OverTime]],Table16[OverTime],Table16[Id_OverTime])</f>
        <v>OT002</v>
      </c>
      <c r="AK444" t="s">
        <v>33</v>
      </c>
      <c r="AL444">
        <v>14</v>
      </c>
      <c r="AM444" t="str">
        <f>_xlfn.XLOOKUP(Table1[[#This Row],[PerformanceRating]],Table17[PerformanceRating],Table17[Id_PerformanceRating])</f>
        <v>PR003</v>
      </c>
      <c r="AN444">
        <v>3</v>
      </c>
      <c r="AO444" t="str">
        <f>_xlfn.XLOOKUP(Table1[[#This Row],[PerformanceRating]],Table17[PerformanceRating],Table17[Deskripsi])</f>
        <v>Excellent</v>
      </c>
      <c r="AP444" t="str">
        <f>_xlfn.XLOOKUP(Table1[[#This Row],[RelationshipSatisfaction]],Table18[RelationshipSatisfaction],Table18[Id_RelationshipSatisfaction])</f>
        <v>RS004</v>
      </c>
      <c r="AQ444">
        <v>4</v>
      </c>
      <c r="AR444" t="str">
        <f>_xlfn.XLOOKUP(Table1[[#This Row],[RelationshipSatisfaction]],Table18[RelationshipSatisfaction],Table18[Deskripsi])</f>
        <v>Very High</v>
      </c>
      <c r="AS444" t="str">
        <f>_xlfn.XLOOKUP(Table1[[#This Row],[StockOptionLevel]],Table19[StockOptionLevel],Table19[Id_StockOptionLevel])</f>
        <v>SOL001</v>
      </c>
      <c r="AT444">
        <v>0</v>
      </c>
      <c r="AU444" t="str">
        <f>_xlfn.XLOOKUP(Table1[[#This Row],[StockOptionLevel]],Table19[StockOptionLevel],Table19[Deskripsi])</f>
        <v>Non-Eligible</v>
      </c>
      <c r="AV444">
        <v>10</v>
      </c>
      <c r="AW444">
        <v>3</v>
      </c>
      <c r="AX444" t="str">
        <f>_xlfn.XLOOKUP(Table1[[#This Row],[WorkLifeBalance]],Table20[WorkLifeBalance],Table20[Id_WorkLifeBalance])</f>
        <v>WLB003</v>
      </c>
      <c r="AY444">
        <v>2</v>
      </c>
      <c r="AZ444" t="str">
        <f>_xlfn.XLOOKUP(Table1[[#This Row],[WorkLifeBalance]],Table20[WorkLifeBalance],Table20[Deskripsi])</f>
        <v>Better</v>
      </c>
      <c r="BA444">
        <v>10</v>
      </c>
      <c r="BB444">
        <v>3</v>
      </c>
      <c r="BC444">
        <v>9</v>
      </c>
      <c r="BD444">
        <v>7</v>
      </c>
    </row>
    <row r="445" spans="1:56" x14ac:dyDescent="0.25">
      <c r="A445">
        <v>22</v>
      </c>
      <c r="B445" t="str">
        <f>_xlfn.XLOOKUP(Table1[[#This Row],[Attrition]],Table2[Attrition],Table2[Id_Attrition])</f>
        <v>A001</v>
      </c>
      <c r="C445" t="s">
        <v>32</v>
      </c>
      <c r="D445" t="str">
        <f>_xlfn.XLOOKUP(Table1[[#This Row],[BusinessTravel]],Table5[BusinessTravel],Table5[Id_BusinessTravel])</f>
        <v>BS002</v>
      </c>
      <c r="E445" t="s">
        <v>35</v>
      </c>
      <c r="F445">
        <v>1368</v>
      </c>
      <c r="G445" t="str">
        <f>_xlfn.XLOOKUP(Table1[[#This Row],[Department]],Table6[Department],Table6[Id_Departement])</f>
        <v>D002</v>
      </c>
      <c r="H445" t="s">
        <v>38</v>
      </c>
      <c r="I445">
        <v>4</v>
      </c>
      <c r="J445" t="str">
        <f>_xlfn.XLOOKUP(Table1[[#This Row],[Education]],Table8[Education],Table8[Id_Education])</f>
        <v>E001</v>
      </c>
      <c r="K445">
        <v>1</v>
      </c>
      <c r="L445" t="str">
        <f>_xlfn.XLOOKUP(Table1[[#This Row],[EducationField]],Table7[EducationField],Table7[Id_EducationField])</f>
        <v>EF005</v>
      </c>
      <c r="M445" t="s">
        <v>44</v>
      </c>
      <c r="N445" t="str">
        <f>_xlfn.XLOOKUP(Table1[[#This Row],[EmployeeNumber]],Table4[EmployeeNumber],Table4[Id_Employee])</f>
        <v>EMP00444</v>
      </c>
      <c r="O445">
        <v>593</v>
      </c>
      <c r="P445" t="str">
        <f>_xlfn.XLOOKUP(Table1[[#This Row],[EnvironmentSatisfaction]],Table9[EnvironmentSatisfaction],Table9[Id_EnviromentSatisfaction])</f>
        <v>ES003</v>
      </c>
      <c r="Q445">
        <v>3</v>
      </c>
      <c r="R445" t="str">
        <f>_xlfn.XLOOKUP(Table1[[#This Row],[EnvironmentSatisfaction]],Table9[EnvironmentSatisfaction],Table9[Deskripsi])</f>
        <v>High</v>
      </c>
      <c r="S445" t="str">
        <f>_xlfn.XLOOKUP(Table1[[#This Row],[Gender]],Table10[Gender],Table10[Id_Gender])</f>
        <v>G002</v>
      </c>
      <c r="T445" t="s">
        <v>46</v>
      </c>
      <c r="U445">
        <v>99</v>
      </c>
      <c r="V445" t="str">
        <f>_xlfn.XLOOKUP(Table1[[#This Row],[JobInvolvement]],Table11[JobInvolvement],Table11[Id_JobInvolvement])</f>
        <v>JI002</v>
      </c>
      <c r="W445">
        <v>2</v>
      </c>
      <c r="X445" t="str">
        <f>_xlfn.XLOOKUP(Table1[[#This Row],[JobLevel]],Table12[JobLevel],Table12[Id_JobLevel])</f>
        <v>JL001</v>
      </c>
      <c r="Y445">
        <v>1</v>
      </c>
      <c r="Z445" t="str">
        <f>_xlfn.XLOOKUP(Table1[[#This Row],[JobRole]],Table13[JobRole],Table13[Id_JobRole])</f>
        <v>JR003</v>
      </c>
      <c r="AA445" t="s">
        <v>49</v>
      </c>
      <c r="AB445" t="str">
        <f>_xlfn.XLOOKUP(Table1[[#This Row],[JobSatisfaction]],Table14[JobSatisfaction],Table14[Id_JobSatisfaction])</f>
        <v>JS003</v>
      </c>
      <c r="AC445">
        <v>3</v>
      </c>
      <c r="AD445" t="str">
        <f>_xlfn.XLOOKUP(Table1[[#This Row],[JobSatisfaction]],Table14[JobSatisfaction],Table14[Deskripsi])</f>
        <v>High</v>
      </c>
      <c r="AE445" t="str">
        <f>_xlfn.XLOOKUP(Table1[[#This Row],[MaritalStatus]],Table15[MaritalStatus],Table15[Id_MaritalStatus])</f>
        <v>MS001</v>
      </c>
      <c r="AF445" t="s">
        <v>55</v>
      </c>
      <c r="AG445">
        <v>3894</v>
      </c>
      <c r="AH445">
        <v>9129</v>
      </c>
      <c r="AI445">
        <v>5</v>
      </c>
      <c r="AJ445" t="str">
        <f>_xlfn.XLOOKUP(Table1[[#This Row],[OverTime]],Table16[OverTime],Table16[Id_OverTime])</f>
        <v>OT002</v>
      </c>
      <c r="AK445" t="s">
        <v>33</v>
      </c>
      <c r="AL445">
        <v>16</v>
      </c>
      <c r="AM445" t="str">
        <f>_xlfn.XLOOKUP(Table1[[#This Row],[PerformanceRating]],Table17[PerformanceRating],Table17[Id_PerformanceRating])</f>
        <v>PR003</v>
      </c>
      <c r="AN445">
        <v>3</v>
      </c>
      <c r="AO445" t="str">
        <f>_xlfn.XLOOKUP(Table1[[#This Row],[PerformanceRating]],Table17[PerformanceRating],Table17[Deskripsi])</f>
        <v>Excellent</v>
      </c>
      <c r="AP445" t="str">
        <f>_xlfn.XLOOKUP(Table1[[#This Row],[RelationshipSatisfaction]],Table18[RelationshipSatisfaction],Table18[Id_RelationshipSatisfaction])</f>
        <v>RS003</v>
      </c>
      <c r="AQ445">
        <v>3</v>
      </c>
      <c r="AR445" t="str">
        <f>_xlfn.XLOOKUP(Table1[[#This Row],[RelationshipSatisfaction]],Table18[RelationshipSatisfaction],Table18[Deskripsi])</f>
        <v>High</v>
      </c>
      <c r="AS445" t="str">
        <f>_xlfn.XLOOKUP(Table1[[#This Row],[StockOptionLevel]],Table19[StockOptionLevel],Table19[Id_StockOptionLevel])</f>
        <v>SOL001</v>
      </c>
      <c r="AT445">
        <v>0</v>
      </c>
      <c r="AU445" t="str">
        <f>_xlfn.XLOOKUP(Table1[[#This Row],[StockOptionLevel]],Table19[StockOptionLevel],Table19[Deskripsi])</f>
        <v>Non-Eligible</v>
      </c>
      <c r="AV445">
        <v>4</v>
      </c>
      <c r="AW445">
        <v>3</v>
      </c>
      <c r="AX445" t="str">
        <f>_xlfn.XLOOKUP(Table1[[#This Row],[WorkLifeBalance]],Table20[WorkLifeBalance],Table20[Id_WorkLifeBalance])</f>
        <v>WLB002</v>
      </c>
      <c r="AY445">
        <v>3</v>
      </c>
      <c r="AZ445" t="str">
        <f>_xlfn.XLOOKUP(Table1[[#This Row],[WorkLifeBalance]],Table20[WorkLifeBalance],Table20[Deskripsi])</f>
        <v>Good</v>
      </c>
      <c r="BA445">
        <v>2</v>
      </c>
      <c r="BB445">
        <v>2</v>
      </c>
      <c r="BC445">
        <v>1</v>
      </c>
      <c r="BD445">
        <v>2</v>
      </c>
    </row>
    <row r="446" spans="1:56" x14ac:dyDescent="0.25">
      <c r="A446">
        <v>48</v>
      </c>
      <c r="B446" t="str">
        <f>_xlfn.XLOOKUP(Table1[[#This Row],[Attrition]],Table2[Attrition],Table2[Id_Attrition])</f>
        <v>A002</v>
      </c>
      <c r="C446" t="s">
        <v>33</v>
      </c>
      <c r="D446" t="str">
        <f>_xlfn.XLOOKUP(Table1[[#This Row],[BusinessTravel]],Table5[BusinessTravel],Table5[Id_BusinessTravel])</f>
        <v>BS001</v>
      </c>
      <c r="E446" t="s">
        <v>34</v>
      </c>
      <c r="F446">
        <v>163</v>
      </c>
      <c r="G446" t="str">
        <f>_xlfn.XLOOKUP(Table1[[#This Row],[Department]],Table6[Department],Table6[Id_Departement])</f>
        <v>D001</v>
      </c>
      <c r="H446" t="s">
        <v>37</v>
      </c>
      <c r="I446">
        <v>2</v>
      </c>
      <c r="J446" t="str">
        <f>_xlfn.XLOOKUP(Table1[[#This Row],[Education]],Table8[Education],Table8[Id_Education])</f>
        <v>E005</v>
      </c>
      <c r="K446">
        <v>5</v>
      </c>
      <c r="L446" t="str">
        <f>_xlfn.XLOOKUP(Table1[[#This Row],[EducationField]],Table7[EducationField],Table7[Id_EducationField])</f>
        <v>EF004</v>
      </c>
      <c r="M446" t="s">
        <v>43</v>
      </c>
      <c r="N446" t="str">
        <f>_xlfn.XLOOKUP(Table1[[#This Row],[EmployeeNumber]],Table4[EmployeeNumber],Table4[Id_Employee])</f>
        <v>EMP00445</v>
      </c>
      <c r="O446">
        <v>595</v>
      </c>
      <c r="P446" t="str">
        <f>_xlfn.XLOOKUP(Table1[[#This Row],[EnvironmentSatisfaction]],Table9[EnvironmentSatisfaction],Table9[Id_EnviromentSatisfaction])</f>
        <v>ES002</v>
      </c>
      <c r="Q446">
        <v>2</v>
      </c>
      <c r="R446" t="str">
        <f>_xlfn.XLOOKUP(Table1[[#This Row],[EnvironmentSatisfaction]],Table9[EnvironmentSatisfaction],Table9[Deskripsi])</f>
        <v>Medium</v>
      </c>
      <c r="S446" t="str">
        <f>_xlfn.XLOOKUP(Table1[[#This Row],[Gender]],Table10[Gender],Table10[Id_Gender])</f>
        <v>G001</v>
      </c>
      <c r="T446" t="s">
        <v>45</v>
      </c>
      <c r="U446">
        <v>37</v>
      </c>
      <c r="V446" t="str">
        <f>_xlfn.XLOOKUP(Table1[[#This Row],[JobInvolvement]],Table11[JobInvolvement],Table11[Id_JobInvolvement])</f>
        <v>JI003</v>
      </c>
      <c r="W446">
        <v>3</v>
      </c>
      <c r="X446" t="str">
        <f>_xlfn.XLOOKUP(Table1[[#This Row],[JobLevel]],Table12[JobLevel],Table12[Id_JobLevel])</f>
        <v>JL002</v>
      </c>
      <c r="Y446">
        <v>2</v>
      </c>
      <c r="Z446" t="str">
        <f>_xlfn.XLOOKUP(Table1[[#This Row],[JobRole]],Table13[JobRole],Table13[Id_JobRole])</f>
        <v>JR001</v>
      </c>
      <c r="AA446" t="s">
        <v>47</v>
      </c>
      <c r="AB446" t="str">
        <f>_xlfn.XLOOKUP(Table1[[#This Row],[JobSatisfaction]],Table14[JobSatisfaction],Table14[Id_JobSatisfaction])</f>
        <v>JS004</v>
      </c>
      <c r="AC446">
        <v>4</v>
      </c>
      <c r="AD446" t="str">
        <f>_xlfn.XLOOKUP(Table1[[#This Row],[JobSatisfaction]],Table14[JobSatisfaction],Table14[Deskripsi])</f>
        <v>Very High</v>
      </c>
      <c r="AE446" t="str">
        <f>_xlfn.XLOOKUP(Table1[[#This Row],[MaritalStatus]],Table15[MaritalStatus],Table15[Id_MaritalStatus])</f>
        <v>MS002</v>
      </c>
      <c r="AF446" t="s">
        <v>56</v>
      </c>
      <c r="AG446">
        <v>4051</v>
      </c>
      <c r="AH446">
        <v>19658</v>
      </c>
      <c r="AI446">
        <v>2</v>
      </c>
      <c r="AJ446" t="str">
        <f>_xlfn.XLOOKUP(Table1[[#This Row],[OverTime]],Table16[OverTime],Table16[Id_OverTime])</f>
        <v>OT002</v>
      </c>
      <c r="AK446" t="s">
        <v>33</v>
      </c>
      <c r="AL446">
        <v>14</v>
      </c>
      <c r="AM446" t="str">
        <f>_xlfn.XLOOKUP(Table1[[#This Row],[PerformanceRating]],Table17[PerformanceRating],Table17[Id_PerformanceRating])</f>
        <v>PR003</v>
      </c>
      <c r="AN446">
        <v>3</v>
      </c>
      <c r="AO446" t="str">
        <f>_xlfn.XLOOKUP(Table1[[#This Row],[PerformanceRating]],Table17[PerformanceRating],Table17[Deskripsi])</f>
        <v>Excellent</v>
      </c>
      <c r="AP446" t="str">
        <f>_xlfn.XLOOKUP(Table1[[#This Row],[RelationshipSatisfaction]],Table18[RelationshipSatisfaction],Table18[Id_RelationshipSatisfaction])</f>
        <v>RS001</v>
      </c>
      <c r="AQ446">
        <v>1</v>
      </c>
      <c r="AR446" t="str">
        <f>_xlfn.XLOOKUP(Table1[[#This Row],[RelationshipSatisfaction]],Table18[RelationshipSatisfaction],Table18[Deskripsi])</f>
        <v>Low</v>
      </c>
      <c r="AS446" t="str">
        <f>_xlfn.XLOOKUP(Table1[[#This Row],[StockOptionLevel]],Table19[StockOptionLevel],Table19[Id_StockOptionLevel])</f>
        <v>SOL002</v>
      </c>
      <c r="AT446">
        <v>1</v>
      </c>
      <c r="AU446" t="str">
        <f>_xlfn.XLOOKUP(Table1[[#This Row],[StockOptionLevel]],Table19[StockOptionLevel],Table19[Deskripsi])</f>
        <v>Standard</v>
      </c>
      <c r="AV446">
        <v>14</v>
      </c>
      <c r="AW446">
        <v>2</v>
      </c>
      <c r="AX446" t="str">
        <f>_xlfn.XLOOKUP(Table1[[#This Row],[WorkLifeBalance]],Table20[WorkLifeBalance],Table20[Id_WorkLifeBalance])</f>
        <v>WLB002</v>
      </c>
      <c r="AY446">
        <v>3</v>
      </c>
      <c r="AZ446" t="str">
        <f>_xlfn.XLOOKUP(Table1[[#This Row],[WorkLifeBalance]],Table20[WorkLifeBalance],Table20[Deskripsi])</f>
        <v>Good</v>
      </c>
      <c r="BA446">
        <v>9</v>
      </c>
      <c r="BB446">
        <v>7</v>
      </c>
      <c r="BC446">
        <v>6</v>
      </c>
      <c r="BD446">
        <v>7</v>
      </c>
    </row>
    <row r="447" spans="1:56" x14ac:dyDescent="0.25">
      <c r="A447">
        <v>55</v>
      </c>
      <c r="B447" t="str">
        <f>_xlfn.XLOOKUP(Table1[[#This Row],[Attrition]],Table2[Attrition],Table2[Id_Attrition])</f>
        <v>A002</v>
      </c>
      <c r="C447" t="s">
        <v>33</v>
      </c>
      <c r="D447" t="str">
        <f>_xlfn.XLOOKUP(Table1[[#This Row],[BusinessTravel]],Table5[BusinessTravel],Table5[Id_BusinessTravel])</f>
        <v>BS001</v>
      </c>
      <c r="E447" t="s">
        <v>34</v>
      </c>
      <c r="F447">
        <v>1117</v>
      </c>
      <c r="G447" t="str">
        <f>_xlfn.XLOOKUP(Table1[[#This Row],[Department]],Table6[Department],Table6[Id_Departement])</f>
        <v>D001</v>
      </c>
      <c r="H447" t="s">
        <v>37</v>
      </c>
      <c r="I447">
        <v>18</v>
      </c>
      <c r="J447" t="str">
        <f>_xlfn.XLOOKUP(Table1[[#This Row],[Education]],Table8[Education],Table8[Id_Education])</f>
        <v>E005</v>
      </c>
      <c r="K447">
        <v>5</v>
      </c>
      <c r="L447" t="str">
        <f>_xlfn.XLOOKUP(Table1[[#This Row],[EducationField]],Table7[EducationField],Table7[Id_EducationField])</f>
        <v>EF001</v>
      </c>
      <c r="M447" t="s">
        <v>40</v>
      </c>
      <c r="N447" t="str">
        <f>_xlfn.XLOOKUP(Table1[[#This Row],[EmployeeNumber]],Table4[EmployeeNumber],Table4[Id_Employee])</f>
        <v>EMP00446</v>
      </c>
      <c r="O447">
        <v>597</v>
      </c>
      <c r="P447" t="str">
        <f>_xlfn.XLOOKUP(Table1[[#This Row],[EnvironmentSatisfaction]],Table9[EnvironmentSatisfaction],Table9[Id_EnviromentSatisfaction])</f>
        <v>ES001</v>
      </c>
      <c r="Q447">
        <v>1</v>
      </c>
      <c r="R447" t="str">
        <f>_xlfn.XLOOKUP(Table1[[#This Row],[EnvironmentSatisfaction]],Table9[EnvironmentSatisfaction],Table9[Deskripsi])</f>
        <v>Low</v>
      </c>
      <c r="S447" t="str">
        <f>_xlfn.XLOOKUP(Table1[[#This Row],[Gender]],Table10[Gender],Table10[Id_Gender])</f>
        <v>G001</v>
      </c>
      <c r="T447" t="s">
        <v>45</v>
      </c>
      <c r="U447">
        <v>83</v>
      </c>
      <c r="V447" t="str">
        <f>_xlfn.XLOOKUP(Table1[[#This Row],[JobInvolvement]],Table11[JobInvolvement],Table11[Id_JobInvolvement])</f>
        <v>JI003</v>
      </c>
      <c r="W447">
        <v>3</v>
      </c>
      <c r="X447" t="str">
        <f>_xlfn.XLOOKUP(Table1[[#This Row],[JobLevel]],Table12[JobLevel],Table12[Id_JobLevel])</f>
        <v>JL004</v>
      </c>
      <c r="Y447">
        <v>4</v>
      </c>
      <c r="Z447" t="str">
        <f>_xlfn.XLOOKUP(Table1[[#This Row],[JobRole]],Table13[JobRole],Table13[Id_JobRole])</f>
        <v>JR006</v>
      </c>
      <c r="AA447" t="s">
        <v>52</v>
      </c>
      <c r="AB447" t="str">
        <f>_xlfn.XLOOKUP(Table1[[#This Row],[JobSatisfaction]],Table14[JobSatisfaction],Table14[Id_JobSatisfaction])</f>
        <v>JS002</v>
      </c>
      <c r="AC447">
        <v>2</v>
      </c>
      <c r="AD447" t="str">
        <f>_xlfn.XLOOKUP(Table1[[#This Row],[JobSatisfaction]],Table14[JobSatisfaction],Table14[Deskripsi])</f>
        <v>Medium</v>
      </c>
      <c r="AE447" t="str">
        <f>_xlfn.XLOOKUP(Table1[[#This Row],[MaritalStatus]],Table15[MaritalStatus],Table15[Id_MaritalStatus])</f>
        <v>MS001</v>
      </c>
      <c r="AF447" t="s">
        <v>55</v>
      </c>
      <c r="AG447">
        <v>16835</v>
      </c>
      <c r="AH447">
        <v>9873</v>
      </c>
      <c r="AI447">
        <v>3</v>
      </c>
      <c r="AJ447" t="str">
        <f>_xlfn.XLOOKUP(Table1[[#This Row],[OverTime]],Table16[OverTime],Table16[Id_OverTime])</f>
        <v>OT002</v>
      </c>
      <c r="AK447" t="s">
        <v>33</v>
      </c>
      <c r="AL447">
        <v>23</v>
      </c>
      <c r="AM447" t="str">
        <f>_xlfn.XLOOKUP(Table1[[#This Row],[PerformanceRating]],Table17[PerformanceRating],Table17[Id_PerformanceRating])</f>
        <v>PR004</v>
      </c>
      <c r="AN447">
        <v>4</v>
      </c>
      <c r="AO447" t="str">
        <f>_xlfn.XLOOKUP(Table1[[#This Row],[PerformanceRating]],Table17[PerformanceRating],Table17[Deskripsi])</f>
        <v>Outstanding</v>
      </c>
      <c r="AP447" t="str">
        <f>_xlfn.XLOOKUP(Table1[[#This Row],[RelationshipSatisfaction]],Table18[RelationshipSatisfaction],Table18[Id_RelationshipSatisfaction])</f>
        <v>RS004</v>
      </c>
      <c r="AQ447">
        <v>4</v>
      </c>
      <c r="AR447" t="str">
        <f>_xlfn.XLOOKUP(Table1[[#This Row],[RelationshipSatisfaction]],Table18[RelationshipSatisfaction],Table18[Deskripsi])</f>
        <v>Very High</v>
      </c>
      <c r="AS447" t="str">
        <f>_xlfn.XLOOKUP(Table1[[#This Row],[StockOptionLevel]],Table19[StockOptionLevel],Table19[Id_StockOptionLevel])</f>
        <v>SOL001</v>
      </c>
      <c r="AT447">
        <v>0</v>
      </c>
      <c r="AU447" t="str">
        <f>_xlfn.XLOOKUP(Table1[[#This Row],[StockOptionLevel]],Table19[StockOptionLevel],Table19[Deskripsi])</f>
        <v>Non-Eligible</v>
      </c>
      <c r="AV447">
        <v>37</v>
      </c>
      <c r="AW447">
        <v>2</v>
      </c>
      <c r="AX447" t="str">
        <f>_xlfn.XLOOKUP(Table1[[#This Row],[WorkLifeBalance]],Table20[WorkLifeBalance],Table20[Id_WorkLifeBalance])</f>
        <v>WLB002</v>
      </c>
      <c r="AY447">
        <v>3</v>
      </c>
      <c r="AZ447" t="str">
        <f>_xlfn.XLOOKUP(Table1[[#This Row],[WorkLifeBalance]],Table20[WorkLifeBalance],Table20[Deskripsi])</f>
        <v>Good</v>
      </c>
      <c r="BA447">
        <v>10</v>
      </c>
      <c r="BB447">
        <v>9</v>
      </c>
      <c r="BC447">
        <v>7</v>
      </c>
      <c r="BD447">
        <v>7</v>
      </c>
    </row>
    <row r="448" spans="1:56" x14ac:dyDescent="0.25">
      <c r="A448">
        <v>41</v>
      </c>
      <c r="B448" t="str">
        <f>_xlfn.XLOOKUP(Table1[[#This Row],[Attrition]],Table2[Attrition],Table2[Id_Attrition])</f>
        <v>A002</v>
      </c>
      <c r="C448" t="s">
        <v>33</v>
      </c>
      <c r="D448" t="str">
        <f>_xlfn.XLOOKUP(Table1[[#This Row],[BusinessTravel]],Table5[BusinessTravel],Table5[Id_BusinessTravel])</f>
        <v>BS003</v>
      </c>
      <c r="E448" t="s">
        <v>36</v>
      </c>
      <c r="F448">
        <v>267</v>
      </c>
      <c r="G448" t="str">
        <f>_xlfn.XLOOKUP(Table1[[#This Row],[Department]],Table6[Department],Table6[Id_Departement])</f>
        <v>D001</v>
      </c>
      <c r="H448" t="s">
        <v>37</v>
      </c>
      <c r="I448">
        <v>10</v>
      </c>
      <c r="J448" t="str">
        <f>_xlfn.XLOOKUP(Table1[[#This Row],[Education]],Table8[Education],Table8[Id_Education])</f>
        <v>E002</v>
      </c>
      <c r="K448">
        <v>2</v>
      </c>
      <c r="L448" t="str">
        <f>_xlfn.XLOOKUP(Table1[[#This Row],[EducationField]],Table7[EducationField],Table7[Id_EducationField])</f>
        <v>EF001</v>
      </c>
      <c r="M448" t="s">
        <v>40</v>
      </c>
      <c r="N448" t="str">
        <f>_xlfn.XLOOKUP(Table1[[#This Row],[EmployeeNumber]],Table4[EmployeeNumber],Table4[Id_Employee])</f>
        <v>EMP00447</v>
      </c>
      <c r="O448">
        <v>599</v>
      </c>
      <c r="P448" t="str">
        <f>_xlfn.XLOOKUP(Table1[[#This Row],[EnvironmentSatisfaction]],Table9[EnvironmentSatisfaction],Table9[Id_EnviromentSatisfaction])</f>
        <v>ES004</v>
      </c>
      <c r="Q448">
        <v>4</v>
      </c>
      <c r="R448" t="str">
        <f>_xlfn.XLOOKUP(Table1[[#This Row],[EnvironmentSatisfaction]],Table9[EnvironmentSatisfaction],Table9[Deskripsi])</f>
        <v>Very High</v>
      </c>
      <c r="S448" t="str">
        <f>_xlfn.XLOOKUP(Table1[[#This Row],[Gender]],Table10[Gender],Table10[Id_Gender])</f>
        <v>G002</v>
      </c>
      <c r="T448" t="s">
        <v>46</v>
      </c>
      <c r="U448">
        <v>56</v>
      </c>
      <c r="V448" t="str">
        <f>_xlfn.XLOOKUP(Table1[[#This Row],[JobInvolvement]],Table11[JobInvolvement],Table11[Id_JobInvolvement])</f>
        <v>JI003</v>
      </c>
      <c r="W448">
        <v>3</v>
      </c>
      <c r="X448" t="str">
        <f>_xlfn.XLOOKUP(Table1[[#This Row],[JobLevel]],Table12[JobLevel],Table12[Id_JobLevel])</f>
        <v>JL002</v>
      </c>
      <c r="Y448">
        <v>2</v>
      </c>
      <c r="Z448" t="str">
        <f>_xlfn.XLOOKUP(Table1[[#This Row],[JobRole]],Table13[JobRole],Table13[Id_JobRole])</f>
        <v>JR001</v>
      </c>
      <c r="AA448" t="s">
        <v>47</v>
      </c>
      <c r="AB448" t="str">
        <f>_xlfn.XLOOKUP(Table1[[#This Row],[JobSatisfaction]],Table14[JobSatisfaction],Table14[Id_JobSatisfaction])</f>
        <v>JS004</v>
      </c>
      <c r="AC448">
        <v>4</v>
      </c>
      <c r="AD448" t="str">
        <f>_xlfn.XLOOKUP(Table1[[#This Row],[JobSatisfaction]],Table14[JobSatisfaction],Table14[Deskripsi])</f>
        <v>Very High</v>
      </c>
      <c r="AE448" t="str">
        <f>_xlfn.XLOOKUP(Table1[[#This Row],[MaritalStatus]],Table15[MaritalStatus],Table15[Id_MaritalStatus])</f>
        <v>MS001</v>
      </c>
      <c r="AF448" t="s">
        <v>55</v>
      </c>
      <c r="AG448">
        <v>6230</v>
      </c>
      <c r="AH448">
        <v>13430</v>
      </c>
      <c r="AI448">
        <v>7</v>
      </c>
      <c r="AJ448" t="str">
        <f>_xlfn.XLOOKUP(Table1[[#This Row],[OverTime]],Table16[OverTime],Table16[Id_OverTime])</f>
        <v>OT002</v>
      </c>
      <c r="AK448" t="s">
        <v>33</v>
      </c>
      <c r="AL448">
        <v>14</v>
      </c>
      <c r="AM448" t="str">
        <f>_xlfn.XLOOKUP(Table1[[#This Row],[PerformanceRating]],Table17[PerformanceRating],Table17[Id_PerformanceRating])</f>
        <v>PR003</v>
      </c>
      <c r="AN448">
        <v>3</v>
      </c>
      <c r="AO448" t="str">
        <f>_xlfn.XLOOKUP(Table1[[#This Row],[PerformanceRating]],Table17[PerformanceRating],Table17[Deskripsi])</f>
        <v>Excellent</v>
      </c>
      <c r="AP448" t="str">
        <f>_xlfn.XLOOKUP(Table1[[#This Row],[RelationshipSatisfaction]],Table18[RelationshipSatisfaction],Table18[Id_RelationshipSatisfaction])</f>
        <v>RS004</v>
      </c>
      <c r="AQ448">
        <v>4</v>
      </c>
      <c r="AR448" t="str">
        <f>_xlfn.XLOOKUP(Table1[[#This Row],[RelationshipSatisfaction]],Table18[RelationshipSatisfaction],Table18[Deskripsi])</f>
        <v>Very High</v>
      </c>
      <c r="AS448" t="str">
        <f>_xlfn.XLOOKUP(Table1[[#This Row],[StockOptionLevel]],Table19[StockOptionLevel],Table19[Id_StockOptionLevel])</f>
        <v>SOL001</v>
      </c>
      <c r="AT448">
        <v>0</v>
      </c>
      <c r="AU448" t="str">
        <f>_xlfn.XLOOKUP(Table1[[#This Row],[StockOptionLevel]],Table19[StockOptionLevel],Table19[Deskripsi])</f>
        <v>Non-Eligible</v>
      </c>
      <c r="AV448">
        <v>16</v>
      </c>
      <c r="AW448">
        <v>3</v>
      </c>
      <c r="AX448" t="str">
        <f>_xlfn.XLOOKUP(Table1[[#This Row],[WorkLifeBalance]],Table20[WorkLifeBalance],Table20[Id_WorkLifeBalance])</f>
        <v>WLB002</v>
      </c>
      <c r="AY448">
        <v>3</v>
      </c>
      <c r="AZ448" t="str">
        <f>_xlfn.XLOOKUP(Table1[[#This Row],[WorkLifeBalance]],Table20[WorkLifeBalance],Table20[Deskripsi])</f>
        <v>Good</v>
      </c>
      <c r="BA448">
        <v>14</v>
      </c>
      <c r="BB448">
        <v>3</v>
      </c>
      <c r="BC448">
        <v>1</v>
      </c>
      <c r="BD448">
        <v>10</v>
      </c>
    </row>
    <row r="449" spans="1:56" x14ac:dyDescent="0.25">
      <c r="A449">
        <v>35</v>
      </c>
      <c r="B449" t="str">
        <f>_xlfn.XLOOKUP(Table1[[#This Row],[Attrition]],Table2[Attrition],Table2[Id_Attrition])</f>
        <v>A002</v>
      </c>
      <c r="C449" t="s">
        <v>33</v>
      </c>
      <c r="D449" t="str">
        <f>_xlfn.XLOOKUP(Table1[[#This Row],[BusinessTravel]],Table5[BusinessTravel],Table5[Id_BusinessTravel])</f>
        <v>BS001</v>
      </c>
      <c r="E449" t="s">
        <v>34</v>
      </c>
      <c r="F449">
        <v>619</v>
      </c>
      <c r="G449" t="str">
        <f>_xlfn.XLOOKUP(Table1[[#This Row],[Department]],Table6[Department],Table6[Id_Departement])</f>
        <v>D001</v>
      </c>
      <c r="H449" t="s">
        <v>37</v>
      </c>
      <c r="I449">
        <v>1</v>
      </c>
      <c r="J449" t="str">
        <f>_xlfn.XLOOKUP(Table1[[#This Row],[Education]],Table8[Education],Table8[Id_Education])</f>
        <v>E003</v>
      </c>
      <c r="K449">
        <v>3</v>
      </c>
      <c r="L449" t="str">
        <f>_xlfn.XLOOKUP(Table1[[#This Row],[EducationField]],Table7[EducationField],Table7[Id_EducationField])</f>
        <v>EF004</v>
      </c>
      <c r="M449" t="s">
        <v>43</v>
      </c>
      <c r="N449" t="str">
        <f>_xlfn.XLOOKUP(Table1[[#This Row],[EmployeeNumber]],Table4[EmployeeNumber],Table4[Id_Employee])</f>
        <v>EMP00448</v>
      </c>
      <c r="O449">
        <v>600</v>
      </c>
      <c r="P449" t="str">
        <f>_xlfn.XLOOKUP(Table1[[#This Row],[EnvironmentSatisfaction]],Table9[EnvironmentSatisfaction],Table9[Id_EnviromentSatisfaction])</f>
        <v>ES002</v>
      </c>
      <c r="Q449">
        <v>2</v>
      </c>
      <c r="R449" t="str">
        <f>_xlfn.XLOOKUP(Table1[[#This Row],[EnvironmentSatisfaction]],Table9[EnvironmentSatisfaction],Table9[Deskripsi])</f>
        <v>Medium</v>
      </c>
      <c r="S449" t="str">
        <f>_xlfn.XLOOKUP(Table1[[#This Row],[Gender]],Table10[Gender],Table10[Id_Gender])</f>
        <v>G002</v>
      </c>
      <c r="T449" t="s">
        <v>46</v>
      </c>
      <c r="U449">
        <v>85</v>
      </c>
      <c r="V449" t="str">
        <f>_xlfn.XLOOKUP(Table1[[#This Row],[JobInvolvement]],Table11[JobInvolvement],Table11[Id_JobInvolvement])</f>
        <v>JI003</v>
      </c>
      <c r="W449">
        <v>3</v>
      </c>
      <c r="X449" t="str">
        <f>_xlfn.XLOOKUP(Table1[[#This Row],[JobLevel]],Table12[JobLevel],Table12[Id_JobLevel])</f>
        <v>JL002</v>
      </c>
      <c r="Y449">
        <v>2</v>
      </c>
      <c r="Z449" t="str">
        <f>_xlfn.XLOOKUP(Table1[[#This Row],[JobRole]],Table13[JobRole],Table13[Id_JobRole])</f>
        <v>JR001</v>
      </c>
      <c r="AA449" t="s">
        <v>47</v>
      </c>
      <c r="AB449" t="str">
        <f>_xlfn.XLOOKUP(Table1[[#This Row],[JobSatisfaction]],Table14[JobSatisfaction],Table14[Id_JobSatisfaction])</f>
        <v>JS003</v>
      </c>
      <c r="AC449">
        <v>3</v>
      </c>
      <c r="AD449" t="str">
        <f>_xlfn.XLOOKUP(Table1[[#This Row],[JobSatisfaction]],Table14[JobSatisfaction],Table14[Deskripsi])</f>
        <v>High</v>
      </c>
      <c r="AE449" t="str">
        <f>_xlfn.XLOOKUP(Table1[[#This Row],[MaritalStatus]],Table15[MaritalStatus],Table15[Id_MaritalStatus])</f>
        <v>MS002</v>
      </c>
      <c r="AF449" t="s">
        <v>56</v>
      </c>
      <c r="AG449">
        <v>4717</v>
      </c>
      <c r="AH449">
        <v>18659</v>
      </c>
      <c r="AI449">
        <v>9</v>
      </c>
      <c r="AJ449" t="str">
        <f>_xlfn.XLOOKUP(Table1[[#This Row],[OverTime]],Table16[OverTime],Table16[Id_OverTime])</f>
        <v>OT002</v>
      </c>
      <c r="AK449" t="s">
        <v>33</v>
      </c>
      <c r="AL449">
        <v>11</v>
      </c>
      <c r="AM449" t="str">
        <f>_xlfn.XLOOKUP(Table1[[#This Row],[PerformanceRating]],Table17[PerformanceRating],Table17[Id_PerformanceRating])</f>
        <v>PR003</v>
      </c>
      <c r="AN449">
        <v>3</v>
      </c>
      <c r="AO449" t="str">
        <f>_xlfn.XLOOKUP(Table1[[#This Row],[PerformanceRating]],Table17[PerformanceRating],Table17[Deskripsi])</f>
        <v>Excellent</v>
      </c>
      <c r="AP449" t="str">
        <f>_xlfn.XLOOKUP(Table1[[#This Row],[RelationshipSatisfaction]],Table18[RelationshipSatisfaction],Table18[Id_RelationshipSatisfaction])</f>
        <v>RS003</v>
      </c>
      <c r="AQ449">
        <v>3</v>
      </c>
      <c r="AR449" t="str">
        <f>_xlfn.XLOOKUP(Table1[[#This Row],[RelationshipSatisfaction]],Table18[RelationshipSatisfaction],Table18[Deskripsi])</f>
        <v>High</v>
      </c>
      <c r="AS449" t="str">
        <f>_xlfn.XLOOKUP(Table1[[#This Row],[StockOptionLevel]],Table19[StockOptionLevel],Table19[Id_StockOptionLevel])</f>
        <v>SOL001</v>
      </c>
      <c r="AT449">
        <v>0</v>
      </c>
      <c r="AU449" t="str">
        <f>_xlfn.XLOOKUP(Table1[[#This Row],[StockOptionLevel]],Table19[StockOptionLevel],Table19[Deskripsi])</f>
        <v>Non-Eligible</v>
      </c>
      <c r="AV449">
        <v>15</v>
      </c>
      <c r="AW449">
        <v>2</v>
      </c>
      <c r="AX449" t="str">
        <f>_xlfn.XLOOKUP(Table1[[#This Row],[WorkLifeBalance]],Table20[WorkLifeBalance],Table20[Id_WorkLifeBalance])</f>
        <v>WLB002</v>
      </c>
      <c r="AY449">
        <v>3</v>
      </c>
      <c r="AZ449" t="str">
        <f>_xlfn.XLOOKUP(Table1[[#This Row],[WorkLifeBalance]],Table20[WorkLifeBalance],Table20[Deskripsi])</f>
        <v>Good</v>
      </c>
      <c r="BA449">
        <v>11</v>
      </c>
      <c r="BB449">
        <v>9</v>
      </c>
      <c r="BC449">
        <v>6</v>
      </c>
      <c r="BD449">
        <v>9</v>
      </c>
    </row>
    <row r="450" spans="1:56" x14ac:dyDescent="0.25">
      <c r="A450">
        <v>40</v>
      </c>
      <c r="B450" t="str">
        <f>_xlfn.XLOOKUP(Table1[[#This Row],[Attrition]],Table2[Attrition],Table2[Id_Attrition])</f>
        <v>A002</v>
      </c>
      <c r="C450" t="s">
        <v>33</v>
      </c>
      <c r="D450" t="str">
        <f>_xlfn.XLOOKUP(Table1[[#This Row],[BusinessTravel]],Table5[BusinessTravel],Table5[Id_BusinessTravel])</f>
        <v>BS001</v>
      </c>
      <c r="E450" t="s">
        <v>34</v>
      </c>
      <c r="F450">
        <v>302</v>
      </c>
      <c r="G450" t="str">
        <f>_xlfn.XLOOKUP(Table1[[#This Row],[Department]],Table6[Department],Table6[Id_Departement])</f>
        <v>D002</v>
      </c>
      <c r="H450" t="s">
        <v>38</v>
      </c>
      <c r="I450">
        <v>6</v>
      </c>
      <c r="J450" t="str">
        <f>_xlfn.XLOOKUP(Table1[[#This Row],[Education]],Table8[Education],Table8[Id_Education])</f>
        <v>E003</v>
      </c>
      <c r="K450">
        <v>3</v>
      </c>
      <c r="L450" t="str">
        <f>_xlfn.XLOOKUP(Table1[[#This Row],[EducationField]],Table7[EducationField],Table7[Id_EducationField])</f>
        <v>EF001</v>
      </c>
      <c r="M450" t="s">
        <v>40</v>
      </c>
      <c r="N450" t="str">
        <f>_xlfn.XLOOKUP(Table1[[#This Row],[EmployeeNumber]],Table4[EmployeeNumber],Table4[Id_Employee])</f>
        <v>EMP00449</v>
      </c>
      <c r="O450">
        <v>601</v>
      </c>
      <c r="P450" t="str">
        <f>_xlfn.XLOOKUP(Table1[[#This Row],[EnvironmentSatisfaction]],Table9[EnvironmentSatisfaction],Table9[Id_EnviromentSatisfaction])</f>
        <v>ES002</v>
      </c>
      <c r="Q450">
        <v>2</v>
      </c>
      <c r="R450" t="str">
        <f>_xlfn.XLOOKUP(Table1[[#This Row],[EnvironmentSatisfaction]],Table9[EnvironmentSatisfaction],Table9[Deskripsi])</f>
        <v>Medium</v>
      </c>
      <c r="S450" t="str">
        <f>_xlfn.XLOOKUP(Table1[[#This Row],[Gender]],Table10[Gender],Table10[Id_Gender])</f>
        <v>G001</v>
      </c>
      <c r="T450" t="s">
        <v>45</v>
      </c>
      <c r="U450">
        <v>75</v>
      </c>
      <c r="V450" t="str">
        <f>_xlfn.XLOOKUP(Table1[[#This Row],[JobInvolvement]],Table11[JobInvolvement],Table11[Id_JobInvolvement])</f>
        <v>JI003</v>
      </c>
      <c r="W450">
        <v>3</v>
      </c>
      <c r="X450" t="str">
        <f>_xlfn.XLOOKUP(Table1[[#This Row],[JobLevel]],Table12[JobLevel],Table12[Id_JobLevel])</f>
        <v>JL004</v>
      </c>
      <c r="Y450">
        <v>4</v>
      </c>
      <c r="Z450" t="str">
        <f>_xlfn.XLOOKUP(Table1[[#This Row],[JobRole]],Table13[JobRole],Table13[Id_JobRole])</f>
        <v>JR004</v>
      </c>
      <c r="AA450" t="s">
        <v>50</v>
      </c>
      <c r="AB450" t="str">
        <f>_xlfn.XLOOKUP(Table1[[#This Row],[JobSatisfaction]],Table14[JobSatisfaction],Table14[Id_JobSatisfaction])</f>
        <v>JS003</v>
      </c>
      <c r="AC450">
        <v>3</v>
      </c>
      <c r="AD450" t="str">
        <f>_xlfn.XLOOKUP(Table1[[#This Row],[JobSatisfaction]],Table14[JobSatisfaction],Table14[Deskripsi])</f>
        <v>High</v>
      </c>
      <c r="AE450" t="str">
        <f>_xlfn.XLOOKUP(Table1[[#This Row],[MaritalStatus]],Table15[MaritalStatus],Table15[Id_MaritalStatus])</f>
        <v>MS001</v>
      </c>
      <c r="AF450" t="s">
        <v>55</v>
      </c>
      <c r="AG450">
        <v>13237</v>
      </c>
      <c r="AH450">
        <v>20364</v>
      </c>
      <c r="AI450">
        <v>7</v>
      </c>
      <c r="AJ450" t="str">
        <f>_xlfn.XLOOKUP(Table1[[#This Row],[OverTime]],Table16[OverTime],Table16[Id_OverTime])</f>
        <v>OT002</v>
      </c>
      <c r="AK450" t="s">
        <v>33</v>
      </c>
      <c r="AL450">
        <v>15</v>
      </c>
      <c r="AM450" t="str">
        <f>_xlfn.XLOOKUP(Table1[[#This Row],[PerformanceRating]],Table17[PerformanceRating],Table17[Id_PerformanceRating])</f>
        <v>PR003</v>
      </c>
      <c r="AN450">
        <v>3</v>
      </c>
      <c r="AO450" t="str">
        <f>_xlfn.XLOOKUP(Table1[[#This Row],[PerformanceRating]],Table17[PerformanceRating],Table17[Deskripsi])</f>
        <v>Excellent</v>
      </c>
      <c r="AP450" t="str">
        <f>_xlfn.XLOOKUP(Table1[[#This Row],[RelationshipSatisfaction]],Table18[RelationshipSatisfaction],Table18[Id_RelationshipSatisfaction])</f>
        <v>RS003</v>
      </c>
      <c r="AQ450">
        <v>3</v>
      </c>
      <c r="AR450" t="str">
        <f>_xlfn.XLOOKUP(Table1[[#This Row],[RelationshipSatisfaction]],Table18[RelationshipSatisfaction],Table18[Deskripsi])</f>
        <v>High</v>
      </c>
      <c r="AS450" t="str">
        <f>_xlfn.XLOOKUP(Table1[[#This Row],[StockOptionLevel]],Table19[StockOptionLevel],Table19[Id_StockOptionLevel])</f>
        <v>SOL001</v>
      </c>
      <c r="AT450">
        <v>0</v>
      </c>
      <c r="AU450" t="str">
        <f>_xlfn.XLOOKUP(Table1[[#This Row],[StockOptionLevel]],Table19[StockOptionLevel],Table19[Deskripsi])</f>
        <v>Non-Eligible</v>
      </c>
      <c r="AV450">
        <v>22</v>
      </c>
      <c r="AW450">
        <v>3</v>
      </c>
      <c r="AX450" t="str">
        <f>_xlfn.XLOOKUP(Table1[[#This Row],[WorkLifeBalance]],Table20[WorkLifeBalance],Table20[Id_WorkLifeBalance])</f>
        <v>WLB002</v>
      </c>
      <c r="AY450">
        <v>3</v>
      </c>
      <c r="AZ450" t="str">
        <f>_xlfn.XLOOKUP(Table1[[#This Row],[WorkLifeBalance]],Table20[WorkLifeBalance],Table20[Deskripsi])</f>
        <v>Good</v>
      </c>
      <c r="BA450">
        <v>20</v>
      </c>
      <c r="BB450">
        <v>6</v>
      </c>
      <c r="BC450">
        <v>5</v>
      </c>
      <c r="BD450">
        <v>13</v>
      </c>
    </row>
    <row r="451" spans="1:56" x14ac:dyDescent="0.25">
      <c r="A451">
        <v>39</v>
      </c>
      <c r="B451" t="str">
        <f>_xlfn.XLOOKUP(Table1[[#This Row],[Attrition]],Table2[Attrition],Table2[Id_Attrition])</f>
        <v>A002</v>
      </c>
      <c r="C451" t="s">
        <v>33</v>
      </c>
      <c r="D451" t="str">
        <f>_xlfn.XLOOKUP(Table1[[#This Row],[BusinessTravel]],Table5[BusinessTravel],Table5[Id_BusinessTravel])</f>
        <v>BS002</v>
      </c>
      <c r="E451" t="s">
        <v>35</v>
      </c>
      <c r="F451">
        <v>443</v>
      </c>
      <c r="G451" t="str">
        <f>_xlfn.XLOOKUP(Table1[[#This Row],[Department]],Table6[Department],Table6[Id_Departement])</f>
        <v>D002</v>
      </c>
      <c r="H451" t="s">
        <v>38</v>
      </c>
      <c r="I451">
        <v>8</v>
      </c>
      <c r="J451" t="str">
        <f>_xlfn.XLOOKUP(Table1[[#This Row],[Education]],Table8[Education],Table8[Id_Education])</f>
        <v>E001</v>
      </c>
      <c r="K451">
        <v>1</v>
      </c>
      <c r="L451" t="str">
        <f>_xlfn.XLOOKUP(Table1[[#This Row],[EducationField]],Table7[EducationField],Table7[Id_EducationField])</f>
        <v>EF001</v>
      </c>
      <c r="M451" t="s">
        <v>40</v>
      </c>
      <c r="N451" t="str">
        <f>_xlfn.XLOOKUP(Table1[[#This Row],[EmployeeNumber]],Table4[EmployeeNumber],Table4[Id_Employee])</f>
        <v>EMP00450</v>
      </c>
      <c r="O451">
        <v>602</v>
      </c>
      <c r="P451" t="str">
        <f>_xlfn.XLOOKUP(Table1[[#This Row],[EnvironmentSatisfaction]],Table9[EnvironmentSatisfaction],Table9[Id_EnviromentSatisfaction])</f>
        <v>ES003</v>
      </c>
      <c r="Q451">
        <v>3</v>
      </c>
      <c r="R451" t="str">
        <f>_xlfn.XLOOKUP(Table1[[#This Row],[EnvironmentSatisfaction]],Table9[EnvironmentSatisfaction],Table9[Deskripsi])</f>
        <v>High</v>
      </c>
      <c r="S451" t="str">
        <f>_xlfn.XLOOKUP(Table1[[#This Row],[Gender]],Table10[Gender],Table10[Id_Gender])</f>
        <v>G001</v>
      </c>
      <c r="T451" t="s">
        <v>45</v>
      </c>
      <c r="U451">
        <v>48</v>
      </c>
      <c r="V451" t="str">
        <f>_xlfn.XLOOKUP(Table1[[#This Row],[JobInvolvement]],Table11[JobInvolvement],Table11[Id_JobInvolvement])</f>
        <v>JI003</v>
      </c>
      <c r="W451">
        <v>3</v>
      </c>
      <c r="X451" t="str">
        <f>_xlfn.XLOOKUP(Table1[[#This Row],[JobLevel]],Table12[JobLevel],Table12[Id_JobLevel])</f>
        <v>JL001</v>
      </c>
      <c r="Y451">
        <v>1</v>
      </c>
      <c r="Z451" t="str">
        <f>_xlfn.XLOOKUP(Table1[[#This Row],[JobRole]],Table13[JobRole],Table13[Id_JobRole])</f>
        <v>JR003</v>
      </c>
      <c r="AA451" t="s">
        <v>49</v>
      </c>
      <c r="AB451" t="str">
        <f>_xlfn.XLOOKUP(Table1[[#This Row],[JobSatisfaction]],Table14[JobSatisfaction],Table14[Id_JobSatisfaction])</f>
        <v>JS003</v>
      </c>
      <c r="AC451">
        <v>3</v>
      </c>
      <c r="AD451" t="str">
        <f>_xlfn.XLOOKUP(Table1[[#This Row],[JobSatisfaction]],Table14[JobSatisfaction],Table14[Deskripsi])</f>
        <v>High</v>
      </c>
      <c r="AE451" t="str">
        <f>_xlfn.XLOOKUP(Table1[[#This Row],[MaritalStatus]],Table15[MaritalStatus],Table15[Id_MaritalStatus])</f>
        <v>MS002</v>
      </c>
      <c r="AF451" t="s">
        <v>56</v>
      </c>
      <c r="AG451">
        <v>3755</v>
      </c>
      <c r="AH451">
        <v>17872</v>
      </c>
      <c r="AI451">
        <v>1</v>
      </c>
      <c r="AJ451" t="str">
        <f>_xlfn.XLOOKUP(Table1[[#This Row],[OverTime]],Table16[OverTime],Table16[Id_OverTime])</f>
        <v>OT002</v>
      </c>
      <c r="AK451" t="s">
        <v>33</v>
      </c>
      <c r="AL451">
        <v>11</v>
      </c>
      <c r="AM451" t="str">
        <f>_xlfn.XLOOKUP(Table1[[#This Row],[PerformanceRating]],Table17[PerformanceRating],Table17[Id_PerformanceRating])</f>
        <v>PR003</v>
      </c>
      <c r="AN451">
        <v>3</v>
      </c>
      <c r="AO451" t="str">
        <f>_xlfn.XLOOKUP(Table1[[#This Row],[PerformanceRating]],Table17[PerformanceRating],Table17[Deskripsi])</f>
        <v>Excellent</v>
      </c>
      <c r="AP451" t="str">
        <f>_xlfn.XLOOKUP(Table1[[#This Row],[RelationshipSatisfaction]],Table18[RelationshipSatisfaction],Table18[Id_RelationshipSatisfaction])</f>
        <v>RS001</v>
      </c>
      <c r="AQ451">
        <v>1</v>
      </c>
      <c r="AR451" t="str">
        <f>_xlfn.XLOOKUP(Table1[[#This Row],[RelationshipSatisfaction]],Table18[RelationshipSatisfaction],Table18[Deskripsi])</f>
        <v>Low</v>
      </c>
      <c r="AS451" t="str">
        <f>_xlfn.XLOOKUP(Table1[[#This Row],[StockOptionLevel]],Table19[StockOptionLevel],Table19[Id_StockOptionLevel])</f>
        <v>SOL002</v>
      </c>
      <c r="AT451">
        <v>1</v>
      </c>
      <c r="AU451" t="str">
        <f>_xlfn.XLOOKUP(Table1[[#This Row],[StockOptionLevel]],Table19[StockOptionLevel],Table19[Deskripsi])</f>
        <v>Standard</v>
      </c>
      <c r="AV451">
        <v>8</v>
      </c>
      <c r="AW451">
        <v>3</v>
      </c>
      <c r="AX451" t="str">
        <f>_xlfn.XLOOKUP(Table1[[#This Row],[WorkLifeBalance]],Table20[WorkLifeBalance],Table20[Id_WorkLifeBalance])</f>
        <v>WLB002</v>
      </c>
      <c r="AY451">
        <v>3</v>
      </c>
      <c r="AZ451" t="str">
        <f>_xlfn.XLOOKUP(Table1[[#This Row],[WorkLifeBalance]],Table20[WorkLifeBalance],Table20[Deskripsi])</f>
        <v>Good</v>
      </c>
      <c r="BA451">
        <v>8</v>
      </c>
      <c r="BB451">
        <v>3</v>
      </c>
      <c r="BC451">
        <v>0</v>
      </c>
      <c r="BD451">
        <v>7</v>
      </c>
    </row>
    <row r="452" spans="1:56" x14ac:dyDescent="0.25">
      <c r="A452">
        <v>31</v>
      </c>
      <c r="B452" t="str">
        <f>_xlfn.XLOOKUP(Table1[[#This Row],[Attrition]],Table2[Attrition],Table2[Id_Attrition])</f>
        <v>A002</v>
      </c>
      <c r="C452" t="s">
        <v>33</v>
      </c>
      <c r="D452" t="str">
        <f>_xlfn.XLOOKUP(Table1[[#This Row],[BusinessTravel]],Table5[BusinessTravel],Table5[Id_BusinessTravel])</f>
        <v>BS001</v>
      </c>
      <c r="E452" t="s">
        <v>34</v>
      </c>
      <c r="F452">
        <v>828</v>
      </c>
      <c r="G452" t="str">
        <f>_xlfn.XLOOKUP(Table1[[#This Row],[Department]],Table6[Department],Table6[Id_Departement])</f>
        <v>D001</v>
      </c>
      <c r="H452" t="s">
        <v>37</v>
      </c>
      <c r="I452">
        <v>2</v>
      </c>
      <c r="J452" t="str">
        <f>_xlfn.XLOOKUP(Table1[[#This Row],[Education]],Table8[Education],Table8[Id_Education])</f>
        <v>E001</v>
      </c>
      <c r="K452">
        <v>1</v>
      </c>
      <c r="L452" t="str">
        <f>_xlfn.XLOOKUP(Table1[[#This Row],[EducationField]],Table7[EducationField],Table7[Id_EducationField])</f>
        <v>EF001</v>
      </c>
      <c r="M452" t="s">
        <v>40</v>
      </c>
      <c r="N452" t="str">
        <f>_xlfn.XLOOKUP(Table1[[#This Row],[EmployeeNumber]],Table4[EmployeeNumber],Table4[Id_Employee])</f>
        <v>EMP00451</v>
      </c>
      <c r="O452">
        <v>604</v>
      </c>
      <c r="P452" t="str">
        <f>_xlfn.XLOOKUP(Table1[[#This Row],[EnvironmentSatisfaction]],Table9[EnvironmentSatisfaction],Table9[Id_EnviromentSatisfaction])</f>
        <v>ES002</v>
      </c>
      <c r="Q452">
        <v>2</v>
      </c>
      <c r="R452" t="str">
        <f>_xlfn.XLOOKUP(Table1[[#This Row],[EnvironmentSatisfaction]],Table9[EnvironmentSatisfaction],Table9[Deskripsi])</f>
        <v>Medium</v>
      </c>
      <c r="S452" t="str">
        <f>_xlfn.XLOOKUP(Table1[[#This Row],[Gender]],Table10[Gender],Table10[Id_Gender])</f>
        <v>G002</v>
      </c>
      <c r="T452" t="s">
        <v>46</v>
      </c>
      <c r="U452">
        <v>77</v>
      </c>
      <c r="V452" t="str">
        <f>_xlfn.XLOOKUP(Table1[[#This Row],[JobInvolvement]],Table11[JobInvolvement],Table11[Id_JobInvolvement])</f>
        <v>JI003</v>
      </c>
      <c r="W452">
        <v>3</v>
      </c>
      <c r="X452" t="str">
        <f>_xlfn.XLOOKUP(Table1[[#This Row],[JobLevel]],Table12[JobLevel],Table12[Id_JobLevel])</f>
        <v>JL002</v>
      </c>
      <c r="Y452">
        <v>2</v>
      </c>
      <c r="Z452" t="str">
        <f>_xlfn.XLOOKUP(Table1[[#This Row],[JobRole]],Table13[JobRole],Table13[Id_JobRole])</f>
        <v>JR001</v>
      </c>
      <c r="AA452" t="s">
        <v>47</v>
      </c>
      <c r="AB452" t="str">
        <f>_xlfn.XLOOKUP(Table1[[#This Row],[JobSatisfaction]],Table14[JobSatisfaction],Table14[Id_JobSatisfaction])</f>
        <v>JS004</v>
      </c>
      <c r="AC452">
        <v>4</v>
      </c>
      <c r="AD452" t="str">
        <f>_xlfn.XLOOKUP(Table1[[#This Row],[JobSatisfaction]],Table14[JobSatisfaction],Table14[Deskripsi])</f>
        <v>Very High</v>
      </c>
      <c r="AE452" t="str">
        <f>_xlfn.XLOOKUP(Table1[[#This Row],[MaritalStatus]],Table15[MaritalStatus],Table15[Id_MaritalStatus])</f>
        <v>MS001</v>
      </c>
      <c r="AF452" t="s">
        <v>55</v>
      </c>
      <c r="AG452">
        <v>6582</v>
      </c>
      <c r="AH452">
        <v>8346</v>
      </c>
      <c r="AI452">
        <v>4</v>
      </c>
      <c r="AJ452" t="str">
        <f>_xlfn.XLOOKUP(Table1[[#This Row],[OverTime]],Table16[OverTime],Table16[Id_OverTime])</f>
        <v>OT001</v>
      </c>
      <c r="AK452" t="s">
        <v>32</v>
      </c>
      <c r="AL452">
        <v>13</v>
      </c>
      <c r="AM452" t="str">
        <f>_xlfn.XLOOKUP(Table1[[#This Row],[PerformanceRating]],Table17[PerformanceRating],Table17[Id_PerformanceRating])</f>
        <v>PR003</v>
      </c>
      <c r="AN452">
        <v>3</v>
      </c>
      <c r="AO452" t="str">
        <f>_xlfn.XLOOKUP(Table1[[#This Row],[PerformanceRating]],Table17[PerformanceRating],Table17[Deskripsi])</f>
        <v>Excellent</v>
      </c>
      <c r="AP452" t="str">
        <f>_xlfn.XLOOKUP(Table1[[#This Row],[RelationshipSatisfaction]],Table18[RelationshipSatisfaction],Table18[Id_RelationshipSatisfaction])</f>
        <v>RS003</v>
      </c>
      <c r="AQ452">
        <v>3</v>
      </c>
      <c r="AR452" t="str">
        <f>_xlfn.XLOOKUP(Table1[[#This Row],[RelationshipSatisfaction]],Table18[RelationshipSatisfaction],Table18[Deskripsi])</f>
        <v>High</v>
      </c>
      <c r="AS452" t="str">
        <f>_xlfn.XLOOKUP(Table1[[#This Row],[StockOptionLevel]],Table19[StockOptionLevel],Table19[Id_StockOptionLevel])</f>
        <v>SOL001</v>
      </c>
      <c r="AT452">
        <v>0</v>
      </c>
      <c r="AU452" t="str">
        <f>_xlfn.XLOOKUP(Table1[[#This Row],[StockOptionLevel]],Table19[StockOptionLevel],Table19[Deskripsi])</f>
        <v>Non-Eligible</v>
      </c>
      <c r="AV452">
        <v>10</v>
      </c>
      <c r="AW452">
        <v>2</v>
      </c>
      <c r="AX452" t="str">
        <f>_xlfn.XLOOKUP(Table1[[#This Row],[WorkLifeBalance]],Table20[WorkLifeBalance],Table20[Id_WorkLifeBalance])</f>
        <v>WLB004</v>
      </c>
      <c r="AY452">
        <v>4</v>
      </c>
      <c r="AZ452" t="str">
        <f>_xlfn.XLOOKUP(Table1[[#This Row],[WorkLifeBalance]],Table20[WorkLifeBalance],Table20[Deskripsi])</f>
        <v>Best</v>
      </c>
      <c r="BA452">
        <v>6</v>
      </c>
      <c r="BB452">
        <v>5</v>
      </c>
      <c r="BC452">
        <v>0</v>
      </c>
      <c r="BD452">
        <v>5</v>
      </c>
    </row>
    <row r="453" spans="1:56" x14ac:dyDescent="0.25">
      <c r="A453">
        <v>42</v>
      </c>
      <c r="B453" t="str">
        <f>_xlfn.XLOOKUP(Table1[[#This Row],[Attrition]],Table2[Attrition],Table2[Id_Attrition])</f>
        <v>A002</v>
      </c>
      <c r="C453" t="s">
        <v>33</v>
      </c>
      <c r="D453" t="str">
        <f>_xlfn.XLOOKUP(Table1[[#This Row],[BusinessTravel]],Table5[BusinessTravel],Table5[Id_BusinessTravel])</f>
        <v>BS001</v>
      </c>
      <c r="E453" t="s">
        <v>34</v>
      </c>
      <c r="F453">
        <v>319</v>
      </c>
      <c r="G453" t="str">
        <f>_xlfn.XLOOKUP(Table1[[#This Row],[Department]],Table6[Department],Table6[Id_Departement])</f>
        <v>D002</v>
      </c>
      <c r="H453" t="s">
        <v>38</v>
      </c>
      <c r="I453">
        <v>24</v>
      </c>
      <c r="J453" t="str">
        <f>_xlfn.XLOOKUP(Table1[[#This Row],[Education]],Table8[Education],Table8[Id_Education])</f>
        <v>E003</v>
      </c>
      <c r="K453">
        <v>3</v>
      </c>
      <c r="L453" t="str">
        <f>_xlfn.XLOOKUP(Table1[[#This Row],[EducationField]],Table7[EducationField],Table7[Id_EducationField])</f>
        <v>EF003</v>
      </c>
      <c r="M453" t="s">
        <v>42</v>
      </c>
      <c r="N453" t="str">
        <f>_xlfn.XLOOKUP(Table1[[#This Row],[EmployeeNumber]],Table4[EmployeeNumber],Table4[Id_Employee])</f>
        <v>EMP00452</v>
      </c>
      <c r="O453">
        <v>605</v>
      </c>
      <c r="P453" t="str">
        <f>_xlfn.XLOOKUP(Table1[[#This Row],[EnvironmentSatisfaction]],Table9[EnvironmentSatisfaction],Table9[Id_EnviromentSatisfaction])</f>
        <v>ES004</v>
      </c>
      <c r="Q453">
        <v>4</v>
      </c>
      <c r="R453" t="str">
        <f>_xlfn.XLOOKUP(Table1[[#This Row],[EnvironmentSatisfaction]],Table9[EnvironmentSatisfaction],Table9[Deskripsi])</f>
        <v>Very High</v>
      </c>
      <c r="S453" t="str">
        <f>_xlfn.XLOOKUP(Table1[[#This Row],[Gender]],Table10[Gender],Table10[Id_Gender])</f>
        <v>G002</v>
      </c>
      <c r="T453" t="s">
        <v>46</v>
      </c>
      <c r="U453">
        <v>56</v>
      </c>
      <c r="V453" t="str">
        <f>_xlfn.XLOOKUP(Table1[[#This Row],[JobInvolvement]],Table11[JobInvolvement],Table11[Id_JobInvolvement])</f>
        <v>JI003</v>
      </c>
      <c r="W453">
        <v>3</v>
      </c>
      <c r="X453" t="str">
        <f>_xlfn.XLOOKUP(Table1[[#This Row],[JobLevel]],Table12[JobLevel],Table12[Id_JobLevel])</f>
        <v>JL003</v>
      </c>
      <c r="Y453">
        <v>3</v>
      </c>
      <c r="Z453" t="str">
        <f>_xlfn.XLOOKUP(Table1[[#This Row],[JobRole]],Table13[JobRole],Table13[Id_JobRole])</f>
        <v>JR004</v>
      </c>
      <c r="AA453" t="s">
        <v>50</v>
      </c>
      <c r="AB453" t="str">
        <f>_xlfn.XLOOKUP(Table1[[#This Row],[JobSatisfaction]],Table14[JobSatisfaction],Table14[Id_JobSatisfaction])</f>
        <v>JS001</v>
      </c>
      <c r="AC453">
        <v>1</v>
      </c>
      <c r="AD453" t="str">
        <f>_xlfn.XLOOKUP(Table1[[#This Row],[JobSatisfaction]],Table14[JobSatisfaction],Table14[Deskripsi])</f>
        <v>Low</v>
      </c>
      <c r="AE453" t="str">
        <f>_xlfn.XLOOKUP(Table1[[#This Row],[MaritalStatus]],Table15[MaritalStatus],Table15[Id_MaritalStatus])</f>
        <v>MS002</v>
      </c>
      <c r="AF453" t="s">
        <v>56</v>
      </c>
      <c r="AG453">
        <v>7406</v>
      </c>
      <c r="AH453">
        <v>6950</v>
      </c>
      <c r="AI453">
        <v>1</v>
      </c>
      <c r="AJ453" t="str">
        <f>_xlfn.XLOOKUP(Table1[[#This Row],[OverTime]],Table16[OverTime],Table16[Id_OverTime])</f>
        <v>OT001</v>
      </c>
      <c r="AK453" t="s">
        <v>32</v>
      </c>
      <c r="AL453">
        <v>21</v>
      </c>
      <c r="AM453" t="str">
        <f>_xlfn.XLOOKUP(Table1[[#This Row],[PerformanceRating]],Table17[PerformanceRating],Table17[Id_PerformanceRating])</f>
        <v>PR004</v>
      </c>
      <c r="AN453">
        <v>4</v>
      </c>
      <c r="AO453" t="str">
        <f>_xlfn.XLOOKUP(Table1[[#This Row],[PerformanceRating]],Table17[PerformanceRating],Table17[Deskripsi])</f>
        <v>Outstanding</v>
      </c>
      <c r="AP453" t="str">
        <f>_xlfn.XLOOKUP(Table1[[#This Row],[RelationshipSatisfaction]],Table18[RelationshipSatisfaction],Table18[Id_RelationshipSatisfaction])</f>
        <v>RS004</v>
      </c>
      <c r="AQ453">
        <v>4</v>
      </c>
      <c r="AR453" t="str">
        <f>_xlfn.XLOOKUP(Table1[[#This Row],[RelationshipSatisfaction]],Table18[RelationshipSatisfaction],Table18[Deskripsi])</f>
        <v>Very High</v>
      </c>
      <c r="AS453" t="str">
        <f>_xlfn.XLOOKUP(Table1[[#This Row],[StockOptionLevel]],Table19[StockOptionLevel],Table19[Id_StockOptionLevel])</f>
        <v>SOL002</v>
      </c>
      <c r="AT453">
        <v>1</v>
      </c>
      <c r="AU453" t="str">
        <f>_xlfn.XLOOKUP(Table1[[#This Row],[StockOptionLevel]],Table19[StockOptionLevel],Table19[Deskripsi])</f>
        <v>Standard</v>
      </c>
      <c r="AV453">
        <v>10</v>
      </c>
      <c r="AW453">
        <v>5</v>
      </c>
      <c r="AX453" t="str">
        <f>_xlfn.XLOOKUP(Table1[[#This Row],[WorkLifeBalance]],Table20[WorkLifeBalance],Table20[Id_WorkLifeBalance])</f>
        <v>WLB003</v>
      </c>
      <c r="AY453">
        <v>2</v>
      </c>
      <c r="AZ453" t="str">
        <f>_xlfn.XLOOKUP(Table1[[#This Row],[WorkLifeBalance]],Table20[WorkLifeBalance],Table20[Deskripsi])</f>
        <v>Better</v>
      </c>
      <c r="BA453">
        <v>10</v>
      </c>
      <c r="BB453">
        <v>9</v>
      </c>
      <c r="BC453">
        <v>5</v>
      </c>
      <c r="BD453">
        <v>8</v>
      </c>
    </row>
    <row r="454" spans="1:56" x14ac:dyDescent="0.25">
      <c r="A454">
        <v>45</v>
      </c>
      <c r="B454" t="str">
        <f>_xlfn.XLOOKUP(Table1[[#This Row],[Attrition]],Table2[Attrition],Table2[Id_Attrition])</f>
        <v>A002</v>
      </c>
      <c r="C454" t="s">
        <v>33</v>
      </c>
      <c r="D454" t="str">
        <f>_xlfn.XLOOKUP(Table1[[#This Row],[BusinessTravel]],Table5[BusinessTravel],Table5[Id_BusinessTravel])</f>
        <v>BS001</v>
      </c>
      <c r="E454" t="s">
        <v>34</v>
      </c>
      <c r="F454">
        <v>561</v>
      </c>
      <c r="G454" t="str">
        <f>_xlfn.XLOOKUP(Table1[[#This Row],[Department]],Table6[Department],Table6[Id_Departement])</f>
        <v>D001</v>
      </c>
      <c r="H454" t="s">
        <v>37</v>
      </c>
      <c r="I454">
        <v>2</v>
      </c>
      <c r="J454" t="str">
        <f>_xlfn.XLOOKUP(Table1[[#This Row],[Education]],Table8[Education],Table8[Id_Education])</f>
        <v>E003</v>
      </c>
      <c r="K454">
        <v>3</v>
      </c>
      <c r="L454" t="str">
        <f>_xlfn.XLOOKUP(Table1[[#This Row],[EducationField]],Table7[EducationField],Table7[Id_EducationField])</f>
        <v>EF002</v>
      </c>
      <c r="M454" t="s">
        <v>41</v>
      </c>
      <c r="N454" t="str">
        <f>_xlfn.XLOOKUP(Table1[[#This Row],[EmployeeNumber]],Table4[EmployeeNumber],Table4[Id_Employee])</f>
        <v>EMP00453</v>
      </c>
      <c r="O454">
        <v>606</v>
      </c>
      <c r="P454" t="str">
        <f>_xlfn.XLOOKUP(Table1[[#This Row],[EnvironmentSatisfaction]],Table9[EnvironmentSatisfaction],Table9[Id_EnviromentSatisfaction])</f>
        <v>ES004</v>
      </c>
      <c r="Q454">
        <v>4</v>
      </c>
      <c r="R454" t="str">
        <f>_xlfn.XLOOKUP(Table1[[#This Row],[EnvironmentSatisfaction]],Table9[EnvironmentSatisfaction],Table9[Deskripsi])</f>
        <v>Very High</v>
      </c>
      <c r="S454" t="str">
        <f>_xlfn.XLOOKUP(Table1[[#This Row],[Gender]],Table10[Gender],Table10[Id_Gender])</f>
        <v>G002</v>
      </c>
      <c r="T454" t="s">
        <v>46</v>
      </c>
      <c r="U454">
        <v>61</v>
      </c>
      <c r="V454" t="str">
        <f>_xlfn.XLOOKUP(Table1[[#This Row],[JobInvolvement]],Table11[JobInvolvement],Table11[Id_JobInvolvement])</f>
        <v>JI003</v>
      </c>
      <c r="W454">
        <v>3</v>
      </c>
      <c r="X454" t="str">
        <f>_xlfn.XLOOKUP(Table1[[#This Row],[JobLevel]],Table12[JobLevel],Table12[Id_JobLevel])</f>
        <v>JL002</v>
      </c>
      <c r="Y454">
        <v>2</v>
      </c>
      <c r="Z454" t="str">
        <f>_xlfn.XLOOKUP(Table1[[#This Row],[JobRole]],Table13[JobRole],Table13[Id_JobRole])</f>
        <v>JR001</v>
      </c>
      <c r="AA454" t="s">
        <v>47</v>
      </c>
      <c r="AB454" t="str">
        <f>_xlfn.XLOOKUP(Table1[[#This Row],[JobSatisfaction]],Table14[JobSatisfaction],Table14[Id_JobSatisfaction])</f>
        <v>JS002</v>
      </c>
      <c r="AC454">
        <v>2</v>
      </c>
      <c r="AD454" t="str">
        <f>_xlfn.XLOOKUP(Table1[[#This Row],[JobSatisfaction]],Table14[JobSatisfaction],Table14[Deskripsi])</f>
        <v>Medium</v>
      </c>
      <c r="AE454" t="str">
        <f>_xlfn.XLOOKUP(Table1[[#This Row],[MaritalStatus]],Table15[MaritalStatus],Table15[Id_MaritalStatus])</f>
        <v>MS002</v>
      </c>
      <c r="AF454" t="s">
        <v>56</v>
      </c>
      <c r="AG454">
        <v>4805</v>
      </c>
      <c r="AH454">
        <v>16177</v>
      </c>
      <c r="AI454">
        <v>0</v>
      </c>
      <c r="AJ454" t="str">
        <f>_xlfn.XLOOKUP(Table1[[#This Row],[OverTime]],Table16[OverTime],Table16[Id_OverTime])</f>
        <v>OT002</v>
      </c>
      <c r="AK454" t="s">
        <v>33</v>
      </c>
      <c r="AL454">
        <v>19</v>
      </c>
      <c r="AM454" t="str">
        <f>_xlfn.XLOOKUP(Table1[[#This Row],[PerformanceRating]],Table17[PerformanceRating],Table17[Id_PerformanceRating])</f>
        <v>PR003</v>
      </c>
      <c r="AN454">
        <v>3</v>
      </c>
      <c r="AO454" t="str">
        <f>_xlfn.XLOOKUP(Table1[[#This Row],[PerformanceRating]],Table17[PerformanceRating],Table17[Deskripsi])</f>
        <v>Excellent</v>
      </c>
      <c r="AP454" t="str">
        <f>_xlfn.XLOOKUP(Table1[[#This Row],[RelationshipSatisfaction]],Table18[RelationshipSatisfaction],Table18[Id_RelationshipSatisfaction])</f>
        <v>RS002</v>
      </c>
      <c r="AQ454">
        <v>2</v>
      </c>
      <c r="AR454" t="str">
        <f>_xlfn.XLOOKUP(Table1[[#This Row],[RelationshipSatisfaction]],Table18[RelationshipSatisfaction],Table18[Deskripsi])</f>
        <v>Medium</v>
      </c>
      <c r="AS454" t="str">
        <f>_xlfn.XLOOKUP(Table1[[#This Row],[StockOptionLevel]],Table19[StockOptionLevel],Table19[Id_StockOptionLevel])</f>
        <v>SOL002</v>
      </c>
      <c r="AT454">
        <v>1</v>
      </c>
      <c r="AU454" t="str">
        <f>_xlfn.XLOOKUP(Table1[[#This Row],[StockOptionLevel]],Table19[StockOptionLevel],Table19[Deskripsi])</f>
        <v>Standard</v>
      </c>
      <c r="AV454">
        <v>9</v>
      </c>
      <c r="AW454">
        <v>3</v>
      </c>
      <c r="AX454" t="str">
        <f>_xlfn.XLOOKUP(Table1[[#This Row],[WorkLifeBalance]],Table20[WorkLifeBalance],Table20[Id_WorkLifeBalance])</f>
        <v>WLB004</v>
      </c>
      <c r="AY454">
        <v>4</v>
      </c>
      <c r="AZ454" t="str">
        <f>_xlfn.XLOOKUP(Table1[[#This Row],[WorkLifeBalance]],Table20[WorkLifeBalance],Table20[Deskripsi])</f>
        <v>Best</v>
      </c>
      <c r="BA454">
        <v>8</v>
      </c>
      <c r="BB454">
        <v>7</v>
      </c>
      <c r="BC454">
        <v>3</v>
      </c>
      <c r="BD454">
        <v>7</v>
      </c>
    </row>
    <row r="455" spans="1:56" x14ac:dyDescent="0.25">
      <c r="A455">
        <v>26</v>
      </c>
      <c r="B455" t="str">
        <f>_xlfn.XLOOKUP(Table1[[#This Row],[Attrition]],Table2[Attrition],Table2[Id_Attrition])</f>
        <v>A001</v>
      </c>
      <c r="C455" t="s">
        <v>32</v>
      </c>
      <c r="D455" t="str">
        <f>_xlfn.XLOOKUP(Table1[[#This Row],[BusinessTravel]],Table5[BusinessTravel],Table5[Id_BusinessTravel])</f>
        <v>BS002</v>
      </c>
      <c r="E455" t="s">
        <v>35</v>
      </c>
      <c r="F455">
        <v>426</v>
      </c>
      <c r="G455" t="str">
        <f>_xlfn.XLOOKUP(Table1[[#This Row],[Department]],Table6[Department],Table6[Id_Departement])</f>
        <v>D003</v>
      </c>
      <c r="H455" t="s">
        <v>39</v>
      </c>
      <c r="I455">
        <v>17</v>
      </c>
      <c r="J455" t="str">
        <f>_xlfn.XLOOKUP(Table1[[#This Row],[Education]],Table8[Education],Table8[Id_Education])</f>
        <v>E004</v>
      </c>
      <c r="K455">
        <v>4</v>
      </c>
      <c r="L455" t="str">
        <f>_xlfn.XLOOKUP(Table1[[#This Row],[EducationField]],Table7[EducationField],Table7[Id_EducationField])</f>
        <v>EF001</v>
      </c>
      <c r="M455" t="s">
        <v>40</v>
      </c>
      <c r="N455" t="str">
        <f>_xlfn.XLOOKUP(Table1[[#This Row],[EmployeeNumber]],Table4[EmployeeNumber],Table4[Id_Employee])</f>
        <v>EMP00454</v>
      </c>
      <c r="O455">
        <v>608</v>
      </c>
      <c r="P455" t="str">
        <f>_xlfn.XLOOKUP(Table1[[#This Row],[EnvironmentSatisfaction]],Table9[EnvironmentSatisfaction],Table9[Id_EnviromentSatisfaction])</f>
        <v>ES002</v>
      </c>
      <c r="Q455">
        <v>2</v>
      </c>
      <c r="R455" t="str">
        <f>_xlfn.XLOOKUP(Table1[[#This Row],[EnvironmentSatisfaction]],Table9[EnvironmentSatisfaction],Table9[Deskripsi])</f>
        <v>Medium</v>
      </c>
      <c r="S455" t="str">
        <f>_xlfn.XLOOKUP(Table1[[#This Row],[Gender]],Table10[Gender],Table10[Id_Gender])</f>
        <v>G001</v>
      </c>
      <c r="T455" t="s">
        <v>45</v>
      </c>
      <c r="U455">
        <v>58</v>
      </c>
      <c r="V455" t="str">
        <f>_xlfn.XLOOKUP(Table1[[#This Row],[JobInvolvement]],Table11[JobInvolvement],Table11[Id_JobInvolvement])</f>
        <v>JI003</v>
      </c>
      <c r="W455">
        <v>3</v>
      </c>
      <c r="X455" t="str">
        <f>_xlfn.XLOOKUP(Table1[[#This Row],[JobLevel]],Table12[JobLevel],Table12[Id_JobLevel])</f>
        <v>JL001</v>
      </c>
      <c r="Y455">
        <v>1</v>
      </c>
      <c r="Z455" t="str">
        <f>_xlfn.XLOOKUP(Table1[[#This Row],[JobRole]],Table13[JobRole],Table13[Id_JobRole])</f>
        <v>JR009</v>
      </c>
      <c r="AA455" t="s">
        <v>39</v>
      </c>
      <c r="AB455" t="str">
        <f>_xlfn.XLOOKUP(Table1[[#This Row],[JobSatisfaction]],Table14[JobSatisfaction],Table14[Id_JobSatisfaction])</f>
        <v>JS003</v>
      </c>
      <c r="AC455">
        <v>3</v>
      </c>
      <c r="AD455" t="str">
        <f>_xlfn.XLOOKUP(Table1[[#This Row],[JobSatisfaction]],Table14[JobSatisfaction],Table14[Deskripsi])</f>
        <v>High</v>
      </c>
      <c r="AE455" t="str">
        <f>_xlfn.XLOOKUP(Table1[[#This Row],[MaritalStatus]],Table15[MaritalStatus],Table15[Id_MaritalStatus])</f>
        <v>MS003</v>
      </c>
      <c r="AF455" t="s">
        <v>57</v>
      </c>
      <c r="AG455">
        <v>2741</v>
      </c>
      <c r="AH455">
        <v>22808</v>
      </c>
      <c r="AI455">
        <v>0</v>
      </c>
      <c r="AJ455" t="str">
        <f>_xlfn.XLOOKUP(Table1[[#This Row],[OverTime]],Table16[OverTime],Table16[Id_OverTime])</f>
        <v>OT001</v>
      </c>
      <c r="AK455" t="s">
        <v>32</v>
      </c>
      <c r="AL455">
        <v>11</v>
      </c>
      <c r="AM455" t="str">
        <f>_xlfn.XLOOKUP(Table1[[#This Row],[PerformanceRating]],Table17[PerformanceRating],Table17[Id_PerformanceRating])</f>
        <v>PR003</v>
      </c>
      <c r="AN455">
        <v>3</v>
      </c>
      <c r="AO455" t="str">
        <f>_xlfn.XLOOKUP(Table1[[#This Row],[PerformanceRating]],Table17[PerformanceRating],Table17[Deskripsi])</f>
        <v>Excellent</v>
      </c>
      <c r="AP455" t="str">
        <f>_xlfn.XLOOKUP(Table1[[#This Row],[RelationshipSatisfaction]],Table18[RelationshipSatisfaction],Table18[Id_RelationshipSatisfaction])</f>
        <v>RS002</v>
      </c>
      <c r="AQ455">
        <v>2</v>
      </c>
      <c r="AR455" t="str">
        <f>_xlfn.XLOOKUP(Table1[[#This Row],[RelationshipSatisfaction]],Table18[RelationshipSatisfaction],Table18[Deskripsi])</f>
        <v>Medium</v>
      </c>
      <c r="AS455" t="str">
        <f>_xlfn.XLOOKUP(Table1[[#This Row],[StockOptionLevel]],Table19[StockOptionLevel],Table19[Id_StockOptionLevel])</f>
        <v>SOL002</v>
      </c>
      <c r="AT455">
        <v>1</v>
      </c>
      <c r="AU455" t="str">
        <f>_xlfn.XLOOKUP(Table1[[#This Row],[StockOptionLevel]],Table19[StockOptionLevel],Table19[Deskripsi])</f>
        <v>Standard</v>
      </c>
      <c r="AV455">
        <v>8</v>
      </c>
      <c r="AW455">
        <v>2</v>
      </c>
      <c r="AX455" t="str">
        <f>_xlfn.XLOOKUP(Table1[[#This Row],[WorkLifeBalance]],Table20[WorkLifeBalance],Table20[Id_WorkLifeBalance])</f>
        <v>WLB003</v>
      </c>
      <c r="AY455">
        <v>2</v>
      </c>
      <c r="AZ455" t="str">
        <f>_xlfn.XLOOKUP(Table1[[#This Row],[WorkLifeBalance]],Table20[WorkLifeBalance],Table20[Deskripsi])</f>
        <v>Better</v>
      </c>
      <c r="BA455">
        <v>7</v>
      </c>
      <c r="BB455">
        <v>7</v>
      </c>
      <c r="BC455">
        <v>1</v>
      </c>
      <c r="BD455">
        <v>0</v>
      </c>
    </row>
    <row r="456" spans="1:56" x14ac:dyDescent="0.25">
      <c r="A456">
        <v>29</v>
      </c>
      <c r="B456" t="str">
        <f>_xlfn.XLOOKUP(Table1[[#This Row],[Attrition]],Table2[Attrition],Table2[Id_Attrition])</f>
        <v>A002</v>
      </c>
      <c r="C456" t="s">
        <v>33</v>
      </c>
      <c r="D456" t="str">
        <f>_xlfn.XLOOKUP(Table1[[#This Row],[BusinessTravel]],Table5[BusinessTravel],Table5[Id_BusinessTravel])</f>
        <v>BS001</v>
      </c>
      <c r="E456" t="s">
        <v>34</v>
      </c>
      <c r="F456">
        <v>232</v>
      </c>
      <c r="G456" t="str">
        <f>_xlfn.XLOOKUP(Table1[[#This Row],[Department]],Table6[Department],Table6[Id_Departement])</f>
        <v>D002</v>
      </c>
      <c r="H456" t="s">
        <v>38</v>
      </c>
      <c r="I456">
        <v>19</v>
      </c>
      <c r="J456" t="str">
        <f>_xlfn.XLOOKUP(Table1[[#This Row],[Education]],Table8[Education],Table8[Id_Education])</f>
        <v>E003</v>
      </c>
      <c r="K456">
        <v>3</v>
      </c>
      <c r="L456" t="str">
        <f>_xlfn.XLOOKUP(Table1[[#This Row],[EducationField]],Table7[EducationField],Table7[Id_EducationField])</f>
        <v>EF005</v>
      </c>
      <c r="M456" t="s">
        <v>44</v>
      </c>
      <c r="N456" t="str">
        <f>_xlfn.XLOOKUP(Table1[[#This Row],[EmployeeNumber]],Table4[EmployeeNumber],Table4[Id_Employee])</f>
        <v>EMP00455</v>
      </c>
      <c r="O456">
        <v>611</v>
      </c>
      <c r="P456" t="str">
        <f>_xlfn.XLOOKUP(Table1[[#This Row],[EnvironmentSatisfaction]],Table9[EnvironmentSatisfaction],Table9[Id_EnviromentSatisfaction])</f>
        <v>ES004</v>
      </c>
      <c r="Q456">
        <v>4</v>
      </c>
      <c r="R456" t="str">
        <f>_xlfn.XLOOKUP(Table1[[#This Row],[EnvironmentSatisfaction]],Table9[EnvironmentSatisfaction],Table9[Deskripsi])</f>
        <v>Very High</v>
      </c>
      <c r="S456" t="str">
        <f>_xlfn.XLOOKUP(Table1[[#This Row],[Gender]],Table10[Gender],Table10[Id_Gender])</f>
        <v>G002</v>
      </c>
      <c r="T456" t="s">
        <v>46</v>
      </c>
      <c r="U456">
        <v>34</v>
      </c>
      <c r="V456" t="str">
        <f>_xlfn.XLOOKUP(Table1[[#This Row],[JobInvolvement]],Table11[JobInvolvement],Table11[Id_JobInvolvement])</f>
        <v>JI003</v>
      </c>
      <c r="W456">
        <v>3</v>
      </c>
      <c r="X456" t="str">
        <f>_xlfn.XLOOKUP(Table1[[#This Row],[JobLevel]],Table12[JobLevel],Table12[Id_JobLevel])</f>
        <v>JL002</v>
      </c>
      <c r="Y456">
        <v>2</v>
      </c>
      <c r="Z456" t="str">
        <f>_xlfn.XLOOKUP(Table1[[#This Row],[JobRole]],Table13[JobRole],Table13[Id_JobRole])</f>
        <v>JR004</v>
      </c>
      <c r="AA456" t="s">
        <v>50</v>
      </c>
      <c r="AB456" t="str">
        <f>_xlfn.XLOOKUP(Table1[[#This Row],[JobSatisfaction]],Table14[JobSatisfaction],Table14[Id_JobSatisfaction])</f>
        <v>JS004</v>
      </c>
      <c r="AC456">
        <v>4</v>
      </c>
      <c r="AD456" t="str">
        <f>_xlfn.XLOOKUP(Table1[[#This Row],[JobSatisfaction]],Table14[JobSatisfaction],Table14[Deskripsi])</f>
        <v>Very High</v>
      </c>
      <c r="AE456" t="str">
        <f>_xlfn.XLOOKUP(Table1[[#This Row],[MaritalStatus]],Table15[MaritalStatus],Table15[Id_MaritalStatus])</f>
        <v>MS003</v>
      </c>
      <c r="AF456" t="s">
        <v>57</v>
      </c>
      <c r="AG456">
        <v>4262</v>
      </c>
      <c r="AH456">
        <v>22645</v>
      </c>
      <c r="AI456">
        <v>4</v>
      </c>
      <c r="AJ456" t="str">
        <f>_xlfn.XLOOKUP(Table1[[#This Row],[OverTime]],Table16[OverTime],Table16[Id_OverTime])</f>
        <v>OT002</v>
      </c>
      <c r="AK456" t="s">
        <v>33</v>
      </c>
      <c r="AL456">
        <v>12</v>
      </c>
      <c r="AM456" t="str">
        <f>_xlfn.XLOOKUP(Table1[[#This Row],[PerformanceRating]],Table17[PerformanceRating],Table17[Id_PerformanceRating])</f>
        <v>PR003</v>
      </c>
      <c r="AN456">
        <v>3</v>
      </c>
      <c r="AO456" t="str">
        <f>_xlfn.XLOOKUP(Table1[[#This Row],[PerformanceRating]],Table17[PerformanceRating],Table17[Deskripsi])</f>
        <v>Excellent</v>
      </c>
      <c r="AP456" t="str">
        <f>_xlfn.XLOOKUP(Table1[[#This Row],[RelationshipSatisfaction]],Table18[RelationshipSatisfaction],Table18[Id_RelationshipSatisfaction])</f>
        <v>RS002</v>
      </c>
      <c r="AQ456">
        <v>2</v>
      </c>
      <c r="AR456" t="str">
        <f>_xlfn.XLOOKUP(Table1[[#This Row],[RelationshipSatisfaction]],Table18[RelationshipSatisfaction],Table18[Deskripsi])</f>
        <v>Medium</v>
      </c>
      <c r="AS456" t="str">
        <f>_xlfn.XLOOKUP(Table1[[#This Row],[StockOptionLevel]],Table19[StockOptionLevel],Table19[Id_StockOptionLevel])</f>
        <v>SOL003</v>
      </c>
      <c r="AT456">
        <v>2</v>
      </c>
      <c r="AU456" t="str">
        <f>_xlfn.XLOOKUP(Table1[[#This Row],[StockOptionLevel]],Table19[StockOptionLevel],Table19[Deskripsi])</f>
        <v>Intermediate</v>
      </c>
      <c r="AV456">
        <v>8</v>
      </c>
      <c r="AW456">
        <v>2</v>
      </c>
      <c r="AX456" t="str">
        <f>_xlfn.XLOOKUP(Table1[[#This Row],[WorkLifeBalance]],Table20[WorkLifeBalance],Table20[Id_WorkLifeBalance])</f>
        <v>WLB004</v>
      </c>
      <c r="AY456">
        <v>4</v>
      </c>
      <c r="AZ456" t="str">
        <f>_xlfn.XLOOKUP(Table1[[#This Row],[WorkLifeBalance]],Table20[WorkLifeBalance],Table20[Deskripsi])</f>
        <v>Best</v>
      </c>
      <c r="BA456">
        <v>3</v>
      </c>
      <c r="BB456">
        <v>2</v>
      </c>
      <c r="BC456">
        <v>1</v>
      </c>
      <c r="BD456">
        <v>2</v>
      </c>
    </row>
    <row r="457" spans="1:56" x14ac:dyDescent="0.25">
      <c r="A457">
        <v>33</v>
      </c>
      <c r="B457" t="str">
        <f>_xlfn.XLOOKUP(Table1[[#This Row],[Attrition]],Table2[Attrition],Table2[Id_Attrition])</f>
        <v>A002</v>
      </c>
      <c r="C457" t="s">
        <v>33</v>
      </c>
      <c r="D457" t="str">
        <f>_xlfn.XLOOKUP(Table1[[#This Row],[BusinessTravel]],Table5[BusinessTravel],Table5[Id_BusinessTravel])</f>
        <v>BS001</v>
      </c>
      <c r="E457" t="s">
        <v>34</v>
      </c>
      <c r="F457">
        <v>922</v>
      </c>
      <c r="G457" t="str">
        <f>_xlfn.XLOOKUP(Table1[[#This Row],[Department]],Table6[Department],Table6[Id_Departement])</f>
        <v>D002</v>
      </c>
      <c r="H457" t="s">
        <v>38</v>
      </c>
      <c r="I457">
        <v>1</v>
      </c>
      <c r="J457" t="str">
        <f>_xlfn.XLOOKUP(Table1[[#This Row],[Education]],Table8[Education],Table8[Id_Education])</f>
        <v>E005</v>
      </c>
      <c r="K457">
        <v>5</v>
      </c>
      <c r="L457" t="str">
        <f>_xlfn.XLOOKUP(Table1[[#This Row],[EducationField]],Table7[EducationField],Table7[Id_EducationField])</f>
        <v>EF003</v>
      </c>
      <c r="M457" t="s">
        <v>42</v>
      </c>
      <c r="N457" t="str">
        <f>_xlfn.XLOOKUP(Table1[[#This Row],[EmployeeNumber]],Table4[EmployeeNumber],Table4[Id_Employee])</f>
        <v>EMP00456</v>
      </c>
      <c r="O457">
        <v>612</v>
      </c>
      <c r="P457" t="str">
        <f>_xlfn.XLOOKUP(Table1[[#This Row],[EnvironmentSatisfaction]],Table9[EnvironmentSatisfaction],Table9[Id_EnviromentSatisfaction])</f>
        <v>ES001</v>
      </c>
      <c r="Q457">
        <v>1</v>
      </c>
      <c r="R457" t="str">
        <f>_xlfn.XLOOKUP(Table1[[#This Row],[EnvironmentSatisfaction]],Table9[EnvironmentSatisfaction],Table9[Deskripsi])</f>
        <v>Low</v>
      </c>
      <c r="S457" t="str">
        <f>_xlfn.XLOOKUP(Table1[[#This Row],[Gender]],Table10[Gender],Table10[Id_Gender])</f>
        <v>G001</v>
      </c>
      <c r="T457" t="s">
        <v>45</v>
      </c>
      <c r="U457">
        <v>95</v>
      </c>
      <c r="V457" t="str">
        <f>_xlfn.XLOOKUP(Table1[[#This Row],[JobInvolvement]],Table11[JobInvolvement],Table11[Id_JobInvolvement])</f>
        <v>JI004</v>
      </c>
      <c r="W457">
        <v>4</v>
      </c>
      <c r="X457" t="str">
        <f>_xlfn.XLOOKUP(Table1[[#This Row],[JobLevel]],Table12[JobLevel],Table12[Id_JobLevel])</f>
        <v>JL004</v>
      </c>
      <c r="Y457">
        <v>4</v>
      </c>
      <c r="Z457" t="str">
        <f>_xlfn.XLOOKUP(Table1[[#This Row],[JobRole]],Table13[JobRole],Table13[Id_JobRole])</f>
        <v>JR008</v>
      </c>
      <c r="AA457" t="s">
        <v>54</v>
      </c>
      <c r="AB457" t="str">
        <f>_xlfn.XLOOKUP(Table1[[#This Row],[JobSatisfaction]],Table14[JobSatisfaction],Table14[Id_JobSatisfaction])</f>
        <v>JS003</v>
      </c>
      <c r="AC457">
        <v>3</v>
      </c>
      <c r="AD457" t="str">
        <f>_xlfn.XLOOKUP(Table1[[#This Row],[JobSatisfaction]],Table14[JobSatisfaction],Table14[Deskripsi])</f>
        <v>High</v>
      </c>
      <c r="AE457" t="str">
        <f>_xlfn.XLOOKUP(Table1[[#This Row],[MaritalStatus]],Table15[MaritalStatus],Table15[Id_MaritalStatus])</f>
        <v>MS003</v>
      </c>
      <c r="AF457" t="s">
        <v>57</v>
      </c>
      <c r="AG457">
        <v>16184</v>
      </c>
      <c r="AH457">
        <v>22578</v>
      </c>
      <c r="AI457">
        <v>4</v>
      </c>
      <c r="AJ457" t="str">
        <f>_xlfn.XLOOKUP(Table1[[#This Row],[OverTime]],Table16[OverTime],Table16[Id_OverTime])</f>
        <v>OT002</v>
      </c>
      <c r="AK457" t="s">
        <v>33</v>
      </c>
      <c r="AL457">
        <v>19</v>
      </c>
      <c r="AM457" t="str">
        <f>_xlfn.XLOOKUP(Table1[[#This Row],[PerformanceRating]],Table17[PerformanceRating],Table17[Id_PerformanceRating])</f>
        <v>PR003</v>
      </c>
      <c r="AN457">
        <v>3</v>
      </c>
      <c r="AO457" t="str">
        <f>_xlfn.XLOOKUP(Table1[[#This Row],[PerformanceRating]],Table17[PerformanceRating],Table17[Deskripsi])</f>
        <v>Excellent</v>
      </c>
      <c r="AP457" t="str">
        <f>_xlfn.XLOOKUP(Table1[[#This Row],[RelationshipSatisfaction]],Table18[RelationshipSatisfaction],Table18[Id_RelationshipSatisfaction])</f>
        <v>RS003</v>
      </c>
      <c r="AQ457">
        <v>3</v>
      </c>
      <c r="AR457" t="str">
        <f>_xlfn.XLOOKUP(Table1[[#This Row],[RelationshipSatisfaction]],Table18[RelationshipSatisfaction],Table18[Deskripsi])</f>
        <v>High</v>
      </c>
      <c r="AS457" t="str">
        <f>_xlfn.XLOOKUP(Table1[[#This Row],[StockOptionLevel]],Table19[StockOptionLevel],Table19[Id_StockOptionLevel])</f>
        <v>SOL002</v>
      </c>
      <c r="AT457">
        <v>1</v>
      </c>
      <c r="AU457" t="str">
        <f>_xlfn.XLOOKUP(Table1[[#This Row],[StockOptionLevel]],Table19[StockOptionLevel],Table19[Deskripsi])</f>
        <v>Standard</v>
      </c>
      <c r="AV457">
        <v>10</v>
      </c>
      <c r="AW457">
        <v>2</v>
      </c>
      <c r="AX457" t="str">
        <f>_xlfn.XLOOKUP(Table1[[#This Row],[WorkLifeBalance]],Table20[WorkLifeBalance],Table20[Id_WorkLifeBalance])</f>
        <v>WLB002</v>
      </c>
      <c r="AY457">
        <v>3</v>
      </c>
      <c r="AZ457" t="str">
        <f>_xlfn.XLOOKUP(Table1[[#This Row],[WorkLifeBalance]],Table20[WorkLifeBalance],Table20[Deskripsi])</f>
        <v>Good</v>
      </c>
      <c r="BA457">
        <v>6</v>
      </c>
      <c r="BB457">
        <v>1</v>
      </c>
      <c r="BC457">
        <v>0</v>
      </c>
      <c r="BD457">
        <v>5</v>
      </c>
    </row>
    <row r="458" spans="1:56" x14ac:dyDescent="0.25">
      <c r="A458">
        <v>31</v>
      </c>
      <c r="B458" t="str">
        <f>_xlfn.XLOOKUP(Table1[[#This Row],[Attrition]],Table2[Attrition],Table2[Id_Attrition])</f>
        <v>A002</v>
      </c>
      <c r="C458" t="s">
        <v>33</v>
      </c>
      <c r="D458" t="str">
        <f>_xlfn.XLOOKUP(Table1[[#This Row],[BusinessTravel]],Table5[BusinessTravel],Table5[Id_BusinessTravel])</f>
        <v>BS001</v>
      </c>
      <c r="E458" t="s">
        <v>34</v>
      </c>
      <c r="F458">
        <v>688</v>
      </c>
      <c r="G458" t="str">
        <f>_xlfn.XLOOKUP(Table1[[#This Row],[Department]],Table6[Department],Table6[Id_Departement])</f>
        <v>D001</v>
      </c>
      <c r="H458" t="s">
        <v>37</v>
      </c>
      <c r="I458">
        <v>7</v>
      </c>
      <c r="J458" t="str">
        <f>_xlfn.XLOOKUP(Table1[[#This Row],[Education]],Table8[Education],Table8[Id_Education])</f>
        <v>E003</v>
      </c>
      <c r="K458">
        <v>3</v>
      </c>
      <c r="L458" t="str">
        <f>_xlfn.XLOOKUP(Table1[[#This Row],[EducationField]],Table7[EducationField],Table7[Id_EducationField])</f>
        <v>EF001</v>
      </c>
      <c r="M458" t="s">
        <v>40</v>
      </c>
      <c r="N458" t="str">
        <f>_xlfn.XLOOKUP(Table1[[#This Row],[EmployeeNumber]],Table4[EmployeeNumber],Table4[Id_Employee])</f>
        <v>EMP00457</v>
      </c>
      <c r="O458">
        <v>613</v>
      </c>
      <c r="P458" t="str">
        <f>_xlfn.XLOOKUP(Table1[[#This Row],[EnvironmentSatisfaction]],Table9[EnvironmentSatisfaction],Table9[Id_EnviromentSatisfaction])</f>
        <v>ES003</v>
      </c>
      <c r="Q458">
        <v>3</v>
      </c>
      <c r="R458" t="str">
        <f>_xlfn.XLOOKUP(Table1[[#This Row],[EnvironmentSatisfaction]],Table9[EnvironmentSatisfaction],Table9[Deskripsi])</f>
        <v>High</v>
      </c>
      <c r="S458" t="str">
        <f>_xlfn.XLOOKUP(Table1[[#This Row],[Gender]],Table10[Gender],Table10[Id_Gender])</f>
        <v>G002</v>
      </c>
      <c r="T458" t="s">
        <v>46</v>
      </c>
      <c r="U458">
        <v>44</v>
      </c>
      <c r="V458" t="str">
        <f>_xlfn.XLOOKUP(Table1[[#This Row],[JobInvolvement]],Table11[JobInvolvement],Table11[Id_JobInvolvement])</f>
        <v>JI002</v>
      </c>
      <c r="W458">
        <v>2</v>
      </c>
      <c r="X458" t="str">
        <f>_xlfn.XLOOKUP(Table1[[#This Row],[JobLevel]],Table12[JobLevel],Table12[Id_JobLevel])</f>
        <v>JL003</v>
      </c>
      <c r="Y458">
        <v>3</v>
      </c>
      <c r="Z458" t="str">
        <f>_xlfn.XLOOKUP(Table1[[#This Row],[JobRole]],Table13[JobRole],Table13[Id_JobRole])</f>
        <v>JR006</v>
      </c>
      <c r="AA458" t="s">
        <v>52</v>
      </c>
      <c r="AB458" t="str">
        <f>_xlfn.XLOOKUP(Table1[[#This Row],[JobSatisfaction]],Table14[JobSatisfaction],Table14[Id_JobSatisfaction])</f>
        <v>JS004</v>
      </c>
      <c r="AC458">
        <v>4</v>
      </c>
      <c r="AD458" t="str">
        <f>_xlfn.XLOOKUP(Table1[[#This Row],[JobSatisfaction]],Table14[JobSatisfaction],Table14[Deskripsi])</f>
        <v>Very High</v>
      </c>
      <c r="AE458" t="str">
        <f>_xlfn.XLOOKUP(Table1[[#This Row],[MaritalStatus]],Table15[MaritalStatus],Table15[Id_MaritalStatus])</f>
        <v>MS003</v>
      </c>
      <c r="AF458" t="s">
        <v>57</v>
      </c>
      <c r="AG458">
        <v>11557</v>
      </c>
      <c r="AH458">
        <v>25291</v>
      </c>
      <c r="AI458">
        <v>9</v>
      </c>
      <c r="AJ458" t="str">
        <f>_xlfn.XLOOKUP(Table1[[#This Row],[OverTime]],Table16[OverTime],Table16[Id_OverTime])</f>
        <v>OT002</v>
      </c>
      <c r="AK458" t="s">
        <v>33</v>
      </c>
      <c r="AL458">
        <v>21</v>
      </c>
      <c r="AM458" t="str">
        <f>_xlfn.XLOOKUP(Table1[[#This Row],[PerformanceRating]],Table17[PerformanceRating],Table17[Id_PerformanceRating])</f>
        <v>PR004</v>
      </c>
      <c r="AN458">
        <v>4</v>
      </c>
      <c r="AO458" t="str">
        <f>_xlfn.XLOOKUP(Table1[[#This Row],[PerformanceRating]],Table17[PerformanceRating],Table17[Deskripsi])</f>
        <v>Outstanding</v>
      </c>
      <c r="AP458" t="str">
        <f>_xlfn.XLOOKUP(Table1[[#This Row],[RelationshipSatisfaction]],Table18[RelationshipSatisfaction],Table18[Id_RelationshipSatisfaction])</f>
        <v>RS003</v>
      </c>
      <c r="AQ458">
        <v>3</v>
      </c>
      <c r="AR458" t="str">
        <f>_xlfn.XLOOKUP(Table1[[#This Row],[RelationshipSatisfaction]],Table18[RelationshipSatisfaction],Table18[Deskripsi])</f>
        <v>High</v>
      </c>
      <c r="AS458" t="str">
        <f>_xlfn.XLOOKUP(Table1[[#This Row],[StockOptionLevel]],Table19[StockOptionLevel],Table19[Id_StockOptionLevel])</f>
        <v>SOL002</v>
      </c>
      <c r="AT458">
        <v>1</v>
      </c>
      <c r="AU458" t="str">
        <f>_xlfn.XLOOKUP(Table1[[#This Row],[StockOptionLevel]],Table19[StockOptionLevel],Table19[Deskripsi])</f>
        <v>Standard</v>
      </c>
      <c r="AV458">
        <v>10</v>
      </c>
      <c r="AW458">
        <v>3</v>
      </c>
      <c r="AX458" t="str">
        <f>_xlfn.XLOOKUP(Table1[[#This Row],[WorkLifeBalance]],Table20[WorkLifeBalance],Table20[Id_WorkLifeBalance])</f>
        <v>WLB003</v>
      </c>
      <c r="AY458">
        <v>2</v>
      </c>
      <c r="AZ458" t="str">
        <f>_xlfn.XLOOKUP(Table1[[#This Row],[WorkLifeBalance]],Table20[WorkLifeBalance],Table20[Deskripsi])</f>
        <v>Better</v>
      </c>
      <c r="BA458">
        <v>5</v>
      </c>
      <c r="BB458">
        <v>4</v>
      </c>
      <c r="BC458">
        <v>0</v>
      </c>
      <c r="BD458">
        <v>1</v>
      </c>
    </row>
    <row r="459" spans="1:56" x14ac:dyDescent="0.25">
      <c r="A459">
        <v>18</v>
      </c>
      <c r="B459" t="str">
        <f>_xlfn.XLOOKUP(Table1[[#This Row],[Attrition]],Table2[Attrition],Table2[Id_Attrition])</f>
        <v>A001</v>
      </c>
      <c r="C459" t="s">
        <v>32</v>
      </c>
      <c r="D459" t="str">
        <f>_xlfn.XLOOKUP(Table1[[#This Row],[BusinessTravel]],Table5[BusinessTravel],Table5[Id_BusinessTravel])</f>
        <v>BS002</v>
      </c>
      <c r="E459" t="s">
        <v>35</v>
      </c>
      <c r="F459">
        <v>1306</v>
      </c>
      <c r="G459" t="str">
        <f>_xlfn.XLOOKUP(Table1[[#This Row],[Department]],Table6[Department],Table6[Id_Departement])</f>
        <v>D001</v>
      </c>
      <c r="H459" t="s">
        <v>37</v>
      </c>
      <c r="I459">
        <v>5</v>
      </c>
      <c r="J459" t="str">
        <f>_xlfn.XLOOKUP(Table1[[#This Row],[Education]],Table8[Education],Table8[Id_Education])</f>
        <v>E003</v>
      </c>
      <c r="K459">
        <v>3</v>
      </c>
      <c r="L459" t="str">
        <f>_xlfn.XLOOKUP(Table1[[#This Row],[EducationField]],Table7[EducationField],Table7[Id_EducationField])</f>
        <v>EF004</v>
      </c>
      <c r="M459" t="s">
        <v>43</v>
      </c>
      <c r="N459" t="str">
        <f>_xlfn.XLOOKUP(Table1[[#This Row],[EmployeeNumber]],Table4[EmployeeNumber],Table4[Id_Employee])</f>
        <v>EMP00458</v>
      </c>
      <c r="O459">
        <v>614</v>
      </c>
      <c r="P459" t="str">
        <f>_xlfn.XLOOKUP(Table1[[#This Row],[EnvironmentSatisfaction]],Table9[EnvironmentSatisfaction],Table9[Id_EnviromentSatisfaction])</f>
        <v>ES002</v>
      </c>
      <c r="Q459">
        <v>2</v>
      </c>
      <c r="R459" t="str">
        <f>_xlfn.XLOOKUP(Table1[[#This Row],[EnvironmentSatisfaction]],Table9[EnvironmentSatisfaction],Table9[Deskripsi])</f>
        <v>Medium</v>
      </c>
      <c r="S459" t="str">
        <f>_xlfn.XLOOKUP(Table1[[#This Row],[Gender]],Table10[Gender],Table10[Id_Gender])</f>
        <v>G002</v>
      </c>
      <c r="T459" t="s">
        <v>46</v>
      </c>
      <c r="U459">
        <v>69</v>
      </c>
      <c r="V459" t="str">
        <f>_xlfn.XLOOKUP(Table1[[#This Row],[JobInvolvement]],Table11[JobInvolvement],Table11[Id_JobInvolvement])</f>
        <v>JI003</v>
      </c>
      <c r="W459">
        <v>3</v>
      </c>
      <c r="X459" t="str">
        <f>_xlfn.XLOOKUP(Table1[[#This Row],[JobLevel]],Table12[JobLevel],Table12[Id_JobLevel])</f>
        <v>JL001</v>
      </c>
      <c r="Y459">
        <v>1</v>
      </c>
      <c r="Z459" t="str">
        <f>_xlfn.XLOOKUP(Table1[[#This Row],[JobRole]],Table13[JobRole],Table13[Id_JobRole])</f>
        <v>JR007</v>
      </c>
      <c r="AA459" t="s">
        <v>53</v>
      </c>
      <c r="AB459" t="str">
        <f>_xlfn.XLOOKUP(Table1[[#This Row],[JobSatisfaction]],Table14[JobSatisfaction],Table14[Id_JobSatisfaction])</f>
        <v>JS002</v>
      </c>
      <c r="AC459">
        <v>2</v>
      </c>
      <c r="AD459" t="str">
        <f>_xlfn.XLOOKUP(Table1[[#This Row],[JobSatisfaction]],Table14[JobSatisfaction],Table14[Deskripsi])</f>
        <v>Medium</v>
      </c>
      <c r="AE459" t="str">
        <f>_xlfn.XLOOKUP(Table1[[#This Row],[MaritalStatus]],Table15[MaritalStatus],Table15[Id_MaritalStatus])</f>
        <v>MS001</v>
      </c>
      <c r="AF459" t="s">
        <v>55</v>
      </c>
      <c r="AG459">
        <v>1878</v>
      </c>
      <c r="AH459">
        <v>8059</v>
      </c>
      <c r="AI459">
        <v>1</v>
      </c>
      <c r="AJ459" t="str">
        <f>_xlfn.XLOOKUP(Table1[[#This Row],[OverTime]],Table16[OverTime],Table16[Id_OverTime])</f>
        <v>OT001</v>
      </c>
      <c r="AK459" t="s">
        <v>32</v>
      </c>
      <c r="AL459">
        <v>14</v>
      </c>
      <c r="AM459" t="str">
        <f>_xlfn.XLOOKUP(Table1[[#This Row],[PerformanceRating]],Table17[PerformanceRating],Table17[Id_PerformanceRating])</f>
        <v>PR003</v>
      </c>
      <c r="AN459">
        <v>3</v>
      </c>
      <c r="AO459" t="str">
        <f>_xlfn.XLOOKUP(Table1[[#This Row],[PerformanceRating]],Table17[PerformanceRating],Table17[Deskripsi])</f>
        <v>Excellent</v>
      </c>
      <c r="AP459" t="str">
        <f>_xlfn.XLOOKUP(Table1[[#This Row],[RelationshipSatisfaction]],Table18[RelationshipSatisfaction],Table18[Id_RelationshipSatisfaction])</f>
        <v>RS004</v>
      </c>
      <c r="AQ459">
        <v>4</v>
      </c>
      <c r="AR459" t="str">
        <f>_xlfn.XLOOKUP(Table1[[#This Row],[RelationshipSatisfaction]],Table18[RelationshipSatisfaction],Table18[Deskripsi])</f>
        <v>Very High</v>
      </c>
      <c r="AS459" t="str">
        <f>_xlfn.XLOOKUP(Table1[[#This Row],[StockOptionLevel]],Table19[StockOptionLevel],Table19[Id_StockOptionLevel])</f>
        <v>SOL001</v>
      </c>
      <c r="AT459">
        <v>0</v>
      </c>
      <c r="AU459" t="str">
        <f>_xlfn.XLOOKUP(Table1[[#This Row],[StockOptionLevel]],Table19[StockOptionLevel],Table19[Deskripsi])</f>
        <v>Non-Eligible</v>
      </c>
      <c r="AV459">
        <v>0</v>
      </c>
      <c r="AW459">
        <v>3</v>
      </c>
      <c r="AX459" t="str">
        <f>_xlfn.XLOOKUP(Table1[[#This Row],[WorkLifeBalance]],Table20[WorkLifeBalance],Table20[Id_WorkLifeBalance])</f>
        <v>WLB002</v>
      </c>
      <c r="AY459">
        <v>3</v>
      </c>
      <c r="AZ459" t="str">
        <f>_xlfn.XLOOKUP(Table1[[#This Row],[WorkLifeBalance]],Table20[WorkLifeBalance],Table20[Deskripsi])</f>
        <v>Good</v>
      </c>
      <c r="BA459">
        <v>0</v>
      </c>
      <c r="BB459">
        <v>0</v>
      </c>
      <c r="BC459">
        <v>0</v>
      </c>
      <c r="BD459">
        <v>0</v>
      </c>
    </row>
    <row r="460" spans="1:56" x14ac:dyDescent="0.25">
      <c r="A460">
        <v>40</v>
      </c>
      <c r="B460" t="str">
        <f>_xlfn.XLOOKUP(Table1[[#This Row],[Attrition]],Table2[Attrition],Table2[Id_Attrition])</f>
        <v>A002</v>
      </c>
      <c r="C460" t="s">
        <v>33</v>
      </c>
      <c r="D460" t="str">
        <f>_xlfn.XLOOKUP(Table1[[#This Row],[BusinessTravel]],Table5[BusinessTravel],Table5[Id_BusinessTravel])</f>
        <v>BS003</v>
      </c>
      <c r="E460" t="s">
        <v>36</v>
      </c>
      <c r="F460">
        <v>1094</v>
      </c>
      <c r="G460" t="str">
        <f>_xlfn.XLOOKUP(Table1[[#This Row],[Department]],Table6[Department],Table6[Id_Departement])</f>
        <v>D001</v>
      </c>
      <c r="H460" t="s">
        <v>37</v>
      </c>
      <c r="I460">
        <v>28</v>
      </c>
      <c r="J460" t="str">
        <f>_xlfn.XLOOKUP(Table1[[#This Row],[Education]],Table8[Education],Table8[Id_Education])</f>
        <v>E003</v>
      </c>
      <c r="K460">
        <v>3</v>
      </c>
      <c r="L460" t="str">
        <f>_xlfn.XLOOKUP(Table1[[#This Row],[EducationField]],Table7[EducationField],Table7[Id_EducationField])</f>
        <v>EF002</v>
      </c>
      <c r="M460" t="s">
        <v>41</v>
      </c>
      <c r="N460" t="str">
        <f>_xlfn.XLOOKUP(Table1[[#This Row],[EmployeeNumber]],Table4[EmployeeNumber],Table4[Id_Employee])</f>
        <v>EMP00459</v>
      </c>
      <c r="O460">
        <v>615</v>
      </c>
      <c r="P460" t="str">
        <f>_xlfn.XLOOKUP(Table1[[#This Row],[EnvironmentSatisfaction]],Table9[EnvironmentSatisfaction],Table9[Id_EnviromentSatisfaction])</f>
        <v>ES003</v>
      </c>
      <c r="Q460">
        <v>3</v>
      </c>
      <c r="R460" t="str">
        <f>_xlfn.XLOOKUP(Table1[[#This Row],[EnvironmentSatisfaction]],Table9[EnvironmentSatisfaction],Table9[Deskripsi])</f>
        <v>High</v>
      </c>
      <c r="S460" t="str">
        <f>_xlfn.XLOOKUP(Table1[[#This Row],[Gender]],Table10[Gender],Table10[Id_Gender])</f>
        <v>G002</v>
      </c>
      <c r="T460" t="s">
        <v>46</v>
      </c>
      <c r="U460">
        <v>58</v>
      </c>
      <c r="V460" t="str">
        <f>_xlfn.XLOOKUP(Table1[[#This Row],[JobInvolvement]],Table11[JobInvolvement],Table11[Id_JobInvolvement])</f>
        <v>JI001</v>
      </c>
      <c r="W460">
        <v>1</v>
      </c>
      <c r="X460" t="str">
        <f>_xlfn.XLOOKUP(Table1[[#This Row],[JobLevel]],Table12[JobLevel],Table12[Id_JobLevel])</f>
        <v>JL003</v>
      </c>
      <c r="Y460">
        <v>3</v>
      </c>
      <c r="Z460" t="str">
        <f>_xlfn.XLOOKUP(Table1[[#This Row],[JobRole]],Table13[JobRole],Table13[Id_JobRole])</f>
        <v>JR001</v>
      </c>
      <c r="AA460" t="s">
        <v>47</v>
      </c>
      <c r="AB460" t="str">
        <f>_xlfn.XLOOKUP(Table1[[#This Row],[JobSatisfaction]],Table14[JobSatisfaction],Table14[Id_JobSatisfaction])</f>
        <v>JS001</v>
      </c>
      <c r="AC460">
        <v>1</v>
      </c>
      <c r="AD460" t="str">
        <f>_xlfn.XLOOKUP(Table1[[#This Row],[JobSatisfaction]],Table14[JobSatisfaction],Table14[Deskripsi])</f>
        <v>Low</v>
      </c>
      <c r="AE460" t="str">
        <f>_xlfn.XLOOKUP(Table1[[#This Row],[MaritalStatus]],Table15[MaritalStatus],Table15[Id_MaritalStatus])</f>
        <v>MS003</v>
      </c>
      <c r="AF460" t="s">
        <v>57</v>
      </c>
      <c r="AG460">
        <v>10932</v>
      </c>
      <c r="AH460">
        <v>11373</v>
      </c>
      <c r="AI460">
        <v>3</v>
      </c>
      <c r="AJ460" t="str">
        <f>_xlfn.XLOOKUP(Table1[[#This Row],[OverTime]],Table16[OverTime],Table16[Id_OverTime])</f>
        <v>OT002</v>
      </c>
      <c r="AK460" t="s">
        <v>33</v>
      </c>
      <c r="AL460">
        <v>15</v>
      </c>
      <c r="AM460" t="str">
        <f>_xlfn.XLOOKUP(Table1[[#This Row],[PerformanceRating]],Table17[PerformanceRating],Table17[Id_PerformanceRating])</f>
        <v>PR003</v>
      </c>
      <c r="AN460">
        <v>3</v>
      </c>
      <c r="AO460" t="str">
        <f>_xlfn.XLOOKUP(Table1[[#This Row],[PerformanceRating]],Table17[PerformanceRating],Table17[Deskripsi])</f>
        <v>Excellent</v>
      </c>
      <c r="AP460" t="str">
        <f>_xlfn.XLOOKUP(Table1[[#This Row],[RelationshipSatisfaction]],Table18[RelationshipSatisfaction],Table18[Id_RelationshipSatisfaction])</f>
        <v>RS003</v>
      </c>
      <c r="AQ460">
        <v>3</v>
      </c>
      <c r="AR460" t="str">
        <f>_xlfn.XLOOKUP(Table1[[#This Row],[RelationshipSatisfaction]],Table18[RelationshipSatisfaction],Table18[Deskripsi])</f>
        <v>High</v>
      </c>
      <c r="AS460" t="str">
        <f>_xlfn.XLOOKUP(Table1[[#This Row],[StockOptionLevel]],Table19[StockOptionLevel],Table19[Id_StockOptionLevel])</f>
        <v>SOL002</v>
      </c>
      <c r="AT460">
        <v>1</v>
      </c>
      <c r="AU460" t="str">
        <f>_xlfn.XLOOKUP(Table1[[#This Row],[StockOptionLevel]],Table19[StockOptionLevel],Table19[Deskripsi])</f>
        <v>Standard</v>
      </c>
      <c r="AV460">
        <v>20</v>
      </c>
      <c r="AW460">
        <v>2</v>
      </c>
      <c r="AX460" t="str">
        <f>_xlfn.XLOOKUP(Table1[[#This Row],[WorkLifeBalance]],Table20[WorkLifeBalance],Table20[Id_WorkLifeBalance])</f>
        <v>WLB002</v>
      </c>
      <c r="AY460">
        <v>3</v>
      </c>
      <c r="AZ460" t="str">
        <f>_xlfn.XLOOKUP(Table1[[#This Row],[WorkLifeBalance]],Table20[WorkLifeBalance],Table20[Deskripsi])</f>
        <v>Good</v>
      </c>
      <c r="BA460">
        <v>1</v>
      </c>
      <c r="BB460">
        <v>0</v>
      </c>
      <c r="BC460">
        <v>0</v>
      </c>
      <c r="BD460">
        <v>1</v>
      </c>
    </row>
    <row r="461" spans="1:56" x14ac:dyDescent="0.25">
      <c r="A461">
        <v>41</v>
      </c>
      <c r="B461" t="str">
        <f>_xlfn.XLOOKUP(Table1[[#This Row],[Attrition]],Table2[Attrition],Table2[Id_Attrition])</f>
        <v>A002</v>
      </c>
      <c r="C461" t="s">
        <v>33</v>
      </c>
      <c r="D461" t="str">
        <f>_xlfn.XLOOKUP(Table1[[#This Row],[BusinessTravel]],Table5[BusinessTravel],Table5[Id_BusinessTravel])</f>
        <v>BS003</v>
      </c>
      <c r="E461" t="s">
        <v>36</v>
      </c>
      <c r="F461">
        <v>509</v>
      </c>
      <c r="G461" t="str">
        <f>_xlfn.XLOOKUP(Table1[[#This Row],[Department]],Table6[Department],Table6[Id_Departement])</f>
        <v>D002</v>
      </c>
      <c r="H461" t="s">
        <v>38</v>
      </c>
      <c r="I461">
        <v>2</v>
      </c>
      <c r="J461" t="str">
        <f>_xlfn.XLOOKUP(Table1[[#This Row],[Education]],Table8[Education],Table8[Id_Education])</f>
        <v>E004</v>
      </c>
      <c r="K461">
        <v>4</v>
      </c>
      <c r="L461" t="str">
        <f>_xlfn.XLOOKUP(Table1[[#This Row],[EducationField]],Table7[EducationField],Table7[Id_EducationField])</f>
        <v>EF002</v>
      </c>
      <c r="M461" t="s">
        <v>41</v>
      </c>
      <c r="N461" t="str">
        <f>_xlfn.XLOOKUP(Table1[[#This Row],[EmployeeNumber]],Table4[EmployeeNumber],Table4[Id_Employee])</f>
        <v>EMP00460</v>
      </c>
      <c r="O461">
        <v>616</v>
      </c>
      <c r="P461" t="str">
        <f>_xlfn.XLOOKUP(Table1[[#This Row],[EnvironmentSatisfaction]],Table9[EnvironmentSatisfaction],Table9[Id_EnviromentSatisfaction])</f>
        <v>ES001</v>
      </c>
      <c r="Q461">
        <v>1</v>
      </c>
      <c r="R461" t="str">
        <f>_xlfn.XLOOKUP(Table1[[#This Row],[EnvironmentSatisfaction]],Table9[EnvironmentSatisfaction],Table9[Deskripsi])</f>
        <v>Low</v>
      </c>
      <c r="S461" t="str">
        <f>_xlfn.XLOOKUP(Table1[[#This Row],[Gender]],Table10[Gender],Table10[Id_Gender])</f>
        <v>G001</v>
      </c>
      <c r="T461" t="s">
        <v>45</v>
      </c>
      <c r="U461">
        <v>62</v>
      </c>
      <c r="V461" t="str">
        <f>_xlfn.XLOOKUP(Table1[[#This Row],[JobInvolvement]],Table11[JobInvolvement],Table11[Id_JobInvolvement])</f>
        <v>JI002</v>
      </c>
      <c r="W461">
        <v>2</v>
      </c>
      <c r="X461" t="str">
        <f>_xlfn.XLOOKUP(Table1[[#This Row],[JobLevel]],Table12[JobLevel],Table12[Id_JobLevel])</f>
        <v>JL002</v>
      </c>
      <c r="Y461">
        <v>2</v>
      </c>
      <c r="Z461" t="str">
        <f>_xlfn.XLOOKUP(Table1[[#This Row],[JobRole]],Table13[JobRole],Table13[Id_JobRole])</f>
        <v>JR005</v>
      </c>
      <c r="AA461" t="s">
        <v>51</v>
      </c>
      <c r="AB461" t="str">
        <f>_xlfn.XLOOKUP(Table1[[#This Row],[JobSatisfaction]],Table14[JobSatisfaction],Table14[Id_JobSatisfaction])</f>
        <v>JS003</v>
      </c>
      <c r="AC461">
        <v>3</v>
      </c>
      <c r="AD461" t="str">
        <f>_xlfn.XLOOKUP(Table1[[#This Row],[JobSatisfaction]],Table14[JobSatisfaction],Table14[Deskripsi])</f>
        <v>High</v>
      </c>
      <c r="AE461" t="str">
        <f>_xlfn.XLOOKUP(Table1[[#This Row],[MaritalStatus]],Table15[MaritalStatus],Table15[Id_MaritalStatus])</f>
        <v>MS001</v>
      </c>
      <c r="AF461" t="s">
        <v>55</v>
      </c>
      <c r="AG461">
        <v>6811</v>
      </c>
      <c r="AH461">
        <v>2112</v>
      </c>
      <c r="AI461">
        <v>2</v>
      </c>
      <c r="AJ461" t="str">
        <f>_xlfn.XLOOKUP(Table1[[#This Row],[OverTime]],Table16[OverTime],Table16[Id_OverTime])</f>
        <v>OT001</v>
      </c>
      <c r="AK461" t="s">
        <v>32</v>
      </c>
      <c r="AL461">
        <v>17</v>
      </c>
      <c r="AM461" t="str">
        <f>_xlfn.XLOOKUP(Table1[[#This Row],[PerformanceRating]],Table17[PerformanceRating],Table17[Id_PerformanceRating])</f>
        <v>PR003</v>
      </c>
      <c r="AN461">
        <v>3</v>
      </c>
      <c r="AO461" t="str">
        <f>_xlfn.XLOOKUP(Table1[[#This Row],[PerformanceRating]],Table17[PerformanceRating],Table17[Deskripsi])</f>
        <v>Excellent</v>
      </c>
      <c r="AP461" t="str">
        <f>_xlfn.XLOOKUP(Table1[[#This Row],[RelationshipSatisfaction]],Table18[RelationshipSatisfaction],Table18[Id_RelationshipSatisfaction])</f>
        <v>RS001</v>
      </c>
      <c r="AQ461">
        <v>1</v>
      </c>
      <c r="AR461" t="str">
        <f>_xlfn.XLOOKUP(Table1[[#This Row],[RelationshipSatisfaction]],Table18[RelationshipSatisfaction],Table18[Deskripsi])</f>
        <v>Low</v>
      </c>
      <c r="AS461" t="str">
        <f>_xlfn.XLOOKUP(Table1[[#This Row],[StockOptionLevel]],Table19[StockOptionLevel],Table19[Id_StockOptionLevel])</f>
        <v>SOL001</v>
      </c>
      <c r="AT461">
        <v>0</v>
      </c>
      <c r="AU461" t="str">
        <f>_xlfn.XLOOKUP(Table1[[#This Row],[StockOptionLevel]],Table19[StockOptionLevel],Table19[Deskripsi])</f>
        <v>Non-Eligible</v>
      </c>
      <c r="AV461">
        <v>10</v>
      </c>
      <c r="AW461">
        <v>3</v>
      </c>
      <c r="AX461" t="str">
        <f>_xlfn.XLOOKUP(Table1[[#This Row],[WorkLifeBalance]],Table20[WorkLifeBalance],Table20[Id_WorkLifeBalance])</f>
        <v>WLB002</v>
      </c>
      <c r="AY461">
        <v>3</v>
      </c>
      <c r="AZ461" t="str">
        <f>_xlfn.XLOOKUP(Table1[[#This Row],[WorkLifeBalance]],Table20[WorkLifeBalance],Table20[Deskripsi])</f>
        <v>Good</v>
      </c>
      <c r="BA461">
        <v>8</v>
      </c>
      <c r="BB461">
        <v>7</v>
      </c>
      <c r="BC461">
        <v>0</v>
      </c>
      <c r="BD461">
        <v>7</v>
      </c>
    </row>
    <row r="462" spans="1:56" x14ac:dyDescent="0.25">
      <c r="A462">
        <v>26</v>
      </c>
      <c r="B462" t="str">
        <f>_xlfn.XLOOKUP(Table1[[#This Row],[Attrition]],Table2[Attrition],Table2[Id_Attrition])</f>
        <v>A002</v>
      </c>
      <c r="C462" t="s">
        <v>33</v>
      </c>
      <c r="D462" t="str">
        <f>_xlfn.XLOOKUP(Table1[[#This Row],[BusinessTravel]],Table5[BusinessTravel],Table5[Id_BusinessTravel])</f>
        <v>BS001</v>
      </c>
      <c r="E462" t="s">
        <v>34</v>
      </c>
      <c r="F462">
        <v>775</v>
      </c>
      <c r="G462" t="str">
        <f>_xlfn.XLOOKUP(Table1[[#This Row],[Department]],Table6[Department],Table6[Id_Departement])</f>
        <v>D001</v>
      </c>
      <c r="H462" t="s">
        <v>37</v>
      </c>
      <c r="I462">
        <v>29</v>
      </c>
      <c r="J462" t="str">
        <f>_xlfn.XLOOKUP(Table1[[#This Row],[Education]],Table8[Education],Table8[Id_Education])</f>
        <v>E002</v>
      </c>
      <c r="K462">
        <v>2</v>
      </c>
      <c r="L462" t="str">
        <f>_xlfn.XLOOKUP(Table1[[#This Row],[EducationField]],Table7[EducationField],Table7[Id_EducationField])</f>
        <v>EF003</v>
      </c>
      <c r="M462" t="s">
        <v>42</v>
      </c>
      <c r="N462" t="str">
        <f>_xlfn.XLOOKUP(Table1[[#This Row],[EmployeeNumber]],Table4[EmployeeNumber],Table4[Id_Employee])</f>
        <v>EMP00461</v>
      </c>
      <c r="O462">
        <v>618</v>
      </c>
      <c r="P462" t="str">
        <f>_xlfn.XLOOKUP(Table1[[#This Row],[EnvironmentSatisfaction]],Table9[EnvironmentSatisfaction],Table9[Id_EnviromentSatisfaction])</f>
        <v>ES001</v>
      </c>
      <c r="Q462">
        <v>1</v>
      </c>
      <c r="R462" t="str">
        <f>_xlfn.XLOOKUP(Table1[[#This Row],[EnvironmentSatisfaction]],Table9[EnvironmentSatisfaction],Table9[Deskripsi])</f>
        <v>Low</v>
      </c>
      <c r="S462" t="str">
        <f>_xlfn.XLOOKUP(Table1[[#This Row],[Gender]],Table10[Gender],Table10[Id_Gender])</f>
        <v>G002</v>
      </c>
      <c r="T462" t="s">
        <v>46</v>
      </c>
      <c r="U462">
        <v>45</v>
      </c>
      <c r="V462" t="str">
        <f>_xlfn.XLOOKUP(Table1[[#This Row],[JobInvolvement]],Table11[JobInvolvement],Table11[Id_JobInvolvement])</f>
        <v>JI003</v>
      </c>
      <c r="W462">
        <v>3</v>
      </c>
      <c r="X462" t="str">
        <f>_xlfn.XLOOKUP(Table1[[#This Row],[JobLevel]],Table12[JobLevel],Table12[Id_JobLevel])</f>
        <v>JL002</v>
      </c>
      <c r="Y462">
        <v>2</v>
      </c>
      <c r="Z462" t="str">
        <f>_xlfn.XLOOKUP(Table1[[#This Row],[JobRole]],Table13[JobRole],Table13[Id_JobRole])</f>
        <v>JR001</v>
      </c>
      <c r="AA462" t="s">
        <v>47</v>
      </c>
      <c r="AB462" t="str">
        <f>_xlfn.XLOOKUP(Table1[[#This Row],[JobSatisfaction]],Table14[JobSatisfaction],Table14[Id_JobSatisfaction])</f>
        <v>JS003</v>
      </c>
      <c r="AC462">
        <v>3</v>
      </c>
      <c r="AD462" t="str">
        <f>_xlfn.XLOOKUP(Table1[[#This Row],[JobSatisfaction]],Table14[JobSatisfaction],Table14[Deskripsi])</f>
        <v>High</v>
      </c>
      <c r="AE462" t="str">
        <f>_xlfn.XLOOKUP(Table1[[#This Row],[MaritalStatus]],Table15[MaritalStatus],Table15[Id_MaritalStatus])</f>
        <v>MS003</v>
      </c>
      <c r="AF462" t="s">
        <v>57</v>
      </c>
      <c r="AG462">
        <v>4306</v>
      </c>
      <c r="AH462">
        <v>4267</v>
      </c>
      <c r="AI462">
        <v>5</v>
      </c>
      <c r="AJ462" t="str">
        <f>_xlfn.XLOOKUP(Table1[[#This Row],[OverTime]],Table16[OverTime],Table16[Id_OverTime])</f>
        <v>OT002</v>
      </c>
      <c r="AK462" t="s">
        <v>33</v>
      </c>
      <c r="AL462">
        <v>12</v>
      </c>
      <c r="AM462" t="str">
        <f>_xlfn.XLOOKUP(Table1[[#This Row],[PerformanceRating]],Table17[PerformanceRating],Table17[Id_PerformanceRating])</f>
        <v>PR003</v>
      </c>
      <c r="AN462">
        <v>3</v>
      </c>
      <c r="AO462" t="str">
        <f>_xlfn.XLOOKUP(Table1[[#This Row],[PerformanceRating]],Table17[PerformanceRating],Table17[Deskripsi])</f>
        <v>Excellent</v>
      </c>
      <c r="AP462" t="str">
        <f>_xlfn.XLOOKUP(Table1[[#This Row],[RelationshipSatisfaction]],Table18[RelationshipSatisfaction],Table18[Id_RelationshipSatisfaction])</f>
        <v>RS001</v>
      </c>
      <c r="AQ462">
        <v>1</v>
      </c>
      <c r="AR462" t="str">
        <f>_xlfn.XLOOKUP(Table1[[#This Row],[RelationshipSatisfaction]],Table18[RelationshipSatisfaction],Table18[Deskripsi])</f>
        <v>Low</v>
      </c>
      <c r="AS462" t="str">
        <f>_xlfn.XLOOKUP(Table1[[#This Row],[StockOptionLevel]],Table19[StockOptionLevel],Table19[Id_StockOptionLevel])</f>
        <v>SOL003</v>
      </c>
      <c r="AT462">
        <v>2</v>
      </c>
      <c r="AU462" t="str">
        <f>_xlfn.XLOOKUP(Table1[[#This Row],[StockOptionLevel]],Table19[StockOptionLevel],Table19[Deskripsi])</f>
        <v>Intermediate</v>
      </c>
      <c r="AV462">
        <v>8</v>
      </c>
      <c r="AW462">
        <v>5</v>
      </c>
      <c r="AX462" t="str">
        <f>_xlfn.XLOOKUP(Table1[[#This Row],[WorkLifeBalance]],Table20[WorkLifeBalance],Table20[Id_WorkLifeBalance])</f>
        <v>WLB002</v>
      </c>
      <c r="AY462">
        <v>3</v>
      </c>
      <c r="AZ462" t="str">
        <f>_xlfn.XLOOKUP(Table1[[#This Row],[WorkLifeBalance]],Table20[WorkLifeBalance],Table20[Deskripsi])</f>
        <v>Good</v>
      </c>
      <c r="BA462">
        <v>0</v>
      </c>
      <c r="BB462">
        <v>0</v>
      </c>
      <c r="BC462">
        <v>0</v>
      </c>
      <c r="BD462">
        <v>0</v>
      </c>
    </row>
    <row r="463" spans="1:56" x14ac:dyDescent="0.25">
      <c r="A463">
        <v>35</v>
      </c>
      <c r="B463" t="str">
        <f>_xlfn.XLOOKUP(Table1[[#This Row],[Attrition]],Table2[Attrition],Table2[Id_Attrition])</f>
        <v>A002</v>
      </c>
      <c r="C463" t="s">
        <v>33</v>
      </c>
      <c r="D463" t="str">
        <f>_xlfn.XLOOKUP(Table1[[#This Row],[BusinessTravel]],Table5[BusinessTravel],Table5[Id_BusinessTravel])</f>
        <v>BS001</v>
      </c>
      <c r="E463" t="s">
        <v>34</v>
      </c>
      <c r="F463">
        <v>195</v>
      </c>
      <c r="G463" t="str">
        <f>_xlfn.XLOOKUP(Table1[[#This Row],[Department]],Table6[Department],Table6[Id_Departement])</f>
        <v>D001</v>
      </c>
      <c r="H463" t="s">
        <v>37</v>
      </c>
      <c r="I463">
        <v>1</v>
      </c>
      <c r="J463" t="str">
        <f>_xlfn.XLOOKUP(Table1[[#This Row],[Education]],Table8[Education],Table8[Id_Education])</f>
        <v>E003</v>
      </c>
      <c r="K463">
        <v>3</v>
      </c>
      <c r="L463" t="str">
        <f>_xlfn.XLOOKUP(Table1[[#This Row],[EducationField]],Table7[EducationField],Table7[Id_EducationField])</f>
        <v>EF003</v>
      </c>
      <c r="M463" t="s">
        <v>42</v>
      </c>
      <c r="N463" t="str">
        <f>_xlfn.XLOOKUP(Table1[[#This Row],[EmployeeNumber]],Table4[EmployeeNumber],Table4[Id_Employee])</f>
        <v>EMP00462</v>
      </c>
      <c r="O463">
        <v>620</v>
      </c>
      <c r="P463" t="str">
        <f>_xlfn.XLOOKUP(Table1[[#This Row],[EnvironmentSatisfaction]],Table9[EnvironmentSatisfaction],Table9[Id_EnviromentSatisfaction])</f>
        <v>ES001</v>
      </c>
      <c r="Q463">
        <v>1</v>
      </c>
      <c r="R463" t="str">
        <f>_xlfn.XLOOKUP(Table1[[#This Row],[EnvironmentSatisfaction]],Table9[EnvironmentSatisfaction],Table9[Deskripsi])</f>
        <v>Low</v>
      </c>
      <c r="S463" t="str">
        <f>_xlfn.XLOOKUP(Table1[[#This Row],[Gender]],Table10[Gender],Table10[Id_Gender])</f>
        <v>G001</v>
      </c>
      <c r="T463" t="s">
        <v>45</v>
      </c>
      <c r="U463">
        <v>80</v>
      </c>
      <c r="V463" t="str">
        <f>_xlfn.XLOOKUP(Table1[[#This Row],[JobInvolvement]],Table11[JobInvolvement],Table11[Id_JobInvolvement])</f>
        <v>JI003</v>
      </c>
      <c r="W463">
        <v>3</v>
      </c>
      <c r="X463" t="str">
        <f>_xlfn.XLOOKUP(Table1[[#This Row],[JobLevel]],Table12[JobLevel],Table12[Id_JobLevel])</f>
        <v>JL002</v>
      </c>
      <c r="Y463">
        <v>2</v>
      </c>
      <c r="Z463" t="str">
        <f>_xlfn.XLOOKUP(Table1[[#This Row],[JobRole]],Table13[JobRole],Table13[Id_JobRole])</f>
        <v>JR001</v>
      </c>
      <c r="AA463" t="s">
        <v>47</v>
      </c>
      <c r="AB463" t="str">
        <f>_xlfn.XLOOKUP(Table1[[#This Row],[JobSatisfaction]],Table14[JobSatisfaction],Table14[Id_JobSatisfaction])</f>
        <v>JS003</v>
      </c>
      <c r="AC463">
        <v>3</v>
      </c>
      <c r="AD463" t="str">
        <f>_xlfn.XLOOKUP(Table1[[#This Row],[JobSatisfaction]],Table14[JobSatisfaction],Table14[Deskripsi])</f>
        <v>High</v>
      </c>
      <c r="AE463" t="str">
        <f>_xlfn.XLOOKUP(Table1[[#This Row],[MaritalStatus]],Table15[MaritalStatus],Table15[Id_MaritalStatus])</f>
        <v>MS001</v>
      </c>
      <c r="AF463" t="s">
        <v>55</v>
      </c>
      <c r="AG463">
        <v>4859</v>
      </c>
      <c r="AH463">
        <v>6698</v>
      </c>
      <c r="AI463">
        <v>1</v>
      </c>
      <c r="AJ463" t="str">
        <f>_xlfn.XLOOKUP(Table1[[#This Row],[OverTime]],Table16[OverTime],Table16[Id_OverTime])</f>
        <v>OT002</v>
      </c>
      <c r="AK463" t="s">
        <v>33</v>
      </c>
      <c r="AL463">
        <v>16</v>
      </c>
      <c r="AM463" t="str">
        <f>_xlfn.XLOOKUP(Table1[[#This Row],[PerformanceRating]],Table17[PerformanceRating],Table17[Id_PerformanceRating])</f>
        <v>PR003</v>
      </c>
      <c r="AN463">
        <v>3</v>
      </c>
      <c r="AO463" t="str">
        <f>_xlfn.XLOOKUP(Table1[[#This Row],[PerformanceRating]],Table17[PerformanceRating],Table17[Deskripsi])</f>
        <v>Excellent</v>
      </c>
      <c r="AP463" t="str">
        <f>_xlfn.XLOOKUP(Table1[[#This Row],[RelationshipSatisfaction]],Table18[RelationshipSatisfaction],Table18[Id_RelationshipSatisfaction])</f>
        <v>RS004</v>
      </c>
      <c r="AQ463">
        <v>4</v>
      </c>
      <c r="AR463" t="str">
        <f>_xlfn.XLOOKUP(Table1[[#This Row],[RelationshipSatisfaction]],Table18[RelationshipSatisfaction],Table18[Deskripsi])</f>
        <v>Very High</v>
      </c>
      <c r="AS463" t="str">
        <f>_xlfn.XLOOKUP(Table1[[#This Row],[StockOptionLevel]],Table19[StockOptionLevel],Table19[Id_StockOptionLevel])</f>
        <v>SOL001</v>
      </c>
      <c r="AT463">
        <v>0</v>
      </c>
      <c r="AU463" t="str">
        <f>_xlfn.XLOOKUP(Table1[[#This Row],[StockOptionLevel]],Table19[StockOptionLevel],Table19[Deskripsi])</f>
        <v>Non-Eligible</v>
      </c>
      <c r="AV463">
        <v>5</v>
      </c>
      <c r="AW463">
        <v>3</v>
      </c>
      <c r="AX463" t="str">
        <f>_xlfn.XLOOKUP(Table1[[#This Row],[WorkLifeBalance]],Table20[WorkLifeBalance],Table20[Id_WorkLifeBalance])</f>
        <v>WLB002</v>
      </c>
      <c r="AY463">
        <v>3</v>
      </c>
      <c r="AZ463" t="str">
        <f>_xlfn.XLOOKUP(Table1[[#This Row],[WorkLifeBalance]],Table20[WorkLifeBalance],Table20[Deskripsi])</f>
        <v>Good</v>
      </c>
      <c r="BA463">
        <v>5</v>
      </c>
      <c r="BB463">
        <v>4</v>
      </c>
      <c r="BC463">
        <v>0</v>
      </c>
      <c r="BD463">
        <v>3</v>
      </c>
    </row>
    <row r="464" spans="1:56" x14ac:dyDescent="0.25">
      <c r="A464">
        <v>34</v>
      </c>
      <c r="B464" t="str">
        <f>_xlfn.XLOOKUP(Table1[[#This Row],[Attrition]],Table2[Attrition],Table2[Id_Attrition])</f>
        <v>A002</v>
      </c>
      <c r="C464" t="s">
        <v>33</v>
      </c>
      <c r="D464" t="str">
        <f>_xlfn.XLOOKUP(Table1[[#This Row],[BusinessTravel]],Table5[BusinessTravel],Table5[Id_BusinessTravel])</f>
        <v>BS001</v>
      </c>
      <c r="E464" t="s">
        <v>34</v>
      </c>
      <c r="F464">
        <v>258</v>
      </c>
      <c r="G464" t="str">
        <f>_xlfn.XLOOKUP(Table1[[#This Row],[Department]],Table6[Department],Table6[Id_Departement])</f>
        <v>D001</v>
      </c>
      <c r="H464" t="s">
        <v>37</v>
      </c>
      <c r="I464">
        <v>21</v>
      </c>
      <c r="J464" t="str">
        <f>_xlfn.XLOOKUP(Table1[[#This Row],[Education]],Table8[Education],Table8[Id_Education])</f>
        <v>E004</v>
      </c>
      <c r="K464">
        <v>4</v>
      </c>
      <c r="L464" t="str">
        <f>_xlfn.XLOOKUP(Table1[[#This Row],[EducationField]],Table7[EducationField],Table7[Id_EducationField])</f>
        <v>EF001</v>
      </c>
      <c r="M464" t="s">
        <v>40</v>
      </c>
      <c r="N464" t="str">
        <f>_xlfn.XLOOKUP(Table1[[#This Row],[EmployeeNumber]],Table4[EmployeeNumber],Table4[Id_Employee])</f>
        <v>EMP00463</v>
      </c>
      <c r="O464">
        <v>621</v>
      </c>
      <c r="P464" t="str">
        <f>_xlfn.XLOOKUP(Table1[[#This Row],[EnvironmentSatisfaction]],Table9[EnvironmentSatisfaction],Table9[Id_EnviromentSatisfaction])</f>
        <v>ES004</v>
      </c>
      <c r="Q464">
        <v>4</v>
      </c>
      <c r="R464" t="str">
        <f>_xlfn.XLOOKUP(Table1[[#This Row],[EnvironmentSatisfaction]],Table9[EnvironmentSatisfaction],Table9[Deskripsi])</f>
        <v>Very High</v>
      </c>
      <c r="S464" t="str">
        <f>_xlfn.XLOOKUP(Table1[[#This Row],[Gender]],Table10[Gender],Table10[Id_Gender])</f>
        <v>G002</v>
      </c>
      <c r="T464" t="s">
        <v>46</v>
      </c>
      <c r="U464">
        <v>74</v>
      </c>
      <c r="V464" t="str">
        <f>_xlfn.XLOOKUP(Table1[[#This Row],[JobInvolvement]],Table11[JobInvolvement],Table11[Id_JobInvolvement])</f>
        <v>JI004</v>
      </c>
      <c r="W464">
        <v>4</v>
      </c>
      <c r="X464" t="str">
        <f>_xlfn.XLOOKUP(Table1[[#This Row],[JobLevel]],Table12[JobLevel],Table12[Id_JobLevel])</f>
        <v>JL002</v>
      </c>
      <c r="Y464">
        <v>2</v>
      </c>
      <c r="Z464" t="str">
        <f>_xlfn.XLOOKUP(Table1[[#This Row],[JobRole]],Table13[JobRole],Table13[Id_JobRole])</f>
        <v>JR001</v>
      </c>
      <c r="AA464" t="s">
        <v>47</v>
      </c>
      <c r="AB464" t="str">
        <f>_xlfn.XLOOKUP(Table1[[#This Row],[JobSatisfaction]],Table14[JobSatisfaction],Table14[Id_JobSatisfaction])</f>
        <v>JS004</v>
      </c>
      <c r="AC464">
        <v>4</v>
      </c>
      <c r="AD464" t="str">
        <f>_xlfn.XLOOKUP(Table1[[#This Row],[JobSatisfaction]],Table14[JobSatisfaction],Table14[Deskripsi])</f>
        <v>Very High</v>
      </c>
      <c r="AE464" t="str">
        <f>_xlfn.XLOOKUP(Table1[[#This Row],[MaritalStatus]],Table15[MaritalStatus],Table15[Id_MaritalStatus])</f>
        <v>MS001</v>
      </c>
      <c r="AF464" t="s">
        <v>55</v>
      </c>
      <c r="AG464">
        <v>5337</v>
      </c>
      <c r="AH464">
        <v>19921</v>
      </c>
      <c r="AI464">
        <v>1</v>
      </c>
      <c r="AJ464" t="str">
        <f>_xlfn.XLOOKUP(Table1[[#This Row],[OverTime]],Table16[OverTime],Table16[Id_OverTime])</f>
        <v>OT002</v>
      </c>
      <c r="AK464" t="s">
        <v>33</v>
      </c>
      <c r="AL464">
        <v>12</v>
      </c>
      <c r="AM464" t="str">
        <f>_xlfn.XLOOKUP(Table1[[#This Row],[PerformanceRating]],Table17[PerformanceRating],Table17[Id_PerformanceRating])</f>
        <v>PR003</v>
      </c>
      <c r="AN464">
        <v>3</v>
      </c>
      <c r="AO464" t="str">
        <f>_xlfn.XLOOKUP(Table1[[#This Row],[PerformanceRating]],Table17[PerformanceRating],Table17[Deskripsi])</f>
        <v>Excellent</v>
      </c>
      <c r="AP464" t="str">
        <f>_xlfn.XLOOKUP(Table1[[#This Row],[RelationshipSatisfaction]],Table18[RelationshipSatisfaction],Table18[Id_RelationshipSatisfaction])</f>
        <v>RS004</v>
      </c>
      <c r="AQ464">
        <v>4</v>
      </c>
      <c r="AR464" t="str">
        <f>_xlfn.XLOOKUP(Table1[[#This Row],[RelationshipSatisfaction]],Table18[RelationshipSatisfaction],Table18[Deskripsi])</f>
        <v>Very High</v>
      </c>
      <c r="AS464" t="str">
        <f>_xlfn.XLOOKUP(Table1[[#This Row],[StockOptionLevel]],Table19[StockOptionLevel],Table19[Id_StockOptionLevel])</f>
        <v>SOL001</v>
      </c>
      <c r="AT464">
        <v>0</v>
      </c>
      <c r="AU464" t="str">
        <f>_xlfn.XLOOKUP(Table1[[#This Row],[StockOptionLevel]],Table19[StockOptionLevel],Table19[Deskripsi])</f>
        <v>Non-Eligible</v>
      </c>
      <c r="AV464">
        <v>10</v>
      </c>
      <c r="AW464">
        <v>3</v>
      </c>
      <c r="AX464" t="str">
        <f>_xlfn.XLOOKUP(Table1[[#This Row],[WorkLifeBalance]],Table20[WorkLifeBalance],Table20[Id_WorkLifeBalance])</f>
        <v>WLB002</v>
      </c>
      <c r="AY464">
        <v>3</v>
      </c>
      <c r="AZ464" t="str">
        <f>_xlfn.XLOOKUP(Table1[[#This Row],[WorkLifeBalance]],Table20[WorkLifeBalance],Table20[Deskripsi])</f>
        <v>Good</v>
      </c>
      <c r="BA464">
        <v>10</v>
      </c>
      <c r="BB464">
        <v>7</v>
      </c>
      <c r="BC464">
        <v>5</v>
      </c>
      <c r="BD464">
        <v>7</v>
      </c>
    </row>
    <row r="465" spans="1:56" x14ac:dyDescent="0.25">
      <c r="A465">
        <v>26</v>
      </c>
      <c r="B465" t="str">
        <f>_xlfn.XLOOKUP(Table1[[#This Row],[Attrition]],Table2[Attrition],Table2[Id_Attrition])</f>
        <v>A001</v>
      </c>
      <c r="C465" t="s">
        <v>32</v>
      </c>
      <c r="D465" t="str">
        <f>_xlfn.XLOOKUP(Table1[[#This Row],[BusinessTravel]],Table5[BusinessTravel],Table5[Id_BusinessTravel])</f>
        <v>BS001</v>
      </c>
      <c r="E465" t="s">
        <v>34</v>
      </c>
      <c r="F465">
        <v>471</v>
      </c>
      <c r="G465" t="str">
        <f>_xlfn.XLOOKUP(Table1[[#This Row],[Department]],Table6[Department],Table6[Id_Departement])</f>
        <v>D002</v>
      </c>
      <c r="H465" t="s">
        <v>38</v>
      </c>
      <c r="I465">
        <v>24</v>
      </c>
      <c r="J465" t="str">
        <f>_xlfn.XLOOKUP(Table1[[#This Row],[Education]],Table8[Education],Table8[Id_Education])</f>
        <v>E003</v>
      </c>
      <c r="K465">
        <v>3</v>
      </c>
      <c r="L465" t="str">
        <f>_xlfn.XLOOKUP(Table1[[#This Row],[EducationField]],Table7[EducationField],Table7[Id_EducationField])</f>
        <v>EF005</v>
      </c>
      <c r="M465" t="s">
        <v>44</v>
      </c>
      <c r="N465" t="str">
        <f>_xlfn.XLOOKUP(Table1[[#This Row],[EmployeeNumber]],Table4[EmployeeNumber],Table4[Id_Employee])</f>
        <v>EMP00464</v>
      </c>
      <c r="O465">
        <v>622</v>
      </c>
      <c r="P465" t="str">
        <f>_xlfn.XLOOKUP(Table1[[#This Row],[EnvironmentSatisfaction]],Table9[EnvironmentSatisfaction],Table9[Id_EnviromentSatisfaction])</f>
        <v>ES003</v>
      </c>
      <c r="Q465">
        <v>3</v>
      </c>
      <c r="R465" t="str">
        <f>_xlfn.XLOOKUP(Table1[[#This Row],[EnvironmentSatisfaction]],Table9[EnvironmentSatisfaction],Table9[Deskripsi])</f>
        <v>High</v>
      </c>
      <c r="S465" t="str">
        <f>_xlfn.XLOOKUP(Table1[[#This Row],[Gender]],Table10[Gender],Table10[Id_Gender])</f>
        <v>G002</v>
      </c>
      <c r="T465" t="s">
        <v>46</v>
      </c>
      <c r="U465">
        <v>66</v>
      </c>
      <c r="V465" t="str">
        <f>_xlfn.XLOOKUP(Table1[[#This Row],[JobInvolvement]],Table11[JobInvolvement],Table11[Id_JobInvolvement])</f>
        <v>JI001</v>
      </c>
      <c r="W465">
        <v>1</v>
      </c>
      <c r="X465" t="str">
        <f>_xlfn.XLOOKUP(Table1[[#This Row],[JobLevel]],Table12[JobLevel],Table12[Id_JobLevel])</f>
        <v>JL001</v>
      </c>
      <c r="Y465">
        <v>1</v>
      </c>
      <c r="Z465" t="str">
        <f>_xlfn.XLOOKUP(Table1[[#This Row],[JobRole]],Table13[JobRole],Table13[Id_JobRole])</f>
        <v>JR003</v>
      </c>
      <c r="AA465" t="s">
        <v>49</v>
      </c>
      <c r="AB465" t="str">
        <f>_xlfn.XLOOKUP(Table1[[#This Row],[JobSatisfaction]],Table14[JobSatisfaction],Table14[Id_JobSatisfaction])</f>
        <v>JS004</v>
      </c>
      <c r="AC465">
        <v>4</v>
      </c>
      <c r="AD465" t="str">
        <f>_xlfn.XLOOKUP(Table1[[#This Row],[JobSatisfaction]],Table14[JobSatisfaction],Table14[Deskripsi])</f>
        <v>Very High</v>
      </c>
      <c r="AE465" t="str">
        <f>_xlfn.XLOOKUP(Table1[[#This Row],[MaritalStatus]],Table15[MaritalStatus],Table15[Id_MaritalStatus])</f>
        <v>MS001</v>
      </c>
      <c r="AF465" t="s">
        <v>55</v>
      </c>
      <c r="AG465">
        <v>2340</v>
      </c>
      <c r="AH465">
        <v>23213</v>
      </c>
      <c r="AI465">
        <v>1</v>
      </c>
      <c r="AJ465" t="str">
        <f>_xlfn.XLOOKUP(Table1[[#This Row],[OverTime]],Table16[OverTime],Table16[Id_OverTime])</f>
        <v>OT001</v>
      </c>
      <c r="AK465" t="s">
        <v>32</v>
      </c>
      <c r="AL465">
        <v>18</v>
      </c>
      <c r="AM465" t="str">
        <f>_xlfn.XLOOKUP(Table1[[#This Row],[PerformanceRating]],Table17[PerformanceRating],Table17[Id_PerformanceRating])</f>
        <v>PR003</v>
      </c>
      <c r="AN465">
        <v>3</v>
      </c>
      <c r="AO465" t="str">
        <f>_xlfn.XLOOKUP(Table1[[#This Row],[PerformanceRating]],Table17[PerformanceRating],Table17[Deskripsi])</f>
        <v>Excellent</v>
      </c>
      <c r="AP465" t="str">
        <f>_xlfn.XLOOKUP(Table1[[#This Row],[RelationshipSatisfaction]],Table18[RelationshipSatisfaction],Table18[Id_RelationshipSatisfaction])</f>
        <v>RS002</v>
      </c>
      <c r="AQ465">
        <v>2</v>
      </c>
      <c r="AR465" t="str">
        <f>_xlfn.XLOOKUP(Table1[[#This Row],[RelationshipSatisfaction]],Table18[RelationshipSatisfaction],Table18[Deskripsi])</f>
        <v>Medium</v>
      </c>
      <c r="AS465" t="str">
        <f>_xlfn.XLOOKUP(Table1[[#This Row],[StockOptionLevel]],Table19[StockOptionLevel],Table19[Id_StockOptionLevel])</f>
        <v>SOL001</v>
      </c>
      <c r="AT465">
        <v>0</v>
      </c>
      <c r="AU465" t="str">
        <f>_xlfn.XLOOKUP(Table1[[#This Row],[StockOptionLevel]],Table19[StockOptionLevel],Table19[Deskripsi])</f>
        <v>Non-Eligible</v>
      </c>
      <c r="AV465">
        <v>1</v>
      </c>
      <c r="AW465">
        <v>3</v>
      </c>
      <c r="AX465" t="str">
        <f>_xlfn.XLOOKUP(Table1[[#This Row],[WorkLifeBalance]],Table20[WorkLifeBalance],Table20[Id_WorkLifeBalance])</f>
        <v>WLB001</v>
      </c>
      <c r="AY465">
        <v>1</v>
      </c>
      <c r="AZ465" t="str">
        <f>_xlfn.XLOOKUP(Table1[[#This Row],[WorkLifeBalance]],Table20[WorkLifeBalance],Table20[Deskripsi])</f>
        <v>Bad</v>
      </c>
      <c r="BA465">
        <v>1</v>
      </c>
      <c r="BB465">
        <v>0</v>
      </c>
      <c r="BC465">
        <v>0</v>
      </c>
      <c r="BD465">
        <v>0</v>
      </c>
    </row>
    <row r="466" spans="1:56" x14ac:dyDescent="0.25">
      <c r="A466">
        <v>37</v>
      </c>
      <c r="B466" t="str">
        <f>_xlfn.XLOOKUP(Table1[[#This Row],[Attrition]],Table2[Attrition],Table2[Id_Attrition])</f>
        <v>A002</v>
      </c>
      <c r="C466" t="s">
        <v>33</v>
      </c>
      <c r="D466" t="str">
        <f>_xlfn.XLOOKUP(Table1[[#This Row],[BusinessTravel]],Table5[BusinessTravel],Table5[Id_BusinessTravel])</f>
        <v>BS001</v>
      </c>
      <c r="E466" t="s">
        <v>34</v>
      </c>
      <c r="F466">
        <v>799</v>
      </c>
      <c r="G466" t="str">
        <f>_xlfn.XLOOKUP(Table1[[#This Row],[Department]],Table6[Department],Table6[Id_Departement])</f>
        <v>D002</v>
      </c>
      <c r="H466" t="s">
        <v>38</v>
      </c>
      <c r="I466">
        <v>1</v>
      </c>
      <c r="J466" t="str">
        <f>_xlfn.XLOOKUP(Table1[[#This Row],[Education]],Table8[Education],Table8[Id_Education])</f>
        <v>E003</v>
      </c>
      <c r="K466">
        <v>3</v>
      </c>
      <c r="L466" t="str">
        <f>_xlfn.XLOOKUP(Table1[[#This Row],[EducationField]],Table7[EducationField],Table7[Id_EducationField])</f>
        <v>EF005</v>
      </c>
      <c r="M466" t="s">
        <v>44</v>
      </c>
      <c r="N466" t="str">
        <f>_xlfn.XLOOKUP(Table1[[#This Row],[EmployeeNumber]],Table4[EmployeeNumber],Table4[Id_Employee])</f>
        <v>EMP00465</v>
      </c>
      <c r="O466">
        <v>623</v>
      </c>
      <c r="P466" t="str">
        <f>_xlfn.XLOOKUP(Table1[[#This Row],[EnvironmentSatisfaction]],Table9[EnvironmentSatisfaction],Table9[Id_EnviromentSatisfaction])</f>
        <v>ES002</v>
      </c>
      <c r="Q466">
        <v>2</v>
      </c>
      <c r="R466" t="str">
        <f>_xlfn.XLOOKUP(Table1[[#This Row],[EnvironmentSatisfaction]],Table9[EnvironmentSatisfaction],Table9[Deskripsi])</f>
        <v>Medium</v>
      </c>
      <c r="S466" t="str">
        <f>_xlfn.XLOOKUP(Table1[[#This Row],[Gender]],Table10[Gender],Table10[Id_Gender])</f>
        <v>G001</v>
      </c>
      <c r="T466" t="s">
        <v>45</v>
      </c>
      <c r="U466">
        <v>59</v>
      </c>
      <c r="V466" t="str">
        <f>_xlfn.XLOOKUP(Table1[[#This Row],[JobInvolvement]],Table11[JobInvolvement],Table11[Id_JobInvolvement])</f>
        <v>JI003</v>
      </c>
      <c r="W466">
        <v>3</v>
      </c>
      <c r="X466" t="str">
        <f>_xlfn.XLOOKUP(Table1[[#This Row],[JobLevel]],Table12[JobLevel],Table12[Id_JobLevel])</f>
        <v>JL003</v>
      </c>
      <c r="Y466">
        <v>3</v>
      </c>
      <c r="Z466" t="str">
        <f>_xlfn.XLOOKUP(Table1[[#This Row],[JobRole]],Table13[JobRole],Table13[Id_JobRole])</f>
        <v>JR004</v>
      </c>
      <c r="AA466" t="s">
        <v>50</v>
      </c>
      <c r="AB466" t="str">
        <f>_xlfn.XLOOKUP(Table1[[#This Row],[JobSatisfaction]],Table14[JobSatisfaction],Table14[Id_JobSatisfaction])</f>
        <v>JS004</v>
      </c>
      <c r="AC466">
        <v>4</v>
      </c>
      <c r="AD466" t="str">
        <f>_xlfn.XLOOKUP(Table1[[#This Row],[JobSatisfaction]],Table14[JobSatisfaction],Table14[Deskripsi])</f>
        <v>Very High</v>
      </c>
      <c r="AE466" t="str">
        <f>_xlfn.XLOOKUP(Table1[[#This Row],[MaritalStatus]],Table15[MaritalStatus],Table15[Id_MaritalStatus])</f>
        <v>MS001</v>
      </c>
      <c r="AF466" t="s">
        <v>55</v>
      </c>
      <c r="AG466">
        <v>7491</v>
      </c>
      <c r="AH466">
        <v>23848</v>
      </c>
      <c r="AI466">
        <v>4</v>
      </c>
      <c r="AJ466" t="str">
        <f>_xlfn.XLOOKUP(Table1[[#This Row],[OverTime]],Table16[OverTime],Table16[Id_OverTime])</f>
        <v>OT002</v>
      </c>
      <c r="AK466" t="s">
        <v>33</v>
      </c>
      <c r="AL466">
        <v>17</v>
      </c>
      <c r="AM466" t="str">
        <f>_xlfn.XLOOKUP(Table1[[#This Row],[PerformanceRating]],Table17[PerformanceRating],Table17[Id_PerformanceRating])</f>
        <v>PR003</v>
      </c>
      <c r="AN466">
        <v>3</v>
      </c>
      <c r="AO466" t="str">
        <f>_xlfn.XLOOKUP(Table1[[#This Row],[PerformanceRating]],Table17[PerformanceRating],Table17[Deskripsi])</f>
        <v>Excellent</v>
      </c>
      <c r="AP466" t="str">
        <f>_xlfn.XLOOKUP(Table1[[#This Row],[RelationshipSatisfaction]],Table18[RelationshipSatisfaction],Table18[Id_RelationshipSatisfaction])</f>
        <v>RS004</v>
      </c>
      <c r="AQ466">
        <v>4</v>
      </c>
      <c r="AR466" t="str">
        <f>_xlfn.XLOOKUP(Table1[[#This Row],[RelationshipSatisfaction]],Table18[RelationshipSatisfaction],Table18[Deskripsi])</f>
        <v>Very High</v>
      </c>
      <c r="AS466" t="str">
        <f>_xlfn.XLOOKUP(Table1[[#This Row],[StockOptionLevel]],Table19[StockOptionLevel],Table19[Id_StockOptionLevel])</f>
        <v>SOL001</v>
      </c>
      <c r="AT466">
        <v>0</v>
      </c>
      <c r="AU466" t="str">
        <f>_xlfn.XLOOKUP(Table1[[#This Row],[StockOptionLevel]],Table19[StockOptionLevel],Table19[Deskripsi])</f>
        <v>Non-Eligible</v>
      </c>
      <c r="AV466">
        <v>12</v>
      </c>
      <c r="AW466">
        <v>3</v>
      </c>
      <c r="AX466" t="str">
        <f>_xlfn.XLOOKUP(Table1[[#This Row],[WorkLifeBalance]],Table20[WorkLifeBalance],Table20[Id_WorkLifeBalance])</f>
        <v>WLB004</v>
      </c>
      <c r="AY466">
        <v>4</v>
      </c>
      <c r="AZ466" t="str">
        <f>_xlfn.XLOOKUP(Table1[[#This Row],[WorkLifeBalance]],Table20[WorkLifeBalance],Table20[Deskripsi])</f>
        <v>Best</v>
      </c>
      <c r="BA466">
        <v>6</v>
      </c>
      <c r="BB466">
        <v>5</v>
      </c>
      <c r="BC466">
        <v>1</v>
      </c>
      <c r="BD466">
        <v>2</v>
      </c>
    </row>
    <row r="467" spans="1:56" x14ac:dyDescent="0.25">
      <c r="A467">
        <v>46</v>
      </c>
      <c r="B467" t="str">
        <f>_xlfn.XLOOKUP(Table1[[#This Row],[Attrition]],Table2[Attrition],Table2[Id_Attrition])</f>
        <v>A002</v>
      </c>
      <c r="C467" t="s">
        <v>33</v>
      </c>
      <c r="D467" t="str">
        <f>_xlfn.XLOOKUP(Table1[[#This Row],[BusinessTravel]],Table5[BusinessTravel],Table5[Id_BusinessTravel])</f>
        <v>BS002</v>
      </c>
      <c r="E467" t="s">
        <v>35</v>
      </c>
      <c r="F467">
        <v>1034</v>
      </c>
      <c r="G467" t="str">
        <f>_xlfn.XLOOKUP(Table1[[#This Row],[Department]],Table6[Department],Table6[Id_Departement])</f>
        <v>D002</v>
      </c>
      <c r="H467" t="s">
        <v>38</v>
      </c>
      <c r="I467">
        <v>18</v>
      </c>
      <c r="J467" t="str">
        <f>_xlfn.XLOOKUP(Table1[[#This Row],[Education]],Table8[Education],Table8[Id_Education])</f>
        <v>E001</v>
      </c>
      <c r="K467">
        <v>1</v>
      </c>
      <c r="L467" t="str">
        <f>_xlfn.XLOOKUP(Table1[[#This Row],[EducationField]],Table7[EducationField],Table7[Id_EducationField])</f>
        <v>EF003</v>
      </c>
      <c r="M467" t="s">
        <v>42</v>
      </c>
      <c r="N467" t="str">
        <f>_xlfn.XLOOKUP(Table1[[#This Row],[EmployeeNumber]],Table4[EmployeeNumber],Table4[Id_Employee])</f>
        <v>EMP00466</v>
      </c>
      <c r="O467">
        <v>624</v>
      </c>
      <c r="P467" t="str">
        <f>_xlfn.XLOOKUP(Table1[[#This Row],[EnvironmentSatisfaction]],Table9[EnvironmentSatisfaction],Table9[Id_EnviromentSatisfaction])</f>
        <v>ES001</v>
      </c>
      <c r="Q467">
        <v>1</v>
      </c>
      <c r="R467" t="str">
        <f>_xlfn.XLOOKUP(Table1[[#This Row],[EnvironmentSatisfaction]],Table9[EnvironmentSatisfaction],Table9[Deskripsi])</f>
        <v>Low</v>
      </c>
      <c r="S467" t="str">
        <f>_xlfn.XLOOKUP(Table1[[#This Row],[Gender]],Table10[Gender],Table10[Id_Gender])</f>
        <v>G001</v>
      </c>
      <c r="T467" t="s">
        <v>45</v>
      </c>
      <c r="U467">
        <v>86</v>
      </c>
      <c r="V467" t="str">
        <f>_xlfn.XLOOKUP(Table1[[#This Row],[JobInvolvement]],Table11[JobInvolvement],Table11[Id_JobInvolvement])</f>
        <v>JI003</v>
      </c>
      <c r="W467">
        <v>3</v>
      </c>
      <c r="X467" t="str">
        <f>_xlfn.XLOOKUP(Table1[[#This Row],[JobLevel]],Table12[JobLevel],Table12[Id_JobLevel])</f>
        <v>JL003</v>
      </c>
      <c r="Y467">
        <v>3</v>
      </c>
      <c r="Z467" t="str">
        <f>_xlfn.XLOOKUP(Table1[[#This Row],[JobRole]],Table13[JobRole],Table13[Id_JobRole])</f>
        <v>JR005</v>
      </c>
      <c r="AA467" t="s">
        <v>51</v>
      </c>
      <c r="AB467" t="str">
        <f>_xlfn.XLOOKUP(Table1[[#This Row],[JobSatisfaction]],Table14[JobSatisfaction],Table14[Id_JobSatisfaction])</f>
        <v>JS003</v>
      </c>
      <c r="AC467">
        <v>3</v>
      </c>
      <c r="AD467" t="str">
        <f>_xlfn.XLOOKUP(Table1[[#This Row],[JobSatisfaction]],Table14[JobSatisfaction],Table14[Deskripsi])</f>
        <v>High</v>
      </c>
      <c r="AE467" t="str">
        <f>_xlfn.XLOOKUP(Table1[[#This Row],[MaritalStatus]],Table15[MaritalStatus],Table15[Id_MaritalStatus])</f>
        <v>MS002</v>
      </c>
      <c r="AF467" t="s">
        <v>56</v>
      </c>
      <c r="AG467">
        <v>10527</v>
      </c>
      <c r="AH467">
        <v>8984</v>
      </c>
      <c r="AI467">
        <v>5</v>
      </c>
      <c r="AJ467" t="str">
        <f>_xlfn.XLOOKUP(Table1[[#This Row],[OverTime]],Table16[OverTime],Table16[Id_OverTime])</f>
        <v>OT002</v>
      </c>
      <c r="AK467" t="s">
        <v>33</v>
      </c>
      <c r="AL467">
        <v>11</v>
      </c>
      <c r="AM467" t="str">
        <f>_xlfn.XLOOKUP(Table1[[#This Row],[PerformanceRating]],Table17[PerformanceRating],Table17[Id_PerformanceRating])</f>
        <v>PR003</v>
      </c>
      <c r="AN467">
        <v>3</v>
      </c>
      <c r="AO467" t="str">
        <f>_xlfn.XLOOKUP(Table1[[#This Row],[PerformanceRating]],Table17[PerformanceRating],Table17[Deskripsi])</f>
        <v>Excellent</v>
      </c>
      <c r="AP467" t="str">
        <f>_xlfn.XLOOKUP(Table1[[#This Row],[RelationshipSatisfaction]],Table18[RelationshipSatisfaction],Table18[Id_RelationshipSatisfaction])</f>
        <v>RS004</v>
      </c>
      <c r="AQ467">
        <v>4</v>
      </c>
      <c r="AR467" t="str">
        <f>_xlfn.XLOOKUP(Table1[[#This Row],[RelationshipSatisfaction]],Table18[RelationshipSatisfaction],Table18[Deskripsi])</f>
        <v>Very High</v>
      </c>
      <c r="AS467" t="str">
        <f>_xlfn.XLOOKUP(Table1[[#This Row],[StockOptionLevel]],Table19[StockOptionLevel],Table19[Id_StockOptionLevel])</f>
        <v>SOL001</v>
      </c>
      <c r="AT467">
        <v>0</v>
      </c>
      <c r="AU467" t="str">
        <f>_xlfn.XLOOKUP(Table1[[#This Row],[StockOptionLevel]],Table19[StockOptionLevel],Table19[Deskripsi])</f>
        <v>Non-Eligible</v>
      </c>
      <c r="AV467">
        <v>28</v>
      </c>
      <c r="AW467">
        <v>3</v>
      </c>
      <c r="AX467" t="str">
        <f>_xlfn.XLOOKUP(Table1[[#This Row],[WorkLifeBalance]],Table20[WorkLifeBalance],Table20[Id_WorkLifeBalance])</f>
        <v>WLB003</v>
      </c>
      <c r="AY467">
        <v>2</v>
      </c>
      <c r="AZ467" t="str">
        <f>_xlfn.XLOOKUP(Table1[[#This Row],[WorkLifeBalance]],Table20[WorkLifeBalance],Table20[Deskripsi])</f>
        <v>Better</v>
      </c>
      <c r="BA467">
        <v>2</v>
      </c>
      <c r="BB467">
        <v>2</v>
      </c>
      <c r="BC467">
        <v>1</v>
      </c>
      <c r="BD467">
        <v>2</v>
      </c>
    </row>
    <row r="468" spans="1:56" x14ac:dyDescent="0.25">
      <c r="A468">
        <v>41</v>
      </c>
      <c r="B468" t="str">
        <f>_xlfn.XLOOKUP(Table1[[#This Row],[Attrition]],Table2[Attrition],Table2[Id_Attrition])</f>
        <v>A002</v>
      </c>
      <c r="C468" t="s">
        <v>33</v>
      </c>
      <c r="D468" t="str">
        <f>_xlfn.XLOOKUP(Table1[[#This Row],[BusinessTravel]],Table5[BusinessTravel],Table5[Id_BusinessTravel])</f>
        <v>BS001</v>
      </c>
      <c r="E468" t="s">
        <v>34</v>
      </c>
      <c r="F468">
        <v>1276</v>
      </c>
      <c r="G468" t="str">
        <f>_xlfn.XLOOKUP(Table1[[#This Row],[Department]],Table6[Department],Table6[Id_Departement])</f>
        <v>D001</v>
      </c>
      <c r="H468" t="s">
        <v>37</v>
      </c>
      <c r="I468">
        <v>2</v>
      </c>
      <c r="J468" t="str">
        <f>_xlfn.XLOOKUP(Table1[[#This Row],[Education]],Table8[Education],Table8[Id_Education])</f>
        <v>E005</v>
      </c>
      <c r="K468">
        <v>5</v>
      </c>
      <c r="L468" t="str">
        <f>_xlfn.XLOOKUP(Table1[[#This Row],[EducationField]],Table7[EducationField],Table7[Id_EducationField])</f>
        <v>EF001</v>
      </c>
      <c r="M468" t="s">
        <v>40</v>
      </c>
      <c r="N468" t="str">
        <f>_xlfn.XLOOKUP(Table1[[#This Row],[EmployeeNumber]],Table4[EmployeeNumber],Table4[Id_Employee])</f>
        <v>EMP00467</v>
      </c>
      <c r="O468">
        <v>625</v>
      </c>
      <c r="P468" t="str">
        <f>_xlfn.XLOOKUP(Table1[[#This Row],[EnvironmentSatisfaction]],Table9[EnvironmentSatisfaction],Table9[Id_EnviromentSatisfaction])</f>
        <v>ES002</v>
      </c>
      <c r="Q468">
        <v>2</v>
      </c>
      <c r="R468" t="str">
        <f>_xlfn.XLOOKUP(Table1[[#This Row],[EnvironmentSatisfaction]],Table9[EnvironmentSatisfaction],Table9[Deskripsi])</f>
        <v>Medium</v>
      </c>
      <c r="S468" t="str">
        <f>_xlfn.XLOOKUP(Table1[[#This Row],[Gender]],Table10[Gender],Table10[Id_Gender])</f>
        <v>G001</v>
      </c>
      <c r="T468" t="s">
        <v>45</v>
      </c>
      <c r="U468">
        <v>91</v>
      </c>
      <c r="V468" t="str">
        <f>_xlfn.XLOOKUP(Table1[[#This Row],[JobInvolvement]],Table11[JobInvolvement],Table11[Id_JobInvolvement])</f>
        <v>JI003</v>
      </c>
      <c r="W468">
        <v>3</v>
      </c>
      <c r="X468" t="str">
        <f>_xlfn.XLOOKUP(Table1[[#This Row],[JobLevel]],Table12[JobLevel],Table12[Id_JobLevel])</f>
        <v>JL004</v>
      </c>
      <c r="Y468">
        <v>4</v>
      </c>
      <c r="Z468" t="str">
        <f>_xlfn.XLOOKUP(Table1[[#This Row],[JobRole]],Table13[JobRole],Table13[Id_JobRole])</f>
        <v>JR006</v>
      </c>
      <c r="AA468" t="s">
        <v>52</v>
      </c>
      <c r="AB468" t="str">
        <f>_xlfn.XLOOKUP(Table1[[#This Row],[JobSatisfaction]],Table14[JobSatisfaction],Table14[Id_JobSatisfaction])</f>
        <v>JS001</v>
      </c>
      <c r="AC468">
        <v>1</v>
      </c>
      <c r="AD468" t="str">
        <f>_xlfn.XLOOKUP(Table1[[#This Row],[JobSatisfaction]],Table14[JobSatisfaction],Table14[Deskripsi])</f>
        <v>Low</v>
      </c>
      <c r="AE468" t="str">
        <f>_xlfn.XLOOKUP(Table1[[#This Row],[MaritalStatus]],Table15[MaritalStatus],Table15[Id_MaritalStatus])</f>
        <v>MS002</v>
      </c>
      <c r="AF468" t="s">
        <v>56</v>
      </c>
      <c r="AG468">
        <v>16595</v>
      </c>
      <c r="AH468">
        <v>5626</v>
      </c>
      <c r="AI468">
        <v>7</v>
      </c>
      <c r="AJ468" t="str">
        <f>_xlfn.XLOOKUP(Table1[[#This Row],[OverTime]],Table16[OverTime],Table16[Id_OverTime])</f>
        <v>OT002</v>
      </c>
      <c r="AK468" t="s">
        <v>33</v>
      </c>
      <c r="AL468">
        <v>16</v>
      </c>
      <c r="AM468" t="str">
        <f>_xlfn.XLOOKUP(Table1[[#This Row],[PerformanceRating]],Table17[PerformanceRating],Table17[Id_PerformanceRating])</f>
        <v>PR003</v>
      </c>
      <c r="AN468">
        <v>3</v>
      </c>
      <c r="AO468" t="str">
        <f>_xlfn.XLOOKUP(Table1[[#This Row],[PerformanceRating]],Table17[PerformanceRating],Table17[Deskripsi])</f>
        <v>Excellent</v>
      </c>
      <c r="AP468" t="str">
        <f>_xlfn.XLOOKUP(Table1[[#This Row],[RelationshipSatisfaction]],Table18[RelationshipSatisfaction],Table18[Id_RelationshipSatisfaction])</f>
        <v>RS002</v>
      </c>
      <c r="AQ468">
        <v>2</v>
      </c>
      <c r="AR468" t="str">
        <f>_xlfn.XLOOKUP(Table1[[#This Row],[RelationshipSatisfaction]],Table18[RelationshipSatisfaction],Table18[Deskripsi])</f>
        <v>Medium</v>
      </c>
      <c r="AS468" t="str">
        <f>_xlfn.XLOOKUP(Table1[[#This Row],[StockOptionLevel]],Table19[StockOptionLevel],Table19[Id_StockOptionLevel])</f>
        <v>SOL002</v>
      </c>
      <c r="AT468">
        <v>1</v>
      </c>
      <c r="AU468" t="str">
        <f>_xlfn.XLOOKUP(Table1[[#This Row],[StockOptionLevel]],Table19[StockOptionLevel],Table19[Deskripsi])</f>
        <v>Standard</v>
      </c>
      <c r="AV468">
        <v>22</v>
      </c>
      <c r="AW468">
        <v>2</v>
      </c>
      <c r="AX468" t="str">
        <f>_xlfn.XLOOKUP(Table1[[#This Row],[WorkLifeBalance]],Table20[WorkLifeBalance],Table20[Id_WorkLifeBalance])</f>
        <v>WLB002</v>
      </c>
      <c r="AY468">
        <v>3</v>
      </c>
      <c r="AZ468" t="str">
        <f>_xlfn.XLOOKUP(Table1[[#This Row],[WorkLifeBalance]],Table20[WorkLifeBalance],Table20[Deskripsi])</f>
        <v>Good</v>
      </c>
      <c r="BA468">
        <v>18</v>
      </c>
      <c r="BB468">
        <v>16</v>
      </c>
      <c r="BC468">
        <v>11</v>
      </c>
      <c r="BD468">
        <v>8</v>
      </c>
    </row>
    <row r="469" spans="1:56" x14ac:dyDescent="0.25">
      <c r="A469">
        <v>37</v>
      </c>
      <c r="B469" t="str">
        <f>_xlfn.XLOOKUP(Table1[[#This Row],[Attrition]],Table2[Attrition],Table2[Id_Attrition])</f>
        <v>A002</v>
      </c>
      <c r="C469" t="s">
        <v>33</v>
      </c>
      <c r="D469" t="str">
        <f>_xlfn.XLOOKUP(Table1[[#This Row],[BusinessTravel]],Table5[BusinessTravel],Table5[Id_BusinessTravel])</f>
        <v>BS003</v>
      </c>
      <c r="E469" t="s">
        <v>36</v>
      </c>
      <c r="F469">
        <v>142</v>
      </c>
      <c r="G469" t="str">
        <f>_xlfn.XLOOKUP(Table1[[#This Row],[Department]],Table6[Department],Table6[Id_Departement])</f>
        <v>D001</v>
      </c>
      <c r="H469" t="s">
        <v>37</v>
      </c>
      <c r="I469">
        <v>9</v>
      </c>
      <c r="J469" t="str">
        <f>_xlfn.XLOOKUP(Table1[[#This Row],[Education]],Table8[Education],Table8[Id_Education])</f>
        <v>E004</v>
      </c>
      <c r="K469">
        <v>4</v>
      </c>
      <c r="L469" t="str">
        <f>_xlfn.XLOOKUP(Table1[[#This Row],[EducationField]],Table7[EducationField],Table7[Id_EducationField])</f>
        <v>EF003</v>
      </c>
      <c r="M469" t="s">
        <v>42</v>
      </c>
      <c r="N469" t="str">
        <f>_xlfn.XLOOKUP(Table1[[#This Row],[EmployeeNumber]],Table4[EmployeeNumber],Table4[Id_Employee])</f>
        <v>EMP00468</v>
      </c>
      <c r="O469">
        <v>626</v>
      </c>
      <c r="P469" t="str">
        <f>_xlfn.XLOOKUP(Table1[[#This Row],[EnvironmentSatisfaction]],Table9[EnvironmentSatisfaction],Table9[Id_EnviromentSatisfaction])</f>
        <v>ES001</v>
      </c>
      <c r="Q469">
        <v>1</v>
      </c>
      <c r="R469" t="str">
        <f>_xlfn.XLOOKUP(Table1[[#This Row],[EnvironmentSatisfaction]],Table9[EnvironmentSatisfaction],Table9[Deskripsi])</f>
        <v>Low</v>
      </c>
      <c r="S469" t="str">
        <f>_xlfn.XLOOKUP(Table1[[#This Row],[Gender]],Table10[Gender],Table10[Id_Gender])</f>
        <v>G002</v>
      </c>
      <c r="T469" t="s">
        <v>46</v>
      </c>
      <c r="U469">
        <v>69</v>
      </c>
      <c r="V469" t="str">
        <f>_xlfn.XLOOKUP(Table1[[#This Row],[JobInvolvement]],Table11[JobInvolvement],Table11[Id_JobInvolvement])</f>
        <v>JI003</v>
      </c>
      <c r="W469">
        <v>3</v>
      </c>
      <c r="X469" t="str">
        <f>_xlfn.XLOOKUP(Table1[[#This Row],[JobLevel]],Table12[JobLevel],Table12[Id_JobLevel])</f>
        <v>JL003</v>
      </c>
      <c r="Y469">
        <v>3</v>
      </c>
      <c r="Z469" t="str">
        <f>_xlfn.XLOOKUP(Table1[[#This Row],[JobRole]],Table13[JobRole],Table13[Id_JobRole])</f>
        <v>JR001</v>
      </c>
      <c r="AA469" t="s">
        <v>47</v>
      </c>
      <c r="AB469" t="str">
        <f>_xlfn.XLOOKUP(Table1[[#This Row],[JobSatisfaction]],Table14[JobSatisfaction],Table14[Id_JobSatisfaction])</f>
        <v>JS002</v>
      </c>
      <c r="AC469">
        <v>2</v>
      </c>
      <c r="AD469" t="str">
        <f>_xlfn.XLOOKUP(Table1[[#This Row],[JobSatisfaction]],Table14[JobSatisfaction],Table14[Deskripsi])</f>
        <v>Medium</v>
      </c>
      <c r="AE469" t="str">
        <f>_xlfn.XLOOKUP(Table1[[#This Row],[MaritalStatus]],Table15[MaritalStatus],Table15[Id_MaritalStatus])</f>
        <v>MS003</v>
      </c>
      <c r="AF469" t="s">
        <v>57</v>
      </c>
      <c r="AG469">
        <v>8834</v>
      </c>
      <c r="AH469">
        <v>24666</v>
      </c>
      <c r="AI469">
        <v>1</v>
      </c>
      <c r="AJ469" t="str">
        <f>_xlfn.XLOOKUP(Table1[[#This Row],[OverTime]],Table16[OverTime],Table16[Id_OverTime])</f>
        <v>OT002</v>
      </c>
      <c r="AK469" t="s">
        <v>33</v>
      </c>
      <c r="AL469">
        <v>13</v>
      </c>
      <c r="AM469" t="str">
        <f>_xlfn.XLOOKUP(Table1[[#This Row],[PerformanceRating]],Table17[PerformanceRating],Table17[Id_PerformanceRating])</f>
        <v>PR003</v>
      </c>
      <c r="AN469">
        <v>3</v>
      </c>
      <c r="AO469" t="str">
        <f>_xlfn.XLOOKUP(Table1[[#This Row],[PerformanceRating]],Table17[PerformanceRating],Table17[Deskripsi])</f>
        <v>Excellent</v>
      </c>
      <c r="AP469" t="str">
        <f>_xlfn.XLOOKUP(Table1[[#This Row],[RelationshipSatisfaction]],Table18[RelationshipSatisfaction],Table18[Id_RelationshipSatisfaction])</f>
        <v>RS004</v>
      </c>
      <c r="AQ469">
        <v>4</v>
      </c>
      <c r="AR469" t="str">
        <f>_xlfn.XLOOKUP(Table1[[#This Row],[RelationshipSatisfaction]],Table18[RelationshipSatisfaction],Table18[Deskripsi])</f>
        <v>Very High</v>
      </c>
      <c r="AS469" t="str">
        <f>_xlfn.XLOOKUP(Table1[[#This Row],[StockOptionLevel]],Table19[StockOptionLevel],Table19[Id_StockOptionLevel])</f>
        <v>SOL002</v>
      </c>
      <c r="AT469">
        <v>1</v>
      </c>
      <c r="AU469" t="str">
        <f>_xlfn.XLOOKUP(Table1[[#This Row],[StockOptionLevel]],Table19[StockOptionLevel],Table19[Deskripsi])</f>
        <v>Standard</v>
      </c>
      <c r="AV469">
        <v>9</v>
      </c>
      <c r="AW469">
        <v>6</v>
      </c>
      <c r="AX469" t="str">
        <f>_xlfn.XLOOKUP(Table1[[#This Row],[WorkLifeBalance]],Table20[WorkLifeBalance],Table20[Id_WorkLifeBalance])</f>
        <v>WLB002</v>
      </c>
      <c r="AY469">
        <v>3</v>
      </c>
      <c r="AZ469" t="str">
        <f>_xlfn.XLOOKUP(Table1[[#This Row],[WorkLifeBalance]],Table20[WorkLifeBalance],Table20[Deskripsi])</f>
        <v>Good</v>
      </c>
      <c r="BA469">
        <v>9</v>
      </c>
      <c r="BB469">
        <v>5</v>
      </c>
      <c r="BC469">
        <v>7</v>
      </c>
      <c r="BD469">
        <v>7</v>
      </c>
    </row>
    <row r="470" spans="1:56" x14ac:dyDescent="0.25">
      <c r="A470">
        <v>52</v>
      </c>
      <c r="B470" t="str">
        <f>_xlfn.XLOOKUP(Table1[[#This Row],[Attrition]],Table2[Attrition],Table2[Id_Attrition])</f>
        <v>A002</v>
      </c>
      <c r="C470" t="s">
        <v>33</v>
      </c>
      <c r="D470" t="str">
        <f>_xlfn.XLOOKUP(Table1[[#This Row],[BusinessTravel]],Table5[BusinessTravel],Table5[Id_BusinessTravel])</f>
        <v>BS001</v>
      </c>
      <c r="E470" t="s">
        <v>34</v>
      </c>
      <c r="F470">
        <v>956</v>
      </c>
      <c r="G470" t="str">
        <f>_xlfn.XLOOKUP(Table1[[#This Row],[Department]],Table6[Department],Table6[Id_Departement])</f>
        <v>D002</v>
      </c>
      <c r="H470" t="s">
        <v>38</v>
      </c>
      <c r="I470">
        <v>6</v>
      </c>
      <c r="J470" t="str">
        <f>_xlfn.XLOOKUP(Table1[[#This Row],[Education]],Table8[Education],Table8[Id_Education])</f>
        <v>E002</v>
      </c>
      <c r="K470">
        <v>2</v>
      </c>
      <c r="L470" t="str">
        <f>_xlfn.XLOOKUP(Table1[[#This Row],[EducationField]],Table7[EducationField],Table7[Id_EducationField])</f>
        <v>EF005</v>
      </c>
      <c r="M470" t="s">
        <v>44</v>
      </c>
      <c r="N470" t="str">
        <f>_xlfn.XLOOKUP(Table1[[#This Row],[EmployeeNumber]],Table4[EmployeeNumber],Table4[Id_Employee])</f>
        <v>EMP00469</v>
      </c>
      <c r="O470">
        <v>630</v>
      </c>
      <c r="P470" t="str">
        <f>_xlfn.XLOOKUP(Table1[[#This Row],[EnvironmentSatisfaction]],Table9[EnvironmentSatisfaction],Table9[Id_EnviromentSatisfaction])</f>
        <v>ES004</v>
      </c>
      <c r="Q470">
        <v>4</v>
      </c>
      <c r="R470" t="str">
        <f>_xlfn.XLOOKUP(Table1[[#This Row],[EnvironmentSatisfaction]],Table9[EnvironmentSatisfaction],Table9[Deskripsi])</f>
        <v>Very High</v>
      </c>
      <c r="S470" t="str">
        <f>_xlfn.XLOOKUP(Table1[[#This Row],[Gender]],Table10[Gender],Table10[Id_Gender])</f>
        <v>G002</v>
      </c>
      <c r="T470" t="s">
        <v>46</v>
      </c>
      <c r="U470">
        <v>78</v>
      </c>
      <c r="V470" t="str">
        <f>_xlfn.XLOOKUP(Table1[[#This Row],[JobInvolvement]],Table11[JobInvolvement],Table11[Id_JobInvolvement])</f>
        <v>JI003</v>
      </c>
      <c r="W470">
        <v>3</v>
      </c>
      <c r="X470" t="str">
        <f>_xlfn.XLOOKUP(Table1[[#This Row],[JobLevel]],Table12[JobLevel],Table12[Id_JobLevel])</f>
        <v>JL002</v>
      </c>
      <c r="Y470">
        <v>2</v>
      </c>
      <c r="Z470" t="str">
        <f>_xlfn.XLOOKUP(Table1[[#This Row],[JobRole]],Table13[JobRole],Table13[Id_JobRole])</f>
        <v>JR002</v>
      </c>
      <c r="AA470" t="s">
        <v>48</v>
      </c>
      <c r="AB470" t="str">
        <f>_xlfn.XLOOKUP(Table1[[#This Row],[JobSatisfaction]],Table14[JobSatisfaction],Table14[Id_JobSatisfaction])</f>
        <v>JS001</v>
      </c>
      <c r="AC470">
        <v>1</v>
      </c>
      <c r="AD470" t="str">
        <f>_xlfn.XLOOKUP(Table1[[#This Row],[JobSatisfaction]],Table14[JobSatisfaction],Table14[Deskripsi])</f>
        <v>Low</v>
      </c>
      <c r="AE470" t="str">
        <f>_xlfn.XLOOKUP(Table1[[#This Row],[MaritalStatus]],Table15[MaritalStatus],Table15[Id_MaritalStatus])</f>
        <v>MS003</v>
      </c>
      <c r="AF470" t="s">
        <v>57</v>
      </c>
      <c r="AG470">
        <v>5577</v>
      </c>
      <c r="AH470">
        <v>22087</v>
      </c>
      <c r="AI470">
        <v>3</v>
      </c>
      <c r="AJ470" t="str">
        <f>_xlfn.XLOOKUP(Table1[[#This Row],[OverTime]],Table16[OverTime],Table16[Id_OverTime])</f>
        <v>OT001</v>
      </c>
      <c r="AK470" t="s">
        <v>32</v>
      </c>
      <c r="AL470">
        <v>12</v>
      </c>
      <c r="AM470" t="str">
        <f>_xlfn.XLOOKUP(Table1[[#This Row],[PerformanceRating]],Table17[PerformanceRating],Table17[Id_PerformanceRating])</f>
        <v>PR003</v>
      </c>
      <c r="AN470">
        <v>3</v>
      </c>
      <c r="AO470" t="str">
        <f>_xlfn.XLOOKUP(Table1[[#This Row],[PerformanceRating]],Table17[PerformanceRating],Table17[Deskripsi])</f>
        <v>Excellent</v>
      </c>
      <c r="AP470" t="str">
        <f>_xlfn.XLOOKUP(Table1[[#This Row],[RelationshipSatisfaction]],Table18[RelationshipSatisfaction],Table18[Id_RelationshipSatisfaction])</f>
        <v>RS002</v>
      </c>
      <c r="AQ470">
        <v>2</v>
      </c>
      <c r="AR470" t="str">
        <f>_xlfn.XLOOKUP(Table1[[#This Row],[RelationshipSatisfaction]],Table18[RelationshipSatisfaction],Table18[Deskripsi])</f>
        <v>Medium</v>
      </c>
      <c r="AS470" t="str">
        <f>_xlfn.XLOOKUP(Table1[[#This Row],[StockOptionLevel]],Table19[StockOptionLevel],Table19[Id_StockOptionLevel])</f>
        <v>SOL003</v>
      </c>
      <c r="AT470">
        <v>2</v>
      </c>
      <c r="AU470" t="str">
        <f>_xlfn.XLOOKUP(Table1[[#This Row],[StockOptionLevel]],Table19[StockOptionLevel],Table19[Deskripsi])</f>
        <v>Intermediate</v>
      </c>
      <c r="AV470">
        <v>18</v>
      </c>
      <c r="AW470">
        <v>3</v>
      </c>
      <c r="AX470" t="str">
        <f>_xlfn.XLOOKUP(Table1[[#This Row],[WorkLifeBalance]],Table20[WorkLifeBalance],Table20[Id_WorkLifeBalance])</f>
        <v>WLB002</v>
      </c>
      <c r="AY470">
        <v>3</v>
      </c>
      <c r="AZ470" t="str">
        <f>_xlfn.XLOOKUP(Table1[[#This Row],[WorkLifeBalance]],Table20[WorkLifeBalance],Table20[Deskripsi])</f>
        <v>Good</v>
      </c>
      <c r="BA470">
        <v>10</v>
      </c>
      <c r="BB470">
        <v>9</v>
      </c>
      <c r="BC470">
        <v>6</v>
      </c>
      <c r="BD470">
        <v>9</v>
      </c>
    </row>
    <row r="471" spans="1:56" x14ac:dyDescent="0.25">
      <c r="A471">
        <v>32</v>
      </c>
      <c r="B471" t="str">
        <f>_xlfn.XLOOKUP(Table1[[#This Row],[Attrition]],Table2[Attrition],Table2[Id_Attrition])</f>
        <v>A001</v>
      </c>
      <c r="C471" t="s">
        <v>32</v>
      </c>
      <c r="D471" t="str">
        <f>_xlfn.XLOOKUP(Table1[[#This Row],[BusinessTravel]],Table5[BusinessTravel],Table5[Id_BusinessTravel])</f>
        <v>BS003</v>
      </c>
      <c r="E471" t="s">
        <v>36</v>
      </c>
      <c r="F471">
        <v>1474</v>
      </c>
      <c r="G471" t="str">
        <f>_xlfn.XLOOKUP(Table1[[#This Row],[Department]],Table6[Department],Table6[Id_Departement])</f>
        <v>D001</v>
      </c>
      <c r="H471" t="s">
        <v>37</v>
      </c>
      <c r="I471">
        <v>11</v>
      </c>
      <c r="J471" t="str">
        <f>_xlfn.XLOOKUP(Table1[[#This Row],[Education]],Table8[Education],Table8[Id_Education])</f>
        <v>E004</v>
      </c>
      <c r="K471">
        <v>4</v>
      </c>
      <c r="L471" t="str">
        <f>_xlfn.XLOOKUP(Table1[[#This Row],[EducationField]],Table7[EducationField],Table7[Id_EducationField])</f>
        <v>EF002</v>
      </c>
      <c r="M471" t="s">
        <v>41</v>
      </c>
      <c r="N471" t="str">
        <f>_xlfn.XLOOKUP(Table1[[#This Row],[EmployeeNumber]],Table4[EmployeeNumber],Table4[Id_Employee])</f>
        <v>EMP00470</v>
      </c>
      <c r="O471">
        <v>631</v>
      </c>
      <c r="P471" t="str">
        <f>_xlfn.XLOOKUP(Table1[[#This Row],[EnvironmentSatisfaction]],Table9[EnvironmentSatisfaction],Table9[Id_EnviromentSatisfaction])</f>
        <v>ES004</v>
      </c>
      <c r="Q471">
        <v>4</v>
      </c>
      <c r="R471" t="str">
        <f>_xlfn.XLOOKUP(Table1[[#This Row],[EnvironmentSatisfaction]],Table9[EnvironmentSatisfaction],Table9[Deskripsi])</f>
        <v>Very High</v>
      </c>
      <c r="S471" t="str">
        <f>_xlfn.XLOOKUP(Table1[[#This Row],[Gender]],Table10[Gender],Table10[Id_Gender])</f>
        <v>G002</v>
      </c>
      <c r="T471" t="s">
        <v>46</v>
      </c>
      <c r="U471">
        <v>60</v>
      </c>
      <c r="V471" t="str">
        <f>_xlfn.XLOOKUP(Table1[[#This Row],[JobInvolvement]],Table11[JobInvolvement],Table11[Id_JobInvolvement])</f>
        <v>JI004</v>
      </c>
      <c r="W471">
        <v>4</v>
      </c>
      <c r="X471" t="str">
        <f>_xlfn.XLOOKUP(Table1[[#This Row],[JobLevel]],Table12[JobLevel],Table12[Id_JobLevel])</f>
        <v>JL002</v>
      </c>
      <c r="Y471">
        <v>2</v>
      </c>
      <c r="Z471" t="str">
        <f>_xlfn.XLOOKUP(Table1[[#This Row],[JobRole]],Table13[JobRole],Table13[Id_JobRole])</f>
        <v>JR001</v>
      </c>
      <c r="AA471" t="s">
        <v>47</v>
      </c>
      <c r="AB471" t="str">
        <f>_xlfn.XLOOKUP(Table1[[#This Row],[JobSatisfaction]],Table14[JobSatisfaction],Table14[Id_JobSatisfaction])</f>
        <v>JS003</v>
      </c>
      <c r="AC471">
        <v>3</v>
      </c>
      <c r="AD471" t="str">
        <f>_xlfn.XLOOKUP(Table1[[#This Row],[JobSatisfaction]],Table14[JobSatisfaction],Table14[Deskripsi])</f>
        <v>High</v>
      </c>
      <c r="AE471" t="str">
        <f>_xlfn.XLOOKUP(Table1[[#This Row],[MaritalStatus]],Table15[MaritalStatus],Table15[Id_MaritalStatus])</f>
        <v>MS002</v>
      </c>
      <c r="AF471" t="s">
        <v>56</v>
      </c>
      <c r="AG471">
        <v>4707</v>
      </c>
      <c r="AH471">
        <v>23914</v>
      </c>
      <c r="AI471">
        <v>8</v>
      </c>
      <c r="AJ471" t="str">
        <f>_xlfn.XLOOKUP(Table1[[#This Row],[OverTime]],Table16[OverTime],Table16[Id_OverTime])</f>
        <v>OT002</v>
      </c>
      <c r="AK471" t="s">
        <v>33</v>
      </c>
      <c r="AL471">
        <v>12</v>
      </c>
      <c r="AM471" t="str">
        <f>_xlfn.XLOOKUP(Table1[[#This Row],[PerformanceRating]],Table17[PerformanceRating],Table17[Id_PerformanceRating])</f>
        <v>PR003</v>
      </c>
      <c r="AN471">
        <v>3</v>
      </c>
      <c r="AO471" t="str">
        <f>_xlfn.XLOOKUP(Table1[[#This Row],[PerformanceRating]],Table17[PerformanceRating],Table17[Deskripsi])</f>
        <v>Excellent</v>
      </c>
      <c r="AP471" t="str">
        <f>_xlfn.XLOOKUP(Table1[[#This Row],[RelationshipSatisfaction]],Table18[RelationshipSatisfaction],Table18[Id_RelationshipSatisfaction])</f>
        <v>RS004</v>
      </c>
      <c r="AQ471">
        <v>4</v>
      </c>
      <c r="AR471" t="str">
        <f>_xlfn.XLOOKUP(Table1[[#This Row],[RelationshipSatisfaction]],Table18[RelationshipSatisfaction],Table18[Deskripsi])</f>
        <v>Very High</v>
      </c>
      <c r="AS471" t="str">
        <f>_xlfn.XLOOKUP(Table1[[#This Row],[StockOptionLevel]],Table19[StockOptionLevel],Table19[Id_StockOptionLevel])</f>
        <v>SOL001</v>
      </c>
      <c r="AT471">
        <v>0</v>
      </c>
      <c r="AU471" t="str">
        <f>_xlfn.XLOOKUP(Table1[[#This Row],[StockOptionLevel]],Table19[StockOptionLevel],Table19[Deskripsi])</f>
        <v>Non-Eligible</v>
      </c>
      <c r="AV471">
        <v>6</v>
      </c>
      <c r="AW471">
        <v>2</v>
      </c>
      <c r="AX471" t="str">
        <f>_xlfn.XLOOKUP(Table1[[#This Row],[WorkLifeBalance]],Table20[WorkLifeBalance],Table20[Id_WorkLifeBalance])</f>
        <v>WLB002</v>
      </c>
      <c r="AY471">
        <v>3</v>
      </c>
      <c r="AZ471" t="str">
        <f>_xlfn.XLOOKUP(Table1[[#This Row],[WorkLifeBalance]],Table20[WorkLifeBalance],Table20[Deskripsi])</f>
        <v>Good</v>
      </c>
      <c r="BA471">
        <v>4</v>
      </c>
      <c r="BB471">
        <v>2</v>
      </c>
      <c r="BC471">
        <v>1</v>
      </c>
      <c r="BD471">
        <v>2</v>
      </c>
    </row>
    <row r="472" spans="1:56" x14ac:dyDescent="0.25">
      <c r="A472">
        <v>24</v>
      </c>
      <c r="B472" t="str">
        <f>_xlfn.XLOOKUP(Table1[[#This Row],[Attrition]],Table2[Attrition],Table2[Id_Attrition])</f>
        <v>A002</v>
      </c>
      <c r="C472" t="s">
        <v>33</v>
      </c>
      <c r="D472" t="str">
        <f>_xlfn.XLOOKUP(Table1[[#This Row],[BusinessTravel]],Table5[BusinessTravel],Table5[Id_BusinessTravel])</f>
        <v>BS002</v>
      </c>
      <c r="E472" t="s">
        <v>35</v>
      </c>
      <c r="F472">
        <v>535</v>
      </c>
      <c r="G472" t="str">
        <f>_xlfn.XLOOKUP(Table1[[#This Row],[Department]],Table6[Department],Table6[Id_Departement])</f>
        <v>D001</v>
      </c>
      <c r="H472" t="s">
        <v>37</v>
      </c>
      <c r="I472">
        <v>24</v>
      </c>
      <c r="J472" t="str">
        <f>_xlfn.XLOOKUP(Table1[[#This Row],[Education]],Table8[Education],Table8[Id_Education])</f>
        <v>E003</v>
      </c>
      <c r="K472">
        <v>3</v>
      </c>
      <c r="L472" t="str">
        <f>_xlfn.XLOOKUP(Table1[[#This Row],[EducationField]],Table7[EducationField],Table7[Id_EducationField])</f>
        <v>EF003</v>
      </c>
      <c r="M472" t="s">
        <v>42</v>
      </c>
      <c r="N472" t="str">
        <f>_xlfn.XLOOKUP(Table1[[#This Row],[EmployeeNumber]],Table4[EmployeeNumber],Table4[Id_Employee])</f>
        <v>EMP00471</v>
      </c>
      <c r="O472">
        <v>632</v>
      </c>
      <c r="P472" t="str">
        <f>_xlfn.XLOOKUP(Table1[[#This Row],[EnvironmentSatisfaction]],Table9[EnvironmentSatisfaction],Table9[Id_EnviromentSatisfaction])</f>
        <v>ES004</v>
      </c>
      <c r="Q472">
        <v>4</v>
      </c>
      <c r="R472" t="str">
        <f>_xlfn.XLOOKUP(Table1[[#This Row],[EnvironmentSatisfaction]],Table9[EnvironmentSatisfaction],Table9[Deskripsi])</f>
        <v>Very High</v>
      </c>
      <c r="S472" t="str">
        <f>_xlfn.XLOOKUP(Table1[[#This Row],[Gender]],Table10[Gender],Table10[Id_Gender])</f>
        <v>G002</v>
      </c>
      <c r="T472" t="s">
        <v>46</v>
      </c>
      <c r="U472">
        <v>38</v>
      </c>
      <c r="V472" t="str">
        <f>_xlfn.XLOOKUP(Table1[[#This Row],[JobInvolvement]],Table11[JobInvolvement],Table11[Id_JobInvolvement])</f>
        <v>JI003</v>
      </c>
      <c r="W472">
        <v>3</v>
      </c>
      <c r="X472" t="str">
        <f>_xlfn.XLOOKUP(Table1[[#This Row],[JobLevel]],Table12[JobLevel],Table12[Id_JobLevel])</f>
        <v>JL001</v>
      </c>
      <c r="Y472">
        <v>1</v>
      </c>
      <c r="Z472" t="str">
        <f>_xlfn.XLOOKUP(Table1[[#This Row],[JobRole]],Table13[JobRole],Table13[Id_JobRole])</f>
        <v>JR007</v>
      </c>
      <c r="AA472" t="s">
        <v>53</v>
      </c>
      <c r="AB472" t="str">
        <f>_xlfn.XLOOKUP(Table1[[#This Row],[JobSatisfaction]],Table14[JobSatisfaction],Table14[Id_JobSatisfaction])</f>
        <v>JS004</v>
      </c>
      <c r="AC472">
        <v>4</v>
      </c>
      <c r="AD472" t="str">
        <f>_xlfn.XLOOKUP(Table1[[#This Row],[JobSatisfaction]],Table14[JobSatisfaction],Table14[Deskripsi])</f>
        <v>Very High</v>
      </c>
      <c r="AE472" t="str">
        <f>_xlfn.XLOOKUP(Table1[[#This Row],[MaritalStatus]],Table15[MaritalStatus],Table15[Id_MaritalStatus])</f>
        <v>MS002</v>
      </c>
      <c r="AF472" t="s">
        <v>56</v>
      </c>
      <c r="AG472">
        <v>2400</v>
      </c>
      <c r="AH472">
        <v>5530</v>
      </c>
      <c r="AI472">
        <v>0</v>
      </c>
      <c r="AJ472" t="str">
        <f>_xlfn.XLOOKUP(Table1[[#This Row],[OverTime]],Table16[OverTime],Table16[Id_OverTime])</f>
        <v>OT002</v>
      </c>
      <c r="AK472" t="s">
        <v>33</v>
      </c>
      <c r="AL472">
        <v>13</v>
      </c>
      <c r="AM472" t="str">
        <f>_xlfn.XLOOKUP(Table1[[#This Row],[PerformanceRating]],Table17[PerformanceRating],Table17[Id_PerformanceRating])</f>
        <v>PR003</v>
      </c>
      <c r="AN472">
        <v>3</v>
      </c>
      <c r="AO472" t="str">
        <f>_xlfn.XLOOKUP(Table1[[#This Row],[PerformanceRating]],Table17[PerformanceRating],Table17[Deskripsi])</f>
        <v>Excellent</v>
      </c>
      <c r="AP472" t="str">
        <f>_xlfn.XLOOKUP(Table1[[#This Row],[RelationshipSatisfaction]],Table18[RelationshipSatisfaction],Table18[Id_RelationshipSatisfaction])</f>
        <v>RS003</v>
      </c>
      <c r="AQ472">
        <v>3</v>
      </c>
      <c r="AR472" t="str">
        <f>_xlfn.XLOOKUP(Table1[[#This Row],[RelationshipSatisfaction]],Table18[RelationshipSatisfaction],Table18[Deskripsi])</f>
        <v>High</v>
      </c>
      <c r="AS472" t="str">
        <f>_xlfn.XLOOKUP(Table1[[#This Row],[StockOptionLevel]],Table19[StockOptionLevel],Table19[Id_StockOptionLevel])</f>
        <v>SOL003</v>
      </c>
      <c r="AT472">
        <v>2</v>
      </c>
      <c r="AU472" t="str">
        <f>_xlfn.XLOOKUP(Table1[[#This Row],[StockOptionLevel]],Table19[StockOptionLevel],Table19[Deskripsi])</f>
        <v>Intermediate</v>
      </c>
      <c r="AV472">
        <v>3</v>
      </c>
      <c r="AW472">
        <v>3</v>
      </c>
      <c r="AX472" t="str">
        <f>_xlfn.XLOOKUP(Table1[[#This Row],[WorkLifeBalance]],Table20[WorkLifeBalance],Table20[Id_WorkLifeBalance])</f>
        <v>WLB002</v>
      </c>
      <c r="AY472">
        <v>3</v>
      </c>
      <c r="AZ472" t="str">
        <f>_xlfn.XLOOKUP(Table1[[#This Row],[WorkLifeBalance]],Table20[WorkLifeBalance],Table20[Deskripsi])</f>
        <v>Good</v>
      </c>
      <c r="BA472">
        <v>2</v>
      </c>
      <c r="BB472">
        <v>2</v>
      </c>
      <c r="BC472">
        <v>2</v>
      </c>
      <c r="BD472">
        <v>1</v>
      </c>
    </row>
    <row r="473" spans="1:56" x14ac:dyDescent="0.25">
      <c r="A473">
        <v>38</v>
      </c>
      <c r="B473" t="str">
        <f>_xlfn.XLOOKUP(Table1[[#This Row],[Attrition]],Table2[Attrition],Table2[Id_Attrition])</f>
        <v>A002</v>
      </c>
      <c r="C473" t="s">
        <v>33</v>
      </c>
      <c r="D473" t="str">
        <f>_xlfn.XLOOKUP(Table1[[#This Row],[BusinessTravel]],Table5[BusinessTravel],Table5[Id_BusinessTravel])</f>
        <v>BS001</v>
      </c>
      <c r="E473" t="s">
        <v>34</v>
      </c>
      <c r="F473">
        <v>1495</v>
      </c>
      <c r="G473" t="str">
        <f>_xlfn.XLOOKUP(Table1[[#This Row],[Department]],Table6[Department],Table6[Id_Departement])</f>
        <v>D002</v>
      </c>
      <c r="H473" t="s">
        <v>38</v>
      </c>
      <c r="I473">
        <v>10</v>
      </c>
      <c r="J473" t="str">
        <f>_xlfn.XLOOKUP(Table1[[#This Row],[Education]],Table8[Education],Table8[Id_Education])</f>
        <v>E003</v>
      </c>
      <c r="K473">
        <v>3</v>
      </c>
      <c r="L473" t="str">
        <f>_xlfn.XLOOKUP(Table1[[#This Row],[EducationField]],Table7[EducationField],Table7[Id_EducationField])</f>
        <v>EF003</v>
      </c>
      <c r="M473" t="s">
        <v>42</v>
      </c>
      <c r="N473" t="str">
        <f>_xlfn.XLOOKUP(Table1[[#This Row],[EmployeeNumber]],Table4[EmployeeNumber],Table4[Id_Employee])</f>
        <v>EMP00472</v>
      </c>
      <c r="O473">
        <v>634</v>
      </c>
      <c r="P473" t="str">
        <f>_xlfn.XLOOKUP(Table1[[#This Row],[EnvironmentSatisfaction]],Table9[EnvironmentSatisfaction],Table9[Id_EnviromentSatisfaction])</f>
        <v>ES003</v>
      </c>
      <c r="Q473">
        <v>3</v>
      </c>
      <c r="R473" t="str">
        <f>_xlfn.XLOOKUP(Table1[[#This Row],[EnvironmentSatisfaction]],Table9[EnvironmentSatisfaction],Table9[Deskripsi])</f>
        <v>High</v>
      </c>
      <c r="S473" t="str">
        <f>_xlfn.XLOOKUP(Table1[[#This Row],[Gender]],Table10[Gender],Table10[Id_Gender])</f>
        <v>G001</v>
      </c>
      <c r="T473" t="s">
        <v>45</v>
      </c>
      <c r="U473">
        <v>76</v>
      </c>
      <c r="V473" t="str">
        <f>_xlfn.XLOOKUP(Table1[[#This Row],[JobInvolvement]],Table11[JobInvolvement],Table11[Id_JobInvolvement])</f>
        <v>JI003</v>
      </c>
      <c r="W473">
        <v>3</v>
      </c>
      <c r="X473" t="str">
        <f>_xlfn.XLOOKUP(Table1[[#This Row],[JobLevel]],Table12[JobLevel],Table12[Id_JobLevel])</f>
        <v>JL002</v>
      </c>
      <c r="Y473">
        <v>2</v>
      </c>
      <c r="Z473" t="str">
        <f>_xlfn.XLOOKUP(Table1[[#This Row],[JobRole]],Table13[JobRole],Table13[Id_JobRole])</f>
        <v>JR005</v>
      </c>
      <c r="AA473" t="s">
        <v>51</v>
      </c>
      <c r="AB473" t="str">
        <f>_xlfn.XLOOKUP(Table1[[#This Row],[JobSatisfaction]],Table14[JobSatisfaction],Table14[Id_JobSatisfaction])</f>
        <v>JS003</v>
      </c>
      <c r="AC473">
        <v>3</v>
      </c>
      <c r="AD473" t="str">
        <f>_xlfn.XLOOKUP(Table1[[#This Row],[JobSatisfaction]],Table14[JobSatisfaction],Table14[Deskripsi])</f>
        <v>High</v>
      </c>
      <c r="AE473" t="str">
        <f>_xlfn.XLOOKUP(Table1[[#This Row],[MaritalStatus]],Table15[MaritalStatus],Table15[Id_MaritalStatus])</f>
        <v>MS002</v>
      </c>
      <c r="AF473" t="s">
        <v>56</v>
      </c>
      <c r="AG473">
        <v>9824</v>
      </c>
      <c r="AH473">
        <v>22174</v>
      </c>
      <c r="AI473">
        <v>3</v>
      </c>
      <c r="AJ473" t="str">
        <f>_xlfn.XLOOKUP(Table1[[#This Row],[OverTime]],Table16[OverTime],Table16[Id_OverTime])</f>
        <v>OT002</v>
      </c>
      <c r="AK473" t="s">
        <v>33</v>
      </c>
      <c r="AL473">
        <v>19</v>
      </c>
      <c r="AM473" t="str">
        <f>_xlfn.XLOOKUP(Table1[[#This Row],[PerformanceRating]],Table17[PerformanceRating],Table17[Id_PerformanceRating])</f>
        <v>PR003</v>
      </c>
      <c r="AN473">
        <v>3</v>
      </c>
      <c r="AO473" t="str">
        <f>_xlfn.XLOOKUP(Table1[[#This Row],[PerformanceRating]],Table17[PerformanceRating],Table17[Deskripsi])</f>
        <v>Excellent</v>
      </c>
      <c r="AP473" t="str">
        <f>_xlfn.XLOOKUP(Table1[[#This Row],[RelationshipSatisfaction]],Table18[RelationshipSatisfaction],Table18[Id_RelationshipSatisfaction])</f>
        <v>RS003</v>
      </c>
      <c r="AQ473">
        <v>3</v>
      </c>
      <c r="AR473" t="str">
        <f>_xlfn.XLOOKUP(Table1[[#This Row],[RelationshipSatisfaction]],Table18[RelationshipSatisfaction],Table18[Deskripsi])</f>
        <v>High</v>
      </c>
      <c r="AS473" t="str">
        <f>_xlfn.XLOOKUP(Table1[[#This Row],[StockOptionLevel]],Table19[StockOptionLevel],Table19[Id_StockOptionLevel])</f>
        <v>SOL002</v>
      </c>
      <c r="AT473">
        <v>1</v>
      </c>
      <c r="AU473" t="str">
        <f>_xlfn.XLOOKUP(Table1[[#This Row],[StockOptionLevel]],Table19[StockOptionLevel],Table19[Deskripsi])</f>
        <v>Standard</v>
      </c>
      <c r="AV473">
        <v>18</v>
      </c>
      <c r="AW473">
        <v>4</v>
      </c>
      <c r="AX473" t="str">
        <f>_xlfn.XLOOKUP(Table1[[#This Row],[WorkLifeBalance]],Table20[WorkLifeBalance],Table20[Id_WorkLifeBalance])</f>
        <v>WLB002</v>
      </c>
      <c r="AY473">
        <v>3</v>
      </c>
      <c r="AZ473" t="str">
        <f>_xlfn.XLOOKUP(Table1[[#This Row],[WorkLifeBalance]],Table20[WorkLifeBalance],Table20[Deskripsi])</f>
        <v>Good</v>
      </c>
      <c r="BA473">
        <v>1</v>
      </c>
      <c r="BB473">
        <v>0</v>
      </c>
      <c r="BC473">
        <v>0</v>
      </c>
      <c r="BD473">
        <v>0</v>
      </c>
    </row>
    <row r="474" spans="1:56" x14ac:dyDescent="0.25">
      <c r="A474">
        <v>37</v>
      </c>
      <c r="B474" t="str">
        <f>_xlfn.XLOOKUP(Table1[[#This Row],[Attrition]],Table2[Attrition],Table2[Id_Attrition])</f>
        <v>A002</v>
      </c>
      <c r="C474" t="s">
        <v>33</v>
      </c>
      <c r="D474" t="str">
        <f>_xlfn.XLOOKUP(Table1[[#This Row],[BusinessTravel]],Table5[BusinessTravel],Table5[Id_BusinessTravel])</f>
        <v>BS001</v>
      </c>
      <c r="E474" t="s">
        <v>34</v>
      </c>
      <c r="F474">
        <v>446</v>
      </c>
      <c r="G474" t="str">
        <f>_xlfn.XLOOKUP(Table1[[#This Row],[Department]],Table6[Department],Table6[Id_Departement])</f>
        <v>D002</v>
      </c>
      <c r="H474" t="s">
        <v>38</v>
      </c>
      <c r="I474">
        <v>1</v>
      </c>
      <c r="J474" t="str">
        <f>_xlfn.XLOOKUP(Table1[[#This Row],[Education]],Table8[Education],Table8[Id_Education])</f>
        <v>E004</v>
      </c>
      <c r="K474">
        <v>4</v>
      </c>
      <c r="L474" t="str">
        <f>_xlfn.XLOOKUP(Table1[[#This Row],[EducationField]],Table7[EducationField],Table7[Id_EducationField])</f>
        <v>EF001</v>
      </c>
      <c r="M474" t="s">
        <v>40</v>
      </c>
      <c r="N474" t="str">
        <f>_xlfn.XLOOKUP(Table1[[#This Row],[EmployeeNumber]],Table4[EmployeeNumber],Table4[Id_Employee])</f>
        <v>EMP00473</v>
      </c>
      <c r="O474">
        <v>635</v>
      </c>
      <c r="P474" t="str">
        <f>_xlfn.XLOOKUP(Table1[[#This Row],[EnvironmentSatisfaction]],Table9[EnvironmentSatisfaction],Table9[Id_EnviromentSatisfaction])</f>
        <v>ES002</v>
      </c>
      <c r="Q474">
        <v>2</v>
      </c>
      <c r="R474" t="str">
        <f>_xlfn.XLOOKUP(Table1[[#This Row],[EnvironmentSatisfaction]],Table9[EnvironmentSatisfaction],Table9[Deskripsi])</f>
        <v>Medium</v>
      </c>
      <c r="S474" t="str">
        <f>_xlfn.XLOOKUP(Table1[[#This Row],[Gender]],Table10[Gender],Table10[Id_Gender])</f>
        <v>G001</v>
      </c>
      <c r="T474" t="s">
        <v>45</v>
      </c>
      <c r="U474">
        <v>65</v>
      </c>
      <c r="V474" t="str">
        <f>_xlfn.XLOOKUP(Table1[[#This Row],[JobInvolvement]],Table11[JobInvolvement],Table11[Id_JobInvolvement])</f>
        <v>JI003</v>
      </c>
      <c r="W474">
        <v>3</v>
      </c>
      <c r="X474" t="str">
        <f>_xlfn.XLOOKUP(Table1[[#This Row],[JobLevel]],Table12[JobLevel],Table12[Id_JobLevel])</f>
        <v>JL002</v>
      </c>
      <c r="Y474">
        <v>2</v>
      </c>
      <c r="Z474" t="str">
        <f>_xlfn.XLOOKUP(Table1[[#This Row],[JobRole]],Table13[JobRole],Table13[Id_JobRole])</f>
        <v>JR004</v>
      </c>
      <c r="AA474" t="s">
        <v>50</v>
      </c>
      <c r="AB474" t="str">
        <f>_xlfn.XLOOKUP(Table1[[#This Row],[JobSatisfaction]],Table14[JobSatisfaction],Table14[Id_JobSatisfaction])</f>
        <v>JS002</v>
      </c>
      <c r="AC474">
        <v>2</v>
      </c>
      <c r="AD474" t="str">
        <f>_xlfn.XLOOKUP(Table1[[#This Row],[JobSatisfaction]],Table14[JobSatisfaction],Table14[Deskripsi])</f>
        <v>Medium</v>
      </c>
      <c r="AE474" t="str">
        <f>_xlfn.XLOOKUP(Table1[[#This Row],[MaritalStatus]],Table15[MaritalStatus],Table15[Id_MaritalStatus])</f>
        <v>MS002</v>
      </c>
      <c r="AF474" t="s">
        <v>56</v>
      </c>
      <c r="AG474">
        <v>6447</v>
      </c>
      <c r="AH474">
        <v>15701</v>
      </c>
      <c r="AI474">
        <v>6</v>
      </c>
      <c r="AJ474" t="str">
        <f>_xlfn.XLOOKUP(Table1[[#This Row],[OverTime]],Table16[OverTime],Table16[Id_OverTime])</f>
        <v>OT002</v>
      </c>
      <c r="AK474" t="s">
        <v>33</v>
      </c>
      <c r="AL474">
        <v>12</v>
      </c>
      <c r="AM474" t="str">
        <f>_xlfn.XLOOKUP(Table1[[#This Row],[PerformanceRating]],Table17[PerformanceRating],Table17[Id_PerformanceRating])</f>
        <v>PR003</v>
      </c>
      <c r="AN474">
        <v>3</v>
      </c>
      <c r="AO474" t="str">
        <f>_xlfn.XLOOKUP(Table1[[#This Row],[PerformanceRating]],Table17[PerformanceRating],Table17[Deskripsi])</f>
        <v>Excellent</v>
      </c>
      <c r="AP474" t="str">
        <f>_xlfn.XLOOKUP(Table1[[#This Row],[RelationshipSatisfaction]],Table18[RelationshipSatisfaction],Table18[Id_RelationshipSatisfaction])</f>
        <v>RS002</v>
      </c>
      <c r="AQ474">
        <v>2</v>
      </c>
      <c r="AR474" t="str">
        <f>_xlfn.XLOOKUP(Table1[[#This Row],[RelationshipSatisfaction]],Table18[RelationshipSatisfaction],Table18[Deskripsi])</f>
        <v>Medium</v>
      </c>
      <c r="AS474" t="str">
        <f>_xlfn.XLOOKUP(Table1[[#This Row],[StockOptionLevel]],Table19[StockOptionLevel],Table19[Id_StockOptionLevel])</f>
        <v>SOL002</v>
      </c>
      <c r="AT474">
        <v>1</v>
      </c>
      <c r="AU474" t="str">
        <f>_xlfn.XLOOKUP(Table1[[#This Row],[StockOptionLevel]],Table19[StockOptionLevel],Table19[Deskripsi])</f>
        <v>Standard</v>
      </c>
      <c r="AV474">
        <v>8</v>
      </c>
      <c r="AW474">
        <v>2</v>
      </c>
      <c r="AX474" t="str">
        <f>_xlfn.XLOOKUP(Table1[[#This Row],[WorkLifeBalance]],Table20[WorkLifeBalance],Table20[Id_WorkLifeBalance])</f>
        <v>WLB003</v>
      </c>
      <c r="AY474">
        <v>2</v>
      </c>
      <c r="AZ474" t="str">
        <f>_xlfn.XLOOKUP(Table1[[#This Row],[WorkLifeBalance]],Table20[WorkLifeBalance],Table20[Deskripsi])</f>
        <v>Better</v>
      </c>
      <c r="BA474">
        <v>6</v>
      </c>
      <c r="BB474">
        <v>5</v>
      </c>
      <c r="BC474">
        <v>4</v>
      </c>
      <c r="BD474">
        <v>3</v>
      </c>
    </row>
    <row r="475" spans="1:56" x14ac:dyDescent="0.25">
      <c r="A475">
        <v>49</v>
      </c>
      <c r="B475" t="str">
        <f>_xlfn.XLOOKUP(Table1[[#This Row],[Attrition]],Table2[Attrition],Table2[Id_Attrition])</f>
        <v>A002</v>
      </c>
      <c r="C475" t="s">
        <v>33</v>
      </c>
      <c r="D475" t="str">
        <f>_xlfn.XLOOKUP(Table1[[#This Row],[BusinessTravel]],Table5[BusinessTravel],Table5[Id_BusinessTravel])</f>
        <v>BS001</v>
      </c>
      <c r="E475" t="s">
        <v>34</v>
      </c>
      <c r="F475">
        <v>1245</v>
      </c>
      <c r="G475" t="str">
        <f>_xlfn.XLOOKUP(Table1[[#This Row],[Department]],Table6[Department],Table6[Id_Departement])</f>
        <v>D002</v>
      </c>
      <c r="H475" t="s">
        <v>38</v>
      </c>
      <c r="I475">
        <v>18</v>
      </c>
      <c r="J475" t="str">
        <f>_xlfn.XLOOKUP(Table1[[#This Row],[Education]],Table8[Education],Table8[Id_Education])</f>
        <v>E004</v>
      </c>
      <c r="K475">
        <v>4</v>
      </c>
      <c r="L475" t="str">
        <f>_xlfn.XLOOKUP(Table1[[#This Row],[EducationField]],Table7[EducationField],Table7[Id_EducationField])</f>
        <v>EF001</v>
      </c>
      <c r="M475" t="s">
        <v>40</v>
      </c>
      <c r="N475" t="str">
        <f>_xlfn.XLOOKUP(Table1[[#This Row],[EmployeeNumber]],Table4[EmployeeNumber],Table4[Id_Employee])</f>
        <v>EMP00474</v>
      </c>
      <c r="O475">
        <v>638</v>
      </c>
      <c r="P475" t="str">
        <f>_xlfn.XLOOKUP(Table1[[#This Row],[EnvironmentSatisfaction]],Table9[EnvironmentSatisfaction],Table9[Id_EnviromentSatisfaction])</f>
        <v>ES004</v>
      </c>
      <c r="Q475">
        <v>4</v>
      </c>
      <c r="R475" t="str">
        <f>_xlfn.XLOOKUP(Table1[[#This Row],[EnvironmentSatisfaction]],Table9[EnvironmentSatisfaction],Table9[Deskripsi])</f>
        <v>Very High</v>
      </c>
      <c r="S475" t="str">
        <f>_xlfn.XLOOKUP(Table1[[#This Row],[Gender]],Table10[Gender],Table10[Id_Gender])</f>
        <v>G002</v>
      </c>
      <c r="T475" t="s">
        <v>46</v>
      </c>
      <c r="U475">
        <v>58</v>
      </c>
      <c r="V475" t="str">
        <f>_xlfn.XLOOKUP(Table1[[#This Row],[JobInvolvement]],Table11[JobInvolvement],Table11[Id_JobInvolvement])</f>
        <v>JI002</v>
      </c>
      <c r="W475">
        <v>2</v>
      </c>
      <c r="X475" t="str">
        <f>_xlfn.XLOOKUP(Table1[[#This Row],[JobLevel]],Table12[JobLevel],Table12[Id_JobLevel])</f>
        <v>JL005</v>
      </c>
      <c r="Y475">
        <v>5</v>
      </c>
      <c r="Z475" t="str">
        <f>_xlfn.XLOOKUP(Table1[[#This Row],[JobRole]],Table13[JobRole],Table13[Id_JobRole])</f>
        <v>JR008</v>
      </c>
      <c r="AA475" t="s">
        <v>54</v>
      </c>
      <c r="AB475" t="str">
        <f>_xlfn.XLOOKUP(Table1[[#This Row],[JobSatisfaction]],Table14[JobSatisfaction],Table14[Id_JobSatisfaction])</f>
        <v>JS003</v>
      </c>
      <c r="AC475">
        <v>3</v>
      </c>
      <c r="AD475" t="str">
        <f>_xlfn.XLOOKUP(Table1[[#This Row],[JobSatisfaction]],Table14[JobSatisfaction],Table14[Deskripsi])</f>
        <v>High</v>
      </c>
      <c r="AE475" t="str">
        <f>_xlfn.XLOOKUP(Table1[[#This Row],[MaritalStatus]],Table15[MaritalStatus],Table15[Id_MaritalStatus])</f>
        <v>MS003</v>
      </c>
      <c r="AF475" t="s">
        <v>57</v>
      </c>
      <c r="AG475">
        <v>19502</v>
      </c>
      <c r="AH475">
        <v>2125</v>
      </c>
      <c r="AI475">
        <v>1</v>
      </c>
      <c r="AJ475" t="str">
        <f>_xlfn.XLOOKUP(Table1[[#This Row],[OverTime]],Table16[OverTime],Table16[Id_OverTime])</f>
        <v>OT001</v>
      </c>
      <c r="AK475" t="s">
        <v>32</v>
      </c>
      <c r="AL475">
        <v>17</v>
      </c>
      <c r="AM475" t="str">
        <f>_xlfn.XLOOKUP(Table1[[#This Row],[PerformanceRating]],Table17[PerformanceRating],Table17[Id_PerformanceRating])</f>
        <v>PR003</v>
      </c>
      <c r="AN475">
        <v>3</v>
      </c>
      <c r="AO475" t="str">
        <f>_xlfn.XLOOKUP(Table1[[#This Row],[PerformanceRating]],Table17[PerformanceRating],Table17[Deskripsi])</f>
        <v>Excellent</v>
      </c>
      <c r="AP475" t="str">
        <f>_xlfn.XLOOKUP(Table1[[#This Row],[RelationshipSatisfaction]],Table18[RelationshipSatisfaction],Table18[Id_RelationshipSatisfaction])</f>
        <v>RS003</v>
      </c>
      <c r="AQ475">
        <v>3</v>
      </c>
      <c r="AR475" t="str">
        <f>_xlfn.XLOOKUP(Table1[[#This Row],[RelationshipSatisfaction]],Table18[RelationshipSatisfaction],Table18[Deskripsi])</f>
        <v>High</v>
      </c>
      <c r="AS475" t="str">
        <f>_xlfn.XLOOKUP(Table1[[#This Row],[StockOptionLevel]],Table19[StockOptionLevel],Table19[Id_StockOptionLevel])</f>
        <v>SOL002</v>
      </c>
      <c r="AT475">
        <v>1</v>
      </c>
      <c r="AU475" t="str">
        <f>_xlfn.XLOOKUP(Table1[[#This Row],[StockOptionLevel]],Table19[StockOptionLevel],Table19[Deskripsi])</f>
        <v>Standard</v>
      </c>
      <c r="AV475">
        <v>31</v>
      </c>
      <c r="AW475">
        <v>5</v>
      </c>
      <c r="AX475" t="str">
        <f>_xlfn.XLOOKUP(Table1[[#This Row],[WorkLifeBalance]],Table20[WorkLifeBalance],Table20[Id_WorkLifeBalance])</f>
        <v>WLB002</v>
      </c>
      <c r="AY475">
        <v>3</v>
      </c>
      <c r="AZ475" t="str">
        <f>_xlfn.XLOOKUP(Table1[[#This Row],[WorkLifeBalance]],Table20[WorkLifeBalance],Table20[Deskripsi])</f>
        <v>Good</v>
      </c>
      <c r="BA475">
        <v>31</v>
      </c>
      <c r="BB475">
        <v>9</v>
      </c>
      <c r="BC475">
        <v>0</v>
      </c>
      <c r="BD475">
        <v>9</v>
      </c>
    </row>
    <row r="476" spans="1:56" x14ac:dyDescent="0.25">
      <c r="A476">
        <v>24</v>
      </c>
      <c r="B476" t="str">
        <f>_xlfn.XLOOKUP(Table1[[#This Row],[Attrition]],Table2[Attrition],Table2[Id_Attrition])</f>
        <v>A002</v>
      </c>
      <c r="C476" t="s">
        <v>33</v>
      </c>
      <c r="D476" t="str">
        <f>_xlfn.XLOOKUP(Table1[[#This Row],[BusinessTravel]],Table5[BusinessTravel],Table5[Id_BusinessTravel])</f>
        <v>BS001</v>
      </c>
      <c r="E476" t="s">
        <v>34</v>
      </c>
      <c r="F476">
        <v>691</v>
      </c>
      <c r="G476" t="str">
        <f>_xlfn.XLOOKUP(Table1[[#This Row],[Department]],Table6[Department],Table6[Id_Departement])</f>
        <v>D002</v>
      </c>
      <c r="H476" t="s">
        <v>38</v>
      </c>
      <c r="I476">
        <v>23</v>
      </c>
      <c r="J476" t="str">
        <f>_xlfn.XLOOKUP(Table1[[#This Row],[Education]],Table8[Education],Table8[Id_Education])</f>
        <v>E003</v>
      </c>
      <c r="K476">
        <v>3</v>
      </c>
      <c r="L476" t="str">
        <f>_xlfn.XLOOKUP(Table1[[#This Row],[EducationField]],Table7[EducationField],Table7[Id_EducationField])</f>
        <v>EF003</v>
      </c>
      <c r="M476" t="s">
        <v>42</v>
      </c>
      <c r="N476" t="str">
        <f>_xlfn.XLOOKUP(Table1[[#This Row],[EmployeeNumber]],Table4[EmployeeNumber],Table4[Id_Employee])</f>
        <v>EMP00475</v>
      </c>
      <c r="O476">
        <v>639</v>
      </c>
      <c r="P476" t="str">
        <f>_xlfn.XLOOKUP(Table1[[#This Row],[EnvironmentSatisfaction]],Table9[EnvironmentSatisfaction],Table9[Id_EnviromentSatisfaction])</f>
        <v>ES002</v>
      </c>
      <c r="Q476">
        <v>2</v>
      </c>
      <c r="R476" t="str">
        <f>_xlfn.XLOOKUP(Table1[[#This Row],[EnvironmentSatisfaction]],Table9[EnvironmentSatisfaction],Table9[Deskripsi])</f>
        <v>Medium</v>
      </c>
      <c r="S476" t="str">
        <f>_xlfn.XLOOKUP(Table1[[#This Row],[Gender]],Table10[Gender],Table10[Id_Gender])</f>
        <v>G002</v>
      </c>
      <c r="T476" t="s">
        <v>46</v>
      </c>
      <c r="U476">
        <v>89</v>
      </c>
      <c r="V476" t="str">
        <f>_xlfn.XLOOKUP(Table1[[#This Row],[JobInvolvement]],Table11[JobInvolvement],Table11[Id_JobInvolvement])</f>
        <v>JI004</v>
      </c>
      <c r="W476">
        <v>4</v>
      </c>
      <c r="X476" t="str">
        <f>_xlfn.XLOOKUP(Table1[[#This Row],[JobLevel]],Table12[JobLevel],Table12[Id_JobLevel])</f>
        <v>JL001</v>
      </c>
      <c r="Y476">
        <v>1</v>
      </c>
      <c r="Z476" t="str">
        <f>_xlfn.XLOOKUP(Table1[[#This Row],[JobRole]],Table13[JobRole],Table13[Id_JobRole])</f>
        <v>JR002</v>
      </c>
      <c r="AA476" t="s">
        <v>48</v>
      </c>
      <c r="AB476" t="str">
        <f>_xlfn.XLOOKUP(Table1[[#This Row],[JobSatisfaction]],Table14[JobSatisfaction],Table14[Id_JobSatisfaction])</f>
        <v>JS004</v>
      </c>
      <c r="AC476">
        <v>4</v>
      </c>
      <c r="AD476" t="str">
        <f>_xlfn.XLOOKUP(Table1[[#This Row],[JobSatisfaction]],Table14[JobSatisfaction],Table14[Deskripsi])</f>
        <v>Very High</v>
      </c>
      <c r="AE476" t="str">
        <f>_xlfn.XLOOKUP(Table1[[#This Row],[MaritalStatus]],Table15[MaritalStatus],Table15[Id_MaritalStatus])</f>
        <v>MS002</v>
      </c>
      <c r="AF476" t="s">
        <v>56</v>
      </c>
      <c r="AG476">
        <v>2725</v>
      </c>
      <c r="AH476">
        <v>21630</v>
      </c>
      <c r="AI476">
        <v>1</v>
      </c>
      <c r="AJ476" t="str">
        <f>_xlfn.XLOOKUP(Table1[[#This Row],[OverTime]],Table16[OverTime],Table16[Id_OverTime])</f>
        <v>OT001</v>
      </c>
      <c r="AK476" t="s">
        <v>32</v>
      </c>
      <c r="AL476">
        <v>11</v>
      </c>
      <c r="AM476" t="str">
        <f>_xlfn.XLOOKUP(Table1[[#This Row],[PerformanceRating]],Table17[PerformanceRating],Table17[Id_PerformanceRating])</f>
        <v>PR003</v>
      </c>
      <c r="AN476">
        <v>3</v>
      </c>
      <c r="AO476" t="str">
        <f>_xlfn.XLOOKUP(Table1[[#This Row],[PerformanceRating]],Table17[PerformanceRating],Table17[Deskripsi])</f>
        <v>Excellent</v>
      </c>
      <c r="AP476" t="str">
        <f>_xlfn.XLOOKUP(Table1[[#This Row],[RelationshipSatisfaction]],Table18[RelationshipSatisfaction],Table18[Id_RelationshipSatisfaction])</f>
        <v>RS002</v>
      </c>
      <c r="AQ476">
        <v>2</v>
      </c>
      <c r="AR476" t="str">
        <f>_xlfn.XLOOKUP(Table1[[#This Row],[RelationshipSatisfaction]],Table18[RelationshipSatisfaction],Table18[Deskripsi])</f>
        <v>Medium</v>
      </c>
      <c r="AS476" t="str">
        <f>_xlfn.XLOOKUP(Table1[[#This Row],[StockOptionLevel]],Table19[StockOptionLevel],Table19[Id_StockOptionLevel])</f>
        <v>SOL003</v>
      </c>
      <c r="AT476">
        <v>2</v>
      </c>
      <c r="AU476" t="str">
        <f>_xlfn.XLOOKUP(Table1[[#This Row],[StockOptionLevel]],Table19[StockOptionLevel],Table19[Deskripsi])</f>
        <v>Intermediate</v>
      </c>
      <c r="AV476">
        <v>6</v>
      </c>
      <c r="AW476">
        <v>3</v>
      </c>
      <c r="AX476" t="str">
        <f>_xlfn.XLOOKUP(Table1[[#This Row],[WorkLifeBalance]],Table20[WorkLifeBalance],Table20[Id_WorkLifeBalance])</f>
        <v>WLB002</v>
      </c>
      <c r="AY476">
        <v>3</v>
      </c>
      <c r="AZ476" t="str">
        <f>_xlfn.XLOOKUP(Table1[[#This Row],[WorkLifeBalance]],Table20[WorkLifeBalance],Table20[Deskripsi])</f>
        <v>Good</v>
      </c>
      <c r="BA476">
        <v>6</v>
      </c>
      <c r="BB476">
        <v>5</v>
      </c>
      <c r="BC476">
        <v>1</v>
      </c>
      <c r="BD476">
        <v>4</v>
      </c>
    </row>
    <row r="477" spans="1:56" x14ac:dyDescent="0.25">
      <c r="A477">
        <v>26</v>
      </c>
      <c r="B477" t="str">
        <f>_xlfn.XLOOKUP(Table1[[#This Row],[Attrition]],Table2[Attrition],Table2[Id_Attrition])</f>
        <v>A002</v>
      </c>
      <c r="C477" t="s">
        <v>33</v>
      </c>
      <c r="D477" t="str">
        <f>_xlfn.XLOOKUP(Table1[[#This Row],[BusinessTravel]],Table5[BusinessTravel],Table5[Id_BusinessTravel])</f>
        <v>BS001</v>
      </c>
      <c r="E477" t="s">
        <v>34</v>
      </c>
      <c r="F477">
        <v>703</v>
      </c>
      <c r="G477" t="str">
        <f>_xlfn.XLOOKUP(Table1[[#This Row],[Department]],Table6[Department],Table6[Id_Departement])</f>
        <v>D001</v>
      </c>
      <c r="H477" t="s">
        <v>37</v>
      </c>
      <c r="I477">
        <v>28</v>
      </c>
      <c r="J477" t="str">
        <f>_xlfn.XLOOKUP(Table1[[#This Row],[Education]],Table8[Education],Table8[Id_Education])</f>
        <v>E002</v>
      </c>
      <c r="K477">
        <v>2</v>
      </c>
      <c r="L477" t="str">
        <f>_xlfn.XLOOKUP(Table1[[#This Row],[EducationField]],Table7[EducationField],Table7[Id_EducationField])</f>
        <v>EF004</v>
      </c>
      <c r="M477" t="s">
        <v>43</v>
      </c>
      <c r="N477" t="str">
        <f>_xlfn.XLOOKUP(Table1[[#This Row],[EmployeeNumber]],Table4[EmployeeNumber],Table4[Id_Employee])</f>
        <v>EMP00476</v>
      </c>
      <c r="O477">
        <v>641</v>
      </c>
      <c r="P477" t="str">
        <f>_xlfn.XLOOKUP(Table1[[#This Row],[EnvironmentSatisfaction]],Table9[EnvironmentSatisfaction],Table9[Id_EnviromentSatisfaction])</f>
        <v>ES001</v>
      </c>
      <c r="Q477">
        <v>1</v>
      </c>
      <c r="R477" t="str">
        <f>_xlfn.XLOOKUP(Table1[[#This Row],[EnvironmentSatisfaction]],Table9[EnvironmentSatisfaction],Table9[Deskripsi])</f>
        <v>Low</v>
      </c>
      <c r="S477" t="str">
        <f>_xlfn.XLOOKUP(Table1[[#This Row],[Gender]],Table10[Gender],Table10[Id_Gender])</f>
        <v>G002</v>
      </c>
      <c r="T477" t="s">
        <v>46</v>
      </c>
      <c r="U477">
        <v>66</v>
      </c>
      <c r="V477" t="str">
        <f>_xlfn.XLOOKUP(Table1[[#This Row],[JobInvolvement]],Table11[JobInvolvement],Table11[Id_JobInvolvement])</f>
        <v>JI003</v>
      </c>
      <c r="W477">
        <v>3</v>
      </c>
      <c r="X477" t="str">
        <f>_xlfn.XLOOKUP(Table1[[#This Row],[JobLevel]],Table12[JobLevel],Table12[Id_JobLevel])</f>
        <v>JL002</v>
      </c>
      <c r="Y477">
        <v>2</v>
      </c>
      <c r="Z477" t="str">
        <f>_xlfn.XLOOKUP(Table1[[#This Row],[JobRole]],Table13[JobRole],Table13[Id_JobRole])</f>
        <v>JR001</v>
      </c>
      <c r="AA477" t="s">
        <v>47</v>
      </c>
      <c r="AB477" t="str">
        <f>_xlfn.XLOOKUP(Table1[[#This Row],[JobSatisfaction]],Table14[JobSatisfaction],Table14[Id_JobSatisfaction])</f>
        <v>JS002</v>
      </c>
      <c r="AC477">
        <v>2</v>
      </c>
      <c r="AD477" t="str">
        <f>_xlfn.XLOOKUP(Table1[[#This Row],[JobSatisfaction]],Table14[JobSatisfaction],Table14[Deskripsi])</f>
        <v>Medium</v>
      </c>
      <c r="AE477" t="str">
        <f>_xlfn.XLOOKUP(Table1[[#This Row],[MaritalStatus]],Table15[MaritalStatus],Table15[Id_MaritalStatus])</f>
        <v>MS002</v>
      </c>
      <c r="AF477" t="s">
        <v>56</v>
      </c>
      <c r="AG477">
        <v>6272</v>
      </c>
      <c r="AH477">
        <v>7428</v>
      </c>
      <c r="AI477">
        <v>1</v>
      </c>
      <c r="AJ477" t="str">
        <f>_xlfn.XLOOKUP(Table1[[#This Row],[OverTime]],Table16[OverTime],Table16[Id_OverTime])</f>
        <v>OT002</v>
      </c>
      <c r="AK477" t="s">
        <v>33</v>
      </c>
      <c r="AL477">
        <v>20</v>
      </c>
      <c r="AM477" t="str">
        <f>_xlfn.XLOOKUP(Table1[[#This Row],[PerformanceRating]],Table17[PerformanceRating],Table17[Id_PerformanceRating])</f>
        <v>PR004</v>
      </c>
      <c r="AN477">
        <v>4</v>
      </c>
      <c r="AO477" t="str">
        <f>_xlfn.XLOOKUP(Table1[[#This Row],[PerformanceRating]],Table17[PerformanceRating],Table17[Deskripsi])</f>
        <v>Outstanding</v>
      </c>
      <c r="AP477" t="str">
        <f>_xlfn.XLOOKUP(Table1[[#This Row],[RelationshipSatisfaction]],Table18[RelationshipSatisfaction],Table18[Id_RelationshipSatisfaction])</f>
        <v>RS004</v>
      </c>
      <c r="AQ477">
        <v>4</v>
      </c>
      <c r="AR477" t="str">
        <f>_xlfn.XLOOKUP(Table1[[#This Row],[RelationshipSatisfaction]],Table18[RelationshipSatisfaction],Table18[Deskripsi])</f>
        <v>Very High</v>
      </c>
      <c r="AS477" t="str">
        <f>_xlfn.XLOOKUP(Table1[[#This Row],[StockOptionLevel]],Table19[StockOptionLevel],Table19[Id_StockOptionLevel])</f>
        <v>SOL003</v>
      </c>
      <c r="AT477">
        <v>2</v>
      </c>
      <c r="AU477" t="str">
        <f>_xlfn.XLOOKUP(Table1[[#This Row],[StockOptionLevel]],Table19[StockOptionLevel],Table19[Deskripsi])</f>
        <v>Intermediate</v>
      </c>
      <c r="AV477">
        <v>6</v>
      </c>
      <c r="AW477">
        <v>5</v>
      </c>
      <c r="AX477" t="str">
        <f>_xlfn.XLOOKUP(Table1[[#This Row],[WorkLifeBalance]],Table20[WorkLifeBalance],Table20[Id_WorkLifeBalance])</f>
        <v>WLB004</v>
      </c>
      <c r="AY477">
        <v>4</v>
      </c>
      <c r="AZ477" t="str">
        <f>_xlfn.XLOOKUP(Table1[[#This Row],[WorkLifeBalance]],Table20[WorkLifeBalance],Table20[Deskripsi])</f>
        <v>Best</v>
      </c>
      <c r="BA477">
        <v>5</v>
      </c>
      <c r="BB477">
        <v>3</v>
      </c>
      <c r="BC477">
        <v>1</v>
      </c>
      <c r="BD477">
        <v>4</v>
      </c>
    </row>
    <row r="478" spans="1:56" x14ac:dyDescent="0.25">
      <c r="A478">
        <v>24</v>
      </c>
      <c r="B478" t="str">
        <f>_xlfn.XLOOKUP(Table1[[#This Row],[Attrition]],Table2[Attrition],Table2[Id_Attrition])</f>
        <v>A002</v>
      </c>
      <c r="C478" t="s">
        <v>33</v>
      </c>
      <c r="D478" t="str">
        <f>_xlfn.XLOOKUP(Table1[[#This Row],[BusinessTravel]],Table5[BusinessTravel],Table5[Id_BusinessTravel])</f>
        <v>BS001</v>
      </c>
      <c r="E478" t="s">
        <v>34</v>
      </c>
      <c r="F478">
        <v>823</v>
      </c>
      <c r="G478" t="str">
        <f>_xlfn.XLOOKUP(Table1[[#This Row],[Department]],Table6[Department],Table6[Id_Departement])</f>
        <v>D002</v>
      </c>
      <c r="H478" t="s">
        <v>38</v>
      </c>
      <c r="I478">
        <v>17</v>
      </c>
      <c r="J478" t="str">
        <f>_xlfn.XLOOKUP(Table1[[#This Row],[Education]],Table8[Education],Table8[Id_Education])</f>
        <v>E002</v>
      </c>
      <c r="K478">
        <v>2</v>
      </c>
      <c r="L478" t="str">
        <f>_xlfn.XLOOKUP(Table1[[#This Row],[EducationField]],Table7[EducationField],Table7[Id_EducationField])</f>
        <v>EF002</v>
      </c>
      <c r="M478" t="s">
        <v>41</v>
      </c>
      <c r="N478" t="str">
        <f>_xlfn.XLOOKUP(Table1[[#This Row],[EmployeeNumber]],Table4[EmployeeNumber],Table4[Id_Employee])</f>
        <v>EMP00477</v>
      </c>
      <c r="O478">
        <v>643</v>
      </c>
      <c r="P478" t="str">
        <f>_xlfn.XLOOKUP(Table1[[#This Row],[EnvironmentSatisfaction]],Table9[EnvironmentSatisfaction],Table9[Id_EnviromentSatisfaction])</f>
        <v>ES004</v>
      </c>
      <c r="Q478">
        <v>4</v>
      </c>
      <c r="R478" t="str">
        <f>_xlfn.XLOOKUP(Table1[[#This Row],[EnvironmentSatisfaction]],Table9[EnvironmentSatisfaction],Table9[Deskripsi])</f>
        <v>Very High</v>
      </c>
      <c r="S478" t="str">
        <f>_xlfn.XLOOKUP(Table1[[#This Row],[Gender]],Table10[Gender],Table10[Id_Gender])</f>
        <v>G002</v>
      </c>
      <c r="T478" t="s">
        <v>46</v>
      </c>
      <c r="U478">
        <v>94</v>
      </c>
      <c r="V478" t="str">
        <f>_xlfn.XLOOKUP(Table1[[#This Row],[JobInvolvement]],Table11[JobInvolvement],Table11[Id_JobInvolvement])</f>
        <v>JI002</v>
      </c>
      <c r="W478">
        <v>2</v>
      </c>
      <c r="X478" t="str">
        <f>_xlfn.XLOOKUP(Table1[[#This Row],[JobLevel]],Table12[JobLevel],Table12[Id_JobLevel])</f>
        <v>JL001</v>
      </c>
      <c r="Y478">
        <v>1</v>
      </c>
      <c r="Z478" t="str">
        <f>_xlfn.XLOOKUP(Table1[[#This Row],[JobRole]],Table13[JobRole],Table13[Id_JobRole])</f>
        <v>JR003</v>
      </c>
      <c r="AA478" t="s">
        <v>49</v>
      </c>
      <c r="AB478" t="str">
        <f>_xlfn.XLOOKUP(Table1[[#This Row],[JobSatisfaction]],Table14[JobSatisfaction],Table14[Id_JobSatisfaction])</f>
        <v>JS002</v>
      </c>
      <c r="AC478">
        <v>2</v>
      </c>
      <c r="AD478" t="str">
        <f>_xlfn.XLOOKUP(Table1[[#This Row],[JobSatisfaction]],Table14[JobSatisfaction],Table14[Deskripsi])</f>
        <v>Medium</v>
      </c>
      <c r="AE478" t="str">
        <f>_xlfn.XLOOKUP(Table1[[#This Row],[MaritalStatus]],Table15[MaritalStatus],Table15[Id_MaritalStatus])</f>
        <v>MS002</v>
      </c>
      <c r="AF478" t="s">
        <v>56</v>
      </c>
      <c r="AG478">
        <v>2127</v>
      </c>
      <c r="AH478">
        <v>9100</v>
      </c>
      <c r="AI478">
        <v>1</v>
      </c>
      <c r="AJ478" t="str">
        <f>_xlfn.XLOOKUP(Table1[[#This Row],[OverTime]],Table16[OverTime],Table16[Id_OverTime])</f>
        <v>OT002</v>
      </c>
      <c r="AK478" t="s">
        <v>33</v>
      </c>
      <c r="AL478">
        <v>21</v>
      </c>
      <c r="AM478" t="str">
        <f>_xlfn.XLOOKUP(Table1[[#This Row],[PerformanceRating]],Table17[PerformanceRating],Table17[Id_PerformanceRating])</f>
        <v>PR004</v>
      </c>
      <c r="AN478">
        <v>4</v>
      </c>
      <c r="AO478" t="str">
        <f>_xlfn.XLOOKUP(Table1[[#This Row],[PerformanceRating]],Table17[PerformanceRating],Table17[Deskripsi])</f>
        <v>Outstanding</v>
      </c>
      <c r="AP478" t="str">
        <f>_xlfn.XLOOKUP(Table1[[#This Row],[RelationshipSatisfaction]],Table18[RelationshipSatisfaction],Table18[Id_RelationshipSatisfaction])</f>
        <v>RS004</v>
      </c>
      <c r="AQ478">
        <v>4</v>
      </c>
      <c r="AR478" t="str">
        <f>_xlfn.XLOOKUP(Table1[[#This Row],[RelationshipSatisfaction]],Table18[RelationshipSatisfaction],Table18[Deskripsi])</f>
        <v>Very High</v>
      </c>
      <c r="AS478" t="str">
        <f>_xlfn.XLOOKUP(Table1[[#This Row],[StockOptionLevel]],Table19[StockOptionLevel],Table19[Id_StockOptionLevel])</f>
        <v>SOL002</v>
      </c>
      <c r="AT478">
        <v>1</v>
      </c>
      <c r="AU478" t="str">
        <f>_xlfn.XLOOKUP(Table1[[#This Row],[StockOptionLevel]],Table19[StockOptionLevel],Table19[Deskripsi])</f>
        <v>Standard</v>
      </c>
      <c r="AV478">
        <v>1</v>
      </c>
      <c r="AW478">
        <v>2</v>
      </c>
      <c r="AX478" t="str">
        <f>_xlfn.XLOOKUP(Table1[[#This Row],[WorkLifeBalance]],Table20[WorkLifeBalance],Table20[Id_WorkLifeBalance])</f>
        <v>WLB002</v>
      </c>
      <c r="AY478">
        <v>3</v>
      </c>
      <c r="AZ478" t="str">
        <f>_xlfn.XLOOKUP(Table1[[#This Row],[WorkLifeBalance]],Table20[WorkLifeBalance],Table20[Deskripsi])</f>
        <v>Good</v>
      </c>
      <c r="BA478">
        <v>1</v>
      </c>
      <c r="BB478">
        <v>0</v>
      </c>
      <c r="BC478">
        <v>0</v>
      </c>
      <c r="BD478">
        <v>0</v>
      </c>
    </row>
    <row r="479" spans="1:56" x14ac:dyDescent="0.25">
      <c r="A479">
        <v>50</v>
      </c>
      <c r="B479" t="str">
        <f>_xlfn.XLOOKUP(Table1[[#This Row],[Attrition]],Table2[Attrition],Table2[Id_Attrition])</f>
        <v>A002</v>
      </c>
      <c r="C479" t="s">
        <v>33</v>
      </c>
      <c r="D479" t="str">
        <f>_xlfn.XLOOKUP(Table1[[#This Row],[BusinessTravel]],Table5[BusinessTravel],Table5[Id_BusinessTravel])</f>
        <v>BS002</v>
      </c>
      <c r="E479" t="s">
        <v>35</v>
      </c>
      <c r="F479">
        <v>1246</v>
      </c>
      <c r="G479" t="str">
        <f>_xlfn.XLOOKUP(Table1[[#This Row],[Department]],Table6[Department],Table6[Id_Departement])</f>
        <v>D003</v>
      </c>
      <c r="H479" t="s">
        <v>39</v>
      </c>
      <c r="I479">
        <v>3</v>
      </c>
      <c r="J479" t="str">
        <f>_xlfn.XLOOKUP(Table1[[#This Row],[Education]],Table8[Education],Table8[Id_Education])</f>
        <v>E003</v>
      </c>
      <c r="K479">
        <v>3</v>
      </c>
      <c r="L479" t="str">
        <f>_xlfn.XLOOKUP(Table1[[#This Row],[EducationField]],Table7[EducationField],Table7[Id_EducationField])</f>
        <v>EF003</v>
      </c>
      <c r="M479" t="s">
        <v>42</v>
      </c>
      <c r="N479" t="str">
        <f>_xlfn.XLOOKUP(Table1[[#This Row],[EmployeeNumber]],Table4[EmployeeNumber],Table4[Id_Employee])</f>
        <v>EMP00478</v>
      </c>
      <c r="O479">
        <v>644</v>
      </c>
      <c r="P479" t="str">
        <f>_xlfn.XLOOKUP(Table1[[#This Row],[EnvironmentSatisfaction]],Table9[EnvironmentSatisfaction],Table9[Id_EnviromentSatisfaction])</f>
        <v>ES001</v>
      </c>
      <c r="Q479">
        <v>1</v>
      </c>
      <c r="R479" t="str">
        <f>_xlfn.XLOOKUP(Table1[[#This Row],[EnvironmentSatisfaction]],Table9[EnvironmentSatisfaction],Table9[Deskripsi])</f>
        <v>Low</v>
      </c>
      <c r="S479" t="str">
        <f>_xlfn.XLOOKUP(Table1[[#This Row],[Gender]],Table10[Gender],Table10[Id_Gender])</f>
        <v>G002</v>
      </c>
      <c r="T479" t="s">
        <v>46</v>
      </c>
      <c r="U479">
        <v>99</v>
      </c>
      <c r="V479" t="str">
        <f>_xlfn.XLOOKUP(Table1[[#This Row],[JobInvolvement]],Table11[JobInvolvement],Table11[Id_JobInvolvement])</f>
        <v>JI003</v>
      </c>
      <c r="W479">
        <v>3</v>
      </c>
      <c r="X479" t="str">
        <f>_xlfn.XLOOKUP(Table1[[#This Row],[JobLevel]],Table12[JobLevel],Table12[Id_JobLevel])</f>
        <v>JL005</v>
      </c>
      <c r="Y479">
        <v>5</v>
      </c>
      <c r="Z479" t="str">
        <f>_xlfn.XLOOKUP(Table1[[#This Row],[JobRole]],Table13[JobRole],Table13[Id_JobRole])</f>
        <v>JR006</v>
      </c>
      <c r="AA479" t="s">
        <v>52</v>
      </c>
      <c r="AB479" t="str">
        <f>_xlfn.XLOOKUP(Table1[[#This Row],[JobSatisfaction]],Table14[JobSatisfaction],Table14[Id_JobSatisfaction])</f>
        <v>JS002</v>
      </c>
      <c r="AC479">
        <v>2</v>
      </c>
      <c r="AD479" t="str">
        <f>_xlfn.XLOOKUP(Table1[[#This Row],[JobSatisfaction]],Table14[JobSatisfaction],Table14[Deskripsi])</f>
        <v>Medium</v>
      </c>
      <c r="AE479" t="str">
        <f>_xlfn.XLOOKUP(Table1[[#This Row],[MaritalStatus]],Table15[MaritalStatus],Table15[Id_MaritalStatus])</f>
        <v>MS002</v>
      </c>
      <c r="AF479" t="s">
        <v>56</v>
      </c>
      <c r="AG479">
        <v>18200</v>
      </c>
      <c r="AH479">
        <v>7999</v>
      </c>
      <c r="AI479">
        <v>1</v>
      </c>
      <c r="AJ479" t="str">
        <f>_xlfn.XLOOKUP(Table1[[#This Row],[OverTime]],Table16[OverTime],Table16[Id_OverTime])</f>
        <v>OT002</v>
      </c>
      <c r="AK479" t="s">
        <v>33</v>
      </c>
      <c r="AL479">
        <v>11</v>
      </c>
      <c r="AM479" t="str">
        <f>_xlfn.XLOOKUP(Table1[[#This Row],[PerformanceRating]],Table17[PerformanceRating],Table17[Id_PerformanceRating])</f>
        <v>PR003</v>
      </c>
      <c r="AN479">
        <v>3</v>
      </c>
      <c r="AO479" t="str">
        <f>_xlfn.XLOOKUP(Table1[[#This Row],[PerformanceRating]],Table17[PerformanceRating],Table17[Deskripsi])</f>
        <v>Excellent</v>
      </c>
      <c r="AP479" t="str">
        <f>_xlfn.XLOOKUP(Table1[[#This Row],[RelationshipSatisfaction]],Table18[RelationshipSatisfaction],Table18[Id_RelationshipSatisfaction])</f>
        <v>RS003</v>
      </c>
      <c r="AQ479">
        <v>3</v>
      </c>
      <c r="AR479" t="str">
        <f>_xlfn.XLOOKUP(Table1[[#This Row],[RelationshipSatisfaction]],Table18[RelationshipSatisfaction],Table18[Deskripsi])</f>
        <v>High</v>
      </c>
      <c r="AS479" t="str">
        <f>_xlfn.XLOOKUP(Table1[[#This Row],[StockOptionLevel]],Table19[StockOptionLevel],Table19[Id_StockOptionLevel])</f>
        <v>SOL002</v>
      </c>
      <c r="AT479">
        <v>1</v>
      </c>
      <c r="AU479" t="str">
        <f>_xlfn.XLOOKUP(Table1[[#This Row],[StockOptionLevel]],Table19[StockOptionLevel],Table19[Deskripsi])</f>
        <v>Standard</v>
      </c>
      <c r="AV479">
        <v>32</v>
      </c>
      <c r="AW479">
        <v>2</v>
      </c>
      <c r="AX479" t="str">
        <f>_xlfn.XLOOKUP(Table1[[#This Row],[WorkLifeBalance]],Table20[WorkLifeBalance],Table20[Id_WorkLifeBalance])</f>
        <v>WLB002</v>
      </c>
      <c r="AY479">
        <v>3</v>
      </c>
      <c r="AZ479" t="str">
        <f>_xlfn.XLOOKUP(Table1[[#This Row],[WorkLifeBalance]],Table20[WorkLifeBalance],Table20[Deskripsi])</f>
        <v>Good</v>
      </c>
      <c r="BA479">
        <v>32</v>
      </c>
      <c r="BB479">
        <v>5</v>
      </c>
      <c r="BC479">
        <v>10</v>
      </c>
      <c r="BD479">
        <v>7</v>
      </c>
    </row>
    <row r="480" spans="1:56" x14ac:dyDescent="0.25">
      <c r="A480">
        <v>25</v>
      </c>
      <c r="B480" t="str">
        <f>_xlfn.XLOOKUP(Table1[[#This Row],[Attrition]],Table2[Attrition],Table2[Id_Attrition])</f>
        <v>A002</v>
      </c>
      <c r="C480" t="s">
        <v>33</v>
      </c>
      <c r="D480" t="str">
        <f>_xlfn.XLOOKUP(Table1[[#This Row],[BusinessTravel]],Table5[BusinessTravel],Table5[Id_BusinessTravel])</f>
        <v>BS001</v>
      </c>
      <c r="E480" t="s">
        <v>34</v>
      </c>
      <c r="F480">
        <v>622</v>
      </c>
      <c r="G480" t="str">
        <f>_xlfn.XLOOKUP(Table1[[#This Row],[Department]],Table6[Department],Table6[Id_Departement])</f>
        <v>D001</v>
      </c>
      <c r="H480" t="s">
        <v>37</v>
      </c>
      <c r="I480">
        <v>13</v>
      </c>
      <c r="J480" t="str">
        <f>_xlfn.XLOOKUP(Table1[[#This Row],[Education]],Table8[Education],Table8[Id_Education])</f>
        <v>E001</v>
      </c>
      <c r="K480">
        <v>1</v>
      </c>
      <c r="L480" t="str">
        <f>_xlfn.XLOOKUP(Table1[[#This Row],[EducationField]],Table7[EducationField],Table7[Id_EducationField])</f>
        <v>EF003</v>
      </c>
      <c r="M480" t="s">
        <v>42</v>
      </c>
      <c r="N480" t="str">
        <f>_xlfn.XLOOKUP(Table1[[#This Row],[EmployeeNumber]],Table4[EmployeeNumber],Table4[Id_Employee])</f>
        <v>EMP00479</v>
      </c>
      <c r="O480">
        <v>645</v>
      </c>
      <c r="P480" t="str">
        <f>_xlfn.XLOOKUP(Table1[[#This Row],[EnvironmentSatisfaction]],Table9[EnvironmentSatisfaction],Table9[Id_EnviromentSatisfaction])</f>
        <v>ES002</v>
      </c>
      <c r="Q480">
        <v>2</v>
      </c>
      <c r="R480" t="str">
        <f>_xlfn.XLOOKUP(Table1[[#This Row],[EnvironmentSatisfaction]],Table9[EnvironmentSatisfaction],Table9[Deskripsi])</f>
        <v>Medium</v>
      </c>
      <c r="S480" t="str">
        <f>_xlfn.XLOOKUP(Table1[[#This Row],[Gender]],Table10[Gender],Table10[Id_Gender])</f>
        <v>G002</v>
      </c>
      <c r="T480" t="s">
        <v>46</v>
      </c>
      <c r="U480">
        <v>40</v>
      </c>
      <c r="V480" t="str">
        <f>_xlfn.XLOOKUP(Table1[[#This Row],[JobInvolvement]],Table11[JobInvolvement],Table11[Id_JobInvolvement])</f>
        <v>JI003</v>
      </c>
      <c r="W480">
        <v>3</v>
      </c>
      <c r="X480" t="str">
        <f>_xlfn.XLOOKUP(Table1[[#This Row],[JobLevel]],Table12[JobLevel],Table12[Id_JobLevel])</f>
        <v>JL001</v>
      </c>
      <c r="Y480">
        <v>1</v>
      </c>
      <c r="Z480" t="str">
        <f>_xlfn.XLOOKUP(Table1[[#This Row],[JobRole]],Table13[JobRole],Table13[Id_JobRole])</f>
        <v>JR007</v>
      </c>
      <c r="AA480" t="s">
        <v>53</v>
      </c>
      <c r="AB480" t="str">
        <f>_xlfn.XLOOKUP(Table1[[#This Row],[JobSatisfaction]],Table14[JobSatisfaction],Table14[Id_JobSatisfaction])</f>
        <v>JS003</v>
      </c>
      <c r="AC480">
        <v>3</v>
      </c>
      <c r="AD480" t="str">
        <f>_xlfn.XLOOKUP(Table1[[#This Row],[JobSatisfaction]],Table14[JobSatisfaction],Table14[Deskripsi])</f>
        <v>High</v>
      </c>
      <c r="AE480" t="str">
        <f>_xlfn.XLOOKUP(Table1[[#This Row],[MaritalStatus]],Table15[MaritalStatus],Table15[Id_MaritalStatus])</f>
        <v>MS002</v>
      </c>
      <c r="AF480" t="s">
        <v>56</v>
      </c>
      <c r="AG480">
        <v>2096</v>
      </c>
      <c r="AH480">
        <v>26376</v>
      </c>
      <c r="AI480">
        <v>1</v>
      </c>
      <c r="AJ480" t="str">
        <f>_xlfn.XLOOKUP(Table1[[#This Row],[OverTime]],Table16[OverTime],Table16[Id_OverTime])</f>
        <v>OT002</v>
      </c>
      <c r="AK480" t="s">
        <v>33</v>
      </c>
      <c r="AL480">
        <v>11</v>
      </c>
      <c r="AM480" t="str">
        <f>_xlfn.XLOOKUP(Table1[[#This Row],[PerformanceRating]],Table17[PerformanceRating],Table17[Id_PerformanceRating])</f>
        <v>PR003</v>
      </c>
      <c r="AN480">
        <v>3</v>
      </c>
      <c r="AO480" t="str">
        <f>_xlfn.XLOOKUP(Table1[[#This Row],[PerformanceRating]],Table17[PerformanceRating],Table17[Deskripsi])</f>
        <v>Excellent</v>
      </c>
      <c r="AP480" t="str">
        <f>_xlfn.XLOOKUP(Table1[[#This Row],[RelationshipSatisfaction]],Table18[RelationshipSatisfaction],Table18[Id_RelationshipSatisfaction])</f>
        <v>RS003</v>
      </c>
      <c r="AQ480">
        <v>3</v>
      </c>
      <c r="AR480" t="str">
        <f>_xlfn.XLOOKUP(Table1[[#This Row],[RelationshipSatisfaction]],Table18[RelationshipSatisfaction],Table18[Deskripsi])</f>
        <v>High</v>
      </c>
      <c r="AS480" t="str">
        <f>_xlfn.XLOOKUP(Table1[[#This Row],[StockOptionLevel]],Table19[StockOptionLevel],Table19[Id_StockOptionLevel])</f>
        <v>SOL001</v>
      </c>
      <c r="AT480">
        <v>0</v>
      </c>
      <c r="AU480" t="str">
        <f>_xlfn.XLOOKUP(Table1[[#This Row],[StockOptionLevel]],Table19[StockOptionLevel],Table19[Deskripsi])</f>
        <v>Non-Eligible</v>
      </c>
      <c r="AV480">
        <v>7</v>
      </c>
      <c r="AW480">
        <v>1</v>
      </c>
      <c r="AX480" t="str">
        <f>_xlfn.XLOOKUP(Table1[[#This Row],[WorkLifeBalance]],Table20[WorkLifeBalance],Table20[Id_WorkLifeBalance])</f>
        <v>WLB002</v>
      </c>
      <c r="AY480">
        <v>3</v>
      </c>
      <c r="AZ480" t="str">
        <f>_xlfn.XLOOKUP(Table1[[#This Row],[WorkLifeBalance]],Table20[WorkLifeBalance],Table20[Deskripsi])</f>
        <v>Good</v>
      </c>
      <c r="BA480">
        <v>7</v>
      </c>
      <c r="BB480">
        <v>4</v>
      </c>
      <c r="BC480">
        <v>0</v>
      </c>
      <c r="BD480">
        <v>6</v>
      </c>
    </row>
    <row r="481" spans="1:56" x14ac:dyDescent="0.25">
      <c r="A481">
        <v>24</v>
      </c>
      <c r="B481" t="str">
        <f>_xlfn.XLOOKUP(Table1[[#This Row],[Attrition]],Table2[Attrition],Table2[Id_Attrition])</f>
        <v>A001</v>
      </c>
      <c r="C481" t="s">
        <v>32</v>
      </c>
      <c r="D481" t="str">
        <f>_xlfn.XLOOKUP(Table1[[#This Row],[BusinessTravel]],Table5[BusinessTravel],Table5[Id_BusinessTravel])</f>
        <v>BS002</v>
      </c>
      <c r="E481" t="s">
        <v>35</v>
      </c>
      <c r="F481">
        <v>1287</v>
      </c>
      <c r="G481" t="str">
        <f>_xlfn.XLOOKUP(Table1[[#This Row],[Department]],Table6[Department],Table6[Id_Departement])</f>
        <v>D002</v>
      </c>
      <c r="H481" t="s">
        <v>38</v>
      </c>
      <c r="I481">
        <v>7</v>
      </c>
      <c r="J481" t="str">
        <f>_xlfn.XLOOKUP(Table1[[#This Row],[Education]],Table8[Education],Table8[Id_Education])</f>
        <v>E003</v>
      </c>
      <c r="K481">
        <v>3</v>
      </c>
      <c r="L481" t="str">
        <f>_xlfn.XLOOKUP(Table1[[#This Row],[EducationField]],Table7[EducationField],Table7[Id_EducationField])</f>
        <v>EF001</v>
      </c>
      <c r="M481" t="s">
        <v>40</v>
      </c>
      <c r="N481" t="str">
        <f>_xlfn.XLOOKUP(Table1[[#This Row],[EmployeeNumber]],Table4[EmployeeNumber],Table4[Id_Employee])</f>
        <v>EMP00480</v>
      </c>
      <c r="O481">
        <v>647</v>
      </c>
      <c r="P481" t="str">
        <f>_xlfn.XLOOKUP(Table1[[#This Row],[EnvironmentSatisfaction]],Table9[EnvironmentSatisfaction],Table9[Id_EnviromentSatisfaction])</f>
        <v>ES001</v>
      </c>
      <c r="Q481">
        <v>1</v>
      </c>
      <c r="R481" t="str">
        <f>_xlfn.XLOOKUP(Table1[[#This Row],[EnvironmentSatisfaction]],Table9[EnvironmentSatisfaction],Table9[Deskripsi])</f>
        <v>Low</v>
      </c>
      <c r="S481" t="str">
        <f>_xlfn.XLOOKUP(Table1[[#This Row],[Gender]],Table10[Gender],Table10[Id_Gender])</f>
        <v>G001</v>
      </c>
      <c r="T481" t="s">
        <v>45</v>
      </c>
      <c r="U481">
        <v>55</v>
      </c>
      <c r="V481" t="str">
        <f>_xlfn.XLOOKUP(Table1[[#This Row],[JobInvolvement]],Table11[JobInvolvement],Table11[Id_JobInvolvement])</f>
        <v>JI003</v>
      </c>
      <c r="W481">
        <v>3</v>
      </c>
      <c r="X481" t="str">
        <f>_xlfn.XLOOKUP(Table1[[#This Row],[JobLevel]],Table12[JobLevel],Table12[Id_JobLevel])</f>
        <v>JL001</v>
      </c>
      <c r="Y481">
        <v>1</v>
      </c>
      <c r="Z481" t="str">
        <f>_xlfn.XLOOKUP(Table1[[#This Row],[JobRole]],Table13[JobRole],Table13[Id_JobRole])</f>
        <v>JR003</v>
      </c>
      <c r="AA481" t="s">
        <v>49</v>
      </c>
      <c r="AB481" t="str">
        <f>_xlfn.XLOOKUP(Table1[[#This Row],[JobSatisfaction]],Table14[JobSatisfaction],Table14[Id_JobSatisfaction])</f>
        <v>JS003</v>
      </c>
      <c r="AC481">
        <v>3</v>
      </c>
      <c r="AD481" t="str">
        <f>_xlfn.XLOOKUP(Table1[[#This Row],[JobSatisfaction]],Table14[JobSatisfaction],Table14[Deskripsi])</f>
        <v>High</v>
      </c>
      <c r="AE481" t="str">
        <f>_xlfn.XLOOKUP(Table1[[#This Row],[MaritalStatus]],Table15[MaritalStatus],Table15[Id_MaritalStatus])</f>
        <v>MS002</v>
      </c>
      <c r="AF481" t="s">
        <v>56</v>
      </c>
      <c r="AG481">
        <v>2886</v>
      </c>
      <c r="AH481">
        <v>14168</v>
      </c>
      <c r="AI481">
        <v>1</v>
      </c>
      <c r="AJ481" t="str">
        <f>_xlfn.XLOOKUP(Table1[[#This Row],[OverTime]],Table16[OverTime],Table16[Id_OverTime])</f>
        <v>OT001</v>
      </c>
      <c r="AK481" t="s">
        <v>32</v>
      </c>
      <c r="AL481">
        <v>16</v>
      </c>
      <c r="AM481" t="str">
        <f>_xlfn.XLOOKUP(Table1[[#This Row],[PerformanceRating]],Table17[PerformanceRating],Table17[Id_PerformanceRating])</f>
        <v>PR003</v>
      </c>
      <c r="AN481">
        <v>3</v>
      </c>
      <c r="AO481" t="str">
        <f>_xlfn.XLOOKUP(Table1[[#This Row],[PerformanceRating]],Table17[PerformanceRating],Table17[Deskripsi])</f>
        <v>Excellent</v>
      </c>
      <c r="AP481" t="str">
        <f>_xlfn.XLOOKUP(Table1[[#This Row],[RelationshipSatisfaction]],Table18[RelationshipSatisfaction],Table18[Id_RelationshipSatisfaction])</f>
        <v>RS004</v>
      </c>
      <c r="AQ481">
        <v>4</v>
      </c>
      <c r="AR481" t="str">
        <f>_xlfn.XLOOKUP(Table1[[#This Row],[RelationshipSatisfaction]],Table18[RelationshipSatisfaction],Table18[Deskripsi])</f>
        <v>Very High</v>
      </c>
      <c r="AS481" t="str">
        <f>_xlfn.XLOOKUP(Table1[[#This Row],[StockOptionLevel]],Table19[StockOptionLevel],Table19[Id_StockOptionLevel])</f>
        <v>SOL002</v>
      </c>
      <c r="AT481">
        <v>1</v>
      </c>
      <c r="AU481" t="str">
        <f>_xlfn.XLOOKUP(Table1[[#This Row],[StockOptionLevel]],Table19[StockOptionLevel],Table19[Deskripsi])</f>
        <v>Standard</v>
      </c>
      <c r="AV481">
        <v>6</v>
      </c>
      <c r="AW481">
        <v>4</v>
      </c>
      <c r="AX481" t="str">
        <f>_xlfn.XLOOKUP(Table1[[#This Row],[WorkLifeBalance]],Table20[WorkLifeBalance],Table20[Id_WorkLifeBalance])</f>
        <v>WLB002</v>
      </c>
      <c r="AY481">
        <v>3</v>
      </c>
      <c r="AZ481" t="str">
        <f>_xlfn.XLOOKUP(Table1[[#This Row],[WorkLifeBalance]],Table20[WorkLifeBalance],Table20[Deskripsi])</f>
        <v>Good</v>
      </c>
      <c r="BA481">
        <v>6</v>
      </c>
      <c r="BB481">
        <v>3</v>
      </c>
      <c r="BC481">
        <v>1</v>
      </c>
      <c r="BD481">
        <v>2</v>
      </c>
    </row>
    <row r="482" spans="1:56" x14ac:dyDescent="0.25">
      <c r="A482">
        <v>30</v>
      </c>
      <c r="B482" t="str">
        <f>_xlfn.XLOOKUP(Table1[[#This Row],[Attrition]],Table2[Attrition],Table2[Id_Attrition])</f>
        <v>A001</v>
      </c>
      <c r="C482" t="s">
        <v>32</v>
      </c>
      <c r="D482" t="str">
        <f>_xlfn.XLOOKUP(Table1[[#This Row],[BusinessTravel]],Table5[BusinessTravel],Table5[Id_BusinessTravel])</f>
        <v>BS002</v>
      </c>
      <c r="E482" t="s">
        <v>35</v>
      </c>
      <c r="F482">
        <v>448</v>
      </c>
      <c r="G482" t="str">
        <f>_xlfn.XLOOKUP(Table1[[#This Row],[Department]],Table6[Department],Table6[Id_Departement])</f>
        <v>D001</v>
      </c>
      <c r="H482" t="s">
        <v>37</v>
      </c>
      <c r="I482">
        <v>12</v>
      </c>
      <c r="J482" t="str">
        <f>_xlfn.XLOOKUP(Table1[[#This Row],[Education]],Table8[Education],Table8[Id_Education])</f>
        <v>E004</v>
      </c>
      <c r="K482">
        <v>4</v>
      </c>
      <c r="L482" t="str">
        <f>_xlfn.XLOOKUP(Table1[[#This Row],[EducationField]],Table7[EducationField],Table7[Id_EducationField])</f>
        <v>EF001</v>
      </c>
      <c r="M482" t="s">
        <v>40</v>
      </c>
      <c r="N482" t="str">
        <f>_xlfn.XLOOKUP(Table1[[#This Row],[EmployeeNumber]],Table4[EmployeeNumber],Table4[Id_Employee])</f>
        <v>EMP00481</v>
      </c>
      <c r="O482">
        <v>648</v>
      </c>
      <c r="P482" t="str">
        <f>_xlfn.XLOOKUP(Table1[[#This Row],[EnvironmentSatisfaction]],Table9[EnvironmentSatisfaction],Table9[Id_EnviromentSatisfaction])</f>
        <v>ES002</v>
      </c>
      <c r="Q482">
        <v>2</v>
      </c>
      <c r="R482" t="str">
        <f>_xlfn.XLOOKUP(Table1[[#This Row],[EnvironmentSatisfaction]],Table9[EnvironmentSatisfaction],Table9[Deskripsi])</f>
        <v>Medium</v>
      </c>
      <c r="S482" t="str">
        <f>_xlfn.XLOOKUP(Table1[[#This Row],[Gender]],Table10[Gender],Table10[Id_Gender])</f>
        <v>G002</v>
      </c>
      <c r="T482" t="s">
        <v>46</v>
      </c>
      <c r="U482">
        <v>74</v>
      </c>
      <c r="V482" t="str">
        <f>_xlfn.XLOOKUP(Table1[[#This Row],[JobInvolvement]],Table11[JobInvolvement],Table11[Id_JobInvolvement])</f>
        <v>JI002</v>
      </c>
      <c r="W482">
        <v>2</v>
      </c>
      <c r="X482" t="str">
        <f>_xlfn.XLOOKUP(Table1[[#This Row],[JobLevel]],Table12[JobLevel],Table12[Id_JobLevel])</f>
        <v>JL001</v>
      </c>
      <c r="Y482">
        <v>1</v>
      </c>
      <c r="Z482" t="str">
        <f>_xlfn.XLOOKUP(Table1[[#This Row],[JobRole]],Table13[JobRole],Table13[Id_JobRole])</f>
        <v>JR007</v>
      </c>
      <c r="AA482" t="s">
        <v>53</v>
      </c>
      <c r="AB482" t="str">
        <f>_xlfn.XLOOKUP(Table1[[#This Row],[JobSatisfaction]],Table14[JobSatisfaction],Table14[Id_JobSatisfaction])</f>
        <v>JS001</v>
      </c>
      <c r="AC482">
        <v>1</v>
      </c>
      <c r="AD482" t="str">
        <f>_xlfn.XLOOKUP(Table1[[#This Row],[JobSatisfaction]],Table14[JobSatisfaction],Table14[Deskripsi])</f>
        <v>Low</v>
      </c>
      <c r="AE482" t="str">
        <f>_xlfn.XLOOKUP(Table1[[#This Row],[MaritalStatus]],Table15[MaritalStatus],Table15[Id_MaritalStatus])</f>
        <v>MS002</v>
      </c>
      <c r="AF482" t="s">
        <v>56</v>
      </c>
      <c r="AG482">
        <v>2033</v>
      </c>
      <c r="AH482">
        <v>14470</v>
      </c>
      <c r="AI482">
        <v>1</v>
      </c>
      <c r="AJ482" t="str">
        <f>_xlfn.XLOOKUP(Table1[[#This Row],[OverTime]],Table16[OverTime],Table16[Id_OverTime])</f>
        <v>OT002</v>
      </c>
      <c r="AK482" t="s">
        <v>33</v>
      </c>
      <c r="AL482">
        <v>18</v>
      </c>
      <c r="AM482" t="str">
        <f>_xlfn.XLOOKUP(Table1[[#This Row],[PerformanceRating]],Table17[PerformanceRating],Table17[Id_PerformanceRating])</f>
        <v>PR003</v>
      </c>
      <c r="AN482">
        <v>3</v>
      </c>
      <c r="AO482" t="str">
        <f>_xlfn.XLOOKUP(Table1[[#This Row],[PerformanceRating]],Table17[PerformanceRating],Table17[Deskripsi])</f>
        <v>Excellent</v>
      </c>
      <c r="AP482" t="str">
        <f>_xlfn.XLOOKUP(Table1[[#This Row],[RelationshipSatisfaction]],Table18[RelationshipSatisfaction],Table18[Id_RelationshipSatisfaction])</f>
        <v>RS003</v>
      </c>
      <c r="AQ482">
        <v>3</v>
      </c>
      <c r="AR482" t="str">
        <f>_xlfn.XLOOKUP(Table1[[#This Row],[RelationshipSatisfaction]],Table18[RelationshipSatisfaction],Table18[Deskripsi])</f>
        <v>High</v>
      </c>
      <c r="AS482" t="str">
        <f>_xlfn.XLOOKUP(Table1[[#This Row],[StockOptionLevel]],Table19[StockOptionLevel],Table19[Id_StockOptionLevel])</f>
        <v>SOL002</v>
      </c>
      <c r="AT482">
        <v>1</v>
      </c>
      <c r="AU482" t="str">
        <f>_xlfn.XLOOKUP(Table1[[#This Row],[StockOptionLevel]],Table19[StockOptionLevel],Table19[Deskripsi])</f>
        <v>Standard</v>
      </c>
      <c r="AV482">
        <v>1</v>
      </c>
      <c r="AW482">
        <v>2</v>
      </c>
      <c r="AX482" t="str">
        <f>_xlfn.XLOOKUP(Table1[[#This Row],[WorkLifeBalance]],Table20[WorkLifeBalance],Table20[Id_WorkLifeBalance])</f>
        <v>WLB004</v>
      </c>
      <c r="AY482">
        <v>4</v>
      </c>
      <c r="AZ482" t="str">
        <f>_xlfn.XLOOKUP(Table1[[#This Row],[WorkLifeBalance]],Table20[WorkLifeBalance],Table20[Deskripsi])</f>
        <v>Best</v>
      </c>
      <c r="BA482">
        <v>1</v>
      </c>
      <c r="BB482">
        <v>0</v>
      </c>
      <c r="BC482">
        <v>0</v>
      </c>
      <c r="BD482">
        <v>0</v>
      </c>
    </row>
    <row r="483" spans="1:56" x14ac:dyDescent="0.25">
      <c r="A483">
        <v>34</v>
      </c>
      <c r="B483" t="str">
        <f>_xlfn.XLOOKUP(Table1[[#This Row],[Attrition]],Table2[Attrition],Table2[Id_Attrition])</f>
        <v>A002</v>
      </c>
      <c r="C483" t="s">
        <v>33</v>
      </c>
      <c r="D483" t="str">
        <f>_xlfn.XLOOKUP(Table1[[#This Row],[BusinessTravel]],Table5[BusinessTravel],Table5[Id_BusinessTravel])</f>
        <v>BS001</v>
      </c>
      <c r="E483" t="s">
        <v>34</v>
      </c>
      <c r="F483">
        <v>254</v>
      </c>
      <c r="G483" t="str">
        <f>_xlfn.XLOOKUP(Table1[[#This Row],[Department]],Table6[Department],Table6[Id_Departement])</f>
        <v>D002</v>
      </c>
      <c r="H483" t="s">
        <v>38</v>
      </c>
      <c r="I483">
        <v>1</v>
      </c>
      <c r="J483" t="str">
        <f>_xlfn.XLOOKUP(Table1[[#This Row],[Education]],Table8[Education],Table8[Id_Education])</f>
        <v>E002</v>
      </c>
      <c r="K483">
        <v>2</v>
      </c>
      <c r="L483" t="str">
        <f>_xlfn.XLOOKUP(Table1[[#This Row],[EducationField]],Table7[EducationField],Table7[Id_EducationField])</f>
        <v>EF001</v>
      </c>
      <c r="M483" t="s">
        <v>40</v>
      </c>
      <c r="N483" t="str">
        <f>_xlfn.XLOOKUP(Table1[[#This Row],[EmployeeNumber]],Table4[EmployeeNumber],Table4[Id_Employee])</f>
        <v>EMP00482</v>
      </c>
      <c r="O483">
        <v>649</v>
      </c>
      <c r="P483" t="str">
        <f>_xlfn.XLOOKUP(Table1[[#This Row],[EnvironmentSatisfaction]],Table9[EnvironmentSatisfaction],Table9[Id_EnviromentSatisfaction])</f>
        <v>ES002</v>
      </c>
      <c r="Q483">
        <v>2</v>
      </c>
      <c r="R483" t="str">
        <f>_xlfn.XLOOKUP(Table1[[#This Row],[EnvironmentSatisfaction]],Table9[EnvironmentSatisfaction],Table9[Deskripsi])</f>
        <v>Medium</v>
      </c>
      <c r="S483" t="str">
        <f>_xlfn.XLOOKUP(Table1[[#This Row],[Gender]],Table10[Gender],Table10[Id_Gender])</f>
        <v>G002</v>
      </c>
      <c r="T483" t="s">
        <v>46</v>
      </c>
      <c r="U483">
        <v>83</v>
      </c>
      <c r="V483" t="str">
        <f>_xlfn.XLOOKUP(Table1[[#This Row],[JobInvolvement]],Table11[JobInvolvement],Table11[Id_JobInvolvement])</f>
        <v>JI002</v>
      </c>
      <c r="W483">
        <v>2</v>
      </c>
      <c r="X483" t="str">
        <f>_xlfn.XLOOKUP(Table1[[#This Row],[JobLevel]],Table12[JobLevel],Table12[Id_JobLevel])</f>
        <v>JL001</v>
      </c>
      <c r="Y483">
        <v>1</v>
      </c>
      <c r="Z483" t="str">
        <f>_xlfn.XLOOKUP(Table1[[#This Row],[JobRole]],Table13[JobRole],Table13[Id_JobRole])</f>
        <v>JR002</v>
      </c>
      <c r="AA483" t="s">
        <v>48</v>
      </c>
      <c r="AB483" t="str">
        <f>_xlfn.XLOOKUP(Table1[[#This Row],[JobSatisfaction]],Table14[JobSatisfaction],Table14[Id_JobSatisfaction])</f>
        <v>JS004</v>
      </c>
      <c r="AC483">
        <v>4</v>
      </c>
      <c r="AD483" t="str">
        <f>_xlfn.XLOOKUP(Table1[[#This Row],[JobSatisfaction]],Table14[JobSatisfaction],Table14[Deskripsi])</f>
        <v>Very High</v>
      </c>
      <c r="AE483" t="str">
        <f>_xlfn.XLOOKUP(Table1[[#This Row],[MaritalStatus]],Table15[MaritalStatus],Table15[Id_MaritalStatus])</f>
        <v>MS002</v>
      </c>
      <c r="AF483" t="s">
        <v>56</v>
      </c>
      <c r="AG483">
        <v>3622</v>
      </c>
      <c r="AH483">
        <v>22794</v>
      </c>
      <c r="AI483">
        <v>1</v>
      </c>
      <c r="AJ483" t="str">
        <f>_xlfn.XLOOKUP(Table1[[#This Row],[OverTime]],Table16[OverTime],Table16[Id_OverTime])</f>
        <v>OT001</v>
      </c>
      <c r="AK483" t="s">
        <v>32</v>
      </c>
      <c r="AL483">
        <v>13</v>
      </c>
      <c r="AM483" t="str">
        <f>_xlfn.XLOOKUP(Table1[[#This Row],[PerformanceRating]],Table17[PerformanceRating],Table17[Id_PerformanceRating])</f>
        <v>PR003</v>
      </c>
      <c r="AN483">
        <v>3</v>
      </c>
      <c r="AO483" t="str">
        <f>_xlfn.XLOOKUP(Table1[[#This Row],[PerformanceRating]],Table17[PerformanceRating],Table17[Deskripsi])</f>
        <v>Excellent</v>
      </c>
      <c r="AP483" t="str">
        <f>_xlfn.XLOOKUP(Table1[[#This Row],[RelationshipSatisfaction]],Table18[RelationshipSatisfaction],Table18[Id_RelationshipSatisfaction])</f>
        <v>RS004</v>
      </c>
      <c r="AQ483">
        <v>4</v>
      </c>
      <c r="AR483" t="str">
        <f>_xlfn.XLOOKUP(Table1[[#This Row],[RelationshipSatisfaction]],Table18[RelationshipSatisfaction],Table18[Deskripsi])</f>
        <v>Very High</v>
      </c>
      <c r="AS483" t="str">
        <f>_xlfn.XLOOKUP(Table1[[#This Row],[StockOptionLevel]],Table19[StockOptionLevel],Table19[Id_StockOptionLevel])</f>
        <v>SOL002</v>
      </c>
      <c r="AT483">
        <v>1</v>
      </c>
      <c r="AU483" t="str">
        <f>_xlfn.XLOOKUP(Table1[[#This Row],[StockOptionLevel]],Table19[StockOptionLevel],Table19[Deskripsi])</f>
        <v>Standard</v>
      </c>
      <c r="AV483">
        <v>6</v>
      </c>
      <c r="AW483">
        <v>3</v>
      </c>
      <c r="AX483" t="str">
        <f>_xlfn.XLOOKUP(Table1[[#This Row],[WorkLifeBalance]],Table20[WorkLifeBalance],Table20[Id_WorkLifeBalance])</f>
        <v>WLB002</v>
      </c>
      <c r="AY483">
        <v>3</v>
      </c>
      <c r="AZ483" t="str">
        <f>_xlfn.XLOOKUP(Table1[[#This Row],[WorkLifeBalance]],Table20[WorkLifeBalance],Table20[Deskripsi])</f>
        <v>Good</v>
      </c>
      <c r="BA483">
        <v>6</v>
      </c>
      <c r="BB483">
        <v>5</v>
      </c>
      <c r="BC483">
        <v>1</v>
      </c>
      <c r="BD483">
        <v>3</v>
      </c>
    </row>
    <row r="484" spans="1:56" x14ac:dyDescent="0.25">
      <c r="A484">
        <v>31</v>
      </c>
      <c r="B484" t="str">
        <f>_xlfn.XLOOKUP(Table1[[#This Row],[Attrition]],Table2[Attrition],Table2[Id_Attrition])</f>
        <v>A001</v>
      </c>
      <c r="C484" t="s">
        <v>32</v>
      </c>
      <c r="D484" t="str">
        <f>_xlfn.XLOOKUP(Table1[[#This Row],[BusinessTravel]],Table5[BusinessTravel],Table5[Id_BusinessTravel])</f>
        <v>BS001</v>
      </c>
      <c r="E484" t="s">
        <v>34</v>
      </c>
      <c r="F484">
        <v>1365</v>
      </c>
      <c r="G484" t="str">
        <f>_xlfn.XLOOKUP(Table1[[#This Row],[Department]],Table6[Department],Table6[Id_Departement])</f>
        <v>D001</v>
      </c>
      <c r="H484" t="s">
        <v>37</v>
      </c>
      <c r="I484">
        <v>13</v>
      </c>
      <c r="J484" t="str">
        <f>_xlfn.XLOOKUP(Table1[[#This Row],[Education]],Table8[Education],Table8[Id_Education])</f>
        <v>E004</v>
      </c>
      <c r="K484">
        <v>4</v>
      </c>
      <c r="L484" t="str">
        <f>_xlfn.XLOOKUP(Table1[[#This Row],[EducationField]],Table7[EducationField],Table7[Id_EducationField])</f>
        <v>EF003</v>
      </c>
      <c r="M484" t="s">
        <v>42</v>
      </c>
      <c r="N484" t="str">
        <f>_xlfn.XLOOKUP(Table1[[#This Row],[EmployeeNumber]],Table4[EmployeeNumber],Table4[Id_Employee])</f>
        <v>EMP00483</v>
      </c>
      <c r="O484">
        <v>650</v>
      </c>
      <c r="P484" t="str">
        <f>_xlfn.XLOOKUP(Table1[[#This Row],[EnvironmentSatisfaction]],Table9[EnvironmentSatisfaction],Table9[Id_EnviromentSatisfaction])</f>
        <v>ES002</v>
      </c>
      <c r="Q484">
        <v>2</v>
      </c>
      <c r="R484" t="str">
        <f>_xlfn.XLOOKUP(Table1[[#This Row],[EnvironmentSatisfaction]],Table9[EnvironmentSatisfaction],Table9[Deskripsi])</f>
        <v>Medium</v>
      </c>
      <c r="S484" t="str">
        <f>_xlfn.XLOOKUP(Table1[[#This Row],[Gender]],Table10[Gender],Table10[Id_Gender])</f>
        <v>G002</v>
      </c>
      <c r="T484" t="s">
        <v>46</v>
      </c>
      <c r="U484">
        <v>46</v>
      </c>
      <c r="V484" t="str">
        <f>_xlfn.XLOOKUP(Table1[[#This Row],[JobInvolvement]],Table11[JobInvolvement],Table11[Id_JobInvolvement])</f>
        <v>JI003</v>
      </c>
      <c r="W484">
        <v>3</v>
      </c>
      <c r="X484" t="str">
        <f>_xlfn.XLOOKUP(Table1[[#This Row],[JobLevel]],Table12[JobLevel],Table12[Id_JobLevel])</f>
        <v>JL002</v>
      </c>
      <c r="Y484">
        <v>2</v>
      </c>
      <c r="Z484" t="str">
        <f>_xlfn.XLOOKUP(Table1[[#This Row],[JobRole]],Table13[JobRole],Table13[Id_JobRole])</f>
        <v>JR001</v>
      </c>
      <c r="AA484" t="s">
        <v>47</v>
      </c>
      <c r="AB484" t="str">
        <f>_xlfn.XLOOKUP(Table1[[#This Row],[JobSatisfaction]],Table14[JobSatisfaction],Table14[Id_JobSatisfaction])</f>
        <v>JS001</v>
      </c>
      <c r="AC484">
        <v>1</v>
      </c>
      <c r="AD484" t="str">
        <f>_xlfn.XLOOKUP(Table1[[#This Row],[JobSatisfaction]],Table14[JobSatisfaction],Table14[Deskripsi])</f>
        <v>Low</v>
      </c>
      <c r="AE484" t="str">
        <f>_xlfn.XLOOKUP(Table1[[#This Row],[MaritalStatus]],Table15[MaritalStatus],Table15[Id_MaritalStatus])</f>
        <v>MS003</v>
      </c>
      <c r="AF484" t="s">
        <v>57</v>
      </c>
      <c r="AG484">
        <v>4233</v>
      </c>
      <c r="AH484">
        <v>11512</v>
      </c>
      <c r="AI484">
        <v>2</v>
      </c>
      <c r="AJ484" t="str">
        <f>_xlfn.XLOOKUP(Table1[[#This Row],[OverTime]],Table16[OverTime],Table16[Id_OverTime])</f>
        <v>OT002</v>
      </c>
      <c r="AK484" t="s">
        <v>33</v>
      </c>
      <c r="AL484">
        <v>17</v>
      </c>
      <c r="AM484" t="str">
        <f>_xlfn.XLOOKUP(Table1[[#This Row],[PerformanceRating]],Table17[PerformanceRating],Table17[Id_PerformanceRating])</f>
        <v>PR003</v>
      </c>
      <c r="AN484">
        <v>3</v>
      </c>
      <c r="AO484" t="str">
        <f>_xlfn.XLOOKUP(Table1[[#This Row],[PerformanceRating]],Table17[PerformanceRating],Table17[Deskripsi])</f>
        <v>Excellent</v>
      </c>
      <c r="AP484" t="str">
        <f>_xlfn.XLOOKUP(Table1[[#This Row],[RelationshipSatisfaction]],Table18[RelationshipSatisfaction],Table18[Id_RelationshipSatisfaction])</f>
        <v>RS003</v>
      </c>
      <c r="AQ484">
        <v>3</v>
      </c>
      <c r="AR484" t="str">
        <f>_xlfn.XLOOKUP(Table1[[#This Row],[RelationshipSatisfaction]],Table18[RelationshipSatisfaction],Table18[Deskripsi])</f>
        <v>High</v>
      </c>
      <c r="AS484" t="str">
        <f>_xlfn.XLOOKUP(Table1[[#This Row],[StockOptionLevel]],Table19[StockOptionLevel],Table19[Id_StockOptionLevel])</f>
        <v>SOL001</v>
      </c>
      <c r="AT484">
        <v>0</v>
      </c>
      <c r="AU484" t="str">
        <f>_xlfn.XLOOKUP(Table1[[#This Row],[StockOptionLevel]],Table19[StockOptionLevel],Table19[Deskripsi])</f>
        <v>Non-Eligible</v>
      </c>
      <c r="AV484">
        <v>9</v>
      </c>
      <c r="AW484">
        <v>2</v>
      </c>
      <c r="AX484" t="str">
        <f>_xlfn.XLOOKUP(Table1[[#This Row],[WorkLifeBalance]],Table20[WorkLifeBalance],Table20[Id_WorkLifeBalance])</f>
        <v>WLB001</v>
      </c>
      <c r="AY484">
        <v>1</v>
      </c>
      <c r="AZ484" t="str">
        <f>_xlfn.XLOOKUP(Table1[[#This Row],[WorkLifeBalance]],Table20[WorkLifeBalance],Table20[Deskripsi])</f>
        <v>Bad</v>
      </c>
      <c r="BA484">
        <v>3</v>
      </c>
      <c r="BB484">
        <v>1</v>
      </c>
      <c r="BC484">
        <v>1</v>
      </c>
      <c r="BD484">
        <v>2</v>
      </c>
    </row>
    <row r="485" spans="1:56" x14ac:dyDescent="0.25">
      <c r="A485">
        <v>35</v>
      </c>
      <c r="B485" t="str">
        <f>_xlfn.XLOOKUP(Table1[[#This Row],[Attrition]],Table2[Attrition],Table2[Id_Attrition])</f>
        <v>A002</v>
      </c>
      <c r="C485" t="s">
        <v>33</v>
      </c>
      <c r="D485" t="str">
        <f>_xlfn.XLOOKUP(Table1[[#This Row],[BusinessTravel]],Table5[BusinessTravel],Table5[Id_BusinessTravel])</f>
        <v>BS001</v>
      </c>
      <c r="E485" t="s">
        <v>34</v>
      </c>
      <c r="F485">
        <v>538</v>
      </c>
      <c r="G485" t="str">
        <f>_xlfn.XLOOKUP(Table1[[#This Row],[Department]],Table6[Department],Table6[Id_Departement])</f>
        <v>D002</v>
      </c>
      <c r="H485" t="s">
        <v>38</v>
      </c>
      <c r="I485">
        <v>25</v>
      </c>
      <c r="J485" t="str">
        <f>_xlfn.XLOOKUP(Table1[[#This Row],[Education]],Table8[Education],Table8[Id_Education])</f>
        <v>E002</v>
      </c>
      <c r="K485">
        <v>2</v>
      </c>
      <c r="L485" t="str">
        <f>_xlfn.XLOOKUP(Table1[[#This Row],[EducationField]],Table7[EducationField],Table7[Id_EducationField])</f>
        <v>EF002</v>
      </c>
      <c r="M485" t="s">
        <v>41</v>
      </c>
      <c r="N485" t="str">
        <f>_xlfn.XLOOKUP(Table1[[#This Row],[EmployeeNumber]],Table4[EmployeeNumber],Table4[Id_Employee])</f>
        <v>EMP00484</v>
      </c>
      <c r="O485">
        <v>652</v>
      </c>
      <c r="P485" t="str">
        <f>_xlfn.XLOOKUP(Table1[[#This Row],[EnvironmentSatisfaction]],Table9[EnvironmentSatisfaction],Table9[Id_EnviromentSatisfaction])</f>
        <v>ES001</v>
      </c>
      <c r="Q485">
        <v>1</v>
      </c>
      <c r="R485" t="str">
        <f>_xlfn.XLOOKUP(Table1[[#This Row],[EnvironmentSatisfaction]],Table9[EnvironmentSatisfaction],Table9[Deskripsi])</f>
        <v>Low</v>
      </c>
      <c r="S485" t="str">
        <f>_xlfn.XLOOKUP(Table1[[#This Row],[Gender]],Table10[Gender],Table10[Id_Gender])</f>
        <v>G002</v>
      </c>
      <c r="T485" t="s">
        <v>46</v>
      </c>
      <c r="U485">
        <v>54</v>
      </c>
      <c r="V485" t="str">
        <f>_xlfn.XLOOKUP(Table1[[#This Row],[JobInvolvement]],Table11[JobInvolvement],Table11[Id_JobInvolvement])</f>
        <v>JI002</v>
      </c>
      <c r="W485">
        <v>2</v>
      </c>
      <c r="X485" t="str">
        <f>_xlfn.XLOOKUP(Table1[[#This Row],[JobLevel]],Table12[JobLevel],Table12[Id_JobLevel])</f>
        <v>JL002</v>
      </c>
      <c r="Y485">
        <v>2</v>
      </c>
      <c r="Z485" t="str">
        <f>_xlfn.XLOOKUP(Table1[[#This Row],[JobRole]],Table13[JobRole],Table13[Id_JobRole])</f>
        <v>JR003</v>
      </c>
      <c r="AA485" t="s">
        <v>49</v>
      </c>
      <c r="AB485" t="str">
        <f>_xlfn.XLOOKUP(Table1[[#This Row],[JobSatisfaction]],Table14[JobSatisfaction],Table14[Id_JobSatisfaction])</f>
        <v>JS004</v>
      </c>
      <c r="AC485">
        <v>4</v>
      </c>
      <c r="AD485" t="str">
        <f>_xlfn.XLOOKUP(Table1[[#This Row],[JobSatisfaction]],Table14[JobSatisfaction],Table14[Deskripsi])</f>
        <v>Very High</v>
      </c>
      <c r="AE485" t="str">
        <f>_xlfn.XLOOKUP(Table1[[#This Row],[MaritalStatus]],Table15[MaritalStatus],Table15[Id_MaritalStatus])</f>
        <v>MS001</v>
      </c>
      <c r="AF485" t="s">
        <v>55</v>
      </c>
      <c r="AG485">
        <v>3681</v>
      </c>
      <c r="AH485">
        <v>14004</v>
      </c>
      <c r="AI485">
        <v>4</v>
      </c>
      <c r="AJ485" t="str">
        <f>_xlfn.XLOOKUP(Table1[[#This Row],[OverTime]],Table16[OverTime],Table16[Id_OverTime])</f>
        <v>OT002</v>
      </c>
      <c r="AK485" t="s">
        <v>33</v>
      </c>
      <c r="AL485">
        <v>14</v>
      </c>
      <c r="AM485" t="str">
        <f>_xlfn.XLOOKUP(Table1[[#This Row],[PerformanceRating]],Table17[PerformanceRating],Table17[Id_PerformanceRating])</f>
        <v>PR003</v>
      </c>
      <c r="AN485">
        <v>3</v>
      </c>
      <c r="AO485" t="str">
        <f>_xlfn.XLOOKUP(Table1[[#This Row],[PerformanceRating]],Table17[PerformanceRating],Table17[Deskripsi])</f>
        <v>Excellent</v>
      </c>
      <c r="AP485" t="str">
        <f>_xlfn.XLOOKUP(Table1[[#This Row],[RelationshipSatisfaction]],Table18[RelationshipSatisfaction],Table18[Id_RelationshipSatisfaction])</f>
        <v>RS004</v>
      </c>
      <c r="AQ485">
        <v>4</v>
      </c>
      <c r="AR485" t="str">
        <f>_xlfn.XLOOKUP(Table1[[#This Row],[RelationshipSatisfaction]],Table18[RelationshipSatisfaction],Table18[Deskripsi])</f>
        <v>Very High</v>
      </c>
      <c r="AS485" t="str">
        <f>_xlfn.XLOOKUP(Table1[[#This Row],[StockOptionLevel]],Table19[StockOptionLevel],Table19[Id_StockOptionLevel])</f>
        <v>SOL001</v>
      </c>
      <c r="AT485">
        <v>0</v>
      </c>
      <c r="AU485" t="str">
        <f>_xlfn.XLOOKUP(Table1[[#This Row],[StockOptionLevel]],Table19[StockOptionLevel],Table19[Deskripsi])</f>
        <v>Non-Eligible</v>
      </c>
      <c r="AV485">
        <v>9</v>
      </c>
      <c r="AW485">
        <v>3</v>
      </c>
      <c r="AX485" t="str">
        <f>_xlfn.XLOOKUP(Table1[[#This Row],[WorkLifeBalance]],Table20[WorkLifeBalance],Table20[Id_WorkLifeBalance])</f>
        <v>WLB002</v>
      </c>
      <c r="AY485">
        <v>3</v>
      </c>
      <c r="AZ485" t="str">
        <f>_xlfn.XLOOKUP(Table1[[#This Row],[WorkLifeBalance]],Table20[WorkLifeBalance],Table20[Deskripsi])</f>
        <v>Good</v>
      </c>
      <c r="BA485">
        <v>3</v>
      </c>
      <c r="BB485">
        <v>2</v>
      </c>
      <c r="BC485">
        <v>0</v>
      </c>
      <c r="BD485">
        <v>2</v>
      </c>
    </row>
    <row r="486" spans="1:56" x14ac:dyDescent="0.25">
      <c r="A486">
        <v>31</v>
      </c>
      <c r="B486" t="str">
        <f>_xlfn.XLOOKUP(Table1[[#This Row],[Attrition]],Table2[Attrition],Table2[Id_Attrition])</f>
        <v>A002</v>
      </c>
      <c r="C486" t="s">
        <v>33</v>
      </c>
      <c r="D486" t="str">
        <f>_xlfn.XLOOKUP(Table1[[#This Row],[BusinessTravel]],Table5[BusinessTravel],Table5[Id_BusinessTravel])</f>
        <v>BS001</v>
      </c>
      <c r="E486" t="s">
        <v>34</v>
      </c>
      <c r="F486">
        <v>525</v>
      </c>
      <c r="G486" t="str">
        <f>_xlfn.XLOOKUP(Table1[[#This Row],[Department]],Table6[Department],Table6[Id_Departement])</f>
        <v>D001</v>
      </c>
      <c r="H486" t="s">
        <v>37</v>
      </c>
      <c r="I486">
        <v>6</v>
      </c>
      <c r="J486" t="str">
        <f>_xlfn.XLOOKUP(Table1[[#This Row],[Education]],Table8[Education],Table8[Id_Education])</f>
        <v>E004</v>
      </c>
      <c r="K486">
        <v>4</v>
      </c>
      <c r="L486" t="str">
        <f>_xlfn.XLOOKUP(Table1[[#This Row],[EducationField]],Table7[EducationField],Table7[Id_EducationField])</f>
        <v>EF003</v>
      </c>
      <c r="M486" t="s">
        <v>42</v>
      </c>
      <c r="N486" t="str">
        <f>_xlfn.XLOOKUP(Table1[[#This Row],[EmployeeNumber]],Table4[EmployeeNumber],Table4[Id_Employee])</f>
        <v>EMP00485</v>
      </c>
      <c r="O486">
        <v>653</v>
      </c>
      <c r="P486" t="str">
        <f>_xlfn.XLOOKUP(Table1[[#This Row],[EnvironmentSatisfaction]],Table9[EnvironmentSatisfaction],Table9[Id_EnviromentSatisfaction])</f>
        <v>ES001</v>
      </c>
      <c r="Q486">
        <v>1</v>
      </c>
      <c r="R486" t="str">
        <f>_xlfn.XLOOKUP(Table1[[#This Row],[EnvironmentSatisfaction]],Table9[EnvironmentSatisfaction],Table9[Deskripsi])</f>
        <v>Low</v>
      </c>
      <c r="S486" t="str">
        <f>_xlfn.XLOOKUP(Table1[[#This Row],[Gender]],Table10[Gender],Table10[Id_Gender])</f>
        <v>G002</v>
      </c>
      <c r="T486" t="s">
        <v>46</v>
      </c>
      <c r="U486">
        <v>66</v>
      </c>
      <c r="V486" t="str">
        <f>_xlfn.XLOOKUP(Table1[[#This Row],[JobInvolvement]],Table11[JobInvolvement],Table11[Id_JobInvolvement])</f>
        <v>JI004</v>
      </c>
      <c r="W486">
        <v>4</v>
      </c>
      <c r="X486" t="str">
        <f>_xlfn.XLOOKUP(Table1[[#This Row],[JobLevel]],Table12[JobLevel],Table12[Id_JobLevel])</f>
        <v>JL002</v>
      </c>
      <c r="Y486">
        <v>2</v>
      </c>
      <c r="Z486" t="str">
        <f>_xlfn.XLOOKUP(Table1[[#This Row],[JobRole]],Table13[JobRole],Table13[Id_JobRole])</f>
        <v>JR001</v>
      </c>
      <c r="AA486" t="s">
        <v>47</v>
      </c>
      <c r="AB486" t="str">
        <f>_xlfn.XLOOKUP(Table1[[#This Row],[JobSatisfaction]],Table14[JobSatisfaction],Table14[Id_JobSatisfaction])</f>
        <v>JS004</v>
      </c>
      <c r="AC486">
        <v>4</v>
      </c>
      <c r="AD486" t="str">
        <f>_xlfn.XLOOKUP(Table1[[#This Row],[JobSatisfaction]],Table14[JobSatisfaction],Table14[Deskripsi])</f>
        <v>Very High</v>
      </c>
      <c r="AE486" t="str">
        <f>_xlfn.XLOOKUP(Table1[[#This Row],[MaritalStatus]],Table15[MaritalStatus],Table15[Id_MaritalStatus])</f>
        <v>MS003</v>
      </c>
      <c r="AF486" t="s">
        <v>57</v>
      </c>
      <c r="AG486">
        <v>5460</v>
      </c>
      <c r="AH486">
        <v>6219</v>
      </c>
      <c r="AI486">
        <v>4</v>
      </c>
      <c r="AJ486" t="str">
        <f>_xlfn.XLOOKUP(Table1[[#This Row],[OverTime]],Table16[OverTime],Table16[Id_OverTime])</f>
        <v>OT002</v>
      </c>
      <c r="AK486" t="s">
        <v>33</v>
      </c>
      <c r="AL486">
        <v>22</v>
      </c>
      <c r="AM486" t="str">
        <f>_xlfn.XLOOKUP(Table1[[#This Row],[PerformanceRating]],Table17[PerformanceRating],Table17[Id_PerformanceRating])</f>
        <v>PR004</v>
      </c>
      <c r="AN486">
        <v>4</v>
      </c>
      <c r="AO486" t="str">
        <f>_xlfn.XLOOKUP(Table1[[#This Row],[PerformanceRating]],Table17[PerformanceRating],Table17[Deskripsi])</f>
        <v>Outstanding</v>
      </c>
      <c r="AP486" t="str">
        <f>_xlfn.XLOOKUP(Table1[[#This Row],[RelationshipSatisfaction]],Table18[RelationshipSatisfaction],Table18[Id_RelationshipSatisfaction])</f>
        <v>RS004</v>
      </c>
      <c r="AQ486">
        <v>4</v>
      </c>
      <c r="AR486" t="str">
        <f>_xlfn.XLOOKUP(Table1[[#This Row],[RelationshipSatisfaction]],Table18[RelationshipSatisfaction],Table18[Deskripsi])</f>
        <v>Very High</v>
      </c>
      <c r="AS486" t="str">
        <f>_xlfn.XLOOKUP(Table1[[#This Row],[StockOptionLevel]],Table19[StockOptionLevel],Table19[Id_StockOptionLevel])</f>
        <v>SOL003</v>
      </c>
      <c r="AT486">
        <v>2</v>
      </c>
      <c r="AU486" t="str">
        <f>_xlfn.XLOOKUP(Table1[[#This Row],[StockOptionLevel]],Table19[StockOptionLevel],Table19[Deskripsi])</f>
        <v>Intermediate</v>
      </c>
      <c r="AV486">
        <v>13</v>
      </c>
      <c r="AW486">
        <v>4</v>
      </c>
      <c r="AX486" t="str">
        <f>_xlfn.XLOOKUP(Table1[[#This Row],[WorkLifeBalance]],Table20[WorkLifeBalance],Table20[Id_WorkLifeBalance])</f>
        <v>WLB004</v>
      </c>
      <c r="AY486">
        <v>4</v>
      </c>
      <c r="AZ486" t="str">
        <f>_xlfn.XLOOKUP(Table1[[#This Row],[WorkLifeBalance]],Table20[WorkLifeBalance],Table20[Deskripsi])</f>
        <v>Best</v>
      </c>
      <c r="BA486">
        <v>7</v>
      </c>
      <c r="BB486">
        <v>7</v>
      </c>
      <c r="BC486">
        <v>5</v>
      </c>
      <c r="BD486">
        <v>7</v>
      </c>
    </row>
    <row r="487" spans="1:56" x14ac:dyDescent="0.25">
      <c r="A487">
        <v>27</v>
      </c>
      <c r="B487" t="str">
        <f>_xlfn.XLOOKUP(Table1[[#This Row],[Attrition]],Table2[Attrition],Table2[Id_Attrition])</f>
        <v>A002</v>
      </c>
      <c r="C487" t="s">
        <v>33</v>
      </c>
      <c r="D487" t="str">
        <f>_xlfn.XLOOKUP(Table1[[#This Row],[BusinessTravel]],Table5[BusinessTravel],Table5[Id_BusinessTravel])</f>
        <v>BS001</v>
      </c>
      <c r="E487" t="s">
        <v>34</v>
      </c>
      <c r="F487">
        <v>798</v>
      </c>
      <c r="G487" t="str">
        <f>_xlfn.XLOOKUP(Table1[[#This Row],[Department]],Table6[Department],Table6[Id_Departement])</f>
        <v>D002</v>
      </c>
      <c r="H487" t="s">
        <v>38</v>
      </c>
      <c r="I487">
        <v>6</v>
      </c>
      <c r="J487" t="str">
        <f>_xlfn.XLOOKUP(Table1[[#This Row],[Education]],Table8[Education],Table8[Id_Education])</f>
        <v>E004</v>
      </c>
      <c r="K487">
        <v>4</v>
      </c>
      <c r="L487" t="str">
        <f>_xlfn.XLOOKUP(Table1[[#This Row],[EducationField]],Table7[EducationField],Table7[Id_EducationField])</f>
        <v>EF003</v>
      </c>
      <c r="M487" t="s">
        <v>42</v>
      </c>
      <c r="N487" t="str">
        <f>_xlfn.XLOOKUP(Table1[[#This Row],[EmployeeNumber]],Table4[EmployeeNumber],Table4[Id_Employee])</f>
        <v>EMP00486</v>
      </c>
      <c r="O487">
        <v>655</v>
      </c>
      <c r="P487" t="str">
        <f>_xlfn.XLOOKUP(Table1[[#This Row],[EnvironmentSatisfaction]],Table9[EnvironmentSatisfaction],Table9[Id_EnviromentSatisfaction])</f>
        <v>ES001</v>
      </c>
      <c r="Q487">
        <v>1</v>
      </c>
      <c r="R487" t="str">
        <f>_xlfn.XLOOKUP(Table1[[#This Row],[EnvironmentSatisfaction]],Table9[EnvironmentSatisfaction],Table9[Deskripsi])</f>
        <v>Low</v>
      </c>
      <c r="S487" t="str">
        <f>_xlfn.XLOOKUP(Table1[[#This Row],[Gender]],Table10[Gender],Table10[Id_Gender])</f>
        <v>G001</v>
      </c>
      <c r="T487" t="s">
        <v>45</v>
      </c>
      <c r="U487">
        <v>66</v>
      </c>
      <c r="V487" t="str">
        <f>_xlfn.XLOOKUP(Table1[[#This Row],[JobInvolvement]],Table11[JobInvolvement],Table11[Id_JobInvolvement])</f>
        <v>JI002</v>
      </c>
      <c r="W487">
        <v>2</v>
      </c>
      <c r="X487" t="str">
        <f>_xlfn.XLOOKUP(Table1[[#This Row],[JobLevel]],Table12[JobLevel],Table12[Id_JobLevel])</f>
        <v>JL001</v>
      </c>
      <c r="Y487">
        <v>1</v>
      </c>
      <c r="Z487" t="str">
        <f>_xlfn.XLOOKUP(Table1[[#This Row],[JobRole]],Table13[JobRole],Table13[Id_JobRole])</f>
        <v>JR002</v>
      </c>
      <c r="AA487" t="s">
        <v>48</v>
      </c>
      <c r="AB487" t="str">
        <f>_xlfn.XLOOKUP(Table1[[#This Row],[JobSatisfaction]],Table14[JobSatisfaction],Table14[Id_JobSatisfaction])</f>
        <v>JS003</v>
      </c>
      <c r="AC487">
        <v>3</v>
      </c>
      <c r="AD487" t="str">
        <f>_xlfn.XLOOKUP(Table1[[#This Row],[JobSatisfaction]],Table14[JobSatisfaction],Table14[Deskripsi])</f>
        <v>High</v>
      </c>
      <c r="AE487" t="str">
        <f>_xlfn.XLOOKUP(Table1[[#This Row],[MaritalStatus]],Table15[MaritalStatus],Table15[Id_MaritalStatus])</f>
        <v>MS003</v>
      </c>
      <c r="AF487" t="s">
        <v>57</v>
      </c>
      <c r="AG487">
        <v>2187</v>
      </c>
      <c r="AH487">
        <v>5013</v>
      </c>
      <c r="AI487">
        <v>0</v>
      </c>
      <c r="AJ487" t="str">
        <f>_xlfn.XLOOKUP(Table1[[#This Row],[OverTime]],Table16[OverTime],Table16[Id_OverTime])</f>
        <v>OT002</v>
      </c>
      <c r="AK487" t="s">
        <v>33</v>
      </c>
      <c r="AL487">
        <v>12</v>
      </c>
      <c r="AM487" t="str">
        <f>_xlfn.XLOOKUP(Table1[[#This Row],[PerformanceRating]],Table17[PerformanceRating],Table17[Id_PerformanceRating])</f>
        <v>PR003</v>
      </c>
      <c r="AN487">
        <v>3</v>
      </c>
      <c r="AO487" t="str">
        <f>_xlfn.XLOOKUP(Table1[[#This Row],[PerformanceRating]],Table17[PerformanceRating],Table17[Deskripsi])</f>
        <v>Excellent</v>
      </c>
      <c r="AP487" t="str">
        <f>_xlfn.XLOOKUP(Table1[[#This Row],[RelationshipSatisfaction]],Table18[RelationshipSatisfaction],Table18[Id_RelationshipSatisfaction])</f>
        <v>RS003</v>
      </c>
      <c r="AQ487">
        <v>3</v>
      </c>
      <c r="AR487" t="str">
        <f>_xlfn.XLOOKUP(Table1[[#This Row],[RelationshipSatisfaction]],Table18[RelationshipSatisfaction],Table18[Deskripsi])</f>
        <v>High</v>
      </c>
      <c r="AS487" t="str">
        <f>_xlfn.XLOOKUP(Table1[[#This Row],[StockOptionLevel]],Table19[StockOptionLevel],Table19[Id_StockOptionLevel])</f>
        <v>SOL003</v>
      </c>
      <c r="AT487">
        <v>2</v>
      </c>
      <c r="AU487" t="str">
        <f>_xlfn.XLOOKUP(Table1[[#This Row],[StockOptionLevel]],Table19[StockOptionLevel],Table19[Deskripsi])</f>
        <v>Intermediate</v>
      </c>
      <c r="AV487">
        <v>6</v>
      </c>
      <c r="AW487">
        <v>5</v>
      </c>
      <c r="AX487" t="str">
        <f>_xlfn.XLOOKUP(Table1[[#This Row],[WorkLifeBalance]],Table20[WorkLifeBalance],Table20[Id_WorkLifeBalance])</f>
        <v>WLB003</v>
      </c>
      <c r="AY487">
        <v>2</v>
      </c>
      <c r="AZ487" t="str">
        <f>_xlfn.XLOOKUP(Table1[[#This Row],[WorkLifeBalance]],Table20[WorkLifeBalance],Table20[Deskripsi])</f>
        <v>Better</v>
      </c>
      <c r="BA487">
        <v>5</v>
      </c>
      <c r="BB487">
        <v>3</v>
      </c>
      <c r="BC487">
        <v>0</v>
      </c>
      <c r="BD487">
        <v>3</v>
      </c>
    </row>
    <row r="488" spans="1:56" x14ac:dyDescent="0.25">
      <c r="A488">
        <v>37</v>
      </c>
      <c r="B488" t="str">
        <f>_xlfn.XLOOKUP(Table1[[#This Row],[Attrition]],Table2[Attrition],Table2[Id_Attrition])</f>
        <v>A002</v>
      </c>
      <c r="C488" t="s">
        <v>33</v>
      </c>
      <c r="D488" t="str">
        <f>_xlfn.XLOOKUP(Table1[[#This Row],[BusinessTravel]],Table5[BusinessTravel],Table5[Id_BusinessTravel])</f>
        <v>BS001</v>
      </c>
      <c r="E488" t="s">
        <v>34</v>
      </c>
      <c r="F488">
        <v>558</v>
      </c>
      <c r="G488" t="str">
        <f>_xlfn.XLOOKUP(Table1[[#This Row],[Department]],Table6[Department],Table6[Id_Departement])</f>
        <v>D001</v>
      </c>
      <c r="H488" t="s">
        <v>37</v>
      </c>
      <c r="I488">
        <v>2</v>
      </c>
      <c r="J488" t="str">
        <f>_xlfn.XLOOKUP(Table1[[#This Row],[Education]],Table8[Education],Table8[Id_Education])</f>
        <v>E003</v>
      </c>
      <c r="K488">
        <v>3</v>
      </c>
      <c r="L488" t="str">
        <f>_xlfn.XLOOKUP(Table1[[#This Row],[EducationField]],Table7[EducationField],Table7[Id_EducationField])</f>
        <v>EF004</v>
      </c>
      <c r="M488" t="s">
        <v>43</v>
      </c>
      <c r="N488" t="str">
        <f>_xlfn.XLOOKUP(Table1[[#This Row],[EmployeeNumber]],Table4[EmployeeNumber],Table4[Id_Employee])</f>
        <v>EMP00487</v>
      </c>
      <c r="O488">
        <v>656</v>
      </c>
      <c r="P488" t="str">
        <f>_xlfn.XLOOKUP(Table1[[#This Row],[EnvironmentSatisfaction]],Table9[EnvironmentSatisfaction],Table9[Id_EnviromentSatisfaction])</f>
        <v>ES004</v>
      </c>
      <c r="Q488">
        <v>4</v>
      </c>
      <c r="R488" t="str">
        <f>_xlfn.XLOOKUP(Table1[[#This Row],[EnvironmentSatisfaction]],Table9[EnvironmentSatisfaction],Table9[Deskripsi])</f>
        <v>Very High</v>
      </c>
      <c r="S488" t="str">
        <f>_xlfn.XLOOKUP(Table1[[#This Row],[Gender]],Table10[Gender],Table10[Id_Gender])</f>
        <v>G002</v>
      </c>
      <c r="T488" t="s">
        <v>46</v>
      </c>
      <c r="U488">
        <v>75</v>
      </c>
      <c r="V488" t="str">
        <f>_xlfn.XLOOKUP(Table1[[#This Row],[JobInvolvement]],Table11[JobInvolvement],Table11[Id_JobInvolvement])</f>
        <v>JI003</v>
      </c>
      <c r="W488">
        <v>3</v>
      </c>
      <c r="X488" t="str">
        <f>_xlfn.XLOOKUP(Table1[[#This Row],[JobLevel]],Table12[JobLevel],Table12[Id_JobLevel])</f>
        <v>JL002</v>
      </c>
      <c r="Y488">
        <v>2</v>
      </c>
      <c r="Z488" t="str">
        <f>_xlfn.XLOOKUP(Table1[[#This Row],[JobRole]],Table13[JobRole],Table13[Id_JobRole])</f>
        <v>JR001</v>
      </c>
      <c r="AA488" t="s">
        <v>47</v>
      </c>
      <c r="AB488" t="str">
        <f>_xlfn.XLOOKUP(Table1[[#This Row],[JobSatisfaction]],Table14[JobSatisfaction],Table14[Id_JobSatisfaction])</f>
        <v>JS003</v>
      </c>
      <c r="AC488">
        <v>3</v>
      </c>
      <c r="AD488" t="str">
        <f>_xlfn.XLOOKUP(Table1[[#This Row],[JobSatisfaction]],Table14[JobSatisfaction],Table14[Deskripsi])</f>
        <v>High</v>
      </c>
      <c r="AE488" t="str">
        <f>_xlfn.XLOOKUP(Table1[[#This Row],[MaritalStatus]],Table15[MaritalStatus],Table15[Id_MaritalStatus])</f>
        <v>MS002</v>
      </c>
      <c r="AF488" t="s">
        <v>56</v>
      </c>
      <c r="AG488">
        <v>9602</v>
      </c>
      <c r="AH488">
        <v>3010</v>
      </c>
      <c r="AI488">
        <v>4</v>
      </c>
      <c r="AJ488" t="str">
        <f>_xlfn.XLOOKUP(Table1[[#This Row],[OverTime]],Table16[OverTime],Table16[Id_OverTime])</f>
        <v>OT001</v>
      </c>
      <c r="AK488" t="s">
        <v>32</v>
      </c>
      <c r="AL488">
        <v>11</v>
      </c>
      <c r="AM488" t="str">
        <f>_xlfn.XLOOKUP(Table1[[#This Row],[PerformanceRating]],Table17[PerformanceRating],Table17[Id_PerformanceRating])</f>
        <v>PR003</v>
      </c>
      <c r="AN488">
        <v>3</v>
      </c>
      <c r="AO488" t="str">
        <f>_xlfn.XLOOKUP(Table1[[#This Row],[PerformanceRating]],Table17[PerformanceRating],Table17[Deskripsi])</f>
        <v>Excellent</v>
      </c>
      <c r="AP488" t="str">
        <f>_xlfn.XLOOKUP(Table1[[#This Row],[RelationshipSatisfaction]],Table18[RelationshipSatisfaction],Table18[Id_RelationshipSatisfaction])</f>
        <v>RS003</v>
      </c>
      <c r="AQ488">
        <v>3</v>
      </c>
      <c r="AR488" t="str">
        <f>_xlfn.XLOOKUP(Table1[[#This Row],[RelationshipSatisfaction]],Table18[RelationshipSatisfaction],Table18[Deskripsi])</f>
        <v>High</v>
      </c>
      <c r="AS488" t="str">
        <f>_xlfn.XLOOKUP(Table1[[#This Row],[StockOptionLevel]],Table19[StockOptionLevel],Table19[Id_StockOptionLevel])</f>
        <v>SOL002</v>
      </c>
      <c r="AT488">
        <v>1</v>
      </c>
      <c r="AU488" t="str">
        <f>_xlfn.XLOOKUP(Table1[[#This Row],[StockOptionLevel]],Table19[StockOptionLevel],Table19[Deskripsi])</f>
        <v>Standard</v>
      </c>
      <c r="AV488">
        <v>17</v>
      </c>
      <c r="AW488">
        <v>3</v>
      </c>
      <c r="AX488" t="str">
        <f>_xlfn.XLOOKUP(Table1[[#This Row],[WorkLifeBalance]],Table20[WorkLifeBalance],Table20[Id_WorkLifeBalance])</f>
        <v>WLB003</v>
      </c>
      <c r="AY488">
        <v>2</v>
      </c>
      <c r="AZ488" t="str">
        <f>_xlfn.XLOOKUP(Table1[[#This Row],[WorkLifeBalance]],Table20[WorkLifeBalance],Table20[Deskripsi])</f>
        <v>Better</v>
      </c>
      <c r="BA488">
        <v>3</v>
      </c>
      <c r="BB488">
        <v>0</v>
      </c>
      <c r="BC488">
        <v>1</v>
      </c>
      <c r="BD488">
        <v>0</v>
      </c>
    </row>
    <row r="489" spans="1:56" x14ac:dyDescent="0.25">
      <c r="A489">
        <v>20</v>
      </c>
      <c r="B489" t="str">
        <f>_xlfn.XLOOKUP(Table1[[#This Row],[Attrition]],Table2[Attrition],Table2[Id_Attrition])</f>
        <v>A002</v>
      </c>
      <c r="C489" t="s">
        <v>33</v>
      </c>
      <c r="D489" t="str">
        <f>_xlfn.XLOOKUP(Table1[[#This Row],[BusinessTravel]],Table5[BusinessTravel],Table5[Id_BusinessTravel])</f>
        <v>BS001</v>
      </c>
      <c r="E489" t="s">
        <v>34</v>
      </c>
      <c r="F489">
        <v>959</v>
      </c>
      <c r="G489" t="str">
        <f>_xlfn.XLOOKUP(Table1[[#This Row],[Department]],Table6[Department],Table6[Id_Departement])</f>
        <v>D002</v>
      </c>
      <c r="H489" t="s">
        <v>38</v>
      </c>
      <c r="I489">
        <v>1</v>
      </c>
      <c r="J489" t="str">
        <f>_xlfn.XLOOKUP(Table1[[#This Row],[Education]],Table8[Education],Table8[Id_Education])</f>
        <v>E003</v>
      </c>
      <c r="K489">
        <v>3</v>
      </c>
      <c r="L489" t="str">
        <f>_xlfn.XLOOKUP(Table1[[#This Row],[EducationField]],Table7[EducationField],Table7[Id_EducationField])</f>
        <v>EF001</v>
      </c>
      <c r="M489" t="s">
        <v>40</v>
      </c>
      <c r="N489" t="str">
        <f>_xlfn.XLOOKUP(Table1[[#This Row],[EmployeeNumber]],Table4[EmployeeNumber],Table4[Id_Employee])</f>
        <v>EMP00488</v>
      </c>
      <c r="O489">
        <v>657</v>
      </c>
      <c r="P489" t="str">
        <f>_xlfn.XLOOKUP(Table1[[#This Row],[EnvironmentSatisfaction]],Table9[EnvironmentSatisfaction],Table9[Id_EnviromentSatisfaction])</f>
        <v>ES004</v>
      </c>
      <c r="Q489">
        <v>4</v>
      </c>
      <c r="R489" t="str">
        <f>_xlfn.XLOOKUP(Table1[[#This Row],[EnvironmentSatisfaction]],Table9[EnvironmentSatisfaction],Table9[Deskripsi])</f>
        <v>Very High</v>
      </c>
      <c r="S489" t="str">
        <f>_xlfn.XLOOKUP(Table1[[#This Row],[Gender]],Table10[Gender],Table10[Id_Gender])</f>
        <v>G001</v>
      </c>
      <c r="T489" t="s">
        <v>45</v>
      </c>
      <c r="U489">
        <v>83</v>
      </c>
      <c r="V489" t="str">
        <f>_xlfn.XLOOKUP(Table1[[#This Row],[JobInvolvement]],Table11[JobInvolvement],Table11[Id_JobInvolvement])</f>
        <v>JI002</v>
      </c>
      <c r="W489">
        <v>2</v>
      </c>
      <c r="X489" t="str">
        <f>_xlfn.XLOOKUP(Table1[[#This Row],[JobLevel]],Table12[JobLevel],Table12[Id_JobLevel])</f>
        <v>JL001</v>
      </c>
      <c r="Y489">
        <v>1</v>
      </c>
      <c r="Z489" t="str">
        <f>_xlfn.XLOOKUP(Table1[[#This Row],[JobRole]],Table13[JobRole],Table13[Id_JobRole])</f>
        <v>JR002</v>
      </c>
      <c r="AA489" t="s">
        <v>48</v>
      </c>
      <c r="AB489" t="str">
        <f>_xlfn.XLOOKUP(Table1[[#This Row],[JobSatisfaction]],Table14[JobSatisfaction],Table14[Id_JobSatisfaction])</f>
        <v>JS002</v>
      </c>
      <c r="AC489">
        <v>2</v>
      </c>
      <c r="AD489" t="str">
        <f>_xlfn.XLOOKUP(Table1[[#This Row],[JobSatisfaction]],Table14[JobSatisfaction],Table14[Deskripsi])</f>
        <v>Medium</v>
      </c>
      <c r="AE489" t="str">
        <f>_xlfn.XLOOKUP(Table1[[#This Row],[MaritalStatus]],Table15[MaritalStatus],Table15[Id_MaritalStatus])</f>
        <v>MS001</v>
      </c>
      <c r="AF489" t="s">
        <v>55</v>
      </c>
      <c r="AG489">
        <v>2836</v>
      </c>
      <c r="AH489">
        <v>11757</v>
      </c>
      <c r="AI489">
        <v>1</v>
      </c>
      <c r="AJ489" t="str">
        <f>_xlfn.XLOOKUP(Table1[[#This Row],[OverTime]],Table16[OverTime],Table16[Id_OverTime])</f>
        <v>OT002</v>
      </c>
      <c r="AK489" t="s">
        <v>33</v>
      </c>
      <c r="AL489">
        <v>13</v>
      </c>
      <c r="AM489" t="str">
        <f>_xlfn.XLOOKUP(Table1[[#This Row],[PerformanceRating]],Table17[PerformanceRating],Table17[Id_PerformanceRating])</f>
        <v>PR003</v>
      </c>
      <c r="AN489">
        <v>3</v>
      </c>
      <c r="AO489" t="str">
        <f>_xlfn.XLOOKUP(Table1[[#This Row],[PerformanceRating]],Table17[PerformanceRating],Table17[Deskripsi])</f>
        <v>Excellent</v>
      </c>
      <c r="AP489" t="str">
        <f>_xlfn.XLOOKUP(Table1[[#This Row],[RelationshipSatisfaction]],Table18[RelationshipSatisfaction],Table18[Id_RelationshipSatisfaction])</f>
        <v>RS004</v>
      </c>
      <c r="AQ489">
        <v>4</v>
      </c>
      <c r="AR489" t="str">
        <f>_xlfn.XLOOKUP(Table1[[#This Row],[RelationshipSatisfaction]],Table18[RelationshipSatisfaction],Table18[Deskripsi])</f>
        <v>Very High</v>
      </c>
      <c r="AS489" t="str">
        <f>_xlfn.XLOOKUP(Table1[[#This Row],[StockOptionLevel]],Table19[StockOptionLevel],Table19[Id_StockOptionLevel])</f>
        <v>SOL001</v>
      </c>
      <c r="AT489">
        <v>0</v>
      </c>
      <c r="AU489" t="str">
        <f>_xlfn.XLOOKUP(Table1[[#This Row],[StockOptionLevel]],Table19[StockOptionLevel],Table19[Deskripsi])</f>
        <v>Non-Eligible</v>
      </c>
      <c r="AV489">
        <v>1</v>
      </c>
      <c r="AW489">
        <v>0</v>
      </c>
      <c r="AX489" t="str">
        <f>_xlfn.XLOOKUP(Table1[[#This Row],[WorkLifeBalance]],Table20[WorkLifeBalance],Table20[Id_WorkLifeBalance])</f>
        <v>WLB004</v>
      </c>
      <c r="AY489">
        <v>4</v>
      </c>
      <c r="AZ489" t="str">
        <f>_xlfn.XLOOKUP(Table1[[#This Row],[WorkLifeBalance]],Table20[WorkLifeBalance],Table20[Deskripsi])</f>
        <v>Best</v>
      </c>
      <c r="BA489">
        <v>1</v>
      </c>
      <c r="BB489">
        <v>0</v>
      </c>
      <c r="BC489">
        <v>0</v>
      </c>
      <c r="BD489">
        <v>0</v>
      </c>
    </row>
    <row r="490" spans="1:56" x14ac:dyDescent="0.25">
      <c r="A490">
        <v>42</v>
      </c>
      <c r="B490" t="str">
        <f>_xlfn.XLOOKUP(Table1[[#This Row],[Attrition]],Table2[Attrition],Table2[Id_Attrition])</f>
        <v>A002</v>
      </c>
      <c r="C490" t="s">
        <v>33</v>
      </c>
      <c r="D490" t="str">
        <f>_xlfn.XLOOKUP(Table1[[#This Row],[BusinessTravel]],Table5[BusinessTravel],Table5[Id_BusinessTravel])</f>
        <v>BS001</v>
      </c>
      <c r="E490" t="s">
        <v>34</v>
      </c>
      <c r="F490">
        <v>622</v>
      </c>
      <c r="G490" t="str">
        <f>_xlfn.XLOOKUP(Table1[[#This Row],[Department]],Table6[Department],Table6[Id_Departement])</f>
        <v>D002</v>
      </c>
      <c r="H490" t="s">
        <v>38</v>
      </c>
      <c r="I490">
        <v>2</v>
      </c>
      <c r="J490" t="str">
        <f>_xlfn.XLOOKUP(Table1[[#This Row],[Education]],Table8[Education],Table8[Id_Education])</f>
        <v>E004</v>
      </c>
      <c r="K490">
        <v>4</v>
      </c>
      <c r="L490" t="str">
        <f>_xlfn.XLOOKUP(Table1[[#This Row],[EducationField]],Table7[EducationField],Table7[Id_EducationField])</f>
        <v>EF001</v>
      </c>
      <c r="M490" t="s">
        <v>40</v>
      </c>
      <c r="N490" t="str">
        <f>_xlfn.XLOOKUP(Table1[[#This Row],[EmployeeNumber]],Table4[EmployeeNumber],Table4[Id_Employee])</f>
        <v>EMP00489</v>
      </c>
      <c r="O490">
        <v>659</v>
      </c>
      <c r="P490" t="str">
        <f>_xlfn.XLOOKUP(Table1[[#This Row],[EnvironmentSatisfaction]],Table9[EnvironmentSatisfaction],Table9[Id_EnviromentSatisfaction])</f>
        <v>ES003</v>
      </c>
      <c r="Q490">
        <v>3</v>
      </c>
      <c r="R490" t="str">
        <f>_xlfn.XLOOKUP(Table1[[#This Row],[EnvironmentSatisfaction]],Table9[EnvironmentSatisfaction],Table9[Deskripsi])</f>
        <v>High</v>
      </c>
      <c r="S490" t="str">
        <f>_xlfn.XLOOKUP(Table1[[#This Row],[Gender]],Table10[Gender],Table10[Id_Gender])</f>
        <v>G001</v>
      </c>
      <c r="T490" t="s">
        <v>45</v>
      </c>
      <c r="U490">
        <v>81</v>
      </c>
      <c r="V490" t="str">
        <f>_xlfn.XLOOKUP(Table1[[#This Row],[JobInvolvement]],Table11[JobInvolvement],Table11[Id_JobInvolvement])</f>
        <v>JI003</v>
      </c>
      <c r="W490">
        <v>3</v>
      </c>
      <c r="X490" t="str">
        <f>_xlfn.XLOOKUP(Table1[[#This Row],[JobLevel]],Table12[JobLevel],Table12[Id_JobLevel])</f>
        <v>JL002</v>
      </c>
      <c r="Y490">
        <v>2</v>
      </c>
      <c r="Z490" t="str">
        <f>_xlfn.XLOOKUP(Table1[[#This Row],[JobRole]],Table13[JobRole],Table13[Id_JobRole])</f>
        <v>JR005</v>
      </c>
      <c r="AA490" t="s">
        <v>51</v>
      </c>
      <c r="AB490" t="str">
        <f>_xlfn.XLOOKUP(Table1[[#This Row],[JobSatisfaction]],Table14[JobSatisfaction],Table14[Id_JobSatisfaction])</f>
        <v>JS004</v>
      </c>
      <c r="AC490">
        <v>4</v>
      </c>
      <c r="AD490" t="str">
        <f>_xlfn.XLOOKUP(Table1[[#This Row],[JobSatisfaction]],Table14[JobSatisfaction],Table14[Deskripsi])</f>
        <v>Very High</v>
      </c>
      <c r="AE490" t="str">
        <f>_xlfn.XLOOKUP(Table1[[#This Row],[MaritalStatus]],Table15[MaritalStatus],Table15[Id_MaritalStatus])</f>
        <v>MS002</v>
      </c>
      <c r="AF490" t="s">
        <v>56</v>
      </c>
      <c r="AG490">
        <v>4089</v>
      </c>
      <c r="AH490">
        <v>5718</v>
      </c>
      <c r="AI490">
        <v>1</v>
      </c>
      <c r="AJ490" t="str">
        <f>_xlfn.XLOOKUP(Table1[[#This Row],[OverTime]],Table16[OverTime],Table16[Id_OverTime])</f>
        <v>OT002</v>
      </c>
      <c r="AK490" t="s">
        <v>33</v>
      </c>
      <c r="AL490">
        <v>13</v>
      </c>
      <c r="AM490" t="str">
        <f>_xlfn.XLOOKUP(Table1[[#This Row],[PerformanceRating]],Table17[PerformanceRating],Table17[Id_PerformanceRating])</f>
        <v>PR003</v>
      </c>
      <c r="AN490">
        <v>3</v>
      </c>
      <c r="AO490" t="str">
        <f>_xlfn.XLOOKUP(Table1[[#This Row],[PerformanceRating]],Table17[PerformanceRating],Table17[Deskripsi])</f>
        <v>Excellent</v>
      </c>
      <c r="AP490" t="str">
        <f>_xlfn.XLOOKUP(Table1[[#This Row],[RelationshipSatisfaction]],Table18[RelationshipSatisfaction],Table18[Id_RelationshipSatisfaction])</f>
        <v>RS002</v>
      </c>
      <c r="AQ490">
        <v>2</v>
      </c>
      <c r="AR490" t="str">
        <f>_xlfn.XLOOKUP(Table1[[#This Row],[RelationshipSatisfaction]],Table18[RelationshipSatisfaction],Table18[Deskripsi])</f>
        <v>Medium</v>
      </c>
      <c r="AS490" t="str">
        <f>_xlfn.XLOOKUP(Table1[[#This Row],[StockOptionLevel]],Table19[StockOptionLevel],Table19[Id_StockOptionLevel])</f>
        <v>SOL003</v>
      </c>
      <c r="AT490">
        <v>2</v>
      </c>
      <c r="AU490" t="str">
        <f>_xlfn.XLOOKUP(Table1[[#This Row],[StockOptionLevel]],Table19[StockOptionLevel],Table19[Deskripsi])</f>
        <v>Intermediate</v>
      </c>
      <c r="AV490">
        <v>10</v>
      </c>
      <c r="AW490">
        <v>4</v>
      </c>
      <c r="AX490" t="str">
        <f>_xlfn.XLOOKUP(Table1[[#This Row],[WorkLifeBalance]],Table20[WorkLifeBalance],Table20[Id_WorkLifeBalance])</f>
        <v>WLB002</v>
      </c>
      <c r="AY490">
        <v>3</v>
      </c>
      <c r="AZ490" t="str">
        <f>_xlfn.XLOOKUP(Table1[[#This Row],[WorkLifeBalance]],Table20[WorkLifeBalance],Table20[Deskripsi])</f>
        <v>Good</v>
      </c>
      <c r="BA490">
        <v>10</v>
      </c>
      <c r="BB490">
        <v>2</v>
      </c>
      <c r="BC490">
        <v>2</v>
      </c>
      <c r="BD490">
        <v>2</v>
      </c>
    </row>
    <row r="491" spans="1:56" x14ac:dyDescent="0.25">
      <c r="A491">
        <v>43</v>
      </c>
      <c r="B491" t="str">
        <f>_xlfn.XLOOKUP(Table1[[#This Row],[Attrition]],Table2[Attrition],Table2[Id_Attrition])</f>
        <v>A002</v>
      </c>
      <c r="C491" t="s">
        <v>33</v>
      </c>
      <c r="D491" t="str">
        <f>_xlfn.XLOOKUP(Table1[[#This Row],[BusinessTravel]],Table5[BusinessTravel],Table5[Id_BusinessTravel])</f>
        <v>BS001</v>
      </c>
      <c r="E491" t="s">
        <v>34</v>
      </c>
      <c r="F491">
        <v>782</v>
      </c>
      <c r="G491" t="str">
        <f>_xlfn.XLOOKUP(Table1[[#This Row],[Department]],Table6[Department],Table6[Id_Departement])</f>
        <v>D002</v>
      </c>
      <c r="H491" t="s">
        <v>38</v>
      </c>
      <c r="I491">
        <v>6</v>
      </c>
      <c r="J491" t="str">
        <f>_xlfn.XLOOKUP(Table1[[#This Row],[Education]],Table8[Education],Table8[Id_Education])</f>
        <v>E004</v>
      </c>
      <c r="K491">
        <v>4</v>
      </c>
      <c r="L491" t="str">
        <f>_xlfn.XLOOKUP(Table1[[#This Row],[EducationField]],Table7[EducationField],Table7[Id_EducationField])</f>
        <v>EF002</v>
      </c>
      <c r="M491" t="s">
        <v>41</v>
      </c>
      <c r="N491" t="str">
        <f>_xlfn.XLOOKUP(Table1[[#This Row],[EmployeeNumber]],Table4[EmployeeNumber],Table4[Id_Employee])</f>
        <v>EMP00490</v>
      </c>
      <c r="O491">
        <v>661</v>
      </c>
      <c r="P491" t="str">
        <f>_xlfn.XLOOKUP(Table1[[#This Row],[EnvironmentSatisfaction]],Table9[EnvironmentSatisfaction],Table9[Id_EnviromentSatisfaction])</f>
        <v>ES002</v>
      </c>
      <c r="Q491">
        <v>2</v>
      </c>
      <c r="R491" t="str">
        <f>_xlfn.XLOOKUP(Table1[[#This Row],[EnvironmentSatisfaction]],Table9[EnvironmentSatisfaction],Table9[Deskripsi])</f>
        <v>Medium</v>
      </c>
      <c r="S491" t="str">
        <f>_xlfn.XLOOKUP(Table1[[#This Row],[Gender]],Table10[Gender],Table10[Id_Gender])</f>
        <v>G002</v>
      </c>
      <c r="T491" t="s">
        <v>46</v>
      </c>
      <c r="U491">
        <v>50</v>
      </c>
      <c r="V491" t="str">
        <f>_xlfn.XLOOKUP(Table1[[#This Row],[JobInvolvement]],Table11[JobInvolvement],Table11[Id_JobInvolvement])</f>
        <v>JI002</v>
      </c>
      <c r="W491">
        <v>2</v>
      </c>
      <c r="X491" t="str">
        <f>_xlfn.XLOOKUP(Table1[[#This Row],[JobLevel]],Table12[JobLevel],Table12[Id_JobLevel])</f>
        <v>JL004</v>
      </c>
      <c r="Y491">
        <v>4</v>
      </c>
      <c r="Z491" t="str">
        <f>_xlfn.XLOOKUP(Table1[[#This Row],[JobRole]],Table13[JobRole],Table13[Id_JobRole])</f>
        <v>JR008</v>
      </c>
      <c r="AA491" t="s">
        <v>54</v>
      </c>
      <c r="AB491" t="str">
        <f>_xlfn.XLOOKUP(Table1[[#This Row],[JobSatisfaction]],Table14[JobSatisfaction],Table14[Id_JobSatisfaction])</f>
        <v>JS004</v>
      </c>
      <c r="AC491">
        <v>4</v>
      </c>
      <c r="AD491" t="str">
        <f>_xlfn.XLOOKUP(Table1[[#This Row],[JobSatisfaction]],Table14[JobSatisfaction],Table14[Deskripsi])</f>
        <v>Very High</v>
      </c>
      <c r="AE491" t="str">
        <f>_xlfn.XLOOKUP(Table1[[#This Row],[MaritalStatus]],Table15[MaritalStatus],Table15[Id_MaritalStatus])</f>
        <v>MS003</v>
      </c>
      <c r="AF491" t="s">
        <v>57</v>
      </c>
      <c r="AG491">
        <v>16627</v>
      </c>
      <c r="AH491">
        <v>2671</v>
      </c>
      <c r="AI491">
        <v>4</v>
      </c>
      <c r="AJ491" t="str">
        <f>_xlfn.XLOOKUP(Table1[[#This Row],[OverTime]],Table16[OverTime],Table16[Id_OverTime])</f>
        <v>OT001</v>
      </c>
      <c r="AK491" t="s">
        <v>32</v>
      </c>
      <c r="AL491">
        <v>14</v>
      </c>
      <c r="AM491" t="str">
        <f>_xlfn.XLOOKUP(Table1[[#This Row],[PerformanceRating]],Table17[PerformanceRating],Table17[Id_PerformanceRating])</f>
        <v>PR003</v>
      </c>
      <c r="AN491">
        <v>3</v>
      </c>
      <c r="AO491" t="str">
        <f>_xlfn.XLOOKUP(Table1[[#This Row],[PerformanceRating]],Table17[PerformanceRating],Table17[Deskripsi])</f>
        <v>Excellent</v>
      </c>
      <c r="AP491" t="str">
        <f>_xlfn.XLOOKUP(Table1[[#This Row],[RelationshipSatisfaction]],Table18[RelationshipSatisfaction],Table18[Id_RelationshipSatisfaction])</f>
        <v>RS003</v>
      </c>
      <c r="AQ491">
        <v>3</v>
      </c>
      <c r="AR491" t="str">
        <f>_xlfn.XLOOKUP(Table1[[#This Row],[RelationshipSatisfaction]],Table18[RelationshipSatisfaction],Table18[Deskripsi])</f>
        <v>High</v>
      </c>
      <c r="AS491" t="str">
        <f>_xlfn.XLOOKUP(Table1[[#This Row],[StockOptionLevel]],Table19[StockOptionLevel],Table19[Id_StockOptionLevel])</f>
        <v>SOL002</v>
      </c>
      <c r="AT491">
        <v>1</v>
      </c>
      <c r="AU491" t="str">
        <f>_xlfn.XLOOKUP(Table1[[#This Row],[StockOptionLevel]],Table19[StockOptionLevel],Table19[Deskripsi])</f>
        <v>Standard</v>
      </c>
      <c r="AV491">
        <v>21</v>
      </c>
      <c r="AW491">
        <v>3</v>
      </c>
      <c r="AX491" t="str">
        <f>_xlfn.XLOOKUP(Table1[[#This Row],[WorkLifeBalance]],Table20[WorkLifeBalance],Table20[Id_WorkLifeBalance])</f>
        <v>WLB003</v>
      </c>
      <c r="AY491">
        <v>2</v>
      </c>
      <c r="AZ491" t="str">
        <f>_xlfn.XLOOKUP(Table1[[#This Row],[WorkLifeBalance]],Table20[WorkLifeBalance],Table20[Deskripsi])</f>
        <v>Better</v>
      </c>
      <c r="BA491">
        <v>1</v>
      </c>
      <c r="BB491">
        <v>0</v>
      </c>
      <c r="BC491">
        <v>0</v>
      </c>
      <c r="BD491">
        <v>0</v>
      </c>
    </row>
    <row r="492" spans="1:56" x14ac:dyDescent="0.25">
      <c r="A492">
        <v>38</v>
      </c>
      <c r="B492" t="str">
        <f>_xlfn.XLOOKUP(Table1[[#This Row],[Attrition]],Table2[Attrition],Table2[Id_Attrition])</f>
        <v>A002</v>
      </c>
      <c r="C492" t="s">
        <v>33</v>
      </c>
      <c r="D492" t="str">
        <f>_xlfn.XLOOKUP(Table1[[#This Row],[BusinessTravel]],Table5[BusinessTravel],Table5[Id_BusinessTravel])</f>
        <v>BS001</v>
      </c>
      <c r="E492" t="s">
        <v>34</v>
      </c>
      <c r="F492">
        <v>362</v>
      </c>
      <c r="G492" t="str">
        <f>_xlfn.XLOOKUP(Table1[[#This Row],[Department]],Table6[Department],Table6[Id_Departement])</f>
        <v>D002</v>
      </c>
      <c r="H492" t="s">
        <v>38</v>
      </c>
      <c r="I492">
        <v>1</v>
      </c>
      <c r="J492" t="str">
        <f>_xlfn.XLOOKUP(Table1[[#This Row],[Education]],Table8[Education],Table8[Id_Education])</f>
        <v>E001</v>
      </c>
      <c r="K492">
        <v>1</v>
      </c>
      <c r="L492" t="str">
        <f>_xlfn.XLOOKUP(Table1[[#This Row],[EducationField]],Table7[EducationField],Table7[Id_EducationField])</f>
        <v>EF001</v>
      </c>
      <c r="M492" t="s">
        <v>40</v>
      </c>
      <c r="N492" t="str">
        <f>_xlfn.XLOOKUP(Table1[[#This Row],[EmployeeNumber]],Table4[EmployeeNumber],Table4[Id_Employee])</f>
        <v>EMP00491</v>
      </c>
      <c r="O492">
        <v>662</v>
      </c>
      <c r="P492" t="str">
        <f>_xlfn.XLOOKUP(Table1[[#This Row],[EnvironmentSatisfaction]],Table9[EnvironmentSatisfaction],Table9[Id_EnviromentSatisfaction])</f>
        <v>ES003</v>
      </c>
      <c r="Q492">
        <v>3</v>
      </c>
      <c r="R492" t="str">
        <f>_xlfn.XLOOKUP(Table1[[#This Row],[EnvironmentSatisfaction]],Table9[EnvironmentSatisfaction],Table9[Deskripsi])</f>
        <v>High</v>
      </c>
      <c r="S492" t="str">
        <f>_xlfn.XLOOKUP(Table1[[#This Row],[Gender]],Table10[Gender],Table10[Id_Gender])</f>
        <v>G001</v>
      </c>
      <c r="T492" t="s">
        <v>45</v>
      </c>
      <c r="U492">
        <v>43</v>
      </c>
      <c r="V492" t="str">
        <f>_xlfn.XLOOKUP(Table1[[#This Row],[JobInvolvement]],Table11[JobInvolvement],Table11[Id_JobInvolvement])</f>
        <v>JI003</v>
      </c>
      <c r="W492">
        <v>3</v>
      </c>
      <c r="X492" t="str">
        <f>_xlfn.XLOOKUP(Table1[[#This Row],[JobLevel]],Table12[JobLevel],Table12[Id_JobLevel])</f>
        <v>JL001</v>
      </c>
      <c r="Y492">
        <v>1</v>
      </c>
      <c r="Z492" t="str">
        <f>_xlfn.XLOOKUP(Table1[[#This Row],[JobRole]],Table13[JobRole],Table13[Id_JobRole])</f>
        <v>JR002</v>
      </c>
      <c r="AA492" t="s">
        <v>48</v>
      </c>
      <c r="AB492" t="str">
        <f>_xlfn.XLOOKUP(Table1[[#This Row],[JobSatisfaction]],Table14[JobSatisfaction],Table14[Id_JobSatisfaction])</f>
        <v>JS001</v>
      </c>
      <c r="AC492">
        <v>1</v>
      </c>
      <c r="AD492" t="str">
        <f>_xlfn.XLOOKUP(Table1[[#This Row],[JobSatisfaction]],Table14[JobSatisfaction],Table14[Deskripsi])</f>
        <v>Low</v>
      </c>
      <c r="AE492" t="str">
        <f>_xlfn.XLOOKUP(Table1[[#This Row],[MaritalStatus]],Table15[MaritalStatus],Table15[Id_MaritalStatus])</f>
        <v>MS001</v>
      </c>
      <c r="AF492" t="s">
        <v>55</v>
      </c>
      <c r="AG492">
        <v>2619</v>
      </c>
      <c r="AH492">
        <v>14561</v>
      </c>
      <c r="AI492">
        <v>3</v>
      </c>
      <c r="AJ492" t="str">
        <f>_xlfn.XLOOKUP(Table1[[#This Row],[OverTime]],Table16[OverTime],Table16[Id_OverTime])</f>
        <v>OT002</v>
      </c>
      <c r="AK492" t="s">
        <v>33</v>
      </c>
      <c r="AL492">
        <v>17</v>
      </c>
      <c r="AM492" t="str">
        <f>_xlfn.XLOOKUP(Table1[[#This Row],[PerformanceRating]],Table17[PerformanceRating],Table17[Id_PerformanceRating])</f>
        <v>PR003</v>
      </c>
      <c r="AN492">
        <v>3</v>
      </c>
      <c r="AO492" t="str">
        <f>_xlfn.XLOOKUP(Table1[[#This Row],[PerformanceRating]],Table17[PerformanceRating],Table17[Deskripsi])</f>
        <v>Excellent</v>
      </c>
      <c r="AP492" t="str">
        <f>_xlfn.XLOOKUP(Table1[[#This Row],[RelationshipSatisfaction]],Table18[RelationshipSatisfaction],Table18[Id_RelationshipSatisfaction])</f>
        <v>RS004</v>
      </c>
      <c r="AQ492">
        <v>4</v>
      </c>
      <c r="AR492" t="str">
        <f>_xlfn.XLOOKUP(Table1[[#This Row],[RelationshipSatisfaction]],Table18[RelationshipSatisfaction],Table18[Deskripsi])</f>
        <v>Very High</v>
      </c>
      <c r="AS492" t="str">
        <f>_xlfn.XLOOKUP(Table1[[#This Row],[StockOptionLevel]],Table19[StockOptionLevel],Table19[Id_StockOptionLevel])</f>
        <v>SOL001</v>
      </c>
      <c r="AT492">
        <v>0</v>
      </c>
      <c r="AU492" t="str">
        <f>_xlfn.XLOOKUP(Table1[[#This Row],[StockOptionLevel]],Table19[StockOptionLevel],Table19[Deskripsi])</f>
        <v>Non-Eligible</v>
      </c>
      <c r="AV492">
        <v>8</v>
      </c>
      <c r="AW492">
        <v>3</v>
      </c>
      <c r="AX492" t="str">
        <f>_xlfn.XLOOKUP(Table1[[#This Row],[WorkLifeBalance]],Table20[WorkLifeBalance],Table20[Id_WorkLifeBalance])</f>
        <v>WLB003</v>
      </c>
      <c r="AY492">
        <v>2</v>
      </c>
      <c r="AZ492" t="str">
        <f>_xlfn.XLOOKUP(Table1[[#This Row],[WorkLifeBalance]],Table20[WorkLifeBalance],Table20[Deskripsi])</f>
        <v>Better</v>
      </c>
      <c r="BA492">
        <v>0</v>
      </c>
      <c r="BB492">
        <v>0</v>
      </c>
      <c r="BC492">
        <v>0</v>
      </c>
      <c r="BD492">
        <v>0</v>
      </c>
    </row>
    <row r="493" spans="1:56" x14ac:dyDescent="0.25">
      <c r="A493">
        <v>43</v>
      </c>
      <c r="B493" t="str">
        <f>_xlfn.XLOOKUP(Table1[[#This Row],[Attrition]],Table2[Attrition],Table2[Id_Attrition])</f>
        <v>A002</v>
      </c>
      <c r="C493" t="s">
        <v>33</v>
      </c>
      <c r="D493" t="str">
        <f>_xlfn.XLOOKUP(Table1[[#This Row],[BusinessTravel]],Table5[BusinessTravel],Table5[Id_BusinessTravel])</f>
        <v>BS002</v>
      </c>
      <c r="E493" t="s">
        <v>35</v>
      </c>
      <c r="F493">
        <v>1001</v>
      </c>
      <c r="G493" t="str">
        <f>_xlfn.XLOOKUP(Table1[[#This Row],[Department]],Table6[Department],Table6[Id_Departement])</f>
        <v>D002</v>
      </c>
      <c r="H493" t="s">
        <v>38</v>
      </c>
      <c r="I493">
        <v>9</v>
      </c>
      <c r="J493" t="str">
        <f>_xlfn.XLOOKUP(Table1[[#This Row],[Education]],Table8[Education],Table8[Id_Education])</f>
        <v>E005</v>
      </c>
      <c r="K493">
        <v>5</v>
      </c>
      <c r="L493" t="str">
        <f>_xlfn.XLOOKUP(Table1[[#This Row],[EducationField]],Table7[EducationField],Table7[Id_EducationField])</f>
        <v>EF003</v>
      </c>
      <c r="M493" t="s">
        <v>42</v>
      </c>
      <c r="N493" t="str">
        <f>_xlfn.XLOOKUP(Table1[[#This Row],[EmployeeNumber]],Table4[EmployeeNumber],Table4[Id_Employee])</f>
        <v>EMP00492</v>
      </c>
      <c r="O493">
        <v>663</v>
      </c>
      <c r="P493" t="str">
        <f>_xlfn.XLOOKUP(Table1[[#This Row],[EnvironmentSatisfaction]],Table9[EnvironmentSatisfaction],Table9[Id_EnviromentSatisfaction])</f>
        <v>ES004</v>
      </c>
      <c r="Q493">
        <v>4</v>
      </c>
      <c r="R493" t="str">
        <f>_xlfn.XLOOKUP(Table1[[#This Row],[EnvironmentSatisfaction]],Table9[EnvironmentSatisfaction],Table9[Deskripsi])</f>
        <v>Very High</v>
      </c>
      <c r="S493" t="str">
        <f>_xlfn.XLOOKUP(Table1[[#This Row],[Gender]],Table10[Gender],Table10[Id_Gender])</f>
        <v>G002</v>
      </c>
      <c r="T493" t="s">
        <v>46</v>
      </c>
      <c r="U493">
        <v>72</v>
      </c>
      <c r="V493" t="str">
        <f>_xlfn.XLOOKUP(Table1[[#This Row],[JobInvolvement]],Table11[JobInvolvement],Table11[Id_JobInvolvement])</f>
        <v>JI003</v>
      </c>
      <c r="W493">
        <v>3</v>
      </c>
      <c r="X493" t="str">
        <f>_xlfn.XLOOKUP(Table1[[#This Row],[JobLevel]],Table12[JobLevel],Table12[Id_JobLevel])</f>
        <v>JL002</v>
      </c>
      <c r="Y493">
        <v>2</v>
      </c>
      <c r="Z493" t="str">
        <f>_xlfn.XLOOKUP(Table1[[#This Row],[JobRole]],Table13[JobRole],Table13[Id_JobRole])</f>
        <v>JR003</v>
      </c>
      <c r="AA493" t="s">
        <v>49</v>
      </c>
      <c r="AB493" t="str">
        <f>_xlfn.XLOOKUP(Table1[[#This Row],[JobSatisfaction]],Table14[JobSatisfaction],Table14[Id_JobSatisfaction])</f>
        <v>JS003</v>
      </c>
      <c r="AC493">
        <v>3</v>
      </c>
      <c r="AD493" t="str">
        <f>_xlfn.XLOOKUP(Table1[[#This Row],[JobSatisfaction]],Table14[JobSatisfaction],Table14[Deskripsi])</f>
        <v>High</v>
      </c>
      <c r="AE493" t="str">
        <f>_xlfn.XLOOKUP(Table1[[#This Row],[MaritalStatus]],Table15[MaritalStatus],Table15[Id_MaritalStatus])</f>
        <v>MS003</v>
      </c>
      <c r="AF493" t="s">
        <v>57</v>
      </c>
      <c r="AG493">
        <v>5679</v>
      </c>
      <c r="AH493">
        <v>19627</v>
      </c>
      <c r="AI493">
        <v>3</v>
      </c>
      <c r="AJ493" t="str">
        <f>_xlfn.XLOOKUP(Table1[[#This Row],[OverTime]],Table16[OverTime],Table16[Id_OverTime])</f>
        <v>OT001</v>
      </c>
      <c r="AK493" t="s">
        <v>32</v>
      </c>
      <c r="AL493">
        <v>13</v>
      </c>
      <c r="AM493" t="str">
        <f>_xlfn.XLOOKUP(Table1[[#This Row],[PerformanceRating]],Table17[PerformanceRating],Table17[Id_PerformanceRating])</f>
        <v>PR003</v>
      </c>
      <c r="AN493">
        <v>3</v>
      </c>
      <c r="AO493" t="str">
        <f>_xlfn.XLOOKUP(Table1[[#This Row],[PerformanceRating]],Table17[PerformanceRating],Table17[Deskripsi])</f>
        <v>Excellent</v>
      </c>
      <c r="AP493" t="str">
        <f>_xlfn.XLOOKUP(Table1[[#This Row],[RelationshipSatisfaction]],Table18[RelationshipSatisfaction],Table18[Id_RelationshipSatisfaction])</f>
        <v>RS002</v>
      </c>
      <c r="AQ493">
        <v>2</v>
      </c>
      <c r="AR493" t="str">
        <f>_xlfn.XLOOKUP(Table1[[#This Row],[RelationshipSatisfaction]],Table18[RelationshipSatisfaction],Table18[Deskripsi])</f>
        <v>Medium</v>
      </c>
      <c r="AS493" t="str">
        <f>_xlfn.XLOOKUP(Table1[[#This Row],[StockOptionLevel]],Table19[StockOptionLevel],Table19[Id_StockOptionLevel])</f>
        <v>SOL002</v>
      </c>
      <c r="AT493">
        <v>1</v>
      </c>
      <c r="AU493" t="str">
        <f>_xlfn.XLOOKUP(Table1[[#This Row],[StockOptionLevel]],Table19[StockOptionLevel],Table19[Deskripsi])</f>
        <v>Standard</v>
      </c>
      <c r="AV493">
        <v>10</v>
      </c>
      <c r="AW493">
        <v>3</v>
      </c>
      <c r="AX493" t="str">
        <f>_xlfn.XLOOKUP(Table1[[#This Row],[WorkLifeBalance]],Table20[WorkLifeBalance],Table20[Id_WorkLifeBalance])</f>
        <v>WLB002</v>
      </c>
      <c r="AY493">
        <v>3</v>
      </c>
      <c r="AZ493" t="str">
        <f>_xlfn.XLOOKUP(Table1[[#This Row],[WorkLifeBalance]],Table20[WorkLifeBalance],Table20[Deskripsi])</f>
        <v>Good</v>
      </c>
      <c r="BA493">
        <v>8</v>
      </c>
      <c r="BB493">
        <v>7</v>
      </c>
      <c r="BC493">
        <v>4</v>
      </c>
      <c r="BD493">
        <v>7</v>
      </c>
    </row>
    <row r="494" spans="1:56" x14ac:dyDescent="0.25">
      <c r="A494">
        <v>48</v>
      </c>
      <c r="B494" t="str">
        <f>_xlfn.XLOOKUP(Table1[[#This Row],[Attrition]],Table2[Attrition],Table2[Id_Attrition])</f>
        <v>A002</v>
      </c>
      <c r="C494" t="s">
        <v>33</v>
      </c>
      <c r="D494" t="str">
        <f>_xlfn.XLOOKUP(Table1[[#This Row],[BusinessTravel]],Table5[BusinessTravel],Table5[Id_BusinessTravel])</f>
        <v>BS001</v>
      </c>
      <c r="E494" t="s">
        <v>34</v>
      </c>
      <c r="F494">
        <v>1236</v>
      </c>
      <c r="G494" t="str">
        <f>_xlfn.XLOOKUP(Table1[[#This Row],[Department]],Table6[Department],Table6[Id_Departement])</f>
        <v>D002</v>
      </c>
      <c r="H494" t="s">
        <v>38</v>
      </c>
      <c r="I494">
        <v>1</v>
      </c>
      <c r="J494" t="str">
        <f>_xlfn.XLOOKUP(Table1[[#This Row],[Education]],Table8[Education],Table8[Id_Education])</f>
        <v>E004</v>
      </c>
      <c r="K494">
        <v>4</v>
      </c>
      <c r="L494" t="str">
        <f>_xlfn.XLOOKUP(Table1[[#This Row],[EducationField]],Table7[EducationField],Table7[Id_EducationField])</f>
        <v>EF001</v>
      </c>
      <c r="M494" t="s">
        <v>40</v>
      </c>
      <c r="N494" t="str">
        <f>_xlfn.XLOOKUP(Table1[[#This Row],[EmployeeNumber]],Table4[EmployeeNumber],Table4[Id_Employee])</f>
        <v>EMP00493</v>
      </c>
      <c r="O494">
        <v>664</v>
      </c>
      <c r="P494" t="str">
        <f>_xlfn.XLOOKUP(Table1[[#This Row],[EnvironmentSatisfaction]],Table9[EnvironmentSatisfaction],Table9[Id_EnviromentSatisfaction])</f>
        <v>ES004</v>
      </c>
      <c r="Q494">
        <v>4</v>
      </c>
      <c r="R494" t="str">
        <f>_xlfn.XLOOKUP(Table1[[#This Row],[EnvironmentSatisfaction]],Table9[EnvironmentSatisfaction],Table9[Deskripsi])</f>
        <v>Very High</v>
      </c>
      <c r="S494" t="str">
        <f>_xlfn.XLOOKUP(Table1[[#This Row],[Gender]],Table10[Gender],Table10[Id_Gender])</f>
        <v>G001</v>
      </c>
      <c r="T494" t="s">
        <v>45</v>
      </c>
      <c r="U494">
        <v>40</v>
      </c>
      <c r="V494" t="str">
        <f>_xlfn.XLOOKUP(Table1[[#This Row],[JobInvolvement]],Table11[JobInvolvement],Table11[Id_JobInvolvement])</f>
        <v>JI002</v>
      </c>
      <c r="W494">
        <v>2</v>
      </c>
      <c r="X494" t="str">
        <f>_xlfn.XLOOKUP(Table1[[#This Row],[JobLevel]],Table12[JobLevel],Table12[Id_JobLevel])</f>
        <v>JL004</v>
      </c>
      <c r="Y494">
        <v>4</v>
      </c>
      <c r="Z494" t="str">
        <f>_xlfn.XLOOKUP(Table1[[#This Row],[JobRole]],Table13[JobRole],Table13[Id_JobRole])</f>
        <v>JR006</v>
      </c>
      <c r="AA494" t="s">
        <v>52</v>
      </c>
      <c r="AB494" t="str">
        <f>_xlfn.XLOOKUP(Table1[[#This Row],[JobSatisfaction]],Table14[JobSatisfaction],Table14[Id_JobSatisfaction])</f>
        <v>JS001</v>
      </c>
      <c r="AC494">
        <v>1</v>
      </c>
      <c r="AD494" t="str">
        <f>_xlfn.XLOOKUP(Table1[[#This Row],[JobSatisfaction]],Table14[JobSatisfaction],Table14[Deskripsi])</f>
        <v>Low</v>
      </c>
      <c r="AE494" t="str">
        <f>_xlfn.XLOOKUP(Table1[[#This Row],[MaritalStatus]],Table15[MaritalStatus],Table15[Id_MaritalStatus])</f>
        <v>MS002</v>
      </c>
      <c r="AF494" t="s">
        <v>56</v>
      </c>
      <c r="AG494">
        <v>15402</v>
      </c>
      <c r="AH494">
        <v>17997</v>
      </c>
      <c r="AI494">
        <v>7</v>
      </c>
      <c r="AJ494" t="str">
        <f>_xlfn.XLOOKUP(Table1[[#This Row],[OverTime]],Table16[OverTime],Table16[Id_OverTime])</f>
        <v>OT002</v>
      </c>
      <c r="AK494" t="s">
        <v>33</v>
      </c>
      <c r="AL494">
        <v>11</v>
      </c>
      <c r="AM494" t="str">
        <f>_xlfn.XLOOKUP(Table1[[#This Row],[PerformanceRating]],Table17[PerformanceRating],Table17[Id_PerformanceRating])</f>
        <v>PR003</v>
      </c>
      <c r="AN494">
        <v>3</v>
      </c>
      <c r="AO494" t="str">
        <f>_xlfn.XLOOKUP(Table1[[#This Row],[PerformanceRating]],Table17[PerformanceRating],Table17[Deskripsi])</f>
        <v>Excellent</v>
      </c>
      <c r="AP494" t="str">
        <f>_xlfn.XLOOKUP(Table1[[#This Row],[RelationshipSatisfaction]],Table18[RelationshipSatisfaction],Table18[Id_RelationshipSatisfaction])</f>
        <v>RS001</v>
      </c>
      <c r="AQ494">
        <v>1</v>
      </c>
      <c r="AR494" t="str">
        <f>_xlfn.XLOOKUP(Table1[[#This Row],[RelationshipSatisfaction]],Table18[RelationshipSatisfaction],Table18[Deskripsi])</f>
        <v>Low</v>
      </c>
      <c r="AS494" t="str">
        <f>_xlfn.XLOOKUP(Table1[[#This Row],[StockOptionLevel]],Table19[StockOptionLevel],Table19[Id_StockOptionLevel])</f>
        <v>SOL002</v>
      </c>
      <c r="AT494">
        <v>1</v>
      </c>
      <c r="AU494" t="str">
        <f>_xlfn.XLOOKUP(Table1[[#This Row],[StockOptionLevel]],Table19[StockOptionLevel],Table19[Deskripsi])</f>
        <v>Standard</v>
      </c>
      <c r="AV494">
        <v>21</v>
      </c>
      <c r="AW494">
        <v>3</v>
      </c>
      <c r="AX494" t="str">
        <f>_xlfn.XLOOKUP(Table1[[#This Row],[WorkLifeBalance]],Table20[WorkLifeBalance],Table20[Id_WorkLifeBalance])</f>
        <v>WLB001</v>
      </c>
      <c r="AY494">
        <v>1</v>
      </c>
      <c r="AZ494" t="str">
        <f>_xlfn.XLOOKUP(Table1[[#This Row],[WorkLifeBalance]],Table20[WorkLifeBalance],Table20[Deskripsi])</f>
        <v>Bad</v>
      </c>
      <c r="BA494">
        <v>3</v>
      </c>
      <c r="BB494">
        <v>2</v>
      </c>
      <c r="BC494">
        <v>0</v>
      </c>
      <c r="BD494">
        <v>2</v>
      </c>
    </row>
    <row r="495" spans="1:56" x14ac:dyDescent="0.25">
      <c r="A495">
        <v>44</v>
      </c>
      <c r="B495" t="str">
        <f>_xlfn.XLOOKUP(Table1[[#This Row],[Attrition]],Table2[Attrition],Table2[Id_Attrition])</f>
        <v>A002</v>
      </c>
      <c r="C495" t="s">
        <v>33</v>
      </c>
      <c r="D495" t="str">
        <f>_xlfn.XLOOKUP(Table1[[#This Row],[BusinessTravel]],Table5[BusinessTravel],Table5[Id_BusinessTravel])</f>
        <v>BS001</v>
      </c>
      <c r="E495" t="s">
        <v>34</v>
      </c>
      <c r="F495">
        <v>1112</v>
      </c>
      <c r="G495" t="str">
        <f>_xlfn.XLOOKUP(Table1[[#This Row],[Department]],Table6[Department],Table6[Id_Departement])</f>
        <v>D003</v>
      </c>
      <c r="H495" t="s">
        <v>39</v>
      </c>
      <c r="I495">
        <v>1</v>
      </c>
      <c r="J495" t="str">
        <f>_xlfn.XLOOKUP(Table1[[#This Row],[Education]],Table8[Education],Table8[Id_Education])</f>
        <v>E004</v>
      </c>
      <c r="K495">
        <v>4</v>
      </c>
      <c r="L495" t="str">
        <f>_xlfn.XLOOKUP(Table1[[#This Row],[EducationField]],Table7[EducationField],Table7[Id_EducationField])</f>
        <v>EF001</v>
      </c>
      <c r="M495" t="s">
        <v>40</v>
      </c>
      <c r="N495" t="str">
        <f>_xlfn.XLOOKUP(Table1[[#This Row],[EmployeeNumber]],Table4[EmployeeNumber],Table4[Id_Employee])</f>
        <v>EMP00494</v>
      </c>
      <c r="O495">
        <v>665</v>
      </c>
      <c r="P495" t="str">
        <f>_xlfn.XLOOKUP(Table1[[#This Row],[EnvironmentSatisfaction]],Table9[EnvironmentSatisfaction],Table9[Id_EnviromentSatisfaction])</f>
        <v>ES001</v>
      </c>
      <c r="Q495">
        <v>1</v>
      </c>
      <c r="R495" t="str">
        <f>_xlfn.XLOOKUP(Table1[[#This Row],[EnvironmentSatisfaction]],Table9[EnvironmentSatisfaction],Table9[Deskripsi])</f>
        <v>Low</v>
      </c>
      <c r="S495" t="str">
        <f>_xlfn.XLOOKUP(Table1[[#This Row],[Gender]],Table10[Gender],Table10[Id_Gender])</f>
        <v>G001</v>
      </c>
      <c r="T495" t="s">
        <v>45</v>
      </c>
      <c r="U495">
        <v>50</v>
      </c>
      <c r="V495" t="str">
        <f>_xlfn.XLOOKUP(Table1[[#This Row],[JobInvolvement]],Table11[JobInvolvement],Table11[Id_JobInvolvement])</f>
        <v>JI002</v>
      </c>
      <c r="W495">
        <v>2</v>
      </c>
      <c r="X495" t="str">
        <f>_xlfn.XLOOKUP(Table1[[#This Row],[JobLevel]],Table12[JobLevel],Table12[Id_JobLevel])</f>
        <v>JL002</v>
      </c>
      <c r="Y495">
        <v>2</v>
      </c>
      <c r="Z495" t="str">
        <f>_xlfn.XLOOKUP(Table1[[#This Row],[JobRole]],Table13[JobRole],Table13[Id_JobRole])</f>
        <v>JR009</v>
      </c>
      <c r="AA495" t="s">
        <v>39</v>
      </c>
      <c r="AB495" t="str">
        <f>_xlfn.XLOOKUP(Table1[[#This Row],[JobSatisfaction]],Table14[JobSatisfaction],Table14[Id_JobSatisfaction])</f>
        <v>JS003</v>
      </c>
      <c r="AC495">
        <v>3</v>
      </c>
      <c r="AD495" t="str">
        <f>_xlfn.XLOOKUP(Table1[[#This Row],[JobSatisfaction]],Table14[JobSatisfaction],Table14[Deskripsi])</f>
        <v>High</v>
      </c>
      <c r="AE495" t="str">
        <f>_xlfn.XLOOKUP(Table1[[#This Row],[MaritalStatus]],Table15[MaritalStatus],Table15[Id_MaritalStatus])</f>
        <v>MS001</v>
      </c>
      <c r="AF495" t="s">
        <v>55</v>
      </c>
      <c r="AG495">
        <v>5985</v>
      </c>
      <c r="AH495">
        <v>26894</v>
      </c>
      <c r="AI495">
        <v>4</v>
      </c>
      <c r="AJ495" t="str">
        <f>_xlfn.XLOOKUP(Table1[[#This Row],[OverTime]],Table16[OverTime],Table16[Id_OverTime])</f>
        <v>OT002</v>
      </c>
      <c r="AK495" t="s">
        <v>33</v>
      </c>
      <c r="AL495">
        <v>11</v>
      </c>
      <c r="AM495" t="str">
        <f>_xlfn.XLOOKUP(Table1[[#This Row],[PerformanceRating]],Table17[PerformanceRating],Table17[Id_PerformanceRating])</f>
        <v>PR003</v>
      </c>
      <c r="AN495">
        <v>3</v>
      </c>
      <c r="AO495" t="str">
        <f>_xlfn.XLOOKUP(Table1[[#This Row],[PerformanceRating]],Table17[PerformanceRating],Table17[Deskripsi])</f>
        <v>Excellent</v>
      </c>
      <c r="AP495" t="str">
        <f>_xlfn.XLOOKUP(Table1[[#This Row],[RelationshipSatisfaction]],Table18[RelationshipSatisfaction],Table18[Id_RelationshipSatisfaction])</f>
        <v>RS002</v>
      </c>
      <c r="AQ495">
        <v>2</v>
      </c>
      <c r="AR495" t="str">
        <f>_xlfn.XLOOKUP(Table1[[#This Row],[RelationshipSatisfaction]],Table18[RelationshipSatisfaction],Table18[Deskripsi])</f>
        <v>Medium</v>
      </c>
      <c r="AS495" t="str">
        <f>_xlfn.XLOOKUP(Table1[[#This Row],[StockOptionLevel]],Table19[StockOptionLevel],Table19[Id_StockOptionLevel])</f>
        <v>SOL001</v>
      </c>
      <c r="AT495">
        <v>0</v>
      </c>
      <c r="AU495" t="str">
        <f>_xlfn.XLOOKUP(Table1[[#This Row],[StockOptionLevel]],Table19[StockOptionLevel],Table19[Deskripsi])</f>
        <v>Non-Eligible</v>
      </c>
      <c r="AV495">
        <v>10</v>
      </c>
      <c r="AW495">
        <v>1</v>
      </c>
      <c r="AX495" t="str">
        <f>_xlfn.XLOOKUP(Table1[[#This Row],[WorkLifeBalance]],Table20[WorkLifeBalance],Table20[Id_WorkLifeBalance])</f>
        <v>WLB004</v>
      </c>
      <c r="AY495">
        <v>4</v>
      </c>
      <c r="AZ495" t="str">
        <f>_xlfn.XLOOKUP(Table1[[#This Row],[WorkLifeBalance]],Table20[WorkLifeBalance],Table20[Deskripsi])</f>
        <v>Best</v>
      </c>
      <c r="BA495">
        <v>2</v>
      </c>
      <c r="BB495">
        <v>2</v>
      </c>
      <c r="BC495">
        <v>0</v>
      </c>
      <c r="BD495">
        <v>2</v>
      </c>
    </row>
    <row r="496" spans="1:56" x14ac:dyDescent="0.25">
      <c r="A496">
        <v>34</v>
      </c>
      <c r="B496" t="str">
        <f>_xlfn.XLOOKUP(Table1[[#This Row],[Attrition]],Table2[Attrition],Table2[Id_Attrition])</f>
        <v>A002</v>
      </c>
      <c r="C496" t="s">
        <v>33</v>
      </c>
      <c r="D496" t="str">
        <f>_xlfn.XLOOKUP(Table1[[#This Row],[BusinessTravel]],Table5[BusinessTravel],Table5[Id_BusinessTravel])</f>
        <v>BS001</v>
      </c>
      <c r="E496" t="s">
        <v>34</v>
      </c>
      <c r="F496">
        <v>204</v>
      </c>
      <c r="G496" t="str">
        <f>_xlfn.XLOOKUP(Table1[[#This Row],[Department]],Table6[Department],Table6[Id_Departement])</f>
        <v>D001</v>
      </c>
      <c r="H496" t="s">
        <v>37</v>
      </c>
      <c r="I496">
        <v>14</v>
      </c>
      <c r="J496" t="str">
        <f>_xlfn.XLOOKUP(Table1[[#This Row],[Education]],Table8[Education],Table8[Id_Education])</f>
        <v>E003</v>
      </c>
      <c r="K496">
        <v>3</v>
      </c>
      <c r="L496" t="str">
        <f>_xlfn.XLOOKUP(Table1[[#This Row],[EducationField]],Table7[EducationField],Table7[Id_EducationField])</f>
        <v>EF005</v>
      </c>
      <c r="M496" t="s">
        <v>44</v>
      </c>
      <c r="N496" t="str">
        <f>_xlfn.XLOOKUP(Table1[[#This Row],[EmployeeNumber]],Table4[EmployeeNumber],Table4[Id_Employee])</f>
        <v>EMP00495</v>
      </c>
      <c r="O496">
        <v>666</v>
      </c>
      <c r="P496" t="str">
        <f>_xlfn.XLOOKUP(Table1[[#This Row],[EnvironmentSatisfaction]],Table9[EnvironmentSatisfaction],Table9[Id_EnviromentSatisfaction])</f>
        <v>ES003</v>
      </c>
      <c r="Q496">
        <v>3</v>
      </c>
      <c r="R496" t="str">
        <f>_xlfn.XLOOKUP(Table1[[#This Row],[EnvironmentSatisfaction]],Table9[EnvironmentSatisfaction],Table9[Deskripsi])</f>
        <v>High</v>
      </c>
      <c r="S496" t="str">
        <f>_xlfn.XLOOKUP(Table1[[#This Row],[Gender]],Table10[Gender],Table10[Id_Gender])</f>
        <v>G001</v>
      </c>
      <c r="T496" t="s">
        <v>45</v>
      </c>
      <c r="U496">
        <v>31</v>
      </c>
      <c r="V496" t="str">
        <f>_xlfn.XLOOKUP(Table1[[#This Row],[JobInvolvement]],Table11[JobInvolvement],Table11[Id_JobInvolvement])</f>
        <v>JI003</v>
      </c>
      <c r="W496">
        <v>3</v>
      </c>
      <c r="X496" t="str">
        <f>_xlfn.XLOOKUP(Table1[[#This Row],[JobLevel]],Table12[JobLevel],Table12[Id_JobLevel])</f>
        <v>JL001</v>
      </c>
      <c r="Y496">
        <v>1</v>
      </c>
      <c r="Z496" t="str">
        <f>_xlfn.XLOOKUP(Table1[[#This Row],[JobRole]],Table13[JobRole],Table13[Id_JobRole])</f>
        <v>JR007</v>
      </c>
      <c r="AA496" t="s">
        <v>53</v>
      </c>
      <c r="AB496" t="str">
        <f>_xlfn.XLOOKUP(Table1[[#This Row],[JobSatisfaction]],Table14[JobSatisfaction],Table14[Id_JobSatisfaction])</f>
        <v>JS003</v>
      </c>
      <c r="AC496">
        <v>3</v>
      </c>
      <c r="AD496" t="str">
        <f>_xlfn.XLOOKUP(Table1[[#This Row],[JobSatisfaction]],Table14[JobSatisfaction],Table14[Deskripsi])</f>
        <v>High</v>
      </c>
      <c r="AE496" t="str">
        <f>_xlfn.XLOOKUP(Table1[[#This Row],[MaritalStatus]],Table15[MaritalStatus],Table15[Id_MaritalStatus])</f>
        <v>MS003</v>
      </c>
      <c r="AF496" t="s">
        <v>57</v>
      </c>
      <c r="AG496">
        <v>2579</v>
      </c>
      <c r="AH496">
        <v>2912</v>
      </c>
      <c r="AI496">
        <v>1</v>
      </c>
      <c r="AJ496" t="str">
        <f>_xlfn.XLOOKUP(Table1[[#This Row],[OverTime]],Table16[OverTime],Table16[Id_OverTime])</f>
        <v>OT001</v>
      </c>
      <c r="AK496" t="s">
        <v>32</v>
      </c>
      <c r="AL496">
        <v>18</v>
      </c>
      <c r="AM496" t="str">
        <f>_xlfn.XLOOKUP(Table1[[#This Row],[PerformanceRating]],Table17[PerformanceRating],Table17[Id_PerformanceRating])</f>
        <v>PR003</v>
      </c>
      <c r="AN496">
        <v>3</v>
      </c>
      <c r="AO496" t="str">
        <f>_xlfn.XLOOKUP(Table1[[#This Row],[PerformanceRating]],Table17[PerformanceRating],Table17[Deskripsi])</f>
        <v>Excellent</v>
      </c>
      <c r="AP496" t="str">
        <f>_xlfn.XLOOKUP(Table1[[#This Row],[RelationshipSatisfaction]],Table18[RelationshipSatisfaction],Table18[Id_RelationshipSatisfaction])</f>
        <v>RS004</v>
      </c>
      <c r="AQ496">
        <v>4</v>
      </c>
      <c r="AR496" t="str">
        <f>_xlfn.XLOOKUP(Table1[[#This Row],[RelationshipSatisfaction]],Table18[RelationshipSatisfaction],Table18[Deskripsi])</f>
        <v>Very High</v>
      </c>
      <c r="AS496" t="str">
        <f>_xlfn.XLOOKUP(Table1[[#This Row],[StockOptionLevel]],Table19[StockOptionLevel],Table19[Id_StockOptionLevel])</f>
        <v>SOL003</v>
      </c>
      <c r="AT496">
        <v>2</v>
      </c>
      <c r="AU496" t="str">
        <f>_xlfn.XLOOKUP(Table1[[#This Row],[StockOptionLevel]],Table19[StockOptionLevel],Table19[Deskripsi])</f>
        <v>Intermediate</v>
      </c>
      <c r="AV496">
        <v>8</v>
      </c>
      <c r="AW496">
        <v>3</v>
      </c>
      <c r="AX496" t="str">
        <f>_xlfn.XLOOKUP(Table1[[#This Row],[WorkLifeBalance]],Table20[WorkLifeBalance],Table20[Id_WorkLifeBalance])</f>
        <v>WLB002</v>
      </c>
      <c r="AY496">
        <v>3</v>
      </c>
      <c r="AZ496" t="str">
        <f>_xlfn.XLOOKUP(Table1[[#This Row],[WorkLifeBalance]],Table20[WorkLifeBalance],Table20[Deskripsi])</f>
        <v>Good</v>
      </c>
      <c r="BA496">
        <v>8</v>
      </c>
      <c r="BB496">
        <v>2</v>
      </c>
      <c r="BC496">
        <v>0</v>
      </c>
      <c r="BD496">
        <v>6</v>
      </c>
    </row>
    <row r="497" spans="1:56" x14ac:dyDescent="0.25">
      <c r="A497">
        <v>27</v>
      </c>
      <c r="B497" t="str">
        <f>_xlfn.XLOOKUP(Table1[[#This Row],[Attrition]],Table2[Attrition],Table2[Id_Attrition])</f>
        <v>A001</v>
      </c>
      <c r="C497" t="s">
        <v>32</v>
      </c>
      <c r="D497" t="str">
        <f>_xlfn.XLOOKUP(Table1[[#This Row],[BusinessTravel]],Table5[BusinessTravel],Table5[Id_BusinessTravel])</f>
        <v>BS001</v>
      </c>
      <c r="E497" t="s">
        <v>34</v>
      </c>
      <c r="F497">
        <v>1420</v>
      </c>
      <c r="G497" t="str">
        <f>_xlfn.XLOOKUP(Table1[[#This Row],[Department]],Table6[Department],Table6[Id_Departement])</f>
        <v>D001</v>
      </c>
      <c r="H497" t="s">
        <v>37</v>
      </c>
      <c r="I497">
        <v>2</v>
      </c>
      <c r="J497" t="str">
        <f>_xlfn.XLOOKUP(Table1[[#This Row],[Education]],Table8[Education],Table8[Id_Education])</f>
        <v>E001</v>
      </c>
      <c r="K497">
        <v>1</v>
      </c>
      <c r="L497" t="str">
        <f>_xlfn.XLOOKUP(Table1[[#This Row],[EducationField]],Table7[EducationField],Table7[Id_EducationField])</f>
        <v>EF004</v>
      </c>
      <c r="M497" t="s">
        <v>43</v>
      </c>
      <c r="N497" t="str">
        <f>_xlfn.XLOOKUP(Table1[[#This Row],[EmployeeNumber]],Table4[EmployeeNumber],Table4[Id_Employee])</f>
        <v>EMP00496</v>
      </c>
      <c r="O497">
        <v>667</v>
      </c>
      <c r="P497" t="str">
        <f>_xlfn.XLOOKUP(Table1[[#This Row],[EnvironmentSatisfaction]],Table9[EnvironmentSatisfaction],Table9[Id_EnviromentSatisfaction])</f>
        <v>ES003</v>
      </c>
      <c r="Q497">
        <v>3</v>
      </c>
      <c r="R497" t="str">
        <f>_xlfn.XLOOKUP(Table1[[#This Row],[EnvironmentSatisfaction]],Table9[EnvironmentSatisfaction],Table9[Deskripsi])</f>
        <v>High</v>
      </c>
      <c r="S497" t="str">
        <f>_xlfn.XLOOKUP(Table1[[#This Row],[Gender]],Table10[Gender],Table10[Id_Gender])</f>
        <v>G002</v>
      </c>
      <c r="T497" t="s">
        <v>46</v>
      </c>
      <c r="U497">
        <v>85</v>
      </c>
      <c r="V497" t="str">
        <f>_xlfn.XLOOKUP(Table1[[#This Row],[JobInvolvement]],Table11[JobInvolvement],Table11[Id_JobInvolvement])</f>
        <v>JI003</v>
      </c>
      <c r="W497">
        <v>3</v>
      </c>
      <c r="X497" t="str">
        <f>_xlfn.XLOOKUP(Table1[[#This Row],[JobLevel]],Table12[JobLevel],Table12[Id_JobLevel])</f>
        <v>JL001</v>
      </c>
      <c r="Y497">
        <v>1</v>
      </c>
      <c r="Z497" t="str">
        <f>_xlfn.XLOOKUP(Table1[[#This Row],[JobRole]],Table13[JobRole],Table13[Id_JobRole])</f>
        <v>JR007</v>
      </c>
      <c r="AA497" t="s">
        <v>53</v>
      </c>
      <c r="AB497" t="str">
        <f>_xlfn.XLOOKUP(Table1[[#This Row],[JobSatisfaction]],Table14[JobSatisfaction],Table14[Id_JobSatisfaction])</f>
        <v>JS001</v>
      </c>
      <c r="AC497">
        <v>1</v>
      </c>
      <c r="AD497" t="str">
        <f>_xlfn.XLOOKUP(Table1[[#This Row],[JobSatisfaction]],Table14[JobSatisfaction],Table14[Deskripsi])</f>
        <v>Low</v>
      </c>
      <c r="AE497" t="str">
        <f>_xlfn.XLOOKUP(Table1[[#This Row],[MaritalStatus]],Table15[MaritalStatus],Table15[Id_MaritalStatus])</f>
        <v>MS003</v>
      </c>
      <c r="AF497" t="s">
        <v>57</v>
      </c>
      <c r="AG497">
        <v>3041</v>
      </c>
      <c r="AH497">
        <v>16346</v>
      </c>
      <c r="AI497">
        <v>0</v>
      </c>
      <c r="AJ497" t="str">
        <f>_xlfn.XLOOKUP(Table1[[#This Row],[OverTime]],Table16[OverTime],Table16[Id_OverTime])</f>
        <v>OT002</v>
      </c>
      <c r="AK497" t="s">
        <v>33</v>
      </c>
      <c r="AL497">
        <v>11</v>
      </c>
      <c r="AM497" t="str">
        <f>_xlfn.XLOOKUP(Table1[[#This Row],[PerformanceRating]],Table17[PerformanceRating],Table17[Id_PerformanceRating])</f>
        <v>PR003</v>
      </c>
      <c r="AN497">
        <v>3</v>
      </c>
      <c r="AO497" t="str">
        <f>_xlfn.XLOOKUP(Table1[[#This Row],[PerformanceRating]],Table17[PerformanceRating],Table17[Deskripsi])</f>
        <v>Excellent</v>
      </c>
      <c r="AP497" t="str">
        <f>_xlfn.XLOOKUP(Table1[[#This Row],[RelationshipSatisfaction]],Table18[RelationshipSatisfaction],Table18[Id_RelationshipSatisfaction])</f>
        <v>RS002</v>
      </c>
      <c r="AQ497">
        <v>2</v>
      </c>
      <c r="AR497" t="str">
        <f>_xlfn.XLOOKUP(Table1[[#This Row],[RelationshipSatisfaction]],Table18[RelationshipSatisfaction],Table18[Deskripsi])</f>
        <v>Medium</v>
      </c>
      <c r="AS497" t="str">
        <f>_xlfn.XLOOKUP(Table1[[#This Row],[StockOptionLevel]],Table19[StockOptionLevel],Table19[Id_StockOptionLevel])</f>
        <v>SOL002</v>
      </c>
      <c r="AT497">
        <v>1</v>
      </c>
      <c r="AU497" t="str">
        <f>_xlfn.XLOOKUP(Table1[[#This Row],[StockOptionLevel]],Table19[StockOptionLevel],Table19[Deskripsi])</f>
        <v>Standard</v>
      </c>
      <c r="AV497">
        <v>5</v>
      </c>
      <c r="AW497">
        <v>3</v>
      </c>
      <c r="AX497" t="str">
        <f>_xlfn.XLOOKUP(Table1[[#This Row],[WorkLifeBalance]],Table20[WorkLifeBalance],Table20[Id_WorkLifeBalance])</f>
        <v>WLB002</v>
      </c>
      <c r="AY497">
        <v>3</v>
      </c>
      <c r="AZ497" t="str">
        <f>_xlfn.XLOOKUP(Table1[[#This Row],[WorkLifeBalance]],Table20[WorkLifeBalance],Table20[Deskripsi])</f>
        <v>Good</v>
      </c>
      <c r="BA497">
        <v>4</v>
      </c>
      <c r="BB497">
        <v>3</v>
      </c>
      <c r="BC497">
        <v>0</v>
      </c>
      <c r="BD497">
        <v>2</v>
      </c>
    </row>
    <row r="498" spans="1:56" x14ac:dyDescent="0.25">
      <c r="A498">
        <v>21</v>
      </c>
      <c r="B498" t="str">
        <f>_xlfn.XLOOKUP(Table1[[#This Row],[Attrition]],Table2[Attrition],Table2[Id_Attrition])</f>
        <v>A002</v>
      </c>
      <c r="C498" t="s">
        <v>33</v>
      </c>
      <c r="D498" t="str">
        <f>_xlfn.XLOOKUP(Table1[[#This Row],[BusinessTravel]],Table5[BusinessTravel],Table5[Id_BusinessTravel])</f>
        <v>BS001</v>
      </c>
      <c r="E498" t="s">
        <v>34</v>
      </c>
      <c r="F498">
        <v>1343</v>
      </c>
      <c r="G498" t="str">
        <f>_xlfn.XLOOKUP(Table1[[#This Row],[Department]],Table6[Department],Table6[Id_Departement])</f>
        <v>D001</v>
      </c>
      <c r="H498" t="s">
        <v>37</v>
      </c>
      <c r="I498">
        <v>22</v>
      </c>
      <c r="J498" t="str">
        <f>_xlfn.XLOOKUP(Table1[[#This Row],[Education]],Table8[Education],Table8[Id_Education])</f>
        <v>E001</v>
      </c>
      <c r="K498">
        <v>1</v>
      </c>
      <c r="L498" t="str">
        <f>_xlfn.XLOOKUP(Table1[[#This Row],[EducationField]],Table7[EducationField],Table7[Id_EducationField])</f>
        <v>EF005</v>
      </c>
      <c r="M498" t="s">
        <v>44</v>
      </c>
      <c r="N498" t="str">
        <f>_xlfn.XLOOKUP(Table1[[#This Row],[EmployeeNumber]],Table4[EmployeeNumber],Table4[Id_Employee])</f>
        <v>EMP00497</v>
      </c>
      <c r="O498">
        <v>669</v>
      </c>
      <c r="P498" t="str">
        <f>_xlfn.XLOOKUP(Table1[[#This Row],[EnvironmentSatisfaction]],Table9[EnvironmentSatisfaction],Table9[Id_EnviromentSatisfaction])</f>
        <v>ES003</v>
      </c>
      <c r="Q498">
        <v>3</v>
      </c>
      <c r="R498" t="str">
        <f>_xlfn.XLOOKUP(Table1[[#This Row],[EnvironmentSatisfaction]],Table9[EnvironmentSatisfaction],Table9[Deskripsi])</f>
        <v>High</v>
      </c>
      <c r="S498" t="str">
        <f>_xlfn.XLOOKUP(Table1[[#This Row],[Gender]],Table10[Gender],Table10[Id_Gender])</f>
        <v>G002</v>
      </c>
      <c r="T498" t="s">
        <v>46</v>
      </c>
      <c r="U498">
        <v>49</v>
      </c>
      <c r="V498" t="str">
        <f>_xlfn.XLOOKUP(Table1[[#This Row],[JobInvolvement]],Table11[JobInvolvement],Table11[Id_JobInvolvement])</f>
        <v>JI003</v>
      </c>
      <c r="W498">
        <v>3</v>
      </c>
      <c r="X498" t="str">
        <f>_xlfn.XLOOKUP(Table1[[#This Row],[JobLevel]],Table12[JobLevel],Table12[Id_JobLevel])</f>
        <v>JL001</v>
      </c>
      <c r="Y498">
        <v>1</v>
      </c>
      <c r="Z498" t="str">
        <f>_xlfn.XLOOKUP(Table1[[#This Row],[JobRole]],Table13[JobRole],Table13[Id_JobRole])</f>
        <v>JR007</v>
      </c>
      <c r="AA498" t="s">
        <v>53</v>
      </c>
      <c r="AB498" t="str">
        <f>_xlfn.XLOOKUP(Table1[[#This Row],[JobSatisfaction]],Table14[JobSatisfaction],Table14[Id_JobSatisfaction])</f>
        <v>JS003</v>
      </c>
      <c r="AC498">
        <v>3</v>
      </c>
      <c r="AD498" t="str">
        <f>_xlfn.XLOOKUP(Table1[[#This Row],[JobSatisfaction]],Table14[JobSatisfaction],Table14[Deskripsi])</f>
        <v>High</v>
      </c>
      <c r="AE498" t="str">
        <f>_xlfn.XLOOKUP(Table1[[#This Row],[MaritalStatus]],Table15[MaritalStatus],Table15[Id_MaritalStatus])</f>
        <v>MS001</v>
      </c>
      <c r="AF498" t="s">
        <v>55</v>
      </c>
      <c r="AG498">
        <v>3447</v>
      </c>
      <c r="AH498">
        <v>24444</v>
      </c>
      <c r="AI498">
        <v>1</v>
      </c>
      <c r="AJ498" t="str">
        <f>_xlfn.XLOOKUP(Table1[[#This Row],[OverTime]],Table16[OverTime],Table16[Id_OverTime])</f>
        <v>OT002</v>
      </c>
      <c r="AK498" t="s">
        <v>33</v>
      </c>
      <c r="AL498">
        <v>11</v>
      </c>
      <c r="AM498" t="str">
        <f>_xlfn.XLOOKUP(Table1[[#This Row],[PerformanceRating]],Table17[PerformanceRating],Table17[Id_PerformanceRating])</f>
        <v>PR003</v>
      </c>
      <c r="AN498">
        <v>3</v>
      </c>
      <c r="AO498" t="str">
        <f>_xlfn.XLOOKUP(Table1[[#This Row],[PerformanceRating]],Table17[PerformanceRating],Table17[Deskripsi])</f>
        <v>Excellent</v>
      </c>
      <c r="AP498" t="str">
        <f>_xlfn.XLOOKUP(Table1[[#This Row],[RelationshipSatisfaction]],Table18[RelationshipSatisfaction],Table18[Id_RelationshipSatisfaction])</f>
        <v>RS003</v>
      </c>
      <c r="AQ498">
        <v>3</v>
      </c>
      <c r="AR498" t="str">
        <f>_xlfn.XLOOKUP(Table1[[#This Row],[RelationshipSatisfaction]],Table18[RelationshipSatisfaction],Table18[Deskripsi])</f>
        <v>High</v>
      </c>
      <c r="AS498" t="str">
        <f>_xlfn.XLOOKUP(Table1[[#This Row],[StockOptionLevel]],Table19[StockOptionLevel],Table19[Id_StockOptionLevel])</f>
        <v>SOL001</v>
      </c>
      <c r="AT498">
        <v>0</v>
      </c>
      <c r="AU498" t="str">
        <f>_xlfn.XLOOKUP(Table1[[#This Row],[StockOptionLevel]],Table19[StockOptionLevel],Table19[Deskripsi])</f>
        <v>Non-Eligible</v>
      </c>
      <c r="AV498">
        <v>3</v>
      </c>
      <c r="AW498">
        <v>2</v>
      </c>
      <c r="AX498" t="str">
        <f>_xlfn.XLOOKUP(Table1[[#This Row],[WorkLifeBalance]],Table20[WorkLifeBalance],Table20[Id_WorkLifeBalance])</f>
        <v>WLB002</v>
      </c>
      <c r="AY498">
        <v>3</v>
      </c>
      <c r="AZ498" t="str">
        <f>_xlfn.XLOOKUP(Table1[[#This Row],[WorkLifeBalance]],Table20[WorkLifeBalance],Table20[Deskripsi])</f>
        <v>Good</v>
      </c>
      <c r="BA498">
        <v>3</v>
      </c>
      <c r="BB498">
        <v>2</v>
      </c>
      <c r="BC498">
        <v>1</v>
      </c>
      <c r="BD498">
        <v>2</v>
      </c>
    </row>
    <row r="499" spans="1:56" x14ac:dyDescent="0.25">
      <c r="A499">
        <v>44</v>
      </c>
      <c r="B499" t="str">
        <f>_xlfn.XLOOKUP(Table1[[#This Row],[Attrition]],Table2[Attrition],Table2[Id_Attrition])</f>
        <v>A002</v>
      </c>
      <c r="C499" t="s">
        <v>33</v>
      </c>
      <c r="D499" t="str">
        <f>_xlfn.XLOOKUP(Table1[[#This Row],[BusinessTravel]],Table5[BusinessTravel],Table5[Id_BusinessTravel])</f>
        <v>BS001</v>
      </c>
      <c r="E499" t="s">
        <v>34</v>
      </c>
      <c r="F499">
        <v>1315</v>
      </c>
      <c r="G499" t="str">
        <f>_xlfn.XLOOKUP(Table1[[#This Row],[Department]],Table6[Department],Table6[Id_Departement])</f>
        <v>D002</v>
      </c>
      <c r="H499" t="s">
        <v>38</v>
      </c>
      <c r="I499">
        <v>3</v>
      </c>
      <c r="J499" t="str">
        <f>_xlfn.XLOOKUP(Table1[[#This Row],[Education]],Table8[Education],Table8[Id_Education])</f>
        <v>E004</v>
      </c>
      <c r="K499">
        <v>4</v>
      </c>
      <c r="L499" t="str">
        <f>_xlfn.XLOOKUP(Table1[[#This Row],[EducationField]],Table7[EducationField],Table7[Id_EducationField])</f>
        <v>EF002</v>
      </c>
      <c r="M499" t="s">
        <v>41</v>
      </c>
      <c r="N499" t="str">
        <f>_xlfn.XLOOKUP(Table1[[#This Row],[EmployeeNumber]],Table4[EmployeeNumber],Table4[Id_Employee])</f>
        <v>EMP00498</v>
      </c>
      <c r="O499">
        <v>671</v>
      </c>
      <c r="P499" t="str">
        <f>_xlfn.XLOOKUP(Table1[[#This Row],[EnvironmentSatisfaction]],Table9[EnvironmentSatisfaction],Table9[Id_EnviromentSatisfaction])</f>
        <v>ES004</v>
      </c>
      <c r="Q499">
        <v>4</v>
      </c>
      <c r="R499" t="str">
        <f>_xlfn.XLOOKUP(Table1[[#This Row],[EnvironmentSatisfaction]],Table9[EnvironmentSatisfaction],Table9[Deskripsi])</f>
        <v>Very High</v>
      </c>
      <c r="S499" t="str">
        <f>_xlfn.XLOOKUP(Table1[[#This Row],[Gender]],Table10[Gender],Table10[Id_Gender])</f>
        <v>G002</v>
      </c>
      <c r="T499" t="s">
        <v>46</v>
      </c>
      <c r="U499">
        <v>35</v>
      </c>
      <c r="V499" t="str">
        <f>_xlfn.XLOOKUP(Table1[[#This Row],[JobInvolvement]],Table11[JobInvolvement],Table11[Id_JobInvolvement])</f>
        <v>JI003</v>
      </c>
      <c r="W499">
        <v>3</v>
      </c>
      <c r="X499" t="str">
        <f>_xlfn.XLOOKUP(Table1[[#This Row],[JobLevel]],Table12[JobLevel],Table12[Id_JobLevel])</f>
        <v>JL005</v>
      </c>
      <c r="Y499">
        <v>5</v>
      </c>
      <c r="Z499" t="str">
        <f>_xlfn.XLOOKUP(Table1[[#This Row],[JobRole]],Table13[JobRole],Table13[Id_JobRole])</f>
        <v>JR006</v>
      </c>
      <c r="AA499" t="s">
        <v>52</v>
      </c>
      <c r="AB499" t="str">
        <f>_xlfn.XLOOKUP(Table1[[#This Row],[JobSatisfaction]],Table14[JobSatisfaction],Table14[Id_JobSatisfaction])</f>
        <v>JS004</v>
      </c>
      <c r="AC499">
        <v>4</v>
      </c>
      <c r="AD499" t="str">
        <f>_xlfn.XLOOKUP(Table1[[#This Row],[JobSatisfaction]],Table14[JobSatisfaction],Table14[Deskripsi])</f>
        <v>Very High</v>
      </c>
      <c r="AE499" t="str">
        <f>_xlfn.XLOOKUP(Table1[[#This Row],[MaritalStatus]],Table15[MaritalStatus],Table15[Id_MaritalStatus])</f>
        <v>MS002</v>
      </c>
      <c r="AF499" t="s">
        <v>56</v>
      </c>
      <c r="AG499">
        <v>19513</v>
      </c>
      <c r="AH499">
        <v>9358</v>
      </c>
      <c r="AI499">
        <v>4</v>
      </c>
      <c r="AJ499" t="str">
        <f>_xlfn.XLOOKUP(Table1[[#This Row],[OverTime]],Table16[OverTime],Table16[Id_OverTime])</f>
        <v>OT001</v>
      </c>
      <c r="AK499" t="s">
        <v>32</v>
      </c>
      <c r="AL499">
        <v>12</v>
      </c>
      <c r="AM499" t="str">
        <f>_xlfn.XLOOKUP(Table1[[#This Row],[PerformanceRating]],Table17[PerformanceRating],Table17[Id_PerformanceRating])</f>
        <v>PR003</v>
      </c>
      <c r="AN499">
        <v>3</v>
      </c>
      <c r="AO499" t="str">
        <f>_xlfn.XLOOKUP(Table1[[#This Row],[PerformanceRating]],Table17[PerformanceRating],Table17[Deskripsi])</f>
        <v>Excellent</v>
      </c>
      <c r="AP499" t="str">
        <f>_xlfn.XLOOKUP(Table1[[#This Row],[RelationshipSatisfaction]],Table18[RelationshipSatisfaction],Table18[Id_RelationshipSatisfaction])</f>
        <v>RS001</v>
      </c>
      <c r="AQ499">
        <v>1</v>
      </c>
      <c r="AR499" t="str">
        <f>_xlfn.XLOOKUP(Table1[[#This Row],[RelationshipSatisfaction]],Table18[RelationshipSatisfaction],Table18[Deskripsi])</f>
        <v>Low</v>
      </c>
      <c r="AS499" t="str">
        <f>_xlfn.XLOOKUP(Table1[[#This Row],[StockOptionLevel]],Table19[StockOptionLevel],Table19[Id_StockOptionLevel])</f>
        <v>SOL002</v>
      </c>
      <c r="AT499">
        <v>1</v>
      </c>
      <c r="AU499" t="str">
        <f>_xlfn.XLOOKUP(Table1[[#This Row],[StockOptionLevel]],Table19[StockOptionLevel],Table19[Deskripsi])</f>
        <v>Standard</v>
      </c>
      <c r="AV499">
        <v>26</v>
      </c>
      <c r="AW499">
        <v>2</v>
      </c>
      <c r="AX499" t="str">
        <f>_xlfn.XLOOKUP(Table1[[#This Row],[WorkLifeBalance]],Table20[WorkLifeBalance],Table20[Id_WorkLifeBalance])</f>
        <v>WLB004</v>
      </c>
      <c r="AY499">
        <v>4</v>
      </c>
      <c r="AZ499" t="str">
        <f>_xlfn.XLOOKUP(Table1[[#This Row],[WorkLifeBalance]],Table20[WorkLifeBalance],Table20[Deskripsi])</f>
        <v>Best</v>
      </c>
      <c r="BA499">
        <v>2</v>
      </c>
      <c r="BB499">
        <v>2</v>
      </c>
      <c r="BC499">
        <v>0</v>
      </c>
      <c r="BD499">
        <v>1</v>
      </c>
    </row>
    <row r="500" spans="1:56" x14ac:dyDescent="0.25">
      <c r="A500">
        <v>22</v>
      </c>
      <c r="B500" t="str">
        <f>_xlfn.XLOOKUP(Table1[[#This Row],[Attrition]],Table2[Attrition],Table2[Id_Attrition])</f>
        <v>A002</v>
      </c>
      <c r="C500" t="s">
        <v>33</v>
      </c>
      <c r="D500" t="str">
        <f>_xlfn.XLOOKUP(Table1[[#This Row],[BusinessTravel]],Table5[BusinessTravel],Table5[Id_BusinessTravel])</f>
        <v>BS001</v>
      </c>
      <c r="E500" t="s">
        <v>34</v>
      </c>
      <c r="F500">
        <v>604</v>
      </c>
      <c r="G500" t="str">
        <f>_xlfn.XLOOKUP(Table1[[#This Row],[Department]],Table6[Department],Table6[Id_Departement])</f>
        <v>D002</v>
      </c>
      <c r="H500" t="s">
        <v>38</v>
      </c>
      <c r="I500">
        <v>6</v>
      </c>
      <c r="J500" t="str">
        <f>_xlfn.XLOOKUP(Table1[[#This Row],[Education]],Table8[Education],Table8[Id_Education])</f>
        <v>E001</v>
      </c>
      <c r="K500">
        <v>1</v>
      </c>
      <c r="L500" t="str">
        <f>_xlfn.XLOOKUP(Table1[[#This Row],[EducationField]],Table7[EducationField],Table7[Id_EducationField])</f>
        <v>EF003</v>
      </c>
      <c r="M500" t="s">
        <v>42</v>
      </c>
      <c r="N500" t="str">
        <f>_xlfn.XLOOKUP(Table1[[#This Row],[EmployeeNumber]],Table4[EmployeeNumber],Table4[Id_Employee])</f>
        <v>EMP00499</v>
      </c>
      <c r="O500">
        <v>675</v>
      </c>
      <c r="P500" t="str">
        <f>_xlfn.XLOOKUP(Table1[[#This Row],[EnvironmentSatisfaction]],Table9[EnvironmentSatisfaction],Table9[Id_EnviromentSatisfaction])</f>
        <v>ES001</v>
      </c>
      <c r="Q500">
        <v>1</v>
      </c>
      <c r="R500" t="str">
        <f>_xlfn.XLOOKUP(Table1[[#This Row],[EnvironmentSatisfaction]],Table9[EnvironmentSatisfaction],Table9[Deskripsi])</f>
        <v>Low</v>
      </c>
      <c r="S500" t="str">
        <f>_xlfn.XLOOKUP(Table1[[#This Row],[Gender]],Table10[Gender],Table10[Id_Gender])</f>
        <v>G002</v>
      </c>
      <c r="T500" t="s">
        <v>46</v>
      </c>
      <c r="U500">
        <v>69</v>
      </c>
      <c r="V500" t="str">
        <f>_xlfn.XLOOKUP(Table1[[#This Row],[JobInvolvement]],Table11[JobInvolvement],Table11[Id_JobInvolvement])</f>
        <v>JI003</v>
      </c>
      <c r="W500">
        <v>3</v>
      </c>
      <c r="X500" t="str">
        <f>_xlfn.XLOOKUP(Table1[[#This Row],[JobLevel]],Table12[JobLevel],Table12[Id_JobLevel])</f>
        <v>JL001</v>
      </c>
      <c r="Y500">
        <v>1</v>
      </c>
      <c r="Z500" t="str">
        <f>_xlfn.XLOOKUP(Table1[[#This Row],[JobRole]],Table13[JobRole],Table13[Id_JobRole])</f>
        <v>JR002</v>
      </c>
      <c r="AA500" t="s">
        <v>48</v>
      </c>
      <c r="AB500" t="str">
        <f>_xlfn.XLOOKUP(Table1[[#This Row],[JobSatisfaction]],Table14[JobSatisfaction],Table14[Id_JobSatisfaction])</f>
        <v>JS003</v>
      </c>
      <c r="AC500">
        <v>3</v>
      </c>
      <c r="AD500" t="str">
        <f>_xlfn.XLOOKUP(Table1[[#This Row],[JobSatisfaction]],Table14[JobSatisfaction],Table14[Deskripsi])</f>
        <v>High</v>
      </c>
      <c r="AE500" t="str">
        <f>_xlfn.XLOOKUP(Table1[[#This Row],[MaritalStatus]],Table15[MaritalStatus],Table15[Id_MaritalStatus])</f>
        <v>MS002</v>
      </c>
      <c r="AF500" t="s">
        <v>56</v>
      </c>
      <c r="AG500">
        <v>2773</v>
      </c>
      <c r="AH500">
        <v>12145</v>
      </c>
      <c r="AI500">
        <v>0</v>
      </c>
      <c r="AJ500" t="str">
        <f>_xlfn.XLOOKUP(Table1[[#This Row],[OverTime]],Table16[OverTime],Table16[Id_OverTime])</f>
        <v>OT002</v>
      </c>
      <c r="AK500" t="s">
        <v>33</v>
      </c>
      <c r="AL500">
        <v>20</v>
      </c>
      <c r="AM500" t="str">
        <f>_xlfn.XLOOKUP(Table1[[#This Row],[PerformanceRating]],Table17[PerformanceRating],Table17[Id_PerformanceRating])</f>
        <v>PR004</v>
      </c>
      <c r="AN500">
        <v>4</v>
      </c>
      <c r="AO500" t="str">
        <f>_xlfn.XLOOKUP(Table1[[#This Row],[PerformanceRating]],Table17[PerformanceRating],Table17[Deskripsi])</f>
        <v>Outstanding</v>
      </c>
      <c r="AP500" t="str">
        <f>_xlfn.XLOOKUP(Table1[[#This Row],[RelationshipSatisfaction]],Table18[RelationshipSatisfaction],Table18[Id_RelationshipSatisfaction])</f>
        <v>RS004</v>
      </c>
      <c r="AQ500">
        <v>4</v>
      </c>
      <c r="AR500" t="str">
        <f>_xlfn.XLOOKUP(Table1[[#This Row],[RelationshipSatisfaction]],Table18[RelationshipSatisfaction],Table18[Deskripsi])</f>
        <v>Very High</v>
      </c>
      <c r="AS500" t="str">
        <f>_xlfn.XLOOKUP(Table1[[#This Row],[StockOptionLevel]],Table19[StockOptionLevel],Table19[Id_StockOptionLevel])</f>
        <v>SOL001</v>
      </c>
      <c r="AT500">
        <v>0</v>
      </c>
      <c r="AU500" t="str">
        <f>_xlfn.XLOOKUP(Table1[[#This Row],[StockOptionLevel]],Table19[StockOptionLevel],Table19[Deskripsi])</f>
        <v>Non-Eligible</v>
      </c>
      <c r="AV500">
        <v>3</v>
      </c>
      <c r="AW500">
        <v>3</v>
      </c>
      <c r="AX500" t="str">
        <f>_xlfn.XLOOKUP(Table1[[#This Row],[WorkLifeBalance]],Table20[WorkLifeBalance],Table20[Id_WorkLifeBalance])</f>
        <v>WLB002</v>
      </c>
      <c r="AY500">
        <v>3</v>
      </c>
      <c r="AZ500" t="str">
        <f>_xlfn.XLOOKUP(Table1[[#This Row],[WorkLifeBalance]],Table20[WorkLifeBalance],Table20[Deskripsi])</f>
        <v>Good</v>
      </c>
      <c r="BA500">
        <v>2</v>
      </c>
      <c r="BB500">
        <v>2</v>
      </c>
      <c r="BC500">
        <v>2</v>
      </c>
      <c r="BD500">
        <v>2</v>
      </c>
    </row>
    <row r="501" spans="1:56" x14ac:dyDescent="0.25">
      <c r="A501">
        <v>33</v>
      </c>
      <c r="B501" t="str">
        <f>_xlfn.XLOOKUP(Table1[[#This Row],[Attrition]],Table2[Attrition],Table2[Id_Attrition])</f>
        <v>A002</v>
      </c>
      <c r="C501" t="s">
        <v>33</v>
      </c>
      <c r="D501" t="str">
        <f>_xlfn.XLOOKUP(Table1[[#This Row],[BusinessTravel]],Table5[BusinessTravel],Table5[Id_BusinessTravel])</f>
        <v>BS001</v>
      </c>
      <c r="E501" t="s">
        <v>34</v>
      </c>
      <c r="F501">
        <v>1216</v>
      </c>
      <c r="G501" t="str">
        <f>_xlfn.XLOOKUP(Table1[[#This Row],[Department]],Table6[Department],Table6[Id_Departement])</f>
        <v>D001</v>
      </c>
      <c r="H501" t="s">
        <v>37</v>
      </c>
      <c r="I501">
        <v>8</v>
      </c>
      <c r="J501" t="str">
        <f>_xlfn.XLOOKUP(Table1[[#This Row],[Education]],Table8[Education],Table8[Id_Education])</f>
        <v>E004</v>
      </c>
      <c r="K501">
        <v>4</v>
      </c>
      <c r="L501" t="str">
        <f>_xlfn.XLOOKUP(Table1[[#This Row],[EducationField]],Table7[EducationField],Table7[Id_EducationField])</f>
        <v>EF004</v>
      </c>
      <c r="M501" t="s">
        <v>43</v>
      </c>
      <c r="N501" t="str">
        <f>_xlfn.XLOOKUP(Table1[[#This Row],[EmployeeNumber]],Table4[EmployeeNumber],Table4[Id_Employee])</f>
        <v>EMP00500</v>
      </c>
      <c r="O501">
        <v>677</v>
      </c>
      <c r="P501" t="str">
        <f>_xlfn.XLOOKUP(Table1[[#This Row],[EnvironmentSatisfaction]],Table9[EnvironmentSatisfaction],Table9[Id_EnviromentSatisfaction])</f>
        <v>ES003</v>
      </c>
      <c r="Q501">
        <v>3</v>
      </c>
      <c r="R501" t="str">
        <f>_xlfn.XLOOKUP(Table1[[#This Row],[EnvironmentSatisfaction]],Table9[EnvironmentSatisfaction],Table9[Deskripsi])</f>
        <v>High</v>
      </c>
      <c r="S501" t="str">
        <f>_xlfn.XLOOKUP(Table1[[#This Row],[Gender]],Table10[Gender],Table10[Id_Gender])</f>
        <v>G002</v>
      </c>
      <c r="T501" t="s">
        <v>46</v>
      </c>
      <c r="U501">
        <v>39</v>
      </c>
      <c r="V501" t="str">
        <f>_xlfn.XLOOKUP(Table1[[#This Row],[JobInvolvement]],Table11[JobInvolvement],Table11[Id_JobInvolvement])</f>
        <v>JI003</v>
      </c>
      <c r="W501">
        <v>3</v>
      </c>
      <c r="X501" t="str">
        <f>_xlfn.XLOOKUP(Table1[[#This Row],[JobLevel]],Table12[JobLevel],Table12[Id_JobLevel])</f>
        <v>JL002</v>
      </c>
      <c r="Y501">
        <v>2</v>
      </c>
      <c r="Z501" t="str">
        <f>_xlfn.XLOOKUP(Table1[[#This Row],[JobRole]],Table13[JobRole],Table13[Id_JobRole])</f>
        <v>JR001</v>
      </c>
      <c r="AA501" t="s">
        <v>47</v>
      </c>
      <c r="AB501" t="str">
        <f>_xlfn.XLOOKUP(Table1[[#This Row],[JobSatisfaction]],Table14[JobSatisfaction],Table14[Id_JobSatisfaction])</f>
        <v>JS003</v>
      </c>
      <c r="AC501">
        <v>3</v>
      </c>
      <c r="AD501" t="str">
        <f>_xlfn.XLOOKUP(Table1[[#This Row],[JobSatisfaction]],Table14[JobSatisfaction],Table14[Deskripsi])</f>
        <v>High</v>
      </c>
      <c r="AE501" t="str">
        <f>_xlfn.XLOOKUP(Table1[[#This Row],[MaritalStatus]],Table15[MaritalStatus],Table15[Id_MaritalStatus])</f>
        <v>MS003</v>
      </c>
      <c r="AF501" t="s">
        <v>57</v>
      </c>
      <c r="AG501">
        <v>7104</v>
      </c>
      <c r="AH501">
        <v>20431</v>
      </c>
      <c r="AI501">
        <v>0</v>
      </c>
      <c r="AJ501" t="str">
        <f>_xlfn.XLOOKUP(Table1[[#This Row],[OverTime]],Table16[OverTime],Table16[Id_OverTime])</f>
        <v>OT002</v>
      </c>
      <c r="AK501" t="s">
        <v>33</v>
      </c>
      <c r="AL501">
        <v>12</v>
      </c>
      <c r="AM501" t="str">
        <f>_xlfn.XLOOKUP(Table1[[#This Row],[PerformanceRating]],Table17[PerformanceRating],Table17[Id_PerformanceRating])</f>
        <v>PR003</v>
      </c>
      <c r="AN501">
        <v>3</v>
      </c>
      <c r="AO501" t="str">
        <f>_xlfn.XLOOKUP(Table1[[#This Row],[PerformanceRating]],Table17[PerformanceRating],Table17[Deskripsi])</f>
        <v>Excellent</v>
      </c>
      <c r="AP501" t="str">
        <f>_xlfn.XLOOKUP(Table1[[#This Row],[RelationshipSatisfaction]],Table18[RelationshipSatisfaction],Table18[Id_RelationshipSatisfaction])</f>
        <v>RS004</v>
      </c>
      <c r="AQ501">
        <v>4</v>
      </c>
      <c r="AR501" t="str">
        <f>_xlfn.XLOOKUP(Table1[[#This Row],[RelationshipSatisfaction]],Table18[RelationshipSatisfaction],Table18[Deskripsi])</f>
        <v>Very High</v>
      </c>
      <c r="AS501" t="str">
        <f>_xlfn.XLOOKUP(Table1[[#This Row],[StockOptionLevel]],Table19[StockOptionLevel],Table19[Id_StockOptionLevel])</f>
        <v>SOL001</v>
      </c>
      <c r="AT501">
        <v>0</v>
      </c>
      <c r="AU501" t="str">
        <f>_xlfn.XLOOKUP(Table1[[#This Row],[StockOptionLevel]],Table19[StockOptionLevel],Table19[Deskripsi])</f>
        <v>Non-Eligible</v>
      </c>
      <c r="AV501">
        <v>6</v>
      </c>
      <c r="AW501">
        <v>3</v>
      </c>
      <c r="AX501" t="str">
        <f>_xlfn.XLOOKUP(Table1[[#This Row],[WorkLifeBalance]],Table20[WorkLifeBalance],Table20[Id_WorkLifeBalance])</f>
        <v>WLB002</v>
      </c>
      <c r="AY501">
        <v>3</v>
      </c>
      <c r="AZ501" t="str">
        <f>_xlfn.XLOOKUP(Table1[[#This Row],[WorkLifeBalance]],Table20[WorkLifeBalance],Table20[Deskripsi])</f>
        <v>Good</v>
      </c>
      <c r="BA501">
        <v>5</v>
      </c>
      <c r="BB501">
        <v>0</v>
      </c>
      <c r="BC501">
        <v>1</v>
      </c>
      <c r="BD501">
        <v>2</v>
      </c>
    </row>
    <row r="502" spans="1:56" x14ac:dyDescent="0.25">
      <c r="A502">
        <v>32</v>
      </c>
      <c r="B502" t="str">
        <f>_xlfn.XLOOKUP(Table1[[#This Row],[Attrition]],Table2[Attrition],Table2[Id_Attrition])</f>
        <v>A002</v>
      </c>
      <c r="C502" t="s">
        <v>33</v>
      </c>
      <c r="D502" t="str">
        <f>_xlfn.XLOOKUP(Table1[[#This Row],[BusinessTravel]],Table5[BusinessTravel],Table5[Id_BusinessTravel])</f>
        <v>BS001</v>
      </c>
      <c r="E502" t="s">
        <v>34</v>
      </c>
      <c r="F502">
        <v>646</v>
      </c>
      <c r="G502" t="str">
        <f>_xlfn.XLOOKUP(Table1[[#This Row],[Department]],Table6[Department],Table6[Id_Departement])</f>
        <v>D002</v>
      </c>
      <c r="H502" t="s">
        <v>38</v>
      </c>
      <c r="I502">
        <v>9</v>
      </c>
      <c r="J502" t="str">
        <f>_xlfn.XLOOKUP(Table1[[#This Row],[Education]],Table8[Education],Table8[Id_Education])</f>
        <v>E004</v>
      </c>
      <c r="K502">
        <v>4</v>
      </c>
      <c r="L502" t="str">
        <f>_xlfn.XLOOKUP(Table1[[#This Row],[EducationField]],Table7[EducationField],Table7[Id_EducationField])</f>
        <v>EF001</v>
      </c>
      <c r="M502" t="s">
        <v>40</v>
      </c>
      <c r="N502" t="str">
        <f>_xlfn.XLOOKUP(Table1[[#This Row],[EmployeeNumber]],Table4[EmployeeNumber],Table4[Id_Employee])</f>
        <v>EMP00501</v>
      </c>
      <c r="O502">
        <v>679</v>
      </c>
      <c r="P502" t="str">
        <f>_xlfn.XLOOKUP(Table1[[#This Row],[EnvironmentSatisfaction]],Table9[EnvironmentSatisfaction],Table9[Id_EnviromentSatisfaction])</f>
        <v>ES001</v>
      </c>
      <c r="Q502">
        <v>1</v>
      </c>
      <c r="R502" t="str">
        <f>_xlfn.XLOOKUP(Table1[[#This Row],[EnvironmentSatisfaction]],Table9[EnvironmentSatisfaction],Table9[Deskripsi])</f>
        <v>Low</v>
      </c>
      <c r="S502" t="str">
        <f>_xlfn.XLOOKUP(Table1[[#This Row],[Gender]],Table10[Gender],Table10[Id_Gender])</f>
        <v>G001</v>
      </c>
      <c r="T502" t="s">
        <v>45</v>
      </c>
      <c r="U502">
        <v>92</v>
      </c>
      <c r="V502" t="str">
        <f>_xlfn.XLOOKUP(Table1[[#This Row],[JobInvolvement]],Table11[JobInvolvement],Table11[Id_JobInvolvement])</f>
        <v>JI003</v>
      </c>
      <c r="W502">
        <v>3</v>
      </c>
      <c r="X502" t="str">
        <f>_xlfn.XLOOKUP(Table1[[#This Row],[JobLevel]],Table12[JobLevel],Table12[Id_JobLevel])</f>
        <v>JL002</v>
      </c>
      <c r="Y502">
        <v>2</v>
      </c>
      <c r="Z502" t="str">
        <f>_xlfn.XLOOKUP(Table1[[#This Row],[JobRole]],Table13[JobRole],Table13[Id_JobRole])</f>
        <v>JR002</v>
      </c>
      <c r="AA502" t="s">
        <v>48</v>
      </c>
      <c r="AB502" t="str">
        <f>_xlfn.XLOOKUP(Table1[[#This Row],[JobSatisfaction]],Table14[JobSatisfaction],Table14[Id_JobSatisfaction])</f>
        <v>JS004</v>
      </c>
      <c r="AC502">
        <v>4</v>
      </c>
      <c r="AD502" t="str">
        <f>_xlfn.XLOOKUP(Table1[[#This Row],[JobSatisfaction]],Table14[JobSatisfaction],Table14[Deskripsi])</f>
        <v>Very High</v>
      </c>
      <c r="AE502" t="str">
        <f>_xlfn.XLOOKUP(Table1[[#This Row],[MaritalStatus]],Table15[MaritalStatus],Table15[Id_MaritalStatus])</f>
        <v>MS002</v>
      </c>
      <c r="AF502" t="s">
        <v>56</v>
      </c>
      <c r="AG502">
        <v>6322</v>
      </c>
      <c r="AH502">
        <v>18089</v>
      </c>
      <c r="AI502">
        <v>1</v>
      </c>
      <c r="AJ502" t="str">
        <f>_xlfn.XLOOKUP(Table1[[#This Row],[OverTime]],Table16[OverTime],Table16[Id_OverTime])</f>
        <v>OT001</v>
      </c>
      <c r="AK502" t="s">
        <v>32</v>
      </c>
      <c r="AL502">
        <v>12</v>
      </c>
      <c r="AM502" t="str">
        <f>_xlfn.XLOOKUP(Table1[[#This Row],[PerformanceRating]],Table17[PerformanceRating],Table17[Id_PerformanceRating])</f>
        <v>PR003</v>
      </c>
      <c r="AN502">
        <v>3</v>
      </c>
      <c r="AO502" t="str">
        <f>_xlfn.XLOOKUP(Table1[[#This Row],[PerformanceRating]],Table17[PerformanceRating],Table17[Deskripsi])</f>
        <v>Excellent</v>
      </c>
      <c r="AP502" t="str">
        <f>_xlfn.XLOOKUP(Table1[[#This Row],[RelationshipSatisfaction]],Table18[RelationshipSatisfaction],Table18[Id_RelationshipSatisfaction])</f>
        <v>RS004</v>
      </c>
      <c r="AQ502">
        <v>4</v>
      </c>
      <c r="AR502" t="str">
        <f>_xlfn.XLOOKUP(Table1[[#This Row],[RelationshipSatisfaction]],Table18[RelationshipSatisfaction],Table18[Deskripsi])</f>
        <v>Very High</v>
      </c>
      <c r="AS502" t="str">
        <f>_xlfn.XLOOKUP(Table1[[#This Row],[StockOptionLevel]],Table19[StockOptionLevel],Table19[Id_StockOptionLevel])</f>
        <v>SOL002</v>
      </c>
      <c r="AT502">
        <v>1</v>
      </c>
      <c r="AU502" t="str">
        <f>_xlfn.XLOOKUP(Table1[[#This Row],[StockOptionLevel]],Table19[StockOptionLevel],Table19[Deskripsi])</f>
        <v>Standard</v>
      </c>
      <c r="AV502">
        <v>6</v>
      </c>
      <c r="AW502">
        <v>2</v>
      </c>
      <c r="AX502" t="str">
        <f>_xlfn.XLOOKUP(Table1[[#This Row],[WorkLifeBalance]],Table20[WorkLifeBalance],Table20[Id_WorkLifeBalance])</f>
        <v>WLB003</v>
      </c>
      <c r="AY502">
        <v>2</v>
      </c>
      <c r="AZ502" t="str">
        <f>_xlfn.XLOOKUP(Table1[[#This Row],[WorkLifeBalance]],Table20[WorkLifeBalance],Table20[Deskripsi])</f>
        <v>Better</v>
      </c>
      <c r="BA502">
        <v>6</v>
      </c>
      <c r="BB502">
        <v>4</v>
      </c>
      <c r="BC502">
        <v>0</v>
      </c>
      <c r="BD502">
        <v>5</v>
      </c>
    </row>
    <row r="503" spans="1:56" x14ac:dyDescent="0.25">
      <c r="A503">
        <v>30</v>
      </c>
      <c r="B503" t="str">
        <f>_xlfn.XLOOKUP(Table1[[#This Row],[Attrition]],Table2[Attrition],Table2[Id_Attrition])</f>
        <v>A002</v>
      </c>
      <c r="C503" t="s">
        <v>33</v>
      </c>
      <c r="D503" t="str">
        <f>_xlfn.XLOOKUP(Table1[[#This Row],[BusinessTravel]],Table5[BusinessTravel],Table5[Id_BusinessTravel])</f>
        <v>BS002</v>
      </c>
      <c r="E503" t="s">
        <v>35</v>
      </c>
      <c r="F503">
        <v>160</v>
      </c>
      <c r="G503" t="str">
        <f>_xlfn.XLOOKUP(Table1[[#This Row],[Department]],Table6[Department],Table6[Id_Departement])</f>
        <v>D002</v>
      </c>
      <c r="H503" t="s">
        <v>38</v>
      </c>
      <c r="I503">
        <v>3</v>
      </c>
      <c r="J503" t="str">
        <f>_xlfn.XLOOKUP(Table1[[#This Row],[Education]],Table8[Education],Table8[Id_Education])</f>
        <v>E003</v>
      </c>
      <c r="K503">
        <v>3</v>
      </c>
      <c r="L503" t="str">
        <f>_xlfn.XLOOKUP(Table1[[#This Row],[EducationField]],Table7[EducationField],Table7[Id_EducationField])</f>
        <v>EF003</v>
      </c>
      <c r="M503" t="s">
        <v>42</v>
      </c>
      <c r="N503" t="str">
        <f>_xlfn.XLOOKUP(Table1[[#This Row],[EmployeeNumber]],Table4[EmployeeNumber],Table4[Id_Employee])</f>
        <v>EMP00502</v>
      </c>
      <c r="O503">
        <v>680</v>
      </c>
      <c r="P503" t="str">
        <f>_xlfn.XLOOKUP(Table1[[#This Row],[EnvironmentSatisfaction]],Table9[EnvironmentSatisfaction],Table9[Id_EnviromentSatisfaction])</f>
        <v>ES003</v>
      </c>
      <c r="Q503">
        <v>3</v>
      </c>
      <c r="R503" t="str">
        <f>_xlfn.XLOOKUP(Table1[[#This Row],[EnvironmentSatisfaction]],Table9[EnvironmentSatisfaction],Table9[Deskripsi])</f>
        <v>High</v>
      </c>
      <c r="S503" t="str">
        <f>_xlfn.XLOOKUP(Table1[[#This Row],[Gender]],Table10[Gender],Table10[Id_Gender])</f>
        <v>G001</v>
      </c>
      <c r="T503" t="s">
        <v>45</v>
      </c>
      <c r="U503">
        <v>71</v>
      </c>
      <c r="V503" t="str">
        <f>_xlfn.XLOOKUP(Table1[[#This Row],[JobInvolvement]],Table11[JobInvolvement],Table11[Id_JobInvolvement])</f>
        <v>JI003</v>
      </c>
      <c r="W503">
        <v>3</v>
      </c>
      <c r="X503" t="str">
        <f>_xlfn.XLOOKUP(Table1[[#This Row],[JobLevel]],Table12[JobLevel],Table12[Id_JobLevel])</f>
        <v>JL001</v>
      </c>
      <c r="Y503">
        <v>1</v>
      </c>
      <c r="Z503" t="str">
        <f>_xlfn.XLOOKUP(Table1[[#This Row],[JobRole]],Table13[JobRole],Table13[Id_JobRole])</f>
        <v>JR002</v>
      </c>
      <c r="AA503" t="s">
        <v>48</v>
      </c>
      <c r="AB503" t="str">
        <f>_xlfn.XLOOKUP(Table1[[#This Row],[JobSatisfaction]],Table14[JobSatisfaction],Table14[Id_JobSatisfaction])</f>
        <v>JS003</v>
      </c>
      <c r="AC503">
        <v>3</v>
      </c>
      <c r="AD503" t="str">
        <f>_xlfn.XLOOKUP(Table1[[#This Row],[JobSatisfaction]],Table14[JobSatisfaction],Table14[Deskripsi])</f>
        <v>High</v>
      </c>
      <c r="AE503" t="str">
        <f>_xlfn.XLOOKUP(Table1[[#This Row],[MaritalStatus]],Table15[MaritalStatus],Table15[Id_MaritalStatus])</f>
        <v>MS003</v>
      </c>
      <c r="AF503" t="s">
        <v>57</v>
      </c>
      <c r="AG503">
        <v>2083</v>
      </c>
      <c r="AH503">
        <v>22653</v>
      </c>
      <c r="AI503">
        <v>1</v>
      </c>
      <c r="AJ503" t="str">
        <f>_xlfn.XLOOKUP(Table1[[#This Row],[OverTime]],Table16[OverTime],Table16[Id_OverTime])</f>
        <v>OT002</v>
      </c>
      <c r="AK503" t="s">
        <v>33</v>
      </c>
      <c r="AL503">
        <v>20</v>
      </c>
      <c r="AM503" t="str">
        <f>_xlfn.XLOOKUP(Table1[[#This Row],[PerformanceRating]],Table17[PerformanceRating],Table17[Id_PerformanceRating])</f>
        <v>PR004</v>
      </c>
      <c r="AN503">
        <v>4</v>
      </c>
      <c r="AO503" t="str">
        <f>_xlfn.XLOOKUP(Table1[[#This Row],[PerformanceRating]],Table17[PerformanceRating],Table17[Deskripsi])</f>
        <v>Outstanding</v>
      </c>
      <c r="AP503" t="str">
        <f>_xlfn.XLOOKUP(Table1[[#This Row],[RelationshipSatisfaction]],Table18[RelationshipSatisfaction],Table18[Id_RelationshipSatisfaction])</f>
        <v>RS003</v>
      </c>
      <c r="AQ503">
        <v>3</v>
      </c>
      <c r="AR503" t="str">
        <f>_xlfn.XLOOKUP(Table1[[#This Row],[RelationshipSatisfaction]],Table18[RelationshipSatisfaction],Table18[Deskripsi])</f>
        <v>High</v>
      </c>
      <c r="AS503" t="str">
        <f>_xlfn.XLOOKUP(Table1[[#This Row],[StockOptionLevel]],Table19[StockOptionLevel],Table19[Id_StockOptionLevel])</f>
        <v>SOL002</v>
      </c>
      <c r="AT503">
        <v>1</v>
      </c>
      <c r="AU503" t="str">
        <f>_xlfn.XLOOKUP(Table1[[#This Row],[StockOptionLevel]],Table19[StockOptionLevel],Table19[Deskripsi])</f>
        <v>Standard</v>
      </c>
      <c r="AV503">
        <v>1</v>
      </c>
      <c r="AW503">
        <v>2</v>
      </c>
      <c r="AX503" t="str">
        <f>_xlfn.XLOOKUP(Table1[[#This Row],[WorkLifeBalance]],Table20[WorkLifeBalance],Table20[Id_WorkLifeBalance])</f>
        <v>WLB002</v>
      </c>
      <c r="AY503">
        <v>3</v>
      </c>
      <c r="AZ503" t="str">
        <f>_xlfn.XLOOKUP(Table1[[#This Row],[WorkLifeBalance]],Table20[WorkLifeBalance],Table20[Deskripsi])</f>
        <v>Good</v>
      </c>
      <c r="BA503">
        <v>1</v>
      </c>
      <c r="BB503">
        <v>0</v>
      </c>
      <c r="BC503">
        <v>0</v>
      </c>
      <c r="BD503">
        <v>0</v>
      </c>
    </row>
    <row r="504" spans="1:56" x14ac:dyDescent="0.25">
      <c r="A504">
        <v>53</v>
      </c>
      <c r="B504" t="str">
        <f>_xlfn.XLOOKUP(Table1[[#This Row],[Attrition]],Table2[Attrition],Table2[Id_Attrition])</f>
        <v>A002</v>
      </c>
      <c r="C504" t="s">
        <v>33</v>
      </c>
      <c r="D504" t="str">
        <f>_xlfn.XLOOKUP(Table1[[#This Row],[BusinessTravel]],Table5[BusinessTravel],Table5[Id_BusinessTravel])</f>
        <v>BS001</v>
      </c>
      <c r="E504" t="s">
        <v>34</v>
      </c>
      <c r="F504">
        <v>238</v>
      </c>
      <c r="G504" t="str">
        <f>_xlfn.XLOOKUP(Table1[[#This Row],[Department]],Table6[Department],Table6[Id_Departement])</f>
        <v>D001</v>
      </c>
      <c r="H504" t="s">
        <v>37</v>
      </c>
      <c r="I504">
        <v>1</v>
      </c>
      <c r="J504" t="str">
        <f>_xlfn.XLOOKUP(Table1[[#This Row],[Education]],Table8[Education],Table8[Id_Education])</f>
        <v>E001</v>
      </c>
      <c r="K504">
        <v>1</v>
      </c>
      <c r="L504" t="str">
        <f>_xlfn.XLOOKUP(Table1[[#This Row],[EducationField]],Table7[EducationField],Table7[Id_EducationField])</f>
        <v>EF003</v>
      </c>
      <c r="M504" t="s">
        <v>42</v>
      </c>
      <c r="N504" t="str">
        <f>_xlfn.XLOOKUP(Table1[[#This Row],[EmployeeNumber]],Table4[EmployeeNumber],Table4[Id_Employee])</f>
        <v>EMP00503</v>
      </c>
      <c r="O504">
        <v>682</v>
      </c>
      <c r="P504" t="str">
        <f>_xlfn.XLOOKUP(Table1[[#This Row],[EnvironmentSatisfaction]],Table9[EnvironmentSatisfaction],Table9[Id_EnviromentSatisfaction])</f>
        <v>ES004</v>
      </c>
      <c r="Q504">
        <v>4</v>
      </c>
      <c r="R504" t="str">
        <f>_xlfn.XLOOKUP(Table1[[#This Row],[EnvironmentSatisfaction]],Table9[EnvironmentSatisfaction],Table9[Deskripsi])</f>
        <v>Very High</v>
      </c>
      <c r="S504" t="str">
        <f>_xlfn.XLOOKUP(Table1[[#This Row],[Gender]],Table10[Gender],Table10[Id_Gender])</f>
        <v>G001</v>
      </c>
      <c r="T504" t="s">
        <v>45</v>
      </c>
      <c r="U504">
        <v>34</v>
      </c>
      <c r="V504" t="str">
        <f>_xlfn.XLOOKUP(Table1[[#This Row],[JobInvolvement]],Table11[JobInvolvement],Table11[Id_JobInvolvement])</f>
        <v>JI003</v>
      </c>
      <c r="W504">
        <v>3</v>
      </c>
      <c r="X504" t="str">
        <f>_xlfn.XLOOKUP(Table1[[#This Row],[JobLevel]],Table12[JobLevel],Table12[Id_JobLevel])</f>
        <v>JL002</v>
      </c>
      <c r="Y504">
        <v>2</v>
      </c>
      <c r="Z504" t="str">
        <f>_xlfn.XLOOKUP(Table1[[#This Row],[JobRole]],Table13[JobRole],Table13[Id_JobRole])</f>
        <v>JR001</v>
      </c>
      <c r="AA504" t="s">
        <v>47</v>
      </c>
      <c r="AB504" t="str">
        <f>_xlfn.XLOOKUP(Table1[[#This Row],[JobSatisfaction]],Table14[JobSatisfaction],Table14[Id_JobSatisfaction])</f>
        <v>JS001</v>
      </c>
      <c r="AC504">
        <v>1</v>
      </c>
      <c r="AD504" t="str">
        <f>_xlfn.XLOOKUP(Table1[[#This Row],[JobSatisfaction]],Table14[JobSatisfaction],Table14[Deskripsi])</f>
        <v>Low</v>
      </c>
      <c r="AE504" t="str">
        <f>_xlfn.XLOOKUP(Table1[[#This Row],[MaritalStatus]],Table15[MaritalStatus],Table15[Id_MaritalStatus])</f>
        <v>MS001</v>
      </c>
      <c r="AF504" t="s">
        <v>55</v>
      </c>
      <c r="AG504">
        <v>8381</v>
      </c>
      <c r="AH504">
        <v>7507</v>
      </c>
      <c r="AI504">
        <v>7</v>
      </c>
      <c r="AJ504" t="str">
        <f>_xlfn.XLOOKUP(Table1[[#This Row],[OverTime]],Table16[OverTime],Table16[Id_OverTime])</f>
        <v>OT002</v>
      </c>
      <c r="AK504" t="s">
        <v>33</v>
      </c>
      <c r="AL504">
        <v>20</v>
      </c>
      <c r="AM504" t="str">
        <f>_xlfn.XLOOKUP(Table1[[#This Row],[PerformanceRating]],Table17[PerformanceRating],Table17[Id_PerformanceRating])</f>
        <v>PR004</v>
      </c>
      <c r="AN504">
        <v>4</v>
      </c>
      <c r="AO504" t="str">
        <f>_xlfn.XLOOKUP(Table1[[#This Row],[PerformanceRating]],Table17[PerformanceRating],Table17[Deskripsi])</f>
        <v>Outstanding</v>
      </c>
      <c r="AP504" t="str">
        <f>_xlfn.XLOOKUP(Table1[[#This Row],[RelationshipSatisfaction]],Table18[RelationshipSatisfaction],Table18[Id_RelationshipSatisfaction])</f>
        <v>RS004</v>
      </c>
      <c r="AQ504">
        <v>4</v>
      </c>
      <c r="AR504" t="str">
        <f>_xlfn.XLOOKUP(Table1[[#This Row],[RelationshipSatisfaction]],Table18[RelationshipSatisfaction],Table18[Deskripsi])</f>
        <v>Very High</v>
      </c>
      <c r="AS504" t="str">
        <f>_xlfn.XLOOKUP(Table1[[#This Row],[StockOptionLevel]],Table19[StockOptionLevel],Table19[Id_StockOptionLevel])</f>
        <v>SOL001</v>
      </c>
      <c r="AT504">
        <v>0</v>
      </c>
      <c r="AU504" t="str">
        <f>_xlfn.XLOOKUP(Table1[[#This Row],[StockOptionLevel]],Table19[StockOptionLevel],Table19[Deskripsi])</f>
        <v>Non-Eligible</v>
      </c>
      <c r="AV504">
        <v>18</v>
      </c>
      <c r="AW504">
        <v>2</v>
      </c>
      <c r="AX504" t="str">
        <f>_xlfn.XLOOKUP(Table1[[#This Row],[WorkLifeBalance]],Table20[WorkLifeBalance],Table20[Id_WorkLifeBalance])</f>
        <v>WLB004</v>
      </c>
      <c r="AY504">
        <v>4</v>
      </c>
      <c r="AZ504" t="str">
        <f>_xlfn.XLOOKUP(Table1[[#This Row],[WorkLifeBalance]],Table20[WorkLifeBalance],Table20[Deskripsi])</f>
        <v>Best</v>
      </c>
      <c r="BA504">
        <v>14</v>
      </c>
      <c r="BB504">
        <v>7</v>
      </c>
      <c r="BC504">
        <v>8</v>
      </c>
      <c r="BD504">
        <v>10</v>
      </c>
    </row>
    <row r="505" spans="1:56" x14ac:dyDescent="0.25">
      <c r="A505">
        <v>34</v>
      </c>
      <c r="B505" t="str">
        <f>_xlfn.XLOOKUP(Table1[[#This Row],[Attrition]],Table2[Attrition],Table2[Id_Attrition])</f>
        <v>A002</v>
      </c>
      <c r="C505" t="s">
        <v>33</v>
      </c>
      <c r="D505" t="str">
        <f>_xlfn.XLOOKUP(Table1[[#This Row],[BusinessTravel]],Table5[BusinessTravel],Table5[Id_BusinessTravel])</f>
        <v>BS001</v>
      </c>
      <c r="E505" t="s">
        <v>34</v>
      </c>
      <c r="F505">
        <v>1397</v>
      </c>
      <c r="G505" t="str">
        <f>_xlfn.XLOOKUP(Table1[[#This Row],[Department]],Table6[Department],Table6[Id_Departement])</f>
        <v>D002</v>
      </c>
      <c r="H505" t="s">
        <v>38</v>
      </c>
      <c r="I505">
        <v>1</v>
      </c>
      <c r="J505" t="str">
        <f>_xlfn.XLOOKUP(Table1[[#This Row],[Education]],Table8[Education],Table8[Id_Education])</f>
        <v>E005</v>
      </c>
      <c r="K505">
        <v>5</v>
      </c>
      <c r="L505" t="str">
        <f>_xlfn.XLOOKUP(Table1[[#This Row],[EducationField]],Table7[EducationField],Table7[Id_EducationField])</f>
        <v>EF001</v>
      </c>
      <c r="M505" t="s">
        <v>40</v>
      </c>
      <c r="N505" t="str">
        <f>_xlfn.XLOOKUP(Table1[[#This Row],[EmployeeNumber]],Table4[EmployeeNumber],Table4[Id_Employee])</f>
        <v>EMP00504</v>
      </c>
      <c r="O505">
        <v>683</v>
      </c>
      <c r="P505" t="str">
        <f>_xlfn.XLOOKUP(Table1[[#This Row],[EnvironmentSatisfaction]],Table9[EnvironmentSatisfaction],Table9[Id_EnviromentSatisfaction])</f>
        <v>ES002</v>
      </c>
      <c r="Q505">
        <v>2</v>
      </c>
      <c r="R505" t="str">
        <f>_xlfn.XLOOKUP(Table1[[#This Row],[EnvironmentSatisfaction]],Table9[EnvironmentSatisfaction],Table9[Deskripsi])</f>
        <v>Medium</v>
      </c>
      <c r="S505" t="str">
        <f>_xlfn.XLOOKUP(Table1[[#This Row],[Gender]],Table10[Gender],Table10[Id_Gender])</f>
        <v>G002</v>
      </c>
      <c r="T505" t="s">
        <v>46</v>
      </c>
      <c r="U505">
        <v>42</v>
      </c>
      <c r="V505" t="str">
        <f>_xlfn.XLOOKUP(Table1[[#This Row],[JobInvolvement]],Table11[JobInvolvement],Table11[Id_JobInvolvement])</f>
        <v>JI003</v>
      </c>
      <c r="W505">
        <v>3</v>
      </c>
      <c r="X505" t="str">
        <f>_xlfn.XLOOKUP(Table1[[#This Row],[JobLevel]],Table12[JobLevel],Table12[Id_JobLevel])</f>
        <v>JL001</v>
      </c>
      <c r="Y505">
        <v>1</v>
      </c>
      <c r="Z505" t="str">
        <f>_xlfn.XLOOKUP(Table1[[#This Row],[JobRole]],Table13[JobRole],Table13[Id_JobRole])</f>
        <v>JR002</v>
      </c>
      <c r="AA505" t="s">
        <v>48</v>
      </c>
      <c r="AB505" t="str">
        <f>_xlfn.XLOOKUP(Table1[[#This Row],[JobSatisfaction]],Table14[JobSatisfaction],Table14[Id_JobSatisfaction])</f>
        <v>JS004</v>
      </c>
      <c r="AC505">
        <v>4</v>
      </c>
      <c r="AD505" t="str">
        <f>_xlfn.XLOOKUP(Table1[[#This Row],[JobSatisfaction]],Table14[JobSatisfaction],Table14[Deskripsi])</f>
        <v>Very High</v>
      </c>
      <c r="AE505" t="str">
        <f>_xlfn.XLOOKUP(Table1[[#This Row],[MaritalStatus]],Table15[MaritalStatus],Table15[Id_MaritalStatus])</f>
        <v>MS002</v>
      </c>
      <c r="AF505" t="s">
        <v>56</v>
      </c>
      <c r="AG505">
        <v>2691</v>
      </c>
      <c r="AH505">
        <v>7660</v>
      </c>
      <c r="AI505">
        <v>1</v>
      </c>
      <c r="AJ505" t="str">
        <f>_xlfn.XLOOKUP(Table1[[#This Row],[OverTime]],Table16[OverTime],Table16[Id_OverTime])</f>
        <v>OT002</v>
      </c>
      <c r="AK505" t="s">
        <v>33</v>
      </c>
      <c r="AL505">
        <v>12</v>
      </c>
      <c r="AM505" t="str">
        <f>_xlfn.XLOOKUP(Table1[[#This Row],[PerformanceRating]],Table17[PerformanceRating],Table17[Id_PerformanceRating])</f>
        <v>PR003</v>
      </c>
      <c r="AN505">
        <v>3</v>
      </c>
      <c r="AO505" t="str">
        <f>_xlfn.XLOOKUP(Table1[[#This Row],[PerformanceRating]],Table17[PerformanceRating],Table17[Deskripsi])</f>
        <v>Excellent</v>
      </c>
      <c r="AP505" t="str">
        <f>_xlfn.XLOOKUP(Table1[[#This Row],[RelationshipSatisfaction]],Table18[RelationshipSatisfaction],Table18[Id_RelationshipSatisfaction])</f>
        <v>RS004</v>
      </c>
      <c r="AQ505">
        <v>4</v>
      </c>
      <c r="AR505" t="str">
        <f>_xlfn.XLOOKUP(Table1[[#This Row],[RelationshipSatisfaction]],Table18[RelationshipSatisfaction],Table18[Deskripsi])</f>
        <v>Very High</v>
      </c>
      <c r="AS505" t="str">
        <f>_xlfn.XLOOKUP(Table1[[#This Row],[StockOptionLevel]],Table19[StockOptionLevel],Table19[Id_StockOptionLevel])</f>
        <v>SOL002</v>
      </c>
      <c r="AT505">
        <v>1</v>
      </c>
      <c r="AU505" t="str">
        <f>_xlfn.XLOOKUP(Table1[[#This Row],[StockOptionLevel]],Table19[StockOptionLevel],Table19[Deskripsi])</f>
        <v>Standard</v>
      </c>
      <c r="AV505">
        <v>10</v>
      </c>
      <c r="AW505">
        <v>4</v>
      </c>
      <c r="AX505" t="str">
        <f>_xlfn.XLOOKUP(Table1[[#This Row],[WorkLifeBalance]],Table20[WorkLifeBalance],Table20[Id_WorkLifeBalance])</f>
        <v>WLB003</v>
      </c>
      <c r="AY505">
        <v>2</v>
      </c>
      <c r="AZ505" t="str">
        <f>_xlfn.XLOOKUP(Table1[[#This Row],[WorkLifeBalance]],Table20[WorkLifeBalance],Table20[Deskripsi])</f>
        <v>Better</v>
      </c>
      <c r="BA505">
        <v>10</v>
      </c>
      <c r="BB505">
        <v>9</v>
      </c>
      <c r="BC505">
        <v>8</v>
      </c>
      <c r="BD505">
        <v>8</v>
      </c>
    </row>
    <row r="506" spans="1:56" x14ac:dyDescent="0.25">
      <c r="A506">
        <v>45</v>
      </c>
      <c r="B506" t="str">
        <f>_xlfn.XLOOKUP(Table1[[#This Row],[Attrition]],Table2[Attrition],Table2[Id_Attrition])</f>
        <v>A001</v>
      </c>
      <c r="C506" t="s">
        <v>32</v>
      </c>
      <c r="D506" t="str">
        <f>_xlfn.XLOOKUP(Table1[[#This Row],[BusinessTravel]],Table5[BusinessTravel],Table5[Id_BusinessTravel])</f>
        <v>BS002</v>
      </c>
      <c r="E506" t="s">
        <v>35</v>
      </c>
      <c r="F506">
        <v>306</v>
      </c>
      <c r="G506" t="str">
        <f>_xlfn.XLOOKUP(Table1[[#This Row],[Department]],Table6[Department],Table6[Id_Departement])</f>
        <v>D001</v>
      </c>
      <c r="H506" t="s">
        <v>37</v>
      </c>
      <c r="I506">
        <v>26</v>
      </c>
      <c r="J506" t="str">
        <f>_xlfn.XLOOKUP(Table1[[#This Row],[Education]],Table8[Education],Table8[Id_Education])</f>
        <v>E004</v>
      </c>
      <c r="K506">
        <v>4</v>
      </c>
      <c r="L506" t="str">
        <f>_xlfn.XLOOKUP(Table1[[#This Row],[EducationField]],Table7[EducationField],Table7[Id_EducationField])</f>
        <v>EF001</v>
      </c>
      <c r="M506" t="s">
        <v>40</v>
      </c>
      <c r="N506" t="str">
        <f>_xlfn.XLOOKUP(Table1[[#This Row],[EmployeeNumber]],Table4[EmployeeNumber],Table4[Id_Employee])</f>
        <v>EMP00505</v>
      </c>
      <c r="O506">
        <v>684</v>
      </c>
      <c r="P506" t="str">
        <f>_xlfn.XLOOKUP(Table1[[#This Row],[EnvironmentSatisfaction]],Table9[EnvironmentSatisfaction],Table9[Id_EnviromentSatisfaction])</f>
        <v>ES001</v>
      </c>
      <c r="Q506">
        <v>1</v>
      </c>
      <c r="R506" t="str">
        <f>_xlfn.XLOOKUP(Table1[[#This Row],[EnvironmentSatisfaction]],Table9[EnvironmentSatisfaction],Table9[Deskripsi])</f>
        <v>Low</v>
      </c>
      <c r="S506" t="str">
        <f>_xlfn.XLOOKUP(Table1[[#This Row],[Gender]],Table10[Gender],Table10[Id_Gender])</f>
        <v>G001</v>
      </c>
      <c r="T506" t="s">
        <v>45</v>
      </c>
      <c r="U506">
        <v>100</v>
      </c>
      <c r="V506" t="str">
        <f>_xlfn.XLOOKUP(Table1[[#This Row],[JobInvolvement]],Table11[JobInvolvement],Table11[Id_JobInvolvement])</f>
        <v>JI003</v>
      </c>
      <c r="W506">
        <v>3</v>
      </c>
      <c r="X506" t="str">
        <f>_xlfn.XLOOKUP(Table1[[#This Row],[JobLevel]],Table12[JobLevel],Table12[Id_JobLevel])</f>
        <v>JL002</v>
      </c>
      <c r="Y506">
        <v>2</v>
      </c>
      <c r="Z506" t="str">
        <f>_xlfn.XLOOKUP(Table1[[#This Row],[JobRole]],Table13[JobRole],Table13[Id_JobRole])</f>
        <v>JR001</v>
      </c>
      <c r="AA506" t="s">
        <v>47</v>
      </c>
      <c r="AB506" t="str">
        <f>_xlfn.XLOOKUP(Table1[[#This Row],[JobSatisfaction]],Table14[JobSatisfaction],Table14[Id_JobSatisfaction])</f>
        <v>JS001</v>
      </c>
      <c r="AC506">
        <v>1</v>
      </c>
      <c r="AD506" t="str">
        <f>_xlfn.XLOOKUP(Table1[[#This Row],[JobSatisfaction]],Table14[JobSatisfaction],Table14[Deskripsi])</f>
        <v>Low</v>
      </c>
      <c r="AE506" t="str">
        <f>_xlfn.XLOOKUP(Table1[[#This Row],[MaritalStatus]],Table15[MaritalStatus],Table15[Id_MaritalStatus])</f>
        <v>MS002</v>
      </c>
      <c r="AF506" t="s">
        <v>56</v>
      </c>
      <c r="AG506">
        <v>4286</v>
      </c>
      <c r="AH506">
        <v>5630</v>
      </c>
      <c r="AI506">
        <v>2</v>
      </c>
      <c r="AJ506" t="str">
        <f>_xlfn.XLOOKUP(Table1[[#This Row],[OverTime]],Table16[OverTime],Table16[Id_OverTime])</f>
        <v>OT002</v>
      </c>
      <c r="AK506" t="s">
        <v>33</v>
      </c>
      <c r="AL506">
        <v>14</v>
      </c>
      <c r="AM506" t="str">
        <f>_xlfn.XLOOKUP(Table1[[#This Row],[PerformanceRating]],Table17[PerformanceRating],Table17[Id_PerformanceRating])</f>
        <v>PR003</v>
      </c>
      <c r="AN506">
        <v>3</v>
      </c>
      <c r="AO506" t="str">
        <f>_xlfn.XLOOKUP(Table1[[#This Row],[PerformanceRating]],Table17[PerformanceRating],Table17[Deskripsi])</f>
        <v>Excellent</v>
      </c>
      <c r="AP506" t="str">
        <f>_xlfn.XLOOKUP(Table1[[#This Row],[RelationshipSatisfaction]],Table18[RelationshipSatisfaction],Table18[Id_RelationshipSatisfaction])</f>
        <v>RS004</v>
      </c>
      <c r="AQ506">
        <v>4</v>
      </c>
      <c r="AR506" t="str">
        <f>_xlfn.XLOOKUP(Table1[[#This Row],[RelationshipSatisfaction]],Table18[RelationshipSatisfaction],Table18[Deskripsi])</f>
        <v>Very High</v>
      </c>
      <c r="AS506" t="str">
        <f>_xlfn.XLOOKUP(Table1[[#This Row],[StockOptionLevel]],Table19[StockOptionLevel],Table19[Id_StockOptionLevel])</f>
        <v>SOL003</v>
      </c>
      <c r="AT506">
        <v>2</v>
      </c>
      <c r="AU506" t="str">
        <f>_xlfn.XLOOKUP(Table1[[#This Row],[StockOptionLevel]],Table19[StockOptionLevel],Table19[Deskripsi])</f>
        <v>Intermediate</v>
      </c>
      <c r="AV506">
        <v>5</v>
      </c>
      <c r="AW506">
        <v>4</v>
      </c>
      <c r="AX506" t="str">
        <f>_xlfn.XLOOKUP(Table1[[#This Row],[WorkLifeBalance]],Table20[WorkLifeBalance],Table20[Id_WorkLifeBalance])</f>
        <v>WLB002</v>
      </c>
      <c r="AY506">
        <v>3</v>
      </c>
      <c r="AZ506" t="str">
        <f>_xlfn.XLOOKUP(Table1[[#This Row],[WorkLifeBalance]],Table20[WorkLifeBalance],Table20[Deskripsi])</f>
        <v>Good</v>
      </c>
      <c r="BA506">
        <v>1</v>
      </c>
      <c r="BB506">
        <v>1</v>
      </c>
      <c r="BC506">
        <v>0</v>
      </c>
      <c r="BD506">
        <v>0</v>
      </c>
    </row>
    <row r="507" spans="1:56" x14ac:dyDescent="0.25">
      <c r="A507">
        <v>26</v>
      </c>
      <c r="B507" t="str">
        <f>_xlfn.XLOOKUP(Table1[[#This Row],[Attrition]],Table2[Attrition],Table2[Id_Attrition])</f>
        <v>A002</v>
      </c>
      <c r="C507" t="s">
        <v>33</v>
      </c>
      <c r="D507" t="str">
        <f>_xlfn.XLOOKUP(Table1[[#This Row],[BusinessTravel]],Table5[BusinessTravel],Table5[Id_BusinessTravel])</f>
        <v>BS001</v>
      </c>
      <c r="E507" t="s">
        <v>34</v>
      </c>
      <c r="F507">
        <v>991</v>
      </c>
      <c r="G507" t="str">
        <f>_xlfn.XLOOKUP(Table1[[#This Row],[Department]],Table6[Department],Table6[Id_Departement])</f>
        <v>D002</v>
      </c>
      <c r="H507" t="s">
        <v>38</v>
      </c>
      <c r="I507">
        <v>6</v>
      </c>
      <c r="J507" t="str">
        <f>_xlfn.XLOOKUP(Table1[[#This Row],[Education]],Table8[Education],Table8[Id_Education])</f>
        <v>E003</v>
      </c>
      <c r="K507">
        <v>3</v>
      </c>
      <c r="L507" t="str">
        <f>_xlfn.XLOOKUP(Table1[[#This Row],[EducationField]],Table7[EducationField],Table7[Id_EducationField])</f>
        <v>EF001</v>
      </c>
      <c r="M507" t="s">
        <v>40</v>
      </c>
      <c r="N507" t="str">
        <f>_xlfn.XLOOKUP(Table1[[#This Row],[EmployeeNumber]],Table4[EmployeeNumber],Table4[Id_Employee])</f>
        <v>EMP00506</v>
      </c>
      <c r="O507">
        <v>686</v>
      </c>
      <c r="P507" t="str">
        <f>_xlfn.XLOOKUP(Table1[[#This Row],[EnvironmentSatisfaction]],Table9[EnvironmentSatisfaction],Table9[Id_EnviromentSatisfaction])</f>
        <v>ES003</v>
      </c>
      <c r="Q507">
        <v>3</v>
      </c>
      <c r="R507" t="str">
        <f>_xlfn.XLOOKUP(Table1[[#This Row],[EnvironmentSatisfaction]],Table9[EnvironmentSatisfaction],Table9[Deskripsi])</f>
        <v>High</v>
      </c>
      <c r="S507" t="str">
        <f>_xlfn.XLOOKUP(Table1[[#This Row],[Gender]],Table10[Gender],Table10[Id_Gender])</f>
        <v>G001</v>
      </c>
      <c r="T507" t="s">
        <v>45</v>
      </c>
      <c r="U507">
        <v>71</v>
      </c>
      <c r="V507" t="str">
        <f>_xlfn.XLOOKUP(Table1[[#This Row],[JobInvolvement]],Table11[JobInvolvement],Table11[Id_JobInvolvement])</f>
        <v>JI003</v>
      </c>
      <c r="W507">
        <v>3</v>
      </c>
      <c r="X507" t="str">
        <f>_xlfn.XLOOKUP(Table1[[#This Row],[JobLevel]],Table12[JobLevel],Table12[Id_JobLevel])</f>
        <v>JL001</v>
      </c>
      <c r="Y507">
        <v>1</v>
      </c>
      <c r="Z507" t="str">
        <f>_xlfn.XLOOKUP(Table1[[#This Row],[JobRole]],Table13[JobRole],Table13[Id_JobRole])</f>
        <v>JR003</v>
      </c>
      <c r="AA507" t="s">
        <v>49</v>
      </c>
      <c r="AB507" t="str">
        <f>_xlfn.XLOOKUP(Table1[[#This Row],[JobSatisfaction]],Table14[JobSatisfaction],Table14[Id_JobSatisfaction])</f>
        <v>JS004</v>
      </c>
      <c r="AC507">
        <v>4</v>
      </c>
      <c r="AD507" t="str">
        <f>_xlfn.XLOOKUP(Table1[[#This Row],[JobSatisfaction]],Table14[JobSatisfaction],Table14[Deskripsi])</f>
        <v>Very High</v>
      </c>
      <c r="AE507" t="str">
        <f>_xlfn.XLOOKUP(Table1[[#This Row],[MaritalStatus]],Table15[MaritalStatus],Table15[Id_MaritalStatus])</f>
        <v>MS002</v>
      </c>
      <c r="AF507" t="s">
        <v>56</v>
      </c>
      <c r="AG507">
        <v>2659</v>
      </c>
      <c r="AH507">
        <v>17759</v>
      </c>
      <c r="AI507">
        <v>1</v>
      </c>
      <c r="AJ507" t="str">
        <f>_xlfn.XLOOKUP(Table1[[#This Row],[OverTime]],Table16[OverTime],Table16[Id_OverTime])</f>
        <v>OT001</v>
      </c>
      <c r="AK507" t="s">
        <v>32</v>
      </c>
      <c r="AL507">
        <v>13</v>
      </c>
      <c r="AM507" t="str">
        <f>_xlfn.XLOOKUP(Table1[[#This Row],[PerformanceRating]],Table17[PerformanceRating],Table17[Id_PerformanceRating])</f>
        <v>PR003</v>
      </c>
      <c r="AN507">
        <v>3</v>
      </c>
      <c r="AO507" t="str">
        <f>_xlfn.XLOOKUP(Table1[[#This Row],[PerformanceRating]],Table17[PerformanceRating],Table17[Deskripsi])</f>
        <v>Excellent</v>
      </c>
      <c r="AP507" t="str">
        <f>_xlfn.XLOOKUP(Table1[[#This Row],[RelationshipSatisfaction]],Table18[RelationshipSatisfaction],Table18[Id_RelationshipSatisfaction])</f>
        <v>RS003</v>
      </c>
      <c r="AQ507">
        <v>3</v>
      </c>
      <c r="AR507" t="str">
        <f>_xlfn.XLOOKUP(Table1[[#This Row],[RelationshipSatisfaction]],Table18[RelationshipSatisfaction],Table18[Deskripsi])</f>
        <v>High</v>
      </c>
      <c r="AS507" t="str">
        <f>_xlfn.XLOOKUP(Table1[[#This Row],[StockOptionLevel]],Table19[StockOptionLevel],Table19[Id_StockOptionLevel])</f>
        <v>SOL002</v>
      </c>
      <c r="AT507">
        <v>1</v>
      </c>
      <c r="AU507" t="str">
        <f>_xlfn.XLOOKUP(Table1[[#This Row],[StockOptionLevel]],Table19[StockOptionLevel],Table19[Deskripsi])</f>
        <v>Standard</v>
      </c>
      <c r="AV507">
        <v>3</v>
      </c>
      <c r="AW507">
        <v>2</v>
      </c>
      <c r="AX507" t="str">
        <f>_xlfn.XLOOKUP(Table1[[#This Row],[WorkLifeBalance]],Table20[WorkLifeBalance],Table20[Id_WorkLifeBalance])</f>
        <v>WLB002</v>
      </c>
      <c r="AY507">
        <v>3</v>
      </c>
      <c r="AZ507" t="str">
        <f>_xlfn.XLOOKUP(Table1[[#This Row],[WorkLifeBalance]],Table20[WorkLifeBalance],Table20[Deskripsi])</f>
        <v>Good</v>
      </c>
      <c r="BA507">
        <v>3</v>
      </c>
      <c r="BB507">
        <v>2</v>
      </c>
      <c r="BC507">
        <v>0</v>
      </c>
      <c r="BD507">
        <v>2</v>
      </c>
    </row>
    <row r="508" spans="1:56" x14ac:dyDescent="0.25">
      <c r="A508">
        <v>37</v>
      </c>
      <c r="B508" t="str">
        <f>_xlfn.XLOOKUP(Table1[[#This Row],[Attrition]],Table2[Attrition],Table2[Id_Attrition])</f>
        <v>A002</v>
      </c>
      <c r="C508" t="s">
        <v>33</v>
      </c>
      <c r="D508" t="str">
        <f>_xlfn.XLOOKUP(Table1[[#This Row],[BusinessTravel]],Table5[BusinessTravel],Table5[Id_BusinessTravel])</f>
        <v>BS001</v>
      </c>
      <c r="E508" t="s">
        <v>34</v>
      </c>
      <c r="F508">
        <v>482</v>
      </c>
      <c r="G508" t="str">
        <f>_xlfn.XLOOKUP(Table1[[#This Row],[Department]],Table6[Department],Table6[Id_Departement])</f>
        <v>D002</v>
      </c>
      <c r="H508" t="s">
        <v>38</v>
      </c>
      <c r="I508">
        <v>3</v>
      </c>
      <c r="J508" t="str">
        <f>_xlfn.XLOOKUP(Table1[[#This Row],[Education]],Table8[Education],Table8[Id_Education])</f>
        <v>E003</v>
      </c>
      <c r="K508">
        <v>3</v>
      </c>
      <c r="L508" t="str">
        <f>_xlfn.XLOOKUP(Table1[[#This Row],[EducationField]],Table7[EducationField],Table7[Id_EducationField])</f>
        <v>EF002</v>
      </c>
      <c r="M508" t="s">
        <v>41</v>
      </c>
      <c r="N508" t="str">
        <f>_xlfn.XLOOKUP(Table1[[#This Row],[EmployeeNumber]],Table4[EmployeeNumber],Table4[Id_Employee])</f>
        <v>EMP00507</v>
      </c>
      <c r="O508">
        <v>689</v>
      </c>
      <c r="P508" t="str">
        <f>_xlfn.XLOOKUP(Table1[[#This Row],[EnvironmentSatisfaction]],Table9[EnvironmentSatisfaction],Table9[Id_EnviromentSatisfaction])</f>
        <v>ES003</v>
      </c>
      <c r="Q508">
        <v>3</v>
      </c>
      <c r="R508" t="str">
        <f>_xlfn.XLOOKUP(Table1[[#This Row],[EnvironmentSatisfaction]],Table9[EnvironmentSatisfaction],Table9[Deskripsi])</f>
        <v>High</v>
      </c>
      <c r="S508" t="str">
        <f>_xlfn.XLOOKUP(Table1[[#This Row],[Gender]],Table10[Gender],Table10[Id_Gender])</f>
        <v>G002</v>
      </c>
      <c r="T508" t="s">
        <v>46</v>
      </c>
      <c r="U508">
        <v>36</v>
      </c>
      <c r="V508" t="str">
        <f>_xlfn.XLOOKUP(Table1[[#This Row],[JobInvolvement]],Table11[JobInvolvement],Table11[Id_JobInvolvement])</f>
        <v>JI003</v>
      </c>
      <c r="W508">
        <v>3</v>
      </c>
      <c r="X508" t="str">
        <f>_xlfn.XLOOKUP(Table1[[#This Row],[JobLevel]],Table12[JobLevel],Table12[Id_JobLevel])</f>
        <v>JL003</v>
      </c>
      <c r="Y508">
        <v>3</v>
      </c>
      <c r="Z508" t="str">
        <f>_xlfn.XLOOKUP(Table1[[#This Row],[JobRole]],Table13[JobRole],Table13[Id_JobRole])</f>
        <v>JR004</v>
      </c>
      <c r="AA508" t="s">
        <v>50</v>
      </c>
      <c r="AB508" t="str">
        <f>_xlfn.XLOOKUP(Table1[[#This Row],[JobSatisfaction]],Table14[JobSatisfaction],Table14[Id_JobSatisfaction])</f>
        <v>JS003</v>
      </c>
      <c r="AC508">
        <v>3</v>
      </c>
      <c r="AD508" t="str">
        <f>_xlfn.XLOOKUP(Table1[[#This Row],[JobSatisfaction]],Table14[JobSatisfaction],Table14[Deskripsi])</f>
        <v>High</v>
      </c>
      <c r="AE508" t="str">
        <f>_xlfn.XLOOKUP(Table1[[#This Row],[MaritalStatus]],Table15[MaritalStatus],Table15[Id_MaritalStatus])</f>
        <v>MS002</v>
      </c>
      <c r="AF508" t="s">
        <v>56</v>
      </c>
      <c r="AG508">
        <v>9434</v>
      </c>
      <c r="AH508">
        <v>9606</v>
      </c>
      <c r="AI508">
        <v>1</v>
      </c>
      <c r="AJ508" t="str">
        <f>_xlfn.XLOOKUP(Table1[[#This Row],[OverTime]],Table16[OverTime],Table16[Id_OverTime])</f>
        <v>OT002</v>
      </c>
      <c r="AK508" t="s">
        <v>33</v>
      </c>
      <c r="AL508">
        <v>15</v>
      </c>
      <c r="AM508" t="str">
        <f>_xlfn.XLOOKUP(Table1[[#This Row],[PerformanceRating]],Table17[PerformanceRating],Table17[Id_PerformanceRating])</f>
        <v>PR003</v>
      </c>
      <c r="AN508">
        <v>3</v>
      </c>
      <c r="AO508" t="str">
        <f>_xlfn.XLOOKUP(Table1[[#This Row],[PerformanceRating]],Table17[PerformanceRating],Table17[Deskripsi])</f>
        <v>Excellent</v>
      </c>
      <c r="AP508" t="str">
        <f>_xlfn.XLOOKUP(Table1[[#This Row],[RelationshipSatisfaction]],Table18[RelationshipSatisfaction],Table18[Id_RelationshipSatisfaction])</f>
        <v>RS003</v>
      </c>
      <c r="AQ508">
        <v>3</v>
      </c>
      <c r="AR508" t="str">
        <f>_xlfn.XLOOKUP(Table1[[#This Row],[RelationshipSatisfaction]],Table18[RelationshipSatisfaction],Table18[Deskripsi])</f>
        <v>High</v>
      </c>
      <c r="AS508" t="str">
        <f>_xlfn.XLOOKUP(Table1[[#This Row],[StockOptionLevel]],Table19[StockOptionLevel],Table19[Id_StockOptionLevel])</f>
        <v>SOL002</v>
      </c>
      <c r="AT508">
        <v>1</v>
      </c>
      <c r="AU508" t="str">
        <f>_xlfn.XLOOKUP(Table1[[#This Row],[StockOptionLevel]],Table19[StockOptionLevel],Table19[Deskripsi])</f>
        <v>Standard</v>
      </c>
      <c r="AV508">
        <v>10</v>
      </c>
      <c r="AW508">
        <v>2</v>
      </c>
      <c r="AX508" t="str">
        <f>_xlfn.XLOOKUP(Table1[[#This Row],[WorkLifeBalance]],Table20[WorkLifeBalance],Table20[Id_WorkLifeBalance])</f>
        <v>WLB002</v>
      </c>
      <c r="AY508">
        <v>3</v>
      </c>
      <c r="AZ508" t="str">
        <f>_xlfn.XLOOKUP(Table1[[#This Row],[WorkLifeBalance]],Table20[WorkLifeBalance],Table20[Deskripsi])</f>
        <v>Good</v>
      </c>
      <c r="BA508">
        <v>10</v>
      </c>
      <c r="BB508">
        <v>7</v>
      </c>
      <c r="BC508">
        <v>7</v>
      </c>
      <c r="BD508">
        <v>8</v>
      </c>
    </row>
    <row r="509" spans="1:56" x14ac:dyDescent="0.25">
      <c r="A509">
        <v>29</v>
      </c>
      <c r="B509" t="str">
        <f>_xlfn.XLOOKUP(Table1[[#This Row],[Attrition]],Table2[Attrition],Table2[Id_Attrition])</f>
        <v>A002</v>
      </c>
      <c r="C509" t="s">
        <v>33</v>
      </c>
      <c r="D509" t="str">
        <f>_xlfn.XLOOKUP(Table1[[#This Row],[BusinessTravel]],Table5[BusinessTravel],Table5[Id_BusinessTravel])</f>
        <v>BS001</v>
      </c>
      <c r="E509" t="s">
        <v>34</v>
      </c>
      <c r="F509">
        <v>1176</v>
      </c>
      <c r="G509" t="str">
        <f>_xlfn.XLOOKUP(Table1[[#This Row],[Department]],Table6[Department],Table6[Id_Departement])</f>
        <v>D001</v>
      </c>
      <c r="H509" t="s">
        <v>37</v>
      </c>
      <c r="I509">
        <v>3</v>
      </c>
      <c r="J509" t="str">
        <f>_xlfn.XLOOKUP(Table1[[#This Row],[Education]],Table8[Education],Table8[Id_Education])</f>
        <v>E002</v>
      </c>
      <c r="K509">
        <v>2</v>
      </c>
      <c r="L509" t="str">
        <f>_xlfn.XLOOKUP(Table1[[#This Row],[EducationField]],Table7[EducationField],Table7[Id_EducationField])</f>
        <v>EF003</v>
      </c>
      <c r="M509" t="s">
        <v>42</v>
      </c>
      <c r="N509" t="str">
        <f>_xlfn.XLOOKUP(Table1[[#This Row],[EmployeeNumber]],Table4[EmployeeNumber],Table4[Id_Employee])</f>
        <v>EMP00508</v>
      </c>
      <c r="O509">
        <v>690</v>
      </c>
      <c r="P509" t="str">
        <f>_xlfn.XLOOKUP(Table1[[#This Row],[EnvironmentSatisfaction]],Table9[EnvironmentSatisfaction],Table9[Id_EnviromentSatisfaction])</f>
        <v>ES002</v>
      </c>
      <c r="Q509">
        <v>2</v>
      </c>
      <c r="R509" t="str">
        <f>_xlfn.XLOOKUP(Table1[[#This Row],[EnvironmentSatisfaction]],Table9[EnvironmentSatisfaction],Table9[Deskripsi])</f>
        <v>Medium</v>
      </c>
      <c r="S509" t="str">
        <f>_xlfn.XLOOKUP(Table1[[#This Row],[Gender]],Table10[Gender],Table10[Id_Gender])</f>
        <v>G001</v>
      </c>
      <c r="T509" t="s">
        <v>45</v>
      </c>
      <c r="U509">
        <v>62</v>
      </c>
      <c r="V509" t="str">
        <f>_xlfn.XLOOKUP(Table1[[#This Row],[JobInvolvement]],Table11[JobInvolvement],Table11[Id_JobInvolvement])</f>
        <v>JI003</v>
      </c>
      <c r="W509">
        <v>3</v>
      </c>
      <c r="X509" t="str">
        <f>_xlfn.XLOOKUP(Table1[[#This Row],[JobLevel]],Table12[JobLevel],Table12[Id_JobLevel])</f>
        <v>JL002</v>
      </c>
      <c r="Y509">
        <v>2</v>
      </c>
      <c r="Z509" t="str">
        <f>_xlfn.XLOOKUP(Table1[[#This Row],[JobRole]],Table13[JobRole],Table13[Id_JobRole])</f>
        <v>JR001</v>
      </c>
      <c r="AA509" t="s">
        <v>47</v>
      </c>
      <c r="AB509" t="str">
        <f>_xlfn.XLOOKUP(Table1[[#This Row],[JobSatisfaction]],Table14[JobSatisfaction],Table14[Id_JobSatisfaction])</f>
        <v>JS003</v>
      </c>
      <c r="AC509">
        <v>3</v>
      </c>
      <c r="AD509" t="str">
        <f>_xlfn.XLOOKUP(Table1[[#This Row],[JobSatisfaction]],Table14[JobSatisfaction],Table14[Deskripsi])</f>
        <v>High</v>
      </c>
      <c r="AE509" t="str">
        <f>_xlfn.XLOOKUP(Table1[[#This Row],[MaritalStatus]],Table15[MaritalStatus],Table15[Id_MaritalStatus])</f>
        <v>MS002</v>
      </c>
      <c r="AF509" t="s">
        <v>56</v>
      </c>
      <c r="AG509">
        <v>5561</v>
      </c>
      <c r="AH509">
        <v>3487</v>
      </c>
      <c r="AI509">
        <v>1</v>
      </c>
      <c r="AJ509" t="str">
        <f>_xlfn.XLOOKUP(Table1[[#This Row],[OverTime]],Table16[OverTime],Table16[Id_OverTime])</f>
        <v>OT002</v>
      </c>
      <c r="AK509" t="s">
        <v>33</v>
      </c>
      <c r="AL509">
        <v>14</v>
      </c>
      <c r="AM509" t="str">
        <f>_xlfn.XLOOKUP(Table1[[#This Row],[PerformanceRating]],Table17[PerformanceRating],Table17[Id_PerformanceRating])</f>
        <v>PR003</v>
      </c>
      <c r="AN509">
        <v>3</v>
      </c>
      <c r="AO509" t="str">
        <f>_xlfn.XLOOKUP(Table1[[#This Row],[PerformanceRating]],Table17[PerformanceRating],Table17[Deskripsi])</f>
        <v>Excellent</v>
      </c>
      <c r="AP509" t="str">
        <f>_xlfn.XLOOKUP(Table1[[#This Row],[RelationshipSatisfaction]],Table18[RelationshipSatisfaction],Table18[Id_RelationshipSatisfaction])</f>
        <v>RS001</v>
      </c>
      <c r="AQ509">
        <v>1</v>
      </c>
      <c r="AR509" t="str">
        <f>_xlfn.XLOOKUP(Table1[[#This Row],[RelationshipSatisfaction]],Table18[RelationshipSatisfaction],Table18[Deskripsi])</f>
        <v>Low</v>
      </c>
      <c r="AS509" t="str">
        <f>_xlfn.XLOOKUP(Table1[[#This Row],[StockOptionLevel]],Table19[StockOptionLevel],Table19[Id_StockOptionLevel])</f>
        <v>SOL002</v>
      </c>
      <c r="AT509">
        <v>1</v>
      </c>
      <c r="AU509" t="str">
        <f>_xlfn.XLOOKUP(Table1[[#This Row],[StockOptionLevel]],Table19[StockOptionLevel],Table19[Deskripsi])</f>
        <v>Standard</v>
      </c>
      <c r="AV509">
        <v>6</v>
      </c>
      <c r="AW509">
        <v>5</v>
      </c>
      <c r="AX509" t="str">
        <f>_xlfn.XLOOKUP(Table1[[#This Row],[WorkLifeBalance]],Table20[WorkLifeBalance],Table20[Id_WorkLifeBalance])</f>
        <v>WLB003</v>
      </c>
      <c r="AY509">
        <v>2</v>
      </c>
      <c r="AZ509" t="str">
        <f>_xlfn.XLOOKUP(Table1[[#This Row],[WorkLifeBalance]],Table20[WorkLifeBalance],Table20[Deskripsi])</f>
        <v>Better</v>
      </c>
      <c r="BA509">
        <v>6</v>
      </c>
      <c r="BB509">
        <v>0</v>
      </c>
      <c r="BC509">
        <v>1</v>
      </c>
      <c r="BD509">
        <v>2</v>
      </c>
    </row>
    <row r="510" spans="1:56" x14ac:dyDescent="0.25">
      <c r="A510">
        <v>35</v>
      </c>
      <c r="B510" t="str">
        <f>_xlfn.XLOOKUP(Table1[[#This Row],[Attrition]],Table2[Attrition],Table2[Id_Attrition])</f>
        <v>A002</v>
      </c>
      <c r="C510" t="s">
        <v>33</v>
      </c>
      <c r="D510" t="str">
        <f>_xlfn.XLOOKUP(Table1[[#This Row],[BusinessTravel]],Table5[BusinessTravel],Table5[Id_BusinessTravel])</f>
        <v>BS001</v>
      </c>
      <c r="E510" t="s">
        <v>34</v>
      </c>
      <c r="F510">
        <v>1017</v>
      </c>
      <c r="G510" t="str">
        <f>_xlfn.XLOOKUP(Table1[[#This Row],[Department]],Table6[Department],Table6[Id_Departement])</f>
        <v>D002</v>
      </c>
      <c r="H510" t="s">
        <v>38</v>
      </c>
      <c r="I510">
        <v>6</v>
      </c>
      <c r="J510" t="str">
        <f>_xlfn.XLOOKUP(Table1[[#This Row],[Education]],Table8[Education],Table8[Id_Education])</f>
        <v>E004</v>
      </c>
      <c r="K510">
        <v>4</v>
      </c>
      <c r="L510" t="str">
        <f>_xlfn.XLOOKUP(Table1[[#This Row],[EducationField]],Table7[EducationField],Table7[Id_EducationField])</f>
        <v>EF001</v>
      </c>
      <c r="M510" t="s">
        <v>40</v>
      </c>
      <c r="N510" t="str">
        <f>_xlfn.XLOOKUP(Table1[[#This Row],[EmployeeNumber]],Table4[EmployeeNumber],Table4[Id_Employee])</f>
        <v>EMP00509</v>
      </c>
      <c r="O510">
        <v>691</v>
      </c>
      <c r="P510" t="str">
        <f>_xlfn.XLOOKUP(Table1[[#This Row],[EnvironmentSatisfaction]],Table9[EnvironmentSatisfaction],Table9[Id_EnviromentSatisfaction])</f>
        <v>ES002</v>
      </c>
      <c r="Q510">
        <v>2</v>
      </c>
      <c r="R510" t="str">
        <f>_xlfn.XLOOKUP(Table1[[#This Row],[EnvironmentSatisfaction]],Table9[EnvironmentSatisfaction],Table9[Deskripsi])</f>
        <v>Medium</v>
      </c>
      <c r="S510" t="str">
        <f>_xlfn.XLOOKUP(Table1[[#This Row],[Gender]],Table10[Gender],Table10[Id_Gender])</f>
        <v>G002</v>
      </c>
      <c r="T510" t="s">
        <v>46</v>
      </c>
      <c r="U510">
        <v>82</v>
      </c>
      <c r="V510" t="str">
        <f>_xlfn.XLOOKUP(Table1[[#This Row],[JobInvolvement]],Table11[JobInvolvement],Table11[Id_JobInvolvement])</f>
        <v>JI001</v>
      </c>
      <c r="W510">
        <v>1</v>
      </c>
      <c r="X510" t="str">
        <f>_xlfn.XLOOKUP(Table1[[#This Row],[JobLevel]],Table12[JobLevel],Table12[Id_JobLevel])</f>
        <v>JL002</v>
      </c>
      <c r="Y510">
        <v>2</v>
      </c>
      <c r="Z510" t="str">
        <f>_xlfn.XLOOKUP(Table1[[#This Row],[JobRole]],Table13[JobRole],Table13[Id_JobRole])</f>
        <v>JR002</v>
      </c>
      <c r="AA510" t="s">
        <v>48</v>
      </c>
      <c r="AB510" t="str">
        <f>_xlfn.XLOOKUP(Table1[[#This Row],[JobSatisfaction]],Table14[JobSatisfaction],Table14[Id_JobSatisfaction])</f>
        <v>JS004</v>
      </c>
      <c r="AC510">
        <v>4</v>
      </c>
      <c r="AD510" t="str">
        <f>_xlfn.XLOOKUP(Table1[[#This Row],[JobSatisfaction]],Table14[JobSatisfaction],Table14[Deskripsi])</f>
        <v>Very High</v>
      </c>
      <c r="AE510" t="str">
        <f>_xlfn.XLOOKUP(Table1[[#This Row],[MaritalStatus]],Table15[MaritalStatus],Table15[Id_MaritalStatus])</f>
        <v>MS001</v>
      </c>
      <c r="AF510" t="s">
        <v>55</v>
      </c>
      <c r="AG510">
        <v>6646</v>
      </c>
      <c r="AH510">
        <v>19368</v>
      </c>
      <c r="AI510">
        <v>1</v>
      </c>
      <c r="AJ510" t="str">
        <f>_xlfn.XLOOKUP(Table1[[#This Row],[OverTime]],Table16[OverTime],Table16[Id_OverTime])</f>
        <v>OT002</v>
      </c>
      <c r="AK510" t="s">
        <v>33</v>
      </c>
      <c r="AL510">
        <v>13</v>
      </c>
      <c r="AM510" t="str">
        <f>_xlfn.XLOOKUP(Table1[[#This Row],[PerformanceRating]],Table17[PerformanceRating],Table17[Id_PerformanceRating])</f>
        <v>PR003</v>
      </c>
      <c r="AN510">
        <v>3</v>
      </c>
      <c r="AO510" t="str">
        <f>_xlfn.XLOOKUP(Table1[[#This Row],[PerformanceRating]],Table17[PerformanceRating],Table17[Deskripsi])</f>
        <v>Excellent</v>
      </c>
      <c r="AP510" t="str">
        <f>_xlfn.XLOOKUP(Table1[[#This Row],[RelationshipSatisfaction]],Table18[RelationshipSatisfaction],Table18[Id_RelationshipSatisfaction])</f>
        <v>RS002</v>
      </c>
      <c r="AQ510">
        <v>2</v>
      </c>
      <c r="AR510" t="str">
        <f>_xlfn.XLOOKUP(Table1[[#This Row],[RelationshipSatisfaction]],Table18[RelationshipSatisfaction],Table18[Deskripsi])</f>
        <v>Medium</v>
      </c>
      <c r="AS510" t="str">
        <f>_xlfn.XLOOKUP(Table1[[#This Row],[StockOptionLevel]],Table19[StockOptionLevel],Table19[Id_StockOptionLevel])</f>
        <v>SOL001</v>
      </c>
      <c r="AT510">
        <v>0</v>
      </c>
      <c r="AU510" t="str">
        <f>_xlfn.XLOOKUP(Table1[[#This Row],[StockOptionLevel]],Table19[StockOptionLevel],Table19[Deskripsi])</f>
        <v>Non-Eligible</v>
      </c>
      <c r="AV510">
        <v>17</v>
      </c>
      <c r="AW510">
        <v>3</v>
      </c>
      <c r="AX510" t="str">
        <f>_xlfn.XLOOKUP(Table1[[#This Row],[WorkLifeBalance]],Table20[WorkLifeBalance],Table20[Id_WorkLifeBalance])</f>
        <v>WLB002</v>
      </c>
      <c r="AY510">
        <v>3</v>
      </c>
      <c r="AZ510" t="str">
        <f>_xlfn.XLOOKUP(Table1[[#This Row],[WorkLifeBalance]],Table20[WorkLifeBalance],Table20[Deskripsi])</f>
        <v>Good</v>
      </c>
      <c r="BA510">
        <v>17</v>
      </c>
      <c r="BB510">
        <v>11</v>
      </c>
      <c r="BC510">
        <v>11</v>
      </c>
      <c r="BD510">
        <v>8</v>
      </c>
    </row>
    <row r="511" spans="1:56" x14ac:dyDescent="0.25">
      <c r="A511">
        <v>33</v>
      </c>
      <c r="B511" t="str">
        <f>_xlfn.XLOOKUP(Table1[[#This Row],[Attrition]],Table2[Attrition],Table2[Id_Attrition])</f>
        <v>A002</v>
      </c>
      <c r="C511" t="s">
        <v>33</v>
      </c>
      <c r="D511" t="str">
        <f>_xlfn.XLOOKUP(Table1[[#This Row],[BusinessTravel]],Table5[BusinessTravel],Table5[Id_BusinessTravel])</f>
        <v>BS002</v>
      </c>
      <c r="E511" t="s">
        <v>35</v>
      </c>
      <c r="F511">
        <v>1296</v>
      </c>
      <c r="G511" t="str">
        <f>_xlfn.XLOOKUP(Table1[[#This Row],[Department]],Table6[Department],Table6[Id_Departement])</f>
        <v>D002</v>
      </c>
      <c r="H511" t="s">
        <v>38</v>
      </c>
      <c r="I511">
        <v>6</v>
      </c>
      <c r="J511" t="str">
        <f>_xlfn.XLOOKUP(Table1[[#This Row],[Education]],Table8[Education],Table8[Id_Education])</f>
        <v>E003</v>
      </c>
      <c r="K511">
        <v>3</v>
      </c>
      <c r="L511" t="str">
        <f>_xlfn.XLOOKUP(Table1[[#This Row],[EducationField]],Table7[EducationField],Table7[Id_EducationField])</f>
        <v>EF001</v>
      </c>
      <c r="M511" t="s">
        <v>40</v>
      </c>
      <c r="N511" t="str">
        <f>_xlfn.XLOOKUP(Table1[[#This Row],[EmployeeNumber]],Table4[EmployeeNumber],Table4[Id_Employee])</f>
        <v>EMP00510</v>
      </c>
      <c r="O511">
        <v>692</v>
      </c>
      <c r="P511" t="str">
        <f>_xlfn.XLOOKUP(Table1[[#This Row],[EnvironmentSatisfaction]],Table9[EnvironmentSatisfaction],Table9[Id_EnviromentSatisfaction])</f>
        <v>ES003</v>
      </c>
      <c r="Q511">
        <v>3</v>
      </c>
      <c r="R511" t="str">
        <f>_xlfn.XLOOKUP(Table1[[#This Row],[EnvironmentSatisfaction]],Table9[EnvironmentSatisfaction],Table9[Deskripsi])</f>
        <v>High</v>
      </c>
      <c r="S511" t="str">
        <f>_xlfn.XLOOKUP(Table1[[#This Row],[Gender]],Table10[Gender],Table10[Id_Gender])</f>
        <v>G002</v>
      </c>
      <c r="T511" t="s">
        <v>46</v>
      </c>
      <c r="U511">
        <v>30</v>
      </c>
      <c r="V511" t="str">
        <f>_xlfn.XLOOKUP(Table1[[#This Row],[JobInvolvement]],Table11[JobInvolvement],Table11[Id_JobInvolvement])</f>
        <v>JI003</v>
      </c>
      <c r="W511">
        <v>3</v>
      </c>
      <c r="X511" t="str">
        <f>_xlfn.XLOOKUP(Table1[[#This Row],[JobLevel]],Table12[JobLevel],Table12[Id_JobLevel])</f>
        <v>JL002</v>
      </c>
      <c r="Y511">
        <v>2</v>
      </c>
      <c r="Z511" t="str">
        <f>_xlfn.XLOOKUP(Table1[[#This Row],[JobRole]],Table13[JobRole],Table13[Id_JobRole])</f>
        <v>JR005</v>
      </c>
      <c r="AA511" t="s">
        <v>51</v>
      </c>
      <c r="AB511" t="str">
        <f>_xlfn.XLOOKUP(Table1[[#This Row],[JobSatisfaction]],Table14[JobSatisfaction],Table14[Id_JobSatisfaction])</f>
        <v>JS004</v>
      </c>
      <c r="AC511">
        <v>4</v>
      </c>
      <c r="AD511" t="str">
        <f>_xlfn.XLOOKUP(Table1[[#This Row],[JobSatisfaction]],Table14[JobSatisfaction],Table14[Deskripsi])</f>
        <v>Very High</v>
      </c>
      <c r="AE511" t="str">
        <f>_xlfn.XLOOKUP(Table1[[#This Row],[MaritalStatus]],Table15[MaritalStatus],Table15[Id_MaritalStatus])</f>
        <v>MS003</v>
      </c>
      <c r="AF511" t="s">
        <v>57</v>
      </c>
      <c r="AG511">
        <v>7725</v>
      </c>
      <c r="AH511">
        <v>5335</v>
      </c>
      <c r="AI511">
        <v>3</v>
      </c>
      <c r="AJ511" t="str">
        <f>_xlfn.XLOOKUP(Table1[[#This Row],[OverTime]],Table16[OverTime],Table16[Id_OverTime])</f>
        <v>OT002</v>
      </c>
      <c r="AK511" t="s">
        <v>33</v>
      </c>
      <c r="AL511">
        <v>23</v>
      </c>
      <c r="AM511" t="str">
        <f>_xlfn.XLOOKUP(Table1[[#This Row],[PerformanceRating]],Table17[PerformanceRating],Table17[Id_PerformanceRating])</f>
        <v>PR004</v>
      </c>
      <c r="AN511">
        <v>4</v>
      </c>
      <c r="AO511" t="str">
        <f>_xlfn.XLOOKUP(Table1[[#This Row],[PerformanceRating]],Table17[PerformanceRating],Table17[Deskripsi])</f>
        <v>Outstanding</v>
      </c>
      <c r="AP511" t="str">
        <f>_xlfn.XLOOKUP(Table1[[#This Row],[RelationshipSatisfaction]],Table18[RelationshipSatisfaction],Table18[Id_RelationshipSatisfaction])</f>
        <v>RS003</v>
      </c>
      <c r="AQ511">
        <v>3</v>
      </c>
      <c r="AR511" t="str">
        <f>_xlfn.XLOOKUP(Table1[[#This Row],[RelationshipSatisfaction]],Table18[RelationshipSatisfaction],Table18[Deskripsi])</f>
        <v>High</v>
      </c>
      <c r="AS511" t="str">
        <f>_xlfn.XLOOKUP(Table1[[#This Row],[StockOptionLevel]],Table19[StockOptionLevel],Table19[Id_StockOptionLevel])</f>
        <v>SOL002</v>
      </c>
      <c r="AT511">
        <v>1</v>
      </c>
      <c r="AU511" t="str">
        <f>_xlfn.XLOOKUP(Table1[[#This Row],[StockOptionLevel]],Table19[StockOptionLevel],Table19[Deskripsi])</f>
        <v>Standard</v>
      </c>
      <c r="AV511">
        <v>15</v>
      </c>
      <c r="AW511">
        <v>2</v>
      </c>
      <c r="AX511" t="str">
        <f>_xlfn.XLOOKUP(Table1[[#This Row],[WorkLifeBalance]],Table20[WorkLifeBalance],Table20[Id_WorkLifeBalance])</f>
        <v>WLB001</v>
      </c>
      <c r="AY511">
        <v>1</v>
      </c>
      <c r="AZ511" t="str">
        <f>_xlfn.XLOOKUP(Table1[[#This Row],[WorkLifeBalance]],Table20[WorkLifeBalance],Table20[Deskripsi])</f>
        <v>Bad</v>
      </c>
      <c r="BA511">
        <v>13</v>
      </c>
      <c r="BB511">
        <v>11</v>
      </c>
      <c r="BC511">
        <v>4</v>
      </c>
      <c r="BD511">
        <v>7</v>
      </c>
    </row>
    <row r="512" spans="1:56" x14ac:dyDescent="0.25">
      <c r="A512">
        <v>54</v>
      </c>
      <c r="B512" t="str">
        <f>_xlfn.XLOOKUP(Table1[[#This Row],[Attrition]],Table2[Attrition],Table2[Id_Attrition])</f>
        <v>A002</v>
      </c>
      <c r="C512" t="s">
        <v>33</v>
      </c>
      <c r="D512" t="str">
        <f>_xlfn.XLOOKUP(Table1[[#This Row],[BusinessTravel]],Table5[BusinessTravel],Table5[Id_BusinessTravel])</f>
        <v>BS001</v>
      </c>
      <c r="E512" t="s">
        <v>34</v>
      </c>
      <c r="F512">
        <v>397</v>
      </c>
      <c r="G512" t="str">
        <f>_xlfn.XLOOKUP(Table1[[#This Row],[Department]],Table6[Department],Table6[Id_Departement])</f>
        <v>D003</v>
      </c>
      <c r="H512" t="s">
        <v>39</v>
      </c>
      <c r="I512">
        <v>19</v>
      </c>
      <c r="J512" t="str">
        <f>_xlfn.XLOOKUP(Table1[[#This Row],[Education]],Table8[Education],Table8[Id_Education])</f>
        <v>E004</v>
      </c>
      <c r="K512">
        <v>4</v>
      </c>
      <c r="L512" t="str">
        <f>_xlfn.XLOOKUP(Table1[[#This Row],[EducationField]],Table7[EducationField],Table7[Id_EducationField])</f>
        <v>EF003</v>
      </c>
      <c r="M512" t="s">
        <v>42</v>
      </c>
      <c r="N512" t="str">
        <f>_xlfn.XLOOKUP(Table1[[#This Row],[EmployeeNumber]],Table4[EmployeeNumber],Table4[Id_Employee])</f>
        <v>EMP00511</v>
      </c>
      <c r="O512">
        <v>698</v>
      </c>
      <c r="P512" t="str">
        <f>_xlfn.XLOOKUP(Table1[[#This Row],[EnvironmentSatisfaction]],Table9[EnvironmentSatisfaction],Table9[Id_EnviromentSatisfaction])</f>
        <v>ES003</v>
      </c>
      <c r="Q512">
        <v>3</v>
      </c>
      <c r="R512" t="str">
        <f>_xlfn.XLOOKUP(Table1[[#This Row],[EnvironmentSatisfaction]],Table9[EnvironmentSatisfaction],Table9[Deskripsi])</f>
        <v>High</v>
      </c>
      <c r="S512" t="str">
        <f>_xlfn.XLOOKUP(Table1[[#This Row],[Gender]],Table10[Gender],Table10[Id_Gender])</f>
        <v>G002</v>
      </c>
      <c r="T512" t="s">
        <v>46</v>
      </c>
      <c r="U512">
        <v>88</v>
      </c>
      <c r="V512" t="str">
        <f>_xlfn.XLOOKUP(Table1[[#This Row],[JobInvolvement]],Table11[JobInvolvement],Table11[Id_JobInvolvement])</f>
        <v>JI003</v>
      </c>
      <c r="W512">
        <v>3</v>
      </c>
      <c r="X512" t="str">
        <f>_xlfn.XLOOKUP(Table1[[#This Row],[JobLevel]],Table12[JobLevel],Table12[Id_JobLevel])</f>
        <v>JL003</v>
      </c>
      <c r="Y512">
        <v>3</v>
      </c>
      <c r="Z512" t="str">
        <f>_xlfn.XLOOKUP(Table1[[#This Row],[JobRole]],Table13[JobRole],Table13[Id_JobRole])</f>
        <v>JR009</v>
      </c>
      <c r="AA512" t="s">
        <v>39</v>
      </c>
      <c r="AB512" t="str">
        <f>_xlfn.XLOOKUP(Table1[[#This Row],[JobSatisfaction]],Table14[JobSatisfaction],Table14[Id_JobSatisfaction])</f>
        <v>JS002</v>
      </c>
      <c r="AC512">
        <v>2</v>
      </c>
      <c r="AD512" t="str">
        <f>_xlfn.XLOOKUP(Table1[[#This Row],[JobSatisfaction]],Table14[JobSatisfaction],Table14[Deskripsi])</f>
        <v>Medium</v>
      </c>
      <c r="AE512" t="str">
        <f>_xlfn.XLOOKUP(Table1[[#This Row],[MaritalStatus]],Table15[MaritalStatus],Table15[Id_MaritalStatus])</f>
        <v>MS002</v>
      </c>
      <c r="AF512" t="s">
        <v>56</v>
      </c>
      <c r="AG512">
        <v>10725</v>
      </c>
      <c r="AH512">
        <v>6729</v>
      </c>
      <c r="AI512">
        <v>2</v>
      </c>
      <c r="AJ512" t="str">
        <f>_xlfn.XLOOKUP(Table1[[#This Row],[OverTime]],Table16[OverTime],Table16[Id_OverTime])</f>
        <v>OT002</v>
      </c>
      <c r="AK512" t="s">
        <v>33</v>
      </c>
      <c r="AL512">
        <v>15</v>
      </c>
      <c r="AM512" t="str">
        <f>_xlfn.XLOOKUP(Table1[[#This Row],[PerformanceRating]],Table17[PerformanceRating],Table17[Id_PerformanceRating])</f>
        <v>PR003</v>
      </c>
      <c r="AN512">
        <v>3</v>
      </c>
      <c r="AO512" t="str">
        <f>_xlfn.XLOOKUP(Table1[[#This Row],[PerformanceRating]],Table17[PerformanceRating],Table17[Deskripsi])</f>
        <v>Excellent</v>
      </c>
      <c r="AP512" t="str">
        <f>_xlfn.XLOOKUP(Table1[[#This Row],[RelationshipSatisfaction]],Table18[RelationshipSatisfaction],Table18[Id_RelationshipSatisfaction])</f>
        <v>RS003</v>
      </c>
      <c r="AQ512">
        <v>3</v>
      </c>
      <c r="AR512" t="str">
        <f>_xlfn.XLOOKUP(Table1[[#This Row],[RelationshipSatisfaction]],Table18[RelationshipSatisfaction],Table18[Deskripsi])</f>
        <v>High</v>
      </c>
      <c r="AS512" t="str">
        <f>_xlfn.XLOOKUP(Table1[[#This Row],[StockOptionLevel]],Table19[StockOptionLevel],Table19[Id_StockOptionLevel])</f>
        <v>SOL002</v>
      </c>
      <c r="AT512">
        <v>1</v>
      </c>
      <c r="AU512" t="str">
        <f>_xlfn.XLOOKUP(Table1[[#This Row],[StockOptionLevel]],Table19[StockOptionLevel],Table19[Deskripsi])</f>
        <v>Standard</v>
      </c>
      <c r="AV512">
        <v>16</v>
      </c>
      <c r="AW512">
        <v>1</v>
      </c>
      <c r="AX512" t="str">
        <f>_xlfn.XLOOKUP(Table1[[#This Row],[WorkLifeBalance]],Table20[WorkLifeBalance],Table20[Id_WorkLifeBalance])</f>
        <v>WLB004</v>
      </c>
      <c r="AY512">
        <v>4</v>
      </c>
      <c r="AZ512" t="str">
        <f>_xlfn.XLOOKUP(Table1[[#This Row],[WorkLifeBalance]],Table20[WorkLifeBalance],Table20[Deskripsi])</f>
        <v>Best</v>
      </c>
      <c r="BA512">
        <v>9</v>
      </c>
      <c r="BB512">
        <v>7</v>
      </c>
      <c r="BC512">
        <v>7</v>
      </c>
      <c r="BD512">
        <v>1</v>
      </c>
    </row>
    <row r="513" spans="1:56" x14ac:dyDescent="0.25">
      <c r="A513">
        <v>36</v>
      </c>
      <c r="B513" t="str">
        <f>_xlfn.XLOOKUP(Table1[[#This Row],[Attrition]],Table2[Attrition],Table2[Id_Attrition])</f>
        <v>A002</v>
      </c>
      <c r="C513" t="s">
        <v>33</v>
      </c>
      <c r="D513" t="str">
        <f>_xlfn.XLOOKUP(Table1[[#This Row],[BusinessTravel]],Table5[BusinessTravel],Table5[Id_BusinessTravel])</f>
        <v>BS001</v>
      </c>
      <c r="E513" t="s">
        <v>34</v>
      </c>
      <c r="F513">
        <v>913</v>
      </c>
      <c r="G513" t="str">
        <f>_xlfn.XLOOKUP(Table1[[#This Row],[Department]],Table6[Department],Table6[Id_Departement])</f>
        <v>D002</v>
      </c>
      <c r="H513" t="s">
        <v>38</v>
      </c>
      <c r="I513">
        <v>9</v>
      </c>
      <c r="J513" t="str">
        <f>_xlfn.XLOOKUP(Table1[[#This Row],[Education]],Table8[Education],Table8[Id_Education])</f>
        <v>E002</v>
      </c>
      <c r="K513">
        <v>2</v>
      </c>
      <c r="L513" t="str">
        <f>_xlfn.XLOOKUP(Table1[[#This Row],[EducationField]],Table7[EducationField],Table7[Id_EducationField])</f>
        <v>EF003</v>
      </c>
      <c r="M513" t="s">
        <v>42</v>
      </c>
      <c r="N513" t="str">
        <f>_xlfn.XLOOKUP(Table1[[#This Row],[EmployeeNumber]],Table4[EmployeeNumber],Table4[Id_Employee])</f>
        <v>EMP00512</v>
      </c>
      <c r="O513">
        <v>699</v>
      </c>
      <c r="P513" t="str">
        <f>_xlfn.XLOOKUP(Table1[[#This Row],[EnvironmentSatisfaction]],Table9[EnvironmentSatisfaction],Table9[Id_EnviromentSatisfaction])</f>
        <v>ES002</v>
      </c>
      <c r="Q513">
        <v>2</v>
      </c>
      <c r="R513" t="str">
        <f>_xlfn.XLOOKUP(Table1[[#This Row],[EnvironmentSatisfaction]],Table9[EnvironmentSatisfaction],Table9[Deskripsi])</f>
        <v>Medium</v>
      </c>
      <c r="S513" t="str">
        <f>_xlfn.XLOOKUP(Table1[[#This Row],[Gender]],Table10[Gender],Table10[Id_Gender])</f>
        <v>G002</v>
      </c>
      <c r="T513" t="s">
        <v>46</v>
      </c>
      <c r="U513">
        <v>48</v>
      </c>
      <c r="V513" t="str">
        <f>_xlfn.XLOOKUP(Table1[[#This Row],[JobInvolvement]],Table11[JobInvolvement],Table11[Id_JobInvolvement])</f>
        <v>JI002</v>
      </c>
      <c r="W513">
        <v>2</v>
      </c>
      <c r="X513" t="str">
        <f>_xlfn.XLOOKUP(Table1[[#This Row],[JobLevel]],Table12[JobLevel],Table12[Id_JobLevel])</f>
        <v>JL002</v>
      </c>
      <c r="Y513">
        <v>2</v>
      </c>
      <c r="Z513" t="str">
        <f>_xlfn.XLOOKUP(Table1[[#This Row],[JobRole]],Table13[JobRole],Table13[Id_JobRole])</f>
        <v>JR004</v>
      </c>
      <c r="AA513" t="s">
        <v>50</v>
      </c>
      <c r="AB513" t="str">
        <f>_xlfn.XLOOKUP(Table1[[#This Row],[JobSatisfaction]],Table14[JobSatisfaction],Table14[Id_JobSatisfaction])</f>
        <v>JS002</v>
      </c>
      <c r="AC513">
        <v>2</v>
      </c>
      <c r="AD513" t="str">
        <f>_xlfn.XLOOKUP(Table1[[#This Row],[JobSatisfaction]],Table14[JobSatisfaction],Table14[Deskripsi])</f>
        <v>Medium</v>
      </c>
      <c r="AE513" t="str">
        <f>_xlfn.XLOOKUP(Table1[[#This Row],[MaritalStatus]],Table15[MaritalStatus],Table15[Id_MaritalStatus])</f>
        <v>MS003</v>
      </c>
      <c r="AF513" t="s">
        <v>57</v>
      </c>
      <c r="AG513">
        <v>8847</v>
      </c>
      <c r="AH513">
        <v>13934</v>
      </c>
      <c r="AI513">
        <v>2</v>
      </c>
      <c r="AJ513" t="str">
        <f>_xlfn.XLOOKUP(Table1[[#This Row],[OverTime]],Table16[OverTime],Table16[Id_OverTime])</f>
        <v>OT001</v>
      </c>
      <c r="AK513" t="s">
        <v>32</v>
      </c>
      <c r="AL513">
        <v>11</v>
      </c>
      <c r="AM513" t="str">
        <f>_xlfn.XLOOKUP(Table1[[#This Row],[PerformanceRating]],Table17[PerformanceRating],Table17[Id_PerformanceRating])</f>
        <v>PR003</v>
      </c>
      <c r="AN513">
        <v>3</v>
      </c>
      <c r="AO513" t="str">
        <f>_xlfn.XLOOKUP(Table1[[#This Row],[PerformanceRating]],Table17[PerformanceRating],Table17[Deskripsi])</f>
        <v>Excellent</v>
      </c>
      <c r="AP513" t="str">
        <f>_xlfn.XLOOKUP(Table1[[#This Row],[RelationshipSatisfaction]],Table18[RelationshipSatisfaction],Table18[Id_RelationshipSatisfaction])</f>
        <v>RS003</v>
      </c>
      <c r="AQ513">
        <v>3</v>
      </c>
      <c r="AR513" t="str">
        <f>_xlfn.XLOOKUP(Table1[[#This Row],[RelationshipSatisfaction]],Table18[RelationshipSatisfaction],Table18[Deskripsi])</f>
        <v>High</v>
      </c>
      <c r="AS513" t="str">
        <f>_xlfn.XLOOKUP(Table1[[#This Row],[StockOptionLevel]],Table19[StockOptionLevel],Table19[Id_StockOptionLevel])</f>
        <v>SOL002</v>
      </c>
      <c r="AT513">
        <v>1</v>
      </c>
      <c r="AU513" t="str">
        <f>_xlfn.XLOOKUP(Table1[[#This Row],[StockOptionLevel]],Table19[StockOptionLevel],Table19[Deskripsi])</f>
        <v>Standard</v>
      </c>
      <c r="AV513">
        <v>13</v>
      </c>
      <c r="AW513">
        <v>2</v>
      </c>
      <c r="AX513" t="str">
        <f>_xlfn.XLOOKUP(Table1[[#This Row],[WorkLifeBalance]],Table20[WorkLifeBalance],Table20[Id_WorkLifeBalance])</f>
        <v>WLB002</v>
      </c>
      <c r="AY513">
        <v>3</v>
      </c>
      <c r="AZ513" t="str">
        <f>_xlfn.XLOOKUP(Table1[[#This Row],[WorkLifeBalance]],Table20[WorkLifeBalance],Table20[Deskripsi])</f>
        <v>Good</v>
      </c>
      <c r="BA513">
        <v>3</v>
      </c>
      <c r="BB513">
        <v>2</v>
      </c>
      <c r="BC513">
        <v>0</v>
      </c>
      <c r="BD513">
        <v>2</v>
      </c>
    </row>
    <row r="514" spans="1:56" x14ac:dyDescent="0.25">
      <c r="A514">
        <v>27</v>
      </c>
      <c r="B514" t="str">
        <f>_xlfn.XLOOKUP(Table1[[#This Row],[Attrition]],Table2[Attrition],Table2[Id_Attrition])</f>
        <v>A002</v>
      </c>
      <c r="C514" t="s">
        <v>33</v>
      </c>
      <c r="D514" t="str">
        <f>_xlfn.XLOOKUP(Table1[[#This Row],[BusinessTravel]],Table5[BusinessTravel],Table5[Id_BusinessTravel])</f>
        <v>BS001</v>
      </c>
      <c r="E514" t="s">
        <v>34</v>
      </c>
      <c r="F514">
        <v>1115</v>
      </c>
      <c r="G514" t="str">
        <f>_xlfn.XLOOKUP(Table1[[#This Row],[Department]],Table6[Department],Table6[Id_Departement])</f>
        <v>D002</v>
      </c>
      <c r="H514" t="s">
        <v>38</v>
      </c>
      <c r="I514">
        <v>3</v>
      </c>
      <c r="J514" t="str">
        <f>_xlfn.XLOOKUP(Table1[[#This Row],[Education]],Table8[Education],Table8[Id_Education])</f>
        <v>E004</v>
      </c>
      <c r="K514">
        <v>4</v>
      </c>
      <c r="L514" t="str">
        <f>_xlfn.XLOOKUP(Table1[[#This Row],[EducationField]],Table7[EducationField],Table7[Id_EducationField])</f>
        <v>EF003</v>
      </c>
      <c r="M514" t="s">
        <v>42</v>
      </c>
      <c r="N514" t="str">
        <f>_xlfn.XLOOKUP(Table1[[#This Row],[EmployeeNumber]],Table4[EmployeeNumber],Table4[Id_Employee])</f>
        <v>EMP00513</v>
      </c>
      <c r="O514">
        <v>700</v>
      </c>
      <c r="P514" t="str">
        <f>_xlfn.XLOOKUP(Table1[[#This Row],[EnvironmentSatisfaction]],Table9[EnvironmentSatisfaction],Table9[Id_EnviromentSatisfaction])</f>
        <v>ES001</v>
      </c>
      <c r="Q514">
        <v>1</v>
      </c>
      <c r="R514" t="str">
        <f>_xlfn.XLOOKUP(Table1[[#This Row],[EnvironmentSatisfaction]],Table9[EnvironmentSatisfaction],Table9[Deskripsi])</f>
        <v>Low</v>
      </c>
      <c r="S514" t="str">
        <f>_xlfn.XLOOKUP(Table1[[#This Row],[Gender]],Table10[Gender],Table10[Id_Gender])</f>
        <v>G002</v>
      </c>
      <c r="T514" t="s">
        <v>46</v>
      </c>
      <c r="U514">
        <v>54</v>
      </c>
      <c r="V514" t="str">
        <f>_xlfn.XLOOKUP(Table1[[#This Row],[JobInvolvement]],Table11[JobInvolvement],Table11[Id_JobInvolvement])</f>
        <v>JI002</v>
      </c>
      <c r="W514">
        <v>2</v>
      </c>
      <c r="X514" t="str">
        <f>_xlfn.XLOOKUP(Table1[[#This Row],[JobLevel]],Table12[JobLevel],Table12[Id_JobLevel])</f>
        <v>JL001</v>
      </c>
      <c r="Y514">
        <v>1</v>
      </c>
      <c r="Z514" t="str">
        <f>_xlfn.XLOOKUP(Table1[[#This Row],[JobRole]],Table13[JobRole],Table13[Id_JobRole])</f>
        <v>JR002</v>
      </c>
      <c r="AA514" t="s">
        <v>48</v>
      </c>
      <c r="AB514" t="str">
        <f>_xlfn.XLOOKUP(Table1[[#This Row],[JobSatisfaction]],Table14[JobSatisfaction],Table14[Id_JobSatisfaction])</f>
        <v>JS004</v>
      </c>
      <c r="AC514">
        <v>4</v>
      </c>
      <c r="AD514" t="str">
        <f>_xlfn.XLOOKUP(Table1[[#This Row],[JobSatisfaction]],Table14[JobSatisfaction],Table14[Deskripsi])</f>
        <v>Very High</v>
      </c>
      <c r="AE514" t="str">
        <f>_xlfn.XLOOKUP(Table1[[#This Row],[MaritalStatus]],Table15[MaritalStatus],Table15[Id_MaritalStatus])</f>
        <v>MS001</v>
      </c>
      <c r="AF514" t="s">
        <v>55</v>
      </c>
      <c r="AG514">
        <v>2045</v>
      </c>
      <c r="AH514">
        <v>15174</v>
      </c>
      <c r="AI514">
        <v>0</v>
      </c>
      <c r="AJ514" t="str">
        <f>_xlfn.XLOOKUP(Table1[[#This Row],[OverTime]],Table16[OverTime],Table16[Id_OverTime])</f>
        <v>OT002</v>
      </c>
      <c r="AK514" t="s">
        <v>33</v>
      </c>
      <c r="AL514">
        <v>13</v>
      </c>
      <c r="AM514" t="str">
        <f>_xlfn.XLOOKUP(Table1[[#This Row],[PerformanceRating]],Table17[PerformanceRating],Table17[Id_PerformanceRating])</f>
        <v>PR003</v>
      </c>
      <c r="AN514">
        <v>3</v>
      </c>
      <c r="AO514" t="str">
        <f>_xlfn.XLOOKUP(Table1[[#This Row],[PerformanceRating]],Table17[PerformanceRating],Table17[Deskripsi])</f>
        <v>Excellent</v>
      </c>
      <c r="AP514" t="str">
        <f>_xlfn.XLOOKUP(Table1[[#This Row],[RelationshipSatisfaction]],Table18[RelationshipSatisfaction],Table18[Id_RelationshipSatisfaction])</f>
        <v>RS004</v>
      </c>
      <c r="AQ514">
        <v>4</v>
      </c>
      <c r="AR514" t="str">
        <f>_xlfn.XLOOKUP(Table1[[#This Row],[RelationshipSatisfaction]],Table18[RelationshipSatisfaction],Table18[Deskripsi])</f>
        <v>Very High</v>
      </c>
      <c r="AS514" t="str">
        <f>_xlfn.XLOOKUP(Table1[[#This Row],[StockOptionLevel]],Table19[StockOptionLevel],Table19[Id_StockOptionLevel])</f>
        <v>SOL001</v>
      </c>
      <c r="AT514">
        <v>0</v>
      </c>
      <c r="AU514" t="str">
        <f>_xlfn.XLOOKUP(Table1[[#This Row],[StockOptionLevel]],Table19[StockOptionLevel],Table19[Deskripsi])</f>
        <v>Non-Eligible</v>
      </c>
      <c r="AV514">
        <v>5</v>
      </c>
      <c r="AW514">
        <v>0</v>
      </c>
      <c r="AX514" t="str">
        <f>_xlfn.XLOOKUP(Table1[[#This Row],[WorkLifeBalance]],Table20[WorkLifeBalance],Table20[Id_WorkLifeBalance])</f>
        <v>WLB002</v>
      </c>
      <c r="AY514">
        <v>3</v>
      </c>
      <c r="AZ514" t="str">
        <f>_xlfn.XLOOKUP(Table1[[#This Row],[WorkLifeBalance]],Table20[WorkLifeBalance],Table20[Deskripsi])</f>
        <v>Good</v>
      </c>
      <c r="BA514">
        <v>4</v>
      </c>
      <c r="BB514">
        <v>2</v>
      </c>
      <c r="BC514">
        <v>1</v>
      </c>
      <c r="BD514">
        <v>1</v>
      </c>
    </row>
    <row r="515" spans="1:56" x14ac:dyDescent="0.25">
      <c r="A515">
        <v>20</v>
      </c>
      <c r="B515" t="str">
        <f>_xlfn.XLOOKUP(Table1[[#This Row],[Attrition]],Table2[Attrition],Table2[Id_Attrition])</f>
        <v>A001</v>
      </c>
      <c r="C515" t="s">
        <v>32</v>
      </c>
      <c r="D515" t="str">
        <f>_xlfn.XLOOKUP(Table1[[#This Row],[BusinessTravel]],Table5[BusinessTravel],Table5[Id_BusinessTravel])</f>
        <v>BS001</v>
      </c>
      <c r="E515" t="s">
        <v>34</v>
      </c>
      <c r="F515">
        <v>1362</v>
      </c>
      <c r="G515" t="str">
        <f>_xlfn.XLOOKUP(Table1[[#This Row],[Department]],Table6[Department],Table6[Id_Departement])</f>
        <v>D002</v>
      </c>
      <c r="H515" t="s">
        <v>38</v>
      </c>
      <c r="I515">
        <v>10</v>
      </c>
      <c r="J515" t="str">
        <f>_xlfn.XLOOKUP(Table1[[#This Row],[Education]],Table8[Education],Table8[Id_Education])</f>
        <v>E001</v>
      </c>
      <c r="K515">
        <v>1</v>
      </c>
      <c r="L515" t="str">
        <f>_xlfn.XLOOKUP(Table1[[#This Row],[EducationField]],Table7[EducationField],Table7[Id_EducationField])</f>
        <v>EF003</v>
      </c>
      <c r="M515" t="s">
        <v>42</v>
      </c>
      <c r="N515" t="str">
        <f>_xlfn.XLOOKUP(Table1[[#This Row],[EmployeeNumber]],Table4[EmployeeNumber],Table4[Id_Employee])</f>
        <v>EMP00514</v>
      </c>
      <c r="O515">
        <v>701</v>
      </c>
      <c r="P515" t="str">
        <f>_xlfn.XLOOKUP(Table1[[#This Row],[EnvironmentSatisfaction]],Table9[EnvironmentSatisfaction],Table9[Id_EnviromentSatisfaction])</f>
        <v>ES004</v>
      </c>
      <c r="Q515">
        <v>4</v>
      </c>
      <c r="R515" t="str">
        <f>_xlfn.XLOOKUP(Table1[[#This Row],[EnvironmentSatisfaction]],Table9[EnvironmentSatisfaction],Table9[Deskripsi])</f>
        <v>Very High</v>
      </c>
      <c r="S515" t="str">
        <f>_xlfn.XLOOKUP(Table1[[#This Row],[Gender]],Table10[Gender],Table10[Id_Gender])</f>
        <v>G002</v>
      </c>
      <c r="T515" t="s">
        <v>46</v>
      </c>
      <c r="U515">
        <v>32</v>
      </c>
      <c r="V515" t="str">
        <f>_xlfn.XLOOKUP(Table1[[#This Row],[JobInvolvement]],Table11[JobInvolvement],Table11[Id_JobInvolvement])</f>
        <v>JI003</v>
      </c>
      <c r="W515">
        <v>3</v>
      </c>
      <c r="X515" t="str">
        <f>_xlfn.XLOOKUP(Table1[[#This Row],[JobLevel]],Table12[JobLevel],Table12[Id_JobLevel])</f>
        <v>JL001</v>
      </c>
      <c r="Y515">
        <v>1</v>
      </c>
      <c r="Z515" t="str">
        <f>_xlfn.XLOOKUP(Table1[[#This Row],[JobRole]],Table13[JobRole],Table13[Id_JobRole])</f>
        <v>JR002</v>
      </c>
      <c r="AA515" t="s">
        <v>48</v>
      </c>
      <c r="AB515" t="str">
        <f>_xlfn.XLOOKUP(Table1[[#This Row],[JobSatisfaction]],Table14[JobSatisfaction],Table14[Id_JobSatisfaction])</f>
        <v>JS003</v>
      </c>
      <c r="AC515">
        <v>3</v>
      </c>
      <c r="AD515" t="str">
        <f>_xlfn.XLOOKUP(Table1[[#This Row],[JobSatisfaction]],Table14[JobSatisfaction],Table14[Deskripsi])</f>
        <v>High</v>
      </c>
      <c r="AE515" t="str">
        <f>_xlfn.XLOOKUP(Table1[[#This Row],[MaritalStatus]],Table15[MaritalStatus],Table15[Id_MaritalStatus])</f>
        <v>MS001</v>
      </c>
      <c r="AF515" t="s">
        <v>55</v>
      </c>
      <c r="AG515">
        <v>1009</v>
      </c>
      <c r="AH515">
        <v>26999</v>
      </c>
      <c r="AI515">
        <v>1</v>
      </c>
      <c r="AJ515" t="str">
        <f>_xlfn.XLOOKUP(Table1[[#This Row],[OverTime]],Table16[OverTime],Table16[Id_OverTime])</f>
        <v>OT001</v>
      </c>
      <c r="AK515" t="s">
        <v>32</v>
      </c>
      <c r="AL515">
        <v>11</v>
      </c>
      <c r="AM515" t="str">
        <f>_xlfn.XLOOKUP(Table1[[#This Row],[PerformanceRating]],Table17[PerformanceRating],Table17[Id_PerformanceRating])</f>
        <v>PR003</v>
      </c>
      <c r="AN515">
        <v>3</v>
      </c>
      <c r="AO515" t="str">
        <f>_xlfn.XLOOKUP(Table1[[#This Row],[PerformanceRating]],Table17[PerformanceRating],Table17[Deskripsi])</f>
        <v>Excellent</v>
      </c>
      <c r="AP515" t="str">
        <f>_xlfn.XLOOKUP(Table1[[#This Row],[RelationshipSatisfaction]],Table18[RelationshipSatisfaction],Table18[Id_RelationshipSatisfaction])</f>
        <v>RS004</v>
      </c>
      <c r="AQ515">
        <v>4</v>
      </c>
      <c r="AR515" t="str">
        <f>_xlfn.XLOOKUP(Table1[[#This Row],[RelationshipSatisfaction]],Table18[RelationshipSatisfaction],Table18[Deskripsi])</f>
        <v>Very High</v>
      </c>
      <c r="AS515" t="str">
        <f>_xlfn.XLOOKUP(Table1[[#This Row],[StockOptionLevel]],Table19[StockOptionLevel],Table19[Id_StockOptionLevel])</f>
        <v>SOL001</v>
      </c>
      <c r="AT515">
        <v>0</v>
      </c>
      <c r="AU515" t="str">
        <f>_xlfn.XLOOKUP(Table1[[#This Row],[StockOptionLevel]],Table19[StockOptionLevel],Table19[Deskripsi])</f>
        <v>Non-Eligible</v>
      </c>
      <c r="AV515">
        <v>1</v>
      </c>
      <c r="AW515">
        <v>5</v>
      </c>
      <c r="AX515" t="str">
        <f>_xlfn.XLOOKUP(Table1[[#This Row],[WorkLifeBalance]],Table20[WorkLifeBalance],Table20[Id_WorkLifeBalance])</f>
        <v>WLB002</v>
      </c>
      <c r="AY515">
        <v>3</v>
      </c>
      <c r="AZ515" t="str">
        <f>_xlfn.XLOOKUP(Table1[[#This Row],[WorkLifeBalance]],Table20[WorkLifeBalance],Table20[Deskripsi])</f>
        <v>Good</v>
      </c>
      <c r="BA515">
        <v>1</v>
      </c>
      <c r="BB515">
        <v>0</v>
      </c>
      <c r="BC515">
        <v>1</v>
      </c>
      <c r="BD515">
        <v>1</v>
      </c>
    </row>
    <row r="516" spans="1:56" x14ac:dyDescent="0.25">
      <c r="A516">
        <v>33</v>
      </c>
      <c r="B516" t="str">
        <f>_xlfn.XLOOKUP(Table1[[#This Row],[Attrition]],Table2[Attrition],Table2[Id_Attrition])</f>
        <v>A001</v>
      </c>
      <c r="C516" t="s">
        <v>32</v>
      </c>
      <c r="D516" t="str">
        <f>_xlfn.XLOOKUP(Table1[[#This Row],[BusinessTravel]],Table5[BusinessTravel],Table5[Id_BusinessTravel])</f>
        <v>BS002</v>
      </c>
      <c r="E516" t="s">
        <v>35</v>
      </c>
      <c r="F516">
        <v>1076</v>
      </c>
      <c r="G516" t="str">
        <f>_xlfn.XLOOKUP(Table1[[#This Row],[Department]],Table6[Department],Table6[Id_Departement])</f>
        <v>D002</v>
      </c>
      <c r="H516" t="s">
        <v>38</v>
      </c>
      <c r="I516">
        <v>3</v>
      </c>
      <c r="J516" t="str">
        <f>_xlfn.XLOOKUP(Table1[[#This Row],[Education]],Table8[Education],Table8[Id_Education])</f>
        <v>E003</v>
      </c>
      <c r="K516">
        <v>3</v>
      </c>
      <c r="L516" t="str">
        <f>_xlfn.XLOOKUP(Table1[[#This Row],[EducationField]],Table7[EducationField],Table7[Id_EducationField])</f>
        <v>EF001</v>
      </c>
      <c r="M516" t="s">
        <v>40</v>
      </c>
      <c r="N516" t="str">
        <f>_xlfn.XLOOKUP(Table1[[#This Row],[EmployeeNumber]],Table4[EmployeeNumber],Table4[Id_Employee])</f>
        <v>EMP00515</v>
      </c>
      <c r="O516">
        <v>702</v>
      </c>
      <c r="P516" t="str">
        <f>_xlfn.XLOOKUP(Table1[[#This Row],[EnvironmentSatisfaction]],Table9[EnvironmentSatisfaction],Table9[Id_EnviromentSatisfaction])</f>
        <v>ES001</v>
      </c>
      <c r="Q516">
        <v>1</v>
      </c>
      <c r="R516" t="str">
        <f>_xlfn.XLOOKUP(Table1[[#This Row],[EnvironmentSatisfaction]],Table9[EnvironmentSatisfaction],Table9[Deskripsi])</f>
        <v>Low</v>
      </c>
      <c r="S516" t="str">
        <f>_xlfn.XLOOKUP(Table1[[#This Row],[Gender]],Table10[Gender],Table10[Id_Gender])</f>
        <v>G002</v>
      </c>
      <c r="T516" t="s">
        <v>46</v>
      </c>
      <c r="U516">
        <v>70</v>
      </c>
      <c r="V516" t="str">
        <f>_xlfn.XLOOKUP(Table1[[#This Row],[JobInvolvement]],Table11[JobInvolvement],Table11[Id_JobInvolvement])</f>
        <v>JI003</v>
      </c>
      <c r="W516">
        <v>3</v>
      </c>
      <c r="X516" t="str">
        <f>_xlfn.XLOOKUP(Table1[[#This Row],[JobLevel]],Table12[JobLevel],Table12[Id_JobLevel])</f>
        <v>JL001</v>
      </c>
      <c r="Y516">
        <v>1</v>
      </c>
      <c r="Z516" t="str">
        <f>_xlfn.XLOOKUP(Table1[[#This Row],[JobRole]],Table13[JobRole],Table13[Id_JobRole])</f>
        <v>JR002</v>
      </c>
      <c r="AA516" t="s">
        <v>48</v>
      </c>
      <c r="AB516" t="str">
        <f>_xlfn.XLOOKUP(Table1[[#This Row],[JobSatisfaction]],Table14[JobSatisfaction],Table14[Id_JobSatisfaction])</f>
        <v>JS001</v>
      </c>
      <c r="AC516">
        <v>1</v>
      </c>
      <c r="AD516" t="str">
        <f>_xlfn.XLOOKUP(Table1[[#This Row],[JobSatisfaction]],Table14[JobSatisfaction],Table14[Deskripsi])</f>
        <v>Low</v>
      </c>
      <c r="AE516" t="str">
        <f>_xlfn.XLOOKUP(Table1[[#This Row],[MaritalStatus]],Table15[MaritalStatus],Table15[Id_MaritalStatus])</f>
        <v>MS001</v>
      </c>
      <c r="AF516" t="s">
        <v>55</v>
      </c>
      <c r="AG516">
        <v>3348</v>
      </c>
      <c r="AH516">
        <v>3164</v>
      </c>
      <c r="AI516">
        <v>1</v>
      </c>
      <c r="AJ516" t="str">
        <f>_xlfn.XLOOKUP(Table1[[#This Row],[OverTime]],Table16[OverTime],Table16[Id_OverTime])</f>
        <v>OT001</v>
      </c>
      <c r="AK516" t="s">
        <v>32</v>
      </c>
      <c r="AL516">
        <v>11</v>
      </c>
      <c r="AM516" t="str">
        <f>_xlfn.XLOOKUP(Table1[[#This Row],[PerformanceRating]],Table17[PerformanceRating],Table17[Id_PerformanceRating])</f>
        <v>PR003</v>
      </c>
      <c r="AN516">
        <v>3</v>
      </c>
      <c r="AO516" t="str">
        <f>_xlfn.XLOOKUP(Table1[[#This Row],[PerformanceRating]],Table17[PerformanceRating],Table17[Deskripsi])</f>
        <v>Excellent</v>
      </c>
      <c r="AP516" t="str">
        <f>_xlfn.XLOOKUP(Table1[[#This Row],[RelationshipSatisfaction]],Table18[RelationshipSatisfaction],Table18[Id_RelationshipSatisfaction])</f>
        <v>RS001</v>
      </c>
      <c r="AQ516">
        <v>1</v>
      </c>
      <c r="AR516" t="str">
        <f>_xlfn.XLOOKUP(Table1[[#This Row],[RelationshipSatisfaction]],Table18[RelationshipSatisfaction],Table18[Deskripsi])</f>
        <v>Low</v>
      </c>
      <c r="AS516" t="str">
        <f>_xlfn.XLOOKUP(Table1[[#This Row],[StockOptionLevel]],Table19[StockOptionLevel],Table19[Id_StockOptionLevel])</f>
        <v>SOL001</v>
      </c>
      <c r="AT516">
        <v>0</v>
      </c>
      <c r="AU516" t="str">
        <f>_xlfn.XLOOKUP(Table1[[#This Row],[StockOptionLevel]],Table19[StockOptionLevel],Table19[Deskripsi])</f>
        <v>Non-Eligible</v>
      </c>
      <c r="AV516">
        <v>10</v>
      </c>
      <c r="AW516">
        <v>3</v>
      </c>
      <c r="AX516" t="str">
        <f>_xlfn.XLOOKUP(Table1[[#This Row],[WorkLifeBalance]],Table20[WorkLifeBalance],Table20[Id_WorkLifeBalance])</f>
        <v>WLB002</v>
      </c>
      <c r="AY516">
        <v>3</v>
      </c>
      <c r="AZ516" t="str">
        <f>_xlfn.XLOOKUP(Table1[[#This Row],[WorkLifeBalance]],Table20[WorkLifeBalance],Table20[Deskripsi])</f>
        <v>Good</v>
      </c>
      <c r="BA516">
        <v>10</v>
      </c>
      <c r="BB516">
        <v>8</v>
      </c>
      <c r="BC516">
        <v>9</v>
      </c>
      <c r="BD516">
        <v>7</v>
      </c>
    </row>
    <row r="517" spans="1:56" x14ac:dyDescent="0.25">
      <c r="A517">
        <v>35</v>
      </c>
      <c r="B517" t="str">
        <f>_xlfn.XLOOKUP(Table1[[#This Row],[Attrition]],Table2[Attrition],Table2[Id_Attrition])</f>
        <v>A002</v>
      </c>
      <c r="C517" t="s">
        <v>33</v>
      </c>
      <c r="D517" t="str">
        <f>_xlfn.XLOOKUP(Table1[[#This Row],[BusinessTravel]],Table5[BusinessTravel],Table5[Id_BusinessTravel])</f>
        <v>BS003</v>
      </c>
      <c r="E517" t="s">
        <v>36</v>
      </c>
      <c r="F517">
        <v>727</v>
      </c>
      <c r="G517" t="str">
        <f>_xlfn.XLOOKUP(Table1[[#This Row],[Department]],Table6[Department],Table6[Id_Departement])</f>
        <v>D002</v>
      </c>
      <c r="H517" t="s">
        <v>38</v>
      </c>
      <c r="I517">
        <v>3</v>
      </c>
      <c r="J517" t="str">
        <f>_xlfn.XLOOKUP(Table1[[#This Row],[Education]],Table8[Education],Table8[Id_Education])</f>
        <v>E003</v>
      </c>
      <c r="K517">
        <v>3</v>
      </c>
      <c r="L517" t="str">
        <f>_xlfn.XLOOKUP(Table1[[#This Row],[EducationField]],Table7[EducationField],Table7[Id_EducationField])</f>
        <v>EF001</v>
      </c>
      <c r="M517" t="s">
        <v>40</v>
      </c>
      <c r="N517" t="str">
        <f>_xlfn.XLOOKUP(Table1[[#This Row],[EmployeeNumber]],Table4[EmployeeNumber],Table4[Id_Employee])</f>
        <v>EMP00516</v>
      </c>
      <c r="O517">
        <v>704</v>
      </c>
      <c r="P517" t="str">
        <f>_xlfn.XLOOKUP(Table1[[#This Row],[EnvironmentSatisfaction]],Table9[EnvironmentSatisfaction],Table9[Id_EnviromentSatisfaction])</f>
        <v>ES003</v>
      </c>
      <c r="Q517">
        <v>3</v>
      </c>
      <c r="R517" t="str">
        <f>_xlfn.XLOOKUP(Table1[[#This Row],[EnvironmentSatisfaction]],Table9[EnvironmentSatisfaction],Table9[Deskripsi])</f>
        <v>High</v>
      </c>
      <c r="S517" t="str">
        <f>_xlfn.XLOOKUP(Table1[[#This Row],[Gender]],Table10[Gender],Table10[Id_Gender])</f>
        <v>G002</v>
      </c>
      <c r="T517" t="s">
        <v>46</v>
      </c>
      <c r="U517">
        <v>41</v>
      </c>
      <c r="V517" t="str">
        <f>_xlfn.XLOOKUP(Table1[[#This Row],[JobInvolvement]],Table11[JobInvolvement],Table11[Id_JobInvolvement])</f>
        <v>JI002</v>
      </c>
      <c r="W517">
        <v>2</v>
      </c>
      <c r="X517" t="str">
        <f>_xlfn.XLOOKUP(Table1[[#This Row],[JobLevel]],Table12[JobLevel],Table12[Id_JobLevel])</f>
        <v>JL001</v>
      </c>
      <c r="Y517">
        <v>1</v>
      </c>
      <c r="Z517" t="str">
        <f>_xlfn.XLOOKUP(Table1[[#This Row],[JobRole]],Table13[JobRole],Table13[Id_JobRole])</f>
        <v>JR003</v>
      </c>
      <c r="AA517" t="s">
        <v>49</v>
      </c>
      <c r="AB517" t="str">
        <f>_xlfn.XLOOKUP(Table1[[#This Row],[JobSatisfaction]],Table14[JobSatisfaction],Table14[Id_JobSatisfaction])</f>
        <v>JS003</v>
      </c>
      <c r="AC517">
        <v>3</v>
      </c>
      <c r="AD517" t="str">
        <f>_xlfn.XLOOKUP(Table1[[#This Row],[JobSatisfaction]],Table14[JobSatisfaction],Table14[Deskripsi])</f>
        <v>High</v>
      </c>
      <c r="AE517" t="str">
        <f>_xlfn.XLOOKUP(Table1[[#This Row],[MaritalStatus]],Table15[MaritalStatus],Table15[Id_MaritalStatus])</f>
        <v>MS002</v>
      </c>
      <c r="AF517" t="s">
        <v>56</v>
      </c>
      <c r="AG517">
        <v>1281</v>
      </c>
      <c r="AH517">
        <v>16900</v>
      </c>
      <c r="AI517">
        <v>1</v>
      </c>
      <c r="AJ517" t="str">
        <f>_xlfn.XLOOKUP(Table1[[#This Row],[OverTime]],Table16[OverTime],Table16[Id_OverTime])</f>
        <v>OT002</v>
      </c>
      <c r="AK517" t="s">
        <v>33</v>
      </c>
      <c r="AL517">
        <v>18</v>
      </c>
      <c r="AM517" t="str">
        <f>_xlfn.XLOOKUP(Table1[[#This Row],[PerformanceRating]],Table17[PerformanceRating],Table17[Id_PerformanceRating])</f>
        <v>PR003</v>
      </c>
      <c r="AN517">
        <v>3</v>
      </c>
      <c r="AO517" t="str">
        <f>_xlfn.XLOOKUP(Table1[[#This Row],[PerformanceRating]],Table17[PerformanceRating],Table17[Deskripsi])</f>
        <v>Excellent</v>
      </c>
      <c r="AP517" t="str">
        <f>_xlfn.XLOOKUP(Table1[[#This Row],[RelationshipSatisfaction]],Table18[RelationshipSatisfaction],Table18[Id_RelationshipSatisfaction])</f>
        <v>RS003</v>
      </c>
      <c r="AQ517">
        <v>3</v>
      </c>
      <c r="AR517" t="str">
        <f>_xlfn.XLOOKUP(Table1[[#This Row],[RelationshipSatisfaction]],Table18[RelationshipSatisfaction],Table18[Deskripsi])</f>
        <v>High</v>
      </c>
      <c r="AS517" t="str">
        <f>_xlfn.XLOOKUP(Table1[[#This Row],[StockOptionLevel]],Table19[StockOptionLevel],Table19[Id_StockOptionLevel])</f>
        <v>SOL003</v>
      </c>
      <c r="AT517">
        <v>2</v>
      </c>
      <c r="AU517" t="str">
        <f>_xlfn.XLOOKUP(Table1[[#This Row],[StockOptionLevel]],Table19[StockOptionLevel],Table19[Deskripsi])</f>
        <v>Intermediate</v>
      </c>
      <c r="AV517">
        <v>1</v>
      </c>
      <c r="AW517">
        <v>3</v>
      </c>
      <c r="AX517" t="str">
        <f>_xlfn.XLOOKUP(Table1[[#This Row],[WorkLifeBalance]],Table20[WorkLifeBalance],Table20[Id_WorkLifeBalance])</f>
        <v>WLB002</v>
      </c>
      <c r="AY517">
        <v>3</v>
      </c>
      <c r="AZ517" t="str">
        <f>_xlfn.XLOOKUP(Table1[[#This Row],[WorkLifeBalance]],Table20[WorkLifeBalance],Table20[Deskripsi])</f>
        <v>Good</v>
      </c>
      <c r="BA517">
        <v>1</v>
      </c>
      <c r="BB517">
        <v>0</v>
      </c>
      <c r="BC517">
        <v>0</v>
      </c>
      <c r="BD517">
        <v>0</v>
      </c>
    </row>
    <row r="518" spans="1:56" x14ac:dyDescent="0.25">
      <c r="A518">
        <v>23</v>
      </c>
      <c r="B518" t="str">
        <f>_xlfn.XLOOKUP(Table1[[#This Row],[Attrition]],Table2[Attrition],Table2[Id_Attrition])</f>
        <v>A002</v>
      </c>
      <c r="C518" t="s">
        <v>33</v>
      </c>
      <c r="D518" t="str">
        <f>_xlfn.XLOOKUP(Table1[[#This Row],[BusinessTravel]],Table5[BusinessTravel],Table5[Id_BusinessTravel])</f>
        <v>BS001</v>
      </c>
      <c r="E518" t="s">
        <v>34</v>
      </c>
      <c r="F518">
        <v>885</v>
      </c>
      <c r="G518" t="str">
        <f>_xlfn.XLOOKUP(Table1[[#This Row],[Department]],Table6[Department],Table6[Id_Departement])</f>
        <v>D002</v>
      </c>
      <c r="H518" t="s">
        <v>38</v>
      </c>
      <c r="I518">
        <v>4</v>
      </c>
      <c r="J518" t="str">
        <f>_xlfn.XLOOKUP(Table1[[#This Row],[Education]],Table8[Education],Table8[Id_Education])</f>
        <v>E003</v>
      </c>
      <c r="K518">
        <v>3</v>
      </c>
      <c r="L518" t="str">
        <f>_xlfn.XLOOKUP(Table1[[#This Row],[EducationField]],Table7[EducationField],Table7[Id_EducationField])</f>
        <v>EF003</v>
      </c>
      <c r="M518" t="s">
        <v>42</v>
      </c>
      <c r="N518" t="str">
        <f>_xlfn.XLOOKUP(Table1[[#This Row],[EmployeeNumber]],Table4[EmployeeNumber],Table4[Id_Employee])</f>
        <v>EMP00517</v>
      </c>
      <c r="O518">
        <v>705</v>
      </c>
      <c r="P518" t="str">
        <f>_xlfn.XLOOKUP(Table1[[#This Row],[EnvironmentSatisfaction]],Table9[EnvironmentSatisfaction],Table9[Id_EnviromentSatisfaction])</f>
        <v>ES001</v>
      </c>
      <c r="Q518">
        <v>1</v>
      </c>
      <c r="R518" t="str">
        <f>_xlfn.XLOOKUP(Table1[[#This Row],[EnvironmentSatisfaction]],Table9[EnvironmentSatisfaction],Table9[Deskripsi])</f>
        <v>Low</v>
      </c>
      <c r="S518" t="str">
        <f>_xlfn.XLOOKUP(Table1[[#This Row],[Gender]],Table10[Gender],Table10[Id_Gender])</f>
        <v>G002</v>
      </c>
      <c r="T518" t="s">
        <v>46</v>
      </c>
      <c r="U518">
        <v>58</v>
      </c>
      <c r="V518" t="str">
        <f>_xlfn.XLOOKUP(Table1[[#This Row],[JobInvolvement]],Table11[JobInvolvement],Table11[Id_JobInvolvement])</f>
        <v>JI004</v>
      </c>
      <c r="W518">
        <v>4</v>
      </c>
      <c r="X518" t="str">
        <f>_xlfn.XLOOKUP(Table1[[#This Row],[JobLevel]],Table12[JobLevel],Table12[Id_JobLevel])</f>
        <v>JL001</v>
      </c>
      <c r="Y518">
        <v>1</v>
      </c>
      <c r="Z518" t="str">
        <f>_xlfn.XLOOKUP(Table1[[#This Row],[JobRole]],Table13[JobRole],Table13[Id_JobRole])</f>
        <v>JR002</v>
      </c>
      <c r="AA518" t="s">
        <v>48</v>
      </c>
      <c r="AB518" t="str">
        <f>_xlfn.XLOOKUP(Table1[[#This Row],[JobSatisfaction]],Table14[JobSatisfaction],Table14[Id_JobSatisfaction])</f>
        <v>JS001</v>
      </c>
      <c r="AC518">
        <v>1</v>
      </c>
      <c r="AD518" t="str">
        <f>_xlfn.XLOOKUP(Table1[[#This Row],[JobSatisfaction]],Table14[JobSatisfaction],Table14[Deskripsi])</f>
        <v>Low</v>
      </c>
      <c r="AE518" t="str">
        <f>_xlfn.XLOOKUP(Table1[[#This Row],[MaritalStatus]],Table15[MaritalStatus],Table15[Id_MaritalStatus])</f>
        <v>MS002</v>
      </c>
      <c r="AF518" t="s">
        <v>56</v>
      </c>
      <c r="AG518">
        <v>2819</v>
      </c>
      <c r="AH518">
        <v>8544</v>
      </c>
      <c r="AI518">
        <v>2</v>
      </c>
      <c r="AJ518" t="str">
        <f>_xlfn.XLOOKUP(Table1[[#This Row],[OverTime]],Table16[OverTime],Table16[Id_OverTime])</f>
        <v>OT002</v>
      </c>
      <c r="AK518" t="s">
        <v>33</v>
      </c>
      <c r="AL518">
        <v>16</v>
      </c>
      <c r="AM518" t="str">
        <f>_xlfn.XLOOKUP(Table1[[#This Row],[PerformanceRating]],Table17[PerformanceRating],Table17[Id_PerformanceRating])</f>
        <v>PR003</v>
      </c>
      <c r="AN518">
        <v>3</v>
      </c>
      <c r="AO518" t="str">
        <f>_xlfn.XLOOKUP(Table1[[#This Row],[PerformanceRating]],Table17[PerformanceRating],Table17[Deskripsi])</f>
        <v>Excellent</v>
      </c>
      <c r="AP518" t="str">
        <f>_xlfn.XLOOKUP(Table1[[#This Row],[RelationshipSatisfaction]],Table18[RelationshipSatisfaction],Table18[Id_RelationshipSatisfaction])</f>
        <v>RS001</v>
      </c>
      <c r="AQ518">
        <v>1</v>
      </c>
      <c r="AR518" t="str">
        <f>_xlfn.XLOOKUP(Table1[[#This Row],[RelationshipSatisfaction]],Table18[RelationshipSatisfaction],Table18[Deskripsi])</f>
        <v>Low</v>
      </c>
      <c r="AS518" t="str">
        <f>_xlfn.XLOOKUP(Table1[[#This Row],[StockOptionLevel]],Table19[StockOptionLevel],Table19[Id_StockOptionLevel])</f>
        <v>SOL002</v>
      </c>
      <c r="AT518">
        <v>1</v>
      </c>
      <c r="AU518" t="str">
        <f>_xlfn.XLOOKUP(Table1[[#This Row],[StockOptionLevel]],Table19[StockOptionLevel],Table19[Deskripsi])</f>
        <v>Standard</v>
      </c>
      <c r="AV518">
        <v>5</v>
      </c>
      <c r="AW518">
        <v>3</v>
      </c>
      <c r="AX518" t="str">
        <f>_xlfn.XLOOKUP(Table1[[#This Row],[WorkLifeBalance]],Table20[WorkLifeBalance],Table20[Id_WorkLifeBalance])</f>
        <v>WLB004</v>
      </c>
      <c r="AY518">
        <v>4</v>
      </c>
      <c r="AZ518" t="str">
        <f>_xlfn.XLOOKUP(Table1[[#This Row],[WorkLifeBalance]],Table20[WorkLifeBalance],Table20[Deskripsi])</f>
        <v>Best</v>
      </c>
      <c r="BA518">
        <v>3</v>
      </c>
      <c r="BB518">
        <v>2</v>
      </c>
      <c r="BC518">
        <v>0</v>
      </c>
      <c r="BD518">
        <v>2</v>
      </c>
    </row>
    <row r="519" spans="1:56" x14ac:dyDescent="0.25">
      <c r="A519">
        <v>25</v>
      </c>
      <c r="B519" t="str">
        <f>_xlfn.XLOOKUP(Table1[[#This Row],[Attrition]],Table2[Attrition],Table2[Id_Attrition])</f>
        <v>A002</v>
      </c>
      <c r="C519" t="s">
        <v>33</v>
      </c>
      <c r="D519" t="str">
        <f>_xlfn.XLOOKUP(Table1[[#This Row],[BusinessTravel]],Table5[BusinessTravel],Table5[Id_BusinessTravel])</f>
        <v>BS001</v>
      </c>
      <c r="E519" t="s">
        <v>34</v>
      </c>
      <c r="F519">
        <v>810</v>
      </c>
      <c r="G519" t="str">
        <f>_xlfn.XLOOKUP(Table1[[#This Row],[Department]],Table6[Department],Table6[Id_Departement])</f>
        <v>D001</v>
      </c>
      <c r="H519" t="s">
        <v>37</v>
      </c>
      <c r="I519">
        <v>8</v>
      </c>
      <c r="J519" t="str">
        <f>_xlfn.XLOOKUP(Table1[[#This Row],[Education]],Table8[Education],Table8[Id_Education])</f>
        <v>E003</v>
      </c>
      <c r="K519">
        <v>3</v>
      </c>
      <c r="L519" t="str">
        <f>_xlfn.XLOOKUP(Table1[[#This Row],[EducationField]],Table7[EducationField],Table7[Id_EducationField])</f>
        <v>EF001</v>
      </c>
      <c r="M519" t="s">
        <v>40</v>
      </c>
      <c r="N519" t="str">
        <f>_xlfn.XLOOKUP(Table1[[#This Row],[EmployeeNumber]],Table4[EmployeeNumber],Table4[Id_Employee])</f>
        <v>EMP00518</v>
      </c>
      <c r="O519">
        <v>707</v>
      </c>
      <c r="P519" t="str">
        <f>_xlfn.XLOOKUP(Table1[[#This Row],[EnvironmentSatisfaction]],Table9[EnvironmentSatisfaction],Table9[Id_EnviromentSatisfaction])</f>
        <v>ES004</v>
      </c>
      <c r="Q519">
        <v>4</v>
      </c>
      <c r="R519" t="str">
        <f>_xlfn.XLOOKUP(Table1[[#This Row],[EnvironmentSatisfaction]],Table9[EnvironmentSatisfaction],Table9[Deskripsi])</f>
        <v>Very High</v>
      </c>
      <c r="S519" t="str">
        <f>_xlfn.XLOOKUP(Table1[[#This Row],[Gender]],Table10[Gender],Table10[Id_Gender])</f>
        <v>G002</v>
      </c>
      <c r="T519" t="s">
        <v>46</v>
      </c>
      <c r="U519">
        <v>57</v>
      </c>
      <c r="V519" t="str">
        <f>_xlfn.XLOOKUP(Table1[[#This Row],[JobInvolvement]],Table11[JobInvolvement],Table11[Id_JobInvolvement])</f>
        <v>JI004</v>
      </c>
      <c r="W519">
        <v>4</v>
      </c>
      <c r="X519" t="str">
        <f>_xlfn.XLOOKUP(Table1[[#This Row],[JobLevel]],Table12[JobLevel],Table12[Id_JobLevel])</f>
        <v>JL002</v>
      </c>
      <c r="Y519">
        <v>2</v>
      </c>
      <c r="Z519" t="str">
        <f>_xlfn.XLOOKUP(Table1[[#This Row],[JobRole]],Table13[JobRole],Table13[Id_JobRole])</f>
        <v>JR001</v>
      </c>
      <c r="AA519" t="s">
        <v>47</v>
      </c>
      <c r="AB519" t="str">
        <f>_xlfn.XLOOKUP(Table1[[#This Row],[JobSatisfaction]],Table14[JobSatisfaction],Table14[Id_JobSatisfaction])</f>
        <v>JS002</v>
      </c>
      <c r="AC519">
        <v>2</v>
      </c>
      <c r="AD519" t="str">
        <f>_xlfn.XLOOKUP(Table1[[#This Row],[JobSatisfaction]],Table14[JobSatisfaction],Table14[Deskripsi])</f>
        <v>Medium</v>
      </c>
      <c r="AE519" t="str">
        <f>_xlfn.XLOOKUP(Table1[[#This Row],[MaritalStatus]],Table15[MaritalStatus],Table15[Id_MaritalStatus])</f>
        <v>MS002</v>
      </c>
      <c r="AF519" t="s">
        <v>56</v>
      </c>
      <c r="AG519">
        <v>4851</v>
      </c>
      <c r="AH519">
        <v>15678</v>
      </c>
      <c r="AI519">
        <v>0</v>
      </c>
      <c r="AJ519" t="str">
        <f>_xlfn.XLOOKUP(Table1[[#This Row],[OverTime]],Table16[OverTime],Table16[Id_OverTime])</f>
        <v>OT002</v>
      </c>
      <c r="AK519" t="s">
        <v>33</v>
      </c>
      <c r="AL519">
        <v>22</v>
      </c>
      <c r="AM519" t="str">
        <f>_xlfn.XLOOKUP(Table1[[#This Row],[PerformanceRating]],Table17[PerformanceRating],Table17[Id_PerformanceRating])</f>
        <v>PR004</v>
      </c>
      <c r="AN519">
        <v>4</v>
      </c>
      <c r="AO519" t="str">
        <f>_xlfn.XLOOKUP(Table1[[#This Row],[PerformanceRating]],Table17[PerformanceRating],Table17[Deskripsi])</f>
        <v>Outstanding</v>
      </c>
      <c r="AP519" t="str">
        <f>_xlfn.XLOOKUP(Table1[[#This Row],[RelationshipSatisfaction]],Table18[RelationshipSatisfaction],Table18[Id_RelationshipSatisfaction])</f>
        <v>RS003</v>
      </c>
      <c r="AQ519">
        <v>3</v>
      </c>
      <c r="AR519" t="str">
        <f>_xlfn.XLOOKUP(Table1[[#This Row],[RelationshipSatisfaction]],Table18[RelationshipSatisfaction],Table18[Deskripsi])</f>
        <v>High</v>
      </c>
      <c r="AS519" t="str">
        <f>_xlfn.XLOOKUP(Table1[[#This Row],[StockOptionLevel]],Table19[StockOptionLevel],Table19[Id_StockOptionLevel])</f>
        <v>SOL002</v>
      </c>
      <c r="AT519">
        <v>1</v>
      </c>
      <c r="AU519" t="str">
        <f>_xlfn.XLOOKUP(Table1[[#This Row],[StockOptionLevel]],Table19[StockOptionLevel],Table19[Deskripsi])</f>
        <v>Standard</v>
      </c>
      <c r="AV519">
        <v>4</v>
      </c>
      <c r="AW519">
        <v>4</v>
      </c>
      <c r="AX519" t="str">
        <f>_xlfn.XLOOKUP(Table1[[#This Row],[WorkLifeBalance]],Table20[WorkLifeBalance],Table20[Id_WorkLifeBalance])</f>
        <v>WLB002</v>
      </c>
      <c r="AY519">
        <v>3</v>
      </c>
      <c r="AZ519" t="str">
        <f>_xlfn.XLOOKUP(Table1[[#This Row],[WorkLifeBalance]],Table20[WorkLifeBalance],Table20[Deskripsi])</f>
        <v>Good</v>
      </c>
      <c r="BA519">
        <v>3</v>
      </c>
      <c r="BB519">
        <v>2</v>
      </c>
      <c r="BC519">
        <v>1</v>
      </c>
      <c r="BD519">
        <v>2</v>
      </c>
    </row>
    <row r="520" spans="1:56" x14ac:dyDescent="0.25">
      <c r="A520">
        <v>38</v>
      </c>
      <c r="B520" t="str">
        <f>_xlfn.XLOOKUP(Table1[[#This Row],[Attrition]],Table2[Attrition],Table2[Id_Attrition])</f>
        <v>A002</v>
      </c>
      <c r="C520" t="s">
        <v>33</v>
      </c>
      <c r="D520" t="str">
        <f>_xlfn.XLOOKUP(Table1[[#This Row],[BusinessTravel]],Table5[BusinessTravel],Table5[Id_BusinessTravel])</f>
        <v>BS001</v>
      </c>
      <c r="E520" t="s">
        <v>34</v>
      </c>
      <c r="F520">
        <v>243</v>
      </c>
      <c r="G520" t="str">
        <f>_xlfn.XLOOKUP(Table1[[#This Row],[Department]],Table6[Department],Table6[Id_Departement])</f>
        <v>D001</v>
      </c>
      <c r="H520" t="s">
        <v>37</v>
      </c>
      <c r="I520">
        <v>7</v>
      </c>
      <c r="J520" t="str">
        <f>_xlfn.XLOOKUP(Table1[[#This Row],[Education]],Table8[Education],Table8[Id_Education])</f>
        <v>E004</v>
      </c>
      <c r="K520">
        <v>4</v>
      </c>
      <c r="L520" t="str">
        <f>_xlfn.XLOOKUP(Table1[[#This Row],[EducationField]],Table7[EducationField],Table7[Id_EducationField])</f>
        <v>EF004</v>
      </c>
      <c r="M520" t="s">
        <v>43</v>
      </c>
      <c r="N520" t="str">
        <f>_xlfn.XLOOKUP(Table1[[#This Row],[EmployeeNumber]],Table4[EmployeeNumber],Table4[Id_Employee])</f>
        <v>EMP00519</v>
      </c>
      <c r="O520">
        <v>709</v>
      </c>
      <c r="P520" t="str">
        <f>_xlfn.XLOOKUP(Table1[[#This Row],[EnvironmentSatisfaction]],Table9[EnvironmentSatisfaction],Table9[Id_EnviromentSatisfaction])</f>
        <v>ES004</v>
      </c>
      <c r="Q520">
        <v>4</v>
      </c>
      <c r="R520" t="str">
        <f>_xlfn.XLOOKUP(Table1[[#This Row],[EnvironmentSatisfaction]],Table9[EnvironmentSatisfaction],Table9[Deskripsi])</f>
        <v>Very High</v>
      </c>
      <c r="S520" t="str">
        <f>_xlfn.XLOOKUP(Table1[[#This Row],[Gender]],Table10[Gender],Table10[Id_Gender])</f>
        <v>G001</v>
      </c>
      <c r="T520" t="s">
        <v>45</v>
      </c>
      <c r="U520">
        <v>46</v>
      </c>
      <c r="V520" t="str">
        <f>_xlfn.XLOOKUP(Table1[[#This Row],[JobInvolvement]],Table11[JobInvolvement],Table11[Id_JobInvolvement])</f>
        <v>JI002</v>
      </c>
      <c r="W520">
        <v>2</v>
      </c>
      <c r="X520" t="str">
        <f>_xlfn.XLOOKUP(Table1[[#This Row],[JobLevel]],Table12[JobLevel],Table12[Id_JobLevel])</f>
        <v>JL002</v>
      </c>
      <c r="Y520">
        <v>2</v>
      </c>
      <c r="Z520" t="str">
        <f>_xlfn.XLOOKUP(Table1[[#This Row],[JobRole]],Table13[JobRole],Table13[Id_JobRole])</f>
        <v>JR001</v>
      </c>
      <c r="AA520" t="s">
        <v>47</v>
      </c>
      <c r="AB520" t="str">
        <f>_xlfn.XLOOKUP(Table1[[#This Row],[JobSatisfaction]],Table14[JobSatisfaction],Table14[Id_JobSatisfaction])</f>
        <v>JS004</v>
      </c>
      <c r="AC520">
        <v>4</v>
      </c>
      <c r="AD520" t="str">
        <f>_xlfn.XLOOKUP(Table1[[#This Row],[JobSatisfaction]],Table14[JobSatisfaction],Table14[Deskripsi])</f>
        <v>Very High</v>
      </c>
      <c r="AE520" t="str">
        <f>_xlfn.XLOOKUP(Table1[[#This Row],[MaritalStatus]],Table15[MaritalStatus],Table15[Id_MaritalStatus])</f>
        <v>MS001</v>
      </c>
      <c r="AF520" t="s">
        <v>55</v>
      </c>
      <c r="AG520">
        <v>4028</v>
      </c>
      <c r="AH520">
        <v>7791</v>
      </c>
      <c r="AI520">
        <v>0</v>
      </c>
      <c r="AJ520" t="str">
        <f>_xlfn.XLOOKUP(Table1[[#This Row],[OverTime]],Table16[OverTime],Table16[Id_OverTime])</f>
        <v>OT002</v>
      </c>
      <c r="AK520" t="s">
        <v>33</v>
      </c>
      <c r="AL520">
        <v>20</v>
      </c>
      <c r="AM520" t="str">
        <f>_xlfn.XLOOKUP(Table1[[#This Row],[PerformanceRating]],Table17[PerformanceRating],Table17[Id_PerformanceRating])</f>
        <v>PR004</v>
      </c>
      <c r="AN520">
        <v>4</v>
      </c>
      <c r="AO520" t="str">
        <f>_xlfn.XLOOKUP(Table1[[#This Row],[PerformanceRating]],Table17[PerformanceRating],Table17[Deskripsi])</f>
        <v>Outstanding</v>
      </c>
      <c r="AP520" t="str">
        <f>_xlfn.XLOOKUP(Table1[[#This Row],[RelationshipSatisfaction]],Table18[RelationshipSatisfaction],Table18[Id_RelationshipSatisfaction])</f>
        <v>RS001</v>
      </c>
      <c r="AQ520">
        <v>1</v>
      </c>
      <c r="AR520" t="str">
        <f>_xlfn.XLOOKUP(Table1[[#This Row],[RelationshipSatisfaction]],Table18[RelationshipSatisfaction],Table18[Deskripsi])</f>
        <v>Low</v>
      </c>
      <c r="AS520" t="str">
        <f>_xlfn.XLOOKUP(Table1[[#This Row],[StockOptionLevel]],Table19[StockOptionLevel],Table19[Id_StockOptionLevel])</f>
        <v>SOL001</v>
      </c>
      <c r="AT520">
        <v>0</v>
      </c>
      <c r="AU520" t="str">
        <f>_xlfn.XLOOKUP(Table1[[#This Row],[StockOptionLevel]],Table19[StockOptionLevel],Table19[Deskripsi])</f>
        <v>Non-Eligible</v>
      </c>
      <c r="AV520">
        <v>8</v>
      </c>
      <c r="AW520">
        <v>2</v>
      </c>
      <c r="AX520" t="str">
        <f>_xlfn.XLOOKUP(Table1[[#This Row],[WorkLifeBalance]],Table20[WorkLifeBalance],Table20[Id_WorkLifeBalance])</f>
        <v>WLB002</v>
      </c>
      <c r="AY520">
        <v>3</v>
      </c>
      <c r="AZ520" t="str">
        <f>_xlfn.XLOOKUP(Table1[[#This Row],[WorkLifeBalance]],Table20[WorkLifeBalance],Table20[Deskripsi])</f>
        <v>Good</v>
      </c>
      <c r="BA520">
        <v>7</v>
      </c>
      <c r="BB520">
        <v>7</v>
      </c>
      <c r="BC520">
        <v>0</v>
      </c>
      <c r="BD520">
        <v>5</v>
      </c>
    </row>
    <row r="521" spans="1:56" x14ac:dyDescent="0.25">
      <c r="A521">
        <v>29</v>
      </c>
      <c r="B521" t="str">
        <f>_xlfn.XLOOKUP(Table1[[#This Row],[Attrition]],Table2[Attrition],Table2[Id_Attrition])</f>
        <v>A002</v>
      </c>
      <c r="C521" t="s">
        <v>33</v>
      </c>
      <c r="D521" t="str">
        <f>_xlfn.XLOOKUP(Table1[[#This Row],[BusinessTravel]],Table5[BusinessTravel],Table5[Id_BusinessTravel])</f>
        <v>BS002</v>
      </c>
      <c r="E521" t="s">
        <v>35</v>
      </c>
      <c r="F521">
        <v>806</v>
      </c>
      <c r="G521" t="str">
        <f>_xlfn.XLOOKUP(Table1[[#This Row],[Department]],Table6[Department],Table6[Id_Departement])</f>
        <v>D002</v>
      </c>
      <c r="H521" t="s">
        <v>38</v>
      </c>
      <c r="I521">
        <v>1</v>
      </c>
      <c r="J521" t="str">
        <f>_xlfn.XLOOKUP(Table1[[#This Row],[Education]],Table8[Education],Table8[Id_Education])</f>
        <v>E004</v>
      </c>
      <c r="K521">
        <v>4</v>
      </c>
      <c r="L521" t="str">
        <f>_xlfn.XLOOKUP(Table1[[#This Row],[EducationField]],Table7[EducationField],Table7[Id_EducationField])</f>
        <v>EF001</v>
      </c>
      <c r="M521" t="s">
        <v>40</v>
      </c>
      <c r="N521" t="str">
        <f>_xlfn.XLOOKUP(Table1[[#This Row],[EmployeeNumber]],Table4[EmployeeNumber],Table4[Id_Employee])</f>
        <v>EMP00520</v>
      </c>
      <c r="O521">
        <v>710</v>
      </c>
      <c r="P521" t="str">
        <f>_xlfn.XLOOKUP(Table1[[#This Row],[EnvironmentSatisfaction]],Table9[EnvironmentSatisfaction],Table9[Id_EnviromentSatisfaction])</f>
        <v>ES002</v>
      </c>
      <c r="Q521">
        <v>2</v>
      </c>
      <c r="R521" t="str">
        <f>_xlfn.XLOOKUP(Table1[[#This Row],[EnvironmentSatisfaction]],Table9[EnvironmentSatisfaction],Table9[Deskripsi])</f>
        <v>Medium</v>
      </c>
      <c r="S521" t="str">
        <f>_xlfn.XLOOKUP(Table1[[#This Row],[Gender]],Table10[Gender],Table10[Id_Gender])</f>
        <v>G002</v>
      </c>
      <c r="T521" t="s">
        <v>46</v>
      </c>
      <c r="U521">
        <v>76</v>
      </c>
      <c r="V521" t="str">
        <f>_xlfn.XLOOKUP(Table1[[#This Row],[JobInvolvement]],Table11[JobInvolvement],Table11[Id_JobInvolvement])</f>
        <v>JI001</v>
      </c>
      <c r="W521">
        <v>1</v>
      </c>
      <c r="X521" t="str">
        <f>_xlfn.XLOOKUP(Table1[[#This Row],[JobLevel]],Table12[JobLevel],Table12[Id_JobLevel])</f>
        <v>JL001</v>
      </c>
      <c r="Y521">
        <v>1</v>
      </c>
      <c r="Z521" t="str">
        <f>_xlfn.XLOOKUP(Table1[[#This Row],[JobRole]],Table13[JobRole],Table13[Id_JobRole])</f>
        <v>JR002</v>
      </c>
      <c r="AA521" t="s">
        <v>48</v>
      </c>
      <c r="AB521" t="str">
        <f>_xlfn.XLOOKUP(Table1[[#This Row],[JobSatisfaction]],Table14[JobSatisfaction],Table14[Id_JobSatisfaction])</f>
        <v>JS004</v>
      </c>
      <c r="AC521">
        <v>4</v>
      </c>
      <c r="AD521" t="str">
        <f>_xlfn.XLOOKUP(Table1[[#This Row],[JobSatisfaction]],Table14[JobSatisfaction],Table14[Deskripsi])</f>
        <v>Very High</v>
      </c>
      <c r="AE521" t="str">
        <f>_xlfn.XLOOKUP(Table1[[#This Row],[MaritalStatus]],Table15[MaritalStatus],Table15[Id_MaritalStatus])</f>
        <v>MS003</v>
      </c>
      <c r="AF521" t="s">
        <v>57</v>
      </c>
      <c r="AG521">
        <v>2720</v>
      </c>
      <c r="AH521">
        <v>18959</v>
      </c>
      <c r="AI521">
        <v>1</v>
      </c>
      <c r="AJ521" t="str">
        <f>_xlfn.XLOOKUP(Table1[[#This Row],[OverTime]],Table16[OverTime],Table16[Id_OverTime])</f>
        <v>OT002</v>
      </c>
      <c r="AK521" t="s">
        <v>33</v>
      </c>
      <c r="AL521">
        <v>18</v>
      </c>
      <c r="AM521" t="str">
        <f>_xlfn.XLOOKUP(Table1[[#This Row],[PerformanceRating]],Table17[PerformanceRating],Table17[Id_PerformanceRating])</f>
        <v>PR003</v>
      </c>
      <c r="AN521">
        <v>3</v>
      </c>
      <c r="AO521" t="str">
        <f>_xlfn.XLOOKUP(Table1[[#This Row],[PerformanceRating]],Table17[PerformanceRating],Table17[Deskripsi])</f>
        <v>Excellent</v>
      </c>
      <c r="AP521" t="str">
        <f>_xlfn.XLOOKUP(Table1[[#This Row],[RelationshipSatisfaction]],Table18[RelationshipSatisfaction],Table18[Id_RelationshipSatisfaction])</f>
        <v>RS004</v>
      </c>
      <c r="AQ521">
        <v>4</v>
      </c>
      <c r="AR521" t="str">
        <f>_xlfn.XLOOKUP(Table1[[#This Row],[RelationshipSatisfaction]],Table18[RelationshipSatisfaction],Table18[Deskripsi])</f>
        <v>Very High</v>
      </c>
      <c r="AS521" t="str">
        <f>_xlfn.XLOOKUP(Table1[[#This Row],[StockOptionLevel]],Table19[StockOptionLevel],Table19[Id_StockOptionLevel])</f>
        <v>SOL002</v>
      </c>
      <c r="AT521">
        <v>1</v>
      </c>
      <c r="AU521" t="str">
        <f>_xlfn.XLOOKUP(Table1[[#This Row],[StockOptionLevel]],Table19[StockOptionLevel],Table19[Deskripsi])</f>
        <v>Standard</v>
      </c>
      <c r="AV521">
        <v>10</v>
      </c>
      <c r="AW521">
        <v>5</v>
      </c>
      <c r="AX521" t="str">
        <f>_xlfn.XLOOKUP(Table1[[#This Row],[WorkLifeBalance]],Table20[WorkLifeBalance],Table20[Id_WorkLifeBalance])</f>
        <v>WLB002</v>
      </c>
      <c r="AY521">
        <v>3</v>
      </c>
      <c r="AZ521" t="str">
        <f>_xlfn.XLOOKUP(Table1[[#This Row],[WorkLifeBalance]],Table20[WorkLifeBalance],Table20[Deskripsi])</f>
        <v>Good</v>
      </c>
      <c r="BA521">
        <v>10</v>
      </c>
      <c r="BB521">
        <v>7</v>
      </c>
      <c r="BC521">
        <v>2</v>
      </c>
      <c r="BD521">
        <v>8</v>
      </c>
    </row>
    <row r="522" spans="1:56" x14ac:dyDescent="0.25">
      <c r="A522">
        <v>48</v>
      </c>
      <c r="B522" t="str">
        <f>_xlfn.XLOOKUP(Table1[[#This Row],[Attrition]],Table2[Attrition],Table2[Id_Attrition])</f>
        <v>A002</v>
      </c>
      <c r="C522" t="s">
        <v>33</v>
      </c>
      <c r="D522" t="str">
        <f>_xlfn.XLOOKUP(Table1[[#This Row],[BusinessTravel]],Table5[BusinessTravel],Table5[Id_BusinessTravel])</f>
        <v>BS001</v>
      </c>
      <c r="E522" t="s">
        <v>34</v>
      </c>
      <c r="F522">
        <v>817</v>
      </c>
      <c r="G522" t="str">
        <f>_xlfn.XLOOKUP(Table1[[#This Row],[Department]],Table6[Department],Table6[Id_Departement])</f>
        <v>D001</v>
      </c>
      <c r="H522" t="s">
        <v>37</v>
      </c>
      <c r="I522">
        <v>2</v>
      </c>
      <c r="J522" t="str">
        <f>_xlfn.XLOOKUP(Table1[[#This Row],[Education]],Table8[Education],Table8[Id_Education])</f>
        <v>E001</v>
      </c>
      <c r="K522">
        <v>1</v>
      </c>
      <c r="L522" t="str">
        <f>_xlfn.XLOOKUP(Table1[[#This Row],[EducationField]],Table7[EducationField],Table7[Id_EducationField])</f>
        <v>EF004</v>
      </c>
      <c r="M522" t="s">
        <v>43</v>
      </c>
      <c r="N522" t="str">
        <f>_xlfn.XLOOKUP(Table1[[#This Row],[EmployeeNumber]],Table4[EmployeeNumber],Table4[Id_Employee])</f>
        <v>EMP00521</v>
      </c>
      <c r="O522">
        <v>712</v>
      </c>
      <c r="P522" t="str">
        <f>_xlfn.XLOOKUP(Table1[[#This Row],[EnvironmentSatisfaction]],Table9[EnvironmentSatisfaction],Table9[Id_EnviromentSatisfaction])</f>
        <v>ES002</v>
      </c>
      <c r="Q522">
        <v>2</v>
      </c>
      <c r="R522" t="str">
        <f>_xlfn.XLOOKUP(Table1[[#This Row],[EnvironmentSatisfaction]],Table9[EnvironmentSatisfaction],Table9[Deskripsi])</f>
        <v>Medium</v>
      </c>
      <c r="S522" t="str">
        <f>_xlfn.XLOOKUP(Table1[[#This Row],[Gender]],Table10[Gender],Table10[Id_Gender])</f>
        <v>G002</v>
      </c>
      <c r="T522" t="s">
        <v>46</v>
      </c>
      <c r="U522">
        <v>56</v>
      </c>
      <c r="V522" t="str">
        <f>_xlfn.XLOOKUP(Table1[[#This Row],[JobInvolvement]],Table11[JobInvolvement],Table11[Id_JobInvolvement])</f>
        <v>JI004</v>
      </c>
      <c r="W522">
        <v>4</v>
      </c>
      <c r="X522" t="str">
        <f>_xlfn.XLOOKUP(Table1[[#This Row],[JobLevel]],Table12[JobLevel],Table12[Id_JobLevel])</f>
        <v>JL002</v>
      </c>
      <c r="Y522">
        <v>2</v>
      </c>
      <c r="Z522" t="str">
        <f>_xlfn.XLOOKUP(Table1[[#This Row],[JobRole]],Table13[JobRole],Table13[Id_JobRole])</f>
        <v>JR001</v>
      </c>
      <c r="AA522" t="s">
        <v>47</v>
      </c>
      <c r="AB522" t="str">
        <f>_xlfn.XLOOKUP(Table1[[#This Row],[JobSatisfaction]],Table14[JobSatisfaction],Table14[Id_JobSatisfaction])</f>
        <v>JS002</v>
      </c>
      <c r="AC522">
        <v>2</v>
      </c>
      <c r="AD522" t="str">
        <f>_xlfn.XLOOKUP(Table1[[#This Row],[JobSatisfaction]],Table14[JobSatisfaction],Table14[Deskripsi])</f>
        <v>Medium</v>
      </c>
      <c r="AE522" t="str">
        <f>_xlfn.XLOOKUP(Table1[[#This Row],[MaritalStatus]],Table15[MaritalStatus],Table15[Id_MaritalStatus])</f>
        <v>MS002</v>
      </c>
      <c r="AF522" t="s">
        <v>56</v>
      </c>
      <c r="AG522">
        <v>8120</v>
      </c>
      <c r="AH522">
        <v>18597</v>
      </c>
      <c r="AI522">
        <v>3</v>
      </c>
      <c r="AJ522" t="str">
        <f>_xlfn.XLOOKUP(Table1[[#This Row],[OverTime]],Table16[OverTime],Table16[Id_OverTime])</f>
        <v>OT002</v>
      </c>
      <c r="AK522" t="s">
        <v>33</v>
      </c>
      <c r="AL522">
        <v>12</v>
      </c>
      <c r="AM522" t="str">
        <f>_xlfn.XLOOKUP(Table1[[#This Row],[PerformanceRating]],Table17[PerformanceRating],Table17[Id_PerformanceRating])</f>
        <v>PR003</v>
      </c>
      <c r="AN522">
        <v>3</v>
      </c>
      <c r="AO522" t="str">
        <f>_xlfn.XLOOKUP(Table1[[#This Row],[PerformanceRating]],Table17[PerformanceRating],Table17[Deskripsi])</f>
        <v>Excellent</v>
      </c>
      <c r="AP522" t="str">
        <f>_xlfn.XLOOKUP(Table1[[#This Row],[RelationshipSatisfaction]],Table18[RelationshipSatisfaction],Table18[Id_RelationshipSatisfaction])</f>
        <v>RS004</v>
      </c>
      <c r="AQ522">
        <v>4</v>
      </c>
      <c r="AR522" t="str">
        <f>_xlfn.XLOOKUP(Table1[[#This Row],[RelationshipSatisfaction]],Table18[RelationshipSatisfaction],Table18[Deskripsi])</f>
        <v>Very High</v>
      </c>
      <c r="AS522" t="str">
        <f>_xlfn.XLOOKUP(Table1[[#This Row],[StockOptionLevel]],Table19[StockOptionLevel],Table19[Id_StockOptionLevel])</f>
        <v>SOL001</v>
      </c>
      <c r="AT522">
        <v>0</v>
      </c>
      <c r="AU522" t="str">
        <f>_xlfn.XLOOKUP(Table1[[#This Row],[StockOptionLevel]],Table19[StockOptionLevel],Table19[Deskripsi])</f>
        <v>Non-Eligible</v>
      </c>
      <c r="AV522">
        <v>12</v>
      </c>
      <c r="AW522">
        <v>3</v>
      </c>
      <c r="AX522" t="str">
        <f>_xlfn.XLOOKUP(Table1[[#This Row],[WorkLifeBalance]],Table20[WorkLifeBalance],Table20[Id_WorkLifeBalance])</f>
        <v>WLB002</v>
      </c>
      <c r="AY522">
        <v>3</v>
      </c>
      <c r="AZ522" t="str">
        <f>_xlfn.XLOOKUP(Table1[[#This Row],[WorkLifeBalance]],Table20[WorkLifeBalance],Table20[Deskripsi])</f>
        <v>Good</v>
      </c>
      <c r="BA522">
        <v>2</v>
      </c>
      <c r="BB522">
        <v>2</v>
      </c>
      <c r="BC522">
        <v>2</v>
      </c>
      <c r="BD522">
        <v>2</v>
      </c>
    </row>
    <row r="523" spans="1:56" x14ac:dyDescent="0.25">
      <c r="A523">
        <v>27</v>
      </c>
      <c r="B523" t="str">
        <f>_xlfn.XLOOKUP(Table1[[#This Row],[Attrition]],Table2[Attrition],Table2[Id_Attrition])</f>
        <v>A002</v>
      </c>
      <c r="C523" t="s">
        <v>33</v>
      </c>
      <c r="D523" t="str">
        <f>_xlfn.XLOOKUP(Table1[[#This Row],[BusinessTravel]],Table5[BusinessTravel],Table5[Id_BusinessTravel])</f>
        <v>BS002</v>
      </c>
      <c r="E523" t="s">
        <v>35</v>
      </c>
      <c r="F523">
        <v>1410</v>
      </c>
      <c r="G523" t="str">
        <f>_xlfn.XLOOKUP(Table1[[#This Row],[Department]],Table6[Department],Table6[Id_Departement])</f>
        <v>D001</v>
      </c>
      <c r="H523" t="s">
        <v>37</v>
      </c>
      <c r="I523">
        <v>3</v>
      </c>
      <c r="J523" t="str">
        <f>_xlfn.XLOOKUP(Table1[[#This Row],[Education]],Table8[Education],Table8[Id_Education])</f>
        <v>E001</v>
      </c>
      <c r="K523">
        <v>1</v>
      </c>
      <c r="L523" t="str">
        <f>_xlfn.XLOOKUP(Table1[[#This Row],[EducationField]],Table7[EducationField],Table7[Id_EducationField])</f>
        <v>EF003</v>
      </c>
      <c r="M523" t="s">
        <v>42</v>
      </c>
      <c r="N523" t="str">
        <f>_xlfn.XLOOKUP(Table1[[#This Row],[EmployeeNumber]],Table4[EmployeeNumber],Table4[Id_Employee])</f>
        <v>EMP00522</v>
      </c>
      <c r="O523">
        <v>714</v>
      </c>
      <c r="P523" t="str">
        <f>_xlfn.XLOOKUP(Table1[[#This Row],[EnvironmentSatisfaction]],Table9[EnvironmentSatisfaction],Table9[Id_EnviromentSatisfaction])</f>
        <v>ES004</v>
      </c>
      <c r="Q523">
        <v>4</v>
      </c>
      <c r="R523" t="str">
        <f>_xlfn.XLOOKUP(Table1[[#This Row],[EnvironmentSatisfaction]],Table9[EnvironmentSatisfaction],Table9[Deskripsi])</f>
        <v>Very High</v>
      </c>
      <c r="S523" t="str">
        <f>_xlfn.XLOOKUP(Table1[[#This Row],[Gender]],Table10[Gender],Table10[Id_Gender])</f>
        <v>G001</v>
      </c>
      <c r="T523" t="s">
        <v>45</v>
      </c>
      <c r="U523">
        <v>71</v>
      </c>
      <c r="V523" t="str">
        <f>_xlfn.XLOOKUP(Table1[[#This Row],[JobInvolvement]],Table11[JobInvolvement],Table11[Id_JobInvolvement])</f>
        <v>JI004</v>
      </c>
      <c r="W523">
        <v>4</v>
      </c>
      <c r="X523" t="str">
        <f>_xlfn.XLOOKUP(Table1[[#This Row],[JobLevel]],Table12[JobLevel],Table12[Id_JobLevel])</f>
        <v>JL002</v>
      </c>
      <c r="Y523">
        <v>2</v>
      </c>
      <c r="Z523" t="str">
        <f>_xlfn.XLOOKUP(Table1[[#This Row],[JobRole]],Table13[JobRole],Table13[Id_JobRole])</f>
        <v>JR001</v>
      </c>
      <c r="AA523" t="s">
        <v>47</v>
      </c>
      <c r="AB523" t="str">
        <f>_xlfn.XLOOKUP(Table1[[#This Row],[JobSatisfaction]],Table14[JobSatisfaction],Table14[Id_JobSatisfaction])</f>
        <v>JS004</v>
      </c>
      <c r="AC523">
        <v>4</v>
      </c>
      <c r="AD523" t="str">
        <f>_xlfn.XLOOKUP(Table1[[#This Row],[JobSatisfaction]],Table14[JobSatisfaction],Table14[Deskripsi])</f>
        <v>Very High</v>
      </c>
      <c r="AE523" t="str">
        <f>_xlfn.XLOOKUP(Table1[[#This Row],[MaritalStatus]],Table15[MaritalStatus],Table15[Id_MaritalStatus])</f>
        <v>MS003</v>
      </c>
      <c r="AF523" t="s">
        <v>57</v>
      </c>
      <c r="AG523">
        <v>4647</v>
      </c>
      <c r="AH523">
        <v>16673</v>
      </c>
      <c r="AI523">
        <v>1</v>
      </c>
      <c r="AJ523" t="str">
        <f>_xlfn.XLOOKUP(Table1[[#This Row],[OverTime]],Table16[OverTime],Table16[Id_OverTime])</f>
        <v>OT001</v>
      </c>
      <c r="AK523" t="s">
        <v>32</v>
      </c>
      <c r="AL523">
        <v>20</v>
      </c>
      <c r="AM523" t="str">
        <f>_xlfn.XLOOKUP(Table1[[#This Row],[PerformanceRating]],Table17[PerformanceRating],Table17[Id_PerformanceRating])</f>
        <v>PR004</v>
      </c>
      <c r="AN523">
        <v>4</v>
      </c>
      <c r="AO523" t="str">
        <f>_xlfn.XLOOKUP(Table1[[#This Row],[PerformanceRating]],Table17[PerformanceRating],Table17[Deskripsi])</f>
        <v>Outstanding</v>
      </c>
      <c r="AP523" t="str">
        <f>_xlfn.XLOOKUP(Table1[[#This Row],[RelationshipSatisfaction]],Table18[RelationshipSatisfaction],Table18[Id_RelationshipSatisfaction])</f>
        <v>RS002</v>
      </c>
      <c r="AQ523">
        <v>2</v>
      </c>
      <c r="AR523" t="str">
        <f>_xlfn.XLOOKUP(Table1[[#This Row],[RelationshipSatisfaction]],Table18[RelationshipSatisfaction],Table18[Deskripsi])</f>
        <v>Medium</v>
      </c>
      <c r="AS523" t="str">
        <f>_xlfn.XLOOKUP(Table1[[#This Row],[StockOptionLevel]],Table19[StockOptionLevel],Table19[Id_StockOptionLevel])</f>
        <v>SOL003</v>
      </c>
      <c r="AT523">
        <v>2</v>
      </c>
      <c r="AU523" t="str">
        <f>_xlfn.XLOOKUP(Table1[[#This Row],[StockOptionLevel]],Table19[StockOptionLevel],Table19[Deskripsi])</f>
        <v>Intermediate</v>
      </c>
      <c r="AV523">
        <v>6</v>
      </c>
      <c r="AW523">
        <v>3</v>
      </c>
      <c r="AX523" t="str">
        <f>_xlfn.XLOOKUP(Table1[[#This Row],[WorkLifeBalance]],Table20[WorkLifeBalance],Table20[Id_WorkLifeBalance])</f>
        <v>WLB002</v>
      </c>
      <c r="AY523">
        <v>3</v>
      </c>
      <c r="AZ523" t="str">
        <f>_xlfn.XLOOKUP(Table1[[#This Row],[WorkLifeBalance]],Table20[WorkLifeBalance],Table20[Deskripsi])</f>
        <v>Good</v>
      </c>
      <c r="BA523">
        <v>6</v>
      </c>
      <c r="BB523">
        <v>5</v>
      </c>
      <c r="BC523">
        <v>0</v>
      </c>
      <c r="BD523">
        <v>4</v>
      </c>
    </row>
    <row r="524" spans="1:56" x14ac:dyDescent="0.25">
      <c r="A524">
        <v>37</v>
      </c>
      <c r="B524" t="str">
        <f>_xlfn.XLOOKUP(Table1[[#This Row],[Attrition]],Table2[Attrition],Table2[Id_Attrition])</f>
        <v>A002</v>
      </c>
      <c r="C524" t="s">
        <v>33</v>
      </c>
      <c r="D524" t="str">
        <f>_xlfn.XLOOKUP(Table1[[#This Row],[BusinessTravel]],Table5[BusinessTravel],Table5[Id_BusinessTravel])</f>
        <v>BS001</v>
      </c>
      <c r="E524" t="s">
        <v>34</v>
      </c>
      <c r="F524">
        <v>1225</v>
      </c>
      <c r="G524" t="str">
        <f>_xlfn.XLOOKUP(Table1[[#This Row],[Department]],Table6[Department],Table6[Id_Departement])</f>
        <v>D002</v>
      </c>
      <c r="H524" t="s">
        <v>38</v>
      </c>
      <c r="I524">
        <v>10</v>
      </c>
      <c r="J524" t="str">
        <f>_xlfn.XLOOKUP(Table1[[#This Row],[Education]],Table8[Education],Table8[Id_Education])</f>
        <v>E002</v>
      </c>
      <c r="K524">
        <v>2</v>
      </c>
      <c r="L524" t="str">
        <f>_xlfn.XLOOKUP(Table1[[#This Row],[EducationField]],Table7[EducationField],Table7[Id_EducationField])</f>
        <v>EF001</v>
      </c>
      <c r="M524" t="s">
        <v>40</v>
      </c>
      <c r="N524" t="str">
        <f>_xlfn.XLOOKUP(Table1[[#This Row],[EmployeeNumber]],Table4[EmployeeNumber],Table4[Id_Employee])</f>
        <v>EMP00523</v>
      </c>
      <c r="O524">
        <v>715</v>
      </c>
      <c r="P524" t="str">
        <f>_xlfn.XLOOKUP(Table1[[#This Row],[EnvironmentSatisfaction]],Table9[EnvironmentSatisfaction],Table9[Id_EnviromentSatisfaction])</f>
        <v>ES004</v>
      </c>
      <c r="Q524">
        <v>4</v>
      </c>
      <c r="R524" t="str">
        <f>_xlfn.XLOOKUP(Table1[[#This Row],[EnvironmentSatisfaction]],Table9[EnvironmentSatisfaction],Table9[Deskripsi])</f>
        <v>Very High</v>
      </c>
      <c r="S524" t="str">
        <f>_xlfn.XLOOKUP(Table1[[#This Row],[Gender]],Table10[Gender],Table10[Id_Gender])</f>
        <v>G002</v>
      </c>
      <c r="T524" t="s">
        <v>46</v>
      </c>
      <c r="U524">
        <v>80</v>
      </c>
      <c r="V524" t="str">
        <f>_xlfn.XLOOKUP(Table1[[#This Row],[JobInvolvement]],Table11[JobInvolvement],Table11[Id_JobInvolvement])</f>
        <v>JI004</v>
      </c>
      <c r="W524">
        <v>4</v>
      </c>
      <c r="X524" t="str">
        <f>_xlfn.XLOOKUP(Table1[[#This Row],[JobLevel]],Table12[JobLevel],Table12[Id_JobLevel])</f>
        <v>JL001</v>
      </c>
      <c r="Y524">
        <v>1</v>
      </c>
      <c r="Z524" t="str">
        <f>_xlfn.XLOOKUP(Table1[[#This Row],[JobRole]],Table13[JobRole],Table13[Id_JobRole])</f>
        <v>JR002</v>
      </c>
      <c r="AA524" t="s">
        <v>48</v>
      </c>
      <c r="AB524" t="str">
        <f>_xlfn.XLOOKUP(Table1[[#This Row],[JobSatisfaction]],Table14[JobSatisfaction],Table14[Id_JobSatisfaction])</f>
        <v>JS004</v>
      </c>
      <c r="AC524">
        <v>4</v>
      </c>
      <c r="AD524" t="str">
        <f>_xlfn.XLOOKUP(Table1[[#This Row],[JobSatisfaction]],Table14[JobSatisfaction],Table14[Deskripsi])</f>
        <v>Very High</v>
      </c>
      <c r="AE524" t="str">
        <f>_xlfn.XLOOKUP(Table1[[#This Row],[MaritalStatus]],Table15[MaritalStatus],Table15[Id_MaritalStatus])</f>
        <v>MS001</v>
      </c>
      <c r="AF524" t="s">
        <v>55</v>
      </c>
      <c r="AG524">
        <v>4680</v>
      </c>
      <c r="AH524">
        <v>15232</v>
      </c>
      <c r="AI524">
        <v>3</v>
      </c>
      <c r="AJ524" t="str">
        <f>_xlfn.XLOOKUP(Table1[[#This Row],[OverTime]],Table16[OverTime],Table16[Id_OverTime])</f>
        <v>OT002</v>
      </c>
      <c r="AK524" t="s">
        <v>33</v>
      </c>
      <c r="AL524">
        <v>17</v>
      </c>
      <c r="AM524" t="str">
        <f>_xlfn.XLOOKUP(Table1[[#This Row],[PerformanceRating]],Table17[PerformanceRating],Table17[Id_PerformanceRating])</f>
        <v>PR003</v>
      </c>
      <c r="AN524">
        <v>3</v>
      </c>
      <c r="AO524" t="str">
        <f>_xlfn.XLOOKUP(Table1[[#This Row],[PerformanceRating]],Table17[PerformanceRating],Table17[Deskripsi])</f>
        <v>Excellent</v>
      </c>
      <c r="AP524" t="str">
        <f>_xlfn.XLOOKUP(Table1[[#This Row],[RelationshipSatisfaction]],Table18[RelationshipSatisfaction],Table18[Id_RelationshipSatisfaction])</f>
        <v>RS001</v>
      </c>
      <c r="AQ524">
        <v>1</v>
      </c>
      <c r="AR524" t="str">
        <f>_xlfn.XLOOKUP(Table1[[#This Row],[RelationshipSatisfaction]],Table18[RelationshipSatisfaction],Table18[Deskripsi])</f>
        <v>Low</v>
      </c>
      <c r="AS524" t="str">
        <f>_xlfn.XLOOKUP(Table1[[#This Row],[StockOptionLevel]],Table19[StockOptionLevel],Table19[Id_StockOptionLevel])</f>
        <v>SOL001</v>
      </c>
      <c r="AT524">
        <v>0</v>
      </c>
      <c r="AU524" t="str">
        <f>_xlfn.XLOOKUP(Table1[[#This Row],[StockOptionLevel]],Table19[StockOptionLevel],Table19[Deskripsi])</f>
        <v>Non-Eligible</v>
      </c>
      <c r="AV524">
        <v>4</v>
      </c>
      <c r="AW524">
        <v>2</v>
      </c>
      <c r="AX524" t="str">
        <f>_xlfn.XLOOKUP(Table1[[#This Row],[WorkLifeBalance]],Table20[WorkLifeBalance],Table20[Id_WorkLifeBalance])</f>
        <v>WLB002</v>
      </c>
      <c r="AY524">
        <v>3</v>
      </c>
      <c r="AZ524" t="str">
        <f>_xlfn.XLOOKUP(Table1[[#This Row],[WorkLifeBalance]],Table20[WorkLifeBalance],Table20[Deskripsi])</f>
        <v>Good</v>
      </c>
      <c r="BA524">
        <v>1</v>
      </c>
      <c r="BB524">
        <v>0</v>
      </c>
      <c r="BC524">
        <v>0</v>
      </c>
      <c r="BD524">
        <v>0</v>
      </c>
    </row>
    <row r="525" spans="1:56" x14ac:dyDescent="0.25">
      <c r="A525">
        <v>50</v>
      </c>
      <c r="B525" t="str">
        <f>_xlfn.XLOOKUP(Table1[[#This Row],[Attrition]],Table2[Attrition],Table2[Id_Attrition])</f>
        <v>A002</v>
      </c>
      <c r="C525" t="s">
        <v>33</v>
      </c>
      <c r="D525" t="str">
        <f>_xlfn.XLOOKUP(Table1[[#This Row],[BusinessTravel]],Table5[BusinessTravel],Table5[Id_BusinessTravel])</f>
        <v>BS001</v>
      </c>
      <c r="E525" t="s">
        <v>34</v>
      </c>
      <c r="F525">
        <v>1207</v>
      </c>
      <c r="G525" t="str">
        <f>_xlfn.XLOOKUP(Table1[[#This Row],[Department]],Table6[Department],Table6[Id_Departement])</f>
        <v>D002</v>
      </c>
      <c r="H525" t="s">
        <v>38</v>
      </c>
      <c r="I525">
        <v>28</v>
      </c>
      <c r="J525" t="str">
        <f>_xlfn.XLOOKUP(Table1[[#This Row],[Education]],Table8[Education],Table8[Id_Education])</f>
        <v>E001</v>
      </c>
      <c r="K525">
        <v>1</v>
      </c>
      <c r="L525" t="str">
        <f>_xlfn.XLOOKUP(Table1[[#This Row],[EducationField]],Table7[EducationField],Table7[Id_EducationField])</f>
        <v>EF003</v>
      </c>
      <c r="M525" t="s">
        <v>42</v>
      </c>
      <c r="N525" t="str">
        <f>_xlfn.XLOOKUP(Table1[[#This Row],[EmployeeNumber]],Table4[EmployeeNumber],Table4[Id_Employee])</f>
        <v>EMP00524</v>
      </c>
      <c r="O525">
        <v>716</v>
      </c>
      <c r="P525" t="str">
        <f>_xlfn.XLOOKUP(Table1[[#This Row],[EnvironmentSatisfaction]],Table9[EnvironmentSatisfaction],Table9[Id_EnviromentSatisfaction])</f>
        <v>ES004</v>
      </c>
      <c r="Q525">
        <v>4</v>
      </c>
      <c r="R525" t="str">
        <f>_xlfn.XLOOKUP(Table1[[#This Row],[EnvironmentSatisfaction]],Table9[EnvironmentSatisfaction],Table9[Deskripsi])</f>
        <v>Very High</v>
      </c>
      <c r="S525" t="str">
        <f>_xlfn.XLOOKUP(Table1[[#This Row],[Gender]],Table10[Gender],Table10[Id_Gender])</f>
        <v>G002</v>
      </c>
      <c r="T525" t="s">
        <v>46</v>
      </c>
      <c r="U525">
        <v>74</v>
      </c>
      <c r="V525" t="str">
        <f>_xlfn.XLOOKUP(Table1[[#This Row],[JobInvolvement]],Table11[JobInvolvement],Table11[Id_JobInvolvement])</f>
        <v>JI004</v>
      </c>
      <c r="W525">
        <v>4</v>
      </c>
      <c r="X525" t="str">
        <f>_xlfn.XLOOKUP(Table1[[#This Row],[JobLevel]],Table12[JobLevel],Table12[Id_JobLevel])</f>
        <v>JL001</v>
      </c>
      <c r="Y525">
        <v>1</v>
      </c>
      <c r="Z525" t="str">
        <f>_xlfn.XLOOKUP(Table1[[#This Row],[JobRole]],Table13[JobRole],Table13[Id_JobRole])</f>
        <v>JR003</v>
      </c>
      <c r="AA525" t="s">
        <v>49</v>
      </c>
      <c r="AB525" t="str">
        <f>_xlfn.XLOOKUP(Table1[[#This Row],[JobSatisfaction]],Table14[JobSatisfaction],Table14[Id_JobSatisfaction])</f>
        <v>JS003</v>
      </c>
      <c r="AC525">
        <v>3</v>
      </c>
      <c r="AD525" t="str">
        <f>_xlfn.XLOOKUP(Table1[[#This Row],[JobSatisfaction]],Table14[JobSatisfaction],Table14[Deskripsi])</f>
        <v>High</v>
      </c>
      <c r="AE525" t="str">
        <f>_xlfn.XLOOKUP(Table1[[#This Row],[MaritalStatus]],Table15[MaritalStatus],Table15[Id_MaritalStatus])</f>
        <v>MS002</v>
      </c>
      <c r="AF525" t="s">
        <v>56</v>
      </c>
      <c r="AG525">
        <v>3221</v>
      </c>
      <c r="AH525">
        <v>3297</v>
      </c>
      <c r="AI525">
        <v>1</v>
      </c>
      <c r="AJ525" t="str">
        <f>_xlfn.XLOOKUP(Table1[[#This Row],[OverTime]],Table16[OverTime],Table16[Id_OverTime])</f>
        <v>OT001</v>
      </c>
      <c r="AK525" t="s">
        <v>32</v>
      </c>
      <c r="AL525">
        <v>11</v>
      </c>
      <c r="AM525" t="str">
        <f>_xlfn.XLOOKUP(Table1[[#This Row],[PerformanceRating]],Table17[PerformanceRating],Table17[Id_PerformanceRating])</f>
        <v>PR003</v>
      </c>
      <c r="AN525">
        <v>3</v>
      </c>
      <c r="AO525" t="str">
        <f>_xlfn.XLOOKUP(Table1[[#This Row],[PerformanceRating]],Table17[PerformanceRating],Table17[Deskripsi])</f>
        <v>Excellent</v>
      </c>
      <c r="AP525" t="str">
        <f>_xlfn.XLOOKUP(Table1[[#This Row],[RelationshipSatisfaction]],Table18[RelationshipSatisfaction],Table18[Id_RelationshipSatisfaction])</f>
        <v>RS003</v>
      </c>
      <c r="AQ525">
        <v>3</v>
      </c>
      <c r="AR525" t="str">
        <f>_xlfn.XLOOKUP(Table1[[#This Row],[RelationshipSatisfaction]],Table18[RelationshipSatisfaction],Table18[Deskripsi])</f>
        <v>High</v>
      </c>
      <c r="AS525" t="str">
        <f>_xlfn.XLOOKUP(Table1[[#This Row],[StockOptionLevel]],Table19[StockOptionLevel],Table19[Id_StockOptionLevel])</f>
        <v>SOL004</v>
      </c>
      <c r="AT525">
        <v>3</v>
      </c>
      <c r="AU525" t="str">
        <f>_xlfn.XLOOKUP(Table1[[#This Row],[StockOptionLevel]],Table19[StockOptionLevel],Table19[Deskripsi])</f>
        <v>Senior/Executive</v>
      </c>
      <c r="AV525">
        <v>20</v>
      </c>
      <c r="AW525">
        <v>3</v>
      </c>
      <c r="AX525" t="str">
        <f>_xlfn.XLOOKUP(Table1[[#This Row],[WorkLifeBalance]],Table20[WorkLifeBalance],Table20[Id_WorkLifeBalance])</f>
        <v>WLB002</v>
      </c>
      <c r="AY525">
        <v>3</v>
      </c>
      <c r="AZ525" t="str">
        <f>_xlfn.XLOOKUP(Table1[[#This Row],[WorkLifeBalance]],Table20[WorkLifeBalance],Table20[Deskripsi])</f>
        <v>Good</v>
      </c>
      <c r="BA525">
        <v>20</v>
      </c>
      <c r="BB525">
        <v>8</v>
      </c>
      <c r="BC525">
        <v>3</v>
      </c>
      <c r="BD525">
        <v>8</v>
      </c>
    </row>
    <row r="526" spans="1:56" x14ac:dyDescent="0.25">
      <c r="A526">
        <v>34</v>
      </c>
      <c r="B526" t="str">
        <f>_xlfn.XLOOKUP(Table1[[#This Row],[Attrition]],Table2[Attrition],Table2[Id_Attrition])</f>
        <v>A002</v>
      </c>
      <c r="C526" t="s">
        <v>33</v>
      </c>
      <c r="D526" t="str">
        <f>_xlfn.XLOOKUP(Table1[[#This Row],[BusinessTravel]],Table5[BusinessTravel],Table5[Id_BusinessTravel])</f>
        <v>BS001</v>
      </c>
      <c r="E526" t="s">
        <v>34</v>
      </c>
      <c r="F526">
        <v>1442</v>
      </c>
      <c r="G526" t="str">
        <f>_xlfn.XLOOKUP(Table1[[#This Row],[Department]],Table6[Department],Table6[Id_Departement])</f>
        <v>D002</v>
      </c>
      <c r="H526" t="s">
        <v>38</v>
      </c>
      <c r="I526">
        <v>9</v>
      </c>
      <c r="J526" t="str">
        <f>_xlfn.XLOOKUP(Table1[[#This Row],[Education]],Table8[Education],Table8[Id_Education])</f>
        <v>E003</v>
      </c>
      <c r="K526">
        <v>3</v>
      </c>
      <c r="L526" t="str">
        <f>_xlfn.XLOOKUP(Table1[[#This Row],[EducationField]],Table7[EducationField],Table7[Id_EducationField])</f>
        <v>EF003</v>
      </c>
      <c r="M526" t="s">
        <v>42</v>
      </c>
      <c r="N526" t="str">
        <f>_xlfn.XLOOKUP(Table1[[#This Row],[EmployeeNumber]],Table4[EmployeeNumber],Table4[Id_Employee])</f>
        <v>EMP00525</v>
      </c>
      <c r="O526">
        <v>717</v>
      </c>
      <c r="P526" t="str">
        <f>_xlfn.XLOOKUP(Table1[[#This Row],[EnvironmentSatisfaction]],Table9[EnvironmentSatisfaction],Table9[Id_EnviromentSatisfaction])</f>
        <v>ES004</v>
      </c>
      <c r="Q526">
        <v>4</v>
      </c>
      <c r="R526" t="str">
        <f>_xlfn.XLOOKUP(Table1[[#This Row],[EnvironmentSatisfaction]],Table9[EnvironmentSatisfaction],Table9[Deskripsi])</f>
        <v>Very High</v>
      </c>
      <c r="S526" t="str">
        <f>_xlfn.XLOOKUP(Table1[[#This Row],[Gender]],Table10[Gender],Table10[Id_Gender])</f>
        <v>G001</v>
      </c>
      <c r="T526" t="s">
        <v>45</v>
      </c>
      <c r="U526">
        <v>46</v>
      </c>
      <c r="V526" t="str">
        <f>_xlfn.XLOOKUP(Table1[[#This Row],[JobInvolvement]],Table11[JobInvolvement],Table11[Id_JobInvolvement])</f>
        <v>JI002</v>
      </c>
      <c r="W526">
        <v>2</v>
      </c>
      <c r="X526" t="str">
        <f>_xlfn.XLOOKUP(Table1[[#This Row],[JobLevel]],Table12[JobLevel],Table12[Id_JobLevel])</f>
        <v>JL003</v>
      </c>
      <c r="Y526">
        <v>3</v>
      </c>
      <c r="Z526" t="str">
        <f>_xlfn.XLOOKUP(Table1[[#This Row],[JobRole]],Table13[JobRole],Table13[Id_JobRole])</f>
        <v>JR005</v>
      </c>
      <c r="AA526" t="s">
        <v>51</v>
      </c>
      <c r="AB526" t="str">
        <f>_xlfn.XLOOKUP(Table1[[#This Row],[JobSatisfaction]],Table14[JobSatisfaction],Table14[Id_JobSatisfaction])</f>
        <v>JS002</v>
      </c>
      <c r="AC526">
        <v>2</v>
      </c>
      <c r="AD526" t="str">
        <f>_xlfn.XLOOKUP(Table1[[#This Row],[JobSatisfaction]],Table14[JobSatisfaction],Table14[Deskripsi])</f>
        <v>Medium</v>
      </c>
      <c r="AE526" t="str">
        <f>_xlfn.XLOOKUP(Table1[[#This Row],[MaritalStatus]],Table15[MaritalStatus],Table15[Id_MaritalStatus])</f>
        <v>MS001</v>
      </c>
      <c r="AF526" t="s">
        <v>55</v>
      </c>
      <c r="AG526">
        <v>8621</v>
      </c>
      <c r="AH526">
        <v>17654</v>
      </c>
      <c r="AI526">
        <v>1</v>
      </c>
      <c r="AJ526" t="str">
        <f>_xlfn.XLOOKUP(Table1[[#This Row],[OverTime]],Table16[OverTime],Table16[Id_OverTime])</f>
        <v>OT002</v>
      </c>
      <c r="AK526" t="s">
        <v>33</v>
      </c>
      <c r="AL526">
        <v>14</v>
      </c>
      <c r="AM526" t="str">
        <f>_xlfn.XLOOKUP(Table1[[#This Row],[PerformanceRating]],Table17[PerformanceRating],Table17[Id_PerformanceRating])</f>
        <v>PR003</v>
      </c>
      <c r="AN526">
        <v>3</v>
      </c>
      <c r="AO526" t="str">
        <f>_xlfn.XLOOKUP(Table1[[#This Row],[PerformanceRating]],Table17[PerformanceRating],Table17[Deskripsi])</f>
        <v>Excellent</v>
      </c>
      <c r="AP526" t="str">
        <f>_xlfn.XLOOKUP(Table1[[#This Row],[RelationshipSatisfaction]],Table18[RelationshipSatisfaction],Table18[Id_RelationshipSatisfaction])</f>
        <v>RS002</v>
      </c>
      <c r="AQ526">
        <v>2</v>
      </c>
      <c r="AR526" t="str">
        <f>_xlfn.XLOOKUP(Table1[[#This Row],[RelationshipSatisfaction]],Table18[RelationshipSatisfaction],Table18[Deskripsi])</f>
        <v>Medium</v>
      </c>
      <c r="AS526" t="str">
        <f>_xlfn.XLOOKUP(Table1[[#This Row],[StockOptionLevel]],Table19[StockOptionLevel],Table19[Id_StockOptionLevel])</f>
        <v>SOL001</v>
      </c>
      <c r="AT526">
        <v>0</v>
      </c>
      <c r="AU526" t="str">
        <f>_xlfn.XLOOKUP(Table1[[#This Row],[StockOptionLevel]],Table19[StockOptionLevel],Table19[Deskripsi])</f>
        <v>Non-Eligible</v>
      </c>
      <c r="AV526">
        <v>9</v>
      </c>
      <c r="AW526">
        <v>3</v>
      </c>
      <c r="AX526" t="str">
        <f>_xlfn.XLOOKUP(Table1[[#This Row],[WorkLifeBalance]],Table20[WorkLifeBalance],Table20[Id_WorkLifeBalance])</f>
        <v>WLB004</v>
      </c>
      <c r="AY526">
        <v>4</v>
      </c>
      <c r="AZ526" t="str">
        <f>_xlfn.XLOOKUP(Table1[[#This Row],[WorkLifeBalance]],Table20[WorkLifeBalance],Table20[Deskripsi])</f>
        <v>Best</v>
      </c>
      <c r="BA526">
        <v>8</v>
      </c>
      <c r="BB526">
        <v>7</v>
      </c>
      <c r="BC526">
        <v>7</v>
      </c>
      <c r="BD526">
        <v>7</v>
      </c>
    </row>
    <row r="527" spans="1:56" x14ac:dyDescent="0.25">
      <c r="A527">
        <v>24</v>
      </c>
      <c r="B527" t="str">
        <f>_xlfn.XLOOKUP(Table1[[#This Row],[Attrition]],Table2[Attrition],Table2[Id_Attrition])</f>
        <v>A001</v>
      </c>
      <c r="C527" t="s">
        <v>32</v>
      </c>
      <c r="D527" t="str">
        <f>_xlfn.XLOOKUP(Table1[[#This Row],[BusinessTravel]],Table5[BusinessTravel],Table5[Id_BusinessTravel])</f>
        <v>BS001</v>
      </c>
      <c r="E527" t="s">
        <v>34</v>
      </c>
      <c r="F527">
        <v>693</v>
      </c>
      <c r="G527" t="str">
        <f>_xlfn.XLOOKUP(Table1[[#This Row],[Department]],Table6[Department],Table6[Id_Departement])</f>
        <v>D001</v>
      </c>
      <c r="H527" t="s">
        <v>37</v>
      </c>
      <c r="I527">
        <v>3</v>
      </c>
      <c r="J527" t="str">
        <f>_xlfn.XLOOKUP(Table1[[#This Row],[Education]],Table8[Education],Table8[Id_Education])</f>
        <v>E002</v>
      </c>
      <c r="K527">
        <v>2</v>
      </c>
      <c r="L527" t="str">
        <f>_xlfn.XLOOKUP(Table1[[#This Row],[EducationField]],Table7[EducationField],Table7[Id_EducationField])</f>
        <v>EF001</v>
      </c>
      <c r="M527" t="s">
        <v>40</v>
      </c>
      <c r="N527" t="str">
        <f>_xlfn.XLOOKUP(Table1[[#This Row],[EmployeeNumber]],Table4[EmployeeNumber],Table4[Id_Employee])</f>
        <v>EMP00526</v>
      </c>
      <c r="O527">
        <v>720</v>
      </c>
      <c r="P527" t="str">
        <f>_xlfn.XLOOKUP(Table1[[#This Row],[EnvironmentSatisfaction]],Table9[EnvironmentSatisfaction],Table9[Id_EnviromentSatisfaction])</f>
        <v>ES001</v>
      </c>
      <c r="Q527">
        <v>1</v>
      </c>
      <c r="R527" t="str">
        <f>_xlfn.XLOOKUP(Table1[[#This Row],[EnvironmentSatisfaction]],Table9[EnvironmentSatisfaction],Table9[Deskripsi])</f>
        <v>Low</v>
      </c>
      <c r="S527" t="str">
        <f>_xlfn.XLOOKUP(Table1[[#This Row],[Gender]],Table10[Gender],Table10[Id_Gender])</f>
        <v>G001</v>
      </c>
      <c r="T527" t="s">
        <v>45</v>
      </c>
      <c r="U527">
        <v>65</v>
      </c>
      <c r="V527" t="str">
        <f>_xlfn.XLOOKUP(Table1[[#This Row],[JobInvolvement]],Table11[JobInvolvement],Table11[Id_JobInvolvement])</f>
        <v>JI003</v>
      </c>
      <c r="W527">
        <v>3</v>
      </c>
      <c r="X527" t="str">
        <f>_xlfn.XLOOKUP(Table1[[#This Row],[JobLevel]],Table12[JobLevel],Table12[Id_JobLevel])</f>
        <v>JL002</v>
      </c>
      <c r="Y527">
        <v>2</v>
      </c>
      <c r="Z527" t="str">
        <f>_xlfn.XLOOKUP(Table1[[#This Row],[JobRole]],Table13[JobRole],Table13[Id_JobRole])</f>
        <v>JR001</v>
      </c>
      <c r="AA527" t="s">
        <v>47</v>
      </c>
      <c r="AB527" t="str">
        <f>_xlfn.XLOOKUP(Table1[[#This Row],[JobSatisfaction]],Table14[JobSatisfaction],Table14[Id_JobSatisfaction])</f>
        <v>JS003</v>
      </c>
      <c r="AC527">
        <v>3</v>
      </c>
      <c r="AD527" t="str">
        <f>_xlfn.XLOOKUP(Table1[[#This Row],[JobSatisfaction]],Table14[JobSatisfaction],Table14[Deskripsi])</f>
        <v>High</v>
      </c>
      <c r="AE527" t="str">
        <f>_xlfn.XLOOKUP(Table1[[#This Row],[MaritalStatus]],Table15[MaritalStatus],Table15[Id_MaritalStatus])</f>
        <v>MS001</v>
      </c>
      <c r="AF527" t="s">
        <v>55</v>
      </c>
      <c r="AG527">
        <v>4577</v>
      </c>
      <c r="AH527">
        <v>24785</v>
      </c>
      <c r="AI527">
        <v>9</v>
      </c>
      <c r="AJ527" t="str">
        <f>_xlfn.XLOOKUP(Table1[[#This Row],[OverTime]],Table16[OverTime],Table16[Id_OverTime])</f>
        <v>OT002</v>
      </c>
      <c r="AK527" t="s">
        <v>33</v>
      </c>
      <c r="AL527">
        <v>14</v>
      </c>
      <c r="AM527" t="str">
        <f>_xlfn.XLOOKUP(Table1[[#This Row],[PerformanceRating]],Table17[PerformanceRating],Table17[Id_PerformanceRating])</f>
        <v>PR003</v>
      </c>
      <c r="AN527">
        <v>3</v>
      </c>
      <c r="AO527" t="str">
        <f>_xlfn.XLOOKUP(Table1[[#This Row],[PerformanceRating]],Table17[PerformanceRating],Table17[Deskripsi])</f>
        <v>Excellent</v>
      </c>
      <c r="AP527" t="str">
        <f>_xlfn.XLOOKUP(Table1[[#This Row],[RelationshipSatisfaction]],Table18[RelationshipSatisfaction],Table18[Id_RelationshipSatisfaction])</f>
        <v>RS001</v>
      </c>
      <c r="AQ527">
        <v>1</v>
      </c>
      <c r="AR527" t="str">
        <f>_xlfn.XLOOKUP(Table1[[#This Row],[RelationshipSatisfaction]],Table18[RelationshipSatisfaction],Table18[Deskripsi])</f>
        <v>Low</v>
      </c>
      <c r="AS527" t="str">
        <f>_xlfn.XLOOKUP(Table1[[#This Row],[StockOptionLevel]],Table19[StockOptionLevel],Table19[Id_StockOptionLevel])</f>
        <v>SOL001</v>
      </c>
      <c r="AT527">
        <v>0</v>
      </c>
      <c r="AU527" t="str">
        <f>_xlfn.XLOOKUP(Table1[[#This Row],[StockOptionLevel]],Table19[StockOptionLevel],Table19[Deskripsi])</f>
        <v>Non-Eligible</v>
      </c>
      <c r="AV527">
        <v>4</v>
      </c>
      <c r="AW527">
        <v>3</v>
      </c>
      <c r="AX527" t="str">
        <f>_xlfn.XLOOKUP(Table1[[#This Row],[WorkLifeBalance]],Table20[WorkLifeBalance],Table20[Id_WorkLifeBalance])</f>
        <v>WLB002</v>
      </c>
      <c r="AY527">
        <v>3</v>
      </c>
      <c r="AZ527" t="str">
        <f>_xlfn.XLOOKUP(Table1[[#This Row],[WorkLifeBalance]],Table20[WorkLifeBalance],Table20[Deskripsi])</f>
        <v>Good</v>
      </c>
      <c r="BA527">
        <v>2</v>
      </c>
      <c r="BB527">
        <v>2</v>
      </c>
      <c r="BC527">
        <v>2</v>
      </c>
      <c r="BD527">
        <v>0</v>
      </c>
    </row>
    <row r="528" spans="1:56" x14ac:dyDescent="0.25">
      <c r="A528">
        <v>39</v>
      </c>
      <c r="B528" t="str">
        <f>_xlfn.XLOOKUP(Table1[[#This Row],[Attrition]],Table2[Attrition],Table2[Id_Attrition])</f>
        <v>A002</v>
      </c>
      <c r="C528" t="s">
        <v>33</v>
      </c>
      <c r="D528" t="str">
        <f>_xlfn.XLOOKUP(Table1[[#This Row],[BusinessTravel]],Table5[BusinessTravel],Table5[Id_BusinessTravel])</f>
        <v>BS001</v>
      </c>
      <c r="E528" t="s">
        <v>34</v>
      </c>
      <c r="F528">
        <v>408</v>
      </c>
      <c r="G528" t="str">
        <f>_xlfn.XLOOKUP(Table1[[#This Row],[Department]],Table6[Department],Table6[Id_Departement])</f>
        <v>D002</v>
      </c>
      <c r="H528" t="s">
        <v>38</v>
      </c>
      <c r="I528">
        <v>2</v>
      </c>
      <c r="J528" t="str">
        <f>_xlfn.XLOOKUP(Table1[[#This Row],[Education]],Table8[Education],Table8[Id_Education])</f>
        <v>E004</v>
      </c>
      <c r="K528">
        <v>4</v>
      </c>
      <c r="L528" t="str">
        <f>_xlfn.XLOOKUP(Table1[[#This Row],[EducationField]],Table7[EducationField],Table7[Id_EducationField])</f>
        <v>EF005</v>
      </c>
      <c r="M528" t="s">
        <v>44</v>
      </c>
      <c r="N528" t="str">
        <f>_xlfn.XLOOKUP(Table1[[#This Row],[EmployeeNumber]],Table4[EmployeeNumber],Table4[Id_Employee])</f>
        <v>EMP00527</v>
      </c>
      <c r="O528">
        <v>721</v>
      </c>
      <c r="P528" t="str">
        <f>_xlfn.XLOOKUP(Table1[[#This Row],[EnvironmentSatisfaction]],Table9[EnvironmentSatisfaction],Table9[Id_EnviromentSatisfaction])</f>
        <v>ES004</v>
      </c>
      <c r="Q528">
        <v>4</v>
      </c>
      <c r="R528" t="str">
        <f>_xlfn.XLOOKUP(Table1[[#This Row],[EnvironmentSatisfaction]],Table9[EnvironmentSatisfaction],Table9[Deskripsi])</f>
        <v>Very High</v>
      </c>
      <c r="S528" t="str">
        <f>_xlfn.XLOOKUP(Table1[[#This Row],[Gender]],Table10[Gender],Table10[Id_Gender])</f>
        <v>G001</v>
      </c>
      <c r="T528" t="s">
        <v>45</v>
      </c>
      <c r="U528">
        <v>80</v>
      </c>
      <c r="V528" t="str">
        <f>_xlfn.XLOOKUP(Table1[[#This Row],[JobInvolvement]],Table11[JobInvolvement],Table11[Id_JobInvolvement])</f>
        <v>JI002</v>
      </c>
      <c r="W528">
        <v>2</v>
      </c>
      <c r="X528" t="str">
        <f>_xlfn.XLOOKUP(Table1[[#This Row],[JobLevel]],Table12[JobLevel],Table12[Id_JobLevel])</f>
        <v>JL002</v>
      </c>
      <c r="Y528">
        <v>2</v>
      </c>
      <c r="Z528" t="str">
        <f>_xlfn.XLOOKUP(Table1[[#This Row],[JobRole]],Table13[JobRole],Table13[Id_JobRole])</f>
        <v>JR005</v>
      </c>
      <c r="AA528" t="s">
        <v>51</v>
      </c>
      <c r="AB528" t="str">
        <f>_xlfn.XLOOKUP(Table1[[#This Row],[JobSatisfaction]],Table14[JobSatisfaction],Table14[Id_JobSatisfaction])</f>
        <v>JS003</v>
      </c>
      <c r="AC528">
        <v>3</v>
      </c>
      <c r="AD528" t="str">
        <f>_xlfn.XLOOKUP(Table1[[#This Row],[JobSatisfaction]],Table14[JobSatisfaction],Table14[Deskripsi])</f>
        <v>High</v>
      </c>
      <c r="AE528" t="str">
        <f>_xlfn.XLOOKUP(Table1[[#This Row],[MaritalStatus]],Table15[MaritalStatus],Table15[Id_MaritalStatus])</f>
        <v>MS001</v>
      </c>
      <c r="AF528" t="s">
        <v>55</v>
      </c>
      <c r="AG528">
        <v>4553</v>
      </c>
      <c r="AH528">
        <v>20978</v>
      </c>
      <c r="AI528">
        <v>1</v>
      </c>
      <c r="AJ528" t="str">
        <f>_xlfn.XLOOKUP(Table1[[#This Row],[OverTime]],Table16[OverTime],Table16[Id_OverTime])</f>
        <v>OT002</v>
      </c>
      <c r="AK528" t="s">
        <v>33</v>
      </c>
      <c r="AL528">
        <v>11</v>
      </c>
      <c r="AM528" t="str">
        <f>_xlfn.XLOOKUP(Table1[[#This Row],[PerformanceRating]],Table17[PerformanceRating],Table17[Id_PerformanceRating])</f>
        <v>PR003</v>
      </c>
      <c r="AN528">
        <v>3</v>
      </c>
      <c r="AO528" t="str">
        <f>_xlfn.XLOOKUP(Table1[[#This Row],[PerformanceRating]],Table17[PerformanceRating],Table17[Deskripsi])</f>
        <v>Excellent</v>
      </c>
      <c r="AP528" t="str">
        <f>_xlfn.XLOOKUP(Table1[[#This Row],[RelationshipSatisfaction]],Table18[RelationshipSatisfaction],Table18[Id_RelationshipSatisfaction])</f>
        <v>RS001</v>
      </c>
      <c r="AQ528">
        <v>1</v>
      </c>
      <c r="AR528" t="str">
        <f>_xlfn.XLOOKUP(Table1[[#This Row],[RelationshipSatisfaction]],Table18[RelationshipSatisfaction],Table18[Deskripsi])</f>
        <v>Low</v>
      </c>
      <c r="AS528" t="str">
        <f>_xlfn.XLOOKUP(Table1[[#This Row],[StockOptionLevel]],Table19[StockOptionLevel],Table19[Id_StockOptionLevel])</f>
        <v>SOL001</v>
      </c>
      <c r="AT528">
        <v>0</v>
      </c>
      <c r="AU528" t="str">
        <f>_xlfn.XLOOKUP(Table1[[#This Row],[StockOptionLevel]],Table19[StockOptionLevel],Table19[Deskripsi])</f>
        <v>Non-Eligible</v>
      </c>
      <c r="AV528">
        <v>20</v>
      </c>
      <c r="AW528">
        <v>4</v>
      </c>
      <c r="AX528" t="str">
        <f>_xlfn.XLOOKUP(Table1[[#This Row],[WorkLifeBalance]],Table20[WorkLifeBalance],Table20[Id_WorkLifeBalance])</f>
        <v>WLB002</v>
      </c>
      <c r="AY528">
        <v>3</v>
      </c>
      <c r="AZ528" t="str">
        <f>_xlfn.XLOOKUP(Table1[[#This Row],[WorkLifeBalance]],Table20[WorkLifeBalance],Table20[Deskripsi])</f>
        <v>Good</v>
      </c>
      <c r="BA528">
        <v>20</v>
      </c>
      <c r="BB528">
        <v>7</v>
      </c>
      <c r="BC528">
        <v>11</v>
      </c>
      <c r="BD528">
        <v>10</v>
      </c>
    </row>
    <row r="529" spans="1:56" x14ac:dyDescent="0.25">
      <c r="A529">
        <v>32</v>
      </c>
      <c r="B529" t="str">
        <f>_xlfn.XLOOKUP(Table1[[#This Row],[Attrition]],Table2[Attrition],Table2[Id_Attrition])</f>
        <v>A002</v>
      </c>
      <c r="C529" t="s">
        <v>33</v>
      </c>
      <c r="D529" t="str">
        <f>_xlfn.XLOOKUP(Table1[[#This Row],[BusinessTravel]],Table5[BusinessTravel],Table5[Id_BusinessTravel])</f>
        <v>BS001</v>
      </c>
      <c r="E529" t="s">
        <v>34</v>
      </c>
      <c r="F529">
        <v>929</v>
      </c>
      <c r="G529" t="str">
        <f>_xlfn.XLOOKUP(Table1[[#This Row],[Department]],Table6[Department],Table6[Id_Departement])</f>
        <v>D001</v>
      </c>
      <c r="H529" t="s">
        <v>37</v>
      </c>
      <c r="I529">
        <v>10</v>
      </c>
      <c r="J529" t="str">
        <f>_xlfn.XLOOKUP(Table1[[#This Row],[Education]],Table8[Education],Table8[Id_Education])</f>
        <v>E003</v>
      </c>
      <c r="K529">
        <v>3</v>
      </c>
      <c r="L529" t="str">
        <f>_xlfn.XLOOKUP(Table1[[#This Row],[EducationField]],Table7[EducationField],Table7[Id_EducationField])</f>
        <v>EF004</v>
      </c>
      <c r="M529" t="s">
        <v>43</v>
      </c>
      <c r="N529" t="str">
        <f>_xlfn.XLOOKUP(Table1[[#This Row],[EmployeeNumber]],Table4[EmployeeNumber],Table4[Id_Employee])</f>
        <v>EMP00528</v>
      </c>
      <c r="O529">
        <v>722</v>
      </c>
      <c r="P529" t="str">
        <f>_xlfn.XLOOKUP(Table1[[#This Row],[EnvironmentSatisfaction]],Table9[EnvironmentSatisfaction],Table9[Id_EnviromentSatisfaction])</f>
        <v>ES004</v>
      </c>
      <c r="Q529">
        <v>4</v>
      </c>
      <c r="R529" t="str">
        <f>_xlfn.XLOOKUP(Table1[[#This Row],[EnvironmentSatisfaction]],Table9[EnvironmentSatisfaction],Table9[Deskripsi])</f>
        <v>Very High</v>
      </c>
      <c r="S529" t="str">
        <f>_xlfn.XLOOKUP(Table1[[#This Row],[Gender]],Table10[Gender],Table10[Id_Gender])</f>
        <v>G002</v>
      </c>
      <c r="T529" t="s">
        <v>46</v>
      </c>
      <c r="U529">
        <v>55</v>
      </c>
      <c r="V529" t="str">
        <f>_xlfn.XLOOKUP(Table1[[#This Row],[JobInvolvement]],Table11[JobInvolvement],Table11[Id_JobInvolvement])</f>
        <v>JI003</v>
      </c>
      <c r="W529">
        <v>3</v>
      </c>
      <c r="X529" t="str">
        <f>_xlfn.XLOOKUP(Table1[[#This Row],[JobLevel]],Table12[JobLevel],Table12[Id_JobLevel])</f>
        <v>JL002</v>
      </c>
      <c r="Y529">
        <v>2</v>
      </c>
      <c r="Z529" t="str">
        <f>_xlfn.XLOOKUP(Table1[[#This Row],[JobRole]],Table13[JobRole],Table13[Id_JobRole])</f>
        <v>JR001</v>
      </c>
      <c r="AA529" t="s">
        <v>47</v>
      </c>
      <c r="AB529" t="str">
        <f>_xlfn.XLOOKUP(Table1[[#This Row],[JobSatisfaction]],Table14[JobSatisfaction],Table14[Id_JobSatisfaction])</f>
        <v>JS004</v>
      </c>
      <c r="AC529">
        <v>4</v>
      </c>
      <c r="AD529" t="str">
        <f>_xlfn.XLOOKUP(Table1[[#This Row],[JobSatisfaction]],Table14[JobSatisfaction],Table14[Deskripsi])</f>
        <v>Very High</v>
      </c>
      <c r="AE529" t="str">
        <f>_xlfn.XLOOKUP(Table1[[#This Row],[MaritalStatus]],Table15[MaritalStatus],Table15[Id_MaritalStatus])</f>
        <v>MS001</v>
      </c>
      <c r="AF529" t="s">
        <v>55</v>
      </c>
      <c r="AG529">
        <v>5396</v>
      </c>
      <c r="AH529">
        <v>21703</v>
      </c>
      <c r="AI529">
        <v>1</v>
      </c>
      <c r="AJ529" t="str">
        <f>_xlfn.XLOOKUP(Table1[[#This Row],[OverTime]],Table16[OverTime],Table16[Id_OverTime])</f>
        <v>OT002</v>
      </c>
      <c r="AK529" t="s">
        <v>33</v>
      </c>
      <c r="AL529">
        <v>12</v>
      </c>
      <c r="AM529" t="str">
        <f>_xlfn.XLOOKUP(Table1[[#This Row],[PerformanceRating]],Table17[PerformanceRating],Table17[Id_PerformanceRating])</f>
        <v>PR003</v>
      </c>
      <c r="AN529">
        <v>3</v>
      </c>
      <c r="AO529" t="str">
        <f>_xlfn.XLOOKUP(Table1[[#This Row],[PerformanceRating]],Table17[PerformanceRating],Table17[Deskripsi])</f>
        <v>Excellent</v>
      </c>
      <c r="AP529" t="str">
        <f>_xlfn.XLOOKUP(Table1[[#This Row],[RelationshipSatisfaction]],Table18[RelationshipSatisfaction],Table18[Id_RelationshipSatisfaction])</f>
        <v>RS004</v>
      </c>
      <c r="AQ529">
        <v>4</v>
      </c>
      <c r="AR529" t="str">
        <f>_xlfn.XLOOKUP(Table1[[#This Row],[RelationshipSatisfaction]],Table18[RelationshipSatisfaction],Table18[Deskripsi])</f>
        <v>Very High</v>
      </c>
      <c r="AS529" t="str">
        <f>_xlfn.XLOOKUP(Table1[[#This Row],[StockOptionLevel]],Table19[StockOptionLevel],Table19[Id_StockOptionLevel])</f>
        <v>SOL001</v>
      </c>
      <c r="AT529">
        <v>0</v>
      </c>
      <c r="AU529" t="str">
        <f>_xlfn.XLOOKUP(Table1[[#This Row],[StockOptionLevel]],Table19[StockOptionLevel],Table19[Deskripsi])</f>
        <v>Non-Eligible</v>
      </c>
      <c r="AV529">
        <v>10</v>
      </c>
      <c r="AW529">
        <v>2</v>
      </c>
      <c r="AX529" t="str">
        <f>_xlfn.XLOOKUP(Table1[[#This Row],[WorkLifeBalance]],Table20[WorkLifeBalance],Table20[Id_WorkLifeBalance])</f>
        <v>WLB003</v>
      </c>
      <c r="AY529">
        <v>2</v>
      </c>
      <c r="AZ529" t="str">
        <f>_xlfn.XLOOKUP(Table1[[#This Row],[WorkLifeBalance]],Table20[WorkLifeBalance],Table20[Deskripsi])</f>
        <v>Better</v>
      </c>
      <c r="BA529">
        <v>10</v>
      </c>
      <c r="BB529">
        <v>7</v>
      </c>
      <c r="BC529">
        <v>0</v>
      </c>
      <c r="BD529">
        <v>8</v>
      </c>
    </row>
    <row r="530" spans="1:56" x14ac:dyDescent="0.25">
      <c r="A530">
        <v>50</v>
      </c>
      <c r="B530" t="str">
        <f>_xlfn.XLOOKUP(Table1[[#This Row],[Attrition]],Table2[Attrition],Table2[Id_Attrition])</f>
        <v>A001</v>
      </c>
      <c r="C530" t="s">
        <v>32</v>
      </c>
      <c r="D530" t="str">
        <f>_xlfn.XLOOKUP(Table1[[#This Row],[BusinessTravel]],Table5[BusinessTravel],Table5[Id_BusinessTravel])</f>
        <v>BS002</v>
      </c>
      <c r="E530" t="s">
        <v>35</v>
      </c>
      <c r="F530">
        <v>562</v>
      </c>
      <c r="G530" t="str">
        <f>_xlfn.XLOOKUP(Table1[[#This Row],[Department]],Table6[Department],Table6[Id_Departement])</f>
        <v>D001</v>
      </c>
      <c r="H530" t="s">
        <v>37</v>
      </c>
      <c r="I530">
        <v>8</v>
      </c>
      <c r="J530" t="str">
        <f>_xlfn.XLOOKUP(Table1[[#This Row],[Education]],Table8[Education],Table8[Id_Education])</f>
        <v>E002</v>
      </c>
      <c r="K530">
        <v>2</v>
      </c>
      <c r="L530" t="str">
        <f>_xlfn.XLOOKUP(Table1[[#This Row],[EducationField]],Table7[EducationField],Table7[Id_EducationField])</f>
        <v>EF005</v>
      </c>
      <c r="M530" t="s">
        <v>44</v>
      </c>
      <c r="N530" t="str">
        <f>_xlfn.XLOOKUP(Table1[[#This Row],[EmployeeNumber]],Table4[EmployeeNumber],Table4[Id_Employee])</f>
        <v>EMP00529</v>
      </c>
      <c r="O530">
        <v>723</v>
      </c>
      <c r="P530" t="str">
        <f>_xlfn.XLOOKUP(Table1[[#This Row],[EnvironmentSatisfaction]],Table9[EnvironmentSatisfaction],Table9[Id_EnviromentSatisfaction])</f>
        <v>ES002</v>
      </c>
      <c r="Q530">
        <v>2</v>
      </c>
      <c r="R530" t="str">
        <f>_xlfn.XLOOKUP(Table1[[#This Row],[EnvironmentSatisfaction]],Table9[EnvironmentSatisfaction],Table9[Deskripsi])</f>
        <v>Medium</v>
      </c>
      <c r="S530" t="str">
        <f>_xlfn.XLOOKUP(Table1[[#This Row],[Gender]],Table10[Gender],Table10[Id_Gender])</f>
        <v>G002</v>
      </c>
      <c r="T530" t="s">
        <v>46</v>
      </c>
      <c r="U530">
        <v>50</v>
      </c>
      <c r="V530" t="str">
        <f>_xlfn.XLOOKUP(Table1[[#This Row],[JobInvolvement]],Table11[JobInvolvement],Table11[Id_JobInvolvement])</f>
        <v>JI003</v>
      </c>
      <c r="W530">
        <v>3</v>
      </c>
      <c r="X530" t="str">
        <f>_xlfn.XLOOKUP(Table1[[#This Row],[JobLevel]],Table12[JobLevel],Table12[Id_JobLevel])</f>
        <v>JL002</v>
      </c>
      <c r="Y530">
        <v>2</v>
      </c>
      <c r="Z530" t="str">
        <f>_xlfn.XLOOKUP(Table1[[#This Row],[JobRole]],Table13[JobRole],Table13[Id_JobRole])</f>
        <v>JR001</v>
      </c>
      <c r="AA530" t="s">
        <v>47</v>
      </c>
      <c r="AB530" t="str">
        <f>_xlfn.XLOOKUP(Table1[[#This Row],[JobSatisfaction]],Table14[JobSatisfaction],Table14[Id_JobSatisfaction])</f>
        <v>JS003</v>
      </c>
      <c r="AC530">
        <v>3</v>
      </c>
      <c r="AD530" t="str">
        <f>_xlfn.XLOOKUP(Table1[[#This Row],[JobSatisfaction]],Table14[JobSatisfaction],Table14[Deskripsi])</f>
        <v>High</v>
      </c>
      <c r="AE530" t="str">
        <f>_xlfn.XLOOKUP(Table1[[#This Row],[MaritalStatus]],Table15[MaritalStatus],Table15[Id_MaritalStatus])</f>
        <v>MS002</v>
      </c>
      <c r="AF530" t="s">
        <v>56</v>
      </c>
      <c r="AG530">
        <v>6796</v>
      </c>
      <c r="AH530">
        <v>23452</v>
      </c>
      <c r="AI530">
        <v>3</v>
      </c>
      <c r="AJ530" t="str">
        <f>_xlfn.XLOOKUP(Table1[[#This Row],[OverTime]],Table16[OverTime],Table16[Id_OverTime])</f>
        <v>OT001</v>
      </c>
      <c r="AK530" t="s">
        <v>32</v>
      </c>
      <c r="AL530">
        <v>14</v>
      </c>
      <c r="AM530" t="str">
        <f>_xlfn.XLOOKUP(Table1[[#This Row],[PerformanceRating]],Table17[PerformanceRating],Table17[Id_PerformanceRating])</f>
        <v>PR003</v>
      </c>
      <c r="AN530">
        <v>3</v>
      </c>
      <c r="AO530" t="str">
        <f>_xlfn.XLOOKUP(Table1[[#This Row],[PerformanceRating]],Table17[PerformanceRating],Table17[Deskripsi])</f>
        <v>Excellent</v>
      </c>
      <c r="AP530" t="str">
        <f>_xlfn.XLOOKUP(Table1[[#This Row],[RelationshipSatisfaction]],Table18[RelationshipSatisfaction],Table18[Id_RelationshipSatisfaction])</f>
        <v>RS001</v>
      </c>
      <c r="AQ530">
        <v>1</v>
      </c>
      <c r="AR530" t="str">
        <f>_xlfn.XLOOKUP(Table1[[#This Row],[RelationshipSatisfaction]],Table18[RelationshipSatisfaction],Table18[Deskripsi])</f>
        <v>Low</v>
      </c>
      <c r="AS530" t="str">
        <f>_xlfn.XLOOKUP(Table1[[#This Row],[StockOptionLevel]],Table19[StockOptionLevel],Table19[Id_StockOptionLevel])</f>
        <v>SOL002</v>
      </c>
      <c r="AT530">
        <v>1</v>
      </c>
      <c r="AU530" t="str">
        <f>_xlfn.XLOOKUP(Table1[[#This Row],[StockOptionLevel]],Table19[StockOptionLevel],Table19[Deskripsi])</f>
        <v>Standard</v>
      </c>
      <c r="AV530">
        <v>18</v>
      </c>
      <c r="AW530">
        <v>4</v>
      </c>
      <c r="AX530" t="str">
        <f>_xlfn.XLOOKUP(Table1[[#This Row],[WorkLifeBalance]],Table20[WorkLifeBalance],Table20[Id_WorkLifeBalance])</f>
        <v>WLB002</v>
      </c>
      <c r="AY530">
        <v>3</v>
      </c>
      <c r="AZ530" t="str">
        <f>_xlfn.XLOOKUP(Table1[[#This Row],[WorkLifeBalance]],Table20[WorkLifeBalance],Table20[Deskripsi])</f>
        <v>Good</v>
      </c>
      <c r="BA530">
        <v>4</v>
      </c>
      <c r="BB530">
        <v>3</v>
      </c>
      <c r="BC530">
        <v>1</v>
      </c>
      <c r="BD530">
        <v>3</v>
      </c>
    </row>
    <row r="531" spans="1:56" x14ac:dyDescent="0.25">
      <c r="A531">
        <v>38</v>
      </c>
      <c r="B531" t="str">
        <f>_xlfn.XLOOKUP(Table1[[#This Row],[Attrition]],Table2[Attrition],Table2[Id_Attrition])</f>
        <v>A002</v>
      </c>
      <c r="C531" t="s">
        <v>33</v>
      </c>
      <c r="D531" t="str">
        <f>_xlfn.XLOOKUP(Table1[[#This Row],[BusinessTravel]],Table5[BusinessTravel],Table5[Id_BusinessTravel])</f>
        <v>BS001</v>
      </c>
      <c r="E531" t="s">
        <v>34</v>
      </c>
      <c r="F531">
        <v>827</v>
      </c>
      <c r="G531" t="str">
        <f>_xlfn.XLOOKUP(Table1[[#This Row],[Department]],Table6[Department],Table6[Id_Departement])</f>
        <v>D002</v>
      </c>
      <c r="H531" t="s">
        <v>38</v>
      </c>
      <c r="I531">
        <v>1</v>
      </c>
      <c r="J531" t="str">
        <f>_xlfn.XLOOKUP(Table1[[#This Row],[Education]],Table8[Education],Table8[Id_Education])</f>
        <v>E004</v>
      </c>
      <c r="K531">
        <v>4</v>
      </c>
      <c r="L531" t="str">
        <f>_xlfn.XLOOKUP(Table1[[#This Row],[EducationField]],Table7[EducationField],Table7[Id_EducationField])</f>
        <v>EF001</v>
      </c>
      <c r="M531" t="s">
        <v>40</v>
      </c>
      <c r="N531" t="str">
        <f>_xlfn.XLOOKUP(Table1[[#This Row],[EmployeeNumber]],Table4[EmployeeNumber],Table4[Id_Employee])</f>
        <v>EMP00530</v>
      </c>
      <c r="O531">
        <v>724</v>
      </c>
      <c r="P531" t="str">
        <f>_xlfn.XLOOKUP(Table1[[#This Row],[EnvironmentSatisfaction]],Table9[EnvironmentSatisfaction],Table9[Id_EnviromentSatisfaction])</f>
        <v>ES002</v>
      </c>
      <c r="Q531">
        <v>2</v>
      </c>
      <c r="R531" t="str">
        <f>_xlfn.XLOOKUP(Table1[[#This Row],[EnvironmentSatisfaction]],Table9[EnvironmentSatisfaction],Table9[Deskripsi])</f>
        <v>Medium</v>
      </c>
      <c r="S531" t="str">
        <f>_xlfn.XLOOKUP(Table1[[#This Row],[Gender]],Table10[Gender],Table10[Id_Gender])</f>
        <v>G001</v>
      </c>
      <c r="T531" t="s">
        <v>45</v>
      </c>
      <c r="U531">
        <v>33</v>
      </c>
      <c r="V531" t="str">
        <f>_xlfn.XLOOKUP(Table1[[#This Row],[JobInvolvement]],Table11[JobInvolvement],Table11[Id_JobInvolvement])</f>
        <v>JI004</v>
      </c>
      <c r="W531">
        <v>4</v>
      </c>
      <c r="X531" t="str">
        <f>_xlfn.XLOOKUP(Table1[[#This Row],[JobLevel]],Table12[JobLevel],Table12[Id_JobLevel])</f>
        <v>JL002</v>
      </c>
      <c r="Y531">
        <v>2</v>
      </c>
      <c r="Z531" t="str">
        <f>_xlfn.XLOOKUP(Table1[[#This Row],[JobRole]],Table13[JobRole],Table13[Id_JobRole])</f>
        <v>JR005</v>
      </c>
      <c r="AA531" t="s">
        <v>51</v>
      </c>
      <c r="AB531" t="str">
        <f>_xlfn.XLOOKUP(Table1[[#This Row],[JobSatisfaction]],Table14[JobSatisfaction],Table14[Id_JobSatisfaction])</f>
        <v>JS004</v>
      </c>
      <c r="AC531">
        <v>4</v>
      </c>
      <c r="AD531" t="str">
        <f>_xlfn.XLOOKUP(Table1[[#This Row],[JobSatisfaction]],Table14[JobSatisfaction],Table14[Deskripsi])</f>
        <v>Very High</v>
      </c>
      <c r="AE531" t="str">
        <f>_xlfn.XLOOKUP(Table1[[#This Row],[MaritalStatus]],Table15[MaritalStatus],Table15[Id_MaritalStatus])</f>
        <v>MS001</v>
      </c>
      <c r="AF531" t="s">
        <v>55</v>
      </c>
      <c r="AG531">
        <v>7625</v>
      </c>
      <c r="AH531">
        <v>19383</v>
      </c>
      <c r="AI531">
        <v>0</v>
      </c>
      <c r="AJ531" t="str">
        <f>_xlfn.XLOOKUP(Table1[[#This Row],[OverTime]],Table16[OverTime],Table16[Id_OverTime])</f>
        <v>OT002</v>
      </c>
      <c r="AK531" t="s">
        <v>33</v>
      </c>
      <c r="AL531">
        <v>13</v>
      </c>
      <c r="AM531" t="str">
        <f>_xlfn.XLOOKUP(Table1[[#This Row],[PerformanceRating]],Table17[PerformanceRating],Table17[Id_PerformanceRating])</f>
        <v>PR003</v>
      </c>
      <c r="AN531">
        <v>3</v>
      </c>
      <c r="AO531" t="str">
        <f>_xlfn.XLOOKUP(Table1[[#This Row],[PerformanceRating]],Table17[PerformanceRating],Table17[Deskripsi])</f>
        <v>Excellent</v>
      </c>
      <c r="AP531" t="str">
        <f>_xlfn.XLOOKUP(Table1[[#This Row],[RelationshipSatisfaction]],Table18[RelationshipSatisfaction],Table18[Id_RelationshipSatisfaction])</f>
        <v>RS003</v>
      </c>
      <c r="AQ531">
        <v>3</v>
      </c>
      <c r="AR531" t="str">
        <f>_xlfn.XLOOKUP(Table1[[#This Row],[RelationshipSatisfaction]],Table18[RelationshipSatisfaction],Table18[Deskripsi])</f>
        <v>High</v>
      </c>
      <c r="AS531" t="str">
        <f>_xlfn.XLOOKUP(Table1[[#This Row],[StockOptionLevel]],Table19[StockOptionLevel],Table19[Id_StockOptionLevel])</f>
        <v>SOL001</v>
      </c>
      <c r="AT531">
        <v>0</v>
      </c>
      <c r="AU531" t="str">
        <f>_xlfn.XLOOKUP(Table1[[#This Row],[StockOptionLevel]],Table19[StockOptionLevel],Table19[Deskripsi])</f>
        <v>Non-Eligible</v>
      </c>
      <c r="AV531">
        <v>10</v>
      </c>
      <c r="AW531">
        <v>4</v>
      </c>
      <c r="AX531" t="str">
        <f>_xlfn.XLOOKUP(Table1[[#This Row],[WorkLifeBalance]],Table20[WorkLifeBalance],Table20[Id_WorkLifeBalance])</f>
        <v>WLB003</v>
      </c>
      <c r="AY531">
        <v>2</v>
      </c>
      <c r="AZ531" t="str">
        <f>_xlfn.XLOOKUP(Table1[[#This Row],[WorkLifeBalance]],Table20[WorkLifeBalance],Table20[Deskripsi])</f>
        <v>Better</v>
      </c>
      <c r="BA531">
        <v>9</v>
      </c>
      <c r="BB531">
        <v>7</v>
      </c>
      <c r="BC531">
        <v>1</v>
      </c>
      <c r="BD531">
        <v>8</v>
      </c>
    </row>
    <row r="532" spans="1:56" x14ac:dyDescent="0.25">
      <c r="A532">
        <v>27</v>
      </c>
      <c r="B532" t="str">
        <f>_xlfn.XLOOKUP(Table1[[#This Row],[Attrition]],Table2[Attrition],Table2[Id_Attrition])</f>
        <v>A002</v>
      </c>
      <c r="C532" t="s">
        <v>33</v>
      </c>
      <c r="D532" t="str">
        <f>_xlfn.XLOOKUP(Table1[[#This Row],[BusinessTravel]],Table5[BusinessTravel],Table5[Id_BusinessTravel])</f>
        <v>BS001</v>
      </c>
      <c r="E532" t="s">
        <v>34</v>
      </c>
      <c r="F532">
        <v>608</v>
      </c>
      <c r="G532" t="str">
        <f>_xlfn.XLOOKUP(Table1[[#This Row],[Department]],Table6[Department],Table6[Id_Departement])</f>
        <v>D002</v>
      </c>
      <c r="H532" t="s">
        <v>38</v>
      </c>
      <c r="I532">
        <v>1</v>
      </c>
      <c r="J532" t="str">
        <f>_xlfn.XLOOKUP(Table1[[#This Row],[Education]],Table8[Education],Table8[Id_Education])</f>
        <v>E002</v>
      </c>
      <c r="K532">
        <v>2</v>
      </c>
      <c r="L532" t="str">
        <f>_xlfn.XLOOKUP(Table1[[#This Row],[EducationField]],Table7[EducationField],Table7[Id_EducationField])</f>
        <v>EF001</v>
      </c>
      <c r="M532" t="s">
        <v>40</v>
      </c>
      <c r="N532" t="str">
        <f>_xlfn.XLOOKUP(Table1[[#This Row],[EmployeeNumber]],Table4[EmployeeNumber],Table4[Id_Employee])</f>
        <v>EMP00531</v>
      </c>
      <c r="O532">
        <v>725</v>
      </c>
      <c r="P532" t="str">
        <f>_xlfn.XLOOKUP(Table1[[#This Row],[EnvironmentSatisfaction]],Table9[EnvironmentSatisfaction],Table9[Id_EnviromentSatisfaction])</f>
        <v>ES003</v>
      </c>
      <c r="Q532">
        <v>3</v>
      </c>
      <c r="R532" t="str">
        <f>_xlfn.XLOOKUP(Table1[[#This Row],[EnvironmentSatisfaction]],Table9[EnvironmentSatisfaction],Table9[Deskripsi])</f>
        <v>High</v>
      </c>
      <c r="S532" t="str">
        <f>_xlfn.XLOOKUP(Table1[[#This Row],[Gender]],Table10[Gender],Table10[Id_Gender])</f>
        <v>G001</v>
      </c>
      <c r="T532" t="s">
        <v>45</v>
      </c>
      <c r="U532">
        <v>68</v>
      </c>
      <c r="V532" t="str">
        <f>_xlfn.XLOOKUP(Table1[[#This Row],[JobInvolvement]],Table11[JobInvolvement],Table11[Id_JobInvolvement])</f>
        <v>JI003</v>
      </c>
      <c r="W532">
        <v>3</v>
      </c>
      <c r="X532" t="str">
        <f>_xlfn.XLOOKUP(Table1[[#This Row],[JobLevel]],Table12[JobLevel],Table12[Id_JobLevel])</f>
        <v>JL003</v>
      </c>
      <c r="Y532">
        <v>3</v>
      </c>
      <c r="Z532" t="str">
        <f>_xlfn.XLOOKUP(Table1[[#This Row],[JobRole]],Table13[JobRole],Table13[Id_JobRole])</f>
        <v>JR004</v>
      </c>
      <c r="AA532" t="s">
        <v>50</v>
      </c>
      <c r="AB532" t="str">
        <f>_xlfn.XLOOKUP(Table1[[#This Row],[JobSatisfaction]],Table14[JobSatisfaction],Table14[Id_JobSatisfaction])</f>
        <v>JS001</v>
      </c>
      <c r="AC532">
        <v>1</v>
      </c>
      <c r="AD532" t="str">
        <f>_xlfn.XLOOKUP(Table1[[#This Row],[JobSatisfaction]],Table14[JobSatisfaction],Table14[Deskripsi])</f>
        <v>Low</v>
      </c>
      <c r="AE532" t="str">
        <f>_xlfn.XLOOKUP(Table1[[#This Row],[MaritalStatus]],Table15[MaritalStatus],Table15[Id_MaritalStatus])</f>
        <v>MS002</v>
      </c>
      <c r="AF532" t="s">
        <v>56</v>
      </c>
      <c r="AG532">
        <v>7412</v>
      </c>
      <c r="AH532">
        <v>6009</v>
      </c>
      <c r="AI532">
        <v>1</v>
      </c>
      <c r="AJ532" t="str">
        <f>_xlfn.XLOOKUP(Table1[[#This Row],[OverTime]],Table16[OverTime],Table16[Id_OverTime])</f>
        <v>OT002</v>
      </c>
      <c r="AK532" t="s">
        <v>33</v>
      </c>
      <c r="AL532">
        <v>11</v>
      </c>
      <c r="AM532" t="str">
        <f>_xlfn.XLOOKUP(Table1[[#This Row],[PerformanceRating]],Table17[PerformanceRating],Table17[Id_PerformanceRating])</f>
        <v>PR003</v>
      </c>
      <c r="AN532">
        <v>3</v>
      </c>
      <c r="AO532" t="str">
        <f>_xlfn.XLOOKUP(Table1[[#This Row],[PerformanceRating]],Table17[PerformanceRating],Table17[Deskripsi])</f>
        <v>Excellent</v>
      </c>
      <c r="AP532" t="str">
        <f>_xlfn.XLOOKUP(Table1[[#This Row],[RelationshipSatisfaction]],Table18[RelationshipSatisfaction],Table18[Id_RelationshipSatisfaction])</f>
        <v>RS004</v>
      </c>
      <c r="AQ532">
        <v>4</v>
      </c>
      <c r="AR532" t="str">
        <f>_xlfn.XLOOKUP(Table1[[#This Row],[RelationshipSatisfaction]],Table18[RelationshipSatisfaction],Table18[Deskripsi])</f>
        <v>Very High</v>
      </c>
      <c r="AS532" t="str">
        <f>_xlfn.XLOOKUP(Table1[[#This Row],[StockOptionLevel]],Table19[StockOptionLevel],Table19[Id_StockOptionLevel])</f>
        <v>SOL001</v>
      </c>
      <c r="AT532">
        <v>0</v>
      </c>
      <c r="AU532" t="str">
        <f>_xlfn.XLOOKUP(Table1[[#This Row],[StockOptionLevel]],Table19[StockOptionLevel],Table19[Deskripsi])</f>
        <v>Non-Eligible</v>
      </c>
      <c r="AV532">
        <v>9</v>
      </c>
      <c r="AW532">
        <v>3</v>
      </c>
      <c r="AX532" t="str">
        <f>_xlfn.XLOOKUP(Table1[[#This Row],[WorkLifeBalance]],Table20[WorkLifeBalance],Table20[Id_WorkLifeBalance])</f>
        <v>WLB002</v>
      </c>
      <c r="AY532">
        <v>3</v>
      </c>
      <c r="AZ532" t="str">
        <f>_xlfn.XLOOKUP(Table1[[#This Row],[WorkLifeBalance]],Table20[WorkLifeBalance],Table20[Deskripsi])</f>
        <v>Good</v>
      </c>
      <c r="BA532">
        <v>9</v>
      </c>
      <c r="BB532">
        <v>7</v>
      </c>
      <c r="BC532">
        <v>0</v>
      </c>
      <c r="BD532">
        <v>7</v>
      </c>
    </row>
    <row r="533" spans="1:56" x14ac:dyDescent="0.25">
      <c r="A533">
        <v>32</v>
      </c>
      <c r="B533" t="str">
        <f>_xlfn.XLOOKUP(Table1[[#This Row],[Attrition]],Table2[Attrition],Table2[Id_Attrition])</f>
        <v>A002</v>
      </c>
      <c r="C533" t="s">
        <v>33</v>
      </c>
      <c r="D533" t="str">
        <f>_xlfn.XLOOKUP(Table1[[#This Row],[BusinessTravel]],Table5[BusinessTravel],Table5[Id_BusinessTravel])</f>
        <v>BS001</v>
      </c>
      <c r="E533" t="s">
        <v>34</v>
      </c>
      <c r="F533">
        <v>1018</v>
      </c>
      <c r="G533" t="str">
        <f>_xlfn.XLOOKUP(Table1[[#This Row],[Department]],Table6[Department],Table6[Id_Departement])</f>
        <v>D002</v>
      </c>
      <c r="H533" t="s">
        <v>38</v>
      </c>
      <c r="I533">
        <v>3</v>
      </c>
      <c r="J533" t="str">
        <f>_xlfn.XLOOKUP(Table1[[#This Row],[Education]],Table8[Education],Table8[Id_Education])</f>
        <v>E002</v>
      </c>
      <c r="K533">
        <v>2</v>
      </c>
      <c r="L533" t="str">
        <f>_xlfn.XLOOKUP(Table1[[#This Row],[EducationField]],Table7[EducationField],Table7[Id_EducationField])</f>
        <v>EF001</v>
      </c>
      <c r="M533" t="s">
        <v>40</v>
      </c>
      <c r="N533" t="str">
        <f>_xlfn.XLOOKUP(Table1[[#This Row],[EmployeeNumber]],Table4[EmployeeNumber],Table4[Id_Employee])</f>
        <v>EMP00532</v>
      </c>
      <c r="O533">
        <v>727</v>
      </c>
      <c r="P533" t="str">
        <f>_xlfn.XLOOKUP(Table1[[#This Row],[EnvironmentSatisfaction]],Table9[EnvironmentSatisfaction],Table9[Id_EnviromentSatisfaction])</f>
        <v>ES003</v>
      </c>
      <c r="Q533">
        <v>3</v>
      </c>
      <c r="R533" t="str">
        <f>_xlfn.XLOOKUP(Table1[[#This Row],[EnvironmentSatisfaction]],Table9[EnvironmentSatisfaction],Table9[Deskripsi])</f>
        <v>High</v>
      </c>
      <c r="S533" t="str">
        <f>_xlfn.XLOOKUP(Table1[[#This Row],[Gender]],Table10[Gender],Table10[Id_Gender])</f>
        <v>G001</v>
      </c>
      <c r="T533" t="s">
        <v>45</v>
      </c>
      <c r="U533">
        <v>39</v>
      </c>
      <c r="V533" t="str">
        <f>_xlfn.XLOOKUP(Table1[[#This Row],[JobInvolvement]],Table11[JobInvolvement],Table11[Id_JobInvolvement])</f>
        <v>JI003</v>
      </c>
      <c r="W533">
        <v>3</v>
      </c>
      <c r="X533" t="str">
        <f>_xlfn.XLOOKUP(Table1[[#This Row],[JobLevel]],Table12[JobLevel],Table12[Id_JobLevel])</f>
        <v>JL003</v>
      </c>
      <c r="Y533">
        <v>3</v>
      </c>
      <c r="Z533" t="str">
        <f>_xlfn.XLOOKUP(Table1[[#This Row],[JobRole]],Table13[JobRole],Table13[Id_JobRole])</f>
        <v>JR008</v>
      </c>
      <c r="AA533" t="s">
        <v>54</v>
      </c>
      <c r="AB533" t="str">
        <f>_xlfn.XLOOKUP(Table1[[#This Row],[JobSatisfaction]],Table14[JobSatisfaction],Table14[Id_JobSatisfaction])</f>
        <v>JS004</v>
      </c>
      <c r="AC533">
        <v>4</v>
      </c>
      <c r="AD533" t="str">
        <f>_xlfn.XLOOKUP(Table1[[#This Row],[JobSatisfaction]],Table14[JobSatisfaction],Table14[Deskripsi])</f>
        <v>Very High</v>
      </c>
      <c r="AE533" t="str">
        <f>_xlfn.XLOOKUP(Table1[[#This Row],[MaritalStatus]],Table15[MaritalStatus],Table15[Id_MaritalStatus])</f>
        <v>MS001</v>
      </c>
      <c r="AF533" t="s">
        <v>55</v>
      </c>
      <c r="AG533">
        <v>11159</v>
      </c>
      <c r="AH533">
        <v>19373</v>
      </c>
      <c r="AI533">
        <v>3</v>
      </c>
      <c r="AJ533" t="str">
        <f>_xlfn.XLOOKUP(Table1[[#This Row],[OverTime]],Table16[OverTime],Table16[Id_OverTime])</f>
        <v>OT002</v>
      </c>
      <c r="AK533" t="s">
        <v>33</v>
      </c>
      <c r="AL533">
        <v>15</v>
      </c>
      <c r="AM533" t="str">
        <f>_xlfn.XLOOKUP(Table1[[#This Row],[PerformanceRating]],Table17[PerformanceRating],Table17[Id_PerformanceRating])</f>
        <v>PR003</v>
      </c>
      <c r="AN533">
        <v>3</v>
      </c>
      <c r="AO533" t="str">
        <f>_xlfn.XLOOKUP(Table1[[#This Row],[PerformanceRating]],Table17[PerformanceRating],Table17[Deskripsi])</f>
        <v>Excellent</v>
      </c>
      <c r="AP533" t="str">
        <f>_xlfn.XLOOKUP(Table1[[#This Row],[RelationshipSatisfaction]],Table18[RelationshipSatisfaction],Table18[Id_RelationshipSatisfaction])</f>
        <v>RS004</v>
      </c>
      <c r="AQ533">
        <v>4</v>
      </c>
      <c r="AR533" t="str">
        <f>_xlfn.XLOOKUP(Table1[[#This Row],[RelationshipSatisfaction]],Table18[RelationshipSatisfaction],Table18[Deskripsi])</f>
        <v>Very High</v>
      </c>
      <c r="AS533" t="str">
        <f>_xlfn.XLOOKUP(Table1[[#This Row],[StockOptionLevel]],Table19[StockOptionLevel],Table19[Id_StockOptionLevel])</f>
        <v>SOL001</v>
      </c>
      <c r="AT533">
        <v>0</v>
      </c>
      <c r="AU533" t="str">
        <f>_xlfn.XLOOKUP(Table1[[#This Row],[StockOptionLevel]],Table19[StockOptionLevel],Table19[Deskripsi])</f>
        <v>Non-Eligible</v>
      </c>
      <c r="AV533">
        <v>10</v>
      </c>
      <c r="AW533">
        <v>6</v>
      </c>
      <c r="AX533" t="str">
        <f>_xlfn.XLOOKUP(Table1[[#This Row],[WorkLifeBalance]],Table20[WorkLifeBalance],Table20[Id_WorkLifeBalance])</f>
        <v>WLB002</v>
      </c>
      <c r="AY533">
        <v>3</v>
      </c>
      <c r="AZ533" t="str">
        <f>_xlfn.XLOOKUP(Table1[[#This Row],[WorkLifeBalance]],Table20[WorkLifeBalance],Table20[Deskripsi])</f>
        <v>Good</v>
      </c>
      <c r="BA533">
        <v>7</v>
      </c>
      <c r="BB533">
        <v>7</v>
      </c>
      <c r="BC533">
        <v>7</v>
      </c>
      <c r="BD533">
        <v>7</v>
      </c>
    </row>
    <row r="534" spans="1:56" x14ac:dyDescent="0.25">
      <c r="A534">
        <v>47</v>
      </c>
      <c r="B534" t="str">
        <f>_xlfn.XLOOKUP(Table1[[#This Row],[Attrition]],Table2[Attrition],Table2[Id_Attrition])</f>
        <v>A002</v>
      </c>
      <c r="C534" t="s">
        <v>33</v>
      </c>
      <c r="D534" t="str">
        <f>_xlfn.XLOOKUP(Table1[[#This Row],[BusinessTravel]],Table5[BusinessTravel],Table5[Id_BusinessTravel])</f>
        <v>BS001</v>
      </c>
      <c r="E534" t="s">
        <v>34</v>
      </c>
      <c r="F534">
        <v>703</v>
      </c>
      <c r="G534" t="str">
        <f>_xlfn.XLOOKUP(Table1[[#This Row],[Department]],Table6[Department],Table6[Id_Departement])</f>
        <v>D001</v>
      </c>
      <c r="H534" t="s">
        <v>37</v>
      </c>
      <c r="I534">
        <v>14</v>
      </c>
      <c r="J534" t="str">
        <f>_xlfn.XLOOKUP(Table1[[#This Row],[Education]],Table8[Education],Table8[Id_Education])</f>
        <v>E004</v>
      </c>
      <c r="K534">
        <v>4</v>
      </c>
      <c r="L534" t="str">
        <f>_xlfn.XLOOKUP(Table1[[#This Row],[EducationField]],Table7[EducationField],Table7[Id_EducationField])</f>
        <v>EF004</v>
      </c>
      <c r="M534" t="s">
        <v>43</v>
      </c>
      <c r="N534" t="str">
        <f>_xlfn.XLOOKUP(Table1[[#This Row],[EmployeeNumber]],Table4[EmployeeNumber],Table4[Id_Employee])</f>
        <v>EMP00533</v>
      </c>
      <c r="O534">
        <v>728</v>
      </c>
      <c r="P534" t="str">
        <f>_xlfn.XLOOKUP(Table1[[#This Row],[EnvironmentSatisfaction]],Table9[EnvironmentSatisfaction],Table9[Id_EnviromentSatisfaction])</f>
        <v>ES004</v>
      </c>
      <c r="Q534">
        <v>4</v>
      </c>
      <c r="R534" t="str">
        <f>_xlfn.XLOOKUP(Table1[[#This Row],[EnvironmentSatisfaction]],Table9[EnvironmentSatisfaction],Table9[Deskripsi])</f>
        <v>Very High</v>
      </c>
      <c r="S534" t="str">
        <f>_xlfn.XLOOKUP(Table1[[#This Row],[Gender]],Table10[Gender],Table10[Id_Gender])</f>
        <v>G002</v>
      </c>
      <c r="T534" t="s">
        <v>46</v>
      </c>
      <c r="U534">
        <v>42</v>
      </c>
      <c r="V534" t="str">
        <f>_xlfn.XLOOKUP(Table1[[#This Row],[JobInvolvement]],Table11[JobInvolvement],Table11[Id_JobInvolvement])</f>
        <v>JI003</v>
      </c>
      <c r="W534">
        <v>3</v>
      </c>
      <c r="X534" t="str">
        <f>_xlfn.XLOOKUP(Table1[[#This Row],[JobLevel]],Table12[JobLevel],Table12[Id_JobLevel])</f>
        <v>JL002</v>
      </c>
      <c r="Y534">
        <v>2</v>
      </c>
      <c r="Z534" t="str">
        <f>_xlfn.XLOOKUP(Table1[[#This Row],[JobRole]],Table13[JobRole],Table13[Id_JobRole])</f>
        <v>JR001</v>
      </c>
      <c r="AA534" t="s">
        <v>47</v>
      </c>
      <c r="AB534" t="str">
        <f>_xlfn.XLOOKUP(Table1[[#This Row],[JobSatisfaction]],Table14[JobSatisfaction],Table14[Id_JobSatisfaction])</f>
        <v>JS001</v>
      </c>
      <c r="AC534">
        <v>1</v>
      </c>
      <c r="AD534" t="str">
        <f>_xlfn.XLOOKUP(Table1[[#This Row],[JobSatisfaction]],Table14[JobSatisfaction],Table14[Deskripsi])</f>
        <v>Low</v>
      </c>
      <c r="AE534" t="str">
        <f>_xlfn.XLOOKUP(Table1[[#This Row],[MaritalStatus]],Table15[MaritalStatus],Table15[Id_MaritalStatus])</f>
        <v>MS001</v>
      </c>
      <c r="AF534" t="s">
        <v>55</v>
      </c>
      <c r="AG534">
        <v>4960</v>
      </c>
      <c r="AH534">
        <v>11825</v>
      </c>
      <c r="AI534">
        <v>2</v>
      </c>
      <c r="AJ534" t="str">
        <f>_xlfn.XLOOKUP(Table1[[#This Row],[OverTime]],Table16[OverTime],Table16[Id_OverTime])</f>
        <v>OT002</v>
      </c>
      <c r="AK534" t="s">
        <v>33</v>
      </c>
      <c r="AL534">
        <v>12</v>
      </c>
      <c r="AM534" t="str">
        <f>_xlfn.XLOOKUP(Table1[[#This Row],[PerformanceRating]],Table17[PerformanceRating],Table17[Id_PerformanceRating])</f>
        <v>PR003</v>
      </c>
      <c r="AN534">
        <v>3</v>
      </c>
      <c r="AO534" t="str">
        <f>_xlfn.XLOOKUP(Table1[[#This Row],[PerformanceRating]],Table17[PerformanceRating],Table17[Deskripsi])</f>
        <v>Excellent</v>
      </c>
      <c r="AP534" t="str">
        <f>_xlfn.XLOOKUP(Table1[[#This Row],[RelationshipSatisfaction]],Table18[RelationshipSatisfaction],Table18[Id_RelationshipSatisfaction])</f>
        <v>RS004</v>
      </c>
      <c r="AQ534">
        <v>4</v>
      </c>
      <c r="AR534" t="str">
        <f>_xlfn.XLOOKUP(Table1[[#This Row],[RelationshipSatisfaction]],Table18[RelationshipSatisfaction],Table18[Deskripsi])</f>
        <v>Very High</v>
      </c>
      <c r="AS534" t="str">
        <f>_xlfn.XLOOKUP(Table1[[#This Row],[StockOptionLevel]],Table19[StockOptionLevel],Table19[Id_StockOptionLevel])</f>
        <v>SOL001</v>
      </c>
      <c r="AT534">
        <v>0</v>
      </c>
      <c r="AU534" t="str">
        <f>_xlfn.XLOOKUP(Table1[[#This Row],[StockOptionLevel]],Table19[StockOptionLevel],Table19[Deskripsi])</f>
        <v>Non-Eligible</v>
      </c>
      <c r="AV534">
        <v>20</v>
      </c>
      <c r="AW534">
        <v>2</v>
      </c>
      <c r="AX534" t="str">
        <f>_xlfn.XLOOKUP(Table1[[#This Row],[WorkLifeBalance]],Table20[WorkLifeBalance],Table20[Id_WorkLifeBalance])</f>
        <v>WLB002</v>
      </c>
      <c r="AY534">
        <v>3</v>
      </c>
      <c r="AZ534" t="str">
        <f>_xlfn.XLOOKUP(Table1[[#This Row],[WorkLifeBalance]],Table20[WorkLifeBalance],Table20[Deskripsi])</f>
        <v>Good</v>
      </c>
      <c r="BA534">
        <v>7</v>
      </c>
      <c r="BB534">
        <v>7</v>
      </c>
      <c r="BC534">
        <v>1</v>
      </c>
      <c r="BD534">
        <v>7</v>
      </c>
    </row>
    <row r="535" spans="1:56" x14ac:dyDescent="0.25">
      <c r="A535">
        <v>40</v>
      </c>
      <c r="B535" t="str">
        <f>_xlfn.XLOOKUP(Table1[[#This Row],[Attrition]],Table2[Attrition],Table2[Id_Attrition])</f>
        <v>A002</v>
      </c>
      <c r="C535" t="s">
        <v>33</v>
      </c>
      <c r="D535" t="str">
        <f>_xlfn.XLOOKUP(Table1[[#This Row],[BusinessTravel]],Table5[BusinessTravel],Table5[Id_BusinessTravel])</f>
        <v>BS002</v>
      </c>
      <c r="E535" t="s">
        <v>35</v>
      </c>
      <c r="F535">
        <v>580</v>
      </c>
      <c r="G535" t="str">
        <f>_xlfn.XLOOKUP(Table1[[#This Row],[Department]],Table6[Department],Table6[Id_Departement])</f>
        <v>D001</v>
      </c>
      <c r="H535" t="s">
        <v>37</v>
      </c>
      <c r="I535">
        <v>5</v>
      </c>
      <c r="J535" t="str">
        <f>_xlfn.XLOOKUP(Table1[[#This Row],[Education]],Table8[Education],Table8[Id_Education])</f>
        <v>E004</v>
      </c>
      <c r="K535">
        <v>4</v>
      </c>
      <c r="L535" t="str">
        <f>_xlfn.XLOOKUP(Table1[[#This Row],[EducationField]],Table7[EducationField],Table7[Id_EducationField])</f>
        <v>EF001</v>
      </c>
      <c r="M535" t="s">
        <v>40</v>
      </c>
      <c r="N535" t="str">
        <f>_xlfn.XLOOKUP(Table1[[#This Row],[EmployeeNumber]],Table4[EmployeeNumber],Table4[Id_Employee])</f>
        <v>EMP00534</v>
      </c>
      <c r="O535">
        <v>729</v>
      </c>
      <c r="P535" t="str">
        <f>_xlfn.XLOOKUP(Table1[[#This Row],[EnvironmentSatisfaction]],Table9[EnvironmentSatisfaction],Table9[Id_EnviromentSatisfaction])</f>
        <v>ES004</v>
      </c>
      <c r="Q535">
        <v>4</v>
      </c>
      <c r="R535" t="str">
        <f>_xlfn.XLOOKUP(Table1[[#This Row],[EnvironmentSatisfaction]],Table9[EnvironmentSatisfaction],Table9[Deskripsi])</f>
        <v>Very High</v>
      </c>
      <c r="S535" t="str">
        <f>_xlfn.XLOOKUP(Table1[[#This Row],[Gender]],Table10[Gender],Table10[Id_Gender])</f>
        <v>G002</v>
      </c>
      <c r="T535" t="s">
        <v>46</v>
      </c>
      <c r="U535">
        <v>48</v>
      </c>
      <c r="V535" t="str">
        <f>_xlfn.XLOOKUP(Table1[[#This Row],[JobInvolvement]],Table11[JobInvolvement],Table11[Id_JobInvolvement])</f>
        <v>JI002</v>
      </c>
      <c r="W535">
        <v>2</v>
      </c>
      <c r="X535" t="str">
        <f>_xlfn.XLOOKUP(Table1[[#This Row],[JobLevel]],Table12[JobLevel],Table12[Id_JobLevel])</f>
        <v>JL003</v>
      </c>
      <c r="Y535">
        <v>3</v>
      </c>
      <c r="Z535" t="str">
        <f>_xlfn.XLOOKUP(Table1[[#This Row],[JobRole]],Table13[JobRole],Table13[Id_JobRole])</f>
        <v>JR001</v>
      </c>
      <c r="AA535" t="s">
        <v>47</v>
      </c>
      <c r="AB535" t="str">
        <f>_xlfn.XLOOKUP(Table1[[#This Row],[JobSatisfaction]],Table14[JobSatisfaction],Table14[Id_JobSatisfaction])</f>
        <v>JS001</v>
      </c>
      <c r="AC535">
        <v>1</v>
      </c>
      <c r="AD535" t="str">
        <f>_xlfn.XLOOKUP(Table1[[#This Row],[JobSatisfaction]],Table14[JobSatisfaction],Table14[Deskripsi])</f>
        <v>Low</v>
      </c>
      <c r="AE535" t="str">
        <f>_xlfn.XLOOKUP(Table1[[#This Row],[MaritalStatus]],Table15[MaritalStatus],Table15[Id_MaritalStatus])</f>
        <v>MS002</v>
      </c>
      <c r="AF535" t="s">
        <v>56</v>
      </c>
      <c r="AG535">
        <v>10475</v>
      </c>
      <c r="AH535">
        <v>23772</v>
      </c>
      <c r="AI535">
        <v>5</v>
      </c>
      <c r="AJ535" t="str">
        <f>_xlfn.XLOOKUP(Table1[[#This Row],[OverTime]],Table16[OverTime],Table16[Id_OverTime])</f>
        <v>OT001</v>
      </c>
      <c r="AK535" t="s">
        <v>32</v>
      </c>
      <c r="AL535">
        <v>21</v>
      </c>
      <c r="AM535" t="str">
        <f>_xlfn.XLOOKUP(Table1[[#This Row],[PerformanceRating]],Table17[PerformanceRating],Table17[Id_PerformanceRating])</f>
        <v>PR004</v>
      </c>
      <c r="AN535">
        <v>4</v>
      </c>
      <c r="AO535" t="str">
        <f>_xlfn.XLOOKUP(Table1[[#This Row],[PerformanceRating]],Table17[PerformanceRating],Table17[Deskripsi])</f>
        <v>Outstanding</v>
      </c>
      <c r="AP535" t="str">
        <f>_xlfn.XLOOKUP(Table1[[#This Row],[RelationshipSatisfaction]],Table18[RelationshipSatisfaction],Table18[Id_RelationshipSatisfaction])</f>
        <v>RS003</v>
      </c>
      <c r="AQ535">
        <v>3</v>
      </c>
      <c r="AR535" t="str">
        <f>_xlfn.XLOOKUP(Table1[[#This Row],[RelationshipSatisfaction]],Table18[RelationshipSatisfaction],Table18[Deskripsi])</f>
        <v>High</v>
      </c>
      <c r="AS535" t="str">
        <f>_xlfn.XLOOKUP(Table1[[#This Row],[StockOptionLevel]],Table19[StockOptionLevel],Table19[Id_StockOptionLevel])</f>
        <v>SOL002</v>
      </c>
      <c r="AT535">
        <v>1</v>
      </c>
      <c r="AU535" t="str">
        <f>_xlfn.XLOOKUP(Table1[[#This Row],[StockOptionLevel]],Table19[StockOptionLevel],Table19[Deskripsi])</f>
        <v>Standard</v>
      </c>
      <c r="AV535">
        <v>20</v>
      </c>
      <c r="AW535">
        <v>2</v>
      </c>
      <c r="AX535" t="str">
        <f>_xlfn.XLOOKUP(Table1[[#This Row],[WorkLifeBalance]],Table20[WorkLifeBalance],Table20[Id_WorkLifeBalance])</f>
        <v>WLB002</v>
      </c>
      <c r="AY535">
        <v>3</v>
      </c>
      <c r="AZ535" t="str">
        <f>_xlfn.XLOOKUP(Table1[[#This Row],[WorkLifeBalance]],Table20[WorkLifeBalance],Table20[Deskripsi])</f>
        <v>Good</v>
      </c>
      <c r="BA535">
        <v>18</v>
      </c>
      <c r="BB535">
        <v>13</v>
      </c>
      <c r="BC535">
        <v>1</v>
      </c>
      <c r="BD535">
        <v>12</v>
      </c>
    </row>
    <row r="536" spans="1:56" x14ac:dyDescent="0.25">
      <c r="A536">
        <v>53</v>
      </c>
      <c r="B536" t="str">
        <f>_xlfn.XLOOKUP(Table1[[#This Row],[Attrition]],Table2[Attrition],Table2[Id_Attrition])</f>
        <v>A002</v>
      </c>
      <c r="C536" t="s">
        <v>33</v>
      </c>
      <c r="D536" t="str">
        <f>_xlfn.XLOOKUP(Table1[[#This Row],[BusinessTravel]],Table5[BusinessTravel],Table5[Id_BusinessTravel])</f>
        <v>BS001</v>
      </c>
      <c r="E536" t="s">
        <v>34</v>
      </c>
      <c r="F536">
        <v>970</v>
      </c>
      <c r="G536" t="str">
        <f>_xlfn.XLOOKUP(Table1[[#This Row],[Department]],Table6[Department],Table6[Id_Departement])</f>
        <v>D002</v>
      </c>
      <c r="H536" t="s">
        <v>38</v>
      </c>
      <c r="I536">
        <v>7</v>
      </c>
      <c r="J536" t="str">
        <f>_xlfn.XLOOKUP(Table1[[#This Row],[Education]],Table8[Education],Table8[Id_Education])</f>
        <v>E003</v>
      </c>
      <c r="K536">
        <v>3</v>
      </c>
      <c r="L536" t="str">
        <f>_xlfn.XLOOKUP(Table1[[#This Row],[EducationField]],Table7[EducationField],Table7[Id_EducationField])</f>
        <v>EF001</v>
      </c>
      <c r="M536" t="s">
        <v>40</v>
      </c>
      <c r="N536" t="str">
        <f>_xlfn.XLOOKUP(Table1[[#This Row],[EmployeeNumber]],Table4[EmployeeNumber],Table4[Id_Employee])</f>
        <v>EMP00535</v>
      </c>
      <c r="O536">
        <v>730</v>
      </c>
      <c r="P536" t="str">
        <f>_xlfn.XLOOKUP(Table1[[#This Row],[EnvironmentSatisfaction]],Table9[EnvironmentSatisfaction],Table9[Id_EnviromentSatisfaction])</f>
        <v>ES003</v>
      </c>
      <c r="Q536">
        <v>3</v>
      </c>
      <c r="R536" t="str">
        <f>_xlfn.XLOOKUP(Table1[[#This Row],[EnvironmentSatisfaction]],Table9[EnvironmentSatisfaction],Table9[Deskripsi])</f>
        <v>High</v>
      </c>
      <c r="S536" t="str">
        <f>_xlfn.XLOOKUP(Table1[[#This Row],[Gender]],Table10[Gender],Table10[Id_Gender])</f>
        <v>G002</v>
      </c>
      <c r="T536" t="s">
        <v>46</v>
      </c>
      <c r="U536">
        <v>59</v>
      </c>
      <c r="V536" t="str">
        <f>_xlfn.XLOOKUP(Table1[[#This Row],[JobInvolvement]],Table11[JobInvolvement],Table11[Id_JobInvolvement])</f>
        <v>JI004</v>
      </c>
      <c r="W536">
        <v>4</v>
      </c>
      <c r="X536" t="str">
        <f>_xlfn.XLOOKUP(Table1[[#This Row],[JobLevel]],Table12[JobLevel],Table12[Id_JobLevel])</f>
        <v>JL004</v>
      </c>
      <c r="Y536">
        <v>4</v>
      </c>
      <c r="Z536" t="str">
        <f>_xlfn.XLOOKUP(Table1[[#This Row],[JobRole]],Table13[JobRole],Table13[Id_JobRole])</f>
        <v>JR008</v>
      </c>
      <c r="AA536" t="s">
        <v>54</v>
      </c>
      <c r="AB536" t="str">
        <f>_xlfn.XLOOKUP(Table1[[#This Row],[JobSatisfaction]],Table14[JobSatisfaction],Table14[Id_JobSatisfaction])</f>
        <v>JS003</v>
      </c>
      <c r="AC536">
        <v>3</v>
      </c>
      <c r="AD536" t="str">
        <f>_xlfn.XLOOKUP(Table1[[#This Row],[JobSatisfaction]],Table14[JobSatisfaction],Table14[Deskripsi])</f>
        <v>High</v>
      </c>
      <c r="AE536" t="str">
        <f>_xlfn.XLOOKUP(Table1[[#This Row],[MaritalStatus]],Table15[MaritalStatus],Table15[Id_MaritalStatus])</f>
        <v>MS002</v>
      </c>
      <c r="AF536" t="s">
        <v>56</v>
      </c>
      <c r="AG536">
        <v>14814</v>
      </c>
      <c r="AH536">
        <v>13514</v>
      </c>
      <c r="AI536">
        <v>3</v>
      </c>
      <c r="AJ536" t="str">
        <f>_xlfn.XLOOKUP(Table1[[#This Row],[OverTime]],Table16[OverTime],Table16[Id_OverTime])</f>
        <v>OT002</v>
      </c>
      <c r="AK536" t="s">
        <v>33</v>
      </c>
      <c r="AL536">
        <v>19</v>
      </c>
      <c r="AM536" t="str">
        <f>_xlfn.XLOOKUP(Table1[[#This Row],[PerformanceRating]],Table17[PerformanceRating],Table17[Id_PerformanceRating])</f>
        <v>PR003</v>
      </c>
      <c r="AN536">
        <v>3</v>
      </c>
      <c r="AO536" t="str">
        <f>_xlfn.XLOOKUP(Table1[[#This Row],[PerformanceRating]],Table17[PerformanceRating],Table17[Deskripsi])</f>
        <v>Excellent</v>
      </c>
      <c r="AP536" t="str">
        <f>_xlfn.XLOOKUP(Table1[[#This Row],[RelationshipSatisfaction]],Table18[RelationshipSatisfaction],Table18[Id_RelationshipSatisfaction])</f>
        <v>RS003</v>
      </c>
      <c r="AQ536">
        <v>3</v>
      </c>
      <c r="AR536" t="str">
        <f>_xlfn.XLOOKUP(Table1[[#This Row],[RelationshipSatisfaction]],Table18[RelationshipSatisfaction],Table18[Deskripsi])</f>
        <v>High</v>
      </c>
      <c r="AS536" t="str">
        <f>_xlfn.XLOOKUP(Table1[[#This Row],[StockOptionLevel]],Table19[StockOptionLevel],Table19[Id_StockOptionLevel])</f>
        <v>SOL001</v>
      </c>
      <c r="AT536">
        <v>0</v>
      </c>
      <c r="AU536" t="str">
        <f>_xlfn.XLOOKUP(Table1[[#This Row],[StockOptionLevel]],Table19[StockOptionLevel],Table19[Deskripsi])</f>
        <v>Non-Eligible</v>
      </c>
      <c r="AV536">
        <v>32</v>
      </c>
      <c r="AW536">
        <v>3</v>
      </c>
      <c r="AX536" t="str">
        <f>_xlfn.XLOOKUP(Table1[[#This Row],[WorkLifeBalance]],Table20[WorkLifeBalance],Table20[Id_WorkLifeBalance])</f>
        <v>WLB002</v>
      </c>
      <c r="AY536">
        <v>3</v>
      </c>
      <c r="AZ536" t="str">
        <f>_xlfn.XLOOKUP(Table1[[#This Row],[WorkLifeBalance]],Table20[WorkLifeBalance],Table20[Deskripsi])</f>
        <v>Good</v>
      </c>
      <c r="BA536">
        <v>5</v>
      </c>
      <c r="BB536">
        <v>1</v>
      </c>
      <c r="BC536">
        <v>1</v>
      </c>
      <c r="BD536">
        <v>3</v>
      </c>
    </row>
    <row r="537" spans="1:56" x14ac:dyDescent="0.25">
      <c r="A537">
        <v>41</v>
      </c>
      <c r="B537" t="str">
        <f>_xlfn.XLOOKUP(Table1[[#This Row],[Attrition]],Table2[Attrition],Table2[Id_Attrition])</f>
        <v>A002</v>
      </c>
      <c r="C537" t="s">
        <v>33</v>
      </c>
      <c r="D537" t="str">
        <f>_xlfn.XLOOKUP(Table1[[#This Row],[BusinessTravel]],Table5[BusinessTravel],Table5[Id_BusinessTravel])</f>
        <v>BS001</v>
      </c>
      <c r="E537" t="s">
        <v>34</v>
      </c>
      <c r="F537">
        <v>427</v>
      </c>
      <c r="G537" t="str">
        <f>_xlfn.XLOOKUP(Table1[[#This Row],[Department]],Table6[Department],Table6[Id_Departement])</f>
        <v>D003</v>
      </c>
      <c r="H537" t="s">
        <v>39</v>
      </c>
      <c r="I537">
        <v>10</v>
      </c>
      <c r="J537" t="str">
        <f>_xlfn.XLOOKUP(Table1[[#This Row],[Education]],Table8[Education],Table8[Id_Education])</f>
        <v>E004</v>
      </c>
      <c r="K537">
        <v>4</v>
      </c>
      <c r="L537" t="str">
        <f>_xlfn.XLOOKUP(Table1[[#This Row],[EducationField]],Table7[EducationField],Table7[Id_EducationField])</f>
        <v>EF006</v>
      </c>
      <c r="M537" t="s">
        <v>39</v>
      </c>
      <c r="N537" t="str">
        <f>_xlfn.XLOOKUP(Table1[[#This Row],[EmployeeNumber]],Table4[EmployeeNumber],Table4[Id_Employee])</f>
        <v>EMP00536</v>
      </c>
      <c r="O537">
        <v>731</v>
      </c>
      <c r="P537" t="str">
        <f>_xlfn.XLOOKUP(Table1[[#This Row],[EnvironmentSatisfaction]],Table9[EnvironmentSatisfaction],Table9[Id_EnviromentSatisfaction])</f>
        <v>ES002</v>
      </c>
      <c r="Q537">
        <v>2</v>
      </c>
      <c r="R537" t="str">
        <f>_xlfn.XLOOKUP(Table1[[#This Row],[EnvironmentSatisfaction]],Table9[EnvironmentSatisfaction],Table9[Deskripsi])</f>
        <v>Medium</v>
      </c>
      <c r="S537" t="str">
        <f>_xlfn.XLOOKUP(Table1[[#This Row],[Gender]],Table10[Gender],Table10[Id_Gender])</f>
        <v>G002</v>
      </c>
      <c r="T537" t="s">
        <v>46</v>
      </c>
      <c r="U537">
        <v>73</v>
      </c>
      <c r="V537" t="str">
        <f>_xlfn.XLOOKUP(Table1[[#This Row],[JobInvolvement]],Table11[JobInvolvement],Table11[Id_JobInvolvement])</f>
        <v>JI002</v>
      </c>
      <c r="W537">
        <v>2</v>
      </c>
      <c r="X537" t="str">
        <f>_xlfn.XLOOKUP(Table1[[#This Row],[JobLevel]],Table12[JobLevel],Table12[Id_JobLevel])</f>
        <v>JL005</v>
      </c>
      <c r="Y537">
        <v>5</v>
      </c>
      <c r="Z537" t="str">
        <f>_xlfn.XLOOKUP(Table1[[#This Row],[JobRole]],Table13[JobRole],Table13[Id_JobRole])</f>
        <v>JR006</v>
      </c>
      <c r="AA537" t="s">
        <v>52</v>
      </c>
      <c r="AB537" t="str">
        <f>_xlfn.XLOOKUP(Table1[[#This Row],[JobSatisfaction]],Table14[JobSatisfaction],Table14[Id_JobSatisfaction])</f>
        <v>JS004</v>
      </c>
      <c r="AC537">
        <v>4</v>
      </c>
      <c r="AD537" t="str">
        <f>_xlfn.XLOOKUP(Table1[[#This Row],[JobSatisfaction]],Table14[JobSatisfaction],Table14[Deskripsi])</f>
        <v>Very High</v>
      </c>
      <c r="AE537" t="str">
        <f>_xlfn.XLOOKUP(Table1[[#This Row],[MaritalStatus]],Table15[MaritalStatus],Table15[Id_MaritalStatus])</f>
        <v>MS003</v>
      </c>
      <c r="AF537" t="s">
        <v>57</v>
      </c>
      <c r="AG537">
        <v>19141</v>
      </c>
      <c r="AH537">
        <v>8861</v>
      </c>
      <c r="AI537">
        <v>3</v>
      </c>
      <c r="AJ537" t="str">
        <f>_xlfn.XLOOKUP(Table1[[#This Row],[OverTime]],Table16[OverTime],Table16[Id_OverTime])</f>
        <v>OT002</v>
      </c>
      <c r="AK537" t="s">
        <v>33</v>
      </c>
      <c r="AL537">
        <v>15</v>
      </c>
      <c r="AM537" t="str">
        <f>_xlfn.XLOOKUP(Table1[[#This Row],[PerformanceRating]],Table17[PerformanceRating],Table17[Id_PerformanceRating])</f>
        <v>PR003</v>
      </c>
      <c r="AN537">
        <v>3</v>
      </c>
      <c r="AO537" t="str">
        <f>_xlfn.XLOOKUP(Table1[[#This Row],[PerformanceRating]],Table17[PerformanceRating],Table17[Deskripsi])</f>
        <v>Excellent</v>
      </c>
      <c r="AP537" t="str">
        <f>_xlfn.XLOOKUP(Table1[[#This Row],[RelationshipSatisfaction]],Table18[RelationshipSatisfaction],Table18[Id_RelationshipSatisfaction])</f>
        <v>RS002</v>
      </c>
      <c r="AQ537">
        <v>2</v>
      </c>
      <c r="AR537" t="str">
        <f>_xlfn.XLOOKUP(Table1[[#This Row],[RelationshipSatisfaction]],Table18[RelationshipSatisfaction],Table18[Deskripsi])</f>
        <v>Medium</v>
      </c>
      <c r="AS537" t="str">
        <f>_xlfn.XLOOKUP(Table1[[#This Row],[StockOptionLevel]],Table19[StockOptionLevel],Table19[Id_StockOptionLevel])</f>
        <v>SOL004</v>
      </c>
      <c r="AT537">
        <v>3</v>
      </c>
      <c r="AU537" t="str">
        <f>_xlfn.XLOOKUP(Table1[[#This Row],[StockOptionLevel]],Table19[StockOptionLevel],Table19[Deskripsi])</f>
        <v>Senior/Executive</v>
      </c>
      <c r="AV537">
        <v>23</v>
      </c>
      <c r="AW537">
        <v>2</v>
      </c>
      <c r="AX537" t="str">
        <f>_xlfn.XLOOKUP(Table1[[#This Row],[WorkLifeBalance]],Table20[WorkLifeBalance],Table20[Id_WorkLifeBalance])</f>
        <v>WLB003</v>
      </c>
      <c r="AY537">
        <v>2</v>
      </c>
      <c r="AZ537" t="str">
        <f>_xlfn.XLOOKUP(Table1[[#This Row],[WorkLifeBalance]],Table20[WorkLifeBalance],Table20[Deskripsi])</f>
        <v>Better</v>
      </c>
      <c r="BA537">
        <v>21</v>
      </c>
      <c r="BB537">
        <v>6</v>
      </c>
      <c r="BC537">
        <v>12</v>
      </c>
      <c r="BD537">
        <v>6</v>
      </c>
    </row>
    <row r="538" spans="1:56" x14ac:dyDescent="0.25">
      <c r="A538">
        <v>60</v>
      </c>
      <c r="B538" t="str">
        <f>_xlfn.XLOOKUP(Table1[[#This Row],[Attrition]],Table2[Attrition],Table2[Id_Attrition])</f>
        <v>A002</v>
      </c>
      <c r="C538" t="s">
        <v>33</v>
      </c>
      <c r="D538" t="str">
        <f>_xlfn.XLOOKUP(Table1[[#This Row],[BusinessTravel]],Table5[BusinessTravel],Table5[Id_BusinessTravel])</f>
        <v>BS001</v>
      </c>
      <c r="E538" t="s">
        <v>34</v>
      </c>
      <c r="F538">
        <v>1179</v>
      </c>
      <c r="G538" t="str">
        <f>_xlfn.XLOOKUP(Table1[[#This Row],[Department]],Table6[Department],Table6[Id_Departement])</f>
        <v>D001</v>
      </c>
      <c r="H538" t="s">
        <v>37</v>
      </c>
      <c r="I538">
        <v>16</v>
      </c>
      <c r="J538" t="str">
        <f>_xlfn.XLOOKUP(Table1[[#This Row],[Education]],Table8[Education],Table8[Id_Education])</f>
        <v>E004</v>
      </c>
      <c r="K538">
        <v>4</v>
      </c>
      <c r="L538" t="str">
        <f>_xlfn.XLOOKUP(Table1[[#This Row],[EducationField]],Table7[EducationField],Table7[Id_EducationField])</f>
        <v>EF004</v>
      </c>
      <c r="M538" t="s">
        <v>43</v>
      </c>
      <c r="N538" t="str">
        <f>_xlfn.XLOOKUP(Table1[[#This Row],[EmployeeNumber]],Table4[EmployeeNumber],Table4[Id_Employee])</f>
        <v>EMP00537</v>
      </c>
      <c r="O538">
        <v>732</v>
      </c>
      <c r="P538" t="str">
        <f>_xlfn.XLOOKUP(Table1[[#This Row],[EnvironmentSatisfaction]],Table9[EnvironmentSatisfaction],Table9[Id_EnviromentSatisfaction])</f>
        <v>ES001</v>
      </c>
      <c r="Q538">
        <v>1</v>
      </c>
      <c r="R538" t="str">
        <f>_xlfn.XLOOKUP(Table1[[#This Row],[EnvironmentSatisfaction]],Table9[EnvironmentSatisfaction],Table9[Deskripsi])</f>
        <v>Low</v>
      </c>
      <c r="S538" t="str">
        <f>_xlfn.XLOOKUP(Table1[[#This Row],[Gender]],Table10[Gender],Table10[Id_Gender])</f>
        <v>G002</v>
      </c>
      <c r="T538" t="s">
        <v>46</v>
      </c>
      <c r="U538">
        <v>84</v>
      </c>
      <c r="V538" t="str">
        <f>_xlfn.XLOOKUP(Table1[[#This Row],[JobInvolvement]],Table11[JobInvolvement],Table11[Id_JobInvolvement])</f>
        <v>JI003</v>
      </c>
      <c r="W538">
        <v>3</v>
      </c>
      <c r="X538" t="str">
        <f>_xlfn.XLOOKUP(Table1[[#This Row],[JobLevel]],Table12[JobLevel],Table12[Id_JobLevel])</f>
        <v>JL002</v>
      </c>
      <c r="Y538">
        <v>2</v>
      </c>
      <c r="Z538" t="str">
        <f>_xlfn.XLOOKUP(Table1[[#This Row],[JobRole]],Table13[JobRole],Table13[Id_JobRole])</f>
        <v>JR001</v>
      </c>
      <c r="AA538" t="s">
        <v>47</v>
      </c>
      <c r="AB538" t="str">
        <f>_xlfn.XLOOKUP(Table1[[#This Row],[JobSatisfaction]],Table14[JobSatisfaction],Table14[Id_JobSatisfaction])</f>
        <v>JS001</v>
      </c>
      <c r="AC538">
        <v>1</v>
      </c>
      <c r="AD538" t="str">
        <f>_xlfn.XLOOKUP(Table1[[#This Row],[JobSatisfaction]],Table14[JobSatisfaction],Table14[Deskripsi])</f>
        <v>Low</v>
      </c>
      <c r="AE538" t="str">
        <f>_xlfn.XLOOKUP(Table1[[#This Row],[MaritalStatus]],Table15[MaritalStatus],Table15[Id_MaritalStatus])</f>
        <v>MS001</v>
      </c>
      <c r="AF538" t="s">
        <v>55</v>
      </c>
      <c r="AG538">
        <v>5405</v>
      </c>
      <c r="AH538">
        <v>11924</v>
      </c>
      <c r="AI538">
        <v>8</v>
      </c>
      <c r="AJ538" t="str">
        <f>_xlfn.XLOOKUP(Table1[[#This Row],[OverTime]],Table16[OverTime],Table16[Id_OverTime])</f>
        <v>OT002</v>
      </c>
      <c r="AK538" t="s">
        <v>33</v>
      </c>
      <c r="AL538">
        <v>14</v>
      </c>
      <c r="AM538" t="str">
        <f>_xlfn.XLOOKUP(Table1[[#This Row],[PerformanceRating]],Table17[PerformanceRating],Table17[Id_PerformanceRating])</f>
        <v>PR003</v>
      </c>
      <c r="AN538">
        <v>3</v>
      </c>
      <c r="AO538" t="str">
        <f>_xlfn.XLOOKUP(Table1[[#This Row],[PerformanceRating]],Table17[PerformanceRating],Table17[Deskripsi])</f>
        <v>Excellent</v>
      </c>
      <c r="AP538" t="str">
        <f>_xlfn.XLOOKUP(Table1[[#This Row],[RelationshipSatisfaction]],Table18[RelationshipSatisfaction],Table18[Id_RelationshipSatisfaction])</f>
        <v>RS004</v>
      </c>
      <c r="AQ538">
        <v>4</v>
      </c>
      <c r="AR538" t="str">
        <f>_xlfn.XLOOKUP(Table1[[#This Row],[RelationshipSatisfaction]],Table18[RelationshipSatisfaction],Table18[Deskripsi])</f>
        <v>Very High</v>
      </c>
      <c r="AS538" t="str">
        <f>_xlfn.XLOOKUP(Table1[[#This Row],[StockOptionLevel]],Table19[StockOptionLevel],Table19[Id_StockOptionLevel])</f>
        <v>SOL001</v>
      </c>
      <c r="AT538">
        <v>0</v>
      </c>
      <c r="AU538" t="str">
        <f>_xlfn.XLOOKUP(Table1[[#This Row],[StockOptionLevel]],Table19[StockOptionLevel],Table19[Deskripsi])</f>
        <v>Non-Eligible</v>
      </c>
      <c r="AV538">
        <v>10</v>
      </c>
      <c r="AW538">
        <v>1</v>
      </c>
      <c r="AX538" t="str">
        <f>_xlfn.XLOOKUP(Table1[[#This Row],[WorkLifeBalance]],Table20[WorkLifeBalance],Table20[Id_WorkLifeBalance])</f>
        <v>WLB002</v>
      </c>
      <c r="AY538">
        <v>3</v>
      </c>
      <c r="AZ538" t="str">
        <f>_xlfn.XLOOKUP(Table1[[#This Row],[WorkLifeBalance]],Table20[WorkLifeBalance],Table20[Deskripsi])</f>
        <v>Good</v>
      </c>
      <c r="BA538">
        <v>2</v>
      </c>
      <c r="BB538">
        <v>2</v>
      </c>
      <c r="BC538">
        <v>2</v>
      </c>
      <c r="BD538">
        <v>2</v>
      </c>
    </row>
    <row r="539" spans="1:56" x14ac:dyDescent="0.25">
      <c r="A539">
        <v>27</v>
      </c>
      <c r="B539" t="str">
        <f>_xlfn.XLOOKUP(Table1[[#This Row],[Attrition]],Table2[Attrition],Table2[Id_Attrition])</f>
        <v>A002</v>
      </c>
      <c r="C539" t="s">
        <v>33</v>
      </c>
      <c r="D539" t="str">
        <f>_xlfn.XLOOKUP(Table1[[#This Row],[BusinessTravel]],Table5[BusinessTravel],Table5[Id_BusinessTravel])</f>
        <v>BS002</v>
      </c>
      <c r="E539" t="s">
        <v>35</v>
      </c>
      <c r="F539">
        <v>294</v>
      </c>
      <c r="G539" t="str">
        <f>_xlfn.XLOOKUP(Table1[[#This Row],[Department]],Table6[Department],Table6[Id_Departement])</f>
        <v>D002</v>
      </c>
      <c r="H539" t="s">
        <v>38</v>
      </c>
      <c r="I539">
        <v>10</v>
      </c>
      <c r="J539" t="str">
        <f>_xlfn.XLOOKUP(Table1[[#This Row],[Education]],Table8[Education],Table8[Id_Education])</f>
        <v>E002</v>
      </c>
      <c r="K539">
        <v>2</v>
      </c>
      <c r="L539" t="str">
        <f>_xlfn.XLOOKUP(Table1[[#This Row],[EducationField]],Table7[EducationField],Table7[Id_EducationField])</f>
        <v>EF001</v>
      </c>
      <c r="M539" t="s">
        <v>40</v>
      </c>
      <c r="N539" t="str">
        <f>_xlfn.XLOOKUP(Table1[[#This Row],[EmployeeNumber]],Table4[EmployeeNumber],Table4[Id_Employee])</f>
        <v>EMP00538</v>
      </c>
      <c r="O539">
        <v>733</v>
      </c>
      <c r="P539" t="str">
        <f>_xlfn.XLOOKUP(Table1[[#This Row],[EnvironmentSatisfaction]],Table9[EnvironmentSatisfaction],Table9[Id_EnviromentSatisfaction])</f>
        <v>ES004</v>
      </c>
      <c r="Q539">
        <v>4</v>
      </c>
      <c r="R539" t="str">
        <f>_xlfn.XLOOKUP(Table1[[#This Row],[EnvironmentSatisfaction]],Table9[EnvironmentSatisfaction],Table9[Deskripsi])</f>
        <v>Very High</v>
      </c>
      <c r="S539" t="str">
        <f>_xlfn.XLOOKUP(Table1[[#This Row],[Gender]],Table10[Gender],Table10[Id_Gender])</f>
        <v>G002</v>
      </c>
      <c r="T539" t="s">
        <v>46</v>
      </c>
      <c r="U539">
        <v>32</v>
      </c>
      <c r="V539" t="str">
        <f>_xlfn.XLOOKUP(Table1[[#This Row],[JobInvolvement]],Table11[JobInvolvement],Table11[Id_JobInvolvement])</f>
        <v>JI003</v>
      </c>
      <c r="W539">
        <v>3</v>
      </c>
      <c r="X539" t="str">
        <f>_xlfn.XLOOKUP(Table1[[#This Row],[JobLevel]],Table12[JobLevel],Table12[Id_JobLevel])</f>
        <v>JL003</v>
      </c>
      <c r="Y539">
        <v>3</v>
      </c>
      <c r="Z539" t="str">
        <f>_xlfn.XLOOKUP(Table1[[#This Row],[JobRole]],Table13[JobRole],Table13[Id_JobRole])</f>
        <v>JR004</v>
      </c>
      <c r="AA539" t="s">
        <v>50</v>
      </c>
      <c r="AB539" t="str">
        <f>_xlfn.XLOOKUP(Table1[[#This Row],[JobSatisfaction]],Table14[JobSatisfaction],Table14[Id_JobSatisfaction])</f>
        <v>JS001</v>
      </c>
      <c r="AC539">
        <v>1</v>
      </c>
      <c r="AD539" t="str">
        <f>_xlfn.XLOOKUP(Table1[[#This Row],[JobSatisfaction]],Table14[JobSatisfaction],Table14[Deskripsi])</f>
        <v>Low</v>
      </c>
      <c r="AE539" t="str">
        <f>_xlfn.XLOOKUP(Table1[[#This Row],[MaritalStatus]],Table15[MaritalStatus],Table15[Id_MaritalStatus])</f>
        <v>MS003</v>
      </c>
      <c r="AF539" t="s">
        <v>57</v>
      </c>
      <c r="AG539">
        <v>8793</v>
      </c>
      <c r="AH539">
        <v>4809</v>
      </c>
      <c r="AI539">
        <v>1</v>
      </c>
      <c r="AJ539" t="str">
        <f>_xlfn.XLOOKUP(Table1[[#This Row],[OverTime]],Table16[OverTime],Table16[Id_OverTime])</f>
        <v>OT002</v>
      </c>
      <c r="AK539" t="s">
        <v>33</v>
      </c>
      <c r="AL539">
        <v>21</v>
      </c>
      <c r="AM539" t="str">
        <f>_xlfn.XLOOKUP(Table1[[#This Row],[PerformanceRating]],Table17[PerformanceRating],Table17[Id_PerformanceRating])</f>
        <v>PR004</v>
      </c>
      <c r="AN539">
        <v>4</v>
      </c>
      <c r="AO539" t="str">
        <f>_xlfn.XLOOKUP(Table1[[#This Row],[PerformanceRating]],Table17[PerformanceRating],Table17[Deskripsi])</f>
        <v>Outstanding</v>
      </c>
      <c r="AP539" t="str">
        <f>_xlfn.XLOOKUP(Table1[[#This Row],[RelationshipSatisfaction]],Table18[RelationshipSatisfaction],Table18[Id_RelationshipSatisfaction])</f>
        <v>RS003</v>
      </c>
      <c r="AQ539">
        <v>3</v>
      </c>
      <c r="AR539" t="str">
        <f>_xlfn.XLOOKUP(Table1[[#This Row],[RelationshipSatisfaction]],Table18[RelationshipSatisfaction],Table18[Deskripsi])</f>
        <v>High</v>
      </c>
      <c r="AS539" t="str">
        <f>_xlfn.XLOOKUP(Table1[[#This Row],[StockOptionLevel]],Table19[StockOptionLevel],Table19[Id_StockOptionLevel])</f>
        <v>SOL003</v>
      </c>
      <c r="AT539">
        <v>2</v>
      </c>
      <c r="AU539" t="str">
        <f>_xlfn.XLOOKUP(Table1[[#This Row],[StockOptionLevel]],Table19[StockOptionLevel],Table19[Deskripsi])</f>
        <v>Intermediate</v>
      </c>
      <c r="AV539">
        <v>9</v>
      </c>
      <c r="AW539">
        <v>4</v>
      </c>
      <c r="AX539" t="str">
        <f>_xlfn.XLOOKUP(Table1[[#This Row],[WorkLifeBalance]],Table20[WorkLifeBalance],Table20[Id_WorkLifeBalance])</f>
        <v>WLB003</v>
      </c>
      <c r="AY539">
        <v>2</v>
      </c>
      <c r="AZ539" t="str">
        <f>_xlfn.XLOOKUP(Table1[[#This Row],[WorkLifeBalance]],Table20[WorkLifeBalance],Table20[Deskripsi])</f>
        <v>Better</v>
      </c>
      <c r="BA539">
        <v>9</v>
      </c>
      <c r="BB539">
        <v>7</v>
      </c>
      <c r="BC539">
        <v>1</v>
      </c>
      <c r="BD539">
        <v>7</v>
      </c>
    </row>
    <row r="540" spans="1:56" x14ac:dyDescent="0.25">
      <c r="A540">
        <v>41</v>
      </c>
      <c r="B540" t="str">
        <f>_xlfn.XLOOKUP(Table1[[#This Row],[Attrition]],Table2[Attrition],Table2[Id_Attrition])</f>
        <v>A002</v>
      </c>
      <c r="C540" t="s">
        <v>33</v>
      </c>
      <c r="D540" t="str">
        <f>_xlfn.XLOOKUP(Table1[[#This Row],[BusinessTravel]],Table5[BusinessTravel],Table5[Id_BusinessTravel])</f>
        <v>BS001</v>
      </c>
      <c r="E540" t="s">
        <v>34</v>
      </c>
      <c r="F540">
        <v>314</v>
      </c>
      <c r="G540" t="str">
        <f>_xlfn.XLOOKUP(Table1[[#This Row],[Department]],Table6[Department],Table6[Id_Departement])</f>
        <v>D003</v>
      </c>
      <c r="H540" t="s">
        <v>39</v>
      </c>
      <c r="I540">
        <v>1</v>
      </c>
      <c r="J540" t="str">
        <f>_xlfn.XLOOKUP(Table1[[#This Row],[Education]],Table8[Education],Table8[Id_Education])</f>
        <v>E003</v>
      </c>
      <c r="K540">
        <v>3</v>
      </c>
      <c r="L540" t="str">
        <f>_xlfn.XLOOKUP(Table1[[#This Row],[EducationField]],Table7[EducationField],Table7[Id_EducationField])</f>
        <v>EF006</v>
      </c>
      <c r="M540" t="s">
        <v>39</v>
      </c>
      <c r="N540" t="str">
        <f>_xlfn.XLOOKUP(Table1[[#This Row],[EmployeeNumber]],Table4[EmployeeNumber],Table4[Id_Employee])</f>
        <v>EMP00539</v>
      </c>
      <c r="O540">
        <v>734</v>
      </c>
      <c r="P540" t="str">
        <f>_xlfn.XLOOKUP(Table1[[#This Row],[EnvironmentSatisfaction]],Table9[EnvironmentSatisfaction],Table9[Id_EnviromentSatisfaction])</f>
        <v>ES004</v>
      </c>
      <c r="Q540">
        <v>4</v>
      </c>
      <c r="R540" t="str">
        <f>_xlfn.XLOOKUP(Table1[[#This Row],[EnvironmentSatisfaction]],Table9[EnvironmentSatisfaction],Table9[Deskripsi])</f>
        <v>Very High</v>
      </c>
      <c r="S540" t="str">
        <f>_xlfn.XLOOKUP(Table1[[#This Row],[Gender]],Table10[Gender],Table10[Id_Gender])</f>
        <v>G002</v>
      </c>
      <c r="T540" t="s">
        <v>46</v>
      </c>
      <c r="U540">
        <v>59</v>
      </c>
      <c r="V540" t="str">
        <f>_xlfn.XLOOKUP(Table1[[#This Row],[JobInvolvement]],Table11[JobInvolvement],Table11[Id_JobInvolvement])</f>
        <v>JI002</v>
      </c>
      <c r="W540">
        <v>2</v>
      </c>
      <c r="X540" t="str">
        <f>_xlfn.XLOOKUP(Table1[[#This Row],[JobLevel]],Table12[JobLevel],Table12[Id_JobLevel])</f>
        <v>JL005</v>
      </c>
      <c r="Y540">
        <v>5</v>
      </c>
      <c r="Z540" t="str">
        <f>_xlfn.XLOOKUP(Table1[[#This Row],[JobRole]],Table13[JobRole],Table13[Id_JobRole])</f>
        <v>JR006</v>
      </c>
      <c r="AA540" t="s">
        <v>52</v>
      </c>
      <c r="AB540" t="str">
        <f>_xlfn.XLOOKUP(Table1[[#This Row],[JobSatisfaction]],Table14[JobSatisfaction],Table14[Id_JobSatisfaction])</f>
        <v>JS003</v>
      </c>
      <c r="AC540">
        <v>3</v>
      </c>
      <c r="AD540" t="str">
        <f>_xlfn.XLOOKUP(Table1[[#This Row],[JobSatisfaction]],Table14[JobSatisfaction],Table14[Deskripsi])</f>
        <v>High</v>
      </c>
      <c r="AE540" t="str">
        <f>_xlfn.XLOOKUP(Table1[[#This Row],[MaritalStatus]],Table15[MaritalStatus],Table15[Id_MaritalStatus])</f>
        <v>MS002</v>
      </c>
      <c r="AF540" t="s">
        <v>56</v>
      </c>
      <c r="AG540">
        <v>19189</v>
      </c>
      <c r="AH540">
        <v>19562</v>
      </c>
      <c r="AI540">
        <v>1</v>
      </c>
      <c r="AJ540" t="str">
        <f>_xlfn.XLOOKUP(Table1[[#This Row],[OverTime]],Table16[OverTime],Table16[Id_OverTime])</f>
        <v>OT002</v>
      </c>
      <c r="AK540" t="s">
        <v>33</v>
      </c>
      <c r="AL540">
        <v>12</v>
      </c>
      <c r="AM540" t="str">
        <f>_xlfn.XLOOKUP(Table1[[#This Row],[PerformanceRating]],Table17[PerformanceRating],Table17[Id_PerformanceRating])</f>
        <v>PR003</v>
      </c>
      <c r="AN540">
        <v>3</v>
      </c>
      <c r="AO540" t="str">
        <f>_xlfn.XLOOKUP(Table1[[#This Row],[PerformanceRating]],Table17[PerformanceRating],Table17[Deskripsi])</f>
        <v>Excellent</v>
      </c>
      <c r="AP540" t="str">
        <f>_xlfn.XLOOKUP(Table1[[#This Row],[RelationshipSatisfaction]],Table18[RelationshipSatisfaction],Table18[Id_RelationshipSatisfaction])</f>
        <v>RS002</v>
      </c>
      <c r="AQ540">
        <v>2</v>
      </c>
      <c r="AR540" t="str">
        <f>_xlfn.XLOOKUP(Table1[[#This Row],[RelationshipSatisfaction]],Table18[RelationshipSatisfaction],Table18[Deskripsi])</f>
        <v>Medium</v>
      </c>
      <c r="AS540" t="str">
        <f>_xlfn.XLOOKUP(Table1[[#This Row],[StockOptionLevel]],Table19[StockOptionLevel],Table19[Id_StockOptionLevel])</f>
        <v>SOL002</v>
      </c>
      <c r="AT540">
        <v>1</v>
      </c>
      <c r="AU540" t="str">
        <f>_xlfn.XLOOKUP(Table1[[#This Row],[StockOptionLevel]],Table19[StockOptionLevel],Table19[Deskripsi])</f>
        <v>Standard</v>
      </c>
      <c r="AV540">
        <v>22</v>
      </c>
      <c r="AW540">
        <v>3</v>
      </c>
      <c r="AX540" t="str">
        <f>_xlfn.XLOOKUP(Table1[[#This Row],[WorkLifeBalance]],Table20[WorkLifeBalance],Table20[Id_WorkLifeBalance])</f>
        <v>WLB002</v>
      </c>
      <c r="AY540">
        <v>3</v>
      </c>
      <c r="AZ540" t="str">
        <f>_xlfn.XLOOKUP(Table1[[#This Row],[WorkLifeBalance]],Table20[WorkLifeBalance],Table20[Deskripsi])</f>
        <v>Good</v>
      </c>
      <c r="BA540">
        <v>22</v>
      </c>
      <c r="BB540">
        <v>7</v>
      </c>
      <c r="BC540">
        <v>2</v>
      </c>
      <c r="BD540">
        <v>10</v>
      </c>
    </row>
    <row r="541" spans="1:56" x14ac:dyDescent="0.25">
      <c r="A541">
        <v>50</v>
      </c>
      <c r="B541" t="str">
        <f>_xlfn.XLOOKUP(Table1[[#This Row],[Attrition]],Table2[Attrition],Table2[Id_Attrition])</f>
        <v>A002</v>
      </c>
      <c r="C541" t="s">
        <v>33</v>
      </c>
      <c r="D541" t="str">
        <f>_xlfn.XLOOKUP(Table1[[#This Row],[BusinessTravel]],Table5[BusinessTravel],Table5[Id_BusinessTravel])</f>
        <v>BS001</v>
      </c>
      <c r="E541" t="s">
        <v>34</v>
      </c>
      <c r="F541">
        <v>316</v>
      </c>
      <c r="G541" t="str">
        <f>_xlfn.XLOOKUP(Table1[[#This Row],[Department]],Table6[Department],Table6[Id_Departement])</f>
        <v>D001</v>
      </c>
      <c r="H541" t="s">
        <v>37</v>
      </c>
      <c r="I541">
        <v>8</v>
      </c>
      <c r="J541" t="str">
        <f>_xlfn.XLOOKUP(Table1[[#This Row],[Education]],Table8[Education],Table8[Id_Education])</f>
        <v>E004</v>
      </c>
      <c r="K541">
        <v>4</v>
      </c>
      <c r="L541" t="str">
        <f>_xlfn.XLOOKUP(Table1[[#This Row],[EducationField]],Table7[EducationField],Table7[Id_EducationField])</f>
        <v>EF004</v>
      </c>
      <c r="M541" t="s">
        <v>43</v>
      </c>
      <c r="N541" t="str">
        <f>_xlfn.XLOOKUP(Table1[[#This Row],[EmployeeNumber]],Table4[EmployeeNumber],Table4[Id_Employee])</f>
        <v>EMP00540</v>
      </c>
      <c r="O541">
        <v>738</v>
      </c>
      <c r="P541" t="str">
        <f>_xlfn.XLOOKUP(Table1[[#This Row],[EnvironmentSatisfaction]],Table9[EnvironmentSatisfaction],Table9[Id_EnviromentSatisfaction])</f>
        <v>ES004</v>
      </c>
      <c r="Q541">
        <v>4</v>
      </c>
      <c r="R541" t="str">
        <f>_xlfn.XLOOKUP(Table1[[#This Row],[EnvironmentSatisfaction]],Table9[EnvironmentSatisfaction],Table9[Deskripsi])</f>
        <v>Very High</v>
      </c>
      <c r="S541" t="str">
        <f>_xlfn.XLOOKUP(Table1[[#This Row],[Gender]],Table10[Gender],Table10[Id_Gender])</f>
        <v>G002</v>
      </c>
      <c r="T541" t="s">
        <v>46</v>
      </c>
      <c r="U541">
        <v>54</v>
      </c>
      <c r="V541" t="str">
        <f>_xlfn.XLOOKUP(Table1[[#This Row],[JobInvolvement]],Table11[JobInvolvement],Table11[Id_JobInvolvement])</f>
        <v>JI003</v>
      </c>
      <c r="W541">
        <v>3</v>
      </c>
      <c r="X541" t="str">
        <f>_xlfn.XLOOKUP(Table1[[#This Row],[JobLevel]],Table12[JobLevel],Table12[Id_JobLevel])</f>
        <v>JL001</v>
      </c>
      <c r="Y541">
        <v>1</v>
      </c>
      <c r="Z541" t="str">
        <f>_xlfn.XLOOKUP(Table1[[#This Row],[JobRole]],Table13[JobRole],Table13[Id_JobRole])</f>
        <v>JR007</v>
      </c>
      <c r="AA541" t="s">
        <v>53</v>
      </c>
      <c r="AB541" t="str">
        <f>_xlfn.XLOOKUP(Table1[[#This Row],[JobSatisfaction]],Table14[JobSatisfaction],Table14[Id_JobSatisfaction])</f>
        <v>JS002</v>
      </c>
      <c r="AC541">
        <v>2</v>
      </c>
      <c r="AD541" t="str">
        <f>_xlfn.XLOOKUP(Table1[[#This Row],[JobSatisfaction]],Table14[JobSatisfaction],Table14[Deskripsi])</f>
        <v>Medium</v>
      </c>
      <c r="AE541" t="str">
        <f>_xlfn.XLOOKUP(Table1[[#This Row],[MaritalStatus]],Table15[MaritalStatus],Table15[Id_MaritalStatus])</f>
        <v>MS002</v>
      </c>
      <c r="AF541" t="s">
        <v>56</v>
      </c>
      <c r="AG541">
        <v>3875</v>
      </c>
      <c r="AH541">
        <v>9983</v>
      </c>
      <c r="AI541">
        <v>7</v>
      </c>
      <c r="AJ541" t="str">
        <f>_xlfn.XLOOKUP(Table1[[#This Row],[OverTime]],Table16[OverTime],Table16[Id_OverTime])</f>
        <v>OT002</v>
      </c>
      <c r="AK541" t="s">
        <v>33</v>
      </c>
      <c r="AL541">
        <v>15</v>
      </c>
      <c r="AM541" t="str">
        <f>_xlfn.XLOOKUP(Table1[[#This Row],[PerformanceRating]],Table17[PerformanceRating],Table17[Id_PerformanceRating])</f>
        <v>PR003</v>
      </c>
      <c r="AN541">
        <v>3</v>
      </c>
      <c r="AO541" t="str">
        <f>_xlfn.XLOOKUP(Table1[[#This Row],[PerformanceRating]],Table17[PerformanceRating],Table17[Deskripsi])</f>
        <v>Excellent</v>
      </c>
      <c r="AP541" t="str">
        <f>_xlfn.XLOOKUP(Table1[[#This Row],[RelationshipSatisfaction]],Table18[RelationshipSatisfaction],Table18[Id_RelationshipSatisfaction])</f>
        <v>RS004</v>
      </c>
      <c r="AQ541">
        <v>4</v>
      </c>
      <c r="AR541" t="str">
        <f>_xlfn.XLOOKUP(Table1[[#This Row],[RelationshipSatisfaction]],Table18[RelationshipSatisfaction],Table18[Deskripsi])</f>
        <v>Very High</v>
      </c>
      <c r="AS541" t="str">
        <f>_xlfn.XLOOKUP(Table1[[#This Row],[StockOptionLevel]],Table19[StockOptionLevel],Table19[Id_StockOptionLevel])</f>
        <v>SOL002</v>
      </c>
      <c r="AT541">
        <v>1</v>
      </c>
      <c r="AU541" t="str">
        <f>_xlfn.XLOOKUP(Table1[[#This Row],[StockOptionLevel]],Table19[StockOptionLevel],Table19[Deskripsi])</f>
        <v>Standard</v>
      </c>
      <c r="AV541">
        <v>4</v>
      </c>
      <c r="AW541">
        <v>2</v>
      </c>
      <c r="AX541" t="str">
        <f>_xlfn.XLOOKUP(Table1[[#This Row],[WorkLifeBalance]],Table20[WorkLifeBalance],Table20[Id_WorkLifeBalance])</f>
        <v>WLB002</v>
      </c>
      <c r="AY541">
        <v>3</v>
      </c>
      <c r="AZ541" t="str">
        <f>_xlfn.XLOOKUP(Table1[[#This Row],[WorkLifeBalance]],Table20[WorkLifeBalance],Table20[Deskripsi])</f>
        <v>Good</v>
      </c>
      <c r="BA541">
        <v>2</v>
      </c>
      <c r="BB541">
        <v>2</v>
      </c>
      <c r="BC541">
        <v>2</v>
      </c>
      <c r="BD541">
        <v>2</v>
      </c>
    </row>
    <row r="542" spans="1:56" x14ac:dyDescent="0.25">
      <c r="A542">
        <v>28</v>
      </c>
      <c r="B542" t="str">
        <f>_xlfn.XLOOKUP(Table1[[#This Row],[Attrition]],Table2[Attrition],Table2[Id_Attrition])</f>
        <v>A001</v>
      </c>
      <c r="C542" t="s">
        <v>32</v>
      </c>
      <c r="D542" t="str">
        <f>_xlfn.XLOOKUP(Table1[[#This Row],[BusinessTravel]],Table5[BusinessTravel],Table5[Id_BusinessTravel])</f>
        <v>BS001</v>
      </c>
      <c r="E542" t="s">
        <v>34</v>
      </c>
      <c r="F542">
        <v>654</v>
      </c>
      <c r="G542" t="str">
        <f>_xlfn.XLOOKUP(Table1[[#This Row],[Department]],Table6[Department],Table6[Id_Departement])</f>
        <v>D002</v>
      </c>
      <c r="H542" t="s">
        <v>38</v>
      </c>
      <c r="I542">
        <v>1</v>
      </c>
      <c r="J542" t="str">
        <f>_xlfn.XLOOKUP(Table1[[#This Row],[Education]],Table8[Education],Table8[Id_Education])</f>
        <v>E002</v>
      </c>
      <c r="K542">
        <v>2</v>
      </c>
      <c r="L542" t="str">
        <f>_xlfn.XLOOKUP(Table1[[#This Row],[EducationField]],Table7[EducationField],Table7[Id_EducationField])</f>
        <v>EF001</v>
      </c>
      <c r="M542" t="s">
        <v>40</v>
      </c>
      <c r="N542" t="str">
        <f>_xlfn.XLOOKUP(Table1[[#This Row],[EmployeeNumber]],Table4[EmployeeNumber],Table4[Id_Employee])</f>
        <v>EMP00541</v>
      </c>
      <c r="O542">
        <v>741</v>
      </c>
      <c r="P542" t="str">
        <f>_xlfn.XLOOKUP(Table1[[#This Row],[EnvironmentSatisfaction]],Table9[EnvironmentSatisfaction],Table9[Id_EnviromentSatisfaction])</f>
        <v>ES001</v>
      </c>
      <c r="Q542">
        <v>1</v>
      </c>
      <c r="R542" t="str">
        <f>_xlfn.XLOOKUP(Table1[[#This Row],[EnvironmentSatisfaction]],Table9[EnvironmentSatisfaction],Table9[Deskripsi])</f>
        <v>Low</v>
      </c>
      <c r="S542" t="str">
        <f>_xlfn.XLOOKUP(Table1[[#This Row],[Gender]],Table10[Gender],Table10[Id_Gender])</f>
        <v>G001</v>
      </c>
      <c r="T542" t="s">
        <v>45</v>
      </c>
      <c r="U542">
        <v>67</v>
      </c>
      <c r="V542" t="str">
        <f>_xlfn.XLOOKUP(Table1[[#This Row],[JobInvolvement]],Table11[JobInvolvement],Table11[Id_JobInvolvement])</f>
        <v>JI001</v>
      </c>
      <c r="W542">
        <v>1</v>
      </c>
      <c r="X542" t="str">
        <f>_xlfn.XLOOKUP(Table1[[#This Row],[JobLevel]],Table12[JobLevel],Table12[Id_JobLevel])</f>
        <v>JL001</v>
      </c>
      <c r="Y542">
        <v>1</v>
      </c>
      <c r="Z542" t="str">
        <f>_xlfn.XLOOKUP(Table1[[#This Row],[JobRole]],Table13[JobRole],Table13[Id_JobRole])</f>
        <v>JR002</v>
      </c>
      <c r="AA542" t="s">
        <v>48</v>
      </c>
      <c r="AB542" t="str">
        <f>_xlfn.XLOOKUP(Table1[[#This Row],[JobSatisfaction]],Table14[JobSatisfaction],Table14[Id_JobSatisfaction])</f>
        <v>JS002</v>
      </c>
      <c r="AC542">
        <v>2</v>
      </c>
      <c r="AD542" t="str">
        <f>_xlfn.XLOOKUP(Table1[[#This Row],[JobSatisfaction]],Table14[JobSatisfaction],Table14[Deskripsi])</f>
        <v>Medium</v>
      </c>
      <c r="AE542" t="str">
        <f>_xlfn.XLOOKUP(Table1[[#This Row],[MaritalStatus]],Table15[MaritalStatus],Table15[Id_MaritalStatus])</f>
        <v>MS001</v>
      </c>
      <c r="AF542" t="s">
        <v>55</v>
      </c>
      <c r="AG542">
        <v>2216</v>
      </c>
      <c r="AH542">
        <v>3872</v>
      </c>
      <c r="AI542">
        <v>7</v>
      </c>
      <c r="AJ542" t="str">
        <f>_xlfn.XLOOKUP(Table1[[#This Row],[OverTime]],Table16[OverTime],Table16[Id_OverTime])</f>
        <v>OT001</v>
      </c>
      <c r="AK542" t="s">
        <v>32</v>
      </c>
      <c r="AL542">
        <v>13</v>
      </c>
      <c r="AM542" t="str">
        <f>_xlfn.XLOOKUP(Table1[[#This Row],[PerformanceRating]],Table17[PerformanceRating],Table17[Id_PerformanceRating])</f>
        <v>PR003</v>
      </c>
      <c r="AN542">
        <v>3</v>
      </c>
      <c r="AO542" t="str">
        <f>_xlfn.XLOOKUP(Table1[[#This Row],[PerformanceRating]],Table17[PerformanceRating],Table17[Deskripsi])</f>
        <v>Excellent</v>
      </c>
      <c r="AP542" t="str">
        <f>_xlfn.XLOOKUP(Table1[[#This Row],[RelationshipSatisfaction]],Table18[RelationshipSatisfaction],Table18[Id_RelationshipSatisfaction])</f>
        <v>RS004</v>
      </c>
      <c r="AQ542">
        <v>4</v>
      </c>
      <c r="AR542" t="str">
        <f>_xlfn.XLOOKUP(Table1[[#This Row],[RelationshipSatisfaction]],Table18[RelationshipSatisfaction],Table18[Deskripsi])</f>
        <v>Very High</v>
      </c>
      <c r="AS542" t="str">
        <f>_xlfn.XLOOKUP(Table1[[#This Row],[StockOptionLevel]],Table19[StockOptionLevel],Table19[Id_StockOptionLevel])</f>
        <v>SOL001</v>
      </c>
      <c r="AT542">
        <v>0</v>
      </c>
      <c r="AU542" t="str">
        <f>_xlfn.XLOOKUP(Table1[[#This Row],[StockOptionLevel]],Table19[StockOptionLevel],Table19[Deskripsi])</f>
        <v>Non-Eligible</v>
      </c>
      <c r="AV542">
        <v>10</v>
      </c>
      <c r="AW542">
        <v>4</v>
      </c>
      <c r="AX542" t="str">
        <f>_xlfn.XLOOKUP(Table1[[#This Row],[WorkLifeBalance]],Table20[WorkLifeBalance],Table20[Id_WorkLifeBalance])</f>
        <v>WLB002</v>
      </c>
      <c r="AY542">
        <v>3</v>
      </c>
      <c r="AZ542" t="str">
        <f>_xlfn.XLOOKUP(Table1[[#This Row],[WorkLifeBalance]],Table20[WorkLifeBalance],Table20[Deskripsi])</f>
        <v>Good</v>
      </c>
      <c r="BA542">
        <v>7</v>
      </c>
      <c r="BB542">
        <v>7</v>
      </c>
      <c r="BC542">
        <v>3</v>
      </c>
      <c r="BD542">
        <v>7</v>
      </c>
    </row>
    <row r="543" spans="1:56" x14ac:dyDescent="0.25">
      <c r="A543">
        <v>36</v>
      </c>
      <c r="B543" t="str">
        <f>_xlfn.XLOOKUP(Table1[[#This Row],[Attrition]],Table2[Attrition],Table2[Id_Attrition])</f>
        <v>A002</v>
      </c>
      <c r="C543" t="s">
        <v>33</v>
      </c>
      <c r="D543" t="str">
        <f>_xlfn.XLOOKUP(Table1[[#This Row],[BusinessTravel]],Table5[BusinessTravel],Table5[Id_BusinessTravel])</f>
        <v>BS003</v>
      </c>
      <c r="E543" t="s">
        <v>36</v>
      </c>
      <c r="F543">
        <v>427</v>
      </c>
      <c r="G543" t="str">
        <f>_xlfn.XLOOKUP(Table1[[#This Row],[Department]],Table6[Department],Table6[Id_Departement])</f>
        <v>D002</v>
      </c>
      <c r="H543" t="s">
        <v>38</v>
      </c>
      <c r="I543">
        <v>8</v>
      </c>
      <c r="J543" t="str">
        <f>_xlfn.XLOOKUP(Table1[[#This Row],[Education]],Table8[Education],Table8[Id_Education])</f>
        <v>E003</v>
      </c>
      <c r="K543">
        <v>3</v>
      </c>
      <c r="L543" t="str">
        <f>_xlfn.XLOOKUP(Table1[[#This Row],[EducationField]],Table7[EducationField],Table7[Id_EducationField])</f>
        <v>EF001</v>
      </c>
      <c r="M543" t="s">
        <v>40</v>
      </c>
      <c r="N543" t="str">
        <f>_xlfn.XLOOKUP(Table1[[#This Row],[EmployeeNumber]],Table4[EmployeeNumber],Table4[Id_Employee])</f>
        <v>EMP00542</v>
      </c>
      <c r="O543">
        <v>742</v>
      </c>
      <c r="P543" t="str">
        <f>_xlfn.XLOOKUP(Table1[[#This Row],[EnvironmentSatisfaction]],Table9[EnvironmentSatisfaction],Table9[Id_EnviromentSatisfaction])</f>
        <v>ES001</v>
      </c>
      <c r="Q543">
        <v>1</v>
      </c>
      <c r="R543" t="str">
        <f>_xlfn.XLOOKUP(Table1[[#This Row],[EnvironmentSatisfaction]],Table9[EnvironmentSatisfaction],Table9[Deskripsi])</f>
        <v>Low</v>
      </c>
      <c r="S543" t="str">
        <f>_xlfn.XLOOKUP(Table1[[#This Row],[Gender]],Table10[Gender],Table10[Id_Gender])</f>
        <v>G001</v>
      </c>
      <c r="T543" t="s">
        <v>45</v>
      </c>
      <c r="U543">
        <v>63</v>
      </c>
      <c r="V543" t="str">
        <f>_xlfn.XLOOKUP(Table1[[#This Row],[JobInvolvement]],Table11[JobInvolvement],Table11[Id_JobInvolvement])</f>
        <v>JI004</v>
      </c>
      <c r="W543">
        <v>4</v>
      </c>
      <c r="X543" t="str">
        <f>_xlfn.XLOOKUP(Table1[[#This Row],[JobLevel]],Table12[JobLevel],Table12[Id_JobLevel])</f>
        <v>JL003</v>
      </c>
      <c r="Y543">
        <v>3</v>
      </c>
      <c r="Z543" t="str">
        <f>_xlfn.XLOOKUP(Table1[[#This Row],[JobRole]],Table13[JobRole],Table13[Id_JobRole])</f>
        <v>JR008</v>
      </c>
      <c r="AA543" t="s">
        <v>54</v>
      </c>
      <c r="AB543" t="str">
        <f>_xlfn.XLOOKUP(Table1[[#This Row],[JobSatisfaction]],Table14[JobSatisfaction],Table14[Id_JobSatisfaction])</f>
        <v>JS001</v>
      </c>
      <c r="AC543">
        <v>1</v>
      </c>
      <c r="AD543" t="str">
        <f>_xlfn.XLOOKUP(Table1[[#This Row],[JobSatisfaction]],Table14[JobSatisfaction],Table14[Deskripsi])</f>
        <v>Low</v>
      </c>
      <c r="AE543" t="str">
        <f>_xlfn.XLOOKUP(Table1[[#This Row],[MaritalStatus]],Table15[MaritalStatus],Table15[Id_MaritalStatus])</f>
        <v>MS002</v>
      </c>
      <c r="AF543" t="s">
        <v>56</v>
      </c>
      <c r="AG543">
        <v>11713</v>
      </c>
      <c r="AH543">
        <v>20335</v>
      </c>
      <c r="AI543">
        <v>9</v>
      </c>
      <c r="AJ543" t="str">
        <f>_xlfn.XLOOKUP(Table1[[#This Row],[OverTime]],Table16[OverTime],Table16[Id_OverTime])</f>
        <v>OT002</v>
      </c>
      <c r="AK543" t="s">
        <v>33</v>
      </c>
      <c r="AL543">
        <v>14</v>
      </c>
      <c r="AM543" t="str">
        <f>_xlfn.XLOOKUP(Table1[[#This Row],[PerformanceRating]],Table17[PerformanceRating],Table17[Id_PerformanceRating])</f>
        <v>PR003</v>
      </c>
      <c r="AN543">
        <v>3</v>
      </c>
      <c r="AO543" t="str">
        <f>_xlfn.XLOOKUP(Table1[[#This Row],[PerformanceRating]],Table17[PerformanceRating],Table17[Deskripsi])</f>
        <v>Excellent</v>
      </c>
      <c r="AP543" t="str">
        <f>_xlfn.XLOOKUP(Table1[[#This Row],[RelationshipSatisfaction]],Table18[RelationshipSatisfaction],Table18[Id_RelationshipSatisfaction])</f>
        <v>RS001</v>
      </c>
      <c r="AQ543">
        <v>1</v>
      </c>
      <c r="AR543" t="str">
        <f>_xlfn.XLOOKUP(Table1[[#This Row],[RelationshipSatisfaction]],Table18[RelationshipSatisfaction],Table18[Deskripsi])</f>
        <v>Low</v>
      </c>
      <c r="AS543" t="str">
        <f>_xlfn.XLOOKUP(Table1[[#This Row],[StockOptionLevel]],Table19[StockOptionLevel],Table19[Id_StockOptionLevel])</f>
        <v>SOL002</v>
      </c>
      <c r="AT543">
        <v>1</v>
      </c>
      <c r="AU543" t="str">
        <f>_xlfn.XLOOKUP(Table1[[#This Row],[StockOptionLevel]],Table19[StockOptionLevel],Table19[Deskripsi])</f>
        <v>Standard</v>
      </c>
      <c r="AV543">
        <v>10</v>
      </c>
      <c r="AW543">
        <v>2</v>
      </c>
      <c r="AX543" t="str">
        <f>_xlfn.XLOOKUP(Table1[[#This Row],[WorkLifeBalance]],Table20[WorkLifeBalance],Table20[Id_WorkLifeBalance])</f>
        <v>WLB002</v>
      </c>
      <c r="AY543">
        <v>3</v>
      </c>
      <c r="AZ543" t="str">
        <f>_xlfn.XLOOKUP(Table1[[#This Row],[WorkLifeBalance]],Table20[WorkLifeBalance],Table20[Deskripsi])</f>
        <v>Good</v>
      </c>
      <c r="BA543">
        <v>8</v>
      </c>
      <c r="BB543">
        <v>7</v>
      </c>
      <c r="BC543">
        <v>0</v>
      </c>
      <c r="BD543">
        <v>5</v>
      </c>
    </row>
    <row r="544" spans="1:56" x14ac:dyDescent="0.25">
      <c r="A544">
        <v>38</v>
      </c>
      <c r="B544" t="str">
        <f>_xlfn.XLOOKUP(Table1[[#This Row],[Attrition]],Table2[Attrition],Table2[Id_Attrition])</f>
        <v>A002</v>
      </c>
      <c r="C544" t="s">
        <v>33</v>
      </c>
      <c r="D544" t="str">
        <f>_xlfn.XLOOKUP(Table1[[#This Row],[BusinessTravel]],Table5[BusinessTravel],Table5[Id_BusinessTravel])</f>
        <v>BS001</v>
      </c>
      <c r="E544" t="s">
        <v>34</v>
      </c>
      <c r="F544">
        <v>168</v>
      </c>
      <c r="G544" t="str">
        <f>_xlfn.XLOOKUP(Table1[[#This Row],[Department]],Table6[Department],Table6[Id_Departement])</f>
        <v>D002</v>
      </c>
      <c r="H544" t="s">
        <v>38</v>
      </c>
      <c r="I544">
        <v>1</v>
      </c>
      <c r="J544" t="str">
        <f>_xlfn.XLOOKUP(Table1[[#This Row],[Education]],Table8[Education],Table8[Id_Education])</f>
        <v>E003</v>
      </c>
      <c r="K544">
        <v>3</v>
      </c>
      <c r="L544" t="str">
        <f>_xlfn.XLOOKUP(Table1[[#This Row],[EducationField]],Table7[EducationField],Table7[Id_EducationField])</f>
        <v>EF001</v>
      </c>
      <c r="M544" t="s">
        <v>40</v>
      </c>
      <c r="N544" t="str">
        <f>_xlfn.XLOOKUP(Table1[[#This Row],[EmployeeNumber]],Table4[EmployeeNumber],Table4[Id_Employee])</f>
        <v>EMP00543</v>
      </c>
      <c r="O544">
        <v>743</v>
      </c>
      <c r="P544" t="str">
        <f>_xlfn.XLOOKUP(Table1[[#This Row],[EnvironmentSatisfaction]],Table9[EnvironmentSatisfaction],Table9[Id_EnviromentSatisfaction])</f>
        <v>ES003</v>
      </c>
      <c r="Q544">
        <v>3</v>
      </c>
      <c r="R544" t="str">
        <f>_xlfn.XLOOKUP(Table1[[#This Row],[EnvironmentSatisfaction]],Table9[EnvironmentSatisfaction],Table9[Deskripsi])</f>
        <v>High</v>
      </c>
      <c r="S544" t="str">
        <f>_xlfn.XLOOKUP(Table1[[#This Row],[Gender]],Table10[Gender],Table10[Id_Gender])</f>
        <v>G001</v>
      </c>
      <c r="T544" t="s">
        <v>45</v>
      </c>
      <c r="U544">
        <v>81</v>
      </c>
      <c r="V544" t="str">
        <f>_xlfn.XLOOKUP(Table1[[#This Row],[JobInvolvement]],Table11[JobInvolvement],Table11[Id_JobInvolvement])</f>
        <v>JI003</v>
      </c>
      <c r="W544">
        <v>3</v>
      </c>
      <c r="X544" t="str">
        <f>_xlfn.XLOOKUP(Table1[[#This Row],[JobLevel]],Table12[JobLevel],Table12[Id_JobLevel])</f>
        <v>JL003</v>
      </c>
      <c r="Y544">
        <v>3</v>
      </c>
      <c r="Z544" t="str">
        <f>_xlfn.XLOOKUP(Table1[[#This Row],[JobRole]],Table13[JobRole],Table13[Id_JobRole])</f>
        <v>JR004</v>
      </c>
      <c r="AA544" t="s">
        <v>50</v>
      </c>
      <c r="AB544" t="str">
        <f>_xlfn.XLOOKUP(Table1[[#This Row],[JobSatisfaction]],Table14[JobSatisfaction],Table14[Id_JobSatisfaction])</f>
        <v>JS003</v>
      </c>
      <c r="AC544">
        <v>3</v>
      </c>
      <c r="AD544" t="str">
        <f>_xlfn.XLOOKUP(Table1[[#This Row],[JobSatisfaction]],Table14[JobSatisfaction],Table14[Deskripsi])</f>
        <v>High</v>
      </c>
      <c r="AE544" t="str">
        <f>_xlfn.XLOOKUP(Table1[[#This Row],[MaritalStatus]],Table15[MaritalStatus],Table15[Id_MaritalStatus])</f>
        <v>MS001</v>
      </c>
      <c r="AF544" t="s">
        <v>55</v>
      </c>
      <c r="AG544">
        <v>7861</v>
      </c>
      <c r="AH544">
        <v>15397</v>
      </c>
      <c r="AI544">
        <v>4</v>
      </c>
      <c r="AJ544" t="str">
        <f>_xlfn.XLOOKUP(Table1[[#This Row],[OverTime]],Table16[OverTime],Table16[Id_OverTime])</f>
        <v>OT001</v>
      </c>
      <c r="AK544" t="s">
        <v>32</v>
      </c>
      <c r="AL544">
        <v>14</v>
      </c>
      <c r="AM544" t="str">
        <f>_xlfn.XLOOKUP(Table1[[#This Row],[PerformanceRating]],Table17[PerformanceRating],Table17[Id_PerformanceRating])</f>
        <v>PR003</v>
      </c>
      <c r="AN544">
        <v>3</v>
      </c>
      <c r="AO544" t="str">
        <f>_xlfn.XLOOKUP(Table1[[#This Row],[PerformanceRating]],Table17[PerformanceRating],Table17[Deskripsi])</f>
        <v>Excellent</v>
      </c>
      <c r="AP544" t="str">
        <f>_xlfn.XLOOKUP(Table1[[#This Row],[RelationshipSatisfaction]],Table18[RelationshipSatisfaction],Table18[Id_RelationshipSatisfaction])</f>
        <v>RS004</v>
      </c>
      <c r="AQ544">
        <v>4</v>
      </c>
      <c r="AR544" t="str">
        <f>_xlfn.XLOOKUP(Table1[[#This Row],[RelationshipSatisfaction]],Table18[RelationshipSatisfaction],Table18[Deskripsi])</f>
        <v>Very High</v>
      </c>
      <c r="AS544" t="str">
        <f>_xlfn.XLOOKUP(Table1[[#This Row],[StockOptionLevel]],Table19[StockOptionLevel],Table19[Id_StockOptionLevel])</f>
        <v>SOL001</v>
      </c>
      <c r="AT544">
        <v>0</v>
      </c>
      <c r="AU544" t="str">
        <f>_xlfn.XLOOKUP(Table1[[#This Row],[StockOptionLevel]],Table19[StockOptionLevel],Table19[Deskripsi])</f>
        <v>Non-Eligible</v>
      </c>
      <c r="AV544">
        <v>10</v>
      </c>
      <c r="AW544">
        <v>4</v>
      </c>
      <c r="AX544" t="str">
        <f>_xlfn.XLOOKUP(Table1[[#This Row],[WorkLifeBalance]],Table20[WorkLifeBalance],Table20[Id_WorkLifeBalance])</f>
        <v>WLB004</v>
      </c>
      <c r="AY544">
        <v>4</v>
      </c>
      <c r="AZ544" t="str">
        <f>_xlfn.XLOOKUP(Table1[[#This Row],[WorkLifeBalance]],Table20[WorkLifeBalance],Table20[Deskripsi])</f>
        <v>Best</v>
      </c>
      <c r="BA544">
        <v>1</v>
      </c>
      <c r="BB544">
        <v>0</v>
      </c>
      <c r="BC544">
        <v>0</v>
      </c>
      <c r="BD544">
        <v>0</v>
      </c>
    </row>
    <row r="545" spans="1:56" x14ac:dyDescent="0.25">
      <c r="A545">
        <v>44</v>
      </c>
      <c r="B545" t="str">
        <f>_xlfn.XLOOKUP(Table1[[#This Row],[Attrition]],Table2[Attrition],Table2[Id_Attrition])</f>
        <v>A002</v>
      </c>
      <c r="C545" t="s">
        <v>33</v>
      </c>
      <c r="D545" t="str">
        <f>_xlfn.XLOOKUP(Table1[[#This Row],[BusinessTravel]],Table5[BusinessTravel],Table5[Id_BusinessTravel])</f>
        <v>BS003</v>
      </c>
      <c r="E545" t="s">
        <v>36</v>
      </c>
      <c r="F545">
        <v>381</v>
      </c>
      <c r="G545" t="str">
        <f>_xlfn.XLOOKUP(Table1[[#This Row],[Department]],Table6[Department],Table6[Id_Departement])</f>
        <v>D002</v>
      </c>
      <c r="H545" t="s">
        <v>38</v>
      </c>
      <c r="I545">
        <v>24</v>
      </c>
      <c r="J545" t="str">
        <f>_xlfn.XLOOKUP(Table1[[#This Row],[Education]],Table8[Education],Table8[Id_Education])</f>
        <v>E003</v>
      </c>
      <c r="K545">
        <v>3</v>
      </c>
      <c r="L545" t="str">
        <f>_xlfn.XLOOKUP(Table1[[#This Row],[EducationField]],Table7[EducationField],Table7[Id_EducationField])</f>
        <v>EF003</v>
      </c>
      <c r="M545" t="s">
        <v>42</v>
      </c>
      <c r="N545" t="str">
        <f>_xlfn.XLOOKUP(Table1[[#This Row],[EmployeeNumber]],Table4[EmployeeNumber],Table4[Id_Employee])</f>
        <v>EMP00544</v>
      </c>
      <c r="O545">
        <v>744</v>
      </c>
      <c r="P545" t="str">
        <f>_xlfn.XLOOKUP(Table1[[#This Row],[EnvironmentSatisfaction]],Table9[EnvironmentSatisfaction],Table9[Id_EnviromentSatisfaction])</f>
        <v>ES001</v>
      </c>
      <c r="Q545">
        <v>1</v>
      </c>
      <c r="R545" t="str">
        <f>_xlfn.XLOOKUP(Table1[[#This Row],[EnvironmentSatisfaction]],Table9[EnvironmentSatisfaction],Table9[Deskripsi])</f>
        <v>Low</v>
      </c>
      <c r="S545" t="str">
        <f>_xlfn.XLOOKUP(Table1[[#This Row],[Gender]],Table10[Gender],Table10[Id_Gender])</f>
        <v>G002</v>
      </c>
      <c r="T545" t="s">
        <v>46</v>
      </c>
      <c r="U545">
        <v>49</v>
      </c>
      <c r="V545" t="str">
        <f>_xlfn.XLOOKUP(Table1[[#This Row],[JobInvolvement]],Table11[JobInvolvement],Table11[Id_JobInvolvement])</f>
        <v>JI001</v>
      </c>
      <c r="W545">
        <v>1</v>
      </c>
      <c r="X545" t="str">
        <f>_xlfn.XLOOKUP(Table1[[#This Row],[JobLevel]],Table12[JobLevel],Table12[Id_JobLevel])</f>
        <v>JL001</v>
      </c>
      <c r="Y545">
        <v>1</v>
      </c>
      <c r="Z545" t="str">
        <f>_xlfn.XLOOKUP(Table1[[#This Row],[JobRole]],Table13[JobRole],Table13[Id_JobRole])</f>
        <v>JR003</v>
      </c>
      <c r="AA545" t="s">
        <v>49</v>
      </c>
      <c r="AB545" t="str">
        <f>_xlfn.XLOOKUP(Table1[[#This Row],[JobSatisfaction]],Table14[JobSatisfaction],Table14[Id_JobSatisfaction])</f>
        <v>JS003</v>
      </c>
      <c r="AC545">
        <v>3</v>
      </c>
      <c r="AD545" t="str">
        <f>_xlfn.XLOOKUP(Table1[[#This Row],[JobSatisfaction]],Table14[JobSatisfaction],Table14[Deskripsi])</f>
        <v>High</v>
      </c>
      <c r="AE545" t="str">
        <f>_xlfn.XLOOKUP(Table1[[#This Row],[MaritalStatus]],Table15[MaritalStatus],Table15[Id_MaritalStatus])</f>
        <v>MS001</v>
      </c>
      <c r="AF545" t="s">
        <v>55</v>
      </c>
      <c r="AG545">
        <v>3708</v>
      </c>
      <c r="AH545">
        <v>2104</v>
      </c>
      <c r="AI545">
        <v>2</v>
      </c>
      <c r="AJ545" t="str">
        <f>_xlfn.XLOOKUP(Table1[[#This Row],[OverTime]],Table16[OverTime],Table16[Id_OverTime])</f>
        <v>OT002</v>
      </c>
      <c r="AK545" t="s">
        <v>33</v>
      </c>
      <c r="AL545">
        <v>14</v>
      </c>
      <c r="AM545" t="str">
        <f>_xlfn.XLOOKUP(Table1[[#This Row],[PerformanceRating]],Table17[PerformanceRating],Table17[Id_PerformanceRating])</f>
        <v>PR003</v>
      </c>
      <c r="AN545">
        <v>3</v>
      </c>
      <c r="AO545" t="str">
        <f>_xlfn.XLOOKUP(Table1[[#This Row],[PerformanceRating]],Table17[PerformanceRating],Table17[Deskripsi])</f>
        <v>Excellent</v>
      </c>
      <c r="AP545" t="str">
        <f>_xlfn.XLOOKUP(Table1[[#This Row],[RelationshipSatisfaction]],Table18[RelationshipSatisfaction],Table18[Id_RelationshipSatisfaction])</f>
        <v>RS003</v>
      </c>
      <c r="AQ545">
        <v>3</v>
      </c>
      <c r="AR545" t="str">
        <f>_xlfn.XLOOKUP(Table1[[#This Row],[RelationshipSatisfaction]],Table18[RelationshipSatisfaction],Table18[Deskripsi])</f>
        <v>High</v>
      </c>
      <c r="AS545" t="str">
        <f>_xlfn.XLOOKUP(Table1[[#This Row],[StockOptionLevel]],Table19[StockOptionLevel],Table19[Id_StockOptionLevel])</f>
        <v>SOL001</v>
      </c>
      <c r="AT545">
        <v>0</v>
      </c>
      <c r="AU545" t="str">
        <f>_xlfn.XLOOKUP(Table1[[#This Row],[StockOptionLevel]],Table19[StockOptionLevel],Table19[Deskripsi])</f>
        <v>Non-Eligible</v>
      </c>
      <c r="AV545">
        <v>9</v>
      </c>
      <c r="AW545">
        <v>5</v>
      </c>
      <c r="AX545" t="str">
        <f>_xlfn.XLOOKUP(Table1[[#This Row],[WorkLifeBalance]],Table20[WorkLifeBalance],Table20[Id_WorkLifeBalance])</f>
        <v>WLB002</v>
      </c>
      <c r="AY545">
        <v>3</v>
      </c>
      <c r="AZ545" t="str">
        <f>_xlfn.XLOOKUP(Table1[[#This Row],[WorkLifeBalance]],Table20[WorkLifeBalance],Table20[Deskripsi])</f>
        <v>Good</v>
      </c>
      <c r="BA545">
        <v>5</v>
      </c>
      <c r="BB545">
        <v>2</v>
      </c>
      <c r="BC545">
        <v>1</v>
      </c>
      <c r="BD545">
        <v>4</v>
      </c>
    </row>
    <row r="546" spans="1:56" x14ac:dyDescent="0.25">
      <c r="A546">
        <v>47</v>
      </c>
      <c r="B546" t="str">
        <f>_xlfn.XLOOKUP(Table1[[#This Row],[Attrition]],Table2[Attrition],Table2[Id_Attrition])</f>
        <v>A002</v>
      </c>
      <c r="C546" t="s">
        <v>33</v>
      </c>
      <c r="D546" t="str">
        <f>_xlfn.XLOOKUP(Table1[[#This Row],[BusinessTravel]],Table5[BusinessTravel],Table5[Id_BusinessTravel])</f>
        <v>BS002</v>
      </c>
      <c r="E546" t="s">
        <v>35</v>
      </c>
      <c r="F546">
        <v>217</v>
      </c>
      <c r="G546" t="str">
        <f>_xlfn.XLOOKUP(Table1[[#This Row],[Department]],Table6[Department],Table6[Id_Departement])</f>
        <v>D001</v>
      </c>
      <c r="H546" t="s">
        <v>37</v>
      </c>
      <c r="I546">
        <v>3</v>
      </c>
      <c r="J546" t="str">
        <f>_xlfn.XLOOKUP(Table1[[#This Row],[Education]],Table8[Education],Table8[Id_Education])</f>
        <v>E003</v>
      </c>
      <c r="K546">
        <v>3</v>
      </c>
      <c r="L546" t="str">
        <f>_xlfn.XLOOKUP(Table1[[#This Row],[EducationField]],Table7[EducationField],Table7[Id_EducationField])</f>
        <v>EF003</v>
      </c>
      <c r="M546" t="s">
        <v>42</v>
      </c>
      <c r="N546" t="str">
        <f>_xlfn.XLOOKUP(Table1[[#This Row],[EmployeeNumber]],Table4[EmployeeNumber],Table4[Id_Employee])</f>
        <v>EMP00545</v>
      </c>
      <c r="O546">
        <v>746</v>
      </c>
      <c r="P546" t="str">
        <f>_xlfn.XLOOKUP(Table1[[#This Row],[EnvironmentSatisfaction]],Table9[EnvironmentSatisfaction],Table9[Id_EnviromentSatisfaction])</f>
        <v>ES004</v>
      </c>
      <c r="Q546">
        <v>4</v>
      </c>
      <c r="R546" t="str">
        <f>_xlfn.XLOOKUP(Table1[[#This Row],[EnvironmentSatisfaction]],Table9[EnvironmentSatisfaction],Table9[Deskripsi])</f>
        <v>Very High</v>
      </c>
      <c r="S546" t="str">
        <f>_xlfn.XLOOKUP(Table1[[#This Row],[Gender]],Table10[Gender],Table10[Id_Gender])</f>
        <v>G001</v>
      </c>
      <c r="T546" t="s">
        <v>45</v>
      </c>
      <c r="U546">
        <v>49</v>
      </c>
      <c r="V546" t="str">
        <f>_xlfn.XLOOKUP(Table1[[#This Row],[JobInvolvement]],Table11[JobInvolvement],Table11[Id_JobInvolvement])</f>
        <v>JI003</v>
      </c>
      <c r="W546">
        <v>3</v>
      </c>
      <c r="X546" t="str">
        <f>_xlfn.XLOOKUP(Table1[[#This Row],[JobLevel]],Table12[JobLevel],Table12[Id_JobLevel])</f>
        <v>JL004</v>
      </c>
      <c r="Y546">
        <v>4</v>
      </c>
      <c r="Z546" t="str">
        <f>_xlfn.XLOOKUP(Table1[[#This Row],[JobRole]],Table13[JobRole],Table13[Id_JobRole])</f>
        <v>JR001</v>
      </c>
      <c r="AA546" t="s">
        <v>47</v>
      </c>
      <c r="AB546" t="str">
        <f>_xlfn.XLOOKUP(Table1[[#This Row],[JobSatisfaction]],Table14[JobSatisfaction],Table14[Id_JobSatisfaction])</f>
        <v>JS003</v>
      </c>
      <c r="AC546">
        <v>3</v>
      </c>
      <c r="AD546" t="str">
        <f>_xlfn.XLOOKUP(Table1[[#This Row],[JobSatisfaction]],Table14[JobSatisfaction],Table14[Deskripsi])</f>
        <v>High</v>
      </c>
      <c r="AE546" t="str">
        <f>_xlfn.XLOOKUP(Table1[[#This Row],[MaritalStatus]],Table15[MaritalStatus],Table15[Id_MaritalStatus])</f>
        <v>MS003</v>
      </c>
      <c r="AF546" t="s">
        <v>57</v>
      </c>
      <c r="AG546">
        <v>13770</v>
      </c>
      <c r="AH546">
        <v>10225</v>
      </c>
      <c r="AI546">
        <v>9</v>
      </c>
      <c r="AJ546" t="str">
        <f>_xlfn.XLOOKUP(Table1[[#This Row],[OverTime]],Table16[OverTime],Table16[Id_OverTime])</f>
        <v>OT001</v>
      </c>
      <c r="AK546" t="s">
        <v>32</v>
      </c>
      <c r="AL546">
        <v>12</v>
      </c>
      <c r="AM546" t="str">
        <f>_xlfn.XLOOKUP(Table1[[#This Row],[PerformanceRating]],Table17[PerformanceRating],Table17[Id_PerformanceRating])</f>
        <v>PR003</v>
      </c>
      <c r="AN546">
        <v>3</v>
      </c>
      <c r="AO546" t="str">
        <f>_xlfn.XLOOKUP(Table1[[#This Row],[PerformanceRating]],Table17[PerformanceRating],Table17[Deskripsi])</f>
        <v>Excellent</v>
      </c>
      <c r="AP546" t="str">
        <f>_xlfn.XLOOKUP(Table1[[#This Row],[RelationshipSatisfaction]],Table18[RelationshipSatisfaction],Table18[Id_RelationshipSatisfaction])</f>
        <v>RS004</v>
      </c>
      <c r="AQ546">
        <v>4</v>
      </c>
      <c r="AR546" t="str">
        <f>_xlfn.XLOOKUP(Table1[[#This Row],[RelationshipSatisfaction]],Table18[RelationshipSatisfaction],Table18[Deskripsi])</f>
        <v>Very High</v>
      </c>
      <c r="AS546" t="str">
        <f>_xlfn.XLOOKUP(Table1[[#This Row],[StockOptionLevel]],Table19[StockOptionLevel],Table19[Id_StockOptionLevel])</f>
        <v>SOL003</v>
      </c>
      <c r="AT546">
        <v>2</v>
      </c>
      <c r="AU546" t="str">
        <f>_xlfn.XLOOKUP(Table1[[#This Row],[StockOptionLevel]],Table19[StockOptionLevel],Table19[Deskripsi])</f>
        <v>Intermediate</v>
      </c>
      <c r="AV546">
        <v>28</v>
      </c>
      <c r="AW546">
        <v>2</v>
      </c>
      <c r="AX546" t="str">
        <f>_xlfn.XLOOKUP(Table1[[#This Row],[WorkLifeBalance]],Table20[WorkLifeBalance],Table20[Id_WorkLifeBalance])</f>
        <v>WLB003</v>
      </c>
      <c r="AY546">
        <v>2</v>
      </c>
      <c r="AZ546" t="str">
        <f>_xlfn.XLOOKUP(Table1[[#This Row],[WorkLifeBalance]],Table20[WorkLifeBalance],Table20[Deskripsi])</f>
        <v>Better</v>
      </c>
      <c r="BA546">
        <v>22</v>
      </c>
      <c r="BB546">
        <v>2</v>
      </c>
      <c r="BC546">
        <v>11</v>
      </c>
      <c r="BD546">
        <v>13</v>
      </c>
    </row>
    <row r="547" spans="1:56" x14ac:dyDescent="0.25">
      <c r="A547">
        <v>30</v>
      </c>
      <c r="B547" t="str">
        <f>_xlfn.XLOOKUP(Table1[[#This Row],[Attrition]],Table2[Attrition],Table2[Id_Attrition])</f>
        <v>A002</v>
      </c>
      <c r="C547" t="s">
        <v>33</v>
      </c>
      <c r="D547" t="str">
        <f>_xlfn.XLOOKUP(Table1[[#This Row],[BusinessTravel]],Table5[BusinessTravel],Table5[Id_BusinessTravel])</f>
        <v>BS001</v>
      </c>
      <c r="E547" t="s">
        <v>34</v>
      </c>
      <c r="F547">
        <v>501</v>
      </c>
      <c r="G547" t="str">
        <f>_xlfn.XLOOKUP(Table1[[#This Row],[Department]],Table6[Department],Table6[Id_Departement])</f>
        <v>D001</v>
      </c>
      <c r="H547" t="s">
        <v>37</v>
      </c>
      <c r="I547">
        <v>27</v>
      </c>
      <c r="J547" t="str">
        <f>_xlfn.XLOOKUP(Table1[[#This Row],[Education]],Table8[Education],Table8[Id_Education])</f>
        <v>E005</v>
      </c>
      <c r="K547">
        <v>5</v>
      </c>
      <c r="L547" t="str">
        <f>_xlfn.XLOOKUP(Table1[[#This Row],[EducationField]],Table7[EducationField],Table7[Id_EducationField])</f>
        <v>EF004</v>
      </c>
      <c r="M547" t="s">
        <v>43</v>
      </c>
      <c r="N547" t="str">
        <f>_xlfn.XLOOKUP(Table1[[#This Row],[EmployeeNumber]],Table4[EmployeeNumber],Table4[Id_Employee])</f>
        <v>EMP00546</v>
      </c>
      <c r="O547">
        <v>747</v>
      </c>
      <c r="P547" t="str">
        <f>_xlfn.XLOOKUP(Table1[[#This Row],[EnvironmentSatisfaction]],Table9[EnvironmentSatisfaction],Table9[Id_EnviromentSatisfaction])</f>
        <v>ES003</v>
      </c>
      <c r="Q547">
        <v>3</v>
      </c>
      <c r="R547" t="str">
        <f>_xlfn.XLOOKUP(Table1[[#This Row],[EnvironmentSatisfaction]],Table9[EnvironmentSatisfaction],Table9[Deskripsi])</f>
        <v>High</v>
      </c>
      <c r="S547" t="str">
        <f>_xlfn.XLOOKUP(Table1[[#This Row],[Gender]],Table10[Gender],Table10[Id_Gender])</f>
        <v>G002</v>
      </c>
      <c r="T547" t="s">
        <v>46</v>
      </c>
      <c r="U547">
        <v>99</v>
      </c>
      <c r="V547" t="str">
        <f>_xlfn.XLOOKUP(Table1[[#This Row],[JobInvolvement]],Table11[JobInvolvement],Table11[Id_JobInvolvement])</f>
        <v>JI003</v>
      </c>
      <c r="W547">
        <v>3</v>
      </c>
      <c r="X547" t="str">
        <f>_xlfn.XLOOKUP(Table1[[#This Row],[JobLevel]],Table12[JobLevel],Table12[Id_JobLevel])</f>
        <v>JL002</v>
      </c>
      <c r="Y547">
        <v>2</v>
      </c>
      <c r="Z547" t="str">
        <f>_xlfn.XLOOKUP(Table1[[#This Row],[JobRole]],Table13[JobRole],Table13[Id_JobRole])</f>
        <v>JR001</v>
      </c>
      <c r="AA547" t="s">
        <v>47</v>
      </c>
      <c r="AB547" t="str">
        <f>_xlfn.XLOOKUP(Table1[[#This Row],[JobSatisfaction]],Table14[JobSatisfaction],Table14[Id_JobSatisfaction])</f>
        <v>JS004</v>
      </c>
      <c r="AC547">
        <v>4</v>
      </c>
      <c r="AD547" t="str">
        <f>_xlfn.XLOOKUP(Table1[[#This Row],[JobSatisfaction]],Table14[JobSatisfaction],Table14[Deskripsi])</f>
        <v>Very High</v>
      </c>
      <c r="AE547" t="str">
        <f>_xlfn.XLOOKUP(Table1[[#This Row],[MaritalStatus]],Table15[MaritalStatus],Table15[Id_MaritalStatus])</f>
        <v>MS003</v>
      </c>
      <c r="AF547" t="s">
        <v>57</v>
      </c>
      <c r="AG547">
        <v>5304</v>
      </c>
      <c r="AH547">
        <v>25275</v>
      </c>
      <c r="AI547">
        <v>7</v>
      </c>
      <c r="AJ547" t="str">
        <f>_xlfn.XLOOKUP(Table1[[#This Row],[OverTime]],Table16[OverTime],Table16[Id_OverTime])</f>
        <v>OT002</v>
      </c>
      <c r="AK547" t="s">
        <v>33</v>
      </c>
      <c r="AL547">
        <v>23</v>
      </c>
      <c r="AM547" t="str">
        <f>_xlfn.XLOOKUP(Table1[[#This Row],[PerformanceRating]],Table17[PerformanceRating],Table17[Id_PerformanceRating])</f>
        <v>PR004</v>
      </c>
      <c r="AN547">
        <v>4</v>
      </c>
      <c r="AO547" t="str">
        <f>_xlfn.XLOOKUP(Table1[[#This Row],[PerformanceRating]],Table17[PerformanceRating],Table17[Deskripsi])</f>
        <v>Outstanding</v>
      </c>
      <c r="AP547" t="str">
        <f>_xlfn.XLOOKUP(Table1[[#This Row],[RelationshipSatisfaction]],Table18[RelationshipSatisfaction],Table18[Id_RelationshipSatisfaction])</f>
        <v>RS004</v>
      </c>
      <c r="AQ547">
        <v>4</v>
      </c>
      <c r="AR547" t="str">
        <f>_xlfn.XLOOKUP(Table1[[#This Row],[RelationshipSatisfaction]],Table18[RelationshipSatisfaction],Table18[Deskripsi])</f>
        <v>Very High</v>
      </c>
      <c r="AS547" t="str">
        <f>_xlfn.XLOOKUP(Table1[[#This Row],[StockOptionLevel]],Table19[StockOptionLevel],Table19[Id_StockOptionLevel])</f>
        <v>SOL002</v>
      </c>
      <c r="AT547">
        <v>1</v>
      </c>
      <c r="AU547" t="str">
        <f>_xlfn.XLOOKUP(Table1[[#This Row],[StockOptionLevel]],Table19[StockOptionLevel],Table19[Deskripsi])</f>
        <v>Standard</v>
      </c>
      <c r="AV547">
        <v>10</v>
      </c>
      <c r="AW547">
        <v>2</v>
      </c>
      <c r="AX547" t="str">
        <f>_xlfn.XLOOKUP(Table1[[#This Row],[WorkLifeBalance]],Table20[WorkLifeBalance],Table20[Id_WorkLifeBalance])</f>
        <v>WLB003</v>
      </c>
      <c r="AY547">
        <v>2</v>
      </c>
      <c r="AZ547" t="str">
        <f>_xlfn.XLOOKUP(Table1[[#This Row],[WorkLifeBalance]],Table20[WorkLifeBalance],Table20[Deskripsi])</f>
        <v>Better</v>
      </c>
      <c r="BA547">
        <v>8</v>
      </c>
      <c r="BB547">
        <v>7</v>
      </c>
      <c r="BC547">
        <v>7</v>
      </c>
      <c r="BD547">
        <v>7</v>
      </c>
    </row>
    <row r="548" spans="1:56" x14ac:dyDescent="0.25">
      <c r="A548">
        <v>29</v>
      </c>
      <c r="B548" t="str">
        <f>_xlfn.XLOOKUP(Table1[[#This Row],[Attrition]],Table2[Attrition],Table2[Id_Attrition])</f>
        <v>A002</v>
      </c>
      <c r="C548" t="s">
        <v>33</v>
      </c>
      <c r="D548" t="str">
        <f>_xlfn.XLOOKUP(Table1[[#This Row],[BusinessTravel]],Table5[BusinessTravel],Table5[Id_BusinessTravel])</f>
        <v>BS001</v>
      </c>
      <c r="E548" t="s">
        <v>34</v>
      </c>
      <c r="F548">
        <v>1396</v>
      </c>
      <c r="G548" t="str">
        <f>_xlfn.XLOOKUP(Table1[[#This Row],[Department]],Table6[Department],Table6[Id_Departement])</f>
        <v>D001</v>
      </c>
      <c r="H548" t="s">
        <v>37</v>
      </c>
      <c r="I548">
        <v>10</v>
      </c>
      <c r="J548" t="str">
        <f>_xlfn.XLOOKUP(Table1[[#This Row],[Education]],Table8[Education],Table8[Id_Education])</f>
        <v>E003</v>
      </c>
      <c r="K548">
        <v>3</v>
      </c>
      <c r="L548" t="str">
        <f>_xlfn.XLOOKUP(Table1[[#This Row],[EducationField]],Table7[EducationField],Table7[Id_EducationField])</f>
        <v>EF001</v>
      </c>
      <c r="M548" t="s">
        <v>40</v>
      </c>
      <c r="N548" t="str">
        <f>_xlfn.XLOOKUP(Table1[[#This Row],[EmployeeNumber]],Table4[EmployeeNumber],Table4[Id_Employee])</f>
        <v>EMP00547</v>
      </c>
      <c r="O548">
        <v>749</v>
      </c>
      <c r="P548" t="str">
        <f>_xlfn.XLOOKUP(Table1[[#This Row],[EnvironmentSatisfaction]],Table9[EnvironmentSatisfaction],Table9[Id_EnviromentSatisfaction])</f>
        <v>ES003</v>
      </c>
      <c r="Q548">
        <v>3</v>
      </c>
      <c r="R548" t="str">
        <f>_xlfn.XLOOKUP(Table1[[#This Row],[EnvironmentSatisfaction]],Table9[EnvironmentSatisfaction],Table9[Deskripsi])</f>
        <v>High</v>
      </c>
      <c r="S548" t="str">
        <f>_xlfn.XLOOKUP(Table1[[#This Row],[Gender]],Table10[Gender],Table10[Id_Gender])</f>
        <v>G002</v>
      </c>
      <c r="T548" t="s">
        <v>46</v>
      </c>
      <c r="U548">
        <v>99</v>
      </c>
      <c r="V548" t="str">
        <f>_xlfn.XLOOKUP(Table1[[#This Row],[JobInvolvement]],Table11[JobInvolvement],Table11[Id_JobInvolvement])</f>
        <v>JI003</v>
      </c>
      <c r="W548">
        <v>3</v>
      </c>
      <c r="X548" t="str">
        <f>_xlfn.XLOOKUP(Table1[[#This Row],[JobLevel]],Table12[JobLevel],Table12[Id_JobLevel])</f>
        <v>JL001</v>
      </c>
      <c r="Y548">
        <v>1</v>
      </c>
      <c r="Z548" t="str">
        <f>_xlfn.XLOOKUP(Table1[[#This Row],[JobRole]],Table13[JobRole],Table13[Id_JobRole])</f>
        <v>JR007</v>
      </c>
      <c r="AA548" t="s">
        <v>53</v>
      </c>
      <c r="AB548" t="str">
        <f>_xlfn.XLOOKUP(Table1[[#This Row],[JobSatisfaction]],Table14[JobSatisfaction],Table14[Id_JobSatisfaction])</f>
        <v>JS003</v>
      </c>
      <c r="AC548">
        <v>3</v>
      </c>
      <c r="AD548" t="str">
        <f>_xlfn.XLOOKUP(Table1[[#This Row],[JobSatisfaction]],Table14[JobSatisfaction],Table14[Deskripsi])</f>
        <v>High</v>
      </c>
      <c r="AE548" t="str">
        <f>_xlfn.XLOOKUP(Table1[[#This Row],[MaritalStatus]],Table15[MaritalStatus],Table15[Id_MaritalStatus])</f>
        <v>MS001</v>
      </c>
      <c r="AF548" t="s">
        <v>55</v>
      </c>
      <c r="AG548">
        <v>2642</v>
      </c>
      <c r="AH548">
        <v>2755</v>
      </c>
      <c r="AI548">
        <v>1</v>
      </c>
      <c r="AJ548" t="str">
        <f>_xlfn.XLOOKUP(Table1[[#This Row],[OverTime]],Table16[OverTime],Table16[Id_OverTime])</f>
        <v>OT002</v>
      </c>
      <c r="AK548" t="s">
        <v>33</v>
      </c>
      <c r="AL548">
        <v>11</v>
      </c>
      <c r="AM548" t="str">
        <f>_xlfn.XLOOKUP(Table1[[#This Row],[PerformanceRating]],Table17[PerformanceRating],Table17[Id_PerformanceRating])</f>
        <v>PR003</v>
      </c>
      <c r="AN548">
        <v>3</v>
      </c>
      <c r="AO548" t="str">
        <f>_xlfn.XLOOKUP(Table1[[#This Row],[PerformanceRating]],Table17[PerformanceRating],Table17[Deskripsi])</f>
        <v>Excellent</v>
      </c>
      <c r="AP548" t="str">
        <f>_xlfn.XLOOKUP(Table1[[#This Row],[RelationshipSatisfaction]],Table18[RelationshipSatisfaction],Table18[Id_RelationshipSatisfaction])</f>
        <v>RS003</v>
      </c>
      <c r="AQ548">
        <v>3</v>
      </c>
      <c r="AR548" t="str">
        <f>_xlfn.XLOOKUP(Table1[[#This Row],[RelationshipSatisfaction]],Table18[RelationshipSatisfaction],Table18[Deskripsi])</f>
        <v>High</v>
      </c>
      <c r="AS548" t="str">
        <f>_xlfn.XLOOKUP(Table1[[#This Row],[StockOptionLevel]],Table19[StockOptionLevel],Table19[Id_StockOptionLevel])</f>
        <v>SOL001</v>
      </c>
      <c r="AT548">
        <v>0</v>
      </c>
      <c r="AU548" t="str">
        <f>_xlfn.XLOOKUP(Table1[[#This Row],[StockOptionLevel]],Table19[StockOptionLevel],Table19[Deskripsi])</f>
        <v>Non-Eligible</v>
      </c>
      <c r="AV548">
        <v>1</v>
      </c>
      <c r="AW548">
        <v>6</v>
      </c>
      <c r="AX548" t="str">
        <f>_xlfn.XLOOKUP(Table1[[#This Row],[WorkLifeBalance]],Table20[WorkLifeBalance],Table20[Id_WorkLifeBalance])</f>
        <v>WLB002</v>
      </c>
      <c r="AY548">
        <v>3</v>
      </c>
      <c r="AZ548" t="str">
        <f>_xlfn.XLOOKUP(Table1[[#This Row],[WorkLifeBalance]],Table20[WorkLifeBalance],Table20[Deskripsi])</f>
        <v>Good</v>
      </c>
      <c r="BA548">
        <v>1</v>
      </c>
      <c r="BB548">
        <v>0</v>
      </c>
      <c r="BC548">
        <v>0</v>
      </c>
      <c r="BD548">
        <v>0</v>
      </c>
    </row>
    <row r="549" spans="1:56" x14ac:dyDescent="0.25">
      <c r="A549">
        <v>42</v>
      </c>
      <c r="B549" t="str">
        <f>_xlfn.XLOOKUP(Table1[[#This Row],[Attrition]],Table2[Attrition],Table2[Id_Attrition])</f>
        <v>A001</v>
      </c>
      <c r="C549" t="s">
        <v>32</v>
      </c>
      <c r="D549" t="str">
        <f>_xlfn.XLOOKUP(Table1[[#This Row],[BusinessTravel]],Table5[BusinessTravel],Table5[Id_BusinessTravel])</f>
        <v>BS002</v>
      </c>
      <c r="E549" t="s">
        <v>35</v>
      </c>
      <c r="F549">
        <v>933</v>
      </c>
      <c r="G549" t="str">
        <f>_xlfn.XLOOKUP(Table1[[#This Row],[Department]],Table6[Department],Table6[Id_Departement])</f>
        <v>D002</v>
      </c>
      <c r="H549" t="s">
        <v>38</v>
      </c>
      <c r="I549">
        <v>19</v>
      </c>
      <c r="J549" t="str">
        <f>_xlfn.XLOOKUP(Table1[[#This Row],[Education]],Table8[Education],Table8[Id_Education])</f>
        <v>E003</v>
      </c>
      <c r="K549">
        <v>3</v>
      </c>
      <c r="L549" t="str">
        <f>_xlfn.XLOOKUP(Table1[[#This Row],[EducationField]],Table7[EducationField],Table7[Id_EducationField])</f>
        <v>EF003</v>
      </c>
      <c r="M549" t="s">
        <v>42</v>
      </c>
      <c r="N549" t="str">
        <f>_xlfn.XLOOKUP(Table1[[#This Row],[EmployeeNumber]],Table4[EmployeeNumber],Table4[Id_Employee])</f>
        <v>EMP00548</v>
      </c>
      <c r="O549">
        <v>752</v>
      </c>
      <c r="P549" t="str">
        <f>_xlfn.XLOOKUP(Table1[[#This Row],[EnvironmentSatisfaction]],Table9[EnvironmentSatisfaction],Table9[Id_EnviromentSatisfaction])</f>
        <v>ES003</v>
      </c>
      <c r="Q549">
        <v>3</v>
      </c>
      <c r="R549" t="str">
        <f>_xlfn.XLOOKUP(Table1[[#This Row],[EnvironmentSatisfaction]],Table9[EnvironmentSatisfaction],Table9[Deskripsi])</f>
        <v>High</v>
      </c>
      <c r="S549" t="str">
        <f>_xlfn.XLOOKUP(Table1[[#This Row],[Gender]],Table10[Gender],Table10[Id_Gender])</f>
        <v>G002</v>
      </c>
      <c r="T549" t="s">
        <v>46</v>
      </c>
      <c r="U549">
        <v>57</v>
      </c>
      <c r="V549" t="str">
        <f>_xlfn.XLOOKUP(Table1[[#This Row],[JobInvolvement]],Table11[JobInvolvement],Table11[Id_JobInvolvement])</f>
        <v>JI004</v>
      </c>
      <c r="W549">
        <v>4</v>
      </c>
      <c r="X549" t="str">
        <f>_xlfn.XLOOKUP(Table1[[#This Row],[JobLevel]],Table12[JobLevel],Table12[Id_JobLevel])</f>
        <v>JL001</v>
      </c>
      <c r="Y549">
        <v>1</v>
      </c>
      <c r="Z549" t="str">
        <f>_xlfn.XLOOKUP(Table1[[#This Row],[JobRole]],Table13[JobRole],Table13[Id_JobRole])</f>
        <v>JR002</v>
      </c>
      <c r="AA549" t="s">
        <v>48</v>
      </c>
      <c r="AB549" t="str">
        <f>_xlfn.XLOOKUP(Table1[[#This Row],[JobSatisfaction]],Table14[JobSatisfaction],Table14[Id_JobSatisfaction])</f>
        <v>JS003</v>
      </c>
      <c r="AC549">
        <v>3</v>
      </c>
      <c r="AD549" t="str">
        <f>_xlfn.XLOOKUP(Table1[[#This Row],[JobSatisfaction]],Table14[JobSatisfaction],Table14[Deskripsi])</f>
        <v>High</v>
      </c>
      <c r="AE549" t="str">
        <f>_xlfn.XLOOKUP(Table1[[#This Row],[MaritalStatus]],Table15[MaritalStatus],Table15[Id_MaritalStatus])</f>
        <v>MS003</v>
      </c>
      <c r="AF549" t="s">
        <v>57</v>
      </c>
      <c r="AG549">
        <v>2759</v>
      </c>
      <c r="AH549">
        <v>20366</v>
      </c>
      <c r="AI549">
        <v>6</v>
      </c>
      <c r="AJ549" t="str">
        <f>_xlfn.XLOOKUP(Table1[[#This Row],[OverTime]],Table16[OverTime],Table16[Id_OverTime])</f>
        <v>OT001</v>
      </c>
      <c r="AK549" t="s">
        <v>32</v>
      </c>
      <c r="AL549">
        <v>12</v>
      </c>
      <c r="AM549" t="str">
        <f>_xlfn.XLOOKUP(Table1[[#This Row],[PerformanceRating]],Table17[PerformanceRating],Table17[Id_PerformanceRating])</f>
        <v>PR003</v>
      </c>
      <c r="AN549">
        <v>3</v>
      </c>
      <c r="AO549" t="str">
        <f>_xlfn.XLOOKUP(Table1[[#This Row],[PerformanceRating]],Table17[PerformanceRating],Table17[Deskripsi])</f>
        <v>Excellent</v>
      </c>
      <c r="AP549" t="str">
        <f>_xlfn.XLOOKUP(Table1[[#This Row],[RelationshipSatisfaction]],Table18[RelationshipSatisfaction],Table18[Id_RelationshipSatisfaction])</f>
        <v>RS004</v>
      </c>
      <c r="AQ549">
        <v>4</v>
      </c>
      <c r="AR549" t="str">
        <f>_xlfn.XLOOKUP(Table1[[#This Row],[RelationshipSatisfaction]],Table18[RelationshipSatisfaction],Table18[Deskripsi])</f>
        <v>Very High</v>
      </c>
      <c r="AS549" t="str">
        <f>_xlfn.XLOOKUP(Table1[[#This Row],[StockOptionLevel]],Table19[StockOptionLevel],Table19[Id_StockOptionLevel])</f>
        <v>SOL001</v>
      </c>
      <c r="AT549">
        <v>0</v>
      </c>
      <c r="AU549" t="str">
        <f>_xlfn.XLOOKUP(Table1[[#This Row],[StockOptionLevel]],Table19[StockOptionLevel],Table19[Deskripsi])</f>
        <v>Non-Eligible</v>
      </c>
      <c r="AV549">
        <v>7</v>
      </c>
      <c r="AW549">
        <v>2</v>
      </c>
      <c r="AX549" t="str">
        <f>_xlfn.XLOOKUP(Table1[[#This Row],[WorkLifeBalance]],Table20[WorkLifeBalance],Table20[Id_WorkLifeBalance])</f>
        <v>WLB002</v>
      </c>
      <c r="AY549">
        <v>3</v>
      </c>
      <c r="AZ549" t="str">
        <f>_xlfn.XLOOKUP(Table1[[#This Row],[WorkLifeBalance]],Table20[WorkLifeBalance],Table20[Deskripsi])</f>
        <v>Good</v>
      </c>
      <c r="BA549">
        <v>2</v>
      </c>
      <c r="BB549">
        <v>2</v>
      </c>
      <c r="BC549">
        <v>2</v>
      </c>
      <c r="BD549">
        <v>2</v>
      </c>
    </row>
    <row r="550" spans="1:56" x14ac:dyDescent="0.25">
      <c r="A550">
        <v>43</v>
      </c>
      <c r="B550" t="str">
        <f>_xlfn.XLOOKUP(Table1[[#This Row],[Attrition]],Table2[Attrition],Table2[Id_Attrition])</f>
        <v>A002</v>
      </c>
      <c r="C550" t="s">
        <v>33</v>
      </c>
      <c r="D550" t="str">
        <f>_xlfn.XLOOKUP(Table1[[#This Row],[BusinessTravel]],Table5[BusinessTravel],Table5[Id_BusinessTravel])</f>
        <v>BS002</v>
      </c>
      <c r="E550" t="s">
        <v>35</v>
      </c>
      <c r="F550">
        <v>775</v>
      </c>
      <c r="G550" t="str">
        <f>_xlfn.XLOOKUP(Table1[[#This Row],[Department]],Table6[Department],Table6[Id_Departement])</f>
        <v>D001</v>
      </c>
      <c r="H550" t="s">
        <v>37</v>
      </c>
      <c r="I550">
        <v>15</v>
      </c>
      <c r="J550" t="str">
        <f>_xlfn.XLOOKUP(Table1[[#This Row],[Education]],Table8[Education],Table8[Id_Education])</f>
        <v>E003</v>
      </c>
      <c r="K550">
        <v>3</v>
      </c>
      <c r="L550" t="str">
        <f>_xlfn.XLOOKUP(Table1[[#This Row],[EducationField]],Table7[EducationField],Table7[Id_EducationField])</f>
        <v>EF001</v>
      </c>
      <c r="M550" t="s">
        <v>40</v>
      </c>
      <c r="N550" t="str">
        <f>_xlfn.XLOOKUP(Table1[[#This Row],[EmployeeNumber]],Table4[EmployeeNumber],Table4[Id_Employee])</f>
        <v>EMP00549</v>
      </c>
      <c r="O550">
        <v>754</v>
      </c>
      <c r="P550" t="str">
        <f>_xlfn.XLOOKUP(Table1[[#This Row],[EnvironmentSatisfaction]],Table9[EnvironmentSatisfaction],Table9[Id_EnviromentSatisfaction])</f>
        <v>ES004</v>
      </c>
      <c r="Q550">
        <v>4</v>
      </c>
      <c r="R550" t="str">
        <f>_xlfn.XLOOKUP(Table1[[#This Row],[EnvironmentSatisfaction]],Table9[EnvironmentSatisfaction],Table9[Deskripsi])</f>
        <v>Very High</v>
      </c>
      <c r="S550" t="str">
        <f>_xlfn.XLOOKUP(Table1[[#This Row],[Gender]],Table10[Gender],Table10[Id_Gender])</f>
        <v>G002</v>
      </c>
      <c r="T550" t="s">
        <v>46</v>
      </c>
      <c r="U550">
        <v>47</v>
      </c>
      <c r="V550" t="str">
        <f>_xlfn.XLOOKUP(Table1[[#This Row],[JobInvolvement]],Table11[JobInvolvement],Table11[Id_JobInvolvement])</f>
        <v>JI002</v>
      </c>
      <c r="W550">
        <v>2</v>
      </c>
      <c r="X550" t="str">
        <f>_xlfn.XLOOKUP(Table1[[#This Row],[JobLevel]],Table12[JobLevel],Table12[Id_JobLevel])</f>
        <v>JL002</v>
      </c>
      <c r="Y550">
        <v>2</v>
      </c>
      <c r="Z550" t="str">
        <f>_xlfn.XLOOKUP(Table1[[#This Row],[JobRole]],Table13[JobRole],Table13[Id_JobRole])</f>
        <v>JR001</v>
      </c>
      <c r="AA550" t="s">
        <v>47</v>
      </c>
      <c r="AB550" t="str">
        <f>_xlfn.XLOOKUP(Table1[[#This Row],[JobSatisfaction]],Table14[JobSatisfaction],Table14[Id_JobSatisfaction])</f>
        <v>JS004</v>
      </c>
      <c r="AC550">
        <v>4</v>
      </c>
      <c r="AD550" t="str">
        <f>_xlfn.XLOOKUP(Table1[[#This Row],[JobSatisfaction]],Table14[JobSatisfaction],Table14[Deskripsi])</f>
        <v>Very High</v>
      </c>
      <c r="AE550" t="str">
        <f>_xlfn.XLOOKUP(Table1[[#This Row],[MaritalStatus]],Table15[MaritalStatus],Table15[Id_MaritalStatus])</f>
        <v>MS002</v>
      </c>
      <c r="AF550" t="s">
        <v>56</v>
      </c>
      <c r="AG550">
        <v>6804</v>
      </c>
      <c r="AH550">
        <v>23683</v>
      </c>
      <c r="AI550">
        <v>3</v>
      </c>
      <c r="AJ550" t="str">
        <f>_xlfn.XLOOKUP(Table1[[#This Row],[OverTime]],Table16[OverTime],Table16[Id_OverTime])</f>
        <v>OT002</v>
      </c>
      <c r="AK550" t="s">
        <v>33</v>
      </c>
      <c r="AL550">
        <v>18</v>
      </c>
      <c r="AM550" t="str">
        <f>_xlfn.XLOOKUP(Table1[[#This Row],[PerformanceRating]],Table17[PerformanceRating],Table17[Id_PerformanceRating])</f>
        <v>PR003</v>
      </c>
      <c r="AN550">
        <v>3</v>
      </c>
      <c r="AO550" t="str">
        <f>_xlfn.XLOOKUP(Table1[[#This Row],[PerformanceRating]],Table17[PerformanceRating],Table17[Deskripsi])</f>
        <v>Excellent</v>
      </c>
      <c r="AP550" t="str">
        <f>_xlfn.XLOOKUP(Table1[[#This Row],[RelationshipSatisfaction]],Table18[RelationshipSatisfaction],Table18[Id_RelationshipSatisfaction])</f>
        <v>RS003</v>
      </c>
      <c r="AQ550">
        <v>3</v>
      </c>
      <c r="AR550" t="str">
        <f>_xlfn.XLOOKUP(Table1[[#This Row],[RelationshipSatisfaction]],Table18[RelationshipSatisfaction],Table18[Deskripsi])</f>
        <v>High</v>
      </c>
      <c r="AS550" t="str">
        <f>_xlfn.XLOOKUP(Table1[[#This Row],[StockOptionLevel]],Table19[StockOptionLevel],Table19[Id_StockOptionLevel])</f>
        <v>SOL002</v>
      </c>
      <c r="AT550">
        <v>1</v>
      </c>
      <c r="AU550" t="str">
        <f>_xlfn.XLOOKUP(Table1[[#This Row],[StockOptionLevel]],Table19[StockOptionLevel],Table19[Deskripsi])</f>
        <v>Standard</v>
      </c>
      <c r="AV550">
        <v>7</v>
      </c>
      <c r="AW550">
        <v>5</v>
      </c>
      <c r="AX550" t="str">
        <f>_xlfn.XLOOKUP(Table1[[#This Row],[WorkLifeBalance]],Table20[WorkLifeBalance],Table20[Id_WorkLifeBalance])</f>
        <v>WLB002</v>
      </c>
      <c r="AY550">
        <v>3</v>
      </c>
      <c r="AZ550" t="str">
        <f>_xlfn.XLOOKUP(Table1[[#This Row],[WorkLifeBalance]],Table20[WorkLifeBalance],Table20[Deskripsi])</f>
        <v>Good</v>
      </c>
      <c r="BA550">
        <v>2</v>
      </c>
      <c r="BB550">
        <v>2</v>
      </c>
      <c r="BC550">
        <v>2</v>
      </c>
      <c r="BD550">
        <v>2</v>
      </c>
    </row>
    <row r="551" spans="1:56" x14ac:dyDescent="0.25">
      <c r="A551">
        <v>34</v>
      </c>
      <c r="B551" t="str">
        <f>_xlfn.XLOOKUP(Table1[[#This Row],[Attrition]],Table2[Attrition],Table2[Id_Attrition])</f>
        <v>A002</v>
      </c>
      <c r="C551" t="s">
        <v>33</v>
      </c>
      <c r="D551" t="str">
        <f>_xlfn.XLOOKUP(Table1[[#This Row],[BusinessTravel]],Table5[BusinessTravel],Table5[Id_BusinessTravel])</f>
        <v>BS001</v>
      </c>
      <c r="E551" t="s">
        <v>34</v>
      </c>
      <c r="F551">
        <v>970</v>
      </c>
      <c r="G551" t="str">
        <f>_xlfn.XLOOKUP(Table1[[#This Row],[Department]],Table6[Department],Table6[Id_Departement])</f>
        <v>D002</v>
      </c>
      <c r="H551" t="s">
        <v>38</v>
      </c>
      <c r="I551">
        <v>8</v>
      </c>
      <c r="J551" t="str">
        <f>_xlfn.XLOOKUP(Table1[[#This Row],[Education]],Table8[Education],Table8[Id_Education])</f>
        <v>E002</v>
      </c>
      <c r="K551">
        <v>2</v>
      </c>
      <c r="L551" t="str">
        <f>_xlfn.XLOOKUP(Table1[[#This Row],[EducationField]],Table7[EducationField],Table7[Id_EducationField])</f>
        <v>EF003</v>
      </c>
      <c r="M551" t="s">
        <v>42</v>
      </c>
      <c r="N551" t="str">
        <f>_xlfn.XLOOKUP(Table1[[#This Row],[EmployeeNumber]],Table4[EmployeeNumber],Table4[Id_Employee])</f>
        <v>EMP00550</v>
      </c>
      <c r="O551">
        <v>757</v>
      </c>
      <c r="P551" t="str">
        <f>_xlfn.XLOOKUP(Table1[[#This Row],[EnvironmentSatisfaction]],Table9[EnvironmentSatisfaction],Table9[Id_EnviromentSatisfaction])</f>
        <v>ES002</v>
      </c>
      <c r="Q551">
        <v>2</v>
      </c>
      <c r="R551" t="str">
        <f>_xlfn.XLOOKUP(Table1[[#This Row],[EnvironmentSatisfaction]],Table9[EnvironmentSatisfaction],Table9[Deskripsi])</f>
        <v>Medium</v>
      </c>
      <c r="S551" t="str">
        <f>_xlfn.XLOOKUP(Table1[[#This Row],[Gender]],Table10[Gender],Table10[Id_Gender])</f>
        <v>G001</v>
      </c>
      <c r="T551" t="s">
        <v>45</v>
      </c>
      <c r="U551">
        <v>96</v>
      </c>
      <c r="V551" t="str">
        <f>_xlfn.XLOOKUP(Table1[[#This Row],[JobInvolvement]],Table11[JobInvolvement],Table11[Id_JobInvolvement])</f>
        <v>JI003</v>
      </c>
      <c r="W551">
        <v>3</v>
      </c>
      <c r="X551" t="str">
        <f>_xlfn.XLOOKUP(Table1[[#This Row],[JobLevel]],Table12[JobLevel],Table12[Id_JobLevel])</f>
        <v>JL002</v>
      </c>
      <c r="Y551">
        <v>2</v>
      </c>
      <c r="Z551" t="str">
        <f>_xlfn.XLOOKUP(Table1[[#This Row],[JobRole]],Table13[JobRole],Table13[Id_JobRole])</f>
        <v>JR005</v>
      </c>
      <c r="AA551" t="s">
        <v>51</v>
      </c>
      <c r="AB551" t="str">
        <f>_xlfn.XLOOKUP(Table1[[#This Row],[JobSatisfaction]],Table14[JobSatisfaction],Table14[Id_JobSatisfaction])</f>
        <v>JS003</v>
      </c>
      <c r="AC551">
        <v>3</v>
      </c>
      <c r="AD551" t="str">
        <f>_xlfn.XLOOKUP(Table1[[#This Row],[JobSatisfaction]],Table14[JobSatisfaction],Table14[Deskripsi])</f>
        <v>High</v>
      </c>
      <c r="AE551" t="str">
        <f>_xlfn.XLOOKUP(Table1[[#This Row],[MaritalStatus]],Table15[MaritalStatus],Table15[Id_MaritalStatus])</f>
        <v>MS001</v>
      </c>
      <c r="AF551" t="s">
        <v>55</v>
      </c>
      <c r="AG551">
        <v>6142</v>
      </c>
      <c r="AH551">
        <v>7360</v>
      </c>
      <c r="AI551">
        <v>3</v>
      </c>
      <c r="AJ551" t="str">
        <f>_xlfn.XLOOKUP(Table1[[#This Row],[OverTime]],Table16[OverTime],Table16[Id_OverTime])</f>
        <v>OT002</v>
      </c>
      <c r="AK551" t="s">
        <v>33</v>
      </c>
      <c r="AL551">
        <v>11</v>
      </c>
      <c r="AM551" t="str">
        <f>_xlfn.XLOOKUP(Table1[[#This Row],[PerformanceRating]],Table17[PerformanceRating],Table17[Id_PerformanceRating])</f>
        <v>PR003</v>
      </c>
      <c r="AN551">
        <v>3</v>
      </c>
      <c r="AO551" t="str">
        <f>_xlfn.XLOOKUP(Table1[[#This Row],[PerformanceRating]],Table17[PerformanceRating],Table17[Deskripsi])</f>
        <v>Excellent</v>
      </c>
      <c r="AP551" t="str">
        <f>_xlfn.XLOOKUP(Table1[[#This Row],[RelationshipSatisfaction]],Table18[RelationshipSatisfaction],Table18[Id_RelationshipSatisfaction])</f>
        <v>RS004</v>
      </c>
      <c r="AQ551">
        <v>4</v>
      </c>
      <c r="AR551" t="str">
        <f>_xlfn.XLOOKUP(Table1[[#This Row],[RelationshipSatisfaction]],Table18[RelationshipSatisfaction],Table18[Deskripsi])</f>
        <v>Very High</v>
      </c>
      <c r="AS551" t="str">
        <f>_xlfn.XLOOKUP(Table1[[#This Row],[StockOptionLevel]],Table19[StockOptionLevel],Table19[Id_StockOptionLevel])</f>
        <v>SOL001</v>
      </c>
      <c r="AT551">
        <v>0</v>
      </c>
      <c r="AU551" t="str">
        <f>_xlfn.XLOOKUP(Table1[[#This Row],[StockOptionLevel]],Table19[StockOptionLevel],Table19[Deskripsi])</f>
        <v>Non-Eligible</v>
      </c>
      <c r="AV551">
        <v>10</v>
      </c>
      <c r="AW551">
        <v>2</v>
      </c>
      <c r="AX551" t="str">
        <f>_xlfn.XLOOKUP(Table1[[#This Row],[WorkLifeBalance]],Table20[WorkLifeBalance],Table20[Id_WorkLifeBalance])</f>
        <v>WLB002</v>
      </c>
      <c r="AY551">
        <v>3</v>
      </c>
      <c r="AZ551" t="str">
        <f>_xlfn.XLOOKUP(Table1[[#This Row],[WorkLifeBalance]],Table20[WorkLifeBalance],Table20[Deskripsi])</f>
        <v>Good</v>
      </c>
      <c r="BA551">
        <v>5</v>
      </c>
      <c r="BB551">
        <v>1</v>
      </c>
      <c r="BC551">
        <v>4</v>
      </c>
      <c r="BD551">
        <v>3</v>
      </c>
    </row>
    <row r="552" spans="1:56" x14ac:dyDescent="0.25">
      <c r="A552">
        <v>23</v>
      </c>
      <c r="B552" t="str">
        <f>_xlfn.XLOOKUP(Table1[[#This Row],[Attrition]],Table2[Attrition],Table2[Id_Attrition])</f>
        <v>A002</v>
      </c>
      <c r="C552" t="s">
        <v>33</v>
      </c>
      <c r="D552" t="str">
        <f>_xlfn.XLOOKUP(Table1[[#This Row],[BusinessTravel]],Table5[BusinessTravel],Table5[Id_BusinessTravel])</f>
        <v>BS001</v>
      </c>
      <c r="E552" t="s">
        <v>34</v>
      </c>
      <c r="F552">
        <v>650</v>
      </c>
      <c r="G552" t="str">
        <f>_xlfn.XLOOKUP(Table1[[#This Row],[Department]],Table6[Department],Table6[Id_Departement])</f>
        <v>D002</v>
      </c>
      <c r="H552" t="s">
        <v>38</v>
      </c>
      <c r="I552">
        <v>9</v>
      </c>
      <c r="J552" t="str">
        <f>_xlfn.XLOOKUP(Table1[[#This Row],[Education]],Table8[Education],Table8[Id_Education])</f>
        <v>E001</v>
      </c>
      <c r="K552">
        <v>1</v>
      </c>
      <c r="L552" t="str">
        <f>_xlfn.XLOOKUP(Table1[[#This Row],[EducationField]],Table7[EducationField],Table7[Id_EducationField])</f>
        <v>EF003</v>
      </c>
      <c r="M552" t="s">
        <v>42</v>
      </c>
      <c r="N552" t="str">
        <f>_xlfn.XLOOKUP(Table1[[#This Row],[EmployeeNumber]],Table4[EmployeeNumber],Table4[Id_Employee])</f>
        <v>EMP00551</v>
      </c>
      <c r="O552">
        <v>758</v>
      </c>
      <c r="P552" t="str">
        <f>_xlfn.XLOOKUP(Table1[[#This Row],[EnvironmentSatisfaction]],Table9[EnvironmentSatisfaction],Table9[Id_EnviromentSatisfaction])</f>
        <v>ES002</v>
      </c>
      <c r="Q552">
        <v>2</v>
      </c>
      <c r="R552" t="str">
        <f>_xlfn.XLOOKUP(Table1[[#This Row],[EnvironmentSatisfaction]],Table9[EnvironmentSatisfaction],Table9[Deskripsi])</f>
        <v>Medium</v>
      </c>
      <c r="S552" t="str">
        <f>_xlfn.XLOOKUP(Table1[[#This Row],[Gender]],Table10[Gender],Table10[Id_Gender])</f>
        <v>G002</v>
      </c>
      <c r="T552" t="s">
        <v>46</v>
      </c>
      <c r="U552">
        <v>37</v>
      </c>
      <c r="V552" t="str">
        <f>_xlfn.XLOOKUP(Table1[[#This Row],[JobInvolvement]],Table11[JobInvolvement],Table11[Id_JobInvolvement])</f>
        <v>JI003</v>
      </c>
      <c r="W552">
        <v>3</v>
      </c>
      <c r="X552" t="str">
        <f>_xlfn.XLOOKUP(Table1[[#This Row],[JobLevel]],Table12[JobLevel],Table12[Id_JobLevel])</f>
        <v>JL001</v>
      </c>
      <c r="Y552">
        <v>1</v>
      </c>
      <c r="Z552" t="str">
        <f>_xlfn.XLOOKUP(Table1[[#This Row],[JobRole]],Table13[JobRole],Table13[Id_JobRole])</f>
        <v>JR003</v>
      </c>
      <c r="AA552" t="s">
        <v>49</v>
      </c>
      <c r="AB552" t="str">
        <f>_xlfn.XLOOKUP(Table1[[#This Row],[JobSatisfaction]],Table14[JobSatisfaction],Table14[Id_JobSatisfaction])</f>
        <v>JS001</v>
      </c>
      <c r="AC552">
        <v>1</v>
      </c>
      <c r="AD552" t="str">
        <f>_xlfn.XLOOKUP(Table1[[#This Row],[JobSatisfaction]],Table14[JobSatisfaction],Table14[Deskripsi])</f>
        <v>Low</v>
      </c>
      <c r="AE552" t="str">
        <f>_xlfn.XLOOKUP(Table1[[#This Row],[MaritalStatus]],Table15[MaritalStatus],Table15[Id_MaritalStatus])</f>
        <v>MS002</v>
      </c>
      <c r="AF552" t="s">
        <v>56</v>
      </c>
      <c r="AG552">
        <v>2500</v>
      </c>
      <c r="AH552">
        <v>4344</v>
      </c>
      <c r="AI552">
        <v>1</v>
      </c>
      <c r="AJ552" t="str">
        <f>_xlfn.XLOOKUP(Table1[[#This Row],[OverTime]],Table16[OverTime],Table16[Id_OverTime])</f>
        <v>OT002</v>
      </c>
      <c r="AK552" t="s">
        <v>33</v>
      </c>
      <c r="AL552">
        <v>14</v>
      </c>
      <c r="AM552" t="str">
        <f>_xlfn.XLOOKUP(Table1[[#This Row],[PerformanceRating]],Table17[PerformanceRating],Table17[Id_PerformanceRating])</f>
        <v>PR003</v>
      </c>
      <c r="AN552">
        <v>3</v>
      </c>
      <c r="AO552" t="str">
        <f>_xlfn.XLOOKUP(Table1[[#This Row],[PerformanceRating]],Table17[PerformanceRating],Table17[Deskripsi])</f>
        <v>Excellent</v>
      </c>
      <c r="AP552" t="str">
        <f>_xlfn.XLOOKUP(Table1[[#This Row],[RelationshipSatisfaction]],Table18[RelationshipSatisfaction],Table18[Id_RelationshipSatisfaction])</f>
        <v>RS004</v>
      </c>
      <c r="AQ552">
        <v>4</v>
      </c>
      <c r="AR552" t="str">
        <f>_xlfn.XLOOKUP(Table1[[#This Row],[RelationshipSatisfaction]],Table18[RelationshipSatisfaction],Table18[Deskripsi])</f>
        <v>Very High</v>
      </c>
      <c r="AS552" t="str">
        <f>_xlfn.XLOOKUP(Table1[[#This Row],[StockOptionLevel]],Table19[StockOptionLevel],Table19[Id_StockOptionLevel])</f>
        <v>SOL002</v>
      </c>
      <c r="AT552">
        <v>1</v>
      </c>
      <c r="AU552" t="str">
        <f>_xlfn.XLOOKUP(Table1[[#This Row],[StockOptionLevel]],Table19[StockOptionLevel],Table19[Deskripsi])</f>
        <v>Standard</v>
      </c>
      <c r="AV552">
        <v>5</v>
      </c>
      <c r="AW552">
        <v>2</v>
      </c>
      <c r="AX552" t="str">
        <f>_xlfn.XLOOKUP(Table1[[#This Row],[WorkLifeBalance]],Table20[WorkLifeBalance],Table20[Id_WorkLifeBalance])</f>
        <v>WLB004</v>
      </c>
      <c r="AY552">
        <v>4</v>
      </c>
      <c r="AZ552" t="str">
        <f>_xlfn.XLOOKUP(Table1[[#This Row],[WorkLifeBalance]],Table20[WorkLifeBalance],Table20[Deskripsi])</f>
        <v>Best</v>
      </c>
      <c r="BA552">
        <v>4</v>
      </c>
      <c r="BB552">
        <v>3</v>
      </c>
      <c r="BC552">
        <v>0</v>
      </c>
      <c r="BD552">
        <v>2</v>
      </c>
    </row>
    <row r="553" spans="1:56" x14ac:dyDescent="0.25">
      <c r="A553">
        <v>39</v>
      </c>
      <c r="B553" t="str">
        <f>_xlfn.XLOOKUP(Table1[[#This Row],[Attrition]],Table2[Attrition],Table2[Id_Attrition])</f>
        <v>A002</v>
      </c>
      <c r="C553" t="s">
        <v>33</v>
      </c>
      <c r="D553" t="str">
        <f>_xlfn.XLOOKUP(Table1[[#This Row],[BusinessTravel]],Table5[BusinessTravel],Table5[Id_BusinessTravel])</f>
        <v>BS001</v>
      </c>
      <c r="E553" t="s">
        <v>34</v>
      </c>
      <c r="F553">
        <v>141</v>
      </c>
      <c r="G553" t="str">
        <f>_xlfn.XLOOKUP(Table1[[#This Row],[Department]],Table6[Department],Table6[Id_Departement])</f>
        <v>D003</v>
      </c>
      <c r="H553" t="s">
        <v>39</v>
      </c>
      <c r="I553">
        <v>3</v>
      </c>
      <c r="J553" t="str">
        <f>_xlfn.XLOOKUP(Table1[[#This Row],[Education]],Table8[Education],Table8[Id_Education])</f>
        <v>E003</v>
      </c>
      <c r="K553">
        <v>3</v>
      </c>
      <c r="L553" t="str">
        <f>_xlfn.XLOOKUP(Table1[[#This Row],[EducationField]],Table7[EducationField],Table7[Id_EducationField])</f>
        <v>EF006</v>
      </c>
      <c r="M553" t="s">
        <v>39</v>
      </c>
      <c r="N553" t="str">
        <f>_xlfn.XLOOKUP(Table1[[#This Row],[EmployeeNumber]],Table4[EmployeeNumber],Table4[Id_Employee])</f>
        <v>EMP00552</v>
      </c>
      <c r="O553">
        <v>760</v>
      </c>
      <c r="P553" t="str">
        <f>_xlfn.XLOOKUP(Table1[[#This Row],[EnvironmentSatisfaction]],Table9[EnvironmentSatisfaction],Table9[Id_EnviromentSatisfaction])</f>
        <v>ES003</v>
      </c>
      <c r="Q553">
        <v>3</v>
      </c>
      <c r="R553" t="str">
        <f>_xlfn.XLOOKUP(Table1[[#This Row],[EnvironmentSatisfaction]],Table9[EnvironmentSatisfaction],Table9[Deskripsi])</f>
        <v>High</v>
      </c>
      <c r="S553" t="str">
        <f>_xlfn.XLOOKUP(Table1[[#This Row],[Gender]],Table10[Gender],Table10[Id_Gender])</f>
        <v>G001</v>
      </c>
      <c r="T553" t="s">
        <v>45</v>
      </c>
      <c r="U553">
        <v>44</v>
      </c>
      <c r="V553" t="str">
        <f>_xlfn.XLOOKUP(Table1[[#This Row],[JobInvolvement]],Table11[JobInvolvement],Table11[Id_JobInvolvement])</f>
        <v>JI004</v>
      </c>
      <c r="W553">
        <v>4</v>
      </c>
      <c r="X553" t="str">
        <f>_xlfn.XLOOKUP(Table1[[#This Row],[JobLevel]],Table12[JobLevel],Table12[Id_JobLevel])</f>
        <v>JL002</v>
      </c>
      <c r="Y553">
        <v>2</v>
      </c>
      <c r="Z553" t="str">
        <f>_xlfn.XLOOKUP(Table1[[#This Row],[JobRole]],Table13[JobRole],Table13[Id_JobRole])</f>
        <v>JR009</v>
      </c>
      <c r="AA553" t="s">
        <v>39</v>
      </c>
      <c r="AB553" t="str">
        <f>_xlfn.XLOOKUP(Table1[[#This Row],[JobSatisfaction]],Table14[JobSatisfaction],Table14[Id_JobSatisfaction])</f>
        <v>JS002</v>
      </c>
      <c r="AC553">
        <v>2</v>
      </c>
      <c r="AD553" t="str">
        <f>_xlfn.XLOOKUP(Table1[[#This Row],[JobSatisfaction]],Table14[JobSatisfaction],Table14[Deskripsi])</f>
        <v>Medium</v>
      </c>
      <c r="AE553" t="str">
        <f>_xlfn.XLOOKUP(Table1[[#This Row],[MaritalStatus]],Table15[MaritalStatus],Table15[Id_MaritalStatus])</f>
        <v>MS002</v>
      </c>
      <c r="AF553" t="s">
        <v>56</v>
      </c>
      <c r="AG553">
        <v>6389</v>
      </c>
      <c r="AH553">
        <v>18767</v>
      </c>
      <c r="AI553">
        <v>9</v>
      </c>
      <c r="AJ553" t="str">
        <f>_xlfn.XLOOKUP(Table1[[#This Row],[OverTime]],Table16[OverTime],Table16[Id_OverTime])</f>
        <v>OT002</v>
      </c>
      <c r="AK553" t="s">
        <v>33</v>
      </c>
      <c r="AL553">
        <v>15</v>
      </c>
      <c r="AM553" t="str">
        <f>_xlfn.XLOOKUP(Table1[[#This Row],[PerformanceRating]],Table17[PerformanceRating],Table17[Id_PerformanceRating])</f>
        <v>PR003</v>
      </c>
      <c r="AN553">
        <v>3</v>
      </c>
      <c r="AO553" t="str">
        <f>_xlfn.XLOOKUP(Table1[[#This Row],[PerformanceRating]],Table17[PerformanceRating],Table17[Deskripsi])</f>
        <v>Excellent</v>
      </c>
      <c r="AP553" t="str">
        <f>_xlfn.XLOOKUP(Table1[[#This Row],[RelationshipSatisfaction]],Table18[RelationshipSatisfaction],Table18[Id_RelationshipSatisfaction])</f>
        <v>RS003</v>
      </c>
      <c r="AQ553">
        <v>3</v>
      </c>
      <c r="AR553" t="str">
        <f>_xlfn.XLOOKUP(Table1[[#This Row],[RelationshipSatisfaction]],Table18[RelationshipSatisfaction],Table18[Deskripsi])</f>
        <v>High</v>
      </c>
      <c r="AS553" t="str">
        <f>_xlfn.XLOOKUP(Table1[[#This Row],[StockOptionLevel]],Table19[StockOptionLevel],Table19[Id_StockOptionLevel])</f>
        <v>SOL002</v>
      </c>
      <c r="AT553">
        <v>1</v>
      </c>
      <c r="AU553" t="str">
        <f>_xlfn.XLOOKUP(Table1[[#This Row],[StockOptionLevel]],Table19[StockOptionLevel],Table19[Deskripsi])</f>
        <v>Standard</v>
      </c>
      <c r="AV553">
        <v>12</v>
      </c>
      <c r="AW553">
        <v>3</v>
      </c>
      <c r="AX553" t="str">
        <f>_xlfn.XLOOKUP(Table1[[#This Row],[WorkLifeBalance]],Table20[WorkLifeBalance],Table20[Id_WorkLifeBalance])</f>
        <v>WLB001</v>
      </c>
      <c r="AY553">
        <v>1</v>
      </c>
      <c r="AZ553" t="str">
        <f>_xlfn.XLOOKUP(Table1[[#This Row],[WorkLifeBalance]],Table20[WorkLifeBalance],Table20[Deskripsi])</f>
        <v>Bad</v>
      </c>
      <c r="BA553">
        <v>8</v>
      </c>
      <c r="BB553">
        <v>3</v>
      </c>
      <c r="BC553">
        <v>3</v>
      </c>
      <c r="BD553">
        <v>6</v>
      </c>
    </row>
    <row r="554" spans="1:56" x14ac:dyDescent="0.25">
      <c r="A554">
        <v>56</v>
      </c>
      <c r="B554" t="str">
        <f>_xlfn.XLOOKUP(Table1[[#This Row],[Attrition]],Table2[Attrition],Table2[Id_Attrition])</f>
        <v>A002</v>
      </c>
      <c r="C554" t="s">
        <v>33</v>
      </c>
      <c r="D554" t="str">
        <f>_xlfn.XLOOKUP(Table1[[#This Row],[BusinessTravel]],Table5[BusinessTravel],Table5[Id_BusinessTravel])</f>
        <v>BS001</v>
      </c>
      <c r="E554" t="s">
        <v>34</v>
      </c>
      <c r="F554">
        <v>832</v>
      </c>
      <c r="G554" t="str">
        <f>_xlfn.XLOOKUP(Table1[[#This Row],[Department]],Table6[Department],Table6[Id_Departement])</f>
        <v>D002</v>
      </c>
      <c r="H554" t="s">
        <v>38</v>
      </c>
      <c r="I554">
        <v>9</v>
      </c>
      <c r="J554" t="str">
        <f>_xlfn.XLOOKUP(Table1[[#This Row],[Education]],Table8[Education],Table8[Id_Education])</f>
        <v>E003</v>
      </c>
      <c r="K554">
        <v>3</v>
      </c>
      <c r="L554" t="str">
        <f>_xlfn.XLOOKUP(Table1[[#This Row],[EducationField]],Table7[EducationField],Table7[Id_EducationField])</f>
        <v>EF003</v>
      </c>
      <c r="M554" t="s">
        <v>42</v>
      </c>
      <c r="N554" t="str">
        <f>_xlfn.XLOOKUP(Table1[[#This Row],[EmployeeNumber]],Table4[EmployeeNumber],Table4[Id_Employee])</f>
        <v>EMP00553</v>
      </c>
      <c r="O554">
        <v>762</v>
      </c>
      <c r="P554" t="str">
        <f>_xlfn.XLOOKUP(Table1[[#This Row],[EnvironmentSatisfaction]],Table9[EnvironmentSatisfaction],Table9[Id_EnviromentSatisfaction])</f>
        <v>ES003</v>
      </c>
      <c r="Q554">
        <v>3</v>
      </c>
      <c r="R554" t="str">
        <f>_xlfn.XLOOKUP(Table1[[#This Row],[EnvironmentSatisfaction]],Table9[EnvironmentSatisfaction],Table9[Deskripsi])</f>
        <v>High</v>
      </c>
      <c r="S554" t="str">
        <f>_xlfn.XLOOKUP(Table1[[#This Row],[Gender]],Table10[Gender],Table10[Id_Gender])</f>
        <v>G002</v>
      </c>
      <c r="T554" t="s">
        <v>46</v>
      </c>
      <c r="U554">
        <v>81</v>
      </c>
      <c r="V554" t="str">
        <f>_xlfn.XLOOKUP(Table1[[#This Row],[JobInvolvement]],Table11[JobInvolvement],Table11[Id_JobInvolvement])</f>
        <v>JI003</v>
      </c>
      <c r="W554">
        <v>3</v>
      </c>
      <c r="X554" t="str">
        <f>_xlfn.XLOOKUP(Table1[[#This Row],[JobLevel]],Table12[JobLevel],Table12[Id_JobLevel])</f>
        <v>JL004</v>
      </c>
      <c r="Y554">
        <v>4</v>
      </c>
      <c r="Z554" t="str">
        <f>_xlfn.XLOOKUP(Table1[[#This Row],[JobRole]],Table13[JobRole],Table13[Id_JobRole])</f>
        <v>JR005</v>
      </c>
      <c r="AA554" t="s">
        <v>51</v>
      </c>
      <c r="AB554" t="str">
        <f>_xlfn.XLOOKUP(Table1[[#This Row],[JobSatisfaction]],Table14[JobSatisfaction],Table14[Id_JobSatisfaction])</f>
        <v>JS004</v>
      </c>
      <c r="AC554">
        <v>4</v>
      </c>
      <c r="AD554" t="str">
        <f>_xlfn.XLOOKUP(Table1[[#This Row],[JobSatisfaction]],Table14[JobSatisfaction],Table14[Deskripsi])</f>
        <v>Very High</v>
      </c>
      <c r="AE554" t="str">
        <f>_xlfn.XLOOKUP(Table1[[#This Row],[MaritalStatus]],Table15[MaritalStatus],Table15[Id_MaritalStatus])</f>
        <v>MS002</v>
      </c>
      <c r="AF554" t="s">
        <v>56</v>
      </c>
      <c r="AG554">
        <v>11103</v>
      </c>
      <c r="AH554">
        <v>20420</v>
      </c>
      <c r="AI554">
        <v>7</v>
      </c>
      <c r="AJ554" t="str">
        <f>_xlfn.XLOOKUP(Table1[[#This Row],[OverTime]],Table16[OverTime],Table16[Id_OverTime])</f>
        <v>OT002</v>
      </c>
      <c r="AK554" t="s">
        <v>33</v>
      </c>
      <c r="AL554">
        <v>11</v>
      </c>
      <c r="AM554" t="str">
        <f>_xlfn.XLOOKUP(Table1[[#This Row],[PerformanceRating]],Table17[PerformanceRating],Table17[Id_PerformanceRating])</f>
        <v>PR003</v>
      </c>
      <c r="AN554">
        <v>3</v>
      </c>
      <c r="AO554" t="str">
        <f>_xlfn.XLOOKUP(Table1[[#This Row],[PerformanceRating]],Table17[PerformanceRating],Table17[Deskripsi])</f>
        <v>Excellent</v>
      </c>
      <c r="AP554" t="str">
        <f>_xlfn.XLOOKUP(Table1[[#This Row],[RelationshipSatisfaction]],Table18[RelationshipSatisfaction],Table18[Id_RelationshipSatisfaction])</f>
        <v>RS003</v>
      </c>
      <c r="AQ554">
        <v>3</v>
      </c>
      <c r="AR554" t="str">
        <f>_xlfn.XLOOKUP(Table1[[#This Row],[RelationshipSatisfaction]],Table18[RelationshipSatisfaction],Table18[Deskripsi])</f>
        <v>High</v>
      </c>
      <c r="AS554" t="str">
        <f>_xlfn.XLOOKUP(Table1[[#This Row],[StockOptionLevel]],Table19[StockOptionLevel],Table19[Id_StockOptionLevel])</f>
        <v>SOL001</v>
      </c>
      <c r="AT554">
        <v>0</v>
      </c>
      <c r="AU554" t="str">
        <f>_xlfn.XLOOKUP(Table1[[#This Row],[StockOptionLevel]],Table19[StockOptionLevel],Table19[Deskripsi])</f>
        <v>Non-Eligible</v>
      </c>
      <c r="AV554">
        <v>30</v>
      </c>
      <c r="AW554">
        <v>1</v>
      </c>
      <c r="AX554" t="str">
        <f>_xlfn.XLOOKUP(Table1[[#This Row],[WorkLifeBalance]],Table20[WorkLifeBalance],Table20[Id_WorkLifeBalance])</f>
        <v>WLB003</v>
      </c>
      <c r="AY554">
        <v>2</v>
      </c>
      <c r="AZ554" t="str">
        <f>_xlfn.XLOOKUP(Table1[[#This Row],[WorkLifeBalance]],Table20[WorkLifeBalance],Table20[Deskripsi])</f>
        <v>Better</v>
      </c>
      <c r="BA554">
        <v>10</v>
      </c>
      <c r="BB554">
        <v>7</v>
      </c>
      <c r="BC554">
        <v>1</v>
      </c>
      <c r="BD554">
        <v>1</v>
      </c>
    </row>
    <row r="555" spans="1:56" x14ac:dyDescent="0.25">
      <c r="A555">
        <v>40</v>
      </c>
      <c r="B555" t="str">
        <f>_xlfn.XLOOKUP(Table1[[#This Row],[Attrition]],Table2[Attrition],Table2[Id_Attrition])</f>
        <v>A002</v>
      </c>
      <c r="C555" t="s">
        <v>33</v>
      </c>
      <c r="D555" t="str">
        <f>_xlfn.XLOOKUP(Table1[[#This Row],[BusinessTravel]],Table5[BusinessTravel],Table5[Id_BusinessTravel])</f>
        <v>BS001</v>
      </c>
      <c r="E555" t="s">
        <v>34</v>
      </c>
      <c r="F555">
        <v>804</v>
      </c>
      <c r="G555" t="str">
        <f>_xlfn.XLOOKUP(Table1[[#This Row],[Department]],Table6[Department],Table6[Id_Departement])</f>
        <v>D002</v>
      </c>
      <c r="H555" t="s">
        <v>38</v>
      </c>
      <c r="I555">
        <v>2</v>
      </c>
      <c r="J555" t="str">
        <f>_xlfn.XLOOKUP(Table1[[#This Row],[Education]],Table8[Education],Table8[Id_Education])</f>
        <v>E001</v>
      </c>
      <c r="K555">
        <v>1</v>
      </c>
      <c r="L555" t="str">
        <f>_xlfn.XLOOKUP(Table1[[#This Row],[EducationField]],Table7[EducationField],Table7[Id_EducationField])</f>
        <v>EF003</v>
      </c>
      <c r="M555" t="s">
        <v>42</v>
      </c>
      <c r="N555" t="str">
        <f>_xlfn.XLOOKUP(Table1[[#This Row],[EmployeeNumber]],Table4[EmployeeNumber],Table4[Id_Employee])</f>
        <v>EMP00554</v>
      </c>
      <c r="O555">
        <v>763</v>
      </c>
      <c r="P555" t="str">
        <f>_xlfn.XLOOKUP(Table1[[#This Row],[EnvironmentSatisfaction]],Table9[EnvironmentSatisfaction],Table9[Id_EnviromentSatisfaction])</f>
        <v>ES004</v>
      </c>
      <c r="Q555">
        <v>4</v>
      </c>
      <c r="R555" t="str">
        <f>_xlfn.XLOOKUP(Table1[[#This Row],[EnvironmentSatisfaction]],Table9[EnvironmentSatisfaction],Table9[Deskripsi])</f>
        <v>Very High</v>
      </c>
      <c r="S555" t="str">
        <f>_xlfn.XLOOKUP(Table1[[#This Row],[Gender]],Table10[Gender],Table10[Id_Gender])</f>
        <v>G001</v>
      </c>
      <c r="T555" t="s">
        <v>45</v>
      </c>
      <c r="U555">
        <v>86</v>
      </c>
      <c r="V555" t="str">
        <f>_xlfn.XLOOKUP(Table1[[#This Row],[JobInvolvement]],Table11[JobInvolvement],Table11[Id_JobInvolvement])</f>
        <v>JI002</v>
      </c>
      <c r="W555">
        <v>2</v>
      </c>
      <c r="X555" t="str">
        <f>_xlfn.XLOOKUP(Table1[[#This Row],[JobLevel]],Table12[JobLevel],Table12[Id_JobLevel])</f>
        <v>JL001</v>
      </c>
      <c r="Y555">
        <v>1</v>
      </c>
      <c r="Z555" t="str">
        <f>_xlfn.XLOOKUP(Table1[[#This Row],[JobRole]],Table13[JobRole],Table13[Id_JobRole])</f>
        <v>JR002</v>
      </c>
      <c r="AA555" t="s">
        <v>48</v>
      </c>
      <c r="AB555" t="str">
        <f>_xlfn.XLOOKUP(Table1[[#This Row],[JobSatisfaction]],Table14[JobSatisfaction],Table14[Id_JobSatisfaction])</f>
        <v>JS004</v>
      </c>
      <c r="AC555">
        <v>4</v>
      </c>
      <c r="AD555" t="str">
        <f>_xlfn.XLOOKUP(Table1[[#This Row],[JobSatisfaction]],Table14[JobSatisfaction],Table14[Deskripsi])</f>
        <v>Very High</v>
      </c>
      <c r="AE555" t="str">
        <f>_xlfn.XLOOKUP(Table1[[#This Row],[MaritalStatus]],Table15[MaritalStatus],Table15[Id_MaritalStatus])</f>
        <v>MS001</v>
      </c>
      <c r="AF555" t="s">
        <v>55</v>
      </c>
      <c r="AG555">
        <v>2342</v>
      </c>
      <c r="AH555">
        <v>22929</v>
      </c>
      <c r="AI555">
        <v>0</v>
      </c>
      <c r="AJ555" t="str">
        <f>_xlfn.XLOOKUP(Table1[[#This Row],[OverTime]],Table16[OverTime],Table16[Id_OverTime])</f>
        <v>OT001</v>
      </c>
      <c r="AK555" t="s">
        <v>32</v>
      </c>
      <c r="AL555">
        <v>20</v>
      </c>
      <c r="AM555" t="str">
        <f>_xlfn.XLOOKUP(Table1[[#This Row],[PerformanceRating]],Table17[PerformanceRating],Table17[Id_PerformanceRating])</f>
        <v>PR004</v>
      </c>
      <c r="AN555">
        <v>4</v>
      </c>
      <c r="AO555" t="str">
        <f>_xlfn.XLOOKUP(Table1[[#This Row],[PerformanceRating]],Table17[PerformanceRating],Table17[Deskripsi])</f>
        <v>Outstanding</v>
      </c>
      <c r="AP555" t="str">
        <f>_xlfn.XLOOKUP(Table1[[#This Row],[RelationshipSatisfaction]],Table18[RelationshipSatisfaction],Table18[Id_RelationshipSatisfaction])</f>
        <v>RS004</v>
      </c>
      <c r="AQ555">
        <v>4</v>
      </c>
      <c r="AR555" t="str">
        <f>_xlfn.XLOOKUP(Table1[[#This Row],[RelationshipSatisfaction]],Table18[RelationshipSatisfaction],Table18[Deskripsi])</f>
        <v>Very High</v>
      </c>
      <c r="AS555" t="str">
        <f>_xlfn.XLOOKUP(Table1[[#This Row],[StockOptionLevel]],Table19[StockOptionLevel],Table19[Id_StockOptionLevel])</f>
        <v>SOL001</v>
      </c>
      <c r="AT555">
        <v>0</v>
      </c>
      <c r="AU555" t="str">
        <f>_xlfn.XLOOKUP(Table1[[#This Row],[StockOptionLevel]],Table19[StockOptionLevel],Table19[Deskripsi])</f>
        <v>Non-Eligible</v>
      </c>
      <c r="AV555">
        <v>5</v>
      </c>
      <c r="AW555">
        <v>2</v>
      </c>
      <c r="AX555" t="str">
        <f>_xlfn.XLOOKUP(Table1[[#This Row],[WorkLifeBalance]],Table20[WorkLifeBalance],Table20[Id_WorkLifeBalance])</f>
        <v>WLB003</v>
      </c>
      <c r="AY555">
        <v>2</v>
      </c>
      <c r="AZ555" t="str">
        <f>_xlfn.XLOOKUP(Table1[[#This Row],[WorkLifeBalance]],Table20[WorkLifeBalance],Table20[Deskripsi])</f>
        <v>Better</v>
      </c>
      <c r="BA555">
        <v>4</v>
      </c>
      <c r="BB555">
        <v>2</v>
      </c>
      <c r="BC555">
        <v>2</v>
      </c>
      <c r="BD555">
        <v>3</v>
      </c>
    </row>
    <row r="556" spans="1:56" x14ac:dyDescent="0.25">
      <c r="A556">
        <v>27</v>
      </c>
      <c r="B556" t="str">
        <f>_xlfn.XLOOKUP(Table1[[#This Row],[Attrition]],Table2[Attrition],Table2[Id_Attrition])</f>
        <v>A002</v>
      </c>
      <c r="C556" t="s">
        <v>33</v>
      </c>
      <c r="D556" t="str">
        <f>_xlfn.XLOOKUP(Table1[[#This Row],[BusinessTravel]],Table5[BusinessTravel],Table5[Id_BusinessTravel])</f>
        <v>BS001</v>
      </c>
      <c r="E556" t="s">
        <v>34</v>
      </c>
      <c r="F556">
        <v>975</v>
      </c>
      <c r="G556" t="str">
        <f>_xlfn.XLOOKUP(Table1[[#This Row],[Department]],Table6[Department],Table6[Id_Departement])</f>
        <v>D002</v>
      </c>
      <c r="H556" t="s">
        <v>38</v>
      </c>
      <c r="I556">
        <v>7</v>
      </c>
      <c r="J556" t="str">
        <f>_xlfn.XLOOKUP(Table1[[#This Row],[Education]],Table8[Education],Table8[Id_Education])</f>
        <v>E003</v>
      </c>
      <c r="K556">
        <v>3</v>
      </c>
      <c r="L556" t="str">
        <f>_xlfn.XLOOKUP(Table1[[#This Row],[EducationField]],Table7[EducationField],Table7[Id_EducationField])</f>
        <v>EF003</v>
      </c>
      <c r="M556" t="s">
        <v>42</v>
      </c>
      <c r="N556" t="str">
        <f>_xlfn.XLOOKUP(Table1[[#This Row],[EmployeeNumber]],Table4[EmployeeNumber],Table4[Id_Employee])</f>
        <v>EMP00555</v>
      </c>
      <c r="O556">
        <v>764</v>
      </c>
      <c r="P556" t="str">
        <f>_xlfn.XLOOKUP(Table1[[#This Row],[EnvironmentSatisfaction]],Table9[EnvironmentSatisfaction],Table9[Id_EnviromentSatisfaction])</f>
        <v>ES004</v>
      </c>
      <c r="Q556">
        <v>4</v>
      </c>
      <c r="R556" t="str">
        <f>_xlfn.XLOOKUP(Table1[[#This Row],[EnvironmentSatisfaction]],Table9[EnvironmentSatisfaction],Table9[Deskripsi])</f>
        <v>Very High</v>
      </c>
      <c r="S556" t="str">
        <f>_xlfn.XLOOKUP(Table1[[#This Row],[Gender]],Table10[Gender],Table10[Id_Gender])</f>
        <v>G001</v>
      </c>
      <c r="T556" t="s">
        <v>45</v>
      </c>
      <c r="U556">
        <v>55</v>
      </c>
      <c r="V556" t="str">
        <f>_xlfn.XLOOKUP(Table1[[#This Row],[JobInvolvement]],Table11[JobInvolvement],Table11[Id_JobInvolvement])</f>
        <v>JI002</v>
      </c>
      <c r="W556">
        <v>2</v>
      </c>
      <c r="X556" t="str">
        <f>_xlfn.XLOOKUP(Table1[[#This Row],[JobLevel]],Table12[JobLevel],Table12[Id_JobLevel])</f>
        <v>JL002</v>
      </c>
      <c r="Y556">
        <v>2</v>
      </c>
      <c r="Z556" t="str">
        <f>_xlfn.XLOOKUP(Table1[[#This Row],[JobRole]],Table13[JobRole],Table13[Id_JobRole])</f>
        <v>JR005</v>
      </c>
      <c r="AA556" t="s">
        <v>51</v>
      </c>
      <c r="AB556" t="str">
        <f>_xlfn.XLOOKUP(Table1[[#This Row],[JobSatisfaction]],Table14[JobSatisfaction],Table14[Id_JobSatisfaction])</f>
        <v>JS001</v>
      </c>
      <c r="AC556">
        <v>1</v>
      </c>
      <c r="AD556" t="str">
        <f>_xlfn.XLOOKUP(Table1[[#This Row],[JobSatisfaction]],Table14[JobSatisfaction],Table14[Deskripsi])</f>
        <v>Low</v>
      </c>
      <c r="AE556" t="str">
        <f>_xlfn.XLOOKUP(Table1[[#This Row],[MaritalStatus]],Table15[MaritalStatus],Table15[Id_MaritalStatus])</f>
        <v>MS001</v>
      </c>
      <c r="AF556" t="s">
        <v>55</v>
      </c>
      <c r="AG556">
        <v>6811</v>
      </c>
      <c r="AH556">
        <v>23398</v>
      </c>
      <c r="AI556">
        <v>8</v>
      </c>
      <c r="AJ556" t="str">
        <f>_xlfn.XLOOKUP(Table1[[#This Row],[OverTime]],Table16[OverTime],Table16[Id_OverTime])</f>
        <v>OT002</v>
      </c>
      <c r="AK556" t="s">
        <v>33</v>
      </c>
      <c r="AL556">
        <v>19</v>
      </c>
      <c r="AM556" t="str">
        <f>_xlfn.XLOOKUP(Table1[[#This Row],[PerformanceRating]],Table17[PerformanceRating],Table17[Id_PerformanceRating])</f>
        <v>PR003</v>
      </c>
      <c r="AN556">
        <v>3</v>
      </c>
      <c r="AO556" t="str">
        <f>_xlfn.XLOOKUP(Table1[[#This Row],[PerformanceRating]],Table17[PerformanceRating],Table17[Deskripsi])</f>
        <v>Excellent</v>
      </c>
      <c r="AP556" t="str">
        <f>_xlfn.XLOOKUP(Table1[[#This Row],[RelationshipSatisfaction]],Table18[RelationshipSatisfaction],Table18[Id_RelationshipSatisfaction])</f>
        <v>RS001</v>
      </c>
      <c r="AQ556">
        <v>1</v>
      </c>
      <c r="AR556" t="str">
        <f>_xlfn.XLOOKUP(Table1[[#This Row],[RelationshipSatisfaction]],Table18[RelationshipSatisfaction],Table18[Deskripsi])</f>
        <v>Low</v>
      </c>
      <c r="AS556" t="str">
        <f>_xlfn.XLOOKUP(Table1[[#This Row],[StockOptionLevel]],Table19[StockOptionLevel],Table19[Id_StockOptionLevel])</f>
        <v>SOL001</v>
      </c>
      <c r="AT556">
        <v>0</v>
      </c>
      <c r="AU556" t="str">
        <f>_xlfn.XLOOKUP(Table1[[#This Row],[StockOptionLevel]],Table19[StockOptionLevel],Table19[Deskripsi])</f>
        <v>Non-Eligible</v>
      </c>
      <c r="AV556">
        <v>9</v>
      </c>
      <c r="AW556">
        <v>2</v>
      </c>
      <c r="AX556" t="str">
        <f>_xlfn.XLOOKUP(Table1[[#This Row],[WorkLifeBalance]],Table20[WorkLifeBalance],Table20[Id_WorkLifeBalance])</f>
        <v>WLB001</v>
      </c>
      <c r="AY556">
        <v>1</v>
      </c>
      <c r="AZ556" t="str">
        <f>_xlfn.XLOOKUP(Table1[[#This Row],[WorkLifeBalance]],Table20[WorkLifeBalance],Table20[Deskripsi])</f>
        <v>Bad</v>
      </c>
      <c r="BA556">
        <v>7</v>
      </c>
      <c r="BB556">
        <v>6</v>
      </c>
      <c r="BC556">
        <v>0</v>
      </c>
      <c r="BD556">
        <v>7</v>
      </c>
    </row>
    <row r="557" spans="1:56" x14ac:dyDescent="0.25">
      <c r="A557">
        <v>29</v>
      </c>
      <c r="B557" t="str">
        <f>_xlfn.XLOOKUP(Table1[[#This Row],[Attrition]],Table2[Attrition],Table2[Id_Attrition])</f>
        <v>A002</v>
      </c>
      <c r="C557" t="s">
        <v>33</v>
      </c>
      <c r="D557" t="str">
        <f>_xlfn.XLOOKUP(Table1[[#This Row],[BusinessTravel]],Table5[BusinessTravel],Table5[Id_BusinessTravel])</f>
        <v>BS001</v>
      </c>
      <c r="E557" t="s">
        <v>34</v>
      </c>
      <c r="F557">
        <v>1090</v>
      </c>
      <c r="G557" t="str">
        <f>_xlfn.XLOOKUP(Table1[[#This Row],[Department]],Table6[Department],Table6[Id_Departement])</f>
        <v>D001</v>
      </c>
      <c r="H557" t="s">
        <v>37</v>
      </c>
      <c r="I557">
        <v>10</v>
      </c>
      <c r="J557" t="str">
        <f>_xlfn.XLOOKUP(Table1[[#This Row],[Education]],Table8[Education],Table8[Id_Education])</f>
        <v>E003</v>
      </c>
      <c r="K557">
        <v>3</v>
      </c>
      <c r="L557" t="str">
        <f>_xlfn.XLOOKUP(Table1[[#This Row],[EducationField]],Table7[EducationField],Table7[Id_EducationField])</f>
        <v>EF004</v>
      </c>
      <c r="M557" t="s">
        <v>43</v>
      </c>
      <c r="N557" t="str">
        <f>_xlfn.XLOOKUP(Table1[[#This Row],[EmployeeNumber]],Table4[EmployeeNumber],Table4[Id_Employee])</f>
        <v>EMP00556</v>
      </c>
      <c r="O557">
        <v>766</v>
      </c>
      <c r="P557" t="str">
        <f>_xlfn.XLOOKUP(Table1[[#This Row],[EnvironmentSatisfaction]],Table9[EnvironmentSatisfaction],Table9[Id_EnviromentSatisfaction])</f>
        <v>ES004</v>
      </c>
      <c r="Q557">
        <v>4</v>
      </c>
      <c r="R557" t="str">
        <f>_xlfn.XLOOKUP(Table1[[#This Row],[EnvironmentSatisfaction]],Table9[EnvironmentSatisfaction],Table9[Deskripsi])</f>
        <v>Very High</v>
      </c>
      <c r="S557" t="str">
        <f>_xlfn.XLOOKUP(Table1[[#This Row],[Gender]],Table10[Gender],Table10[Id_Gender])</f>
        <v>G002</v>
      </c>
      <c r="T557" t="s">
        <v>46</v>
      </c>
      <c r="U557">
        <v>83</v>
      </c>
      <c r="V557" t="str">
        <f>_xlfn.XLOOKUP(Table1[[#This Row],[JobInvolvement]],Table11[JobInvolvement],Table11[Id_JobInvolvement])</f>
        <v>JI003</v>
      </c>
      <c r="W557">
        <v>3</v>
      </c>
      <c r="X557" t="str">
        <f>_xlfn.XLOOKUP(Table1[[#This Row],[JobLevel]],Table12[JobLevel],Table12[Id_JobLevel])</f>
        <v>JL001</v>
      </c>
      <c r="Y557">
        <v>1</v>
      </c>
      <c r="Z557" t="str">
        <f>_xlfn.XLOOKUP(Table1[[#This Row],[JobRole]],Table13[JobRole],Table13[Id_JobRole])</f>
        <v>JR007</v>
      </c>
      <c r="AA557" t="s">
        <v>53</v>
      </c>
      <c r="AB557" t="str">
        <f>_xlfn.XLOOKUP(Table1[[#This Row],[JobSatisfaction]],Table14[JobSatisfaction],Table14[Id_JobSatisfaction])</f>
        <v>JS002</v>
      </c>
      <c r="AC557">
        <v>2</v>
      </c>
      <c r="AD557" t="str">
        <f>_xlfn.XLOOKUP(Table1[[#This Row],[JobSatisfaction]],Table14[JobSatisfaction],Table14[Deskripsi])</f>
        <v>Medium</v>
      </c>
      <c r="AE557" t="str">
        <f>_xlfn.XLOOKUP(Table1[[#This Row],[MaritalStatus]],Table15[MaritalStatus],Table15[Id_MaritalStatus])</f>
        <v>MS003</v>
      </c>
      <c r="AF557" t="s">
        <v>57</v>
      </c>
      <c r="AG557">
        <v>2297</v>
      </c>
      <c r="AH557">
        <v>17967</v>
      </c>
      <c r="AI557">
        <v>1</v>
      </c>
      <c r="AJ557" t="str">
        <f>_xlfn.XLOOKUP(Table1[[#This Row],[OverTime]],Table16[OverTime],Table16[Id_OverTime])</f>
        <v>OT002</v>
      </c>
      <c r="AK557" t="s">
        <v>33</v>
      </c>
      <c r="AL557">
        <v>14</v>
      </c>
      <c r="AM557" t="str">
        <f>_xlfn.XLOOKUP(Table1[[#This Row],[PerformanceRating]],Table17[PerformanceRating],Table17[Id_PerformanceRating])</f>
        <v>PR003</v>
      </c>
      <c r="AN557">
        <v>3</v>
      </c>
      <c r="AO557" t="str">
        <f>_xlfn.XLOOKUP(Table1[[#This Row],[PerformanceRating]],Table17[PerformanceRating],Table17[Deskripsi])</f>
        <v>Excellent</v>
      </c>
      <c r="AP557" t="str">
        <f>_xlfn.XLOOKUP(Table1[[#This Row],[RelationshipSatisfaction]],Table18[RelationshipSatisfaction],Table18[Id_RelationshipSatisfaction])</f>
        <v>RS004</v>
      </c>
      <c r="AQ557">
        <v>4</v>
      </c>
      <c r="AR557" t="str">
        <f>_xlfn.XLOOKUP(Table1[[#This Row],[RelationshipSatisfaction]],Table18[RelationshipSatisfaction],Table18[Deskripsi])</f>
        <v>Very High</v>
      </c>
      <c r="AS557" t="str">
        <f>_xlfn.XLOOKUP(Table1[[#This Row],[StockOptionLevel]],Table19[StockOptionLevel],Table19[Id_StockOptionLevel])</f>
        <v>SOL003</v>
      </c>
      <c r="AT557">
        <v>2</v>
      </c>
      <c r="AU557" t="str">
        <f>_xlfn.XLOOKUP(Table1[[#This Row],[StockOptionLevel]],Table19[StockOptionLevel],Table19[Deskripsi])</f>
        <v>Intermediate</v>
      </c>
      <c r="AV557">
        <v>2</v>
      </c>
      <c r="AW557">
        <v>2</v>
      </c>
      <c r="AX557" t="str">
        <f>_xlfn.XLOOKUP(Table1[[#This Row],[WorkLifeBalance]],Table20[WorkLifeBalance],Table20[Id_WorkLifeBalance])</f>
        <v>WLB002</v>
      </c>
      <c r="AY557">
        <v>3</v>
      </c>
      <c r="AZ557" t="str">
        <f>_xlfn.XLOOKUP(Table1[[#This Row],[WorkLifeBalance]],Table20[WorkLifeBalance],Table20[Deskripsi])</f>
        <v>Good</v>
      </c>
      <c r="BA557">
        <v>2</v>
      </c>
      <c r="BB557">
        <v>2</v>
      </c>
      <c r="BC557">
        <v>2</v>
      </c>
      <c r="BD557">
        <v>2</v>
      </c>
    </row>
    <row r="558" spans="1:56" x14ac:dyDescent="0.25">
      <c r="A558">
        <v>53</v>
      </c>
      <c r="B558" t="str">
        <f>_xlfn.XLOOKUP(Table1[[#This Row],[Attrition]],Table2[Attrition],Table2[Id_Attrition])</f>
        <v>A002</v>
      </c>
      <c r="C558" t="s">
        <v>33</v>
      </c>
      <c r="D558" t="str">
        <f>_xlfn.XLOOKUP(Table1[[#This Row],[BusinessTravel]],Table5[BusinessTravel],Table5[Id_BusinessTravel])</f>
        <v>BS001</v>
      </c>
      <c r="E558" t="s">
        <v>34</v>
      </c>
      <c r="F558">
        <v>346</v>
      </c>
      <c r="G558" t="str">
        <f>_xlfn.XLOOKUP(Table1[[#This Row],[Department]],Table6[Department],Table6[Id_Departement])</f>
        <v>D002</v>
      </c>
      <c r="H558" t="s">
        <v>38</v>
      </c>
      <c r="I558">
        <v>6</v>
      </c>
      <c r="J558" t="str">
        <f>_xlfn.XLOOKUP(Table1[[#This Row],[Education]],Table8[Education],Table8[Id_Education])</f>
        <v>E003</v>
      </c>
      <c r="K558">
        <v>3</v>
      </c>
      <c r="L558" t="str">
        <f>_xlfn.XLOOKUP(Table1[[#This Row],[EducationField]],Table7[EducationField],Table7[Id_EducationField])</f>
        <v>EF001</v>
      </c>
      <c r="M558" t="s">
        <v>40</v>
      </c>
      <c r="N558" t="str">
        <f>_xlfn.XLOOKUP(Table1[[#This Row],[EmployeeNumber]],Table4[EmployeeNumber],Table4[Id_Employee])</f>
        <v>EMP00557</v>
      </c>
      <c r="O558">
        <v>769</v>
      </c>
      <c r="P558" t="str">
        <f>_xlfn.XLOOKUP(Table1[[#This Row],[EnvironmentSatisfaction]],Table9[EnvironmentSatisfaction],Table9[Id_EnviromentSatisfaction])</f>
        <v>ES004</v>
      </c>
      <c r="Q558">
        <v>4</v>
      </c>
      <c r="R558" t="str">
        <f>_xlfn.XLOOKUP(Table1[[#This Row],[EnvironmentSatisfaction]],Table9[EnvironmentSatisfaction],Table9[Deskripsi])</f>
        <v>Very High</v>
      </c>
      <c r="S558" t="str">
        <f>_xlfn.XLOOKUP(Table1[[#This Row],[Gender]],Table10[Gender],Table10[Id_Gender])</f>
        <v>G002</v>
      </c>
      <c r="T558" t="s">
        <v>46</v>
      </c>
      <c r="U558">
        <v>86</v>
      </c>
      <c r="V558" t="str">
        <f>_xlfn.XLOOKUP(Table1[[#This Row],[JobInvolvement]],Table11[JobInvolvement],Table11[Id_JobInvolvement])</f>
        <v>JI003</v>
      </c>
      <c r="W558">
        <v>3</v>
      </c>
      <c r="X558" t="str">
        <f>_xlfn.XLOOKUP(Table1[[#This Row],[JobLevel]],Table12[JobLevel],Table12[Id_JobLevel])</f>
        <v>JL002</v>
      </c>
      <c r="Y558">
        <v>2</v>
      </c>
      <c r="Z558" t="str">
        <f>_xlfn.XLOOKUP(Table1[[#This Row],[JobRole]],Table13[JobRole],Table13[Id_JobRole])</f>
        <v>JR003</v>
      </c>
      <c r="AA558" t="s">
        <v>49</v>
      </c>
      <c r="AB558" t="str">
        <f>_xlfn.XLOOKUP(Table1[[#This Row],[JobSatisfaction]],Table14[JobSatisfaction],Table14[Id_JobSatisfaction])</f>
        <v>JS004</v>
      </c>
      <c r="AC558">
        <v>4</v>
      </c>
      <c r="AD558" t="str">
        <f>_xlfn.XLOOKUP(Table1[[#This Row],[JobSatisfaction]],Table14[JobSatisfaction],Table14[Deskripsi])</f>
        <v>Very High</v>
      </c>
      <c r="AE558" t="str">
        <f>_xlfn.XLOOKUP(Table1[[#This Row],[MaritalStatus]],Table15[MaritalStatus],Table15[Id_MaritalStatus])</f>
        <v>MS001</v>
      </c>
      <c r="AF558" t="s">
        <v>55</v>
      </c>
      <c r="AG558">
        <v>2450</v>
      </c>
      <c r="AH558">
        <v>10919</v>
      </c>
      <c r="AI558">
        <v>2</v>
      </c>
      <c r="AJ558" t="str">
        <f>_xlfn.XLOOKUP(Table1[[#This Row],[OverTime]],Table16[OverTime],Table16[Id_OverTime])</f>
        <v>OT002</v>
      </c>
      <c r="AK558" t="s">
        <v>33</v>
      </c>
      <c r="AL558">
        <v>17</v>
      </c>
      <c r="AM558" t="str">
        <f>_xlfn.XLOOKUP(Table1[[#This Row],[PerformanceRating]],Table17[PerformanceRating],Table17[Id_PerformanceRating])</f>
        <v>PR003</v>
      </c>
      <c r="AN558">
        <v>3</v>
      </c>
      <c r="AO558" t="str">
        <f>_xlfn.XLOOKUP(Table1[[#This Row],[PerformanceRating]],Table17[PerformanceRating],Table17[Deskripsi])</f>
        <v>Excellent</v>
      </c>
      <c r="AP558" t="str">
        <f>_xlfn.XLOOKUP(Table1[[#This Row],[RelationshipSatisfaction]],Table18[RelationshipSatisfaction],Table18[Id_RelationshipSatisfaction])</f>
        <v>RS004</v>
      </c>
      <c r="AQ558">
        <v>4</v>
      </c>
      <c r="AR558" t="str">
        <f>_xlfn.XLOOKUP(Table1[[#This Row],[RelationshipSatisfaction]],Table18[RelationshipSatisfaction],Table18[Deskripsi])</f>
        <v>Very High</v>
      </c>
      <c r="AS558" t="str">
        <f>_xlfn.XLOOKUP(Table1[[#This Row],[StockOptionLevel]],Table19[StockOptionLevel],Table19[Id_StockOptionLevel])</f>
        <v>SOL001</v>
      </c>
      <c r="AT558">
        <v>0</v>
      </c>
      <c r="AU558" t="str">
        <f>_xlfn.XLOOKUP(Table1[[#This Row],[StockOptionLevel]],Table19[StockOptionLevel],Table19[Deskripsi])</f>
        <v>Non-Eligible</v>
      </c>
      <c r="AV558">
        <v>19</v>
      </c>
      <c r="AW558">
        <v>4</v>
      </c>
      <c r="AX558" t="str">
        <f>_xlfn.XLOOKUP(Table1[[#This Row],[WorkLifeBalance]],Table20[WorkLifeBalance],Table20[Id_WorkLifeBalance])</f>
        <v>WLB002</v>
      </c>
      <c r="AY558">
        <v>3</v>
      </c>
      <c r="AZ558" t="str">
        <f>_xlfn.XLOOKUP(Table1[[#This Row],[WorkLifeBalance]],Table20[WorkLifeBalance],Table20[Deskripsi])</f>
        <v>Good</v>
      </c>
      <c r="BA558">
        <v>2</v>
      </c>
      <c r="BB558">
        <v>2</v>
      </c>
      <c r="BC558">
        <v>2</v>
      </c>
      <c r="BD558">
        <v>2</v>
      </c>
    </row>
    <row r="559" spans="1:56" x14ac:dyDescent="0.25">
      <c r="A559">
        <v>35</v>
      </c>
      <c r="B559" t="str">
        <f>_xlfn.XLOOKUP(Table1[[#This Row],[Attrition]],Table2[Attrition],Table2[Id_Attrition])</f>
        <v>A002</v>
      </c>
      <c r="C559" t="s">
        <v>33</v>
      </c>
      <c r="D559" t="str">
        <f>_xlfn.XLOOKUP(Table1[[#This Row],[BusinessTravel]],Table5[BusinessTravel],Table5[Id_BusinessTravel])</f>
        <v>BS003</v>
      </c>
      <c r="E559" t="s">
        <v>36</v>
      </c>
      <c r="F559">
        <v>1225</v>
      </c>
      <c r="G559" t="str">
        <f>_xlfn.XLOOKUP(Table1[[#This Row],[Department]],Table6[Department],Table6[Id_Departement])</f>
        <v>D002</v>
      </c>
      <c r="H559" t="s">
        <v>38</v>
      </c>
      <c r="I559">
        <v>2</v>
      </c>
      <c r="J559" t="str">
        <f>_xlfn.XLOOKUP(Table1[[#This Row],[Education]],Table8[Education],Table8[Id_Education])</f>
        <v>E004</v>
      </c>
      <c r="K559">
        <v>4</v>
      </c>
      <c r="L559" t="str">
        <f>_xlfn.XLOOKUP(Table1[[#This Row],[EducationField]],Table7[EducationField],Table7[Id_EducationField])</f>
        <v>EF001</v>
      </c>
      <c r="M559" t="s">
        <v>40</v>
      </c>
      <c r="N559" t="str">
        <f>_xlfn.XLOOKUP(Table1[[#This Row],[EmployeeNumber]],Table4[EmployeeNumber],Table4[Id_Employee])</f>
        <v>EMP00558</v>
      </c>
      <c r="O559">
        <v>771</v>
      </c>
      <c r="P559" t="str">
        <f>_xlfn.XLOOKUP(Table1[[#This Row],[EnvironmentSatisfaction]],Table9[EnvironmentSatisfaction],Table9[Id_EnviromentSatisfaction])</f>
        <v>ES004</v>
      </c>
      <c r="Q559">
        <v>4</v>
      </c>
      <c r="R559" t="str">
        <f>_xlfn.XLOOKUP(Table1[[#This Row],[EnvironmentSatisfaction]],Table9[EnvironmentSatisfaction],Table9[Deskripsi])</f>
        <v>Very High</v>
      </c>
      <c r="S559" t="str">
        <f>_xlfn.XLOOKUP(Table1[[#This Row],[Gender]],Table10[Gender],Table10[Id_Gender])</f>
        <v>G001</v>
      </c>
      <c r="T559" t="s">
        <v>45</v>
      </c>
      <c r="U559">
        <v>61</v>
      </c>
      <c r="V559" t="str">
        <f>_xlfn.XLOOKUP(Table1[[#This Row],[JobInvolvement]],Table11[JobInvolvement],Table11[Id_JobInvolvement])</f>
        <v>JI003</v>
      </c>
      <c r="W559">
        <v>3</v>
      </c>
      <c r="X559" t="str">
        <f>_xlfn.XLOOKUP(Table1[[#This Row],[JobLevel]],Table12[JobLevel],Table12[Id_JobLevel])</f>
        <v>JL002</v>
      </c>
      <c r="Y559">
        <v>2</v>
      </c>
      <c r="Z559" t="str">
        <f>_xlfn.XLOOKUP(Table1[[#This Row],[JobRole]],Table13[JobRole],Table13[Id_JobRole])</f>
        <v>JR005</v>
      </c>
      <c r="AA559" t="s">
        <v>51</v>
      </c>
      <c r="AB559" t="str">
        <f>_xlfn.XLOOKUP(Table1[[#This Row],[JobSatisfaction]],Table14[JobSatisfaction],Table14[Id_JobSatisfaction])</f>
        <v>JS001</v>
      </c>
      <c r="AC559">
        <v>1</v>
      </c>
      <c r="AD559" t="str">
        <f>_xlfn.XLOOKUP(Table1[[#This Row],[JobSatisfaction]],Table14[JobSatisfaction],Table14[Deskripsi])</f>
        <v>Low</v>
      </c>
      <c r="AE559" t="str">
        <f>_xlfn.XLOOKUP(Table1[[#This Row],[MaritalStatus]],Table15[MaritalStatus],Table15[Id_MaritalStatus])</f>
        <v>MS003</v>
      </c>
      <c r="AF559" t="s">
        <v>57</v>
      </c>
      <c r="AG559">
        <v>5093</v>
      </c>
      <c r="AH559">
        <v>4761</v>
      </c>
      <c r="AI559">
        <v>2</v>
      </c>
      <c r="AJ559" t="str">
        <f>_xlfn.XLOOKUP(Table1[[#This Row],[OverTime]],Table16[OverTime],Table16[Id_OverTime])</f>
        <v>OT002</v>
      </c>
      <c r="AK559" t="s">
        <v>33</v>
      </c>
      <c r="AL559">
        <v>11</v>
      </c>
      <c r="AM559" t="str">
        <f>_xlfn.XLOOKUP(Table1[[#This Row],[PerformanceRating]],Table17[PerformanceRating],Table17[Id_PerformanceRating])</f>
        <v>PR003</v>
      </c>
      <c r="AN559">
        <v>3</v>
      </c>
      <c r="AO559" t="str">
        <f>_xlfn.XLOOKUP(Table1[[#This Row],[PerformanceRating]],Table17[PerformanceRating],Table17[Deskripsi])</f>
        <v>Excellent</v>
      </c>
      <c r="AP559" t="str">
        <f>_xlfn.XLOOKUP(Table1[[#This Row],[RelationshipSatisfaction]],Table18[RelationshipSatisfaction],Table18[Id_RelationshipSatisfaction])</f>
        <v>RS001</v>
      </c>
      <c r="AQ559">
        <v>1</v>
      </c>
      <c r="AR559" t="str">
        <f>_xlfn.XLOOKUP(Table1[[#This Row],[RelationshipSatisfaction]],Table18[RelationshipSatisfaction],Table18[Deskripsi])</f>
        <v>Low</v>
      </c>
      <c r="AS559" t="str">
        <f>_xlfn.XLOOKUP(Table1[[#This Row],[StockOptionLevel]],Table19[StockOptionLevel],Table19[Id_StockOptionLevel])</f>
        <v>SOL002</v>
      </c>
      <c r="AT559">
        <v>1</v>
      </c>
      <c r="AU559" t="str">
        <f>_xlfn.XLOOKUP(Table1[[#This Row],[StockOptionLevel]],Table19[StockOptionLevel],Table19[Deskripsi])</f>
        <v>Standard</v>
      </c>
      <c r="AV559">
        <v>16</v>
      </c>
      <c r="AW559">
        <v>2</v>
      </c>
      <c r="AX559" t="str">
        <f>_xlfn.XLOOKUP(Table1[[#This Row],[WorkLifeBalance]],Table20[WorkLifeBalance],Table20[Id_WorkLifeBalance])</f>
        <v>WLB004</v>
      </c>
      <c r="AY559">
        <v>4</v>
      </c>
      <c r="AZ559" t="str">
        <f>_xlfn.XLOOKUP(Table1[[#This Row],[WorkLifeBalance]],Table20[WorkLifeBalance],Table20[Deskripsi])</f>
        <v>Best</v>
      </c>
      <c r="BA559">
        <v>1</v>
      </c>
      <c r="BB559">
        <v>0</v>
      </c>
      <c r="BC559">
        <v>0</v>
      </c>
      <c r="BD559">
        <v>0</v>
      </c>
    </row>
    <row r="560" spans="1:56" x14ac:dyDescent="0.25">
      <c r="A560">
        <v>32</v>
      </c>
      <c r="B560" t="str">
        <f>_xlfn.XLOOKUP(Table1[[#This Row],[Attrition]],Table2[Attrition],Table2[Id_Attrition])</f>
        <v>A002</v>
      </c>
      <c r="C560" t="s">
        <v>33</v>
      </c>
      <c r="D560" t="str">
        <f>_xlfn.XLOOKUP(Table1[[#This Row],[BusinessTravel]],Table5[BusinessTravel],Table5[Id_BusinessTravel])</f>
        <v>BS002</v>
      </c>
      <c r="E560" t="s">
        <v>35</v>
      </c>
      <c r="F560">
        <v>430</v>
      </c>
      <c r="G560" t="str">
        <f>_xlfn.XLOOKUP(Table1[[#This Row],[Department]],Table6[Department],Table6[Id_Departement])</f>
        <v>D002</v>
      </c>
      <c r="H560" t="s">
        <v>38</v>
      </c>
      <c r="I560">
        <v>24</v>
      </c>
      <c r="J560" t="str">
        <f>_xlfn.XLOOKUP(Table1[[#This Row],[Education]],Table8[Education],Table8[Id_Education])</f>
        <v>E004</v>
      </c>
      <c r="K560">
        <v>4</v>
      </c>
      <c r="L560" t="str">
        <f>_xlfn.XLOOKUP(Table1[[#This Row],[EducationField]],Table7[EducationField],Table7[Id_EducationField])</f>
        <v>EF001</v>
      </c>
      <c r="M560" t="s">
        <v>40</v>
      </c>
      <c r="N560" t="str">
        <f>_xlfn.XLOOKUP(Table1[[#This Row],[EmployeeNumber]],Table4[EmployeeNumber],Table4[Id_Employee])</f>
        <v>EMP00559</v>
      </c>
      <c r="O560">
        <v>772</v>
      </c>
      <c r="P560" t="str">
        <f>_xlfn.XLOOKUP(Table1[[#This Row],[EnvironmentSatisfaction]],Table9[EnvironmentSatisfaction],Table9[Id_EnviromentSatisfaction])</f>
        <v>ES001</v>
      </c>
      <c r="Q560">
        <v>1</v>
      </c>
      <c r="R560" t="str">
        <f>_xlfn.XLOOKUP(Table1[[#This Row],[EnvironmentSatisfaction]],Table9[EnvironmentSatisfaction],Table9[Deskripsi])</f>
        <v>Low</v>
      </c>
      <c r="S560" t="str">
        <f>_xlfn.XLOOKUP(Table1[[#This Row],[Gender]],Table10[Gender],Table10[Id_Gender])</f>
        <v>G002</v>
      </c>
      <c r="T560" t="s">
        <v>46</v>
      </c>
      <c r="U560">
        <v>80</v>
      </c>
      <c r="V560" t="str">
        <f>_xlfn.XLOOKUP(Table1[[#This Row],[JobInvolvement]],Table11[JobInvolvement],Table11[Id_JobInvolvement])</f>
        <v>JI003</v>
      </c>
      <c r="W560">
        <v>3</v>
      </c>
      <c r="X560" t="str">
        <f>_xlfn.XLOOKUP(Table1[[#This Row],[JobLevel]],Table12[JobLevel],Table12[Id_JobLevel])</f>
        <v>JL002</v>
      </c>
      <c r="Y560">
        <v>2</v>
      </c>
      <c r="Z560" t="str">
        <f>_xlfn.XLOOKUP(Table1[[#This Row],[JobRole]],Table13[JobRole],Table13[Id_JobRole])</f>
        <v>JR003</v>
      </c>
      <c r="AA560" t="s">
        <v>49</v>
      </c>
      <c r="AB560" t="str">
        <f>_xlfn.XLOOKUP(Table1[[#This Row],[JobSatisfaction]],Table14[JobSatisfaction],Table14[Id_JobSatisfaction])</f>
        <v>JS004</v>
      </c>
      <c r="AC560">
        <v>4</v>
      </c>
      <c r="AD560" t="str">
        <f>_xlfn.XLOOKUP(Table1[[#This Row],[JobSatisfaction]],Table14[JobSatisfaction],Table14[Deskripsi])</f>
        <v>Very High</v>
      </c>
      <c r="AE560" t="str">
        <f>_xlfn.XLOOKUP(Table1[[#This Row],[MaritalStatus]],Table15[MaritalStatus],Table15[Id_MaritalStatus])</f>
        <v>MS002</v>
      </c>
      <c r="AF560" t="s">
        <v>56</v>
      </c>
      <c r="AG560">
        <v>5309</v>
      </c>
      <c r="AH560">
        <v>21146</v>
      </c>
      <c r="AI560">
        <v>1</v>
      </c>
      <c r="AJ560" t="str">
        <f>_xlfn.XLOOKUP(Table1[[#This Row],[OverTime]],Table16[OverTime],Table16[Id_OverTime])</f>
        <v>OT002</v>
      </c>
      <c r="AK560" t="s">
        <v>33</v>
      </c>
      <c r="AL560">
        <v>15</v>
      </c>
      <c r="AM560" t="str">
        <f>_xlfn.XLOOKUP(Table1[[#This Row],[PerformanceRating]],Table17[PerformanceRating],Table17[Id_PerformanceRating])</f>
        <v>PR003</v>
      </c>
      <c r="AN560">
        <v>3</v>
      </c>
      <c r="AO560" t="str">
        <f>_xlfn.XLOOKUP(Table1[[#This Row],[PerformanceRating]],Table17[PerformanceRating],Table17[Deskripsi])</f>
        <v>Excellent</v>
      </c>
      <c r="AP560" t="str">
        <f>_xlfn.XLOOKUP(Table1[[#This Row],[RelationshipSatisfaction]],Table18[RelationshipSatisfaction],Table18[Id_RelationshipSatisfaction])</f>
        <v>RS004</v>
      </c>
      <c r="AQ560">
        <v>4</v>
      </c>
      <c r="AR560" t="str">
        <f>_xlfn.XLOOKUP(Table1[[#This Row],[RelationshipSatisfaction]],Table18[RelationshipSatisfaction],Table18[Deskripsi])</f>
        <v>Very High</v>
      </c>
      <c r="AS560" t="str">
        <f>_xlfn.XLOOKUP(Table1[[#This Row],[StockOptionLevel]],Table19[StockOptionLevel],Table19[Id_StockOptionLevel])</f>
        <v>SOL003</v>
      </c>
      <c r="AT560">
        <v>2</v>
      </c>
      <c r="AU560" t="str">
        <f>_xlfn.XLOOKUP(Table1[[#This Row],[StockOptionLevel]],Table19[StockOptionLevel],Table19[Deskripsi])</f>
        <v>Intermediate</v>
      </c>
      <c r="AV560">
        <v>10</v>
      </c>
      <c r="AW560">
        <v>2</v>
      </c>
      <c r="AX560" t="str">
        <f>_xlfn.XLOOKUP(Table1[[#This Row],[WorkLifeBalance]],Table20[WorkLifeBalance],Table20[Id_WorkLifeBalance])</f>
        <v>WLB002</v>
      </c>
      <c r="AY560">
        <v>3</v>
      </c>
      <c r="AZ560" t="str">
        <f>_xlfn.XLOOKUP(Table1[[#This Row],[WorkLifeBalance]],Table20[WorkLifeBalance],Table20[Deskripsi])</f>
        <v>Good</v>
      </c>
      <c r="BA560">
        <v>10</v>
      </c>
      <c r="BB560">
        <v>8</v>
      </c>
      <c r="BC560">
        <v>4</v>
      </c>
      <c r="BD560">
        <v>7</v>
      </c>
    </row>
    <row r="561" spans="1:56" x14ac:dyDescent="0.25">
      <c r="A561">
        <v>38</v>
      </c>
      <c r="B561" t="str">
        <f>_xlfn.XLOOKUP(Table1[[#This Row],[Attrition]],Table2[Attrition],Table2[Id_Attrition])</f>
        <v>A002</v>
      </c>
      <c r="C561" t="s">
        <v>33</v>
      </c>
      <c r="D561" t="str">
        <f>_xlfn.XLOOKUP(Table1[[#This Row],[BusinessTravel]],Table5[BusinessTravel],Table5[Id_BusinessTravel])</f>
        <v>BS001</v>
      </c>
      <c r="E561" t="s">
        <v>34</v>
      </c>
      <c r="F561">
        <v>268</v>
      </c>
      <c r="G561" t="str">
        <f>_xlfn.XLOOKUP(Table1[[#This Row],[Department]],Table6[Department],Table6[Id_Departement])</f>
        <v>D002</v>
      </c>
      <c r="H561" t="s">
        <v>38</v>
      </c>
      <c r="I561">
        <v>2</v>
      </c>
      <c r="J561" t="str">
        <f>_xlfn.XLOOKUP(Table1[[#This Row],[Education]],Table8[Education],Table8[Id_Education])</f>
        <v>E005</v>
      </c>
      <c r="K561">
        <v>5</v>
      </c>
      <c r="L561" t="str">
        <f>_xlfn.XLOOKUP(Table1[[#This Row],[EducationField]],Table7[EducationField],Table7[Id_EducationField])</f>
        <v>EF003</v>
      </c>
      <c r="M561" t="s">
        <v>42</v>
      </c>
      <c r="N561" t="str">
        <f>_xlfn.XLOOKUP(Table1[[#This Row],[EmployeeNumber]],Table4[EmployeeNumber],Table4[Id_Employee])</f>
        <v>EMP00560</v>
      </c>
      <c r="O561">
        <v>773</v>
      </c>
      <c r="P561" t="str">
        <f>_xlfn.XLOOKUP(Table1[[#This Row],[EnvironmentSatisfaction]],Table9[EnvironmentSatisfaction],Table9[Id_EnviromentSatisfaction])</f>
        <v>ES004</v>
      </c>
      <c r="Q561">
        <v>4</v>
      </c>
      <c r="R561" t="str">
        <f>_xlfn.XLOOKUP(Table1[[#This Row],[EnvironmentSatisfaction]],Table9[EnvironmentSatisfaction],Table9[Deskripsi])</f>
        <v>Very High</v>
      </c>
      <c r="S561" t="str">
        <f>_xlfn.XLOOKUP(Table1[[#This Row],[Gender]],Table10[Gender],Table10[Id_Gender])</f>
        <v>G002</v>
      </c>
      <c r="T561" t="s">
        <v>46</v>
      </c>
      <c r="U561">
        <v>92</v>
      </c>
      <c r="V561" t="str">
        <f>_xlfn.XLOOKUP(Table1[[#This Row],[JobInvolvement]],Table11[JobInvolvement],Table11[Id_JobInvolvement])</f>
        <v>JI003</v>
      </c>
      <c r="W561">
        <v>3</v>
      </c>
      <c r="X561" t="str">
        <f>_xlfn.XLOOKUP(Table1[[#This Row],[JobLevel]],Table12[JobLevel],Table12[Id_JobLevel])</f>
        <v>JL001</v>
      </c>
      <c r="Y561">
        <v>1</v>
      </c>
      <c r="Z561" t="str">
        <f>_xlfn.XLOOKUP(Table1[[#This Row],[JobRole]],Table13[JobRole],Table13[Id_JobRole])</f>
        <v>JR002</v>
      </c>
      <c r="AA561" t="s">
        <v>48</v>
      </c>
      <c r="AB561" t="str">
        <f>_xlfn.XLOOKUP(Table1[[#This Row],[JobSatisfaction]],Table14[JobSatisfaction],Table14[Id_JobSatisfaction])</f>
        <v>JS003</v>
      </c>
      <c r="AC561">
        <v>3</v>
      </c>
      <c r="AD561" t="str">
        <f>_xlfn.XLOOKUP(Table1[[#This Row],[JobSatisfaction]],Table14[JobSatisfaction],Table14[Deskripsi])</f>
        <v>High</v>
      </c>
      <c r="AE561" t="str">
        <f>_xlfn.XLOOKUP(Table1[[#This Row],[MaritalStatus]],Table15[MaritalStatus],Table15[Id_MaritalStatus])</f>
        <v>MS002</v>
      </c>
      <c r="AF561" t="s">
        <v>56</v>
      </c>
      <c r="AG561">
        <v>3057</v>
      </c>
      <c r="AH561">
        <v>20471</v>
      </c>
      <c r="AI561">
        <v>6</v>
      </c>
      <c r="AJ561" t="str">
        <f>_xlfn.XLOOKUP(Table1[[#This Row],[OverTime]],Table16[OverTime],Table16[Id_OverTime])</f>
        <v>OT001</v>
      </c>
      <c r="AK561" t="s">
        <v>32</v>
      </c>
      <c r="AL561">
        <v>13</v>
      </c>
      <c r="AM561" t="str">
        <f>_xlfn.XLOOKUP(Table1[[#This Row],[PerformanceRating]],Table17[PerformanceRating],Table17[Id_PerformanceRating])</f>
        <v>PR003</v>
      </c>
      <c r="AN561">
        <v>3</v>
      </c>
      <c r="AO561" t="str">
        <f>_xlfn.XLOOKUP(Table1[[#This Row],[PerformanceRating]],Table17[PerformanceRating],Table17[Deskripsi])</f>
        <v>Excellent</v>
      </c>
      <c r="AP561" t="str">
        <f>_xlfn.XLOOKUP(Table1[[#This Row],[RelationshipSatisfaction]],Table18[RelationshipSatisfaction],Table18[Id_RelationshipSatisfaction])</f>
        <v>RS002</v>
      </c>
      <c r="AQ561">
        <v>2</v>
      </c>
      <c r="AR561" t="str">
        <f>_xlfn.XLOOKUP(Table1[[#This Row],[RelationshipSatisfaction]],Table18[RelationshipSatisfaction],Table18[Deskripsi])</f>
        <v>Medium</v>
      </c>
      <c r="AS561" t="str">
        <f>_xlfn.XLOOKUP(Table1[[#This Row],[StockOptionLevel]],Table19[StockOptionLevel],Table19[Id_StockOptionLevel])</f>
        <v>SOL002</v>
      </c>
      <c r="AT561">
        <v>1</v>
      </c>
      <c r="AU561" t="str">
        <f>_xlfn.XLOOKUP(Table1[[#This Row],[StockOptionLevel]],Table19[StockOptionLevel],Table19[Deskripsi])</f>
        <v>Standard</v>
      </c>
      <c r="AV561">
        <v>6</v>
      </c>
      <c r="AW561">
        <v>0</v>
      </c>
      <c r="AX561" t="str">
        <f>_xlfn.XLOOKUP(Table1[[#This Row],[WorkLifeBalance]],Table20[WorkLifeBalance],Table20[Id_WorkLifeBalance])</f>
        <v>WLB001</v>
      </c>
      <c r="AY561">
        <v>1</v>
      </c>
      <c r="AZ561" t="str">
        <f>_xlfn.XLOOKUP(Table1[[#This Row],[WorkLifeBalance]],Table20[WorkLifeBalance],Table20[Deskripsi])</f>
        <v>Bad</v>
      </c>
      <c r="BA561">
        <v>1</v>
      </c>
      <c r="BB561">
        <v>0</v>
      </c>
      <c r="BC561">
        <v>0</v>
      </c>
      <c r="BD561">
        <v>1</v>
      </c>
    </row>
    <row r="562" spans="1:56" x14ac:dyDescent="0.25">
      <c r="A562">
        <v>34</v>
      </c>
      <c r="B562" t="str">
        <f>_xlfn.XLOOKUP(Table1[[#This Row],[Attrition]],Table2[Attrition],Table2[Id_Attrition])</f>
        <v>A002</v>
      </c>
      <c r="C562" t="s">
        <v>33</v>
      </c>
      <c r="D562" t="str">
        <f>_xlfn.XLOOKUP(Table1[[#This Row],[BusinessTravel]],Table5[BusinessTravel],Table5[Id_BusinessTravel])</f>
        <v>BS001</v>
      </c>
      <c r="E562" t="s">
        <v>34</v>
      </c>
      <c r="F562">
        <v>167</v>
      </c>
      <c r="G562" t="str">
        <f>_xlfn.XLOOKUP(Table1[[#This Row],[Department]],Table6[Department],Table6[Id_Departement])</f>
        <v>D002</v>
      </c>
      <c r="H562" t="s">
        <v>38</v>
      </c>
      <c r="I562">
        <v>8</v>
      </c>
      <c r="J562" t="str">
        <f>_xlfn.XLOOKUP(Table1[[#This Row],[Education]],Table8[Education],Table8[Id_Education])</f>
        <v>E005</v>
      </c>
      <c r="K562">
        <v>5</v>
      </c>
      <c r="L562" t="str">
        <f>_xlfn.XLOOKUP(Table1[[#This Row],[EducationField]],Table7[EducationField],Table7[Id_EducationField])</f>
        <v>EF001</v>
      </c>
      <c r="M562" t="s">
        <v>40</v>
      </c>
      <c r="N562" t="str">
        <f>_xlfn.XLOOKUP(Table1[[#This Row],[EmployeeNumber]],Table4[EmployeeNumber],Table4[Id_Employee])</f>
        <v>EMP00561</v>
      </c>
      <c r="O562">
        <v>775</v>
      </c>
      <c r="P562" t="str">
        <f>_xlfn.XLOOKUP(Table1[[#This Row],[EnvironmentSatisfaction]],Table9[EnvironmentSatisfaction],Table9[Id_EnviromentSatisfaction])</f>
        <v>ES002</v>
      </c>
      <c r="Q562">
        <v>2</v>
      </c>
      <c r="R562" t="str">
        <f>_xlfn.XLOOKUP(Table1[[#This Row],[EnvironmentSatisfaction]],Table9[EnvironmentSatisfaction],Table9[Deskripsi])</f>
        <v>Medium</v>
      </c>
      <c r="S562" t="str">
        <f>_xlfn.XLOOKUP(Table1[[#This Row],[Gender]],Table10[Gender],Table10[Id_Gender])</f>
        <v>G001</v>
      </c>
      <c r="T562" t="s">
        <v>45</v>
      </c>
      <c r="U562">
        <v>32</v>
      </c>
      <c r="V562" t="str">
        <f>_xlfn.XLOOKUP(Table1[[#This Row],[JobInvolvement]],Table11[JobInvolvement],Table11[Id_JobInvolvement])</f>
        <v>JI003</v>
      </c>
      <c r="W562">
        <v>3</v>
      </c>
      <c r="X562" t="str">
        <f>_xlfn.XLOOKUP(Table1[[#This Row],[JobLevel]],Table12[JobLevel],Table12[Id_JobLevel])</f>
        <v>JL002</v>
      </c>
      <c r="Y562">
        <v>2</v>
      </c>
      <c r="Z562" t="str">
        <f>_xlfn.XLOOKUP(Table1[[#This Row],[JobRole]],Table13[JobRole],Table13[Id_JobRole])</f>
        <v>JR004</v>
      </c>
      <c r="AA562" t="s">
        <v>50</v>
      </c>
      <c r="AB562" t="str">
        <f>_xlfn.XLOOKUP(Table1[[#This Row],[JobSatisfaction]],Table14[JobSatisfaction],Table14[Id_JobSatisfaction])</f>
        <v>JS001</v>
      </c>
      <c r="AC562">
        <v>1</v>
      </c>
      <c r="AD562" t="str">
        <f>_xlfn.XLOOKUP(Table1[[#This Row],[JobSatisfaction]],Table14[JobSatisfaction],Table14[Deskripsi])</f>
        <v>Low</v>
      </c>
      <c r="AE562" t="str">
        <f>_xlfn.XLOOKUP(Table1[[#This Row],[MaritalStatus]],Table15[MaritalStatus],Table15[Id_MaritalStatus])</f>
        <v>MS003</v>
      </c>
      <c r="AF562" t="s">
        <v>57</v>
      </c>
      <c r="AG562">
        <v>5121</v>
      </c>
      <c r="AH562">
        <v>4187</v>
      </c>
      <c r="AI562">
        <v>3</v>
      </c>
      <c r="AJ562" t="str">
        <f>_xlfn.XLOOKUP(Table1[[#This Row],[OverTime]],Table16[OverTime],Table16[Id_OverTime])</f>
        <v>OT002</v>
      </c>
      <c r="AK562" t="s">
        <v>33</v>
      </c>
      <c r="AL562">
        <v>14</v>
      </c>
      <c r="AM562" t="str">
        <f>_xlfn.XLOOKUP(Table1[[#This Row],[PerformanceRating]],Table17[PerformanceRating],Table17[Id_PerformanceRating])</f>
        <v>PR003</v>
      </c>
      <c r="AN562">
        <v>3</v>
      </c>
      <c r="AO562" t="str">
        <f>_xlfn.XLOOKUP(Table1[[#This Row],[PerformanceRating]],Table17[PerformanceRating],Table17[Deskripsi])</f>
        <v>Excellent</v>
      </c>
      <c r="AP562" t="str">
        <f>_xlfn.XLOOKUP(Table1[[#This Row],[RelationshipSatisfaction]],Table18[RelationshipSatisfaction],Table18[Id_RelationshipSatisfaction])</f>
        <v>RS003</v>
      </c>
      <c r="AQ562">
        <v>3</v>
      </c>
      <c r="AR562" t="str">
        <f>_xlfn.XLOOKUP(Table1[[#This Row],[RelationshipSatisfaction]],Table18[RelationshipSatisfaction],Table18[Deskripsi])</f>
        <v>High</v>
      </c>
      <c r="AS562" t="str">
        <f>_xlfn.XLOOKUP(Table1[[#This Row],[StockOptionLevel]],Table19[StockOptionLevel],Table19[Id_StockOptionLevel])</f>
        <v>SOL002</v>
      </c>
      <c r="AT562">
        <v>1</v>
      </c>
      <c r="AU562" t="str">
        <f>_xlfn.XLOOKUP(Table1[[#This Row],[StockOptionLevel]],Table19[StockOptionLevel],Table19[Deskripsi])</f>
        <v>Standard</v>
      </c>
      <c r="AV562">
        <v>7</v>
      </c>
      <c r="AW562">
        <v>3</v>
      </c>
      <c r="AX562" t="str">
        <f>_xlfn.XLOOKUP(Table1[[#This Row],[WorkLifeBalance]],Table20[WorkLifeBalance],Table20[Id_WorkLifeBalance])</f>
        <v>WLB002</v>
      </c>
      <c r="AY562">
        <v>3</v>
      </c>
      <c r="AZ562" t="str">
        <f>_xlfn.XLOOKUP(Table1[[#This Row],[WorkLifeBalance]],Table20[WorkLifeBalance],Table20[Deskripsi])</f>
        <v>Good</v>
      </c>
      <c r="BA562">
        <v>0</v>
      </c>
      <c r="BB562">
        <v>0</v>
      </c>
      <c r="BC562">
        <v>0</v>
      </c>
      <c r="BD562">
        <v>0</v>
      </c>
    </row>
    <row r="563" spans="1:56" x14ac:dyDescent="0.25">
      <c r="A563">
        <v>52</v>
      </c>
      <c r="B563" t="str">
        <f>_xlfn.XLOOKUP(Table1[[#This Row],[Attrition]],Table2[Attrition],Table2[Id_Attrition])</f>
        <v>A002</v>
      </c>
      <c r="C563" t="s">
        <v>33</v>
      </c>
      <c r="D563" t="str">
        <f>_xlfn.XLOOKUP(Table1[[#This Row],[BusinessTravel]],Table5[BusinessTravel],Table5[Id_BusinessTravel])</f>
        <v>BS001</v>
      </c>
      <c r="E563" t="s">
        <v>34</v>
      </c>
      <c r="F563">
        <v>621</v>
      </c>
      <c r="G563" t="str">
        <f>_xlfn.XLOOKUP(Table1[[#This Row],[Department]],Table6[Department],Table6[Id_Departement])</f>
        <v>D001</v>
      </c>
      <c r="H563" t="s">
        <v>37</v>
      </c>
      <c r="I563">
        <v>3</v>
      </c>
      <c r="J563" t="str">
        <f>_xlfn.XLOOKUP(Table1[[#This Row],[Education]],Table8[Education],Table8[Id_Education])</f>
        <v>E004</v>
      </c>
      <c r="K563">
        <v>4</v>
      </c>
      <c r="L563" t="str">
        <f>_xlfn.XLOOKUP(Table1[[#This Row],[EducationField]],Table7[EducationField],Table7[Id_EducationField])</f>
        <v>EF004</v>
      </c>
      <c r="M563" t="s">
        <v>43</v>
      </c>
      <c r="N563" t="str">
        <f>_xlfn.XLOOKUP(Table1[[#This Row],[EmployeeNumber]],Table4[EmployeeNumber],Table4[Id_Employee])</f>
        <v>EMP00562</v>
      </c>
      <c r="O563">
        <v>776</v>
      </c>
      <c r="P563" t="str">
        <f>_xlfn.XLOOKUP(Table1[[#This Row],[EnvironmentSatisfaction]],Table9[EnvironmentSatisfaction],Table9[Id_EnviromentSatisfaction])</f>
        <v>ES003</v>
      </c>
      <c r="Q563">
        <v>3</v>
      </c>
      <c r="R563" t="str">
        <f>_xlfn.XLOOKUP(Table1[[#This Row],[EnvironmentSatisfaction]],Table9[EnvironmentSatisfaction],Table9[Deskripsi])</f>
        <v>High</v>
      </c>
      <c r="S563" t="str">
        <f>_xlfn.XLOOKUP(Table1[[#This Row],[Gender]],Table10[Gender],Table10[Id_Gender])</f>
        <v>G002</v>
      </c>
      <c r="T563" t="s">
        <v>46</v>
      </c>
      <c r="U563">
        <v>31</v>
      </c>
      <c r="V563" t="str">
        <f>_xlfn.XLOOKUP(Table1[[#This Row],[JobInvolvement]],Table11[JobInvolvement],Table11[Id_JobInvolvement])</f>
        <v>JI002</v>
      </c>
      <c r="W563">
        <v>2</v>
      </c>
      <c r="X563" t="str">
        <f>_xlfn.XLOOKUP(Table1[[#This Row],[JobLevel]],Table12[JobLevel],Table12[Id_JobLevel])</f>
        <v>JL004</v>
      </c>
      <c r="Y563">
        <v>4</v>
      </c>
      <c r="Z563" t="str">
        <f>_xlfn.XLOOKUP(Table1[[#This Row],[JobRole]],Table13[JobRole],Table13[Id_JobRole])</f>
        <v>JR006</v>
      </c>
      <c r="AA563" t="s">
        <v>52</v>
      </c>
      <c r="AB563" t="str">
        <f>_xlfn.XLOOKUP(Table1[[#This Row],[JobSatisfaction]],Table14[JobSatisfaction],Table14[Id_JobSatisfaction])</f>
        <v>JS001</v>
      </c>
      <c r="AC563">
        <v>1</v>
      </c>
      <c r="AD563" t="str">
        <f>_xlfn.XLOOKUP(Table1[[#This Row],[JobSatisfaction]],Table14[JobSatisfaction],Table14[Deskripsi])</f>
        <v>Low</v>
      </c>
      <c r="AE563" t="str">
        <f>_xlfn.XLOOKUP(Table1[[#This Row],[MaritalStatus]],Table15[MaritalStatus],Table15[Id_MaritalStatus])</f>
        <v>MS002</v>
      </c>
      <c r="AF563" t="s">
        <v>56</v>
      </c>
      <c r="AG563">
        <v>16856</v>
      </c>
      <c r="AH563">
        <v>10084</v>
      </c>
      <c r="AI563">
        <v>1</v>
      </c>
      <c r="AJ563" t="str">
        <f>_xlfn.XLOOKUP(Table1[[#This Row],[OverTime]],Table16[OverTime],Table16[Id_OverTime])</f>
        <v>OT002</v>
      </c>
      <c r="AK563" t="s">
        <v>33</v>
      </c>
      <c r="AL563">
        <v>11</v>
      </c>
      <c r="AM563" t="str">
        <f>_xlfn.XLOOKUP(Table1[[#This Row],[PerformanceRating]],Table17[PerformanceRating],Table17[Id_PerformanceRating])</f>
        <v>PR003</v>
      </c>
      <c r="AN563">
        <v>3</v>
      </c>
      <c r="AO563" t="str">
        <f>_xlfn.XLOOKUP(Table1[[#This Row],[PerformanceRating]],Table17[PerformanceRating],Table17[Deskripsi])</f>
        <v>Excellent</v>
      </c>
      <c r="AP563" t="str">
        <f>_xlfn.XLOOKUP(Table1[[#This Row],[RelationshipSatisfaction]],Table18[RelationshipSatisfaction],Table18[Id_RelationshipSatisfaction])</f>
        <v>RS001</v>
      </c>
      <c r="AQ563">
        <v>1</v>
      </c>
      <c r="AR563" t="str">
        <f>_xlfn.XLOOKUP(Table1[[#This Row],[RelationshipSatisfaction]],Table18[RelationshipSatisfaction],Table18[Deskripsi])</f>
        <v>Low</v>
      </c>
      <c r="AS563" t="str">
        <f>_xlfn.XLOOKUP(Table1[[#This Row],[StockOptionLevel]],Table19[StockOptionLevel],Table19[Id_StockOptionLevel])</f>
        <v>SOL001</v>
      </c>
      <c r="AT563">
        <v>0</v>
      </c>
      <c r="AU563" t="str">
        <f>_xlfn.XLOOKUP(Table1[[#This Row],[StockOptionLevel]],Table19[StockOptionLevel],Table19[Deskripsi])</f>
        <v>Non-Eligible</v>
      </c>
      <c r="AV563">
        <v>34</v>
      </c>
      <c r="AW563">
        <v>3</v>
      </c>
      <c r="AX563" t="str">
        <f>_xlfn.XLOOKUP(Table1[[#This Row],[WorkLifeBalance]],Table20[WorkLifeBalance],Table20[Id_WorkLifeBalance])</f>
        <v>WLB004</v>
      </c>
      <c r="AY563">
        <v>4</v>
      </c>
      <c r="AZ563" t="str">
        <f>_xlfn.XLOOKUP(Table1[[#This Row],[WorkLifeBalance]],Table20[WorkLifeBalance],Table20[Deskripsi])</f>
        <v>Best</v>
      </c>
      <c r="BA563">
        <v>34</v>
      </c>
      <c r="BB563">
        <v>6</v>
      </c>
      <c r="BC563">
        <v>1</v>
      </c>
      <c r="BD563">
        <v>16</v>
      </c>
    </row>
    <row r="564" spans="1:56" x14ac:dyDescent="0.25">
      <c r="A564">
        <v>33</v>
      </c>
      <c r="B564" t="str">
        <f>_xlfn.XLOOKUP(Table1[[#This Row],[Attrition]],Table2[Attrition],Table2[Id_Attrition])</f>
        <v>A001</v>
      </c>
      <c r="C564" t="s">
        <v>32</v>
      </c>
      <c r="D564" t="str">
        <f>_xlfn.XLOOKUP(Table1[[#This Row],[BusinessTravel]],Table5[BusinessTravel],Table5[Id_BusinessTravel])</f>
        <v>BS001</v>
      </c>
      <c r="E564" t="s">
        <v>34</v>
      </c>
      <c r="F564">
        <v>527</v>
      </c>
      <c r="G564" t="str">
        <f>_xlfn.XLOOKUP(Table1[[#This Row],[Department]],Table6[Department],Table6[Id_Departement])</f>
        <v>D002</v>
      </c>
      <c r="H564" t="s">
        <v>38</v>
      </c>
      <c r="I564">
        <v>1</v>
      </c>
      <c r="J564" t="str">
        <f>_xlfn.XLOOKUP(Table1[[#This Row],[Education]],Table8[Education],Table8[Id_Education])</f>
        <v>E004</v>
      </c>
      <c r="K564">
        <v>4</v>
      </c>
      <c r="L564" t="str">
        <f>_xlfn.XLOOKUP(Table1[[#This Row],[EducationField]],Table7[EducationField],Table7[Id_EducationField])</f>
        <v>EF002</v>
      </c>
      <c r="M564" t="s">
        <v>41</v>
      </c>
      <c r="N564" t="str">
        <f>_xlfn.XLOOKUP(Table1[[#This Row],[EmployeeNumber]],Table4[EmployeeNumber],Table4[Id_Employee])</f>
        <v>EMP00563</v>
      </c>
      <c r="O564">
        <v>780</v>
      </c>
      <c r="P564" t="str">
        <f>_xlfn.XLOOKUP(Table1[[#This Row],[EnvironmentSatisfaction]],Table9[EnvironmentSatisfaction],Table9[Id_EnviromentSatisfaction])</f>
        <v>ES004</v>
      </c>
      <c r="Q564">
        <v>4</v>
      </c>
      <c r="R564" t="str">
        <f>_xlfn.XLOOKUP(Table1[[#This Row],[EnvironmentSatisfaction]],Table9[EnvironmentSatisfaction],Table9[Deskripsi])</f>
        <v>Very High</v>
      </c>
      <c r="S564" t="str">
        <f>_xlfn.XLOOKUP(Table1[[#This Row],[Gender]],Table10[Gender],Table10[Id_Gender])</f>
        <v>G002</v>
      </c>
      <c r="T564" t="s">
        <v>46</v>
      </c>
      <c r="U564">
        <v>63</v>
      </c>
      <c r="V564" t="str">
        <f>_xlfn.XLOOKUP(Table1[[#This Row],[JobInvolvement]],Table11[JobInvolvement],Table11[Id_JobInvolvement])</f>
        <v>JI003</v>
      </c>
      <c r="W564">
        <v>3</v>
      </c>
      <c r="X564" t="str">
        <f>_xlfn.XLOOKUP(Table1[[#This Row],[JobLevel]],Table12[JobLevel],Table12[Id_JobLevel])</f>
        <v>JL001</v>
      </c>
      <c r="Y564">
        <v>1</v>
      </c>
      <c r="Z564" t="str">
        <f>_xlfn.XLOOKUP(Table1[[#This Row],[JobRole]],Table13[JobRole],Table13[Id_JobRole])</f>
        <v>JR002</v>
      </c>
      <c r="AA564" t="s">
        <v>48</v>
      </c>
      <c r="AB564" t="str">
        <f>_xlfn.XLOOKUP(Table1[[#This Row],[JobSatisfaction]],Table14[JobSatisfaction],Table14[Id_JobSatisfaction])</f>
        <v>JS004</v>
      </c>
      <c r="AC564">
        <v>4</v>
      </c>
      <c r="AD564" t="str">
        <f>_xlfn.XLOOKUP(Table1[[#This Row],[JobSatisfaction]],Table14[JobSatisfaction],Table14[Deskripsi])</f>
        <v>Very High</v>
      </c>
      <c r="AE564" t="str">
        <f>_xlfn.XLOOKUP(Table1[[#This Row],[MaritalStatus]],Table15[MaritalStatus],Table15[Id_MaritalStatus])</f>
        <v>MS001</v>
      </c>
      <c r="AF564" t="s">
        <v>55</v>
      </c>
      <c r="AG564">
        <v>2686</v>
      </c>
      <c r="AH564">
        <v>5207</v>
      </c>
      <c r="AI564">
        <v>1</v>
      </c>
      <c r="AJ564" t="str">
        <f>_xlfn.XLOOKUP(Table1[[#This Row],[OverTime]],Table16[OverTime],Table16[Id_OverTime])</f>
        <v>OT001</v>
      </c>
      <c r="AK564" t="s">
        <v>32</v>
      </c>
      <c r="AL564">
        <v>13</v>
      </c>
      <c r="AM564" t="str">
        <f>_xlfn.XLOOKUP(Table1[[#This Row],[PerformanceRating]],Table17[PerformanceRating],Table17[Id_PerformanceRating])</f>
        <v>PR003</v>
      </c>
      <c r="AN564">
        <v>3</v>
      </c>
      <c r="AO564" t="str">
        <f>_xlfn.XLOOKUP(Table1[[#This Row],[PerformanceRating]],Table17[PerformanceRating],Table17[Deskripsi])</f>
        <v>Excellent</v>
      </c>
      <c r="AP564" t="str">
        <f>_xlfn.XLOOKUP(Table1[[#This Row],[RelationshipSatisfaction]],Table18[RelationshipSatisfaction],Table18[Id_RelationshipSatisfaction])</f>
        <v>RS003</v>
      </c>
      <c r="AQ564">
        <v>3</v>
      </c>
      <c r="AR564" t="str">
        <f>_xlfn.XLOOKUP(Table1[[#This Row],[RelationshipSatisfaction]],Table18[RelationshipSatisfaction],Table18[Deskripsi])</f>
        <v>High</v>
      </c>
      <c r="AS564" t="str">
        <f>_xlfn.XLOOKUP(Table1[[#This Row],[StockOptionLevel]],Table19[StockOptionLevel],Table19[Id_StockOptionLevel])</f>
        <v>SOL001</v>
      </c>
      <c r="AT564">
        <v>0</v>
      </c>
      <c r="AU564" t="str">
        <f>_xlfn.XLOOKUP(Table1[[#This Row],[StockOptionLevel]],Table19[StockOptionLevel],Table19[Deskripsi])</f>
        <v>Non-Eligible</v>
      </c>
      <c r="AV564">
        <v>10</v>
      </c>
      <c r="AW564">
        <v>2</v>
      </c>
      <c r="AX564" t="str">
        <f>_xlfn.XLOOKUP(Table1[[#This Row],[WorkLifeBalance]],Table20[WorkLifeBalance],Table20[Id_WorkLifeBalance])</f>
        <v>WLB003</v>
      </c>
      <c r="AY564">
        <v>2</v>
      </c>
      <c r="AZ564" t="str">
        <f>_xlfn.XLOOKUP(Table1[[#This Row],[WorkLifeBalance]],Table20[WorkLifeBalance],Table20[Deskripsi])</f>
        <v>Better</v>
      </c>
      <c r="BA564">
        <v>10</v>
      </c>
      <c r="BB564">
        <v>9</v>
      </c>
      <c r="BC564">
        <v>7</v>
      </c>
      <c r="BD564">
        <v>8</v>
      </c>
    </row>
    <row r="565" spans="1:56" x14ac:dyDescent="0.25">
      <c r="A565">
        <v>25</v>
      </c>
      <c r="B565" t="str">
        <f>_xlfn.XLOOKUP(Table1[[#This Row],[Attrition]],Table2[Attrition],Table2[Id_Attrition])</f>
        <v>A002</v>
      </c>
      <c r="C565" t="s">
        <v>33</v>
      </c>
      <c r="D565" t="str">
        <f>_xlfn.XLOOKUP(Table1[[#This Row],[BusinessTravel]],Table5[BusinessTravel],Table5[Id_BusinessTravel])</f>
        <v>BS001</v>
      </c>
      <c r="E565" t="s">
        <v>34</v>
      </c>
      <c r="F565">
        <v>883</v>
      </c>
      <c r="G565" t="str">
        <f>_xlfn.XLOOKUP(Table1[[#This Row],[Department]],Table6[Department],Table6[Id_Departement])</f>
        <v>D001</v>
      </c>
      <c r="H565" t="s">
        <v>37</v>
      </c>
      <c r="I565">
        <v>26</v>
      </c>
      <c r="J565" t="str">
        <f>_xlfn.XLOOKUP(Table1[[#This Row],[Education]],Table8[Education],Table8[Id_Education])</f>
        <v>E001</v>
      </c>
      <c r="K565">
        <v>1</v>
      </c>
      <c r="L565" t="str">
        <f>_xlfn.XLOOKUP(Table1[[#This Row],[EducationField]],Table7[EducationField],Table7[Id_EducationField])</f>
        <v>EF003</v>
      </c>
      <c r="M565" t="s">
        <v>42</v>
      </c>
      <c r="N565" t="str">
        <f>_xlfn.XLOOKUP(Table1[[#This Row],[EmployeeNumber]],Table4[EmployeeNumber],Table4[Id_Employee])</f>
        <v>EMP00564</v>
      </c>
      <c r="O565">
        <v>781</v>
      </c>
      <c r="P565" t="str">
        <f>_xlfn.XLOOKUP(Table1[[#This Row],[EnvironmentSatisfaction]],Table9[EnvironmentSatisfaction],Table9[Id_EnviromentSatisfaction])</f>
        <v>ES003</v>
      </c>
      <c r="Q565">
        <v>3</v>
      </c>
      <c r="R565" t="str">
        <f>_xlfn.XLOOKUP(Table1[[#This Row],[EnvironmentSatisfaction]],Table9[EnvironmentSatisfaction],Table9[Deskripsi])</f>
        <v>High</v>
      </c>
      <c r="S565" t="str">
        <f>_xlfn.XLOOKUP(Table1[[#This Row],[Gender]],Table10[Gender],Table10[Id_Gender])</f>
        <v>G001</v>
      </c>
      <c r="T565" t="s">
        <v>45</v>
      </c>
      <c r="U565">
        <v>32</v>
      </c>
      <c r="V565" t="str">
        <f>_xlfn.XLOOKUP(Table1[[#This Row],[JobInvolvement]],Table11[JobInvolvement],Table11[Id_JobInvolvement])</f>
        <v>JI003</v>
      </c>
      <c r="W565">
        <v>3</v>
      </c>
      <c r="X565" t="str">
        <f>_xlfn.XLOOKUP(Table1[[#This Row],[JobLevel]],Table12[JobLevel],Table12[Id_JobLevel])</f>
        <v>JL002</v>
      </c>
      <c r="Y565">
        <v>2</v>
      </c>
      <c r="Z565" t="str">
        <f>_xlfn.XLOOKUP(Table1[[#This Row],[JobRole]],Table13[JobRole],Table13[Id_JobRole])</f>
        <v>JR001</v>
      </c>
      <c r="AA565" t="s">
        <v>47</v>
      </c>
      <c r="AB565" t="str">
        <f>_xlfn.XLOOKUP(Table1[[#This Row],[JobSatisfaction]],Table14[JobSatisfaction],Table14[Id_JobSatisfaction])</f>
        <v>JS004</v>
      </c>
      <c r="AC565">
        <v>4</v>
      </c>
      <c r="AD565" t="str">
        <f>_xlfn.XLOOKUP(Table1[[#This Row],[JobSatisfaction]],Table14[JobSatisfaction],Table14[Deskripsi])</f>
        <v>Very High</v>
      </c>
      <c r="AE565" t="str">
        <f>_xlfn.XLOOKUP(Table1[[#This Row],[MaritalStatus]],Table15[MaritalStatus],Table15[Id_MaritalStatus])</f>
        <v>MS001</v>
      </c>
      <c r="AF565" t="s">
        <v>55</v>
      </c>
      <c r="AG565">
        <v>6180</v>
      </c>
      <c r="AH565">
        <v>22807</v>
      </c>
      <c r="AI565">
        <v>1</v>
      </c>
      <c r="AJ565" t="str">
        <f>_xlfn.XLOOKUP(Table1[[#This Row],[OverTime]],Table16[OverTime],Table16[Id_OverTime])</f>
        <v>OT002</v>
      </c>
      <c r="AK565" t="s">
        <v>33</v>
      </c>
      <c r="AL565">
        <v>23</v>
      </c>
      <c r="AM565" t="str">
        <f>_xlfn.XLOOKUP(Table1[[#This Row],[PerformanceRating]],Table17[PerformanceRating],Table17[Id_PerformanceRating])</f>
        <v>PR004</v>
      </c>
      <c r="AN565">
        <v>4</v>
      </c>
      <c r="AO565" t="str">
        <f>_xlfn.XLOOKUP(Table1[[#This Row],[PerformanceRating]],Table17[PerformanceRating],Table17[Deskripsi])</f>
        <v>Outstanding</v>
      </c>
      <c r="AP565" t="str">
        <f>_xlfn.XLOOKUP(Table1[[#This Row],[RelationshipSatisfaction]],Table18[RelationshipSatisfaction],Table18[Id_RelationshipSatisfaction])</f>
        <v>RS002</v>
      </c>
      <c r="AQ565">
        <v>2</v>
      </c>
      <c r="AR565" t="str">
        <f>_xlfn.XLOOKUP(Table1[[#This Row],[RelationshipSatisfaction]],Table18[RelationshipSatisfaction],Table18[Deskripsi])</f>
        <v>Medium</v>
      </c>
      <c r="AS565" t="str">
        <f>_xlfn.XLOOKUP(Table1[[#This Row],[StockOptionLevel]],Table19[StockOptionLevel],Table19[Id_StockOptionLevel])</f>
        <v>SOL001</v>
      </c>
      <c r="AT565">
        <v>0</v>
      </c>
      <c r="AU565" t="str">
        <f>_xlfn.XLOOKUP(Table1[[#This Row],[StockOptionLevel]],Table19[StockOptionLevel],Table19[Deskripsi])</f>
        <v>Non-Eligible</v>
      </c>
      <c r="AV565">
        <v>6</v>
      </c>
      <c r="AW565">
        <v>5</v>
      </c>
      <c r="AX565" t="str">
        <f>_xlfn.XLOOKUP(Table1[[#This Row],[WorkLifeBalance]],Table20[WorkLifeBalance],Table20[Id_WorkLifeBalance])</f>
        <v>WLB003</v>
      </c>
      <c r="AY565">
        <v>2</v>
      </c>
      <c r="AZ565" t="str">
        <f>_xlfn.XLOOKUP(Table1[[#This Row],[WorkLifeBalance]],Table20[WorkLifeBalance],Table20[Deskripsi])</f>
        <v>Better</v>
      </c>
      <c r="BA565">
        <v>6</v>
      </c>
      <c r="BB565">
        <v>5</v>
      </c>
      <c r="BC565">
        <v>1</v>
      </c>
      <c r="BD565">
        <v>4</v>
      </c>
    </row>
    <row r="566" spans="1:56" x14ac:dyDescent="0.25">
      <c r="A566">
        <v>45</v>
      </c>
      <c r="B566" t="str">
        <f>_xlfn.XLOOKUP(Table1[[#This Row],[Attrition]],Table2[Attrition],Table2[Id_Attrition])</f>
        <v>A002</v>
      </c>
      <c r="C566" t="s">
        <v>33</v>
      </c>
      <c r="D566" t="str">
        <f>_xlfn.XLOOKUP(Table1[[#This Row],[BusinessTravel]],Table5[BusinessTravel],Table5[Id_BusinessTravel])</f>
        <v>BS001</v>
      </c>
      <c r="E566" t="s">
        <v>34</v>
      </c>
      <c r="F566">
        <v>954</v>
      </c>
      <c r="G566" t="str">
        <f>_xlfn.XLOOKUP(Table1[[#This Row],[Department]],Table6[Department],Table6[Id_Departement])</f>
        <v>D001</v>
      </c>
      <c r="H566" t="s">
        <v>37</v>
      </c>
      <c r="I566">
        <v>2</v>
      </c>
      <c r="J566" t="str">
        <f>_xlfn.XLOOKUP(Table1[[#This Row],[Education]],Table8[Education],Table8[Id_Education])</f>
        <v>E002</v>
      </c>
      <c r="K566">
        <v>2</v>
      </c>
      <c r="L566" t="str">
        <f>_xlfn.XLOOKUP(Table1[[#This Row],[EducationField]],Table7[EducationField],Table7[Id_EducationField])</f>
        <v>EF005</v>
      </c>
      <c r="M566" t="s">
        <v>44</v>
      </c>
      <c r="N566" t="str">
        <f>_xlfn.XLOOKUP(Table1[[#This Row],[EmployeeNumber]],Table4[EmployeeNumber],Table4[Id_Employee])</f>
        <v>EMP00565</v>
      </c>
      <c r="O566">
        <v>783</v>
      </c>
      <c r="P566" t="str">
        <f>_xlfn.XLOOKUP(Table1[[#This Row],[EnvironmentSatisfaction]],Table9[EnvironmentSatisfaction],Table9[Id_EnviromentSatisfaction])</f>
        <v>ES002</v>
      </c>
      <c r="Q566">
        <v>2</v>
      </c>
      <c r="R566" t="str">
        <f>_xlfn.XLOOKUP(Table1[[#This Row],[EnvironmentSatisfaction]],Table9[EnvironmentSatisfaction],Table9[Deskripsi])</f>
        <v>Medium</v>
      </c>
      <c r="S566" t="str">
        <f>_xlfn.XLOOKUP(Table1[[#This Row],[Gender]],Table10[Gender],Table10[Id_Gender])</f>
        <v>G002</v>
      </c>
      <c r="T566" t="s">
        <v>46</v>
      </c>
      <c r="U566">
        <v>46</v>
      </c>
      <c r="V566" t="str">
        <f>_xlfn.XLOOKUP(Table1[[#This Row],[JobInvolvement]],Table11[JobInvolvement],Table11[Id_JobInvolvement])</f>
        <v>JI001</v>
      </c>
      <c r="W566">
        <v>1</v>
      </c>
      <c r="X566" t="str">
        <f>_xlfn.XLOOKUP(Table1[[#This Row],[JobLevel]],Table12[JobLevel],Table12[Id_JobLevel])</f>
        <v>JL002</v>
      </c>
      <c r="Y566">
        <v>2</v>
      </c>
      <c r="Z566" t="str">
        <f>_xlfn.XLOOKUP(Table1[[#This Row],[JobRole]],Table13[JobRole],Table13[Id_JobRole])</f>
        <v>JR007</v>
      </c>
      <c r="AA566" t="s">
        <v>53</v>
      </c>
      <c r="AB566" t="str">
        <f>_xlfn.XLOOKUP(Table1[[#This Row],[JobSatisfaction]],Table14[JobSatisfaction],Table14[Id_JobSatisfaction])</f>
        <v>JS003</v>
      </c>
      <c r="AC566">
        <v>3</v>
      </c>
      <c r="AD566" t="str">
        <f>_xlfn.XLOOKUP(Table1[[#This Row],[JobSatisfaction]],Table14[JobSatisfaction],Table14[Deskripsi])</f>
        <v>High</v>
      </c>
      <c r="AE566" t="str">
        <f>_xlfn.XLOOKUP(Table1[[#This Row],[MaritalStatus]],Table15[MaritalStatus],Table15[Id_MaritalStatus])</f>
        <v>MS001</v>
      </c>
      <c r="AF566" t="s">
        <v>55</v>
      </c>
      <c r="AG566">
        <v>6632</v>
      </c>
      <c r="AH566">
        <v>12388</v>
      </c>
      <c r="AI566">
        <v>0</v>
      </c>
      <c r="AJ566" t="str">
        <f>_xlfn.XLOOKUP(Table1[[#This Row],[OverTime]],Table16[OverTime],Table16[Id_OverTime])</f>
        <v>OT002</v>
      </c>
      <c r="AK566" t="s">
        <v>33</v>
      </c>
      <c r="AL566">
        <v>13</v>
      </c>
      <c r="AM566" t="str">
        <f>_xlfn.XLOOKUP(Table1[[#This Row],[PerformanceRating]],Table17[PerformanceRating],Table17[Id_PerformanceRating])</f>
        <v>PR003</v>
      </c>
      <c r="AN566">
        <v>3</v>
      </c>
      <c r="AO566" t="str">
        <f>_xlfn.XLOOKUP(Table1[[#This Row],[PerformanceRating]],Table17[PerformanceRating],Table17[Deskripsi])</f>
        <v>Excellent</v>
      </c>
      <c r="AP566" t="str">
        <f>_xlfn.XLOOKUP(Table1[[#This Row],[RelationshipSatisfaction]],Table18[RelationshipSatisfaction],Table18[Id_RelationshipSatisfaction])</f>
        <v>RS001</v>
      </c>
      <c r="AQ566">
        <v>1</v>
      </c>
      <c r="AR566" t="str">
        <f>_xlfn.XLOOKUP(Table1[[#This Row],[RelationshipSatisfaction]],Table18[RelationshipSatisfaction],Table18[Deskripsi])</f>
        <v>Low</v>
      </c>
      <c r="AS566" t="str">
        <f>_xlfn.XLOOKUP(Table1[[#This Row],[StockOptionLevel]],Table19[StockOptionLevel],Table19[Id_StockOptionLevel])</f>
        <v>SOL001</v>
      </c>
      <c r="AT566">
        <v>0</v>
      </c>
      <c r="AU566" t="str">
        <f>_xlfn.XLOOKUP(Table1[[#This Row],[StockOptionLevel]],Table19[StockOptionLevel],Table19[Deskripsi])</f>
        <v>Non-Eligible</v>
      </c>
      <c r="AV566">
        <v>9</v>
      </c>
      <c r="AW566">
        <v>3</v>
      </c>
      <c r="AX566" t="str">
        <f>_xlfn.XLOOKUP(Table1[[#This Row],[WorkLifeBalance]],Table20[WorkLifeBalance],Table20[Id_WorkLifeBalance])</f>
        <v>WLB002</v>
      </c>
      <c r="AY566">
        <v>3</v>
      </c>
      <c r="AZ566" t="str">
        <f>_xlfn.XLOOKUP(Table1[[#This Row],[WorkLifeBalance]],Table20[WorkLifeBalance],Table20[Deskripsi])</f>
        <v>Good</v>
      </c>
      <c r="BA566">
        <v>8</v>
      </c>
      <c r="BB566">
        <v>7</v>
      </c>
      <c r="BC566">
        <v>3</v>
      </c>
      <c r="BD566">
        <v>1</v>
      </c>
    </row>
    <row r="567" spans="1:56" x14ac:dyDescent="0.25">
      <c r="A567">
        <v>23</v>
      </c>
      <c r="B567" t="str">
        <f>_xlfn.XLOOKUP(Table1[[#This Row],[Attrition]],Table2[Attrition],Table2[Id_Attrition])</f>
        <v>A002</v>
      </c>
      <c r="C567" t="s">
        <v>33</v>
      </c>
      <c r="D567" t="str">
        <f>_xlfn.XLOOKUP(Table1[[#This Row],[BusinessTravel]],Table5[BusinessTravel],Table5[Id_BusinessTravel])</f>
        <v>BS001</v>
      </c>
      <c r="E567" t="s">
        <v>34</v>
      </c>
      <c r="F567">
        <v>310</v>
      </c>
      <c r="G567" t="str">
        <f>_xlfn.XLOOKUP(Table1[[#This Row],[Department]],Table6[Department],Table6[Id_Departement])</f>
        <v>D002</v>
      </c>
      <c r="H567" t="s">
        <v>38</v>
      </c>
      <c r="I567">
        <v>10</v>
      </c>
      <c r="J567" t="str">
        <f>_xlfn.XLOOKUP(Table1[[#This Row],[Education]],Table8[Education],Table8[Id_Education])</f>
        <v>E001</v>
      </c>
      <c r="K567">
        <v>1</v>
      </c>
      <c r="L567" t="str">
        <f>_xlfn.XLOOKUP(Table1[[#This Row],[EducationField]],Table7[EducationField],Table7[Id_EducationField])</f>
        <v>EF003</v>
      </c>
      <c r="M567" t="s">
        <v>42</v>
      </c>
      <c r="N567" t="str">
        <f>_xlfn.XLOOKUP(Table1[[#This Row],[EmployeeNumber]],Table4[EmployeeNumber],Table4[Id_Employee])</f>
        <v>EMP00566</v>
      </c>
      <c r="O567">
        <v>784</v>
      </c>
      <c r="P567" t="str">
        <f>_xlfn.XLOOKUP(Table1[[#This Row],[EnvironmentSatisfaction]],Table9[EnvironmentSatisfaction],Table9[Id_EnviromentSatisfaction])</f>
        <v>ES001</v>
      </c>
      <c r="Q567">
        <v>1</v>
      </c>
      <c r="R567" t="str">
        <f>_xlfn.XLOOKUP(Table1[[#This Row],[EnvironmentSatisfaction]],Table9[EnvironmentSatisfaction],Table9[Deskripsi])</f>
        <v>Low</v>
      </c>
      <c r="S567" t="str">
        <f>_xlfn.XLOOKUP(Table1[[#This Row],[Gender]],Table10[Gender],Table10[Id_Gender])</f>
        <v>G002</v>
      </c>
      <c r="T567" t="s">
        <v>46</v>
      </c>
      <c r="U567">
        <v>79</v>
      </c>
      <c r="V567" t="str">
        <f>_xlfn.XLOOKUP(Table1[[#This Row],[JobInvolvement]],Table11[JobInvolvement],Table11[Id_JobInvolvement])</f>
        <v>JI004</v>
      </c>
      <c r="W567">
        <v>4</v>
      </c>
      <c r="X567" t="str">
        <f>_xlfn.XLOOKUP(Table1[[#This Row],[JobLevel]],Table12[JobLevel],Table12[Id_JobLevel])</f>
        <v>JL001</v>
      </c>
      <c r="Y567">
        <v>1</v>
      </c>
      <c r="Z567" t="str">
        <f>_xlfn.XLOOKUP(Table1[[#This Row],[JobRole]],Table13[JobRole],Table13[Id_JobRole])</f>
        <v>JR002</v>
      </c>
      <c r="AA567" t="s">
        <v>48</v>
      </c>
      <c r="AB567" t="str">
        <f>_xlfn.XLOOKUP(Table1[[#This Row],[JobSatisfaction]],Table14[JobSatisfaction],Table14[Id_JobSatisfaction])</f>
        <v>JS003</v>
      </c>
      <c r="AC567">
        <v>3</v>
      </c>
      <c r="AD567" t="str">
        <f>_xlfn.XLOOKUP(Table1[[#This Row],[JobSatisfaction]],Table14[JobSatisfaction],Table14[Deskripsi])</f>
        <v>High</v>
      </c>
      <c r="AE567" t="str">
        <f>_xlfn.XLOOKUP(Table1[[#This Row],[MaritalStatus]],Table15[MaritalStatus],Table15[Id_MaritalStatus])</f>
        <v>MS001</v>
      </c>
      <c r="AF567" t="s">
        <v>55</v>
      </c>
      <c r="AG567">
        <v>3505</v>
      </c>
      <c r="AH567">
        <v>19630</v>
      </c>
      <c r="AI567">
        <v>1</v>
      </c>
      <c r="AJ567" t="str">
        <f>_xlfn.XLOOKUP(Table1[[#This Row],[OverTime]],Table16[OverTime],Table16[Id_OverTime])</f>
        <v>OT002</v>
      </c>
      <c r="AK567" t="s">
        <v>33</v>
      </c>
      <c r="AL567">
        <v>18</v>
      </c>
      <c r="AM567" t="str">
        <f>_xlfn.XLOOKUP(Table1[[#This Row],[PerformanceRating]],Table17[PerformanceRating],Table17[Id_PerformanceRating])</f>
        <v>PR003</v>
      </c>
      <c r="AN567">
        <v>3</v>
      </c>
      <c r="AO567" t="str">
        <f>_xlfn.XLOOKUP(Table1[[#This Row],[PerformanceRating]],Table17[PerformanceRating],Table17[Deskripsi])</f>
        <v>Excellent</v>
      </c>
      <c r="AP567" t="str">
        <f>_xlfn.XLOOKUP(Table1[[#This Row],[RelationshipSatisfaction]],Table18[RelationshipSatisfaction],Table18[Id_RelationshipSatisfaction])</f>
        <v>RS004</v>
      </c>
      <c r="AQ567">
        <v>4</v>
      </c>
      <c r="AR567" t="str">
        <f>_xlfn.XLOOKUP(Table1[[#This Row],[RelationshipSatisfaction]],Table18[RelationshipSatisfaction],Table18[Deskripsi])</f>
        <v>Very High</v>
      </c>
      <c r="AS567" t="str">
        <f>_xlfn.XLOOKUP(Table1[[#This Row],[StockOptionLevel]],Table19[StockOptionLevel],Table19[Id_StockOptionLevel])</f>
        <v>SOL001</v>
      </c>
      <c r="AT567">
        <v>0</v>
      </c>
      <c r="AU567" t="str">
        <f>_xlfn.XLOOKUP(Table1[[#This Row],[StockOptionLevel]],Table19[StockOptionLevel],Table19[Deskripsi])</f>
        <v>Non-Eligible</v>
      </c>
      <c r="AV567">
        <v>2</v>
      </c>
      <c r="AW567">
        <v>3</v>
      </c>
      <c r="AX567" t="str">
        <f>_xlfn.XLOOKUP(Table1[[#This Row],[WorkLifeBalance]],Table20[WorkLifeBalance],Table20[Id_WorkLifeBalance])</f>
        <v>WLB002</v>
      </c>
      <c r="AY567">
        <v>3</v>
      </c>
      <c r="AZ567" t="str">
        <f>_xlfn.XLOOKUP(Table1[[#This Row],[WorkLifeBalance]],Table20[WorkLifeBalance],Table20[Deskripsi])</f>
        <v>Good</v>
      </c>
      <c r="BA567">
        <v>2</v>
      </c>
      <c r="BB567">
        <v>2</v>
      </c>
      <c r="BC567">
        <v>0</v>
      </c>
      <c r="BD567">
        <v>2</v>
      </c>
    </row>
    <row r="568" spans="1:56" x14ac:dyDescent="0.25">
      <c r="A568">
        <v>47</v>
      </c>
      <c r="B568" t="str">
        <f>_xlfn.XLOOKUP(Table1[[#This Row],[Attrition]],Table2[Attrition],Table2[Id_Attrition])</f>
        <v>A001</v>
      </c>
      <c r="C568" t="s">
        <v>32</v>
      </c>
      <c r="D568" t="str">
        <f>_xlfn.XLOOKUP(Table1[[#This Row],[BusinessTravel]],Table5[BusinessTravel],Table5[Id_BusinessTravel])</f>
        <v>BS002</v>
      </c>
      <c r="E568" t="s">
        <v>35</v>
      </c>
      <c r="F568">
        <v>719</v>
      </c>
      <c r="G568" t="str">
        <f>_xlfn.XLOOKUP(Table1[[#This Row],[Department]],Table6[Department],Table6[Id_Departement])</f>
        <v>D001</v>
      </c>
      <c r="H568" t="s">
        <v>37</v>
      </c>
      <c r="I568">
        <v>27</v>
      </c>
      <c r="J568" t="str">
        <f>_xlfn.XLOOKUP(Table1[[#This Row],[Education]],Table8[Education],Table8[Id_Education])</f>
        <v>E002</v>
      </c>
      <c r="K568">
        <v>2</v>
      </c>
      <c r="L568" t="str">
        <f>_xlfn.XLOOKUP(Table1[[#This Row],[EducationField]],Table7[EducationField],Table7[Id_EducationField])</f>
        <v>EF001</v>
      </c>
      <c r="M568" t="s">
        <v>40</v>
      </c>
      <c r="N568" t="str">
        <f>_xlfn.XLOOKUP(Table1[[#This Row],[EmployeeNumber]],Table4[EmployeeNumber],Table4[Id_Employee])</f>
        <v>EMP00567</v>
      </c>
      <c r="O568">
        <v>785</v>
      </c>
      <c r="P568" t="str">
        <f>_xlfn.XLOOKUP(Table1[[#This Row],[EnvironmentSatisfaction]],Table9[EnvironmentSatisfaction],Table9[Id_EnviromentSatisfaction])</f>
        <v>ES002</v>
      </c>
      <c r="Q568">
        <v>2</v>
      </c>
      <c r="R568" t="str">
        <f>_xlfn.XLOOKUP(Table1[[#This Row],[EnvironmentSatisfaction]],Table9[EnvironmentSatisfaction],Table9[Deskripsi])</f>
        <v>Medium</v>
      </c>
      <c r="S568" t="str">
        <f>_xlfn.XLOOKUP(Table1[[#This Row],[Gender]],Table10[Gender],Table10[Id_Gender])</f>
        <v>G001</v>
      </c>
      <c r="T568" t="s">
        <v>45</v>
      </c>
      <c r="U568">
        <v>77</v>
      </c>
      <c r="V568" t="str">
        <f>_xlfn.XLOOKUP(Table1[[#This Row],[JobInvolvement]],Table11[JobInvolvement],Table11[Id_JobInvolvement])</f>
        <v>JI004</v>
      </c>
      <c r="W568">
        <v>4</v>
      </c>
      <c r="X568" t="str">
        <f>_xlfn.XLOOKUP(Table1[[#This Row],[JobLevel]],Table12[JobLevel],Table12[Id_JobLevel])</f>
        <v>JL002</v>
      </c>
      <c r="Y568">
        <v>2</v>
      </c>
      <c r="Z568" t="str">
        <f>_xlfn.XLOOKUP(Table1[[#This Row],[JobRole]],Table13[JobRole],Table13[Id_JobRole])</f>
        <v>JR001</v>
      </c>
      <c r="AA568" t="s">
        <v>47</v>
      </c>
      <c r="AB568" t="str">
        <f>_xlfn.XLOOKUP(Table1[[#This Row],[JobSatisfaction]],Table14[JobSatisfaction],Table14[Id_JobSatisfaction])</f>
        <v>JS003</v>
      </c>
      <c r="AC568">
        <v>3</v>
      </c>
      <c r="AD568" t="str">
        <f>_xlfn.XLOOKUP(Table1[[#This Row],[JobSatisfaction]],Table14[JobSatisfaction],Table14[Deskripsi])</f>
        <v>High</v>
      </c>
      <c r="AE568" t="str">
        <f>_xlfn.XLOOKUP(Table1[[#This Row],[MaritalStatus]],Table15[MaritalStatus],Table15[Id_MaritalStatus])</f>
        <v>MS001</v>
      </c>
      <c r="AF568" t="s">
        <v>55</v>
      </c>
      <c r="AG568">
        <v>6397</v>
      </c>
      <c r="AH568">
        <v>10339</v>
      </c>
      <c r="AI568">
        <v>4</v>
      </c>
      <c r="AJ568" t="str">
        <f>_xlfn.XLOOKUP(Table1[[#This Row],[OverTime]],Table16[OverTime],Table16[Id_OverTime])</f>
        <v>OT001</v>
      </c>
      <c r="AK568" t="s">
        <v>32</v>
      </c>
      <c r="AL568">
        <v>12</v>
      </c>
      <c r="AM568" t="str">
        <f>_xlfn.XLOOKUP(Table1[[#This Row],[PerformanceRating]],Table17[PerformanceRating],Table17[Id_PerformanceRating])</f>
        <v>PR003</v>
      </c>
      <c r="AN568">
        <v>3</v>
      </c>
      <c r="AO568" t="str">
        <f>_xlfn.XLOOKUP(Table1[[#This Row],[PerformanceRating]],Table17[PerformanceRating],Table17[Deskripsi])</f>
        <v>Excellent</v>
      </c>
      <c r="AP568" t="str">
        <f>_xlfn.XLOOKUP(Table1[[#This Row],[RelationshipSatisfaction]],Table18[RelationshipSatisfaction],Table18[Id_RelationshipSatisfaction])</f>
        <v>RS004</v>
      </c>
      <c r="AQ568">
        <v>4</v>
      </c>
      <c r="AR568" t="str">
        <f>_xlfn.XLOOKUP(Table1[[#This Row],[RelationshipSatisfaction]],Table18[RelationshipSatisfaction],Table18[Deskripsi])</f>
        <v>Very High</v>
      </c>
      <c r="AS568" t="str">
        <f>_xlfn.XLOOKUP(Table1[[#This Row],[StockOptionLevel]],Table19[StockOptionLevel],Table19[Id_StockOptionLevel])</f>
        <v>SOL001</v>
      </c>
      <c r="AT568">
        <v>0</v>
      </c>
      <c r="AU568" t="str">
        <f>_xlfn.XLOOKUP(Table1[[#This Row],[StockOptionLevel]],Table19[StockOptionLevel],Table19[Deskripsi])</f>
        <v>Non-Eligible</v>
      </c>
      <c r="AV568">
        <v>8</v>
      </c>
      <c r="AW568">
        <v>2</v>
      </c>
      <c r="AX568" t="str">
        <f>_xlfn.XLOOKUP(Table1[[#This Row],[WorkLifeBalance]],Table20[WorkLifeBalance],Table20[Id_WorkLifeBalance])</f>
        <v>WLB002</v>
      </c>
      <c r="AY568">
        <v>3</v>
      </c>
      <c r="AZ568" t="str">
        <f>_xlfn.XLOOKUP(Table1[[#This Row],[WorkLifeBalance]],Table20[WorkLifeBalance],Table20[Deskripsi])</f>
        <v>Good</v>
      </c>
      <c r="BA568">
        <v>5</v>
      </c>
      <c r="BB568">
        <v>4</v>
      </c>
      <c r="BC568">
        <v>1</v>
      </c>
      <c r="BD568">
        <v>3</v>
      </c>
    </row>
    <row r="569" spans="1:56" x14ac:dyDescent="0.25">
      <c r="A569">
        <v>34</v>
      </c>
      <c r="B569" t="str">
        <f>_xlfn.XLOOKUP(Table1[[#This Row],[Attrition]],Table2[Attrition],Table2[Id_Attrition])</f>
        <v>A002</v>
      </c>
      <c r="C569" t="s">
        <v>33</v>
      </c>
      <c r="D569" t="str">
        <f>_xlfn.XLOOKUP(Table1[[#This Row],[BusinessTravel]],Table5[BusinessTravel],Table5[Id_BusinessTravel])</f>
        <v>BS001</v>
      </c>
      <c r="E569" t="s">
        <v>34</v>
      </c>
      <c r="F569">
        <v>304</v>
      </c>
      <c r="G569" t="str">
        <f>_xlfn.XLOOKUP(Table1[[#This Row],[Department]],Table6[Department],Table6[Id_Departement])</f>
        <v>D001</v>
      </c>
      <c r="H569" t="s">
        <v>37</v>
      </c>
      <c r="I569">
        <v>2</v>
      </c>
      <c r="J569" t="str">
        <f>_xlfn.XLOOKUP(Table1[[#This Row],[Education]],Table8[Education],Table8[Id_Education])</f>
        <v>E003</v>
      </c>
      <c r="K569">
        <v>3</v>
      </c>
      <c r="L569" t="str">
        <f>_xlfn.XLOOKUP(Table1[[#This Row],[EducationField]],Table7[EducationField],Table7[Id_EducationField])</f>
        <v>EF002</v>
      </c>
      <c r="M569" t="s">
        <v>41</v>
      </c>
      <c r="N569" t="str">
        <f>_xlfn.XLOOKUP(Table1[[#This Row],[EmployeeNumber]],Table4[EmployeeNumber],Table4[Id_Employee])</f>
        <v>EMP00568</v>
      </c>
      <c r="O569">
        <v>786</v>
      </c>
      <c r="P569" t="str">
        <f>_xlfn.XLOOKUP(Table1[[#This Row],[EnvironmentSatisfaction]],Table9[EnvironmentSatisfaction],Table9[Id_EnviromentSatisfaction])</f>
        <v>ES004</v>
      </c>
      <c r="Q569">
        <v>4</v>
      </c>
      <c r="R569" t="str">
        <f>_xlfn.XLOOKUP(Table1[[#This Row],[EnvironmentSatisfaction]],Table9[EnvironmentSatisfaction],Table9[Deskripsi])</f>
        <v>Very High</v>
      </c>
      <c r="S569" t="str">
        <f>_xlfn.XLOOKUP(Table1[[#This Row],[Gender]],Table10[Gender],Table10[Id_Gender])</f>
        <v>G002</v>
      </c>
      <c r="T569" t="s">
        <v>46</v>
      </c>
      <c r="U569">
        <v>60</v>
      </c>
      <c r="V569" t="str">
        <f>_xlfn.XLOOKUP(Table1[[#This Row],[JobInvolvement]],Table11[JobInvolvement],Table11[Id_JobInvolvement])</f>
        <v>JI003</v>
      </c>
      <c r="W569">
        <v>3</v>
      </c>
      <c r="X569" t="str">
        <f>_xlfn.XLOOKUP(Table1[[#This Row],[JobLevel]],Table12[JobLevel],Table12[Id_JobLevel])</f>
        <v>JL002</v>
      </c>
      <c r="Y569">
        <v>2</v>
      </c>
      <c r="Z569" t="str">
        <f>_xlfn.XLOOKUP(Table1[[#This Row],[JobRole]],Table13[JobRole],Table13[Id_JobRole])</f>
        <v>JR001</v>
      </c>
      <c r="AA569" t="s">
        <v>47</v>
      </c>
      <c r="AB569" t="str">
        <f>_xlfn.XLOOKUP(Table1[[#This Row],[JobSatisfaction]],Table14[JobSatisfaction],Table14[Id_JobSatisfaction])</f>
        <v>JS004</v>
      </c>
      <c r="AC569">
        <v>4</v>
      </c>
      <c r="AD569" t="str">
        <f>_xlfn.XLOOKUP(Table1[[#This Row],[JobSatisfaction]],Table14[JobSatisfaction],Table14[Deskripsi])</f>
        <v>Very High</v>
      </c>
      <c r="AE569" t="str">
        <f>_xlfn.XLOOKUP(Table1[[#This Row],[MaritalStatus]],Table15[MaritalStatus],Table15[Id_MaritalStatus])</f>
        <v>MS001</v>
      </c>
      <c r="AF569" t="s">
        <v>55</v>
      </c>
      <c r="AG569">
        <v>6274</v>
      </c>
      <c r="AH569">
        <v>18686</v>
      </c>
      <c r="AI569">
        <v>1</v>
      </c>
      <c r="AJ569" t="str">
        <f>_xlfn.XLOOKUP(Table1[[#This Row],[OverTime]],Table16[OverTime],Table16[Id_OverTime])</f>
        <v>OT002</v>
      </c>
      <c r="AK569" t="s">
        <v>33</v>
      </c>
      <c r="AL569">
        <v>22</v>
      </c>
      <c r="AM569" t="str">
        <f>_xlfn.XLOOKUP(Table1[[#This Row],[PerformanceRating]],Table17[PerformanceRating],Table17[Id_PerformanceRating])</f>
        <v>PR004</v>
      </c>
      <c r="AN569">
        <v>4</v>
      </c>
      <c r="AO569" t="str">
        <f>_xlfn.XLOOKUP(Table1[[#This Row],[PerformanceRating]],Table17[PerformanceRating],Table17[Deskripsi])</f>
        <v>Outstanding</v>
      </c>
      <c r="AP569" t="str">
        <f>_xlfn.XLOOKUP(Table1[[#This Row],[RelationshipSatisfaction]],Table18[RelationshipSatisfaction],Table18[Id_RelationshipSatisfaction])</f>
        <v>RS003</v>
      </c>
      <c r="AQ569">
        <v>3</v>
      </c>
      <c r="AR569" t="str">
        <f>_xlfn.XLOOKUP(Table1[[#This Row],[RelationshipSatisfaction]],Table18[RelationshipSatisfaction],Table18[Deskripsi])</f>
        <v>High</v>
      </c>
      <c r="AS569" t="str">
        <f>_xlfn.XLOOKUP(Table1[[#This Row],[StockOptionLevel]],Table19[StockOptionLevel],Table19[Id_StockOptionLevel])</f>
        <v>SOL001</v>
      </c>
      <c r="AT569">
        <v>0</v>
      </c>
      <c r="AU569" t="str">
        <f>_xlfn.XLOOKUP(Table1[[#This Row],[StockOptionLevel]],Table19[StockOptionLevel],Table19[Deskripsi])</f>
        <v>Non-Eligible</v>
      </c>
      <c r="AV569">
        <v>6</v>
      </c>
      <c r="AW569">
        <v>5</v>
      </c>
      <c r="AX569" t="str">
        <f>_xlfn.XLOOKUP(Table1[[#This Row],[WorkLifeBalance]],Table20[WorkLifeBalance],Table20[Id_WorkLifeBalance])</f>
        <v>WLB002</v>
      </c>
      <c r="AY569">
        <v>3</v>
      </c>
      <c r="AZ569" t="str">
        <f>_xlfn.XLOOKUP(Table1[[#This Row],[WorkLifeBalance]],Table20[WorkLifeBalance],Table20[Deskripsi])</f>
        <v>Good</v>
      </c>
      <c r="BA569">
        <v>6</v>
      </c>
      <c r="BB569">
        <v>5</v>
      </c>
      <c r="BC569">
        <v>1</v>
      </c>
      <c r="BD569">
        <v>4</v>
      </c>
    </row>
    <row r="570" spans="1:56" x14ac:dyDescent="0.25">
      <c r="A570">
        <v>55</v>
      </c>
      <c r="B570" t="str">
        <f>_xlfn.XLOOKUP(Table1[[#This Row],[Attrition]],Table2[Attrition],Table2[Id_Attrition])</f>
        <v>A001</v>
      </c>
      <c r="C570" t="s">
        <v>32</v>
      </c>
      <c r="D570" t="str">
        <f>_xlfn.XLOOKUP(Table1[[#This Row],[BusinessTravel]],Table5[BusinessTravel],Table5[Id_BusinessTravel])</f>
        <v>BS001</v>
      </c>
      <c r="E570" t="s">
        <v>34</v>
      </c>
      <c r="F570">
        <v>725</v>
      </c>
      <c r="G570" t="str">
        <f>_xlfn.XLOOKUP(Table1[[#This Row],[Department]],Table6[Department],Table6[Id_Departement])</f>
        <v>D002</v>
      </c>
      <c r="H570" t="s">
        <v>38</v>
      </c>
      <c r="I570">
        <v>2</v>
      </c>
      <c r="J570" t="str">
        <f>_xlfn.XLOOKUP(Table1[[#This Row],[Education]],Table8[Education],Table8[Id_Education])</f>
        <v>E003</v>
      </c>
      <c r="K570">
        <v>3</v>
      </c>
      <c r="L570" t="str">
        <f>_xlfn.XLOOKUP(Table1[[#This Row],[EducationField]],Table7[EducationField],Table7[Id_EducationField])</f>
        <v>EF003</v>
      </c>
      <c r="M570" t="s">
        <v>42</v>
      </c>
      <c r="N570" t="str">
        <f>_xlfn.XLOOKUP(Table1[[#This Row],[EmployeeNumber]],Table4[EmployeeNumber],Table4[Id_Employee])</f>
        <v>EMP00569</v>
      </c>
      <c r="O570">
        <v>787</v>
      </c>
      <c r="P570" t="str">
        <f>_xlfn.XLOOKUP(Table1[[#This Row],[EnvironmentSatisfaction]],Table9[EnvironmentSatisfaction],Table9[Id_EnviromentSatisfaction])</f>
        <v>ES004</v>
      </c>
      <c r="Q570">
        <v>4</v>
      </c>
      <c r="R570" t="str">
        <f>_xlfn.XLOOKUP(Table1[[#This Row],[EnvironmentSatisfaction]],Table9[EnvironmentSatisfaction],Table9[Deskripsi])</f>
        <v>Very High</v>
      </c>
      <c r="S570" t="str">
        <f>_xlfn.XLOOKUP(Table1[[#This Row],[Gender]],Table10[Gender],Table10[Id_Gender])</f>
        <v>G002</v>
      </c>
      <c r="T570" t="s">
        <v>46</v>
      </c>
      <c r="U570">
        <v>78</v>
      </c>
      <c r="V570" t="str">
        <f>_xlfn.XLOOKUP(Table1[[#This Row],[JobInvolvement]],Table11[JobInvolvement],Table11[Id_JobInvolvement])</f>
        <v>JI003</v>
      </c>
      <c r="W570">
        <v>3</v>
      </c>
      <c r="X570" t="str">
        <f>_xlfn.XLOOKUP(Table1[[#This Row],[JobLevel]],Table12[JobLevel],Table12[Id_JobLevel])</f>
        <v>JL005</v>
      </c>
      <c r="Y570">
        <v>5</v>
      </c>
      <c r="Z570" t="str">
        <f>_xlfn.XLOOKUP(Table1[[#This Row],[JobRole]],Table13[JobRole],Table13[Id_JobRole])</f>
        <v>JR006</v>
      </c>
      <c r="AA570" t="s">
        <v>52</v>
      </c>
      <c r="AB570" t="str">
        <f>_xlfn.XLOOKUP(Table1[[#This Row],[JobSatisfaction]],Table14[JobSatisfaction],Table14[Id_JobSatisfaction])</f>
        <v>JS001</v>
      </c>
      <c r="AC570">
        <v>1</v>
      </c>
      <c r="AD570" t="str">
        <f>_xlfn.XLOOKUP(Table1[[#This Row],[JobSatisfaction]],Table14[JobSatisfaction],Table14[Deskripsi])</f>
        <v>Low</v>
      </c>
      <c r="AE570" t="str">
        <f>_xlfn.XLOOKUP(Table1[[#This Row],[MaritalStatus]],Table15[MaritalStatus],Table15[Id_MaritalStatus])</f>
        <v>MS002</v>
      </c>
      <c r="AF570" t="s">
        <v>56</v>
      </c>
      <c r="AG570">
        <v>19859</v>
      </c>
      <c r="AH570">
        <v>21199</v>
      </c>
      <c r="AI570">
        <v>5</v>
      </c>
      <c r="AJ570" t="str">
        <f>_xlfn.XLOOKUP(Table1[[#This Row],[OverTime]],Table16[OverTime],Table16[Id_OverTime])</f>
        <v>OT001</v>
      </c>
      <c r="AK570" t="s">
        <v>32</v>
      </c>
      <c r="AL570">
        <v>13</v>
      </c>
      <c r="AM570" t="str">
        <f>_xlfn.XLOOKUP(Table1[[#This Row],[PerformanceRating]],Table17[PerformanceRating],Table17[Id_PerformanceRating])</f>
        <v>PR003</v>
      </c>
      <c r="AN570">
        <v>3</v>
      </c>
      <c r="AO570" t="str">
        <f>_xlfn.XLOOKUP(Table1[[#This Row],[PerformanceRating]],Table17[PerformanceRating],Table17[Deskripsi])</f>
        <v>Excellent</v>
      </c>
      <c r="AP570" t="str">
        <f>_xlfn.XLOOKUP(Table1[[#This Row],[RelationshipSatisfaction]],Table18[RelationshipSatisfaction],Table18[Id_RelationshipSatisfaction])</f>
        <v>RS004</v>
      </c>
      <c r="AQ570">
        <v>4</v>
      </c>
      <c r="AR570" t="str">
        <f>_xlfn.XLOOKUP(Table1[[#This Row],[RelationshipSatisfaction]],Table18[RelationshipSatisfaction],Table18[Deskripsi])</f>
        <v>Very High</v>
      </c>
      <c r="AS570" t="str">
        <f>_xlfn.XLOOKUP(Table1[[#This Row],[StockOptionLevel]],Table19[StockOptionLevel],Table19[Id_StockOptionLevel])</f>
        <v>SOL002</v>
      </c>
      <c r="AT570">
        <v>1</v>
      </c>
      <c r="AU570" t="str">
        <f>_xlfn.XLOOKUP(Table1[[#This Row],[StockOptionLevel]],Table19[StockOptionLevel],Table19[Deskripsi])</f>
        <v>Standard</v>
      </c>
      <c r="AV570">
        <v>24</v>
      </c>
      <c r="AW570">
        <v>2</v>
      </c>
      <c r="AX570" t="str">
        <f>_xlfn.XLOOKUP(Table1[[#This Row],[WorkLifeBalance]],Table20[WorkLifeBalance],Table20[Id_WorkLifeBalance])</f>
        <v>WLB002</v>
      </c>
      <c r="AY570">
        <v>3</v>
      </c>
      <c r="AZ570" t="str">
        <f>_xlfn.XLOOKUP(Table1[[#This Row],[WorkLifeBalance]],Table20[WorkLifeBalance],Table20[Deskripsi])</f>
        <v>Good</v>
      </c>
      <c r="BA570">
        <v>5</v>
      </c>
      <c r="BB570">
        <v>2</v>
      </c>
      <c r="BC570">
        <v>1</v>
      </c>
      <c r="BD570">
        <v>4</v>
      </c>
    </row>
    <row r="571" spans="1:56" x14ac:dyDescent="0.25">
      <c r="A571">
        <v>36</v>
      </c>
      <c r="B571" t="str">
        <f>_xlfn.XLOOKUP(Table1[[#This Row],[Attrition]],Table2[Attrition],Table2[Id_Attrition])</f>
        <v>A002</v>
      </c>
      <c r="C571" t="s">
        <v>33</v>
      </c>
      <c r="D571" t="str">
        <f>_xlfn.XLOOKUP(Table1[[#This Row],[BusinessTravel]],Table5[BusinessTravel],Table5[Id_BusinessTravel])</f>
        <v>BS003</v>
      </c>
      <c r="E571" t="s">
        <v>36</v>
      </c>
      <c r="F571">
        <v>1434</v>
      </c>
      <c r="G571" t="str">
        <f>_xlfn.XLOOKUP(Table1[[#This Row],[Department]],Table6[Department],Table6[Id_Departement])</f>
        <v>D001</v>
      </c>
      <c r="H571" t="s">
        <v>37</v>
      </c>
      <c r="I571">
        <v>8</v>
      </c>
      <c r="J571" t="str">
        <f>_xlfn.XLOOKUP(Table1[[#This Row],[Education]],Table8[Education],Table8[Id_Education])</f>
        <v>E004</v>
      </c>
      <c r="K571">
        <v>4</v>
      </c>
      <c r="L571" t="str">
        <f>_xlfn.XLOOKUP(Table1[[#This Row],[EducationField]],Table7[EducationField],Table7[Id_EducationField])</f>
        <v>EF001</v>
      </c>
      <c r="M571" t="s">
        <v>40</v>
      </c>
      <c r="N571" t="str">
        <f>_xlfn.XLOOKUP(Table1[[#This Row],[EmployeeNumber]],Table4[EmployeeNumber],Table4[Id_Employee])</f>
        <v>EMP00570</v>
      </c>
      <c r="O571">
        <v>789</v>
      </c>
      <c r="P571" t="str">
        <f>_xlfn.XLOOKUP(Table1[[#This Row],[EnvironmentSatisfaction]],Table9[EnvironmentSatisfaction],Table9[Id_EnviromentSatisfaction])</f>
        <v>ES001</v>
      </c>
      <c r="Q571">
        <v>1</v>
      </c>
      <c r="R571" t="str">
        <f>_xlfn.XLOOKUP(Table1[[#This Row],[EnvironmentSatisfaction]],Table9[EnvironmentSatisfaction],Table9[Deskripsi])</f>
        <v>Low</v>
      </c>
      <c r="S571" t="str">
        <f>_xlfn.XLOOKUP(Table1[[#This Row],[Gender]],Table10[Gender],Table10[Id_Gender])</f>
        <v>G002</v>
      </c>
      <c r="T571" t="s">
        <v>46</v>
      </c>
      <c r="U571">
        <v>76</v>
      </c>
      <c r="V571" t="str">
        <f>_xlfn.XLOOKUP(Table1[[#This Row],[JobInvolvement]],Table11[JobInvolvement],Table11[Id_JobInvolvement])</f>
        <v>JI002</v>
      </c>
      <c r="W571">
        <v>2</v>
      </c>
      <c r="X571" t="str">
        <f>_xlfn.XLOOKUP(Table1[[#This Row],[JobLevel]],Table12[JobLevel],Table12[Id_JobLevel])</f>
        <v>JL003</v>
      </c>
      <c r="Y571">
        <v>3</v>
      </c>
      <c r="Z571" t="str">
        <f>_xlfn.XLOOKUP(Table1[[#This Row],[JobRole]],Table13[JobRole],Table13[Id_JobRole])</f>
        <v>JR001</v>
      </c>
      <c r="AA571" t="s">
        <v>47</v>
      </c>
      <c r="AB571" t="str">
        <f>_xlfn.XLOOKUP(Table1[[#This Row],[JobSatisfaction]],Table14[JobSatisfaction],Table14[Id_JobSatisfaction])</f>
        <v>JS001</v>
      </c>
      <c r="AC571">
        <v>1</v>
      </c>
      <c r="AD571" t="str">
        <f>_xlfn.XLOOKUP(Table1[[#This Row],[JobSatisfaction]],Table14[JobSatisfaction],Table14[Deskripsi])</f>
        <v>Low</v>
      </c>
      <c r="AE571" t="str">
        <f>_xlfn.XLOOKUP(Table1[[#This Row],[MaritalStatus]],Table15[MaritalStatus],Table15[Id_MaritalStatus])</f>
        <v>MS001</v>
      </c>
      <c r="AF571" t="s">
        <v>55</v>
      </c>
      <c r="AG571">
        <v>7587</v>
      </c>
      <c r="AH571">
        <v>14229</v>
      </c>
      <c r="AI571">
        <v>1</v>
      </c>
      <c r="AJ571" t="str">
        <f>_xlfn.XLOOKUP(Table1[[#This Row],[OverTime]],Table16[OverTime],Table16[Id_OverTime])</f>
        <v>OT002</v>
      </c>
      <c r="AK571" t="s">
        <v>33</v>
      </c>
      <c r="AL571">
        <v>15</v>
      </c>
      <c r="AM571" t="str">
        <f>_xlfn.XLOOKUP(Table1[[#This Row],[PerformanceRating]],Table17[PerformanceRating],Table17[Id_PerformanceRating])</f>
        <v>PR003</v>
      </c>
      <c r="AN571">
        <v>3</v>
      </c>
      <c r="AO571" t="str">
        <f>_xlfn.XLOOKUP(Table1[[#This Row],[PerformanceRating]],Table17[PerformanceRating],Table17[Deskripsi])</f>
        <v>Excellent</v>
      </c>
      <c r="AP571" t="str">
        <f>_xlfn.XLOOKUP(Table1[[#This Row],[RelationshipSatisfaction]],Table18[RelationshipSatisfaction],Table18[Id_RelationshipSatisfaction])</f>
        <v>RS002</v>
      </c>
      <c r="AQ571">
        <v>2</v>
      </c>
      <c r="AR571" t="str">
        <f>_xlfn.XLOOKUP(Table1[[#This Row],[RelationshipSatisfaction]],Table18[RelationshipSatisfaction],Table18[Deskripsi])</f>
        <v>Medium</v>
      </c>
      <c r="AS571" t="str">
        <f>_xlfn.XLOOKUP(Table1[[#This Row],[StockOptionLevel]],Table19[StockOptionLevel],Table19[Id_StockOptionLevel])</f>
        <v>SOL001</v>
      </c>
      <c r="AT571">
        <v>0</v>
      </c>
      <c r="AU571" t="str">
        <f>_xlfn.XLOOKUP(Table1[[#This Row],[StockOptionLevel]],Table19[StockOptionLevel],Table19[Deskripsi])</f>
        <v>Non-Eligible</v>
      </c>
      <c r="AV571">
        <v>10</v>
      </c>
      <c r="AW571">
        <v>1</v>
      </c>
      <c r="AX571" t="str">
        <f>_xlfn.XLOOKUP(Table1[[#This Row],[WorkLifeBalance]],Table20[WorkLifeBalance],Table20[Id_WorkLifeBalance])</f>
        <v>WLB002</v>
      </c>
      <c r="AY571">
        <v>3</v>
      </c>
      <c r="AZ571" t="str">
        <f>_xlfn.XLOOKUP(Table1[[#This Row],[WorkLifeBalance]],Table20[WorkLifeBalance],Table20[Deskripsi])</f>
        <v>Good</v>
      </c>
      <c r="BA571">
        <v>10</v>
      </c>
      <c r="BB571">
        <v>7</v>
      </c>
      <c r="BC571">
        <v>0</v>
      </c>
      <c r="BD571">
        <v>9</v>
      </c>
    </row>
    <row r="572" spans="1:56" x14ac:dyDescent="0.25">
      <c r="A572">
        <v>52</v>
      </c>
      <c r="B572" t="str">
        <f>_xlfn.XLOOKUP(Table1[[#This Row],[Attrition]],Table2[Attrition],Table2[Id_Attrition])</f>
        <v>A002</v>
      </c>
      <c r="C572" t="s">
        <v>33</v>
      </c>
      <c r="D572" t="str">
        <f>_xlfn.XLOOKUP(Table1[[#This Row],[BusinessTravel]],Table5[BusinessTravel],Table5[Id_BusinessTravel])</f>
        <v>BS003</v>
      </c>
      <c r="E572" t="s">
        <v>36</v>
      </c>
      <c r="F572">
        <v>715</v>
      </c>
      <c r="G572" t="str">
        <f>_xlfn.XLOOKUP(Table1[[#This Row],[Department]],Table6[Department],Table6[Id_Departement])</f>
        <v>D002</v>
      </c>
      <c r="H572" t="s">
        <v>38</v>
      </c>
      <c r="I572">
        <v>19</v>
      </c>
      <c r="J572" t="str">
        <f>_xlfn.XLOOKUP(Table1[[#This Row],[Education]],Table8[Education],Table8[Id_Education])</f>
        <v>E004</v>
      </c>
      <c r="K572">
        <v>4</v>
      </c>
      <c r="L572" t="str">
        <f>_xlfn.XLOOKUP(Table1[[#This Row],[EducationField]],Table7[EducationField],Table7[Id_EducationField])</f>
        <v>EF003</v>
      </c>
      <c r="M572" t="s">
        <v>42</v>
      </c>
      <c r="N572" t="str">
        <f>_xlfn.XLOOKUP(Table1[[#This Row],[EmployeeNumber]],Table4[EmployeeNumber],Table4[Id_Employee])</f>
        <v>EMP00571</v>
      </c>
      <c r="O572">
        <v>791</v>
      </c>
      <c r="P572" t="str">
        <f>_xlfn.XLOOKUP(Table1[[#This Row],[EnvironmentSatisfaction]],Table9[EnvironmentSatisfaction],Table9[Id_EnviromentSatisfaction])</f>
        <v>ES004</v>
      </c>
      <c r="Q572">
        <v>4</v>
      </c>
      <c r="R572" t="str">
        <f>_xlfn.XLOOKUP(Table1[[#This Row],[EnvironmentSatisfaction]],Table9[EnvironmentSatisfaction],Table9[Deskripsi])</f>
        <v>Very High</v>
      </c>
      <c r="S572" t="str">
        <f>_xlfn.XLOOKUP(Table1[[#This Row],[Gender]],Table10[Gender],Table10[Id_Gender])</f>
        <v>G002</v>
      </c>
      <c r="T572" t="s">
        <v>46</v>
      </c>
      <c r="U572">
        <v>41</v>
      </c>
      <c r="V572" t="str">
        <f>_xlfn.XLOOKUP(Table1[[#This Row],[JobInvolvement]],Table11[JobInvolvement],Table11[Id_JobInvolvement])</f>
        <v>JI003</v>
      </c>
      <c r="W572">
        <v>3</v>
      </c>
      <c r="X572" t="str">
        <f>_xlfn.XLOOKUP(Table1[[#This Row],[JobLevel]],Table12[JobLevel],Table12[Id_JobLevel])</f>
        <v>JL001</v>
      </c>
      <c r="Y572">
        <v>1</v>
      </c>
      <c r="Z572" t="str">
        <f>_xlfn.XLOOKUP(Table1[[#This Row],[JobRole]],Table13[JobRole],Table13[Id_JobRole])</f>
        <v>JR002</v>
      </c>
      <c r="AA572" t="s">
        <v>48</v>
      </c>
      <c r="AB572" t="str">
        <f>_xlfn.XLOOKUP(Table1[[#This Row],[JobSatisfaction]],Table14[JobSatisfaction],Table14[Id_JobSatisfaction])</f>
        <v>JS004</v>
      </c>
      <c r="AC572">
        <v>4</v>
      </c>
      <c r="AD572" t="str">
        <f>_xlfn.XLOOKUP(Table1[[#This Row],[JobSatisfaction]],Table14[JobSatisfaction],Table14[Deskripsi])</f>
        <v>Very High</v>
      </c>
      <c r="AE572" t="str">
        <f>_xlfn.XLOOKUP(Table1[[#This Row],[MaritalStatus]],Table15[MaritalStatus],Table15[Id_MaritalStatus])</f>
        <v>MS002</v>
      </c>
      <c r="AF572" t="s">
        <v>56</v>
      </c>
      <c r="AG572">
        <v>4258</v>
      </c>
      <c r="AH572">
        <v>26589</v>
      </c>
      <c r="AI572">
        <v>0</v>
      </c>
      <c r="AJ572" t="str">
        <f>_xlfn.XLOOKUP(Table1[[#This Row],[OverTime]],Table16[OverTime],Table16[Id_OverTime])</f>
        <v>OT002</v>
      </c>
      <c r="AK572" t="s">
        <v>33</v>
      </c>
      <c r="AL572">
        <v>18</v>
      </c>
      <c r="AM572" t="str">
        <f>_xlfn.XLOOKUP(Table1[[#This Row],[PerformanceRating]],Table17[PerformanceRating],Table17[Id_PerformanceRating])</f>
        <v>PR003</v>
      </c>
      <c r="AN572">
        <v>3</v>
      </c>
      <c r="AO572" t="str">
        <f>_xlfn.XLOOKUP(Table1[[#This Row],[PerformanceRating]],Table17[PerformanceRating],Table17[Deskripsi])</f>
        <v>Excellent</v>
      </c>
      <c r="AP572" t="str">
        <f>_xlfn.XLOOKUP(Table1[[#This Row],[RelationshipSatisfaction]],Table18[RelationshipSatisfaction],Table18[Id_RelationshipSatisfaction])</f>
        <v>RS001</v>
      </c>
      <c r="AQ572">
        <v>1</v>
      </c>
      <c r="AR572" t="str">
        <f>_xlfn.XLOOKUP(Table1[[#This Row],[RelationshipSatisfaction]],Table18[RelationshipSatisfaction],Table18[Deskripsi])</f>
        <v>Low</v>
      </c>
      <c r="AS572" t="str">
        <f>_xlfn.XLOOKUP(Table1[[#This Row],[StockOptionLevel]],Table19[StockOptionLevel],Table19[Id_StockOptionLevel])</f>
        <v>SOL002</v>
      </c>
      <c r="AT572">
        <v>1</v>
      </c>
      <c r="AU572" t="str">
        <f>_xlfn.XLOOKUP(Table1[[#This Row],[StockOptionLevel]],Table19[StockOptionLevel],Table19[Deskripsi])</f>
        <v>Standard</v>
      </c>
      <c r="AV572">
        <v>5</v>
      </c>
      <c r="AW572">
        <v>3</v>
      </c>
      <c r="AX572" t="str">
        <f>_xlfn.XLOOKUP(Table1[[#This Row],[WorkLifeBalance]],Table20[WorkLifeBalance],Table20[Id_WorkLifeBalance])</f>
        <v>WLB002</v>
      </c>
      <c r="AY572">
        <v>3</v>
      </c>
      <c r="AZ572" t="str">
        <f>_xlfn.XLOOKUP(Table1[[#This Row],[WorkLifeBalance]],Table20[WorkLifeBalance],Table20[Deskripsi])</f>
        <v>Good</v>
      </c>
      <c r="BA572">
        <v>4</v>
      </c>
      <c r="BB572">
        <v>3</v>
      </c>
      <c r="BC572">
        <v>1</v>
      </c>
      <c r="BD572">
        <v>2</v>
      </c>
    </row>
    <row r="573" spans="1:56" x14ac:dyDescent="0.25">
      <c r="A573">
        <v>26</v>
      </c>
      <c r="B573" t="str">
        <f>_xlfn.XLOOKUP(Table1[[#This Row],[Attrition]],Table2[Attrition],Table2[Id_Attrition])</f>
        <v>A002</v>
      </c>
      <c r="C573" t="s">
        <v>33</v>
      </c>
      <c r="D573" t="str">
        <f>_xlfn.XLOOKUP(Table1[[#This Row],[BusinessTravel]],Table5[BusinessTravel],Table5[Id_BusinessTravel])</f>
        <v>BS002</v>
      </c>
      <c r="E573" t="s">
        <v>35</v>
      </c>
      <c r="F573">
        <v>575</v>
      </c>
      <c r="G573" t="str">
        <f>_xlfn.XLOOKUP(Table1[[#This Row],[Department]],Table6[Department],Table6[Id_Departement])</f>
        <v>D002</v>
      </c>
      <c r="H573" t="s">
        <v>38</v>
      </c>
      <c r="I573">
        <v>1</v>
      </c>
      <c r="J573" t="str">
        <f>_xlfn.XLOOKUP(Table1[[#This Row],[Education]],Table8[Education],Table8[Id_Education])</f>
        <v>E002</v>
      </c>
      <c r="K573">
        <v>2</v>
      </c>
      <c r="L573" t="str">
        <f>_xlfn.XLOOKUP(Table1[[#This Row],[EducationField]],Table7[EducationField],Table7[Id_EducationField])</f>
        <v>EF001</v>
      </c>
      <c r="M573" t="s">
        <v>40</v>
      </c>
      <c r="N573" t="str">
        <f>_xlfn.XLOOKUP(Table1[[#This Row],[EmployeeNumber]],Table4[EmployeeNumber],Table4[Id_Employee])</f>
        <v>EMP00572</v>
      </c>
      <c r="O573">
        <v>792</v>
      </c>
      <c r="P573" t="str">
        <f>_xlfn.XLOOKUP(Table1[[#This Row],[EnvironmentSatisfaction]],Table9[EnvironmentSatisfaction],Table9[Id_EnviromentSatisfaction])</f>
        <v>ES001</v>
      </c>
      <c r="Q573">
        <v>1</v>
      </c>
      <c r="R573" t="str">
        <f>_xlfn.XLOOKUP(Table1[[#This Row],[EnvironmentSatisfaction]],Table9[EnvironmentSatisfaction],Table9[Deskripsi])</f>
        <v>Low</v>
      </c>
      <c r="S573" t="str">
        <f>_xlfn.XLOOKUP(Table1[[#This Row],[Gender]],Table10[Gender],Table10[Id_Gender])</f>
        <v>G001</v>
      </c>
      <c r="T573" t="s">
        <v>45</v>
      </c>
      <c r="U573">
        <v>71</v>
      </c>
      <c r="V573" t="str">
        <f>_xlfn.XLOOKUP(Table1[[#This Row],[JobInvolvement]],Table11[JobInvolvement],Table11[Id_JobInvolvement])</f>
        <v>JI001</v>
      </c>
      <c r="W573">
        <v>1</v>
      </c>
      <c r="X573" t="str">
        <f>_xlfn.XLOOKUP(Table1[[#This Row],[JobLevel]],Table12[JobLevel],Table12[Id_JobLevel])</f>
        <v>JL001</v>
      </c>
      <c r="Y573">
        <v>1</v>
      </c>
      <c r="Z573" t="str">
        <f>_xlfn.XLOOKUP(Table1[[#This Row],[JobRole]],Table13[JobRole],Table13[Id_JobRole])</f>
        <v>JR003</v>
      </c>
      <c r="AA573" t="s">
        <v>49</v>
      </c>
      <c r="AB573" t="str">
        <f>_xlfn.XLOOKUP(Table1[[#This Row],[JobSatisfaction]],Table14[JobSatisfaction],Table14[Id_JobSatisfaction])</f>
        <v>JS004</v>
      </c>
      <c r="AC573">
        <v>4</v>
      </c>
      <c r="AD573" t="str">
        <f>_xlfn.XLOOKUP(Table1[[#This Row],[JobSatisfaction]],Table14[JobSatisfaction],Table14[Deskripsi])</f>
        <v>Very High</v>
      </c>
      <c r="AE573" t="str">
        <f>_xlfn.XLOOKUP(Table1[[#This Row],[MaritalStatus]],Table15[MaritalStatus],Table15[Id_MaritalStatus])</f>
        <v>MS003</v>
      </c>
      <c r="AF573" t="s">
        <v>57</v>
      </c>
      <c r="AG573">
        <v>4364</v>
      </c>
      <c r="AH573">
        <v>5288</v>
      </c>
      <c r="AI573">
        <v>3</v>
      </c>
      <c r="AJ573" t="str">
        <f>_xlfn.XLOOKUP(Table1[[#This Row],[OverTime]],Table16[OverTime],Table16[Id_OverTime])</f>
        <v>OT002</v>
      </c>
      <c r="AK573" t="s">
        <v>33</v>
      </c>
      <c r="AL573">
        <v>14</v>
      </c>
      <c r="AM573" t="str">
        <f>_xlfn.XLOOKUP(Table1[[#This Row],[PerformanceRating]],Table17[PerformanceRating],Table17[Id_PerformanceRating])</f>
        <v>PR003</v>
      </c>
      <c r="AN573">
        <v>3</v>
      </c>
      <c r="AO573" t="str">
        <f>_xlfn.XLOOKUP(Table1[[#This Row],[PerformanceRating]],Table17[PerformanceRating],Table17[Deskripsi])</f>
        <v>Excellent</v>
      </c>
      <c r="AP573" t="str">
        <f>_xlfn.XLOOKUP(Table1[[#This Row],[RelationshipSatisfaction]],Table18[RelationshipSatisfaction],Table18[Id_RelationshipSatisfaction])</f>
        <v>RS001</v>
      </c>
      <c r="AQ573">
        <v>1</v>
      </c>
      <c r="AR573" t="str">
        <f>_xlfn.XLOOKUP(Table1[[#This Row],[RelationshipSatisfaction]],Table18[RelationshipSatisfaction],Table18[Deskripsi])</f>
        <v>Low</v>
      </c>
      <c r="AS573" t="str">
        <f>_xlfn.XLOOKUP(Table1[[#This Row],[StockOptionLevel]],Table19[StockOptionLevel],Table19[Id_StockOptionLevel])</f>
        <v>SOL002</v>
      </c>
      <c r="AT573">
        <v>1</v>
      </c>
      <c r="AU573" t="str">
        <f>_xlfn.XLOOKUP(Table1[[#This Row],[StockOptionLevel]],Table19[StockOptionLevel],Table19[Deskripsi])</f>
        <v>Standard</v>
      </c>
      <c r="AV573">
        <v>5</v>
      </c>
      <c r="AW573">
        <v>2</v>
      </c>
      <c r="AX573" t="str">
        <f>_xlfn.XLOOKUP(Table1[[#This Row],[WorkLifeBalance]],Table20[WorkLifeBalance],Table20[Id_WorkLifeBalance])</f>
        <v>WLB002</v>
      </c>
      <c r="AY573">
        <v>3</v>
      </c>
      <c r="AZ573" t="str">
        <f>_xlfn.XLOOKUP(Table1[[#This Row],[WorkLifeBalance]],Table20[WorkLifeBalance],Table20[Deskripsi])</f>
        <v>Good</v>
      </c>
      <c r="BA573">
        <v>2</v>
      </c>
      <c r="BB573">
        <v>2</v>
      </c>
      <c r="BC573">
        <v>2</v>
      </c>
      <c r="BD573">
        <v>0</v>
      </c>
    </row>
    <row r="574" spans="1:56" x14ac:dyDescent="0.25">
      <c r="A574">
        <v>29</v>
      </c>
      <c r="B574" t="str">
        <f>_xlfn.XLOOKUP(Table1[[#This Row],[Attrition]],Table2[Attrition],Table2[Id_Attrition])</f>
        <v>A002</v>
      </c>
      <c r="C574" t="s">
        <v>33</v>
      </c>
      <c r="D574" t="str">
        <f>_xlfn.XLOOKUP(Table1[[#This Row],[BusinessTravel]],Table5[BusinessTravel],Table5[Id_BusinessTravel])</f>
        <v>BS001</v>
      </c>
      <c r="E574" t="s">
        <v>34</v>
      </c>
      <c r="F574">
        <v>657</v>
      </c>
      <c r="G574" t="str">
        <f>_xlfn.XLOOKUP(Table1[[#This Row],[Department]],Table6[Department],Table6[Id_Departement])</f>
        <v>D002</v>
      </c>
      <c r="H574" t="s">
        <v>38</v>
      </c>
      <c r="I574">
        <v>27</v>
      </c>
      <c r="J574" t="str">
        <f>_xlfn.XLOOKUP(Table1[[#This Row],[Education]],Table8[Education],Table8[Id_Education])</f>
        <v>E003</v>
      </c>
      <c r="K574">
        <v>3</v>
      </c>
      <c r="L574" t="str">
        <f>_xlfn.XLOOKUP(Table1[[#This Row],[EducationField]],Table7[EducationField],Table7[Id_EducationField])</f>
        <v>EF003</v>
      </c>
      <c r="M574" t="s">
        <v>42</v>
      </c>
      <c r="N574" t="str">
        <f>_xlfn.XLOOKUP(Table1[[#This Row],[EmployeeNumber]],Table4[EmployeeNumber],Table4[Id_Employee])</f>
        <v>EMP00573</v>
      </c>
      <c r="O574">
        <v>793</v>
      </c>
      <c r="P574" t="str">
        <f>_xlfn.XLOOKUP(Table1[[#This Row],[EnvironmentSatisfaction]],Table9[EnvironmentSatisfaction],Table9[Id_EnviromentSatisfaction])</f>
        <v>ES002</v>
      </c>
      <c r="Q574">
        <v>2</v>
      </c>
      <c r="R574" t="str">
        <f>_xlfn.XLOOKUP(Table1[[#This Row],[EnvironmentSatisfaction]],Table9[EnvironmentSatisfaction],Table9[Deskripsi])</f>
        <v>Medium</v>
      </c>
      <c r="S574" t="str">
        <f>_xlfn.XLOOKUP(Table1[[#This Row],[Gender]],Table10[Gender],Table10[Id_Gender])</f>
        <v>G001</v>
      </c>
      <c r="T574" t="s">
        <v>45</v>
      </c>
      <c r="U574">
        <v>66</v>
      </c>
      <c r="V574" t="str">
        <f>_xlfn.XLOOKUP(Table1[[#This Row],[JobInvolvement]],Table11[JobInvolvement],Table11[Id_JobInvolvement])</f>
        <v>JI003</v>
      </c>
      <c r="W574">
        <v>3</v>
      </c>
      <c r="X574" t="str">
        <f>_xlfn.XLOOKUP(Table1[[#This Row],[JobLevel]],Table12[JobLevel],Table12[Id_JobLevel])</f>
        <v>JL002</v>
      </c>
      <c r="Y574">
        <v>2</v>
      </c>
      <c r="Z574" t="str">
        <f>_xlfn.XLOOKUP(Table1[[#This Row],[JobRole]],Table13[JobRole],Table13[Id_JobRole])</f>
        <v>JR005</v>
      </c>
      <c r="AA574" t="s">
        <v>51</v>
      </c>
      <c r="AB574" t="str">
        <f>_xlfn.XLOOKUP(Table1[[#This Row],[JobSatisfaction]],Table14[JobSatisfaction],Table14[Id_JobSatisfaction])</f>
        <v>JS003</v>
      </c>
      <c r="AC574">
        <v>3</v>
      </c>
      <c r="AD574" t="str">
        <f>_xlfn.XLOOKUP(Table1[[#This Row],[JobSatisfaction]],Table14[JobSatisfaction],Table14[Deskripsi])</f>
        <v>High</v>
      </c>
      <c r="AE574" t="str">
        <f>_xlfn.XLOOKUP(Table1[[#This Row],[MaritalStatus]],Table15[MaritalStatus],Table15[Id_MaritalStatus])</f>
        <v>MS002</v>
      </c>
      <c r="AF574" t="s">
        <v>56</v>
      </c>
      <c r="AG574">
        <v>4335</v>
      </c>
      <c r="AH574">
        <v>25549</v>
      </c>
      <c r="AI574">
        <v>4</v>
      </c>
      <c r="AJ574" t="str">
        <f>_xlfn.XLOOKUP(Table1[[#This Row],[OverTime]],Table16[OverTime],Table16[Id_OverTime])</f>
        <v>OT002</v>
      </c>
      <c r="AK574" t="s">
        <v>33</v>
      </c>
      <c r="AL574">
        <v>12</v>
      </c>
      <c r="AM574" t="str">
        <f>_xlfn.XLOOKUP(Table1[[#This Row],[PerformanceRating]],Table17[PerformanceRating],Table17[Id_PerformanceRating])</f>
        <v>PR003</v>
      </c>
      <c r="AN574">
        <v>3</v>
      </c>
      <c r="AO574" t="str">
        <f>_xlfn.XLOOKUP(Table1[[#This Row],[PerformanceRating]],Table17[PerformanceRating],Table17[Deskripsi])</f>
        <v>Excellent</v>
      </c>
      <c r="AP574" t="str">
        <f>_xlfn.XLOOKUP(Table1[[#This Row],[RelationshipSatisfaction]],Table18[RelationshipSatisfaction],Table18[Id_RelationshipSatisfaction])</f>
        <v>RS001</v>
      </c>
      <c r="AQ574">
        <v>1</v>
      </c>
      <c r="AR574" t="str">
        <f>_xlfn.XLOOKUP(Table1[[#This Row],[RelationshipSatisfaction]],Table18[RelationshipSatisfaction],Table18[Deskripsi])</f>
        <v>Low</v>
      </c>
      <c r="AS574" t="str">
        <f>_xlfn.XLOOKUP(Table1[[#This Row],[StockOptionLevel]],Table19[StockOptionLevel],Table19[Id_StockOptionLevel])</f>
        <v>SOL002</v>
      </c>
      <c r="AT574">
        <v>1</v>
      </c>
      <c r="AU574" t="str">
        <f>_xlfn.XLOOKUP(Table1[[#This Row],[StockOptionLevel]],Table19[StockOptionLevel],Table19[Deskripsi])</f>
        <v>Standard</v>
      </c>
      <c r="AV574">
        <v>11</v>
      </c>
      <c r="AW574">
        <v>3</v>
      </c>
      <c r="AX574" t="str">
        <f>_xlfn.XLOOKUP(Table1[[#This Row],[WorkLifeBalance]],Table20[WorkLifeBalance],Table20[Id_WorkLifeBalance])</f>
        <v>WLB003</v>
      </c>
      <c r="AY574">
        <v>2</v>
      </c>
      <c r="AZ574" t="str">
        <f>_xlfn.XLOOKUP(Table1[[#This Row],[WorkLifeBalance]],Table20[WorkLifeBalance],Table20[Deskripsi])</f>
        <v>Better</v>
      </c>
      <c r="BA574">
        <v>8</v>
      </c>
      <c r="BB574">
        <v>7</v>
      </c>
      <c r="BC574">
        <v>1</v>
      </c>
      <c r="BD574">
        <v>1</v>
      </c>
    </row>
    <row r="575" spans="1:56" x14ac:dyDescent="0.25">
      <c r="A575">
        <v>26</v>
      </c>
      <c r="B575" t="str">
        <f>_xlfn.XLOOKUP(Table1[[#This Row],[Attrition]],Table2[Attrition],Table2[Id_Attrition])</f>
        <v>A001</v>
      </c>
      <c r="C575" t="s">
        <v>32</v>
      </c>
      <c r="D575" t="str">
        <f>_xlfn.XLOOKUP(Table1[[#This Row],[BusinessTravel]],Table5[BusinessTravel],Table5[Id_BusinessTravel])</f>
        <v>BS001</v>
      </c>
      <c r="E575" t="s">
        <v>34</v>
      </c>
      <c r="F575">
        <v>1146</v>
      </c>
      <c r="G575" t="str">
        <f>_xlfn.XLOOKUP(Table1[[#This Row],[Department]],Table6[Department],Table6[Id_Departement])</f>
        <v>D001</v>
      </c>
      <c r="H575" t="s">
        <v>37</v>
      </c>
      <c r="I575">
        <v>8</v>
      </c>
      <c r="J575" t="str">
        <f>_xlfn.XLOOKUP(Table1[[#This Row],[Education]],Table8[Education],Table8[Id_Education])</f>
        <v>E003</v>
      </c>
      <c r="K575">
        <v>3</v>
      </c>
      <c r="L575" t="str">
        <f>_xlfn.XLOOKUP(Table1[[#This Row],[EducationField]],Table7[EducationField],Table7[Id_EducationField])</f>
        <v>EF005</v>
      </c>
      <c r="M575" t="s">
        <v>44</v>
      </c>
      <c r="N575" t="str">
        <f>_xlfn.XLOOKUP(Table1[[#This Row],[EmployeeNumber]],Table4[EmployeeNumber],Table4[Id_Employee])</f>
        <v>EMP00574</v>
      </c>
      <c r="O575">
        <v>796</v>
      </c>
      <c r="P575" t="str">
        <f>_xlfn.XLOOKUP(Table1[[#This Row],[EnvironmentSatisfaction]],Table9[EnvironmentSatisfaction],Table9[Id_EnviromentSatisfaction])</f>
        <v>ES004</v>
      </c>
      <c r="Q575">
        <v>4</v>
      </c>
      <c r="R575" t="str">
        <f>_xlfn.XLOOKUP(Table1[[#This Row],[EnvironmentSatisfaction]],Table9[EnvironmentSatisfaction],Table9[Deskripsi])</f>
        <v>Very High</v>
      </c>
      <c r="S575" t="str">
        <f>_xlfn.XLOOKUP(Table1[[#This Row],[Gender]],Table10[Gender],Table10[Id_Gender])</f>
        <v>G002</v>
      </c>
      <c r="T575" t="s">
        <v>46</v>
      </c>
      <c r="U575">
        <v>38</v>
      </c>
      <c r="V575" t="str">
        <f>_xlfn.XLOOKUP(Table1[[#This Row],[JobInvolvement]],Table11[JobInvolvement],Table11[Id_JobInvolvement])</f>
        <v>JI002</v>
      </c>
      <c r="W575">
        <v>2</v>
      </c>
      <c r="X575" t="str">
        <f>_xlfn.XLOOKUP(Table1[[#This Row],[JobLevel]],Table12[JobLevel],Table12[Id_JobLevel])</f>
        <v>JL002</v>
      </c>
      <c r="Y575">
        <v>2</v>
      </c>
      <c r="Z575" t="str">
        <f>_xlfn.XLOOKUP(Table1[[#This Row],[JobRole]],Table13[JobRole],Table13[Id_JobRole])</f>
        <v>JR001</v>
      </c>
      <c r="AA575" t="s">
        <v>47</v>
      </c>
      <c r="AB575" t="str">
        <f>_xlfn.XLOOKUP(Table1[[#This Row],[JobSatisfaction]],Table14[JobSatisfaction],Table14[Id_JobSatisfaction])</f>
        <v>JS001</v>
      </c>
      <c r="AC575">
        <v>1</v>
      </c>
      <c r="AD575" t="str">
        <f>_xlfn.XLOOKUP(Table1[[#This Row],[JobSatisfaction]],Table14[JobSatisfaction],Table14[Deskripsi])</f>
        <v>Low</v>
      </c>
      <c r="AE575" t="str">
        <f>_xlfn.XLOOKUP(Table1[[#This Row],[MaritalStatus]],Table15[MaritalStatus],Table15[Id_MaritalStatus])</f>
        <v>MS001</v>
      </c>
      <c r="AF575" t="s">
        <v>55</v>
      </c>
      <c r="AG575">
        <v>5326</v>
      </c>
      <c r="AH575">
        <v>3064</v>
      </c>
      <c r="AI575">
        <v>6</v>
      </c>
      <c r="AJ575" t="str">
        <f>_xlfn.XLOOKUP(Table1[[#This Row],[OverTime]],Table16[OverTime],Table16[Id_OverTime])</f>
        <v>OT002</v>
      </c>
      <c r="AK575" t="s">
        <v>33</v>
      </c>
      <c r="AL575">
        <v>17</v>
      </c>
      <c r="AM575" t="str">
        <f>_xlfn.XLOOKUP(Table1[[#This Row],[PerformanceRating]],Table17[PerformanceRating],Table17[Id_PerformanceRating])</f>
        <v>PR003</v>
      </c>
      <c r="AN575">
        <v>3</v>
      </c>
      <c r="AO575" t="str">
        <f>_xlfn.XLOOKUP(Table1[[#This Row],[PerformanceRating]],Table17[PerformanceRating],Table17[Deskripsi])</f>
        <v>Excellent</v>
      </c>
      <c r="AP575" t="str">
        <f>_xlfn.XLOOKUP(Table1[[#This Row],[RelationshipSatisfaction]],Table18[RelationshipSatisfaction],Table18[Id_RelationshipSatisfaction])</f>
        <v>RS003</v>
      </c>
      <c r="AQ575">
        <v>3</v>
      </c>
      <c r="AR575" t="str">
        <f>_xlfn.XLOOKUP(Table1[[#This Row],[RelationshipSatisfaction]],Table18[RelationshipSatisfaction],Table18[Deskripsi])</f>
        <v>High</v>
      </c>
      <c r="AS575" t="str">
        <f>_xlfn.XLOOKUP(Table1[[#This Row],[StockOptionLevel]],Table19[StockOptionLevel],Table19[Id_StockOptionLevel])</f>
        <v>SOL001</v>
      </c>
      <c r="AT575">
        <v>0</v>
      </c>
      <c r="AU575" t="str">
        <f>_xlfn.XLOOKUP(Table1[[#This Row],[StockOptionLevel]],Table19[StockOptionLevel],Table19[Deskripsi])</f>
        <v>Non-Eligible</v>
      </c>
      <c r="AV575">
        <v>6</v>
      </c>
      <c r="AW575">
        <v>2</v>
      </c>
      <c r="AX575" t="str">
        <f>_xlfn.XLOOKUP(Table1[[#This Row],[WorkLifeBalance]],Table20[WorkLifeBalance],Table20[Id_WorkLifeBalance])</f>
        <v>WLB003</v>
      </c>
      <c r="AY575">
        <v>2</v>
      </c>
      <c r="AZ575" t="str">
        <f>_xlfn.XLOOKUP(Table1[[#This Row],[WorkLifeBalance]],Table20[WorkLifeBalance],Table20[Deskripsi])</f>
        <v>Better</v>
      </c>
      <c r="BA575">
        <v>4</v>
      </c>
      <c r="BB575">
        <v>3</v>
      </c>
      <c r="BC575">
        <v>1</v>
      </c>
      <c r="BD575">
        <v>2</v>
      </c>
    </row>
    <row r="576" spans="1:56" x14ac:dyDescent="0.25">
      <c r="A576">
        <v>34</v>
      </c>
      <c r="B576" t="str">
        <f>_xlfn.XLOOKUP(Table1[[#This Row],[Attrition]],Table2[Attrition],Table2[Id_Attrition])</f>
        <v>A002</v>
      </c>
      <c r="C576" t="s">
        <v>33</v>
      </c>
      <c r="D576" t="str">
        <f>_xlfn.XLOOKUP(Table1[[#This Row],[BusinessTravel]],Table5[BusinessTravel],Table5[Id_BusinessTravel])</f>
        <v>BS001</v>
      </c>
      <c r="E576" t="s">
        <v>34</v>
      </c>
      <c r="F576">
        <v>182</v>
      </c>
      <c r="G576" t="str">
        <f>_xlfn.XLOOKUP(Table1[[#This Row],[Department]],Table6[Department],Table6[Id_Departement])</f>
        <v>D002</v>
      </c>
      <c r="H576" t="s">
        <v>38</v>
      </c>
      <c r="I576">
        <v>1</v>
      </c>
      <c r="J576" t="str">
        <f>_xlfn.XLOOKUP(Table1[[#This Row],[Education]],Table8[Education],Table8[Id_Education])</f>
        <v>E004</v>
      </c>
      <c r="K576">
        <v>4</v>
      </c>
      <c r="L576" t="str">
        <f>_xlfn.XLOOKUP(Table1[[#This Row],[EducationField]],Table7[EducationField],Table7[Id_EducationField])</f>
        <v>EF001</v>
      </c>
      <c r="M576" t="s">
        <v>40</v>
      </c>
      <c r="N576" t="str">
        <f>_xlfn.XLOOKUP(Table1[[#This Row],[EmployeeNumber]],Table4[EmployeeNumber],Table4[Id_Employee])</f>
        <v>EMP00575</v>
      </c>
      <c r="O576">
        <v>797</v>
      </c>
      <c r="P576" t="str">
        <f>_xlfn.XLOOKUP(Table1[[#This Row],[EnvironmentSatisfaction]],Table9[EnvironmentSatisfaction],Table9[Id_EnviromentSatisfaction])</f>
        <v>ES002</v>
      </c>
      <c r="Q576">
        <v>2</v>
      </c>
      <c r="R576" t="str">
        <f>_xlfn.XLOOKUP(Table1[[#This Row],[EnvironmentSatisfaction]],Table9[EnvironmentSatisfaction],Table9[Deskripsi])</f>
        <v>Medium</v>
      </c>
      <c r="S576" t="str">
        <f>_xlfn.XLOOKUP(Table1[[#This Row],[Gender]],Table10[Gender],Table10[Id_Gender])</f>
        <v>G001</v>
      </c>
      <c r="T576" t="s">
        <v>45</v>
      </c>
      <c r="U576">
        <v>72</v>
      </c>
      <c r="V576" t="str">
        <f>_xlfn.XLOOKUP(Table1[[#This Row],[JobInvolvement]],Table11[JobInvolvement],Table11[Id_JobInvolvement])</f>
        <v>JI004</v>
      </c>
      <c r="W576">
        <v>4</v>
      </c>
      <c r="X576" t="str">
        <f>_xlfn.XLOOKUP(Table1[[#This Row],[JobLevel]],Table12[JobLevel],Table12[Id_JobLevel])</f>
        <v>JL001</v>
      </c>
      <c r="Y576">
        <v>1</v>
      </c>
      <c r="Z576" t="str">
        <f>_xlfn.XLOOKUP(Table1[[#This Row],[JobRole]],Table13[JobRole],Table13[Id_JobRole])</f>
        <v>JR002</v>
      </c>
      <c r="AA576" t="s">
        <v>48</v>
      </c>
      <c r="AB576" t="str">
        <f>_xlfn.XLOOKUP(Table1[[#This Row],[JobSatisfaction]],Table14[JobSatisfaction],Table14[Id_JobSatisfaction])</f>
        <v>JS004</v>
      </c>
      <c r="AC576">
        <v>4</v>
      </c>
      <c r="AD576" t="str">
        <f>_xlfn.XLOOKUP(Table1[[#This Row],[JobSatisfaction]],Table14[JobSatisfaction],Table14[Deskripsi])</f>
        <v>Very High</v>
      </c>
      <c r="AE576" t="str">
        <f>_xlfn.XLOOKUP(Table1[[#This Row],[MaritalStatus]],Table15[MaritalStatus],Table15[Id_MaritalStatus])</f>
        <v>MS001</v>
      </c>
      <c r="AF576" t="s">
        <v>55</v>
      </c>
      <c r="AG576">
        <v>3280</v>
      </c>
      <c r="AH576">
        <v>13551</v>
      </c>
      <c r="AI576">
        <v>2</v>
      </c>
      <c r="AJ576" t="str">
        <f>_xlfn.XLOOKUP(Table1[[#This Row],[OverTime]],Table16[OverTime],Table16[Id_OverTime])</f>
        <v>OT002</v>
      </c>
      <c r="AK576" t="s">
        <v>33</v>
      </c>
      <c r="AL576">
        <v>16</v>
      </c>
      <c r="AM576" t="str">
        <f>_xlfn.XLOOKUP(Table1[[#This Row],[PerformanceRating]],Table17[PerformanceRating],Table17[Id_PerformanceRating])</f>
        <v>PR003</v>
      </c>
      <c r="AN576">
        <v>3</v>
      </c>
      <c r="AO576" t="str">
        <f>_xlfn.XLOOKUP(Table1[[#This Row],[PerformanceRating]],Table17[PerformanceRating],Table17[Deskripsi])</f>
        <v>Excellent</v>
      </c>
      <c r="AP576" t="str">
        <f>_xlfn.XLOOKUP(Table1[[#This Row],[RelationshipSatisfaction]],Table18[RelationshipSatisfaction],Table18[Id_RelationshipSatisfaction])</f>
        <v>RS003</v>
      </c>
      <c r="AQ576">
        <v>3</v>
      </c>
      <c r="AR576" t="str">
        <f>_xlfn.XLOOKUP(Table1[[#This Row],[RelationshipSatisfaction]],Table18[RelationshipSatisfaction],Table18[Deskripsi])</f>
        <v>High</v>
      </c>
      <c r="AS576" t="str">
        <f>_xlfn.XLOOKUP(Table1[[#This Row],[StockOptionLevel]],Table19[StockOptionLevel],Table19[Id_StockOptionLevel])</f>
        <v>SOL001</v>
      </c>
      <c r="AT576">
        <v>0</v>
      </c>
      <c r="AU576" t="str">
        <f>_xlfn.XLOOKUP(Table1[[#This Row],[StockOptionLevel]],Table19[StockOptionLevel],Table19[Deskripsi])</f>
        <v>Non-Eligible</v>
      </c>
      <c r="AV576">
        <v>10</v>
      </c>
      <c r="AW576">
        <v>2</v>
      </c>
      <c r="AX576" t="str">
        <f>_xlfn.XLOOKUP(Table1[[#This Row],[WorkLifeBalance]],Table20[WorkLifeBalance],Table20[Id_WorkLifeBalance])</f>
        <v>WLB002</v>
      </c>
      <c r="AY576">
        <v>3</v>
      </c>
      <c r="AZ576" t="str">
        <f>_xlfn.XLOOKUP(Table1[[#This Row],[WorkLifeBalance]],Table20[WorkLifeBalance],Table20[Deskripsi])</f>
        <v>Good</v>
      </c>
      <c r="BA576">
        <v>4</v>
      </c>
      <c r="BB576">
        <v>2</v>
      </c>
      <c r="BC576">
        <v>1</v>
      </c>
      <c r="BD576">
        <v>3</v>
      </c>
    </row>
    <row r="577" spans="1:56" x14ac:dyDescent="0.25">
      <c r="A577">
        <v>54</v>
      </c>
      <c r="B577" t="str">
        <f>_xlfn.XLOOKUP(Table1[[#This Row],[Attrition]],Table2[Attrition],Table2[Id_Attrition])</f>
        <v>A002</v>
      </c>
      <c r="C577" t="s">
        <v>33</v>
      </c>
      <c r="D577" t="str">
        <f>_xlfn.XLOOKUP(Table1[[#This Row],[BusinessTravel]],Table5[BusinessTravel],Table5[Id_BusinessTravel])</f>
        <v>BS001</v>
      </c>
      <c r="E577" t="s">
        <v>34</v>
      </c>
      <c r="F577">
        <v>376</v>
      </c>
      <c r="G577" t="str">
        <f>_xlfn.XLOOKUP(Table1[[#This Row],[Department]],Table6[Department],Table6[Id_Departement])</f>
        <v>D002</v>
      </c>
      <c r="H577" t="s">
        <v>38</v>
      </c>
      <c r="I577">
        <v>19</v>
      </c>
      <c r="J577" t="str">
        <f>_xlfn.XLOOKUP(Table1[[#This Row],[Education]],Table8[Education],Table8[Id_Education])</f>
        <v>E004</v>
      </c>
      <c r="K577">
        <v>4</v>
      </c>
      <c r="L577" t="str">
        <f>_xlfn.XLOOKUP(Table1[[#This Row],[EducationField]],Table7[EducationField],Table7[Id_EducationField])</f>
        <v>EF003</v>
      </c>
      <c r="M577" t="s">
        <v>42</v>
      </c>
      <c r="N577" t="str">
        <f>_xlfn.XLOOKUP(Table1[[#This Row],[EmployeeNumber]],Table4[EmployeeNumber],Table4[Id_Employee])</f>
        <v>EMP00576</v>
      </c>
      <c r="O577">
        <v>799</v>
      </c>
      <c r="P577" t="str">
        <f>_xlfn.XLOOKUP(Table1[[#This Row],[EnvironmentSatisfaction]],Table9[EnvironmentSatisfaction],Table9[Id_EnviromentSatisfaction])</f>
        <v>ES004</v>
      </c>
      <c r="Q577">
        <v>4</v>
      </c>
      <c r="R577" t="str">
        <f>_xlfn.XLOOKUP(Table1[[#This Row],[EnvironmentSatisfaction]],Table9[EnvironmentSatisfaction],Table9[Deskripsi])</f>
        <v>Very High</v>
      </c>
      <c r="S577" t="str">
        <f>_xlfn.XLOOKUP(Table1[[#This Row],[Gender]],Table10[Gender],Table10[Id_Gender])</f>
        <v>G001</v>
      </c>
      <c r="T577" t="s">
        <v>45</v>
      </c>
      <c r="U577">
        <v>95</v>
      </c>
      <c r="V577" t="str">
        <f>_xlfn.XLOOKUP(Table1[[#This Row],[JobInvolvement]],Table11[JobInvolvement],Table11[Id_JobInvolvement])</f>
        <v>JI003</v>
      </c>
      <c r="W577">
        <v>3</v>
      </c>
      <c r="X577" t="str">
        <f>_xlfn.XLOOKUP(Table1[[#This Row],[JobLevel]],Table12[JobLevel],Table12[Id_JobLevel])</f>
        <v>JL002</v>
      </c>
      <c r="Y577">
        <v>2</v>
      </c>
      <c r="Z577" t="str">
        <f>_xlfn.XLOOKUP(Table1[[#This Row],[JobRole]],Table13[JobRole],Table13[Id_JobRole])</f>
        <v>JR004</v>
      </c>
      <c r="AA577" t="s">
        <v>50</v>
      </c>
      <c r="AB577" t="str">
        <f>_xlfn.XLOOKUP(Table1[[#This Row],[JobSatisfaction]],Table14[JobSatisfaction],Table14[Id_JobSatisfaction])</f>
        <v>JS001</v>
      </c>
      <c r="AC577">
        <v>1</v>
      </c>
      <c r="AD577" t="str">
        <f>_xlfn.XLOOKUP(Table1[[#This Row],[JobSatisfaction]],Table14[JobSatisfaction],Table14[Deskripsi])</f>
        <v>Low</v>
      </c>
      <c r="AE577" t="str">
        <f>_xlfn.XLOOKUP(Table1[[#This Row],[MaritalStatus]],Table15[MaritalStatus],Table15[Id_MaritalStatus])</f>
        <v>MS003</v>
      </c>
      <c r="AF577" t="s">
        <v>57</v>
      </c>
      <c r="AG577">
        <v>5485</v>
      </c>
      <c r="AH577">
        <v>22670</v>
      </c>
      <c r="AI577">
        <v>9</v>
      </c>
      <c r="AJ577" t="str">
        <f>_xlfn.XLOOKUP(Table1[[#This Row],[OverTime]],Table16[OverTime],Table16[Id_OverTime])</f>
        <v>OT001</v>
      </c>
      <c r="AK577" t="s">
        <v>32</v>
      </c>
      <c r="AL577">
        <v>11</v>
      </c>
      <c r="AM577" t="str">
        <f>_xlfn.XLOOKUP(Table1[[#This Row],[PerformanceRating]],Table17[PerformanceRating],Table17[Id_PerformanceRating])</f>
        <v>PR003</v>
      </c>
      <c r="AN577">
        <v>3</v>
      </c>
      <c r="AO577" t="str">
        <f>_xlfn.XLOOKUP(Table1[[#This Row],[PerformanceRating]],Table17[PerformanceRating],Table17[Deskripsi])</f>
        <v>Excellent</v>
      </c>
      <c r="AP577" t="str">
        <f>_xlfn.XLOOKUP(Table1[[#This Row],[RelationshipSatisfaction]],Table18[RelationshipSatisfaction],Table18[Id_RelationshipSatisfaction])</f>
        <v>RS002</v>
      </c>
      <c r="AQ577">
        <v>2</v>
      </c>
      <c r="AR577" t="str">
        <f>_xlfn.XLOOKUP(Table1[[#This Row],[RelationshipSatisfaction]],Table18[RelationshipSatisfaction],Table18[Deskripsi])</f>
        <v>Medium</v>
      </c>
      <c r="AS577" t="str">
        <f>_xlfn.XLOOKUP(Table1[[#This Row],[StockOptionLevel]],Table19[StockOptionLevel],Table19[Id_StockOptionLevel])</f>
        <v>SOL003</v>
      </c>
      <c r="AT577">
        <v>2</v>
      </c>
      <c r="AU577" t="str">
        <f>_xlfn.XLOOKUP(Table1[[#This Row],[StockOptionLevel]],Table19[StockOptionLevel],Table19[Deskripsi])</f>
        <v>Intermediate</v>
      </c>
      <c r="AV577">
        <v>9</v>
      </c>
      <c r="AW577">
        <v>4</v>
      </c>
      <c r="AX577" t="str">
        <f>_xlfn.XLOOKUP(Table1[[#This Row],[WorkLifeBalance]],Table20[WorkLifeBalance],Table20[Id_WorkLifeBalance])</f>
        <v>WLB002</v>
      </c>
      <c r="AY577">
        <v>3</v>
      </c>
      <c r="AZ577" t="str">
        <f>_xlfn.XLOOKUP(Table1[[#This Row],[WorkLifeBalance]],Table20[WorkLifeBalance],Table20[Deskripsi])</f>
        <v>Good</v>
      </c>
      <c r="BA577">
        <v>5</v>
      </c>
      <c r="BB577">
        <v>3</v>
      </c>
      <c r="BC577">
        <v>1</v>
      </c>
      <c r="BD577">
        <v>4</v>
      </c>
    </row>
    <row r="578" spans="1:56" x14ac:dyDescent="0.25">
      <c r="A578">
        <v>27</v>
      </c>
      <c r="B578" t="str">
        <f>_xlfn.XLOOKUP(Table1[[#This Row],[Attrition]],Table2[Attrition],Table2[Id_Attrition])</f>
        <v>A002</v>
      </c>
      <c r="C578" t="s">
        <v>33</v>
      </c>
      <c r="D578" t="str">
        <f>_xlfn.XLOOKUP(Table1[[#This Row],[BusinessTravel]],Table5[BusinessTravel],Table5[Id_BusinessTravel])</f>
        <v>BS002</v>
      </c>
      <c r="E578" t="s">
        <v>35</v>
      </c>
      <c r="F578">
        <v>829</v>
      </c>
      <c r="G578" t="str">
        <f>_xlfn.XLOOKUP(Table1[[#This Row],[Department]],Table6[Department],Table6[Id_Departement])</f>
        <v>D001</v>
      </c>
      <c r="H578" t="s">
        <v>37</v>
      </c>
      <c r="I578">
        <v>8</v>
      </c>
      <c r="J578" t="str">
        <f>_xlfn.XLOOKUP(Table1[[#This Row],[Education]],Table8[Education],Table8[Id_Education])</f>
        <v>E001</v>
      </c>
      <c r="K578">
        <v>1</v>
      </c>
      <c r="L578" t="str">
        <f>_xlfn.XLOOKUP(Table1[[#This Row],[EducationField]],Table7[EducationField],Table7[Id_EducationField])</f>
        <v>EF004</v>
      </c>
      <c r="M578" t="s">
        <v>43</v>
      </c>
      <c r="N578" t="str">
        <f>_xlfn.XLOOKUP(Table1[[#This Row],[EmployeeNumber]],Table4[EmployeeNumber],Table4[Id_Employee])</f>
        <v>EMP00577</v>
      </c>
      <c r="O578">
        <v>800</v>
      </c>
      <c r="P578" t="str">
        <f>_xlfn.XLOOKUP(Table1[[#This Row],[EnvironmentSatisfaction]],Table9[EnvironmentSatisfaction],Table9[Id_EnviromentSatisfaction])</f>
        <v>ES003</v>
      </c>
      <c r="Q578">
        <v>3</v>
      </c>
      <c r="R578" t="str">
        <f>_xlfn.XLOOKUP(Table1[[#This Row],[EnvironmentSatisfaction]],Table9[EnvironmentSatisfaction],Table9[Deskripsi])</f>
        <v>High</v>
      </c>
      <c r="S578" t="str">
        <f>_xlfn.XLOOKUP(Table1[[#This Row],[Gender]],Table10[Gender],Table10[Id_Gender])</f>
        <v>G002</v>
      </c>
      <c r="T578" t="s">
        <v>46</v>
      </c>
      <c r="U578">
        <v>84</v>
      </c>
      <c r="V578" t="str">
        <f>_xlfn.XLOOKUP(Table1[[#This Row],[JobInvolvement]],Table11[JobInvolvement],Table11[Id_JobInvolvement])</f>
        <v>JI003</v>
      </c>
      <c r="W578">
        <v>3</v>
      </c>
      <c r="X578" t="str">
        <f>_xlfn.XLOOKUP(Table1[[#This Row],[JobLevel]],Table12[JobLevel],Table12[Id_JobLevel])</f>
        <v>JL002</v>
      </c>
      <c r="Y578">
        <v>2</v>
      </c>
      <c r="Z578" t="str">
        <f>_xlfn.XLOOKUP(Table1[[#This Row],[JobRole]],Table13[JobRole],Table13[Id_JobRole])</f>
        <v>JR001</v>
      </c>
      <c r="AA578" t="s">
        <v>47</v>
      </c>
      <c r="AB578" t="str">
        <f>_xlfn.XLOOKUP(Table1[[#This Row],[JobSatisfaction]],Table14[JobSatisfaction],Table14[Id_JobSatisfaction])</f>
        <v>JS004</v>
      </c>
      <c r="AC578">
        <v>4</v>
      </c>
      <c r="AD578" t="str">
        <f>_xlfn.XLOOKUP(Table1[[#This Row],[JobSatisfaction]],Table14[JobSatisfaction],Table14[Deskripsi])</f>
        <v>Very High</v>
      </c>
      <c r="AE578" t="str">
        <f>_xlfn.XLOOKUP(Table1[[#This Row],[MaritalStatus]],Table15[MaritalStatus],Table15[Id_MaritalStatus])</f>
        <v>MS002</v>
      </c>
      <c r="AF578" t="s">
        <v>56</v>
      </c>
      <c r="AG578">
        <v>4342</v>
      </c>
      <c r="AH578">
        <v>24008</v>
      </c>
      <c r="AI578">
        <v>0</v>
      </c>
      <c r="AJ578" t="str">
        <f>_xlfn.XLOOKUP(Table1[[#This Row],[OverTime]],Table16[OverTime],Table16[Id_OverTime])</f>
        <v>OT002</v>
      </c>
      <c r="AK578" t="s">
        <v>33</v>
      </c>
      <c r="AL578">
        <v>19</v>
      </c>
      <c r="AM578" t="str">
        <f>_xlfn.XLOOKUP(Table1[[#This Row],[PerformanceRating]],Table17[PerformanceRating],Table17[Id_PerformanceRating])</f>
        <v>PR003</v>
      </c>
      <c r="AN578">
        <v>3</v>
      </c>
      <c r="AO578" t="str">
        <f>_xlfn.XLOOKUP(Table1[[#This Row],[PerformanceRating]],Table17[PerformanceRating],Table17[Deskripsi])</f>
        <v>Excellent</v>
      </c>
      <c r="AP578" t="str">
        <f>_xlfn.XLOOKUP(Table1[[#This Row],[RelationshipSatisfaction]],Table18[RelationshipSatisfaction],Table18[Id_RelationshipSatisfaction])</f>
        <v>RS002</v>
      </c>
      <c r="AQ578">
        <v>2</v>
      </c>
      <c r="AR578" t="str">
        <f>_xlfn.XLOOKUP(Table1[[#This Row],[RelationshipSatisfaction]],Table18[RelationshipSatisfaction],Table18[Deskripsi])</f>
        <v>Medium</v>
      </c>
      <c r="AS578" t="str">
        <f>_xlfn.XLOOKUP(Table1[[#This Row],[StockOptionLevel]],Table19[StockOptionLevel],Table19[Id_StockOptionLevel])</f>
        <v>SOL002</v>
      </c>
      <c r="AT578">
        <v>1</v>
      </c>
      <c r="AU578" t="str">
        <f>_xlfn.XLOOKUP(Table1[[#This Row],[StockOptionLevel]],Table19[StockOptionLevel],Table19[Deskripsi])</f>
        <v>Standard</v>
      </c>
      <c r="AV578">
        <v>5</v>
      </c>
      <c r="AW578">
        <v>3</v>
      </c>
      <c r="AX578" t="str">
        <f>_xlfn.XLOOKUP(Table1[[#This Row],[WorkLifeBalance]],Table20[WorkLifeBalance],Table20[Id_WorkLifeBalance])</f>
        <v>WLB002</v>
      </c>
      <c r="AY578">
        <v>3</v>
      </c>
      <c r="AZ578" t="str">
        <f>_xlfn.XLOOKUP(Table1[[#This Row],[WorkLifeBalance]],Table20[WorkLifeBalance],Table20[Deskripsi])</f>
        <v>Good</v>
      </c>
      <c r="BA578">
        <v>4</v>
      </c>
      <c r="BB578">
        <v>2</v>
      </c>
      <c r="BC578">
        <v>1</v>
      </c>
      <c r="BD578">
        <v>1</v>
      </c>
    </row>
    <row r="579" spans="1:56" x14ac:dyDescent="0.25">
      <c r="A579">
        <v>37</v>
      </c>
      <c r="B579" t="str">
        <f>_xlfn.XLOOKUP(Table1[[#This Row],[Attrition]],Table2[Attrition],Table2[Id_Attrition])</f>
        <v>A002</v>
      </c>
      <c r="C579" t="s">
        <v>33</v>
      </c>
      <c r="D579" t="str">
        <f>_xlfn.XLOOKUP(Table1[[#This Row],[BusinessTravel]],Table5[BusinessTravel],Table5[Id_BusinessTravel])</f>
        <v>BS001</v>
      </c>
      <c r="E579" t="s">
        <v>34</v>
      </c>
      <c r="F579">
        <v>571</v>
      </c>
      <c r="G579" t="str">
        <f>_xlfn.XLOOKUP(Table1[[#This Row],[Department]],Table6[Department],Table6[Id_Departement])</f>
        <v>D002</v>
      </c>
      <c r="H579" t="s">
        <v>38</v>
      </c>
      <c r="I579">
        <v>10</v>
      </c>
      <c r="J579" t="str">
        <f>_xlfn.XLOOKUP(Table1[[#This Row],[Education]],Table8[Education],Table8[Id_Education])</f>
        <v>E001</v>
      </c>
      <c r="K579">
        <v>1</v>
      </c>
      <c r="L579" t="str">
        <f>_xlfn.XLOOKUP(Table1[[#This Row],[EducationField]],Table7[EducationField],Table7[Id_EducationField])</f>
        <v>EF001</v>
      </c>
      <c r="M579" t="s">
        <v>40</v>
      </c>
      <c r="N579" t="str">
        <f>_xlfn.XLOOKUP(Table1[[#This Row],[EmployeeNumber]],Table4[EmployeeNumber],Table4[Id_Employee])</f>
        <v>EMP00578</v>
      </c>
      <c r="O579">
        <v>802</v>
      </c>
      <c r="P579" t="str">
        <f>_xlfn.XLOOKUP(Table1[[#This Row],[EnvironmentSatisfaction]],Table9[EnvironmentSatisfaction],Table9[Id_EnviromentSatisfaction])</f>
        <v>ES004</v>
      </c>
      <c r="Q579">
        <v>4</v>
      </c>
      <c r="R579" t="str">
        <f>_xlfn.XLOOKUP(Table1[[#This Row],[EnvironmentSatisfaction]],Table9[EnvironmentSatisfaction],Table9[Deskripsi])</f>
        <v>Very High</v>
      </c>
      <c r="S579" t="str">
        <f>_xlfn.XLOOKUP(Table1[[#This Row],[Gender]],Table10[Gender],Table10[Id_Gender])</f>
        <v>G001</v>
      </c>
      <c r="T579" t="s">
        <v>45</v>
      </c>
      <c r="U579">
        <v>82</v>
      </c>
      <c r="V579" t="str">
        <f>_xlfn.XLOOKUP(Table1[[#This Row],[JobInvolvement]],Table11[JobInvolvement],Table11[Id_JobInvolvement])</f>
        <v>JI003</v>
      </c>
      <c r="W579">
        <v>3</v>
      </c>
      <c r="X579" t="str">
        <f>_xlfn.XLOOKUP(Table1[[#This Row],[JobLevel]],Table12[JobLevel],Table12[Id_JobLevel])</f>
        <v>JL001</v>
      </c>
      <c r="Y579">
        <v>1</v>
      </c>
      <c r="Z579" t="str">
        <f>_xlfn.XLOOKUP(Table1[[#This Row],[JobRole]],Table13[JobRole],Table13[Id_JobRole])</f>
        <v>JR002</v>
      </c>
      <c r="AA579" t="s">
        <v>48</v>
      </c>
      <c r="AB579" t="str">
        <f>_xlfn.XLOOKUP(Table1[[#This Row],[JobSatisfaction]],Table14[JobSatisfaction],Table14[Id_JobSatisfaction])</f>
        <v>JS001</v>
      </c>
      <c r="AC579">
        <v>1</v>
      </c>
      <c r="AD579" t="str">
        <f>_xlfn.XLOOKUP(Table1[[#This Row],[JobSatisfaction]],Table14[JobSatisfaction],Table14[Deskripsi])</f>
        <v>Low</v>
      </c>
      <c r="AE579" t="str">
        <f>_xlfn.XLOOKUP(Table1[[#This Row],[MaritalStatus]],Table15[MaritalStatus],Table15[Id_MaritalStatus])</f>
        <v>MS003</v>
      </c>
      <c r="AF579" t="s">
        <v>57</v>
      </c>
      <c r="AG579">
        <v>2782</v>
      </c>
      <c r="AH579">
        <v>19905</v>
      </c>
      <c r="AI579">
        <v>0</v>
      </c>
      <c r="AJ579" t="str">
        <f>_xlfn.XLOOKUP(Table1[[#This Row],[OverTime]],Table16[OverTime],Table16[Id_OverTime])</f>
        <v>OT001</v>
      </c>
      <c r="AK579" t="s">
        <v>32</v>
      </c>
      <c r="AL579">
        <v>13</v>
      </c>
      <c r="AM579" t="str">
        <f>_xlfn.XLOOKUP(Table1[[#This Row],[PerformanceRating]],Table17[PerformanceRating],Table17[Id_PerformanceRating])</f>
        <v>PR003</v>
      </c>
      <c r="AN579">
        <v>3</v>
      </c>
      <c r="AO579" t="str">
        <f>_xlfn.XLOOKUP(Table1[[#This Row],[PerformanceRating]],Table17[PerformanceRating],Table17[Deskripsi])</f>
        <v>Excellent</v>
      </c>
      <c r="AP579" t="str">
        <f>_xlfn.XLOOKUP(Table1[[#This Row],[RelationshipSatisfaction]],Table18[RelationshipSatisfaction],Table18[Id_RelationshipSatisfaction])</f>
        <v>RS002</v>
      </c>
      <c r="AQ579">
        <v>2</v>
      </c>
      <c r="AR579" t="str">
        <f>_xlfn.XLOOKUP(Table1[[#This Row],[RelationshipSatisfaction]],Table18[RelationshipSatisfaction],Table18[Deskripsi])</f>
        <v>Medium</v>
      </c>
      <c r="AS579" t="str">
        <f>_xlfn.XLOOKUP(Table1[[#This Row],[StockOptionLevel]],Table19[StockOptionLevel],Table19[Id_StockOptionLevel])</f>
        <v>SOL003</v>
      </c>
      <c r="AT579">
        <v>2</v>
      </c>
      <c r="AU579" t="str">
        <f>_xlfn.XLOOKUP(Table1[[#This Row],[StockOptionLevel]],Table19[StockOptionLevel],Table19[Deskripsi])</f>
        <v>Intermediate</v>
      </c>
      <c r="AV579">
        <v>6</v>
      </c>
      <c r="AW579">
        <v>3</v>
      </c>
      <c r="AX579" t="str">
        <f>_xlfn.XLOOKUP(Table1[[#This Row],[WorkLifeBalance]],Table20[WorkLifeBalance],Table20[Id_WorkLifeBalance])</f>
        <v>WLB003</v>
      </c>
      <c r="AY579">
        <v>2</v>
      </c>
      <c r="AZ579" t="str">
        <f>_xlfn.XLOOKUP(Table1[[#This Row],[WorkLifeBalance]],Table20[WorkLifeBalance],Table20[Deskripsi])</f>
        <v>Better</v>
      </c>
      <c r="BA579">
        <v>5</v>
      </c>
      <c r="BB579">
        <v>3</v>
      </c>
      <c r="BC579">
        <v>4</v>
      </c>
      <c r="BD579">
        <v>3</v>
      </c>
    </row>
    <row r="580" spans="1:56" x14ac:dyDescent="0.25">
      <c r="A580">
        <v>38</v>
      </c>
      <c r="B580" t="str">
        <f>_xlfn.XLOOKUP(Table1[[#This Row],[Attrition]],Table2[Attrition],Table2[Id_Attrition])</f>
        <v>A002</v>
      </c>
      <c r="C580" t="s">
        <v>33</v>
      </c>
      <c r="D580" t="str">
        <f>_xlfn.XLOOKUP(Table1[[#This Row],[BusinessTravel]],Table5[BusinessTravel],Table5[Id_BusinessTravel])</f>
        <v>BS002</v>
      </c>
      <c r="E580" t="s">
        <v>35</v>
      </c>
      <c r="F580">
        <v>240</v>
      </c>
      <c r="G580" t="str">
        <f>_xlfn.XLOOKUP(Table1[[#This Row],[Department]],Table6[Department],Table6[Id_Departement])</f>
        <v>D002</v>
      </c>
      <c r="H580" t="s">
        <v>38</v>
      </c>
      <c r="I580">
        <v>2</v>
      </c>
      <c r="J580" t="str">
        <f>_xlfn.XLOOKUP(Table1[[#This Row],[Education]],Table8[Education],Table8[Id_Education])</f>
        <v>E004</v>
      </c>
      <c r="K580">
        <v>4</v>
      </c>
      <c r="L580" t="str">
        <f>_xlfn.XLOOKUP(Table1[[#This Row],[EducationField]],Table7[EducationField],Table7[Id_EducationField])</f>
        <v>EF001</v>
      </c>
      <c r="M580" t="s">
        <v>40</v>
      </c>
      <c r="N580" t="str">
        <f>_xlfn.XLOOKUP(Table1[[#This Row],[EmployeeNumber]],Table4[EmployeeNumber],Table4[Id_Employee])</f>
        <v>EMP00579</v>
      </c>
      <c r="O580">
        <v>803</v>
      </c>
      <c r="P580" t="str">
        <f>_xlfn.XLOOKUP(Table1[[#This Row],[EnvironmentSatisfaction]],Table9[EnvironmentSatisfaction],Table9[Id_EnviromentSatisfaction])</f>
        <v>ES001</v>
      </c>
      <c r="Q580">
        <v>1</v>
      </c>
      <c r="R580" t="str">
        <f>_xlfn.XLOOKUP(Table1[[#This Row],[EnvironmentSatisfaction]],Table9[EnvironmentSatisfaction],Table9[Deskripsi])</f>
        <v>Low</v>
      </c>
      <c r="S580" t="str">
        <f>_xlfn.XLOOKUP(Table1[[#This Row],[Gender]],Table10[Gender],Table10[Id_Gender])</f>
        <v>G001</v>
      </c>
      <c r="T580" t="s">
        <v>45</v>
      </c>
      <c r="U580">
        <v>75</v>
      </c>
      <c r="V580" t="str">
        <f>_xlfn.XLOOKUP(Table1[[#This Row],[JobInvolvement]],Table11[JobInvolvement],Table11[Id_JobInvolvement])</f>
        <v>JI004</v>
      </c>
      <c r="W580">
        <v>4</v>
      </c>
      <c r="X580" t="str">
        <f>_xlfn.XLOOKUP(Table1[[#This Row],[JobLevel]],Table12[JobLevel],Table12[Id_JobLevel])</f>
        <v>JL002</v>
      </c>
      <c r="Y580">
        <v>2</v>
      </c>
      <c r="Z580" t="str">
        <f>_xlfn.XLOOKUP(Table1[[#This Row],[JobRole]],Table13[JobRole],Table13[Id_JobRole])</f>
        <v>JR004</v>
      </c>
      <c r="AA580" t="s">
        <v>50</v>
      </c>
      <c r="AB580" t="str">
        <f>_xlfn.XLOOKUP(Table1[[#This Row],[JobSatisfaction]],Table14[JobSatisfaction],Table14[Id_JobSatisfaction])</f>
        <v>JS001</v>
      </c>
      <c r="AC580">
        <v>1</v>
      </c>
      <c r="AD580" t="str">
        <f>_xlfn.XLOOKUP(Table1[[#This Row],[JobSatisfaction]],Table14[JobSatisfaction],Table14[Deskripsi])</f>
        <v>Low</v>
      </c>
      <c r="AE580" t="str">
        <f>_xlfn.XLOOKUP(Table1[[#This Row],[MaritalStatus]],Table15[MaritalStatus],Table15[Id_MaritalStatus])</f>
        <v>MS001</v>
      </c>
      <c r="AF580" t="s">
        <v>55</v>
      </c>
      <c r="AG580">
        <v>5980</v>
      </c>
      <c r="AH580">
        <v>26085</v>
      </c>
      <c r="AI580">
        <v>6</v>
      </c>
      <c r="AJ580" t="str">
        <f>_xlfn.XLOOKUP(Table1[[#This Row],[OverTime]],Table16[OverTime],Table16[Id_OverTime])</f>
        <v>OT001</v>
      </c>
      <c r="AK580" t="s">
        <v>32</v>
      </c>
      <c r="AL580">
        <v>12</v>
      </c>
      <c r="AM580" t="str">
        <f>_xlfn.XLOOKUP(Table1[[#This Row],[PerformanceRating]],Table17[PerformanceRating],Table17[Id_PerformanceRating])</f>
        <v>PR003</v>
      </c>
      <c r="AN580">
        <v>3</v>
      </c>
      <c r="AO580" t="str">
        <f>_xlfn.XLOOKUP(Table1[[#This Row],[PerformanceRating]],Table17[PerformanceRating],Table17[Deskripsi])</f>
        <v>Excellent</v>
      </c>
      <c r="AP580" t="str">
        <f>_xlfn.XLOOKUP(Table1[[#This Row],[RelationshipSatisfaction]],Table18[RelationshipSatisfaction],Table18[Id_RelationshipSatisfaction])</f>
        <v>RS004</v>
      </c>
      <c r="AQ580">
        <v>4</v>
      </c>
      <c r="AR580" t="str">
        <f>_xlfn.XLOOKUP(Table1[[#This Row],[RelationshipSatisfaction]],Table18[RelationshipSatisfaction],Table18[Deskripsi])</f>
        <v>Very High</v>
      </c>
      <c r="AS580" t="str">
        <f>_xlfn.XLOOKUP(Table1[[#This Row],[StockOptionLevel]],Table19[StockOptionLevel],Table19[Id_StockOptionLevel])</f>
        <v>SOL001</v>
      </c>
      <c r="AT580">
        <v>0</v>
      </c>
      <c r="AU580" t="str">
        <f>_xlfn.XLOOKUP(Table1[[#This Row],[StockOptionLevel]],Table19[StockOptionLevel],Table19[Deskripsi])</f>
        <v>Non-Eligible</v>
      </c>
      <c r="AV580">
        <v>17</v>
      </c>
      <c r="AW580">
        <v>2</v>
      </c>
      <c r="AX580" t="str">
        <f>_xlfn.XLOOKUP(Table1[[#This Row],[WorkLifeBalance]],Table20[WorkLifeBalance],Table20[Id_WorkLifeBalance])</f>
        <v>WLB002</v>
      </c>
      <c r="AY580">
        <v>3</v>
      </c>
      <c r="AZ580" t="str">
        <f>_xlfn.XLOOKUP(Table1[[#This Row],[WorkLifeBalance]],Table20[WorkLifeBalance],Table20[Deskripsi])</f>
        <v>Good</v>
      </c>
      <c r="BA580">
        <v>15</v>
      </c>
      <c r="BB580">
        <v>7</v>
      </c>
      <c r="BC580">
        <v>4</v>
      </c>
      <c r="BD580">
        <v>12</v>
      </c>
    </row>
    <row r="581" spans="1:56" x14ac:dyDescent="0.25">
      <c r="A581">
        <v>34</v>
      </c>
      <c r="B581" t="str">
        <f>_xlfn.XLOOKUP(Table1[[#This Row],[Attrition]],Table2[Attrition],Table2[Id_Attrition])</f>
        <v>A002</v>
      </c>
      <c r="C581" t="s">
        <v>33</v>
      </c>
      <c r="D581" t="str">
        <f>_xlfn.XLOOKUP(Table1[[#This Row],[BusinessTravel]],Table5[BusinessTravel],Table5[Id_BusinessTravel])</f>
        <v>BS001</v>
      </c>
      <c r="E581" t="s">
        <v>34</v>
      </c>
      <c r="F581">
        <v>121</v>
      </c>
      <c r="G581" t="str">
        <f>_xlfn.XLOOKUP(Table1[[#This Row],[Department]],Table6[Department],Table6[Id_Departement])</f>
        <v>D002</v>
      </c>
      <c r="H581" t="s">
        <v>38</v>
      </c>
      <c r="I581">
        <v>2</v>
      </c>
      <c r="J581" t="str">
        <f>_xlfn.XLOOKUP(Table1[[#This Row],[Education]],Table8[Education],Table8[Id_Education])</f>
        <v>E004</v>
      </c>
      <c r="K581">
        <v>4</v>
      </c>
      <c r="L581" t="str">
        <f>_xlfn.XLOOKUP(Table1[[#This Row],[EducationField]],Table7[EducationField],Table7[Id_EducationField])</f>
        <v>EF003</v>
      </c>
      <c r="M581" t="s">
        <v>42</v>
      </c>
      <c r="N581" t="str">
        <f>_xlfn.XLOOKUP(Table1[[#This Row],[EmployeeNumber]],Table4[EmployeeNumber],Table4[Id_Employee])</f>
        <v>EMP00580</v>
      </c>
      <c r="O581">
        <v>804</v>
      </c>
      <c r="P581" t="str">
        <f>_xlfn.XLOOKUP(Table1[[#This Row],[EnvironmentSatisfaction]],Table9[EnvironmentSatisfaction],Table9[Id_EnviromentSatisfaction])</f>
        <v>ES003</v>
      </c>
      <c r="Q581">
        <v>3</v>
      </c>
      <c r="R581" t="str">
        <f>_xlfn.XLOOKUP(Table1[[#This Row],[EnvironmentSatisfaction]],Table9[EnvironmentSatisfaction],Table9[Deskripsi])</f>
        <v>High</v>
      </c>
      <c r="S581" t="str">
        <f>_xlfn.XLOOKUP(Table1[[#This Row],[Gender]],Table10[Gender],Table10[Id_Gender])</f>
        <v>G001</v>
      </c>
      <c r="T581" t="s">
        <v>45</v>
      </c>
      <c r="U581">
        <v>86</v>
      </c>
      <c r="V581" t="str">
        <f>_xlfn.XLOOKUP(Table1[[#This Row],[JobInvolvement]],Table11[JobInvolvement],Table11[Id_JobInvolvement])</f>
        <v>JI002</v>
      </c>
      <c r="W581">
        <v>2</v>
      </c>
      <c r="X581" t="str">
        <f>_xlfn.XLOOKUP(Table1[[#This Row],[JobLevel]],Table12[JobLevel],Table12[Id_JobLevel])</f>
        <v>JL001</v>
      </c>
      <c r="Y581">
        <v>1</v>
      </c>
      <c r="Z581" t="str">
        <f>_xlfn.XLOOKUP(Table1[[#This Row],[JobRole]],Table13[JobRole],Table13[Id_JobRole])</f>
        <v>JR002</v>
      </c>
      <c r="AA581" t="s">
        <v>48</v>
      </c>
      <c r="AB581" t="str">
        <f>_xlfn.XLOOKUP(Table1[[#This Row],[JobSatisfaction]],Table14[JobSatisfaction],Table14[Id_JobSatisfaction])</f>
        <v>JS001</v>
      </c>
      <c r="AC581">
        <v>1</v>
      </c>
      <c r="AD581" t="str">
        <f>_xlfn.XLOOKUP(Table1[[#This Row],[JobSatisfaction]],Table14[JobSatisfaction],Table14[Deskripsi])</f>
        <v>Low</v>
      </c>
      <c r="AE581" t="str">
        <f>_xlfn.XLOOKUP(Table1[[#This Row],[MaritalStatus]],Table15[MaritalStatus],Table15[Id_MaritalStatus])</f>
        <v>MS001</v>
      </c>
      <c r="AF581" t="s">
        <v>55</v>
      </c>
      <c r="AG581">
        <v>4381</v>
      </c>
      <c r="AH581">
        <v>7530</v>
      </c>
      <c r="AI581">
        <v>1</v>
      </c>
      <c r="AJ581" t="str">
        <f>_xlfn.XLOOKUP(Table1[[#This Row],[OverTime]],Table16[OverTime],Table16[Id_OverTime])</f>
        <v>OT002</v>
      </c>
      <c r="AK581" t="s">
        <v>33</v>
      </c>
      <c r="AL581">
        <v>11</v>
      </c>
      <c r="AM581" t="str">
        <f>_xlfn.XLOOKUP(Table1[[#This Row],[PerformanceRating]],Table17[PerformanceRating],Table17[Id_PerformanceRating])</f>
        <v>PR003</v>
      </c>
      <c r="AN581">
        <v>3</v>
      </c>
      <c r="AO581" t="str">
        <f>_xlfn.XLOOKUP(Table1[[#This Row],[PerformanceRating]],Table17[PerformanceRating],Table17[Deskripsi])</f>
        <v>Excellent</v>
      </c>
      <c r="AP581" t="str">
        <f>_xlfn.XLOOKUP(Table1[[#This Row],[RelationshipSatisfaction]],Table18[RelationshipSatisfaction],Table18[Id_RelationshipSatisfaction])</f>
        <v>RS003</v>
      </c>
      <c r="AQ581">
        <v>3</v>
      </c>
      <c r="AR581" t="str">
        <f>_xlfn.XLOOKUP(Table1[[#This Row],[RelationshipSatisfaction]],Table18[RelationshipSatisfaction],Table18[Deskripsi])</f>
        <v>High</v>
      </c>
      <c r="AS581" t="str">
        <f>_xlfn.XLOOKUP(Table1[[#This Row],[StockOptionLevel]],Table19[StockOptionLevel],Table19[Id_StockOptionLevel])</f>
        <v>SOL001</v>
      </c>
      <c r="AT581">
        <v>0</v>
      </c>
      <c r="AU581" t="str">
        <f>_xlfn.XLOOKUP(Table1[[#This Row],[StockOptionLevel]],Table19[StockOptionLevel],Table19[Deskripsi])</f>
        <v>Non-Eligible</v>
      </c>
      <c r="AV581">
        <v>6</v>
      </c>
      <c r="AW581">
        <v>3</v>
      </c>
      <c r="AX581" t="str">
        <f>_xlfn.XLOOKUP(Table1[[#This Row],[WorkLifeBalance]],Table20[WorkLifeBalance],Table20[Id_WorkLifeBalance])</f>
        <v>WLB002</v>
      </c>
      <c r="AY581">
        <v>3</v>
      </c>
      <c r="AZ581" t="str">
        <f>_xlfn.XLOOKUP(Table1[[#This Row],[WorkLifeBalance]],Table20[WorkLifeBalance],Table20[Deskripsi])</f>
        <v>Good</v>
      </c>
      <c r="BA581">
        <v>6</v>
      </c>
      <c r="BB581">
        <v>5</v>
      </c>
      <c r="BC581">
        <v>1</v>
      </c>
      <c r="BD581">
        <v>3</v>
      </c>
    </row>
    <row r="582" spans="1:56" x14ac:dyDescent="0.25">
      <c r="A582">
        <v>35</v>
      </c>
      <c r="B582" t="str">
        <f>_xlfn.XLOOKUP(Table1[[#This Row],[Attrition]],Table2[Attrition],Table2[Id_Attrition])</f>
        <v>A002</v>
      </c>
      <c r="C582" t="s">
        <v>33</v>
      </c>
      <c r="D582" t="str">
        <f>_xlfn.XLOOKUP(Table1[[#This Row],[BusinessTravel]],Table5[BusinessTravel],Table5[Id_BusinessTravel])</f>
        <v>BS001</v>
      </c>
      <c r="E582" t="s">
        <v>34</v>
      </c>
      <c r="F582">
        <v>384</v>
      </c>
      <c r="G582" t="str">
        <f>_xlfn.XLOOKUP(Table1[[#This Row],[Department]],Table6[Department],Table6[Id_Departement])</f>
        <v>D001</v>
      </c>
      <c r="H582" t="s">
        <v>37</v>
      </c>
      <c r="I582">
        <v>8</v>
      </c>
      <c r="J582" t="str">
        <f>_xlfn.XLOOKUP(Table1[[#This Row],[Education]],Table8[Education],Table8[Id_Education])</f>
        <v>E004</v>
      </c>
      <c r="K582">
        <v>4</v>
      </c>
      <c r="L582" t="str">
        <f>_xlfn.XLOOKUP(Table1[[#This Row],[EducationField]],Table7[EducationField],Table7[Id_EducationField])</f>
        <v>EF001</v>
      </c>
      <c r="M582" t="s">
        <v>40</v>
      </c>
      <c r="N582" t="str">
        <f>_xlfn.XLOOKUP(Table1[[#This Row],[EmployeeNumber]],Table4[EmployeeNumber],Table4[Id_Employee])</f>
        <v>EMP00581</v>
      </c>
      <c r="O582">
        <v>805</v>
      </c>
      <c r="P582" t="str">
        <f>_xlfn.XLOOKUP(Table1[[#This Row],[EnvironmentSatisfaction]],Table9[EnvironmentSatisfaction],Table9[Id_EnviromentSatisfaction])</f>
        <v>ES001</v>
      </c>
      <c r="Q582">
        <v>1</v>
      </c>
      <c r="R582" t="str">
        <f>_xlfn.XLOOKUP(Table1[[#This Row],[EnvironmentSatisfaction]],Table9[EnvironmentSatisfaction],Table9[Deskripsi])</f>
        <v>Low</v>
      </c>
      <c r="S582" t="str">
        <f>_xlfn.XLOOKUP(Table1[[#This Row],[Gender]],Table10[Gender],Table10[Id_Gender])</f>
        <v>G001</v>
      </c>
      <c r="T582" t="s">
        <v>45</v>
      </c>
      <c r="U582">
        <v>72</v>
      </c>
      <c r="V582" t="str">
        <f>_xlfn.XLOOKUP(Table1[[#This Row],[JobInvolvement]],Table11[JobInvolvement],Table11[Id_JobInvolvement])</f>
        <v>JI003</v>
      </c>
      <c r="W582">
        <v>3</v>
      </c>
      <c r="X582" t="str">
        <f>_xlfn.XLOOKUP(Table1[[#This Row],[JobLevel]],Table12[JobLevel],Table12[Id_JobLevel])</f>
        <v>JL001</v>
      </c>
      <c r="Y582">
        <v>1</v>
      </c>
      <c r="Z582" t="str">
        <f>_xlfn.XLOOKUP(Table1[[#This Row],[JobRole]],Table13[JobRole],Table13[Id_JobRole])</f>
        <v>JR007</v>
      </c>
      <c r="AA582" t="s">
        <v>53</v>
      </c>
      <c r="AB582" t="str">
        <f>_xlfn.XLOOKUP(Table1[[#This Row],[JobSatisfaction]],Table14[JobSatisfaction],Table14[Id_JobSatisfaction])</f>
        <v>JS004</v>
      </c>
      <c r="AC582">
        <v>4</v>
      </c>
      <c r="AD582" t="str">
        <f>_xlfn.XLOOKUP(Table1[[#This Row],[JobSatisfaction]],Table14[JobSatisfaction],Table14[Deskripsi])</f>
        <v>Very High</v>
      </c>
      <c r="AE582" t="str">
        <f>_xlfn.XLOOKUP(Table1[[#This Row],[MaritalStatus]],Table15[MaritalStatus],Table15[Id_MaritalStatus])</f>
        <v>MS002</v>
      </c>
      <c r="AF582" t="s">
        <v>56</v>
      </c>
      <c r="AG582">
        <v>2572</v>
      </c>
      <c r="AH582">
        <v>20317</v>
      </c>
      <c r="AI582">
        <v>1</v>
      </c>
      <c r="AJ582" t="str">
        <f>_xlfn.XLOOKUP(Table1[[#This Row],[OverTime]],Table16[OverTime],Table16[Id_OverTime])</f>
        <v>OT002</v>
      </c>
      <c r="AK582" t="s">
        <v>33</v>
      </c>
      <c r="AL582">
        <v>16</v>
      </c>
      <c r="AM582" t="str">
        <f>_xlfn.XLOOKUP(Table1[[#This Row],[PerformanceRating]],Table17[PerformanceRating],Table17[Id_PerformanceRating])</f>
        <v>PR003</v>
      </c>
      <c r="AN582">
        <v>3</v>
      </c>
      <c r="AO582" t="str">
        <f>_xlfn.XLOOKUP(Table1[[#This Row],[PerformanceRating]],Table17[PerformanceRating],Table17[Deskripsi])</f>
        <v>Excellent</v>
      </c>
      <c r="AP582" t="str">
        <f>_xlfn.XLOOKUP(Table1[[#This Row],[RelationshipSatisfaction]],Table18[RelationshipSatisfaction],Table18[Id_RelationshipSatisfaction])</f>
        <v>RS002</v>
      </c>
      <c r="AQ582">
        <v>2</v>
      </c>
      <c r="AR582" t="str">
        <f>_xlfn.XLOOKUP(Table1[[#This Row],[RelationshipSatisfaction]],Table18[RelationshipSatisfaction],Table18[Deskripsi])</f>
        <v>Medium</v>
      </c>
      <c r="AS582" t="str">
        <f>_xlfn.XLOOKUP(Table1[[#This Row],[StockOptionLevel]],Table19[StockOptionLevel],Table19[Id_StockOptionLevel])</f>
        <v>SOL002</v>
      </c>
      <c r="AT582">
        <v>1</v>
      </c>
      <c r="AU582" t="str">
        <f>_xlfn.XLOOKUP(Table1[[#This Row],[StockOptionLevel]],Table19[StockOptionLevel],Table19[Deskripsi])</f>
        <v>Standard</v>
      </c>
      <c r="AV582">
        <v>3</v>
      </c>
      <c r="AW582">
        <v>1</v>
      </c>
      <c r="AX582" t="str">
        <f>_xlfn.XLOOKUP(Table1[[#This Row],[WorkLifeBalance]],Table20[WorkLifeBalance],Table20[Id_WorkLifeBalance])</f>
        <v>WLB003</v>
      </c>
      <c r="AY582">
        <v>2</v>
      </c>
      <c r="AZ582" t="str">
        <f>_xlfn.XLOOKUP(Table1[[#This Row],[WorkLifeBalance]],Table20[WorkLifeBalance],Table20[Deskripsi])</f>
        <v>Better</v>
      </c>
      <c r="BA582">
        <v>3</v>
      </c>
      <c r="BB582">
        <v>2</v>
      </c>
      <c r="BC582">
        <v>0</v>
      </c>
      <c r="BD582">
        <v>2</v>
      </c>
    </row>
    <row r="583" spans="1:56" x14ac:dyDescent="0.25">
      <c r="A583">
        <v>30</v>
      </c>
      <c r="B583" t="str">
        <f>_xlfn.XLOOKUP(Table1[[#This Row],[Attrition]],Table2[Attrition],Table2[Id_Attrition])</f>
        <v>A002</v>
      </c>
      <c r="C583" t="s">
        <v>33</v>
      </c>
      <c r="D583" t="str">
        <f>_xlfn.XLOOKUP(Table1[[#This Row],[BusinessTravel]],Table5[BusinessTravel],Table5[Id_BusinessTravel])</f>
        <v>BS001</v>
      </c>
      <c r="E583" t="s">
        <v>34</v>
      </c>
      <c r="F583">
        <v>921</v>
      </c>
      <c r="G583" t="str">
        <f>_xlfn.XLOOKUP(Table1[[#This Row],[Department]],Table6[Department],Table6[Id_Departement])</f>
        <v>D002</v>
      </c>
      <c r="H583" t="s">
        <v>38</v>
      </c>
      <c r="I583">
        <v>1</v>
      </c>
      <c r="J583" t="str">
        <f>_xlfn.XLOOKUP(Table1[[#This Row],[Education]],Table8[Education],Table8[Id_Education])</f>
        <v>E003</v>
      </c>
      <c r="K583">
        <v>3</v>
      </c>
      <c r="L583" t="str">
        <f>_xlfn.XLOOKUP(Table1[[#This Row],[EducationField]],Table7[EducationField],Table7[Id_EducationField])</f>
        <v>EF001</v>
      </c>
      <c r="M583" t="s">
        <v>40</v>
      </c>
      <c r="N583" t="str">
        <f>_xlfn.XLOOKUP(Table1[[#This Row],[EmployeeNumber]],Table4[EmployeeNumber],Table4[Id_Employee])</f>
        <v>EMP00582</v>
      </c>
      <c r="O583">
        <v>806</v>
      </c>
      <c r="P583" t="str">
        <f>_xlfn.XLOOKUP(Table1[[#This Row],[EnvironmentSatisfaction]],Table9[EnvironmentSatisfaction],Table9[Id_EnviromentSatisfaction])</f>
        <v>ES004</v>
      </c>
      <c r="Q583">
        <v>4</v>
      </c>
      <c r="R583" t="str">
        <f>_xlfn.XLOOKUP(Table1[[#This Row],[EnvironmentSatisfaction]],Table9[EnvironmentSatisfaction],Table9[Deskripsi])</f>
        <v>Very High</v>
      </c>
      <c r="S583" t="str">
        <f>_xlfn.XLOOKUP(Table1[[#This Row],[Gender]],Table10[Gender],Table10[Id_Gender])</f>
        <v>G002</v>
      </c>
      <c r="T583" t="s">
        <v>46</v>
      </c>
      <c r="U583">
        <v>38</v>
      </c>
      <c r="V583" t="str">
        <f>_xlfn.XLOOKUP(Table1[[#This Row],[JobInvolvement]],Table11[JobInvolvement],Table11[Id_JobInvolvement])</f>
        <v>JI001</v>
      </c>
      <c r="W583">
        <v>1</v>
      </c>
      <c r="X583" t="str">
        <f>_xlfn.XLOOKUP(Table1[[#This Row],[JobLevel]],Table12[JobLevel],Table12[Id_JobLevel])</f>
        <v>JL001</v>
      </c>
      <c r="Y583">
        <v>1</v>
      </c>
      <c r="Z583" t="str">
        <f>_xlfn.XLOOKUP(Table1[[#This Row],[JobRole]],Table13[JobRole],Table13[Id_JobRole])</f>
        <v>JR003</v>
      </c>
      <c r="AA583" t="s">
        <v>49</v>
      </c>
      <c r="AB583" t="str">
        <f>_xlfn.XLOOKUP(Table1[[#This Row],[JobSatisfaction]],Table14[JobSatisfaction],Table14[Id_JobSatisfaction])</f>
        <v>JS003</v>
      </c>
      <c r="AC583">
        <v>3</v>
      </c>
      <c r="AD583" t="str">
        <f>_xlfn.XLOOKUP(Table1[[#This Row],[JobSatisfaction]],Table14[JobSatisfaction],Table14[Deskripsi])</f>
        <v>High</v>
      </c>
      <c r="AE583" t="str">
        <f>_xlfn.XLOOKUP(Table1[[#This Row],[MaritalStatus]],Table15[MaritalStatus],Table15[Id_MaritalStatus])</f>
        <v>MS002</v>
      </c>
      <c r="AF583" t="s">
        <v>56</v>
      </c>
      <c r="AG583">
        <v>3833</v>
      </c>
      <c r="AH583">
        <v>24375</v>
      </c>
      <c r="AI583">
        <v>3</v>
      </c>
      <c r="AJ583" t="str">
        <f>_xlfn.XLOOKUP(Table1[[#This Row],[OverTime]],Table16[OverTime],Table16[Id_OverTime])</f>
        <v>OT002</v>
      </c>
      <c r="AK583" t="s">
        <v>33</v>
      </c>
      <c r="AL583">
        <v>21</v>
      </c>
      <c r="AM583" t="str">
        <f>_xlfn.XLOOKUP(Table1[[#This Row],[PerformanceRating]],Table17[PerformanceRating],Table17[Id_PerformanceRating])</f>
        <v>PR004</v>
      </c>
      <c r="AN583">
        <v>4</v>
      </c>
      <c r="AO583" t="str">
        <f>_xlfn.XLOOKUP(Table1[[#This Row],[PerformanceRating]],Table17[PerformanceRating],Table17[Deskripsi])</f>
        <v>Outstanding</v>
      </c>
      <c r="AP583" t="str">
        <f>_xlfn.XLOOKUP(Table1[[#This Row],[RelationshipSatisfaction]],Table18[RelationshipSatisfaction],Table18[Id_RelationshipSatisfaction])</f>
        <v>RS003</v>
      </c>
      <c r="AQ583">
        <v>3</v>
      </c>
      <c r="AR583" t="str">
        <f>_xlfn.XLOOKUP(Table1[[#This Row],[RelationshipSatisfaction]],Table18[RelationshipSatisfaction],Table18[Deskripsi])</f>
        <v>High</v>
      </c>
      <c r="AS583" t="str">
        <f>_xlfn.XLOOKUP(Table1[[#This Row],[StockOptionLevel]],Table19[StockOptionLevel],Table19[Id_StockOptionLevel])</f>
        <v>SOL003</v>
      </c>
      <c r="AT583">
        <v>2</v>
      </c>
      <c r="AU583" t="str">
        <f>_xlfn.XLOOKUP(Table1[[#This Row],[StockOptionLevel]],Table19[StockOptionLevel],Table19[Deskripsi])</f>
        <v>Intermediate</v>
      </c>
      <c r="AV583">
        <v>7</v>
      </c>
      <c r="AW583">
        <v>2</v>
      </c>
      <c r="AX583" t="str">
        <f>_xlfn.XLOOKUP(Table1[[#This Row],[WorkLifeBalance]],Table20[WorkLifeBalance],Table20[Id_WorkLifeBalance])</f>
        <v>WLB002</v>
      </c>
      <c r="AY583">
        <v>3</v>
      </c>
      <c r="AZ583" t="str">
        <f>_xlfn.XLOOKUP(Table1[[#This Row],[WorkLifeBalance]],Table20[WorkLifeBalance],Table20[Deskripsi])</f>
        <v>Good</v>
      </c>
      <c r="BA583">
        <v>2</v>
      </c>
      <c r="BB583">
        <v>2</v>
      </c>
      <c r="BC583">
        <v>0</v>
      </c>
      <c r="BD583">
        <v>2</v>
      </c>
    </row>
    <row r="584" spans="1:56" x14ac:dyDescent="0.25">
      <c r="A584">
        <v>40</v>
      </c>
      <c r="B584" t="str">
        <f>_xlfn.XLOOKUP(Table1[[#This Row],[Attrition]],Table2[Attrition],Table2[Id_Attrition])</f>
        <v>A002</v>
      </c>
      <c r="C584" t="s">
        <v>33</v>
      </c>
      <c r="D584" t="str">
        <f>_xlfn.XLOOKUP(Table1[[#This Row],[BusinessTravel]],Table5[BusinessTravel],Table5[Id_BusinessTravel])</f>
        <v>BS002</v>
      </c>
      <c r="E584" t="s">
        <v>35</v>
      </c>
      <c r="F584">
        <v>791</v>
      </c>
      <c r="G584" t="str">
        <f>_xlfn.XLOOKUP(Table1[[#This Row],[Department]],Table6[Department],Table6[Id_Departement])</f>
        <v>D002</v>
      </c>
      <c r="H584" t="s">
        <v>38</v>
      </c>
      <c r="I584">
        <v>2</v>
      </c>
      <c r="J584" t="str">
        <f>_xlfn.XLOOKUP(Table1[[#This Row],[Education]],Table8[Education],Table8[Id_Education])</f>
        <v>E002</v>
      </c>
      <c r="K584">
        <v>2</v>
      </c>
      <c r="L584" t="str">
        <f>_xlfn.XLOOKUP(Table1[[#This Row],[EducationField]],Table7[EducationField],Table7[Id_EducationField])</f>
        <v>EF003</v>
      </c>
      <c r="M584" t="s">
        <v>42</v>
      </c>
      <c r="N584" t="str">
        <f>_xlfn.XLOOKUP(Table1[[#This Row],[EmployeeNumber]],Table4[EmployeeNumber],Table4[Id_Employee])</f>
        <v>EMP00583</v>
      </c>
      <c r="O584">
        <v>807</v>
      </c>
      <c r="P584" t="str">
        <f>_xlfn.XLOOKUP(Table1[[#This Row],[EnvironmentSatisfaction]],Table9[EnvironmentSatisfaction],Table9[Id_EnviromentSatisfaction])</f>
        <v>ES003</v>
      </c>
      <c r="Q584">
        <v>3</v>
      </c>
      <c r="R584" t="str">
        <f>_xlfn.XLOOKUP(Table1[[#This Row],[EnvironmentSatisfaction]],Table9[EnvironmentSatisfaction],Table9[Deskripsi])</f>
        <v>High</v>
      </c>
      <c r="S584" t="str">
        <f>_xlfn.XLOOKUP(Table1[[#This Row],[Gender]],Table10[Gender],Table10[Id_Gender])</f>
        <v>G001</v>
      </c>
      <c r="T584" t="s">
        <v>45</v>
      </c>
      <c r="U584">
        <v>38</v>
      </c>
      <c r="V584" t="str">
        <f>_xlfn.XLOOKUP(Table1[[#This Row],[JobInvolvement]],Table11[JobInvolvement],Table11[Id_JobInvolvement])</f>
        <v>JI004</v>
      </c>
      <c r="W584">
        <v>4</v>
      </c>
      <c r="X584" t="str">
        <f>_xlfn.XLOOKUP(Table1[[#This Row],[JobLevel]],Table12[JobLevel],Table12[Id_JobLevel])</f>
        <v>JL002</v>
      </c>
      <c r="Y584">
        <v>2</v>
      </c>
      <c r="Z584" t="str">
        <f>_xlfn.XLOOKUP(Table1[[#This Row],[JobRole]],Table13[JobRole],Table13[Id_JobRole])</f>
        <v>JR005</v>
      </c>
      <c r="AA584" t="s">
        <v>51</v>
      </c>
      <c r="AB584" t="str">
        <f>_xlfn.XLOOKUP(Table1[[#This Row],[JobSatisfaction]],Table14[JobSatisfaction],Table14[Id_JobSatisfaction])</f>
        <v>JS002</v>
      </c>
      <c r="AC584">
        <v>2</v>
      </c>
      <c r="AD584" t="str">
        <f>_xlfn.XLOOKUP(Table1[[#This Row],[JobSatisfaction]],Table14[JobSatisfaction],Table14[Deskripsi])</f>
        <v>Medium</v>
      </c>
      <c r="AE584" t="str">
        <f>_xlfn.XLOOKUP(Table1[[#This Row],[MaritalStatus]],Table15[MaritalStatus],Table15[Id_MaritalStatus])</f>
        <v>MS002</v>
      </c>
      <c r="AF584" t="s">
        <v>56</v>
      </c>
      <c r="AG584">
        <v>4244</v>
      </c>
      <c r="AH584">
        <v>9931</v>
      </c>
      <c r="AI584">
        <v>1</v>
      </c>
      <c r="AJ584" t="str">
        <f>_xlfn.XLOOKUP(Table1[[#This Row],[OverTime]],Table16[OverTime],Table16[Id_OverTime])</f>
        <v>OT002</v>
      </c>
      <c r="AK584" t="s">
        <v>33</v>
      </c>
      <c r="AL584">
        <v>24</v>
      </c>
      <c r="AM584" t="str">
        <f>_xlfn.XLOOKUP(Table1[[#This Row],[PerformanceRating]],Table17[PerformanceRating],Table17[Id_PerformanceRating])</f>
        <v>PR004</v>
      </c>
      <c r="AN584">
        <v>4</v>
      </c>
      <c r="AO584" t="str">
        <f>_xlfn.XLOOKUP(Table1[[#This Row],[PerformanceRating]],Table17[PerformanceRating],Table17[Deskripsi])</f>
        <v>Outstanding</v>
      </c>
      <c r="AP584" t="str">
        <f>_xlfn.XLOOKUP(Table1[[#This Row],[RelationshipSatisfaction]],Table18[RelationshipSatisfaction],Table18[Id_RelationshipSatisfaction])</f>
        <v>RS004</v>
      </c>
      <c r="AQ584">
        <v>4</v>
      </c>
      <c r="AR584" t="str">
        <f>_xlfn.XLOOKUP(Table1[[#This Row],[RelationshipSatisfaction]],Table18[RelationshipSatisfaction],Table18[Deskripsi])</f>
        <v>Very High</v>
      </c>
      <c r="AS584" t="str">
        <f>_xlfn.XLOOKUP(Table1[[#This Row],[StockOptionLevel]],Table19[StockOptionLevel],Table19[Id_StockOptionLevel])</f>
        <v>SOL002</v>
      </c>
      <c r="AT584">
        <v>1</v>
      </c>
      <c r="AU584" t="str">
        <f>_xlfn.XLOOKUP(Table1[[#This Row],[StockOptionLevel]],Table19[StockOptionLevel],Table19[Deskripsi])</f>
        <v>Standard</v>
      </c>
      <c r="AV584">
        <v>8</v>
      </c>
      <c r="AW584">
        <v>2</v>
      </c>
      <c r="AX584" t="str">
        <f>_xlfn.XLOOKUP(Table1[[#This Row],[WorkLifeBalance]],Table20[WorkLifeBalance],Table20[Id_WorkLifeBalance])</f>
        <v>WLB002</v>
      </c>
      <c r="AY584">
        <v>3</v>
      </c>
      <c r="AZ584" t="str">
        <f>_xlfn.XLOOKUP(Table1[[#This Row],[WorkLifeBalance]],Table20[WorkLifeBalance],Table20[Deskripsi])</f>
        <v>Good</v>
      </c>
      <c r="BA584">
        <v>8</v>
      </c>
      <c r="BB584">
        <v>7</v>
      </c>
      <c r="BC584">
        <v>3</v>
      </c>
      <c r="BD584">
        <v>7</v>
      </c>
    </row>
    <row r="585" spans="1:56" x14ac:dyDescent="0.25">
      <c r="A585">
        <v>34</v>
      </c>
      <c r="B585" t="str">
        <f>_xlfn.XLOOKUP(Table1[[#This Row],[Attrition]],Table2[Attrition],Table2[Id_Attrition])</f>
        <v>A002</v>
      </c>
      <c r="C585" t="s">
        <v>33</v>
      </c>
      <c r="D585" t="str">
        <f>_xlfn.XLOOKUP(Table1[[#This Row],[BusinessTravel]],Table5[BusinessTravel],Table5[Id_BusinessTravel])</f>
        <v>BS001</v>
      </c>
      <c r="E585" t="s">
        <v>34</v>
      </c>
      <c r="F585">
        <v>1111</v>
      </c>
      <c r="G585" t="str">
        <f>_xlfn.XLOOKUP(Table1[[#This Row],[Department]],Table6[Department],Table6[Id_Departement])</f>
        <v>D001</v>
      </c>
      <c r="H585" t="s">
        <v>37</v>
      </c>
      <c r="I585">
        <v>8</v>
      </c>
      <c r="J585" t="str">
        <f>_xlfn.XLOOKUP(Table1[[#This Row],[Education]],Table8[Education],Table8[Id_Education])</f>
        <v>E002</v>
      </c>
      <c r="K585">
        <v>2</v>
      </c>
      <c r="L585" t="str">
        <f>_xlfn.XLOOKUP(Table1[[#This Row],[EducationField]],Table7[EducationField],Table7[Id_EducationField])</f>
        <v>EF001</v>
      </c>
      <c r="M585" t="s">
        <v>40</v>
      </c>
      <c r="N585" t="str">
        <f>_xlfn.XLOOKUP(Table1[[#This Row],[EmployeeNumber]],Table4[EmployeeNumber],Table4[Id_Employee])</f>
        <v>EMP00584</v>
      </c>
      <c r="O585">
        <v>808</v>
      </c>
      <c r="P585" t="str">
        <f>_xlfn.XLOOKUP(Table1[[#This Row],[EnvironmentSatisfaction]],Table9[EnvironmentSatisfaction],Table9[Id_EnviromentSatisfaction])</f>
        <v>ES003</v>
      </c>
      <c r="Q585">
        <v>3</v>
      </c>
      <c r="R585" t="str">
        <f>_xlfn.XLOOKUP(Table1[[#This Row],[EnvironmentSatisfaction]],Table9[EnvironmentSatisfaction],Table9[Deskripsi])</f>
        <v>High</v>
      </c>
      <c r="S585" t="str">
        <f>_xlfn.XLOOKUP(Table1[[#This Row],[Gender]],Table10[Gender],Table10[Id_Gender])</f>
        <v>G001</v>
      </c>
      <c r="T585" t="s">
        <v>45</v>
      </c>
      <c r="U585">
        <v>93</v>
      </c>
      <c r="V585" t="str">
        <f>_xlfn.XLOOKUP(Table1[[#This Row],[JobInvolvement]],Table11[JobInvolvement],Table11[Id_JobInvolvement])</f>
        <v>JI003</v>
      </c>
      <c r="W585">
        <v>3</v>
      </c>
      <c r="X585" t="str">
        <f>_xlfn.XLOOKUP(Table1[[#This Row],[JobLevel]],Table12[JobLevel],Table12[Id_JobLevel])</f>
        <v>JL002</v>
      </c>
      <c r="Y585">
        <v>2</v>
      </c>
      <c r="Z585" t="str">
        <f>_xlfn.XLOOKUP(Table1[[#This Row],[JobRole]],Table13[JobRole],Table13[Id_JobRole])</f>
        <v>JR001</v>
      </c>
      <c r="AA585" t="s">
        <v>47</v>
      </c>
      <c r="AB585" t="str">
        <f>_xlfn.XLOOKUP(Table1[[#This Row],[JobSatisfaction]],Table14[JobSatisfaction],Table14[Id_JobSatisfaction])</f>
        <v>JS001</v>
      </c>
      <c r="AC585">
        <v>1</v>
      </c>
      <c r="AD585" t="str">
        <f>_xlfn.XLOOKUP(Table1[[#This Row],[JobSatisfaction]],Table14[JobSatisfaction],Table14[Deskripsi])</f>
        <v>Low</v>
      </c>
      <c r="AE585" t="str">
        <f>_xlfn.XLOOKUP(Table1[[#This Row],[MaritalStatus]],Table15[MaritalStatus],Table15[Id_MaritalStatus])</f>
        <v>MS002</v>
      </c>
      <c r="AF585" t="s">
        <v>56</v>
      </c>
      <c r="AG585">
        <v>6500</v>
      </c>
      <c r="AH585">
        <v>13305</v>
      </c>
      <c r="AI585">
        <v>5</v>
      </c>
      <c r="AJ585" t="str">
        <f>_xlfn.XLOOKUP(Table1[[#This Row],[OverTime]],Table16[OverTime],Table16[Id_OverTime])</f>
        <v>OT002</v>
      </c>
      <c r="AK585" t="s">
        <v>33</v>
      </c>
      <c r="AL585">
        <v>17</v>
      </c>
      <c r="AM585" t="str">
        <f>_xlfn.XLOOKUP(Table1[[#This Row],[PerformanceRating]],Table17[PerformanceRating],Table17[Id_PerformanceRating])</f>
        <v>PR003</v>
      </c>
      <c r="AN585">
        <v>3</v>
      </c>
      <c r="AO585" t="str">
        <f>_xlfn.XLOOKUP(Table1[[#This Row],[PerformanceRating]],Table17[PerformanceRating],Table17[Deskripsi])</f>
        <v>Excellent</v>
      </c>
      <c r="AP585" t="str">
        <f>_xlfn.XLOOKUP(Table1[[#This Row],[RelationshipSatisfaction]],Table18[RelationshipSatisfaction],Table18[Id_RelationshipSatisfaction])</f>
        <v>RS002</v>
      </c>
      <c r="AQ585">
        <v>2</v>
      </c>
      <c r="AR585" t="str">
        <f>_xlfn.XLOOKUP(Table1[[#This Row],[RelationshipSatisfaction]],Table18[RelationshipSatisfaction],Table18[Deskripsi])</f>
        <v>Medium</v>
      </c>
      <c r="AS585" t="str">
        <f>_xlfn.XLOOKUP(Table1[[#This Row],[StockOptionLevel]],Table19[StockOptionLevel],Table19[Id_StockOptionLevel])</f>
        <v>SOL002</v>
      </c>
      <c r="AT585">
        <v>1</v>
      </c>
      <c r="AU585" t="str">
        <f>_xlfn.XLOOKUP(Table1[[#This Row],[StockOptionLevel]],Table19[StockOptionLevel],Table19[Deskripsi])</f>
        <v>Standard</v>
      </c>
      <c r="AV585">
        <v>6</v>
      </c>
      <c r="AW585">
        <v>1</v>
      </c>
      <c r="AX585" t="str">
        <f>_xlfn.XLOOKUP(Table1[[#This Row],[WorkLifeBalance]],Table20[WorkLifeBalance],Table20[Id_WorkLifeBalance])</f>
        <v>WLB002</v>
      </c>
      <c r="AY585">
        <v>3</v>
      </c>
      <c r="AZ585" t="str">
        <f>_xlfn.XLOOKUP(Table1[[#This Row],[WorkLifeBalance]],Table20[WorkLifeBalance],Table20[Deskripsi])</f>
        <v>Good</v>
      </c>
      <c r="BA585">
        <v>3</v>
      </c>
      <c r="BB585">
        <v>2</v>
      </c>
      <c r="BC585">
        <v>1</v>
      </c>
      <c r="BD585">
        <v>2</v>
      </c>
    </row>
    <row r="586" spans="1:56" x14ac:dyDescent="0.25">
      <c r="A586">
        <v>42</v>
      </c>
      <c r="B586" t="str">
        <f>_xlfn.XLOOKUP(Table1[[#This Row],[Attrition]],Table2[Attrition],Table2[Id_Attrition])</f>
        <v>A002</v>
      </c>
      <c r="C586" t="s">
        <v>33</v>
      </c>
      <c r="D586" t="str">
        <f>_xlfn.XLOOKUP(Table1[[#This Row],[BusinessTravel]],Table5[BusinessTravel],Table5[Id_BusinessTravel])</f>
        <v>BS002</v>
      </c>
      <c r="E586" t="s">
        <v>35</v>
      </c>
      <c r="F586">
        <v>570</v>
      </c>
      <c r="G586" t="str">
        <f>_xlfn.XLOOKUP(Table1[[#This Row],[Department]],Table6[Department],Table6[Id_Departement])</f>
        <v>D002</v>
      </c>
      <c r="H586" t="s">
        <v>38</v>
      </c>
      <c r="I586">
        <v>8</v>
      </c>
      <c r="J586" t="str">
        <f>_xlfn.XLOOKUP(Table1[[#This Row],[Education]],Table8[Education],Table8[Id_Education])</f>
        <v>E003</v>
      </c>
      <c r="K586">
        <v>3</v>
      </c>
      <c r="L586" t="str">
        <f>_xlfn.XLOOKUP(Table1[[#This Row],[EducationField]],Table7[EducationField],Table7[Id_EducationField])</f>
        <v>EF001</v>
      </c>
      <c r="M586" t="s">
        <v>40</v>
      </c>
      <c r="N586" t="str">
        <f>_xlfn.XLOOKUP(Table1[[#This Row],[EmployeeNumber]],Table4[EmployeeNumber],Table4[Id_Employee])</f>
        <v>EMP00585</v>
      </c>
      <c r="O586">
        <v>809</v>
      </c>
      <c r="P586" t="str">
        <f>_xlfn.XLOOKUP(Table1[[#This Row],[EnvironmentSatisfaction]],Table9[EnvironmentSatisfaction],Table9[Id_EnviromentSatisfaction])</f>
        <v>ES002</v>
      </c>
      <c r="Q586">
        <v>2</v>
      </c>
      <c r="R586" t="str">
        <f>_xlfn.XLOOKUP(Table1[[#This Row],[EnvironmentSatisfaction]],Table9[EnvironmentSatisfaction],Table9[Deskripsi])</f>
        <v>Medium</v>
      </c>
      <c r="S586" t="str">
        <f>_xlfn.XLOOKUP(Table1[[#This Row],[Gender]],Table10[Gender],Table10[Id_Gender])</f>
        <v>G002</v>
      </c>
      <c r="T586" t="s">
        <v>46</v>
      </c>
      <c r="U586">
        <v>66</v>
      </c>
      <c r="V586" t="str">
        <f>_xlfn.XLOOKUP(Table1[[#This Row],[JobInvolvement]],Table11[JobInvolvement],Table11[Id_JobInvolvement])</f>
        <v>JI003</v>
      </c>
      <c r="W586">
        <v>3</v>
      </c>
      <c r="X586" t="str">
        <f>_xlfn.XLOOKUP(Table1[[#This Row],[JobLevel]],Table12[JobLevel],Table12[Id_JobLevel])</f>
        <v>JL005</v>
      </c>
      <c r="Y586">
        <v>5</v>
      </c>
      <c r="Z586" t="str">
        <f>_xlfn.XLOOKUP(Table1[[#This Row],[JobRole]],Table13[JobRole],Table13[Id_JobRole])</f>
        <v>JR006</v>
      </c>
      <c r="AA586" t="s">
        <v>52</v>
      </c>
      <c r="AB586" t="str">
        <f>_xlfn.XLOOKUP(Table1[[#This Row],[JobSatisfaction]],Table14[JobSatisfaction],Table14[Id_JobSatisfaction])</f>
        <v>JS004</v>
      </c>
      <c r="AC586">
        <v>4</v>
      </c>
      <c r="AD586" t="str">
        <f>_xlfn.XLOOKUP(Table1[[#This Row],[JobSatisfaction]],Table14[JobSatisfaction],Table14[Deskripsi])</f>
        <v>Very High</v>
      </c>
      <c r="AE586" t="str">
        <f>_xlfn.XLOOKUP(Table1[[#This Row],[MaritalStatus]],Table15[MaritalStatus],Table15[Id_MaritalStatus])</f>
        <v>MS003</v>
      </c>
      <c r="AF586" t="s">
        <v>57</v>
      </c>
      <c r="AG586">
        <v>18430</v>
      </c>
      <c r="AH586">
        <v>16225</v>
      </c>
      <c r="AI586">
        <v>1</v>
      </c>
      <c r="AJ586" t="str">
        <f>_xlfn.XLOOKUP(Table1[[#This Row],[OverTime]],Table16[OverTime],Table16[Id_OverTime])</f>
        <v>OT002</v>
      </c>
      <c r="AK586" t="s">
        <v>33</v>
      </c>
      <c r="AL586">
        <v>13</v>
      </c>
      <c r="AM586" t="str">
        <f>_xlfn.XLOOKUP(Table1[[#This Row],[PerformanceRating]],Table17[PerformanceRating],Table17[Id_PerformanceRating])</f>
        <v>PR003</v>
      </c>
      <c r="AN586">
        <v>3</v>
      </c>
      <c r="AO586" t="str">
        <f>_xlfn.XLOOKUP(Table1[[#This Row],[PerformanceRating]],Table17[PerformanceRating],Table17[Deskripsi])</f>
        <v>Excellent</v>
      </c>
      <c r="AP586" t="str">
        <f>_xlfn.XLOOKUP(Table1[[#This Row],[RelationshipSatisfaction]],Table18[RelationshipSatisfaction],Table18[Id_RelationshipSatisfaction])</f>
        <v>RS002</v>
      </c>
      <c r="AQ586">
        <v>2</v>
      </c>
      <c r="AR586" t="str">
        <f>_xlfn.XLOOKUP(Table1[[#This Row],[RelationshipSatisfaction]],Table18[RelationshipSatisfaction],Table18[Deskripsi])</f>
        <v>Medium</v>
      </c>
      <c r="AS586" t="str">
        <f>_xlfn.XLOOKUP(Table1[[#This Row],[StockOptionLevel]],Table19[StockOptionLevel],Table19[Id_StockOptionLevel])</f>
        <v>SOL002</v>
      </c>
      <c r="AT586">
        <v>1</v>
      </c>
      <c r="AU586" t="str">
        <f>_xlfn.XLOOKUP(Table1[[#This Row],[StockOptionLevel]],Table19[StockOptionLevel],Table19[Deskripsi])</f>
        <v>Standard</v>
      </c>
      <c r="AV586">
        <v>24</v>
      </c>
      <c r="AW586">
        <v>4</v>
      </c>
      <c r="AX586" t="str">
        <f>_xlfn.XLOOKUP(Table1[[#This Row],[WorkLifeBalance]],Table20[WorkLifeBalance],Table20[Id_WorkLifeBalance])</f>
        <v>WLB003</v>
      </c>
      <c r="AY586">
        <v>2</v>
      </c>
      <c r="AZ586" t="str">
        <f>_xlfn.XLOOKUP(Table1[[#This Row],[WorkLifeBalance]],Table20[WorkLifeBalance],Table20[Deskripsi])</f>
        <v>Better</v>
      </c>
      <c r="BA586">
        <v>24</v>
      </c>
      <c r="BB586">
        <v>7</v>
      </c>
      <c r="BC586">
        <v>14</v>
      </c>
      <c r="BD586">
        <v>9</v>
      </c>
    </row>
    <row r="587" spans="1:56" x14ac:dyDescent="0.25">
      <c r="A587">
        <v>23</v>
      </c>
      <c r="B587" t="str">
        <f>_xlfn.XLOOKUP(Table1[[#This Row],[Attrition]],Table2[Attrition],Table2[Id_Attrition])</f>
        <v>A001</v>
      </c>
      <c r="C587" t="s">
        <v>32</v>
      </c>
      <c r="D587" t="str">
        <f>_xlfn.XLOOKUP(Table1[[#This Row],[BusinessTravel]],Table5[BusinessTravel],Table5[Id_BusinessTravel])</f>
        <v>BS001</v>
      </c>
      <c r="E587" t="s">
        <v>34</v>
      </c>
      <c r="F587">
        <v>1243</v>
      </c>
      <c r="G587" t="str">
        <f>_xlfn.XLOOKUP(Table1[[#This Row],[Department]],Table6[Department],Table6[Id_Departement])</f>
        <v>D002</v>
      </c>
      <c r="H587" t="s">
        <v>38</v>
      </c>
      <c r="I587">
        <v>6</v>
      </c>
      <c r="J587" t="str">
        <f>_xlfn.XLOOKUP(Table1[[#This Row],[Education]],Table8[Education],Table8[Id_Education])</f>
        <v>E003</v>
      </c>
      <c r="K587">
        <v>3</v>
      </c>
      <c r="L587" t="str">
        <f>_xlfn.XLOOKUP(Table1[[#This Row],[EducationField]],Table7[EducationField],Table7[Id_EducationField])</f>
        <v>EF001</v>
      </c>
      <c r="M587" t="s">
        <v>40</v>
      </c>
      <c r="N587" t="str">
        <f>_xlfn.XLOOKUP(Table1[[#This Row],[EmployeeNumber]],Table4[EmployeeNumber],Table4[Id_Employee])</f>
        <v>EMP00586</v>
      </c>
      <c r="O587">
        <v>811</v>
      </c>
      <c r="P587" t="str">
        <f>_xlfn.XLOOKUP(Table1[[#This Row],[EnvironmentSatisfaction]],Table9[EnvironmentSatisfaction],Table9[Id_EnviromentSatisfaction])</f>
        <v>ES003</v>
      </c>
      <c r="Q587">
        <v>3</v>
      </c>
      <c r="R587" t="str">
        <f>_xlfn.XLOOKUP(Table1[[#This Row],[EnvironmentSatisfaction]],Table9[EnvironmentSatisfaction],Table9[Deskripsi])</f>
        <v>High</v>
      </c>
      <c r="S587" t="str">
        <f>_xlfn.XLOOKUP(Table1[[#This Row],[Gender]],Table10[Gender],Table10[Id_Gender])</f>
        <v>G002</v>
      </c>
      <c r="T587" t="s">
        <v>46</v>
      </c>
      <c r="U587">
        <v>63</v>
      </c>
      <c r="V587" t="str">
        <f>_xlfn.XLOOKUP(Table1[[#This Row],[JobInvolvement]],Table11[JobInvolvement],Table11[Id_JobInvolvement])</f>
        <v>JI004</v>
      </c>
      <c r="W587">
        <v>4</v>
      </c>
      <c r="X587" t="str">
        <f>_xlfn.XLOOKUP(Table1[[#This Row],[JobLevel]],Table12[JobLevel],Table12[Id_JobLevel])</f>
        <v>JL001</v>
      </c>
      <c r="Y587">
        <v>1</v>
      </c>
      <c r="Z587" t="str">
        <f>_xlfn.XLOOKUP(Table1[[#This Row],[JobRole]],Table13[JobRole],Table13[Id_JobRole])</f>
        <v>JR003</v>
      </c>
      <c r="AA587" t="s">
        <v>49</v>
      </c>
      <c r="AB587" t="str">
        <f>_xlfn.XLOOKUP(Table1[[#This Row],[JobSatisfaction]],Table14[JobSatisfaction],Table14[Id_JobSatisfaction])</f>
        <v>JS001</v>
      </c>
      <c r="AC587">
        <v>1</v>
      </c>
      <c r="AD587" t="str">
        <f>_xlfn.XLOOKUP(Table1[[#This Row],[JobSatisfaction]],Table14[JobSatisfaction],Table14[Deskripsi])</f>
        <v>Low</v>
      </c>
      <c r="AE587" t="str">
        <f>_xlfn.XLOOKUP(Table1[[#This Row],[MaritalStatus]],Table15[MaritalStatus],Table15[Id_MaritalStatus])</f>
        <v>MS002</v>
      </c>
      <c r="AF587" t="s">
        <v>56</v>
      </c>
      <c r="AG587">
        <v>1601</v>
      </c>
      <c r="AH587">
        <v>3445</v>
      </c>
      <c r="AI587">
        <v>1</v>
      </c>
      <c r="AJ587" t="str">
        <f>_xlfn.XLOOKUP(Table1[[#This Row],[OverTime]],Table16[OverTime],Table16[Id_OverTime])</f>
        <v>OT001</v>
      </c>
      <c r="AK587" t="s">
        <v>32</v>
      </c>
      <c r="AL587">
        <v>21</v>
      </c>
      <c r="AM587" t="str">
        <f>_xlfn.XLOOKUP(Table1[[#This Row],[PerformanceRating]],Table17[PerformanceRating],Table17[Id_PerformanceRating])</f>
        <v>PR004</v>
      </c>
      <c r="AN587">
        <v>4</v>
      </c>
      <c r="AO587" t="str">
        <f>_xlfn.XLOOKUP(Table1[[#This Row],[PerformanceRating]],Table17[PerformanceRating],Table17[Deskripsi])</f>
        <v>Outstanding</v>
      </c>
      <c r="AP587" t="str">
        <f>_xlfn.XLOOKUP(Table1[[#This Row],[RelationshipSatisfaction]],Table18[RelationshipSatisfaction],Table18[Id_RelationshipSatisfaction])</f>
        <v>RS003</v>
      </c>
      <c r="AQ587">
        <v>3</v>
      </c>
      <c r="AR587" t="str">
        <f>_xlfn.XLOOKUP(Table1[[#This Row],[RelationshipSatisfaction]],Table18[RelationshipSatisfaction],Table18[Deskripsi])</f>
        <v>High</v>
      </c>
      <c r="AS587" t="str">
        <f>_xlfn.XLOOKUP(Table1[[#This Row],[StockOptionLevel]],Table19[StockOptionLevel],Table19[Id_StockOptionLevel])</f>
        <v>SOL003</v>
      </c>
      <c r="AT587">
        <v>2</v>
      </c>
      <c r="AU587" t="str">
        <f>_xlfn.XLOOKUP(Table1[[#This Row],[StockOptionLevel]],Table19[StockOptionLevel],Table19[Deskripsi])</f>
        <v>Intermediate</v>
      </c>
      <c r="AV587">
        <v>1</v>
      </c>
      <c r="AW587">
        <v>2</v>
      </c>
      <c r="AX587" t="str">
        <f>_xlfn.XLOOKUP(Table1[[#This Row],[WorkLifeBalance]],Table20[WorkLifeBalance],Table20[Id_WorkLifeBalance])</f>
        <v>WLB002</v>
      </c>
      <c r="AY587">
        <v>3</v>
      </c>
      <c r="AZ587" t="str">
        <f>_xlfn.XLOOKUP(Table1[[#This Row],[WorkLifeBalance]],Table20[WorkLifeBalance],Table20[Deskripsi])</f>
        <v>Good</v>
      </c>
      <c r="BA587">
        <v>0</v>
      </c>
      <c r="BB587">
        <v>0</v>
      </c>
      <c r="BC587">
        <v>0</v>
      </c>
      <c r="BD587">
        <v>0</v>
      </c>
    </row>
    <row r="588" spans="1:56" x14ac:dyDescent="0.25">
      <c r="A588">
        <v>24</v>
      </c>
      <c r="B588" t="str">
        <f>_xlfn.XLOOKUP(Table1[[#This Row],[Attrition]],Table2[Attrition],Table2[Id_Attrition])</f>
        <v>A002</v>
      </c>
      <c r="C588" t="s">
        <v>33</v>
      </c>
      <c r="D588" t="str">
        <f>_xlfn.XLOOKUP(Table1[[#This Row],[BusinessTravel]],Table5[BusinessTravel],Table5[Id_BusinessTravel])</f>
        <v>BS003</v>
      </c>
      <c r="E588" t="s">
        <v>36</v>
      </c>
      <c r="F588">
        <v>1092</v>
      </c>
      <c r="G588" t="str">
        <f>_xlfn.XLOOKUP(Table1[[#This Row],[Department]],Table6[Department],Table6[Id_Departement])</f>
        <v>D002</v>
      </c>
      <c r="H588" t="s">
        <v>38</v>
      </c>
      <c r="I588">
        <v>9</v>
      </c>
      <c r="J588" t="str">
        <f>_xlfn.XLOOKUP(Table1[[#This Row],[Education]],Table8[Education],Table8[Id_Education])</f>
        <v>E003</v>
      </c>
      <c r="K588">
        <v>3</v>
      </c>
      <c r="L588" t="str">
        <f>_xlfn.XLOOKUP(Table1[[#This Row],[EducationField]],Table7[EducationField],Table7[Id_EducationField])</f>
        <v>EF001</v>
      </c>
      <c r="M588" t="s">
        <v>40</v>
      </c>
      <c r="N588" t="str">
        <f>_xlfn.XLOOKUP(Table1[[#This Row],[EmployeeNumber]],Table4[EmployeeNumber],Table4[Id_Employee])</f>
        <v>EMP00587</v>
      </c>
      <c r="O588">
        <v>812</v>
      </c>
      <c r="P588" t="str">
        <f>_xlfn.XLOOKUP(Table1[[#This Row],[EnvironmentSatisfaction]],Table9[EnvironmentSatisfaction],Table9[Id_EnviromentSatisfaction])</f>
        <v>ES003</v>
      </c>
      <c r="Q588">
        <v>3</v>
      </c>
      <c r="R588" t="str">
        <f>_xlfn.XLOOKUP(Table1[[#This Row],[EnvironmentSatisfaction]],Table9[EnvironmentSatisfaction],Table9[Deskripsi])</f>
        <v>High</v>
      </c>
      <c r="S588" t="str">
        <f>_xlfn.XLOOKUP(Table1[[#This Row],[Gender]],Table10[Gender],Table10[Id_Gender])</f>
        <v>G002</v>
      </c>
      <c r="T588" t="s">
        <v>46</v>
      </c>
      <c r="U588">
        <v>60</v>
      </c>
      <c r="V588" t="str">
        <f>_xlfn.XLOOKUP(Table1[[#This Row],[JobInvolvement]],Table11[JobInvolvement],Table11[Id_JobInvolvement])</f>
        <v>JI002</v>
      </c>
      <c r="W588">
        <v>2</v>
      </c>
      <c r="X588" t="str">
        <f>_xlfn.XLOOKUP(Table1[[#This Row],[JobLevel]],Table12[JobLevel],Table12[Id_JobLevel])</f>
        <v>JL001</v>
      </c>
      <c r="Y588">
        <v>1</v>
      </c>
      <c r="Z588" t="str">
        <f>_xlfn.XLOOKUP(Table1[[#This Row],[JobRole]],Table13[JobRole],Table13[Id_JobRole])</f>
        <v>JR003</v>
      </c>
      <c r="AA588" t="s">
        <v>49</v>
      </c>
      <c r="AB588" t="str">
        <f>_xlfn.XLOOKUP(Table1[[#This Row],[JobSatisfaction]],Table14[JobSatisfaction],Table14[Id_JobSatisfaction])</f>
        <v>JS002</v>
      </c>
      <c r="AC588">
        <v>2</v>
      </c>
      <c r="AD588" t="str">
        <f>_xlfn.XLOOKUP(Table1[[#This Row],[JobSatisfaction]],Table14[JobSatisfaction],Table14[Deskripsi])</f>
        <v>Medium</v>
      </c>
      <c r="AE588" t="str">
        <f>_xlfn.XLOOKUP(Table1[[#This Row],[MaritalStatus]],Table15[MaritalStatus],Table15[Id_MaritalStatus])</f>
        <v>MS003</v>
      </c>
      <c r="AF588" t="s">
        <v>57</v>
      </c>
      <c r="AG588">
        <v>2694</v>
      </c>
      <c r="AH588">
        <v>26551</v>
      </c>
      <c r="AI588">
        <v>1</v>
      </c>
      <c r="AJ588" t="str">
        <f>_xlfn.XLOOKUP(Table1[[#This Row],[OverTime]],Table16[OverTime],Table16[Id_OverTime])</f>
        <v>OT002</v>
      </c>
      <c r="AK588" t="s">
        <v>33</v>
      </c>
      <c r="AL588">
        <v>11</v>
      </c>
      <c r="AM588" t="str">
        <f>_xlfn.XLOOKUP(Table1[[#This Row],[PerformanceRating]],Table17[PerformanceRating],Table17[Id_PerformanceRating])</f>
        <v>PR003</v>
      </c>
      <c r="AN588">
        <v>3</v>
      </c>
      <c r="AO588" t="str">
        <f>_xlfn.XLOOKUP(Table1[[#This Row],[PerformanceRating]],Table17[PerformanceRating],Table17[Deskripsi])</f>
        <v>Excellent</v>
      </c>
      <c r="AP588" t="str">
        <f>_xlfn.XLOOKUP(Table1[[#This Row],[RelationshipSatisfaction]],Table18[RelationshipSatisfaction],Table18[Id_RelationshipSatisfaction])</f>
        <v>RS003</v>
      </c>
      <c r="AQ588">
        <v>3</v>
      </c>
      <c r="AR588" t="str">
        <f>_xlfn.XLOOKUP(Table1[[#This Row],[RelationshipSatisfaction]],Table18[RelationshipSatisfaction],Table18[Deskripsi])</f>
        <v>High</v>
      </c>
      <c r="AS588" t="str">
        <f>_xlfn.XLOOKUP(Table1[[#This Row],[StockOptionLevel]],Table19[StockOptionLevel],Table19[Id_StockOptionLevel])</f>
        <v>SOL004</v>
      </c>
      <c r="AT588">
        <v>3</v>
      </c>
      <c r="AU588" t="str">
        <f>_xlfn.XLOOKUP(Table1[[#This Row],[StockOptionLevel]],Table19[StockOptionLevel],Table19[Deskripsi])</f>
        <v>Senior/Executive</v>
      </c>
      <c r="AV588">
        <v>1</v>
      </c>
      <c r="AW588">
        <v>4</v>
      </c>
      <c r="AX588" t="str">
        <f>_xlfn.XLOOKUP(Table1[[#This Row],[WorkLifeBalance]],Table20[WorkLifeBalance],Table20[Id_WorkLifeBalance])</f>
        <v>WLB002</v>
      </c>
      <c r="AY588">
        <v>3</v>
      </c>
      <c r="AZ588" t="str">
        <f>_xlfn.XLOOKUP(Table1[[#This Row],[WorkLifeBalance]],Table20[WorkLifeBalance],Table20[Deskripsi])</f>
        <v>Good</v>
      </c>
      <c r="BA588">
        <v>1</v>
      </c>
      <c r="BB588">
        <v>0</v>
      </c>
      <c r="BC588">
        <v>0</v>
      </c>
      <c r="BD588">
        <v>0</v>
      </c>
    </row>
    <row r="589" spans="1:56" x14ac:dyDescent="0.25">
      <c r="A589">
        <v>52</v>
      </c>
      <c r="B589" t="str">
        <f>_xlfn.XLOOKUP(Table1[[#This Row],[Attrition]],Table2[Attrition],Table2[Id_Attrition])</f>
        <v>A002</v>
      </c>
      <c r="C589" t="s">
        <v>33</v>
      </c>
      <c r="D589" t="str">
        <f>_xlfn.XLOOKUP(Table1[[#This Row],[BusinessTravel]],Table5[BusinessTravel],Table5[Id_BusinessTravel])</f>
        <v>BS001</v>
      </c>
      <c r="E589" t="s">
        <v>34</v>
      </c>
      <c r="F589">
        <v>1325</v>
      </c>
      <c r="G589" t="str">
        <f>_xlfn.XLOOKUP(Table1[[#This Row],[Department]],Table6[Department],Table6[Id_Departement])</f>
        <v>D002</v>
      </c>
      <c r="H589" t="s">
        <v>38</v>
      </c>
      <c r="I589">
        <v>11</v>
      </c>
      <c r="J589" t="str">
        <f>_xlfn.XLOOKUP(Table1[[#This Row],[Education]],Table8[Education],Table8[Id_Education])</f>
        <v>E004</v>
      </c>
      <c r="K589">
        <v>4</v>
      </c>
      <c r="L589" t="str">
        <f>_xlfn.XLOOKUP(Table1[[#This Row],[EducationField]],Table7[EducationField],Table7[Id_EducationField])</f>
        <v>EF001</v>
      </c>
      <c r="M589" t="s">
        <v>40</v>
      </c>
      <c r="N589" t="str">
        <f>_xlfn.XLOOKUP(Table1[[#This Row],[EmployeeNumber]],Table4[EmployeeNumber],Table4[Id_Employee])</f>
        <v>EMP00588</v>
      </c>
      <c r="O589">
        <v>813</v>
      </c>
      <c r="P589" t="str">
        <f>_xlfn.XLOOKUP(Table1[[#This Row],[EnvironmentSatisfaction]],Table9[EnvironmentSatisfaction],Table9[Id_EnviromentSatisfaction])</f>
        <v>ES004</v>
      </c>
      <c r="Q589">
        <v>4</v>
      </c>
      <c r="R589" t="str">
        <f>_xlfn.XLOOKUP(Table1[[#This Row],[EnvironmentSatisfaction]],Table9[EnvironmentSatisfaction],Table9[Deskripsi])</f>
        <v>Very High</v>
      </c>
      <c r="S589" t="str">
        <f>_xlfn.XLOOKUP(Table1[[#This Row],[Gender]],Table10[Gender],Table10[Id_Gender])</f>
        <v>G001</v>
      </c>
      <c r="T589" t="s">
        <v>45</v>
      </c>
      <c r="U589">
        <v>82</v>
      </c>
      <c r="V589" t="str">
        <f>_xlfn.XLOOKUP(Table1[[#This Row],[JobInvolvement]],Table11[JobInvolvement],Table11[Id_JobInvolvement])</f>
        <v>JI003</v>
      </c>
      <c r="W589">
        <v>3</v>
      </c>
      <c r="X589" t="str">
        <f>_xlfn.XLOOKUP(Table1[[#This Row],[JobLevel]],Table12[JobLevel],Table12[Id_JobLevel])</f>
        <v>JL002</v>
      </c>
      <c r="Y589">
        <v>2</v>
      </c>
      <c r="Z589" t="str">
        <f>_xlfn.XLOOKUP(Table1[[#This Row],[JobRole]],Table13[JobRole],Table13[Id_JobRole])</f>
        <v>JR003</v>
      </c>
      <c r="AA589" t="s">
        <v>49</v>
      </c>
      <c r="AB589" t="str">
        <f>_xlfn.XLOOKUP(Table1[[#This Row],[JobSatisfaction]],Table14[JobSatisfaction],Table14[Id_JobSatisfaction])</f>
        <v>JS003</v>
      </c>
      <c r="AC589">
        <v>3</v>
      </c>
      <c r="AD589" t="str">
        <f>_xlfn.XLOOKUP(Table1[[#This Row],[JobSatisfaction]],Table14[JobSatisfaction],Table14[Deskripsi])</f>
        <v>High</v>
      </c>
      <c r="AE589" t="str">
        <f>_xlfn.XLOOKUP(Table1[[#This Row],[MaritalStatus]],Table15[MaritalStatus],Table15[Id_MaritalStatus])</f>
        <v>MS002</v>
      </c>
      <c r="AF589" t="s">
        <v>56</v>
      </c>
      <c r="AG589">
        <v>3149</v>
      </c>
      <c r="AH589">
        <v>21821</v>
      </c>
      <c r="AI589">
        <v>8</v>
      </c>
      <c r="AJ589" t="str">
        <f>_xlfn.XLOOKUP(Table1[[#This Row],[OverTime]],Table16[OverTime],Table16[Id_OverTime])</f>
        <v>OT002</v>
      </c>
      <c r="AK589" t="s">
        <v>33</v>
      </c>
      <c r="AL589">
        <v>20</v>
      </c>
      <c r="AM589" t="str">
        <f>_xlfn.XLOOKUP(Table1[[#This Row],[PerformanceRating]],Table17[PerformanceRating],Table17[Id_PerformanceRating])</f>
        <v>PR004</v>
      </c>
      <c r="AN589">
        <v>4</v>
      </c>
      <c r="AO589" t="str">
        <f>_xlfn.XLOOKUP(Table1[[#This Row],[PerformanceRating]],Table17[PerformanceRating],Table17[Deskripsi])</f>
        <v>Outstanding</v>
      </c>
      <c r="AP589" t="str">
        <f>_xlfn.XLOOKUP(Table1[[#This Row],[RelationshipSatisfaction]],Table18[RelationshipSatisfaction],Table18[Id_RelationshipSatisfaction])</f>
        <v>RS002</v>
      </c>
      <c r="AQ589">
        <v>2</v>
      </c>
      <c r="AR589" t="str">
        <f>_xlfn.XLOOKUP(Table1[[#This Row],[RelationshipSatisfaction]],Table18[RelationshipSatisfaction],Table18[Deskripsi])</f>
        <v>Medium</v>
      </c>
      <c r="AS589" t="str">
        <f>_xlfn.XLOOKUP(Table1[[#This Row],[StockOptionLevel]],Table19[StockOptionLevel],Table19[Id_StockOptionLevel])</f>
        <v>SOL002</v>
      </c>
      <c r="AT589">
        <v>1</v>
      </c>
      <c r="AU589" t="str">
        <f>_xlfn.XLOOKUP(Table1[[#This Row],[StockOptionLevel]],Table19[StockOptionLevel],Table19[Deskripsi])</f>
        <v>Standard</v>
      </c>
      <c r="AV589">
        <v>9</v>
      </c>
      <c r="AW589">
        <v>3</v>
      </c>
      <c r="AX589" t="str">
        <f>_xlfn.XLOOKUP(Table1[[#This Row],[WorkLifeBalance]],Table20[WorkLifeBalance],Table20[Id_WorkLifeBalance])</f>
        <v>WLB002</v>
      </c>
      <c r="AY589">
        <v>3</v>
      </c>
      <c r="AZ589" t="str">
        <f>_xlfn.XLOOKUP(Table1[[#This Row],[WorkLifeBalance]],Table20[WorkLifeBalance],Table20[Deskripsi])</f>
        <v>Good</v>
      </c>
      <c r="BA589">
        <v>5</v>
      </c>
      <c r="BB589">
        <v>2</v>
      </c>
      <c r="BC589">
        <v>1</v>
      </c>
      <c r="BD589">
        <v>4</v>
      </c>
    </row>
    <row r="590" spans="1:56" x14ac:dyDescent="0.25">
      <c r="A590">
        <v>50</v>
      </c>
      <c r="B590" t="str">
        <f>_xlfn.XLOOKUP(Table1[[#This Row],[Attrition]],Table2[Attrition],Table2[Id_Attrition])</f>
        <v>A002</v>
      </c>
      <c r="C590" t="s">
        <v>33</v>
      </c>
      <c r="D590" t="str">
        <f>_xlfn.XLOOKUP(Table1[[#This Row],[BusinessTravel]],Table5[BusinessTravel],Table5[Id_BusinessTravel])</f>
        <v>BS001</v>
      </c>
      <c r="E590" t="s">
        <v>34</v>
      </c>
      <c r="F590">
        <v>691</v>
      </c>
      <c r="G590" t="str">
        <f>_xlfn.XLOOKUP(Table1[[#This Row],[Department]],Table6[Department],Table6[Id_Departement])</f>
        <v>D002</v>
      </c>
      <c r="H590" t="s">
        <v>38</v>
      </c>
      <c r="I590">
        <v>2</v>
      </c>
      <c r="J590" t="str">
        <f>_xlfn.XLOOKUP(Table1[[#This Row],[Education]],Table8[Education],Table8[Id_Education])</f>
        <v>E003</v>
      </c>
      <c r="K590">
        <v>3</v>
      </c>
      <c r="L590" t="str">
        <f>_xlfn.XLOOKUP(Table1[[#This Row],[EducationField]],Table7[EducationField],Table7[Id_EducationField])</f>
        <v>EF003</v>
      </c>
      <c r="M590" t="s">
        <v>42</v>
      </c>
      <c r="N590" t="str">
        <f>_xlfn.XLOOKUP(Table1[[#This Row],[EmployeeNumber]],Table4[EmployeeNumber],Table4[Id_Employee])</f>
        <v>EMP00589</v>
      </c>
      <c r="O590">
        <v>815</v>
      </c>
      <c r="P590" t="str">
        <f>_xlfn.XLOOKUP(Table1[[#This Row],[EnvironmentSatisfaction]],Table9[EnvironmentSatisfaction],Table9[Id_EnviromentSatisfaction])</f>
        <v>ES003</v>
      </c>
      <c r="Q590">
        <v>3</v>
      </c>
      <c r="R590" t="str">
        <f>_xlfn.XLOOKUP(Table1[[#This Row],[EnvironmentSatisfaction]],Table9[EnvironmentSatisfaction],Table9[Deskripsi])</f>
        <v>High</v>
      </c>
      <c r="S590" t="str">
        <f>_xlfn.XLOOKUP(Table1[[#This Row],[Gender]],Table10[Gender],Table10[Id_Gender])</f>
        <v>G002</v>
      </c>
      <c r="T590" t="s">
        <v>46</v>
      </c>
      <c r="U590">
        <v>64</v>
      </c>
      <c r="V590" t="str">
        <f>_xlfn.XLOOKUP(Table1[[#This Row],[JobInvolvement]],Table11[JobInvolvement],Table11[Id_JobInvolvement])</f>
        <v>JI003</v>
      </c>
      <c r="W590">
        <v>3</v>
      </c>
      <c r="X590" t="str">
        <f>_xlfn.XLOOKUP(Table1[[#This Row],[JobLevel]],Table12[JobLevel],Table12[Id_JobLevel])</f>
        <v>JL004</v>
      </c>
      <c r="Y590">
        <v>4</v>
      </c>
      <c r="Z590" t="str">
        <f>_xlfn.XLOOKUP(Table1[[#This Row],[JobRole]],Table13[JobRole],Table13[Id_JobRole])</f>
        <v>JR008</v>
      </c>
      <c r="AA590" t="s">
        <v>54</v>
      </c>
      <c r="AB590" t="str">
        <f>_xlfn.XLOOKUP(Table1[[#This Row],[JobSatisfaction]],Table14[JobSatisfaction],Table14[Id_JobSatisfaction])</f>
        <v>JS003</v>
      </c>
      <c r="AC590">
        <v>3</v>
      </c>
      <c r="AD590" t="str">
        <f>_xlfn.XLOOKUP(Table1[[#This Row],[JobSatisfaction]],Table14[JobSatisfaction],Table14[Deskripsi])</f>
        <v>High</v>
      </c>
      <c r="AE590" t="str">
        <f>_xlfn.XLOOKUP(Table1[[#This Row],[MaritalStatus]],Table15[MaritalStatus],Table15[Id_MaritalStatus])</f>
        <v>MS002</v>
      </c>
      <c r="AF590" t="s">
        <v>56</v>
      </c>
      <c r="AG590">
        <v>17639</v>
      </c>
      <c r="AH590">
        <v>6881</v>
      </c>
      <c r="AI590">
        <v>5</v>
      </c>
      <c r="AJ590" t="str">
        <f>_xlfn.XLOOKUP(Table1[[#This Row],[OverTime]],Table16[OverTime],Table16[Id_OverTime])</f>
        <v>OT002</v>
      </c>
      <c r="AK590" t="s">
        <v>33</v>
      </c>
      <c r="AL590">
        <v>16</v>
      </c>
      <c r="AM590" t="str">
        <f>_xlfn.XLOOKUP(Table1[[#This Row],[PerformanceRating]],Table17[PerformanceRating],Table17[Id_PerformanceRating])</f>
        <v>PR003</v>
      </c>
      <c r="AN590">
        <v>3</v>
      </c>
      <c r="AO590" t="str">
        <f>_xlfn.XLOOKUP(Table1[[#This Row],[PerformanceRating]],Table17[PerformanceRating],Table17[Deskripsi])</f>
        <v>Excellent</v>
      </c>
      <c r="AP590" t="str">
        <f>_xlfn.XLOOKUP(Table1[[#This Row],[RelationshipSatisfaction]],Table18[RelationshipSatisfaction],Table18[Id_RelationshipSatisfaction])</f>
        <v>RS004</v>
      </c>
      <c r="AQ590">
        <v>4</v>
      </c>
      <c r="AR590" t="str">
        <f>_xlfn.XLOOKUP(Table1[[#This Row],[RelationshipSatisfaction]],Table18[RelationshipSatisfaction],Table18[Deskripsi])</f>
        <v>Very High</v>
      </c>
      <c r="AS590" t="str">
        <f>_xlfn.XLOOKUP(Table1[[#This Row],[StockOptionLevel]],Table19[StockOptionLevel],Table19[Id_StockOptionLevel])</f>
        <v>SOL001</v>
      </c>
      <c r="AT590">
        <v>0</v>
      </c>
      <c r="AU590" t="str">
        <f>_xlfn.XLOOKUP(Table1[[#This Row],[StockOptionLevel]],Table19[StockOptionLevel],Table19[Deskripsi])</f>
        <v>Non-Eligible</v>
      </c>
      <c r="AV590">
        <v>30</v>
      </c>
      <c r="AW590">
        <v>3</v>
      </c>
      <c r="AX590" t="str">
        <f>_xlfn.XLOOKUP(Table1[[#This Row],[WorkLifeBalance]],Table20[WorkLifeBalance],Table20[Id_WorkLifeBalance])</f>
        <v>WLB002</v>
      </c>
      <c r="AY590">
        <v>3</v>
      </c>
      <c r="AZ590" t="str">
        <f>_xlfn.XLOOKUP(Table1[[#This Row],[WorkLifeBalance]],Table20[WorkLifeBalance],Table20[Deskripsi])</f>
        <v>Good</v>
      </c>
      <c r="BA590">
        <v>4</v>
      </c>
      <c r="BB590">
        <v>3</v>
      </c>
      <c r="BC590">
        <v>0</v>
      </c>
      <c r="BD590">
        <v>3</v>
      </c>
    </row>
    <row r="591" spans="1:56" x14ac:dyDescent="0.25">
      <c r="A591">
        <v>29</v>
      </c>
      <c r="B591" t="str">
        <f>_xlfn.XLOOKUP(Table1[[#This Row],[Attrition]],Table2[Attrition],Table2[Id_Attrition])</f>
        <v>A001</v>
      </c>
      <c r="C591" t="s">
        <v>32</v>
      </c>
      <c r="D591" t="str">
        <f>_xlfn.XLOOKUP(Table1[[#This Row],[BusinessTravel]],Table5[BusinessTravel],Table5[Id_BusinessTravel])</f>
        <v>BS001</v>
      </c>
      <c r="E591" t="s">
        <v>34</v>
      </c>
      <c r="F591">
        <v>805</v>
      </c>
      <c r="G591" t="str">
        <f>_xlfn.XLOOKUP(Table1[[#This Row],[Department]],Table6[Department],Table6[Id_Departement])</f>
        <v>D002</v>
      </c>
      <c r="H591" t="s">
        <v>38</v>
      </c>
      <c r="I591">
        <v>1</v>
      </c>
      <c r="J591" t="str">
        <f>_xlfn.XLOOKUP(Table1[[#This Row],[Education]],Table8[Education],Table8[Id_Education])</f>
        <v>E002</v>
      </c>
      <c r="K591">
        <v>2</v>
      </c>
      <c r="L591" t="str">
        <f>_xlfn.XLOOKUP(Table1[[#This Row],[EducationField]],Table7[EducationField],Table7[Id_EducationField])</f>
        <v>EF001</v>
      </c>
      <c r="M591" t="s">
        <v>40</v>
      </c>
      <c r="N591" t="str">
        <f>_xlfn.XLOOKUP(Table1[[#This Row],[EmployeeNumber]],Table4[EmployeeNumber],Table4[Id_Employee])</f>
        <v>EMP00590</v>
      </c>
      <c r="O591">
        <v>816</v>
      </c>
      <c r="P591" t="str">
        <f>_xlfn.XLOOKUP(Table1[[#This Row],[EnvironmentSatisfaction]],Table9[EnvironmentSatisfaction],Table9[Id_EnviromentSatisfaction])</f>
        <v>ES002</v>
      </c>
      <c r="Q591">
        <v>2</v>
      </c>
      <c r="R591" t="str">
        <f>_xlfn.XLOOKUP(Table1[[#This Row],[EnvironmentSatisfaction]],Table9[EnvironmentSatisfaction],Table9[Deskripsi])</f>
        <v>Medium</v>
      </c>
      <c r="S591" t="str">
        <f>_xlfn.XLOOKUP(Table1[[#This Row],[Gender]],Table10[Gender],Table10[Id_Gender])</f>
        <v>G001</v>
      </c>
      <c r="T591" t="s">
        <v>45</v>
      </c>
      <c r="U591">
        <v>36</v>
      </c>
      <c r="V591" t="str">
        <f>_xlfn.XLOOKUP(Table1[[#This Row],[JobInvolvement]],Table11[JobInvolvement],Table11[Id_JobInvolvement])</f>
        <v>JI002</v>
      </c>
      <c r="W591">
        <v>2</v>
      </c>
      <c r="X591" t="str">
        <f>_xlfn.XLOOKUP(Table1[[#This Row],[JobLevel]],Table12[JobLevel],Table12[Id_JobLevel])</f>
        <v>JL001</v>
      </c>
      <c r="Y591">
        <v>1</v>
      </c>
      <c r="Z591" t="str">
        <f>_xlfn.XLOOKUP(Table1[[#This Row],[JobRole]],Table13[JobRole],Table13[Id_JobRole])</f>
        <v>JR003</v>
      </c>
      <c r="AA591" t="s">
        <v>49</v>
      </c>
      <c r="AB591" t="str">
        <f>_xlfn.XLOOKUP(Table1[[#This Row],[JobSatisfaction]],Table14[JobSatisfaction],Table14[Id_JobSatisfaction])</f>
        <v>JS001</v>
      </c>
      <c r="AC591">
        <v>1</v>
      </c>
      <c r="AD591" t="str">
        <f>_xlfn.XLOOKUP(Table1[[#This Row],[JobSatisfaction]],Table14[JobSatisfaction],Table14[Deskripsi])</f>
        <v>Low</v>
      </c>
      <c r="AE591" t="str">
        <f>_xlfn.XLOOKUP(Table1[[#This Row],[MaritalStatus]],Table15[MaritalStatus],Table15[Id_MaritalStatus])</f>
        <v>MS002</v>
      </c>
      <c r="AF591" t="s">
        <v>56</v>
      </c>
      <c r="AG591">
        <v>2319</v>
      </c>
      <c r="AH591">
        <v>6689</v>
      </c>
      <c r="AI591">
        <v>1</v>
      </c>
      <c r="AJ591" t="str">
        <f>_xlfn.XLOOKUP(Table1[[#This Row],[OverTime]],Table16[OverTime],Table16[Id_OverTime])</f>
        <v>OT001</v>
      </c>
      <c r="AK591" t="s">
        <v>32</v>
      </c>
      <c r="AL591">
        <v>11</v>
      </c>
      <c r="AM591" t="str">
        <f>_xlfn.XLOOKUP(Table1[[#This Row],[PerformanceRating]],Table17[PerformanceRating],Table17[Id_PerformanceRating])</f>
        <v>PR003</v>
      </c>
      <c r="AN591">
        <v>3</v>
      </c>
      <c r="AO591" t="str">
        <f>_xlfn.XLOOKUP(Table1[[#This Row],[PerformanceRating]],Table17[PerformanceRating],Table17[Deskripsi])</f>
        <v>Excellent</v>
      </c>
      <c r="AP591" t="str">
        <f>_xlfn.XLOOKUP(Table1[[#This Row],[RelationshipSatisfaction]],Table18[RelationshipSatisfaction],Table18[Id_RelationshipSatisfaction])</f>
        <v>RS004</v>
      </c>
      <c r="AQ591">
        <v>4</v>
      </c>
      <c r="AR591" t="str">
        <f>_xlfn.XLOOKUP(Table1[[#This Row],[RelationshipSatisfaction]],Table18[RelationshipSatisfaction],Table18[Deskripsi])</f>
        <v>Very High</v>
      </c>
      <c r="AS591" t="str">
        <f>_xlfn.XLOOKUP(Table1[[#This Row],[StockOptionLevel]],Table19[StockOptionLevel],Table19[Id_StockOptionLevel])</f>
        <v>SOL002</v>
      </c>
      <c r="AT591">
        <v>1</v>
      </c>
      <c r="AU591" t="str">
        <f>_xlfn.XLOOKUP(Table1[[#This Row],[StockOptionLevel]],Table19[StockOptionLevel],Table19[Deskripsi])</f>
        <v>Standard</v>
      </c>
      <c r="AV591">
        <v>1</v>
      </c>
      <c r="AW591">
        <v>1</v>
      </c>
      <c r="AX591" t="str">
        <f>_xlfn.XLOOKUP(Table1[[#This Row],[WorkLifeBalance]],Table20[WorkLifeBalance],Table20[Id_WorkLifeBalance])</f>
        <v>WLB002</v>
      </c>
      <c r="AY591">
        <v>3</v>
      </c>
      <c r="AZ591" t="str">
        <f>_xlfn.XLOOKUP(Table1[[#This Row],[WorkLifeBalance]],Table20[WorkLifeBalance],Table20[Deskripsi])</f>
        <v>Good</v>
      </c>
      <c r="BA591">
        <v>1</v>
      </c>
      <c r="BB591">
        <v>0</v>
      </c>
      <c r="BC591">
        <v>0</v>
      </c>
      <c r="BD591">
        <v>0</v>
      </c>
    </row>
    <row r="592" spans="1:56" x14ac:dyDescent="0.25">
      <c r="A592">
        <v>33</v>
      </c>
      <c r="B592" t="str">
        <f>_xlfn.XLOOKUP(Table1[[#This Row],[Attrition]],Table2[Attrition],Table2[Id_Attrition])</f>
        <v>A002</v>
      </c>
      <c r="C592" t="s">
        <v>33</v>
      </c>
      <c r="D592" t="str">
        <f>_xlfn.XLOOKUP(Table1[[#This Row],[BusinessTravel]],Table5[BusinessTravel],Table5[Id_BusinessTravel])</f>
        <v>BS001</v>
      </c>
      <c r="E592" t="s">
        <v>34</v>
      </c>
      <c r="F592">
        <v>213</v>
      </c>
      <c r="G592" t="str">
        <f>_xlfn.XLOOKUP(Table1[[#This Row],[Department]],Table6[Department],Table6[Id_Departement])</f>
        <v>D002</v>
      </c>
      <c r="H592" t="s">
        <v>38</v>
      </c>
      <c r="I592">
        <v>7</v>
      </c>
      <c r="J592" t="str">
        <f>_xlfn.XLOOKUP(Table1[[#This Row],[Education]],Table8[Education],Table8[Id_Education])</f>
        <v>E003</v>
      </c>
      <c r="K592">
        <v>3</v>
      </c>
      <c r="L592" t="str">
        <f>_xlfn.XLOOKUP(Table1[[#This Row],[EducationField]],Table7[EducationField],Table7[Id_EducationField])</f>
        <v>EF003</v>
      </c>
      <c r="M592" t="s">
        <v>42</v>
      </c>
      <c r="N592" t="str">
        <f>_xlfn.XLOOKUP(Table1[[#This Row],[EmployeeNumber]],Table4[EmployeeNumber],Table4[Id_Employee])</f>
        <v>EMP00591</v>
      </c>
      <c r="O592">
        <v>817</v>
      </c>
      <c r="P592" t="str">
        <f>_xlfn.XLOOKUP(Table1[[#This Row],[EnvironmentSatisfaction]],Table9[EnvironmentSatisfaction],Table9[Id_EnviromentSatisfaction])</f>
        <v>ES003</v>
      </c>
      <c r="Q592">
        <v>3</v>
      </c>
      <c r="R592" t="str">
        <f>_xlfn.XLOOKUP(Table1[[#This Row],[EnvironmentSatisfaction]],Table9[EnvironmentSatisfaction],Table9[Deskripsi])</f>
        <v>High</v>
      </c>
      <c r="S592" t="str">
        <f>_xlfn.XLOOKUP(Table1[[#This Row],[Gender]],Table10[Gender],Table10[Id_Gender])</f>
        <v>G002</v>
      </c>
      <c r="T592" t="s">
        <v>46</v>
      </c>
      <c r="U592">
        <v>49</v>
      </c>
      <c r="V592" t="str">
        <f>_xlfn.XLOOKUP(Table1[[#This Row],[JobInvolvement]],Table11[JobInvolvement],Table11[Id_JobInvolvement])</f>
        <v>JI003</v>
      </c>
      <c r="W592">
        <v>3</v>
      </c>
      <c r="X592" t="str">
        <f>_xlfn.XLOOKUP(Table1[[#This Row],[JobLevel]],Table12[JobLevel],Table12[Id_JobLevel])</f>
        <v>JL003</v>
      </c>
      <c r="Y592">
        <v>3</v>
      </c>
      <c r="Z592" t="str">
        <f>_xlfn.XLOOKUP(Table1[[#This Row],[JobRole]],Table13[JobRole],Table13[Id_JobRole])</f>
        <v>JR008</v>
      </c>
      <c r="AA592" t="s">
        <v>54</v>
      </c>
      <c r="AB592" t="str">
        <f>_xlfn.XLOOKUP(Table1[[#This Row],[JobSatisfaction]],Table14[JobSatisfaction],Table14[Id_JobSatisfaction])</f>
        <v>JS003</v>
      </c>
      <c r="AC592">
        <v>3</v>
      </c>
      <c r="AD592" t="str">
        <f>_xlfn.XLOOKUP(Table1[[#This Row],[JobSatisfaction]],Table14[JobSatisfaction],Table14[Deskripsi])</f>
        <v>High</v>
      </c>
      <c r="AE592" t="str">
        <f>_xlfn.XLOOKUP(Table1[[#This Row],[MaritalStatus]],Table15[MaritalStatus],Table15[Id_MaritalStatus])</f>
        <v>MS002</v>
      </c>
      <c r="AF592" t="s">
        <v>56</v>
      </c>
      <c r="AG592">
        <v>11691</v>
      </c>
      <c r="AH592">
        <v>25995</v>
      </c>
      <c r="AI592">
        <v>0</v>
      </c>
      <c r="AJ592" t="str">
        <f>_xlfn.XLOOKUP(Table1[[#This Row],[OverTime]],Table16[OverTime],Table16[Id_OverTime])</f>
        <v>OT002</v>
      </c>
      <c r="AK592" t="s">
        <v>33</v>
      </c>
      <c r="AL592">
        <v>11</v>
      </c>
      <c r="AM592" t="str">
        <f>_xlfn.XLOOKUP(Table1[[#This Row],[PerformanceRating]],Table17[PerformanceRating],Table17[Id_PerformanceRating])</f>
        <v>PR003</v>
      </c>
      <c r="AN592">
        <v>3</v>
      </c>
      <c r="AO592" t="str">
        <f>_xlfn.XLOOKUP(Table1[[#This Row],[PerformanceRating]],Table17[PerformanceRating],Table17[Deskripsi])</f>
        <v>Excellent</v>
      </c>
      <c r="AP592" t="str">
        <f>_xlfn.XLOOKUP(Table1[[#This Row],[RelationshipSatisfaction]],Table18[RelationshipSatisfaction],Table18[Id_RelationshipSatisfaction])</f>
        <v>RS004</v>
      </c>
      <c r="AQ592">
        <v>4</v>
      </c>
      <c r="AR592" t="str">
        <f>_xlfn.XLOOKUP(Table1[[#This Row],[RelationshipSatisfaction]],Table18[RelationshipSatisfaction],Table18[Deskripsi])</f>
        <v>Very High</v>
      </c>
      <c r="AS592" t="str">
        <f>_xlfn.XLOOKUP(Table1[[#This Row],[StockOptionLevel]],Table19[StockOptionLevel],Table19[Id_StockOptionLevel])</f>
        <v>SOL001</v>
      </c>
      <c r="AT592">
        <v>0</v>
      </c>
      <c r="AU592" t="str">
        <f>_xlfn.XLOOKUP(Table1[[#This Row],[StockOptionLevel]],Table19[StockOptionLevel],Table19[Deskripsi])</f>
        <v>Non-Eligible</v>
      </c>
      <c r="AV592">
        <v>14</v>
      </c>
      <c r="AW592">
        <v>3</v>
      </c>
      <c r="AX592" t="str">
        <f>_xlfn.XLOOKUP(Table1[[#This Row],[WorkLifeBalance]],Table20[WorkLifeBalance],Table20[Id_WorkLifeBalance])</f>
        <v>WLB004</v>
      </c>
      <c r="AY592">
        <v>4</v>
      </c>
      <c r="AZ592" t="str">
        <f>_xlfn.XLOOKUP(Table1[[#This Row],[WorkLifeBalance]],Table20[WorkLifeBalance],Table20[Deskripsi])</f>
        <v>Best</v>
      </c>
      <c r="BA592">
        <v>13</v>
      </c>
      <c r="BB592">
        <v>9</v>
      </c>
      <c r="BC592">
        <v>3</v>
      </c>
      <c r="BD592">
        <v>7</v>
      </c>
    </row>
    <row r="593" spans="1:56" x14ac:dyDescent="0.25">
      <c r="A593">
        <v>33</v>
      </c>
      <c r="B593" t="str">
        <f>_xlfn.XLOOKUP(Table1[[#This Row],[Attrition]],Table2[Attrition],Table2[Id_Attrition])</f>
        <v>A001</v>
      </c>
      <c r="C593" t="s">
        <v>32</v>
      </c>
      <c r="D593" t="str">
        <f>_xlfn.XLOOKUP(Table1[[#This Row],[BusinessTravel]],Table5[BusinessTravel],Table5[Id_BusinessTravel])</f>
        <v>BS001</v>
      </c>
      <c r="E593" t="s">
        <v>34</v>
      </c>
      <c r="F593">
        <v>118</v>
      </c>
      <c r="G593" t="str">
        <f>_xlfn.XLOOKUP(Table1[[#This Row],[Department]],Table6[Department],Table6[Id_Departement])</f>
        <v>D001</v>
      </c>
      <c r="H593" t="s">
        <v>37</v>
      </c>
      <c r="I593">
        <v>16</v>
      </c>
      <c r="J593" t="str">
        <f>_xlfn.XLOOKUP(Table1[[#This Row],[Education]],Table8[Education],Table8[Id_Education])</f>
        <v>E003</v>
      </c>
      <c r="K593">
        <v>3</v>
      </c>
      <c r="L593" t="str">
        <f>_xlfn.XLOOKUP(Table1[[#This Row],[EducationField]],Table7[EducationField],Table7[Id_EducationField])</f>
        <v>EF004</v>
      </c>
      <c r="M593" t="s">
        <v>43</v>
      </c>
      <c r="N593" t="str">
        <f>_xlfn.XLOOKUP(Table1[[#This Row],[EmployeeNumber]],Table4[EmployeeNumber],Table4[Id_Employee])</f>
        <v>EMP00592</v>
      </c>
      <c r="O593">
        <v>819</v>
      </c>
      <c r="P593" t="str">
        <f>_xlfn.XLOOKUP(Table1[[#This Row],[EnvironmentSatisfaction]],Table9[EnvironmentSatisfaction],Table9[Id_EnviromentSatisfaction])</f>
        <v>ES001</v>
      </c>
      <c r="Q593">
        <v>1</v>
      </c>
      <c r="R593" t="str">
        <f>_xlfn.XLOOKUP(Table1[[#This Row],[EnvironmentSatisfaction]],Table9[EnvironmentSatisfaction],Table9[Deskripsi])</f>
        <v>Low</v>
      </c>
      <c r="S593" t="str">
        <f>_xlfn.XLOOKUP(Table1[[#This Row],[Gender]],Table10[Gender],Table10[Id_Gender])</f>
        <v>G001</v>
      </c>
      <c r="T593" t="s">
        <v>45</v>
      </c>
      <c r="U593">
        <v>69</v>
      </c>
      <c r="V593" t="str">
        <f>_xlfn.XLOOKUP(Table1[[#This Row],[JobInvolvement]],Table11[JobInvolvement],Table11[Id_JobInvolvement])</f>
        <v>JI003</v>
      </c>
      <c r="W593">
        <v>3</v>
      </c>
      <c r="X593" t="str">
        <f>_xlfn.XLOOKUP(Table1[[#This Row],[JobLevel]],Table12[JobLevel],Table12[Id_JobLevel])</f>
        <v>JL002</v>
      </c>
      <c r="Y593">
        <v>2</v>
      </c>
      <c r="Z593" t="str">
        <f>_xlfn.XLOOKUP(Table1[[#This Row],[JobRole]],Table13[JobRole],Table13[Id_JobRole])</f>
        <v>JR001</v>
      </c>
      <c r="AA593" t="s">
        <v>47</v>
      </c>
      <c r="AB593" t="str">
        <f>_xlfn.XLOOKUP(Table1[[#This Row],[JobSatisfaction]],Table14[JobSatisfaction],Table14[Id_JobSatisfaction])</f>
        <v>JS001</v>
      </c>
      <c r="AC593">
        <v>1</v>
      </c>
      <c r="AD593" t="str">
        <f>_xlfn.XLOOKUP(Table1[[#This Row],[JobSatisfaction]],Table14[JobSatisfaction],Table14[Deskripsi])</f>
        <v>Low</v>
      </c>
      <c r="AE593" t="str">
        <f>_xlfn.XLOOKUP(Table1[[#This Row],[MaritalStatus]],Table15[MaritalStatus],Table15[Id_MaritalStatus])</f>
        <v>MS001</v>
      </c>
      <c r="AF593" t="s">
        <v>55</v>
      </c>
      <c r="AG593">
        <v>5324</v>
      </c>
      <c r="AH593">
        <v>26507</v>
      </c>
      <c r="AI593">
        <v>5</v>
      </c>
      <c r="AJ593" t="str">
        <f>_xlfn.XLOOKUP(Table1[[#This Row],[OverTime]],Table16[OverTime],Table16[Id_OverTime])</f>
        <v>OT002</v>
      </c>
      <c r="AK593" t="s">
        <v>33</v>
      </c>
      <c r="AL593">
        <v>15</v>
      </c>
      <c r="AM593" t="str">
        <f>_xlfn.XLOOKUP(Table1[[#This Row],[PerformanceRating]],Table17[PerformanceRating],Table17[Id_PerformanceRating])</f>
        <v>PR003</v>
      </c>
      <c r="AN593">
        <v>3</v>
      </c>
      <c r="AO593" t="str">
        <f>_xlfn.XLOOKUP(Table1[[#This Row],[PerformanceRating]],Table17[PerformanceRating],Table17[Deskripsi])</f>
        <v>Excellent</v>
      </c>
      <c r="AP593" t="str">
        <f>_xlfn.XLOOKUP(Table1[[#This Row],[RelationshipSatisfaction]],Table18[RelationshipSatisfaction],Table18[Id_RelationshipSatisfaction])</f>
        <v>RS003</v>
      </c>
      <c r="AQ593">
        <v>3</v>
      </c>
      <c r="AR593" t="str">
        <f>_xlfn.XLOOKUP(Table1[[#This Row],[RelationshipSatisfaction]],Table18[RelationshipSatisfaction],Table18[Deskripsi])</f>
        <v>High</v>
      </c>
      <c r="AS593" t="str">
        <f>_xlfn.XLOOKUP(Table1[[#This Row],[StockOptionLevel]],Table19[StockOptionLevel],Table19[Id_StockOptionLevel])</f>
        <v>SOL001</v>
      </c>
      <c r="AT593">
        <v>0</v>
      </c>
      <c r="AU593" t="str">
        <f>_xlfn.XLOOKUP(Table1[[#This Row],[StockOptionLevel]],Table19[StockOptionLevel],Table19[Deskripsi])</f>
        <v>Non-Eligible</v>
      </c>
      <c r="AV593">
        <v>6</v>
      </c>
      <c r="AW593">
        <v>3</v>
      </c>
      <c r="AX593" t="str">
        <f>_xlfn.XLOOKUP(Table1[[#This Row],[WorkLifeBalance]],Table20[WorkLifeBalance],Table20[Id_WorkLifeBalance])</f>
        <v>WLB002</v>
      </c>
      <c r="AY593">
        <v>3</v>
      </c>
      <c r="AZ593" t="str">
        <f>_xlfn.XLOOKUP(Table1[[#This Row],[WorkLifeBalance]],Table20[WorkLifeBalance],Table20[Deskripsi])</f>
        <v>Good</v>
      </c>
      <c r="BA593">
        <v>3</v>
      </c>
      <c r="BB593">
        <v>2</v>
      </c>
      <c r="BC593">
        <v>0</v>
      </c>
      <c r="BD593">
        <v>2</v>
      </c>
    </row>
    <row r="594" spans="1:56" x14ac:dyDescent="0.25">
      <c r="A594">
        <v>47</v>
      </c>
      <c r="B594" t="str">
        <f>_xlfn.XLOOKUP(Table1[[#This Row],[Attrition]],Table2[Attrition],Table2[Id_Attrition])</f>
        <v>A002</v>
      </c>
      <c r="C594" t="s">
        <v>33</v>
      </c>
      <c r="D594" t="str">
        <f>_xlfn.XLOOKUP(Table1[[#This Row],[BusinessTravel]],Table5[BusinessTravel],Table5[Id_BusinessTravel])</f>
        <v>BS001</v>
      </c>
      <c r="E594" t="s">
        <v>34</v>
      </c>
      <c r="F594">
        <v>202</v>
      </c>
      <c r="G594" t="str">
        <f>_xlfn.XLOOKUP(Table1[[#This Row],[Department]],Table6[Department],Table6[Id_Departement])</f>
        <v>D002</v>
      </c>
      <c r="H594" t="s">
        <v>38</v>
      </c>
      <c r="I594">
        <v>2</v>
      </c>
      <c r="J594" t="str">
        <f>_xlfn.XLOOKUP(Table1[[#This Row],[Education]],Table8[Education],Table8[Id_Education])</f>
        <v>E002</v>
      </c>
      <c r="K594">
        <v>2</v>
      </c>
      <c r="L594" t="str">
        <f>_xlfn.XLOOKUP(Table1[[#This Row],[EducationField]],Table7[EducationField],Table7[Id_EducationField])</f>
        <v>EF002</v>
      </c>
      <c r="M594" t="s">
        <v>41</v>
      </c>
      <c r="N594" t="str">
        <f>_xlfn.XLOOKUP(Table1[[#This Row],[EmployeeNumber]],Table4[EmployeeNumber],Table4[Id_Employee])</f>
        <v>EMP00593</v>
      </c>
      <c r="O594">
        <v>820</v>
      </c>
      <c r="P594" t="str">
        <f>_xlfn.XLOOKUP(Table1[[#This Row],[EnvironmentSatisfaction]],Table9[EnvironmentSatisfaction],Table9[Id_EnviromentSatisfaction])</f>
        <v>ES003</v>
      </c>
      <c r="Q594">
        <v>3</v>
      </c>
      <c r="R594" t="str">
        <f>_xlfn.XLOOKUP(Table1[[#This Row],[EnvironmentSatisfaction]],Table9[EnvironmentSatisfaction],Table9[Deskripsi])</f>
        <v>High</v>
      </c>
      <c r="S594" t="str">
        <f>_xlfn.XLOOKUP(Table1[[#This Row],[Gender]],Table10[Gender],Table10[Id_Gender])</f>
        <v>G001</v>
      </c>
      <c r="T594" t="s">
        <v>45</v>
      </c>
      <c r="U594">
        <v>33</v>
      </c>
      <c r="V594" t="str">
        <f>_xlfn.XLOOKUP(Table1[[#This Row],[JobInvolvement]],Table11[JobInvolvement],Table11[Id_JobInvolvement])</f>
        <v>JI003</v>
      </c>
      <c r="W594">
        <v>3</v>
      </c>
      <c r="X594" t="str">
        <f>_xlfn.XLOOKUP(Table1[[#This Row],[JobLevel]],Table12[JobLevel],Table12[Id_JobLevel])</f>
        <v>JL004</v>
      </c>
      <c r="Y594">
        <v>4</v>
      </c>
      <c r="Z594" t="str">
        <f>_xlfn.XLOOKUP(Table1[[#This Row],[JobRole]],Table13[JobRole],Table13[Id_JobRole])</f>
        <v>JR006</v>
      </c>
      <c r="AA594" t="s">
        <v>52</v>
      </c>
      <c r="AB594" t="str">
        <f>_xlfn.XLOOKUP(Table1[[#This Row],[JobSatisfaction]],Table14[JobSatisfaction],Table14[Id_JobSatisfaction])</f>
        <v>JS004</v>
      </c>
      <c r="AC594">
        <v>4</v>
      </c>
      <c r="AD594" t="str">
        <f>_xlfn.XLOOKUP(Table1[[#This Row],[JobSatisfaction]],Table14[JobSatisfaction],Table14[Deskripsi])</f>
        <v>Very High</v>
      </c>
      <c r="AE594" t="str">
        <f>_xlfn.XLOOKUP(Table1[[#This Row],[MaritalStatus]],Table15[MaritalStatus],Table15[Id_MaritalStatus])</f>
        <v>MS002</v>
      </c>
      <c r="AF594" t="s">
        <v>56</v>
      </c>
      <c r="AG594">
        <v>16752</v>
      </c>
      <c r="AH594">
        <v>12982</v>
      </c>
      <c r="AI594">
        <v>1</v>
      </c>
      <c r="AJ594" t="str">
        <f>_xlfn.XLOOKUP(Table1[[#This Row],[OverTime]],Table16[OverTime],Table16[Id_OverTime])</f>
        <v>OT001</v>
      </c>
      <c r="AK594" t="s">
        <v>32</v>
      </c>
      <c r="AL594">
        <v>11</v>
      </c>
      <c r="AM594" t="str">
        <f>_xlfn.XLOOKUP(Table1[[#This Row],[PerformanceRating]],Table17[PerformanceRating],Table17[Id_PerformanceRating])</f>
        <v>PR003</v>
      </c>
      <c r="AN594">
        <v>3</v>
      </c>
      <c r="AO594" t="str">
        <f>_xlfn.XLOOKUP(Table1[[#This Row],[PerformanceRating]],Table17[PerformanceRating],Table17[Deskripsi])</f>
        <v>Excellent</v>
      </c>
      <c r="AP594" t="str">
        <f>_xlfn.XLOOKUP(Table1[[#This Row],[RelationshipSatisfaction]],Table18[RelationshipSatisfaction],Table18[Id_RelationshipSatisfaction])</f>
        <v>RS003</v>
      </c>
      <c r="AQ594">
        <v>3</v>
      </c>
      <c r="AR594" t="str">
        <f>_xlfn.XLOOKUP(Table1[[#This Row],[RelationshipSatisfaction]],Table18[RelationshipSatisfaction],Table18[Deskripsi])</f>
        <v>High</v>
      </c>
      <c r="AS594" t="str">
        <f>_xlfn.XLOOKUP(Table1[[#This Row],[StockOptionLevel]],Table19[StockOptionLevel],Table19[Id_StockOptionLevel])</f>
        <v>SOL002</v>
      </c>
      <c r="AT594">
        <v>1</v>
      </c>
      <c r="AU594" t="str">
        <f>_xlfn.XLOOKUP(Table1[[#This Row],[StockOptionLevel]],Table19[StockOptionLevel],Table19[Deskripsi])</f>
        <v>Standard</v>
      </c>
      <c r="AV594">
        <v>26</v>
      </c>
      <c r="AW594">
        <v>3</v>
      </c>
      <c r="AX594" t="str">
        <f>_xlfn.XLOOKUP(Table1[[#This Row],[WorkLifeBalance]],Table20[WorkLifeBalance],Table20[Id_WorkLifeBalance])</f>
        <v>WLB003</v>
      </c>
      <c r="AY594">
        <v>2</v>
      </c>
      <c r="AZ594" t="str">
        <f>_xlfn.XLOOKUP(Table1[[#This Row],[WorkLifeBalance]],Table20[WorkLifeBalance],Table20[Deskripsi])</f>
        <v>Better</v>
      </c>
      <c r="BA594">
        <v>26</v>
      </c>
      <c r="BB594">
        <v>14</v>
      </c>
      <c r="BC594">
        <v>3</v>
      </c>
      <c r="BD594">
        <v>0</v>
      </c>
    </row>
    <row r="595" spans="1:56" x14ac:dyDescent="0.25">
      <c r="A595">
        <v>36</v>
      </c>
      <c r="B595" t="str">
        <f>_xlfn.XLOOKUP(Table1[[#This Row],[Attrition]],Table2[Attrition],Table2[Id_Attrition])</f>
        <v>A002</v>
      </c>
      <c r="C595" t="s">
        <v>33</v>
      </c>
      <c r="D595" t="str">
        <f>_xlfn.XLOOKUP(Table1[[#This Row],[BusinessTravel]],Table5[BusinessTravel],Table5[Id_BusinessTravel])</f>
        <v>BS001</v>
      </c>
      <c r="E595" t="s">
        <v>34</v>
      </c>
      <c r="F595">
        <v>676</v>
      </c>
      <c r="G595" t="str">
        <f>_xlfn.XLOOKUP(Table1[[#This Row],[Department]],Table6[Department],Table6[Id_Departement])</f>
        <v>D002</v>
      </c>
      <c r="H595" t="s">
        <v>38</v>
      </c>
      <c r="I595">
        <v>1</v>
      </c>
      <c r="J595" t="str">
        <f>_xlfn.XLOOKUP(Table1[[#This Row],[Education]],Table8[Education],Table8[Id_Education])</f>
        <v>E003</v>
      </c>
      <c r="K595">
        <v>3</v>
      </c>
      <c r="L595" t="str">
        <f>_xlfn.XLOOKUP(Table1[[#This Row],[EducationField]],Table7[EducationField],Table7[Id_EducationField])</f>
        <v>EF002</v>
      </c>
      <c r="M595" t="s">
        <v>41</v>
      </c>
      <c r="N595" t="str">
        <f>_xlfn.XLOOKUP(Table1[[#This Row],[EmployeeNumber]],Table4[EmployeeNumber],Table4[Id_Employee])</f>
        <v>EMP00594</v>
      </c>
      <c r="O595">
        <v>823</v>
      </c>
      <c r="P595" t="str">
        <f>_xlfn.XLOOKUP(Table1[[#This Row],[EnvironmentSatisfaction]],Table9[EnvironmentSatisfaction],Table9[Id_EnviromentSatisfaction])</f>
        <v>ES003</v>
      </c>
      <c r="Q595">
        <v>3</v>
      </c>
      <c r="R595" t="str">
        <f>_xlfn.XLOOKUP(Table1[[#This Row],[EnvironmentSatisfaction]],Table9[EnvironmentSatisfaction],Table9[Deskripsi])</f>
        <v>High</v>
      </c>
      <c r="S595" t="str">
        <f>_xlfn.XLOOKUP(Table1[[#This Row],[Gender]],Table10[Gender],Table10[Id_Gender])</f>
        <v>G001</v>
      </c>
      <c r="T595" t="s">
        <v>45</v>
      </c>
      <c r="U595">
        <v>35</v>
      </c>
      <c r="V595" t="str">
        <f>_xlfn.XLOOKUP(Table1[[#This Row],[JobInvolvement]],Table11[JobInvolvement],Table11[Id_JobInvolvement])</f>
        <v>JI003</v>
      </c>
      <c r="W595">
        <v>3</v>
      </c>
      <c r="X595" t="str">
        <f>_xlfn.XLOOKUP(Table1[[#This Row],[JobLevel]],Table12[JobLevel],Table12[Id_JobLevel])</f>
        <v>JL002</v>
      </c>
      <c r="Y595">
        <v>2</v>
      </c>
      <c r="Z595" t="str">
        <f>_xlfn.XLOOKUP(Table1[[#This Row],[JobRole]],Table13[JobRole],Table13[Id_JobRole])</f>
        <v>JR004</v>
      </c>
      <c r="AA595" t="s">
        <v>50</v>
      </c>
      <c r="AB595" t="str">
        <f>_xlfn.XLOOKUP(Table1[[#This Row],[JobSatisfaction]],Table14[JobSatisfaction],Table14[Id_JobSatisfaction])</f>
        <v>JS002</v>
      </c>
      <c r="AC595">
        <v>2</v>
      </c>
      <c r="AD595" t="str">
        <f>_xlfn.XLOOKUP(Table1[[#This Row],[JobSatisfaction]],Table14[JobSatisfaction],Table14[Deskripsi])</f>
        <v>Medium</v>
      </c>
      <c r="AE595" t="str">
        <f>_xlfn.XLOOKUP(Table1[[#This Row],[MaritalStatus]],Table15[MaritalStatus],Table15[Id_MaritalStatus])</f>
        <v>MS002</v>
      </c>
      <c r="AF595" t="s">
        <v>56</v>
      </c>
      <c r="AG595">
        <v>5228</v>
      </c>
      <c r="AH595">
        <v>23361</v>
      </c>
      <c r="AI595">
        <v>0</v>
      </c>
      <c r="AJ595" t="str">
        <f>_xlfn.XLOOKUP(Table1[[#This Row],[OverTime]],Table16[OverTime],Table16[Id_OverTime])</f>
        <v>OT002</v>
      </c>
      <c r="AK595" t="s">
        <v>33</v>
      </c>
      <c r="AL595">
        <v>15</v>
      </c>
      <c r="AM595" t="str">
        <f>_xlfn.XLOOKUP(Table1[[#This Row],[PerformanceRating]],Table17[PerformanceRating],Table17[Id_PerformanceRating])</f>
        <v>PR003</v>
      </c>
      <c r="AN595">
        <v>3</v>
      </c>
      <c r="AO595" t="str">
        <f>_xlfn.XLOOKUP(Table1[[#This Row],[PerformanceRating]],Table17[PerformanceRating],Table17[Deskripsi])</f>
        <v>Excellent</v>
      </c>
      <c r="AP595" t="str">
        <f>_xlfn.XLOOKUP(Table1[[#This Row],[RelationshipSatisfaction]],Table18[RelationshipSatisfaction],Table18[Id_RelationshipSatisfaction])</f>
        <v>RS001</v>
      </c>
      <c r="AQ595">
        <v>1</v>
      </c>
      <c r="AR595" t="str">
        <f>_xlfn.XLOOKUP(Table1[[#This Row],[RelationshipSatisfaction]],Table18[RelationshipSatisfaction],Table18[Deskripsi])</f>
        <v>Low</v>
      </c>
      <c r="AS595" t="str">
        <f>_xlfn.XLOOKUP(Table1[[#This Row],[StockOptionLevel]],Table19[StockOptionLevel],Table19[Id_StockOptionLevel])</f>
        <v>SOL002</v>
      </c>
      <c r="AT595">
        <v>1</v>
      </c>
      <c r="AU595" t="str">
        <f>_xlfn.XLOOKUP(Table1[[#This Row],[StockOptionLevel]],Table19[StockOptionLevel],Table19[Deskripsi])</f>
        <v>Standard</v>
      </c>
      <c r="AV595">
        <v>10</v>
      </c>
      <c r="AW595">
        <v>2</v>
      </c>
      <c r="AX595" t="str">
        <f>_xlfn.XLOOKUP(Table1[[#This Row],[WorkLifeBalance]],Table20[WorkLifeBalance],Table20[Id_WorkLifeBalance])</f>
        <v>WLB002</v>
      </c>
      <c r="AY595">
        <v>3</v>
      </c>
      <c r="AZ595" t="str">
        <f>_xlfn.XLOOKUP(Table1[[#This Row],[WorkLifeBalance]],Table20[WorkLifeBalance],Table20[Deskripsi])</f>
        <v>Good</v>
      </c>
      <c r="BA595">
        <v>9</v>
      </c>
      <c r="BB595">
        <v>7</v>
      </c>
      <c r="BC595">
        <v>0</v>
      </c>
      <c r="BD595">
        <v>5</v>
      </c>
    </row>
    <row r="596" spans="1:56" x14ac:dyDescent="0.25">
      <c r="A596">
        <v>29</v>
      </c>
      <c r="B596" t="str">
        <f>_xlfn.XLOOKUP(Table1[[#This Row],[Attrition]],Table2[Attrition],Table2[Id_Attrition])</f>
        <v>A002</v>
      </c>
      <c r="C596" t="s">
        <v>33</v>
      </c>
      <c r="D596" t="str">
        <f>_xlfn.XLOOKUP(Table1[[#This Row],[BusinessTravel]],Table5[BusinessTravel],Table5[Id_BusinessTravel])</f>
        <v>BS001</v>
      </c>
      <c r="E596" t="s">
        <v>34</v>
      </c>
      <c r="F596">
        <v>1252</v>
      </c>
      <c r="G596" t="str">
        <f>_xlfn.XLOOKUP(Table1[[#This Row],[Department]],Table6[Department],Table6[Id_Departement])</f>
        <v>D002</v>
      </c>
      <c r="H596" t="s">
        <v>38</v>
      </c>
      <c r="I596">
        <v>23</v>
      </c>
      <c r="J596" t="str">
        <f>_xlfn.XLOOKUP(Table1[[#This Row],[Education]],Table8[Education],Table8[Id_Education])</f>
        <v>E002</v>
      </c>
      <c r="K596">
        <v>2</v>
      </c>
      <c r="L596" t="str">
        <f>_xlfn.XLOOKUP(Table1[[#This Row],[EducationField]],Table7[EducationField],Table7[Id_EducationField])</f>
        <v>EF001</v>
      </c>
      <c r="M596" t="s">
        <v>40</v>
      </c>
      <c r="N596" t="str">
        <f>_xlfn.XLOOKUP(Table1[[#This Row],[EmployeeNumber]],Table4[EmployeeNumber],Table4[Id_Employee])</f>
        <v>EMP00595</v>
      </c>
      <c r="O596">
        <v>824</v>
      </c>
      <c r="P596" t="str">
        <f>_xlfn.XLOOKUP(Table1[[#This Row],[EnvironmentSatisfaction]],Table9[EnvironmentSatisfaction],Table9[Id_EnviromentSatisfaction])</f>
        <v>ES003</v>
      </c>
      <c r="Q596">
        <v>3</v>
      </c>
      <c r="R596" t="str">
        <f>_xlfn.XLOOKUP(Table1[[#This Row],[EnvironmentSatisfaction]],Table9[EnvironmentSatisfaction],Table9[Deskripsi])</f>
        <v>High</v>
      </c>
      <c r="S596" t="str">
        <f>_xlfn.XLOOKUP(Table1[[#This Row],[Gender]],Table10[Gender],Table10[Id_Gender])</f>
        <v>G002</v>
      </c>
      <c r="T596" t="s">
        <v>46</v>
      </c>
      <c r="U596">
        <v>81</v>
      </c>
      <c r="V596" t="str">
        <f>_xlfn.XLOOKUP(Table1[[#This Row],[JobInvolvement]],Table11[JobInvolvement],Table11[Id_JobInvolvement])</f>
        <v>JI004</v>
      </c>
      <c r="W596">
        <v>4</v>
      </c>
      <c r="X596" t="str">
        <f>_xlfn.XLOOKUP(Table1[[#This Row],[JobLevel]],Table12[JobLevel],Table12[Id_JobLevel])</f>
        <v>JL001</v>
      </c>
      <c r="Y596">
        <v>1</v>
      </c>
      <c r="Z596" t="str">
        <f>_xlfn.XLOOKUP(Table1[[#This Row],[JobRole]],Table13[JobRole],Table13[Id_JobRole])</f>
        <v>JR002</v>
      </c>
      <c r="AA596" t="s">
        <v>48</v>
      </c>
      <c r="AB596" t="str">
        <f>_xlfn.XLOOKUP(Table1[[#This Row],[JobSatisfaction]],Table14[JobSatisfaction],Table14[Id_JobSatisfaction])</f>
        <v>JS003</v>
      </c>
      <c r="AC596">
        <v>3</v>
      </c>
      <c r="AD596" t="str">
        <f>_xlfn.XLOOKUP(Table1[[#This Row],[JobSatisfaction]],Table14[JobSatisfaction],Table14[Deskripsi])</f>
        <v>High</v>
      </c>
      <c r="AE596" t="str">
        <f>_xlfn.XLOOKUP(Table1[[#This Row],[MaritalStatus]],Table15[MaritalStatus],Table15[Id_MaritalStatus])</f>
        <v>MS002</v>
      </c>
      <c r="AF596" t="s">
        <v>56</v>
      </c>
      <c r="AG596">
        <v>2700</v>
      </c>
      <c r="AH596">
        <v>23779</v>
      </c>
      <c r="AI596">
        <v>1</v>
      </c>
      <c r="AJ596" t="str">
        <f>_xlfn.XLOOKUP(Table1[[#This Row],[OverTime]],Table16[OverTime],Table16[Id_OverTime])</f>
        <v>OT002</v>
      </c>
      <c r="AK596" t="s">
        <v>33</v>
      </c>
      <c r="AL596">
        <v>24</v>
      </c>
      <c r="AM596" t="str">
        <f>_xlfn.XLOOKUP(Table1[[#This Row],[PerformanceRating]],Table17[PerformanceRating],Table17[Id_PerformanceRating])</f>
        <v>PR004</v>
      </c>
      <c r="AN596">
        <v>4</v>
      </c>
      <c r="AO596" t="str">
        <f>_xlfn.XLOOKUP(Table1[[#This Row],[PerformanceRating]],Table17[PerformanceRating],Table17[Deskripsi])</f>
        <v>Outstanding</v>
      </c>
      <c r="AP596" t="str">
        <f>_xlfn.XLOOKUP(Table1[[#This Row],[RelationshipSatisfaction]],Table18[RelationshipSatisfaction],Table18[Id_RelationshipSatisfaction])</f>
        <v>RS003</v>
      </c>
      <c r="AQ596">
        <v>3</v>
      </c>
      <c r="AR596" t="str">
        <f>_xlfn.XLOOKUP(Table1[[#This Row],[RelationshipSatisfaction]],Table18[RelationshipSatisfaction],Table18[Deskripsi])</f>
        <v>High</v>
      </c>
      <c r="AS596" t="str">
        <f>_xlfn.XLOOKUP(Table1[[#This Row],[StockOptionLevel]],Table19[StockOptionLevel],Table19[Id_StockOptionLevel])</f>
        <v>SOL002</v>
      </c>
      <c r="AT596">
        <v>1</v>
      </c>
      <c r="AU596" t="str">
        <f>_xlfn.XLOOKUP(Table1[[#This Row],[StockOptionLevel]],Table19[StockOptionLevel],Table19[Deskripsi])</f>
        <v>Standard</v>
      </c>
      <c r="AV596">
        <v>10</v>
      </c>
      <c r="AW596">
        <v>3</v>
      </c>
      <c r="AX596" t="str">
        <f>_xlfn.XLOOKUP(Table1[[#This Row],[WorkLifeBalance]],Table20[WorkLifeBalance],Table20[Id_WorkLifeBalance])</f>
        <v>WLB002</v>
      </c>
      <c r="AY596">
        <v>3</v>
      </c>
      <c r="AZ596" t="str">
        <f>_xlfn.XLOOKUP(Table1[[#This Row],[WorkLifeBalance]],Table20[WorkLifeBalance],Table20[Deskripsi])</f>
        <v>Good</v>
      </c>
      <c r="BA596">
        <v>10</v>
      </c>
      <c r="BB596">
        <v>7</v>
      </c>
      <c r="BC596">
        <v>0</v>
      </c>
      <c r="BD596">
        <v>7</v>
      </c>
    </row>
    <row r="597" spans="1:56" x14ac:dyDescent="0.25">
      <c r="A597">
        <v>58</v>
      </c>
      <c r="B597" t="str">
        <f>_xlfn.XLOOKUP(Table1[[#This Row],[Attrition]],Table2[Attrition],Table2[Id_Attrition])</f>
        <v>A001</v>
      </c>
      <c r="C597" t="s">
        <v>32</v>
      </c>
      <c r="D597" t="str">
        <f>_xlfn.XLOOKUP(Table1[[#This Row],[BusinessTravel]],Table5[BusinessTravel],Table5[Id_BusinessTravel])</f>
        <v>BS001</v>
      </c>
      <c r="E597" t="s">
        <v>34</v>
      </c>
      <c r="F597">
        <v>286</v>
      </c>
      <c r="G597" t="str">
        <f>_xlfn.XLOOKUP(Table1[[#This Row],[Department]],Table6[Department],Table6[Id_Departement])</f>
        <v>D002</v>
      </c>
      <c r="H597" t="s">
        <v>38</v>
      </c>
      <c r="I597">
        <v>2</v>
      </c>
      <c r="J597" t="str">
        <f>_xlfn.XLOOKUP(Table1[[#This Row],[Education]],Table8[Education],Table8[Id_Education])</f>
        <v>E004</v>
      </c>
      <c r="K597">
        <v>4</v>
      </c>
      <c r="L597" t="str">
        <f>_xlfn.XLOOKUP(Table1[[#This Row],[EducationField]],Table7[EducationField],Table7[Id_EducationField])</f>
        <v>EF001</v>
      </c>
      <c r="M597" t="s">
        <v>40</v>
      </c>
      <c r="N597" t="str">
        <f>_xlfn.XLOOKUP(Table1[[#This Row],[EmployeeNumber]],Table4[EmployeeNumber],Table4[Id_Employee])</f>
        <v>EMP00596</v>
      </c>
      <c r="O597">
        <v>825</v>
      </c>
      <c r="P597" t="str">
        <f>_xlfn.XLOOKUP(Table1[[#This Row],[EnvironmentSatisfaction]],Table9[EnvironmentSatisfaction],Table9[Id_EnviromentSatisfaction])</f>
        <v>ES004</v>
      </c>
      <c r="Q597">
        <v>4</v>
      </c>
      <c r="R597" t="str">
        <f>_xlfn.XLOOKUP(Table1[[#This Row],[EnvironmentSatisfaction]],Table9[EnvironmentSatisfaction],Table9[Deskripsi])</f>
        <v>Very High</v>
      </c>
      <c r="S597" t="str">
        <f>_xlfn.XLOOKUP(Table1[[#This Row],[Gender]],Table10[Gender],Table10[Id_Gender])</f>
        <v>G002</v>
      </c>
      <c r="T597" t="s">
        <v>46</v>
      </c>
      <c r="U597">
        <v>31</v>
      </c>
      <c r="V597" t="str">
        <f>_xlfn.XLOOKUP(Table1[[#This Row],[JobInvolvement]],Table11[JobInvolvement],Table11[Id_JobInvolvement])</f>
        <v>JI003</v>
      </c>
      <c r="W597">
        <v>3</v>
      </c>
      <c r="X597" t="str">
        <f>_xlfn.XLOOKUP(Table1[[#This Row],[JobLevel]],Table12[JobLevel],Table12[Id_JobLevel])</f>
        <v>JL005</v>
      </c>
      <c r="Y597">
        <v>5</v>
      </c>
      <c r="Z597" t="str">
        <f>_xlfn.XLOOKUP(Table1[[#This Row],[JobRole]],Table13[JobRole],Table13[Id_JobRole])</f>
        <v>JR008</v>
      </c>
      <c r="AA597" t="s">
        <v>54</v>
      </c>
      <c r="AB597" t="str">
        <f>_xlfn.XLOOKUP(Table1[[#This Row],[JobSatisfaction]],Table14[JobSatisfaction],Table14[Id_JobSatisfaction])</f>
        <v>JS002</v>
      </c>
      <c r="AC597">
        <v>2</v>
      </c>
      <c r="AD597" t="str">
        <f>_xlfn.XLOOKUP(Table1[[#This Row],[JobSatisfaction]],Table14[JobSatisfaction],Table14[Deskripsi])</f>
        <v>Medium</v>
      </c>
      <c r="AE597" t="str">
        <f>_xlfn.XLOOKUP(Table1[[#This Row],[MaritalStatus]],Table15[MaritalStatus],Table15[Id_MaritalStatus])</f>
        <v>MS001</v>
      </c>
      <c r="AF597" t="s">
        <v>55</v>
      </c>
      <c r="AG597">
        <v>19246</v>
      </c>
      <c r="AH597">
        <v>25761</v>
      </c>
      <c r="AI597">
        <v>7</v>
      </c>
      <c r="AJ597" t="str">
        <f>_xlfn.XLOOKUP(Table1[[#This Row],[OverTime]],Table16[OverTime],Table16[Id_OverTime])</f>
        <v>OT001</v>
      </c>
      <c r="AK597" t="s">
        <v>32</v>
      </c>
      <c r="AL597">
        <v>12</v>
      </c>
      <c r="AM597" t="str">
        <f>_xlfn.XLOOKUP(Table1[[#This Row],[PerformanceRating]],Table17[PerformanceRating],Table17[Id_PerformanceRating])</f>
        <v>PR003</v>
      </c>
      <c r="AN597">
        <v>3</v>
      </c>
      <c r="AO597" t="str">
        <f>_xlfn.XLOOKUP(Table1[[#This Row],[PerformanceRating]],Table17[PerformanceRating],Table17[Deskripsi])</f>
        <v>Excellent</v>
      </c>
      <c r="AP597" t="str">
        <f>_xlfn.XLOOKUP(Table1[[#This Row],[RelationshipSatisfaction]],Table18[RelationshipSatisfaction],Table18[Id_RelationshipSatisfaction])</f>
        <v>RS004</v>
      </c>
      <c r="AQ597">
        <v>4</v>
      </c>
      <c r="AR597" t="str">
        <f>_xlfn.XLOOKUP(Table1[[#This Row],[RelationshipSatisfaction]],Table18[RelationshipSatisfaction],Table18[Deskripsi])</f>
        <v>Very High</v>
      </c>
      <c r="AS597" t="str">
        <f>_xlfn.XLOOKUP(Table1[[#This Row],[StockOptionLevel]],Table19[StockOptionLevel],Table19[Id_StockOptionLevel])</f>
        <v>SOL001</v>
      </c>
      <c r="AT597">
        <v>0</v>
      </c>
      <c r="AU597" t="str">
        <f>_xlfn.XLOOKUP(Table1[[#This Row],[StockOptionLevel]],Table19[StockOptionLevel],Table19[Deskripsi])</f>
        <v>Non-Eligible</v>
      </c>
      <c r="AV597">
        <v>40</v>
      </c>
      <c r="AW597">
        <v>2</v>
      </c>
      <c r="AX597" t="str">
        <f>_xlfn.XLOOKUP(Table1[[#This Row],[WorkLifeBalance]],Table20[WorkLifeBalance],Table20[Id_WorkLifeBalance])</f>
        <v>WLB002</v>
      </c>
      <c r="AY597">
        <v>3</v>
      </c>
      <c r="AZ597" t="str">
        <f>_xlfn.XLOOKUP(Table1[[#This Row],[WorkLifeBalance]],Table20[WorkLifeBalance],Table20[Deskripsi])</f>
        <v>Good</v>
      </c>
      <c r="BA597">
        <v>31</v>
      </c>
      <c r="BB597">
        <v>15</v>
      </c>
      <c r="BC597">
        <v>13</v>
      </c>
      <c r="BD597">
        <v>8</v>
      </c>
    </row>
    <row r="598" spans="1:56" x14ac:dyDescent="0.25">
      <c r="A598">
        <v>35</v>
      </c>
      <c r="B598" t="str">
        <f>_xlfn.XLOOKUP(Table1[[#This Row],[Attrition]],Table2[Attrition],Table2[Id_Attrition])</f>
        <v>A002</v>
      </c>
      <c r="C598" t="s">
        <v>33</v>
      </c>
      <c r="D598" t="str">
        <f>_xlfn.XLOOKUP(Table1[[#This Row],[BusinessTravel]],Table5[BusinessTravel],Table5[Id_BusinessTravel])</f>
        <v>BS001</v>
      </c>
      <c r="E598" t="s">
        <v>34</v>
      </c>
      <c r="F598">
        <v>1258</v>
      </c>
      <c r="G598" t="str">
        <f>_xlfn.XLOOKUP(Table1[[#This Row],[Department]],Table6[Department],Table6[Id_Departement])</f>
        <v>D002</v>
      </c>
      <c r="H598" t="s">
        <v>38</v>
      </c>
      <c r="I598">
        <v>1</v>
      </c>
      <c r="J598" t="str">
        <f>_xlfn.XLOOKUP(Table1[[#This Row],[Education]],Table8[Education],Table8[Id_Education])</f>
        <v>E004</v>
      </c>
      <c r="K598">
        <v>4</v>
      </c>
      <c r="L598" t="str">
        <f>_xlfn.XLOOKUP(Table1[[#This Row],[EducationField]],Table7[EducationField],Table7[Id_EducationField])</f>
        <v>EF001</v>
      </c>
      <c r="M598" t="s">
        <v>40</v>
      </c>
      <c r="N598" t="str">
        <f>_xlfn.XLOOKUP(Table1[[#This Row],[EmployeeNumber]],Table4[EmployeeNumber],Table4[Id_Employee])</f>
        <v>EMP00597</v>
      </c>
      <c r="O598">
        <v>826</v>
      </c>
      <c r="P598" t="str">
        <f>_xlfn.XLOOKUP(Table1[[#This Row],[EnvironmentSatisfaction]],Table9[EnvironmentSatisfaction],Table9[Id_EnviromentSatisfaction])</f>
        <v>ES004</v>
      </c>
      <c r="Q598">
        <v>4</v>
      </c>
      <c r="R598" t="str">
        <f>_xlfn.XLOOKUP(Table1[[#This Row],[EnvironmentSatisfaction]],Table9[EnvironmentSatisfaction],Table9[Deskripsi])</f>
        <v>Very High</v>
      </c>
      <c r="S598" t="str">
        <f>_xlfn.XLOOKUP(Table1[[#This Row],[Gender]],Table10[Gender],Table10[Id_Gender])</f>
        <v>G001</v>
      </c>
      <c r="T598" t="s">
        <v>45</v>
      </c>
      <c r="U598">
        <v>40</v>
      </c>
      <c r="V598" t="str">
        <f>_xlfn.XLOOKUP(Table1[[#This Row],[JobInvolvement]],Table11[JobInvolvement],Table11[Id_JobInvolvement])</f>
        <v>JI004</v>
      </c>
      <c r="W598">
        <v>4</v>
      </c>
      <c r="X598" t="str">
        <f>_xlfn.XLOOKUP(Table1[[#This Row],[JobLevel]],Table12[JobLevel],Table12[Id_JobLevel])</f>
        <v>JL001</v>
      </c>
      <c r="Y598">
        <v>1</v>
      </c>
      <c r="Z598" t="str">
        <f>_xlfn.XLOOKUP(Table1[[#This Row],[JobRole]],Table13[JobRole],Table13[Id_JobRole])</f>
        <v>JR002</v>
      </c>
      <c r="AA598" t="s">
        <v>48</v>
      </c>
      <c r="AB598" t="str">
        <f>_xlfn.XLOOKUP(Table1[[#This Row],[JobSatisfaction]],Table14[JobSatisfaction],Table14[Id_JobSatisfaction])</f>
        <v>JS003</v>
      </c>
      <c r="AC598">
        <v>3</v>
      </c>
      <c r="AD598" t="str">
        <f>_xlfn.XLOOKUP(Table1[[#This Row],[JobSatisfaction]],Table14[JobSatisfaction],Table14[Deskripsi])</f>
        <v>High</v>
      </c>
      <c r="AE598" t="str">
        <f>_xlfn.XLOOKUP(Table1[[#This Row],[MaritalStatus]],Table15[MaritalStatus],Table15[Id_MaritalStatus])</f>
        <v>MS001</v>
      </c>
      <c r="AF598" t="s">
        <v>55</v>
      </c>
      <c r="AG598">
        <v>2506</v>
      </c>
      <c r="AH598">
        <v>13301</v>
      </c>
      <c r="AI598">
        <v>3</v>
      </c>
      <c r="AJ598" t="str">
        <f>_xlfn.XLOOKUP(Table1[[#This Row],[OverTime]],Table16[OverTime],Table16[Id_OverTime])</f>
        <v>OT002</v>
      </c>
      <c r="AK598" t="s">
        <v>33</v>
      </c>
      <c r="AL598">
        <v>13</v>
      </c>
      <c r="AM598" t="str">
        <f>_xlfn.XLOOKUP(Table1[[#This Row],[PerformanceRating]],Table17[PerformanceRating],Table17[Id_PerformanceRating])</f>
        <v>PR003</v>
      </c>
      <c r="AN598">
        <v>3</v>
      </c>
      <c r="AO598" t="str">
        <f>_xlfn.XLOOKUP(Table1[[#This Row],[PerformanceRating]],Table17[PerformanceRating],Table17[Deskripsi])</f>
        <v>Excellent</v>
      </c>
      <c r="AP598" t="str">
        <f>_xlfn.XLOOKUP(Table1[[#This Row],[RelationshipSatisfaction]],Table18[RelationshipSatisfaction],Table18[Id_RelationshipSatisfaction])</f>
        <v>RS003</v>
      </c>
      <c r="AQ598">
        <v>3</v>
      </c>
      <c r="AR598" t="str">
        <f>_xlfn.XLOOKUP(Table1[[#This Row],[RelationshipSatisfaction]],Table18[RelationshipSatisfaction],Table18[Deskripsi])</f>
        <v>High</v>
      </c>
      <c r="AS598" t="str">
        <f>_xlfn.XLOOKUP(Table1[[#This Row],[StockOptionLevel]],Table19[StockOptionLevel],Table19[Id_StockOptionLevel])</f>
        <v>SOL001</v>
      </c>
      <c r="AT598">
        <v>0</v>
      </c>
      <c r="AU598" t="str">
        <f>_xlfn.XLOOKUP(Table1[[#This Row],[StockOptionLevel]],Table19[StockOptionLevel],Table19[Deskripsi])</f>
        <v>Non-Eligible</v>
      </c>
      <c r="AV598">
        <v>7</v>
      </c>
      <c r="AW598">
        <v>0</v>
      </c>
      <c r="AX598" t="str">
        <f>_xlfn.XLOOKUP(Table1[[#This Row],[WorkLifeBalance]],Table20[WorkLifeBalance],Table20[Id_WorkLifeBalance])</f>
        <v>WLB002</v>
      </c>
      <c r="AY598">
        <v>3</v>
      </c>
      <c r="AZ598" t="str">
        <f>_xlfn.XLOOKUP(Table1[[#This Row],[WorkLifeBalance]],Table20[WorkLifeBalance],Table20[Deskripsi])</f>
        <v>Good</v>
      </c>
      <c r="BA598">
        <v>2</v>
      </c>
      <c r="BB598">
        <v>2</v>
      </c>
      <c r="BC598">
        <v>2</v>
      </c>
      <c r="BD598">
        <v>2</v>
      </c>
    </row>
    <row r="599" spans="1:56" x14ac:dyDescent="0.25">
      <c r="A599">
        <v>42</v>
      </c>
      <c r="B599" t="str">
        <f>_xlfn.XLOOKUP(Table1[[#This Row],[Attrition]],Table2[Attrition],Table2[Id_Attrition])</f>
        <v>A002</v>
      </c>
      <c r="C599" t="s">
        <v>33</v>
      </c>
      <c r="D599" t="str">
        <f>_xlfn.XLOOKUP(Table1[[#This Row],[BusinessTravel]],Table5[BusinessTravel],Table5[Id_BusinessTravel])</f>
        <v>BS001</v>
      </c>
      <c r="E599" t="s">
        <v>34</v>
      </c>
      <c r="F599">
        <v>932</v>
      </c>
      <c r="G599" t="str">
        <f>_xlfn.XLOOKUP(Table1[[#This Row],[Department]],Table6[Department],Table6[Id_Departement])</f>
        <v>D002</v>
      </c>
      <c r="H599" t="s">
        <v>38</v>
      </c>
      <c r="I599">
        <v>1</v>
      </c>
      <c r="J599" t="str">
        <f>_xlfn.XLOOKUP(Table1[[#This Row],[Education]],Table8[Education],Table8[Id_Education])</f>
        <v>E002</v>
      </c>
      <c r="K599">
        <v>2</v>
      </c>
      <c r="L599" t="str">
        <f>_xlfn.XLOOKUP(Table1[[#This Row],[EducationField]],Table7[EducationField],Table7[Id_EducationField])</f>
        <v>EF001</v>
      </c>
      <c r="M599" t="s">
        <v>40</v>
      </c>
      <c r="N599" t="str">
        <f>_xlfn.XLOOKUP(Table1[[#This Row],[EmployeeNumber]],Table4[EmployeeNumber],Table4[Id_Employee])</f>
        <v>EMP00598</v>
      </c>
      <c r="O599">
        <v>827</v>
      </c>
      <c r="P599" t="str">
        <f>_xlfn.XLOOKUP(Table1[[#This Row],[EnvironmentSatisfaction]],Table9[EnvironmentSatisfaction],Table9[Id_EnviromentSatisfaction])</f>
        <v>ES004</v>
      </c>
      <c r="Q599">
        <v>4</v>
      </c>
      <c r="R599" t="str">
        <f>_xlfn.XLOOKUP(Table1[[#This Row],[EnvironmentSatisfaction]],Table9[EnvironmentSatisfaction],Table9[Deskripsi])</f>
        <v>Very High</v>
      </c>
      <c r="S599" t="str">
        <f>_xlfn.XLOOKUP(Table1[[#This Row],[Gender]],Table10[Gender],Table10[Id_Gender])</f>
        <v>G001</v>
      </c>
      <c r="T599" t="s">
        <v>45</v>
      </c>
      <c r="U599">
        <v>43</v>
      </c>
      <c r="V599" t="str">
        <f>_xlfn.XLOOKUP(Table1[[#This Row],[JobInvolvement]],Table11[JobInvolvement],Table11[Id_JobInvolvement])</f>
        <v>JI002</v>
      </c>
      <c r="W599">
        <v>2</v>
      </c>
      <c r="X599" t="str">
        <f>_xlfn.XLOOKUP(Table1[[#This Row],[JobLevel]],Table12[JobLevel],Table12[Id_JobLevel])</f>
        <v>JL002</v>
      </c>
      <c r="Y599">
        <v>2</v>
      </c>
      <c r="Z599" t="str">
        <f>_xlfn.XLOOKUP(Table1[[#This Row],[JobRole]],Table13[JobRole],Table13[Id_JobRole])</f>
        <v>JR004</v>
      </c>
      <c r="AA599" t="s">
        <v>50</v>
      </c>
      <c r="AB599" t="str">
        <f>_xlfn.XLOOKUP(Table1[[#This Row],[JobSatisfaction]],Table14[JobSatisfaction],Table14[Id_JobSatisfaction])</f>
        <v>JS004</v>
      </c>
      <c r="AC599">
        <v>4</v>
      </c>
      <c r="AD599" t="str">
        <f>_xlfn.XLOOKUP(Table1[[#This Row],[JobSatisfaction]],Table14[JobSatisfaction],Table14[Deskripsi])</f>
        <v>Very High</v>
      </c>
      <c r="AE599" t="str">
        <f>_xlfn.XLOOKUP(Table1[[#This Row],[MaritalStatus]],Table15[MaritalStatus],Table15[Id_MaritalStatus])</f>
        <v>MS002</v>
      </c>
      <c r="AF599" t="s">
        <v>56</v>
      </c>
      <c r="AG599">
        <v>6062</v>
      </c>
      <c r="AH599">
        <v>4051</v>
      </c>
      <c r="AI599">
        <v>9</v>
      </c>
      <c r="AJ599" t="str">
        <f>_xlfn.XLOOKUP(Table1[[#This Row],[OverTime]],Table16[OverTime],Table16[Id_OverTime])</f>
        <v>OT001</v>
      </c>
      <c r="AK599" t="s">
        <v>32</v>
      </c>
      <c r="AL599">
        <v>13</v>
      </c>
      <c r="AM599" t="str">
        <f>_xlfn.XLOOKUP(Table1[[#This Row],[PerformanceRating]],Table17[PerformanceRating],Table17[Id_PerformanceRating])</f>
        <v>PR003</v>
      </c>
      <c r="AN599">
        <v>3</v>
      </c>
      <c r="AO599" t="str">
        <f>_xlfn.XLOOKUP(Table1[[#This Row],[PerformanceRating]],Table17[PerformanceRating],Table17[Deskripsi])</f>
        <v>Excellent</v>
      </c>
      <c r="AP599" t="str">
        <f>_xlfn.XLOOKUP(Table1[[#This Row],[RelationshipSatisfaction]],Table18[RelationshipSatisfaction],Table18[Id_RelationshipSatisfaction])</f>
        <v>RS004</v>
      </c>
      <c r="AQ599">
        <v>4</v>
      </c>
      <c r="AR599" t="str">
        <f>_xlfn.XLOOKUP(Table1[[#This Row],[RelationshipSatisfaction]],Table18[RelationshipSatisfaction],Table18[Deskripsi])</f>
        <v>Very High</v>
      </c>
      <c r="AS599" t="str">
        <f>_xlfn.XLOOKUP(Table1[[#This Row],[StockOptionLevel]],Table19[StockOptionLevel],Table19[Id_StockOptionLevel])</f>
        <v>SOL002</v>
      </c>
      <c r="AT599">
        <v>1</v>
      </c>
      <c r="AU599" t="str">
        <f>_xlfn.XLOOKUP(Table1[[#This Row],[StockOptionLevel]],Table19[StockOptionLevel],Table19[Deskripsi])</f>
        <v>Standard</v>
      </c>
      <c r="AV599">
        <v>8</v>
      </c>
      <c r="AW599">
        <v>4</v>
      </c>
      <c r="AX599" t="str">
        <f>_xlfn.XLOOKUP(Table1[[#This Row],[WorkLifeBalance]],Table20[WorkLifeBalance],Table20[Id_WorkLifeBalance])</f>
        <v>WLB002</v>
      </c>
      <c r="AY599">
        <v>3</v>
      </c>
      <c r="AZ599" t="str">
        <f>_xlfn.XLOOKUP(Table1[[#This Row],[WorkLifeBalance]],Table20[WorkLifeBalance],Table20[Deskripsi])</f>
        <v>Good</v>
      </c>
      <c r="BA599">
        <v>4</v>
      </c>
      <c r="BB599">
        <v>3</v>
      </c>
      <c r="BC599">
        <v>0</v>
      </c>
      <c r="BD599">
        <v>2</v>
      </c>
    </row>
    <row r="600" spans="1:56" x14ac:dyDescent="0.25">
      <c r="A600">
        <v>28</v>
      </c>
      <c r="B600" t="str">
        <f>_xlfn.XLOOKUP(Table1[[#This Row],[Attrition]],Table2[Attrition],Table2[Id_Attrition])</f>
        <v>A001</v>
      </c>
      <c r="C600" t="s">
        <v>32</v>
      </c>
      <c r="D600" t="str">
        <f>_xlfn.XLOOKUP(Table1[[#This Row],[BusinessTravel]],Table5[BusinessTravel],Table5[Id_BusinessTravel])</f>
        <v>BS001</v>
      </c>
      <c r="E600" t="s">
        <v>34</v>
      </c>
      <c r="F600">
        <v>890</v>
      </c>
      <c r="G600" t="str">
        <f>_xlfn.XLOOKUP(Table1[[#This Row],[Department]],Table6[Department],Table6[Id_Departement])</f>
        <v>D002</v>
      </c>
      <c r="H600" t="s">
        <v>38</v>
      </c>
      <c r="I600">
        <v>2</v>
      </c>
      <c r="J600" t="str">
        <f>_xlfn.XLOOKUP(Table1[[#This Row],[Education]],Table8[Education],Table8[Id_Education])</f>
        <v>E004</v>
      </c>
      <c r="K600">
        <v>4</v>
      </c>
      <c r="L600" t="str">
        <f>_xlfn.XLOOKUP(Table1[[#This Row],[EducationField]],Table7[EducationField],Table7[Id_EducationField])</f>
        <v>EF003</v>
      </c>
      <c r="M600" t="s">
        <v>42</v>
      </c>
      <c r="N600" t="str">
        <f>_xlfn.XLOOKUP(Table1[[#This Row],[EmployeeNumber]],Table4[EmployeeNumber],Table4[Id_Employee])</f>
        <v>EMP00599</v>
      </c>
      <c r="O600">
        <v>828</v>
      </c>
      <c r="P600" t="str">
        <f>_xlfn.XLOOKUP(Table1[[#This Row],[EnvironmentSatisfaction]],Table9[EnvironmentSatisfaction],Table9[Id_EnviromentSatisfaction])</f>
        <v>ES003</v>
      </c>
      <c r="Q600">
        <v>3</v>
      </c>
      <c r="R600" t="str">
        <f>_xlfn.XLOOKUP(Table1[[#This Row],[EnvironmentSatisfaction]],Table9[EnvironmentSatisfaction],Table9[Deskripsi])</f>
        <v>High</v>
      </c>
      <c r="S600" t="str">
        <f>_xlfn.XLOOKUP(Table1[[#This Row],[Gender]],Table10[Gender],Table10[Id_Gender])</f>
        <v>G002</v>
      </c>
      <c r="T600" t="s">
        <v>46</v>
      </c>
      <c r="U600">
        <v>46</v>
      </c>
      <c r="V600" t="str">
        <f>_xlfn.XLOOKUP(Table1[[#This Row],[JobInvolvement]],Table11[JobInvolvement],Table11[Id_JobInvolvement])</f>
        <v>JI003</v>
      </c>
      <c r="W600">
        <v>3</v>
      </c>
      <c r="X600" t="str">
        <f>_xlfn.XLOOKUP(Table1[[#This Row],[JobLevel]],Table12[JobLevel],Table12[Id_JobLevel])</f>
        <v>JL001</v>
      </c>
      <c r="Y600">
        <v>1</v>
      </c>
      <c r="Z600" t="str">
        <f>_xlfn.XLOOKUP(Table1[[#This Row],[JobRole]],Table13[JobRole],Table13[Id_JobRole])</f>
        <v>JR002</v>
      </c>
      <c r="AA600" t="s">
        <v>48</v>
      </c>
      <c r="AB600" t="str">
        <f>_xlfn.XLOOKUP(Table1[[#This Row],[JobSatisfaction]],Table14[JobSatisfaction],Table14[Id_JobSatisfaction])</f>
        <v>JS003</v>
      </c>
      <c r="AC600">
        <v>3</v>
      </c>
      <c r="AD600" t="str">
        <f>_xlfn.XLOOKUP(Table1[[#This Row],[JobSatisfaction]],Table14[JobSatisfaction],Table14[Deskripsi])</f>
        <v>High</v>
      </c>
      <c r="AE600" t="str">
        <f>_xlfn.XLOOKUP(Table1[[#This Row],[MaritalStatus]],Table15[MaritalStatus],Table15[Id_MaritalStatus])</f>
        <v>MS001</v>
      </c>
      <c r="AF600" t="s">
        <v>55</v>
      </c>
      <c r="AG600">
        <v>4382</v>
      </c>
      <c r="AH600">
        <v>16374</v>
      </c>
      <c r="AI600">
        <v>6</v>
      </c>
      <c r="AJ600" t="str">
        <f>_xlfn.XLOOKUP(Table1[[#This Row],[OverTime]],Table16[OverTime],Table16[Id_OverTime])</f>
        <v>OT002</v>
      </c>
      <c r="AK600" t="s">
        <v>33</v>
      </c>
      <c r="AL600">
        <v>17</v>
      </c>
      <c r="AM600" t="str">
        <f>_xlfn.XLOOKUP(Table1[[#This Row],[PerformanceRating]],Table17[PerformanceRating],Table17[Id_PerformanceRating])</f>
        <v>PR003</v>
      </c>
      <c r="AN600">
        <v>3</v>
      </c>
      <c r="AO600" t="str">
        <f>_xlfn.XLOOKUP(Table1[[#This Row],[PerformanceRating]],Table17[PerformanceRating],Table17[Deskripsi])</f>
        <v>Excellent</v>
      </c>
      <c r="AP600" t="str">
        <f>_xlfn.XLOOKUP(Table1[[#This Row],[RelationshipSatisfaction]],Table18[RelationshipSatisfaction],Table18[Id_RelationshipSatisfaction])</f>
        <v>RS004</v>
      </c>
      <c r="AQ600">
        <v>4</v>
      </c>
      <c r="AR600" t="str">
        <f>_xlfn.XLOOKUP(Table1[[#This Row],[RelationshipSatisfaction]],Table18[RelationshipSatisfaction],Table18[Deskripsi])</f>
        <v>Very High</v>
      </c>
      <c r="AS600" t="str">
        <f>_xlfn.XLOOKUP(Table1[[#This Row],[StockOptionLevel]],Table19[StockOptionLevel],Table19[Id_StockOptionLevel])</f>
        <v>SOL001</v>
      </c>
      <c r="AT600">
        <v>0</v>
      </c>
      <c r="AU600" t="str">
        <f>_xlfn.XLOOKUP(Table1[[#This Row],[StockOptionLevel]],Table19[StockOptionLevel],Table19[Deskripsi])</f>
        <v>Non-Eligible</v>
      </c>
      <c r="AV600">
        <v>5</v>
      </c>
      <c r="AW600">
        <v>3</v>
      </c>
      <c r="AX600" t="str">
        <f>_xlfn.XLOOKUP(Table1[[#This Row],[WorkLifeBalance]],Table20[WorkLifeBalance],Table20[Id_WorkLifeBalance])</f>
        <v>WLB003</v>
      </c>
      <c r="AY600">
        <v>2</v>
      </c>
      <c r="AZ600" t="str">
        <f>_xlfn.XLOOKUP(Table1[[#This Row],[WorkLifeBalance]],Table20[WorkLifeBalance],Table20[Deskripsi])</f>
        <v>Better</v>
      </c>
      <c r="BA600">
        <v>2</v>
      </c>
      <c r="BB600">
        <v>2</v>
      </c>
      <c r="BC600">
        <v>2</v>
      </c>
      <c r="BD600">
        <v>1</v>
      </c>
    </row>
    <row r="601" spans="1:56" x14ac:dyDescent="0.25">
      <c r="A601">
        <v>36</v>
      </c>
      <c r="B601" t="str">
        <f>_xlfn.XLOOKUP(Table1[[#This Row],[Attrition]],Table2[Attrition],Table2[Id_Attrition])</f>
        <v>A002</v>
      </c>
      <c r="C601" t="s">
        <v>33</v>
      </c>
      <c r="D601" t="str">
        <f>_xlfn.XLOOKUP(Table1[[#This Row],[BusinessTravel]],Table5[BusinessTravel],Table5[Id_BusinessTravel])</f>
        <v>BS001</v>
      </c>
      <c r="E601" t="s">
        <v>34</v>
      </c>
      <c r="F601">
        <v>1041</v>
      </c>
      <c r="G601" t="str">
        <f>_xlfn.XLOOKUP(Table1[[#This Row],[Department]],Table6[Department],Table6[Id_Departement])</f>
        <v>D003</v>
      </c>
      <c r="H601" t="s">
        <v>39</v>
      </c>
      <c r="I601">
        <v>13</v>
      </c>
      <c r="J601" t="str">
        <f>_xlfn.XLOOKUP(Table1[[#This Row],[Education]],Table8[Education],Table8[Id_Education])</f>
        <v>E003</v>
      </c>
      <c r="K601">
        <v>3</v>
      </c>
      <c r="L601" t="str">
        <f>_xlfn.XLOOKUP(Table1[[#This Row],[EducationField]],Table7[EducationField],Table7[Id_EducationField])</f>
        <v>EF006</v>
      </c>
      <c r="M601" t="s">
        <v>39</v>
      </c>
      <c r="N601" t="str">
        <f>_xlfn.XLOOKUP(Table1[[#This Row],[EmployeeNumber]],Table4[EmployeeNumber],Table4[Id_Employee])</f>
        <v>EMP00600</v>
      </c>
      <c r="O601">
        <v>829</v>
      </c>
      <c r="P601" t="str">
        <f>_xlfn.XLOOKUP(Table1[[#This Row],[EnvironmentSatisfaction]],Table9[EnvironmentSatisfaction],Table9[Id_EnviromentSatisfaction])</f>
        <v>ES003</v>
      </c>
      <c r="Q601">
        <v>3</v>
      </c>
      <c r="R601" t="str">
        <f>_xlfn.XLOOKUP(Table1[[#This Row],[EnvironmentSatisfaction]],Table9[EnvironmentSatisfaction],Table9[Deskripsi])</f>
        <v>High</v>
      </c>
      <c r="S601" t="str">
        <f>_xlfn.XLOOKUP(Table1[[#This Row],[Gender]],Table10[Gender],Table10[Id_Gender])</f>
        <v>G002</v>
      </c>
      <c r="T601" t="s">
        <v>46</v>
      </c>
      <c r="U601">
        <v>36</v>
      </c>
      <c r="V601" t="str">
        <f>_xlfn.XLOOKUP(Table1[[#This Row],[JobInvolvement]],Table11[JobInvolvement],Table11[Id_JobInvolvement])</f>
        <v>JI003</v>
      </c>
      <c r="W601">
        <v>3</v>
      </c>
      <c r="X601" t="str">
        <f>_xlfn.XLOOKUP(Table1[[#This Row],[JobLevel]],Table12[JobLevel],Table12[Id_JobLevel])</f>
        <v>JL001</v>
      </c>
      <c r="Y601">
        <v>1</v>
      </c>
      <c r="Z601" t="str">
        <f>_xlfn.XLOOKUP(Table1[[#This Row],[JobRole]],Table13[JobRole],Table13[Id_JobRole])</f>
        <v>JR009</v>
      </c>
      <c r="AA601" t="s">
        <v>39</v>
      </c>
      <c r="AB601" t="str">
        <f>_xlfn.XLOOKUP(Table1[[#This Row],[JobSatisfaction]],Table14[JobSatisfaction],Table14[Id_JobSatisfaction])</f>
        <v>JS002</v>
      </c>
      <c r="AC601">
        <v>2</v>
      </c>
      <c r="AD601" t="str">
        <f>_xlfn.XLOOKUP(Table1[[#This Row],[JobSatisfaction]],Table14[JobSatisfaction],Table14[Deskripsi])</f>
        <v>Medium</v>
      </c>
      <c r="AE601" t="str">
        <f>_xlfn.XLOOKUP(Table1[[#This Row],[MaritalStatus]],Table15[MaritalStatus],Table15[Id_MaritalStatus])</f>
        <v>MS002</v>
      </c>
      <c r="AF601" t="s">
        <v>56</v>
      </c>
      <c r="AG601">
        <v>2143</v>
      </c>
      <c r="AH601">
        <v>25527</v>
      </c>
      <c r="AI601">
        <v>4</v>
      </c>
      <c r="AJ601" t="str">
        <f>_xlfn.XLOOKUP(Table1[[#This Row],[OverTime]],Table16[OverTime],Table16[Id_OverTime])</f>
        <v>OT002</v>
      </c>
      <c r="AK601" t="s">
        <v>33</v>
      </c>
      <c r="AL601">
        <v>13</v>
      </c>
      <c r="AM601" t="str">
        <f>_xlfn.XLOOKUP(Table1[[#This Row],[PerformanceRating]],Table17[PerformanceRating],Table17[Id_PerformanceRating])</f>
        <v>PR003</v>
      </c>
      <c r="AN601">
        <v>3</v>
      </c>
      <c r="AO601" t="str">
        <f>_xlfn.XLOOKUP(Table1[[#This Row],[PerformanceRating]],Table17[PerformanceRating],Table17[Deskripsi])</f>
        <v>Excellent</v>
      </c>
      <c r="AP601" t="str">
        <f>_xlfn.XLOOKUP(Table1[[#This Row],[RelationshipSatisfaction]],Table18[RelationshipSatisfaction],Table18[Id_RelationshipSatisfaction])</f>
        <v>RS002</v>
      </c>
      <c r="AQ601">
        <v>2</v>
      </c>
      <c r="AR601" t="str">
        <f>_xlfn.XLOOKUP(Table1[[#This Row],[RelationshipSatisfaction]],Table18[RelationshipSatisfaction],Table18[Deskripsi])</f>
        <v>Medium</v>
      </c>
      <c r="AS601" t="str">
        <f>_xlfn.XLOOKUP(Table1[[#This Row],[StockOptionLevel]],Table19[StockOptionLevel],Table19[Id_StockOptionLevel])</f>
        <v>SOL002</v>
      </c>
      <c r="AT601">
        <v>1</v>
      </c>
      <c r="AU601" t="str">
        <f>_xlfn.XLOOKUP(Table1[[#This Row],[StockOptionLevel]],Table19[StockOptionLevel],Table19[Deskripsi])</f>
        <v>Standard</v>
      </c>
      <c r="AV601">
        <v>8</v>
      </c>
      <c r="AW601">
        <v>2</v>
      </c>
      <c r="AX601" t="str">
        <f>_xlfn.XLOOKUP(Table1[[#This Row],[WorkLifeBalance]],Table20[WorkLifeBalance],Table20[Id_WorkLifeBalance])</f>
        <v>WLB002</v>
      </c>
      <c r="AY601">
        <v>3</v>
      </c>
      <c r="AZ601" t="str">
        <f>_xlfn.XLOOKUP(Table1[[#This Row],[WorkLifeBalance]],Table20[WorkLifeBalance],Table20[Deskripsi])</f>
        <v>Good</v>
      </c>
      <c r="BA601">
        <v>5</v>
      </c>
      <c r="BB601">
        <v>2</v>
      </c>
      <c r="BC601">
        <v>0</v>
      </c>
      <c r="BD601">
        <v>4</v>
      </c>
    </row>
    <row r="602" spans="1:56" x14ac:dyDescent="0.25">
      <c r="A602">
        <v>32</v>
      </c>
      <c r="B602" t="str">
        <f>_xlfn.XLOOKUP(Table1[[#This Row],[Attrition]],Table2[Attrition],Table2[Id_Attrition])</f>
        <v>A002</v>
      </c>
      <c r="C602" t="s">
        <v>33</v>
      </c>
      <c r="D602" t="str">
        <f>_xlfn.XLOOKUP(Table1[[#This Row],[BusinessTravel]],Table5[BusinessTravel],Table5[Id_BusinessTravel])</f>
        <v>BS001</v>
      </c>
      <c r="E602" t="s">
        <v>34</v>
      </c>
      <c r="F602">
        <v>859</v>
      </c>
      <c r="G602" t="str">
        <f>_xlfn.XLOOKUP(Table1[[#This Row],[Department]],Table6[Department],Table6[Id_Departement])</f>
        <v>D002</v>
      </c>
      <c r="H602" t="s">
        <v>38</v>
      </c>
      <c r="I602">
        <v>4</v>
      </c>
      <c r="J602" t="str">
        <f>_xlfn.XLOOKUP(Table1[[#This Row],[Education]],Table8[Education],Table8[Id_Education])</f>
        <v>E003</v>
      </c>
      <c r="K602">
        <v>3</v>
      </c>
      <c r="L602" t="str">
        <f>_xlfn.XLOOKUP(Table1[[#This Row],[EducationField]],Table7[EducationField],Table7[Id_EducationField])</f>
        <v>EF001</v>
      </c>
      <c r="M602" t="s">
        <v>40</v>
      </c>
      <c r="N602" t="str">
        <f>_xlfn.XLOOKUP(Table1[[#This Row],[EmployeeNumber]],Table4[EmployeeNumber],Table4[Id_Employee])</f>
        <v>EMP00601</v>
      </c>
      <c r="O602">
        <v>830</v>
      </c>
      <c r="P602" t="str">
        <f>_xlfn.XLOOKUP(Table1[[#This Row],[EnvironmentSatisfaction]],Table9[EnvironmentSatisfaction],Table9[Id_EnviromentSatisfaction])</f>
        <v>ES003</v>
      </c>
      <c r="Q602">
        <v>3</v>
      </c>
      <c r="R602" t="str">
        <f>_xlfn.XLOOKUP(Table1[[#This Row],[EnvironmentSatisfaction]],Table9[EnvironmentSatisfaction],Table9[Deskripsi])</f>
        <v>High</v>
      </c>
      <c r="S602" t="str">
        <f>_xlfn.XLOOKUP(Table1[[#This Row],[Gender]],Table10[Gender],Table10[Id_Gender])</f>
        <v>G001</v>
      </c>
      <c r="T602" t="s">
        <v>45</v>
      </c>
      <c r="U602">
        <v>98</v>
      </c>
      <c r="V602" t="str">
        <f>_xlfn.XLOOKUP(Table1[[#This Row],[JobInvolvement]],Table11[JobInvolvement],Table11[Id_JobInvolvement])</f>
        <v>JI002</v>
      </c>
      <c r="W602">
        <v>2</v>
      </c>
      <c r="X602" t="str">
        <f>_xlfn.XLOOKUP(Table1[[#This Row],[JobLevel]],Table12[JobLevel],Table12[Id_JobLevel])</f>
        <v>JL002</v>
      </c>
      <c r="Y602">
        <v>2</v>
      </c>
      <c r="Z602" t="str">
        <f>_xlfn.XLOOKUP(Table1[[#This Row],[JobRole]],Table13[JobRole],Table13[Id_JobRole])</f>
        <v>JR004</v>
      </c>
      <c r="AA602" t="s">
        <v>50</v>
      </c>
      <c r="AB602" t="str">
        <f>_xlfn.XLOOKUP(Table1[[#This Row],[JobSatisfaction]],Table14[JobSatisfaction],Table14[Id_JobSatisfaction])</f>
        <v>JS003</v>
      </c>
      <c r="AC602">
        <v>3</v>
      </c>
      <c r="AD602" t="str">
        <f>_xlfn.XLOOKUP(Table1[[#This Row],[JobSatisfaction]],Table14[JobSatisfaction],Table14[Deskripsi])</f>
        <v>High</v>
      </c>
      <c r="AE602" t="str">
        <f>_xlfn.XLOOKUP(Table1[[#This Row],[MaritalStatus]],Table15[MaritalStatus],Table15[Id_MaritalStatus])</f>
        <v>MS002</v>
      </c>
      <c r="AF602" t="s">
        <v>56</v>
      </c>
      <c r="AG602">
        <v>6162</v>
      </c>
      <c r="AH602">
        <v>19124</v>
      </c>
      <c r="AI602">
        <v>1</v>
      </c>
      <c r="AJ602" t="str">
        <f>_xlfn.XLOOKUP(Table1[[#This Row],[OverTime]],Table16[OverTime],Table16[Id_OverTime])</f>
        <v>OT002</v>
      </c>
      <c r="AK602" t="s">
        <v>33</v>
      </c>
      <c r="AL602">
        <v>12</v>
      </c>
      <c r="AM602" t="str">
        <f>_xlfn.XLOOKUP(Table1[[#This Row],[PerformanceRating]],Table17[PerformanceRating],Table17[Id_PerformanceRating])</f>
        <v>PR003</v>
      </c>
      <c r="AN602">
        <v>3</v>
      </c>
      <c r="AO602" t="str">
        <f>_xlfn.XLOOKUP(Table1[[#This Row],[PerformanceRating]],Table17[PerformanceRating],Table17[Deskripsi])</f>
        <v>Excellent</v>
      </c>
      <c r="AP602" t="str">
        <f>_xlfn.XLOOKUP(Table1[[#This Row],[RelationshipSatisfaction]],Table18[RelationshipSatisfaction],Table18[Id_RelationshipSatisfaction])</f>
        <v>RS003</v>
      </c>
      <c r="AQ602">
        <v>3</v>
      </c>
      <c r="AR602" t="str">
        <f>_xlfn.XLOOKUP(Table1[[#This Row],[RelationshipSatisfaction]],Table18[RelationshipSatisfaction],Table18[Deskripsi])</f>
        <v>High</v>
      </c>
      <c r="AS602" t="str">
        <f>_xlfn.XLOOKUP(Table1[[#This Row],[StockOptionLevel]],Table19[StockOptionLevel],Table19[Id_StockOptionLevel])</f>
        <v>SOL002</v>
      </c>
      <c r="AT602">
        <v>1</v>
      </c>
      <c r="AU602" t="str">
        <f>_xlfn.XLOOKUP(Table1[[#This Row],[StockOptionLevel]],Table19[StockOptionLevel],Table19[Deskripsi])</f>
        <v>Standard</v>
      </c>
      <c r="AV602">
        <v>14</v>
      </c>
      <c r="AW602">
        <v>3</v>
      </c>
      <c r="AX602" t="str">
        <f>_xlfn.XLOOKUP(Table1[[#This Row],[WorkLifeBalance]],Table20[WorkLifeBalance],Table20[Id_WorkLifeBalance])</f>
        <v>WLB002</v>
      </c>
      <c r="AY602">
        <v>3</v>
      </c>
      <c r="AZ602" t="str">
        <f>_xlfn.XLOOKUP(Table1[[#This Row],[WorkLifeBalance]],Table20[WorkLifeBalance],Table20[Deskripsi])</f>
        <v>Good</v>
      </c>
      <c r="BA602">
        <v>14</v>
      </c>
      <c r="BB602">
        <v>13</v>
      </c>
      <c r="BC602">
        <v>6</v>
      </c>
      <c r="BD602">
        <v>8</v>
      </c>
    </row>
    <row r="603" spans="1:56" x14ac:dyDescent="0.25">
      <c r="A603">
        <v>40</v>
      </c>
      <c r="B603" t="str">
        <f>_xlfn.XLOOKUP(Table1[[#This Row],[Attrition]],Table2[Attrition],Table2[Id_Attrition])</f>
        <v>A002</v>
      </c>
      <c r="C603" t="s">
        <v>33</v>
      </c>
      <c r="D603" t="str">
        <f>_xlfn.XLOOKUP(Table1[[#This Row],[BusinessTravel]],Table5[BusinessTravel],Table5[Id_BusinessTravel])</f>
        <v>BS002</v>
      </c>
      <c r="E603" t="s">
        <v>35</v>
      </c>
      <c r="F603">
        <v>720</v>
      </c>
      <c r="G603" t="str">
        <f>_xlfn.XLOOKUP(Table1[[#This Row],[Department]],Table6[Department],Table6[Id_Departement])</f>
        <v>D002</v>
      </c>
      <c r="H603" t="s">
        <v>38</v>
      </c>
      <c r="I603">
        <v>16</v>
      </c>
      <c r="J603" t="str">
        <f>_xlfn.XLOOKUP(Table1[[#This Row],[Education]],Table8[Education],Table8[Id_Education])</f>
        <v>E004</v>
      </c>
      <c r="K603">
        <v>4</v>
      </c>
      <c r="L603" t="str">
        <f>_xlfn.XLOOKUP(Table1[[#This Row],[EducationField]],Table7[EducationField],Table7[Id_EducationField])</f>
        <v>EF003</v>
      </c>
      <c r="M603" t="s">
        <v>42</v>
      </c>
      <c r="N603" t="str">
        <f>_xlfn.XLOOKUP(Table1[[#This Row],[EmployeeNumber]],Table4[EmployeeNumber],Table4[Id_Employee])</f>
        <v>EMP00602</v>
      </c>
      <c r="O603">
        <v>832</v>
      </c>
      <c r="P603" t="str">
        <f>_xlfn.XLOOKUP(Table1[[#This Row],[EnvironmentSatisfaction]],Table9[EnvironmentSatisfaction],Table9[Id_EnviromentSatisfaction])</f>
        <v>ES001</v>
      </c>
      <c r="Q603">
        <v>1</v>
      </c>
      <c r="R603" t="str">
        <f>_xlfn.XLOOKUP(Table1[[#This Row],[EnvironmentSatisfaction]],Table9[EnvironmentSatisfaction],Table9[Deskripsi])</f>
        <v>Low</v>
      </c>
      <c r="S603" t="str">
        <f>_xlfn.XLOOKUP(Table1[[#This Row],[Gender]],Table10[Gender],Table10[Id_Gender])</f>
        <v>G002</v>
      </c>
      <c r="T603" t="s">
        <v>46</v>
      </c>
      <c r="U603">
        <v>51</v>
      </c>
      <c r="V603" t="str">
        <f>_xlfn.XLOOKUP(Table1[[#This Row],[JobInvolvement]],Table11[JobInvolvement],Table11[Id_JobInvolvement])</f>
        <v>JI002</v>
      </c>
      <c r="W603">
        <v>2</v>
      </c>
      <c r="X603" t="str">
        <f>_xlfn.XLOOKUP(Table1[[#This Row],[JobLevel]],Table12[JobLevel],Table12[Id_JobLevel])</f>
        <v>JL002</v>
      </c>
      <c r="Y603">
        <v>2</v>
      </c>
      <c r="Z603" t="str">
        <f>_xlfn.XLOOKUP(Table1[[#This Row],[JobRole]],Table13[JobRole],Table13[Id_JobRole])</f>
        <v>JR003</v>
      </c>
      <c r="AA603" t="s">
        <v>49</v>
      </c>
      <c r="AB603" t="str">
        <f>_xlfn.XLOOKUP(Table1[[#This Row],[JobSatisfaction]],Table14[JobSatisfaction],Table14[Id_JobSatisfaction])</f>
        <v>JS003</v>
      </c>
      <c r="AC603">
        <v>3</v>
      </c>
      <c r="AD603" t="str">
        <f>_xlfn.XLOOKUP(Table1[[#This Row],[JobSatisfaction]],Table14[JobSatisfaction],Table14[Deskripsi])</f>
        <v>High</v>
      </c>
      <c r="AE603" t="str">
        <f>_xlfn.XLOOKUP(Table1[[#This Row],[MaritalStatus]],Table15[MaritalStatus],Table15[Id_MaritalStatus])</f>
        <v>MS001</v>
      </c>
      <c r="AF603" t="s">
        <v>55</v>
      </c>
      <c r="AG603">
        <v>5094</v>
      </c>
      <c r="AH603">
        <v>11983</v>
      </c>
      <c r="AI603">
        <v>6</v>
      </c>
      <c r="AJ603" t="str">
        <f>_xlfn.XLOOKUP(Table1[[#This Row],[OverTime]],Table16[OverTime],Table16[Id_OverTime])</f>
        <v>OT002</v>
      </c>
      <c r="AK603" t="s">
        <v>33</v>
      </c>
      <c r="AL603">
        <v>14</v>
      </c>
      <c r="AM603" t="str">
        <f>_xlfn.XLOOKUP(Table1[[#This Row],[PerformanceRating]],Table17[PerformanceRating],Table17[Id_PerformanceRating])</f>
        <v>PR003</v>
      </c>
      <c r="AN603">
        <v>3</v>
      </c>
      <c r="AO603" t="str">
        <f>_xlfn.XLOOKUP(Table1[[#This Row],[PerformanceRating]],Table17[PerformanceRating],Table17[Deskripsi])</f>
        <v>Excellent</v>
      </c>
      <c r="AP603" t="str">
        <f>_xlfn.XLOOKUP(Table1[[#This Row],[RelationshipSatisfaction]],Table18[RelationshipSatisfaction],Table18[Id_RelationshipSatisfaction])</f>
        <v>RS004</v>
      </c>
      <c r="AQ603">
        <v>4</v>
      </c>
      <c r="AR603" t="str">
        <f>_xlfn.XLOOKUP(Table1[[#This Row],[RelationshipSatisfaction]],Table18[RelationshipSatisfaction],Table18[Deskripsi])</f>
        <v>Very High</v>
      </c>
      <c r="AS603" t="str">
        <f>_xlfn.XLOOKUP(Table1[[#This Row],[StockOptionLevel]],Table19[StockOptionLevel],Table19[Id_StockOptionLevel])</f>
        <v>SOL001</v>
      </c>
      <c r="AT603">
        <v>0</v>
      </c>
      <c r="AU603" t="str">
        <f>_xlfn.XLOOKUP(Table1[[#This Row],[StockOptionLevel]],Table19[StockOptionLevel],Table19[Deskripsi])</f>
        <v>Non-Eligible</v>
      </c>
      <c r="AV603">
        <v>10</v>
      </c>
      <c r="AW603">
        <v>6</v>
      </c>
      <c r="AX603" t="str">
        <f>_xlfn.XLOOKUP(Table1[[#This Row],[WorkLifeBalance]],Table20[WorkLifeBalance],Table20[Id_WorkLifeBalance])</f>
        <v>WLB002</v>
      </c>
      <c r="AY603">
        <v>3</v>
      </c>
      <c r="AZ603" t="str">
        <f>_xlfn.XLOOKUP(Table1[[#This Row],[WorkLifeBalance]],Table20[WorkLifeBalance],Table20[Deskripsi])</f>
        <v>Good</v>
      </c>
      <c r="BA603">
        <v>1</v>
      </c>
      <c r="BB603">
        <v>0</v>
      </c>
      <c r="BC603">
        <v>0</v>
      </c>
      <c r="BD603">
        <v>0</v>
      </c>
    </row>
    <row r="604" spans="1:56" x14ac:dyDescent="0.25">
      <c r="A604">
        <v>30</v>
      </c>
      <c r="B604" t="str">
        <f>_xlfn.XLOOKUP(Table1[[#This Row],[Attrition]],Table2[Attrition],Table2[Id_Attrition])</f>
        <v>A002</v>
      </c>
      <c r="C604" t="s">
        <v>33</v>
      </c>
      <c r="D604" t="str">
        <f>_xlfn.XLOOKUP(Table1[[#This Row],[BusinessTravel]],Table5[BusinessTravel],Table5[Id_BusinessTravel])</f>
        <v>BS001</v>
      </c>
      <c r="E604" t="s">
        <v>34</v>
      </c>
      <c r="F604">
        <v>946</v>
      </c>
      <c r="G604" t="str">
        <f>_xlfn.XLOOKUP(Table1[[#This Row],[Department]],Table6[Department],Table6[Id_Departement])</f>
        <v>D002</v>
      </c>
      <c r="H604" t="s">
        <v>38</v>
      </c>
      <c r="I604">
        <v>2</v>
      </c>
      <c r="J604" t="str">
        <f>_xlfn.XLOOKUP(Table1[[#This Row],[Education]],Table8[Education],Table8[Id_Education])</f>
        <v>E003</v>
      </c>
      <c r="K604">
        <v>3</v>
      </c>
      <c r="L604" t="str">
        <f>_xlfn.XLOOKUP(Table1[[#This Row],[EducationField]],Table7[EducationField],Table7[Id_EducationField])</f>
        <v>EF003</v>
      </c>
      <c r="M604" t="s">
        <v>42</v>
      </c>
      <c r="N604" t="str">
        <f>_xlfn.XLOOKUP(Table1[[#This Row],[EmployeeNumber]],Table4[EmployeeNumber],Table4[Id_Employee])</f>
        <v>EMP00603</v>
      </c>
      <c r="O604">
        <v>833</v>
      </c>
      <c r="P604" t="str">
        <f>_xlfn.XLOOKUP(Table1[[#This Row],[EnvironmentSatisfaction]],Table9[EnvironmentSatisfaction],Table9[Id_EnviromentSatisfaction])</f>
        <v>ES003</v>
      </c>
      <c r="Q604">
        <v>3</v>
      </c>
      <c r="R604" t="str">
        <f>_xlfn.XLOOKUP(Table1[[#This Row],[EnvironmentSatisfaction]],Table9[EnvironmentSatisfaction],Table9[Deskripsi])</f>
        <v>High</v>
      </c>
      <c r="S604" t="str">
        <f>_xlfn.XLOOKUP(Table1[[#This Row],[Gender]],Table10[Gender],Table10[Id_Gender])</f>
        <v>G001</v>
      </c>
      <c r="T604" t="s">
        <v>45</v>
      </c>
      <c r="U604">
        <v>52</v>
      </c>
      <c r="V604" t="str">
        <f>_xlfn.XLOOKUP(Table1[[#This Row],[JobInvolvement]],Table11[JobInvolvement],Table11[Id_JobInvolvement])</f>
        <v>JI002</v>
      </c>
      <c r="W604">
        <v>2</v>
      </c>
      <c r="X604" t="str">
        <f>_xlfn.XLOOKUP(Table1[[#This Row],[JobLevel]],Table12[JobLevel],Table12[Id_JobLevel])</f>
        <v>JL002</v>
      </c>
      <c r="Y604">
        <v>2</v>
      </c>
      <c r="Z604" t="str">
        <f>_xlfn.XLOOKUP(Table1[[#This Row],[JobRole]],Table13[JobRole],Table13[Id_JobRole])</f>
        <v>JR004</v>
      </c>
      <c r="AA604" t="s">
        <v>50</v>
      </c>
      <c r="AB604" t="str">
        <f>_xlfn.XLOOKUP(Table1[[#This Row],[JobSatisfaction]],Table14[JobSatisfaction],Table14[Id_JobSatisfaction])</f>
        <v>JS004</v>
      </c>
      <c r="AC604">
        <v>4</v>
      </c>
      <c r="AD604" t="str">
        <f>_xlfn.XLOOKUP(Table1[[#This Row],[JobSatisfaction]],Table14[JobSatisfaction],Table14[Deskripsi])</f>
        <v>Very High</v>
      </c>
      <c r="AE604" t="str">
        <f>_xlfn.XLOOKUP(Table1[[#This Row],[MaritalStatus]],Table15[MaritalStatus],Table15[Id_MaritalStatus])</f>
        <v>MS001</v>
      </c>
      <c r="AF604" t="s">
        <v>55</v>
      </c>
      <c r="AG604">
        <v>6877</v>
      </c>
      <c r="AH604">
        <v>20234</v>
      </c>
      <c r="AI604">
        <v>5</v>
      </c>
      <c r="AJ604" t="str">
        <f>_xlfn.XLOOKUP(Table1[[#This Row],[OverTime]],Table16[OverTime],Table16[Id_OverTime])</f>
        <v>OT001</v>
      </c>
      <c r="AK604" t="s">
        <v>32</v>
      </c>
      <c r="AL604">
        <v>24</v>
      </c>
      <c r="AM604" t="str">
        <f>_xlfn.XLOOKUP(Table1[[#This Row],[PerformanceRating]],Table17[PerformanceRating],Table17[Id_PerformanceRating])</f>
        <v>PR004</v>
      </c>
      <c r="AN604">
        <v>4</v>
      </c>
      <c r="AO604" t="str">
        <f>_xlfn.XLOOKUP(Table1[[#This Row],[PerformanceRating]],Table17[PerformanceRating],Table17[Deskripsi])</f>
        <v>Outstanding</v>
      </c>
      <c r="AP604" t="str">
        <f>_xlfn.XLOOKUP(Table1[[#This Row],[RelationshipSatisfaction]],Table18[RelationshipSatisfaction],Table18[Id_RelationshipSatisfaction])</f>
        <v>RS002</v>
      </c>
      <c r="AQ604">
        <v>2</v>
      </c>
      <c r="AR604" t="str">
        <f>_xlfn.XLOOKUP(Table1[[#This Row],[RelationshipSatisfaction]],Table18[RelationshipSatisfaction],Table18[Deskripsi])</f>
        <v>Medium</v>
      </c>
      <c r="AS604" t="str">
        <f>_xlfn.XLOOKUP(Table1[[#This Row],[StockOptionLevel]],Table19[StockOptionLevel],Table19[Id_StockOptionLevel])</f>
        <v>SOL001</v>
      </c>
      <c r="AT604">
        <v>0</v>
      </c>
      <c r="AU604" t="str">
        <f>_xlfn.XLOOKUP(Table1[[#This Row],[StockOptionLevel]],Table19[StockOptionLevel],Table19[Deskripsi])</f>
        <v>Non-Eligible</v>
      </c>
      <c r="AV604">
        <v>12</v>
      </c>
      <c r="AW604">
        <v>4</v>
      </c>
      <c r="AX604" t="str">
        <f>_xlfn.XLOOKUP(Table1[[#This Row],[WorkLifeBalance]],Table20[WorkLifeBalance],Table20[Id_WorkLifeBalance])</f>
        <v>WLB003</v>
      </c>
      <c r="AY604">
        <v>2</v>
      </c>
      <c r="AZ604" t="str">
        <f>_xlfn.XLOOKUP(Table1[[#This Row],[WorkLifeBalance]],Table20[WorkLifeBalance],Table20[Deskripsi])</f>
        <v>Better</v>
      </c>
      <c r="BA604">
        <v>0</v>
      </c>
      <c r="BB604">
        <v>0</v>
      </c>
      <c r="BC604">
        <v>0</v>
      </c>
      <c r="BD604">
        <v>0</v>
      </c>
    </row>
    <row r="605" spans="1:56" x14ac:dyDescent="0.25">
      <c r="A605">
        <v>45</v>
      </c>
      <c r="B605" t="str">
        <f>_xlfn.XLOOKUP(Table1[[#This Row],[Attrition]],Table2[Attrition],Table2[Id_Attrition])</f>
        <v>A002</v>
      </c>
      <c r="C605" t="s">
        <v>33</v>
      </c>
      <c r="D605" t="str">
        <f>_xlfn.XLOOKUP(Table1[[#This Row],[BusinessTravel]],Table5[BusinessTravel],Table5[Id_BusinessTravel])</f>
        <v>BS001</v>
      </c>
      <c r="E605" t="s">
        <v>34</v>
      </c>
      <c r="F605">
        <v>252</v>
      </c>
      <c r="G605" t="str">
        <f>_xlfn.XLOOKUP(Table1[[#This Row],[Department]],Table6[Department],Table6[Id_Departement])</f>
        <v>D002</v>
      </c>
      <c r="H605" t="s">
        <v>38</v>
      </c>
      <c r="I605">
        <v>2</v>
      </c>
      <c r="J605" t="str">
        <f>_xlfn.XLOOKUP(Table1[[#This Row],[Education]],Table8[Education],Table8[Id_Education])</f>
        <v>E003</v>
      </c>
      <c r="K605">
        <v>3</v>
      </c>
      <c r="L605" t="str">
        <f>_xlfn.XLOOKUP(Table1[[#This Row],[EducationField]],Table7[EducationField],Table7[Id_EducationField])</f>
        <v>EF001</v>
      </c>
      <c r="M605" t="s">
        <v>40</v>
      </c>
      <c r="N605" t="str">
        <f>_xlfn.XLOOKUP(Table1[[#This Row],[EmployeeNumber]],Table4[EmployeeNumber],Table4[Id_Employee])</f>
        <v>EMP00604</v>
      </c>
      <c r="O605">
        <v>834</v>
      </c>
      <c r="P605" t="str">
        <f>_xlfn.XLOOKUP(Table1[[#This Row],[EnvironmentSatisfaction]],Table9[EnvironmentSatisfaction],Table9[Id_EnviromentSatisfaction])</f>
        <v>ES002</v>
      </c>
      <c r="Q605">
        <v>2</v>
      </c>
      <c r="R605" t="str">
        <f>_xlfn.XLOOKUP(Table1[[#This Row],[EnvironmentSatisfaction]],Table9[EnvironmentSatisfaction],Table9[Deskripsi])</f>
        <v>Medium</v>
      </c>
      <c r="S605" t="str">
        <f>_xlfn.XLOOKUP(Table1[[#This Row],[Gender]],Table10[Gender],Table10[Id_Gender])</f>
        <v>G001</v>
      </c>
      <c r="T605" t="s">
        <v>45</v>
      </c>
      <c r="U605">
        <v>95</v>
      </c>
      <c r="V605" t="str">
        <f>_xlfn.XLOOKUP(Table1[[#This Row],[JobInvolvement]],Table11[JobInvolvement],Table11[Id_JobInvolvement])</f>
        <v>JI002</v>
      </c>
      <c r="W605">
        <v>2</v>
      </c>
      <c r="X605" t="str">
        <f>_xlfn.XLOOKUP(Table1[[#This Row],[JobLevel]],Table12[JobLevel],Table12[Id_JobLevel])</f>
        <v>JL001</v>
      </c>
      <c r="Y605">
        <v>1</v>
      </c>
      <c r="Z605" t="str">
        <f>_xlfn.XLOOKUP(Table1[[#This Row],[JobRole]],Table13[JobRole],Table13[Id_JobRole])</f>
        <v>JR002</v>
      </c>
      <c r="AA605" t="s">
        <v>48</v>
      </c>
      <c r="AB605" t="str">
        <f>_xlfn.XLOOKUP(Table1[[#This Row],[JobSatisfaction]],Table14[JobSatisfaction],Table14[Id_JobSatisfaction])</f>
        <v>JS003</v>
      </c>
      <c r="AC605">
        <v>3</v>
      </c>
      <c r="AD605" t="str">
        <f>_xlfn.XLOOKUP(Table1[[#This Row],[JobSatisfaction]],Table14[JobSatisfaction],Table14[Deskripsi])</f>
        <v>High</v>
      </c>
      <c r="AE605" t="str">
        <f>_xlfn.XLOOKUP(Table1[[#This Row],[MaritalStatus]],Table15[MaritalStatus],Table15[Id_MaritalStatus])</f>
        <v>MS001</v>
      </c>
      <c r="AF605" t="s">
        <v>55</v>
      </c>
      <c r="AG605">
        <v>2274</v>
      </c>
      <c r="AH605">
        <v>6153</v>
      </c>
      <c r="AI605">
        <v>1</v>
      </c>
      <c r="AJ605" t="str">
        <f>_xlfn.XLOOKUP(Table1[[#This Row],[OverTime]],Table16[OverTime],Table16[Id_OverTime])</f>
        <v>OT002</v>
      </c>
      <c r="AK605" t="s">
        <v>33</v>
      </c>
      <c r="AL605">
        <v>14</v>
      </c>
      <c r="AM605" t="str">
        <f>_xlfn.XLOOKUP(Table1[[#This Row],[PerformanceRating]],Table17[PerformanceRating],Table17[Id_PerformanceRating])</f>
        <v>PR003</v>
      </c>
      <c r="AN605">
        <v>3</v>
      </c>
      <c r="AO605" t="str">
        <f>_xlfn.XLOOKUP(Table1[[#This Row],[PerformanceRating]],Table17[PerformanceRating],Table17[Deskripsi])</f>
        <v>Excellent</v>
      </c>
      <c r="AP605" t="str">
        <f>_xlfn.XLOOKUP(Table1[[#This Row],[RelationshipSatisfaction]],Table18[RelationshipSatisfaction],Table18[Id_RelationshipSatisfaction])</f>
        <v>RS004</v>
      </c>
      <c r="AQ605">
        <v>4</v>
      </c>
      <c r="AR605" t="str">
        <f>_xlfn.XLOOKUP(Table1[[#This Row],[RelationshipSatisfaction]],Table18[RelationshipSatisfaction],Table18[Deskripsi])</f>
        <v>Very High</v>
      </c>
      <c r="AS605" t="str">
        <f>_xlfn.XLOOKUP(Table1[[#This Row],[StockOptionLevel]],Table19[StockOptionLevel],Table19[Id_StockOptionLevel])</f>
        <v>SOL001</v>
      </c>
      <c r="AT605">
        <v>0</v>
      </c>
      <c r="AU605" t="str">
        <f>_xlfn.XLOOKUP(Table1[[#This Row],[StockOptionLevel]],Table19[StockOptionLevel],Table19[Deskripsi])</f>
        <v>Non-Eligible</v>
      </c>
      <c r="AV605">
        <v>1</v>
      </c>
      <c r="AW605">
        <v>3</v>
      </c>
      <c r="AX605" t="str">
        <f>_xlfn.XLOOKUP(Table1[[#This Row],[WorkLifeBalance]],Table20[WorkLifeBalance],Table20[Id_WorkLifeBalance])</f>
        <v>WLB002</v>
      </c>
      <c r="AY605">
        <v>3</v>
      </c>
      <c r="AZ605" t="str">
        <f>_xlfn.XLOOKUP(Table1[[#This Row],[WorkLifeBalance]],Table20[WorkLifeBalance],Table20[Deskripsi])</f>
        <v>Good</v>
      </c>
      <c r="BA605">
        <v>1</v>
      </c>
      <c r="BB605">
        <v>0</v>
      </c>
      <c r="BC605">
        <v>0</v>
      </c>
      <c r="BD605">
        <v>0</v>
      </c>
    </row>
    <row r="606" spans="1:56" x14ac:dyDescent="0.25">
      <c r="A606">
        <v>42</v>
      </c>
      <c r="B606" t="str">
        <f>_xlfn.XLOOKUP(Table1[[#This Row],[Attrition]],Table2[Attrition],Table2[Id_Attrition])</f>
        <v>A002</v>
      </c>
      <c r="C606" t="s">
        <v>33</v>
      </c>
      <c r="D606" t="str">
        <f>_xlfn.XLOOKUP(Table1[[#This Row],[BusinessTravel]],Table5[BusinessTravel],Table5[Id_BusinessTravel])</f>
        <v>BS001</v>
      </c>
      <c r="E606" t="s">
        <v>34</v>
      </c>
      <c r="F606">
        <v>933</v>
      </c>
      <c r="G606" t="str">
        <f>_xlfn.XLOOKUP(Table1[[#This Row],[Department]],Table6[Department],Table6[Id_Departement])</f>
        <v>D002</v>
      </c>
      <c r="H606" t="s">
        <v>38</v>
      </c>
      <c r="I606">
        <v>29</v>
      </c>
      <c r="J606" t="str">
        <f>_xlfn.XLOOKUP(Table1[[#This Row],[Education]],Table8[Education],Table8[Id_Education])</f>
        <v>E003</v>
      </c>
      <c r="K606">
        <v>3</v>
      </c>
      <c r="L606" t="str">
        <f>_xlfn.XLOOKUP(Table1[[#This Row],[EducationField]],Table7[EducationField],Table7[Id_EducationField])</f>
        <v>EF001</v>
      </c>
      <c r="M606" t="s">
        <v>40</v>
      </c>
      <c r="N606" t="str">
        <f>_xlfn.XLOOKUP(Table1[[#This Row],[EmployeeNumber]],Table4[EmployeeNumber],Table4[Id_Employee])</f>
        <v>EMP00605</v>
      </c>
      <c r="O606">
        <v>836</v>
      </c>
      <c r="P606" t="str">
        <f>_xlfn.XLOOKUP(Table1[[#This Row],[EnvironmentSatisfaction]],Table9[EnvironmentSatisfaction],Table9[Id_EnviromentSatisfaction])</f>
        <v>ES002</v>
      </c>
      <c r="Q606">
        <v>2</v>
      </c>
      <c r="R606" t="str">
        <f>_xlfn.XLOOKUP(Table1[[#This Row],[EnvironmentSatisfaction]],Table9[EnvironmentSatisfaction],Table9[Deskripsi])</f>
        <v>Medium</v>
      </c>
      <c r="S606" t="str">
        <f>_xlfn.XLOOKUP(Table1[[#This Row],[Gender]],Table10[Gender],Table10[Id_Gender])</f>
        <v>G002</v>
      </c>
      <c r="T606" t="s">
        <v>46</v>
      </c>
      <c r="U606">
        <v>98</v>
      </c>
      <c r="V606" t="str">
        <f>_xlfn.XLOOKUP(Table1[[#This Row],[JobInvolvement]],Table11[JobInvolvement],Table11[Id_JobInvolvement])</f>
        <v>JI003</v>
      </c>
      <c r="W606">
        <v>3</v>
      </c>
      <c r="X606" t="str">
        <f>_xlfn.XLOOKUP(Table1[[#This Row],[JobLevel]],Table12[JobLevel],Table12[Id_JobLevel])</f>
        <v>JL002</v>
      </c>
      <c r="Y606">
        <v>2</v>
      </c>
      <c r="Z606" t="str">
        <f>_xlfn.XLOOKUP(Table1[[#This Row],[JobRole]],Table13[JobRole],Table13[Id_JobRole])</f>
        <v>JR004</v>
      </c>
      <c r="AA606" t="s">
        <v>50</v>
      </c>
      <c r="AB606" t="str">
        <f>_xlfn.XLOOKUP(Table1[[#This Row],[JobSatisfaction]],Table14[JobSatisfaction],Table14[Id_JobSatisfaction])</f>
        <v>JS002</v>
      </c>
      <c r="AC606">
        <v>2</v>
      </c>
      <c r="AD606" t="str">
        <f>_xlfn.XLOOKUP(Table1[[#This Row],[JobSatisfaction]],Table14[JobSatisfaction],Table14[Deskripsi])</f>
        <v>Medium</v>
      </c>
      <c r="AE606" t="str">
        <f>_xlfn.XLOOKUP(Table1[[#This Row],[MaritalStatus]],Table15[MaritalStatus],Table15[Id_MaritalStatus])</f>
        <v>MS002</v>
      </c>
      <c r="AF606" t="s">
        <v>56</v>
      </c>
      <c r="AG606">
        <v>4434</v>
      </c>
      <c r="AH606">
        <v>11806</v>
      </c>
      <c r="AI606">
        <v>1</v>
      </c>
      <c r="AJ606" t="str">
        <f>_xlfn.XLOOKUP(Table1[[#This Row],[OverTime]],Table16[OverTime],Table16[Id_OverTime])</f>
        <v>OT002</v>
      </c>
      <c r="AK606" t="s">
        <v>33</v>
      </c>
      <c r="AL606">
        <v>13</v>
      </c>
      <c r="AM606" t="str">
        <f>_xlfn.XLOOKUP(Table1[[#This Row],[PerformanceRating]],Table17[PerformanceRating],Table17[Id_PerformanceRating])</f>
        <v>PR003</v>
      </c>
      <c r="AN606">
        <v>3</v>
      </c>
      <c r="AO606" t="str">
        <f>_xlfn.XLOOKUP(Table1[[#This Row],[PerformanceRating]],Table17[PerformanceRating],Table17[Deskripsi])</f>
        <v>Excellent</v>
      </c>
      <c r="AP606" t="str">
        <f>_xlfn.XLOOKUP(Table1[[#This Row],[RelationshipSatisfaction]],Table18[RelationshipSatisfaction],Table18[Id_RelationshipSatisfaction])</f>
        <v>RS004</v>
      </c>
      <c r="AQ606">
        <v>4</v>
      </c>
      <c r="AR606" t="str">
        <f>_xlfn.XLOOKUP(Table1[[#This Row],[RelationshipSatisfaction]],Table18[RelationshipSatisfaction],Table18[Deskripsi])</f>
        <v>Very High</v>
      </c>
      <c r="AS606" t="str">
        <f>_xlfn.XLOOKUP(Table1[[#This Row],[StockOptionLevel]],Table19[StockOptionLevel],Table19[Id_StockOptionLevel])</f>
        <v>SOL002</v>
      </c>
      <c r="AT606">
        <v>1</v>
      </c>
      <c r="AU606" t="str">
        <f>_xlfn.XLOOKUP(Table1[[#This Row],[StockOptionLevel]],Table19[StockOptionLevel],Table19[Deskripsi])</f>
        <v>Standard</v>
      </c>
      <c r="AV606">
        <v>10</v>
      </c>
      <c r="AW606">
        <v>3</v>
      </c>
      <c r="AX606" t="str">
        <f>_xlfn.XLOOKUP(Table1[[#This Row],[WorkLifeBalance]],Table20[WorkLifeBalance],Table20[Id_WorkLifeBalance])</f>
        <v>WLB003</v>
      </c>
      <c r="AY606">
        <v>2</v>
      </c>
      <c r="AZ606" t="str">
        <f>_xlfn.XLOOKUP(Table1[[#This Row],[WorkLifeBalance]],Table20[WorkLifeBalance],Table20[Deskripsi])</f>
        <v>Better</v>
      </c>
      <c r="BA606">
        <v>9</v>
      </c>
      <c r="BB606">
        <v>8</v>
      </c>
      <c r="BC606">
        <v>7</v>
      </c>
      <c r="BD606">
        <v>8</v>
      </c>
    </row>
    <row r="607" spans="1:56" x14ac:dyDescent="0.25">
      <c r="A607">
        <v>38</v>
      </c>
      <c r="B607" t="str">
        <f>_xlfn.XLOOKUP(Table1[[#This Row],[Attrition]],Table2[Attrition],Table2[Id_Attrition])</f>
        <v>A002</v>
      </c>
      <c r="C607" t="s">
        <v>33</v>
      </c>
      <c r="D607" t="str">
        <f>_xlfn.XLOOKUP(Table1[[#This Row],[BusinessTravel]],Table5[BusinessTravel],Table5[Id_BusinessTravel])</f>
        <v>BS002</v>
      </c>
      <c r="E607" t="s">
        <v>35</v>
      </c>
      <c r="F607">
        <v>471</v>
      </c>
      <c r="G607" t="str">
        <f>_xlfn.XLOOKUP(Table1[[#This Row],[Department]],Table6[Department],Table6[Id_Departement])</f>
        <v>D002</v>
      </c>
      <c r="H607" t="s">
        <v>38</v>
      </c>
      <c r="I607">
        <v>12</v>
      </c>
      <c r="J607" t="str">
        <f>_xlfn.XLOOKUP(Table1[[#This Row],[Education]],Table8[Education],Table8[Id_Education])</f>
        <v>E003</v>
      </c>
      <c r="K607">
        <v>3</v>
      </c>
      <c r="L607" t="str">
        <f>_xlfn.XLOOKUP(Table1[[#This Row],[EducationField]],Table7[EducationField],Table7[Id_EducationField])</f>
        <v>EF001</v>
      </c>
      <c r="M607" t="s">
        <v>40</v>
      </c>
      <c r="N607" t="str">
        <f>_xlfn.XLOOKUP(Table1[[#This Row],[EmployeeNumber]],Table4[EmployeeNumber],Table4[Id_Employee])</f>
        <v>EMP00606</v>
      </c>
      <c r="O607">
        <v>837</v>
      </c>
      <c r="P607" t="str">
        <f>_xlfn.XLOOKUP(Table1[[#This Row],[EnvironmentSatisfaction]],Table9[EnvironmentSatisfaction],Table9[Id_EnviromentSatisfaction])</f>
        <v>ES001</v>
      </c>
      <c r="Q607">
        <v>1</v>
      </c>
      <c r="R607" t="str">
        <f>_xlfn.XLOOKUP(Table1[[#This Row],[EnvironmentSatisfaction]],Table9[EnvironmentSatisfaction],Table9[Deskripsi])</f>
        <v>Low</v>
      </c>
      <c r="S607" t="str">
        <f>_xlfn.XLOOKUP(Table1[[#This Row],[Gender]],Table10[Gender],Table10[Id_Gender])</f>
        <v>G002</v>
      </c>
      <c r="T607" t="s">
        <v>46</v>
      </c>
      <c r="U607">
        <v>45</v>
      </c>
      <c r="V607" t="str">
        <f>_xlfn.XLOOKUP(Table1[[#This Row],[JobInvolvement]],Table11[JobInvolvement],Table11[Id_JobInvolvement])</f>
        <v>JI002</v>
      </c>
      <c r="W607">
        <v>2</v>
      </c>
      <c r="X607" t="str">
        <f>_xlfn.XLOOKUP(Table1[[#This Row],[JobLevel]],Table12[JobLevel],Table12[Id_JobLevel])</f>
        <v>JL002</v>
      </c>
      <c r="Y607">
        <v>2</v>
      </c>
      <c r="Z607" t="str">
        <f>_xlfn.XLOOKUP(Table1[[#This Row],[JobRole]],Table13[JobRole],Table13[Id_JobRole])</f>
        <v>JR005</v>
      </c>
      <c r="AA607" t="s">
        <v>51</v>
      </c>
      <c r="AB607" t="str">
        <f>_xlfn.XLOOKUP(Table1[[#This Row],[JobSatisfaction]],Table14[JobSatisfaction],Table14[Id_JobSatisfaction])</f>
        <v>JS001</v>
      </c>
      <c r="AC607">
        <v>1</v>
      </c>
      <c r="AD607" t="str">
        <f>_xlfn.XLOOKUP(Table1[[#This Row],[JobSatisfaction]],Table14[JobSatisfaction],Table14[Deskripsi])</f>
        <v>Low</v>
      </c>
      <c r="AE607" t="str">
        <f>_xlfn.XLOOKUP(Table1[[#This Row],[MaritalStatus]],Table15[MaritalStatus],Table15[Id_MaritalStatus])</f>
        <v>MS003</v>
      </c>
      <c r="AF607" t="s">
        <v>57</v>
      </c>
      <c r="AG607">
        <v>6288</v>
      </c>
      <c r="AH607">
        <v>4284</v>
      </c>
      <c r="AI607">
        <v>2</v>
      </c>
      <c r="AJ607" t="str">
        <f>_xlfn.XLOOKUP(Table1[[#This Row],[OverTime]],Table16[OverTime],Table16[Id_OverTime])</f>
        <v>OT002</v>
      </c>
      <c r="AK607" t="s">
        <v>33</v>
      </c>
      <c r="AL607">
        <v>15</v>
      </c>
      <c r="AM607" t="str">
        <f>_xlfn.XLOOKUP(Table1[[#This Row],[PerformanceRating]],Table17[PerformanceRating],Table17[Id_PerformanceRating])</f>
        <v>PR003</v>
      </c>
      <c r="AN607">
        <v>3</v>
      </c>
      <c r="AO607" t="str">
        <f>_xlfn.XLOOKUP(Table1[[#This Row],[PerformanceRating]],Table17[PerformanceRating],Table17[Deskripsi])</f>
        <v>Excellent</v>
      </c>
      <c r="AP607" t="str">
        <f>_xlfn.XLOOKUP(Table1[[#This Row],[RelationshipSatisfaction]],Table18[RelationshipSatisfaction],Table18[Id_RelationshipSatisfaction])</f>
        <v>RS003</v>
      </c>
      <c r="AQ607">
        <v>3</v>
      </c>
      <c r="AR607" t="str">
        <f>_xlfn.XLOOKUP(Table1[[#This Row],[RelationshipSatisfaction]],Table18[RelationshipSatisfaction],Table18[Deskripsi])</f>
        <v>High</v>
      </c>
      <c r="AS607" t="str">
        <f>_xlfn.XLOOKUP(Table1[[#This Row],[StockOptionLevel]],Table19[StockOptionLevel],Table19[Id_StockOptionLevel])</f>
        <v>SOL002</v>
      </c>
      <c r="AT607">
        <v>1</v>
      </c>
      <c r="AU607" t="str">
        <f>_xlfn.XLOOKUP(Table1[[#This Row],[StockOptionLevel]],Table19[StockOptionLevel],Table19[Deskripsi])</f>
        <v>Standard</v>
      </c>
      <c r="AV607">
        <v>13</v>
      </c>
      <c r="AW607">
        <v>3</v>
      </c>
      <c r="AX607" t="str">
        <f>_xlfn.XLOOKUP(Table1[[#This Row],[WorkLifeBalance]],Table20[WorkLifeBalance],Table20[Id_WorkLifeBalance])</f>
        <v>WLB003</v>
      </c>
      <c r="AY607">
        <v>2</v>
      </c>
      <c r="AZ607" t="str">
        <f>_xlfn.XLOOKUP(Table1[[#This Row],[WorkLifeBalance]],Table20[WorkLifeBalance],Table20[Deskripsi])</f>
        <v>Better</v>
      </c>
      <c r="BA607">
        <v>4</v>
      </c>
      <c r="BB607">
        <v>3</v>
      </c>
      <c r="BC607">
        <v>1</v>
      </c>
      <c r="BD607">
        <v>2</v>
      </c>
    </row>
    <row r="608" spans="1:56" x14ac:dyDescent="0.25">
      <c r="A608">
        <v>34</v>
      </c>
      <c r="B608" t="str">
        <f>_xlfn.XLOOKUP(Table1[[#This Row],[Attrition]],Table2[Attrition],Table2[Id_Attrition])</f>
        <v>A002</v>
      </c>
      <c r="C608" t="s">
        <v>33</v>
      </c>
      <c r="D608" t="str">
        <f>_xlfn.XLOOKUP(Table1[[#This Row],[BusinessTravel]],Table5[BusinessTravel],Table5[Id_BusinessTravel])</f>
        <v>BS002</v>
      </c>
      <c r="E608" t="s">
        <v>35</v>
      </c>
      <c r="F608">
        <v>702</v>
      </c>
      <c r="G608" t="str">
        <f>_xlfn.XLOOKUP(Table1[[#This Row],[Department]],Table6[Department],Table6[Id_Departement])</f>
        <v>D002</v>
      </c>
      <c r="H608" t="s">
        <v>38</v>
      </c>
      <c r="I608">
        <v>16</v>
      </c>
      <c r="J608" t="str">
        <f>_xlfn.XLOOKUP(Table1[[#This Row],[Education]],Table8[Education],Table8[Id_Education])</f>
        <v>E004</v>
      </c>
      <c r="K608">
        <v>4</v>
      </c>
      <c r="L608" t="str">
        <f>_xlfn.XLOOKUP(Table1[[#This Row],[EducationField]],Table7[EducationField],Table7[Id_EducationField])</f>
        <v>EF001</v>
      </c>
      <c r="M608" t="s">
        <v>40</v>
      </c>
      <c r="N608" t="str">
        <f>_xlfn.XLOOKUP(Table1[[#This Row],[EmployeeNumber]],Table4[EmployeeNumber],Table4[Id_Employee])</f>
        <v>EMP00607</v>
      </c>
      <c r="O608">
        <v>838</v>
      </c>
      <c r="P608" t="str">
        <f>_xlfn.XLOOKUP(Table1[[#This Row],[EnvironmentSatisfaction]],Table9[EnvironmentSatisfaction],Table9[Id_EnviromentSatisfaction])</f>
        <v>ES003</v>
      </c>
      <c r="Q608">
        <v>3</v>
      </c>
      <c r="R608" t="str">
        <f>_xlfn.XLOOKUP(Table1[[#This Row],[EnvironmentSatisfaction]],Table9[EnvironmentSatisfaction],Table9[Deskripsi])</f>
        <v>High</v>
      </c>
      <c r="S608" t="str">
        <f>_xlfn.XLOOKUP(Table1[[#This Row],[Gender]],Table10[Gender],Table10[Id_Gender])</f>
        <v>G001</v>
      </c>
      <c r="T608" t="s">
        <v>45</v>
      </c>
      <c r="U608">
        <v>100</v>
      </c>
      <c r="V608" t="str">
        <f>_xlfn.XLOOKUP(Table1[[#This Row],[JobInvolvement]],Table11[JobInvolvement],Table11[Id_JobInvolvement])</f>
        <v>JI002</v>
      </c>
      <c r="W608">
        <v>2</v>
      </c>
      <c r="X608" t="str">
        <f>_xlfn.XLOOKUP(Table1[[#This Row],[JobLevel]],Table12[JobLevel],Table12[Id_JobLevel])</f>
        <v>JL001</v>
      </c>
      <c r="Y608">
        <v>1</v>
      </c>
      <c r="Z608" t="str">
        <f>_xlfn.XLOOKUP(Table1[[#This Row],[JobRole]],Table13[JobRole],Table13[Id_JobRole])</f>
        <v>JR002</v>
      </c>
      <c r="AA608" t="s">
        <v>48</v>
      </c>
      <c r="AB608" t="str">
        <f>_xlfn.XLOOKUP(Table1[[#This Row],[JobSatisfaction]],Table14[JobSatisfaction],Table14[Id_JobSatisfaction])</f>
        <v>JS004</v>
      </c>
      <c r="AC608">
        <v>4</v>
      </c>
      <c r="AD608" t="str">
        <f>_xlfn.XLOOKUP(Table1[[#This Row],[JobSatisfaction]],Table14[JobSatisfaction],Table14[Deskripsi])</f>
        <v>Very High</v>
      </c>
      <c r="AE608" t="str">
        <f>_xlfn.XLOOKUP(Table1[[#This Row],[MaritalStatus]],Table15[MaritalStatus],Table15[Id_MaritalStatus])</f>
        <v>MS001</v>
      </c>
      <c r="AF608" t="s">
        <v>55</v>
      </c>
      <c r="AG608">
        <v>2553</v>
      </c>
      <c r="AH608">
        <v>8306</v>
      </c>
      <c r="AI608">
        <v>1</v>
      </c>
      <c r="AJ608" t="str">
        <f>_xlfn.XLOOKUP(Table1[[#This Row],[OverTime]],Table16[OverTime],Table16[Id_OverTime])</f>
        <v>OT002</v>
      </c>
      <c r="AK608" t="s">
        <v>33</v>
      </c>
      <c r="AL608">
        <v>16</v>
      </c>
      <c r="AM608" t="str">
        <f>_xlfn.XLOOKUP(Table1[[#This Row],[PerformanceRating]],Table17[PerformanceRating],Table17[Id_PerformanceRating])</f>
        <v>PR003</v>
      </c>
      <c r="AN608">
        <v>3</v>
      </c>
      <c r="AO608" t="str">
        <f>_xlfn.XLOOKUP(Table1[[#This Row],[PerformanceRating]],Table17[PerformanceRating],Table17[Deskripsi])</f>
        <v>Excellent</v>
      </c>
      <c r="AP608" t="str">
        <f>_xlfn.XLOOKUP(Table1[[#This Row],[RelationshipSatisfaction]],Table18[RelationshipSatisfaction],Table18[Id_RelationshipSatisfaction])</f>
        <v>RS003</v>
      </c>
      <c r="AQ608">
        <v>3</v>
      </c>
      <c r="AR608" t="str">
        <f>_xlfn.XLOOKUP(Table1[[#This Row],[RelationshipSatisfaction]],Table18[RelationshipSatisfaction],Table18[Deskripsi])</f>
        <v>High</v>
      </c>
      <c r="AS608" t="str">
        <f>_xlfn.XLOOKUP(Table1[[#This Row],[StockOptionLevel]],Table19[StockOptionLevel],Table19[Id_StockOptionLevel])</f>
        <v>SOL001</v>
      </c>
      <c r="AT608">
        <v>0</v>
      </c>
      <c r="AU608" t="str">
        <f>_xlfn.XLOOKUP(Table1[[#This Row],[StockOptionLevel]],Table19[StockOptionLevel],Table19[Deskripsi])</f>
        <v>Non-Eligible</v>
      </c>
      <c r="AV608">
        <v>6</v>
      </c>
      <c r="AW608">
        <v>3</v>
      </c>
      <c r="AX608" t="str">
        <f>_xlfn.XLOOKUP(Table1[[#This Row],[WorkLifeBalance]],Table20[WorkLifeBalance],Table20[Id_WorkLifeBalance])</f>
        <v>WLB002</v>
      </c>
      <c r="AY608">
        <v>3</v>
      </c>
      <c r="AZ608" t="str">
        <f>_xlfn.XLOOKUP(Table1[[#This Row],[WorkLifeBalance]],Table20[WorkLifeBalance],Table20[Deskripsi])</f>
        <v>Good</v>
      </c>
      <c r="BA608">
        <v>5</v>
      </c>
      <c r="BB608">
        <v>2</v>
      </c>
      <c r="BC608">
        <v>1</v>
      </c>
      <c r="BD608">
        <v>3</v>
      </c>
    </row>
    <row r="609" spans="1:56" x14ac:dyDescent="0.25">
      <c r="A609">
        <v>49</v>
      </c>
      <c r="B609" t="str">
        <f>_xlfn.XLOOKUP(Table1[[#This Row],[Attrition]],Table2[Attrition],Table2[Id_Attrition])</f>
        <v>A001</v>
      </c>
      <c r="C609" t="s">
        <v>32</v>
      </c>
      <c r="D609" t="str">
        <f>_xlfn.XLOOKUP(Table1[[#This Row],[BusinessTravel]],Table5[BusinessTravel],Table5[Id_BusinessTravel])</f>
        <v>BS001</v>
      </c>
      <c r="E609" t="s">
        <v>34</v>
      </c>
      <c r="F609">
        <v>1184</v>
      </c>
      <c r="G609" t="str">
        <f>_xlfn.XLOOKUP(Table1[[#This Row],[Department]],Table6[Department],Table6[Id_Departement])</f>
        <v>D001</v>
      </c>
      <c r="H609" t="s">
        <v>37</v>
      </c>
      <c r="I609">
        <v>11</v>
      </c>
      <c r="J609" t="str">
        <f>_xlfn.XLOOKUP(Table1[[#This Row],[Education]],Table8[Education],Table8[Id_Education])</f>
        <v>E003</v>
      </c>
      <c r="K609">
        <v>3</v>
      </c>
      <c r="L609" t="str">
        <f>_xlfn.XLOOKUP(Table1[[#This Row],[EducationField]],Table7[EducationField],Table7[Id_EducationField])</f>
        <v>EF004</v>
      </c>
      <c r="M609" t="s">
        <v>43</v>
      </c>
      <c r="N609" t="str">
        <f>_xlfn.XLOOKUP(Table1[[#This Row],[EmployeeNumber]],Table4[EmployeeNumber],Table4[Id_Employee])</f>
        <v>EMP00608</v>
      </c>
      <c r="O609">
        <v>840</v>
      </c>
      <c r="P609" t="str">
        <f>_xlfn.XLOOKUP(Table1[[#This Row],[EnvironmentSatisfaction]],Table9[EnvironmentSatisfaction],Table9[Id_EnviromentSatisfaction])</f>
        <v>ES003</v>
      </c>
      <c r="Q609">
        <v>3</v>
      </c>
      <c r="R609" t="str">
        <f>_xlfn.XLOOKUP(Table1[[#This Row],[EnvironmentSatisfaction]],Table9[EnvironmentSatisfaction],Table9[Deskripsi])</f>
        <v>High</v>
      </c>
      <c r="S609" t="str">
        <f>_xlfn.XLOOKUP(Table1[[#This Row],[Gender]],Table10[Gender],Table10[Id_Gender])</f>
        <v>G001</v>
      </c>
      <c r="T609" t="s">
        <v>45</v>
      </c>
      <c r="U609">
        <v>43</v>
      </c>
      <c r="V609" t="str">
        <f>_xlfn.XLOOKUP(Table1[[#This Row],[JobInvolvement]],Table11[JobInvolvement],Table11[Id_JobInvolvement])</f>
        <v>JI003</v>
      </c>
      <c r="W609">
        <v>3</v>
      </c>
      <c r="X609" t="str">
        <f>_xlfn.XLOOKUP(Table1[[#This Row],[JobLevel]],Table12[JobLevel],Table12[Id_JobLevel])</f>
        <v>JL003</v>
      </c>
      <c r="Y609">
        <v>3</v>
      </c>
      <c r="Z609" t="str">
        <f>_xlfn.XLOOKUP(Table1[[#This Row],[JobRole]],Table13[JobRole],Table13[Id_JobRole])</f>
        <v>JR001</v>
      </c>
      <c r="AA609" t="s">
        <v>47</v>
      </c>
      <c r="AB609" t="str">
        <f>_xlfn.XLOOKUP(Table1[[#This Row],[JobSatisfaction]],Table14[JobSatisfaction],Table14[Id_JobSatisfaction])</f>
        <v>JS004</v>
      </c>
      <c r="AC609">
        <v>4</v>
      </c>
      <c r="AD609" t="str">
        <f>_xlfn.XLOOKUP(Table1[[#This Row],[JobSatisfaction]],Table14[JobSatisfaction],Table14[Deskripsi])</f>
        <v>Very High</v>
      </c>
      <c r="AE609" t="str">
        <f>_xlfn.XLOOKUP(Table1[[#This Row],[MaritalStatus]],Table15[MaritalStatus],Table15[Id_MaritalStatus])</f>
        <v>MS002</v>
      </c>
      <c r="AF609" t="s">
        <v>56</v>
      </c>
      <c r="AG609">
        <v>7654</v>
      </c>
      <c r="AH609">
        <v>5860</v>
      </c>
      <c r="AI609">
        <v>1</v>
      </c>
      <c r="AJ609" t="str">
        <f>_xlfn.XLOOKUP(Table1[[#This Row],[OverTime]],Table16[OverTime],Table16[Id_OverTime])</f>
        <v>OT002</v>
      </c>
      <c r="AK609" t="s">
        <v>33</v>
      </c>
      <c r="AL609">
        <v>18</v>
      </c>
      <c r="AM609" t="str">
        <f>_xlfn.XLOOKUP(Table1[[#This Row],[PerformanceRating]],Table17[PerformanceRating],Table17[Id_PerformanceRating])</f>
        <v>PR003</v>
      </c>
      <c r="AN609">
        <v>3</v>
      </c>
      <c r="AO609" t="str">
        <f>_xlfn.XLOOKUP(Table1[[#This Row],[PerformanceRating]],Table17[PerformanceRating],Table17[Deskripsi])</f>
        <v>Excellent</v>
      </c>
      <c r="AP609" t="str">
        <f>_xlfn.XLOOKUP(Table1[[#This Row],[RelationshipSatisfaction]],Table18[RelationshipSatisfaction],Table18[Id_RelationshipSatisfaction])</f>
        <v>RS001</v>
      </c>
      <c r="AQ609">
        <v>1</v>
      </c>
      <c r="AR609" t="str">
        <f>_xlfn.XLOOKUP(Table1[[#This Row],[RelationshipSatisfaction]],Table18[RelationshipSatisfaction],Table18[Deskripsi])</f>
        <v>Low</v>
      </c>
      <c r="AS609" t="str">
        <f>_xlfn.XLOOKUP(Table1[[#This Row],[StockOptionLevel]],Table19[StockOptionLevel],Table19[Id_StockOptionLevel])</f>
        <v>SOL003</v>
      </c>
      <c r="AT609">
        <v>2</v>
      </c>
      <c r="AU609" t="str">
        <f>_xlfn.XLOOKUP(Table1[[#This Row],[StockOptionLevel]],Table19[StockOptionLevel],Table19[Deskripsi])</f>
        <v>Intermediate</v>
      </c>
      <c r="AV609">
        <v>9</v>
      </c>
      <c r="AW609">
        <v>3</v>
      </c>
      <c r="AX609" t="str">
        <f>_xlfn.XLOOKUP(Table1[[#This Row],[WorkLifeBalance]],Table20[WorkLifeBalance],Table20[Id_WorkLifeBalance])</f>
        <v>WLB004</v>
      </c>
      <c r="AY609">
        <v>4</v>
      </c>
      <c r="AZ609" t="str">
        <f>_xlfn.XLOOKUP(Table1[[#This Row],[WorkLifeBalance]],Table20[WorkLifeBalance],Table20[Deskripsi])</f>
        <v>Best</v>
      </c>
      <c r="BA609">
        <v>9</v>
      </c>
      <c r="BB609">
        <v>8</v>
      </c>
      <c r="BC609">
        <v>7</v>
      </c>
      <c r="BD609">
        <v>7</v>
      </c>
    </row>
    <row r="610" spans="1:56" x14ac:dyDescent="0.25">
      <c r="A610">
        <v>55</v>
      </c>
      <c r="B610" t="str">
        <f>_xlfn.XLOOKUP(Table1[[#This Row],[Attrition]],Table2[Attrition],Table2[Id_Attrition])</f>
        <v>A001</v>
      </c>
      <c r="C610" t="s">
        <v>32</v>
      </c>
      <c r="D610" t="str">
        <f>_xlfn.XLOOKUP(Table1[[#This Row],[BusinessTravel]],Table5[BusinessTravel],Table5[Id_BusinessTravel])</f>
        <v>BS001</v>
      </c>
      <c r="E610" t="s">
        <v>34</v>
      </c>
      <c r="F610">
        <v>436</v>
      </c>
      <c r="G610" t="str">
        <f>_xlfn.XLOOKUP(Table1[[#This Row],[Department]],Table6[Department],Table6[Id_Departement])</f>
        <v>D001</v>
      </c>
      <c r="H610" t="s">
        <v>37</v>
      </c>
      <c r="I610">
        <v>2</v>
      </c>
      <c r="J610" t="str">
        <f>_xlfn.XLOOKUP(Table1[[#This Row],[Education]],Table8[Education],Table8[Id_Education])</f>
        <v>E001</v>
      </c>
      <c r="K610">
        <v>1</v>
      </c>
      <c r="L610" t="str">
        <f>_xlfn.XLOOKUP(Table1[[#This Row],[EducationField]],Table7[EducationField],Table7[Id_EducationField])</f>
        <v>EF003</v>
      </c>
      <c r="M610" t="s">
        <v>42</v>
      </c>
      <c r="N610" t="str">
        <f>_xlfn.XLOOKUP(Table1[[#This Row],[EmployeeNumber]],Table4[EmployeeNumber],Table4[Id_Employee])</f>
        <v>EMP00609</v>
      </c>
      <c r="O610">
        <v>842</v>
      </c>
      <c r="P610" t="str">
        <f>_xlfn.XLOOKUP(Table1[[#This Row],[EnvironmentSatisfaction]],Table9[EnvironmentSatisfaction],Table9[Id_EnviromentSatisfaction])</f>
        <v>ES003</v>
      </c>
      <c r="Q610">
        <v>3</v>
      </c>
      <c r="R610" t="str">
        <f>_xlfn.XLOOKUP(Table1[[#This Row],[EnvironmentSatisfaction]],Table9[EnvironmentSatisfaction],Table9[Deskripsi])</f>
        <v>High</v>
      </c>
      <c r="S610" t="str">
        <f>_xlfn.XLOOKUP(Table1[[#This Row],[Gender]],Table10[Gender],Table10[Id_Gender])</f>
        <v>G002</v>
      </c>
      <c r="T610" t="s">
        <v>46</v>
      </c>
      <c r="U610">
        <v>37</v>
      </c>
      <c r="V610" t="str">
        <f>_xlfn.XLOOKUP(Table1[[#This Row],[JobInvolvement]],Table11[JobInvolvement],Table11[Id_JobInvolvement])</f>
        <v>JI003</v>
      </c>
      <c r="W610">
        <v>3</v>
      </c>
      <c r="X610" t="str">
        <f>_xlfn.XLOOKUP(Table1[[#This Row],[JobLevel]],Table12[JobLevel],Table12[Id_JobLevel])</f>
        <v>JL002</v>
      </c>
      <c r="Y610">
        <v>2</v>
      </c>
      <c r="Z610" t="str">
        <f>_xlfn.XLOOKUP(Table1[[#This Row],[JobRole]],Table13[JobRole],Table13[Id_JobRole])</f>
        <v>JR001</v>
      </c>
      <c r="AA610" t="s">
        <v>47</v>
      </c>
      <c r="AB610" t="str">
        <f>_xlfn.XLOOKUP(Table1[[#This Row],[JobSatisfaction]],Table14[JobSatisfaction],Table14[Id_JobSatisfaction])</f>
        <v>JS004</v>
      </c>
      <c r="AC610">
        <v>4</v>
      </c>
      <c r="AD610" t="str">
        <f>_xlfn.XLOOKUP(Table1[[#This Row],[JobSatisfaction]],Table14[JobSatisfaction],Table14[Deskripsi])</f>
        <v>Very High</v>
      </c>
      <c r="AE610" t="str">
        <f>_xlfn.XLOOKUP(Table1[[#This Row],[MaritalStatus]],Table15[MaritalStatus],Table15[Id_MaritalStatus])</f>
        <v>MS001</v>
      </c>
      <c r="AF610" t="s">
        <v>55</v>
      </c>
      <c r="AG610">
        <v>5160</v>
      </c>
      <c r="AH610">
        <v>21519</v>
      </c>
      <c r="AI610">
        <v>4</v>
      </c>
      <c r="AJ610" t="str">
        <f>_xlfn.XLOOKUP(Table1[[#This Row],[OverTime]],Table16[OverTime],Table16[Id_OverTime])</f>
        <v>OT002</v>
      </c>
      <c r="AK610" t="s">
        <v>33</v>
      </c>
      <c r="AL610">
        <v>16</v>
      </c>
      <c r="AM610" t="str">
        <f>_xlfn.XLOOKUP(Table1[[#This Row],[PerformanceRating]],Table17[PerformanceRating],Table17[Id_PerformanceRating])</f>
        <v>PR003</v>
      </c>
      <c r="AN610">
        <v>3</v>
      </c>
      <c r="AO610" t="str">
        <f>_xlfn.XLOOKUP(Table1[[#This Row],[PerformanceRating]],Table17[PerformanceRating],Table17[Deskripsi])</f>
        <v>Excellent</v>
      </c>
      <c r="AP610" t="str">
        <f>_xlfn.XLOOKUP(Table1[[#This Row],[RelationshipSatisfaction]],Table18[RelationshipSatisfaction],Table18[Id_RelationshipSatisfaction])</f>
        <v>RS003</v>
      </c>
      <c r="AQ610">
        <v>3</v>
      </c>
      <c r="AR610" t="str">
        <f>_xlfn.XLOOKUP(Table1[[#This Row],[RelationshipSatisfaction]],Table18[RelationshipSatisfaction],Table18[Deskripsi])</f>
        <v>High</v>
      </c>
      <c r="AS610" t="str">
        <f>_xlfn.XLOOKUP(Table1[[#This Row],[StockOptionLevel]],Table19[StockOptionLevel],Table19[Id_StockOptionLevel])</f>
        <v>SOL001</v>
      </c>
      <c r="AT610">
        <v>0</v>
      </c>
      <c r="AU610" t="str">
        <f>_xlfn.XLOOKUP(Table1[[#This Row],[StockOptionLevel]],Table19[StockOptionLevel],Table19[Deskripsi])</f>
        <v>Non-Eligible</v>
      </c>
      <c r="AV610">
        <v>12</v>
      </c>
      <c r="AW610">
        <v>3</v>
      </c>
      <c r="AX610" t="str">
        <f>_xlfn.XLOOKUP(Table1[[#This Row],[WorkLifeBalance]],Table20[WorkLifeBalance],Table20[Id_WorkLifeBalance])</f>
        <v>WLB003</v>
      </c>
      <c r="AY610">
        <v>2</v>
      </c>
      <c r="AZ610" t="str">
        <f>_xlfn.XLOOKUP(Table1[[#This Row],[WorkLifeBalance]],Table20[WorkLifeBalance],Table20[Deskripsi])</f>
        <v>Better</v>
      </c>
      <c r="BA610">
        <v>9</v>
      </c>
      <c r="BB610">
        <v>7</v>
      </c>
      <c r="BC610">
        <v>7</v>
      </c>
      <c r="BD610">
        <v>3</v>
      </c>
    </row>
    <row r="611" spans="1:56" x14ac:dyDescent="0.25">
      <c r="A611">
        <v>43</v>
      </c>
      <c r="B611" t="str">
        <f>_xlfn.XLOOKUP(Table1[[#This Row],[Attrition]],Table2[Attrition],Table2[Id_Attrition])</f>
        <v>A002</v>
      </c>
      <c r="C611" t="s">
        <v>33</v>
      </c>
      <c r="D611" t="str">
        <f>_xlfn.XLOOKUP(Table1[[#This Row],[BusinessTravel]],Table5[BusinessTravel],Table5[Id_BusinessTravel])</f>
        <v>BS001</v>
      </c>
      <c r="E611" t="s">
        <v>34</v>
      </c>
      <c r="F611">
        <v>589</v>
      </c>
      <c r="G611" t="str">
        <f>_xlfn.XLOOKUP(Table1[[#This Row],[Department]],Table6[Department],Table6[Id_Departement])</f>
        <v>D002</v>
      </c>
      <c r="H611" t="s">
        <v>38</v>
      </c>
      <c r="I611">
        <v>14</v>
      </c>
      <c r="J611" t="str">
        <f>_xlfn.XLOOKUP(Table1[[#This Row],[Education]],Table8[Education],Table8[Id_Education])</f>
        <v>E002</v>
      </c>
      <c r="K611">
        <v>2</v>
      </c>
      <c r="L611" t="str">
        <f>_xlfn.XLOOKUP(Table1[[#This Row],[EducationField]],Table7[EducationField],Table7[Id_EducationField])</f>
        <v>EF001</v>
      </c>
      <c r="M611" t="s">
        <v>40</v>
      </c>
      <c r="N611" t="str">
        <f>_xlfn.XLOOKUP(Table1[[#This Row],[EmployeeNumber]],Table4[EmployeeNumber],Table4[Id_Employee])</f>
        <v>EMP00610</v>
      </c>
      <c r="O611">
        <v>843</v>
      </c>
      <c r="P611" t="str">
        <f>_xlfn.XLOOKUP(Table1[[#This Row],[EnvironmentSatisfaction]],Table9[EnvironmentSatisfaction],Table9[Id_EnviromentSatisfaction])</f>
        <v>ES002</v>
      </c>
      <c r="Q611">
        <v>2</v>
      </c>
      <c r="R611" t="str">
        <f>_xlfn.XLOOKUP(Table1[[#This Row],[EnvironmentSatisfaction]],Table9[EnvironmentSatisfaction],Table9[Deskripsi])</f>
        <v>Medium</v>
      </c>
      <c r="S611" t="str">
        <f>_xlfn.XLOOKUP(Table1[[#This Row],[Gender]],Table10[Gender],Table10[Id_Gender])</f>
        <v>G002</v>
      </c>
      <c r="T611" t="s">
        <v>46</v>
      </c>
      <c r="U611">
        <v>94</v>
      </c>
      <c r="V611" t="str">
        <f>_xlfn.XLOOKUP(Table1[[#This Row],[JobInvolvement]],Table11[JobInvolvement],Table11[Id_JobInvolvement])</f>
        <v>JI003</v>
      </c>
      <c r="W611">
        <v>3</v>
      </c>
      <c r="X611" t="str">
        <f>_xlfn.XLOOKUP(Table1[[#This Row],[JobLevel]],Table12[JobLevel],Table12[Id_JobLevel])</f>
        <v>JL004</v>
      </c>
      <c r="Y611">
        <v>4</v>
      </c>
      <c r="Z611" t="str">
        <f>_xlfn.XLOOKUP(Table1[[#This Row],[JobRole]],Table13[JobRole],Table13[Id_JobRole])</f>
        <v>JR008</v>
      </c>
      <c r="AA611" t="s">
        <v>54</v>
      </c>
      <c r="AB611" t="str">
        <f>_xlfn.XLOOKUP(Table1[[#This Row],[JobSatisfaction]],Table14[JobSatisfaction],Table14[Id_JobSatisfaction])</f>
        <v>JS001</v>
      </c>
      <c r="AC611">
        <v>1</v>
      </c>
      <c r="AD611" t="str">
        <f>_xlfn.XLOOKUP(Table1[[#This Row],[JobSatisfaction]],Table14[JobSatisfaction],Table14[Deskripsi])</f>
        <v>Low</v>
      </c>
      <c r="AE611" t="str">
        <f>_xlfn.XLOOKUP(Table1[[#This Row],[MaritalStatus]],Table15[MaritalStatus],Table15[Id_MaritalStatus])</f>
        <v>MS002</v>
      </c>
      <c r="AF611" t="s">
        <v>56</v>
      </c>
      <c r="AG611">
        <v>17159</v>
      </c>
      <c r="AH611">
        <v>5200</v>
      </c>
      <c r="AI611">
        <v>6</v>
      </c>
      <c r="AJ611" t="str">
        <f>_xlfn.XLOOKUP(Table1[[#This Row],[OverTime]],Table16[OverTime],Table16[Id_OverTime])</f>
        <v>OT002</v>
      </c>
      <c r="AK611" t="s">
        <v>33</v>
      </c>
      <c r="AL611">
        <v>24</v>
      </c>
      <c r="AM611" t="str">
        <f>_xlfn.XLOOKUP(Table1[[#This Row],[PerformanceRating]],Table17[PerformanceRating],Table17[Id_PerformanceRating])</f>
        <v>PR004</v>
      </c>
      <c r="AN611">
        <v>4</v>
      </c>
      <c r="AO611" t="str">
        <f>_xlfn.XLOOKUP(Table1[[#This Row],[PerformanceRating]],Table17[PerformanceRating],Table17[Deskripsi])</f>
        <v>Outstanding</v>
      </c>
      <c r="AP611" t="str">
        <f>_xlfn.XLOOKUP(Table1[[#This Row],[RelationshipSatisfaction]],Table18[RelationshipSatisfaction],Table18[Id_RelationshipSatisfaction])</f>
        <v>RS003</v>
      </c>
      <c r="AQ611">
        <v>3</v>
      </c>
      <c r="AR611" t="str">
        <f>_xlfn.XLOOKUP(Table1[[#This Row],[RelationshipSatisfaction]],Table18[RelationshipSatisfaction],Table18[Deskripsi])</f>
        <v>High</v>
      </c>
      <c r="AS611" t="str">
        <f>_xlfn.XLOOKUP(Table1[[#This Row],[StockOptionLevel]],Table19[StockOptionLevel],Table19[Id_StockOptionLevel])</f>
        <v>SOL002</v>
      </c>
      <c r="AT611">
        <v>1</v>
      </c>
      <c r="AU611" t="str">
        <f>_xlfn.XLOOKUP(Table1[[#This Row],[StockOptionLevel]],Table19[StockOptionLevel],Table19[Deskripsi])</f>
        <v>Standard</v>
      </c>
      <c r="AV611">
        <v>22</v>
      </c>
      <c r="AW611">
        <v>3</v>
      </c>
      <c r="AX611" t="str">
        <f>_xlfn.XLOOKUP(Table1[[#This Row],[WorkLifeBalance]],Table20[WorkLifeBalance],Table20[Id_WorkLifeBalance])</f>
        <v>WLB002</v>
      </c>
      <c r="AY611">
        <v>3</v>
      </c>
      <c r="AZ611" t="str">
        <f>_xlfn.XLOOKUP(Table1[[#This Row],[WorkLifeBalance]],Table20[WorkLifeBalance],Table20[Deskripsi])</f>
        <v>Good</v>
      </c>
      <c r="BA611">
        <v>4</v>
      </c>
      <c r="BB611">
        <v>1</v>
      </c>
      <c r="BC611">
        <v>1</v>
      </c>
      <c r="BD611">
        <v>0</v>
      </c>
    </row>
    <row r="612" spans="1:56" x14ac:dyDescent="0.25">
      <c r="A612">
        <v>27</v>
      </c>
      <c r="B612" t="str">
        <f>_xlfn.XLOOKUP(Table1[[#This Row],[Attrition]],Table2[Attrition],Table2[Id_Attrition])</f>
        <v>A002</v>
      </c>
      <c r="C612" t="s">
        <v>33</v>
      </c>
      <c r="D612" t="str">
        <f>_xlfn.XLOOKUP(Table1[[#This Row],[BusinessTravel]],Table5[BusinessTravel],Table5[Id_BusinessTravel])</f>
        <v>BS001</v>
      </c>
      <c r="E612" t="s">
        <v>34</v>
      </c>
      <c r="F612">
        <v>269</v>
      </c>
      <c r="G612" t="str">
        <f>_xlfn.XLOOKUP(Table1[[#This Row],[Department]],Table6[Department],Table6[Id_Departement])</f>
        <v>D002</v>
      </c>
      <c r="H612" t="s">
        <v>38</v>
      </c>
      <c r="I612">
        <v>5</v>
      </c>
      <c r="J612" t="str">
        <f>_xlfn.XLOOKUP(Table1[[#This Row],[Education]],Table8[Education],Table8[Id_Education])</f>
        <v>E001</v>
      </c>
      <c r="K612">
        <v>1</v>
      </c>
      <c r="L612" t="str">
        <f>_xlfn.XLOOKUP(Table1[[#This Row],[EducationField]],Table7[EducationField],Table7[Id_EducationField])</f>
        <v>EF005</v>
      </c>
      <c r="M612" t="s">
        <v>44</v>
      </c>
      <c r="N612" t="str">
        <f>_xlfn.XLOOKUP(Table1[[#This Row],[EmployeeNumber]],Table4[EmployeeNumber],Table4[Id_Employee])</f>
        <v>EMP00611</v>
      </c>
      <c r="O612">
        <v>844</v>
      </c>
      <c r="P612" t="str">
        <f>_xlfn.XLOOKUP(Table1[[#This Row],[EnvironmentSatisfaction]],Table9[EnvironmentSatisfaction],Table9[Id_EnviromentSatisfaction])</f>
        <v>ES003</v>
      </c>
      <c r="Q612">
        <v>3</v>
      </c>
      <c r="R612" t="str">
        <f>_xlfn.XLOOKUP(Table1[[#This Row],[EnvironmentSatisfaction]],Table9[EnvironmentSatisfaction],Table9[Deskripsi])</f>
        <v>High</v>
      </c>
      <c r="S612" t="str">
        <f>_xlfn.XLOOKUP(Table1[[#This Row],[Gender]],Table10[Gender],Table10[Id_Gender])</f>
        <v>G002</v>
      </c>
      <c r="T612" t="s">
        <v>46</v>
      </c>
      <c r="U612">
        <v>42</v>
      </c>
      <c r="V612" t="str">
        <f>_xlfn.XLOOKUP(Table1[[#This Row],[JobInvolvement]],Table11[JobInvolvement],Table11[Id_JobInvolvement])</f>
        <v>JI002</v>
      </c>
      <c r="W612">
        <v>2</v>
      </c>
      <c r="X612" t="str">
        <f>_xlfn.XLOOKUP(Table1[[#This Row],[JobLevel]],Table12[JobLevel],Table12[Id_JobLevel])</f>
        <v>JL003</v>
      </c>
      <c r="Y612">
        <v>3</v>
      </c>
      <c r="Z612" t="str">
        <f>_xlfn.XLOOKUP(Table1[[#This Row],[JobRole]],Table13[JobRole],Table13[Id_JobRole])</f>
        <v>JR008</v>
      </c>
      <c r="AA612" t="s">
        <v>54</v>
      </c>
      <c r="AB612" t="str">
        <f>_xlfn.XLOOKUP(Table1[[#This Row],[JobSatisfaction]],Table14[JobSatisfaction],Table14[Id_JobSatisfaction])</f>
        <v>JS004</v>
      </c>
      <c r="AC612">
        <v>4</v>
      </c>
      <c r="AD612" t="str">
        <f>_xlfn.XLOOKUP(Table1[[#This Row],[JobSatisfaction]],Table14[JobSatisfaction],Table14[Deskripsi])</f>
        <v>Very High</v>
      </c>
      <c r="AE612" t="str">
        <f>_xlfn.XLOOKUP(Table1[[#This Row],[MaritalStatus]],Table15[MaritalStatus],Table15[Id_MaritalStatus])</f>
        <v>MS003</v>
      </c>
      <c r="AF612" t="s">
        <v>57</v>
      </c>
      <c r="AG612">
        <v>12808</v>
      </c>
      <c r="AH612">
        <v>8842</v>
      </c>
      <c r="AI612">
        <v>1</v>
      </c>
      <c r="AJ612" t="str">
        <f>_xlfn.XLOOKUP(Table1[[#This Row],[OverTime]],Table16[OverTime],Table16[Id_OverTime])</f>
        <v>OT001</v>
      </c>
      <c r="AK612" t="s">
        <v>32</v>
      </c>
      <c r="AL612">
        <v>16</v>
      </c>
      <c r="AM612" t="str">
        <f>_xlfn.XLOOKUP(Table1[[#This Row],[PerformanceRating]],Table17[PerformanceRating],Table17[Id_PerformanceRating])</f>
        <v>PR003</v>
      </c>
      <c r="AN612">
        <v>3</v>
      </c>
      <c r="AO612" t="str">
        <f>_xlfn.XLOOKUP(Table1[[#This Row],[PerformanceRating]],Table17[PerformanceRating],Table17[Deskripsi])</f>
        <v>Excellent</v>
      </c>
      <c r="AP612" t="str">
        <f>_xlfn.XLOOKUP(Table1[[#This Row],[RelationshipSatisfaction]],Table18[RelationshipSatisfaction],Table18[Id_RelationshipSatisfaction])</f>
        <v>RS002</v>
      </c>
      <c r="AQ612">
        <v>2</v>
      </c>
      <c r="AR612" t="str">
        <f>_xlfn.XLOOKUP(Table1[[#This Row],[RelationshipSatisfaction]],Table18[RelationshipSatisfaction],Table18[Deskripsi])</f>
        <v>Medium</v>
      </c>
      <c r="AS612" t="str">
        <f>_xlfn.XLOOKUP(Table1[[#This Row],[StockOptionLevel]],Table19[StockOptionLevel],Table19[Id_StockOptionLevel])</f>
        <v>SOL002</v>
      </c>
      <c r="AT612">
        <v>1</v>
      </c>
      <c r="AU612" t="str">
        <f>_xlfn.XLOOKUP(Table1[[#This Row],[StockOptionLevel]],Table19[StockOptionLevel],Table19[Deskripsi])</f>
        <v>Standard</v>
      </c>
      <c r="AV612">
        <v>9</v>
      </c>
      <c r="AW612">
        <v>3</v>
      </c>
      <c r="AX612" t="str">
        <f>_xlfn.XLOOKUP(Table1[[#This Row],[WorkLifeBalance]],Table20[WorkLifeBalance],Table20[Id_WorkLifeBalance])</f>
        <v>WLB002</v>
      </c>
      <c r="AY612">
        <v>3</v>
      </c>
      <c r="AZ612" t="str">
        <f>_xlfn.XLOOKUP(Table1[[#This Row],[WorkLifeBalance]],Table20[WorkLifeBalance],Table20[Deskripsi])</f>
        <v>Good</v>
      </c>
      <c r="BA612">
        <v>9</v>
      </c>
      <c r="BB612">
        <v>8</v>
      </c>
      <c r="BC612">
        <v>0</v>
      </c>
      <c r="BD612">
        <v>8</v>
      </c>
    </row>
    <row r="613" spans="1:56" x14ac:dyDescent="0.25">
      <c r="A613">
        <v>35</v>
      </c>
      <c r="B613" t="str">
        <f>_xlfn.XLOOKUP(Table1[[#This Row],[Attrition]],Table2[Attrition],Table2[Id_Attrition])</f>
        <v>A002</v>
      </c>
      <c r="C613" t="s">
        <v>33</v>
      </c>
      <c r="D613" t="str">
        <f>_xlfn.XLOOKUP(Table1[[#This Row],[BusinessTravel]],Table5[BusinessTravel],Table5[Id_BusinessTravel])</f>
        <v>BS001</v>
      </c>
      <c r="E613" t="s">
        <v>34</v>
      </c>
      <c r="F613">
        <v>950</v>
      </c>
      <c r="G613" t="str">
        <f>_xlfn.XLOOKUP(Table1[[#This Row],[Department]],Table6[Department],Table6[Id_Departement])</f>
        <v>D002</v>
      </c>
      <c r="H613" t="s">
        <v>38</v>
      </c>
      <c r="I613">
        <v>7</v>
      </c>
      <c r="J613" t="str">
        <f>_xlfn.XLOOKUP(Table1[[#This Row],[Education]],Table8[Education],Table8[Id_Education])</f>
        <v>E003</v>
      </c>
      <c r="K613">
        <v>3</v>
      </c>
      <c r="L613" t="str">
        <f>_xlfn.XLOOKUP(Table1[[#This Row],[EducationField]],Table7[EducationField],Table7[Id_EducationField])</f>
        <v>EF002</v>
      </c>
      <c r="M613" t="s">
        <v>41</v>
      </c>
      <c r="N613" t="str">
        <f>_xlfn.XLOOKUP(Table1[[#This Row],[EmployeeNumber]],Table4[EmployeeNumber],Table4[Id_Employee])</f>
        <v>EMP00612</v>
      </c>
      <c r="O613">
        <v>845</v>
      </c>
      <c r="P613" t="str">
        <f>_xlfn.XLOOKUP(Table1[[#This Row],[EnvironmentSatisfaction]],Table9[EnvironmentSatisfaction],Table9[Id_EnviromentSatisfaction])</f>
        <v>ES003</v>
      </c>
      <c r="Q613">
        <v>3</v>
      </c>
      <c r="R613" t="str">
        <f>_xlfn.XLOOKUP(Table1[[#This Row],[EnvironmentSatisfaction]],Table9[EnvironmentSatisfaction],Table9[Deskripsi])</f>
        <v>High</v>
      </c>
      <c r="S613" t="str">
        <f>_xlfn.XLOOKUP(Table1[[#This Row],[Gender]],Table10[Gender],Table10[Id_Gender])</f>
        <v>G002</v>
      </c>
      <c r="T613" t="s">
        <v>46</v>
      </c>
      <c r="U613">
        <v>59</v>
      </c>
      <c r="V613" t="str">
        <f>_xlfn.XLOOKUP(Table1[[#This Row],[JobInvolvement]],Table11[JobInvolvement],Table11[Id_JobInvolvement])</f>
        <v>JI003</v>
      </c>
      <c r="W613">
        <v>3</v>
      </c>
      <c r="X613" t="str">
        <f>_xlfn.XLOOKUP(Table1[[#This Row],[JobLevel]],Table12[JobLevel],Table12[Id_JobLevel])</f>
        <v>JL003</v>
      </c>
      <c r="Y613">
        <v>3</v>
      </c>
      <c r="Z613" t="str">
        <f>_xlfn.XLOOKUP(Table1[[#This Row],[JobRole]],Table13[JobRole],Table13[Id_JobRole])</f>
        <v>JR004</v>
      </c>
      <c r="AA613" t="s">
        <v>50</v>
      </c>
      <c r="AB613" t="str">
        <f>_xlfn.XLOOKUP(Table1[[#This Row],[JobSatisfaction]],Table14[JobSatisfaction],Table14[Id_JobSatisfaction])</f>
        <v>JS003</v>
      </c>
      <c r="AC613">
        <v>3</v>
      </c>
      <c r="AD613" t="str">
        <f>_xlfn.XLOOKUP(Table1[[#This Row],[JobSatisfaction]],Table14[JobSatisfaction],Table14[Deskripsi])</f>
        <v>High</v>
      </c>
      <c r="AE613" t="str">
        <f>_xlfn.XLOOKUP(Table1[[#This Row],[MaritalStatus]],Table15[MaritalStatus],Table15[Id_MaritalStatus])</f>
        <v>MS001</v>
      </c>
      <c r="AF613" t="s">
        <v>55</v>
      </c>
      <c r="AG613">
        <v>10221</v>
      </c>
      <c r="AH613">
        <v>18869</v>
      </c>
      <c r="AI613">
        <v>3</v>
      </c>
      <c r="AJ613" t="str">
        <f>_xlfn.XLOOKUP(Table1[[#This Row],[OverTime]],Table16[OverTime],Table16[Id_OverTime])</f>
        <v>OT002</v>
      </c>
      <c r="AK613" t="s">
        <v>33</v>
      </c>
      <c r="AL613">
        <v>21</v>
      </c>
      <c r="AM613" t="str">
        <f>_xlfn.XLOOKUP(Table1[[#This Row],[PerformanceRating]],Table17[PerformanceRating],Table17[Id_PerformanceRating])</f>
        <v>PR004</v>
      </c>
      <c r="AN613">
        <v>4</v>
      </c>
      <c r="AO613" t="str">
        <f>_xlfn.XLOOKUP(Table1[[#This Row],[PerformanceRating]],Table17[PerformanceRating],Table17[Deskripsi])</f>
        <v>Outstanding</v>
      </c>
      <c r="AP613" t="str">
        <f>_xlfn.XLOOKUP(Table1[[#This Row],[RelationshipSatisfaction]],Table18[RelationshipSatisfaction],Table18[Id_RelationshipSatisfaction])</f>
        <v>RS002</v>
      </c>
      <c r="AQ613">
        <v>2</v>
      </c>
      <c r="AR613" t="str">
        <f>_xlfn.XLOOKUP(Table1[[#This Row],[RelationshipSatisfaction]],Table18[RelationshipSatisfaction],Table18[Deskripsi])</f>
        <v>Medium</v>
      </c>
      <c r="AS613" t="str">
        <f>_xlfn.XLOOKUP(Table1[[#This Row],[StockOptionLevel]],Table19[StockOptionLevel],Table19[Id_StockOptionLevel])</f>
        <v>SOL001</v>
      </c>
      <c r="AT613">
        <v>0</v>
      </c>
      <c r="AU613" t="str">
        <f>_xlfn.XLOOKUP(Table1[[#This Row],[StockOptionLevel]],Table19[StockOptionLevel],Table19[Deskripsi])</f>
        <v>Non-Eligible</v>
      </c>
      <c r="AV613">
        <v>17</v>
      </c>
      <c r="AW613">
        <v>3</v>
      </c>
      <c r="AX613" t="str">
        <f>_xlfn.XLOOKUP(Table1[[#This Row],[WorkLifeBalance]],Table20[WorkLifeBalance],Table20[Id_WorkLifeBalance])</f>
        <v>WLB004</v>
      </c>
      <c r="AY613">
        <v>4</v>
      </c>
      <c r="AZ613" t="str">
        <f>_xlfn.XLOOKUP(Table1[[#This Row],[WorkLifeBalance]],Table20[WorkLifeBalance],Table20[Deskripsi])</f>
        <v>Best</v>
      </c>
      <c r="BA613">
        <v>8</v>
      </c>
      <c r="BB613">
        <v>5</v>
      </c>
      <c r="BC613">
        <v>1</v>
      </c>
      <c r="BD613">
        <v>6</v>
      </c>
    </row>
    <row r="614" spans="1:56" x14ac:dyDescent="0.25">
      <c r="A614">
        <v>28</v>
      </c>
      <c r="B614" t="str">
        <f>_xlfn.XLOOKUP(Table1[[#This Row],[Attrition]],Table2[Attrition],Table2[Id_Attrition])</f>
        <v>A002</v>
      </c>
      <c r="C614" t="s">
        <v>33</v>
      </c>
      <c r="D614" t="str">
        <f>_xlfn.XLOOKUP(Table1[[#This Row],[BusinessTravel]],Table5[BusinessTravel],Table5[Id_BusinessTravel])</f>
        <v>BS001</v>
      </c>
      <c r="E614" t="s">
        <v>34</v>
      </c>
      <c r="F614">
        <v>760</v>
      </c>
      <c r="G614" t="str">
        <f>_xlfn.XLOOKUP(Table1[[#This Row],[Department]],Table6[Department],Table6[Id_Departement])</f>
        <v>D001</v>
      </c>
      <c r="H614" t="s">
        <v>37</v>
      </c>
      <c r="I614">
        <v>2</v>
      </c>
      <c r="J614" t="str">
        <f>_xlfn.XLOOKUP(Table1[[#This Row],[Education]],Table8[Education],Table8[Id_Education])</f>
        <v>E004</v>
      </c>
      <c r="K614">
        <v>4</v>
      </c>
      <c r="L614" t="str">
        <f>_xlfn.XLOOKUP(Table1[[#This Row],[EducationField]],Table7[EducationField],Table7[Id_EducationField])</f>
        <v>EF004</v>
      </c>
      <c r="M614" t="s">
        <v>43</v>
      </c>
      <c r="N614" t="str">
        <f>_xlfn.XLOOKUP(Table1[[#This Row],[EmployeeNumber]],Table4[EmployeeNumber],Table4[Id_Employee])</f>
        <v>EMP00613</v>
      </c>
      <c r="O614">
        <v>846</v>
      </c>
      <c r="P614" t="str">
        <f>_xlfn.XLOOKUP(Table1[[#This Row],[EnvironmentSatisfaction]],Table9[EnvironmentSatisfaction],Table9[Id_EnviromentSatisfaction])</f>
        <v>ES002</v>
      </c>
      <c r="Q614">
        <v>2</v>
      </c>
      <c r="R614" t="str">
        <f>_xlfn.XLOOKUP(Table1[[#This Row],[EnvironmentSatisfaction]],Table9[EnvironmentSatisfaction],Table9[Deskripsi])</f>
        <v>Medium</v>
      </c>
      <c r="S614" t="str">
        <f>_xlfn.XLOOKUP(Table1[[#This Row],[Gender]],Table10[Gender],Table10[Id_Gender])</f>
        <v>G001</v>
      </c>
      <c r="T614" t="s">
        <v>45</v>
      </c>
      <c r="U614">
        <v>81</v>
      </c>
      <c r="V614" t="str">
        <f>_xlfn.XLOOKUP(Table1[[#This Row],[JobInvolvement]],Table11[JobInvolvement],Table11[Id_JobInvolvement])</f>
        <v>JI003</v>
      </c>
      <c r="W614">
        <v>3</v>
      </c>
      <c r="X614" t="str">
        <f>_xlfn.XLOOKUP(Table1[[#This Row],[JobLevel]],Table12[JobLevel],Table12[Id_JobLevel])</f>
        <v>JL002</v>
      </c>
      <c r="Y614">
        <v>2</v>
      </c>
      <c r="Z614" t="str">
        <f>_xlfn.XLOOKUP(Table1[[#This Row],[JobRole]],Table13[JobRole],Table13[Id_JobRole])</f>
        <v>JR001</v>
      </c>
      <c r="AA614" t="s">
        <v>47</v>
      </c>
      <c r="AB614" t="str">
        <f>_xlfn.XLOOKUP(Table1[[#This Row],[JobSatisfaction]],Table14[JobSatisfaction],Table14[Id_JobSatisfaction])</f>
        <v>JS002</v>
      </c>
      <c r="AC614">
        <v>2</v>
      </c>
      <c r="AD614" t="str">
        <f>_xlfn.XLOOKUP(Table1[[#This Row],[JobSatisfaction]],Table14[JobSatisfaction],Table14[Deskripsi])</f>
        <v>Medium</v>
      </c>
      <c r="AE614" t="str">
        <f>_xlfn.XLOOKUP(Table1[[#This Row],[MaritalStatus]],Table15[MaritalStatus],Table15[Id_MaritalStatus])</f>
        <v>MS002</v>
      </c>
      <c r="AF614" t="s">
        <v>56</v>
      </c>
      <c r="AG614">
        <v>4779</v>
      </c>
      <c r="AH614">
        <v>3698</v>
      </c>
      <c r="AI614">
        <v>1</v>
      </c>
      <c r="AJ614" t="str">
        <f>_xlfn.XLOOKUP(Table1[[#This Row],[OverTime]],Table16[OverTime],Table16[Id_OverTime])</f>
        <v>OT001</v>
      </c>
      <c r="AK614" t="s">
        <v>32</v>
      </c>
      <c r="AL614">
        <v>20</v>
      </c>
      <c r="AM614" t="str">
        <f>_xlfn.XLOOKUP(Table1[[#This Row],[PerformanceRating]],Table17[PerformanceRating],Table17[Id_PerformanceRating])</f>
        <v>PR004</v>
      </c>
      <c r="AN614">
        <v>4</v>
      </c>
      <c r="AO614" t="str">
        <f>_xlfn.XLOOKUP(Table1[[#This Row],[PerformanceRating]],Table17[PerformanceRating],Table17[Deskripsi])</f>
        <v>Outstanding</v>
      </c>
      <c r="AP614" t="str">
        <f>_xlfn.XLOOKUP(Table1[[#This Row],[RelationshipSatisfaction]],Table18[RelationshipSatisfaction],Table18[Id_RelationshipSatisfaction])</f>
        <v>RS001</v>
      </c>
      <c r="AQ614">
        <v>1</v>
      </c>
      <c r="AR614" t="str">
        <f>_xlfn.XLOOKUP(Table1[[#This Row],[RelationshipSatisfaction]],Table18[RelationshipSatisfaction],Table18[Deskripsi])</f>
        <v>Low</v>
      </c>
      <c r="AS614" t="str">
        <f>_xlfn.XLOOKUP(Table1[[#This Row],[StockOptionLevel]],Table19[StockOptionLevel],Table19[Id_StockOptionLevel])</f>
        <v>SOL001</v>
      </c>
      <c r="AT614">
        <v>0</v>
      </c>
      <c r="AU614" t="str">
        <f>_xlfn.XLOOKUP(Table1[[#This Row],[StockOptionLevel]],Table19[StockOptionLevel],Table19[Deskripsi])</f>
        <v>Non-Eligible</v>
      </c>
      <c r="AV614">
        <v>8</v>
      </c>
      <c r="AW614">
        <v>2</v>
      </c>
      <c r="AX614" t="str">
        <f>_xlfn.XLOOKUP(Table1[[#This Row],[WorkLifeBalance]],Table20[WorkLifeBalance],Table20[Id_WorkLifeBalance])</f>
        <v>WLB002</v>
      </c>
      <c r="AY614">
        <v>3</v>
      </c>
      <c r="AZ614" t="str">
        <f>_xlfn.XLOOKUP(Table1[[#This Row],[WorkLifeBalance]],Table20[WorkLifeBalance],Table20[Deskripsi])</f>
        <v>Good</v>
      </c>
      <c r="BA614">
        <v>8</v>
      </c>
      <c r="BB614">
        <v>7</v>
      </c>
      <c r="BC614">
        <v>7</v>
      </c>
      <c r="BD614">
        <v>5</v>
      </c>
    </row>
    <row r="615" spans="1:56" x14ac:dyDescent="0.25">
      <c r="A615">
        <v>34</v>
      </c>
      <c r="B615" t="str">
        <f>_xlfn.XLOOKUP(Table1[[#This Row],[Attrition]],Table2[Attrition],Table2[Id_Attrition])</f>
        <v>A002</v>
      </c>
      <c r="C615" t="s">
        <v>33</v>
      </c>
      <c r="D615" t="str">
        <f>_xlfn.XLOOKUP(Table1[[#This Row],[BusinessTravel]],Table5[BusinessTravel],Table5[Id_BusinessTravel])</f>
        <v>BS001</v>
      </c>
      <c r="E615" t="s">
        <v>34</v>
      </c>
      <c r="F615">
        <v>829</v>
      </c>
      <c r="G615" t="str">
        <f>_xlfn.XLOOKUP(Table1[[#This Row],[Department]],Table6[Department],Table6[Id_Departement])</f>
        <v>D003</v>
      </c>
      <c r="H615" t="s">
        <v>39</v>
      </c>
      <c r="I615">
        <v>3</v>
      </c>
      <c r="J615" t="str">
        <f>_xlfn.XLOOKUP(Table1[[#This Row],[Education]],Table8[Education],Table8[Id_Education])</f>
        <v>E002</v>
      </c>
      <c r="K615">
        <v>2</v>
      </c>
      <c r="L615" t="str">
        <f>_xlfn.XLOOKUP(Table1[[#This Row],[EducationField]],Table7[EducationField],Table7[Id_EducationField])</f>
        <v>EF006</v>
      </c>
      <c r="M615" t="s">
        <v>39</v>
      </c>
      <c r="N615" t="str">
        <f>_xlfn.XLOOKUP(Table1[[#This Row],[EmployeeNumber]],Table4[EmployeeNumber],Table4[Id_Employee])</f>
        <v>EMP00614</v>
      </c>
      <c r="O615">
        <v>847</v>
      </c>
      <c r="P615" t="str">
        <f>_xlfn.XLOOKUP(Table1[[#This Row],[EnvironmentSatisfaction]],Table9[EnvironmentSatisfaction],Table9[Id_EnviromentSatisfaction])</f>
        <v>ES003</v>
      </c>
      <c r="Q615">
        <v>3</v>
      </c>
      <c r="R615" t="str">
        <f>_xlfn.XLOOKUP(Table1[[#This Row],[EnvironmentSatisfaction]],Table9[EnvironmentSatisfaction],Table9[Deskripsi])</f>
        <v>High</v>
      </c>
      <c r="S615" t="str">
        <f>_xlfn.XLOOKUP(Table1[[#This Row],[Gender]],Table10[Gender],Table10[Id_Gender])</f>
        <v>G002</v>
      </c>
      <c r="T615" t="s">
        <v>46</v>
      </c>
      <c r="U615">
        <v>88</v>
      </c>
      <c r="V615" t="str">
        <f>_xlfn.XLOOKUP(Table1[[#This Row],[JobInvolvement]],Table11[JobInvolvement],Table11[Id_JobInvolvement])</f>
        <v>JI003</v>
      </c>
      <c r="W615">
        <v>3</v>
      </c>
      <c r="X615" t="str">
        <f>_xlfn.XLOOKUP(Table1[[#This Row],[JobLevel]],Table12[JobLevel],Table12[Id_JobLevel])</f>
        <v>JL001</v>
      </c>
      <c r="Y615">
        <v>1</v>
      </c>
      <c r="Z615" t="str">
        <f>_xlfn.XLOOKUP(Table1[[#This Row],[JobRole]],Table13[JobRole],Table13[Id_JobRole])</f>
        <v>JR009</v>
      </c>
      <c r="AA615" t="s">
        <v>39</v>
      </c>
      <c r="AB615" t="str">
        <f>_xlfn.XLOOKUP(Table1[[#This Row],[JobSatisfaction]],Table14[JobSatisfaction],Table14[Id_JobSatisfaction])</f>
        <v>JS004</v>
      </c>
      <c r="AC615">
        <v>4</v>
      </c>
      <c r="AD615" t="str">
        <f>_xlfn.XLOOKUP(Table1[[#This Row],[JobSatisfaction]],Table14[JobSatisfaction],Table14[Deskripsi])</f>
        <v>Very High</v>
      </c>
      <c r="AE615" t="str">
        <f>_xlfn.XLOOKUP(Table1[[#This Row],[MaritalStatus]],Table15[MaritalStatus],Table15[Id_MaritalStatus])</f>
        <v>MS002</v>
      </c>
      <c r="AF615" t="s">
        <v>56</v>
      </c>
      <c r="AG615">
        <v>3737</v>
      </c>
      <c r="AH615">
        <v>2243</v>
      </c>
      <c r="AI615">
        <v>0</v>
      </c>
      <c r="AJ615" t="str">
        <f>_xlfn.XLOOKUP(Table1[[#This Row],[OverTime]],Table16[OverTime],Table16[Id_OverTime])</f>
        <v>OT002</v>
      </c>
      <c r="AK615" t="s">
        <v>33</v>
      </c>
      <c r="AL615">
        <v>19</v>
      </c>
      <c r="AM615" t="str">
        <f>_xlfn.XLOOKUP(Table1[[#This Row],[PerformanceRating]],Table17[PerformanceRating],Table17[Id_PerformanceRating])</f>
        <v>PR003</v>
      </c>
      <c r="AN615">
        <v>3</v>
      </c>
      <c r="AO615" t="str">
        <f>_xlfn.XLOOKUP(Table1[[#This Row],[PerformanceRating]],Table17[PerformanceRating],Table17[Deskripsi])</f>
        <v>Excellent</v>
      </c>
      <c r="AP615" t="str">
        <f>_xlfn.XLOOKUP(Table1[[#This Row],[RelationshipSatisfaction]],Table18[RelationshipSatisfaction],Table18[Id_RelationshipSatisfaction])</f>
        <v>RS003</v>
      </c>
      <c r="AQ615">
        <v>3</v>
      </c>
      <c r="AR615" t="str">
        <f>_xlfn.XLOOKUP(Table1[[#This Row],[RelationshipSatisfaction]],Table18[RelationshipSatisfaction],Table18[Deskripsi])</f>
        <v>High</v>
      </c>
      <c r="AS615" t="str">
        <f>_xlfn.XLOOKUP(Table1[[#This Row],[StockOptionLevel]],Table19[StockOptionLevel],Table19[Id_StockOptionLevel])</f>
        <v>SOL002</v>
      </c>
      <c r="AT615">
        <v>1</v>
      </c>
      <c r="AU615" t="str">
        <f>_xlfn.XLOOKUP(Table1[[#This Row],[StockOptionLevel]],Table19[StockOptionLevel],Table19[Deskripsi])</f>
        <v>Standard</v>
      </c>
      <c r="AV615">
        <v>4</v>
      </c>
      <c r="AW615">
        <v>1</v>
      </c>
      <c r="AX615" t="str">
        <f>_xlfn.XLOOKUP(Table1[[#This Row],[WorkLifeBalance]],Table20[WorkLifeBalance],Table20[Id_WorkLifeBalance])</f>
        <v>WLB001</v>
      </c>
      <c r="AY615">
        <v>1</v>
      </c>
      <c r="AZ615" t="str">
        <f>_xlfn.XLOOKUP(Table1[[#This Row],[WorkLifeBalance]],Table20[WorkLifeBalance],Table20[Deskripsi])</f>
        <v>Bad</v>
      </c>
      <c r="BA615">
        <v>3</v>
      </c>
      <c r="BB615">
        <v>2</v>
      </c>
      <c r="BC615">
        <v>0</v>
      </c>
      <c r="BD615">
        <v>2</v>
      </c>
    </row>
    <row r="616" spans="1:56" x14ac:dyDescent="0.25">
      <c r="A616">
        <v>26</v>
      </c>
      <c r="B616" t="str">
        <f>_xlfn.XLOOKUP(Table1[[#This Row],[Attrition]],Table2[Attrition],Table2[Id_Attrition])</f>
        <v>A001</v>
      </c>
      <c r="C616" t="s">
        <v>32</v>
      </c>
      <c r="D616" t="str">
        <f>_xlfn.XLOOKUP(Table1[[#This Row],[BusinessTravel]],Table5[BusinessTravel],Table5[Id_BusinessTravel])</f>
        <v>BS002</v>
      </c>
      <c r="E616" t="s">
        <v>35</v>
      </c>
      <c r="F616">
        <v>887</v>
      </c>
      <c r="G616" t="str">
        <f>_xlfn.XLOOKUP(Table1[[#This Row],[Department]],Table6[Department],Table6[Id_Departement])</f>
        <v>D002</v>
      </c>
      <c r="H616" t="s">
        <v>38</v>
      </c>
      <c r="I616">
        <v>5</v>
      </c>
      <c r="J616" t="str">
        <f>_xlfn.XLOOKUP(Table1[[#This Row],[Education]],Table8[Education],Table8[Id_Education])</f>
        <v>E002</v>
      </c>
      <c r="K616">
        <v>2</v>
      </c>
      <c r="L616" t="str">
        <f>_xlfn.XLOOKUP(Table1[[#This Row],[EducationField]],Table7[EducationField],Table7[Id_EducationField])</f>
        <v>EF003</v>
      </c>
      <c r="M616" t="s">
        <v>42</v>
      </c>
      <c r="N616" t="str">
        <f>_xlfn.XLOOKUP(Table1[[#This Row],[EmployeeNumber]],Table4[EmployeeNumber],Table4[Id_Employee])</f>
        <v>EMP00615</v>
      </c>
      <c r="O616">
        <v>848</v>
      </c>
      <c r="P616" t="str">
        <f>_xlfn.XLOOKUP(Table1[[#This Row],[EnvironmentSatisfaction]],Table9[EnvironmentSatisfaction],Table9[Id_EnviromentSatisfaction])</f>
        <v>ES003</v>
      </c>
      <c r="Q616">
        <v>3</v>
      </c>
      <c r="R616" t="str">
        <f>_xlfn.XLOOKUP(Table1[[#This Row],[EnvironmentSatisfaction]],Table9[EnvironmentSatisfaction],Table9[Deskripsi])</f>
        <v>High</v>
      </c>
      <c r="S616" t="str">
        <f>_xlfn.XLOOKUP(Table1[[#This Row],[Gender]],Table10[Gender],Table10[Id_Gender])</f>
        <v>G001</v>
      </c>
      <c r="T616" t="s">
        <v>45</v>
      </c>
      <c r="U616">
        <v>88</v>
      </c>
      <c r="V616" t="str">
        <f>_xlfn.XLOOKUP(Table1[[#This Row],[JobInvolvement]],Table11[JobInvolvement],Table11[Id_JobInvolvement])</f>
        <v>JI002</v>
      </c>
      <c r="W616">
        <v>2</v>
      </c>
      <c r="X616" t="str">
        <f>_xlfn.XLOOKUP(Table1[[#This Row],[JobLevel]],Table12[JobLevel],Table12[Id_JobLevel])</f>
        <v>JL001</v>
      </c>
      <c r="Y616">
        <v>1</v>
      </c>
      <c r="Z616" t="str">
        <f>_xlfn.XLOOKUP(Table1[[#This Row],[JobRole]],Table13[JobRole],Table13[Id_JobRole])</f>
        <v>JR002</v>
      </c>
      <c r="AA616" t="s">
        <v>48</v>
      </c>
      <c r="AB616" t="str">
        <f>_xlfn.XLOOKUP(Table1[[#This Row],[JobSatisfaction]],Table14[JobSatisfaction],Table14[Id_JobSatisfaction])</f>
        <v>JS003</v>
      </c>
      <c r="AC616">
        <v>3</v>
      </c>
      <c r="AD616" t="str">
        <f>_xlfn.XLOOKUP(Table1[[#This Row],[JobSatisfaction]],Table14[JobSatisfaction],Table14[Deskripsi])</f>
        <v>High</v>
      </c>
      <c r="AE616" t="str">
        <f>_xlfn.XLOOKUP(Table1[[#This Row],[MaritalStatus]],Table15[MaritalStatus],Table15[Id_MaritalStatus])</f>
        <v>MS002</v>
      </c>
      <c r="AF616" t="s">
        <v>56</v>
      </c>
      <c r="AG616">
        <v>2366</v>
      </c>
      <c r="AH616">
        <v>20898</v>
      </c>
      <c r="AI616">
        <v>1</v>
      </c>
      <c r="AJ616" t="str">
        <f>_xlfn.XLOOKUP(Table1[[#This Row],[OverTime]],Table16[OverTime],Table16[Id_OverTime])</f>
        <v>OT001</v>
      </c>
      <c r="AK616" t="s">
        <v>32</v>
      </c>
      <c r="AL616">
        <v>14</v>
      </c>
      <c r="AM616" t="str">
        <f>_xlfn.XLOOKUP(Table1[[#This Row],[PerformanceRating]],Table17[PerformanceRating],Table17[Id_PerformanceRating])</f>
        <v>PR003</v>
      </c>
      <c r="AN616">
        <v>3</v>
      </c>
      <c r="AO616" t="str">
        <f>_xlfn.XLOOKUP(Table1[[#This Row],[PerformanceRating]],Table17[PerformanceRating],Table17[Deskripsi])</f>
        <v>Excellent</v>
      </c>
      <c r="AP616" t="str">
        <f>_xlfn.XLOOKUP(Table1[[#This Row],[RelationshipSatisfaction]],Table18[RelationshipSatisfaction],Table18[Id_RelationshipSatisfaction])</f>
        <v>RS001</v>
      </c>
      <c r="AQ616">
        <v>1</v>
      </c>
      <c r="AR616" t="str">
        <f>_xlfn.XLOOKUP(Table1[[#This Row],[RelationshipSatisfaction]],Table18[RelationshipSatisfaction],Table18[Deskripsi])</f>
        <v>Low</v>
      </c>
      <c r="AS616" t="str">
        <f>_xlfn.XLOOKUP(Table1[[#This Row],[StockOptionLevel]],Table19[StockOptionLevel],Table19[Id_StockOptionLevel])</f>
        <v>SOL002</v>
      </c>
      <c r="AT616">
        <v>1</v>
      </c>
      <c r="AU616" t="str">
        <f>_xlfn.XLOOKUP(Table1[[#This Row],[StockOptionLevel]],Table19[StockOptionLevel],Table19[Deskripsi])</f>
        <v>Standard</v>
      </c>
      <c r="AV616">
        <v>8</v>
      </c>
      <c r="AW616">
        <v>2</v>
      </c>
      <c r="AX616" t="str">
        <f>_xlfn.XLOOKUP(Table1[[#This Row],[WorkLifeBalance]],Table20[WorkLifeBalance],Table20[Id_WorkLifeBalance])</f>
        <v>WLB002</v>
      </c>
      <c r="AY616">
        <v>3</v>
      </c>
      <c r="AZ616" t="str">
        <f>_xlfn.XLOOKUP(Table1[[#This Row],[WorkLifeBalance]],Table20[WorkLifeBalance],Table20[Deskripsi])</f>
        <v>Good</v>
      </c>
      <c r="BA616">
        <v>8</v>
      </c>
      <c r="BB616">
        <v>7</v>
      </c>
      <c r="BC616">
        <v>1</v>
      </c>
      <c r="BD616">
        <v>7</v>
      </c>
    </row>
    <row r="617" spans="1:56" x14ac:dyDescent="0.25">
      <c r="A617">
        <v>27</v>
      </c>
      <c r="B617" t="str">
        <f>_xlfn.XLOOKUP(Table1[[#This Row],[Attrition]],Table2[Attrition],Table2[Id_Attrition])</f>
        <v>A002</v>
      </c>
      <c r="C617" t="s">
        <v>33</v>
      </c>
      <c r="D617" t="str">
        <f>_xlfn.XLOOKUP(Table1[[#This Row],[BusinessTravel]],Table5[BusinessTravel],Table5[Id_BusinessTravel])</f>
        <v>BS003</v>
      </c>
      <c r="E617" t="s">
        <v>36</v>
      </c>
      <c r="F617">
        <v>443</v>
      </c>
      <c r="G617" t="str">
        <f>_xlfn.XLOOKUP(Table1[[#This Row],[Department]],Table6[Department],Table6[Id_Departement])</f>
        <v>D002</v>
      </c>
      <c r="H617" t="s">
        <v>38</v>
      </c>
      <c r="I617">
        <v>3</v>
      </c>
      <c r="J617" t="str">
        <f>_xlfn.XLOOKUP(Table1[[#This Row],[Education]],Table8[Education],Table8[Id_Education])</f>
        <v>E003</v>
      </c>
      <c r="K617">
        <v>3</v>
      </c>
      <c r="L617" t="str">
        <f>_xlfn.XLOOKUP(Table1[[#This Row],[EducationField]],Table7[EducationField],Table7[Id_EducationField])</f>
        <v>EF003</v>
      </c>
      <c r="M617" t="s">
        <v>42</v>
      </c>
      <c r="N617" t="str">
        <f>_xlfn.XLOOKUP(Table1[[#This Row],[EmployeeNumber]],Table4[EmployeeNumber],Table4[Id_Employee])</f>
        <v>EMP00616</v>
      </c>
      <c r="O617">
        <v>850</v>
      </c>
      <c r="P617" t="str">
        <f>_xlfn.XLOOKUP(Table1[[#This Row],[EnvironmentSatisfaction]],Table9[EnvironmentSatisfaction],Table9[Id_EnviromentSatisfaction])</f>
        <v>ES004</v>
      </c>
      <c r="Q617">
        <v>4</v>
      </c>
      <c r="R617" t="str">
        <f>_xlfn.XLOOKUP(Table1[[#This Row],[EnvironmentSatisfaction]],Table9[EnvironmentSatisfaction],Table9[Deskripsi])</f>
        <v>Very High</v>
      </c>
      <c r="S617" t="str">
        <f>_xlfn.XLOOKUP(Table1[[#This Row],[Gender]],Table10[Gender],Table10[Id_Gender])</f>
        <v>G002</v>
      </c>
      <c r="T617" t="s">
        <v>46</v>
      </c>
      <c r="U617">
        <v>50</v>
      </c>
      <c r="V617" t="str">
        <f>_xlfn.XLOOKUP(Table1[[#This Row],[JobInvolvement]],Table11[JobInvolvement],Table11[Id_JobInvolvement])</f>
        <v>JI003</v>
      </c>
      <c r="W617">
        <v>3</v>
      </c>
      <c r="X617" t="str">
        <f>_xlfn.XLOOKUP(Table1[[#This Row],[JobLevel]],Table12[JobLevel],Table12[Id_JobLevel])</f>
        <v>JL001</v>
      </c>
      <c r="Y617">
        <v>1</v>
      </c>
      <c r="Z617" t="str">
        <f>_xlfn.XLOOKUP(Table1[[#This Row],[JobRole]],Table13[JobRole],Table13[Id_JobRole])</f>
        <v>JR002</v>
      </c>
      <c r="AA617" t="s">
        <v>48</v>
      </c>
      <c r="AB617" t="str">
        <f>_xlfn.XLOOKUP(Table1[[#This Row],[JobSatisfaction]],Table14[JobSatisfaction],Table14[Id_JobSatisfaction])</f>
        <v>JS004</v>
      </c>
      <c r="AC617">
        <v>4</v>
      </c>
      <c r="AD617" t="str">
        <f>_xlfn.XLOOKUP(Table1[[#This Row],[JobSatisfaction]],Table14[JobSatisfaction],Table14[Deskripsi])</f>
        <v>Very High</v>
      </c>
      <c r="AE617" t="str">
        <f>_xlfn.XLOOKUP(Table1[[#This Row],[MaritalStatus]],Table15[MaritalStatus],Table15[Id_MaritalStatus])</f>
        <v>MS002</v>
      </c>
      <c r="AF617" t="s">
        <v>56</v>
      </c>
      <c r="AG617">
        <v>1706</v>
      </c>
      <c r="AH617">
        <v>16571</v>
      </c>
      <c r="AI617">
        <v>1</v>
      </c>
      <c r="AJ617" t="str">
        <f>_xlfn.XLOOKUP(Table1[[#This Row],[OverTime]],Table16[OverTime],Table16[Id_OverTime])</f>
        <v>OT002</v>
      </c>
      <c r="AK617" t="s">
        <v>33</v>
      </c>
      <c r="AL617">
        <v>11</v>
      </c>
      <c r="AM617" t="str">
        <f>_xlfn.XLOOKUP(Table1[[#This Row],[PerformanceRating]],Table17[PerformanceRating],Table17[Id_PerformanceRating])</f>
        <v>PR003</v>
      </c>
      <c r="AN617">
        <v>3</v>
      </c>
      <c r="AO617" t="str">
        <f>_xlfn.XLOOKUP(Table1[[#This Row],[PerformanceRating]],Table17[PerformanceRating],Table17[Deskripsi])</f>
        <v>Excellent</v>
      </c>
      <c r="AP617" t="str">
        <f>_xlfn.XLOOKUP(Table1[[#This Row],[RelationshipSatisfaction]],Table18[RelationshipSatisfaction],Table18[Id_RelationshipSatisfaction])</f>
        <v>RS003</v>
      </c>
      <c r="AQ617">
        <v>3</v>
      </c>
      <c r="AR617" t="str">
        <f>_xlfn.XLOOKUP(Table1[[#This Row],[RelationshipSatisfaction]],Table18[RelationshipSatisfaction],Table18[Deskripsi])</f>
        <v>High</v>
      </c>
      <c r="AS617" t="str">
        <f>_xlfn.XLOOKUP(Table1[[#This Row],[StockOptionLevel]],Table19[StockOptionLevel],Table19[Id_StockOptionLevel])</f>
        <v>SOL004</v>
      </c>
      <c r="AT617">
        <v>3</v>
      </c>
      <c r="AU617" t="str">
        <f>_xlfn.XLOOKUP(Table1[[#This Row],[StockOptionLevel]],Table19[StockOptionLevel],Table19[Deskripsi])</f>
        <v>Senior/Executive</v>
      </c>
      <c r="AV617">
        <v>0</v>
      </c>
      <c r="AW617">
        <v>6</v>
      </c>
      <c r="AX617" t="str">
        <f>_xlfn.XLOOKUP(Table1[[#This Row],[WorkLifeBalance]],Table20[WorkLifeBalance],Table20[Id_WorkLifeBalance])</f>
        <v>WLB003</v>
      </c>
      <c r="AY617">
        <v>2</v>
      </c>
      <c r="AZ617" t="str">
        <f>_xlfn.XLOOKUP(Table1[[#This Row],[WorkLifeBalance]],Table20[WorkLifeBalance],Table20[Deskripsi])</f>
        <v>Better</v>
      </c>
      <c r="BA617">
        <v>0</v>
      </c>
      <c r="BB617">
        <v>0</v>
      </c>
      <c r="BC617">
        <v>0</v>
      </c>
      <c r="BD617">
        <v>0</v>
      </c>
    </row>
    <row r="618" spans="1:56" x14ac:dyDescent="0.25">
      <c r="A618">
        <v>51</v>
      </c>
      <c r="B618" t="str">
        <f>_xlfn.XLOOKUP(Table1[[#This Row],[Attrition]],Table2[Attrition],Table2[Id_Attrition])</f>
        <v>A002</v>
      </c>
      <c r="C618" t="s">
        <v>33</v>
      </c>
      <c r="D618" t="str">
        <f>_xlfn.XLOOKUP(Table1[[#This Row],[BusinessTravel]],Table5[BusinessTravel],Table5[Id_BusinessTravel])</f>
        <v>BS001</v>
      </c>
      <c r="E618" t="s">
        <v>34</v>
      </c>
      <c r="F618">
        <v>1318</v>
      </c>
      <c r="G618" t="str">
        <f>_xlfn.XLOOKUP(Table1[[#This Row],[Department]],Table6[Department],Table6[Id_Departement])</f>
        <v>D001</v>
      </c>
      <c r="H618" t="s">
        <v>37</v>
      </c>
      <c r="I618">
        <v>26</v>
      </c>
      <c r="J618" t="str">
        <f>_xlfn.XLOOKUP(Table1[[#This Row],[Education]],Table8[Education],Table8[Id_Education])</f>
        <v>E004</v>
      </c>
      <c r="K618">
        <v>4</v>
      </c>
      <c r="L618" t="str">
        <f>_xlfn.XLOOKUP(Table1[[#This Row],[EducationField]],Table7[EducationField],Table7[Id_EducationField])</f>
        <v>EF004</v>
      </c>
      <c r="M618" t="s">
        <v>43</v>
      </c>
      <c r="N618" t="str">
        <f>_xlfn.XLOOKUP(Table1[[#This Row],[EmployeeNumber]],Table4[EmployeeNumber],Table4[Id_Employee])</f>
        <v>EMP00617</v>
      </c>
      <c r="O618">
        <v>851</v>
      </c>
      <c r="P618" t="str">
        <f>_xlfn.XLOOKUP(Table1[[#This Row],[EnvironmentSatisfaction]],Table9[EnvironmentSatisfaction],Table9[Id_EnviromentSatisfaction])</f>
        <v>ES001</v>
      </c>
      <c r="Q618">
        <v>1</v>
      </c>
      <c r="R618" t="str">
        <f>_xlfn.XLOOKUP(Table1[[#This Row],[EnvironmentSatisfaction]],Table9[EnvironmentSatisfaction],Table9[Deskripsi])</f>
        <v>Low</v>
      </c>
      <c r="S618" t="str">
        <f>_xlfn.XLOOKUP(Table1[[#This Row],[Gender]],Table10[Gender],Table10[Id_Gender])</f>
        <v>G001</v>
      </c>
      <c r="T618" t="s">
        <v>45</v>
      </c>
      <c r="U618">
        <v>66</v>
      </c>
      <c r="V618" t="str">
        <f>_xlfn.XLOOKUP(Table1[[#This Row],[JobInvolvement]],Table11[JobInvolvement],Table11[Id_JobInvolvement])</f>
        <v>JI003</v>
      </c>
      <c r="W618">
        <v>3</v>
      </c>
      <c r="X618" t="str">
        <f>_xlfn.XLOOKUP(Table1[[#This Row],[JobLevel]],Table12[JobLevel],Table12[Id_JobLevel])</f>
        <v>JL004</v>
      </c>
      <c r="Y618">
        <v>4</v>
      </c>
      <c r="Z618" t="str">
        <f>_xlfn.XLOOKUP(Table1[[#This Row],[JobRole]],Table13[JobRole],Table13[Id_JobRole])</f>
        <v>JR006</v>
      </c>
      <c r="AA618" t="s">
        <v>52</v>
      </c>
      <c r="AB618" t="str">
        <f>_xlfn.XLOOKUP(Table1[[#This Row],[JobSatisfaction]],Table14[JobSatisfaction],Table14[Id_JobSatisfaction])</f>
        <v>JS003</v>
      </c>
      <c r="AC618">
        <v>3</v>
      </c>
      <c r="AD618" t="str">
        <f>_xlfn.XLOOKUP(Table1[[#This Row],[JobSatisfaction]],Table14[JobSatisfaction],Table14[Deskripsi])</f>
        <v>High</v>
      </c>
      <c r="AE618" t="str">
        <f>_xlfn.XLOOKUP(Table1[[#This Row],[MaritalStatus]],Table15[MaritalStatus],Table15[Id_MaritalStatus])</f>
        <v>MS002</v>
      </c>
      <c r="AF618" t="s">
        <v>56</v>
      </c>
      <c r="AG618">
        <v>16307</v>
      </c>
      <c r="AH618">
        <v>5594</v>
      </c>
      <c r="AI618">
        <v>2</v>
      </c>
      <c r="AJ618" t="str">
        <f>_xlfn.XLOOKUP(Table1[[#This Row],[OverTime]],Table16[OverTime],Table16[Id_OverTime])</f>
        <v>OT002</v>
      </c>
      <c r="AK618" t="s">
        <v>33</v>
      </c>
      <c r="AL618">
        <v>14</v>
      </c>
      <c r="AM618" t="str">
        <f>_xlfn.XLOOKUP(Table1[[#This Row],[PerformanceRating]],Table17[PerformanceRating],Table17[Id_PerformanceRating])</f>
        <v>PR003</v>
      </c>
      <c r="AN618">
        <v>3</v>
      </c>
      <c r="AO618" t="str">
        <f>_xlfn.XLOOKUP(Table1[[#This Row],[PerformanceRating]],Table17[PerformanceRating],Table17[Deskripsi])</f>
        <v>Excellent</v>
      </c>
      <c r="AP618" t="str">
        <f>_xlfn.XLOOKUP(Table1[[#This Row],[RelationshipSatisfaction]],Table18[RelationshipSatisfaction],Table18[Id_RelationshipSatisfaction])</f>
        <v>RS003</v>
      </c>
      <c r="AQ618">
        <v>3</v>
      </c>
      <c r="AR618" t="str">
        <f>_xlfn.XLOOKUP(Table1[[#This Row],[RelationshipSatisfaction]],Table18[RelationshipSatisfaction],Table18[Deskripsi])</f>
        <v>High</v>
      </c>
      <c r="AS618" t="str">
        <f>_xlfn.XLOOKUP(Table1[[#This Row],[StockOptionLevel]],Table19[StockOptionLevel],Table19[Id_StockOptionLevel])</f>
        <v>SOL002</v>
      </c>
      <c r="AT618">
        <v>1</v>
      </c>
      <c r="AU618" t="str">
        <f>_xlfn.XLOOKUP(Table1[[#This Row],[StockOptionLevel]],Table19[StockOptionLevel],Table19[Deskripsi])</f>
        <v>Standard</v>
      </c>
      <c r="AV618">
        <v>29</v>
      </c>
      <c r="AW618">
        <v>2</v>
      </c>
      <c r="AX618" t="str">
        <f>_xlfn.XLOOKUP(Table1[[#This Row],[WorkLifeBalance]],Table20[WorkLifeBalance],Table20[Id_WorkLifeBalance])</f>
        <v>WLB003</v>
      </c>
      <c r="AY618">
        <v>2</v>
      </c>
      <c r="AZ618" t="str">
        <f>_xlfn.XLOOKUP(Table1[[#This Row],[WorkLifeBalance]],Table20[WorkLifeBalance],Table20[Deskripsi])</f>
        <v>Better</v>
      </c>
      <c r="BA618">
        <v>20</v>
      </c>
      <c r="BB618">
        <v>6</v>
      </c>
      <c r="BC618">
        <v>4</v>
      </c>
      <c r="BD618">
        <v>17</v>
      </c>
    </row>
    <row r="619" spans="1:56" x14ac:dyDescent="0.25">
      <c r="A619">
        <v>44</v>
      </c>
      <c r="B619" t="str">
        <f>_xlfn.XLOOKUP(Table1[[#This Row],[Attrition]],Table2[Attrition],Table2[Id_Attrition])</f>
        <v>A002</v>
      </c>
      <c r="C619" t="s">
        <v>33</v>
      </c>
      <c r="D619" t="str">
        <f>_xlfn.XLOOKUP(Table1[[#This Row],[BusinessTravel]],Table5[BusinessTravel],Table5[Id_BusinessTravel])</f>
        <v>BS001</v>
      </c>
      <c r="E619" t="s">
        <v>34</v>
      </c>
      <c r="F619">
        <v>625</v>
      </c>
      <c r="G619" t="str">
        <f>_xlfn.XLOOKUP(Table1[[#This Row],[Department]],Table6[Department],Table6[Id_Departement])</f>
        <v>D002</v>
      </c>
      <c r="H619" t="s">
        <v>38</v>
      </c>
      <c r="I619">
        <v>4</v>
      </c>
      <c r="J619" t="str">
        <f>_xlfn.XLOOKUP(Table1[[#This Row],[Education]],Table8[Education],Table8[Id_Education])</f>
        <v>E003</v>
      </c>
      <c r="K619">
        <v>3</v>
      </c>
      <c r="L619" t="str">
        <f>_xlfn.XLOOKUP(Table1[[#This Row],[EducationField]],Table7[EducationField],Table7[Id_EducationField])</f>
        <v>EF003</v>
      </c>
      <c r="M619" t="s">
        <v>42</v>
      </c>
      <c r="N619" t="str">
        <f>_xlfn.XLOOKUP(Table1[[#This Row],[EmployeeNumber]],Table4[EmployeeNumber],Table4[Id_Employee])</f>
        <v>EMP00618</v>
      </c>
      <c r="O619">
        <v>852</v>
      </c>
      <c r="P619" t="str">
        <f>_xlfn.XLOOKUP(Table1[[#This Row],[EnvironmentSatisfaction]],Table9[EnvironmentSatisfaction],Table9[Id_EnviromentSatisfaction])</f>
        <v>ES004</v>
      </c>
      <c r="Q619">
        <v>4</v>
      </c>
      <c r="R619" t="str">
        <f>_xlfn.XLOOKUP(Table1[[#This Row],[EnvironmentSatisfaction]],Table9[EnvironmentSatisfaction],Table9[Deskripsi])</f>
        <v>Very High</v>
      </c>
      <c r="S619" t="str">
        <f>_xlfn.XLOOKUP(Table1[[#This Row],[Gender]],Table10[Gender],Table10[Id_Gender])</f>
        <v>G002</v>
      </c>
      <c r="T619" t="s">
        <v>46</v>
      </c>
      <c r="U619">
        <v>50</v>
      </c>
      <c r="V619" t="str">
        <f>_xlfn.XLOOKUP(Table1[[#This Row],[JobInvolvement]],Table11[JobInvolvement],Table11[Id_JobInvolvement])</f>
        <v>JI003</v>
      </c>
      <c r="W619">
        <v>3</v>
      </c>
      <c r="X619" t="str">
        <f>_xlfn.XLOOKUP(Table1[[#This Row],[JobLevel]],Table12[JobLevel],Table12[Id_JobLevel])</f>
        <v>JL002</v>
      </c>
      <c r="Y619">
        <v>2</v>
      </c>
      <c r="Z619" t="str">
        <f>_xlfn.XLOOKUP(Table1[[#This Row],[JobRole]],Table13[JobRole],Table13[Id_JobRole])</f>
        <v>JR005</v>
      </c>
      <c r="AA619" t="s">
        <v>51</v>
      </c>
      <c r="AB619" t="str">
        <f>_xlfn.XLOOKUP(Table1[[#This Row],[JobSatisfaction]],Table14[JobSatisfaction],Table14[Id_JobSatisfaction])</f>
        <v>JS002</v>
      </c>
      <c r="AC619">
        <v>2</v>
      </c>
      <c r="AD619" t="str">
        <f>_xlfn.XLOOKUP(Table1[[#This Row],[JobSatisfaction]],Table14[JobSatisfaction],Table14[Deskripsi])</f>
        <v>Medium</v>
      </c>
      <c r="AE619" t="str">
        <f>_xlfn.XLOOKUP(Table1[[#This Row],[MaritalStatus]],Table15[MaritalStatus],Table15[Id_MaritalStatus])</f>
        <v>MS001</v>
      </c>
      <c r="AF619" t="s">
        <v>55</v>
      </c>
      <c r="AG619">
        <v>5933</v>
      </c>
      <c r="AH619">
        <v>5197</v>
      </c>
      <c r="AI619">
        <v>9</v>
      </c>
      <c r="AJ619" t="str">
        <f>_xlfn.XLOOKUP(Table1[[#This Row],[OverTime]],Table16[OverTime],Table16[Id_OverTime])</f>
        <v>OT002</v>
      </c>
      <c r="AK619" t="s">
        <v>33</v>
      </c>
      <c r="AL619">
        <v>12</v>
      </c>
      <c r="AM619" t="str">
        <f>_xlfn.XLOOKUP(Table1[[#This Row],[PerformanceRating]],Table17[PerformanceRating],Table17[Id_PerformanceRating])</f>
        <v>PR003</v>
      </c>
      <c r="AN619">
        <v>3</v>
      </c>
      <c r="AO619" t="str">
        <f>_xlfn.XLOOKUP(Table1[[#This Row],[PerformanceRating]],Table17[PerformanceRating],Table17[Deskripsi])</f>
        <v>Excellent</v>
      </c>
      <c r="AP619" t="str">
        <f>_xlfn.XLOOKUP(Table1[[#This Row],[RelationshipSatisfaction]],Table18[RelationshipSatisfaction],Table18[Id_RelationshipSatisfaction])</f>
        <v>RS004</v>
      </c>
      <c r="AQ619">
        <v>4</v>
      </c>
      <c r="AR619" t="str">
        <f>_xlfn.XLOOKUP(Table1[[#This Row],[RelationshipSatisfaction]],Table18[RelationshipSatisfaction],Table18[Deskripsi])</f>
        <v>Very High</v>
      </c>
      <c r="AS619" t="str">
        <f>_xlfn.XLOOKUP(Table1[[#This Row],[StockOptionLevel]],Table19[StockOptionLevel],Table19[Id_StockOptionLevel])</f>
        <v>SOL001</v>
      </c>
      <c r="AT619">
        <v>0</v>
      </c>
      <c r="AU619" t="str">
        <f>_xlfn.XLOOKUP(Table1[[#This Row],[StockOptionLevel]],Table19[StockOptionLevel],Table19[Deskripsi])</f>
        <v>Non-Eligible</v>
      </c>
      <c r="AV619">
        <v>10</v>
      </c>
      <c r="AW619">
        <v>2</v>
      </c>
      <c r="AX619" t="str">
        <f>_xlfn.XLOOKUP(Table1[[#This Row],[WorkLifeBalance]],Table20[WorkLifeBalance],Table20[Id_WorkLifeBalance])</f>
        <v>WLB003</v>
      </c>
      <c r="AY619">
        <v>2</v>
      </c>
      <c r="AZ619" t="str">
        <f>_xlfn.XLOOKUP(Table1[[#This Row],[WorkLifeBalance]],Table20[WorkLifeBalance],Table20[Deskripsi])</f>
        <v>Better</v>
      </c>
      <c r="BA619">
        <v>5</v>
      </c>
      <c r="BB619">
        <v>2</v>
      </c>
      <c r="BC619">
        <v>2</v>
      </c>
      <c r="BD619">
        <v>3</v>
      </c>
    </row>
    <row r="620" spans="1:56" x14ac:dyDescent="0.25">
      <c r="A620">
        <v>25</v>
      </c>
      <c r="B620" t="str">
        <f>_xlfn.XLOOKUP(Table1[[#This Row],[Attrition]],Table2[Attrition],Table2[Id_Attrition])</f>
        <v>A002</v>
      </c>
      <c r="C620" t="s">
        <v>33</v>
      </c>
      <c r="D620" t="str">
        <f>_xlfn.XLOOKUP(Table1[[#This Row],[BusinessTravel]],Table5[BusinessTravel],Table5[Id_BusinessTravel])</f>
        <v>BS001</v>
      </c>
      <c r="E620" t="s">
        <v>34</v>
      </c>
      <c r="F620">
        <v>180</v>
      </c>
      <c r="G620" t="str">
        <f>_xlfn.XLOOKUP(Table1[[#This Row],[Department]],Table6[Department],Table6[Id_Departement])</f>
        <v>D002</v>
      </c>
      <c r="H620" t="s">
        <v>38</v>
      </c>
      <c r="I620">
        <v>2</v>
      </c>
      <c r="J620" t="str">
        <f>_xlfn.XLOOKUP(Table1[[#This Row],[Education]],Table8[Education],Table8[Id_Education])</f>
        <v>E001</v>
      </c>
      <c r="K620">
        <v>1</v>
      </c>
      <c r="L620" t="str">
        <f>_xlfn.XLOOKUP(Table1[[#This Row],[EducationField]],Table7[EducationField],Table7[Id_EducationField])</f>
        <v>EF003</v>
      </c>
      <c r="M620" t="s">
        <v>42</v>
      </c>
      <c r="N620" t="str">
        <f>_xlfn.XLOOKUP(Table1[[#This Row],[EmployeeNumber]],Table4[EmployeeNumber],Table4[Id_Employee])</f>
        <v>EMP00619</v>
      </c>
      <c r="O620">
        <v>854</v>
      </c>
      <c r="P620" t="str">
        <f>_xlfn.XLOOKUP(Table1[[#This Row],[EnvironmentSatisfaction]],Table9[EnvironmentSatisfaction],Table9[Id_EnviromentSatisfaction])</f>
        <v>ES001</v>
      </c>
      <c r="Q620">
        <v>1</v>
      </c>
      <c r="R620" t="str">
        <f>_xlfn.XLOOKUP(Table1[[#This Row],[EnvironmentSatisfaction]],Table9[EnvironmentSatisfaction],Table9[Deskripsi])</f>
        <v>Low</v>
      </c>
      <c r="S620" t="str">
        <f>_xlfn.XLOOKUP(Table1[[#This Row],[Gender]],Table10[Gender],Table10[Id_Gender])</f>
        <v>G002</v>
      </c>
      <c r="T620" t="s">
        <v>46</v>
      </c>
      <c r="U620">
        <v>65</v>
      </c>
      <c r="V620" t="str">
        <f>_xlfn.XLOOKUP(Table1[[#This Row],[JobInvolvement]],Table11[JobInvolvement],Table11[Id_JobInvolvement])</f>
        <v>JI004</v>
      </c>
      <c r="W620">
        <v>4</v>
      </c>
      <c r="X620" t="str">
        <f>_xlfn.XLOOKUP(Table1[[#This Row],[JobLevel]],Table12[JobLevel],Table12[Id_JobLevel])</f>
        <v>JL001</v>
      </c>
      <c r="Y620">
        <v>1</v>
      </c>
      <c r="Z620" t="str">
        <f>_xlfn.XLOOKUP(Table1[[#This Row],[JobRole]],Table13[JobRole],Table13[Id_JobRole])</f>
        <v>JR002</v>
      </c>
      <c r="AA620" t="s">
        <v>48</v>
      </c>
      <c r="AB620" t="str">
        <f>_xlfn.XLOOKUP(Table1[[#This Row],[JobSatisfaction]],Table14[JobSatisfaction],Table14[Id_JobSatisfaction])</f>
        <v>JS001</v>
      </c>
      <c r="AC620">
        <v>1</v>
      </c>
      <c r="AD620" t="str">
        <f>_xlfn.XLOOKUP(Table1[[#This Row],[JobSatisfaction]],Table14[JobSatisfaction],Table14[Deskripsi])</f>
        <v>Low</v>
      </c>
      <c r="AE620" t="str">
        <f>_xlfn.XLOOKUP(Table1[[#This Row],[MaritalStatus]],Table15[MaritalStatus],Table15[Id_MaritalStatus])</f>
        <v>MS001</v>
      </c>
      <c r="AF620" t="s">
        <v>55</v>
      </c>
      <c r="AG620">
        <v>3424</v>
      </c>
      <c r="AH620">
        <v>21632</v>
      </c>
      <c r="AI620">
        <v>7</v>
      </c>
      <c r="AJ620" t="str">
        <f>_xlfn.XLOOKUP(Table1[[#This Row],[OverTime]],Table16[OverTime],Table16[Id_OverTime])</f>
        <v>OT002</v>
      </c>
      <c r="AK620" t="s">
        <v>33</v>
      </c>
      <c r="AL620">
        <v>13</v>
      </c>
      <c r="AM620" t="str">
        <f>_xlfn.XLOOKUP(Table1[[#This Row],[PerformanceRating]],Table17[PerformanceRating],Table17[Id_PerformanceRating])</f>
        <v>PR003</v>
      </c>
      <c r="AN620">
        <v>3</v>
      </c>
      <c r="AO620" t="str">
        <f>_xlfn.XLOOKUP(Table1[[#This Row],[PerformanceRating]],Table17[PerformanceRating],Table17[Deskripsi])</f>
        <v>Excellent</v>
      </c>
      <c r="AP620" t="str">
        <f>_xlfn.XLOOKUP(Table1[[#This Row],[RelationshipSatisfaction]],Table18[RelationshipSatisfaction],Table18[Id_RelationshipSatisfaction])</f>
        <v>RS003</v>
      </c>
      <c r="AQ620">
        <v>3</v>
      </c>
      <c r="AR620" t="str">
        <f>_xlfn.XLOOKUP(Table1[[#This Row],[RelationshipSatisfaction]],Table18[RelationshipSatisfaction],Table18[Deskripsi])</f>
        <v>High</v>
      </c>
      <c r="AS620" t="str">
        <f>_xlfn.XLOOKUP(Table1[[#This Row],[StockOptionLevel]],Table19[StockOptionLevel],Table19[Id_StockOptionLevel])</f>
        <v>SOL001</v>
      </c>
      <c r="AT620">
        <v>0</v>
      </c>
      <c r="AU620" t="str">
        <f>_xlfn.XLOOKUP(Table1[[#This Row],[StockOptionLevel]],Table19[StockOptionLevel],Table19[Deskripsi])</f>
        <v>Non-Eligible</v>
      </c>
      <c r="AV620">
        <v>6</v>
      </c>
      <c r="AW620">
        <v>3</v>
      </c>
      <c r="AX620" t="str">
        <f>_xlfn.XLOOKUP(Table1[[#This Row],[WorkLifeBalance]],Table20[WorkLifeBalance],Table20[Id_WorkLifeBalance])</f>
        <v>WLB003</v>
      </c>
      <c r="AY620">
        <v>2</v>
      </c>
      <c r="AZ620" t="str">
        <f>_xlfn.XLOOKUP(Table1[[#This Row],[WorkLifeBalance]],Table20[WorkLifeBalance],Table20[Deskripsi])</f>
        <v>Better</v>
      </c>
      <c r="BA620">
        <v>4</v>
      </c>
      <c r="BB620">
        <v>3</v>
      </c>
      <c r="BC620">
        <v>0</v>
      </c>
      <c r="BD620">
        <v>1</v>
      </c>
    </row>
    <row r="621" spans="1:56" x14ac:dyDescent="0.25">
      <c r="A621">
        <v>33</v>
      </c>
      <c r="B621" t="str">
        <f>_xlfn.XLOOKUP(Table1[[#This Row],[Attrition]],Table2[Attrition],Table2[Id_Attrition])</f>
        <v>A002</v>
      </c>
      <c r="C621" t="s">
        <v>33</v>
      </c>
      <c r="D621" t="str">
        <f>_xlfn.XLOOKUP(Table1[[#This Row],[BusinessTravel]],Table5[BusinessTravel],Table5[Id_BusinessTravel])</f>
        <v>BS001</v>
      </c>
      <c r="E621" t="s">
        <v>34</v>
      </c>
      <c r="F621">
        <v>586</v>
      </c>
      <c r="G621" t="str">
        <f>_xlfn.XLOOKUP(Table1[[#This Row],[Department]],Table6[Department],Table6[Id_Departement])</f>
        <v>D001</v>
      </c>
      <c r="H621" t="s">
        <v>37</v>
      </c>
      <c r="I621">
        <v>1</v>
      </c>
      <c r="J621" t="str">
        <f>_xlfn.XLOOKUP(Table1[[#This Row],[Education]],Table8[Education],Table8[Id_Education])</f>
        <v>E003</v>
      </c>
      <c r="K621">
        <v>3</v>
      </c>
      <c r="L621" t="str">
        <f>_xlfn.XLOOKUP(Table1[[#This Row],[EducationField]],Table7[EducationField],Table7[Id_EducationField])</f>
        <v>EF003</v>
      </c>
      <c r="M621" t="s">
        <v>42</v>
      </c>
      <c r="N621" t="str">
        <f>_xlfn.XLOOKUP(Table1[[#This Row],[EmployeeNumber]],Table4[EmployeeNumber],Table4[Id_Employee])</f>
        <v>EMP00620</v>
      </c>
      <c r="O621">
        <v>855</v>
      </c>
      <c r="P621" t="str">
        <f>_xlfn.XLOOKUP(Table1[[#This Row],[EnvironmentSatisfaction]],Table9[EnvironmentSatisfaction],Table9[Id_EnviromentSatisfaction])</f>
        <v>ES001</v>
      </c>
      <c r="Q621">
        <v>1</v>
      </c>
      <c r="R621" t="str">
        <f>_xlfn.XLOOKUP(Table1[[#This Row],[EnvironmentSatisfaction]],Table9[EnvironmentSatisfaction],Table9[Deskripsi])</f>
        <v>Low</v>
      </c>
      <c r="S621" t="str">
        <f>_xlfn.XLOOKUP(Table1[[#This Row],[Gender]],Table10[Gender],Table10[Id_Gender])</f>
        <v>G002</v>
      </c>
      <c r="T621" t="s">
        <v>46</v>
      </c>
      <c r="U621">
        <v>48</v>
      </c>
      <c r="V621" t="str">
        <f>_xlfn.XLOOKUP(Table1[[#This Row],[JobInvolvement]],Table11[JobInvolvement],Table11[Id_JobInvolvement])</f>
        <v>JI004</v>
      </c>
      <c r="W621">
        <v>4</v>
      </c>
      <c r="X621" t="str">
        <f>_xlfn.XLOOKUP(Table1[[#This Row],[JobLevel]],Table12[JobLevel],Table12[Id_JobLevel])</f>
        <v>JL002</v>
      </c>
      <c r="Y621">
        <v>2</v>
      </c>
      <c r="Z621" t="str">
        <f>_xlfn.XLOOKUP(Table1[[#This Row],[JobRole]],Table13[JobRole],Table13[Id_JobRole])</f>
        <v>JR001</v>
      </c>
      <c r="AA621" t="s">
        <v>47</v>
      </c>
      <c r="AB621" t="str">
        <f>_xlfn.XLOOKUP(Table1[[#This Row],[JobSatisfaction]],Table14[JobSatisfaction],Table14[Id_JobSatisfaction])</f>
        <v>JS001</v>
      </c>
      <c r="AC621">
        <v>1</v>
      </c>
      <c r="AD621" t="str">
        <f>_xlfn.XLOOKUP(Table1[[#This Row],[JobSatisfaction]],Table14[JobSatisfaction],Table14[Deskripsi])</f>
        <v>Low</v>
      </c>
      <c r="AE621" t="str">
        <f>_xlfn.XLOOKUP(Table1[[#This Row],[MaritalStatus]],Table15[MaritalStatus],Table15[Id_MaritalStatus])</f>
        <v>MS003</v>
      </c>
      <c r="AF621" t="s">
        <v>57</v>
      </c>
      <c r="AG621">
        <v>4037</v>
      </c>
      <c r="AH621">
        <v>21816</v>
      </c>
      <c r="AI621">
        <v>1</v>
      </c>
      <c r="AJ621" t="str">
        <f>_xlfn.XLOOKUP(Table1[[#This Row],[OverTime]],Table16[OverTime],Table16[Id_OverTime])</f>
        <v>OT002</v>
      </c>
      <c r="AK621" t="s">
        <v>33</v>
      </c>
      <c r="AL621">
        <v>22</v>
      </c>
      <c r="AM621" t="str">
        <f>_xlfn.XLOOKUP(Table1[[#This Row],[PerformanceRating]],Table17[PerformanceRating],Table17[Id_PerformanceRating])</f>
        <v>PR004</v>
      </c>
      <c r="AN621">
        <v>4</v>
      </c>
      <c r="AO621" t="str">
        <f>_xlfn.XLOOKUP(Table1[[#This Row],[PerformanceRating]],Table17[PerformanceRating],Table17[Deskripsi])</f>
        <v>Outstanding</v>
      </c>
      <c r="AP621" t="str">
        <f>_xlfn.XLOOKUP(Table1[[#This Row],[RelationshipSatisfaction]],Table18[RelationshipSatisfaction],Table18[Id_RelationshipSatisfaction])</f>
        <v>RS001</v>
      </c>
      <c r="AQ621">
        <v>1</v>
      </c>
      <c r="AR621" t="str">
        <f>_xlfn.XLOOKUP(Table1[[#This Row],[RelationshipSatisfaction]],Table18[RelationshipSatisfaction],Table18[Deskripsi])</f>
        <v>Low</v>
      </c>
      <c r="AS621" t="str">
        <f>_xlfn.XLOOKUP(Table1[[#This Row],[StockOptionLevel]],Table19[StockOptionLevel],Table19[Id_StockOptionLevel])</f>
        <v>SOL002</v>
      </c>
      <c r="AT621">
        <v>1</v>
      </c>
      <c r="AU621" t="str">
        <f>_xlfn.XLOOKUP(Table1[[#This Row],[StockOptionLevel]],Table19[StockOptionLevel],Table19[Deskripsi])</f>
        <v>Standard</v>
      </c>
      <c r="AV621">
        <v>9</v>
      </c>
      <c r="AW621">
        <v>5</v>
      </c>
      <c r="AX621" t="str">
        <f>_xlfn.XLOOKUP(Table1[[#This Row],[WorkLifeBalance]],Table20[WorkLifeBalance],Table20[Id_WorkLifeBalance])</f>
        <v>WLB002</v>
      </c>
      <c r="AY621">
        <v>3</v>
      </c>
      <c r="AZ621" t="str">
        <f>_xlfn.XLOOKUP(Table1[[#This Row],[WorkLifeBalance]],Table20[WorkLifeBalance],Table20[Deskripsi])</f>
        <v>Good</v>
      </c>
      <c r="BA621">
        <v>9</v>
      </c>
      <c r="BB621">
        <v>8</v>
      </c>
      <c r="BC621">
        <v>0</v>
      </c>
      <c r="BD621">
        <v>8</v>
      </c>
    </row>
    <row r="622" spans="1:56" x14ac:dyDescent="0.25">
      <c r="A622">
        <v>35</v>
      </c>
      <c r="B622" t="str">
        <f>_xlfn.XLOOKUP(Table1[[#This Row],[Attrition]],Table2[Attrition],Table2[Id_Attrition])</f>
        <v>A002</v>
      </c>
      <c r="C622" t="s">
        <v>33</v>
      </c>
      <c r="D622" t="str">
        <f>_xlfn.XLOOKUP(Table1[[#This Row],[BusinessTravel]],Table5[BusinessTravel],Table5[Id_BusinessTravel])</f>
        <v>BS001</v>
      </c>
      <c r="E622" t="s">
        <v>34</v>
      </c>
      <c r="F622">
        <v>1343</v>
      </c>
      <c r="G622" t="str">
        <f>_xlfn.XLOOKUP(Table1[[#This Row],[Department]],Table6[Department],Table6[Id_Departement])</f>
        <v>D002</v>
      </c>
      <c r="H622" t="s">
        <v>38</v>
      </c>
      <c r="I622">
        <v>27</v>
      </c>
      <c r="J622" t="str">
        <f>_xlfn.XLOOKUP(Table1[[#This Row],[Education]],Table8[Education],Table8[Id_Education])</f>
        <v>E001</v>
      </c>
      <c r="K622">
        <v>1</v>
      </c>
      <c r="L622" t="str">
        <f>_xlfn.XLOOKUP(Table1[[#This Row],[EducationField]],Table7[EducationField],Table7[Id_EducationField])</f>
        <v>EF003</v>
      </c>
      <c r="M622" t="s">
        <v>42</v>
      </c>
      <c r="N622" t="str">
        <f>_xlfn.XLOOKUP(Table1[[#This Row],[EmployeeNumber]],Table4[EmployeeNumber],Table4[Id_Employee])</f>
        <v>EMP00621</v>
      </c>
      <c r="O622">
        <v>856</v>
      </c>
      <c r="P622" t="str">
        <f>_xlfn.XLOOKUP(Table1[[#This Row],[EnvironmentSatisfaction]],Table9[EnvironmentSatisfaction],Table9[Id_EnviromentSatisfaction])</f>
        <v>ES003</v>
      </c>
      <c r="Q622">
        <v>3</v>
      </c>
      <c r="R622" t="str">
        <f>_xlfn.XLOOKUP(Table1[[#This Row],[EnvironmentSatisfaction]],Table9[EnvironmentSatisfaction],Table9[Deskripsi])</f>
        <v>High</v>
      </c>
      <c r="S622" t="str">
        <f>_xlfn.XLOOKUP(Table1[[#This Row],[Gender]],Table10[Gender],Table10[Id_Gender])</f>
        <v>G001</v>
      </c>
      <c r="T622" t="s">
        <v>45</v>
      </c>
      <c r="U622">
        <v>53</v>
      </c>
      <c r="V622" t="str">
        <f>_xlfn.XLOOKUP(Table1[[#This Row],[JobInvolvement]],Table11[JobInvolvement],Table11[Id_JobInvolvement])</f>
        <v>JI002</v>
      </c>
      <c r="W622">
        <v>2</v>
      </c>
      <c r="X622" t="str">
        <f>_xlfn.XLOOKUP(Table1[[#This Row],[JobLevel]],Table12[JobLevel],Table12[Id_JobLevel])</f>
        <v>JL001</v>
      </c>
      <c r="Y622">
        <v>1</v>
      </c>
      <c r="Z622" t="str">
        <f>_xlfn.XLOOKUP(Table1[[#This Row],[JobRole]],Table13[JobRole],Table13[Id_JobRole])</f>
        <v>JR002</v>
      </c>
      <c r="AA622" t="s">
        <v>48</v>
      </c>
      <c r="AB622" t="str">
        <f>_xlfn.XLOOKUP(Table1[[#This Row],[JobSatisfaction]],Table14[JobSatisfaction],Table14[Id_JobSatisfaction])</f>
        <v>JS001</v>
      </c>
      <c r="AC622">
        <v>1</v>
      </c>
      <c r="AD622" t="str">
        <f>_xlfn.XLOOKUP(Table1[[#This Row],[JobSatisfaction]],Table14[JobSatisfaction],Table14[Deskripsi])</f>
        <v>Low</v>
      </c>
      <c r="AE622" t="str">
        <f>_xlfn.XLOOKUP(Table1[[#This Row],[MaritalStatus]],Table15[MaritalStatus],Table15[Id_MaritalStatus])</f>
        <v>MS001</v>
      </c>
      <c r="AF622" t="s">
        <v>55</v>
      </c>
      <c r="AG622">
        <v>2559</v>
      </c>
      <c r="AH622">
        <v>17852</v>
      </c>
      <c r="AI622">
        <v>1</v>
      </c>
      <c r="AJ622" t="str">
        <f>_xlfn.XLOOKUP(Table1[[#This Row],[OverTime]],Table16[OverTime],Table16[Id_OverTime])</f>
        <v>OT002</v>
      </c>
      <c r="AK622" t="s">
        <v>33</v>
      </c>
      <c r="AL622">
        <v>11</v>
      </c>
      <c r="AM622" t="str">
        <f>_xlfn.XLOOKUP(Table1[[#This Row],[PerformanceRating]],Table17[PerformanceRating],Table17[Id_PerformanceRating])</f>
        <v>PR003</v>
      </c>
      <c r="AN622">
        <v>3</v>
      </c>
      <c r="AO622" t="str">
        <f>_xlfn.XLOOKUP(Table1[[#This Row],[PerformanceRating]],Table17[PerformanceRating],Table17[Deskripsi])</f>
        <v>Excellent</v>
      </c>
      <c r="AP622" t="str">
        <f>_xlfn.XLOOKUP(Table1[[#This Row],[RelationshipSatisfaction]],Table18[RelationshipSatisfaction],Table18[Id_RelationshipSatisfaction])</f>
        <v>RS004</v>
      </c>
      <c r="AQ622">
        <v>4</v>
      </c>
      <c r="AR622" t="str">
        <f>_xlfn.XLOOKUP(Table1[[#This Row],[RelationshipSatisfaction]],Table18[RelationshipSatisfaction],Table18[Deskripsi])</f>
        <v>Very High</v>
      </c>
      <c r="AS622" t="str">
        <f>_xlfn.XLOOKUP(Table1[[#This Row],[StockOptionLevel]],Table19[StockOptionLevel],Table19[Id_StockOptionLevel])</f>
        <v>SOL001</v>
      </c>
      <c r="AT622">
        <v>0</v>
      </c>
      <c r="AU622" t="str">
        <f>_xlfn.XLOOKUP(Table1[[#This Row],[StockOptionLevel]],Table19[StockOptionLevel],Table19[Deskripsi])</f>
        <v>Non-Eligible</v>
      </c>
      <c r="AV622">
        <v>6</v>
      </c>
      <c r="AW622">
        <v>3</v>
      </c>
      <c r="AX622" t="str">
        <f>_xlfn.XLOOKUP(Table1[[#This Row],[WorkLifeBalance]],Table20[WorkLifeBalance],Table20[Id_WorkLifeBalance])</f>
        <v>WLB003</v>
      </c>
      <c r="AY622">
        <v>2</v>
      </c>
      <c r="AZ622" t="str">
        <f>_xlfn.XLOOKUP(Table1[[#This Row],[WorkLifeBalance]],Table20[WorkLifeBalance],Table20[Deskripsi])</f>
        <v>Better</v>
      </c>
      <c r="BA622">
        <v>6</v>
      </c>
      <c r="BB622">
        <v>5</v>
      </c>
      <c r="BC622">
        <v>1</v>
      </c>
      <c r="BD622">
        <v>1</v>
      </c>
    </row>
    <row r="623" spans="1:56" x14ac:dyDescent="0.25">
      <c r="A623">
        <v>36</v>
      </c>
      <c r="B623" t="str">
        <f>_xlfn.XLOOKUP(Table1[[#This Row],[Attrition]],Table2[Attrition],Table2[Id_Attrition])</f>
        <v>A002</v>
      </c>
      <c r="C623" t="s">
        <v>33</v>
      </c>
      <c r="D623" t="str">
        <f>_xlfn.XLOOKUP(Table1[[#This Row],[BusinessTravel]],Table5[BusinessTravel],Table5[Id_BusinessTravel])</f>
        <v>BS001</v>
      </c>
      <c r="E623" t="s">
        <v>34</v>
      </c>
      <c r="F623">
        <v>928</v>
      </c>
      <c r="G623" t="str">
        <f>_xlfn.XLOOKUP(Table1[[#This Row],[Department]],Table6[Department],Table6[Id_Departement])</f>
        <v>D001</v>
      </c>
      <c r="H623" t="s">
        <v>37</v>
      </c>
      <c r="I623">
        <v>1</v>
      </c>
      <c r="J623" t="str">
        <f>_xlfn.XLOOKUP(Table1[[#This Row],[Education]],Table8[Education],Table8[Id_Education])</f>
        <v>E002</v>
      </c>
      <c r="K623">
        <v>2</v>
      </c>
      <c r="L623" t="str">
        <f>_xlfn.XLOOKUP(Table1[[#This Row],[EducationField]],Table7[EducationField],Table7[Id_EducationField])</f>
        <v>EF001</v>
      </c>
      <c r="M623" t="s">
        <v>40</v>
      </c>
      <c r="N623" t="str">
        <f>_xlfn.XLOOKUP(Table1[[#This Row],[EmployeeNumber]],Table4[EmployeeNumber],Table4[Id_Employee])</f>
        <v>EMP00622</v>
      </c>
      <c r="O623">
        <v>857</v>
      </c>
      <c r="P623" t="str">
        <f>_xlfn.XLOOKUP(Table1[[#This Row],[EnvironmentSatisfaction]],Table9[EnvironmentSatisfaction],Table9[Id_EnviromentSatisfaction])</f>
        <v>ES002</v>
      </c>
      <c r="Q623">
        <v>2</v>
      </c>
      <c r="R623" t="str">
        <f>_xlfn.XLOOKUP(Table1[[#This Row],[EnvironmentSatisfaction]],Table9[EnvironmentSatisfaction],Table9[Deskripsi])</f>
        <v>Medium</v>
      </c>
      <c r="S623" t="str">
        <f>_xlfn.XLOOKUP(Table1[[#This Row],[Gender]],Table10[Gender],Table10[Id_Gender])</f>
        <v>G002</v>
      </c>
      <c r="T623" t="s">
        <v>46</v>
      </c>
      <c r="U623">
        <v>56</v>
      </c>
      <c r="V623" t="str">
        <f>_xlfn.XLOOKUP(Table1[[#This Row],[JobInvolvement]],Table11[JobInvolvement],Table11[Id_JobInvolvement])</f>
        <v>JI003</v>
      </c>
      <c r="W623">
        <v>3</v>
      </c>
      <c r="X623" t="str">
        <f>_xlfn.XLOOKUP(Table1[[#This Row],[JobLevel]],Table12[JobLevel],Table12[Id_JobLevel])</f>
        <v>JL002</v>
      </c>
      <c r="Y623">
        <v>2</v>
      </c>
      <c r="Z623" t="str">
        <f>_xlfn.XLOOKUP(Table1[[#This Row],[JobRole]],Table13[JobRole],Table13[Id_JobRole])</f>
        <v>JR001</v>
      </c>
      <c r="AA623" t="s">
        <v>47</v>
      </c>
      <c r="AB623" t="str">
        <f>_xlfn.XLOOKUP(Table1[[#This Row],[JobSatisfaction]],Table14[JobSatisfaction],Table14[Id_JobSatisfaction])</f>
        <v>JS004</v>
      </c>
      <c r="AC623">
        <v>4</v>
      </c>
      <c r="AD623" t="str">
        <f>_xlfn.XLOOKUP(Table1[[#This Row],[JobSatisfaction]],Table14[JobSatisfaction],Table14[Deskripsi])</f>
        <v>Very High</v>
      </c>
      <c r="AE623" t="str">
        <f>_xlfn.XLOOKUP(Table1[[#This Row],[MaritalStatus]],Table15[MaritalStatus],Table15[Id_MaritalStatus])</f>
        <v>MS002</v>
      </c>
      <c r="AF623" t="s">
        <v>56</v>
      </c>
      <c r="AG623">
        <v>6201</v>
      </c>
      <c r="AH623">
        <v>2823</v>
      </c>
      <c r="AI623">
        <v>1</v>
      </c>
      <c r="AJ623" t="str">
        <f>_xlfn.XLOOKUP(Table1[[#This Row],[OverTime]],Table16[OverTime],Table16[Id_OverTime])</f>
        <v>OT001</v>
      </c>
      <c r="AK623" t="s">
        <v>32</v>
      </c>
      <c r="AL623">
        <v>14</v>
      </c>
      <c r="AM623" t="str">
        <f>_xlfn.XLOOKUP(Table1[[#This Row],[PerformanceRating]],Table17[PerformanceRating],Table17[Id_PerformanceRating])</f>
        <v>PR003</v>
      </c>
      <c r="AN623">
        <v>3</v>
      </c>
      <c r="AO623" t="str">
        <f>_xlfn.XLOOKUP(Table1[[#This Row],[PerformanceRating]],Table17[PerformanceRating],Table17[Deskripsi])</f>
        <v>Excellent</v>
      </c>
      <c r="AP623" t="str">
        <f>_xlfn.XLOOKUP(Table1[[#This Row],[RelationshipSatisfaction]],Table18[RelationshipSatisfaction],Table18[Id_RelationshipSatisfaction])</f>
        <v>RS004</v>
      </c>
      <c r="AQ623">
        <v>4</v>
      </c>
      <c r="AR623" t="str">
        <f>_xlfn.XLOOKUP(Table1[[#This Row],[RelationshipSatisfaction]],Table18[RelationshipSatisfaction],Table18[Deskripsi])</f>
        <v>Very High</v>
      </c>
      <c r="AS623" t="str">
        <f>_xlfn.XLOOKUP(Table1[[#This Row],[StockOptionLevel]],Table19[StockOptionLevel],Table19[Id_StockOptionLevel])</f>
        <v>SOL002</v>
      </c>
      <c r="AT623">
        <v>1</v>
      </c>
      <c r="AU623" t="str">
        <f>_xlfn.XLOOKUP(Table1[[#This Row],[StockOptionLevel]],Table19[StockOptionLevel],Table19[Deskripsi])</f>
        <v>Standard</v>
      </c>
      <c r="AV623">
        <v>18</v>
      </c>
      <c r="AW623">
        <v>1</v>
      </c>
      <c r="AX623" t="str">
        <f>_xlfn.XLOOKUP(Table1[[#This Row],[WorkLifeBalance]],Table20[WorkLifeBalance],Table20[Id_WorkLifeBalance])</f>
        <v>WLB003</v>
      </c>
      <c r="AY623">
        <v>2</v>
      </c>
      <c r="AZ623" t="str">
        <f>_xlfn.XLOOKUP(Table1[[#This Row],[WorkLifeBalance]],Table20[WorkLifeBalance],Table20[Deskripsi])</f>
        <v>Better</v>
      </c>
      <c r="BA623">
        <v>18</v>
      </c>
      <c r="BB623">
        <v>14</v>
      </c>
      <c r="BC623">
        <v>4</v>
      </c>
      <c r="BD623">
        <v>11</v>
      </c>
    </row>
    <row r="624" spans="1:56" x14ac:dyDescent="0.25">
      <c r="A624">
        <v>32</v>
      </c>
      <c r="B624" t="str">
        <f>_xlfn.XLOOKUP(Table1[[#This Row],[Attrition]],Table2[Attrition],Table2[Id_Attrition])</f>
        <v>A002</v>
      </c>
      <c r="C624" t="s">
        <v>33</v>
      </c>
      <c r="D624" t="str">
        <f>_xlfn.XLOOKUP(Table1[[#This Row],[BusinessTravel]],Table5[BusinessTravel],Table5[Id_BusinessTravel])</f>
        <v>BS001</v>
      </c>
      <c r="E624" t="s">
        <v>34</v>
      </c>
      <c r="F624">
        <v>117</v>
      </c>
      <c r="G624" t="str">
        <f>_xlfn.XLOOKUP(Table1[[#This Row],[Department]],Table6[Department],Table6[Id_Departement])</f>
        <v>D001</v>
      </c>
      <c r="H624" t="s">
        <v>37</v>
      </c>
      <c r="I624">
        <v>13</v>
      </c>
      <c r="J624" t="str">
        <f>_xlfn.XLOOKUP(Table1[[#This Row],[Education]],Table8[Education],Table8[Id_Education])</f>
        <v>E004</v>
      </c>
      <c r="K624">
        <v>4</v>
      </c>
      <c r="L624" t="str">
        <f>_xlfn.XLOOKUP(Table1[[#This Row],[EducationField]],Table7[EducationField],Table7[Id_EducationField])</f>
        <v>EF001</v>
      </c>
      <c r="M624" t="s">
        <v>40</v>
      </c>
      <c r="N624" t="str">
        <f>_xlfn.XLOOKUP(Table1[[#This Row],[EmployeeNumber]],Table4[EmployeeNumber],Table4[Id_Employee])</f>
        <v>EMP00623</v>
      </c>
      <c r="O624">
        <v>859</v>
      </c>
      <c r="P624" t="str">
        <f>_xlfn.XLOOKUP(Table1[[#This Row],[EnvironmentSatisfaction]],Table9[EnvironmentSatisfaction],Table9[Id_EnviromentSatisfaction])</f>
        <v>ES002</v>
      </c>
      <c r="Q624">
        <v>2</v>
      </c>
      <c r="R624" t="str">
        <f>_xlfn.XLOOKUP(Table1[[#This Row],[EnvironmentSatisfaction]],Table9[EnvironmentSatisfaction],Table9[Deskripsi])</f>
        <v>Medium</v>
      </c>
      <c r="S624" t="str">
        <f>_xlfn.XLOOKUP(Table1[[#This Row],[Gender]],Table10[Gender],Table10[Id_Gender])</f>
        <v>G002</v>
      </c>
      <c r="T624" t="s">
        <v>46</v>
      </c>
      <c r="U624">
        <v>73</v>
      </c>
      <c r="V624" t="str">
        <f>_xlfn.XLOOKUP(Table1[[#This Row],[JobInvolvement]],Table11[JobInvolvement],Table11[Id_JobInvolvement])</f>
        <v>JI003</v>
      </c>
      <c r="W624">
        <v>3</v>
      </c>
      <c r="X624" t="str">
        <f>_xlfn.XLOOKUP(Table1[[#This Row],[JobLevel]],Table12[JobLevel],Table12[Id_JobLevel])</f>
        <v>JL002</v>
      </c>
      <c r="Y624">
        <v>2</v>
      </c>
      <c r="Z624" t="str">
        <f>_xlfn.XLOOKUP(Table1[[#This Row],[JobRole]],Table13[JobRole],Table13[Id_JobRole])</f>
        <v>JR001</v>
      </c>
      <c r="AA624" t="s">
        <v>47</v>
      </c>
      <c r="AB624" t="str">
        <f>_xlfn.XLOOKUP(Table1[[#This Row],[JobSatisfaction]],Table14[JobSatisfaction],Table14[Id_JobSatisfaction])</f>
        <v>JS004</v>
      </c>
      <c r="AC624">
        <v>4</v>
      </c>
      <c r="AD624" t="str">
        <f>_xlfn.XLOOKUP(Table1[[#This Row],[JobSatisfaction]],Table14[JobSatisfaction],Table14[Deskripsi])</f>
        <v>Very High</v>
      </c>
      <c r="AE624" t="str">
        <f>_xlfn.XLOOKUP(Table1[[#This Row],[MaritalStatus]],Table15[MaritalStatus],Table15[Id_MaritalStatus])</f>
        <v>MS003</v>
      </c>
      <c r="AF624" t="s">
        <v>57</v>
      </c>
      <c r="AG624">
        <v>4403</v>
      </c>
      <c r="AH624">
        <v>9250</v>
      </c>
      <c r="AI624">
        <v>2</v>
      </c>
      <c r="AJ624" t="str">
        <f>_xlfn.XLOOKUP(Table1[[#This Row],[OverTime]],Table16[OverTime],Table16[Id_OverTime])</f>
        <v>OT002</v>
      </c>
      <c r="AK624" t="s">
        <v>33</v>
      </c>
      <c r="AL624">
        <v>11</v>
      </c>
      <c r="AM624" t="str">
        <f>_xlfn.XLOOKUP(Table1[[#This Row],[PerformanceRating]],Table17[PerformanceRating],Table17[Id_PerformanceRating])</f>
        <v>PR003</v>
      </c>
      <c r="AN624">
        <v>3</v>
      </c>
      <c r="AO624" t="str">
        <f>_xlfn.XLOOKUP(Table1[[#This Row],[PerformanceRating]],Table17[PerformanceRating],Table17[Deskripsi])</f>
        <v>Excellent</v>
      </c>
      <c r="AP624" t="str">
        <f>_xlfn.XLOOKUP(Table1[[#This Row],[RelationshipSatisfaction]],Table18[RelationshipSatisfaction],Table18[Id_RelationshipSatisfaction])</f>
        <v>RS003</v>
      </c>
      <c r="AQ624">
        <v>3</v>
      </c>
      <c r="AR624" t="str">
        <f>_xlfn.XLOOKUP(Table1[[#This Row],[RelationshipSatisfaction]],Table18[RelationshipSatisfaction],Table18[Deskripsi])</f>
        <v>High</v>
      </c>
      <c r="AS624" t="str">
        <f>_xlfn.XLOOKUP(Table1[[#This Row],[StockOptionLevel]],Table19[StockOptionLevel],Table19[Id_StockOptionLevel])</f>
        <v>SOL002</v>
      </c>
      <c r="AT624">
        <v>1</v>
      </c>
      <c r="AU624" t="str">
        <f>_xlfn.XLOOKUP(Table1[[#This Row],[StockOptionLevel]],Table19[StockOptionLevel],Table19[Deskripsi])</f>
        <v>Standard</v>
      </c>
      <c r="AV624">
        <v>8</v>
      </c>
      <c r="AW624">
        <v>3</v>
      </c>
      <c r="AX624" t="str">
        <f>_xlfn.XLOOKUP(Table1[[#This Row],[WorkLifeBalance]],Table20[WorkLifeBalance],Table20[Id_WorkLifeBalance])</f>
        <v>WLB003</v>
      </c>
      <c r="AY624">
        <v>2</v>
      </c>
      <c r="AZ624" t="str">
        <f>_xlfn.XLOOKUP(Table1[[#This Row],[WorkLifeBalance]],Table20[WorkLifeBalance],Table20[Deskripsi])</f>
        <v>Better</v>
      </c>
      <c r="BA624">
        <v>5</v>
      </c>
      <c r="BB624">
        <v>2</v>
      </c>
      <c r="BC624">
        <v>0</v>
      </c>
      <c r="BD624">
        <v>3</v>
      </c>
    </row>
    <row r="625" spans="1:56" x14ac:dyDescent="0.25">
      <c r="A625">
        <v>30</v>
      </c>
      <c r="B625" t="str">
        <f>_xlfn.XLOOKUP(Table1[[#This Row],[Attrition]],Table2[Attrition],Table2[Id_Attrition])</f>
        <v>A002</v>
      </c>
      <c r="C625" t="s">
        <v>33</v>
      </c>
      <c r="D625" t="str">
        <f>_xlfn.XLOOKUP(Table1[[#This Row],[BusinessTravel]],Table5[BusinessTravel],Table5[Id_BusinessTravel])</f>
        <v>BS002</v>
      </c>
      <c r="E625" t="s">
        <v>35</v>
      </c>
      <c r="F625">
        <v>1012</v>
      </c>
      <c r="G625" t="str">
        <f>_xlfn.XLOOKUP(Table1[[#This Row],[Department]],Table6[Department],Table6[Id_Departement])</f>
        <v>D002</v>
      </c>
      <c r="H625" t="s">
        <v>38</v>
      </c>
      <c r="I625">
        <v>5</v>
      </c>
      <c r="J625" t="str">
        <f>_xlfn.XLOOKUP(Table1[[#This Row],[Education]],Table8[Education],Table8[Id_Education])</f>
        <v>E004</v>
      </c>
      <c r="K625">
        <v>4</v>
      </c>
      <c r="L625" t="str">
        <f>_xlfn.XLOOKUP(Table1[[#This Row],[EducationField]],Table7[EducationField],Table7[Id_EducationField])</f>
        <v>EF001</v>
      </c>
      <c r="M625" t="s">
        <v>40</v>
      </c>
      <c r="N625" t="str">
        <f>_xlfn.XLOOKUP(Table1[[#This Row],[EmployeeNumber]],Table4[EmployeeNumber],Table4[Id_Employee])</f>
        <v>EMP00624</v>
      </c>
      <c r="O625">
        <v>861</v>
      </c>
      <c r="P625" t="str">
        <f>_xlfn.XLOOKUP(Table1[[#This Row],[EnvironmentSatisfaction]],Table9[EnvironmentSatisfaction],Table9[Id_EnviromentSatisfaction])</f>
        <v>ES002</v>
      </c>
      <c r="Q625">
        <v>2</v>
      </c>
      <c r="R625" t="str">
        <f>_xlfn.XLOOKUP(Table1[[#This Row],[EnvironmentSatisfaction]],Table9[EnvironmentSatisfaction],Table9[Deskripsi])</f>
        <v>Medium</v>
      </c>
      <c r="S625" t="str">
        <f>_xlfn.XLOOKUP(Table1[[#This Row],[Gender]],Table10[Gender],Table10[Id_Gender])</f>
        <v>G002</v>
      </c>
      <c r="T625" t="s">
        <v>46</v>
      </c>
      <c r="U625">
        <v>75</v>
      </c>
      <c r="V625" t="str">
        <f>_xlfn.XLOOKUP(Table1[[#This Row],[JobInvolvement]],Table11[JobInvolvement],Table11[Id_JobInvolvement])</f>
        <v>JI002</v>
      </c>
      <c r="W625">
        <v>2</v>
      </c>
      <c r="X625" t="str">
        <f>_xlfn.XLOOKUP(Table1[[#This Row],[JobLevel]],Table12[JobLevel],Table12[Id_JobLevel])</f>
        <v>JL001</v>
      </c>
      <c r="Y625">
        <v>1</v>
      </c>
      <c r="Z625" t="str">
        <f>_xlfn.XLOOKUP(Table1[[#This Row],[JobRole]],Table13[JobRole],Table13[Id_JobRole])</f>
        <v>JR002</v>
      </c>
      <c r="AA625" t="s">
        <v>48</v>
      </c>
      <c r="AB625" t="str">
        <f>_xlfn.XLOOKUP(Table1[[#This Row],[JobSatisfaction]],Table14[JobSatisfaction],Table14[Id_JobSatisfaction])</f>
        <v>JS004</v>
      </c>
      <c r="AC625">
        <v>4</v>
      </c>
      <c r="AD625" t="str">
        <f>_xlfn.XLOOKUP(Table1[[#This Row],[JobSatisfaction]],Table14[JobSatisfaction],Table14[Deskripsi])</f>
        <v>Very High</v>
      </c>
      <c r="AE625" t="str">
        <f>_xlfn.XLOOKUP(Table1[[#This Row],[MaritalStatus]],Table15[MaritalStatus],Table15[Id_MaritalStatus])</f>
        <v>MS003</v>
      </c>
      <c r="AF625" t="s">
        <v>57</v>
      </c>
      <c r="AG625">
        <v>3761</v>
      </c>
      <c r="AH625">
        <v>2373</v>
      </c>
      <c r="AI625">
        <v>9</v>
      </c>
      <c r="AJ625" t="str">
        <f>_xlfn.XLOOKUP(Table1[[#This Row],[OverTime]],Table16[OverTime],Table16[Id_OverTime])</f>
        <v>OT002</v>
      </c>
      <c r="AK625" t="s">
        <v>33</v>
      </c>
      <c r="AL625">
        <v>12</v>
      </c>
      <c r="AM625" t="str">
        <f>_xlfn.XLOOKUP(Table1[[#This Row],[PerformanceRating]],Table17[PerformanceRating],Table17[Id_PerformanceRating])</f>
        <v>PR003</v>
      </c>
      <c r="AN625">
        <v>3</v>
      </c>
      <c r="AO625" t="str">
        <f>_xlfn.XLOOKUP(Table1[[#This Row],[PerformanceRating]],Table17[PerformanceRating],Table17[Deskripsi])</f>
        <v>Excellent</v>
      </c>
      <c r="AP625" t="str">
        <f>_xlfn.XLOOKUP(Table1[[#This Row],[RelationshipSatisfaction]],Table18[RelationshipSatisfaction],Table18[Id_RelationshipSatisfaction])</f>
        <v>RS002</v>
      </c>
      <c r="AQ625">
        <v>2</v>
      </c>
      <c r="AR625" t="str">
        <f>_xlfn.XLOOKUP(Table1[[#This Row],[RelationshipSatisfaction]],Table18[RelationshipSatisfaction],Table18[Deskripsi])</f>
        <v>Medium</v>
      </c>
      <c r="AS625" t="str">
        <f>_xlfn.XLOOKUP(Table1[[#This Row],[StockOptionLevel]],Table19[StockOptionLevel],Table19[Id_StockOptionLevel])</f>
        <v>SOL002</v>
      </c>
      <c r="AT625">
        <v>1</v>
      </c>
      <c r="AU625" t="str">
        <f>_xlfn.XLOOKUP(Table1[[#This Row],[StockOptionLevel]],Table19[StockOptionLevel],Table19[Deskripsi])</f>
        <v>Standard</v>
      </c>
      <c r="AV625">
        <v>10</v>
      </c>
      <c r="AW625">
        <v>3</v>
      </c>
      <c r="AX625" t="str">
        <f>_xlfn.XLOOKUP(Table1[[#This Row],[WorkLifeBalance]],Table20[WorkLifeBalance],Table20[Id_WorkLifeBalance])</f>
        <v>WLB003</v>
      </c>
      <c r="AY625">
        <v>2</v>
      </c>
      <c r="AZ625" t="str">
        <f>_xlfn.XLOOKUP(Table1[[#This Row],[WorkLifeBalance]],Table20[WorkLifeBalance],Table20[Deskripsi])</f>
        <v>Better</v>
      </c>
      <c r="BA625">
        <v>5</v>
      </c>
      <c r="BB625">
        <v>4</v>
      </c>
      <c r="BC625">
        <v>0</v>
      </c>
      <c r="BD625">
        <v>3</v>
      </c>
    </row>
    <row r="626" spans="1:56" x14ac:dyDescent="0.25">
      <c r="A626">
        <v>53</v>
      </c>
      <c r="B626" t="str">
        <f>_xlfn.XLOOKUP(Table1[[#This Row],[Attrition]],Table2[Attrition],Table2[Id_Attrition])</f>
        <v>A002</v>
      </c>
      <c r="C626" t="s">
        <v>33</v>
      </c>
      <c r="D626" t="str">
        <f>_xlfn.XLOOKUP(Table1[[#This Row],[BusinessTravel]],Table5[BusinessTravel],Table5[Id_BusinessTravel])</f>
        <v>BS001</v>
      </c>
      <c r="E626" t="s">
        <v>34</v>
      </c>
      <c r="F626">
        <v>661</v>
      </c>
      <c r="G626" t="str">
        <f>_xlfn.XLOOKUP(Table1[[#This Row],[Department]],Table6[Department],Table6[Id_Departement])</f>
        <v>D001</v>
      </c>
      <c r="H626" t="s">
        <v>37</v>
      </c>
      <c r="I626">
        <v>7</v>
      </c>
      <c r="J626" t="str">
        <f>_xlfn.XLOOKUP(Table1[[#This Row],[Education]],Table8[Education],Table8[Id_Education])</f>
        <v>E002</v>
      </c>
      <c r="K626">
        <v>2</v>
      </c>
      <c r="L626" t="str">
        <f>_xlfn.XLOOKUP(Table1[[#This Row],[EducationField]],Table7[EducationField],Table7[Id_EducationField])</f>
        <v>EF004</v>
      </c>
      <c r="M626" t="s">
        <v>43</v>
      </c>
      <c r="N626" t="str">
        <f>_xlfn.XLOOKUP(Table1[[#This Row],[EmployeeNumber]],Table4[EmployeeNumber],Table4[Id_Employee])</f>
        <v>EMP00625</v>
      </c>
      <c r="O626">
        <v>862</v>
      </c>
      <c r="P626" t="str">
        <f>_xlfn.XLOOKUP(Table1[[#This Row],[EnvironmentSatisfaction]],Table9[EnvironmentSatisfaction],Table9[Id_EnviromentSatisfaction])</f>
        <v>ES001</v>
      </c>
      <c r="Q626">
        <v>1</v>
      </c>
      <c r="R626" t="str">
        <f>_xlfn.XLOOKUP(Table1[[#This Row],[EnvironmentSatisfaction]],Table9[EnvironmentSatisfaction],Table9[Deskripsi])</f>
        <v>Low</v>
      </c>
      <c r="S626" t="str">
        <f>_xlfn.XLOOKUP(Table1[[#This Row],[Gender]],Table10[Gender],Table10[Id_Gender])</f>
        <v>G001</v>
      </c>
      <c r="T626" t="s">
        <v>45</v>
      </c>
      <c r="U626">
        <v>78</v>
      </c>
      <c r="V626" t="str">
        <f>_xlfn.XLOOKUP(Table1[[#This Row],[JobInvolvement]],Table11[JobInvolvement],Table11[Id_JobInvolvement])</f>
        <v>JI002</v>
      </c>
      <c r="W626">
        <v>2</v>
      </c>
      <c r="X626" t="str">
        <f>_xlfn.XLOOKUP(Table1[[#This Row],[JobLevel]],Table12[JobLevel],Table12[Id_JobLevel])</f>
        <v>JL003</v>
      </c>
      <c r="Y626">
        <v>3</v>
      </c>
      <c r="Z626" t="str">
        <f>_xlfn.XLOOKUP(Table1[[#This Row],[JobRole]],Table13[JobRole],Table13[Id_JobRole])</f>
        <v>JR001</v>
      </c>
      <c r="AA626" t="s">
        <v>47</v>
      </c>
      <c r="AB626" t="str">
        <f>_xlfn.XLOOKUP(Table1[[#This Row],[JobSatisfaction]],Table14[JobSatisfaction],Table14[Id_JobSatisfaction])</f>
        <v>JS004</v>
      </c>
      <c r="AC626">
        <v>4</v>
      </c>
      <c r="AD626" t="str">
        <f>_xlfn.XLOOKUP(Table1[[#This Row],[JobSatisfaction]],Table14[JobSatisfaction],Table14[Deskripsi])</f>
        <v>Very High</v>
      </c>
      <c r="AE626" t="str">
        <f>_xlfn.XLOOKUP(Table1[[#This Row],[MaritalStatus]],Table15[MaritalStatus],Table15[Id_MaritalStatus])</f>
        <v>MS002</v>
      </c>
      <c r="AF626" t="s">
        <v>56</v>
      </c>
      <c r="AG626">
        <v>10934</v>
      </c>
      <c r="AH626">
        <v>20715</v>
      </c>
      <c r="AI626">
        <v>7</v>
      </c>
      <c r="AJ626" t="str">
        <f>_xlfn.XLOOKUP(Table1[[#This Row],[OverTime]],Table16[OverTime],Table16[Id_OverTime])</f>
        <v>OT001</v>
      </c>
      <c r="AK626" t="s">
        <v>32</v>
      </c>
      <c r="AL626">
        <v>18</v>
      </c>
      <c r="AM626" t="str">
        <f>_xlfn.XLOOKUP(Table1[[#This Row],[PerformanceRating]],Table17[PerformanceRating],Table17[Id_PerformanceRating])</f>
        <v>PR003</v>
      </c>
      <c r="AN626">
        <v>3</v>
      </c>
      <c r="AO626" t="str">
        <f>_xlfn.XLOOKUP(Table1[[#This Row],[PerformanceRating]],Table17[PerformanceRating],Table17[Deskripsi])</f>
        <v>Excellent</v>
      </c>
      <c r="AP626" t="str">
        <f>_xlfn.XLOOKUP(Table1[[#This Row],[RelationshipSatisfaction]],Table18[RelationshipSatisfaction],Table18[Id_RelationshipSatisfaction])</f>
        <v>RS004</v>
      </c>
      <c r="AQ626">
        <v>4</v>
      </c>
      <c r="AR626" t="str">
        <f>_xlfn.XLOOKUP(Table1[[#This Row],[RelationshipSatisfaction]],Table18[RelationshipSatisfaction],Table18[Deskripsi])</f>
        <v>Very High</v>
      </c>
      <c r="AS626" t="str">
        <f>_xlfn.XLOOKUP(Table1[[#This Row],[StockOptionLevel]],Table19[StockOptionLevel],Table19[Id_StockOptionLevel])</f>
        <v>SOL002</v>
      </c>
      <c r="AT626">
        <v>1</v>
      </c>
      <c r="AU626" t="str">
        <f>_xlfn.XLOOKUP(Table1[[#This Row],[StockOptionLevel]],Table19[StockOptionLevel],Table19[Deskripsi])</f>
        <v>Standard</v>
      </c>
      <c r="AV626">
        <v>35</v>
      </c>
      <c r="AW626">
        <v>3</v>
      </c>
      <c r="AX626" t="str">
        <f>_xlfn.XLOOKUP(Table1[[#This Row],[WorkLifeBalance]],Table20[WorkLifeBalance],Table20[Id_WorkLifeBalance])</f>
        <v>WLB002</v>
      </c>
      <c r="AY626">
        <v>3</v>
      </c>
      <c r="AZ626" t="str">
        <f>_xlfn.XLOOKUP(Table1[[#This Row],[WorkLifeBalance]],Table20[WorkLifeBalance],Table20[Deskripsi])</f>
        <v>Good</v>
      </c>
      <c r="BA626">
        <v>5</v>
      </c>
      <c r="BB626">
        <v>2</v>
      </c>
      <c r="BC626">
        <v>0</v>
      </c>
      <c r="BD626">
        <v>4</v>
      </c>
    </row>
    <row r="627" spans="1:56" x14ac:dyDescent="0.25">
      <c r="A627">
        <v>45</v>
      </c>
      <c r="B627" t="str">
        <f>_xlfn.XLOOKUP(Table1[[#This Row],[Attrition]],Table2[Attrition],Table2[Id_Attrition])</f>
        <v>A002</v>
      </c>
      <c r="C627" t="s">
        <v>33</v>
      </c>
      <c r="D627" t="str">
        <f>_xlfn.XLOOKUP(Table1[[#This Row],[BusinessTravel]],Table5[BusinessTravel],Table5[Id_BusinessTravel])</f>
        <v>BS001</v>
      </c>
      <c r="E627" t="s">
        <v>34</v>
      </c>
      <c r="F627">
        <v>930</v>
      </c>
      <c r="G627" t="str">
        <f>_xlfn.XLOOKUP(Table1[[#This Row],[Department]],Table6[Department],Table6[Id_Departement])</f>
        <v>D001</v>
      </c>
      <c r="H627" t="s">
        <v>37</v>
      </c>
      <c r="I627">
        <v>9</v>
      </c>
      <c r="J627" t="str">
        <f>_xlfn.XLOOKUP(Table1[[#This Row],[Education]],Table8[Education],Table8[Id_Education])</f>
        <v>E003</v>
      </c>
      <c r="K627">
        <v>3</v>
      </c>
      <c r="L627" t="str">
        <f>_xlfn.XLOOKUP(Table1[[#This Row],[EducationField]],Table7[EducationField],Table7[Id_EducationField])</f>
        <v>EF004</v>
      </c>
      <c r="M627" t="s">
        <v>43</v>
      </c>
      <c r="N627" t="str">
        <f>_xlfn.XLOOKUP(Table1[[#This Row],[EmployeeNumber]],Table4[EmployeeNumber],Table4[Id_Employee])</f>
        <v>EMP00626</v>
      </c>
      <c r="O627">
        <v>864</v>
      </c>
      <c r="P627" t="str">
        <f>_xlfn.XLOOKUP(Table1[[#This Row],[EnvironmentSatisfaction]],Table9[EnvironmentSatisfaction],Table9[Id_EnviromentSatisfaction])</f>
        <v>ES004</v>
      </c>
      <c r="Q627">
        <v>4</v>
      </c>
      <c r="R627" t="str">
        <f>_xlfn.XLOOKUP(Table1[[#This Row],[EnvironmentSatisfaction]],Table9[EnvironmentSatisfaction],Table9[Deskripsi])</f>
        <v>Very High</v>
      </c>
      <c r="S627" t="str">
        <f>_xlfn.XLOOKUP(Table1[[#This Row],[Gender]],Table10[Gender],Table10[Id_Gender])</f>
        <v>G002</v>
      </c>
      <c r="T627" t="s">
        <v>46</v>
      </c>
      <c r="U627">
        <v>74</v>
      </c>
      <c r="V627" t="str">
        <f>_xlfn.XLOOKUP(Table1[[#This Row],[JobInvolvement]],Table11[JobInvolvement],Table11[Id_JobInvolvement])</f>
        <v>JI003</v>
      </c>
      <c r="W627">
        <v>3</v>
      </c>
      <c r="X627" t="str">
        <f>_xlfn.XLOOKUP(Table1[[#This Row],[JobLevel]],Table12[JobLevel],Table12[Id_JobLevel])</f>
        <v>JL003</v>
      </c>
      <c r="Y627">
        <v>3</v>
      </c>
      <c r="Z627" t="str">
        <f>_xlfn.XLOOKUP(Table1[[#This Row],[JobRole]],Table13[JobRole],Table13[Id_JobRole])</f>
        <v>JR001</v>
      </c>
      <c r="AA627" t="s">
        <v>47</v>
      </c>
      <c r="AB627" t="str">
        <f>_xlfn.XLOOKUP(Table1[[#This Row],[JobSatisfaction]],Table14[JobSatisfaction],Table14[Id_JobSatisfaction])</f>
        <v>JS001</v>
      </c>
      <c r="AC627">
        <v>1</v>
      </c>
      <c r="AD627" t="str">
        <f>_xlfn.XLOOKUP(Table1[[#This Row],[JobSatisfaction]],Table14[JobSatisfaction],Table14[Deskripsi])</f>
        <v>Low</v>
      </c>
      <c r="AE627" t="str">
        <f>_xlfn.XLOOKUP(Table1[[#This Row],[MaritalStatus]],Table15[MaritalStatus],Table15[Id_MaritalStatus])</f>
        <v>MS003</v>
      </c>
      <c r="AF627" t="s">
        <v>57</v>
      </c>
      <c r="AG627">
        <v>10761</v>
      </c>
      <c r="AH627">
        <v>19239</v>
      </c>
      <c r="AI627">
        <v>4</v>
      </c>
      <c r="AJ627" t="str">
        <f>_xlfn.XLOOKUP(Table1[[#This Row],[OverTime]],Table16[OverTime],Table16[Id_OverTime])</f>
        <v>OT001</v>
      </c>
      <c r="AK627" t="s">
        <v>32</v>
      </c>
      <c r="AL627">
        <v>12</v>
      </c>
      <c r="AM627" t="str">
        <f>_xlfn.XLOOKUP(Table1[[#This Row],[PerformanceRating]],Table17[PerformanceRating],Table17[Id_PerformanceRating])</f>
        <v>PR003</v>
      </c>
      <c r="AN627">
        <v>3</v>
      </c>
      <c r="AO627" t="str">
        <f>_xlfn.XLOOKUP(Table1[[#This Row],[PerformanceRating]],Table17[PerformanceRating],Table17[Deskripsi])</f>
        <v>Excellent</v>
      </c>
      <c r="AP627" t="str">
        <f>_xlfn.XLOOKUP(Table1[[#This Row],[RelationshipSatisfaction]],Table18[RelationshipSatisfaction],Table18[Id_RelationshipSatisfaction])</f>
        <v>RS003</v>
      </c>
      <c r="AQ627">
        <v>3</v>
      </c>
      <c r="AR627" t="str">
        <f>_xlfn.XLOOKUP(Table1[[#This Row],[RelationshipSatisfaction]],Table18[RelationshipSatisfaction],Table18[Deskripsi])</f>
        <v>High</v>
      </c>
      <c r="AS627" t="str">
        <f>_xlfn.XLOOKUP(Table1[[#This Row],[StockOptionLevel]],Table19[StockOptionLevel],Table19[Id_StockOptionLevel])</f>
        <v>SOL002</v>
      </c>
      <c r="AT627">
        <v>1</v>
      </c>
      <c r="AU627" t="str">
        <f>_xlfn.XLOOKUP(Table1[[#This Row],[StockOptionLevel]],Table19[StockOptionLevel],Table19[Deskripsi])</f>
        <v>Standard</v>
      </c>
      <c r="AV627">
        <v>18</v>
      </c>
      <c r="AW627">
        <v>2</v>
      </c>
      <c r="AX627" t="str">
        <f>_xlfn.XLOOKUP(Table1[[#This Row],[WorkLifeBalance]],Table20[WorkLifeBalance],Table20[Id_WorkLifeBalance])</f>
        <v>WLB002</v>
      </c>
      <c r="AY627">
        <v>3</v>
      </c>
      <c r="AZ627" t="str">
        <f>_xlfn.XLOOKUP(Table1[[#This Row],[WorkLifeBalance]],Table20[WorkLifeBalance],Table20[Deskripsi])</f>
        <v>Good</v>
      </c>
      <c r="BA627">
        <v>5</v>
      </c>
      <c r="BB627">
        <v>4</v>
      </c>
      <c r="BC627">
        <v>0</v>
      </c>
      <c r="BD627">
        <v>2</v>
      </c>
    </row>
    <row r="628" spans="1:56" x14ac:dyDescent="0.25">
      <c r="A628">
        <v>32</v>
      </c>
      <c r="B628" t="str">
        <f>_xlfn.XLOOKUP(Table1[[#This Row],[Attrition]],Table2[Attrition],Table2[Id_Attrition])</f>
        <v>A002</v>
      </c>
      <c r="C628" t="s">
        <v>33</v>
      </c>
      <c r="D628" t="str">
        <f>_xlfn.XLOOKUP(Table1[[#This Row],[BusinessTravel]],Table5[BusinessTravel],Table5[Id_BusinessTravel])</f>
        <v>BS001</v>
      </c>
      <c r="E628" t="s">
        <v>34</v>
      </c>
      <c r="F628">
        <v>638</v>
      </c>
      <c r="G628" t="str">
        <f>_xlfn.XLOOKUP(Table1[[#This Row],[Department]],Table6[Department],Table6[Id_Departement])</f>
        <v>D002</v>
      </c>
      <c r="H628" t="s">
        <v>38</v>
      </c>
      <c r="I628">
        <v>8</v>
      </c>
      <c r="J628" t="str">
        <f>_xlfn.XLOOKUP(Table1[[#This Row],[Education]],Table8[Education],Table8[Id_Education])</f>
        <v>E002</v>
      </c>
      <c r="K628">
        <v>2</v>
      </c>
      <c r="L628" t="str">
        <f>_xlfn.XLOOKUP(Table1[[#This Row],[EducationField]],Table7[EducationField],Table7[Id_EducationField])</f>
        <v>EF003</v>
      </c>
      <c r="M628" t="s">
        <v>42</v>
      </c>
      <c r="N628" t="str">
        <f>_xlfn.XLOOKUP(Table1[[#This Row],[EmployeeNumber]],Table4[EmployeeNumber],Table4[Id_Employee])</f>
        <v>EMP00627</v>
      </c>
      <c r="O628">
        <v>865</v>
      </c>
      <c r="P628" t="str">
        <f>_xlfn.XLOOKUP(Table1[[#This Row],[EnvironmentSatisfaction]],Table9[EnvironmentSatisfaction],Table9[Id_EnviromentSatisfaction])</f>
        <v>ES003</v>
      </c>
      <c r="Q628">
        <v>3</v>
      </c>
      <c r="R628" t="str">
        <f>_xlfn.XLOOKUP(Table1[[#This Row],[EnvironmentSatisfaction]],Table9[EnvironmentSatisfaction],Table9[Deskripsi])</f>
        <v>High</v>
      </c>
      <c r="S628" t="str">
        <f>_xlfn.XLOOKUP(Table1[[#This Row],[Gender]],Table10[Gender],Table10[Id_Gender])</f>
        <v>G001</v>
      </c>
      <c r="T628" t="s">
        <v>45</v>
      </c>
      <c r="U628">
        <v>91</v>
      </c>
      <c r="V628" t="str">
        <f>_xlfn.XLOOKUP(Table1[[#This Row],[JobInvolvement]],Table11[JobInvolvement],Table11[Id_JobInvolvement])</f>
        <v>JI004</v>
      </c>
      <c r="W628">
        <v>4</v>
      </c>
      <c r="X628" t="str">
        <f>_xlfn.XLOOKUP(Table1[[#This Row],[JobLevel]],Table12[JobLevel],Table12[Id_JobLevel])</f>
        <v>JL002</v>
      </c>
      <c r="Y628">
        <v>2</v>
      </c>
      <c r="Z628" t="str">
        <f>_xlfn.XLOOKUP(Table1[[#This Row],[JobRole]],Table13[JobRole],Table13[Id_JobRole])</f>
        <v>JR002</v>
      </c>
      <c r="AA628" t="s">
        <v>48</v>
      </c>
      <c r="AB628" t="str">
        <f>_xlfn.XLOOKUP(Table1[[#This Row],[JobSatisfaction]],Table14[JobSatisfaction],Table14[Id_JobSatisfaction])</f>
        <v>JS003</v>
      </c>
      <c r="AC628">
        <v>3</v>
      </c>
      <c r="AD628" t="str">
        <f>_xlfn.XLOOKUP(Table1[[#This Row],[JobSatisfaction]],Table14[JobSatisfaction],Table14[Deskripsi])</f>
        <v>High</v>
      </c>
      <c r="AE628" t="str">
        <f>_xlfn.XLOOKUP(Table1[[#This Row],[MaritalStatus]],Table15[MaritalStatus],Table15[Id_MaritalStatus])</f>
        <v>MS002</v>
      </c>
      <c r="AF628" t="s">
        <v>56</v>
      </c>
      <c r="AG628">
        <v>5175</v>
      </c>
      <c r="AH628">
        <v>22162</v>
      </c>
      <c r="AI628">
        <v>5</v>
      </c>
      <c r="AJ628" t="str">
        <f>_xlfn.XLOOKUP(Table1[[#This Row],[OverTime]],Table16[OverTime],Table16[Id_OverTime])</f>
        <v>OT002</v>
      </c>
      <c r="AK628" t="s">
        <v>33</v>
      </c>
      <c r="AL628">
        <v>12</v>
      </c>
      <c r="AM628" t="str">
        <f>_xlfn.XLOOKUP(Table1[[#This Row],[PerformanceRating]],Table17[PerformanceRating],Table17[Id_PerformanceRating])</f>
        <v>PR003</v>
      </c>
      <c r="AN628">
        <v>3</v>
      </c>
      <c r="AO628" t="str">
        <f>_xlfn.XLOOKUP(Table1[[#This Row],[PerformanceRating]],Table17[PerformanceRating],Table17[Deskripsi])</f>
        <v>Excellent</v>
      </c>
      <c r="AP628" t="str">
        <f>_xlfn.XLOOKUP(Table1[[#This Row],[RelationshipSatisfaction]],Table18[RelationshipSatisfaction],Table18[Id_RelationshipSatisfaction])</f>
        <v>RS003</v>
      </c>
      <c r="AQ628">
        <v>3</v>
      </c>
      <c r="AR628" t="str">
        <f>_xlfn.XLOOKUP(Table1[[#This Row],[RelationshipSatisfaction]],Table18[RelationshipSatisfaction],Table18[Deskripsi])</f>
        <v>High</v>
      </c>
      <c r="AS628" t="str">
        <f>_xlfn.XLOOKUP(Table1[[#This Row],[StockOptionLevel]],Table19[StockOptionLevel],Table19[Id_StockOptionLevel])</f>
        <v>SOL002</v>
      </c>
      <c r="AT628">
        <v>1</v>
      </c>
      <c r="AU628" t="str">
        <f>_xlfn.XLOOKUP(Table1[[#This Row],[StockOptionLevel]],Table19[StockOptionLevel],Table19[Deskripsi])</f>
        <v>Standard</v>
      </c>
      <c r="AV628">
        <v>9</v>
      </c>
      <c r="AW628">
        <v>3</v>
      </c>
      <c r="AX628" t="str">
        <f>_xlfn.XLOOKUP(Table1[[#This Row],[WorkLifeBalance]],Table20[WorkLifeBalance],Table20[Id_WorkLifeBalance])</f>
        <v>WLB003</v>
      </c>
      <c r="AY628">
        <v>2</v>
      </c>
      <c r="AZ628" t="str">
        <f>_xlfn.XLOOKUP(Table1[[#This Row],[WorkLifeBalance]],Table20[WorkLifeBalance],Table20[Deskripsi])</f>
        <v>Better</v>
      </c>
      <c r="BA628">
        <v>5</v>
      </c>
      <c r="BB628">
        <v>3</v>
      </c>
      <c r="BC628">
        <v>1</v>
      </c>
      <c r="BD628">
        <v>3</v>
      </c>
    </row>
    <row r="629" spans="1:56" x14ac:dyDescent="0.25">
      <c r="A629">
        <v>52</v>
      </c>
      <c r="B629" t="str">
        <f>_xlfn.XLOOKUP(Table1[[#This Row],[Attrition]],Table2[Attrition],Table2[Id_Attrition])</f>
        <v>A002</v>
      </c>
      <c r="C629" t="s">
        <v>33</v>
      </c>
      <c r="D629" t="str">
        <f>_xlfn.XLOOKUP(Table1[[#This Row],[BusinessTravel]],Table5[BusinessTravel],Table5[Id_BusinessTravel])</f>
        <v>BS002</v>
      </c>
      <c r="E629" t="s">
        <v>35</v>
      </c>
      <c r="F629">
        <v>890</v>
      </c>
      <c r="G629" t="str">
        <f>_xlfn.XLOOKUP(Table1[[#This Row],[Department]],Table6[Department],Table6[Id_Departement])</f>
        <v>D002</v>
      </c>
      <c r="H629" t="s">
        <v>38</v>
      </c>
      <c r="I629">
        <v>25</v>
      </c>
      <c r="J629" t="str">
        <f>_xlfn.XLOOKUP(Table1[[#This Row],[Education]],Table8[Education],Table8[Id_Education])</f>
        <v>E004</v>
      </c>
      <c r="K629">
        <v>4</v>
      </c>
      <c r="L629" t="str">
        <f>_xlfn.XLOOKUP(Table1[[#This Row],[EducationField]],Table7[EducationField],Table7[Id_EducationField])</f>
        <v>EF003</v>
      </c>
      <c r="M629" t="s">
        <v>42</v>
      </c>
      <c r="N629" t="str">
        <f>_xlfn.XLOOKUP(Table1[[#This Row],[EmployeeNumber]],Table4[EmployeeNumber],Table4[Id_Employee])</f>
        <v>EMP00628</v>
      </c>
      <c r="O629">
        <v>867</v>
      </c>
      <c r="P629" t="str">
        <f>_xlfn.XLOOKUP(Table1[[#This Row],[EnvironmentSatisfaction]],Table9[EnvironmentSatisfaction],Table9[Id_EnviromentSatisfaction])</f>
        <v>ES003</v>
      </c>
      <c r="Q629">
        <v>3</v>
      </c>
      <c r="R629" t="str">
        <f>_xlfn.XLOOKUP(Table1[[#This Row],[EnvironmentSatisfaction]],Table9[EnvironmentSatisfaction],Table9[Deskripsi])</f>
        <v>High</v>
      </c>
      <c r="S629" t="str">
        <f>_xlfn.XLOOKUP(Table1[[#This Row],[Gender]],Table10[Gender],Table10[Id_Gender])</f>
        <v>G001</v>
      </c>
      <c r="T629" t="s">
        <v>45</v>
      </c>
      <c r="U629">
        <v>81</v>
      </c>
      <c r="V629" t="str">
        <f>_xlfn.XLOOKUP(Table1[[#This Row],[JobInvolvement]],Table11[JobInvolvement],Table11[Id_JobInvolvement])</f>
        <v>JI002</v>
      </c>
      <c r="W629">
        <v>2</v>
      </c>
      <c r="X629" t="str">
        <f>_xlfn.XLOOKUP(Table1[[#This Row],[JobLevel]],Table12[JobLevel],Table12[Id_JobLevel])</f>
        <v>JL004</v>
      </c>
      <c r="Y629">
        <v>4</v>
      </c>
      <c r="Z629" t="str">
        <f>_xlfn.XLOOKUP(Table1[[#This Row],[JobRole]],Table13[JobRole],Table13[Id_JobRole])</f>
        <v>JR004</v>
      </c>
      <c r="AA629" t="s">
        <v>50</v>
      </c>
      <c r="AB629" t="str">
        <f>_xlfn.XLOOKUP(Table1[[#This Row],[JobSatisfaction]],Table14[JobSatisfaction],Table14[Id_JobSatisfaction])</f>
        <v>JS004</v>
      </c>
      <c r="AC629">
        <v>4</v>
      </c>
      <c r="AD629" t="str">
        <f>_xlfn.XLOOKUP(Table1[[#This Row],[JobSatisfaction]],Table14[JobSatisfaction],Table14[Deskripsi])</f>
        <v>Very High</v>
      </c>
      <c r="AE629" t="str">
        <f>_xlfn.XLOOKUP(Table1[[#This Row],[MaritalStatus]],Table15[MaritalStatus],Table15[Id_MaritalStatus])</f>
        <v>MS002</v>
      </c>
      <c r="AF629" t="s">
        <v>56</v>
      </c>
      <c r="AG629">
        <v>13826</v>
      </c>
      <c r="AH629">
        <v>19028</v>
      </c>
      <c r="AI629">
        <v>3</v>
      </c>
      <c r="AJ629" t="str">
        <f>_xlfn.XLOOKUP(Table1[[#This Row],[OverTime]],Table16[OverTime],Table16[Id_OverTime])</f>
        <v>OT002</v>
      </c>
      <c r="AK629" t="s">
        <v>33</v>
      </c>
      <c r="AL629">
        <v>22</v>
      </c>
      <c r="AM629" t="str">
        <f>_xlfn.XLOOKUP(Table1[[#This Row],[PerformanceRating]],Table17[PerformanceRating],Table17[Id_PerformanceRating])</f>
        <v>PR004</v>
      </c>
      <c r="AN629">
        <v>4</v>
      </c>
      <c r="AO629" t="str">
        <f>_xlfn.XLOOKUP(Table1[[#This Row],[PerformanceRating]],Table17[PerformanceRating],Table17[Deskripsi])</f>
        <v>Outstanding</v>
      </c>
      <c r="AP629" t="str">
        <f>_xlfn.XLOOKUP(Table1[[#This Row],[RelationshipSatisfaction]],Table18[RelationshipSatisfaction],Table18[Id_RelationshipSatisfaction])</f>
        <v>RS003</v>
      </c>
      <c r="AQ629">
        <v>3</v>
      </c>
      <c r="AR629" t="str">
        <f>_xlfn.XLOOKUP(Table1[[#This Row],[RelationshipSatisfaction]],Table18[RelationshipSatisfaction],Table18[Deskripsi])</f>
        <v>High</v>
      </c>
      <c r="AS629" t="str">
        <f>_xlfn.XLOOKUP(Table1[[#This Row],[StockOptionLevel]],Table19[StockOptionLevel],Table19[Id_StockOptionLevel])</f>
        <v>SOL001</v>
      </c>
      <c r="AT629">
        <v>0</v>
      </c>
      <c r="AU629" t="str">
        <f>_xlfn.XLOOKUP(Table1[[#This Row],[StockOptionLevel]],Table19[StockOptionLevel],Table19[Deskripsi])</f>
        <v>Non-Eligible</v>
      </c>
      <c r="AV629">
        <v>31</v>
      </c>
      <c r="AW629">
        <v>3</v>
      </c>
      <c r="AX629" t="str">
        <f>_xlfn.XLOOKUP(Table1[[#This Row],[WorkLifeBalance]],Table20[WorkLifeBalance],Table20[Id_WorkLifeBalance])</f>
        <v>WLB002</v>
      </c>
      <c r="AY629">
        <v>3</v>
      </c>
      <c r="AZ629" t="str">
        <f>_xlfn.XLOOKUP(Table1[[#This Row],[WorkLifeBalance]],Table20[WorkLifeBalance],Table20[Deskripsi])</f>
        <v>Good</v>
      </c>
      <c r="BA629">
        <v>9</v>
      </c>
      <c r="BB629">
        <v>8</v>
      </c>
      <c r="BC629">
        <v>0</v>
      </c>
      <c r="BD629">
        <v>0</v>
      </c>
    </row>
    <row r="630" spans="1:56" x14ac:dyDescent="0.25">
      <c r="A630">
        <v>37</v>
      </c>
      <c r="B630" t="str">
        <f>_xlfn.XLOOKUP(Table1[[#This Row],[Attrition]],Table2[Attrition],Table2[Id_Attrition])</f>
        <v>A002</v>
      </c>
      <c r="C630" t="s">
        <v>33</v>
      </c>
      <c r="D630" t="str">
        <f>_xlfn.XLOOKUP(Table1[[#This Row],[BusinessTravel]],Table5[BusinessTravel],Table5[Id_BusinessTravel])</f>
        <v>BS001</v>
      </c>
      <c r="E630" t="s">
        <v>34</v>
      </c>
      <c r="F630">
        <v>342</v>
      </c>
      <c r="G630" t="str">
        <f>_xlfn.XLOOKUP(Table1[[#This Row],[Department]],Table6[Department],Table6[Id_Departement])</f>
        <v>D001</v>
      </c>
      <c r="H630" t="s">
        <v>37</v>
      </c>
      <c r="I630">
        <v>16</v>
      </c>
      <c r="J630" t="str">
        <f>_xlfn.XLOOKUP(Table1[[#This Row],[Education]],Table8[Education],Table8[Id_Education])</f>
        <v>E004</v>
      </c>
      <c r="K630">
        <v>4</v>
      </c>
      <c r="L630" t="str">
        <f>_xlfn.XLOOKUP(Table1[[#This Row],[EducationField]],Table7[EducationField],Table7[Id_EducationField])</f>
        <v>EF004</v>
      </c>
      <c r="M630" t="s">
        <v>43</v>
      </c>
      <c r="N630" t="str">
        <f>_xlfn.XLOOKUP(Table1[[#This Row],[EmployeeNumber]],Table4[EmployeeNumber],Table4[Id_Employee])</f>
        <v>EMP00629</v>
      </c>
      <c r="O630">
        <v>868</v>
      </c>
      <c r="P630" t="str">
        <f>_xlfn.XLOOKUP(Table1[[#This Row],[EnvironmentSatisfaction]],Table9[EnvironmentSatisfaction],Table9[Id_EnviromentSatisfaction])</f>
        <v>ES004</v>
      </c>
      <c r="Q630">
        <v>4</v>
      </c>
      <c r="R630" t="str">
        <f>_xlfn.XLOOKUP(Table1[[#This Row],[EnvironmentSatisfaction]],Table9[EnvironmentSatisfaction],Table9[Deskripsi])</f>
        <v>Very High</v>
      </c>
      <c r="S630" t="str">
        <f>_xlfn.XLOOKUP(Table1[[#This Row],[Gender]],Table10[Gender],Table10[Id_Gender])</f>
        <v>G002</v>
      </c>
      <c r="T630" t="s">
        <v>46</v>
      </c>
      <c r="U630">
        <v>66</v>
      </c>
      <c r="V630" t="str">
        <f>_xlfn.XLOOKUP(Table1[[#This Row],[JobInvolvement]],Table11[JobInvolvement],Table11[Id_JobInvolvement])</f>
        <v>JI002</v>
      </c>
      <c r="W630">
        <v>2</v>
      </c>
      <c r="X630" t="str">
        <f>_xlfn.XLOOKUP(Table1[[#This Row],[JobLevel]],Table12[JobLevel],Table12[Id_JobLevel])</f>
        <v>JL002</v>
      </c>
      <c r="Y630">
        <v>2</v>
      </c>
      <c r="Z630" t="str">
        <f>_xlfn.XLOOKUP(Table1[[#This Row],[JobRole]],Table13[JobRole],Table13[Id_JobRole])</f>
        <v>JR001</v>
      </c>
      <c r="AA630" t="s">
        <v>47</v>
      </c>
      <c r="AB630" t="str">
        <f>_xlfn.XLOOKUP(Table1[[#This Row],[JobSatisfaction]],Table14[JobSatisfaction],Table14[Id_JobSatisfaction])</f>
        <v>JS003</v>
      </c>
      <c r="AC630">
        <v>3</v>
      </c>
      <c r="AD630" t="str">
        <f>_xlfn.XLOOKUP(Table1[[#This Row],[JobSatisfaction]],Table14[JobSatisfaction],Table14[Deskripsi])</f>
        <v>High</v>
      </c>
      <c r="AE630" t="str">
        <f>_xlfn.XLOOKUP(Table1[[#This Row],[MaritalStatus]],Table15[MaritalStatus],Table15[Id_MaritalStatus])</f>
        <v>MS003</v>
      </c>
      <c r="AF630" t="s">
        <v>57</v>
      </c>
      <c r="AG630">
        <v>6334</v>
      </c>
      <c r="AH630">
        <v>24558</v>
      </c>
      <c r="AI630">
        <v>4</v>
      </c>
      <c r="AJ630" t="str">
        <f>_xlfn.XLOOKUP(Table1[[#This Row],[OverTime]],Table16[OverTime],Table16[Id_OverTime])</f>
        <v>OT002</v>
      </c>
      <c r="AK630" t="s">
        <v>33</v>
      </c>
      <c r="AL630">
        <v>19</v>
      </c>
      <c r="AM630" t="str">
        <f>_xlfn.XLOOKUP(Table1[[#This Row],[PerformanceRating]],Table17[PerformanceRating],Table17[Id_PerformanceRating])</f>
        <v>PR003</v>
      </c>
      <c r="AN630">
        <v>3</v>
      </c>
      <c r="AO630" t="str">
        <f>_xlfn.XLOOKUP(Table1[[#This Row],[PerformanceRating]],Table17[PerformanceRating],Table17[Deskripsi])</f>
        <v>Excellent</v>
      </c>
      <c r="AP630" t="str">
        <f>_xlfn.XLOOKUP(Table1[[#This Row],[RelationshipSatisfaction]],Table18[RelationshipSatisfaction],Table18[Id_RelationshipSatisfaction])</f>
        <v>RS004</v>
      </c>
      <c r="AQ630">
        <v>4</v>
      </c>
      <c r="AR630" t="str">
        <f>_xlfn.XLOOKUP(Table1[[#This Row],[RelationshipSatisfaction]],Table18[RelationshipSatisfaction],Table18[Deskripsi])</f>
        <v>Very High</v>
      </c>
      <c r="AS630" t="str">
        <f>_xlfn.XLOOKUP(Table1[[#This Row],[StockOptionLevel]],Table19[StockOptionLevel],Table19[Id_StockOptionLevel])</f>
        <v>SOL003</v>
      </c>
      <c r="AT630">
        <v>2</v>
      </c>
      <c r="AU630" t="str">
        <f>_xlfn.XLOOKUP(Table1[[#This Row],[StockOptionLevel]],Table19[StockOptionLevel],Table19[Deskripsi])</f>
        <v>Intermediate</v>
      </c>
      <c r="AV630">
        <v>9</v>
      </c>
      <c r="AW630">
        <v>2</v>
      </c>
      <c r="AX630" t="str">
        <f>_xlfn.XLOOKUP(Table1[[#This Row],[WorkLifeBalance]],Table20[WorkLifeBalance],Table20[Id_WorkLifeBalance])</f>
        <v>WLB002</v>
      </c>
      <c r="AY630">
        <v>3</v>
      </c>
      <c r="AZ630" t="str">
        <f>_xlfn.XLOOKUP(Table1[[#This Row],[WorkLifeBalance]],Table20[WorkLifeBalance],Table20[Deskripsi])</f>
        <v>Good</v>
      </c>
      <c r="BA630">
        <v>1</v>
      </c>
      <c r="BB630">
        <v>0</v>
      </c>
      <c r="BC630">
        <v>0</v>
      </c>
      <c r="BD630">
        <v>0</v>
      </c>
    </row>
    <row r="631" spans="1:56" x14ac:dyDescent="0.25">
      <c r="A631">
        <v>28</v>
      </c>
      <c r="B631" t="str">
        <f>_xlfn.XLOOKUP(Table1[[#This Row],[Attrition]],Table2[Attrition],Table2[Id_Attrition])</f>
        <v>A002</v>
      </c>
      <c r="C631" t="s">
        <v>33</v>
      </c>
      <c r="D631" t="str">
        <f>_xlfn.XLOOKUP(Table1[[#This Row],[BusinessTravel]],Table5[BusinessTravel],Table5[Id_BusinessTravel])</f>
        <v>BS001</v>
      </c>
      <c r="E631" t="s">
        <v>34</v>
      </c>
      <c r="F631">
        <v>1169</v>
      </c>
      <c r="G631" t="str">
        <f>_xlfn.XLOOKUP(Table1[[#This Row],[Department]],Table6[Department],Table6[Id_Departement])</f>
        <v>D003</v>
      </c>
      <c r="H631" t="s">
        <v>39</v>
      </c>
      <c r="I631">
        <v>8</v>
      </c>
      <c r="J631" t="str">
        <f>_xlfn.XLOOKUP(Table1[[#This Row],[Education]],Table8[Education],Table8[Id_Education])</f>
        <v>E002</v>
      </c>
      <c r="K631">
        <v>2</v>
      </c>
      <c r="L631" t="str">
        <f>_xlfn.XLOOKUP(Table1[[#This Row],[EducationField]],Table7[EducationField],Table7[Id_EducationField])</f>
        <v>EF003</v>
      </c>
      <c r="M631" t="s">
        <v>42</v>
      </c>
      <c r="N631" t="str">
        <f>_xlfn.XLOOKUP(Table1[[#This Row],[EmployeeNumber]],Table4[EmployeeNumber],Table4[Id_Employee])</f>
        <v>EMP00630</v>
      </c>
      <c r="O631">
        <v>869</v>
      </c>
      <c r="P631" t="str">
        <f>_xlfn.XLOOKUP(Table1[[#This Row],[EnvironmentSatisfaction]],Table9[EnvironmentSatisfaction],Table9[Id_EnviromentSatisfaction])</f>
        <v>ES002</v>
      </c>
      <c r="Q631">
        <v>2</v>
      </c>
      <c r="R631" t="str">
        <f>_xlfn.XLOOKUP(Table1[[#This Row],[EnvironmentSatisfaction]],Table9[EnvironmentSatisfaction],Table9[Deskripsi])</f>
        <v>Medium</v>
      </c>
      <c r="S631" t="str">
        <f>_xlfn.XLOOKUP(Table1[[#This Row],[Gender]],Table10[Gender],Table10[Id_Gender])</f>
        <v>G002</v>
      </c>
      <c r="T631" t="s">
        <v>46</v>
      </c>
      <c r="U631">
        <v>63</v>
      </c>
      <c r="V631" t="str">
        <f>_xlfn.XLOOKUP(Table1[[#This Row],[JobInvolvement]],Table11[JobInvolvement],Table11[Id_JobInvolvement])</f>
        <v>JI002</v>
      </c>
      <c r="W631">
        <v>2</v>
      </c>
      <c r="X631" t="str">
        <f>_xlfn.XLOOKUP(Table1[[#This Row],[JobLevel]],Table12[JobLevel],Table12[Id_JobLevel])</f>
        <v>JL001</v>
      </c>
      <c r="Y631">
        <v>1</v>
      </c>
      <c r="Z631" t="str">
        <f>_xlfn.XLOOKUP(Table1[[#This Row],[JobRole]],Table13[JobRole],Table13[Id_JobRole])</f>
        <v>JR009</v>
      </c>
      <c r="AA631" t="s">
        <v>39</v>
      </c>
      <c r="AB631" t="str">
        <f>_xlfn.XLOOKUP(Table1[[#This Row],[JobSatisfaction]],Table14[JobSatisfaction],Table14[Id_JobSatisfaction])</f>
        <v>JS004</v>
      </c>
      <c r="AC631">
        <v>4</v>
      </c>
      <c r="AD631" t="str">
        <f>_xlfn.XLOOKUP(Table1[[#This Row],[JobSatisfaction]],Table14[JobSatisfaction],Table14[Deskripsi])</f>
        <v>Very High</v>
      </c>
      <c r="AE631" t="str">
        <f>_xlfn.XLOOKUP(Table1[[#This Row],[MaritalStatus]],Table15[MaritalStatus],Table15[Id_MaritalStatus])</f>
        <v>MS003</v>
      </c>
      <c r="AF631" t="s">
        <v>57</v>
      </c>
      <c r="AG631">
        <v>4936</v>
      </c>
      <c r="AH631">
        <v>23965</v>
      </c>
      <c r="AI631">
        <v>1</v>
      </c>
      <c r="AJ631" t="str">
        <f>_xlfn.XLOOKUP(Table1[[#This Row],[OverTime]],Table16[OverTime],Table16[Id_OverTime])</f>
        <v>OT002</v>
      </c>
      <c r="AK631" t="s">
        <v>33</v>
      </c>
      <c r="AL631">
        <v>13</v>
      </c>
      <c r="AM631" t="str">
        <f>_xlfn.XLOOKUP(Table1[[#This Row],[PerformanceRating]],Table17[PerformanceRating],Table17[Id_PerformanceRating])</f>
        <v>PR003</v>
      </c>
      <c r="AN631">
        <v>3</v>
      </c>
      <c r="AO631" t="str">
        <f>_xlfn.XLOOKUP(Table1[[#This Row],[PerformanceRating]],Table17[PerformanceRating],Table17[Deskripsi])</f>
        <v>Excellent</v>
      </c>
      <c r="AP631" t="str">
        <f>_xlfn.XLOOKUP(Table1[[#This Row],[RelationshipSatisfaction]],Table18[RelationshipSatisfaction],Table18[Id_RelationshipSatisfaction])</f>
        <v>RS004</v>
      </c>
      <c r="AQ631">
        <v>4</v>
      </c>
      <c r="AR631" t="str">
        <f>_xlfn.XLOOKUP(Table1[[#This Row],[RelationshipSatisfaction]],Table18[RelationshipSatisfaction],Table18[Deskripsi])</f>
        <v>Very High</v>
      </c>
      <c r="AS631" t="str">
        <f>_xlfn.XLOOKUP(Table1[[#This Row],[StockOptionLevel]],Table19[StockOptionLevel],Table19[Id_StockOptionLevel])</f>
        <v>SOL002</v>
      </c>
      <c r="AT631">
        <v>1</v>
      </c>
      <c r="AU631" t="str">
        <f>_xlfn.XLOOKUP(Table1[[#This Row],[StockOptionLevel]],Table19[StockOptionLevel],Table19[Deskripsi])</f>
        <v>Standard</v>
      </c>
      <c r="AV631">
        <v>6</v>
      </c>
      <c r="AW631">
        <v>6</v>
      </c>
      <c r="AX631" t="str">
        <f>_xlfn.XLOOKUP(Table1[[#This Row],[WorkLifeBalance]],Table20[WorkLifeBalance],Table20[Id_WorkLifeBalance])</f>
        <v>WLB002</v>
      </c>
      <c r="AY631">
        <v>3</v>
      </c>
      <c r="AZ631" t="str">
        <f>_xlfn.XLOOKUP(Table1[[#This Row],[WorkLifeBalance]],Table20[WorkLifeBalance],Table20[Deskripsi])</f>
        <v>Good</v>
      </c>
      <c r="BA631">
        <v>5</v>
      </c>
      <c r="BB631">
        <v>1</v>
      </c>
      <c r="BC631">
        <v>0</v>
      </c>
      <c r="BD631">
        <v>4</v>
      </c>
    </row>
    <row r="632" spans="1:56" x14ac:dyDescent="0.25">
      <c r="A632">
        <v>22</v>
      </c>
      <c r="B632" t="str">
        <f>_xlfn.XLOOKUP(Table1[[#This Row],[Attrition]],Table2[Attrition],Table2[Id_Attrition])</f>
        <v>A002</v>
      </c>
      <c r="C632" t="s">
        <v>33</v>
      </c>
      <c r="D632" t="str">
        <f>_xlfn.XLOOKUP(Table1[[#This Row],[BusinessTravel]],Table5[BusinessTravel],Table5[Id_BusinessTravel])</f>
        <v>BS001</v>
      </c>
      <c r="E632" t="s">
        <v>34</v>
      </c>
      <c r="F632">
        <v>1230</v>
      </c>
      <c r="G632" t="str">
        <f>_xlfn.XLOOKUP(Table1[[#This Row],[Department]],Table6[Department],Table6[Id_Departement])</f>
        <v>D002</v>
      </c>
      <c r="H632" t="s">
        <v>38</v>
      </c>
      <c r="I632">
        <v>1</v>
      </c>
      <c r="J632" t="str">
        <f>_xlfn.XLOOKUP(Table1[[#This Row],[Education]],Table8[Education],Table8[Id_Education])</f>
        <v>E002</v>
      </c>
      <c r="K632">
        <v>2</v>
      </c>
      <c r="L632" t="str">
        <f>_xlfn.XLOOKUP(Table1[[#This Row],[EducationField]],Table7[EducationField],Table7[Id_EducationField])</f>
        <v>EF001</v>
      </c>
      <c r="M632" t="s">
        <v>40</v>
      </c>
      <c r="N632" t="str">
        <f>_xlfn.XLOOKUP(Table1[[#This Row],[EmployeeNumber]],Table4[EmployeeNumber],Table4[Id_Employee])</f>
        <v>EMP00631</v>
      </c>
      <c r="O632">
        <v>872</v>
      </c>
      <c r="P632" t="str">
        <f>_xlfn.XLOOKUP(Table1[[#This Row],[EnvironmentSatisfaction]],Table9[EnvironmentSatisfaction],Table9[Id_EnviromentSatisfaction])</f>
        <v>ES004</v>
      </c>
      <c r="Q632">
        <v>4</v>
      </c>
      <c r="R632" t="str">
        <f>_xlfn.XLOOKUP(Table1[[#This Row],[EnvironmentSatisfaction]],Table9[EnvironmentSatisfaction],Table9[Deskripsi])</f>
        <v>Very High</v>
      </c>
      <c r="S632" t="str">
        <f>_xlfn.XLOOKUP(Table1[[#This Row],[Gender]],Table10[Gender],Table10[Id_Gender])</f>
        <v>G002</v>
      </c>
      <c r="T632" t="s">
        <v>46</v>
      </c>
      <c r="U632">
        <v>33</v>
      </c>
      <c r="V632" t="str">
        <f>_xlfn.XLOOKUP(Table1[[#This Row],[JobInvolvement]],Table11[JobInvolvement],Table11[Id_JobInvolvement])</f>
        <v>JI002</v>
      </c>
      <c r="W632">
        <v>2</v>
      </c>
      <c r="X632" t="str">
        <f>_xlfn.XLOOKUP(Table1[[#This Row],[JobLevel]],Table12[JobLevel],Table12[Id_JobLevel])</f>
        <v>JL002</v>
      </c>
      <c r="Y632">
        <v>2</v>
      </c>
      <c r="Z632" t="str">
        <f>_xlfn.XLOOKUP(Table1[[#This Row],[JobRole]],Table13[JobRole],Table13[Id_JobRole])</f>
        <v>JR004</v>
      </c>
      <c r="AA632" t="s">
        <v>50</v>
      </c>
      <c r="AB632" t="str">
        <f>_xlfn.XLOOKUP(Table1[[#This Row],[JobSatisfaction]],Table14[JobSatisfaction],Table14[Id_JobSatisfaction])</f>
        <v>JS004</v>
      </c>
      <c r="AC632">
        <v>4</v>
      </c>
      <c r="AD632" t="str">
        <f>_xlfn.XLOOKUP(Table1[[#This Row],[JobSatisfaction]],Table14[JobSatisfaction],Table14[Deskripsi])</f>
        <v>Very High</v>
      </c>
      <c r="AE632" t="str">
        <f>_xlfn.XLOOKUP(Table1[[#This Row],[MaritalStatus]],Table15[MaritalStatus],Table15[Id_MaritalStatus])</f>
        <v>MS002</v>
      </c>
      <c r="AF632" t="s">
        <v>56</v>
      </c>
      <c r="AG632">
        <v>4775</v>
      </c>
      <c r="AH632">
        <v>19146</v>
      </c>
      <c r="AI632">
        <v>6</v>
      </c>
      <c r="AJ632" t="str">
        <f>_xlfn.XLOOKUP(Table1[[#This Row],[OverTime]],Table16[OverTime],Table16[Id_OverTime])</f>
        <v>OT002</v>
      </c>
      <c r="AK632" t="s">
        <v>33</v>
      </c>
      <c r="AL632">
        <v>22</v>
      </c>
      <c r="AM632" t="str">
        <f>_xlfn.XLOOKUP(Table1[[#This Row],[PerformanceRating]],Table17[PerformanceRating],Table17[Id_PerformanceRating])</f>
        <v>PR004</v>
      </c>
      <c r="AN632">
        <v>4</v>
      </c>
      <c r="AO632" t="str">
        <f>_xlfn.XLOOKUP(Table1[[#This Row],[PerformanceRating]],Table17[PerformanceRating],Table17[Deskripsi])</f>
        <v>Outstanding</v>
      </c>
      <c r="AP632" t="str">
        <f>_xlfn.XLOOKUP(Table1[[#This Row],[RelationshipSatisfaction]],Table18[RelationshipSatisfaction],Table18[Id_RelationshipSatisfaction])</f>
        <v>RS001</v>
      </c>
      <c r="AQ632">
        <v>1</v>
      </c>
      <c r="AR632" t="str">
        <f>_xlfn.XLOOKUP(Table1[[#This Row],[RelationshipSatisfaction]],Table18[RelationshipSatisfaction],Table18[Deskripsi])</f>
        <v>Low</v>
      </c>
      <c r="AS632" t="str">
        <f>_xlfn.XLOOKUP(Table1[[#This Row],[StockOptionLevel]],Table19[StockOptionLevel],Table19[Id_StockOptionLevel])</f>
        <v>SOL003</v>
      </c>
      <c r="AT632">
        <v>2</v>
      </c>
      <c r="AU632" t="str">
        <f>_xlfn.XLOOKUP(Table1[[#This Row],[StockOptionLevel]],Table19[StockOptionLevel],Table19[Deskripsi])</f>
        <v>Intermediate</v>
      </c>
      <c r="AV632">
        <v>4</v>
      </c>
      <c r="AW632">
        <v>2</v>
      </c>
      <c r="AX632" t="str">
        <f>_xlfn.XLOOKUP(Table1[[#This Row],[WorkLifeBalance]],Table20[WorkLifeBalance],Table20[Id_WorkLifeBalance])</f>
        <v>WLB001</v>
      </c>
      <c r="AY632">
        <v>1</v>
      </c>
      <c r="AZ632" t="str">
        <f>_xlfn.XLOOKUP(Table1[[#This Row],[WorkLifeBalance]],Table20[WorkLifeBalance],Table20[Deskripsi])</f>
        <v>Bad</v>
      </c>
      <c r="BA632">
        <v>2</v>
      </c>
      <c r="BB632">
        <v>2</v>
      </c>
      <c r="BC632">
        <v>2</v>
      </c>
      <c r="BD632">
        <v>2</v>
      </c>
    </row>
    <row r="633" spans="1:56" x14ac:dyDescent="0.25">
      <c r="A633">
        <v>44</v>
      </c>
      <c r="B633" t="str">
        <f>_xlfn.XLOOKUP(Table1[[#This Row],[Attrition]],Table2[Attrition],Table2[Id_Attrition])</f>
        <v>A002</v>
      </c>
      <c r="C633" t="s">
        <v>33</v>
      </c>
      <c r="D633" t="str">
        <f>_xlfn.XLOOKUP(Table1[[#This Row],[BusinessTravel]],Table5[BusinessTravel],Table5[Id_BusinessTravel])</f>
        <v>BS001</v>
      </c>
      <c r="E633" t="s">
        <v>34</v>
      </c>
      <c r="F633">
        <v>986</v>
      </c>
      <c r="G633" t="str">
        <f>_xlfn.XLOOKUP(Table1[[#This Row],[Department]],Table6[Department],Table6[Id_Departement])</f>
        <v>D002</v>
      </c>
      <c r="H633" t="s">
        <v>38</v>
      </c>
      <c r="I633">
        <v>8</v>
      </c>
      <c r="J633" t="str">
        <f>_xlfn.XLOOKUP(Table1[[#This Row],[Education]],Table8[Education],Table8[Id_Education])</f>
        <v>E004</v>
      </c>
      <c r="K633">
        <v>4</v>
      </c>
      <c r="L633" t="str">
        <f>_xlfn.XLOOKUP(Table1[[#This Row],[EducationField]],Table7[EducationField],Table7[Id_EducationField])</f>
        <v>EF001</v>
      </c>
      <c r="M633" t="s">
        <v>40</v>
      </c>
      <c r="N633" t="str">
        <f>_xlfn.XLOOKUP(Table1[[#This Row],[EmployeeNumber]],Table4[EmployeeNumber],Table4[Id_Employee])</f>
        <v>EMP00632</v>
      </c>
      <c r="O633">
        <v>874</v>
      </c>
      <c r="P633" t="str">
        <f>_xlfn.XLOOKUP(Table1[[#This Row],[EnvironmentSatisfaction]],Table9[EnvironmentSatisfaction],Table9[Id_EnviromentSatisfaction])</f>
        <v>ES001</v>
      </c>
      <c r="Q633">
        <v>1</v>
      </c>
      <c r="R633" t="str">
        <f>_xlfn.XLOOKUP(Table1[[#This Row],[EnvironmentSatisfaction]],Table9[EnvironmentSatisfaction],Table9[Deskripsi])</f>
        <v>Low</v>
      </c>
      <c r="S633" t="str">
        <f>_xlfn.XLOOKUP(Table1[[#This Row],[Gender]],Table10[Gender],Table10[Id_Gender])</f>
        <v>G002</v>
      </c>
      <c r="T633" t="s">
        <v>46</v>
      </c>
      <c r="U633">
        <v>62</v>
      </c>
      <c r="V633" t="str">
        <f>_xlfn.XLOOKUP(Table1[[#This Row],[JobInvolvement]],Table11[JobInvolvement],Table11[Id_JobInvolvement])</f>
        <v>JI004</v>
      </c>
      <c r="W633">
        <v>4</v>
      </c>
      <c r="X633" t="str">
        <f>_xlfn.XLOOKUP(Table1[[#This Row],[JobLevel]],Table12[JobLevel],Table12[Id_JobLevel])</f>
        <v>JL001</v>
      </c>
      <c r="Y633">
        <v>1</v>
      </c>
      <c r="Z633" t="str">
        <f>_xlfn.XLOOKUP(Table1[[#This Row],[JobRole]],Table13[JobRole],Table13[Id_JobRole])</f>
        <v>JR003</v>
      </c>
      <c r="AA633" t="s">
        <v>49</v>
      </c>
      <c r="AB633" t="str">
        <f>_xlfn.XLOOKUP(Table1[[#This Row],[JobSatisfaction]],Table14[JobSatisfaction],Table14[Id_JobSatisfaction])</f>
        <v>JS004</v>
      </c>
      <c r="AC633">
        <v>4</v>
      </c>
      <c r="AD633" t="str">
        <f>_xlfn.XLOOKUP(Table1[[#This Row],[JobSatisfaction]],Table14[JobSatisfaction],Table14[Deskripsi])</f>
        <v>Very High</v>
      </c>
      <c r="AE633" t="str">
        <f>_xlfn.XLOOKUP(Table1[[#This Row],[MaritalStatus]],Table15[MaritalStatus],Table15[Id_MaritalStatus])</f>
        <v>MS002</v>
      </c>
      <c r="AF633" t="s">
        <v>56</v>
      </c>
      <c r="AG633">
        <v>2818</v>
      </c>
      <c r="AH633">
        <v>5044</v>
      </c>
      <c r="AI633">
        <v>2</v>
      </c>
      <c r="AJ633" t="str">
        <f>_xlfn.XLOOKUP(Table1[[#This Row],[OverTime]],Table16[OverTime],Table16[Id_OverTime])</f>
        <v>OT001</v>
      </c>
      <c r="AK633" t="s">
        <v>32</v>
      </c>
      <c r="AL633">
        <v>24</v>
      </c>
      <c r="AM633" t="str">
        <f>_xlfn.XLOOKUP(Table1[[#This Row],[PerformanceRating]],Table17[PerformanceRating],Table17[Id_PerformanceRating])</f>
        <v>PR004</v>
      </c>
      <c r="AN633">
        <v>4</v>
      </c>
      <c r="AO633" t="str">
        <f>_xlfn.XLOOKUP(Table1[[#This Row],[PerformanceRating]],Table17[PerformanceRating],Table17[Deskripsi])</f>
        <v>Outstanding</v>
      </c>
      <c r="AP633" t="str">
        <f>_xlfn.XLOOKUP(Table1[[#This Row],[RelationshipSatisfaction]],Table18[RelationshipSatisfaction],Table18[Id_RelationshipSatisfaction])</f>
        <v>RS003</v>
      </c>
      <c r="AQ633">
        <v>3</v>
      </c>
      <c r="AR633" t="str">
        <f>_xlfn.XLOOKUP(Table1[[#This Row],[RelationshipSatisfaction]],Table18[RelationshipSatisfaction],Table18[Deskripsi])</f>
        <v>High</v>
      </c>
      <c r="AS633" t="str">
        <f>_xlfn.XLOOKUP(Table1[[#This Row],[StockOptionLevel]],Table19[StockOptionLevel],Table19[Id_StockOptionLevel])</f>
        <v>SOL002</v>
      </c>
      <c r="AT633">
        <v>1</v>
      </c>
      <c r="AU633" t="str">
        <f>_xlfn.XLOOKUP(Table1[[#This Row],[StockOptionLevel]],Table19[StockOptionLevel],Table19[Deskripsi])</f>
        <v>Standard</v>
      </c>
      <c r="AV633">
        <v>10</v>
      </c>
      <c r="AW633">
        <v>2</v>
      </c>
      <c r="AX633" t="str">
        <f>_xlfn.XLOOKUP(Table1[[#This Row],[WorkLifeBalance]],Table20[WorkLifeBalance],Table20[Id_WorkLifeBalance])</f>
        <v>WLB003</v>
      </c>
      <c r="AY633">
        <v>2</v>
      </c>
      <c r="AZ633" t="str">
        <f>_xlfn.XLOOKUP(Table1[[#This Row],[WorkLifeBalance]],Table20[WorkLifeBalance],Table20[Deskripsi])</f>
        <v>Better</v>
      </c>
      <c r="BA633">
        <v>3</v>
      </c>
      <c r="BB633">
        <v>2</v>
      </c>
      <c r="BC633">
        <v>0</v>
      </c>
      <c r="BD633">
        <v>2</v>
      </c>
    </row>
    <row r="634" spans="1:56" x14ac:dyDescent="0.25">
      <c r="A634">
        <v>42</v>
      </c>
      <c r="B634" t="str">
        <f>_xlfn.XLOOKUP(Table1[[#This Row],[Attrition]],Table2[Attrition],Table2[Id_Attrition])</f>
        <v>A002</v>
      </c>
      <c r="C634" t="s">
        <v>33</v>
      </c>
      <c r="D634" t="str">
        <f>_xlfn.XLOOKUP(Table1[[#This Row],[BusinessTravel]],Table5[BusinessTravel],Table5[Id_BusinessTravel])</f>
        <v>BS002</v>
      </c>
      <c r="E634" t="s">
        <v>35</v>
      </c>
      <c r="F634">
        <v>1271</v>
      </c>
      <c r="G634" t="str">
        <f>_xlfn.XLOOKUP(Table1[[#This Row],[Department]],Table6[Department],Table6[Id_Departement])</f>
        <v>D002</v>
      </c>
      <c r="H634" t="s">
        <v>38</v>
      </c>
      <c r="I634">
        <v>2</v>
      </c>
      <c r="J634" t="str">
        <f>_xlfn.XLOOKUP(Table1[[#This Row],[Education]],Table8[Education],Table8[Id_Education])</f>
        <v>E001</v>
      </c>
      <c r="K634">
        <v>1</v>
      </c>
      <c r="L634" t="str">
        <f>_xlfn.XLOOKUP(Table1[[#This Row],[EducationField]],Table7[EducationField],Table7[Id_EducationField])</f>
        <v>EF003</v>
      </c>
      <c r="M634" t="s">
        <v>42</v>
      </c>
      <c r="N634" t="str">
        <f>_xlfn.XLOOKUP(Table1[[#This Row],[EmployeeNumber]],Table4[EmployeeNumber],Table4[Id_Employee])</f>
        <v>EMP00633</v>
      </c>
      <c r="O634">
        <v>875</v>
      </c>
      <c r="P634" t="str">
        <f>_xlfn.XLOOKUP(Table1[[#This Row],[EnvironmentSatisfaction]],Table9[EnvironmentSatisfaction],Table9[Id_EnviromentSatisfaction])</f>
        <v>ES002</v>
      </c>
      <c r="Q634">
        <v>2</v>
      </c>
      <c r="R634" t="str">
        <f>_xlfn.XLOOKUP(Table1[[#This Row],[EnvironmentSatisfaction]],Table9[EnvironmentSatisfaction],Table9[Deskripsi])</f>
        <v>Medium</v>
      </c>
      <c r="S634" t="str">
        <f>_xlfn.XLOOKUP(Table1[[#This Row],[Gender]],Table10[Gender],Table10[Id_Gender])</f>
        <v>G002</v>
      </c>
      <c r="T634" t="s">
        <v>46</v>
      </c>
      <c r="U634">
        <v>35</v>
      </c>
      <c r="V634" t="str">
        <f>_xlfn.XLOOKUP(Table1[[#This Row],[JobInvolvement]],Table11[JobInvolvement],Table11[Id_JobInvolvement])</f>
        <v>JI003</v>
      </c>
      <c r="W634">
        <v>3</v>
      </c>
      <c r="X634" t="str">
        <f>_xlfn.XLOOKUP(Table1[[#This Row],[JobLevel]],Table12[JobLevel],Table12[Id_JobLevel])</f>
        <v>JL001</v>
      </c>
      <c r="Y634">
        <v>1</v>
      </c>
      <c r="Z634" t="str">
        <f>_xlfn.XLOOKUP(Table1[[#This Row],[JobRole]],Table13[JobRole],Table13[Id_JobRole])</f>
        <v>JR002</v>
      </c>
      <c r="AA634" t="s">
        <v>48</v>
      </c>
      <c r="AB634" t="str">
        <f>_xlfn.XLOOKUP(Table1[[#This Row],[JobSatisfaction]],Table14[JobSatisfaction],Table14[Id_JobSatisfaction])</f>
        <v>JS004</v>
      </c>
      <c r="AC634">
        <v>4</v>
      </c>
      <c r="AD634" t="str">
        <f>_xlfn.XLOOKUP(Table1[[#This Row],[JobSatisfaction]],Table14[JobSatisfaction],Table14[Deskripsi])</f>
        <v>Very High</v>
      </c>
      <c r="AE634" t="str">
        <f>_xlfn.XLOOKUP(Table1[[#This Row],[MaritalStatus]],Table15[MaritalStatus],Table15[Id_MaritalStatus])</f>
        <v>MS001</v>
      </c>
      <c r="AF634" t="s">
        <v>55</v>
      </c>
      <c r="AG634">
        <v>2515</v>
      </c>
      <c r="AH634">
        <v>9068</v>
      </c>
      <c r="AI634">
        <v>5</v>
      </c>
      <c r="AJ634" t="str">
        <f>_xlfn.XLOOKUP(Table1[[#This Row],[OverTime]],Table16[OverTime],Table16[Id_OverTime])</f>
        <v>OT001</v>
      </c>
      <c r="AK634" t="s">
        <v>32</v>
      </c>
      <c r="AL634">
        <v>14</v>
      </c>
      <c r="AM634" t="str">
        <f>_xlfn.XLOOKUP(Table1[[#This Row],[PerformanceRating]],Table17[PerformanceRating],Table17[Id_PerformanceRating])</f>
        <v>PR003</v>
      </c>
      <c r="AN634">
        <v>3</v>
      </c>
      <c r="AO634" t="str">
        <f>_xlfn.XLOOKUP(Table1[[#This Row],[PerformanceRating]],Table17[PerformanceRating],Table17[Deskripsi])</f>
        <v>Excellent</v>
      </c>
      <c r="AP634" t="str">
        <f>_xlfn.XLOOKUP(Table1[[#This Row],[RelationshipSatisfaction]],Table18[RelationshipSatisfaction],Table18[Id_RelationshipSatisfaction])</f>
        <v>RS004</v>
      </c>
      <c r="AQ634">
        <v>4</v>
      </c>
      <c r="AR634" t="str">
        <f>_xlfn.XLOOKUP(Table1[[#This Row],[RelationshipSatisfaction]],Table18[RelationshipSatisfaction],Table18[Deskripsi])</f>
        <v>Very High</v>
      </c>
      <c r="AS634" t="str">
        <f>_xlfn.XLOOKUP(Table1[[#This Row],[StockOptionLevel]],Table19[StockOptionLevel],Table19[Id_StockOptionLevel])</f>
        <v>SOL001</v>
      </c>
      <c r="AT634">
        <v>0</v>
      </c>
      <c r="AU634" t="str">
        <f>_xlfn.XLOOKUP(Table1[[#This Row],[StockOptionLevel]],Table19[StockOptionLevel],Table19[Deskripsi])</f>
        <v>Non-Eligible</v>
      </c>
      <c r="AV634">
        <v>8</v>
      </c>
      <c r="AW634">
        <v>2</v>
      </c>
      <c r="AX634" t="str">
        <f>_xlfn.XLOOKUP(Table1[[#This Row],[WorkLifeBalance]],Table20[WorkLifeBalance],Table20[Id_WorkLifeBalance])</f>
        <v>WLB002</v>
      </c>
      <c r="AY634">
        <v>3</v>
      </c>
      <c r="AZ634" t="str">
        <f>_xlfn.XLOOKUP(Table1[[#This Row],[WorkLifeBalance]],Table20[WorkLifeBalance],Table20[Deskripsi])</f>
        <v>Good</v>
      </c>
      <c r="BA634">
        <v>2</v>
      </c>
      <c r="BB634">
        <v>1</v>
      </c>
      <c r="BC634">
        <v>2</v>
      </c>
      <c r="BD634">
        <v>2</v>
      </c>
    </row>
    <row r="635" spans="1:56" x14ac:dyDescent="0.25">
      <c r="A635">
        <v>36</v>
      </c>
      <c r="B635" t="str">
        <f>_xlfn.XLOOKUP(Table1[[#This Row],[Attrition]],Table2[Attrition],Table2[Id_Attrition])</f>
        <v>A002</v>
      </c>
      <c r="C635" t="s">
        <v>33</v>
      </c>
      <c r="D635" t="str">
        <f>_xlfn.XLOOKUP(Table1[[#This Row],[BusinessTravel]],Table5[BusinessTravel],Table5[Id_BusinessTravel])</f>
        <v>BS001</v>
      </c>
      <c r="E635" t="s">
        <v>34</v>
      </c>
      <c r="F635">
        <v>1278</v>
      </c>
      <c r="G635" t="str">
        <f>_xlfn.XLOOKUP(Table1[[#This Row],[Department]],Table6[Department],Table6[Id_Departement])</f>
        <v>D003</v>
      </c>
      <c r="H635" t="s">
        <v>39</v>
      </c>
      <c r="I635">
        <v>8</v>
      </c>
      <c r="J635" t="str">
        <f>_xlfn.XLOOKUP(Table1[[#This Row],[Education]],Table8[Education],Table8[Id_Education])</f>
        <v>E003</v>
      </c>
      <c r="K635">
        <v>3</v>
      </c>
      <c r="L635" t="str">
        <f>_xlfn.XLOOKUP(Table1[[#This Row],[EducationField]],Table7[EducationField],Table7[Id_EducationField])</f>
        <v>EF001</v>
      </c>
      <c r="M635" t="s">
        <v>40</v>
      </c>
      <c r="N635" t="str">
        <f>_xlfn.XLOOKUP(Table1[[#This Row],[EmployeeNumber]],Table4[EmployeeNumber],Table4[Id_Employee])</f>
        <v>EMP00634</v>
      </c>
      <c r="O635">
        <v>878</v>
      </c>
      <c r="P635" t="str">
        <f>_xlfn.XLOOKUP(Table1[[#This Row],[EnvironmentSatisfaction]],Table9[EnvironmentSatisfaction],Table9[Id_EnviromentSatisfaction])</f>
        <v>ES001</v>
      </c>
      <c r="Q635">
        <v>1</v>
      </c>
      <c r="R635" t="str">
        <f>_xlfn.XLOOKUP(Table1[[#This Row],[EnvironmentSatisfaction]],Table9[EnvironmentSatisfaction],Table9[Deskripsi])</f>
        <v>Low</v>
      </c>
      <c r="S635" t="str">
        <f>_xlfn.XLOOKUP(Table1[[#This Row],[Gender]],Table10[Gender],Table10[Id_Gender])</f>
        <v>G002</v>
      </c>
      <c r="T635" t="s">
        <v>46</v>
      </c>
      <c r="U635">
        <v>77</v>
      </c>
      <c r="V635" t="str">
        <f>_xlfn.XLOOKUP(Table1[[#This Row],[JobInvolvement]],Table11[JobInvolvement],Table11[Id_JobInvolvement])</f>
        <v>JI002</v>
      </c>
      <c r="W635">
        <v>2</v>
      </c>
      <c r="X635" t="str">
        <f>_xlfn.XLOOKUP(Table1[[#This Row],[JobLevel]],Table12[JobLevel],Table12[Id_JobLevel])</f>
        <v>JL001</v>
      </c>
      <c r="Y635">
        <v>1</v>
      </c>
      <c r="Z635" t="str">
        <f>_xlfn.XLOOKUP(Table1[[#This Row],[JobRole]],Table13[JobRole],Table13[Id_JobRole])</f>
        <v>JR009</v>
      </c>
      <c r="AA635" t="s">
        <v>39</v>
      </c>
      <c r="AB635" t="str">
        <f>_xlfn.XLOOKUP(Table1[[#This Row],[JobSatisfaction]],Table14[JobSatisfaction],Table14[Id_JobSatisfaction])</f>
        <v>JS001</v>
      </c>
      <c r="AC635">
        <v>1</v>
      </c>
      <c r="AD635" t="str">
        <f>_xlfn.XLOOKUP(Table1[[#This Row],[JobSatisfaction]],Table14[JobSatisfaction],Table14[Deskripsi])</f>
        <v>Low</v>
      </c>
      <c r="AE635" t="str">
        <f>_xlfn.XLOOKUP(Table1[[#This Row],[MaritalStatus]],Table15[MaritalStatus],Table15[Id_MaritalStatus])</f>
        <v>MS002</v>
      </c>
      <c r="AF635" t="s">
        <v>56</v>
      </c>
      <c r="AG635">
        <v>2342</v>
      </c>
      <c r="AH635">
        <v>8635</v>
      </c>
      <c r="AI635">
        <v>0</v>
      </c>
      <c r="AJ635" t="str">
        <f>_xlfn.XLOOKUP(Table1[[#This Row],[OverTime]],Table16[OverTime],Table16[Id_OverTime])</f>
        <v>OT002</v>
      </c>
      <c r="AK635" t="s">
        <v>33</v>
      </c>
      <c r="AL635">
        <v>21</v>
      </c>
      <c r="AM635" t="str">
        <f>_xlfn.XLOOKUP(Table1[[#This Row],[PerformanceRating]],Table17[PerformanceRating],Table17[Id_PerformanceRating])</f>
        <v>PR004</v>
      </c>
      <c r="AN635">
        <v>4</v>
      </c>
      <c r="AO635" t="str">
        <f>_xlfn.XLOOKUP(Table1[[#This Row],[PerformanceRating]],Table17[PerformanceRating],Table17[Deskripsi])</f>
        <v>Outstanding</v>
      </c>
      <c r="AP635" t="str">
        <f>_xlfn.XLOOKUP(Table1[[#This Row],[RelationshipSatisfaction]],Table18[RelationshipSatisfaction],Table18[Id_RelationshipSatisfaction])</f>
        <v>RS003</v>
      </c>
      <c r="AQ635">
        <v>3</v>
      </c>
      <c r="AR635" t="str">
        <f>_xlfn.XLOOKUP(Table1[[#This Row],[RelationshipSatisfaction]],Table18[RelationshipSatisfaction],Table18[Deskripsi])</f>
        <v>High</v>
      </c>
      <c r="AS635" t="str">
        <f>_xlfn.XLOOKUP(Table1[[#This Row],[StockOptionLevel]],Table19[StockOptionLevel],Table19[Id_StockOptionLevel])</f>
        <v>SOL001</v>
      </c>
      <c r="AT635">
        <v>0</v>
      </c>
      <c r="AU635" t="str">
        <f>_xlfn.XLOOKUP(Table1[[#This Row],[StockOptionLevel]],Table19[StockOptionLevel],Table19[Deskripsi])</f>
        <v>Non-Eligible</v>
      </c>
      <c r="AV635">
        <v>6</v>
      </c>
      <c r="AW635">
        <v>3</v>
      </c>
      <c r="AX635" t="str">
        <f>_xlfn.XLOOKUP(Table1[[#This Row],[WorkLifeBalance]],Table20[WorkLifeBalance],Table20[Id_WorkLifeBalance])</f>
        <v>WLB002</v>
      </c>
      <c r="AY635">
        <v>3</v>
      </c>
      <c r="AZ635" t="str">
        <f>_xlfn.XLOOKUP(Table1[[#This Row],[WorkLifeBalance]],Table20[WorkLifeBalance],Table20[Deskripsi])</f>
        <v>Good</v>
      </c>
      <c r="BA635">
        <v>5</v>
      </c>
      <c r="BB635">
        <v>4</v>
      </c>
      <c r="BC635">
        <v>0</v>
      </c>
      <c r="BD635">
        <v>3</v>
      </c>
    </row>
    <row r="636" spans="1:56" x14ac:dyDescent="0.25">
      <c r="A636">
        <v>25</v>
      </c>
      <c r="B636" t="str">
        <f>_xlfn.XLOOKUP(Table1[[#This Row],[Attrition]],Table2[Attrition],Table2[Id_Attrition])</f>
        <v>A002</v>
      </c>
      <c r="C636" t="s">
        <v>33</v>
      </c>
      <c r="D636" t="str">
        <f>_xlfn.XLOOKUP(Table1[[#This Row],[BusinessTravel]],Table5[BusinessTravel],Table5[Id_BusinessTravel])</f>
        <v>BS001</v>
      </c>
      <c r="E636" t="s">
        <v>34</v>
      </c>
      <c r="F636">
        <v>141</v>
      </c>
      <c r="G636" t="str">
        <f>_xlfn.XLOOKUP(Table1[[#This Row],[Department]],Table6[Department],Table6[Id_Departement])</f>
        <v>D001</v>
      </c>
      <c r="H636" t="s">
        <v>37</v>
      </c>
      <c r="I636">
        <v>3</v>
      </c>
      <c r="J636" t="str">
        <f>_xlfn.XLOOKUP(Table1[[#This Row],[Education]],Table8[Education],Table8[Id_Education])</f>
        <v>E001</v>
      </c>
      <c r="K636">
        <v>1</v>
      </c>
      <c r="L636" t="str">
        <f>_xlfn.XLOOKUP(Table1[[#This Row],[EducationField]],Table7[EducationField],Table7[Id_EducationField])</f>
        <v>EF002</v>
      </c>
      <c r="M636" t="s">
        <v>41</v>
      </c>
      <c r="N636" t="str">
        <f>_xlfn.XLOOKUP(Table1[[#This Row],[EmployeeNumber]],Table4[EmployeeNumber],Table4[Id_Employee])</f>
        <v>EMP00635</v>
      </c>
      <c r="O636">
        <v>879</v>
      </c>
      <c r="P636" t="str">
        <f>_xlfn.XLOOKUP(Table1[[#This Row],[EnvironmentSatisfaction]],Table9[EnvironmentSatisfaction],Table9[Id_EnviromentSatisfaction])</f>
        <v>ES003</v>
      </c>
      <c r="Q636">
        <v>3</v>
      </c>
      <c r="R636" t="str">
        <f>_xlfn.XLOOKUP(Table1[[#This Row],[EnvironmentSatisfaction]],Table9[EnvironmentSatisfaction],Table9[Deskripsi])</f>
        <v>High</v>
      </c>
      <c r="S636" t="str">
        <f>_xlfn.XLOOKUP(Table1[[#This Row],[Gender]],Table10[Gender],Table10[Id_Gender])</f>
        <v>G002</v>
      </c>
      <c r="T636" t="s">
        <v>46</v>
      </c>
      <c r="U636">
        <v>98</v>
      </c>
      <c r="V636" t="str">
        <f>_xlfn.XLOOKUP(Table1[[#This Row],[JobInvolvement]],Table11[JobInvolvement],Table11[Id_JobInvolvement])</f>
        <v>JI003</v>
      </c>
      <c r="W636">
        <v>3</v>
      </c>
      <c r="X636" t="str">
        <f>_xlfn.XLOOKUP(Table1[[#This Row],[JobLevel]],Table12[JobLevel],Table12[Id_JobLevel])</f>
        <v>JL002</v>
      </c>
      <c r="Y636">
        <v>2</v>
      </c>
      <c r="Z636" t="str">
        <f>_xlfn.XLOOKUP(Table1[[#This Row],[JobRole]],Table13[JobRole],Table13[Id_JobRole])</f>
        <v>JR001</v>
      </c>
      <c r="AA636" t="s">
        <v>47</v>
      </c>
      <c r="AB636" t="str">
        <f>_xlfn.XLOOKUP(Table1[[#This Row],[JobSatisfaction]],Table14[JobSatisfaction],Table14[Id_JobSatisfaction])</f>
        <v>JS001</v>
      </c>
      <c r="AC636">
        <v>1</v>
      </c>
      <c r="AD636" t="str">
        <f>_xlfn.XLOOKUP(Table1[[#This Row],[JobSatisfaction]],Table14[JobSatisfaction],Table14[Deskripsi])</f>
        <v>Low</v>
      </c>
      <c r="AE636" t="str">
        <f>_xlfn.XLOOKUP(Table1[[#This Row],[MaritalStatus]],Table15[MaritalStatus],Table15[Id_MaritalStatus])</f>
        <v>MS002</v>
      </c>
      <c r="AF636" t="s">
        <v>56</v>
      </c>
      <c r="AG636">
        <v>4194</v>
      </c>
      <c r="AH636">
        <v>14363</v>
      </c>
      <c r="AI636">
        <v>1</v>
      </c>
      <c r="AJ636" t="str">
        <f>_xlfn.XLOOKUP(Table1[[#This Row],[OverTime]],Table16[OverTime],Table16[Id_OverTime])</f>
        <v>OT001</v>
      </c>
      <c r="AK636" t="s">
        <v>32</v>
      </c>
      <c r="AL636">
        <v>18</v>
      </c>
      <c r="AM636" t="str">
        <f>_xlfn.XLOOKUP(Table1[[#This Row],[PerformanceRating]],Table17[PerformanceRating],Table17[Id_PerformanceRating])</f>
        <v>PR003</v>
      </c>
      <c r="AN636">
        <v>3</v>
      </c>
      <c r="AO636" t="str">
        <f>_xlfn.XLOOKUP(Table1[[#This Row],[PerformanceRating]],Table17[PerformanceRating],Table17[Deskripsi])</f>
        <v>Excellent</v>
      </c>
      <c r="AP636" t="str">
        <f>_xlfn.XLOOKUP(Table1[[#This Row],[RelationshipSatisfaction]],Table18[RelationshipSatisfaction],Table18[Id_RelationshipSatisfaction])</f>
        <v>RS004</v>
      </c>
      <c r="AQ636">
        <v>4</v>
      </c>
      <c r="AR636" t="str">
        <f>_xlfn.XLOOKUP(Table1[[#This Row],[RelationshipSatisfaction]],Table18[RelationshipSatisfaction],Table18[Deskripsi])</f>
        <v>Very High</v>
      </c>
      <c r="AS636" t="str">
        <f>_xlfn.XLOOKUP(Table1[[#This Row],[StockOptionLevel]],Table19[StockOptionLevel],Table19[Id_StockOptionLevel])</f>
        <v>SOL001</v>
      </c>
      <c r="AT636">
        <v>0</v>
      </c>
      <c r="AU636" t="str">
        <f>_xlfn.XLOOKUP(Table1[[#This Row],[StockOptionLevel]],Table19[StockOptionLevel],Table19[Deskripsi])</f>
        <v>Non-Eligible</v>
      </c>
      <c r="AV636">
        <v>5</v>
      </c>
      <c r="AW636">
        <v>3</v>
      </c>
      <c r="AX636" t="str">
        <f>_xlfn.XLOOKUP(Table1[[#This Row],[WorkLifeBalance]],Table20[WorkLifeBalance],Table20[Id_WorkLifeBalance])</f>
        <v>WLB002</v>
      </c>
      <c r="AY636">
        <v>3</v>
      </c>
      <c r="AZ636" t="str">
        <f>_xlfn.XLOOKUP(Table1[[#This Row],[WorkLifeBalance]],Table20[WorkLifeBalance],Table20[Deskripsi])</f>
        <v>Good</v>
      </c>
      <c r="BA636">
        <v>5</v>
      </c>
      <c r="BB636">
        <v>3</v>
      </c>
      <c r="BC636">
        <v>0</v>
      </c>
      <c r="BD636">
        <v>3</v>
      </c>
    </row>
    <row r="637" spans="1:56" x14ac:dyDescent="0.25">
      <c r="A637">
        <v>35</v>
      </c>
      <c r="B637" t="str">
        <f>_xlfn.XLOOKUP(Table1[[#This Row],[Attrition]],Table2[Attrition],Table2[Id_Attrition])</f>
        <v>A002</v>
      </c>
      <c r="C637" t="s">
        <v>33</v>
      </c>
      <c r="D637" t="str">
        <f>_xlfn.XLOOKUP(Table1[[#This Row],[BusinessTravel]],Table5[BusinessTravel],Table5[Id_BusinessTravel])</f>
        <v>BS001</v>
      </c>
      <c r="E637" t="s">
        <v>34</v>
      </c>
      <c r="F637">
        <v>607</v>
      </c>
      <c r="G637" t="str">
        <f>_xlfn.XLOOKUP(Table1[[#This Row],[Department]],Table6[Department],Table6[Id_Departement])</f>
        <v>D002</v>
      </c>
      <c r="H637" t="s">
        <v>38</v>
      </c>
      <c r="I637">
        <v>9</v>
      </c>
      <c r="J637" t="str">
        <f>_xlfn.XLOOKUP(Table1[[#This Row],[Education]],Table8[Education],Table8[Id_Education])</f>
        <v>E003</v>
      </c>
      <c r="K637">
        <v>3</v>
      </c>
      <c r="L637" t="str">
        <f>_xlfn.XLOOKUP(Table1[[#This Row],[EducationField]],Table7[EducationField],Table7[Id_EducationField])</f>
        <v>EF001</v>
      </c>
      <c r="M637" t="s">
        <v>40</v>
      </c>
      <c r="N637" t="str">
        <f>_xlfn.XLOOKUP(Table1[[#This Row],[EmployeeNumber]],Table4[EmployeeNumber],Table4[Id_Employee])</f>
        <v>EMP00636</v>
      </c>
      <c r="O637">
        <v>880</v>
      </c>
      <c r="P637" t="str">
        <f>_xlfn.XLOOKUP(Table1[[#This Row],[EnvironmentSatisfaction]],Table9[EnvironmentSatisfaction],Table9[Id_EnviromentSatisfaction])</f>
        <v>ES004</v>
      </c>
      <c r="Q637">
        <v>4</v>
      </c>
      <c r="R637" t="str">
        <f>_xlfn.XLOOKUP(Table1[[#This Row],[EnvironmentSatisfaction]],Table9[EnvironmentSatisfaction],Table9[Deskripsi])</f>
        <v>Very High</v>
      </c>
      <c r="S637" t="str">
        <f>_xlfn.XLOOKUP(Table1[[#This Row],[Gender]],Table10[Gender],Table10[Id_Gender])</f>
        <v>G001</v>
      </c>
      <c r="T637" t="s">
        <v>45</v>
      </c>
      <c r="U637">
        <v>66</v>
      </c>
      <c r="V637" t="str">
        <f>_xlfn.XLOOKUP(Table1[[#This Row],[JobInvolvement]],Table11[JobInvolvement],Table11[Id_JobInvolvement])</f>
        <v>JI002</v>
      </c>
      <c r="W637">
        <v>2</v>
      </c>
      <c r="X637" t="str">
        <f>_xlfn.XLOOKUP(Table1[[#This Row],[JobLevel]],Table12[JobLevel],Table12[Id_JobLevel])</f>
        <v>JL003</v>
      </c>
      <c r="Y637">
        <v>3</v>
      </c>
      <c r="Z637" t="str">
        <f>_xlfn.XLOOKUP(Table1[[#This Row],[JobRole]],Table13[JobRole],Table13[Id_JobRole])</f>
        <v>JR004</v>
      </c>
      <c r="AA637" t="s">
        <v>50</v>
      </c>
      <c r="AB637" t="str">
        <f>_xlfn.XLOOKUP(Table1[[#This Row],[JobSatisfaction]],Table14[JobSatisfaction],Table14[Id_JobSatisfaction])</f>
        <v>JS003</v>
      </c>
      <c r="AC637">
        <v>3</v>
      </c>
      <c r="AD637" t="str">
        <f>_xlfn.XLOOKUP(Table1[[#This Row],[JobSatisfaction]],Table14[JobSatisfaction],Table14[Deskripsi])</f>
        <v>High</v>
      </c>
      <c r="AE637" t="str">
        <f>_xlfn.XLOOKUP(Table1[[#This Row],[MaritalStatus]],Table15[MaritalStatus],Table15[Id_MaritalStatus])</f>
        <v>MS002</v>
      </c>
      <c r="AF637" t="s">
        <v>56</v>
      </c>
      <c r="AG637">
        <v>10685</v>
      </c>
      <c r="AH637">
        <v>23457</v>
      </c>
      <c r="AI637">
        <v>1</v>
      </c>
      <c r="AJ637" t="str">
        <f>_xlfn.XLOOKUP(Table1[[#This Row],[OverTime]],Table16[OverTime],Table16[Id_OverTime])</f>
        <v>OT001</v>
      </c>
      <c r="AK637" t="s">
        <v>32</v>
      </c>
      <c r="AL637">
        <v>20</v>
      </c>
      <c r="AM637" t="str">
        <f>_xlfn.XLOOKUP(Table1[[#This Row],[PerformanceRating]],Table17[PerformanceRating],Table17[Id_PerformanceRating])</f>
        <v>PR004</v>
      </c>
      <c r="AN637">
        <v>4</v>
      </c>
      <c r="AO637" t="str">
        <f>_xlfn.XLOOKUP(Table1[[#This Row],[PerformanceRating]],Table17[PerformanceRating],Table17[Deskripsi])</f>
        <v>Outstanding</v>
      </c>
      <c r="AP637" t="str">
        <f>_xlfn.XLOOKUP(Table1[[#This Row],[RelationshipSatisfaction]],Table18[RelationshipSatisfaction],Table18[Id_RelationshipSatisfaction])</f>
        <v>RS002</v>
      </c>
      <c r="AQ637">
        <v>2</v>
      </c>
      <c r="AR637" t="str">
        <f>_xlfn.XLOOKUP(Table1[[#This Row],[RelationshipSatisfaction]],Table18[RelationshipSatisfaction],Table18[Deskripsi])</f>
        <v>Medium</v>
      </c>
      <c r="AS637" t="str">
        <f>_xlfn.XLOOKUP(Table1[[#This Row],[StockOptionLevel]],Table19[StockOptionLevel],Table19[Id_StockOptionLevel])</f>
        <v>SOL002</v>
      </c>
      <c r="AT637">
        <v>1</v>
      </c>
      <c r="AU637" t="str">
        <f>_xlfn.XLOOKUP(Table1[[#This Row],[StockOptionLevel]],Table19[StockOptionLevel],Table19[Deskripsi])</f>
        <v>Standard</v>
      </c>
      <c r="AV637">
        <v>17</v>
      </c>
      <c r="AW637">
        <v>2</v>
      </c>
      <c r="AX637" t="str">
        <f>_xlfn.XLOOKUP(Table1[[#This Row],[WorkLifeBalance]],Table20[WorkLifeBalance],Table20[Id_WorkLifeBalance])</f>
        <v>WLB002</v>
      </c>
      <c r="AY637">
        <v>3</v>
      </c>
      <c r="AZ637" t="str">
        <f>_xlfn.XLOOKUP(Table1[[#This Row],[WorkLifeBalance]],Table20[WorkLifeBalance],Table20[Deskripsi])</f>
        <v>Good</v>
      </c>
      <c r="BA637">
        <v>17</v>
      </c>
      <c r="BB637">
        <v>14</v>
      </c>
      <c r="BC637">
        <v>5</v>
      </c>
      <c r="BD637">
        <v>15</v>
      </c>
    </row>
    <row r="638" spans="1:56" x14ac:dyDescent="0.25">
      <c r="A638">
        <v>35</v>
      </c>
      <c r="B638" t="str">
        <f>_xlfn.XLOOKUP(Table1[[#This Row],[Attrition]],Table2[Attrition],Table2[Id_Attrition])</f>
        <v>A001</v>
      </c>
      <c r="C638" t="s">
        <v>32</v>
      </c>
      <c r="D638" t="str">
        <f>_xlfn.XLOOKUP(Table1[[#This Row],[BusinessTravel]],Table5[BusinessTravel],Table5[Id_BusinessTravel])</f>
        <v>BS002</v>
      </c>
      <c r="E638" t="s">
        <v>35</v>
      </c>
      <c r="F638">
        <v>130</v>
      </c>
      <c r="G638" t="str">
        <f>_xlfn.XLOOKUP(Table1[[#This Row],[Department]],Table6[Department],Table6[Id_Departement])</f>
        <v>D002</v>
      </c>
      <c r="H638" t="s">
        <v>38</v>
      </c>
      <c r="I638">
        <v>25</v>
      </c>
      <c r="J638" t="str">
        <f>_xlfn.XLOOKUP(Table1[[#This Row],[Education]],Table8[Education],Table8[Id_Education])</f>
        <v>E004</v>
      </c>
      <c r="K638">
        <v>4</v>
      </c>
      <c r="L638" t="str">
        <f>_xlfn.XLOOKUP(Table1[[#This Row],[EducationField]],Table7[EducationField],Table7[Id_EducationField])</f>
        <v>EF001</v>
      </c>
      <c r="M638" t="s">
        <v>40</v>
      </c>
      <c r="N638" t="str">
        <f>_xlfn.XLOOKUP(Table1[[#This Row],[EmployeeNumber]],Table4[EmployeeNumber],Table4[Id_Employee])</f>
        <v>EMP00637</v>
      </c>
      <c r="O638">
        <v>881</v>
      </c>
      <c r="P638" t="str">
        <f>_xlfn.XLOOKUP(Table1[[#This Row],[EnvironmentSatisfaction]],Table9[EnvironmentSatisfaction],Table9[Id_EnviromentSatisfaction])</f>
        <v>ES004</v>
      </c>
      <c r="Q638">
        <v>4</v>
      </c>
      <c r="R638" t="str">
        <f>_xlfn.XLOOKUP(Table1[[#This Row],[EnvironmentSatisfaction]],Table9[EnvironmentSatisfaction],Table9[Deskripsi])</f>
        <v>Very High</v>
      </c>
      <c r="S638" t="str">
        <f>_xlfn.XLOOKUP(Table1[[#This Row],[Gender]],Table10[Gender],Table10[Id_Gender])</f>
        <v>G001</v>
      </c>
      <c r="T638" t="s">
        <v>45</v>
      </c>
      <c r="U638">
        <v>96</v>
      </c>
      <c r="V638" t="str">
        <f>_xlfn.XLOOKUP(Table1[[#This Row],[JobInvolvement]],Table11[JobInvolvement],Table11[Id_JobInvolvement])</f>
        <v>JI003</v>
      </c>
      <c r="W638">
        <v>3</v>
      </c>
      <c r="X638" t="str">
        <f>_xlfn.XLOOKUP(Table1[[#This Row],[JobLevel]],Table12[JobLevel],Table12[Id_JobLevel])</f>
        <v>JL001</v>
      </c>
      <c r="Y638">
        <v>1</v>
      </c>
      <c r="Z638" t="str">
        <f>_xlfn.XLOOKUP(Table1[[#This Row],[JobRole]],Table13[JobRole],Table13[Id_JobRole])</f>
        <v>JR002</v>
      </c>
      <c r="AA638" t="s">
        <v>48</v>
      </c>
      <c r="AB638" t="str">
        <f>_xlfn.XLOOKUP(Table1[[#This Row],[JobSatisfaction]],Table14[JobSatisfaction],Table14[Id_JobSatisfaction])</f>
        <v>JS002</v>
      </c>
      <c r="AC638">
        <v>2</v>
      </c>
      <c r="AD638" t="str">
        <f>_xlfn.XLOOKUP(Table1[[#This Row],[JobSatisfaction]],Table14[JobSatisfaction],Table14[Deskripsi])</f>
        <v>Medium</v>
      </c>
      <c r="AE638" t="str">
        <f>_xlfn.XLOOKUP(Table1[[#This Row],[MaritalStatus]],Table15[MaritalStatus],Table15[Id_MaritalStatus])</f>
        <v>MS003</v>
      </c>
      <c r="AF638" t="s">
        <v>57</v>
      </c>
      <c r="AG638">
        <v>2022</v>
      </c>
      <c r="AH638">
        <v>16612</v>
      </c>
      <c r="AI638">
        <v>1</v>
      </c>
      <c r="AJ638" t="str">
        <f>_xlfn.XLOOKUP(Table1[[#This Row],[OverTime]],Table16[OverTime],Table16[Id_OverTime])</f>
        <v>OT001</v>
      </c>
      <c r="AK638" t="s">
        <v>32</v>
      </c>
      <c r="AL638">
        <v>19</v>
      </c>
      <c r="AM638" t="str">
        <f>_xlfn.XLOOKUP(Table1[[#This Row],[PerformanceRating]],Table17[PerformanceRating],Table17[Id_PerformanceRating])</f>
        <v>PR003</v>
      </c>
      <c r="AN638">
        <v>3</v>
      </c>
      <c r="AO638" t="str">
        <f>_xlfn.XLOOKUP(Table1[[#This Row],[PerformanceRating]],Table17[PerformanceRating],Table17[Deskripsi])</f>
        <v>Excellent</v>
      </c>
      <c r="AP638" t="str">
        <f>_xlfn.XLOOKUP(Table1[[#This Row],[RelationshipSatisfaction]],Table18[RelationshipSatisfaction],Table18[Id_RelationshipSatisfaction])</f>
        <v>RS001</v>
      </c>
      <c r="AQ638">
        <v>1</v>
      </c>
      <c r="AR638" t="str">
        <f>_xlfn.XLOOKUP(Table1[[#This Row],[RelationshipSatisfaction]],Table18[RelationshipSatisfaction],Table18[Deskripsi])</f>
        <v>Low</v>
      </c>
      <c r="AS638" t="str">
        <f>_xlfn.XLOOKUP(Table1[[#This Row],[StockOptionLevel]],Table19[StockOptionLevel],Table19[Id_StockOptionLevel])</f>
        <v>SOL002</v>
      </c>
      <c r="AT638">
        <v>1</v>
      </c>
      <c r="AU638" t="str">
        <f>_xlfn.XLOOKUP(Table1[[#This Row],[StockOptionLevel]],Table19[StockOptionLevel],Table19[Deskripsi])</f>
        <v>Standard</v>
      </c>
      <c r="AV638">
        <v>10</v>
      </c>
      <c r="AW638">
        <v>3</v>
      </c>
      <c r="AX638" t="str">
        <f>_xlfn.XLOOKUP(Table1[[#This Row],[WorkLifeBalance]],Table20[WorkLifeBalance],Table20[Id_WorkLifeBalance])</f>
        <v>WLB003</v>
      </c>
      <c r="AY638">
        <v>2</v>
      </c>
      <c r="AZ638" t="str">
        <f>_xlfn.XLOOKUP(Table1[[#This Row],[WorkLifeBalance]],Table20[WorkLifeBalance],Table20[Deskripsi])</f>
        <v>Better</v>
      </c>
      <c r="BA638">
        <v>10</v>
      </c>
      <c r="BB638">
        <v>2</v>
      </c>
      <c r="BC638">
        <v>7</v>
      </c>
      <c r="BD638">
        <v>8</v>
      </c>
    </row>
    <row r="639" spans="1:56" x14ac:dyDescent="0.25">
      <c r="A639">
        <v>32</v>
      </c>
      <c r="B639" t="str">
        <f>_xlfn.XLOOKUP(Table1[[#This Row],[Attrition]],Table2[Attrition],Table2[Id_Attrition])</f>
        <v>A002</v>
      </c>
      <c r="C639" t="s">
        <v>33</v>
      </c>
      <c r="D639" t="str">
        <f>_xlfn.XLOOKUP(Table1[[#This Row],[BusinessTravel]],Table5[BusinessTravel],Table5[Id_BusinessTravel])</f>
        <v>BS003</v>
      </c>
      <c r="E639" t="s">
        <v>36</v>
      </c>
      <c r="F639">
        <v>300</v>
      </c>
      <c r="G639" t="str">
        <f>_xlfn.XLOOKUP(Table1[[#This Row],[Department]],Table6[Department],Table6[Id_Departement])</f>
        <v>D002</v>
      </c>
      <c r="H639" t="s">
        <v>38</v>
      </c>
      <c r="I639">
        <v>1</v>
      </c>
      <c r="J639" t="str">
        <f>_xlfn.XLOOKUP(Table1[[#This Row],[Education]],Table8[Education],Table8[Id_Education])</f>
        <v>E003</v>
      </c>
      <c r="K639">
        <v>3</v>
      </c>
      <c r="L639" t="str">
        <f>_xlfn.XLOOKUP(Table1[[#This Row],[EducationField]],Table7[EducationField],Table7[Id_EducationField])</f>
        <v>EF001</v>
      </c>
      <c r="M639" t="s">
        <v>40</v>
      </c>
      <c r="N639" t="str">
        <f>_xlfn.XLOOKUP(Table1[[#This Row],[EmployeeNumber]],Table4[EmployeeNumber],Table4[Id_Employee])</f>
        <v>EMP00638</v>
      </c>
      <c r="O639">
        <v>882</v>
      </c>
      <c r="P639" t="str">
        <f>_xlfn.XLOOKUP(Table1[[#This Row],[EnvironmentSatisfaction]],Table9[EnvironmentSatisfaction],Table9[Id_EnviromentSatisfaction])</f>
        <v>ES004</v>
      </c>
      <c r="Q639">
        <v>4</v>
      </c>
      <c r="R639" t="str">
        <f>_xlfn.XLOOKUP(Table1[[#This Row],[EnvironmentSatisfaction]],Table9[EnvironmentSatisfaction],Table9[Deskripsi])</f>
        <v>Very High</v>
      </c>
      <c r="S639" t="str">
        <f>_xlfn.XLOOKUP(Table1[[#This Row],[Gender]],Table10[Gender],Table10[Id_Gender])</f>
        <v>G002</v>
      </c>
      <c r="T639" t="s">
        <v>46</v>
      </c>
      <c r="U639">
        <v>61</v>
      </c>
      <c r="V639" t="str">
        <f>_xlfn.XLOOKUP(Table1[[#This Row],[JobInvolvement]],Table11[JobInvolvement],Table11[Id_JobInvolvement])</f>
        <v>JI003</v>
      </c>
      <c r="W639">
        <v>3</v>
      </c>
      <c r="X639" t="str">
        <f>_xlfn.XLOOKUP(Table1[[#This Row],[JobLevel]],Table12[JobLevel],Table12[Id_JobLevel])</f>
        <v>JL001</v>
      </c>
      <c r="Y639">
        <v>1</v>
      </c>
      <c r="Z639" t="str">
        <f>_xlfn.XLOOKUP(Table1[[#This Row],[JobRole]],Table13[JobRole],Table13[Id_JobRole])</f>
        <v>JR003</v>
      </c>
      <c r="AA639" t="s">
        <v>49</v>
      </c>
      <c r="AB639" t="str">
        <f>_xlfn.XLOOKUP(Table1[[#This Row],[JobSatisfaction]],Table14[JobSatisfaction],Table14[Id_JobSatisfaction])</f>
        <v>JS004</v>
      </c>
      <c r="AC639">
        <v>4</v>
      </c>
      <c r="AD639" t="str">
        <f>_xlfn.XLOOKUP(Table1[[#This Row],[JobSatisfaction]],Table14[JobSatisfaction],Table14[Deskripsi])</f>
        <v>Very High</v>
      </c>
      <c r="AE639" t="str">
        <f>_xlfn.XLOOKUP(Table1[[#This Row],[MaritalStatus]],Table15[MaritalStatus],Table15[Id_MaritalStatus])</f>
        <v>MS003</v>
      </c>
      <c r="AF639" t="s">
        <v>57</v>
      </c>
      <c r="AG639">
        <v>2314</v>
      </c>
      <c r="AH639">
        <v>9148</v>
      </c>
      <c r="AI639">
        <v>0</v>
      </c>
      <c r="AJ639" t="str">
        <f>_xlfn.XLOOKUP(Table1[[#This Row],[OverTime]],Table16[OverTime],Table16[Id_OverTime])</f>
        <v>OT002</v>
      </c>
      <c r="AK639" t="s">
        <v>33</v>
      </c>
      <c r="AL639">
        <v>12</v>
      </c>
      <c r="AM639" t="str">
        <f>_xlfn.XLOOKUP(Table1[[#This Row],[PerformanceRating]],Table17[PerformanceRating],Table17[Id_PerformanceRating])</f>
        <v>PR003</v>
      </c>
      <c r="AN639">
        <v>3</v>
      </c>
      <c r="AO639" t="str">
        <f>_xlfn.XLOOKUP(Table1[[#This Row],[PerformanceRating]],Table17[PerformanceRating],Table17[Deskripsi])</f>
        <v>Excellent</v>
      </c>
      <c r="AP639" t="str">
        <f>_xlfn.XLOOKUP(Table1[[#This Row],[RelationshipSatisfaction]],Table18[RelationshipSatisfaction],Table18[Id_RelationshipSatisfaction])</f>
        <v>RS002</v>
      </c>
      <c r="AQ639">
        <v>2</v>
      </c>
      <c r="AR639" t="str">
        <f>_xlfn.XLOOKUP(Table1[[#This Row],[RelationshipSatisfaction]],Table18[RelationshipSatisfaction],Table18[Deskripsi])</f>
        <v>Medium</v>
      </c>
      <c r="AS639" t="str">
        <f>_xlfn.XLOOKUP(Table1[[#This Row],[StockOptionLevel]],Table19[StockOptionLevel],Table19[Id_StockOptionLevel])</f>
        <v>SOL002</v>
      </c>
      <c r="AT639">
        <v>1</v>
      </c>
      <c r="AU639" t="str">
        <f>_xlfn.XLOOKUP(Table1[[#This Row],[StockOptionLevel]],Table19[StockOptionLevel],Table19[Deskripsi])</f>
        <v>Standard</v>
      </c>
      <c r="AV639">
        <v>4</v>
      </c>
      <c r="AW639">
        <v>2</v>
      </c>
      <c r="AX639" t="str">
        <f>_xlfn.XLOOKUP(Table1[[#This Row],[WorkLifeBalance]],Table20[WorkLifeBalance],Table20[Id_WorkLifeBalance])</f>
        <v>WLB002</v>
      </c>
      <c r="AY639">
        <v>3</v>
      </c>
      <c r="AZ639" t="str">
        <f>_xlfn.XLOOKUP(Table1[[#This Row],[WorkLifeBalance]],Table20[WorkLifeBalance],Table20[Deskripsi])</f>
        <v>Good</v>
      </c>
      <c r="BA639">
        <v>3</v>
      </c>
      <c r="BB639">
        <v>0</v>
      </c>
      <c r="BC639">
        <v>0</v>
      </c>
      <c r="BD639">
        <v>2</v>
      </c>
    </row>
    <row r="640" spans="1:56" x14ac:dyDescent="0.25">
      <c r="A640">
        <v>25</v>
      </c>
      <c r="B640" t="str">
        <f>_xlfn.XLOOKUP(Table1[[#This Row],[Attrition]],Table2[Attrition],Table2[Id_Attrition])</f>
        <v>A002</v>
      </c>
      <c r="C640" t="s">
        <v>33</v>
      </c>
      <c r="D640" t="str">
        <f>_xlfn.XLOOKUP(Table1[[#This Row],[BusinessTravel]],Table5[BusinessTravel],Table5[Id_BusinessTravel])</f>
        <v>BS001</v>
      </c>
      <c r="E640" t="s">
        <v>34</v>
      </c>
      <c r="F640">
        <v>583</v>
      </c>
      <c r="G640" t="str">
        <f>_xlfn.XLOOKUP(Table1[[#This Row],[Department]],Table6[Department],Table6[Id_Departement])</f>
        <v>D001</v>
      </c>
      <c r="H640" t="s">
        <v>37</v>
      </c>
      <c r="I640">
        <v>4</v>
      </c>
      <c r="J640" t="str">
        <f>_xlfn.XLOOKUP(Table1[[#This Row],[Education]],Table8[Education],Table8[Id_Education])</f>
        <v>E001</v>
      </c>
      <c r="K640">
        <v>1</v>
      </c>
      <c r="L640" t="str">
        <f>_xlfn.XLOOKUP(Table1[[#This Row],[EducationField]],Table7[EducationField],Table7[Id_EducationField])</f>
        <v>EF004</v>
      </c>
      <c r="M640" t="s">
        <v>43</v>
      </c>
      <c r="N640" t="str">
        <f>_xlfn.XLOOKUP(Table1[[#This Row],[EmployeeNumber]],Table4[EmployeeNumber],Table4[Id_Employee])</f>
        <v>EMP00639</v>
      </c>
      <c r="O640">
        <v>885</v>
      </c>
      <c r="P640" t="str">
        <f>_xlfn.XLOOKUP(Table1[[#This Row],[EnvironmentSatisfaction]],Table9[EnvironmentSatisfaction],Table9[Id_EnviromentSatisfaction])</f>
        <v>ES003</v>
      </c>
      <c r="Q640">
        <v>3</v>
      </c>
      <c r="R640" t="str">
        <f>_xlfn.XLOOKUP(Table1[[#This Row],[EnvironmentSatisfaction]],Table9[EnvironmentSatisfaction],Table9[Deskripsi])</f>
        <v>High</v>
      </c>
      <c r="S640" t="str">
        <f>_xlfn.XLOOKUP(Table1[[#This Row],[Gender]],Table10[Gender],Table10[Id_Gender])</f>
        <v>G002</v>
      </c>
      <c r="T640" t="s">
        <v>46</v>
      </c>
      <c r="U640">
        <v>87</v>
      </c>
      <c r="V640" t="str">
        <f>_xlfn.XLOOKUP(Table1[[#This Row],[JobInvolvement]],Table11[JobInvolvement],Table11[Id_JobInvolvement])</f>
        <v>JI002</v>
      </c>
      <c r="W640">
        <v>2</v>
      </c>
      <c r="X640" t="str">
        <f>_xlfn.XLOOKUP(Table1[[#This Row],[JobLevel]],Table12[JobLevel],Table12[Id_JobLevel])</f>
        <v>JL002</v>
      </c>
      <c r="Y640">
        <v>2</v>
      </c>
      <c r="Z640" t="str">
        <f>_xlfn.XLOOKUP(Table1[[#This Row],[JobRole]],Table13[JobRole],Table13[Id_JobRole])</f>
        <v>JR001</v>
      </c>
      <c r="AA640" t="s">
        <v>47</v>
      </c>
      <c r="AB640" t="str">
        <f>_xlfn.XLOOKUP(Table1[[#This Row],[JobSatisfaction]],Table14[JobSatisfaction],Table14[Id_JobSatisfaction])</f>
        <v>JS001</v>
      </c>
      <c r="AC640">
        <v>1</v>
      </c>
      <c r="AD640" t="str">
        <f>_xlfn.XLOOKUP(Table1[[#This Row],[JobSatisfaction]],Table14[JobSatisfaction],Table14[Deskripsi])</f>
        <v>Low</v>
      </c>
      <c r="AE640" t="str">
        <f>_xlfn.XLOOKUP(Table1[[#This Row],[MaritalStatus]],Table15[MaritalStatus],Table15[Id_MaritalStatus])</f>
        <v>MS002</v>
      </c>
      <c r="AF640" t="s">
        <v>56</v>
      </c>
      <c r="AG640">
        <v>4256</v>
      </c>
      <c r="AH640">
        <v>18154</v>
      </c>
      <c r="AI640">
        <v>1</v>
      </c>
      <c r="AJ640" t="str">
        <f>_xlfn.XLOOKUP(Table1[[#This Row],[OverTime]],Table16[OverTime],Table16[Id_OverTime])</f>
        <v>OT002</v>
      </c>
      <c r="AK640" t="s">
        <v>33</v>
      </c>
      <c r="AL640">
        <v>12</v>
      </c>
      <c r="AM640" t="str">
        <f>_xlfn.XLOOKUP(Table1[[#This Row],[PerformanceRating]],Table17[PerformanceRating],Table17[Id_PerformanceRating])</f>
        <v>PR003</v>
      </c>
      <c r="AN640">
        <v>3</v>
      </c>
      <c r="AO640" t="str">
        <f>_xlfn.XLOOKUP(Table1[[#This Row],[PerformanceRating]],Table17[PerformanceRating],Table17[Deskripsi])</f>
        <v>Excellent</v>
      </c>
      <c r="AP640" t="str">
        <f>_xlfn.XLOOKUP(Table1[[#This Row],[RelationshipSatisfaction]],Table18[RelationshipSatisfaction],Table18[Id_RelationshipSatisfaction])</f>
        <v>RS001</v>
      </c>
      <c r="AQ640">
        <v>1</v>
      </c>
      <c r="AR640" t="str">
        <f>_xlfn.XLOOKUP(Table1[[#This Row],[RelationshipSatisfaction]],Table18[RelationshipSatisfaction],Table18[Deskripsi])</f>
        <v>Low</v>
      </c>
      <c r="AS640" t="str">
        <f>_xlfn.XLOOKUP(Table1[[#This Row],[StockOptionLevel]],Table19[StockOptionLevel],Table19[Id_StockOptionLevel])</f>
        <v>SOL001</v>
      </c>
      <c r="AT640">
        <v>0</v>
      </c>
      <c r="AU640" t="str">
        <f>_xlfn.XLOOKUP(Table1[[#This Row],[StockOptionLevel]],Table19[StockOptionLevel],Table19[Deskripsi])</f>
        <v>Non-Eligible</v>
      </c>
      <c r="AV640">
        <v>5</v>
      </c>
      <c r="AW640">
        <v>1</v>
      </c>
      <c r="AX640" t="str">
        <f>_xlfn.XLOOKUP(Table1[[#This Row],[WorkLifeBalance]],Table20[WorkLifeBalance],Table20[Id_WorkLifeBalance])</f>
        <v>WLB004</v>
      </c>
      <c r="AY640">
        <v>4</v>
      </c>
      <c r="AZ640" t="str">
        <f>_xlfn.XLOOKUP(Table1[[#This Row],[WorkLifeBalance]],Table20[WorkLifeBalance],Table20[Deskripsi])</f>
        <v>Best</v>
      </c>
      <c r="BA640">
        <v>5</v>
      </c>
      <c r="BB640">
        <v>2</v>
      </c>
      <c r="BC640">
        <v>0</v>
      </c>
      <c r="BD640">
        <v>3</v>
      </c>
    </row>
    <row r="641" spans="1:56" x14ac:dyDescent="0.25">
      <c r="A641">
        <v>49</v>
      </c>
      <c r="B641" t="str">
        <f>_xlfn.XLOOKUP(Table1[[#This Row],[Attrition]],Table2[Attrition],Table2[Id_Attrition])</f>
        <v>A002</v>
      </c>
      <c r="C641" t="s">
        <v>33</v>
      </c>
      <c r="D641" t="str">
        <f>_xlfn.XLOOKUP(Table1[[#This Row],[BusinessTravel]],Table5[BusinessTravel],Table5[Id_BusinessTravel])</f>
        <v>BS001</v>
      </c>
      <c r="E641" t="s">
        <v>34</v>
      </c>
      <c r="F641">
        <v>1418</v>
      </c>
      <c r="G641" t="str">
        <f>_xlfn.XLOOKUP(Table1[[#This Row],[Department]],Table6[Department],Table6[Id_Departement])</f>
        <v>D002</v>
      </c>
      <c r="H641" t="s">
        <v>38</v>
      </c>
      <c r="I641">
        <v>1</v>
      </c>
      <c r="J641" t="str">
        <f>_xlfn.XLOOKUP(Table1[[#This Row],[Education]],Table8[Education],Table8[Id_Education])</f>
        <v>E003</v>
      </c>
      <c r="K641">
        <v>3</v>
      </c>
      <c r="L641" t="str">
        <f>_xlfn.XLOOKUP(Table1[[#This Row],[EducationField]],Table7[EducationField],Table7[Id_EducationField])</f>
        <v>EF005</v>
      </c>
      <c r="M641" t="s">
        <v>44</v>
      </c>
      <c r="N641" t="str">
        <f>_xlfn.XLOOKUP(Table1[[#This Row],[EmployeeNumber]],Table4[EmployeeNumber],Table4[Id_Employee])</f>
        <v>EMP00640</v>
      </c>
      <c r="O641">
        <v>887</v>
      </c>
      <c r="P641" t="str">
        <f>_xlfn.XLOOKUP(Table1[[#This Row],[EnvironmentSatisfaction]],Table9[EnvironmentSatisfaction],Table9[Id_EnviromentSatisfaction])</f>
        <v>ES003</v>
      </c>
      <c r="Q641">
        <v>3</v>
      </c>
      <c r="R641" t="str">
        <f>_xlfn.XLOOKUP(Table1[[#This Row],[EnvironmentSatisfaction]],Table9[EnvironmentSatisfaction],Table9[Deskripsi])</f>
        <v>High</v>
      </c>
      <c r="S641" t="str">
        <f>_xlfn.XLOOKUP(Table1[[#This Row],[Gender]],Table10[Gender],Table10[Id_Gender])</f>
        <v>G001</v>
      </c>
      <c r="T641" t="s">
        <v>45</v>
      </c>
      <c r="U641">
        <v>36</v>
      </c>
      <c r="V641" t="str">
        <f>_xlfn.XLOOKUP(Table1[[#This Row],[JobInvolvement]],Table11[JobInvolvement],Table11[Id_JobInvolvement])</f>
        <v>JI003</v>
      </c>
      <c r="W641">
        <v>3</v>
      </c>
      <c r="X641" t="str">
        <f>_xlfn.XLOOKUP(Table1[[#This Row],[JobLevel]],Table12[JobLevel],Table12[Id_JobLevel])</f>
        <v>JL001</v>
      </c>
      <c r="Y641">
        <v>1</v>
      </c>
      <c r="Z641" t="str">
        <f>_xlfn.XLOOKUP(Table1[[#This Row],[JobRole]],Table13[JobRole],Table13[Id_JobRole])</f>
        <v>JR002</v>
      </c>
      <c r="AA641" t="s">
        <v>48</v>
      </c>
      <c r="AB641" t="str">
        <f>_xlfn.XLOOKUP(Table1[[#This Row],[JobSatisfaction]],Table14[JobSatisfaction],Table14[Id_JobSatisfaction])</f>
        <v>JS001</v>
      </c>
      <c r="AC641">
        <v>1</v>
      </c>
      <c r="AD641" t="str">
        <f>_xlfn.XLOOKUP(Table1[[#This Row],[JobSatisfaction]],Table14[JobSatisfaction],Table14[Deskripsi])</f>
        <v>Low</v>
      </c>
      <c r="AE641" t="str">
        <f>_xlfn.XLOOKUP(Table1[[#This Row],[MaritalStatus]],Table15[MaritalStatus],Table15[Id_MaritalStatus])</f>
        <v>MS002</v>
      </c>
      <c r="AF641" t="s">
        <v>56</v>
      </c>
      <c r="AG641">
        <v>3580</v>
      </c>
      <c r="AH641">
        <v>10554</v>
      </c>
      <c r="AI641">
        <v>2</v>
      </c>
      <c r="AJ641" t="str">
        <f>_xlfn.XLOOKUP(Table1[[#This Row],[OverTime]],Table16[OverTime],Table16[Id_OverTime])</f>
        <v>OT002</v>
      </c>
      <c r="AK641" t="s">
        <v>33</v>
      </c>
      <c r="AL641">
        <v>16</v>
      </c>
      <c r="AM641" t="str">
        <f>_xlfn.XLOOKUP(Table1[[#This Row],[PerformanceRating]],Table17[PerformanceRating],Table17[Id_PerformanceRating])</f>
        <v>PR003</v>
      </c>
      <c r="AN641">
        <v>3</v>
      </c>
      <c r="AO641" t="str">
        <f>_xlfn.XLOOKUP(Table1[[#This Row],[PerformanceRating]],Table17[PerformanceRating],Table17[Deskripsi])</f>
        <v>Excellent</v>
      </c>
      <c r="AP641" t="str">
        <f>_xlfn.XLOOKUP(Table1[[#This Row],[RelationshipSatisfaction]],Table18[RelationshipSatisfaction],Table18[Id_RelationshipSatisfaction])</f>
        <v>RS002</v>
      </c>
      <c r="AQ641">
        <v>2</v>
      </c>
      <c r="AR641" t="str">
        <f>_xlfn.XLOOKUP(Table1[[#This Row],[RelationshipSatisfaction]],Table18[RelationshipSatisfaction],Table18[Deskripsi])</f>
        <v>Medium</v>
      </c>
      <c r="AS641" t="str">
        <f>_xlfn.XLOOKUP(Table1[[#This Row],[StockOptionLevel]],Table19[StockOptionLevel],Table19[Id_StockOptionLevel])</f>
        <v>SOL002</v>
      </c>
      <c r="AT641">
        <v>1</v>
      </c>
      <c r="AU641" t="str">
        <f>_xlfn.XLOOKUP(Table1[[#This Row],[StockOptionLevel]],Table19[StockOptionLevel],Table19[Deskripsi])</f>
        <v>Standard</v>
      </c>
      <c r="AV641">
        <v>7</v>
      </c>
      <c r="AW641">
        <v>2</v>
      </c>
      <c r="AX641" t="str">
        <f>_xlfn.XLOOKUP(Table1[[#This Row],[WorkLifeBalance]],Table20[WorkLifeBalance],Table20[Id_WorkLifeBalance])</f>
        <v>WLB002</v>
      </c>
      <c r="AY641">
        <v>3</v>
      </c>
      <c r="AZ641" t="str">
        <f>_xlfn.XLOOKUP(Table1[[#This Row],[WorkLifeBalance]],Table20[WorkLifeBalance],Table20[Deskripsi])</f>
        <v>Good</v>
      </c>
      <c r="BA641">
        <v>4</v>
      </c>
      <c r="BB641">
        <v>2</v>
      </c>
      <c r="BC641">
        <v>0</v>
      </c>
      <c r="BD641">
        <v>2</v>
      </c>
    </row>
    <row r="642" spans="1:56" x14ac:dyDescent="0.25">
      <c r="A642">
        <v>24</v>
      </c>
      <c r="B642" t="str">
        <f>_xlfn.XLOOKUP(Table1[[#This Row],[Attrition]],Table2[Attrition],Table2[Id_Attrition])</f>
        <v>A002</v>
      </c>
      <c r="C642" t="s">
        <v>33</v>
      </c>
      <c r="D642" t="str">
        <f>_xlfn.XLOOKUP(Table1[[#This Row],[BusinessTravel]],Table5[BusinessTravel],Table5[Id_BusinessTravel])</f>
        <v>BS003</v>
      </c>
      <c r="E642" t="s">
        <v>36</v>
      </c>
      <c r="F642">
        <v>1269</v>
      </c>
      <c r="G642" t="str">
        <f>_xlfn.XLOOKUP(Table1[[#This Row],[Department]],Table6[Department],Table6[Id_Departement])</f>
        <v>D002</v>
      </c>
      <c r="H642" t="s">
        <v>38</v>
      </c>
      <c r="I642">
        <v>4</v>
      </c>
      <c r="J642" t="str">
        <f>_xlfn.XLOOKUP(Table1[[#This Row],[Education]],Table8[Education],Table8[Id_Education])</f>
        <v>E001</v>
      </c>
      <c r="K642">
        <v>1</v>
      </c>
      <c r="L642" t="str">
        <f>_xlfn.XLOOKUP(Table1[[#This Row],[EducationField]],Table7[EducationField],Table7[Id_EducationField])</f>
        <v>EF001</v>
      </c>
      <c r="M642" t="s">
        <v>40</v>
      </c>
      <c r="N642" t="str">
        <f>_xlfn.XLOOKUP(Table1[[#This Row],[EmployeeNumber]],Table4[EmployeeNumber],Table4[Id_Employee])</f>
        <v>EMP00641</v>
      </c>
      <c r="O642">
        <v>888</v>
      </c>
      <c r="P642" t="str">
        <f>_xlfn.XLOOKUP(Table1[[#This Row],[EnvironmentSatisfaction]],Table9[EnvironmentSatisfaction],Table9[Id_EnviromentSatisfaction])</f>
        <v>ES001</v>
      </c>
      <c r="Q642">
        <v>1</v>
      </c>
      <c r="R642" t="str">
        <f>_xlfn.XLOOKUP(Table1[[#This Row],[EnvironmentSatisfaction]],Table9[EnvironmentSatisfaction],Table9[Deskripsi])</f>
        <v>Low</v>
      </c>
      <c r="S642" t="str">
        <f>_xlfn.XLOOKUP(Table1[[#This Row],[Gender]],Table10[Gender],Table10[Id_Gender])</f>
        <v>G002</v>
      </c>
      <c r="T642" t="s">
        <v>46</v>
      </c>
      <c r="U642">
        <v>46</v>
      </c>
      <c r="V642" t="str">
        <f>_xlfn.XLOOKUP(Table1[[#This Row],[JobInvolvement]],Table11[JobInvolvement],Table11[Id_JobInvolvement])</f>
        <v>JI002</v>
      </c>
      <c r="W642">
        <v>2</v>
      </c>
      <c r="X642" t="str">
        <f>_xlfn.XLOOKUP(Table1[[#This Row],[JobLevel]],Table12[JobLevel],Table12[Id_JobLevel])</f>
        <v>JL001</v>
      </c>
      <c r="Y642">
        <v>1</v>
      </c>
      <c r="Z642" t="str">
        <f>_xlfn.XLOOKUP(Table1[[#This Row],[JobRole]],Table13[JobRole],Table13[Id_JobRole])</f>
        <v>JR003</v>
      </c>
      <c r="AA642" t="s">
        <v>49</v>
      </c>
      <c r="AB642" t="str">
        <f>_xlfn.XLOOKUP(Table1[[#This Row],[JobSatisfaction]],Table14[JobSatisfaction],Table14[Id_JobSatisfaction])</f>
        <v>JS004</v>
      </c>
      <c r="AC642">
        <v>4</v>
      </c>
      <c r="AD642" t="str">
        <f>_xlfn.XLOOKUP(Table1[[#This Row],[JobSatisfaction]],Table14[JobSatisfaction],Table14[Deskripsi])</f>
        <v>Very High</v>
      </c>
      <c r="AE642" t="str">
        <f>_xlfn.XLOOKUP(Table1[[#This Row],[MaritalStatus]],Table15[MaritalStatus],Table15[Id_MaritalStatus])</f>
        <v>MS002</v>
      </c>
      <c r="AF642" t="s">
        <v>56</v>
      </c>
      <c r="AG642">
        <v>3162</v>
      </c>
      <c r="AH642">
        <v>10778</v>
      </c>
      <c r="AI642">
        <v>0</v>
      </c>
      <c r="AJ642" t="str">
        <f>_xlfn.XLOOKUP(Table1[[#This Row],[OverTime]],Table16[OverTime],Table16[Id_OverTime])</f>
        <v>OT002</v>
      </c>
      <c r="AK642" t="s">
        <v>33</v>
      </c>
      <c r="AL642">
        <v>17</v>
      </c>
      <c r="AM642" t="str">
        <f>_xlfn.XLOOKUP(Table1[[#This Row],[PerformanceRating]],Table17[PerformanceRating],Table17[Id_PerformanceRating])</f>
        <v>PR003</v>
      </c>
      <c r="AN642">
        <v>3</v>
      </c>
      <c r="AO642" t="str">
        <f>_xlfn.XLOOKUP(Table1[[#This Row],[PerformanceRating]],Table17[PerformanceRating],Table17[Deskripsi])</f>
        <v>Excellent</v>
      </c>
      <c r="AP642" t="str">
        <f>_xlfn.XLOOKUP(Table1[[#This Row],[RelationshipSatisfaction]],Table18[RelationshipSatisfaction],Table18[Id_RelationshipSatisfaction])</f>
        <v>RS004</v>
      </c>
      <c r="AQ642">
        <v>4</v>
      </c>
      <c r="AR642" t="str">
        <f>_xlfn.XLOOKUP(Table1[[#This Row],[RelationshipSatisfaction]],Table18[RelationshipSatisfaction],Table18[Deskripsi])</f>
        <v>Very High</v>
      </c>
      <c r="AS642" t="str">
        <f>_xlfn.XLOOKUP(Table1[[#This Row],[StockOptionLevel]],Table19[StockOptionLevel],Table19[Id_StockOptionLevel])</f>
        <v>SOL001</v>
      </c>
      <c r="AT642">
        <v>0</v>
      </c>
      <c r="AU642" t="str">
        <f>_xlfn.XLOOKUP(Table1[[#This Row],[StockOptionLevel]],Table19[StockOptionLevel],Table19[Deskripsi])</f>
        <v>Non-Eligible</v>
      </c>
      <c r="AV642">
        <v>6</v>
      </c>
      <c r="AW642">
        <v>2</v>
      </c>
      <c r="AX642" t="str">
        <f>_xlfn.XLOOKUP(Table1[[#This Row],[WorkLifeBalance]],Table20[WorkLifeBalance],Table20[Id_WorkLifeBalance])</f>
        <v>WLB003</v>
      </c>
      <c r="AY642">
        <v>2</v>
      </c>
      <c r="AZ642" t="str">
        <f>_xlfn.XLOOKUP(Table1[[#This Row],[WorkLifeBalance]],Table20[WorkLifeBalance],Table20[Deskripsi])</f>
        <v>Better</v>
      </c>
      <c r="BA642">
        <v>5</v>
      </c>
      <c r="BB642">
        <v>2</v>
      </c>
      <c r="BC642">
        <v>3</v>
      </c>
      <c r="BD642">
        <v>4</v>
      </c>
    </row>
    <row r="643" spans="1:56" x14ac:dyDescent="0.25">
      <c r="A643">
        <v>32</v>
      </c>
      <c r="B643" t="str">
        <f>_xlfn.XLOOKUP(Table1[[#This Row],[Attrition]],Table2[Attrition],Table2[Id_Attrition])</f>
        <v>A002</v>
      </c>
      <c r="C643" t="s">
        <v>33</v>
      </c>
      <c r="D643" t="str">
        <f>_xlfn.XLOOKUP(Table1[[#This Row],[BusinessTravel]],Table5[BusinessTravel],Table5[Id_BusinessTravel])</f>
        <v>BS002</v>
      </c>
      <c r="E643" t="s">
        <v>35</v>
      </c>
      <c r="F643">
        <v>379</v>
      </c>
      <c r="G643" t="str">
        <f>_xlfn.XLOOKUP(Table1[[#This Row],[Department]],Table6[Department],Table6[Id_Departement])</f>
        <v>D001</v>
      </c>
      <c r="H643" t="s">
        <v>37</v>
      </c>
      <c r="I643">
        <v>5</v>
      </c>
      <c r="J643" t="str">
        <f>_xlfn.XLOOKUP(Table1[[#This Row],[Education]],Table8[Education],Table8[Id_Education])</f>
        <v>E002</v>
      </c>
      <c r="K643">
        <v>2</v>
      </c>
      <c r="L643" t="str">
        <f>_xlfn.XLOOKUP(Table1[[#This Row],[EducationField]],Table7[EducationField],Table7[Id_EducationField])</f>
        <v>EF001</v>
      </c>
      <c r="M643" t="s">
        <v>40</v>
      </c>
      <c r="N643" t="str">
        <f>_xlfn.XLOOKUP(Table1[[#This Row],[EmployeeNumber]],Table4[EmployeeNumber],Table4[Id_Employee])</f>
        <v>EMP00642</v>
      </c>
      <c r="O643">
        <v>889</v>
      </c>
      <c r="P643" t="str">
        <f>_xlfn.XLOOKUP(Table1[[#This Row],[EnvironmentSatisfaction]],Table9[EnvironmentSatisfaction],Table9[Id_EnviromentSatisfaction])</f>
        <v>ES002</v>
      </c>
      <c r="Q643">
        <v>2</v>
      </c>
      <c r="R643" t="str">
        <f>_xlfn.XLOOKUP(Table1[[#This Row],[EnvironmentSatisfaction]],Table9[EnvironmentSatisfaction],Table9[Deskripsi])</f>
        <v>Medium</v>
      </c>
      <c r="S643" t="str">
        <f>_xlfn.XLOOKUP(Table1[[#This Row],[Gender]],Table10[Gender],Table10[Id_Gender])</f>
        <v>G002</v>
      </c>
      <c r="T643" t="s">
        <v>46</v>
      </c>
      <c r="U643">
        <v>48</v>
      </c>
      <c r="V643" t="str">
        <f>_xlfn.XLOOKUP(Table1[[#This Row],[JobInvolvement]],Table11[JobInvolvement],Table11[Id_JobInvolvement])</f>
        <v>JI003</v>
      </c>
      <c r="W643">
        <v>3</v>
      </c>
      <c r="X643" t="str">
        <f>_xlfn.XLOOKUP(Table1[[#This Row],[JobLevel]],Table12[JobLevel],Table12[Id_JobLevel])</f>
        <v>JL002</v>
      </c>
      <c r="Y643">
        <v>2</v>
      </c>
      <c r="Z643" t="str">
        <f>_xlfn.XLOOKUP(Table1[[#This Row],[JobRole]],Table13[JobRole],Table13[Id_JobRole])</f>
        <v>JR001</v>
      </c>
      <c r="AA643" t="s">
        <v>47</v>
      </c>
      <c r="AB643" t="str">
        <f>_xlfn.XLOOKUP(Table1[[#This Row],[JobSatisfaction]],Table14[JobSatisfaction],Table14[Id_JobSatisfaction])</f>
        <v>JS002</v>
      </c>
      <c r="AC643">
        <v>2</v>
      </c>
      <c r="AD643" t="str">
        <f>_xlfn.XLOOKUP(Table1[[#This Row],[JobSatisfaction]],Table14[JobSatisfaction],Table14[Deskripsi])</f>
        <v>Medium</v>
      </c>
      <c r="AE643" t="str">
        <f>_xlfn.XLOOKUP(Table1[[#This Row],[MaritalStatus]],Table15[MaritalStatus],Table15[Id_MaritalStatus])</f>
        <v>MS002</v>
      </c>
      <c r="AF643" t="s">
        <v>56</v>
      </c>
      <c r="AG643">
        <v>6524</v>
      </c>
      <c r="AH643">
        <v>8891</v>
      </c>
      <c r="AI643">
        <v>1</v>
      </c>
      <c r="AJ643" t="str">
        <f>_xlfn.XLOOKUP(Table1[[#This Row],[OverTime]],Table16[OverTime],Table16[Id_OverTime])</f>
        <v>OT002</v>
      </c>
      <c r="AK643" t="s">
        <v>33</v>
      </c>
      <c r="AL643">
        <v>14</v>
      </c>
      <c r="AM643" t="str">
        <f>_xlfn.XLOOKUP(Table1[[#This Row],[PerformanceRating]],Table17[PerformanceRating],Table17[Id_PerformanceRating])</f>
        <v>PR003</v>
      </c>
      <c r="AN643">
        <v>3</v>
      </c>
      <c r="AO643" t="str">
        <f>_xlfn.XLOOKUP(Table1[[#This Row],[PerformanceRating]],Table17[PerformanceRating],Table17[Deskripsi])</f>
        <v>Excellent</v>
      </c>
      <c r="AP643" t="str">
        <f>_xlfn.XLOOKUP(Table1[[#This Row],[RelationshipSatisfaction]],Table18[RelationshipSatisfaction],Table18[Id_RelationshipSatisfaction])</f>
        <v>RS004</v>
      </c>
      <c r="AQ643">
        <v>4</v>
      </c>
      <c r="AR643" t="str">
        <f>_xlfn.XLOOKUP(Table1[[#This Row],[RelationshipSatisfaction]],Table18[RelationshipSatisfaction],Table18[Deskripsi])</f>
        <v>Very High</v>
      </c>
      <c r="AS643" t="str">
        <f>_xlfn.XLOOKUP(Table1[[#This Row],[StockOptionLevel]],Table19[StockOptionLevel],Table19[Id_StockOptionLevel])</f>
        <v>SOL002</v>
      </c>
      <c r="AT643">
        <v>1</v>
      </c>
      <c r="AU643" t="str">
        <f>_xlfn.XLOOKUP(Table1[[#This Row],[StockOptionLevel]],Table19[StockOptionLevel],Table19[Deskripsi])</f>
        <v>Standard</v>
      </c>
      <c r="AV643">
        <v>10</v>
      </c>
      <c r="AW643">
        <v>3</v>
      </c>
      <c r="AX643" t="str">
        <f>_xlfn.XLOOKUP(Table1[[#This Row],[WorkLifeBalance]],Table20[WorkLifeBalance],Table20[Id_WorkLifeBalance])</f>
        <v>WLB002</v>
      </c>
      <c r="AY643">
        <v>3</v>
      </c>
      <c r="AZ643" t="str">
        <f>_xlfn.XLOOKUP(Table1[[#This Row],[WorkLifeBalance]],Table20[WorkLifeBalance],Table20[Deskripsi])</f>
        <v>Good</v>
      </c>
      <c r="BA643">
        <v>10</v>
      </c>
      <c r="BB643">
        <v>8</v>
      </c>
      <c r="BC643">
        <v>5</v>
      </c>
      <c r="BD643">
        <v>3</v>
      </c>
    </row>
    <row r="644" spans="1:56" x14ac:dyDescent="0.25">
      <c r="A644">
        <v>38</v>
      </c>
      <c r="B644" t="str">
        <f>_xlfn.XLOOKUP(Table1[[#This Row],[Attrition]],Table2[Attrition],Table2[Id_Attrition])</f>
        <v>A002</v>
      </c>
      <c r="C644" t="s">
        <v>33</v>
      </c>
      <c r="D644" t="str">
        <f>_xlfn.XLOOKUP(Table1[[#This Row],[BusinessTravel]],Table5[BusinessTravel],Table5[Id_BusinessTravel])</f>
        <v>BS001</v>
      </c>
      <c r="E644" t="s">
        <v>34</v>
      </c>
      <c r="F644">
        <v>395</v>
      </c>
      <c r="G644" t="str">
        <f>_xlfn.XLOOKUP(Table1[[#This Row],[Department]],Table6[Department],Table6[Id_Departement])</f>
        <v>D001</v>
      </c>
      <c r="H644" t="s">
        <v>37</v>
      </c>
      <c r="I644">
        <v>9</v>
      </c>
      <c r="J644" t="str">
        <f>_xlfn.XLOOKUP(Table1[[#This Row],[Education]],Table8[Education],Table8[Id_Education])</f>
        <v>E003</v>
      </c>
      <c r="K644">
        <v>3</v>
      </c>
      <c r="L644" t="str">
        <f>_xlfn.XLOOKUP(Table1[[#This Row],[EducationField]],Table7[EducationField],Table7[Id_EducationField])</f>
        <v>EF004</v>
      </c>
      <c r="M644" t="s">
        <v>43</v>
      </c>
      <c r="N644" t="str">
        <f>_xlfn.XLOOKUP(Table1[[#This Row],[EmployeeNumber]],Table4[EmployeeNumber],Table4[Id_Employee])</f>
        <v>EMP00643</v>
      </c>
      <c r="O644">
        <v>893</v>
      </c>
      <c r="P644" t="str">
        <f>_xlfn.XLOOKUP(Table1[[#This Row],[EnvironmentSatisfaction]],Table9[EnvironmentSatisfaction],Table9[Id_EnviromentSatisfaction])</f>
        <v>ES002</v>
      </c>
      <c r="Q644">
        <v>2</v>
      </c>
      <c r="R644" t="str">
        <f>_xlfn.XLOOKUP(Table1[[#This Row],[EnvironmentSatisfaction]],Table9[EnvironmentSatisfaction],Table9[Deskripsi])</f>
        <v>Medium</v>
      </c>
      <c r="S644" t="str">
        <f>_xlfn.XLOOKUP(Table1[[#This Row],[Gender]],Table10[Gender],Table10[Id_Gender])</f>
        <v>G002</v>
      </c>
      <c r="T644" t="s">
        <v>46</v>
      </c>
      <c r="U644">
        <v>98</v>
      </c>
      <c r="V644" t="str">
        <f>_xlfn.XLOOKUP(Table1[[#This Row],[JobInvolvement]],Table11[JobInvolvement],Table11[Id_JobInvolvement])</f>
        <v>JI002</v>
      </c>
      <c r="W644">
        <v>2</v>
      </c>
      <c r="X644" t="str">
        <f>_xlfn.XLOOKUP(Table1[[#This Row],[JobLevel]],Table12[JobLevel],Table12[Id_JobLevel])</f>
        <v>JL001</v>
      </c>
      <c r="Y644">
        <v>1</v>
      </c>
      <c r="Z644" t="str">
        <f>_xlfn.XLOOKUP(Table1[[#This Row],[JobRole]],Table13[JobRole],Table13[Id_JobRole])</f>
        <v>JR007</v>
      </c>
      <c r="AA644" t="s">
        <v>53</v>
      </c>
      <c r="AB644" t="str">
        <f>_xlfn.XLOOKUP(Table1[[#This Row],[JobSatisfaction]],Table14[JobSatisfaction],Table14[Id_JobSatisfaction])</f>
        <v>JS002</v>
      </c>
      <c r="AC644">
        <v>2</v>
      </c>
      <c r="AD644" t="str">
        <f>_xlfn.XLOOKUP(Table1[[#This Row],[JobSatisfaction]],Table14[JobSatisfaction],Table14[Deskripsi])</f>
        <v>Medium</v>
      </c>
      <c r="AE644" t="str">
        <f>_xlfn.XLOOKUP(Table1[[#This Row],[MaritalStatus]],Table15[MaritalStatus],Table15[Id_MaritalStatus])</f>
        <v>MS002</v>
      </c>
      <c r="AF644" t="s">
        <v>56</v>
      </c>
      <c r="AG644">
        <v>2899</v>
      </c>
      <c r="AH644">
        <v>12102</v>
      </c>
      <c r="AI644">
        <v>0</v>
      </c>
      <c r="AJ644" t="str">
        <f>_xlfn.XLOOKUP(Table1[[#This Row],[OverTime]],Table16[OverTime],Table16[Id_OverTime])</f>
        <v>OT002</v>
      </c>
      <c r="AK644" t="s">
        <v>33</v>
      </c>
      <c r="AL644">
        <v>19</v>
      </c>
      <c r="AM644" t="str">
        <f>_xlfn.XLOOKUP(Table1[[#This Row],[PerformanceRating]],Table17[PerformanceRating],Table17[Id_PerformanceRating])</f>
        <v>PR003</v>
      </c>
      <c r="AN644">
        <v>3</v>
      </c>
      <c r="AO644" t="str">
        <f>_xlfn.XLOOKUP(Table1[[#This Row],[PerformanceRating]],Table17[PerformanceRating],Table17[Deskripsi])</f>
        <v>Excellent</v>
      </c>
      <c r="AP644" t="str">
        <f>_xlfn.XLOOKUP(Table1[[#This Row],[RelationshipSatisfaction]],Table18[RelationshipSatisfaction],Table18[Id_RelationshipSatisfaction])</f>
        <v>RS004</v>
      </c>
      <c r="AQ644">
        <v>4</v>
      </c>
      <c r="AR644" t="str">
        <f>_xlfn.XLOOKUP(Table1[[#This Row],[RelationshipSatisfaction]],Table18[RelationshipSatisfaction],Table18[Deskripsi])</f>
        <v>Very High</v>
      </c>
      <c r="AS644" t="str">
        <f>_xlfn.XLOOKUP(Table1[[#This Row],[StockOptionLevel]],Table19[StockOptionLevel],Table19[Id_StockOptionLevel])</f>
        <v>SOL002</v>
      </c>
      <c r="AT644">
        <v>1</v>
      </c>
      <c r="AU644" t="str">
        <f>_xlfn.XLOOKUP(Table1[[#This Row],[StockOptionLevel]],Table19[StockOptionLevel],Table19[Deskripsi])</f>
        <v>Standard</v>
      </c>
      <c r="AV644">
        <v>3</v>
      </c>
      <c r="AW644">
        <v>3</v>
      </c>
      <c r="AX644" t="str">
        <f>_xlfn.XLOOKUP(Table1[[#This Row],[WorkLifeBalance]],Table20[WorkLifeBalance],Table20[Id_WorkLifeBalance])</f>
        <v>WLB002</v>
      </c>
      <c r="AY644">
        <v>3</v>
      </c>
      <c r="AZ644" t="str">
        <f>_xlfn.XLOOKUP(Table1[[#This Row],[WorkLifeBalance]],Table20[WorkLifeBalance],Table20[Deskripsi])</f>
        <v>Good</v>
      </c>
      <c r="BA644">
        <v>2</v>
      </c>
      <c r="BB644">
        <v>2</v>
      </c>
      <c r="BC644">
        <v>1</v>
      </c>
      <c r="BD644">
        <v>2</v>
      </c>
    </row>
    <row r="645" spans="1:56" x14ac:dyDescent="0.25">
      <c r="A645">
        <v>42</v>
      </c>
      <c r="B645" t="str">
        <f>_xlfn.XLOOKUP(Table1[[#This Row],[Attrition]],Table2[Attrition],Table2[Id_Attrition])</f>
        <v>A002</v>
      </c>
      <c r="C645" t="s">
        <v>33</v>
      </c>
      <c r="D645" t="str">
        <f>_xlfn.XLOOKUP(Table1[[#This Row],[BusinessTravel]],Table5[BusinessTravel],Table5[Id_BusinessTravel])</f>
        <v>BS001</v>
      </c>
      <c r="E645" t="s">
        <v>34</v>
      </c>
      <c r="F645">
        <v>1265</v>
      </c>
      <c r="G645" t="str">
        <f>_xlfn.XLOOKUP(Table1[[#This Row],[Department]],Table6[Department],Table6[Id_Departement])</f>
        <v>D002</v>
      </c>
      <c r="H645" t="s">
        <v>38</v>
      </c>
      <c r="I645">
        <v>3</v>
      </c>
      <c r="J645" t="str">
        <f>_xlfn.XLOOKUP(Table1[[#This Row],[Education]],Table8[Education],Table8[Id_Education])</f>
        <v>E003</v>
      </c>
      <c r="K645">
        <v>3</v>
      </c>
      <c r="L645" t="str">
        <f>_xlfn.XLOOKUP(Table1[[#This Row],[EducationField]],Table7[EducationField],Table7[Id_EducationField])</f>
        <v>EF001</v>
      </c>
      <c r="M645" t="s">
        <v>40</v>
      </c>
      <c r="N645" t="str">
        <f>_xlfn.XLOOKUP(Table1[[#This Row],[EmployeeNumber]],Table4[EmployeeNumber],Table4[Id_Employee])</f>
        <v>EMP00644</v>
      </c>
      <c r="O645">
        <v>894</v>
      </c>
      <c r="P645" t="str">
        <f>_xlfn.XLOOKUP(Table1[[#This Row],[EnvironmentSatisfaction]],Table9[EnvironmentSatisfaction],Table9[Id_EnviromentSatisfaction])</f>
        <v>ES003</v>
      </c>
      <c r="Q645">
        <v>3</v>
      </c>
      <c r="R645" t="str">
        <f>_xlfn.XLOOKUP(Table1[[#This Row],[EnvironmentSatisfaction]],Table9[EnvironmentSatisfaction],Table9[Deskripsi])</f>
        <v>High</v>
      </c>
      <c r="S645" t="str">
        <f>_xlfn.XLOOKUP(Table1[[#This Row],[Gender]],Table10[Gender],Table10[Id_Gender])</f>
        <v>G001</v>
      </c>
      <c r="T645" t="s">
        <v>45</v>
      </c>
      <c r="U645">
        <v>95</v>
      </c>
      <c r="V645" t="str">
        <f>_xlfn.XLOOKUP(Table1[[#This Row],[JobInvolvement]],Table11[JobInvolvement],Table11[Id_JobInvolvement])</f>
        <v>JI004</v>
      </c>
      <c r="W645">
        <v>4</v>
      </c>
      <c r="X645" t="str">
        <f>_xlfn.XLOOKUP(Table1[[#This Row],[JobLevel]],Table12[JobLevel],Table12[Id_JobLevel])</f>
        <v>JL002</v>
      </c>
      <c r="Y645">
        <v>2</v>
      </c>
      <c r="Z645" t="str">
        <f>_xlfn.XLOOKUP(Table1[[#This Row],[JobRole]],Table13[JobRole],Table13[Id_JobRole])</f>
        <v>JR003</v>
      </c>
      <c r="AA645" t="s">
        <v>49</v>
      </c>
      <c r="AB645" t="str">
        <f>_xlfn.XLOOKUP(Table1[[#This Row],[JobSatisfaction]],Table14[JobSatisfaction],Table14[Id_JobSatisfaction])</f>
        <v>JS004</v>
      </c>
      <c r="AC645">
        <v>4</v>
      </c>
      <c r="AD645" t="str">
        <f>_xlfn.XLOOKUP(Table1[[#This Row],[JobSatisfaction]],Table14[JobSatisfaction],Table14[Deskripsi])</f>
        <v>Very High</v>
      </c>
      <c r="AE645" t="str">
        <f>_xlfn.XLOOKUP(Table1[[#This Row],[MaritalStatus]],Table15[MaritalStatus],Table15[Id_MaritalStatus])</f>
        <v>MS002</v>
      </c>
      <c r="AF645" t="s">
        <v>56</v>
      </c>
      <c r="AG645">
        <v>5231</v>
      </c>
      <c r="AH645">
        <v>23726</v>
      </c>
      <c r="AI645">
        <v>2</v>
      </c>
      <c r="AJ645" t="str">
        <f>_xlfn.XLOOKUP(Table1[[#This Row],[OverTime]],Table16[OverTime],Table16[Id_OverTime])</f>
        <v>OT001</v>
      </c>
      <c r="AK645" t="s">
        <v>32</v>
      </c>
      <c r="AL645">
        <v>13</v>
      </c>
      <c r="AM645" t="str">
        <f>_xlfn.XLOOKUP(Table1[[#This Row],[PerformanceRating]],Table17[PerformanceRating],Table17[Id_PerformanceRating])</f>
        <v>PR003</v>
      </c>
      <c r="AN645">
        <v>3</v>
      </c>
      <c r="AO645" t="str">
        <f>_xlfn.XLOOKUP(Table1[[#This Row],[PerformanceRating]],Table17[PerformanceRating],Table17[Deskripsi])</f>
        <v>Excellent</v>
      </c>
      <c r="AP645" t="str">
        <f>_xlfn.XLOOKUP(Table1[[#This Row],[RelationshipSatisfaction]],Table18[RelationshipSatisfaction],Table18[Id_RelationshipSatisfaction])</f>
        <v>RS002</v>
      </c>
      <c r="AQ645">
        <v>2</v>
      </c>
      <c r="AR645" t="str">
        <f>_xlfn.XLOOKUP(Table1[[#This Row],[RelationshipSatisfaction]],Table18[RelationshipSatisfaction],Table18[Deskripsi])</f>
        <v>Medium</v>
      </c>
      <c r="AS645" t="str">
        <f>_xlfn.XLOOKUP(Table1[[#This Row],[StockOptionLevel]],Table19[StockOptionLevel],Table19[Id_StockOptionLevel])</f>
        <v>SOL002</v>
      </c>
      <c r="AT645">
        <v>1</v>
      </c>
      <c r="AU645" t="str">
        <f>_xlfn.XLOOKUP(Table1[[#This Row],[StockOptionLevel]],Table19[StockOptionLevel],Table19[Deskripsi])</f>
        <v>Standard</v>
      </c>
      <c r="AV645">
        <v>17</v>
      </c>
      <c r="AW645">
        <v>1</v>
      </c>
      <c r="AX645" t="str">
        <f>_xlfn.XLOOKUP(Table1[[#This Row],[WorkLifeBalance]],Table20[WorkLifeBalance],Table20[Id_WorkLifeBalance])</f>
        <v>WLB003</v>
      </c>
      <c r="AY645">
        <v>2</v>
      </c>
      <c r="AZ645" t="str">
        <f>_xlfn.XLOOKUP(Table1[[#This Row],[WorkLifeBalance]],Table20[WorkLifeBalance],Table20[Deskripsi])</f>
        <v>Better</v>
      </c>
      <c r="BA645">
        <v>5</v>
      </c>
      <c r="BB645">
        <v>3</v>
      </c>
      <c r="BC645">
        <v>1</v>
      </c>
      <c r="BD645">
        <v>3</v>
      </c>
    </row>
    <row r="646" spans="1:56" x14ac:dyDescent="0.25">
      <c r="A646">
        <v>31</v>
      </c>
      <c r="B646" t="str">
        <f>_xlfn.XLOOKUP(Table1[[#This Row],[Attrition]],Table2[Attrition],Table2[Id_Attrition])</f>
        <v>A002</v>
      </c>
      <c r="C646" t="s">
        <v>33</v>
      </c>
      <c r="D646" t="str">
        <f>_xlfn.XLOOKUP(Table1[[#This Row],[BusinessTravel]],Table5[BusinessTravel],Table5[Id_BusinessTravel])</f>
        <v>BS001</v>
      </c>
      <c r="E646" t="s">
        <v>34</v>
      </c>
      <c r="F646">
        <v>1222</v>
      </c>
      <c r="G646" t="str">
        <f>_xlfn.XLOOKUP(Table1[[#This Row],[Department]],Table6[Department],Table6[Id_Departement])</f>
        <v>D002</v>
      </c>
      <c r="H646" t="s">
        <v>38</v>
      </c>
      <c r="I646">
        <v>11</v>
      </c>
      <c r="J646" t="str">
        <f>_xlfn.XLOOKUP(Table1[[#This Row],[Education]],Table8[Education],Table8[Id_Education])</f>
        <v>E004</v>
      </c>
      <c r="K646">
        <v>4</v>
      </c>
      <c r="L646" t="str">
        <f>_xlfn.XLOOKUP(Table1[[#This Row],[EducationField]],Table7[EducationField],Table7[Id_EducationField])</f>
        <v>EF001</v>
      </c>
      <c r="M646" t="s">
        <v>40</v>
      </c>
      <c r="N646" t="str">
        <f>_xlfn.XLOOKUP(Table1[[#This Row],[EmployeeNumber]],Table4[EmployeeNumber],Table4[Id_Employee])</f>
        <v>EMP00645</v>
      </c>
      <c r="O646">
        <v>895</v>
      </c>
      <c r="P646" t="str">
        <f>_xlfn.XLOOKUP(Table1[[#This Row],[EnvironmentSatisfaction]],Table9[EnvironmentSatisfaction],Table9[Id_EnviromentSatisfaction])</f>
        <v>ES004</v>
      </c>
      <c r="Q646">
        <v>4</v>
      </c>
      <c r="R646" t="str">
        <f>_xlfn.XLOOKUP(Table1[[#This Row],[EnvironmentSatisfaction]],Table9[EnvironmentSatisfaction],Table9[Deskripsi])</f>
        <v>Very High</v>
      </c>
      <c r="S646" t="str">
        <f>_xlfn.XLOOKUP(Table1[[#This Row],[Gender]],Table10[Gender],Table10[Id_Gender])</f>
        <v>G002</v>
      </c>
      <c r="T646" t="s">
        <v>46</v>
      </c>
      <c r="U646">
        <v>48</v>
      </c>
      <c r="V646" t="str">
        <f>_xlfn.XLOOKUP(Table1[[#This Row],[JobInvolvement]],Table11[JobInvolvement],Table11[Id_JobInvolvement])</f>
        <v>JI003</v>
      </c>
      <c r="W646">
        <v>3</v>
      </c>
      <c r="X646" t="str">
        <f>_xlfn.XLOOKUP(Table1[[#This Row],[JobLevel]],Table12[JobLevel],Table12[Id_JobLevel])</f>
        <v>JL001</v>
      </c>
      <c r="Y646">
        <v>1</v>
      </c>
      <c r="Z646" t="str">
        <f>_xlfn.XLOOKUP(Table1[[#This Row],[JobRole]],Table13[JobRole],Table13[Id_JobRole])</f>
        <v>JR002</v>
      </c>
      <c r="AA646" t="s">
        <v>48</v>
      </c>
      <c r="AB646" t="str">
        <f>_xlfn.XLOOKUP(Table1[[#This Row],[JobSatisfaction]],Table14[JobSatisfaction],Table14[Id_JobSatisfaction])</f>
        <v>JS004</v>
      </c>
      <c r="AC646">
        <v>4</v>
      </c>
      <c r="AD646" t="str">
        <f>_xlfn.XLOOKUP(Table1[[#This Row],[JobSatisfaction]],Table14[JobSatisfaction],Table14[Deskripsi])</f>
        <v>Very High</v>
      </c>
      <c r="AE646" t="str">
        <f>_xlfn.XLOOKUP(Table1[[#This Row],[MaritalStatus]],Table15[MaritalStatus],Table15[Id_MaritalStatus])</f>
        <v>MS002</v>
      </c>
      <c r="AF646" t="s">
        <v>56</v>
      </c>
      <c r="AG646">
        <v>2356</v>
      </c>
      <c r="AH646">
        <v>14871</v>
      </c>
      <c r="AI646">
        <v>3</v>
      </c>
      <c r="AJ646" t="str">
        <f>_xlfn.XLOOKUP(Table1[[#This Row],[OverTime]],Table16[OverTime],Table16[Id_OverTime])</f>
        <v>OT001</v>
      </c>
      <c r="AK646" t="s">
        <v>32</v>
      </c>
      <c r="AL646">
        <v>19</v>
      </c>
      <c r="AM646" t="str">
        <f>_xlfn.XLOOKUP(Table1[[#This Row],[PerformanceRating]],Table17[PerformanceRating],Table17[Id_PerformanceRating])</f>
        <v>PR003</v>
      </c>
      <c r="AN646">
        <v>3</v>
      </c>
      <c r="AO646" t="str">
        <f>_xlfn.XLOOKUP(Table1[[#This Row],[PerformanceRating]],Table17[PerformanceRating],Table17[Deskripsi])</f>
        <v>Excellent</v>
      </c>
      <c r="AP646" t="str">
        <f>_xlfn.XLOOKUP(Table1[[#This Row],[RelationshipSatisfaction]],Table18[RelationshipSatisfaction],Table18[Id_RelationshipSatisfaction])</f>
        <v>RS002</v>
      </c>
      <c r="AQ646">
        <v>2</v>
      </c>
      <c r="AR646" t="str">
        <f>_xlfn.XLOOKUP(Table1[[#This Row],[RelationshipSatisfaction]],Table18[RelationshipSatisfaction],Table18[Deskripsi])</f>
        <v>Medium</v>
      </c>
      <c r="AS646" t="str">
        <f>_xlfn.XLOOKUP(Table1[[#This Row],[StockOptionLevel]],Table19[StockOptionLevel],Table19[Id_StockOptionLevel])</f>
        <v>SOL002</v>
      </c>
      <c r="AT646">
        <v>1</v>
      </c>
      <c r="AU646" t="str">
        <f>_xlfn.XLOOKUP(Table1[[#This Row],[StockOptionLevel]],Table19[StockOptionLevel],Table19[Deskripsi])</f>
        <v>Standard</v>
      </c>
      <c r="AV646">
        <v>8</v>
      </c>
      <c r="AW646">
        <v>2</v>
      </c>
      <c r="AX646" t="str">
        <f>_xlfn.XLOOKUP(Table1[[#This Row],[WorkLifeBalance]],Table20[WorkLifeBalance],Table20[Id_WorkLifeBalance])</f>
        <v>WLB002</v>
      </c>
      <c r="AY646">
        <v>3</v>
      </c>
      <c r="AZ646" t="str">
        <f>_xlfn.XLOOKUP(Table1[[#This Row],[WorkLifeBalance]],Table20[WorkLifeBalance],Table20[Deskripsi])</f>
        <v>Good</v>
      </c>
      <c r="BA646">
        <v>6</v>
      </c>
      <c r="BB646">
        <v>4</v>
      </c>
      <c r="BC646">
        <v>0</v>
      </c>
      <c r="BD646">
        <v>2</v>
      </c>
    </row>
    <row r="647" spans="1:56" x14ac:dyDescent="0.25">
      <c r="A647">
        <v>29</v>
      </c>
      <c r="B647" t="str">
        <f>_xlfn.XLOOKUP(Table1[[#This Row],[Attrition]],Table2[Attrition],Table2[Id_Attrition])</f>
        <v>A001</v>
      </c>
      <c r="C647" t="s">
        <v>32</v>
      </c>
      <c r="D647" t="str">
        <f>_xlfn.XLOOKUP(Table1[[#This Row],[BusinessTravel]],Table5[BusinessTravel],Table5[Id_BusinessTravel])</f>
        <v>BS001</v>
      </c>
      <c r="E647" t="s">
        <v>34</v>
      </c>
      <c r="F647">
        <v>341</v>
      </c>
      <c r="G647" t="str">
        <f>_xlfn.XLOOKUP(Table1[[#This Row],[Department]],Table6[Department],Table6[Id_Departement])</f>
        <v>D001</v>
      </c>
      <c r="H647" t="s">
        <v>37</v>
      </c>
      <c r="I647">
        <v>1</v>
      </c>
      <c r="J647" t="str">
        <f>_xlfn.XLOOKUP(Table1[[#This Row],[Education]],Table8[Education],Table8[Id_Education])</f>
        <v>E003</v>
      </c>
      <c r="K647">
        <v>3</v>
      </c>
      <c r="L647" t="str">
        <f>_xlfn.XLOOKUP(Table1[[#This Row],[EducationField]],Table7[EducationField],Table7[Id_EducationField])</f>
        <v>EF003</v>
      </c>
      <c r="M647" t="s">
        <v>42</v>
      </c>
      <c r="N647" t="str">
        <f>_xlfn.XLOOKUP(Table1[[#This Row],[EmployeeNumber]],Table4[EmployeeNumber],Table4[Id_Employee])</f>
        <v>EMP00646</v>
      </c>
      <c r="O647">
        <v>896</v>
      </c>
      <c r="P647" t="str">
        <f>_xlfn.XLOOKUP(Table1[[#This Row],[EnvironmentSatisfaction]],Table9[EnvironmentSatisfaction],Table9[Id_EnviromentSatisfaction])</f>
        <v>ES002</v>
      </c>
      <c r="Q647">
        <v>2</v>
      </c>
      <c r="R647" t="str">
        <f>_xlfn.XLOOKUP(Table1[[#This Row],[EnvironmentSatisfaction]],Table9[EnvironmentSatisfaction],Table9[Deskripsi])</f>
        <v>Medium</v>
      </c>
      <c r="S647" t="str">
        <f>_xlfn.XLOOKUP(Table1[[#This Row],[Gender]],Table10[Gender],Table10[Id_Gender])</f>
        <v>G001</v>
      </c>
      <c r="T647" t="s">
        <v>45</v>
      </c>
      <c r="U647">
        <v>48</v>
      </c>
      <c r="V647" t="str">
        <f>_xlfn.XLOOKUP(Table1[[#This Row],[JobInvolvement]],Table11[JobInvolvement],Table11[Id_JobInvolvement])</f>
        <v>JI002</v>
      </c>
      <c r="W647">
        <v>2</v>
      </c>
      <c r="X647" t="str">
        <f>_xlfn.XLOOKUP(Table1[[#This Row],[JobLevel]],Table12[JobLevel],Table12[Id_JobLevel])</f>
        <v>JL001</v>
      </c>
      <c r="Y647">
        <v>1</v>
      </c>
      <c r="Z647" t="str">
        <f>_xlfn.XLOOKUP(Table1[[#This Row],[JobRole]],Table13[JobRole],Table13[Id_JobRole])</f>
        <v>JR007</v>
      </c>
      <c r="AA647" t="s">
        <v>53</v>
      </c>
      <c r="AB647" t="str">
        <f>_xlfn.XLOOKUP(Table1[[#This Row],[JobSatisfaction]],Table14[JobSatisfaction],Table14[Id_JobSatisfaction])</f>
        <v>JS003</v>
      </c>
      <c r="AC647">
        <v>3</v>
      </c>
      <c r="AD647" t="str">
        <f>_xlfn.XLOOKUP(Table1[[#This Row],[JobSatisfaction]],Table14[JobSatisfaction],Table14[Deskripsi])</f>
        <v>High</v>
      </c>
      <c r="AE647" t="str">
        <f>_xlfn.XLOOKUP(Table1[[#This Row],[MaritalStatus]],Table15[MaritalStatus],Table15[Id_MaritalStatus])</f>
        <v>MS003</v>
      </c>
      <c r="AF647" t="s">
        <v>57</v>
      </c>
      <c r="AG647">
        <v>2800</v>
      </c>
      <c r="AH647">
        <v>23522</v>
      </c>
      <c r="AI647">
        <v>6</v>
      </c>
      <c r="AJ647" t="str">
        <f>_xlfn.XLOOKUP(Table1[[#This Row],[OverTime]],Table16[OverTime],Table16[Id_OverTime])</f>
        <v>OT001</v>
      </c>
      <c r="AK647" t="s">
        <v>32</v>
      </c>
      <c r="AL647">
        <v>19</v>
      </c>
      <c r="AM647" t="str">
        <f>_xlfn.XLOOKUP(Table1[[#This Row],[PerformanceRating]],Table17[PerformanceRating],Table17[Id_PerformanceRating])</f>
        <v>PR003</v>
      </c>
      <c r="AN647">
        <v>3</v>
      </c>
      <c r="AO647" t="str">
        <f>_xlfn.XLOOKUP(Table1[[#This Row],[PerformanceRating]],Table17[PerformanceRating],Table17[Deskripsi])</f>
        <v>Excellent</v>
      </c>
      <c r="AP647" t="str">
        <f>_xlfn.XLOOKUP(Table1[[#This Row],[RelationshipSatisfaction]],Table18[RelationshipSatisfaction],Table18[Id_RelationshipSatisfaction])</f>
        <v>RS003</v>
      </c>
      <c r="AQ647">
        <v>3</v>
      </c>
      <c r="AR647" t="str">
        <f>_xlfn.XLOOKUP(Table1[[#This Row],[RelationshipSatisfaction]],Table18[RelationshipSatisfaction],Table18[Deskripsi])</f>
        <v>High</v>
      </c>
      <c r="AS647" t="str">
        <f>_xlfn.XLOOKUP(Table1[[#This Row],[StockOptionLevel]],Table19[StockOptionLevel],Table19[Id_StockOptionLevel])</f>
        <v>SOL004</v>
      </c>
      <c r="AT647">
        <v>3</v>
      </c>
      <c r="AU647" t="str">
        <f>_xlfn.XLOOKUP(Table1[[#This Row],[StockOptionLevel]],Table19[StockOptionLevel],Table19[Deskripsi])</f>
        <v>Senior/Executive</v>
      </c>
      <c r="AV647">
        <v>5</v>
      </c>
      <c r="AW647">
        <v>3</v>
      </c>
      <c r="AX647" t="str">
        <f>_xlfn.XLOOKUP(Table1[[#This Row],[WorkLifeBalance]],Table20[WorkLifeBalance],Table20[Id_WorkLifeBalance])</f>
        <v>WLB002</v>
      </c>
      <c r="AY647">
        <v>3</v>
      </c>
      <c r="AZ647" t="str">
        <f>_xlfn.XLOOKUP(Table1[[#This Row],[WorkLifeBalance]],Table20[WorkLifeBalance],Table20[Deskripsi])</f>
        <v>Good</v>
      </c>
      <c r="BA647">
        <v>3</v>
      </c>
      <c r="BB647">
        <v>2</v>
      </c>
      <c r="BC647">
        <v>0</v>
      </c>
      <c r="BD647">
        <v>2</v>
      </c>
    </row>
    <row r="648" spans="1:56" x14ac:dyDescent="0.25">
      <c r="A648">
        <v>53</v>
      </c>
      <c r="B648" t="str">
        <f>_xlfn.XLOOKUP(Table1[[#This Row],[Attrition]],Table2[Attrition],Table2[Id_Attrition])</f>
        <v>A002</v>
      </c>
      <c r="C648" t="s">
        <v>33</v>
      </c>
      <c r="D648" t="str">
        <f>_xlfn.XLOOKUP(Table1[[#This Row],[BusinessTravel]],Table5[BusinessTravel],Table5[Id_BusinessTravel])</f>
        <v>BS001</v>
      </c>
      <c r="E648" t="s">
        <v>34</v>
      </c>
      <c r="F648">
        <v>868</v>
      </c>
      <c r="G648" t="str">
        <f>_xlfn.XLOOKUP(Table1[[#This Row],[Department]],Table6[Department],Table6[Id_Departement])</f>
        <v>D001</v>
      </c>
      <c r="H648" t="s">
        <v>37</v>
      </c>
      <c r="I648">
        <v>8</v>
      </c>
      <c r="J648" t="str">
        <f>_xlfn.XLOOKUP(Table1[[#This Row],[Education]],Table8[Education],Table8[Id_Education])</f>
        <v>E003</v>
      </c>
      <c r="K648">
        <v>3</v>
      </c>
      <c r="L648" t="str">
        <f>_xlfn.XLOOKUP(Table1[[#This Row],[EducationField]],Table7[EducationField],Table7[Id_EducationField])</f>
        <v>EF004</v>
      </c>
      <c r="M648" t="s">
        <v>43</v>
      </c>
      <c r="N648" t="str">
        <f>_xlfn.XLOOKUP(Table1[[#This Row],[EmployeeNumber]],Table4[EmployeeNumber],Table4[Id_Employee])</f>
        <v>EMP00647</v>
      </c>
      <c r="O648">
        <v>897</v>
      </c>
      <c r="P648" t="str">
        <f>_xlfn.XLOOKUP(Table1[[#This Row],[EnvironmentSatisfaction]],Table9[EnvironmentSatisfaction],Table9[Id_EnviromentSatisfaction])</f>
        <v>ES001</v>
      </c>
      <c r="Q648">
        <v>1</v>
      </c>
      <c r="R648" t="str">
        <f>_xlfn.XLOOKUP(Table1[[#This Row],[EnvironmentSatisfaction]],Table9[EnvironmentSatisfaction],Table9[Deskripsi])</f>
        <v>Low</v>
      </c>
      <c r="S648" t="str">
        <f>_xlfn.XLOOKUP(Table1[[#This Row],[Gender]],Table10[Gender],Table10[Id_Gender])</f>
        <v>G002</v>
      </c>
      <c r="T648" t="s">
        <v>46</v>
      </c>
      <c r="U648">
        <v>73</v>
      </c>
      <c r="V648" t="str">
        <f>_xlfn.XLOOKUP(Table1[[#This Row],[JobInvolvement]],Table11[JobInvolvement],Table11[Id_JobInvolvement])</f>
        <v>JI003</v>
      </c>
      <c r="W648">
        <v>3</v>
      </c>
      <c r="X648" t="str">
        <f>_xlfn.XLOOKUP(Table1[[#This Row],[JobLevel]],Table12[JobLevel],Table12[Id_JobLevel])</f>
        <v>JL004</v>
      </c>
      <c r="Y648">
        <v>4</v>
      </c>
      <c r="Z648" t="str">
        <f>_xlfn.XLOOKUP(Table1[[#This Row],[JobRole]],Table13[JobRole],Table13[Id_JobRole])</f>
        <v>JR001</v>
      </c>
      <c r="AA648" t="s">
        <v>47</v>
      </c>
      <c r="AB648" t="str">
        <f>_xlfn.XLOOKUP(Table1[[#This Row],[JobSatisfaction]],Table14[JobSatisfaction],Table14[Id_JobSatisfaction])</f>
        <v>JS004</v>
      </c>
      <c r="AC648">
        <v>4</v>
      </c>
      <c r="AD648" t="str">
        <f>_xlfn.XLOOKUP(Table1[[#This Row],[JobSatisfaction]],Table14[JobSatisfaction],Table14[Deskripsi])</f>
        <v>Very High</v>
      </c>
      <c r="AE648" t="str">
        <f>_xlfn.XLOOKUP(Table1[[#This Row],[MaritalStatus]],Table15[MaritalStatus],Table15[Id_MaritalStatus])</f>
        <v>MS002</v>
      </c>
      <c r="AF648" t="s">
        <v>56</v>
      </c>
      <c r="AG648">
        <v>11836</v>
      </c>
      <c r="AH648">
        <v>22789</v>
      </c>
      <c r="AI648">
        <v>5</v>
      </c>
      <c r="AJ648" t="str">
        <f>_xlfn.XLOOKUP(Table1[[#This Row],[OverTime]],Table16[OverTime],Table16[Id_OverTime])</f>
        <v>OT002</v>
      </c>
      <c r="AK648" t="s">
        <v>33</v>
      </c>
      <c r="AL648">
        <v>14</v>
      </c>
      <c r="AM648" t="str">
        <f>_xlfn.XLOOKUP(Table1[[#This Row],[PerformanceRating]],Table17[PerformanceRating],Table17[Id_PerformanceRating])</f>
        <v>PR003</v>
      </c>
      <c r="AN648">
        <v>3</v>
      </c>
      <c r="AO648" t="str">
        <f>_xlfn.XLOOKUP(Table1[[#This Row],[PerformanceRating]],Table17[PerformanceRating],Table17[Deskripsi])</f>
        <v>Excellent</v>
      </c>
      <c r="AP648" t="str">
        <f>_xlfn.XLOOKUP(Table1[[#This Row],[RelationshipSatisfaction]],Table18[RelationshipSatisfaction],Table18[Id_RelationshipSatisfaction])</f>
        <v>RS003</v>
      </c>
      <c r="AQ648">
        <v>3</v>
      </c>
      <c r="AR648" t="str">
        <f>_xlfn.XLOOKUP(Table1[[#This Row],[RelationshipSatisfaction]],Table18[RelationshipSatisfaction],Table18[Deskripsi])</f>
        <v>High</v>
      </c>
      <c r="AS648" t="str">
        <f>_xlfn.XLOOKUP(Table1[[#This Row],[StockOptionLevel]],Table19[StockOptionLevel],Table19[Id_StockOptionLevel])</f>
        <v>SOL002</v>
      </c>
      <c r="AT648">
        <v>1</v>
      </c>
      <c r="AU648" t="str">
        <f>_xlfn.XLOOKUP(Table1[[#This Row],[StockOptionLevel]],Table19[StockOptionLevel],Table19[Deskripsi])</f>
        <v>Standard</v>
      </c>
      <c r="AV648">
        <v>28</v>
      </c>
      <c r="AW648">
        <v>3</v>
      </c>
      <c r="AX648" t="str">
        <f>_xlfn.XLOOKUP(Table1[[#This Row],[WorkLifeBalance]],Table20[WorkLifeBalance],Table20[Id_WorkLifeBalance])</f>
        <v>WLB002</v>
      </c>
      <c r="AY648">
        <v>3</v>
      </c>
      <c r="AZ648" t="str">
        <f>_xlfn.XLOOKUP(Table1[[#This Row],[WorkLifeBalance]],Table20[WorkLifeBalance],Table20[Deskripsi])</f>
        <v>Good</v>
      </c>
      <c r="BA648">
        <v>2</v>
      </c>
      <c r="BB648">
        <v>0</v>
      </c>
      <c r="BC648">
        <v>2</v>
      </c>
      <c r="BD648">
        <v>2</v>
      </c>
    </row>
    <row r="649" spans="1:56" x14ac:dyDescent="0.25">
      <c r="A649">
        <v>35</v>
      </c>
      <c r="B649" t="str">
        <f>_xlfn.XLOOKUP(Table1[[#This Row],[Attrition]],Table2[Attrition],Table2[Id_Attrition])</f>
        <v>A002</v>
      </c>
      <c r="C649" t="s">
        <v>33</v>
      </c>
      <c r="D649" t="str">
        <f>_xlfn.XLOOKUP(Table1[[#This Row],[BusinessTravel]],Table5[BusinessTravel],Table5[Id_BusinessTravel])</f>
        <v>BS001</v>
      </c>
      <c r="E649" t="s">
        <v>34</v>
      </c>
      <c r="F649">
        <v>672</v>
      </c>
      <c r="G649" t="str">
        <f>_xlfn.XLOOKUP(Table1[[#This Row],[Department]],Table6[Department],Table6[Id_Departement])</f>
        <v>D002</v>
      </c>
      <c r="H649" t="s">
        <v>38</v>
      </c>
      <c r="I649">
        <v>25</v>
      </c>
      <c r="J649" t="str">
        <f>_xlfn.XLOOKUP(Table1[[#This Row],[Education]],Table8[Education],Table8[Id_Education])</f>
        <v>E003</v>
      </c>
      <c r="K649">
        <v>3</v>
      </c>
      <c r="L649" t="str">
        <f>_xlfn.XLOOKUP(Table1[[#This Row],[EducationField]],Table7[EducationField],Table7[Id_EducationField])</f>
        <v>EF005</v>
      </c>
      <c r="M649" t="s">
        <v>44</v>
      </c>
      <c r="N649" t="str">
        <f>_xlfn.XLOOKUP(Table1[[#This Row],[EmployeeNumber]],Table4[EmployeeNumber],Table4[Id_Employee])</f>
        <v>EMP00648</v>
      </c>
      <c r="O649">
        <v>899</v>
      </c>
      <c r="P649" t="str">
        <f>_xlfn.XLOOKUP(Table1[[#This Row],[EnvironmentSatisfaction]],Table9[EnvironmentSatisfaction],Table9[Id_EnviromentSatisfaction])</f>
        <v>ES004</v>
      </c>
      <c r="Q649">
        <v>4</v>
      </c>
      <c r="R649" t="str">
        <f>_xlfn.XLOOKUP(Table1[[#This Row],[EnvironmentSatisfaction]],Table9[EnvironmentSatisfaction],Table9[Deskripsi])</f>
        <v>Very High</v>
      </c>
      <c r="S649" t="str">
        <f>_xlfn.XLOOKUP(Table1[[#This Row],[Gender]],Table10[Gender],Table10[Id_Gender])</f>
        <v>G002</v>
      </c>
      <c r="T649" t="s">
        <v>46</v>
      </c>
      <c r="U649">
        <v>78</v>
      </c>
      <c r="V649" t="str">
        <f>_xlfn.XLOOKUP(Table1[[#This Row],[JobInvolvement]],Table11[JobInvolvement],Table11[Id_JobInvolvement])</f>
        <v>JI002</v>
      </c>
      <c r="W649">
        <v>2</v>
      </c>
      <c r="X649" t="str">
        <f>_xlfn.XLOOKUP(Table1[[#This Row],[JobLevel]],Table12[JobLevel],Table12[Id_JobLevel])</f>
        <v>JL003</v>
      </c>
      <c r="Y649">
        <v>3</v>
      </c>
      <c r="Z649" t="str">
        <f>_xlfn.XLOOKUP(Table1[[#This Row],[JobRole]],Table13[JobRole],Table13[Id_JobRole])</f>
        <v>JR004</v>
      </c>
      <c r="AA649" t="s">
        <v>50</v>
      </c>
      <c r="AB649" t="str">
        <f>_xlfn.XLOOKUP(Table1[[#This Row],[JobSatisfaction]],Table14[JobSatisfaction],Table14[Id_JobSatisfaction])</f>
        <v>JS002</v>
      </c>
      <c r="AC649">
        <v>2</v>
      </c>
      <c r="AD649" t="str">
        <f>_xlfn.XLOOKUP(Table1[[#This Row],[JobSatisfaction]],Table14[JobSatisfaction],Table14[Deskripsi])</f>
        <v>Medium</v>
      </c>
      <c r="AE649" t="str">
        <f>_xlfn.XLOOKUP(Table1[[#This Row],[MaritalStatus]],Table15[MaritalStatus],Table15[Id_MaritalStatus])</f>
        <v>MS002</v>
      </c>
      <c r="AF649" t="s">
        <v>56</v>
      </c>
      <c r="AG649">
        <v>10903</v>
      </c>
      <c r="AH649">
        <v>9129</v>
      </c>
      <c r="AI649">
        <v>3</v>
      </c>
      <c r="AJ649" t="str">
        <f>_xlfn.XLOOKUP(Table1[[#This Row],[OverTime]],Table16[OverTime],Table16[Id_OverTime])</f>
        <v>OT002</v>
      </c>
      <c r="AK649" t="s">
        <v>33</v>
      </c>
      <c r="AL649">
        <v>16</v>
      </c>
      <c r="AM649" t="str">
        <f>_xlfn.XLOOKUP(Table1[[#This Row],[PerformanceRating]],Table17[PerformanceRating],Table17[Id_PerformanceRating])</f>
        <v>PR003</v>
      </c>
      <c r="AN649">
        <v>3</v>
      </c>
      <c r="AO649" t="str">
        <f>_xlfn.XLOOKUP(Table1[[#This Row],[PerformanceRating]],Table17[PerformanceRating],Table17[Deskripsi])</f>
        <v>Excellent</v>
      </c>
      <c r="AP649" t="str">
        <f>_xlfn.XLOOKUP(Table1[[#This Row],[RelationshipSatisfaction]],Table18[RelationshipSatisfaction],Table18[Id_RelationshipSatisfaction])</f>
        <v>RS001</v>
      </c>
      <c r="AQ649">
        <v>1</v>
      </c>
      <c r="AR649" t="str">
        <f>_xlfn.XLOOKUP(Table1[[#This Row],[RelationshipSatisfaction]],Table18[RelationshipSatisfaction],Table18[Deskripsi])</f>
        <v>Low</v>
      </c>
      <c r="AS649" t="str">
        <f>_xlfn.XLOOKUP(Table1[[#This Row],[StockOptionLevel]],Table19[StockOptionLevel],Table19[Id_StockOptionLevel])</f>
        <v>SOL001</v>
      </c>
      <c r="AT649">
        <v>0</v>
      </c>
      <c r="AU649" t="str">
        <f>_xlfn.XLOOKUP(Table1[[#This Row],[StockOptionLevel]],Table19[StockOptionLevel],Table19[Deskripsi])</f>
        <v>Non-Eligible</v>
      </c>
      <c r="AV649">
        <v>16</v>
      </c>
      <c r="AW649">
        <v>2</v>
      </c>
      <c r="AX649" t="str">
        <f>_xlfn.XLOOKUP(Table1[[#This Row],[WorkLifeBalance]],Table20[WorkLifeBalance],Table20[Id_WorkLifeBalance])</f>
        <v>WLB002</v>
      </c>
      <c r="AY649">
        <v>3</v>
      </c>
      <c r="AZ649" t="str">
        <f>_xlfn.XLOOKUP(Table1[[#This Row],[WorkLifeBalance]],Table20[WorkLifeBalance],Table20[Deskripsi])</f>
        <v>Good</v>
      </c>
      <c r="BA649">
        <v>13</v>
      </c>
      <c r="BB649">
        <v>10</v>
      </c>
      <c r="BC649">
        <v>4</v>
      </c>
      <c r="BD649">
        <v>8</v>
      </c>
    </row>
    <row r="650" spans="1:56" x14ac:dyDescent="0.25">
      <c r="A650">
        <v>37</v>
      </c>
      <c r="B650" t="str">
        <f>_xlfn.XLOOKUP(Table1[[#This Row],[Attrition]],Table2[Attrition],Table2[Id_Attrition])</f>
        <v>A002</v>
      </c>
      <c r="C650" t="s">
        <v>33</v>
      </c>
      <c r="D650" t="str">
        <f>_xlfn.XLOOKUP(Table1[[#This Row],[BusinessTravel]],Table5[BusinessTravel],Table5[Id_BusinessTravel])</f>
        <v>BS002</v>
      </c>
      <c r="E650" t="s">
        <v>35</v>
      </c>
      <c r="F650">
        <v>1231</v>
      </c>
      <c r="G650" t="str">
        <f>_xlfn.XLOOKUP(Table1[[#This Row],[Department]],Table6[Department],Table6[Id_Departement])</f>
        <v>D001</v>
      </c>
      <c r="H650" t="s">
        <v>37</v>
      </c>
      <c r="I650">
        <v>21</v>
      </c>
      <c r="J650" t="str">
        <f>_xlfn.XLOOKUP(Table1[[#This Row],[Education]],Table8[Education],Table8[Id_Education])</f>
        <v>E002</v>
      </c>
      <c r="K650">
        <v>2</v>
      </c>
      <c r="L650" t="str">
        <f>_xlfn.XLOOKUP(Table1[[#This Row],[EducationField]],Table7[EducationField],Table7[Id_EducationField])</f>
        <v>EF003</v>
      </c>
      <c r="M650" t="s">
        <v>42</v>
      </c>
      <c r="N650" t="str">
        <f>_xlfn.XLOOKUP(Table1[[#This Row],[EmployeeNumber]],Table4[EmployeeNumber],Table4[Id_Employee])</f>
        <v>EMP00649</v>
      </c>
      <c r="O650">
        <v>900</v>
      </c>
      <c r="P650" t="str">
        <f>_xlfn.XLOOKUP(Table1[[#This Row],[EnvironmentSatisfaction]],Table9[EnvironmentSatisfaction],Table9[Id_EnviromentSatisfaction])</f>
        <v>ES003</v>
      </c>
      <c r="Q650">
        <v>3</v>
      </c>
      <c r="R650" t="str">
        <f>_xlfn.XLOOKUP(Table1[[#This Row],[EnvironmentSatisfaction]],Table9[EnvironmentSatisfaction],Table9[Deskripsi])</f>
        <v>High</v>
      </c>
      <c r="S650" t="str">
        <f>_xlfn.XLOOKUP(Table1[[#This Row],[Gender]],Table10[Gender],Table10[Id_Gender])</f>
        <v>G001</v>
      </c>
      <c r="T650" t="s">
        <v>45</v>
      </c>
      <c r="U650">
        <v>54</v>
      </c>
      <c r="V650" t="str">
        <f>_xlfn.XLOOKUP(Table1[[#This Row],[JobInvolvement]],Table11[JobInvolvement],Table11[Id_JobInvolvement])</f>
        <v>JI003</v>
      </c>
      <c r="W650">
        <v>3</v>
      </c>
      <c r="X650" t="str">
        <f>_xlfn.XLOOKUP(Table1[[#This Row],[JobLevel]],Table12[JobLevel],Table12[Id_JobLevel])</f>
        <v>JL001</v>
      </c>
      <c r="Y650">
        <v>1</v>
      </c>
      <c r="Z650" t="str">
        <f>_xlfn.XLOOKUP(Table1[[#This Row],[JobRole]],Table13[JobRole],Table13[Id_JobRole])</f>
        <v>JR007</v>
      </c>
      <c r="AA650" t="s">
        <v>53</v>
      </c>
      <c r="AB650" t="str">
        <f>_xlfn.XLOOKUP(Table1[[#This Row],[JobSatisfaction]],Table14[JobSatisfaction],Table14[Id_JobSatisfaction])</f>
        <v>JS004</v>
      </c>
      <c r="AC650">
        <v>4</v>
      </c>
      <c r="AD650" t="str">
        <f>_xlfn.XLOOKUP(Table1[[#This Row],[JobSatisfaction]],Table14[JobSatisfaction],Table14[Deskripsi])</f>
        <v>Very High</v>
      </c>
      <c r="AE650" t="str">
        <f>_xlfn.XLOOKUP(Table1[[#This Row],[MaritalStatus]],Table15[MaritalStatus],Table15[Id_MaritalStatus])</f>
        <v>MS002</v>
      </c>
      <c r="AF650" t="s">
        <v>56</v>
      </c>
      <c r="AG650">
        <v>2973</v>
      </c>
      <c r="AH650">
        <v>21222</v>
      </c>
      <c r="AI650">
        <v>5</v>
      </c>
      <c r="AJ650" t="str">
        <f>_xlfn.XLOOKUP(Table1[[#This Row],[OverTime]],Table16[OverTime],Table16[Id_OverTime])</f>
        <v>OT002</v>
      </c>
      <c r="AK650" t="s">
        <v>33</v>
      </c>
      <c r="AL650">
        <v>15</v>
      </c>
      <c r="AM650" t="str">
        <f>_xlfn.XLOOKUP(Table1[[#This Row],[PerformanceRating]],Table17[PerformanceRating],Table17[Id_PerformanceRating])</f>
        <v>PR003</v>
      </c>
      <c r="AN650">
        <v>3</v>
      </c>
      <c r="AO650" t="str">
        <f>_xlfn.XLOOKUP(Table1[[#This Row],[PerformanceRating]],Table17[PerformanceRating],Table17[Deskripsi])</f>
        <v>Excellent</v>
      </c>
      <c r="AP650" t="str">
        <f>_xlfn.XLOOKUP(Table1[[#This Row],[RelationshipSatisfaction]],Table18[RelationshipSatisfaction],Table18[Id_RelationshipSatisfaction])</f>
        <v>RS002</v>
      </c>
      <c r="AQ650">
        <v>2</v>
      </c>
      <c r="AR650" t="str">
        <f>_xlfn.XLOOKUP(Table1[[#This Row],[RelationshipSatisfaction]],Table18[RelationshipSatisfaction],Table18[Deskripsi])</f>
        <v>Medium</v>
      </c>
      <c r="AS650" t="str">
        <f>_xlfn.XLOOKUP(Table1[[#This Row],[StockOptionLevel]],Table19[StockOptionLevel],Table19[Id_StockOptionLevel])</f>
        <v>SOL002</v>
      </c>
      <c r="AT650">
        <v>1</v>
      </c>
      <c r="AU650" t="str">
        <f>_xlfn.XLOOKUP(Table1[[#This Row],[StockOptionLevel]],Table19[StockOptionLevel],Table19[Deskripsi])</f>
        <v>Standard</v>
      </c>
      <c r="AV650">
        <v>10</v>
      </c>
      <c r="AW650">
        <v>3</v>
      </c>
      <c r="AX650" t="str">
        <f>_xlfn.XLOOKUP(Table1[[#This Row],[WorkLifeBalance]],Table20[WorkLifeBalance],Table20[Id_WorkLifeBalance])</f>
        <v>WLB002</v>
      </c>
      <c r="AY650">
        <v>3</v>
      </c>
      <c r="AZ650" t="str">
        <f>_xlfn.XLOOKUP(Table1[[#This Row],[WorkLifeBalance]],Table20[WorkLifeBalance],Table20[Deskripsi])</f>
        <v>Good</v>
      </c>
      <c r="BA650">
        <v>5</v>
      </c>
      <c r="BB650">
        <v>4</v>
      </c>
      <c r="BC650">
        <v>0</v>
      </c>
      <c r="BD650">
        <v>0</v>
      </c>
    </row>
    <row r="651" spans="1:56" x14ac:dyDescent="0.25">
      <c r="A651">
        <v>53</v>
      </c>
      <c r="B651" t="str">
        <f>_xlfn.XLOOKUP(Table1[[#This Row],[Attrition]],Table2[Attrition],Table2[Id_Attrition])</f>
        <v>A002</v>
      </c>
      <c r="C651" t="s">
        <v>33</v>
      </c>
      <c r="D651" t="str">
        <f>_xlfn.XLOOKUP(Table1[[#This Row],[BusinessTravel]],Table5[BusinessTravel],Table5[Id_BusinessTravel])</f>
        <v>BS001</v>
      </c>
      <c r="E651" t="s">
        <v>34</v>
      </c>
      <c r="F651">
        <v>102</v>
      </c>
      <c r="G651" t="str">
        <f>_xlfn.XLOOKUP(Table1[[#This Row],[Department]],Table6[Department],Table6[Id_Departement])</f>
        <v>D002</v>
      </c>
      <c r="H651" t="s">
        <v>38</v>
      </c>
      <c r="I651">
        <v>23</v>
      </c>
      <c r="J651" t="str">
        <f>_xlfn.XLOOKUP(Table1[[#This Row],[Education]],Table8[Education],Table8[Id_Education])</f>
        <v>E004</v>
      </c>
      <c r="K651">
        <v>4</v>
      </c>
      <c r="L651" t="str">
        <f>_xlfn.XLOOKUP(Table1[[#This Row],[EducationField]],Table7[EducationField],Table7[Id_EducationField])</f>
        <v>EF001</v>
      </c>
      <c r="M651" t="s">
        <v>40</v>
      </c>
      <c r="N651" t="str">
        <f>_xlfn.XLOOKUP(Table1[[#This Row],[EmployeeNumber]],Table4[EmployeeNumber],Table4[Id_Employee])</f>
        <v>EMP00650</v>
      </c>
      <c r="O651">
        <v>901</v>
      </c>
      <c r="P651" t="str">
        <f>_xlfn.XLOOKUP(Table1[[#This Row],[EnvironmentSatisfaction]],Table9[EnvironmentSatisfaction],Table9[Id_EnviromentSatisfaction])</f>
        <v>ES004</v>
      </c>
      <c r="Q651">
        <v>4</v>
      </c>
      <c r="R651" t="str">
        <f>_xlfn.XLOOKUP(Table1[[#This Row],[EnvironmentSatisfaction]],Table9[EnvironmentSatisfaction],Table9[Deskripsi])</f>
        <v>Very High</v>
      </c>
      <c r="S651" t="str">
        <f>_xlfn.XLOOKUP(Table1[[#This Row],[Gender]],Table10[Gender],Table10[Id_Gender])</f>
        <v>G001</v>
      </c>
      <c r="T651" t="s">
        <v>45</v>
      </c>
      <c r="U651">
        <v>72</v>
      </c>
      <c r="V651" t="str">
        <f>_xlfn.XLOOKUP(Table1[[#This Row],[JobInvolvement]],Table11[JobInvolvement],Table11[Id_JobInvolvement])</f>
        <v>JI003</v>
      </c>
      <c r="W651">
        <v>3</v>
      </c>
      <c r="X651" t="str">
        <f>_xlfn.XLOOKUP(Table1[[#This Row],[JobLevel]],Table12[JobLevel],Table12[Id_JobLevel])</f>
        <v>JL004</v>
      </c>
      <c r="Y651">
        <v>4</v>
      </c>
      <c r="Z651" t="str">
        <f>_xlfn.XLOOKUP(Table1[[#This Row],[JobRole]],Table13[JobRole],Table13[Id_JobRole])</f>
        <v>JR008</v>
      </c>
      <c r="AA651" t="s">
        <v>54</v>
      </c>
      <c r="AB651" t="str">
        <f>_xlfn.XLOOKUP(Table1[[#This Row],[JobSatisfaction]],Table14[JobSatisfaction],Table14[Id_JobSatisfaction])</f>
        <v>JS004</v>
      </c>
      <c r="AC651">
        <v>4</v>
      </c>
      <c r="AD651" t="str">
        <f>_xlfn.XLOOKUP(Table1[[#This Row],[JobSatisfaction]],Table14[JobSatisfaction],Table14[Deskripsi])</f>
        <v>Very High</v>
      </c>
      <c r="AE651" t="str">
        <f>_xlfn.XLOOKUP(Table1[[#This Row],[MaritalStatus]],Table15[MaritalStatus],Table15[Id_MaritalStatus])</f>
        <v>MS001</v>
      </c>
      <c r="AF651" t="s">
        <v>55</v>
      </c>
      <c r="AG651">
        <v>14275</v>
      </c>
      <c r="AH651">
        <v>20206</v>
      </c>
      <c r="AI651">
        <v>6</v>
      </c>
      <c r="AJ651" t="str">
        <f>_xlfn.XLOOKUP(Table1[[#This Row],[OverTime]],Table16[OverTime],Table16[Id_OverTime])</f>
        <v>OT002</v>
      </c>
      <c r="AK651" t="s">
        <v>33</v>
      </c>
      <c r="AL651">
        <v>18</v>
      </c>
      <c r="AM651" t="str">
        <f>_xlfn.XLOOKUP(Table1[[#This Row],[PerformanceRating]],Table17[PerformanceRating],Table17[Id_PerformanceRating])</f>
        <v>PR003</v>
      </c>
      <c r="AN651">
        <v>3</v>
      </c>
      <c r="AO651" t="str">
        <f>_xlfn.XLOOKUP(Table1[[#This Row],[PerformanceRating]],Table17[PerformanceRating],Table17[Deskripsi])</f>
        <v>Excellent</v>
      </c>
      <c r="AP651" t="str">
        <f>_xlfn.XLOOKUP(Table1[[#This Row],[RelationshipSatisfaction]],Table18[RelationshipSatisfaction],Table18[Id_RelationshipSatisfaction])</f>
        <v>RS003</v>
      </c>
      <c r="AQ651">
        <v>3</v>
      </c>
      <c r="AR651" t="str">
        <f>_xlfn.XLOOKUP(Table1[[#This Row],[RelationshipSatisfaction]],Table18[RelationshipSatisfaction],Table18[Deskripsi])</f>
        <v>High</v>
      </c>
      <c r="AS651" t="str">
        <f>_xlfn.XLOOKUP(Table1[[#This Row],[StockOptionLevel]],Table19[StockOptionLevel],Table19[Id_StockOptionLevel])</f>
        <v>SOL001</v>
      </c>
      <c r="AT651">
        <v>0</v>
      </c>
      <c r="AU651" t="str">
        <f>_xlfn.XLOOKUP(Table1[[#This Row],[StockOptionLevel]],Table19[StockOptionLevel],Table19[Deskripsi])</f>
        <v>Non-Eligible</v>
      </c>
      <c r="AV651">
        <v>33</v>
      </c>
      <c r="AW651">
        <v>0</v>
      </c>
      <c r="AX651" t="str">
        <f>_xlfn.XLOOKUP(Table1[[#This Row],[WorkLifeBalance]],Table20[WorkLifeBalance],Table20[Id_WorkLifeBalance])</f>
        <v>WLB002</v>
      </c>
      <c r="AY651">
        <v>3</v>
      </c>
      <c r="AZ651" t="str">
        <f>_xlfn.XLOOKUP(Table1[[#This Row],[WorkLifeBalance]],Table20[WorkLifeBalance],Table20[Deskripsi])</f>
        <v>Good</v>
      </c>
      <c r="BA651">
        <v>12</v>
      </c>
      <c r="BB651">
        <v>9</v>
      </c>
      <c r="BC651">
        <v>3</v>
      </c>
      <c r="BD651">
        <v>8</v>
      </c>
    </row>
    <row r="652" spans="1:56" x14ac:dyDescent="0.25">
      <c r="A652">
        <v>43</v>
      </c>
      <c r="B652" t="str">
        <f>_xlfn.XLOOKUP(Table1[[#This Row],[Attrition]],Table2[Attrition],Table2[Id_Attrition])</f>
        <v>A002</v>
      </c>
      <c r="C652" t="s">
        <v>33</v>
      </c>
      <c r="D652" t="str">
        <f>_xlfn.XLOOKUP(Table1[[#This Row],[BusinessTravel]],Table5[BusinessTravel],Table5[Id_BusinessTravel])</f>
        <v>BS002</v>
      </c>
      <c r="E652" t="s">
        <v>35</v>
      </c>
      <c r="F652">
        <v>422</v>
      </c>
      <c r="G652" t="str">
        <f>_xlfn.XLOOKUP(Table1[[#This Row],[Department]],Table6[Department],Table6[Id_Departement])</f>
        <v>D002</v>
      </c>
      <c r="H652" t="s">
        <v>38</v>
      </c>
      <c r="I652">
        <v>1</v>
      </c>
      <c r="J652" t="str">
        <f>_xlfn.XLOOKUP(Table1[[#This Row],[Education]],Table8[Education],Table8[Id_Education])</f>
        <v>E003</v>
      </c>
      <c r="K652">
        <v>3</v>
      </c>
      <c r="L652" t="str">
        <f>_xlfn.XLOOKUP(Table1[[#This Row],[EducationField]],Table7[EducationField],Table7[Id_EducationField])</f>
        <v>EF001</v>
      </c>
      <c r="M652" t="s">
        <v>40</v>
      </c>
      <c r="N652" t="str">
        <f>_xlfn.XLOOKUP(Table1[[#This Row],[EmployeeNumber]],Table4[EmployeeNumber],Table4[Id_Employee])</f>
        <v>EMP00651</v>
      </c>
      <c r="O652">
        <v>902</v>
      </c>
      <c r="P652" t="str">
        <f>_xlfn.XLOOKUP(Table1[[#This Row],[EnvironmentSatisfaction]],Table9[EnvironmentSatisfaction],Table9[Id_EnviromentSatisfaction])</f>
        <v>ES004</v>
      </c>
      <c r="Q652">
        <v>4</v>
      </c>
      <c r="R652" t="str">
        <f>_xlfn.XLOOKUP(Table1[[#This Row],[EnvironmentSatisfaction]],Table9[EnvironmentSatisfaction],Table9[Deskripsi])</f>
        <v>Very High</v>
      </c>
      <c r="S652" t="str">
        <f>_xlfn.XLOOKUP(Table1[[#This Row],[Gender]],Table10[Gender],Table10[Id_Gender])</f>
        <v>G001</v>
      </c>
      <c r="T652" t="s">
        <v>45</v>
      </c>
      <c r="U652">
        <v>33</v>
      </c>
      <c r="V652" t="str">
        <f>_xlfn.XLOOKUP(Table1[[#This Row],[JobInvolvement]],Table11[JobInvolvement],Table11[Id_JobInvolvement])</f>
        <v>JI003</v>
      </c>
      <c r="W652">
        <v>3</v>
      </c>
      <c r="X652" t="str">
        <f>_xlfn.XLOOKUP(Table1[[#This Row],[JobLevel]],Table12[JobLevel],Table12[Id_JobLevel])</f>
        <v>JL002</v>
      </c>
      <c r="Y652">
        <v>2</v>
      </c>
      <c r="Z652" t="str">
        <f>_xlfn.XLOOKUP(Table1[[#This Row],[JobRole]],Table13[JobRole],Table13[Id_JobRole])</f>
        <v>JR005</v>
      </c>
      <c r="AA652" t="s">
        <v>51</v>
      </c>
      <c r="AB652" t="str">
        <f>_xlfn.XLOOKUP(Table1[[#This Row],[JobSatisfaction]],Table14[JobSatisfaction],Table14[Id_JobSatisfaction])</f>
        <v>JS004</v>
      </c>
      <c r="AC652">
        <v>4</v>
      </c>
      <c r="AD652" t="str">
        <f>_xlfn.XLOOKUP(Table1[[#This Row],[JobSatisfaction]],Table14[JobSatisfaction],Table14[Deskripsi])</f>
        <v>Very High</v>
      </c>
      <c r="AE652" t="str">
        <f>_xlfn.XLOOKUP(Table1[[#This Row],[MaritalStatus]],Table15[MaritalStatus],Table15[Id_MaritalStatus])</f>
        <v>MS002</v>
      </c>
      <c r="AF652" t="s">
        <v>56</v>
      </c>
      <c r="AG652">
        <v>5562</v>
      </c>
      <c r="AH652">
        <v>21782</v>
      </c>
      <c r="AI652">
        <v>4</v>
      </c>
      <c r="AJ652" t="str">
        <f>_xlfn.XLOOKUP(Table1[[#This Row],[OverTime]],Table16[OverTime],Table16[Id_OverTime])</f>
        <v>OT002</v>
      </c>
      <c r="AK652" t="s">
        <v>33</v>
      </c>
      <c r="AL652">
        <v>13</v>
      </c>
      <c r="AM652" t="str">
        <f>_xlfn.XLOOKUP(Table1[[#This Row],[PerformanceRating]],Table17[PerformanceRating],Table17[Id_PerformanceRating])</f>
        <v>PR003</v>
      </c>
      <c r="AN652">
        <v>3</v>
      </c>
      <c r="AO652" t="str">
        <f>_xlfn.XLOOKUP(Table1[[#This Row],[PerformanceRating]],Table17[PerformanceRating],Table17[Deskripsi])</f>
        <v>Excellent</v>
      </c>
      <c r="AP652" t="str">
        <f>_xlfn.XLOOKUP(Table1[[#This Row],[RelationshipSatisfaction]],Table18[RelationshipSatisfaction],Table18[Id_RelationshipSatisfaction])</f>
        <v>RS002</v>
      </c>
      <c r="AQ652">
        <v>2</v>
      </c>
      <c r="AR652" t="str">
        <f>_xlfn.XLOOKUP(Table1[[#This Row],[RelationshipSatisfaction]],Table18[RelationshipSatisfaction],Table18[Deskripsi])</f>
        <v>Medium</v>
      </c>
      <c r="AS652" t="str">
        <f>_xlfn.XLOOKUP(Table1[[#This Row],[StockOptionLevel]],Table19[StockOptionLevel],Table19[Id_StockOptionLevel])</f>
        <v>SOL002</v>
      </c>
      <c r="AT652">
        <v>1</v>
      </c>
      <c r="AU652" t="str">
        <f>_xlfn.XLOOKUP(Table1[[#This Row],[StockOptionLevel]],Table19[StockOptionLevel],Table19[Deskripsi])</f>
        <v>Standard</v>
      </c>
      <c r="AV652">
        <v>12</v>
      </c>
      <c r="AW652">
        <v>2</v>
      </c>
      <c r="AX652" t="str">
        <f>_xlfn.XLOOKUP(Table1[[#This Row],[WorkLifeBalance]],Table20[WorkLifeBalance],Table20[Id_WorkLifeBalance])</f>
        <v>WLB003</v>
      </c>
      <c r="AY652">
        <v>2</v>
      </c>
      <c r="AZ652" t="str">
        <f>_xlfn.XLOOKUP(Table1[[#This Row],[WorkLifeBalance]],Table20[WorkLifeBalance],Table20[Deskripsi])</f>
        <v>Better</v>
      </c>
      <c r="BA652">
        <v>5</v>
      </c>
      <c r="BB652">
        <v>2</v>
      </c>
      <c r="BC652">
        <v>2</v>
      </c>
      <c r="BD652">
        <v>2</v>
      </c>
    </row>
    <row r="653" spans="1:56" x14ac:dyDescent="0.25">
      <c r="A653">
        <v>47</v>
      </c>
      <c r="B653" t="str">
        <f>_xlfn.XLOOKUP(Table1[[#This Row],[Attrition]],Table2[Attrition],Table2[Id_Attrition])</f>
        <v>A002</v>
      </c>
      <c r="C653" t="s">
        <v>33</v>
      </c>
      <c r="D653" t="str">
        <f>_xlfn.XLOOKUP(Table1[[#This Row],[BusinessTravel]],Table5[BusinessTravel],Table5[Id_BusinessTravel])</f>
        <v>BS001</v>
      </c>
      <c r="E653" t="s">
        <v>34</v>
      </c>
      <c r="F653">
        <v>249</v>
      </c>
      <c r="G653" t="str">
        <f>_xlfn.XLOOKUP(Table1[[#This Row],[Department]],Table6[Department],Table6[Id_Departement])</f>
        <v>D001</v>
      </c>
      <c r="H653" t="s">
        <v>37</v>
      </c>
      <c r="I653">
        <v>2</v>
      </c>
      <c r="J653" t="str">
        <f>_xlfn.XLOOKUP(Table1[[#This Row],[Education]],Table8[Education],Table8[Id_Education])</f>
        <v>E002</v>
      </c>
      <c r="K653">
        <v>2</v>
      </c>
      <c r="L653" t="str">
        <f>_xlfn.XLOOKUP(Table1[[#This Row],[EducationField]],Table7[EducationField],Table7[Id_EducationField])</f>
        <v>EF004</v>
      </c>
      <c r="M653" t="s">
        <v>43</v>
      </c>
      <c r="N653" t="str">
        <f>_xlfn.XLOOKUP(Table1[[#This Row],[EmployeeNumber]],Table4[EmployeeNumber],Table4[Id_Employee])</f>
        <v>EMP00652</v>
      </c>
      <c r="O653">
        <v>903</v>
      </c>
      <c r="P653" t="str">
        <f>_xlfn.XLOOKUP(Table1[[#This Row],[EnvironmentSatisfaction]],Table9[EnvironmentSatisfaction],Table9[Id_EnviromentSatisfaction])</f>
        <v>ES003</v>
      </c>
      <c r="Q653">
        <v>3</v>
      </c>
      <c r="R653" t="str">
        <f>_xlfn.XLOOKUP(Table1[[#This Row],[EnvironmentSatisfaction]],Table9[EnvironmentSatisfaction],Table9[Deskripsi])</f>
        <v>High</v>
      </c>
      <c r="S653" t="str">
        <f>_xlfn.XLOOKUP(Table1[[#This Row],[Gender]],Table10[Gender],Table10[Id_Gender])</f>
        <v>G001</v>
      </c>
      <c r="T653" t="s">
        <v>45</v>
      </c>
      <c r="U653">
        <v>35</v>
      </c>
      <c r="V653" t="str">
        <f>_xlfn.XLOOKUP(Table1[[#This Row],[JobInvolvement]],Table11[JobInvolvement],Table11[Id_JobInvolvement])</f>
        <v>JI003</v>
      </c>
      <c r="W653">
        <v>3</v>
      </c>
      <c r="X653" t="str">
        <f>_xlfn.XLOOKUP(Table1[[#This Row],[JobLevel]],Table12[JobLevel],Table12[Id_JobLevel])</f>
        <v>JL002</v>
      </c>
      <c r="Y653">
        <v>2</v>
      </c>
      <c r="Z653" t="str">
        <f>_xlfn.XLOOKUP(Table1[[#This Row],[JobRole]],Table13[JobRole],Table13[Id_JobRole])</f>
        <v>JR001</v>
      </c>
      <c r="AA653" t="s">
        <v>47</v>
      </c>
      <c r="AB653" t="str">
        <f>_xlfn.XLOOKUP(Table1[[#This Row],[JobSatisfaction]],Table14[JobSatisfaction],Table14[Id_JobSatisfaction])</f>
        <v>JS004</v>
      </c>
      <c r="AC653">
        <v>4</v>
      </c>
      <c r="AD653" t="str">
        <f>_xlfn.XLOOKUP(Table1[[#This Row],[JobSatisfaction]],Table14[JobSatisfaction],Table14[Deskripsi])</f>
        <v>Very High</v>
      </c>
      <c r="AE653" t="str">
        <f>_xlfn.XLOOKUP(Table1[[#This Row],[MaritalStatus]],Table15[MaritalStatus],Table15[Id_MaritalStatus])</f>
        <v>MS002</v>
      </c>
      <c r="AF653" t="s">
        <v>56</v>
      </c>
      <c r="AG653">
        <v>4537</v>
      </c>
      <c r="AH653">
        <v>17783</v>
      </c>
      <c r="AI653">
        <v>0</v>
      </c>
      <c r="AJ653" t="str">
        <f>_xlfn.XLOOKUP(Table1[[#This Row],[OverTime]],Table16[OverTime],Table16[Id_OverTime])</f>
        <v>OT001</v>
      </c>
      <c r="AK653" t="s">
        <v>32</v>
      </c>
      <c r="AL653">
        <v>22</v>
      </c>
      <c r="AM653" t="str">
        <f>_xlfn.XLOOKUP(Table1[[#This Row],[PerformanceRating]],Table17[PerformanceRating],Table17[Id_PerformanceRating])</f>
        <v>PR004</v>
      </c>
      <c r="AN653">
        <v>4</v>
      </c>
      <c r="AO653" t="str">
        <f>_xlfn.XLOOKUP(Table1[[#This Row],[PerformanceRating]],Table17[PerformanceRating],Table17[Deskripsi])</f>
        <v>Outstanding</v>
      </c>
      <c r="AP653" t="str">
        <f>_xlfn.XLOOKUP(Table1[[#This Row],[RelationshipSatisfaction]],Table18[RelationshipSatisfaction],Table18[Id_RelationshipSatisfaction])</f>
        <v>RS001</v>
      </c>
      <c r="AQ653">
        <v>1</v>
      </c>
      <c r="AR653" t="str">
        <f>_xlfn.XLOOKUP(Table1[[#This Row],[RelationshipSatisfaction]],Table18[RelationshipSatisfaction],Table18[Deskripsi])</f>
        <v>Low</v>
      </c>
      <c r="AS653" t="str">
        <f>_xlfn.XLOOKUP(Table1[[#This Row],[StockOptionLevel]],Table19[StockOptionLevel],Table19[Id_StockOptionLevel])</f>
        <v>SOL002</v>
      </c>
      <c r="AT653">
        <v>1</v>
      </c>
      <c r="AU653" t="str">
        <f>_xlfn.XLOOKUP(Table1[[#This Row],[StockOptionLevel]],Table19[StockOptionLevel],Table19[Deskripsi])</f>
        <v>Standard</v>
      </c>
      <c r="AV653">
        <v>8</v>
      </c>
      <c r="AW653">
        <v>2</v>
      </c>
      <c r="AX653" t="str">
        <f>_xlfn.XLOOKUP(Table1[[#This Row],[WorkLifeBalance]],Table20[WorkLifeBalance],Table20[Id_WorkLifeBalance])</f>
        <v>WLB002</v>
      </c>
      <c r="AY653">
        <v>3</v>
      </c>
      <c r="AZ653" t="str">
        <f>_xlfn.XLOOKUP(Table1[[#This Row],[WorkLifeBalance]],Table20[WorkLifeBalance],Table20[Deskripsi])</f>
        <v>Good</v>
      </c>
      <c r="BA653">
        <v>7</v>
      </c>
      <c r="BB653">
        <v>6</v>
      </c>
      <c r="BC653">
        <v>7</v>
      </c>
      <c r="BD653">
        <v>7</v>
      </c>
    </row>
    <row r="654" spans="1:56" x14ac:dyDescent="0.25">
      <c r="A654">
        <v>37</v>
      </c>
      <c r="B654" t="str">
        <f>_xlfn.XLOOKUP(Table1[[#This Row],[Attrition]],Table2[Attrition],Table2[Id_Attrition])</f>
        <v>A002</v>
      </c>
      <c r="C654" t="s">
        <v>33</v>
      </c>
      <c r="D654" t="str">
        <f>_xlfn.XLOOKUP(Table1[[#This Row],[BusinessTravel]],Table5[BusinessTravel],Table5[Id_BusinessTravel])</f>
        <v>BS003</v>
      </c>
      <c r="E654" t="s">
        <v>36</v>
      </c>
      <c r="F654">
        <v>1252</v>
      </c>
      <c r="G654" t="str">
        <f>_xlfn.XLOOKUP(Table1[[#This Row],[Department]],Table6[Department],Table6[Id_Departement])</f>
        <v>D001</v>
      </c>
      <c r="H654" t="s">
        <v>37</v>
      </c>
      <c r="I654">
        <v>19</v>
      </c>
      <c r="J654" t="str">
        <f>_xlfn.XLOOKUP(Table1[[#This Row],[Education]],Table8[Education],Table8[Id_Education])</f>
        <v>E002</v>
      </c>
      <c r="K654">
        <v>2</v>
      </c>
      <c r="L654" t="str">
        <f>_xlfn.XLOOKUP(Table1[[#This Row],[EducationField]],Table7[EducationField],Table7[Id_EducationField])</f>
        <v>EF003</v>
      </c>
      <c r="M654" t="s">
        <v>42</v>
      </c>
      <c r="N654" t="str">
        <f>_xlfn.XLOOKUP(Table1[[#This Row],[EmployeeNumber]],Table4[EmployeeNumber],Table4[Id_Employee])</f>
        <v>EMP00653</v>
      </c>
      <c r="O654">
        <v>904</v>
      </c>
      <c r="P654" t="str">
        <f>_xlfn.XLOOKUP(Table1[[#This Row],[EnvironmentSatisfaction]],Table9[EnvironmentSatisfaction],Table9[Id_EnviromentSatisfaction])</f>
        <v>ES001</v>
      </c>
      <c r="Q654">
        <v>1</v>
      </c>
      <c r="R654" t="str">
        <f>_xlfn.XLOOKUP(Table1[[#This Row],[EnvironmentSatisfaction]],Table9[EnvironmentSatisfaction],Table9[Deskripsi])</f>
        <v>Low</v>
      </c>
      <c r="S654" t="str">
        <f>_xlfn.XLOOKUP(Table1[[#This Row],[Gender]],Table10[Gender],Table10[Id_Gender])</f>
        <v>G002</v>
      </c>
      <c r="T654" t="s">
        <v>46</v>
      </c>
      <c r="U654">
        <v>32</v>
      </c>
      <c r="V654" t="str">
        <f>_xlfn.XLOOKUP(Table1[[#This Row],[JobInvolvement]],Table11[JobInvolvement],Table11[Id_JobInvolvement])</f>
        <v>JI003</v>
      </c>
      <c r="W654">
        <v>3</v>
      </c>
      <c r="X654" t="str">
        <f>_xlfn.XLOOKUP(Table1[[#This Row],[JobLevel]],Table12[JobLevel],Table12[Id_JobLevel])</f>
        <v>JL003</v>
      </c>
      <c r="Y654">
        <v>3</v>
      </c>
      <c r="Z654" t="str">
        <f>_xlfn.XLOOKUP(Table1[[#This Row],[JobRole]],Table13[JobRole],Table13[Id_JobRole])</f>
        <v>JR001</v>
      </c>
      <c r="AA654" t="s">
        <v>47</v>
      </c>
      <c r="AB654" t="str">
        <f>_xlfn.XLOOKUP(Table1[[#This Row],[JobSatisfaction]],Table14[JobSatisfaction],Table14[Id_JobSatisfaction])</f>
        <v>JS002</v>
      </c>
      <c r="AC654">
        <v>2</v>
      </c>
      <c r="AD654" t="str">
        <f>_xlfn.XLOOKUP(Table1[[#This Row],[JobSatisfaction]],Table14[JobSatisfaction],Table14[Deskripsi])</f>
        <v>Medium</v>
      </c>
      <c r="AE654" t="str">
        <f>_xlfn.XLOOKUP(Table1[[#This Row],[MaritalStatus]],Table15[MaritalStatus],Table15[Id_MaritalStatus])</f>
        <v>MS001</v>
      </c>
      <c r="AF654" t="s">
        <v>55</v>
      </c>
      <c r="AG654">
        <v>7642</v>
      </c>
      <c r="AH654">
        <v>4814</v>
      </c>
      <c r="AI654">
        <v>1</v>
      </c>
      <c r="AJ654" t="str">
        <f>_xlfn.XLOOKUP(Table1[[#This Row],[OverTime]],Table16[OverTime],Table16[Id_OverTime])</f>
        <v>OT001</v>
      </c>
      <c r="AK654" t="s">
        <v>32</v>
      </c>
      <c r="AL654">
        <v>13</v>
      </c>
      <c r="AM654" t="str">
        <f>_xlfn.XLOOKUP(Table1[[#This Row],[PerformanceRating]],Table17[PerformanceRating],Table17[Id_PerformanceRating])</f>
        <v>PR003</v>
      </c>
      <c r="AN654">
        <v>3</v>
      </c>
      <c r="AO654" t="str">
        <f>_xlfn.XLOOKUP(Table1[[#This Row],[PerformanceRating]],Table17[PerformanceRating],Table17[Deskripsi])</f>
        <v>Excellent</v>
      </c>
      <c r="AP654" t="str">
        <f>_xlfn.XLOOKUP(Table1[[#This Row],[RelationshipSatisfaction]],Table18[RelationshipSatisfaction],Table18[Id_RelationshipSatisfaction])</f>
        <v>RS004</v>
      </c>
      <c r="AQ654">
        <v>4</v>
      </c>
      <c r="AR654" t="str">
        <f>_xlfn.XLOOKUP(Table1[[#This Row],[RelationshipSatisfaction]],Table18[RelationshipSatisfaction],Table18[Deskripsi])</f>
        <v>Very High</v>
      </c>
      <c r="AS654" t="str">
        <f>_xlfn.XLOOKUP(Table1[[#This Row],[StockOptionLevel]],Table19[StockOptionLevel],Table19[Id_StockOptionLevel])</f>
        <v>SOL001</v>
      </c>
      <c r="AT654">
        <v>0</v>
      </c>
      <c r="AU654" t="str">
        <f>_xlfn.XLOOKUP(Table1[[#This Row],[StockOptionLevel]],Table19[StockOptionLevel],Table19[Deskripsi])</f>
        <v>Non-Eligible</v>
      </c>
      <c r="AV654">
        <v>10</v>
      </c>
      <c r="AW654">
        <v>2</v>
      </c>
      <c r="AX654" t="str">
        <f>_xlfn.XLOOKUP(Table1[[#This Row],[WorkLifeBalance]],Table20[WorkLifeBalance],Table20[Id_WorkLifeBalance])</f>
        <v>WLB002</v>
      </c>
      <c r="AY654">
        <v>3</v>
      </c>
      <c r="AZ654" t="str">
        <f>_xlfn.XLOOKUP(Table1[[#This Row],[WorkLifeBalance]],Table20[WorkLifeBalance],Table20[Deskripsi])</f>
        <v>Good</v>
      </c>
      <c r="BA654">
        <v>10</v>
      </c>
      <c r="BB654">
        <v>0</v>
      </c>
      <c r="BC654">
        <v>0</v>
      </c>
      <c r="BD654">
        <v>9</v>
      </c>
    </row>
    <row r="655" spans="1:56" x14ac:dyDescent="0.25">
      <c r="A655">
        <v>50</v>
      </c>
      <c r="B655" t="str">
        <f>_xlfn.XLOOKUP(Table1[[#This Row],[Attrition]],Table2[Attrition],Table2[Id_Attrition])</f>
        <v>A002</v>
      </c>
      <c r="C655" t="s">
        <v>33</v>
      </c>
      <c r="D655" t="str">
        <f>_xlfn.XLOOKUP(Table1[[#This Row],[BusinessTravel]],Table5[BusinessTravel],Table5[Id_BusinessTravel])</f>
        <v>BS003</v>
      </c>
      <c r="E655" t="s">
        <v>36</v>
      </c>
      <c r="F655">
        <v>881</v>
      </c>
      <c r="G655" t="str">
        <f>_xlfn.XLOOKUP(Table1[[#This Row],[Department]],Table6[Department],Table6[Id_Departement])</f>
        <v>D002</v>
      </c>
      <c r="H655" t="s">
        <v>38</v>
      </c>
      <c r="I655">
        <v>2</v>
      </c>
      <c r="J655" t="str">
        <f>_xlfn.XLOOKUP(Table1[[#This Row],[Education]],Table8[Education],Table8[Id_Education])</f>
        <v>E004</v>
      </c>
      <c r="K655">
        <v>4</v>
      </c>
      <c r="L655" t="str">
        <f>_xlfn.XLOOKUP(Table1[[#This Row],[EducationField]],Table7[EducationField],Table7[Id_EducationField])</f>
        <v>EF001</v>
      </c>
      <c r="M655" t="s">
        <v>40</v>
      </c>
      <c r="N655" t="str">
        <f>_xlfn.XLOOKUP(Table1[[#This Row],[EmployeeNumber]],Table4[EmployeeNumber],Table4[Id_Employee])</f>
        <v>EMP00654</v>
      </c>
      <c r="O655">
        <v>905</v>
      </c>
      <c r="P655" t="str">
        <f>_xlfn.XLOOKUP(Table1[[#This Row],[EnvironmentSatisfaction]],Table9[EnvironmentSatisfaction],Table9[Id_EnviromentSatisfaction])</f>
        <v>ES001</v>
      </c>
      <c r="Q655">
        <v>1</v>
      </c>
      <c r="R655" t="str">
        <f>_xlfn.XLOOKUP(Table1[[#This Row],[EnvironmentSatisfaction]],Table9[EnvironmentSatisfaction],Table9[Deskripsi])</f>
        <v>Low</v>
      </c>
      <c r="S655" t="str">
        <f>_xlfn.XLOOKUP(Table1[[#This Row],[Gender]],Table10[Gender],Table10[Id_Gender])</f>
        <v>G002</v>
      </c>
      <c r="T655" t="s">
        <v>46</v>
      </c>
      <c r="U655">
        <v>98</v>
      </c>
      <c r="V655" t="str">
        <f>_xlfn.XLOOKUP(Table1[[#This Row],[JobInvolvement]],Table11[JobInvolvement],Table11[Id_JobInvolvement])</f>
        <v>JI003</v>
      </c>
      <c r="W655">
        <v>3</v>
      </c>
      <c r="X655" t="str">
        <f>_xlfn.XLOOKUP(Table1[[#This Row],[JobLevel]],Table12[JobLevel],Table12[Id_JobLevel])</f>
        <v>JL004</v>
      </c>
      <c r="Y655">
        <v>4</v>
      </c>
      <c r="Z655" t="str">
        <f>_xlfn.XLOOKUP(Table1[[#This Row],[JobRole]],Table13[JobRole],Table13[Id_JobRole])</f>
        <v>JR006</v>
      </c>
      <c r="AA655" t="s">
        <v>52</v>
      </c>
      <c r="AB655" t="str">
        <f>_xlfn.XLOOKUP(Table1[[#This Row],[JobSatisfaction]],Table14[JobSatisfaction],Table14[Id_JobSatisfaction])</f>
        <v>JS001</v>
      </c>
      <c r="AC655">
        <v>1</v>
      </c>
      <c r="AD655" t="str">
        <f>_xlfn.XLOOKUP(Table1[[#This Row],[JobSatisfaction]],Table14[JobSatisfaction],Table14[Deskripsi])</f>
        <v>Low</v>
      </c>
      <c r="AE655" t="str">
        <f>_xlfn.XLOOKUP(Table1[[#This Row],[MaritalStatus]],Table15[MaritalStatus],Table15[Id_MaritalStatus])</f>
        <v>MS003</v>
      </c>
      <c r="AF655" t="s">
        <v>57</v>
      </c>
      <c r="AG655">
        <v>17924</v>
      </c>
      <c r="AH655">
        <v>4544</v>
      </c>
      <c r="AI655">
        <v>1</v>
      </c>
      <c r="AJ655" t="str">
        <f>_xlfn.XLOOKUP(Table1[[#This Row],[OverTime]],Table16[OverTime],Table16[Id_OverTime])</f>
        <v>OT002</v>
      </c>
      <c r="AK655" t="s">
        <v>33</v>
      </c>
      <c r="AL655">
        <v>11</v>
      </c>
      <c r="AM655" t="str">
        <f>_xlfn.XLOOKUP(Table1[[#This Row],[PerformanceRating]],Table17[PerformanceRating],Table17[Id_PerformanceRating])</f>
        <v>PR003</v>
      </c>
      <c r="AN655">
        <v>3</v>
      </c>
      <c r="AO655" t="str">
        <f>_xlfn.XLOOKUP(Table1[[#This Row],[PerformanceRating]],Table17[PerformanceRating],Table17[Deskripsi])</f>
        <v>Excellent</v>
      </c>
      <c r="AP655" t="str">
        <f>_xlfn.XLOOKUP(Table1[[#This Row],[RelationshipSatisfaction]],Table18[RelationshipSatisfaction],Table18[Id_RelationshipSatisfaction])</f>
        <v>RS004</v>
      </c>
      <c r="AQ655">
        <v>4</v>
      </c>
      <c r="AR655" t="str">
        <f>_xlfn.XLOOKUP(Table1[[#This Row],[RelationshipSatisfaction]],Table18[RelationshipSatisfaction],Table18[Deskripsi])</f>
        <v>Very High</v>
      </c>
      <c r="AS655" t="str">
        <f>_xlfn.XLOOKUP(Table1[[#This Row],[StockOptionLevel]],Table19[StockOptionLevel],Table19[Id_StockOptionLevel])</f>
        <v>SOL002</v>
      </c>
      <c r="AT655">
        <v>1</v>
      </c>
      <c r="AU655" t="str">
        <f>_xlfn.XLOOKUP(Table1[[#This Row],[StockOptionLevel]],Table19[StockOptionLevel],Table19[Deskripsi])</f>
        <v>Standard</v>
      </c>
      <c r="AV655">
        <v>31</v>
      </c>
      <c r="AW655">
        <v>3</v>
      </c>
      <c r="AX655" t="str">
        <f>_xlfn.XLOOKUP(Table1[[#This Row],[WorkLifeBalance]],Table20[WorkLifeBalance],Table20[Id_WorkLifeBalance])</f>
        <v>WLB002</v>
      </c>
      <c r="AY655">
        <v>3</v>
      </c>
      <c r="AZ655" t="str">
        <f>_xlfn.XLOOKUP(Table1[[#This Row],[WorkLifeBalance]],Table20[WorkLifeBalance],Table20[Deskripsi])</f>
        <v>Good</v>
      </c>
      <c r="BA655">
        <v>31</v>
      </c>
      <c r="BB655">
        <v>6</v>
      </c>
      <c r="BC655">
        <v>14</v>
      </c>
      <c r="BD655">
        <v>7</v>
      </c>
    </row>
    <row r="656" spans="1:56" x14ac:dyDescent="0.25">
      <c r="A656">
        <v>39</v>
      </c>
      <c r="B656" t="str">
        <f>_xlfn.XLOOKUP(Table1[[#This Row],[Attrition]],Table2[Attrition],Table2[Id_Attrition])</f>
        <v>A002</v>
      </c>
      <c r="C656" t="s">
        <v>33</v>
      </c>
      <c r="D656" t="str">
        <f>_xlfn.XLOOKUP(Table1[[#This Row],[BusinessTravel]],Table5[BusinessTravel],Table5[Id_BusinessTravel])</f>
        <v>BS001</v>
      </c>
      <c r="E656" t="s">
        <v>34</v>
      </c>
      <c r="F656">
        <v>1383</v>
      </c>
      <c r="G656" t="str">
        <f>_xlfn.XLOOKUP(Table1[[#This Row],[Department]],Table6[Department],Table6[Id_Departement])</f>
        <v>D003</v>
      </c>
      <c r="H656" t="s">
        <v>39</v>
      </c>
      <c r="I656">
        <v>2</v>
      </c>
      <c r="J656" t="str">
        <f>_xlfn.XLOOKUP(Table1[[#This Row],[Education]],Table8[Education],Table8[Id_Education])</f>
        <v>E003</v>
      </c>
      <c r="K656">
        <v>3</v>
      </c>
      <c r="L656" t="str">
        <f>_xlfn.XLOOKUP(Table1[[#This Row],[EducationField]],Table7[EducationField],Table7[Id_EducationField])</f>
        <v>EF001</v>
      </c>
      <c r="M656" t="s">
        <v>40</v>
      </c>
      <c r="N656" t="str">
        <f>_xlfn.XLOOKUP(Table1[[#This Row],[EmployeeNumber]],Table4[EmployeeNumber],Table4[Id_Employee])</f>
        <v>EMP00655</v>
      </c>
      <c r="O656">
        <v>909</v>
      </c>
      <c r="P656" t="str">
        <f>_xlfn.XLOOKUP(Table1[[#This Row],[EnvironmentSatisfaction]],Table9[EnvironmentSatisfaction],Table9[Id_EnviromentSatisfaction])</f>
        <v>ES004</v>
      </c>
      <c r="Q656">
        <v>4</v>
      </c>
      <c r="R656" t="str">
        <f>_xlfn.XLOOKUP(Table1[[#This Row],[EnvironmentSatisfaction]],Table9[EnvironmentSatisfaction],Table9[Deskripsi])</f>
        <v>Very High</v>
      </c>
      <c r="S656" t="str">
        <f>_xlfn.XLOOKUP(Table1[[#This Row],[Gender]],Table10[Gender],Table10[Id_Gender])</f>
        <v>G001</v>
      </c>
      <c r="T656" t="s">
        <v>45</v>
      </c>
      <c r="U656">
        <v>42</v>
      </c>
      <c r="V656" t="str">
        <f>_xlfn.XLOOKUP(Table1[[#This Row],[JobInvolvement]],Table11[JobInvolvement],Table11[Id_JobInvolvement])</f>
        <v>JI002</v>
      </c>
      <c r="W656">
        <v>2</v>
      </c>
      <c r="X656" t="str">
        <f>_xlfn.XLOOKUP(Table1[[#This Row],[JobLevel]],Table12[JobLevel],Table12[Id_JobLevel])</f>
        <v>JL002</v>
      </c>
      <c r="Y656">
        <v>2</v>
      </c>
      <c r="Z656" t="str">
        <f>_xlfn.XLOOKUP(Table1[[#This Row],[JobRole]],Table13[JobRole],Table13[Id_JobRole])</f>
        <v>JR009</v>
      </c>
      <c r="AA656" t="s">
        <v>39</v>
      </c>
      <c r="AB656" t="str">
        <f>_xlfn.XLOOKUP(Table1[[#This Row],[JobSatisfaction]],Table14[JobSatisfaction],Table14[Id_JobSatisfaction])</f>
        <v>JS004</v>
      </c>
      <c r="AC656">
        <v>4</v>
      </c>
      <c r="AD656" t="str">
        <f>_xlfn.XLOOKUP(Table1[[#This Row],[JobSatisfaction]],Table14[JobSatisfaction],Table14[Deskripsi])</f>
        <v>Very High</v>
      </c>
      <c r="AE656" t="str">
        <f>_xlfn.XLOOKUP(Table1[[#This Row],[MaritalStatus]],Table15[MaritalStatus],Table15[Id_MaritalStatus])</f>
        <v>MS002</v>
      </c>
      <c r="AF656" t="s">
        <v>56</v>
      </c>
      <c r="AG656">
        <v>5204</v>
      </c>
      <c r="AH656">
        <v>7790</v>
      </c>
      <c r="AI656">
        <v>8</v>
      </c>
      <c r="AJ656" t="str">
        <f>_xlfn.XLOOKUP(Table1[[#This Row],[OverTime]],Table16[OverTime],Table16[Id_OverTime])</f>
        <v>OT002</v>
      </c>
      <c r="AK656" t="s">
        <v>33</v>
      </c>
      <c r="AL656">
        <v>11</v>
      </c>
      <c r="AM656" t="str">
        <f>_xlfn.XLOOKUP(Table1[[#This Row],[PerformanceRating]],Table17[PerformanceRating],Table17[Id_PerformanceRating])</f>
        <v>PR003</v>
      </c>
      <c r="AN656">
        <v>3</v>
      </c>
      <c r="AO656" t="str">
        <f>_xlfn.XLOOKUP(Table1[[#This Row],[PerformanceRating]],Table17[PerformanceRating],Table17[Deskripsi])</f>
        <v>Excellent</v>
      </c>
      <c r="AP656" t="str">
        <f>_xlfn.XLOOKUP(Table1[[#This Row],[RelationshipSatisfaction]],Table18[RelationshipSatisfaction],Table18[Id_RelationshipSatisfaction])</f>
        <v>RS003</v>
      </c>
      <c r="AQ656">
        <v>3</v>
      </c>
      <c r="AR656" t="str">
        <f>_xlfn.XLOOKUP(Table1[[#This Row],[RelationshipSatisfaction]],Table18[RelationshipSatisfaction],Table18[Deskripsi])</f>
        <v>High</v>
      </c>
      <c r="AS656" t="str">
        <f>_xlfn.XLOOKUP(Table1[[#This Row],[StockOptionLevel]],Table19[StockOptionLevel],Table19[Id_StockOptionLevel])</f>
        <v>SOL003</v>
      </c>
      <c r="AT656">
        <v>2</v>
      </c>
      <c r="AU656" t="str">
        <f>_xlfn.XLOOKUP(Table1[[#This Row],[StockOptionLevel]],Table19[StockOptionLevel],Table19[Deskripsi])</f>
        <v>Intermediate</v>
      </c>
      <c r="AV656">
        <v>13</v>
      </c>
      <c r="AW656">
        <v>2</v>
      </c>
      <c r="AX656" t="str">
        <f>_xlfn.XLOOKUP(Table1[[#This Row],[WorkLifeBalance]],Table20[WorkLifeBalance],Table20[Id_WorkLifeBalance])</f>
        <v>WLB002</v>
      </c>
      <c r="AY656">
        <v>3</v>
      </c>
      <c r="AZ656" t="str">
        <f>_xlfn.XLOOKUP(Table1[[#This Row],[WorkLifeBalance]],Table20[WorkLifeBalance],Table20[Deskripsi])</f>
        <v>Good</v>
      </c>
      <c r="BA656">
        <v>5</v>
      </c>
      <c r="BB656">
        <v>4</v>
      </c>
      <c r="BC656">
        <v>0</v>
      </c>
      <c r="BD656">
        <v>4</v>
      </c>
    </row>
    <row r="657" spans="1:56" x14ac:dyDescent="0.25">
      <c r="A657">
        <v>33</v>
      </c>
      <c r="B657" t="str">
        <f>_xlfn.XLOOKUP(Table1[[#This Row],[Attrition]],Table2[Attrition],Table2[Id_Attrition])</f>
        <v>A002</v>
      </c>
      <c r="C657" t="s">
        <v>33</v>
      </c>
      <c r="D657" t="str">
        <f>_xlfn.XLOOKUP(Table1[[#This Row],[BusinessTravel]],Table5[BusinessTravel],Table5[Id_BusinessTravel])</f>
        <v>BS001</v>
      </c>
      <c r="E657" t="s">
        <v>34</v>
      </c>
      <c r="F657">
        <v>1075</v>
      </c>
      <c r="G657" t="str">
        <f>_xlfn.XLOOKUP(Table1[[#This Row],[Department]],Table6[Department],Table6[Id_Departement])</f>
        <v>D003</v>
      </c>
      <c r="H657" t="s">
        <v>39</v>
      </c>
      <c r="I657">
        <v>3</v>
      </c>
      <c r="J657" t="str">
        <f>_xlfn.XLOOKUP(Table1[[#This Row],[Education]],Table8[Education],Table8[Id_Education])</f>
        <v>E002</v>
      </c>
      <c r="K657">
        <v>2</v>
      </c>
      <c r="L657" t="str">
        <f>_xlfn.XLOOKUP(Table1[[#This Row],[EducationField]],Table7[EducationField],Table7[Id_EducationField])</f>
        <v>EF006</v>
      </c>
      <c r="M657" t="s">
        <v>39</v>
      </c>
      <c r="N657" t="str">
        <f>_xlfn.XLOOKUP(Table1[[#This Row],[EmployeeNumber]],Table4[EmployeeNumber],Table4[Id_Employee])</f>
        <v>EMP00656</v>
      </c>
      <c r="O657">
        <v>910</v>
      </c>
      <c r="P657" t="str">
        <f>_xlfn.XLOOKUP(Table1[[#This Row],[EnvironmentSatisfaction]],Table9[EnvironmentSatisfaction],Table9[Id_EnviromentSatisfaction])</f>
        <v>ES004</v>
      </c>
      <c r="Q657">
        <v>4</v>
      </c>
      <c r="R657" t="str">
        <f>_xlfn.XLOOKUP(Table1[[#This Row],[EnvironmentSatisfaction]],Table9[EnvironmentSatisfaction],Table9[Deskripsi])</f>
        <v>Very High</v>
      </c>
      <c r="S657" t="str">
        <f>_xlfn.XLOOKUP(Table1[[#This Row],[Gender]],Table10[Gender],Table10[Id_Gender])</f>
        <v>G002</v>
      </c>
      <c r="T657" t="s">
        <v>46</v>
      </c>
      <c r="U657">
        <v>57</v>
      </c>
      <c r="V657" t="str">
        <f>_xlfn.XLOOKUP(Table1[[#This Row],[JobInvolvement]],Table11[JobInvolvement],Table11[Id_JobInvolvement])</f>
        <v>JI003</v>
      </c>
      <c r="W657">
        <v>3</v>
      </c>
      <c r="X657" t="str">
        <f>_xlfn.XLOOKUP(Table1[[#This Row],[JobLevel]],Table12[JobLevel],Table12[Id_JobLevel])</f>
        <v>JL001</v>
      </c>
      <c r="Y657">
        <v>1</v>
      </c>
      <c r="Z657" t="str">
        <f>_xlfn.XLOOKUP(Table1[[#This Row],[JobRole]],Table13[JobRole],Table13[Id_JobRole])</f>
        <v>JR009</v>
      </c>
      <c r="AA657" t="s">
        <v>39</v>
      </c>
      <c r="AB657" t="str">
        <f>_xlfn.XLOOKUP(Table1[[#This Row],[JobSatisfaction]],Table14[JobSatisfaction],Table14[Id_JobSatisfaction])</f>
        <v>JS002</v>
      </c>
      <c r="AC657">
        <v>2</v>
      </c>
      <c r="AD657" t="str">
        <f>_xlfn.XLOOKUP(Table1[[#This Row],[JobSatisfaction]],Table14[JobSatisfaction],Table14[Deskripsi])</f>
        <v>Medium</v>
      </c>
      <c r="AE657" t="str">
        <f>_xlfn.XLOOKUP(Table1[[#This Row],[MaritalStatus]],Table15[MaritalStatus],Table15[Id_MaritalStatus])</f>
        <v>MS003</v>
      </c>
      <c r="AF657" t="s">
        <v>57</v>
      </c>
      <c r="AG657">
        <v>2277</v>
      </c>
      <c r="AH657">
        <v>22650</v>
      </c>
      <c r="AI657">
        <v>3</v>
      </c>
      <c r="AJ657" t="str">
        <f>_xlfn.XLOOKUP(Table1[[#This Row],[OverTime]],Table16[OverTime],Table16[Id_OverTime])</f>
        <v>OT001</v>
      </c>
      <c r="AK657" t="s">
        <v>32</v>
      </c>
      <c r="AL657">
        <v>11</v>
      </c>
      <c r="AM657" t="str">
        <f>_xlfn.XLOOKUP(Table1[[#This Row],[PerformanceRating]],Table17[PerformanceRating],Table17[Id_PerformanceRating])</f>
        <v>PR003</v>
      </c>
      <c r="AN657">
        <v>3</v>
      </c>
      <c r="AO657" t="str">
        <f>_xlfn.XLOOKUP(Table1[[#This Row],[PerformanceRating]],Table17[PerformanceRating],Table17[Deskripsi])</f>
        <v>Excellent</v>
      </c>
      <c r="AP657" t="str">
        <f>_xlfn.XLOOKUP(Table1[[#This Row],[RelationshipSatisfaction]],Table18[RelationshipSatisfaction],Table18[Id_RelationshipSatisfaction])</f>
        <v>RS003</v>
      </c>
      <c r="AQ657">
        <v>3</v>
      </c>
      <c r="AR657" t="str">
        <f>_xlfn.XLOOKUP(Table1[[#This Row],[RelationshipSatisfaction]],Table18[RelationshipSatisfaction],Table18[Deskripsi])</f>
        <v>High</v>
      </c>
      <c r="AS657" t="str">
        <f>_xlfn.XLOOKUP(Table1[[#This Row],[StockOptionLevel]],Table19[StockOptionLevel],Table19[Id_StockOptionLevel])</f>
        <v>SOL002</v>
      </c>
      <c r="AT657">
        <v>1</v>
      </c>
      <c r="AU657" t="str">
        <f>_xlfn.XLOOKUP(Table1[[#This Row],[StockOptionLevel]],Table19[StockOptionLevel],Table19[Deskripsi])</f>
        <v>Standard</v>
      </c>
      <c r="AV657">
        <v>7</v>
      </c>
      <c r="AW657">
        <v>4</v>
      </c>
      <c r="AX657" t="str">
        <f>_xlfn.XLOOKUP(Table1[[#This Row],[WorkLifeBalance]],Table20[WorkLifeBalance],Table20[Id_WorkLifeBalance])</f>
        <v>WLB004</v>
      </c>
      <c r="AY657">
        <v>4</v>
      </c>
      <c r="AZ657" t="str">
        <f>_xlfn.XLOOKUP(Table1[[#This Row],[WorkLifeBalance]],Table20[WorkLifeBalance],Table20[Deskripsi])</f>
        <v>Best</v>
      </c>
      <c r="BA657">
        <v>4</v>
      </c>
      <c r="BB657">
        <v>3</v>
      </c>
      <c r="BC657">
        <v>0</v>
      </c>
      <c r="BD657">
        <v>3</v>
      </c>
    </row>
    <row r="658" spans="1:56" x14ac:dyDescent="0.25">
      <c r="A658">
        <v>32</v>
      </c>
      <c r="B658" t="str">
        <f>_xlfn.XLOOKUP(Table1[[#This Row],[Attrition]],Table2[Attrition],Table2[Id_Attrition])</f>
        <v>A001</v>
      </c>
      <c r="C658" t="s">
        <v>32</v>
      </c>
      <c r="D658" t="str">
        <f>_xlfn.XLOOKUP(Table1[[#This Row],[BusinessTravel]],Table5[BusinessTravel],Table5[Id_BusinessTravel])</f>
        <v>BS001</v>
      </c>
      <c r="E658" t="s">
        <v>34</v>
      </c>
      <c r="F658">
        <v>374</v>
      </c>
      <c r="G658" t="str">
        <f>_xlfn.XLOOKUP(Table1[[#This Row],[Department]],Table6[Department],Table6[Id_Departement])</f>
        <v>D002</v>
      </c>
      <c r="H658" t="s">
        <v>38</v>
      </c>
      <c r="I658">
        <v>25</v>
      </c>
      <c r="J658" t="str">
        <f>_xlfn.XLOOKUP(Table1[[#This Row],[Education]],Table8[Education],Table8[Id_Education])</f>
        <v>E004</v>
      </c>
      <c r="K658">
        <v>4</v>
      </c>
      <c r="L658" t="str">
        <f>_xlfn.XLOOKUP(Table1[[#This Row],[EducationField]],Table7[EducationField],Table7[Id_EducationField])</f>
        <v>EF001</v>
      </c>
      <c r="M658" t="s">
        <v>40</v>
      </c>
      <c r="N658" t="str">
        <f>_xlfn.XLOOKUP(Table1[[#This Row],[EmployeeNumber]],Table4[EmployeeNumber],Table4[Id_Employee])</f>
        <v>EMP00657</v>
      </c>
      <c r="O658">
        <v>911</v>
      </c>
      <c r="P658" t="str">
        <f>_xlfn.XLOOKUP(Table1[[#This Row],[EnvironmentSatisfaction]],Table9[EnvironmentSatisfaction],Table9[Id_EnviromentSatisfaction])</f>
        <v>ES001</v>
      </c>
      <c r="Q658">
        <v>1</v>
      </c>
      <c r="R658" t="str">
        <f>_xlfn.XLOOKUP(Table1[[#This Row],[EnvironmentSatisfaction]],Table9[EnvironmentSatisfaction],Table9[Deskripsi])</f>
        <v>Low</v>
      </c>
      <c r="S658" t="str">
        <f>_xlfn.XLOOKUP(Table1[[#This Row],[Gender]],Table10[Gender],Table10[Id_Gender])</f>
        <v>G002</v>
      </c>
      <c r="T658" t="s">
        <v>46</v>
      </c>
      <c r="U658">
        <v>87</v>
      </c>
      <c r="V658" t="str">
        <f>_xlfn.XLOOKUP(Table1[[#This Row],[JobInvolvement]],Table11[JobInvolvement],Table11[Id_JobInvolvement])</f>
        <v>JI003</v>
      </c>
      <c r="W658">
        <v>3</v>
      </c>
      <c r="X658" t="str">
        <f>_xlfn.XLOOKUP(Table1[[#This Row],[JobLevel]],Table12[JobLevel],Table12[Id_JobLevel])</f>
        <v>JL001</v>
      </c>
      <c r="Y658">
        <v>1</v>
      </c>
      <c r="Z658" t="str">
        <f>_xlfn.XLOOKUP(Table1[[#This Row],[JobRole]],Table13[JobRole],Table13[Id_JobRole])</f>
        <v>JR003</v>
      </c>
      <c r="AA658" t="s">
        <v>49</v>
      </c>
      <c r="AB658" t="str">
        <f>_xlfn.XLOOKUP(Table1[[#This Row],[JobSatisfaction]],Table14[JobSatisfaction],Table14[Id_JobSatisfaction])</f>
        <v>JS004</v>
      </c>
      <c r="AC658">
        <v>4</v>
      </c>
      <c r="AD658" t="str">
        <f>_xlfn.XLOOKUP(Table1[[#This Row],[JobSatisfaction]],Table14[JobSatisfaction],Table14[Deskripsi])</f>
        <v>Very High</v>
      </c>
      <c r="AE658" t="str">
        <f>_xlfn.XLOOKUP(Table1[[#This Row],[MaritalStatus]],Table15[MaritalStatus],Table15[Id_MaritalStatus])</f>
        <v>MS001</v>
      </c>
      <c r="AF658" t="s">
        <v>55</v>
      </c>
      <c r="AG658">
        <v>2795</v>
      </c>
      <c r="AH658">
        <v>18016</v>
      </c>
      <c r="AI658">
        <v>1</v>
      </c>
      <c r="AJ658" t="str">
        <f>_xlfn.XLOOKUP(Table1[[#This Row],[OverTime]],Table16[OverTime],Table16[Id_OverTime])</f>
        <v>OT001</v>
      </c>
      <c r="AK658" t="s">
        <v>32</v>
      </c>
      <c r="AL658">
        <v>24</v>
      </c>
      <c r="AM658" t="str">
        <f>_xlfn.XLOOKUP(Table1[[#This Row],[PerformanceRating]],Table17[PerformanceRating],Table17[Id_PerformanceRating])</f>
        <v>PR004</v>
      </c>
      <c r="AN658">
        <v>4</v>
      </c>
      <c r="AO658" t="str">
        <f>_xlfn.XLOOKUP(Table1[[#This Row],[PerformanceRating]],Table17[PerformanceRating],Table17[Deskripsi])</f>
        <v>Outstanding</v>
      </c>
      <c r="AP658" t="str">
        <f>_xlfn.XLOOKUP(Table1[[#This Row],[RelationshipSatisfaction]],Table18[RelationshipSatisfaction],Table18[Id_RelationshipSatisfaction])</f>
        <v>RS003</v>
      </c>
      <c r="AQ658">
        <v>3</v>
      </c>
      <c r="AR658" t="str">
        <f>_xlfn.XLOOKUP(Table1[[#This Row],[RelationshipSatisfaction]],Table18[RelationshipSatisfaction],Table18[Deskripsi])</f>
        <v>High</v>
      </c>
      <c r="AS658" t="str">
        <f>_xlfn.XLOOKUP(Table1[[#This Row],[StockOptionLevel]],Table19[StockOptionLevel],Table19[Id_StockOptionLevel])</f>
        <v>SOL001</v>
      </c>
      <c r="AT658">
        <v>0</v>
      </c>
      <c r="AU658" t="str">
        <f>_xlfn.XLOOKUP(Table1[[#This Row],[StockOptionLevel]],Table19[StockOptionLevel],Table19[Deskripsi])</f>
        <v>Non-Eligible</v>
      </c>
      <c r="AV658">
        <v>1</v>
      </c>
      <c r="AW658">
        <v>2</v>
      </c>
      <c r="AX658" t="str">
        <f>_xlfn.XLOOKUP(Table1[[#This Row],[WorkLifeBalance]],Table20[WorkLifeBalance],Table20[Id_WorkLifeBalance])</f>
        <v>WLB001</v>
      </c>
      <c r="AY658">
        <v>1</v>
      </c>
      <c r="AZ658" t="str">
        <f>_xlfn.XLOOKUP(Table1[[#This Row],[WorkLifeBalance]],Table20[WorkLifeBalance],Table20[Deskripsi])</f>
        <v>Bad</v>
      </c>
      <c r="BA658">
        <v>1</v>
      </c>
      <c r="BB658">
        <v>0</v>
      </c>
      <c r="BC658">
        <v>0</v>
      </c>
      <c r="BD658">
        <v>1</v>
      </c>
    </row>
    <row r="659" spans="1:56" x14ac:dyDescent="0.25">
      <c r="A659">
        <v>29</v>
      </c>
      <c r="B659" t="str">
        <f>_xlfn.XLOOKUP(Table1[[#This Row],[Attrition]],Table2[Attrition],Table2[Id_Attrition])</f>
        <v>A002</v>
      </c>
      <c r="C659" t="s">
        <v>33</v>
      </c>
      <c r="D659" t="str">
        <f>_xlfn.XLOOKUP(Table1[[#This Row],[BusinessTravel]],Table5[BusinessTravel],Table5[Id_BusinessTravel])</f>
        <v>BS001</v>
      </c>
      <c r="E659" t="s">
        <v>34</v>
      </c>
      <c r="F659">
        <v>1086</v>
      </c>
      <c r="G659" t="str">
        <f>_xlfn.XLOOKUP(Table1[[#This Row],[Department]],Table6[Department],Table6[Id_Departement])</f>
        <v>D002</v>
      </c>
      <c r="H659" t="s">
        <v>38</v>
      </c>
      <c r="I659">
        <v>7</v>
      </c>
      <c r="J659" t="str">
        <f>_xlfn.XLOOKUP(Table1[[#This Row],[Education]],Table8[Education],Table8[Id_Education])</f>
        <v>E001</v>
      </c>
      <c r="K659">
        <v>1</v>
      </c>
      <c r="L659" t="str">
        <f>_xlfn.XLOOKUP(Table1[[#This Row],[EducationField]],Table7[EducationField],Table7[Id_EducationField])</f>
        <v>EF003</v>
      </c>
      <c r="M659" t="s">
        <v>42</v>
      </c>
      <c r="N659" t="str">
        <f>_xlfn.XLOOKUP(Table1[[#This Row],[EmployeeNumber]],Table4[EmployeeNumber],Table4[Id_Employee])</f>
        <v>EMP00658</v>
      </c>
      <c r="O659">
        <v>912</v>
      </c>
      <c r="P659" t="str">
        <f>_xlfn.XLOOKUP(Table1[[#This Row],[EnvironmentSatisfaction]],Table9[EnvironmentSatisfaction],Table9[Id_EnviromentSatisfaction])</f>
        <v>ES001</v>
      </c>
      <c r="Q659">
        <v>1</v>
      </c>
      <c r="R659" t="str">
        <f>_xlfn.XLOOKUP(Table1[[#This Row],[EnvironmentSatisfaction]],Table9[EnvironmentSatisfaction],Table9[Deskripsi])</f>
        <v>Low</v>
      </c>
      <c r="S659" t="str">
        <f>_xlfn.XLOOKUP(Table1[[#This Row],[Gender]],Table10[Gender],Table10[Id_Gender])</f>
        <v>G001</v>
      </c>
      <c r="T659" t="s">
        <v>45</v>
      </c>
      <c r="U659">
        <v>62</v>
      </c>
      <c r="V659" t="str">
        <f>_xlfn.XLOOKUP(Table1[[#This Row],[JobInvolvement]],Table11[JobInvolvement],Table11[Id_JobInvolvement])</f>
        <v>JI002</v>
      </c>
      <c r="W659">
        <v>2</v>
      </c>
      <c r="X659" t="str">
        <f>_xlfn.XLOOKUP(Table1[[#This Row],[JobLevel]],Table12[JobLevel],Table12[Id_JobLevel])</f>
        <v>JL001</v>
      </c>
      <c r="Y659">
        <v>1</v>
      </c>
      <c r="Z659" t="str">
        <f>_xlfn.XLOOKUP(Table1[[#This Row],[JobRole]],Table13[JobRole],Table13[Id_JobRole])</f>
        <v>JR003</v>
      </c>
      <c r="AA659" t="s">
        <v>49</v>
      </c>
      <c r="AB659" t="str">
        <f>_xlfn.XLOOKUP(Table1[[#This Row],[JobSatisfaction]],Table14[JobSatisfaction],Table14[Id_JobSatisfaction])</f>
        <v>JS004</v>
      </c>
      <c r="AC659">
        <v>4</v>
      </c>
      <c r="AD659" t="str">
        <f>_xlfn.XLOOKUP(Table1[[#This Row],[JobSatisfaction]],Table14[JobSatisfaction],Table14[Deskripsi])</f>
        <v>Very High</v>
      </c>
      <c r="AE659" t="str">
        <f>_xlfn.XLOOKUP(Table1[[#This Row],[MaritalStatus]],Table15[MaritalStatus],Table15[Id_MaritalStatus])</f>
        <v>MS003</v>
      </c>
      <c r="AF659" t="s">
        <v>57</v>
      </c>
      <c r="AG659">
        <v>2532</v>
      </c>
      <c r="AH659">
        <v>6054</v>
      </c>
      <c r="AI659">
        <v>6</v>
      </c>
      <c r="AJ659" t="str">
        <f>_xlfn.XLOOKUP(Table1[[#This Row],[OverTime]],Table16[OverTime],Table16[Id_OverTime])</f>
        <v>OT002</v>
      </c>
      <c r="AK659" t="s">
        <v>33</v>
      </c>
      <c r="AL659">
        <v>14</v>
      </c>
      <c r="AM659" t="str">
        <f>_xlfn.XLOOKUP(Table1[[#This Row],[PerformanceRating]],Table17[PerformanceRating],Table17[Id_PerformanceRating])</f>
        <v>PR003</v>
      </c>
      <c r="AN659">
        <v>3</v>
      </c>
      <c r="AO659" t="str">
        <f>_xlfn.XLOOKUP(Table1[[#This Row],[PerformanceRating]],Table17[PerformanceRating],Table17[Deskripsi])</f>
        <v>Excellent</v>
      </c>
      <c r="AP659" t="str">
        <f>_xlfn.XLOOKUP(Table1[[#This Row],[RelationshipSatisfaction]],Table18[RelationshipSatisfaction],Table18[Id_RelationshipSatisfaction])</f>
        <v>RS003</v>
      </c>
      <c r="AQ659">
        <v>3</v>
      </c>
      <c r="AR659" t="str">
        <f>_xlfn.XLOOKUP(Table1[[#This Row],[RelationshipSatisfaction]],Table18[RelationshipSatisfaction],Table18[Deskripsi])</f>
        <v>High</v>
      </c>
      <c r="AS659" t="str">
        <f>_xlfn.XLOOKUP(Table1[[#This Row],[StockOptionLevel]],Table19[StockOptionLevel],Table19[Id_StockOptionLevel])</f>
        <v>SOL004</v>
      </c>
      <c r="AT659">
        <v>3</v>
      </c>
      <c r="AU659" t="str">
        <f>_xlfn.XLOOKUP(Table1[[#This Row],[StockOptionLevel]],Table19[StockOptionLevel],Table19[Deskripsi])</f>
        <v>Senior/Executive</v>
      </c>
      <c r="AV659">
        <v>8</v>
      </c>
      <c r="AW659">
        <v>5</v>
      </c>
      <c r="AX659" t="str">
        <f>_xlfn.XLOOKUP(Table1[[#This Row],[WorkLifeBalance]],Table20[WorkLifeBalance],Table20[Id_WorkLifeBalance])</f>
        <v>WLB002</v>
      </c>
      <c r="AY659">
        <v>3</v>
      </c>
      <c r="AZ659" t="str">
        <f>_xlfn.XLOOKUP(Table1[[#This Row],[WorkLifeBalance]],Table20[WorkLifeBalance],Table20[Deskripsi])</f>
        <v>Good</v>
      </c>
      <c r="BA659">
        <v>4</v>
      </c>
      <c r="BB659">
        <v>3</v>
      </c>
      <c r="BC659">
        <v>0</v>
      </c>
      <c r="BD659">
        <v>3</v>
      </c>
    </row>
    <row r="660" spans="1:56" x14ac:dyDescent="0.25">
      <c r="A660">
        <v>44</v>
      </c>
      <c r="B660" t="str">
        <f>_xlfn.XLOOKUP(Table1[[#This Row],[Attrition]],Table2[Attrition],Table2[Id_Attrition])</f>
        <v>A002</v>
      </c>
      <c r="C660" t="s">
        <v>33</v>
      </c>
      <c r="D660" t="str">
        <f>_xlfn.XLOOKUP(Table1[[#This Row],[BusinessTravel]],Table5[BusinessTravel],Table5[Id_BusinessTravel])</f>
        <v>BS001</v>
      </c>
      <c r="E660" t="s">
        <v>34</v>
      </c>
      <c r="F660">
        <v>661</v>
      </c>
      <c r="G660" t="str">
        <f>_xlfn.XLOOKUP(Table1[[#This Row],[Department]],Table6[Department],Table6[Id_Departement])</f>
        <v>D002</v>
      </c>
      <c r="H660" t="s">
        <v>38</v>
      </c>
      <c r="I660">
        <v>9</v>
      </c>
      <c r="J660" t="str">
        <f>_xlfn.XLOOKUP(Table1[[#This Row],[Education]],Table8[Education],Table8[Id_Education])</f>
        <v>E002</v>
      </c>
      <c r="K660">
        <v>2</v>
      </c>
      <c r="L660" t="str">
        <f>_xlfn.XLOOKUP(Table1[[#This Row],[EducationField]],Table7[EducationField],Table7[Id_EducationField])</f>
        <v>EF001</v>
      </c>
      <c r="M660" t="s">
        <v>40</v>
      </c>
      <c r="N660" t="str">
        <f>_xlfn.XLOOKUP(Table1[[#This Row],[EmployeeNumber]],Table4[EmployeeNumber],Table4[Id_Employee])</f>
        <v>EMP00659</v>
      </c>
      <c r="O660">
        <v>913</v>
      </c>
      <c r="P660" t="str">
        <f>_xlfn.XLOOKUP(Table1[[#This Row],[EnvironmentSatisfaction]],Table9[EnvironmentSatisfaction],Table9[Id_EnviromentSatisfaction])</f>
        <v>ES002</v>
      </c>
      <c r="Q660">
        <v>2</v>
      </c>
      <c r="R660" t="str">
        <f>_xlfn.XLOOKUP(Table1[[#This Row],[EnvironmentSatisfaction]],Table9[EnvironmentSatisfaction],Table9[Deskripsi])</f>
        <v>Medium</v>
      </c>
      <c r="S660" t="str">
        <f>_xlfn.XLOOKUP(Table1[[#This Row],[Gender]],Table10[Gender],Table10[Id_Gender])</f>
        <v>G002</v>
      </c>
      <c r="T660" t="s">
        <v>46</v>
      </c>
      <c r="U660">
        <v>61</v>
      </c>
      <c r="V660" t="str">
        <f>_xlfn.XLOOKUP(Table1[[#This Row],[JobInvolvement]],Table11[JobInvolvement],Table11[Id_JobInvolvement])</f>
        <v>JI003</v>
      </c>
      <c r="W660">
        <v>3</v>
      </c>
      <c r="X660" t="str">
        <f>_xlfn.XLOOKUP(Table1[[#This Row],[JobLevel]],Table12[JobLevel],Table12[Id_JobLevel])</f>
        <v>JL001</v>
      </c>
      <c r="Y660">
        <v>1</v>
      </c>
      <c r="Z660" t="str">
        <f>_xlfn.XLOOKUP(Table1[[#This Row],[JobRole]],Table13[JobRole],Table13[Id_JobRole])</f>
        <v>JR002</v>
      </c>
      <c r="AA660" t="s">
        <v>48</v>
      </c>
      <c r="AB660" t="str">
        <f>_xlfn.XLOOKUP(Table1[[#This Row],[JobSatisfaction]],Table14[JobSatisfaction],Table14[Id_JobSatisfaction])</f>
        <v>JS001</v>
      </c>
      <c r="AC660">
        <v>1</v>
      </c>
      <c r="AD660" t="str">
        <f>_xlfn.XLOOKUP(Table1[[#This Row],[JobSatisfaction]],Table14[JobSatisfaction],Table14[Deskripsi])</f>
        <v>Low</v>
      </c>
      <c r="AE660" t="str">
        <f>_xlfn.XLOOKUP(Table1[[#This Row],[MaritalStatus]],Table15[MaritalStatus],Table15[Id_MaritalStatus])</f>
        <v>MS002</v>
      </c>
      <c r="AF660" t="s">
        <v>56</v>
      </c>
      <c r="AG660">
        <v>2559</v>
      </c>
      <c r="AH660">
        <v>7508</v>
      </c>
      <c r="AI660">
        <v>1</v>
      </c>
      <c r="AJ660" t="str">
        <f>_xlfn.XLOOKUP(Table1[[#This Row],[OverTime]],Table16[OverTime],Table16[Id_OverTime])</f>
        <v>OT001</v>
      </c>
      <c r="AK660" t="s">
        <v>32</v>
      </c>
      <c r="AL660">
        <v>13</v>
      </c>
      <c r="AM660" t="str">
        <f>_xlfn.XLOOKUP(Table1[[#This Row],[PerformanceRating]],Table17[PerformanceRating],Table17[Id_PerformanceRating])</f>
        <v>PR003</v>
      </c>
      <c r="AN660">
        <v>3</v>
      </c>
      <c r="AO660" t="str">
        <f>_xlfn.XLOOKUP(Table1[[#This Row],[PerformanceRating]],Table17[PerformanceRating],Table17[Deskripsi])</f>
        <v>Excellent</v>
      </c>
      <c r="AP660" t="str">
        <f>_xlfn.XLOOKUP(Table1[[#This Row],[RelationshipSatisfaction]],Table18[RelationshipSatisfaction],Table18[Id_RelationshipSatisfaction])</f>
        <v>RS004</v>
      </c>
      <c r="AQ660">
        <v>4</v>
      </c>
      <c r="AR660" t="str">
        <f>_xlfn.XLOOKUP(Table1[[#This Row],[RelationshipSatisfaction]],Table18[RelationshipSatisfaction],Table18[Deskripsi])</f>
        <v>Very High</v>
      </c>
      <c r="AS660" t="str">
        <f>_xlfn.XLOOKUP(Table1[[#This Row],[StockOptionLevel]],Table19[StockOptionLevel],Table19[Id_StockOptionLevel])</f>
        <v>SOL001</v>
      </c>
      <c r="AT660">
        <v>0</v>
      </c>
      <c r="AU660" t="str">
        <f>_xlfn.XLOOKUP(Table1[[#This Row],[StockOptionLevel]],Table19[StockOptionLevel],Table19[Deskripsi])</f>
        <v>Non-Eligible</v>
      </c>
      <c r="AV660">
        <v>8</v>
      </c>
      <c r="AW660">
        <v>0</v>
      </c>
      <c r="AX660" t="str">
        <f>_xlfn.XLOOKUP(Table1[[#This Row],[WorkLifeBalance]],Table20[WorkLifeBalance],Table20[Id_WorkLifeBalance])</f>
        <v>WLB002</v>
      </c>
      <c r="AY660">
        <v>3</v>
      </c>
      <c r="AZ660" t="str">
        <f>_xlfn.XLOOKUP(Table1[[#This Row],[WorkLifeBalance]],Table20[WorkLifeBalance],Table20[Deskripsi])</f>
        <v>Good</v>
      </c>
      <c r="BA660">
        <v>8</v>
      </c>
      <c r="BB660">
        <v>7</v>
      </c>
      <c r="BC660">
        <v>7</v>
      </c>
      <c r="BD660">
        <v>1</v>
      </c>
    </row>
    <row r="661" spans="1:56" x14ac:dyDescent="0.25">
      <c r="A661">
        <v>28</v>
      </c>
      <c r="B661" t="str">
        <f>_xlfn.XLOOKUP(Table1[[#This Row],[Attrition]],Table2[Attrition],Table2[Id_Attrition])</f>
        <v>A002</v>
      </c>
      <c r="C661" t="s">
        <v>33</v>
      </c>
      <c r="D661" t="str">
        <f>_xlfn.XLOOKUP(Table1[[#This Row],[BusinessTravel]],Table5[BusinessTravel],Table5[Id_BusinessTravel])</f>
        <v>BS001</v>
      </c>
      <c r="E661" t="s">
        <v>34</v>
      </c>
      <c r="F661">
        <v>821</v>
      </c>
      <c r="G661" t="str">
        <f>_xlfn.XLOOKUP(Table1[[#This Row],[Department]],Table6[Department],Table6[Id_Departement])</f>
        <v>D001</v>
      </c>
      <c r="H661" t="s">
        <v>37</v>
      </c>
      <c r="I661">
        <v>5</v>
      </c>
      <c r="J661" t="str">
        <f>_xlfn.XLOOKUP(Table1[[#This Row],[Education]],Table8[Education],Table8[Id_Education])</f>
        <v>E004</v>
      </c>
      <c r="K661">
        <v>4</v>
      </c>
      <c r="L661" t="str">
        <f>_xlfn.XLOOKUP(Table1[[#This Row],[EducationField]],Table7[EducationField],Table7[Id_EducationField])</f>
        <v>EF003</v>
      </c>
      <c r="M661" t="s">
        <v>42</v>
      </c>
      <c r="N661" t="str">
        <f>_xlfn.XLOOKUP(Table1[[#This Row],[EmployeeNumber]],Table4[EmployeeNumber],Table4[Id_Employee])</f>
        <v>EMP00660</v>
      </c>
      <c r="O661">
        <v>916</v>
      </c>
      <c r="P661" t="str">
        <f>_xlfn.XLOOKUP(Table1[[#This Row],[EnvironmentSatisfaction]],Table9[EnvironmentSatisfaction],Table9[Id_EnviromentSatisfaction])</f>
        <v>ES001</v>
      </c>
      <c r="Q661">
        <v>1</v>
      </c>
      <c r="R661" t="str">
        <f>_xlfn.XLOOKUP(Table1[[#This Row],[EnvironmentSatisfaction]],Table9[EnvironmentSatisfaction],Table9[Deskripsi])</f>
        <v>Low</v>
      </c>
      <c r="S661" t="str">
        <f>_xlfn.XLOOKUP(Table1[[#This Row],[Gender]],Table10[Gender],Table10[Id_Gender])</f>
        <v>G002</v>
      </c>
      <c r="T661" t="s">
        <v>46</v>
      </c>
      <c r="U661">
        <v>98</v>
      </c>
      <c r="V661" t="str">
        <f>_xlfn.XLOOKUP(Table1[[#This Row],[JobInvolvement]],Table11[JobInvolvement],Table11[Id_JobInvolvement])</f>
        <v>JI003</v>
      </c>
      <c r="W661">
        <v>3</v>
      </c>
      <c r="X661" t="str">
        <f>_xlfn.XLOOKUP(Table1[[#This Row],[JobLevel]],Table12[JobLevel],Table12[Id_JobLevel])</f>
        <v>JL002</v>
      </c>
      <c r="Y661">
        <v>2</v>
      </c>
      <c r="Z661" t="str">
        <f>_xlfn.XLOOKUP(Table1[[#This Row],[JobRole]],Table13[JobRole],Table13[Id_JobRole])</f>
        <v>JR001</v>
      </c>
      <c r="AA661" t="s">
        <v>47</v>
      </c>
      <c r="AB661" t="str">
        <f>_xlfn.XLOOKUP(Table1[[#This Row],[JobSatisfaction]],Table14[JobSatisfaction],Table14[Id_JobSatisfaction])</f>
        <v>JS004</v>
      </c>
      <c r="AC661">
        <v>4</v>
      </c>
      <c r="AD661" t="str">
        <f>_xlfn.XLOOKUP(Table1[[#This Row],[JobSatisfaction]],Table14[JobSatisfaction],Table14[Deskripsi])</f>
        <v>Very High</v>
      </c>
      <c r="AE661" t="str">
        <f>_xlfn.XLOOKUP(Table1[[#This Row],[MaritalStatus]],Table15[MaritalStatus],Table15[Id_MaritalStatus])</f>
        <v>MS001</v>
      </c>
      <c r="AF661" t="s">
        <v>55</v>
      </c>
      <c r="AG661">
        <v>4908</v>
      </c>
      <c r="AH661">
        <v>24252</v>
      </c>
      <c r="AI661">
        <v>1</v>
      </c>
      <c r="AJ661" t="str">
        <f>_xlfn.XLOOKUP(Table1[[#This Row],[OverTime]],Table16[OverTime],Table16[Id_OverTime])</f>
        <v>OT002</v>
      </c>
      <c r="AK661" t="s">
        <v>33</v>
      </c>
      <c r="AL661">
        <v>14</v>
      </c>
      <c r="AM661" t="str">
        <f>_xlfn.XLOOKUP(Table1[[#This Row],[PerformanceRating]],Table17[PerformanceRating],Table17[Id_PerformanceRating])</f>
        <v>PR003</v>
      </c>
      <c r="AN661">
        <v>3</v>
      </c>
      <c r="AO661" t="str">
        <f>_xlfn.XLOOKUP(Table1[[#This Row],[PerformanceRating]],Table17[PerformanceRating],Table17[Deskripsi])</f>
        <v>Excellent</v>
      </c>
      <c r="AP661" t="str">
        <f>_xlfn.XLOOKUP(Table1[[#This Row],[RelationshipSatisfaction]],Table18[RelationshipSatisfaction],Table18[Id_RelationshipSatisfaction])</f>
        <v>RS002</v>
      </c>
      <c r="AQ661">
        <v>2</v>
      </c>
      <c r="AR661" t="str">
        <f>_xlfn.XLOOKUP(Table1[[#This Row],[RelationshipSatisfaction]],Table18[RelationshipSatisfaction],Table18[Deskripsi])</f>
        <v>Medium</v>
      </c>
      <c r="AS661" t="str">
        <f>_xlfn.XLOOKUP(Table1[[#This Row],[StockOptionLevel]],Table19[StockOptionLevel],Table19[Id_StockOptionLevel])</f>
        <v>SOL001</v>
      </c>
      <c r="AT661">
        <v>0</v>
      </c>
      <c r="AU661" t="str">
        <f>_xlfn.XLOOKUP(Table1[[#This Row],[StockOptionLevel]],Table19[StockOptionLevel],Table19[Deskripsi])</f>
        <v>Non-Eligible</v>
      </c>
      <c r="AV661">
        <v>4</v>
      </c>
      <c r="AW661">
        <v>3</v>
      </c>
      <c r="AX661" t="str">
        <f>_xlfn.XLOOKUP(Table1[[#This Row],[WorkLifeBalance]],Table20[WorkLifeBalance],Table20[Id_WorkLifeBalance])</f>
        <v>WLB002</v>
      </c>
      <c r="AY661">
        <v>3</v>
      </c>
      <c r="AZ661" t="str">
        <f>_xlfn.XLOOKUP(Table1[[#This Row],[WorkLifeBalance]],Table20[WorkLifeBalance],Table20[Deskripsi])</f>
        <v>Good</v>
      </c>
      <c r="BA661">
        <v>4</v>
      </c>
      <c r="BB661">
        <v>2</v>
      </c>
      <c r="BC661">
        <v>0</v>
      </c>
      <c r="BD661">
        <v>2</v>
      </c>
    </row>
    <row r="662" spans="1:56" x14ac:dyDescent="0.25">
      <c r="A662">
        <v>58</v>
      </c>
      <c r="B662" t="str">
        <f>_xlfn.XLOOKUP(Table1[[#This Row],[Attrition]],Table2[Attrition],Table2[Id_Attrition])</f>
        <v>A001</v>
      </c>
      <c r="C662" t="s">
        <v>32</v>
      </c>
      <c r="D662" t="str">
        <f>_xlfn.XLOOKUP(Table1[[#This Row],[BusinessTravel]],Table5[BusinessTravel],Table5[Id_BusinessTravel])</f>
        <v>BS002</v>
      </c>
      <c r="E662" t="s">
        <v>35</v>
      </c>
      <c r="F662">
        <v>781</v>
      </c>
      <c r="G662" t="str">
        <f>_xlfn.XLOOKUP(Table1[[#This Row],[Department]],Table6[Department],Table6[Id_Departement])</f>
        <v>D002</v>
      </c>
      <c r="H662" t="s">
        <v>38</v>
      </c>
      <c r="I662">
        <v>2</v>
      </c>
      <c r="J662" t="str">
        <f>_xlfn.XLOOKUP(Table1[[#This Row],[Education]],Table8[Education],Table8[Id_Education])</f>
        <v>E001</v>
      </c>
      <c r="K662">
        <v>1</v>
      </c>
      <c r="L662" t="str">
        <f>_xlfn.XLOOKUP(Table1[[#This Row],[EducationField]],Table7[EducationField],Table7[Id_EducationField])</f>
        <v>EF001</v>
      </c>
      <c r="M662" t="s">
        <v>40</v>
      </c>
      <c r="N662" t="str">
        <f>_xlfn.XLOOKUP(Table1[[#This Row],[EmployeeNumber]],Table4[EmployeeNumber],Table4[Id_Employee])</f>
        <v>EMP00661</v>
      </c>
      <c r="O662">
        <v>918</v>
      </c>
      <c r="P662" t="str">
        <f>_xlfn.XLOOKUP(Table1[[#This Row],[EnvironmentSatisfaction]],Table9[EnvironmentSatisfaction],Table9[Id_EnviromentSatisfaction])</f>
        <v>ES004</v>
      </c>
      <c r="Q662">
        <v>4</v>
      </c>
      <c r="R662" t="str">
        <f>_xlfn.XLOOKUP(Table1[[#This Row],[EnvironmentSatisfaction]],Table9[EnvironmentSatisfaction],Table9[Deskripsi])</f>
        <v>Very High</v>
      </c>
      <c r="S662" t="str">
        <f>_xlfn.XLOOKUP(Table1[[#This Row],[Gender]],Table10[Gender],Table10[Id_Gender])</f>
        <v>G002</v>
      </c>
      <c r="T662" t="s">
        <v>46</v>
      </c>
      <c r="U662">
        <v>57</v>
      </c>
      <c r="V662" t="str">
        <f>_xlfn.XLOOKUP(Table1[[#This Row],[JobInvolvement]],Table11[JobInvolvement],Table11[Id_JobInvolvement])</f>
        <v>JI002</v>
      </c>
      <c r="W662">
        <v>2</v>
      </c>
      <c r="X662" t="str">
        <f>_xlfn.XLOOKUP(Table1[[#This Row],[JobLevel]],Table12[JobLevel],Table12[Id_JobLevel])</f>
        <v>JL001</v>
      </c>
      <c r="Y662">
        <v>1</v>
      </c>
      <c r="Z662" t="str">
        <f>_xlfn.XLOOKUP(Table1[[#This Row],[JobRole]],Table13[JobRole],Table13[Id_JobRole])</f>
        <v>JR003</v>
      </c>
      <c r="AA662" t="s">
        <v>49</v>
      </c>
      <c r="AB662" t="str">
        <f>_xlfn.XLOOKUP(Table1[[#This Row],[JobSatisfaction]],Table14[JobSatisfaction],Table14[Id_JobSatisfaction])</f>
        <v>JS004</v>
      </c>
      <c r="AC662">
        <v>4</v>
      </c>
      <c r="AD662" t="str">
        <f>_xlfn.XLOOKUP(Table1[[#This Row],[JobSatisfaction]],Table14[JobSatisfaction],Table14[Deskripsi])</f>
        <v>Very High</v>
      </c>
      <c r="AE662" t="str">
        <f>_xlfn.XLOOKUP(Table1[[#This Row],[MaritalStatus]],Table15[MaritalStatus],Table15[Id_MaritalStatus])</f>
        <v>MS003</v>
      </c>
      <c r="AF662" t="s">
        <v>57</v>
      </c>
      <c r="AG662">
        <v>2380</v>
      </c>
      <c r="AH662">
        <v>13384</v>
      </c>
      <c r="AI662">
        <v>9</v>
      </c>
      <c r="AJ662" t="str">
        <f>_xlfn.XLOOKUP(Table1[[#This Row],[OverTime]],Table16[OverTime],Table16[Id_OverTime])</f>
        <v>OT001</v>
      </c>
      <c r="AK662" t="s">
        <v>32</v>
      </c>
      <c r="AL662">
        <v>14</v>
      </c>
      <c r="AM662" t="str">
        <f>_xlfn.XLOOKUP(Table1[[#This Row],[PerformanceRating]],Table17[PerformanceRating],Table17[Id_PerformanceRating])</f>
        <v>PR003</v>
      </c>
      <c r="AN662">
        <v>3</v>
      </c>
      <c r="AO662" t="str">
        <f>_xlfn.XLOOKUP(Table1[[#This Row],[PerformanceRating]],Table17[PerformanceRating],Table17[Deskripsi])</f>
        <v>Excellent</v>
      </c>
      <c r="AP662" t="str">
        <f>_xlfn.XLOOKUP(Table1[[#This Row],[RelationshipSatisfaction]],Table18[RelationshipSatisfaction],Table18[Id_RelationshipSatisfaction])</f>
        <v>RS004</v>
      </c>
      <c r="AQ662">
        <v>4</v>
      </c>
      <c r="AR662" t="str">
        <f>_xlfn.XLOOKUP(Table1[[#This Row],[RelationshipSatisfaction]],Table18[RelationshipSatisfaction],Table18[Deskripsi])</f>
        <v>Very High</v>
      </c>
      <c r="AS662" t="str">
        <f>_xlfn.XLOOKUP(Table1[[#This Row],[StockOptionLevel]],Table19[StockOptionLevel],Table19[Id_StockOptionLevel])</f>
        <v>SOL002</v>
      </c>
      <c r="AT662">
        <v>1</v>
      </c>
      <c r="AU662" t="str">
        <f>_xlfn.XLOOKUP(Table1[[#This Row],[StockOptionLevel]],Table19[StockOptionLevel],Table19[Deskripsi])</f>
        <v>Standard</v>
      </c>
      <c r="AV662">
        <v>3</v>
      </c>
      <c r="AW662">
        <v>3</v>
      </c>
      <c r="AX662" t="str">
        <f>_xlfn.XLOOKUP(Table1[[#This Row],[WorkLifeBalance]],Table20[WorkLifeBalance],Table20[Id_WorkLifeBalance])</f>
        <v>WLB003</v>
      </c>
      <c r="AY662">
        <v>2</v>
      </c>
      <c r="AZ662" t="str">
        <f>_xlfn.XLOOKUP(Table1[[#This Row],[WorkLifeBalance]],Table20[WorkLifeBalance],Table20[Deskripsi])</f>
        <v>Better</v>
      </c>
      <c r="BA662">
        <v>1</v>
      </c>
      <c r="BB662">
        <v>0</v>
      </c>
      <c r="BC662">
        <v>0</v>
      </c>
      <c r="BD662">
        <v>0</v>
      </c>
    </row>
    <row r="663" spans="1:56" x14ac:dyDescent="0.25">
      <c r="A663">
        <v>43</v>
      </c>
      <c r="B663" t="str">
        <f>_xlfn.XLOOKUP(Table1[[#This Row],[Attrition]],Table2[Attrition],Table2[Id_Attrition])</f>
        <v>A002</v>
      </c>
      <c r="C663" t="s">
        <v>33</v>
      </c>
      <c r="D663" t="str">
        <f>_xlfn.XLOOKUP(Table1[[#This Row],[BusinessTravel]],Table5[BusinessTravel],Table5[Id_BusinessTravel])</f>
        <v>BS001</v>
      </c>
      <c r="E663" t="s">
        <v>34</v>
      </c>
      <c r="F663">
        <v>177</v>
      </c>
      <c r="G663" t="str">
        <f>_xlfn.XLOOKUP(Table1[[#This Row],[Department]],Table6[Department],Table6[Id_Departement])</f>
        <v>D002</v>
      </c>
      <c r="H663" t="s">
        <v>38</v>
      </c>
      <c r="I663">
        <v>8</v>
      </c>
      <c r="J663" t="str">
        <f>_xlfn.XLOOKUP(Table1[[#This Row],[Education]],Table8[Education],Table8[Id_Education])</f>
        <v>E003</v>
      </c>
      <c r="K663">
        <v>3</v>
      </c>
      <c r="L663" t="str">
        <f>_xlfn.XLOOKUP(Table1[[#This Row],[EducationField]],Table7[EducationField],Table7[Id_EducationField])</f>
        <v>EF001</v>
      </c>
      <c r="M663" t="s">
        <v>40</v>
      </c>
      <c r="N663" t="str">
        <f>_xlfn.XLOOKUP(Table1[[#This Row],[EmployeeNumber]],Table4[EmployeeNumber],Table4[Id_Employee])</f>
        <v>EMP00662</v>
      </c>
      <c r="O663">
        <v>920</v>
      </c>
      <c r="P663" t="str">
        <f>_xlfn.XLOOKUP(Table1[[#This Row],[EnvironmentSatisfaction]],Table9[EnvironmentSatisfaction],Table9[Id_EnviromentSatisfaction])</f>
        <v>ES001</v>
      </c>
      <c r="Q663">
        <v>1</v>
      </c>
      <c r="R663" t="str">
        <f>_xlfn.XLOOKUP(Table1[[#This Row],[EnvironmentSatisfaction]],Table9[EnvironmentSatisfaction],Table9[Deskripsi])</f>
        <v>Low</v>
      </c>
      <c r="S663" t="str">
        <f>_xlfn.XLOOKUP(Table1[[#This Row],[Gender]],Table10[Gender],Table10[Id_Gender])</f>
        <v>G001</v>
      </c>
      <c r="T663" t="s">
        <v>45</v>
      </c>
      <c r="U663">
        <v>55</v>
      </c>
      <c r="V663" t="str">
        <f>_xlfn.XLOOKUP(Table1[[#This Row],[JobInvolvement]],Table11[JobInvolvement],Table11[Id_JobInvolvement])</f>
        <v>JI003</v>
      </c>
      <c r="W663">
        <v>3</v>
      </c>
      <c r="X663" t="str">
        <f>_xlfn.XLOOKUP(Table1[[#This Row],[JobLevel]],Table12[JobLevel],Table12[Id_JobLevel])</f>
        <v>JL002</v>
      </c>
      <c r="Y663">
        <v>2</v>
      </c>
      <c r="Z663" t="str">
        <f>_xlfn.XLOOKUP(Table1[[#This Row],[JobRole]],Table13[JobRole],Table13[Id_JobRole])</f>
        <v>JR004</v>
      </c>
      <c r="AA663" t="s">
        <v>50</v>
      </c>
      <c r="AB663" t="str">
        <f>_xlfn.XLOOKUP(Table1[[#This Row],[JobSatisfaction]],Table14[JobSatisfaction],Table14[Id_JobSatisfaction])</f>
        <v>JS002</v>
      </c>
      <c r="AC663">
        <v>2</v>
      </c>
      <c r="AD663" t="str">
        <f>_xlfn.XLOOKUP(Table1[[#This Row],[JobSatisfaction]],Table14[JobSatisfaction],Table14[Deskripsi])</f>
        <v>Medium</v>
      </c>
      <c r="AE663" t="str">
        <f>_xlfn.XLOOKUP(Table1[[#This Row],[MaritalStatus]],Table15[MaritalStatus],Table15[Id_MaritalStatus])</f>
        <v>MS003</v>
      </c>
      <c r="AF663" t="s">
        <v>57</v>
      </c>
      <c r="AG663">
        <v>4765</v>
      </c>
      <c r="AH663">
        <v>23814</v>
      </c>
      <c r="AI663">
        <v>4</v>
      </c>
      <c r="AJ663" t="str">
        <f>_xlfn.XLOOKUP(Table1[[#This Row],[OverTime]],Table16[OverTime],Table16[Id_OverTime])</f>
        <v>OT002</v>
      </c>
      <c r="AK663" t="s">
        <v>33</v>
      </c>
      <c r="AL663">
        <v>21</v>
      </c>
      <c r="AM663" t="str">
        <f>_xlfn.XLOOKUP(Table1[[#This Row],[PerformanceRating]],Table17[PerformanceRating],Table17[Id_PerformanceRating])</f>
        <v>PR004</v>
      </c>
      <c r="AN663">
        <v>4</v>
      </c>
      <c r="AO663" t="str">
        <f>_xlfn.XLOOKUP(Table1[[#This Row],[PerformanceRating]],Table17[PerformanceRating],Table17[Deskripsi])</f>
        <v>Outstanding</v>
      </c>
      <c r="AP663" t="str">
        <f>_xlfn.XLOOKUP(Table1[[#This Row],[RelationshipSatisfaction]],Table18[RelationshipSatisfaction],Table18[Id_RelationshipSatisfaction])</f>
        <v>RS003</v>
      </c>
      <c r="AQ663">
        <v>3</v>
      </c>
      <c r="AR663" t="str">
        <f>_xlfn.XLOOKUP(Table1[[#This Row],[RelationshipSatisfaction]],Table18[RelationshipSatisfaction],Table18[Deskripsi])</f>
        <v>High</v>
      </c>
      <c r="AS663" t="str">
        <f>_xlfn.XLOOKUP(Table1[[#This Row],[StockOptionLevel]],Table19[StockOptionLevel],Table19[Id_StockOptionLevel])</f>
        <v>SOL002</v>
      </c>
      <c r="AT663">
        <v>1</v>
      </c>
      <c r="AU663" t="str">
        <f>_xlfn.XLOOKUP(Table1[[#This Row],[StockOptionLevel]],Table19[StockOptionLevel],Table19[Deskripsi])</f>
        <v>Standard</v>
      </c>
      <c r="AV663">
        <v>4</v>
      </c>
      <c r="AW663">
        <v>2</v>
      </c>
      <c r="AX663" t="str">
        <f>_xlfn.XLOOKUP(Table1[[#This Row],[WorkLifeBalance]],Table20[WorkLifeBalance],Table20[Id_WorkLifeBalance])</f>
        <v>WLB004</v>
      </c>
      <c r="AY663">
        <v>4</v>
      </c>
      <c r="AZ663" t="str">
        <f>_xlfn.XLOOKUP(Table1[[#This Row],[WorkLifeBalance]],Table20[WorkLifeBalance],Table20[Deskripsi])</f>
        <v>Best</v>
      </c>
      <c r="BA663">
        <v>1</v>
      </c>
      <c r="BB663">
        <v>0</v>
      </c>
      <c r="BC663">
        <v>0</v>
      </c>
      <c r="BD663">
        <v>0</v>
      </c>
    </row>
    <row r="664" spans="1:56" x14ac:dyDescent="0.25">
      <c r="A664">
        <v>20</v>
      </c>
      <c r="B664" t="str">
        <f>_xlfn.XLOOKUP(Table1[[#This Row],[Attrition]],Table2[Attrition],Table2[Id_Attrition])</f>
        <v>A001</v>
      </c>
      <c r="C664" t="s">
        <v>32</v>
      </c>
      <c r="D664" t="str">
        <f>_xlfn.XLOOKUP(Table1[[#This Row],[BusinessTravel]],Table5[BusinessTravel],Table5[Id_BusinessTravel])</f>
        <v>BS001</v>
      </c>
      <c r="E664" t="s">
        <v>34</v>
      </c>
      <c r="F664">
        <v>500</v>
      </c>
      <c r="G664" t="str">
        <f>_xlfn.XLOOKUP(Table1[[#This Row],[Department]],Table6[Department],Table6[Id_Departement])</f>
        <v>D001</v>
      </c>
      <c r="H664" t="s">
        <v>37</v>
      </c>
      <c r="I664">
        <v>2</v>
      </c>
      <c r="J664" t="str">
        <f>_xlfn.XLOOKUP(Table1[[#This Row],[Education]],Table8[Education],Table8[Id_Education])</f>
        <v>E003</v>
      </c>
      <c r="K664">
        <v>3</v>
      </c>
      <c r="L664" t="str">
        <f>_xlfn.XLOOKUP(Table1[[#This Row],[EducationField]],Table7[EducationField],Table7[Id_EducationField])</f>
        <v>EF003</v>
      </c>
      <c r="M664" t="s">
        <v>42</v>
      </c>
      <c r="N664" t="str">
        <f>_xlfn.XLOOKUP(Table1[[#This Row],[EmployeeNumber]],Table4[EmployeeNumber],Table4[Id_Employee])</f>
        <v>EMP00663</v>
      </c>
      <c r="O664">
        <v>922</v>
      </c>
      <c r="P664" t="str">
        <f>_xlfn.XLOOKUP(Table1[[#This Row],[EnvironmentSatisfaction]],Table9[EnvironmentSatisfaction],Table9[Id_EnviromentSatisfaction])</f>
        <v>ES003</v>
      </c>
      <c r="Q664">
        <v>3</v>
      </c>
      <c r="R664" t="str">
        <f>_xlfn.XLOOKUP(Table1[[#This Row],[EnvironmentSatisfaction]],Table9[EnvironmentSatisfaction],Table9[Deskripsi])</f>
        <v>High</v>
      </c>
      <c r="S664" t="str">
        <f>_xlfn.XLOOKUP(Table1[[#This Row],[Gender]],Table10[Gender],Table10[Id_Gender])</f>
        <v>G001</v>
      </c>
      <c r="T664" t="s">
        <v>45</v>
      </c>
      <c r="U664">
        <v>49</v>
      </c>
      <c r="V664" t="str">
        <f>_xlfn.XLOOKUP(Table1[[#This Row],[JobInvolvement]],Table11[JobInvolvement],Table11[Id_JobInvolvement])</f>
        <v>JI002</v>
      </c>
      <c r="W664">
        <v>2</v>
      </c>
      <c r="X664" t="str">
        <f>_xlfn.XLOOKUP(Table1[[#This Row],[JobLevel]],Table12[JobLevel],Table12[Id_JobLevel])</f>
        <v>JL001</v>
      </c>
      <c r="Y664">
        <v>1</v>
      </c>
      <c r="Z664" t="str">
        <f>_xlfn.XLOOKUP(Table1[[#This Row],[JobRole]],Table13[JobRole],Table13[Id_JobRole])</f>
        <v>JR007</v>
      </c>
      <c r="AA664" t="s">
        <v>53</v>
      </c>
      <c r="AB664" t="str">
        <f>_xlfn.XLOOKUP(Table1[[#This Row],[JobSatisfaction]],Table14[JobSatisfaction],Table14[Id_JobSatisfaction])</f>
        <v>JS003</v>
      </c>
      <c r="AC664">
        <v>3</v>
      </c>
      <c r="AD664" t="str">
        <f>_xlfn.XLOOKUP(Table1[[#This Row],[JobSatisfaction]],Table14[JobSatisfaction],Table14[Deskripsi])</f>
        <v>High</v>
      </c>
      <c r="AE664" t="str">
        <f>_xlfn.XLOOKUP(Table1[[#This Row],[MaritalStatus]],Table15[MaritalStatus],Table15[Id_MaritalStatus])</f>
        <v>MS001</v>
      </c>
      <c r="AF664" t="s">
        <v>55</v>
      </c>
      <c r="AG664">
        <v>2044</v>
      </c>
      <c r="AH664">
        <v>22052</v>
      </c>
      <c r="AI664">
        <v>1</v>
      </c>
      <c r="AJ664" t="str">
        <f>_xlfn.XLOOKUP(Table1[[#This Row],[OverTime]],Table16[OverTime],Table16[Id_OverTime])</f>
        <v>OT002</v>
      </c>
      <c r="AK664" t="s">
        <v>33</v>
      </c>
      <c r="AL664">
        <v>13</v>
      </c>
      <c r="AM664" t="str">
        <f>_xlfn.XLOOKUP(Table1[[#This Row],[PerformanceRating]],Table17[PerformanceRating],Table17[Id_PerformanceRating])</f>
        <v>PR003</v>
      </c>
      <c r="AN664">
        <v>3</v>
      </c>
      <c r="AO664" t="str">
        <f>_xlfn.XLOOKUP(Table1[[#This Row],[PerformanceRating]],Table17[PerformanceRating],Table17[Deskripsi])</f>
        <v>Excellent</v>
      </c>
      <c r="AP664" t="str">
        <f>_xlfn.XLOOKUP(Table1[[#This Row],[RelationshipSatisfaction]],Table18[RelationshipSatisfaction],Table18[Id_RelationshipSatisfaction])</f>
        <v>RS004</v>
      </c>
      <c r="AQ664">
        <v>4</v>
      </c>
      <c r="AR664" t="str">
        <f>_xlfn.XLOOKUP(Table1[[#This Row],[RelationshipSatisfaction]],Table18[RelationshipSatisfaction],Table18[Deskripsi])</f>
        <v>Very High</v>
      </c>
      <c r="AS664" t="str">
        <f>_xlfn.XLOOKUP(Table1[[#This Row],[StockOptionLevel]],Table19[StockOptionLevel],Table19[Id_StockOptionLevel])</f>
        <v>SOL001</v>
      </c>
      <c r="AT664">
        <v>0</v>
      </c>
      <c r="AU664" t="str">
        <f>_xlfn.XLOOKUP(Table1[[#This Row],[StockOptionLevel]],Table19[StockOptionLevel],Table19[Deskripsi])</f>
        <v>Non-Eligible</v>
      </c>
      <c r="AV664">
        <v>2</v>
      </c>
      <c r="AW664">
        <v>3</v>
      </c>
      <c r="AX664" t="str">
        <f>_xlfn.XLOOKUP(Table1[[#This Row],[WorkLifeBalance]],Table20[WorkLifeBalance],Table20[Id_WorkLifeBalance])</f>
        <v>WLB003</v>
      </c>
      <c r="AY664">
        <v>2</v>
      </c>
      <c r="AZ664" t="str">
        <f>_xlfn.XLOOKUP(Table1[[#This Row],[WorkLifeBalance]],Table20[WorkLifeBalance],Table20[Deskripsi])</f>
        <v>Better</v>
      </c>
      <c r="BA664">
        <v>2</v>
      </c>
      <c r="BB664">
        <v>2</v>
      </c>
      <c r="BC664">
        <v>0</v>
      </c>
      <c r="BD664">
        <v>2</v>
      </c>
    </row>
    <row r="665" spans="1:56" x14ac:dyDescent="0.25">
      <c r="A665">
        <v>21</v>
      </c>
      <c r="B665" t="str">
        <f>_xlfn.XLOOKUP(Table1[[#This Row],[Attrition]],Table2[Attrition],Table2[Id_Attrition])</f>
        <v>A001</v>
      </c>
      <c r="C665" t="s">
        <v>32</v>
      </c>
      <c r="D665" t="str">
        <f>_xlfn.XLOOKUP(Table1[[#This Row],[BusinessTravel]],Table5[BusinessTravel],Table5[Id_BusinessTravel])</f>
        <v>BS001</v>
      </c>
      <c r="E665" t="s">
        <v>34</v>
      </c>
      <c r="F665">
        <v>1427</v>
      </c>
      <c r="G665" t="str">
        <f>_xlfn.XLOOKUP(Table1[[#This Row],[Department]],Table6[Department],Table6[Id_Departement])</f>
        <v>D002</v>
      </c>
      <c r="H665" t="s">
        <v>38</v>
      </c>
      <c r="I665">
        <v>18</v>
      </c>
      <c r="J665" t="str">
        <f>_xlfn.XLOOKUP(Table1[[#This Row],[Education]],Table8[Education],Table8[Id_Education])</f>
        <v>E001</v>
      </c>
      <c r="K665">
        <v>1</v>
      </c>
      <c r="L665" t="str">
        <f>_xlfn.XLOOKUP(Table1[[#This Row],[EducationField]],Table7[EducationField],Table7[Id_EducationField])</f>
        <v>EF002</v>
      </c>
      <c r="M665" t="s">
        <v>41</v>
      </c>
      <c r="N665" t="str">
        <f>_xlfn.XLOOKUP(Table1[[#This Row],[EmployeeNumber]],Table4[EmployeeNumber],Table4[Id_Employee])</f>
        <v>EMP00664</v>
      </c>
      <c r="O665">
        <v>923</v>
      </c>
      <c r="P665" t="str">
        <f>_xlfn.XLOOKUP(Table1[[#This Row],[EnvironmentSatisfaction]],Table9[EnvironmentSatisfaction],Table9[Id_EnviromentSatisfaction])</f>
        <v>ES004</v>
      </c>
      <c r="Q665">
        <v>4</v>
      </c>
      <c r="R665" t="str">
        <f>_xlfn.XLOOKUP(Table1[[#This Row],[EnvironmentSatisfaction]],Table9[EnvironmentSatisfaction],Table9[Deskripsi])</f>
        <v>Very High</v>
      </c>
      <c r="S665" t="str">
        <f>_xlfn.XLOOKUP(Table1[[#This Row],[Gender]],Table10[Gender],Table10[Id_Gender])</f>
        <v>G001</v>
      </c>
      <c r="T665" t="s">
        <v>45</v>
      </c>
      <c r="U665">
        <v>65</v>
      </c>
      <c r="V665" t="str">
        <f>_xlfn.XLOOKUP(Table1[[#This Row],[JobInvolvement]],Table11[JobInvolvement],Table11[Id_JobInvolvement])</f>
        <v>JI003</v>
      </c>
      <c r="W665">
        <v>3</v>
      </c>
      <c r="X665" t="str">
        <f>_xlfn.XLOOKUP(Table1[[#This Row],[JobLevel]],Table12[JobLevel],Table12[Id_JobLevel])</f>
        <v>JL001</v>
      </c>
      <c r="Y665">
        <v>1</v>
      </c>
      <c r="Z665" t="str">
        <f>_xlfn.XLOOKUP(Table1[[#This Row],[JobRole]],Table13[JobRole],Table13[Id_JobRole])</f>
        <v>JR002</v>
      </c>
      <c r="AA665" t="s">
        <v>48</v>
      </c>
      <c r="AB665" t="str">
        <f>_xlfn.XLOOKUP(Table1[[#This Row],[JobSatisfaction]],Table14[JobSatisfaction],Table14[Id_JobSatisfaction])</f>
        <v>JS004</v>
      </c>
      <c r="AC665">
        <v>4</v>
      </c>
      <c r="AD665" t="str">
        <f>_xlfn.XLOOKUP(Table1[[#This Row],[JobSatisfaction]],Table14[JobSatisfaction],Table14[Deskripsi])</f>
        <v>Very High</v>
      </c>
      <c r="AE665" t="str">
        <f>_xlfn.XLOOKUP(Table1[[#This Row],[MaritalStatus]],Table15[MaritalStatus],Table15[Id_MaritalStatus])</f>
        <v>MS001</v>
      </c>
      <c r="AF665" t="s">
        <v>55</v>
      </c>
      <c r="AG665">
        <v>2693</v>
      </c>
      <c r="AH665">
        <v>8870</v>
      </c>
      <c r="AI665">
        <v>1</v>
      </c>
      <c r="AJ665" t="str">
        <f>_xlfn.XLOOKUP(Table1[[#This Row],[OverTime]],Table16[OverTime],Table16[Id_OverTime])</f>
        <v>OT002</v>
      </c>
      <c r="AK665" t="s">
        <v>33</v>
      </c>
      <c r="AL665">
        <v>19</v>
      </c>
      <c r="AM665" t="str">
        <f>_xlfn.XLOOKUP(Table1[[#This Row],[PerformanceRating]],Table17[PerformanceRating],Table17[Id_PerformanceRating])</f>
        <v>PR003</v>
      </c>
      <c r="AN665">
        <v>3</v>
      </c>
      <c r="AO665" t="str">
        <f>_xlfn.XLOOKUP(Table1[[#This Row],[PerformanceRating]],Table17[PerformanceRating],Table17[Deskripsi])</f>
        <v>Excellent</v>
      </c>
      <c r="AP665" t="str">
        <f>_xlfn.XLOOKUP(Table1[[#This Row],[RelationshipSatisfaction]],Table18[RelationshipSatisfaction],Table18[Id_RelationshipSatisfaction])</f>
        <v>RS001</v>
      </c>
      <c r="AQ665">
        <v>1</v>
      </c>
      <c r="AR665" t="str">
        <f>_xlfn.XLOOKUP(Table1[[#This Row],[RelationshipSatisfaction]],Table18[RelationshipSatisfaction],Table18[Deskripsi])</f>
        <v>Low</v>
      </c>
      <c r="AS665" t="str">
        <f>_xlfn.XLOOKUP(Table1[[#This Row],[StockOptionLevel]],Table19[StockOptionLevel],Table19[Id_StockOptionLevel])</f>
        <v>SOL001</v>
      </c>
      <c r="AT665">
        <v>0</v>
      </c>
      <c r="AU665" t="str">
        <f>_xlfn.XLOOKUP(Table1[[#This Row],[StockOptionLevel]],Table19[StockOptionLevel],Table19[Deskripsi])</f>
        <v>Non-Eligible</v>
      </c>
      <c r="AV665">
        <v>1</v>
      </c>
      <c r="AW665">
        <v>3</v>
      </c>
      <c r="AX665" t="str">
        <f>_xlfn.XLOOKUP(Table1[[#This Row],[WorkLifeBalance]],Table20[WorkLifeBalance],Table20[Id_WorkLifeBalance])</f>
        <v>WLB003</v>
      </c>
      <c r="AY665">
        <v>2</v>
      </c>
      <c r="AZ665" t="str">
        <f>_xlfn.XLOOKUP(Table1[[#This Row],[WorkLifeBalance]],Table20[WorkLifeBalance],Table20[Deskripsi])</f>
        <v>Better</v>
      </c>
      <c r="BA665">
        <v>1</v>
      </c>
      <c r="BB665">
        <v>0</v>
      </c>
      <c r="BC665">
        <v>0</v>
      </c>
      <c r="BD665">
        <v>0</v>
      </c>
    </row>
    <row r="666" spans="1:56" x14ac:dyDescent="0.25">
      <c r="A666">
        <v>36</v>
      </c>
      <c r="B666" t="str">
        <f>_xlfn.XLOOKUP(Table1[[#This Row],[Attrition]],Table2[Attrition],Table2[Id_Attrition])</f>
        <v>A002</v>
      </c>
      <c r="C666" t="s">
        <v>33</v>
      </c>
      <c r="D666" t="str">
        <f>_xlfn.XLOOKUP(Table1[[#This Row],[BusinessTravel]],Table5[BusinessTravel],Table5[Id_BusinessTravel])</f>
        <v>BS001</v>
      </c>
      <c r="E666" t="s">
        <v>34</v>
      </c>
      <c r="F666">
        <v>1425</v>
      </c>
      <c r="G666" t="str">
        <f>_xlfn.XLOOKUP(Table1[[#This Row],[Department]],Table6[Department],Table6[Id_Departement])</f>
        <v>D002</v>
      </c>
      <c r="H666" t="s">
        <v>38</v>
      </c>
      <c r="I666">
        <v>14</v>
      </c>
      <c r="J666" t="str">
        <f>_xlfn.XLOOKUP(Table1[[#This Row],[Education]],Table8[Education],Table8[Id_Education])</f>
        <v>E001</v>
      </c>
      <c r="K666">
        <v>1</v>
      </c>
      <c r="L666" t="str">
        <f>_xlfn.XLOOKUP(Table1[[#This Row],[EducationField]],Table7[EducationField],Table7[Id_EducationField])</f>
        <v>EF001</v>
      </c>
      <c r="M666" t="s">
        <v>40</v>
      </c>
      <c r="N666" t="str">
        <f>_xlfn.XLOOKUP(Table1[[#This Row],[EmployeeNumber]],Table4[EmployeeNumber],Table4[Id_Employee])</f>
        <v>EMP00665</v>
      </c>
      <c r="O666">
        <v>924</v>
      </c>
      <c r="P666" t="str">
        <f>_xlfn.XLOOKUP(Table1[[#This Row],[EnvironmentSatisfaction]],Table9[EnvironmentSatisfaction],Table9[Id_EnviromentSatisfaction])</f>
        <v>ES003</v>
      </c>
      <c r="Q666">
        <v>3</v>
      </c>
      <c r="R666" t="str">
        <f>_xlfn.XLOOKUP(Table1[[#This Row],[EnvironmentSatisfaction]],Table9[EnvironmentSatisfaction],Table9[Deskripsi])</f>
        <v>High</v>
      </c>
      <c r="S666" t="str">
        <f>_xlfn.XLOOKUP(Table1[[#This Row],[Gender]],Table10[Gender],Table10[Id_Gender])</f>
        <v>G002</v>
      </c>
      <c r="T666" t="s">
        <v>46</v>
      </c>
      <c r="U666">
        <v>68</v>
      </c>
      <c r="V666" t="str">
        <f>_xlfn.XLOOKUP(Table1[[#This Row],[JobInvolvement]],Table11[JobInvolvement],Table11[Id_JobInvolvement])</f>
        <v>JI003</v>
      </c>
      <c r="W666">
        <v>3</v>
      </c>
      <c r="X666" t="str">
        <f>_xlfn.XLOOKUP(Table1[[#This Row],[JobLevel]],Table12[JobLevel],Table12[Id_JobLevel])</f>
        <v>JL002</v>
      </c>
      <c r="Y666">
        <v>2</v>
      </c>
      <c r="Z666" t="str">
        <f>_xlfn.XLOOKUP(Table1[[#This Row],[JobRole]],Table13[JobRole],Table13[Id_JobRole])</f>
        <v>JR005</v>
      </c>
      <c r="AA666" t="s">
        <v>51</v>
      </c>
      <c r="AB666" t="str">
        <f>_xlfn.XLOOKUP(Table1[[#This Row],[JobSatisfaction]],Table14[JobSatisfaction],Table14[Id_JobSatisfaction])</f>
        <v>JS004</v>
      </c>
      <c r="AC666">
        <v>4</v>
      </c>
      <c r="AD666" t="str">
        <f>_xlfn.XLOOKUP(Table1[[#This Row],[JobSatisfaction]],Table14[JobSatisfaction],Table14[Deskripsi])</f>
        <v>Very High</v>
      </c>
      <c r="AE666" t="str">
        <f>_xlfn.XLOOKUP(Table1[[#This Row],[MaritalStatus]],Table15[MaritalStatus],Table15[Id_MaritalStatus])</f>
        <v>MS002</v>
      </c>
      <c r="AF666" t="s">
        <v>56</v>
      </c>
      <c r="AG666">
        <v>6586</v>
      </c>
      <c r="AH666">
        <v>4821</v>
      </c>
      <c r="AI666">
        <v>0</v>
      </c>
      <c r="AJ666" t="str">
        <f>_xlfn.XLOOKUP(Table1[[#This Row],[OverTime]],Table16[OverTime],Table16[Id_OverTime])</f>
        <v>OT001</v>
      </c>
      <c r="AK666" t="s">
        <v>32</v>
      </c>
      <c r="AL666">
        <v>17</v>
      </c>
      <c r="AM666" t="str">
        <f>_xlfn.XLOOKUP(Table1[[#This Row],[PerformanceRating]],Table17[PerformanceRating],Table17[Id_PerformanceRating])</f>
        <v>PR003</v>
      </c>
      <c r="AN666">
        <v>3</v>
      </c>
      <c r="AO666" t="str">
        <f>_xlfn.XLOOKUP(Table1[[#This Row],[PerformanceRating]],Table17[PerformanceRating],Table17[Deskripsi])</f>
        <v>Excellent</v>
      </c>
      <c r="AP666" t="str">
        <f>_xlfn.XLOOKUP(Table1[[#This Row],[RelationshipSatisfaction]],Table18[RelationshipSatisfaction],Table18[Id_RelationshipSatisfaction])</f>
        <v>RS001</v>
      </c>
      <c r="AQ666">
        <v>1</v>
      </c>
      <c r="AR666" t="str">
        <f>_xlfn.XLOOKUP(Table1[[#This Row],[RelationshipSatisfaction]],Table18[RelationshipSatisfaction],Table18[Deskripsi])</f>
        <v>Low</v>
      </c>
      <c r="AS666" t="str">
        <f>_xlfn.XLOOKUP(Table1[[#This Row],[StockOptionLevel]],Table19[StockOptionLevel],Table19[Id_StockOptionLevel])</f>
        <v>SOL002</v>
      </c>
      <c r="AT666">
        <v>1</v>
      </c>
      <c r="AU666" t="str">
        <f>_xlfn.XLOOKUP(Table1[[#This Row],[StockOptionLevel]],Table19[StockOptionLevel],Table19[Deskripsi])</f>
        <v>Standard</v>
      </c>
      <c r="AV666">
        <v>17</v>
      </c>
      <c r="AW666">
        <v>2</v>
      </c>
      <c r="AX666" t="str">
        <f>_xlfn.XLOOKUP(Table1[[#This Row],[WorkLifeBalance]],Table20[WorkLifeBalance],Table20[Id_WorkLifeBalance])</f>
        <v>WLB003</v>
      </c>
      <c r="AY666">
        <v>2</v>
      </c>
      <c r="AZ666" t="str">
        <f>_xlfn.XLOOKUP(Table1[[#This Row],[WorkLifeBalance]],Table20[WorkLifeBalance],Table20[Deskripsi])</f>
        <v>Better</v>
      </c>
      <c r="BA666">
        <v>16</v>
      </c>
      <c r="BB666">
        <v>8</v>
      </c>
      <c r="BC666">
        <v>4</v>
      </c>
      <c r="BD666">
        <v>11</v>
      </c>
    </row>
    <row r="667" spans="1:56" x14ac:dyDescent="0.25">
      <c r="A667">
        <v>47</v>
      </c>
      <c r="B667" t="str">
        <f>_xlfn.XLOOKUP(Table1[[#This Row],[Attrition]],Table2[Attrition],Table2[Id_Attrition])</f>
        <v>A002</v>
      </c>
      <c r="C667" t="s">
        <v>33</v>
      </c>
      <c r="D667" t="str">
        <f>_xlfn.XLOOKUP(Table1[[#This Row],[BusinessTravel]],Table5[BusinessTravel],Table5[Id_BusinessTravel])</f>
        <v>BS001</v>
      </c>
      <c r="E667" t="s">
        <v>34</v>
      </c>
      <c r="F667">
        <v>1454</v>
      </c>
      <c r="G667" t="str">
        <f>_xlfn.XLOOKUP(Table1[[#This Row],[Department]],Table6[Department],Table6[Id_Departement])</f>
        <v>D001</v>
      </c>
      <c r="H667" t="s">
        <v>37</v>
      </c>
      <c r="I667">
        <v>2</v>
      </c>
      <c r="J667" t="str">
        <f>_xlfn.XLOOKUP(Table1[[#This Row],[Education]],Table8[Education],Table8[Id_Education])</f>
        <v>E004</v>
      </c>
      <c r="K667">
        <v>4</v>
      </c>
      <c r="L667" t="str">
        <f>_xlfn.XLOOKUP(Table1[[#This Row],[EducationField]],Table7[EducationField],Table7[Id_EducationField])</f>
        <v>EF001</v>
      </c>
      <c r="M667" t="s">
        <v>40</v>
      </c>
      <c r="N667" t="str">
        <f>_xlfn.XLOOKUP(Table1[[#This Row],[EmployeeNumber]],Table4[EmployeeNumber],Table4[Id_Employee])</f>
        <v>EMP00666</v>
      </c>
      <c r="O667">
        <v>925</v>
      </c>
      <c r="P667" t="str">
        <f>_xlfn.XLOOKUP(Table1[[#This Row],[EnvironmentSatisfaction]],Table9[EnvironmentSatisfaction],Table9[Id_EnviromentSatisfaction])</f>
        <v>ES004</v>
      </c>
      <c r="Q667">
        <v>4</v>
      </c>
      <c r="R667" t="str">
        <f>_xlfn.XLOOKUP(Table1[[#This Row],[EnvironmentSatisfaction]],Table9[EnvironmentSatisfaction],Table9[Deskripsi])</f>
        <v>Very High</v>
      </c>
      <c r="S667" t="str">
        <f>_xlfn.XLOOKUP(Table1[[#This Row],[Gender]],Table10[Gender],Table10[Id_Gender])</f>
        <v>G001</v>
      </c>
      <c r="T667" t="s">
        <v>45</v>
      </c>
      <c r="U667">
        <v>65</v>
      </c>
      <c r="V667" t="str">
        <f>_xlfn.XLOOKUP(Table1[[#This Row],[JobInvolvement]],Table11[JobInvolvement],Table11[Id_JobInvolvement])</f>
        <v>JI002</v>
      </c>
      <c r="W667">
        <v>2</v>
      </c>
      <c r="X667" t="str">
        <f>_xlfn.XLOOKUP(Table1[[#This Row],[JobLevel]],Table12[JobLevel],Table12[Id_JobLevel])</f>
        <v>JL001</v>
      </c>
      <c r="Y667">
        <v>1</v>
      </c>
      <c r="Z667" t="str">
        <f>_xlfn.XLOOKUP(Table1[[#This Row],[JobRole]],Table13[JobRole],Table13[Id_JobRole])</f>
        <v>JR007</v>
      </c>
      <c r="AA667" t="s">
        <v>53</v>
      </c>
      <c r="AB667" t="str">
        <f>_xlfn.XLOOKUP(Table1[[#This Row],[JobSatisfaction]],Table14[JobSatisfaction],Table14[Id_JobSatisfaction])</f>
        <v>JS004</v>
      </c>
      <c r="AC667">
        <v>4</v>
      </c>
      <c r="AD667" t="str">
        <f>_xlfn.XLOOKUP(Table1[[#This Row],[JobSatisfaction]],Table14[JobSatisfaction],Table14[Deskripsi])</f>
        <v>Very High</v>
      </c>
      <c r="AE667" t="str">
        <f>_xlfn.XLOOKUP(Table1[[#This Row],[MaritalStatus]],Table15[MaritalStatus],Table15[Id_MaritalStatus])</f>
        <v>MS001</v>
      </c>
      <c r="AF667" t="s">
        <v>55</v>
      </c>
      <c r="AG667">
        <v>3294</v>
      </c>
      <c r="AH667">
        <v>13137</v>
      </c>
      <c r="AI667">
        <v>1</v>
      </c>
      <c r="AJ667" t="str">
        <f>_xlfn.XLOOKUP(Table1[[#This Row],[OverTime]],Table16[OverTime],Table16[Id_OverTime])</f>
        <v>OT001</v>
      </c>
      <c r="AK667" t="s">
        <v>32</v>
      </c>
      <c r="AL667">
        <v>18</v>
      </c>
      <c r="AM667" t="str">
        <f>_xlfn.XLOOKUP(Table1[[#This Row],[PerformanceRating]],Table17[PerformanceRating],Table17[Id_PerformanceRating])</f>
        <v>PR003</v>
      </c>
      <c r="AN667">
        <v>3</v>
      </c>
      <c r="AO667" t="str">
        <f>_xlfn.XLOOKUP(Table1[[#This Row],[PerformanceRating]],Table17[PerformanceRating],Table17[Deskripsi])</f>
        <v>Excellent</v>
      </c>
      <c r="AP667" t="str">
        <f>_xlfn.XLOOKUP(Table1[[#This Row],[RelationshipSatisfaction]],Table18[RelationshipSatisfaction],Table18[Id_RelationshipSatisfaction])</f>
        <v>RS001</v>
      </c>
      <c r="AQ667">
        <v>1</v>
      </c>
      <c r="AR667" t="str">
        <f>_xlfn.XLOOKUP(Table1[[#This Row],[RelationshipSatisfaction]],Table18[RelationshipSatisfaction],Table18[Deskripsi])</f>
        <v>Low</v>
      </c>
      <c r="AS667" t="str">
        <f>_xlfn.XLOOKUP(Table1[[#This Row],[StockOptionLevel]],Table19[StockOptionLevel],Table19[Id_StockOptionLevel])</f>
        <v>SOL001</v>
      </c>
      <c r="AT667">
        <v>0</v>
      </c>
      <c r="AU667" t="str">
        <f>_xlfn.XLOOKUP(Table1[[#This Row],[StockOptionLevel]],Table19[StockOptionLevel],Table19[Deskripsi])</f>
        <v>Non-Eligible</v>
      </c>
      <c r="AV667">
        <v>3</v>
      </c>
      <c r="AW667">
        <v>3</v>
      </c>
      <c r="AX667" t="str">
        <f>_xlfn.XLOOKUP(Table1[[#This Row],[WorkLifeBalance]],Table20[WorkLifeBalance],Table20[Id_WorkLifeBalance])</f>
        <v>WLB003</v>
      </c>
      <c r="AY667">
        <v>2</v>
      </c>
      <c r="AZ667" t="str">
        <f>_xlfn.XLOOKUP(Table1[[#This Row],[WorkLifeBalance]],Table20[WorkLifeBalance],Table20[Deskripsi])</f>
        <v>Better</v>
      </c>
      <c r="BA667">
        <v>3</v>
      </c>
      <c r="BB667">
        <v>2</v>
      </c>
      <c r="BC667">
        <v>1</v>
      </c>
      <c r="BD667">
        <v>2</v>
      </c>
    </row>
    <row r="668" spans="1:56" x14ac:dyDescent="0.25">
      <c r="A668">
        <v>22</v>
      </c>
      <c r="B668" t="str">
        <f>_xlfn.XLOOKUP(Table1[[#This Row],[Attrition]],Table2[Attrition],Table2[Id_Attrition])</f>
        <v>A001</v>
      </c>
      <c r="C668" t="s">
        <v>32</v>
      </c>
      <c r="D668" t="str">
        <f>_xlfn.XLOOKUP(Table1[[#This Row],[BusinessTravel]],Table5[BusinessTravel],Table5[Id_BusinessTravel])</f>
        <v>BS001</v>
      </c>
      <c r="E668" t="s">
        <v>34</v>
      </c>
      <c r="F668">
        <v>617</v>
      </c>
      <c r="G668" t="str">
        <f>_xlfn.XLOOKUP(Table1[[#This Row],[Department]],Table6[Department],Table6[Id_Departement])</f>
        <v>D002</v>
      </c>
      <c r="H668" t="s">
        <v>38</v>
      </c>
      <c r="I668">
        <v>3</v>
      </c>
      <c r="J668" t="str">
        <f>_xlfn.XLOOKUP(Table1[[#This Row],[Education]],Table8[Education],Table8[Id_Education])</f>
        <v>E001</v>
      </c>
      <c r="K668">
        <v>1</v>
      </c>
      <c r="L668" t="str">
        <f>_xlfn.XLOOKUP(Table1[[#This Row],[EducationField]],Table7[EducationField],Table7[Id_EducationField])</f>
        <v>EF001</v>
      </c>
      <c r="M668" t="s">
        <v>40</v>
      </c>
      <c r="N668" t="str">
        <f>_xlfn.XLOOKUP(Table1[[#This Row],[EmployeeNumber]],Table4[EmployeeNumber],Table4[Id_Employee])</f>
        <v>EMP00667</v>
      </c>
      <c r="O668">
        <v>926</v>
      </c>
      <c r="P668" t="str">
        <f>_xlfn.XLOOKUP(Table1[[#This Row],[EnvironmentSatisfaction]],Table9[EnvironmentSatisfaction],Table9[Id_EnviromentSatisfaction])</f>
        <v>ES002</v>
      </c>
      <c r="Q668">
        <v>2</v>
      </c>
      <c r="R668" t="str">
        <f>_xlfn.XLOOKUP(Table1[[#This Row],[EnvironmentSatisfaction]],Table9[EnvironmentSatisfaction],Table9[Deskripsi])</f>
        <v>Medium</v>
      </c>
      <c r="S668" t="str">
        <f>_xlfn.XLOOKUP(Table1[[#This Row],[Gender]],Table10[Gender],Table10[Id_Gender])</f>
        <v>G001</v>
      </c>
      <c r="T668" t="s">
        <v>45</v>
      </c>
      <c r="U668">
        <v>34</v>
      </c>
      <c r="V668" t="str">
        <f>_xlfn.XLOOKUP(Table1[[#This Row],[JobInvolvement]],Table11[JobInvolvement],Table11[Id_JobInvolvement])</f>
        <v>JI003</v>
      </c>
      <c r="W668">
        <v>3</v>
      </c>
      <c r="X668" t="str">
        <f>_xlfn.XLOOKUP(Table1[[#This Row],[JobLevel]],Table12[JobLevel],Table12[Id_JobLevel])</f>
        <v>JL002</v>
      </c>
      <c r="Y668">
        <v>2</v>
      </c>
      <c r="Z668" t="str">
        <f>_xlfn.XLOOKUP(Table1[[#This Row],[JobRole]],Table13[JobRole],Table13[Id_JobRole])</f>
        <v>JR004</v>
      </c>
      <c r="AA668" t="s">
        <v>50</v>
      </c>
      <c r="AB668" t="str">
        <f>_xlfn.XLOOKUP(Table1[[#This Row],[JobSatisfaction]],Table14[JobSatisfaction],Table14[Id_JobSatisfaction])</f>
        <v>JS003</v>
      </c>
      <c r="AC668">
        <v>3</v>
      </c>
      <c r="AD668" t="str">
        <f>_xlfn.XLOOKUP(Table1[[#This Row],[JobSatisfaction]],Table14[JobSatisfaction],Table14[Deskripsi])</f>
        <v>High</v>
      </c>
      <c r="AE668" t="str">
        <f>_xlfn.XLOOKUP(Table1[[#This Row],[MaritalStatus]],Table15[MaritalStatus],Table15[Id_MaritalStatus])</f>
        <v>MS002</v>
      </c>
      <c r="AF668" t="s">
        <v>56</v>
      </c>
      <c r="AG668">
        <v>4171</v>
      </c>
      <c r="AH668">
        <v>10022</v>
      </c>
      <c r="AI668">
        <v>0</v>
      </c>
      <c r="AJ668" t="str">
        <f>_xlfn.XLOOKUP(Table1[[#This Row],[OverTime]],Table16[OverTime],Table16[Id_OverTime])</f>
        <v>OT001</v>
      </c>
      <c r="AK668" t="s">
        <v>32</v>
      </c>
      <c r="AL668">
        <v>19</v>
      </c>
      <c r="AM668" t="str">
        <f>_xlfn.XLOOKUP(Table1[[#This Row],[PerformanceRating]],Table17[PerformanceRating],Table17[Id_PerformanceRating])</f>
        <v>PR003</v>
      </c>
      <c r="AN668">
        <v>3</v>
      </c>
      <c r="AO668" t="str">
        <f>_xlfn.XLOOKUP(Table1[[#This Row],[PerformanceRating]],Table17[PerformanceRating],Table17[Deskripsi])</f>
        <v>Excellent</v>
      </c>
      <c r="AP668" t="str">
        <f>_xlfn.XLOOKUP(Table1[[#This Row],[RelationshipSatisfaction]],Table18[RelationshipSatisfaction],Table18[Id_RelationshipSatisfaction])</f>
        <v>RS001</v>
      </c>
      <c r="AQ668">
        <v>1</v>
      </c>
      <c r="AR668" t="str">
        <f>_xlfn.XLOOKUP(Table1[[#This Row],[RelationshipSatisfaction]],Table18[RelationshipSatisfaction],Table18[Deskripsi])</f>
        <v>Low</v>
      </c>
      <c r="AS668" t="str">
        <f>_xlfn.XLOOKUP(Table1[[#This Row],[StockOptionLevel]],Table19[StockOptionLevel],Table19[Id_StockOptionLevel])</f>
        <v>SOL002</v>
      </c>
      <c r="AT668">
        <v>1</v>
      </c>
      <c r="AU668" t="str">
        <f>_xlfn.XLOOKUP(Table1[[#This Row],[StockOptionLevel]],Table19[StockOptionLevel],Table19[Deskripsi])</f>
        <v>Standard</v>
      </c>
      <c r="AV668">
        <v>4</v>
      </c>
      <c r="AW668">
        <v>3</v>
      </c>
      <c r="AX668" t="str">
        <f>_xlfn.XLOOKUP(Table1[[#This Row],[WorkLifeBalance]],Table20[WorkLifeBalance],Table20[Id_WorkLifeBalance])</f>
        <v>WLB004</v>
      </c>
      <c r="AY668">
        <v>4</v>
      </c>
      <c r="AZ668" t="str">
        <f>_xlfn.XLOOKUP(Table1[[#This Row],[WorkLifeBalance]],Table20[WorkLifeBalance],Table20[Deskripsi])</f>
        <v>Best</v>
      </c>
      <c r="BA668">
        <v>3</v>
      </c>
      <c r="BB668">
        <v>2</v>
      </c>
      <c r="BC668">
        <v>0</v>
      </c>
      <c r="BD668">
        <v>2</v>
      </c>
    </row>
    <row r="669" spans="1:56" x14ac:dyDescent="0.25">
      <c r="A669">
        <v>41</v>
      </c>
      <c r="B669" t="str">
        <f>_xlfn.XLOOKUP(Table1[[#This Row],[Attrition]],Table2[Attrition],Table2[Id_Attrition])</f>
        <v>A001</v>
      </c>
      <c r="C669" t="s">
        <v>32</v>
      </c>
      <c r="D669" t="str">
        <f>_xlfn.XLOOKUP(Table1[[#This Row],[BusinessTravel]],Table5[BusinessTravel],Table5[Id_BusinessTravel])</f>
        <v>BS001</v>
      </c>
      <c r="E669" t="s">
        <v>34</v>
      </c>
      <c r="F669">
        <v>1085</v>
      </c>
      <c r="G669" t="str">
        <f>_xlfn.XLOOKUP(Table1[[#This Row],[Department]],Table6[Department],Table6[Id_Departement])</f>
        <v>D002</v>
      </c>
      <c r="H669" t="s">
        <v>38</v>
      </c>
      <c r="I669">
        <v>2</v>
      </c>
      <c r="J669" t="str">
        <f>_xlfn.XLOOKUP(Table1[[#This Row],[Education]],Table8[Education],Table8[Id_Education])</f>
        <v>E004</v>
      </c>
      <c r="K669">
        <v>4</v>
      </c>
      <c r="L669" t="str">
        <f>_xlfn.XLOOKUP(Table1[[#This Row],[EducationField]],Table7[EducationField],Table7[Id_EducationField])</f>
        <v>EF001</v>
      </c>
      <c r="M669" t="s">
        <v>40</v>
      </c>
      <c r="N669" t="str">
        <f>_xlfn.XLOOKUP(Table1[[#This Row],[EmployeeNumber]],Table4[EmployeeNumber],Table4[Id_Employee])</f>
        <v>EMP00668</v>
      </c>
      <c r="O669">
        <v>927</v>
      </c>
      <c r="P669" t="str">
        <f>_xlfn.XLOOKUP(Table1[[#This Row],[EnvironmentSatisfaction]],Table9[EnvironmentSatisfaction],Table9[Id_EnviromentSatisfaction])</f>
        <v>ES002</v>
      </c>
      <c r="Q669">
        <v>2</v>
      </c>
      <c r="R669" t="str">
        <f>_xlfn.XLOOKUP(Table1[[#This Row],[EnvironmentSatisfaction]],Table9[EnvironmentSatisfaction],Table9[Deskripsi])</f>
        <v>Medium</v>
      </c>
      <c r="S669" t="str">
        <f>_xlfn.XLOOKUP(Table1[[#This Row],[Gender]],Table10[Gender],Table10[Id_Gender])</f>
        <v>G001</v>
      </c>
      <c r="T669" t="s">
        <v>45</v>
      </c>
      <c r="U669">
        <v>57</v>
      </c>
      <c r="V669" t="str">
        <f>_xlfn.XLOOKUP(Table1[[#This Row],[JobInvolvement]],Table11[JobInvolvement],Table11[Id_JobInvolvement])</f>
        <v>JI001</v>
      </c>
      <c r="W669">
        <v>1</v>
      </c>
      <c r="X669" t="str">
        <f>_xlfn.XLOOKUP(Table1[[#This Row],[JobLevel]],Table12[JobLevel],Table12[Id_JobLevel])</f>
        <v>JL001</v>
      </c>
      <c r="Y669">
        <v>1</v>
      </c>
      <c r="Z669" t="str">
        <f>_xlfn.XLOOKUP(Table1[[#This Row],[JobRole]],Table13[JobRole],Table13[Id_JobRole])</f>
        <v>JR003</v>
      </c>
      <c r="AA669" t="s">
        <v>49</v>
      </c>
      <c r="AB669" t="str">
        <f>_xlfn.XLOOKUP(Table1[[#This Row],[JobSatisfaction]],Table14[JobSatisfaction],Table14[Id_JobSatisfaction])</f>
        <v>JS004</v>
      </c>
      <c r="AC669">
        <v>4</v>
      </c>
      <c r="AD669" t="str">
        <f>_xlfn.XLOOKUP(Table1[[#This Row],[JobSatisfaction]],Table14[JobSatisfaction],Table14[Deskripsi])</f>
        <v>Very High</v>
      </c>
      <c r="AE669" t="str">
        <f>_xlfn.XLOOKUP(Table1[[#This Row],[MaritalStatus]],Table15[MaritalStatus],Table15[Id_MaritalStatus])</f>
        <v>MS003</v>
      </c>
      <c r="AF669" t="s">
        <v>57</v>
      </c>
      <c r="AG669">
        <v>2778</v>
      </c>
      <c r="AH669">
        <v>17725</v>
      </c>
      <c r="AI669">
        <v>4</v>
      </c>
      <c r="AJ669" t="str">
        <f>_xlfn.XLOOKUP(Table1[[#This Row],[OverTime]],Table16[OverTime],Table16[Id_OverTime])</f>
        <v>OT001</v>
      </c>
      <c r="AK669" t="s">
        <v>32</v>
      </c>
      <c r="AL669">
        <v>13</v>
      </c>
      <c r="AM669" t="str">
        <f>_xlfn.XLOOKUP(Table1[[#This Row],[PerformanceRating]],Table17[PerformanceRating],Table17[Id_PerformanceRating])</f>
        <v>PR003</v>
      </c>
      <c r="AN669">
        <v>3</v>
      </c>
      <c r="AO669" t="str">
        <f>_xlfn.XLOOKUP(Table1[[#This Row],[PerformanceRating]],Table17[PerformanceRating],Table17[Deskripsi])</f>
        <v>Excellent</v>
      </c>
      <c r="AP669" t="str">
        <f>_xlfn.XLOOKUP(Table1[[#This Row],[RelationshipSatisfaction]],Table18[RelationshipSatisfaction],Table18[Id_RelationshipSatisfaction])</f>
        <v>RS003</v>
      </c>
      <c r="AQ669">
        <v>3</v>
      </c>
      <c r="AR669" t="str">
        <f>_xlfn.XLOOKUP(Table1[[#This Row],[RelationshipSatisfaction]],Table18[RelationshipSatisfaction],Table18[Deskripsi])</f>
        <v>High</v>
      </c>
      <c r="AS669" t="str">
        <f>_xlfn.XLOOKUP(Table1[[#This Row],[StockOptionLevel]],Table19[StockOptionLevel],Table19[Id_StockOptionLevel])</f>
        <v>SOL002</v>
      </c>
      <c r="AT669">
        <v>1</v>
      </c>
      <c r="AU669" t="str">
        <f>_xlfn.XLOOKUP(Table1[[#This Row],[StockOptionLevel]],Table19[StockOptionLevel],Table19[Deskripsi])</f>
        <v>Standard</v>
      </c>
      <c r="AV669">
        <v>10</v>
      </c>
      <c r="AW669">
        <v>1</v>
      </c>
      <c r="AX669" t="str">
        <f>_xlfn.XLOOKUP(Table1[[#This Row],[WorkLifeBalance]],Table20[WorkLifeBalance],Table20[Id_WorkLifeBalance])</f>
        <v>WLB003</v>
      </c>
      <c r="AY669">
        <v>2</v>
      </c>
      <c r="AZ669" t="str">
        <f>_xlfn.XLOOKUP(Table1[[#This Row],[WorkLifeBalance]],Table20[WorkLifeBalance],Table20[Deskripsi])</f>
        <v>Better</v>
      </c>
      <c r="BA669">
        <v>7</v>
      </c>
      <c r="BB669">
        <v>7</v>
      </c>
      <c r="BC669">
        <v>1</v>
      </c>
      <c r="BD669">
        <v>0</v>
      </c>
    </row>
    <row r="670" spans="1:56" x14ac:dyDescent="0.25">
      <c r="A670">
        <v>28</v>
      </c>
      <c r="B670" t="str">
        <f>_xlfn.XLOOKUP(Table1[[#This Row],[Attrition]],Table2[Attrition],Table2[Id_Attrition])</f>
        <v>A002</v>
      </c>
      <c r="C670" t="s">
        <v>33</v>
      </c>
      <c r="D670" t="str">
        <f>_xlfn.XLOOKUP(Table1[[#This Row],[BusinessTravel]],Table5[BusinessTravel],Table5[Id_BusinessTravel])</f>
        <v>BS001</v>
      </c>
      <c r="E670" t="s">
        <v>34</v>
      </c>
      <c r="F670">
        <v>995</v>
      </c>
      <c r="G670" t="str">
        <f>_xlfn.XLOOKUP(Table1[[#This Row],[Department]],Table6[Department],Table6[Id_Departement])</f>
        <v>D002</v>
      </c>
      <c r="H670" t="s">
        <v>38</v>
      </c>
      <c r="I670">
        <v>9</v>
      </c>
      <c r="J670" t="str">
        <f>_xlfn.XLOOKUP(Table1[[#This Row],[Education]],Table8[Education],Table8[Id_Education])</f>
        <v>E003</v>
      </c>
      <c r="K670">
        <v>3</v>
      </c>
      <c r="L670" t="str">
        <f>_xlfn.XLOOKUP(Table1[[#This Row],[EducationField]],Table7[EducationField],Table7[Id_EducationField])</f>
        <v>EF003</v>
      </c>
      <c r="M670" t="s">
        <v>42</v>
      </c>
      <c r="N670" t="str">
        <f>_xlfn.XLOOKUP(Table1[[#This Row],[EmployeeNumber]],Table4[EmployeeNumber],Table4[Id_Employee])</f>
        <v>EMP00669</v>
      </c>
      <c r="O670">
        <v>930</v>
      </c>
      <c r="P670" t="str">
        <f>_xlfn.XLOOKUP(Table1[[#This Row],[EnvironmentSatisfaction]],Table9[EnvironmentSatisfaction],Table9[Id_EnviromentSatisfaction])</f>
        <v>ES003</v>
      </c>
      <c r="Q670">
        <v>3</v>
      </c>
      <c r="R670" t="str">
        <f>_xlfn.XLOOKUP(Table1[[#This Row],[EnvironmentSatisfaction]],Table9[EnvironmentSatisfaction],Table9[Deskripsi])</f>
        <v>High</v>
      </c>
      <c r="S670" t="str">
        <f>_xlfn.XLOOKUP(Table1[[#This Row],[Gender]],Table10[Gender],Table10[Id_Gender])</f>
        <v>G001</v>
      </c>
      <c r="T670" t="s">
        <v>45</v>
      </c>
      <c r="U670">
        <v>77</v>
      </c>
      <c r="V670" t="str">
        <f>_xlfn.XLOOKUP(Table1[[#This Row],[JobInvolvement]],Table11[JobInvolvement],Table11[Id_JobInvolvement])</f>
        <v>JI003</v>
      </c>
      <c r="W670">
        <v>3</v>
      </c>
      <c r="X670" t="str">
        <f>_xlfn.XLOOKUP(Table1[[#This Row],[JobLevel]],Table12[JobLevel],Table12[Id_JobLevel])</f>
        <v>JL001</v>
      </c>
      <c r="Y670">
        <v>1</v>
      </c>
      <c r="Z670" t="str">
        <f>_xlfn.XLOOKUP(Table1[[#This Row],[JobRole]],Table13[JobRole],Table13[Id_JobRole])</f>
        <v>JR002</v>
      </c>
      <c r="AA670" t="s">
        <v>48</v>
      </c>
      <c r="AB670" t="str">
        <f>_xlfn.XLOOKUP(Table1[[#This Row],[JobSatisfaction]],Table14[JobSatisfaction],Table14[Id_JobSatisfaction])</f>
        <v>JS003</v>
      </c>
      <c r="AC670">
        <v>3</v>
      </c>
      <c r="AD670" t="str">
        <f>_xlfn.XLOOKUP(Table1[[#This Row],[JobSatisfaction]],Table14[JobSatisfaction],Table14[Deskripsi])</f>
        <v>High</v>
      </c>
      <c r="AE670" t="str">
        <f>_xlfn.XLOOKUP(Table1[[#This Row],[MaritalStatus]],Table15[MaritalStatus],Table15[Id_MaritalStatus])</f>
        <v>MS003</v>
      </c>
      <c r="AF670" t="s">
        <v>57</v>
      </c>
      <c r="AG670">
        <v>2377</v>
      </c>
      <c r="AH670">
        <v>9834</v>
      </c>
      <c r="AI670">
        <v>5</v>
      </c>
      <c r="AJ670" t="str">
        <f>_xlfn.XLOOKUP(Table1[[#This Row],[OverTime]],Table16[OverTime],Table16[Id_OverTime])</f>
        <v>OT002</v>
      </c>
      <c r="AK670" t="s">
        <v>33</v>
      </c>
      <c r="AL670">
        <v>18</v>
      </c>
      <c r="AM670" t="str">
        <f>_xlfn.XLOOKUP(Table1[[#This Row],[PerformanceRating]],Table17[PerformanceRating],Table17[Id_PerformanceRating])</f>
        <v>PR003</v>
      </c>
      <c r="AN670">
        <v>3</v>
      </c>
      <c r="AO670" t="str">
        <f>_xlfn.XLOOKUP(Table1[[#This Row],[PerformanceRating]],Table17[PerformanceRating],Table17[Deskripsi])</f>
        <v>Excellent</v>
      </c>
      <c r="AP670" t="str">
        <f>_xlfn.XLOOKUP(Table1[[#This Row],[RelationshipSatisfaction]],Table18[RelationshipSatisfaction],Table18[Id_RelationshipSatisfaction])</f>
        <v>RS002</v>
      </c>
      <c r="AQ670">
        <v>2</v>
      </c>
      <c r="AR670" t="str">
        <f>_xlfn.XLOOKUP(Table1[[#This Row],[RelationshipSatisfaction]],Table18[RelationshipSatisfaction],Table18[Deskripsi])</f>
        <v>Medium</v>
      </c>
      <c r="AS670" t="str">
        <f>_xlfn.XLOOKUP(Table1[[#This Row],[StockOptionLevel]],Table19[StockOptionLevel],Table19[Id_StockOptionLevel])</f>
        <v>SOL002</v>
      </c>
      <c r="AT670">
        <v>1</v>
      </c>
      <c r="AU670" t="str">
        <f>_xlfn.XLOOKUP(Table1[[#This Row],[StockOptionLevel]],Table19[StockOptionLevel],Table19[Deskripsi])</f>
        <v>Standard</v>
      </c>
      <c r="AV670">
        <v>6</v>
      </c>
      <c r="AW670">
        <v>2</v>
      </c>
      <c r="AX670" t="str">
        <f>_xlfn.XLOOKUP(Table1[[#This Row],[WorkLifeBalance]],Table20[WorkLifeBalance],Table20[Id_WorkLifeBalance])</f>
        <v>WLB002</v>
      </c>
      <c r="AY670">
        <v>3</v>
      </c>
      <c r="AZ670" t="str">
        <f>_xlfn.XLOOKUP(Table1[[#This Row],[WorkLifeBalance]],Table20[WorkLifeBalance],Table20[Deskripsi])</f>
        <v>Good</v>
      </c>
      <c r="BA670">
        <v>2</v>
      </c>
      <c r="BB670">
        <v>2</v>
      </c>
      <c r="BC670">
        <v>2</v>
      </c>
      <c r="BD670">
        <v>2</v>
      </c>
    </row>
    <row r="671" spans="1:56" x14ac:dyDescent="0.25">
      <c r="A671">
        <v>39</v>
      </c>
      <c r="B671" t="str">
        <f>_xlfn.XLOOKUP(Table1[[#This Row],[Attrition]],Table2[Attrition],Table2[Id_Attrition])</f>
        <v>A001</v>
      </c>
      <c r="C671" t="s">
        <v>32</v>
      </c>
      <c r="D671" t="str">
        <f>_xlfn.XLOOKUP(Table1[[#This Row],[BusinessTravel]],Table5[BusinessTravel],Table5[Id_BusinessTravel])</f>
        <v>BS001</v>
      </c>
      <c r="E671" t="s">
        <v>34</v>
      </c>
      <c r="F671">
        <v>1122</v>
      </c>
      <c r="G671" t="str">
        <f>_xlfn.XLOOKUP(Table1[[#This Row],[Department]],Table6[Department],Table6[Id_Departement])</f>
        <v>D002</v>
      </c>
      <c r="H671" t="s">
        <v>38</v>
      </c>
      <c r="I671">
        <v>6</v>
      </c>
      <c r="J671" t="str">
        <f>_xlfn.XLOOKUP(Table1[[#This Row],[Education]],Table8[Education],Table8[Id_Education])</f>
        <v>E003</v>
      </c>
      <c r="K671">
        <v>3</v>
      </c>
      <c r="L671" t="str">
        <f>_xlfn.XLOOKUP(Table1[[#This Row],[EducationField]],Table7[EducationField],Table7[Id_EducationField])</f>
        <v>EF003</v>
      </c>
      <c r="M671" t="s">
        <v>42</v>
      </c>
      <c r="N671" t="str">
        <f>_xlfn.XLOOKUP(Table1[[#This Row],[EmployeeNumber]],Table4[EmployeeNumber],Table4[Id_Employee])</f>
        <v>EMP00670</v>
      </c>
      <c r="O671">
        <v>932</v>
      </c>
      <c r="P671" t="str">
        <f>_xlfn.XLOOKUP(Table1[[#This Row],[EnvironmentSatisfaction]],Table9[EnvironmentSatisfaction],Table9[Id_EnviromentSatisfaction])</f>
        <v>ES004</v>
      </c>
      <c r="Q671">
        <v>4</v>
      </c>
      <c r="R671" t="str">
        <f>_xlfn.XLOOKUP(Table1[[#This Row],[EnvironmentSatisfaction]],Table9[EnvironmentSatisfaction],Table9[Deskripsi])</f>
        <v>Very High</v>
      </c>
      <c r="S671" t="str">
        <f>_xlfn.XLOOKUP(Table1[[#This Row],[Gender]],Table10[Gender],Table10[Id_Gender])</f>
        <v>G002</v>
      </c>
      <c r="T671" t="s">
        <v>46</v>
      </c>
      <c r="U671">
        <v>70</v>
      </c>
      <c r="V671" t="str">
        <f>_xlfn.XLOOKUP(Table1[[#This Row],[JobInvolvement]],Table11[JobInvolvement],Table11[Id_JobInvolvement])</f>
        <v>JI003</v>
      </c>
      <c r="W671">
        <v>3</v>
      </c>
      <c r="X671" t="str">
        <f>_xlfn.XLOOKUP(Table1[[#This Row],[JobLevel]],Table12[JobLevel],Table12[Id_JobLevel])</f>
        <v>JL001</v>
      </c>
      <c r="Y671">
        <v>1</v>
      </c>
      <c r="Z671" t="str">
        <f>_xlfn.XLOOKUP(Table1[[#This Row],[JobRole]],Table13[JobRole],Table13[Id_JobRole])</f>
        <v>JR003</v>
      </c>
      <c r="AA671" t="s">
        <v>49</v>
      </c>
      <c r="AB671" t="str">
        <f>_xlfn.XLOOKUP(Table1[[#This Row],[JobSatisfaction]],Table14[JobSatisfaction],Table14[Id_JobSatisfaction])</f>
        <v>JS001</v>
      </c>
      <c r="AC671">
        <v>1</v>
      </c>
      <c r="AD671" t="str">
        <f>_xlfn.XLOOKUP(Table1[[#This Row],[JobSatisfaction]],Table14[JobSatisfaction],Table14[Deskripsi])</f>
        <v>Low</v>
      </c>
      <c r="AE671" t="str">
        <f>_xlfn.XLOOKUP(Table1[[#This Row],[MaritalStatus]],Table15[MaritalStatus],Table15[Id_MaritalStatus])</f>
        <v>MS002</v>
      </c>
      <c r="AF671" t="s">
        <v>56</v>
      </c>
      <c r="AG671">
        <v>2404</v>
      </c>
      <c r="AH671">
        <v>4303</v>
      </c>
      <c r="AI671">
        <v>7</v>
      </c>
      <c r="AJ671" t="str">
        <f>_xlfn.XLOOKUP(Table1[[#This Row],[OverTime]],Table16[OverTime],Table16[Id_OverTime])</f>
        <v>OT001</v>
      </c>
      <c r="AK671" t="s">
        <v>32</v>
      </c>
      <c r="AL671">
        <v>21</v>
      </c>
      <c r="AM671" t="str">
        <f>_xlfn.XLOOKUP(Table1[[#This Row],[PerformanceRating]],Table17[PerformanceRating],Table17[Id_PerformanceRating])</f>
        <v>PR004</v>
      </c>
      <c r="AN671">
        <v>4</v>
      </c>
      <c r="AO671" t="str">
        <f>_xlfn.XLOOKUP(Table1[[#This Row],[PerformanceRating]],Table17[PerformanceRating],Table17[Deskripsi])</f>
        <v>Outstanding</v>
      </c>
      <c r="AP671" t="str">
        <f>_xlfn.XLOOKUP(Table1[[#This Row],[RelationshipSatisfaction]],Table18[RelationshipSatisfaction],Table18[Id_RelationshipSatisfaction])</f>
        <v>RS004</v>
      </c>
      <c r="AQ671">
        <v>4</v>
      </c>
      <c r="AR671" t="str">
        <f>_xlfn.XLOOKUP(Table1[[#This Row],[RelationshipSatisfaction]],Table18[RelationshipSatisfaction],Table18[Deskripsi])</f>
        <v>Very High</v>
      </c>
      <c r="AS671" t="str">
        <f>_xlfn.XLOOKUP(Table1[[#This Row],[StockOptionLevel]],Table19[StockOptionLevel],Table19[Id_StockOptionLevel])</f>
        <v>SOL001</v>
      </c>
      <c r="AT671">
        <v>0</v>
      </c>
      <c r="AU671" t="str">
        <f>_xlfn.XLOOKUP(Table1[[#This Row],[StockOptionLevel]],Table19[StockOptionLevel],Table19[Deskripsi])</f>
        <v>Non-Eligible</v>
      </c>
      <c r="AV671">
        <v>8</v>
      </c>
      <c r="AW671">
        <v>2</v>
      </c>
      <c r="AX671" t="str">
        <f>_xlfn.XLOOKUP(Table1[[#This Row],[WorkLifeBalance]],Table20[WorkLifeBalance],Table20[Id_WorkLifeBalance])</f>
        <v>WLB001</v>
      </c>
      <c r="AY671">
        <v>1</v>
      </c>
      <c r="AZ671" t="str">
        <f>_xlfn.XLOOKUP(Table1[[#This Row],[WorkLifeBalance]],Table20[WorkLifeBalance],Table20[Deskripsi])</f>
        <v>Bad</v>
      </c>
      <c r="BA671">
        <v>2</v>
      </c>
      <c r="BB671">
        <v>2</v>
      </c>
      <c r="BC671">
        <v>2</v>
      </c>
      <c r="BD671">
        <v>2</v>
      </c>
    </row>
    <row r="672" spans="1:56" x14ac:dyDescent="0.25">
      <c r="A672">
        <v>27</v>
      </c>
      <c r="B672" t="str">
        <f>_xlfn.XLOOKUP(Table1[[#This Row],[Attrition]],Table2[Attrition],Table2[Id_Attrition])</f>
        <v>A002</v>
      </c>
      <c r="C672" t="s">
        <v>33</v>
      </c>
      <c r="D672" t="str">
        <f>_xlfn.XLOOKUP(Table1[[#This Row],[BusinessTravel]],Table5[BusinessTravel],Table5[Id_BusinessTravel])</f>
        <v>BS001</v>
      </c>
      <c r="E672" t="s">
        <v>34</v>
      </c>
      <c r="F672">
        <v>618</v>
      </c>
      <c r="G672" t="str">
        <f>_xlfn.XLOOKUP(Table1[[#This Row],[Department]],Table6[Department],Table6[Id_Departement])</f>
        <v>D002</v>
      </c>
      <c r="H672" t="s">
        <v>38</v>
      </c>
      <c r="I672">
        <v>4</v>
      </c>
      <c r="J672" t="str">
        <f>_xlfn.XLOOKUP(Table1[[#This Row],[Education]],Table8[Education],Table8[Id_Education])</f>
        <v>E003</v>
      </c>
      <c r="K672">
        <v>3</v>
      </c>
      <c r="L672" t="str">
        <f>_xlfn.XLOOKUP(Table1[[#This Row],[EducationField]],Table7[EducationField],Table7[Id_EducationField])</f>
        <v>EF001</v>
      </c>
      <c r="M672" t="s">
        <v>40</v>
      </c>
      <c r="N672" t="str">
        <f>_xlfn.XLOOKUP(Table1[[#This Row],[EmployeeNumber]],Table4[EmployeeNumber],Table4[Id_Employee])</f>
        <v>EMP00671</v>
      </c>
      <c r="O672">
        <v>933</v>
      </c>
      <c r="P672" t="str">
        <f>_xlfn.XLOOKUP(Table1[[#This Row],[EnvironmentSatisfaction]],Table9[EnvironmentSatisfaction],Table9[Id_EnviromentSatisfaction])</f>
        <v>ES002</v>
      </c>
      <c r="Q672">
        <v>2</v>
      </c>
      <c r="R672" t="str">
        <f>_xlfn.XLOOKUP(Table1[[#This Row],[EnvironmentSatisfaction]],Table9[EnvironmentSatisfaction],Table9[Deskripsi])</f>
        <v>Medium</v>
      </c>
      <c r="S672" t="str">
        <f>_xlfn.XLOOKUP(Table1[[#This Row],[Gender]],Table10[Gender],Table10[Id_Gender])</f>
        <v>G001</v>
      </c>
      <c r="T672" t="s">
        <v>45</v>
      </c>
      <c r="U672">
        <v>76</v>
      </c>
      <c r="V672" t="str">
        <f>_xlfn.XLOOKUP(Table1[[#This Row],[JobInvolvement]],Table11[JobInvolvement],Table11[Id_JobInvolvement])</f>
        <v>JI003</v>
      </c>
      <c r="W672">
        <v>3</v>
      </c>
      <c r="X672" t="str">
        <f>_xlfn.XLOOKUP(Table1[[#This Row],[JobLevel]],Table12[JobLevel],Table12[Id_JobLevel])</f>
        <v>JL001</v>
      </c>
      <c r="Y672">
        <v>1</v>
      </c>
      <c r="Z672" t="str">
        <f>_xlfn.XLOOKUP(Table1[[#This Row],[JobRole]],Table13[JobRole],Table13[Id_JobRole])</f>
        <v>JR002</v>
      </c>
      <c r="AA672" t="s">
        <v>48</v>
      </c>
      <c r="AB672" t="str">
        <f>_xlfn.XLOOKUP(Table1[[#This Row],[JobSatisfaction]],Table14[JobSatisfaction],Table14[Id_JobSatisfaction])</f>
        <v>JS003</v>
      </c>
      <c r="AC672">
        <v>3</v>
      </c>
      <c r="AD672" t="str">
        <f>_xlfn.XLOOKUP(Table1[[#This Row],[JobSatisfaction]],Table14[JobSatisfaction],Table14[Deskripsi])</f>
        <v>High</v>
      </c>
      <c r="AE672" t="str">
        <f>_xlfn.XLOOKUP(Table1[[#This Row],[MaritalStatus]],Table15[MaritalStatus],Table15[Id_MaritalStatus])</f>
        <v>MS001</v>
      </c>
      <c r="AF672" t="s">
        <v>55</v>
      </c>
      <c r="AG672">
        <v>2318</v>
      </c>
      <c r="AH672">
        <v>17808</v>
      </c>
      <c r="AI672">
        <v>1</v>
      </c>
      <c r="AJ672" t="str">
        <f>_xlfn.XLOOKUP(Table1[[#This Row],[OverTime]],Table16[OverTime],Table16[Id_OverTime])</f>
        <v>OT002</v>
      </c>
      <c r="AK672" t="s">
        <v>33</v>
      </c>
      <c r="AL672">
        <v>19</v>
      </c>
      <c r="AM672" t="str">
        <f>_xlfn.XLOOKUP(Table1[[#This Row],[PerformanceRating]],Table17[PerformanceRating],Table17[Id_PerformanceRating])</f>
        <v>PR003</v>
      </c>
      <c r="AN672">
        <v>3</v>
      </c>
      <c r="AO672" t="str">
        <f>_xlfn.XLOOKUP(Table1[[#This Row],[PerformanceRating]],Table17[PerformanceRating],Table17[Deskripsi])</f>
        <v>Excellent</v>
      </c>
      <c r="AP672" t="str">
        <f>_xlfn.XLOOKUP(Table1[[#This Row],[RelationshipSatisfaction]],Table18[RelationshipSatisfaction],Table18[Id_RelationshipSatisfaction])</f>
        <v>RS003</v>
      </c>
      <c r="AQ672">
        <v>3</v>
      </c>
      <c r="AR672" t="str">
        <f>_xlfn.XLOOKUP(Table1[[#This Row],[RelationshipSatisfaction]],Table18[RelationshipSatisfaction],Table18[Deskripsi])</f>
        <v>High</v>
      </c>
      <c r="AS672" t="str">
        <f>_xlfn.XLOOKUP(Table1[[#This Row],[StockOptionLevel]],Table19[StockOptionLevel],Table19[Id_StockOptionLevel])</f>
        <v>SOL001</v>
      </c>
      <c r="AT672">
        <v>0</v>
      </c>
      <c r="AU672" t="str">
        <f>_xlfn.XLOOKUP(Table1[[#This Row],[StockOptionLevel]],Table19[StockOptionLevel],Table19[Deskripsi])</f>
        <v>Non-Eligible</v>
      </c>
      <c r="AV672">
        <v>1</v>
      </c>
      <c r="AW672">
        <v>2</v>
      </c>
      <c r="AX672" t="str">
        <f>_xlfn.XLOOKUP(Table1[[#This Row],[WorkLifeBalance]],Table20[WorkLifeBalance],Table20[Id_WorkLifeBalance])</f>
        <v>WLB002</v>
      </c>
      <c r="AY672">
        <v>3</v>
      </c>
      <c r="AZ672" t="str">
        <f>_xlfn.XLOOKUP(Table1[[#This Row],[WorkLifeBalance]],Table20[WorkLifeBalance],Table20[Deskripsi])</f>
        <v>Good</v>
      </c>
      <c r="BA672">
        <v>1</v>
      </c>
      <c r="BB672">
        <v>1</v>
      </c>
      <c r="BC672">
        <v>0</v>
      </c>
      <c r="BD672">
        <v>0</v>
      </c>
    </row>
    <row r="673" spans="1:56" x14ac:dyDescent="0.25">
      <c r="A673">
        <v>34</v>
      </c>
      <c r="B673" t="str">
        <f>_xlfn.XLOOKUP(Table1[[#This Row],[Attrition]],Table2[Attrition],Table2[Id_Attrition])</f>
        <v>A002</v>
      </c>
      <c r="C673" t="s">
        <v>33</v>
      </c>
      <c r="D673" t="str">
        <f>_xlfn.XLOOKUP(Table1[[#This Row],[BusinessTravel]],Table5[BusinessTravel],Table5[Id_BusinessTravel])</f>
        <v>BS001</v>
      </c>
      <c r="E673" t="s">
        <v>34</v>
      </c>
      <c r="F673">
        <v>546</v>
      </c>
      <c r="G673" t="str">
        <f>_xlfn.XLOOKUP(Table1[[#This Row],[Department]],Table6[Department],Table6[Id_Departement])</f>
        <v>D002</v>
      </c>
      <c r="H673" t="s">
        <v>38</v>
      </c>
      <c r="I673">
        <v>10</v>
      </c>
      <c r="J673" t="str">
        <f>_xlfn.XLOOKUP(Table1[[#This Row],[Education]],Table8[Education],Table8[Id_Education])</f>
        <v>E003</v>
      </c>
      <c r="K673">
        <v>3</v>
      </c>
      <c r="L673" t="str">
        <f>_xlfn.XLOOKUP(Table1[[#This Row],[EducationField]],Table7[EducationField],Table7[Id_EducationField])</f>
        <v>EF001</v>
      </c>
      <c r="M673" t="s">
        <v>40</v>
      </c>
      <c r="N673" t="str">
        <f>_xlfn.XLOOKUP(Table1[[#This Row],[EmployeeNumber]],Table4[EmployeeNumber],Table4[Id_Employee])</f>
        <v>EMP00672</v>
      </c>
      <c r="O673">
        <v>934</v>
      </c>
      <c r="P673" t="str">
        <f>_xlfn.XLOOKUP(Table1[[#This Row],[EnvironmentSatisfaction]],Table9[EnvironmentSatisfaction],Table9[Id_EnviromentSatisfaction])</f>
        <v>ES002</v>
      </c>
      <c r="Q673">
        <v>2</v>
      </c>
      <c r="R673" t="str">
        <f>_xlfn.XLOOKUP(Table1[[#This Row],[EnvironmentSatisfaction]],Table9[EnvironmentSatisfaction],Table9[Deskripsi])</f>
        <v>Medium</v>
      </c>
      <c r="S673" t="str">
        <f>_xlfn.XLOOKUP(Table1[[#This Row],[Gender]],Table10[Gender],Table10[Id_Gender])</f>
        <v>G002</v>
      </c>
      <c r="T673" t="s">
        <v>46</v>
      </c>
      <c r="U673">
        <v>83</v>
      </c>
      <c r="V673" t="str">
        <f>_xlfn.XLOOKUP(Table1[[#This Row],[JobInvolvement]],Table11[JobInvolvement],Table11[Id_JobInvolvement])</f>
        <v>JI003</v>
      </c>
      <c r="W673">
        <v>3</v>
      </c>
      <c r="X673" t="str">
        <f>_xlfn.XLOOKUP(Table1[[#This Row],[JobLevel]],Table12[JobLevel],Table12[Id_JobLevel])</f>
        <v>JL001</v>
      </c>
      <c r="Y673">
        <v>1</v>
      </c>
      <c r="Z673" t="str">
        <f>_xlfn.XLOOKUP(Table1[[#This Row],[JobRole]],Table13[JobRole],Table13[Id_JobRole])</f>
        <v>JR003</v>
      </c>
      <c r="AA673" t="s">
        <v>49</v>
      </c>
      <c r="AB673" t="str">
        <f>_xlfn.XLOOKUP(Table1[[#This Row],[JobSatisfaction]],Table14[JobSatisfaction],Table14[Id_JobSatisfaction])</f>
        <v>JS002</v>
      </c>
      <c r="AC673">
        <v>2</v>
      </c>
      <c r="AD673" t="str">
        <f>_xlfn.XLOOKUP(Table1[[#This Row],[JobSatisfaction]],Table14[JobSatisfaction],Table14[Deskripsi])</f>
        <v>Medium</v>
      </c>
      <c r="AE673" t="str">
        <f>_xlfn.XLOOKUP(Table1[[#This Row],[MaritalStatus]],Table15[MaritalStatus],Table15[Id_MaritalStatus])</f>
        <v>MS003</v>
      </c>
      <c r="AF673" t="s">
        <v>57</v>
      </c>
      <c r="AG673">
        <v>2008</v>
      </c>
      <c r="AH673">
        <v>6896</v>
      </c>
      <c r="AI673">
        <v>1</v>
      </c>
      <c r="AJ673" t="str">
        <f>_xlfn.XLOOKUP(Table1[[#This Row],[OverTime]],Table16[OverTime],Table16[Id_OverTime])</f>
        <v>OT002</v>
      </c>
      <c r="AK673" t="s">
        <v>33</v>
      </c>
      <c r="AL673">
        <v>14</v>
      </c>
      <c r="AM673" t="str">
        <f>_xlfn.XLOOKUP(Table1[[#This Row],[PerformanceRating]],Table17[PerformanceRating],Table17[Id_PerformanceRating])</f>
        <v>PR003</v>
      </c>
      <c r="AN673">
        <v>3</v>
      </c>
      <c r="AO673" t="str">
        <f>_xlfn.XLOOKUP(Table1[[#This Row],[PerformanceRating]],Table17[PerformanceRating],Table17[Deskripsi])</f>
        <v>Excellent</v>
      </c>
      <c r="AP673" t="str">
        <f>_xlfn.XLOOKUP(Table1[[#This Row],[RelationshipSatisfaction]],Table18[RelationshipSatisfaction],Table18[Id_RelationshipSatisfaction])</f>
        <v>RS002</v>
      </c>
      <c r="AQ673">
        <v>2</v>
      </c>
      <c r="AR673" t="str">
        <f>_xlfn.XLOOKUP(Table1[[#This Row],[RelationshipSatisfaction]],Table18[RelationshipSatisfaction],Table18[Deskripsi])</f>
        <v>Medium</v>
      </c>
      <c r="AS673" t="str">
        <f>_xlfn.XLOOKUP(Table1[[#This Row],[StockOptionLevel]],Table19[StockOptionLevel],Table19[Id_StockOptionLevel])</f>
        <v>SOL003</v>
      </c>
      <c r="AT673">
        <v>2</v>
      </c>
      <c r="AU673" t="str">
        <f>_xlfn.XLOOKUP(Table1[[#This Row],[StockOptionLevel]],Table19[StockOptionLevel],Table19[Deskripsi])</f>
        <v>Intermediate</v>
      </c>
      <c r="AV673">
        <v>1</v>
      </c>
      <c r="AW673">
        <v>3</v>
      </c>
      <c r="AX673" t="str">
        <f>_xlfn.XLOOKUP(Table1[[#This Row],[WorkLifeBalance]],Table20[WorkLifeBalance],Table20[Id_WorkLifeBalance])</f>
        <v>WLB002</v>
      </c>
      <c r="AY673">
        <v>3</v>
      </c>
      <c r="AZ673" t="str">
        <f>_xlfn.XLOOKUP(Table1[[#This Row],[WorkLifeBalance]],Table20[WorkLifeBalance],Table20[Deskripsi])</f>
        <v>Good</v>
      </c>
      <c r="BA673">
        <v>1</v>
      </c>
      <c r="BB673">
        <v>0</v>
      </c>
      <c r="BC673">
        <v>1</v>
      </c>
      <c r="BD673">
        <v>0</v>
      </c>
    </row>
    <row r="674" spans="1:56" x14ac:dyDescent="0.25">
      <c r="A674">
        <v>42</v>
      </c>
      <c r="B674" t="str">
        <f>_xlfn.XLOOKUP(Table1[[#This Row],[Attrition]],Table2[Attrition],Table2[Id_Attrition])</f>
        <v>A002</v>
      </c>
      <c r="C674" t="s">
        <v>33</v>
      </c>
      <c r="D674" t="str">
        <f>_xlfn.XLOOKUP(Table1[[#This Row],[BusinessTravel]],Table5[BusinessTravel],Table5[Id_BusinessTravel])</f>
        <v>BS001</v>
      </c>
      <c r="E674" t="s">
        <v>34</v>
      </c>
      <c r="F674">
        <v>462</v>
      </c>
      <c r="G674" t="str">
        <f>_xlfn.XLOOKUP(Table1[[#This Row],[Department]],Table6[Department],Table6[Id_Departement])</f>
        <v>D001</v>
      </c>
      <c r="H674" t="s">
        <v>37</v>
      </c>
      <c r="I674">
        <v>14</v>
      </c>
      <c r="J674" t="str">
        <f>_xlfn.XLOOKUP(Table1[[#This Row],[Education]],Table8[Education],Table8[Id_Education])</f>
        <v>E002</v>
      </c>
      <c r="K674">
        <v>2</v>
      </c>
      <c r="L674" t="str">
        <f>_xlfn.XLOOKUP(Table1[[#This Row],[EducationField]],Table7[EducationField],Table7[Id_EducationField])</f>
        <v>EF003</v>
      </c>
      <c r="M674" t="s">
        <v>42</v>
      </c>
      <c r="N674" t="str">
        <f>_xlfn.XLOOKUP(Table1[[#This Row],[EmployeeNumber]],Table4[EmployeeNumber],Table4[Id_Employee])</f>
        <v>EMP00673</v>
      </c>
      <c r="O674">
        <v>936</v>
      </c>
      <c r="P674" t="str">
        <f>_xlfn.XLOOKUP(Table1[[#This Row],[EnvironmentSatisfaction]],Table9[EnvironmentSatisfaction],Table9[Id_EnviromentSatisfaction])</f>
        <v>ES003</v>
      </c>
      <c r="Q674">
        <v>3</v>
      </c>
      <c r="R674" t="str">
        <f>_xlfn.XLOOKUP(Table1[[#This Row],[EnvironmentSatisfaction]],Table9[EnvironmentSatisfaction],Table9[Deskripsi])</f>
        <v>High</v>
      </c>
      <c r="S674" t="str">
        <f>_xlfn.XLOOKUP(Table1[[#This Row],[Gender]],Table10[Gender],Table10[Id_Gender])</f>
        <v>G001</v>
      </c>
      <c r="T674" t="s">
        <v>45</v>
      </c>
      <c r="U674">
        <v>68</v>
      </c>
      <c r="V674" t="str">
        <f>_xlfn.XLOOKUP(Table1[[#This Row],[JobInvolvement]],Table11[JobInvolvement],Table11[Id_JobInvolvement])</f>
        <v>JI002</v>
      </c>
      <c r="W674">
        <v>2</v>
      </c>
      <c r="X674" t="str">
        <f>_xlfn.XLOOKUP(Table1[[#This Row],[JobLevel]],Table12[JobLevel],Table12[Id_JobLevel])</f>
        <v>JL002</v>
      </c>
      <c r="Y674">
        <v>2</v>
      </c>
      <c r="Z674" t="str">
        <f>_xlfn.XLOOKUP(Table1[[#This Row],[JobRole]],Table13[JobRole],Table13[Id_JobRole])</f>
        <v>JR001</v>
      </c>
      <c r="AA674" t="s">
        <v>47</v>
      </c>
      <c r="AB674" t="str">
        <f>_xlfn.XLOOKUP(Table1[[#This Row],[JobSatisfaction]],Table14[JobSatisfaction],Table14[Id_JobSatisfaction])</f>
        <v>JS003</v>
      </c>
      <c r="AC674">
        <v>3</v>
      </c>
      <c r="AD674" t="str">
        <f>_xlfn.XLOOKUP(Table1[[#This Row],[JobSatisfaction]],Table14[JobSatisfaction],Table14[Deskripsi])</f>
        <v>High</v>
      </c>
      <c r="AE674" t="str">
        <f>_xlfn.XLOOKUP(Table1[[#This Row],[MaritalStatus]],Table15[MaritalStatus],Table15[Id_MaritalStatus])</f>
        <v>MS001</v>
      </c>
      <c r="AF674" t="s">
        <v>55</v>
      </c>
      <c r="AG674">
        <v>6244</v>
      </c>
      <c r="AH674">
        <v>7824</v>
      </c>
      <c r="AI674">
        <v>7</v>
      </c>
      <c r="AJ674" t="str">
        <f>_xlfn.XLOOKUP(Table1[[#This Row],[OverTime]],Table16[OverTime],Table16[Id_OverTime])</f>
        <v>OT002</v>
      </c>
      <c r="AK674" t="s">
        <v>33</v>
      </c>
      <c r="AL674">
        <v>17</v>
      </c>
      <c r="AM674" t="str">
        <f>_xlfn.XLOOKUP(Table1[[#This Row],[PerformanceRating]],Table17[PerformanceRating],Table17[Id_PerformanceRating])</f>
        <v>PR003</v>
      </c>
      <c r="AN674">
        <v>3</v>
      </c>
      <c r="AO674" t="str">
        <f>_xlfn.XLOOKUP(Table1[[#This Row],[PerformanceRating]],Table17[PerformanceRating],Table17[Deskripsi])</f>
        <v>Excellent</v>
      </c>
      <c r="AP674" t="str">
        <f>_xlfn.XLOOKUP(Table1[[#This Row],[RelationshipSatisfaction]],Table18[RelationshipSatisfaction],Table18[Id_RelationshipSatisfaction])</f>
        <v>RS001</v>
      </c>
      <c r="AQ674">
        <v>1</v>
      </c>
      <c r="AR674" t="str">
        <f>_xlfn.XLOOKUP(Table1[[#This Row],[RelationshipSatisfaction]],Table18[RelationshipSatisfaction],Table18[Deskripsi])</f>
        <v>Low</v>
      </c>
      <c r="AS674" t="str">
        <f>_xlfn.XLOOKUP(Table1[[#This Row],[StockOptionLevel]],Table19[StockOptionLevel],Table19[Id_StockOptionLevel])</f>
        <v>SOL001</v>
      </c>
      <c r="AT674">
        <v>0</v>
      </c>
      <c r="AU674" t="str">
        <f>_xlfn.XLOOKUP(Table1[[#This Row],[StockOptionLevel]],Table19[StockOptionLevel],Table19[Deskripsi])</f>
        <v>Non-Eligible</v>
      </c>
      <c r="AV674">
        <v>10</v>
      </c>
      <c r="AW674">
        <v>6</v>
      </c>
      <c r="AX674" t="str">
        <f>_xlfn.XLOOKUP(Table1[[#This Row],[WorkLifeBalance]],Table20[WorkLifeBalance],Table20[Id_WorkLifeBalance])</f>
        <v>WLB002</v>
      </c>
      <c r="AY674">
        <v>3</v>
      </c>
      <c r="AZ674" t="str">
        <f>_xlfn.XLOOKUP(Table1[[#This Row],[WorkLifeBalance]],Table20[WorkLifeBalance],Table20[Deskripsi])</f>
        <v>Good</v>
      </c>
      <c r="BA674">
        <v>5</v>
      </c>
      <c r="BB674">
        <v>4</v>
      </c>
      <c r="BC674">
        <v>0</v>
      </c>
      <c r="BD674">
        <v>3</v>
      </c>
    </row>
    <row r="675" spans="1:56" x14ac:dyDescent="0.25">
      <c r="A675">
        <v>33</v>
      </c>
      <c r="B675" t="str">
        <f>_xlfn.XLOOKUP(Table1[[#This Row],[Attrition]],Table2[Attrition],Table2[Id_Attrition])</f>
        <v>A002</v>
      </c>
      <c r="C675" t="s">
        <v>33</v>
      </c>
      <c r="D675" t="str">
        <f>_xlfn.XLOOKUP(Table1[[#This Row],[BusinessTravel]],Table5[BusinessTravel],Table5[Id_BusinessTravel])</f>
        <v>BS001</v>
      </c>
      <c r="E675" t="s">
        <v>34</v>
      </c>
      <c r="F675">
        <v>1198</v>
      </c>
      <c r="G675" t="str">
        <f>_xlfn.XLOOKUP(Table1[[#This Row],[Department]],Table6[Department],Table6[Id_Departement])</f>
        <v>D002</v>
      </c>
      <c r="H675" t="s">
        <v>38</v>
      </c>
      <c r="I675">
        <v>1</v>
      </c>
      <c r="J675" t="str">
        <f>_xlfn.XLOOKUP(Table1[[#This Row],[Education]],Table8[Education],Table8[Id_Education])</f>
        <v>E004</v>
      </c>
      <c r="K675">
        <v>4</v>
      </c>
      <c r="L675" t="str">
        <f>_xlfn.XLOOKUP(Table1[[#This Row],[EducationField]],Table7[EducationField],Table7[Id_EducationField])</f>
        <v>EF002</v>
      </c>
      <c r="M675" t="s">
        <v>41</v>
      </c>
      <c r="N675" t="str">
        <f>_xlfn.XLOOKUP(Table1[[#This Row],[EmployeeNumber]],Table4[EmployeeNumber],Table4[Id_Employee])</f>
        <v>EMP00674</v>
      </c>
      <c r="O675">
        <v>939</v>
      </c>
      <c r="P675" t="str">
        <f>_xlfn.XLOOKUP(Table1[[#This Row],[EnvironmentSatisfaction]],Table9[EnvironmentSatisfaction],Table9[Id_EnviromentSatisfaction])</f>
        <v>ES003</v>
      </c>
      <c r="Q675">
        <v>3</v>
      </c>
      <c r="R675" t="str">
        <f>_xlfn.XLOOKUP(Table1[[#This Row],[EnvironmentSatisfaction]],Table9[EnvironmentSatisfaction],Table9[Deskripsi])</f>
        <v>High</v>
      </c>
      <c r="S675" t="str">
        <f>_xlfn.XLOOKUP(Table1[[#This Row],[Gender]],Table10[Gender],Table10[Id_Gender])</f>
        <v>G002</v>
      </c>
      <c r="T675" t="s">
        <v>46</v>
      </c>
      <c r="U675">
        <v>100</v>
      </c>
      <c r="V675" t="str">
        <f>_xlfn.XLOOKUP(Table1[[#This Row],[JobInvolvement]],Table11[JobInvolvement],Table11[Id_JobInvolvement])</f>
        <v>JI002</v>
      </c>
      <c r="W675">
        <v>2</v>
      </c>
      <c r="X675" t="str">
        <f>_xlfn.XLOOKUP(Table1[[#This Row],[JobLevel]],Table12[JobLevel],Table12[Id_JobLevel])</f>
        <v>JL001</v>
      </c>
      <c r="Y675">
        <v>1</v>
      </c>
      <c r="Z675" t="str">
        <f>_xlfn.XLOOKUP(Table1[[#This Row],[JobRole]],Table13[JobRole],Table13[Id_JobRole])</f>
        <v>JR002</v>
      </c>
      <c r="AA675" t="s">
        <v>48</v>
      </c>
      <c r="AB675" t="str">
        <f>_xlfn.XLOOKUP(Table1[[#This Row],[JobSatisfaction]],Table14[JobSatisfaction],Table14[Id_JobSatisfaction])</f>
        <v>JS001</v>
      </c>
      <c r="AC675">
        <v>1</v>
      </c>
      <c r="AD675" t="str">
        <f>_xlfn.XLOOKUP(Table1[[#This Row],[JobSatisfaction]],Table14[JobSatisfaction],Table14[Deskripsi])</f>
        <v>Low</v>
      </c>
      <c r="AE675" t="str">
        <f>_xlfn.XLOOKUP(Table1[[#This Row],[MaritalStatus]],Table15[MaritalStatus],Table15[Id_MaritalStatus])</f>
        <v>MS001</v>
      </c>
      <c r="AF675" t="s">
        <v>55</v>
      </c>
      <c r="AG675">
        <v>2799</v>
      </c>
      <c r="AH675">
        <v>3339</v>
      </c>
      <c r="AI675">
        <v>3</v>
      </c>
      <c r="AJ675" t="str">
        <f>_xlfn.XLOOKUP(Table1[[#This Row],[OverTime]],Table16[OverTime],Table16[Id_OverTime])</f>
        <v>OT001</v>
      </c>
      <c r="AK675" t="s">
        <v>32</v>
      </c>
      <c r="AL675">
        <v>11</v>
      </c>
      <c r="AM675" t="str">
        <f>_xlfn.XLOOKUP(Table1[[#This Row],[PerformanceRating]],Table17[PerformanceRating],Table17[Id_PerformanceRating])</f>
        <v>PR003</v>
      </c>
      <c r="AN675">
        <v>3</v>
      </c>
      <c r="AO675" t="str">
        <f>_xlfn.XLOOKUP(Table1[[#This Row],[PerformanceRating]],Table17[PerformanceRating],Table17[Deskripsi])</f>
        <v>Excellent</v>
      </c>
      <c r="AP675" t="str">
        <f>_xlfn.XLOOKUP(Table1[[#This Row],[RelationshipSatisfaction]],Table18[RelationshipSatisfaction],Table18[Id_RelationshipSatisfaction])</f>
        <v>RS002</v>
      </c>
      <c r="AQ675">
        <v>2</v>
      </c>
      <c r="AR675" t="str">
        <f>_xlfn.XLOOKUP(Table1[[#This Row],[RelationshipSatisfaction]],Table18[RelationshipSatisfaction],Table18[Deskripsi])</f>
        <v>Medium</v>
      </c>
      <c r="AS675" t="str">
        <f>_xlfn.XLOOKUP(Table1[[#This Row],[StockOptionLevel]],Table19[StockOptionLevel],Table19[Id_StockOptionLevel])</f>
        <v>SOL001</v>
      </c>
      <c r="AT675">
        <v>0</v>
      </c>
      <c r="AU675" t="str">
        <f>_xlfn.XLOOKUP(Table1[[#This Row],[StockOptionLevel]],Table19[StockOptionLevel],Table19[Deskripsi])</f>
        <v>Non-Eligible</v>
      </c>
      <c r="AV675">
        <v>6</v>
      </c>
      <c r="AW675">
        <v>1</v>
      </c>
      <c r="AX675" t="str">
        <f>_xlfn.XLOOKUP(Table1[[#This Row],[WorkLifeBalance]],Table20[WorkLifeBalance],Table20[Id_WorkLifeBalance])</f>
        <v>WLB002</v>
      </c>
      <c r="AY675">
        <v>3</v>
      </c>
      <c r="AZ675" t="str">
        <f>_xlfn.XLOOKUP(Table1[[#This Row],[WorkLifeBalance]],Table20[WorkLifeBalance],Table20[Deskripsi])</f>
        <v>Good</v>
      </c>
      <c r="BA675">
        <v>3</v>
      </c>
      <c r="BB675">
        <v>2</v>
      </c>
      <c r="BC675">
        <v>0</v>
      </c>
      <c r="BD675">
        <v>2</v>
      </c>
    </row>
    <row r="676" spans="1:56" x14ac:dyDescent="0.25">
      <c r="A676">
        <v>58</v>
      </c>
      <c r="B676" t="str">
        <f>_xlfn.XLOOKUP(Table1[[#This Row],[Attrition]],Table2[Attrition],Table2[Id_Attrition])</f>
        <v>A002</v>
      </c>
      <c r="C676" t="s">
        <v>33</v>
      </c>
      <c r="D676" t="str">
        <f>_xlfn.XLOOKUP(Table1[[#This Row],[BusinessTravel]],Table5[BusinessTravel],Table5[Id_BusinessTravel])</f>
        <v>BS001</v>
      </c>
      <c r="E676" t="s">
        <v>34</v>
      </c>
      <c r="F676">
        <v>1272</v>
      </c>
      <c r="G676" t="str">
        <f>_xlfn.XLOOKUP(Table1[[#This Row],[Department]],Table6[Department],Table6[Id_Departement])</f>
        <v>D002</v>
      </c>
      <c r="H676" t="s">
        <v>38</v>
      </c>
      <c r="I676">
        <v>5</v>
      </c>
      <c r="J676" t="str">
        <f>_xlfn.XLOOKUP(Table1[[#This Row],[Education]],Table8[Education],Table8[Id_Education])</f>
        <v>E003</v>
      </c>
      <c r="K676">
        <v>3</v>
      </c>
      <c r="L676" t="str">
        <f>_xlfn.XLOOKUP(Table1[[#This Row],[EducationField]],Table7[EducationField],Table7[Id_EducationField])</f>
        <v>EF005</v>
      </c>
      <c r="M676" t="s">
        <v>44</v>
      </c>
      <c r="N676" t="str">
        <f>_xlfn.XLOOKUP(Table1[[#This Row],[EmployeeNumber]],Table4[EmployeeNumber],Table4[Id_Employee])</f>
        <v>EMP00675</v>
      </c>
      <c r="O676">
        <v>940</v>
      </c>
      <c r="P676" t="str">
        <f>_xlfn.XLOOKUP(Table1[[#This Row],[EnvironmentSatisfaction]],Table9[EnvironmentSatisfaction],Table9[Id_EnviromentSatisfaction])</f>
        <v>ES003</v>
      </c>
      <c r="Q676">
        <v>3</v>
      </c>
      <c r="R676" t="str">
        <f>_xlfn.XLOOKUP(Table1[[#This Row],[EnvironmentSatisfaction]],Table9[EnvironmentSatisfaction],Table9[Deskripsi])</f>
        <v>High</v>
      </c>
      <c r="S676" t="str">
        <f>_xlfn.XLOOKUP(Table1[[#This Row],[Gender]],Table10[Gender],Table10[Id_Gender])</f>
        <v>G001</v>
      </c>
      <c r="T676" t="s">
        <v>45</v>
      </c>
      <c r="U676">
        <v>37</v>
      </c>
      <c r="V676" t="str">
        <f>_xlfn.XLOOKUP(Table1[[#This Row],[JobInvolvement]],Table11[JobInvolvement],Table11[Id_JobInvolvement])</f>
        <v>JI002</v>
      </c>
      <c r="W676">
        <v>2</v>
      </c>
      <c r="X676" t="str">
        <f>_xlfn.XLOOKUP(Table1[[#This Row],[JobLevel]],Table12[JobLevel],Table12[Id_JobLevel])</f>
        <v>JL003</v>
      </c>
      <c r="Y676">
        <v>3</v>
      </c>
      <c r="Z676" t="str">
        <f>_xlfn.XLOOKUP(Table1[[#This Row],[JobRole]],Table13[JobRole],Table13[Id_JobRole])</f>
        <v>JR005</v>
      </c>
      <c r="AA676" t="s">
        <v>51</v>
      </c>
      <c r="AB676" t="str">
        <f>_xlfn.XLOOKUP(Table1[[#This Row],[JobSatisfaction]],Table14[JobSatisfaction],Table14[Id_JobSatisfaction])</f>
        <v>JS002</v>
      </c>
      <c r="AC676">
        <v>2</v>
      </c>
      <c r="AD676" t="str">
        <f>_xlfn.XLOOKUP(Table1[[#This Row],[JobSatisfaction]],Table14[JobSatisfaction],Table14[Deskripsi])</f>
        <v>Medium</v>
      </c>
      <c r="AE676" t="str">
        <f>_xlfn.XLOOKUP(Table1[[#This Row],[MaritalStatus]],Table15[MaritalStatus],Table15[Id_MaritalStatus])</f>
        <v>MS003</v>
      </c>
      <c r="AF676" t="s">
        <v>57</v>
      </c>
      <c r="AG676">
        <v>10552</v>
      </c>
      <c r="AH676">
        <v>9255</v>
      </c>
      <c r="AI676">
        <v>2</v>
      </c>
      <c r="AJ676" t="str">
        <f>_xlfn.XLOOKUP(Table1[[#This Row],[OverTime]],Table16[OverTime],Table16[Id_OverTime])</f>
        <v>OT001</v>
      </c>
      <c r="AK676" t="s">
        <v>32</v>
      </c>
      <c r="AL676">
        <v>13</v>
      </c>
      <c r="AM676" t="str">
        <f>_xlfn.XLOOKUP(Table1[[#This Row],[PerformanceRating]],Table17[PerformanceRating],Table17[Id_PerformanceRating])</f>
        <v>PR003</v>
      </c>
      <c r="AN676">
        <v>3</v>
      </c>
      <c r="AO676" t="str">
        <f>_xlfn.XLOOKUP(Table1[[#This Row],[PerformanceRating]],Table17[PerformanceRating],Table17[Deskripsi])</f>
        <v>Excellent</v>
      </c>
      <c r="AP676" t="str">
        <f>_xlfn.XLOOKUP(Table1[[#This Row],[RelationshipSatisfaction]],Table18[RelationshipSatisfaction],Table18[Id_RelationshipSatisfaction])</f>
        <v>RS004</v>
      </c>
      <c r="AQ676">
        <v>4</v>
      </c>
      <c r="AR676" t="str">
        <f>_xlfn.XLOOKUP(Table1[[#This Row],[RelationshipSatisfaction]],Table18[RelationshipSatisfaction],Table18[Deskripsi])</f>
        <v>Very High</v>
      </c>
      <c r="AS676" t="str">
        <f>_xlfn.XLOOKUP(Table1[[#This Row],[StockOptionLevel]],Table19[StockOptionLevel],Table19[Id_StockOptionLevel])</f>
        <v>SOL002</v>
      </c>
      <c r="AT676">
        <v>1</v>
      </c>
      <c r="AU676" t="str">
        <f>_xlfn.XLOOKUP(Table1[[#This Row],[StockOptionLevel]],Table19[StockOptionLevel],Table19[Deskripsi])</f>
        <v>Standard</v>
      </c>
      <c r="AV676">
        <v>24</v>
      </c>
      <c r="AW676">
        <v>3</v>
      </c>
      <c r="AX676" t="str">
        <f>_xlfn.XLOOKUP(Table1[[#This Row],[WorkLifeBalance]],Table20[WorkLifeBalance],Table20[Id_WorkLifeBalance])</f>
        <v>WLB002</v>
      </c>
      <c r="AY676">
        <v>3</v>
      </c>
      <c r="AZ676" t="str">
        <f>_xlfn.XLOOKUP(Table1[[#This Row],[WorkLifeBalance]],Table20[WorkLifeBalance],Table20[Deskripsi])</f>
        <v>Good</v>
      </c>
      <c r="BA676">
        <v>6</v>
      </c>
      <c r="BB676">
        <v>0</v>
      </c>
      <c r="BC676">
        <v>0</v>
      </c>
      <c r="BD676">
        <v>4</v>
      </c>
    </row>
    <row r="677" spans="1:56" x14ac:dyDescent="0.25">
      <c r="A677">
        <v>31</v>
      </c>
      <c r="B677" t="str">
        <f>_xlfn.XLOOKUP(Table1[[#This Row],[Attrition]],Table2[Attrition],Table2[Id_Attrition])</f>
        <v>A002</v>
      </c>
      <c r="C677" t="s">
        <v>33</v>
      </c>
      <c r="D677" t="str">
        <f>_xlfn.XLOOKUP(Table1[[#This Row],[BusinessTravel]],Table5[BusinessTravel],Table5[Id_BusinessTravel])</f>
        <v>BS001</v>
      </c>
      <c r="E677" t="s">
        <v>34</v>
      </c>
      <c r="F677">
        <v>154</v>
      </c>
      <c r="G677" t="str">
        <f>_xlfn.XLOOKUP(Table1[[#This Row],[Department]],Table6[Department],Table6[Id_Departement])</f>
        <v>D001</v>
      </c>
      <c r="H677" t="s">
        <v>37</v>
      </c>
      <c r="I677">
        <v>7</v>
      </c>
      <c r="J677" t="str">
        <f>_xlfn.XLOOKUP(Table1[[#This Row],[Education]],Table8[Education],Table8[Id_Education])</f>
        <v>E004</v>
      </c>
      <c r="K677">
        <v>4</v>
      </c>
      <c r="L677" t="str">
        <f>_xlfn.XLOOKUP(Table1[[#This Row],[EducationField]],Table7[EducationField],Table7[Id_EducationField])</f>
        <v>EF001</v>
      </c>
      <c r="M677" t="s">
        <v>40</v>
      </c>
      <c r="N677" t="str">
        <f>_xlfn.XLOOKUP(Table1[[#This Row],[EmployeeNumber]],Table4[EmployeeNumber],Table4[Id_Employee])</f>
        <v>EMP00676</v>
      </c>
      <c r="O677">
        <v>941</v>
      </c>
      <c r="P677" t="str">
        <f>_xlfn.XLOOKUP(Table1[[#This Row],[EnvironmentSatisfaction]],Table9[EnvironmentSatisfaction],Table9[Id_EnviromentSatisfaction])</f>
        <v>ES002</v>
      </c>
      <c r="Q677">
        <v>2</v>
      </c>
      <c r="R677" t="str">
        <f>_xlfn.XLOOKUP(Table1[[#This Row],[EnvironmentSatisfaction]],Table9[EnvironmentSatisfaction],Table9[Deskripsi])</f>
        <v>Medium</v>
      </c>
      <c r="S677" t="str">
        <f>_xlfn.XLOOKUP(Table1[[#This Row],[Gender]],Table10[Gender],Table10[Id_Gender])</f>
        <v>G002</v>
      </c>
      <c r="T677" t="s">
        <v>46</v>
      </c>
      <c r="U677">
        <v>41</v>
      </c>
      <c r="V677" t="str">
        <f>_xlfn.XLOOKUP(Table1[[#This Row],[JobInvolvement]],Table11[JobInvolvement],Table11[Id_JobInvolvement])</f>
        <v>JI002</v>
      </c>
      <c r="W677">
        <v>2</v>
      </c>
      <c r="X677" t="str">
        <f>_xlfn.XLOOKUP(Table1[[#This Row],[JobLevel]],Table12[JobLevel],Table12[Id_JobLevel])</f>
        <v>JL001</v>
      </c>
      <c r="Y677">
        <v>1</v>
      </c>
      <c r="Z677" t="str">
        <f>_xlfn.XLOOKUP(Table1[[#This Row],[JobRole]],Table13[JobRole],Table13[Id_JobRole])</f>
        <v>JR007</v>
      </c>
      <c r="AA677" t="s">
        <v>53</v>
      </c>
      <c r="AB677" t="str">
        <f>_xlfn.XLOOKUP(Table1[[#This Row],[JobSatisfaction]],Table14[JobSatisfaction],Table14[Id_JobSatisfaction])</f>
        <v>JS003</v>
      </c>
      <c r="AC677">
        <v>3</v>
      </c>
      <c r="AD677" t="str">
        <f>_xlfn.XLOOKUP(Table1[[#This Row],[JobSatisfaction]],Table14[JobSatisfaction],Table14[Deskripsi])</f>
        <v>High</v>
      </c>
      <c r="AE677" t="str">
        <f>_xlfn.XLOOKUP(Table1[[#This Row],[MaritalStatus]],Table15[MaritalStatus],Table15[Id_MaritalStatus])</f>
        <v>MS002</v>
      </c>
      <c r="AF677" t="s">
        <v>56</v>
      </c>
      <c r="AG677">
        <v>2329</v>
      </c>
      <c r="AH677">
        <v>11737</v>
      </c>
      <c r="AI677">
        <v>3</v>
      </c>
      <c r="AJ677" t="str">
        <f>_xlfn.XLOOKUP(Table1[[#This Row],[OverTime]],Table16[OverTime],Table16[Id_OverTime])</f>
        <v>OT002</v>
      </c>
      <c r="AK677" t="s">
        <v>33</v>
      </c>
      <c r="AL677">
        <v>15</v>
      </c>
      <c r="AM677" t="str">
        <f>_xlfn.XLOOKUP(Table1[[#This Row],[PerformanceRating]],Table17[PerformanceRating],Table17[Id_PerformanceRating])</f>
        <v>PR003</v>
      </c>
      <c r="AN677">
        <v>3</v>
      </c>
      <c r="AO677" t="str">
        <f>_xlfn.XLOOKUP(Table1[[#This Row],[PerformanceRating]],Table17[PerformanceRating],Table17[Deskripsi])</f>
        <v>Excellent</v>
      </c>
      <c r="AP677" t="str">
        <f>_xlfn.XLOOKUP(Table1[[#This Row],[RelationshipSatisfaction]],Table18[RelationshipSatisfaction],Table18[Id_RelationshipSatisfaction])</f>
        <v>RS002</v>
      </c>
      <c r="AQ677">
        <v>2</v>
      </c>
      <c r="AR677" t="str">
        <f>_xlfn.XLOOKUP(Table1[[#This Row],[RelationshipSatisfaction]],Table18[RelationshipSatisfaction],Table18[Deskripsi])</f>
        <v>Medium</v>
      </c>
      <c r="AS677" t="str">
        <f>_xlfn.XLOOKUP(Table1[[#This Row],[StockOptionLevel]],Table19[StockOptionLevel],Table19[Id_StockOptionLevel])</f>
        <v>SOL001</v>
      </c>
      <c r="AT677">
        <v>0</v>
      </c>
      <c r="AU677" t="str">
        <f>_xlfn.XLOOKUP(Table1[[#This Row],[StockOptionLevel]],Table19[StockOptionLevel],Table19[Deskripsi])</f>
        <v>Non-Eligible</v>
      </c>
      <c r="AV677">
        <v>13</v>
      </c>
      <c r="AW677">
        <v>2</v>
      </c>
      <c r="AX677" t="str">
        <f>_xlfn.XLOOKUP(Table1[[#This Row],[WorkLifeBalance]],Table20[WorkLifeBalance],Table20[Id_WorkLifeBalance])</f>
        <v>WLB004</v>
      </c>
      <c r="AY677">
        <v>4</v>
      </c>
      <c r="AZ677" t="str">
        <f>_xlfn.XLOOKUP(Table1[[#This Row],[WorkLifeBalance]],Table20[WorkLifeBalance],Table20[Deskripsi])</f>
        <v>Best</v>
      </c>
      <c r="BA677">
        <v>7</v>
      </c>
      <c r="BB677">
        <v>7</v>
      </c>
      <c r="BC677">
        <v>5</v>
      </c>
      <c r="BD677">
        <v>2</v>
      </c>
    </row>
    <row r="678" spans="1:56" x14ac:dyDescent="0.25">
      <c r="A678">
        <v>35</v>
      </c>
      <c r="B678" t="str">
        <f>_xlfn.XLOOKUP(Table1[[#This Row],[Attrition]],Table2[Attrition],Table2[Id_Attrition])</f>
        <v>A002</v>
      </c>
      <c r="C678" t="s">
        <v>33</v>
      </c>
      <c r="D678" t="str">
        <f>_xlfn.XLOOKUP(Table1[[#This Row],[BusinessTravel]],Table5[BusinessTravel],Table5[Id_BusinessTravel])</f>
        <v>BS001</v>
      </c>
      <c r="E678" t="s">
        <v>34</v>
      </c>
      <c r="F678">
        <v>1137</v>
      </c>
      <c r="G678" t="str">
        <f>_xlfn.XLOOKUP(Table1[[#This Row],[Department]],Table6[Department],Table6[Id_Departement])</f>
        <v>D002</v>
      </c>
      <c r="H678" t="s">
        <v>38</v>
      </c>
      <c r="I678">
        <v>21</v>
      </c>
      <c r="J678" t="str">
        <f>_xlfn.XLOOKUP(Table1[[#This Row],[Education]],Table8[Education],Table8[Id_Education])</f>
        <v>E001</v>
      </c>
      <c r="K678">
        <v>1</v>
      </c>
      <c r="L678" t="str">
        <f>_xlfn.XLOOKUP(Table1[[#This Row],[EducationField]],Table7[EducationField],Table7[Id_EducationField])</f>
        <v>EF001</v>
      </c>
      <c r="M678" t="s">
        <v>40</v>
      </c>
      <c r="N678" t="str">
        <f>_xlfn.XLOOKUP(Table1[[#This Row],[EmployeeNumber]],Table4[EmployeeNumber],Table4[Id_Employee])</f>
        <v>EMP00677</v>
      </c>
      <c r="O678">
        <v>942</v>
      </c>
      <c r="P678" t="str">
        <f>_xlfn.XLOOKUP(Table1[[#This Row],[EnvironmentSatisfaction]],Table9[EnvironmentSatisfaction],Table9[Id_EnviromentSatisfaction])</f>
        <v>ES004</v>
      </c>
      <c r="Q678">
        <v>4</v>
      </c>
      <c r="R678" t="str">
        <f>_xlfn.XLOOKUP(Table1[[#This Row],[EnvironmentSatisfaction]],Table9[EnvironmentSatisfaction],Table9[Deskripsi])</f>
        <v>Very High</v>
      </c>
      <c r="S678" t="str">
        <f>_xlfn.XLOOKUP(Table1[[#This Row],[Gender]],Table10[Gender],Table10[Id_Gender])</f>
        <v>G001</v>
      </c>
      <c r="T678" t="s">
        <v>45</v>
      </c>
      <c r="U678">
        <v>51</v>
      </c>
      <c r="V678" t="str">
        <f>_xlfn.XLOOKUP(Table1[[#This Row],[JobInvolvement]],Table11[JobInvolvement],Table11[Id_JobInvolvement])</f>
        <v>JI003</v>
      </c>
      <c r="W678">
        <v>3</v>
      </c>
      <c r="X678" t="str">
        <f>_xlfn.XLOOKUP(Table1[[#This Row],[JobLevel]],Table12[JobLevel],Table12[Id_JobLevel])</f>
        <v>JL002</v>
      </c>
      <c r="Y678">
        <v>2</v>
      </c>
      <c r="Z678" t="str">
        <f>_xlfn.XLOOKUP(Table1[[#This Row],[JobRole]],Table13[JobRole],Table13[Id_JobRole])</f>
        <v>JR005</v>
      </c>
      <c r="AA678" t="s">
        <v>51</v>
      </c>
      <c r="AB678" t="str">
        <f>_xlfn.XLOOKUP(Table1[[#This Row],[JobSatisfaction]],Table14[JobSatisfaction],Table14[Id_JobSatisfaction])</f>
        <v>JS004</v>
      </c>
      <c r="AC678">
        <v>4</v>
      </c>
      <c r="AD678" t="str">
        <f>_xlfn.XLOOKUP(Table1[[#This Row],[JobSatisfaction]],Table14[JobSatisfaction],Table14[Deskripsi])</f>
        <v>Very High</v>
      </c>
      <c r="AE678" t="str">
        <f>_xlfn.XLOOKUP(Table1[[#This Row],[MaritalStatus]],Table15[MaritalStatus],Table15[Id_MaritalStatus])</f>
        <v>MS002</v>
      </c>
      <c r="AF678" t="s">
        <v>56</v>
      </c>
      <c r="AG678">
        <v>4014</v>
      </c>
      <c r="AH678">
        <v>19170</v>
      </c>
      <c r="AI678">
        <v>1</v>
      </c>
      <c r="AJ678" t="str">
        <f>_xlfn.XLOOKUP(Table1[[#This Row],[OverTime]],Table16[OverTime],Table16[Id_OverTime])</f>
        <v>OT001</v>
      </c>
      <c r="AK678" t="s">
        <v>32</v>
      </c>
      <c r="AL678">
        <v>25</v>
      </c>
      <c r="AM678" t="str">
        <f>_xlfn.XLOOKUP(Table1[[#This Row],[PerformanceRating]],Table17[PerformanceRating],Table17[Id_PerformanceRating])</f>
        <v>PR004</v>
      </c>
      <c r="AN678">
        <v>4</v>
      </c>
      <c r="AO678" t="str">
        <f>_xlfn.XLOOKUP(Table1[[#This Row],[PerformanceRating]],Table17[PerformanceRating],Table17[Deskripsi])</f>
        <v>Outstanding</v>
      </c>
      <c r="AP678" t="str">
        <f>_xlfn.XLOOKUP(Table1[[#This Row],[RelationshipSatisfaction]],Table18[RelationshipSatisfaction],Table18[Id_RelationshipSatisfaction])</f>
        <v>RS004</v>
      </c>
      <c r="AQ678">
        <v>4</v>
      </c>
      <c r="AR678" t="str">
        <f>_xlfn.XLOOKUP(Table1[[#This Row],[RelationshipSatisfaction]],Table18[RelationshipSatisfaction],Table18[Deskripsi])</f>
        <v>Very High</v>
      </c>
      <c r="AS678" t="str">
        <f>_xlfn.XLOOKUP(Table1[[#This Row],[StockOptionLevel]],Table19[StockOptionLevel],Table19[Id_StockOptionLevel])</f>
        <v>SOL002</v>
      </c>
      <c r="AT678">
        <v>1</v>
      </c>
      <c r="AU678" t="str">
        <f>_xlfn.XLOOKUP(Table1[[#This Row],[StockOptionLevel]],Table19[StockOptionLevel],Table19[Deskripsi])</f>
        <v>Standard</v>
      </c>
      <c r="AV678">
        <v>10</v>
      </c>
      <c r="AW678">
        <v>2</v>
      </c>
      <c r="AX678" t="str">
        <f>_xlfn.XLOOKUP(Table1[[#This Row],[WorkLifeBalance]],Table20[WorkLifeBalance],Table20[Id_WorkLifeBalance])</f>
        <v>WLB001</v>
      </c>
      <c r="AY678">
        <v>1</v>
      </c>
      <c r="AZ678" t="str">
        <f>_xlfn.XLOOKUP(Table1[[#This Row],[WorkLifeBalance]],Table20[WorkLifeBalance],Table20[Deskripsi])</f>
        <v>Bad</v>
      </c>
      <c r="BA678">
        <v>10</v>
      </c>
      <c r="BB678">
        <v>6</v>
      </c>
      <c r="BC678">
        <v>0</v>
      </c>
      <c r="BD678">
        <v>7</v>
      </c>
    </row>
    <row r="679" spans="1:56" x14ac:dyDescent="0.25">
      <c r="A679">
        <v>49</v>
      </c>
      <c r="B679" t="str">
        <f>_xlfn.XLOOKUP(Table1[[#This Row],[Attrition]],Table2[Attrition],Table2[Id_Attrition])</f>
        <v>A002</v>
      </c>
      <c r="C679" t="s">
        <v>33</v>
      </c>
      <c r="D679" t="str">
        <f>_xlfn.XLOOKUP(Table1[[#This Row],[BusinessTravel]],Table5[BusinessTravel],Table5[Id_BusinessTravel])</f>
        <v>BS001</v>
      </c>
      <c r="E679" t="s">
        <v>34</v>
      </c>
      <c r="F679">
        <v>527</v>
      </c>
      <c r="G679" t="str">
        <f>_xlfn.XLOOKUP(Table1[[#This Row],[Department]],Table6[Department],Table6[Id_Departement])</f>
        <v>D002</v>
      </c>
      <c r="H679" t="s">
        <v>38</v>
      </c>
      <c r="I679">
        <v>8</v>
      </c>
      <c r="J679" t="str">
        <f>_xlfn.XLOOKUP(Table1[[#This Row],[Education]],Table8[Education],Table8[Id_Education])</f>
        <v>E002</v>
      </c>
      <c r="K679">
        <v>2</v>
      </c>
      <c r="L679" t="str">
        <f>_xlfn.XLOOKUP(Table1[[#This Row],[EducationField]],Table7[EducationField],Table7[Id_EducationField])</f>
        <v>EF002</v>
      </c>
      <c r="M679" t="s">
        <v>41</v>
      </c>
      <c r="N679" t="str">
        <f>_xlfn.XLOOKUP(Table1[[#This Row],[EmployeeNumber]],Table4[EmployeeNumber],Table4[Id_Employee])</f>
        <v>EMP00678</v>
      </c>
      <c r="O679">
        <v>944</v>
      </c>
      <c r="P679" t="str">
        <f>_xlfn.XLOOKUP(Table1[[#This Row],[EnvironmentSatisfaction]],Table9[EnvironmentSatisfaction],Table9[Id_EnviromentSatisfaction])</f>
        <v>ES001</v>
      </c>
      <c r="Q679">
        <v>1</v>
      </c>
      <c r="R679" t="str">
        <f>_xlfn.XLOOKUP(Table1[[#This Row],[EnvironmentSatisfaction]],Table9[EnvironmentSatisfaction],Table9[Deskripsi])</f>
        <v>Low</v>
      </c>
      <c r="S679" t="str">
        <f>_xlfn.XLOOKUP(Table1[[#This Row],[Gender]],Table10[Gender],Table10[Id_Gender])</f>
        <v>G001</v>
      </c>
      <c r="T679" t="s">
        <v>45</v>
      </c>
      <c r="U679">
        <v>51</v>
      </c>
      <c r="V679" t="str">
        <f>_xlfn.XLOOKUP(Table1[[#This Row],[JobInvolvement]],Table11[JobInvolvement],Table11[Id_JobInvolvement])</f>
        <v>JI003</v>
      </c>
      <c r="W679">
        <v>3</v>
      </c>
      <c r="X679" t="str">
        <f>_xlfn.XLOOKUP(Table1[[#This Row],[JobLevel]],Table12[JobLevel],Table12[Id_JobLevel])</f>
        <v>JL003</v>
      </c>
      <c r="Y679">
        <v>3</v>
      </c>
      <c r="Z679" t="str">
        <f>_xlfn.XLOOKUP(Table1[[#This Row],[JobRole]],Table13[JobRole],Table13[Id_JobRole])</f>
        <v>JR003</v>
      </c>
      <c r="AA679" t="s">
        <v>49</v>
      </c>
      <c r="AB679" t="str">
        <f>_xlfn.XLOOKUP(Table1[[#This Row],[JobSatisfaction]],Table14[JobSatisfaction],Table14[Id_JobSatisfaction])</f>
        <v>JS002</v>
      </c>
      <c r="AC679">
        <v>2</v>
      </c>
      <c r="AD679" t="str">
        <f>_xlfn.XLOOKUP(Table1[[#This Row],[JobSatisfaction]],Table14[JobSatisfaction],Table14[Deskripsi])</f>
        <v>Medium</v>
      </c>
      <c r="AE679" t="str">
        <f>_xlfn.XLOOKUP(Table1[[#This Row],[MaritalStatus]],Table15[MaritalStatus],Table15[Id_MaritalStatus])</f>
        <v>MS002</v>
      </c>
      <c r="AF679" t="s">
        <v>56</v>
      </c>
      <c r="AG679">
        <v>7403</v>
      </c>
      <c r="AH679">
        <v>22477</v>
      </c>
      <c r="AI679">
        <v>4</v>
      </c>
      <c r="AJ679" t="str">
        <f>_xlfn.XLOOKUP(Table1[[#This Row],[OverTime]],Table16[OverTime],Table16[Id_OverTime])</f>
        <v>OT002</v>
      </c>
      <c r="AK679" t="s">
        <v>33</v>
      </c>
      <c r="AL679">
        <v>11</v>
      </c>
      <c r="AM679" t="str">
        <f>_xlfn.XLOOKUP(Table1[[#This Row],[PerformanceRating]],Table17[PerformanceRating],Table17[Id_PerformanceRating])</f>
        <v>PR003</v>
      </c>
      <c r="AN679">
        <v>3</v>
      </c>
      <c r="AO679" t="str">
        <f>_xlfn.XLOOKUP(Table1[[#This Row],[PerformanceRating]],Table17[PerformanceRating],Table17[Deskripsi])</f>
        <v>Excellent</v>
      </c>
      <c r="AP679" t="str">
        <f>_xlfn.XLOOKUP(Table1[[#This Row],[RelationshipSatisfaction]],Table18[RelationshipSatisfaction],Table18[Id_RelationshipSatisfaction])</f>
        <v>RS003</v>
      </c>
      <c r="AQ679">
        <v>3</v>
      </c>
      <c r="AR679" t="str">
        <f>_xlfn.XLOOKUP(Table1[[#This Row],[RelationshipSatisfaction]],Table18[RelationshipSatisfaction],Table18[Deskripsi])</f>
        <v>High</v>
      </c>
      <c r="AS679" t="str">
        <f>_xlfn.XLOOKUP(Table1[[#This Row],[StockOptionLevel]],Table19[StockOptionLevel],Table19[Id_StockOptionLevel])</f>
        <v>SOL002</v>
      </c>
      <c r="AT679">
        <v>1</v>
      </c>
      <c r="AU679" t="str">
        <f>_xlfn.XLOOKUP(Table1[[#This Row],[StockOptionLevel]],Table19[StockOptionLevel],Table19[Deskripsi])</f>
        <v>Standard</v>
      </c>
      <c r="AV679">
        <v>29</v>
      </c>
      <c r="AW679">
        <v>3</v>
      </c>
      <c r="AX679" t="str">
        <f>_xlfn.XLOOKUP(Table1[[#This Row],[WorkLifeBalance]],Table20[WorkLifeBalance],Table20[Id_WorkLifeBalance])</f>
        <v>WLB003</v>
      </c>
      <c r="AY679">
        <v>2</v>
      </c>
      <c r="AZ679" t="str">
        <f>_xlfn.XLOOKUP(Table1[[#This Row],[WorkLifeBalance]],Table20[WorkLifeBalance],Table20[Deskripsi])</f>
        <v>Better</v>
      </c>
      <c r="BA679">
        <v>26</v>
      </c>
      <c r="BB679">
        <v>9</v>
      </c>
      <c r="BC679">
        <v>1</v>
      </c>
      <c r="BD679">
        <v>7</v>
      </c>
    </row>
    <row r="680" spans="1:56" x14ac:dyDescent="0.25">
      <c r="A680">
        <v>48</v>
      </c>
      <c r="B680" t="str">
        <f>_xlfn.XLOOKUP(Table1[[#This Row],[Attrition]],Table2[Attrition],Table2[Id_Attrition])</f>
        <v>A002</v>
      </c>
      <c r="C680" t="s">
        <v>33</v>
      </c>
      <c r="D680" t="str">
        <f>_xlfn.XLOOKUP(Table1[[#This Row],[BusinessTravel]],Table5[BusinessTravel],Table5[Id_BusinessTravel])</f>
        <v>BS001</v>
      </c>
      <c r="E680" t="s">
        <v>34</v>
      </c>
      <c r="F680">
        <v>1469</v>
      </c>
      <c r="G680" t="str">
        <f>_xlfn.XLOOKUP(Table1[[#This Row],[Department]],Table6[Department],Table6[Id_Departement])</f>
        <v>D002</v>
      </c>
      <c r="H680" t="s">
        <v>38</v>
      </c>
      <c r="I680">
        <v>20</v>
      </c>
      <c r="J680" t="str">
        <f>_xlfn.XLOOKUP(Table1[[#This Row],[Education]],Table8[Education],Table8[Id_Education])</f>
        <v>E004</v>
      </c>
      <c r="K680">
        <v>4</v>
      </c>
      <c r="L680" t="str">
        <f>_xlfn.XLOOKUP(Table1[[#This Row],[EducationField]],Table7[EducationField],Table7[Id_EducationField])</f>
        <v>EF003</v>
      </c>
      <c r="M680" t="s">
        <v>42</v>
      </c>
      <c r="N680" t="str">
        <f>_xlfn.XLOOKUP(Table1[[#This Row],[EmployeeNumber]],Table4[EmployeeNumber],Table4[Id_Employee])</f>
        <v>EMP00679</v>
      </c>
      <c r="O680">
        <v>945</v>
      </c>
      <c r="P680" t="str">
        <f>_xlfn.XLOOKUP(Table1[[#This Row],[EnvironmentSatisfaction]],Table9[EnvironmentSatisfaction],Table9[Id_EnviromentSatisfaction])</f>
        <v>ES004</v>
      </c>
      <c r="Q680">
        <v>4</v>
      </c>
      <c r="R680" t="str">
        <f>_xlfn.XLOOKUP(Table1[[#This Row],[EnvironmentSatisfaction]],Table9[EnvironmentSatisfaction],Table9[Deskripsi])</f>
        <v>Very High</v>
      </c>
      <c r="S680" t="str">
        <f>_xlfn.XLOOKUP(Table1[[#This Row],[Gender]],Table10[Gender],Table10[Id_Gender])</f>
        <v>G002</v>
      </c>
      <c r="T680" t="s">
        <v>46</v>
      </c>
      <c r="U680">
        <v>51</v>
      </c>
      <c r="V680" t="str">
        <f>_xlfn.XLOOKUP(Table1[[#This Row],[JobInvolvement]],Table11[JobInvolvement],Table11[Id_JobInvolvement])</f>
        <v>JI003</v>
      </c>
      <c r="W680">
        <v>3</v>
      </c>
      <c r="X680" t="str">
        <f>_xlfn.XLOOKUP(Table1[[#This Row],[JobLevel]],Table12[JobLevel],Table12[Id_JobLevel])</f>
        <v>JL001</v>
      </c>
      <c r="Y680">
        <v>1</v>
      </c>
      <c r="Z680" t="str">
        <f>_xlfn.XLOOKUP(Table1[[#This Row],[JobRole]],Table13[JobRole],Table13[Id_JobRole])</f>
        <v>JR002</v>
      </c>
      <c r="AA680" t="s">
        <v>48</v>
      </c>
      <c r="AB680" t="str">
        <f>_xlfn.XLOOKUP(Table1[[#This Row],[JobSatisfaction]],Table14[JobSatisfaction],Table14[Id_JobSatisfaction])</f>
        <v>JS003</v>
      </c>
      <c r="AC680">
        <v>3</v>
      </c>
      <c r="AD680" t="str">
        <f>_xlfn.XLOOKUP(Table1[[#This Row],[JobSatisfaction]],Table14[JobSatisfaction],Table14[Deskripsi])</f>
        <v>High</v>
      </c>
      <c r="AE680" t="str">
        <f>_xlfn.XLOOKUP(Table1[[#This Row],[MaritalStatus]],Table15[MaritalStatus],Table15[Id_MaritalStatus])</f>
        <v>MS002</v>
      </c>
      <c r="AF680" t="s">
        <v>56</v>
      </c>
      <c r="AG680">
        <v>2259</v>
      </c>
      <c r="AH680">
        <v>5543</v>
      </c>
      <c r="AI680">
        <v>4</v>
      </c>
      <c r="AJ680" t="str">
        <f>_xlfn.XLOOKUP(Table1[[#This Row],[OverTime]],Table16[OverTime],Table16[Id_OverTime])</f>
        <v>OT002</v>
      </c>
      <c r="AK680" t="s">
        <v>33</v>
      </c>
      <c r="AL680">
        <v>17</v>
      </c>
      <c r="AM680" t="str">
        <f>_xlfn.XLOOKUP(Table1[[#This Row],[PerformanceRating]],Table17[PerformanceRating],Table17[Id_PerformanceRating])</f>
        <v>PR003</v>
      </c>
      <c r="AN680">
        <v>3</v>
      </c>
      <c r="AO680" t="str">
        <f>_xlfn.XLOOKUP(Table1[[#This Row],[PerformanceRating]],Table17[PerformanceRating],Table17[Deskripsi])</f>
        <v>Excellent</v>
      </c>
      <c r="AP680" t="str">
        <f>_xlfn.XLOOKUP(Table1[[#This Row],[RelationshipSatisfaction]],Table18[RelationshipSatisfaction],Table18[Id_RelationshipSatisfaction])</f>
        <v>RS001</v>
      </c>
      <c r="AQ680">
        <v>1</v>
      </c>
      <c r="AR680" t="str">
        <f>_xlfn.XLOOKUP(Table1[[#This Row],[RelationshipSatisfaction]],Table18[RelationshipSatisfaction],Table18[Deskripsi])</f>
        <v>Low</v>
      </c>
      <c r="AS680" t="str">
        <f>_xlfn.XLOOKUP(Table1[[#This Row],[StockOptionLevel]],Table19[StockOptionLevel],Table19[Id_StockOptionLevel])</f>
        <v>SOL003</v>
      </c>
      <c r="AT680">
        <v>2</v>
      </c>
      <c r="AU680" t="str">
        <f>_xlfn.XLOOKUP(Table1[[#This Row],[StockOptionLevel]],Table19[StockOptionLevel],Table19[Deskripsi])</f>
        <v>Intermediate</v>
      </c>
      <c r="AV680">
        <v>13</v>
      </c>
      <c r="AW680">
        <v>2</v>
      </c>
      <c r="AX680" t="str">
        <f>_xlfn.XLOOKUP(Table1[[#This Row],[WorkLifeBalance]],Table20[WorkLifeBalance],Table20[Id_WorkLifeBalance])</f>
        <v>WLB003</v>
      </c>
      <c r="AY680">
        <v>2</v>
      </c>
      <c r="AZ680" t="str">
        <f>_xlfn.XLOOKUP(Table1[[#This Row],[WorkLifeBalance]],Table20[WorkLifeBalance],Table20[Deskripsi])</f>
        <v>Better</v>
      </c>
      <c r="BA680">
        <v>0</v>
      </c>
      <c r="BB680">
        <v>0</v>
      </c>
      <c r="BC680">
        <v>0</v>
      </c>
      <c r="BD680">
        <v>0</v>
      </c>
    </row>
    <row r="681" spans="1:56" x14ac:dyDescent="0.25">
      <c r="A681">
        <v>31</v>
      </c>
      <c r="B681" t="str">
        <f>_xlfn.XLOOKUP(Table1[[#This Row],[Attrition]],Table2[Attrition],Table2[Id_Attrition])</f>
        <v>A002</v>
      </c>
      <c r="C681" t="s">
        <v>33</v>
      </c>
      <c r="D681" t="str">
        <f>_xlfn.XLOOKUP(Table1[[#This Row],[BusinessTravel]],Table5[BusinessTravel],Table5[Id_BusinessTravel])</f>
        <v>BS003</v>
      </c>
      <c r="E681" t="s">
        <v>36</v>
      </c>
      <c r="F681">
        <v>1188</v>
      </c>
      <c r="G681" t="str">
        <f>_xlfn.XLOOKUP(Table1[[#This Row],[Department]],Table6[Department],Table6[Id_Departement])</f>
        <v>D001</v>
      </c>
      <c r="H681" t="s">
        <v>37</v>
      </c>
      <c r="I681">
        <v>20</v>
      </c>
      <c r="J681" t="str">
        <f>_xlfn.XLOOKUP(Table1[[#This Row],[Education]],Table8[Education],Table8[Id_Education])</f>
        <v>E002</v>
      </c>
      <c r="K681">
        <v>2</v>
      </c>
      <c r="L681" t="str">
        <f>_xlfn.XLOOKUP(Table1[[#This Row],[EducationField]],Table7[EducationField],Table7[Id_EducationField])</f>
        <v>EF004</v>
      </c>
      <c r="M681" t="s">
        <v>43</v>
      </c>
      <c r="N681" t="str">
        <f>_xlfn.XLOOKUP(Table1[[#This Row],[EmployeeNumber]],Table4[EmployeeNumber],Table4[Id_Employee])</f>
        <v>EMP00680</v>
      </c>
      <c r="O681">
        <v>947</v>
      </c>
      <c r="P681" t="str">
        <f>_xlfn.XLOOKUP(Table1[[#This Row],[EnvironmentSatisfaction]],Table9[EnvironmentSatisfaction],Table9[Id_EnviromentSatisfaction])</f>
        <v>ES004</v>
      </c>
      <c r="Q681">
        <v>4</v>
      </c>
      <c r="R681" t="str">
        <f>_xlfn.XLOOKUP(Table1[[#This Row],[EnvironmentSatisfaction]],Table9[EnvironmentSatisfaction],Table9[Deskripsi])</f>
        <v>Very High</v>
      </c>
      <c r="S681" t="str">
        <f>_xlfn.XLOOKUP(Table1[[#This Row],[Gender]],Table10[Gender],Table10[Id_Gender])</f>
        <v>G001</v>
      </c>
      <c r="T681" t="s">
        <v>45</v>
      </c>
      <c r="U681">
        <v>45</v>
      </c>
      <c r="V681" t="str">
        <f>_xlfn.XLOOKUP(Table1[[#This Row],[JobInvolvement]],Table11[JobInvolvement],Table11[Id_JobInvolvement])</f>
        <v>JI003</v>
      </c>
      <c r="W681">
        <v>3</v>
      </c>
      <c r="X681" t="str">
        <f>_xlfn.XLOOKUP(Table1[[#This Row],[JobLevel]],Table12[JobLevel],Table12[Id_JobLevel])</f>
        <v>JL002</v>
      </c>
      <c r="Y681">
        <v>2</v>
      </c>
      <c r="Z681" t="str">
        <f>_xlfn.XLOOKUP(Table1[[#This Row],[JobRole]],Table13[JobRole],Table13[Id_JobRole])</f>
        <v>JR001</v>
      </c>
      <c r="AA681" t="s">
        <v>47</v>
      </c>
      <c r="AB681" t="str">
        <f>_xlfn.XLOOKUP(Table1[[#This Row],[JobSatisfaction]],Table14[JobSatisfaction],Table14[Id_JobSatisfaction])</f>
        <v>JS003</v>
      </c>
      <c r="AC681">
        <v>3</v>
      </c>
      <c r="AD681" t="str">
        <f>_xlfn.XLOOKUP(Table1[[#This Row],[JobSatisfaction]],Table14[JobSatisfaction],Table14[Deskripsi])</f>
        <v>High</v>
      </c>
      <c r="AE681" t="str">
        <f>_xlfn.XLOOKUP(Table1[[#This Row],[MaritalStatus]],Table15[MaritalStatus],Table15[Id_MaritalStatus])</f>
        <v>MS002</v>
      </c>
      <c r="AF681" t="s">
        <v>56</v>
      </c>
      <c r="AG681">
        <v>6932</v>
      </c>
      <c r="AH681">
        <v>24406</v>
      </c>
      <c r="AI681">
        <v>1</v>
      </c>
      <c r="AJ681" t="str">
        <f>_xlfn.XLOOKUP(Table1[[#This Row],[OverTime]],Table16[OverTime],Table16[Id_OverTime])</f>
        <v>OT002</v>
      </c>
      <c r="AK681" t="s">
        <v>33</v>
      </c>
      <c r="AL681">
        <v>13</v>
      </c>
      <c r="AM681" t="str">
        <f>_xlfn.XLOOKUP(Table1[[#This Row],[PerformanceRating]],Table17[PerformanceRating],Table17[Id_PerformanceRating])</f>
        <v>PR003</v>
      </c>
      <c r="AN681">
        <v>3</v>
      </c>
      <c r="AO681" t="str">
        <f>_xlfn.XLOOKUP(Table1[[#This Row],[PerformanceRating]],Table17[PerformanceRating],Table17[Deskripsi])</f>
        <v>Excellent</v>
      </c>
      <c r="AP681" t="str">
        <f>_xlfn.XLOOKUP(Table1[[#This Row],[RelationshipSatisfaction]],Table18[RelationshipSatisfaction],Table18[Id_RelationshipSatisfaction])</f>
        <v>RS004</v>
      </c>
      <c r="AQ681">
        <v>4</v>
      </c>
      <c r="AR681" t="str">
        <f>_xlfn.XLOOKUP(Table1[[#This Row],[RelationshipSatisfaction]],Table18[RelationshipSatisfaction],Table18[Deskripsi])</f>
        <v>Very High</v>
      </c>
      <c r="AS681" t="str">
        <f>_xlfn.XLOOKUP(Table1[[#This Row],[StockOptionLevel]],Table19[StockOptionLevel],Table19[Id_StockOptionLevel])</f>
        <v>SOL002</v>
      </c>
      <c r="AT681">
        <v>1</v>
      </c>
      <c r="AU681" t="str">
        <f>_xlfn.XLOOKUP(Table1[[#This Row],[StockOptionLevel]],Table19[StockOptionLevel],Table19[Deskripsi])</f>
        <v>Standard</v>
      </c>
      <c r="AV681">
        <v>9</v>
      </c>
      <c r="AW681">
        <v>2</v>
      </c>
      <c r="AX681" t="str">
        <f>_xlfn.XLOOKUP(Table1[[#This Row],[WorkLifeBalance]],Table20[WorkLifeBalance],Table20[Id_WorkLifeBalance])</f>
        <v>WLB003</v>
      </c>
      <c r="AY681">
        <v>2</v>
      </c>
      <c r="AZ681" t="str">
        <f>_xlfn.XLOOKUP(Table1[[#This Row],[WorkLifeBalance]],Table20[WorkLifeBalance],Table20[Deskripsi])</f>
        <v>Better</v>
      </c>
      <c r="BA681">
        <v>9</v>
      </c>
      <c r="BB681">
        <v>8</v>
      </c>
      <c r="BC681">
        <v>0</v>
      </c>
      <c r="BD681">
        <v>0</v>
      </c>
    </row>
    <row r="682" spans="1:56" x14ac:dyDescent="0.25">
      <c r="A682">
        <v>36</v>
      </c>
      <c r="B682" t="str">
        <f>_xlfn.XLOOKUP(Table1[[#This Row],[Attrition]],Table2[Attrition],Table2[Id_Attrition])</f>
        <v>A002</v>
      </c>
      <c r="C682" t="s">
        <v>33</v>
      </c>
      <c r="D682" t="str">
        <f>_xlfn.XLOOKUP(Table1[[#This Row],[BusinessTravel]],Table5[BusinessTravel],Table5[Id_BusinessTravel])</f>
        <v>BS001</v>
      </c>
      <c r="E682" t="s">
        <v>34</v>
      </c>
      <c r="F682">
        <v>188</v>
      </c>
      <c r="G682" t="str">
        <f>_xlfn.XLOOKUP(Table1[[#This Row],[Department]],Table6[Department],Table6[Id_Departement])</f>
        <v>D002</v>
      </c>
      <c r="H682" t="s">
        <v>38</v>
      </c>
      <c r="I682">
        <v>7</v>
      </c>
      <c r="J682" t="str">
        <f>_xlfn.XLOOKUP(Table1[[#This Row],[Education]],Table8[Education],Table8[Id_Education])</f>
        <v>E004</v>
      </c>
      <c r="K682">
        <v>4</v>
      </c>
      <c r="L682" t="str">
        <f>_xlfn.XLOOKUP(Table1[[#This Row],[EducationField]],Table7[EducationField],Table7[Id_EducationField])</f>
        <v>EF002</v>
      </c>
      <c r="M682" t="s">
        <v>41</v>
      </c>
      <c r="N682" t="str">
        <f>_xlfn.XLOOKUP(Table1[[#This Row],[EmployeeNumber]],Table4[EmployeeNumber],Table4[Id_Employee])</f>
        <v>EMP00681</v>
      </c>
      <c r="O682">
        <v>949</v>
      </c>
      <c r="P682" t="str">
        <f>_xlfn.XLOOKUP(Table1[[#This Row],[EnvironmentSatisfaction]],Table9[EnvironmentSatisfaction],Table9[Id_EnviromentSatisfaction])</f>
        <v>ES002</v>
      </c>
      <c r="Q682">
        <v>2</v>
      </c>
      <c r="R682" t="str">
        <f>_xlfn.XLOOKUP(Table1[[#This Row],[EnvironmentSatisfaction]],Table9[EnvironmentSatisfaction],Table9[Deskripsi])</f>
        <v>Medium</v>
      </c>
      <c r="S682" t="str">
        <f>_xlfn.XLOOKUP(Table1[[#This Row],[Gender]],Table10[Gender],Table10[Id_Gender])</f>
        <v>G002</v>
      </c>
      <c r="T682" t="s">
        <v>46</v>
      </c>
      <c r="U682">
        <v>65</v>
      </c>
      <c r="V682" t="str">
        <f>_xlfn.XLOOKUP(Table1[[#This Row],[JobInvolvement]],Table11[JobInvolvement],Table11[Id_JobInvolvement])</f>
        <v>JI003</v>
      </c>
      <c r="W682">
        <v>3</v>
      </c>
      <c r="X682" t="str">
        <f>_xlfn.XLOOKUP(Table1[[#This Row],[JobLevel]],Table12[JobLevel],Table12[Id_JobLevel])</f>
        <v>JL001</v>
      </c>
      <c r="Y682">
        <v>1</v>
      </c>
      <c r="Z682" t="str">
        <f>_xlfn.XLOOKUP(Table1[[#This Row],[JobRole]],Table13[JobRole],Table13[Id_JobRole])</f>
        <v>JR002</v>
      </c>
      <c r="AA682" t="s">
        <v>48</v>
      </c>
      <c r="AB682" t="str">
        <f>_xlfn.XLOOKUP(Table1[[#This Row],[JobSatisfaction]],Table14[JobSatisfaction],Table14[Id_JobSatisfaction])</f>
        <v>JS004</v>
      </c>
      <c r="AC682">
        <v>4</v>
      </c>
      <c r="AD682" t="str">
        <f>_xlfn.XLOOKUP(Table1[[#This Row],[JobSatisfaction]],Table14[JobSatisfaction],Table14[Deskripsi])</f>
        <v>Very High</v>
      </c>
      <c r="AE682" t="str">
        <f>_xlfn.XLOOKUP(Table1[[#This Row],[MaritalStatus]],Table15[MaritalStatus],Table15[Id_MaritalStatus])</f>
        <v>MS001</v>
      </c>
      <c r="AF682" t="s">
        <v>55</v>
      </c>
      <c r="AG682">
        <v>4678</v>
      </c>
      <c r="AH682">
        <v>23293</v>
      </c>
      <c r="AI682">
        <v>2</v>
      </c>
      <c r="AJ682" t="str">
        <f>_xlfn.XLOOKUP(Table1[[#This Row],[OverTime]],Table16[OverTime],Table16[Id_OverTime])</f>
        <v>OT002</v>
      </c>
      <c r="AK682" t="s">
        <v>33</v>
      </c>
      <c r="AL682">
        <v>18</v>
      </c>
      <c r="AM682" t="str">
        <f>_xlfn.XLOOKUP(Table1[[#This Row],[PerformanceRating]],Table17[PerformanceRating],Table17[Id_PerformanceRating])</f>
        <v>PR003</v>
      </c>
      <c r="AN682">
        <v>3</v>
      </c>
      <c r="AO682" t="str">
        <f>_xlfn.XLOOKUP(Table1[[#This Row],[PerformanceRating]],Table17[PerformanceRating],Table17[Deskripsi])</f>
        <v>Excellent</v>
      </c>
      <c r="AP682" t="str">
        <f>_xlfn.XLOOKUP(Table1[[#This Row],[RelationshipSatisfaction]],Table18[RelationshipSatisfaction],Table18[Id_RelationshipSatisfaction])</f>
        <v>RS003</v>
      </c>
      <c r="AQ682">
        <v>3</v>
      </c>
      <c r="AR682" t="str">
        <f>_xlfn.XLOOKUP(Table1[[#This Row],[RelationshipSatisfaction]],Table18[RelationshipSatisfaction],Table18[Deskripsi])</f>
        <v>High</v>
      </c>
      <c r="AS682" t="str">
        <f>_xlfn.XLOOKUP(Table1[[#This Row],[StockOptionLevel]],Table19[StockOptionLevel],Table19[Id_StockOptionLevel])</f>
        <v>SOL001</v>
      </c>
      <c r="AT682">
        <v>0</v>
      </c>
      <c r="AU682" t="str">
        <f>_xlfn.XLOOKUP(Table1[[#This Row],[StockOptionLevel]],Table19[StockOptionLevel],Table19[Deskripsi])</f>
        <v>Non-Eligible</v>
      </c>
      <c r="AV682">
        <v>8</v>
      </c>
      <c r="AW682">
        <v>6</v>
      </c>
      <c r="AX682" t="str">
        <f>_xlfn.XLOOKUP(Table1[[#This Row],[WorkLifeBalance]],Table20[WorkLifeBalance],Table20[Id_WorkLifeBalance])</f>
        <v>WLB002</v>
      </c>
      <c r="AY682">
        <v>3</v>
      </c>
      <c r="AZ682" t="str">
        <f>_xlfn.XLOOKUP(Table1[[#This Row],[WorkLifeBalance]],Table20[WorkLifeBalance],Table20[Deskripsi])</f>
        <v>Good</v>
      </c>
      <c r="BA682">
        <v>6</v>
      </c>
      <c r="BB682">
        <v>2</v>
      </c>
      <c r="BC682">
        <v>0</v>
      </c>
      <c r="BD682">
        <v>1</v>
      </c>
    </row>
    <row r="683" spans="1:56" x14ac:dyDescent="0.25">
      <c r="A683">
        <v>38</v>
      </c>
      <c r="B683" t="str">
        <f>_xlfn.XLOOKUP(Table1[[#This Row],[Attrition]],Table2[Attrition],Table2[Id_Attrition])</f>
        <v>A002</v>
      </c>
      <c r="C683" t="s">
        <v>33</v>
      </c>
      <c r="D683" t="str">
        <f>_xlfn.XLOOKUP(Table1[[#This Row],[BusinessTravel]],Table5[BusinessTravel],Table5[Id_BusinessTravel])</f>
        <v>BS001</v>
      </c>
      <c r="E683" t="s">
        <v>34</v>
      </c>
      <c r="F683">
        <v>1333</v>
      </c>
      <c r="G683" t="str">
        <f>_xlfn.XLOOKUP(Table1[[#This Row],[Department]],Table6[Department],Table6[Id_Departement])</f>
        <v>D002</v>
      </c>
      <c r="H683" t="s">
        <v>38</v>
      </c>
      <c r="I683">
        <v>1</v>
      </c>
      <c r="J683" t="str">
        <f>_xlfn.XLOOKUP(Table1[[#This Row],[Education]],Table8[Education],Table8[Id_Education])</f>
        <v>E003</v>
      </c>
      <c r="K683">
        <v>3</v>
      </c>
      <c r="L683" t="str">
        <f>_xlfn.XLOOKUP(Table1[[#This Row],[EducationField]],Table7[EducationField],Table7[Id_EducationField])</f>
        <v>EF005</v>
      </c>
      <c r="M683" t="s">
        <v>44</v>
      </c>
      <c r="N683" t="str">
        <f>_xlfn.XLOOKUP(Table1[[#This Row],[EmployeeNumber]],Table4[EmployeeNumber],Table4[Id_Employee])</f>
        <v>EMP00682</v>
      </c>
      <c r="O683">
        <v>950</v>
      </c>
      <c r="P683" t="str">
        <f>_xlfn.XLOOKUP(Table1[[#This Row],[EnvironmentSatisfaction]],Table9[EnvironmentSatisfaction],Table9[Id_EnviromentSatisfaction])</f>
        <v>ES004</v>
      </c>
      <c r="Q683">
        <v>4</v>
      </c>
      <c r="R683" t="str">
        <f>_xlfn.XLOOKUP(Table1[[#This Row],[EnvironmentSatisfaction]],Table9[EnvironmentSatisfaction],Table9[Deskripsi])</f>
        <v>Very High</v>
      </c>
      <c r="S683" t="str">
        <f>_xlfn.XLOOKUP(Table1[[#This Row],[Gender]],Table10[Gender],Table10[Id_Gender])</f>
        <v>G001</v>
      </c>
      <c r="T683" t="s">
        <v>45</v>
      </c>
      <c r="U683">
        <v>80</v>
      </c>
      <c r="V683" t="str">
        <f>_xlfn.XLOOKUP(Table1[[#This Row],[JobInvolvement]],Table11[JobInvolvement],Table11[Id_JobInvolvement])</f>
        <v>JI003</v>
      </c>
      <c r="W683">
        <v>3</v>
      </c>
      <c r="X683" t="str">
        <f>_xlfn.XLOOKUP(Table1[[#This Row],[JobLevel]],Table12[JobLevel],Table12[Id_JobLevel])</f>
        <v>JL003</v>
      </c>
      <c r="Y683">
        <v>3</v>
      </c>
      <c r="Z683" t="str">
        <f>_xlfn.XLOOKUP(Table1[[#This Row],[JobRole]],Table13[JobRole],Table13[Id_JobRole])</f>
        <v>JR008</v>
      </c>
      <c r="AA683" t="s">
        <v>54</v>
      </c>
      <c r="AB683" t="str">
        <f>_xlfn.XLOOKUP(Table1[[#This Row],[JobSatisfaction]],Table14[JobSatisfaction],Table14[Id_JobSatisfaction])</f>
        <v>JS001</v>
      </c>
      <c r="AC683">
        <v>1</v>
      </c>
      <c r="AD683" t="str">
        <f>_xlfn.XLOOKUP(Table1[[#This Row],[JobSatisfaction]],Table14[JobSatisfaction],Table14[Deskripsi])</f>
        <v>Low</v>
      </c>
      <c r="AE683" t="str">
        <f>_xlfn.XLOOKUP(Table1[[#This Row],[MaritalStatus]],Table15[MaritalStatus],Table15[Id_MaritalStatus])</f>
        <v>MS002</v>
      </c>
      <c r="AF683" t="s">
        <v>56</v>
      </c>
      <c r="AG683">
        <v>13582</v>
      </c>
      <c r="AH683">
        <v>16292</v>
      </c>
      <c r="AI683">
        <v>1</v>
      </c>
      <c r="AJ683" t="str">
        <f>_xlfn.XLOOKUP(Table1[[#This Row],[OverTime]],Table16[OverTime],Table16[Id_OverTime])</f>
        <v>OT002</v>
      </c>
      <c r="AK683" t="s">
        <v>33</v>
      </c>
      <c r="AL683">
        <v>13</v>
      </c>
      <c r="AM683" t="str">
        <f>_xlfn.XLOOKUP(Table1[[#This Row],[PerformanceRating]],Table17[PerformanceRating],Table17[Id_PerformanceRating])</f>
        <v>PR003</v>
      </c>
      <c r="AN683">
        <v>3</v>
      </c>
      <c r="AO683" t="str">
        <f>_xlfn.XLOOKUP(Table1[[#This Row],[PerformanceRating]],Table17[PerformanceRating],Table17[Deskripsi])</f>
        <v>Excellent</v>
      </c>
      <c r="AP683" t="str">
        <f>_xlfn.XLOOKUP(Table1[[#This Row],[RelationshipSatisfaction]],Table18[RelationshipSatisfaction],Table18[Id_RelationshipSatisfaction])</f>
        <v>RS002</v>
      </c>
      <c r="AQ683">
        <v>2</v>
      </c>
      <c r="AR683" t="str">
        <f>_xlfn.XLOOKUP(Table1[[#This Row],[RelationshipSatisfaction]],Table18[RelationshipSatisfaction],Table18[Deskripsi])</f>
        <v>Medium</v>
      </c>
      <c r="AS683" t="str">
        <f>_xlfn.XLOOKUP(Table1[[#This Row],[StockOptionLevel]],Table19[StockOptionLevel],Table19[Id_StockOptionLevel])</f>
        <v>SOL002</v>
      </c>
      <c r="AT683">
        <v>1</v>
      </c>
      <c r="AU683" t="str">
        <f>_xlfn.XLOOKUP(Table1[[#This Row],[StockOptionLevel]],Table19[StockOptionLevel],Table19[Deskripsi])</f>
        <v>Standard</v>
      </c>
      <c r="AV683">
        <v>15</v>
      </c>
      <c r="AW683">
        <v>3</v>
      </c>
      <c r="AX683" t="str">
        <f>_xlfn.XLOOKUP(Table1[[#This Row],[WorkLifeBalance]],Table20[WorkLifeBalance],Table20[Id_WorkLifeBalance])</f>
        <v>WLB002</v>
      </c>
      <c r="AY683">
        <v>3</v>
      </c>
      <c r="AZ683" t="str">
        <f>_xlfn.XLOOKUP(Table1[[#This Row],[WorkLifeBalance]],Table20[WorkLifeBalance],Table20[Deskripsi])</f>
        <v>Good</v>
      </c>
      <c r="BA683">
        <v>15</v>
      </c>
      <c r="BB683">
        <v>12</v>
      </c>
      <c r="BC683">
        <v>5</v>
      </c>
      <c r="BD683">
        <v>11</v>
      </c>
    </row>
    <row r="684" spans="1:56" x14ac:dyDescent="0.25">
      <c r="A684">
        <v>32</v>
      </c>
      <c r="B684" t="str">
        <f>_xlfn.XLOOKUP(Table1[[#This Row],[Attrition]],Table2[Attrition],Table2[Id_Attrition])</f>
        <v>A002</v>
      </c>
      <c r="C684" t="s">
        <v>33</v>
      </c>
      <c r="D684" t="str">
        <f>_xlfn.XLOOKUP(Table1[[#This Row],[BusinessTravel]],Table5[BusinessTravel],Table5[Id_BusinessTravel])</f>
        <v>BS003</v>
      </c>
      <c r="E684" t="s">
        <v>36</v>
      </c>
      <c r="F684">
        <v>1184</v>
      </c>
      <c r="G684" t="str">
        <f>_xlfn.XLOOKUP(Table1[[#This Row],[Department]],Table6[Department],Table6[Id_Departement])</f>
        <v>D002</v>
      </c>
      <c r="H684" t="s">
        <v>38</v>
      </c>
      <c r="I684">
        <v>1</v>
      </c>
      <c r="J684" t="str">
        <f>_xlfn.XLOOKUP(Table1[[#This Row],[Education]],Table8[Education],Table8[Id_Education])</f>
        <v>E003</v>
      </c>
      <c r="K684">
        <v>3</v>
      </c>
      <c r="L684" t="str">
        <f>_xlfn.XLOOKUP(Table1[[#This Row],[EducationField]],Table7[EducationField],Table7[Id_EducationField])</f>
        <v>EF001</v>
      </c>
      <c r="M684" t="s">
        <v>40</v>
      </c>
      <c r="N684" t="str">
        <f>_xlfn.XLOOKUP(Table1[[#This Row],[EmployeeNumber]],Table4[EmployeeNumber],Table4[Id_Employee])</f>
        <v>EMP00683</v>
      </c>
      <c r="O684">
        <v>951</v>
      </c>
      <c r="P684" t="str">
        <f>_xlfn.XLOOKUP(Table1[[#This Row],[EnvironmentSatisfaction]],Table9[EnvironmentSatisfaction],Table9[Id_EnviromentSatisfaction])</f>
        <v>ES003</v>
      </c>
      <c r="Q684">
        <v>3</v>
      </c>
      <c r="R684" t="str">
        <f>_xlfn.XLOOKUP(Table1[[#This Row],[EnvironmentSatisfaction]],Table9[EnvironmentSatisfaction],Table9[Deskripsi])</f>
        <v>High</v>
      </c>
      <c r="S684" t="str">
        <f>_xlfn.XLOOKUP(Table1[[#This Row],[Gender]],Table10[Gender],Table10[Id_Gender])</f>
        <v>G001</v>
      </c>
      <c r="T684" t="s">
        <v>45</v>
      </c>
      <c r="U684">
        <v>70</v>
      </c>
      <c r="V684" t="str">
        <f>_xlfn.XLOOKUP(Table1[[#This Row],[JobInvolvement]],Table11[JobInvolvement],Table11[Id_JobInvolvement])</f>
        <v>JI002</v>
      </c>
      <c r="W684">
        <v>2</v>
      </c>
      <c r="X684" t="str">
        <f>_xlfn.XLOOKUP(Table1[[#This Row],[JobLevel]],Table12[JobLevel],Table12[Id_JobLevel])</f>
        <v>JL001</v>
      </c>
      <c r="Y684">
        <v>1</v>
      </c>
      <c r="Z684" t="str">
        <f>_xlfn.XLOOKUP(Table1[[#This Row],[JobRole]],Table13[JobRole],Table13[Id_JobRole])</f>
        <v>JR003</v>
      </c>
      <c r="AA684" t="s">
        <v>49</v>
      </c>
      <c r="AB684" t="str">
        <f>_xlfn.XLOOKUP(Table1[[#This Row],[JobSatisfaction]],Table14[JobSatisfaction],Table14[Id_JobSatisfaction])</f>
        <v>JS002</v>
      </c>
      <c r="AC684">
        <v>2</v>
      </c>
      <c r="AD684" t="str">
        <f>_xlfn.XLOOKUP(Table1[[#This Row],[JobSatisfaction]],Table14[JobSatisfaction],Table14[Deskripsi])</f>
        <v>Medium</v>
      </c>
      <c r="AE684" t="str">
        <f>_xlfn.XLOOKUP(Table1[[#This Row],[MaritalStatus]],Table15[MaritalStatus],Table15[Id_MaritalStatus])</f>
        <v>MS002</v>
      </c>
      <c r="AF684" t="s">
        <v>56</v>
      </c>
      <c r="AG684">
        <v>2332</v>
      </c>
      <c r="AH684">
        <v>3974</v>
      </c>
      <c r="AI684">
        <v>6</v>
      </c>
      <c r="AJ684" t="str">
        <f>_xlfn.XLOOKUP(Table1[[#This Row],[OverTime]],Table16[OverTime],Table16[Id_OverTime])</f>
        <v>OT002</v>
      </c>
      <c r="AK684" t="s">
        <v>33</v>
      </c>
      <c r="AL684">
        <v>20</v>
      </c>
      <c r="AM684" t="str">
        <f>_xlfn.XLOOKUP(Table1[[#This Row],[PerformanceRating]],Table17[PerformanceRating],Table17[Id_PerformanceRating])</f>
        <v>PR004</v>
      </c>
      <c r="AN684">
        <v>4</v>
      </c>
      <c r="AO684" t="str">
        <f>_xlfn.XLOOKUP(Table1[[#This Row],[PerformanceRating]],Table17[PerformanceRating],Table17[Deskripsi])</f>
        <v>Outstanding</v>
      </c>
      <c r="AP684" t="str">
        <f>_xlfn.XLOOKUP(Table1[[#This Row],[RelationshipSatisfaction]],Table18[RelationshipSatisfaction],Table18[Id_RelationshipSatisfaction])</f>
        <v>RS003</v>
      </c>
      <c r="AQ684">
        <v>3</v>
      </c>
      <c r="AR684" t="str">
        <f>_xlfn.XLOOKUP(Table1[[#This Row],[RelationshipSatisfaction]],Table18[RelationshipSatisfaction],Table18[Deskripsi])</f>
        <v>High</v>
      </c>
      <c r="AS684" t="str">
        <f>_xlfn.XLOOKUP(Table1[[#This Row],[StockOptionLevel]],Table19[StockOptionLevel],Table19[Id_StockOptionLevel])</f>
        <v>SOL001</v>
      </c>
      <c r="AT684">
        <v>0</v>
      </c>
      <c r="AU684" t="str">
        <f>_xlfn.XLOOKUP(Table1[[#This Row],[StockOptionLevel]],Table19[StockOptionLevel],Table19[Deskripsi])</f>
        <v>Non-Eligible</v>
      </c>
      <c r="AV684">
        <v>5</v>
      </c>
      <c r="AW684">
        <v>3</v>
      </c>
      <c r="AX684" t="str">
        <f>_xlfn.XLOOKUP(Table1[[#This Row],[WorkLifeBalance]],Table20[WorkLifeBalance],Table20[Id_WorkLifeBalance])</f>
        <v>WLB002</v>
      </c>
      <c r="AY684">
        <v>3</v>
      </c>
      <c r="AZ684" t="str">
        <f>_xlfn.XLOOKUP(Table1[[#This Row],[WorkLifeBalance]],Table20[WorkLifeBalance],Table20[Deskripsi])</f>
        <v>Good</v>
      </c>
      <c r="BA684">
        <v>3</v>
      </c>
      <c r="BB684">
        <v>0</v>
      </c>
      <c r="BC684">
        <v>0</v>
      </c>
      <c r="BD684">
        <v>2</v>
      </c>
    </row>
    <row r="685" spans="1:56" x14ac:dyDescent="0.25">
      <c r="A685">
        <v>25</v>
      </c>
      <c r="B685" t="str">
        <f>_xlfn.XLOOKUP(Table1[[#This Row],[Attrition]],Table2[Attrition],Table2[Id_Attrition])</f>
        <v>A001</v>
      </c>
      <c r="C685" t="s">
        <v>32</v>
      </c>
      <c r="D685" t="str">
        <f>_xlfn.XLOOKUP(Table1[[#This Row],[BusinessTravel]],Table5[BusinessTravel],Table5[Id_BusinessTravel])</f>
        <v>BS001</v>
      </c>
      <c r="E685" t="s">
        <v>34</v>
      </c>
      <c r="F685">
        <v>867</v>
      </c>
      <c r="G685" t="str">
        <f>_xlfn.XLOOKUP(Table1[[#This Row],[Department]],Table6[Department],Table6[Id_Departement])</f>
        <v>D001</v>
      </c>
      <c r="H685" t="s">
        <v>37</v>
      </c>
      <c r="I685">
        <v>19</v>
      </c>
      <c r="J685" t="str">
        <f>_xlfn.XLOOKUP(Table1[[#This Row],[Education]],Table8[Education],Table8[Id_Education])</f>
        <v>E002</v>
      </c>
      <c r="K685">
        <v>2</v>
      </c>
      <c r="L685" t="str">
        <f>_xlfn.XLOOKUP(Table1[[#This Row],[EducationField]],Table7[EducationField],Table7[Id_EducationField])</f>
        <v>EF004</v>
      </c>
      <c r="M685" t="s">
        <v>43</v>
      </c>
      <c r="N685" t="str">
        <f>_xlfn.XLOOKUP(Table1[[#This Row],[EmployeeNumber]],Table4[EmployeeNumber],Table4[Id_Employee])</f>
        <v>EMP00684</v>
      </c>
      <c r="O685">
        <v>952</v>
      </c>
      <c r="P685" t="str">
        <f>_xlfn.XLOOKUP(Table1[[#This Row],[EnvironmentSatisfaction]],Table9[EnvironmentSatisfaction],Table9[Id_EnviromentSatisfaction])</f>
        <v>ES003</v>
      </c>
      <c r="Q685">
        <v>3</v>
      </c>
      <c r="R685" t="str">
        <f>_xlfn.XLOOKUP(Table1[[#This Row],[EnvironmentSatisfaction]],Table9[EnvironmentSatisfaction],Table9[Deskripsi])</f>
        <v>High</v>
      </c>
      <c r="S685" t="str">
        <f>_xlfn.XLOOKUP(Table1[[#This Row],[Gender]],Table10[Gender],Table10[Id_Gender])</f>
        <v>G002</v>
      </c>
      <c r="T685" t="s">
        <v>46</v>
      </c>
      <c r="U685">
        <v>36</v>
      </c>
      <c r="V685" t="str">
        <f>_xlfn.XLOOKUP(Table1[[#This Row],[JobInvolvement]],Table11[JobInvolvement],Table11[Id_JobInvolvement])</f>
        <v>JI002</v>
      </c>
      <c r="W685">
        <v>2</v>
      </c>
      <c r="X685" t="str">
        <f>_xlfn.XLOOKUP(Table1[[#This Row],[JobLevel]],Table12[JobLevel],Table12[Id_JobLevel])</f>
        <v>JL001</v>
      </c>
      <c r="Y685">
        <v>1</v>
      </c>
      <c r="Z685" t="str">
        <f>_xlfn.XLOOKUP(Table1[[#This Row],[JobRole]],Table13[JobRole],Table13[Id_JobRole])</f>
        <v>JR007</v>
      </c>
      <c r="AA685" t="s">
        <v>53</v>
      </c>
      <c r="AB685" t="str">
        <f>_xlfn.XLOOKUP(Table1[[#This Row],[JobSatisfaction]],Table14[JobSatisfaction],Table14[Id_JobSatisfaction])</f>
        <v>JS002</v>
      </c>
      <c r="AC685">
        <v>2</v>
      </c>
      <c r="AD685" t="str">
        <f>_xlfn.XLOOKUP(Table1[[#This Row],[JobSatisfaction]],Table14[JobSatisfaction],Table14[Deskripsi])</f>
        <v>Medium</v>
      </c>
      <c r="AE685" t="str">
        <f>_xlfn.XLOOKUP(Table1[[#This Row],[MaritalStatus]],Table15[MaritalStatus],Table15[Id_MaritalStatus])</f>
        <v>MS002</v>
      </c>
      <c r="AF685" t="s">
        <v>56</v>
      </c>
      <c r="AG685">
        <v>2413</v>
      </c>
      <c r="AH685">
        <v>18798</v>
      </c>
      <c r="AI685">
        <v>1</v>
      </c>
      <c r="AJ685" t="str">
        <f>_xlfn.XLOOKUP(Table1[[#This Row],[OverTime]],Table16[OverTime],Table16[Id_OverTime])</f>
        <v>OT001</v>
      </c>
      <c r="AK685" t="s">
        <v>32</v>
      </c>
      <c r="AL685">
        <v>18</v>
      </c>
      <c r="AM685" t="str">
        <f>_xlfn.XLOOKUP(Table1[[#This Row],[PerformanceRating]],Table17[PerformanceRating],Table17[Id_PerformanceRating])</f>
        <v>PR003</v>
      </c>
      <c r="AN685">
        <v>3</v>
      </c>
      <c r="AO685" t="str">
        <f>_xlfn.XLOOKUP(Table1[[#This Row],[PerformanceRating]],Table17[PerformanceRating],Table17[Deskripsi])</f>
        <v>Excellent</v>
      </c>
      <c r="AP685" t="str">
        <f>_xlfn.XLOOKUP(Table1[[#This Row],[RelationshipSatisfaction]],Table18[RelationshipSatisfaction],Table18[Id_RelationshipSatisfaction])</f>
        <v>RS003</v>
      </c>
      <c r="AQ685">
        <v>3</v>
      </c>
      <c r="AR685" t="str">
        <f>_xlfn.XLOOKUP(Table1[[#This Row],[RelationshipSatisfaction]],Table18[RelationshipSatisfaction],Table18[Deskripsi])</f>
        <v>High</v>
      </c>
      <c r="AS685" t="str">
        <f>_xlfn.XLOOKUP(Table1[[#This Row],[StockOptionLevel]],Table19[StockOptionLevel],Table19[Id_StockOptionLevel])</f>
        <v>SOL004</v>
      </c>
      <c r="AT685">
        <v>3</v>
      </c>
      <c r="AU685" t="str">
        <f>_xlfn.XLOOKUP(Table1[[#This Row],[StockOptionLevel]],Table19[StockOptionLevel],Table19[Deskripsi])</f>
        <v>Senior/Executive</v>
      </c>
      <c r="AV685">
        <v>1</v>
      </c>
      <c r="AW685">
        <v>2</v>
      </c>
      <c r="AX685" t="str">
        <f>_xlfn.XLOOKUP(Table1[[#This Row],[WorkLifeBalance]],Table20[WorkLifeBalance],Table20[Id_WorkLifeBalance])</f>
        <v>WLB002</v>
      </c>
      <c r="AY685">
        <v>3</v>
      </c>
      <c r="AZ685" t="str">
        <f>_xlfn.XLOOKUP(Table1[[#This Row],[WorkLifeBalance]],Table20[WorkLifeBalance],Table20[Deskripsi])</f>
        <v>Good</v>
      </c>
      <c r="BA685">
        <v>1</v>
      </c>
      <c r="BB685">
        <v>0</v>
      </c>
      <c r="BC685">
        <v>0</v>
      </c>
      <c r="BD685">
        <v>0</v>
      </c>
    </row>
    <row r="686" spans="1:56" x14ac:dyDescent="0.25">
      <c r="A686">
        <v>40</v>
      </c>
      <c r="B686" t="str">
        <f>_xlfn.XLOOKUP(Table1[[#This Row],[Attrition]],Table2[Attrition],Table2[Id_Attrition])</f>
        <v>A002</v>
      </c>
      <c r="C686" t="s">
        <v>33</v>
      </c>
      <c r="D686" t="str">
        <f>_xlfn.XLOOKUP(Table1[[#This Row],[BusinessTravel]],Table5[BusinessTravel],Table5[Id_BusinessTravel])</f>
        <v>BS001</v>
      </c>
      <c r="E686" t="s">
        <v>34</v>
      </c>
      <c r="F686">
        <v>658</v>
      </c>
      <c r="G686" t="str">
        <f>_xlfn.XLOOKUP(Table1[[#This Row],[Department]],Table6[Department],Table6[Id_Departement])</f>
        <v>D001</v>
      </c>
      <c r="H686" t="s">
        <v>37</v>
      </c>
      <c r="I686">
        <v>10</v>
      </c>
      <c r="J686" t="str">
        <f>_xlfn.XLOOKUP(Table1[[#This Row],[Education]],Table8[Education],Table8[Id_Education])</f>
        <v>E004</v>
      </c>
      <c r="K686">
        <v>4</v>
      </c>
      <c r="L686" t="str">
        <f>_xlfn.XLOOKUP(Table1[[#This Row],[EducationField]],Table7[EducationField],Table7[Id_EducationField])</f>
        <v>EF004</v>
      </c>
      <c r="M686" t="s">
        <v>43</v>
      </c>
      <c r="N686" t="str">
        <f>_xlfn.XLOOKUP(Table1[[#This Row],[EmployeeNumber]],Table4[EmployeeNumber],Table4[Id_Employee])</f>
        <v>EMP00685</v>
      </c>
      <c r="O686">
        <v>954</v>
      </c>
      <c r="P686" t="str">
        <f>_xlfn.XLOOKUP(Table1[[#This Row],[EnvironmentSatisfaction]],Table9[EnvironmentSatisfaction],Table9[Id_EnviromentSatisfaction])</f>
        <v>ES001</v>
      </c>
      <c r="Q686">
        <v>1</v>
      </c>
      <c r="R686" t="str">
        <f>_xlfn.XLOOKUP(Table1[[#This Row],[EnvironmentSatisfaction]],Table9[EnvironmentSatisfaction],Table9[Deskripsi])</f>
        <v>Low</v>
      </c>
      <c r="S686" t="str">
        <f>_xlfn.XLOOKUP(Table1[[#This Row],[Gender]],Table10[Gender],Table10[Id_Gender])</f>
        <v>G002</v>
      </c>
      <c r="T686" t="s">
        <v>46</v>
      </c>
      <c r="U686">
        <v>67</v>
      </c>
      <c r="V686" t="str">
        <f>_xlfn.XLOOKUP(Table1[[#This Row],[JobInvolvement]],Table11[JobInvolvement],Table11[Id_JobInvolvement])</f>
        <v>JI002</v>
      </c>
      <c r="W686">
        <v>2</v>
      </c>
      <c r="X686" t="str">
        <f>_xlfn.XLOOKUP(Table1[[#This Row],[JobLevel]],Table12[JobLevel],Table12[Id_JobLevel])</f>
        <v>JL003</v>
      </c>
      <c r="Y686">
        <v>3</v>
      </c>
      <c r="Z686" t="str">
        <f>_xlfn.XLOOKUP(Table1[[#This Row],[JobRole]],Table13[JobRole],Table13[Id_JobRole])</f>
        <v>JR001</v>
      </c>
      <c r="AA686" t="s">
        <v>47</v>
      </c>
      <c r="AB686" t="str">
        <f>_xlfn.XLOOKUP(Table1[[#This Row],[JobSatisfaction]],Table14[JobSatisfaction],Table14[Id_JobSatisfaction])</f>
        <v>JS002</v>
      </c>
      <c r="AC686">
        <v>2</v>
      </c>
      <c r="AD686" t="str">
        <f>_xlfn.XLOOKUP(Table1[[#This Row],[JobSatisfaction]],Table14[JobSatisfaction],Table14[Deskripsi])</f>
        <v>Medium</v>
      </c>
      <c r="AE686" t="str">
        <f>_xlfn.XLOOKUP(Table1[[#This Row],[MaritalStatus]],Table15[MaritalStatus],Table15[Id_MaritalStatus])</f>
        <v>MS003</v>
      </c>
      <c r="AF686" t="s">
        <v>57</v>
      </c>
      <c r="AG686">
        <v>9705</v>
      </c>
      <c r="AH686">
        <v>20652</v>
      </c>
      <c r="AI686">
        <v>2</v>
      </c>
      <c r="AJ686" t="str">
        <f>_xlfn.XLOOKUP(Table1[[#This Row],[OverTime]],Table16[OverTime],Table16[Id_OverTime])</f>
        <v>OT002</v>
      </c>
      <c r="AK686" t="s">
        <v>33</v>
      </c>
      <c r="AL686">
        <v>12</v>
      </c>
      <c r="AM686" t="str">
        <f>_xlfn.XLOOKUP(Table1[[#This Row],[PerformanceRating]],Table17[PerformanceRating],Table17[Id_PerformanceRating])</f>
        <v>PR003</v>
      </c>
      <c r="AN686">
        <v>3</v>
      </c>
      <c r="AO686" t="str">
        <f>_xlfn.XLOOKUP(Table1[[#This Row],[PerformanceRating]],Table17[PerformanceRating],Table17[Deskripsi])</f>
        <v>Excellent</v>
      </c>
      <c r="AP686" t="str">
        <f>_xlfn.XLOOKUP(Table1[[#This Row],[RelationshipSatisfaction]],Table18[RelationshipSatisfaction],Table18[Id_RelationshipSatisfaction])</f>
        <v>RS002</v>
      </c>
      <c r="AQ686">
        <v>2</v>
      </c>
      <c r="AR686" t="str">
        <f>_xlfn.XLOOKUP(Table1[[#This Row],[RelationshipSatisfaction]],Table18[RelationshipSatisfaction],Table18[Deskripsi])</f>
        <v>Medium</v>
      </c>
      <c r="AS686" t="str">
        <f>_xlfn.XLOOKUP(Table1[[#This Row],[StockOptionLevel]],Table19[StockOptionLevel],Table19[Id_StockOptionLevel])</f>
        <v>SOL002</v>
      </c>
      <c r="AT686">
        <v>1</v>
      </c>
      <c r="AU686" t="str">
        <f>_xlfn.XLOOKUP(Table1[[#This Row],[StockOptionLevel]],Table19[StockOptionLevel],Table19[Deskripsi])</f>
        <v>Standard</v>
      </c>
      <c r="AV686">
        <v>11</v>
      </c>
      <c r="AW686">
        <v>2</v>
      </c>
      <c r="AX686" t="str">
        <f>_xlfn.XLOOKUP(Table1[[#This Row],[WorkLifeBalance]],Table20[WorkLifeBalance],Table20[Id_WorkLifeBalance])</f>
        <v>WLB003</v>
      </c>
      <c r="AY686">
        <v>2</v>
      </c>
      <c r="AZ686" t="str">
        <f>_xlfn.XLOOKUP(Table1[[#This Row],[WorkLifeBalance]],Table20[WorkLifeBalance],Table20[Deskripsi])</f>
        <v>Better</v>
      </c>
      <c r="BA686">
        <v>1</v>
      </c>
      <c r="BB686">
        <v>0</v>
      </c>
      <c r="BC686">
        <v>0</v>
      </c>
      <c r="BD686">
        <v>0</v>
      </c>
    </row>
    <row r="687" spans="1:56" x14ac:dyDescent="0.25">
      <c r="A687">
        <v>26</v>
      </c>
      <c r="B687" t="str">
        <f>_xlfn.XLOOKUP(Table1[[#This Row],[Attrition]],Table2[Attrition],Table2[Id_Attrition])</f>
        <v>A002</v>
      </c>
      <c r="C687" t="s">
        <v>33</v>
      </c>
      <c r="D687" t="str">
        <f>_xlfn.XLOOKUP(Table1[[#This Row],[BusinessTravel]],Table5[BusinessTravel],Table5[Id_BusinessTravel])</f>
        <v>BS002</v>
      </c>
      <c r="E687" t="s">
        <v>35</v>
      </c>
      <c r="F687">
        <v>1283</v>
      </c>
      <c r="G687" t="str">
        <f>_xlfn.XLOOKUP(Table1[[#This Row],[Department]],Table6[Department],Table6[Id_Departement])</f>
        <v>D001</v>
      </c>
      <c r="H687" t="s">
        <v>37</v>
      </c>
      <c r="I687">
        <v>1</v>
      </c>
      <c r="J687" t="str">
        <f>_xlfn.XLOOKUP(Table1[[#This Row],[Education]],Table8[Education],Table8[Id_Education])</f>
        <v>E003</v>
      </c>
      <c r="K687">
        <v>3</v>
      </c>
      <c r="L687" t="str">
        <f>_xlfn.XLOOKUP(Table1[[#This Row],[EducationField]],Table7[EducationField],Table7[Id_EducationField])</f>
        <v>EF003</v>
      </c>
      <c r="M687" t="s">
        <v>42</v>
      </c>
      <c r="N687" t="str">
        <f>_xlfn.XLOOKUP(Table1[[#This Row],[EmployeeNumber]],Table4[EmployeeNumber],Table4[Id_Employee])</f>
        <v>EMP00686</v>
      </c>
      <c r="O687">
        <v>956</v>
      </c>
      <c r="P687" t="str">
        <f>_xlfn.XLOOKUP(Table1[[#This Row],[EnvironmentSatisfaction]],Table9[EnvironmentSatisfaction],Table9[Id_EnviromentSatisfaction])</f>
        <v>ES003</v>
      </c>
      <c r="Q687">
        <v>3</v>
      </c>
      <c r="R687" t="str">
        <f>_xlfn.XLOOKUP(Table1[[#This Row],[EnvironmentSatisfaction]],Table9[EnvironmentSatisfaction],Table9[Deskripsi])</f>
        <v>High</v>
      </c>
      <c r="S687" t="str">
        <f>_xlfn.XLOOKUP(Table1[[#This Row],[Gender]],Table10[Gender],Table10[Id_Gender])</f>
        <v>G002</v>
      </c>
      <c r="T687" t="s">
        <v>46</v>
      </c>
      <c r="U687">
        <v>52</v>
      </c>
      <c r="V687" t="str">
        <f>_xlfn.XLOOKUP(Table1[[#This Row],[JobInvolvement]],Table11[JobInvolvement],Table11[Id_JobInvolvement])</f>
        <v>JI002</v>
      </c>
      <c r="W687">
        <v>2</v>
      </c>
      <c r="X687" t="str">
        <f>_xlfn.XLOOKUP(Table1[[#This Row],[JobLevel]],Table12[JobLevel],Table12[Id_JobLevel])</f>
        <v>JL002</v>
      </c>
      <c r="Y687">
        <v>2</v>
      </c>
      <c r="Z687" t="str">
        <f>_xlfn.XLOOKUP(Table1[[#This Row],[JobRole]],Table13[JobRole],Table13[Id_JobRole])</f>
        <v>JR001</v>
      </c>
      <c r="AA687" t="s">
        <v>47</v>
      </c>
      <c r="AB687" t="str">
        <f>_xlfn.XLOOKUP(Table1[[#This Row],[JobSatisfaction]],Table14[JobSatisfaction],Table14[Id_JobSatisfaction])</f>
        <v>JS001</v>
      </c>
      <c r="AC687">
        <v>1</v>
      </c>
      <c r="AD687" t="str">
        <f>_xlfn.XLOOKUP(Table1[[#This Row],[JobSatisfaction]],Table14[JobSatisfaction],Table14[Deskripsi])</f>
        <v>Low</v>
      </c>
      <c r="AE687" t="str">
        <f>_xlfn.XLOOKUP(Table1[[#This Row],[MaritalStatus]],Table15[MaritalStatus],Table15[Id_MaritalStatus])</f>
        <v>MS001</v>
      </c>
      <c r="AF687" t="s">
        <v>55</v>
      </c>
      <c r="AG687">
        <v>4294</v>
      </c>
      <c r="AH687">
        <v>11148</v>
      </c>
      <c r="AI687">
        <v>1</v>
      </c>
      <c r="AJ687" t="str">
        <f>_xlfn.XLOOKUP(Table1[[#This Row],[OverTime]],Table16[OverTime],Table16[Id_OverTime])</f>
        <v>OT002</v>
      </c>
      <c r="AK687" t="s">
        <v>33</v>
      </c>
      <c r="AL687">
        <v>12</v>
      </c>
      <c r="AM687" t="str">
        <f>_xlfn.XLOOKUP(Table1[[#This Row],[PerformanceRating]],Table17[PerformanceRating],Table17[Id_PerformanceRating])</f>
        <v>PR003</v>
      </c>
      <c r="AN687">
        <v>3</v>
      </c>
      <c r="AO687" t="str">
        <f>_xlfn.XLOOKUP(Table1[[#This Row],[PerformanceRating]],Table17[PerformanceRating],Table17[Deskripsi])</f>
        <v>Excellent</v>
      </c>
      <c r="AP687" t="str">
        <f>_xlfn.XLOOKUP(Table1[[#This Row],[RelationshipSatisfaction]],Table18[RelationshipSatisfaction],Table18[Id_RelationshipSatisfaction])</f>
        <v>RS002</v>
      </c>
      <c r="AQ687">
        <v>2</v>
      </c>
      <c r="AR687" t="str">
        <f>_xlfn.XLOOKUP(Table1[[#This Row],[RelationshipSatisfaction]],Table18[RelationshipSatisfaction],Table18[Deskripsi])</f>
        <v>Medium</v>
      </c>
      <c r="AS687" t="str">
        <f>_xlfn.XLOOKUP(Table1[[#This Row],[StockOptionLevel]],Table19[StockOptionLevel],Table19[Id_StockOptionLevel])</f>
        <v>SOL001</v>
      </c>
      <c r="AT687">
        <v>0</v>
      </c>
      <c r="AU687" t="str">
        <f>_xlfn.XLOOKUP(Table1[[#This Row],[StockOptionLevel]],Table19[StockOptionLevel],Table19[Deskripsi])</f>
        <v>Non-Eligible</v>
      </c>
      <c r="AV687">
        <v>7</v>
      </c>
      <c r="AW687">
        <v>2</v>
      </c>
      <c r="AX687" t="str">
        <f>_xlfn.XLOOKUP(Table1[[#This Row],[WorkLifeBalance]],Table20[WorkLifeBalance],Table20[Id_WorkLifeBalance])</f>
        <v>WLB002</v>
      </c>
      <c r="AY687">
        <v>3</v>
      </c>
      <c r="AZ687" t="str">
        <f>_xlfn.XLOOKUP(Table1[[#This Row],[WorkLifeBalance]],Table20[WorkLifeBalance],Table20[Deskripsi])</f>
        <v>Good</v>
      </c>
      <c r="BA687">
        <v>7</v>
      </c>
      <c r="BB687">
        <v>7</v>
      </c>
      <c r="BC687">
        <v>0</v>
      </c>
      <c r="BD687">
        <v>7</v>
      </c>
    </row>
    <row r="688" spans="1:56" x14ac:dyDescent="0.25">
      <c r="A688">
        <v>41</v>
      </c>
      <c r="B688" t="str">
        <f>_xlfn.XLOOKUP(Table1[[#This Row],[Attrition]],Table2[Attrition],Table2[Id_Attrition])</f>
        <v>A002</v>
      </c>
      <c r="C688" t="s">
        <v>33</v>
      </c>
      <c r="D688" t="str">
        <f>_xlfn.XLOOKUP(Table1[[#This Row],[BusinessTravel]],Table5[BusinessTravel],Table5[Id_BusinessTravel])</f>
        <v>BS001</v>
      </c>
      <c r="E688" t="s">
        <v>34</v>
      </c>
      <c r="F688">
        <v>263</v>
      </c>
      <c r="G688" t="str">
        <f>_xlfn.XLOOKUP(Table1[[#This Row],[Department]],Table6[Department],Table6[Id_Departement])</f>
        <v>D002</v>
      </c>
      <c r="H688" t="s">
        <v>38</v>
      </c>
      <c r="I688">
        <v>6</v>
      </c>
      <c r="J688" t="str">
        <f>_xlfn.XLOOKUP(Table1[[#This Row],[Education]],Table8[Education],Table8[Id_Education])</f>
        <v>E003</v>
      </c>
      <c r="K688">
        <v>3</v>
      </c>
      <c r="L688" t="str">
        <f>_xlfn.XLOOKUP(Table1[[#This Row],[EducationField]],Table7[EducationField],Table7[Id_EducationField])</f>
        <v>EF003</v>
      </c>
      <c r="M688" t="s">
        <v>42</v>
      </c>
      <c r="N688" t="str">
        <f>_xlfn.XLOOKUP(Table1[[#This Row],[EmployeeNumber]],Table4[EmployeeNumber],Table4[Id_Employee])</f>
        <v>EMP00687</v>
      </c>
      <c r="O688">
        <v>957</v>
      </c>
      <c r="P688" t="str">
        <f>_xlfn.XLOOKUP(Table1[[#This Row],[EnvironmentSatisfaction]],Table9[EnvironmentSatisfaction],Table9[Id_EnviromentSatisfaction])</f>
        <v>ES004</v>
      </c>
      <c r="Q688">
        <v>4</v>
      </c>
      <c r="R688" t="str">
        <f>_xlfn.XLOOKUP(Table1[[#This Row],[EnvironmentSatisfaction]],Table9[EnvironmentSatisfaction],Table9[Deskripsi])</f>
        <v>Very High</v>
      </c>
      <c r="S688" t="str">
        <f>_xlfn.XLOOKUP(Table1[[#This Row],[Gender]],Table10[Gender],Table10[Id_Gender])</f>
        <v>G002</v>
      </c>
      <c r="T688" t="s">
        <v>46</v>
      </c>
      <c r="U688">
        <v>59</v>
      </c>
      <c r="V688" t="str">
        <f>_xlfn.XLOOKUP(Table1[[#This Row],[JobInvolvement]],Table11[JobInvolvement],Table11[Id_JobInvolvement])</f>
        <v>JI003</v>
      </c>
      <c r="W688">
        <v>3</v>
      </c>
      <c r="X688" t="str">
        <f>_xlfn.XLOOKUP(Table1[[#This Row],[JobLevel]],Table12[JobLevel],Table12[Id_JobLevel])</f>
        <v>JL001</v>
      </c>
      <c r="Y688">
        <v>1</v>
      </c>
      <c r="Z688" t="str">
        <f>_xlfn.XLOOKUP(Table1[[#This Row],[JobRole]],Table13[JobRole],Table13[Id_JobRole])</f>
        <v>JR003</v>
      </c>
      <c r="AA688" t="s">
        <v>49</v>
      </c>
      <c r="AB688" t="str">
        <f>_xlfn.XLOOKUP(Table1[[#This Row],[JobSatisfaction]],Table14[JobSatisfaction],Table14[Id_JobSatisfaction])</f>
        <v>JS001</v>
      </c>
      <c r="AC688">
        <v>1</v>
      </c>
      <c r="AD688" t="str">
        <f>_xlfn.XLOOKUP(Table1[[#This Row],[JobSatisfaction]],Table14[JobSatisfaction],Table14[Deskripsi])</f>
        <v>Low</v>
      </c>
      <c r="AE688" t="str">
        <f>_xlfn.XLOOKUP(Table1[[#This Row],[MaritalStatus]],Table15[MaritalStatus],Table15[Id_MaritalStatus])</f>
        <v>MS001</v>
      </c>
      <c r="AF688" t="s">
        <v>55</v>
      </c>
      <c r="AG688">
        <v>4721</v>
      </c>
      <c r="AH688">
        <v>3119</v>
      </c>
      <c r="AI688">
        <v>2</v>
      </c>
      <c r="AJ688" t="str">
        <f>_xlfn.XLOOKUP(Table1[[#This Row],[OverTime]],Table16[OverTime],Table16[Id_OverTime])</f>
        <v>OT001</v>
      </c>
      <c r="AK688" t="s">
        <v>32</v>
      </c>
      <c r="AL688">
        <v>13</v>
      </c>
      <c r="AM688" t="str">
        <f>_xlfn.XLOOKUP(Table1[[#This Row],[PerformanceRating]],Table17[PerformanceRating],Table17[Id_PerformanceRating])</f>
        <v>PR003</v>
      </c>
      <c r="AN688">
        <v>3</v>
      </c>
      <c r="AO688" t="str">
        <f>_xlfn.XLOOKUP(Table1[[#This Row],[PerformanceRating]],Table17[PerformanceRating],Table17[Deskripsi])</f>
        <v>Excellent</v>
      </c>
      <c r="AP688" t="str">
        <f>_xlfn.XLOOKUP(Table1[[#This Row],[RelationshipSatisfaction]],Table18[RelationshipSatisfaction],Table18[Id_RelationshipSatisfaction])</f>
        <v>RS003</v>
      </c>
      <c r="AQ688">
        <v>3</v>
      </c>
      <c r="AR688" t="str">
        <f>_xlfn.XLOOKUP(Table1[[#This Row],[RelationshipSatisfaction]],Table18[RelationshipSatisfaction],Table18[Deskripsi])</f>
        <v>High</v>
      </c>
      <c r="AS688" t="str">
        <f>_xlfn.XLOOKUP(Table1[[#This Row],[StockOptionLevel]],Table19[StockOptionLevel],Table19[Id_StockOptionLevel])</f>
        <v>SOL001</v>
      </c>
      <c r="AT688">
        <v>0</v>
      </c>
      <c r="AU688" t="str">
        <f>_xlfn.XLOOKUP(Table1[[#This Row],[StockOptionLevel]],Table19[StockOptionLevel],Table19[Deskripsi])</f>
        <v>Non-Eligible</v>
      </c>
      <c r="AV688">
        <v>20</v>
      </c>
      <c r="AW688">
        <v>3</v>
      </c>
      <c r="AX688" t="str">
        <f>_xlfn.XLOOKUP(Table1[[#This Row],[WorkLifeBalance]],Table20[WorkLifeBalance],Table20[Id_WorkLifeBalance])</f>
        <v>WLB002</v>
      </c>
      <c r="AY688">
        <v>3</v>
      </c>
      <c r="AZ688" t="str">
        <f>_xlfn.XLOOKUP(Table1[[#This Row],[WorkLifeBalance]],Table20[WorkLifeBalance],Table20[Deskripsi])</f>
        <v>Good</v>
      </c>
      <c r="BA688">
        <v>18</v>
      </c>
      <c r="BB688">
        <v>13</v>
      </c>
      <c r="BC688">
        <v>2</v>
      </c>
      <c r="BD688">
        <v>17</v>
      </c>
    </row>
    <row r="689" spans="1:56" x14ac:dyDescent="0.25">
      <c r="A689">
        <v>36</v>
      </c>
      <c r="B689" t="str">
        <f>_xlfn.XLOOKUP(Table1[[#This Row],[Attrition]],Table2[Attrition],Table2[Id_Attrition])</f>
        <v>A002</v>
      </c>
      <c r="C689" t="s">
        <v>33</v>
      </c>
      <c r="D689" t="str">
        <f>_xlfn.XLOOKUP(Table1[[#This Row],[BusinessTravel]],Table5[BusinessTravel],Table5[Id_BusinessTravel])</f>
        <v>BS001</v>
      </c>
      <c r="E689" t="s">
        <v>34</v>
      </c>
      <c r="F689">
        <v>938</v>
      </c>
      <c r="G689" t="str">
        <f>_xlfn.XLOOKUP(Table1[[#This Row],[Department]],Table6[Department],Table6[Id_Departement])</f>
        <v>D002</v>
      </c>
      <c r="H689" t="s">
        <v>38</v>
      </c>
      <c r="I689">
        <v>2</v>
      </c>
      <c r="J689" t="str">
        <f>_xlfn.XLOOKUP(Table1[[#This Row],[Education]],Table8[Education],Table8[Id_Education])</f>
        <v>E004</v>
      </c>
      <c r="K689">
        <v>4</v>
      </c>
      <c r="L689" t="str">
        <f>_xlfn.XLOOKUP(Table1[[#This Row],[EducationField]],Table7[EducationField],Table7[Id_EducationField])</f>
        <v>EF003</v>
      </c>
      <c r="M689" t="s">
        <v>42</v>
      </c>
      <c r="N689" t="str">
        <f>_xlfn.XLOOKUP(Table1[[#This Row],[EmployeeNumber]],Table4[EmployeeNumber],Table4[Id_Employee])</f>
        <v>EMP00688</v>
      </c>
      <c r="O689">
        <v>958</v>
      </c>
      <c r="P689" t="str">
        <f>_xlfn.XLOOKUP(Table1[[#This Row],[EnvironmentSatisfaction]],Table9[EnvironmentSatisfaction],Table9[Id_EnviromentSatisfaction])</f>
        <v>ES003</v>
      </c>
      <c r="Q689">
        <v>3</v>
      </c>
      <c r="R689" t="str">
        <f>_xlfn.XLOOKUP(Table1[[#This Row],[EnvironmentSatisfaction]],Table9[EnvironmentSatisfaction],Table9[Deskripsi])</f>
        <v>High</v>
      </c>
      <c r="S689" t="str">
        <f>_xlfn.XLOOKUP(Table1[[#This Row],[Gender]],Table10[Gender],Table10[Id_Gender])</f>
        <v>G002</v>
      </c>
      <c r="T689" t="s">
        <v>46</v>
      </c>
      <c r="U689">
        <v>79</v>
      </c>
      <c r="V689" t="str">
        <f>_xlfn.XLOOKUP(Table1[[#This Row],[JobInvolvement]],Table11[JobInvolvement],Table11[Id_JobInvolvement])</f>
        <v>JI003</v>
      </c>
      <c r="W689">
        <v>3</v>
      </c>
      <c r="X689" t="str">
        <f>_xlfn.XLOOKUP(Table1[[#This Row],[JobLevel]],Table12[JobLevel],Table12[Id_JobLevel])</f>
        <v>JL001</v>
      </c>
      <c r="Y689">
        <v>1</v>
      </c>
      <c r="Z689" t="str">
        <f>_xlfn.XLOOKUP(Table1[[#This Row],[JobRole]],Table13[JobRole],Table13[Id_JobRole])</f>
        <v>JR003</v>
      </c>
      <c r="AA689" t="s">
        <v>49</v>
      </c>
      <c r="AB689" t="str">
        <f>_xlfn.XLOOKUP(Table1[[#This Row],[JobSatisfaction]],Table14[JobSatisfaction],Table14[Id_JobSatisfaction])</f>
        <v>JS003</v>
      </c>
      <c r="AC689">
        <v>3</v>
      </c>
      <c r="AD689" t="str">
        <f>_xlfn.XLOOKUP(Table1[[#This Row],[JobSatisfaction]],Table14[JobSatisfaction],Table14[Deskripsi])</f>
        <v>High</v>
      </c>
      <c r="AE689" t="str">
        <f>_xlfn.XLOOKUP(Table1[[#This Row],[MaritalStatus]],Table15[MaritalStatus],Table15[Id_MaritalStatus])</f>
        <v>MS001</v>
      </c>
      <c r="AF689" t="s">
        <v>55</v>
      </c>
      <c r="AG689">
        <v>2519</v>
      </c>
      <c r="AH689">
        <v>12287</v>
      </c>
      <c r="AI689">
        <v>4</v>
      </c>
      <c r="AJ689" t="str">
        <f>_xlfn.XLOOKUP(Table1[[#This Row],[OverTime]],Table16[OverTime],Table16[Id_OverTime])</f>
        <v>OT002</v>
      </c>
      <c r="AK689" t="s">
        <v>33</v>
      </c>
      <c r="AL689">
        <v>21</v>
      </c>
      <c r="AM689" t="str">
        <f>_xlfn.XLOOKUP(Table1[[#This Row],[PerformanceRating]],Table17[PerformanceRating],Table17[Id_PerformanceRating])</f>
        <v>PR004</v>
      </c>
      <c r="AN689">
        <v>4</v>
      </c>
      <c r="AO689" t="str">
        <f>_xlfn.XLOOKUP(Table1[[#This Row],[PerformanceRating]],Table17[PerformanceRating],Table17[Deskripsi])</f>
        <v>Outstanding</v>
      </c>
      <c r="AP689" t="str">
        <f>_xlfn.XLOOKUP(Table1[[#This Row],[RelationshipSatisfaction]],Table18[RelationshipSatisfaction],Table18[Id_RelationshipSatisfaction])</f>
        <v>RS003</v>
      </c>
      <c r="AQ689">
        <v>3</v>
      </c>
      <c r="AR689" t="str">
        <f>_xlfn.XLOOKUP(Table1[[#This Row],[RelationshipSatisfaction]],Table18[RelationshipSatisfaction],Table18[Deskripsi])</f>
        <v>High</v>
      </c>
      <c r="AS689" t="str">
        <f>_xlfn.XLOOKUP(Table1[[#This Row],[StockOptionLevel]],Table19[StockOptionLevel],Table19[Id_StockOptionLevel])</f>
        <v>SOL001</v>
      </c>
      <c r="AT689">
        <v>0</v>
      </c>
      <c r="AU689" t="str">
        <f>_xlfn.XLOOKUP(Table1[[#This Row],[StockOptionLevel]],Table19[StockOptionLevel],Table19[Deskripsi])</f>
        <v>Non-Eligible</v>
      </c>
      <c r="AV689">
        <v>16</v>
      </c>
      <c r="AW689">
        <v>6</v>
      </c>
      <c r="AX689" t="str">
        <f>_xlfn.XLOOKUP(Table1[[#This Row],[WorkLifeBalance]],Table20[WorkLifeBalance],Table20[Id_WorkLifeBalance])</f>
        <v>WLB002</v>
      </c>
      <c r="AY689">
        <v>3</v>
      </c>
      <c r="AZ689" t="str">
        <f>_xlfn.XLOOKUP(Table1[[#This Row],[WorkLifeBalance]],Table20[WorkLifeBalance],Table20[Deskripsi])</f>
        <v>Good</v>
      </c>
      <c r="BA689">
        <v>11</v>
      </c>
      <c r="BB689">
        <v>8</v>
      </c>
      <c r="BC689">
        <v>3</v>
      </c>
      <c r="BD689">
        <v>9</v>
      </c>
    </row>
    <row r="690" spans="1:56" x14ac:dyDescent="0.25">
      <c r="A690">
        <v>19</v>
      </c>
      <c r="B690" t="str">
        <f>_xlfn.XLOOKUP(Table1[[#This Row],[Attrition]],Table2[Attrition],Table2[Id_Attrition])</f>
        <v>A001</v>
      </c>
      <c r="C690" t="s">
        <v>32</v>
      </c>
      <c r="D690" t="str">
        <f>_xlfn.XLOOKUP(Table1[[#This Row],[BusinessTravel]],Table5[BusinessTravel],Table5[Id_BusinessTravel])</f>
        <v>BS001</v>
      </c>
      <c r="E690" t="s">
        <v>34</v>
      </c>
      <c r="F690">
        <v>419</v>
      </c>
      <c r="G690" t="str">
        <f>_xlfn.XLOOKUP(Table1[[#This Row],[Department]],Table6[Department],Table6[Id_Departement])</f>
        <v>D001</v>
      </c>
      <c r="H690" t="s">
        <v>37</v>
      </c>
      <c r="I690">
        <v>21</v>
      </c>
      <c r="J690" t="str">
        <f>_xlfn.XLOOKUP(Table1[[#This Row],[Education]],Table8[Education],Table8[Id_Education])</f>
        <v>E003</v>
      </c>
      <c r="K690">
        <v>3</v>
      </c>
      <c r="L690" t="str">
        <f>_xlfn.XLOOKUP(Table1[[#This Row],[EducationField]],Table7[EducationField],Table7[Id_EducationField])</f>
        <v>EF002</v>
      </c>
      <c r="M690" t="s">
        <v>41</v>
      </c>
      <c r="N690" t="str">
        <f>_xlfn.XLOOKUP(Table1[[#This Row],[EmployeeNumber]],Table4[EmployeeNumber],Table4[Id_Employee])</f>
        <v>EMP00689</v>
      </c>
      <c r="O690">
        <v>959</v>
      </c>
      <c r="P690" t="str">
        <f>_xlfn.XLOOKUP(Table1[[#This Row],[EnvironmentSatisfaction]],Table9[EnvironmentSatisfaction],Table9[Id_EnviromentSatisfaction])</f>
        <v>ES004</v>
      </c>
      <c r="Q690">
        <v>4</v>
      </c>
      <c r="R690" t="str">
        <f>_xlfn.XLOOKUP(Table1[[#This Row],[EnvironmentSatisfaction]],Table9[EnvironmentSatisfaction],Table9[Deskripsi])</f>
        <v>Very High</v>
      </c>
      <c r="S690" t="str">
        <f>_xlfn.XLOOKUP(Table1[[#This Row],[Gender]],Table10[Gender],Table10[Id_Gender])</f>
        <v>G002</v>
      </c>
      <c r="T690" t="s">
        <v>46</v>
      </c>
      <c r="U690">
        <v>37</v>
      </c>
      <c r="V690" t="str">
        <f>_xlfn.XLOOKUP(Table1[[#This Row],[JobInvolvement]],Table11[JobInvolvement],Table11[Id_JobInvolvement])</f>
        <v>JI002</v>
      </c>
      <c r="W690">
        <v>2</v>
      </c>
      <c r="X690" t="str">
        <f>_xlfn.XLOOKUP(Table1[[#This Row],[JobLevel]],Table12[JobLevel],Table12[Id_JobLevel])</f>
        <v>JL001</v>
      </c>
      <c r="Y690">
        <v>1</v>
      </c>
      <c r="Z690" t="str">
        <f>_xlfn.XLOOKUP(Table1[[#This Row],[JobRole]],Table13[JobRole],Table13[Id_JobRole])</f>
        <v>JR007</v>
      </c>
      <c r="AA690" t="s">
        <v>53</v>
      </c>
      <c r="AB690" t="str">
        <f>_xlfn.XLOOKUP(Table1[[#This Row],[JobSatisfaction]],Table14[JobSatisfaction],Table14[Id_JobSatisfaction])</f>
        <v>JS002</v>
      </c>
      <c r="AC690">
        <v>2</v>
      </c>
      <c r="AD690" t="str">
        <f>_xlfn.XLOOKUP(Table1[[#This Row],[JobSatisfaction]],Table14[JobSatisfaction],Table14[Deskripsi])</f>
        <v>Medium</v>
      </c>
      <c r="AE690" t="str">
        <f>_xlfn.XLOOKUP(Table1[[#This Row],[MaritalStatus]],Table15[MaritalStatus],Table15[Id_MaritalStatus])</f>
        <v>MS001</v>
      </c>
      <c r="AF690" t="s">
        <v>55</v>
      </c>
      <c r="AG690">
        <v>2121</v>
      </c>
      <c r="AH690">
        <v>9947</v>
      </c>
      <c r="AI690">
        <v>1</v>
      </c>
      <c r="AJ690" t="str">
        <f>_xlfn.XLOOKUP(Table1[[#This Row],[OverTime]],Table16[OverTime],Table16[Id_OverTime])</f>
        <v>OT001</v>
      </c>
      <c r="AK690" t="s">
        <v>32</v>
      </c>
      <c r="AL690">
        <v>13</v>
      </c>
      <c r="AM690" t="str">
        <f>_xlfn.XLOOKUP(Table1[[#This Row],[PerformanceRating]],Table17[PerformanceRating],Table17[Id_PerformanceRating])</f>
        <v>PR003</v>
      </c>
      <c r="AN690">
        <v>3</v>
      </c>
      <c r="AO690" t="str">
        <f>_xlfn.XLOOKUP(Table1[[#This Row],[PerformanceRating]],Table17[PerformanceRating],Table17[Deskripsi])</f>
        <v>Excellent</v>
      </c>
      <c r="AP690" t="str">
        <f>_xlfn.XLOOKUP(Table1[[#This Row],[RelationshipSatisfaction]],Table18[RelationshipSatisfaction],Table18[Id_RelationshipSatisfaction])</f>
        <v>RS002</v>
      </c>
      <c r="AQ690">
        <v>2</v>
      </c>
      <c r="AR690" t="str">
        <f>_xlfn.XLOOKUP(Table1[[#This Row],[RelationshipSatisfaction]],Table18[RelationshipSatisfaction],Table18[Deskripsi])</f>
        <v>Medium</v>
      </c>
      <c r="AS690" t="str">
        <f>_xlfn.XLOOKUP(Table1[[#This Row],[StockOptionLevel]],Table19[StockOptionLevel],Table19[Id_StockOptionLevel])</f>
        <v>SOL001</v>
      </c>
      <c r="AT690">
        <v>0</v>
      </c>
      <c r="AU690" t="str">
        <f>_xlfn.XLOOKUP(Table1[[#This Row],[StockOptionLevel]],Table19[StockOptionLevel],Table19[Deskripsi])</f>
        <v>Non-Eligible</v>
      </c>
      <c r="AV690">
        <v>1</v>
      </c>
      <c r="AW690">
        <v>3</v>
      </c>
      <c r="AX690" t="str">
        <f>_xlfn.XLOOKUP(Table1[[#This Row],[WorkLifeBalance]],Table20[WorkLifeBalance],Table20[Id_WorkLifeBalance])</f>
        <v>WLB004</v>
      </c>
      <c r="AY690">
        <v>4</v>
      </c>
      <c r="AZ690" t="str">
        <f>_xlfn.XLOOKUP(Table1[[#This Row],[WorkLifeBalance]],Table20[WorkLifeBalance],Table20[Deskripsi])</f>
        <v>Best</v>
      </c>
      <c r="BA690">
        <v>1</v>
      </c>
      <c r="BB690">
        <v>0</v>
      </c>
      <c r="BC690">
        <v>0</v>
      </c>
      <c r="BD690">
        <v>0</v>
      </c>
    </row>
    <row r="691" spans="1:56" x14ac:dyDescent="0.25">
      <c r="A691">
        <v>20</v>
      </c>
      <c r="B691" t="str">
        <f>_xlfn.XLOOKUP(Table1[[#This Row],[Attrition]],Table2[Attrition],Table2[Id_Attrition])</f>
        <v>A001</v>
      </c>
      <c r="C691" t="s">
        <v>32</v>
      </c>
      <c r="D691" t="str">
        <f>_xlfn.XLOOKUP(Table1[[#This Row],[BusinessTravel]],Table5[BusinessTravel],Table5[Id_BusinessTravel])</f>
        <v>BS001</v>
      </c>
      <c r="E691" t="s">
        <v>34</v>
      </c>
      <c r="F691">
        <v>129</v>
      </c>
      <c r="G691" t="str">
        <f>_xlfn.XLOOKUP(Table1[[#This Row],[Department]],Table6[Department],Table6[Id_Departement])</f>
        <v>D002</v>
      </c>
      <c r="H691" t="s">
        <v>38</v>
      </c>
      <c r="I691">
        <v>4</v>
      </c>
      <c r="J691" t="str">
        <f>_xlfn.XLOOKUP(Table1[[#This Row],[Education]],Table8[Education],Table8[Id_Education])</f>
        <v>E003</v>
      </c>
      <c r="K691">
        <v>3</v>
      </c>
      <c r="L691" t="str">
        <f>_xlfn.XLOOKUP(Table1[[#This Row],[EducationField]],Table7[EducationField],Table7[Id_EducationField])</f>
        <v>EF005</v>
      </c>
      <c r="M691" t="s">
        <v>44</v>
      </c>
      <c r="N691" t="str">
        <f>_xlfn.XLOOKUP(Table1[[#This Row],[EmployeeNumber]],Table4[EmployeeNumber],Table4[Id_Employee])</f>
        <v>EMP00690</v>
      </c>
      <c r="O691">
        <v>960</v>
      </c>
      <c r="P691" t="str">
        <f>_xlfn.XLOOKUP(Table1[[#This Row],[EnvironmentSatisfaction]],Table9[EnvironmentSatisfaction],Table9[Id_EnviromentSatisfaction])</f>
        <v>ES001</v>
      </c>
      <c r="Q691">
        <v>1</v>
      </c>
      <c r="R691" t="str">
        <f>_xlfn.XLOOKUP(Table1[[#This Row],[EnvironmentSatisfaction]],Table9[EnvironmentSatisfaction],Table9[Deskripsi])</f>
        <v>Low</v>
      </c>
      <c r="S691" t="str">
        <f>_xlfn.XLOOKUP(Table1[[#This Row],[Gender]],Table10[Gender],Table10[Id_Gender])</f>
        <v>G002</v>
      </c>
      <c r="T691" t="s">
        <v>46</v>
      </c>
      <c r="U691">
        <v>84</v>
      </c>
      <c r="V691" t="str">
        <f>_xlfn.XLOOKUP(Table1[[#This Row],[JobInvolvement]],Table11[JobInvolvement],Table11[Id_JobInvolvement])</f>
        <v>JI003</v>
      </c>
      <c r="W691">
        <v>3</v>
      </c>
      <c r="X691" t="str">
        <f>_xlfn.XLOOKUP(Table1[[#This Row],[JobLevel]],Table12[JobLevel],Table12[Id_JobLevel])</f>
        <v>JL001</v>
      </c>
      <c r="Y691">
        <v>1</v>
      </c>
      <c r="Z691" t="str">
        <f>_xlfn.XLOOKUP(Table1[[#This Row],[JobRole]],Table13[JobRole],Table13[Id_JobRole])</f>
        <v>JR003</v>
      </c>
      <c r="AA691" t="s">
        <v>49</v>
      </c>
      <c r="AB691" t="str">
        <f>_xlfn.XLOOKUP(Table1[[#This Row],[JobSatisfaction]],Table14[JobSatisfaction],Table14[Id_JobSatisfaction])</f>
        <v>JS001</v>
      </c>
      <c r="AC691">
        <v>1</v>
      </c>
      <c r="AD691" t="str">
        <f>_xlfn.XLOOKUP(Table1[[#This Row],[JobSatisfaction]],Table14[JobSatisfaction],Table14[Deskripsi])</f>
        <v>Low</v>
      </c>
      <c r="AE691" t="str">
        <f>_xlfn.XLOOKUP(Table1[[#This Row],[MaritalStatus]],Table15[MaritalStatus],Table15[Id_MaritalStatus])</f>
        <v>MS001</v>
      </c>
      <c r="AF691" t="s">
        <v>55</v>
      </c>
      <c r="AG691">
        <v>2973</v>
      </c>
      <c r="AH691">
        <v>13008</v>
      </c>
      <c r="AI691">
        <v>1</v>
      </c>
      <c r="AJ691" t="str">
        <f>_xlfn.XLOOKUP(Table1[[#This Row],[OverTime]],Table16[OverTime],Table16[Id_OverTime])</f>
        <v>OT002</v>
      </c>
      <c r="AK691" t="s">
        <v>33</v>
      </c>
      <c r="AL691">
        <v>19</v>
      </c>
      <c r="AM691" t="str">
        <f>_xlfn.XLOOKUP(Table1[[#This Row],[PerformanceRating]],Table17[PerformanceRating],Table17[Id_PerformanceRating])</f>
        <v>PR003</v>
      </c>
      <c r="AN691">
        <v>3</v>
      </c>
      <c r="AO691" t="str">
        <f>_xlfn.XLOOKUP(Table1[[#This Row],[PerformanceRating]],Table17[PerformanceRating],Table17[Deskripsi])</f>
        <v>Excellent</v>
      </c>
      <c r="AP691" t="str">
        <f>_xlfn.XLOOKUP(Table1[[#This Row],[RelationshipSatisfaction]],Table18[RelationshipSatisfaction],Table18[Id_RelationshipSatisfaction])</f>
        <v>RS002</v>
      </c>
      <c r="AQ691">
        <v>2</v>
      </c>
      <c r="AR691" t="str">
        <f>_xlfn.XLOOKUP(Table1[[#This Row],[RelationshipSatisfaction]],Table18[RelationshipSatisfaction],Table18[Deskripsi])</f>
        <v>Medium</v>
      </c>
      <c r="AS691" t="str">
        <f>_xlfn.XLOOKUP(Table1[[#This Row],[StockOptionLevel]],Table19[StockOptionLevel],Table19[Id_StockOptionLevel])</f>
        <v>SOL001</v>
      </c>
      <c r="AT691">
        <v>0</v>
      </c>
      <c r="AU691" t="str">
        <f>_xlfn.XLOOKUP(Table1[[#This Row],[StockOptionLevel]],Table19[StockOptionLevel],Table19[Deskripsi])</f>
        <v>Non-Eligible</v>
      </c>
      <c r="AV691">
        <v>1</v>
      </c>
      <c r="AW691">
        <v>2</v>
      </c>
      <c r="AX691" t="str">
        <f>_xlfn.XLOOKUP(Table1[[#This Row],[WorkLifeBalance]],Table20[WorkLifeBalance],Table20[Id_WorkLifeBalance])</f>
        <v>WLB002</v>
      </c>
      <c r="AY691">
        <v>3</v>
      </c>
      <c r="AZ691" t="str">
        <f>_xlfn.XLOOKUP(Table1[[#This Row],[WorkLifeBalance]],Table20[WorkLifeBalance],Table20[Deskripsi])</f>
        <v>Good</v>
      </c>
      <c r="BA691">
        <v>1</v>
      </c>
      <c r="BB691">
        <v>0</v>
      </c>
      <c r="BC691">
        <v>0</v>
      </c>
      <c r="BD691">
        <v>0</v>
      </c>
    </row>
    <row r="692" spans="1:56" x14ac:dyDescent="0.25">
      <c r="A692">
        <v>31</v>
      </c>
      <c r="B692" t="str">
        <f>_xlfn.XLOOKUP(Table1[[#This Row],[Attrition]],Table2[Attrition],Table2[Id_Attrition])</f>
        <v>A002</v>
      </c>
      <c r="C692" t="s">
        <v>33</v>
      </c>
      <c r="D692" t="str">
        <f>_xlfn.XLOOKUP(Table1[[#This Row],[BusinessTravel]],Table5[BusinessTravel],Table5[Id_BusinessTravel])</f>
        <v>BS001</v>
      </c>
      <c r="E692" t="s">
        <v>34</v>
      </c>
      <c r="F692">
        <v>616</v>
      </c>
      <c r="G692" t="str">
        <f>_xlfn.XLOOKUP(Table1[[#This Row],[Department]],Table6[Department],Table6[Id_Departement])</f>
        <v>D002</v>
      </c>
      <c r="H692" t="s">
        <v>38</v>
      </c>
      <c r="I692">
        <v>12</v>
      </c>
      <c r="J692" t="str">
        <f>_xlfn.XLOOKUP(Table1[[#This Row],[Education]],Table8[Education],Table8[Id_Education])</f>
        <v>E003</v>
      </c>
      <c r="K692">
        <v>3</v>
      </c>
      <c r="L692" t="str">
        <f>_xlfn.XLOOKUP(Table1[[#This Row],[EducationField]],Table7[EducationField],Table7[Id_EducationField])</f>
        <v>EF003</v>
      </c>
      <c r="M692" t="s">
        <v>42</v>
      </c>
      <c r="N692" t="str">
        <f>_xlfn.XLOOKUP(Table1[[#This Row],[EmployeeNumber]],Table4[EmployeeNumber],Table4[Id_Employee])</f>
        <v>EMP00691</v>
      </c>
      <c r="O692">
        <v>961</v>
      </c>
      <c r="P692" t="str">
        <f>_xlfn.XLOOKUP(Table1[[#This Row],[EnvironmentSatisfaction]],Table9[EnvironmentSatisfaction],Table9[Id_EnviromentSatisfaction])</f>
        <v>ES004</v>
      </c>
      <c r="Q692">
        <v>4</v>
      </c>
      <c r="R692" t="str">
        <f>_xlfn.XLOOKUP(Table1[[#This Row],[EnvironmentSatisfaction]],Table9[EnvironmentSatisfaction],Table9[Deskripsi])</f>
        <v>Very High</v>
      </c>
      <c r="S692" t="str">
        <f>_xlfn.XLOOKUP(Table1[[#This Row],[Gender]],Table10[Gender],Table10[Id_Gender])</f>
        <v>G001</v>
      </c>
      <c r="T692" t="s">
        <v>45</v>
      </c>
      <c r="U692">
        <v>41</v>
      </c>
      <c r="V692" t="str">
        <f>_xlfn.XLOOKUP(Table1[[#This Row],[JobInvolvement]],Table11[JobInvolvement],Table11[Id_JobInvolvement])</f>
        <v>JI003</v>
      </c>
      <c r="W692">
        <v>3</v>
      </c>
      <c r="X692" t="str">
        <f>_xlfn.XLOOKUP(Table1[[#This Row],[JobLevel]],Table12[JobLevel],Table12[Id_JobLevel])</f>
        <v>JL002</v>
      </c>
      <c r="Y692">
        <v>2</v>
      </c>
      <c r="Z692" t="str">
        <f>_xlfn.XLOOKUP(Table1[[#This Row],[JobRole]],Table13[JobRole],Table13[Id_JobRole])</f>
        <v>JR005</v>
      </c>
      <c r="AA692" t="s">
        <v>51</v>
      </c>
      <c r="AB692" t="str">
        <f>_xlfn.XLOOKUP(Table1[[#This Row],[JobSatisfaction]],Table14[JobSatisfaction],Table14[Id_JobSatisfaction])</f>
        <v>JS004</v>
      </c>
      <c r="AC692">
        <v>4</v>
      </c>
      <c r="AD692" t="str">
        <f>_xlfn.XLOOKUP(Table1[[#This Row],[JobSatisfaction]],Table14[JobSatisfaction],Table14[Deskripsi])</f>
        <v>Very High</v>
      </c>
      <c r="AE692" t="str">
        <f>_xlfn.XLOOKUP(Table1[[#This Row],[MaritalStatus]],Table15[MaritalStatus],Table15[Id_MaritalStatus])</f>
        <v>MS002</v>
      </c>
      <c r="AF692" t="s">
        <v>56</v>
      </c>
      <c r="AG692">
        <v>5855</v>
      </c>
      <c r="AH692">
        <v>17369</v>
      </c>
      <c r="AI692">
        <v>0</v>
      </c>
      <c r="AJ692" t="str">
        <f>_xlfn.XLOOKUP(Table1[[#This Row],[OverTime]],Table16[OverTime],Table16[Id_OverTime])</f>
        <v>OT001</v>
      </c>
      <c r="AK692" t="s">
        <v>32</v>
      </c>
      <c r="AL692">
        <v>11</v>
      </c>
      <c r="AM692" t="str">
        <f>_xlfn.XLOOKUP(Table1[[#This Row],[PerformanceRating]],Table17[PerformanceRating],Table17[Id_PerformanceRating])</f>
        <v>PR003</v>
      </c>
      <c r="AN692">
        <v>3</v>
      </c>
      <c r="AO692" t="str">
        <f>_xlfn.XLOOKUP(Table1[[#This Row],[PerformanceRating]],Table17[PerformanceRating],Table17[Deskripsi])</f>
        <v>Excellent</v>
      </c>
      <c r="AP692" t="str">
        <f>_xlfn.XLOOKUP(Table1[[#This Row],[RelationshipSatisfaction]],Table18[RelationshipSatisfaction],Table18[Id_RelationshipSatisfaction])</f>
        <v>RS003</v>
      </c>
      <c r="AQ692">
        <v>3</v>
      </c>
      <c r="AR692" t="str">
        <f>_xlfn.XLOOKUP(Table1[[#This Row],[RelationshipSatisfaction]],Table18[RelationshipSatisfaction],Table18[Deskripsi])</f>
        <v>High</v>
      </c>
      <c r="AS692" t="str">
        <f>_xlfn.XLOOKUP(Table1[[#This Row],[StockOptionLevel]],Table19[StockOptionLevel],Table19[Id_StockOptionLevel])</f>
        <v>SOL003</v>
      </c>
      <c r="AT692">
        <v>2</v>
      </c>
      <c r="AU692" t="str">
        <f>_xlfn.XLOOKUP(Table1[[#This Row],[StockOptionLevel]],Table19[StockOptionLevel],Table19[Deskripsi])</f>
        <v>Intermediate</v>
      </c>
      <c r="AV692">
        <v>10</v>
      </c>
      <c r="AW692">
        <v>2</v>
      </c>
      <c r="AX692" t="str">
        <f>_xlfn.XLOOKUP(Table1[[#This Row],[WorkLifeBalance]],Table20[WorkLifeBalance],Table20[Id_WorkLifeBalance])</f>
        <v>WLB001</v>
      </c>
      <c r="AY692">
        <v>1</v>
      </c>
      <c r="AZ692" t="str">
        <f>_xlfn.XLOOKUP(Table1[[#This Row],[WorkLifeBalance]],Table20[WorkLifeBalance],Table20[Deskripsi])</f>
        <v>Bad</v>
      </c>
      <c r="BA692">
        <v>9</v>
      </c>
      <c r="BB692">
        <v>7</v>
      </c>
      <c r="BC692">
        <v>8</v>
      </c>
      <c r="BD692">
        <v>5</v>
      </c>
    </row>
    <row r="693" spans="1:56" x14ac:dyDescent="0.25">
      <c r="A693">
        <v>40</v>
      </c>
      <c r="B693" t="str">
        <f>_xlfn.XLOOKUP(Table1[[#This Row],[Attrition]],Table2[Attrition],Table2[Id_Attrition])</f>
        <v>A002</v>
      </c>
      <c r="C693" t="s">
        <v>33</v>
      </c>
      <c r="D693" t="str">
        <f>_xlfn.XLOOKUP(Table1[[#This Row],[BusinessTravel]],Table5[BusinessTravel],Table5[Id_BusinessTravel])</f>
        <v>BS002</v>
      </c>
      <c r="E693" t="s">
        <v>35</v>
      </c>
      <c r="F693">
        <v>1469</v>
      </c>
      <c r="G693" t="str">
        <f>_xlfn.XLOOKUP(Table1[[#This Row],[Department]],Table6[Department],Table6[Id_Departement])</f>
        <v>D002</v>
      </c>
      <c r="H693" t="s">
        <v>38</v>
      </c>
      <c r="I693">
        <v>9</v>
      </c>
      <c r="J693" t="str">
        <f>_xlfn.XLOOKUP(Table1[[#This Row],[Education]],Table8[Education],Table8[Id_Education])</f>
        <v>E004</v>
      </c>
      <c r="K693">
        <v>4</v>
      </c>
      <c r="L693" t="str">
        <f>_xlfn.XLOOKUP(Table1[[#This Row],[EducationField]],Table7[EducationField],Table7[Id_EducationField])</f>
        <v>EF003</v>
      </c>
      <c r="M693" t="s">
        <v>42</v>
      </c>
      <c r="N693" t="str">
        <f>_xlfn.XLOOKUP(Table1[[#This Row],[EmployeeNumber]],Table4[EmployeeNumber],Table4[Id_Employee])</f>
        <v>EMP00692</v>
      </c>
      <c r="O693">
        <v>964</v>
      </c>
      <c r="P693" t="str">
        <f>_xlfn.XLOOKUP(Table1[[#This Row],[EnvironmentSatisfaction]],Table9[EnvironmentSatisfaction],Table9[Id_EnviromentSatisfaction])</f>
        <v>ES004</v>
      </c>
      <c r="Q693">
        <v>4</v>
      </c>
      <c r="R693" t="str">
        <f>_xlfn.XLOOKUP(Table1[[#This Row],[EnvironmentSatisfaction]],Table9[EnvironmentSatisfaction],Table9[Deskripsi])</f>
        <v>Very High</v>
      </c>
      <c r="S693" t="str">
        <f>_xlfn.XLOOKUP(Table1[[#This Row],[Gender]],Table10[Gender],Table10[Id_Gender])</f>
        <v>G002</v>
      </c>
      <c r="T693" t="s">
        <v>46</v>
      </c>
      <c r="U693">
        <v>35</v>
      </c>
      <c r="V693" t="str">
        <f>_xlfn.XLOOKUP(Table1[[#This Row],[JobInvolvement]],Table11[JobInvolvement],Table11[Id_JobInvolvement])</f>
        <v>JI003</v>
      </c>
      <c r="W693">
        <v>3</v>
      </c>
      <c r="X693" t="str">
        <f>_xlfn.XLOOKUP(Table1[[#This Row],[JobLevel]],Table12[JobLevel],Table12[Id_JobLevel])</f>
        <v>JL001</v>
      </c>
      <c r="Y693">
        <v>1</v>
      </c>
      <c r="Z693" t="str">
        <f>_xlfn.XLOOKUP(Table1[[#This Row],[JobRole]],Table13[JobRole],Table13[Id_JobRole])</f>
        <v>JR002</v>
      </c>
      <c r="AA693" t="s">
        <v>48</v>
      </c>
      <c r="AB693" t="str">
        <f>_xlfn.XLOOKUP(Table1[[#This Row],[JobSatisfaction]],Table14[JobSatisfaction],Table14[Id_JobSatisfaction])</f>
        <v>JS002</v>
      </c>
      <c r="AC693">
        <v>2</v>
      </c>
      <c r="AD693" t="str">
        <f>_xlfn.XLOOKUP(Table1[[#This Row],[JobSatisfaction]],Table14[JobSatisfaction],Table14[Deskripsi])</f>
        <v>Medium</v>
      </c>
      <c r="AE693" t="str">
        <f>_xlfn.XLOOKUP(Table1[[#This Row],[MaritalStatus]],Table15[MaritalStatus],Table15[Id_MaritalStatus])</f>
        <v>MS003</v>
      </c>
      <c r="AF693" t="s">
        <v>57</v>
      </c>
      <c r="AG693">
        <v>3617</v>
      </c>
      <c r="AH693">
        <v>25063</v>
      </c>
      <c r="AI693">
        <v>8</v>
      </c>
      <c r="AJ693" t="str">
        <f>_xlfn.XLOOKUP(Table1[[#This Row],[OverTime]],Table16[OverTime],Table16[Id_OverTime])</f>
        <v>OT001</v>
      </c>
      <c r="AK693" t="s">
        <v>32</v>
      </c>
      <c r="AL693">
        <v>14</v>
      </c>
      <c r="AM693" t="str">
        <f>_xlfn.XLOOKUP(Table1[[#This Row],[PerformanceRating]],Table17[PerformanceRating],Table17[Id_PerformanceRating])</f>
        <v>PR003</v>
      </c>
      <c r="AN693">
        <v>3</v>
      </c>
      <c r="AO693" t="str">
        <f>_xlfn.XLOOKUP(Table1[[#This Row],[PerformanceRating]],Table17[PerformanceRating],Table17[Deskripsi])</f>
        <v>Excellent</v>
      </c>
      <c r="AP693" t="str">
        <f>_xlfn.XLOOKUP(Table1[[#This Row],[RelationshipSatisfaction]],Table18[RelationshipSatisfaction],Table18[Id_RelationshipSatisfaction])</f>
        <v>RS004</v>
      </c>
      <c r="AQ693">
        <v>4</v>
      </c>
      <c r="AR693" t="str">
        <f>_xlfn.XLOOKUP(Table1[[#This Row],[RelationshipSatisfaction]],Table18[RelationshipSatisfaction],Table18[Deskripsi])</f>
        <v>Very High</v>
      </c>
      <c r="AS693" t="str">
        <f>_xlfn.XLOOKUP(Table1[[#This Row],[StockOptionLevel]],Table19[StockOptionLevel],Table19[Id_StockOptionLevel])</f>
        <v>SOL002</v>
      </c>
      <c r="AT693">
        <v>1</v>
      </c>
      <c r="AU693" t="str">
        <f>_xlfn.XLOOKUP(Table1[[#This Row],[StockOptionLevel]],Table19[StockOptionLevel],Table19[Deskripsi])</f>
        <v>Standard</v>
      </c>
      <c r="AV693">
        <v>3</v>
      </c>
      <c r="AW693">
        <v>2</v>
      </c>
      <c r="AX693" t="str">
        <f>_xlfn.XLOOKUP(Table1[[#This Row],[WorkLifeBalance]],Table20[WorkLifeBalance],Table20[Id_WorkLifeBalance])</f>
        <v>WLB002</v>
      </c>
      <c r="AY693">
        <v>3</v>
      </c>
      <c r="AZ693" t="str">
        <f>_xlfn.XLOOKUP(Table1[[#This Row],[WorkLifeBalance]],Table20[WorkLifeBalance],Table20[Deskripsi])</f>
        <v>Good</v>
      </c>
      <c r="BA693">
        <v>1</v>
      </c>
      <c r="BB693">
        <v>1</v>
      </c>
      <c r="BC693">
        <v>0</v>
      </c>
      <c r="BD693">
        <v>0</v>
      </c>
    </row>
    <row r="694" spans="1:56" x14ac:dyDescent="0.25">
      <c r="A694">
        <v>32</v>
      </c>
      <c r="B694" t="str">
        <f>_xlfn.XLOOKUP(Table1[[#This Row],[Attrition]],Table2[Attrition],Table2[Id_Attrition])</f>
        <v>A002</v>
      </c>
      <c r="C694" t="s">
        <v>33</v>
      </c>
      <c r="D694" t="str">
        <f>_xlfn.XLOOKUP(Table1[[#This Row],[BusinessTravel]],Table5[BusinessTravel],Table5[Id_BusinessTravel])</f>
        <v>BS001</v>
      </c>
      <c r="E694" t="s">
        <v>34</v>
      </c>
      <c r="F694">
        <v>498</v>
      </c>
      <c r="G694" t="str">
        <f>_xlfn.XLOOKUP(Table1[[#This Row],[Department]],Table6[Department],Table6[Id_Departement])</f>
        <v>D002</v>
      </c>
      <c r="H694" t="s">
        <v>38</v>
      </c>
      <c r="I694">
        <v>3</v>
      </c>
      <c r="J694" t="str">
        <f>_xlfn.XLOOKUP(Table1[[#This Row],[Education]],Table8[Education],Table8[Id_Education])</f>
        <v>E004</v>
      </c>
      <c r="K694">
        <v>4</v>
      </c>
      <c r="L694" t="str">
        <f>_xlfn.XLOOKUP(Table1[[#This Row],[EducationField]],Table7[EducationField],Table7[Id_EducationField])</f>
        <v>EF003</v>
      </c>
      <c r="M694" t="s">
        <v>42</v>
      </c>
      <c r="N694" t="str">
        <f>_xlfn.XLOOKUP(Table1[[#This Row],[EmployeeNumber]],Table4[EmployeeNumber],Table4[Id_Employee])</f>
        <v>EMP00693</v>
      </c>
      <c r="O694">
        <v>966</v>
      </c>
      <c r="P694" t="str">
        <f>_xlfn.XLOOKUP(Table1[[#This Row],[EnvironmentSatisfaction]],Table9[EnvironmentSatisfaction],Table9[Id_EnviromentSatisfaction])</f>
        <v>ES003</v>
      </c>
      <c r="Q694">
        <v>3</v>
      </c>
      <c r="R694" t="str">
        <f>_xlfn.XLOOKUP(Table1[[#This Row],[EnvironmentSatisfaction]],Table9[EnvironmentSatisfaction],Table9[Deskripsi])</f>
        <v>High</v>
      </c>
      <c r="S694" t="str">
        <f>_xlfn.XLOOKUP(Table1[[#This Row],[Gender]],Table10[Gender],Table10[Id_Gender])</f>
        <v>G001</v>
      </c>
      <c r="T694" t="s">
        <v>45</v>
      </c>
      <c r="U694">
        <v>93</v>
      </c>
      <c r="V694" t="str">
        <f>_xlfn.XLOOKUP(Table1[[#This Row],[JobInvolvement]],Table11[JobInvolvement],Table11[Id_JobInvolvement])</f>
        <v>JI003</v>
      </c>
      <c r="W694">
        <v>3</v>
      </c>
      <c r="X694" t="str">
        <f>_xlfn.XLOOKUP(Table1[[#This Row],[JobLevel]],Table12[JobLevel],Table12[Id_JobLevel])</f>
        <v>JL002</v>
      </c>
      <c r="Y694">
        <v>2</v>
      </c>
      <c r="Z694" t="str">
        <f>_xlfn.XLOOKUP(Table1[[#This Row],[JobRole]],Table13[JobRole],Table13[Id_JobRole])</f>
        <v>JR004</v>
      </c>
      <c r="AA694" t="s">
        <v>50</v>
      </c>
      <c r="AB694" t="str">
        <f>_xlfn.XLOOKUP(Table1[[#This Row],[JobSatisfaction]],Table14[JobSatisfaction],Table14[Id_JobSatisfaction])</f>
        <v>JS001</v>
      </c>
      <c r="AC694">
        <v>1</v>
      </c>
      <c r="AD694" t="str">
        <f>_xlfn.XLOOKUP(Table1[[#This Row],[JobSatisfaction]],Table14[JobSatisfaction],Table14[Deskripsi])</f>
        <v>Low</v>
      </c>
      <c r="AE694" t="str">
        <f>_xlfn.XLOOKUP(Table1[[#This Row],[MaritalStatus]],Table15[MaritalStatus],Table15[Id_MaritalStatus])</f>
        <v>MS002</v>
      </c>
      <c r="AF694" t="s">
        <v>56</v>
      </c>
      <c r="AG694">
        <v>6725</v>
      </c>
      <c r="AH694">
        <v>13554</v>
      </c>
      <c r="AI694">
        <v>1</v>
      </c>
      <c r="AJ694" t="str">
        <f>_xlfn.XLOOKUP(Table1[[#This Row],[OverTime]],Table16[OverTime],Table16[Id_OverTime])</f>
        <v>OT002</v>
      </c>
      <c r="AK694" t="s">
        <v>33</v>
      </c>
      <c r="AL694">
        <v>12</v>
      </c>
      <c r="AM694" t="str">
        <f>_xlfn.XLOOKUP(Table1[[#This Row],[PerformanceRating]],Table17[PerformanceRating],Table17[Id_PerformanceRating])</f>
        <v>PR003</v>
      </c>
      <c r="AN694">
        <v>3</v>
      </c>
      <c r="AO694" t="str">
        <f>_xlfn.XLOOKUP(Table1[[#This Row],[PerformanceRating]],Table17[PerformanceRating],Table17[Deskripsi])</f>
        <v>Excellent</v>
      </c>
      <c r="AP694" t="str">
        <f>_xlfn.XLOOKUP(Table1[[#This Row],[RelationshipSatisfaction]],Table18[RelationshipSatisfaction],Table18[Id_RelationshipSatisfaction])</f>
        <v>RS003</v>
      </c>
      <c r="AQ694">
        <v>3</v>
      </c>
      <c r="AR694" t="str">
        <f>_xlfn.XLOOKUP(Table1[[#This Row],[RelationshipSatisfaction]],Table18[RelationshipSatisfaction],Table18[Deskripsi])</f>
        <v>High</v>
      </c>
      <c r="AS694" t="str">
        <f>_xlfn.XLOOKUP(Table1[[#This Row],[StockOptionLevel]],Table19[StockOptionLevel],Table19[Id_StockOptionLevel])</f>
        <v>SOL002</v>
      </c>
      <c r="AT694">
        <v>1</v>
      </c>
      <c r="AU694" t="str">
        <f>_xlfn.XLOOKUP(Table1[[#This Row],[StockOptionLevel]],Table19[StockOptionLevel],Table19[Deskripsi])</f>
        <v>Standard</v>
      </c>
      <c r="AV694">
        <v>8</v>
      </c>
      <c r="AW694">
        <v>2</v>
      </c>
      <c r="AX694" t="str">
        <f>_xlfn.XLOOKUP(Table1[[#This Row],[WorkLifeBalance]],Table20[WorkLifeBalance],Table20[Id_WorkLifeBalance])</f>
        <v>WLB004</v>
      </c>
      <c r="AY694">
        <v>4</v>
      </c>
      <c r="AZ694" t="str">
        <f>_xlfn.XLOOKUP(Table1[[#This Row],[WorkLifeBalance]],Table20[WorkLifeBalance],Table20[Deskripsi])</f>
        <v>Best</v>
      </c>
      <c r="BA694">
        <v>8</v>
      </c>
      <c r="BB694">
        <v>7</v>
      </c>
      <c r="BC694">
        <v>6</v>
      </c>
      <c r="BD694">
        <v>3</v>
      </c>
    </row>
    <row r="695" spans="1:56" x14ac:dyDescent="0.25">
      <c r="A695">
        <v>36</v>
      </c>
      <c r="B695" t="str">
        <f>_xlfn.XLOOKUP(Table1[[#This Row],[Attrition]],Table2[Attrition],Table2[Id_Attrition])</f>
        <v>A001</v>
      </c>
      <c r="C695" t="s">
        <v>32</v>
      </c>
      <c r="D695" t="str">
        <f>_xlfn.XLOOKUP(Table1[[#This Row],[BusinessTravel]],Table5[BusinessTravel],Table5[Id_BusinessTravel])</f>
        <v>BS001</v>
      </c>
      <c r="E695" t="s">
        <v>34</v>
      </c>
      <c r="F695">
        <v>530</v>
      </c>
      <c r="G695" t="str">
        <f>_xlfn.XLOOKUP(Table1[[#This Row],[Department]],Table6[Department],Table6[Id_Departement])</f>
        <v>D001</v>
      </c>
      <c r="H695" t="s">
        <v>37</v>
      </c>
      <c r="I695">
        <v>3</v>
      </c>
      <c r="J695" t="str">
        <f>_xlfn.XLOOKUP(Table1[[#This Row],[Education]],Table8[Education],Table8[Id_Education])</f>
        <v>E001</v>
      </c>
      <c r="K695">
        <v>1</v>
      </c>
      <c r="L695" t="str">
        <f>_xlfn.XLOOKUP(Table1[[#This Row],[EducationField]],Table7[EducationField],Table7[Id_EducationField])</f>
        <v>EF001</v>
      </c>
      <c r="M695" t="s">
        <v>40</v>
      </c>
      <c r="N695" t="str">
        <f>_xlfn.XLOOKUP(Table1[[#This Row],[EmployeeNumber]],Table4[EmployeeNumber],Table4[Id_Employee])</f>
        <v>EMP00694</v>
      </c>
      <c r="O695">
        <v>967</v>
      </c>
      <c r="P695" t="str">
        <f>_xlfn.XLOOKUP(Table1[[#This Row],[EnvironmentSatisfaction]],Table9[EnvironmentSatisfaction],Table9[Id_EnviromentSatisfaction])</f>
        <v>ES003</v>
      </c>
      <c r="Q695">
        <v>3</v>
      </c>
      <c r="R695" t="str">
        <f>_xlfn.XLOOKUP(Table1[[#This Row],[EnvironmentSatisfaction]],Table9[EnvironmentSatisfaction],Table9[Deskripsi])</f>
        <v>High</v>
      </c>
      <c r="S695" t="str">
        <f>_xlfn.XLOOKUP(Table1[[#This Row],[Gender]],Table10[Gender],Table10[Id_Gender])</f>
        <v>G002</v>
      </c>
      <c r="T695" t="s">
        <v>46</v>
      </c>
      <c r="U695">
        <v>51</v>
      </c>
      <c r="V695" t="str">
        <f>_xlfn.XLOOKUP(Table1[[#This Row],[JobInvolvement]],Table11[JobInvolvement],Table11[Id_JobInvolvement])</f>
        <v>JI002</v>
      </c>
      <c r="W695">
        <v>2</v>
      </c>
      <c r="X695" t="str">
        <f>_xlfn.XLOOKUP(Table1[[#This Row],[JobLevel]],Table12[JobLevel],Table12[Id_JobLevel])</f>
        <v>JL003</v>
      </c>
      <c r="Y695">
        <v>3</v>
      </c>
      <c r="Z695" t="str">
        <f>_xlfn.XLOOKUP(Table1[[#This Row],[JobRole]],Table13[JobRole],Table13[Id_JobRole])</f>
        <v>JR001</v>
      </c>
      <c r="AA695" t="s">
        <v>47</v>
      </c>
      <c r="AB695" t="str">
        <f>_xlfn.XLOOKUP(Table1[[#This Row],[JobSatisfaction]],Table14[JobSatisfaction],Table14[Id_JobSatisfaction])</f>
        <v>JS004</v>
      </c>
      <c r="AC695">
        <v>4</v>
      </c>
      <c r="AD695" t="str">
        <f>_xlfn.XLOOKUP(Table1[[#This Row],[JobSatisfaction]],Table14[JobSatisfaction],Table14[Deskripsi])</f>
        <v>Very High</v>
      </c>
      <c r="AE695" t="str">
        <f>_xlfn.XLOOKUP(Table1[[#This Row],[MaritalStatus]],Table15[MaritalStatus],Table15[Id_MaritalStatus])</f>
        <v>MS002</v>
      </c>
      <c r="AF695" t="s">
        <v>56</v>
      </c>
      <c r="AG695">
        <v>10325</v>
      </c>
      <c r="AH695">
        <v>5518</v>
      </c>
      <c r="AI695">
        <v>1</v>
      </c>
      <c r="AJ695" t="str">
        <f>_xlfn.XLOOKUP(Table1[[#This Row],[OverTime]],Table16[OverTime],Table16[Id_OverTime])</f>
        <v>OT001</v>
      </c>
      <c r="AK695" t="s">
        <v>32</v>
      </c>
      <c r="AL695">
        <v>11</v>
      </c>
      <c r="AM695" t="str">
        <f>_xlfn.XLOOKUP(Table1[[#This Row],[PerformanceRating]],Table17[PerformanceRating],Table17[Id_PerformanceRating])</f>
        <v>PR003</v>
      </c>
      <c r="AN695">
        <v>3</v>
      </c>
      <c r="AO695" t="str">
        <f>_xlfn.XLOOKUP(Table1[[#This Row],[PerformanceRating]],Table17[PerformanceRating],Table17[Deskripsi])</f>
        <v>Excellent</v>
      </c>
      <c r="AP695" t="str">
        <f>_xlfn.XLOOKUP(Table1[[#This Row],[RelationshipSatisfaction]],Table18[RelationshipSatisfaction],Table18[Id_RelationshipSatisfaction])</f>
        <v>RS001</v>
      </c>
      <c r="AQ695">
        <v>1</v>
      </c>
      <c r="AR695" t="str">
        <f>_xlfn.XLOOKUP(Table1[[#This Row],[RelationshipSatisfaction]],Table18[RelationshipSatisfaction],Table18[Deskripsi])</f>
        <v>Low</v>
      </c>
      <c r="AS695" t="str">
        <f>_xlfn.XLOOKUP(Table1[[#This Row],[StockOptionLevel]],Table19[StockOptionLevel],Table19[Id_StockOptionLevel])</f>
        <v>SOL002</v>
      </c>
      <c r="AT695">
        <v>1</v>
      </c>
      <c r="AU695" t="str">
        <f>_xlfn.XLOOKUP(Table1[[#This Row],[StockOptionLevel]],Table19[StockOptionLevel],Table19[Deskripsi])</f>
        <v>Standard</v>
      </c>
      <c r="AV695">
        <v>16</v>
      </c>
      <c r="AW695">
        <v>6</v>
      </c>
      <c r="AX695" t="str">
        <f>_xlfn.XLOOKUP(Table1[[#This Row],[WorkLifeBalance]],Table20[WorkLifeBalance],Table20[Id_WorkLifeBalance])</f>
        <v>WLB002</v>
      </c>
      <c r="AY695">
        <v>3</v>
      </c>
      <c r="AZ695" t="str">
        <f>_xlfn.XLOOKUP(Table1[[#This Row],[WorkLifeBalance]],Table20[WorkLifeBalance],Table20[Deskripsi])</f>
        <v>Good</v>
      </c>
      <c r="BA695">
        <v>16</v>
      </c>
      <c r="BB695">
        <v>7</v>
      </c>
      <c r="BC695">
        <v>3</v>
      </c>
      <c r="BD695">
        <v>7</v>
      </c>
    </row>
    <row r="696" spans="1:56" x14ac:dyDescent="0.25">
      <c r="A696">
        <v>33</v>
      </c>
      <c r="B696" t="str">
        <f>_xlfn.XLOOKUP(Table1[[#This Row],[Attrition]],Table2[Attrition],Table2[Id_Attrition])</f>
        <v>A002</v>
      </c>
      <c r="C696" t="s">
        <v>33</v>
      </c>
      <c r="D696" t="str">
        <f>_xlfn.XLOOKUP(Table1[[#This Row],[BusinessTravel]],Table5[BusinessTravel],Table5[Id_BusinessTravel])</f>
        <v>BS001</v>
      </c>
      <c r="E696" t="s">
        <v>34</v>
      </c>
      <c r="F696">
        <v>1069</v>
      </c>
      <c r="G696" t="str">
        <f>_xlfn.XLOOKUP(Table1[[#This Row],[Department]],Table6[Department],Table6[Id_Departement])</f>
        <v>D002</v>
      </c>
      <c r="H696" t="s">
        <v>38</v>
      </c>
      <c r="I696">
        <v>1</v>
      </c>
      <c r="J696" t="str">
        <f>_xlfn.XLOOKUP(Table1[[#This Row],[Education]],Table8[Education],Table8[Id_Education])</f>
        <v>E003</v>
      </c>
      <c r="K696">
        <v>3</v>
      </c>
      <c r="L696" t="str">
        <f>_xlfn.XLOOKUP(Table1[[#This Row],[EducationField]],Table7[EducationField],Table7[Id_EducationField])</f>
        <v>EF001</v>
      </c>
      <c r="M696" t="s">
        <v>40</v>
      </c>
      <c r="N696" t="str">
        <f>_xlfn.XLOOKUP(Table1[[#This Row],[EmployeeNumber]],Table4[EmployeeNumber],Table4[Id_Employee])</f>
        <v>EMP00695</v>
      </c>
      <c r="O696">
        <v>969</v>
      </c>
      <c r="P696" t="str">
        <f>_xlfn.XLOOKUP(Table1[[#This Row],[EnvironmentSatisfaction]],Table9[EnvironmentSatisfaction],Table9[Id_EnviromentSatisfaction])</f>
        <v>ES002</v>
      </c>
      <c r="Q696">
        <v>2</v>
      </c>
      <c r="R696" t="str">
        <f>_xlfn.XLOOKUP(Table1[[#This Row],[EnvironmentSatisfaction]],Table9[EnvironmentSatisfaction],Table9[Deskripsi])</f>
        <v>Medium</v>
      </c>
      <c r="S696" t="str">
        <f>_xlfn.XLOOKUP(Table1[[#This Row],[Gender]],Table10[Gender],Table10[Id_Gender])</f>
        <v>G001</v>
      </c>
      <c r="T696" t="s">
        <v>45</v>
      </c>
      <c r="U696">
        <v>42</v>
      </c>
      <c r="V696" t="str">
        <f>_xlfn.XLOOKUP(Table1[[#This Row],[JobInvolvement]],Table11[JobInvolvement],Table11[Id_JobInvolvement])</f>
        <v>JI002</v>
      </c>
      <c r="W696">
        <v>2</v>
      </c>
      <c r="X696" t="str">
        <f>_xlfn.XLOOKUP(Table1[[#This Row],[JobLevel]],Table12[JobLevel],Table12[Id_JobLevel])</f>
        <v>JL002</v>
      </c>
      <c r="Y696">
        <v>2</v>
      </c>
      <c r="Z696" t="str">
        <f>_xlfn.XLOOKUP(Table1[[#This Row],[JobRole]],Table13[JobRole],Table13[Id_JobRole])</f>
        <v>JR005</v>
      </c>
      <c r="AA696" t="s">
        <v>51</v>
      </c>
      <c r="AB696" t="str">
        <f>_xlfn.XLOOKUP(Table1[[#This Row],[JobSatisfaction]],Table14[JobSatisfaction],Table14[Id_JobSatisfaction])</f>
        <v>JS004</v>
      </c>
      <c r="AC696">
        <v>4</v>
      </c>
      <c r="AD696" t="str">
        <f>_xlfn.XLOOKUP(Table1[[#This Row],[JobSatisfaction]],Table14[JobSatisfaction],Table14[Deskripsi])</f>
        <v>Very High</v>
      </c>
      <c r="AE696" t="str">
        <f>_xlfn.XLOOKUP(Table1[[#This Row],[MaritalStatus]],Table15[MaritalStatus],Table15[Id_MaritalStatus])</f>
        <v>MS001</v>
      </c>
      <c r="AF696" t="s">
        <v>55</v>
      </c>
      <c r="AG696">
        <v>6949</v>
      </c>
      <c r="AH696">
        <v>12291</v>
      </c>
      <c r="AI696">
        <v>0</v>
      </c>
      <c r="AJ696" t="str">
        <f>_xlfn.XLOOKUP(Table1[[#This Row],[OverTime]],Table16[OverTime],Table16[Id_OverTime])</f>
        <v>OT002</v>
      </c>
      <c r="AK696" t="s">
        <v>33</v>
      </c>
      <c r="AL696">
        <v>14</v>
      </c>
      <c r="AM696" t="str">
        <f>_xlfn.XLOOKUP(Table1[[#This Row],[PerformanceRating]],Table17[PerformanceRating],Table17[Id_PerformanceRating])</f>
        <v>PR003</v>
      </c>
      <c r="AN696">
        <v>3</v>
      </c>
      <c r="AO696" t="str">
        <f>_xlfn.XLOOKUP(Table1[[#This Row],[PerformanceRating]],Table17[PerformanceRating],Table17[Deskripsi])</f>
        <v>Excellent</v>
      </c>
      <c r="AP696" t="str">
        <f>_xlfn.XLOOKUP(Table1[[#This Row],[RelationshipSatisfaction]],Table18[RelationshipSatisfaction],Table18[Id_RelationshipSatisfaction])</f>
        <v>RS001</v>
      </c>
      <c r="AQ696">
        <v>1</v>
      </c>
      <c r="AR696" t="str">
        <f>_xlfn.XLOOKUP(Table1[[#This Row],[RelationshipSatisfaction]],Table18[RelationshipSatisfaction],Table18[Deskripsi])</f>
        <v>Low</v>
      </c>
      <c r="AS696" t="str">
        <f>_xlfn.XLOOKUP(Table1[[#This Row],[StockOptionLevel]],Table19[StockOptionLevel],Table19[Id_StockOptionLevel])</f>
        <v>SOL001</v>
      </c>
      <c r="AT696">
        <v>0</v>
      </c>
      <c r="AU696" t="str">
        <f>_xlfn.XLOOKUP(Table1[[#This Row],[StockOptionLevel]],Table19[StockOptionLevel],Table19[Deskripsi])</f>
        <v>Non-Eligible</v>
      </c>
      <c r="AV696">
        <v>6</v>
      </c>
      <c r="AW696">
        <v>3</v>
      </c>
      <c r="AX696" t="str">
        <f>_xlfn.XLOOKUP(Table1[[#This Row],[WorkLifeBalance]],Table20[WorkLifeBalance],Table20[Id_WorkLifeBalance])</f>
        <v>WLB002</v>
      </c>
      <c r="AY696">
        <v>3</v>
      </c>
      <c r="AZ696" t="str">
        <f>_xlfn.XLOOKUP(Table1[[#This Row],[WorkLifeBalance]],Table20[WorkLifeBalance],Table20[Deskripsi])</f>
        <v>Good</v>
      </c>
      <c r="BA696">
        <v>5</v>
      </c>
      <c r="BB696">
        <v>0</v>
      </c>
      <c r="BC696">
        <v>1</v>
      </c>
      <c r="BD696">
        <v>4</v>
      </c>
    </row>
    <row r="697" spans="1:56" x14ac:dyDescent="0.25">
      <c r="A697">
        <v>37</v>
      </c>
      <c r="B697" t="str">
        <f>_xlfn.XLOOKUP(Table1[[#This Row],[Attrition]],Table2[Attrition],Table2[Id_Attrition])</f>
        <v>A001</v>
      </c>
      <c r="C697" t="s">
        <v>32</v>
      </c>
      <c r="D697" t="str">
        <f>_xlfn.XLOOKUP(Table1[[#This Row],[BusinessTravel]],Table5[BusinessTravel],Table5[Id_BusinessTravel])</f>
        <v>BS001</v>
      </c>
      <c r="E697" t="s">
        <v>34</v>
      </c>
      <c r="F697">
        <v>625</v>
      </c>
      <c r="G697" t="str">
        <f>_xlfn.XLOOKUP(Table1[[#This Row],[Department]],Table6[Department],Table6[Id_Departement])</f>
        <v>D001</v>
      </c>
      <c r="H697" t="s">
        <v>37</v>
      </c>
      <c r="I697">
        <v>1</v>
      </c>
      <c r="J697" t="str">
        <f>_xlfn.XLOOKUP(Table1[[#This Row],[Education]],Table8[Education],Table8[Id_Education])</f>
        <v>E004</v>
      </c>
      <c r="K697">
        <v>4</v>
      </c>
      <c r="L697" t="str">
        <f>_xlfn.XLOOKUP(Table1[[#This Row],[EducationField]],Table7[EducationField],Table7[Id_EducationField])</f>
        <v>EF001</v>
      </c>
      <c r="M697" t="s">
        <v>40</v>
      </c>
      <c r="N697" t="str">
        <f>_xlfn.XLOOKUP(Table1[[#This Row],[EmployeeNumber]],Table4[EmployeeNumber],Table4[Id_Employee])</f>
        <v>EMP00696</v>
      </c>
      <c r="O697">
        <v>970</v>
      </c>
      <c r="P697" t="str">
        <f>_xlfn.XLOOKUP(Table1[[#This Row],[EnvironmentSatisfaction]],Table9[EnvironmentSatisfaction],Table9[Id_EnviromentSatisfaction])</f>
        <v>ES001</v>
      </c>
      <c r="Q697">
        <v>1</v>
      </c>
      <c r="R697" t="str">
        <f>_xlfn.XLOOKUP(Table1[[#This Row],[EnvironmentSatisfaction]],Table9[EnvironmentSatisfaction],Table9[Deskripsi])</f>
        <v>Low</v>
      </c>
      <c r="S697" t="str">
        <f>_xlfn.XLOOKUP(Table1[[#This Row],[Gender]],Table10[Gender],Table10[Id_Gender])</f>
        <v>G002</v>
      </c>
      <c r="T697" t="s">
        <v>46</v>
      </c>
      <c r="U697">
        <v>46</v>
      </c>
      <c r="V697" t="str">
        <f>_xlfn.XLOOKUP(Table1[[#This Row],[JobInvolvement]],Table11[JobInvolvement],Table11[Id_JobInvolvement])</f>
        <v>JI002</v>
      </c>
      <c r="W697">
        <v>2</v>
      </c>
      <c r="X697" t="str">
        <f>_xlfn.XLOOKUP(Table1[[#This Row],[JobLevel]],Table12[JobLevel],Table12[Id_JobLevel])</f>
        <v>JL003</v>
      </c>
      <c r="Y697">
        <v>3</v>
      </c>
      <c r="Z697" t="str">
        <f>_xlfn.XLOOKUP(Table1[[#This Row],[JobRole]],Table13[JobRole],Table13[Id_JobRole])</f>
        <v>JR001</v>
      </c>
      <c r="AA697" t="s">
        <v>47</v>
      </c>
      <c r="AB697" t="str">
        <f>_xlfn.XLOOKUP(Table1[[#This Row],[JobSatisfaction]],Table14[JobSatisfaction],Table14[Id_JobSatisfaction])</f>
        <v>JS003</v>
      </c>
      <c r="AC697">
        <v>3</v>
      </c>
      <c r="AD697" t="str">
        <f>_xlfn.XLOOKUP(Table1[[#This Row],[JobSatisfaction]],Table14[JobSatisfaction],Table14[Deskripsi])</f>
        <v>High</v>
      </c>
      <c r="AE697" t="str">
        <f>_xlfn.XLOOKUP(Table1[[#This Row],[MaritalStatus]],Table15[MaritalStatus],Table15[Id_MaritalStatus])</f>
        <v>MS002</v>
      </c>
      <c r="AF697" t="s">
        <v>56</v>
      </c>
      <c r="AG697">
        <v>10609</v>
      </c>
      <c r="AH697">
        <v>14922</v>
      </c>
      <c r="AI697">
        <v>5</v>
      </c>
      <c r="AJ697" t="str">
        <f>_xlfn.XLOOKUP(Table1[[#This Row],[OverTime]],Table16[OverTime],Table16[Id_OverTime])</f>
        <v>OT002</v>
      </c>
      <c r="AK697" t="s">
        <v>33</v>
      </c>
      <c r="AL697">
        <v>11</v>
      </c>
      <c r="AM697" t="str">
        <f>_xlfn.XLOOKUP(Table1[[#This Row],[PerformanceRating]],Table17[PerformanceRating],Table17[Id_PerformanceRating])</f>
        <v>PR003</v>
      </c>
      <c r="AN697">
        <v>3</v>
      </c>
      <c r="AO697" t="str">
        <f>_xlfn.XLOOKUP(Table1[[#This Row],[PerformanceRating]],Table17[PerformanceRating],Table17[Deskripsi])</f>
        <v>Excellent</v>
      </c>
      <c r="AP697" t="str">
        <f>_xlfn.XLOOKUP(Table1[[#This Row],[RelationshipSatisfaction]],Table18[RelationshipSatisfaction],Table18[Id_RelationshipSatisfaction])</f>
        <v>RS003</v>
      </c>
      <c r="AQ697">
        <v>3</v>
      </c>
      <c r="AR697" t="str">
        <f>_xlfn.XLOOKUP(Table1[[#This Row],[RelationshipSatisfaction]],Table18[RelationshipSatisfaction],Table18[Deskripsi])</f>
        <v>High</v>
      </c>
      <c r="AS697" t="str">
        <f>_xlfn.XLOOKUP(Table1[[#This Row],[StockOptionLevel]],Table19[StockOptionLevel],Table19[Id_StockOptionLevel])</f>
        <v>SOL001</v>
      </c>
      <c r="AT697">
        <v>0</v>
      </c>
      <c r="AU697" t="str">
        <f>_xlfn.XLOOKUP(Table1[[#This Row],[StockOptionLevel]],Table19[StockOptionLevel],Table19[Deskripsi])</f>
        <v>Non-Eligible</v>
      </c>
      <c r="AV697">
        <v>17</v>
      </c>
      <c r="AW697">
        <v>2</v>
      </c>
      <c r="AX697" t="str">
        <f>_xlfn.XLOOKUP(Table1[[#This Row],[WorkLifeBalance]],Table20[WorkLifeBalance],Table20[Id_WorkLifeBalance])</f>
        <v>WLB001</v>
      </c>
      <c r="AY697">
        <v>1</v>
      </c>
      <c r="AZ697" t="str">
        <f>_xlfn.XLOOKUP(Table1[[#This Row],[WorkLifeBalance]],Table20[WorkLifeBalance],Table20[Deskripsi])</f>
        <v>Bad</v>
      </c>
      <c r="BA697">
        <v>14</v>
      </c>
      <c r="BB697">
        <v>1</v>
      </c>
      <c r="BC697">
        <v>11</v>
      </c>
      <c r="BD697">
        <v>7</v>
      </c>
    </row>
    <row r="698" spans="1:56" x14ac:dyDescent="0.25">
      <c r="A698">
        <v>45</v>
      </c>
      <c r="B698" t="str">
        <f>_xlfn.XLOOKUP(Table1[[#This Row],[Attrition]],Table2[Attrition],Table2[Id_Attrition])</f>
        <v>A002</v>
      </c>
      <c r="C698" t="s">
        <v>33</v>
      </c>
      <c r="D698" t="str">
        <f>_xlfn.XLOOKUP(Table1[[#This Row],[BusinessTravel]],Table5[BusinessTravel],Table5[Id_BusinessTravel])</f>
        <v>BS003</v>
      </c>
      <c r="E698" t="s">
        <v>36</v>
      </c>
      <c r="F698">
        <v>805</v>
      </c>
      <c r="G698" t="str">
        <f>_xlfn.XLOOKUP(Table1[[#This Row],[Department]],Table6[Department],Table6[Id_Departement])</f>
        <v>D002</v>
      </c>
      <c r="H698" t="s">
        <v>38</v>
      </c>
      <c r="I698">
        <v>4</v>
      </c>
      <c r="J698" t="str">
        <f>_xlfn.XLOOKUP(Table1[[#This Row],[Education]],Table8[Education],Table8[Id_Education])</f>
        <v>E002</v>
      </c>
      <c r="K698">
        <v>2</v>
      </c>
      <c r="L698" t="str">
        <f>_xlfn.XLOOKUP(Table1[[#This Row],[EducationField]],Table7[EducationField],Table7[Id_EducationField])</f>
        <v>EF001</v>
      </c>
      <c r="M698" t="s">
        <v>40</v>
      </c>
      <c r="N698" t="str">
        <f>_xlfn.XLOOKUP(Table1[[#This Row],[EmployeeNumber]],Table4[EmployeeNumber],Table4[Id_Employee])</f>
        <v>EMP00697</v>
      </c>
      <c r="O698">
        <v>972</v>
      </c>
      <c r="P698" t="str">
        <f>_xlfn.XLOOKUP(Table1[[#This Row],[EnvironmentSatisfaction]],Table9[EnvironmentSatisfaction],Table9[Id_EnviromentSatisfaction])</f>
        <v>ES003</v>
      </c>
      <c r="Q698">
        <v>3</v>
      </c>
      <c r="R698" t="str">
        <f>_xlfn.XLOOKUP(Table1[[#This Row],[EnvironmentSatisfaction]],Table9[EnvironmentSatisfaction],Table9[Deskripsi])</f>
        <v>High</v>
      </c>
      <c r="S698" t="str">
        <f>_xlfn.XLOOKUP(Table1[[#This Row],[Gender]],Table10[Gender],Table10[Id_Gender])</f>
        <v>G002</v>
      </c>
      <c r="T698" t="s">
        <v>46</v>
      </c>
      <c r="U698">
        <v>57</v>
      </c>
      <c r="V698" t="str">
        <f>_xlfn.XLOOKUP(Table1[[#This Row],[JobInvolvement]],Table11[JobInvolvement],Table11[Id_JobInvolvement])</f>
        <v>JI003</v>
      </c>
      <c r="W698">
        <v>3</v>
      </c>
      <c r="X698" t="str">
        <f>_xlfn.XLOOKUP(Table1[[#This Row],[JobLevel]],Table12[JobLevel],Table12[Id_JobLevel])</f>
        <v>JL002</v>
      </c>
      <c r="Y698">
        <v>2</v>
      </c>
      <c r="Z698" t="str">
        <f>_xlfn.XLOOKUP(Table1[[#This Row],[JobRole]],Table13[JobRole],Table13[Id_JobRole])</f>
        <v>JR003</v>
      </c>
      <c r="AA698" t="s">
        <v>49</v>
      </c>
      <c r="AB698" t="str">
        <f>_xlfn.XLOOKUP(Table1[[#This Row],[JobSatisfaction]],Table14[JobSatisfaction],Table14[Id_JobSatisfaction])</f>
        <v>JS002</v>
      </c>
      <c r="AC698">
        <v>2</v>
      </c>
      <c r="AD698" t="str">
        <f>_xlfn.XLOOKUP(Table1[[#This Row],[JobSatisfaction]],Table14[JobSatisfaction],Table14[Deskripsi])</f>
        <v>Medium</v>
      </c>
      <c r="AE698" t="str">
        <f>_xlfn.XLOOKUP(Table1[[#This Row],[MaritalStatus]],Table15[MaritalStatus],Table15[Id_MaritalStatus])</f>
        <v>MS002</v>
      </c>
      <c r="AF698" t="s">
        <v>56</v>
      </c>
      <c r="AG698">
        <v>4447</v>
      </c>
      <c r="AH698">
        <v>23163</v>
      </c>
      <c r="AI698">
        <v>1</v>
      </c>
      <c r="AJ698" t="str">
        <f>_xlfn.XLOOKUP(Table1[[#This Row],[OverTime]],Table16[OverTime],Table16[Id_OverTime])</f>
        <v>OT002</v>
      </c>
      <c r="AK698" t="s">
        <v>33</v>
      </c>
      <c r="AL698">
        <v>12</v>
      </c>
      <c r="AM698" t="str">
        <f>_xlfn.XLOOKUP(Table1[[#This Row],[PerformanceRating]],Table17[PerformanceRating],Table17[Id_PerformanceRating])</f>
        <v>PR003</v>
      </c>
      <c r="AN698">
        <v>3</v>
      </c>
      <c r="AO698" t="str">
        <f>_xlfn.XLOOKUP(Table1[[#This Row],[PerformanceRating]],Table17[PerformanceRating],Table17[Deskripsi])</f>
        <v>Excellent</v>
      </c>
      <c r="AP698" t="str">
        <f>_xlfn.XLOOKUP(Table1[[#This Row],[RelationshipSatisfaction]],Table18[RelationshipSatisfaction],Table18[Id_RelationshipSatisfaction])</f>
        <v>RS002</v>
      </c>
      <c r="AQ698">
        <v>2</v>
      </c>
      <c r="AR698" t="str">
        <f>_xlfn.XLOOKUP(Table1[[#This Row],[RelationshipSatisfaction]],Table18[RelationshipSatisfaction],Table18[Deskripsi])</f>
        <v>Medium</v>
      </c>
      <c r="AS698" t="str">
        <f>_xlfn.XLOOKUP(Table1[[#This Row],[StockOptionLevel]],Table19[StockOptionLevel],Table19[Id_StockOptionLevel])</f>
        <v>SOL001</v>
      </c>
      <c r="AT698">
        <v>0</v>
      </c>
      <c r="AU698" t="str">
        <f>_xlfn.XLOOKUP(Table1[[#This Row],[StockOptionLevel]],Table19[StockOptionLevel],Table19[Deskripsi])</f>
        <v>Non-Eligible</v>
      </c>
      <c r="AV698">
        <v>9</v>
      </c>
      <c r="AW698">
        <v>5</v>
      </c>
      <c r="AX698" t="str">
        <f>_xlfn.XLOOKUP(Table1[[#This Row],[WorkLifeBalance]],Table20[WorkLifeBalance],Table20[Id_WorkLifeBalance])</f>
        <v>WLB003</v>
      </c>
      <c r="AY698">
        <v>2</v>
      </c>
      <c r="AZ698" t="str">
        <f>_xlfn.XLOOKUP(Table1[[#This Row],[WorkLifeBalance]],Table20[WorkLifeBalance],Table20[Deskripsi])</f>
        <v>Better</v>
      </c>
      <c r="BA698">
        <v>9</v>
      </c>
      <c r="BB698">
        <v>7</v>
      </c>
      <c r="BC698">
        <v>0</v>
      </c>
      <c r="BD698">
        <v>8</v>
      </c>
    </row>
    <row r="699" spans="1:56" x14ac:dyDescent="0.25">
      <c r="A699">
        <v>29</v>
      </c>
      <c r="B699" t="str">
        <f>_xlfn.XLOOKUP(Table1[[#This Row],[Attrition]],Table2[Attrition],Table2[Id_Attrition])</f>
        <v>A002</v>
      </c>
      <c r="C699" t="s">
        <v>33</v>
      </c>
      <c r="D699" t="str">
        <f>_xlfn.XLOOKUP(Table1[[#This Row],[BusinessTravel]],Table5[BusinessTravel],Table5[Id_BusinessTravel])</f>
        <v>BS002</v>
      </c>
      <c r="E699" t="s">
        <v>35</v>
      </c>
      <c r="F699">
        <v>1404</v>
      </c>
      <c r="G699" t="str">
        <f>_xlfn.XLOOKUP(Table1[[#This Row],[Department]],Table6[Department],Table6[Id_Departement])</f>
        <v>D001</v>
      </c>
      <c r="H699" t="s">
        <v>37</v>
      </c>
      <c r="I699">
        <v>20</v>
      </c>
      <c r="J699" t="str">
        <f>_xlfn.XLOOKUP(Table1[[#This Row],[Education]],Table8[Education],Table8[Id_Education])</f>
        <v>E003</v>
      </c>
      <c r="K699">
        <v>3</v>
      </c>
      <c r="L699" t="str">
        <f>_xlfn.XLOOKUP(Table1[[#This Row],[EducationField]],Table7[EducationField],Table7[Id_EducationField])</f>
        <v>EF005</v>
      </c>
      <c r="M699" t="s">
        <v>44</v>
      </c>
      <c r="N699" t="str">
        <f>_xlfn.XLOOKUP(Table1[[#This Row],[EmployeeNumber]],Table4[EmployeeNumber],Table4[Id_Employee])</f>
        <v>EMP00698</v>
      </c>
      <c r="O699">
        <v>974</v>
      </c>
      <c r="P699" t="str">
        <f>_xlfn.XLOOKUP(Table1[[#This Row],[EnvironmentSatisfaction]],Table9[EnvironmentSatisfaction],Table9[Id_EnviromentSatisfaction])</f>
        <v>ES003</v>
      </c>
      <c r="Q699">
        <v>3</v>
      </c>
      <c r="R699" t="str">
        <f>_xlfn.XLOOKUP(Table1[[#This Row],[EnvironmentSatisfaction]],Table9[EnvironmentSatisfaction],Table9[Deskripsi])</f>
        <v>High</v>
      </c>
      <c r="S699" t="str">
        <f>_xlfn.XLOOKUP(Table1[[#This Row],[Gender]],Table10[Gender],Table10[Id_Gender])</f>
        <v>G001</v>
      </c>
      <c r="T699" t="s">
        <v>45</v>
      </c>
      <c r="U699">
        <v>84</v>
      </c>
      <c r="V699" t="str">
        <f>_xlfn.XLOOKUP(Table1[[#This Row],[JobInvolvement]],Table11[JobInvolvement],Table11[Id_JobInvolvement])</f>
        <v>JI003</v>
      </c>
      <c r="W699">
        <v>3</v>
      </c>
      <c r="X699" t="str">
        <f>_xlfn.XLOOKUP(Table1[[#This Row],[JobLevel]],Table12[JobLevel],Table12[Id_JobLevel])</f>
        <v>JL001</v>
      </c>
      <c r="Y699">
        <v>1</v>
      </c>
      <c r="Z699" t="str">
        <f>_xlfn.XLOOKUP(Table1[[#This Row],[JobRole]],Table13[JobRole],Table13[Id_JobRole])</f>
        <v>JR007</v>
      </c>
      <c r="AA699" t="s">
        <v>53</v>
      </c>
      <c r="AB699" t="str">
        <f>_xlfn.XLOOKUP(Table1[[#This Row],[JobSatisfaction]],Table14[JobSatisfaction],Table14[Id_JobSatisfaction])</f>
        <v>JS004</v>
      </c>
      <c r="AC699">
        <v>4</v>
      </c>
      <c r="AD699" t="str">
        <f>_xlfn.XLOOKUP(Table1[[#This Row],[JobSatisfaction]],Table14[JobSatisfaction],Table14[Deskripsi])</f>
        <v>Very High</v>
      </c>
      <c r="AE699" t="str">
        <f>_xlfn.XLOOKUP(Table1[[#This Row],[MaritalStatus]],Table15[MaritalStatus],Table15[Id_MaritalStatus])</f>
        <v>MS002</v>
      </c>
      <c r="AF699" t="s">
        <v>56</v>
      </c>
      <c r="AG699">
        <v>2157</v>
      </c>
      <c r="AH699">
        <v>18203</v>
      </c>
      <c r="AI699">
        <v>1</v>
      </c>
      <c r="AJ699" t="str">
        <f>_xlfn.XLOOKUP(Table1[[#This Row],[OverTime]],Table16[OverTime],Table16[Id_OverTime])</f>
        <v>OT002</v>
      </c>
      <c r="AK699" t="s">
        <v>33</v>
      </c>
      <c r="AL699">
        <v>15</v>
      </c>
      <c r="AM699" t="str">
        <f>_xlfn.XLOOKUP(Table1[[#This Row],[PerformanceRating]],Table17[PerformanceRating],Table17[Id_PerformanceRating])</f>
        <v>PR003</v>
      </c>
      <c r="AN699">
        <v>3</v>
      </c>
      <c r="AO699" t="str">
        <f>_xlfn.XLOOKUP(Table1[[#This Row],[PerformanceRating]],Table17[PerformanceRating],Table17[Deskripsi])</f>
        <v>Excellent</v>
      </c>
      <c r="AP699" t="str">
        <f>_xlfn.XLOOKUP(Table1[[#This Row],[RelationshipSatisfaction]],Table18[RelationshipSatisfaction],Table18[Id_RelationshipSatisfaction])</f>
        <v>RS002</v>
      </c>
      <c r="AQ699">
        <v>2</v>
      </c>
      <c r="AR699" t="str">
        <f>_xlfn.XLOOKUP(Table1[[#This Row],[RelationshipSatisfaction]],Table18[RelationshipSatisfaction],Table18[Deskripsi])</f>
        <v>Medium</v>
      </c>
      <c r="AS699" t="str">
        <f>_xlfn.XLOOKUP(Table1[[#This Row],[StockOptionLevel]],Table19[StockOptionLevel],Table19[Id_StockOptionLevel])</f>
        <v>SOL002</v>
      </c>
      <c r="AT699">
        <v>1</v>
      </c>
      <c r="AU699" t="str">
        <f>_xlfn.XLOOKUP(Table1[[#This Row],[StockOptionLevel]],Table19[StockOptionLevel],Table19[Deskripsi])</f>
        <v>Standard</v>
      </c>
      <c r="AV699">
        <v>3</v>
      </c>
      <c r="AW699">
        <v>5</v>
      </c>
      <c r="AX699" t="str">
        <f>_xlfn.XLOOKUP(Table1[[#This Row],[WorkLifeBalance]],Table20[WorkLifeBalance],Table20[Id_WorkLifeBalance])</f>
        <v>WLB002</v>
      </c>
      <c r="AY699">
        <v>3</v>
      </c>
      <c r="AZ699" t="str">
        <f>_xlfn.XLOOKUP(Table1[[#This Row],[WorkLifeBalance]],Table20[WorkLifeBalance],Table20[Deskripsi])</f>
        <v>Good</v>
      </c>
      <c r="BA699">
        <v>3</v>
      </c>
      <c r="BB699">
        <v>1</v>
      </c>
      <c r="BC699">
        <v>0</v>
      </c>
      <c r="BD699">
        <v>2</v>
      </c>
    </row>
    <row r="700" spans="1:56" x14ac:dyDescent="0.25">
      <c r="A700">
        <v>35</v>
      </c>
      <c r="B700" t="str">
        <f>_xlfn.XLOOKUP(Table1[[#This Row],[Attrition]],Table2[Attrition],Table2[Id_Attrition])</f>
        <v>A002</v>
      </c>
      <c r="C700" t="s">
        <v>33</v>
      </c>
      <c r="D700" t="str">
        <f>_xlfn.XLOOKUP(Table1[[#This Row],[BusinessTravel]],Table5[BusinessTravel],Table5[Id_BusinessTravel])</f>
        <v>BS001</v>
      </c>
      <c r="E700" t="s">
        <v>34</v>
      </c>
      <c r="F700">
        <v>1219</v>
      </c>
      <c r="G700" t="str">
        <f>_xlfn.XLOOKUP(Table1[[#This Row],[Department]],Table6[Department],Table6[Id_Departement])</f>
        <v>D001</v>
      </c>
      <c r="H700" t="s">
        <v>37</v>
      </c>
      <c r="I700">
        <v>18</v>
      </c>
      <c r="J700" t="str">
        <f>_xlfn.XLOOKUP(Table1[[#This Row],[Education]],Table8[Education],Table8[Id_Education])</f>
        <v>E003</v>
      </c>
      <c r="K700">
        <v>3</v>
      </c>
      <c r="L700" t="str">
        <f>_xlfn.XLOOKUP(Table1[[#This Row],[EducationField]],Table7[EducationField],Table7[Id_EducationField])</f>
        <v>EF003</v>
      </c>
      <c r="M700" t="s">
        <v>42</v>
      </c>
      <c r="N700" t="str">
        <f>_xlfn.XLOOKUP(Table1[[#This Row],[EmployeeNumber]],Table4[EmployeeNumber],Table4[Id_Employee])</f>
        <v>EMP00699</v>
      </c>
      <c r="O700">
        <v>975</v>
      </c>
      <c r="P700" t="str">
        <f>_xlfn.XLOOKUP(Table1[[#This Row],[EnvironmentSatisfaction]],Table9[EnvironmentSatisfaction],Table9[Id_EnviromentSatisfaction])</f>
        <v>ES003</v>
      </c>
      <c r="Q700">
        <v>3</v>
      </c>
      <c r="R700" t="str">
        <f>_xlfn.XLOOKUP(Table1[[#This Row],[EnvironmentSatisfaction]],Table9[EnvironmentSatisfaction],Table9[Deskripsi])</f>
        <v>High</v>
      </c>
      <c r="S700" t="str">
        <f>_xlfn.XLOOKUP(Table1[[#This Row],[Gender]],Table10[Gender],Table10[Id_Gender])</f>
        <v>G001</v>
      </c>
      <c r="T700" t="s">
        <v>45</v>
      </c>
      <c r="U700">
        <v>86</v>
      </c>
      <c r="V700" t="str">
        <f>_xlfn.XLOOKUP(Table1[[#This Row],[JobInvolvement]],Table11[JobInvolvement],Table11[Id_JobInvolvement])</f>
        <v>JI003</v>
      </c>
      <c r="W700">
        <v>3</v>
      </c>
      <c r="X700" t="str">
        <f>_xlfn.XLOOKUP(Table1[[#This Row],[JobLevel]],Table12[JobLevel],Table12[Id_JobLevel])</f>
        <v>JL002</v>
      </c>
      <c r="Y700">
        <v>2</v>
      </c>
      <c r="Z700" t="str">
        <f>_xlfn.XLOOKUP(Table1[[#This Row],[JobRole]],Table13[JobRole],Table13[Id_JobRole])</f>
        <v>JR001</v>
      </c>
      <c r="AA700" t="s">
        <v>47</v>
      </c>
      <c r="AB700" t="str">
        <f>_xlfn.XLOOKUP(Table1[[#This Row],[JobSatisfaction]],Table14[JobSatisfaction],Table14[Id_JobSatisfaction])</f>
        <v>JS003</v>
      </c>
      <c r="AC700">
        <v>3</v>
      </c>
      <c r="AD700" t="str">
        <f>_xlfn.XLOOKUP(Table1[[#This Row],[JobSatisfaction]],Table14[JobSatisfaction],Table14[Deskripsi])</f>
        <v>High</v>
      </c>
      <c r="AE700" t="str">
        <f>_xlfn.XLOOKUP(Table1[[#This Row],[MaritalStatus]],Table15[MaritalStatus],Table15[Id_MaritalStatus])</f>
        <v>MS002</v>
      </c>
      <c r="AF700" t="s">
        <v>56</v>
      </c>
      <c r="AG700">
        <v>4601</v>
      </c>
      <c r="AH700">
        <v>6179</v>
      </c>
      <c r="AI700">
        <v>1</v>
      </c>
      <c r="AJ700" t="str">
        <f>_xlfn.XLOOKUP(Table1[[#This Row],[OverTime]],Table16[OverTime],Table16[Id_OverTime])</f>
        <v>OT002</v>
      </c>
      <c r="AK700" t="s">
        <v>33</v>
      </c>
      <c r="AL700">
        <v>16</v>
      </c>
      <c r="AM700" t="str">
        <f>_xlfn.XLOOKUP(Table1[[#This Row],[PerformanceRating]],Table17[PerformanceRating],Table17[Id_PerformanceRating])</f>
        <v>PR003</v>
      </c>
      <c r="AN700">
        <v>3</v>
      </c>
      <c r="AO700" t="str">
        <f>_xlfn.XLOOKUP(Table1[[#This Row],[PerformanceRating]],Table17[PerformanceRating],Table17[Deskripsi])</f>
        <v>Excellent</v>
      </c>
      <c r="AP700" t="str">
        <f>_xlfn.XLOOKUP(Table1[[#This Row],[RelationshipSatisfaction]],Table18[RelationshipSatisfaction],Table18[Id_RelationshipSatisfaction])</f>
        <v>RS002</v>
      </c>
      <c r="AQ700">
        <v>2</v>
      </c>
      <c r="AR700" t="str">
        <f>_xlfn.XLOOKUP(Table1[[#This Row],[RelationshipSatisfaction]],Table18[RelationshipSatisfaction],Table18[Deskripsi])</f>
        <v>Medium</v>
      </c>
      <c r="AS700" t="str">
        <f>_xlfn.XLOOKUP(Table1[[#This Row],[StockOptionLevel]],Table19[StockOptionLevel],Table19[Id_StockOptionLevel])</f>
        <v>SOL001</v>
      </c>
      <c r="AT700">
        <v>0</v>
      </c>
      <c r="AU700" t="str">
        <f>_xlfn.XLOOKUP(Table1[[#This Row],[StockOptionLevel]],Table19[StockOptionLevel],Table19[Deskripsi])</f>
        <v>Non-Eligible</v>
      </c>
      <c r="AV700">
        <v>5</v>
      </c>
      <c r="AW700">
        <v>3</v>
      </c>
      <c r="AX700" t="str">
        <f>_xlfn.XLOOKUP(Table1[[#This Row],[WorkLifeBalance]],Table20[WorkLifeBalance],Table20[Id_WorkLifeBalance])</f>
        <v>WLB002</v>
      </c>
      <c r="AY700">
        <v>3</v>
      </c>
      <c r="AZ700" t="str">
        <f>_xlfn.XLOOKUP(Table1[[#This Row],[WorkLifeBalance]],Table20[WorkLifeBalance],Table20[Deskripsi])</f>
        <v>Good</v>
      </c>
      <c r="BA700">
        <v>5</v>
      </c>
      <c r="BB700">
        <v>2</v>
      </c>
      <c r="BC700">
        <v>1</v>
      </c>
      <c r="BD700">
        <v>0</v>
      </c>
    </row>
    <row r="701" spans="1:56" x14ac:dyDescent="0.25">
      <c r="A701">
        <v>52</v>
      </c>
      <c r="B701" t="str">
        <f>_xlfn.XLOOKUP(Table1[[#This Row],[Attrition]],Table2[Attrition],Table2[Id_Attrition])</f>
        <v>A002</v>
      </c>
      <c r="C701" t="s">
        <v>33</v>
      </c>
      <c r="D701" t="str">
        <f>_xlfn.XLOOKUP(Table1[[#This Row],[BusinessTravel]],Table5[BusinessTravel],Table5[Id_BusinessTravel])</f>
        <v>BS001</v>
      </c>
      <c r="E701" t="s">
        <v>34</v>
      </c>
      <c r="F701">
        <v>1053</v>
      </c>
      <c r="G701" t="str">
        <f>_xlfn.XLOOKUP(Table1[[#This Row],[Department]],Table6[Department],Table6[Id_Departement])</f>
        <v>D002</v>
      </c>
      <c r="H701" t="s">
        <v>38</v>
      </c>
      <c r="I701">
        <v>1</v>
      </c>
      <c r="J701" t="str">
        <f>_xlfn.XLOOKUP(Table1[[#This Row],[Education]],Table8[Education],Table8[Id_Education])</f>
        <v>E002</v>
      </c>
      <c r="K701">
        <v>2</v>
      </c>
      <c r="L701" t="str">
        <f>_xlfn.XLOOKUP(Table1[[#This Row],[EducationField]],Table7[EducationField],Table7[Id_EducationField])</f>
        <v>EF001</v>
      </c>
      <c r="M701" t="s">
        <v>40</v>
      </c>
      <c r="N701" t="str">
        <f>_xlfn.XLOOKUP(Table1[[#This Row],[EmployeeNumber]],Table4[EmployeeNumber],Table4[Id_Employee])</f>
        <v>EMP00700</v>
      </c>
      <c r="O701">
        <v>976</v>
      </c>
      <c r="P701" t="str">
        <f>_xlfn.XLOOKUP(Table1[[#This Row],[EnvironmentSatisfaction]],Table9[EnvironmentSatisfaction],Table9[Id_EnviromentSatisfaction])</f>
        <v>ES004</v>
      </c>
      <c r="Q701">
        <v>4</v>
      </c>
      <c r="R701" t="str">
        <f>_xlfn.XLOOKUP(Table1[[#This Row],[EnvironmentSatisfaction]],Table9[EnvironmentSatisfaction],Table9[Deskripsi])</f>
        <v>Very High</v>
      </c>
      <c r="S701" t="str">
        <f>_xlfn.XLOOKUP(Table1[[#This Row],[Gender]],Table10[Gender],Table10[Id_Gender])</f>
        <v>G002</v>
      </c>
      <c r="T701" t="s">
        <v>46</v>
      </c>
      <c r="U701">
        <v>70</v>
      </c>
      <c r="V701" t="str">
        <f>_xlfn.XLOOKUP(Table1[[#This Row],[JobInvolvement]],Table11[JobInvolvement],Table11[Id_JobInvolvement])</f>
        <v>JI003</v>
      </c>
      <c r="W701">
        <v>3</v>
      </c>
      <c r="X701" t="str">
        <f>_xlfn.XLOOKUP(Table1[[#This Row],[JobLevel]],Table12[JobLevel],Table12[Id_JobLevel])</f>
        <v>JL004</v>
      </c>
      <c r="Y701">
        <v>4</v>
      </c>
      <c r="Z701" t="str">
        <f>_xlfn.XLOOKUP(Table1[[#This Row],[JobRole]],Table13[JobRole],Table13[Id_JobRole])</f>
        <v>JR006</v>
      </c>
      <c r="AA701" t="s">
        <v>52</v>
      </c>
      <c r="AB701" t="str">
        <f>_xlfn.XLOOKUP(Table1[[#This Row],[JobSatisfaction]],Table14[JobSatisfaction],Table14[Id_JobSatisfaction])</f>
        <v>JS004</v>
      </c>
      <c r="AC701">
        <v>4</v>
      </c>
      <c r="AD701" t="str">
        <f>_xlfn.XLOOKUP(Table1[[#This Row],[JobSatisfaction]],Table14[JobSatisfaction],Table14[Deskripsi])</f>
        <v>Very High</v>
      </c>
      <c r="AE701" t="str">
        <f>_xlfn.XLOOKUP(Table1[[#This Row],[MaritalStatus]],Table15[MaritalStatus],Table15[Id_MaritalStatus])</f>
        <v>MS002</v>
      </c>
      <c r="AF701" t="s">
        <v>56</v>
      </c>
      <c r="AG701">
        <v>17099</v>
      </c>
      <c r="AH701">
        <v>13829</v>
      </c>
      <c r="AI701">
        <v>2</v>
      </c>
      <c r="AJ701" t="str">
        <f>_xlfn.XLOOKUP(Table1[[#This Row],[OverTime]],Table16[OverTime],Table16[Id_OverTime])</f>
        <v>OT002</v>
      </c>
      <c r="AK701" t="s">
        <v>33</v>
      </c>
      <c r="AL701">
        <v>15</v>
      </c>
      <c r="AM701" t="str">
        <f>_xlfn.XLOOKUP(Table1[[#This Row],[PerformanceRating]],Table17[PerformanceRating],Table17[Id_PerformanceRating])</f>
        <v>PR003</v>
      </c>
      <c r="AN701">
        <v>3</v>
      </c>
      <c r="AO701" t="str">
        <f>_xlfn.XLOOKUP(Table1[[#This Row],[PerformanceRating]],Table17[PerformanceRating],Table17[Deskripsi])</f>
        <v>Excellent</v>
      </c>
      <c r="AP701" t="str">
        <f>_xlfn.XLOOKUP(Table1[[#This Row],[RelationshipSatisfaction]],Table18[RelationshipSatisfaction],Table18[Id_RelationshipSatisfaction])</f>
        <v>RS002</v>
      </c>
      <c r="AQ701">
        <v>2</v>
      </c>
      <c r="AR701" t="str">
        <f>_xlfn.XLOOKUP(Table1[[#This Row],[RelationshipSatisfaction]],Table18[RelationshipSatisfaction],Table18[Deskripsi])</f>
        <v>Medium</v>
      </c>
      <c r="AS701" t="str">
        <f>_xlfn.XLOOKUP(Table1[[#This Row],[StockOptionLevel]],Table19[StockOptionLevel],Table19[Id_StockOptionLevel])</f>
        <v>SOL002</v>
      </c>
      <c r="AT701">
        <v>1</v>
      </c>
      <c r="AU701" t="str">
        <f>_xlfn.XLOOKUP(Table1[[#This Row],[StockOptionLevel]],Table19[StockOptionLevel],Table19[Deskripsi])</f>
        <v>Standard</v>
      </c>
      <c r="AV701">
        <v>26</v>
      </c>
      <c r="AW701">
        <v>2</v>
      </c>
      <c r="AX701" t="str">
        <f>_xlfn.XLOOKUP(Table1[[#This Row],[WorkLifeBalance]],Table20[WorkLifeBalance],Table20[Id_WorkLifeBalance])</f>
        <v>WLB003</v>
      </c>
      <c r="AY701">
        <v>2</v>
      </c>
      <c r="AZ701" t="str">
        <f>_xlfn.XLOOKUP(Table1[[#This Row],[WorkLifeBalance]],Table20[WorkLifeBalance],Table20[Deskripsi])</f>
        <v>Better</v>
      </c>
      <c r="BA701">
        <v>9</v>
      </c>
      <c r="BB701">
        <v>8</v>
      </c>
      <c r="BC701">
        <v>7</v>
      </c>
      <c r="BD701">
        <v>8</v>
      </c>
    </row>
    <row r="702" spans="1:56" x14ac:dyDescent="0.25">
      <c r="A702">
        <v>58</v>
      </c>
      <c r="B702" t="str">
        <f>_xlfn.XLOOKUP(Table1[[#This Row],[Attrition]],Table2[Attrition],Table2[Id_Attrition])</f>
        <v>A001</v>
      </c>
      <c r="C702" t="s">
        <v>32</v>
      </c>
      <c r="D702" t="str">
        <f>_xlfn.XLOOKUP(Table1[[#This Row],[BusinessTravel]],Table5[BusinessTravel],Table5[Id_BusinessTravel])</f>
        <v>BS001</v>
      </c>
      <c r="E702" t="s">
        <v>34</v>
      </c>
      <c r="F702">
        <v>289</v>
      </c>
      <c r="G702" t="str">
        <f>_xlfn.XLOOKUP(Table1[[#This Row],[Department]],Table6[Department],Table6[Id_Departement])</f>
        <v>D002</v>
      </c>
      <c r="H702" t="s">
        <v>38</v>
      </c>
      <c r="I702">
        <v>2</v>
      </c>
      <c r="J702" t="str">
        <f>_xlfn.XLOOKUP(Table1[[#This Row],[Education]],Table8[Education],Table8[Id_Education])</f>
        <v>E003</v>
      </c>
      <c r="K702">
        <v>3</v>
      </c>
      <c r="L702" t="str">
        <f>_xlfn.XLOOKUP(Table1[[#This Row],[EducationField]],Table7[EducationField],Table7[Id_EducationField])</f>
        <v>EF005</v>
      </c>
      <c r="M702" t="s">
        <v>44</v>
      </c>
      <c r="N702" t="str">
        <f>_xlfn.XLOOKUP(Table1[[#This Row],[EmployeeNumber]],Table4[EmployeeNumber],Table4[Id_Employee])</f>
        <v>EMP00701</v>
      </c>
      <c r="O702">
        <v>977</v>
      </c>
      <c r="P702" t="str">
        <f>_xlfn.XLOOKUP(Table1[[#This Row],[EnvironmentSatisfaction]],Table9[EnvironmentSatisfaction],Table9[Id_EnviromentSatisfaction])</f>
        <v>ES004</v>
      </c>
      <c r="Q702">
        <v>4</v>
      </c>
      <c r="R702" t="str">
        <f>_xlfn.XLOOKUP(Table1[[#This Row],[EnvironmentSatisfaction]],Table9[EnvironmentSatisfaction],Table9[Deskripsi])</f>
        <v>Very High</v>
      </c>
      <c r="S702" t="str">
        <f>_xlfn.XLOOKUP(Table1[[#This Row],[Gender]],Table10[Gender],Table10[Id_Gender])</f>
        <v>G002</v>
      </c>
      <c r="T702" t="s">
        <v>46</v>
      </c>
      <c r="U702">
        <v>51</v>
      </c>
      <c r="V702" t="str">
        <f>_xlfn.XLOOKUP(Table1[[#This Row],[JobInvolvement]],Table11[JobInvolvement],Table11[Id_JobInvolvement])</f>
        <v>JI003</v>
      </c>
      <c r="W702">
        <v>3</v>
      </c>
      <c r="X702" t="str">
        <f>_xlfn.XLOOKUP(Table1[[#This Row],[JobLevel]],Table12[JobLevel],Table12[Id_JobLevel])</f>
        <v>JL001</v>
      </c>
      <c r="Y702">
        <v>1</v>
      </c>
      <c r="Z702" t="str">
        <f>_xlfn.XLOOKUP(Table1[[#This Row],[JobRole]],Table13[JobRole],Table13[Id_JobRole])</f>
        <v>JR002</v>
      </c>
      <c r="AA702" t="s">
        <v>48</v>
      </c>
      <c r="AB702" t="str">
        <f>_xlfn.XLOOKUP(Table1[[#This Row],[JobSatisfaction]],Table14[JobSatisfaction],Table14[Id_JobSatisfaction])</f>
        <v>JS003</v>
      </c>
      <c r="AC702">
        <v>3</v>
      </c>
      <c r="AD702" t="str">
        <f>_xlfn.XLOOKUP(Table1[[#This Row],[JobSatisfaction]],Table14[JobSatisfaction],Table14[Deskripsi])</f>
        <v>High</v>
      </c>
      <c r="AE702" t="str">
        <f>_xlfn.XLOOKUP(Table1[[#This Row],[MaritalStatus]],Table15[MaritalStatus],Table15[Id_MaritalStatus])</f>
        <v>MS001</v>
      </c>
      <c r="AF702" t="s">
        <v>55</v>
      </c>
      <c r="AG702">
        <v>2479</v>
      </c>
      <c r="AH702">
        <v>26227</v>
      </c>
      <c r="AI702">
        <v>4</v>
      </c>
      <c r="AJ702" t="str">
        <f>_xlfn.XLOOKUP(Table1[[#This Row],[OverTime]],Table16[OverTime],Table16[Id_OverTime])</f>
        <v>OT002</v>
      </c>
      <c r="AK702" t="s">
        <v>33</v>
      </c>
      <c r="AL702">
        <v>24</v>
      </c>
      <c r="AM702" t="str">
        <f>_xlfn.XLOOKUP(Table1[[#This Row],[PerformanceRating]],Table17[PerformanceRating],Table17[Id_PerformanceRating])</f>
        <v>PR004</v>
      </c>
      <c r="AN702">
        <v>4</v>
      </c>
      <c r="AO702" t="str">
        <f>_xlfn.XLOOKUP(Table1[[#This Row],[PerformanceRating]],Table17[PerformanceRating],Table17[Deskripsi])</f>
        <v>Outstanding</v>
      </c>
      <c r="AP702" t="str">
        <f>_xlfn.XLOOKUP(Table1[[#This Row],[RelationshipSatisfaction]],Table18[RelationshipSatisfaction],Table18[Id_RelationshipSatisfaction])</f>
        <v>RS001</v>
      </c>
      <c r="AQ702">
        <v>1</v>
      </c>
      <c r="AR702" t="str">
        <f>_xlfn.XLOOKUP(Table1[[#This Row],[RelationshipSatisfaction]],Table18[RelationshipSatisfaction],Table18[Deskripsi])</f>
        <v>Low</v>
      </c>
      <c r="AS702" t="str">
        <f>_xlfn.XLOOKUP(Table1[[#This Row],[StockOptionLevel]],Table19[StockOptionLevel],Table19[Id_StockOptionLevel])</f>
        <v>SOL001</v>
      </c>
      <c r="AT702">
        <v>0</v>
      </c>
      <c r="AU702" t="str">
        <f>_xlfn.XLOOKUP(Table1[[#This Row],[StockOptionLevel]],Table19[StockOptionLevel],Table19[Deskripsi])</f>
        <v>Non-Eligible</v>
      </c>
      <c r="AV702">
        <v>7</v>
      </c>
      <c r="AW702">
        <v>4</v>
      </c>
      <c r="AX702" t="str">
        <f>_xlfn.XLOOKUP(Table1[[#This Row],[WorkLifeBalance]],Table20[WorkLifeBalance],Table20[Id_WorkLifeBalance])</f>
        <v>WLB002</v>
      </c>
      <c r="AY702">
        <v>3</v>
      </c>
      <c r="AZ702" t="str">
        <f>_xlfn.XLOOKUP(Table1[[#This Row],[WorkLifeBalance]],Table20[WorkLifeBalance],Table20[Deskripsi])</f>
        <v>Good</v>
      </c>
      <c r="BA702">
        <v>1</v>
      </c>
      <c r="BB702">
        <v>0</v>
      </c>
      <c r="BC702">
        <v>0</v>
      </c>
      <c r="BD702">
        <v>0</v>
      </c>
    </row>
    <row r="703" spans="1:56" x14ac:dyDescent="0.25">
      <c r="A703">
        <v>53</v>
      </c>
      <c r="B703" t="str">
        <f>_xlfn.XLOOKUP(Table1[[#This Row],[Attrition]],Table2[Attrition],Table2[Id_Attrition])</f>
        <v>A002</v>
      </c>
      <c r="C703" t="s">
        <v>33</v>
      </c>
      <c r="D703" t="str">
        <f>_xlfn.XLOOKUP(Table1[[#This Row],[BusinessTravel]],Table5[BusinessTravel],Table5[Id_BusinessTravel])</f>
        <v>BS001</v>
      </c>
      <c r="E703" t="s">
        <v>34</v>
      </c>
      <c r="F703">
        <v>1376</v>
      </c>
      <c r="G703" t="str">
        <f>_xlfn.XLOOKUP(Table1[[#This Row],[Department]],Table6[Department],Table6[Id_Departement])</f>
        <v>D001</v>
      </c>
      <c r="H703" t="s">
        <v>37</v>
      </c>
      <c r="I703">
        <v>2</v>
      </c>
      <c r="J703" t="str">
        <f>_xlfn.XLOOKUP(Table1[[#This Row],[Education]],Table8[Education],Table8[Id_Education])</f>
        <v>E002</v>
      </c>
      <c r="K703">
        <v>2</v>
      </c>
      <c r="L703" t="str">
        <f>_xlfn.XLOOKUP(Table1[[#This Row],[EducationField]],Table7[EducationField],Table7[Id_EducationField])</f>
        <v>EF003</v>
      </c>
      <c r="M703" t="s">
        <v>42</v>
      </c>
      <c r="N703" t="str">
        <f>_xlfn.XLOOKUP(Table1[[#This Row],[EmployeeNumber]],Table4[EmployeeNumber],Table4[Id_Employee])</f>
        <v>EMP00702</v>
      </c>
      <c r="O703">
        <v>981</v>
      </c>
      <c r="P703" t="str">
        <f>_xlfn.XLOOKUP(Table1[[#This Row],[EnvironmentSatisfaction]],Table9[EnvironmentSatisfaction],Table9[Id_EnviromentSatisfaction])</f>
        <v>ES003</v>
      </c>
      <c r="Q703">
        <v>3</v>
      </c>
      <c r="R703" t="str">
        <f>_xlfn.XLOOKUP(Table1[[#This Row],[EnvironmentSatisfaction]],Table9[EnvironmentSatisfaction],Table9[Deskripsi])</f>
        <v>High</v>
      </c>
      <c r="S703" t="str">
        <f>_xlfn.XLOOKUP(Table1[[#This Row],[Gender]],Table10[Gender],Table10[Id_Gender])</f>
        <v>G002</v>
      </c>
      <c r="T703" t="s">
        <v>46</v>
      </c>
      <c r="U703">
        <v>45</v>
      </c>
      <c r="V703" t="str">
        <f>_xlfn.XLOOKUP(Table1[[#This Row],[JobInvolvement]],Table11[JobInvolvement],Table11[Id_JobInvolvement])</f>
        <v>JI003</v>
      </c>
      <c r="W703">
        <v>3</v>
      </c>
      <c r="X703" t="str">
        <f>_xlfn.XLOOKUP(Table1[[#This Row],[JobLevel]],Table12[JobLevel],Table12[Id_JobLevel])</f>
        <v>JL004</v>
      </c>
      <c r="Y703">
        <v>4</v>
      </c>
      <c r="Z703" t="str">
        <f>_xlfn.XLOOKUP(Table1[[#This Row],[JobRole]],Table13[JobRole],Table13[Id_JobRole])</f>
        <v>JR006</v>
      </c>
      <c r="AA703" t="s">
        <v>52</v>
      </c>
      <c r="AB703" t="str">
        <f>_xlfn.XLOOKUP(Table1[[#This Row],[JobSatisfaction]],Table14[JobSatisfaction],Table14[Id_JobSatisfaction])</f>
        <v>JS003</v>
      </c>
      <c r="AC703">
        <v>3</v>
      </c>
      <c r="AD703" t="str">
        <f>_xlfn.XLOOKUP(Table1[[#This Row],[JobSatisfaction]],Table14[JobSatisfaction],Table14[Deskripsi])</f>
        <v>High</v>
      </c>
      <c r="AE703" t="str">
        <f>_xlfn.XLOOKUP(Table1[[#This Row],[MaritalStatus]],Table15[MaritalStatus],Table15[Id_MaritalStatus])</f>
        <v>MS003</v>
      </c>
      <c r="AF703" t="s">
        <v>57</v>
      </c>
      <c r="AG703">
        <v>14852</v>
      </c>
      <c r="AH703">
        <v>13938</v>
      </c>
      <c r="AI703">
        <v>6</v>
      </c>
      <c r="AJ703" t="str">
        <f>_xlfn.XLOOKUP(Table1[[#This Row],[OverTime]],Table16[OverTime],Table16[Id_OverTime])</f>
        <v>OT002</v>
      </c>
      <c r="AK703" t="s">
        <v>33</v>
      </c>
      <c r="AL703">
        <v>13</v>
      </c>
      <c r="AM703" t="str">
        <f>_xlfn.XLOOKUP(Table1[[#This Row],[PerformanceRating]],Table17[PerformanceRating],Table17[Id_PerformanceRating])</f>
        <v>PR003</v>
      </c>
      <c r="AN703">
        <v>3</v>
      </c>
      <c r="AO703" t="str">
        <f>_xlfn.XLOOKUP(Table1[[#This Row],[PerformanceRating]],Table17[PerformanceRating],Table17[Deskripsi])</f>
        <v>Excellent</v>
      </c>
      <c r="AP703" t="str">
        <f>_xlfn.XLOOKUP(Table1[[#This Row],[RelationshipSatisfaction]],Table18[RelationshipSatisfaction],Table18[Id_RelationshipSatisfaction])</f>
        <v>RS003</v>
      </c>
      <c r="AQ703">
        <v>3</v>
      </c>
      <c r="AR703" t="str">
        <f>_xlfn.XLOOKUP(Table1[[#This Row],[RelationshipSatisfaction]],Table18[RelationshipSatisfaction],Table18[Deskripsi])</f>
        <v>High</v>
      </c>
      <c r="AS703" t="str">
        <f>_xlfn.XLOOKUP(Table1[[#This Row],[StockOptionLevel]],Table19[StockOptionLevel],Table19[Id_StockOptionLevel])</f>
        <v>SOL002</v>
      </c>
      <c r="AT703">
        <v>1</v>
      </c>
      <c r="AU703" t="str">
        <f>_xlfn.XLOOKUP(Table1[[#This Row],[StockOptionLevel]],Table19[StockOptionLevel],Table19[Deskripsi])</f>
        <v>Standard</v>
      </c>
      <c r="AV703">
        <v>22</v>
      </c>
      <c r="AW703">
        <v>3</v>
      </c>
      <c r="AX703" t="str">
        <f>_xlfn.XLOOKUP(Table1[[#This Row],[WorkLifeBalance]],Table20[WorkLifeBalance],Table20[Id_WorkLifeBalance])</f>
        <v>WLB004</v>
      </c>
      <c r="AY703">
        <v>4</v>
      </c>
      <c r="AZ703" t="str">
        <f>_xlfn.XLOOKUP(Table1[[#This Row],[WorkLifeBalance]],Table20[WorkLifeBalance],Table20[Deskripsi])</f>
        <v>Best</v>
      </c>
      <c r="BA703">
        <v>17</v>
      </c>
      <c r="BB703">
        <v>13</v>
      </c>
      <c r="BC703">
        <v>15</v>
      </c>
      <c r="BD703">
        <v>2</v>
      </c>
    </row>
    <row r="704" spans="1:56" x14ac:dyDescent="0.25">
      <c r="A704">
        <v>30</v>
      </c>
      <c r="B704" t="str">
        <f>_xlfn.XLOOKUP(Table1[[#This Row],[Attrition]],Table2[Attrition],Table2[Id_Attrition])</f>
        <v>A002</v>
      </c>
      <c r="C704" t="s">
        <v>33</v>
      </c>
      <c r="D704" t="str">
        <f>_xlfn.XLOOKUP(Table1[[#This Row],[BusinessTravel]],Table5[BusinessTravel],Table5[Id_BusinessTravel])</f>
        <v>BS001</v>
      </c>
      <c r="E704" t="s">
        <v>34</v>
      </c>
      <c r="F704">
        <v>231</v>
      </c>
      <c r="G704" t="str">
        <f>_xlfn.XLOOKUP(Table1[[#This Row],[Department]],Table6[Department],Table6[Id_Departement])</f>
        <v>D001</v>
      </c>
      <c r="H704" t="s">
        <v>37</v>
      </c>
      <c r="I704">
        <v>8</v>
      </c>
      <c r="J704" t="str">
        <f>_xlfn.XLOOKUP(Table1[[#This Row],[Education]],Table8[Education],Table8[Id_Education])</f>
        <v>E002</v>
      </c>
      <c r="K704">
        <v>2</v>
      </c>
      <c r="L704" t="str">
        <f>_xlfn.XLOOKUP(Table1[[#This Row],[EducationField]],Table7[EducationField],Table7[Id_EducationField])</f>
        <v>EF002</v>
      </c>
      <c r="M704" t="s">
        <v>41</v>
      </c>
      <c r="N704" t="str">
        <f>_xlfn.XLOOKUP(Table1[[#This Row],[EmployeeNumber]],Table4[EmployeeNumber],Table4[Id_Employee])</f>
        <v>EMP00703</v>
      </c>
      <c r="O704">
        <v>982</v>
      </c>
      <c r="P704" t="str">
        <f>_xlfn.XLOOKUP(Table1[[#This Row],[EnvironmentSatisfaction]],Table9[EnvironmentSatisfaction],Table9[Id_EnviromentSatisfaction])</f>
        <v>ES003</v>
      </c>
      <c r="Q704">
        <v>3</v>
      </c>
      <c r="R704" t="str">
        <f>_xlfn.XLOOKUP(Table1[[#This Row],[EnvironmentSatisfaction]],Table9[EnvironmentSatisfaction],Table9[Deskripsi])</f>
        <v>High</v>
      </c>
      <c r="S704" t="str">
        <f>_xlfn.XLOOKUP(Table1[[#This Row],[Gender]],Table10[Gender],Table10[Id_Gender])</f>
        <v>G002</v>
      </c>
      <c r="T704" t="s">
        <v>46</v>
      </c>
      <c r="U704">
        <v>62</v>
      </c>
      <c r="V704" t="str">
        <f>_xlfn.XLOOKUP(Table1[[#This Row],[JobInvolvement]],Table11[JobInvolvement],Table11[Id_JobInvolvement])</f>
        <v>JI003</v>
      </c>
      <c r="W704">
        <v>3</v>
      </c>
      <c r="X704" t="str">
        <f>_xlfn.XLOOKUP(Table1[[#This Row],[JobLevel]],Table12[JobLevel],Table12[Id_JobLevel])</f>
        <v>JL003</v>
      </c>
      <c r="Y704">
        <v>3</v>
      </c>
      <c r="Z704" t="str">
        <f>_xlfn.XLOOKUP(Table1[[#This Row],[JobRole]],Table13[JobRole],Table13[Id_JobRole])</f>
        <v>JR001</v>
      </c>
      <c r="AA704" t="s">
        <v>47</v>
      </c>
      <c r="AB704" t="str">
        <f>_xlfn.XLOOKUP(Table1[[#This Row],[JobSatisfaction]],Table14[JobSatisfaction],Table14[Id_JobSatisfaction])</f>
        <v>JS003</v>
      </c>
      <c r="AC704">
        <v>3</v>
      </c>
      <c r="AD704" t="str">
        <f>_xlfn.XLOOKUP(Table1[[#This Row],[JobSatisfaction]],Table14[JobSatisfaction],Table14[Deskripsi])</f>
        <v>High</v>
      </c>
      <c r="AE704" t="str">
        <f>_xlfn.XLOOKUP(Table1[[#This Row],[MaritalStatus]],Table15[MaritalStatus],Table15[Id_MaritalStatus])</f>
        <v>MS003</v>
      </c>
      <c r="AF704" t="s">
        <v>57</v>
      </c>
      <c r="AG704">
        <v>7264</v>
      </c>
      <c r="AH704">
        <v>9977</v>
      </c>
      <c r="AI704">
        <v>5</v>
      </c>
      <c r="AJ704" t="str">
        <f>_xlfn.XLOOKUP(Table1[[#This Row],[OverTime]],Table16[OverTime],Table16[Id_OverTime])</f>
        <v>OT002</v>
      </c>
      <c r="AK704" t="s">
        <v>33</v>
      </c>
      <c r="AL704">
        <v>11</v>
      </c>
      <c r="AM704" t="str">
        <f>_xlfn.XLOOKUP(Table1[[#This Row],[PerformanceRating]],Table17[PerformanceRating],Table17[Id_PerformanceRating])</f>
        <v>PR003</v>
      </c>
      <c r="AN704">
        <v>3</v>
      </c>
      <c r="AO704" t="str">
        <f>_xlfn.XLOOKUP(Table1[[#This Row],[PerformanceRating]],Table17[PerformanceRating],Table17[Deskripsi])</f>
        <v>Excellent</v>
      </c>
      <c r="AP704" t="str">
        <f>_xlfn.XLOOKUP(Table1[[#This Row],[RelationshipSatisfaction]],Table18[RelationshipSatisfaction],Table18[Id_RelationshipSatisfaction])</f>
        <v>RS001</v>
      </c>
      <c r="AQ704">
        <v>1</v>
      </c>
      <c r="AR704" t="str">
        <f>_xlfn.XLOOKUP(Table1[[#This Row],[RelationshipSatisfaction]],Table18[RelationshipSatisfaction],Table18[Deskripsi])</f>
        <v>Low</v>
      </c>
      <c r="AS704" t="str">
        <f>_xlfn.XLOOKUP(Table1[[#This Row],[StockOptionLevel]],Table19[StockOptionLevel],Table19[Id_StockOptionLevel])</f>
        <v>SOL002</v>
      </c>
      <c r="AT704">
        <v>1</v>
      </c>
      <c r="AU704" t="str">
        <f>_xlfn.XLOOKUP(Table1[[#This Row],[StockOptionLevel]],Table19[StockOptionLevel],Table19[Deskripsi])</f>
        <v>Standard</v>
      </c>
      <c r="AV704">
        <v>10</v>
      </c>
      <c r="AW704">
        <v>2</v>
      </c>
      <c r="AX704" t="str">
        <f>_xlfn.XLOOKUP(Table1[[#This Row],[WorkLifeBalance]],Table20[WorkLifeBalance],Table20[Id_WorkLifeBalance])</f>
        <v>WLB004</v>
      </c>
      <c r="AY704">
        <v>4</v>
      </c>
      <c r="AZ704" t="str">
        <f>_xlfn.XLOOKUP(Table1[[#This Row],[WorkLifeBalance]],Table20[WorkLifeBalance],Table20[Deskripsi])</f>
        <v>Best</v>
      </c>
      <c r="BA704">
        <v>8</v>
      </c>
      <c r="BB704">
        <v>4</v>
      </c>
      <c r="BC704">
        <v>7</v>
      </c>
      <c r="BD704">
        <v>7</v>
      </c>
    </row>
    <row r="705" spans="1:56" x14ac:dyDescent="0.25">
      <c r="A705">
        <v>38</v>
      </c>
      <c r="B705" t="str">
        <f>_xlfn.XLOOKUP(Table1[[#This Row],[Attrition]],Table2[Attrition],Table2[Id_Attrition])</f>
        <v>A002</v>
      </c>
      <c r="C705" t="s">
        <v>33</v>
      </c>
      <c r="D705" t="str">
        <f>_xlfn.XLOOKUP(Table1[[#This Row],[BusinessTravel]],Table5[BusinessTravel],Table5[Id_BusinessTravel])</f>
        <v>BS003</v>
      </c>
      <c r="E705" t="s">
        <v>36</v>
      </c>
      <c r="F705">
        <v>152</v>
      </c>
      <c r="G705" t="str">
        <f>_xlfn.XLOOKUP(Table1[[#This Row],[Department]],Table6[Department],Table6[Id_Departement])</f>
        <v>D001</v>
      </c>
      <c r="H705" t="s">
        <v>37</v>
      </c>
      <c r="I705">
        <v>10</v>
      </c>
      <c r="J705" t="str">
        <f>_xlfn.XLOOKUP(Table1[[#This Row],[Education]],Table8[Education],Table8[Id_Education])</f>
        <v>E003</v>
      </c>
      <c r="K705">
        <v>3</v>
      </c>
      <c r="L705" t="str">
        <f>_xlfn.XLOOKUP(Table1[[#This Row],[EducationField]],Table7[EducationField],Table7[Id_EducationField])</f>
        <v>EF005</v>
      </c>
      <c r="M705" t="s">
        <v>44</v>
      </c>
      <c r="N705" t="str">
        <f>_xlfn.XLOOKUP(Table1[[#This Row],[EmployeeNumber]],Table4[EmployeeNumber],Table4[Id_Employee])</f>
        <v>EMP00704</v>
      </c>
      <c r="O705">
        <v>983</v>
      </c>
      <c r="P705" t="str">
        <f>_xlfn.XLOOKUP(Table1[[#This Row],[EnvironmentSatisfaction]],Table9[EnvironmentSatisfaction],Table9[Id_EnviromentSatisfaction])</f>
        <v>ES003</v>
      </c>
      <c r="Q705">
        <v>3</v>
      </c>
      <c r="R705" t="str">
        <f>_xlfn.XLOOKUP(Table1[[#This Row],[EnvironmentSatisfaction]],Table9[EnvironmentSatisfaction],Table9[Deskripsi])</f>
        <v>High</v>
      </c>
      <c r="S705" t="str">
        <f>_xlfn.XLOOKUP(Table1[[#This Row],[Gender]],Table10[Gender],Table10[Id_Gender])</f>
        <v>G001</v>
      </c>
      <c r="T705" t="s">
        <v>45</v>
      </c>
      <c r="U705">
        <v>85</v>
      </c>
      <c r="V705" t="str">
        <f>_xlfn.XLOOKUP(Table1[[#This Row],[JobInvolvement]],Table11[JobInvolvement],Table11[Id_JobInvolvement])</f>
        <v>JI003</v>
      </c>
      <c r="W705">
        <v>3</v>
      </c>
      <c r="X705" t="str">
        <f>_xlfn.XLOOKUP(Table1[[#This Row],[JobLevel]],Table12[JobLevel],Table12[Id_JobLevel])</f>
        <v>JL002</v>
      </c>
      <c r="Y705">
        <v>2</v>
      </c>
      <c r="Z705" t="str">
        <f>_xlfn.XLOOKUP(Table1[[#This Row],[JobRole]],Table13[JobRole],Table13[Id_JobRole])</f>
        <v>JR001</v>
      </c>
      <c r="AA705" t="s">
        <v>47</v>
      </c>
      <c r="AB705" t="str">
        <f>_xlfn.XLOOKUP(Table1[[#This Row],[JobSatisfaction]],Table14[JobSatisfaction],Table14[Id_JobSatisfaction])</f>
        <v>JS004</v>
      </c>
      <c r="AC705">
        <v>4</v>
      </c>
      <c r="AD705" t="str">
        <f>_xlfn.XLOOKUP(Table1[[#This Row],[JobSatisfaction]],Table14[JobSatisfaction],Table14[Deskripsi])</f>
        <v>Very High</v>
      </c>
      <c r="AE705" t="str">
        <f>_xlfn.XLOOKUP(Table1[[#This Row],[MaritalStatus]],Table15[MaritalStatus],Table15[Id_MaritalStatus])</f>
        <v>MS001</v>
      </c>
      <c r="AF705" t="s">
        <v>55</v>
      </c>
      <c r="AG705">
        <v>5666</v>
      </c>
      <c r="AH705">
        <v>19899</v>
      </c>
      <c r="AI705">
        <v>1</v>
      </c>
      <c r="AJ705" t="str">
        <f>_xlfn.XLOOKUP(Table1[[#This Row],[OverTime]],Table16[OverTime],Table16[Id_OverTime])</f>
        <v>OT001</v>
      </c>
      <c r="AK705" t="s">
        <v>32</v>
      </c>
      <c r="AL705">
        <v>13</v>
      </c>
      <c r="AM705" t="str">
        <f>_xlfn.XLOOKUP(Table1[[#This Row],[PerformanceRating]],Table17[PerformanceRating],Table17[Id_PerformanceRating])</f>
        <v>PR003</v>
      </c>
      <c r="AN705">
        <v>3</v>
      </c>
      <c r="AO705" t="str">
        <f>_xlfn.XLOOKUP(Table1[[#This Row],[PerformanceRating]],Table17[PerformanceRating],Table17[Deskripsi])</f>
        <v>Excellent</v>
      </c>
      <c r="AP705" t="str">
        <f>_xlfn.XLOOKUP(Table1[[#This Row],[RelationshipSatisfaction]],Table18[RelationshipSatisfaction],Table18[Id_RelationshipSatisfaction])</f>
        <v>RS002</v>
      </c>
      <c r="AQ705">
        <v>2</v>
      </c>
      <c r="AR705" t="str">
        <f>_xlfn.XLOOKUP(Table1[[#This Row],[RelationshipSatisfaction]],Table18[RelationshipSatisfaction],Table18[Deskripsi])</f>
        <v>Medium</v>
      </c>
      <c r="AS705" t="str">
        <f>_xlfn.XLOOKUP(Table1[[#This Row],[StockOptionLevel]],Table19[StockOptionLevel],Table19[Id_StockOptionLevel])</f>
        <v>SOL001</v>
      </c>
      <c r="AT705">
        <v>0</v>
      </c>
      <c r="AU705" t="str">
        <f>_xlfn.XLOOKUP(Table1[[#This Row],[StockOptionLevel]],Table19[StockOptionLevel],Table19[Deskripsi])</f>
        <v>Non-Eligible</v>
      </c>
      <c r="AV705">
        <v>6</v>
      </c>
      <c r="AW705">
        <v>1</v>
      </c>
      <c r="AX705" t="str">
        <f>_xlfn.XLOOKUP(Table1[[#This Row],[WorkLifeBalance]],Table20[WorkLifeBalance],Table20[Id_WorkLifeBalance])</f>
        <v>WLB002</v>
      </c>
      <c r="AY705">
        <v>3</v>
      </c>
      <c r="AZ705" t="str">
        <f>_xlfn.XLOOKUP(Table1[[#This Row],[WorkLifeBalance]],Table20[WorkLifeBalance],Table20[Deskripsi])</f>
        <v>Good</v>
      </c>
      <c r="BA705">
        <v>5</v>
      </c>
      <c r="BB705">
        <v>3</v>
      </c>
      <c r="BC705">
        <v>1</v>
      </c>
      <c r="BD705">
        <v>3</v>
      </c>
    </row>
    <row r="706" spans="1:56" x14ac:dyDescent="0.25">
      <c r="A706">
        <v>35</v>
      </c>
      <c r="B706" t="str">
        <f>_xlfn.XLOOKUP(Table1[[#This Row],[Attrition]],Table2[Attrition],Table2[Id_Attrition])</f>
        <v>A002</v>
      </c>
      <c r="C706" t="s">
        <v>33</v>
      </c>
      <c r="D706" t="str">
        <f>_xlfn.XLOOKUP(Table1[[#This Row],[BusinessTravel]],Table5[BusinessTravel],Table5[Id_BusinessTravel])</f>
        <v>BS001</v>
      </c>
      <c r="E706" t="s">
        <v>34</v>
      </c>
      <c r="F706">
        <v>882</v>
      </c>
      <c r="G706" t="str">
        <f>_xlfn.XLOOKUP(Table1[[#This Row],[Department]],Table6[Department],Table6[Id_Departement])</f>
        <v>D001</v>
      </c>
      <c r="H706" t="s">
        <v>37</v>
      </c>
      <c r="I706">
        <v>3</v>
      </c>
      <c r="J706" t="str">
        <f>_xlfn.XLOOKUP(Table1[[#This Row],[Education]],Table8[Education],Table8[Id_Education])</f>
        <v>E004</v>
      </c>
      <c r="K706">
        <v>4</v>
      </c>
      <c r="L706" t="str">
        <f>_xlfn.XLOOKUP(Table1[[#This Row],[EducationField]],Table7[EducationField],Table7[Id_EducationField])</f>
        <v>EF001</v>
      </c>
      <c r="M706" t="s">
        <v>40</v>
      </c>
      <c r="N706" t="str">
        <f>_xlfn.XLOOKUP(Table1[[#This Row],[EmployeeNumber]],Table4[EmployeeNumber],Table4[Id_Employee])</f>
        <v>EMP00705</v>
      </c>
      <c r="O706">
        <v>984</v>
      </c>
      <c r="P706" t="str">
        <f>_xlfn.XLOOKUP(Table1[[#This Row],[EnvironmentSatisfaction]],Table9[EnvironmentSatisfaction],Table9[Id_EnviromentSatisfaction])</f>
        <v>ES004</v>
      </c>
      <c r="Q706">
        <v>4</v>
      </c>
      <c r="R706" t="str">
        <f>_xlfn.XLOOKUP(Table1[[#This Row],[EnvironmentSatisfaction]],Table9[EnvironmentSatisfaction],Table9[Deskripsi])</f>
        <v>Very High</v>
      </c>
      <c r="S706" t="str">
        <f>_xlfn.XLOOKUP(Table1[[#This Row],[Gender]],Table10[Gender],Table10[Id_Gender])</f>
        <v>G002</v>
      </c>
      <c r="T706" t="s">
        <v>46</v>
      </c>
      <c r="U706">
        <v>92</v>
      </c>
      <c r="V706" t="str">
        <f>_xlfn.XLOOKUP(Table1[[#This Row],[JobInvolvement]],Table11[JobInvolvement],Table11[Id_JobInvolvement])</f>
        <v>JI003</v>
      </c>
      <c r="W706">
        <v>3</v>
      </c>
      <c r="X706" t="str">
        <f>_xlfn.XLOOKUP(Table1[[#This Row],[JobLevel]],Table12[JobLevel],Table12[Id_JobLevel])</f>
        <v>JL003</v>
      </c>
      <c r="Y706">
        <v>3</v>
      </c>
      <c r="Z706" t="str">
        <f>_xlfn.XLOOKUP(Table1[[#This Row],[JobRole]],Table13[JobRole],Table13[Id_JobRole])</f>
        <v>JR001</v>
      </c>
      <c r="AA706" t="s">
        <v>47</v>
      </c>
      <c r="AB706" t="str">
        <f>_xlfn.XLOOKUP(Table1[[#This Row],[JobSatisfaction]],Table14[JobSatisfaction],Table14[Id_JobSatisfaction])</f>
        <v>JS004</v>
      </c>
      <c r="AC706">
        <v>4</v>
      </c>
      <c r="AD706" t="str">
        <f>_xlfn.XLOOKUP(Table1[[#This Row],[JobSatisfaction]],Table14[JobSatisfaction],Table14[Deskripsi])</f>
        <v>Very High</v>
      </c>
      <c r="AE706" t="str">
        <f>_xlfn.XLOOKUP(Table1[[#This Row],[MaritalStatus]],Table15[MaritalStatus],Table15[Id_MaritalStatus])</f>
        <v>MS003</v>
      </c>
      <c r="AF706" t="s">
        <v>57</v>
      </c>
      <c r="AG706">
        <v>7823</v>
      </c>
      <c r="AH706">
        <v>6812</v>
      </c>
      <c r="AI706">
        <v>6</v>
      </c>
      <c r="AJ706" t="str">
        <f>_xlfn.XLOOKUP(Table1[[#This Row],[OverTime]],Table16[OverTime],Table16[Id_OverTime])</f>
        <v>OT002</v>
      </c>
      <c r="AK706" t="s">
        <v>33</v>
      </c>
      <c r="AL706">
        <v>13</v>
      </c>
      <c r="AM706" t="str">
        <f>_xlfn.XLOOKUP(Table1[[#This Row],[PerformanceRating]],Table17[PerformanceRating],Table17[Id_PerformanceRating])</f>
        <v>PR003</v>
      </c>
      <c r="AN706">
        <v>3</v>
      </c>
      <c r="AO706" t="str">
        <f>_xlfn.XLOOKUP(Table1[[#This Row],[PerformanceRating]],Table17[PerformanceRating],Table17[Deskripsi])</f>
        <v>Excellent</v>
      </c>
      <c r="AP706" t="str">
        <f>_xlfn.XLOOKUP(Table1[[#This Row],[RelationshipSatisfaction]],Table18[RelationshipSatisfaction],Table18[Id_RelationshipSatisfaction])</f>
        <v>RS002</v>
      </c>
      <c r="AQ706">
        <v>2</v>
      </c>
      <c r="AR706" t="str">
        <f>_xlfn.XLOOKUP(Table1[[#This Row],[RelationshipSatisfaction]],Table18[RelationshipSatisfaction],Table18[Deskripsi])</f>
        <v>Medium</v>
      </c>
      <c r="AS706" t="str">
        <f>_xlfn.XLOOKUP(Table1[[#This Row],[StockOptionLevel]],Table19[StockOptionLevel],Table19[Id_StockOptionLevel])</f>
        <v>SOL002</v>
      </c>
      <c r="AT706">
        <v>1</v>
      </c>
      <c r="AU706" t="str">
        <f>_xlfn.XLOOKUP(Table1[[#This Row],[StockOptionLevel]],Table19[StockOptionLevel],Table19[Deskripsi])</f>
        <v>Standard</v>
      </c>
      <c r="AV706">
        <v>12</v>
      </c>
      <c r="AW706">
        <v>2</v>
      </c>
      <c r="AX706" t="str">
        <f>_xlfn.XLOOKUP(Table1[[#This Row],[WorkLifeBalance]],Table20[WorkLifeBalance],Table20[Id_WorkLifeBalance])</f>
        <v>WLB002</v>
      </c>
      <c r="AY706">
        <v>3</v>
      </c>
      <c r="AZ706" t="str">
        <f>_xlfn.XLOOKUP(Table1[[#This Row],[WorkLifeBalance]],Table20[WorkLifeBalance],Table20[Deskripsi])</f>
        <v>Good</v>
      </c>
      <c r="BA706">
        <v>10</v>
      </c>
      <c r="BB706">
        <v>9</v>
      </c>
      <c r="BC706">
        <v>0</v>
      </c>
      <c r="BD706">
        <v>8</v>
      </c>
    </row>
    <row r="707" spans="1:56" x14ac:dyDescent="0.25">
      <c r="A707">
        <v>39</v>
      </c>
      <c r="B707" t="str">
        <f>_xlfn.XLOOKUP(Table1[[#This Row],[Attrition]],Table2[Attrition],Table2[Id_Attrition])</f>
        <v>A002</v>
      </c>
      <c r="C707" t="s">
        <v>33</v>
      </c>
      <c r="D707" t="str">
        <f>_xlfn.XLOOKUP(Table1[[#This Row],[BusinessTravel]],Table5[BusinessTravel],Table5[Id_BusinessTravel])</f>
        <v>BS001</v>
      </c>
      <c r="E707" t="s">
        <v>34</v>
      </c>
      <c r="F707">
        <v>903</v>
      </c>
      <c r="G707" t="str">
        <f>_xlfn.XLOOKUP(Table1[[#This Row],[Department]],Table6[Department],Table6[Id_Departement])</f>
        <v>D001</v>
      </c>
      <c r="H707" t="s">
        <v>37</v>
      </c>
      <c r="I707">
        <v>2</v>
      </c>
      <c r="J707" t="str">
        <f>_xlfn.XLOOKUP(Table1[[#This Row],[Education]],Table8[Education],Table8[Id_Education])</f>
        <v>E005</v>
      </c>
      <c r="K707">
        <v>5</v>
      </c>
      <c r="L707" t="str">
        <f>_xlfn.XLOOKUP(Table1[[#This Row],[EducationField]],Table7[EducationField],Table7[Id_EducationField])</f>
        <v>EF001</v>
      </c>
      <c r="M707" t="s">
        <v>40</v>
      </c>
      <c r="N707" t="str">
        <f>_xlfn.XLOOKUP(Table1[[#This Row],[EmployeeNumber]],Table4[EmployeeNumber],Table4[Id_Employee])</f>
        <v>EMP00706</v>
      </c>
      <c r="O707">
        <v>985</v>
      </c>
      <c r="P707" t="str">
        <f>_xlfn.XLOOKUP(Table1[[#This Row],[EnvironmentSatisfaction]],Table9[EnvironmentSatisfaction],Table9[Id_EnviromentSatisfaction])</f>
        <v>ES001</v>
      </c>
      <c r="Q707">
        <v>1</v>
      </c>
      <c r="R707" t="str">
        <f>_xlfn.XLOOKUP(Table1[[#This Row],[EnvironmentSatisfaction]],Table9[EnvironmentSatisfaction],Table9[Deskripsi])</f>
        <v>Low</v>
      </c>
      <c r="S707" t="str">
        <f>_xlfn.XLOOKUP(Table1[[#This Row],[Gender]],Table10[Gender],Table10[Id_Gender])</f>
        <v>G002</v>
      </c>
      <c r="T707" t="s">
        <v>46</v>
      </c>
      <c r="U707">
        <v>41</v>
      </c>
      <c r="V707" t="str">
        <f>_xlfn.XLOOKUP(Table1[[#This Row],[JobInvolvement]],Table11[JobInvolvement],Table11[Id_JobInvolvement])</f>
        <v>JI004</v>
      </c>
      <c r="W707">
        <v>4</v>
      </c>
      <c r="X707" t="str">
        <f>_xlfn.XLOOKUP(Table1[[#This Row],[JobLevel]],Table12[JobLevel],Table12[Id_JobLevel])</f>
        <v>JL003</v>
      </c>
      <c r="Y707">
        <v>3</v>
      </c>
      <c r="Z707" t="str">
        <f>_xlfn.XLOOKUP(Table1[[#This Row],[JobRole]],Table13[JobRole],Table13[Id_JobRole])</f>
        <v>JR001</v>
      </c>
      <c r="AA707" t="s">
        <v>47</v>
      </c>
      <c r="AB707" t="str">
        <f>_xlfn.XLOOKUP(Table1[[#This Row],[JobSatisfaction]],Table14[JobSatisfaction],Table14[Id_JobSatisfaction])</f>
        <v>JS003</v>
      </c>
      <c r="AC707">
        <v>3</v>
      </c>
      <c r="AD707" t="str">
        <f>_xlfn.XLOOKUP(Table1[[#This Row],[JobSatisfaction]],Table14[JobSatisfaction],Table14[Deskripsi])</f>
        <v>High</v>
      </c>
      <c r="AE707" t="str">
        <f>_xlfn.XLOOKUP(Table1[[#This Row],[MaritalStatus]],Table15[MaritalStatus],Table15[Id_MaritalStatus])</f>
        <v>MS001</v>
      </c>
      <c r="AF707" t="s">
        <v>55</v>
      </c>
      <c r="AG707">
        <v>7880</v>
      </c>
      <c r="AH707">
        <v>2560</v>
      </c>
      <c r="AI707">
        <v>0</v>
      </c>
      <c r="AJ707" t="str">
        <f>_xlfn.XLOOKUP(Table1[[#This Row],[OverTime]],Table16[OverTime],Table16[Id_OverTime])</f>
        <v>OT002</v>
      </c>
      <c r="AK707" t="s">
        <v>33</v>
      </c>
      <c r="AL707">
        <v>18</v>
      </c>
      <c r="AM707" t="str">
        <f>_xlfn.XLOOKUP(Table1[[#This Row],[PerformanceRating]],Table17[PerformanceRating],Table17[Id_PerformanceRating])</f>
        <v>PR003</v>
      </c>
      <c r="AN707">
        <v>3</v>
      </c>
      <c r="AO707" t="str">
        <f>_xlfn.XLOOKUP(Table1[[#This Row],[PerformanceRating]],Table17[PerformanceRating],Table17[Deskripsi])</f>
        <v>Excellent</v>
      </c>
      <c r="AP707" t="str">
        <f>_xlfn.XLOOKUP(Table1[[#This Row],[RelationshipSatisfaction]],Table18[RelationshipSatisfaction],Table18[Id_RelationshipSatisfaction])</f>
        <v>RS004</v>
      </c>
      <c r="AQ707">
        <v>4</v>
      </c>
      <c r="AR707" t="str">
        <f>_xlfn.XLOOKUP(Table1[[#This Row],[RelationshipSatisfaction]],Table18[RelationshipSatisfaction],Table18[Deskripsi])</f>
        <v>Very High</v>
      </c>
      <c r="AS707" t="str">
        <f>_xlfn.XLOOKUP(Table1[[#This Row],[StockOptionLevel]],Table19[StockOptionLevel],Table19[Id_StockOptionLevel])</f>
        <v>SOL001</v>
      </c>
      <c r="AT707">
        <v>0</v>
      </c>
      <c r="AU707" t="str">
        <f>_xlfn.XLOOKUP(Table1[[#This Row],[StockOptionLevel]],Table19[StockOptionLevel],Table19[Deskripsi])</f>
        <v>Non-Eligible</v>
      </c>
      <c r="AV707">
        <v>9</v>
      </c>
      <c r="AW707">
        <v>3</v>
      </c>
      <c r="AX707" t="str">
        <f>_xlfn.XLOOKUP(Table1[[#This Row],[WorkLifeBalance]],Table20[WorkLifeBalance],Table20[Id_WorkLifeBalance])</f>
        <v>WLB002</v>
      </c>
      <c r="AY707">
        <v>3</v>
      </c>
      <c r="AZ707" t="str">
        <f>_xlfn.XLOOKUP(Table1[[#This Row],[WorkLifeBalance]],Table20[WorkLifeBalance],Table20[Deskripsi])</f>
        <v>Good</v>
      </c>
      <c r="BA707">
        <v>8</v>
      </c>
      <c r="BB707">
        <v>7</v>
      </c>
      <c r="BC707">
        <v>0</v>
      </c>
      <c r="BD707">
        <v>7</v>
      </c>
    </row>
    <row r="708" spans="1:56" x14ac:dyDescent="0.25">
      <c r="A708">
        <v>40</v>
      </c>
      <c r="B708" t="str">
        <f>_xlfn.XLOOKUP(Table1[[#This Row],[Attrition]],Table2[Attrition],Table2[Id_Attrition])</f>
        <v>A001</v>
      </c>
      <c r="C708" t="s">
        <v>32</v>
      </c>
      <c r="D708" t="str">
        <f>_xlfn.XLOOKUP(Table1[[#This Row],[BusinessTravel]],Table5[BusinessTravel],Table5[Id_BusinessTravel])</f>
        <v>BS003</v>
      </c>
      <c r="E708" t="s">
        <v>36</v>
      </c>
      <c r="F708">
        <v>1479</v>
      </c>
      <c r="G708" t="str">
        <f>_xlfn.XLOOKUP(Table1[[#This Row],[Department]],Table6[Department],Table6[Id_Departement])</f>
        <v>D001</v>
      </c>
      <c r="H708" t="s">
        <v>37</v>
      </c>
      <c r="I708">
        <v>24</v>
      </c>
      <c r="J708" t="str">
        <f>_xlfn.XLOOKUP(Table1[[#This Row],[Education]],Table8[Education],Table8[Id_Education])</f>
        <v>E003</v>
      </c>
      <c r="K708">
        <v>3</v>
      </c>
      <c r="L708" t="str">
        <f>_xlfn.XLOOKUP(Table1[[#This Row],[EducationField]],Table7[EducationField],Table7[Id_EducationField])</f>
        <v>EF001</v>
      </c>
      <c r="M708" t="s">
        <v>40</v>
      </c>
      <c r="N708" t="str">
        <f>_xlfn.XLOOKUP(Table1[[#This Row],[EmployeeNumber]],Table4[EmployeeNumber],Table4[Id_Employee])</f>
        <v>EMP00707</v>
      </c>
      <c r="O708">
        <v>986</v>
      </c>
      <c r="P708" t="str">
        <f>_xlfn.XLOOKUP(Table1[[#This Row],[EnvironmentSatisfaction]],Table9[EnvironmentSatisfaction],Table9[Id_EnviromentSatisfaction])</f>
        <v>ES002</v>
      </c>
      <c r="Q708">
        <v>2</v>
      </c>
      <c r="R708" t="str">
        <f>_xlfn.XLOOKUP(Table1[[#This Row],[EnvironmentSatisfaction]],Table9[EnvironmentSatisfaction],Table9[Deskripsi])</f>
        <v>Medium</v>
      </c>
      <c r="S708" t="str">
        <f>_xlfn.XLOOKUP(Table1[[#This Row],[Gender]],Table10[Gender],Table10[Id_Gender])</f>
        <v>G001</v>
      </c>
      <c r="T708" t="s">
        <v>45</v>
      </c>
      <c r="U708">
        <v>100</v>
      </c>
      <c r="V708" t="str">
        <f>_xlfn.XLOOKUP(Table1[[#This Row],[JobInvolvement]],Table11[JobInvolvement],Table11[Id_JobInvolvement])</f>
        <v>JI004</v>
      </c>
      <c r="W708">
        <v>4</v>
      </c>
      <c r="X708" t="str">
        <f>_xlfn.XLOOKUP(Table1[[#This Row],[JobLevel]],Table12[JobLevel],Table12[Id_JobLevel])</f>
        <v>JL004</v>
      </c>
      <c r="Y708">
        <v>4</v>
      </c>
      <c r="Z708" t="str">
        <f>_xlfn.XLOOKUP(Table1[[#This Row],[JobRole]],Table13[JobRole],Table13[Id_JobRole])</f>
        <v>JR001</v>
      </c>
      <c r="AA708" t="s">
        <v>47</v>
      </c>
      <c r="AB708" t="str">
        <f>_xlfn.XLOOKUP(Table1[[#This Row],[JobSatisfaction]],Table14[JobSatisfaction],Table14[Id_JobSatisfaction])</f>
        <v>JS002</v>
      </c>
      <c r="AC708">
        <v>2</v>
      </c>
      <c r="AD708" t="str">
        <f>_xlfn.XLOOKUP(Table1[[#This Row],[JobSatisfaction]],Table14[JobSatisfaction],Table14[Deskripsi])</f>
        <v>Medium</v>
      </c>
      <c r="AE708" t="str">
        <f>_xlfn.XLOOKUP(Table1[[#This Row],[MaritalStatus]],Table15[MaritalStatus],Table15[Id_MaritalStatus])</f>
        <v>MS001</v>
      </c>
      <c r="AF708" t="s">
        <v>55</v>
      </c>
      <c r="AG708">
        <v>13194</v>
      </c>
      <c r="AH708">
        <v>17071</v>
      </c>
      <c r="AI708">
        <v>4</v>
      </c>
      <c r="AJ708" t="str">
        <f>_xlfn.XLOOKUP(Table1[[#This Row],[OverTime]],Table16[OverTime],Table16[Id_OverTime])</f>
        <v>OT001</v>
      </c>
      <c r="AK708" t="s">
        <v>32</v>
      </c>
      <c r="AL708">
        <v>16</v>
      </c>
      <c r="AM708" t="str">
        <f>_xlfn.XLOOKUP(Table1[[#This Row],[PerformanceRating]],Table17[PerformanceRating],Table17[Id_PerformanceRating])</f>
        <v>PR003</v>
      </c>
      <c r="AN708">
        <v>3</v>
      </c>
      <c r="AO708" t="str">
        <f>_xlfn.XLOOKUP(Table1[[#This Row],[PerformanceRating]],Table17[PerformanceRating],Table17[Deskripsi])</f>
        <v>Excellent</v>
      </c>
      <c r="AP708" t="str">
        <f>_xlfn.XLOOKUP(Table1[[#This Row],[RelationshipSatisfaction]],Table18[RelationshipSatisfaction],Table18[Id_RelationshipSatisfaction])</f>
        <v>RS004</v>
      </c>
      <c r="AQ708">
        <v>4</v>
      </c>
      <c r="AR708" t="str">
        <f>_xlfn.XLOOKUP(Table1[[#This Row],[RelationshipSatisfaction]],Table18[RelationshipSatisfaction],Table18[Deskripsi])</f>
        <v>Very High</v>
      </c>
      <c r="AS708" t="str">
        <f>_xlfn.XLOOKUP(Table1[[#This Row],[StockOptionLevel]],Table19[StockOptionLevel],Table19[Id_StockOptionLevel])</f>
        <v>SOL001</v>
      </c>
      <c r="AT708">
        <v>0</v>
      </c>
      <c r="AU708" t="str">
        <f>_xlfn.XLOOKUP(Table1[[#This Row],[StockOptionLevel]],Table19[StockOptionLevel],Table19[Deskripsi])</f>
        <v>Non-Eligible</v>
      </c>
      <c r="AV708">
        <v>22</v>
      </c>
      <c r="AW708">
        <v>2</v>
      </c>
      <c r="AX708" t="str">
        <f>_xlfn.XLOOKUP(Table1[[#This Row],[WorkLifeBalance]],Table20[WorkLifeBalance],Table20[Id_WorkLifeBalance])</f>
        <v>WLB003</v>
      </c>
      <c r="AY708">
        <v>2</v>
      </c>
      <c r="AZ708" t="str">
        <f>_xlfn.XLOOKUP(Table1[[#This Row],[WorkLifeBalance]],Table20[WorkLifeBalance],Table20[Deskripsi])</f>
        <v>Better</v>
      </c>
      <c r="BA708">
        <v>1</v>
      </c>
      <c r="BB708">
        <v>0</v>
      </c>
      <c r="BC708">
        <v>0</v>
      </c>
      <c r="BD708">
        <v>0</v>
      </c>
    </row>
    <row r="709" spans="1:56" x14ac:dyDescent="0.25">
      <c r="A709">
        <v>47</v>
      </c>
      <c r="B709" t="str">
        <f>_xlfn.XLOOKUP(Table1[[#This Row],[Attrition]],Table2[Attrition],Table2[Id_Attrition])</f>
        <v>A002</v>
      </c>
      <c r="C709" t="s">
        <v>33</v>
      </c>
      <c r="D709" t="str">
        <f>_xlfn.XLOOKUP(Table1[[#This Row],[BusinessTravel]],Table5[BusinessTravel],Table5[Id_BusinessTravel])</f>
        <v>BS002</v>
      </c>
      <c r="E709" t="s">
        <v>35</v>
      </c>
      <c r="F709">
        <v>1379</v>
      </c>
      <c r="G709" t="str">
        <f>_xlfn.XLOOKUP(Table1[[#This Row],[Department]],Table6[Department],Table6[Id_Departement])</f>
        <v>D002</v>
      </c>
      <c r="H709" t="s">
        <v>38</v>
      </c>
      <c r="I709">
        <v>16</v>
      </c>
      <c r="J709" t="str">
        <f>_xlfn.XLOOKUP(Table1[[#This Row],[Education]],Table8[Education],Table8[Id_Education])</f>
        <v>E004</v>
      </c>
      <c r="K709">
        <v>4</v>
      </c>
      <c r="L709" t="str">
        <f>_xlfn.XLOOKUP(Table1[[#This Row],[EducationField]],Table7[EducationField],Table7[Id_EducationField])</f>
        <v>EF003</v>
      </c>
      <c r="M709" t="s">
        <v>42</v>
      </c>
      <c r="N709" t="str">
        <f>_xlfn.XLOOKUP(Table1[[#This Row],[EmployeeNumber]],Table4[EmployeeNumber],Table4[Id_Employee])</f>
        <v>EMP00708</v>
      </c>
      <c r="O709">
        <v>987</v>
      </c>
      <c r="P709" t="str">
        <f>_xlfn.XLOOKUP(Table1[[#This Row],[EnvironmentSatisfaction]],Table9[EnvironmentSatisfaction],Table9[Id_EnviromentSatisfaction])</f>
        <v>ES003</v>
      </c>
      <c r="Q709">
        <v>3</v>
      </c>
      <c r="R709" t="str">
        <f>_xlfn.XLOOKUP(Table1[[#This Row],[EnvironmentSatisfaction]],Table9[EnvironmentSatisfaction],Table9[Deskripsi])</f>
        <v>High</v>
      </c>
      <c r="S709" t="str">
        <f>_xlfn.XLOOKUP(Table1[[#This Row],[Gender]],Table10[Gender],Table10[Id_Gender])</f>
        <v>G002</v>
      </c>
      <c r="T709" t="s">
        <v>46</v>
      </c>
      <c r="U709">
        <v>64</v>
      </c>
      <c r="V709" t="str">
        <f>_xlfn.XLOOKUP(Table1[[#This Row],[JobInvolvement]],Table11[JobInvolvement],Table11[Id_JobInvolvement])</f>
        <v>JI004</v>
      </c>
      <c r="W709">
        <v>4</v>
      </c>
      <c r="X709" t="str">
        <f>_xlfn.XLOOKUP(Table1[[#This Row],[JobLevel]],Table12[JobLevel],Table12[Id_JobLevel])</f>
        <v>JL002</v>
      </c>
      <c r="Y709">
        <v>2</v>
      </c>
      <c r="Z709" t="str">
        <f>_xlfn.XLOOKUP(Table1[[#This Row],[JobRole]],Table13[JobRole],Table13[Id_JobRole])</f>
        <v>JR004</v>
      </c>
      <c r="AA709" t="s">
        <v>50</v>
      </c>
      <c r="AB709" t="str">
        <f>_xlfn.XLOOKUP(Table1[[#This Row],[JobSatisfaction]],Table14[JobSatisfaction],Table14[Id_JobSatisfaction])</f>
        <v>JS003</v>
      </c>
      <c r="AC709">
        <v>3</v>
      </c>
      <c r="AD709" t="str">
        <f>_xlfn.XLOOKUP(Table1[[#This Row],[JobSatisfaction]],Table14[JobSatisfaction],Table14[Deskripsi])</f>
        <v>High</v>
      </c>
      <c r="AE709" t="str">
        <f>_xlfn.XLOOKUP(Table1[[#This Row],[MaritalStatus]],Table15[MaritalStatus],Table15[Id_MaritalStatus])</f>
        <v>MS003</v>
      </c>
      <c r="AF709" t="s">
        <v>57</v>
      </c>
      <c r="AG709">
        <v>5067</v>
      </c>
      <c r="AH709">
        <v>6759</v>
      </c>
      <c r="AI709">
        <v>1</v>
      </c>
      <c r="AJ709" t="str">
        <f>_xlfn.XLOOKUP(Table1[[#This Row],[OverTime]],Table16[OverTime],Table16[Id_OverTime])</f>
        <v>OT001</v>
      </c>
      <c r="AK709" t="s">
        <v>32</v>
      </c>
      <c r="AL709">
        <v>19</v>
      </c>
      <c r="AM709" t="str">
        <f>_xlfn.XLOOKUP(Table1[[#This Row],[PerformanceRating]],Table17[PerformanceRating],Table17[Id_PerformanceRating])</f>
        <v>PR003</v>
      </c>
      <c r="AN709">
        <v>3</v>
      </c>
      <c r="AO709" t="str">
        <f>_xlfn.XLOOKUP(Table1[[#This Row],[PerformanceRating]],Table17[PerformanceRating],Table17[Deskripsi])</f>
        <v>Excellent</v>
      </c>
      <c r="AP709" t="str">
        <f>_xlfn.XLOOKUP(Table1[[#This Row],[RelationshipSatisfaction]],Table18[RelationshipSatisfaction],Table18[Id_RelationshipSatisfaction])</f>
        <v>RS003</v>
      </c>
      <c r="AQ709">
        <v>3</v>
      </c>
      <c r="AR709" t="str">
        <f>_xlfn.XLOOKUP(Table1[[#This Row],[RelationshipSatisfaction]],Table18[RelationshipSatisfaction],Table18[Deskripsi])</f>
        <v>High</v>
      </c>
      <c r="AS709" t="str">
        <f>_xlfn.XLOOKUP(Table1[[#This Row],[StockOptionLevel]],Table19[StockOptionLevel],Table19[Id_StockOptionLevel])</f>
        <v>SOL001</v>
      </c>
      <c r="AT709">
        <v>0</v>
      </c>
      <c r="AU709" t="str">
        <f>_xlfn.XLOOKUP(Table1[[#This Row],[StockOptionLevel]],Table19[StockOptionLevel],Table19[Deskripsi])</f>
        <v>Non-Eligible</v>
      </c>
      <c r="AV709">
        <v>20</v>
      </c>
      <c r="AW709">
        <v>3</v>
      </c>
      <c r="AX709" t="str">
        <f>_xlfn.XLOOKUP(Table1[[#This Row],[WorkLifeBalance]],Table20[WorkLifeBalance],Table20[Id_WorkLifeBalance])</f>
        <v>WLB004</v>
      </c>
      <c r="AY709">
        <v>4</v>
      </c>
      <c r="AZ709" t="str">
        <f>_xlfn.XLOOKUP(Table1[[#This Row],[WorkLifeBalance]],Table20[WorkLifeBalance],Table20[Deskripsi])</f>
        <v>Best</v>
      </c>
      <c r="BA709">
        <v>19</v>
      </c>
      <c r="BB709">
        <v>10</v>
      </c>
      <c r="BC709">
        <v>2</v>
      </c>
      <c r="BD709">
        <v>7</v>
      </c>
    </row>
    <row r="710" spans="1:56" x14ac:dyDescent="0.25">
      <c r="A710">
        <v>36</v>
      </c>
      <c r="B710" t="str">
        <f>_xlfn.XLOOKUP(Table1[[#This Row],[Attrition]],Table2[Attrition],Table2[Id_Attrition])</f>
        <v>A002</v>
      </c>
      <c r="C710" t="s">
        <v>33</v>
      </c>
      <c r="D710" t="str">
        <f>_xlfn.XLOOKUP(Table1[[#This Row],[BusinessTravel]],Table5[BusinessTravel],Table5[Id_BusinessTravel])</f>
        <v>BS003</v>
      </c>
      <c r="E710" t="s">
        <v>36</v>
      </c>
      <c r="F710">
        <v>1229</v>
      </c>
      <c r="G710" t="str">
        <f>_xlfn.XLOOKUP(Table1[[#This Row],[Department]],Table6[Department],Table6[Id_Departement])</f>
        <v>D001</v>
      </c>
      <c r="H710" t="s">
        <v>37</v>
      </c>
      <c r="I710">
        <v>8</v>
      </c>
      <c r="J710" t="str">
        <f>_xlfn.XLOOKUP(Table1[[#This Row],[Education]],Table8[Education],Table8[Id_Education])</f>
        <v>E004</v>
      </c>
      <c r="K710">
        <v>4</v>
      </c>
      <c r="L710" t="str">
        <f>_xlfn.XLOOKUP(Table1[[#This Row],[EducationField]],Table7[EducationField],Table7[Id_EducationField])</f>
        <v>EF005</v>
      </c>
      <c r="M710" t="s">
        <v>44</v>
      </c>
      <c r="N710" t="str">
        <f>_xlfn.XLOOKUP(Table1[[#This Row],[EmployeeNumber]],Table4[EmployeeNumber],Table4[Id_Employee])</f>
        <v>EMP00709</v>
      </c>
      <c r="O710">
        <v>990</v>
      </c>
      <c r="P710" t="str">
        <f>_xlfn.XLOOKUP(Table1[[#This Row],[EnvironmentSatisfaction]],Table9[EnvironmentSatisfaction],Table9[Id_EnviromentSatisfaction])</f>
        <v>ES001</v>
      </c>
      <c r="Q710">
        <v>1</v>
      </c>
      <c r="R710" t="str">
        <f>_xlfn.XLOOKUP(Table1[[#This Row],[EnvironmentSatisfaction]],Table9[EnvironmentSatisfaction],Table9[Deskripsi])</f>
        <v>Low</v>
      </c>
      <c r="S710" t="str">
        <f>_xlfn.XLOOKUP(Table1[[#This Row],[Gender]],Table10[Gender],Table10[Id_Gender])</f>
        <v>G002</v>
      </c>
      <c r="T710" t="s">
        <v>46</v>
      </c>
      <c r="U710">
        <v>84</v>
      </c>
      <c r="V710" t="str">
        <f>_xlfn.XLOOKUP(Table1[[#This Row],[JobInvolvement]],Table11[JobInvolvement],Table11[Id_JobInvolvement])</f>
        <v>JI003</v>
      </c>
      <c r="W710">
        <v>3</v>
      </c>
      <c r="X710" t="str">
        <f>_xlfn.XLOOKUP(Table1[[#This Row],[JobLevel]],Table12[JobLevel],Table12[Id_JobLevel])</f>
        <v>JL002</v>
      </c>
      <c r="Y710">
        <v>2</v>
      </c>
      <c r="Z710" t="str">
        <f>_xlfn.XLOOKUP(Table1[[#This Row],[JobRole]],Table13[JobRole],Table13[Id_JobRole])</f>
        <v>JR001</v>
      </c>
      <c r="AA710" t="s">
        <v>47</v>
      </c>
      <c r="AB710" t="str">
        <f>_xlfn.XLOOKUP(Table1[[#This Row],[JobSatisfaction]],Table14[JobSatisfaction],Table14[Id_JobSatisfaction])</f>
        <v>JS004</v>
      </c>
      <c r="AC710">
        <v>4</v>
      </c>
      <c r="AD710" t="str">
        <f>_xlfn.XLOOKUP(Table1[[#This Row],[JobSatisfaction]],Table14[JobSatisfaction],Table14[Deskripsi])</f>
        <v>Very High</v>
      </c>
      <c r="AE710" t="str">
        <f>_xlfn.XLOOKUP(Table1[[#This Row],[MaritalStatus]],Table15[MaritalStatus],Table15[Id_MaritalStatus])</f>
        <v>MS003</v>
      </c>
      <c r="AF710" t="s">
        <v>57</v>
      </c>
      <c r="AG710">
        <v>5079</v>
      </c>
      <c r="AH710">
        <v>25952</v>
      </c>
      <c r="AI710">
        <v>4</v>
      </c>
      <c r="AJ710" t="str">
        <f>_xlfn.XLOOKUP(Table1[[#This Row],[OverTime]],Table16[OverTime],Table16[Id_OverTime])</f>
        <v>OT002</v>
      </c>
      <c r="AK710" t="s">
        <v>33</v>
      </c>
      <c r="AL710">
        <v>13</v>
      </c>
      <c r="AM710" t="str">
        <f>_xlfn.XLOOKUP(Table1[[#This Row],[PerformanceRating]],Table17[PerformanceRating],Table17[Id_PerformanceRating])</f>
        <v>PR003</v>
      </c>
      <c r="AN710">
        <v>3</v>
      </c>
      <c r="AO710" t="str">
        <f>_xlfn.XLOOKUP(Table1[[#This Row],[PerformanceRating]],Table17[PerformanceRating],Table17[Deskripsi])</f>
        <v>Excellent</v>
      </c>
      <c r="AP710" t="str">
        <f>_xlfn.XLOOKUP(Table1[[#This Row],[RelationshipSatisfaction]],Table18[RelationshipSatisfaction],Table18[Id_RelationshipSatisfaction])</f>
        <v>RS004</v>
      </c>
      <c r="AQ710">
        <v>4</v>
      </c>
      <c r="AR710" t="str">
        <f>_xlfn.XLOOKUP(Table1[[#This Row],[RelationshipSatisfaction]],Table18[RelationshipSatisfaction],Table18[Deskripsi])</f>
        <v>Very High</v>
      </c>
      <c r="AS710" t="str">
        <f>_xlfn.XLOOKUP(Table1[[#This Row],[StockOptionLevel]],Table19[StockOptionLevel],Table19[Id_StockOptionLevel])</f>
        <v>SOL003</v>
      </c>
      <c r="AT710">
        <v>2</v>
      </c>
      <c r="AU710" t="str">
        <f>_xlfn.XLOOKUP(Table1[[#This Row],[StockOptionLevel]],Table19[StockOptionLevel],Table19[Deskripsi])</f>
        <v>Intermediate</v>
      </c>
      <c r="AV710">
        <v>12</v>
      </c>
      <c r="AW710">
        <v>3</v>
      </c>
      <c r="AX710" t="str">
        <f>_xlfn.XLOOKUP(Table1[[#This Row],[WorkLifeBalance]],Table20[WorkLifeBalance],Table20[Id_WorkLifeBalance])</f>
        <v>WLB002</v>
      </c>
      <c r="AY710">
        <v>3</v>
      </c>
      <c r="AZ710" t="str">
        <f>_xlfn.XLOOKUP(Table1[[#This Row],[WorkLifeBalance]],Table20[WorkLifeBalance],Table20[Deskripsi])</f>
        <v>Good</v>
      </c>
      <c r="BA710">
        <v>7</v>
      </c>
      <c r="BB710">
        <v>7</v>
      </c>
      <c r="BC710">
        <v>0</v>
      </c>
      <c r="BD710">
        <v>7</v>
      </c>
    </row>
    <row r="711" spans="1:56" x14ac:dyDescent="0.25">
      <c r="A711">
        <v>31</v>
      </c>
      <c r="B711" t="str">
        <f>_xlfn.XLOOKUP(Table1[[#This Row],[Attrition]],Table2[Attrition],Table2[Id_Attrition])</f>
        <v>A001</v>
      </c>
      <c r="C711" t="s">
        <v>32</v>
      </c>
      <c r="D711" t="str">
        <f>_xlfn.XLOOKUP(Table1[[#This Row],[BusinessTravel]],Table5[BusinessTravel],Table5[Id_BusinessTravel])</f>
        <v>BS003</v>
      </c>
      <c r="E711" t="s">
        <v>36</v>
      </c>
      <c r="F711">
        <v>335</v>
      </c>
      <c r="G711" t="str">
        <f>_xlfn.XLOOKUP(Table1[[#This Row],[Department]],Table6[Department],Table6[Id_Departement])</f>
        <v>D002</v>
      </c>
      <c r="H711" t="s">
        <v>38</v>
      </c>
      <c r="I711">
        <v>9</v>
      </c>
      <c r="J711" t="str">
        <f>_xlfn.XLOOKUP(Table1[[#This Row],[Education]],Table8[Education],Table8[Id_Education])</f>
        <v>E002</v>
      </c>
      <c r="K711">
        <v>2</v>
      </c>
      <c r="L711" t="str">
        <f>_xlfn.XLOOKUP(Table1[[#This Row],[EducationField]],Table7[EducationField],Table7[Id_EducationField])</f>
        <v>EF003</v>
      </c>
      <c r="M711" t="s">
        <v>42</v>
      </c>
      <c r="N711" t="str">
        <f>_xlfn.XLOOKUP(Table1[[#This Row],[EmployeeNumber]],Table4[EmployeeNumber],Table4[Id_Employee])</f>
        <v>EMP00710</v>
      </c>
      <c r="O711">
        <v>991</v>
      </c>
      <c r="P711" t="str">
        <f>_xlfn.XLOOKUP(Table1[[#This Row],[EnvironmentSatisfaction]],Table9[EnvironmentSatisfaction],Table9[Id_EnviromentSatisfaction])</f>
        <v>ES003</v>
      </c>
      <c r="Q711">
        <v>3</v>
      </c>
      <c r="R711" t="str">
        <f>_xlfn.XLOOKUP(Table1[[#This Row],[EnvironmentSatisfaction]],Table9[EnvironmentSatisfaction],Table9[Deskripsi])</f>
        <v>High</v>
      </c>
      <c r="S711" t="str">
        <f>_xlfn.XLOOKUP(Table1[[#This Row],[Gender]],Table10[Gender],Table10[Id_Gender])</f>
        <v>G002</v>
      </c>
      <c r="T711" t="s">
        <v>46</v>
      </c>
      <c r="U711">
        <v>46</v>
      </c>
      <c r="V711" t="str">
        <f>_xlfn.XLOOKUP(Table1[[#This Row],[JobInvolvement]],Table11[JobInvolvement],Table11[Id_JobInvolvement])</f>
        <v>JI002</v>
      </c>
      <c r="W711">
        <v>2</v>
      </c>
      <c r="X711" t="str">
        <f>_xlfn.XLOOKUP(Table1[[#This Row],[JobLevel]],Table12[JobLevel],Table12[Id_JobLevel])</f>
        <v>JL001</v>
      </c>
      <c r="Y711">
        <v>1</v>
      </c>
      <c r="Z711" t="str">
        <f>_xlfn.XLOOKUP(Table1[[#This Row],[JobRole]],Table13[JobRole],Table13[Id_JobRole])</f>
        <v>JR002</v>
      </c>
      <c r="AA711" t="s">
        <v>48</v>
      </c>
      <c r="AB711" t="str">
        <f>_xlfn.XLOOKUP(Table1[[#This Row],[JobSatisfaction]],Table14[JobSatisfaction],Table14[Id_JobSatisfaction])</f>
        <v>JS001</v>
      </c>
      <c r="AC711">
        <v>1</v>
      </c>
      <c r="AD711" t="str">
        <f>_xlfn.XLOOKUP(Table1[[#This Row],[JobSatisfaction]],Table14[JobSatisfaction],Table14[Deskripsi])</f>
        <v>Low</v>
      </c>
      <c r="AE711" t="str">
        <f>_xlfn.XLOOKUP(Table1[[#This Row],[MaritalStatus]],Table15[MaritalStatus],Table15[Id_MaritalStatus])</f>
        <v>MS001</v>
      </c>
      <c r="AF711" t="s">
        <v>55</v>
      </c>
      <c r="AG711">
        <v>2321</v>
      </c>
      <c r="AH711">
        <v>10322</v>
      </c>
      <c r="AI711">
        <v>0</v>
      </c>
      <c r="AJ711" t="str">
        <f>_xlfn.XLOOKUP(Table1[[#This Row],[OverTime]],Table16[OverTime],Table16[Id_OverTime])</f>
        <v>OT001</v>
      </c>
      <c r="AK711" t="s">
        <v>32</v>
      </c>
      <c r="AL711">
        <v>22</v>
      </c>
      <c r="AM711" t="str">
        <f>_xlfn.XLOOKUP(Table1[[#This Row],[PerformanceRating]],Table17[PerformanceRating],Table17[Id_PerformanceRating])</f>
        <v>PR004</v>
      </c>
      <c r="AN711">
        <v>4</v>
      </c>
      <c r="AO711" t="str">
        <f>_xlfn.XLOOKUP(Table1[[#This Row],[PerformanceRating]],Table17[PerformanceRating],Table17[Deskripsi])</f>
        <v>Outstanding</v>
      </c>
      <c r="AP711" t="str">
        <f>_xlfn.XLOOKUP(Table1[[#This Row],[RelationshipSatisfaction]],Table18[RelationshipSatisfaction],Table18[Id_RelationshipSatisfaction])</f>
        <v>RS001</v>
      </c>
      <c r="AQ711">
        <v>1</v>
      </c>
      <c r="AR711" t="str">
        <f>_xlfn.XLOOKUP(Table1[[#This Row],[RelationshipSatisfaction]],Table18[RelationshipSatisfaction],Table18[Deskripsi])</f>
        <v>Low</v>
      </c>
      <c r="AS711" t="str">
        <f>_xlfn.XLOOKUP(Table1[[#This Row],[StockOptionLevel]],Table19[StockOptionLevel],Table19[Id_StockOptionLevel])</f>
        <v>SOL001</v>
      </c>
      <c r="AT711">
        <v>0</v>
      </c>
      <c r="AU711" t="str">
        <f>_xlfn.XLOOKUP(Table1[[#This Row],[StockOptionLevel]],Table19[StockOptionLevel],Table19[Deskripsi])</f>
        <v>Non-Eligible</v>
      </c>
      <c r="AV711">
        <v>4</v>
      </c>
      <c r="AW711">
        <v>0</v>
      </c>
      <c r="AX711" t="str">
        <f>_xlfn.XLOOKUP(Table1[[#This Row],[WorkLifeBalance]],Table20[WorkLifeBalance],Table20[Id_WorkLifeBalance])</f>
        <v>WLB002</v>
      </c>
      <c r="AY711">
        <v>3</v>
      </c>
      <c r="AZ711" t="str">
        <f>_xlfn.XLOOKUP(Table1[[#This Row],[WorkLifeBalance]],Table20[WorkLifeBalance],Table20[Deskripsi])</f>
        <v>Good</v>
      </c>
      <c r="BA711">
        <v>3</v>
      </c>
      <c r="BB711">
        <v>2</v>
      </c>
      <c r="BC711">
        <v>1</v>
      </c>
      <c r="BD711">
        <v>2</v>
      </c>
    </row>
    <row r="712" spans="1:56" x14ac:dyDescent="0.25">
      <c r="A712">
        <v>33</v>
      </c>
      <c r="B712" t="str">
        <f>_xlfn.XLOOKUP(Table1[[#This Row],[Attrition]],Table2[Attrition],Table2[Id_Attrition])</f>
        <v>A002</v>
      </c>
      <c r="C712" t="s">
        <v>33</v>
      </c>
      <c r="D712" t="str">
        <f>_xlfn.XLOOKUP(Table1[[#This Row],[BusinessTravel]],Table5[BusinessTravel],Table5[Id_BusinessTravel])</f>
        <v>BS003</v>
      </c>
      <c r="E712" t="s">
        <v>36</v>
      </c>
      <c r="F712">
        <v>722</v>
      </c>
      <c r="G712" t="str">
        <f>_xlfn.XLOOKUP(Table1[[#This Row],[Department]],Table6[Department],Table6[Id_Departement])</f>
        <v>D001</v>
      </c>
      <c r="H712" t="s">
        <v>37</v>
      </c>
      <c r="I712">
        <v>17</v>
      </c>
      <c r="J712" t="str">
        <f>_xlfn.XLOOKUP(Table1[[#This Row],[Education]],Table8[Education],Table8[Id_Education])</f>
        <v>E003</v>
      </c>
      <c r="K712">
        <v>3</v>
      </c>
      <c r="L712" t="str">
        <f>_xlfn.XLOOKUP(Table1[[#This Row],[EducationField]],Table7[EducationField],Table7[Id_EducationField])</f>
        <v>EF001</v>
      </c>
      <c r="M712" t="s">
        <v>40</v>
      </c>
      <c r="N712" t="str">
        <f>_xlfn.XLOOKUP(Table1[[#This Row],[EmployeeNumber]],Table4[EmployeeNumber],Table4[Id_Employee])</f>
        <v>EMP00711</v>
      </c>
      <c r="O712">
        <v>992</v>
      </c>
      <c r="P712" t="str">
        <f>_xlfn.XLOOKUP(Table1[[#This Row],[EnvironmentSatisfaction]],Table9[EnvironmentSatisfaction],Table9[Id_EnviromentSatisfaction])</f>
        <v>ES004</v>
      </c>
      <c r="Q712">
        <v>4</v>
      </c>
      <c r="R712" t="str">
        <f>_xlfn.XLOOKUP(Table1[[#This Row],[EnvironmentSatisfaction]],Table9[EnvironmentSatisfaction],Table9[Deskripsi])</f>
        <v>Very High</v>
      </c>
      <c r="S712" t="str">
        <f>_xlfn.XLOOKUP(Table1[[#This Row],[Gender]],Table10[Gender],Table10[Id_Gender])</f>
        <v>G002</v>
      </c>
      <c r="T712" t="s">
        <v>46</v>
      </c>
      <c r="U712">
        <v>38</v>
      </c>
      <c r="V712" t="str">
        <f>_xlfn.XLOOKUP(Table1[[#This Row],[JobInvolvement]],Table11[JobInvolvement],Table11[Id_JobInvolvement])</f>
        <v>JI003</v>
      </c>
      <c r="W712">
        <v>3</v>
      </c>
      <c r="X712" t="str">
        <f>_xlfn.XLOOKUP(Table1[[#This Row],[JobLevel]],Table12[JobLevel],Table12[Id_JobLevel])</f>
        <v>JL004</v>
      </c>
      <c r="Y712">
        <v>4</v>
      </c>
      <c r="Z712" t="str">
        <f>_xlfn.XLOOKUP(Table1[[#This Row],[JobRole]],Table13[JobRole],Table13[Id_JobRole])</f>
        <v>JR006</v>
      </c>
      <c r="AA712" t="s">
        <v>52</v>
      </c>
      <c r="AB712" t="str">
        <f>_xlfn.XLOOKUP(Table1[[#This Row],[JobSatisfaction]],Table14[JobSatisfaction],Table14[Id_JobSatisfaction])</f>
        <v>JS003</v>
      </c>
      <c r="AC712">
        <v>3</v>
      </c>
      <c r="AD712" t="str">
        <f>_xlfn.XLOOKUP(Table1[[#This Row],[JobSatisfaction]],Table14[JobSatisfaction],Table14[Deskripsi])</f>
        <v>High</v>
      </c>
      <c r="AE712" t="str">
        <f>_xlfn.XLOOKUP(Table1[[#This Row],[MaritalStatus]],Table15[MaritalStatus],Table15[Id_MaritalStatus])</f>
        <v>MS001</v>
      </c>
      <c r="AF712" t="s">
        <v>55</v>
      </c>
      <c r="AG712">
        <v>17444</v>
      </c>
      <c r="AH712">
        <v>20489</v>
      </c>
      <c r="AI712">
        <v>1</v>
      </c>
      <c r="AJ712" t="str">
        <f>_xlfn.XLOOKUP(Table1[[#This Row],[OverTime]],Table16[OverTime],Table16[Id_OverTime])</f>
        <v>OT002</v>
      </c>
      <c r="AK712" t="s">
        <v>33</v>
      </c>
      <c r="AL712">
        <v>11</v>
      </c>
      <c r="AM712" t="str">
        <f>_xlfn.XLOOKUP(Table1[[#This Row],[PerformanceRating]],Table17[PerformanceRating],Table17[Id_PerformanceRating])</f>
        <v>PR003</v>
      </c>
      <c r="AN712">
        <v>3</v>
      </c>
      <c r="AO712" t="str">
        <f>_xlfn.XLOOKUP(Table1[[#This Row],[PerformanceRating]],Table17[PerformanceRating],Table17[Deskripsi])</f>
        <v>Excellent</v>
      </c>
      <c r="AP712" t="str">
        <f>_xlfn.XLOOKUP(Table1[[#This Row],[RelationshipSatisfaction]],Table18[RelationshipSatisfaction],Table18[Id_RelationshipSatisfaction])</f>
        <v>RS004</v>
      </c>
      <c r="AQ712">
        <v>4</v>
      </c>
      <c r="AR712" t="str">
        <f>_xlfn.XLOOKUP(Table1[[#This Row],[RelationshipSatisfaction]],Table18[RelationshipSatisfaction],Table18[Deskripsi])</f>
        <v>Very High</v>
      </c>
      <c r="AS712" t="str">
        <f>_xlfn.XLOOKUP(Table1[[#This Row],[StockOptionLevel]],Table19[StockOptionLevel],Table19[Id_StockOptionLevel])</f>
        <v>SOL001</v>
      </c>
      <c r="AT712">
        <v>0</v>
      </c>
      <c r="AU712" t="str">
        <f>_xlfn.XLOOKUP(Table1[[#This Row],[StockOptionLevel]],Table19[StockOptionLevel],Table19[Deskripsi])</f>
        <v>Non-Eligible</v>
      </c>
      <c r="AV712">
        <v>10</v>
      </c>
      <c r="AW712">
        <v>2</v>
      </c>
      <c r="AX712" t="str">
        <f>_xlfn.XLOOKUP(Table1[[#This Row],[WorkLifeBalance]],Table20[WorkLifeBalance],Table20[Id_WorkLifeBalance])</f>
        <v>WLB002</v>
      </c>
      <c r="AY712">
        <v>3</v>
      </c>
      <c r="AZ712" t="str">
        <f>_xlfn.XLOOKUP(Table1[[#This Row],[WorkLifeBalance]],Table20[WorkLifeBalance],Table20[Deskripsi])</f>
        <v>Good</v>
      </c>
      <c r="BA712">
        <v>10</v>
      </c>
      <c r="BB712">
        <v>8</v>
      </c>
      <c r="BC712">
        <v>6</v>
      </c>
      <c r="BD712">
        <v>0</v>
      </c>
    </row>
    <row r="713" spans="1:56" x14ac:dyDescent="0.25">
      <c r="A713">
        <v>29</v>
      </c>
      <c r="B713" t="str">
        <f>_xlfn.XLOOKUP(Table1[[#This Row],[Attrition]],Table2[Attrition],Table2[Id_Attrition])</f>
        <v>A001</v>
      </c>
      <c r="C713" t="s">
        <v>32</v>
      </c>
      <c r="D713" t="str">
        <f>_xlfn.XLOOKUP(Table1[[#This Row],[BusinessTravel]],Table5[BusinessTravel],Table5[Id_BusinessTravel])</f>
        <v>BS001</v>
      </c>
      <c r="E713" t="s">
        <v>34</v>
      </c>
      <c r="F713">
        <v>906</v>
      </c>
      <c r="G713" t="str">
        <f>_xlfn.XLOOKUP(Table1[[#This Row],[Department]],Table6[Department],Table6[Id_Departement])</f>
        <v>D002</v>
      </c>
      <c r="H713" t="s">
        <v>38</v>
      </c>
      <c r="I713">
        <v>10</v>
      </c>
      <c r="J713" t="str">
        <f>_xlfn.XLOOKUP(Table1[[#This Row],[Education]],Table8[Education],Table8[Id_Education])</f>
        <v>E003</v>
      </c>
      <c r="K713">
        <v>3</v>
      </c>
      <c r="L713" t="str">
        <f>_xlfn.XLOOKUP(Table1[[#This Row],[EducationField]],Table7[EducationField],Table7[Id_EducationField])</f>
        <v>EF001</v>
      </c>
      <c r="M713" t="s">
        <v>40</v>
      </c>
      <c r="N713" t="str">
        <f>_xlfn.XLOOKUP(Table1[[#This Row],[EmployeeNumber]],Table4[EmployeeNumber],Table4[Id_Employee])</f>
        <v>EMP00712</v>
      </c>
      <c r="O713">
        <v>994</v>
      </c>
      <c r="P713" t="str">
        <f>_xlfn.XLOOKUP(Table1[[#This Row],[EnvironmentSatisfaction]],Table9[EnvironmentSatisfaction],Table9[Id_EnviromentSatisfaction])</f>
        <v>ES004</v>
      </c>
      <c r="Q713">
        <v>4</v>
      </c>
      <c r="R713" t="str">
        <f>_xlfn.XLOOKUP(Table1[[#This Row],[EnvironmentSatisfaction]],Table9[EnvironmentSatisfaction],Table9[Deskripsi])</f>
        <v>Very High</v>
      </c>
      <c r="S713" t="str">
        <f>_xlfn.XLOOKUP(Table1[[#This Row],[Gender]],Table10[Gender],Table10[Id_Gender])</f>
        <v>G001</v>
      </c>
      <c r="T713" t="s">
        <v>45</v>
      </c>
      <c r="U713">
        <v>92</v>
      </c>
      <c r="V713" t="str">
        <f>_xlfn.XLOOKUP(Table1[[#This Row],[JobInvolvement]],Table11[JobInvolvement],Table11[Id_JobInvolvement])</f>
        <v>JI002</v>
      </c>
      <c r="W713">
        <v>2</v>
      </c>
      <c r="X713" t="str">
        <f>_xlfn.XLOOKUP(Table1[[#This Row],[JobLevel]],Table12[JobLevel],Table12[Id_JobLevel])</f>
        <v>JL001</v>
      </c>
      <c r="Y713">
        <v>1</v>
      </c>
      <c r="Z713" t="str">
        <f>_xlfn.XLOOKUP(Table1[[#This Row],[JobRole]],Table13[JobRole],Table13[Id_JobRole])</f>
        <v>JR002</v>
      </c>
      <c r="AA713" t="s">
        <v>48</v>
      </c>
      <c r="AB713" t="str">
        <f>_xlfn.XLOOKUP(Table1[[#This Row],[JobSatisfaction]],Table14[JobSatisfaction],Table14[Id_JobSatisfaction])</f>
        <v>JS001</v>
      </c>
      <c r="AC713">
        <v>1</v>
      </c>
      <c r="AD713" t="str">
        <f>_xlfn.XLOOKUP(Table1[[#This Row],[JobSatisfaction]],Table14[JobSatisfaction],Table14[Deskripsi])</f>
        <v>Low</v>
      </c>
      <c r="AE713" t="str">
        <f>_xlfn.XLOOKUP(Table1[[#This Row],[MaritalStatus]],Table15[MaritalStatus],Table15[Id_MaritalStatus])</f>
        <v>MS001</v>
      </c>
      <c r="AF713" t="s">
        <v>55</v>
      </c>
      <c r="AG713">
        <v>2404</v>
      </c>
      <c r="AH713">
        <v>11479</v>
      </c>
      <c r="AI713">
        <v>6</v>
      </c>
      <c r="AJ713" t="str">
        <f>_xlfn.XLOOKUP(Table1[[#This Row],[OverTime]],Table16[OverTime],Table16[Id_OverTime])</f>
        <v>OT001</v>
      </c>
      <c r="AK713" t="s">
        <v>32</v>
      </c>
      <c r="AL713">
        <v>20</v>
      </c>
      <c r="AM713" t="str">
        <f>_xlfn.XLOOKUP(Table1[[#This Row],[PerformanceRating]],Table17[PerformanceRating],Table17[Id_PerformanceRating])</f>
        <v>PR004</v>
      </c>
      <c r="AN713">
        <v>4</v>
      </c>
      <c r="AO713" t="str">
        <f>_xlfn.XLOOKUP(Table1[[#This Row],[PerformanceRating]],Table17[PerformanceRating],Table17[Deskripsi])</f>
        <v>Outstanding</v>
      </c>
      <c r="AP713" t="str">
        <f>_xlfn.XLOOKUP(Table1[[#This Row],[RelationshipSatisfaction]],Table18[RelationshipSatisfaction],Table18[Id_RelationshipSatisfaction])</f>
        <v>RS003</v>
      </c>
      <c r="AQ713">
        <v>3</v>
      </c>
      <c r="AR713" t="str">
        <f>_xlfn.XLOOKUP(Table1[[#This Row],[RelationshipSatisfaction]],Table18[RelationshipSatisfaction],Table18[Deskripsi])</f>
        <v>High</v>
      </c>
      <c r="AS713" t="str">
        <f>_xlfn.XLOOKUP(Table1[[#This Row],[StockOptionLevel]],Table19[StockOptionLevel],Table19[Id_StockOptionLevel])</f>
        <v>SOL001</v>
      </c>
      <c r="AT713">
        <v>0</v>
      </c>
      <c r="AU713" t="str">
        <f>_xlfn.XLOOKUP(Table1[[#This Row],[StockOptionLevel]],Table19[StockOptionLevel],Table19[Deskripsi])</f>
        <v>Non-Eligible</v>
      </c>
      <c r="AV713">
        <v>3</v>
      </c>
      <c r="AW713">
        <v>5</v>
      </c>
      <c r="AX713" t="str">
        <f>_xlfn.XLOOKUP(Table1[[#This Row],[WorkLifeBalance]],Table20[WorkLifeBalance],Table20[Id_WorkLifeBalance])</f>
        <v>WLB002</v>
      </c>
      <c r="AY713">
        <v>3</v>
      </c>
      <c r="AZ713" t="str">
        <f>_xlfn.XLOOKUP(Table1[[#This Row],[WorkLifeBalance]],Table20[WorkLifeBalance],Table20[Deskripsi])</f>
        <v>Good</v>
      </c>
      <c r="BA713">
        <v>0</v>
      </c>
      <c r="BB713">
        <v>0</v>
      </c>
      <c r="BC713">
        <v>0</v>
      </c>
      <c r="BD713">
        <v>0</v>
      </c>
    </row>
    <row r="714" spans="1:56" x14ac:dyDescent="0.25">
      <c r="A714">
        <v>33</v>
      </c>
      <c r="B714" t="str">
        <f>_xlfn.XLOOKUP(Table1[[#This Row],[Attrition]],Table2[Attrition],Table2[Id_Attrition])</f>
        <v>A002</v>
      </c>
      <c r="C714" t="s">
        <v>33</v>
      </c>
      <c r="D714" t="str">
        <f>_xlfn.XLOOKUP(Table1[[#This Row],[BusinessTravel]],Table5[BusinessTravel],Table5[Id_BusinessTravel])</f>
        <v>BS001</v>
      </c>
      <c r="E714" t="s">
        <v>34</v>
      </c>
      <c r="F714">
        <v>461</v>
      </c>
      <c r="G714" t="str">
        <f>_xlfn.XLOOKUP(Table1[[#This Row],[Department]],Table6[Department],Table6[Id_Departement])</f>
        <v>D002</v>
      </c>
      <c r="H714" t="s">
        <v>38</v>
      </c>
      <c r="I714">
        <v>13</v>
      </c>
      <c r="J714" t="str">
        <f>_xlfn.XLOOKUP(Table1[[#This Row],[Education]],Table8[Education],Table8[Id_Education])</f>
        <v>E001</v>
      </c>
      <c r="K714">
        <v>1</v>
      </c>
      <c r="L714" t="str">
        <f>_xlfn.XLOOKUP(Table1[[#This Row],[EducationField]],Table7[EducationField],Table7[Id_EducationField])</f>
        <v>EF001</v>
      </c>
      <c r="M714" t="s">
        <v>40</v>
      </c>
      <c r="N714" t="str">
        <f>_xlfn.XLOOKUP(Table1[[#This Row],[EmployeeNumber]],Table4[EmployeeNumber],Table4[Id_Employee])</f>
        <v>EMP00713</v>
      </c>
      <c r="O714">
        <v>995</v>
      </c>
      <c r="P714" t="str">
        <f>_xlfn.XLOOKUP(Table1[[#This Row],[EnvironmentSatisfaction]],Table9[EnvironmentSatisfaction],Table9[Id_EnviromentSatisfaction])</f>
        <v>ES002</v>
      </c>
      <c r="Q714">
        <v>2</v>
      </c>
      <c r="R714" t="str">
        <f>_xlfn.XLOOKUP(Table1[[#This Row],[EnvironmentSatisfaction]],Table9[EnvironmentSatisfaction],Table9[Deskripsi])</f>
        <v>Medium</v>
      </c>
      <c r="S714" t="str">
        <f>_xlfn.XLOOKUP(Table1[[#This Row],[Gender]],Table10[Gender],Table10[Id_Gender])</f>
        <v>G001</v>
      </c>
      <c r="T714" t="s">
        <v>45</v>
      </c>
      <c r="U714">
        <v>53</v>
      </c>
      <c r="V714" t="str">
        <f>_xlfn.XLOOKUP(Table1[[#This Row],[JobInvolvement]],Table11[JobInvolvement],Table11[Id_JobInvolvement])</f>
        <v>JI003</v>
      </c>
      <c r="W714">
        <v>3</v>
      </c>
      <c r="X714" t="str">
        <f>_xlfn.XLOOKUP(Table1[[#This Row],[JobLevel]],Table12[JobLevel],Table12[Id_JobLevel])</f>
        <v>JL001</v>
      </c>
      <c r="Y714">
        <v>1</v>
      </c>
      <c r="Z714" t="str">
        <f>_xlfn.XLOOKUP(Table1[[#This Row],[JobRole]],Table13[JobRole],Table13[Id_JobRole])</f>
        <v>JR002</v>
      </c>
      <c r="AA714" t="s">
        <v>48</v>
      </c>
      <c r="AB714" t="str">
        <f>_xlfn.XLOOKUP(Table1[[#This Row],[JobSatisfaction]],Table14[JobSatisfaction],Table14[Id_JobSatisfaction])</f>
        <v>JS004</v>
      </c>
      <c r="AC714">
        <v>4</v>
      </c>
      <c r="AD714" t="str">
        <f>_xlfn.XLOOKUP(Table1[[#This Row],[JobSatisfaction]],Table14[JobSatisfaction],Table14[Deskripsi])</f>
        <v>Very High</v>
      </c>
      <c r="AE714" t="str">
        <f>_xlfn.XLOOKUP(Table1[[#This Row],[MaritalStatus]],Table15[MaritalStatus],Table15[Id_MaritalStatus])</f>
        <v>MS001</v>
      </c>
      <c r="AF714" t="s">
        <v>55</v>
      </c>
      <c r="AG714">
        <v>3452</v>
      </c>
      <c r="AH714">
        <v>17241</v>
      </c>
      <c r="AI714">
        <v>3</v>
      </c>
      <c r="AJ714" t="str">
        <f>_xlfn.XLOOKUP(Table1[[#This Row],[OverTime]],Table16[OverTime],Table16[Id_OverTime])</f>
        <v>OT002</v>
      </c>
      <c r="AK714" t="s">
        <v>33</v>
      </c>
      <c r="AL714">
        <v>18</v>
      </c>
      <c r="AM714" t="str">
        <f>_xlfn.XLOOKUP(Table1[[#This Row],[PerformanceRating]],Table17[PerformanceRating],Table17[Id_PerformanceRating])</f>
        <v>PR003</v>
      </c>
      <c r="AN714">
        <v>3</v>
      </c>
      <c r="AO714" t="str">
        <f>_xlfn.XLOOKUP(Table1[[#This Row],[PerformanceRating]],Table17[PerformanceRating],Table17[Deskripsi])</f>
        <v>Excellent</v>
      </c>
      <c r="AP714" t="str">
        <f>_xlfn.XLOOKUP(Table1[[#This Row],[RelationshipSatisfaction]],Table18[RelationshipSatisfaction],Table18[Id_RelationshipSatisfaction])</f>
        <v>RS001</v>
      </c>
      <c r="AQ714">
        <v>1</v>
      </c>
      <c r="AR714" t="str">
        <f>_xlfn.XLOOKUP(Table1[[#This Row],[RelationshipSatisfaction]],Table18[RelationshipSatisfaction],Table18[Deskripsi])</f>
        <v>Low</v>
      </c>
      <c r="AS714" t="str">
        <f>_xlfn.XLOOKUP(Table1[[#This Row],[StockOptionLevel]],Table19[StockOptionLevel],Table19[Id_StockOptionLevel])</f>
        <v>SOL001</v>
      </c>
      <c r="AT714">
        <v>0</v>
      </c>
      <c r="AU714" t="str">
        <f>_xlfn.XLOOKUP(Table1[[#This Row],[StockOptionLevel]],Table19[StockOptionLevel],Table19[Deskripsi])</f>
        <v>Non-Eligible</v>
      </c>
      <c r="AV714">
        <v>5</v>
      </c>
      <c r="AW714">
        <v>4</v>
      </c>
      <c r="AX714" t="str">
        <f>_xlfn.XLOOKUP(Table1[[#This Row],[WorkLifeBalance]],Table20[WorkLifeBalance],Table20[Id_WorkLifeBalance])</f>
        <v>WLB002</v>
      </c>
      <c r="AY714">
        <v>3</v>
      </c>
      <c r="AZ714" t="str">
        <f>_xlfn.XLOOKUP(Table1[[#This Row],[WorkLifeBalance]],Table20[WorkLifeBalance],Table20[Deskripsi])</f>
        <v>Good</v>
      </c>
      <c r="BA714">
        <v>3</v>
      </c>
      <c r="BB714">
        <v>2</v>
      </c>
      <c r="BC714">
        <v>0</v>
      </c>
      <c r="BD714">
        <v>2</v>
      </c>
    </row>
    <row r="715" spans="1:56" x14ac:dyDescent="0.25">
      <c r="A715">
        <v>45</v>
      </c>
      <c r="B715" t="str">
        <f>_xlfn.XLOOKUP(Table1[[#This Row],[Attrition]],Table2[Attrition],Table2[Id_Attrition])</f>
        <v>A002</v>
      </c>
      <c r="C715" t="s">
        <v>33</v>
      </c>
      <c r="D715" t="str">
        <f>_xlfn.XLOOKUP(Table1[[#This Row],[BusinessTravel]],Table5[BusinessTravel],Table5[Id_BusinessTravel])</f>
        <v>BS001</v>
      </c>
      <c r="E715" t="s">
        <v>34</v>
      </c>
      <c r="F715">
        <v>974</v>
      </c>
      <c r="G715" t="str">
        <f>_xlfn.XLOOKUP(Table1[[#This Row],[Department]],Table6[Department],Table6[Id_Departement])</f>
        <v>D002</v>
      </c>
      <c r="H715" t="s">
        <v>38</v>
      </c>
      <c r="I715">
        <v>1</v>
      </c>
      <c r="J715" t="str">
        <f>_xlfn.XLOOKUP(Table1[[#This Row],[Education]],Table8[Education],Table8[Id_Education])</f>
        <v>E004</v>
      </c>
      <c r="K715">
        <v>4</v>
      </c>
      <c r="L715" t="str">
        <f>_xlfn.XLOOKUP(Table1[[#This Row],[EducationField]],Table7[EducationField],Table7[Id_EducationField])</f>
        <v>EF003</v>
      </c>
      <c r="M715" t="s">
        <v>42</v>
      </c>
      <c r="N715" t="str">
        <f>_xlfn.XLOOKUP(Table1[[#This Row],[EmployeeNumber]],Table4[EmployeeNumber],Table4[Id_Employee])</f>
        <v>EMP00714</v>
      </c>
      <c r="O715">
        <v>996</v>
      </c>
      <c r="P715" t="str">
        <f>_xlfn.XLOOKUP(Table1[[#This Row],[EnvironmentSatisfaction]],Table9[EnvironmentSatisfaction],Table9[Id_EnviromentSatisfaction])</f>
        <v>ES004</v>
      </c>
      <c r="Q715">
        <v>4</v>
      </c>
      <c r="R715" t="str">
        <f>_xlfn.XLOOKUP(Table1[[#This Row],[EnvironmentSatisfaction]],Table9[EnvironmentSatisfaction],Table9[Deskripsi])</f>
        <v>Very High</v>
      </c>
      <c r="S715" t="str">
        <f>_xlfn.XLOOKUP(Table1[[#This Row],[Gender]],Table10[Gender],Table10[Id_Gender])</f>
        <v>G001</v>
      </c>
      <c r="T715" t="s">
        <v>45</v>
      </c>
      <c r="U715">
        <v>91</v>
      </c>
      <c r="V715" t="str">
        <f>_xlfn.XLOOKUP(Table1[[#This Row],[JobInvolvement]],Table11[JobInvolvement],Table11[Id_JobInvolvement])</f>
        <v>JI003</v>
      </c>
      <c r="W715">
        <v>3</v>
      </c>
      <c r="X715" t="str">
        <f>_xlfn.XLOOKUP(Table1[[#This Row],[JobLevel]],Table12[JobLevel],Table12[Id_JobLevel])</f>
        <v>JL001</v>
      </c>
      <c r="Y715">
        <v>1</v>
      </c>
      <c r="Z715" t="str">
        <f>_xlfn.XLOOKUP(Table1[[#This Row],[JobRole]],Table13[JobRole],Table13[Id_JobRole])</f>
        <v>JR003</v>
      </c>
      <c r="AA715" t="s">
        <v>49</v>
      </c>
      <c r="AB715" t="str">
        <f>_xlfn.XLOOKUP(Table1[[#This Row],[JobSatisfaction]],Table14[JobSatisfaction],Table14[Id_JobSatisfaction])</f>
        <v>JS004</v>
      </c>
      <c r="AC715">
        <v>4</v>
      </c>
      <c r="AD715" t="str">
        <f>_xlfn.XLOOKUP(Table1[[#This Row],[JobSatisfaction]],Table14[JobSatisfaction],Table14[Deskripsi])</f>
        <v>Very High</v>
      </c>
      <c r="AE715" t="str">
        <f>_xlfn.XLOOKUP(Table1[[#This Row],[MaritalStatus]],Table15[MaritalStatus],Table15[Id_MaritalStatus])</f>
        <v>MS003</v>
      </c>
      <c r="AF715" t="s">
        <v>57</v>
      </c>
      <c r="AG715">
        <v>2270</v>
      </c>
      <c r="AH715">
        <v>11005</v>
      </c>
      <c r="AI715">
        <v>3</v>
      </c>
      <c r="AJ715" t="str">
        <f>_xlfn.XLOOKUP(Table1[[#This Row],[OverTime]],Table16[OverTime],Table16[Id_OverTime])</f>
        <v>OT002</v>
      </c>
      <c r="AK715" t="s">
        <v>33</v>
      </c>
      <c r="AL715">
        <v>14</v>
      </c>
      <c r="AM715" t="str">
        <f>_xlfn.XLOOKUP(Table1[[#This Row],[PerformanceRating]],Table17[PerformanceRating],Table17[Id_PerformanceRating])</f>
        <v>PR003</v>
      </c>
      <c r="AN715">
        <v>3</v>
      </c>
      <c r="AO715" t="str">
        <f>_xlfn.XLOOKUP(Table1[[#This Row],[PerformanceRating]],Table17[PerformanceRating],Table17[Deskripsi])</f>
        <v>Excellent</v>
      </c>
      <c r="AP715" t="str">
        <f>_xlfn.XLOOKUP(Table1[[#This Row],[RelationshipSatisfaction]],Table18[RelationshipSatisfaction],Table18[Id_RelationshipSatisfaction])</f>
        <v>RS004</v>
      </c>
      <c r="AQ715">
        <v>4</v>
      </c>
      <c r="AR715" t="str">
        <f>_xlfn.XLOOKUP(Table1[[#This Row],[RelationshipSatisfaction]],Table18[RelationshipSatisfaction],Table18[Deskripsi])</f>
        <v>Very High</v>
      </c>
      <c r="AS715" t="str">
        <f>_xlfn.XLOOKUP(Table1[[#This Row],[StockOptionLevel]],Table19[StockOptionLevel],Table19[Id_StockOptionLevel])</f>
        <v>SOL003</v>
      </c>
      <c r="AT715">
        <v>2</v>
      </c>
      <c r="AU715" t="str">
        <f>_xlfn.XLOOKUP(Table1[[#This Row],[StockOptionLevel]],Table19[StockOptionLevel],Table19[Deskripsi])</f>
        <v>Intermediate</v>
      </c>
      <c r="AV715">
        <v>8</v>
      </c>
      <c r="AW715">
        <v>2</v>
      </c>
      <c r="AX715" t="str">
        <f>_xlfn.XLOOKUP(Table1[[#This Row],[WorkLifeBalance]],Table20[WorkLifeBalance],Table20[Id_WorkLifeBalance])</f>
        <v>WLB002</v>
      </c>
      <c r="AY715">
        <v>3</v>
      </c>
      <c r="AZ715" t="str">
        <f>_xlfn.XLOOKUP(Table1[[#This Row],[WorkLifeBalance]],Table20[WorkLifeBalance],Table20[Deskripsi])</f>
        <v>Good</v>
      </c>
      <c r="BA715">
        <v>5</v>
      </c>
      <c r="BB715">
        <v>3</v>
      </c>
      <c r="BC715">
        <v>0</v>
      </c>
      <c r="BD715">
        <v>2</v>
      </c>
    </row>
    <row r="716" spans="1:56" x14ac:dyDescent="0.25">
      <c r="A716">
        <v>50</v>
      </c>
      <c r="B716" t="str">
        <f>_xlfn.XLOOKUP(Table1[[#This Row],[Attrition]],Table2[Attrition],Table2[Id_Attrition])</f>
        <v>A002</v>
      </c>
      <c r="C716" t="s">
        <v>33</v>
      </c>
      <c r="D716" t="str">
        <f>_xlfn.XLOOKUP(Table1[[#This Row],[BusinessTravel]],Table5[BusinessTravel],Table5[Id_BusinessTravel])</f>
        <v>BS001</v>
      </c>
      <c r="E716" t="s">
        <v>34</v>
      </c>
      <c r="F716">
        <v>1126</v>
      </c>
      <c r="G716" t="str">
        <f>_xlfn.XLOOKUP(Table1[[#This Row],[Department]],Table6[Department],Table6[Id_Departement])</f>
        <v>D002</v>
      </c>
      <c r="H716" t="s">
        <v>38</v>
      </c>
      <c r="I716">
        <v>1</v>
      </c>
      <c r="J716" t="str">
        <f>_xlfn.XLOOKUP(Table1[[#This Row],[Education]],Table8[Education],Table8[Id_Education])</f>
        <v>E002</v>
      </c>
      <c r="K716">
        <v>2</v>
      </c>
      <c r="L716" t="str">
        <f>_xlfn.XLOOKUP(Table1[[#This Row],[EducationField]],Table7[EducationField],Table7[Id_EducationField])</f>
        <v>EF003</v>
      </c>
      <c r="M716" t="s">
        <v>42</v>
      </c>
      <c r="N716" t="str">
        <f>_xlfn.XLOOKUP(Table1[[#This Row],[EmployeeNumber]],Table4[EmployeeNumber],Table4[Id_Employee])</f>
        <v>EMP00715</v>
      </c>
      <c r="O716">
        <v>997</v>
      </c>
      <c r="P716" t="str">
        <f>_xlfn.XLOOKUP(Table1[[#This Row],[EnvironmentSatisfaction]],Table9[EnvironmentSatisfaction],Table9[Id_EnviromentSatisfaction])</f>
        <v>ES004</v>
      </c>
      <c r="Q716">
        <v>4</v>
      </c>
      <c r="R716" t="str">
        <f>_xlfn.XLOOKUP(Table1[[#This Row],[EnvironmentSatisfaction]],Table9[EnvironmentSatisfaction],Table9[Deskripsi])</f>
        <v>Very High</v>
      </c>
      <c r="S716" t="str">
        <f>_xlfn.XLOOKUP(Table1[[#This Row],[Gender]],Table10[Gender],Table10[Id_Gender])</f>
        <v>G002</v>
      </c>
      <c r="T716" t="s">
        <v>46</v>
      </c>
      <c r="U716">
        <v>66</v>
      </c>
      <c r="V716" t="str">
        <f>_xlfn.XLOOKUP(Table1[[#This Row],[JobInvolvement]],Table11[JobInvolvement],Table11[Id_JobInvolvement])</f>
        <v>JI003</v>
      </c>
      <c r="W716">
        <v>3</v>
      </c>
      <c r="X716" t="str">
        <f>_xlfn.XLOOKUP(Table1[[#This Row],[JobLevel]],Table12[JobLevel],Table12[Id_JobLevel])</f>
        <v>JL004</v>
      </c>
      <c r="Y716">
        <v>4</v>
      </c>
      <c r="Z716" t="str">
        <f>_xlfn.XLOOKUP(Table1[[#This Row],[JobRole]],Table13[JobRole],Table13[Id_JobRole])</f>
        <v>JR008</v>
      </c>
      <c r="AA716" t="s">
        <v>54</v>
      </c>
      <c r="AB716" t="str">
        <f>_xlfn.XLOOKUP(Table1[[#This Row],[JobSatisfaction]],Table14[JobSatisfaction],Table14[Id_JobSatisfaction])</f>
        <v>JS004</v>
      </c>
      <c r="AC716">
        <v>4</v>
      </c>
      <c r="AD716" t="str">
        <f>_xlfn.XLOOKUP(Table1[[#This Row],[JobSatisfaction]],Table14[JobSatisfaction],Table14[Deskripsi])</f>
        <v>Very High</v>
      </c>
      <c r="AE716" t="str">
        <f>_xlfn.XLOOKUP(Table1[[#This Row],[MaritalStatus]],Table15[MaritalStatus],Table15[Id_MaritalStatus])</f>
        <v>MS003</v>
      </c>
      <c r="AF716" t="s">
        <v>57</v>
      </c>
      <c r="AG716">
        <v>17399</v>
      </c>
      <c r="AH716">
        <v>6615</v>
      </c>
      <c r="AI716">
        <v>9</v>
      </c>
      <c r="AJ716" t="str">
        <f>_xlfn.XLOOKUP(Table1[[#This Row],[OverTime]],Table16[OverTime],Table16[Id_OverTime])</f>
        <v>OT002</v>
      </c>
      <c r="AK716" t="s">
        <v>33</v>
      </c>
      <c r="AL716">
        <v>22</v>
      </c>
      <c r="AM716" t="str">
        <f>_xlfn.XLOOKUP(Table1[[#This Row],[PerformanceRating]],Table17[PerformanceRating],Table17[Id_PerformanceRating])</f>
        <v>PR004</v>
      </c>
      <c r="AN716">
        <v>4</v>
      </c>
      <c r="AO716" t="str">
        <f>_xlfn.XLOOKUP(Table1[[#This Row],[PerformanceRating]],Table17[PerformanceRating],Table17[Deskripsi])</f>
        <v>Outstanding</v>
      </c>
      <c r="AP716" t="str">
        <f>_xlfn.XLOOKUP(Table1[[#This Row],[RelationshipSatisfaction]],Table18[RelationshipSatisfaction],Table18[Id_RelationshipSatisfaction])</f>
        <v>RS003</v>
      </c>
      <c r="AQ716">
        <v>3</v>
      </c>
      <c r="AR716" t="str">
        <f>_xlfn.XLOOKUP(Table1[[#This Row],[RelationshipSatisfaction]],Table18[RelationshipSatisfaction],Table18[Deskripsi])</f>
        <v>High</v>
      </c>
      <c r="AS716" t="str">
        <f>_xlfn.XLOOKUP(Table1[[#This Row],[StockOptionLevel]],Table19[StockOptionLevel],Table19[Id_StockOptionLevel])</f>
        <v>SOL002</v>
      </c>
      <c r="AT716">
        <v>1</v>
      </c>
      <c r="AU716" t="str">
        <f>_xlfn.XLOOKUP(Table1[[#This Row],[StockOptionLevel]],Table19[StockOptionLevel],Table19[Deskripsi])</f>
        <v>Standard</v>
      </c>
      <c r="AV716">
        <v>32</v>
      </c>
      <c r="AW716">
        <v>1</v>
      </c>
      <c r="AX716" t="str">
        <f>_xlfn.XLOOKUP(Table1[[#This Row],[WorkLifeBalance]],Table20[WorkLifeBalance],Table20[Id_WorkLifeBalance])</f>
        <v>WLB003</v>
      </c>
      <c r="AY716">
        <v>2</v>
      </c>
      <c r="AZ716" t="str">
        <f>_xlfn.XLOOKUP(Table1[[#This Row],[WorkLifeBalance]],Table20[WorkLifeBalance],Table20[Deskripsi])</f>
        <v>Better</v>
      </c>
      <c r="BA716">
        <v>5</v>
      </c>
      <c r="BB716">
        <v>4</v>
      </c>
      <c r="BC716">
        <v>1</v>
      </c>
      <c r="BD716">
        <v>3</v>
      </c>
    </row>
    <row r="717" spans="1:56" x14ac:dyDescent="0.25">
      <c r="A717">
        <v>33</v>
      </c>
      <c r="B717" t="str">
        <f>_xlfn.XLOOKUP(Table1[[#This Row],[Attrition]],Table2[Attrition],Table2[Id_Attrition])</f>
        <v>A002</v>
      </c>
      <c r="C717" t="s">
        <v>33</v>
      </c>
      <c r="D717" t="str">
        <f>_xlfn.XLOOKUP(Table1[[#This Row],[BusinessTravel]],Table5[BusinessTravel],Table5[Id_BusinessTravel])</f>
        <v>BS002</v>
      </c>
      <c r="E717" t="s">
        <v>35</v>
      </c>
      <c r="F717">
        <v>827</v>
      </c>
      <c r="G717" t="str">
        <f>_xlfn.XLOOKUP(Table1[[#This Row],[Department]],Table6[Department],Table6[Id_Departement])</f>
        <v>D002</v>
      </c>
      <c r="H717" t="s">
        <v>38</v>
      </c>
      <c r="I717">
        <v>1</v>
      </c>
      <c r="J717" t="str">
        <f>_xlfn.XLOOKUP(Table1[[#This Row],[Education]],Table8[Education],Table8[Id_Education])</f>
        <v>E004</v>
      </c>
      <c r="K717">
        <v>4</v>
      </c>
      <c r="L717" t="str">
        <f>_xlfn.XLOOKUP(Table1[[#This Row],[EducationField]],Table7[EducationField],Table7[Id_EducationField])</f>
        <v>EF002</v>
      </c>
      <c r="M717" t="s">
        <v>41</v>
      </c>
      <c r="N717" t="str">
        <f>_xlfn.XLOOKUP(Table1[[#This Row],[EmployeeNumber]],Table4[EmployeeNumber],Table4[Id_Employee])</f>
        <v>EMP00716</v>
      </c>
      <c r="O717">
        <v>998</v>
      </c>
      <c r="P717" t="str">
        <f>_xlfn.XLOOKUP(Table1[[#This Row],[EnvironmentSatisfaction]],Table9[EnvironmentSatisfaction],Table9[Id_EnviromentSatisfaction])</f>
        <v>ES003</v>
      </c>
      <c r="Q717">
        <v>3</v>
      </c>
      <c r="R717" t="str">
        <f>_xlfn.XLOOKUP(Table1[[#This Row],[EnvironmentSatisfaction]],Table9[EnvironmentSatisfaction],Table9[Deskripsi])</f>
        <v>High</v>
      </c>
      <c r="S717" t="str">
        <f>_xlfn.XLOOKUP(Table1[[#This Row],[Gender]],Table10[Gender],Table10[Id_Gender])</f>
        <v>G001</v>
      </c>
      <c r="T717" t="s">
        <v>45</v>
      </c>
      <c r="U717">
        <v>84</v>
      </c>
      <c r="V717" t="str">
        <f>_xlfn.XLOOKUP(Table1[[#This Row],[JobInvolvement]],Table11[JobInvolvement],Table11[Id_JobInvolvement])</f>
        <v>JI004</v>
      </c>
      <c r="W717">
        <v>4</v>
      </c>
      <c r="X717" t="str">
        <f>_xlfn.XLOOKUP(Table1[[#This Row],[JobLevel]],Table12[JobLevel],Table12[Id_JobLevel])</f>
        <v>JL002</v>
      </c>
      <c r="Y717">
        <v>2</v>
      </c>
      <c r="Z717" t="str">
        <f>_xlfn.XLOOKUP(Table1[[#This Row],[JobRole]],Table13[JobRole],Table13[Id_JobRole])</f>
        <v>JR005</v>
      </c>
      <c r="AA717" t="s">
        <v>51</v>
      </c>
      <c r="AB717" t="str">
        <f>_xlfn.XLOOKUP(Table1[[#This Row],[JobSatisfaction]],Table14[JobSatisfaction],Table14[Id_JobSatisfaction])</f>
        <v>JS002</v>
      </c>
      <c r="AC717">
        <v>2</v>
      </c>
      <c r="AD717" t="str">
        <f>_xlfn.XLOOKUP(Table1[[#This Row],[JobSatisfaction]],Table14[JobSatisfaction],Table14[Deskripsi])</f>
        <v>Medium</v>
      </c>
      <c r="AE717" t="str">
        <f>_xlfn.XLOOKUP(Table1[[#This Row],[MaritalStatus]],Table15[MaritalStatus],Table15[Id_MaritalStatus])</f>
        <v>MS002</v>
      </c>
      <c r="AF717" t="s">
        <v>56</v>
      </c>
      <c r="AG717">
        <v>5488</v>
      </c>
      <c r="AH717">
        <v>20161</v>
      </c>
      <c r="AI717">
        <v>1</v>
      </c>
      <c r="AJ717" t="str">
        <f>_xlfn.XLOOKUP(Table1[[#This Row],[OverTime]],Table16[OverTime],Table16[Id_OverTime])</f>
        <v>OT001</v>
      </c>
      <c r="AK717" t="s">
        <v>32</v>
      </c>
      <c r="AL717">
        <v>13</v>
      </c>
      <c r="AM717" t="str">
        <f>_xlfn.XLOOKUP(Table1[[#This Row],[PerformanceRating]],Table17[PerformanceRating],Table17[Id_PerformanceRating])</f>
        <v>PR003</v>
      </c>
      <c r="AN717">
        <v>3</v>
      </c>
      <c r="AO717" t="str">
        <f>_xlfn.XLOOKUP(Table1[[#This Row],[PerformanceRating]],Table17[PerformanceRating],Table17[Deskripsi])</f>
        <v>Excellent</v>
      </c>
      <c r="AP717" t="str">
        <f>_xlfn.XLOOKUP(Table1[[#This Row],[RelationshipSatisfaction]],Table18[RelationshipSatisfaction],Table18[Id_RelationshipSatisfaction])</f>
        <v>RS001</v>
      </c>
      <c r="AQ717">
        <v>1</v>
      </c>
      <c r="AR717" t="str">
        <f>_xlfn.XLOOKUP(Table1[[#This Row],[RelationshipSatisfaction]],Table18[RelationshipSatisfaction],Table18[Deskripsi])</f>
        <v>Low</v>
      </c>
      <c r="AS717" t="str">
        <f>_xlfn.XLOOKUP(Table1[[#This Row],[StockOptionLevel]],Table19[StockOptionLevel],Table19[Id_StockOptionLevel])</f>
        <v>SOL002</v>
      </c>
      <c r="AT717">
        <v>1</v>
      </c>
      <c r="AU717" t="str">
        <f>_xlfn.XLOOKUP(Table1[[#This Row],[StockOptionLevel]],Table19[StockOptionLevel],Table19[Deskripsi])</f>
        <v>Standard</v>
      </c>
      <c r="AV717">
        <v>6</v>
      </c>
      <c r="AW717">
        <v>2</v>
      </c>
      <c r="AX717" t="str">
        <f>_xlfn.XLOOKUP(Table1[[#This Row],[WorkLifeBalance]],Table20[WorkLifeBalance],Table20[Id_WorkLifeBalance])</f>
        <v>WLB002</v>
      </c>
      <c r="AY717">
        <v>3</v>
      </c>
      <c r="AZ717" t="str">
        <f>_xlfn.XLOOKUP(Table1[[#This Row],[WorkLifeBalance]],Table20[WorkLifeBalance],Table20[Deskripsi])</f>
        <v>Good</v>
      </c>
      <c r="BA717">
        <v>6</v>
      </c>
      <c r="BB717">
        <v>5</v>
      </c>
      <c r="BC717">
        <v>1</v>
      </c>
      <c r="BD717">
        <v>2</v>
      </c>
    </row>
    <row r="718" spans="1:56" x14ac:dyDescent="0.25">
      <c r="A718">
        <v>41</v>
      </c>
      <c r="B718" t="str">
        <f>_xlfn.XLOOKUP(Table1[[#This Row],[Attrition]],Table2[Attrition],Table2[Id_Attrition])</f>
        <v>A002</v>
      </c>
      <c r="C718" t="s">
        <v>33</v>
      </c>
      <c r="D718" t="str">
        <f>_xlfn.XLOOKUP(Table1[[#This Row],[BusinessTravel]],Table5[BusinessTravel],Table5[Id_BusinessTravel])</f>
        <v>BS002</v>
      </c>
      <c r="E718" t="s">
        <v>35</v>
      </c>
      <c r="F718">
        <v>840</v>
      </c>
      <c r="G718" t="str">
        <f>_xlfn.XLOOKUP(Table1[[#This Row],[Department]],Table6[Department],Table6[Id_Departement])</f>
        <v>D002</v>
      </c>
      <c r="H718" t="s">
        <v>38</v>
      </c>
      <c r="I718">
        <v>9</v>
      </c>
      <c r="J718" t="str">
        <f>_xlfn.XLOOKUP(Table1[[#This Row],[Education]],Table8[Education],Table8[Id_Education])</f>
        <v>E003</v>
      </c>
      <c r="K718">
        <v>3</v>
      </c>
      <c r="L718" t="str">
        <f>_xlfn.XLOOKUP(Table1[[#This Row],[EducationField]],Table7[EducationField],Table7[Id_EducationField])</f>
        <v>EF003</v>
      </c>
      <c r="M718" t="s">
        <v>42</v>
      </c>
      <c r="N718" t="str">
        <f>_xlfn.XLOOKUP(Table1[[#This Row],[EmployeeNumber]],Table4[EmployeeNumber],Table4[Id_Employee])</f>
        <v>EMP00717</v>
      </c>
      <c r="O718">
        <v>999</v>
      </c>
      <c r="P718" t="str">
        <f>_xlfn.XLOOKUP(Table1[[#This Row],[EnvironmentSatisfaction]],Table9[EnvironmentSatisfaction],Table9[Id_EnviromentSatisfaction])</f>
        <v>ES001</v>
      </c>
      <c r="Q718">
        <v>1</v>
      </c>
      <c r="R718" t="str">
        <f>_xlfn.XLOOKUP(Table1[[#This Row],[EnvironmentSatisfaction]],Table9[EnvironmentSatisfaction],Table9[Deskripsi])</f>
        <v>Low</v>
      </c>
      <c r="S718" t="str">
        <f>_xlfn.XLOOKUP(Table1[[#This Row],[Gender]],Table10[Gender],Table10[Id_Gender])</f>
        <v>G002</v>
      </c>
      <c r="T718" t="s">
        <v>46</v>
      </c>
      <c r="U718">
        <v>64</v>
      </c>
      <c r="V718" t="str">
        <f>_xlfn.XLOOKUP(Table1[[#This Row],[JobInvolvement]],Table11[JobInvolvement],Table11[Id_JobInvolvement])</f>
        <v>JI003</v>
      </c>
      <c r="W718">
        <v>3</v>
      </c>
      <c r="X718" t="str">
        <f>_xlfn.XLOOKUP(Table1[[#This Row],[JobLevel]],Table12[JobLevel],Table12[Id_JobLevel])</f>
        <v>JL005</v>
      </c>
      <c r="Y718">
        <v>5</v>
      </c>
      <c r="Z718" t="str">
        <f>_xlfn.XLOOKUP(Table1[[#This Row],[JobRole]],Table13[JobRole],Table13[Id_JobRole])</f>
        <v>JR008</v>
      </c>
      <c r="AA718" t="s">
        <v>54</v>
      </c>
      <c r="AB718" t="str">
        <f>_xlfn.XLOOKUP(Table1[[#This Row],[JobSatisfaction]],Table14[JobSatisfaction],Table14[Id_JobSatisfaction])</f>
        <v>JS003</v>
      </c>
      <c r="AC718">
        <v>3</v>
      </c>
      <c r="AD718" t="str">
        <f>_xlfn.XLOOKUP(Table1[[#This Row],[JobSatisfaction]],Table14[JobSatisfaction],Table14[Deskripsi])</f>
        <v>High</v>
      </c>
      <c r="AE718" t="str">
        <f>_xlfn.XLOOKUP(Table1[[#This Row],[MaritalStatus]],Table15[MaritalStatus],Table15[Id_MaritalStatus])</f>
        <v>MS003</v>
      </c>
      <c r="AF718" t="s">
        <v>57</v>
      </c>
      <c r="AG718">
        <v>19419</v>
      </c>
      <c r="AH718">
        <v>3735</v>
      </c>
      <c r="AI718">
        <v>2</v>
      </c>
      <c r="AJ718" t="str">
        <f>_xlfn.XLOOKUP(Table1[[#This Row],[OverTime]],Table16[OverTime],Table16[Id_OverTime])</f>
        <v>OT002</v>
      </c>
      <c r="AK718" t="s">
        <v>33</v>
      </c>
      <c r="AL718">
        <v>17</v>
      </c>
      <c r="AM718" t="str">
        <f>_xlfn.XLOOKUP(Table1[[#This Row],[PerformanceRating]],Table17[PerformanceRating],Table17[Id_PerformanceRating])</f>
        <v>PR003</v>
      </c>
      <c r="AN718">
        <v>3</v>
      </c>
      <c r="AO718" t="str">
        <f>_xlfn.XLOOKUP(Table1[[#This Row],[PerformanceRating]],Table17[PerformanceRating],Table17[Deskripsi])</f>
        <v>Excellent</v>
      </c>
      <c r="AP718" t="str">
        <f>_xlfn.XLOOKUP(Table1[[#This Row],[RelationshipSatisfaction]],Table18[RelationshipSatisfaction],Table18[Id_RelationshipSatisfaction])</f>
        <v>RS002</v>
      </c>
      <c r="AQ718">
        <v>2</v>
      </c>
      <c r="AR718" t="str">
        <f>_xlfn.XLOOKUP(Table1[[#This Row],[RelationshipSatisfaction]],Table18[RelationshipSatisfaction],Table18[Deskripsi])</f>
        <v>Medium</v>
      </c>
      <c r="AS718" t="str">
        <f>_xlfn.XLOOKUP(Table1[[#This Row],[StockOptionLevel]],Table19[StockOptionLevel],Table19[Id_StockOptionLevel])</f>
        <v>SOL002</v>
      </c>
      <c r="AT718">
        <v>1</v>
      </c>
      <c r="AU718" t="str">
        <f>_xlfn.XLOOKUP(Table1[[#This Row],[StockOptionLevel]],Table19[StockOptionLevel],Table19[Deskripsi])</f>
        <v>Standard</v>
      </c>
      <c r="AV718">
        <v>21</v>
      </c>
      <c r="AW718">
        <v>2</v>
      </c>
      <c r="AX718" t="str">
        <f>_xlfn.XLOOKUP(Table1[[#This Row],[WorkLifeBalance]],Table20[WorkLifeBalance],Table20[Id_WorkLifeBalance])</f>
        <v>WLB004</v>
      </c>
      <c r="AY718">
        <v>4</v>
      </c>
      <c r="AZ718" t="str">
        <f>_xlfn.XLOOKUP(Table1[[#This Row],[WorkLifeBalance]],Table20[WorkLifeBalance],Table20[Deskripsi])</f>
        <v>Best</v>
      </c>
      <c r="BA718">
        <v>18</v>
      </c>
      <c r="BB718">
        <v>16</v>
      </c>
      <c r="BC718">
        <v>0</v>
      </c>
      <c r="BD718">
        <v>11</v>
      </c>
    </row>
    <row r="719" spans="1:56" x14ac:dyDescent="0.25">
      <c r="A719">
        <v>27</v>
      </c>
      <c r="B719" t="str">
        <f>_xlfn.XLOOKUP(Table1[[#This Row],[Attrition]],Table2[Attrition],Table2[Id_Attrition])</f>
        <v>A002</v>
      </c>
      <c r="C719" t="s">
        <v>33</v>
      </c>
      <c r="D719" t="str">
        <f>_xlfn.XLOOKUP(Table1[[#This Row],[BusinessTravel]],Table5[BusinessTravel],Table5[Id_BusinessTravel])</f>
        <v>BS001</v>
      </c>
      <c r="E719" t="s">
        <v>34</v>
      </c>
      <c r="F719">
        <v>1134</v>
      </c>
      <c r="G719" t="str">
        <f>_xlfn.XLOOKUP(Table1[[#This Row],[Department]],Table6[Department],Table6[Id_Departement])</f>
        <v>D002</v>
      </c>
      <c r="H719" t="s">
        <v>38</v>
      </c>
      <c r="I719">
        <v>16</v>
      </c>
      <c r="J719" t="str">
        <f>_xlfn.XLOOKUP(Table1[[#This Row],[Education]],Table8[Education],Table8[Id_Education])</f>
        <v>E004</v>
      </c>
      <c r="K719">
        <v>4</v>
      </c>
      <c r="L719" t="str">
        <f>_xlfn.XLOOKUP(Table1[[#This Row],[EducationField]],Table7[EducationField],Table7[Id_EducationField])</f>
        <v>EF005</v>
      </c>
      <c r="M719" t="s">
        <v>44</v>
      </c>
      <c r="N719" t="str">
        <f>_xlfn.XLOOKUP(Table1[[#This Row],[EmployeeNumber]],Table4[EmployeeNumber],Table4[Id_Employee])</f>
        <v>EMP00718</v>
      </c>
      <c r="O719">
        <v>1001</v>
      </c>
      <c r="P719" t="str">
        <f>_xlfn.XLOOKUP(Table1[[#This Row],[EnvironmentSatisfaction]],Table9[EnvironmentSatisfaction],Table9[Id_EnviromentSatisfaction])</f>
        <v>ES003</v>
      </c>
      <c r="Q719">
        <v>3</v>
      </c>
      <c r="R719" t="str">
        <f>_xlfn.XLOOKUP(Table1[[#This Row],[EnvironmentSatisfaction]],Table9[EnvironmentSatisfaction],Table9[Deskripsi])</f>
        <v>High</v>
      </c>
      <c r="S719" t="str">
        <f>_xlfn.XLOOKUP(Table1[[#This Row],[Gender]],Table10[Gender],Table10[Id_Gender])</f>
        <v>G001</v>
      </c>
      <c r="T719" t="s">
        <v>45</v>
      </c>
      <c r="U719">
        <v>37</v>
      </c>
      <c r="V719" t="str">
        <f>_xlfn.XLOOKUP(Table1[[#This Row],[JobInvolvement]],Table11[JobInvolvement],Table11[Id_JobInvolvement])</f>
        <v>JI003</v>
      </c>
      <c r="W719">
        <v>3</v>
      </c>
      <c r="X719" t="str">
        <f>_xlfn.XLOOKUP(Table1[[#This Row],[JobLevel]],Table12[JobLevel],Table12[Id_JobLevel])</f>
        <v>JL001</v>
      </c>
      <c r="Y719">
        <v>1</v>
      </c>
      <c r="Z719" t="str">
        <f>_xlfn.XLOOKUP(Table1[[#This Row],[JobRole]],Table13[JobRole],Table13[Id_JobRole])</f>
        <v>JR003</v>
      </c>
      <c r="AA719" t="s">
        <v>49</v>
      </c>
      <c r="AB719" t="str">
        <f>_xlfn.XLOOKUP(Table1[[#This Row],[JobSatisfaction]],Table14[JobSatisfaction],Table14[Id_JobSatisfaction])</f>
        <v>JS002</v>
      </c>
      <c r="AC719">
        <v>2</v>
      </c>
      <c r="AD719" t="str">
        <f>_xlfn.XLOOKUP(Table1[[#This Row],[JobSatisfaction]],Table14[JobSatisfaction],Table14[Deskripsi])</f>
        <v>Medium</v>
      </c>
      <c r="AE719" t="str">
        <f>_xlfn.XLOOKUP(Table1[[#This Row],[MaritalStatus]],Table15[MaritalStatus],Table15[Id_MaritalStatus])</f>
        <v>MS002</v>
      </c>
      <c r="AF719" t="s">
        <v>56</v>
      </c>
      <c r="AG719">
        <v>2811</v>
      </c>
      <c r="AH719">
        <v>12086</v>
      </c>
      <c r="AI719">
        <v>9</v>
      </c>
      <c r="AJ719" t="str">
        <f>_xlfn.XLOOKUP(Table1[[#This Row],[OverTime]],Table16[OverTime],Table16[Id_OverTime])</f>
        <v>OT002</v>
      </c>
      <c r="AK719" t="s">
        <v>33</v>
      </c>
      <c r="AL719">
        <v>14</v>
      </c>
      <c r="AM719" t="str">
        <f>_xlfn.XLOOKUP(Table1[[#This Row],[PerformanceRating]],Table17[PerformanceRating],Table17[Id_PerformanceRating])</f>
        <v>PR003</v>
      </c>
      <c r="AN719">
        <v>3</v>
      </c>
      <c r="AO719" t="str">
        <f>_xlfn.XLOOKUP(Table1[[#This Row],[PerformanceRating]],Table17[PerformanceRating],Table17[Deskripsi])</f>
        <v>Excellent</v>
      </c>
      <c r="AP719" t="str">
        <f>_xlfn.XLOOKUP(Table1[[#This Row],[RelationshipSatisfaction]],Table18[RelationshipSatisfaction],Table18[Id_RelationshipSatisfaction])</f>
        <v>RS002</v>
      </c>
      <c r="AQ719">
        <v>2</v>
      </c>
      <c r="AR719" t="str">
        <f>_xlfn.XLOOKUP(Table1[[#This Row],[RelationshipSatisfaction]],Table18[RelationshipSatisfaction],Table18[Deskripsi])</f>
        <v>Medium</v>
      </c>
      <c r="AS719" t="str">
        <f>_xlfn.XLOOKUP(Table1[[#This Row],[StockOptionLevel]],Table19[StockOptionLevel],Table19[Id_StockOptionLevel])</f>
        <v>SOL002</v>
      </c>
      <c r="AT719">
        <v>1</v>
      </c>
      <c r="AU719" t="str">
        <f>_xlfn.XLOOKUP(Table1[[#This Row],[StockOptionLevel]],Table19[StockOptionLevel],Table19[Deskripsi])</f>
        <v>Standard</v>
      </c>
      <c r="AV719">
        <v>4</v>
      </c>
      <c r="AW719">
        <v>2</v>
      </c>
      <c r="AX719" t="str">
        <f>_xlfn.XLOOKUP(Table1[[#This Row],[WorkLifeBalance]],Table20[WorkLifeBalance],Table20[Id_WorkLifeBalance])</f>
        <v>WLB002</v>
      </c>
      <c r="AY719">
        <v>3</v>
      </c>
      <c r="AZ719" t="str">
        <f>_xlfn.XLOOKUP(Table1[[#This Row],[WorkLifeBalance]],Table20[WorkLifeBalance],Table20[Deskripsi])</f>
        <v>Good</v>
      </c>
      <c r="BA719">
        <v>2</v>
      </c>
      <c r="BB719">
        <v>2</v>
      </c>
      <c r="BC719">
        <v>2</v>
      </c>
      <c r="BD719">
        <v>2</v>
      </c>
    </row>
    <row r="720" spans="1:56" x14ac:dyDescent="0.25">
      <c r="A720">
        <v>45</v>
      </c>
      <c r="B720" t="str">
        <f>_xlfn.XLOOKUP(Table1[[#This Row],[Attrition]],Table2[Attrition],Table2[Id_Attrition])</f>
        <v>A002</v>
      </c>
      <c r="C720" t="s">
        <v>33</v>
      </c>
      <c r="D720" t="str">
        <f>_xlfn.XLOOKUP(Table1[[#This Row],[BusinessTravel]],Table5[BusinessTravel],Table5[Id_BusinessTravel])</f>
        <v>BS003</v>
      </c>
      <c r="E720" t="s">
        <v>36</v>
      </c>
      <c r="F720">
        <v>248</v>
      </c>
      <c r="G720" t="str">
        <f>_xlfn.XLOOKUP(Table1[[#This Row],[Department]],Table6[Department],Table6[Id_Departement])</f>
        <v>D002</v>
      </c>
      <c r="H720" t="s">
        <v>38</v>
      </c>
      <c r="I720">
        <v>23</v>
      </c>
      <c r="J720" t="str">
        <f>_xlfn.XLOOKUP(Table1[[#This Row],[Education]],Table8[Education],Table8[Id_Education])</f>
        <v>E002</v>
      </c>
      <c r="K720">
        <v>2</v>
      </c>
      <c r="L720" t="str">
        <f>_xlfn.XLOOKUP(Table1[[#This Row],[EducationField]],Table7[EducationField],Table7[Id_EducationField])</f>
        <v>EF001</v>
      </c>
      <c r="M720" t="s">
        <v>40</v>
      </c>
      <c r="N720" t="str">
        <f>_xlfn.XLOOKUP(Table1[[#This Row],[EmployeeNumber]],Table4[EmployeeNumber],Table4[Id_Employee])</f>
        <v>EMP00719</v>
      </c>
      <c r="O720">
        <v>1002</v>
      </c>
      <c r="P720" t="str">
        <f>_xlfn.XLOOKUP(Table1[[#This Row],[EnvironmentSatisfaction]],Table9[EnvironmentSatisfaction],Table9[Id_EnviromentSatisfaction])</f>
        <v>ES004</v>
      </c>
      <c r="Q720">
        <v>4</v>
      </c>
      <c r="R720" t="str">
        <f>_xlfn.XLOOKUP(Table1[[#This Row],[EnvironmentSatisfaction]],Table9[EnvironmentSatisfaction],Table9[Deskripsi])</f>
        <v>Very High</v>
      </c>
      <c r="S720" t="str">
        <f>_xlfn.XLOOKUP(Table1[[#This Row],[Gender]],Table10[Gender],Table10[Id_Gender])</f>
        <v>G002</v>
      </c>
      <c r="T720" t="s">
        <v>46</v>
      </c>
      <c r="U720">
        <v>42</v>
      </c>
      <c r="V720" t="str">
        <f>_xlfn.XLOOKUP(Table1[[#This Row],[JobInvolvement]],Table11[JobInvolvement],Table11[Id_JobInvolvement])</f>
        <v>JI003</v>
      </c>
      <c r="W720">
        <v>3</v>
      </c>
      <c r="X720" t="str">
        <f>_xlfn.XLOOKUP(Table1[[#This Row],[JobLevel]],Table12[JobLevel],Table12[Id_JobLevel])</f>
        <v>JL002</v>
      </c>
      <c r="Y720">
        <v>2</v>
      </c>
      <c r="Z720" t="str">
        <f>_xlfn.XLOOKUP(Table1[[#This Row],[JobRole]],Table13[JobRole],Table13[Id_JobRole])</f>
        <v>JR003</v>
      </c>
      <c r="AA720" t="s">
        <v>49</v>
      </c>
      <c r="AB720" t="str">
        <f>_xlfn.XLOOKUP(Table1[[#This Row],[JobSatisfaction]],Table14[JobSatisfaction],Table14[Id_JobSatisfaction])</f>
        <v>JS001</v>
      </c>
      <c r="AC720">
        <v>1</v>
      </c>
      <c r="AD720" t="str">
        <f>_xlfn.XLOOKUP(Table1[[#This Row],[JobSatisfaction]],Table14[JobSatisfaction],Table14[Deskripsi])</f>
        <v>Low</v>
      </c>
      <c r="AE720" t="str">
        <f>_xlfn.XLOOKUP(Table1[[#This Row],[MaritalStatus]],Table15[MaritalStatus],Table15[Id_MaritalStatus])</f>
        <v>MS002</v>
      </c>
      <c r="AF720" t="s">
        <v>56</v>
      </c>
      <c r="AG720">
        <v>3633</v>
      </c>
      <c r="AH720">
        <v>14039</v>
      </c>
      <c r="AI720">
        <v>1</v>
      </c>
      <c r="AJ720" t="str">
        <f>_xlfn.XLOOKUP(Table1[[#This Row],[OverTime]],Table16[OverTime],Table16[Id_OverTime])</f>
        <v>OT001</v>
      </c>
      <c r="AK720" t="s">
        <v>32</v>
      </c>
      <c r="AL720">
        <v>15</v>
      </c>
      <c r="AM720" t="str">
        <f>_xlfn.XLOOKUP(Table1[[#This Row],[PerformanceRating]],Table17[PerformanceRating],Table17[Id_PerformanceRating])</f>
        <v>PR003</v>
      </c>
      <c r="AN720">
        <v>3</v>
      </c>
      <c r="AO720" t="str">
        <f>_xlfn.XLOOKUP(Table1[[#This Row],[PerformanceRating]],Table17[PerformanceRating],Table17[Deskripsi])</f>
        <v>Excellent</v>
      </c>
      <c r="AP720" t="str">
        <f>_xlfn.XLOOKUP(Table1[[#This Row],[RelationshipSatisfaction]],Table18[RelationshipSatisfaction],Table18[Id_RelationshipSatisfaction])</f>
        <v>RS003</v>
      </c>
      <c r="AQ720">
        <v>3</v>
      </c>
      <c r="AR720" t="str">
        <f>_xlfn.XLOOKUP(Table1[[#This Row],[RelationshipSatisfaction]],Table18[RelationshipSatisfaction],Table18[Deskripsi])</f>
        <v>High</v>
      </c>
      <c r="AS720" t="str">
        <f>_xlfn.XLOOKUP(Table1[[#This Row],[StockOptionLevel]],Table19[StockOptionLevel],Table19[Id_StockOptionLevel])</f>
        <v>SOL002</v>
      </c>
      <c r="AT720">
        <v>1</v>
      </c>
      <c r="AU720" t="str">
        <f>_xlfn.XLOOKUP(Table1[[#This Row],[StockOptionLevel]],Table19[StockOptionLevel],Table19[Deskripsi])</f>
        <v>Standard</v>
      </c>
      <c r="AV720">
        <v>9</v>
      </c>
      <c r="AW720">
        <v>2</v>
      </c>
      <c r="AX720" t="str">
        <f>_xlfn.XLOOKUP(Table1[[#This Row],[WorkLifeBalance]],Table20[WorkLifeBalance],Table20[Id_WorkLifeBalance])</f>
        <v>WLB002</v>
      </c>
      <c r="AY720">
        <v>3</v>
      </c>
      <c r="AZ720" t="str">
        <f>_xlfn.XLOOKUP(Table1[[#This Row],[WorkLifeBalance]],Table20[WorkLifeBalance],Table20[Deskripsi])</f>
        <v>Good</v>
      </c>
      <c r="BA720">
        <v>9</v>
      </c>
      <c r="BB720">
        <v>8</v>
      </c>
      <c r="BC720">
        <v>0</v>
      </c>
      <c r="BD720">
        <v>8</v>
      </c>
    </row>
    <row r="721" spans="1:56" x14ac:dyDescent="0.25">
      <c r="A721">
        <v>47</v>
      </c>
      <c r="B721" t="str">
        <f>_xlfn.XLOOKUP(Table1[[#This Row],[Attrition]],Table2[Attrition],Table2[Id_Attrition])</f>
        <v>A002</v>
      </c>
      <c r="C721" t="s">
        <v>33</v>
      </c>
      <c r="D721" t="str">
        <f>_xlfn.XLOOKUP(Table1[[#This Row],[BusinessTravel]],Table5[BusinessTravel],Table5[Id_BusinessTravel])</f>
        <v>BS001</v>
      </c>
      <c r="E721" t="s">
        <v>34</v>
      </c>
      <c r="F721">
        <v>955</v>
      </c>
      <c r="G721" t="str">
        <f>_xlfn.XLOOKUP(Table1[[#This Row],[Department]],Table6[Department],Table6[Id_Departement])</f>
        <v>D001</v>
      </c>
      <c r="H721" t="s">
        <v>37</v>
      </c>
      <c r="I721">
        <v>4</v>
      </c>
      <c r="J721" t="str">
        <f>_xlfn.XLOOKUP(Table1[[#This Row],[Education]],Table8[Education],Table8[Id_Education])</f>
        <v>E002</v>
      </c>
      <c r="K721">
        <v>2</v>
      </c>
      <c r="L721" t="str">
        <f>_xlfn.XLOOKUP(Table1[[#This Row],[EducationField]],Table7[EducationField],Table7[Id_EducationField])</f>
        <v>EF001</v>
      </c>
      <c r="M721" t="s">
        <v>40</v>
      </c>
      <c r="N721" t="str">
        <f>_xlfn.XLOOKUP(Table1[[#This Row],[EmployeeNumber]],Table4[EmployeeNumber],Table4[Id_Employee])</f>
        <v>EMP00720</v>
      </c>
      <c r="O721">
        <v>1003</v>
      </c>
      <c r="P721" t="str">
        <f>_xlfn.XLOOKUP(Table1[[#This Row],[EnvironmentSatisfaction]],Table9[EnvironmentSatisfaction],Table9[Id_EnviromentSatisfaction])</f>
        <v>ES004</v>
      </c>
      <c r="Q721">
        <v>4</v>
      </c>
      <c r="R721" t="str">
        <f>_xlfn.XLOOKUP(Table1[[#This Row],[EnvironmentSatisfaction]],Table9[EnvironmentSatisfaction],Table9[Deskripsi])</f>
        <v>Very High</v>
      </c>
      <c r="S721" t="str">
        <f>_xlfn.XLOOKUP(Table1[[#This Row],[Gender]],Table10[Gender],Table10[Id_Gender])</f>
        <v>G001</v>
      </c>
      <c r="T721" t="s">
        <v>45</v>
      </c>
      <c r="U721">
        <v>83</v>
      </c>
      <c r="V721" t="str">
        <f>_xlfn.XLOOKUP(Table1[[#This Row],[JobInvolvement]],Table11[JobInvolvement],Table11[Id_JobInvolvement])</f>
        <v>JI003</v>
      </c>
      <c r="W721">
        <v>3</v>
      </c>
      <c r="X721" t="str">
        <f>_xlfn.XLOOKUP(Table1[[#This Row],[JobLevel]],Table12[JobLevel],Table12[Id_JobLevel])</f>
        <v>JL002</v>
      </c>
      <c r="Y721">
        <v>2</v>
      </c>
      <c r="Z721" t="str">
        <f>_xlfn.XLOOKUP(Table1[[#This Row],[JobRole]],Table13[JobRole],Table13[Id_JobRole])</f>
        <v>JR001</v>
      </c>
      <c r="AA721" t="s">
        <v>47</v>
      </c>
      <c r="AB721" t="str">
        <f>_xlfn.XLOOKUP(Table1[[#This Row],[JobSatisfaction]],Table14[JobSatisfaction],Table14[Id_JobSatisfaction])</f>
        <v>JS004</v>
      </c>
      <c r="AC721">
        <v>4</v>
      </c>
      <c r="AD721" t="str">
        <f>_xlfn.XLOOKUP(Table1[[#This Row],[JobSatisfaction]],Table14[JobSatisfaction],Table14[Deskripsi])</f>
        <v>Very High</v>
      </c>
      <c r="AE721" t="str">
        <f>_xlfn.XLOOKUP(Table1[[#This Row],[MaritalStatus]],Table15[MaritalStatus],Table15[Id_MaritalStatus])</f>
        <v>MS001</v>
      </c>
      <c r="AF721" t="s">
        <v>55</v>
      </c>
      <c r="AG721">
        <v>4163</v>
      </c>
      <c r="AH721">
        <v>8571</v>
      </c>
      <c r="AI721">
        <v>1</v>
      </c>
      <c r="AJ721" t="str">
        <f>_xlfn.XLOOKUP(Table1[[#This Row],[OverTime]],Table16[OverTime],Table16[Id_OverTime])</f>
        <v>OT001</v>
      </c>
      <c r="AK721" t="s">
        <v>32</v>
      </c>
      <c r="AL721">
        <v>17</v>
      </c>
      <c r="AM721" t="str">
        <f>_xlfn.XLOOKUP(Table1[[#This Row],[PerformanceRating]],Table17[PerformanceRating],Table17[Id_PerformanceRating])</f>
        <v>PR003</v>
      </c>
      <c r="AN721">
        <v>3</v>
      </c>
      <c r="AO721" t="str">
        <f>_xlfn.XLOOKUP(Table1[[#This Row],[PerformanceRating]],Table17[PerformanceRating],Table17[Deskripsi])</f>
        <v>Excellent</v>
      </c>
      <c r="AP721" t="str">
        <f>_xlfn.XLOOKUP(Table1[[#This Row],[RelationshipSatisfaction]],Table18[RelationshipSatisfaction],Table18[Id_RelationshipSatisfaction])</f>
        <v>RS003</v>
      </c>
      <c r="AQ721">
        <v>3</v>
      </c>
      <c r="AR721" t="str">
        <f>_xlfn.XLOOKUP(Table1[[#This Row],[RelationshipSatisfaction]],Table18[RelationshipSatisfaction],Table18[Deskripsi])</f>
        <v>High</v>
      </c>
      <c r="AS721" t="str">
        <f>_xlfn.XLOOKUP(Table1[[#This Row],[StockOptionLevel]],Table19[StockOptionLevel],Table19[Id_StockOptionLevel])</f>
        <v>SOL001</v>
      </c>
      <c r="AT721">
        <v>0</v>
      </c>
      <c r="AU721" t="str">
        <f>_xlfn.XLOOKUP(Table1[[#This Row],[StockOptionLevel]],Table19[StockOptionLevel],Table19[Deskripsi])</f>
        <v>Non-Eligible</v>
      </c>
      <c r="AV721">
        <v>9</v>
      </c>
      <c r="AW721">
        <v>0</v>
      </c>
      <c r="AX721" t="str">
        <f>_xlfn.XLOOKUP(Table1[[#This Row],[WorkLifeBalance]],Table20[WorkLifeBalance],Table20[Id_WorkLifeBalance])</f>
        <v>WLB002</v>
      </c>
      <c r="AY721">
        <v>3</v>
      </c>
      <c r="AZ721" t="str">
        <f>_xlfn.XLOOKUP(Table1[[#This Row],[WorkLifeBalance]],Table20[WorkLifeBalance],Table20[Deskripsi])</f>
        <v>Good</v>
      </c>
      <c r="BA721">
        <v>9</v>
      </c>
      <c r="BB721">
        <v>0</v>
      </c>
      <c r="BC721">
        <v>0</v>
      </c>
      <c r="BD721">
        <v>7</v>
      </c>
    </row>
    <row r="722" spans="1:56" x14ac:dyDescent="0.25">
      <c r="A722">
        <v>30</v>
      </c>
      <c r="B722" t="str">
        <f>_xlfn.XLOOKUP(Table1[[#This Row],[Attrition]],Table2[Attrition],Table2[Id_Attrition])</f>
        <v>A001</v>
      </c>
      <c r="C722" t="s">
        <v>32</v>
      </c>
      <c r="D722" t="str">
        <f>_xlfn.XLOOKUP(Table1[[#This Row],[BusinessTravel]],Table5[BusinessTravel],Table5[Id_BusinessTravel])</f>
        <v>BS001</v>
      </c>
      <c r="E722" t="s">
        <v>34</v>
      </c>
      <c r="F722">
        <v>138</v>
      </c>
      <c r="G722" t="str">
        <f>_xlfn.XLOOKUP(Table1[[#This Row],[Department]],Table6[Department],Table6[Id_Departement])</f>
        <v>D002</v>
      </c>
      <c r="H722" t="s">
        <v>38</v>
      </c>
      <c r="I722">
        <v>22</v>
      </c>
      <c r="J722" t="str">
        <f>_xlfn.XLOOKUP(Table1[[#This Row],[Education]],Table8[Education],Table8[Id_Education])</f>
        <v>E003</v>
      </c>
      <c r="K722">
        <v>3</v>
      </c>
      <c r="L722" t="str">
        <f>_xlfn.XLOOKUP(Table1[[#This Row],[EducationField]],Table7[EducationField],Table7[Id_EducationField])</f>
        <v>EF001</v>
      </c>
      <c r="M722" t="s">
        <v>40</v>
      </c>
      <c r="N722" t="str">
        <f>_xlfn.XLOOKUP(Table1[[#This Row],[EmployeeNumber]],Table4[EmployeeNumber],Table4[Id_Employee])</f>
        <v>EMP00721</v>
      </c>
      <c r="O722">
        <v>1004</v>
      </c>
      <c r="P722" t="str">
        <f>_xlfn.XLOOKUP(Table1[[#This Row],[EnvironmentSatisfaction]],Table9[EnvironmentSatisfaction],Table9[Id_EnviromentSatisfaction])</f>
        <v>ES001</v>
      </c>
      <c r="Q722">
        <v>1</v>
      </c>
      <c r="R722" t="str">
        <f>_xlfn.XLOOKUP(Table1[[#This Row],[EnvironmentSatisfaction]],Table9[EnvironmentSatisfaction],Table9[Deskripsi])</f>
        <v>Low</v>
      </c>
      <c r="S722" t="str">
        <f>_xlfn.XLOOKUP(Table1[[#This Row],[Gender]],Table10[Gender],Table10[Id_Gender])</f>
        <v>G001</v>
      </c>
      <c r="T722" t="s">
        <v>45</v>
      </c>
      <c r="U722">
        <v>48</v>
      </c>
      <c r="V722" t="str">
        <f>_xlfn.XLOOKUP(Table1[[#This Row],[JobInvolvement]],Table11[JobInvolvement],Table11[Id_JobInvolvement])</f>
        <v>JI003</v>
      </c>
      <c r="W722">
        <v>3</v>
      </c>
      <c r="X722" t="str">
        <f>_xlfn.XLOOKUP(Table1[[#This Row],[JobLevel]],Table12[JobLevel],Table12[Id_JobLevel])</f>
        <v>JL001</v>
      </c>
      <c r="Y722">
        <v>1</v>
      </c>
      <c r="Z722" t="str">
        <f>_xlfn.XLOOKUP(Table1[[#This Row],[JobRole]],Table13[JobRole],Table13[Id_JobRole])</f>
        <v>JR002</v>
      </c>
      <c r="AA722" t="s">
        <v>48</v>
      </c>
      <c r="AB722" t="str">
        <f>_xlfn.XLOOKUP(Table1[[#This Row],[JobSatisfaction]],Table14[JobSatisfaction],Table14[Id_JobSatisfaction])</f>
        <v>JS003</v>
      </c>
      <c r="AC722">
        <v>3</v>
      </c>
      <c r="AD722" t="str">
        <f>_xlfn.XLOOKUP(Table1[[#This Row],[JobSatisfaction]],Table14[JobSatisfaction],Table14[Deskripsi])</f>
        <v>High</v>
      </c>
      <c r="AE722" t="str">
        <f>_xlfn.XLOOKUP(Table1[[#This Row],[MaritalStatus]],Table15[MaritalStatus],Table15[Id_MaritalStatus])</f>
        <v>MS002</v>
      </c>
      <c r="AF722" t="s">
        <v>56</v>
      </c>
      <c r="AG722">
        <v>2132</v>
      </c>
      <c r="AH722">
        <v>11539</v>
      </c>
      <c r="AI722">
        <v>4</v>
      </c>
      <c r="AJ722" t="str">
        <f>_xlfn.XLOOKUP(Table1[[#This Row],[OverTime]],Table16[OverTime],Table16[Id_OverTime])</f>
        <v>OT001</v>
      </c>
      <c r="AK722" t="s">
        <v>32</v>
      </c>
      <c r="AL722">
        <v>11</v>
      </c>
      <c r="AM722" t="str">
        <f>_xlfn.XLOOKUP(Table1[[#This Row],[PerformanceRating]],Table17[PerformanceRating],Table17[Id_PerformanceRating])</f>
        <v>PR003</v>
      </c>
      <c r="AN722">
        <v>3</v>
      </c>
      <c r="AO722" t="str">
        <f>_xlfn.XLOOKUP(Table1[[#This Row],[PerformanceRating]],Table17[PerformanceRating],Table17[Deskripsi])</f>
        <v>Excellent</v>
      </c>
      <c r="AP722" t="str">
        <f>_xlfn.XLOOKUP(Table1[[#This Row],[RelationshipSatisfaction]],Table18[RelationshipSatisfaction],Table18[Id_RelationshipSatisfaction])</f>
        <v>RS002</v>
      </c>
      <c r="AQ722">
        <v>2</v>
      </c>
      <c r="AR722" t="str">
        <f>_xlfn.XLOOKUP(Table1[[#This Row],[RelationshipSatisfaction]],Table18[RelationshipSatisfaction],Table18[Deskripsi])</f>
        <v>Medium</v>
      </c>
      <c r="AS722" t="str">
        <f>_xlfn.XLOOKUP(Table1[[#This Row],[StockOptionLevel]],Table19[StockOptionLevel],Table19[Id_StockOptionLevel])</f>
        <v>SOL001</v>
      </c>
      <c r="AT722">
        <v>0</v>
      </c>
      <c r="AU722" t="str">
        <f>_xlfn.XLOOKUP(Table1[[#This Row],[StockOptionLevel]],Table19[StockOptionLevel],Table19[Deskripsi])</f>
        <v>Non-Eligible</v>
      </c>
      <c r="AV722">
        <v>7</v>
      </c>
      <c r="AW722">
        <v>2</v>
      </c>
      <c r="AX722" t="str">
        <f>_xlfn.XLOOKUP(Table1[[#This Row],[WorkLifeBalance]],Table20[WorkLifeBalance],Table20[Id_WorkLifeBalance])</f>
        <v>WLB002</v>
      </c>
      <c r="AY722">
        <v>3</v>
      </c>
      <c r="AZ722" t="str">
        <f>_xlfn.XLOOKUP(Table1[[#This Row],[WorkLifeBalance]],Table20[WorkLifeBalance],Table20[Deskripsi])</f>
        <v>Good</v>
      </c>
      <c r="BA722">
        <v>5</v>
      </c>
      <c r="BB722">
        <v>2</v>
      </c>
      <c r="BC722">
        <v>0</v>
      </c>
      <c r="BD722">
        <v>1</v>
      </c>
    </row>
    <row r="723" spans="1:56" x14ac:dyDescent="0.25">
      <c r="A723">
        <v>50</v>
      </c>
      <c r="B723" t="str">
        <f>_xlfn.XLOOKUP(Table1[[#This Row],[Attrition]],Table2[Attrition],Table2[Id_Attrition])</f>
        <v>A002</v>
      </c>
      <c r="C723" t="s">
        <v>33</v>
      </c>
      <c r="D723" t="str">
        <f>_xlfn.XLOOKUP(Table1[[#This Row],[BusinessTravel]],Table5[BusinessTravel],Table5[Id_BusinessTravel])</f>
        <v>BS001</v>
      </c>
      <c r="E723" t="s">
        <v>34</v>
      </c>
      <c r="F723">
        <v>939</v>
      </c>
      <c r="G723" t="str">
        <f>_xlfn.XLOOKUP(Table1[[#This Row],[Department]],Table6[Department],Table6[Id_Departement])</f>
        <v>D002</v>
      </c>
      <c r="H723" t="s">
        <v>38</v>
      </c>
      <c r="I723">
        <v>24</v>
      </c>
      <c r="J723" t="str">
        <f>_xlfn.XLOOKUP(Table1[[#This Row],[Education]],Table8[Education],Table8[Id_Education])</f>
        <v>E003</v>
      </c>
      <c r="K723">
        <v>3</v>
      </c>
      <c r="L723" t="str">
        <f>_xlfn.XLOOKUP(Table1[[#This Row],[EducationField]],Table7[EducationField],Table7[Id_EducationField])</f>
        <v>EF001</v>
      </c>
      <c r="M723" t="s">
        <v>40</v>
      </c>
      <c r="N723" t="str">
        <f>_xlfn.XLOOKUP(Table1[[#This Row],[EmployeeNumber]],Table4[EmployeeNumber],Table4[Id_Employee])</f>
        <v>EMP00722</v>
      </c>
      <c r="O723">
        <v>1005</v>
      </c>
      <c r="P723" t="str">
        <f>_xlfn.XLOOKUP(Table1[[#This Row],[EnvironmentSatisfaction]],Table9[EnvironmentSatisfaction],Table9[Id_EnviromentSatisfaction])</f>
        <v>ES004</v>
      </c>
      <c r="Q723">
        <v>4</v>
      </c>
      <c r="R723" t="str">
        <f>_xlfn.XLOOKUP(Table1[[#This Row],[EnvironmentSatisfaction]],Table9[EnvironmentSatisfaction],Table9[Deskripsi])</f>
        <v>Very High</v>
      </c>
      <c r="S723" t="str">
        <f>_xlfn.XLOOKUP(Table1[[#This Row],[Gender]],Table10[Gender],Table10[Id_Gender])</f>
        <v>G002</v>
      </c>
      <c r="T723" t="s">
        <v>46</v>
      </c>
      <c r="U723">
        <v>95</v>
      </c>
      <c r="V723" t="str">
        <f>_xlfn.XLOOKUP(Table1[[#This Row],[JobInvolvement]],Table11[JobInvolvement],Table11[Id_JobInvolvement])</f>
        <v>JI003</v>
      </c>
      <c r="W723">
        <v>3</v>
      </c>
      <c r="X723" t="str">
        <f>_xlfn.XLOOKUP(Table1[[#This Row],[JobLevel]],Table12[JobLevel],Table12[Id_JobLevel])</f>
        <v>JL004</v>
      </c>
      <c r="Y723">
        <v>4</v>
      </c>
      <c r="Z723" t="str">
        <f>_xlfn.XLOOKUP(Table1[[#This Row],[JobRole]],Table13[JobRole],Table13[Id_JobRole])</f>
        <v>JR004</v>
      </c>
      <c r="AA723" t="s">
        <v>50</v>
      </c>
      <c r="AB723" t="str">
        <f>_xlfn.XLOOKUP(Table1[[#This Row],[JobSatisfaction]],Table14[JobSatisfaction],Table14[Id_JobSatisfaction])</f>
        <v>JS003</v>
      </c>
      <c r="AC723">
        <v>3</v>
      </c>
      <c r="AD723" t="str">
        <f>_xlfn.XLOOKUP(Table1[[#This Row],[JobSatisfaction]],Table14[JobSatisfaction],Table14[Deskripsi])</f>
        <v>High</v>
      </c>
      <c r="AE723" t="str">
        <f>_xlfn.XLOOKUP(Table1[[#This Row],[MaritalStatus]],Table15[MaritalStatus],Table15[Id_MaritalStatus])</f>
        <v>MS002</v>
      </c>
      <c r="AF723" t="s">
        <v>56</v>
      </c>
      <c r="AG723">
        <v>13973</v>
      </c>
      <c r="AH723">
        <v>4161</v>
      </c>
      <c r="AI723">
        <v>3</v>
      </c>
      <c r="AJ723" t="str">
        <f>_xlfn.XLOOKUP(Table1[[#This Row],[OverTime]],Table16[OverTime],Table16[Id_OverTime])</f>
        <v>OT001</v>
      </c>
      <c r="AK723" t="s">
        <v>32</v>
      </c>
      <c r="AL723">
        <v>18</v>
      </c>
      <c r="AM723" t="str">
        <f>_xlfn.XLOOKUP(Table1[[#This Row],[PerformanceRating]],Table17[PerformanceRating],Table17[Id_PerformanceRating])</f>
        <v>PR003</v>
      </c>
      <c r="AN723">
        <v>3</v>
      </c>
      <c r="AO723" t="str">
        <f>_xlfn.XLOOKUP(Table1[[#This Row],[PerformanceRating]],Table17[PerformanceRating],Table17[Deskripsi])</f>
        <v>Excellent</v>
      </c>
      <c r="AP723" t="str">
        <f>_xlfn.XLOOKUP(Table1[[#This Row],[RelationshipSatisfaction]],Table18[RelationshipSatisfaction],Table18[Id_RelationshipSatisfaction])</f>
        <v>RS004</v>
      </c>
      <c r="AQ723">
        <v>4</v>
      </c>
      <c r="AR723" t="str">
        <f>_xlfn.XLOOKUP(Table1[[#This Row],[RelationshipSatisfaction]],Table18[RelationshipSatisfaction],Table18[Deskripsi])</f>
        <v>Very High</v>
      </c>
      <c r="AS723" t="str">
        <f>_xlfn.XLOOKUP(Table1[[#This Row],[StockOptionLevel]],Table19[StockOptionLevel],Table19[Id_StockOptionLevel])</f>
        <v>SOL002</v>
      </c>
      <c r="AT723">
        <v>1</v>
      </c>
      <c r="AU723" t="str">
        <f>_xlfn.XLOOKUP(Table1[[#This Row],[StockOptionLevel]],Table19[StockOptionLevel],Table19[Deskripsi])</f>
        <v>Standard</v>
      </c>
      <c r="AV723">
        <v>22</v>
      </c>
      <c r="AW723">
        <v>2</v>
      </c>
      <c r="AX723" t="str">
        <f>_xlfn.XLOOKUP(Table1[[#This Row],[WorkLifeBalance]],Table20[WorkLifeBalance],Table20[Id_WorkLifeBalance])</f>
        <v>WLB002</v>
      </c>
      <c r="AY723">
        <v>3</v>
      </c>
      <c r="AZ723" t="str">
        <f>_xlfn.XLOOKUP(Table1[[#This Row],[WorkLifeBalance]],Table20[WorkLifeBalance],Table20[Deskripsi])</f>
        <v>Good</v>
      </c>
      <c r="BA723">
        <v>12</v>
      </c>
      <c r="BB723">
        <v>11</v>
      </c>
      <c r="BC723">
        <v>1</v>
      </c>
      <c r="BD723">
        <v>5</v>
      </c>
    </row>
    <row r="724" spans="1:56" x14ac:dyDescent="0.25">
      <c r="A724">
        <v>38</v>
      </c>
      <c r="B724" t="str">
        <f>_xlfn.XLOOKUP(Table1[[#This Row],[Attrition]],Table2[Attrition],Table2[Id_Attrition])</f>
        <v>A002</v>
      </c>
      <c r="C724" t="s">
        <v>33</v>
      </c>
      <c r="D724" t="str">
        <f>_xlfn.XLOOKUP(Table1[[#This Row],[BusinessTravel]],Table5[BusinessTravel],Table5[Id_BusinessTravel])</f>
        <v>BS002</v>
      </c>
      <c r="E724" t="s">
        <v>35</v>
      </c>
      <c r="F724">
        <v>1391</v>
      </c>
      <c r="G724" t="str">
        <f>_xlfn.XLOOKUP(Table1[[#This Row],[Department]],Table6[Department],Table6[Id_Departement])</f>
        <v>D002</v>
      </c>
      <c r="H724" t="s">
        <v>38</v>
      </c>
      <c r="I724">
        <v>10</v>
      </c>
      <c r="J724" t="str">
        <f>_xlfn.XLOOKUP(Table1[[#This Row],[Education]],Table8[Education],Table8[Id_Education])</f>
        <v>E001</v>
      </c>
      <c r="K724">
        <v>1</v>
      </c>
      <c r="L724" t="str">
        <f>_xlfn.XLOOKUP(Table1[[#This Row],[EducationField]],Table7[EducationField],Table7[Id_EducationField])</f>
        <v>EF003</v>
      </c>
      <c r="M724" t="s">
        <v>42</v>
      </c>
      <c r="N724" t="str">
        <f>_xlfn.XLOOKUP(Table1[[#This Row],[EmployeeNumber]],Table4[EmployeeNumber],Table4[Id_Employee])</f>
        <v>EMP00723</v>
      </c>
      <c r="O724">
        <v>1006</v>
      </c>
      <c r="P724" t="str">
        <f>_xlfn.XLOOKUP(Table1[[#This Row],[EnvironmentSatisfaction]],Table9[EnvironmentSatisfaction],Table9[Id_EnviromentSatisfaction])</f>
        <v>ES003</v>
      </c>
      <c r="Q724">
        <v>3</v>
      </c>
      <c r="R724" t="str">
        <f>_xlfn.XLOOKUP(Table1[[#This Row],[EnvironmentSatisfaction]],Table9[EnvironmentSatisfaction],Table9[Deskripsi])</f>
        <v>High</v>
      </c>
      <c r="S724" t="str">
        <f>_xlfn.XLOOKUP(Table1[[#This Row],[Gender]],Table10[Gender],Table10[Id_Gender])</f>
        <v>G002</v>
      </c>
      <c r="T724" t="s">
        <v>46</v>
      </c>
      <c r="U724">
        <v>66</v>
      </c>
      <c r="V724" t="str">
        <f>_xlfn.XLOOKUP(Table1[[#This Row],[JobInvolvement]],Table11[JobInvolvement],Table11[Id_JobInvolvement])</f>
        <v>JI003</v>
      </c>
      <c r="W724">
        <v>3</v>
      </c>
      <c r="X724" t="str">
        <f>_xlfn.XLOOKUP(Table1[[#This Row],[JobLevel]],Table12[JobLevel],Table12[Id_JobLevel])</f>
        <v>JL001</v>
      </c>
      <c r="Y724">
        <v>1</v>
      </c>
      <c r="Z724" t="str">
        <f>_xlfn.XLOOKUP(Table1[[#This Row],[JobRole]],Table13[JobRole],Table13[Id_JobRole])</f>
        <v>JR002</v>
      </c>
      <c r="AA724" t="s">
        <v>48</v>
      </c>
      <c r="AB724" t="str">
        <f>_xlfn.XLOOKUP(Table1[[#This Row],[JobSatisfaction]],Table14[JobSatisfaction],Table14[Id_JobSatisfaction])</f>
        <v>JS003</v>
      </c>
      <c r="AC724">
        <v>3</v>
      </c>
      <c r="AD724" t="str">
        <f>_xlfn.XLOOKUP(Table1[[#This Row],[JobSatisfaction]],Table14[JobSatisfaction],Table14[Deskripsi])</f>
        <v>High</v>
      </c>
      <c r="AE724" t="str">
        <f>_xlfn.XLOOKUP(Table1[[#This Row],[MaritalStatus]],Table15[MaritalStatus],Table15[Id_MaritalStatus])</f>
        <v>MS002</v>
      </c>
      <c r="AF724" t="s">
        <v>56</v>
      </c>
      <c r="AG724">
        <v>2684</v>
      </c>
      <c r="AH724">
        <v>12127</v>
      </c>
      <c r="AI724">
        <v>0</v>
      </c>
      <c r="AJ724" t="str">
        <f>_xlfn.XLOOKUP(Table1[[#This Row],[OverTime]],Table16[OverTime],Table16[Id_OverTime])</f>
        <v>OT002</v>
      </c>
      <c r="AK724" t="s">
        <v>33</v>
      </c>
      <c r="AL724">
        <v>17</v>
      </c>
      <c r="AM724" t="str">
        <f>_xlfn.XLOOKUP(Table1[[#This Row],[PerformanceRating]],Table17[PerformanceRating],Table17[Id_PerformanceRating])</f>
        <v>PR003</v>
      </c>
      <c r="AN724">
        <v>3</v>
      </c>
      <c r="AO724" t="str">
        <f>_xlfn.XLOOKUP(Table1[[#This Row],[PerformanceRating]],Table17[PerformanceRating],Table17[Deskripsi])</f>
        <v>Excellent</v>
      </c>
      <c r="AP724" t="str">
        <f>_xlfn.XLOOKUP(Table1[[#This Row],[RelationshipSatisfaction]],Table18[RelationshipSatisfaction],Table18[Id_RelationshipSatisfaction])</f>
        <v>RS002</v>
      </c>
      <c r="AQ724">
        <v>2</v>
      </c>
      <c r="AR724" t="str">
        <f>_xlfn.XLOOKUP(Table1[[#This Row],[RelationshipSatisfaction]],Table18[RelationshipSatisfaction],Table18[Deskripsi])</f>
        <v>Medium</v>
      </c>
      <c r="AS724" t="str">
        <f>_xlfn.XLOOKUP(Table1[[#This Row],[StockOptionLevel]],Table19[StockOptionLevel],Table19[Id_StockOptionLevel])</f>
        <v>SOL002</v>
      </c>
      <c r="AT724">
        <v>1</v>
      </c>
      <c r="AU724" t="str">
        <f>_xlfn.XLOOKUP(Table1[[#This Row],[StockOptionLevel]],Table19[StockOptionLevel],Table19[Deskripsi])</f>
        <v>Standard</v>
      </c>
      <c r="AV724">
        <v>3</v>
      </c>
      <c r="AW724">
        <v>0</v>
      </c>
      <c r="AX724" t="str">
        <f>_xlfn.XLOOKUP(Table1[[#This Row],[WorkLifeBalance]],Table20[WorkLifeBalance],Table20[Id_WorkLifeBalance])</f>
        <v>WLB003</v>
      </c>
      <c r="AY724">
        <v>2</v>
      </c>
      <c r="AZ724" t="str">
        <f>_xlfn.XLOOKUP(Table1[[#This Row],[WorkLifeBalance]],Table20[WorkLifeBalance],Table20[Deskripsi])</f>
        <v>Better</v>
      </c>
      <c r="BA724">
        <v>2</v>
      </c>
      <c r="BB724">
        <v>1</v>
      </c>
      <c r="BC724">
        <v>0</v>
      </c>
      <c r="BD724">
        <v>2</v>
      </c>
    </row>
    <row r="725" spans="1:56" x14ac:dyDescent="0.25">
      <c r="A725">
        <v>46</v>
      </c>
      <c r="B725" t="str">
        <f>_xlfn.XLOOKUP(Table1[[#This Row],[Attrition]],Table2[Attrition],Table2[Id_Attrition])</f>
        <v>A002</v>
      </c>
      <c r="C725" t="s">
        <v>33</v>
      </c>
      <c r="D725" t="str">
        <f>_xlfn.XLOOKUP(Table1[[#This Row],[BusinessTravel]],Table5[BusinessTravel],Table5[Id_BusinessTravel])</f>
        <v>BS001</v>
      </c>
      <c r="E725" t="s">
        <v>34</v>
      </c>
      <c r="F725">
        <v>566</v>
      </c>
      <c r="G725" t="str">
        <f>_xlfn.XLOOKUP(Table1[[#This Row],[Department]],Table6[Department],Table6[Id_Departement])</f>
        <v>D002</v>
      </c>
      <c r="H725" t="s">
        <v>38</v>
      </c>
      <c r="I725">
        <v>7</v>
      </c>
      <c r="J725" t="str">
        <f>_xlfn.XLOOKUP(Table1[[#This Row],[Education]],Table8[Education],Table8[Id_Education])</f>
        <v>E002</v>
      </c>
      <c r="K725">
        <v>2</v>
      </c>
      <c r="L725" t="str">
        <f>_xlfn.XLOOKUP(Table1[[#This Row],[EducationField]],Table7[EducationField],Table7[Id_EducationField])</f>
        <v>EF003</v>
      </c>
      <c r="M725" t="s">
        <v>42</v>
      </c>
      <c r="N725" t="str">
        <f>_xlfn.XLOOKUP(Table1[[#This Row],[EmployeeNumber]],Table4[EmployeeNumber],Table4[Id_Employee])</f>
        <v>EMP00724</v>
      </c>
      <c r="O725">
        <v>1007</v>
      </c>
      <c r="P725" t="str">
        <f>_xlfn.XLOOKUP(Table1[[#This Row],[EnvironmentSatisfaction]],Table9[EnvironmentSatisfaction],Table9[Id_EnviromentSatisfaction])</f>
        <v>ES004</v>
      </c>
      <c r="Q725">
        <v>4</v>
      </c>
      <c r="R725" t="str">
        <f>_xlfn.XLOOKUP(Table1[[#This Row],[EnvironmentSatisfaction]],Table9[EnvironmentSatisfaction],Table9[Deskripsi])</f>
        <v>Very High</v>
      </c>
      <c r="S725" t="str">
        <f>_xlfn.XLOOKUP(Table1[[#This Row],[Gender]],Table10[Gender],Table10[Id_Gender])</f>
        <v>G002</v>
      </c>
      <c r="T725" t="s">
        <v>46</v>
      </c>
      <c r="U725">
        <v>75</v>
      </c>
      <c r="V725" t="str">
        <f>_xlfn.XLOOKUP(Table1[[#This Row],[JobInvolvement]],Table11[JobInvolvement],Table11[Id_JobInvolvement])</f>
        <v>JI003</v>
      </c>
      <c r="W725">
        <v>3</v>
      </c>
      <c r="X725" t="str">
        <f>_xlfn.XLOOKUP(Table1[[#This Row],[JobLevel]],Table12[JobLevel],Table12[Id_JobLevel])</f>
        <v>JL003</v>
      </c>
      <c r="Y725">
        <v>3</v>
      </c>
      <c r="Z725" t="str">
        <f>_xlfn.XLOOKUP(Table1[[#This Row],[JobRole]],Table13[JobRole],Table13[Id_JobRole])</f>
        <v>JR004</v>
      </c>
      <c r="AA725" t="s">
        <v>50</v>
      </c>
      <c r="AB725" t="str">
        <f>_xlfn.XLOOKUP(Table1[[#This Row],[JobSatisfaction]],Table14[JobSatisfaction],Table14[Id_JobSatisfaction])</f>
        <v>JS003</v>
      </c>
      <c r="AC725">
        <v>3</v>
      </c>
      <c r="AD725" t="str">
        <f>_xlfn.XLOOKUP(Table1[[#This Row],[JobSatisfaction]],Table14[JobSatisfaction],Table14[Deskripsi])</f>
        <v>High</v>
      </c>
      <c r="AE725" t="str">
        <f>_xlfn.XLOOKUP(Table1[[#This Row],[MaritalStatus]],Table15[MaritalStatus],Table15[Id_MaritalStatus])</f>
        <v>MS003</v>
      </c>
      <c r="AF725" t="s">
        <v>57</v>
      </c>
      <c r="AG725">
        <v>10845</v>
      </c>
      <c r="AH725">
        <v>24208</v>
      </c>
      <c r="AI725">
        <v>6</v>
      </c>
      <c r="AJ725" t="str">
        <f>_xlfn.XLOOKUP(Table1[[#This Row],[OverTime]],Table16[OverTime],Table16[Id_OverTime])</f>
        <v>OT002</v>
      </c>
      <c r="AK725" t="s">
        <v>33</v>
      </c>
      <c r="AL725">
        <v>13</v>
      </c>
      <c r="AM725" t="str">
        <f>_xlfn.XLOOKUP(Table1[[#This Row],[PerformanceRating]],Table17[PerformanceRating],Table17[Id_PerformanceRating])</f>
        <v>PR003</v>
      </c>
      <c r="AN725">
        <v>3</v>
      </c>
      <c r="AO725" t="str">
        <f>_xlfn.XLOOKUP(Table1[[#This Row],[PerformanceRating]],Table17[PerformanceRating],Table17[Deskripsi])</f>
        <v>Excellent</v>
      </c>
      <c r="AP725" t="str">
        <f>_xlfn.XLOOKUP(Table1[[#This Row],[RelationshipSatisfaction]],Table18[RelationshipSatisfaction],Table18[Id_RelationshipSatisfaction])</f>
        <v>RS002</v>
      </c>
      <c r="AQ725">
        <v>2</v>
      </c>
      <c r="AR725" t="str">
        <f>_xlfn.XLOOKUP(Table1[[#This Row],[RelationshipSatisfaction]],Table18[RelationshipSatisfaction],Table18[Deskripsi])</f>
        <v>Medium</v>
      </c>
      <c r="AS725" t="str">
        <f>_xlfn.XLOOKUP(Table1[[#This Row],[StockOptionLevel]],Table19[StockOptionLevel],Table19[Id_StockOptionLevel])</f>
        <v>SOL002</v>
      </c>
      <c r="AT725">
        <v>1</v>
      </c>
      <c r="AU725" t="str">
        <f>_xlfn.XLOOKUP(Table1[[#This Row],[StockOptionLevel]],Table19[StockOptionLevel],Table19[Deskripsi])</f>
        <v>Standard</v>
      </c>
      <c r="AV725">
        <v>13</v>
      </c>
      <c r="AW725">
        <v>3</v>
      </c>
      <c r="AX725" t="str">
        <f>_xlfn.XLOOKUP(Table1[[#This Row],[WorkLifeBalance]],Table20[WorkLifeBalance],Table20[Id_WorkLifeBalance])</f>
        <v>WLB002</v>
      </c>
      <c r="AY725">
        <v>3</v>
      </c>
      <c r="AZ725" t="str">
        <f>_xlfn.XLOOKUP(Table1[[#This Row],[WorkLifeBalance]],Table20[WorkLifeBalance],Table20[Deskripsi])</f>
        <v>Good</v>
      </c>
      <c r="BA725">
        <v>8</v>
      </c>
      <c r="BB725">
        <v>7</v>
      </c>
      <c r="BC725">
        <v>0</v>
      </c>
      <c r="BD725">
        <v>7</v>
      </c>
    </row>
    <row r="726" spans="1:56" x14ac:dyDescent="0.25">
      <c r="A726">
        <v>24</v>
      </c>
      <c r="B726" t="str">
        <f>_xlfn.XLOOKUP(Table1[[#This Row],[Attrition]],Table2[Attrition],Table2[Id_Attrition])</f>
        <v>A002</v>
      </c>
      <c r="C726" t="s">
        <v>33</v>
      </c>
      <c r="D726" t="str">
        <f>_xlfn.XLOOKUP(Table1[[#This Row],[BusinessTravel]],Table5[BusinessTravel],Table5[Id_BusinessTravel])</f>
        <v>BS001</v>
      </c>
      <c r="E726" t="s">
        <v>34</v>
      </c>
      <c r="F726">
        <v>1206</v>
      </c>
      <c r="G726" t="str">
        <f>_xlfn.XLOOKUP(Table1[[#This Row],[Department]],Table6[Department],Table6[Id_Departement])</f>
        <v>D002</v>
      </c>
      <c r="H726" t="s">
        <v>38</v>
      </c>
      <c r="I726">
        <v>17</v>
      </c>
      <c r="J726" t="str">
        <f>_xlfn.XLOOKUP(Table1[[#This Row],[Education]],Table8[Education],Table8[Id_Education])</f>
        <v>E001</v>
      </c>
      <c r="K726">
        <v>1</v>
      </c>
      <c r="L726" t="str">
        <f>_xlfn.XLOOKUP(Table1[[#This Row],[EducationField]],Table7[EducationField],Table7[Id_EducationField])</f>
        <v>EF003</v>
      </c>
      <c r="M726" t="s">
        <v>42</v>
      </c>
      <c r="N726" t="str">
        <f>_xlfn.XLOOKUP(Table1[[#This Row],[EmployeeNumber]],Table4[EmployeeNumber],Table4[Id_Employee])</f>
        <v>EMP00725</v>
      </c>
      <c r="O726">
        <v>1009</v>
      </c>
      <c r="P726" t="str">
        <f>_xlfn.XLOOKUP(Table1[[#This Row],[EnvironmentSatisfaction]],Table9[EnvironmentSatisfaction],Table9[Id_EnviromentSatisfaction])</f>
        <v>ES004</v>
      </c>
      <c r="Q726">
        <v>4</v>
      </c>
      <c r="R726" t="str">
        <f>_xlfn.XLOOKUP(Table1[[#This Row],[EnvironmentSatisfaction]],Table9[EnvironmentSatisfaction],Table9[Deskripsi])</f>
        <v>Very High</v>
      </c>
      <c r="S726" t="str">
        <f>_xlfn.XLOOKUP(Table1[[#This Row],[Gender]],Table10[Gender],Table10[Id_Gender])</f>
        <v>G001</v>
      </c>
      <c r="T726" t="s">
        <v>45</v>
      </c>
      <c r="U726">
        <v>41</v>
      </c>
      <c r="V726" t="str">
        <f>_xlfn.XLOOKUP(Table1[[#This Row],[JobInvolvement]],Table11[JobInvolvement],Table11[Id_JobInvolvement])</f>
        <v>JI002</v>
      </c>
      <c r="W726">
        <v>2</v>
      </c>
      <c r="X726" t="str">
        <f>_xlfn.XLOOKUP(Table1[[#This Row],[JobLevel]],Table12[JobLevel],Table12[Id_JobLevel])</f>
        <v>JL002</v>
      </c>
      <c r="Y726">
        <v>2</v>
      </c>
      <c r="Z726" t="str">
        <f>_xlfn.XLOOKUP(Table1[[#This Row],[JobRole]],Table13[JobRole],Table13[Id_JobRole])</f>
        <v>JR004</v>
      </c>
      <c r="AA726" t="s">
        <v>50</v>
      </c>
      <c r="AB726" t="str">
        <f>_xlfn.XLOOKUP(Table1[[#This Row],[JobSatisfaction]],Table14[JobSatisfaction],Table14[Id_JobSatisfaction])</f>
        <v>JS003</v>
      </c>
      <c r="AC726">
        <v>3</v>
      </c>
      <c r="AD726" t="str">
        <f>_xlfn.XLOOKUP(Table1[[#This Row],[JobSatisfaction]],Table14[JobSatisfaction],Table14[Deskripsi])</f>
        <v>High</v>
      </c>
      <c r="AE726" t="str">
        <f>_xlfn.XLOOKUP(Table1[[#This Row],[MaritalStatus]],Table15[MaritalStatus],Table15[Id_MaritalStatus])</f>
        <v>MS003</v>
      </c>
      <c r="AF726" t="s">
        <v>57</v>
      </c>
      <c r="AG726">
        <v>4377</v>
      </c>
      <c r="AH726">
        <v>24117</v>
      </c>
      <c r="AI726">
        <v>1</v>
      </c>
      <c r="AJ726" t="str">
        <f>_xlfn.XLOOKUP(Table1[[#This Row],[OverTime]],Table16[OverTime],Table16[Id_OverTime])</f>
        <v>OT002</v>
      </c>
      <c r="AK726" t="s">
        <v>33</v>
      </c>
      <c r="AL726">
        <v>15</v>
      </c>
      <c r="AM726" t="str">
        <f>_xlfn.XLOOKUP(Table1[[#This Row],[PerformanceRating]],Table17[PerformanceRating],Table17[Id_PerformanceRating])</f>
        <v>PR003</v>
      </c>
      <c r="AN726">
        <v>3</v>
      </c>
      <c r="AO726" t="str">
        <f>_xlfn.XLOOKUP(Table1[[#This Row],[PerformanceRating]],Table17[PerformanceRating],Table17[Deskripsi])</f>
        <v>Excellent</v>
      </c>
      <c r="AP726" t="str">
        <f>_xlfn.XLOOKUP(Table1[[#This Row],[RelationshipSatisfaction]],Table18[RelationshipSatisfaction],Table18[Id_RelationshipSatisfaction])</f>
        <v>RS002</v>
      </c>
      <c r="AQ726">
        <v>2</v>
      </c>
      <c r="AR726" t="str">
        <f>_xlfn.XLOOKUP(Table1[[#This Row],[RelationshipSatisfaction]],Table18[RelationshipSatisfaction],Table18[Deskripsi])</f>
        <v>Medium</v>
      </c>
      <c r="AS726" t="str">
        <f>_xlfn.XLOOKUP(Table1[[#This Row],[StockOptionLevel]],Table19[StockOptionLevel],Table19[Id_StockOptionLevel])</f>
        <v>SOL003</v>
      </c>
      <c r="AT726">
        <v>2</v>
      </c>
      <c r="AU726" t="str">
        <f>_xlfn.XLOOKUP(Table1[[#This Row],[StockOptionLevel]],Table19[StockOptionLevel],Table19[Deskripsi])</f>
        <v>Intermediate</v>
      </c>
      <c r="AV726">
        <v>5</v>
      </c>
      <c r="AW726">
        <v>6</v>
      </c>
      <c r="AX726" t="str">
        <f>_xlfn.XLOOKUP(Table1[[#This Row],[WorkLifeBalance]],Table20[WorkLifeBalance],Table20[Id_WorkLifeBalance])</f>
        <v>WLB002</v>
      </c>
      <c r="AY726">
        <v>3</v>
      </c>
      <c r="AZ726" t="str">
        <f>_xlfn.XLOOKUP(Table1[[#This Row],[WorkLifeBalance]],Table20[WorkLifeBalance],Table20[Deskripsi])</f>
        <v>Good</v>
      </c>
      <c r="BA726">
        <v>4</v>
      </c>
      <c r="BB726">
        <v>2</v>
      </c>
      <c r="BC726">
        <v>3</v>
      </c>
      <c r="BD726">
        <v>2</v>
      </c>
    </row>
    <row r="727" spans="1:56" x14ac:dyDescent="0.25">
      <c r="A727">
        <v>35</v>
      </c>
      <c r="B727" t="str">
        <f>_xlfn.XLOOKUP(Table1[[#This Row],[Attrition]],Table2[Attrition],Table2[Id_Attrition])</f>
        <v>A001</v>
      </c>
      <c r="C727" t="s">
        <v>32</v>
      </c>
      <c r="D727" t="str">
        <f>_xlfn.XLOOKUP(Table1[[#This Row],[BusinessTravel]],Table5[BusinessTravel],Table5[Id_BusinessTravel])</f>
        <v>BS001</v>
      </c>
      <c r="E727" t="s">
        <v>34</v>
      </c>
      <c r="F727">
        <v>622</v>
      </c>
      <c r="G727" t="str">
        <f>_xlfn.XLOOKUP(Table1[[#This Row],[Department]],Table6[Department],Table6[Id_Departement])</f>
        <v>D002</v>
      </c>
      <c r="H727" t="s">
        <v>38</v>
      </c>
      <c r="I727">
        <v>14</v>
      </c>
      <c r="J727" t="str">
        <f>_xlfn.XLOOKUP(Table1[[#This Row],[Education]],Table8[Education],Table8[Id_Education])</f>
        <v>E004</v>
      </c>
      <c r="K727">
        <v>4</v>
      </c>
      <c r="L727" t="str">
        <f>_xlfn.XLOOKUP(Table1[[#This Row],[EducationField]],Table7[EducationField],Table7[Id_EducationField])</f>
        <v>EF002</v>
      </c>
      <c r="M727" t="s">
        <v>41</v>
      </c>
      <c r="N727" t="str">
        <f>_xlfn.XLOOKUP(Table1[[#This Row],[EmployeeNumber]],Table4[EmployeeNumber],Table4[Id_Employee])</f>
        <v>EMP00726</v>
      </c>
      <c r="O727">
        <v>1010</v>
      </c>
      <c r="P727" t="str">
        <f>_xlfn.XLOOKUP(Table1[[#This Row],[EnvironmentSatisfaction]],Table9[EnvironmentSatisfaction],Table9[Id_EnviromentSatisfaction])</f>
        <v>ES003</v>
      </c>
      <c r="Q727">
        <v>3</v>
      </c>
      <c r="R727" t="str">
        <f>_xlfn.XLOOKUP(Table1[[#This Row],[EnvironmentSatisfaction]],Table9[EnvironmentSatisfaction],Table9[Deskripsi])</f>
        <v>High</v>
      </c>
      <c r="S727" t="str">
        <f>_xlfn.XLOOKUP(Table1[[#This Row],[Gender]],Table10[Gender],Table10[Id_Gender])</f>
        <v>G002</v>
      </c>
      <c r="T727" t="s">
        <v>46</v>
      </c>
      <c r="U727">
        <v>39</v>
      </c>
      <c r="V727" t="str">
        <f>_xlfn.XLOOKUP(Table1[[#This Row],[JobInvolvement]],Table11[JobInvolvement],Table11[Id_JobInvolvement])</f>
        <v>JI002</v>
      </c>
      <c r="W727">
        <v>2</v>
      </c>
      <c r="X727" t="str">
        <f>_xlfn.XLOOKUP(Table1[[#This Row],[JobLevel]],Table12[JobLevel],Table12[Id_JobLevel])</f>
        <v>JL001</v>
      </c>
      <c r="Y727">
        <v>1</v>
      </c>
      <c r="Z727" t="str">
        <f>_xlfn.XLOOKUP(Table1[[#This Row],[JobRole]],Table13[JobRole],Table13[Id_JobRole])</f>
        <v>JR003</v>
      </c>
      <c r="AA727" t="s">
        <v>49</v>
      </c>
      <c r="AB727" t="str">
        <f>_xlfn.XLOOKUP(Table1[[#This Row],[JobSatisfaction]],Table14[JobSatisfaction],Table14[Id_JobSatisfaction])</f>
        <v>JS002</v>
      </c>
      <c r="AC727">
        <v>2</v>
      </c>
      <c r="AD727" t="str">
        <f>_xlfn.XLOOKUP(Table1[[#This Row],[JobSatisfaction]],Table14[JobSatisfaction],Table14[Deskripsi])</f>
        <v>Medium</v>
      </c>
      <c r="AE727" t="str">
        <f>_xlfn.XLOOKUP(Table1[[#This Row],[MaritalStatus]],Table15[MaritalStatus],Table15[Id_MaritalStatus])</f>
        <v>MS003</v>
      </c>
      <c r="AF727" t="s">
        <v>57</v>
      </c>
      <c r="AG727">
        <v>3743</v>
      </c>
      <c r="AH727">
        <v>10074</v>
      </c>
      <c r="AI727">
        <v>1</v>
      </c>
      <c r="AJ727" t="str">
        <f>_xlfn.XLOOKUP(Table1[[#This Row],[OverTime]],Table16[OverTime],Table16[Id_OverTime])</f>
        <v>OT001</v>
      </c>
      <c r="AK727" t="s">
        <v>32</v>
      </c>
      <c r="AL727">
        <v>24</v>
      </c>
      <c r="AM727" t="str">
        <f>_xlfn.XLOOKUP(Table1[[#This Row],[PerformanceRating]],Table17[PerformanceRating],Table17[Id_PerformanceRating])</f>
        <v>PR004</v>
      </c>
      <c r="AN727">
        <v>4</v>
      </c>
      <c r="AO727" t="str">
        <f>_xlfn.XLOOKUP(Table1[[#This Row],[PerformanceRating]],Table17[PerformanceRating],Table17[Deskripsi])</f>
        <v>Outstanding</v>
      </c>
      <c r="AP727" t="str">
        <f>_xlfn.XLOOKUP(Table1[[#This Row],[RelationshipSatisfaction]],Table18[RelationshipSatisfaction],Table18[Id_RelationshipSatisfaction])</f>
        <v>RS004</v>
      </c>
      <c r="AQ727">
        <v>4</v>
      </c>
      <c r="AR727" t="str">
        <f>_xlfn.XLOOKUP(Table1[[#This Row],[RelationshipSatisfaction]],Table18[RelationshipSatisfaction],Table18[Deskripsi])</f>
        <v>Very High</v>
      </c>
      <c r="AS727" t="str">
        <f>_xlfn.XLOOKUP(Table1[[#This Row],[StockOptionLevel]],Table19[StockOptionLevel],Table19[Id_StockOptionLevel])</f>
        <v>SOL002</v>
      </c>
      <c r="AT727">
        <v>1</v>
      </c>
      <c r="AU727" t="str">
        <f>_xlfn.XLOOKUP(Table1[[#This Row],[StockOptionLevel]],Table19[StockOptionLevel],Table19[Deskripsi])</f>
        <v>Standard</v>
      </c>
      <c r="AV727">
        <v>5</v>
      </c>
      <c r="AW727">
        <v>2</v>
      </c>
      <c r="AX727" t="str">
        <f>_xlfn.XLOOKUP(Table1[[#This Row],[WorkLifeBalance]],Table20[WorkLifeBalance],Table20[Id_WorkLifeBalance])</f>
        <v>WLB001</v>
      </c>
      <c r="AY727">
        <v>1</v>
      </c>
      <c r="AZ727" t="str">
        <f>_xlfn.XLOOKUP(Table1[[#This Row],[WorkLifeBalance]],Table20[WorkLifeBalance],Table20[Deskripsi])</f>
        <v>Bad</v>
      </c>
      <c r="BA727">
        <v>4</v>
      </c>
      <c r="BB727">
        <v>2</v>
      </c>
      <c r="BC727">
        <v>0</v>
      </c>
      <c r="BD727">
        <v>2</v>
      </c>
    </row>
    <row r="728" spans="1:56" x14ac:dyDescent="0.25">
      <c r="A728">
        <v>31</v>
      </c>
      <c r="B728" t="str">
        <f>_xlfn.XLOOKUP(Table1[[#This Row],[Attrition]],Table2[Attrition],Table2[Id_Attrition])</f>
        <v>A002</v>
      </c>
      <c r="C728" t="s">
        <v>33</v>
      </c>
      <c r="D728" t="str">
        <f>_xlfn.XLOOKUP(Table1[[#This Row],[BusinessTravel]],Table5[BusinessTravel],Table5[Id_BusinessTravel])</f>
        <v>BS002</v>
      </c>
      <c r="E728" t="s">
        <v>35</v>
      </c>
      <c r="F728">
        <v>853</v>
      </c>
      <c r="G728" t="str">
        <f>_xlfn.XLOOKUP(Table1[[#This Row],[Department]],Table6[Department],Table6[Id_Departement])</f>
        <v>D002</v>
      </c>
      <c r="H728" t="s">
        <v>38</v>
      </c>
      <c r="I728">
        <v>1</v>
      </c>
      <c r="J728" t="str">
        <f>_xlfn.XLOOKUP(Table1[[#This Row],[Education]],Table8[Education],Table8[Id_Education])</f>
        <v>E001</v>
      </c>
      <c r="K728">
        <v>1</v>
      </c>
      <c r="L728" t="str">
        <f>_xlfn.XLOOKUP(Table1[[#This Row],[EducationField]],Table7[EducationField],Table7[Id_EducationField])</f>
        <v>EF001</v>
      </c>
      <c r="M728" t="s">
        <v>40</v>
      </c>
      <c r="N728" t="str">
        <f>_xlfn.XLOOKUP(Table1[[#This Row],[EmployeeNumber]],Table4[EmployeeNumber],Table4[Id_Employee])</f>
        <v>EMP00727</v>
      </c>
      <c r="O728">
        <v>1011</v>
      </c>
      <c r="P728" t="str">
        <f>_xlfn.XLOOKUP(Table1[[#This Row],[EnvironmentSatisfaction]],Table9[EnvironmentSatisfaction],Table9[Id_EnviromentSatisfaction])</f>
        <v>ES003</v>
      </c>
      <c r="Q728">
        <v>3</v>
      </c>
      <c r="R728" t="str">
        <f>_xlfn.XLOOKUP(Table1[[#This Row],[EnvironmentSatisfaction]],Table9[EnvironmentSatisfaction],Table9[Deskripsi])</f>
        <v>High</v>
      </c>
      <c r="S728" t="str">
        <f>_xlfn.XLOOKUP(Table1[[#This Row],[Gender]],Table10[Gender],Table10[Id_Gender])</f>
        <v>G001</v>
      </c>
      <c r="T728" t="s">
        <v>45</v>
      </c>
      <c r="U728">
        <v>96</v>
      </c>
      <c r="V728" t="str">
        <f>_xlfn.XLOOKUP(Table1[[#This Row],[JobInvolvement]],Table11[JobInvolvement],Table11[Id_JobInvolvement])</f>
        <v>JI003</v>
      </c>
      <c r="W728">
        <v>3</v>
      </c>
      <c r="X728" t="str">
        <f>_xlfn.XLOOKUP(Table1[[#This Row],[JobLevel]],Table12[JobLevel],Table12[Id_JobLevel])</f>
        <v>JL002</v>
      </c>
      <c r="Y728">
        <v>2</v>
      </c>
      <c r="Z728" t="str">
        <f>_xlfn.XLOOKUP(Table1[[#This Row],[JobRole]],Table13[JobRole],Table13[Id_JobRole])</f>
        <v>JR004</v>
      </c>
      <c r="AA728" t="s">
        <v>50</v>
      </c>
      <c r="AB728" t="str">
        <f>_xlfn.XLOOKUP(Table1[[#This Row],[JobSatisfaction]],Table14[JobSatisfaction],Table14[Id_JobSatisfaction])</f>
        <v>JS001</v>
      </c>
      <c r="AC728">
        <v>1</v>
      </c>
      <c r="AD728" t="str">
        <f>_xlfn.XLOOKUP(Table1[[#This Row],[JobSatisfaction]],Table14[JobSatisfaction],Table14[Deskripsi])</f>
        <v>Low</v>
      </c>
      <c r="AE728" t="str">
        <f>_xlfn.XLOOKUP(Table1[[#This Row],[MaritalStatus]],Table15[MaritalStatus],Table15[Id_MaritalStatus])</f>
        <v>MS002</v>
      </c>
      <c r="AF728" t="s">
        <v>56</v>
      </c>
      <c r="AG728">
        <v>4148</v>
      </c>
      <c r="AH728">
        <v>11275</v>
      </c>
      <c r="AI728">
        <v>1</v>
      </c>
      <c r="AJ728" t="str">
        <f>_xlfn.XLOOKUP(Table1[[#This Row],[OverTime]],Table16[OverTime],Table16[Id_OverTime])</f>
        <v>OT002</v>
      </c>
      <c r="AK728" t="s">
        <v>33</v>
      </c>
      <c r="AL728">
        <v>12</v>
      </c>
      <c r="AM728" t="str">
        <f>_xlfn.XLOOKUP(Table1[[#This Row],[PerformanceRating]],Table17[PerformanceRating],Table17[Id_PerformanceRating])</f>
        <v>PR003</v>
      </c>
      <c r="AN728">
        <v>3</v>
      </c>
      <c r="AO728" t="str">
        <f>_xlfn.XLOOKUP(Table1[[#This Row],[PerformanceRating]],Table17[PerformanceRating],Table17[Deskripsi])</f>
        <v>Excellent</v>
      </c>
      <c r="AP728" t="str">
        <f>_xlfn.XLOOKUP(Table1[[#This Row],[RelationshipSatisfaction]],Table18[RelationshipSatisfaction],Table18[Id_RelationshipSatisfaction])</f>
        <v>RS003</v>
      </c>
      <c r="AQ728">
        <v>3</v>
      </c>
      <c r="AR728" t="str">
        <f>_xlfn.XLOOKUP(Table1[[#This Row],[RelationshipSatisfaction]],Table18[RelationshipSatisfaction],Table18[Deskripsi])</f>
        <v>High</v>
      </c>
      <c r="AS728" t="str">
        <f>_xlfn.XLOOKUP(Table1[[#This Row],[StockOptionLevel]],Table19[StockOptionLevel],Table19[Id_StockOptionLevel])</f>
        <v>SOL002</v>
      </c>
      <c r="AT728">
        <v>1</v>
      </c>
      <c r="AU728" t="str">
        <f>_xlfn.XLOOKUP(Table1[[#This Row],[StockOptionLevel]],Table19[StockOptionLevel],Table19[Deskripsi])</f>
        <v>Standard</v>
      </c>
      <c r="AV728">
        <v>4</v>
      </c>
      <c r="AW728">
        <v>1</v>
      </c>
      <c r="AX728" t="str">
        <f>_xlfn.XLOOKUP(Table1[[#This Row],[WorkLifeBalance]],Table20[WorkLifeBalance],Table20[Id_WorkLifeBalance])</f>
        <v>WLB002</v>
      </c>
      <c r="AY728">
        <v>3</v>
      </c>
      <c r="AZ728" t="str">
        <f>_xlfn.XLOOKUP(Table1[[#This Row],[WorkLifeBalance]],Table20[WorkLifeBalance],Table20[Deskripsi])</f>
        <v>Good</v>
      </c>
      <c r="BA728">
        <v>4</v>
      </c>
      <c r="BB728">
        <v>3</v>
      </c>
      <c r="BC728">
        <v>0</v>
      </c>
      <c r="BD728">
        <v>3</v>
      </c>
    </row>
    <row r="729" spans="1:56" x14ac:dyDescent="0.25">
      <c r="A729">
        <v>18</v>
      </c>
      <c r="B729" t="str">
        <f>_xlfn.XLOOKUP(Table1[[#This Row],[Attrition]],Table2[Attrition],Table2[Id_Attrition])</f>
        <v>A002</v>
      </c>
      <c r="C729" t="s">
        <v>33</v>
      </c>
      <c r="D729" t="str">
        <f>_xlfn.XLOOKUP(Table1[[#This Row],[BusinessTravel]],Table5[BusinessTravel],Table5[Id_BusinessTravel])</f>
        <v>BS003</v>
      </c>
      <c r="E729" t="s">
        <v>36</v>
      </c>
      <c r="F729">
        <v>287</v>
      </c>
      <c r="G729" t="str">
        <f>_xlfn.XLOOKUP(Table1[[#This Row],[Department]],Table6[Department],Table6[Id_Departement])</f>
        <v>D002</v>
      </c>
      <c r="H729" t="s">
        <v>38</v>
      </c>
      <c r="I729">
        <v>5</v>
      </c>
      <c r="J729" t="str">
        <f>_xlfn.XLOOKUP(Table1[[#This Row],[Education]],Table8[Education],Table8[Id_Education])</f>
        <v>E002</v>
      </c>
      <c r="K729">
        <v>2</v>
      </c>
      <c r="L729" t="str">
        <f>_xlfn.XLOOKUP(Table1[[#This Row],[EducationField]],Table7[EducationField],Table7[Id_EducationField])</f>
        <v>EF001</v>
      </c>
      <c r="M729" t="s">
        <v>40</v>
      </c>
      <c r="N729" t="str">
        <f>_xlfn.XLOOKUP(Table1[[#This Row],[EmployeeNumber]],Table4[EmployeeNumber],Table4[Id_Employee])</f>
        <v>EMP00728</v>
      </c>
      <c r="O729">
        <v>1012</v>
      </c>
      <c r="P729" t="str">
        <f>_xlfn.XLOOKUP(Table1[[#This Row],[EnvironmentSatisfaction]],Table9[EnvironmentSatisfaction],Table9[Id_EnviromentSatisfaction])</f>
        <v>ES002</v>
      </c>
      <c r="Q729">
        <v>2</v>
      </c>
      <c r="R729" t="str">
        <f>_xlfn.XLOOKUP(Table1[[#This Row],[EnvironmentSatisfaction]],Table9[EnvironmentSatisfaction],Table9[Deskripsi])</f>
        <v>Medium</v>
      </c>
      <c r="S729" t="str">
        <f>_xlfn.XLOOKUP(Table1[[#This Row],[Gender]],Table10[Gender],Table10[Id_Gender])</f>
        <v>G002</v>
      </c>
      <c r="T729" t="s">
        <v>46</v>
      </c>
      <c r="U729">
        <v>73</v>
      </c>
      <c r="V729" t="str">
        <f>_xlfn.XLOOKUP(Table1[[#This Row],[JobInvolvement]],Table11[JobInvolvement],Table11[Id_JobInvolvement])</f>
        <v>JI003</v>
      </c>
      <c r="W729">
        <v>3</v>
      </c>
      <c r="X729" t="str">
        <f>_xlfn.XLOOKUP(Table1[[#This Row],[JobLevel]],Table12[JobLevel],Table12[Id_JobLevel])</f>
        <v>JL001</v>
      </c>
      <c r="Y729">
        <v>1</v>
      </c>
      <c r="Z729" t="str">
        <f>_xlfn.XLOOKUP(Table1[[#This Row],[JobRole]],Table13[JobRole],Table13[Id_JobRole])</f>
        <v>JR002</v>
      </c>
      <c r="AA729" t="s">
        <v>48</v>
      </c>
      <c r="AB729" t="str">
        <f>_xlfn.XLOOKUP(Table1[[#This Row],[JobSatisfaction]],Table14[JobSatisfaction],Table14[Id_JobSatisfaction])</f>
        <v>JS004</v>
      </c>
      <c r="AC729">
        <v>4</v>
      </c>
      <c r="AD729" t="str">
        <f>_xlfn.XLOOKUP(Table1[[#This Row],[JobSatisfaction]],Table14[JobSatisfaction],Table14[Deskripsi])</f>
        <v>Very High</v>
      </c>
      <c r="AE729" t="str">
        <f>_xlfn.XLOOKUP(Table1[[#This Row],[MaritalStatus]],Table15[MaritalStatus],Table15[Id_MaritalStatus])</f>
        <v>MS001</v>
      </c>
      <c r="AF729" t="s">
        <v>55</v>
      </c>
      <c r="AG729">
        <v>1051</v>
      </c>
      <c r="AH729">
        <v>13493</v>
      </c>
      <c r="AI729">
        <v>1</v>
      </c>
      <c r="AJ729" t="str">
        <f>_xlfn.XLOOKUP(Table1[[#This Row],[OverTime]],Table16[OverTime],Table16[Id_OverTime])</f>
        <v>OT002</v>
      </c>
      <c r="AK729" t="s">
        <v>33</v>
      </c>
      <c r="AL729">
        <v>15</v>
      </c>
      <c r="AM729" t="str">
        <f>_xlfn.XLOOKUP(Table1[[#This Row],[PerformanceRating]],Table17[PerformanceRating],Table17[Id_PerformanceRating])</f>
        <v>PR003</v>
      </c>
      <c r="AN729">
        <v>3</v>
      </c>
      <c r="AO729" t="str">
        <f>_xlfn.XLOOKUP(Table1[[#This Row],[PerformanceRating]],Table17[PerformanceRating],Table17[Deskripsi])</f>
        <v>Excellent</v>
      </c>
      <c r="AP729" t="str">
        <f>_xlfn.XLOOKUP(Table1[[#This Row],[RelationshipSatisfaction]],Table18[RelationshipSatisfaction],Table18[Id_RelationshipSatisfaction])</f>
        <v>RS004</v>
      </c>
      <c r="AQ729">
        <v>4</v>
      </c>
      <c r="AR729" t="str">
        <f>_xlfn.XLOOKUP(Table1[[#This Row],[RelationshipSatisfaction]],Table18[RelationshipSatisfaction],Table18[Deskripsi])</f>
        <v>Very High</v>
      </c>
      <c r="AS729" t="str">
        <f>_xlfn.XLOOKUP(Table1[[#This Row],[StockOptionLevel]],Table19[StockOptionLevel],Table19[Id_StockOptionLevel])</f>
        <v>SOL001</v>
      </c>
      <c r="AT729">
        <v>0</v>
      </c>
      <c r="AU729" t="str">
        <f>_xlfn.XLOOKUP(Table1[[#This Row],[StockOptionLevel]],Table19[StockOptionLevel],Table19[Deskripsi])</f>
        <v>Non-Eligible</v>
      </c>
      <c r="AV729">
        <v>0</v>
      </c>
      <c r="AW729">
        <v>2</v>
      </c>
      <c r="AX729" t="str">
        <f>_xlfn.XLOOKUP(Table1[[#This Row],[WorkLifeBalance]],Table20[WorkLifeBalance],Table20[Id_WorkLifeBalance])</f>
        <v>WLB002</v>
      </c>
      <c r="AY729">
        <v>3</v>
      </c>
      <c r="AZ729" t="str">
        <f>_xlfn.XLOOKUP(Table1[[#This Row],[WorkLifeBalance]],Table20[WorkLifeBalance],Table20[Deskripsi])</f>
        <v>Good</v>
      </c>
      <c r="BA729">
        <v>0</v>
      </c>
      <c r="BB729">
        <v>0</v>
      </c>
      <c r="BC729">
        <v>0</v>
      </c>
      <c r="BD729">
        <v>0</v>
      </c>
    </row>
    <row r="730" spans="1:56" x14ac:dyDescent="0.25">
      <c r="A730">
        <v>54</v>
      </c>
      <c r="B730" t="str">
        <f>_xlfn.XLOOKUP(Table1[[#This Row],[Attrition]],Table2[Attrition],Table2[Id_Attrition])</f>
        <v>A002</v>
      </c>
      <c r="C730" t="s">
        <v>33</v>
      </c>
      <c r="D730" t="str">
        <f>_xlfn.XLOOKUP(Table1[[#This Row],[BusinessTravel]],Table5[BusinessTravel],Table5[Id_BusinessTravel])</f>
        <v>BS001</v>
      </c>
      <c r="E730" t="s">
        <v>34</v>
      </c>
      <c r="F730">
        <v>1441</v>
      </c>
      <c r="G730" t="str">
        <f>_xlfn.XLOOKUP(Table1[[#This Row],[Department]],Table6[Department],Table6[Id_Departement])</f>
        <v>D002</v>
      </c>
      <c r="H730" t="s">
        <v>38</v>
      </c>
      <c r="I730">
        <v>17</v>
      </c>
      <c r="J730" t="str">
        <f>_xlfn.XLOOKUP(Table1[[#This Row],[Education]],Table8[Education],Table8[Id_Education])</f>
        <v>E003</v>
      </c>
      <c r="K730">
        <v>3</v>
      </c>
      <c r="L730" t="str">
        <f>_xlfn.XLOOKUP(Table1[[#This Row],[EducationField]],Table7[EducationField],Table7[Id_EducationField])</f>
        <v>EF005</v>
      </c>
      <c r="M730" t="s">
        <v>44</v>
      </c>
      <c r="N730" t="str">
        <f>_xlfn.XLOOKUP(Table1[[#This Row],[EmployeeNumber]],Table4[EmployeeNumber],Table4[Id_Employee])</f>
        <v>EMP00729</v>
      </c>
      <c r="O730">
        <v>1013</v>
      </c>
      <c r="P730" t="str">
        <f>_xlfn.XLOOKUP(Table1[[#This Row],[EnvironmentSatisfaction]],Table9[EnvironmentSatisfaction],Table9[Id_EnviromentSatisfaction])</f>
        <v>ES003</v>
      </c>
      <c r="Q730">
        <v>3</v>
      </c>
      <c r="R730" t="str">
        <f>_xlfn.XLOOKUP(Table1[[#This Row],[EnvironmentSatisfaction]],Table9[EnvironmentSatisfaction],Table9[Deskripsi])</f>
        <v>High</v>
      </c>
      <c r="S730" t="str">
        <f>_xlfn.XLOOKUP(Table1[[#This Row],[Gender]],Table10[Gender],Table10[Id_Gender])</f>
        <v>G001</v>
      </c>
      <c r="T730" t="s">
        <v>45</v>
      </c>
      <c r="U730">
        <v>56</v>
      </c>
      <c r="V730" t="str">
        <f>_xlfn.XLOOKUP(Table1[[#This Row],[JobInvolvement]],Table11[JobInvolvement],Table11[Id_JobInvolvement])</f>
        <v>JI003</v>
      </c>
      <c r="W730">
        <v>3</v>
      </c>
      <c r="X730" t="str">
        <f>_xlfn.XLOOKUP(Table1[[#This Row],[JobLevel]],Table12[JobLevel],Table12[Id_JobLevel])</f>
        <v>JL003</v>
      </c>
      <c r="Y730">
        <v>3</v>
      </c>
      <c r="Z730" t="str">
        <f>_xlfn.XLOOKUP(Table1[[#This Row],[JobRole]],Table13[JobRole],Table13[Id_JobRole])</f>
        <v>JR004</v>
      </c>
      <c r="AA730" t="s">
        <v>50</v>
      </c>
      <c r="AB730" t="str">
        <f>_xlfn.XLOOKUP(Table1[[#This Row],[JobSatisfaction]],Table14[JobSatisfaction],Table14[Id_JobSatisfaction])</f>
        <v>JS003</v>
      </c>
      <c r="AC730">
        <v>3</v>
      </c>
      <c r="AD730" t="str">
        <f>_xlfn.XLOOKUP(Table1[[#This Row],[JobSatisfaction]],Table14[JobSatisfaction],Table14[Deskripsi])</f>
        <v>High</v>
      </c>
      <c r="AE730" t="str">
        <f>_xlfn.XLOOKUP(Table1[[#This Row],[MaritalStatus]],Table15[MaritalStatus],Table15[Id_MaritalStatus])</f>
        <v>MS002</v>
      </c>
      <c r="AF730" t="s">
        <v>56</v>
      </c>
      <c r="AG730">
        <v>10739</v>
      </c>
      <c r="AH730">
        <v>13943</v>
      </c>
      <c r="AI730">
        <v>8</v>
      </c>
      <c r="AJ730" t="str">
        <f>_xlfn.XLOOKUP(Table1[[#This Row],[OverTime]],Table16[OverTime],Table16[Id_OverTime])</f>
        <v>OT002</v>
      </c>
      <c r="AK730" t="s">
        <v>33</v>
      </c>
      <c r="AL730">
        <v>11</v>
      </c>
      <c r="AM730" t="str">
        <f>_xlfn.XLOOKUP(Table1[[#This Row],[PerformanceRating]],Table17[PerformanceRating],Table17[Id_PerformanceRating])</f>
        <v>PR003</v>
      </c>
      <c r="AN730">
        <v>3</v>
      </c>
      <c r="AO730" t="str">
        <f>_xlfn.XLOOKUP(Table1[[#This Row],[PerformanceRating]],Table17[PerformanceRating],Table17[Deskripsi])</f>
        <v>Excellent</v>
      </c>
      <c r="AP730" t="str">
        <f>_xlfn.XLOOKUP(Table1[[#This Row],[RelationshipSatisfaction]],Table18[RelationshipSatisfaction],Table18[Id_RelationshipSatisfaction])</f>
        <v>RS003</v>
      </c>
      <c r="AQ730">
        <v>3</v>
      </c>
      <c r="AR730" t="str">
        <f>_xlfn.XLOOKUP(Table1[[#This Row],[RelationshipSatisfaction]],Table18[RelationshipSatisfaction],Table18[Deskripsi])</f>
        <v>High</v>
      </c>
      <c r="AS730" t="str">
        <f>_xlfn.XLOOKUP(Table1[[#This Row],[StockOptionLevel]],Table19[StockOptionLevel],Table19[Id_StockOptionLevel])</f>
        <v>SOL002</v>
      </c>
      <c r="AT730">
        <v>1</v>
      </c>
      <c r="AU730" t="str">
        <f>_xlfn.XLOOKUP(Table1[[#This Row],[StockOptionLevel]],Table19[StockOptionLevel],Table19[Deskripsi])</f>
        <v>Standard</v>
      </c>
      <c r="AV730">
        <v>22</v>
      </c>
      <c r="AW730">
        <v>2</v>
      </c>
      <c r="AX730" t="str">
        <f>_xlfn.XLOOKUP(Table1[[#This Row],[WorkLifeBalance]],Table20[WorkLifeBalance],Table20[Id_WorkLifeBalance])</f>
        <v>WLB002</v>
      </c>
      <c r="AY730">
        <v>3</v>
      </c>
      <c r="AZ730" t="str">
        <f>_xlfn.XLOOKUP(Table1[[#This Row],[WorkLifeBalance]],Table20[WorkLifeBalance],Table20[Deskripsi])</f>
        <v>Good</v>
      </c>
      <c r="BA730">
        <v>10</v>
      </c>
      <c r="BB730">
        <v>7</v>
      </c>
      <c r="BC730">
        <v>0</v>
      </c>
      <c r="BD730">
        <v>8</v>
      </c>
    </row>
    <row r="731" spans="1:56" x14ac:dyDescent="0.25">
      <c r="A731">
        <v>35</v>
      </c>
      <c r="B731" t="str">
        <f>_xlfn.XLOOKUP(Table1[[#This Row],[Attrition]],Table2[Attrition],Table2[Id_Attrition])</f>
        <v>A002</v>
      </c>
      <c r="C731" t="s">
        <v>33</v>
      </c>
      <c r="D731" t="str">
        <f>_xlfn.XLOOKUP(Table1[[#This Row],[BusinessTravel]],Table5[BusinessTravel],Table5[Id_BusinessTravel])</f>
        <v>BS001</v>
      </c>
      <c r="E731" t="s">
        <v>34</v>
      </c>
      <c r="F731">
        <v>583</v>
      </c>
      <c r="G731" t="str">
        <f>_xlfn.XLOOKUP(Table1[[#This Row],[Department]],Table6[Department],Table6[Id_Departement])</f>
        <v>D002</v>
      </c>
      <c r="H731" t="s">
        <v>38</v>
      </c>
      <c r="I731">
        <v>25</v>
      </c>
      <c r="J731" t="str">
        <f>_xlfn.XLOOKUP(Table1[[#This Row],[Education]],Table8[Education],Table8[Id_Education])</f>
        <v>E004</v>
      </c>
      <c r="K731">
        <v>4</v>
      </c>
      <c r="L731" t="str">
        <f>_xlfn.XLOOKUP(Table1[[#This Row],[EducationField]],Table7[EducationField],Table7[Id_EducationField])</f>
        <v>EF003</v>
      </c>
      <c r="M731" t="s">
        <v>42</v>
      </c>
      <c r="N731" t="str">
        <f>_xlfn.XLOOKUP(Table1[[#This Row],[EmployeeNumber]],Table4[EmployeeNumber],Table4[Id_Employee])</f>
        <v>EMP00730</v>
      </c>
      <c r="O731">
        <v>1014</v>
      </c>
      <c r="P731" t="str">
        <f>_xlfn.XLOOKUP(Table1[[#This Row],[EnvironmentSatisfaction]],Table9[EnvironmentSatisfaction],Table9[Id_EnviromentSatisfaction])</f>
        <v>ES003</v>
      </c>
      <c r="Q731">
        <v>3</v>
      </c>
      <c r="R731" t="str">
        <f>_xlfn.XLOOKUP(Table1[[#This Row],[EnvironmentSatisfaction]],Table9[EnvironmentSatisfaction],Table9[Deskripsi])</f>
        <v>High</v>
      </c>
      <c r="S731" t="str">
        <f>_xlfn.XLOOKUP(Table1[[#This Row],[Gender]],Table10[Gender],Table10[Id_Gender])</f>
        <v>G001</v>
      </c>
      <c r="T731" t="s">
        <v>45</v>
      </c>
      <c r="U731">
        <v>57</v>
      </c>
      <c r="V731" t="str">
        <f>_xlfn.XLOOKUP(Table1[[#This Row],[JobInvolvement]],Table11[JobInvolvement],Table11[Id_JobInvolvement])</f>
        <v>JI003</v>
      </c>
      <c r="W731">
        <v>3</v>
      </c>
      <c r="X731" t="str">
        <f>_xlfn.XLOOKUP(Table1[[#This Row],[JobLevel]],Table12[JobLevel],Table12[Id_JobLevel])</f>
        <v>JL003</v>
      </c>
      <c r="Y731">
        <v>3</v>
      </c>
      <c r="Z731" t="str">
        <f>_xlfn.XLOOKUP(Table1[[#This Row],[JobRole]],Table13[JobRole],Table13[Id_JobRole])</f>
        <v>JR005</v>
      </c>
      <c r="AA731" t="s">
        <v>51</v>
      </c>
      <c r="AB731" t="str">
        <f>_xlfn.XLOOKUP(Table1[[#This Row],[JobSatisfaction]],Table14[JobSatisfaction],Table14[Id_JobSatisfaction])</f>
        <v>JS003</v>
      </c>
      <c r="AC731">
        <v>3</v>
      </c>
      <c r="AD731" t="str">
        <f>_xlfn.XLOOKUP(Table1[[#This Row],[JobSatisfaction]],Table14[JobSatisfaction],Table14[Deskripsi])</f>
        <v>High</v>
      </c>
      <c r="AE731" t="str">
        <f>_xlfn.XLOOKUP(Table1[[#This Row],[MaritalStatus]],Table15[MaritalStatus],Table15[Id_MaritalStatus])</f>
        <v>MS003</v>
      </c>
      <c r="AF731" t="s">
        <v>57</v>
      </c>
      <c r="AG731">
        <v>10388</v>
      </c>
      <c r="AH731">
        <v>6975</v>
      </c>
      <c r="AI731">
        <v>1</v>
      </c>
      <c r="AJ731" t="str">
        <f>_xlfn.XLOOKUP(Table1[[#This Row],[OverTime]],Table16[OverTime],Table16[Id_OverTime])</f>
        <v>OT001</v>
      </c>
      <c r="AK731" t="s">
        <v>32</v>
      </c>
      <c r="AL731">
        <v>11</v>
      </c>
      <c r="AM731" t="str">
        <f>_xlfn.XLOOKUP(Table1[[#This Row],[PerformanceRating]],Table17[PerformanceRating],Table17[Id_PerformanceRating])</f>
        <v>PR003</v>
      </c>
      <c r="AN731">
        <v>3</v>
      </c>
      <c r="AO731" t="str">
        <f>_xlfn.XLOOKUP(Table1[[#This Row],[PerformanceRating]],Table17[PerformanceRating],Table17[Deskripsi])</f>
        <v>Excellent</v>
      </c>
      <c r="AP731" t="str">
        <f>_xlfn.XLOOKUP(Table1[[#This Row],[RelationshipSatisfaction]],Table18[RelationshipSatisfaction],Table18[Id_RelationshipSatisfaction])</f>
        <v>RS003</v>
      </c>
      <c r="AQ731">
        <v>3</v>
      </c>
      <c r="AR731" t="str">
        <f>_xlfn.XLOOKUP(Table1[[#This Row],[RelationshipSatisfaction]],Table18[RelationshipSatisfaction],Table18[Deskripsi])</f>
        <v>High</v>
      </c>
      <c r="AS731" t="str">
        <f>_xlfn.XLOOKUP(Table1[[#This Row],[StockOptionLevel]],Table19[StockOptionLevel],Table19[Id_StockOptionLevel])</f>
        <v>SOL002</v>
      </c>
      <c r="AT731">
        <v>1</v>
      </c>
      <c r="AU731" t="str">
        <f>_xlfn.XLOOKUP(Table1[[#This Row],[StockOptionLevel]],Table19[StockOptionLevel],Table19[Deskripsi])</f>
        <v>Standard</v>
      </c>
      <c r="AV731">
        <v>16</v>
      </c>
      <c r="AW731">
        <v>3</v>
      </c>
      <c r="AX731" t="str">
        <f>_xlfn.XLOOKUP(Table1[[#This Row],[WorkLifeBalance]],Table20[WorkLifeBalance],Table20[Id_WorkLifeBalance])</f>
        <v>WLB003</v>
      </c>
      <c r="AY731">
        <v>2</v>
      </c>
      <c r="AZ731" t="str">
        <f>_xlfn.XLOOKUP(Table1[[#This Row],[WorkLifeBalance]],Table20[WorkLifeBalance],Table20[Deskripsi])</f>
        <v>Better</v>
      </c>
      <c r="BA731">
        <v>16</v>
      </c>
      <c r="BB731">
        <v>10</v>
      </c>
      <c r="BC731">
        <v>10</v>
      </c>
      <c r="BD731">
        <v>1</v>
      </c>
    </row>
    <row r="732" spans="1:56" x14ac:dyDescent="0.25">
      <c r="A732">
        <v>30</v>
      </c>
      <c r="B732" t="str">
        <f>_xlfn.XLOOKUP(Table1[[#This Row],[Attrition]],Table2[Attrition],Table2[Id_Attrition])</f>
        <v>A002</v>
      </c>
      <c r="C732" t="s">
        <v>33</v>
      </c>
      <c r="D732" t="str">
        <f>_xlfn.XLOOKUP(Table1[[#This Row],[BusinessTravel]],Table5[BusinessTravel],Table5[Id_BusinessTravel])</f>
        <v>BS001</v>
      </c>
      <c r="E732" t="s">
        <v>34</v>
      </c>
      <c r="F732">
        <v>153</v>
      </c>
      <c r="G732" t="str">
        <f>_xlfn.XLOOKUP(Table1[[#This Row],[Department]],Table6[Department],Table6[Id_Departement])</f>
        <v>D002</v>
      </c>
      <c r="H732" t="s">
        <v>38</v>
      </c>
      <c r="I732">
        <v>8</v>
      </c>
      <c r="J732" t="str">
        <f>_xlfn.XLOOKUP(Table1[[#This Row],[Education]],Table8[Education],Table8[Id_Education])</f>
        <v>E002</v>
      </c>
      <c r="K732">
        <v>2</v>
      </c>
      <c r="L732" t="str">
        <f>_xlfn.XLOOKUP(Table1[[#This Row],[EducationField]],Table7[EducationField],Table7[Id_EducationField])</f>
        <v>EF001</v>
      </c>
      <c r="M732" t="s">
        <v>40</v>
      </c>
      <c r="N732" t="str">
        <f>_xlfn.XLOOKUP(Table1[[#This Row],[EmployeeNumber]],Table4[EmployeeNumber],Table4[Id_Employee])</f>
        <v>EMP00731</v>
      </c>
      <c r="O732">
        <v>1015</v>
      </c>
      <c r="P732" t="str">
        <f>_xlfn.XLOOKUP(Table1[[#This Row],[EnvironmentSatisfaction]],Table9[EnvironmentSatisfaction],Table9[Id_EnviromentSatisfaction])</f>
        <v>ES002</v>
      </c>
      <c r="Q732">
        <v>2</v>
      </c>
      <c r="R732" t="str">
        <f>_xlfn.XLOOKUP(Table1[[#This Row],[EnvironmentSatisfaction]],Table9[EnvironmentSatisfaction],Table9[Deskripsi])</f>
        <v>Medium</v>
      </c>
      <c r="S732" t="str">
        <f>_xlfn.XLOOKUP(Table1[[#This Row],[Gender]],Table10[Gender],Table10[Id_Gender])</f>
        <v>G001</v>
      </c>
      <c r="T732" t="s">
        <v>45</v>
      </c>
      <c r="U732">
        <v>73</v>
      </c>
      <c r="V732" t="str">
        <f>_xlfn.XLOOKUP(Table1[[#This Row],[JobInvolvement]],Table11[JobInvolvement],Table11[Id_JobInvolvement])</f>
        <v>JI004</v>
      </c>
      <c r="W732">
        <v>4</v>
      </c>
      <c r="X732" t="str">
        <f>_xlfn.XLOOKUP(Table1[[#This Row],[JobLevel]],Table12[JobLevel],Table12[Id_JobLevel])</f>
        <v>JL003</v>
      </c>
      <c r="Y732">
        <v>3</v>
      </c>
      <c r="Z732" t="str">
        <f>_xlfn.XLOOKUP(Table1[[#This Row],[JobRole]],Table13[JobRole],Table13[Id_JobRole])</f>
        <v>JR008</v>
      </c>
      <c r="AA732" t="s">
        <v>54</v>
      </c>
      <c r="AB732" t="str">
        <f>_xlfn.XLOOKUP(Table1[[#This Row],[JobSatisfaction]],Table14[JobSatisfaction],Table14[Id_JobSatisfaction])</f>
        <v>JS001</v>
      </c>
      <c r="AC732">
        <v>1</v>
      </c>
      <c r="AD732" t="str">
        <f>_xlfn.XLOOKUP(Table1[[#This Row],[JobSatisfaction]],Table14[JobSatisfaction],Table14[Deskripsi])</f>
        <v>Low</v>
      </c>
      <c r="AE732" t="str">
        <f>_xlfn.XLOOKUP(Table1[[#This Row],[MaritalStatus]],Table15[MaritalStatus],Table15[Id_MaritalStatus])</f>
        <v>MS002</v>
      </c>
      <c r="AF732" t="s">
        <v>56</v>
      </c>
      <c r="AG732">
        <v>11416</v>
      </c>
      <c r="AH732">
        <v>17802</v>
      </c>
      <c r="AI732">
        <v>0</v>
      </c>
      <c r="AJ732" t="str">
        <f>_xlfn.XLOOKUP(Table1[[#This Row],[OverTime]],Table16[OverTime],Table16[Id_OverTime])</f>
        <v>OT001</v>
      </c>
      <c r="AK732" t="s">
        <v>32</v>
      </c>
      <c r="AL732">
        <v>12</v>
      </c>
      <c r="AM732" t="str">
        <f>_xlfn.XLOOKUP(Table1[[#This Row],[PerformanceRating]],Table17[PerformanceRating],Table17[Id_PerformanceRating])</f>
        <v>PR003</v>
      </c>
      <c r="AN732">
        <v>3</v>
      </c>
      <c r="AO732" t="str">
        <f>_xlfn.XLOOKUP(Table1[[#This Row],[PerformanceRating]],Table17[PerformanceRating],Table17[Deskripsi])</f>
        <v>Excellent</v>
      </c>
      <c r="AP732" t="str">
        <f>_xlfn.XLOOKUP(Table1[[#This Row],[RelationshipSatisfaction]],Table18[RelationshipSatisfaction],Table18[Id_RelationshipSatisfaction])</f>
        <v>RS003</v>
      </c>
      <c r="AQ732">
        <v>3</v>
      </c>
      <c r="AR732" t="str">
        <f>_xlfn.XLOOKUP(Table1[[#This Row],[RelationshipSatisfaction]],Table18[RelationshipSatisfaction],Table18[Deskripsi])</f>
        <v>High</v>
      </c>
      <c r="AS732" t="str">
        <f>_xlfn.XLOOKUP(Table1[[#This Row],[StockOptionLevel]],Table19[StockOptionLevel],Table19[Id_StockOptionLevel])</f>
        <v>SOL004</v>
      </c>
      <c r="AT732">
        <v>3</v>
      </c>
      <c r="AU732" t="str">
        <f>_xlfn.XLOOKUP(Table1[[#This Row],[StockOptionLevel]],Table19[StockOptionLevel],Table19[Deskripsi])</f>
        <v>Senior/Executive</v>
      </c>
      <c r="AV732">
        <v>9</v>
      </c>
      <c r="AW732">
        <v>4</v>
      </c>
      <c r="AX732" t="str">
        <f>_xlfn.XLOOKUP(Table1[[#This Row],[WorkLifeBalance]],Table20[WorkLifeBalance],Table20[Id_WorkLifeBalance])</f>
        <v>WLB003</v>
      </c>
      <c r="AY732">
        <v>2</v>
      </c>
      <c r="AZ732" t="str">
        <f>_xlfn.XLOOKUP(Table1[[#This Row],[WorkLifeBalance]],Table20[WorkLifeBalance],Table20[Deskripsi])</f>
        <v>Better</v>
      </c>
      <c r="BA732">
        <v>8</v>
      </c>
      <c r="BB732">
        <v>7</v>
      </c>
      <c r="BC732">
        <v>1</v>
      </c>
      <c r="BD732">
        <v>7</v>
      </c>
    </row>
    <row r="733" spans="1:56" x14ac:dyDescent="0.25">
      <c r="A733">
        <v>20</v>
      </c>
      <c r="B733" t="str">
        <f>_xlfn.XLOOKUP(Table1[[#This Row],[Attrition]],Table2[Attrition],Table2[Id_Attrition])</f>
        <v>A001</v>
      </c>
      <c r="C733" t="s">
        <v>32</v>
      </c>
      <c r="D733" t="str">
        <f>_xlfn.XLOOKUP(Table1[[#This Row],[BusinessTravel]],Table5[BusinessTravel],Table5[Id_BusinessTravel])</f>
        <v>BS001</v>
      </c>
      <c r="E733" t="s">
        <v>34</v>
      </c>
      <c r="F733">
        <v>1097</v>
      </c>
      <c r="G733" t="str">
        <f>_xlfn.XLOOKUP(Table1[[#This Row],[Department]],Table6[Department],Table6[Id_Departement])</f>
        <v>D002</v>
      </c>
      <c r="H733" t="s">
        <v>38</v>
      </c>
      <c r="I733">
        <v>11</v>
      </c>
      <c r="J733" t="str">
        <f>_xlfn.XLOOKUP(Table1[[#This Row],[Education]],Table8[Education],Table8[Id_Education])</f>
        <v>E003</v>
      </c>
      <c r="K733">
        <v>3</v>
      </c>
      <c r="L733" t="str">
        <f>_xlfn.XLOOKUP(Table1[[#This Row],[EducationField]],Table7[EducationField],Table7[Id_EducationField])</f>
        <v>EF003</v>
      </c>
      <c r="M733" t="s">
        <v>42</v>
      </c>
      <c r="N733" t="str">
        <f>_xlfn.XLOOKUP(Table1[[#This Row],[EmployeeNumber]],Table4[EmployeeNumber],Table4[Id_Employee])</f>
        <v>EMP00732</v>
      </c>
      <c r="O733">
        <v>1016</v>
      </c>
      <c r="P733" t="str">
        <f>_xlfn.XLOOKUP(Table1[[#This Row],[EnvironmentSatisfaction]],Table9[EnvironmentSatisfaction],Table9[Id_EnviromentSatisfaction])</f>
        <v>ES004</v>
      </c>
      <c r="Q733">
        <v>4</v>
      </c>
      <c r="R733" t="str">
        <f>_xlfn.XLOOKUP(Table1[[#This Row],[EnvironmentSatisfaction]],Table9[EnvironmentSatisfaction],Table9[Deskripsi])</f>
        <v>Very High</v>
      </c>
      <c r="S733" t="str">
        <f>_xlfn.XLOOKUP(Table1[[#This Row],[Gender]],Table10[Gender],Table10[Id_Gender])</f>
        <v>G001</v>
      </c>
      <c r="T733" t="s">
        <v>45</v>
      </c>
      <c r="U733">
        <v>98</v>
      </c>
      <c r="V733" t="str">
        <f>_xlfn.XLOOKUP(Table1[[#This Row],[JobInvolvement]],Table11[JobInvolvement],Table11[Id_JobInvolvement])</f>
        <v>JI002</v>
      </c>
      <c r="W733">
        <v>2</v>
      </c>
      <c r="X733" t="str">
        <f>_xlfn.XLOOKUP(Table1[[#This Row],[JobLevel]],Table12[JobLevel],Table12[Id_JobLevel])</f>
        <v>JL001</v>
      </c>
      <c r="Y733">
        <v>1</v>
      </c>
      <c r="Z733" t="str">
        <f>_xlfn.XLOOKUP(Table1[[#This Row],[JobRole]],Table13[JobRole],Table13[Id_JobRole])</f>
        <v>JR002</v>
      </c>
      <c r="AA733" t="s">
        <v>48</v>
      </c>
      <c r="AB733" t="str">
        <f>_xlfn.XLOOKUP(Table1[[#This Row],[JobSatisfaction]],Table14[JobSatisfaction],Table14[Id_JobSatisfaction])</f>
        <v>JS001</v>
      </c>
      <c r="AC733">
        <v>1</v>
      </c>
      <c r="AD733" t="str">
        <f>_xlfn.XLOOKUP(Table1[[#This Row],[JobSatisfaction]],Table14[JobSatisfaction],Table14[Deskripsi])</f>
        <v>Low</v>
      </c>
      <c r="AE733" t="str">
        <f>_xlfn.XLOOKUP(Table1[[#This Row],[MaritalStatus]],Table15[MaritalStatus],Table15[Id_MaritalStatus])</f>
        <v>MS001</v>
      </c>
      <c r="AF733" t="s">
        <v>55</v>
      </c>
      <c r="AG733">
        <v>2600</v>
      </c>
      <c r="AH733">
        <v>18275</v>
      </c>
      <c r="AI733">
        <v>1</v>
      </c>
      <c r="AJ733" t="str">
        <f>_xlfn.XLOOKUP(Table1[[#This Row],[OverTime]],Table16[OverTime],Table16[Id_OverTime])</f>
        <v>OT001</v>
      </c>
      <c r="AK733" t="s">
        <v>32</v>
      </c>
      <c r="AL733">
        <v>15</v>
      </c>
      <c r="AM733" t="str">
        <f>_xlfn.XLOOKUP(Table1[[#This Row],[PerformanceRating]],Table17[PerformanceRating],Table17[Id_PerformanceRating])</f>
        <v>PR003</v>
      </c>
      <c r="AN733">
        <v>3</v>
      </c>
      <c r="AO733" t="str">
        <f>_xlfn.XLOOKUP(Table1[[#This Row],[PerformanceRating]],Table17[PerformanceRating],Table17[Deskripsi])</f>
        <v>Excellent</v>
      </c>
      <c r="AP733" t="str">
        <f>_xlfn.XLOOKUP(Table1[[#This Row],[RelationshipSatisfaction]],Table18[RelationshipSatisfaction],Table18[Id_RelationshipSatisfaction])</f>
        <v>RS001</v>
      </c>
      <c r="AQ733">
        <v>1</v>
      </c>
      <c r="AR733" t="str">
        <f>_xlfn.XLOOKUP(Table1[[#This Row],[RelationshipSatisfaction]],Table18[RelationshipSatisfaction],Table18[Deskripsi])</f>
        <v>Low</v>
      </c>
      <c r="AS733" t="str">
        <f>_xlfn.XLOOKUP(Table1[[#This Row],[StockOptionLevel]],Table19[StockOptionLevel],Table19[Id_StockOptionLevel])</f>
        <v>SOL001</v>
      </c>
      <c r="AT733">
        <v>0</v>
      </c>
      <c r="AU733" t="str">
        <f>_xlfn.XLOOKUP(Table1[[#This Row],[StockOptionLevel]],Table19[StockOptionLevel],Table19[Deskripsi])</f>
        <v>Non-Eligible</v>
      </c>
      <c r="AV733">
        <v>1</v>
      </c>
      <c r="AW733">
        <v>2</v>
      </c>
      <c r="AX733" t="str">
        <f>_xlfn.XLOOKUP(Table1[[#This Row],[WorkLifeBalance]],Table20[WorkLifeBalance],Table20[Id_WorkLifeBalance])</f>
        <v>WLB002</v>
      </c>
      <c r="AY733">
        <v>3</v>
      </c>
      <c r="AZ733" t="str">
        <f>_xlfn.XLOOKUP(Table1[[#This Row],[WorkLifeBalance]],Table20[WorkLifeBalance],Table20[Deskripsi])</f>
        <v>Good</v>
      </c>
      <c r="BA733">
        <v>1</v>
      </c>
      <c r="BB733">
        <v>0</v>
      </c>
      <c r="BC733">
        <v>0</v>
      </c>
      <c r="BD733">
        <v>0</v>
      </c>
    </row>
    <row r="734" spans="1:56" x14ac:dyDescent="0.25">
      <c r="A734">
        <v>30</v>
      </c>
      <c r="B734" t="str">
        <f>_xlfn.XLOOKUP(Table1[[#This Row],[Attrition]],Table2[Attrition],Table2[Id_Attrition])</f>
        <v>A001</v>
      </c>
      <c r="C734" t="s">
        <v>32</v>
      </c>
      <c r="D734" t="str">
        <f>_xlfn.XLOOKUP(Table1[[#This Row],[BusinessTravel]],Table5[BusinessTravel],Table5[Id_BusinessTravel])</f>
        <v>BS002</v>
      </c>
      <c r="E734" t="s">
        <v>35</v>
      </c>
      <c r="F734">
        <v>109</v>
      </c>
      <c r="G734" t="str">
        <f>_xlfn.XLOOKUP(Table1[[#This Row],[Department]],Table6[Department],Table6[Id_Departement])</f>
        <v>D002</v>
      </c>
      <c r="H734" t="s">
        <v>38</v>
      </c>
      <c r="I734">
        <v>5</v>
      </c>
      <c r="J734" t="str">
        <f>_xlfn.XLOOKUP(Table1[[#This Row],[Education]],Table8[Education],Table8[Id_Education])</f>
        <v>E003</v>
      </c>
      <c r="K734">
        <v>3</v>
      </c>
      <c r="L734" t="str">
        <f>_xlfn.XLOOKUP(Table1[[#This Row],[EducationField]],Table7[EducationField],Table7[Id_EducationField])</f>
        <v>EF003</v>
      </c>
      <c r="M734" t="s">
        <v>42</v>
      </c>
      <c r="N734" t="str">
        <f>_xlfn.XLOOKUP(Table1[[#This Row],[EmployeeNumber]],Table4[EmployeeNumber],Table4[Id_Employee])</f>
        <v>EMP00733</v>
      </c>
      <c r="O734">
        <v>1017</v>
      </c>
      <c r="P734" t="str">
        <f>_xlfn.XLOOKUP(Table1[[#This Row],[EnvironmentSatisfaction]],Table9[EnvironmentSatisfaction],Table9[Id_EnviromentSatisfaction])</f>
        <v>ES002</v>
      </c>
      <c r="Q734">
        <v>2</v>
      </c>
      <c r="R734" t="str">
        <f>_xlfn.XLOOKUP(Table1[[#This Row],[EnvironmentSatisfaction]],Table9[EnvironmentSatisfaction],Table9[Deskripsi])</f>
        <v>Medium</v>
      </c>
      <c r="S734" t="str">
        <f>_xlfn.XLOOKUP(Table1[[#This Row],[Gender]],Table10[Gender],Table10[Id_Gender])</f>
        <v>G001</v>
      </c>
      <c r="T734" t="s">
        <v>45</v>
      </c>
      <c r="U734">
        <v>60</v>
      </c>
      <c r="V734" t="str">
        <f>_xlfn.XLOOKUP(Table1[[#This Row],[JobInvolvement]],Table11[JobInvolvement],Table11[Id_JobInvolvement])</f>
        <v>JI003</v>
      </c>
      <c r="W734">
        <v>3</v>
      </c>
      <c r="X734" t="str">
        <f>_xlfn.XLOOKUP(Table1[[#This Row],[JobLevel]],Table12[JobLevel],Table12[Id_JobLevel])</f>
        <v>JL001</v>
      </c>
      <c r="Y734">
        <v>1</v>
      </c>
      <c r="Z734" t="str">
        <f>_xlfn.XLOOKUP(Table1[[#This Row],[JobRole]],Table13[JobRole],Table13[Id_JobRole])</f>
        <v>JR003</v>
      </c>
      <c r="AA734" t="s">
        <v>49</v>
      </c>
      <c r="AB734" t="str">
        <f>_xlfn.XLOOKUP(Table1[[#This Row],[JobSatisfaction]],Table14[JobSatisfaction],Table14[Id_JobSatisfaction])</f>
        <v>JS002</v>
      </c>
      <c r="AC734">
        <v>2</v>
      </c>
      <c r="AD734" t="str">
        <f>_xlfn.XLOOKUP(Table1[[#This Row],[JobSatisfaction]],Table14[JobSatisfaction],Table14[Deskripsi])</f>
        <v>Medium</v>
      </c>
      <c r="AE734" t="str">
        <f>_xlfn.XLOOKUP(Table1[[#This Row],[MaritalStatus]],Table15[MaritalStatus],Table15[Id_MaritalStatus])</f>
        <v>MS001</v>
      </c>
      <c r="AF734" t="s">
        <v>55</v>
      </c>
      <c r="AG734">
        <v>2422</v>
      </c>
      <c r="AH734">
        <v>25725</v>
      </c>
      <c r="AI734">
        <v>0</v>
      </c>
      <c r="AJ734" t="str">
        <f>_xlfn.XLOOKUP(Table1[[#This Row],[OverTime]],Table16[OverTime],Table16[Id_OverTime])</f>
        <v>OT002</v>
      </c>
      <c r="AK734" t="s">
        <v>33</v>
      </c>
      <c r="AL734">
        <v>17</v>
      </c>
      <c r="AM734" t="str">
        <f>_xlfn.XLOOKUP(Table1[[#This Row],[PerformanceRating]],Table17[PerformanceRating],Table17[Id_PerformanceRating])</f>
        <v>PR003</v>
      </c>
      <c r="AN734">
        <v>3</v>
      </c>
      <c r="AO734" t="str">
        <f>_xlfn.XLOOKUP(Table1[[#This Row],[PerformanceRating]],Table17[PerformanceRating],Table17[Deskripsi])</f>
        <v>Excellent</v>
      </c>
      <c r="AP734" t="str">
        <f>_xlfn.XLOOKUP(Table1[[#This Row],[RelationshipSatisfaction]],Table18[RelationshipSatisfaction],Table18[Id_RelationshipSatisfaction])</f>
        <v>RS001</v>
      </c>
      <c r="AQ734">
        <v>1</v>
      </c>
      <c r="AR734" t="str">
        <f>_xlfn.XLOOKUP(Table1[[#This Row],[RelationshipSatisfaction]],Table18[RelationshipSatisfaction],Table18[Deskripsi])</f>
        <v>Low</v>
      </c>
      <c r="AS734" t="str">
        <f>_xlfn.XLOOKUP(Table1[[#This Row],[StockOptionLevel]],Table19[StockOptionLevel],Table19[Id_StockOptionLevel])</f>
        <v>SOL001</v>
      </c>
      <c r="AT734">
        <v>0</v>
      </c>
      <c r="AU734" t="str">
        <f>_xlfn.XLOOKUP(Table1[[#This Row],[StockOptionLevel]],Table19[StockOptionLevel],Table19[Deskripsi])</f>
        <v>Non-Eligible</v>
      </c>
      <c r="AV734">
        <v>4</v>
      </c>
      <c r="AW734">
        <v>3</v>
      </c>
      <c r="AX734" t="str">
        <f>_xlfn.XLOOKUP(Table1[[#This Row],[WorkLifeBalance]],Table20[WorkLifeBalance],Table20[Id_WorkLifeBalance])</f>
        <v>WLB002</v>
      </c>
      <c r="AY734">
        <v>3</v>
      </c>
      <c r="AZ734" t="str">
        <f>_xlfn.XLOOKUP(Table1[[#This Row],[WorkLifeBalance]],Table20[WorkLifeBalance],Table20[Deskripsi])</f>
        <v>Good</v>
      </c>
      <c r="BA734">
        <v>3</v>
      </c>
      <c r="BB734">
        <v>2</v>
      </c>
      <c r="BC734">
        <v>1</v>
      </c>
      <c r="BD734">
        <v>2</v>
      </c>
    </row>
    <row r="735" spans="1:56" x14ac:dyDescent="0.25">
      <c r="A735">
        <v>26</v>
      </c>
      <c r="B735" t="str">
        <f>_xlfn.XLOOKUP(Table1[[#This Row],[Attrition]],Table2[Attrition],Table2[Id_Attrition])</f>
        <v>A002</v>
      </c>
      <c r="C735" t="s">
        <v>33</v>
      </c>
      <c r="D735" t="str">
        <f>_xlfn.XLOOKUP(Table1[[#This Row],[BusinessTravel]],Table5[BusinessTravel],Table5[Id_BusinessTravel])</f>
        <v>BS001</v>
      </c>
      <c r="E735" t="s">
        <v>34</v>
      </c>
      <c r="F735">
        <v>1066</v>
      </c>
      <c r="G735" t="str">
        <f>_xlfn.XLOOKUP(Table1[[#This Row],[Department]],Table6[Department],Table6[Id_Departement])</f>
        <v>D002</v>
      </c>
      <c r="H735" t="s">
        <v>38</v>
      </c>
      <c r="I735">
        <v>2</v>
      </c>
      <c r="J735" t="str">
        <f>_xlfn.XLOOKUP(Table1[[#This Row],[Education]],Table8[Education],Table8[Id_Education])</f>
        <v>E002</v>
      </c>
      <c r="K735">
        <v>2</v>
      </c>
      <c r="L735" t="str">
        <f>_xlfn.XLOOKUP(Table1[[#This Row],[EducationField]],Table7[EducationField],Table7[Id_EducationField])</f>
        <v>EF003</v>
      </c>
      <c r="M735" t="s">
        <v>42</v>
      </c>
      <c r="N735" t="str">
        <f>_xlfn.XLOOKUP(Table1[[#This Row],[EmployeeNumber]],Table4[EmployeeNumber],Table4[Id_Employee])</f>
        <v>EMP00734</v>
      </c>
      <c r="O735">
        <v>1018</v>
      </c>
      <c r="P735" t="str">
        <f>_xlfn.XLOOKUP(Table1[[#This Row],[EnvironmentSatisfaction]],Table9[EnvironmentSatisfaction],Table9[Id_EnviromentSatisfaction])</f>
        <v>ES004</v>
      </c>
      <c r="Q735">
        <v>4</v>
      </c>
      <c r="R735" t="str">
        <f>_xlfn.XLOOKUP(Table1[[#This Row],[EnvironmentSatisfaction]],Table9[EnvironmentSatisfaction],Table9[Deskripsi])</f>
        <v>Very High</v>
      </c>
      <c r="S735" t="str">
        <f>_xlfn.XLOOKUP(Table1[[#This Row],[Gender]],Table10[Gender],Table10[Id_Gender])</f>
        <v>G002</v>
      </c>
      <c r="T735" t="s">
        <v>46</v>
      </c>
      <c r="U735">
        <v>32</v>
      </c>
      <c r="V735" t="str">
        <f>_xlfn.XLOOKUP(Table1[[#This Row],[JobInvolvement]],Table11[JobInvolvement],Table11[Id_JobInvolvement])</f>
        <v>JI004</v>
      </c>
      <c r="W735">
        <v>4</v>
      </c>
      <c r="X735" t="str">
        <f>_xlfn.XLOOKUP(Table1[[#This Row],[JobLevel]],Table12[JobLevel],Table12[Id_JobLevel])</f>
        <v>JL002</v>
      </c>
      <c r="Y735">
        <v>2</v>
      </c>
      <c r="Z735" t="str">
        <f>_xlfn.XLOOKUP(Table1[[#This Row],[JobRole]],Table13[JobRole],Table13[Id_JobRole])</f>
        <v>JR004</v>
      </c>
      <c r="AA735" t="s">
        <v>50</v>
      </c>
      <c r="AB735" t="str">
        <f>_xlfn.XLOOKUP(Table1[[#This Row],[JobSatisfaction]],Table14[JobSatisfaction],Table14[Id_JobSatisfaction])</f>
        <v>JS004</v>
      </c>
      <c r="AC735">
        <v>4</v>
      </c>
      <c r="AD735" t="str">
        <f>_xlfn.XLOOKUP(Table1[[#This Row],[JobSatisfaction]],Table14[JobSatisfaction],Table14[Deskripsi])</f>
        <v>Very High</v>
      </c>
      <c r="AE735" t="str">
        <f>_xlfn.XLOOKUP(Table1[[#This Row],[MaritalStatus]],Table15[MaritalStatus],Table15[Id_MaritalStatus])</f>
        <v>MS002</v>
      </c>
      <c r="AF735" t="s">
        <v>56</v>
      </c>
      <c r="AG735">
        <v>5472</v>
      </c>
      <c r="AH735">
        <v>3334</v>
      </c>
      <c r="AI735">
        <v>1</v>
      </c>
      <c r="AJ735" t="str">
        <f>_xlfn.XLOOKUP(Table1[[#This Row],[OverTime]],Table16[OverTime],Table16[Id_OverTime])</f>
        <v>OT002</v>
      </c>
      <c r="AK735" t="s">
        <v>33</v>
      </c>
      <c r="AL735">
        <v>12</v>
      </c>
      <c r="AM735" t="str">
        <f>_xlfn.XLOOKUP(Table1[[#This Row],[PerformanceRating]],Table17[PerformanceRating],Table17[Id_PerformanceRating])</f>
        <v>PR003</v>
      </c>
      <c r="AN735">
        <v>3</v>
      </c>
      <c r="AO735" t="str">
        <f>_xlfn.XLOOKUP(Table1[[#This Row],[PerformanceRating]],Table17[PerformanceRating],Table17[Deskripsi])</f>
        <v>Excellent</v>
      </c>
      <c r="AP735" t="str">
        <f>_xlfn.XLOOKUP(Table1[[#This Row],[RelationshipSatisfaction]],Table18[RelationshipSatisfaction],Table18[Id_RelationshipSatisfaction])</f>
        <v>RS002</v>
      </c>
      <c r="AQ735">
        <v>2</v>
      </c>
      <c r="AR735" t="str">
        <f>_xlfn.XLOOKUP(Table1[[#This Row],[RelationshipSatisfaction]],Table18[RelationshipSatisfaction],Table18[Deskripsi])</f>
        <v>Medium</v>
      </c>
      <c r="AS735" t="str">
        <f>_xlfn.XLOOKUP(Table1[[#This Row],[StockOptionLevel]],Table19[StockOptionLevel],Table19[Id_StockOptionLevel])</f>
        <v>SOL001</v>
      </c>
      <c r="AT735">
        <v>0</v>
      </c>
      <c r="AU735" t="str">
        <f>_xlfn.XLOOKUP(Table1[[#This Row],[StockOptionLevel]],Table19[StockOptionLevel],Table19[Deskripsi])</f>
        <v>Non-Eligible</v>
      </c>
      <c r="AV735">
        <v>8</v>
      </c>
      <c r="AW735">
        <v>2</v>
      </c>
      <c r="AX735" t="str">
        <f>_xlfn.XLOOKUP(Table1[[#This Row],[WorkLifeBalance]],Table20[WorkLifeBalance],Table20[Id_WorkLifeBalance])</f>
        <v>WLB002</v>
      </c>
      <c r="AY735">
        <v>3</v>
      </c>
      <c r="AZ735" t="str">
        <f>_xlfn.XLOOKUP(Table1[[#This Row],[WorkLifeBalance]],Table20[WorkLifeBalance],Table20[Deskripsi])</f>
        <v>Good</v>
      </c>
      <c r="BA735">
        <v>8</v>
      </c>
      <c r="BB735">
        <v>7</v>
      </c>
      <c r="BC735">
        <v>1</v>
      </c>
      <c r="BD735">
        <v>3</v>
      </c>
    </row>
    <row r="736" spans="1:56" x14ac:dyDescent="0.25">
      <c r="A736">
        <v>22</v>
      </c>
      <c r="B736" t="str">
        <f>_xlfn.XLOOKUP(Table1[[#This Row],[Attrition]],Table2[Attrition],Table2[Id_Attrition])</f>
        <v>A002</v>
      </c>
      <c r="C736" t="s">
        <v>33</v>
      </c>
      <c r="D736" t="str">
        <f>_xlfn.XLOOKUP(Table1[[#This Row],[BusinessTravel]],Table5[BusinessTravel],Table5[Id_BusinessTravel])</f>
        <v>BS001</v>
      </c>
      <c r="E736" t="s">
        <v>34</v>
      </c>
      <c r="F736">
        <v>217</v>
      </c>
      <c r="G736" t="str">
        <f>_xlfn.XLOOKUP(Table1[[#This Row],[Department]],Table6[Department],Table6[Id_Departement])</f>
        <v>D002</v>
      </c>
      <c r="H736" t="s">
        <v>38</v>
      </c>
      <c r="I736">
        <v>8</v>
      </c>
      <c r="J736" t="str">
        <f>_xlfn.XLOOKUP(Table1[[#This Row],[Education]],Table8[Education],Table8[Id_Education])</f>
        <v>E001</v>
      </c>
      <c r="K736">
        <v>1</v>
      </c>
      <c r="L736" t="str">
        <f>_xlfn.XLOOKUP(Table1[[#This Row],[EducationField]],Table7[EducationField],Table7[Id_EducationField])</f>
        <v>EF001</v>
      </c>
      <c r="M736" t="s">
        <v>40</v>
      </c>
      <c r="N736" t="str">
        <f>_xlfn.XLOOKUP(Table1[[#This Row],[EmployeeNumber]],Table4[EmployeeNumber],Table4[Id_Employee])</f>
        <v>EMP00735</v>
      </c>
      <c r="O736">
        <v>1019</v>
      </c>
      <c r="P736" t="str">
        <f>_xlfn.XLOOKUP(Table1[[#This Row],[EnvironmentSatisfaction]],Table9[EnvironmentSatisfaction],Table9[Id_EnviromentSatisfaction])</f>
        <v>ES002</v>
      </c>
      <c r="Q736">
        <v>2</v>
      </c>
      <c r="R736" t="str">
        <f>_xlfn.XLOOKUP(Table1[[#This Row],[EnvironmentSatisfaction]],Table9[EnvironmentSatisfaction],Table9[Deskripsi])</f>
        <v>Medium</v>
      </c>
      <c r="S736" t="str">
        <f>_xlfn.XLOOKUP(Table1[[#This Row],[Gender]],Table10[Gender],Table10[Id_Gender])</f>
        <v>G002</v>
      </c>
      <c r="T736" t="s">
        <v>46</v>
      </c>
      <c r="U736">
        <v>94</v>
      </c>
      <c r="V736" t="str">
        <f>_xlfn.XLOOKUP(Table1[[#This Row],[JobInvolvement]],Table11[JobInvolvement],Table11[Id_JobInvolvement])</f>
        <v>JI001</v>
      </c>
      <c r="W736">
        <v>1</v>
      </c>
      <c r="X736" t="str">
        <f>_xlfn.XLOOKUP(Table1[[#This Row],[JobLevel]],Table12[JobLevel],Table12[Id_JobLevel])</f>
        <v>JL001</v>
      </c>
      <c r="Y736">
        <v>1</v>
      </c>
      <c r="Z736" t="str">
        <f>_xlfn.XLOOKUP(Table1[[#This Row],[JobRole]],Table13[JobRole],Table13[Id_JobRole])</f>
        <v>JR003</v>
      </c>
      <c r="AA736" t="s">
        <v>49</v>
      </c>
      <c r="AB736" t="str">
        <f>_xlfn.XLOOKUP(Table1[[#This Row],[JobSatisfaction]],Table14[JobSatisfaction],Table14[Id_JobSatisfaction])</f>
        <v>JS001</v>
      </c>
      <c r="AC736">
        <v>1</v>
      </c>
      <c r="AD736" t="str">
        <f>_xlfn.XLOOKUP(Table1[[#This Row],[JobSatisfaction]],Table14[JobSatisfaction],Table14[Deskripsi])</f>
        <v>Low</v>
      </c>
      <c r="AE736" t="str">
        <f>_xlfn.XLOOKUP(Table1[[#This Row],[MaritalStatus]],Table15[MaritalStatus],Table15[Id_MaritalStatus])</f>
        <v>MS002</v>
      </c>
      <c r="AF736" t="s">
        <v>56</v>
      </c>
      <c r="AG736">
        <v>2451</v>
      </c>
      <c r="AH736">
        <v>6881</v>
      </c>
      <c r="AI736">
        <v>1</v>
      </c>
      <c r="AJ736" t="str">
        <f>_xlfn.XLOOKUP(Table1[[#This Row],[OverTime]],Table16[OverTime],Table16[Id_OverTime])</f>
        <v>OT002</v>
      </c>
      <c r="AK736" t="s">
        <v>33</v>
      </c>
      <c r="AL736">
        <v>15</v>
      </c>
      <c r="AM736" t="str">
        <f>_xlfn.XLOOKUP(Table1[[#This Row],[PerformanceRating]],Table17[PerformanceRating],Table17[Id_PerformanceRating])</f>
        <v>PR003</v>
      </c>
      <c r="AN736">
        <v>3</v>
      </c>
      <c r="AO736" t="str">
        <f>_xlfn.XLOOKUP(Table1[[#This Row],[PerformanceRating]],Table17[PerformanceRating],Table17[Deskripsi])</f>
        <v>Excellent</v>
      </c>
      <c r="AP736" t="str">
        <f>_xlfn.XLOOKUP(Table1[[#This Row],[RelationshipSatisfaction]],Table18[RelationshipSatisfaction],Table18[Id_RelationshipSatisfaction])</f>
        <v>RS001</v>
      </c>
      <c r="AQ736">
        <v>1</v>
      </c>
      <c r="AR736" t="str">
        <f>_xlfn.XLOOKUP(Table1[[#This Row],[RelationshipSatisfaction]],Table18[RelationshipSatisfaction],Table18[Deskripsi])</f>
        <v>Low</v>
      </c>
      <c r="AS736" t="str">
        <f>_xlfn.XLOOKUP(Table1[[#This Row],[StockOptionLevel]],Table19[StockOptionLevel],Table19[Id_StockOptionLevel])</f>
        <v>SOL002</v>
      </c>
      <c r="AT736">
        <v>1</v>
      </c>
      <c r="AU736" t="str">
        <f>_xlfn.XLOOKUP(Table1[[#This Row],[StockOptionLevel]],Table19[StockOptionLevel],Table19[Deskripsi])</f>
        <v>Standard</v>
      </c>
      <c r="AV736">
        <v>4</v>
      </c>
      <c r="AW736">
        <v>3</v>
      </c>
      <c r="AX736" t="str">
        <f>_xlfn.XLOOKUP(Table1[[#This Row],[WorkLifeBalance]],Table20[WorkLifeBalance],Table20[Id_WorkLifeBalance])</f>
        <v>WLB003</v>
      </c>
      <c r="AY736">
        <v>2</v>
      </c>
      <c r="AZ736" t="str">
        <f>_xlfn.XLOOKUP(Table1[[#This Row],[WorkLifeBalance]],Table20[WorkLifeBalance],Table20[Deskripsi])</f>
        <v>Better</v>
      </c>
      <c r="BA736">
        <v>4</v>
      </c>
      <c r="BB736">
        <v>3</v>
      </c>
      <c r="BC736">
        <v>1</v>
      </c>
      <c r="BD736">
        <v>1</v>
      </c>
    </row>
    <row r="737" spans="1:56" x14ac:dyDescent="0.25">
      <c r="A737">
        <v>48</v>
      </c>
      <c r="B737" t="str">
        <f>_xlfn.XLOOKUP(Table1[[#This Row],[Attrition]],Table2[Attrition],Table2[Id_Attrition])</f>
        <v>A002</v>
      </c>
      <c r="C737" t="s">
        <v>33</v>
      </c>
      <c r="D737" t="str">
        <f>_xlfn.XLOOKUP(Table1[[#This Row],[BusinessTravel]],Table5[BusinessTravel],Table5[Id_BusinessTravel])</f>
        <v>BS001</v>
      </c>
      <c r="E737" t="s">
        <v>34</v>
      </c>
      <c r="F737">
        <v>277</v>
      </c>
      <c r="G737" t="str">
        <f>_xlfn.XLOOKUP(Table1[[#This Row],[Department]],Table6[Department],Table6[Id_Departement])</f>
        <v>D002</v>
      </c>
      <c r="H737" t="s">
        <v>38</v>
      </c>
      <c r="I737">
        <v>6</v>
      </c>
      <c r="J737" t="str">
        <f>_xlfn.XLOOKUP(Table1[[#This Row],[Education]],Table8[Education],Table8[Id_Education])</f>
        <v>E003</v>
      </c>
      <c r="K737">
        <v>3</v>
      </c>
      <c r="L737" t="str">
        <f>_xlfn.XLOOKUP(Table1[[#This Row],[EducationField]],Table7[EducationField],Table7[Id_EducationField])</f>
        <v>EF001</v>
      </c>
      <c r="M737" t="s">
        <v>40</v>
      </c>
      <c r="N737" t="str">
        <f>_xlfn.XLOOKUP(Table1[[#This Row],[EmployeeNumber]],Table4[EmployeeNumber],Table4[Id_Employee])</f>
        <v>EMP00736</v>
      </c>
      <c r="O737">
        <v>1022</v>
      </c>
      <c r="P737" t="str">
        <f>_xlfn.XLOOKUP(Table1[[#This Row],[EnvironmentSatisfaction]],Table9[EnvironmentSatisfaction],Table9[Id_EnviromentSatisfaction])</f>
        <v>ES001</v>
      </c>
      <c r="Q737">
        <v>1</v>
      </c>
      <c r="R737" t="str">
        <f>_xlfn.XLOOKUP(Table1[[#This Row],[EnvironmentSatisfaction]],Table9[EnvironmentSatisfaction],Table9[Deskripsi])</f>
        <v>Low</v>
      </c>
      <c r="S737" t="str">
        <f>_xlfn.XLOOKUP(Table1[[#This Row],[Gender]],Table10[Gender],Table10[Id_Gender])</f>
        <v>G002</v>
      </c>
      <c r="T737" t="s">
        <v>46</v>
      </c>
      <c r="U737">
        <v>97</v>
      </c>
      <c r="V737" t="str">
        <f>_xlfn.XLOOKUP(Table1[[#This Row],[JobInvolvement]],Table11[JobInvolvement],Table11[Id_JobInvolvement])</f>
        <v>JI002</v>
      </c>
      <c r="W737">
        <v>2</v>
      </c>
      <c r="X737" t="str">
        <f>_xlfn.XLOOKUP(Table1[[#This Row],[JobLevel]],Table12[JobLevel],Table12[Id_JobLevel])</f>
        <v>JL002</v>
      </c>
      <c r="Y737">
        <v>2</v>
      </c>
      <c r="Z737" t="str">
        <f>_xlfn.XLOOKUP(Table1[[#This Row],[JobRole]],Table13[JobRole],Table13[Id_JobRole])</f>
        <v>JR005</v>
      </c>
      <c r="AA737" t="s">
        <v>51</v>
      </c>
      <c r="AB737" t="str">
        <f>_xlfn.XLOOKUP(Table1[[#This Row],[JobSatisfaction]],Table14[JobSatisfaction],Table14[Id_JobSatisfaction])</f>
        <v>JS003</v>
      </c>
      <c r="AC737">
        <v>3</v>
      </c>
      <c r="AD737" t="str">
        <f>_xlfn.XLOOKUP(Table1[[#This Row],[JobSatisfaction]],Table14[JobSatisfaction],Table14[Deskripsi])</f>
        <v>High</v>
      </c>
      <c r="AE737" t="str">
        <f>_xlfn.XLOOKUP(Table1[[#This Row],[MaritalStatus]],Table15[MaritalStatus],Table15[Id_MaritalStatus])</f>
        <v>MS001</v>
      </c>
      <c r="AF737" t="s">
        <v>55</v>
      </c>
      <c r="AG737">
        <v>4240</v>
      </c>
      <c r="AH737">
        <v>13119</v>
      </c>
      <c r="AI737">
        <v>2</v>
      </c>
      <c r="AJ737" t="str">
        <f>_xlfn.XLOOKUP(Table1[[#This Row],[OverTime]],Table16[OverTime],Table16[Id_OverTime])</f>
        <v>OT002</v>
      </c>
      <c r="AK737" t="s">
        <v>33</v>
      </c>
      <c r="AL737">
        <v>13</v>
      </c>
      <c r="AM737" t="str">
        <f>_xlfn.XLOOKUP(Table1[[#This Row],[PerformanceRating]],Table17[PerformanceRating],Table17[Id_PerformanceRating])</f>
        <v>PR003</v>
      </c>
      <c r="AN737">
        <v>3</v>
      </c>
      <c r="AO737" t="str">
        <f>_xlfn.XLOOKUP(Table1[[#This Row],[PerformanceRating]],Table17[PerformanceRating],Table17[Deskripsi])</f>
        <v>Excellent</v>
      </c>
      <c r="AP737" t="str">
        <f>_xlfn.XLOOKUP(Table1[[#This Row],[RelationshipSatisfaction]],Table18[RelationshipSatisfaction],Table18[Id_RelationshipSatisfaction])</f>
        <v>RS004</v>
      </c>
      <c r="AQ737">
        <v>4</v>
      </c>
      <c r="AR737" t="str">
        <f>_xlfn.XLOOKUP(Table1[[#This Row],[RelationshipSatisfaction]],Table18[RelationshipSatisfaction],Table18[Deskripsi])</f>
        <v>Very High</v>
      </c>
      <c r="AS737" t="str">
        <f>_xlfn.XLOOKUP(Table1[[#This Row],[StockOptionLevel]],Table19[StockOptionLevel],Table19[Id_StockOptionLevel])</f>
        <v>SOL001</v>
      </c>
      <c r="AT737">
        <v>0</v>
      </c>
      <c r="AU737" t="str">
        <f>_xlfn.XLOOKUP(Table1[[#This Row],[StockOptionLevel]],Table19[StockOptionLevel],Table19[Deskripsi])</f>
        <v>Non-Eligible</v>
      </c>
      <c r="AV737">
        <v>19</v>
      </c>
      <c r="AW737">
        <v>0</v>
      </c>
      <c r="AX737" t="str">
        <f>_xlfn.XLOOKUP(Table1[[#This Row],[WorkLifeBalance]],Table20[WorkLifeBalance],Table20[Id_WorkLifeBalance])</f>
        <v>WLB002</v>
      </c>
      <c r="AY737">
        <v>3</v>
      </c>
      <c r="AZ737" t="str">
        <f>_xlfn.XLOOKUP(Table1[[#This Row],[WorkLifeBalance]],Table20[WorkLifeBalance],Table20[Deskripsi])</f>
        <v>Good</v>
      </c>
      <c r="BA737">
        <v>2</v>
      </c>
      <c r="BB737">
        <v>2</v>
      </c>
      <c r="BC737">
        <v>2</v>
      </c>
      <c r="BD737">
        <v>2</v>
      </c>
    </row>
    <row r="738" spans="1:56" x14ac:dyDescent="0.25">
      <c r="A738">
        <v>48</v>
      </c>
      <c r="B738" t="str">
        <f>_xlfn.XLOOKUP(Table1[[#This Row],[Attrition]],Table2[Attrition],Table2[Id_Attrition])</f>
        <v>A002</v>
      </c>
      <c r="C738" t="s">
        <v>33</v>
      </c>
      <c r="D738" t="str">
        <f>_xlfn.XLOOKUP(Table1[[#This Row],[BusinessTravel]],Table5[BusinessTravel],Table5[Id_BusinessTravel])</f>
        <v>BS001</v>
      </c>
      <c r="E738" t="s">
        <v>34</v>
      </c>
      <c r="F738">
        <v>1355</v>
      </c>
      <c r="G738" t="str">
        <f>_xlfn.XLOOKUP(Table1[[#This Row],[Department]],Table6[Department],Table6[Id_Departement])</f>
        <v>D002</v>
      </c>
      <c r="H738" t="s">
        <v>38</v>
      </c>
      <c r="I738">
        <v>4</v>
      </c>
      <c r="J738" t="str">
        <f>_xlfn.XLOOKUP(Table1[[#This Row],[Education]],Table8[Education],Table8[Id_Education])</f>
        <v>E004</v>
      </c>
      <c r="K738">
        <v>4</v>
      </c>
      <c r="L738" t="str">
        <f>_xlfn.XLOOKUP(Table1[[#This Row],[EducationField]],Table7[EducationField],Table7[Id_EducationField])</f>
        <v>EF001</v>
      </c>
      <c r="M738" t="s">
        <v>40</v>
      </c>
      <c r="N738" t="str">
        <f>_xlfn.XLOOKUP(Table1[[#This Row],[EmployeeNumber]],Table4[EmployeeNumber],Table4[Id_Employee])</f>
        <v>EMP00737</v>
      </c>
      <c r="O738">
        <v>1024</v>
      </c>
      <c r="P738" t="str">
        <f>_xlfn.XLOOKUP(Table1[[#This Row],[EnvironmentSatisfaction]],Table9[EnvironmentSatisfaction],Table9[Id_EnviromentSatisfaction])</f>
        <v>ES003</v>
      </c>
      <c r="Q738">
        <v>3</v>
      </c>
      <c r="R738" t="str">
        <f>_xlfn.XLOOKUP(Table1[[#This Row],[EnvironmentSatisfaction]],Table9[EnvironmentSatisfaction],Table9[Deskripsi])</f>
        <v>High</v>
      </c>
      <c r="S738" t="str">
        <f>_xlfn.XLOOKUP(Table1[[#This Row],[Gender]],Table10[Gender],Table10[Id_Gender])</f>
        <v>G002</v>
      </c>
      <c r="T738" t="s">
        <v>46</v>
      </c>
      <c r="U738">
        <v>78</v>
      </c>
      <c r="V738" t="str">
        <f>_xlfn.XLOOKUP(Table1[[#This Row],[JobInvolvement]],Table11[JobInvolvement],Table11[Id_JobInvolvement])</f>
        <v>JI002</v>
      </c>
      <c r="W738">
        <v>2</v>
      </c>
      <c r="X738" t="str">
        <f>_xlfn.XLOOKUP(Table1[[#This Row],[JobLevel]],Table12[JobLevel],Table12[Id_JobLevel])</f>
        <v>JL003</v>
      </c>
      <c r="Y738">
        <v>3</v>
      </c>
      <c r="Z738" t="str">
        <f>_xlfn.XLOOKUP(Table1[[#This Row],[JobRole]],Table13[JobRole],Table13[Id_JobRole])</f>
        <v>JR005</v>
      </c>
      <c r="AA738" t="s">
        <v>51</v>
      </c>
      <c r="AB738" t="str">
        <f>_xlfn.XLOOKUP(Table1[[#This Row],[JobSatisfaction]],Table14[JobSatisfaction],Table14[Id_JobSatisfaction])</f>
        <v>JS003</v>
      </c>
      <c r="AC738">
        <v>3</v>
      </c>
      <c r="AD738" t="str">
        <f>_xlfn.XLOOKUP(Table1[[#This Row],[JobSatisfaction]],Table14[JobSatisfaction],Table14[Deskripsi])</f>
        <v>High</v>
      </c>
      <c r="AE738" t="str">
        <f>_xlfn.XLOOKUP(Table1[[#This Row],[MaritalStatus]],Table15[MaritalStatus],Table15[Id_MaritalStatus])</f>
        <v>MS001</v>
      </c>
      <c r="AF738" t="s">
        <v>55</v>
      </c>
      <c r="AG738">
        <v>10999</v>
      </c>
      <c r="AH738">
        <v>22245</v>
      </c>
      <c r="AI738">
        <v>7</v>
      </c>
      <c r="AJ738" t="str">
        <f>_xlfn.XLOOKUP(Table1[[#This Row],[OverTime]],Table16[OverTime],Table16[Id_OverTime])</f>
        <v>OT002</v>
      </c>
      <c r="AK738" t="s">
        <v>33</v>
      </c>
      <c r="AL738">
        <v>14</v>
      </c>
      <c r="AM738" t="str">
        <f>_xlfn.XLOOKUP(Table1[[#This Row],[PerformanceRating]],Table17[PerformanceRating],Table17[Id_PerformanceRating])</f>
        <v>PR003</v>
      </c>
      <c r="AN738">
        <v>3</v>
      </c>
      <c r="AO738" t="str">
        <f>_xlfn.XLOOKUP(Table1[[#This Row],[PerformanceRating]],Table17[PerformanceRating],Table17[Deskripsi])</f>
        <v>Excellent</v>
      </c>
      <c r="AP738" t="str">
        <f>_xlfn.XLOOKUP(Table1[[#This Row],[RelationshipSatisfaction]],Table18[RelationshipSatisfaction],Table18[Id_RelationshipSatisfaction])</f>
        <v>RS002</v>
      </c>
      <c r="AQ738">
        <v>2</v>
      </c>
      <c r="AR738" t="str">
        <f>_xlfn.XLOOKUP(Table1[[#This Row],[RelationshipSatisfaction]],Table18[RelationshipSatisfaction],Table18[Deskripsi])</f>
        <v>Medium</v>
      </c>
      <c r="AS738" t="str">
        <f>_xlfn.XLOOKUP(Table1[[#This Row],[StockOptionLevel]],Table19[StockOptionLevel],Table19[Id_StockOptionLevel])</f>
        <v>SOL001</v>
      </c>
      <c r="AT738">
        <v>0</v>
      </c>
      <c r="AU738" t="str">
        <f>_xlfn.XLOOKUP(Table1[[#This Row],[StockOptionLevel]],Table19[StockOptionLevel],Table19[Deskripsi])</f>
        <v>Non-Eligible</v>
      </c>
      <c r="AV738">
        <v>27</v>
      </c>
      <c r="AW738">
        <v>3</v>
      </c>
      <c r="AX738" t="str">
        <f>_xlfn.XLOOKUP(Table1[[#This Row],[WorkLifeBalance]],Table20[WorkLifeBalance],Table20[Id_WorkLifeBalance])</f>
        <v>WLB002</v>
      </c>
      <c r="AY738">
        <v>3</v>
      </c>
      <c r="AZ738" t="str">
        <f>_xlfn.XLOOKUP(Table1[[#This Row],[WorkLifeBalance]],Table20[WorkLifeBalance],Table20[Deskripsi])</f>
        <v>Good</v>
      </c>
      <c r="BA738">
        <v>15</v>
      </c>
      <c r="BB738">
        <v>11</v>
      </c>
      <c r="BC738">
        <v>4</v>
      </c>
      <c r="BD738">
        <v>8</v>
      </c>
    </row>
    <row r="739" spans="1:56" x14ac:dyDescent="0.25">
      <c r="A739">
        <v>41</v>
      </c>
      <c r="B739" t="str">
        <f>_xlfn.XLOOKUP(Table1[[#This Row],[Attrition]],Table2[Attrition],Table2[Id_Attrition])</f>
        <v>A002</v>
      </c>
      <c r="C739" t="s">
        <v>33</v>
      </c>
      <c r="D739" t="str">
        <f>_xlfn.XLOOKUP(Table1[[#This Row],[BusinessTravel]],Table5[BusinessTravel],Table5[Id_BusinessTravel])</f>
        <v>BS001</v>
      </c>
      <c r="E739" t="s">
        <v>34</v>
      </c>
      <c r="F739">
        <v>549</v>
      </c>
      <c r="G739" t="str">
        <f>_xlfn.XLOOKUP(Table1[[#This Row],[Department]],Table6[Department],Table6[Id_Departement])</f>
        <v>D002</v>
      </c>
      <c r="H739" t="s">
        <v>38</v>
      </c>
      <c r="I739">
        <v>7</v>
      </c>
      <c r="J739" t="str">
        <f>_xlfn.XLOOKUP(Table1[[#This Row],[Education]],Table8[Education],Table8[Id_Education])</f>
        <v>E002</v>
      </c>
      <c r="K739">
        <v>2</v>
      </c>
      <c r="L739" t="str">
        <f>_xlfn.XLOOKUP(Table1[[#This Row],[EducationField]],Table7[EducationField],Table7[Id_EducationField])</f>
        <v>EF003</v>
      </c>
      <c r="M739" t="s">
        <v>42</v>
      </c>
      <c r="N739" t="str">
        <f>_xlfn.XLOOKUP(Table1[[#This Row],[EmployeeNumber]],Table4[EmployeeNumber],Table4[Id_Employee])</f>
        <v>EMP00738</v>
      </c>
      <c r="O739">
        <v>1025</v>
      </c>
      <c r="P739" t="str">
        <f>_xlfn.XLOOKUP(Table1[[#This Row],[EnvironmentSatisfaction]],Table9[EnvironmentSatisfaction],Table9[Id_EnviromentSatisfaction])</f>
        <v>ES004</v>
      </c>
      <c r="Q739">
        <v>4</v>
      </c>
      <c r="R739" t="str">
        <f>_xlfn.XLOOKUP(Table1[[#This Row],[EnvironmentSatisfaction]],Table9[EnvironmentSatisfaction],Table9[Deskripsi])</f>
        <v>Very High</v>
      </c>
      <c r="S739" t="str">
        <f>_xlfn.XLOOKUP(Table1[[#This Row],[Gender]],Table10[Gender],Table10[Id_Gender])</f>
        <v>G001</v>
      </c>
      <c r="T739" t="s">
        <v>45</v>
      </c>
      <c r="U739">
        <v>42</v>
      </c>
      <c r="V739" t="str">
        <f>_xlfn.XLOOKUP(Table1[[#This Row],[JobInvolvement]],Table11[JobInvolvement],Table11[Id_JobInvolvement])</f>
        <v>JI003</v>
      </c>
      <c r="W739">
        <v>3</v>
      </c>
      <c r="X739" t="str">
        <f>_xlfn.XLOOKUP(Table1[[#This Row],[JobLevel]],Table12[JobLevel],Table12[Id_JobLevel])</f>
        <v>JL002</v>
      </c>
      <c r="Y739">
        <v>2</v>
      </c>
      <c r="Z739" t="str">
        <f>_xlfn.XLOOKUP(Table1[[#This Row],[JobRole]],Table13[JobRole],Table13[Id_JobRole])</f>
        <v>JR004</v>
      </c>
      <c r="AA739" t="s">
        <v>50</v>
      </c>
      <c r="AB739" t="str">
        <f>_xlfn.XLOOKUP(Table1[[#This Row],[JobSatisfaction]],Table14[JobSatisfaction],Table14[Id_JobSatisfaction])</f>
        <v>JS003</v>
      </c>
      <c r="AC739">
        <v>3</v>
      </c>
      <c r="AD739" t="str">
        <f>_xlfn.XLOOKUP(Table1[[#This Row],[JobSatisfaction]],Table14[JobSatisfaction],Table14[Deskripsi])</f>
        <v>High</v>
      </c>
      <c r="AE739" t="str">
        <f>_xlfn.XLOOKUP(Table1[[#This Row],[MaritalStatus]],Table15[MaritalStatus],Table15[Id_MaritalStatus])</f>
        <v>MS001</v>
      </c>
      <c r="AF739" t="s">
        <v>55</v>
      </c>
      <c r="AG739">
        <v>5003</v>
      </c>
      <c r="AH739">
        <v>23371</v>
      </c>
      <c r="AI739">
        <v>6</v>
      </c>
      <c r="AJ739" t="str">
        <f>_xlfn.XLOOKUP(Table1[[#This Row],[OverTime]],Table16[OverTime],Table16[Id_OverTime])</f>
        <v>OT002</v>
      </c>
      <c r="AK739" t="s">
        <v>33</v>
      </c>
      <c r="AL739">
        <v>14</v>
      </c>
      <c r="AM739" t="str">
        <f>_xlfn.XLOOKUP(Table1[[#This Row],[PerformanceRating]],Table17[PerformanceRating],Table17[Id_PerformanceRating])</f>
        <v>PR003</v>
      </c>
      <c r="AN739">
        <v>3</v>
      </c>
      <c r="AO739" t="str">
        <f>_xlfn.XLOOKUP(Table1[[#This Row],[PerformanceRating]],Table17[PerformanceRating],Table17[Deskripsi])</f>
        <v>Excellent</v>
      </c>
      <c r="AP739" t="str">
        <f>_xlfn.XLOOKUP(Table1[[#This Row],[RelationshipSatisfaction]],Table18[RelationshipSatisfaction],Table18[Id_RelationshipSatisfaction])</f>
        <v>RS002</v>
      </c>
      <c r="AQ739">
        <v>2</v>
      </c>
      <c r="AR739" t="str">
        <f>_xlfn.XLOOKUP(Table1[[#This Row],[RelationshipSatisfaction]],Table18[RelationshipSatisfaction],Table18[Deskripsi])</f>
        <v>Medium</v>
      </c>
      <c r="AS739" t="str">
        <f>_xlfn.XLOOKUP(Table1[[#This Row],[StockOptionLevel]],Table19[StockOptionLevel],Table19[Id_StockOptionLevel])</f>
        <v>SOL001</v>
      </c>
      <c r="AT739">
        <v>0</v>
      </c>
      <c r="AU739" t="str">
        <f>_xlfn.XLOOKUP(Table1[[#This Row],[StockOptionLevel]],Table19[StockOptionLevel],Table19[Deskripsi])</f>
        <v>Non-Eligible</v>
      </c>
      <c r="AV739">
        <v>8</v>
      </c>
      <c r="AW739">
        <v>6</v>
      </c>
      <c r="AX739" t="str">
        <f>_xlfn.XLOOKUP(Table1[[#This Row],[WorkLifeBalance]],Table20[WorkLifeBalance],Table20[Id_WorkLifeBalance])</f>
        <v>WLB002</v>
      </c>
      <c r="AY739">
        <v>3</v>
      </c>
      <c r="AZ739" t="str">
        <f>_xlfn.XLOOKUP(Table1[[#This Row],[WorkLifeBalance]],Table20[WorkLifeBalance],Table20[Deskripsi])</f>
        <v>Good</v>
      </c>
      <c r="BA739">
        <v>2</v>
      </c>
      <c r="BB739">
        <v>2</v>
      </c>
      <c r="BC739">
        <v>2</v>
      </c>
      <c r="BD739">
        <v>1</v>
      </c>
    </row>
    <row r="740" spans="1:56" x14ac:dyDescent="0.25">
      <c r="A740">
        <v>39</v>
      </c>
      <c r="B740" t="str">
        <f>_xlfn.XLOOKUP(Table1[[#This Row],[Attrition]],Table2[Attrition],Table2[Id_Attrition])</f>
        <v>A002</v>
      </c>
      <c r="C740" t="s">
        <v>33</v>
      </c>
      <c r="D740" t="str">
        <f>_xlfn.XLOOKUP(Table1[[#This Row],[BusinessTravel]],Table5[BusinessTravel],Table5[Id_BusinessTravel])</f>
        <v>BS001</v>
      </c>
      <c r="E740" t="s">
        <v>34</v>
      </c>
      <c r="F740">
        <v>466</v>
      </c>
      <c r="G740" t="str">
        <f>_xlfn.XLOOKUP(Table1[[#This Row],[Department]],Table6[Department],Table6[Id_Departement])</f>
        <v>D002</v>
      </c>
      <c r="H740" t="s">
        <v>38</v>
      </c>
      <c r="I740">
        <v>1</v>
      </c>
      <c r="J740" t="str">
        <f>_xlfn.XLOOKUP(Table1[[#This Row],[Education]],Table8[Education],Table8[Id_Education])</f>
        <v>E001</v>
      </c>
      <c r="K740">
        <v>1</v>
      </c>
      <c r="L740" t="str">
        <f>_xlfn.XLOOKUP(Table1[[#This Row],[EducationField]],Table7[EducationField],Table7[Id_EducationField])</f>
        <v>EF001</v>
      </c>
      <c r="M740" t="s">
        <v>40</v>
      </c>
      <c r="N740" t="str">
        <f>_xlfn.XLOOKUP(Table1[[#This Row],[EmployeeNumber]],Table4[EmployeeNumber],Table4[Id_Employee])</f>
        <v>EMP00739</v>
      </c>
      <c r="O740">
        <v>1026</v>
      </c>
      <c r="P740" t="str">
        <f>_xlfn.XLOOKUP(Table1[[#This Row],[EnvironmentSatisfaction]],Table9[EnvironmentSatisfaction],Table9[Id_EnviromentSatisfaction])</f>
        <v>ES004</v>
      </c>
      <c r="Q740">
        <v>4</v>
      </c>
      <c r="R740" t="str">
        <f>_xlfn.XLOOKUP(Table1[[#This Row],[EnvironmentSatisfaction]],Table9[EnvironmentSatisfaction],Table9[Deskripsi])</f>
        <v>Very High</v>
      </c>
      <c r="S740" t="str">
        <f>_xlfn.XLOOKUP(Table1[[#This Row],[Gender]],Table10[Gender],Table10[Id_Gender])</f>
        <v>G001</v>
      </c>
      <c r="T740" t="s">
        <v>45</v>
      </c>
      <c r="U740">
        <v>65</v>
      </c>
      <c r="V740" t="str">
        <f>_xlfn.XLOOKUP(Table1[[#This Row],[JobInvolvement]],Table11[JobInvolvement],Table11[Id_JobInvolvement])</f>
        <v>JI002</v>
      </c>
      <c r="W740">
        <v>2</v>
      </c>
      <c r="X740" t="str">
        <f>_xlfn.XLOOKUP(Table1[[#This Row],[JobLevel]],Table12[JobLevel],Table12[Id_JobLevel])</f>
        <v>JL004</v>
      </c>
      <c r="Y740">
        <v>4</v>
      </c>
      <c r="Z740" t="str">
        <f>_xlfn.XLOOKUP(Table1[[#This Row],[JobRole]],Table13[JobRole],Table13[Id_JobRole])</f>
        <v>JR004</v>
      </c>
      <c r="AA740" t="s">
        <v>50</v>
      </c>
      <c r="AB740" t="str">
        <f>_xlfn.XLOOKUP(Table1[[#This Row],[JobSatisfaction]],Table14[JobSatisfaction],Table14[Id_JobSatisfaction])</f>
        <v>JS004</v>
      </c>
      <c r="AC740">
        <v>4</v>
      </c>
      <c r="AD740" t="str">
        <f>_xlfn.XLOOKUP(Table1[[#This Row],[JobSatisfaction]],Table14[JobSatisfaction],Table14[Deskripsi])</f>
        <v>Very High</v>
      </c>
      <c r="AE740" t="str">
        <f>_xlfn.XLOOKUP(Table1[[#This Row],[MaritalStatus]],Table15[MaritalStatus],Table15[Id_MaritalStatus])</f>
        <v>MS002</v>
      </c>
      <c r="AF740" t="s">
        <v>56</v>
      </c>
      <c r="AG740">
        <v>12742</v>
      </c>
      <c r="AH740">
        <v>7060</v>
      </c>
      <c r="AI740">
        <v>1</v>
      </c>
      <c r="AJ740" t="str">
        <f>_xlfn.XLOOKUP(Table1[[#This Row],[OverTime]],Table16[OverTime],Table16[Id_OverTime])</f>
        <v>OT002</v>
      </c>
      <c r="AK740" t="s">
        <v>33</v>
      </c>
      <c r="AL740">
        <v>16</v>
      </c>
      <c r="AM740" t="str">
        <f>_xlfn.XLOOKUP(Table1[[#This Row],[PerformanceRating]],Table17[PerformanceRating],Table17[Id_PerformanceRating])</f>
        <v>PR003</v>
      </c>
      <c r="AN740">
        <v>3</v>
      </c>
      <c r="AO740" t="str">
        <f>_xlfn.XLOOKUP(Table1[[#This Row],[PerformanceRating]],Table17[PerformanceRating],Table17[Deskripsi])</f>
        <v>Excellent</v>
      </c>
      <c r="AP740" t="str">
        <f>_xlfn.XLOOKUP(Table1[[#This Row],[RelationshipSatisfaction]],Table18[RelationshipSatisfaction],Table18[Id_RelationshipSatisfaction])</f>
        <v>RS003</v>
      </c>
      <c r="AQ740">
        <v>3</v>
      </c>
      <c r="AR740" t="str">
        <f>_xlfn.XLOOKUP(Table1[[#This Row],[RelationshipSatisfaction]],Table18[RelationshipSatisfaction],Table18[Deskripsi])</f>
        <v>High</v>
      </c>
      <c r="AS740" t="str">
        <f>_xlfn.XLOOKUP(Table1[[#This Row],[StockOptionLevel]],Table19[StockOptionLevel],Table19[Id_StockOptionLevel])</f>
        <v>SOL002</v>
      </c>
      <c r="AT740">
        <v>1</v>
      </c>
      <c r="AU740" t="str">
        <f>_xlfn.XLOOKUP(Table1[[#This Row],[StockOptionLevel]],Table19[StockOptionLevel],Table19[Deskripsi])</f>
        <v>Standard</v>
      </c>
      <c r="AV740">
        <v>21</v>
      </c>
      <c r="AW740">
        <v>3</v>
      </c>
      <c r="AX740" t="str">
        <f>_xlfn.XLOOKUP(Table1[[#This Row],[WorkLifeBalance]],Table20[WorkLifeBalance],Table20[Id_WorkLifeBalance])</f>
        <v>WLB002</v>
      </c>
      <c r="AY740">
        <v>3</v>
      </c>
      <c r="AZ740" t="str">
        <f>_xlfn.XLOOKUP(Table1[[#This Row],[WorkLifeBalance]],Table20[WorkLifeBalance],Table20[Deskripsi])</f>
        <v>Good</v>
      </c>
      <c r="BA740">
        <v>21</v>
      </c>
      <c r="BB740">
        <v>6</v>
      </c>
      <c r="BC740">
        <v>11</v>
      </c>
      <c r="BD740">
        <v>8</v>
      </c>
    </row>
    <row r="741" spans="1:56" x14ac:dyDescent="0.25">
      <c r="A741">
        <v>27</v>
      </c>
      <c r="B741" t="str">
        <f>_xlfn.XLOOKUP(Table1[[#This Row],[Attrition]],Table2[Attrition],Table2[Id_Attrition])</f>
        <v>A002</v>
      </c>
      <c r="C741" t="s">
        <v>33</v>
      </c>
      <c r="D741" t="str">
        <f>_xlfn.XLOOKUP(Table1[[#This Row],[BusinessTravel]],Table5[BusinessTravel],Table5[Id_BusinessTravel])</f>
        <v>BS001</v>
      </c>
      <c r="E741" t="s">
        <v>34</v>
      </c>
      <c r="F741">
        <v>1055</v>
      </c>
      <c r="G741" t="str">
        <f>_xlfn.XLOOKUP(Table1[[#This Row],[Department]],Table6[Department],Table6[Id_Departement])</f>
        <v>D002</v>
      </c>
      <c r="H741" t="s">
        <v>38</v>
      </c>
      <c r="I741">
        <v>2</v>
      </c>
      <c r="J741" t="str">
        <f>_xlfn.XLOOKUP(Table1[[#This Row],[Education]],Table8[Education],Table8[Id_Education])</f>
        <v>E004</v>
      </c>
      <c r="K741">
        <v>4</v>
      </c>
      <c r="L741" t="str">
        <f>_xlfn.XLOOKUP(Table1[[#This Row],[EducationField]],Table7[EducationField],Table7[Id_EducationField])</f>
        <v>EF001</v>
      </c>
      <c r="M741" t="s">
        <v>40</v>
      </c>
      <c r="N741" t="str">
        <f>_xlfn.XLOOKUP(Table1[[#This Row],[EmployeeNumber]],Table4[EmployeeNumber],Table4[Id_Employee])</f>
        <v>EMP00740</v>
      </c>
      <c r="O741">
        <v>1027</v>
      </c>
      <c r="P741" t="str">
        <f>_xlfn.XLOOKUP(Table1[[#This Row],[EnvironmentSatisfaction]],Table9[EnvironmentSatisfaction],Table9[Id_EnviromentSatisfaction])</f>
        <v>ES001</v>
      </c>
      <c r="Q741">
        <v>1</v>
      </c>
      <c r="R741" t="str">
        <f>_xlfn.XLOOKUP(Table1[[#This Row],[EnvironmentSatisfaction]],Table9[EnvironmentSatisfaction],Table9[Deskripsi])</f>
        <v>Low</v>
      </c>
      <c r="S741" t="str">
        <f>_xlfn.XLOOKUP(Table1[[#This Row],[Gender]],Table10[Gender],Table10[Id_Gender])</f>
        <v>G001</v>
      </c>
      <c r="T741" t="s">
        <v>45</v>
      </c>
      <c r="U741">
        <v>47</v>
      </c>
      <c r="V741" t="str">
        <f>_xlfn.XLOOKUP(Table1[[#This Row],[JobInvolvement]],Table11[JobInvolvement],Table11[Id_JobInvolvement])</f>
        <v>JI003</v>
      </c>
      <c r="W741">
        <v>3</v>
      </c>
      <c r="X741" t="str">
        <f>_xlfn.XLOOKUP(Table1[[#This Row],[JobLevel]],Table12[JobLevel],Table12[Id_JobLevel])</f>
        <v>JL002</v>
      </c>
      <c r="Y741">
        <v>2</v>
      </c>
      <c r="Z741" t="str">
        <f>_xlfn.XLOOKUP(Table1[[#This Row],[JobRole]],Table13[JobRole],Table13[Id_JobRole])</f>
        <v>JR004</v>
      </c>
      <c r="AA741" t="s">
        <v>50</v>
      </c>
      <c r="AB741" t="str">
        <f>_xlfn.XLOOKUP(Table1[[#This Row],[JobSatisfaction]],Table14[JobSatisfaction],Table14[Id_JobSatisfaction])</f>
        <v>JS004</v>
      </c>
      <c r="AC741">
        <v>4</v>
      </c>
      <c r="AD741" t="str">
        <f>_xlfn.XLOOKUP(Table1[[#This Row],[JobSatisfaction]],Table14[JobSatisfaction],Table14[Deskripsi])</f>
        <v>Very High</v>
      </c>
      <c r="AE741" t="str">
        <f>_xlfn.XLOOKUP(Table1[[#This Row],[MaritalStatus]],Table15[MaritalStatus],Table15[Id_MaritalStatus])</f>
        <v>MS002</v>
      </c>
      <c r="AF741" t="s">
        <v>56</v>
      </c>
      <c r="AG741">
        <v>4227</v>
      </c>
      <c r="AH741">
        <v>4658</v>
      </c>
      <c r="AI741">
        <v>0</v>
      </c>
      <c r="AJ741" t="str">
        <f>_xlfn.XLOOKUP(Table1[[#This Row],[OverTime]],Table16[OverTime],Table16[Id_OverTime])</f>
        <v>OT002</v>
      </c>
      <c r="AK741" t="s">
        <v>33</v>
      </c>
      <c r="AL741">
        <v>18</v>
      </c>
      <c r="AM741" t="str">
        <f>_xlfn.XLOOKUP(Table1[[#This Row],[PerformanceRating]],Table17[PerformanceRating],Table17[Id_PerformanceRating])</f>
        <v>PR003</v>
      </c>
      <c r="AN741">
        <v>3</v>
      </c>
      <c r="AO741" t="str">
        <f>_xlfn.XLOOKUP(Table1[[#This Row],[PerformanceRating]],Table17[PerformanceRating],Table17[Deskripsi])</f>
        <v>Excellent</v>
      </c>
      <c r="AP741" t="str">
        <f>_xlfn.XLOOKUP(Table1[[#This Row],[RelationshipSatisfaction]],Table18[RelationshipSatisfaction],Table18[Id_RelationshipSatisfaction])</f>
        <v>RS002</v>
      </c>
      <c r="AQ741">
        <v>2</v>
      </c>
      <c r="AR741" t="str">
        <f>_xlfn.XLOOKUP(Table1[[#This Row],[RelationshipSatisfaction]],Table18[RelationshipSatisfaction],Table18[Deskripsi])</f>
        <v>Medium</v>
      </c>
      <c r="AS741" t="str">
        <f>_xlfn.XLOOKUP(Table1[[#This Row],[StockOptionLevel]],Table19[StockOptionLevel],Table19[Id_StockOptionLevel])</f>
        <v>SOL002</v>
      </c>
      <c r="AT741">
        <v>1</v>
      </c>
      <c r="AU741" t="str">
        <f>_xlfn.XLOOKUP(Table1[[#This Row],[StockOptionLevel]],Table19[StockOptionLevel],Table19[Deskripsi])</f>
        <v>Standard</v>
      </c>
      <c r="AV741">
        <v>4</v>
      </c>
      <c r="AW741">
        <v>2</v>
      </c>
      <c r="AX741" t="str">
        <f>_xlfn.XLOOKUP(Table1[[#This Row],[WorkLifeBalance]],Table20[WorkLifeBalance],Table20[Id_WorkLifeBalance])</f>
        <v>WLB002</v>
      </c>
      <c r="AY741">
        <v>3</v>
      </c>
      <c r="AZ741" t="str">
        <f>_xlfn.XLOOKUP(Table1[[#This Row],[WorkLifeBalance]],Table20[WorkLifeBalance],Table20[Deskripsi])</f>
        <v>Good</v>
      </c>
      <c r="BA741">
        <v>3</v>
      </c>
      <c r="BB741">
        <v>2</v>
      </c>
      <c r="BC741">
        <v>2</v>
      </c>
      <c r="BD741">
        <v>2</v>
      </c>
    </row>
    <row r="742" spans="1:56" x14ac:dyDescent="0.25">
      <c r="A742">
        <v>35</v>
      </c>
      <c r="B742" t="str">
        <f>_xlfn.XLOOKUP(Table1[[#This Row],[Attrition]],Table2[Attrition],Table2[Id_Attrition])</f>
        <v>A002</v>
      </c>
      <c r="C742" t="s">
        <v>33</v>
      </c>
      <c r="D742" t="str">
        <f>_xlfn.XLOOKUP(Table1[[#This Row],[BusinessTravel]],Table5[BusinessTravel],Table5[Id_BusinessTravel])</f>
        <v>BS001</v>
      </c>
      <c r="E742" t="s">
        <v>34</v>
      </c>
      <c r="F742">
        <v>802</v>
      </c>
      <c r="G742" t="str">
        <f>_xlfn.XLOOKUP(Table1[[#This Row],[Department]],Table6[Department],Table6[Id_Departement])</f>
        <v>D002</v>
      </c>
      <c r="H742" t="s">
        <v>38</v>
      </c>
      <c r="I742">
        <v>10</v>
      </c>
      <c r="J742" t="str">
        <f>_xlfn.XLOOKUP(Table1[[#This Row],[Education]],Table8[Education],Table8[Id_Education])</f>
        <v>E003</v>
      </c>
      <c r="K742">
        <v>3</v>
      </c>
      <c r="L742" t="str">
        <f>_xlfn.XLOOKUP(Table1[[#This Row],[EducationField]],Table7[EducationField],Table7[Id_EducationField])</f>
        <v>EF002</v>
      </c>
      <c r="M742" t="s">
        <v>41</v>
      </c>
      <c r="N742" t="str">
        <f>_xlfn.XLOOKUP(Table1[[#This Row],[EmployeeNumber]],Table4[EmployeeNumber],Table4[Id_Employee])</f>
        <v>EMP00741</v>
      </c>
      <c r="O742">
        <v>1028</v>
      </c>
      <c r="P742" t="str">
        <f>_xlfn.XLOOKUP(Table1[[#This Row],[EnvironmentSatisfaction]],Table9[EnvironmentSatisfaction],Table9[Id_EnviromentSatisfaction])</f>
        <v>ES002</v>
      </c>
      <c r="Q742">
        <v>2</v>
      </c>
      <c r="R742" t="str">
        <f>_xlfn.XLOOKUP(Table1[[#This Row],[EnvironmentSatisfaction]],Table9[EnvironmentSatisfaction],Table9[Deskripsi])</f>
        <v>Medium</v>
      </c>
      <c r="S742" t="str">
        <f>_xlfn.XLOOKUP(Table1[[#This Row],[Gender]],Table10[Gender],Table10[Id_Gender])</f>
        <v>G002</v>
      </c>
      <c r="T742" t="s">
        <v>46</v>
      </c>
      <c r="U742">
        <v>45</v>
      </c>
      <c r="V742" t="str">
        <f>_xlfn.XLOOKUP(Table1[[#This Row],[JobInvolvement]],Table11[JobInvolvement],Table11[Id_JobInvolvement])</f>
        <v>JI003</v>
      </c>
      <c r="W742">
        <v>3</v>
      </c>
      <c r="X742" t="str">
        <f>_xlfn.XLOOKUP(Table1[[#This Row],[JobLevel]],Table12[JobLevel],Table12[Id_JobLevel])</f>
        <v>JL001</v>
      </c>
      <c r="Y742">
        <v>1</v>
      </c>
      <c r="Z742" t="str">
        <f>_xlfn.XLOOKUP(Table1[[#This Row],[JobRole]],Table13[JobRole],Table13[Id_JobRole])</f>
        <v>JR003</v>
      </c>
      <c r="AA742" t="s">
        <v>49</v>
      </c>
      <c r="AB742" t="str">
        <f>_xlfn.XLOOKUP(Table1[[#This Row],[JobSatisfaction]],Table14[JobSatisfaction],Table14[Id_JobSatisfaction])</f>
        <v>JS004</v>
      </c>
      <c r="AC742">
        <v>4</v>
      </c>
      <c r="AD742" t="str">
        <f>_xlfn.XLOOKUP(Table1[[#This Row],[JobSatisfaction]],Table14[JobSatisfaction],Table14[Deskripsi])</f>
        <v>Very High</v>
      </c>
      <c r="AE742" t="str">
        <f>_xlfn.XLOOKUP(Table1[[#This Row],[MaritalStatus]],Table15[MaritalStatus],Table15[Id_MaritalStatus])</f>
        <v>MS003</v>
      </c>
      <c r="AF742" t="s">
        <v>57</v>
      </c>
      <c r="AG742">
        <v>3917</v>
      </c>
      <c r="AH742">
        <v>9541</v>
      </c>
      <c r="AI742">
        <v>1</v>
      </c>
      <c r="AJ742" t="str">
        <f>_xlfn.XLOOKUP(Table1[[#This Row],[OverTime]],Table16[OverTime],Table16[Id_OverTime])</f>
        <v>OT002</v>
      </c>
      <c r="AK742" t="s">
        <v>33</v>
      </c>
      <c r="AL742">
        <v>20</v>
      </c>
      <c r="AM742" t="str">
        <f>_xlfn.XLOOKUP(Table1[[#This Row],[PerformanceRating]],Table17[PerformanceRating],Table17[Id_PerformanceRating])</f>
        <v>PR004</v>
      </c>
      <c r="AN742">
        <v>4</v>
      </c>
      <c r="AO742" t="str">
        <f>_xlfn.XLOOKUP(Table1[[#This Row],[PerformanceRating]],Table17[PerformanceRating],Table17[Deskripsi])</f>
        <v>Outstanding</v>
      </c>
      <c r="AP742" t="str">
        <f>_xlfn.XLOOKUP(Table1[[#This Row],[RelationshipSatisfaction]],Table18[RelationshipSatisfaction],Table18[Id_RelationshipSatisfaction])</f>
        <v>RS001</v>
      </c>
      <c r="AQ742">
        <v>1</v>
      </c>
      <c r="AR742" t="str">
        <f>_xlfn.XLOOKUP(Table1[[#This Row],[RelationshipSatisfaction]],Table18[RelationshipSatisfaction],Table18[Deskripsi])</f>
        <v>Low</v>
      </c>
      <c r="AS742" t="str">
        <f>_xlfn.XLOOKUP(Table1[[#This Row],[StockOptionLevel]],Table19[StockOptionLevel],Table19[Id_StockOptionLevel])</f>
        <v>SOL002</v>
      </c>
      <c r="AT742">
        <v>1</v>
      </c>
      <c r="AU742" t="str">
        <f>_xlfn.XLOOKUP(Table1[[#This Row],[StockOptionLevel]],Table19[StockOptionLevel],Table19[Deskripsi])</f>
        <v>Standard</v>
      </c>
      <c r="AV742">
        <v>3</v>
      </c>
      <c r="AW742">
        <v>4</v>
      </c>
      <c r="AX742" t="str">
        <f>_xlfn.XLOOKUP(Table1[[#This Row],[WorkLifeBalance]],Table20[WorkLifeBalance],Table20[Id_WorkLifeBalance])</f>
        <v>WLB003</v>
      </c>
      <c r="AY742">
        <v>2</v>
      </c>
      <c r="AZ742" t="str">
        <f>_xlfn.XLOOKUP(Table1[[#This Row],[WorkLifeBalance]],Table20[WorkLifeBalance],Table20[Deskripsi])</f>
        <v>Better</v>
      </c>
      <c r="BA742">
        <v>3</v>
      </c>
      <c r="BB742">
        <v>2</v>
      </c>
      <c r="BC742">
        <v>1</v>
      </c>
      <c r="BD742">
        <v>2</v>
      </c>
    </row>
    <row r="743" spans="1:56" x14ac:dyDescent="0.25">
      <c r="A743">
        <v>42</v>
      </c>
      <c r="B743" t="str">
        <f>_xlfn.XLOOKUP(Table1[[#This Row],[Attrition]],Table2[Attrition],Table2[Id_Attrition])</f>
        <v>A002</v>
      </c>
      <c r="C743" t="s">
        <v>33</v>
      </c>
      <c r="D743" t="str">
        <f>_xlfn.XLOOKUP(Table1[[#This Row],[BusinessTravel]],Table5[BusinessTravel],Table5[Id_BusinessTravel])</f>
        <v>BS001</v>
      </c>
      <c r="E743" t="s">
        <v>34</v>
      </c>
      <c r="F743">
        <v>265</v>
      </c>
      <c r="G743" t="str">
        <f>_xlfn.XLOOKUP(Table1[[#This Row],[Department]],Table6[Department],Table6[Id_Departement])</f>
        <v>D001</v>
      </c>
      <c r="H743" t="s">
        <v>37</v>
      </c>
      <c r="I743">
        <v>5</v>
      </c>
      <c r="J743" t="str">
        <f>_xlfn.XLOOKUP(Table1[[#This Row],[Education]],Table8[Education],Table8[Id_Education])</f>
        <v>E002</v>
      </c>
      <c r="K743">
        <v>2</v>
      </c>
      <c r="L743" t="str">
        <f>_xlfn.XLOOKUP(Table1[[#This Row],[EducationField]],Table7[EducationField],Table7[Id_EducationField])</f>
        <v>EF004</v>
      </c>
      <c r="M743" t="s">
        <v>43</v>
      </c>
      <c r="N743" t="str">
        <f>_xlfn.XLOOKUP(Table1[[#This Row],[EmployeeNumber]],Table4[EmployeeNumber],Table4[Id_Employee])</f>
        <v>EMP00742</v>
      </c>
      <c r="O743">
        <v>1029</v>
      </c>
      <c r="P743" t="str">
        <f>_xlfn.XLOOKUP(Table1[[#This Row],[EnvironmentSatisfaction]],Table9[EnvironmentSatisfaction],Table9[Id_EnviromentSatisfaction])</f>
        <v>ES004</v>
      </c>
      <c r="Q743">
        <v>4</v>
      </c>
      <c r="R743" t="str">
        <f>_xlfn.XLOOKUP(Table1[[#This Row],[EnvironmentSatisfaction]],Table9[EnvironmentSatisfaction],Table9[Deskripsi])</f>
        <v>Very High</v>
      </c>
      <c r="S743" t="str">
        <f>_xlfn.XLOOKUP(Table1[[#This Row],[Gender]],Table10[Gender],Table10[Id_Gender])</f>
        <v>G002</v>
      </c>
      <c r="T743" t="s">
        <v>46</v>
      </c>
      <c r="U743">
        <v>90</v>
      </c>
      <c r="V743" t="str">
        <f>_xlfn.XLOOKUP(Table1[[#This Row],[JobInvolvement]],Table11[JobInvolvement],Table11[Id_JobInvolvement])</f>
        <v>JI003</v>
      </c>
      <c r="W743">
        <v>3</v>
      </c>
      <c r="X743" t="str">
        <f>_xlfn.XLOOKUP(Table1[[#This Row],[JobLevel]],Table12[JobLevel],Table12[Id_JobLevel])</f>
        <v>JL005</v>
      </c>
      <c r="Y743">
        <v>5</v>
      </c>
      <c r="Z743" t="str">
        <f>_xlfn.XLOOKUP(Table1[[#This Row],[JobRole]],Table13[JobRole],Table13[Id_JobRole])</f>
        <v>JR006</v>
      </c>
      <c r="AA743" t="s">
        <v>52</v>
      </c>
      <c r="AB743" t="str">
        <f>_xlfn.XLOOKUP(Table1[[#This Row],[JobSatisfaction]],Table14[JobSatisfaction],Table14[Id_JobSatisfaction])</f>
        <v>JS003</v>
      </c>
      <c r="AC743">
        <v>3</v>
      </c>
      <c r="AD743" t="str">
        <f>_xlfn.XLOOKUP(Table1[[#This Row],[JobSatisfaction]],Table14[JobSatisfaction],Table14[Deskripsi])</f>
        <v>High</v>
      </c>
      <c r="AE743" t="str">
        <f>_xlfn.XLOOKUP(Table1[[#This Row],[MaritalStatus]],Table15[MaritalStatus],Table15[Id_MaritalStatus])</f>
        <v>MS002</v>
      </c>
      <c r="AF743" t="s">
        <v>56</v>
      </c>
      <c r="AG743">
        <v>18303</v>
      </c>
      <c r="AH743">
        <v>7770</v>
      </c>
      <c r="AI743">
        <v>6</v>
      </c>
      <c r="AJ743" t="str">
        <f>_xlfn.XLOOKUP(Table1[[#This Row],[OverTime]],Table16[OverTime],Table16[Id_OverTime])</f>
        <v>OT002</v>
      </c>
      <c r="AK743" t="s">
        <v>33</v>
      </c>
      <c r="AL743">
        <v>13</v>
      </c>
      <c r="AM743" t="str">
        <f>_xlfn.XLOOKUP(Table1[[#This Row],[PerformanceRating]],Table17[PerformanceRating],Table17[Id_PerformanceRating])</f>
        <v>PR003</v>
      </c>
      <c r="AN743">
        <v>3</v>
      </c>
      <c r="AO743" t="str">
        <f>_xlfn.XLOOKUP(Table1[[#This Row],[PerformanceRating]],Table17[PerformanceRating],Table17[Deskripsi])</f>
        <v>Excellent</v>
      </c>
      <c r="AP743" t="str">
        <f>_xlfn.XLOOKUP(Table1[[#This Row],[RelationshipSatisfaction]],Table18[RelationshipSatisfaction],Table18[Id_RelationshipSatisfaction])</f>
        <v>RS002</v>
      </c>
      <c r="AQ743">
        <v>2</v>
      </c>
      <c r="AR743" t="str">
        <f>_xlfn.XLOOKUP(Table1[[#This Row],[RelationshipSatisfaction]],Table18[RelationshipSatisfaction],Table18[Deskripsi])</f>
        <v>Medium</v>
      </c>
      <c r="AS743" t="str">
        <f>_xlfn.XLOOKUP(Table1[[#This Row],[StockOptionLevel]],Table19[StockOptionLevel],Table19[Id_StockOptionLevel])</f>
        <v>SOL001</v>
      </c>
      <c r="AT743">
        <v>0</v>
      </c>
      <c r="AU743" t="str">
        <f>_xlfn.XLOOKUP(Table1[[#This Row],[StockOptionLevel]],Table19[StockOptionLevel],Table19[Deskripsi])</f>
        <v>Non-Eligible</v>
      </c>
      <c r="AV743">
        <v>21</v>
      </c>
      <c r="AW743">
        <v>3</v>
      </c>
      <c r="AX743" t="str">
        <f>_xlfn.XLOOKUP(Table1[[#This Row],[WorkLifeBalance]],Table20[WorkLifeBalance],Table20[Id_WorkLifeBalance])</f>
        <v>WLB004</v>
      </c>
      <c r="AY743">
        <v>4</v>
      </c>
      <c r="AZ743" t="str">
        <f>_xlfn.XLOOKUP(Table1[[#This Row],[WorkLifeBalance]],Table20[WorkLifeBalance],Table20[Deskripsi])</f>
        <v>Best</v>
      </c>
      <c r="BA743">
        <v>1</v>
      </c>
      <c r="BB743">
        <v>0</v>
      </c>
      <c r="BC743">
        <v>0</v>
      </c>
      <c r="BD743">
        <v>0</v>
      </c>
    </row>
    <row r="744" spans="1:56" x14ac:dyDescent="0.25">
      <c r="A744">
        <v>50</v>
      </c>
      <c r="B744" t="str">
        <f>_xlfn.XLOOKUP(Table1[[#This Row],[Attrition]],Table2[Attrition],Table2[Id_Attrition])</f>
        <v>A002</v>
      </c>
      <c r="C744" t="s">
        <v>33</v>
      </c>
      <c r="D744" t="str">
        <f>_xlfn.XLOOKUP(Table1[[#This Row],[BusinessTravel]],Table5[BusinessTravel],Table5[Id_BusinessTravel])</f>
        <v>BS001</v>
      </c>
      <c r="E744" t="s">
        <v>34</v>
      </c>
      <c r="F744">
        <v>804</v>
      </c>
      <c r="G744" t="str">
        <f>_xlfn.XLOOKUP(Table1[[#This Row],[Department]],Table6[Department],Table6[Id_Departement])</f>
        <v>D002</v>
      </c>
      <c r="H744" t="s">
        <v>38</v>
      </c>
      <c r="I744">
        <v>9</v>
      </c>
      <c r="J744" t="str">
        <f>_xlfn.XLOOKUP(Table1[[#This Row],[Education]],Table8[Education],Table8[Id_Education])</f>
        <v>E003</v>
      </c>
      <c r="K744">
        <v>3</v>
      </c>
      <c r="L744" t="str">
        <f>_xlfn.XLOOKUP(Table1[[#This Row],[EducationField]],Table7[EducationField],Table7[Id_EducationField])</f>
        <v>EF001</v>
      </c>
      <c r="M744" t="s">
        <v>40</v>
      </c>
      <c r="N744" t="str">
        <f>_xlfn.XLOOKUP(Table1[[#This Row],[EmployeeNumber]],Table4[EmployeeNumber],Table4[Id_Employee])</f>
        <v>EMP00743</v>
      </c>
      <c r="O744">
        <v>1030</v>
      </c>
      <c r="P744" t="str">
        <f>_xlfn.XLOOKUP(Table1[[#This Row],[EnvironmentSatisfaction]],Table9[EnvironmentSatisfaction],Table9[Id_EnviromentSatisfaction])</f>
        <v>ES001</v>
      </c>
      <c r="Q744">
        <v>1</v>
      </c>
      <c r="R744" t="str">
        <f>_xlfn.XLOOKUP(Table1[[#This Row],[EnvironmentSatisfaction]],Table9[EnvironmentSatisfaction],Table9[Deskripsi])</f>
        <v>Low</v>
      </c>
      <c r="S744" t="str">
        <f>_xlfn.XLOOKUP(Table1[[#This Row],[Gender]],Table10[Gender],Table10[Id_Gender])</f>
        <v>G002</v>
      </c>
      <c r="T744" t="s">
        <v>46</v>
      </c>
      <c r="U744">
        <v>64</v>
      </c>
      <c r="V744" t="str">
        <f>_xlfn.XLOOKUP(Table1[[#This Row],[JobInvolvement]],Table11[JobInvolvement],Table11[Id_JobInvolvement])</f>
        <v>JI003</v>
      </c>
      <c r="W744">
        <v>3</v>
      </c>
      <c r="X744" t="str">
        <f>_xlfn.XLOOKUP(Table1[[#This Row],[JobLevel]],Table12[JobLevel],Table12[Id_JobLevel])</f>
        <v>JL001</v>
      </c>
      <c r="Y744">
        <v>1</v>
      </c>
      <c r="Z744" t="str">
        <f>_xlfn.XLOOKUP(Table1[[#This Row],[JobRole]],Table13[JobRole],Table13[Id_JobRole])</f>
        <v>JR003</v>
      </c>
      <c r="AA744" t="s">
        <v>49</v>
      </c>
      <c r="AB744" t="str">
        <f>_xlfn.XLOOKUP(Table1[[#This Row],[JobSatisfaction]],Table14[JobSatisfaction],Table14[Id_JobSatisfaction])</f>
        <v>JS004</v>
      </c>
      <c r="AC744">
        <v>4</v>
      </c>
      <c r="AD744" t="str">
        <f>_xlfn.XLOOKUP(Table1[[#This Row],[JobSatisfaction]],Table14[JobSatisfaction],Table14[Deskripsi])</f>
        <v>Very High</v>
      </c>
      <c r="AE744" t="str">
        <f>_xlfn.XLOOKUP(Table1[[#This Row],[MaritalStatus]],Table15[MaritalStatus],Table15[Id_MaritalStatus])</f>
        <v>MS002</v>
      </c>
      <c r="AF744" t="s">
        <v>56</v>
      </c>
      <c r="AG744">
        <v>2380</v>
      </c>
      <c r="AH744">
        <v>20165</v>
      </c>
      <c r="AI744">
        <v>4</v>
      </c>
      <c r="AJ744" t="str">
        <f>_xlfn.XLOOKUP(Table1[[#This Row],[OverTime]],Table16[OverTime],Table16[Id_OverTime])</f>
        <v>OT002</v>
      </c>
      <c r="AK744" t="s">
        <v>33</v>
      </c>
      <c r="AL744">
        <v>18</v>
      </c>
      <c r="AM744" t="str">
        <f>_xlfn.XLOOKUP(Table1[[#This Row],[PerformanceRating]],Table17[PerformanceRating],Table17[Id_PerformanceRating])</f>
        <v>PR003</v>
      </c>
      <c r="AN744">
        <v>3</v>
      </c>
      <c r="AO744" t="str">
        <f>_xlfn.XLOOKUP(Table1[[#This Row],[PerformanceRating]],Table17[PerformanceRating],Table17[Deskripsi])</f>
        <v>Excellent</v>
      </c>
      <c r="AP744" t="str">
        <f>_xlfn.XLOOKUP(Table1[[#This Row],[RelationshipSatisfaction]],Table18[RelationshipSatisfaction],Table18[Id_RelationshipSatisfaction])</f>
        <v>RS002</v>
      </c>
      <c r="AQ744">
        <v>2</v>
      </c>
      <c r="AR744" t="str">
        <f>_xlfn.XLOOKUP(Table1[[#This Row],[RelationshipSatisfaction]],Table18[RelationshipSatisfaction],Table18[Deskripsi])</f>
        <v>Medium</v>
      </c>
      <c r="AS744" t="str">
        <f>_xlfn.XLOOKUP(Table1[[#This Row],[StockOptionLevel]],Table19[StockOptionLevel],Table19[Id_StockOptionLevel])</f>
        <v>SOL001</v>
      </c>
      <c r="AT744">
        <v>0</v>
      </c>
      <c r="AU744" t="str">
        <f>_xlfn.XLOOKUP(Table1[[#This Row],[StockOptionLevel]],Table19[StockOptionLevel],Table19[Deskripsi])</f>
        <v>Non-Eligible</v>
      </c>
      <c r="AV744">
        <v>8</v>
      </c>
      <c r="AW744">
        <v>5</v>
      </c>
      <c r="AX744" t="str">
        <f>_xlfn.XLOOKUP(Table1[[#This Row],[WorkLifeBalance]],Table20[WorkLifeBalance],Table20[Id_WorkLifeBalance])</f>
        <v>WLB002</v>
      </c>
      <c r="AY744">
        <v>3</v>
      </c>
      <c r="AZ744" t="str">
        <f>_xlfn.XLOOKUP(Table1[[#This Row],[WorkLifeBalance]],Table20[WorkLifeBalance],Table20[Deskripsi])</f>
        <v>Good</v>
      </c>
      <c r="BA744">
        <v>1</v>
      </c>
      <c r="BB744">
        <v>0</v>
      </c>
      <c r="BC744">
        <v>0</v>
      </c>
      <c r="BD744">
        <v>0</v>
      </c>
    </row>
    <row r="745" spans="1:56" x14ac:dyDescent="0.25">
      <c r="A745">
        <v>59</v>
      </c>
      <c r="B745" t="str">
        <f>_xlfn.XLOOKUP(Table1[[#This Row],[Attrition]],Table2[Attrition],Table2[Id_Attrition])</f>
        <v>A002</v>
      </c>
      <c r="C745" t="s">
        <v>33</v>
      </c>
      <c r="D745" t="str">
        <f>_xlfn.XLOOKUP(Table1[[#This Row],[BusinessTravel]],Table5[BusinessTravel],Table5[Id_BusinessTravel])</f>
        <v>BS001</v>
      </c>
      <c r="E745" t="s">
        <v>34</v>
      </c>
      <c r="F745">
        <v>715</v>
      </c>
      <c r="G745" t="str">
        <f>_xlfn.XLOOKUP(Table1[[#This Row],[Department]],Table6[Department],Table6[Id_Departement])</f>
        <v>D002</v>
      </c>
      <c r="H745" t="s">
        <v>38</v>
      </c>
      <c r="I745">
        <v>2</v>
      </c>
      <c r="J745" t="str">
        <f>_xlfn.XLOOKUP(Table1[[#This Row],[Education]],Table8[Education],Table8[Id_Education])</f>
        <v>E003</v>
      </c>
      <c r="K745">
        <v>3</v>
      </c>
      <c r="L745" t="str">
        <f>_xlfn.XLOOKUP(Table1[[#This Row],[EducationField]],Table7[EducationField],Table7[Id_EducationField])</f>
        <v>EF001</v>
      </c>
      <c r="M745" t="s">
        <v>40</v>
      </c>
      <c r="N745" t="str">
        <f>_xlfn.XLOOKUP(Table1[[#This Row],[EmployeeNumber]],Table4[EmployeeNumber],Table4[Id_Employee])</f>
        <v>EMP00744</v>
      </c>
      <c r="O745">
        <v>1032</v>
      </c>
      <c r="P745" t="str">
        <f>_xlfn.XLOOKUP(Table1[[#This Row],[EnvironmentSatisfaction]],Table9[EnvironmentSatisfaction],Table9[Id_EnviromentSatisfaction])</f>
        <v>ES003</v>
      </c>
      <c r="Q745">
        <v>3</v>
      </c>
      <c r="R745" t="str">
        <f>_xlfn.XLOOKUP(Table1[[#This Row],[EnvironmentSatisfaction]],Table9[EnvironmentSatisfaction],Table9[Deskripsi])</f>
        <v>High</v>
      </c>
      <c r="S745" t="str">
        <f>_xlfn.XLOOKUP(Table1[[#This Row],[Gender]],Table10[Gender],Table10[Id_Gender])</f>
        <v>G001</v>
      </c>
      <c r="T745" t="s">
        <v>45</v>
      </c>
      <c r="U745">
        <v>69</v>
      </c>
      <c r="V745" t="str">
        <f>_xlfn.XLOOKUP(Table1[[#This Row],[JobInvolvement]],Table11[JobInvolvement],Table11[Id_JobInvolvement])</f>
        <v>JI002</v>
      </c>
      <c r="W745">
        <v>2</v>
      </c>
      <c r="X745" t="str">
        <f>_xlfn.XLOOKUP(Table1[[#This Row],[JobLevel]],Table12[JobLevel],Table12[Id_JobLevel])</f>
        <v>JL004</v>
      </c>
      <c r="Y745">
        <v>4</v>
      </c>
      <c r="Z745" t="str">
        <f>_xlfn.XLOOKUP(Table1[[#This Row],[JobRole]],Table13[JobRole],Table13[Id_JobRole])</f>
        <v>JR004</v>
      </c>
      <c r="AA745" t="s">
        <v>50</v>
      </c>
      <c r="AB745" t="str">
        <f>_xlfn.XLOOKUP(Table1[[#This Row],[JobSatisfaction]],Table14[JobSatisfaction],Table14[Id_JobSatisfaction])</f>
        <v>JS004</v>
      </c>
      <c r="AC745">
        <v>4</v>
      </c>
      <c r="AD745" t="str">
        <f>_xlfn.XLOOKUP(Table1[[#This Row],[JobSatisfaction]],Table14[JobSatisfaction],Table14[Deskripsi])</f>
        <v>Very High</v>
      </c>
      <c r="AE745" t="str">
        <f>_xlfn.XLOOKUP(Table1[[#This Row],[MaritalStatus]],Table15[MaritalStatus],Table15[Id_MaritalStatus])</f>
        <v>MS001</v>
      </c>
      <c r="AF745" t="s">
        <v>55</v>
      </c>
      <c r="AG745">
        <v>13726</v>
      </c>
      <c r="AH745">
        <v>21829</v>
      </c>
      <c r="AI745">
        <v>3</v>
      </c>
      <c r="AJ745" t="str">
        <f>_xlfn.XLOOKUP(Table1[[#This Row],[OverTime]],Table16[OverTime],Table16[Id_OverTime])</f>
        <v>OT001</v>
      </c>
      <c r="AK745" t="s">
        <v>32</v>
      </c>
      <c r="AL745">
        <v>13</v>
      </c>
      <c r="AM745" t="str">
        <f>_xlfn.XLOOKUP(Table1[[#This Row],[PerformanceRating]],Table17[PerformanceRating],Table17[Id_PerformanceRating])</f>
        <v>PR003</v>
      </c>
      <c r="AN745">
        <v>3</v>
      </c>
      <c r="AO745" t="str">
        <f>_xlfn.XLOOKUP(Table1[[#This Row],[PerformanceRating]],Table17[PerformanceRating],Table17[Deskripsi])</f>
        <v>Excellent</v>
      </c>
      <c r="AP745" t="str">
        <f>_xlfn.XLOOKUP(Table1[[#This Row],[RelationshipSatisfaction]],Table18[RelationshipSatisfaction],Table18[Id_RelationshipSatisfaction])</f>
        <v>RS001</v>
      </c>
      <c r="AQ745">
        <v>1</v>
      </c>
      <c r="AR745" t="str">
        <f>_xlfn.XLOOKUP(Table1[[#This Row],[RelationshipSatisfaction]],Table18[RelationshipSatisfaction],Table18[Deskripsi])</f>
        <v>Low</v>
      </c>
      <c r="AS745" t="str">
        <f>_xlfn.XLOOKUP(Table1[[#This Row],[StockOptionLevel]],Table19[StockOptionLevel],Table19[Id_StockOptionLevel])</f>
        <v>SOL001</v>
      </c>
      <c r="AT745">
        <v>0</v>
      </c>
      <c r="AU745" t="str">
        <f>_xlfn.XLOOKUP(Table1[[#This Row],[StockOptionLevel]],Table19[StockOptionLevel],Table19[Deskripsi])</f>
        <v>Non-Eligible</v>
      </c>
      <c r="AV745">
        <v>30</v>
      </c>
      <c r="AW745">
        <v>4</v>
      </c>
      <c r="AX745" t="str">
        <f>_xlfn.XLOOKUP(Table1[[#This Row],[WorkLifeBalance]],Table20[WorkLifeBalance],Table20[Id_WorkLifeBalance])</f>
        <v>WLB002</v>
      </c>
      <c r="AY745">
        <v>3</v>
      </c>
      <c r="AZ745" t="str">
        <f>_xlfn.XLOOKUP(Table1[[#This Row],[WorkLifeBalance]],Table20[WorkLifeBalance],Table20[Deskripsi])</f>
        <v>Good</v>
      </c>
      <c r="BA745">
        <v>5</v>
      </c>
      <c r="BB745">
        <v>3</v>
      </c>
      <c r="BC745">
        <v>4</v>
      </c>
      <c r="BD745">
        <v>3</v>
      </c>
    </row>
    <row r="746" spans="1:56" x14ac:dyDescent="0.25">
      <c r="A746">
        <v>37</v>
      </c>
      <c r="B746" t="str">
        <f>_xlfn.XLOOKUP(Table1[[#This Row],[Attrition]],Table2[Attrition],Table2[Id_Attrition])</f>
        <v>A001</v>
      </c>
      <c r="C746" t="s">
        <v>32</v>
      </c>
      <c r="D746" t="str">
        <f>_xlfn.XLOOKUP(Table1[[#This Row],[BusinessTravel]],Table5[BusinessTravel],Table5[Id_BusinessTravel])</f>
        <v>BS001</v>
      </c>
      <c r="E746" t="s">
        <v>34</v>
      </c>
      <c r="F746">
        <v>1141</v>
      </c>
      <c r="G746" t="str">
        <f>_xlfn.XLOOKUP(Table1[[#This Row],[Department]],Table6[Department],Table6[Id_Departement])</f>
        <v>D002</v>
      </c>
      <c r="H746" t="s">
        <v>38</v>
      </c>
      <c r="I746">
        <v>11</v>
      </c>
      <c r="J746" t="str">
        <f>_xlfn.XLOOKUP(Table1[[#This Row],[Education]],Table8[Education],Table8[Id_Education])</f>
        <v>E002</v>
      </c>
      <c r="K746">
        <v>2</v>
      </c>
      <c r="L746" t="str">
        <f>_xlfn.XLOOKUP(Table1[[#This Row],[EducationField]],Table7[EducationField],Table7[Id_EducationField])</f>
        <v>EF003</v>
      </c>
      <c r="M746" t="s">
        <v>42</v>
      </c>
      <c r="N746" t="str">
        <f>_xlfn.XLOOKUP(Table1[[#This Row],[EmployeeNumber]],Table4[EmployeeNumber],Table4[Id_Employee])</f>
        <v>EMP00745</v>
      </c>
      <c r="O746">
        <v>1033</v>
      </c>
      <c r="P746" t="str">
        <f>_xlfn.XLOOKUP(Table1[[#This Row],[EnvironmentSatisfaction]],Table9[EnvironmentSatisfaction],Table9[Id_EnviromentSatisfaction])</f>
        <v>ES001</v>
      </c>
      <c r="Q746">
        <v>1</v>
      </c>
      <c r="R746" t="str">
        <f>_xlfn.XLOOKUP(Table1[[#This Row],[EnvironmentSatisfaction]],Table9[EnvironmentSatisfaction],Table9[Deskripsi])</f>
        <v>Low</v>
      </c>
      <c r="S746" t="str">
        <f>_xlfn.XLOOKUP(Table1[[#This Row],[Gender]],Table10[Gender],Table10[Id_Gender])</f>
        <v>G001</v>
      </c>
      <c r="T746" t="s">
        <v>45</v>
      </c>
      <c r="U746">
        <v>61</v>
      </c>
      <c r="V746" t="str">
        <f>_xlfn.XLOOKUP(Table1[[#This Row],[JobInvolvement]],Table11[JobInvolvement],Table11[Id_JobInvolvement])</f>
        <v>JI001</v>
      </c>
      <c r="W746">
        <v>1</v>
      </c>
      <c r="X746" t="str">
        <f>_xlfn.XLOOKUP(Table1[[#This Row],[JobLevel]],Table12[JobLevel],Table12[Id_JobLevel])</f>
        <v>JL002</v>
      </c>
      <c r="Y746">
        <v>2</v>
      </c>
      <c r="Z746" t="str">
        <f>_xlfn.XLOOKUP(Table1[[#This Row],[JobRole]],Table13[JobRole],Table13[Id_JobRole])</f>
        <v>JR005</v>
      </c>
      <c r="AA746" t="s">
        <v>51</v>
      </c>
      <c r="AB746" t="str">
        <f>_xlfn.XLOOKUP(Table1[[#This Row],[JobSatisfaction]],Table14[JobSatisfaction],Table14[Id_JobSatisfaction])</f>
        <v>JS002</v>
      </c>
      <c r="AC746">
        <v>2</v>
      </c>
      <c r="AD746" t="str">
        <f>_xlfn.XLOOKUP(Table1[[#This Row],[JobSatisfaction]],Table14[JobSatisfaction],Table14[Deskripsi])</f>
        <v>Medium</v>
      </c>
      <c r="AE746" t="str">
        <f>_xlfn.XLOOKUP(Table1[[#This Row],[MaritalStatus]],Table15[MaritalStatus],Table15[Id_MaritalStatus])</f>
        <v>MS002</v>
      </c>
      <c r="AF746" t="s">
        <v>56</v>
      </c>
      <c r="AG746">
        <v>4777</v>
      </c>
      <c r="AH746">
        <v>14382</v>
      </c>
      <c r="AI746">
        <v>5</v>
      </c>
      <c r="AJ746" t="str">
        <f>_xlfn.XLOOKUP(Table1[[#This Row],[OverTime]],Table16[OverTime],Table16[Id_OverTime])</f>
        <v>OT002</v>
      </c>
      <c r="AK746" t="s">
        <v>33</v>
      </c>
      <c r="AL746">
        <v>15</v>
      </c>
      <c r="AM746" t="str">
        <f>_xlfn.XLOOKUP(Table1[[#This Row],[PerformanceRating]],Table17[PerformanceRating],Table17[Id_PerformanceRating])</f>
        <v>PR003</v>
      </c>
      <c r="AN746">
        <v>3</v>
      </c>
      <c r="AO746" t="str">
        <f>_xlfn.XLOOKUP(Table1[[#This Row],[PerformanceRating]],Table17[PerformanceRating],Table17[Deskripsi])</f>
        <v>Excellent</v>
      </c>
      <c r="AP746" t="str">
        <f>_xlfn.XLOOKUP(Table1[[#This Row],[RelationshipSatisfaction]],Table18[RelationshipSatisfaction],Table18[Id_RelationshipSatisfaction])</f>
        <v>RS001</v>
      </c>
      <c r="AQ746">
        <v>1</v>
      </c>
      <c r="AR746" t="str">
        <f>_xlfn.XLOOKUP(Table1[[#This Row],[RelationshipSatisfaction]],Table18[RelationshipSatisfaction],Table18[Deskripsi])</f>
        <v>Low</v>
      </c>
      <c r="AS746" t="str">
        <f>_xlfn.XLOOKUP(Table1[[#This Row],[StockOptionLevel]],Table19[StockOptionLevel],Table19[Id_StockOptionLevel])</f>
        <v>SOL001</v>
      </c>
      <c r="AT746">
        <v>0</v>
      </c>
      <c r="AU746" t="str">
        <f>_xlfn.XLOOKUP(Table1[[#This Row],[StockOptionLevel]],Table19[StockOptionLevel],Table19[Deskripsi])</f>
        <v>Non-Eligible</v>
      </c>
      <c r="AV746">
        <v>15</v>
      </c>
      <c r="AW746">
        <v>2</v>
      </c>
      <c r="AX746" t="str">
        <f>_xlfn.XLOOKUP(Table1[[#This Row],[WorkLifeBalance]],Table20[WorkLifeBalance],Table20[Id_WorkLifeBalance])</f>
        <v>WLB001</v>
      </c>
      <c r="AY746">
        <v>1</v>
      </c>
      <c r="AZ746" t="str">
        <f>_xlfn.XLOOKUP(Table1[[#This Row],[WorkLifeBalance]],Table20[WorkLifeBalance],Table20[Deskripsi])</f>
        <v>Bad</v>
      </c>
      <c r="BA746">
        <v>1</v>
      </c>
      <c r="BB746">
        <v>0</v>
      </c>
      <c r="BC746">
        <v>0</v>
      </c>
      <c r="BD746">
        <v>0</v>
      </c>
    </row>
    <row r="747" spans="1:56" x14ac:dyDescent="0.25">
      <c r="A747">
        <v>55</v>
      </c>
      <c r="B747" t="str">
        <f>_xlfn.XLOOKUP(Table1[[#This Row],[Attrition]],Table2[Attrition],Table2[Id_Attrition])</f>
        <v>A002</v>
      </c>
      <c r="C747" t="s">
        <v>33</v>
      </c>
      <c r="D747" t="str">
        <f>_xlfn.XLOOKUP(Table1[[#This Row],[BusinessTravel]],Table5[BusinessTravel],Table5[Id_BusinessTravel])</f>
        <v>BS002</v>
      </c>
      <c r="E747" t="s">
        <v>35</v>
      </c>
      <c r="F747">
        <v>135</v>
      </c>
      <c r="G747" t="str">
        <f>_xlfn.XLOOKUP(Table1[[#This Row],[Department]],Table6[Department],Table6[Id_Departement])</f>
        <v>D002</v>
      </c>
      <c r="H747" t="s">
        <v>38</v>
      </c>
      <c r="I747">
        <v>18</v>
      </c>
      <c r="J747" t="str">
        <f>_xlfn.XLOOKUP(Table1[[#This Row],[Education]],Table8[Education],Table8[Id_Education])</f>
        <v>E004</v>
      </c>
      <c r="K747">
        <v>4</v>
      </c>
      <c r="L747" t="str">
        <f>_xlfn.XLOOKUP(Table1[[#This Row],[EducationField]],Table7[EducationField],Table7[Id_EducationField])</f>
        <v>EF003</v>
      </c>
      <c r="M747" t="s">
        <v>42</v>
      </c>
      <c r="N747" t="str">
        <f>_xlfn.XLOOKUP(Table1[[#This Row],[EmployeeNumber]],Table4[EmployeeNumber],Table4[Id_Employee])</f>
        <v>EMP00746</v>
      </c>
      <c r="O747">
        <v>1034</v>
      </c>
      <c r="P747" t="str">
        <f>_xlfn.XLOOKUP(Table1[[#This Row],[EnvironmentSatisfaction]],Table9[EnvironmentSatisfaction],Table9[Id_EnviromentSatisfaction])</f>
        <v>ES003</v>
      </c>
      <c r="Q747">
        <v>3</v>
      </c>
      <c r="R747" t="str">
        <f>_xlfn.XLOOKUP(Table1[[#This Row],[EnvironmentSatisfaction]],Table9[EnvironmentSatisfaction],Table9[Deskripsi])</f>
        <v>High</v>
      </c>
      <c r="S747" t="str">
        <f>_xlfn.XLOOKUP(Table1[[#This Row],[Gender]],Table10[Gender],Table10[Id_Gender])</f>
        <v>G002</v>
      </c>
      <c r="T747" t="s">
        <v>46</v>
      </c>
      <c r="U747">
        <v>62</v>
      </c>
      <c r="V747" t="str">
        <f>_xlfn.XLOOKUP(Table1[[#This Row],[JobInvolvement]],Table11[JobInvolvement],Table11[Id_JobInvolvement])</f>
        <v>JI003</v>
      </c>
      <c r="W747">
        <v>3</v>
      </c>
      <c r="X747" t="str">
        <f>_xlfn.XLOOKUP(Table1[[#This Row],[JobLevel]],Table12[JobLevel],Table12[Id_JobLevel])</f>
        <v>JL002</v>
      </c>
      <c r="Y747">
        <v>2</v>
      </c>
      <c r="Z747" t="str">
        <f>_xlfn.XLOOKUP(Table1[[#This Row],[JobRole]],Table13[JobRole],Table13[Id_JobRole])</f>
        <v>JR005</v>
      </c>
      <c r="AA747" t="s">
        <v>51</v>
      </c>
      <c r="AB747" t="str">
        <f>_xlfn.XLOOKUP(Table1[[#This Row],[JobSatisfaction]],Table14[JobSatisfaction],Table14[Id_JobSatisfaction])</f>
        <v>JS002</v>
      </c>
      <c r="AC747">
        <v>2</v>
      </c>
      <c r="AD747" t="str">
        <f>_xlfn.XLOOKUP(Table1[[#This Row],[JobSatisfaction]],Table14[JobSatisfaction],Table14[Deskripsi])</f>
        <v>Medium</v>
      </c>
      <c r="AE747" t="str">
        <f>_xlfn.XLOOKUP(Table1[[#This Row],[MaritalStatus]],Table15[MaritalStatus],Table15[Id_MaritalStatus])</f>
        <v>MS002</v>
      </c>
      <c r="AF747" t="s">
        <v>56</v>
      </c>
      <c r="AG747">
        <v>6385</v>
      </c>
      <c r="AH747">
        <v>12992</v>
      </c>
      <c r="AI747">
        <v>3</v>
      </c>
      <c r="AJ747" t="str">
        <f>_xlfn.XLOOKUP(Table1[[#This Row],[OverTime]],Table16[OverTime],Table16[Id_OverTime])</f>
        <v>OT001</v>
      </c>
      <c r="AK747" t="s">
        <v>32</v>
      </c>
      <c r="AL747">
        <v>14</v>
      </c>
      <c r="AM747" t="str">
        <f>_xlfn.XLOOKUP(Table1[[#This Row],[PerformanceRating]],Table17[PerformanceRating],Table17[Id_PerformanceRating])</f>
        <v>PR003</v>
      </c>
      <c r="AN747">
        <v>3</v>
      </c>
      <c r="AO747" t="str">
        <f>_xlfn.XLOOKUP(Table1[[#This Row],[PerformanceRating]],Table17[PerformanceRating],Table17[Deskripsi])</f>
        <v>Excellent</v>
      </c>
      <c r="AP747" t="str">
        <f>_xlfn.XLOOKUP(Table1[[#This Row],[RelationshipSatisfaction]],Table18[RelationshipSatisfaction],Table18[Id_RelationshipSatisfaction])</f>
        <v>RS004</v>
      </c>
      <c r="AQ747">
        <v>4</v>
      </c>
      <c r="AR747" t="str">
        <f>_xlfn.XLOOKUP(Table1[[#This Row],[RelationshipSatisfaction]],Table18[RelationshipSatisfaction],Table18[Deskripsi])</f>
        <v>Very High</v>
      </c>
      <c r="AS747" t="str">
        <f>_xlfn.XLOOKUP(Table1[[#This Row],[StockOptionLevel]],Table19[StockOptionLevel],Table19[Id_StockOptionLevel])</f>
        <v>SOL003</v>
      </c>
      <c r="AT747">
        <v>2</v>
      </c>
      <c r="AU747" t="str">
        <f>_xlfn.XLOOKUP(Table1[[#This Row],[StockOptionLevel]],Table19[StockOptionLevel],Table19[Deskripsi])</f>
        <v>Intermediate</v>
      </c>
      <c r="AV747">
        <v>17</v>
      </c>
      <c r="AW747">
        <v>3</v>
      </c>
      <c r="AX747" t="str">
        <f>_xlfn.XLOOKUP(Table1[[#This Row],[WorkLifeBalance]],Table20[WorkLifeBalance],Table20[Id_WorkLifeBalance])</f>
        <v>WLB002</v>
      </c>
      <c r="AY747">
        <v>3</v>
      </c>
      <c r="AZ747" t="str">
        <f>_xlfn.XLOOKUP(Table1[[#This Row],[WorkLifeBalance]],Table20[WorkLifeBalance],Table20[Deskripsi])</f>
        <v>Good</v>
      </c>
      <c r="BA747">
        <v>8</v>
      </c>
      <c r="BB747">
        <v>7</v>
      </c>
      <c r="BC747">
        <v>6</v>
      </c>
      <c r="BD747">
        <v>7</v>
      </c>
    </row>
    <row r="748" spans="1:56" x14ac:dyDescent="0.25">
      <c r="A748">
        <v>41</v>
      </c>
      <c r="B748" t="str">
        <f>_xlfn.XLOOKUP(Table1[[#This Row],[Attrition]],Table2[Attrition],Table2[Id_Attrition])</f>
        <v>A002</v>
      </c>
      <c r="C748" t="s">
        <v>33</v>
      </c>
      <c r="D748" t="str">
        <f>_xlfn.XLOOKUP(Table1[[#This Row],[BusinessTravel]],Table5[BusinessTravel],Table5[Id_BusinessTravel])</f>
        <v>BS003</v>
      </c>
      <c r="E748" t="s">
        <v>36</v>
      </c>
      <c r="F748">
        <v>247</v>
      </c>
      <c r="G748" t="str">
        <f>_xlfn.XLOOKUP(Table1[[#This Row],[Department]],Table6[Department],Table6[Id_Departement])</f>
        <v>D002</v>
      </c>
      <c r="H748" t="s">
        <v>38</v>
      </c>
      <c r="I748">
        <v>7</v>
      </c>
      <c r="J748" t="str">
        <f>_xlfn.XLOOKUP(Table1[[#This Row],[Education]],Table8[Education],Table8[Id_Education])</f>
        <v>E001</v>
      </c>
      <c r="K748">
        <v>1</v>
      </c>
      <c r="L748" t="str">
        <f>_xlfn.XLOOKUP(Table1[[#This Row],[EducationField]],Table7[EducationField],Table7[Id_EducationField])</f>
        <v>EF001</v>
      </c>
      <c r="M748" t="s">
        <v>40</v>
      </c>
      <c r="N748" t="str">
        <f>_xlfn.XLOOKUP(Table1[[#This Row],[EmployeeNumber]],Table4[EmployeeNumber],Table4[Id_Employee])</f>
        <v>EMP00747</v>
      </c>
      <c r="O748">
        <v>1035</v>
      </c>
      <c r="P748" t="str">
        <f>_xlfn.XLOOKUP(Table1[[#This Row],[EnvironmentSatisfaction]],Table9[EnvironmentSatisfaction],Table9[Id_EnviromentSatisfaction])</f>
        <v>ES002</v>
      </c>
      <c r="Q748">
        <v>2</v>
      </c>
      <c r="R748" t="str">
        <f>_xlfn.XLOOKUP(Table1[[#This Row],[EnvironmentSatisfaction]],Table9[EnvironmentSatisfaction],Table9[Deskripsi])</f>
        <v>Medium</v>
      </c>
      <c r="S748" t="str">
        <f>_xlfn.XLOOKUP(Table1[[#This Row],[Gender]],Table10[Gender],Table10[Id_Gender])</f>
        <v>G001</v>
      </c>
      <c r="T748" t="s">
        <v>45</v>
      </c>
      <c r="U748">
        <v>55</v>
      </c>
      <c r="V748" t="str">
        <f>_xlfn.XLOOKUP(Table1[[#This Row],[JobInvolvement]],Table11[JobInvolvement],Table11[Id_JobInvolvement])</f>
        <v>JI001</v>
      </c>
      <c r="W748">
        <v>1</v>
      </c>
      <c r="X748" t="str">
        <f>_xlfn.XLOOKUP(Table1[[#This Row],[JobLevel]],Table12[JobLevel],Table12[Id_JobLevel])</f>
        <v>JL005</v>
      </c>
      <c r="Y748">
        <v>5</v>
      </c>
      <c r="Z748" t="str">
        <f>_xlfn.XLOOKUP(Table1[[#This Row],[JobRole]],Table13[JobRole],Table13[Id_JobRole])</f>
        <v>JR008</v>
      </c>
      <c r="AA748" t="s">
        <v>54</v>
      </c>
      <c r="AB748" t="str">
        <f>_xlfn.XLOOKUP(Table1[[#This Row],[JobSatisfaction]],Table14[JobSatisfaction],Table14[Id_JobSatisfaction])</f>
        <v>JS003</v>
      </c>
      <c r="AC748">
        <v>3</v>
      </c>
      <c r="AD748" t="str">
        <f>_xlfn.XLOOKUP(Table1[[#This Row],[JobSatisfaction]],Table14[JobSatisfaction],Table14[Deskripsi])</f>
        <v>High</v>
      </c>
      <c r="AE748" t="str">
        <f>_xlfn.XLOOKUP(Table1[[#This Row],[MaritalStatus]],Table15[MaritalStatus],Table15[Id_MaritalStatus])</f>
        <v>MS003</v>
      </c>
      <c r="AF748" t="s">
        <v>57</v>
      </c>
      <c r="AG748">
        <v>19973</v>
      </c>
      <c r="AH748">
        <v>20284</v>
      </c>
      <c r="AI748">
        <v>1</v>
      </c>
      <c r="AJ748" t="str">
        <f>_xlfn.XLOOKUP(Table1[[#This Row],[OverTime]],Table16[OverTime],Table16[Id_OverTime])</f>
        <v>OT002</v>
      </c>
      <c r="AK748" t="s">
        <v>33</v>
      </c>
      <c r="AL748">
        <v>22</v>
      </c>
      <c r="AM748" t="str">
        <f>_xlfn.XLOOKUP(Table1[[#This Row],[PerformanceRating]],Table17[PerformanceRating],Table17[Id_PerformanceRating])</f>
        <v>PR004</v>
      </c>
      <c r="AN748">
        <v>4</v>
      </c>
      <c r="AO748" t="str">
        <f>_xlfn.XLOOKUP(Table1[[#This Row],[PerformanceRating]],Table17[PerformanceRating],Table17[Deskripsi])</f>
        <v>Outstanding</v>
      </c>
      <c r="AP748" t="str">
        <f>_xlfn.XLOOKUP(Table1[[#This Row],[RelationshipSatisfaction]],Table18[RelationshipSatisfaction],Table18[Id_RelationshipSatisfaction])</f>
        <v>RS002</v>
      </c>
      <c r="AQ748">
        <v>2</v>
      </c>
      <c r="AR748" t="str">
        <f>_xlfn.XLOOKUP(Table1[[#This Row],[RelationshipSatisfaction]],Table18[RelationshipSatisfaction],Table18[Deskripsi])</f>
        <v>Medium</v>
      </c>
      <c r="AS748" t="str">
        <f>_xlfn.XLOOKUP(Table1[[#This Row],[StockOptionLevel]],Table19[StockOptionLevel],Table19[Id_StockOptionLevel])</f>
        <v>SOL003</v>
      </c>
      <c r="AT748">
        <v>2</v>
      </c>
      <c r="AU748" t="str">
        <f>_xlfn.XLOOKUP(Table1[[#This Row],[StockOptionLevel]],Table19[StockOptionLevel],Table19[Deskripsi])</f>
        <v>Intermediate</v>
      </c>
      <c r="AV748">
        <v>21</v>
      </c>
      <c r="AW748">
        <v>3</v>
      </c>
      <c r="AX748" t="str">
        <f>_xlfn.XLOOKUP(Table1[[#This Row],[WorkLifeBalance]],Table20[WorkLifeBalance],Table20[Id_WorkLifeBalance])</f>
        <v>WLB002</v>
      </c>
      <c r="AY748">
        <v>3</v>
      </c>
      <c r="AZ748" t="str">
        <f>_xlfn.XLOOKUP(Table1[[#This Row],[WorkLifeBalance]],Table20[WorkLifeBalance],Table20[Deskripsi])</f>
        <v>Good</v>
      </c>
      <c r="BA748">
        <v>21</v>
      </c>
      <c r="BB748">
        <v>16</v>
      </c>
      <c r="BC748">
        <v>5</v>
      </c>
      <c r="BD748">
        <v>10</v>
      </c>
    </row>
    <row r="749" spans="1:56" x14ac:dyDescent="0.25">
      <c r="A749">
        <v>38</v>
      </c>
      <c r="B749" t="str">
        <f>_xlfn.XLOOKUP(Table1[[#This Row],[Attrition]],Table2[Attrition],Table2[Id_Attrition])</f>
        <v>A002</v>
      </c>
      <c r="C749" t="s">
        <v>33</v>
      </c>
      <c r="D749" t="str">
        <f>_xlfn.XLOOKUP(Table1[[#This Row],[BusinessTravel]],Table5[BusinessTravel],Table5[Id_BusinessTravel])</f>
        <v>BS001</v>
      </c>
      <c r="E749" t="s">
        <v>34</v>
      </c>
      <c r="F749">
        <v>1035</v>
      </c>
      <c r="G749" t="str">
        <f>_xlfn.XLOOKUP(Table1[[#This Row],[Department]],Table6[Department],Table6[Id_Departement])</f>
        <v>D001</v>
      </c>
      <c r="H749" t="s">
        <v>37</v>
      </c>
      <c r="I749">
        <v>3</v>
      </c>
      <c r="J749" t="str">
        <f>_xlfn.XLOOKUP(Table1[[#This Row],[Education]],Table8[Education],Table8[Id_Education])</f>
        <v>E004</v>
      </c>
      <c r="K749">
        <v>4</v>
      </c>
      <c r="L749" t="str">
        <f>_xlfn.XLOOKUP(Table1[[#This Row],[EducationField]],Table7[EducationField],Table7[Id_EducationField])</f>
        <v>EF001</v>
      </c>
      <c r="M749" t="s">
        <v>40</v>
      </c>
      <c r="N749" t="str">
        <f>_xlfn.XLOOKUP(Table1[[#This Row],[EmployeeNumber]],Table4[EmployeeNumber],Table4[Id_Employee])</f>
        <v>EMP00748</v>
      </c>
      <c r="O749">
        <v>1036</v>
      </c>
      <c r="P749" t="str">
        <f>_xlfn.XLOOKUP(Table1[[#This Row],[EnvironmentSatisfaction]],Table9[EnvironmentSatisfaction],Table9[Id_EnviromentSatisfaction])</f>
        <v>ES002</v>
      </c>
      <c r="Q749">
        <v>2</v>
      </c>
      <c r="R749" t="str">
        <f>_xlfn.XLOOKUP(Table1[[#This Row],[EnvironmentSatisfaction]],Table9[EnvironmentSatisfaction],Table9[Deskripsi])</f>
        <v>Medium</v>
      </c>
      <c r="S749" t="str">
        <f>_xlfn.XLOOKUP(Table1[[#This Row],[Gender]],Table10[Gender],Table10[Id_Gender])</f>
        <v>G002</v>
      </c>
      <c r="T749" t="s">
        <v>46</v>
      </c>
      <c r="U749">
        <v>42</v>
      </c>
      <c r="V749" t="str">
        <f>_xlfn.XLOOKUP(Table1[[#This Row],[JobInvolvement]],Table11[JobInvolvement],Table11[Id_JobInvolvement])</f>
        <v>JI003</v>
      </c>
      <c r="W749">
        <v>3</v>
      </c>
      <c r="X749" t="str">
        <f>_xlfn.XLOOKUP(Table1[[#This Row],[JobLevel]],Table12[JobLevel],Table12[Id_JobLevel])</f>
        <v>JL002</v>
      </c>
      <c r="Y749">
        <v>2</v>
      </c>
      <c r="Z749" t="str">
        <f>_xlfn.XLOOKUP(Table1[[#This Row],[JobRole]],Table13[JobRole],Table13[Id_JobRole])</f>
        <v>JR001</v>
      </c>
      <c r="AA749" t="s">
        <v>47</v>
      </c>
      <c r="AB749" t="str">
        <f>_xlfn.XLOOKUP(Table1[[#This Row],[JobSatisfaction]],Table14[JobSatisfaction],Table14[Id_JobSatisfaction])</f>
        <v>JS004</v>
      </c>
      <c r="AC749">
        <v>4</v>
      </c>
      <c r="AD749" t="str">
        <f>_xlfn.XLOOKUP(Table1[[#This Row],[JobSatisfaction]],Table14[JobSatisfaction],Table14[Deskripsi])</f>
        <v>Very High</v>
      </c>
      <c r="AE749" t="str">
        <f>_xlfn.XLOOKUP(Table1[[#This Row],[MaritalStatus]],Table15[MaritalStatus],Table15[Id_MaritalStatus])</f>
        <v>MS001</v>
      </c>
      <c r="AF749" t="s">
        <v>55</v>
      </c>
      <c r="AG749">
        <v>6861</v>
      </c>
      <c r="AH749">
        <v>4981</v>
      </c>
      <c r="AI749">
        <v>8</v>
      </c>
      <c r="AJ749" t="str">
        <f>_xlfn.XLOOKUP(Table1[[#This Row],[OverTime]],Table16[OverTime],Table16[Id_OverTime])</f>
        <v>OT001</v>
      </c>
      <c r="AK749" t="s">
        <v>32</v>
      </c>
      <c r="AL749">
        <v>12</v>
      </c>
      <c r="AM749" t="str">
        <f>_xlfn.XLOOKUP(Table1[[#This Row],[PerformanceRating]],Table17[PerformanceRating],Table17[Id_PerformanceRating])</f>
        <v>PR003</v>
      </c>
      <c r="AN749">
        <v>3</v>
      </c>
      <c r="AO749" t="str">
        <f>_xlfn.XLOOKUP(Table1[[#This Row],[PerformanceRating]],Table17[PerformanceRating],Table17[Deskripsi])</f>
        <v>Excellent</v>
      </c>
      <c r="AP749" t="str">
        <f>_xlfn.XLOOKUP(Table1[[#This Row],[RelationshipSatisfaction]],Table18[RelationshipSatisfaction],Table18[Id_RelationshipSatisfaction])</f>
        <v>RS003</v>
      </c>
      <c r="AQ749">
        <v>3</v>
      </c>
      <c r="AR749" t="str">
        <f>_xlfn.XLOOKUP(Table1[[#This Row],[RelationshipSatisfaction]],Table18[RelationshipSatisfaction],Table18[Deskripsi])</f>
        <v>High</v>
      </c>
      <c r="AS749" t="str">
        <f>_xlfn.XLOOKUP(Table1[[#This Row],[StockOptionLevel]],Table19[StockOptionLevel],Table19[Id_StockOptionLevel])</f>
        <v>SOL001</v>
      </c>
      <c r="AT749">
        <v>0</v>
      </c>
      <c r="AU749" t="str">
        <f>_xlfn.XLOOKUP(Table1[[#This Row],[StockOptionLevel]],Table19[StockOptionLevel],Table19[Deskripsi])</f>
        <v>Non-Eligible</v>
      </c>
      <c r="AV749">
        <v>19</v>
      </c>
      <c r="AW749">
        <v>1</v>
      </c>
      <c r="AX749" t="str">
        <f>_xlfn.XLOOKUP(Table1[[#This Row],[WorkLifeBalance]],Table20[WorkLifeBalance],Table20[Id_WorkLifeBalance])</f>
        <v>WLB002</v>
      </c>
      <c r="AY749">
        <v>3</v>
      </c>
      <c r="AZ749" t="str">
        <f>_xlfn.XLOOKUP(Table1[[#This Row],[WorkLifeBalance]],Table20[WorkLifeBalance],Table20[Deskripsi])</f>
        <v>Good</v>
      </c>
      <c r="BA749">
        <v>1</v>
      </c>
      <c r="BB749">
        <v>0</v>
      </c>
      <c r="BC749">
        <v>0</v>
      </c>
      <c r="BD749">
        <v>0</v>
      </c>
    </row>
    <row r="750" spans="1:56" x14ac:dyDescent="0.25">
      <c r="A750">
        <v>26</v>
      </c>
      <c r="B750" t="str">
        <f>_xlfn.XLOOKUP(Table1[[#This Row],[Attrition]],Table2[Attrition],Table2[Id_Attrition])</f>
        <v>A001</v>
      </c>
      <c r="C750" t="s">
        <v>32</v>
      </c>
      <c r="D750" t="str">
        <f>_xlfn.XLOOKUP(Table1[[#This Row],[BusinessTravel]],Table5[BusinessTravel],Table5[Id_BusinessTravel])</f>
        <v>BS003</v>
      </c>
      <c r="E750" t="s">
        <v>36</v>
      </c>
      <c r="F750">
        <v>265</v>
      </c>
      <c r="G750" t="str">
        <f>_xlfn.XLOOKUP(Table1[[#This Row],[Department]],Table6[Department],Table6[Id_Departement])</f>
        <v>D001</v>
      </c>
      <c r="H750" t="s">
        <v>37</v>
      </c>
      <c r="I750">
        <v>29</v>
      </c>
      <c r="J750" t="str">
        <f>_xlfn.XLOOKUP(Table1[[#This Row],[Education]],Table8[Education],Table8[Id_Education])</f>
        <v>E002</v>
      </c>
      <c r="K750">
        <v>2</v>
      </c>
      <c r="L750" t="str">
        <f>_xlfn.XLOOKUP(Table1[[#This Row],[EducationField]],Table7[EducationField],Table7[Id_EducationField])</f>
        <v>EF003</v>
      </c>
      <c r="M750" t="s">
        <v>42</v>
      </c>
      <c r="N750" t="str">
        <f>_xlfn.XLOOKUP(Table1[[#This Row],[EmployeeNumber]],Table4[EmployeeNumber],Table4[Id_Employee])</f>
        <v>EMP00749</v>
      </c>
      <c r="O750">
        <v>1037</v>
      </c>
      <c r="P750" t="str">
        <f>_xlfn.XLOOKUP(Table1[[#This Row],[EnvironmentSatisfaction]],Table9[EnvironmentSatisfaction],Table9[Id_EnviromentSatisfaction])</f>
        <v>ES002</v>
      </c>
      <c r="Q750">
        <v>2</v>
      </c>
      <c r="R750" t="str">
        <f>_xlfn.XLOOKUP(Table1[[#This Row],[EnvironmentSatisfaction]],Table9[EnvironmentSatisfaction],Table9[Deskripsi])</f>
        <v>Medium</v>
      </c>
      <c r="S750" t="str">
        <f>_xlfn.XLOOKUP(Table1[[#This Row],[Gender]],Table10[Gender],Table10[Id_Gender])</f>
        <v>G002</v>
      </c>
      <c r="T750" t="s">
        <v>46</v>
      </c>
      <c r="U750">
        <v>79</v>
      </c>
      <c r="V750" t="str">
        <f>_xlfn.XLOOKUP(Table1[[#This Row],[JobInvolvement]],Table11[JobInvolvement],Table11[Id_JobInvolvement])</f>
        <v>JI001</v>
      </c>
      <c r="W750">
        <v>1</v>
      </c>
      <c r="X750" t="str">
        <f>_xlfn.XLOOKUP(Table1[[#This Row],[JobLevel]],Table12[JobLevel],Table12[Id_JobLevel])</f>
        <v>JL002</v>
      </c>
      <c r="Y750">
        <v>2</v>
      </c>
      <c r="Z750" t="str">
        <f>_xlfn.XLOOKUP(Table1[[#This Row],[JobRole]],Table13[JobRole],Table13[Id_JobRole])</f>
        <v>JR001</v>
      </c>
      <c r="AA750" t="s">
        <v>47</v>
      </c>
      <c r="AB750" t="str">
        <f>_xlfn.XLOOKUP(Table1[[#This Row],[JobSatisfaction]],Table14[JobSatisfaction],Table14[Id_JobSatisfaction])</f>
        <v>JS001</v>
      </c>
      <c r="AC750">
        <v>1</v>
      </c>
      <c r="AD750" t="str">
        <f>_xlfn.XLOOKUP(Table1[[#This Row],[JobSatisfaction]],Table14[JobSatisfaction],Table14[Deskripsi])</f>
        <v>Low</v>
      </c>
      <c r="AE750" t="str">
        <f>_xlfn.XLOOKUP(Table1[[#This Row],[MaritalStatus]],Table15[MaritalStatus],Table15[Id_MaritalStatus])</f>
        <v>MS001</v>
      </c>
      <c r="AF750" t="s">
        <v>55</v>
      </c>
      <c r="AG750">
        <v>4969</v>
      </c>
      <c r="AH750">
        <v>21813</v>
      </c>
      <c r="AI750">
        <v>8</v>
      </c>
      <c r="AJ750" t="str">
        <f>_xlfn.XLOOKUP(Table1[[#This Row],[OverTime]],Table16[OverTime],Table16[Id_OverTime])</f>
        <v>OT002</v>
      </c>
      <c r="AK750" t="s">
        <v>33</v>
      </c>
      <c r="AL750">
        <v>18</v>
      </c>
      <c r="AM750" t="str">
        <f>_xlfn.XLOOKUP(Table1[[#This Row],[PerformanceRating]],Table17[PerformanceRating],Table17[Id_PerformanceRating])</f>
        <v>PR003</v>
      </c>
      <c r="AN750">
        <v>3</v>
      </c>
      <c r="AO750" t="str">
        <f>_xlfn.XLOOKUP(Table1[[#This Row],[PerformanceRating]],Table17[PerformanceRating],Table17[Deskripsi])</f>
        <v>Excellent</v>
      </c>
      <c r="AP750" t="str">
        <f>_xlfn.XLOOKUP(Table1[[#This Row],[RelationshipSatisfaction]],Table18[RelationshipSatisfaction],Table18[Id_RelationshipSatisfaction])</f>
        <v>RS004</v>
      </c>
      <c r="AQ750">
        <v>4</v>
      </c>
      <c r="AR750" t="str">
        <f>_xlfn.XLOOKUP(Table1[[#This Row],[RelationshipSatisfaction]],Table18[RelationshipSatisfaction],Table18[Deskripsi])</f>
        <v>Very High</v>
      </c>
      <c r="AS750" t="str">
        <f>_xlfn.XLOOKUP(Table1[[#This Row],[StockOptionLevel]],Table19[StockOptionLevel],Table19[Id_StockOptionLevel])</f>
        <v>SOL001</v>
      </c>
      <c r="AT750">
        <v>0</v>
      </c>
      <c r="AU750" t="str">
        <f>_xlfn.XLOOKUP(Table1[[#This Row],[StockOptionLevel]],Table19[StockOptionLevel],Table19[Deskripsi])</f>
        <v>Non-Eligible</v>
      </c>
      <c r="AV750">
        <v>7</v>
      </c>
      <c r="AW750">
        <v>6</v>
      </c>
      <c r="AX750" t="str">
        <f>_xlfn.XLOOKUP(Table1[[#This Row],[WorkLifeBalance]],Table20[WorkLifeBalance],Table20[Id_WorkLifeBalance])</f>
        <v>WLB002</v>
      </c>
      <c r="AY750">
        <v>3</v>
      </c>
      <c r="AZ750" t="str">
        <f>_xlfn.XLOOKUP(Table1[[#This Row],[WorkLifeBalance]],Table20[WorkLifeBalance],Table20[Deskripsi])</f>
        <v>Good</v>
      </c>
      <c r="BA750">
        <v>2</v>
      </c>
      <c r="BB750">
        <v>2</v>
      </c>
      <c r="BC750">
        <v>2</v>
      </c>
      <c r="BD750">
        <v>2</v>
      </c>
    </row>
    <row r="751" spans="1:56" x14ac:dyDescent="0.25">
      <c r="A751">
        <v>52</v>
      </c>
      <c r="B751" t="str">
        <f>_xlfn.XLOOKUP(Table1[[#This Row],[Attrition]],Table2[Attrition],Table2[Id_Attrition])</f>
        <v>A001</v>
      </c>
      <c r="C751" t="s">
        <v>32</v>
      </c>
      <c r="D751" t="str">
        <f>_xlfn.XLOOKUP(Table1[[#This Row],[BusinessTravel]],Table5[BusinessTravel],Table5[Id_BusinessTravel])</f>
        <v>BS001</v>
      </c>
      <c r="E751" t="s">
        <v>34</v>
      </c>
      <c r="F751">
        <v>266</v>
      </c>
      <c r="G751" t="str">
        <f>_xlfn.XLOOKUP(Table1[[#This Row],[Department]],Table6[Department],Table6[Id_Departement])</f>
        <v>D001</v>
      </c>
      <c r="H751" t="s">
        <v>37</v>
      </c>
      <c r="I751">
        <v>2</v>
      </c>
      <c r="J751" t="str">
        <f>_xlfn.XLOOKUP(Table1[[#This Row],[Education]],Table8[Education],Table8[Id_Education])</f>
        <v>E001</v>
      </c>
      <c r="K751">
        <v>1</v>
      </c>
      <c r="L751" t="str">
        <f>_xlfn.XLOOKUP(Table1[[#This Row],[EducationField]],Table7[EducationField],Table7[Id_EducationField])</f>
        <v>EF004</v>
      </c>
      <c r="M751" t="s">
        <v>43</v>
      </c>
      <c r="N751" t="str">
        <f>_xlfn.XLOOKUP(Table1[[#This Row],[EmployeeNumber]],Table4[EmployeeNumber],Table4[Id_Employee])</f>
        <v>EMP00750</v>
      </c>
      <c r="O751">
        <v>1038</v>
      </c>
      <c r="P751" t="str">
        <f>_xlfn.XLOOKUP(Table1[[#This Row],[EnvironmentSatisfaction]],Table9[EnvironmentSatisfaction],Table9[Id_EnviromentSatisfaction])</f>
        <v>ES001</v>
      </c>
      <c r="Q751">
        <v>1</v>
      </c>
      <c r="R751" t="str">
        <f>_xlfn.XLOOKUP(Table1[[#This Row],[EnvironmentSatisfaction]],Table9[EnvironmentSatisfaction],Table9[Deskripsi])</f>
        <v>Low</v>
      </c>
      <c r="S751" t="str">
        <f>_xlfn.XLOOKUP(Table1[[#This Row],[Gender]],Table10[Gender],Table10[Id_Gender])</f>
        <v>G001</v>
      </c>
      <c r="T751" t="s">
        <v>45</v>
      </c>
      <c r="U751">
        <v>57</v>
      </c>
      <c r="V751" t="str">
        <f>_xlfn.XLOOKUP(Table1[[#This Row],[JobInvolvement]],Table11[JobInvolvement],Table11[Id_JobInvolvement])</f>
        <v>JI001</v>
      </c>
      <c r="W751">
        <v>1</v>
      </c>
      <c r="X751" t="str">
        <f>_xlfn.XLOOKUP(Table1[[#This Row],[JobLevel]],Table12[JobLevel],Table12[Id_JobLevel])</f>
        <v>JL005</v>
      </c>
      <c r="Y751">
        <v>5</v>
      </c>
      <c r="Z751" t="str">
        <f>_xlfn.XLOOKUP(Table1[[#This Row],[JobRole]],Table13[JobRole],Table13[Id_JobRole])</f>
        <v>JR006</v>
      </c>
      <c r="AA751" t="s">
        <v>52</v>
      </c>
      <c r="AB751" t="str">
        <f>_xlfn.XLOOKUP(Table1[[#This Row],[JobSatisfaction]],Table14[JobSatisfaction],Table14[Id_JobSatisfaction])</f>
        <v>JS004</v>
      </c>
      <c r="AC751">
        <v>4</v>
      </c>
      <c r="AD751" t="str">
        <f>_xlfn.XLOOKUP(Table1[[#This Row],[JobSatisfaction]],Table14[JobSatisfaction],Table14[Deskripsi])</f>
        <v>Very High</v>
      </c>
      <c r="AE751" t="str">
        <f>_xlfn.XLOOKUP(Table1[[#This Row],[MaritalStatus]],Table15[MaritalStatus],Table15[Id_MaritalStatus])</f>
        <v>MS002</v>
      </c>
      <c r="AF751" t="s">
        <v>56</v>
      </c>
      <c r="AG751">
        <v>19845</v>
      </c>
      <c r="AH751">
        <v>25846</v>
      </c>
      <c r="AI751">
        <v>1</v>
      </c>
      <c r="AJ751" t="str">
        <f>_xlfn.XLOOKUP(Table1[[#This Row],[OverTime]],Table16[OverTime],Table16[Id_OverTime])</f>
        <v>OT002</v>
      </c>
      <c r="AK751" t="s">
        <v>33</v>
      </c>
      <c r="AL751">
        <v>15</v>
      </c>
      <c r="AM751" t="str">
        <f>_xlfn.XLOOKUP(Table1[[#This Row],[PerformanceRating]],Table17[PerformanceRating],Table17[Id_PerformanceRating])</f>
        <v>PR003</v>
      </c>
      <c r="AN751">
        <v>3</v>
      </c>
      <c r="AO751" t="str">
        <f>_xlfn.XLOOKUP(Table1[[#This Row],[PerformanceRating]],Table17[PerformanceRating],Table17[Deskripsi])</f>
        <v>Excellent</v>
      </c>
      <c r="AP751" t="str">
        <f>_xlfn.XLOOKUP(Table1[[#This Row],[RelationshipSatisfaction]],Table18[RelationshipSatisfaction],Table18[Id_RelationshipSatisfaction])</f>
        <v>RS004</v>
      </c>
      <c r="AQ751">
        <v>4</v>
      </c>
      <c r="AR751" t="str">
        <f>_xlfn.XLOOKUP(Table1[[#This Row],[RelationshipSatisfaction]],Table18[RelationshipSatisfaction],Table18[Deskripsi])</f>
        <v>Very High</v>
      </c>
      <c r="AS751" t="str">
        <f>_xlfn.XLOOKUP(Table1[[#This Row],[StockOptionLevel]],Table19[StockOptionLevel],Table19[Id_StockOptionLevel])</f>
        <v>SOL002</v>
      </c>
      <c r="AT751">
        <v>1</v>
      </c>
      <c r="AU751" t="str">
        <f>_xlfn.XLOOKUP(Table1[[#This Row],[StockOptionLevel]],Table19[StockOptionLevel],Table19[Deskripsi])</f>
        <v>Standard</v>
      </c>
      <c r="AV751">
        <v>33</v>
      </c>
      <c r="AW751">
        <v>3</v>
      </c>
      <c r="AX751" t="str">
        <f>_xlfn.XLOOKUP(Table1[[#This Row],[WorkLifeBalance]],Table20[WorkLifeBalance],Table20[Id_WorkLifeBalance])</f>
        <v>WLB002</v>
      </c>
      <c r="AY751">
        <v>3</v>
      </c>
      <c r="AZ751" t="str">
        <f>_xlfn.XLOOKUP(Table1[[#This Row],[WorkLifeBalance]],Table20[WorkLifeBalance],Table20[Deskripsi])</f>
        <v>Good</v>
      </c>
      <c r="BA751">
        <v>32</v>
      </c>
      <c r="BB751">
        <v>14</v>
      </c>
      <c r="BC751">
        <v>6</v>
      </c>
      <c r="BD751">
        <v>9</v>
      </c>
    </row>
    <row r="752" spans="1:56" x14ac:dyDescent="0.25">
      <c r="A752">
        <v>44</v>
      </c>
      <c r="B752" t="str">
        <f>_xlfn.XLOOKUP(Table1[[#This Row],[Attrition]],Table2[Attrition],Table2[Id_Attrition])</f>
        <v>A002</v>
      </c>
      <c r="C752" t="s">
        <v>33</v>
      </c>
      <c r="D752" t="str">
        <f>_xlfn.XLOOKUP(Table1[[#This Row],[BusinessTravel]],Table5[BusinessTravel],Table5[Id_BusinessTravel])</f>
        <v>BS001</v>
      </c>
      <c r="E752" t="s">
        <v>34</v>
      </c>
      <c r="F752">
        <v>1448</v>
      </c>
      <c r="G752" t="str">
        <f>_xlfn.XLOOKUP(Table1[[#This Row],[Department]],Table6[Department],Table6[Id_Departement])</f>
        <v>D001</v>
      </c>
      <c r="H752" t="s">
        <v>37</v>
      </c>
      <c r="I752">
        <v>28</v>
      </c>
      <c r="J752" t="str">
        <f>_xlfn.XLOOKUP(Table1[[#This Row],[Education]],Table8[Education],Table8[Id_Education])</f>
        <v>E003</v>
      </c>
      <c r="K752">
        <v>3</v>
      </c>
      <c r="L752" t="str">
        <f>_xlfn.XLOOKUP(Table1[[#This Row],[EducationField]],Table7[EducationField],Table7[Id_EducationField])</f>
        <v>EF003</v>
      </c>
      <c r="M752" t="s">
        <v>42</v>
      </c>
      <c r="N752" t="str">
        <f>_xlfn.XLOOKUP(Table1[[#This Row],[EmployeeNumber]],Table4[EmployeeNumber],Table4[Id_Employee])</f>
        <v>EMP00751</v>
      </c>
      <c r="O752">
        <v>1039</v>
      </c>
      <c r="P752" t="str">
        <f>_xlfn.XLOOKUP(Table1[[#This Row],[EnvironmentSatisfaction]],Table9[EnvironmentSatisfaction],Table9[Id_EnviromentSatisfaction])</f>
        <v>ES004</v>
      </c>
      <c r="Q752">
        <v>4</v>
      </c>
      <c r="R752" t="str">
        <f>_xlfn.XLOOKUP(Table1[[#This Row],[EnvironmentSatisfaction]],Table9[EnvironmentSatisfaction],Table9[Deskripsi])</f>
        <v>Very High</v>
      </c>
      <c r="S752" t="str">
        <f>_xlfn.XLOOKUP(Table1[[#This Row],[Gender]],Table10[Gender],Table10[Id_Gender])</f>
        <v>G001</v>
      </c>
      <c r="T752" t="s">
        <v>45</v>
      </c>
      <c r="U752">
        <v>53</v>
      </c>
      <c r="V752" t="str">
        <f>_xlfn.XLOOKUP(Table1[[#This Row],[JobInvolvement]],Table11[JobInvolvement],Table11[Id_JobInvolvement])</f>
        <v>JI004</v>
      </c>
      <c r="W752">
        <v>4</v>
      </c>
      <c r="X752" t="str">
        <f>_xlfn.XLOOKUP(Table1[[#This Row],[JobLevel]],Table12[JobLevel],Table12[Id_JobLevel])</f>
        <v>JL004</v>
      </c>
      <c r="Y752">
        <v>4</v>
      </c>
      <c r="Z752" t="str">
        <f>_xlfn.XLOOKUP(Table1[[#This Row],[JobRole]],Table13[JobRole],Table13[Id_JobRole])</f>
        <v>JR001</v>
      </c>
      <c r="AA752" t="s">
        <v>47</v>
      </c>
      <c r="AB752" t="str">
        <f>_xlfn.XLOOKUP(Table1[[#This Row],[JobSatisfaction]],Table14[JobSatisfaction],Table14[Id_JobSatisfaction])</f>
        <v>JS004</v>
      </c>
      <c r="AC752">
        <v>4</v>
      </c>
      <c r="AD752" t="str">
        <f>_xlfn.XLOOKUP(Table1[[#This Row],[JobSatisfaction]],Table14[JobSatisfaction],Table14[Deskripsi])</f>
        <v>Very High</v>
      </c>
      <c r="AE752" t="str">
        <f>_xlfn.XLOOKUP(Table1[[#This Row],[MaritalStatus]],Table15[MaritalStatus],Table15[Id_MaritalStatus])</f>
        <v>MS002</v>
      </c>
      <c r="AF752" t="s">
        <v>56</v>
      </c>
      <c r="AG752">
        <v>13320</v>
      </c>
      <c r="AH752">
        <v>11737</v>
      </c>
      <c r="AI752">
        <v>3</v>
      </c>
      <c r="AJ752" t="str">
        <f>_xlfn.XLOOKUP(Table1[[#This Row],[OverTime]],Table16[OverTime],Table16[Id_OverTime])</f>
        <v>OT001</v>
      </c>
      <c r="AK752" t="s">
        <v>32</v>
      </c>
      <c r="AL752">
        <v>18</v>
      </c>
      <c r="AM752" t="str">
        <f>_xlfn.XLOOKUP(Table1[[#This Row],[PerformanceRating]],Table17[PerformanceRating],Table17[Id_PerformanceRating])</f>
        <v>PR003</v>
      </c>
      <c r="AN752">
        <v>3</v>
      </c>
      <c r="AO752" t="str">
        <f>_xlfn.XLOOKUP(Table1[[#This Row],[PerformanceRating]],Table17[PerformanceRating],Table17[Deskripsi])</f>
        <v>Excellent</v>
      </c>
      <c r="AP752" t="str">
        <f>_xlfn.XLOOKUP(Table1[[#This Row],[RelationshipSatisfaction]],Table18[RelationshipSatisfaction],Table18[Id_RelationshipSatisfaction])</f>
        <v>RS003</v>
      </c>
      <c r="AQ752">
        <v>3</v>
      </c>
      <c r="AR752" t="str">
        <f>_xlfn.XLOOKUP(Table1[[#This Row],[RelationshipSatisfaction]],Table18[RelationshipSatisfaction],Table18[Deskripsi])</f>
        <v>High</v>
      </c>
      <c r="AS752" t="str">
        <f>_xlfn.XLOOKUP(Table1[[#This Row],[StockOptionLevel]],Table19[StockOptionLevel],Table19[Id_StockOptionLevel])</f>
        <v>SOL002</v>
      </c>
      <c r="AT752">
        <v>1</v>
      </c>
      <c r="AU752" t="str">
        <f>_xlfn.XLOOKUP(Table1[[#This Row],[StockOptionLevel]],Table19[StockOptionLevel],Table19[Deskripsi])</f>
        <v>Standard</v>
      </c>
      <c r="AV752">
        <v>23</v>
      </c>
      <c r="AW752">
        <v>2</v>
      </c>
      <c r="AX752" t="str">
        <f>_xlfn.XLOOKUP(Table1[[#This Row],[WorkLifeBalance]],Table20[WorkLifeBalance],Table20[Id_WorkLifeBalance])</f>
        <v>WLB002</v>
      </c>
      <c r="AY752">
        <v>3</v>
      </c>
      <c r="AZ752" t="str">
        <f>_xlfn.XLOOKUP(Table1[[#This Row],[WorkLifeBalance]],Table20[WorkLifeBalance],Table20[Deskripsi])</f>
        <v>Good</v>
      </c>
      <c r="BA752">
        <v>12</v>
      </c>
      <c r="BB752">
        <v>11</v>
      </c>
      <c r="BC752">
        <v>11</v>
      </c>
      <c r="BD752">
        <v>11</v>
      </c>
    </row>
    <row r="753" spans="1:56" x14ac:dyDescent="0.25">
      <c r="A753">
        <v>50</v>
      </c>
      <c r="B753" t="str">
        <f>_xlfn.XLOOKUP(Table1[[#This Row],[Attrition]],Table2[Attrition],Table2[Id_Attrition])</f>
        <v>A002</v>
      </c>
      <c r="C753" t="s">
        <v>33</v>
      </c>
      <c r="D753" t="str">
        <f>_xlfn.XLOOKUP(Table1[[#This Row],[BusinessTravel]],Table5[BusinessTravel],Table5[Id_BusinessTravel])</f>
        <v>BS003</v>
      </c>
      <c r="E753" t="s">
        <v>36</v>
      </c>
      <c r="F753">
        <v>145</v>
      </c>
      <c r="G753" t="str">
        <f>_xlfn.XLOOKUP(Table1[[#This Row],[Department]],Table6[Department],Table6[Id_Departement])</f>
        <v>D001</v>
      </c>
      <c r="H753" t="s">
        <v>37</v>
      </c>
      <c r="I753">
        <v>1</v>
      </c>
      <c r="J753" t="str">
        <f>_xlfn.XLOOKUP(Table1[[#This Row],[Education]],Table8[Education],Table8[Id_Education])</f>
        <v>E003</v>
      </c>
      <c r="K753">
        <v>3</v>
      </c>
      <c r="L753" t="str">
        <f>_xlfn.XLOOKUP(Table1[[#This Row],[EducationField]],Table7[EducationField],Table7[Id_EducationField])</f>
        <v>EF001</v>
      </c>
      <c r="M753" t="s">
        <v>40</v>
      </c>
      <c r="N753" t="str">
        <f>_xlfn.XLOOKUP(Table1[[#This Row],[EmployeeNumber]],Table4[EmployeeNumber],Table4[Id_Employee])</f>
        <v>EMP00752</v>
      </c>
      <c r="O753">
        <v>1040</v>
      </c>
      <c r="P753" t="str">
        <f>_xlfn.XLOOKUP(Table1[[#This Row],[EnvironmentSatisfaction]],Table9[EnvironmentSatisfaction],Table9[Id_EnviromentSatisfaction])</f>
        <v>ES004</v>
      </c>
      <c r="Q753">
        <v>4</v>
      </c>
      <c r="R753" t="str">
        <f>_xlfn.XLOOKUP(Table1[[#This Row],[EnvironmentSatisfaction]],Table9[EnvironmentSatisfaction],Table9[Deskripsi])</f>
        <v>Very High</v>
      </c>
      <c r="S753" t="str">
        <f>_xlfn.XLOOKUP(Table1[[#This Row],[Gender]],Table10[Gender],Table10[Id_Gender])</f>
        <v>G001</v>
      </c>
      <c r="T753" t="s">
        <v>45</v>
      </c>
      <c r="U753">
        <v>95</v>
      </c>
      <c r="V753" t="str">
        <f>_xlfn.XLOOKUP(Table1[[#This Row],[JobInvolvement]],Table11[JobInvolvement],Table11[Id_JobInvolvement])</f>
        <v>JI003</v>
      </c>
      <c r="W753">
        <v>3</v>
      </c>
      <c r="X753" t="str">
        <f>_xlfn.XLOOKUP(Table1[[#This Row],[JobLevel]],Table12[JobLevel],Table12[Id_JobLevel])</f>
        <v>JL002</v>
      </c>
      <c r="Y753">
        <v>2</v>
      </c>
      <c r="Z753" t="str">
        <f>_xlfn.XLOOKUP(Table1[[#This Row],[JobRole]],Table13[JobRole],Table13[Id_JobRole])</f>
        <v>JR001</v>
      </c>
      <c r="AA753" t="s">
        <v>47</v>
      </c>
      <c r="AB753" t="str">
        <f>_xlfn.XLOOKUP(Table1[[#This Row],[JobSatisfaction]],Table14[JobSatisfaction],Table14[Id_JobSatisfaction])</f>
        <v>JS003</v>
      </c>
      <c r="AC753">
        <v>3</v>
      </c>
      <c r="AD753" t="str">
        <f>_xlfn.XLOOKUP(Table1[[#This Row],[JobSatisfaction]],Table14[JobSatisfaction],Table14[Deskripsi])</f>
        <v>High</v>
      </c>
      <c r="AE753" t="str">
        <f>_xlfn.XLOOKUP(Table1[[#This Row],[MaritalStatus]],Table15[MaritalStatus],Table15[Id_MaritalStatus])</f>
        <v>MS002</v>
      </c>
      <c r="AF753" t="s">
        <v>56</v>
      </c>
      <c r="AG753">
        <v>6347</v>
      </c>
      <c r="AH753">
        <v>24920</v>
      </c>
      <c r="AI753">
        <v>0</v>
      </c>
      <c r="AJ753" t="str">
        <f>_xlfn.XLOOKUP(Table1[[#This Row],[OverTime]],Table16[OverTime],Table16[Id_OverTime])</f>
        <v>OT002</v>
      </c>
      <c r="AK753" t="s">
        <v>33</v>
      </c>
      <c r="AL753">
        <v>12</v>
      </c>
      <c r="AM753" t="str">
        <f>_xlfn.XLOOKUP(Table1[[#This Row],[PerformanceRating]],Table17[PerformanceRating],Table17[Id_PerformanceRating])</f>
        <v>PR003</v>
      </c>
      <c r="AN753">
        <v>3</v>
      </c>
      <c r="AO753" t="str">
        <f>_xlfn.XLOOKUP(Table1[[#This Row],[PerformanceRating]],Table17[PerformanceRating],Table17[Deskripsi])</f>
        <v>Excellent</v>
      </c>
      <c r="AP753" t="str">
        <f>_xlfn.XLOOKUP(Table1[[#This Row],[RelationshipSatisfaction]],Table18[RelationshipSatisfaction],Table18[Id_RelationshipSatisfaction])</f>
        <v>RS001</v>
      </c>
      <c r="AQ753">
        <v>1</v>
      </c>
      <c r="AR753" t="str">
        <f>_xlfn.XLOOKUP(Table1[[#This Row],[RelationshipSatisfaction]],Table18[RelationshipSatisfaction],Table18[Deskripsi])</f>
        <v>Low</v>
      </c>
      <c r="AS753" t="str">
        <f>_xlfn.XLOOKUP(Table1[[#This Row],[StockOptionLevel]],Table19[StockOptionLevel],Table19[Id_StockOptionLevel])</f>
        <v>SOL002</v>
      </c>
      <c r="AT753">
        <v>1</v>
      </c>
      <c r="AU753" t="str">
        <f>_xlfn.XLOOKUP(Table1[[#This Row],[StockOptionLevel]],Table19[StockOptionLevel],Table19[Deskripsi])</f>
        <v>Standard</v>
      </c>
      <c r="AV753">
        <v>19</v>
      </c>
      <c r="AW753">
        <v>3</v>
      </c>
      <c r="AX753" t="str">
        <f>_xlfn.XLOOKUP(Table1[[#This Row],[WorkLifeBalance]],Table20[WorkLifeBalance],Table20[Id_WorkLifeBalance])</f>
        <v>WLB002</v>
      </c>
      <c r="AY753">
        <v>3</v>
      </c>
      <c r="AZ753" t="str">
        <f>_xlfn.XLOOKUP(Table1[[#This Row],[WorkLifeBalance]],Table20[WorkLifeBalance],Table20[Deskripsi])</f>
        <v>Good</v>
      </c>
      <c r="BA753">
        <v>18</v>
      </c>
      <c r="BB753">
        <v>7</v>
      </c>
      <c r="BC753">
        <v>0</v>
      </c>
      <c r="BD753">
        <v>13</v>
      </c>
    </row>
    <row r="754" spans="1:56" x14ac:dyDescent="0.25">
      <c r="A754">
        <v>36</v>
      </c>
      <c r="B754" t="str">
        <f>_xlfn.XLOOKUP(Table1[[#This Row],[Attrition]],Table2[Attrition],Table2[Id_Attrition])</f>
        <v>A001</v>
      </c>
      <c r="C754" t="s">
        <v>32</v>
      </c>
      <c r="D754" t="str">
        <f>_xlfn.XLOOKUP(Table1[[#This Row],[BusinessTravel]],Table5[BusinessTravel],Table5[Id_BusinessTravel])</f>
        <v>BS001</v>
      </c>
      <c r="E754" t="s">
        <v>34</v>
      </c>
      <c r="F754">
        <v>885</v>
      </c>
      <c r="G754" t="str">
        <f>_xlfn.XLOOKUP(Table1[[#This Row],[Department]],Table6[Department],Table6[Id_Departement])</f>
        <v>D002</v>
      </c>
      <c r="H754" t="s">
        <v>38</v>
      </c>
      <c r="I754">
        <v>16</v>
      </c>
      <c r="J754" t="str">
        <f>_xlfn.XLOOKUP(Table1[[#This Row],[Education]],Table8[Education],Table8[Id_Education])</f>
        <v>E004</v>
      </c>
      <c r="K754">
        <v>4</v>
      </c>
      <c r="L754" t="str">
        <f>_xlfn.XLOOKUP(Table1[[#This Row],[EducationField]],Table7[EducationField],Table7[Id_EducationField])</f>
        <v>EF001</v>
      </c>
      <c r="M754" t="s">
        <v>40</v>
      </c>
      <c r="N754" t="str">
        <f>_xlfn.XLOOKUP(Table1[[#This Row],[EmployeeNumber]],Table4[EmployeeNumber],Table4[Id_Employee])</f>
        <v>EMP00753</v>
      </c>
      <c r="O754">
        <v>1042</v>
      </c>
      <c r="P754" t="str">
        <f>_xlfn.XLOOKUP(Table1[[#This Row],[EnvironmentSatisfaction]],Table9[EnvironmentSatisfaction],Table9[Id_EnviromentSatisfaction])</f>
        <v>ES003</v>
      </c>
      <c r="Q754">
        <v>3</v>
      </c>
      <c r="R754" t="str">
        <f>_xlfn.XLOOKUP(Table1[[#This Row],[EnvironmentSatisfaction]],Table9[EnvironmentSatisfaction],Table9[Deskripsi])</f>
        <v>High</v>
      </c>
      <c r="S754" t="str">
        <f>_xlfn.XLOOKUP(Table1[[#This Row],[Gender]],Table10[Gender],Table10[Id_Gender])</f>
        <v>G001</v>
      </c>
      <c r="T754" t="s">
        <v>45</v>
      </c>
      <c r="U754">
        <v>43</v>
      </c>
      <c r="V754" t="str">
        <f>_xlfn.XLOOKUP(Table1[[#This Row],[JobInvolvement]],Table11[JobInvolvement],Table11[Id_JobInvolvement])</f>
        <v>JI004</v>
      </c>
      <c r="W754">
        <v>4</v>
      </c>
      <c r="X754" t="str">
        <f>_xlfn.XLOOKUP(Table1[[#This Row],[JobLevel]],Table12[JobLevel],Table12[Id_JobLevel])</f>
        <v>JL001</v>
      </c>
      <c r="Y754">
        <v>1</v>
      </c>
      <c r="Z754" t="str">
        <f>_xlfn.XLOOKUP(Table1[[#This Row],[JobRole]],Table13[JobRole],Table13[Id_JobRole])</f>
        <v>JR003</v>
      </c>
      <c r="AA754" t="s">
        <v>49</v>
      </c>
      <c r="AB754" t="str">
        <f>_xlfn.XLOOKUP(Table1[[#This Row],[JobSatisfaction]],Table14[JobSatisfaction],Table14[Id_JobSatisfaction])</f>
        <v>JS001</v>
      </c>
      <c r="AC754">
        <v>1</v>
      </c>
      <c r="AD754" t="str">
        <f>_xlfn.XLOOKUP(Table1[[#This Row],[JobSatisfaction]],Table14[JobSatisfaction],Table14[Deskripsi])</f>
        <v>Low</v>
      </c>
      <c r="AE754" t="str">
        <f>_xlfn.XLOOKUP(Table1[[#This Row],[MaritalStatus]],Table15[MaritalStatus],Table15[Id_MaritalStatus])</f>
        <v>MS001</v>
      </c>
      <c r="AF754" t="s">
        <v>55</v>
      </c>
      <c r="AG754">
        <v>2743</v>
      </c>
      <c r="AH754">
        <v>8269</v>
      </c>
      <c r="AI754">
        <v>1</v>
      </c>
      <c r="AJ754" t="str">
        <f>_xlfn.XLOOKUP(Table1[[#This Row],[OverTime]],Table16[OverTime],Table16[Id_OverTime])</f>
        <v>OT002</v>
      </c>
      <c r="AK754" t="s">
        <v>33</v>
      </c>
      <c r="AL754">
        <v>16</v>
      </c>
      <c r="AM754" t="str">
        <f>_xlfn.XLOOKUP(Table1[[#This Row],[PerformanceRating]],Table17[PerformanceRating],Table17[Id_PerformanceRating])</f>
        <v>PR003</v>
      </c>
      <c r="AN754">
        <v>3</v>
      </c>
      <c r="AO754" t="str">
        <f>_xlfn.XLOOKUP(Table1[[#This Row],[PerformanceRating]],Table17[PerformanceRating],Table17[Deskripsi])</f>
        <v>Excellent</v>
      </c>
      <c r="AP754" t="str">
        <f>_xlfn.XLOOKUP(Table1[[#This Row],[RelationshipSatisfaction]],Table18[RelationshipSatisfaction],Table18[Id_RelationshipSatisfaction])</f>
        <v>RS003</v>
      </c>
      <c r="AQ754">
        <v>3</v>
      </c>
      <c r="AR754" t="str">
        <f>_xlfn.XLOOKUP(Table1[[#This Row],[RelationshipSatisfaction]],Table18[RelationshipSatisfaction],Table18[Deskripsi])</f>
        <v>High</v>
      </c>
      <c r="AS754" t="str">
        <f>_xlfn.XLOOKUP(Table1[[#This Row],[StockOptionLevel]],Table19[StockOptionLevel],Table19[Id_StockOptionLevel])</f>
        <v>SOL001</v>
      </c>
      <c r="AT754">
        <v>0</v>
      </c>
      <c r="AU754" t="str">
        <f>_xlfn.XLOOKUP(Table1[[#This Row],[StockOptionLevel]],Table19[StockOptionLevel],Table19[Deskripsi])</f>
        <v>Non-Eligible</v>
      </c>
      <c r="AV754">
        <v>18</v>
      </c>
      <c r="AW754">
        <v>1</v>
      </c>
      <c r="AX754" t="str">
        <f>_xlfn.XLOOKUP(Table1[[#This Row],[WorkLifeBalance]],Table20[WorkLifeBalance],Table20[Id_WorkLifeBalance])</f>
        <v>WLB002</v>
      </c>
      <c r="AY754">
        <v>3</v>
      </c>
      <c r="AZ754" t="str">
        <f>_xlfn.XLOOKUP(Table1[[#This Row],[WorkLifeBalance]],Table20[WorkLifeBalance],Table20[Deskripsi])</f>
        <v>Good</v>
      </c>
      <c r="BA754">
        <v>17</v>
      </c>
      <c r="BB754">
        <v>13</v>
      </c>
      <c r="BC754">
        <v>15</v>
      </c>
      <c r="BD754">
        <v>14</v>
      </c>
    </row>
    <row r="755" spans="1:56" x14ac:dyDescent="0.25">
      <c r="A755">
        <v>39</v>
      </c>
      <c r="B755" t="str">
        <f>_xlfn.XLOOKUP(Table1[[#This Row],[Attrition]],Table2[Attrition],Table2[Id_Attrition])</f>
        <v>A002</v>
      </c>
      <c r="C755" t="s">
        <v>33</v>
      </c>
      <c r="D755" t="str">
        <f>_xlfn.XLOOKUP(Table1[[#This Row],[BusinessTravel]],Table5[BusinessTravel],Table5[Id_BusinessTravel])</f>
        <v>BS002</v>
      </c>
      <c r="E755" t="s">
        <v>35</v>
      </c>
      <c r="F755">
        <v>945</v>
      </c>
      <c r="G755" t="str">
        <f>_xlfn.XLOOKUP(Table1[[#This Row],[Department]],Table6[Department],Table6[Id_Departement])</f>
        <v>D002</v>
      </c>
      <c r="H755" t="s">
        <v>38</v>
      </c>
      <c r="I755">
        <v>22</v>
      </c>
      <c r="J755" t="str">
        <f>_xlfn.XLOOKUP(Table1[[#This Row],[Education]],Table8[Education],Table8[Id_Education])</f>
        <v>E003</v>
      </c>
      <c r="K755">
        <v>3</v>
      </c>
      <c r="L755" t="str">
        <f>_xlfn.XLOOKUP(Table1[[#This Row],[EducationField]],Table7[EducationField],Table7[Id_EducationField])</f>
        <v>EF003</v>
      </c>
      <c r="M755" t="s">
        <v>42</v>
      </c>
      <c r="N755" t="str">
        <f>_xlfn.XLOOKUP(Table1[[#This Row],[EmployeeNumber]],Table4[EmployeeNumber],Table4[Id_Employee])</f>
        <v>EMP00754</v>
      </c>
      <c r="O755">
        <v>1043</v>
      </c>
      <c r="P755" t="str">
        <f>_xlfn.XLOOKUP(Table1[[#This Row],[EnvironmentSatisfaction]],Table9[EnvironmentSatisfaction],Table9[Id_EnviromentSatisfaction])</f>
        <v>ES004</v>
      </c>
      <c r="Q755">
        <v>4</v>
      </c>
      <c r="R755" t="str">
        <f>_xlfn.XLOOKUP(Table1[[#This Row],[EnvironmentSatisfaction]],Table9[EnvironmentSatisfaction],Table9[Deskripsi])</f>
        <v>Very High</v>
      </c>
      <c r="S755" t="str">
        <f>_xlfn.XLOOKUP(Table1[[#This Row],[Gender]],Table10[Gender],Table10[Id_Gender])</f>
        <v>G001</v>
      </c>
      <c r="T755" t="s">
        <v>45</v>
      </c>
      <c r="U755">
        <v>82</v>
      </c>
      <c r="V755" t="str">
        <f>_xlfn.XLOOKUP(Table1[[#This Row],[JobInvolvement]],Table11[JobInvolvement],Table11[Id_JobInvolvement])</f>
        <v>JI003</v>
      </c>
      <c r="W755">
        <v>3</v>
      </c>
      <c r="X755" t="str">
        <f>_xlfn.XLOOKUP(Table1[[#This Row],[JobLevel]],Table12[JobLevel],Table12[Id_JobLevel])</f>
        <v>JL003</v>
      </c>
      <c r="Y755">
        <v>3</v>
      </c>
      <c r="Z755" t="str">
        <f>_xlfn.XLOOKUP(Table1[[#This Row],[JobRole]],Table13[JobRole],Table13[Id_JobRole])</f>
        <v>JR004</v>
      </c>
      <c r="AA755" t="s">
        <v>50</v>
      </c>
      <c r="AB755" t="str">
        <f>_xlfn.XLOOKUP(Table1[[#This Row],[JobSatisfaction]],Table14[JobSatisfaction],Table14[Id_JobSatisfaction])</f>
        <v>JS001</v>
      </c>
      <c r="AC755">
        <v>1</v>
      </c>
      <c r="AD755" t="str">
        <f>_xlfn.XLOOKUP(Table1[[#This Row],[JobSatisfaction]],Table14[JobSatisfaction],Table14[Deskripsi])</f>
        <v>Low</v>
      </c>
      <c r="AE755" t="str">
        <f>_xlfn.XLOOKUP(Table1[[#This Row],[MaritalStatus]],Table15[MaritalStatus],Table15[Id_MaritalStatus])</f>
        <v>MS001</v>
      </c>
      <c r="AF755" t="s">
        <v>55</v>
      </c>
      <c r="AG755">
        <v>10880</v>
      </c>
      <c r="AH755">
        <v>5083</v>
      </c>
      <c r="AI755">
        <v>1</v>
      </c>
      <c r="AJ755" t="str">
        <f>_xlfn.XLOOKUP(Table1[[#This Row],[OverTime]],Table16[OverTime],Table16[Id_OverTime])</f>
        <v>OT001</v>
      </c>
      <c r="AK755" t="s">
        <v>32</v>
      </c>
      <c r="AL755">
        <v>13</v>
      </c>
      <c r="AM755" t="str">
        <f>_xlfn.XLOOKUP(Table1[[#This Row],[PerformanceRating]],Table17[PerformanceRating],Table17[Id_PerformanceRating])</f>
        <v>PR003</v>
      </c>
      <c r="AN755">
        <v>3</v>
      </c>
      <c r="AO755" t="str">
        <f>_xlfn.XLOOKUP(Table1[[#This Row],[PerformanceRating]],Table17[PerformanceRating],Table17[Deskripsi])</f>
        <v>Excellent</v>
      </c>
      <c r="AP755" t="str">
        <f>_xlfn.XLOOKUP(Table1[[#This Row],[RelationshipSatisfaction]],Table18[RelationshipSatisfaction],Table18[Id_RelationshipSatisfaction])</f>
        <v>RS003</v>
      </c>
      <c r="AQ755">
        <v>3</v>
      </c>
      <c r="AR755" t="str">
        <f>_xlfn.XLOOKUP(Table1[[#This Row],[RelationshipSatisfaction]],Table18[RelationshipSatisfaction],Table18[Deskripsi])</f>
        <v>High</v>
      </c>
      <c r="AS755" t="str">
        <f>_xlfn.XLOOKUP(Table1[[#This Row],[StockOptionLevel]],Table19[StockOptionLevel],Table19[Id_StockOptionLevel])</f>
        <v>SOL001</v>
      </c>
      <c r="AT755">
        <v>0</v>
      </c>
      <c r="AU755" t="str">
        <f>_xlfn.XLOOKUP(Table1[[#This Row],[StockOptionLevel]],Table19[StockOptionLevel],Table19[Deskripsi])</f>
        <v>Non-Eligible</v>
      </c>
      <c r="AV755">
        <v>21</v>
      </c>
      <c r="AW755">
        <v>2</v>
      </c>
      <c r="AX755" t="str">
        <f>_xlfn.XLOOKUP(Table1[[#This Row],[WorkLifeBalance]],Table20[WorkLifeBalance],Table20[Id_WorkLifeBalance])</f>
        <v>WLB002</v>
      </c>
      <c r="AY755">
        <v>3</v>
      </c>
      <c r="AZ755" t="str">
        <f>_xlfn.XLOOKUP(Table1[[#This Row],[WorkLifeBalance]],Table20[WorkLifeBalance],Table20[Deskripsi])</f>
        <v>Good</v>
      </c>
      <c r="BA755">
        <v>21</v>
      </c>
      <c r="BB755">
        <v>6</v>
      </c>
      <c r="BC755">
        <v>2</v>
      </c>
      <c r="BD755">
        <v>8</v>
      </c>
    </row>
    <row r="756" spans="1:56" x14ac:dyDescent="0.25">
      <c r="A756">
        <v>33</v>
      </c>
      <c r="B756" t="str">
        <f>_xlfn.XLOOKUP(Table1[[#This Row],[Attrition]],Table2[Attrition],Table2[Id_Attrition])</f>
        <v>A002</v>
      </c>
      <c r="C756" t="s">
        <v>33</v>
      </c>
      <c r="D756" t="str">
        <f>_xlfn.XLOOKUP(Table1[[#This Row],[BusinessTravel]],Table5[BusinessTravel],Table5[Id_BusinessTravel])</f>
        <v>BS003</v>
      </c>
      <c r="E756" t="s">
        <v>36</v>
      </c>
      <c r="F756">
        <v>1038</v>
      </c>
      <c r="G756" t="str">
        <f>_xlfn.XLOOKUP(Table1[[#This Row],[Department]],Table6[Department],Table6[Id_Departement])</f>
        <v>D001</v>
      </c>
      <c r="H756" t="s">
        <v>37</v>
      </c>
      <c r="I756">
        <v>8</v>
      </c>
      <c r="J756" t="str">
        <f>_xlfn.XLOOKUP(Table1[[#This Row],[Education]],Table8[Education],Table8[Id_Education])</f>
        <v>E001</v>
      </c>
      <c r="K756">
        <v>1</v>
      </c>
      <c r="L756" t="str">
        <f>_xlfn.XLOOKUP(Table1[[#This Row],[EducationField]],Table7[EducationField],Table7[Id_EducationField])</f>
        <v>EF001</v>
      </c>
      <c r="M756" t="s">
        <v>40</v>
      </c>
      <c r="N756" t="str">
        <f>_xlfn.XLOOKUP(Table1[[#This Row],[EmployeeNumber]],Table4[EmployeeNumber],Table4[Id_Employee])</f>
        <v>EMP00755</v>
      </c>
      <c r="O756">
        <v>1044</v>
      </c>
      <c r="P756" t="str">
        <f>_xlfn.XLOOKUP(Table1[[#This Row],[EnvironmentSatisfaction]],Table9[EnvironmentSatisfaction],Table9[Id_EnviromentSatisfaction])</f>
        <v>ES002</v>
      </c>
      <c r="Q756">
        <v>2</v>
      </c>
      <c r="R756" t="str">
        <f>_xlfn.XLOOKUP(Table1[[#This Row],[EnvironmentSatisfaction]],Table9[EnvironmentSatisfaction],Table9[Deskripsi])</f>
        <v>Medium</v>
      </c>
      <c r="S756" t="str">
        <f>_xlfn.XLOOKUP(Table1[[#This Row],[Gender]],Table10[Gender],Table10[Id_Gender])</f>
        <v>G001</v>
      </c>
      <c r="T756" t="s">
        <v>45</v>
      </c>
      <c r="U756">
        <v>88</v>
      </c>
      <c r="V756" t="str">
        <f>_xlfn.XLOOKUP(Table1[[#This Row],[JobInvolvement]],Table11[JobInvolvement],Table11[Id_JobInvolvement])</f>
        <v>JI002</v>
      </c>
      <c r="W756">
        <v>2</v>
      </c>
      <c r="X756" t="str">
        <f>_xlfn.XLOOKUP(Table1[[#This Row],[JobLevel]],Table12[JobLevel],Table12[Id_JobLevel])</f>
        <v>JL001</v>
      </c>
      <c r="Y756">
        <v>1</v>
      </c>
      <c r="Z756" t="str">
        <f>_xlfn.XLOOKUP(Table1[[#This Row],[JobRole]],Table13[JobRole],Table13[Id_JobRole])</f>
        <v>JR007</v>
      </c>
      <c r="AA756" t="s">
        <v>53</v>
      </c>
      <c r="AB756" t="str">
        <f>_xlfn.XLOOKUP(Table1[[#This Row],[JobSatisfaction]],Table14[JobSatisfaction],Table14[Id_JobSatisfaction])</f>
        <v>JS004</v>
      </c>
      <c r="AC756">
        <v>4</v>
      </c>
      <c r="AD756" t="str">
        <f>_xlfn.XLOOKUP(Table1[[#This Row],[JobSatisfaction]],Table14[JobSatisfaction],Table14[Deskripsi])</f>
        <v>Very High</v>
      </c>
      <c r="AE756" t="str">
        <f>_xlfn.XLOOKUP(Table1[[#This Row],[MaritalStatus]],Table15[MaritalStatus],Table15[Id_MaritalStatus])</f>
        <v>MS001</v>
      </c>
      <c r="AF756" t="s">
        <v>55</v>
      </c>
      <c r="AG756">
        <v>2342</v>
      </c>
      <c r="AH756">
        <v>21437</v>
      </c>
      <c r="AI756">
        <v>0</v>
      </c>
      <c r="AJ756" t="str">
        <f>_xlfn.XLOOKUP(Table1[[#This Row],[OverTime]],Table16[OverTime],Table16[Id_OverTime])</f>
        <v>OT002</v>
      </c>
      <c r="AK756" t="s">
        <v>33</v>
      </c>
      <c r="AL756">
        <v>19</v>
      </c>
      <c r="AM756" t="str">
        <f>_xlfn.XLOOKUP(Table1[[#This Row],[PerformanceRating]],Table17[PerformanceRating],Table17[Id_PerformanceRating])</f>
        <v>PR003</v>
      </c>
      <c r="AN756">
        <v>3</v>
      </c>
      <c r="AO756" t="str">
        <f>_xlfn.XLOOKUP(Table1[[#This Row],[PerformanceRating]],Table17[PerformanceRating],Table17[Deskripsi])</f>
        <v>Excellent</v>
      </c>
      <c r="AP756" t="str">
        <f>_xlfn.XLOOKUP(Table1[[#This Row],[RelationshipSatisfaction]],Table18[RelationshipSatisfaction],Table18[Id_RelationshipSatisfaction])</f>
        <v>RS004</v>
      </c>
      <c r="AQ756">
        <v>4</v>
      </c>
      <c r="AR756" t="str">
        <f>_xlfn.XLOOKUP(Table1[[#This Row],[RelationshipSatisfaction]],Table18[RelationshipSatisfaction],Table18[Deskripsi])</f>
        <v>Very High</v>
      </c>
      <c r="AS756" t="str">
        <f>_xlfn.XLOOKUP(Table1[[#This Row],[StockOptionLevel]],Table19[StockOptionLevel],Table19[Id_StockOptionLevel])</f>
        <v>SOL001</v>
      </c>
      <c r="AT756">
        <v>0</v>
      </c>
      <c r="AU756" t="str">
        <f>_xlfn.XLOOKUP(Table1[[#This Row],[StockOptionLevel]],Table19[StockOptionLevel],Table19[Deskripsi])</f>
        <v>Non-Eligible</v>
      </c>
      <c r="AV756">
        <v>3</v>
      </c>
      <c r="AW756">
        <v>2</v>
      </c>
      <c r="AX756" t="str">
        <f>_xlfn.XLOOKUP(Table1[[#This Row],[WorkLifeBalance]],Table20[WorkLifeBalance],Table20[Id_WorkLifeBalance])</f>
        <v>WLB003</v>
      </c>
      <c r="AY756">
        <v>2</v>
      </c>
      <c r="AZ756" t="str">
        <f>_xlfn.XLOOKUP(Table1[[#This Row],[WorkLifeBalance]],Table20[WorkLifeBalance],Table20[Deskripsi])</f>
        <v>Better</v>
      </c>
      <c r="BA756">
        <v>2</v>
      </c>
      <c r="BB756">
        <v>2</v>
      </c>
      <c r="BC756">
        <v>2</v>
      </c>
      <c r="BD756">
        <v>2</v>
      </c>
    </row>
    <row r="757" spans="1:56" x14ac:dyDescent="0.25">
      <c r="A757">
        <v>45</v>
      </c>
      <c r="B757" t="str">
        <f>_xlfn.XLOOKUP(Table1[[#This Row],[Attrition]],Table2[Attrition],Table2[Id_Attrition])</f>
        <v>A002</v>
      </c>
      <c r="C757" t="s">
        <v>33</v>
      </c>
      <c r="D757" t="str">
        <f>_xlfn.XLOOKUP(Table1[[#This Row],[BusinessTravel]],Table5[BusinessTravel],Table5[Id_BusinessTravel])</f>
        <v>BS001</v>
      </c>
      <c r="E757" t="s">
        <v>34</v>
      </c>
      <c r="F757">
        <v>1234</v>
      </c>
      <c r="G757" t="str">
        <f>_xlfn.XLOOKUP(Table1[[#This Row],[Department]],Table6[Department],Table6[Id_Departement])</f>
        <v>D001</v>
      </c>
      <c r="H757" t="s">
        <v>37</v>
      </c>
      <c r="I757">
        <v>11</v>
      </c>
      <c r="J757" t="str">
        <f>_xlfn.XLOOKUP(Table1[[#This Row],[Education]],Table8[Education],Table8[Id_Education])</f>
        <v>E002</v>
      </c>
      <c r="K757">
        <v>2</v>
      </c>
      <c r="L757" t="str">
        <f>_xlfn.XLOOKUP(Table1[[#This Row],[EducationField]],Table7[EducationField],Table7[Id_EducationField])</f>
        <v>EF001</v>
      </c>
      <c r="M757" t="s">
        <v>40</v>
      </c>
      <c r="N757" t="str">
        <f>_xlfn.XLOOKUP(Table1[[#This Row],[EmployeeNumber]],Table4[EmployeeNumber],Table4[Id_Employee])</f>
        <v>EMP00756</v>
      </c>
      <c r="O757">
        <v>1045</v>
      </c>
      <c r="P757" t="str">
        <f>_xlfn.XLOOKUP(Table1[[#This Row],[EnvironmentSatisfaction]],Table9[EnvironmentSatisfaction],Table9[Id_EnviromentSatisfaction])</f>
        <v>ES004</v>
      </c>
      <c r="Q757">
        <v>4</v>
      </c>
      <c r="R757" t="str">
        <f>_xlfn.XLOOKUP(Table1[[#This Row],[EnvironmentSatisfaction]],Table9[EnvironmentSatisfaction],Table9[Deskripsi])</f>
        <v>Very High</v>
      </c>
      <c r="S757" t="str">
        <f>_xlfn.XLOOKUP(Table1[[#This Row],[Gender]],Table10[Gender],Table10[Id_Gender])</f>
        <v>G001</v>
      </c>
      <c r="T757" t="s">
        <v>45</v>
      </c>
      <c r="U757">
        <v>90</v>
      </c>
      <c r="V757" t="str">
        <f>_xlfn.XLOOKUP(Table1[[#This Row],[JobInvolvement]],Table11[JobInvolvement],Table11[Id_JobInvolvement])</f>
        <v>JI003</v>
      </c>
      <c r="W757">
        <v>3</v>
      </c>
      <c r="X757" t="str">
        <f>_xlfn.XLOOKUP(Table1[[#This Row],[JobLevel]],Table12[JobLevel],Table12[Id_JobLevel])</f>
        <v>JL004</v>
      </c>
      <c r="Y757">
        <v>4</v>
      </c>
      <c r="Z757" t="str">
        <f>_xlfn.XLOOKUP(Table1[[#This Row],[JobRole]],Table13[JobRole],Table13[Id_JobRole])</f>
        <v>JR006</v>
      </c>
      <c r="AA757" t="s">
        <v>52</v>
      </c>
      <c r="AB757" t="str">
        <f>_xlfn.XLOOKUP(Table1[[#This Row],[JobSatisfaction]],Table14[JobSatisfaction],Table14[Id_JobSatisfaction])</f>
        <v>JS004</v>
      </c>
      <c r="AC757">
        <v>4</v>
      </c>
      <c r="AD757" t="str">
        <f>_xlfn.XLOOKUP(Table1[[#This Row],[JobSatisfaction]],Table14[JobSatisfaction],Table14[Deskripsi])</f>
        <v>Very High</v>
      </c>
      <c r="AE757" t="str">
        <f>_xlfn.XLOOKUP(Table1[[#This Row],[MaritalStatus]],Table15[MaritalStatus],Table15[Id_MaritalStatus])</f>
        <v>MS002</v>
      </c>
      <c r="AF757" t="s">
        <v>56</v>
      </c>
      <c r="AG757">
        <v>17650</v>
      </c>
      <c r="AH757">
        <v>5404</v>
      </c>
      <c r="AI757">
        <v>3</v>
      </c>
      <c r="AJ757" t="str">
        <f>_xlfn.XLOOKUP(Table1[[#This Row],[OverTime]],Table16[OverTime],Table16[Id_OverTime])</f>
        <v>OT002</v>
      </c>
      <c r="AK757" t="s">
        <v>33</v>
      </c>
      <c r="AL757">
        <v>13</v>
      </c>
      <c r="AM757" t="str">
        <f>_xlfn.XLOOKUP(Table1[[#This Row],[PerformanceRating]],Table17[PerformanceRating],Table17[Id_PerformanceRating])</f>
        <v>PR003</v>
      </c>
      <c r="AN757">
        <v>3</v>
      </c>
      <c r="AO757" t="str">
        <f>_xlfn.XLOOKUP(Table1[[#This Row],[PerformanceRating]],Table17[PerformanceRating],Table17[Deskripsi])</f>
        <v>Excellent</v>
      </c>
      <c r="AP757" t="str">
        <f>_xlfn.XLOOKUP(Table1[[#This Row],[RelationshipSatisfaction]],Table18[RelationshipSatisfaction],Table18[Id_RelationshipSatisfaction])</f>
        <v>RS002</v>
      </c>
      <c r="AQ757">
        <v>2</v>
      </c>
      <c r="AR757" t="str">
        <f>_xlfn.XLOOKUP(Table1[[#This Row],[RelationshipSatisfaction]],Table18[RelationshipSatisfaction],Table18[Deskripsi])</f>
        <v>Medium</v>
      </c>
      <c r="AS757" t="str">
        <f>_xlfn.XLOOKUP(Table1[[#This Row],[StockOptionLevel]],Table19[StockOptionLevel],Table19[Id_StockOptionLevel])</f>
        <v>SOL002</v>
      </c>
      <c r="AT757">
        <v>1</v>
      </c>
      <c r="AU757" t="str">
        <f>_xlfn.XLOOKUP(Table1[[#This Row],[StockOptionLevel]],Table19[StockOptionLevel],Table19[Deskripsi])</f>
        <v>Standard</v>
      </c>
      <c r="AV757">
        <v>26</v>
      </c>
      <c r="AW757">
        <v>4</v>
      </c>
      <c r="AX757" t="str">
        <f>_xlfn.XLOOKUP(Table1[[#This Row],[WorkLifeBalance]],Table20[WorkLifeBalance],Table20[Id_WorkLifeBalance])</f>
        <v>WLB004</v>
      </c>
      <c r="AY757">
        <v>4</v>
      </c>
      <c r="AZ757" t="str">
        <f>_xlfn.XLOOKUP(Table1[[#This Row],[WorkLifeBalance]],Table20[WorkLifeBalance],Table20[Deskripsi])</f>
        <v>Best</v>
      </c>
      <c r="BA757">
        <v>9</v>
      </c>
      <c r="BB757">
        <v>3</v>
      </c>
      <c r="BC757">
        <v>1</v>
      </c>
      <c r="BD757">
        <v>1</v>
      </c>
    </row>
    <row r="758" spans="1:56" x14ac:dyDescent="0.25">
      <c r="A758">
        <v>32</v>
      </c>
      <c r="B758" t="str">
        <f>_xlfn.XLOOKUP(Table1[[#This Row],[Attrition]],Table2[Attrition],Table2[Id_Attrition])</f>
        <v>A002</v>
      </c>
      <c r="C758" t="s">
        <v>33</v>
      </c>
      <c r="D758" t="str">
        <f>_xlfn.XLOOKUP(Table1[[#This Row],[BusinessTravel]],Table5[BusinessTravel],Table5[Id_BusinessTravel])</f>
        <v>BS003</v>
      </c>
      <c r="E758" t="s">
        <v>36</v>
      </c>
      <c r="F758">
        <v>1109</v>
      </c>
      <c r="G758" t="str">
        <f>_xlfn.XLOOKUP(Table1[[#This Row],[Department]],Table6[Department],Table6[Id_Departement])</f>
        <v>D002</v>
      </c>
      <c r="H758" t="s">
        <v>38</v>
      </c>
      <c r="I758">
        <v>29</v>
      </c>
      <c r="J758" t="str">
        <f>_xlfn.XLOOKUP(Table1[[#This Row],[Education]],Table8[Education],Table8[Id_Education])</f>
        <v>E004</v>
      </c>
      <c r="K758">
        <v>4</v>
      </c>
      <c r="L758" t="str">
        <f>_xlfn.XLOOKUP(Table1[[#This Row],[EducationField]],Table7[EducationField],Table7[Id_EducationField])</f>
        <v>EF003</v>
      </c>
      <c r="M758" t="s">
        <v>42</v>
      </c>
      <c r="N758" t="str">
        <f>_xlfn.XLOOKUP(Table1[[#This Row],[EmployeeNumber]],Table4[EmployeeNumber],Table4[Id_Employee])</f>
        <v>EMP00757</v>
      </c>
      <c r="O758">
        <v>1046</v>
      </c>
      <c r="P758" t="str">
        <f>_xlfn.XLOOKUP(Table1[[#This Row],[EnvironmentSatisfaction]],Table9[EnvironmentSatisfaction],Table9[Id_EnviromentSatisfaction])</f>
        <v>ES004</v>
      </c>
      <c r="Q758">
        <v>4</v>
      </c>
      <c r="R758" t="str">
        <f>_xlfn.XLOOKUP(Table1[[#This Row],[EnvironmentSatisfaction]],Table9[EnvironmentSatisfaction],Table9[Deskripsi])</f>
        <v>Very High</v>
      </c>
      <c r="S758" t="str">
        <f>_xlfn.XLOOKUP(Table1[[#This Row],[Gender]],Table10[Gender],Table10[Id_Gender])</f>
        <v>G001</v>
      </c>
      <c r="T758" t="s">
        <v>45</v>
      </c>
      <c r="U758">
        <v>69</v>
      </c>
      <c r="V758" t="str">
        <f>_xlfn.XLOOKUP(Table1[[#This Row],[JobInvolvement]],Table11[JobInvolvement],Table11[Id_JobInvolvement])</f>
        <v>JI003</v>
      </c>
      <c r="W758">
        <v>3</v>
      </c>
      <c r="X758" t="str">
        <f>_xlfn.XLOOKUP(Table1[[#This Row],[JobLevel]],Table12[JobLevel],Table12[Id_JobLevel])</f>
        <v>JL001</v>
      </c>
      <c r="Y758">
        <v>1</v>
      </c>
      <c r="Z758" t="str">
        <f>_xlfn.XLOOKUP(Table1[[#This Row],[JobRole]],Table13[JobRole],Table13[Id_JobRole])</f>
        <v>JR003</v>
      </c>
      <c r="AA758" t="s">
        <v>49</v>
      </c>
      <c r="AB758" t="str">
        <f>_xlfn.XLOOKUP(Table1[[#This Row],[JobSatisfaction]],Table14[JobSatisfaction],Table14[Id_JobSatisfaction])</f>
        <v>JS003</v>
      </c>
      <c r="AC758">
        <v>3</v>
      </c>
      <c r="AD758" t="str">
        <f>_xlfn.XLOOKUP(Table1[[#This Row],[JobSatisfaction]],Table14[JobSatisfaction],Table14[Deskripsi])</f>
        <v>High</v>
      </c>
      <c r="AE758" t="str">
        <f>_xlfn.XLOOKUP(Table1[[#This Row],[MaritalStatus]],Table15[MaritalStatus],Table15[Id_MaritalStatus])</f>
        <v>MS001</v>
      </c>
      <c r="AF758" t="s">
        <v>55</v>
      </c>
      <c r="AG758">
        <v>4025</v>
      </c>
      <c r="AH758">
        <v>11135</v>
      </c>
      <c r="AI758">
        <v>9</v>
      </c>
      <c r="AJ758" t="str">
        <f>_xlfn.XLOOKUP(Table1[[#This Row],[OverTime]],Table16[OverTime],Table16[Id_OverTime])</f>
        <v>OT002</v>
      </c>
      <c r="AK758" t="s">
        <v>33</v>
      </c>
      <c r="AL758">
        <v>12</v>
      </c>
      <c r="AM758" t="str">
        <f>_xlfn.XLOOKUP(Table1[[#This Row],[PerformanceRating]],Table17[PerformanceRating],Table17[Id_PerformanceRating])</f>
        <v>PR003</v>
      </c>
      <c r="AN758">
        <v>3</v>
      </c>
      <c r="AO758" t="str">
        <f>_xlfn.XLOOKUP(Table1[[#This Row],[PerformanceRating]],Table17[PerformanceRating],Table17[Deskripsi])</f>
        <v>Excellent</v>
      </c>
      <c r="AP758" t="str">
        <f>_xlfn.XLOOKUP(Table1[[#This Row],[RelationshipSatisfaction]],Table18[RelationshipSatisfaction],Table18[Id_RelationshipSatisfaction])</f>
        <v>RS002</v>
      </c>
      <c r="AQ758">
        <v>2</v>
      </c>
      <c r="AR758" t="str">
        <f>_xlfn.XLOOKUP(Table1[[#This Row],[RelationshipSatisfaction]],Table18[RelationshipSatisfaction],Table18[Deskripsi])</f>
        <v>Medium</v>
      </c>
      <c r="AS758" t="str">
        <f>_xlfn.XLOOKUP(Table1[[#This Row],[StockOptionLevel]],Table19[StockOptionLevel],Table19[Id_StockOptionLevel])</f>
        <v>SOL001</v>
      </c>
      <c r="AT758">
        <v>0</v>
      </c>
      <c r="AU758" t="str">
        <f>_xlfn.XLOOKUP(Table1[[#This Row],[StockOptionLevel]],Table19[StockOptionLevel],Table19[Deskripsi])</f>
        <v>Non-Eligible</v>
      </c>
      <c r="AV758">
        <v>10</v>
      </c>
      <c r="AW758">
        <v>2</v>
      </c>
      <c r="AX758" t="str">
        <f>_xlfn.XLOOKUP(Table1[[#This Row],[WorkLifeBalance]],Table20[WorkLifeBalance],Table20[Id_WorkLifeBalance])</f>
        <v>WLB002</v>
      </c>
      <c r="AY758">
        <v>3</v>
      </c>
      <c r="AZ758" t="str">
        <f>_xlfn.XLOOKUP(Table1[[#This Row],[WorkLifeBalance]],Table20[WorkLifeBalance],Table20[Deskripsi])</f>
        <v>Good</v>
      </c>
      <c r="BA758">
        <v>8</v>
      </c>
      <c r="BB758">
        <v>7</v>
      </c>
      <c r="BC758">
        <v>7</v>
      </c>
      <c r="BD758">
        <v>7</v>
      </c>
    </row>
    <row r="759" spans="1:56" x14ac:dyDescent="0.25">
      <c r="A759">
        <v>34</v>
      </c>
      <c r="B759" t="str">
        <f>_xlfn.XLOOKUP(Table1[[#This Row],[Attrition]],Table2[Attrition],Table2[Id_Attrition])</f>
        <v>A002</v>
      </c>
      <c r="C759" t="s">
        <v>33</v>
      </c>
      <c r="D759" t="str">
        <f>_xlfn.XLOOKUP(Table1[[#This Row],[BusinessTravel]],Table5[BusinessTravel],Table5[Id_BusinessTravel])</f>
        <v>BS001</v>
      </c>
      <c r="E759" t="s">
        <v>34</v>
      </c>
      <c r="F759">
        <v>216</v>
      </c>
      <c r="G759" t="str">
        <f>_xlfn.XLOOKUP(Table1[[#This Row],[Department]],Table6[Department],Table6[Id_Departement])</f>
        <v>D001</v>
      </c>
      <c r="H759" t="s">
        <v>37</v>
      </c>
      <c r="I759">
        <v>1</v>
      </c>
      <c r="J759" t="str">
        <f>_xlfn.XLOOKUP(Table1[[#This Row],[Education]],Table8[Education],Table8[Id_Education])</f>
        <v>E004</v>
      </c>
      <c r="K759">
        <v>4</v>
      </c>
      <c r="L759" t="str">
        <f>_xlfn.XLOOKUP(Table1[[#This Row],[EducationField]],Table7[EducationField],Table7[Id_EducationField])</f>
        <v>EF004</v>
      </c>
      <c r="M759" t="s">
        <v>43</v>
      </c>
      <c r="N759" t="str">
        <f>_xlfn.XLOOKUP(Table1[[#This Row],[EmployeeNumber]],Table4[EmployeeNumber],Table4[Id_Employee])</f>
        <v>EMP00758</v>
      </c>
      <c r="O759">
        <v>1047</v>
      </c>
      <c r="P759" t="str">
        <f>_xlfn.XLOOKUP(Table1[[#This Row],[EnvironmentSatisfaction]],Table9[EnvironmentSatisfaction],Table9[Id_EnviromentSatisfaction])</f>
        <v>ES002</v>
      </c>
      <c r="Q759">
        <v>2</v>
      </c>
      <c r="R759" t="str">
        <f>_xlfn.XLOOKUP(Table1[[#This Row],[EnvironmentSatisfaction]],Table9[EnvironmentSatisfaction],Table9[Deskripsi])</f>
        <v>Medium</v>
      </c>
      <c r="S759" t="str">
        <f>_xlfn.XLOOKUP(Table1[[#This Row],[Gender]],Table10[Gender],Table10[Id_Gender])</f>
        <v>G002</v>
      </c>
      <c r="T759" t="s">
        <v>46</v>
      </c>
      <c r="U759">
        <v>75</v>
      </c>
      <c r="V759" t="str">
        <f>_xlfn.XLOOKUP(Table1[[#This Row],[JobInvolvement]],Table11[JobInvolvement],Table11[Id_JobInvolvement])</f>
        <v>JI004</v>
      </c>
      <c r="W759">
        <v>4</v>
      </c>
      <c r="X759" t="str">
        <f>_xlfn.XLOOKUP(Table1[[#This Row],[JobLevel]],Table12[JobLevel],Table12[Id_JobLevel])</f>
        <v>JL002</v>
      </c>
      <c r="Y759">
        <v>2</v>
      </c>
      <c r="Z759" t="str">
        <f>_xlfn.XLOOKUP(Table1[[#This Row],[JobRole]],Table13[JobRole],Table13[Id_JobRole])</f>
        <v>JR001</v>
      </c>
      <c r="AA759" t="s">
        <v>47</v>
      </c>
      <c r="AB759" t="str">
        <f>_xlfn.XLOOKUP(Table1[[#This Row],[JobSatisfaction]],Table14[JobSatisfaction],Table14[Id_JobSatisfaction])</f>
        <v>JS004</v>
      </c>
      <c r="AC759">
        <v>4</v>
      </c>
      <c r="AD759" t="str">
        <f>_xlfn.XLOOKUP(Table1[[#This Row],[JobSatisfaction]],Table14[JobSatisfaction],Table14[Deskripsi])</f>
        <v>Very High</v>
      </c>
      <c r="AE759" t="str">
        <f>_xlfn.XLOOKUP(Table1[[#This Row],[MaritalStatus]],Table15[MaritalStatus],Table15[Id_MaritalStatus])</f>
        <v>MS003</v>
      </c>
      <c r="AF759" t="s">
        <v>57</v>
      </c>
      <c r="AG759">
        <v>9725</v>
      </c>
      <c r="AH759">
        <v>12278</v>
      </c>
      <c r="AI759">
        <v>0</v>
      </c>
      <c r="AJ759" t="str">
        <f>_xlfn.XLOOKUP(Table1[[#This Row],[OverTime]],Table16[OverTime],Table16[Id_OverTime])</f>
        <v>OT002</v>
      </c>
      <c r="AK759" t="s">
        <v>33</v>
      </c>
      <c r="AL759">
        <v>11</v>
      </c>
      <c r="AM759" t="str">
        <f>_xlfn.XLOOKUP(Table1[[#This Row],[PerformanceRating]],Table17[PerformanceRating],Table17[Id_PerformanceRating])</f>
        <v>PR003</v>
      </c>
      <c r="AN759">
        <v>3</v>
      </c>
      <c r="AO759" t="str">
        <f>_xlfn.XLOOKUP(Table1[[#This Row],[PerformanceRating]],Table17[PerformanceRating],Table17[Deskripsi])</f>
        <v>Excellent</v>
      </c>
      <c r="AP759" t="str">
        <f>_xlfn.XLOOKUP(Table1[[#This Row],[RelationshipSatisfaction]],Table18[RelationshipSatisfaction],Table18[Id_RelationshipSatisfaction])</f>
        <v>RS004</v>
      </c>
      <c r="AQ759">
        <v>4</v>
      </c>
      <c r="AR759" t="str">
        <f>_xlfn.XLOOKUP(Table1[[#This Row],[RelationshipSatisfaction]],Table18[RelationshipSatisfaction],Table18[Deskripsi])</f>
        <v>Very High</v>
      </c>
      <c r="AS759" t="str">
        <f>_xlfn.XLOOKUP(Table1[[#This Row],[StockOptionLevel]],Table19[StockOptionLevel],Table19[Id_StockOptionLevel])</f>
        <v>SOL002</v>
      </c>
      <c r="AT759">
        <v>1</v>
      </c>
      <c r="AU759" t="str">
        <f>_xlfn.XLOOKUP(Table1[[#This Row],[StockOptionLevel]],Table19[StockOptionLevel],Table19[Deskripsi])</f>
        <v>Standard</v>
      </c>
      <c r="AV759">
        <v>16</v>
      </c>
      <c r="AW759">
        <v>2</v>
      </c>
      <c r="AX759" t="str">
        <f>_xlfn.XLOOKUP(Table1[[#This Row],[WorkLifeBalance]],Table20[WorkLifeBalance],Table20[Id_WorkLifeBalance])</f>
        <v>WLB003</v>
      </c>
      <c r="AY759">
        <v>2</v>
      </c>
      <c r="AZ759" t="str">
        <f>_xlfn.XLOOKUP(Table1[[#This Row],[WorkLifeBalance]],Table20[WorkLifeBalance],Table20[Deskripsi])</f>
        <v>Better</v>
      </c>
      <c r="BA759">
        <v>15</v>
      </c>
      <c r="BB759">
        <v>1</v>
      </c>
      <c r="BC759">
        <v>0</v>
      </c>
      <c r="BD759">
        <v>9</v>
      </c>
    </row>
    <row r="760" spans="1:56" x14ac:dyDescent="0.25">
      <c r="A760">
        <v>59</v>
      </c>
      <c r="B760" t="str">
        <f>_xlfn.XLOOKUP(Table1[[#This Row],[Attrition]],Table2[Attrition],Table2[Id_Attrition])</f>
        <v>A002</v>
      </c>
      <c r="C760" t="s">
        <v>33</v>
      </c>
      <c r="D760" t="str">
        <f>_xlfn.XLOOKUP(Table1[[#This Row],[BusinessTravel]],Table5[BusinessTravel],Table5[Id_BusinessTravel])</f>
        <v>BS001</v>
      </c>
      <c r="E760" t="s">
        <v>34</v>
      </c>
      <c r="F760">
        <v>1089</v>
      </c>
      <c r="G760" t="str">
        <f>_xlfn.XLOOKUP(Table1[[#This Row],[Department]],Table6[Department],Table6[Id_Departement])</f>
        <v>D001</v>
      </c>
      <c r="H760" t="s">
        <v>37</v>
      </c>
      <c r="I760">
        <v>1</v>
      </c>
      <c r="J760" t="str">
        <f>_xlfn.XLOOKUP(Table1[[#This Row],[Education]],Table8[Education],Table8[Id_Education])</f>
        <v>E002</v>
      </c>
      <c r="K760">
        <v>2</v>
      </c>
      <c r="L760" t="str">
        <f>_xlfn.XLOOKUP(Table1[[#This Row],[EducationField]],Table7[EducationField],Table7[Id_EducationField])</f>
        <v>EF005</v>
      </c>
      <c r="M760" t="s">
        <v>44</v>
      </c>
      <c r="N760" t="str">
        <f>_xlfn.XLOOKUP(Table1[[#This Row],[EmployeeNumber]],Table4[EmployeeNumber],Table4[Id_Employee])</f>
        <v>EMP00759</v>
      </c>
      <c r="O760">
        <v>1048</v>
      </c>
      <c r="P760" t="str">
        <f>_xlfn.XLOOKUP(Table1[[#This Row],[EnvironmentSatisfaction]],Table9[EnvironmentSatisfaction],Table9[Id_EnviromentSatisfaction])</f>
        <v>ES002</v>
      </c>
      <c r="Q760">
        <v>2</v>
      </c>
      <c r="R760" t="str">
        <f>_xlfn.XLOOKUP(Table1[[#This Row],[EnvironmentSatisfaction]],Table9[EnvironmentSatisfaction],Table9[Deskripsi])</f>
        <v>Medium</v>
      </c>
      <c r="S760" t="str">
        <f>_xlfn.XLOOKUP(Table1[[#This Row],[Gender]],Table10[Gender],Table10[Id_Gender])</f>
        <v>G002</v>
      </c>
      <c r="T760" t="s">
        <v>46</v>
      </c>
      <c r="U760">
        <v>66</v>
      </c>
      <c r="V760" t="str">
        <f>_xlfn.XLOOKUP(Table1[[#This Row],[JobInvolvement]],Table11[JobInvolvement],Table11[Id_JobInvolvement])</f>
        <v>JI003</v>
      </c>
      <c r="W760">
        <v>3</v>
      </c>
      <c r="X760" t="str">
        <f>_xlfn.XLOOKUP(Table1[[#This Row],[JobLevel]],Table12[JobLevel],Table12[Id_JobLevel])</f>
        <v>JL003</v>
      </c>
      <c r="Y760">
        <v>3</v>
      </c>
      <c r="Z760" t="str">
        <f>_xlfn.XLOOKUP(Table1[[#This Row],[JobRole]],Table13[JobRole],Table13[Id_JobRole])</f>
        <v>JR006</v>
      </c>
      <c r="AA760" t="s">
        <v>52</v>
      </c>
      <c r="AB760" t="str">
        <f>_xlfn.XLOOKUP(Table1[[#This Row],[JobSatisfaction]],Table14[JobSatisfaction],Table14[Id_JobSatisfaction])</f>
        <v>JS004</v>
      </c>
      <c r="AC760">
        <v>4</v>
      </c>
      <c r="AD760" t="str">
        <f>_xlfn.XLOOKUP(Table1[[#This Row],[JobSatisfaction]],Table14[JobSatisfaction],Table14[Deskripsi])</f>
        <v>Very High</v>
      </c>
      <c r="AE760" t="str">
        <f>_xlfn.XLOOKUP(Table1[[#This Row],[MaritalStatus]],Table15[MaritalStatus],Table15[Id_MaritalStatus])</f>
        <v>MS002</v>
      </c>
      <c r="AF760" t="s">
        <v>56</v>
      </c>
      <c r="AG760">
        <v>11904</v>
      </c>
      <c r="AH760">
        <v>11038</v>
      </c>
      <c r="AI760">
        <v>3</v>
      </c>
      <c r="AJ760" t="str">
        <f>_xlfn.XLOOKUP(Table1[[#This Row],[OverTime]],Table16[OverTime],Table16[Id_OverTime])</f>
        <v>OT001</v>
      </c>
      <c r="AK760" t="s">
        <v>32</v>
      </c>
      <c r="AL760">
        <v>14</v>
      </c>
      <c r="AM760" t="str">
        <f>_xlfn.XLOOKUP(Table1[[#This Row],[PerformanceRating]],Table17[PerformanceRating],Table17[Id_PerformanceRating])</f>
        <v>PR003</v>
      </c>
      <c r="AN760">
        <v>3</v>
      </c>
      <c r="AO760" t="str">
        <f>_xlfn.XLOOKUP(Table1[[#This Row],[PerformanceRating]],Table17[PerformanceRating],Table17[Deskripsi])</f>
        <v>Excellent</v>
      </c>
      <c r="AP760" t="str">
        <f>_xlfn.XLOOKUP(Table1[[#This Row],[RelationshipSatisfaction]],Table18[RelationshipSatisfaction],Table18[Id_RelationshipSatisfaction])</f>
        <v>RS003</v>
      </c>
      <c r="AQ760">
        <v>3</v>
      </c>
      <c r="AR760" t="str">
        <f>_xlfn.XLOOKUP(Table1[[#This Row],[RelationshipSatisfaction]],Table18[RelationshipSatisfaction],Table18[Deskripsi])</f>
        <v>High</v>
      </c>
      <c r="AS760" t="str">
        <f>_xlfn.XLOOKUP(Table1[[#This Row],[StockOptionLevel]],Table19[StockOptionLevel],Table19[Id_StockOptionLevel])</f>
        <v>SOL002</v>
      </c>
      <c r="AT760">
        <v>1</v>
      </c>
      <c r="AU760" t="str">
        <f>_xlfn.XLOOKUP(Table1[[#This Row],[StockOptionLevel]],Table19[StockOptionLevel],Table19[Deskripsi])</f>
        <v>Standard</v>
      </c>
      <c r="AV760">
        <v>14</v>
      </c>
      <c r="AW760">
        <v>1</v>
      </c>
      <c r="AX760" t="str">
        <f>_xlfn.XLOOKUP(Table1[[#This Row],[WorkLifeBalance]],Table20[WorkLifeBalance],Table20[Id_WorkLifeBalance])</f>
        <v>WLB001</v>
      </c>
      <c r="AY760">
        <v>1</v>
      </c>
      <c r="AZ760" t="str">
        <f>_xlfn.XLOOKUP(Table1[[#This Row],[WorkLifeBalance]],Table20[WorkLifeBalance],Table20[Deskripsi])</f>
        <v>Bad</v>
      </c>
      <c r="BA760">
        <v>6</v>
      </c>
      <c r="BB760">
        <v>4</v>
      </c>
      <c r="BC760">
        <v>0</v>
      </c>
      <c r="BD760">
        <v>4</v>
      </c>
    </row>
    <row r="761" spans="1:56" x14ac:dyDescent="0.25">
      <c r="A761">
        <v>45</v>
      </c>
      <c r="B761" t="str">
        <f>_xlfn.XLOOKUP(Table1[[#This Row],[Attrition]],Table2[Attrition],Table2[Id_Attrition])</f>
        <v>A002</v>
      </c>
      <c r="C761" t="s">
        <v>33</v>
      </c>
      <c r="D761" t="str">
        <f>_xlfn.XLOOKUP(Table1[[#This Row],[BusinessTravel]],Table5[BusinessTravel],Table5[Id_BusinessTravel])</f>
        <v>BS001</v>
      </c>
      <c r="E761" t="s">
        <v>34</v>
      </c>
      <c r="F761">
        <v>788</v>
      </c>
      <c r="G761" t="str">
        <f>_xlfn.XLOOKUP(Table1[[#This Row],[Department]],Table6[Department],Table6[Id_Departement])</f>
        <v>D003</v>
      </c>
      <c r="H761" t="s">
        <v>39</v>
      </c>
      <c r="I761">
        <v>24</v>
      </c>
      <c r="J761" t="str">
        <f>_xlfn.XLOOKUP(Table1[[#This Row],[Education]],Table8[Education],Table8[Id_Education])</f>
        <v>E004</v>
      </c>
      <c r="K761">
        <v>4</v>
      </c>
      <c r="L761" t="str">
        <f>_xlfn.XLOOKUP(Table1[[#This Row],[EducationField]],Table7[EducationField],Table7[Id_EducationField])</f>
        <v>EF003</v>
      </c>
      <c r="M761" t="s">
        <v>42</v>
      </c>
      <c r="N761" t="str">
        <f>_xlfn.XLOOKUP(Table1[[#This Row],[EmployeeNumber]],Table4[EmployeeNumber],Table4[Id_Employee])</f>
        <v>EMP00760</v>
      </c>
      <c r="O761">
        <v>1049</v>
      </c>
      <c r="P761" t="str">
        <f>_xlfn.XLOOKUP(Table1[[#This Row],[EnvironmentSatisfaction]],Table9[EnvironmentSatisfaction],Table9[Id_EnviromentSatisfaction])</f>
        <v>ES002</v>
      </c>
      <c r="Q761">
        <v>2</v>
      </c>
      <c r="R761" t="str">
        <f>_xlfn.XLOOKUP(Table1[[#This Row],[EnvironmentSatisfaction]],Table9[EnvironmentSatisfaction],Table9[Deskripsi])</f>
        <v>Medium</v>
      </c>
      <c r="S761" t="str">
        <f>_xlfn.XLOOKUP(Table1[[#This Row],[Gender]],Table10[Gender],Table10[Id_Gender])</f>
        <v>G002</v>
      </c>
      <c r="T761" t="s">
        <v>46</v>
      </c>
      <c r="U761">
        <v>36</v>
      </c>
      <c r="V761" t="str">
        <f>_xlfn.XLOOKUP(Table1[[#This Row],[JobInvolvement]],Table11[JobInvolvement],Table11[Id_JobInvolvement])</f>
        <v>JI003</v>
      </c>
      <c r="W761">
        <v>3</v>
      </c>
      <c r="X761" t="str">
        <f>_xlfn.XLOOKUP(Table1[[#This Row],[JobLevel]],Table12[JobLevel],Table12[Id_JobLevel])</f>
        <v>JL001</v>
      </c>
      <c r="Y761">
        <v>1</v>
      </c>
      <c r="Z761" t="str">
        <f>_xlfn.XLOOKUP(Table1[[#This Row],[JobRole]],Table13[JobRole],Table13[Id_JobRole])</f>
        <v>JR009</v>
      </c>
      <c r="AA761" t="s">
        <v>39</v>
      </c>
      <c r="AB761" t="str">
        <f>_xlfn.XLOOKUP(Table1[[#This Row],[JobSatisfaction]],Table14[JobSatisfaction],Table14[Id_JobSatisfaction])</f>
        <v>JS002</v>
      </c>
      <c r="AC761">
        <v>2</v>
      </c>
      <c r="AD761" t="str">
        <f>_xlfn.XLOOKUP(Table1[[#This Row],[JobSatisfaction]],Table14[JobSatisfaction],Table14[Deskripsi])</f>
        <v>Medium</v>
      </c>
      <c r="AE761" t="str">
        <f>_xlfn.XLOOKUP(Table1[[#This Row],[MaritalStatus]],Table15[MaritalStatus],Table15[Id_MaritalStatus])</f>
        <v>MS001</v>
      </c>
      <c r="AF761" t="s">
        <v>55</v>
      </c>
      <c r="AG761">
        <v>2177</v>
      </c>
      <c r="AH761">
        <v>8318</v>
      </c>
      <c r="AI761">
        <v>1</v>
      </c>
      <c r="AJ761" t="str">
        <f>_xlfn.XLOOKUP(Table1[[#This Row],[OverTime]],Table16[OverTime],Table16[Id_OverTime])</f>
        <v>OT002</v>
      </c>
      <c r="AK761" t="s">
        <v>33</v>
      </c>
      <c r="AL761">
        <v>16</v>
      </c>
      <c r="AM761" t="str">
        <f>_xlfn.XLOOKUP(Table1[[#This Row],[PerformanceRating]],Table17[PerformanceRating],Table17[Id_PerformanceRating])</f>
        <v>PR003</v>
      </c>
      <c r="AN761">
        <v>3</v>
      </c>
      <c r="AO761" t="str">
        <f>_xlfn.XLOOKUP(Table1[[#This Row],[PerformanceRating]],Table17[PerformanceRating],Table17[Deskripsi])</f>
        <v>Excellent</v>
      </c>
      <c r="AP761" t="str">
        <f>_xlfn.XLOOKUP(Table1[[#This Row],[RelationshipSatisfaction]],Table18[RelationshipSatisfaction],Table18[Id_RelationshipSatisfaction])</f>
        <v>RS001</v>
      </c>
      <c r="AQ761">
        <v>1</v>
      </c>
      <c r="AR761" t="str">
        <f>_xlfn.XLOOKUP(Table1[[#This Row],[RelationshipSatisfaction]],Table18[RelationshipSatisfaction],Table18[Deskripsi])</f>
        <v>Low</v>
      </c>
      <c r="AS761" t="str">
        <f>_xlfn.XLOOKUP(Table1[[#This Row],[StockOptionLevel]],Table19[StockOptionLevel],Table19[Id_StockOptionLevel])</f>
        <v>SOL001</v>
      </c>
      <c r="AT761">
        <v>0</v>
      </c>
      <c r="AU761" t="str">
        <f>_xlfn.XLOOKUP(Table1[[#This Row],[StockOptionLevel]],Table19[StockOptionLevel],Table19[Deskripsi])</f>
        <v>Non-Eligible</v>
      </c>
      <c r="AV761">
        <v>6</v>
      </c>
      <c r="AW761">
        <v>3</v>
      </c>
      <c r="AX761" t="str">
        <f>_xlfn.XLOOKUP(Table1[[#This Row],[WorkLifeBalance]],Table20[WorkLifeBalance],Table20[Id_WorkLifeBalance])</f>
        <v>WLB002</v>
      </c>
      <c r="AY761">
        <v>3</v>
      </c>
      <c r="AZ761" t="str">
        <f>_xlfn.XLOOKUP(Table1[[#This Row],[WorkLifeBalance]],Table20[WorkLifeBalance],Table20[Deskripsi])</f>
        <v>Good</v>
      </c>
      <c r="BA761">
        <v>6</v>
      </c>
      <c r="BB761">
        <v>3</v>
      </c>
      <c r="BC761">
        <v>0</v>
      </c>
      <c r="BD761">
        <v>4</v>
      </c>
    </row>
    <row r="762" spans="1:56" x14ac:dyDescent="0.25">
      <c r="A762">
        <v>53</v>
      </c>
      <c r="B762" t="str">
        <f>_xlfn.XLOOKUP(Table1[[#This Row],[Attrition]],Table2[Attrition],Table2[Id_Attrition])</f>
        <v>A002</v>
      </c>
      <c r="C762" t="s">
        <v>33</v>
      </c>
      <c r="D762" t="str">
        <f>_xlfn.XLOOKUP(Table1[[#This Row],[BusinessTravel]],Table5[BusinessTravel],Table5[Id_BusinessTravel])</f>
        <v>BS002</v>
      </c>
      <c r="E762" t="s">
        <v>35</v>
      </c>
      <c r="F762">
        <v>124</v>
      </c>
      <c r="G762" t="str">
        <f>_xlfn.XLOOKUP(Table1[[#This Row],[Department]],Table6[Department],Table6[Id_Departement])</f>
        <v>D001</v>
      </c>
      <c r="H762" t="s">
        <v>37</v>
      </c>
      <c r="I762">
        <v>2</v>
      </c>
      <c r="J762" t="str">
        <f>_xlfn.XLOOKUP(Table1[[#This Row],[Education]],Table8[Education],Table8[Id_Education])</f>
        <v>E003</v>
      </c>
      <c r="K762">
        <v>3</v>
      </c>
      <c r="L762" t="str">
        <f>_xlfn.XLOOKUP(Table1[[#This Row],[EducationField]],Table7[EducationField],Table7[Id_EducationField])</f>
        <v>EF004</v>
      </c>
      <c r="M762" t="s">
        <v>43</v>
      </c>
      <c r="N762" t="str">
        <f>_xlfn.XLOOKUP(Table1[[#This Row],[EmployeeNumber]],Table4[EmployeeNumber],Table4[Id_Employee])</f>
        <v>EMP00761</v>
      </c>
      <c r="O762">
        <v>1050</v>
      </c>
      <c r="P762" t="str">
        <f>_xlfn.XLOOKUP(Table1[[#This Row],[EnvironmentSatisfaction]],Table9[EnvironmentSatisfaction],Table9[Id_EnviromentSatisfaction])</f>
        <v>ES003</v>
      </c>
      <c r="Q762">
        <v>3</v>
      </c>
      <c r="R762" t="str">
        <f>_xlfn.XLOOKUP(Table1[[#This Row],[EnvironmentSatisfaction]],Table9[EnvironmentSatisfaction],Table9[Deskripsi])</f>
        <v>High</v>
      </c>
      <c r="S762" t="str">
        <f>_xlfn.XLOOKUP(Table1[[#This Row],[Gender]],Table10[Gender],Table10[Id_Gender])</f>
        <v>G001</v>
      </c>
      <c r="T762" t="s">
        <v>45</v>
      </c>
      <c r="U762">
        <v>38</v>
      </c>
      <c r="V762" t="str">
        <f>_xlfn.XLOOKUP(Table1[[#This Row],[JobInvolvement]],Table11[JobInvolvement],Table11[Id_JobInvolvement])</f>
        <v>JI002</v>
      </c>
      <c r="W762">
        <v>2</v>
      </c>
      <c r="X762" t="str">
        <f>_xlfn.XLOOKUP(Table1[[#This Row],[JobLevel]],Table12[JobLevel],Table12[Id_JobLevel])</f>
        <v>JL003</v>
      </c>
      <c r="Y762">
        <v>3</v>
      </c>
      <c r="Z762" t="str">
        <f>_xlfn.XLOOKUP(Table1[[#This Row],[JobRole]],Table13[JobRole],Table13[Id_JobRole])</f>
        <v>JR001</v>
      </c>
      <c r="AA762" t="s">
        <v>47</v>
      </c>
      <c r="AB762" t="str">
        <f>_xlfn.XLOOKUP(Table1[[#This Row],[JobSatisfaction]],Table14[JobSatisfaction],Table14[Id_JobSatisfaction])</f>
        <v>JS002</v>
      </c>
      <c r="AC762">
        <v>2</v>
      </c>
      <c r="AD762" t="str">
        <f>_xlfn.XLOOKUP(Table1[[#This Row],[JobSatisfaction]],Table14[JobSatisfaction],Table14[Deskripsi])</f>
        <v>Medium</v>
      </c>
      <c r="AE762" t="str">
        <f>_xlfn.XLOOKUP(Table1[[#This Row],[MaritalStatus]],Table15[MaritalStatus],Table15[Id_MaritalStatus])</f>
        <v>MS002</v>
      </c>
      <c r="AF762" t="s">
        <v>56</v>
      </c>
      <c r="AG762">
        <v>7525</v>
      </c>
      <c r="AH762">
        <v>23537</v>
      </c>
      <c r="AI762">
        <v>2</v>
      </c>
      <c r="AJ762" t="str">
        <f>_xlfn.XLOOKUP(Table1[[#This Row],[OverTime]],Table16[OverTime],Table16[Id_OverTime])</f>
        <v>OT002</v>
      </c>
      <c r="AK762" t="s">
        <v>33</v>
      </c>
      <c r="AL762">
        <v>12</v>
      </c>
      <c r="AM762" t="str">
        <f>_xlfn.XLOOKUP(Table1[[#This Row],[PerformanceRating]],Table17[PerformanceRating],Table17[Id_PerformanceRating])</f>
        <v>PR003</v>
      </c>
      <c r="AN762">
        <v>3</v>
      </c>
      <c r="AO762" t="str">
        <f>_xlfn.XLOOKUP(Table1[[#This Row],[PerformanceRating]],Table17[PerformanceRating],Table17[Deskripsi])</f>
        <v>Excellent</v>
      </c>
      <c r="AP762" t="str">
        <f>_xlfn.XLOOKUP(Table1[[#This Row],[RelationshipSatisfaction]],Table18[RelationshipSatisfaction],Table18[Id_RelationshipSatisfaction])</f>
        <v>RS001</v>
      </c>
      <c r="AQ762">
        <v>1</v>
      </c>
      <c r="AR762" t="str">
        <f>_xlfn.XLOOKUP(Table1[[#This Row],[RelationshipSatisfaction]],Table18[RelationshipSatisfaction],Table18[Deskripsi])</f>
        <v>Low</v>
      </c>
      <c r="AS762" t="str">
        <f>_xlfn.XLOOKUP(Table1[[#This Row],[StockOptionLevel]],Table19[StockOptionLevel],Table19[Id_StockOptionLevel])</f>
        <v>SOL002</v>
      </c>
      <c r="AT762">
        <v>1</v>
      </c>
      <c r="AU762" t="str">
        <f>_xlfn.XLOOKUP(Table1[[#This Row],[StockOptionLevel]],Table19[StockOptionLevel],Table19[Deskripsi])</f>
        <v>Standard</v>
      </c>
      <c r="AV762">
        <v>30</v>
      </c>
      <c r="AW762">
        <v>2</v>
      </c>
      <c r="AX762" t="str">
        <f>_xlfn.XLOOKUP(Table1[[#This Row],[WorkLifeBalance]],Table20[WorkLifeBalance],Table20[Id_WorkLifeBalance])</f>
        <v>WLB002</v>
      </c>
      <c r="AY762">
        <v>3</v>
      </c>
      <c r="AZ762" t="str">
        <f>_xlfn.XLOOKUP(Table1[[#This Row],[WorkLifeBalance]],Table20[WorkLifeBalance],Table20[Deskripsi])</f>
        <v>Good</v>
      </c>
      <c r="BA762">
        <v>15</v>
      </c>
      <c r="BB762">
        <v>7</v>
      </c>
      <c r="BC762">
        <v>6</v>
      </c>
      <c r="BD762">
        <v>12</v>
      </c>
    </row>
    <row r="763" spans="1:56" x14ac:dyDescent="0.25">
      <c r="A763">
        <v>36</v>
      </c>
      <c r="B763" t="str">
        <f>_xlfn.XLOOKUP(Table1[[#This Row],[Attrition]],Table2[Attrition],Table2[Id_Attrition])</f>
        <v>A001</v>
      </c>
      <c r="C763" t="s">
        <v>32</v>
      </c>
      <c r="D763" t="str">
        <f>_xlfn.XLOOKUP(Table1[[#This Row],[BusinessTravel]],Table5[BusinessTravel],Table5[Id_BusinessTravel])</f>
        <v>BS001</v>
      </c>
      <c r="E763" t="s">
        <v>34</v>
      </c>
      <c r="F763">
        <v>660</v>
      </c>
      <c r="G763" t="str">
        <f>_xlfn.XLOOKUP(Table1[[#This Row],[Department]],Table6[Department],Table6[Id_Departement])</f>
        <v>D002</v>
      </c>
      <c r="H763" t="s">
        <v>38</v>
      </c>
      <c r="I763">
        <v>15</v>
      </c>
      <c r="J763" t="str">
        <f>_xlfn.XLOOKUP(Table1[[#This Row],[Education]],Table8[Education],Table8[Id_Education])</f>
        <v>E003</v>
      </c>
      <c r="K763">
        <v>3</v>
      </c>
      <c r="L763" t="str">
        <f>_xlfn.XLOOKUP(Table1[[#This Row],[EducationField]],Table7[EducationField],Table7[Id_EducationField])</f>
        <v>EF002</v>
      </c>
      <c r="M763" t="s">
        <v>41</v>
      </c>
      <c r="N763" t="str">
        <f>_xlfn.XLOOKUP(Table1[[#This Row],[EmployeeNumber]],Table4[EmployeeNumber],Table4[Id_Employee])</f>
        <v>EMP00762</v>
      </c>
      <c r="O763">
        <v>1052</v>
      </c>
      <c r="P763" t="str">
        <f>_xlfn.XLOOKUP(Table1[[#This Row],[EnvironmentSatisfaction]],Table9[EnvironmentSatisfaction],Table9[Id_EnviromentSatisfaction])</f>
        <v>ES001</v>
      </c>
      <c r="Q763">
        <v>1</v>
      </c>
      <c r="R763" t="str">
        <f>_xlfn.XLOOKUP(Table1[[#This Row],[EnvironmentSatisfaction]],Table9[EnvironmentSatisfaction],Table9[Deskripsi])</f>
        <v>Low</v>
      </c>
      <c r="S763" t="str">
        <f>_xlfn.XLOOKUP(Table1[[#This Row],[Gender]],Table10[Gender],Table10[Id_Gender])</f>
        <v>G002</v>
      </c>
      <c r="T763" t="s">
        <v>46</v>
      </c>
      <c r="U763">
        <v>81</v>
      </c>
      <c r="V763" t="str">
        <f>_xlfn.XLOOKUP(Table1[[#This Row],[JobInvolvement]],Table11[JobInvolvement],Table11[Id_JobInvolvement])</f>
        <v>JI003</v>
      </c>
      <c r="W763">
        <v>3</v>
      </c>
      <c r="X763" t="str">
        <f>_xlfn.XLOOKUP(Table1[[#This Row],[JobLevel]],Table12[JobLevel],Table12[Id_JobLevel])</f>
        <v>JL002</v>
      </c>
      <c r="Y763">
        <v>2</v>
      </c>
      <c r="Z763" t="str">
        <f>_xlfn.XLOOKUP(Table1[[#This Row],[JobRole]],Table13[JobRole],Table13[Id_JobRole])</f>
        <v>JR003</v>
      </c>
      <c r="AA763" t="s">
        <v>49</v>
      </c>
      <c r="AB763" t="str">
        <f>_xlfn.XLOOKUP(Table1[[#This Row],[JobSatisfaction]],Table14[JobSatisfaction],Table14[Id_JobSatisfaction])</f>
        <v>JS003</v>
      </c>
      <c r="AC763">
        <v>3</v>
      </c>
      <c r="AD763" t="str">
        <f>_xlfn.XLOOKUP(Table1[[#This Row],[JobSatisfaction]],Table14[JobSatisfaction],Table14[Deskripsi])</f>
        <v>High</v>
      </c>
      <c r="AE763" t="str">
        <f>_xlfn.XLOOKUP(Table1[[#This Row],[MaritalStatus]],Table15[MaritalStatus],Table15[Id_MaritalStatus])</f>
        <v>MS003</v>
      </c>
      <c r="AF763" t="s">
        <v>57</v>
      </c>
      <c r="AG763">
        <v>4834</v>
      </c>
      <c r="AH763">
        <v>7858</v>
      </c>
      <c r="AI763">
        <v>7</v>
      </c>
      <c r="AJ763" t="str">
        <f>_xlfn.XLOOKUP(Table1[[#This Row],[OverTime]],Table16[OverTime],Table16[Id_OverTime])</f>
        <v>OT002</v>
      </c>
      <c r="AK763" t="s">
        <v>33</v>
      </c>
      <c r="AL763">
        <v>14</v>
      </c>
      <c r="AM763" t="str">
        <f>_xlfn.XLOOKUP(Table1[[#This Row],[PerformanceRating]],Table17[PerformanceRating],Table17[Id_PerformanceRating])</f>
        <v>PR003</v>
      </c>
      <c r="AN763">
        <v>3</v>
      </c>
      <c r="AO763" t="str">
        <f>_xlfn.XLOOKUP(Table1[[#This Row],[PerformanceRating]],Table17[PerformanceRating],Table17[Deskripsi])</f>
        <v>Excellent</v>
      </c>
      <c r="AP763" t="str">
        <f>_xlfn.XLOOKUP(Table1[[#This Row],[RelationshipSatisfaction]],Table18[RelationshipSatisfaction],Table18[Id_RelationshipSatisfaction])</f>
        <v>RS002</v>
      </c>
      <c r="AQ763">
        <v>2</v>
      </c>
      <c r="AR763" t="str">
        <f>_xlfn.XLOOKUP(Table1[[#This Row],[RelationshipSatisfaction]],Table18[RelationshipSatisfaction],Table18[Deskripsi])</f>
        <v>Medium</v>
      </c>
      <c r="AS763" t="str">
        <f>_xlfn.XLOOKUP(Table1[[#This Row],[StockOptionLevel]],Table19[StockOptionLevel],Table19[Id_StockOptionLevel])</f>
        <v>SOL002</v>
      </c>
      <c r="AT763">
        <v>1</v>
      </c>
      <c r="AU763" t="str">
        <f>_xlfn.XLOOKUP(Table1[[#This Row],[StockOptionLevel]],Table19[StockOptionLevel],Table19[Deskripsi])</f>
        <v>Standard</v>
      </c>
      <c r="AV763">
        <v>9</v>
      </c>
      <c r="AW763">
        <v>3</v>
      </c>
      <c r="AX763" t="str">
        <f>_xlfn.XLOOKUP(Table1[[#This Row],[WorkLifeBalance]],Table20[WorkLifeBalance],Table20[Id_WorkLifeBalance])</f>
        <v>WLB003</v>
      </c>
      <c r="AY763">
        <v>2</v>
      </c>
      <c r="AZ763" t="str">
        <f>_xlfn.XLOOKUP(Table1[[#This Row],[WorkLifeBalance]],Table20[WorkLifeBalance],Table20[Deskripsi])</f>
        <v>Better</v>
      </c>
      <c r="BA763">
        <v>1</v>
      </c>
      <c r="BB763">
        <v>0</v>
      </c>
      <c r="BC763">
        <v>0</v>
      </c>
      <c r="BD763">
        <v>0</v>
      </c>
    </row>
    <row r="764" spans="1:56" x14ac:dyDescent="0.25">
      <c r="A764">
        <v>26</v>
      </c>
      <c r="B764" t="str">
        <f>_xlfn.XLOOKUP(Table1[[#This Row],[Attrition]],Table2[Attrition],Table2[Id_Attrition])</f>
        <v>A001</v>
      </c>
      <c r="C764" t="s">
        <v>32</v>
      </c>
      <c r="D764" t="str">
        <f>_xlfn.XLOOKUP(Table1[[#This Row],[BusinessTravel]],Table5[BusinessTravel],Table5[Id_BusinessTravel])</f>
        <v>BS002</v>
      </c>
      <c r="E764" t="s">
        <v>35</v>
      </c>
      <c r="F764">
        <v>342</v>
      </c>
      <c r="G764" t="str">
        <f>_xlfn.XLOOKUP(Table1[[#This Row],[Department]],Table6[Department],Table6[Id_Departement])</f>
        <v>D002</v>
      </c>
      <c r="H764" t="s">
        <v>38</v>
      </c>
      <c r="I764">
        <v>2</v>
      </c>
      <c r="J764" t="str">
        <f>_xlfn.XLOOKUP(Table1[[#This Row],[Education]],Table8[Education],Table8[Id_Education])</f>
        <v>E003</v>
      </c>
      <c r="K764">
        <v>3</v>
      </c>
      <c r="L764" t="str">
        <f>_xlfn.XLOOKUP(Table1[[#This Row],[EducationField]],Table7[EducationField],Table7[Id_EducationField])</f>
        <v>EF001</v>
      </c>
      <c r="M764" t="s">
        <v>40</v>
      </c>
      <c r="N764" t="str">
        <f>_xlfn.XLOOKUP(Table1[[#This Row],[EmployeeNumber]],Table4[EmployeeNumber],Table4[Id_Employee])</f>
        <v>EMP00763</v>
      </c>
      <c r="O764">
        <v>1053</v>
      </c>
      <c r="P764" t="str">
        <f>_xlfn.XLOOKUP(Table1[[#This Row],[EnvironmentSatisfaction]],Table9[EnvironmentSatisfaction],Table9[Id_EnviromentSatisfaction])</f>
        <v>ES001</v>
      </c>
      <c r="Q764">
        <v>1</v>
      </c>
      <c r="R764" t="str">
        <f>_xlfn.XLOOKUP(Table1[[#This Row],[EnvironmentSatisfaction]],Table9[EnvironmentSatisfaction],Table9[Deskripsi])</f>
        <v>Low</v>
      </c>
      <c r="S764" t="str">
        <f>_xlfn.XLOOKUP(Table1[[#This Row],[Gender]],Table10[Gender],Table10[Id_Gender])</f>
        <v>G002</v>
      </c>
      <c r="T764" t="s">
        <v>46</v>
      </c>
      <c r="U764">
        <v>57</v>
      </c>
      <c r="V764" t="str">
        <f>_xlfn.XLOOKUP(Table1[[#This Row],[JobInvolvement]],Table11[JobInvolvement],Table11[Id_JobInvolvement])</f>
        <v>JI003</v>
      </c>
      <c r="W764">
        <v>3</v>
      </c>
      <c r="X764" t="str">
        <f>_xlfn.XLOOKUP(Table1[[#This Row],[JobLevel]],Table12[JobLevel],Table12[Id_JobLevel])</f>
        <v>JL001</v>
      </c>
      <c r="Y764">
        <v>1</v>
      </c>
      <c r="Z764" t="str">
        <f>_xlfn.XLOOKUP(Table1[[#This Row],[JobRole]],Table13[JobRole],Table13[Id_JobRole])</f>
        <v>JR002</v>
      </c>
      <c r="AA764" t="s">
        <v>48</v>
      </c>
      <c r="AB764" t="str">
        <f>_xlfn.XLOOKUP(Table1[[#This Row],[JobSatisfaction]],Table14[JobSatisfaction],Table14[Id_JobSatisfaction])</f>
        <v>JS001</v>
      </c>
      <c r="AC764">
        <v>1</v>
      </c>
      <c r="AD764" t="str">
        <f>_xlfn.XLOOKUP(Table1[[#This Row],[JobSatisfaction]],Table14[JobSatisfaction],Table14[Deskripsi])</f>
        <v>Low</v>
      </c>
      <c r="AE764" t="str">
        <f>_xlfn.XLOOKUP(Table1[[#This Row],[MaritalStatus]],Table15[MaritalStatus],Table15[Id_MaritalStatus])</f>
        <v>MS002</v>
      </c>
      <c r="AF764" t="s">
        <v>56</v>
      </c>
      <c r="AG764">
        <v>2042</v>
      </c>
      <c r="AH764">
        <v>15346</v>
      </c>
      <c r="AI764">
        <v>6</v>
      </c>
      <c r="AJ764" t="str">
        <f>_xlfn.XLOOKUP(Table1[[#This Row],[OverTime]],Table16[OverTime],Table16[Id_OverTime])</f>
        <v>OT001</v>
      </c>
      <c r="AK764" t="s">
        <v>32</v>
      </c>
      <c r="AL764">
        <v>14</v>
      </c>
      <c r="AM764" t="str">
        <f>_xlfn.XLOOKUP(Table1[[#This Row],[PerformanceRating]],Table17[PerformanceRating],Table17[Id_PerformanceRating])</f>
        <v>PR003</v>
      </c>
      <c r="AN764">
        <v>3</v>
      </c>
      <c r="AO764" t="str">
        <f>_xlfn.XLOOKUP(Table1[[#This Row],[PerformanceRating]],Table17[PerformanceRating],Table17[Deskripsi])</f>
        <v>Excellent</v>
      </c>
      <c r="AP764" t="str">
        <f>_xlfn.XLOOKUP(Table1[[#This Row],[RelationshipSatisfaction]],Table18[RelationshipSatisfaction],Table18[Id_RelationshipSatisfaction])</f>
        <v>RS002</v>
      </c>
      <c r="AQ764">
        <v>2</v>
      </c>
      <c r="AR764" t="str">
        <f>_xlfn.XLOOKUP(Table1[[#This Row],[RelationshipSatisfaction]],Table18[RelationshipSatisfaction],Table18[Deskripsi])</f>
        <v>Medium</v>
      </c>
      <c r="AS764" t="str">
        <f>_xlfn.XLOOKUP(Table1[[#This Row],[StockOptionLevel]],Table19[StockOptionLevel],Table19[Id_StockOptionLevel])</f>
        <v>SOL002</v>
      </c>
      <c r="AT764">
        <v>1</v>
      </c>
      <c r="AU764" t="str">
        <f>_xlfn.XLOOKUP(Table1[[#This Row],[StockOptionLevel]],Table19[StockOptionLevel],Table19[Deskripsi])</f>
        <v>Standard</v>
      </c>
      <c r="AV764">
        <v>6</v>
      </c>
      <c r="AW764">
        <v>2</v>
      </c>
      <c r="AX764" t="str">
        <f>_xlfn.XLOOKUP(Table1[[#This Row],[WorkLifeBalance]],Table20[WorkLifeBalance],Table20[Id_WorkLifeBalance])</f>
        <v>WLB002</v>
      </c>
      <c r="AY764">
        <v>3</v>
      </c>
      <c r="AZ764" t="str">
        <f>_xlfn.XLOOKUP(Table1[[#This Row],[WorkLifeBalance]],Table20[WorkLifeBalance],Table20[Deskripsi])</f>
        <v>Good</v>
      </c>
      <c r="BA764">
        <v>3</v>
      </c>
      <c r="BB764">
        <v>2</v>
      </c>
      <c r="BC764">
        <v>1</v>
      </c>
      <c r="BD764">
        <v>2</v>
      </c>
    </row>
    <row r="765" spans="1:56" x14ac:dyDescent="0.25">
      <c r="A765">
        <v>34</v>
      </c>
      <c r="B765" t="str">
        <f>_xlfn.XLOOKUP(Table1[[#This Row],[Attrition]],Table2[Attrition],Table2[Id_Attrition])</f>
        <v>A002</v>
      </c>
      <c r="C765" t="s">
        <v>33</v>
      </c>
      <c r="D765" t="str">
        <f>_xlfn.XLOOKUP(Table1[[#This Row],[BusinessTravel]],Table5[BusinessTravel],Table5[Id_BusinessTravel])</f>
        <v>BS001</v>
      </c>
      <c r="E765" t="s">
        <v>34</v>
      </c>
      <c r="F765">
        <v>1333</v>
      </c>
      <c r="G765" t="str">
        <f>_xlfn.XLOOKUP(Table1[[#This Row],[Department]],Table6[Department],Table6[Id_Departement])</f>
        <v>D001</v>
      </c>
      <c r="H765" t="s">
        <v>37</v>
      </c>
      <c r="I765">
        <v>10</v>
      </c>
      <c r="J765" t="str">
        <f>_xlfn.XLOOKUP(Table1[[#This Row],[Education]],Table8[Education],Table8[Id_Education])</f>
        <v>E004</v>
      </c>
      <c r="K765">
        <v>4</v>
      </c>
      <c r="L765" t="str">
        <f>_xlfn.XLOOKUP(Table1[[#This Row],[EducationField]],Table7[EducationField],Table7[Id_EducationField])</f>
        <v>EF001</v>
      </c>
      <c r="M765" t="s">
        <v>40</v>
      </c>
      <c r="N765" t="str">
        <f>_xlfn.XLOOKUP(Table1[[#This Row],[EmployeeNumber]],Table4[EmployeeNumber],Table4[Id_Employee])</f>
        <v>EMP00764</v>
      </c>
      <c r="O765">
        <v>1055</v>
      </c>
      <c r="P765" t="str">
        <f>_xlfn.XLOOKUP(Table1[[#This Row],[EnvironmentSatisfaction]],Table9[EnvironmentSatisfaction],Table9[Id_EnviromentSatisfaction])</f>
        <v>ES003</v>
      </c>
      <c r="Q765">
        <v>3</v>
      </c>
      <c r="R765" t="str">
        <f>_xlfn.XLOOKUP(Table1[[#This Row],[EnvironmentSatisfaction]],Table9[EnvironmentSatisfaction],Table9[Deskripsi])</f>
        <v>High</v>
      </c>
      <c r="S765" t="str">
        <f>_xlfn.XLOOKUP(Table1[[#This Row],[Gender]],Table10[Gender],Table10[Id_Gender])</f>
        <v>G001</v>
      </c>
      <c r="T765" t="s">
        <v>45</v>
      </c>
      <c r="U765">
        <v>87</v>
      </c>
      <c r="V765" t="str">
        <f>_xlfn.XLOOKUP(Table1[[#This Row],[JobInvolvement]],Table11[JobInvolvement],Table11[Id_JobInvolvement])</f>
        <v>JI003</v>
      </c>
      <c r="W765">
        <v>3</v>
      </c>
      <c r="X765" t="str">
        <f>_xlfn.XLOOKUP(Table1[[#This Row],[JobLevel]],Table12[JobLevel],Table12[Id_JobLevel])</f>
        <v>JL001</v>
      </c>
      <c r="Y765">
        <v>1</v>
      </c>
      <c r="Z765" t="str">
        <f>_xlfn.XLOOKUP(Table1[[#This Row],[JobRole]],Table13[JobRole],Table13[Id_JobRole])</f>
        <v>JR007</v>
      </c>
      <c r="AA765" t="s">
        <v>53</v>
      </c>
      <c r="AB765" t="str">
        <f>_xlfn.XLOOKUP(Table1[[#This Row],[JobSatisfaction]],Table14[JobSatisfaction],Table14[Id_JobSatisfaction])</f>
        <v>JS003</v>
      </c>
      <c r="AC765">
        <v>3</v>
      </c>
      <c r="AD765" t="str">
        <f>_xlfn.XLOOKUP(Table1[[#This Row],[JobSatisfaction]],Table14[JobSatisfaction],Table14[Deskripsi])</f>
        <v>High</v>
      </c>
      <c r="AE765" t="str">
        <f>_xlfn.XLOOKUP(Table1[[#This Row],[MaritalStatus]],Table15[MaritalStatus],Table15[Id_MaritalStatus])</f>
        <v>MS002</v>
      </c>
      <c r="AF765" t="s">
        <v>56</v>
      </c>
      <c r="AG765">
        <v>2220</v>
      </c>
      <c r="AH765">
        <v>18410</v>
      </c>
      <c r="AI765">
        <v>1</v>
      </c>
      <c r="AJ765" t="str">
        <f>_xlfn.XLOOKUP(Table1[[#This Row],[OverTime]],Table16[OverTime],Table16[Id_OverTime])</f>
        <v>OT001</v>
      </c>
      <c r="AK765" t="s">
        <v>32</v>
      </c>
      <c r="AL765">
        <v>19</v>
      </c>
      <c r="AM765" t="str">
        <f>_xlfn.XLOOKUP(Table1[[#This Row],[PerformanceRating]],Table17[PerformanceRating],Table17[Id_PerformanceRating])</f>
        <v>PR003</v>
      </c>
      <c r="AN765">
        <v>3</v>
      </c>
      <c r="AO765" t="str">
        <f>_xlfn.XLOOKUP(Table1[[#This Row],[PerformanceRating]],Table17[PerformanceRating],Table17[Deskripsi])</f>
        <v>Excellent</v>
      </c>
      <c r="AP765" t="str">
        <f>_xlfn.XLOOKUP(Table1[[#This Row],[RelationshipSatisfaction]],Table18[RelationshipSatisfaction],Table18[Id_RelationshipSatisfaction])</f>
        <v>RS004</v>
      </c>
      <c r="AQ765">
        <v>4</v>
      </c>
      <c r="AR765" t="str">
        <f>_xlfn.XLOOKUP(Table1[[#This Row],[RelationshipSatisfaction]],Table18[RelationshipSatisfaction],Table18[Deskripsi])</f>
        <v>Very High</v>
      </c>
      <c r="AS765" t="str">
        <f>_xlfn.XLOOKUP(Table1[[#This Row],[StockOptionLevel]],Table19[StockOptionLevel],Table19[Id_StockOptionLevel])</f>
        <v>SOL002</v>
      </c>
      <c r="AT765">
        <v>1</v>
      </c>
      <c r="AU765" t="str">
        <f>_xlfn.XLOOKUP(Table1[[#This Row],[StockOptionLevel]],Table19[StockOptionLevel],Table19[Deskripsi])</f>
        <v>Standard</v>
      </c>
      <c r="AV765">
        <v>1</v>
      </c>
      <c r="AW765">
        <v>2</v>
      </c>
      <c r="AX765" t="str">
        <f>_xlfn.XLOOKUP(Table1[[#This Row],[WorkLifeBalance]],Table20[WorkLifeBalance],Table20[Id_WorkLifeBalance])</f>
        <v>WLB002</v>
      </c>
      <c r="AY765">
        <v>3</v>
      </c>
      <c r="AZ765" t="str">
        <f>_xlfn.XLOOKUP(Table1[[#This Row],[WorkLifeBalance]],Table20[WorkLifeBalance],Table20[Deskripsi])</f>
        <v>Good</v>
      </c>
      <c r="BA765">
        <v>1</v>
      </c>
      <c r="BB765">
        <v>1</v>
      </c>
      <c r="BC765">
        <v>0</v>
      </c>
      <c r="BD765">
        <v>0</v>
      </c>
    </row>
    <row r="766" spans="1:56" x14ac:dyDescent="0.25">
      <c r="A766">
        <v>28</v>
      </c>
      <c r="B766" t="str">
        <f>_xlfn.XLOOKUP(Table1[[#This Row],[Attrition]],Table2[Attrition],Table2[Id_Attrition])</f>
        <v>A002</v>
      </c>
      <c r="C766" t="s">
        <v>33</v>
      </c>
      <c r="D766" t="str">
        <f>_xlfn.XLOOKUP(Table1[[#This Row],[BusinessTravel]],Table5[BusinessTravel],Table5[Id_BusinessTravel])</f>
        <v>BS001</v>
      </c>
      <c r="E766" t="s">
        <v>34</v>
      </c>
      <c r="F766">
        <v>1144</v>
      </c>
      <c r="G766" t="str">
        <f>_xlfn.XLOOKUP(Table1[[#This Row],[Department]],Table6[Department],Table6[Id_Departement])</f>
        <v>D001</v>
      </c>
      <c r="H766" t="s">
        <v>37</v>
      </c>
      <c r="I766">
        <v>10</v>
      </c>
      <c r="J766" t="str">
        <f>_xlfn.XLOOKUP(Table1[[#This Row],[Education]],Table8[Education],Table8[Id_Education])</f>
        <v>E001</v>
      </c>
      <c r="K766">
        <v>1</v>
      </c>
      <c r="L766" t="str">
        <f>_xlfn.XLOOKUP(Table1[[#This Row],[EducationField]],Table7[EducationField],Table7[Id_EducationField])</f>
        <v>EF003</v>
      </c>
      <c r="M766" t="s">
        <v>42</v>
      </c>
      <c r="N766" t="str">
        <f>_xlfn.XLOOKUP(Table1[[#This Row],[EmployeeNumber]],Table4[EmployeeNumber],Table4[Id_Employee])</f>
        <v>EMP00765</v>
      </c>
      <c r="O766">
        <v>1056</v>
      </c>
      <c r="P766" t="str">
        <f>_xlfn.XLOOKUP(Table1[[#This Row],[EnvironmentSatisfaction]],Table9[EnvironmentSatisfaction],Table9[Id_EnviromentSatisfaction])</f>
        <v>ES004</v>
      </c>
      <c r="Q766">
        <v>4</v>
      </c>
      <c r="R766" t="str">
        <f>_xlfn.XLOOKUP(Table1[[#This Row],[EnvironmentSatisfaction]],Table9[EnvironmentSatisfaction],Table9[Deskripsi])</f>
        <v>Very High</v>
      </c>
      <c r="S766" t="str">
        <f>_xlfn.XLOOKUP(Table1[[#This Row],[Gender]],Table10[Gender],Table10[Id_Gender])</f>
        <v>G002</v>
      </c>
      <c r="T766" t="s">
        <v>46</v>
      </c>
      <c r="U766">
        <v>74</v>
      </c>
      <c r="V766" t="str">
        <f>_xlfn.XLOOKUP(Table1[[#This Row],[JobInvolvement]],Table11[JobInvolvement],Table11[Id_JobInvolvement])</f>
        <v>JI003</v>
      </c>
      <c r="W766">
        <v>3</v>
      </c>
      <c r="X766" t="str">
        <f>_xlfn.XLOOKUP(Table1[[#This Row],[JobLevel]],Table12[JobLevel],Table12[Id_JobLevel])</f>
        <v>JL001</v>
      </c>
      <c r="Y766">
        <v>1</v>
      </c>
      <c r="Z766" t="str">
        <f>_xlfn.XLOOKUP(Table1[[#This Row],[JobRole]],Table13[JobRole],Table13[Id_JobRole])</f>
        <v>JR007</v>
      </c>
      <c r="AA766" t="s">
        <v>53</v>
      </c>
      <c r="AB766" t="str">
        <f>_xlfn.XLOOKUP(Table1[[#This Row],[JobSatisfaction]],Table14[JobSatisfaction],Table14[Id_JobSatisfaction])</f>
        <v>JS002</v>
      </c>
      <c r="AC766">
        <v>2</v>
      </c>
      <c r="AD766" t="str">
        <f>_xlfn.XLOOKUP(Table1[[#This Row],[JobSatisfaction]],Table14[JobSatisfaction],Table14[Deskripsi])</f>
        <v>Medium</v>
      </c>
      <c r="AE766" t="str">
        <f>_xlfn.XLOOKUP(Table1[[#This Row],[MaritalStatus]],Table15[MaritalStatus],Table15[Id_MaritalStatus])</f>
        <v>MS002</v>
      </c>
      <c r="AF766" t="s">
        <v>56</v>
      </c>
      <c r="AG766">
        <v>1052</v>
      </c>
      <c r="AH766">
        <v>23384</v>
      </c>
      <c r="AI766">
        <v>1</v>
      </c>
      <c r="AJ766" t="str">
        <f>_xlfn.XLOOKUP(Table1[[#This Row],[OverTime]],Table16[OverTime],Table16[Id_OverTime])</f>
        <v>OT002</v>
      </c>
      <c r="AK766" t="s">
        <v>33</v>
      </c>
      <c r="AL766">
        <v>22</v>
      </c>
      <c r="AM766" t="str">
        <f>_xlfn.XLOOKUP(Table1[[#This Row],[PerformanceRating]],Table17[PerformanceRating],Table17[Id_PerformanceRating])</f>
        <v>PR004</v>
      </c>
      <c r="AN766">
        <v>4</v>
      </c>
      <c r="AO766" t="str">
        <f>_xlfn.XLOOKUP(Table1[[#This Row],[PerformanceRating]],Table17[PerformanceRating],Table17[Deskripsi])</f>
        <v>Outstanding</v>
      </c>
      <c r="AP766" t="str">
        <f>_xlfn.XLOOKUP(Table1[[#This Row],[RelationshipSatisfaction]],Table18[RelationshipSatisfaction],Table18[Id_RelationshipSatisfaction])</f>
        <v>RS002</v>
      </c>
      <c r="AQ766">
        <v>2</v>
      </c>
      <c r="AR766" t="str">
        <f>_xlfn.XLOOKUP(Table1[[#This Row],[RelationshipSatisfaction]],Table18[RelationshipSatisfaction],Table18[Deskripsi])</f>
        <v>Medium</v>
      </c>
      <c r="AS766" t="str">
        <f>_xlfn.XLOOKUP(Table1[[#This Row],[StockOptionLevel]],Table19[StockOptionLevel],Table19[Id_StockOptionLevel])</f>
        <v>SOL001</v>
      </c>
      <c r="AT766">
        <v>0</v>
      </c>
      <c r="AU766" t="str">
        <f>_xlfn.XLOOKUP(Table1[[#This Row],[StockOptionLevel]],Table19[StockOptionLevel],Table19[Deskripsi])</f>
        <v>Non-Eligible</v>
      </c>
      <c r="AV766">
        <v>1</v>
      </c>
      <c r="AW766">
        <v>5</v>
      </c>
      <c r="AX766" t="str">
        <f>_xlfn.XLOOKUP(Table1[[#This Row],[WorkLifeBalance]],Table20[WorkLifeBalance],Table20[Id_WorkLifeBalance])</f>
        <v>WLB002</v>
      </c>
      <c r="AY766">
        <v>3</v>
      </c>
      <c r="AZ766" t="str">
        <f>_xlfn.XLOOKUP(Table1[[#This Row],[WorkLifeBalance]],Table20[WorkLifeBalance],Table20[Deskripsi])</f>
        <v>Good</v>
      </c>
      <c r="BA766">
        <v>1</v>
      </c>
      <c r="BB766">
        <v>0</v>
      </c>
      <c r="BC766">
        <v>0</v>
      </c>
      <c r="BD766">
        <v>0</v>
      </c>
    </row>
    <row r="767" spans="1:56" x14ac:dyDescent="0.25">
      <c r="A767">
        <v>38</v>
      </c>
      <c r="B767" t="str">
        <f>_xlfn.XLOOKUP(Table1[[#This Row],[Attrition]],Table2[Attrition],Table2[Id_Attrition])</f>
        <v>A002</v>
      </c>
      <c r="C767" t="s">
        <v>33</v>
      </c>
      <c r="D767" t="str">
        <f>_xlfn.XLOOKUP(Table1[[#This Row],[BusinessTravel]],Table5[BusinessTravel],Table5[Id_BusinessTravel])</f>
        <v>BS002</v>
      </c>
      <c r="E767" t="s">
        <v>35</v>
      </c>
      <c r="F767">
        <v>1186</v>
      </c>
      <c r="G767" t="str">
        <f>_xlfn.XLOOKUP(Table1[[#This Row],[Department]],Table6[Department],Table6[Id_Departement])</f>
        <v>D002</v>
      </c>
      <c r="H767" t="s">
        <v>38</v>
      </c>
      <c r="I767">
        <v>3</v>
      </c>
      <c r="J767" t="str">
        <f>_xlfn.XLOOKUP(Table1[[#This Row],[Education]],Table8[Education],Table8[Id_Education])</f>
        <v>E004</v>
      </c>
      <c r="K767">
        <v>4</v>
      </c>
      <c r="L767" t="str">
        <f>_xlfn.XLOOKUP(Table1[[#This Row],[EducationField]],Table7[EducationField],Table7[Id_EducationField])</f>
        <v>EF002</v>
      </c>
      <c r="M767" t="s">
        <v>41</v>
      </c>
      <c r="N767" t="str">
        <f>_xlfn.XLOOKUP(Table1[[#This Row],[EmployeeNumber]],Table4[EmployeeNumber],Table4[Id_Employee])</f>
        <v>EMP00766</v>
      </c>
      <c r="O767">
        <v>1060</v>
      </c>
      <c r="P767" t="str">
        <f>_xlfn.XLOOKUP(Table1[[#This Row],[EnvironmentSatisfaction]],Table9[EnvironmentSatisfaction],Table9[Id_EnviromentSatisfaction])</f>
        <v>ES003</v>
      </c>
      <c r="Q767">
        <v>3</v>
      </c>
      <c r="R767" t="str">
        <f>_xlfn.XLOOKUP(Table1[[#This Row],[EnvironmentSatisfaction]],Table9[EnvironmentSatisfaction],Table9[Deskripsi])</f>
        <v>High</v>
      </c>
      <c r="S767" t="str">
        <f>_xlfn.XLOOKUP(Table1[[#This Row],[Gender]],Table10[Gender],Table10[Id_Gender])</f>
        <v>G002</v>
      </c>
      <c r="T767" t="s">
        <v>46</v>
      </c>
      <c r="U767">
        <v>44</v>
      </c>
      <c r="V767" t="str">
        <f>_xlfn.XLOOKUP(Table1[[#This Row],[JobInvolvement]],Table11[JobInvolvement],Table11[Id_JobInvolvement])</f>
        <v>JI003</v>
      </c>
      <c r="W767">
        <v>3</v>
      </c>
      <c r="X767" t="str">
        <f>_xlfn.XLOOKUP(Table1[[#This Row],[JobLevel]],Table12[JobLevel],Table12[Id_JobLevel])</f>
        <v>JL001</v>
      </c>
      <c r="Y767">
        <v>1</v>
      </c>
      <c r="Z767" t="str">
        <f>_xlfn.XLOOKUP(Table1[[#This Row],[JobRole]],Table13[JobRole],Table13[Id_JobRole])</f>
        <v>JR002</v>
      </c>
      <c r="AA767" t="s">
        <v>48</v>
      </c>
      <c r="AB767" t="str">
        <f>_xlfn.XLOOKUP(Table1[[#This Row],[JobSatisfaction]],Table14[JobSatisfaction],Table14[Id_JobSatisfaction])</f>
        <v>JS003</v>
      </c>
      <c r="AC767">
        <v>3</v>
      </c>
      <c r="AD767" t="str">
        <f>_xlfn.XLOOKUP(Table1[[#This Row],[JobSatisfaction]],Table14[JobSatisfaction],Table14[Deskripsi])</f>
        <v>High</v>
      </c>
      <c r="AE767" t="str">
        <f>_xlfn.XLOOKUP(Table1[[#This Row],[MaritalStatus]],Table15[MaritalStatus],Table15[Id_MaritalStatus])</f>
        <v>MS002</v>
      </c>
      <c r="AF767" t="s">
        <v>56</v>
      </c>
      <c r="AG767">
        <v>2821</v>
      </c>
      <c r="AH767">
        <v>2997</v>
      </c>
      <c r="AI767">
        <v>3</v>
      </c>
      <c r="AJ767" t="str">
        <f>_xlfn.XLOOKUP(Table1[[#This Row],[OverTime]],Table16[OverTime],Table16[Id_OverTime])</f>
        <v>OT002</v>
      </c>
      <c r="AK767" t="s">
        <v>33</v>
      </c>
      <c r="AL767">
        <v>16</v>
      </c>
      <c r="AM767" t="str">
        <f>_xlfn.XLOOKUP(Table1[[#This Row],[PerformanceRating]],Table17[PerformanceRating],Table17[Id_PerformanceRating])</f>
        <v>PR003</v>
      </c>
      <c r="AN767">
        <v>3</v>
      </c>
      <c r="AO767" t="str">
        <f>_xlfn.XLOOKUP(Table1[[#This Row],[PerformanceRating]],Table17[PerformanceRating],Table17[Deskripsi])</f>
        <v>Excellent</v>
      </c>
      <c r="AP767" t="str">
        <f>_xlfn.XLOOKUP(Table1[[#This Row],[RelationshipSatisfaction]],Table18[RelationshipSatisfaction],Table18[Id_RelationshipSatisfaction])</f>
        <v>RS001</v>
      </c>
      <c r="AQ767">
        <v>1</v>
      </c>
      <c r="AR767" t="str">
        <f>_xlfn.XLOOKUP(Table1[[#This Row],[RelationshipSatisfaction]],Table18[RelationshipSatisfaction],Table18[Deskripsi])</f>
        <v>Low</v>
      </c>
      <c r="AS767" t="str">
        <f>_xlfn.XLOOKUP(Table1[[#This Row],[StockOptionLevel]],Table19[StockOptionLevel],Table19[Id_StockOptionLevel])</f>
        <v>SOL002</v>
      </c>
      <c r="AT767">
        <v>1</v>
      </c>
      <c r="AU767" t="str">
        <f>_xlfn.XLOOKUP(Table1[[#This Row],[StockOptionLevel]],Table19[StockOptionLevel],Table19[Deskripsi])</f>
        <v>Standard</v>
      </c>
      <c r="AV767">
        <v>8</v>
      </c>
      <c r="AW767">
        <v>2</v>
      </c>
      <c r="AX767" t="str">
        <f>_xlfn.XLOOKUP(Table1[[#This Row],[WorkLifeBalance]],Table20[WorkLifeBalance],Table20[Id_WorkLifeBalance])</f>
        <v>WLB002</v>
      </c>
      <c r="AY767">
        <v>3</v>
      </c>
      <c r="AZ767" t="str">
        <f>_xlfn.XLOOKUP(Table1[[#This Row],[WorkLifeBalance]],Table20[WorkLifeBalance],Table20[Deskripsi])</f>
        <v>Good</v>
      </c>
      <c r="BA767">
        <v>2</v>
      </c>
      <c r="BB767">
        <v>2</v>
      </c>
      <c r="BC767">
        <v>2</v>
      </c>
      <c r="BD767">
        <v>2</v>
      </c>
    </row>
    <row r="768" spans="1:56" x14ac:dyDescent="0.25">
      <c r="A768">
        <v>50</v>
      </c>
      <c r="B768" t="str">
        <f>_xlfn.XLOOKUP(Table1[[#This Row],[Attrition]],Table2[Attrition],Table2[Id_Attrition])</f>
        <v>A002</v>
      </c>
      <c r="C768" t="s">
        <v>33</v>
      </c>
      <c r="D768" t="str">
        <f>_xlfn.XLOOKUP(Table1[[#This Row],[BusinessTravel]],Table5[BusinessTravel],Table5[Id_BusinessTravel])</f>
        <v>BS001</v>
      </c>
      <c r="E768" t="s">
        <v>34</v>
      </c>
      <c r="F768">
        <v>1464</v>
      </c>
      <c r="G768" t="str">
        <f>_xlfn.XLOOKUP(Table1[[#This Row],[Department]],Table6[Department],Table6[Id_Departement])</f>
        <v>D002</v>
      </c>
      <c r="H768" t="s">
        <v>38</v>
      </c>
      <c r="I768">
        <v>2</v>
      </c>
      <c r="J768" t="str">
        <f>_xlfn.XLOOKUP(Table1[[#This Row],[Education]],Table8[Education],Table8[Id_Education])</f>
        <v>E004</v>
      </c>
      <c r="K768">
        <v>4</v>
      </c>
      <c r="L768" t="str">
        <f>_xlfn.XLOOKUP(Table1[[#This Row],[EducationField]],Table7[EducationField],Table7[Id_EducationField])</f>
        <v>EF003</v>
      </c>
      <c r="M768" t="s">
        <v>42</v>
      </c>
      <c r="N768" t="str">
        <f>_xlfn.XLOOKUP(Table1[[#This Row],[EmployeeNumber]],Table4[EmployeeNumber],Table4[Id_Employee])</f>
        <v>EMP00767</v>
      </c>
      <c r="O768">
        <v>1061</v>
      </c>
      <c r="P768" t="str">
        <f>_xlfn.XLOOKUP(Table1[[#This Row],[EnvironmentSatisfaction]],Table9[EnvironmentSatisfaction],Table9[Id_EnviromentSatisfaction])</f>
        <v>ES002</v>
      </c>
      <c r="Q768">
        <v>2</v>
      </c>
      <c r="R768" t="str">
        <f>_xlfn.XLOOKUP(Table1[[#This Row],[EnvironmentSatisfaction]],Table9[EnvironmentSatisfaction],Table9[Deskripsi])</f>
        <v>Medium</v>
      </c>
      <c r="S768" t="str">
        <f>_xlfn.XLOOKUP(Table1[[#This Row],[Gender]],Table10[Gender],Table10[Id_Gender])</f>
        <v>G002</v>
      </c>
      <c r="T768" t="s">
        <v>46</v>
      </c>
      <c r="U768">
        <v>62</v>
      </c>
      <c r="V768" t="str">
        <f>_xlfn.XLOOKUP(Table1[[#This Row],[JobInvolvement]],Table11[JobInvolvement],Table11[Id_JobInvolvement])</f>
        <v>JI003</v>
      </c>
      <c r="W768">
        <v>3</v>
      </c>
      <c r="X768" t="str">
        <f>_xlfn.XLOOKUP(Table1[[#This Row],[JobLevel]],Table12[JobLevel],Table12[Id_JobLevel])</f>
        <v>JL005</v>
      </c>
      <c r="Y768">
        <v>5</v>
      </c>
      <c r="Z768" t="str">
        <f>_xlfn.XLOOKUP(Table1[[#This Row],[JobRole]],Table13[JobRole],Table13[Id_JobRole])</f>
        <v>JR008</v>
      </c>
      <c r="AA768" t="s">
        <v>54</v>
      </c>
      <c r="AB768" t="str">
        <f>_xlfn.XLOOKUP(Table1[[#This Row],[JobSatisfaction]],Table14[JobSatisfaction],Table14[Id_JobSatisfaction])</f>
        <v>JS003</v>
      </c>
      <c r="AC768">
        <v>3</v>
      </c>
      <c r="AD768" t="str">
        <f>_xlfn.XLOOKUP(Table1[[#This Row],[JobSatisfaction]],Table14[JobSatisfaction],Table14[Deskripsi])</f>
        <v>High</v>
      </c>
      <c r="AE768" t="str">
        <f>_xlfn.XLOOKUP(Table1[[#This Row],[MaritalStatus]],Table15[MaritalStatus],Table15[Id_MaritalStatus])</f>
        <v>MS002</v>
      </c>
      <c r="AF768" t="s">
        <v>56</v>
      </c>
      <c r="AG768">
        <v>19237</v>
      </c>
      <c r="AH768">
        <v>12853</v>
      </c>
      <c r="AI768">
        <v>2</v>
      </c>
      <c r="AJ768" t="str">
        <f>_xlfn.XLOOKUP(Table1[[#This Row],[OverTime]],Table16[OverTime],Table16[Id_OverTime])</f>
        <v>OT001</v>
      </c>
      <c r="AK768" t="s">
        <v>32</v>
      </c>
      <c r="AL768">
        <v>11</v>
      </c>
      <c r="AM768" t="str">
        <f>_xlfn.XLOOKUP(Table1[[#This Row],[PerformanceRating]],Table17[PerformanceRating],Table17[Id_PerformanceRating])</f>
        <v>PR003</v>
      </c>
      <c r="AN768">
        <v>3</v>
      </c>
      <c r="AO768" t="str">
        <f>_xlfn.XLOOKUP(Table1[[#This Row],[PerformanceRating]],Table17[PerformanceRating],Table17[Deskripsi])</f>
        <v>Excellent</v>
      </c>
      <c r="AP768" t="str">
        <f>_xlfn.XLOOKUP(Table1[[#This Row],[RelationshipSatisfaction]],Table18[RelationshipSatisfaction],Table18[Id_RelationshipSatisfaction])</f>
        <v>RS004</v>
      </c>
      <c r="AQ768">
        <v>4</v>
      </c>
      <c r="AR768" t="str">
        <f>_xlfn.XLOOKUP(Table1[[#This Row],[RelationshipSatisfaction]],Table18[RelationshipSatisfaction],Table18[Deskripsi])</f>
        <v>Very High</v>
      </c>
      <c r="AS768" t="str">
        <f>_xlfn.XLOOKUP(Table1[[#This Row],[StockOptionLevel]],Table19[StockOptionLevel],Table19[Id_StockOptionLevel])</f>
        <v>SOL002</v>
      </c>
      <c r="AT768">
        <v>1</v>
      </c>
      <c r="AU768" t="str">
        <f>_xlfn.XLOOKUP(Table1[[#This Row],[StockOptionLevel]],Table19[StockOptionLevel],Table19[Deskripsi])</f>
        <v>Standard</v>
      </c>
      <c r="AV768">
        <v>29</v>
      </c>
      <c r="AW768">
        <v>2</v>
      </c>
      <c r="AX768" t="str">
        <f>_xlfn.XLOOKUP(Table1[[#This Row],[WorkLifeBalance]],Table20[WorkLifeBalance],Table20[Id_WorkLifeBalance])</f>
        <v>WLB003</v>
      </c>
      <c r="AY768">
        <v>2</v>
      </c>
      <c r="AZ768" t="str">
        <f>_xlfn.XLOOKUP(Table1[[#This Row],[WorkLifeBalance]],Table20[WorkLifeBalance],Table20[Deskripsi])</f>
        <v>Better</v>
      </c>
      <c r="BA768">
        <v>8</v>
      </c>
      <c r="BB768">
        <v>1</v>
      </c>
      <c r="BC768">
        <v>7</v>
      </c>
      <c r="BD768">
        <v>7</v>
      </c>
    </row>
    <row r="769" spans="1:56" x14ac:dyDescent="0.25">
      <c r="A769">
        <v>37</v>
      </c>
      <c r="B769" t="str">
        <f>_xlfn.XLOOKUP(Table1[[#This Row],[Attrition]],Table2[Attrition],Table2[Id_Attrition])</f>
        <v>A002</v>
      </c>
      <c r="C769" t="s">
        <v>33</v>
      </c>
      <c r="D769" t="str">
        <f>_xlfn.XLOOKUP(Table1[[#This Row],[BusinessTravel]],Table5[BusinessTravel],Table5[Id_BusinessTravel])</f>
        <v>BS001</v>
      </c>
      <c r="E769" t="s">
        <v>34</v>
      </c>
      <c r="F769">
        <v>124</v>
      </c>
      <c r="G769" t="str">
        <f>_xlfn.XLOOKUP(Table1[[#This Row],[Department]],Table6[Department],Table6[Id_Departement])</f>
        <v>D002</v>
      </c>
      <c r="H769" t="s">
        <v>38</v>
      </c>
      <c r="I769">
        <v>3</v>
      </c>
      <c r="J769" t="str">
        <f>_xlfn.XLOOKUP(Table1[[#This Row],[Education]],Table8[Education],Table8[Id_Education])</f>
        <v>E003</v>
      </c>
      <c r="K769">
        <v>3</v>
      </c>
      <c r="L769" t="str">
        <f>_xlfn.XLOOKUP(Table1[[#This Row],[EducationField]],Table7[EducationField],Table7[Id_EducationField])</f>
        <v>EF002</v>
      </c>
      <c r="M769" t="s">
        <v>41</v>
      </c>
      <c r="N769" t="str">
        <f>_xlfn.XLOOKUP(Table1[[#This Row],[EmployeeNumber]],Table4[EmployeeNumber],Table4[Id_Employee])</f>
        <v>EMP00768</v>
      </c>
      <c r="O769">
        <v>1062</v>
      </c>
      <c r="P769" t="str">
        <f>_xlfn.XLOOKUP(Table1[[#This Row],[EnvironmentSatisfaction]],Table9[EnvironmentSatisfaction],Table9[Id_EnviromentSatisfaction])</f>
        <v>ES004</v>
      </c>
      <c r="Q769">
        <v>4</v>
      </c>
      <c r="R769" t="str">
        <f>_xlfn.XLOOKUP(Table1[[#This Row],[EnvironmentSatisfaction]],Table9[EnvironmentSatisfaction],Table9[Deskripsi])</f>
        <v>Very High</v>
      </c>
      <c r="S769" t="str">
        <f>_xlfn.XLOOKUP(Table1[[#This Row],[Gender]],Table10[Gender],Table10[Id_Gender])</f>
        <v>G001</v>
      </c>
      <c r="T769" t="s">
        <v>45</v>
      </c>
      <c r="U769">
        <v>35</v>
      </c>
      <c r="V769" t="str">
        <f>_xlfn.XLOOKUP(Table1[[#This Row],[JobInvolvement]],Table11[JobInvolvement],Table11[Id_JobInvolvement])</f>
        <v>JI003</v>
      </c>
      <c r="W769">
        <v>3</v>
      </c>
      <c r="X769" t="str">
        <f>_xlfn.XLOOKUP(Table1[[#This Row],[JobLevel]],Table12[JobLevel],Table12[Id_JobLevel])</f>
        <v>JL002</v>
      </c>
      <c r="Y769">
        <v>2</v>
      </c>
      <c r="Z769" t="str">
        <f>_xlfn.XLOOKUP(Table1[[#This Row],[JobRole]],Table13[JobRole],Table13[Id_JobRole])</f>
        <v>JR005</v>
      </c>
      <c r="AA769" t="s">
        <v>51</v>
      </c>
      <c r="AB769" t="str">
        <f>_xlfn.XLOOKUP(Table1[[#This Row],[JobSatisfaction]],Table14[JobSatisfaction],Table14[Id_JobSatisfaction])</f>
        <v>JS002</v>
      </c>
      <c r="AC769">
        <v>2</v>
      </c>
      <c r="AD769" t="str">
        <f>_xlfn.XLOOKUP(Table1[[#This Row],[JobSatisfaction]],Table14[JobSatisfaction],Table14[Deskripsi])</f>
        <v>Medium</v>
      </c>
      <c r="AE769" t="str">
        <f>_xlfn.XLOOKUP(Table1[[#This Row],[MaritalStatus]],Table15[MaritalStatus],Table15[Id_MaritalStatus])</f>
        <v>MS001</v>
      </c>
      <c r="AF769" t="s">
        <v>55</v>
      </c>
      <c r="AG769">
        <v>4107</v>
      </c>
      <c r="AH769">
        <v>13848</v>
      </c>
      <c r="AI769">
        <v>3</v>
      </c>
      <c r="AJ769" t="str">
        <f>_xlfn.XLOOKUP(Table1[[#This Row],[OverTime]],Table16[OverTime],Table16[Id_OverTime])</f>
        <v>OT002</v>
      </c>
      <c r="AK769" t="s">
        <v>33</v>
      </c>
      <c r="AL769">
        <v>15</v>
      </c>
      <c r="AM769" t="str">
        <f>_xlfn.XLOOKUP(Table1[[#This Row],[PerformanceRating]],Table17[PerformanceRating],Table17[Id_PerformanceRating])</f>
        <v>PR003</v>
      </c>
      <c r="AN769">
        <v>3</v>
      </c>
      <c r="AO769" t="str">
        <f>_xlfn.XLOOKUP(Table1[[#This Row],[PerformanceRating]],Table17[PerformanceRating],Table17[Deskripsi])</f>
        <v>Excellent</v>
      </c>
      <c r="AP769" t="str">
        <f>_xlfn.XLOOKUP(Table1[[#This Row],[RelationshipSatisfaction]],Table18[RelationshipSatisfaction],Table18[Id_RelationshipSatisfaction])</f>
        <v>RS001</v>
      </c>
      <c r="AQ769">
        <v>1</v>
      </c>
      <c r="AR769" t="str">
        <f>_xlfn.XLOOKUP(Table1[[#This Row],[RelationshipSatisfaction]],Table18[RelationshipSatisfaction],Table18[Deskripsi])</f>
        <v>Low</v>
      </c>
      <c r="AS769" t="str">
        <f>_xlfn.XLOOKUP(Table1[[#This Row],[StockOptionLevel]],Table19[StockOptionLevel],Table19[Id_StockOptionLevel])</f>
        <v>SOL001</v>
      </c>
      <c r="AT769">
        <v>0</v>
      </c>
      <c r="AU769" t="str">
        <f>_xlfn.XLOOKUP(Table1[[#This Row],[StockOptionLevel]],Table19[StockOptionLevel],Table19[Deskripsi])</f>
        <v>Non-Eligible</v>
      </c>
      <c r="AV769">
        <v>8</v>
      </c>
      <c r="AW769">
        <v>3</v>
      </c>
      <c r="AX769" t="str">
        <f>_xlfn.XLOOKUP(Table1[[#This Row],[WorkLifeBalance]],Table20[WorkLifeBalance],Table20[Id_WorkLifeBalance])</f>
        <v>WLB003</v>
      </c>
      <c r="AY769">
        <v>2</v>
      </c>
      <c r="AZ769" t="str">
        <f>_xlfn.XLOOKUP(Table1[[#This Row],[WorkLifeBalance]],Table20[WorkLifeBalance],Table20[Deskripsi])</f>
        <v>Better</v>
      </c>
      <c r="BA769">
        <v>4</v>
      </c>
      <c r="BB769">
        <v>3</v>
      </c>
      <c r="BC769">
        <v>0</v>
      </c>
      <c r="BD769">
        <v>1</v>
      </c>
    </row>
    <row r="770" spans="1:56" x14ac:dyDescent="0.25">
      <c r="A770">
        <v>40</v>
      </c>
      <c r="B770" t="str">
        <f>_xlfn.XLOOKUP(Table1[[#This Row],[Attrition]],Table2[Attrition],Table2[Id_Attrition])</f>
        <v>A002</v>
      </c>
      <c r="C770" t="s">
        <v>33</v>
      </c>
      <c r="D770" t="str">
        <f>_xlfn.XLOOKUP(Table1[[#This Row],[BusinessTravel]],Table5[BusinessTravel],Table5[Id_BusinessTravel])</f>
        <v>BS001</v>
      </c>
      <c r="E770" t="s">
        <v>34</v>
      </c>
      <c r="F770">
        <v>300</v>
      </c>
      <c r="G770" t="str">
        <f>_xlfn.XLOOKUP(Table1[[#This Row],[Department]],Table6[Department],Table6[Id_Departement])</f>
        <v>D001</v>
      </c>
      <c r="H770" t="s">
        <v>37</v>
      </c>
      <c r="I770">
        <v>26</v>
      </c>
      <c r="J770" t="str">
        <f>_xlfn.XLOOKUP(Table1[[#This Row],[Education]],Table8[Education],Table8[Id_Education])</f>
        <v>E003</v>
      </c>
      <c r="K770">
        <v>3</v>
      </c>
      <c r="L770" t="str">
        <f>_xlfn.XLOOKUP(Table1[[#This Row],[EducationField]],Table7[EducationField],Table7[Id_EducationField])</f>
        <v>EF004</v>
      </c>
      <c r="M770" t="s">
        <v>43</v>
      </c>
      <c r="N770" t="str">
        <f>_xlfn.XLOOKUP(Table1[[#This Row],[EmployeeNumber]],Table4[EmployeeNumber],Table4[Id_Employee])</f>
        <v>EMP00769</v>
      </c>
      <c r="O770">
        <v>1066</v>
      </c>
      <c r="P770" t="str">
        <f>_xlfn.XLOOKUP(Table1[[#This Row],[EnvironmentSatisfaction]],Table9[EnvironmentSatisfaction],Table9[Id_EnviromentSatisfaction])</f>
        <v>ES003</v>
      </c>
      <c r="Q770">
        <v>3</v>
      </c>
      <c r="R770" t="str">
        <f>_xlfn.XLOOKUP(Table1[[#This Row],[EnvironmentSatisfaction]],Table9[EnvironmentSatisfaction],Table9[Deskripsi])</f>
        <v>High</v>
      </c>
      <c r="S770" t="str">
        <f>_xlfn.XLOOKUP(Table1[[#This Row],[Gender]],Table10[Gender],Table10[Id_Gender])</f>
        <v>G002</v>
      </c>
      <c r="T770" t="s">
        <v>46</v>
      </c>
      <c r="U770">
        <v>74</v>
      </c>
      <c r="V770" t="str">
        <f>_xlfn.XLOOKUP(Table1[[#This Row],[JobInvolvement]],Table11[JobInvolvement],Table11[Id_JobInvolvement])</f>
        <v>JI003</v>
      </c>
      <c r="W770">
        <v>3</v>
      </c>
      <c r="X770" t="str">
        <f>_xlfn.XLOOKUP(Table1[[#This Row],[JobLevel]],Table12[JobLevel],Table12[Id_JobLevel])</f>
        <v>JL002</v>
      </c>
      <c r="Y770">
        <v>2</v>
      </c>
      <c r="Z770" t="str">
        <f>_xlfn.XLOOKUP(Table1[[#This Row],[JobRole]],Table13[JobRole],Table13[Id_JobRole])</f>
        <v>JR001</v>
      </c>
      <c r="AA770" t="s">
        <v>47</v>
      </c>
      <c r="AB770" t="str">
        <f>_xlfn.XLOOKUP(Table1[[#This Row],[JobSatisfaction]],Table14[JobSatisfaction],Table14[Id_JobSatisfaction])</f>
        <v>JS001</v>
      </c>
      <c r="AC770">
        <v>1</v>
      </c>
      <c r="AD770" t="str">
        <f>_xlfn.XLOOKUP(Table1[[#This Row],[JobSatisfaction]],Table14[JobSatisfaction],Table14[Deskripsi])</f>
        <v>Low</v>
      </c>
      <c r="AE770" t="str">
        <f>_xlfn.XLOOKUP(Table1[[#This Row],[MaritalStatus]],Table15[MaritalStatus],Table15[Id_MaritalStatus])</f>
        <v>MS002</v>
      </c>
      <c r="AF770" t="s">
        <v>56</v>
      </c>
      <c r="AG770">
        <v>8396</v>
      </c>
      <c r="AH770">
        <v>22217</v>
      </c>
      <c r="AI770">
        <v>1</v>
      </c>
      <c r="AJ770" t="str">
        <f>_xlfn.XLOOKUP(Table1[[#This Row],[OverTime]],Table16[OverTime],Table16[Id_OverTime])</f>
        <v>OT002</v>
      </c>
      <c r="AK770" t="s">
        <v>33</v>
      </c>
      <c r="AL770">
        <v>14</v>
      </c>
      <c r="AM770" t="str">
        <f>_xlfn.XLOOKUP(Table1[[#This Row],[PerformanceRating]],Table17[PerformanceRating],Table17[Id_PerformanceRating])</f>
        <v>PR003</v>
      </c>
      <c r="AN770">
        <v>3</v>
      </c>
      <c r="AO770" t="str">
        <f>_xlfn.XLOOKUP(Table1[[#This Row],[PerformanceRating]],Table17[PerformanceRating],Table17[Deskripsi])</f>
        <v>Excellent</v>
      </c>
      <c r="AP770" t="str">
        <f>_xlfn.XLOOKUP(Table1[[#This Row],[RelationshipSatisfaction]],Table18[RelationshipSatisfaction],Table18[Id_RelationshipSatisfaction])</f>
        <v>RS002</v>
      </c>
      <c r="AQ770">
        <v>2</v>
      </c>
      <c r="AR770" t="str">
        <f>_xlfn.XLOOKUP(Table1[[#This Row],[RelationshipSatisfaction]],Table18[RelationshipSatisfaction],Table18[Deskripsi])</f>
        <v>Medium</v>
      </c>
      <c r="AS770" t="str">
        <f>_xlfn.XLOOKUP(Table1[[#This Row],[StockOptionLevel]],Table19[StockOptionLevel],Table19[Id_StockOptionLevel])</f>
        <v>SOL002</v>
      </c>
      <c r="AT770">
        <v>1</v>
      </c>
      <c r="AU770" t="str">
        <f>_xlfn.XLOOKUP(Table1[[#This Row],[StockOptionLevel]],Table19[StockOptionLevel],Table19[Deskripsi])</f>
        <v>Standard</v>
      </c>
      <c r="AV770">
        <v>8</v>
      </c>
      <c r="AW770">
        <v>3</v>
      </c>
      <c r="AX770" t="str">
        <f>_xlfn.XLOOKUP(Table1[[#This Row],[WorkLifeBalance]],Table20[WorkLifeBalance],Table20[Id_WorkLifeBalance])</f>
        <v>WLB003</v>
      </c>
      <c r="AY770">
        <v>2</v>
      </c>
      <c r="AZ770" t="str">
        <f>_xlfn.XLOOKUP(Table1[[#This Row],[WorkLifeBalance]],Table20[WorkLifeBalance],Table20[Deskripsi])</f>
        <v>Better</v>
      </c>
      <c r="BA770">
        <v>7</v>
      </c>
      <c r="BB770">
        <v>7</v>
      </c>
      <c r="BC770">
        <v>7</v>
      </c>
      <c r="BD770">
        <v>5</v>
      </c>
    </row>
    <row r="771" spans="1:56" x14ac:dyDescent="0.25">
      <c r="A771">
        <v>26</v>
      </c>
      <c r="B771" t="str">
        <f>_xlfn.XLOOKUP(Table1[[#This Row],[Attrition]],Table2[Attrition],Table2[Id_Attrition])</f>
        <v>A002</v>
      </c>
      <c r="C771" t="s">
        <v>33</v>
      </c>
      <c r="D771" t="str">
        <f>_xlfn.XLOOKUP(Table1[[#This Row],[BusinessTravel]],Table5[BusinessTravel],Table5[Id_BusinessTravel])</f>
        <v>BS002</v>
      </c>
      <c r="E771" t="s">
        <v>35</v>
      </c>
      <c r="F771">
        <v>921</v>
      </c>
      <c r="G771" t="str">
        <f>_xlfn.XLOOKUP(Table1[[#This Row],[Department]],Table6[Department],Table6[Id_Departement])</f>
        <v>D002</v>
      </c>
      <c r="H771" t="s">
        <v>38</v>
      </c>
      <c r="I771">
        <v>1</v>
      </c>
      <c r="J771" t="str">
        <f>_xlfn.XLOOKUP(Table1[[#This Row],[Education]],Table8[Education],Table8[Id_Education])</f>
        <v>E001</v>
      </c>
      <c r="K771">
        <v>1</v>
      </c>
      <c r="L771" t="str">
        <f>_xlfn.XLOOKUP(Table1[[#This Row],[EducationField]],Table7[EducationField],Table7[Id_EducationField])</f>
        <v>EF003</v>
      </c>
      <c r="M771" t="s">
        <v>42</v>
      </c>
      <c r="N771" t="str">
        <f>_xlfn.XLOOKUP(Table1[[#This Row],[EmployeeNumber]],Table4[EmployeeNumber],Table4[Id_Employee])</f>
        <v>EMP00770</v>
      </c>
      <c r="O771">
        <v>1068</v>
      </c>
      <c r="P771" t="str">
        <f>_xlfn.XLOOKUP(Table1[[#This Row],[EnvironmentSatisfaction]],Table9[EnvironmentSatisfaction],Table9[Id_EnviromentSatisfaction])</f>
        <v>ES001</v>
      </c>
      <c r="Q771">
        <v>1</v>
      </c>
      <c r="R771" t="str">
        <f>_xlfn.XLOOKUP(Table1[[#This Row],[EnvironmentSatisfaction]],Table9[EnvironmentSatisfaction],Table9[Deskripsi])</f>
        <v>Low</v>
      </c>
      <c r="S771" t="str">
        <f>_xlfn.XLOOKUP(Table1[[#This Row],[Gender]],Table10[Gender],Table10[Id_Gender])</f>
        <v>G001</v>
      </c>
      <c r="T771" t="s">
        <v>45</v>
      </c>
      <c r="U771">
        <v>66</v>
      </c>
      <c r="V771" t="str">
        <f>_xlfn.XLOOKUP(Table1[[#This Row],[JobInvolvement]],Table11[JobInvolvement],Table11[Id_JobInvolvement])</f>
        <v>JI002</v>
      </c>
      <c r="W771">
        <v>2</v>
      </c>
      <c r="X771" t="str">
        <f>_xlfn.XLOOKUP(Table1[[#This Row],[JobLevel]],Table12[JobLevel],Table12[Id_JobLevel])</f>
        <v>JL001</v>
      </c>
      <c r="Y771">
        <v>1</v>
      </c>
      <c r="Z771" t="str">
        <f>_xlfn.XLOOKUP(Table1[[#This Row],[JobRole]],Table13[JobRole],Table13[Id_JobRole])</f>
        <v>JR002</v>
      </c>
      <c r="AA771" t="s">
        <v>48</v>
      </c>
      <c r="AB771" t="str">
        <f>_xlfn.XLOOKUP(Table1[[#This Row],[JobSatisfaction]],Table14[JobSatisfaction],Table14[Id_JobSatisfaction])</f>
        <v>JS003</v>
      </c>
      <c r="AC771">
        <v>3</v>
      </c>
      <c r="AD771" t="str">
        <f>_xlfn.XLOOKUP(Table1[[#This Row],[JobSatisfaction]],Table14[JobSatisfaction],Table14[Deskripsi])</f>
        <v>High</v>
      </c>
      <c r="AE771" t="str">
        <f>_xlfn.XLOOKUP(Table1[[#This Row],[MaritalStatus]],Table15[MaritalStatus],Table15[Id_MaritalStatus])</f>
        <v>MS003</v>
      </c>
      <c r="AF771" t="s">
        <v>57</v>
      </c>
      <c r="AG771">
        <v>2007</v>
      </c>
      <c r="AH771">
        <v>25265</v>
      </c>
      <c r="AI771">
        <v>1</v>
      </c>
      <c r="AJ771" t="str">
        <f>_xlfn.XLOOKUP(Table1[[#This Row],[OverTime]],Table16[OverTime],Table16[Id_OverTime])</f>
        <v>OT002</v>
      </c>
      <c r="AK771" t="s">
        <v>33</v>
      </c>
      <c r="AL771">
        <v>13</v>
      </c>
      <c r="AM771" t="str">
        <f>_xlfn.XLOOKUP(Table1[[#This Row],[PerformanceRating]],Table17[PerformanceRating],Table17[Id_PerformanceRating])</f>
        <v>PR003</v>
      </c>
      <c r="AN771">
        <v>3</v>
      </c>
      <c r="AO771" t="str">
        <f>_xlfn.XLOOKUP(Table1[[#This Row],[PerformanceRating]],Table17[PerformanceRating],Table17[Deskripsi])</f>
        <v>Excellent</v>
      </c>
      <c r="AP771" t="str">
        <f>_xlfn.XLOOKUP(Table1[[#This Row],[RelationshipSatisfaction]],Table18[RelationshipSatisfaction],Table18[Id_RelationshipSatisfaction])</f>
        <v>RS003</v>
      </c>
      <c r="AQ771">
        <v>3</v>
      </c>
      <c r="AR771" t="str">
        <f>_xlfn.XLOOKUP(Table1[[#This Row],[RelationshipSatisfaction]],Table18[RelationshipSatisfaction],Table18[Deskripsi])</f>
        <v>High</v>
      </c>
      <c r="AS771" t="str">
        <f>_xlfn.XLOOKUP(Table1[[#This Row],[StockOptionLevel]],Table19[StockOptionLevel],Table19[Id_StockOptionLevel])</f>
        <v>SOL003</v>
      </c>
      <c r="AT771">
        <v>2</v>
      </c>
      <c r="AU771" t="str">
        <f>_xlfn.XLOOKUP(Table1[[#This Row],[StockOptionLevel]],Table19[StockOptionLevel],Table19[Deskripsi])</f>
        <v>Intermediate</v>
      </c>
      <c r="AV771">
        <v>5</v>
      </c>
      <c r="AW771">
        <v>5</v>
      </c>
      <c r="AX771" t="str">
        <f>_xlfn.XLOOKUP(Table1[[#This Row],[WorkLifeBalance]],Table20[WorkLifeBalance],Table20[Id_WorkLifeBalance])</f>
        <v>WLB002</v>
      </c>
      <c r="AY771">
        <v>3</v>
      </c>
      <c r="AZ771" t="str">
        <f>_xlfn.XLOOKUP(Table1[[#This Row],[WorkLifeBalance]],Table20[WorkLifeBalance],Table20[Deskripsi])</f>
        <v>Good</v>
      </c>
      <c r="BA771">
        <v>5</v>
      </c>
      <c r="BB771">
        <v>3</v>
      </c>
      <c r="BC771">
        <v>1</v>
      </c>
      <c r="BD771">
        <v>3</v>
      </c>
    </row>
    <row r="772" spans="1:56" x14ac:dyDescent="0.25">
      <c r="A772">
        <v>46</v>
      </c>
      <c r="B772" t="str">
        <f>_xlfn.XLOOKUP(Table1[[#This Row],[Attrition]],Table2[Attrition],Table2[Id_Attrition])</f>
        <v>A002</v>
      </c>
      <c r="C772" t="s">
        <v>33</v>
      </c>
      <c r="D772" t="str">
        <f>_xlfn.XLOOKUP(Table1[[#This Row],[BusinessTravel]],Table5[BusinessTravel],Table5[Id_BusinessTravel])</f>
        <v>BS001</v>
      </c>
      <c r="E772" t="s">
        <v>34</v>
      </c>
      <c r="F772">
        <v>430</v>
      </c>
      <c r="G772" t="str">
        <f>_xlfn.XLOOKUP(Table1[[#This Row],[Department]],Table6[Department],Table6[Id_Departement])</f>
        <v>D002</v>
      </c>
      <c r="H772" t="s">
        <v>38</v>
      </c>
      <c r="I772">
        <v>1</v>
      </c>
      <c r="J772" t="str">
        <f>_xlfn.XLOOKUP(Table1[[#This Row],[Education]],Table8[Education],Table8[Id_Education])</f>
        <v>E004</v>
      </c>
      <c r="K772">
        <v>4</v>
      </c>
      <c r="L772" t="str">
        <f>_xlfn.XLOOKUP(Table1[[#This Row],[EducationField]],Table7[EducationField],Table7[Id_EducationField])</f>
        <v>EF003</v>
      </c>
      <c r="M772" t="s">
        <v>42</v>
      </c>
      <c r="N772" t="str">
        <f>_xlfn.XLOOKUP(Table1[[#This Row],[EmployeeNumber]],Table4[EmployeeNumber],Table4[Id_Employee])</f>
        <v>EMP00771</v>
      </c>
      <c r="O772">
        <v>1069</v>
      </c>
      <c r="P772" t="str">
        <f>_xlfn.XLOOKUP(Table1[[#This Row],[EnvironmentSatisfaction]],Table9[EnvironmentSatisfaction],Table9[Id_EnviromentSatisfaction])</f>
        <v>ES004</v>
      </c>
      <c r="Q772">
        <v>4</v>
      </c>
      <c r="R772" t="str">
        <f>_xlfn.XLOOKUP(Table1[[#This Row],[EnvironmentSatisfaction]],Table9[EnvironmentSatisfaction],Table9[Deskripsi])</f>
        <v>Very High</v>
      </c>
      <c r="S772" t="str">
        <f>_xlfn.XLOOKUP(Table1[[#This Row],[Gender]],Table10[Gender],Table10[Id_Gender])</f>
        <v>G002</v>
      </c>
      <c r="T772" t="s">
        <v>46</v>
      </c>
      <c r="U772">
        <v>40</v>
      </c>
      <c r="V772" t="str">
        <f>_xlfn.XLOOKUP(Table1[[#This Row],[JobInvolvement]],Table11[JobInvolvement],Table11[Id_JobInvolvement])</f>
        <v>JI003</v>
      </c>
      <c r="W772">
        <v>3</v>
      </c>
      <c r="X772" t="str">
        <f>_xlfn.XLOOKUP(Table1[[#This Row],[JobLevel]],Table12[JobLevel],Table12[Id_JobLevel])</f>
        <v>JL005</v>
      </c>
      <c r="Y772">
        <v>5</v>
      </c>
      <c r="Z772" t="str">
        <f>_xlfn.XLOOKUP(Table1[[#This Row],[JobRole]],Table13[JobRole],Table13[Id_JobRole])</f>
        <v>JR008</v>
      </c>
      <c r="AA772" t="s">
        <v>54</v>
      </c>
      <c r="AB772" t="str">
        <f>_xlfn.XLOOKUP(Table1[[#This Row],[JobSatisfaction]],Table14[JobSatisfaction],Table14[Id_JobSatisfaction])</f>
        <v>JS004</v>
      </c>
      <c r="AC772">
        <v>4</v>
      </c>
      <c r="AD772" t="str">
        <f>_xlfn.XLOOKUP(Table1[[#This Row],[JobSatisfaction]],Table14[JobSatisfaction],Table14[Deskripsi])</f>
        <v>Very High</v>
      </c>
      <c r="AE772" t="str">
        <f>_xlfn.XLOOKUP(Table1[[#This Row],[MaritalStatus]],Table15[MaritalStatus],Table15[Id_MaritalStatus])</f>
        <v>MS003</v>
      </c>
      <c r="AF772" t="s">
        <v>57</v>
      </c>
      <c r="AG772">
        <v>19627</v>
      </c>
      <c r="AH772">
        <v>21445</v>
      </c>
      <c r="AI772">
        <v>9</v>
      </c>
      <c r="AJ772" t="str">
        <f>_xlfn.XLOOKUP(Table1[[#This Row],[OverTime]],Table16[OverTime],Table16[Id_OverTime])</f>
        <v>OT002</v>
      </c>
      <c r="AK772" t="s">
        <v>33</v>
      </c>
      <c r="AL772">
        <v>17</v>
      </c>
      <c r="AM772" t="str">
        <f>_xlfn.XLOOKUP(Table1[[#This Row],[PerformanceRating]],Table17[PerformanceRating],Table17[Id_PerformanceRating])</f>
        <v>PR003</v>
      </c>
      <c r="AN772">
        <v>3</v>
      </c>
      <c r="AO772" t="str">
        <f>_xlfn.XLOOKUP(Table1[[#This Row],[PerformanceRating]],Table17[PerformanceRating],Table17[Deskripsi])</f>
        <v>Excellent</v>
      </c>
      <c r="AP772" t="str">
        <f>_xlfn.XLOOKUP(Table1[[#This Row],[RelationshipSatisfaction]],Table18[RelationshipSatisfaction],Table18[Id_RelationshipSatisfaction])</f>
        <v>RS004</v>
      </c>
      <c r="AQ772">
        <v>4</v>
      </c>
      <c r="AR772" t="str">
        <f>_xlfn.XLOOKUP(Table1[[#This Row],[RelationshipSatisfaction]],Table18[RelationshipSatisfaction],Table18[Deskripsi])</f>
        <v>Very High</v>
      </c>
      <c r="AS772" t="str">
        <f>_xlfn.XLOOKUP(Table1[[#This Row],[StockOptionLevel]],Table19[StockOptionLevel],Table19[Id_StockOptionLevel])</f>
        <v>SOL003</v>
      </c>
      <c r="AT772">
        <v>2</v>
      </c>
      <c r="AU772" t="str">
        <f>_xlfn.XLOOKUP(Table1[[#This Row],[StockOptionLevel]],Table19[StockOptionLevel],Table19[Deskripsi])</f>
        <v>Intermediate</v>
      </c>
      <c r="AV772">
        <v>23</v>
      </c>
      <c r="AW772">
        <v>0</v>
      </c>
      <c r="AX772" t="str">
        <f>_xlfn.XLOOKUP(Table1[[#This Row],[WorkLifeBalance]],Table20[WorkLifeBalance],Table20[Id_WorkLifeBalance])</f>
        <v>WLB002</v>
      </c>
      <c r="AY772">
        <v>3</v>
      </c>
      <c r="AZ772" t="str">
        <f>_xlfn.XLOOKUP(Table1[[#This Row],[WorkLifeBalance]],Table20[WorkLifeBalance],Table20[Deskripsi])</f>
        <v>Good</v>
      </c>
      <c r="BA772">
        <v>2</v>
      </c>
      <c r="BB772">
        <v>2</v>
      </c>
      <c r="BC772">
        <v>2</v>
      </c>
      <c r="BD772">
        <v>2</v>
      </c>
    </row>
    <row r="773" spans="1:56" x14ac:dyDescent="0.25">
      <c r="A773">
        <v>54</v>
      </c>
      <c r="B773" t="str">
        <f>_xlfn.XLOOKUP(Table1[[#This Row],[Attrition]],Table2[Attrition],Table2[Id_Attrition])</f>
        <v>A002</v>
      </c>
      <c r="C773" t="s">
        <v>33</v>
      </c>
      <c r="D773" t="str">
        <f>_xlfn.XLOOKUP(Table1[[#This Row],[BusinessTravel]],Table5[BusinessTravel],Table5[Id_BusinessTravel])</f>
        <v>BS001</v>
      </c>
      <c r="E773" t="s">
        <v>34</v>
      </c>
      <c r="F773">
        <v>1082</v>
      </c>
      <c r="G773" t="str">
        <f>_xlfn.XLOOKUP(Table1[[#This Row],[Department]],Table6[Department],Table6[Id_Departement])</f>
        <v>D001</v>
      </c>
      <c r="H773" t="s">
        <v>37</v>
      </c>
      <c r="I773">
        <v>2</v>
      </c>
      <c r="J773" t="str">
        <f>_xlfn.XLOOKUP(Table1[[#This Row],[Education]],Table8[Education],Table8[Id_Education])</f>
        <v>E004</v>
      </c>
      <c r="K773">
        <v>4</v>
      </c>
      <c r="L773" t="str">
        <f>_xlfn.XLOOKUP(Table1[[#This Row],[EducationField]],Table7[EducationField],Table7[Id_EducationField])</f>
        <v>EF001</v>
      </c>
      <c r="M773" t="s">
        <v>40</v>
      </c>
      <c r="N773" t="str">
        <f>_xlfn.XLOOKUP(Table1[[#This Row],[EmployeeNumber]],Table4[EmployeeNumber],Table4[Id_Employee])</f>
        <v>EMP00772</v>
      </c>
      <c r="O773">
        <v>1070</v>
      </c>
      <c r="P773" t="str">
        <f>_xlfn.XLOOKUP(Table1[[#This Row],[EnvironmentSatisfaction]],Table9[EnvironmentSatisfaction],Table9[Id_EnviromentSatisfaction])</f>
        <v>ES003</v>
      </c>
      <c r="Q773">
        <v>3</v>
      </c>
      <c r="R773" t="str">
        <f>_xlfn.XLOOKUP(Table1[[#This Row],[EnvironmentSatisfaction]],Table9[EnvironmentSatisfaction],Table9[Deskripsi])</f>
        <v>High</v>
      </c>
      <c r="S773" t="str">
        <f>_xlfn.XLOOKUP(Table1[[#This Row],[Gender]],Table10[Gender],Table10[Id_Gender])</f>
        <v>G001</v>
      </c>
      <c r="T773" t="s">
        <v>45</v>
      </c>
      <c r="U773">
        <v>41</v>
      </c>
      <c r="V773" t="str">
        <f>_xlfn.XLOOKUP(Table1[[#This Row],[JobInvolvement]],Table11[JobInvolvement],Table11[Id_JobInvolvement])</f>
        <v>JI002</v>
      </c>
      <c r="W773">
        <v>2</v>
      </c>
      <c r="X773" t="str">
        <f>_xlfn.XLOOKUP(Table1[[#This Row],[JobLevel]],Table12[JobLevel],Table12[Id_JobLevel])</f>
        <v>JL003</v>
      </c>
      <c r="Y773">
        <v>3</v>
      </c>
      <c r="Z773" t="str">
        <f>_xlfn.XLOOKUP(Table1[[#This Row],[JobRole]],Table13[JobRole],Table13[Id_JobRole])</f>
        <v>JR001</v>
      </c>
      <c r="AA773" t="s">
        <v>47</v>
      </c>
      <c r="AB773" t="str">
        <f>_xlfn.XLOOKUP(Table1[[#This Row],[JobSatisfaction]],Table14[JobSatisfaction],Table14[Id_JobSatisfaction])</f>
        <v>JS003</v>
      </c>
      <c r="AC773">
        <v>3</v>
      </c>
      <c r="AD773" t="str">
        <f>_xlfn.XLOOKUP(Table1[[#This Row],[JobSatisfaction]],Table14[JobSatisfaction],Table14[Deskripsi])</f>
        <v>High</v>
      </c>
      <c r="AE773" t="str">
        <f>_xlfn.XLOOKUP(Table1[[#This Row],[MaritalStatus]],Table15[MaritalStatus],Table15[Id_MaritalStatus])</f>
        <v>MS002</v>
      </c>
      <c r="AF773" t="s">
        <v>56</v>
      </c>
      <c r="AG773">
        <v>10686</v>
      </c>
      <c r="AH773">
        <v>8392</v>
      </c>
      <c r="AI773">
        <v>6</v>
      </c>
      <c r="AJ773" t="str">
        <f>_xlfn.XLOOKUP(Table1[[#This Row],[OverTime]],Table16[OverTime],Table16[Id_OverTime])</f>
        <v>OT002</v>
      </c>
      <c r="AK773" t="s">
        <v>33</v>
      </c>
      <c r="AL773">
        <v>11</v>
      </c>
      <c r="AM773" t="str">
        <f>_xlfn.XLOOKUP(Table1[[#This Row],[PerformanceRating]],Table17[PerformanceRating],Table17[Id_PerformanceRating])</f>
        <v>PR003</v>
      </c>
      <c r="AN773">
        <v>3</v>
      </c>
      <c r="AO773" t="str">
        <f>_xlfn.XLOOKUP(Table1[[#This Row],[PerformanceRating]],Table17[PerformanceRating],Table17[Deskripsi])</f>
        <v>Excellent</v>
      </c>
      <c r="AP773" t="str">
        <f>_xlfn.XLOOKUP(Table1[[#This Row],[RelationshipSatisfaction]],Table18[RelationshipSatisfaction],Table18[Id_RelationshipSatisfaction])</f>
        <v>RS002</v>
      </c>
      <c r="AQ773">
        <v>2</v>
      </c>
      <c r="AR773" t="str">
        <f>_xlfn.XLOOKUP(Table1[[#This Row],[RelationshipSatisfaction]],Table18[RelationshipSatisfaction],Table18[Deskripsi])</f>
        <v>Medium</v>
      </c>
      <c r="AS773" t="str">
        <f>_xlfn.XLOOKUP(Table1[[#This Row],[StockOptionLevel]],Table19[StockOptionLevel],Table19[Id_StockOptionLevel])</f>
        <v>SOL002</v>
      </c>
      <c r="AT773">
        <v>1</v>
      </c>
      <c r="AU773" t="str">
        <f>_xlfn.XLOOKUP(Table1[[#This Row],[StockOptionLevel]],Table19[StockOptionLevel],Table19[Deskripsi])</f>
        <v>Standard</v>
      </c>
      <c r="AV773">
        <v>13</v>
      </c>
      <c r="AW773">
        <v>4</v>
      </c>
      <c r="AX773" t="str">
        <f>_xlfn.XLOOKUP(Table1[[#This Row],[WorkLifeBalance]],Table20[WorkLifeBalance],Table20[Id_WorkLifeBalance])</f>
        <v>WLB002</v>
      </c>
      <c r="AY773">
        <v>3</v>
      </c>
      <c r="AZ773" t="str">
        <f>_xlfn.XLOOKUP(Table1[[#This Row],[WorkLifeBalance]],Table20[WorkLifeBalance],Table20[Deskripsi])</f>
        <v>Good</v>
      </c>
      <c r="BA773">
        <v>9</v>
      </c>
      <c r="BB773">
        <v>4</v>
      </c>
      <c r="BC773">
        <v>7</v>
      </c>
      <c r="BD773">
        <v>0</v>
      </c>
    </row>
    <row r="774" spans="1:56" x14ac:dyDescent="0.25">
      <c r="A774">
        <v>56</v>
      </c>
      <c r="B774" t="str">
        <f>_xlfn.XLOOKUP(Table1[[#This Row],[Attrition]],Table2[Attrition],Table2[Id_Attrition])</f>
        <v>A002</v>
      </c>
      <c r="C774" t="s">
        <v>33</v>
      </c>
      <c r="D774" t="str">
        <f>_xlfn.XLOOKUP(Table1[[#This Row],[BusinessTravel]],Table5[BusinessTravel],Table5[Id_BusinessTravel])</f>
        <v>BS002</v>
      </c>
      <c r="E774" t="s">
        <v>35</v>
      </c>
      <c r="F774">
        <v>1240</v>
      </c>
      <c r="G774" t="str">
        <f>_xlfn.XLOOKUP(Table1[[#This Row],[Department]],Table6[Department],Table6[Id_Departement])</f>
        <v>D002</v>
      </c>
      <c r="H774" t="s">
        <v>38</v>
      </c>
      <c r="I774">
        <v>9</v>
      </c>
      <c r="J774" t="str">
        <f>_xlfn.XLOOKUP(Table1[[#This Row],[Education]],Table8[Education],Table8[Id_Education])</f>
        <v>E003</v>
      </c>
      <c r="K774">
        <v>3</v>
      </c>
      <c r="L774" t="str">
        <f>_xlfn.XLOOKUP(Table1[[#This Row],[EducationField]],Table7[EducationField],Table7[Id_EducationField])</f>
        <v>EF003</v>
      </c>
      <c r="M774" t="s">
        <v>42</v>
      </c>
      <c r="N774" t="str">
        <f>_xlfn.XLOOKUP(Table1[[#This Row],[EmployeeNumber]],Table4[EmployeeNumber],Table4[Id_Employee])</f>
        <v>EMP00773</v>
      </c>
      <c r="O774">
        <v>1071</v>
      </c>
      <c r="P774" t="str">
        <f>_xlfn.XLOOKUP(Table1[[#This Row],[EnvironmentSatisfaction]],Table9[EnvironmentSatisfaction],Table9[Id_EnviromentSatisfaction])</f>
        <v>ES001</v>
      </c>
      <c r="Q774">
        <v>1</v>
      </c>
      <c r="R774" t="str">
        <f>_xlfn.XLOOKUP(Table1[[#This Row],[EnvironmentSatisfaction]],Table9[EnvironmentSatisfaction],Table9[Deskripsi])</f>
        <v>Low</v>
      </c>
      <c r="S774" t="str">
        <f>_xlfn.XLOOKUP(Table1[[#This Row],[Gender]],Table10[Gender],Table10[Id_Gender])</f>
        <v>G001</v>
      </c>
      <c r="T774" t="s">
        <v>45</v>
      </c>
      <c r="U774">
        <v>63</v>
      </c>
      <c r="V774" t="str">
        <f>_xlfn.XLOOKUP(Table1[[#This Row],[JobInvolvement]],Table11[JobInvolvement],Table11[Id_JobInvolvement])</f>
        <v>JI003</v>
      </c>
      <c r="W774">
        <v>3</v>
      </c>
      <c r="X774" t="str">
        <f>_xlfn.XLOOKUP(Table1[[#This Row],[JobLevel]],Table12[JobLevel],Table12[Id_JobLevel])</f>
        <v>JL001</v>
      </c>
      <c r="Y774">
        <v>1</v>
      </c>
      <c r="Z774" t="str">
        <f>_xlfn.XLOOKUP(Table1[[#This Row],[JobRole]],Table13[JobRole],Table13[Id_JobRole])</f>
        <v>JR002</v>
      </c>
      <c r="AA774" t="s">
        <v>48</v>
      </c>
      <c r="AB774" t="str">
        <f>_xlfn.XLOOKUP(Table1[[#This Row],[JobSatisfaction]],Table14[JobSatisfaction],Table14[Id_JobSatisfaction])</f>
        <v>JS003</v>
      </c>
      <c r="AC774">
        <v>3</v>
      </c>
      <c r="AD774" t="str">
        <f>_xlfn.XLOOKUP(Table1[[#This Row],[JobSatisfaction]],Table14[JobSatisfaction],Table14[Deskripsi])</f>
        <v>High</v>
      </c>
      <c r="AE774" t="str">
        <f>_xlfn.XLOOKUP(Table1[[#This Row],[MaritalStatus]],Table15[MaritalStatus],Table15[Id_MaritalStatus])</f>
        <v>MS002</v>
      </c>
      <c r="AF774" t="s">
        <v>56</v>
      </c>
      <c r="AG774">
        <v>2942</v>
      </c>
      <c r="AH774">
        <v>12154</v>
      </c>
      <c r="AI774">
        <v>2</v>
      </c>
      <c r="AJ774" t="str">
        <f>_xlfn.XLOOKUP(Table1[[#This Row],[OverTime]],Table16[OverTime],Table16[Id_OverTime])</f>
        <v>OT002</v>
      </c>
      <c r="AK774" t="s">
        <v>33</v>
      </c>
      <c r="AL774">
        <v>19</v>
      </c>
      <c r="AM774" t="str">
        <f>_xlfn.XLOOKUP(Table1[[#This Row],[PerformanceRating]],Table17[PerformanceRating],Table17[Id_PerformanceRating])</f>
        <v>PR003</v>
      </c>
      <c r="AN774">
        <v>3</v>
      </c>
      <c r="AO774" t="str">
        <f>_xlfn.XLOOKUP(Table1[[#This Row],[PerformanceRating]],Table17[PerformanceRating],Table17[Deskripsi])</f>
        <v>Excellent</v>
      </c>
      <c r="AP774" t="str">
        <f>_xlfn.XLOOKUP(Table1[[#This Row],[RelationshipSatisfaction]],Table18[RelationshipSatisfaction],Table18[Id_RelationshipSatisfaction])</f>
        <v>RS002</v>
      </c>
      <c r="AQ774">
        <v>2</v>
      </c>
      <c r="AR774" t="str">
        <f>_xlfn.XLOOKUP(Table1[[#This Row],[RelationshipSatisfaction]],Table18[RelationshipSatisfaction],Table18[Deskripsi])</f>
        <v>Medium</v>
      </c>
      <c r="AS774" t="str">
        <f>_xlfn.XLOOKUP(Table1[[#This Row],[StockOptionLevel]],Table19[StockOptionLevel],Table19[Id_StockOptionLevel])</f>
        <v>SOL002</v>
      </c>
      <c r="AT774">
        <v>1</v>
      </c>
      <c r="AU774" t="str">
        <f>_xlfn.XLOOKUP(Table1[[#This Row],[StockOptionLevel]],Table19[StockOptionLevel],Table19[Deskripsi])</f>
        <v>Standard</v>
      </c>
      <c r="AV774">
        <v>18</v>
      </c>
      <c r="AW774">
        <v>4</v>
      </c>
      <c r="AX774" t="str">
        <f>_xlfn.XLOOKUP(Table1[[#This Row],[WorkLifeBalance]],Table20[WorkLifeBalance],Table20[Id_WorkLifeBalance])</f>
        <v>WLB002</v>
      </c>
      <c r="AY774">
        <v>3</v>
      </c>
      <c r="AZ774" t="str">
        <f>_xlfn.XLOOKUP(Table1[[#This Row],[WorkLifeBalance]],Table20[WorkLifeBalance],Table20[Deskripsi])</f>
        <v>Good</v>
      </c>
      <c r="BA774">
        <v>5</v>
      </c>
      <c r="BB774">
        <v>4</v>
      </c>
      <c r="BC774">
        <v>0</v>
      </c>
      <c r="BD774">
        <v>3</v>
      </c>
    </row>
    <row r="775" spans="1:56" x14ac:dyDescent="0.25">
      <c r="A775">
        <v>36</v>
      </c>
      <c r="B775" t="str">
        <f>_xlfn.XLOOKUP(Table1[[#This Row],[Attrition]],Table2[Attrition],Table2[Id_Attrition])</f>
        <v>A002</v>
      </c>
      <c r="C775" t="s">
        <v>33</v>
      </c>
      <c r="D775" t="str">
        <f>_xlfn.XLOOKUP(Table1[[#This Row],[BusinessTravel]],Table5[BusinessTravel],Table5[Id_BusinessTravel])</f>
        <v>BS001</v>
      </c>
      <c r="E775" t="s">
        <v>34</v>
      </c>
      <c r="F775">
        <v>796</v>
      </c>
      <c r="G775" t="str">
        <f>_xlfn.XLOOKUP(Table1[[#This Row],[Department]],Table6[Department],Table6[Id_Departement])</f>
        <v>D002</v>
      </c>
      <c r="H775" t="s">
        <v>38</v>
      </c>
      <c r="I775">
        <v>12</v>
      </c>
      <c r="J775" t="str">
        <f>_xlfn.XLOOKUP(Table1[[#This Row],[Education]],Table8[Education],Table8[Id_Education])</f>
        <v>E005</v>
      </c>
      <c r="K775">
        <v>5</v>
      </c>
      <c r="L775" t="str">
        <f>_xlfn.XLOOKUP(Table1[[#This Row],[EducationField]],Table7[EducationField],Table7[Id_EducationField])</f>
        <v>EF003</v>
      </c>
      <c r="M775" t="s">
        <v>42</v>
      </c>
      <c r="N775" t="str">
        <f>_xlfn.XLOOKUP(Table1[[#This Row],[EmployeeNumber]],Table4[EmployeeNumber],Table4[Id_Employee])</f>
        <v>EMP00774</v>
      </c>
      <c r="O775">
        <v>1073</v>
      </c>
      <c r="P775" t="str">
        <f>_xlfn.XLOOKUP(Table1[[#This Row],[EnvironmentSatisfaction]],Table9[EnvironmentSatisfaction],Table9[Id_EnviromentSatisfaction])</f>
        <v>ES004</v>
      </c>
      <c r="Q775">
        <v>4</v>
      </c>
      <c r="R775" t="str">
        <f>_xlfn.XLOOKUP(Table1[[#This Row],[EnvironmentSatisfaction]],Table9[EnvironmentSatisfaction],Table9[Deskripsi])</f>
        <v>Very High</v>
      </c>
      <c r="S775" t="str">
        <f>_xlfn.XLOOKUP(Table1[[#This Row],[Gender]],Table10[Gender],Table10[Id_Gender])</f>
        <v>G001</v>
      </c>
      <c r="T775" t="s">
        <v>45</v>
      </c>
      <c r="U775">
        <v>51</v>
      </c>
      <c r="V775" t="str">
        <f>_xlfn.XLOOKUP(Table1[[#This Row],[JobInvolvement]],Table11[JobInvolvement],Table11[Id_JobInvolvement])</f>
        <v>JI002</v>
      </c>
      <c r="W775">
        <v>2</v>
      </c>
      <c r="X775" t="str">
        <f>_xlfn.XLOOKUP(Table1[[#This Row],[JobLevel]],Table12[JobLevel],Table12[Id_JobLevel])</f>
        <v>JL003</v>
      </c>
      <c r="Y775">
        <v>3</v>
      </c>
      <c r="Z775" t="str">
        <f>_xlfn.XLOOKUP(Table1[[#This Row],[JobRole]],Table13[JobRole],Table13[Id_JobRole])</f>
        <v>JR004</v>
      </c>
      <c r="AA775" t="s">
        <v>50</v>
      </c>
      <c r="AB775" t="str">
        <f>_xlfn.XLOOKUP(Table1[[#This Row],[JobSatisfaction]],Table14[JobSatisfaction],Table14[Id_JobSatisfaction])</f>
        <v>JS004</v>
      </c>
      <c r="AC775">
        <v>4</v>
      </c>
      <c r="AD775" t="str">
        <f>_xlfn.XLOOKUP(Table1[[#This Row],[JobSatisfaction]],Table14[JobSatisfaction],Table14[Deskripsi])</f>
        <v>Very High</v>
      </c>
      <c r="AE775" t="str">
        <f>_xlfn.XLOOKUP(Table1[[#This Row],[MaritalStatus]],Table15[MaritalStatus],Table15[Id_MaritalStatus])</f>
        <v>MS001</v>
      </c>
      <c r="AF775" t="s">
        <v>55</v>
      </c>
      <c r="AG775">
        <v>8858</v>
      </c>
      <c r="AH775">
        <v>15669</v>
      </c>
      <c r="AI775">
        <v>0</v>
      </c>
      <c r="AJ775" t="str">
        <f>_xlfn.XLOOKUP(Table1[[#This Row],[OverTime]],Table16[OverTime],Table16[Id_OverTime])</f>
        <v>OT002</v>
      </c>
      <c r="AK775" t="s">
        <v>33</v>
      </c>
      <c r="AL775">
        <v>11</v>
      </c>
      <c r="AM775" t="str">
        <f>_xlfn.XLOOKUP(Table1[[#This Row],[PerformanceRating]],Table17[PerformanceRating],Table17[Id_PerformanceRating])</f>
        <v>PR003</v>
      </c>
      <c r="AN775">
        <v>3</v>
      </c>
      <c r="AO775" t="str">
        <f>_xlfn.XLOOKUP(Table1[[#This Row],[PerformanceRating]],Table17[PerformanceRating],Table17[Deskripsi])</f>
        <v>Excellent</v>
      </c>
      <c r="AP775" t="str">
        <f>_xlfn.XLOOKUP(Table1[[#This Row],[RelationshipSatisfaction]],Table18[RelationshipSatisfaction],Table18[Id_RelationshipSatisfaction])</f>
        <v>RS002</v>
      </c>
      <c r="AQ775">
        <v>2</v>
      </c>
      <c r="AR775" t="str">
        <f>_xlfn.XLOOKUP(Table1[[#This Row],[RelationshipSatisfaction]],Table18[RelationshipSatisfaction],Table18[Deskripsi])</f>
        <v>Medium</v>
      </c>
      <c r="AS775" t="str">
        <f>_xlfn.XLOOKUP(Table1[[#This Row],[StockOptionLevel]],Table19[StockOptionLevel],Table19[Id_StockOptionLevel])</f>
        <v>SOL001</v>
      </c>
      <c r="AT775">
        <v>0</v>
      </c>
      <c r="AU775" t="str">
        <f>_xlfn.XLOOKUP(Table1[[#This Row],[StockOptionLevel]],Table19[StockOptionLevel],Table19[Deskripsi])</f>
        <v>Non-Eligible</v>
      </c>
      <c r="AV775">
        <v>15</v>
      </c>
      <c r="AW775">
        <v>2</v>
      </c>
      <c r="AX775" t="str">
        <f>_xlfn.XLOOKUP(Table1[[#This Row],[WorkLifeBalance]],Table20[WorkLifeBalance],Table20[Id_WorkLifeBalance])</f>
        <v>WLB003</v>
      </c>
      <c r="AY775">
        <v>2</v>
      </c>
      <c r="AZ775" t="str">
        <f>_xlfn.XLOOKUP(Table1[[#This Row],[WorkLifeBalance]],Table20[WorkLifeBalance],Table20[Deskripsi])</f>
        <v>Better</v>
      </c>
      <c r="BA775">
        <v>14</v>
      </c>
      <c r="BB775">
        <v>8</v>
      </c>
      <c r="BC775">
        <v>7</v>
      </c>
      <c r="BD775">
        <v>8</v>
      </c>
    </row>
    <row r="776" spans="1:56" x14ac:dyDescent="0.25">
      <c r="A776">
        <v>55</v>
      </c>
      <c r="B776" t="str">
        <f>_xlfn.XLOOKUP(Table1[[#This Row],[Attrition]],Table2[Attrition],Table2[Id_Attrition])</f>
        <v>A002</v>
      </c>
      <c r="C776" t="s">
        <v>33</v>
      </c>
      <c r="D776" t="str">
        <f>_xlfn.XLOOKUP(Table1[[#This Row],[BusinessTravel]],Table5[BusinessTravel],Table5[Id_BusinessTravel])</f>
        <v>BS003</v>
      </c>
      <c r="E776" t="s">
        <v>36</v>
      </c>
      <c r="F776">
        <v>444</v>
      </c>
      <c r="G776" t="str">
        <f>_xlfn.XLOOKUP(Table1[[#This Row],[Department]],Table6[Department],Table6[Id_Departement])</f>
        <v>D002</v>
      </c>
      <c r="H776" t="s">
        <v>38</v>
      </c>
      <c r="I776">
        <v>2</v>
      </c>
      <c r="J776" t="str">
        <f>_xlfn.XLOOKUP(Table1[[#This Row],[Education]],Table8[Education],Table8[Id_Education])</f>
        <v>E001</v>
      </c>
      <c r="K776">
        <v>1</v>
      </c>
      <c r="L776" t="str">
        <f>_xlfn.XLOOKUP(Table1[[#This Row],[EducationField]],Table7[EducationField],Table7[Id_EducationField])</f>
        <v>EF003</v>
      </c>
      <c r="M776" t="s">
        <v>42</v>
      </c>
      <c r="N776" t="str">
        <f>_xlfn.XLOOKUP(Table1[[#This Row],[EmployeeNumber]],Table4[EmployeeNumber],Table4[Id_Employee])</f>
        <v>EMP00775</v>
      </c>
      <c r="O776">
        <v>1074</v>
      </c>
      <c r="P776" t="str">
        <f>_xlfn.XLOOKUP(Table1[[#This Row],[EnvironmentSatisfaction]],Table9[EnvironmentSatisfaction],Table9[Id_EnviromentSatisfaction])</f>
        <v>ES003</v>
      </c>
      <c r="Q776">
        <v>3</v>
      </c>
      <c r="R776" t="str">
        <f>_xlfn.XLOOKUP(Table1[[#This Row],[EnvironmentSatisfaction]],Table9[EnvironmentSatisfaction],Table9[Deskripsi])</f>
        <v>High</v>
      </c>
      <c r="S776" t="str">
        <f>_xlfn.XLOOKUP(Table1[[#This Row],[Gender]],Table10[Gender],Table10[Id_Gender])</f>
        <v>G002</v>
      </c>
      <c r="T776" t="s">
        <v>46</v>
      </c>
      <c r="U776">
        <v>40</v>
      </c>
      <c r="V776" t="str">
        <f>_xlfn.XLOOKUP(Table1[[#This Row],[JobInvolvement]],Table11[JobInvolvement],Table11[Id_JobInvolvement])</f>
        <v>JI002</v>
      </c>
      <c r="W776">
        <v>2</v>
      </c>
      <c r="X776" t="str">
        <f>_xlfn.XLOOKUP(Table1[[#This Row],[JobLevel]],Table12[JobLevel],Table12[Id_JobLevel])</f>
        <v>JL004</v>
      </c>
      <c r="Y776">
        <v>4</v>
      </c>
      <c r="Z776" t="str">
        <f>_xlfn.XLOOKUP(Table1[[#This Row],[JobRole]],Table13[JobRole],Table13[Id_JobRole])</f>
        <v>JR006</v>
      </c>
      <c r="AA776" t="s">
        <v>52</v>
      </c>
      <c r="AB776" t="str">
        <f>_xlfn.XLOOKUP(Table1[[#This Row],[JobSatisfaction]],Table14[JobSatisfaction],Table14[Id_JobSatisfaction])</f>
        <v>JS001</v>
      </c>
      <c r="AC776">
        <v>1</v>
      </c>
      <c r="AD776" t="str">
        <f>_xlfn.XLOOKUP(Table1[[#This Row],[JobSatisfaction]],Table14[JobSatisfaction],Table14[Deskripsi])</f>
        <v>Low</v>
      </c>
      <c r="AE776" t="str">
        <f>_xlfn.XLOOKUP(Table1[[#This Row],[MaritalStatus]],Table15[MaritalStatus],Table15[Id_MaritalStatus])</f>
        <v>MS001</v>
      </c>
      <c r="AF776" t="s">
        <v>55</v>
      </c>
      <c r="AG776">
        <v>16756</v>
      </c>
      <c r="AH776">
        <v>17323</v>
      </c>
      <c r="AI776">
        <v>7</v>
      </c>
      <c r="AJ776" t="str">
        <f>_xlfn.XLOOKUP(Table1[[#This Row],[OverTime]],Table16[OverTime],Table16[Id_OverTime])</f>
        <v>OT002</v>
      </c>
      <c r="AK776" t="s">
        <v>33</v>
      </c>
      <c r="AL776">
        <v>15</v>
      </c>
      <c r="AM776" t="str">
        <f>_xlfn.XLOOKUP(Table1[[#This Row],[PerformanceRating]],Table17[PerformanceRating],Table17[Id_PerformanceRating])</f>
        <v>PR003</v>
      </c>
      <c r="AN776">
        <v>3</v>
      </c>
      <c r="AO776" t="str">
        <f>_xlfn.XLOOKUP(Table1[[#This Row],[PerformanceRating]],Table17[PerformanceRating],Table17[Deskripsi])</f>
        <v>Excellent</v>
      </c>
      <c r="AP776" t="str">
        <f>_xlfn.XLOOKUP(Table1[[#This Row],[RelationshipSatisfaction]],Table18[RelationshipSatisfaction],Table18[Id_RelationshipSatisfaction])</f>
        <v>RS002</v>
      </c>
      <c r="AQ776">
        <v>2</v>
      </c>
      <c r="AR776" t="str">
        <f>_xlfn.XLOOKUP(Table1[[#This Row],[RelationshipSatisfaction]],Table18[RelationshipSatisfaction],Table18[Deskripsi])</f>
        <v>Medium</v>
      </c>
      <c r="AS776" t="str">
        <f>_xlfn.XLOOKUP(Table1[[#This Row],[StockOptionLevel]],Table19[StockOptionLevel],Table19[Id_StockOptionLevel])</f>
        <v>SOL001</v>
      </c>
      <c r="AT776">
        <v>0</v>
      </c>
      <c r="AU776" t="str">
        <f>_xlfn.XLOOKUP(Table1[[#This Row],[StockOptionLevel]],Table19[StockOptionLevel],Table19[Deskripsi])</f>
        <v>Non-Eligible</v>
      </c>
      <c r="AV776">
        <v>31</v>
      </c>
      <c r="AW776">
        <v>3</v>
      </c>
      <c r="AX776" t="str">
        <f>_xlfn.XLOOKUP(Table1[[#This Row],[WorkLifeBalance]],Table20[WorkLifeBalance],Table20[Id_WorkLifeBalance])</f>
        <v>WLB004</v>
      </c>
      <c r="AY776">
        <v>4</v>
      </c>
      <c r="AZ776" t="str">
        <f>_xlfn.XLOOKUP(Table1[[#This Row],[WorkLifeBalance]],Table20[WorkLifeBalance],Table20[Deskripsi])</f>
        <v>Best</v>
      </c>
      <c r="BA776">
        <v>9</v>
      </c>
      <c r="BB776">
        <v>7</v>
      </c>
      <c r="BC776">
        <v>6</v>
      </c>
      <c r="BD776">
        <v>2</v>
      </c>
    </row>
    <row r="777" spans="1:56" x14ac:dyDescent="0.25">
      <c r="A777">
        <v>43</v>
      </c>
      <c r="B777" t="str">
        <f>_xlfn.XLOOKUP(Table1[[#This Row],[Attrition]],Table2[Attrition],Table2[Id_Attrition])</f>
        <v>A002</v>
      </c>
      <c r="C777" t="s">
        <v>33</v>
      </c>
      <c r="D777" t="str">
        <f>_xlfn.XLOOKUP(Table1[[#This Row],[BusinessTravel]],Table5[BusinessTravel],Table5[Id_BusinessTravel])</f>
        <v>BS001</v>
      </c>
      <c r="E777" t="s">
        <v>34</v>
      </c>
      <c r="F777">
        <v>415</v>
      </c>
      <c r="G777" t="str">
        <f>_xlfn.XLOOKUP(Table1[[#This Row],[Department]],Table6[Department],Table6[Id_Departement])</f>
        <v>D001</v>
      </c>
      <c r="H777" t="s">
        <v>37</v>
      </c>
      <c r="I777">
        <v>25</v>
      </c>
      <c r="J777" t="str">
        <f>_xlfn.XLOOKUP(Table1[[#This Row],[Education]],Table8[Education],Table8[Id_Education])</f>
        <v>E003</v>
      </c>
      <c r="K777">
        <v>3</v>
      </c>
      <c r="L777" t="str">
        <f>_xlfn.XLOOKUP(Table1[[#This Row],[EducationField]],Table7[EducationField],Table7[Id_EducationField])</f>
        <v>EF003</v>
      </c>
      <c r="M777" t="s">
        <v>42</v>
      </c>
      <c r="N777" t="str">
        <f>_xlfn.XLOOKUP(Table1[[#This Row],[EmployeeNumber]],Table4[EmployeeNumber],Table4[Id_Employee])</f>
        <v>EMP00776</v>
      </c>
      <c r="O777">
        <v>1076</v>
      </c>
      <c r="P777" t="str">
        <f>_xlfn.XLOOKUP(Table1[[#This Row],[EnvironmentSatisfaction]],Table9[EnvironmentSatisfaction],Table9[Id_EnviromentSatisfaction])</f>
        <v>ES003</v>
      </c>
      <c r="Q777">
        <v>3</v>
      </c>
      <c r="R777" t="str">
        <f>_xlfn.XLOOKUP(Table1[[#This Row],[EnvironmentSatisfaction]],Table9[EnvironmentSatisfaction],Table9[Deskripsi])</f>
        <v>High</v>
      </c>
      <c r="S777" t="str">
        <f>_xlfn.XLOOKUP(Table1[[#This Row],[Gender]],Table10[Gender],Table10[Id_Gender])</f>
        <v>G002</v>
      </c>
      <c r="T777" t="s">
        <v>46</v>
      </c>
      <c r="U777">
        <v>79</v>
      </c>
      <c r="V777" t="str">
        <f>_xlfn.XLOOKUP(Table1[[#This Row],[JobInvolvement]],Table11[JobInvolvement],Table11[Id_JobInvolvement])</f>
        <v>JI002</v>
      </c>
      <c r="W777">
        <v>2</v>
      </c>
      <c r="X777" t="str">
        <f>_xlfn.XLOOKUP(Table1[[#This Row],[JobLevel]],Table12[JobLevel],Table12[Id_JobLevel])</f>
        <v>JL003</v>
      </c>
      <c r="Y777">
        <v>3</v>
      </c>
      <c r="Z777" t="str">
        <f>_xlfn.XLOOKUP(Table1[[#This Row],[JobRole]],Table13[JobRole],Table13[Id_JobRole])</f>
        <v>JR001</v>
      </c>
      <c r="AA777" t="s">
        <v>47</v>
      </c>
      <c r="AB777" t="str">
        <f>_xlfn.XLOOKUP(Table1[[#This Row],[JobSatisfaction]],Table14[JobSatisfaction],Table14[Id_JobSatisfaction])</f>
        <v>JS004</v>
      </c>
      <c r="AC777">
        <v>4</v>
      </c>
      <c r="AD777" t="str">
        <f>_xlfn.XLOOKUP(Table1[[#This Row],[JobSatisfaction]],Table14[JobSatisfaction],Table14[Deskripsi])</f>
        <v>Very High</v>
      </c>
      <c r="AE777" t="str">
        <f>_xlfn.XLOOKUP(Table1[[#This Row],[MaritalStatus]],Table15[MaritalStatus],Table15[Id_MaritalStatus])</f>
        <v>MS003</v>
      </c>
      <c r="AF777" t="s">
        <v>57</v>
      </c>
      <c r="AG777">
        <v>10798</v>
      </c>
      <c r="AH777">
        <v>5268</v>
      </c>
      <c r="AI777">
        <v>5</v>
      </c>
      <c r="AJ777" t="str">
        <f>_xlfn.XLOOKUP(Table1[[#This Row],[OverTime]],Table16[OverTime],Table16[Id_OverTime])</f>
        <v>OT002</v>
      </c>
      <c r="AK777" t="s">
        <v>33</v>
      </c>
      <c r="AL777">
        <v>13</v>
      </c>
      <c r="AM777" t="str">
        <f>_xlfn.XLOOKUP(Table1[[#This Row],[PerformanceRating]],Table17[PerformanceRating],Table17[Id_PerformanceRating])</f>
        <v>PR003</v>
      </c>
      <c r="AN777">
        <v>3</v>
      </c>
      <c r="AO777" t="str">
        <f>_xlfn.XLOOKUP(Table1[[#This Row],[PerformanceRating]],Table17[PerformanceRating],Table17[Deskripsi])</f>
        <v>Excellent</v>
      </c>
      <c r="AP777" t="str">
        <f>_xlfn.XLOOKUP(Table1[[#This Row],[RelationshipSatisfaction]],Table18[RelationshipSatisfaction],Table18[Id_RelationshipSatisfaction])</f>
        <v>RS003</v>
      </c>
      <c r="AQ777">
        <v>3</v>
      </c>
      <c r="AR777" t="str">
        <f>_xlfn.XLOOKUP(Table1[[#This Row],[RelationshipSatisfaction]],Table18[RelationshipSatisfaction],Table18[Deskripsi])</f>
        <v>High</v>
      </c>
      <c r="AS777" t="str">
        <f>_xlfn.XLOOKUP(Table1[[#This Row],[StockOptionLevel]],Table19[StockOptionLevel],Table19[Id_StockOptionLevel])</f>
        <v>SOL002</v>
      </c>
      <c r="AT777">
        <v>1</v>
      </c>
      <c r="AU777" t="str">
        <f>_xlfn.XLOOKUP(Table1[[#This Row],[StockOptionLevel]],Table19[StockOptionLevel],Table19[Deskripsi])</f>
        <v>Standard</v>
      </c>
      <c r="AV777">
        <v>18</v>
      </c>
      <c r="AW777">
        <v>5</v>
      </c>
      <c r="AX777" t="str">
        <f>_xlfn.XLOOKUP(Table1[[#This Row],[WorkLifeBalance]],Table20[WorkLifeBalance],Table20[Id_WorkLifeBalance])</f>
        <v>WLB002</v>
      </c>
      <c r="AY777">
        <v>3</v>
      </c>
      <c r="AZ777" t="str">
        <f>_xlfn.XLOOKUP(Table1[[#This Row],[WorkLifeBalance]],Table20[WorkLifeBalance],Table20[Deskripsi])</f>
        <v>Good</v>
      </c>
      <c r="BA777">
        <v>1</v>
      </c>
      <c r="BB777">
        <v>0</v>
      </c>
      <c r="BC777">
        <v>0</v>
      </c>
      <c r="BD777">
        <v>0</v>
      </c>
    </row>
    <row r="778" spans="1:56" x14ac:dyDescent="0.25">
      <c r="A778">
        <v>20</v>
      </c>
      <c r="B778" t="str">
        <f>_xlfn.XLOOKUP(Table1[[#This Row],[Attrition]],Table2[Attrition],Table2[Id_Attrition])</f>
        <v>A001</v>
      </c>
      <c r="C778" t="s">
        <v>32</v>
      </c>
      <c r="D778" t="str">
        <f>_xlfn.XLOOKUP(Table1[[#This Row],[BusinessTravel]],Table5[BusinessTravel],Table5[Id_BusinessTravel])</f>
        <v>BS002</v>
      </c>
      <c r="E778" t="s">
        <v>35</v>
      </c>
      <c r="F778">
        <v>769</v>
      </c>
      <c r="G778" t="str">
        <f>_xlfn.XLOOKUP(Table1[[#This Row],[Department]],Table6[Department],Table6[Id_Departement])</f>
        <v>D001</v>
      </c>
      <c r="H778" t="s">
        <v>37</v>
      </c>
      <c r="I778">
        <v>9</v>
      </c>
      <c r="J778" t="str">
        <f>_xlfn.XLOOKUP(Table1[[#This Row],[Education]],Table8[Education],Table8[Id_Education])</f>
        <v>E003</v>
      </c>
      <c r="K778">
        <v>3</v>
      </c>
      <c r="L778" t="str">
        <f>_xlfn.XLOOKUP(Table1[[#This Row],[EducationField]],Table7[EducationField],Table7[Id_EducationField])</f>
        <v>EF004</v>
      </c>
      <c r="M778" t="s">
        <v>43</v>
      </c>
      <c r="N778" t="str">
        <f>_xlfn.XLOOKUP(Table1[[#This Row],[EmployeeNumber]],Table4[EmployeeNumber],Table4[Id_Employee])</f>
        <v>EMP00777</v>
      </c>
      <c r="O778">
        <v>1077</v>
      </c>
      <c r="P778" t="str">
        <f>_xlfn.XLOOKUP(Table1[[#This Row],[EnvironmentSatisfaction]],Table9[EnvironmentSatisfaction],Table9[Id_EnviromentSatisfaction])</f>
        <v>ES004</v>
      </c>
      <c r="Q778">
        <v>4</v>
      </c>
      <c r="R778" t="str">
        <f>_xlfn.XLOOKUP(Table1[[#This Row],[EnvironmentSatisfaction]],Table9[EnvironmentSatisfaction],Table9[Deskripsi])</f>
        <v>Very High</v>
      </c>
      <c r="S778" t="str">
        <f>_xlfn.XLOOKUP(Table1[[#This Row],[Gender]],Table10[Gender],Table10[Id_Gender])</f>
        <v>G001</v>
      </c>
      <c r="T778" t="s">
        <v>45</v>
      </c>
      <c r="U778">
        <v>54</v>
      </c>
      <c r="V778" t="str">
        <f>_xlfn.XLOOKUP(Table1[[#This Row],[JobInvolvement]],Table11[JobInvolvement],Table11[Id_JobInvolvement])</f>
        <v>JI003</v>
      </c>
      <c r="W778">
        <v>3</v>
      </c>
      <c r="X778" t="str">
        <f>_xlfn.XLOOKUP(Table1[[#This Row],[JobLevel]],Table12[JobLevel],Table12[Id_JobLevel])</f>
        <v>JL001</v>
      </c>
      <c r="Y778">
        <v>1</v>
      </c>
      <c r="Z778" t="str">
        <f>_xlfn.XLOOKUP(Table1[[#This Row],[JobRole]],Table13[JobRole],Table13[Id_JobRole])</f>
        <v>JR007</v>
      </c>
      <c r="AA778" t="s">
        <v>53</v>
      </c>
      <c r="AB778" t="str">
        <f>_xlfn.XLOOKUP(Table1[[#This Row],[JobSatisfaction]],Table14[JobSatisfaction],Table14[Id_JobSatisfaction])</f>
        <v>JS004</v>
      </c>
      <c r="AC778">
        <v>4</v>
      </c>
      <c r="AD778" t="str">
        <f>_xlfn.XLOOKUP(Table1[[#This Row],[JobSatisfaction]],Table14[JobSatisfaction],Table14[Deskripsi])</f>
        <v>Very High</v>
      </c>
      <c r="AE778" t="str">
        <f>_xlfn.XLOOKUP(Table1[[#This Row],[MaritalStatus]],Table15[MaritalStatus],Table15[Id_MaritalStatus])</f>
        <v>MS001</v>
      </c>
      <c r="AF778" t="s">
        <v>55</v>
      </c>
      <c r="AG778">
        <v>2323</v>
      </c>
      <c r="AH778">
        <v>17205</v>
      </c>
      <c r="AI778">
        <v>1</v>
      </c>
      <c r="AJ778" t="str">
        <f>_xlfn.XLOOKUP(Table1[[#This Row],[OverTime]],Table16[OverTime],Table16[Id_OverTime])</f>
        <v>OT001</v>
      </c>
      <c r="AK778" t="s">
        <v>32</v>
      </c>
      <c r="AL778">
        <v>14</v>
      </c>
      <c r="AM778" t="str">
        <f>_xlfn.XLOOKUP(Table1[[#This Row],[PerformanceRating]],Table17[PerformanceRating],Table17[Id_PerformanceRating])</f>
        <v>PR003</v>
      </c>
      <c r="AN778">
        <v>3</v>
      </c>
      <c r="AO778" t="str">
        <f>_xlfn.XLOOKUP(Table1[[#This Row],[PerformanceRating]],Table17[PerformanceRating],Table17[Deskripsi])</f>
        <v>Excellent</v>
      </c>
      <c r="AP778" t="str">
        <f>_xlfn.XLOOKUP(Table1[[#This Row],[RelationshipSatisfaction]],Table18[RelationshipSatisfaction],Table18[Id_RelationshipSatisfaction])</f>
        <v>RS002</v>
      </c>
      <c r="AQ778">
        <v>2</v>
      </c>
      <c r="AR778" t="str">
        <f>_xlfn.XLOOKUP(Table1[[#This Row],[RelationshipSatisfaction]],Table18[RelationshipSatisfaction],Table18[Deskripsi])</f>
        <v>Medium</v>
      </c>
      <c r="AS778" t="str">
        <f>_xlfn.XLOOKUP(Table1[[#This Row],[StockOptionLevel]],Table19[StockOptionLevel],Table19[Id_StockOptionLevel])</f>
        <v>SOL001</v>
      </c>
      <c r="AT778">
        <v>0</v>
      </c>
      <c r="AU778" t="str">
        <f>_xlfn.XLOOKUP(Table1[[#This Row],[StockOptionLevel]],Table19[StockOptionLevel],Table19[Deskripsi])</f>
        <v>Non-Eligible</v>
      </c>
      <c r="AV778">
        <v>2</v>
      </c>
      <c r="AW778">
        <v>3</v>
      </c>
      <c r="AX778" t="str">
        <f>_xlfn.XLOOKUP(Table1[[#This Row],[WorkLifeBalance]],Table20[WorkLifeBalance],Table20[Id_WorkLifeBalance])</f>
        <v>WLB002</v>
      </c>
      <c r="AY778">
        <v>3</v>
      </c>
      <c r="AZ778" t="str">
        <f>_xlfn.XLOOKUP(Table1[[#This Row],[WorkLifeBalance]],Table20[WorkLifeBalance],Table20[Deskripsi])</f>
        <v>Good</v>
      </c>
      <c r="BA778">
        <v>2</v>
      </c>
      <c r="BB778">
        <v>2</v>
      </c>
      <c r="BC778">
        <v>0</v>
      </c>
      <c r="BD778">
        <v>2</v>
      </c>
    </row>
    <row r="779" spans="1:56" x14ac:dyDescent="0.25">
      <c r="A779">
        <v>21</v>
      </c>
      <c r="B779" t="str">
        <f>_xlfn.XLOOKUP(Table1[[#This Row],[Attrition]],Table2[Attrition],Table2[Id_Attrition])</f>
        <v>A001</v>
      </c>
      <c r="C779" t="s">
        <v>32</v>
      </c>
      <c r="D779" t="str">
        <f>_xlfn.XLOOKUP(Table1[[#This Row],[BusinessTravel]],Table5[BusinessTravel],Table5[Id_BusinessTravel])</f>
        <v>BS001</v>
      </c>
      <c r="E779" t="s">
        <v>34</v>
      </c>
      <c r="F779">
        <v>1334</v>
      </c>
      <c r="G779" t="str">
        <f>_xlfn.XLOOKUP(Table1[[#This Row],[Department]],Table6[Department],Table6[Id_Departement])</f>
        <v>D002</v>
      </c>
      <c r="H779" t="s">
        <v>38</v>
      </c>
      <c r="I779">
        <v>10</v>
      </c>
      <c r="J779" t="str">
        <f>_xlfn.XLOOKUP(Table1[[#This Row],[Education]],Table8[Education],Table8[Id_Education])</f>
        <v>E003</v>
      </c>
      <c r="K779">
        <v>3</v>
      </c>
      <c r="L779" t="str">
        <f>_xlfn.XLOOKUP(Table1[[#This Row],[EducationField]],Table7[EducationField],Table7[Id_EducationField])</f>
        <v>EF001</v>
      </c>
      <c r="M779" t="s">
        <v>40</v>
      </c>
      <c r="N779" t="str">
        <f>_xlfn.XLOOKUP(Table1[[#This Row],[EmployeeNumber]],Table4[EmployeeNumber],Table4[Id_Employee])</f>
        <v>EMP00778</v>
      </c>
      <c r="O779">
        <v>1079</v>
      </c>
      <c r="P779" t="str">
        <f>_xlfn.XLOOKUP(Table1[[#This Row],[EnvironmentSatisfaction]],Table9[EnvironmentSatisfaction],Table9[Id_EnviromentSatisfaction])</f>
        <v>ES003</v>
      </c>
      <c r="Q779">
        <v>3</v>
      </c>
      <c r="R779" t="str">
        <f>_xlfn.XLOOKUP(Table1[[#This Row],[EnvironmentSatisfaction]],Table9[EnvironmentSatisfaction],Table9[Deskripsi])</f>
        <v>High</v>
      </c>
      <c r="S779" t="str">
        <f>_xlfn.XLOOKUP(Table1[[#This Row],[Gender]],Table10[Gender],Table10[Id_Gender])</f>
        <v>G001</v>
      </c>
      <c r="T779" t="s">
        <v>45</v>
      </c>
      <c r="U779">
        <v>36</v>
      </c>
      <c r="V779" t="str">
        <f>_xlfn.XLOOKUP(Table1[[#This Row],[JobInvolvement]],Table11[JobInvolvement],Table11[Id_JobInvolvement])</f>
        <v>JI002</v>
      </c>
      <c r="W779">
        <v>2</v>
      </c>
      <c r="X779" t="str">
        <f>_xlfn.XLOOKUP(Table1[[#This Row],[JobLevel]],Table12[JobLevel],Table12[Id_JobLevel])</f>
        <v>JL001</v>
      </c>
      <c r="Y779">
        <v>1</v>
      </c>
      <c r="Z779" t="str">
        <f>_xlfn.XLOOKUP(Table1[[#This Row],[JobRole]],Table13[JobRole],Table13[Id_JobRole])</f>
        <v>JR003</v>
      </c>
      <c r="AA779" t="s">
        <v>49</v>
      </c>
      <c r="AB779" t="str">
        <f>_xlfn.XLOOKUP(Table1[[#This Row],[JobSatisfaction]],Table14[JobSatisfaction],Table14[Id_JobSatisfaction])</f>
        <v>JS001</v>
      </c>
      <c r="AC779">
        <v>1</v>
      </c>
      <c r="AD779" t="str">
        <f>_xlfn.XLOOKUP(Table1[[#This Row],[JobSatisfaction]],Table14[JobSatisfaction],Table14[Deskripsi])</f>
        <v>Low</v>
      </c>
      <c r="AE779" t="str">
        <f>_xlfn.XLOOKUP(Table1[[#This Row],[MaritalStatus]],Table15[MaritalStatus],Table15[Id_MaritalStatus])</f>
        <v>MS001</v>
      </c>
      <c r="AF779" t="s">
        <v>55</v>
      </c>
      <c r="AG779">
        <v>1416</v>
      </c>
      <c r="AH779">
        <v>17258</v>
      </c>
      <c r="AI779">
        <v>1</v>
      </c>
      <c r="AJ779" t="str">
        <f>_xlfn.XLOOKUP(Table1[[#This Row],[OverTime]],Table16[OverTime],Table16[Id_OverTime])</f>
        <v>OT002</v>
      </c>
      <c r="AK779" t="s">
        <v>33</v>
      </c>
      <c r="AL779">
        <v>13</v>
      </c>
      <c r="AM779" t="str">
        <f>_xlfn.XLOOKUP(Table1[[#This Row],[PerformanceRating]],Table17[PerformanceRating],Table17[Id_PerformanceRating])</f>
        <v>PR003</v>
      </c>
      <c r="AN779">
        <v>3</v>
      </c>
      <c r="AO779" t="str">
        <f>_xlfn.XLOOKUP(Table1[[#This Row],[PerformanceRating]],Table17[PerformanceRating],Table17[Deskripsi])</f>
        <v>Excellent</v>
      </c>
      <c r="AP779" t="str">
        <f>_xlfn.XLOOKUP(Table1[[#This Row],[RelationshipSatisfaction]],Table18[RelationshipSatisfaction],Table18[Id_RelationshipSatisfaction])</f>
        <v>RS001</v>
      </c>
      <c r="AQ779">
        <v>1</v>
      </c>
      <c r="AR779" t="str">
        <f>_xlfn.XLOOKUP(Table1[[#This Row],[RelationshipSatisfaction]],Table18[RelationshipSatisfaction],Table18[Deskripsi])</f>
        <v>Low</v>
      </c>
      <c r="AS779" t="str">
        <f>_xlfn.XLOOKUP(Table1[[#This Row],[StockOptionLevel]],Table19[StockOptionLevel],Table19[Id_StockOptionLevel])</f>
        <v>SOL001</v>
      </c>
      <c r="AT779">
        <v>0</v>
      </c>
      <c r="AU779" t="str">
        <f>_xlfn.XLOOKUP(Table1[[#This Row],[StockOptionLevel]],Table19[StockOptionLevel],Table19[Deskripsi])</f>
        <v>Non-Eligible</v>
      </c>
      <c r="AV779">
        <v>1</v>
      </c>
      <c r="AW779">
        <v>6</v>
      </c>
      <c r="AX779" t="str">
        <f>_xlfn.XLOOKUP(Table1[[#This Row],[WorkLifeBalance]],Table20[WorkLifeBalance],Table20[Id_WorkLifeBalance])</f>
        <v>WLB003</v>
      </c>
      <c r="AY779">
        <v>2</v>
      </c>
      <c r="AZ779" t="str">
        <f>_xlfn.XLOOKUP(Table1[[#This Row],[WorkLifeBalance]],Table20[WorkLifeBalance],Table20[Deskripsi])</f>
        <v>Better</v>
      </c>
      <c r="BA779">
        <v>1</v>
      </c>
      <c r="BB779">
        <v>0</v>
      </c>
      <c r="BC779">
        <v>1</v>
      </c>
      <c r="BD779">
        <v>0</v>
      </c>
    </row>
    <row r="780" spans="1:56" x14ac:dyDescent="0.25">
      <c r="A780">
        <v>46</v>
      </c>
      <c r="B780" t="str">
        <f>_xlfn.XLOOKUP(Table1[[#This Row],[Attrition]],Table2[Attrition],Table2[Id_Attrition])</f>
        <v>A002</v>
      </c>
      <c r="C780" t="s">
        <v>33</v>
      </c>
      <c r="D780" t="str">
        <f>_xlfn.XLOOKUP(Table1[[#This Row],[BusinessTravel]],Table5[BusinessTravel],Table5[Id_BusinessTravel])</f>
        <v>BS001</v>
      </c>
      <c r="E780" t="s">
        <v>34</v>
      </c>
      <c r="F780">
        <v>1003</v>
      </c>
      <c r="G780" t="str">
        <f>_xlfn.XLOOKUP(Table1[[#This Row],[Department]],Table6[Department],Table6[Id_Departement])</f>
        <v>D002</v>
      </c>
      <c r="H780" t="s">
        <v>38</v>
      </c>
      <c r="I780">
        <v>8</v>
      </c>
      <c r="J780" t="str">
        <f>_xlfn.XLOOKUP(Table1[[#This Row],[Education]],Table8[Education],Table8[Id_Education])</f>
        <v>E004</v>
      </c>
      <c r="K780">
        <v>4</v>
      </c>
      <c r="L780" t="str">
        <f>_xlfn.XLOOKUP(Table1[[#This Row],[EducationField]],Table7[EducationField],Table7[Id_EducationField])</f>
        <v>EF001</v>
      </c>
      <c r="M780" t="s">
        <v>40</v>
      </c>
      <c r="N780" t="str">
        <f>_xlfn.XLOOKUP(Table1[[#This Row],[EmployeeNumber]],Table4[EmployeeNumber],Table4[Id_Employee])</f>
        <v>EMP00779</v>
      </c>
      <c r="O780">
        <v>1080</v>
      </c>
      <c r="P780" t="str">
        <f>_xlfn.XLOOKUP(Table1[[#This Row],[EnvironmentSatisfaction]],Table9[EnvironmentSatisfaction],Table9[Id_EnviromentSatisfaction])</f>
        <v>ES004</v>
      </c>
      <c r="Q780">
        <v>4</v>
      </c>
      <c r="R780" t="str">
        <f>_xlfn.XLOOKUP(Table1[[#This Row],[EnvironmentSatisfaction]],Table9[EnvironmentSatisfaction],Table9[Deskripsi])</f>
        <v>Very High</v>
      </c>
      <c r="S780" t="str">
        <f>_xlfn.XLOOKUP(Table1[[#This Row],[Gender]],Table10[Gender],Table10[Id_Gender])</f>
        <v>G001</v>
      </c>
      <c r="T780" t="s">
        <v>45</v>
      </c>
      <c r="U780">
        <v>74</v>
      </c>
      <c r="V780" t="str">
        <f>_xlfn.XLOOKUP(Table1[[#This Row],[JobInvolvement]],Table11[JobInvolvement],Table11[Id_JobInvolvement])</f>
        <v>JI002</v>
      </c>
      <c r="W780">
        <v>2</v>
      </c>
      <c r="X780" t="str">
        <f>_xlfn.XLOOKUP(Table1[[#This Row],[JobLevel]],Table12[JobLevel],Table12[Id_JobLevel])</f>
        <v>JL002</v>
      </c>
      <c r="Y780">
        <v>2</v>
      </c>
      <c r="Z780" t="str">
        <f>_xlfn.XLOOKUP(Table1[[#This Row],[JobRole]],Table13[JobRole],Table13[Id_JobRole])</f>
        <v>JR002</v>
      </c>
      <c r="AA780" t="s">
        <v>48</v>
      </c>
      <c r="AB780" t="str">
        <f>_xlfn.XLOOKUP(Table1[[#This Row],[JobSatisfaction]],Table14[JobSatisfaction],Table14[Id_JobSatisfaction])</f>
        <v>JS001</v>
      </c>
      <c r="AC780">
        <v>1</v>
      </c>
      <c r="AD780" t="str">
        <f>_xlfn.XLOOKUP(Table1[[#This Row],[JobSatisfaction]],Table14[JobSatisfaction],Table14[Deskripsi])</f>
        <v>Low</v>
      </c>
      <c r="AE780" t="str">
        <f>_xlfn.XLOOKUP(Table1[[#This Row],[MaritalStatus]],Table15[MaritalStatus],Table15[Id_MaritalStatus])</f>
        <v>MS003</v>
      </c>
      <c r="AF780" t="s">
        <v>57</v>
      </c>
      <c r="AG780">
        <v>4615</v>
      </c>
      <c r="AH780">
        <v>21029</v>
      </c>
      <c r="AI780">
        <v>8</v>
      </c>
      <c r="AJ780" t="str">
        <f>_xlfn.XLOOKUP(Table1[[#This Row],[OverTime]],Table16[OverTime],Table16[Id_OverTime])</f>
        <v>OT001</v>
      </c>
      <c r="AK780" t="s">
        <v>32</v>
      </c>
      <c r="AL780">
        <v>23</v>
      </c>
      <c r="AM780" t="str">
        <f>_xlfn.XLOOKUP(Table1[[#This Row],[PerformanceRating]],Table17[PerformanceRating],Table17[Id_PerformanceRating])</f>
        <v>PR004</v>
      </c>
      <c r="AN780">
        <v>4</v>
      </c>
      <c r="AO780" t="str">
        <f>_xlfn.XLOOKUP(Table1[[#This Row],[PerformanceRating]],Table17[PerformanceRating],Table17[Deskripsi])</f>
        <v>Outstanding</v>
      </c>
      <c r="AP780" t="str">
        <f>_xlfn.XLOOKUP(Table1[[#This Row],[RelationshipSatisfaction]],Table18[RelationshipSatisfaction],Table18[Id_RelationshipSatisfaction])</f>
        <v>RS001</v>
      </c>
      <c r="AQ780">
        <v>1</v>
      </c>
      <c r="AR780" t="str">
        <f>_xlfn.XLOOKUP(Table1[[#This Row],[RelationshipSatisfaction]],Table18[RelationshipSatisfaction],Table18[Deskripsi])</f>
        <v>Low</v>
      </c>
      <c r="AS780" t="str">
        <f>_xlfn.XLOOKUP(Table1[[#This Row],[StockOptionLevel]],Table19[StockOptionLevel],Table19[Id_StockOptionLevel])</f>
        <v>SOL004</v>
      </c>
      <c r="AT780">
        <v>3</v>
      </c>
      <c r="AU780" t="str">
        <f>_xlfn.XLOOKUP(Table1[[#This Row],[StockOptionLevel]],Table19[StockOptionLevel],Table19[Deskripsi])</f>
        <v>Senior/Executive</v>
      </c>
      <c r="AV780">
        <v>19</v>
      </c>
      <c r="AW780">
        <v>2</v>
      </c>
      <c r="AX780" t="str">
        <f>_xlfn.XLOOKUP(Table1[[#This Row],[WorkLifeBalance]],Table20[WorkLifeBalance],Table20[Id_WorkLifeBalance])</f>
        <v>WLB002</v>
      </c>
      <c r="AY780">
        <v>3</v>
      </c>
      <c r="AZ780" t="str">
        <f>_xlfn.XLOOKUP(Table1[[#This Row],[WorkLifeBalance]],Table20[WorkLifeBalance],Table20[Deskripsi])</f>
        <v>Good</v>
      </c>
      <c r="BA780">
        <v>16</v>
      </c>
      <c r="BB780">
        <v>13</v>
      </c>
      <c r="BC780">
        <v>1</v>
      </c>
      <c r="BD780">
        <v>7</v>
      </c>
    </row>
    <row r="781" spans="1:56" x14ac:dyDescent="0.25">
      <c r="A781">
        <v>51</v>
      </c>
      <c r="B781" t="str">
        <f>_xlfn.XLOOKUP(Table1[[#This Row],[Attrition]],Table2[Attrition],Table2[Id_Attrition])</f>
        <v>A001</v>
      </c>
      <c r="C781" t="s">
        <v>32</v>
      </c>
      <c r="D781" t="str">
        <f>_xlfn.XLOOKUP(Table1[[#This Row],[BusinessTravel]],Table5[BusinessTravel],Table5[Id_BusinessTravel])</f>
        <v>BS001</v>
      </c>
      <c r="E781" t="s">
        <v>34</v>
      </c>
      <c r="F781">
        <v>1323</v>
      </c>
      <c r="G781" t="str">
        <f>_xlfn.XLOOKUP(Table1[[#This Row],[Department]],Table6[Department],Table6[Id_Departement])</f>
        <v>D002</v>
      </c>
      <c r="H781" t="s">
        <v>38</v>
      </c>
      <c r="I781">
        <v>4</v>
      </c>
      <c r="J781" t="str">
        <f>_xlfn.XLOOKUP(Table1[[#This Row],[Education]],Table8[Education],Table8[Id_Education])</f>
        <v>E004</v>
      </c>
      <c r="K781">
        <v>4</v>
      </c>
      <c r="L781" t="str">
        <f>_xlfn.XLOOKUP(Table1[[#This Row],[EducationField]],Table7[EducationField],Table7[Id_EducationField])</f>
        <v>EF001</v>
      </c>
      <c r="M781" t="s">
        <v>40</v>
      </c>
      <c r="N781" t="str">
        <f>_xlfn.XLOOKUP(Table1[[#This Row],[EmployeeNumber]],Table4[EmployeeNumber],Table4[Id_Employee])</f>
        <v>EMP00780</v>
      </c>
      <c r="O781">
        <v>1081</v>
      </c>
      <c r="P781" t="str">
        <f>_xlfn.XLOOKUP(Table1[[#This Row],[EnvironmentSatisfaction]],Table9[EnvironmentSatisfaction],Table9[Id_EnviromentSatisfaction])</f>
        <v>ES001</v>
      </c>
      <c r="Q781">
        <v>1</v>
      </c>
      <c r="R781" t="str">
        <f>_xlfn.XLOOKUP(Table1[[#This Row],[EnvironmentSatisfaction]],Table9[EnvironmentSatisfaction],Table9[Deskripsi])</f>
        <v>Low</v>
      </c>
      <c r="S781" t="str">
        <f>_xlfn.XLOOKUP(Table1[[#This Row],[Gender]],Table10[Gender],Table10[Id_Gender])</f>
        <v>G002</v>
      </c>
      <c r="T781" t="s">
        <v>46</v>
      </c>
      <c r="U781">
        <v>34</v>
      </c>
      <c r="V781" t="str">
        <f>_xlfn.XLOOKUP(Table1[[#This Row],[JobInvolvement]],Table11[JobInvolvement],Table11[Id_JobInvolvement])</f>
        <v>JI003</v>
      </c>
      <c r="W781">
        <v>3</v>
      </c>
      <c r="X781" t="str">
        <f>_xlfn.XLOOKUP(Table1[[#This Row],[JobLevel]],Table12[JobLevel],Table12[Id_JobLevel])</f>
        <v>JL001</v>
      </c>
      <c r="Y781">
        <v>1</v>
      </c>
      <c r="Z781" t="str">
        <f>_xlfn.XLOOKUP(Table1[[#This Row],[JobRole]],Table13[JobRole],Table13[Id_JobRole])</f>
        <v>JR002</v>
      </c>
      <c r="AA781" t="s">
        <v>48</v>
      </c>
      <c r="AB781" t="str">
        <f>_xlfn.XLOOKUP(Table1[[#This Row],[JobSatisfaction]],Table14[JobSatisfaction],Table14[Id_JobSatisfaction])</f>
        <v>JS003</v>
      </c>
      <c r="AC781">
        <v>3</v>
      </c>
      <c r="AD781" t="str">
        <f>_xlfn.XLOOKUP(Table1[[#This Row],[JobSatisfaction]],Table14[JobSatisfaction],Table14[Deskripsi])</f>
        <v>High</v>
      </c>
      <c r="AE781" t="str">
        <f>_xlfn.XLOOKUP(Table1[[#This Row],[MaritalStatus]],Table15[MaritalStatus],Table15[Id_MaritalStatus])</f>
        <v>MS002</v>
      </c>
      <c r="AF781" t="s">
        <v>56</v>
      </c>
      <c r="AG781">
        <v>2461</v>
      </c>
      <c r="AH781">
        <v>10332</v>
      </c>
      <c r="AI781">
        <v>9</v>
      </c>
      <c r="AJ781" t="str">
        <f>_xlfn.XLOOKUP(Table1[[#This Row],[OverTime]],Table16[OverTime],Table16[Id_OverTime])</f>
        <v>OT001</v>
      </c>
      <c r="AK781" t="s">
        <v>32</v>
      </c>
      <c r="AL781">
        <v>12</v>
      </c>
      <c r="AM781" t="str">
        <f>_xlfn.XLOOKUP(Table1[[#This Row],[PerformanceRating]],Table17[PerformanceRating],Table17[Id_PerformanceRating])</f>
        <v>PR003</v>
      </c>
      <c r="AN781">
        <v>3</v>
      </c>
      <c r="AO781" t="str">
        <f>_xlfn.XLOOKUP(Table1[[#This Row],[PerformanceRating]],Table17[PerformanceRating],Table17[Deskripsi])</f>
        <v>Excellent</v>
      </c>
      <c r="AP781" t="str">
        <f>_xlfn.XLOOKUP(Table1[[#This Row],[RelationshipSatisfaction]],Table18[RelationshipSatisfaction],Table18[Id_RelationshipSatisfaction])</f>
        <v>RS003</v>
      </c>
      <c r="AQ781">
        <v>3</v>
      </c>
      <c r="AR781" t="str">
        <f>_xlfn.XLOOKUP(Table1[[#This Row],[RelationshipSatisfaction]],Table18[RelationshipSatisfaction],Table18[Deskripsi])</f>
        <v>High</v>
      </c>
      <c r="AS781" t="str">
        <f>_xlfn.XLOOKUP(Table1[[#This Row],[StockOptionLevel]],Table19[StockOptionLevel],Table19[Id_StockOptionLevel])</f>
        <v>SOL004</v>
      </c>
      <c r="AT781">
        <v>3</v>
      </c>
      <c r="AU781" t="str">
        <f>_xlfn.XLOOKUP(Table1[[#This Row],[StockOptionLevel]],Table19[StockOptionLevel],Table19[Deskripsi])</f>
        <v>Senior/Executive</v>
      </c>
      <c r="AV781">
        <v>18</v>
      </c>
      <c r="AW781">
        <v>2</v>
      </c>
      <c r="AX781" t="str">
        <f>_xlfn.XLOOKUP(Table1[[#This Row],[WorkLifeBalance]],Table20[WorkLifeBalance],Table20[Id_WorkLifeBalance])</f>
        <v>WLB004</v>
      </c>
      <c r="AY781">
        <v>4</v>
      </c>
      <c r="AZ781" t="str">
        <f>_xlfn.XLOOKUP(Table1[[#This Row],[WorkLifeBalance]],Table20[WorkLifeBalance],Table20[Deskripsi])</f>
        <v>Best</v>
      </c>
      <c r="BA781">
        <v>10</v>
      </c>
      <c r="BB781">
        <v>0</v>
      </c>
      <c r="BC781">
        <v>2</v>
      </c>
      <c r="BD781">
        <v>7</v>
      </c>
    </row>
    <row r="782" spans="1:56" x14ac:dyDescent="0.25">
      <c r="A782">
        <v>28</v>
      </c>
      <c r="B782" t="str">
        <f>_xlfn.XLOOKUP(Table1[[#This Row],[Attrition]],Table2[Attrition],Table2[Id_Attrition])</f>
        <v>A001</v>
      </c>
      <c r="C782" t="s">
        <v>32</v>
      </c>
      <c r="D782" t="str">
        <f>_xlfn.XLOOKUP(Table1[[#This Row],[BusinessTravel]],Table5[BusinessTravel],Table5[Id_BusinessTravel])</f>
        <v>BS003</v>
      </c>
      <c r="E782" t="s">
        <v>36</v>
      </c>
      <c r="F782">
        <v>1366</v>
      </c>
      <c r="G782" t="str">
        <f>_xlfn.XLOOKUP(Table1[[#This Row],[Department]],Table6[Department],Table6[Id_Departement])</f>
        <v>D002</v>
      </c>
      <c r="H782" t="s">
        <v>38</v>
      </c>
      <c r="I782">
        <v>24</v>
      </c>
      <c r="J782" t="str">
        <f>_xlfn.XLOOKUP(Table1[[#This Row],[Education]],Table8[Education],Table8[Id_Education])</f>
        <v>E002</v>
      </c>
      <c r="K782">
        <v>2</v>
      </c>
      <c r="L782" t="str">
        <f>_xlfn.XLOOKUP(Table1[[#This Row],[EducationField]],Table7[EducationField],Table7[Id_EducationField])</f>
        <v>EF005</v>
      </c>
      <c r="M782" t="s">
        <v>44</v>
      </c>
      <c r="N782" t="str">
        <f>_xlfn.XLOOKUP(Table1[[#This Row],[EmployeeNumber]],Table4[EmployeeNumber],Table4[Id_Employee])</f>
        <v>EMP00781</v>
      </c>
      <c r="O782">
        <v>1082</v>
      </c>
      <c r="P782" t="str">
        <f>_xlfn.XLOOKUP(Table1[[#This Row],[EnvironmentSatisfaction]],Table9[EnvironmentSatisfaction],Table9[Id_EnviromentSatisfaction])</f>
        <v>ES002</v>
      </c>
      <c r="Q782">
        <v>2</v>
      </c>
      <c r="R782" t="str">
        <f>_xlfn.XLOOKUP(Table1[[#This Row],[EnvironmentSatisfaction]],Table9[EnvironmentSatisfaction],Table9[Deskripsi])</f>
        <v>Medium</v>
      </c>
      <c r="S782" t="str">
        <f>_xlfn.XLOOKUP(Table1[[#This Row],[Gender]],Table10[Gender],Table10[Id_Gender])</f>
        <v>G002</v>
      </c>
      <c r="T782" t="s">
        <v>46</v>
      </c>
      <c r="U782">
        <v>72</v>
      </c>
      <c r="V782" t="str">
        <f>_xlfn.XLOOKUP(Table1[[#This Row],[JobInvolvement]],Table11[JobInvolvement],Table11[Id_JobInvolvement])</f>
        <v>JI002</v>
      </c>
      <c r="W782">
        <v>2</v>
      </c>
      <c r="X782" t="str">
        <f>_xlfn.XLOOKUP(Table1[[#This Row],[JobLevel]],Table12[JobLevel],Table12[Id_JobLevel])</f>
        <v>JL003</v>
      </c>
      <c r="Y782">
        <v>3</v>
      </c>
      <c r="Z782" t="str">
        <f>_xlfn.XLOOKUP(Table1[[#This Row],[JobRole]],Table13[JobRole],Table13[Id_JobRole])</f>
        <v>JR005</v>
      </c>
      <c r="AA782" t="s">
        <v>51</v>
      </c>
      <c r="AB782" t="str">
        <f>_xlfn.XLOOKUP(Table1[[#This Row],[JobSatisfaction]],Table14[JobSatisfaction],Table14[Id_JobSatisfaction])</f>
        <v>JS001</v>
      </c>
      <c r="AC782">
        <v>1</v>
      </c>
      <c r="AD782" t="str">
        <f>_xlfn.XLOOKUP(Table1[[#This Row],[JobSatisfaction]],Table14[JobSatisfaction],Table14[Deskripsi])</f>
        <v>Low</v>
      </c>
      <c r="AE782" t="str">
        <f>_xlfn.XLOOKUP(Table1[[#This Row],[MaritalStatus]],Table15[MaritalStatus],Table15[Id_MaritalStatus])</f>
        <v>MS001</v>
      </c>
      <c r="AF782" t="s">
        <v>55</v>
      </c>
      <c r="AG782">
        <v>8722</v>
      </c>
      <c r="AH782">
        <v>12355</v>
      </c>
      <c r="AI782">
        <v>1</v>
      </c>
      <c r="AJ782" t="str">
        <f>_xlfn.XLOOKUP(Table1[[#This Row],[OverTime]],Table16[OverTime],Table16[Id_OverTime])</f>
        <v>OT002</v>
      </c>
      <c r="AK782" t="s">
        <v>33</v>
      </c>
      <c r="AL782">
        <v>12</v>
      </c>
      <c r="AM782" t="str">
        <f>_xlfn.XLOOKUP(Table1[[#This Row],[PerformanceRating]],Table17[PerformanceRating],Table17[Id_PerformanceRating])</f>
        <v>PR003</v>
      </c>
      <c r="AN782">
        <v>3</v>
      </c>
      <c r="AO782" t="str">
        <f>_xlfn.XLOOKUP(Table1[[#This Row],[PerformanceRating]],Table17[PerformanceRating],Table17[Deskripsi])</f>
        <v>Excellent</v>
      </c>
      <c r="AP782" t="str">
        <f>_xlfn.XLOOKUP(Table1[[#This Row],[RelationshipSatisfaction]],Table18[RelationshipSatisfaction],Table18[Id_RelationshipSatisfaction])</f>
        <v>RS001</v>
      </c>
      <c r="AQ782">
        <v>1</v>
      </c>
      <c r="AR782" t="str">
        <f>_xlfn.XLOOKUP(Table1[[#This Row],[RelationshipSatisfaction]],Table18[RelationshipSatisfaction],Table18[Deskripsi])</f>
        <v>Low</v>
      </c>
      <c r="AS782" t="str">
        <f>_xlfn.XLOOKUP(Table1[[#This Row],[StockOptionLevel]],Table19[StockOptionLevel],Table19[Id_StockOptionLevel])</f>
        <v>SOL001</v>
      </c>
      <c r="AT782">
        <v>0</v>
      </c>
      <c r="AU782" t="str">
        <f>_xlfn.XLOOKUP(Table1[[#This Row],[StockOptionLevel]],Table19[StockOptionLevel],Table19[Deskripsi])</f>
        <v>Non-Eligible</v>
      </c>
      <c r="AV782">
        <v>10</v>
      </c>
      <c r="AW782">
        <v>2</v>
      </c>
      <c r="AX782" t="str">
        <f>_xlfn.XLOOKUP(Table1[[#This Row],[WorkLifeBalance]],Table20[WorkLifeBalance],Table20[Id_WorkLifeBalance])</f>
        <v>WLB003</v>
      </c>
      <c r="AY782">
        <v>2</v>
      </c>
      <c r="AZ782" t="str">
        <f>_xlfn.XLOOKUP(Table1[[#This Row],[WorkLifeBalance]],Table20[WorkLifeBalance],Table20[Deskripsi])</f>
        <v>Better</v>
      </c>
      <c r="BA782">
        <v>10</v>
      </c>
      <c r="BB782">
        <v>7</v>
      </c>
      <c r="BC782">
        <v>1</v>
      </c>
      <c r="BD782">
        <v>9</v>
      </c>
    </row>
    <row r="783" spans="1:56" x14ac:dyDescent="0.25">
      <c r="A783">
        <v>26</v>
      </c>
      <c r="B783" t="str">
        <f>_xlfn.XLOOKUP(Table1[[#This Row],[Attrition]],Table2[Attrition],Table2[Id_Attrition])</f>
        <v>A002</v>
      </c>
      <c r="C783" t="s">
        <v>33</v>
      </c>
      <c r="D783" t="str">
        <f>_xlfn.XLOOKUP(Table1[[#This Row],[BusinessTravel]],Table5[BusinessTravel],Table5[Id_BusinessTravel])</f>
        <v>BS001</v>
      </c>
      <c r="E783" t="s">
        <v>34</v>
      </c>
      <c r="F783">
        <v>192</v>
      </c>
      <c r="G783" t="str">
        <f>_xlfn.XLOOKUP(Table1[[#This Row],[Department]],Table6[Department],Table6[Id_Departement])</f>
        <v>D002</v>
      </c>
      <c r="H783" t="s">
        <v>38</v>
      </c>
      <c r="I783">
        <v>1</v>
      </c>
      <c r="J783" t="str">
        <f>_xlfn.XLOOKUP(Table1[[#This Row],[Education]],Table8[Education],Table8[Id_Education])</f>
        <v>E002</v>
      </c>
      <c r="K783">
        <v>2</v>
      </c>
      <c r="L783" t="str">
        <f>_xlfn.XLOOKUP(Table1[[#This Row],[EducationField]],Table7[EducationField],Table7[Id_EducationField])</f>
        <v>EF003</v>
      </c>
      <c r="M783" t="s">
        <v>42</v>
      </c>
      <c r="N783" t="str">
        <f>_xlfn.XLOOKUP(Table1[[#This Row],[EmployeeNumber]],Table4[EmployeeNumber],Table4[Id_Employee])</f>
        <v>EMP00782</v>
      </c>
      <c r="O783">
        <v>1083</v>
      </c>
      <c r="P783" t="str">
        <f>_xlfn.XLOOKUP(Table1[[#This Row],[EnvironmentSatisfaction]],Table9[EnvironmentSatisfaction],Table9[Id_EnviromentSatisfaction])</f>
        <v>ES001</v>
      </c>
      <c r="Q783">
        <v>1</v>
      </c>
      <c r="R783" t="str">
        <f>_xlfn.XLOOKUP(Table1[[#This Row],[EnvironmentSatisfaction]],Table9[EnvironmentSatisfaction],Table9[Deskripsi])</f>
        <v>Low</v>
      </c>
      <c r="S783" t="str">
        <f>_xlfn.XLOOKUP(Table1[[#This Row],[Gender]],Table10[Gender],Table10[Id_Gender])</f>
        <v>G002</v>
      </c>
      <c r="T783" t="s">
        <v>46</v>
      </c>
      <c r="U783">
        <v>59</v>
      </c>
      <c r="V783" t="str">
        <f>_xlfn.XLOOKUP(Table1[[#This Row],[JobInvolvement]],Table11[JobInvolvement],Table11[Id_JobInvolvement])</f>
        <v>JI002</v>
      </c>
      <c r="W783">
        <v>2</v>
      </c>
      <c r="X783" t="str">
        <f>_xlfn.XLOOKUP(Table1[[#This Row],[JobLevel]],Table12[JobLevel],Table12[Id_JobLevel])</f>
        <v>JL001</v>
      </c>
      <c r="Y783">
        <v>1</v>
      </c>
      <c r="Z783" t="str">
        <f>_xlfn.XLOOKUP(Table1[[#This Row],[JobRole]],Table13[JobRole],Table13[Id_JobRole])</f>
        <v>JR003</v>
      </c>
      <c r="AA783" t="s">
        <v>49</v>
      </c>
      <c r="AB783" t="str">
        <f>_xlfn.XLOOKUP(Table1[[#This Row],[JobSatisfaction]],Table14[JobSatisfaction],Table14[Id_JobSatisfaction])</f>
        <v>JS001</v>
      </c>
      <c r="AC783">
        <v>1</v>
      </c>
      <c r="AD783" t="str">
        <f>_xlfn.XLOOKUP(Table1[[#This Row],[JobSatisfaction]],Table14[JobSatisfaction],Table14[Deskripsi])</f>
        <v>Low</v>
      </c>
      <c r="AE783" t="str">
        <f>_xlfn.XLOOKUP(Table1[[#This Row],[MaritalStatus]],Table15[MaritalStatus],Table15[Id_MaritalStatus])</f>
        <v>MS002</v>
      </c>
      <c r="AF783" t="s">
        <v>56</v>
      </c>
      <c r="AG783">
        <v>3955</v>
      </c>
      <c r="AH783">
        <v>11141</v>
      </c>
      <c r="AI783">
        <v>1</v>
      </c>
      <c r="AJ783" t="str">
        <f>_xlfn.XLOOKUP(Table1[[#This Row],[OverTime]],Table16[OverTime],Table16[Id_OverTime])</f>
        <v>OT002</v>
      </c>
      <c r="AK783" t="s">
        <v>33</v>
      </c>
      <c r="AL783">
        <v>16</v>
      </c>
      <c r="AM783" t="str">
        <f>_xlfn.XLOOKUP(Table1[[#This Row],[PerformanceRating]],Table17[PerformanceRating],Table17[Id_PerformanceRating])</f>
        <v>PR003</v>
      </c>
      <c r="AN783">
        <v>3</v>
      </c>
      <c r="AO783" t="str">
        <f>_xlfn.XLOOKUP(Table1[[#This Row],[PerformanceRating]],Table17[PerformanceRating],Table17[Deskripsi])</f>
        <v>Excellent</v>
      </c>
      <c r="AP783" t="str">
        <f>_xlfn.XLOOKUP(Table1[[#This Row],[RelationshipSatisfaction]],Table18[RelationshipSatisfaction],Table18[Id_RelationshipSatisfaction])</f>
        <v>RS001</v>
      </c>
      <c r="AQ783">
        <v>1</v>
      </c>
      <c r="AR783" t="str">
        <f>_xlfn.XLOOKUP(Table1[[#This Row],[RelationshipSatisfaction]],Table18[RelationshipSatisfaction],Table18[Deskripsi])</f>
        <v>Low</v>
      </c>
      <c r="AS783" t="str">
        <f>_xlfn.XLOOKUP(Table1[[#This Row],[StockOptionLevel]],Table19[StockOptionLevel],Table19[Id_StockOptionLevel])</f>
        <v>SOL003</v>
      </c>
      <c r="AT783">
        <v>2</v>
      </c>
      <c r="AU783" t="str">
        <f>_xlfn.XLOOKUP(Table1[[#This Row],[StockOptionLevel]],Table19[StockOptionLevel],Table19[Deskripsi])</f>
        <v>Intermediate</v>
      </c>
      <c r="AV783">
        <v>6</v>
      </c>
      <c r="AW783">
        <v>2</v>
      </c>
      <c r="AX783" t="str">
        <f>_xlfn.XLOOKUP(Table1[[#This Row],[WorkLifeBalance]],Table20[WorkLifeBalance],Table20[Id_WorkLifeBalance])</f>
        <v>WLB002</v>
      </c>
      <c r="AY783">
        <v>3</v>
      </c>
      <c r="AZ783" t="str">
        <f>_xlfn.XLOOKUP(Table1[[#This Row],[WorkLifeBalance]],Table20[WorkLifeBalance],Table20[Deskripsi])</f>
        <v>Good</v>
      </c>
      <c r="BA783">
        <v>5</v>
      </c>
      <c r="BB783">
        <v>3</v>
      </c>
      <c r="BC783">
        <v>1</v>
      </c>
      <c r="BD783">
        <v>3</v>
      </c>
    </row>
    <row r="784" spans="1:56" x14ac:dyDescent="0.25">
      <c r="A784">
        <v>30</v>
      </c>
      <c r="B784" t="str">
        <f>_xlfn.XLOOKUP(Table1[[#This Row],[Attrition]],Table2[Attrition],Table2[Id_Attrition])</f>
        <v>A002</v>
      </c>
      <c r="C784" t="s">
        <v>33</v>
      </c>
      <c r="D784" t="str">
        <f>_xlfn.XLOOKUP(Table1[[#This Row],[BusinessTravel]],Table5[BusinessTravel],Table5[Id_BusinessTravel])</f>
        <v>BS001</v>
      </c>
      <c r="E784" t="s">
        <v>34</v>
      </c>
      <c r="F784">
        <v>1176</v>
      </c>
      <c r="G784" t="str">
        <f>_xlfn.XLOOKUP(Table1[[#This Row],[Department]],Table6[Department],Table6[Id_Departement])</f>
        <v>D002</v>
      </c>
      <c r="H784" t="s">
        <v>38</v>
      </c>
      <c r="I784">
        <v>20</v>
      </c>
      <c r="J784" t="str">
        <f>_xlfn.XLOOKUP(Table1[[#This Row],[Education]],Table8[Education],Table8[Id_Education])</f>
        <v>E003</v>
      </c>
      <c r="K784">
        <v>3</v>
      </c>
      <c r="L784" t="str">
        <f>_xlfn.XLOOKUP(Table1[[#This Row],[EducationField]],Table7[EducationField],Table7[Id_EducationField])</f>
        <v>EF002</v>
      </c>
      <c r="M784" t="s">
        <v>41</v>
      </c>
      <c r="N784" t="str">
        <f>_xlfn.XLOOKUP(Table1[[#This Row],[EmployeeNumber]],Table4[EmployeeNumber],Table4[Id_Employee])</f>
        <v>EMP00783</v>
      </c>
      <c r="O784">
        <v>1084</v>
      </c>
      <c r="P784" t="str">
        <f>_xlfn.XLOOKUP(Table1[[#This Row],[EnvironmentSatisfaction]],Table9[EnvironmentSatisfaction],Table9[Id_EnviromentSatisfaction])</f>
        <v>ES003</v>
      </c>
      <c r="Q784">
        <v>3</v>
      </c>
      <c r="R784" t="str">
        <f>_xlfn.XLOOKUP(Table1[[#This Row],[EnvironmentSatisfaction]],Table9[EnvironmentSatisfaction],Table9[Deskripsi])</f>
        <v>High</v>
      </c>
      <c r="S784" t="str">
        <f>_xlfn.XLOOKUP(Table1[[#This Row],[Gender]],Table10[Gender],Table10[Id_Gender])</f>
        <v>G002</v>
      </c>
      <c r="T784" t="s">
        <v>46</v>
      </c>
      <c r="U784">
        <v>85</v>
      </c>
      <c r="V784" t="str">
        <f>_xlfn.XLOOKUP(Table1[[#This Row],[JobInvolvement]],Table11[JobInvolvement],Table11[Id_JobInvolvement])</f>
        <v>JI003</v>
      </c>
      <c r="W784">
        <v>3</v>
      </c>
      <c r="X784" t="str">
        <f>_xlfn.XLOOKUP(Table1[[#This Row],[JobLevel]],Table12[JobLevel],Table12[Id_JobLevel])</f>
        <v>JL002</v>
      </c>
      <c r="Y784">
        <v>2</v>
      </c>
      <c r="Z784" t="str">
        <f>_xlfn.XLOOKUP(Table1[[#This Row],[JobRole]],Table13[JobRole],Table13[Id_JobRole])</f>
        <v>JR004</v>
      </c>
      <c r="AA784" t="s">
        <v>50</v>
      </c>
      <c r="AB784" t="str">
        <f>_xlfn.XLOOKUP(Table1[[#This Row],[JobSatisfaction]],Table14[JobSatisfaction],Table14[Id_JobSatisfaction])</f>
        <v>JS001</v>
      </c>
      <c r="AC784">
        <v>1</v>
      </c>
      <c r="AD784" t="str">
        <f>_xlfn.XLOOKUP(Table1[[#This Row],[JobSatisfaction]],Table14[JobSatisfaction],Table14[Deskripsi])</f>
        <v>Low</v>
      </c>
      <c r="AE784" t="str">
        <f>_xlfn.XLOOKUP(Table1[[#This Row],[MaritalStatus]],Table15[MaritalStatus],Table15[Id_MaritalStatus])</f>
        <v>MS002</v>
      </c>
      <c r="AF784" t="s">
        <v>56</v>
      </c>
      <c r="AG784">
        <v>9957</v>
      </c>
      <c r="AH784">
        <v>9096</v>
      </c>
      <c r="AI784">
        <v>0</v>
      </c>
      <c r="AJ784" t="str">
        <f>_xlfn.XLOOKUP(Table1[[#This Row],[OverTime]],Table16[OverTime],Table16[Id_OverTime])</f>
        <v>OT002</v>
      </c>
      <c r="AK784" t="s">
        <v>33</v>
      </c>
      <c r="AL784">
        <v>15</v>
      </c>
      <c r="AM784" t="str">
        <f>_xlfn.XLOOKUP(Table1[[#This Row],[PerformanceRating]],Table17[PerformanceRating],Table17[Id_PerformanceRating])</f>
        <v>PR003</v>
      </c>
      <c r="AN784">
        <v>3</v>
      </c>
      <c r="AO784" t="str">
        <f>_xlfn.XLOOKUP(Table1[[#This Row],[PerformanceRating]],Table17[PerformanceRating],Table17[Deskripsi])</f>
        <v>Excellent</v>
      </c>
      <c r="AP784" t="str">
        <f>_xlfn.XLOOKUP(Table1[[#This Row],[RelationshipSatisfaction]],Table18[RelationshipSatisfaction],Table18[Id_RelationshipSatisfaction])</f>
        <v>RS003</v>
      </c>
      <c r="AQ784">
        <v>3</v>
      </c>
      <c r="AR784" t="str">
        <f>_xlfn.XLOOKUP(Table1[[#This Row],[RelationshipSatisfaction]],Table18[RelationshipSatisfaction],Table18[Deskripsi])</f>
        <v>High</v>
      </c>
      <c r="AS784" t="str">
        <f>_xlfn.XLOOKUP(Table1[[#This Row],[StockOptionLevel]],Table19[StockOptionLevel],Table19[Id_StockOptionLevel])</f>
        <v>SOL002</v>
      </c>
      <c r="AT784">
        <v>1</v>
      </c>
      <c r="AU784" t="str">
        <f>_xlfn.XLOOKUP(Table1[[#This Row],[StockOptionLevel]],Table19[StockOptionLevel],Table19[Deskripsi])</f>
        <v>Standard</v>
      </c>
      <c r="AV784">
        <v>7</v>
      </c>
      <c r="AW784">
        <v>1</v>
      </c>
      <c r="AX784" t="str">
        <f>_xlfn.XLOOKUP(Table1[[#This Row],[WorkLifeBalance]],Table20[WorkLifeBalance],Table20[Id_WorkLifeBalance])</f>
        <v>WLB003</v>
      </c>
      <c r="AY784">
        <v>2</v>
      </c>
      <c r="AZ784" t="str">
        <f>_xlfn.XLOOKUP(Table1[[#This Row],[WorkLifeBalance]],Table20[WorkLifeBalance],Table20[Deskripsi])</f>
        <v>Better</v>
      </c>
      <c r="BA784">
        <v>6</v>
      </c>
      <c r="BB784">
        <v>2</v>
      </c>
      <c r="BC784">
        <v>0</v>
      </c>
      <c r="BD784">
        <v>2</v>
      </c>
    </row>
    <row r="785" spans="1:56" x14ac:dyDescent="0.25">
      <c r="A785">
        <v>41</v>
      </c>
      <c r="B785" t="str">
        <f>_xlfn.XLOOKUP(Table1[[#This Row],[Attrition]],Table2[Attrition],Table2[Id_Attrition])</f>
        <v>A002</v>
      </c>
      <c r="C785" t="s">
        <v>33</v>
      </c>
      <c r="D785" t="str">
        <f>_xlfn.XLOOKUP(Table1[[#This Row],[BusinessTravel]],Table5[BusinessTravel],Table5[Id_BusinessTravel])</f>
        <v>BS001</v>
      </c>
      <c r="E785" t="s">
        <v>34</v>
      </c>
      <c r="F785">
        <v>509</v>
      </c>
      <c r="G785" t="str">
        <f>_xlfn.XLOOKUP(Table1[[#This Row],[Department]],Table6[Department],Table6[Id_Departement])</f>
        <v>D002</v>
      </c>
      <c r="H785" t="s">
        <v>38</v>
      </c>
      <c r="I785">
        <v>7</v>
      </c>
      <c r="J785" t="str">
        <f>_xlfn.XLOOKUP(Table1[[#This Row],[Education]],Table8[Education],Table8[Id_Education])</f>
        <v>E002</v>
      </c>
      <c r="K785">
        <v>2</v>
      </c>
      <c r="L785" t="str">
        <f>_xlfn.XLOOKUP(Table1[[#This Row],[EducationField]],Table7[EducationField],Table7[Id_EducationField])</f>
        <v>EF005</v>
      </c>
      <c r="M785" t="s">
        <v>44</v>
      </c>
      <c r="N785" t="str">
        <f>_xlfn.XLOOKUP(Table1[[#This Row],[EmployeeNumber]],Table4[EmployeeNumber],Table4[Id_Employee])</f>
        <v>EMP00784</v>
      </c>
      <c r="O785">
        <v>1085</v>
      </c>
      <c r="P785" t="str">
        <f>_xlfn.XLOOKUP(Table1[[#This Row],[EnvironmentSatisfaction]],Table9[EnvironmentSatisfaction],Table9[Id_EnviromentSatisfaction])</f>
        <v>ES002</v>
      </c>
      <c r="Q785">
        <v>2</v>
      </c>
      <c r="R785" t="str">
        <f>_xlfn.XLOOKUP(Table1[[#This Row],[EnvironmentSatisfaction]],Table9[EnvironmentSatisfaction],Table9[Deskripsi])</f>
        <v>Medium</v>
      </c>
      <c r="S785" t="str">
        <f>_xlfn.XLOOKUP(Table1[[#This Row],[Gender]],Table10[Gender],Table10[Id_Gender])</f>
        <v>G001</v>
      </c>
      <c r="T785" t="s">
        <v>45</v>
      </c>
      <c r="U785">
        <v>43</v>
      </c>
      <c r="V785" t="str">
        <f>_xlfn.XLOOKUP(Table1[[#This Row],[JobInvolvement]],Table11[JobInvolvement],Table11[Id_JobInvolvement])</f>
        <v>JI004</v>
      </c>
      <c r="W785">
        <v>4</v>
      </c>
      <c r="X785" t="str">
        <f>_xlfn.XLOOKUP(Table1[[#This Row],[JobLevel]],Table12[JobLevel],Table12[Id_JobLevel])</f>
        <v>JL001</v>
      </c>
      <c r="Y785">
        <v>1</v>
      </c>
      <c r="Z785" t="str">
        <f>_xlfn.XLOOKUP(Table1[[#This Row],[JobRole]],Table13[JobRole],Table13[Id_JobRole])</f>
        <v>JR002</v>
      </c>
      <c r="AA785" t="s">
        <v>48</v>
      </c>
      <c r="AB785" t="str">
        <f>_xlfn.XLOOKUP(Table1[[#This Row],[JobSatisfaction]],Table14[JobSatisfaction],Table14[Id_JobSatisfaction])</f>
        <v>JS003</v>
      </c>
      <c r="AC785">
        <v>3</v>
      </c>
      <c r="AD785" t="str">
        <f>_xlfn.XLOOKUP(Table1[[#This Row],[JobSatisfaction]],Table14[JobSatisfaction],Table14[Deskripsi])</f>
        <v>High</v>
      </c>
      <c r="AE785" t="str">
        <f>_xlfn.XLOOKUP(Table1[[#This Row],[MaritalStatus]],Table15[MaritalStatus],Table15[Id_MaritalStatus])</f>
        <v>MS002</v>
      </c>
      <c r="AF785" t="s">
        <v>56</v>
      </c>
      <c r="AG785">
        <v>3376</v>
      </c>
      <c r="AH785">
        <v>18863</v>
      </c>
      <c r="AI785">
        <v>1</v>
      </c>
      <c r="AJ785" t="str">
        <f>_xlfn.XLOOKUP(Table1[[#This Row],[OverTime]],Table16[OverTime],Table16[Id_OverTime])</f>
        <v>OT002</v>
      </c>
      <c r="AK785" t="s">
        <v>33</v>
      </c>
      <c r="AL785">
        <v>13</v>
      </c>
      <c r="AM785" t="str">
        <f>_xlfn.XLOOKUP(Table1[[#This Row],[PerformanceRating]],Table17[PerformanceRating],Table17[Id_PerformanceRating])</f>
        <v>PR003</v>
      </c>
      <c r="AN785">
        <v>3</v>
      </c>
      <c r="AO785" t="str">
        <f>_xlfn.XLOOKUP(Table1[[#This Row],[PerformanceRating]],Table17[PerformanceRating],Table17[Deskripsi])</f>
        <v>Excellent</v>
      </c>
      <c r="AP785" t="str">
        <f>_xlfn.XLOOKUP(Table1[[#This Row],[RelationshipSatisfaction]],Table18[RelationshipSatisfaction],Table18[Id_RelationshipSatisfaction])</f>
        <v>RS003</v>
      </c>
      <c r="AQ785">
        <v>3</v>
      </c>
      <c r="AR785" t="str">
        <f>_xlfn.XLOOKUP(Table1[[#This Row],[RelationshipSatisfaction]],Table18[RelationshipSatisfaction],Table18[Deskripsi])</f>
        <v>High</v>
      </c>
      <c r="AS785" t="str">
        <f>_xlfn.XLOOKUP(Table1[[#This Row],[StockOptionLevel]],Table19[StockOptionLevel],Table19[Id_StockOptionLevel])</f>
        <v>SOL001</v>
      </c>
      <c r="AT785">
        <v>0</v>
      </c>
      <c r="AU785" t="str">
        <f>_xlfn.XLOOKUP(Table1[[#This Row],[StockOptionLevel]],Table19[StockOptionLevel],Table19[Deskripsi])</f>
        <v>Non-Eligible</v>
      </c>
      <c r="AV785">
        <v>10</v>
      </c>
      <c r="AW785">
        <v>3</v>
      </c>
      <c r="AX785" t="str">
        <f>_xlfn.XLOOKUP(Table1[[#This Row],[WorkLifeBalance]],Table20[WorkLifeBalance],Table20[Id_WorkLifeBalance])</f>
        <v>WLB002</v>
      </c>
      <c r="AY785">
        <v>3</v>
      </c>
      <c r="AZ785" t="str">
        <f>_xlfn.XLOOKUP(Table1[[#This Row],[WorkLifeBalance]],Table20[WorkLifeBalance],Table20[Deskripsi])</f>
        <v>Good</v>
      </c>
      <c r="BA785">
        <v>10</v>
      </c>
      <c r="BB785">
        <v>6</v>
      </c>
      <c r="BC785">
        <v>0</v>
      </c>
      <c r="BD785">
        <v>8</v>
      </c>
    </row>
    <row r="786" spans="1:56" x14ac:dyDescent="0.25">
      <c r="A786">
        <v>38</v>
      </c>
      <c r="B786" t="str">
        <f>_xlfn.XLOOKUP(Table1[[#This Row],[Attrition]],Table2[Attrition],Table2[Id_Attrition])</f>
        <v>A002</v>
      </c>
      <c r="C786" t="s">
        <v>33</v>
      </c>
      <c r="D786" t="str">
        <f>_xlfn.XLOOKUP(Table1[[#This Row],[BusinessTravel]],Table5[BusinessTravel],Table5[Id_BusinessTravel])</f>
        <v>BS001</v>
      </c>
      <c r="E786" t="s">
        <v>34</v>
      </c>
      <c r="F786">
        <v>330</v>
      </c>
      <c r="G786" t="str">
        <f>_xlfn.XLOOKUP(Table1[[#This Row],[Department]],Table6[Department],Table6[Id_Departement])</f>
        <v>D002</v>
      </c>
      <c r="H786" t="s">
        <v>38</v>
      </c>
      <c r="I786">
        <v>17</v>
      </c>
      <c r="J786" t="str">
        <f>_xlfn.XLOOKUP(Table1[[#This Row],[Education]],Table8[Education],Table8[Id_Education])</f>
        <v>E001</v>
      </c>
      <c r="K786">
        <v>1</v>
      </c>
      <c r="L786" t="str">
        <f>_xlfn.XLOOKUP(Table1[[#This Row],[EducationField]],Table7[EducationField],Table7[Id_EducationField])</f>
        <v>EF001</v>
      </c>
      <c r="M786" t="s">
        <v>40</v>
      </c>
      <c r="N786" t="str">
        <f>_xlfn.XLOOKUP(Table1[[#This Row],[EmployeeNumber]],Table4[EmployeeNumber],Table4[Id_Employee])</f>
        <v>EMP00785</v>
      </c>
      <c r="O786">
        <v>1088</v>
      </c>
      <c r="P786" t="str">
        <f>_xlfn.XLOOKUP(Table1[[#This Row],[EnvironmentSatisfaction]],Table9[EnvironmentSatisfaction],Table9[Id_EnviromentSatisfaction])</f>
        <v>ES003</v>
      </c>
      <c r="Q786">
        <v>3</v>
      </c>
      <c r="R786" t="str">
        <f>_xlfn.XLOOKUP(Table1[[#This Row],[EnvironmentSatisfaction]],Table9[EnvironmentSatisfaction],Table9[Deskripsi])</f>
        <v>High</v>
      </c>
      <c r="S786" t="str">
        <f>_xlfn.XLOOKUP(Table1[[#This Row],[Gender]],Table10[Gender],Table10[Id_Gender])</f>
        <v>G001</v>
      </c>
      <c r="T786" t="s">
        <v>45</v>
      </c>
      <c r="U786">
        <v>65</v>
      </c>
      <c r="V786" t="str">
        <f>_xlfn.XLOOKUP(Table1[[#This Row],[JobInvolvement]],Table11[JobInvolvement],Table11[Id_JobInvolvement])</f>
        <v>JI002</v>
      </c>
      <c r="W786">
        <v>2</v>
      </c>
      <c r="X786" t="str">
        <f>_xlfn.XLOOKUP(Table1[[#This Row],[JobLevel]],Table12[JobLevel],Table12[Id_JobLevel])</f>
        <v>JL003</v>
      </c>
      <c r="Y786">
        <v>3</v>
      </c>
      <c r="Z786" t="str">
        <f>_xlfn.XLOOKUP(Table1[[#This Row],[JobRole]],Table13[JobRole],Table13[Id_JobRole])</f>
        <v>JR005</v>
      </c>
      <c r="AA786" t="s">
        <v>51</v>
      </c>
      <c r="AB786" t="str">
        <f>_xlfn.XLOOKUP(Table1[[#This Row],[JobSatisfaction]],Table14[JobSatisfaction],Table14[Id_JobSatisfaction])</f>
        <v>JS003</v>
      </c>
      <c r="AC786">
        <v>3</v>
      </c>
      <c r="AD786" t="str">
        <f>_xlfn.XLOOKUP(Table1[[#This Row],[JobSatisfaction]],Table14[JobSatisfaction],Table14[Deskripsi])</f>
        <v>High</v>
      </c>
      <c r="AE786" t="str">
        <f>_xlfn.XLOOKUP(Table1[[#This Row],[MaritalStatus]],Table15[MaritalStatus],Table15[Id_MaritalStatus])</f>
        <v>MS002</v>
      </c>
      <c r="AF786" t="s">
        <v>56</v>
      </c>
      <c r="AG786">
        <v>8823</v>
      </c>
      <c r="AH786">
        <v>24608</v>
      </c>
      <c r="AI786">
        <v>0</v>
      </c>
      <c r="AJ786" t="str">
        <f>_xlfn.XLOOKUP(Table1[[#This Row],[OverTime]],Table16[OverTime],Table16[Id_OverTime])</f>
        <v>OT002</v>
      </c>
      <c r="AK786" t="s">
        <v>33</v>
      </c>
      <c r="AL786">
        <v>18</v>
      </c>
      <c r="AM786" t="str">
        <f>_xlfn.XLOOKUP(Table1[[#This Row],[PerformanceRating]],Table17[PerformanceRating],Table17[Id_PerformanceRating])</f>
        <v>PR003</v>
      </c>
      <c r="AN786">
        <v>3</v>
      </c>
      <c r="AO786" t="str">
        <f>_xlfn.XLOOKUP(Table1[[#This Row],[PerformanceRating]],Table17[PerformanceRating],Table17[Deskripsi])</f>
        <v>Excellent</v>
      </c>
      <c r="AP786" t="str">
        <f>_xlfn.XLOOKUP(Table1[[#This Row],[RelationshipSatisfaction]],Table18[RelationshipSatisfaction],Table18[Id_RelationshipSatisfaction])</f>
        <v>RS001</v>
      </c>
      <c r="AQ786">
        <v>1</v>
      </c>
      <c r="AR786" t="str">
        <f>_xlfn.XLOOKUP(Table1[[#This Row],[RelationshipSatisfaction]],Table18[RelationshipSatisfaction],Table18[Deskripsi])</f>
        <v>Low</v>
      </c>
      <c r="AS786" t="str">
        <f>_xlfn.XLOOKUP(Table1[[#This Row],[StockOptionLevel]],Table19[StockOptionLevel],Table19[Id_StockOptionLevel])</f>
        <v>SOL002</v>
      </c>
      <c r="AT786">
        <v>1</v>
      </c>
      <c r="AU786" t="str">
        <f>_xlfn.XLOOKUP(Table1[[#This Row],[StockOptionLevel]],Table19[StockOptionLevel],Table19[Deskripsi])</f>
        <v>Standard</v>
      </c>
      <c r="AV786">
        <v>20</v>
      </c>
      <c r="AW786">
        <v>4</v>
      </c>
      <c r="AX786" t="str">
        <f>_xlfn.XLOOKUP(Table1[[#This Row],[WorkLifeBalance]],Table20[WorkLifeBalance],Table20[Id_WorkLifeBalance])</f>
        <v>WLB003</v>
      </c>
      <c r="AY786">
        <v>2</v>
      </c>
      <c r="AZ786" t="str">
        <f>_xlfn.XLOOKUP(Table1[[#This Row],[WorkLifeBalance]],Table20[WorkLifeBalance],Table20[Deskripsi])</f>
        <v>Better</v>
      </c>
      <c r="BA786">
        <v>19</v>
      </c>
      <c r="BB786">
        <v>9</v>
      </c>
      <c r="BC786">
        <v>1</v>
      </c>
      <c r="BD786">
        <v>9</v>
      </c>
    </row>
    <row r="787" spans="1:56" x14ac:dyDescent="0.25">
      <c r="A787">
        <v>40</v>
      </c>
      <c r="B787" t="str">
        <f>_xlfn.XLOOKUP(Table1[[#This Row],[Attrition]],Table2[Attrition],Table2[Id_Attrition])</f>
        <v>A002</v>
      </c>
      <c r="C787" t="s">
        <v>33</v>
      </c>
      <c r="D787" t="str">
        <f>_xlfn.XLOOKUP(Table1[[#This Row],[BusinessTravel]],Table5[BusinessTravel],Table5[Id_BusinessTravel])</f>
        <v>BS001</v>
      </c>
      <c r="E787" t="s">
        <v>34</v>
      </c>
      <c r="F787">
        <v>1492</v>
      </c>
      <c r="G787" t="str">
        <f>_xlfn.XLOOKUP(Table1[[#This Row],[Department]],Table6[Department],Table6[Id_Departement])</f>
        <v>D002</v>
      </c>
      <c r="H787" t="s">
        <v>38</v>
      </c>
      <c r="I787">
        <v>20</v>
      </c>
      <c r="J787" t="str">
        <f>_xlfn.XLOOKUP(Table1[[#This Row],[Education]],Table8[Education],Table8[Id_Education])</f>
        <v>E004</v>
      </c>
      <c r="K787">
        <v>4</v>
      </c>
      <c r="L787" t="str">
        <f>_xlfn.XLOOKUP(Table1[[#This Row],[EducationField]],Table7[EducationField],Table7[Id_EducationField])</f>
        <v>EF005</v>
      </c>
      <c r="M787" t="s">
        <v>44</v>
      </c>
      <c r="N787" t="str">
        <f>_xlfn.XLOOKUP(Table1[[#This Row],[EmployeeNumber]],Table4[EmployeeNumber],Table4[Id_Employee])</f>
        <v>EMP00786</v>
      </c>
      <c r="O787">
        <v>1092</v>
      </c>
      <c r="P787" t="str">
        <f>_xlfn.XLOOKUP(Table1[[#This Row],[EnvironmentSatisfaction]],Table9[EnvironmentSatisfaction],Table9[Id_EnviromentSatisfaction])</f>
        <v>ES001</v>
      </c>
      <c r="Q787">
        <v>1</v>
      </c>
      <c r="R787" t="str">
        <f>_xlfn.XLOOKUP(Table1[[#This Row],[EnvironmentSatisfaction]],Table9[EnvironmentSatisfaction],Table9[Deskripsi])</f>
        <v>Low</v>
      </c>
      <c r="S787" t="str">
        <f>_xlfn.XLOOKUP(Table1[[#This Row],[Gender]],Table10[Gender],Table10[Id_Gender])</f>
        <v>G002</v>
      </c>
      <c r="T787" t="s">
        <v>46</v>
      </c>
      <c r="U787">
        <v>61</v>
      </c>
      <c r="V787" t="str">
        <f>_xlfn.XLOOKUP(Table1[[#This Row],[JobInvolvement]],Table11[JobInvolvement],Table11[Id_JobInvolvement])</f>
        <v>JI003</v>
      </c>
      <c r="W787">
        <v>3</v>
      </c>
      <c r="X787" t="str">
        <f>_xlfn.XLOOKUP(Table1[[#This Row],[JobLevel]],Table12[JobLevel],Table12[Id_JobLevel])</f>
        <v>JL003</v>
      </c>
      <c r="Y787">
        <v>3</v>
      </c>
      <c r="Z787" t="str">
        <f>_xlfn.XLOOKUP(Table1[[#This Row],[JobRole]],Table13[JobRole],Table13[Id_JobRole])</f>
        <v>JR005</v>
      </c>
      <c r="AA787" t="s">
        <v>51</v>
      </c>
      <c r="AB787" t="str">
        <f>_xlfn.XLOOKUP(Table1[[#This Row],[JobSatisfaction]],Table14[JobSatisfaction],Table14[Id_JobSatisfaction])</f>
        <v>JS004</v>
      </c>
      <c r="AC787">
        <v>4</v>
      </c>
      <c r="AD787" t="str">
        <f>_xlfn.XLOOKUP(Table1[[#This Row],[JobSatisfaction]],Table14[JobSatisfaction],Table14[Deskripsi])</f>
        <v>Very High</v>
      </c>
      <c r="AE787" t="str">
        <f>_xlfn.XLOOKUP(Table1[[#This Row],[MaritalStatus]],Table15[MaritalStatus],Table15[Id_MaritalStatus])</f>
        <v>MS002</v>
      </c>
      <c r="AF787" t="s">
        <v>56</v>
      </c>
      <c r="AG787">
        <v>10322</v>
      </c>
      <c r="AH787">
        <v>26542</v>
      </c>
      <c r="AI787">
        <v>4</v>
      </c>
      <c r="AJ787" t="str">
        <f>_xlfn.XLOOKUP(Table1[[#This Row],[OverTime]],Table16[OverTime],Table16[Id_OverTime])</f>
        <v>OT002</v>
      </c>
      <c r="AK787" t="s">
        <v>33</v>
      </c>
      <c r="AL787">
        <v>20</v>
      </c>
      <c r="AM787" t="str">
        <f>_xlfn.XLOOKUP(Table1[[#This Row],[PerformanceRating]],Table17[PerformanceRating],Table17[Id_PerformanceRating])</f>
        <v>PR004</v>
      </c>
      <c r="AN787">
        <v>4</v>
      </c>
      <c r="AO787" t="str">
        <f>_xlfn.XLOOKUP(Table1[[#This Row],[PerformanceRating]],Table17[PerformanceRating],Table17[Deskripsi])</f>
        <v>Outstanding</v>
      </c>
      <c r="AP787" t="str">
        <f>_xlfn.XLOOKUP(Table1[[#This Row],[RelationshipSatisfaction]],Table18[RelationshipSatisfaction],Table18[Id_RelationshipSatisfaction])</f>
        <v>RS004</v>
      </c>
      <c r="AQ787">
        <v>4</v>
      </c>
      <c r="AR787" t="str">
        <f>_xlfn.XLOOKUP(Table1[[#This Row],[RelationshipSatisfaction]],Table18[RelationshipSatisfaction],Table18[Deskripsi])</f>
        <v>Very High</v>
      </c>
      <c r="AS787" t="str">
        <f>_xlfn.XLOOKUP(Table1[[#This Row],[StockOptionLevel]],Table19[StockOptionLevel],Table19[Id_StockOptionLevel])</f>
        <v>SOL002</v>
      </c>
      <c r="AT787">
        <v>1</v>
      </c>
      <c r="AU787" t="str">
        <f>_xlfn.XLOOKUP(Table1[[#This Row],[StockOptionLevel]],Table19[StockOptionLevel],Table19[Deskripsi])</f>
        <v>Standard</v>
      </c>
      <c r="AV787">
        <v>14</v>
      </c>
      <c r="AW787">
        <v>6</v>
      </c>
      <c r="AX787" t="str">
        <f>_xlfn.XLOOKUP(Table1[[#This Row],[WorkLifeBalance]],Table20[WorkLifeBalance],Table20[Id_WorkLifeBalance])</f>
        <v>WLB002</v>
      </c>
      <c r="AY787">
        <v>3</v>
      </c>
      <c r="AZ787" t="str">
        <f>_xlfn.XLOOKUP(Table1[[#This Row],[WorkLifeBalance]],Table20[WorkLifeBalance],Table20[Deskripsi])</f>
        <v>Good</v>
      </c>
      <c r="BA787">
        <v>11</v>
      </c>
      <c r="BB787">
        <v>10</v>
      </c>
      <c r="BC787">
        <v>11</v>
      </c>
      <c r="BD787">
        <v>1</v>
      </c>
    </row>
    <row r="788" spans="1:56" x14ac:dyDescent="0.25">
      <c r="A788">
        <v>27</v>
      </c>
      <c r="B788" t="str">
        <f>_xlfn.XLOOKUP(Table1[[#This Row],[Attrition]],Table2[Attrition],Table2[Id_Attrition])</f>
        <v>A002</v>
      </c>
      <c r="C788" t="s">
        <v>33</v>
      </c>
      <c r="D788" t="str">
        <f>_xlfn.XLOOKUP(Table1[[#This Row],[BusinessTravel]],Table5[BusinessTravel],Table5[Id_BusinessTravel])</f>
        <v>BS003</v>
      </c>
      <c r="E788" t="s">
        <v>36</v>
      </c>
      <c r="F788">
        <v>1277</v>
      </c>
      <c r="G788" t="str">
        <f>_xlfn.XLOOKUP(Table1[[#This Row],[Department]],Table6[Department],Table6[Id_Departement])</f>
        <v>D002</v>
      </c>
      <c r="H788" t="s">
        <v>38</v>
      </c>
      <c r="I788">
        <v>8</v>
      </c>
      <c r="J788" t="str">
        <f>_xlfn.XLOOKUP(Table1[[#This Row],[Education]],Table8[Education],Table8[Id_Education])</f>
        <v>E005</v>
      </c>
      <c r="K788">
        <v>5</v>
      </c>
      <c r="L788" t="str">
        <f>_xlfn.XLOOKUP(Table1[[#This Row],[EducationField]],Table7[EducationField],Table7[Id_EducationField])</f>
        <v>EF001</v>
      </c>
      <c r="M788" t="s">
        <v>40</v>
      </c>
      <c r="N788" t="str">
        <f>_xlfn.XLOOKUP(Table1[[#This Row],[EmployeeNumber]],Table4[EmployeeNumber],Table4[Id_Employee])</f>
        <v>EMP00787</v>
      </c>
      <c r="O788">
        <v>1094</v>
      </c>
      <c r="P788" t="str">
        <f>_xlfn.XLOOKUP(Table1[[#This Row],[EnvironmentSatisfaction]],Table9[EnvironmentSatisfaction],Table9[Id_EnviromentSatisfaction])</f>
        <v>ES001</v>
      </c>
      <c r="Q788">
        <v>1</v>
      </c>
      <c r="R788" t="str">
        <f>_xlfn.XLOOKUP(Table1[[#This Row],[EnvironmentSatisfaction]],Table9[EnvironmentSatisfaction],Table9[Deskripsi])</f>
        <v>Low</v>
      </c>
      <c r="S788" t="str">
        <f>_xlfn.XLOOKUP(Table1[[#This Row],[Gender]],Table10[Gender],Table10[Id_Gender])</f>
        <v>G002</v>
      </c>
      <c r="T788" t="s">
        <v>46</v>
      </c>
      <c r="U788">
        <v>87</v>
      </c>
      <c r="V788" t="str">
        <f>_xlfn.XLOOKUP(Table1[[#This Row],[JobInvolvement]],Table11[JobInvolvement],Table11[Id_JobInvolvement])</f>
        <v>JI001</v>
      </c>
      <c r="W788">
        <v>1</v>
      </c>
      <c r="X788" t="str">
        <f>_xlfn.XLOOKUP(Table1[[#This Row],[JobLevel]],Table12[JobLevel],Table12[Id_JobLevel])</f>
        <v>JL001</v>
      </c>
      <c r="Y788">
        <v>1</v>
      </c>
      <c r="Z788" t="str">
        <f>_xlfn.XLOOKUP(Table1[[#This Row],[JobRole]],Table13[JobRole],Table13[Id_JobRole])</f>
        <v>JR003</v>
      </c>
      <c r="AA788" t="s">
        <v>49</v>
      </c>
      <c r="AB788" t="str">
        <f>_xlfn.XLOOKUP(Table1[[#This Row],[JobSatisfaction]],Table14[JobSatisfaction],Table14[Id_JobSatisfaction])</f>
        <v>JS003</v>
      </c>
      <c r="AC788">
        <v>3</v>
      </c>
      <c r="AD788" t="str">
        <f>_xlfn.XLOOKUP(Table1[[#This Row],[JobSatisfaction]],Table14[JobSatisfaction],Table14[Deskripsi])</f>
        <v>High</v>
      </c>
      <c r="AE788" t="str">
        <f>_xlfn.XLOOKUP(Table1[[#This Row],[MaritalStatus]],Table15[MaritalStatus],Table15[Id_MaritalStatus])</f>
        <v>MS002</v>
      </c>
      <c r="AF788" t="s">
        <v>56</v>
      </c>
      <c r="AG788">
        <v>4621</v>
      </c>
      <c r="AH788">
        <v>5869</v>
      </c>
      <c r="AI788">
        <v>1</v>
      </c>
      <c r="AJ788" t="str">
        <f>_xlfn.XLOOKUP(Table1[[#This Row],[OverTime]],Table16[OverTime],Table16[Id_OverTime])</f>
        <v>OT002</v>
      </c>
      <c r="AK788" t="s">
        <v>33</v>
      </c>
      <c r="AL788">
        <v>19</v>
      </c>
      <c r="AM788" t="str">
        <f>_xlfn.XLOOKUP(Table1[[#This Row],[PerformanceRating]],Table17[PerformanceRating],Table17[Id_PerformanceRating])</f>
        <v>PR003</v>
      </c>
      <c r="AN788">
        <v>3</v>
      </c>
      <c r="AO788" t="str">
        <f>_xlfn.XLOOKUP(Table1[[#This Row],[PerformanceRating]],Table17[PerformanceRating],Table17[Deskripsi])</f>
        <v>Excellent</v>
      </c>
      <c r="AP788" t="str">
        <f>_xlfn.XLOOKUP(Table1[[#This Row],[RelationshipSatisfaction]],Table18[RelationshipSatisfaction],Table18[Id_RelationshipSatisfaction])</f>
        <v>RS004</v>
      </c>
      <c r="AQ788">
        <v>4</v>
      </c>
      <c r="AR788" t="str">
        <f>_xlfn.XLOOKUP(Table1[[#This Row],[RelationshipSatisfaction]],Table18[RelationshipSatisfaction],Table18[Deskripsi])</f>
        <v>Very High</v>
      </c>
      <c r="AS788" t="str">
        <f>_xlfn.XLOOKUP(Table1[[#This Row],[StockOptionLevel]],Table19[StockOptionLevel],Table19[Id_StockOptionLevel])</f>
        <v>SOL004</v>
      </c>
      <c r="AT788">
        <v>3</v>
      </c>
      <c r="AU788" t="str">
        <f>_xlfn.XLOOKUP(Table1[[#This Row],[StockOptionLevel]],Table19[StockOptionLevel],Table19[Deskripsi])</f>
        <v>Senior/Executive</v>
      </c>
      <c r="AV788">
        <v>3</v>
      </c>
      <c r="AW788">
        <v>4</v>
      </c>
      <c r="AX788" t="str">
        <f>_xlfn.XLOOKUP(Table1[[#This Row],[WorkLifeBalance]],Table20[WorkLifeBalance],Table20[Id_WorkLifeBalance])</f>
        <v>WLB002</v>
      </c>
      <c r="AY788">
        <v>3</v>
      </c>
      <c r="AZ788" t="str">
        <f>_xlfn.XLOOKUP(Table1[[#This Row],[WorkLifeBalance]],Table20[WorkLifeBalance],Table20[Deskripsi])</f>
        <v>Good</v>
      </c>
      <c r="BA788">
        <v>3</v>
      </c>
      <c r="BB788">
        <v>2</v>
      </c>
      <c r="BC788">
        <v>1</v>
      </c>
      <c r="BD788">
        <v>2</v>
      </c>
    </row>
    <row r="789" spans="1:56" x14ac:dyDescent="0.25">
      <c r="A789">
        <v>55</v>
      </c>
      <c r="B789" t="str">
        <f>_xlfn.XLOOKUP(Table1[[#This Row],[Attrition]],Table2[Attrition],Table2[Id_Attrition])</f>
        <v>A002</v>
      </c>
      <c r="C789" t="s">
        <v>33</v>
      </c>
      <c r="D789" t="str">
        <f>_xlfn.XLOOKUP(Table1[[#This Row],[BusinessTravel]],Table5[BusinessTravel],Table5[Id_BusinessTravel])</f>
        <v>BS002</v>
      </c>
      <c r="E789" t="s">
        <v>35</v>
      </c>
      <c r="F789">
        <v>1091</v>
      </c>
      <c r="G789" t="str">
        <f>_xlfn.XLOOKUP(Table1[[#This Row],[Department]],Table6[Department],Table6[Id_Departement])</f>
        <v>D002</v>
      </c>
      <c r="H789" t="s">
        <v>38</v>
      </c>
      <c r="I789">
        <v>2</v>
      </c>
      <c r="J789" t="str">
        <f>_xlfn.XLOOKUP(Table1[[#This Row],[Education]],Table8[Education],Table8[Id_Education])</f>
        <v>E001</v>
      </c>
      <c r="K789">
        <v>1</v>
      </c>
      <c r="L789" t="str">
        <f>_xlfn.XLOOKUP(Table1[[#This Row],[EducationField]],Table7[EducationField],Table7[Id_EducationField])</f>
        <v>EF001</v>
      </c>
      <c r="M789" t="s">
        <v>40</v>
      </c>
      <c r="N789" t="str">
        <f>_xlfn.XLOOKUP(Table1[[#This Row],[EmployeeNumber]],Table4[EmployeeNumber],Table4[Id_Employee])</f>
        <v>EMP00788</v>
      </c>
      <c r="O789">
        <v>1096</v>
      </c>
      <c r="P789" t="str">
        <f>_xlfn.XLOOKUP(Table1[[#This Row],[EnvironmentSatisfaction]],Table9[EnvironmentSatisfaction],Table9[Id_EnviromentSatisfaction])</f>
        <v>ES004</v>
      </c>
      <c r="Q789">
        <v>4</v>
      </c>
      <c r="R789" t="str">
        <f>_xlfn.XLOOKUP(Table1[[#This Row],[EnvironmentSatisfaction]],Table9[EnvironmentSatisfaction],Table9[Deskripsi])</f>
        <v>Very High</v>
      </c>
      <c r="S789" t="str">
        <f>_xlfn.XLOOKUP(Table1[[#This Row],[Gender]],Table10[Gender],Table10[Id_Gender])</f>
        <v>G002</v>
      </c>
      <c r="T789" t="s">
        <v>46</v>
      </c>
      <c r="U789">
        <v>65</v>
      </c>
      <c r="V789" t="str">
        <f>_xlfn.XLOOKUP(Table1[[#This Row],[JobInvolvement]],Table11[JobInvolvement],Table11[Id_JobInvolvement])</f>
        <v>JI003</v>
      </c>
      <c r="W789">
        <v>3</v>
      </c>
      <c r="X789" t="str">
        <f>_xlfn.XLOOKUP(Table1[[#This Row],[JobLevel]],Table12[JobLevel],Table12[Id_JobLevel])</f>
        <v>JL003</v>
      </c>
      <c r="Y789">
        <v>3</v>
      </c>
      <c r="Z789" t="str">
        <f>_xlfn.XLOOKUP(Table1[[#This Row],[JobRole]],Table13[JobRole],Table13[Id_JobRole])</f>
        <v>JR004</v>
      </c>
      <c r="AA789" t="s">
        <v>50</v>
      </c>
      <c r="AB789" t="str">
        <f>_xlfn.XLOOKUP(Table1[[#This Row],[JobSatisfaction]],Table14[JobSatisfaction],Table14[Id_JobSatisfaction])</f>
        <v>JS002</v>
      </c>
      <c r="AC789">
        <v>2</v>
      </c>
      <c r="AD789" t="str">
        <f>_xlfn.XLOOKUP(Table1[[#This Row],[JobSatisfaction]],Table14[JobSatisfaction],Table14[Deskripsi])</f>
        <v>Medium</v>
      </c>
      <c r="AE789" t="str">
        <f>_xlfn.XLOOKUP(Table1[[#This Row],[MaritalStatus]],Table15[MaritalStatus],Table15[Id_MaritalStatus])</f>
        <v>MS002</v>
      </c>
      <c r="AF789" t="s">
        <v>56</v>
      </c>
      <c r="AG789">
        <v>10976</v>
      </c>
      <c r="AH789">
        <v>15813</v>
      </c>
      <c r="AI789">
        <v>3</v>
      </c>
      <c r="AJ789" t="str">
        <f>_xlfn.XLOOKUP(Table1[[#This Row],[OverTime]],Table16[OverTime],Table16[Id_OverTime])</f>
        <v>OT002</v>
      </c>
      <c r="AK789" t="s">
        <v>33</v>
      </c>
      <c r="AL789">
        <v>18</v>
      </c>
      <c r="AM789" t="str">
        <f>_xlfn.XLOOKUP(Table1[[#This Row],[PerformanceRating]],Table17[PerformanceRating],Table17[Id_PerformanceRating])</f>
        <v>PR003</v>
      </c>
      <c r="AN789">
        <v>3</v>
      </c>
      <c r="AO789" t="str">
        <f>_xlfn.XLOOKUP(Table1[[#This Row],[PerformanceRating]],Table17[PerformanceRating],Table17[Deskripsi])</f>
        <v>Excellent</v>
      </c>
      <c r="AP789" t="str">
        <f>_xlfn.XLOOKUP(Table1[[#This Row],[RelationshipSatisfaction]],Table18[RelationshipSatisfaction],Table18[Id_RelationshipSatisfaction])</f>
        <v>RS002</v>
      </c>
      <c r="AQ789">
        <v>2</v>
      </c>
      <c r="AR789" t="str">
        <f>_xlfn.XLOOKUP(Table1[[#This Row],[RelationshipSatisfaction]],Table18[RelationshipSatisfaction],Table18[Deskripsi])</f>
        <v>Medium</v>
      </c>
      <c r="AS789" t="str">
        <f>_xlfn.XLOOKUP(Table1[[#This Row],[StockOptionLevel]],Table19[StockOptionLevel],Table19[Id_StockOptionLevel])</f>
        <v>SOL002</v>
      </c>
      <c r="AT789">
        <v>1</v>
      </c>
      <c r="AU789" t="str">
        <f>_xlfn.XLOOKUP(Table1[[#This Row],[StockOptionLevel]],Table19[StockOptionLevel],Table19[Deskripsi])</f>
        <v>Standard</v>
      </c>
      <c r="AV789">
        <v>23</v>
      </c>
      <c r="AW789">
        <v>4</v>
      </c>
      <c r="AX789" t="str">
        <f>_xlfn.XLOOKUP(Table1[[#This Row],[WorkLifeBalance]],Table20[WorkLifeBalance],Table20[Id_WorkLifeBalance])</f>
        <v>WLB002</v>
      </c>
      <c r="AY789">
        <v>3</v>
      </c>
      <c r="AZ789" t="str">
        <f>_xlfn.XLOOKUP(Table1[[#This Row],[WorkLifeBalance]],Table20[WorkLifeBalance],Table20[Deskripsi])</f>
        <v>Good</v>
      </c>
      <c r="BA789">
        <v>3</v>
      </c>
      <c r="BB789">
        <v>2</v>
      </c>
      <c r="BC789">
        <v>1</v>
      </c>
      <c r="BD789">
        <v>2</v>
      </c>
    </row>
    <row r="790" spans="1:56" x14ac:dyDescent="0.25">
      <c r="A790">
        <v>28</v>
      </c>
      <c r="B790" t="str">
        <f>_xlfn.XLOOKUP(Table1[[#This Row],[Attrition]],Table2[Attrition],Table2[Id_Attrition])</f>
        <v>A002</v>
      </c>
      <c r="C790" t="s">
        <v>33</v>
      </c>
      <c r="D790" t="str">
        <f>_xlfn.XLOOKUP(Table1[[#This Row],[BusinessTravel]],Table5[BusinessTravel],Table5[Id_BusinessTravel])</f>
        <v>BS001</v>
      </c>
      <c r="E790" t="s">
        <v>34</v>
      </c>
      <c r="F790">
        <v>857</v>
      </c>
      <c r="G790" t="str">
        <f>_xlfn.XLOOKUP(Table1[[#This Row],[Department]],Table6[Department],Table6[Id_Departement])</f>
        <v>D002</v>
      </c>
      <c r="H790" t="s">
        <v>38</v>
      </c>
      <c r="I790">
        <v>10</v>
      </c>
      <c r="J790" t="str">
        <f>_xlfn.XLOOKUP(Table1[[#This Row],[Education]],Table8[Education],Table8[Id_Education])</f>
        <v>E003</v>
      </c>
      <c r="K790">
        <v>3</v>
      </c>
      <c r="L790" t="str">
        <f>_xlfn.XLOOKUP(Table1[[#This Row],[EducationField]],Table7[EducationField],Table7[Id_EducationField])</f>
        <v>EF002</v>
      </c>
      <c r="M790" t="s">
        <v>41</v>
      </c>
      <c r="N790" t="str">
        <f>_xlfn.XLOOKUP(Table1[[#This Row],[EmployeeNumber]],Table4[EmployeeNumber],Table4[Id_Employee])</f>
        <v>EMP00789</v>
      </c>
      <c r="O790">
        <v>1097</v>
      </c>
      <c r="P790" t="str">
        <f>_xlfn.XLOOKUP(Table1[[#This Row],[EnvironmentSatisfaction]],Table9[EnvironmentSatisfaction],Table9[Id_EnviromentSatisfaction])</f>
        <v>ES003</v>
      </c>
      <c r="Q790">
        <v>3</v>
      </c>
      <c r="R790" t="str">
        <f>_xlfn.XLOOKUP(Table1[[#This Row],[EnvironmentSatisfaction]],Table9[EnvironmentSatisfaction],Table9[Deskripsi])</f>
        <v>High</v>
      </c>
      <c r="S790" t="str">
        <f>_xlfn.XLOOKUP(Table1[[#This Row],[Gender]],Table10[Gender],Table10[Id_Gender])</f>
        <v>G001</v>
      </c>
      <c r="T790" t="s">
        <v>45</v>
      </c>
      <c r="U790">
        <v>59</v>
      </c>
      <c r="V790" t="str">
        <f>_xlfn.XLOOKUP(Table1[[#This Row],[JobInvolvement]],Table11[JobInvolvement],Table11[Id_JobInvolvement])</f>
        <v>JI003</v>
      </c>
      <c r="W790">
        <v>3</v>
      </c>
      <c r="X790" t="str">
        <f>_xlfn.XLOOKUP(Table1[[#This Row],[JobLevel]],Table12[JobLevel],Table12[Id_JobLevel])</f>
        <v>JL002</v>
      </c>
      <c r="Y790">
        <v>2</v>
      </c>
      <c r="Z790" t="str">
        <f>_xlfn.XLOOKUP(Table1[[#This Row],[JobRole]],Table13[JobRole],Table13[Id_JobRole])</f>
        <v>JR002</v>
      </c>
      <c r="AA790" t="s">
        <v>48</v>
      </c>
      <c r="AB790" t="str">
        <f>_xlfn.XLOOKUP(Table1[[#This Row],[JobSatisfaction]],Table14[JobSatisfaction],Table14[Id_JobSatisfaction])</f>
        <v>JS003</v>
      </c>
      <c r="AC790">
        <v>3</v>
      </c>
      <c r="AD790" t="str">
        <f>_xlfn.XLOOKUP(Table1[[#This Row],[JobSatisfaction]],Table14[JobSatisfaction],Table14[Deskripsi])</f>
        <v>High</v>
      </c>
      <c r="AE790" t="str">
        <f>_xlfn.XLOOKUP(Table1[[#This Row],[MaritalStatus]],Table15[MaritalStatus],Table15[Id_MaritalStatus])</f>
        <v>MS001</v>
      </c>
      <c r="AF790" t="s">
        <v>55</v>
      </c>
      <c r="AG790">
        <v>3660</v>
      </c>
      <c r="AH790">
        <v>7909</v>
      </c>
      <c r="AI790">
        <v>3</v>
      </c>
      <c r="AJ790" t="str">
        <f>_xlfn.XLOOKUP(Table1[[#This Row],[OverTime]],Table16[OverTime],Table16[Id_OverTime])</f>
        <v>OT002</v>
      </c>
      <c r="AK790" t="s">
        <v>33</v>
      </c>
      <c r="AL790">
        <v>13</v>
      </c>
      <c r="AM790" t="str">
        <f>_xlfn.XLOOKUP(Table1[[#This Row],[PerformanceRating]],Table17[PerformanceRating],Table17[Id_PerformanceRating])</f>
        <v>PR003</v>
      </c>
      <c r="AN790">
        <v>3</v>
      </c>
      <c r="AO790" t="str">
        <f>_xlfn.XLOOKUP(Table1[[#This Row],[PerformanceRating]],Table17[PerformanceRating],Table17[Deskripsi])</f>
        <v>Excellent</v>
      </c>
      <c r="AP790" t="str">
        <f>_xlfn.XLOOKUP(Table1[[#This Row],[RelationshipSatisfaction]],Table18[RelationshipSatisfaction],Table18[Id_RelationshipSatisfaction])</f>
        <v>RS004</v>
      </c>
      <c r="AQ790">
        <v>4</v>
      </c>
      <c r="AR790" t="str">
        <f>_xlfn.XLOOKUP(Table1[[#This Row],[RelationshipSatisfaction]],Table18[RelationshipSatisfaction],Table18[Deskripsi])</f>
        <v>Very High</v>
      </c>
      <c r="AS790" t="str">
        <f>_xlfn.XLOOKUP(Table1[[#This Row],[StockOptionLevel]],Table19[StockOptionLevel],Table19[Id_StockOptionLevel])</f>
        <v>SOL001</v>
      </c>
      <c r="AT790">
        <v>0</v>
      </c>
      <c r="AU790" t="str">
        <f>_xlfn.XLOOKUP(Table1[[#This Row],[StockOptionLevel]],Table19[StockOptionLevel],Table19[Deskripsi])</f>
        <v>Non-Eligible</v>
      </c>
      <c r="AV790">
        <v>10</v>
      </c>
      <c r="AW790">
        <v>4</v>
      </c>
      <c r="AX790" t="str">
        <f>_xlfn.XLOOKUP(Table1[[#This Row],[WorkLifeBalance]],Table20[WorkLifeBalance],Table20[Id_WorkLifeBalance])</f>
        <v>WLB004</v>
      </c>
      <c r="AY790">
        <v>4</v>
      </c>
      <c r="AZ790" t="str">
        <f>_xlfn.XLOOKUP(Table1[[#This Row],[WorkLifeBalance]],Table20[WorkLifeBalance],Table20[Deskripsi])</f>
        <v>Best</v>
      </c>
      <c r="BA790">
        <v>8</v>
      </c>
      <c r="BB790">
        <v>7</v>
      </c>
      <c r="BC790">
        <v>1</v>
      </c>
      <c r="BD790">
        <v>7</v>
      </c>
    </row>
    <row r="791" spans="1:56" x14ac:dyDescent="0.25">
      <c r="A791">
        <v>44</v>
      </c>
      <c r="B791" t="str">
        <f>_xlfn.XLOOKUP(Table1[[#This Row],[Attrition]],Table2[Attrition],Table2[Id_Attrition])</f>
        <v>A001</v>
      </c>
      <c r="C791" t="s">
        <v>32</v>
      </c>
      <c r="D791" t="str">
        <f>_xlfn.XLOOKUP(Table1[[#This Row],[BusinessTravel]],Table5[BusinessTravel],Table5[Id_BusinessTravel])</f>
        <v>BS001</v>
      </c>
      <c r="E791" t="s">
        <v>34</v>
      </c>
      <c r="F791">
        <v>1376</v>
      </c>
      <c r="G791" t="str">
        <f>_xlfn.XLOOKUP(Table1[[#This Row],[Department]],Table6[Department],Table6[Id_Departement])</f>
        <v>D003</v>
      </c>
      <c r="H791" t="s">
        <v>39</v>
      </c>
      <c r="I791">
        <v>1</v>
      </c>
      <c r="J791" t="str">
        <f>_xlfn.XLOOKUP(Table1[[#This Row],[Education]],Table8[Education],Table8[Id_Education])</f>
        <v>E002</v>
      </c>
      <c r="K791">
        <v>2</v>
      </c>
      <c r="L791" t="str">
        <f>_xlfn.XLOOKUP(Table1[[#This Row],[EducationField]],Table7[EducationField],Table7[Id_EducationField])</f>
        <v>EF003</v>
      </c>
      <c r="M791" t="s">
        <v>42</v>
      </c>
      <c r="N791" t="str">
        <f>_xlfn.XLOOKUP(Table1[[#This Row],[EmployeeNumber]],Table4[EmployeeNumber],Table4[Id_Employee])</f>
        <v>EMP00790</v>
      </c>
      <c r="O791">
        <v>1098</v>
      </c>
      <c r="P791" t="str">
        <f>_xlfn.XLOOKUP(Table1[[#This Row],[EnvironmentSatisfaction]],Table9[EnvironmentSatisfaction],Table9[Id_EnviromentSatisfaction])</f>
        <v>ES002</v>
      </c>
      <c r="Q791">
        <v>2</v>
      </c>
      <c r="R791" t="str">
        <f>_xlfn.XLOOKUP(Table1[[#This Row],[EnvironmentSatisfaction]],Table9[EnvironmentSatisfaction],Table9[Deskripsi])</f>
        <v>Medium</v>
      </c>
      <c r="S791" t="str">
        <f>_xlfn.XLOOKUP(Table1[[#This Row],[Gender]],Table10[Gender],Table10[Id_Gender])</f>
        <v>G002</v>
      </c>
      <c r="T791" t="s">
        <v>46</v>
      </c>
      <c r="U791">
        <v>91</v>
      </c>
      <c r="V791" t="str">
        <f>_xlfn.XLOOKUP(Table1[[#This Row],[JobInvolvement]],Table11[JobInvolvement],Table11[Id_JobInvolvement])</f>
        <v>JI002</v>
      </c>
      <c r="W791">
        <v>2</v>
      </c>
      <c r="X791" t="str">
        <f>_xlfn.XLOOKUP(Table1[[#This Row],[JobLevel]],Table12[JobLevel],Table12[Id_JobLevel])</f>
        <v>JL003</v>
      </c>
      <c r="Y791">
        <v>3</v>
      </c>
      <c r="Z791" t="str">
        <f>_xlfn.XLOOKUP(Table1[[#This Row],[JobRole]],Table13[JobRole],Table13[Id_JobRole])</f>
        <v>JR009</v>
      </c>
      <c r="AA791" t="s">
        <v>39</v>
      </c>
      <c r="AB791" t="str">
        <f>_xlfn.XLOOKUP(Table1[[#This Row],[JobSatisfaction]],Table14[JobSatisfaction],Table14[Id_JobSatisfaction])</f>
        <v>JS001</v>
      </c>
      <c r="AC791">
        <v>1</v>
      </c>
      <c r="AD791" t="str">
        <f>_xlfn.XLOOKUP(Table1[[#This Row],[JobSatisfaction]],Table14[JobSatisfaction],Table14[Deskripsi])</f>
        <v>Low</v>
      </c>
      <c r="AE791" t="str">
        <f>_xlfn.XLOOKUP(Table1[[#This Row],[MaritalStatus]],Table15[MaritalStatus],Table15[Id_MaritalStatus])</f>
        <v>MS002</v>
      </c>
      <c r="AF791" t="s">
        <v>56</v>
      </c>
      <c r="AG791">
        <v>10482</v>
      </c>
      <c r="AH791">
        <v>2326</v>
      </c>
      <c r="AI791">
        <v>9</v>
      </c>
      <c r="AJ791" t="str">
        <f>_xlfn.XLOOKUP(Table1[[#This Row],[OverTime]],Table16[OverTime],Table16[Id_OverTime])</f>
        <v>OT002</v>
      </c>
      <c r="AK791" t="s">
        <v>33</v>
      </c>
      <c r="AL791">
        <v>14</v>
      </c>
      <c r="AM791" t="str">
        <f>_xlfn.XLOOKUP(Table1[[#This Row],[PerformanceRating]],Table17[PerformanceRating],Table17[Id_PerformanceRating])</f>
        <v>PR003</v>
      </c>
      <c r="AN791">
        <v>3</v>
      </c>
      <c r="AO791" t="str">
        <f>_xlfn.XLOOKUP(Table1[[#This Row],[PerformanceRating]],Table17[PerformanceRating],Table17[Deskripsi])</f>
        <v>Excellent</v>
      </c>
      <c r="AP791" t="str">
        <f>_xlfn.XLOOKUP(Table1[[#This Row],[RelationshipSatisfaction]],Table18[RelationshipSatisfaction],Table18[Id_RelationshipSatisfaction])</f>
        <v>RS004</v>
      </c>
      <c r="AQ791">
        <v>4</v>
      </c>
      <c r="AR791" t="str">
        <f>_xlfn.XLOOKUP(Table1[[#This Row],[RelationshipSatisfaction]],Table18[RelationshipSatisfaction],Table18[Deskripsi])</f>
        <v>Very High</v>
      </c>
      <c r="AS791" t="str">
        <f>_xlfn.XLOOKUP(Table1[[#This Row],[StockOptionLevel]],Table19[StockOptionLevel],Table19[Id_StockOptionLevel])</f>
        <v>SOL002</v>
      </c>
      <c r="AT791">
        <v>1</v>
      </c>
      <c r="AU791" t="str">
        <f>_xlfn.XLOOKUP(Table1[[#This Row],[StockOptionLevel]],Table19[StockOptionLevel],Table19[Deskripsi])</f>
        <v>Standard</v>
      </c>
      <c r="AV791">
        <v>24</v>
      </c>
      <c r="AW791">
        <v>1</v>
      </c>
      <c r="AX791" t="str">
        <f>_xlfn.XLOOKUP(Table1[[#This Row],[WorkLifeBalance]],Table20[WorkLifeBalance],Table20[Id_WorkLifeBalance])</f>
        <v>WLB002</v>
      </c>
      <c r="AY791">
        <v>3</v>
      </c>
      <c r="AZ791" t="str">
        <f>_xlfn.XLOOKUP(Table1[[#This Row],[WorkLifeBalance]],Table20[WorkLifeBalance],Table20[Deskripsi])</f>
        <v>Good</v>
      </c>
      <c r="BA791">
        <v>20</v>
      </c>
      <c r="BB791">
        <v>6</v>
      </c>
      <c r="BC791">
        <v>3</v>
      </c>
      <c r="BD791">
        <v>6</v>
      </c>
    </row>
    <row r="792" spans="1:56" x14ac:dyDescent="0.25">
      <c r="A792">
        <v>33</v>
      </c>
      <c r="B792" t="str">
        <f>_xlfn.XLOOKUP(Table1[[#This Row],[Attrition]],Table2[Attrition],Table2[Id_Attrition])</f>
        <v>A002</v>
      </c>
      <c r="C792" t="s">
        <v>33</v>
      </c>
      <c r="D792" t="str">
        <f>_xlfn.XLOOKUP(Table1[[#This Row],[BusinessTravel]],Table5[BusinessTravel],Table5[Id_BusinessTravel])</f>
        <v>BS001</v>
      </c>
      <c r="E792" t="s">
        <v>34</v>
      </c>
      <c r="F792">
        <v>654</v>
      </c>
      <c r="G792" t="str">
        <f>_xlfn.XLOOKUP(Table1[[#This Row],[Department]],Table6[Department],Table6[Id_Departement])</f>
        <v>D002</v>
      </c>
      <c r="H792" t="s">
        <v>38</v>
      </c>
      <c r="I792">
        <v>5</v>
      </c>
      <c r="J792" t="str">
        <f>_xlfn.XLOOKUP(Table1[[#This Row],[Education]],Table8[Education],Table8[Id_Education])</f>
        <v>E003</v>
      </c>
      <c r="K792">
        <v>3</v>
      </c>
      <c r="L792" t="str">
        <f>_xlfn.XLOOKUP(Table1[[#This Row],[EducationField]],Table7[EducationField],Table7[Id_EducationField])</f>
        <v>EF001</v>
      </c>
      <c r="M792" t="s">
        <v>40</v>
      </c>
      <c r="N792" t="str">
        <f>_xlfn.XLOOKUP(Table1[[#This Row],[EmployeeNumber]],Table4[EmployeeNumber],Table4[Id_Employee])</f>
        <v>EMP00791</v>
      </c>
      <c r="O792">
        <v>1099</v>
      </c>
      <c r="P792" t="str">
        <f>_xlfn.XLOOKUP(Table1[[#This Row],[EnvironmentSatisfaction]],Table9[EnvironmentSatisfaction],Table9[Id_EnviromentSatisfaction])</f>
        <v>ES004</v>
      </c>
      <c r="Q792">
        <v>4</v>
      </c>
      <c r="R792" t="str">
        <f>_xlfn.XLOOKUP(Table1[[#This Row],[EnvironmentSatisfaction]],Table9[EnvironmentSatisfaction],Table9[Deskripsi])</f>
        <v>Very High</v>
      </c>
      <c r="S792" t="str">
        <f>_xlfn.XLOOKUP(Table1[[#This Row],[Gender]],Table10[Gender],Table10[Id_Gender])</f>
        <v>G002</v>
      </c>
      <c r="T792" t="s">
        <v>46</v>
      </c>
      <c r="U792">
        <v>34</v>
      </c>
      <c r="V792" t="str">
        <f>_xlfn.XLOOKUP(Table1[[#This Row],[JobInvolvement]],Table11[JobInvolvement],Table11[Id_JobInvolvement])</f>
        <v>JI002</v>
      </c>
      <c r="W792">
        <v>2</v>
      </c>
      <c r="X792" t="str">
        <f>_xlfn.XLOOKUP(Table1[[#This Row],[JobLevel]],Table12[JobLevel],Table12[Id_JobLevel])</f>
        <v>JL003</v>
      </c>
      <c r="Y792">
        <v>3</v>
      </c>
      <c r="Z792" t="str">
        <f>_xlfn.XLOOKUP(Table1[[#This Row],[JobRole]],Table13[JobRole],Table13[Id_JobRole])</f>
        <v>JR005</v>
      </c>
      <c r="AA792" t="s">
        <v>51</v>
      </c>
      <c r="AB792" t="str">
        <f>_xlfn.XLOOKUP(Table1[[#This Row],[JobSatisfaction]],Table14[JobSatisfaction],Table14[Id_JobSatisfaction])</f>
        <v>JS004</v>
      </c>
      <c r="AC792">
        <v>4</v>
      </c>
      <c r="AD792" t="str">
        <f>_xlfn.XLOOKUP(Table1[[#This Row],[JobSatisfaction]],Table14[JobSatisfaction],Table14[Deskripsi])</f>
        <v>Very High</v>
      </c>
      <c r="AE792" t="str">
        <f>_xlfn.XLOOKUP(Table1[[#This Row],[MaritalStatus]],Table15[MaritalStatus],Table15[Id_MaritalStatus])</f>
        <v>MS003</v>
      </c>
      <c r="AF792" t="s">
        <v>57</v>
      </c>
      <c r="AG792">
        <v>7119</v>
      </c>
      <c r="AH792">
        <v>21214</v>
      </c>
      <c r="AI792">
        <v>4</v>
      </c>
      <c r="AJ792" t="str">
        <f>_xlfn.XLOOKUP(Table1[[#This Row],[OverTime]],Table16[OverTime],Table16[Id_OverTime])</f>
        <v>OT002</v>
      </c>
      <c r="AK792" t="s">
        <v>33</v>
      </c>
      <c r="AL792">
        <v>15</v>
      </c>
      <c r="AM792" t="str">
        <f>_xlfn.XLOOKUP(Table1[[#This Row],[PerformanceRating]],Table17[PerformanceRating],Table17[Id_PerformanceRating])</f>
        <v>PR003</v>
      </c>
      <c r="AN792">
        <v>3</v>
      </c>
      <c r="AO792" t="str">
        <f>_xlfn.XLOOKUP(Table1[[#This Row],[PerformanceRating]],Table17[PerformanceRating],Table17[Deskripsi])</f>
        <v>Excellent</v>
      </c>
      <c r="AP792" t="str">
        <f>_xlfn.XLOOKUP(Table1[[#This Row],[RelationshipSatisfaction]],Table18[RelationshipSatisfaction],Table18[Id_RelationshipSatisfaction])</f>
        <v>RS003</v>
      </c>
      <c r="AQ792">
        <v>3</v>
      </c>
      <c r="AR792" t="str">
        <f>_xlfn.XLOOKUP(Table1[[#This Row],[RelationshipSatisfaction]],Table18[RelationshipSatisfaction],Table18[Deskripsi])</f>
        <v>High</v>
      </c>
      <c r="AS792" t="str">
        <f>_xlfn.XLOOKUP(Table1[[#This Row],[StockOptionLevel]],Table19[StockOptionLevel],Table19[Id_StockOptionLevel])</f>
        <v>SOL002</v>
      </c>
      <c r="AT792">
        <v>1</v>
      </c>
      <c r="AU792" t="str">
        <f>_xlfn.XLOOKUP(Table1[[#This Row],[StockOptionLevel]],Table19[StockOptionLevel],Table19[Deskripsi])</f>
        <v>Standard</v>
      </c>
      <c r="AV792">
        <v>9</v>
      </c>
      <c r="AW792">
        <v>2</v>
      </c>
      <c r="AX792" t="str">
        <f>_xlfn.XLOOKUP(Table1[[#This Row],[WorkLifeBalance]],Table20[WorkLifeBalance],Table20[Id_WorkLifeBalance])</f>
        <v>WLB002</v>
      </c>
      <c r="AY792">
        <v>3</v>
      </c>
      <c r="AZ792" t="str">
        <f>_xlfn.XLOOKUP(Table1[[#This Row],[WorkLifeBalance]],Table20[WorkLifeBalance],Table20[Deskripsi])</f>
        <v>Good</v>
      </c>
      <c r="BA792">
        <v>3</v>
      </c>
      <c r="BB792">
        <v>2</v>
      </c>
      <c r="BC792">
        <v>1</v>
      </c>
      <c r="BD792">
        <v>2</v>
      </c>
    </row>
    <row r="793" spans="1:56" x14ac:dyDescent="0.25">
      <c r="A793">
        <v>35</v>
      </c>
      <c r="B793" t="str">
        <f>_xlfn.XLOOKUP(Table1[[#This Row],[Attrition]],Table2[Attrition],Table2[Id_Attrition])</f>
        <v>A001</v>
      </c>
      <c r="C793" t="s">
        <v>32</v>
      </c>
      <c r="D793" t="str">
        <f>_xlfn.XLOOKUP(Table1[[#This Row],[BusinessTravel]],Table5[BusinessTravel],Table5[Id_BusinessTravel])</f>
        <v>BS001</v>
      </c>
      <c r="E793" t="s">
        <v>34</v>
      </c>
      <c r="F793">
        <v>1204</v>
      </c>
      <c r="G793" t="str">
        <f>_xlfn.XLOOKUP(Table1[[#This Row],[Department]],Table6[Department],Table6[Id_Departement])</f>
        <v>D001</v>
      </c>
      <c r="H793" t="s">
        <v>37</v>
      </c>
      <c r="I793">
        <v>4</v>
      </c>
      <c r="J793" t="str">
        <f>_xlfn.XLOOKUP(Table1[[#This Row],[Education]],Table8[Education],Table8[Id_Education])</f>
        <v>E003</v>
      </c>
      <c r="K793">
        <v>3</v>
      </c>
      <c r="L793" t="str">
        <f>_xlfn.XLOOKUP(Table1[[#This Row],[EducationField]],Table7[EducationField],Table7[Id_EducationField])</f>
        <v>EF005</v>
      </c>
      <c r="M793" t="s">
        <v>44</v>
      </c>
      <c r="N793" t="str">
        <f>_xlfn.XLOOKUP(Table1[[#This Row],[EmployeeNumber]],Table4[EmployeeNumber],Table4[Id_Employee])</f>
        <v>EMP00792</v>
      </c>
      <c r="O793">
        <v>1100</v>
      </c>
      <c r="P793" t="str">
        <f>_xlfn.XLOOKUP(Table1[[#This Row],[EnvironmentSatisfaction]],Table9[EnvironmentSatisfaction],Table9[Id_EnviromentSatisfaction])</f>
        <v>ES004</v>
      </c>
      <c r="Q793">
        <v>4</v>
      </c>
      <c r="R793" t="str">
        <f>_xlfn.XLOOKUP(Table1[[#This Row],[EnvironmentSatisfaction]],Table9[EnvironmentSatisfaction],Table9[Deskripsi])</f>
        <v>Very High</v>
      </c>
      <c r="S793" t="str">
        <f>_xlfn.XLOOKUP(Table1[[#This Row],[Gender]],Table10[Gender],Table10[Id_Gender])</f>
        <v>G002</v>
      </c>
      <c r="T793" t="s">
        <v>46</v>
      </c>
      <c r="U793">
        <v>86</v>
      </c>
      <c r="V793" t="str">
        <f>_xlfn.XLOOKUP(Table1[[#This Row],[JobInvolvement]],Table11[JobInvolvement],Table11[Id_JobInvolvement])</f>
        <v>JI003</v>
      </c>
      <c r="W793">
        <v>3</v>
      </c>
      <c r="X793" t="str">
        <f>_xlfn.XLOOKUP(Table1[[#This Row],[JobLevel]],Table12[JobLevel],Table12[Id_JobLevel])</f>
        <v>JL003</v>
      </c>
      <c r="Y793">
        <v>3</v>
      </c>
      <c r="Z793" t="str">
        <f>_xlfn.XLOOKUP(Table1[[#This Row],[JobRole]],Table13[JobRole],Table13[Id_JobRole])</f>
        <v>JR001</v>
      </c>
      <c r="AA793" t="s">
        <v>47</v>
      </c>
      <c r="AB793" t="str">
        <f>_xlfn.XLOOKUP(Table1[[#This Row],[JobSatisfaction]],Table14[JobSatisfaction],Table14[Id_JobSatisfaction])</f>
        <v>JS001</v>
      </c>
      <c r="AC793">
        <v>1</v>
      </c>
      <c r="AD793" t="str">
        <f>_xlfn.XLOOKUP(Table1[[#This Row],[JobSatisfaction]],Table14[JobSatisfaction],Table14[Deskripsi])</f>
        <v>Low</v>
      </c>
      <c r="AE793" t="str">
        <f>_xlfn.XLOOKUP(Table1[[#This Row],[MaritalStatus]],Table15[MaritalStatus],Table15[Id_MaritalStatus])</f>
        <v>MS001</v>
      </c>
      <c r="AF793" t="s">
        <v>55</v>
      </c>
      <c r="AG793">
        <v>9582</v>
      </c>
      <c r="AH793">
        <v>10333</v>
      </c>
      <c r="AI793">
        <v>0</v>
      </c>
      <c r="AJ793" t="str">
        <f>_xlfn.XLOOKUP(Table1[[#This Row],[OverTime]],Table16[OverTime],Table16[Id_OverTime])</f>
        <v>OT001</v>
      </c>
      <c r="AK793" t="s">
        <v>32</v>
      </c>
      <c r="AL793">
        <v>22</v>
      </c>
      <c r="AM793" t="str">
        <f>_xlfn.XLOOKUP(Table1[[#This Row],[PerformanceRating]],Table17[PerformanceRating],Table17[Id_PerformanceRating])</f>
        <v>PR004</v>
      </c>
      <c r="AN793">
        <v>4</v>
      </c>
      <c r="AO793" t="str">
        <f>_xlfn.XLOOKUP(Table1[[#This Row],[PerformanceRating]],Table17[PerformanceRating],Table17[Deskripsi])</f>
        <v>Outstanding</v>
      </c>
      <c r="AP793" t="str">
        <f>_xlfn.XLOOKUP(Table1[[#This Row],[RelationshipSatisfaction]],Table18[RelationshipSatisfaction],Table18[Id_RelationshipSatisfaction])</f>
        <v>RS001</v>
      </c>
      <c r="AQ793">
        <v>1</v>
      </c>
      <c r="AR793" t="str">
        <f>_xlfn.XLOOKUP(Table1[[#This Row],[RelationshipSatisfaction]],Table18[RelationshipSatisfaction],Table18[Deskripsi])</f>
        <v>Low</v>
      </c>
      <c r="AS793" t="str">
        <f>_xlfn.XLOOKUP(Table1[[#This Row],[StockOptionLevel]],Table19[StockOptionLevel],Table19[Id_StockOptionLevel])</f>
        <v>SOL001</v>
      </c>
      <c r="AT793">
        <v>0</v>
      </c>
      <c r="AU793" t="str">
        <f>_xlfn.XLOOKUP(Table1[[#This Row],[StockOptionLevel]],Table19[StockOptionLevel],Table19[Deskripsi])</f>
        <v>Non-Eligible</v>
      </c>
      <c r="AV793">
        <v>9</v>
      </c>
      <c r="AW793">
        <v>2</v>
      </c>
      <c r="AX793" t="str">
        <f>_xlfn.XLOOKUP(Table1[[#This Row],[WorkLifeBalance]],Table20[WorkLifeBalance],Table20[Id_WorkLifeBalance])</f>
        <v>WLB002</v>
      </c>
      <c r="AY793">
        <v>3</v>
      </c>
      <c r="AZ793" t="str">
        <f>_xlfn.XLOOKUP(Table1[[#This Row],[WorkLifeBalance]],Table20[WorkLifeBalance],Table20[Deskripsi])</f>
        <v>Good</v>
      </c>
      <c r="BA793">
        <v>8</v>
      </c>
      <c r="BB793">
        <v>7</v>
      </c>
      <c r="BC793">
        <v>4</v>
      </c>
      <c r="BD793">
        <v>7</v>
      </c>
    </row>
    <row r="794" spans="1:56" x14ac:dyDescent="0.25">
      <c r="A794">
        <v>33</v>
      </c>
      <c r="B794" t="str">
        <f>_xlfn.XLOOKUP(Table1[[#This Row],[Attrition]],Table2[Attrition],Table2[Id_Attrition])</f>
        <v>A001</v>
      </c>
      <c r="C794" t="s">
        <v>32</v>
      </c>
      <c r="D794" t="str">
        <f>_xlfn.XLOOKUP(Table1[[#This Row],[BusinessTravel]],Table5[BusinessTravel],Table5[Id_BusinessTravel])</f>
        <v>BS002</v>
      </c>
      <c r="E794" t="s">
        <v>35</v>
      </c>
      <c r="F794">
        <v>827</v>
      </c>
      <c r="G794" t="str">
        <f>_xlfn.XLOOKUP(Table1[[#This Row],[Department]],Table6[Department],Table6[Id_Departement])</f>
        <v>D002</v>
      </c>
      <c r="H794" t="s">
        <v>38</v>
      </c>
      <c r="I794">
        <v>29</v>
      </c>
      <c r="J794" t="str">
        <f>_xlfn.XLOOKUP(Table1[[#This Row],[Education]],Table8[Education],Table8[Id_Education])</f>
        <v>E004</v>
      </c>
      <c r="K794">
        <v>4</v>
      </c>
      <c r="L794" t="str">
        <f>_xlfn.XLOOKUP(Table1[[#This Row],[EducationField]],Table7[EducationField],Table7[Id_EducationField])</f>
        <v>EF003</v>
      </c>
      <c r="M794" t="s">
        <v>42</v>
      </c>
      <c r="N794" t="str">
        <f>_xlfn.XLOOKUP(Table1[[#This Row],[EmployeeNumber]],Table4[EmployeeNumber],Table4[Id_Employee])</f>
        <v>EMP00793</v>
      </c>
      <c r="O794">
        <v>1101</v>
      </c>
      <c r="P794" t="str">
        <f>_xlfn.XLOOKUP(Table1[[#This Row],[EnvironmentSatisfaction]],Table9[EnvironmentSatisfaction],Table9[Id_EnviromentSatisfaction])</f>
        <v>ES001</v>
      </c>
      <c r="Q794">
        <v>1</v>
      </c>
      <c r="R794" t="str">
        <f>_xlfn.XLOOKUP(Table1[[#This Row],[EnvironmentSatisfaction]],Table9[EnvironmentSatisfaction],Table9[Deskripsi])</f>
        <v>Low</v>
      </c>
      <c r="S794" t="str">
        <f>_xlfn.XLOOKUP(Table1[[#This Row],[Gender]],Table10[Gender],Table10[Id_Gender])</f>
        <v>G001</v>
      </c>
      <c r="T794" t="s">
        <v>45</v>
      </c>
      <c r="U794">
        <v>54</v>
      </c>
      <c r="V794" t="str">
        <f>_xlfn.XLOOKUP(Table1[[#This Row],[JobInvolvement]],Table11[JobInvolvement],Table11[Id_JobInvolvement])</f>
        <v>JI002</v>
      </c>
      <c r="W794">
        <v>2</v>
      </c>
      <c r="X794" t="str">
        <f>_xlfn.XLOOKUP(Table1[[#This Row],[JobLevel]],Table12[JobLevel],Table12[Id_JobLevel])</f>
        <v>JL002</v>
      </c>
      <c r="Y794">
        <v>2</v>
      </c>
      <c r="Z794" t="str">
        <f>_xlfn.XLOOKUP(Table1[[#This Row],[JobRole]],Table13[JobRole],Table13[Id_JobRole])</f>
        <v>JR002</v>
      </c>
      <c r="AA794" t="s">
        <v>48</v>
      </c>
      <c r="AB794" t="str">
        <f>_xlfn.XLOOKUP(Table1[[#This Row],[JobSatisfaction]],Table14[JobSatisfaction],Table14[Id_JobSatisfaction])</f>
        <v>JS003</v>
      </c>
      <c r="AC794">
        <v>3</v>
      </c>
      <c r="AD794" t="str">
        <f>_xlfn.XLOOKUP(Table1[[#This Row],[JobSatisfaction]],Table14[JobSatisfaction],Table14[Deskripsi])</f>
        <v>High</v>
      </c>
      <c r="AE794" t="str">
        <f>_xlfn.XLOOKUP(Table1[[#This Row],[MaritalStatus]],Table15[MaritalStatus],Table15[Id_MaritalStatus])</f>
        <v>MS001</v>
      </c>
      <c r="AF794" t="s">
        <v>55</v>
      </c>
      <c r="AG794">
        <v>4508</v>
      </c>
      <c r="AH794">
        <v>3129</v>
      </c>
      <c r="AI794">
        <v>1</v>
      </c>
      <c r="AJ794" t="str">
        <f>_xlfn.XLOOKUP(Table1[[#This Row],[OverTime]],Table16[OverTime],Table16[Id_OverTime])</f>
        <v>OT002</v>
      </c>
      <c r="AK794" t="s">
        <v>33</v>
      </c>
      <c r="AL794">
        <v>22</v>
      </c>
      <c r="AM794" t="str">
        <f>_xlfn.XLOOKUP(Table1[[#This Row],[PerformanceRating]],Table17[PerformanceRating],Table17[Id_PerformanceRating])</f>
        <v>PR004</v>
      </c>
      <c r="AN794">
        <v>4</v>
      </c>
      <c r="AO794" t="str">
        <f>_xlfn.XLOOKUP(Table1[[#This Row],[PerformanceRating]],Table17[PerformanceRating],Table17[Deskripsi])</f>
        <v>Outstanding</v>
      </c>
      <c r="AP794" t="str">
        <f>_xlfn.XLOOKUP(Table1[[#This Row],[RelationshipSatisfaction]],Table18[RelationshipSatisfaction],Table18[Id_RelationshipSatisfaction])</f>
        <v>RS002</v>
      </c>
      <c r="AQ794">
        <v>2</v>
      </c>
      <c r="AR794" t="str">
        <f>_xlfn.XLOOKUP(Table1[[#This Row],[RelationshipSatisfaction]],Table18[RelationshipSatisfaction],Table18[Deskripsi])</f>
        <v>Medium</v>
      </c>
      <c r="AS794" t="str">
        <f>_xlfn.XLOOKUP(Table1[[#This Row],[StockOptionLevel]],Table19[StockOptionLevel],Table19[Id_StockOptionLevel])</f>
        <v>SOL001</v>
      </c>
      <c r="AT794">
        <v>0</v>
      </c>
      <c r="AU794" t="str">
        <f>_xlfn.XLOOKUP(Table1[[#This Row],[StockOptionLevel]],Table19[StockOptionLevel],Table19[Deskripsi])</f>
        <v>Non-Eligible</v>
      </c>
      <c r="AV794">
        <v>14</v>
      </c>
      <c r="AW794">
        <v>4</v>
      </c>
      <c r="AX794" t="str">
        <f>_xlfn.XLOOKUP(Table1[[#This Row],[WorkLifeBalance]],Table20[WorkLifeBalance],Table20[Id_WorkLifeBalance])</f>
        <v>WLB002</v>
      </c>
      <c r="AY794">
        <v>3</v>
      </c>
      <c r="AZ794" t="str">
        <f>_xlfn.XLOOKUP(Table1[[#This Row],[WorkLifeBalance]],Table20[WorkLifeBalance],Table20[Deskripsi])</f>
        <v>Good</v>
      </c>
      <c r="BA794">
        <v>13</v>
      </c>
      <c r="BB794">
        <v>7</v>
      </c>
      <c r="BC794">
        <v>3</v>
      </c>
      <c r="BD794">
        <v>8</v>
      </c>
    </row>
    <row r="795" spans="1:56" x14ac:dyDescent="0.25">
      <c r="A795">
        <v>28</v>
      </c>
      <c r="B795" t="str">
        <f>_xlfn.XLOOKUP(Table1[[#This Row],[Attrition]],Table2[Attrition],Table2[Id_Attrition])</f>
        <v>A002</v>
      </c>
      <c r="C795" t="s">
        <v>33</v>
      </c>
      <c r="D795" t="str">
        <f>_xlfn.XLOOKUP(Table1[[#This Row],[BusinessTravel]],Table5[BusinessTravel],Table5[Id_BusinessTravel])</f>
        <v>BS001</v>
      </c>
      <c r="E795" t="s">
        <v>34</v>
      </c>
      <c r="F795">
        <v>895</v>
      </c>
      <c r="G795" t="str">
        <f>_xlfn.XLOOKUP(Table1[[#This Row],[Department]],Table6[Department],Table6[Id_Departement])</f>
        <v>D002</v>
      </c>
      <c r="H795" t="s">
        <v>38</v>
      </c>
      <c r="I795">
        <v>15</v>
      </c>
      <c r="J795" t="str">
        <f>_xlfn.XLOOKUP(Table1[[#This Row],[Education]],Table8[Education],Table8[Id_Education])</f>
        <v>E002</v>
      </c>
      <c r="K795">
        <v>2</v>
      </c>
      <c r="L795" t="str">
        <f>_xlfn.XLOOKUP(Table1[[#This Row],[EducationField]],Table7[EducationField],Table7[Id_EducationField])</f>
        <v>EF001</v>
      </c>
      <c r="M795" t="s">
        <v>40</v>
      </c>
      <c r="N795" t="str">
        <f>_xlfn.XLOOKUP(Table1[[#This Row],[EmployeeNumber]],Table4[EmployeeNumber],Table4[Id_Employee])</f>
        <v>EMP00794</v>
      </c>
      <c r="O795">
        <v>1102</v>
      </c>
      <c r="P795" t="str">
        <f>_xlfn.XLOOKUP(Table1[[#This Row],[EnvironmentSatisfaction]],Table9[EnvironmentSatisfaction],Table9[Id_EnviromentSatisfaction])</f>
        <v>ES001</v>
      </c>
      <c r="Q795">
        <v>1</v>
      </c>
      <c r="R795" t="str">
        <f>_xlfn.XLOOKUP(Table1[[#This Row],[EnvironmentSatisfaction]],Table9[EnvironmentSatisfaction],Table9[Deskripsi])</f>
        <v>Low</v>
      </c>
      <c r="S795" t="str">
        <f>_xlfn.XLOOKUP(Table1[[#This Row],[Gender]],Table10[Gender],Table10[Id_Gender])</f>
        <v>G002</v>
      </c>
      <c r="T795" t="s">
        <v>46</v>
      </c>
      <c r="U795">
        <v>50</v>
      </c>
      <c r="V795" t="str">
        <f>_xlfn.XLOOKUP(Table1[[#This Row],[JobInvolvement]],Table11[JobInvolvement],Table11[Id_JobInvolvement])</f>
        <v>JI003</v>
      </c>
      <c r="W795">
        <v>3</v>
      </c>
      <c r="X795" t="str">
        <f>_xlfn.XLOOKUP(Table1[[#This Row],[JobLevel]],Table12[JobLevel],Table12[Id_JobLevel])</f>
        <v>JL001</v>
      </c>
      <c r="Y795">
        <v>1</v>
      </c>
      <c r="Z795" t="str">
        <f>_xlfn.XLOOKUP(Table1[[#This Row],[JobRole]],Table13[JobRole],Table13[Id_JobRole])</f>
        <v>JR003</v>
      </c>
      <c r="AA795" t="s">
        <v>49</v>
      </c>
      <c r="AB795" t="str">
        <f>_xlfn.XLOOKUP(Table1[[#This Row],[JobSatisfaction]],Table14[JobSatisfaction],Table14[Id_JobSatisfaction])</f>
        <v>JS003</v>
      </c>
      <c r="AC795">
        <v>3</v>
      </c>
      <c r="AD795" t="str">
        <f>_xlfn.XLOOKUP(Table1[[#This Row],[JobSatisfaction]],Table14[JobSatisfaction],Table14[Deskripsi])</f>
        <v>High</v>
      </c>
      <c r="AE795" t="str">
        <f>_xlfn.XLOOKUP(Table1[[#This Row],[MaritalStatus]],Table15[MaritalStatus],Table15[Id_MaritalStatus])</f>
        <v>MS003</v>
      </c>
      <c r="AF795" t="s">
        <v>57</v>
      </c>
      <c r="AG795">
        <v>2207</v>
      </c>
      <c r="AH795">
        <v>22482</v>
      </c>
      <c r="AI795">
        <v>1</v>
      </c>
      <c r="AJ795" t="str">
        <f>_xlfn.XLOOKUP(Table1[[#This Row],[OverTime]],Table16[OverTime],Table16[Id_OverTime])</f>
        <v>OT002</v>
      </c>
      <c r="AK795" t="s">
        <v>33</v>
      </c>
      <c r="AL795">
        <v>16</v>
      </c>
      <c r="AM795" t="str">
        <f>_xlfn.XLOOKUP(Table1[[#This Row],[PerformanceRating]],Table17[PerformanceRating],Table17[Id_PerformanceRating])</f>
        <v>PR003</v>
      </c>
      <c r="AN795">
        <v>3</v>
      </c>
      <c r="AO795" t="str">
        <f>_xlfn.XLOOKUP(Table1[[#This Row],[PerformanceRating]],Table17[PerformanceRating],Table17[Deskripsi])</f>
        <v>Excellent</v>
      </c>
      <c r="AP795" t="str">
        <f>_xlfn.XLOOKUP(Table1[[#This Row],[RelationshipSatisfaction]],Table18[RelationshipSatisfaction],Table18[Id_RelationshipSatisfaction])</f>
        <v>RS004</v>
      </c>
      <c r="AQ795">
        <v>4</v>
      </c>
      <c r="AR795" t="str">
        <f>_xlfn.XLOOKUP(Table1[[#This Row],[RelationshipSatisfaction]],Table18[RelationshipSatisfaction],Table18[Deskripsi])</f>
        <v>Very High</v>
      </c>
      <c r="AS795" t="str">
        <f>_xlfn.XLOOKUP(Table1[[#This Row],[StockOptionLevel]],Table19[StockOptionLevel],Table19[Id_StockOptionLevel])</f>
        <v>SOL002</v>
      </c>
      <c r="AT795">
        <v>1</v>
      </c>
      <c r="AU795" t="str">
        <f>_xlfn.XLOOKUP(Table1[[#This Row],[StockOptionLevel]],Table19[StockOptionLevel],Table19[Deskripsi])</f>
        <v>Standard</v>
      </c>
      <c r="AV795">
        <v>4</v>
      </c>
      <c r="AW795">
        <v>5</v>
      </c>
      <c r="AX795" t="str">
        <f>_xlfn.XLOOKUP(Table1[[#This Row],[WorkLifeBalance]],Table20[WorkLifeBalance],Table20[Id_WorkLifeBalance])</f>
        <v>WLB003</v>
      </c>
      <c r="AY795">
        <v>2</v>
      </c>
      <c r="AZ795" t="str">
        <f>_xlfn.XLOOKUP(Table1[[#This Row],[WorkLifeBalance]],Table20[WorkLifeBalance],Table20[Deskripsi])</f>
        <v>Better</v>
      </c>
      <c r="BA795">
        <v>4</v>
      </c>
      <c r="BB795">
        <v>2</v>
      </c>
      <c r="BC795">
        <v>2</v>
      </c>
      <c r="BD795">
        <v>2</v>
      </c>
    </row>
    <row r="796" spans="1:56" x14ac:dyDescent="0.25">
      <c r="A796">
        <v>34</v>
      </c>
      <c r="B796" t="str">
        <f>_xlfn.XLOOKUP(Table1[[#This Row],[Attrition]],Table2[Attrition],Table2[Id_Attrition])</f>
        <v>A002</v>
      </c>
      <c r="C796" t="s">
        <v>33</v>
      </c>
      <c r="D796" t="str">
        <f>_xlfn.XLOOKUP(Table1[[#This Row],[BusinessTravel]],Table5[BusinessTravel],Table5[Id_BusinessTravel])</f>
        <v>BS002</v>
      </c>
      <c r="E796" t="s">
        <v>35</v>
      </c>
      <c r="F796">
        <v>618</v>
      </c>
      <c r="G796" t="str">
        <f>_xlfn.XLOOKUP(Table1[[#This Row],[Department]],Table6[Department],Table6[Id_Departement])</f>
        <v>D002</v>
      </c>
      <c r="H796" t="s">
        <v>38</v>
      </c>
      <c r="I796">
        <v>3</v>
      </c>
      <c r="J796" t="str">
        <f>_xlfn.XLOOKUP(Table1[[#This Row],[Education]],Table8[Education],Table8[Id_Education])</f>
        <v>E001</v>
      </c>
      <c r="K796">
        <v>1</v>
      </c>
      <c r="L796" t="str">
        <f>_xlfn.XLOOKUP(Table1[[#This Row],[EducationField]],Table7[EducationField],Table7[Id_EducationField])</f>
        <v>EF001</v>
      </c>
      <c r="M796" t="s">
        <v>40</v>
      </c>
      <c r="N796" t="str">
        <f>_xlfn.XLOOKUP(Table1[[#This Row],[EmployeeNumber]],Table4[EmployeeNumber],Table4[Id_Employee])</f>
        <v>EMP00795</v>
      </c>
      <c r="O796">
        <v>1103</v>
      </c>
      <c r="P796" t="str">
        <f>_xlfn.XLOOKUP(Table1[[#This Row],[EnvironmentSatisfaction]],Table9[EnvironmentSatisfaction],Table9[Id_EnviromentSatisfaction])</f>
        <v>ES001</v>
      </c>
      <c r="Q796">
        <v>1</v>
      </c>
      <c r="R796" t="str">
        <f>_xlfn.XLOOKUP(Table1[[#This Row],[EnvironmentSatisfaction]],Table9[EnvironmentSatisfaction],Table9[Deskripsi])</f>
        <v>Low</v>
      </c>
      <c r="S796" t="str">
        <f>_xlfn.XLOOKUP(Table1[[#This Row],[Gender]],Table10[Gender],Table10[Id_Gender])</f>
        <v>G002</v>
      </c>
      <c r="T796" t="s">
        <v>46</v>
      </c>
      <c r="U796">
        <v>45</v>
      </c>
      <c r="V796" t="str">
        <f>_xlfn.XLOOKUP(Table1[[#This Row],[JobInvolvement]],Table11[JobInvolvement],Table11[Id_JobInvolvement])</f>
        <v>JI003</v>
      </c>
      <c r="W796">
        <v>3</v>
      </c>
      <c r="X796" t="str">
        <f>_xlfn.XLOOKUP(Table1[[#This Row],[JobLevel]],Table12[JobLevel],Table12[Id_JobLevel])</f>
        <v>JL002</v>
      </c>
      <c r="Y796">
        <v>2</v>
      </c>
      <c r="Z796" t="str">
        <f>_xlfn.XLOOKUP(Table1[[#This Row],[JobRole]],Table13[JobRole],Table13[Id_JobRole])</f>
        <v>JR005</v>
      </c>
      <c r="AA796" t="s">
        <v>51</v>
      </c>
      <c r="AB796" t="str">
        <f>_xlfn.XLOOKUP(Table1[[#This Row],[JobSatisfaction]],Table14[JobSatisfaction],Table14[Id_JobSatisfaction])</f>
        <v>JS004</v>
      </c>
      <c r="AC796">
        <v>4</v>
      </c>
      <c r="AD796" t="str">
        <f>_xlfn.XLOOKUP(Table1[[#This Row],[JobSatisfaction]],Table14[JobSatisfaction],Table14[Deskripsi])</f>
        <v>Very High</v>
      </c>
      <c r="AE796" t="str">
        <f>_xlfn.XLOOKUP(Table1[[#This Row],[MaritalStatus]],Table15[MaritalStatus],Table15[Id_MaritalStatus])</f>
        <v>MS001</v>
      </c>
      <c r="AF796" t="s">
        <v>55</v>
      </c>
      <c r="AG796">
        <v>7756</v>
      </c>
      <c r="AH796">
        <v>22266</v>
      </c>
      <c r="AI796">
        <v>0</v>
      </c>
      <c r="AJ796" t="str">
        <f>_xlfn.XLOOKUP(Table1[[#This Row],[OverTime]],Table16[OverTime],Table16[Id_OverTime])</f>
        <v>OT002</v>
      </c>
      <c r="AK796" t="s">
        <v>33</v>
      </c>
      <c r="AL796">
        <v>17</v>
      </c>
      <c r="AM796" t="str">
        <f>_xlfn.XLOOKUP(Table1[[#This Row],[PerformanceRating]],Table17[PerformanceRating],Table17[Id_PerformanceRating])</f>
        <v>PR003</v>
      </c>
      <c r="AN796">
        <v>3</v>
      </c>
      <c r="AO796" t="str">
        <f>_xlfn.XLOOKUP(Table1[[#This Row],[PerformanceRating]],Table17[PerformanceRating],Table17[Deskripsi])</f>
        <v>Excellent</v>
      </c>
      <c r="AP796" t="str">
        <f>_xlfn.XLOOKUP(Table1[[#This Row],[RelationshipSatisfaction]],Table18[RelationshipSatisfaction],Table18[Id_RelationshipSatisfaction])</f>
        <v>RS003</v>
      </c>
      <c r="AQ796">
        <v>3</v>
      </c>
      <c r="AR796" t="str">
        <f>_xlfn.XLOOKUP(Table1[[#This Row],[RelationshipSatisfaction]],Table18[RelationshipSatisfaction],Table18[Deskripsi])</f>
        <v>High</v>
      </c>
      <c r="AS796" t="str">
        <f>_xlfn.XLOOKUP(Table1[[#This Row],[StockOptionLevel]],Table19[StockOptionLevel],Table19[Id_StockOptionLevel])</f>
        <v>SOL001</v>
      </c>
      <c r="AT796">
        <v>0</v>
      </c>
      <c r="AU796" t="str">
        <f>_xlfn.XLOOKUP(Table1[[#This Row],[StockOptionLevel]],Table19[StockOptionLevel],Table19[Deskripsi])</f>
        <v>Non-Eligible</v>
      </c>
      <c r="AV796">
        <v>7</v>
      </c>
      <c r="AW796">
        <v>1</v>
      </c>
      <c r="AX796" t="str">
        <f>_xlfn.XLOOKUP(Table1[[#This Row],[WorkLifeBalance]],Table20[WorkLifeBalance],Table20[Id_WorkLifeBalance])</f>
        <v>WLB003</v>
      </c>
      <c r="AY796">
        <v>2</v>
      </c>
      <c r="AZ796" t="str">
        <f>_xlfn.XLOOKUP(Table1[[#This Row],[WorkLifeBalance]],Table20[WorkLifeBalance],Table20[Deskripsi])</f>
        <v>Better</v>
      </c>
      <c r="BA796">
        <v>6</v>
      </c>
      <c r="BB796">
        <v>2</v>
      </c>
      <c r="BC796">
        <v>0</v>
      </c>
      <c r="BD796">
        <v>4</v>
      </c>
    </row>
    <row r="797" spans="1:56" x14ac:dyDescent="0.25">
      <c r="A797">
        <v>37</v>
      </c>
      <c r="B797" t="str">
        <f>_xlfn.XLOOKUP(Table1[[#This Row],[Attrition]],Table2[Attrition],Table2[Id_Attrition])</f>
        <v>A002</v>
      </c>
      <c r="C797" t="s">
        <v>33</v>
      </c>
      <c r="D797" t="str">
        <f>_xlfn.XLOOKUP(Table1[[#This Row],[BusinessTravel]],Table5[BusinessTravel],Table5[Id_BusinessTravel])</f>
        <v>BS001</v>
      </c>
      <c r="E797" t="s">
        <v>34</v>
      </c>
      <c r="F797">
        <v>309</v>
      </c>
      <c r="G797" t="str">
        <f>_xlfn.XLOOKUP(Table1[[#This Row],[Department]],Table6[Department],Table6[Id_Departement])</f>
        <v>D001</v>
      </c>
      <c r="H797" t="s">
        <v>37</v>
      </c>
      <c r="I797">
        <v>10</v>
      </c>
      <c r="J797" t="str">
        <f>_xlfn.XLOOKUP(Table1[[#This Row],[Education]],Table8[Education],Table8[Id_Education])</f>
        <v>E004</v>
      </c>
      <c r="K797">
        <v>4</v>
      </c>
      <c r="L797" t="str">
        <f>_xlfn.XLOOKUP(Table1[[#This Row],[EducationField]],Table7[EducationField],Table7[Id_EducationField])</f>
        <v>EF001</v>
      </c>
      <c r="M797" t="s">
        <v>40</v>
      </c>
      <c r="N797" t="str">
        <f>_xlfn.XLOOKUP(Table1[[#This Row],[EmployeeNumber]],Table4[EmployeeNumber],Table4[Id_Employee])</f>
        <v>EMP00796</v>
      </c>
      <c r="O797">
        <v>1105</v>
      </c>
      <c r="P797" t="str">
        <f>_xlfn.XLOOKUP(Table1[[#This Row],[EnvironmentSatisfaction]],Table9[EnvironmentSatisfaction],Table9[Id_EnviromentSatisfaction])</f>
        <v>ES004</v>
      </c>
      <c r="Q797">
        <v>4</v>
      </c>
      <c r="R797" t="str">
        <f>_xlfn.XLOOKUP(Table1[[#This Row],[EnvironmentSatisfaction]],Table9[EnvironmentSatisfaction],Table9[Deskripsi])</f>
        <v>Very High</v>
      </c>
      <c r="S797" t="str">
        <f>_xlfn.XLOOKUP(Table1[[#This Row],[Gender]],Table10[Gender],Table10[Id_Gender])</f>
        <v>G001</v>
      </c>
      <c r="T797" t="s">
        <v>45</v>
      </c>
      <c r="U797">
        <v>88</v>
      </c>
      <c r="V797" t="str">
        <f>_xlfn.XLOOKUP(Table1[[#This Row],[JobInvolvement]],Table11[JobInvolvement],Table11[Id_JobInvolvement])</f>
        <v>JI002</v>
      </c>
      <c r="W797">
        <v>2</v>
      </c>
      <c r="X797" t="str">
        <f>_xlfn.XLOOKUP(Table1[[#This Row],[JobLevel]],Table12[JobLevel],Table12[Id_JobLevel])</f>
        <v>JL002</v>
      </c>
      <c r="Y797">
        <v>2</v>
      </c>
      <c r="Z797" t="str">
        <f>_xlfn.XLOOKUP(Table1[[#This Row],[JobRole]],Table13[JobRole],Table13[Id_JobRole])</f>
        <v>JR001</v>
      </c>
      <c r="AA797" t="s">
        <v>47</v>
      </c>
      <c r="AB797" t="str">
        <f>_xlfn.XLOOKUP(Table1[[#This Row],[JobSatisfaction]],Table14[JobSatisfaction],Table14[Id_JobSatisfaction])</f>
        <v>JS004</v>
      </c>
      <c r="AC797">
        <v>4</v>
      </c>
      <c r="AD797" t="str">
        <f>_xlfn.XLOOKUP(Table1[[#This Row],[JobSatisfaction]],Table14[JobSatisfaction],Table14[Deskripsi])</f>
        <v>Very High</v>
      </c>
      <c r="AE797" t="str">
        <f>_xlfn.XLOOKUP(Table1[[#This Row],[MaritalStatus]],Table15[MaritalStatus],Table15[Id_MaritalStatus])</f>
        <v>MS003</v>
      </c>
      <c r="AF797" t="s">
        <v>57</v>
      </c>
      <c r="AG797">
        <v>6694</v>
      </c>
      <c r="AH797">
        <v>24223</v>
      </c>
      <c r="AI797">
        <v>2</v>
      </c>
      <c r="AJ797" t="str">
        <f>_xlfn.XLOOKUP(Table1[[#This Row],[OverTime]],Table16[OverTime],Table16[Id_OverTime])</f>
        <v>OT001</v>
      </c>
      <c r="AK797" t="s">
        <v>32</v>
      </c>
      <c r="AL797">
        <v>14</v>
      </c>
      <c r="AM797" t="str">
        <f>_xlfn.XLOOKUP(Table1[[#This Row],[PerformanceRating]],Table17[PerformanceRating],Table17[Id_PerformanceRating])</f>
        <v>PR003</v>
      </c>
      <c r="AN797">
        <v>3</v>
      </c>
      <c r="AO797" t="str">
        <f>_xlfn.XLOOKUP(Table1[[#This Row],[PerformanceRating]],Table17[PerformanceRating],Table17[Deskripsi])</f>
        <v>Excellent</v>
      </c>
      <c r="AP797" t="str">
        <f>_xlfn.XLOOKUP(Table1[[#This Row],[RelationshipSatisfaction]],Table18[RelationshipSatisfaction],Table18[Id_RelationshipSatisfaction])</f>
        <v>RS003</v>
      </c>
      <c r="AQ797">
        <v>3</v>
      </c>
      <c r="AR797" t="str">
        <f>_xlfn.XLOOKUP(Table1[[#This Row],[RelationshipSatisfaction]],Table18[RelationshipSatisfaction],Table18[Deskripsi])</f>
        <v>High</v>
      </c>
      <c r="AS797" t="str">
        <f>_xlfn.XLOOKUP(Table1[[#This Row],[StockOptionLevel]],Table19[StockOptionLevel],Table19[Id_StockOptionLevel])</f>
        <v>SOL004</v>
      </c>
      <c r="AT797">
        <v>3</v>
      </c>
      <c r="AU797" t="str">
        <f>_xlfn.XLOOKUP(Table1[[#This Row],[StockOptionLevel]],Table19[StockOptionLevel],Table19[Deskripsi])</f>
        <v>Senior/Executive</v>
      </c>
      <c r="AV797">
        <v>8</v>
      </c>
      <c r="AW797">
        <v>5</v>
      </c>
      <c r="AX797" t="str">
        <f>_xlfn.XLOOKUP(Table1[[#This Row],[WorkLifeBalance]],Table20[WorkLifeBalance],Table20[Id_WorkLifeBalance])</f>
        <v>WLB002</v>
      </c>
      <c r="AY797">
        <v>3</v>
      </c>
      <c r="AZ797" t="str">
        <f>_xlfn.XLOOKUP(Table1[[#This Row],[WorkLifeBalance]],Table20[WorkLifeBalance],Table20[Deskripsi])</f>
        <v>Good</v>
      </c>
      <c r="BA797">
        <v>1</v>
      </c>
      <c r="BB797">
        <v>0</v>
      </c>
      <c r="BC797">
        <v>0</v>
      </c>
      <c r="BD797">
        <v>0</v>
      </c>
    </row>
    <row r="798" spans="1:56" x14ac:dyDescent="0.25">
      <c r="A798">
        <v>25</v>
      </c>
      <c r="B798" t="str">
        <f>_xlfn.XLOOKUP(Table1[[#This Row],[Attrition]],Table2[Attrition],Table2[Id_Attrition])</f>
        <v>A001</v>
      </c>
      <c r="C798" t="s">
        <v>32</v>
      </c>
      <c r="D798" t="str">
        <f>_xlfn.XLOOKUP(Table1[[#This Row],[BusinessTravel]],Table5[BusinessTravel],Table5[Id_BusinessTravel])</f>
        <v>BS001</v>
      </c>
      <c r="E798" t="s">
        <v>34</v>
      </c>
      <c r="F798">
        <v>1219</v>
      </c>
      <c r="G798" t="str">
        <f>_xlfn.XLOOKUP(Table1[[#This Row],[Department]],Table6[Department],Table6[Id_Departement])</f>
        <v>D002</v>
      </c>
      <c r="H798" t="s">
        <v>38</v>
      </c>
      <c r="I798">
        <v>4</v>
      </c>
      <c r="J798" t="str">
        <f>_xlfn.XLOOKUP(Table1[[#This Row],[Education]],Table8[Education],Table8[Id_Education])</f>
        <v>E001</v>
      </c>
      <c r="K798">
        <v>1</v>
      </c>
      <c r="L798" t="str">
        <f>_xlfn.XLOOKUP(Table1[[#This Row],[EducationField]],Table7[EducationField],Table7[Id_EducationField])</f>
        <v>EF005</v>
      </c>
      <c r="M798" t="s">
        <v>44</v>
      </c>
      <c r="N798" t="str">
        <f>_xlfn.XLOOKUP(Table1[[#This Row],[EmployeeNumber]],Table4[EmployeeNumber],Table4[Id_Employee])</f>
        <v>EMP00797</v>
      </c>
      <c r="O798">
        <v>1106</v>
      </c>
      <c r="P798" t="str">
        <f>_xlfn.XLOOKUP(Table1[[#This Row],[EnvironmentSatisfaction]],Table9[EnvironmentSatisfaction],Table9[Id_EnviromentSatisfaction])</f>
        <v>ES004</v>
      </c>
      <c r="Q798">
        <v>4</v>
      </c>
      <c r="R798" t="str">
        <f>_xlfn.XLOOKUP(Table1[[#This Row],[EnvironmentSatisfaction]],Table9[EnvironmentSatisfaction],Table9[Deskripsi])</f>
        <v>Very High</v>
      </c>
      <c r="S798" t="str">
        <f>_xlfn.XLOOKUP(Table1[[#This Row],[Gender]],Table10[Gender],Table10[Id_Gender])</f>
        <v>G002</v>
      </c>
      <c r="T798" t="s">
        <v>46</v>
      </c>
      <c r="U798">
        <v>32</v>
      </c>
      <c r="V798" t="str">
        <f>_xlfn.XLOOKUP(Table1[[#This Row],[JobInvolvement]],Table11[JobInvolvement],Table11[Id_JobInvolvement])</f>
        <v>JI003</v>
      </c>
      <c r="W798">
        <v>3</v>
      </c>
      <c r="X798" t="str">
        <f>_xlfn.XLOOKUP(Table1[[#This Row],[JobLevel]],Table12[JobLevel],Table12[Id_JobLevel])</f>
        <v>JL001</v>
      </c>
      <c r="Y798">
        <v>1</v>
      </c>
      <c r="Z798" t="str">
        <f>_xlfn.XLOOKUP(Table1[[#This Row],[JobRole]],Table13[JobRole],Table13[Id_JobRole])</f>
        <v>JR003</v>
      </c>
      <c r="AA798" t="s">
        <v>49</v>
      </c>
      <c r="AB798" t="str">
        <f>_xlfn.XLOOKUP(Table1[[#This Row],[JobSatisfaction]],Table14[JobSatisfaction],Table14[Id_JobSatisfaction])</f>
        <v>JS004</v>
      </c>
      <c r="AC798">
        <v>4</v>
      </c>
      <c r="AD798" t="str">
        <f>_xlfn.XLOOKUP(Table1[[#This Row],[JobSatisfaction]],Table14[JobSatisfaction],Table14[Deskripsi])</f>
        <v>Very High</v>
      </c>
      <c r="AE798" t="str">
        <f>_xlfn.XLOOKUP(Table1[[#This Row],[MaritalStatus]],Table15[MaritalStatus],Table15[Id_MaritalStatus])</f>
        <v>MS002</v>
      </c>
      <c r="AF798" t="s">
        <v>56</v>
      </c>
      <c r="AG798">
        <v>3691</v>
      </c>
      <c r="AH798">
        <v>4605</v>
      </c>
      <c r="AI798">
        <v>1</v>
      </c>
      <c r="AJ798" t="str">
        <f>_xlfn.XLOOKUP(Table1[[#This Row],[OverTime]],Table16[OverTime],Table16[Id_OverTime])</f>
        <v>OT001</v>
      </c>
      <c r="AK798" t="s">
        <v>32</v>
      </c>
      <c r="AL798">
        <v>15</v>
      </c>
      <c r="AM798" t="str">
        <f>_xlfn.XLOOKUP(Table1[[#This Row],[PerformanceRating]],Table17[PerformanceRating],Table17[Id_PerformanceRating])</f>
        <v>PR003</v>
      </c>
      <c r="AN798">
        <v>3</v>
      </c>
      <c r="AO798" t="str">
        <f>_xlfn.XLOOKUP(Table1[[#This Row],[PerformanceRating]],Table17[PerformanceRating],Table17[Deskripsi])</f>
        <v>Excellent</v>
      </c>
      <c r="AP798" t="str">
        <f>_xlfn.XLOOKUP(Table1[[#This Row],[RelationshipSatisfaction]],Table18[RelationshipSatisfaction],Table18[Id_RelationshipSatisfaction])</f>
        <v>RS002</v>
      </c>
      <c r="AQ798">
        <v>2</v>
      </c>
      <c r="AR798" t="str">
        <f>_xlfn.XLOOKUP(Table1[[#This Row],[RelationshipSatisfaction]],Table18[RelationshipSatisfaction],Table18[Deskripsi])</f>
        <v>Medium</v>
      </c>
      <c r="AS798" t="str">
        <f>_xlfn.XLOOKUP(Table1[[#This Row],[StockOptionLevel]],Table19[StockOptionLevel],Table19[Id_StockOptionLevel])</f>
        <v>SOL002</v>
      </c>
      <c r="AT798">
        <v>1</v>
      </c>
      <c r="AU798" t="str">
        <f>_xlfn.XLOOKUP(Table1[[#This Row],[StockOptionLevel]],Table19[StockOptionLevel],Table19[Deskripsi])</f>
        <v>Standard</v>
      </c>
      <c r="AV798">
        <v>7</v>
      </c>
      <c r="AW798">
        <v>3</v>
      </c>
      <c r="AX798" t="str">
        <f>_xlfn.XLOOKUP(Table1[[#This Row],[WorkLifeBalance]],Table20[WorkLifeBalance],Table20[Id_WorkLifeBalance])</f>
        <v>WLB004</v>
      </c>
      <c r="AY798">
        <v>4</v>
      </c>
      <c r="AZ798" t="str">
        <f>_xlfn.XLOOKUP(Table1[[#This Row],[WorkLifeBalance]],Table20[WorkLifeBalance],Table20[Deskripsi])</f>
        <v>Best</v>
      </c>
      <c r="BA798">
        <v>7</v>
      </c>
      <c r="BB798">
        <v>7</v>
      </c>
      <c r="BC798">
        <v>5</v>
      </c>
      <c r="BD798">
        <v>6</v>
      </c>
    </row>
    <row r="799" spans="1:56" x14ac:dyDescent="0.25">
      <c r="A799">
        <v>26</v>
      </c>
      <c r="B799" t="str">
        <f>_xlfn.XLOOKUP(Table1[[#This Row],[Attrition]],Table2[Attrition],Table2[Id_Attrition])</f>
        <v>A001</v>
      </c>
      <c r="C799" t="s">
        <v>32</v>
      </c>
      <c r="D799" t="str">
        <f>_xlfn.XLOOKUP(Table1[[#This Row],[BusinessTravel]],Table5[BusinessTravel],Table5[Id_BusinessTravel])</f>
        <v>BS001</v>
      </c>
      <c r="E799" t="s">
        <v>34</v>
      </c>
      <c r="F799">
        <v>1330</v>
      </c>
      <c r="G799" t="str">
        <f>_xlfn.XLOOKUP(Table1[[#This Row],[Department]],Table6[Department],Table6[Id_Departement])</f>
        <v>D002</v>
      </c>
      <c r="H799" t="s">
        <v>38</v>
      </c>
      <c r="I799">
        <v>21</v>
      </c>
      <c r="J799" t="str">
        <f>_xlfn.XLOOKUP(Table1[[#This Row],[Education]],Table8[Education],Table8[Id_Education])</f>
        <v>E003</v>
      </c>
      <c r="K799">
        <v>3</v>
      </c>
      <c r="L799" t="str">
        <f>_xlfn.XLOOKUP(Table1[[#This Row],[EducationField]],Table7[EducationField],Table7[Id_EducationField])</f>
        <v>EF003</v>
      </c>
      <c r="M799" t="s">
        <v>42</v>
      </c>
      <c r="N799" t="str">
        <f>_xlfn.XLOOKUP(Table1[[#This Row],[EmployeeNumber]],Table4[EmployeeNumber],Table4[Id_Employee])</f>
        <v>EMP00798</v>
      </c>
      <c r="O799">
        <v>1107</v>
      </c>
      <c r="P799" t="str">
        <f>_xlfn.XLOOKUP(Table1[[#This Row],[EnvironmentSatisfaction]],Table9[EnvironmentSatisfaction],Table9[Id_EnviromentSatisfaction])</f>
        <v>ES001</v>
      </c>
      <c r="Q799">
        <v>1</v>
      </c>
      <c r="R799" t="str">
        <f>_xlfn.XLOOKUP(Table1[[#This Row],[EnvironmentSatisfaction]],Table9[EnvironmentSatisfaction],Table9[Deskripsi])</f>
        <v>Low</v>
      </c>
      <c r="S799" t="str">
        <f>_xlfn.XLOOKUP(Table1[[#This Row],[Gender]],Table10[Gender],Table10[Id_Gender])</f>
        <v>G002</v>
      </c>
      <c r="T799" t="s">
        <v>46</v>
      </c>
      <c r="U799">
        <v>37</v>
      </c>
      <c r="V799" t="str">
        <f>_xlfn.XLOOKUP(Table1[[#This Row],[JobInvolvement]],Table11[JobInvolvement],Table11[Id_JobInvolvement])</f>
        <v>JI003</v>
      </c>
      <c r="W799">
        <v>3</v>
      </c>
      <c r="X799" t="str">
        <f>_xlfn.XLOOKUP(Table1[[#This Row],[JobLevel]],Table12[JobLevel],Table12[Id_JobLevel])</f>
        <v>JL001</v>
      </c>
      <c r="Y799">
        <v>1</v>
      </c>
      <c r="Z799" t="str">
        <f>_xlfn.XLOOKUP(Table1[[#This Row],[JobRole]],Table13[JobRole],Table13[Id_JobRole])</f>
        <v>JR003</v>
      </c>
      <c r="AA799" t="s">
        <v>49</v>
      </c>
      <c r="AB799" t="str">
        <f>_xlfn.XLOOKUP(Table1[[#This Row],[JobSatisfaction]],Table14[JobSatisfaction],Table14[Id_JobSatisfaction])</f>
        <v>JS003</v>
      </c>
      <c r="AC799">
        <v>3</v>
      </c>
      <c r="AD799" t="str">
        <f>_xlfn.XLOOKUP(Table1[[#This Row],[JobSatisfaction]],Table14[JobSatisfaction],Table14[Deskripsi])</f>
        <v>High</v>
      </c>
      <c r="AE799" t="str">
        <f>_xlfn.XLOOKUP(Table1[[#This Row],[MaritalStatus]],Table15[MaritalStatus],Table15[Id_MaritalStatus])</f>
        <v>MS003</v>
      </c>
      <c r="AF799" t="s">
        <v>57</v>
      </c>
      <c r="AG799">
        <v>2377</v>
      </c>
      <c r="AH799">
        <v>19373</v>
      </c>
      <c r="AI799">
        <v>1</v>
      </c>
      <c r="AJ799" t="str">
        <f>_xlfn.XLOOKUP(Table1[[#This Row],[OverTime]],Table16[OverTime],Table16[Id_OverTime])</f>
        <v>OT002</v>
      </c>
      <c r="AK799" t="s">
        <v>33</v>
      </c>
      <c r="AL799">
        <v>20</v>
      </c>
      <c r="AM799" t="str">
        <f>_xlfn.XLOOKUP(Table1[[#This Row],[PerformanceRating]],Table17[PerformanceRating],Table17[Id_PerformanceRating])</f>
        <v>PR004</v>
      </c>
      <c r="AN799">
        <v>4</v>
      </c>
      <c r="AO799" t="str">
        <f>_xlfn.XLOOKUP(Table1[[#This Row],[PerformanceRating]],Table17[PerformanceRating],Table17[Deskripsi])</f>
        <v>Outstanding</v>
      </c>
      <c r="AP799" t="str">
        <f>_xlfn.XLOOKUP(Table1[[#This Row],[RelationshipSatisfaction]],Table18[RelationshipSatisfaction],Table18[Id_RelationshipSatisfaction])</f>
        <v>RS003</v>
      </c>
      <c r="AQ799">
        <v>3</v>
      </c>
      <c r="AR799" t="str">
        <f>_xlfn.XLOOKUP(Table1[[#This Row],[RelationshipSatisfaction]],Table18[RelationshipSatisfaction],Table18[Deskripsi])</f>
        <v>High</v>
      </c>
      <c r="AS799" t="str">
        <f>_xlfn.XLOOKUP(Table1[[#This Row],[StockOptionLevel]],Table19[StockOptionLevel],Table19[Id_StockOptionLevel])</f>
        <v>SOL002</v>
      </c>
      <c r="AT799">
        <v>1</v>
      </c>
      <c r="AU799" t="str">
        <f>_xlfn.XLOOKUP(Table1[[#This Row],[StockOptionLevel]],Table19[StockOptionLevel],Table19[Deskripsi])</f>
        <v>Standard</v>
      </c>
      <c r="AV799">
        <v>1</v>
      </c>
      <c r="AW799">
        <v>0</v>
      </c>
      <c r="AX799" t="str">
        <f>_xlfn.XLOOKUP(Table1[[#This Row],[WorkLifeBalance]],Table20[WorkLifeBalance],Table20[Id_WorkLifeBalance])</f>
        <v>WLB003</v>
      </c>
      <c r="AY799">
        <v>2</v>
      </c>
      <c r="AZ799" t="str">
        <f>_xlfn.XLOOKUP(Table1[[#This Row],[WorkLifeBalance]],Table20[WorkLifeBalance],Table20[Deskripsi])</f>
        <v>Better</v>
      </c>
      <c r="BA799">
        <v>1</v>
      </c>
      <c r="BB799">
        <v>1</v>
      </c>
      <c r="BC799">
        <v>0</v>
      </c>
      <c r="BD799">
        <v>0</v>
      </c>
    </row>
    <row r="800" spans="1:56" x14ac:dyDescent="0.25">
      <c r="A800">
        <v>33</v>
      </c>
      <c r="B800" t="str">
        <f>_xlfn.XLOOKUP(Table1[[#This Row],[Attrition]],Table2[Attrition],Table2[Id_Attrition])</f>
        <v>A001</v>
      </c>
      <c r="C800" t="s">
        <v>32</v>
      </c>
      <c r="D800" t="str">
        <f>_xlfn.XLOOKUP(Table1[[#This Row],[BusinessTravel]],Table5[BusinessTravel],Table5[Id_BusinessTravel])</f>
        <v>BS001</v>
      </c>
      <c r="E800" t="s">
        <v>34</v>
      </c>
      <c r="F800">
        <v>1017</v>
      </c>
      <c r="G800" t="str">
        <f>_xlfn.XLOOKUP(Table1[[#This Row],[Department]],Table6[Department],Table6[Id_Departement])</f>
        <v>D002</v>
      </c>
      <c r="H800" t="s">
        <v>38</v>
      </c>
      <c r="I800">
        <v>25</v>
      </c>
      <c r="J800" t="str">
        <f>_xlfn.XLOOKUP(Table1[[#This Row],[Education]],Table8[Education],Table8[Id_Education])</f>
        <v>E003</v>
      </c>
      <c r="K800">
        <v>3</v>
      </c>
      <c r="L800" t="str">
        <f>_xlfn.XLOOKUP(Table1[[#This Row],[EducationField]],Table7[EducationField],Table7[Id_EducationField])</f>
        <v>EF003</v>
      </c>
      <c r="M800" t="s">
        <v>42</v>
      </c>
      <c r="N800" t="str">
        <f>_xlfn.XLOOKUP(Table1[[#This Row],[EmployeeNumber]],Table4[EmployeeNumber],Table4[Id_Employee])</f>
        <v>EMP00799</v>
      </c>
      <c r="O800">
        <v>1108</v>
      </c>
      <c r="P800" t="str">
        <f>_xlfn.XLOOKUP(Table1[[#This Row],[EnvironmentSatisfaction]],Table9[EnvironmentSatisfaction],Table9[Id_EnviromentSatisfaction])</f>
        <v>ES001</v>
      </c>
      <c r="Q800">
        <v>1</v>
      </c>
      <c r="R800" t="str">
        <f>_xlfn.XLOOKUP(Table1[[#This Row],[EnvironmentSatisfaction]],Table9[EnvironmentSatisfaction],Table9[Deskripsi])</f>
        <v>Low</v>
      </c>
      <c r="S800" t="str">
        <f>_xlfn.XLOOKUP(Table1[[#This Row],[Gender]],Table10[Gender],Table10[Id_Gender])</f>
        <v>G002</v>
      </c>
      <c r="T800" t="s">
        <v>46</v>
      </c>
      <c r="U800">
        <v>55</v>
      </c>
      <c r="V800" t="str">
        <f>_xlfn.XLOOKUP(Table1[[#This Row],[JobInvolvement]],Table11[JobInvolvement],Table11[Id_JobInvolvement])</f>
        <v>JI002</v>
      </c>
      <c r="W800">
        <v>2</v>
      </c>
      <c r="X800" t="str">
        <f>_xlfn.XLOOKUP(Table1[[#This Row],[JobLevel]],Table12[JobLevel],Table12[Id_JobLevel])</f>
        <v>JL001</v>
      </c>
      <c r="Y800">
        <v>1</v>
      </c>
      <c r="Z800" t="str">
        <f>_xlfn.XLOOKUP(Table1[[#This Row],[JobRole]],Table13[JobRole],Table13[Id_JobRole])</f>
        <v>JR002</v>
      </c>
      <c r="AA800" t="s">
        <v>48</v>
      </c>
      <c r="AB800" t="str">
        <f>_xlfn.XLOOKUP(Table1[[#This Row],[JobSatisfaction]],Table14[JobSatisfaction],Table14[Id_JobSatisfaction])</f>
        <v>JS002</v>
      </c>
      <c r="AC800">
        <v>2</v>
      </c>
      <c r="AD800" t="str">
        <f>_xlfn.XLOOKUP(Table1[[#This Row],[JobSatisfaction]],Table14[JobSatisfaction],Table14[Deskripsi])</f>
        <v>Medium</v>
      </c>
      <c r="AE800" t="str">
        <f>_xlfn.XLOOKUP(Table1[[#This Row],[MaritalStatus]],Table15[MaritalStatus],Table15[Id_MaritalStatus])</f>
        <v>MS001</v>
      </c>
      <c r="AF800" t="s">
        <v>55</v>
      </c>
      <c r="AG800">
        <v>2313</v>
      </c>
      <c r="AH800">
        <v>2993</v>
      </c>
      <c r="AI800">
        <v>4</v>
      </c>
      <c r="AJ800" t="str">
        <f>_xlfn.XLOOKUP(Table1[[#This Row],[OverTime]],Table16[OverTime],Table16[Id_OverTime])</f>
        <v>OT001</v>
      </c>
      <c r="AK800" t="s">
        <v>32</v>
      </c>
      <c r="AL800">
        <v>20</v>
      </c>
      <c r="AM800" t="str">
        <f>_xlfn.XLOOKUP(Table1[[#This Row],[PerformanceRating]],Table17[PerformanceRating],Table17[Id_PerformanceRating])</f>
        <v>PR004</v>
      </c>
      <c r="AN800">
        <v>4</v>
      </c>
      <c r="AO800" t="str">
        <f>_xlfn.XLOOKUP(Table1[[#This Row],[PerformanceRating]],Table17[PerformanceRating],Table17[Deskripsi])</f>
        <v>Outstanding</v>
      </c>
      <c r="AP800" t="str">
        <f>_xlfn.XLOOKUP(Table1[[#This Row],[RelationshipSatisfaction]],Table18[RelationshipSatisfaction],Table18[Id_RelationshipSatisfaction])</f>
        <v>RS002</v>
      </c>
      <c r="AQ800">
        <v>2</v>
      </c>
      <c r="AR800" t="str">
        <f>_xlfn.XLOOKUP(Table1[[#This Row],[RelationshipSatisfaction]],Table18[RelationshipSatisfaction],Table18[Deskripsi])</f>
        <v>Medium</v>
      </c>
      <c r="AS800" t="str">
        <f>_xlfn.XLOOKUP(Table1[[#This Row],[StockOptionLevel]],Table19[StockOptionLevel],Table19[Id_StockOptionLevel])</f>
        <v>SOL001</v>
      </c>
      <c r="AT800">
        <v>0</v>
      </c>
      <c r="AU800" t="str">
        <f>_xlfn.XLOOKUP(Table1[[#This Row],[StockOptionLevel]],Table19[StockOptionLevel],Table19[Deskripsi])</f>
        <v>Non-Eligible</v>
      </c>
      <c r="AV800">
        <v>5</v>
      </c>
      <c r="AW800">
        <v>0</v>
      </c>
      <c r="AX800" t="str">
        <f>_xlfn.XLOOKUP(Table1[[#This Row],[WorkLifeBalance]],Table20[WorkLifeBalance],Table20[Id_WorkLifeBalance])</f>
        <v>WLB002</v>
      </c>
      <c r="AY800">
        <v>3</v>
      </c>
      <c r="AZ800" t="str">
        <f>_xlfn.XLOOKUP(Table1[[#This Row],[WorkLifeBalance]],Table20[WorkLifeBalance],Table20[Deskripsi])</f>
        <v>Good</v>
      </c>
      <c r="BA800">
        <v>2</v>
      </c>
      <c r="BB800">
        <v>2</v>
      </c>
      <c r="BC800">
        <v>2</v>
      </c>
      <c r="BD800">
        <v>2</v>
      </c>
    </row>
    <row r="801" spans="1:56" x14ac:dyDescent="0.25">
      <c r="A801">
        <v>42</v>
      </c>
      <c r="B801" t="str">
        <f>_xlfn.XLOOKUP(Table1[[#This Row],[Attrition]],Table2[Attrition],Table2[Id_Attrition])</f>
        <v>A002</v>
      </c>
      <c r="C801" t="s">
        <v>33</v>
      </c>
      <c r="D801" t="str">
        <f>_xlfn.XLOOKUP(Table1[[#This Row],[BusinessTravel]],Table5[BusinessTravel],Table5[Id_BusinessTravel])</f>
        <v>BS001</v>
      </c>
      <c r="E801" t="s">
        <v>34</v>
      </c>
      <c r="F801">
        <v>469</v>
      </c>
      <c r="G801" t="str">
        <f>_xlfn.XLOOKUP(Table1[[#This Row],[Department]],Table6[Department],Table6[Id_Departement])</f>
        <v>D002</v>
      </c>
      <c r="H801" t="s">
        <v>38</v>
      </c>
      <c r="I801">
        <v>2</v>
      </c>
      <c r="J801" t="str">
        <f>_xlfn.XLOOKUP(Table1[[#This Row],[Education]],Table8[Education],Table8[Id_Education])</f>
        <v>E002</v>
      </c>
      <c r="K801">
        <v>2</v>
      </c>
      <c r="L801" t="str">
        <f>_xlfn.XLOOKUP(Table1[[#This Row],[EducationField]],Table7[EducationField],Table7[Id_EducationField])</f>
        <v>EF003</v>
      </c>
      <c r="M801" t="s">
        <v>42</v>
      </c>
      <c r="N801" t="str">
        <f>_xlfn.XLOOKUP(Table1[[#This Row],[EmployeeNumber]],Table4[EmployeeNumber],Table4[Id_Employee])</f>
        <v>EMP00800</v>
      </c>
      <c r="O801">
        <v>1109</v>
      </c>
      <c r="P801" t="str">
        <f>_xlfn.XLOOKUP(Table1[[#This Row],[EnvironmentSatisfaction]],Table9[EnvironmentSatisfaction],Table9[Id_EnviromentSatisfaction])</f>
        <v>ES004</v>
      </c>
      <c r="Q801">
        <v>4</v>
      </c>
      <c r="R801" t="str">
        <f>_xlfn.XLOOKUP(Table1[[#This Row],[EnvironmentSatisfaction]],Table9[EnvironmentSatisfaction],Table9[Deskripsi])</f>
        <v>Very High</v>
      </c>
      <c r="S801" t="str">
        <f>_xlfn.XLOOKUP(Table1[[#This Row],[Gender]],Table10[Gender],Table10[Id_Gender])</f>
        <v>G002</v>
      </c>
      <c r="T801" t="s">
        <v>46</v>
      </c>
      <c r="U801">
        <v>35</v>
      </c>
      <c r="V801" t="str">
        <f>_xlfn.XLOOKUP(Table1[[#This Row],[JobInvolvement]],Table11[JobInvolvement],Table11[Id_JobInvolvement])</f>
        <v>JI003</v>
      </c>
      <c r="W801">
        <v>3</v>
      </c>
      <c r="X801" t="str">
        <f>_xlfn.XLOOKUP(Table1[[#This Row],[JobLevel]],Table12[JobLevel],Table12[Id_JobLevel])</f>
        <v>JL004</v>
      </c>
      <c r="Y801">
        <v>4</v>
      </c>
      <c r="Z801" t="str">
        <f>_xlfn.XLOOKUP(Table1[[#This Row],[JobRole]],Table13[JobRole],Table13[Id_JobRole])</f>
        <v>JR006</v>
      </c>
      <c r="AA801" t="s">
        <v>52</v>
      </c>
      <c r="AB801" t="str">
        <f>_xlfn.XLOOKUP(Table1[[#This Row],[JobSatisfaction]],Table14[JobSatisfaction],Table14[Id_JobSatisfaction])</f>
        <v>JS001</v>
      </c>
      <c r="AC801">
        <v>1</v>
      </c>
      <c r="AD801" t="str">
        <f>_xlfn.XLOOKUP(Table1[[#This Row],[JobSatisfaction]],Table14[JobSatisfaction],Table14[Deskripsi])</f>
        <v>Low</v>
      </c>
      <c r="AE801" t="str">
        <f>_xlfn.XLOOKUP(Table1[[#This Row],[MaritalStatus]],Table15[MaritalStatus],Table15[Id_MaritalStatus])</f>
        <v>MS002</v>
      </c>
      <c r="AF801" t="s">
        <v>56</v>
      </c>
      <c r="AG801">
        <v>17665</v>
      </c>
      <c r="AH801">
        <v>14399</v>
      </c>
      <c r="AI801">
        <v>0</v>
      </c>
      <c r="AJ801" t="str">
        <f>_xlfn.XLOOKUP(Table1[[#This Row],[OverTime]],Table16[OverTime],Table16[Id_OverTime])</f>
        <v>OT002</v>
      </c>
      <c r="AK801" t="s">
        <v>33</v>
      </c>
      <c r="AL801">
        <v>17</v>
      </c>
      <c r="AM801" t="str">
        <f>_xlfn.XLOOKUP(Table1[[#This Row],[PerformanceRating]],Table17[PerformanceRating],Table17[Id_PerformanceRating])</f>
        <v>PR003</v>
      </c>
      <c r="AN801">
        <v>3</v>
      </c>
      <c r="AO801" t="str">
        <f>_xlfn.XLOOKUP(Table1[[#This Row],[PerformanceRating]],Table17[PerformanceRating],Table17[Deskripsi])</f>
        <v>Excellent</v>
      </c>
      <c r="AP801" t="str">
        <f>_xlfn.XLOOKUP(Table1[[#This Row],[RelationshipSatisfaction]],Table18[RelationshipSatisfaction],Table18[Id_RelationshipSatisfaction])</f>
        <v>RS004</v>
      </c>
      <c r="AQ801">
        <v>4</v>
      </c>
      <c r="AR801" t="str">
        <f>_xlfn.XLOOKUP(Table1[[#This Row],[RelationshipSatisfaction]],Table18[RelationshipSatisfaction],Table18[Deskripsi])</f>
        <v>Very High</v>
      </c>
      <c r="AS801" t="str">
        <f>_xlfn.XLOOKUP(Table1[[#This Row],[StockOptionLevel]],Table19[StockOptionLevel],Table19[Id_StockOptionLevel])</f>
        <v>SOL002</v>
      </c>
      <c r="AT801">
        <v>1</v>
      </c>
      <c r="AU801" t="str">
        <f>_xlfn.XLOOKUP(Table1[[#This Row],[StockOptionLevel]],Table19[StockOptionLevel],Table19[Deskripsi])</f>
        <v>Standard</v>
      </c>
      <c r="AV801">
        <v>23</v>
      </c>
      <c r="AW801">
        <v>3</v>
      </c>
      <c r="AX801" t="str">
        <f>_xlfn.XLOOKUP(Table1[[#This Row],[WorkLifeBalance]],Table20[WorkLifeBalance],Table20[Id_WorkLifeBalance])</f>
        <v>WLB002</v>
      </c>
      <c r="AY801">
        <v>3</v>
      </c>
      <c r="AZ801" t="str">
        <f>_xlfn.XLOOKUP(Table1[[#This Row],[WorkLifeBalance]],Table20[WorkLifeBalance],Table20[Deskripsi])</f>
        <v>Good</v>
      </c>
      <c r="BA801">
        <v>22</v>
      </c>
      <c r="BB801">
        <v>6</v>
      </c>
      <c r="BC801">
        <v>13</v>
      </c>
      <c r="BD801">
        <v>7</v>
      </c>
    </row>
    <row r="802" spans="1:56" x14ac:dyDescent="0.25">
      <c r="A802">
        <v>28</v>
      </c>
      <c r="B802" t="str">
        <f>_xlfn.XLOOKUP(Table1[[#This Row],[Attrition]],Table2[Attrition],Table2[Id_Attrition])</f>
        <v>A001</v>
      </c>
      <c r="C802" t="s">
        <v>32</v>
      </c>
      <c r="D802" t="str">
        <f>_xlfn.XLOOKUP(Table1[[#This Row],[BusinessTravel]],Table5[BusinessTravel],Table5[Id_BusinessTravel])</f>
        <v>BS002</v>
      </c>
      <c r="E802" t="s">
        <v>35</v>
      </c>
      <c r="F802">
        <v>1009</v>
      </c>
      <c r="G802" t="str">
        <f>_xlfn.XLOOKUP(Table1[[#This Row],[Department]],Table6[Department],Table6[Id_Departement])</f>
        <v>D002</v>
      </c>
      <c r="H802" t="s">
        <v>38</v>
      </c>
      <c r="I802">
        <v>1</v>
      </c>
      <c r="J802" t="str">
        <f>_xlfn.XLOOKUP(Table1[[#This Row],[Education]],Table8[Education],Table8[Id_Education])</f>
        <v>E003</v>
      </c>
      <c r="K802">
        <v>3</v>
      </c>
      <c r="L802" t="str">
        <f>_xlfn.XLOOKUP(Table1[[#This Row],[EducationField]],Table7[EducationField],Table7[Id_EducationField])</f>
        <v>EF003</v>
      </c>
      <c r="M802" t="s">
        <v>42</v>
      </c>
      <c r="N802" t="str">
        <f>_xlfn.XLOOKUP(Table1[[#This Row],[EmployeeNumber]],Table4[EmployeeNumber],Table4[Id_Employee])</f>
        <v>EMP00801</v>
      </c>
      <c r="O802">
        <v>1111</v>
      </c>
      <c r="P802" t="str">
        <f>_xlfn.XLOOKUP(Table1[[#This Row],[EnvironmentSatisfaction]],Table9[EnvironmentSatisfaction],Table9[Id_EnviromentSatisfaction])</f>
        <v>ES001</v>
      </c>
      <c r="Q802">
        <v>1</v>
      </c>
      <c r="R802" t="str">
        <f>_xlfn.XLOOKUP(Table1[[#This Row],[EnvironmentSatisfaction]],Table9[EnvironmentSatisfaction],Table9[Deskripsi])</f>
        <v>Low</v>
      </c>
      <c r="S802" t="str">
        <f>_xlfn.XLOOKUP(Table1[[#This Row],[Gender]],Table10[Gender],Table10[Id_Gender])</f>
        <v>G002</v>
      </c>
      <c r="T802" t="s">
        <v>46</v>
      </c>
      <c r="U802">
        <v>45</v>
      </c>
      <c r="V802" t="str">
        <f>_xlfn.XLOOKUP(Table1[[#This Row],[JobInvolvement]],Table11[JobInvolvement],Table11[Id_JobInvolvement])</f>
        <v>JI002</v>
      </c>
      <c r="W802">
        <v>2</v>
      </c>
      <c r="X802" t="str">
        <f>_xlfn.XLOOKUP(Table1[[#This Row],[JobLevel]],Table12[JobLevel],Table12[Id_JobLevel])</f>
        <v>JL001</v>
      </c>
      <c r="Y802">
        <v>1</v>
      </c>
      <c r="Z802" t="str">
        <f>_xlfn.XLOOKUP(Table1[[#This Row],[JobRole]],Table13[JobRole],Table13[Id_JobRole])</f>
        <v>JR003</v>
      </c>
      <c r="AA802" t="s">
        <v>49</v>
      </c>
      <c r="AB802" t="str">
        <f>_xlfn.XLOOKUP(Table1[[#This Row],[JobSatisfaction]],Table14[JobSatisfaction],Table14[Id_JobSatisfaction])</f>
        <v>JS002</v>
      </c>
      <c r="AC802">
        <v>2</v>
      </c>
      <c r="AD802" t="str">
        <f>_xlfn.XLOOKUP(Table1[[#This Row],[JobSatisfaction]],Table14[JobSatisfaction],Table14[Deskripsi])</f>
        <v>Medium</v>
      </c>
      <c r="AE802" t="str">
        <f>_xlfn.XLOOKUP(Table1[[#This Row],[MaritalStatus]],Table15[MaritalStatus],Table15[Id_MaritalStatus])</f>
        <v>MS003</v>
      </c>
      <c r="AF802" t="s">
        <v>57</v>
      </c>
      <c r="AG802">
        <v>2596</v>
      </c>
      <c r="AH802">
        <v>7160</v>
      </c>
      <c r="AI802">
        <v>1</v>
      </c>
      <c r="AJ802" t="str">
        <f>_xlfn.XLOOKUP(Table1[[#This Row],[OverTime]],Table16[OverTime],Table16[Id_OverTime])</f>
        <v>OT002</v>
      </c>
      <c r="AK802" t="s">
        <v>33</v>
      </c>
      <c r="AL802">
        <v>15</v>
      </c>
      <c r="AM802" t="str">
        <f>_xlfn.XLOOKUP(Table1[[#This Row],[PerformanceRating]],Table17[PerformanceRating],Table17[Id_PerformanceRating])</f>
        <v>PR003</v>
      </c>
      <c r="AN802">
        <v>3</v>
      </c>
      <c r="AO802" t="str">
        <f>_xlfn.XLOOKUP(Table1[[#This Row],[PerformanceRating]],Table17[PerformanceRating],Table17[Deskripsi])</f>
        <v>Excellent</v>
      </c>
      <c r="AP802" t="str">
        <f>_xlfn.XLOOKUP(Table1[[#This Row],[RelationshipSatisfaction]],Table18[RelationshipSatisfaction],Table18[Id_RelationshipSatisfaction])</f>
        <v>RS001</v>
      </c>
      <c r="AQ802">
        <v>1</v>
      </c>
      <c r="AR802" t="str">
        <f>_xlfn.XLOOKUP(Table1[[#This Row],[RelationshipSatisfaction]],Table18[RelationshipSatisfaction],Table18[Deskripsi])</f>
        <v>Low</v>
      </c>
      <c r="AS802" t="str">
        <f>_xlfn.XLOOKUP(Table1[[#This Row],[StockOptionLevel]],Table19[StockOptionLevel],Table19[Id_StockOptionLevel])</f>
        <v>SOL003</v>
      </c>
      <c r="AT802">
        <v>2</v>
      </c>
      <c r="AU802" t="str">
        <f>_xlfn.XLOOKUP(Table1[[#This Row],[StockOptionLevel]],Table19[StockOptionLevel],Table19[Deskripsi])</f>
        <v>Intermediate</v>
      </c>
      <c r="AV802">
        <v>1</v>
      </c>
      <c r="AW802">
        <v>2</v>
      </c>
      <c r="AX802" t="str">
        <f>_xlfn.XLOOKUP(Table1[[#This Row],[WorkLifeBalance]],Table20[WorkLifeBalance],Table20[Id_WorkLifeBalance])</f>
        <v>WLB002</v>
      </c>
      <c r="AY802">
        <v>3</v>
      </c>
      <c r="AZ802" t="str">
        <f>_xlfn.XLOOKUP(Table1[[#This Row],[WorkLifeBalance]],Table20[WorkLifeBalance],Table20[Deskripsi])</f>
        <v>Good</v>
      </c>
      <c r="BA802">
        <v>1</v>
      </c>
      <c r="BB802">
        <v>0</v>
      </c>
      <c r="BC802">
        <v>0</v>
      </c>
      <c r="BD802">
        <v>0</v>
      </c>
    </row>
    <row r="803" spans="1:56" x14ac:dyDescent="0.25">
      <c r="A803">
        <v>50</v>
      </c>
      <c r="B803" t="str">
        <f>_xlfn.XLOOKUP(Table1[[#This Row],[Attrition]],Table2[Attrition],Table2[Id_Attrition])</f>
        <v>A001</v>
      </c>
      <c r="C803" t="s">
        <v>32</v>
      </c>
      <c r="D803" t="str">
        <f>_xlfn.XLOOKUP(Table1[[#This Row],[BusinessTravel]],Table5[BusinessTravel],Table5[Id_BusinessTravel])</f>
        <v>BS002</v>
      </c>
      <c r="E803" t="s">
        <v>35</v>
      </c>
      <c r="F803">
        <v>959</v>
      </c>
      <c r="G803" t="str">
        <f>_xlfn.XLOOKUP(Table1[[#This Row],[Department]],Table6[Department],Table6[Id_Departement])</f>
        <v>D001</v>
      </c>
      <c r="H803" t="s">
        <v>37</v>
      </c>
      <c r="I803">
        <v>1</v>
      </c>
      <c r="J803" t="str">
        <f>_xlfn.XLOOKUP(Table1[[#This Row],[Education]],Table8[Education],Table8[Id_Education])</f>
        <v>E004</v>
      </c>
      <c r="K803">
        <v>4</v>
      </c>
      <c r="L803" t="str">
        <f>_xlfn.XLOOKUP(Table1[[#This Row],[EducationField]],Table7[EducationField],Table7[Id_EducationField])</f>
        <v>EF002</v>
      </c>
      <c r="M803" t="s">
        <v>41</v>
      </c>
      <c r="N803" t="str">
        <f>_xlfn.XLOOKUP(Table1[[#This Row],[EmployeeNumber]],Table4[EmployeeNumber],Table4[Id_Employee])</f>
        <v>EMP00802</v>
      </c>
      <c r="O803">
        <v>1113</v>
      </c>
      <c r="P803" t="str">
        <f>_xlfn.XLOOKUP(Table1[[#This Row],[EnvironmentSatisfaction]],Table9[EnvironmentSatisfaction],Table9[Id_EnviromentSatisfaction])</f>
        <v>ES004</v>
      </c>
      <c r="Q803">
        <v>4</v>
      </c>
      <c r="R803" t="str">
        <f>_xlfn.XLOOKUP(Table1[[#This Row],[EnvironmentSatisfaction]],Table9[EnvironmentSatisfaction],Table9[Deskripsi])</f>
        <v>Very High</v>
      </c>
      <c r="S803" t="str">
        <f>_xlfn.XLOOKUP(Table1[[#This Row],[Gender]],Table10[Gender],Table10[Id_Gender])</f>
        <v>G002</v>
      </c>
      <c r="T803" t="s">
        <v>46</v>
      </c>
      <c r="U803">
        <v>81</v>
      </c>
      <c r="V803" t="str">
        <f>_xlfn.XLOOKUP(Table1[[#This Row],[JobInvolvement]],Table11[JobInvolvement],Table11[Id_JobInvolvement])</f>
        <v>JI003</v>
      </c>
      <c r="W803">
        <v>3</v>
      </c>
      <c r="X803" t="str">
        <f>_xlfn.XLOOKUP(Table1[[#This Row],[JobLevel]],Table12[JobLevel],Table12[Id_JobLevel])</f>
        <v>JL002</v>
      </c>
      <c r="Y803">
        <v>2</v>
      </c>
      <c r="Z803" t="str">
        <f>_xlfn.XLOOKUP(Table1[[#This Row],[JobRole]],Table13[JobRole],Table13[Id_JobRole])</f>
        <v>JR001</v>
      </c>
      <c r="AA803" t="s">
        <v>47</v>
      </c>
      <c r="AB803" t="str">
        <f>_xlfn.XLOOKUP(Table1[[#This Row],[JobSatisfaction]],Table14[JobSatisfaction],Table14[Id_JobSatisfaction])</f>
        <v>JS003</v>
      </c>
      <c r="AC803">
        <v>3</v>
      </c>
      <c r="AD803" t="str">
        <f>_xlfn.XLOOKUP(Table1[[#This Row],[JobSatisfaction]],Table14[JobSatisfaction],Table14[Deskripsi])</f>
        <v>High</v>
      </c>
      <c r="AE803" t="str">
        <f>_xlfn.XLOOKUP(Table1[[#This Row],[MaritalStatus]],Table15[MaritalStatus],Table15[Id_MaritalStatus])</f>
        <v>MS001</v>
      </c>
      <c r="AF803" t="s">
        <v>55</v>
      </c>
      <c r="AG803">
        <v>4728</v>
      </c>
      <c r="AH803">
        <v>17251</v>
      </c>
      <c r="AI803">
        <v>3</v>
      </c>
      <c r="AJ803" t="str">
        <f>_xlfn.XLOOKUP(Table1[[#This Row],[OverTime]],Table16[OverTime],Table16[Id_OverTime])</f>
        <v>OT001</v>
      </c>
      <c r="AK803" t="s">
        <v>32</v>
      </c>
      <c r="AL803">
        <v>14</v>
      </c>
      <c r="AM803" t="str">
        <f>_xlfn.XLOOKUP(Table1[[#This Row],[PerformanceRating]],Table17[PerformanceRating],Table17[Id_PerformanceRating])</f>
        <v>PR003</v>
      </c>
      <c r="AN803">
        <v>3</v>
      </c>
      <c r="AO803" t="str">
        <f>_xlfn.XLOOKUP(Table1[[#This Row],[PerformanceRating]],Table17[PerformanceRating],Table17[Deskripsi])</f>
        <v>Excellent</v>
      </c>
      <c r="AP803" t="str">
        <f>_xlfn.XLOOKUP(Table1[[#This Row],[RelationshipSatisfaction]],Table18[RelationshipSatisfaction],Table18[Id_RelationshipSatisfaction])</f>
        <v>RS004</v>
      </c>
      <c r="AQ803">
        <v>4</v>
      </c>
      <c r="AR803" t="str">
        <f>_xlfn.XLOOKUP(Table1[[#This Row],[RelationshipSatisfaction]],Table18[RelationshipSatisfaction],Table18[Deskripsi])</f>
        <v>Very High</v>
      </c>
      <c r="AS803" t="str">
        <f>_xlfn.XLOOKUP(Table1[[#This Row],[StockOptionLevel]],Table19[StockOptionLevel],Table19[Id_StockOptionLevel])</f>
        <v>SOL001</v>
      </c>
      <c r="AT803">
        <v>0</v>
      </c>
      <c r="AU803" t="str">
        <f>_xlfn.XLOOKUP(Table1[[#This Row],[StockOptionLevel]],Table19[StockOptionLevel],Table19[Deskripsi])</f>
        <v>Non-Eligible</v>
      </c>
      <c r="AV803">
        <v>5</v>
      </c>
      <c r="AW803">
        <v>4</v>
      </c>
      <c r="AX803" t="str">
        <f>_xlfn.XLOOKUP(Table1[[#This Row],[WorkLifeBalance]],Table20[WorkLifeBalance],Table20[Id_WorkLifeBalance])</f>
        <v>WLB002</v>
      </c>
      <c r="AY803">
        <v>3</v>
      </c>
      <c r="AZ803" t="str">
        <f>_xlfn.XLOOKUP(Table1[[#This Row],[WorkLifeBalance]],Table20[WorkLifeBalance],Table20[Deskripsi])</f>
        <v>Good</v>
      </c>
      <c r="BA803">
        <v>0</v>
      </c>
      <c r="BB803">
        <v>0</v>
      </c>
      <c r="BC803">
        <v>0</v>
      </c>
      <c r="BD803">
        <v>0</v>
      </c>
    </row>
    <row r="804" spans="1:56" x14ac:dyDescent="0.25">
      <c r="A804">
        <v>33</v>
      </c>
      <c r="B804" t="str">
        <f>_xlfn.XLOOKUP(Table1[[#This Row],[Attrition]],Table2[Attrition],Table2[Id_Attrition])</f>
        <v>A002</v>
      </c>
      <c r="C804" t="s">
        <v>33</v>
      </c>
      <c r="D804" t="str">
        <f>_xlfn.XLOOKUP(Table1[[#This Row],[BusinessTravel]],Table5[BusinessTravel],Table5[Id_BusinessTravel])</f>
        <v>BS002</v>
      </c>
      <c r="E804" t="s">
        <v>35</v>
      </c>
      <c r="F804">
        <v>970</v>
      </c>
      <c r="G804" t="str">
        <f>_xlfn.XLOOKUP(Table1[[#This Row],[Department]],Table6[Department],Table6[Id_Departement])</f>
        <v>D001</v>
      </c>
      <c r="H804" t="s">
        <v>37</v>
      </c>
      <c r="I804">
        <v>7</v>
      </c>
      <c r="J804" t="str">
        <f>_xlfn.XLOOKUP(Table1[[#This Row],[Education]],Table8[Education],Table8[Id_Education])</f>
        <v>E003</v>
      </c>
      <c r="K804">
        <v>3</v>
      </c>
      <c r="L804" t="str">
        <f>_xlfn.XLOOKUP(Table1[[#This Row],[EducationField]],Table7[EducationField],Table7[Id_EducationField])</f>
        <v>EF001</v>
      </c>
      <c r="M804" t="s">
        <v>40</v>
      </c>
      <c r="N804" t="str">
        <f>_xlfn.XLOOKUP(Table1[[#This Row],[EmployeeNumber]],Table4[EmployeeNumber],Table4[Id_Employee])</f>
        <v>EMP00803</v>
      </c>
      <c r="O804">
        <v>1114</v>
      </c>
      <c r="P804" t="str">
        <f>_xlfn.XLOOKUP(Table1[[#This Row],[EnvironmentSatisfaction]],Table9[EnvironmentSatisfaction],Table9[Id_EnviromentSatisfaction])</f>
        <v>ES004</v>
      </c>
      <c r="Q804">
        <v>4</v>
      </c>
      <c r="R804" t="str">
        <f>_xlfn.XLOOKUP(Table1[[#This Row],[EnvironmentSatisfaction]],Table9[EnvironmentSatisfaction],Table9[Deskripsi])</f>
        <v>Very High</v>
      </c>
      <c r="S804" t="str">
        <f>_xlfn.XLOOKUP(Table1[[#This Row],[Gender]],Table10[Gender],Table10[Id_Gender])</f>
        <v>G001</v>
      </c>
      <c r="T804" t="s">
        <v>45</v>
      </c>
      <c r="U804">
        <v>30</v>
      </c>
      <c r="V804" t="str">
        <f>_xlfn.XLOOKUP(Table1[[#This Row],[JobInvolvement]],Table11[JobInvolvement],Table11[Id_JobInvolvement])</f>
        <v>JI003</v>
      </c>
      <c r="W804">
        <v>3</v>
      </c>
      <c r="X804" t="str">
        <f>_xlfn.XLOOKUP(Table1[[#This Row],[JobLevel]],Table12[JobLevel],Table12[Id_JobLevel])</f>
        <v>JL002</v>
      </c>
      <c r="Y804">
        <v>2</v>
      </c>
      <c r="Z804" t="str">
        <f>_xlfn.XLOOKUP(Table1[[#This Row],[JobRole]],Table13[JobRole],Table13[Id_JobRole])</f>
        <v>JR001</v>
      </c>
      <c r="AA804" t="s">
        <v>47</v>
      </c>
      <c r="AB804" t="str">
        <f>_xlfn.XLOOKUP(Table1[[#This Row],[JobSatisfaction]],Table14[JobSatisfaction],Table14[Id_JobSatisfaction])</f>
        <v>JS002</v>
      </c>
      <c r="AC804">
        <v>2</v>
      </c>
      <c r="AD804" t="str">
        <f>_xlfn.XLOOKUP(Table1[[#This Row],[JobSatisfaction]],Table14[JobSatisfaction],Table14[Deskripsi])</f>
        <v>Medium</v>
      </c>
      <c r="AE804" t="str">
        <f>_xlfn.XLOOKUP(Table1[[#This Row],[MaritalStatus]],Table15[MaritalStatus],Table15[Id_MaritalStatus])</f>
        <v>MS002</v>
      </c>
      <c r="AF804" t="s">
        <v>56</v>
      </c>
      <c r="AG804">
        <v>4302</v>
      </c>
      <c r="AH804">
        <v>13401</v>
      </c>
      <c r="AI804">
        <v>0</v>
      </c>
      <c r="AJ804" t="str">
        <f>_xlfn.XLOOKUP(Table1[[#This Row],[OverTime]],Table16[OverTime],Table16[Id_OverTime])</f>
        <v>OT002</v>
      </c>
      <c r="AK804" t="s">
        <v>33</v>
      </c>
      <c r="AL804">
        <v>17</v>
      </c>
      <c r="AM804" t="str">
        <f>_xlfn.XLOOKUP(Table1[[#This Row],[PerformanceRating]],Table17[PerformanceRating],Table17[Id_PerformanceRating])</f>
        <v>PR003</v>
      </c>
      <c r="AN804">
        <v>3</v>
      </c>
      <c r="AO804" t="str">
        <f>_xlfn.XLOOKUP(Table1[[#This Row],[PerformanceRating]],Table17[PerformanceRating],Table17[Deskripsi])</f>
        <v>Excellent</v>
      </c>
      <c r="AP804" t="str">
        <f>_xlfn.XLOOKUP(Table1[[#This Row],[RelationshipSatisfaction]],Table18[RelationshipSatisfaction],Table18[Id_RelationshipSatisfaction])</f>
        <v>RS003</v>
      </c>
      <c r="AQ804">
        <v>3</v>
      </c>
      <c r="AR804" t="str">
        <f>_xlfn.XLOOKUP(Table1[[#This Row],[RelationshipSatisfaction]],Table18[RelationshipSatisfaction],Table18[Deskripsi])</f>
        <v>High</v>
      </c>
      <c r="AS804" t="str">
        <f>_xlfn.XLOOKUP(Table1[[#This Row],[StockOptionLevel]],Table19[StockOptionLevel],Table19[Id_StockOptionLevel])</f>
        <v>SOL002</v>
      </c>
      <c r="AT804">
        <v>1</v>
      </c>
      <c r="AU804" t="str">
        <f>_xlfn.XLOOKUP(Table1[[#This Row],[StockOptionLevel]],Table19[StockOptionLevel],Table19[Deskripsi])</f>
        <v>Standard</v>
      </c>
      <c r="AV804">
        <v>4</v>
      </c>
      <c r="AW804">
        <v>3</v>
      </c>
      <c r="AX804" t="str">
        <f>_xlfn.XLOOKUP(Table1[[#This Row],[WorkLifeBalance]],Table20[WorkLifeBalance],Table20[Id_WorkLifeBalance])</f>
        <v>WLB002</v>
      </c>
      <c r="AY804">
        <v>3</v>
      </c>
      <c r="AZ804" t="str">
        <f>_xlfn.XLOOKUP(Table1[[#This Row],[WorkLifeBalance]],Table20[WorkLifeBalance],Table20[Deskripsi])</f>
        <v>Good</v>
      </c>
      <c r="BA804">
        <v>3</v>
      </c>
      <c r="BB804">
        <v>2</v>
      </c>
      <c r="BC804">
        <v>0</v>
      </c>
      <c r="BD804">
        <v>2</v>
      </c>
    </row>
    <row r="805" spans="1:56" x14ac:dyDescent="0.25">
      <c r="A805">
        <v>34</v>
      </c>
      <c r="B805" t="str">
        <f>_xlfn.XLOOKUP(Table1[[#This Row],[Attrition]],Table2[Attrition],Table2[Id_Attrition])</f>
        <v>A002</v>
      </c>
      <c r="C805" t="s">
        <v>33</v>
      </c>
      <c r="D805" t="str">
        <f>_xlfn.XLOOKUP(Table1[[#This Row],[BusinessTravel]],Table5[BusinessTravel],Table5[Id_BusinessTravel])</f>
        <v>BS003</v>
      </c>
      <c r="E805" t="s">
        <v>36</v>
      </c>
      <c r="F805">
        <v>697</v>
      </c>
      <c r="G805" t="str">
        <f>_xlfn.XLOOKUP(Table1[[#This Row],[Department]],Table6[Department],Table6[Id_Departement])</f>
        <v>D002</v>
      </c>
      <c r="H805" t="s">
        <v>38</v>
      </c>
      <c r="I805">
        <v>3</v>
      </c>
      <c r="J805" t="str">
        <f>_xlfn.XLOOKUP(Table1[[#This Row],[Education]],Table8[Education],Table8[Id_Education])</f>
        <v>E004</v>
      </c>
      <c r="K805">
        <v>4</v>
      </c>
      <c r="L805" t="str">
        <f>_xlfn.XLOOKUP(Table1[[#This Row],[EducationField]],Table7[EducationField],Table7[Id_EducationField])</f>
        <v>EF001</v>
      </c>
      <c r="M805" t="s">
        <v>40</v>
      </c>
      <c r="N805" t="str">
        <f>_xlfn.XLOOKUP(Table1[[#This Row],[EmployeeNumber]],Table4[EmployeeNumber],Table4[Id_Employee])</f>
        <v>EMP00804</v>
      </c>
      <c r="O805">
        <v>1115</v>
      </c>
      <c r="P805" t="str">
        <f>_xlfn.XLOOKUP(Table1[[#This Row],[EnvironmentSatisfaction]],Table9[EnvironmentSatisfaction],Table9[Id_EnviromentSatisfaction])</f>
        <v>ES003</v>
      </c>
      <c r="Q805">
        <v>3</v>
      </c>
      <c r="R805" t="str">
        <f>_xlfn.XLOOKUP(Table1[[#This Row],[EnvironmentSatisfaction]],Table9[EnvironmentSatisfaction],Table9[Deskripsi])</f>
        <v>High</v>
      </c>
      <c r="S805" t="str">
        <f>_xlfn.XLOOKUP(Table1[[#This Row],[Gender]],Table10[Gender],Table10[Id_Gender])</f>
        <v>G002</v>
      </c>
      <c r="T805" t="s">
        <v>46</v>
      </c>
      <c r="U805">
        <v>40</v>
      </c>
      <c r="V805" t="str">
        <f>_xlfn.XLOOKUP(Table1[[#This Row],[JobInvolvement]],Table11[JobInvolvement],Table11[Id_JobInvolvement])</f>
        <v>JI002</v>
      </c>
      <c r="W805">
        <v>2</v>
      </c>
      <c r="X805" t="str">
        <f>_xlfn.XLOOKUP(Table1[[#This Row],[JobLevel]],Table12[JobLevel],Table12[Id_JobLevel])</f>
        <v>JL001</v>
      </c>
      <c r="Y805">
        <v>1</v>
      </c>
      <c r="Z805" t="str">
        <f>_xlfn.XLOOKUP(Table1[[#This Row],[JobRole]],Table13[JobRole],Table13[Id_JobRole])</f>
        <v>JR002</v>
      </c>
      <c r="AA805" t="s">
        <v>48</v>
      </c>
      <c r="AB805" t="str">
        <f>_xlfn.XLOOKUP(Table1[[#This Row],[JobSatisfaction]],Table14[JobSatisfaction],Table14[Id_JobSatisfaction])</f>
        <v>JS004</v>
      </c>
      <c r="AC805">
        <v>4</v>
      </c>
      <c r="AD805" t="str">
        <f>_xlfn.XLOOKUP(Table1[[#This Row],[JobSatisfaction]],Table14[JobSatisfaction],Table14[Deskripsi])</f>
        <v>Very High</v>
      </c>
      <c r="AE805" t="str">
        <f>_xlfn.XLOOKUP(Table1[[#This Row],[MaritalStatus]],Table15[MaritalStatus],Table15[Id_MaritalStatus])</f>
        <v>MS002</v>
      </c>
      <c r="AF805" t="s">
        <v>56</v>
      </c>
      <c r="AG805">
        <v>2979</v>
      </c>
      <c r="AH805">
        <v>22478</v>
      </c>
      <c r="AI805">
        <v>3</v>
      </c>
      <c r="AJ805" t="str">
        <f>_xlfn.XLOOKUP(Table1[[#This Row],[OverTime]],Table16[OverTime],Table16[Id_OverTime])</f>
        <v>OT002</v>
      </c>
      <c r="AK805" t="s">
        <v>33</v>
      </c>
      <c r="AL805">
        <v>17</v>
      </c>
      <c r="AM805" t="str">
        <f>_xlfn.XLOOKUP(Table1[[#This Row],[PerformanceRating]],Table17[PerformanceRating],Table17[Id_PerformanceRating])</f>
        <v>PR003</v>
      </c>
      <c r="AN805">
        <v>3</v>
      </c>
      <c r="AO805" t="str">
        <f>_xlfn.XLOOKUP(Table1[[#This Row],[PerformanceRating]],Table17[PerformanceRating],Table17[Deskripsi])</f>
        <v>Excellent</v>
      </c>
      <c r="AP805" t="str">
        <f>_xlfn.XLOOKUP(Table1[[#This Row],[RelationshipSatisfaction]],Table18[RelationshipSatisfaction],Table18[Id_RelationshipSatisfaction])</f>
        <v>RS004</v>
      </c>
      <c r="AQ805">
        <v>4</v>
      </c>
      <c r="AR805" t="str">
        <f>_xlfn.XLOOKUP(Table1[[#This Row],[RelationshipSatisfaction]],Table18[RelationshipSatisfaction],Table18[Deskripsi])</f>
        <v>Very High</v>
      </c>
      <c r="AS805" t="str">
        <f>_xlfn.XLOOKUP(Table1[[#This Row],[StockOptionLevel]],Table19[StockOptionLevel],Table19[Id_StockOptionLevel])</f>
        <v>SOL004</v>
      </c>
      <c r="AT805">
        <v>3</v>
      </c>
      <c r="AU805" t="str">
        <f>_xlfn.XLOOKUP(Table1[[#This Row],[StockOptionLevel]],Table19[StockOptionLevel],Table19[Deskripsi])</f>
        <v>Senior/Executive</v>
      </c>
      <c r="AV805">
        <v>6</v>
      </c>
      <c r="AW805">
        <v>2</v>
      </c>
      <c r="AX805" t="str">
        <f>_xlfn.XLOOKUP(Table1[[#This Row],[WorkLifeBalance]],Table20[WorkLifeBalance],Table20[Id_WorkLifeBalance])</f>
        <v>WLB002</v>
      </c>
      <c r="AY805">
        <v>3</v>
      </c>
      <c r="AZ805" t="str">
        <f>_xlfn.XLOOKUP(Table1[[#This Row],[WorkLifeBalance]],Table20[WorkLifeBalance],Table20[Deskripsi])</f>
        <v>Good</v>
      </c>
      <c r="BA805">
        <v>0</v>
      </c>
      <c r="BB805">
        <v>0</v>
      </c>
      <c r="BC805">
        <v>0</v>
      </c>
      <c r="BD805">
        <v>0</v>
      </c>
    </row>
    <row r="806" spans="1:56" x14ac:dyDescent="0.25">
      <c r="A806">
        <v>48</v>
      </c>
      <c r="B806" t="str">
        <f>_xlfn.XLOOKUP(Table1[[#This Row],[Attrition]],Table2[Attrition],Table2[Id_Attrition])</f>
        <v>A002</v>
      </c>
      <c r="C806" t="s">
        <v>33</v>
      </c>
      <c r="D806" t="str">
        <f>_xlfn.XLOOKUP(Table1[[#This Row],[BusinessTravel]],Table5[BusinessTravel],Table5[Id_BusinessTravel])</f>
        <v>BS003</v>
      </c>
      <c r="E806" t="s">
        <v>36</v>
      </c>
      <c r="F806">
        <v>1262</v>
      </c>
      <c r="G806" t="str">
        <f>_xlfn.XLOOKUP(Table1[[#This Row],[Department]],Table6[Department],Table6[Id_Departement])</f>
        <v>D002</v>
      </c>
      <c r="H806" t="s">
        <v>38</v>
      </c>
      <c r="I806">
        <v>1</v>
      </c>
      <c r="J806" t="str">
        <f>_xlfn.XLOOKUP(Table1[[#This Row],[Education]],Table8[Education],Table8[Id_Education])</f>
        <v>E004</v>
      </c>
      <c r="K806">
        <v>4</v>
      </c>
      <c r="L806" t="str">
        <f>_xlfn.XLOOKUP(Table1[[#This Row],[EducationField]],Table7[EducationField],Table7[Id_EducationField])</f>
        <v>EF003</v>
      </c>
      <c r="M806" t="s">
        <v>42</v>
      </c>
      <c r="N806" t="str">
        <f>_xlfn.XLOOKUP(Table1[[#This Row],[EmployeeNumber]],Table4[EmployeeNumber],Table4[Id_Employee])</f>
        <v>EMP00805</v>
      </c>
      <c r="O806">
        <v>1116</v>
      </c>
      <c r="P806" t="str">
        <f>_xlfn.XLOOKUP(Table1[[#This Row],[EnvironmentSatisfaction]],Table9[EnvironmentSatisfaction],Table9[Id_EnviromentSatisfaction])</f>
        <v>ES001</v>
      </c>
      <c r="Q806">
        <v>1</v>
      </c>
      <c r="R806" t="str">
        <f>_xlfn.XLOOKUP(Table1[[#This Row],[EnvironmentSatisfaction]],Table9[EnvironmentSatisfaction],Table9[Deskripsi])</f>
        <v>Low</v>
      </c>
      <c r="S806" t="str">
        <f>_xlfn.XLOOKUP(Table1[[#This Row],[Gender]],Table10[Gender],Table10[Id_Gender])</f>
        <v>G002</v>
      </c>
      <c r="T806" t="s">
        <v>46</v>
      </c>
      <c r="U806">
        <v>35</v>
      </c>
      <c r="V806" t="str">
        <f>_xlfn.XLOOKUP(Table1[[#This Row],[JobInvolvement]],Table11[JobInvolvement],Table11[Id_JobInvolvement])</f>
        <v>JI004</v>
      </c>
      <c r="W806">
        <v>4</v>
      </c>
      <c r="X806" t="str">
        <f>_xlfn.XLOOKUP(Table1[[#This Row],[JobLevel]],Table12[JobLevel],Table12[Id_JobLevel])</f>
        <v>JL004</v>
      </c>
      <c r="Y806">
        <v>4</v>
      </c>
      <c r="Z806" t="str">
        <f>_xlfn.XLOOKUP(Table1[[#This Row],[JobRole]],Table13[JobRole],Table13[Id_JobRole])</f>
        <v>JR006</v>
      </c>
      <c r="AA806" t="s">
        <v>52</v>
      </c>
      <c r="AB806" t="str">
        <f>_xlfn.XLOOKUP(Table1[[#This Row],[JobSatisfaction]],Table14[JobSatisfaction],Table14[Id_JobSatisfaction])</f>
        <v>JS004</v>
      </c>
      <c r="AC806">
        <v>4</v>
      </c>
      <c r="AD806" t="str">
        <f>_xlfn.XLOOKUP(Table1[[#This Row],[JobSatisfaction]],Table14[JobSatisfaction],Table14[Deskripsi])</f>
        <v>Very High</v>
      </c>
      <c r="AE806" t="str">
        <f>_xlfn.XLOOKUP(Table1[[#This Row],[MaritalStatus]],Table15[MaritalStatus],Table15[Id_MaritalStatus])</f>
        <v>MS001</v>
      </c>
      <c r="AF806" t="s">
        <v>55</v>
      </c>
      <c r="AG806">
        <v>16885</v>
      </c>
      <c r="AH806">
        <v>16154</v>
      </c>
      <c r="AI806">
        <v>2</v>
      </c>
      <c r="AJ806" t="str">
        <f>_xlfn.XLOOKUP(Table1[[#This Row],[OverTime]],Table16[OverTime],Table16[Id_OverTime])</f>
        <v>OT002</v>
      </c>
      <c r="AK806" t="s">
        <v>33</v>
      </c>
      <c r="AL806">
        <v>22</v>
      </c>
      <c r="AM806" t="str">
        <f>_xlfn.XLOOKUP(Table1[[#This Row],[PerformanceRating]],Table17[PerformanceRating],Table17[Id_PerformanceRating])</f>
        <v>PR004</v>
      </c>
      <c r="AN806">
        <v>4</v>
      </c>
      <c r="AO806" t="str">
        <f>_xlfn.XLOOKUP(Table1[[#This Row],[PerformanceRating]],Table17[PerformanceRating],Table17[Deskripsi])</f>
        <v>Outstanding</v>
      </c>
      <c r="AP806" t="str">
        <f>_xlfn.XLOOKUP(Table1[[#This Row],[RelationshipSatisfaction]],Table18[RelationshipSatisfaction],Table18[Id_RelationshipSatisfaction])</f>
        <v>RS003</v>
      </c>
      <c r="AQ806">
        <v>3</v>
      </c>
      <c r="AR806" t="str">
        <f>_xlfn.XLOOKUP(Table1[[#This Row],[RelationshipSatisfaction]],Table18[RelationshipSatisfaction],Table18[Deskripsi])</f>
        <v>High</v>
      </c>
      <c r="AS806" t="str">
        <f>_xlfn.XLOOKUP(Table1[[#This Row],[StockOptionLevel]],Table19[StockOptionLevel],Table19[Id_StockOptionLevel])</f>
        <v>SOL001</v>
      </c>
      <c r="AT806">
        <v>0</v>
      </c>
      <c r="AU806" t="str">
        <f>_xlfn.XLOOKUP(Table1[[#This Row],[StockOptionLevel]],Table19[StockOptionLevel],Table19[Deskripsi])</f>
        <v>Non-Eligible</v>
      </c>
      <c r="AV806">
        <v>27</v>
      </c>
      <c r="AW806">
        <v>3</v>
      </c>
      <c r="AX806" t="str">
        <f>_xlfn.XLOOKUP(Table1[[#This Row],[WorkLifeBalance]],Table20[WorkLifeBalance],Table20[Id_WorkLifeBalance])</f>
        <v>WLB003</v>
      </c>
      <c r="AY806">
        <v>2</v>
      </c>
      <c r="AZ806" t="str">
        <f>_xlfn.XLOOKUP(Table1[[#This Row],[WorkLifeBalance]],Table20[WorkLifeBalance],Table20[Deskripsi])</f>
        <v>Better</v>
      </c>
      <c r="BA806">
        <v>5</v>
      </c>
      <c r="BB806">
        <v>4</v>
      </c>
      <c r="BC806">
        <v>2</v>
      </c>
      <c r="BD806">
        <v>1</v>
      </c>
    </row>
    <row r="807" spans="1:56" x14ac:dyDescent="0.25">
      <c r="A807">
        <v>45</v>
      </c>
      <c r="B807" t="str">
        <f>_xlfn.XLOOKUP(Table1[[#This Row],[Attrition]],Table2[Attrition],Table2[Id_Attrition])</f>
        <v>A002</v>
      </c>
      <c r="C807" t="s">
        <v>33</v>
      </c>
      <c r="D807" t="str">
        <f>_xlfn.XLOOKUP(Table1[[#This Row],[BusinessTravel]],Table5[BusinessTravel],Table5[Id_BusinessTravel])</f>
        <v>BS003</v>
      </c>
      <c r="E807" t="s">
        <v>36</v>
      </c>
      <c r="F807">
        <v>1050</v>
      </c>
      <c r="G807" t="str">
        <f>_xlfn.XLOOKUP(Table1[[#This Row],[Department]],Table6[Department],Table6[Id_Departement])</f>
        <v>D001</v>
      </c>
      <c r="H807" t="s">
        <v>37</v>
      </c>
      <c r="I807">
        <v>9</v>
      </c>
      <c r="J807" t="str">
        <f>_xlfn.XLOOKUP(Table1[[#This Row],[Education]],Table8[Education],Table8[Id_Education])</f>
        <v>E004</v>
      </c>
      <c r="K807">
        <v>4</v>
      </c>
      <c r="L807" t="str">
        <f>_xlfn.XLOOKUP(Table1[[#This Row],[EducationField]],Table7[EducationField],Table7[Id_EducationField])</f>
        <v>EF001</v>
      </c>
      <c r="M807" t="s">
        <v>40</v>
      </c>
      <c r="N807" t="str">
        <f>_xlfn.XLOOKUP(Table1[[#This Row],[EmployeeNumber]],Table4[EmployeeNumber],Table4[Id_Employee])</f>
        <v>EMP00806</v>
      </c>
      <c r="O807">
        <v>1117</v>
      </c>
      <c r="P807" t="str">
        <f>_xlfn.XLOOKUP(Table1[[#This Row],[EnvironmentSatisfaction]],Table9[EnvironmentSatisfaction],Table9[Id_EnviromentSatisfaction])</f>
        <v>ES002</v>
      </c>
      <c r="Q807">
        <v>2</v>
      </c>
      <c r="R807" t="str">
        <f>_xlfn.XLOOKUP(Table1[[#This Row],[EnvironmentSatisfaction]],Table9[EnvironmentSatisfaction],Table9[Deskripsi])</f>
        <v>Medium</v>
      </c>
      <c r="S807" t="str">
        <f>_xlfn.XLOOKUP(Table1[[#This Row],[Gender]],Table10[Gender],Table10[Id_Gender])</f>
        <v>G001</v>
      </c>
      <c r="T807" t="s">
        <v>45</v>
      </c>
      <c r="U807">
        <v>65</v>
      </c>
      <c r="V807" t="str">
        <f>_xlfn.XLOOKUP(Table1[[#This Row],[JobInvolvement]],Table11[JobInvolvement],Table11[Id_JobInvolvement])</f>
        <v>JI002</v>
      </c>
      <c r="W807">
        <v>2</v>
      </c>
      <c r="X807" t="str">
        <f>_xlfn.XLOOKUP(Table1[[#This Row],[JobLevel]],Table12[JobLevel],Table12[Id_JobLevel])</f>
        <v>JL002</v>
      </c>
      <c r="Y807">
        <v>2</v>
      </c>
      <c r="Z807" t="str">
        <f>_xlfn.XLOOKUP(Table1[[#This Row],[JobRole]],Table13[JobRole],Table13[Id_JobRole])</f>
        <v>JR001</v>
      </c>
      <c r="AA807" t="s">
        <v>47</v>
      </c>
      <c r="AB807" t="str">
        <f>_xlfn.XLOOKUP(Table1[[#This Row],[JobSatisfaction]],Table14[JobSatisfaction],Table14[Id_JobSatisfaction])</f>
        <v>JS003</v>
      </c>
      <c r="AC807">
        <v>3</v>
      </c>
      <c r="AD807" t="str">
        <f>_xlfn.XLOOKUP(Table1[[#This Row],[JobSatisfaction]],Table14[JobSatisfaction],Table14[Deskripsi])</f>
        <v>High</v>
      </c>
      <c r="AE807" t="str">
        <f>_xlfn.XLOOKUP(Table1[[#This Row],[MaritalStatus]],Table15[MaritalStatus],Table15[Id_MaritalStatus])</f>
        <v>MS002</v>
      </c>
      <c r="AF807" t="s">
        <v>56</v>
      </c>
      <c r="AG807">
        <v>5593</v>
      </c>
      <c r="AH807">
        <v>17970</v>
      </c>
      <c r="AI807">
        <v>1</v>
      </c>
      <c r="AJ807" t="str">
        <f>_xlfn.XLOOKUP(Table1[[#This Row],[OverTime]],Table16[OverTime],Table16[Id_OverTime])</f>
        <v>OT002</v>
      </c>
      <c r="AK807" t="s">
        <v>33</v>
      </c>
      <c r="AL807">
        <v>13</v>
      </c>
      <c r="AM807" t="str">
        <f>_xlfn.XLOOKUP(Table1[[#This Row],[PerformanceRating]],Table17[PerformanceRating],Table17[Id_PerformanceRating])</f>
        <v>PR003</v>
      </c>
      <c r="AN807">
        <v>3</v>
      </c>
      <c r="AO807" t="str">
        <f>_xlfn.XLOOKUP(Table1[[#This Row],[PerformanceRating]],Table17[PerformanceRating],Table17[Deskripsi])</f>
        <v>Excellent</v>
      </c>
      <c r="AP807" t="str">
        <f>_xlfn.XLOOKUP(Table1[[#This Row],[RelationshipSatisfaction]],Table18[RelationshipSatisfaction],Table18[Id_RelationshipSatisfaction])</f>
        <v>RS004</v>
      </c>
      <c r="AQ807">
        <v>4</v>
      </c>
      <c r="AR807" t="str">
        <f>_xlfn.XLOOKUP(Table1[[#This Row],[RelationshipSatisfaction]],Table18[RelationshipSatisfaction],Table18[Deskripsi])</f>
        <v>Very High</v>
      </c>
      <c r="AS807" t="str">
        <f>_xlfn.XLOOKUP(Table1[[#This Row],[StockOptionLevel]],Table19[StockOptionLevel],Table19[Id_StockOptionLevel])</f>
        <v>SOL002</v>
      </c>
      <c r="AT807">
        <v>1</v>
      </c>
      <c r="AU807" t="str">
        <f>_xlfn.XLOOKUP(Table1[[#This Row],[StockOptionLevel]],Table19[StockOptionLevel],Table19[Deskripsi])</f>
        <v>Standard</v>
      </c>
      <c r="AV807">
        <v>15</v>
      </c>
      <c r="AW807">
        <v>2</v>
      </c>
      <c r="AX807" t="str">
        <f>_xlfn.XLOOKUP(Table1[[#This Row],[WorkLifeBalance]],Table20[WorkLifeBalance],Table20[Id_WorkLifeBalance])</f>
        <v>WLB002</v>
      </c>
      <c r="AY807">
        <v>3</v>
      </c>
      <c r="AZ807" t="str">
        <f>_xlfn.XLOOKUP(Table1[[#This Row],[WorkLifeBalance]],Table20[WorkLifeBalance],Table20[Deskripsi])</f>
        <v>Good</v>
      </c>
      <c r="BA807">
        <v>15</v>
      </c>
      <c r="BB807">
        <v>10</v>
      </c>
      <c r="BC807">
        <v>4</v>
      </c>
      <c r="BD807">
        <v>12</v>
      </c>
    </row>
    <row r="808" spans="1:56" x14ac:dyDescent="0.25">
      <c r="A808">
        <v>52</v>
      </c>
      <c r="B808" t="str">
        <f>_xlfn.XLOOKUP(Table1[[#This Row],[Attrition]],Table2[Attrition],Table2[Id_Attrition])</f>
        <v>A002</v>
      </c>
      <c r="C808" t="s">
        <v>33</v>
      </c>
      <c r="D808" t="str">
        <f>_xlfn.XLOOKUP(Table1[[#This Row],[BusinessTravel]],Table5[BusinessTravel],Table5[Id_BusinessTravel])</f>
        <v>BS001</v>
      </c>
      <c r="E808" t="s">
        <v>34</v>
      </c>
      <c r="F808">
        <v>994</v>
      </c>
      <c r="G808" t="str">
        <f>_xlfn.XLOOKUP(Table1[[#This Row],[Department]],Table6[Department],Table6[Id_Departement])</f>
        <v>D002</v>
      </c>
      <c r="H808" t="s">
        <v>38</v>
      </c>
      <c r="I808">
        <v>7</v>
      </c>
      <c r="J808" t="str">
        <f>_xlfn.XLOOKUP(Table1[[#This Row],[Education]],Table8[Education],Table8[Id_Education])</f>
        <v>E004</v>
      </c>
      <c r="K808">
        <v>4</v>
      </c>
      <c r="L808" t="str">
        <f>_xlfn.XLOOKUP(Table1[[#This Row],[EducationField]],Table7[EducationField],Table7[Id_EducationField])</f>
        <v>EF001</v>
      </c>
      <c r="M808" t="s">
        <v>40</v>
      </c>
      <c r="N808" t="str">
        <f>_xlfn.XLOOKUP(Table1[[#This Row],[EmployeeNumber]],Table4[EmployeeNumber],Table4[Id_Employee])</f>
        <v>EMP00807</v>
      </c>
      <c r="O808">
        <v>1118</v>
      </c>
      <c r="P808" t="str">
        <f>_xlfn.XLOOKUP(Table1[[#This Row],[EnvironmentSatisfaction]],Table9[EnvironmentSatisfaction],Table9[Id_EnviromentSatisfaction])</f>
        <v>ES002</v>
      </c>
      <c r="Q808">
        <v>2</v>
      </c>
      <c r="R808" t="str">
        <f>_xlfn.XLOOKUP(Table1[[#This Row],[EnvironmentSatisfaction]],Table9[EnvironmentSatisfaction],Table9[Deskripsi])</f>
        <v>Medium</v>
      </c>
      <c r="S808" t="str">
        <f>_xlfn.XLOOKUP(Table1[[#This Row],[Gender]],Table10[Gender],Table10[Id_Gender])</f>
        <v>G002</v>
      </c>
      <c r="T808" t="s">
        <v>46</v>
      </c>
      <c r="U808">
        <v>87</v>
      </c>
      <c r="V808" t="str">
        <f>_xlfn.XLOOKUP(Table1[[#This Row],[JobInvolvement]],Table11[JobInvolvement],Table11[Id_JobInvolvement])</f>
        <v>JI003</v>
      </c>
      <c r="W808">
        <v>3</v>
      </c>
      <c r="X808" t="str">
        <f>_xlfn.XLOOKUP(Table1[[#This Row],[JobLevel]],Table12[JobLevel],Table12[Id_JobLevel])</f>
        <v>JL003</v>
      </c>
      <c r="Y808">
        <v>3</v>
      </c>
      <c r="Z808" t="str">
        <f>_xlfn.XLOOKUP(Table1[[#This Row],[JobRole]],Table13[JobRole],Table13[Id_JobRole])</f>
        <v>JR005</v>
      </c>
      <c r="AA808" t="s">
        <v>51</v>
      </c>
      <c r="AB808" t="str">
        <f>_xlfn.XLOOKUP(Table1[[#This Row],[JobSatisfaction]],Table14[JobSatisfaction],Table14[Id_JobSatisfaction])</f>
        <v>JS002</v>
      </c>
      <c r="AC808">
        <v>2</v>
      </c>
      <c r="AD808" t="str">
        <f>_xlfn.XLOOKUP(Table1[[#This Row],[JobSatisfaction]],Table14[JobSatisfaction],Table14[Deskripsi])</f>
        <v>Medium</v>
      </c>
      <c r="AE808" t="str">
        <f>_xlfn.XLOOKUP(Table1[[#This Row],[MaritalStatus]],Table15[MaritalStatus],Table15[Id_MaritalStatus])</f>
        <v>MS001</v>
      </c>
      <c r="AF808" t="s">
        <v>55</v>
      </c>
      <c r="AG808">
        <v>10445</v>
      </c>
      <c r="AH808">
        <v>15322</v>
      </c>
      <c r="AI808">
        <v>7</v>
      </c>
      <c r="AJ808" t="str">
        <f>_xlfn.XLOOKUP(Table1[[#This Row],[OverTime]],Table16[OverTime],Table16[Id_OverTime])</f>
        <v>OT002</v>
      </c>
      <c r="AK808" t="s">
        <v>33</v>
      </c>
      <c r="AL808">
        <v>19</v>
      </c>
      <c r="AM808" t="str">
        <f>_xlfn.XLOOKUP(Table1[[#This Row],[PerformanceRating]],Table17[PerformanceRating],Table17[Id_PerformanceRating])</f>
        <v>PR003</v>
      </c>
      <c r="AN808">
        <v>3</v>
      </c>
      <c r="AO808" t="str">
        <f>_xlfn.XLOOKUP(Table1[[#This Row],[PerformanceRating]],Table17[PerformanceRating],Table17[Deskripsi])</f>
        <v>Excellent</v>
      </c>
      <c r="AP808" t="str">
        <f>_xlfn.XLOOKUP(Table1[[#This Row],[RelationshipSatisfaction]],Table18[RelationshipSatisfaction],Table18[Id_RelationshipSatisfaction])</f>
        <v>RS004</v>
      </c>
      <c r="AQ808">
        <v>4</v>
      </c>
      <c r="AR808" t="str">
        <f>_xlfn.XLOOKUP(Table1[[#This Row],[RelationshipSatisfaction]],Table18[RelationshipSatisfaction],Table18[Deskripsi])</f>
        <v>Very High</v>
      </c>
      <c r="AS808" t="str">
        <f>_xlfn.XLOOKUP(Table1[[#This Row],[StockOptionLevel]],Table19[StockOptionLevel],Table19[Id_StockOptionLevel])</f>
        <v>SOL001</v>
      </c>
      <c r="AT808">
        <v>0</v>
      </c>
      <c r="AU808" t="str">
        <f>_xlfn.XLOOKUP(Table1[[#This Row],[StockOptionLevel]],Table19[StockOptionLevel],Table19[Deskripsi])</f>
        <v>Non-Eligible</v>
      </c>
      <c r="AV808">
        <v>18</v>
      </c>
      <c r="AW808">
        <v>4</v>
      </c>
      <c r="AX808" t="str">
        <f>_xlfn.XLOOKUP(Table1[[#This Row],[WorkLifeBalance]],Table20[WorkLifeBalance],Table20[Id_WorkLifeBalance])</f>
        <v>WLB002</v>
      </c>
      <c r="AY808">
        <v>3</v>
      </c>
      <c r="AZ808" t="str">
        <f>_xlfn.XLOOKUP(Table1[[#This Row],[WorkLifeBalance]],Table20[WorkLifeBalance],Table20[Deskripsi])</f>
        <v>Good</v>
      </c>
      <c r="BA808">
        <v>8</v>
      </c>
      <c r="BB808">
        <v>6</v>
      </c>
      <c r="BC808">
        <v>4</v>
      </c>
      <c r="BD808">
        <v>0</v>
      </c>
    </row>
    <row r="809" spans="1:56" x14ac:dyDescent="0.25">
      <c r="A809">
        <v>38</v>
      </c>
      <c r="B809" t="str">
        <f>_xlfn.XLOOKUP(Table1[[#This Row],[Attrition]],Table2[Attrition],Table2[Id_Attrition])</f>
        <v>A002</v>
      </c>
      <c r="C809" t="s">
        <v>33</v>
      </c>
      <c r="D809" t="str">
        <f>_xlfn.XLOOKUP(Table1[[#This Row],[BusinessTravel]],Table5[BusinessTravel],Table5[Id_BusinessTravel])</f>
        <v>BS001</v>
      </c>
      <c r="E809" t="s">
        <v>34</v>
      </c>
      <c r="F809">
        <v>770</v>
      </c>
      <c r="G809" t="str">
        <f>_xlfn.XLOOKUP(Table1[[#This Row],[Department]],Table6[Department],Table6[Id_Departement])</f>
        <v>D001</v>
      </c>
      <c r="H809" t="s">
        <v>37</v>
      </c>
      <c r="I809">
        <v>10</v>
      </c>
      <c r="J809" t="str">
        <f>_xlfn.XLOOKUP(Table1[[#This Row],[Education]],Table8[Education],Table8[Id_Education])</f>
        <v>E004</v>
      </c>
      <c r="K809">
        <v>4</v>
      </c>
      <c r="L809" t="str">
        <f>_xlfn.XLOOKUP(Table1[[#This Row],[EducationField]],Table7[EducationField],Table7[Id_EducationField])</f>
        <v>EF004</v>
      </c>
      <c r="M809" t="s">
        <v>43</v>
      </c>
      <c r="N809" t="str">
        <f>_xlfn.XLOOKUP(Table1[[#This Row],[EmployeeNumber]],Table4[EmployeeNumber],Table4[Id_Employee])</f>
        <v>EMP00808</v>
      </c>
      <c r="O809">
        <v>1119</v>
      </c>
      <c r="P809" t="str">
        <f>_xlfn.XLOOKUP(Table1[[#This Row],[EnvironmentSatisfaction]],Table9[EnvironmentSatisfaction],Table9[Id_EnviromentSatisfaction])</f>
        <v>ES003</v>
      </c>
      <c r="Q809">
        <v>3</v>
      </c>
      <c r="R809" t="str">
        <f>_xlfn.XLOOKUP(Table1[[#This Row],[EnvironmentSatisfaction]],Table9[EnvironmentSatisfaction],Table9[Deskripsi])</f>
        <v>High</v>
      </c>
      <c r="S809" t="str">
        <f>_xlfn.XLOOKUP(Table1[[#This Row],[Gender]],Table10[Gender],Table10[Id_Gender])</f>
        <v>G002</v>
      </c>
      <c r="T809" t="s">
        <v>46</v>
      </c>
      <c r="U809">
        <v>73</v>
      </c>
      <c r="V809" t="str">
        <f>_xlfn.XLOOKUP(Table1[[#This Row],[JobInvolvement]],Table11[JobInvolvement],Table11[Id_JobInvolvement])</f>
        <v>JI002</v>
      </c>
      <c r="W809">
        <v>2</v>
      </c>
      <c r="X809" t="str">
        <f>_xlfn.XLOOKUP(Table1[[#This Row],[JobLevel]],Table12[JobLevel],Table12[Id_JobLevel])</f>
        <v>JL003</v>
      </c>
      <c r="Y809">
        <v>3</v>
      </c>
      <c r="Z809" t="str">
        <f>_xlfn.XLOOKUP(Table1[[#This Row],[JobRole]],Table13[JobRole],Table13[Id_JobRole])</f>
        <v>JR001</v>
      </c>
      <c r="AA809" t="s">
        <v>47</v>
      </c>
      <c r="AB809" t="str">
        <f>_xlfn.XLOOKUP(Table1[[#This Row],[JobSatisfaction]],Table14[JobSatisfaction],Table14[Id_JobSatisfaction])</f>
        <v>JS003</v>
      </c>
      <c r="AC809">
        <v>3</v>
      </c>
      <c r="AD809" t="str">
        <f>_xlfn.XLOOKUP(Table1[[#This Row],[JobSatisfaction]],Table14[JobSatisfaction],Table14[Deskripsi])</f>
        <v>High</v>
      </c>
      <c r="AE809" t="str">
        <f>_xlfn.XLOOKUP(Table1[[#This Row],[MaritalStatus]],Table15[MaritalStatus],Table15[Id_MaritalStatus])</f>
        <v>MS003</v>
      </c>
      <c r="AF809" t="s">
        <v>57</v>
      </c>
      <c r="AG809">
        <v>8740</v>
      </c>
      <c r="AH809">
        <v>5569</v>
      </c>
      <c r="AI809">
        <v>0</v>
      </c>
      <c r="AJ809" t="str">
        <f>_xlfn.XLOOKUP(Table1[[#This Row],[OverTime]],Table16[OverTime],Table16[Id_OverTime])</f>
        <v>OT001</v>
      </c>
      <c r="AK809" t="s">
        <v>32</v>
      </c>
      <c r="AL809">
        <v>14</v>
      </c>
      <c r="AM809" t="str">
        <f>_xlfn.XLOOKUP(Table1[[#This Row],[PerformanceRating]],Table17[PerformanceRating],Table17[Id_PerformanceRating])</f>
        <v>PR003</v>
      </c>
      <c r="AN809">
        <v>3</v>
      </c>
      <c r="AO809" t="str">
        <f>_xlfn.XLOOKUP(Table1[[#This Row],[PerformanceRating]],Table17[PerformanceRating],Table17[Deskripsi])</f>
        <v>Excellent</v>
      </c>
      <c r="AP809" t="str">
        <f>_xlfn.XLOOKUP(Table1[[#This Row],[RelationshipSatisfaction]],Table18[RelationshipSatisfaction],Table18[Id_RelationshipSatisfaction])</f>
        <v>RS002</v>
      </c>
      <c r="AQ809">
        <v>2</v>
      </c>
      <c r="AR809" t="str">
        <f>_xlfn.XLOOKUP(Table1[[#This Row],[RelationshipSatisfaction]],Table18[RelationshipSatisfaction],Table18[Deskripsi])</f>
        <v>Medium</v>
      </c>
      <c r="AS809" t="str">
        <f>_xlfn.XLOOKUP(Table1[[#This Row],[StockOptionLevel]],Table19[StockOptionLevel],Table19[Id_StockOptionLevel])</f>
        <v>SOL003</v>
      </c>
      <c r="AT809">
        <v>2</v>
      </c>
      <c r="AU809" t="str">
        <f>_xlfn.XLOOKUP(Table1[[#This Row],[StockOptionLevel]],Table19[StockOptionLevel],Table19[Deskripsi])</f>
        <v>Intermediate</v>
      </c>
      <c r="AV809">
        <v>9</v>
      </c>
      <c r="AW809">
        <v>2</v>
      </c>
      <c r="AX809" t="str">
        <f>_xlfn.XLOOKUP(Table1[[#This Row],[WorkLifeBalance]],Table20[WorkLifeBalance],Table20[Id_WorkLifeBalance])</f>
        <v>WLB002</v>
      </c>
      <c r="AY809">
        <v>3</v>
      </c>
      <c r="AZ809" t="str">
        <f>_xlfn.XLOOKUP(Table1[[#This Row],[WorkLifeBalance]],Table20[WorkLifeBalance],Table20[Deskripsi])</f>
        <v>Good</v>
      </c>
      <c r="BA809">
        <v>8</v>
      </c>
      <c r="BB809">
        <v>7</v>
      </c>
      <c r="BC809">
        <v>2</v>
      </c>
      <c r="BD809">
        <v>7</v>
      </c>
    </row>
    <row r="810" spans="1:56" x14ac:dyDescent="0.25">
      <c r="A810">
        <v>29</v>
      </c>
      <c r="B810" t="str">
        <f>_xlfn.XLOOKUP(Table1[[#This Row],[Attrition]],Table2[Attrition],Table2[Id_Attrition])</f>
        <v>A002</v>
      </c>
      <c r="C810" t="s">
        <v>33</v>
      </c>
      <c r="D810" t="str">
        <f>_xlfn.XLOOKUP(Table1[[#This Row],[BusinessTravel]],Table5[BusinessTravel],Table5[Id_BusinessTravel])</f>
        <v>BS001</v>
      </c>
      <c r="E810" t="s">
        <v>34</v>
      </c>
      <c r="F810">
        <v>1107</v>
      </c>
      <c r="G810" t="str">
        <f>_xlfn.XLOOKUP(Table1[[#This Row],[Department]],Table6[Department],Table6[Id_Departement])</f>
        <v>D002</v>
      </c>
      <c r="H810" t="s">
        <v>38</v>
      </c>
      <c r="I810">
        <v>28</v>
      </c>
      <c r="J810" t="str">
        <f>_xlfn.XLOOKUP(Table1[[#This Row],[Education]],Table8[Education],Table8[Id_Education])</f>
        <v>E004</v>
      </c>
      <c r="K810">
        <v>4</v>
      </c>
      <c r="L810" t="str">
        <f>_xlfn.XLOOKUP(Table1[[#This Row],[EducationField]],Table7[EducationField],Table7[Id_EducationField])</f>
        <v>EF001</v>
      </c>
      <c r="M810" t="s">
        <v>40</v>
      </c>
      <c r="N810" t="str">
        <f>_xlfn.XLOOKUP(Table1[[#This Row],[EmployeeNumber]],Table4[EmployeeNumber],Table4[Id_Employee])</f>
        <v>EMP00809</v>
      </c>
      <c r="O810">
        <v>1120</v>
      </c>
      <c r="P810" t="str">
        <f>_xlfn.XLOOKUP(Table1[[#This Row],[EnvironmentSatisfaction]],Table9[EnvironmentSatisfaction],Table9[Id_EnviromentSatisfaction])</f>
        <v>ES003</v>
      </c>
      <c r="Q810">
        <v>3</v>
      </c>
      <c r="R810" t="str">
        <f>_xlfn.XLOOKUP(Table1[[#This Row],[EnvironmentSatisfaction]],Table9[EnvironmentSatisfaction],Table9[Deskripsi])</f>
        <v>High</v>
      </c>
      <c r="S810" t="str">
        <f>_xlfn.XLOOKUP(Table1[[#This Row],[Gender]],Table10[Gender],Table10[Id_Gender])</f>
        <v>G001</v>
      </c>
      <c r="T810" t="s">
        <v>45</v>
      </c>
      <c r="U810">
        <v>93</v>
      </c>
      <c r="V810" t="str">
        <f>_xlfn.XLOOKUP(Table1[[#This Row],[JobInvolvement]],Table11[JobInvolvement],Table11[Id_JobInvolvement])</f>
        <v>JI003</v>
      </c>
      <c r="W810">
        <v>3</v>
      </c>
      <c r="X810" t="str">
        <f>_xlfn.XLOOKUP(Table1[[#This Row],[JobLevel]],Table12[JobLevel],Table12[Id_JobLevel])</f>
        <v>JL001</v>
      </c>
      <c r="Y810">
        <v>1</v>
      </c>
      <c r="Z810" t="str">
        <f>_xlfn.XLOOKUP(Table1[[#This Row],[JobRole]],Table13[JobRole],Table13[Id_JobRole])</f>
        <v>JR002</v>
      </c>
      <c r="AA810" t="s">
        <v>48</v>
      </c>
      <c r="AB810" t="str">
        <f>_xlfn.XLOOKUP(Table1[[#This Row],[JobSatisfaction]],Table14[JobSatisfaction],Table14[Id_JobSatisfaction])</f>
        <v>JS004</v>
      </c>
      <c r="AC810">
        <v>4</v>
      </c>
      <c r="AD810" t="str">
        <f>_xlfn.XLOOKUP(Table1[[#This Row],[JobSatisfaction]],Table14[JobSatisfaction],Table14[Deskripsi])</f>
        <v>Very High</v>
      </c>
      <c r="AE810" t="str">
        <f>_xlfn.XLOOKUP(Table1[[#This Row],[MaritalStatus]],Table15[MaritalStatus],Table15[Id_MaritalStatus])</f>
        <v>MS003</v>
      </c>
      <c r="AF810" t="s">
        <v>57</v>
      </c>
      <c r="AG810">
        <v>2514</v>
      </c>
      <c r="AH810">
        <v>26968</v>
      </c>
      <c r="AI810">
        <v>4</v>
      </c>
      <c r="AJ810" t="str">
        <f>_xlfn.XLOOKUP(Table1[[#This Row],[OverTime]],Table16[OverTime],Table16[Id_OverTime])</f>
        <v>OT002</v>
      </c>
      <c r="AK810" t="s">
        <v>33</v>
      </c>
      <c r="AL810">
        <v>22</v>
      </c>
      <c r="AM810" t="str">
        <f>_xlfn.XLOOKUP(Table1[[#This Row],[PerformanceRating]],Table17[PerformanceRating],Table17[Id_PerformanceRating])</f>
        <v>PR004</v>
      </c>
      <c r="AN810">
        <v>4</v>
      </c>
      <c r="AO810" t="str">
        <f>_xlfn.XLOOKUP(Table1[[#This Row],[PerformanceRating]],Table17[PerformanceRating],Table17[Deskripsi])</f>
        <v>Outstanding</v>
      </c>
      <c r="AP810" t="str">
        <f>_xlfn.XLOOKUP(Table1[[#This Row],[RelationshipSatisfaction]],Table18[RelationshipSatisfaction],Table18[Id_RelationshipSatisfaction])</f>
        <v>RS001</v>
      </c>
      <c r="AQ810">
        <v>1</v>
      </c>
      <c r="AR810" t="str">
        <f>_xlfn.XLOOKUP(Table1[[#This Row],[RelationshipSatisfaction]],Table18[RelationshipSatisfaction],Table18[Deskripsi])</f>
        <v>Low</v>
      </c>
      <c r="AS810" t="str">
        <f>_xlfn.XLOOKUP(Table1[[#This Row],[StockOptionLevel]],Table19[StockOptionLevel],Table19[Id_StockOptionLevel])</f>
        <v>SOL002</v>
      </c>
      <c r="AT810">
        <v>1</v>
      </c>
      <c r="AU810" t="str">
        <f>_xlfn.XLOOKUP(Table1[[#This Row],[StockOptionLevel]],Table19[StockOptionLevel],Table19[Deskripsi])</f>
        <v>Standard</v>
      </c>
      <c r="AV810">
        <v>11</v>
      </c>
      <c r="AW810">
        <v>1</v>
      </c>
      <c r="AX810" t="str">
        <f>_xlfn.XLOOKUP(Table1[[#This Row],[WorkLifeBalance]],Table20[WorkLifeBalance],Table20[Id_WorkLifeBalance])</f>
        <v>WLB002</v>
      </c>
      <c r="AY810">
        <v>3</v>
      </c>
      <c r="AZ810" t="str">
        <f>_xlfn.XLOOKUP(Table1[[#This Row],[WorkLifeBalance]],Table20[WorkLifeBalance],Table20[Deskripsi])</f>
        <v>Good</v>
      </c>
      <c r="BA810">
        <v>7</v>
      </c>
      <c r="BB810">
        <v>5</v>
      </c>
      <c r="BC810">
        <v>1</v>
      </c>
      <c r="BD810">
        <v>7</v>
      </c>
    </row>
    <row r="811" spans="1:56" x14ac:dyDescent="0.25">
      <c r="A811">
        <v>28</v>
      </c>
      <c r="B811" t="str">
        <f>_xlfn.XLOOKUP(Table1[[#This Row],[Attrition]],Table2[Attrition],Table2[Id_Attrition])</f>
        <v>A002</v>
      </c>
      <c r="C811" t="s">
        <v>33</v>
      </c>
      <c r="D811" t="str">
        <f>_xlfn.XLOOKUP(Table1[[#This Row],[BusinessTravel]],Table5[BusinessTravel],Table5[Id_BusinessTravel])</f>
        <v>BS001</v>
      </c>
      <c r="E811" t="s">
        <v>34</v>
      </c>
      <c r="F811">
        <v>950</v>
      </c>
      <c r="G811" t="str">
        <f>_xlfn.XLOOKUP(Table1[[#This Row],[Department]],Table6[Department],Table6[Id_Departement])</f>
        <v>D002</v>
      </c>
      <c r="H811" t="s">
        <v>38</v>
      </c>
      <c r="I811">
        <v>3</v>
      </c>
      <c r="J811" t="str">
        <f>_xlfn.XLOOKUP(Table1[[#This Row],[Education]],Table8[Education],Table8[Id_Education])</f>
        <v>E003</v>
      </c>
      <c r="K811">
        <v>3</v>
      </c>
      <c r="L811" t="str">
        <f>_xlfn.XLOOKUP(Table1[[#This Row],[EducationField]],Table7[EducationField],Table7[Id_EducationField])</f>
        <v>EF003</v>
      </c>
      <c r="M811" t="s">
        <v>42</v>
      </c>
      <c r="N811" t="str">
        <f>_xlfn.XLOOKUP(Table1[[#This Row],[EmployeeNumber]],Table4[EmployeeNumber],Table4[Id_Employee])</f>
        <v>EMP00810</v>
      </c>
      <c r="O811">
        <v>1121</v>
      </c>
      <c r="P811" t="str">
        <f>_xlfn.XLOOKUP(Table1[[#This Row],[EnvironmentSatisfaction]],Table9[EnvironmentSatisfaction],Table9[Id_EnviromentSatisfaction])</f>
        <v>ES004</v>
      </c>
      <c r="Q811">
        <v>4</v>
      </c>
      <c r="R811" t="str">
        <f>_xlfn.XLOOKUP(Table1[[#This Row],[EnvironmentSatisfaction]],Table9[EnvironmentSatisfaction],Table9[Deskripsi])</f>
        <v>Very High</v>
      </c>
      <c r="S811" t="str">
        <f>_xlfn.XLOOKUP(Table1[[#This Row],[Gender]],Table10[Gender],Table10[Id_Gender])</f>
        <v>G001</v>
      </c>
      <c r="T811" t="s">
        <v>45</v>
      </c>
      <c r="U811">
        <v>93</v>
      </c>
      <c r="V811" t="str">
        <f>_xlfn.XLOOKUP(Table1[[#This Row],[JobInvolvement]],Table11[JobInvolvement],Table11[Id_JobInvolvement])</f>
        <v>JI003</v>
      </c>
      <c r="W811">
        <v>3</v>
      </c>
      <c r="X811" t="str">
        <f>_xlfn.XLOOKUP(Table1[[#This Row],[JobLevel]],Table12[JobLevel],Table12[Id_JobLevel])</f>
        <v>JL003</v>
      </c>
      <c r="Y811">
        <v>3</v>
      </c>
      <c r="Z811" t="str">
        <f>_xlfn.XLOOKUP(Table1[[#This Row],[JobRole]],Table13[JobRole],Table13[Id_JobRole])</f>
        <v>JR004</v>
      </c>
      <c r="AA811" t="s">
        <v>50</v>
      </c>
      <c r="AB811" t="str">
        <f>_xlfn.XLOOKUP(Table1[[#This Row],[JobSatisfaction]],Table14[JobSatisfaction],Table14[Id_JobSatisfaction])</f>
        <v>JS002</v>
      </c>
      <c r="AC811">
        <v>2</v>
      </c>
      <c r="AD811" t="str">
        <f>_xlfn.XLOOKUP(Table1[[#This Row],[JobSatisfaction]],Table14[JobSatisfaction],Table14[Deskripsi])</f>
        <v>Medium</v>
      </c>
      <c r="AE811" t="str">
        <f>_xlfn.XLOOKUP(Table1[[#This Row],[MaritalStatus]],Table15[MaritalStatus],Table15[Id_MaritalStatus])</f>
        <v>MS003</v>
      </c>
      <c r="AF811" t="s">
        <v>57</v>
      </c>
      <c r="AG811">
        <v>7655</v>
      </c>
      <c r="AH811">
        <v>8039</v>
      </c>
      <c r="AI811">
        <v>0</v>
      </c>
      <c r="AJ811" t="str">
        <f>_xlfn.XLOOKUP(Table1[[#This Row],[OverTime]],Table16[OverTime],Table16[Id_OverTime])</f>
        <v>OT002</v>
      </c>
      <c r="AK811" t="s">
        <v>33</v>
      </c>
      <c r="AL811">
        <v>17</v>
      </c>
      <c r="AM811" t="str">
        <f>_xlfn.XLOOKUP(Table1[[#This Row],[PerformanceRating]],Table17[PerformanceRating],Table17[Id_PerformanceRating])</f>
        <v>PR003</v>
      </c>
      <c r="AN811">
        <v>3</v>
      </c>
      <c r="AO811" t="str">
        <f>_xlfn.XLOOKUP(Table1[[#This Row],[PerformanceRating]],Table17[PerformanceRating],Table17[Deskripsi])</f>
        <v>Excellent</v>
      </c>
      <c r="AP811" t="str">
        <f>_xlfn.XLOOKUP(Table1[[#This Row],[RelationshipSatisfaction]],Table18[RelationshipSatisfaction],Table18[Id_RelationshipSatisfaction])</f>
        <v>RS002</v>
      </c>
      <c r="AQ811">
        <v>2</v>
      </c>
      <c r="AR811" t="str">
        <f>_xlfn.XLOOKUP(Table1[[#This Row],[RelationshipSatisfaction]],Table18[RelationshipSatisfaction],Table18[Deskripsi])</f>
        <v>Medium</v>
      </c>
      <c r="AS811" t="str">
        <f>_xlfn.XLOOKUP(Table1[[#This Row],[StockOptionLevel]],Table19[StockOptionLevel],Table19[Id_StockOptionLevel])</f>
        <v>SOL004</v>
      </c>
      <c r="AT811">
        <v>3</v>
      </c>
      <c r="AU811" t="str">
        <f>_xlfn.XLOOKUP(Table1[[#This Row],[StockOptionLevel]],Table19[StockOptionLevel],Table19[Deskripsi])</f>
        <v>Senior/Executive</v>
      </c>
      <c r="AV811">
        <v>10</v>
      </c>
      <c r="AW811">
        <v>3</v>
      </c>
      <c r="AX811" t="str">
        <f>_xlfn.XLOOKUP(Table1[[#This Row],[WorkLifeBalance]],Table20[WorkLifeBalance],Table20[Id_WorkLifeBalance])</f>
        <v>WLB003</v>
      </c>
      <c r="AY811">
        <v>2</v>
      </c>
      <c r="AZ811" t="str">
        <f>_xlfn.XLOOKUP(Table1[[#This Row],[WorkLifeBalance]],Table20[WorkLifeBalance],Table20[Deskripsi])</f>
        <v>Better</v>
      </c>
      <c r="BA811">
        <v>9</v>
      </c>
      <c r="BB811">
        <v>7</v>
      </c>
      <c r="BC811">
        <v>1</v>
      </c>
      <c r="BD811">
        <v>7</v>
      </c>
    </row>
    <row r="812" spans="1:56" x14ac:dyDescent="0.25">
      <c r="A812">
        <v>46</v>
      </c>
      <c r="B812" t="str">
        <f>_xlfn.XLOOKUP(Table1[[#This Row],[Attrition]],Table2[Attrition],Table2[Id_Attrition])</f>
        <v>A002</v>
      </c>
      <c r="C812" t="s">
        <v>33</v>
      </c>
      <c r="D812" t="str">
        <f>_xlfn.XLOOKUP(Table1[[#This Row],[BusinessTravel]],Table5[BusinessTravel],Table5[Id_BusinessTravel])</f>
        <v>BS001</v>
      </c>
      <c r="E812" t="s">
        <v>34</v>
      </c>
      <c r="F812">
        <v>406</v>
      </c>
      <c r="G812" t="str">
        <f>_xlfn.XLOOKUP(Table1[[#This Row],[Department]],Table6[Department],Table6[Id_Departement])</f>
        <v>D001</v>
      </c>
      <c r="H812" t="s">
        <v>37</v>
      </c>
      <c r="I812">
        <v>3</v>
      </c>
      <c r="J812" t="str">
        <f>_xlfn.XLOOKUP(Table1[[#This Row],[Education]],Table8[Education],Table8[Id_Education])</f>
        <v>E001</v>
      </c>
      <c r="K812">
        <v>1</v>
      </c>
      <c r="L812" t="str">
        <f>_xlfn.XLOOKUP(Table1[[#This Row],[EducationField]],Table7[EducationField],Table7[Id_EducationField])</f>
        <v>EF004</v>
      </c>
      <c r="M812" t="s">
        <v>43</v>
      </c>
      <c r="N812" t="str">
        <f>_xlfn.XLOOKUP(Table1[[#This Row],[EmployeeNumber]],Table4[EmployeeNumber],Table4[Id_Employee])</f>
        <v>EMP00811</v>
      </c>
      <c r="O812">
        <v>1124</v>
      </c>
      <c r="P812" t="str">
        <f>_xlfn.XLOOKUP(Table1[[#This Row],[EnvironmentSatisfaction]],Table9[EnvironmentSatisfaction],Table9[Id_EnviromentSatisfaction])</f>
        <v>ES001</v>
      </c>
      <c r="Q812">
        <v>1</v>
      </c>
      <c r="R812" t="str">
        <f>_xlfn.XLOOKUP(Table1[[#This Row],[EnvironmentSatisfaction]],Table9[EnvironmentSatisfaction],Table9[Deskripsi])</f>
        <v>Low</v>
      </c>
      <c r="S812" t="str">
        <f>_xlfn.XLOOKUP(Table1[[#This Row],[Gender]],Table10[Gender],Table10[Id_Gender])</f>
        <v>G002</v>
      </c>
      <c r="T812" t="s">
        <v>46</v>
      </c>
      <c r="U812">
        <v>52</v>
      </c>
      <c r="V812" t="str">
        <f>_xlfn.XLOOKUP(Table1[[#This Row],[JobInvolvement]],Table11[JobInvolvement],Table11[Id_JobInvolvement])</f>
        <v>JI003</v>
      </c>
      <c r="W812">
        <v>3</v>
      </c>
      <c r="X812" t="str">
        <f>_xlfn.XLOOKUP(Table1[[#This Row],[JobLevel]],Table12[JobLevel],Table12[Id_JobLevel])</f>
        <v>JL004</v>
      </c>
      <c r="Y812">
        <v>4</v>
      </c>
      <c r="Z812" t="str">
        <f>_xlfn.XLOOKUP(Table1[[#This Row],[JobRole]],Table13[JobRole],Table13[Id_JobRole])</f>
        <v>JR006</v>
      </c>
      <c r="AA812" t="s">
        <v>52</v>
      </c>
      <c r="AB812" t="str">
        <f>_xlfn.XLOOKUP(Table1[[#This Row],[JobSatisfaction]],Table14[JobSatisfaction],Table14[Id_JobSatisfaction])</f>
        <v>JS003</v>
      </c>
      <c r="AC812">
        <v>3</v>
      </c>
      <c r="AD812" t="str">
        <f>_xlfn.XLOOKUP(Table1[[#This Row],[JobSatisfaction]],Table14[JobSatisfaction],Table14[Deskripsi])</f>
        <v>High</v>
      </c>
      <c r="AE812" t="str">
        <f>_xlfn.XLOOKUP(Table1[[#This Row],[MaritalStatus]],Table15[MaritalStatus],Table15[Id_MaritalStatus])</f>
        <v>MS002</v>
      </c>
      <c r="AF812" t="s">
        <v>56</v>
      </c>
      <c r="AG812">
        <v>17465</v>
      </c>
      <c r="AH812">
        <v>15596</v>
      </c>
      <c r="AI812">
        <v>3</v>
      </c>
      <c r="AJ812" t="str">
        <f>_xlfn.XLOOKUP(Table1[[#This Row],[OverTime]],Table16[OverTime],Table16[Id_OverTime])</f>
        <v>OT002</v>
      </c>
      <c r="AK812" t="s">
        <v>33</v>
      </c>
      <c r="AL812">
        <v>12</v>
      </c>
      <c r="AM812" t="str">
        <f>_xlfn.XLOOKUP(Table1[[#This Row],[PerformanceRating]],Table17[PerformanceRating],Table17[Id_PerformanceRating])</f>
        <v>PR003</v>
      </c>
      <c r="AN812">
        <v>3</v>
      </c>
      <c r="AO812" t="str">
        <f>_xlfn.XLOOKUP(Table1[[#This Row],[PerformanceRating]],Table17[PerformanceRating],Table17[Deskripsi])</f>
        <v>Excellent</v>
      </c>
      <c r="AP812" t="str">
        <f>_xlfn.XLOOKUP(Table1[[#This Row],[RelationshipSatisfaction]],Table18[RelationshipSatisfaction],Table18[Id_RelationshipSatisfaction])</f>
        <v>RS004</v>
      </c>
      <c r="AQ812">
        <v>4</v>
      </c>
      <c r="AR812" t="str">
        <f>_xlfn.XLOOKUP(Table1[[#This Row],[RelationshipSatisfaction]],Table18[RelationshipSatisfaction],Table18[Deskripsi])</f>
        <v>Very High</v>
      </c>
      <c r="AS812" t="str">
        <f>_xlfn.XLOOKUP(Table1[[#This Row],[StockOptionLevel]],Table19[StockOptionLevel],Table19[Id_StockOptionLevel])</f>
        <v>SOL002</v>
      </c>
      <c r="AT812">
        <v>1</v>
      </c>
      <c r="AU812" t="str">
        <f>_xlfn.XLOOKUP(Table1[[#This Row],[StockOptionLevel]],Table19[StockOptionLevel],Table19[Deskripsi])</f>
        <v>Standard</v>
      </c>
      <c r="AV812">
        <v>23</v>
      </c>
      <c r="AW812">
        <v>3</v>
      </c>
      <c r="AX812" t="str">
        <f>_xlfn.XLOOKUP(Table1[[#This Row],[WorkLifeBalance]],Table20[WorkLifeBalance],Table20[Id_WorkLifeBalance])</f>
        <v>WLB002</v>
      </c>
      <c r="AY812">
        <v>3</v>
      </c>
      <c r="AZ812" t="str">
        <f>_xlfn.XLOOKUP(Table1[[#This Row],[WorkLifeBalance]],Table20[WorkLifeBalance],Table20[Deskripsi])</f>
        <v>Good</v>
      </c>
      <c r="BA812">
        <v>12</v>
      </c>
      <c r="BB812">
        <v>9</v>
      </c>
      <c r="BC812">
        <v>4</v>
      </c>
      <c r="BD812">
        <v>9</v>
      </c>
    </row>
    <row r="813" spans="1:56" x14ac:dyDescent="0.25">
      <c r="A813">
        <v>38</v>
      </c>
      <c r="B813" t="str">
        <f>_xlfn.XLOOKUP(Table1[[#This Row],[Attrition]],Table2[Attrition],Table2[Id_Attrition])</f>
        <v>A002</v>
      </c>
      <c r="C813" t="s">
        <v>33</v>
      </c>
      <c r="D813" t="str">
        <f>_xlfn.XLOOKUP(Table1[[#This Row],[BusinessTravel]],Table5[BusinessTravel],Table5[Id_BusinessTravel])</f>
        <v>BS001</v>
      </c>
      <c r="E813" t="s">
        <v>34</v>
      </c>
      <c r="F813">
        <v>130</v>
      </c>
      <c r="G813" t="str">
        <f>_xlfn.XLOOKUP(Table1[[#This Row],[Department]],Table6[Department],Table6[Id_Departement])</f>
        <v>D001</v>
      </c>
      <c r="H813" t="s">
        <v>37</v>
      </c>
      <c r="I813">
        <v>2</v>
      </c>
      <c r="J813" t="str">
        <f>_xlfn.XLOOKUP(Table1[[#This Row],[Education]],Table8[Education],Table8[Id_Education])</f>
        <v>E002</v>
      </c>
      <c r="K813">
        <v>2</v>
      </c>
      <c r="L813" t="str">
        <f>_xlfn.XLOOKUP(Table1[[#This Row],[EducationField]],Table7[EducationField],Table7[Id_EducationField])</f>
        <v>EF004</v>
      </c>
      <c r="M813" t="s">
        <v>43</v>
      </c>
      <c r="N813" t="str">
        <f>_xlfn.XLOOKUP(Table1[[#This Row],[EmployeeNumber]],Table4[EmployeeNumber],Table4[Id_Employee])</f>
        <v>EMP00812</v>
      </c>
      <c r="O813">
        <v>1125</v>
      </c>
      <c r="P813" t="str">
        <f>_xlfn.XLOOKUP(Table1[[#This Row],[EnvironmentSatisfaction]],Table9[EnvironmentSatisfaction],Table9[Id_EnviromentSatisfaction])</f>
        <v>ES004</v>
      </c>
      <c r="Q813">
        <v>4</v>
      </c>
      <c r="R813" t="str">
        <f>_xlfn.XLOOKUP(Table1[[#This Row],[EnvironmentSatisfaction]],Table9[EnvironmentSatisfaction],Table9[Deskripsi])</f>
        <v>Very High</v>
      </c>
      <c r="S813" t="str">
        <f>_xlfn.XLOOKUP(Table1[[#This Row],[Gender]],Table10[Gender],Table10[Id_Gender])</f>
        <v>G002</v>
      </c>
      <c r="T813" t="s">
        <v>46</v>
      </c>
      <c r="U813">
        <v>32</v>
      </c>
      <c r="V813" t="str">
        <f>_xlfn.XLOOKUP(Table1[[#This Row],[JobInvolvement]],Table11[JobInvolvement],Table11[Id_JobInvolvement])</f>
        <v>JI003</v>
      </c>
      <c r="W813">
        <v>3</v>
      </c>
      <c r="X813" t="str">
        <f>_xlfn.XLOOKUP(Table1[[#This Row],[JobLevel]],Table12[JobLevel],Table12[Id_JobLevel])</f>
        <v>JL003</v>
      </c>
      <c r="Y813">
        <v>3</v>
      </c>
      <c r="Z813" t="str">
        <f>_xlfn.XLOOKUP(Table1[[#This Row],[JobRole]],Table13[JobRole],Table13[Id_JobRole])</f>
        <v>JR001</v>
      </c>
      <c r="AA813" t="s">
        <v>47</v>
      </c>
      <c r="AB813" t="str">
        <f>_xlfn.XLOOKUP(Table1[[#This Row],[JobSatisfaction]],Table14[JobSatisfaction],Table14[Id_JobSatisfaction])</f>
        <v>JS002</v>
      </c>
      <c r="AC813">
        <v>2</v>
      </c>
      <c r="AD813" t="str">
        <f>_xlfn.XLOOKUP(Table1[[#This Row],[JobSatisfaction]],Table14[JobSatisfaction],Table14[Deskripsi])</f>
        <v>Medium</v>
      </c>
      <c r="AE813" t="str">
        <f>_xlfn.XLOOKUP(Table1[[#This Row],[MaritalStatus]],Table15[MaritalStatus],Table15[Id_MaritalStatus])</f>
        <v>MS001</v>
      </c>
      <c r="AF813" t="s">
        <v>55</v>
      </c>
      <c r="AG813">
        <v>7351</v>
      </c>
      <c r="AH813">
        <v>20619</v>
      </c>
      <c r="AI813">
        <v>7</v>
      </c>
      <c r="AJ813" t="str">
        <f>_xlfn.XLOOKUP(Table1[[#This Row],[OverTime]],Table16[OverTime],Table16[Id_OverTime])</f>
        <v>OT002</v>
      </c>
      <c r="AK813" t="s">
        <v>33</v>
      </c>
      <c r="AL813">
        <v>16</v>
      </c>
      <c r="AM813" t="str">
        <f>_xlfn.XLOOKUP(Table1[[#This Row],[PerformanceRating]],Table17[PerformanceRating],Table17[Id_PerformanceRating])</f>
        <v>PR003</v>
      </c>
      <c r="AN813">
        <v>3</v>
      </c>
      <c r="AO813" t="str">
        <f>_xlfn.XLOOKUP(Table1[[#This Row],[PerformanceRating]],Table17[PerformanceRating],Table17[Deskripsi])</f>
        <v>Excellent</v>
      </c>
      <c r="AP813" t="str">
        <f>_xlfn.XLOOKUP(Table1[[#This Row],[RelationshipSatisfaction]],Table18[RelationshipSatisfaction],Table18[Id_RelationshipSatisfaction])</f>
        <v>RS003</v>
      </c>
      <c r="AQ813">
        <v>3</v>
      </c>
      <c r="AR813" t="str">
        <f>_xlfn.XLOOKUP(Table1[[#This Row],[RelationshipSatisfaction]],Table18[RelationshipSatisfaction],Table18[Deskripsi])</f>
        <v>High</v>
      </c>
      <c r="AS813" t="str">
        <f>_xlfn.XLOOKUP(Table1[[#This Row],[StockOptionLevel]],Table19[StockOptionLevel],Table19[Id_StockOptionLevel])</f>
        <v>SOL001</v>
      </c>
      <c r="AT813">
        <v>0</v>
      </c>
      <c r="AU813" t="str">
        <f>_xlfn.XLOOKUP(Table1[[#This Row],[StockOptionLevel]],Table19[StockOptionLevel],Table19[Deskripsi])</f>
        <v>Non-Eligible</v>
      </c>
      <c r="AV813">
        <v>10</v>
      </c>
      <c r="AW813">
        <v>2</v>
      </c>
      <c r="AX813" t="str">
        <f>_xlfn.XLOOKUP(Table1[[#This Row],[WorkLifeBalance]],Table20[WorkLifeBalance],Table20[Id_WorkLifeBalance])</f>
        <v>WLB002</v>
      </c>
      <c r="AY813">
        <v>3</v>
      </c>
      <c r="AZ813" t="str">
        <f>_xlfn.XLOOKUP(Table1[[#This Row],[WorkLifeBalance]],Table20[WorkLifeBalance],Table20[Deskripsi])</f>
        <v>Good</v>
      </c>
      <c r="BA813">
        <v>1</v>
      </c>
      <c r="BB813">
        <v>0</v>
      </c>
      <c r="BC813">
        <v>0</v>
      </c>
      <c r="BD813">
        <v>0</v>
      </c>
    </row>
    <row r="814" spans="1:56" x14ac:dyDescent="0.25">
      <c r="A814">
        <v>43</v>
      </c>
      <c r="B814" t="str">
        <f>_xlfn.XLOOKUP(Table1[[#This Row],[Attrition]],Table2[Attrition],Table2[Id_Attrition])</f>
        <v>A002</v>
      </c>
      <c r="C814" t="s">
        <v>33</v>
      </c>
      <c r="D814" t="str">
        <f>_xlfn.XLOOKUP(Table1[[#This Row],[BusinessTravel]],Table5[BusinessTravel],Table5[Id_BusinessTravel])</f>
        <v>BS002</v>
      </c>
      <c r="E814" t="s">
        <v>35</v>
      </c>
      <c r="F814">
        <v>1082</v>
      </c>
      <c r="G814" t="str">
        <f>_xlfn.XLOOKUP(Table1[[#This Row],[Department]],Table6[Department],Table6[Id_Departement])</f>
        <v>D002</v>
      </c>
      <c r="H814" t="s">
        <v>38</v>
      </c>
      <c r="I814">
        <v>27</v>
      </c>
      <c r="J814" t="str">
        <f>_xlfn.XLOOKUP(Table1[[#This Row],[Education]],Table8[Education],Table8[Id_Education])</f>
        <v>E003</v>
      </c>
      <c r="K814">
        <v>3</v>
      </c>
      <c r="L814" t="str">
        <f>_xlfn.XLOOKUP(Table1[[#This Row],[EducationField]],Table7[EducationField],Table7[Id_EducationField])</f>
        <v>EF001</v>
      </c>
      <c r="M814" t="s">
        <v>40</v>
      </c>
      <c r="N814" t="str">
        <f>_xlfn.XLOOKUP(Table1[[#This Row],[EmployeeNumber]],Table4[EmployeeNumber],Table4[Id_Employee])</f>
        <v>EMP00813</v>
      </c>
      <c r="O814">
        <v>1126</v>
      </c>
      <c r="P814" t="str">
        <f>_xlfn.XLOOKUP(Table1[[#This Row],[EnvironmentSatisfaction]],Table9[EnvironmentSatisfaction],Table9[Id_EnviromentSatisfaction])</f>
        <v>ES003</v>
      </c>
      <c r="Q814">
        <v>3</v>
      </c>
      <c r="R814" t="str">
        <f>_xlfn.XLOOKUP(Table1[[#This Row],[EnvironmentSatisfaction]],Table9[EnvironmentSatisfaction],Table9[Deskripsi])</f>
        <v>High</v>
      </c>
      <c r="S814" t="str">
        <f>_xlfn.XLOOKUP(Table1[[#This Row],[Gender]],Table10[Gender],Table10[Id_Gender])</f>
        <v>G001</v>
      </c>
      <c r="T814" t="s">
        <v>45</v>
      </c>
      <c r="U814">
        <v>83</v>
      </c>
      <c r="V814" t="str">
        <f>_xlfn.XLOOKUP(Table1[[#This Row],[JobInvolvement]],Table11[JobInvolvement],Table11[Id_JobInvolvement])</f>
        <v>JI003</v>
      </c>
      <c r="W814">
        <v>3</v>
      </c>
      <c r="X814" t="str">
        <f>_xlfn.XLOOKUP(Table1[[#This Row],[JobLevel]],Table12[JobLevel],Table12[Id_JobLevel])</f>
        <v>JL003</v>
      </c>
      <c r="Y814">
        <v>3</v>
      </c>
      <c r="Z814" t="str">
        <f>_xlfn.XLOOKUP(Table1[[#This Row],[JobRole]],Table13[JobRole],Table13[Id_JobRole])</f>
        <v>JR004</v>
      </c>
      <c r="AA814" t="s">
        <v>50</v>
      </c>
      <c r="AB814" t="str">
        <f>_xlfn.XLOOKUP(Table1[[#This Row],[JobSatisfaction]],Table14[JobSatisfaction],Table14[Id_JobSatisfaction])</f>
        <v>JS001</v>
      </c>
      <c r="AC814">
        <v>1</v>
      </c>
      <c r="AD814" t="str">
        <f>_xlfn.XLOOKUP(Table1[[#This Row],[JobSatisfaction]],Table14[JobSatisfaction],Table14[Deskripsi])</f>
        <v>Low</v>
      </c>
      <c r="AE814" t="str">
        <f>_xlfn.XLOOKUP(Table1[[#This Row],[MaritalStatus]],Table15[MaritalStatus],Table15[Id_MaritalStatus])</f>
        <v>MS002</v>
      </c>
      <c r="AF814" t="s">
        <v>56</v>
      </c>
      <c r="AG814">
        <v>10820</v>
      </c>
      <c r="AH814">
        <v>11535</v>
      </c>
      <c r="AI814">
        <v>8</v>
      </c>
      <c r="AJ814" t="str">
        <f>_xlfn.XLOOKUP(Table1[[#This Row],[OverTime]],Table16[OverTime],Table16[Id_OverTime])</f>
        <v>OT002</v>
      </c>
      <c r="AK814" t="s">
        <v>33</v>
      </c>
      <c r="AL814">
        <v>11</v>
      </c>
      <c r="AM814" t="str">
        <f>_xlfn.XLOOKUP(Table1[[#This Row],[PerformanceRating]],Table17[PerformanceRating],Table17[Id_PerformanceRating])</f>
        <v>PR003</v>
      </c>
      <c r="AN814">
        <v>3</v>
      </c>
      <c r="AO814" t="str">
        <f>_xlfn.XLOOKUP(Table1[[#This Row],[PerformanceRating]],Table17[PerformanceRating],Table17[Deskripsi])</f>
        <v>Excellent</v>
      </c>
      <c r="AP814" t="str">
        <f>_xlfn.XLOOKUP(Table1[[#This Row],[RelationshipSatisfaction]],Table18[RelationshipSatisfaction],Table18[Id_RelationshipSatisfaction])</f>
        <v>RS003</v>
      </c>
      <c r="AQ814">
        <v>3</v>
      </c>
      <c r="AR814" t="str">
        <f>_xlfn.XLOOKUP(Table1[[#This Row],[RelationshipSatisfaction]],Table18[RelationshipSatisfaction],Table18[Deskripsi])</f>
        <v>High</v>
      </c>
      <c r="AS814" t="str">
        <f>_xlfn.XLOOKUP(Table1[[#This Row],[StockOptionLevel]],Table19[StockOptionLevel],Table19[Id_StockOptionLevel])</f>
        <v>SOL002</v>
      </c>
      <c r="AT814">
        <v>1</v>
      </c>
      <c r="AU814" t="str">
        <f>_xlfn.XLOOKUP(Table1[[#This Row],[StockOptionLevel]],Table19[StockOptionLevel],Table19[Deskripsi])</f>
        <v>Standard</v>
      </c>
      <c r="AV814">
        <v>18</v>
      </c>
      <c r="AW814">
        <v>1</v>
      </c>
      <c r="AX814" t="str">
        <f>_xlfn.XLOOKUP(Table1[[#This Row],[WorkLifeBalance]],Table20[WorkLifeBalance],Table20[Id_WorkLifeBalance])</f>
        <v>WLB002</v>
      </c>
      <c r="AY814">
        <v>3</v>
      </c>
      <c r="AZ814" t="str">
        <f>_xlfn.XLOOKUP(Table1[[#This Row],[WorkLifeBalance]],Table20[WorkLifeBalance],Table20[Deskripsi])</f>
        <v>Good</v>
      </c>
      <c r="BA814">
        <v>8</v>
      </c>
      <c r="BB814">
        <v>7</v>
      </c>
      <c r="BC814">
        <v>0</v>
      </c>
      <c r="BD814">
        <v>1</v>
      </c>
    </row>
    <row r="815" spans="1:56" x14ac:dyDescent="0.25">
      <c r="A815">
        <v>39</v>
      </c>
      <c r="B815" t="str">
        <f>_xlfn.XLOOKUP(Table1[[#This Row],[Attrition]],Table2[Attrition],Table2[Id_Attrition])</f>
        <v>A001</v>
      </c>
      <c r="C815" t="s">
        <v>32</v>
      </c>
      <c r="D815" t="str">
        <f>_xlfn.XLOOKUP(Table1[[#This Row],[BusinessTravel]],Table5[BusinessTravel],Table5[Id_BusinessTravel])</f>
        <v>BS002</v>
      </c>
      <c r="E815" t="s">
        <v>35</v>
      </c>
      <c r="F815">
        <v>203</v>
      </c>
      <c r="G815" t="str">
        <f>_xlfn.XLOOKUP(Table1[[#This Row],[Department]],Table6[Department],Table6[Id_Departement])</f>
        <v>D002</v>
      </c>
      <c r="H815" t="s">
        <v>38</v>
      </c>
      <c r="I815">
        <v>2</v>
      </c>
      <c r="J815" t="str">
        <f>_xlfn.XLOOKUP(Table1[[#This Row],[Education]],Table8[Education],Table8[Id_Education])</f>
        <v>E003</v>
      </c>
      <c r="K815">
        <v>3</v>
      </c>
      <c r="L815" t="str">
        <f>_xlfn.XLOOKUP(Table1[[#This Row],[EducationField]],Table7[EducationField],Table7[Id_EducationField])</f>
        <v>EF001</v>
      </c>
      <c r="M815" t="s">
        <v>40</v>
      </c>
      <c r="N815" t="str">
        <f>_xlfn.XLOOKUP(Table1[[#This Row],[EmployeeNumber]],Table4[EmployeeNumber],Table4[Id_Employee])</f>
        <v>EMP00814</v>
      </c>
      <c r="O815">
        <v>1127</v>
      </c>
      <c r="P815" t="str">
        <f>_xlfn.XLOOKUP(Table1[[#This Row],[EnvironmentSatisfaction]],Table9[EnvironmentSatisfaction],Table9[Id_EnviromentSatisfaction])</f>
        <v>ES001</v>
      </c>
      <c r="Q815">
        <v>1</v>
      </c>
      <c r="R815" t="str">
        <f>_xlfn.XLOOKUP(Table1[[#This Row],[EnvironmentSatisfaction]],Table9[EnvironmentSatisfaction],Table9[Deskripsi])</f>
        <v>Low</v>
      </c>
      <c r="S815" t="str">
        <f>_xlfn.XLOOKUP(Table1[[#This Row],[Gender]],Table10[Gender],Table10[Id_Gender])</f>
        <v>G002</v>
      </c>
      <c r="T815" t="s">
        <v>46</v>
      </c>
      <c r="U815">
        <v>84</v>
      </c>
      <c r="V815" t="str">
        <f>_xlfn.XLOOKUP(Table1[[#This Row],[JobInvolvement]],Table11[JobInvolvement],Table11[Id_JobInvolvement])</f>
        <v>JI003</v>
      </c>
      <c r="W815">
        <v>3</v>
      </c>
      <c r="X815" t="str">
        <f>_xlfn.XLOOKUP(Table1[[#This Row],[JobLevel]],Table12[JobLevel],Table12[Id_JobLevel])</f>
        <v>JL004</v>
      </c>
      <c r="Y815">
        <v>4</v>
      </c>
      <c r="Z815" t="str">
        <f>_xlfn.XLOOKUP(Table1[[#This Row],[JobRole]],Table13[JobRole],Table13[Id_JobRole])</f>
        <v>JR005</v>
      </c>
      <c r="AA815" t="s">
        <v>51</v>
      </c>
      <c r="AB815" t="str">
        <f>_xlfn.XLOOKUP(Table1[[#This Row],[JobSatisfaction]],Table14[JobSatisfaction],Table14[Id_JobSatisfaction])</f>
        <v>JS004</v>
      </c>
      <c r="AC815">
        <v>4</v>
      </c>
      <c r="AD815" t="str">
        <f>_xlfn.XLOOKUP(Table1[[#This Row],[JobSatisfaction]],Table14[JobSatisfaction],Table14[Deskripsi])</f>
        <v>Very High</v>
      </c>
      <c r="AE815" t="str">
        <f>_xlfn.XLOOKUP(Table1[[#This Row],[MaritalStatus]],Table15[MaritalStatus],Table15[Id_MaritalStatus])</f>
        <v>MS003</v>
      </c>
      <c r="AF815" t="s">
        <v>57</v>
      </c>
      <c r="AG815">
        <v>12169</v>
      </c>
      <c r="AH815">
        <v>13547</v>
      </c>
      <c r="AI815">
        <v>7</v>
      </c>
      <c r="AJ815" t="str">
        <f>_xlfn.XLOOKUP(Table1[[#This Row],[OverTime]],Table16[OverTime],Table16[Id_OverTime])</f>
        <v>OT002</v>
      </c>
      <c r="AK815" t="s">
        <v>33</v>
      </c>
      <c r="AL815">
        <v>11</v>
      </c>
      <c r="AM815" t="str">
        <f>_xlfn.XLOOKUP(Table1[[#This Row],[PerformanceRating]],Table17[PerformanceRating],Table17[Id_PerformanceRating])</f>
        <v>PR003</v>
      </c>
      <c r="AN815">
        <v>3</v>
      </c>
      <c r="AO815" t="str">
        <f>_xlfn.XLOOKUP(Table1[[#This Row],[PerformanceRating]],Table17[PerformanceRating],Table17[Deskripsi])</f>
        <v>Excellent</v>
      </c>
      <c r="AP815" t="str">
        <f>_xlfn.XLOOKUP(Table1[[#This Row],[RelationshipSatisfaction]],Table18[RelationshipSatisfaction],Table18[Id_RelationshipSatisfaction])</f>
        <v>RS004</v>
      </c>
      <c r="AQ815">
        <v>4</v>
      </c>
      <c r="AR815" t="str">
        <f>_xlfn.XLOOKUP(Table1[[#This Row],[RelationshipSatisfaction]],Table18[RelationshipSatisfaction],Table18[Deskripsi])</f>
        <v>Very High</v>
      </c>
      <c r="AS815" t="str">
        <f>_xlfn.XLOOKUP(Table1[[#This Row],[StockOptionLevel]],Table19[StockOptionLevel],Table19[Id_StockOptionLevel])</f>
        <v>SOL004</v>
      </c>
      <c r="AT815">
        <v>3</v>
      </c>
      <c r="AU815" t="str">
        <f>_xlfn.XLOOKUP(Table1[[#This Row],[StockOptionLevel]],Table19[StockOptionLevel],Table19[Deskripsi])</f>
        <v>Senior/Executive</v>
      </c>
      <c r="AV815">
        <v>21</v>
      </c>
      <c r="AW815">
        <v>4</v>
      </c>
      <c r="AX815" t="str">
        <f>_xlfn.XLOOKUP(Table1[[#This Row],[WorkLifeBalance]],Table20[WorkLifeBalance],Table20[Id_WorkLifeBalance])</f>
        <v>WLB002</v>
      </c>
      <c r="AY815">
        <v>3</v>
      </c>
      <c r="AZ815" t="str">
        <f>_xlfn.XLOOKUP(Table1[[#This Row],[WorkLifeBalance]],Table20[WorkLifeBalance],Table20[Deskripsi])</f>
        <v>Good</v>
      </c>
      <c r="BA815">
        <v>18</v>
      </c>
      <c r="BB815">
        <v>7</v>
      </c>
      <c r="BC815">
        <v>11</v>
      </c>
      <c r="BD815">
        <v>5</v>
      </c>
    </row>
    <row r="816" spans="1:56" x14ac:dyDescent="0.25">
      <c r="A816">
        <v>40</v>
      </c>
      <c r="B816" t="str">
        <f>_xlfn.XLOOKUP(Table1[[#This Row],[Attrition]],Table2[Attrition],Table2[Id_Attrition])</f>
        <v>A002</v>
      </c>
      <c r="C816" t="s">
        <v>33</v>
      </c>
      <c r="D816" t="str">
        <f>_xlfn.XLOOKUP(Table1[[#This Row],[BusinessTravel]],Table5[BusinessTravel],Table5[Id_BusinessTravel])</f>
        <v>BS001</v>
      </c>
      <c r="E816" t="s">
        <v>34</v>
      </c>
      <c r="F816">
        <v>1308</v>
      </c>
      <c r="G816" t="str">
        <f>_xlfn.XLOOKUP(Table1[[#This Row],[Department]],Table6[Department],Table6[Id_Departement])</f>
        <v>D002</v>
      </c>
      <c r="H816" t="s">
        <v>38</v>
      </c>
      <c r="I816">
        <v>14</v>
      </c>
      <c r="J816" t="str">
        <f>_xlfn.XLOOKUP(Table1[[#This Row],[Education]],Table8[Education],Table8[Id_Education])</f>
        <v>E003</v>
      </c>
      <c r="K816">
        <v>3</v>
      </c>
      <c r="L816" t="str">
        <f>_xlfn.XLOOKUP(Table1[[#This Row],[EducationField]],Table7[EducationField],Table7[Id_EducationField])</f>
        <v>EF003</v>
      </c>
      <c r="M816" t="s">
        <v>42</v>
      </c>
      <c r="N816" t="str">
        <f>_xlfn.XLOOKUP(Table1[[#This Row],[EmployeeNumber]],Table4[EmployeeNumber],Table4[Id_Employee])</f>
        <v>EMP00815</v>
      </c>
      <c r="O816">
        <v>1128</v>
      </c>
      <c r="P816" t="str">
        <f>_xlfn.XLOOKUP(Table1[[#This Row],[EnvironmentSatisfaction]],Table9[EnvironmentSatisfaction],Table9[Id_EnviromentSatisfaction])</f>
        <v>ES003</v>
      </c>
      <c r="Q816">
        <v>3</v>
      </c>
      <c r="R816" t="str">
        <f>_xlfn.XLOOKUP(Table1[[#This Row],[EnvironmentSatisfaction]],Table9[EnvironmentSatisfaction],Table9[Deskripsi])</f>
        <v>High</v>
      </c>
      <c r="S816" t="str">
        <f>_xlfn.XLOOKUP(Table1[[#This Row],[Gender]],Table10[Gender],Table10[Id_Gender])</f>
        <v>G002</v>
      </c>
      <c r="T816" t="s">
        <v>46</v>
      </c>
      <c r="U816">
        <v>44</v>
      </c>
      <c r="V816" t="str">
        <f>_xlfn.XLOOKUP(Table1[[#This Row],[JobInvolvement]],Table11[JobInvolvement],Table11[Id_JobInvolvement])</f>
        <v>JI002</v>
      </c>
      <c r="W816">
        <v>2</v>
      </c>
      <c r="X816" t="str">
        <f>_xlfn.XLOOKUP(Table1[[#This Row],[JobLevel]],Table12[JobLevel],Table12[Id_JobLevel])</f>
        <v>JL005</v>
      </c>
      <c r="Y816">
        <v>5</v>
      </c>
      <c r="Z816" t="str">
        <f>_xlfn.XLOOKUP(Table1[[#This Row],[JobRole]],Table13[JobRole],Table13[Id_JobRole])</f>
        <v>JR008</v>
      </c>
      <c r="AA816" t="s">
        <v>54</v>
      </c>
      <c r="AB816" t="str">
        <f>_xlfn.XLOOKUP(Table1[[#This Row],[JobSatisfaction]],Table14[JobSatisfaction],Table14[Id_JobSatisfaction])</f>
        <v>JS003</v>
      </c>
      <c r="AC816">
        <v>3</v>
      </c>
      <c r="AD816" t="str">
        <f>_xlfn.XLOOKUP(Table1[[#This Row],[JobSatisfaction]],Table14[JobSatisfaction],Table14[Deskripsi])</f>
        <v>High</v>
      </c>
      <c r="AE816" t="str">
        <f>_xlfn.XLOOKUP(Table1[[#This Row],[MaritalStatus]],Table15[MaritalStatus],Table15[Id_MaritalStatus])</f>
        <v>MS001</v>
      </c>
      <c r="AF816" t="s">
        <v>55</v>
      </c>
      <c r="AG816">
        <v>19626</v>
      </c>
      <c r="AH816">
        <v>17544</v>
      </c>
      <c r="AI816">
        <v>1</v>
      </c>
      <c r="AJ816" t="str">
        <f>_xlfn.XLOOKUP(Table1[[#This Row],[OverTime]],Table16[OverTime],Table16[Id_OverTime])</f>
        <v>OT002</v>
      </c>
      <c r="AK816" t="s">
        <v>33</v>
      </c>
      <c r="AL816">
        <v>14</v>
      </c>
      <c r="AM816" t="str">
        <f>_xlfn.XLOOKUP(Table1[[#This Row],[PerformanceRating]],Table17[PerformanceRating],Table17[Id_PerformanceRating])</f>
        <v>PR003</v>
      </c>
      <c r="AN816">
        <v>3</v>
      </c>
      <c r="AO816" t="str">
        <f>_xlfn.XLOOKUP(Table1[[#This Row],[PerformanceRating]],Table17[PerformanceRating],Table17[Deskripsi])</f>
        <v>Excellent</v>
      </c>
      <c r="AP816" t="str">
        <f>_xlfn.XLOOKUP(Table1[[#This Row],[RelationshipSatisfaction]],Table18[RelationshipSatisfaction],Table18[Id_RelationshipSatisfaction])</f>
        <v>RS001</v>
      </c>
      <c r="AQ816">
        <v>1</v>
      </c>
      <c r="AR816" t="str">
        <f>_xlfn.XLOOKUP(Table1[[#This Row],[RelationshipSatisfaction]],Table18[RelationshipSatisfaction],Table18[Deskripsi])</f>
        <v>Low</v>
      </c>
      <c r="AS816" t="str">
        <f>_xlfn.XLOOKUP(Table1[[#This Row],[StockOptionLevel]],Table19[StockOptionLevel],Table19[Id_StockOptionLevel])</f>
        <v>SOL001</v>
      </c>
      <c r="AT816">
        <v>0</v>
      </c>
      <c r="AU816" t="str">
        <f>_xlfn.XLOOKUP(Table1[[#This Row],[StockOptionLevel]],Table19[StockOptionLevel],Table19[Deskripsi])</f>
        <v>Non-Eligible</v>
      </c>
      <c r="AV816">
        <v>21</v>
      </c>
      <c r="AW816">
        <v>2</v>
      </c>
      <c r="AX816" t="str">
        <f>_xlfn.XLOOKUP(Table1[[#This Row],[WorkLifeBalance]],Table20[WorkLifeBalance],Table20[Id_WorkLifeBalance])</f>
        <v>WLB004</v>
      </c>
      <c r="AY816">
        <v>4</v>
      </c>
      <c r="AZ816" t="str">
        <f>_xlfn.XLOOKUP(Table1[[#This Row],[WorkLifeBalance]],Table20[WorkLifeBalance],Table20[Deskripsi])</f>
        <v>Best</v>
      </c>
      <c r="BA816">
        <v>20</v>
      </c>
      <c r="BB816">
        <v>7</v>
      </c>
      <c r="BC816">
        <v>4</v>
      </c>
      <c r="BD816">
        <v>9</v>
      </c>
    </row>
    <row r="817" spans="1:56" x14ac:dyDescent="0.25">
      <c r="A817">
        <v>21</v>
      </c>
      <c r="B817" t="str">
        <f>_xlfn.XLOOKUP(Table1[[#This Row],[Attrition]],Table2[Attrition],Table2[Id_Attrition])</f>
        <v>A002</v>
      </c>
      <c r="C817" t="s">
        <v>33</v>
      </c>
      <c r="D817" t="str">
        <f>_xlfn.XLOOKUP(Table1[[#This Row],[BusinessTravel]],Table5[BusinessTravel],Table5[Id_BusinessTravel])</f>
        <v>BS001</v>
      </c>
      <c r="E817" t="s">
        <v>34</v>
      </c>
      <c r="F817">
        <v>984</v>
      </c>
      <c r="G817" t="str">
        <f>_xlfn.XLOOKUP(Table1[[#This Row],[Department]],Table6[Department],Table6[Id_Departement])</f>
        <v>D002</v>
      </c>
      <c r="H817" t="s">
        <v>38</v>
      </c>
      <c r="I817">
        <v>1</v>
      </c>
      <c r="J817" t="str">
        <f>_xlfn.XLOOKUP(Table1[[#This Row],[Education]],Table8[Education],Table8[Id_Education])</f>
        <v>E001</v>
      </c>
      <c r="K817">
        <v>1</v>
      </c>
      <c r="L817" t="str">
        <f>_xlfn.XLOOKUP(Table1[[#This Row],[EducationField]],Table7[EducationField],Table7[Id_EducationField])</f>
        <v>EF005</v>
      </c>
      <c r="M817" t="s">
        <v>44</v>
      </c>
      <c r="N817" t="str">
        <f>_xlfn.XLOOKUP(Table1[[#This Row],[EmployeeNumber]],Table4[EmployeeNumber],Table4[Id_Employee])</f>
        <v>EMP00816</v>
      </c>
      <c r="O817">
        <v>1131</v>
      </c>
      <c r="P817" t="str">
        <f>_xlfn.XLOOKUP(Table1[[#This Row],[EnvironmentSatisfaction]],Table9[EnvironmentSatisfaction],Table9[Id_EnviromentSatisfaction])</f>
        <v>ES004</v>
      </c>
      <c r="Q817">
        <v>4</v>
      </c>
      <c r="R817" t="str">
        <f>_xlfn.XLOOKUP(Table1[[#This Row],[EnvironmentSatisfaction]],Table9[EnvironmentSatisfaction],Table9[Deskripsi])</f>
        <v>Very High</v>
      </c>
      <c r="S817" t="str">
        <f>_xlfn.XLOOKUP(Table1[[#This Row],[Gender]],Table10[Gender],Table10[Id_Gender])</f>
        <v>G001</v>
      </c>
      <c r="T817" t="s">
        <v>45</v>
      </c>
      <c r="U817">
        <v>70</v>
      </c>
      <c r="V817" t="str">
        <f>_xlfn.XLOOKUP(Table1[[#This Row],[JobInvolvement]],Table11[JobInvolvement],Table11[Id_JobInvolvement])</f>
        <v>JI002</v>
      </c>
      <c r="W817">
        <v>2</v>
      </c>
      <c r="X817" t="str">
        <f>_xlfn.XLOOKUP(Table1[[#This Row],[JobLevel]],Table12[JobLevel],Table12[Id_JobLevel])</f>
        <v>JL001</v>
      </c>
      <c r="Y817">
        <v>1</v>
      </c>
      <c r="Z817" t="str">
        <f>_xlfn.XLOOKUP(Table1[[#This Row],[JobRole]],Table13[JobRole],Table13[Id_JobRole])</f>
        <v>JR002</v>
      </c>
      <c r="AA817" t="s">
        <v>48</v>
      </c>
      <c r="AB817" t="str">
        <f>_xlfn.XLOOKUP(Table1[[#This Row],[JobSatisfaction]],Table14[JobSatisfaction],Table14[Id_JobSatisfaction])</f>
        <v>JS002</v>
      </c>
      <c r="AC817">
        <v>2</v>
      </c>
      <c r="AD817" t="str">
        <f>_xlfn.XLOOKUP(Table1[[#This Row],[JobSatisfaction]],Table14[JobSatisfaction],Table14[Deskripsi])</f>
        <v>Medium</v>
      </c>
      <c r="AE817" t="str">
        <f>_xlfn.XLOOKUP(Table1[[#This Row],[MaritalStatus]],Table15[MaritalStatus],Table15[Id_MaritalStatus])</f>
        <v>MS001</v>
      </c>
      <c r="AF817" t="s">
        <v>55</v>
      </c>
      <c r="AG817">
        <v>2070</v>
      </c>
      <c r="AH817">
        <v>25326</v>
      </c>
      <c r="AI817">
        <v>1</v>
      </c>
      <c r="AJ817" t="str">
        <f>_xlfn.XLOOKUP(Table1[[#This Row],[OverTime]],Table16[OverTime],Table16[Id_OverTime])</f>
        <v>OT001</v>
      </c>
      <c r="AK817" t="s">
        <v>32</v>
      </c>
      <c r="AL817">
        <v>11</v>
      </c>
      <c r="AM817" t="str">
        <f>_xlfn.XLOOKUP(Table1[[#This Row],[PerformanceRating]],Table17[PerformanceRating],Table17[Id_PerformanceRating])</f>
        <v>PR003</v>
      </c>
      <c r="AN817">
        <v>3</v>
      </c>
      <c r="AO817" t="str">
        <f>_xlfn.XLOOKUP(Table1[[#This Row],[PerformanceRating]],Table17[PerformanceRating],Table17[Deskripsi])</f>
        <v>Excellent</v>
      </c>
      <c r="AP817" t="str">
        <f>_xlfn.XLOOKUP(Table1[[#This Row],[RelationshipSatisfaction]],Table18[RelationshipSatisfaction],Table18[Id_RelationshipSatisfaction])</f>
        <v>RS003</v>
      </c>
      <c r="AQ817">
        <v>3</v>
      </c>
      <c r="AR817" t="str">
        <f>_xlfn.XLOOKUP(Table1[[#This Row],[RelationshipSatisfaction]],Table18[RelationshipSatisfaction],Table18[Deskripsi])</f>
        <v>High</v>
      </c>
      <c r="AS817" t="str">
        <f>_xlfn.XLOOKUP(Table1[[#This Row],[StockOptionLevel]],Table19[StockOptionLevel],Table19[Id_StockOptionLevel])</f>
        <v>SOL001</v>
      </c>
      <c r="AT817">
        <v>0</v>
      </c>
      <c r="AU817" t="str">
        <f>_xlfn.XLOOKUP(Table1[[#This Row],[StockOptionLevel]],Table19[StockOptionLevel],Table19[Deskripsi])</f>
        <v>Non-Eligible</v>
      </c>
      <c r="AV817">
        <v>2</v>
      </c>
      <c r="AW817">
        <v>6</v>
      </c>
      <c r="AX817" t="str">
        <f>_xlfn.XLOOKUP(Table1[[#This Row],[WorkLifeBalance]],Table20[WorkLifeBalance],Table20[Id_WorkLifeBalance])</f>
        <v>WLB004</v>
      </c>
      <c r="AY817">
        <v>4</v>
      </c>
      <c r="AZ817" t="str">
        <f>_xlfn.XLOOKUP(Table1[[#This Row],[WorkLifeBalance]],Table20[WorkLifeBalance],Table20[Deskripsi])</f>
        <v>Best</v>
      </c>
      <c r="BA817">
        <v>2</v>
      </c>
      <c r="BB817">
        <v>2</v>
      </c>
      <c r="BC817">
        <v>2</v>
      </c>
      <c r="BD817">
        <v>2</v>
      </c>
    </row>
    <row r="818" spans="1:56" x14ac:dyDescent="0.25">
      <c r="A818">
        <v>39</v>
      </c>
      <c r="B818" t="str">
        <f>_xlfn.XLOOKUP(Table1[[#This Row],[Attrition]],Table2[Attrition],Table2[Id_Attrition])</f>
        <v>A002</v>
      </c>
      <c r="C818" t="s">
        <v>33</v>
      </c>
      <c r="D818" t="str">
        <f>_xlfn.XLOOKUP(Table1[[#This Row],[BusinessTravel]],Table5[BusinessTravel],Table5[Id_BusinessTravel])</f>
        <v>BS003</v>
      </c>
      <c r="E818" t="s">
        <v>36</v>
      </c>
      <c r="F818">
        <v>439</v>
      </c>
      <c r="G818" t="str">
        <f>_xlfn.XLOOKUP(Table1[[#This Row],[Department]],Table6[Department],Table6[Id_Departement])</f>
        <v>D002</v>
      </c>
      <c r="H818" t="s">
        <v>38</v>
      </c>
      <c r="I818">
        <v>9</v>
      </c>
      <c r="J818" t="str">
        <f>_xlfn.XLOOKUP(Table1[[#This Row],[Education]],Table8[Education],Table8[Id_Education])</f>
        <v>E003</v>
      </c>
      <c r="K818">
        <v>3</v>
      </c>
      <c r="L818" t="str">
        <f>_xlfn.XLOOKUP(Table1[[#This Row],[EducationField]],Table7[EducationField],Table7[Id_EducationField])</f>
        <v>EF001</v>
      </c>
      <c r="M818" t="s">
        <v>40</v>
      </c>
      <c r="N818" t="str">
        <f>_xlfn.XLOOKUP(Table1[[#This Row],[EmployeeNumber]],Table4[EmployeeNumber],Table4[Id_Employee])</f>
        <v>EMP00817</v>
      </c>
      <c r="O818">
        <v>1132</v>
      </c>
      <c r="P818" t="str">
        <f>_xlfn.XLOOKUP(Table1[[#This Row],[EnvironmentSatisfaction]],Table9[EnvironmentSatisfaction],Table9[Id_EnviromentSatisfaction])</f>
        <v>ES003</v>
      </c>
      <c r="Q818">
        <v>3</v>
      </c>
      <c r="R818" t="str">
        <f>_xlfn.XLOOKUP(Table1[[#This Row],[EnvironmentSatisfaction]],Table9[EnvironmentSatisfaction],Table9[Deskripsi])</f>
        <v>High</v>
      </c>
      <c r="S818" t="str">
        <f>_xlfn.XLOOKUP(Table1[[#This Row],[Gender]],Table10[Gender],Table10[Id_Gender])</f>
        <v>G002</v>
      </c>
      <c r="T818" t="s">
        <v>46</v>
      </c>
      <c r="U818">
        <v>70</v>
      </c>
      <c r="V818" t="str">
        <f>_xlfn.XLOOKUP(Table1[[#This Row],[JobInvolvement]],Table11[JobInvolvement],Table11[Id_JobInvolvement])</f>
        <v>JI003</v>
      </c>
      <c r="W818">
        <v>3</v>
      </c>
      <c r="X818" t="str">
        <f>_xlfn.XLOOKUP(Table1[[#This Row],[JobLevel]],Table12[JobLevel],Table12[Id_JobLevel])</f>
        <v>JL002</v>
      </c>
      <c r="Y818">
        <v>2</v>
      </c>
      <c r="Z818" t="str">
        <f>_xlfn.XLOOKUP(Table1[[#This Row],[JobRole]],Table13[JobRole],Table13[Id_JobRole])</f>
        <v>JR003</v>
      </c>
      <c r="AA818" t="s">
        <v>49</v>
      </c>
      <c r="AB818" t="str">
        <f>_xlfn.XLOOKUP(Table1[[#This Row],[JobSatisfaction]],Table14[JobSatisfaction],Table14[Id_JobSatisfaction])</f>
        <v>JS002</v>
      </c>
      <c r="AC818">
        <v>2</v>
      </c>
      <c r="AD818" t="str">
        <f>_xlfn.XLOOKUP(Table1[[#This Row],[JobSatisfaction]],Table14[JobSatisfaction],Table14[Deskripsi])</f>
        <v>Medium</v>
      </c>
      <c r="AE818" t="str">
        <f>_xlfn.XLOOKUP(Table1[[#This Row],[MaritalStatus]],Table15[MaritalStatus],Table15[Id_MaritalStatus])</f>
        <v>MS001</v>
      </c>
      <c r="AF818" t="s">
        <v>55</v>
      </c>
      <c r="AG818">
        <v>6782</v>
      </c>
      <c r="AH818">
        <v>8770</v>
      </c>
      <c r="AI818">
        <v>9</v>
      </c>
      <c r="AJ818" t="str">
        <f>_xlfn.XLOOKUP(Table1[[#This Row],[OverTime]],Table16[OverTime],Table16[Id_OverTime])</f>
        <v>OT002</v>
      </c>
      <c r="AK818" t="s">
        <v>33</v>
      </c>
      <c r="AL818">
        <v>15</v>
      </c>
      <c r="AM818" t="str">
        <f>_xlfn.XLOOKUP(Table1[[#This Row],[PerformanceRating]],Table17[PerformanceRating],Table17[Id_PerformanceRating])</f>
        <v>PR003</v>
      </c>
      <c r="AN818">
        <v>3</v>
      </c>
      <c r="AO818" t="str">
        <f>_xlfn.XLOOKUP(Table1[[#This Row],[PerformanceRating]],Table17[PerformanceRating],Table17[Deskripsi])</f>
        <v>Excellent</v>
      </c>
      <c r="AP818" t="str">
        <f>_xlfn.XLOOKUP(Table1[[#This Row],[RelationshipSatisfaction]],Table18[RelationshipSatisfaction],Table18[Id_RelationshipSatisfaction])</f>
        <v>RS003</v>
      </c>
      <c r="AQ818">
        <v>3</v>
      </c>
      <c r="AR818" t="str">
        <f>_xlfn.XLOOKUP(Table1[[#This Row],[RelationshipSatisfaction]],Table18[RelationshipSatisfaction],Table18[Deskripsi])</f>
        <v>High</v>
      </c>
      <c r="AS818" t="str">
        <f>_xlfn.XLOOKUP(Table1[[#This Row],[StockOptionLevel]],Table19[StockOptionLevel],Table19[Id_StockOptionLevel])</f>
        <v>SOL001</v>
      </c>
      <c r="AT818">
        <v>0</v>
      </c>
      <c r="AU818" t="str">
        <f>_xlfn.XLOOKUP(Table1[[#This Row],[StockOptionLevel]],Table19[StockOptionLevel],Table19[Deskripsi])</f>
        <v>Non-Eligible</v>
      </c>
      <c r="AV818">
        <v>9</v>
      </c>
      <c r="AW818">
        <v>2</v>
      </c>
      <c r="AX818" t="str">
        <f>_xlfn.XLOOKUP(Table1[[#This Row],[WorkLifeBalance]],Table20[WorkLifeBalance],Table20[Id_WorkLifeBalance])</f>
        <v>WLB003</v>
      </c>
      <c r="AY818">
        <v>2</v>
      </c>
      <c r="AZ818" t="str">
        <f>_xlfn.XLOOKUP(Table1[[#This Row],[WorkLifeBalance]],Table20[WorkLifeBalance],Table20[Deskripsi])</f>
        <v>Better</v>
      </c>
      <c r="BA818">
        <v>5</v>
      </c>
      <c r="BB818">
        <v>4</v>
      </c>
      <c r="BC818">
        <v>0</v>
      </c>
      <c r="BD818">
        <v>3</v>
      </c>
    </row>
    <row r="819" spans="1:56" x14ac:dyDescent="0.25">
      <c r="A819">
        <v>36</v>
      </c>
      <c r="B819" t="str">
        <f>_xlfn.XLOOKUP(Table1[[#This Row],[Attrition]],Table2[Attrition],Table2[Id_Attrition])</f>
        <v>A002</v>
      </c>
      <c r="C819" t="s">
        <v>33</v>
      </c>
      <c r="D819" t="str">
        <f>_xlfn.XLOOKUP(Table1[[#This Row],[BusinessTravel]],Table5[BusinessTravel],Table5[Id_BusinessTravel])</f>
        <v>BS003</v>
      </c>
      <c r="E819" t="s">
        <v>36</v>
      </c>
      <c r="F819">
        <v>217</v>
      </c>
      <c r="G819" t="str">
        <f>_xlfn.XLOOKUP(Table1[[#This Row],[Department]],Table6[Department],Table6[Id_Departement])</f>
        <v>D002</v>
      </c>
      <c r="H819" t="s">
        <v>38</v>
      </c>
      <c r="I819">
        <v>18</v>
      </c>
      <c r="J819" t="str">
        <f>_xlfn.XLOOKUP(Table1[[#This Row],[Education]],Table8[Education],Table8[Id_Education])</f>
        <v>E004</v>
      </c>
      <c r="K819">
        <v>4</v>
      </c>
      <c r="L819" t="str">
        <f>_xlfn.XLOOKUP(Table1[[#This Row],[EducationField]],Table7[EducationField],Table7[Id_EducationField])</f>
        <v>EF001</v>
      </c>
      <c r="M819" t="s">
        <v>40</v>
      </c>
      <c r="N819" t="str">
        <f>_xlfn.XLOOKUP(Table1[[#This Row],[EmployeeNumber]],Table4[EmployeeNumber],Table4[Id_Employee])</f>
        <v>EMP00818</v>
      </c>
      <c r="O819">
        <v>1133</v>
      </c>
      <c r="P819" t="str">
        <f>_xlfn.XLOOKUP(Table1[[#This Row],[EnvironmentSatisfaction]],Table9[EnvironmentSatisfaction],Table9[Id_EnviromentSatisfaction])</f>
        <v>ES001</v>
      </c>
      <c r="Q819">
        <v>1</v>
      </c>
      <c r="R819" t="str">
        <f>_xlfn.XLOOKUP(Table1[[#This Row],[EnvironmentSatisfaction]],Table9[EnvironmentSatisfaction],Table9[Deskripsi])</f>
        <v>Low</v>
      </c>
      <c r="S819" t="str">
        <f>_xlfn.XLOOKUP(Table1[[#This Row],[Gender]],Table10[Gender],Table10[Id_Gender])</f>
        <v>G002</v>
      </c>
      <c r="T819" t="s">
        <v>46</v>
      </c>
      <c r="U819">
        <v>78</v>
      </c>
      <c r="V819" t="str">
        <f>_xlfn.XLOOKUP(Table1[[#This Row],[JobInvolvement]],Table11[JobInvolvement],Table11[Id_JobInvolvement])</f>
        <v>JI003</v>
      </c>
      <c r="W819">
        <v>3</v>
      </c>
      <c r="X819" t="str">
        <f>_xlfn.XLOOKUP(Table1[[#This Row],[JobLevel]],Table12[JobLevel],Table12[Id_JobLevel])</f>
        <v>JL002</v>
      </c>
      <c r="Y819">
        <v>2</v>
      </c>
      <c r="Z819" t="str">
        <f>_xlfn.XLOOKUP(Table1[[#This Row],[JobRole]],Table13[JobRole],Table13[Id_JobRole])</f>
        <v>JR004</v>
      </c>
      <c r="AA819" t="s">
        <v>50</v>
      </c>
      <c r="AB819" t="str">
        <f>_xlfn.XLOOKUP(Table1[[#This Row],[JobSatisfaction]],Table14[JobSatisfaction],Table14[Id_JobSatisfaction])</f>
        <v>JS004</v>
      </c>
      <c r="AC819">
        <v>4</v>
      </c>
      <c r="AD819" t="str">
        <f>_xlfn.XLOOKUP(Table1[[#This Row],[JobSatisfaction]],Table14[JobSatisfaction],Table14[Deskripsi])</f>
        <v>Very High</v>
      </c>
      <c r="AE819" t="str">
        <f>_xlfn.XLOOKUP(Table1[[#This Row],[MaritalStatus]],Table15[MaritalStatus],Table15[Id_MaritalStatus])</f>
        <v>MS001</v>
      </c>
      <c r="AF819" t="s">
        <v>55</v>
      </c>
      <c r="AG819">
        <v>7779</v>
      </c>
      <c r="AH819">
        <v>23238</v>
      </c>
      <c r="AI819">
        <v>2</v>
      </c>
      <c r="AJ819" t="str">
        <f>_xlfn.XLOOKUP(Table1[[#This Row],[OverTime]],Table16[OverTime],Table16[Id_OverTime])</f>
        <v>OT002</v>
      </c>
      <c r="AK819" t="s">
        <v>33</v>
      </c>
      <c r="AL819">
        <v>20</v>
      </c>
      <c r="AM819" t="str">
        <f>_xlfn.XLOOKUP(Table1[[#This Row],[PerformanceRating]],Table17[PerformanceRating],Table17[Id_PerformanceRating])</f>
        <v>PR004</v>
      </c>
      <c r="AN819">
        <v>4</v>
      </c>
      <c r="AO819" t="str">
        <f>_xlfn.XLOOKUP(Table1[[#This Row],[PerformanceRating]],Table17[PerformanceRating],Table17[Deskripsi])</f>
        <v>Outstanding</v>
      </c>
      <c r="AP819" t="str">
        <f>_xlfn.XLOOKUP(Table1[[#This Row],[RelationshipSatisfaction]],Table18[RelationshipSatisfaction],Table18[Id_RelationshipSatisfaction])</f>
        <v>RS001</v>
      </c>
      <c r="AQ819">
        <v>1</v>
      </c>
      <c r="AR819" t="str">
        <f>_xlfn.XLOOKUP(Table1[[#This Row],[RelationshipSatisfaction]],Table18[RelationshipSatisfaction],Table18[Deskripsi])</f>
        <v>Low</v>
      </c>
      <c r="AS819" t="str">
        <f>_xlfn.XLOOKUP(Table1[[#This Row],[StockOptionLevel]],Table19[StockOptionLevel],Table19[Id_StockOptionLevel])</f>
        <v>SOL001</v>
      </c>
      <c r="AT819">
        <v>0</v>
      </c>
      <c r="AU819" t="str">
        <f>_xlfn.XLOOKUP(Table1[[#This Row],[StockOptionLevel]],Table19[StockOptionLevel],Table19[Deskripsi])</f>
        <v>Non-Eligible</v>
      </c>
      <c r="AV819">
        <v>18</v>
      </c>
      <c r="AW819">
        <v>0</v>
      </c>
      <c r="AX819" t="str">
        <f>_xlfn.XLOOKUP(Table1[[#This Row],[WorkLifeBalance]],Table20[WorkLifeBalance],Table20[Id_WorkLifeBalance])</f>
        <v>WLB002</v>
      </c>
      <c r="AY819">
        <v>3</v>
      </c>
      <c r="AZ819" t="str">
        <f>_xlfn.XLOOKUP(Table1[[#This Row],[WorkLifeBalance]],Table20[WorkLifeBalance],Table20[Deskripsi])</f>
        <v>Good</v>
      </c>
      <c r="BA819">
        <v>11</v>
      </c>
      <c r="BB819">
        <v>9</v>
      </c>
      <c r="BC819">
        <v>0</v>
      </c>
      <c r="BD819">
        <v>9</v>
      </c>
    </row>
    <row r="820" spans="1:56" x14ac:dyDescent="0.25">
      <c r="A820">
        <v>31</v>
      </c>
      <c r="B820" t="str">
        <f>_xlfn.XLOOKUP(Table1[[#This Row],[Attrition]],Table2[Attrition],Table2[Id_Attrition])</f>
        <v>A002</v>
      </c>
      <c r="C820" t="s">
        <v>33</v>
      </c>
      <c r="D820" t="str">
        <f>_xlfn.XLOOKUP(Table1[[#This Row],[BusinessTravel]],Table5[BusinessTravel],Table5[Id_BusinessTravel])</f>
        <v>BS002</v>
      </c>
      <c r="E820" t="s">
        <v>35</v>
      </c>
      <c r="F820">
        <v>793</v>
      </c>
      <c r="G820" t="str">
        <f>_xlfn.XLOOKUP(Table1[[#This Row],[Department]],Table6[Department],Table6[Id_Departement])</f>
        <v>D001</v>
      </c>
      <c r="H820" t="s">
        <v>37</v>
      </c>
      <c r="I820">
        <v>20</v>
      </c>
      <c r="J820" t="str">
        <f>_xlfn.XLOOKUP(Table1[[#This Row],[Education]],Table8[Education],Table8[Id_Education])</f>
        <v>E003</v>
      </c>
      <c r="K820">
        <v>3</v>
      </c>
      <c r="L820" t="str">
        <f>_xlfn.XLOOKUP(Table1[[#This Row],[EducationField]],Table7[EducationField],Table7[Id_EducationField])</f>
        <v>EF001</v>
      </c>
      <c r="M820" t="s">
        <v>40</v>
      </c>
      <c r="N820" t="str">
        <f>_xlfn.XLOOKUP(Table1[[#This Row],[EmployeeNumber]],Table4[EmployeeNumber],Table4[Id_Employee])</f>
        <v>EMP00819</v>
      </c>
      <c r="O820">
        <v>1135</v>
      </c>
      <c r="P820" t="str">
        <f>_xlfn.XLOOKUP(Table1[[#This Row],[EnvironmentSatisfaction]],Table9[EnvironmentSatisfaction],Table9[Id_EnviromentSatisfaction])</f>
        <v>ES003</v>
      </c>
      <c r="Q820">
        <v>3</v>
      </c>
      <c r="R820" t="str">
        <f>_xlfn.XLOOKUP(Table1[[#This Row],[EnvironmentSatisfaction]],Table9[EnvironmentSatisfaction],Table9[Deskripsi])</f>
        <v>High</v>
      </c>
      <c r="S820" t="str">
        <f>_xlfn.XLOOKUP(Table1[[#This Row],[Gender]],Table10[Gender],Table10[Id_Gender])</f>
        <v>G002</v>
      </c>
      <c r="T820" t="s">
        <v>46</v>
      </c>
      <c r="U820">
        <v>67</v>
      </c>
      <c r="V820" t="str">
        <f>_xlfn.XLOOKUP(Table1[[#This Row],[JobInvolvement]],Table11[JobInvolvement],Table11[Id_JobInvolvement])</f>
        <v>JI004</v>
      </c>
      <c r="W820">
        <v>4</v>
      </c>
      <c r="X820" t="str">
        <f>_xlfn.XLOOKUP(Table1[[#This Row],[JobLevel]],Table12[JobLevel],Table12[Id_JobLevel])</f>
        <v>JL001</v>
      </c>
      <c r="Y820">
        <v>1</v>
      </c>
      <c r="Z820" t="str">
        <f>_xlfn.XLOOKUP(Table1[[#This Row],[JobRole]],Table13[JobRole],Table13[Id_JobRole])</f>
        <v>JR007</v>
      </c>
      <c r="AA820" t="s">
        <v>53</v>
      </c>
      <c r="AB820" t="str">
        <f>_xlfn.XLOOKUP(Table1[[#This Row],[JobSatisfaction]],Table14[JobSatisfaction],Table14[Id_JobSatisfaction])</f>
        <v>JS004</v>
      </c>
      <c r="AC820">
        <v>4</v>
      </c>
      <c r="AD820" t="str">
        <f>_xlfn.XLOOKUP(Table1[[#This Row],[JobSatisfaction]],Table14[JobSatisfaction],Table14[Deskripsi])</f>
        <v>Very High</v>
      </c>
      <c r="AE820" t="str">
        <f>_xlfn.XLOOKUP(Table1[[#This Row],[MaritalStatus]],Table15[MaritalStatus],Table15[Id_MaritalStatus])</f>
        <v>MS002</v>
      </c>
      <c r="AF820" t="s">
        <v>56</v>
      </c>
      <c r="AG820">
        <v>2791</v>
      </c>
      <c r="AH820">
        <v>21981</v>
      </c>
      <c r="AI820">
        <v>0</v>
      </c>
      <c r="AJ820" t="str">
        <f>_xlfn.XLOOKUP(Table1[[#This Row],[OverTime]],Table16[OverTime],Table16[Id_OverTime])</f>
        <v>OT002</v>
      </c>
      <c r="AK820" t="s">
        <v>33</v>
      </c>
      <c r="AL820">
        <v>12</v>
      </c>
      <c r="AM820" t="str">
        <f>_xlfn.XLOOKUP(Table1[[#This Row],[PerformanceRating]],Table17[PerformanceRating],Table17[Id_PerformanceRating])</f>
        <v>PR003</v>
      </c>
      <c r="AN820">
        <v>3</v>
      </c>
      <c r="AO820" t="str">
        <f>_xlfn.XLOOKUP(Table1[[#This Row],[PerformanceRating]],Table17[PerformanceRating],Table17[Deskripsi])</f>
        <v>Excellent</v>
      </c>
      <c r="AP820" t="str">
        <f>_xlfn.XLOOKUP(Table1[[#This Row],[RelationshipSatisfaction]],Table18[RelationshipSatisfaction],Table18[Id_RelationshipSatisfaction])</f>
        <v>RS001</v>
      </c>
      <c r="AQ820">
        <v>1</v>
      </c>
      <c r="AR820" t="str">
        <f>_xlfn.XLOOKUP(Table1[[#This Row],[RelationshipSatisfaction]],Table18[RelationshipSatisfaction],Table18[Deskripsi])</f>
        <v>Low</v>
      </c>
      <c r="AS820" t="str">
        <f>_xlfn.XLOOKUP(Table1[[#This Row],[StockOptionLevel]],Table19[StockOptionLevel],Table19[Id_StockOptionLevel])</f>
        <v>SOL002</v>
      </c>
      <c r="AT820">
        <v>1</v>
      </c>
      <c r="AU820" t="str">
        <f>_xlfn.XLOOKUP(Table1[[#This Row],[StockOptionLevel]],Table19[StockOptionLevel],Table19[Deskripsi])</f>
        <v>Standard</v>
      </c>
      <c r="AV820">
        <v>3</v>
      </c>
      <c r="AW820">
        <v>4</v>
      </c>
      <c r="AX820" t="str">
        <f>_xlfn.XLOOKUP(Table1[[#This Row],[WorkLifeBalance]],Table20[WorkLifeBalance],Table20[Id_WorkLifeBalance])</f>
        <v>WLB002</v>
      </c>
      <c r="AY820">
        <v>3</v>
      </c>
      <c r="AZ820" t="str">
        <f>_xlfn.XLOOKUP(Table1[[#This Row],[WorkLifeBalance]],Table20[WorkLifeBalance],Table20[Deskripsi])</f>
        <v>Good</v>
      </c>
      <c r="BA820">
        <v>2</v>
      </c>
      <c r="BB820">
        <v>2</v>
      </c>
      <c r="BC820">
        <v>2</v>
      </c>
      <c r="BD820">
        <v>2</v>
      </c>
    </row>
    <row r="821" spans="1:56" x14ac:dyDescent="0.25">
      <c r="A821">
        <v>28</v>
      </c>
      <c r="B821" t="str">
        <f>_xlfn.XLOOKUP(Table1[[#This Row],[Attrition]],Table2[Attrition],Table2[Id_Attrition])</f>
        <v>A002</v>
      </c>
      <c r="C821" t="s">
        <v>33</v>
      </c>
      <c r="D821" t="str">
        <f>_xlfn.XLOOKUP(Table1[[#This Row],[BusinessTravel]],Table5[BusinessTravel],Table5[Id_BusinessTravel])</f>
        <v>BS001</v>
      </c>
      <c r="E821" t="s">
        <v>34</v>
      </c>
      <c r="F821">
        <v>1451</v>
      </c>
      <c r="G821" t="str">
        <f>_xlfn.XLOOKUP(Table1[[#This Row],[Department]],Table6[Department],Table6[Id_Departement])</f>
        <v>D002</v>
      </c>
      <c r="H821" t="s">
        <v>38</v>
      </c>
      <c r="I821">
        <v>2</v>
      </c>
      <c r="J821" t="str">
        <f>_xlfn.XLOOKUP(Table1[[#This Row],[Education]],Table8[Education],Table8[Id_Education])</f>
        <v>E001</v>
      </c>
      <c r="K821">
        <v>1</v>
      </c>
      <c r="L821" t="str">
        <f>_xlfn.XLOOKUP(Table1[[#This Row],[EducationField]],Table7[EducationField],Table7[Id_EducationField])</f>
        <v>EF001</v>
      </c>
      <c r="M821" t="s">
        <v>40</v>
      </c>
      <c r="N821" t="str">
        <f>_xlfn.XLOOKUP(Table1[[#This Row],[EmployeeNumber]],Table4[EmployeeNumber],Table4[Id_Employee])</f>
        <v>EMP00820</v>
      </c>
      <c r="O821">
        <v>1136</v>
      </c>
      <c r="P821" t="str">
        <f>_xlfn.XLOOKUP(Table1[[#This Row],[EnvironmentSatisfaction]],Table9[EnvironmentSatisfaction],Table9[Id_EnviromentSatisfaction])</f>
        <v>ES001</v>
      </c>
      <c r="Q821">
        <v>1</v>
      </c>
      <c r="R821" t="str">
        <f>_xlfn.XLOOKUP(Table1[[#This Row],[EnvironmentSatisfaction]],Table9[EnvironmentSatisfaction],Table9[Deskripsi])</f>
        <v>Low</v>
      </c>
      <c r="S821" t="str">
        <f>_xlfn.XLOOKUP(Table1[[#This Row],[Gender]],Table10[Gender],Table10[Id_Gender])</f>
        <v>G002</v>
      </c>
      <c r="T821" t="s">
        <v>46</v>
      </c>
      <c r="U821">
        <v>67</v>
      </c>
      <c r="V821" t="str">
        <f>_xlfn.XLOOKUP(Table1[[#This Row],[JobInvolvement]],Table11[JobInvolvement],Table11[Id_JobInvolvement])</f>
        <v>JI002</v>
      </c>
      <c r="W821">
        <v>2</v>
      </c>
      <c r="X821" t="str">
        <f>_xlfn.XLOOKUP(Table1[[#This Row],[JobLevel]],Table12[JobLevel],Table12[Id_JobLevel])</f>
        <v>JL001</v>
      </c>
      <c r="Y821">
        <v>1</v>
      </c>
      <c r="Z821" t="str">
        <f>_xlfn.XLOOKUP(Table1[[#This Row],[JobRole]],Table13[JobRole],Table13[Id_JobRole])</f>
        <v>JR002</v>
      </c>
      <c r="AA821" t="s">
        <v>48</v>
      </c>
      <c r="AB821" t="str">
        <f>_xlfn.XLOOKUP(Table1[[#This Row],[JobSatisfaction]],Table14[JobSatisfaction],Table14[Id_JobSatisfaction])</f>
        <v>JS002</v>
      </c>
      <c r="AC821">
        <v>2</v>
      </c>
      <c r="AD821" t="str">
        <f>_xlfn.XLOOKUP(Table1[[#This Row],[JobSatisfaction]],Table14[JobSatisfaction],Table14[Deskripsi])</f>
        <v>Medium</v>
      </c>
      <c r="AE821" t="str">
        <f>_xlfn.XLOOKUP(Table1[[#This Row],[MaritalStatus]],Table15[MaritalStatus],Table15[Id_MaritalStatus])</f>
        <v>MS002</v>
      </c>
      <c r="AF821" t="s">
        <v>56</v>
      </c>
      <c r="AG821">
        <v>3201</v>
      </c>
      <c r="AH821">
        <v>19911</v>
      </c>
      <c r="AI821">
        <v>0</v>
      </c>
      <c r="AJ821" t="str">
        <f>_xlfn.XLOOKUP(Table1[[#This Row],[OverTime]],Table16[OverTime],Table16[Id_OverTime])</f>
        <v>OT002</v>
      </c>
      <c r="AK821" t="s">
        <v>33</v>
      </c>
      <c r="AL821">
        <v>17</v>
      </c>
      <c r="AM821" t="str">
        <f>_xlfn.XLOOKUP(Table1[[#This Row],[PerformanceRating]],Table17[PerformanceRating],Table17[Id_PerformanceRating])</f>
        <v>PR003</v>
      </c>
      <c r="AN821">
        <v>3</v>
      </c>
      <c r="AO821" t="str">
        <f>_xlfn.XLOOKUP(Table1[[#This Row],[PerformanceRating]],Table17[PerformanceRating],Table17[Deskripsi])</f>
        <v>Excellent</v>
      </c>
      <c r="AP821" t="str">
        <f>_xlfn.XLOOKUP(Table1[[#This Row],[RelationshipSatisfaction]],Table18[RelationshipSatisfaction],Table18[Id_RelationshipSatisfaction])</f>
        <v>RS001</v>
      </c>
      <c r="AQ821">
        <v>1</v>
      </c>
      <c r="AR821" t="str">
        <f>_xlfn.XLOOKUP(Table1[[#This Row],[RelationshipSatisfaction]],Table18[RelationshipSatisfaction],Table18[Deskripsi])</f>
        <v>Low</v>
      </c>
      <c r="AS821" t="str">
        <f>_xlfn.XLOOKUP(Table1[[#This Row],[StockOptionLevel]],Table19[StockOptionLevel],Table19[Id_StockOptionLevel])</f>
        <v>SOL001</v>
      </c>
      <c r="AT821">
        <v>0</v>
      </c>
      <c r="AU821" t="str">
        <f>_xlfn.XLOOKUP(Table1[[#This Row],[StockOptionLevel]],Table19[StockOptionLevel],Table19[Deskripsi])</f>
        <v>Non-Eligible</v>
      </c>
      <c r="AV821">
        <v>6</v>
      </c>
      <c r="AW821">
        <v>2</v>
      </c>
      <c r="AX821" t="str">
        <f>_xlfn.XLOOKUP(Table1[[#This Row],[WorkLifeBalance]],Table20[WorkLifeBalance],Table20[Id_WorkLifeBalance])</f>
        <v>WLB001</v>
      </c>
      <c r="AY821">
        <v>1</v>
      </c>
      <c r="AZ821" t="str">
        <f>_xlfn.XLOOKUP(Table1[[#This Row],[WorkLifeBalance]],Table20[WorkLifeBalance],Table20[Deskripsi])</f>
        <v>Bad</v>
      </c>
      <c r="BA821">
        <v>5</v>
      </c>
      <c r="BB821">
        <v>3</v>
      </c>
      <c r="BC821">
        <v>0</v>
      </c>
      <c r="BD821">
        <v>4</v>
      </c>
    </row>
    <row r="822" spans="1:56" x14ac:dyDescent="0.25">
      <c r="A822">
        <v>35</v>
      </c>
      <c r="B822" t="str">
        <f>_xlfn.XLOOKUP(Table1[[#This Row],[Attrition]],Table2[Attrition],Table2[Id_Attrition])</f>
        <v>A002</v>
      </c>
      <c r="C822" t="s">
        <v>33</v>
      </c>
      <c r="D822" t="str">
        <f>_xlfn.XLOOKUP(Table1[[#This Row],[BusinessTravel]],Table5[BusinessTravel],Table5[Id_BusinessTravel])</f>
        <v>BS002</v>
      </c>
      <c r="E822" t="s">
        <v>35</v>
      </c>
      <c r="F822">
        <v>1182</v>
      </c>
      <c r="G822" t="str">
        <f>_xlfn.XLOOKUP(Table1[[#This Row],[Department]],Table6[Department],Table6[Id_Departement])</f>
        <v>D001</v>
      </c>
      <c r="H822" t="s">
        <v>37</v>
      </c>
      <c r="I822">
        <v>11</v>
      </c>
      <c r="J822" t="str">
        <f>_xlfn.XLOOKUP(Table1[[#This Row],[Education]],Table8[Education],Table8[Id_Education])</f>
        <v>E002</v>
      </c>
      <c r="K822">
        <v>2</v>
      </c>
      <c r="L822" t="str">
        <f>_xlfn.XLOOKUP(Table1[[#This Row],[EducationField]],Table7[EducationField],Table7[Id_EducationField])</f>
        <v>EF004</v>
      </c>
      <c r="M822" t="s">
        <v>43</v>
      </c>
      <c r="N822" t="str">
        <f>_xlfn.XLOOKUP(Table1[[#This Row],[EmployeeNumber]],Table4[EmployeeNumber],Table4[Id_Employee])</f>
        <v>EMP00821</v>
      </c>
      <c r="O822">
        <v>1137</v>
      </c>
      <c r="P822" t="str">
        <f>_xlfn.XLOOKUP(Table1[[#This Row],[EnvironmentSatisfaction]],Table9[EnvironmentSatisfaction],Table9[Id_EnviromentSatisfaction])</f>
        <v>ES004</v>
      </c>
      <c r="Q822">
        <v>4</v>
      </c>
      <c r="R822" t="str">
        <f>_xlfn.XLOOKUP(Table1[[#This Row],[EnvironmentSatisfaction]],Table9[EnvironmentSatisfaction],Table9[Deskripsi])</f>
        <v>Very High</v>
      </c>
      <c r="S822" t="str">
        <f>_xlfn.XLOOKUP(Table1[[#This Row],[Gender]],Table10[Gender],Table10[Id_Gender])</f>
        <v>G002</v>
      </c>
      <c r="T822" t="s">
        <v>46</v>
      </c>
      <c r="U822">
        <v>54</v>
      </c>
      <c r="V822" t="str">
        <f>_xlfn.XLOOKUP(Table1[[#This Row],[JobInvolvement]],Table11[JobInvolvement],Table11[Id_JobInvolvement])</f>
        <v>JI003</v>
      </c>
      <c r="W822">
        <v>3</v>
      </c>
      <c r="X822" t="str">
        <f>_xlfn.XLOOKUP(Table1[[#This Row],[JobLevel]],Table12[JobLevel],Table12[Id_JobLevel])</f>
        <v>JL002</v>
      </c>
      <c r="Y822">
        <v>2</v>
      </c>
      <c r="Z822" t="str">
        <f>_xlfn.XLOOKUP(Table1[[#This Row],[JobRole]],Table13[JobRole],Table13[Id_JobRole])</f>
        <v>JR001</v>
      </c>
      <c r="AA822" t="s">
        <v>47</v>
      </c>
      <c r="AB822" t="str">
        <f>_xlfn.XLOOKUP(Table1[[#This Row],[JobSatisfaction]],Table14[JobSatisfaction],Table14[Id_JobSatisfaction])</f>
        <v>JS004</v>
      </c>
      <c r="AC822">
        <v>4</v>
      </c>
      <c r="AD822" t="str">
        <f>_xlfn.XLOOKUP(Table1[[#This Row],[JobSatisfaction]],Table14[JobSatisfaction],Table14[Deskripsi])</f>
        <v>Very High</v>
      </c>
      <c r="AE822" t="str">
        <f>_xlfn.XLOOKUP(Table1[[#This Row],[MaritalStatus]],Table15[MaritalStatus],Table15[Id_MaritalStatus])</f>
        <v>MS003</v>
      </c>
      <c r="AF822" t="s">
        <v>57</v>
      </c>
      <c r="AG822">
        <v>4968</v>
      </c>
      <c r="AH822">
        <v>18500</v>
      </c>
      <c r="AI822">
        <v>1</v>
      </c>
      <c r="AJ822" t="str">
        <f>_xlfn.XLOOKUP(Table1[[#This Row],[OverTime]],Table16[OverTime],Table16[Id_OverTime])</f>
        <v>OT002</v>
      </c>
      <c r="AK822" t="s">
        <v>33</v>
      </c>
      <c r="AL822">
        <v>11</v>
      </c>
      <c r="AM822" t="str">
        <f>_xlfn.XLOOKUP(Table1[[#This Row],[PerformanceRating]],Table17[PerformanceRating],Table17[Id_PerformanceRating])</f>
        <v>PR003</v>
      </c>
      <c r="AN822">
        <v>3</v>
      </c>
      <c r="AO822" t="str">
        <f>_xlfn.XLOOKUP(Table1[[#This Row],[PerformanceRating]],Table17[PerformanceRating],Table17[Deskripsi])</f>
        <v>Excellent</v>
      </c>
      <c r="AP822" t="str">
        <f>_xlfn.XLOOKUP(Table1[[#This Row],[RelationshipSatisfaction]],Table18[RelationshipSatisfaction],Table18[Id_RelationshipSatisfaction])</f>
        <v>RS004</v>
      </c>
      <c r="AQ822">
        <v>4</v>
      </c>
      <c r="AR822" t="str">
        <f>_xlfn.XLOOKUP(Table1[[#This Row],[RelationshipSatisfaction]],Table18[RelationshipSatisfaction],Table18[Deskripsi])</f>
        <v>Very High</v>
      </c>
      <c r="AS822" t="str">
        <f>_xlfn.XLOOKUP(Table1[[#This Row],[StockOptionLevel]],Table19[StockOptionLevel],Table19[Id_StockOptionLevel])</f>
        <v>SOL002</v>
      </c>
      <c r="AT822">
        <v>1</v>
      </c>
      <c r="AU822" t="str">
        <f>_xlfn.XLOOKUP(Table1[[#This Row],[StockOptionLevel]],Table19[StockOptionLevel],Table19[Deskripsi])</f>
        <v>Standard</v>
      </c>
      <c r="AV822">
        <v>5</v>
      </c>
      <c r="AW822">
        <v>3</v>
      </c>
      <c r="AX822" t="str">
        <f>_xlfn.XLOOKUP(Table1[[#This Row],[WorkLifeBalance]],Table20[WorkLifeBalance],Table20[Id_WorkLifeBalance])</f>
        <v>WLB002</v>
      </c>
      <c r="AY822">
        <v>3</v>
      </c>
      <c r="AZ822" t="str">
        <f>_xlfn.XLOOKUP(Table1[[#This Row],[WorkLifeBalance]],Table20[WorkLifeBalance],Table20[Deskripsi])</f>
        <v>Good</v>
      </c>
      <c r="BA822">
        <v>5</v>
      </c>
      <c r="BB822">
        <v>2</v>
      </c>
      <c r="BC822">
        <v>0</v>
      </c>
      <c r="BD822">
        <v>2</v>
      </c>
    </row>
    <row r="823" spans="1:56" x14ac:dyDescent="0.25">
      <c r="A823">
        <v>49</v>
      </c>
      <c r="B823" t="str">
        <f>_xlfn.XLOOKUP(Table1[[#This Row],[Attrition]],Table2[Attrition],Table2[Id_Attrition])</f>
        <v>A002</v>
      </c>
      <c r="C823" t="s">
        <v>33</v>
      </c>
      <c r="D823" t="str">
        <f>_xlfn.XLOOKUP(Table1[[#This Row],[BusinessTravel]],Table5[BusinessTravel],Table5[Id_BusinessTravel])</f>
        <v>BS001</v>
      </c>
      <c r="E823" t="s">
        <v>34</v>
      </c>
      <c r="F823">
        <v>174</v>
      </c>
      <c r="G823" t="str">
        <f>_xlfn.XLOOKUP(Table1[[#This Row],[Department]],Table6[Department],Table6[Id_Departement])</f>
        <v>D001</v>
      </c>
      <c r="H823" t="s">
        <v>37</v>
      </c>
      <c r="I823">
        <v>8</v>
      </c>
      <c r="J823" t="str">
        <f>_xlfn.XLOOKUP(Table1[[#This Row],[Education]],Table8[Education],Table8[Id_Education])</f>
        <v>E004</v>
      </c>
      <c r="K823">
        <v>4</v>
      </c>
      <c r="L823" t="str">
        <f>_xlfn.XLOOKUP(Table1[[#This Row],[EducationField]],Table7[EducationField],Table7[Id_EducationField])</f>
        <v>EF005</v>
      </c>
      <c r="M823" t="s">
        <v>44</v>
      </c>
      <c r="N823" t="str">
        <f>_xlfn.XLOOKUP(Table1[[#This Row],[EmployeeNumber]],Table4[EmployeeNumber],Table4[Id_Employee])</f>
        <v>EMP00822</v>
      </c>
      <c r="O823">
        <v>1138</v>
      </c>
      <c r="P823" t="str">
        <f>_xlfn.XLOOKUP(Table1[[#This Row],[EnvironmentSatisfaction]],Table9[EnvironmentSatisfaction],Table9[Id_EnviromentSatisfaction])</f>
        <v>ES004</v>
      </c>
      <c r="Q823">
        <v>4</v>
      </c>
      <c r="R823" t="str">
        <f>_xlfn.XLOOKUP(Table1[[#This Row],[EnvironmentSatisfaction]],Table9[EnvironmentSatisfaction],Table9[Deskripsi])</f>
        <v>Very High</v>
      </c>
      <c r="S823" t="str">
        <f>_xlfn.XLOOKUP(Table1[[#This Row],[Gender]],Table10[Gender],Table10[Id_Gender])</f>
        <v>G002</v>
      </c>
      <c r="T823" t="s">
        <v>46</v>
      </c>
      <c r="U823">
        <v>56</v>
      </c>
      <c r="V823" t="str">
        <f>_xlfn.XLOOKUP(Table1[[#This Row],[JobInvolvement]],Table11[JobInvolvement],Table11[Id_JobInvolvement])</f>
        <v>JI002</v>
      </c>
      <c r="W823">
        <v>2</v>
      </c>
      <c r="X823" t="str">
        <f>_xlfn.XLOOKUP(Table1[[#This Row],[JobLevel]],Table12[JobLevel],Table12[Id_JobLevel])</f>
        <v>JL004</v>
      </c>
      <c r="Y823">
        <v>4</v>
      </c>
      <c r="Z823" t="str">
        <f>_xlfn.XLOOKUP(Table1[[#This Row],[JobRole]],Table13[JobRole],Table13[Id_JobRole])</f>
        <v>JR001</v>
      </c>
      <c r="AA823" t="s">
        <v>47</v>
      </c>
      <c r="AB823" t="str">
        <f>_xlfn.XLOOKUP(Table1[[#This Row],[JobSatisfaction]],Table14[JobSatisfaction],Table14[Id_JobSatisfaction])</f>
        <v>JS002</v>
      </c>
      <c r="AC823">
        <v>2</v>
      </c>
      <c r="AD823" t="str">
        <f>_xlfn.XLOOKUP(Table1[[#This Row],[JobSatisfaction]],Table14[JobSatisfaction],Table14[Deskripsi])</f>
        <v>Medium</v>
      </c>
      <c r="AE823" t="str">
        <f>_xlfn.XLOOKUP(Table1[[#This Row],[MaritalStatus]],Table15[MaritalStatus],Table15[Id_MaritalStatus])</f>
        <v>MS002</v>
      </c>
      <c r="AF823" t="s">
        <v>56</v>
      </c>
      <c r="AG823">
        <v>13120</v>
      </c>
      <c r="AH823">
        <v>11879</v>
      </c>
      <c r="AI823">
        <v>6</v>
      </c>
      <c r="AJ823" t="str">
        <f>_xlfn.XLOOKUP(Table1[[#This Row],[OverTime]],Table16[OverTime],Table16[Id_OverTime])</f>
        <v>OT002</v>
      </c>
      <c r="AK823" t="s">
        <v>33</v>
      </c>
      <c r="AL823">
        <v>17</v>
      </c>
      <c r="AM823" t="str">
        <f>_xlfn.XLOOKUP(Table1[[#This Row],[PerformanceRating]],Table17[PerformanceRating],Table17[Id_PerformanceRating])</f>
        <v>PR003</v>
      </c>
      <c r="AN823">
        <v>3</v>
      </c>
      <c r="AO823" t="str">
        <f>_xlfn.XLOOKUP(Table1[[#This Row],[PerformanceRating]],Table17[PerformanceRating],Table17[Deskripsi])</f>
        <v>Excellent</v>
      </c>
      <c r="AP823" t="str">
        <f>_xlfn.XLOOKUP(Table1[[#This Row],[RelationshipSatisfaction]],Table18[RelationshipSatisfaction],Table18[Id_RelationshipSatisfaction])</f>
        <v>RS002</v>
      </c>
      <c r="AQ823">
        <v>2</v>
      </c>
      <c r="AR823" t="str">
        <f>_xlfn.XLOOKUP(Table1[[#This Row],[RelationshipSatisfaction]],Table18[RelationshipSatisfaction],Table18[Deskripsi])</f>
        <v>Medium</v>
      </c>
      <c r="AS823" t="str">
        <f>_xlfn.XLOOKUP(Table1[[#This Row],[StockOptionLevel]],Table19[StockOptionLevel],Table19[Id_StockOptionLevel])</f>
        <v>SOL002</v>
      </c>
      <c r="AT823">
        <v>1</v>
      </c>
      <c r="AU823" t="str">
        <f>_xlfn.XLOOKUP(Table1[[#This Row],[StockOptionLevel]],Table19[StockOptionLevel],Table19[Deskripsi])</f>
        <v>Standard</v>
      </c>
      <c r="AV823">
        <v>22</v>
      </c>
      <c r="AW823">
        <v>3</v>
      </c>
      <c r="AX823" t="str">
        <f>_xlfn.XLOOKUP(Table1[[#This Row],[WorkLifeBalance]],Table20[WorkLifeBalance],Table20[Id_WorkLifeBalance])</f>
        <v>WLB002</v>
      </c>
      <c r="AY823">
        <v>3</v>
      </c>
      <c r="AZ823" t="str">
        <f>_xlfn.XLOOKUP(Table1[[#This Row],[WorkLifeBalance]],Table20[WorkLifeBalance],Table20[Deskripsi])</f>
        <v>Good</v>
      </c>
      <c r="BA823">
        <v>9</v>
      </c>
      <c r="BB823">
        <v>8</v>
      </c>
      <c r="BC823">
        <v>2</v>
      </c>
      <c r="BD823">
        <v>3</v>
      </c>
    </row>
    <row r="824" spans="1:56" x14ac:dyDescent="0.25">
      <c r="A824">
        <v>34</v>
      </c>
      <c r="B824" t="str">
        <f>_xlfn.XLOOKUP(Table1[[#This Row],[Attrition]],Table2[Attrition],Table2[Id_Attrition])</f>
        <v>A002</v>
      </c>
      <c r="C824" t="s">
        <v>33</v>
      </c>
      <c r="D824" t="str">
        <f>_xlfn.XLOOKUP(Table1[[#This Row],[BusinessTravel]],Table5[BusinessTravel],Table5[Id_BusinessTravel])</f>
        <v>BS002</v>
      </c>
      <c r="E824" t="s">
        <v>35</v>
      </c>
      <c r="F824">
        <v>1003</v>
      </c>
      <c r="G824" t="str">
        <f>_xlfn.XLOOKUP(Table1[[#This Row],[Department]],Table6[Department],Table6[Id_Departement])</f>
        <v>D002</v>
      </c>
      <c r="H824" t="s">
        <v>38</v>
      </c>
      <c r="I824">
        <v>2</v>
      </c>
      <c r="J824" t="str">
        <f>_xlfn.XLOOKUP(Table1[[#This Row],[Education]],Table8[Education],Table8[Id_Education])</f>
        <v>E002</v>
      </c>
      <c r="K824">
        <v>2</v>
      </c>
      <c r="L824" t="str">
        <f>_xlfn.XLOOKUP(Table1[[#This Row],[EducationField]],Table7[EducationField],Table7[Id_EducationField])</f>
        <v>EF001</v>
      </c>
      <c r="M824" t="s">
        <v>40</v>
      </c>
      <c r="N824" t="str">
        <f>_xlfn.XLOOKUP(Table1[[#This Row],[EmployeeNumber]],Table4[EmployeeNumber],Table4[Id_Employee])</f>
        <v>EMP00823</v>
      </c>
      <c r="O824">
        <v>1140</v>
      </c>
      <c r="P824" t="str">
        <f>_xlfn.XLOOKUP(Table1[[#This Row],[EnvironmentSatisfaction]],Table9[EnvironmentSatisfaction],Table9[Id_EnviromentSatisfaction])</f>
        <v>ES004</v>
      </c>
      <c r="Q824">
        <v>4</v>
      </c>
      <c r="R824" t="str">
        <f>_xlfn.XLOOKUP(Table1[[#This Row],[EnvironmentSatisfaction]],Table9[EnvironmentSatisfaction],Table9[Deskripsi])</f>
        <v>Very High</v>
      </c>
      <c r="S824" t="str">
        <f>_xlfn.XLOOKUP(Table1[[#This Row],[Gender]],Table10[Gender],Table10[Id_Gender])</f>
        <v>G002</v>
      </c>
      <c r="T824" t="s">
        <v>46</v>
      </c>
      <c r="U824">
        <v>95</v>
      </c>
      <c r="V824" t="str">
        <f>_xlfn.XLOOKUP(Table1[[#This Row],[JobInvolvement]],Table11[JobInvolvement],Table11[Id_JobInvolvement])</f>
        <v>JI003</v>
      </c>
      <c r="W824">
        <v>3</v>
      </c>
      <c r="X824" t="str">
        <f>_xlfn.XLOOKUP(Table1[[#This Row],[JobLevel]],Table12[JobLevel],Table12[Id_JobLevel])</f>
        <v>JL002</v>
      </c>
      <c r="Y824">
        <v>2</v>
      </c>
      <c r="Z824" t="str">
        <f>_xlfn.XLOOKUP(Table1[[#This Row],[JobRole]],Table13[JobRole],Table13[Id_JobRole])</f>
        <v>JR004</v>
      </c>
      <c r="AA824" t="s">
        <v>50</v>
      </c>
      <c r="AB824" t="str">
        <f>_xlfn.XLOOKUP(Table1[[#This Row],[JobSatisfaction]],Table14[JobSatisfaction],Table14[Id_JobSatisfaction])</f>
        <v>JS003</v>
      </c>
      <c r="AC824">
        <v>3</v>
      </c>
      <c r="AD824" t="str">
        <f>_xlfn.XLOOKUP(Table1[[#This Row],[JobSatisfaction]],Table14[JobSatisfaction],Table14[Deskripsi])</f>
        <v>High</v>
      </c>
      <c r="AE824" t="str">
        <f>_xlfn.XLOOKUP(Table1[[#This Row],[MaritalStatus]],Table15[MaritalStatus],Table15[Id_MaritalStatus])</f>
        <v>MS001</v>
      </c>
      <c r="AF824" t="s">
        <v>55</v>
      </c>
      <c r="AG824">
        <v>4033</v>
      </c>
      <c r="AH824">
        <v>15834</v>
      </c>
      <c r="AI824">
        <v>2</v>
      </c>
      <c r="AJ824" t="str">
        <f>_xlfn.XLOOKUP(Table1[[#This Row],[OverTime]],Table16[OverTime],Table16[Id_OverTime])</f>
        <v>OT002</v>
      </c>
      <c r="AK824" t="s">
        <v>33</v>
      </c>
      <c r="AL824">
        <v>11</v>
      </c>
      <c r="AM824" t="str">
        <f>_xlfn.XLOOKUP(Table1[[#This Row],[PerformanceRating]],Table17[PerformanceRating],Table17[Id_PerformanceRating])</f>
        <v>PR003</v>
      </c>
      <c r="AN824">
        <v>3</v>
      </c>
      <c r="AO824" t="str">
        <f>_xlfn.XLOOKUP(Table1[[#This Row],[PerformanceRating]],Table17[PerformanceRating],Table17[Deskripsi])</f>
        <v>Excellent</v>
      </c>
      <c r="AP824" t="str">
        <f>_xlfn.XLOOKUP(Table1[[#This Row],[RelationshipSatisfaction]],Table18[RelationshipSatisfaction],Table18[Id_RelationshipSatisfaction])</f>
        <v>RS004</v>
      </c>
      <c r="AQ824">
        <v>4</v>
      </c>
      <c r="AR824" t="str">
        <f>_xlfn.XLOOKUP(Table1[[#This Row],[RelationshipSatisfaction]],Table18[RelationshipSatisfaction],Table18[Deskripsi])</f>
        <v>Very High</v>
      </c>
      <c r="AS824" t="str">
        <f>_xlfn.XLOOKUP(Table1[[#This Row],[StockOptionLevel]],Table19[StockOptionLevel],Table19[Id_StockOptionLevel])</f>
        <v>SOL001</v>
      </c>
      <c r="AT824">
        <v>0</v>
      </c>
      <c r="AU824" t="str">
        <f>_xlfn.XLOOKUP(Table1[[#This Row],[StockOptionLevel]],Table19[StockOptionLevel],Table19[Deskripsi])</f>
        <v>Non-Eligible</v>
      </c>
      <c r="AV824">
        <v>5</v>
      </c>
      <c r="AW824">
        <v>3</v>
      </c>
      <c r="AX824" t="str">
        <f>_xlfn.XLOOKUP(Table1[[#This Row],[WorkLifeBalance]],Table20[WorkLifeBalance],Table20[Id_WorkLifeBalance])</f>
        <v>WLB003</v>
      </c>
      <c r="AY824">
        <v>2</v>
      </c>
      <c r="AZ824" t="str">
        <f>_xlfn.XLOOKUP(Table1[[#This Row],[WorkLifeBalance]],Table20[WorkLifeBalance],Table20[Deskripsi])</f>
        <v>Better</v>
      </c>
      <c r="BA824">
        <v>3</v>
      </c>
      <c r="BB824">
        <v>2</v>
      </c>
      <c r="BC824">
        <v>0</v>
      </c>
      <c r="BD824">
        <v>2</v>
      </c>
    </row>
    <row r="825" spans="1:56" x14ac:dyDescent="0.25">
      <c r="A825">
        <v>29</v>
      </c>
      <c r="B825" t="str">
        <f>_xlfn.XLOOKUP(Table1[[#This Row],[Attrition]],Table2[Attrition],Table2[Id_Attrition])</f>
        <v>A002</v>
      </c>
      <c r="C825" t="s">
        <v>33</v>
      </c>
      <c r="D825" t="str">
        <f>_xlfn.XLOOKUP(Table1[[#This Row],[BusinessTravel]],Table5[BusinessTravel],Table5[Id_BusinessTravel])</f>
        <v>BS002</v>
      </c>
      <c r="E825" t="s">
        <v>35</v>
      </c>
      <c r="F825">
        <v>490</v>
      </c>
      <c r="G825" t="str">
        <f>_xlfn.XLOOKUP(Table1[[#This Row],[Department]],Table6[Department],Table6[Id_Departement])</f>
        <v>D002</v>
      </c>
      <c r="H825" t="s">
        <v>38</v>
      </c>
      <c r="I825">
        <v>10</v>
      </c>
      <c r="J825" t="str">
        <f>_xlfn.XLOOKUP(Table1[[#This Row],[Education]],Table8[Education],Table8[Id_Education])</f>
        <v>E003</v>
      </c>
      <c r="K825">
        <v>3</v>
      </c>
      <c r="L825" t="str">
        <f>_xlfn.XLOOKUP(Table1[[#This Row],[EducationField]],Table7[EducationField],Table7[Id_EducationField])</f>
        <v>EF001</v>
      </c>
      <c r="M825" t="s">
        <v>40</v>
      </c>
      <c r="N825" t="str">
        <f>_xlfn.XLOOKUP(Table1[[#This Row],[EmployeeNumber]],Table4[EmployeeNumber],Table4[Id_Employee])</f>
        <v>EMP00824</v>
      </c>
      <c r="O825">
        <v>1143</v>
      </c>
      <c r="P825" t="str">
        <f>_xlfn.XLOOKUP(Table1[[#This Row],[EnvironmentSatisfaction]],Table9[EnvironmentSatisfaction],Table9[Id_EnviromentSatisfaction])</f>
        <v>ES004</v>
      </c>
      <c r="Q825">
        <v>4</v>
      </c>
      <c r="R825" t="str">
        <f>_xlfn.XLOOKUP(Table1[[#This Row],[EnvironmentSatisfaction]],Table9[EnvironmentSatisfaction],Table9[Deskripsi])</f>
        <v>Very High</v>
      </c>
      <c r="S825" t="str">
        <f>_xlfn.XLOOKUP(Table1[[#This Row],[Gender]],Table10[Gender],Table10[Id_Gender])</f>
        <v>G001</v>
      </c>
      <c r="T825" t="s">
        <v>45</v>
      </c>
      <c r="U825">
        <v>61</v>
      </c>
      <c r="V825" t="str">
        <f>_xlfn.XLOOKUP(Table1[[#This Row],[JobInvolvement]],Table11[JobInvolvement],Table11[Id_JobInvolvement])</f>
        <v>JI003</v>
      </c>
      <c r="W825">
        <v>3</v>
      </c>
      <c r="X825" t="str">
        <f>_xlfn.XLOOKUP(Table1[[#This Row],[JobLevel]],Table12[JobLevel],Table12[Id_JobLevel])</f>
        <v>JL001</v>
      </c>
      <c r="Y825">
        <v>1</v>
      </c>
      <c r="Z825" t="str">
        <f>_xlfn.XLOOKUP(Table1[[#This Row],[JobRole]],Table13[JobRole],Table13[Id_JobRole])</f>
        <v>JR002</v>
      </c>
      <c r="AA825" t="s">
        <v>48</v>
      </c>
      <c r="AB825" t="str">
        <f>_xlfn.XLOOKUP(Table1[[#This Row],[JobSatisfaction]],Table14[JobSatisfaction],Table14[Id_JobSatisfaction])</f>
        <v>JS002</v>
      </c>
      <c r="AC825">
        <v>2</v>
      </c>
      <c r="AD825" t="str">
        <f>_xlfn.XLOOKUP(Table1[[#This Row],[JobSatisfaction]],Table14[JobSatisfaction],Table14[Deskripsi])</f>
        <v>Medium</v>
      </c>
      <c r="AE825" t="str">
        <f>_xlfn.XLOOKUP(Table1[[#This Row],[MaritalStatus]],Table15[MaritalStatus],Table15[Id_MaritalStatus])</f>
        <v>MS003</v>
      </c>
      <c r="AF825" t="s">
        <v>57</v>
      </c>
      <c r="AG825">
        <v>3291</v>
      </c>
      <c r="AH825">
        <v>17940</v>
      </c>
      <c r="AI825">
        <v>0</v>
      </c>
      <c r="AJ825" t="str">
        <f>_xlfn.XLOOKUP(Table1[[#This Row],[OverTime]],Table16[OverTime],Table16[Id_OverTime])</f>
        <v>OT002</v>
      </c>
      <c r="AK825" t="s">
        <v>33</v>
      </c>
      <c r="AL825">
        <v>14</v>
      </c>
      <c r="AM825" t="str">
        <f>_xlfn.XLOOKUP(Table1[[#This Row],[PerformanceRating]],Table17[PerformanceRating],Table17[Id_PerformanceRating])</f>
        <v>PR003</v>
      </c>
      <c r="AN825">
        <v>3</v>
      </c>
      <c r="AO825" t="str">
        <f>_xlfn.XLOOKUP(Table1[[#This Row],[PerformanceRating]],Table17[PerformanceRating],Table17[Deskripsi])</f>
        <v>Excellent</v>
      </c>
      <c r="AP825" t="str">
        <f>_xlfn.XLOOKUP(Table1[[#This Row],[RelationshipSatisfaction]],Table18[RelationshipSatisfaction],Table18[Id_RelationshipSatisfaction])</f>
        <v>RS004</v>
      </c>
      <c r="AQ825">
        <v>4</v>
      </c>
      <c r="AR825" t="str">
        <f>_xlfn.XLOOKUP(Table1[[#This Row],[RelationshipSatisfaction]],Table18[RelationshipSatisfaction],Table18[Deskripsi])</f>
        <v>Very High</v>
      </c>
      <c r="AS825" t="str">
        <f>_xlfn.XLOOKUP(Table1[[#This Row],[StockOptionLevel]],Table19[StockOptionLevel],Table19[Id_StockOptionLevel])</f>
        <v>SOL003</v>
      </c>
      <c r="AT825">
        <v>2</v>
      </c>
      <c r="AU825" t="str">
        <f>_xlfn.XLOOKUP(Table1[[#This Row],[StockOptionLevel]],Table19[StockOptionLevel],Table19[Deskripsi])</f>
        <v>Intermediate</v>
      </c>
      <c r="AV825">
        <v>8</v>
      </c>
      <c r="AW825">
        <v>2</v>
      </c>
      <c r="AX825" t="str">
        <f>_xlfn.XLOOKUP(Table1[[#This Row],[WorkLifeBalance]],Table20[WorkLifeBalance],Table20[Id_WorkLifeBalance])</f>
        <v>WLB003</v>
      </c>
      <c r="AY825">
        <v>2</v>
      </c>
      <c r="AZ825" t="str">
        <f>_xlfn.XLOOKUP(Table1[[#This Row],[WorkLifeBalance]],Table20[WorkLifeBalance],Table20[Deskripsi])</f>
        <v>Better</v>
      </c>
      <c r="BA825">
        <v>7</v>
      </c>
      <c r="BB825">
        <v>5</v>
      </c>
      <c r="BC825">
        <v>1</v>
      </c>
      <c r="BD825">
        <v>1</v>
      </c>
    </row>
    <row r="826" spans="1:56" x14ac:dyDescent="0.25">
      <c r="A826">
        <v>42</v>
      </c>
      <c r="B826" t="str">
        <f>_xlfn.XLOOKUP(Table1[[#This Row],[Attrition]],Table2[Attrition],Table2[Id_Attrition])</f>
        <v>A002</v>
      </c>
      <c r="C826" t="s">
        <v>33</v>
      </c>
      <c r="D826" t="str">
        <f>_xlfn.XLOOKUP(Table1[[#This Row],[BusinessTravel]],Table5[BusinessTravel],Table5[Id_BusinessTravel])</f>
        <v>BS001</v>
      </c>
      <c r="E826" t="s">
        <v>34</v>
      </c>
      <c r="F826">
        <v>188</v>
      </c>
      <c r="G826" t="str">
        <f>_xlfn.XLOOKUP(Table1[[#This Row],[Department]],Table6[Department],Table6[Id_Departement])</f>
        <v>D002</v>
      </c>
      <c r="H826" t="s">
        <v>38</v>
      </c>
      <c r="I826">
        <v>29</v>
      </c>
      <c r="J826" t="str">
        <f>_xlfn.XLOOKUP(Table1[[#This Row],[Education]],Table8[Education],Table8[Id_Education])</f>
        <v>E003</v>
      </c>
      <c r="K826">
        <v>3</v>
      </c>
      <c r="L826" t="str">
        <f>_xlfn.XLOOKUP(Table1[[#This Row],[EducationField]],Table7[EducationField],Table7[Id_EducationField])</f>
        <v>EF003</v>
      </c>
      <c r="M826" t="s">
        <v>42</v>
      </c>
      <c r="N826" t="str">
        <f>_xlfn.XLOOKUP(Table1[[#This Row],[EmployeeNumber]],Table4[EmployeeNumber],Table4[Id_Employee])</f>
        <v>EMP00825</v>
      </c>
      <c r="O826">
        <v>1148</v>
      </c>
      <c r="P826" t="str">
        <f>_xlfn.XLOOKUP(Table1[[#This Row],[EnvironmentSatisfaction]],Table9[EnvironmentSatisfaction],Table9[Id_EnviromentSatisfaction])</f>
        <v>ES002</v>
      </c>
      <c r="Q826">
        <v>2</v>
      </c>
      <c r="R826" t="str">
        <f>_xlfn.XLOOKUP(Table1[[#This Row],[EnvironmentSatisfaction]],Table9[EnvironmentSatisfaction],Table9[Deskripsi])</f>
        <v>Medium</v>
      </c>
      <c r="S826" t="str">
        <f>_xlfn.XLOOKUP(Table1[[#This Row],[Gender]],Table10[Gender],Table10[Id_Gender])</f>
        <v>G002</v>
      </c>
      <c r="T826" t="s">
        <v>46</v>
      </c>
      <c r="U826">
        <v>56</v>
      </c>
      <c r="V826" t="str">
        <f>_xlfn.XLOOKUP(Table1[[#This Row],[JobInvolvement]],Table11[JobInvolvement],Table11[Id_JobInvolvement])</f>
        <v>JI001</v>
      </c>
      <c r="W826">
        <v>1</v>
      </c>
      <c r="X826" t="str">
        <f>_xlfn.XLOOKUP(Table1[[#This Row],[JobLevel]],Table12[JobLevel],Table12[Id_JobLevel])</f>
        <v>JL002</v>
      </c>
      <c r="Y826">
        <v>2</v>
      </c>
      <c r="Z826" t="str">
        <f>_xlfn.XLOOKUP(Table1[[#This Row],[JobRole]],Table13[JobRole],Table13[Id_JobRole])</f>
        <v>JR003</v>
      </c>
      <c r="AA826" t="s">
        <v>49</v>
      </c>
      <c r="AB826" t="str">
        <f>_xlfn.XLOOKUP(Table1[[#This Row],[JobSatisfaction]],Table14[JobSatisfaction],Table14[Id_JobSatisfaction])</f>
        <v>JS004</v>
      </c>
      <c r="AC826">
        <v>4</v>
      </c>
      <c r="AD826" t="str">
        <f>_xlfn.XLOOKUP(Table1[[#This Row],[JobSatisfaction]],Table14[JobSatisfaction],Table14[Deskripsi])</f>
        <v>Very High</v>
      </c>
      <c r="AE826" t="str">
        <f>_xlfn.XLOOKUP(Table1[[#This Row],[MaritalStatus]],Table15[MaritalStatus],Table15[Id_MaritalStatus])</f>
        <v>MS001</v>
      </c>
      <c r="AF826" t="s">
        <v>55</v>
      </c>
      <c r="AG826">
        <v>4272</v>
      </c>
      <c r="AH826">
        <v>9558</v>
      </c>
      <c r="AI826">
        <v>4</v>
      </c>
      <c r="AJ826" t="str">
        <f>_xlfn.XLOOKUP(Table1[[#This Row],[OverTime]],Table16[OverTime],Table16[Id_OverTime])</f>
        <v>OT002</v>
      </c>
      <c r="AK826" t="s">
        <v>33</v>
      </c>
      <c r="AL826">
        <v>19</v>
      </c>
      <c r="AM826" t="str">
        <f>_xlfn.XLOOKUP(Table1[[#This Row],[PerformanceRating]],Table17[PerformanceRating],Table17[Id_PerformanceRating])</f>
        <v>PR003</v>
      </c>
      <c r="AN826">
        <v>3</v>
      </c>
      <c r="AO826" t="str">
        <f>_xlfn.XLOOKUP(Table1[[#This Row],[PerformanceRating]],Table17[PerformanceRating],Table17[Deskripsi])</f>
        <v>Excellent</v>
      </c>
      <c r="AP826" t="str">
        <f>_xlfn.XLOOKUP(Table1[[#This Row],[RelationshipSatisfaction]],Table18[RelationshipSatisfaction],Table18[Id_RelationshipSatisfaction])</f>
        <v>RS001</v>
      </c>
      <c r="AQ826">
        <v>1</v>
      </c>
      <c r="AR826" t="str">
        <f>_xlfn.XLOOKUP(Table1[[#This Row],[RelationshipSatisfaction]],Table18[RelationshipSatisfaction],Table18[Deskripsi])</f>
        <v>Low</v>
      </c>
      <c r="AS826" t="str">
        <f>_xlfn.XLOOKUP(Table1[[#This Row],[StockOptionLevel]],Table19[StockOptionLevel],Table19[Id_StockOptionLevel])</f>
        <v>SOL001</v>
      </c>
      <c r="AT826">
        <v>0</v>
      </c>
      <c r="AU826" t="str">
        <f>_xlfn.XLOOKUP(Table1[[#This Row],[StockOptionLevel]],Table19[StockOptionLevel],Table19[Deskripsi])</f>
        <v>Non-Eligible</v>
      </c>
      <c r="AV826">
        <v>16</v>
      </c>
      <c r="AW826">
        <v>3</v>
      </c>
      <c r="AX826" t="str">
        <f>_xlfn.XLOOKUP(Table1[[#This Row],[WorkLifeBalance]],Table20[WorkLifeBalance],Table20[Id_WorkLifeBalance])</f>
        <v>WLB002</v>
      </c>
      <c r="AY826">
        <v>3</v>
      </c>
      <c r="AZ826" t="str">
        <f>_xlfn.XLOOKUP(Table1[[#This Row],[WorkLifeBalance]],Table20[WorkLifeBalance],Table20[Deskripsi])</f>
        <v>Good</v>
      </c>
      <c r="BA826">
        <v>1</v>
      </c>
      <c r="BB826">
        <v>0</v>
      </c>
      <c r="BC826">
        <v>0</v>
      </c>
      <c r="BD826">
        <v>0</v>
      </c>
    </row>
    <row r="827" spans="1:56" x14ac:dyDescent="0.25">
      <c r="A827">
        <v>29</v>
      </c>
      <c r="B827" t="str">
        <f>_xlfn.XLOOKUP(Table1[[#This Row],[Attrition]],Table2[Attrition],Table2[Id_Attrition])</f>
        <v>A002</v>
      </c>
      <c r="C827" t="s">
        <v>33</v>
      </c>
      <c r="D827" t="str">
        <f>_xlfn.XLOOKUP(Table1[[#This Row],[BusinessTravel]],Table5[BusinessTravel],Table5[Id_BusinessTravel])</f>
        <v>BS001</v>
      </c>
      <c r="E827" t="s">
        <v>34</v>
      </c>
      <c r="F827">
        <v>718</v>
      </c>
      <c r="G827" t="str">
        <f>_xlfn.XLOOKUP(Table1[[#This Row],[Department]],Table6[Department],Table6[Id_Departement])</f>
        <v>D002</v>
      </c>
      <c r="H827" t="s">
        <v>38</v>
      </c>
      <c r="I827">
        <v>8</v>
      </c>
      <c r="J827" t="str">
        <f>_xlfn.XLOOKUP(Table1[[#This Row],[Education]],Table8[Education],Table8[Id_Education])</f>
        <v>E001</v>
      </c>
      <c r="K827">
        <v>1</v>
      </c>
      <c r="L827" t="str">
        <f>_xlfn.XLOOKUP(Table1[[#This Row],[EducationField]],Table7[EducationField],Table7[Id_EducationField])</f>
        <v>EF003</v>
      </c>
      <c r="M827" t="s">
        <v>42</v>
      </c>
      <c r="N827" t="str">
        <f>_xlfn.XLOOKUP(Table1[[#This Row],[EmployeeNumber]],Table4[EmployeeNumber],Table4[Id_Employee])</f>
        <v>EMP00826</v>
      </c>
      <c r="O827">
        <v>1150</v>
      </c>
      <c r="P827" t="str">
        <f>_xlfn.XLOOKUP(Table1[[#This Row],[EnvironmentSatisfaction]],Table9[EnvironmentSatisfaction],Table9[Id_EnviromentSatisfaction])</f>
        <v>ES002</v>
      </c>
      <c r="Q827">
        <v>2</v>
      </c>
      <c r="R827" t="str">
        <f>_xlfn.XLOOKUP(Table1[[#This Row],[EnvironmentSatisfaction]],Table9[EnvironmentSatisfaction],Table9[Deskripsi])</f>
        <v>Medium</v>
      </c>
      <c r="S827" t="str">
        <f>_xlfn.XLOOKUP(Table1[[#This Row],[Gender]],Table10[Gender],Table10[Id_Gender])</f>
        <v>G002</v>
      </c>
      <c r="T827" t="s">
        <v>46</v>
      </c>
      <c r="U827">
        <v>79</v>
      </c>
      <c r="V827" t="str">
        <f>_xlfn.XLOOKUP(Table1[[#This Row],[JobInvolvement]],Table11[JobInvolvement],Table11[Id_JobInvolvement])</f>
        <v>JI002</v>
      </c>
      <c r="W827">
        <v>2</v>
      </c>
      <c r="X827" t="str">
        <f>_xlfn.XLOOKUP(Table1[[#This Row],[JobLevel]],Table12[JobLevel],Table12[Id_JobLevel])</f>
        <v>JL002</v>
      </c>
      <c r="Y827">
        <v>2</v>
      </c>
      <c r="Z827" t="str">
        <f>_xlfn.XLOOKUP(Table1[[#This Row],[JobRole]],Table13[JobRole],Table13[Id_JobRole])</f>
        <v>JR004</v>
      </c>
      <c r="AA827" t="s">
        <v>50</v>
      </c>
      <c r="AB827" t="str">
        <f>_xlfn.XLOOKUP(Table1[[#This Row],[JobSatisfaction]],Table14[JobSatisfaction],Table14[Id_JobSatisfaction])</f>
        <v>JS004</v>
      </c>
      <c r="AC827">
        <v>4</v>
      </c>
      <c r="AD827" t="str">
        <f>_xlfn.XLOOKUP(Table1[[#This Row],[JobSatisfaction]],Table14[JobSatisfaction],Table14[Deskripsi])</f>
        <v>Very High</v>
      </c>
      <c r="AE827" t="str">
        <f>_xlfn.XLOOKUP(Table1[[#This Row],[MaritalStatus]],Table15[MaritalStatus],Table15[Id_MaritalStatus])</f>
        <v>MS002</v>
      </c>
      <c r="AF827" t="s">
        <v>56</v>
      </c>
      <c r="AG827">
        <v>5056</v>
      </c>
      <c r="AH827">
        <v>17689</v>
      </c>
      <c r="AI827">
        <v>1</v>
      </c>
      <c r="AJ827" t="str">
        <f>_xlfn.XLOOKUP(Table1[[#This Row],[OverTime]],Table16[OverTime],Table16[Id_OverTime])</f>
        <v>OT001</v>
      </c>
      <c r="AK827" t="s">
        <v>32</v>
      </c>
      <c r="AL827">
        <v>15</v>
      </c>
      <c r="AM827" t="str">
        <f>_xlfn.XLOOKUP(Table1[[#This Row],[PerformanceRating]],Table17[PerformanceRating],Table17[Id_PerformanceRating])</f>
        <v>PR003</v>
      </c>
      <c r="AN827">
        <v>3</v>
      </c>
      <c r="AO827" t="str">
        <f>_xlfn.XLOOKUP(Table1[[#This Row],[PerformanceRating]],Table17[PerformanceRating],Table17[Deskripsi])</f>
        <v>Excellent</v>
      </c>
      <c r="AP827" t="str">
        <f>_xlfn.XLOOKUP(Table1[[#This Row],[RelationshipSatisfaction]],Table18[RelationshipSatisfaction],Table18[Id_RelationshipSatisfaction])</f>
        <v>RS003</v>
      </c>
      <c r="AQ827">
        <v>3</v>
      </c>
      <c r="AR827" t="str">
        <f>_xlfn.XLOOKUP(Table1[[#This Row],[RelationshipSatisfaction]],Table18[RelationshipSatisfaction],Table18[Deskripsi])</f>
        <v>High</v>
      </c>
      <c r="AS827" t="str">
        <f>_xlfn.XLOOKUP(Table1[[#This Row],[StockOptionLevel]],Table19[StockOptionLevel],Table19[Id_StockOptionLevel])</f>
        <v>SOL002</v>
      </c>
      <c r="AT827">
        <v>1</v>
      </c>
      <c r="AU827" t="str">
        <f>_xlfn.XLOOKUP(Table1[[#This Row],[StockOptionLevel]],Table19[StockOptionLevel],Table19[Deskripsi])</f>
        <v>Standard</v>
      </c>
      <c r="AV827">
        <v>10</v>
      </c>
      <c r="AW827">
        <v>2</v>
      </c>
      <c r="AX827" t="str">
        <f>_xlfn.XLOOKUP(Table1[[#This Row],[WorkLifeBalance]],Table20[WorkLifeBalance],Table20[Id_WorkLifeBalance])</f>
        <v>WLB003</v>
      </c>
      <c r="AY827">
        <v>2</v>
      </c>
      <c r="AZ827" t="str">
        <f>_xlfn.XLOOKUP(Table1[[#This Row],[WorkLifeBalance]],Table20[WorkLifeBalance],Table20[Deskripsi])</f>
        <v>Better</v>
      </c>
      <c r="BA827">
        <v>10</v>
      </c>
      <c r="BB827">
        <v>7</v>
      </c>
      <c r="BC827">
        <v>1</v>
      </c>
      <c r="BD827">
        <v>2</v>
      </c>
    </row>
    <row r="828" spans="1:56" x14ac:dyDescent="0.25">
      <c r="A828">
        <v>38</v>
      </c>
      <c r="B828" t="str">
        <f>_xlfn.XLOOKUP(Table1[[#This Row],[Attrition]],Table2[Attrition],Table2[Id_Attrition])</f>
        <v>A002</v>
      </c>
      <c r="C828" t="s">
        <v>33</v>
      </c>
      <c r="D828" t="str">
        <f>_xlfn.XLOOKUP(Table1[[#This Row],[BusinessTravel]],Table5[BusinessTravel],Table5[Id_BusinessTravel])</f>
        <v>BS001</v>
      </c>
      <c r="E828" t="s">
        <v>34</v>
      </c>
      <c r="F828">
        <v>433</v>
      </c>
      <c r="G828" t="str">
        <f>_xlfn.XLOOKUP(Table1[[#This Row],[Department]],Table6[Department],Table6[Id_Departement])</f>
        <v>D003</v>
      </c>
      <c r="H828" t="s">
        <v>39</v>
      </c>
      <c r="I828">
        <v>1</v>
      </c>
      <c r="J828" t="str">
        <f>_xlfn.XLOOKUP(Table1[[#This Row],[Education]],Table8[Education],Table8[Id_Education])</f>
        <v>E003</v>
      </c>
      <c r="K828">
        <v>3</v>
      </c>
      <c r="L828" t="str">
        <f>_xlfn.XLOOKUP(Table1[[#This Row],[EducationField]],Table7[EducationField],Table7[Id_EducationField])</f>
        <v>EF006</v>
      </c>
      <c r="M828" t="s">
        <v>39</v>
      </c>
      <c r="N828" t="str">
        <f>_xlfn.XLOOKUP(Table1[[#This Row],[EmployeeNumber]],Table4[EmployeeNumber],Table4[Id_Employee])</f>
        <v>EMP00827</v>
      </c>
      <c r="O828">
        <v>1152</v>
      </c>
      <c r="P828" t="str">
        <f>_xlfn.XLOOKUP(Table1[[#This Row],[EnvironmentSatisfaction]],Table9[EnvironmentSatisfaction],Table9[Id_EnviromentSatisfaction])</f>
        <v>ES003</v>
      </c>
      <c r="Q828">
        <v>3</v>
      </c>
      <c r="R828" t="str">
        <f>_xlfn.XLOOKUP(Table1[[#This Row],[EnvironmentSatisfaction]],Table9[EnvironmentSatisfaction],Table9[Deskripsi])</f>
        <v>High</v>
      </c>
      <c r="S828" t="str">
        <f>_xlfn.XLOOKUP(Table1[[#This Row],[Gender]],Table10[Gender],Table10[Id_Gender])</f>
        <v>G002</v>
      </c>
      <c r="T828" t="s">
        <v>46</v>
      </c>
      <c r="U828">
        <v>37</v>
      </c>
      <c r="V828" t="str">
        <f>_xlfn.XLOOKUP(Table1[[#This Row],[JobInvolvement]],Table11[JobInvolvement],Table11[Id_JobInvolvement])</f>
        <v>JI004</v>
      </c>
      <c r="W828">
        <v>4</v>
      </c>
      <c r="X828" t="str">
        <f>_xlfn.XLOOKUP(Table1[[#This Row],[JobLevel]],Table12[JobLevel],Table12[Id_JobLevel])</f>
        <v>JL001</v>
      </c>
      <c r="Y828">
        <v>1</v>
      </c>
      <c r="Z828" t="str">
        <f>_xlfn.XLOOKUP(Table1[[#This Row],[JobRole]],Table13[JobRole],Table13[Id_JobRole])</f>
        <v>JR009</v>
      </c>
      <c r="AA828" t="s">
        <v>39</v>
      </c>
      <c r="AB828" t="str">
        <f>_xlfn.XLOOKUP(Table1[[#This Row],[JobSatisfaction]],Table14[JobSatisfaction],Table14[Id_JobSatisfaction])</f>
        <v>JS003</v>
      </c>
      <c r="AC828">
        <v>3</v>
      </c>
      <c r="AD828" t="str">
        <f>_xlfn.XLOOKUP(Table1[[#This Row],[JobSatisfaction]],Table14[JobSatisfaction],Table14[Deskripsi])</f>
        <v>High</v>
      </c>
      <c r="AE828" t="str">
        <f>_xlfn.XLOOKUP(Table1[[#This Row],[MaritalStatus]],Table15[MaritalStatus],Table15[Id_MaritalStatus])</f>
        <v>MS002</v>
      </c>
      <c r="AF828" t="s">
        <v>56</v>
      </c>
      <c r="AG828">
        <v>2844</v>
      </c>
      <c r="AH828">
        <v>6004</v>
      </c>
      <c r="AI828">
        <v>1</v>
      </c>
      <c r="AJ828" t="str">
        <f>_xlfn.XLOOKUP(Table1[[#This Row],[OverTime]],Table16[OverTime],Table16[Id_OverTime])</f>
        <v>OT002</v>
      </c>
      <c r="AK828" t="s">
        <v>33</v>
      </c>
      <c r="AL828">
        <v>13</v>
      </c>
      <c r="AM828" t="str">
        <f>_xlfn.XLOOKUP(Table1[[#This Row],[PerformanceRating]],Table17[PerformanceRating],Table17[Id_PerformanceRating])</f>
        <v>PR003</v>
      </c>
      <c r="AN828">
        <v>3</v>
      </c>
      <c r="AO828" t="str">
        <f>_xlfn.XLOOKUP(Table1[[#This Row],[PerformanceRating]],Table17[PerformanceRating],Table17[Deskripsi])</f>
        <v>Excellent</v>
      </c>
      <c r="AP828" t="str">
        <f>_xlfn.XLOOKUP(Table1[[#This Row],[RelationshipSatisfaction]],Table18[RelationshipSatisfaction],Table18[Id_RelationshipSatisfaction])</f>
        <v>RS004</v>
      </c>
      <c r="AQ828">
        <v>4</v>
      </c>
      <c r="AR828" t="str">
        <f>_xlfn.XLOOKUP(Table1[[#This Row],[RelationshipSatisfaction]],Table18[RelationshipSatisfaction],Table18[Deskripsi])</f>
        <v>Very High</v>
      </c>
      <c r="AS828" t="str">
        <f>_xlfn.XLOOKUP(Table1[[#This Row],[StockOptionLevel]],Table19[StockOptionLevel],Table19[Id_StockOptionLevel])</f>
        <v>SOL002</v>
      </c>
      <c r="AT828">
        <v>1</v>
      </c>
      <c r="AU828" t="str">
        <f>_xlfn.XLOOKUP(Table1[[#This Row],[StockOptionLevel]],Table19[StockOptionLevel],Table19[Deskripsi])</f>
        <v>Standard</v>
      </c>
      <c r="AV828">
        <v>7</v>
      </c>
      <c r="AW828">
        <v>2</v>
      </c>
      <c r="AX828" t="str">
        <f>_xlfn.XLOOKUP(Table1[[#This Row],[WorkLifeBalance]],Table20[WorkLifeBalance],Table20[Id_WorkLifeBalance])</f>
        <v>WLB004</v>
      </c>
      <c r="AY828">
        <v>4</v>
      </c>
      <c r="AZ828" t="str">
        <f>_xlfn.XLOOKUP(Table1[[#This Row],[WorkLifeBalance]],Table20[WorkLifeBalance],Table20[Deskripsi])</f>
        <v>Best</v>
      </c>
      <c r="BA828">
        <v>7</v>
      </c>
      <c r="BB828">
        <v>6</v>
      </c>
      <c r="BC828">
        <v>5</v>
      </c>
      <c r="BD828">
        <v>0</v>
      </c>
    </row>
    <row r="829" spans="1:56" x14ac:dyDescent="0.25">
      <c r="A829">
        <v>28</v>
      </c>
      <c r="B829" t="str">
        <f>_xlfn.XLOOKUP(Table1[[#This Row],[Attrition]],Table2[Attrition],Table2[Id_Attrition])</f>
        <v>A002</v>
      </c>
      <c r="C829" t="s">
        <v>33</v>
      </c>
      <c r="D829" t="str">
        <f>_xlfn.XLOOKUP(Table1[[#This Row],[BusinessTravel]],Table5[BusinessTravel],Table5[Id_BusinessTravel])</f>
        <v>BS002</v>
      </c>
      <c r="E829" t="s">
        <v>35</v>
      </c>
      <c r="F829">
        <v>773</v>
      </c>
      <c r="G829" t="str">
        <f>_xlfn.XLOOKUP(Table1[[#This Row],[Department]],Table6[Department],Table6[Id_Departement])</f>
        <v>D002</v>
      </c>
      <c r="H829" t="s">
        <v>38</v>
      </c>
      <c r="I829">
        <v>6</v>
      </c>
      <c r="J829" t="str">
        <f>_xlfn.XLOOKUP(Table1[[#This Row],[Education]],Table8[Education],Table8[Id_Education])</f>
        <v>E003</v>
      </c>
      <c r="K829">
        <v>3</v>
      </c>
      <c r="L829" t="str">
        <f>_xlfn.XLOOKUP(Table1[[#This Row],[EducationField]],Table7[EducationField],Table7[Id_EducationField])</f>
        <v>EF001</v>
      </c>
      <c r="M829" t="s">
        <v>40</v>
      </c>
      <c r="N829" t="str">
        <f>_xlfn.XLOOKUP(Table1[[#This Row],[EmployeeNumber]],Table4[EmployeeNumber],Table4[Id_Employee])</f>
        <v>EMP00828</v>
      </c>
      <c r="O829">
        <v>1154</v>
      </c>
      <c r="P829" t="str">
        <f>_xlfn.XLOOKUP(Table1[[#This Row],[EnvironmentSatisfaction]],Table9[EnvironmentSatisfaction],Table9[Id_EnviromentSatisfaction])</f>
        <v>ES003</v>
      </c>
      <c r="Q829">
        <v>3</v>
      </c>
      <c r="R829" t="str">
        <f>_xlfn.XLOOKUP(Table1[[#This Row],[EnvironmentSatisfaction]],Table9[EnvironmentSatisfaction],Table9[Deskripsi])</f>
        <v>High</v>
      </c>
      <c r="S829" t="str">
        <f>_xlfn.XLOOKUP(Table1[[#This Row],[Gender]],Table10[Gender],Table10[Id_Gender])</f>
        <v>G002</v>
      </c>
      <c r="T829" t="s">
        <v>46</v>
      </c>
      <c r="U829">
        <v>39</v>
      </c>
      <c r="V829" t="str">
        <f>_xlfn.XLOOKUP(Table1[[#This Row],[JobInvolvement]],Table11[JobInvolvement],Table11[Id_JobInvolvement])</f>
        <v>JI002</v>
      </c>
      <c r="W829">
        <v>2</v>
      </c>
      <c r="X829" t="str">
        <f>_xlfn.XLOOKUP(Table1[[#This Row],[JobLevel]],Table12[JobLevel],Table12[Id_JobLevel])</f>
        <v>JL001</v>
      </c>
      <c r="Y829">
        <v>1</v>
      </c>
      <c r="Z829" t="str">
        <f>_xlfn.XLOOKUP(Table1[[#This Row],[JobRole]],Table13[JobRole],Table13[Id_JobRole])</f>
        <v>JR002</v>
      </c>
      <c r="AA829" t="s">
        <v>48</v>
      </c>
      <c r="AB829" t="str">
        <f>_xlfn.XLOOKUP(Table1[[#This Row],[JobSatisfaction]],Table14[JobSatisfaction],Table14[Id_JobSatisfaction])</f>
        <v>JS003</v>
      </c>
      <c r="AC829">
        <v>3</v>
      </c>
      <c r="AD829" t="str">
        <f>_xlfn.XLOOKUP(Table1[[#This Row],[JobSatisfaction]],Table14[JobSatisfaction],Table14[Deskripsi])</f>
        <v>High</v>
      </c>
      <c r="AE829" t="str">
        <f>_xlfn.XLOOKUP(Table1[[#This Row],[MaritalStatus]],Table15[MaritalStatus],Table15[Id_MaritalStatus])</f>
        <v>MS003</v>
      </c>
      <c r="AF829" t="s">
        <v>57</v>
      </c>
      <c r="AG829">
        <v>2703</v>
      </c>
      <c r="AH829">
        <v>22088</v>
      </c>
      <c r="AI829">
        <v>1</v>
      </c>
      <c r="AJ829" t="str">
        <f>_xlfn.XLOOKUP(Table1[[#This Row],[OverTime]],Table16[OverTime],Table16[Id_OverTime])</f>
        <v>OT001</v>
      </c>
      <c r="AK829" t="s">
        <v>32</v>
      </c>
      <c r="AL829">
        <v>14</v>
      </c>
      <c r="AM829" t="str">
        <f>_xlfn.XLOOKUP(Table1[[#This Row],[PerformanceRating]],Table17[PerformanceRating],Table17[Id_PerformanceRating])</f>
        <v>PR003</v>
      </c>
      <c r="AN829">
        <v>3</v>
      </c>
      <c r="AO829" t="str">
        <f>_xlfn.XLOOKUP(Table1[[#This Row],[PerformanceRating]],Table17[PerformanceRating],Table17[Deskripsi])</f>
        <v>Excellent</v>
      </c>
      <c r="AP829" t="str">
        <f>_xlfn.XLOOKUP(Table1[[#This Row],[RelationshipSatisfaction]],Table18[RelationshipSatisfaction],Table18[Id_RelationshipSatisfaction])</f>
        <v>RS004</v>
      </c>
      <c r="AQ829">
        <v>4</v>
      </c>
      <c r="AR829" t="str">
        <f>_xlfn.XLOOKUP(Table1[[#This Row],[RelationshipSatisfaction]],Table18[RelationshipSatisfaction],Table18[Deskripsi])</f>
        <v>Very High</v>
      </c>
      <c r="AS829" t="str">
        <f>_xlfn.XLOOKUP(Table1[[#This Row],[StockOptionLevel]],Table19[StockOptionLevel],Table19[Id_StockOptionLevel])</f>
        <v>SOL002</v>
      </c>
      <c r="AT829">
        <v>1</v>
      </c>
      <c r="AU829" t="str">
        <f>_xlfn.XLOOKUP(Table1[[#This Row],[StockOptionLevel]],Table19[StockOptionLevel],Table19[Deskripsi])</f>
        <v>Standard</v>
      </c>
      <c r="AV829">
        <v>3</v>
      </c>
      <c r="AW829">
        <v>2</v>
      </c>
      <c r="AX829" t="str">
        <f>_xlfn.XLOOKUP(Table1[[#This Row],[WorkLifeBalance]],Table20[WorkLifeBalance],Table20[Id_WorkLifeBalance])</f>
        <v>WLB002</v>
      </c>
      <c r="AY829">
        <v>3</v>
      </c>
      <c r="AZ829" t="str">
        <f>_xlfn.XLOOKUP(Table1[[#This Row],[WorkLifeBalance]],Table20[WorkLifeBalance],Table20[Deskripsi])</f>
        <v>Good</v>
      </c>
      <c r="BA829">
        <v>3</v>
      </c>
      <c r="BB829">
        <v>1</v>
      </c>
      <c r="BC829">
        <v>0</v>
      </c>
      <c r="BD829">
        <v>2</v>
      </c>
    </row>
    <row r="830" spans="1:56" x14ac:dyDescent="0.25">
      <c r="A830">
        <v>18</v>
      </c>
      <c r="B830" t="str">
        <f>_xlfn.XLOOKUP(Table1[[#This Row],[Attrition]],Table2[Attrition],Table2[Id_Attrition])</f>
        <v>A001</v>
      </c>
      <c r="C830" t="s">
        <v>32</v>
      </c>
      <c r="D830" t="str">
        <f>_xlfn.XLOOKUP(Table1[[#This Row],[BusinessTravel]],Table5[BusinessTravel],Table5[Id_BusinessTravel])</f>
        <v>BS003</v>
      </c>
      <c r="E830" t="s">
        <v>36</v>
      </c>
      <c r="F830">
        <v>247</v>
      </c>
      <c r="G830" t="str">
        <f>_xlfn.XLOOKUP(Table1[[#This Row],[Department]],Table6[Department],Table6[Id_Departement])</f>
        <v>D002</v>
      </c>
      <c r="H830" t="s">
        <v>38</v>
      </c>
      <c r="I830">
        <v>8</v>
      </c>
      <c r="J830" t="str">
        <f>_xlfn.XLOOKUP(Table1[[#This Row],[Education]],Table8[Education],Table8[Id_Education])</f>
        <v>E001</v>
      </c>
      <c r="K830">
        <v>1</v>
      </c>
      <c r="L830" t="str">
        <f>_xlfn.XLOOKUP(Table1[[#This Row],[EducationField]],Table7[EducationField],Table7[Id_EducationField])</f>
        <v>EF003</v>
      </c>
      <c r="M830" t="s">
        <v>42</v>
      </c>
      <c r="N830" t="str">
        <f>_xlfn.XLOOKUP(Table1[[#This Row],[EmployeeNumber]],Table4[EmployeeNumber],Table4[Id_Employee])</f>
        <v>EMP00829</v>
      </c>
      <c r="O830">
        <v>1156</v>
      </c>
      <c r="P830" t="str">
        <f>_xlfn.XLOOKUP(Table1[[#This Row],[EnvironmentSatisfaction]],Table9[EnvironmentSatisfaction],Table9[Id_EnviromentSatisfaction])</f>
        <v>ES003</v>
      </c>
      <c r="Q830">
        <v>3</v>
      </c>
      <c r="R830" t="str">
        <f>_xlfn.XLOOKUP(Table1[[#This Row],[EnvironmentSatisfaction]],Table9[EnvironmentSatisfaction],Table9[Deskripsi])</f>
        <v>High</v>
      </c>
      <c r="S830" t="str">
        <f>_xlfn.XLOOKUP(Table1[[#This Row],[Gender]],Table10[Gender],Table10[Id_Gender])</f>
        <v>G002</v>
      </c>
      <c r="T830" t="s">
        <v>46</v>
      </c>
      <c r="U830">
        <v>80</v>
      </c>
      <c r="V830" t="str">
        <f>_xlfn.XLOOKUP(Table1[[#This Row],[JobInvolvement]],Table11[JobInvolvement],Table11[Id_JobInvolvement])</f>
        <v>JI003</v>
      </c>
      <c r="W830">
        <v>3</v>
      </c>
      <c r="X830" t="str">
        <f>_xlfn.XLOOKUP(Table1[[#This Row],[JobLevel]],Table12[JobLevel],Table12[Id_JobLevel])</f>
        <v>JL001</v>
      </c>
      <c r="Y830">
        <v>1</v>
      </c>
      <c r="Z830" t="str">
        <f>_xlfn.XLOOKUP(Table1[[#This Row],[JobRole]],Table13[JobRole],Table13[Id_JobRole])</f>
        <v>JR003</v>
      </c>
      <c r="AA830" t="s">
        <v>49</v>
      </c>
      <c r="AB830" t="str">
        <f>_xlfn.XLOOKUP(Table1[[#This Row],[JobSatisfaction]],Table14[JobSatisfaction],Table14[Id_JobSatisfaction])</f>
        <v>JS003</v>
      </c>
      <c r="AC830">
        <v>3</v>
      </c>
      <c r="AD830" t="str">
        <f>_xlfn.XLOOKUP(Table1[[#This Row],[JobSatisfaction]],Table14[JobSatisfaction],Table14[Deskripsi])</f>
        <v>High</v>
      </c>
      <c r="AE830" t="str">
        <f>_xlfn.XLOOKUP(Table1[[#This Row],[MaritalStatus]],Table15[MaritalStatus],Table15[Id_MaritalStatus])</f>
        <v>MS001</v>
      </c>
      <c r="AF830" t="s">
        <v>55</v>
      </c>
      <c r="AG830">
        <v>1904</v>
      </c>
      <c r="AH830">
        <v>13556</v>
      </c>
      <c r="AI830">
        <v>1</v>
      </c>
      <c r="AJ830" t="str">
        <f>_xlfn.XLOOKUP(Table1[[#This Row],[OverTime]],Table16[OverTime],Table16[Id_OverTime])</f>
        <v>OT002</v>
      </c>
      <c r="AK830" t="s">
        <v>33</v>
      </c>
      <c r="AL830">
        <v>12</v>
      </c>
      <c r="AM830" t="str">
        <f>_xlfn.XLOOKUP(Table1[[#This Row],[PerformanceRating]],Table17[PerformanceRating],Table17[Id_PerformanceRating])</f>
        <v>PR003</v>
      </c>
      <c r="AN830">
        <v>3</v>
      </c>
      <c r="AO830" t="str">
        <f>_xlfn.XLOOKUP(Table1[[#This Row],[PerformanceRating]],Table17[PerformanceRating],Table17[Deskripsi])</f>
        <v>Excellent</v>
      </c>
      <c r="AP830" t="str">
        <f>_xlfn.XLOOKUP(Table1[[#This Row],[RelationshipSatisfaction]],Table18[RelationshipSatisfaction],Table18[Id_RelationshipSatisfaction])</f>
        <v>RS004</v>
      </c>
      <c r="AQ830">
        <v>4</v>
      </c>
      <c r="AR830" t="str">
        <f>_xlfn.XLOOKUP(Table1[[#This Row],[RelationshipSatisfaction]],Table18[RelationshipSatisfaction],Table18[Deskripsi])</f>
        <v>Very High</v>
      </c>
      <c r="AS830" t="str">
        <f>_xlfn.XLOOKUP(Table1[[#This Row],[StockOptionLevel]],Table19[StockOptionLevel],Table19[Id_StockOptionLevel])</f>
        <v>SOL001</v>
      </c>
      <c r="AT830">
        <v>0</v>
      </c>
      <c r="AU830" t="str">
        <f>_xlfn.XLOOKUP(Table1[[#This Row],[StockOptionLevel]],Table19[StockOptionLevel],Table19[Deskripsi])</f>
        <v>Non-Eligible</v>
      </c>
      <c r="AV830">
        <v>0</v>
      </c>
      <c r="AW830">
        <v>0</v>
      </c>
      <c r="AX830" t="str">
        <f>_xlfn.XLOOKUP(Table1[[#This Row],[WorkLifeBalance]],Table20[WorkLifeBalance],Table20[Id_WorkLifeBalance])</f>
        <v>WLB002</v>
      </c>
      <c r="AY830">
        <v>3</v>
      </c>
      <c r="AZ830" t="str">
        <f>_xlfn.XLOOKUP(Table1[[#This Row],[WorkLifeBalance]],Table20[WorkLifeBalance],Table20[Deskripsi])</f>
        <v>Good</v>
      </c>
      <c r="BA830">
        <v>0</v>
      </c>
      <c r="BB830">
        <v>0</v>
      </c>
      <c r="BC830">
        <v>0</v>
      </c>
      <c r="BD830">
        <v>0</v>
      </c>
    </row>
    <row r="831" spans="1:56" x14ac:dyDescent="0.25">
      <c r="A831">
        <v>33</v>
      </c>
      <c r="B831" t="str">
        <f>_xlfn.XLOOKUP(Table1[[#This Row],[Attrition]],Table2[Attrition],Table2[Id_Attrition])</f>
        <v>A001</v>
      </c>
      <c r="C831" t="s">
        <v>32</v>
      </c>
      <c r="D831" t="str">
        <f>_xlfn.XLOOKUP(Table1[[#This Row],[BusinessTravel]],Table5[BusinessTravel],Table5[Id_BusinessTravel])</f>
        <v>BS001</v>
      </c>
      <c r="E831" t="s">
        <v>34</v>
      </c>
      <c r="F831">
        <v>603</v>
      </c>
      <c r="G831" t="str">
        <f>_xlfn.XLOOKUP(Table1[[#This Row],[Department]],Table6[Department],Table6[Id_Departement])</f>
        <v>D001</v>
      </c>
      <c r="H831" t="s">
        <v>37</v>
      </c>
      <c r="I831">
        <v>9</v>
      </c>
      <c r="J831" t="str">
        <f>_xlfn.XLOOKUP(Table1[[#This Row],[Education]],Table8[Education],Table8[Id_Education])</f>
        <v>E004</v>
      </c>
      <c r="K831">
        <v>4</v>
      </c>
      <c r="L831" t="str">
        <f>_xlfn.XLOOKUP(Table1[[#This Row],[EducationField]],Table7[EducationField],Table7[Id_EducationField])</f>
        <v>EF004</v>
      </c>
      <c r="M831" t="s">
        <v>43</v>
      </c>
      <c r="N831" t="str">
        <f>_xlfn.XLOOKUP(Table1[[#This Row],[EmployeeNumber]],Table4[EmployeeNumber],Table4[Id_Employee])</f>
        <v>EMP00830</v>
      </c>
      <c r="O831">
        <v>1157</v>
      </c>
      <c r="P831" t="str">
        <f>_xlfn.XLOOKUP(Table1[[#This Row],[EnvironmentSatisfaction]],Table9[EnvironmentSatisfaction],Table9[Id_EnviromentSatisfaction])</f>
        <v>ES001</v>
      </c>
      <c r="Q831">
        <v>1</v>
      </c>
      <c r="R831" t="str">
        <f>_xlfn.XLOOKUP(Table1[[#This Row],[EnvironmentSatisfaction]],Table9[EnvironmentSatisfaction],Table9[Deskripsi])</f>
        <v>Low</v>
      </c>
      <c r="S831" t="str">
        <f>_xlfn.XLOOKUP(Table1[[#This Row],[Gender]],Table10[Gender],Table10[Id_Gender])</f>
        <v>G001</v>
      </c>
      <c r="T831" t="s">
        <v>45</v>
      </c>
      <c r="U831">
        <v>77</v>
      </c>
      <c r="V831" t="str">
        <f>_xlfn.XLOOKUP(Table1[[#This Row],[JobInvolvement]],Table11[JobInvolvement],Table11[Id_JobInvolvement])</f>
        <v>JI003</v>
      </c>
      <c r="W831">
        <v>3</v>
      </c>
      <c r="X831" t="str">
        <f>_xlfn.XLOOKUP(Table1[[#This Row],[JobLevel]],Table12[JobLevel],Table12[Id_JobLevel])</f>
        <v>JL002</v>
      </c>
      <c r="Y831">
        <v>2</v>
      </c>
      <c r="Z831" t="str">
        <f>_xlfn.XLOOKUP(Table1[[#This Row],[JobRole]],Table13[JobRole],Table13[Id_JobRole])</f>
        <v>JR001</v>
      </c>
      <c r="AA831" t="s">
        <v>47</v>
      </c>
      <c r="AB831" t="str">
        <f>_xlfn.XLOOKUP(Table1[[#This Row],[JobSatisfaction]],Table14[JobSatisfaction],Table14[Id_JobSatisfaction])</f>
        <v>JS001</v>
      </c>
      <c r="AC831">
        <v>1</v>
      </c>
      <c r="AD831" t="str">
        <f>_xlfn.XLOOKUP(Table1[[#This Row],[JobSatisfaction]],Table14[JobSatisfaction],Table14[Deskripsi])</f>
        <v>Low</v>
      </c>
      <c r="AE831" t="str">
        <f>_xlfn.XLOOKUP(Table1[[#This Row],[MaritalStatus]],Table15[MaritalStatus],Table15[Id_MaritalStatus])</f>
        <v>MS001</v>
      </c>
      <c r="AF831" t="s">
        <v>55</v>
      </c>
      <c r="AG831">
        <v>8224</v>
      </c>
      <c r="AH831">
        <v>18385</v>
      </c>
      <c r="AI831">
        <v>0</v>
      </c>
      <c r="AJ831" t="str">
        <f>_xlfn.XLOOKUP(Table1[[#This Row],[OverTime]],Table16[OverTime],Table16[Id_OverTime])</f>
        <v>OT001</v>
      </c>
      <c r="AK831" t="s">
        <v>32</v>
      </c>
      <c r="AL831">
        <v>17</v>
      </c>
      <c r="AM831" t="str">
        <f>_xlfn.XLOOKUP(Table1[[#This Row],[PerformanceRating]],Table17[PerformanceRating],Table17[Id_PerformanceRating])</f>
        <v>PR003</v>
      </c>
      <c r="AN831">
        <v>3</v>
      </c>
      <c r="AO831" t="str">
        <f>_xlfn.XLOOKUP(Table1[[#This Row],[PerformanceRating]],Table17[PerformanceRating],Table17[Deskripsi])</f>
        <v>Excellent</v>
      </c>
      <c r="AP831" t="str">
        <f>_xlfn.XLOOKUP(Table1[[#This Row],[RelationshipSatisfaction]],Table18[RelationshipSatisfaction],Table18[Id_RelationshipSatisfaction])</f>
        <v>RS001</v>
      </c>
      <c r="AQ831">
        <v>1</v>
      </c>
      <c r="AR831" t="str">
        <f>_xlfn.XLOOKUP(Table1[[#This Row],[RelationshipSatisfaction]],Table18[RelationshipSatisfaction],Table18[Deskripsi])</f>
        <v>Low</v>
      </c>
      <c r="AS831" t="str">
        <f>_xlfn.XLOOKUP(Table1[[#This Row],[StockOptionLevel]],Table19[StockOptionLevel],Table19[Id_StockOptionLevel])</f>
        <v>SOL001</v>
      </c>
      <c r="AT831">
        <v>0</v>
      </c>
      <c r="AU831" t="str">
        <f>_xlfn.XLOOKUP(Table1[[#This Row],[StockOptionLevel]],Table19[StockOptionLevel],Table19[Deskripsi])</f>
        <v>Non-Eligible</v>
      </c>
      <c r="AV831">
        <v>6</v>
      </c>
      <c r="AW831">
        <v>3</v>
      </c>
      <c r="AX831" t="str">
        <f>_xlfn.XLOOKUP(Table1[[#This Row],[WorkLifeBalance]],Table20[WorkLifeBalance],Table20[Id_WorkLifeBalance])</f>
        <v>WLB002</v>
      </c>
      <c r="AY831">
        <v>3</v>
      </c>
      <c r="AZ831" t="str">
        <f>_xlfn.XLOOKUP(Table1[[#This Row],[WorkLifeBalance]],Table20[WorkLifeBalance],Table20[Deskripsi])</f>
        <v>Good</v>
      </c>
      <c r="BA831">
        <v>5</v>
      </c>
      <c r="BB831">
        <v>2</v>
      </c>
      <c r="BC831">
        <v>0</v>
      </c>
      <c r="BD831">
        <v>3</v>
      </c>
    </row>
    <row r="832" spans="1:56" x14ac:dyDescent="0.25">
      <c r="A832">
        <v>41</v>
      </c>
      <c r="B832" t="str">
        <f>_xlfn.XLOOKUP(Table1[[#This Row],[Attrition]],Table2[Attrition],Table2[Id_Attrition])</f>
        <v>A002</v>
      </c>
      <c r="C832" t="s">
        <v>33</v>
      </c>
      <c r="D832" t="str">
        <f>_xlfn.XLOOKUP(Table1[[#This Row],[BusinessTravel]],Table5[BusinessTravel],Table5[Id_BusinessTravel])</f>
        <v>BS001</v>
      </c>
      <c r="E832" t="s">
        <v>34</v>
      </c>
      <c r="F832">
        <v>167</v>
      </c>
      <c r="G832" t="str">
        <f>_xlfn.XLOOKUP(Table1[[#This Row],[Department]],Table6[Department],Table6[Id_Departement])</f>
        <v>D002</v>
      </c>
      <c r="H832" t="s">
        <v>38</v>
      </c>
      <c r="I832">
        <v>12</v>
      </c>
      <c r="J832" t="str">
        <f>_xlfn.XLOOKUP(Table1[[#This Row],[Education]],Table8[Education],Table8[Id_Education])</f>
        <v>E004</v>
      </c>
      <c r="K832">
        <v>4</v>
      </c>
      <c r="L832" t="str">
        <f>_xlfn.XLOOKUP(Table1[[#This Row],[EducationField]],Table7[EducationField],Table7[Id_EducationField])</f>
        <v>EF001</v>
      </c>
      <c r="M832" t="s">
        <v>40</v>
      </c>
      <c r="N832" t="str">
        <f>_xlfn.XLOOKUP(Table1[[#This Row],[EmployeeNumber]],Table4[EmployeeNumber],Table4[Id_Employee])</f>
        <v>EMP00831</v>
      </c>
      <c r="O832">
        <v>1158</v>
      </c>
      <c r="P832" t="str">
        <f>_xlfn.XLOOKUP(Table1[[#This Row],[EnvironmentSatisfaction]],Table9[EnvironmentSatisfaction],Table9[Id_EnviromentSatisfaction])</f>
        <v>ES002</v>
      </c>
      <c r="Q832">
        <v>2</v>
      </c>
      <c r="R832" t="str">
        <f>_xlfn.XLOOKUP(Table1[[#This Row],[EnvironmentSatisfaction]],Table9[EnvironmentSatisfaction],Table9[Deskripsi])</f>
        <v>Medium</v>
      </c>
      <c r="S832" t="str">
        <f>_xlfn.XLOOKUP(Table1[[#This Row],[Gender]],Table10[Gender],Table10[Id_Gender])</f>
        <v>G002</v>
      </c>
      <c r="T832" t="s">
        <v>46</v>
      </c>
      <c r="U832">
        <v>46</v>
      </c>
      <c r="V832" t="str">
        <f>_xlfn.XLOOKUP(Table1[[#This Row],[JobInvolvement]],Table11[JobInvolvement],Table11[Id_JobInvolvement])</f>
        <v>JI003</v>
      </c>
      <c r="W832">
        <v>3</v>
      </c>
      <c r="X832" t="str">
        <f>_xlfn.XLOOKUP(Table1[[#This Row],[JobLevel]],Table12[JobLevel],Table12[Id_JobLevel])</f>
        <v>JL001</v>
      </c>
      <c r="Y832">
        <v>1</v>
      </c>
      <c r="Z832" t="str">
        <f>_xlfn.XLOOKUP(Table1[[#This Row],[JobRole]],Table13[JobRole],Table13[Id_JobRole])</f>
        <v>JR003</v>
      </c>
      <c r="AA832" t="s">
        <v>49</v>
      </c>
      <c r="AB832" t="str">
        <f>_xlfn.XLOOKUP(Table1[[#This Row],[JobSatisfaction]],Table14[JobSatisfaction],Table14[Id_JobSatisfaction])</f>
        <v>JS004</v>
      </c>
      <c r="AC832">
        <v>4</v>
      </c>
      <c r="AD832" t="str">
        <f>_xlfn.XLOOKUP(Table1[[#This Row],[JobSatisfaction]],Table14[JobSatisfaction],Table14[Deskripsi])</f>
        <v>Very High</v>
      </c>
      <c r="AE832" t="str">
        <f>_xlfn.XLOOKUP(Table1[[#This Row],[MaritalStatus]],Table15[MaritalStatus],Table15[Id_MaritalStatus])</f>
        <v>MS002</v>
      </c>
      <c r="AF832" t="s">
        <v>56</v>
      </c>
      <c r="AG832">
        <v>4766</v>
      </c>
      <c r="AH832">
        <v>9051</v>
      </c>
      <c r="AI832">
        <v>3</v>
      </c>
      <c r="AJ832" t="str">
        <f>_xlfn.XLOOKUP(Table1[[#This Row],[OverTime]],Table16[OverTime],Table16[Id_OverTime])</f>
        <v>OT001</v>
      </c>
      <c r="AK832" t="s">
        <v>32</v>
      </c>
      <c r="AL832">
        <v>11</v>
      </c>
      <c r="AM832" t="str">
        <f>_xlfn.XLOOKUP(Table1[[#This Row],[PerformanceRating]],Table17[PerformanceRating],Table17[Id_PerformanceRating])</f>
        <v>PR003</v>
      </c>
      <c r="AN832">
        <v>3</v>
      </c>
      <c r="AO832" t="str">
        <f>_xlfn.XLOOKUP(Table1[[#This Row],[PerformanceRating]],Table17[PerformanceRating],Table17[Deskripsi])</f>
        <v>Excellent</v>
      </c>
      <c r="AP832" t="str">
        <f>_xlfn.XLOOKUP(Table1[[#This Row],[RelationshipSatisfaction]],Table18[RelationshipSatisfaction],Table18[Id_RelationshipSatisfaction])</f>
        <v>RS001</v>
      </c>
      <c r="AQ832">
        <v>1</v>
      </c>
      <c r="AR832" t="str">
        <f>_xlfn.XLOOKUP(Table1[[#This Row],[RelationshipSatisfaction]],Table18[RelationshipSatisfaction],Table18[Deskripsi])</f>
        <v>Low</v>
      </c>
      <c r="AS832" t="str">
        <f>_xlfn.XLOOKUP(Table1[[#This Row],[StockOptionLevel]],Table19[StockOptionLevel],Table19[Id_StockOptionLevel])</f>
        <v>SOL002</v>
      </c>
      <c r="AT832">
        <v>1</v>
      </c>
      <c r="AU832" t="str">
        <f>_xlfn.XLOOKUP(Table1[[#This Row],[StockOptionLevel]],Table19[StockOptionLevel],Table19[Deskripsi])</f>
        <v>Standard</v>
      </c>
      <c r="AV832">
        <v>6</v>
      </c>
      <c r="AW832">
        <v>4</v>
      </c>
      <c r="AX832" t="str">
        <f>_xlfn.XLOOKUP(Table1[[#This Row],[WorkLifeBalance]],Table20[WorkLifeBalance],Table20[Id_WorkLifeBalance])</f>
        <v>WLB002</v>
      </c>
      <c r="AY832">
        <v>3</v>
      </c>
      <c r="AZ832" t="str">
        <f>_xlfn.XLOOKUP(Table1[[#This Row],[WorkLifeBalance]],Table20[WorkLifeBalance],Table20[Deskripsi])</f>
        <v>Good</v>
      </c>
      <c r="BA832">
        <v>1</v>
      </c>
      <c r="BB832">
        <v>0</v>
      </c>
      <c r="BC832">
        <v>0</v>
      </c>
      <c r="BD832">
        <v>0</v>
      </c>
    </row>
    <row r="833" spans="1:56" x14ac:dyDescent="0.25">
      <c r="A833">
        <v>31</v>
      </c>
      <c r="B833" t="str">
        <f>_xlfn.XLOOKUP(Table1[[#This Row],[Attrition]],Table2[Attrition],Table2[Id_Attrition])</f>
        <v>A001</v>
      </c>
      <c r="C833" t="s">
        <v>32</v>
      </c>
      <c r="D833" t="str">
        <f>_xlfn.XLOOKUP(Table1[[#This Row],[BusinessTravel]],Table5[BusinessTravel],Table5[Id_BusinessTravel])</f>
        <v>BS002</v>
      </c>
      <c r="E833" t="s">
        <v>35</v>
      </c>
      <c r="F833">
        <v>874</v>
      </c>
      <c r="G833" t="str">
        <f>_xlfn.XLOOKUP(Table1[[#This Row],[Department]],Table6[Department],Table6[Id_Departement])</f>
        <v>D002</v>
      </c>
      <c r="H833" t="s">
        <v>38</v>
      </c>
      <c r="I833">
        <v>15</v>
      </c>
      <c r="J833" t="str">
        <f>_xlfn.XLOOKUP(Table1[[#This Row],[Education]],Table8[Education],Table8[Id_Education])</f>
        <v>E003</v>
      </c>
      <c r="K833">
        <v>3</v>
      </c>
      <c r="L833" t="str">
        <f>_xlfn.XLOOKUP(Table1[[#This Row],[EducationField]],Table7[EducationField],Table7[Id_EducationField])</f>
        <v>EF003</v>
      </c>
      <c r="M833" t="s">
        <v>42</v>
      </c>
      <c r="N833" t="str">
        <f>_xlfn.XLOOKUP(Table1[[#This Row],[EmployeeNumber]],Table4[EmployeeNumber],Table4[Id_Employee])</f>
        <v>EMP00832</v>
      </c>
      <c r="O833">
        <v>1160</v>
      </c>
      <c r="P833" t="str">
        <f>_xlfn.XLOOKUP(Table1[[#This Row],[EnvironmentSatisfaction]],Table9[EnvironmentSatisfaction],Table9[Id_EnviromentSatisfaction])</f>
        <v>ES003</v>
      </c>
      <c r="Q833">
        <v>3</v>
      </c>
      <c r="R833" t="str">
        <f>_xlfn.XLOOKUP(Table1[[#This Row],[EnvironmentSatisfaction]],Table9[EnvironmentSatisfaction],Table9[Deskripsi])</f>
        <v>High</v>
      </c>
      <c r="S833" t="str">
        <f>_xlfn.XLOOKUP(Table1[[#This Row],[Gender]],Table10[Gender],Table10[Id_Gender])</f>
        <v>G002</v>
      </c>
      <c r="T833" t="s">
        <v>46</v>
      </c>
      <c r="U833">
        <v>72</v>
      </c>
      <c r="V833" t="str">
        <f>_xlfn.XLOOKUP(Table1[[#This Row],[JobInvolvement]],Table11[JobInvolvement],Table11[Id_JobInvolvement])</f>
        <v>JI003</v>
      </c>
      <c r="W833">
        <v>3</v>
      </c>
      <c r="X833" t="str">
        <f>_xlfn.XLOOKUP(Table1[[#This Row],[JobLevel]],Table12[JobLevel],Table12[Id_JobLevel])</f>
        <v>JL001</v>
      </c>
      <c r="Y833">
        <v>1</v>
      </c>
      <c r="Z833" t="str">
        <f>_xlfn.XLOOKUP(Table1[[#This Row],[JobRole]],Table13[JobRole],Table13[Id_JobRole])</f>
        <v>JR003</v>
      </c>
      <c r="AA833" t="s">
        <v>49</v>
      </c>
      <c r="AB833" t="str">
        <f>_xlfn.XLOOKUP(Table1[[#This Row],[JobSatisfaction]],Table14[JobSatisfaction],Table14[Id_JobSatisfaction])</f>
        <v>JS003</v>
      </c>
      <c r="AC833">
        <v>3</v>
      </c>
      <c r="AD833" t="str">
        <f>_xlfn.XLOOKUP(Table1[[#This Row],[JobSatisfaction]],Table14[JobSatisfaction],Table14[Deskripsi])</f>
        <v>High</v>
      </c>
      <c r="AE833" t="str">
        <f>_xlfn.XLOOKUP(Table1[[#This Row],[MaritalStatus]],Table15[MaritalStatus],Table15[Id_MaritalStatus])</f>
        <v>MS002</v>
      </c>
      <c r="AF833" t="s">
        <v>56</v>
      </c>
      <c r="AG833">
        <v>2610</v>
      </c>
      <c r="AH833">
        <v>6233</v>
      </c>
      <c r="AI833">
        <v>1</v>
      </c>
      <c r="AJ833" t="str">
        <f>_xlfn.XLOOKUP(Table1[[#This Row],[OverTime]],Table16[OverTime],Table16[Id_OverTime])</f>
        <v>OT002</v>
      </c>
      <c r="AK833" t="s">
        <v>33</v>
      </c>
      <c r="AL833">
        <v>12</v>
      </c>
      <c r="AM833" t="str">
        <f>_xlfn.XLOOKUP(Table1[[#This Row],[PerformanceRating]],Table17[PerformanceRating],Table17[Id_PerformanceRating])</f>
        <v>PR003</v>
      </c>
      <c r="AN833">
        <v>3</v>
      </c>
      <c r="AO833" t="str">
        <f>_xlfn.XLOOKUP(Table1[[#This Row],[PerformanceRating]],Table17[PerformanceRating],Table17[Deskripsi])</f>
        <v>Excellent</v>
      </c>
      <c r="AP833" t="str">
        <f>_xlfn.XLOOKUP(Table1[[#This Row],[RelationshipSatisfaction]],Table18[RelationshipSatisfaction],Table18[Id_RelationshipSatisfaction])</f>
        <v>RS003</v>
      </c>
      <c r="AQ833">
        <v>3</v>
      </c>
      <c r="AR833" t="str">
        <f>_xlfn.XLOOKUP(Table1[[#This Row],[RelationshipSatisfaction]],Table18[RelationshipSatisfaction],Table18[Deskripsi])</f>
        <v>High</v>
      </c>
      <c r="AS833" t="str">
        <f>_xlfn.XLOOKUP(Table1[[#This Row],[StockOptionLevel]],Table19[StockOptionLevel],Table19[Id_StockOptionLevel])</f>
        <v>SOL002</v>
      </c>
      <c r="AT833">
        <v>1</v>
      </c>
      <c r="AU833" t="str">
        <f>_xlfn.XLOOKUP(Table1[[#This Row],[StockOptionLevel]],Table19[StockOptionLevel],Table19[Deskripsi])</f>
        <v>Standard</v>
      </c>
      <c r="AV833">
        <v>2</v>
      </c>
      <c r="AW833">
        <v>5</v>
      </c>
      <c r="AX833" t="str">
        <f>_xlfn.XLOOKUP(Table1[[#This Row],[WorkLifeBalance]],Table20[WorkLifeBalance],Table20[Id_WorkLifeBalance])</f>
        <v>WLB003</v>
      </c>
      <c r="AY833">
        <v>2</v>
      </c>
      <c r="AZ833" t="str">
        <f>_xlfn.XLOOKUP(Table1[[#This Row],[WorkLifeBalance]],Table20[WorkLifeBalance],Table20[Deskripsi])</f>
        <v>Better</v>
      </c>
      <c r="BA833">
        <v>2</v>
      </c>
      <c r="BB833">
        <v>2</v>
      </c>
      <c r="BC833">
        <v>2</v>
      </c>
      <c r="BD833">
        <v>2</v>
      </c>
    </row>
    <row r="834" spans="1:56" x14ac:dyDescent="0.25">
      <c r="A834">
        <v>37</v>
      </c>
      <c r="B834" t="str">
        <f>_xlfn.XLOOKUP(Table1[[#This Row],[Attrition]],Table2[Attrition],Table2[Id_Attrition])</f>
        <v>A002</v>
      </c>
      <c r="C834" t="s">
        <v>33</v>
      </c>
      <c r="D834" t="str">
        <f>_xlfn.XLOOKUP(Table1[[#This Row],[BusinessTravel]],Table5[BusinessTravel],Table5[Id_BusinessTravel])</f>
        <v>BS001</v>
      </c>
      <c r="E834" t="s">
        <v>34</v>
      </c>
      <c r="F834">
        <v>367</v>
      </c>
      <c r="G834" t="str">
        <f>_xlfn.XLOOKUP(Table1[[#This Row],[Department]],Table6[Department],Table6[Id_Departement])</f>
        <v>D002</v>
      </c>
      <c r="H834" t="s">
        <v>38</v>
      </c>
      <c r="I834">
        <v>25</v>
      </c>
      <c r="J834" t="str">
        <f>_xlfn.XLOOKUP(Table1[[#This Row],[Education]],Table8[Education],Table8[Id_Education])</f>
        <v>E002</v>
      </c>
      <c r="K834">
        <v>2</v>
      </c>
      <c r="L834" t="str">
        <f>_xlfn.XLOOKUP(Table1[[#This Row],[EducationField]],Table7[EducationField],Table7[Id_EducationField])</f>
        <v>EF003</v>
      </c>
      <c r="M834" t="s">
        <v>42</v>
      </c>
      <c r="N834" t="str">
        <f>_xlfn.XLOOKUP(Table1[[#This Row],[EmployeeNumber]],Table4[EmployeeNumber],Table4[Id_Employee])</f>
        <v>EMP00833</v>
      </c>
      <c r="O834">
        <v>1161</v>
      </c>
      <c r="P834" t="str">
        <f>_xlfn.XLOOKUP(Table1[[#This Row],[EnvironmentSatisfaction]],Table9[EnvironmentSatisfaction],Table9[Id_EnviromentSatisfaction])</f>
        <v>ES003</v>
      </c>
      <c r="Q834">
        <v>3</v>
      </c>
      <c r="R834" t="str">
        <f>_xlfn.XLOOKUP(Table1[[#This Row],[EnvironmentSatisfaction]],Table9[EnvironmentSatisfaction],Table9[Deskripsi])</f>
        <v>High</v>
      </c>
      <c r="S834" t="str">
        <f>_xlfn.XLOOKUP(Table1[[#This Row],[Gender]],Table10[Gender],Table10[Id_Gender])</f>
        <v>G001</v>
      </c>
      <c r="T834" t="s">
        <v>45</v>
      </c>
      <c r="U834">
        <v>52</v>
      </c>
      <c r="V834" t="str">
        <f>_xlfn.XLOOKUP(Table1[[#This Row],[JobInvolvement]],Table11[JobInvolvement],Table11[Id_JobInvolvement])</f>
        <v>JI002</v>
      </c>
      <c r="W834">
        <v>2</v>
      </c>
      <c r="X834" t="str">
        <f>_xlfn.XLOOKUP(Table1[[#This Row],[JobLevel]],Table12[JobLevel],Table12[Id_JobLevel])</f>
        <v>JL002</v>
      </c>
      <c r="Y834">
        <v>2</v>
      </c>
      <c r="Z834" t="str">
        <f>_xlfn.XLOOKUP(Table1[[#This Row],[JobRole]],Table13[JobRole],Table13[Id_JobRole])</f>
        <v>JR005</v>
      </c>
      <c r="AA834" t="s">
        <v>51</v>
      </c>
      <c r="AB834" t="str">
        <f>_xlfn.XLOOKUP(Table1[[#This Row],[JobSatisfaction]],Table14[JobSatisfaction],Table14[Id_JobSatisfaction])</f>
        <v>JS004</v>
      </c>
      <c r="AC834">
        <v>4</v>
      </c>
      <c r="AD834" t="str">
        <f>_xlfn.XLOOKUP(Table1[[#This Row],[JobSatisfaction]],Table14[JobSatisfaction],Table14[Deskripsi])</f>
        <v>Very High</v>
      </c>
      <c r="AE834" t="str">
        <f>_xlfn.XLOOKUP(Table1[[#This Row],[MaritalStatus]],Table15[MaritalStatus],Table15[Id_MaritalStatus])</f>
        <v>MS003</v>
      </c>
      <c r="AF834" t="s">
        <v>57</v>
      </c>
      <c r="AG834">
        <v>5731</v>
      </c>
      <c r="AH834">
        <v>17171</v>
      </c>
      <c r="AI834">
        <v>7</v>
      </c>
      <c r="AJ834" t="str">
        <f>_xlfn.XLOOKUP(Table1[[#This Row],[OverTime]],Table16[OverTime],Table16[Id_OverTime])</f>
        <v>OT002</v>
      </c>
      <c r="AK834" t="s">
        <v>33</v>
      </c>
      <c r="AL834">
        <v>13</v>
      </c>
      <c r="AM834" t="str">
        <f>_xlfn.XLOOKUP(Table1[[#This Row],[PerformanceRating]],Table17[PerformanceRating],Table17[Id_PerformanceRating])</f>
        <v>PR003</v>
      </c>
      <c r="AN834">
        <v>3</v>
      </c>
      <c r="AO834" t="str">
        <f>_xlfn.XLOOKUP(Table1[[#This Row],[PerformanceRating]],Table17[PerformanceRating],Table17[Deskripsi])</f>
        <v>Excellent</v>
      </c>
      <c r="AP834" t="str">
        <f>_xlfn.XLOOKUP(Table1[[#This Row],[RelationshipSatisfaction]],Table18[RelationshipSatisfaction],Table18[Id_RelationshipSatisfaction])</f>
        <v>RS003</v>
      </c>
      <c r="AQ834">
        <v>3</v>
      </c>
      <c r="AR834" t="str">
        <f>_xlfn.XLOOKUP(Table1[[#This Row],[RelationshipSatisfaction]],Table18[RelationshipSatisfaction],Table18[Deskripsi])</f>
        <v>High</v>
      </c>
      <c r="AS834" t="str">
        <f>_xlfn.XLOOKUP(Table1[[#This Row],[StockOptionLevel]],Table19[StockOptionLevel],Table19[Id_StockOptionLevel])</f>
        <v>SOL003</v>
      </c>
      <c r="AT834">
        <v>2</v>
      </c>
      <c r="AU834" t="str">
        <f>_xlfn.XLOOKUP(Table1[[#This Row],[StockOptionLevel]],Table19[StockOptionLevel],Table19[Deskripsi])</f>
        <v>Intermediate</v>
      </c>
      <c r="AV834">
        <v>9</v>
      </c>
      <c r="AW834">
        <v>2</v>
      </c>
      <c r="AX834" t="str">
        <f>_xlfn.XLOOKUP(Table1[[#This Row],[WorkLifeBalance]],Table20[WorkLifeBalance],Table20[Id_WorkLifeBalance])</f>
        <v>WLB002</v>
      </c>
      <c r="AY834">
        <v>3</v>
      </c>
      <c r="AZ834" t="str">
        <f>_xlfn.XLOOKUP(Table1[[#This Row],[WorkLifeBalance]],Table20[WorkLifeBalance],Table20[Deskripsi])</f>
        <v>Good</v>
      </c>
      <c r="BA834">
        <v>6</v>
      </c>
      <c r="BB834">
        <v>2</v>
      </c>
      <c r="BC834">
        <v>1</v>
      </c>
      <c r="BD834">
        <v>3</v>
      </c>
    </row>
    <row r="835" spans="1:56" x14ac:dyDescent="0.25">
      <c r="A835">
        <v>27</v>
      </c>
      <c r="B835" t="str">
        <f>_xlfn.XLOOKUP(Table1[[#This Row],[Attrition]],Table2[Attrition],Table2[Id_Attrition])</f>
        <v>A002</v>
      </c>
      <c r="C835" t="s">
        <v>33</v>
      </c>
      <c r="D835" t="str">
        <f>_xlfn.XLOOKUP(Table1[[#This Row],[BusinessTravel]],Table5[BusinessTravel],Table5[Id_BusinessTravel])</f>
        <v>BS001</v>
      </c>
      <c r="E835" t="s">
        <v>34</v>
      </c>
      <c r="F835">
        <v>199</v>
      </c>
      <c r="G835" t="str">
        <f>_xlfn.XLOOKUP(Table1[[#This Row],[Department]],Table6[Department],Table6[Id_Departement])</f>
        <v>D002</v>
      </c>
      <c r="H835" t="s">
        <v>38</v>
      </c>
      <c r="I835">
        <v>6</v>
      </c>
      <c r="J835" t="str">
        <f>_xlfn.XLOOKUP(Table1[[#This Row],[Education]],Table8[Education],Table8[Id_Education])</f>
        <v>E003</v>
      </c>
      <c r="K835">
        <v>3</v>
      </c>
      <c r="L835" t="str">
        <f>_xlfn.XLOOKUP(Table1[[#This Row],[EducationField]],Table7[EducationField],Table7[Id_EducationField])</f>
        <v>EF001</v>
      </c>
      <c r="M835" t="s">
        <v>40</v>
      </c>
      <c r="N835" t="str">
        <f>_xlfn.XLOOKUP(Table1[[#This Row],[EmployeeNumber]],Table4[EmployeeNumber],Table4[Id_Employee])</f>
        <v>EMP00834</v>
      </c>
      <c r="O835">
        <v>1162</v>
      </c>
      <c r="P835" t="str">
        <f>_xlfn.XLOOKUP(Table1[[#This Row],[EnvironmentSatisfaction]],Table9[EnvironmentSatisfaction],Table9[Id_EnviromentSatisfaction])</f>
        <v>ES004</v>
      </c>
      <c r="Q835">
        <v>4</v>
      </c>
      <c r="R835" t="str">
        <f>_xlfn.XLOOKUP(Table1[[#This Row],[EnvironmentSatisfaction]],Table9[EnvironmentSatisfaction],Table9[Deskripsi])</f>
        <v>Very High</v>
      </c>
      <c r="S835" t="str">
        <f>_xlfn.XLOOKUP(Table1[[#This Row],[Gender]],Table10[Gender],Table10[Id_Gender])</f>
        <v>G002</v>
      </c>
      <c r="T835" t="s">
        <v>46</v>
      </c>
      <c r="U835">
        <v>55</v>
      </c>
      <c r="V835" t="str">
        <f>_xlfn.XLOOKUP(Table1[[#This Row],[JobInvolvement]],Table11[JobInvolvement],Table11[Id_JobInvolvement])</f>
        <v>JI002</v>
      </c>
      <c r="W835">
        <v>2</v>
      </c>
      <c r="X835" t="str">
        <f>_xlfn.XLOOKUP(Table1[[#This Row],[JobLevel]],Table12[JobLevel],Table12[Id_JobLevel])</f>
        <v>JL001</v>
      </c>
      <c r="Y835">
        <v>1</v>
      </c>
      <c r="Z835" t="str">
        <f>_xlfn.XLOOKUP(Table1[[#This Row],[JobRole]],Table13[JobRole],Table13[Id_JobRole])</f>
        <v>JR002</v>
      </c>
      <c r="AA835" t="s">
        <v>48</v>
      </c>
      <c r="AB835" t="str">
        <f>_xlfn.XLOOKUP(Table1[[#This Row],[JobSatisfaction]],Table14[JobSatisfaction],Table14[Id_JobSatisfaction])</f>
        <v>JS003</v>
      </c>
      <c r="AC835">
        <v>3</v>
      </c>
      <c r="AD835" t="str">
        <f>_xlfn.XLOOKUP(Table1[[#This Row],[JobSatisfaction]],Table14[JobSatisfaction],Table14[Deskripsi])</f>
        <v>High</v>
      </c>
      <c r="AE835" t="str">
        <f>_xlfn.XLOOKUP(Table1[[#This Row],[MaritalStatus]],Table15[MaritalStatus],Table15[Id_MaritalStatus])</f>
        <v>MS002</v>
      </c>
      <c r="AF835" t="s">
        <v>56</v>
      </c>
      <c r="AG835">
        <v>2539</v>
      </c>
      <c r="AH835">
        <v>7950</v>
      </c>
      <c r="AI835">
        <v>1</v>
      </c>
      <c r="AJ835" t="str">
        <f>_xlfn.XLOOKUP(Table1[[#This Row],[OverTime]],Table16[OverTime],Table16[Id_OverTime])</f>
        <v>OT002</v>
      </c>
      <c r="AK835" t="s">
        <v>33</v>
      </c>
      <c r="AL835">
        <v>13</v>
      </c>
      <c r="AM835" t="str">
        <f>_xlfn.XLOOKUP(Table1[[#This Row],[PerformanceRating]],Table17[PerformanceRating],Table17[Id_PerformanceRating])</f>
        <v>PR003</v>
      </c>
      <c r="AN835">
        <v>3</v>
      </c>
      <c r="AO835" t="str">
        <f>_xlfn.XLOOKUP(Table1[[#This Row],[PerformanceRating]],Table17[PerformanceRating],Table17[Deskripsi])</f>
        <v>Excellent</v>
      </c>
      <c r="AP835" t="str">
        <f>_xlfn.XLOOKUP(Table1[[#This Row],[RelationshipSatisfaction]],Table18[RelationshipSatisfaction],Table18[Id_RelationshipSatisfaction])</f>
        <v>RS003</v>
      </c>
      <c r="AQ835">
        <v>3</v>
      </c>
      <c r="AR835" t="str">
        <f>_xlfn.XLOOKUP(Table1[[#This Row],[RelationshipSatisfaction]],Table18[RelationshipSatisfaction],Table18[Deskripsi])</f>
        <v>High</v>
      </c>
      <c r="AS835" t="str">
        <f>_xlfn.XLOOKUP(Table1[[#This Row],[StockOptionLevel]],Table19[StockOptionLevel],Table19[Id_StockOptionLevel])</f>
        <v>SOL002</v>
      </c>
      <c r="AT835">
        <v>1</v>
      </c>
      <c r="AU835" t="str">
        <f>_xlfn.XLOOKUP(Table1[[#This Row],[StockOptionLevel]],Table19[StockOptionLevel],Table19[Deskripsi])</f>
        <v>Standard</v>
      </c>
      <c r="AV835">
        <v>4</v>
      </c>
      <c r="AW835">
        <v>0</v>
      </c>
      <c r="AX835" t="str">
        <f>_xlfn.XLOOKUP(Table1[[#This Row],[WorkLifeBalance]],Table20[WorkLifeBalance],Table20[Id_WorkLifeBalance])</f>
        <v>WLB002</v>
      </c>
      <c r="AY835">
        <v>3</v>
      </c>
      <c r="AZ835" t="str">
        <f>_xlfn.XLOOKUP(Table1[[#This Row],[WorkLifeBalance]],Table20[WorkLifeBalance],Table20[Deskripsi])</f>
        <v>Good</v>
      </c>
      <c r="BA835">
        <v>4</v>
      </c>
      <c r="BB835">
        <v>2</v>
      </c>
      <c r="BC835">
        <v>2</v>
      </c>
      <c r="BD835">
        <v>2</v>
      </c>
    </row>
    <row r="836" spans="1:56" x14ac:dyDescent="0.25">
      <c r="A836">
        <v>34</v>
      </c>
      <c r="B836" t="str">
        <f>_xlfn.XLOOKUP(Table1[[#This Row],[Attrition]],Table2[Attrition],Table2[Id_Attrition])</f>
        <v>A002</v>
      </c>
      <c r="C836" t="s">
        <v>33</v>
      </c>
      <c r="D836" t="str">
        <f>_xlfn.XLOOKUP(Table1[[#This Row],[BusinessTravel]],Table5[BusinessTravel],Table5[Id_BusinessTravel])</f>
        <v>BS001</v>
      </c>
      <c r="E836" t="s">
        <v>34</v>
      </c>
      <c r="F836">
        <v>1400</v>
      </c>
      <c r="G836" t="str">
        <f>_xlfn.XLOOKUP(Table1[[#This Row],[Department]],Table6[Department],Table6[Id_Departement])</f>
        <v>D001</v>
      </c>
      <c r="H836" t="s">
        <v>37</v>
      </c>
      <c r="I836">
        <v>9</v>
      </c>
      <c r="J836" t="str">
        <f>_xlfn.XLOOKUP(Table1[[#This Row],[Education]],Table8[Education],Table8[Id_Education])</f>
        <v>E001</v>
      </c>
      <c r="K836">
        <v>1</v>
      </c>
      <c r="L836" t="str">
        <f>_xlfn.XLOOKUP(Table1[[#This Row],[EducationField]],Table7[EducationField],Table7[Id_EducationField])</f>
        <v>EF001</v>
      </c>
      <c r="M836" t="s">
        <v>40</v>
      </c>
      <c r="N836" t="str">
        <f>_xlfn.XLOOKUP(Table1[[#This Row],[EmployeeNumber]],Table4[EmployeeNumber],Table4[Id_Employee])</f>
        <v>EMP00835</v>
      </c>
      <c r="O836">
        <v>1163</v>
      </c>
      <c r="P836" t="str">
        <f>_xlfn.XLOOKUP(Table1[[#This Row],[EnvironmentSatisfaction]],Table9[EnvironmentSatisfaction],Table9[Id_EnviromentSatisfaction])</f>
        <v>ES002</v>
      </c>
      <c r="Q836">
        <v>2</v>
      </c>
      <c r="R836" t="str">
        <f>_xlfn.XLOOKUP(Table1[[#This Row],[EnvironmentSatisfaction]],Table9[EnvironmentSatisfaction],Table9[Deskripsi])</f>
        <v>Medium</v>
      </c>
      <c r="S836" t="str">
        <f>_xlfn.XLOOKUP(Table1[[#This Row],[Gender]],Table10[Gender],Table10[Id_Gender])</f>
        <v>G001</v>
      </c>
      <c r="T836" t="s">
        <v>45</v>
      </c>
      <c r="U836">
        <v>70</v>
      </c>
      <c r="V836" t="str">
        <f>_xlfn.XLOOKUP(Table1[[#This Row],[JobInvolvement]],Table11[JobInvolvement],Table11[Id_JobInvolvement])</f>
        <v>JI003</v>
      </c>
      <c r="W836">
        <v>3</v>
      </c>
      <c r="X836" t="str">
        <f>_xlfn.XLOOKUP(Table1[[#This Row],[JobLevel]],Table12[JobLevel],Table12[Id_JobLevel])</f>
        <v>JL002</v>
      </c>
      <c r="Y836">
        <v>2</v>
      </c>
      <c r="Z836" t="str">
        <f>_xlfn.XLOOKUP(Table1[[#This Row],[JobRole]],Table13[JobRole],Table13[Id_JobRole])</f>
        <v>JR001</v>
      </c>
      <c r="AA836" t="s">
        <v>47</v>
      </c>
      <c r="AB836" t="str">
        <f>_xlfn.XLOOKUP(Table1[[#This Row],[JobSatisfaction]],Table14[JobSatisfaction],Table14[Id_JobSatisfaction])</f>
        <v>JS003</v>
      </c>
      <c r="AC836">
        <v>3</v>
      </c>
      <c r="AD836" t="str">
        <f>_xlfn.XLOOKUP(Table1[[#This Row],[JobSatisfaction]],Table14[JobSatisfaction],Table14[Deskripsi])</f>
        <v>High</v>
      </c>
      <c r="AE836" t="str">
        <f>_xlfn.XLOOKUP(Table1[[#This Row],[MaritalStatus]],Table15[MaritalStatus],Table15[Id_MaritalStatus])</f>
        <v>MS002</v>
      </c>
      <c r="AF836" t="s">
        <v>56</v>
      </c>
      <c r="AG836">
        <v>5714</v>
      </c>
      <c r="AH836">
        <v>5829</v>
      </c>
      <c r="AI836">
        <v>1</v>
      </c>
      <c r="AJ836" t="str">
        <f>_xlfn.XLOOKUP(Table1[[#This Row],[OverTime]],Table16[OverTime],Table16[Id_OverTime])</f>
        <v>OT002</v>
      </c>
      <c r="AK836" t="s">
        <v>33</v>
      </c>
      <c r="AL836">
        <v>20</v>
      </c>
      <c r="AM836" t="str">
        <f>_xlfn.XLOOKUP(Table1[[#This Row],[PerformanceRating]],Table17[PerformanceRating],Table17[Id_PerformanceRating])</f>
        <v>PR004</v>
      </c>
      <c r="AN836">
        <v>4</v>
      </c>
      <c r="AO836" t="str">
        <f>_xlfn.XLOOKUP(Table1[[#This Row],[PerformanceRating]],Table17[PerformanceRating],Table17[Deskripsi])</f>
        <v>Outstanding</v>
      </c>
      <c r="AP836" t="str">
        <f>_xlfn.XLOOKUP(Table1[[#This Row],[RelationshipSatisfaction]],Table18[RelationshipSatisfaction],Table18[Id_RelationshipSatisfaction])</f>
        <v>RS001</v>
      </c>
      <c r="AQ836">
        <v>1</v>
      </c>
      <c r="AR836" t="str">
        <f>_xlfn.XLOOKUP(Table1[[#This Row],[RelationshipSatisfaction]],Table18[RelationshipSatisfaction],Table18[Deskripsi])</f>
        <v>Low</v>
      </c>
      <c r="AS836" t="str">
        <f>_xlfn.XLOOKUP(Table1[[#This Row],[StockOptionLevel]],Table19[StockOptionLevel],Table19[Id_StockOptionLevel])</f>
        <v>SOL001</v>
      </c>
      <c r="AT836">
        <v>0</v>
      </c>
      <c r="AU836" t="str">
        <f>_xlfn.XLOOKUP(Table1[[#This Row],[StockOptionLevel]],Table19[StockOptionLevel],Table19[Deskripsi])</f>
        <v>Non-Eligible</v>
      </c>
      <c r="AV836">
        <v>6</v>
      </c>
      <c r="AW836">
        <v>3</v>
      </c>
      <c r="AX836" t="str">
        <f>_xlfn.XLOOKUP(Table1[[#This Row],[WorkLifeBalance]],Table20[WorkLifeBalance],Table20[Id_WorkLifeBalance])</f>
        <v>WLB003</v>
      </c>
      <c r="AY836">
        <v>2</v>
      </c>
      <c r="AZ836" t="str">
        <f>_xlfn.XLOOKUP(Table1[[#This Row],[WorkLifeBalance]],Table20[WorkLifeBalance],Table20[Deskripsi])</f>
        <v>Better</v>
      </c>
      <c r="BA836">
        <v>6</v>
      </c>
      <c r="BB836">
        <v>5</v>
      </c>
      <c r="BC836">
        <v>1</v>
      </c>
      <c r="BD836">
        <v>3</v>
      </c>
    </row>
    <row r="837" spans="1:56" x14ac:dyDescent="0.25">
      <c r="A837">
        <v>35</v>
      </c>
      <c r="B837" t="str">
        <f>_xlfn.XLOOKUP(Table1[[#This Row],[Attrition]],Table2[Attrition],Table2[Id_Attrition])</f>
        <v>A002</v>
      </c>
      <c r="C837" t="s">
        <v>33</v>
      </c>
      <c r="D837" t="str">
        <f>_xlfn.XLOOKUP(Table1[[#This Row],[BusinessTravel]],Table5[BusinessTravel],Table5[Id_BusinessTravel])</f>
        <v>BS001</v>
      </c>
      <c r="E837" t="s">
        <v>34</v>
      </c>
      <c r="F837">
        <v>528</v>
      </c>
      <c r="G837" t="str">
        <f>_xlfn.XLOOKUP(Table1[[#This Row],[Department]],Table6[Department],Table6[Id_Departement])</f>
        <v>D003</v>
      </c>
      <c r="H837" t="s">
        <v>39</v>
      </c>
      <c r="I837">
        <v>8</v>
      </c>
      <c r="J837" t="str">
        <f>_xlfn.XLOOKUP(Table1[[#This Row],[Education]],Table8[Education],Table8[Id_Education])</f>
        <v>E004</v>
      </c>
      <c r="K837">
        <v>4</v>
      </c>
      <c r="L837" t="str">
        <f>_xlfn.XLOOKUP(Table1[[#This Row],[EducationField]],Table7[EducationField],Table7[Id_EducationField])</f>
        <v>EF005</v>
      </c>
      <c r="M837" t="s">
        <v>44</v>
      </c>
      <c r="N837" t="str">
        <f>_xlfn.XLOOKUP(Table1[[#This Row],[EmployeeNumber]],Table4[EmployeeNumber],Table4[Id_Employee])</f>
        <v>EMP00836</v>
      </c>
      <c r="O837">
        <v>1164</v>
      </c>
      <c r="P837" t="str">
        <f>_xlfn.XLOOKUP(Table1[[#This Row],[EnvironmentSatisfaction]],Table9[EnvironmentSatisfaction],Table9[Id_EnviromentSatisfaction])</f>
        <v>ES003</v>
      </c>
      <c r="Q837">
        <v>3</v>
      </c>
      <c r="R837" t="str">
        <f>_xlfn.XLOOKUP(Table1[[#This Row],[EnvironmentSatisfaction]],Table9[EnvironmentSatisfaction],Table9[Deskripsi])</f>
        <v>High</v>
      </c>
      <c r="S837" t="str">
        <f>_xlfn.XLOOKUP(Table1[[#This Row],[Gender]],Table10[Gender],Table10[Id_Gender])</f>
        <v>G002</v>
      </c>
      <c r="T837" t="s">
        <v>46</v>
      </c>
      <c r="U837">
        <v>100</v>
      </c>
      <c r="V837" t="str">
        <f>_xlfn.XLOOKUP(Table1[[#This Row],[JobInvolvement]],Table11[JobInvolvement],Table11[Id_JobInvolvement])</f>
        <v>JI003</v>
      </c>
      <c r="W837">
        <v>3</v>
      </c>
      <c r="X837" t="str">
        <f>_xlfn.XLOOKUP(Table1[[#This Row],[JobLevel]],Table12[JobLevel],Table12[Id_JobLevel])</f>
        <v>JL001</v>
      </c>
      <c r="Y837">
        <v>1</v>
      </c>
      <c r="Z837" t="str">
        <f>_xlfn.XLOOKUP(Table1[[#This Row],[JobRole]],Table13[JobRole],Table13[Id_JobRole])</f>
        <v>JR009</v>
      </c>
      <c r="AA837" t="s">
        <v>39</v>
      </c>
      <c r="AB837" t="str">
        <f>_xlfn.XLOOKUP(Table1[[#This Row],[JobSatisfaction]],Table14[JobSatisfaction],Table14[Id_JobSatisfaction])</f>
        <v>JS003</v>
      </c>
      <c r="AC837">
        <v>3</v>
      </c>
      <c r="AD837" t="str">
        <f>_xlfn.XLOOKUP(Table1[[#This Row],[JobSatisfaction]],Table14[JobSatisfaction],Table14[Deskripsi])</f>
        <v>High</v>
      </c>
      <c r="AE837" t="str">
        <f>_xlfn.XLOOKUP(Table1[[#This Row],[MaritalStatus]],Table15[MaritalStatus],Table15[Id_MaritalStatus])</f>
        <v>MS001</v>
      </c>
      <c r="AF837" t="s">
        <v>55</v>
      </c>
      <c r="AG837">
        <v>4323</v>
      </c>
      <c r="AH837">
        <v>7108</v>
      </c>
      <c r="AI837">
        <v>1</v>
      </c>
      <c r="AJ837" t="str">
        <f>_xlfn.XLOOKUP(Table1[[#This Row],[OverTime]],Table16[OverTime],Table16[Id_OverTime])</f>
        <v>OT002</v>
      </c>
      <c r="AK837" t="s">
        <v>33</v>
      </c>
      <c r="AL837">
        <v>17</v>
      </c>
      <c r="AM837" t="str">
        <f>_xlfn.XLOOKUP(Table1[[#This Row],[PerformanceRating]],Table17[PerformanceRating],Table17[Id_PerformanceRating])</f>
        <v>PR003</v>
      </c>
      <c r="AN837">
        <v>3</v>
      </c>
      <c r="AO837" t="str">
        <f>_xlfn.XLOOKUP(Table1[[#This Row],[PerformanceRating]],Table17[PerformanceRating],Table17[Deskripsi])</f>
        <v>Excellent</v>
      </c>
      <c r="AP837" t="str">
        <f>_xlfn.XLOOKUP(Table1[[#This Row],[RelationshipSatisfaction]],Table18[RelationshipSatisfaction],Table18[Id_RelationshipSatisfaction])</f>
        <v>RS002</v>
      </c>
      <c r="AQ837">
        <v>2</v>
      </c>
      <c r="AR837" t="str">
        <f>_xlfn.XLOOKUP(Table1[[#This Row],[RelationshipSatisfaction]],Table18[RelationshipSatisfaction],Table18[Deskripsi])</f>
        <v>Medium</v>
      </c>
      <c r="AS837" t="str">
        <f>_xlfn.XLOOKUP(Table1[[#This Row],[StockOptionLevel]],Table19[StockOptionLevel],Table19[Id_StockOptionLevel])</f>
        <v>SOL001</v>
      </c>
      <c r="AT837">
        <v>0</v>
      </c>
      <c r="AU837" t="str">
        <f>_xlfn.XLOOKUP(Table1[[#This Row],[StockOptionLevel]],Table19[StockOptionLevel],Table19[Deskripsi])</f>
        <v>Non-Eligible</v>
      </c>
      <c r="AV837">
        <v>6</v>
      </c>
      <c r="AW837">
        <v>2</v>
      </c>
      <c r="AX837" t="str">
        <f>_xlfn.XLOOKUP(Table1[[#This Row],[WorkLifeBalance]],Table20[WorkLifeBalance],Table20[Id_WorkLifeBalance])</f>
        <v>WLB001</v>
      </c>
      <c r="AY837">
        <v>1</v>
      </c>
      <c r="AZ837" t="str">
        <f>_xlfn.XLOOKUP(Table1[[#This Row],[WorkLifeBalance]],Table20[WorkLifeBalance],Table20[Deskripsi])</f>
        <v>Bad</v>
      </c>
      <c r="BA837">
        <v>5</v>
      </c>
      <c r="BB837">
        <v>4</v>
      </c>
      <c r="BC837">
        <v>1</v>
      </c>
      <c r="BD837">
        <v>4</v>
      </c>
    </row>
    <row r="838" spans="1:56" x14ac:dyDescent="0.25">
      <c r="A838">
        <v>29</v>
      </c>
      <c r="B838" t="str">
        <f>_xlfn.XLOOKUP(Table1[[#This Row],[Attrition]],Table2[Attrition],Table2[Id_Attrition])</f>
        <v>A001</v>
      </c>
      <c r="C838" t="s">
        <v>32</v>
      </c>
      <c r="D838" t="str">
        <f>_xlfn.XLOOKUP(Table1[[#This Row],[BusinessTravel]],Table5[BusinessTravel],Table5[Id_BusinessTravel])</f>
        <v>BS001</v>
      </c>
      <c r="E838" t="s">
        <v>34</v>
      </c>
      <c r="F838">
        <v>408</v>
      </c>
      <c r="G838" t="str">
        <f>_xlfn.XLOOKUP(Table1[[#This Row],[Department]],Table6[Department],Table6[Id_Departement])</f>
        <v>D001</v>
      </c>
      <c r="H838" t="s">
        <v>37</v>
      </c>
      <c r="I838">
        <v>23</v>
      </c>
      <c r="J838" t="str">
        <f>_xlfn.XLOOKUP(Table1[[#This Row],[Education]],Table8[Education],Table8[Id_Education])</f>
        <v>E001</v>
      </c>
      <c r="K838">
        <v>1</v>
      </c>
      <c r="L838" t="str">
        <f>_xlfn.XLOOKUP(Table1[[#This Row],[EducationField]],Table7[EducationField],Table7[Id_EducationField])</f>
        <v>EF001</v>
      </c>
      <c r="M838" t="s">
        <v>40</v>
      </c>
      <c r="N838" t="str">
        <f>_xlfn.XLOOKUP(Table1[[#This Row],[EmployeeNumber]],Table4[EmployeeNumber],Table4[Id_Employee])</f>
        <v>EMP00837</v>
      </c>
      <c r="O838">
        <v>1165</v>
      </c>
      <c r="P838" t="str">
        <f>_xlfn.XLOOKUP(Table1[[#This Row],[EnvironmentSatisfaction]],Table9[EnvironmentSatisfaction],Table9[Id_EnviromentSatisfaction])</f>
        <v>ES004</v>
      </c>
      <c r="Q838">
        <v>4</v>
      </c>
      <c r="R838" t="str">
        <f>_xlfn.XLOOKUP(Table1[[#This Row],[EnvironmentSatisfaction]],Table9[EnvironmentSatisfaction],Table9[Deskripsi])</f>
        <v>Very High</v>
      </c>
      <c r="S838" t="str">
        <f>_xlfn.XLOOKUP(Table1[[#This Row],[Gender]],Table10[Gender],Table10[Id_Gender])</f>
        <v>G001</v>
      </c>
      <c r="T838" t="s">
        <v>45</v>
      </c>
      <c r="U838">
        <v>45</v>
      </c>
      <c r="V838" t="str">
        <f>_xlfn.XLOOKUP(Table1[[#This Row],[JobInvolvement]],Table11[JobInvolvement],Table11[Id_JobInvolvement])</f>
        <v>JI002</v>
      </c>
      <c r="W838">
        <v>2</v>
      </c>
      <c r="X838" t="str">
        <f>_xlfn.XLOOKUP(Table1[[#This Row],[JobLevel]],Table12[JobLevel],Table12[Id_JobLevel])</f>
        <v>JL003</v>
      </c>
      <c r="Y838">
        <v>3</v>
      </c>
      <c r="Z838" t="str">
        <f>_xlfn.XLOOKUP(Table1[[#This Row],[JobRole]],Table13[JobRole],Table13[Id_JobRole])</f>
        <v>JR001</v>
      </c>
      <c r="AA838" t="s">
        <v>47</v>
      </c>
      <c r="AB838" t="str">
        <f>_xlfn.XLOOKUP(Table1[[#This Row],[JobSatisfaction]],Table14[JobSatisfaction],Table14[Id_JobSatisfaction])</f>
        <v>JS001</v>
      </c>
      <c r="AC838">
        <v>1</v>
      </c>
      <c r="AD838" t="str">
        <f>_xlfn.XLOOKUP(Table1[[#This Row],[JobSatisfaction]],Table14[JobSatisfaction],Table14[Deskripsi])</f>
        <v>Low</v>
      </c>
      <c r="AE838" t="str">
        <f>_xlfn.XLOOKUP(Table1[[#This Row],[MaritalStatus]],Table15[MaritalStatus],Table15[Id_MaritalStatus])</f>
        <v>MS002</v>
      </c>
      <c r="AF838" t="s">
        <v>56</v>
      </c>
      <c r="AG838">
        <v>7336</v>
      </c>
      <c r="AH838">
        <v>11162</v>
      </c>
      <c r="AI838">
        <v>1</v>
      </c>
      <c r="AJ838" t="str">
        <f>_xlfn.XLOOKUP(Table1[[#This Row],[OverTime]],Table16[OverTime],Table16[Id_OverTime])</f>
        <v>OT002</v>
      </c>
      <c r="AK838" t="s">
        <v>33</v>
      </c>
      <c r="AL838">
        <v>13</v>
      </c>
      <c r="AM838" t="str">
        <f>_xlfn.XLOOKUP(Table1[[#This Row],[PerformanceRating]],Table17[PerformanceRating],Table17[Id_PerformanceRating])</f>
        <v>PR003</v>
      </c>
      <c r="AN838">
        <v>3</v>
      </c>
      <c r="AO838" t="str">
        <f>_xlfn.XLOOKUP(Table1[[#This Row],[PerformanceRating]],Table17[PerformanceRating],Table17[Deskripsi])</f>
        <v>Excellent</v>
      </c>
      <c r="AP838" t="str">
        <f>_xlfn.XLOOKUP(Table1[[#This Row],[RelationshipSatisfaction]],Table18[RelationshipSatisfaction],Table18[Id_RelationshipSatisfaction])</f>
        <v>RS001</v>
      </c>
      <c r="AQ838">
        <v>1</v>
      </c>
      <c r="AR838" t="str">
        <f>_xlfn.XLOOKUP(Table1[[#This Row],[RelationshipSatisfaction]],Table18[RelationshipSatisfaction],Table18[Deskripsi])</f>
        <v>Low</v>
      </c>
      <c r="AS838" t="str">
        <f>_xlfn.XLOOKUP(Table1[[#This Row],[StockOptionLevel]],Table19[StockOptionLevel],Table19[Id_StockOptionLevel])</f>
        <v>SOL002</v>
      </c>
      <c r="AT838">
        <v>1</v>
      </c>
      <c r="AU838" t="str">
        <f>_xlfn.XLOOKUP(Table1[[#This Row],[StockOptionLevel]],Table19[StockOptionLevel],Table19[Deskripsi])</f>
        <v>Standard</v>
      </c>
      <c r="AV838">
        <v>11</v>
      </c>
      <c r="AW838">
        <v>3</v>
      </c>
      <c r="AX838" t="str">
        <f>_xlfn.XLOOKUP(Table1[[#This Row],[WorkLifeBalance]],Table20[WorkLifeBalance],Table20[Id_WorkLifeBalance])</f>
        <v>WLB001</v>
      </c>
      <c r="AY838">
        <v>1</v>
      </c>
      <c r="AZ838" t="str">
        <f>_xlfn.XLOOKUP(Table1[[#This Row],[WorkLifeBalance]],Table20[WorkLifeBalance],Table20[Deskripsi])</f>
        <v>Bad</v>
      </c>
      <c r="BA838">
        <v>11</v>
      </c>
      <c r="BB838">
        <v>8</v>
      </c>
      <c r="BC838">
        <v>3</v>
      </c>
      <c r="BD838">
        <v>10</v>
      </c>
    </row>
    <row r="839" spans="1:56" x14ac:dyDescent="0.25">
      <c r="A839">
        <v>40</v>
      </c>
      <c r="B839" t="str">
        <f>_xlfn.XLOOKUP(Table1[[#This Row],[Attrition]],Table2[Attrition],Table2[Id_Attrition])</f>
        <v>A002</v>
      </c>
      <c r="C839" t="s">
        <v>33</v>
      </c>
      <c r="D839" t="str">
        <f>_xlfn.XLOOKUP(Table1[[#This Row],[BusinessTravel]],Table5[BusinessTravel],Table5[Id_BusinessTravel])</f>
        <v>BS002</v>
      </c>
      <c r="E839" t="s">
        <v>35</v>
      </c>
      <c r="F839">
        <v>593</v>
      </c>
      <c r="G839" t="str">
        <f>_xlfn.XLOOKUP(Table1[[#This Row],[Department]],Table6[Department],Table6[Id_Departement])</f>
        <v>D002</v>
      </c>
      <c r="H839" t="s">
        <v>38</v>
      </c>
      <c r="I839">
        <v>9</v>
      </c>
      <c r="J839" t="str">
        <f>_xlfn.XLOOKUP(Table1[[#This Row],[Education]],Table8[Education],Table8[Id_Education])</f>
        <v>E004</v>
      </c>
      <c r="K839">
        <v>4</v>
      </c>
      <c r="L839" t="str">
        <f>_xlfn.XLOOKUP(Table1[[#This Row],[EducationField]],Table7[EducationField],Table7[Id_EducationField])</f>
        <v>EF003</v>
      </c>
      <c r="M839" t="s">
        <v>42</v>
      </c>
      <c r="N839" t="str">
        <f>_xlfn.XLOOKUP(Table1[[#This Row],[EmployeeNumber]],Table4[EmployeeNumber],Table4[Id_Employee])</f>
        <v>EMP00838</v>
      </c>
      <c r="O839">
        <v>1166</v>
      </c>
      <c r="P839" t="str">
        <f>_xlfn.XLOOKUP(Table1[[#This Row],[EnvironmentSatisfaction]],Table9[EnvironmentSatisfaction],Table9[Id_EnviromentSatisfaction])</f>
        <v>ES002</v>
      </c>
      <c r="Q839">
        <v>2</v>
      </c>
      <c r="R839" t="str">
        <f>_xlfn.XLOOKUP(Table1[[#This Row],[EnvironmentSatisfaction]],Table9[EnvironmentSatisfaction],Table9[Deskripsi])</f>
        <v>Medium</v>
      </c>
      <c r="S839" t="str">
        <f>_xlfn.XLOOKUP(Table1[[#This Row],[Gender]],Table10[Gender],Table10[Id_Gender])</f>
        <v>G001</v>
      </c>
      <c r="T839" t="s">
        <v>45</v>
      </c>
      <c r="U839">
        <v>88</v>
      </c>
      <c r="V839" t="str">
        <f>_xlfn.XLOOKUP(Table1[[#This Row],[JobInvolvement]],Table11[JobInvolvement],Table11[Id_JobInvolvement])</f>
        <v>JI003</v>
      </c>
      <c r="W839">
        <v>3</v>
      </c>
      <c r="X839" t="str">
        <f>_xlfn.XLOOKUP(Table1[[#This Row],[JobLevel]],Table12[JobLevel],Table12[Id_JobLevel])</f>
        <v>JL003</v>
      </c>
      <c r="Y839">
        <v>3</v>
      </c>
      <c r="Z839" t="str">
        <f>_xlfn.XLOOKUP(Table1[[#This Row],[JobRole]],Table13[JobRole],Table13[Id_JobRole])</f>
        <v>JR008</v>
      </c>
      <c r="AA839" t="s">
        <v>54</v>
      </c>
      <c r="AB839" t="str">
        <f>_xlfn.XLOOKUP(Table1[[#This Row],[JobSatisfaction]],Table14[JobSatisfaction],Table14[Id_JobSatisfaction])</f>
        <v>JS003</v>
      </c>
      <c r="AC839">
        <v>3</v>
      </c>
      <c r="AD839" t="str">
        <f>_xlfn.XLOOKUP(Table1[[#This Row],[JobSatisfaction]],Table14[JobSatisfaction],Table14[Deskripsi])</f>
        <v>High</v>
      </c>
      <c r="AE839" t="str">
        <f>_xlfn.XLOOKUP(Table1[[#This Row],[MaritalStatus]],Table15[MaritalStatus],Table15[Id_MaritalStatus])</f>
        <v>MS001</v>
      </c>
      <c r="AF839" t="s">
        <v>55</v>
      </c>
      <c r="AG839">
        <v>13499</v>
      </c>
      <c r="AH839">
        <v>13782</v>
      </c>
      <c r="AI839">
        <v>9</v>
      </c>
      <c r="AJ839" t="str">
        <f>_xlfn.XLOOKUP(Table1[[#This Row],[OverTime]],Table16[OverTime],Table16[Id_OverTime])</f>
        <v>OT002</v>
      </c>
      <c r="AK839" t="s">
        <v>33</v>
      </c>
      <c r="AL839">
        <v>17</v>
      </c>
      <c r="AM839" t="str">
        <f>_xlfn.XLOOKUP(Table1[[#This Row],[PerformanceRating]],Table17[PerformanceRating],Table17[Id_PerformanceRating])</f>
        <v>PR003</v>
      </c>
      <c r="AN839">
        <v>3</v>
      </c>
      <c r="AO839" t="str">
        <f>_xlfn.XLOOKUP(Table1[[#This Row],[PerformanceRating]],Table17[PerformanceRating],Table17[Deskripsi])</f>
        <v>Excellent</v>
      </c>
      <c r="AP839" t="str">
        <f>_xlfn.XLOOKUP(Table1[[#This Row],[RelationshipSatisfaction]],Table18[RelationshipSatisfaction],Table18[Id_RelationshipSatisfaction])</f>
        <v>RS003</v>
      </c>
      <c r="AQ839">
        <v>3</v>
      </c>
      <c r="AR839" t="str">
        <f>_xlfn.XLOOKUP(Table1[[#This Row],[RelationshipSatisfaction]],Table18[RelationshipSatisfaction],Table18[Deskripsi])</f>
        <v>High</v>
      </c>
      <c r="AS839" t="str">
        <f>_xlfn.XLOOKUP(Table1[[#This Row],[StockOptionLevel]],Table19[StockOptionLevel],Table19[Id_StockOptionLevel])</f>
        <v>SOL001</v>
      </c>
      <c r="AT839">
        <v>0</v>
      </c>
      <c r="AU839" t="str">
        <f>_xlfn.XLOOKUP(Table1[[#This Row],[StockOptionLevel]],Table19[StockOptionLevel],Table19[Deskripsi])</f>
        <v>Non-Eligible</v>
      </c>
      <c r="AV839">
        <v>20</v>
      </c>
      <c r="AW839">
        <v>3</v>
      </c>
      <c r="AX839" t="str">
        <f>_xlfn.XLOOKUP(Table1[[#This Row],[WorkLifeBalance]],Table20[WorkLifeBalance],Table20[Id_WorkLifeBalance])</f>
        <v>WLB003</v>
      </c>
      <c r="AY839">
        <v>2</v>
      </c>
      <c r="AZ839" t="str">
        <f>_xlfn.XLOOKUP(Table1[[#This Row],[WorkLifeBalance]],Table20[WorkLifeBalance],Table20[Deskripsi])</f>
        <v>Better</v>
      </c>
      <c r="BA839">
        <v>18</v>
      </c>
      <c r="BB839">
        <v>7</v>
      </c>
      <c r="BC839">
        <v>2</v>
      </c>
      <c r="BD839">
        <v>13</v>
      </c>
    </row>
    <row r="840" spans="1:56" x14ac:dyDescent="0.25">
      <c r="A840">
        <v>42</v>
      </c>
      <c r="B840" t="str">
        <f>_xlfn.XLOOKUP(Table1[[#This Row],[Attrition]],Table2[Attrition],Table2[Id_Attrition])</f>
        <v>A001</v>
      </c>
      <c r="C840" t="s">
        <v>32</v>
      </c>
      <c r="D840" t="str">
        <f>_xlfn.XLOOKUP(Table1[[#This Row],[BusinessTravel]],Table5[BusinessTravel],Table5[Id_BusinessTravel])</f>
        <v>BS002</v>
      </c>
      <c r="E840" t="s">
        <v>35</v>
      </c>
      <c r="F840">
        <v>481</v>
      </c>
      <c r="G840" t="str">
        <f>_xlfn.XLOOKUP(Table1[[#This Row],[Department]],Table6[Department],Table6[Id_Departement])</f>
        <v>D001</v>
      </c>
      <c r="H840" t="s">
        <v>37</v>
      </c>
      <c r="I840">
        <v>12</v>
      </c>
      <c r="J840" t="str">
        <f>_xlfn.XLOOKUP(Table1[[#This Row],[Education]],Table8[Education],Table8[Id_Education])</f>
        <v>E003</v>
      </c>
      <c r="K840">
        <v>3</v>
      </c>
      <c r="L840" t="str">
        <f>_xlfn.XLOOKUP(Table1[[#This Row],[EducationField]],Table7[EducationField],Table7[Id_EducationField])</f>
        <v>EF001</v>
      </c>
      <c r="M840" t="s">
        <v>40</v>
      </c>
      <c r="N840" t="str">
        <f>_xlfn.XLOOKUP(Table1[[#This Row],[EmployeeNumber]],Table4[EmployeeNumber],Table4[Id_Employee])</f>
        <v>EMP00839</v>
      </c>
      <c r="O840">
        <v>1167</v>
      </c>
      <c r="P840" t="str">
        <f>_xlfn.XLOOKUP(Table1[[#This Row],[EnvironmentSatisfaction]],Table9[EnvironmentSatisfaction],Table9[Id_EnviromentSatisfaction])</f>
        <v>ES003</v>
      </c>
      <c r="Q840">
        <v>3</v>
      </c>
      <c r="R840" t="str">
        <f>_xlfn.XLOOKUP(Table1[[#This Row],[EnvironmentSatisfaction]],Table9[EnvironmentSatisfaction],Table9[Deskripsi])</f>
        <v>High</v>
      </c>
      <c r="S840" t="str">
        <f>_xlfn.XLOOKUP(Table1[[#This Row],[Gender]],Table10[Gender],Table10[Id_Gender])</f>
        <v>G002</v>
      </c>
      <c r="T840" t="s">
        <v>46</v>
      </c>
      <c r="U840">
        <v>44</v>
      </c>
      <c r="V840" t="str">
        <f>_xlfn.XLOOKUP(Table1[[#This Row],[JobInvolvement]],Table11[JobInvolvement],Table11[Id_JobInvolvement])</f>
        <v>JI003</v>
      </c>
      <c r="W840">
        <v>3</v>
      </c>
      <c r="X840" t="str">
        <f>_xlfn.XLOOKUP(Table1[[#This Row],[JobLevel]],Table12[JobLevel],Table12[Id_JobLevel])</f>
        <v>JL004</v>
      </c>
      <c r="Y840">
        <v>4</v>
      </c>
      <c r="Z840" t="str">
        <f>_xlfn.XLOOKUP(Table1[[#This Row],[JobRole]],Table13[JobRole],Table13[Id_JobRole])</f>
        <v>JR001</v>
      </c>
      <c r="AA840" t="s">
        <v>47</v>
      </c>
      <c r="AB840" t="str">
        <f>_xlfn.XLOOKUP(Table1[[#This Row],[JobSatisfaction]],Table14[JobSatisfaction],Table14[Id_JobSatisfaction])</f>
        <v>JS001</v>
      </c>
      <c r="AC840">
        <v>1</v>
      </c>
      <c r="AD840" t="str">
        <f>_xlfn.XLOOKUP(Table1[[#This Row],[JobSatisfaction]],Table14[JobSatisfaction],Table14[Deskripsi])</f>
        <v>Low</v>
      </c>
      <c r="AE840" t="str">
        <f>_xlfn.XLOOKUP(Table1[[#This Row],[MaritalStatus]],Table15[MaritalStatus],Table15[Id_MaritalStatus])</f>
        <v>MS001</v>
      </c>
      <c r="AF840" t="s">
        <v>55</v>
      </c>
      <c r="AG840">
        <v>13758</v>
      </c>
      <c r="AH840">
        <v>2447</v>
      </c>
      <c r="AI840">
        <v>0</v>
      </c>
      <c r="AJ840" t="str">
        <f>_xlfn.XLOOKUP(Table1[[#This Row],[OverTime]],Table16[OverTime],Table16[Id_OverTime])</f>
        <v>OT001</v>
      </c>
      <c r="AK840" t="s">
        <v>32</v>
      </c>
      <c r="AL840">
        <v>12</v>
      </c>
      <c r="AM840" t="str">
        <f>_xlfn.XLOOKUP(Table1[[#This Row],[PerformanceRating]],Table17[PerformanceRating],Table17[Id_PerformanceRating])</f>
        <v>PR003</v>
      </c>
      <c r="AN840">
        <v>3</v>
      </c>
      <c r="AO840" t="str">
        <f>_xlfn.XLOOKUP(Table1[[#This Row],[PerformanceRating]],Table17[PerformanceRating],Table17[Deskripsi])</f>
        <v>Excellent</v>
      </c>
      <c r="AP840" t="str">
        <f>_xlfn.XLOOKUP(Table1[[#This Row],[RelationshipSatisfaction]],Table18[RelationshipSatisfaction],Table18[Id_RelationshipSatisfaction])</f>
        <v>RS002</v>
      </c>
      <c r="AQ840">
        <v>2</v>
      </c>
      <c r="AR840" t="str">
        <f>_xlfn.XLOOKUP(Table1[[#This Row],[RelationshipSatisfaction]],Table18[RelationshipSatisfaction],Table18[Deskripsi])</f>
        <v>Medium</v>
      </c>
      <c r="AS840" t="str">
        <f>_xlfn.XLOOKUP(Table1[[#This Row],[StockOptionLevel]],Table19[StockOptionLevel],Table19[Id_StockOptionLevel])</f>
        <v>SOL001</v>
      </c>
      <c r="AT840">
        <v>0</v>
      </c>
      <c r="AU840" t="str">
        <f>_xlfn.XLOOKUP(Table1[[#This Row],[StockOptionLevel]],Table19[StockOptionLevel],Table19[Deskripsi])</f>
        <v>Non-Eligible</v>
      </c>
      <c r="AV840">
        <v>22</v>
      </c>
      <c r="AW840">
        <v>2</v>
      </c>
      <c r="AX840" t="str">
        <f>_xlfn.XLOOKUP(Table1[[#This Row],[WorkLifeBalance]],Table20[WorkLifeBalance],Table20[Id_WorkLifeBalance])</f>
        <v>WLB003</v>
      </c>
      <c r="AY840">
        <v>2</v>
      </c>
      <c r="AZ840" t="str">
        <f>_xlfn.XLOOKUP(Table1[[#This Row],[WorkLifeBalance]],Table20[WorkLifeBalance],Table20[Deskripsi])</f>
        <v>Better</v>
      </c>
      <c r="BA840">
        <v>21</v>
      </c>
      <c r="BB840">
        <v>9</v>
      </c>
      <c r="BC840">
        <v>13</v>
      </c>
      <c r="BD840">
        <v>14</v>
      </c>
    </row>
    <row r="841" spans="1:56" x14ac:dyDescent="0.25">
      <c r="A841">
        <v>42</v>
      </c>
      <c r="B841" t="str">
        <f>_xlfn.XLOOKUP(Table1[[#This Row],[Attrition]],Table2[Attrition],Table2[Id_Attrition])</f>
        <v>A002</v>
      </c>
      <c r="C841" t="s">
        <v>33</v>
      </c>
      <c r="D841" t="str">
        <f>_xlfn.XLOOKUP(Table1[[#This Row],[BusinessTravel]],Table5[BusinessTravel],Table5[Id_BusinessTravel])</f>
        <v>BS001</v>
      </c>
      <c r="E841" t="s">
        <v>34</v>
      </c>
      <c r="F841">
        <v>647</v>
      </c>
      <c r="G841" t="str">
        <f>_xlfn.XLOOKUP(Table1[[#This Row],[Department]],Table6[Department],Table6[Id_Departement])</f>
        <v>D001</v>
      </c>
      <c r="H841" t="s">
        <v>37</v>
      </c>
      <c r="I841">
        <v>4</v>
      </c>
      <c r="J841" t="str">
        <f>_xlfn.XLOOKUP(Table1[[#This Row],[Education]],Table8[Education],Table8[Id_Education])</f>
        <v>E004</v>
      </c>
      <c r="K841">
        <v>4</v>
      </c>
      <c r="L841" t="str">
        <f>_xlfn.XLOOKUP(Table1[[#This Row],[EducationField]],Table7[EducationField],Table7[Id_EducationField])</f>
        <v>EF004</v>
      </c>
      <c r="M841" t="s">
        <v>43</v>
      </c>
      <c r="N841" t="str">
        <f>_xlfn.XLOOKUP(Table1[[#This Row],[EmployeeNumber]],Table4[EmployeeNumber],Table4[Id_Employee])</f>
        <v>EMP00840</v>
      </c>
      <c r="O841">
        <v>1171</v>
      </c>
      <c r="P841" t="str">
        <f>_xlfn.XLOOKUP(Table1[[#This Row],[EnvironmentSatisfaction]],Table9[EnvironmentSatisfaction],Table9[Id_EnviromentSatisfaction])</f>
        <v>ES002</v>
      </c>
      <c r="Q841">
        <v>2</v>
      </c>
      <c r="R841" t="str">
        <f>_xlfn.XLOOKUP(Table1[[#This Row],[EnvironmentSatisfaction]],Table9[EnvironmentSatisfaction],Table9[Deskripsi])</f>
        <v>Medium</v>
      </c>
      <c r="S841" t="str">
        <f>_xlfn.XLOOKUP(Table1[[#This Row],[Gender]],Table10[Gender],Table10[Id_Gender])</f>
        <v>G002</v>
      </c>
      <c r="T841" t="s">
        <v>46</v>
      </c>
      <c r="U841">
        <v>45</v>
      </c>
      <c r="V841" t="str">
        <f>_xlfn.XLOOKUP(Table1[[#This Row],[JobInvolvement]],Table11[JobInvolvement],Table11[Id_JobInvolvement])</f>
        <v>JI003</v>
      </c>
      <c r="W841">
        <v>3</v>
      </c>
      <c r="X841" t="str">
        <f>_xlfn.XLOOKUP(Table1[[#This Row],[JobLevel]],Table12[JobLevel],Table12[Id_JobLevel])</f>
        <v>JL002</v>
      </c>
      <c r="Y841">
        <v>2</v>
      </c>
      <c r="Z841" t="str">
        <f>_xlfn.XLOOKUP(Table1[[#This Row],[JobRole]],Table13[JobRole],Table13[Id_JobRole])</f>
        <v>JR001</v>
      </c>
      <c r="AA841" t="s">
        <v>47</v>
      </c>
      <c r="AB841" t="str">
        <f>_xlfn.XLOOKUP(Table1[[#This Row],[JobSatisfaction]],Table14[JobSatisfaction],Table14[Id_JobSatisfaction])</f>
        <v>JS001</v>
      </c>
      <c r="AC841">
        <v>1</v>
      </c>
      <c r="AD841" t="str">
        <f>_xlfn.XLOOKUP(Table1[[#This Row],[JobSatisfaction]],Table14[JobSatisfaction],Table14[Deskripsi])</f>
        <v>Low</v>
      </c>
      <c r="AE841" t="str">
        <f>_xlfn.XLOOKUP(Table1[[#This Row],[MaritalStatus]],Table15[MaritalStatus],Table15[Id_MaritalStatus])</f>
        <v>MS001</v>
      </c>
      <c r="AF841" t="s">
        <v>55</v>
      </c>
      <c r="AG841">
        <v>5155</v>
      </c>
      <c r="AH841">
        <v>2253</v>
      </c>
      <c r="AI841">
        <v>7</v>
      </c>
      <c r="AJ841" t="str">
        <f>_xlfn.XLOOKUP(Table1[[#This Row],[OverTime]],Table16[OverTime],Table16[Id_OverTime])</f>
        <v>OT002</v>
      </c>
      <c r="AK841" t="s">
        <v>33</v>
      </c>
      <c r="AL841">
        <v>13</v>
      </c>
      <c r="AM841" t="str">
        <f>_xlfn.XLOOKUP(Table1[[#This Row],[PerformanceRating]],Table17[PerformanceRating],Table17[Id_PerformanceRating])</f>
        <v>PR003</v>
      </c>
      <c r="AN841">
        <v>3</v>
      </c>
      <c r="AO841" t="str">
        <f>_xlfn.XLOOKUP(Table1[[#This Row],[PerformanceRating]],Table17[PerformanceRating],Table17[Deskripsi])</f>
        <v>Excellent</v>
      </c>
      <c r="AP841" t="str">
        <f>_xlfn.XLOOKUP(Table1[[#This Row],[RelationshipSatisfaction]],Table18[RelationshipSatisfaction],Table18[Id_RelationshipSatisfaction])</f>
        <v>RS004</v>
      </c>
      <c r="AQ841">
        <v>4</v>
      </c>
      <c r="AR841" t="str">
        <f>_xlfn.XLOOKUP(Table1[[#This Row],[RelationshipSatisfaction]],Table18[RelationshipSatisfaction],Table18[Deskripsi])</f>
        <v>Very High</v>
      </c>
      <c r="AS841" t="str">
        <f>_xlfn.XLOOKUP(Table1[[#This Row],[StockOptionLevel]],Table19[StockOptionLevel],Table19[Id_StockOptionLevel])</f>
        <v>SOL001</v>
      </c>
      <c r="AT841">
        <v>0</v>
      </c>
      <c r="AU841" t="str">
        <f>_xlfn.XLOOKUP(Table1[[#This Row],[StockOptionLevel]],Table19[StockOptionLevel],Table19[Deskripsi])</f>
        <v>Non-Eligible</v>
      </c>
      <c r="AV841">
        <v>9</v>
      </c>
      <c r="AW841">
        <v>3</v>
      </c>
      <c r="AX841" t="str">
        <f>_xlfn.XLOOKUP(Table1[[#This Row],[WorkLifeBalance]],Table20[WorkLifeBalance],Table20[Id_WorkLifeBalance])</f>
        <v>WLB004</v>
      </c>
      <c r="AY841">
        <v>4</v>
      </c>
      <c r="AZ841" t="str">
        <f>_xlfn.XLOOKUP(Table1[[#This Row],[WorkLifeBalance]],Table20[WorkLifeBalance],Table20[Deskripsi])</f>
        <v>Best</v>
      </c>
      <c r="BA841">
        <v>6</v>
      </c>
      <c r="BB841">
        <v>4</v>
      </c>
      <c r="BC841">
        <v>1</v>
      </c>
      <c r="BD841">
        <v>5</v>
      </c>
    </row>
    <row r="842" spans="1:56" x14ac:dyDescent="0.25">
      <c r="A842">
        <v>35</v>
      </c>
      <c r="B842" t="str">
        <f>_xlfn.XLOOKUP(Table1[[#This Row],[Attrition]],Table2[Attrition],Table2[Id_Attrition])</f>
        <v>A002</v>
      </c>
      <c r="C842" t="s">
        <v>33</v>
      </c>
      <c r="D842" t="str">
        <f>_xlfn.XLOOKUP(Table1[[#This Row],[BusinessTravel]],Table5[BusinessTravel],Table5[Id_BusinessTravel])</f>
        <v>BS001</v>
      </c>
      <c r="E842" t="s">
        <v>34</v>
      </c>
      <c r="F842">
        <v>982</v>
      </c>
      <c r="G842" t="str">
        <f>_xlfn.XLOOKUP(Table1[[#This Row],[Department]],Table6[Department],Table6[Id_Departement])</f>
        <v>D002</v>
      </c>
      <c r="H842" t="s">
        <v>38</v>
      </c>
      <c r="I842">
        <v>1</v>
      </c>
      <c r="J842" t="str">
        <f>_xlfn.XLOOKUP(Table1[[#This Row],[Education]],Table8[Education],Table8[Id_Education])</f>
        <v>E004</v>
      </c>
      <c r="K842">
        <v>4</v>
      </c>
      <c r="L842" t="str">
        <f>_xlfn.XLOOKUP(Table1[[#This Row],[EducationField]],Table7[EducationField],Table7[Id_EducationField])</f>
        <v>EF003</v>
      </c>
      <c r="M842" t="s">
        <v>42</v>
      </c>
      <c r="N842" t="str">
        <f>_xlfn.XLOOKUP(Table1[[#This Row],[EmployeeNumber]],Table4[EmployeeNumber],Table4[Id_Employee])</f>
        <v>EMP00841</v>
      </c>
      <c r="O842">
        <v>1172</v>
      </c>
      <c r="P842" t="str">
        <f>_xlfn.XLOOKUP(Table1[[#This Row],[EnvironmentSatisfaction]],Table9[EnvironmentSatisfaction],Table9[Id_EnviromentSatisfaction])</f>
        <v>ES004</v>
      </c>
      <c r="Q842">
        <v>4</v>
      </c>
      <c r="R842" t="str">
        <f>_xlfn.XLOOKUP(Table1[[#This Row],[EnvironmentSatisfaction]],Table9[EnvironmentSatisfaction],Table9[Deskripsi])</f>
        <v>Very High</v>
      </c>
      <c r="S842" t="str">
        <f>_xlfn.XLOOKUP(Table1[[#This Row],[Gender]],Table10[Gender],Table10[Id_Gender])</f>
        <v>G002</v>
      </c>
      <c r="T842" t="s">
        <v>46</v>
      </c>
      <c r="U842">
        <v>58</v>
      </c>
      <c r="V842" t="str">
        <f>_xlfn.XLOOKUP(Table1[[#This Row],[JobInvolvement]],Table11[JobInvolvement],Table11[Id_JobInvolvement])</f>
        <v>JI002</v>
      </c>
      <c r="W842">
        <v>2</v>
      </c>
      <c r="X842" t="str">
        <f>_xlfn.XLOOKUP(Table1[[#This Row],[JobLevel]],Table12[JobLevel],Table12[Id_JobLevel])</f>
        <v>JL001</v>
      </c>
      <c r="Y842">
        <v>1</v>
      </c>
      <c r="Z842" t="str">
        <f>_xlfn.XLOOKUP(Table1[[#This Row],[JobRole]],Table13[JobRole],Table13[Id_JobRole])</f>
        <v>JR003</v>
      </c>
      <c r="AA842" t="s">
        <v>49</v>
      </c>
      <c r="AB842" t="str">
        <f>_xlfn.XLOOKUP(Table1[[#This Row],[JobSatisfaction]],Table14[JobSatisfaction],Table14[Id_JobSatisfaction])</f>
        <v>JS003</v>
      </c>
      <c r="AC842">
        <v>3</v>
      </c>
      <c r="AD842" t="str">
        <f>_xlfn.XLOOKUP(Table1[[#This Row],[JobSatisfaction]],Table14[JobSatisfaction],Table14[Deskripsi])</f>
        <v>High</v>
      </c>
      <c r="AE842" t="str">
        <f>_xlfn.XLOOKUP(Table1[[#This Row],[MaritalStatus]],Table15[MaritalStatus],Table15[Id_MaritalStatus])</f>
        <v>MS002</v>
      </c>
      <c r="AF842" t="s">
        <v>56</v>
      </c>
      <c r="AG842">
        <v>2258</v>
      </c>
      <c r="AH842">
        <v>16340</v>
      </c>
      <c r="AI842">
        <v>6</v>
      </c>
      <c r="AJ842" t="str">
        <f>_xlfn.XLOOKUP(Table1[[#This Row],[OverTime]],Table16[OverTime],Table16[Id_OverTime])</f>
        <v>OT002</v>
      </c>
      <c r="AK842" t="s">
        <v>33</v>
      </c>
      <c r="AL842">
        <v>12</v>
      </c>
      <c r="AM842" t="str">
        <f>_xlfn.XLOOKUP(Table1[[#This Row],[PerformanceRating]],Table17[PerformanceRating],Table17[Id_PerformanceRating])</f>
        <v>PR003</v>
      </c>
      <c r="AN842">
        <v>3</v>
      </c>
      <c r="AO842" t="str">
        <f>_xlfn.XLOOKUP(Table1[[#This Row],[PerformanceRating]],Table17[PerformanceRating],Table17[Deskripsi])</f>
        <v>Excellent</v>
      </c>
      <c r="AP842" t="str">
        <f>_xlfn.XLOOKUP(Table1[[#This Row],[RelationshipSatisfaction]],Table18[RelationshipSatisfaction],Table18[Id_RelationshipSatisfaction])</f>
        <v>RS002</v>
      </c>
      <c r="AQ842">
        <v>2</v>
      </c>
      <c r="AR842" t="str">
        <f>_xlfn.XLOOKUP(Table1[[#This Row],[RelationshipSatisfaction]],Table18[RelationshipSatisfaction],Table18[Deskripsi])</f>
        <v>Medium</v>
      </c>
      <c r="AS842" t="str">
        <f>_xlfn.XLOOKUP(Table1[[#This Row],[StockOptionLevel]],Table19[StockOptionLevel],Table19[Id_StockOptionLevel])</f>
        <v>SOL002</v>
      </c>
      <c r="AT842">
        <v>1</v>
      </c>
      <c r="AU842" t="str">
        <f>_xlfn.XLOOKUP(Table1[[#This Row],[StockOptionLevel]],Table19[StockOptionLevel],Table19[Deskripsi])</f>
        <v>Standard</v>
      </c>
      <c r="AV842">
        <v>10</v>
      </c>
      <c r="AW842">
        <v>2</v>
      </c>
      <c r="AX842" t="str">
        <f>_xlfn.XLOOKUP(Table1[[#This Row],[WorkLifeBalance]],Table20[WorkLifeBalance],Table20[Id_WorkLifeBalance])</f>
        <v>WLB002</v>
      </c>
      <c r="AY842">
        <v>3</v>
      </c>
      <c r="AZ842" t="str">
        <f>_xlfn.XLOOKUP(Table1[[#This Row],[WorkLifeBalance]],Table20[WorkLifeBalance],Table20[Deskripsi])</f>
        <v>Good</v>
      </c>
      <c r="BA842">
        <v>8</v>
      </c>
      <c r="BB842">
        <v>0</v>
      </c>
      <c r="BC842">
        <v>1</v>
      </c>
      <c r="BD842">
        <v>7</v>
      </c>
    </row>
    <row r="843" spans="1:56" x14ac:dyDescent="0.25">
      <c r="A843">
        <v>24</v>
      </c>
      <c r="B843" t="str">
        <f>_xlfn.XLOOKUP(Table1[[#This Row],[Attrition]],Table2[Attrition],Table2[Id_Attrition])</f>
        <v>A002</v>
      </c>
      <c r="C843" t="s">
        <v>33</v>
      </c>
      <c r="D843" t="str">
        <f>_xlfn.XLOOKUP(Table1[[#This Row],[BusinessTravel]],Table5[BusinessTravel],Table5[Id_BusinessTravel])</f>
        <v>BS001</v>
      </c>
      <c r="E843" t="s">
        <v>34</v>
      </c>
      <c r="F843">
        <v>477</v>
      </c>
      <c r="G843" t="str">
        <f>_xlfn.XLOOKUP(Table1[[#This Row],[Department]],Table6[Department],Table6[Id_Departement])</f>
        <v>D002</v>
      </c>
      <c r="H843" t="s">
        <v>38</v>
      </c>
      <c r="I843">
        <v>24</v>
      </c>
      <c r="J843" t="str">
        <f>_xlfn.XLOOKUP(Table1[[#This Row],[Education]],Table8[Education],Table8[Id_Education])</f>
        <v>E003</v>
      </c>
      <c r="K843">
        <v>3</v>
      </c>
      <c r="L843" t="str">
        <f>_xlfn.XLOOKUP(Table1[[#This Row],[EducationField]],Table7[EducationField],Table7[Id_EducationField])</f>
        <v>EF003</v>
      </c>
      <c r="M843" t="s">
        <v>42</v>
      </c>
      <c r="N843" t="str">
        <f>_xlfn.XLOOKUP(Table1[[#This Row],[EmployeeNumber]],Table4[EmployeeNumber],Table4[Id_Employee])</f>
        <v>EMP00842</v>
      </c>
      <c r="O843">
        <v>1173</v>
      </c>
      <c r="P843" t="str">
        <f>_xlfn.XLOOKUP(Table1[[#This Row],[EnvironmentSatisfaction]],Table9[EnvironmentSatisfaction],Table9[Id_EnviromentSatisfaction])</f>
        <v>ES004</v>
      </c>
      <c r="Q843">
        <v>4</v>
      </c>
      <c r="R843" t="str">
        <f>_xlfn.XLOOKUP(Table1[[#This Row],[EnvironmentSatisfaction]],Table9[EnvironmentSatisfaction],Table9[Deskripsi])</f>
        <v>Very High</v>
      </c>
      <c r="S843" t="str">
        <f>_xlfn.XLOOKUP(Table1[[#This Row],[Gender]],Table10[Gender],Table10[Id_Gender])</f>
        <v>G002</v>
      </c>
      <c r="T843" t="s">
        <v>46</v>
      </c>
      <c r="U843">
        <v>49</v>
      </c>
      <c r="V843" t="str">
        <f>_xlfn.XLOOKUP(Table1[[#This Row],[JobInvolvement]],Table11[JobInvolvement],Table11[Id_JobInvolvement])</f>
        <v>JI003</v>
      </c>
      <c r="W843">
        <v>3</v>
      </c>
      <c r="X843" t="str">
        <f>_xlfn.XLOOKUP(Table1[[#This Row],[JobLevel]],Table12[JobLevel],Table12[Id_JobLevel])</f>
        <v>JL001</v>
      </c>
      <c r="Y843">
        <v>1</v>
      </c>
      <c r="Z843" t="str">
        <f>_xlfn.XLOOKUP(Table1[[#This Row],[JobRole]],Table13[JobRole],Table13[Id_JobRole])</f>
        <v>JR003</v>
      </c>
      <c r="AA843" t="s">
        <v>49</v>
      </c>
      <c r="AB843" t="str">
        <f>_xlfn.XLOOKUP(Table1[[#This Row],[JobSatisfaction]],Table14[JobSatisfaction],Table14[Id_JobSatisfaction])</f>
        <v>JS002</v>
      </c>
      <c r="AC843">
        <v>2</v>
      </c>
      <c r="AD843" t="str">
        <f>_xlfn.XLOOKUP(Table1[[#This Row],[JobSatisfaction]],Table14[JobSatisfaction],Table14[Deskripsi])</f>
        <v>Medium</v>
      </c>
      <c r="AE843" t="str">
        <f>_xlfn.XLOOKUP(Table1[[#This Row],[MaritalStatus]],Table15[MaritalStatus],Table15[Id_MaritalStatus])</f>
        <v>MS001</v>
      </c>
      <c r="AF843" t="s">
        <v>55</v>
      </c>
      <c r="AG843">
        <v>3597</v>
      </c>
      <c r="AH843">
        <v>6409</v>
      </c>
      <c r="AI843">
        <v>8</v>
      </c>
      <c r="AJ843" t="str">
        <f>_xlfn.XLOOKUP(Table1[[#This Row],[OverTime]],Table16[OverTime],Table16[Id_OverTime])</f>
        <v>OT002</v>
      </c>
      <c r="AK843" t="s">
        <v>33</v>
      </c>
      <c r="AL843">
        <v>22</v>
      </c>
      <c r="AM843" t="str">
        <f>_xlfn.XLOOKUP(Table1[[#This Row],[PerformanceRating]],Table17[PerformanceRating],Table17[Id_PerformanceRating])</f>
        <v>PR004</v>
      </c>
      <c r="AN843">
        <v>4</v>
      </c>
      <c r="AO843" t="str">
        <f>_xlfn.XLOOKUP(Table1[[#This Row],[PerformanceRating]],Table17[PerformanceRating],Table17[Deskripsi])</f>
        <v>Outstanding</v>
      </c>
      <c r="AP843" t="str">
        <f>_xlfn.XLOOKUP(Table1[[#This Row],[RelationshipSatisfaction]],Table18[RelationshipSatisfaction],Table18[Id_RelationshipSatisfaction])</f>
        <v>RS004</v>
      </c>
      <c r="AQ843">
        <v>4</v>
      </c>
      <c r="AR843" t="str">
        <f>_xlfn.XLOOKUP(Table1[[#This Row],[RelationshipSatisfaction]],Table18[RelationshipSatisfaction],Table18[Deskripsi])</f>
        <v>Very High</v>
      </c>
      <c r="AS843" t="str">
        <f>_xlfn.XLOOKUP(Table1[[#This Row],[StockOptionLevel]],Table19[StockOptionLevel],Table19[Id_StockOptionLevel])</f>
        <v>SOL001</v>
      </c>
      <c r="AT843">
        <v>0</v>
      </c>
      <c r="AU843" t="str">
        <f>_xlfn.XLOOKUP(Table1[[#This Row],[StockOptionLevel]],Table19[StockOptionLevel],Table19[Deskripsi])</f>
        <v>Non-Eligible</v>
      </c>
      <c r="AV843">
        <v>6</v>
      </c>
      <c r="AW843">
        <v>2</v>
      </c>
      <c r="AX843" t="str">
        <f>_xlfn.XLOOKUP(Table1[[#This Row],[WorkLifeBalance]],Table20[WorkLifeBalance],Table20[Id_WorkLifeBalance])</f>
        <v>WLB002</v>
      </c>
      <c r="AY843">
        <v>3</v>
      </c>
      <c r="AZ843" t="str">
        <f>_xlfn.XLOOKUP(Table1[[#This Row],[WorkLifeBalance]],Table20[WorkLifeBalance],Table20[Deskripsi])</f>
        <v>Good</v>
      </c>
      <c r="BA843">
        <v>4</v>
      </c>
      <c r="BB843">
        <v>3</v>
      </c>
      <c r="BC843">
        <v>1</v>
      </c>
      <c r="BD843">
        <v>2</v>
      </c>
    </row>
    <row r="844" spans="1:56" x14ac:dyDescent="0.25">
      <c r="A844">
        <v>28</v>
      </c>
      <c r="B844" t="str">
        <f>_xlfn.XLOOKUP(Table1[[#This Row],[Attrition]],Table2[Attrition],Table2[Id_Attrition])</f>
        <v>A001</v>
      </c>
      <c r="C844" t="s">
        <v>32</v>
      </c>
      <c r="D844" t="str">
        <f>_xlfn.XLOOKUP(Table1[[#This Row],[BusinessTravel]],Table5[BusinessTravel],Table5[Id_BusinessTravel])</f>
        <v>BS001</v>
      </c>
      <c r="E844" t="s">
        <v>34</v>
      </c>
      <c r="F844">
        <v>1485</v>
      </c>
      <c r="G844" t="str">
        <f>_xlfn.XLOOKUP(Table1[[#This Row],[Department]],Table6[Department],Table6[Id_Departement])</f>
        <v>D002</v>
      </c>
      <c r="H844" t="s">
        <v>38</v>
      </c>
      <c r="I844">
        <v>12</v>
      </c>
      <c r="J844" t="str">
        <f>_xlfn.XLOOKUP(Table1[[#This Row],[Education]],Table8[Education],Table8[Id_Education])</f>
        <v>E001</v>
      </c>
      <c r="K844">
        <v>1</v>
      </c>
      <c r="L844" t="str">
        <f>_xlfn.XLOOKUP(Table1[[#This Row],[EducationField]],Table7[EducationField],Table7[Id_EducationField])</f>
        <v>EF001</v>
      </c>
      <c r="M844" t="s">
        <v>40</v>
      </c>
      <c r="N844" t="str">
        <f>_xlfn.XLOOKUP(Table1[[#This Row],[EmployeeNumber]],Table4[EmployeeNumber],Table4[Id_Employee])</f>
        <v>EMP00843</v>
      </c>
      <c r="O844">
        <v>1175</v>
      </c>
      <c r="P844" t="str">
        <f>_xlfn.XLOOKUP(Table1[[#This Row],[EnvironmentSatisfaction]],Table9[EnvironmentSatisfaction],Table9[Id_EnviromentSatisfaction])</f>
        <v>ES003</v>
      </c>
      <c r="Q844">
        <v>3</v>
      </c>
      <c r="R844" t="str">
        <f>_xlfn.XLOOKUP(Table1[[#This Row],[EnvironmentSatisfaction]],Table9[EnvironmentSatisfaction],Table9[Deskripsi])</f>
        <v>High</v>
      </c>
      <c r="S844" t="str">
        <f>_xlfn.XLOOKUP(Table1[[#This Row],[Gender]],Table10[Gender],Table10[Id_Gender])</f>
        <v>G001</v>
      </c>
      <c r="T844" t="s">
        <v>45</v>
      </c>
      <c r="U844">
        <v>79</v>
      </c>
      <c r="V844" t="str">
        <f>_xlfn.XLOOKUP(Table1[[#This Row],[JobInvolvement]],Table11[JobInvolvement],Table11[Id_JobInvolvement])</f>
        <v>JI003</v>
      </c>
      <c r="W844">
        <v>3</v>
      </c>
      <c r="X844" t="str">
        <f>_xlfn.XLOOKUP(Table1[[#This Row],[JobLevel]],Table12[JobLevel],Table12[Id_JobLevel])</f>
        <v>JL001</v>
      </c>
      <c r="Y844">
        <v>1</v>
      </c>
      <c r="Z844" t="str">
        <f>_xlfn.XLOOKUP(Table1[[#This Row],[JobRole]],Table13[JobRole],Table13[Id_JobRole])</f>
        <v>JR003</v>
      </c>
      <c r="AA844" t="s">
        <v>49</v>
      </c>
      <c r="AB844" t="str">
        <f>_xlfn.XLOOKUP(Table1[[#This Row],[JobSatisfaction]],Table14[JobSatisfaction],Table14[Id_JobSatisfaction])</f>
        <v>JS004</v>
      </c>
      <c r="AC844">
        <v>4</v>
      </c>
      <c r="AD844" t="str">
        <f>_xlfn.XLOOKUP(Table1[[#This Row],[JobSatisfaction]],Table14[JobSatisfaction],Table14[Deskripsi])</f>
        <v>Very High</v>
      </c>
      <c r="AE844" t="str">
        <f>_xlfn.XLOOKUP(Table1[[#This Row],[MaritalStatus]],Table15[MaritalStatus],Table15[Id_MaritalStatus])</f>
        <v>MS002</v>
      </c>
      <c r="AF844" t="s">
        <v>56</v>
      </c>
      <c r="AG844">
        <v>2515</v>
      </c>
      <c r="AH844">
        <v>22955</v>
      </c>
      <c r="AI844">
        <v>1</v>
      </c>
      <c r="AJ844" t="str">
        <f>_xlfn.XLOOKUP(Table1[[#This Row],[OverTime]],Table16[OverTime],Table16[Id_OverTime])</f>
        <v>OT001</v>
      </c>
      <c r="AK844" t="s">
        <v>32</v>
      </c>
      <c r="AL844">
        <v>11</v>
      </c>
      <c r="AM844" t="str">
        <f>_xlfn.XLOOKUP(Table1[[#This Row],[PerformanceRating]],Table17[PerformanceRating],Table17[Id_PerformanceRating])</f>
        <v>PR003</v>
      </c>
      <c r="AN844">
        <v>3</v>
      </c>
      <c r="AO844" t="str">
        <f>_xlfn.XLOOKUP(Table1[[#This Row],[PerformanceRating]],Table17[PerformanceRating],Table17[Deskripsi])</f>
        <v>Excellent</v>
      </c>
      <c r="AP844" t="str">
        <f>_xlfn.XLOOKUP(Table1[[#This Row],[RelationshipSatisfaction]],Table18[RelationshipSatisfaction],Table18[Id_RelationshipSatisfaction])</f>
        <v>RS004</v>
      </c>
      <c r="AQ844">
        <v>4</v>
      </c>
      <c r="AR844" t="str">
        <f>_xlfn.XLOOKUP(Table1[[#This Row],[RelationshipSatisfaction]],Table18[RelationshipSatisfaction],Table18[Deskripsi])</f>
        <v>Very High</v>
      </c>
      <c r="AS844" t="str">
        <f>_xlfn.XLOOKUP(Table1[[#This Row],[StockOptionLevel]],Table19[StockOptionLevel],Table19[Id_StockOptionLevel])</f>
        <v>SOL001</v>
      </c>
      <c r="AT844">
        <v>0</v>
      </c>
      <c r="AU844" t="str">
        <f>_xlfn.XLOOKUP(Table1[[#This Row],[StockOptionLevel]],Table19[StockOptionLevel],Table19[Deskripsi])</f>
        <v>Non-Eligible</v>
      </c>
      <c r="AV844">
        <v>1</v>
      </c>
      <c r="AW844">
        <v>4</v>
      </c>
      <c r="AX844" t="str">
        <f>_xlfn.XLOOKUP(Table1[[#This Row],[WorkLifeBalance]],Table20[WorkLifeBalance],Table20[Id_WorkLifeBalance])</f>
        <v>WLB003</v>
      </c>
      <c r="AY844">
        <v>2</v>
      </c>
      <c r="AZ844" t="str">
        <f>_xlfn.XLOOKUP(Table1[[#This Row],[WorkLifeBalance]],Table20[WorkLifeBalance],Table20[Deskripsi])</f>
        <v>Better</v>
      </c>
      <c r="BA844">
        <v>1</v>
      </c>
      <c r="BB844">
        <v>1</v>
      </c>
      <c r="BC844">
        <v>0</v>
      </c>
      <c r="BD844">
        <v>0</v>
      </c>
    </row>
    <row r="845" spans="1:56" x14ac:dyDescent="0.25">
      <c r="A845">
        <v>26</v>
      </c>
      <c r="B845" t="str">
        <f>_xlfn.XLOOKUP(Table1[[#This Row],[Attrition]],Table2[Attrition],Table2[Id_Attrition])</f>
        <v>A002</v>
      </c>
      <c r="C845" t="s">
        <v>33</v>
      </c>
      <c r="D845" t="str">
        <f>_xlfn.XLOOKUP(Table1[[#This Row],[BusinessTravel]],Table5[BusinessTravel],Table5[Id_BusinessTravel])</f>
        <v>BS001</v>
      </c>
      <c r="E845" t="s">
        <v>34</v>
      </c>
      <c r="F845">
        <v>1384</v>
      </c>
      <c r="G845" t="str">
        <f>_xlfn.XLOOKUP(Table1[[#This Row],[Department]],Table6[Department],Table6[Id_Departement])</f>
        <v>D002</v>
      </c>
      <c r="H845" t="s">
        <v>38</v>
      </c>
      <c r="I845">
        <v>3</v>
      </c>
      <c r="J845" t="str">
        <f>_xlfn.XLOOKUP(Table1[[#This Row],[Education]],Table8[Education],Table8[Id_Education])</f>
        <v>E004</v>
      </c>
      <c r="K845">
        <v>4</v>
      </c>
      <c r="L845" t="str">
        <f>_xlfn.XLOOKUP(Table1[[#This Row],[EducationField]],Table7[EducationField],Table7[Id_EducationField])</f>
        <v>EF003</v>
      </c>
      <c r="M845" t="s">
        <v>42</v>
      </c>
      <c r="N845" t="str">
        <f>_xlfn.XLOOKUP(Table1[[#This Row],[EmployeeNumber]],Table4[EmployeeNumber],Table4[Id_Employee])</f>
        <v>EMP00844</v>
      </c>
      <c r="O845">
        <v>1177</v>
      </c>
      <c r="P845" t="str">
        <f>_xlfn.XLOOKUP(Table1[[#This Row],[EnvironmentSatisfaction]],Table9[EnvironmentSatisfaction],Table9[Id_EnviromentSatisfaction])</f>
        <v>ES001</v>
      </c>
      <c r="Q845">
        <v>1</v>
      </c>
      <c r="R845" t="str">
        <f>_xlfn.XLOOKUP(Table1[[#This Row],[EnvironmentSatisfaction]],Table9[EnvironmentSatisfaction],Table9[Deskripsi])</f>
        <v>Low</v>
      </c>
      <c r="S845" t="str">
        <f>_xlfn.XLOOKUP(Table1[[#This Row],[Gender]],Table10[Gender],Table10[Id_Gender])</f>
        <v>G002</v>
      </c>
      <c r="T845" t="s">
        <v>46</v>
      </c>
      <c r="U845">
        <v>82</v>
      </c>
      <c r="V845" t="str">
        <f>_xlfn.XLOOKUP(Table1[[#This Row],[JobInvolvement]],Table11[JobInvolvement],Table11[Id_JobInvolvement])</f>
        <v>JI004</v>
      </c>
      <c r="W845">
        <v>4</v>
      </c>
      <c r="X845" t="str">
        <f>_xlfn.XLOOKUP(Table1[[#This Row],[JobLevel]],Table12[JobLevel],Table12[Id_JobLevel])</f>
        <v>JL001</v>
      </c>
      <c r="Y845">
        <v>1</v>
      </c>
      <c r="Z845" t="str">
        <f>_xlfn.XLOOKUP(Table1[[#This Row],[JobRole]],Table13[JobRole],Table13[Id_JobRole])</f>
        <v>JR003</v>
      </c>
      <c r="AA845" t="s">
        <v>49</v>
      </c>
      <c r="AB845" t="str">
        <f>_xlfn.XLOOKUP(Table1[[#This Row],[JobSatisfaction]],Table14[JobSatisfaction],Table14[Id_JobSatisfaction])</f>
        <v>JS004</v>
      </c>
      <c r="AC845">
        <v>4</v>
      </c>
      <c r="AD845" t="str">
        <f>_xlfn.XLOOKUP(Table1[[#This Row],[JobSatisfaction]],Table14[JobSatisfaction],Table14[Deskripsi])</f>
        <v>Very High</v>
      </c>
      <c r="AE845" t="str">
        <f>_xlfn.XLOOKUP(Table1[[#This Row],[MaritalStatus]],Table15[MaritalStatus],Table15[Id_MaritalStatus])</f>
        <v>MS002</v>
      </c>
      <c r="AF845" t="s">
        <v>56</v>
      </c>
      <c r="AG845">
        <v>4420</v>
      </c>
      <c r="AH845">
        <v>13421</v>
      </c>
      <c r="AI845">
        <v>1</v>
      </c>
      <c r="AJ845" t="str">
        <f>_xlfn.XLOOKUP(Table1[[#This Row],[OverTime]],Table16[OverTime],Table16[Id_OverTime])</f>
        <v>OT002</v>
      </c>
      <c r="AK845" t="s">
        <v>33</v>
      </c>
      <c r="AL845">
        <v>22</v>
      </c>
      <c r="AM845" t="str">
        <f>_xlfn.XLOOKUP(Table1[[#This Row],[PerformanceRating]],Table17[PerformanceRating],Table17[Id_PerformanceRating])</f>
        <v>PR004</v>
      </c>
      <c r="AN845">
        <v>4</v>
      </c>
      <c r="AO845" t="str">
        <f>_xlfn.XLOOKUP(Table1[[#This Row],[PerformanceRating]],Table17[PerformanceRating],Table17[Deskripsi])</f>
        <v>Outstanding</v>
      </c>
      <c r="AP845" t="str">
        <f>_xlfn.XLOOKUP(Table1[[#This Row],[RelationshipSatisfaction]],Table18[RelationshipSatisfaction],Table18[Id_RelationshipSatisfaction])</f>
        <v>RS002</v>
      </c>
      <c r="AQ845">
        <v>2</v>
      </c>
      <c r="AR845" t="str">
        <f>_xlfn.XLOOKUP(Table1[[#This Row],[RelationshipSatisfaction]],Table18[RelationshipSatisfaction],Table18[Deskripsi])</f>
        <v>Medium</v>
      </c>
      <c r="AS845" t="str">
        <f>_xlfn.XLOOKUP(Table1[[#This Row],[StockOptionLevel]],Table19[StockOptionLevel],Table19[Id_StockOptionLevel])</f>
        <v>SOL002</v>
      </c>
      <c r="AT845">
        <v>1</v>
      </c>
      <c r="AU845" t="str">
        <f>_xlfn.XLOOKUP(Table1[[#This Row],[StockOptionLevel]],Table19[StockOptionLevel],Table19[Deskripsi])</f>
        <v>Standard</v>
      </c>
      <c r="AV845">
        <v>8</v>
      </c>
      <c r="AW845">
        <v>2</v>
      </c>
      <c r="AX845" t="str">
        <f>_xlfn.XLOOKUP(Table1[[#This Row],[WorkLifeBalance]],Table20[WorkLifeBalance],Table20[Id_WorkLifeBalance])</f>
        <v>WLB002</v>
      </c>
      <c r="AY845">
        <v>3</v>
      </c>
      <c r="AZ845" t="str">
        <f>_xlfn.XLOOKUP(Table1[[#This Row],[WorkLifeBalance]],Table20[WorkLifeBalance],Table20[Deskripsi])</f>
        <v>Good</v>
      </c>
      <c r="BA845">
        <v>8</v>
      </c>
      <c r="BB845">
        <v>7</v>
      </c>
      <c r="BC845">
        <v>0</v>
      </c>
      <c r="BD845">
        <v>7</v>
      </c>
    </row>
    <row r="846" spans="1:56" x14ac:dyDescent="0.25">
      <c r="A846">
        <v>30</v>
      </c>
      <c r="B846" t="str">
        <f>_xlfn.XLOOKUP(Table1[[#This Row],[Attrition]],Table2[Attrition],Table2[Id_Attrition])</f>
        <v>A002</v>
      </c>
      <c r="C846" t="s">
        <v>33</v>
      </c>
      <c r="D846" t="str">
        <f>_xlfn.XLOOKUP(Table1[[#This Row],[BusinessTravel]],Table5[BusinessTravel],Table5[Id_BusinessTravel])</f>
        <v>BS001</v>
      </c>
      <c r="E846" t="s">
        <v>34</v>
      </c>
      <c r="F846">
        <v>852</v>
      </c>
      <c r="G846" t="str">
        <f>_xlfn.XLOOKUP(Table1[[#This Row],[Department]],Table6[Department],Table6[Id_Departement])</f>
        <v>D001</v>
      </c>
      <c r="H846" t="s">
        <v>37</v>
      </c>
      <c r="I846">
        <v>10</v>
      </c>
      <c r="J846" t="str">
        <f>_xlfn.XLOOKUP(Table1[[#This Row],[Education]],Table8[Education],Table8[Id_Education])</f>
        <v>E003</v>
      </c>
      <c r="K846">
        <v>3</v>
      </c>
      <c r="L846" t="str">
        <f>_xlfn.XLOOKUP(Table1[[#This Row],[EducationField]],Table7[EducationField],Table7[Id_EducationField])</f>
        <v>EF004</v>
      </c>
      <c r="M846" t="s">
        <v>43</v>
      </c>
      <c r="N846" t="str">
        <f>_xlfn.XLOOKUP(Table1[[#This Row],[EmployeeNumber]],Table4[EmployeeNumber],Table4[Id_Employee])</f>
        <v>EMP00845</v>
      </c>
      <c r="O846">
        <v>1179</v>
      </c>
      <c r="P846" t="str">
        <f>_xlfn.XLOOKUP(Table1[[#This Row],[EnvironmentSatisfaction]],Table9[EnvironmentSatisfaction],Table9[Id_EnviromentSatisfaction])</f>
        <v>ES003</v>
      </c>
      <c r="Q846">
        <v>3</v>
      </c>
      <c r="R846" t="str">
        <f>_xlfn.XLOOKUP(Table1[[#This Row],[EnvironmentSatisfaction]],Table9[EnvironmentSatisfaction],Table9[Deskripsi])</f>
        <v>High</v>
      </c>
      <c r="S846" t="str">
        <f>_xlfn.XLOOKUP(Table1[[#This Row],[Gender]],Table10[Gender],Table10[Id_Gender])</f>
        <v>G002</v>
      </c>
      <c r="T846" t="s">
        <v>46</v>
      </c>
      <c r="U846">
        <v>72</v>
      </c>
      <c r="V846" t="str">
        <f>_xlfn.XLOOKUP(Table1[[#This Row],[JobInvolvement]],Table11[JobInvolvement],Table11[Id_JobInvolvement])</f>
        <v>JI002</v>
      </c>
      <c r="W846">
        <v>2</v>
      </c>
      <c r="X846" t="str">
        <f>_xlfn.XLOOKUP(Table1[[#This Row],[JobLevel]],Table12[JobLevel],Table12[Id_JobLevel])</f>
        <v>JL002</v>
      </c>
      <c r="Y846">
        <v>2</v>
      </c>
      <c r="Z846" t="str">
        <f>_xlfn.XLOOKUP(Table1[[#This Row],[JobRole]],Table13[JobRole],Table13[Id_JobRole])</f>
        <v>JR001</v>
      </c>
      <c r="AA846" t="s">
        <v>47</v>
      </c>
      <c r="AB846" t="str">
        <f>_xlfn.XLOOKUP(Table1[[#This Row],[JobSatisfaction]],Table14[JobSatisfaction],Table14[Id_JobSatisfaction])</f>
        <v>JS003</v>
      </c>
      <c r="AC846">
        <v>3</v>
      </c>
      <c r="AD846" t="str">
        <f>_xlfn.XLOOKUP(Table1[[#This Row],[JobSatisfaction]],Table14[JobSatisfaction],Table14[Deskripsi])</f>
        <v>High</v>
      </c>
      <c r="AE846" t="str">
        <f>_xlfn.XLOOKUP(Table1[[#This Row],[MaritalStatus]],Table15[MaritalStatus],Table15[Id_MaritalStatus])</f>
        <v>MS002</v>
      </c>
      <c r="AF846" t="s">
        <v>56</v>
      </c>
      <c r="AG846">
        <v>6578</v>
      </c>
      <c r="AH846">
        <v>2706</v>
      </c>
      <c r="AI846">
        <v>1</v>
      </c>
      <c r="AJ846" t="str">
        <f>_xlfn.XLOOKUP(Table1[[#This Row],[OverTime]],Table16[OverTime],Table16[Id_OverTime])</f>
        <v>OT002</v>
      </c>
      <c r="AK846" t="s">
        <v>33</v>
      </c>
      <c r="AL846">
        <v>18</v>
      </c>
      <c r="AM846" t="str">
        <f>_xlfn.XLOOKUP(Table1[[#This Row],[PerformanceRating]],Table17[PerformanceRating],Table17[Id_PerformanceRating])</f>
        <v>PR003</v>
      </c>
      <c r="AN846">
        <v>3</v>
      </c>
      <c r="AO846" t="str">
        <f>_xlfn.XLOOKUP(Table1[[#This Row],[PerformanceRating]],Table17[PerformanceRating],Table17[Deskripsi])</f>
        <v>Excellent</v>
      </c>
      <c r="AP846" t="str">
        <f>_xlfn.XLOOKUP(Table1[[#This Row],[RelationshipSatisfaction]],Table18[RelationshipSatisfaction],Table18[Id_RelationshipSatisfaction])</f>
        <v>RS001</v>
      </c>
      <c r="AQ846">
        <v>1</v>
      </c>
      <c r="AR846" t="str">
        <f>_xlfn.XLOOKUP(Table1[[#This Row],[RelationshipSatisfaction]],Table18[RelationshipSatisfaction],Table18[Deskripsi])</f>
        <v>Low</v>
      </c>
      <c r="AS846" t="str">
        <f>_xlfn.XLOOKUP(Table1[[#This Row],[StockOptionLevel]],Table19[StockOptionLevel],Table19[Id_StockOptionLevel])</f>
        <v>SOL002</v>
      </c>
      <c r="AT846">
        <v>1</v>
      </c>
      <c r="AU846" t="str">
        <f>_xlfn.XLOOKUP(Table1[[#This Row],[StockOptionLevel]],Table19[StockOptionLevel],Table19[Deskripsi])</f>
        <v>Standard</v>
      </c>
      <c r="AV846">
        <v>10</v>
      </c>
      <c r="AW846">
        <v>3</v>
      </c>
      <c r="AX846" t="str">
        <f>_xlfn.XLOOKUP(Table1[[#This Row],[WorkLifeBalance]],Table20[WorkLifeBalance],Table20[Id_WorkLifeBalance])</f>
        <v>WLB002</v>
      </c>
      <c r="AY846">
        <v>3</v>
      </c>
      <c r="AZ846" t="str">
        <f>_xlfn.XLOOKUP(Table1[[#This Row],[WorkLifeBalance]],Table20[WorkLifeBalance],Table20[Deskripsi])</f>
        <v>Good</v>
      </c>
      <c r="BA846">
        <v>10</v>
      </c>
      <c r="BB846">
        <v>3</v>
      </c>
      <c r="BC846">
        <v>1</v>
      </c>
      <c r="BD846">
        <v>4</v>
      </c>
    </row>
    <row r="847" spans="1:56" x14ac:dyDescent="0.25">
      <c r="A847">
        <v>40</v>
      </c>
      <c r="B847" t="str">
        <f>_xlfn.XLOOKUP(Table1[[#This Row],[Attrition]],Table2[Attrition],Table2[Id_Attrition])</f>
        <v>A002</v>
      </c>
      <c r="C847" t="s">
        <v>33</v>
      </c>
      <c r="D847" t="str">
        <f>_xlfn.XLOOKUP(Table1[[#This Row],[BusinessTravel]],Table5[BusinessTravel],Table5[Id_BusinessTravel])</f>
        <v>BS002</v>
      </c>
      <c r="E847" t="s">
        <v>35</v>
      </c>
      <c r="F847">
        <v>902</v>
      </c>
      <c r="G847" t="str">
        <f>_xlfn.XLOOKUP(Table1[[#This Row],[Department]],Table6[Department],Table6[Id_Departement])</f>
        <v>D002</v>
      </c>
      <c r="H847" t="s">
        <v>38</v>
      </c>
      <c r="I847">
        <v>26</v>
      </c>
      <c r="J847" t="str">
        <f>_xlfn.XLOOKUP(Table1[[#This Row],[Education]],Table8[Education],Table8[Id_Education])</f>
        <v>E002</v>
      </c>
      <c r="K847">
        <v>2</v>
      </c>
      <c r="L847" t="str">
        <f>_xlfn.XLOOKUP(Table1[[#This Row],[EducationField]],Table7[EducationField],Table7[Id_EducationField])</f>
        <v>EF003</v>
      </c>
      <c r="M847" t="s">
        <v>42</v>
      </c>
      <c r="N847" t="str">
        <f>_xlfn.XLOOKUP(Table1[[#This Row],[EmployeeNumber]],Table4[EmployeeNumber],Table4[Id_Employee])</f>
        <v>EMP00846</v>
      </c>
      <c r="O847">
        <v>1180</v>
      </c>
      <c r="P847" t="str">
        <f>_xlfn.XLOOKUP(Table1[[#This Row],[EnvironmentSatisfaction]],Table9[EnvironmentSatisfaction],Table9[Id_EnviromentSatisfaction])</f>
        <v>ES003</v>
      </c>
      <c r="Q847">
        <v>3</v>
      </c>
      <c r="R847" t="str">
        <f>_xlfn.XLOOKUP(Table1[[#This Row],[EnvironmentSatisfaction]],Table9[EnvironmentSatisfaction],Table9[Deskripsi])</f>
        <v>High</v>
      </c>
      <c r="S847" t="str">
        <f>_xlfn.XLOOKUP(Table1[[#This Row],[Gender]],Table10[Gender],Table10[Id_Gender])</f>
        <v>G001</v>
      </c>
      <c r="T847" t="s">
        <v>45</v>
      </c>
      <c r="U847">
        <v>92</v>
      </c>
      <c r="V847" t="str">
        <f>_xlfn.XLOOKUP(Table1[[#This Row],[JobInvolvement]],Table11[JobInvolvement],Table11[Id_JobInvolvement])</f>
        <v>JI002</v>
      </c>
      <c r="W847">
        <v>2</v>
      </c>
      <c r="X847" t="str">
        <f>_xlfn.XLOOKUP(Table1[[#This Row],[JobLevel]],Table12[JobLevel],Table12[Id_JobLevel])</f>
        <v>JL002</v>
      </c>
      <c r="Y847">
        <v>2</v>
      </c>
      <c r="Z847" t="str">
        <f>_xlfn.XLOOKUP(Table1[[#This Row],[JobRole]],Table13[JobRole],Table13[Id_JobRole])</f>
        <v>JR002</v>
      </c>
      <c r="AA847" t="s">
        <v>48</v>
      </c>
      <c r="AB847" t="str">
        <f>_xlfn.XLOOKUP(Table1[[#This Row],[JobSatisfaction]],Table14[JobSatisfaction],Table14[Id_JobSatisfaction])</f>
        <v>JS004</v>
      </c>
      <c r="AC847">
        <v>4</v>
      </c>
      <c r="AD847" t="str">
        <f>_xlfn.XLOOKUP(Table1[[#This Row],[JobSatisfaction]],Table14[JobSatisfaction],Table14[Deskripsi])</f>
        <v>Very High</v>
      </c>
      <c r="AE847" t="str">
        <f>_xlfn.XLOOKUP(Table1[[#This Row],[MaritalStatus]],Table15[MaritalStatus],Table15[Id_MaritalStatus])</f>
        <v>MS002</v>
      </c>
      <c r="AF847" t="s">
        <v>56</v>
      </c>
      <c r="AG847">
        <v>4422</v>
      </c>
      <c r="AH847">
        <v>21203</v>
      </c>
      <c r="AI847">
        <v>3</v>
      </c>
      <c r="AJ847" t="str">
        <f>_xlfn.XLOOKUP(Table1[[#This Row],[OverTime]],Table16[OverTime],Table16[Id_OverTime])</f>
        <v>OT001</v>
      </c>
      <c r="AK847" t="s">
        <v>32</v>
      </c>
      <c r="AL847">
        <v>13</v>
      </c>
      <c r="AM847" t="str">
        <f>_xlfn.XLOOKUP(Table1[[#This Row],[PerformanceRating]],Table17[PerformanceRating],Table17[Id_PerformanceRating])</f>
        <v>PR003</v>
      </c>
      <c r="AN847">
        <v>3</v>
      </c>
      <c r="AO847" t="str">
        <f>_xlfn.XLOOKUP(Table1[[#This Row],[PerformanceRating]],Table17[PerformanceRating],Table17[Deskripsi])</f>
        <v>Excellent</v>
      </c>
      <c r="AP847" t="str">
        <f>_xlfn.XLOOKUP(Table1[[#This Row],[RelationshipSatisfaction]],Table18[RelationshipSatisfaction],Table18[Id_RelationshipSatisfaction])</f>
        <v>RS004</v>
      </c>
      <c r="AQ847">
        <v>4</v>
      </c>
      <c r="AR847" t="str">
        <f>_xlfn.XLOOKUP(Table1[[#This Row],[RelationshipSatisfaction]],Table18[RelationshipSatisfaction],Table18[Deskripsi])</f>
        <v>Very High</v>
      </c>
      <c r="AS847" t="str">
        <f>_xlfn.XLOOKUP(Table1[[#This Row],[StockOptionLevel]],Table19[StockOptionLevel],Table19[Id_StockOptionLevel])</f>
        <v>SOL002</v>
      </c>
      <c r="AT847">
        <v>1</v>
      </c>
      <c r="AU847" t="str">
        <f>_xlfn.XLOOKUP(Table1[[#This Row],[StockOptionLevel]],Table19[StockOptionLevel],Table19[Deskripsi])</f>
        <v>Standard</v>
      </c>
      <c r="AV847">
        <v>16</v>
      </c>
      <c r="AW847">
        <v>3</v>
      </c>
      <c r="AX847" t="str">
        <f>_xlfn.XLOOKUP(Table1[[#This Row],[WorkLifeBalance]],Table20[WorkLifeBalance],Table20[Id_WorkLifeBalance])</f>
        <v>WLB001</v>
      </c>
      <c r="AY847">
        <v>1</v>
      </c>
      <c r="AZ847" t="str">
        <f>_xlfn.XLOOKUP(Table1[[#This Row],[WorkLifeBalance]],Table20[WorkLifeBalance],Table20[Deskripsi])</f>
        <v>Bad</v>
      </c>
      <c r="BA847">
        <v>1</v>
      </c>
      <c r="BB847">
        <v>1</v>
      </c>
      <c r="BC847">
        <v>0</v>
      </c>
      <c r="BD847">
        <v>0</v>
      </c>
    </row>
    <row r="848" spans="1:56" x14ac:dyDescent="0.25">
      <c r="A848">
        <v>35</v>
      </c>
      <c r="B848" t="str">
        <f>_xlfn.XLOOKUP(Table1[[#This Row],[Attrition]],Table2[Attrition],Table2[Id_Attrition])</f>
        <v>A002</v>
      </c>
      <c r="C848" t="s">
        <v>33</v>
      </c>
      <c r="D848" t="str">
        <f>_xlfn.XLOOKUP(Table1[[#This Row],[BusinessTravel]],Table5[BusinessTravel],Table5[Id_BusinessTravel])</f>
        <v>BS001</v>
      </c>
      <c r="E848" t="s">
        <v>34</v>
      </c>
      <c r="F848">
        <v>819</v>
      </c>
      <c r="G848" t="str">
        <f>_xlfn.XLOOKUP(Table1[[#This Row],[Department]],Table6[Department],Table6[Id_Departement])</f>
        <v>D002</v>
      </c>
      <c r="H848" t="s">
        <v>38</v>
      </c>
      <c r="I848">
        <v>2</v>
      </c>
      <c r="J848" t="str">
        <f>_xlfn.XLOOKUP(Table1[[#This Row],[Education]],Table8[Education],Table8[Id_Education])</f>
        <v>E003</v>
      </c>
      <c r="K848">
        <v>3</v>
      </c>
      <c r="L848" t="str">
        <f>_xlfn.XLOOKUP(Table1[[#This Row],[EducationField]],Table7[EducationField],Table7[Id_EducationField])</f>
        <v>EF001</v>
      </c>
      <c r="M848" t="s">
        <v>40</v>
      </c>
      <c r="N848" t="str">
        <f>_xlfn.XLOOKUP(Table1[[#This Row],[EmployeeNumber]],Table4[EmployeeNumber],Table4[Id_Employee])</f>
        <v>EMP00847</v>
      </c>
      <c r="O848">
        <v>1182</v>
      </c>
      <c r="P848" t="str">
        <f>_xlfn.XLOOKUP(Table1[[#This Row],[EnvironmentSatisfaction]],Table9[EnvironmentSatisfaction],Table9[Id_EnviromentSatisfaction])</f>
        <v>ES003</v>
      </c>
      <c r="Q848">
        <v>3</v>
      </c>
      <c r="R848" t="str">
        <f>_xlfn.XLOOKUP(Table1[[#This Row],[EnvironmentSatisfaction]],Table9[EnvironmentSatisfaction],Table9[Deskripsi])</f>
        <v>High</v>
      </c>
      <c r="S848" t="str">
        <f>_xlfn.XLOOKUP(Table1[[#This Row],[Gender]],Table10[Gender],Table10[Id_Gender])</f>
        <v>G002</v>
      </c>
      <c r="T848" t="s">
        <v>46</v>
      </c>
      <c r="U848">
        <v>44</v>
      </c>
      <c r="V848" t="str">
        <f>_xlfn.XLOOKUP(Table1[[#This Row],[JobInvolvement]],Table11[JobInvolvement],Table11[Id_JobInvolvement])</f>
        <v>JI002</v>
      </c>
      <c r="W848">
        <v>2</v>
      </c>
      <c r="X848" t="str">
        <f>_xlfn.XLOOKUP(Table1[[#This Row],[JobLevel]],Table12[JobLevel],Table12[Id_JobLevel])</f>
        <v>JL003</v>
      </c>
      <c r="Y848">
        <v>3</v>
      </c>
      <c r="Z848" t="str">
        <f>_xlfn.XLOOKUP(Table1[[#This Row],[JobRole]],Table13[JobRole],Table13[Id_JobRole])</f>
        <v>JR004</v>
      </c>
      <c r="AA848" t="s">
        <v>50</v>
      </c>
      <c r="AB848" t="str">
        <f>_xlfn.XLOOKUP(Table1[[#This Row],[JobSatisfaction]],Table14[JobSatisfaction],Table14[Id_JobSatisfaction])</f>
        <v>JS002</v>
      </c>
      <c r="AC848">
        <v>2</v>
      </c>
      <c r="AD848" t="str">
        <f>_xlfn.XLOOKUP(Table1[[#This Row],[JobSatisfaction]],Table14[JobSatisfaction],Table14[Deskripsi])</f>
        <v>Medium</v>
      </c>
      <c r="AE848" t="str">
        <f>_xlfn.XLOOKUP(Table1[[#This Row],[MaritalStatus]],Table15[MaritalStatus],Table15[Id_MaritalStatus])</f>
        <v>MS003</v>
      </c>
      <c r="AF848" t="s">
        <v>57</v>
      </c>
      <c r="AG848">
        <v>10274</v>
      </c>
      <c r="AH848">
        <v>19588</v>
      </c>
      <c r="AI848">
        <v>2</v>
      </c>
      <c r="AJ848" t="str">
        <f>_xlfn.XLOOKUP(Table1[[#This Row],[OverTime]],Table16[OverTime],Table16[Id_OverTime])</f>
        <v>OT002</v>
      </c>
      <c r="AK848" t="s">
        <v>33</v>
      </c>
      <c r="AL848">
        <v>18</v>
      </c>
      <c r="AM848" t="str">
        <f>_xlfn.XLOOKUP(Table1[[#This Row],[PerformanceRating]],Table17[PerformanceRating],Table17[Id_PerformanceRating])</f>
        <v>PR003</v>
      </c>
      <c r="AN848">
        <v>3</v>
      </c>
      <c r="AO848" t="str">
        <f>_xlfn.XLOOKUP(Table1[[#This Row],[PerformanceRating]],Table17[PerformanceRating],Table17[Deskripsi])</f>
        <v>Excellent</v>
      </c>
      <c r="AP848" t="str">
        <f>_xlfn.XLOOKUP(Table1[[#This Row],[RelationshipSatisfaction]],Table18[RelationshipSatisfaction],Table18[Id_RelationshipSatisfaction])</f>
        <v>RS002</v>
      </c>
      <c r="AQ848">
        <v>2</v>
      </c>
      <c r="AR848" t="str">
        <f>_xlfn.XLOOKUP(Table1[[#This Row],[RelationshipSatisfaction]],Table18[RelationshipSatisfaction],Table18[Deskripsi])</f>
        <v>Medium</v>
      </c>
      <c r="AS848" t="str">
        <f>_xlfn.XLOOKUP(Table1[[#This Row],[StockOptionLevel]],Table19[StockOptionLevel],Table19[Id_StockOptionLevel])</f>
        <v>SOL002</v>
      </c>
      <c r="AT848">
        <v>1</v>
      </c>
      <c r="AU848" t="str">
        <f>_xlfn.XLOOKUP(Table1[[#This Row],[StockOptionLevel]],Table19[StockOptionLevel],Table19[Deskripsi])</f>
        <v>Standard</v>
      </c>
      <c r="AV848">
        <v>15</v>
      </c>
      <c r="AW848">
        <v>2</v>
      </c>
      <c r="AX848" t="str">
        <f>_xlfn.XLOOKUP(Table1[[#This Row],[WorkLifeBalance]],Table20[WorkLifeBalance],Table20[Id_WorkLifeBalance])</f>
        <v>WLB004</v>
      </c>
      <c r="AY848">
        <v>4</v>
      </c>
      <c r="AZ848" t="str">
        <f>_xlfn.XLOOKUP(Table1[[#This Row],[WorkLifeBalance]],Table20[WorkLifeBalance],Table20[Deskripsi])</f>
        <v>Best</v>
      </c>
      <c r="BA848">
        <v>7</v>
      </c>
      <c r="BB848">
        <v>7</v>
      </c>
      <c r="BC848">
        <v>6</v>
      </c>
      <c r="BD848">
        <v>4</v>
      </c>
    </row>
    <row r="849" spans="1:56" x14ac:dyDescent="0.25">
      <c r="A849">
        <v>34</v>
      </c>
      <c r="B849" t="str">
        <f>_xlfn.XLOOKUP(Table1[[#This Row],[Attrition]],Table2[Attrition],Table2[Id_Attrition])</f>
        <v>A002</v>
      </c>
      <c r="C849" t="s">
        <v>33</v>
      </c>
      <c r="D849" t="str">
        <f>_xlfn.XLOOKUP(Table1[[#This Row],[BusinessTravel]],Table5[BusinessTravel],Table5[Id_BusinessTravel])</f>
        <v>BS002</v>
      </c>
      <c r="E849" t="s">
        <v>35</v>
      </c>
      <c r="F849">
        <v>669</v>
      </c>
      <c r="G849" t="str">
        <f>_xlfn.XLOOKUP(Table1[[#This Row],[Department]],Table6[Department],Table6[Id_Departement])</f>
        <v>D002</v>
      </c>
      <c r="H849" t="s">
        <v>38</v>
      </c>
      <c r="I849">
        <v>1</v>
      </c>
      <c r="J849" t="str">
        <f>_xlfn.XLOOKUP(Table1[[#This Row],[Education]],Table8[Education],Table8[Id_Education])</f>
        <v>E003</v>
      </c>
      <c r="K849">
        <v>3</v>
      </c>
      <c r="L849" t="str">
        <f>_xlfn.XLOOKUP(Table1[[#This Row],[EducationField]],Table7[EducationField],Table7[Id_EducationField])</f>
        <v>EF003</v>
      </c>
      <c r="M849" t="s">
        <v>42</v>
      </c>
      <c r="N849" t="str">
        <f>_xlfn.XLOOKUP(Table1[[#This Row],[EmployeeNumber]],Table4[EmployeeNumber],Table4[Id_Employee])</f>
        <v>EMP00848</v>
      </c>
      <c r="O849">
        <v>1184</v>
      </c>
      <c r="P849" t="str">
        <f>_xlfn.XLOOKUP(Table1[[#This Row],[EnvironmentSatisfaction]],Table9[EnvironmentSatisfaction],Table9[Id_EnviromentSatisfaction])</f>
        <v>ES004</v>
      </c>
      <c r="Q849">
        <v>4</v>
      </c>
      <c r="R849" t="str">
        <f>_xlfn.XLOOKUP(Table1[[#This Row],[EnvironmentSatisfaction]],Table9[EnvironmentSatisfaction],Table9[Deskripsi])</f>
        <v>Very High</v>
      </c>
      <c r="S849" t="str">
        <f>_xlfn.XLOOKUP(Table1[[#This Row],[Gender]],Table10[Gender],Table10[Id_Gender])</f>
        <v>G002</v>
      </c>
      <c r="T849" t="s">
        <v>46</v>
      </c>
      <c r="U849">
        <v>97</v>
      </c>
      <c r="V849" t="str">
        <f>_xlfn.XLOOKUP(Table1[[#This Row],[JobInvolvement]],Table11[JobInvolvement],Table11[Id_JobInvolvement])</f>
        <v>JI002</v>
      </c>
      <c r="W849">
        <v>2</v>
      </c>
      <c r="X849" t="str">
        <f>_xlfn.XLOOKUP(Table1[[#This Row],[JobLevel]],Table12[JobLevel],Table12[Id_JobLevel])</f>
        <v>JL002</v>
      </c>
      <c r="Y849">
        <v>2</v>
      </c>
      <c r="Z849" t="str">
        <f>_xlfn.XLOOKUP(Table1[[#This Row],[JobRole]],Table13[JobRole],Table13[Id_JobRole])</f>
        <v>JR005</v>
      </c>
      <c r="AA849" t="s">
        <v>51</v>
      </c>
      <c r="AB849" t="str">
        <f>_xlfn.XLOOKUP(Table1[[#This Row],[JobSatisfaction]],Table14[JobSatisfaction],Table14[Id_JobSatisfaction])</f>
        <v>JS001</v>
      </c>
      <c r="AC849">
        <v>1</v>
      </c>
      <c r="AD849" t="str">
        <f>_xlfn.XLOOKUP(Table1[[#This Row],[JobSatisfaction]],Table14[JobSatisfaction],Table14[Deskripsi])</f>
        <v>Low</v>
      </c>
      <c r="AE849" t="str">
        <f>_xlfn.XLOOKUP(Table1[[#This Row],[MaritalStatus]],Table15[MaritalStatus],Table15[Id_MaritalStatus])</f>
        <v>MS001</v>
      </c>
      <c r="AF849" t="s">
        <v>55</v>
      </c>
      <c r="AG849">
        <v>5343</v>
      </c>
      <c r="AH849">
        <v>25755</v>
      </c>
      <c r="AI849">
        <v>0</v>
      </c>
      <c r="AJ849" t="str">
        <f>_xlfn.XLOOKUP(Table1[[#This Row],[OverTime]],Table16[OverTime],Table16[Id_OverTime])</f>
        <v>OT002</v>
      </c>
      <c r="AK849" t="s">
        <v>33</v>
      </c>
      <c r="AL849">
        <v>20</v>
      </c>
      <c r="AM849" t="str">
        <f>_xlfn.XLOOKUP(Table1[[#This Row],[PerformanceRating]],Table17[PerformanceRating],Table17[Id_PerformanceRating])</f>
        <v>PR004</v>
      </c>
      <c r="AN849">
        <v>4</v>
      </c>
      <c r="AO849" t="str">
        <f>_xlfn.XLOOKUP(Table1[[#This Row],[PerformanceRating]],Table17[PerformanceRating],Table17[Deskripsi])</f>
        <v>Outstanding</v>
      </c>
      <c r="AP849" t="str">
        <f>_xlfn.XLOOKUP(Table1[[#This Row],[RelationshipSatisfaction]],Table18[RelationshipSatisfaction],Table18[Id_RelationshipSatisfaction])</f>
        <v>RS003</v>
      </c>
      <c r="AQ849">
        <v>3</v>
      </c>
      <c r="AR849" t="str">
        <f>_xlfn.XLOOKUP(Table1[[#This Row],[RelationshipSatisfaction]],Table18[RelationshipSatisfaction],Table18[Deskripsi])</f>
        <v>High</v>
      </c>
      <c r="AS849" t="str">
        <f>_xlfn.XLOOKUP(Table1[[#This Row],[StockOptionLevel]],Table19[StockOptionLevel],Table19[Id_StockOptionLevel])</f>
        <v>SOL001</v>
      </c>
      <c r="AT849">
        <v>0</v>
      </c>
      <c r="AU849" t="str">
        <f>_xlfn.XLOOKUP(Table1[[#This Row],[StockOptionLevel]],Table19[StockOptionLevel],Table19[Deskripsi])</f>
        <v>Non-Eligible</v>
      </c>
      <c r="AV849">
        <v>14</v>
      </c>
      <c r="AW849">
        <v>3</v>
      </c>
      <c r="AX849" t="str">
        <f>_xlfn.XLOOKUP(Table1[[#This Row],[WorkLifeBalance]],Table20[WorkLifeBalance],Table20[Id_WorkLifeBalance])</f>
        <v>WLB002</v>
      </c>
      <c r="AY849">
        <v>3</v>
      </c>
      <c r="AZ849" t="str">
        <f>_xlfn.XLOOKUP(Table1[[#This Row],[WorkLifeBalance]],Table20[WorkLifeBalance],Table20[Deskripsi])</f>
        <v>Good</v>
      </c>
      <c r="BA849">
        <v>13</v>
      </c>
      <c r="BB849">
        <v>9</v>
      </c>
      <c r="BC849">
        <v>4</v>
      </c>
      <c r="BD849">
        <v>9</v>
      </c>
    </row>
    <row r="850" spans="1:56" x14ac:dyDescent="0.25">
      <c r="A850">
        <v>35</v>
      </c>
      <c r="B850" t="str">
        <f>_xlfn.XLOOKUP(Table1[[#This Row],[Attrition]],Table2[Attrition],Table2[Id_Attrition])</f>
        <v>A002</v>
      </c>
      <c r="C850" t="s">
        <v>33</v>
      </c>
      <c r="D850" t="str">
        <f>_xlfn.XLOOKUP(Table1[[#This Row],[BusinessTravel]],Table5[BusinessTravel],Table5[Id_BusinessTravel])</f>
        <v>BS002</v>
      </c>
      <c r="E850" t="s">
        <v>35</v>
      </c>
      <c r="F850">
        <v>636</v>
      </c>
      <c r="G850" t="str">
        <f>_xlfn.XLOOKUP(Table1[[#This Row],[Department]],Table6[Department],Table6[Id_Departement])</f>
        <v>D002</v>
      </c>
      <c r="H850" t="s">
        <v>38</v>
      </c>
      <c r="I850">
        <v>4</v>
      </c>
      <c r="J850" t="str">
        <f>_xlfn.XLOOKUP(Table1[[#This Row],[Education]],Table8[Education],Table8[Id_Education])</f>
        <v>E004</v>
      </c>
      <c r="K850">
        <v>4</v>
      </c>
      <c r="L850" t="str">
        <f>_xlfn.XLOOKUP(Table1[[#This Row],[EducationField]],Table7[EducationField],Table7[Id_EducationField])</f>
        <v>EF002</v>
      </c>
      <c r="M850" t="s">
        <v>41</v>
      </c>
      <c r="N850" t="str">
        <f>_xlfn.XLOOKUP(Table1[[#This Row],[EmployeeNumber]],Table4[EmployeeNumber],Table4[Id_Employee])</f>
        <v>EMP00849</v>
      </c>
      <c r="O850">
        <v>1185</v>
      </c>
      <c r="P850" t="str">
        <f>_xlfn.XLOOKUP(Table1[[#This Row],[EnvironmentSatisfaction]],Table9[EnvironmentSatisfaction],Table9[Id_EnviromentSatisfaction])</f>
        <v>ES004</v>
      </c>
      <c r="Q850">
        <v>4</v>
      </c>
      <c r="R850" t="str">
        <f>_xlfn.XLOOKUP(Table1[[#This Row],[EnvironmentSatisfaction]],Table9[EnvironmentSatisfaction],Table9[Deskripsi])</f>
        <v>Very High</v>
      </c>
      <c r="S850" t="str">
        <f>_xlfn.XLOOKUP(Table1[[#This Row],[Gender]],Table10[Gender],Table10[Id_Gender])</f>
        <v>G002</v>
      </c>
      <c r="T850" t="s">
        <v>46</v>
      </c>
      <c r="U850">
        <v>47</v>
      </c>
      <c r="V850" t="str">
        <f>_xlfn.XLOOKUP(Table1[[#This Row],[JobInvolvement]],Table11[JobInvolvement],Table11[Id_JobInvolvement])</f>
        <v>JI002</v>
      </c>
      <c r="W850">
        <v>2</v>
      </c>
      <c r="X850" t="str">
        <f>_xlfn.XLOOKUP(Table1[[#This Row],[JobLevel]],Table12[JobLevel],Table12[Id_JobLevel])</f>
        <v>JL001</v>
      </c>
      <c r="Y850">
        <v>1</v>
      </c>
      <c r="Z850" t="str">
        <f>_xlfn.XLOOKUP(Table1[[#This Row],[JobRole]],Table13[JobRole],Table13[Id_JobRole])</f>
        <v>JR003</v>
      </c>
      <c r="AA850" t="s">
        <v>49</v>
      </c>
      <c r="AB850" t="str">
        <f>_xlfn.XLOOKUP(Table1[[#This Row],[JobSatisfaction]],Table14[JobSatisfaction],Table14[Id_JobSatisfaction])</f>
        <v>JS004</v>
      </c>
      <c r="AC850">
        <v>4</v>
      </c>
      <c r="AD850" t="str">
        <f>_xlfn.XLOOKUP(Table1[[#This Row],[JobSatisfaction]],Table14[JobSatisfaction],Table14[Deskripsi])</f>
        <v>Very High</v>
      </c>
      <c r="AE850" t="str">
        <f>_xlfn.XLOOKUP(Table1[[#This Row],[MaritalStatus]],Table15[MaritalStatus],Table15[Id_MaritalStatus])</f>
        <v>MS002</v>
      </c>
      <c r="AF850" t="s">
        <v>56</v>
      </c>
      <c r="AG850">
        <v>2376</v>
      </c>
      <c r="AH850">
        <v>26537</v>
      </c>
      <c r="AI850">
        <v>1</v>
      </c>
      <c r="AJ850" t="str">
        <f>_xlfn.XLOOKUP(Table1[[#This Row],[OverTime]],Table16[OverTime],Table16[Id_OverTime])</f>
        <v>OT002</v>
      </c>
      <c r="AK850" t="s">
        <v>33</v>
      </c>
      <c r="AL850">
        <v>13</v>
      </c>
      <c r="AM850" t="str">
        <f>_xlfn.XLOOKUP(Table1[[#This Row],[PerformanceRating]],Table17[PerformanceRating],Table17[Id_PerformanceRating])</f>
        <v>PR003</v>
      </c>
      <c r="AN850">
        <v>3</v>
      </c>
      <c r="AO850" t="str">
        <f>_xlfn.XLOOKUP(Table1[[#This Row],[PerformanceRating]],Table17[PerformanceRating],Table17[Deskripsi])</f>
        <v>Excellent</v>
      </c>
      <c r="AP850" t="str">
        <f>_xlfn.XLOOKUP(Table1[[#This Row],[RelationshipSatisfaction]],Table18[RelationshipSatisfaction],Table18[Id_RelationshipSatisfaction])</f>
        <v>RS002</v>
      </c>
      <c r="AQ850">
        <v>2</v>
      </c>
      <c r="AR850" t="str">
        <f>_xlfn.XLOOKUP(Table1[[#This Row],[RelationshipSatisfaction]],Table18[RelationshipSatisfaction],Table18[Deskripsi])</f>
        <v>Medium</v>
      </c>
      <c r="AS850" t="str">
        <f>_xlfn.XLOOKUP(Table1[[#This Row],[StockOptionLevel]],Table19[StockOptionLevel],Table19[Id_StockOptionLevel])</f>
        <v>SOL002</v>
      </c>
      <c r="AT850">
        <v>1</v>
      </c>
      <c r="AU850" t="str">
        <f>_xlfn.XLOOKUP(Table1[[#This Row],[StockOptionLevel]],Table19[StockOptionLevel],Table19[Deskripsi])</f>
        <v>Standard</v>
      </c>
      <c r="AV850">
        <v>2</v>
      </c>
      <c r="AW850">
        <v>2</v>
      </c>
      <c r="AX850" t="str">
        <f>_xlfn.XLOOKUP(Table1[[#This Row],[WorkLifeBalance]],Table20[WorkLifeBalance],Table20[Id_WorkLifeBalance])</f>
        <v>WLB004</v>
      </c>
      <c r="AY850">
        <v>4</v>
      </c>
      <c r="AZ850" t="str">
        <f>_xlfn.XLOOKUP(Table1[[#This Row],[WorkLifeBalance]],Table20[WorkLifeBalance],Table20[Deskripsi])</f>
        <v>Best</v>
      </c>
      <c r="BA850">
        <v>2</v>
      </c>
      <c r="BB850">
        <v>2</v>
      </c>
      <c r="BC850">
        <v>2</v>
      </c>
      <c r="BD850">
        <v>2</v>
      </c>
    </row>
    <row r="851" spans="1:56" x14ac:dyDescent="0.25">
      <c r="A851">
        <v>43</v>
      </c>
      <c r="B851" t="str">
        <f>_xlfn.XLOOKUP(Table1[[#This Row],[Attrition]],Table2[Attrition],Table2[Id_Attrition])</f>
        <v>A001</v>
      </c>
      <c r="C851" t="s">
        <v>32</v>
      </c>
      <c r="D851" t="str">
        <f>_xlfn.XLOOKUP(Table1[[#This Row],[BusinessTravel]],Table5[BusinessTravel],Table5[Id_BusinessTravel])</f>
        <v>BS001</v>
      </c>
      <c r="E851" t="s">
        <v>34</v>
      </c>
      <c r="F851">
        <v>1372</v>
      </c>
      <c r="G851" t="str">
        <f>_xlfn.XLOOKUP(Table1[[#This Row],[Department]],Table6[Department],Table6[Id_Departement])</f>
        <v>D001</v>
      </c>
      <c r="H851" t="s">
        <v>37</v>
      </c>
      <c r="I851">
        <v>9</v>
      </c>
      <c r="J851" t="str">
        <f>_xlfn.XLOOKUP(Table1[[#This Row],[Education]],Table8[Education],Table8[Id_Education])</f>
        <v>E003</v>
      </c>
      <c r="K851">
        <v>3</v>
      </c>
      <c r="L851" t="str">
        <f>_xlfn.XLOOKUP(Table1[[#This Row],[EducationField]],Table7[EducationField],Table7[Id_EducationField])</f>
        <v>EF004</v>
      </c>
      <c r="M851" t="s">
        <v>43</v>
      </c>
      <c r="N851" t="str">
        <f>_xlfn.XLOOKUP(Table1[[#This Row],[EmployeeNumber]],Table4[EmployeeNumber],Table4[Id_Employee])</f>
        <v>EMP00850</v>
      </c>
      <c r="O851">
        <v>1188</v>
      </c>
      <c r="P851" t="str">
        <f>_xlfn.XLOOKUP(Table1[[#This Row],[EnvironmentSatisfaction]],Table9[EnvironmentSatisfaction],Table9[Id_EnviromentSatisfaction])</f>
        <v>ES001</v>
      </c>
      <c r="Q851">
        <v>1</v>
      </c>
      <c r="R851" t="str">
        <f>_xlfn.XLOOKUP(Table1[[#This Row],[EnvironmentSatisfaction]],Table9[EnvironmentSatisfaction],Table9[Deskripsi])</f>
        <v>Low</v>
      </c>
      <c r="S851" t="str">
        <f>_xlfn.XLOOKUP(Table1[[#This Row],[Gender]],Table10[Gender],Table10[Id_Gender])</f>
        <v>G001</v>
      </c>
      <c r="T851" t="s">
        <v>45</v>
      </c>
      <c r="U851">
        <v>85</v>
      </c>
      <c r="V851" t="str">
        <f>_xlfn.XLOOKUP(Table1[[#This Row],[JobInvolvement]],Table11[JobInvolvement],Table11[Id_JobInvolvement])</f>
        <v>JI001</v>
      </c>
      <c r="W851">
        <v>1</v>
      </c>
      <c r="X851" t="str">
        <f>_xlfn.XLOOKUP(Table1[[#This Row],[JobLevel]],Table12[JobLevel],Table12[Id_JobLevel])</f>
        <v>JL002</v>
      </c>
      <c r="Y851">
        <v>2</v>
      </c>
      <c r="Z851" t="str">
        <f>_xlfn.XLOOKUP(Table1[[#This Row],[JobRole]],Table13[JobRole],Table13[Id_JobRole])</f>
        <v>JR001</v>
      </c>
      <c r="AA851" t="s">
        <v>47</v>
      </c>
      <c r="AB851" t="str">
        <f>_xlfn.XLOOKUP(Table1[[#This Row],[JobSatisfaction]],Table14[JobSatisfaction],Table14[Id_JobSatisfaction])</f>
        <v>JS003</v>
      </c>
      <c r="AC851">
        <v>3</v>
      </c>
      <c r="AD851" t="str">
        <f>_xlfn.XLOOKUP(Table1[[#This Row],[JobSatisfaction]],Table14[JobSatisfaction],Table14[Deskripsi])</f>
        <v>High</v>
      </c>
      <c r="AE851" t="str">
        <f>_xlfn.XLOOKUP(Table1[[#This Row],[MaritalStatus]],Table15[MaritalStatus],Table15[Id_MaritalStatus])</f>
        <v>MS001</v>
      </c>
      <c r="AF851" t="s">
        <v>55</v>
      </c>
      <c r="AG851">
        <v>5346</v>
      </c>
      <c r="AH851">
        <v>9489</v>
      </c>
      <c r="AI851">
        <v>8</v>
      </c>
      <c r="AJ851" t="str">
        <f>_xlfn.XLOOKUP(Table1[[#This Row],[OverTime]],Table16[OverTime],Table16[Id_OverTime])</f>
        <v>OT002</v>
      </c>
      <c r="AK851" t="s">
        <v>33</v>
      </c>
      <c r="AL851">
        <v>13</v>
      </c>
      <c r="AM851" t="str">
        <f>_xlfn.XLOOKUP(Table1[[#This Row],[PerformanceRating]],Table17[PerformanceRating],Table17[Id_PerformanceRating])</f>
        <v>PR003</v>
      </c>
      <c r="AN851">
        <v>3</v>
      </c>
      <c r="AO851" t="str">
        <f>_xlfn.XLOOKUP(Table1[[#This Row],[PerformanceRating]],Table17[PerformanceRating],Table17[Deskripsi])</f>
        <v>Excellent</v>
      </c>
      <c r="AP851" t="str">
        <f>_xlfn.XLOOKUP(Table1[[#This Row],[RelationshipSatisfaction]],Table18[RelationshipSatisfaction],Table18[Id_RelationshipSatisfaction])</f>
        <v>RS002</v>
      </c>
      <c r="AQ851">
        <v>2</v>
      </c>
      <c r="AR851" t="str">
        <f>_xlfn.XLOOKUP(Table1[[#This Row],[RelationshipSatisfaction]],Table18[RelationshipSatisfaction],Table18[Deskripsi])</f>
        <v>Medium</v>
      </c>
      <c r="AS851" t="str">
        <f>_xlfn.XLOOKUP(Table1[[#This Row],[StockOptionLevel]],Table19[StockOptionLevel],Table19[Id_StockOptionLevel])</f>
        <v>SOL001</v>
      </c>
      <c r="AT851">
        <v>0</v>
      </c>
      <c r="AU851" t="str">
        <f>_xlfn.XLOOKUP(Table1[[#This Row],[StockOptionLevel]],Table19[StockOptionLevel],Table19[Deskripsi])</f>
        <v>Non-Eligible</v>
      </c>
      <c r="AV851">
        <v>7</v>
      </c>
      <c r="AW851">
        <v>2</v>
      </c>
      <c r="AX851" t="str">
        <f>_xlfn.XLOOKUP(Table1[[#This Row],[WorkLifeBalance]],Table20[WorkLifeBalance],Table20[Id_WorkLifeBalance])</f>
        <v>WLB003</v>
      </c>
      <c r="AY851">
        <v>2</v>
      </c>
      <c r="AZ851" t="str">
        <f>_xlfn.XLOOKUP(Table1[[#This Row],[WorkLifeBalance]],Table20[WorkLifeBalance],Table20[Deskripsi])</f>
        <v>Better</v>
      </c>
      <c r="BA851">
        <v>4</v>
      </c>
      <c r="BB851">
        <v>3</v>
      </c>
      <c r="BC851">
        <v>1</v>
      </c>
      <c r="BD851">
        <v>3</v>
      </c>
    </row>
    <row r="852" spans="1:56" x14ac:dyDescent="0.25">
      <c r="A852">
        <v>32</v>
      </c>
      <c r="B852" t="str">
        <f>_xlfn.XLOOKUP(Table1[[#This Row],[Attrition]],Table2[Attrition],Table2[Id_Attrition])</f>
        <v>A002</v>
      </c>
      <c r="C852" t="s">
        <v>33</v>
      </c>
      <c r="D852" t="str">
        <f>_xlfn.XLOOKUP(Table1[[#This Row],[BusinessTravel]],Table5[BusinessTravel],Table5[Id_BusinessTravel])</f>
        <v>BS003</v>
      </c>
      <c r="E852" t="s">
        <v>36</v>
      </c>
      <c r="F852">
        <v>862</v>
      </c>
      <c r="G852" t="str">
        <f>_xlfn.XLOOKUP(Table1[[#This Row],[Department]],Table6[Department],Table6[Id_Departement])</f>
        <v>D001</v>
      </c>
      <c r="H852" t="s">
        <v>37</v>
      </c>
      <c r="I852">
        <v>2</v>
      </c>
      <c r="J852" t="str">
        <f>_xlfn.XLOOKUP(Table1[[#This Row],[Education]],Table8[Education],Table8[Id_Education])</f>
        <v>E001</v>
      </c>
      <c r="K852">
        <v>1</v>
      </c>
      <c r="L852" t="str">
        <f>_xlfn.XLOOKUP(Table1[[#This Row],[EducationField]],Table7[EducationField],Table7[Id_EducationField])</f>
        <v>EF001</v>
      </c>
      <c r="M852" t="s">
        <v>40</v>
      </c>
      <c r="N852" t="str">
        <f>_xlfn.XLOOKUP(Table1[[#This Row],[EmployeeNumber]],Table4[EmployeeNumber],Table4[Id_Employee])</f>
        <v>EMP00851</v>
      </c>
      <c r="O852">
        <v>1190</v>
      </c>
      <c r="P852" t="str">
        <f>_xlfn.XLOOKUP(Table1[[#This Row],[EnvironmentSatisfaction]],Table9[EnvironmentSatisfaction],Table9[Id_EnviromentSatisfaction])</f>
        <v>ES003</v>
      </c>
      <c r="Q852">
        <v>3</v>
      </c>
      <c r="R852" t="str">
        <f>_xlfn.XLOOKUP(Table1[[#This Row],[EnvironmentSatisfaction]],Table9[EnvironmentSatisfaction],Table9[Deskripsi])</f>
        <v>High</v>
      </c>
      <c r="S852" t="str">
        <f>_xlfn.XLOOKUP(Table1[[#This Row],[Gender]],Table10[Gender],Table10[Id_Gender])</f>
        <v>G001</v>
      </c>
      <c r="T852" t="s">
        <v>45</v>
      </c>
      <c r="U852">
        <v>76</v>
      </c>
      <c r="V852" t="str">
        <f>_xlfn.XLOOKUP(Table1[[#This Row],[JobInvolvement]],Table11[JobInvolvement],Table11[Id_JobInvolvement])</f>
        <v>JI003</v>
      </c>
      <c r="W852">
        <v>3</v>
      </c>
      <c r="X852" t="str">
        <f>_xlfn.XLOOKUP(Table1[[#This Row],[JobLevel]],Table12[JobLevel],Table12[Id_JobLevel])</f>
        <v>JL001</v>
      </c>
      <c r="Y852">
        <v>1</v>
      </c>
      <c r="Z852" t="str">
        <f>_xlfn.XLOOKUP(Table1[[#This Row],[JobRole]],Table13[JobRole],Table13[Id_JobRole])</f>
        <v>JR007</v>
      </c>
      <c r="AA852" t="s">
        <v>53</v>
      </c>
      <c r="AB852" t="str">
        <f>_xlfn.XLOOKUP(Table1[[#This Row],[JobSatisfaction]],Table14[JobSatisfaction],Table14[Id_JobSatisfaction])</f>
        <v>JS001</v>
      </c>
      <c r="AC852">
        <v>1</v>
      </c>
      <c r="AD852" t="str">
        <f>_xlfn.XLOOKUP(Table1[[#This Row],[JobSatisfaction]],Table14[JobSatisfaction],Table14[Deskripsi])</f>
        <v>Low</v>
      </c>
      <c r="AE852" t="str">
        <f>_xlfn.XLOOKUP(Table1[[#This Row],[MaritalStatus]],Table15[MaritalStatus],Table15[Id_MaritalStatus])</f>
        <v>MS003</v>
      </c>
      <c r="AF852" t="s">
        <v>57</v>
      </c>
      <c r="AG852">
        <v>2827</v>
      </c>
      <c r="AH852">
        <v>14947</v>
      </c>
      <c r="AI852">
        <v>1</v>
      </c>
      <c r="AJ852" t="str">
        <f>_xlfn.XLOOKUP(Table1[[#This Row],[OverTime]],Table16[OverTime],Table16[Id_OverTime])</f>
        <v>OT002</v>
      </c>
      <c r="AK852" t="s">
        <v>33</v>
      </c>
      <c r="AL852">
        <v>12</v>
      </c>
      <c r="AM852" t="str">
        <f>_xlfn.XLOOKUP(Table1[[#This Row],[PerformanceRating]],Table17[PerformanceRating],Table17[Id_PerformanceRating])</f>
        <v>PR003</v>
      </c>
      <c r="AN852">
        <v>3</v>
      </c>
      <c r="AO852" t="str">
        <f>_xlfn.XLOOKUP(Table1[[#This Row],[PerformanceRating]],Table17[PerformanceRating],Table17[Deskripsi])</f>
        <v>Excellent</v>
      </c>
      <c r="AP852" t="str">
        <f>_xlfn.XLOOKUP(Table1[[#This Row],[RelationshipSatisfaction]],Table18[RelationshipSatisfaction],Table18[Id_RelationshipSatisfaction])</f>
        <v>RS003</v>
      </c>
      <c r="AQ852">
        <v>3</v>
      </c>
      <c r="AR852" t="str">
        <f>_xlfn.XLOOKUP(Table1[[#This Row],[RelationshipSatisfaction]],Table18[RelationshipSatisfaction],Table18[Deskripsi])</f>
        <v>High</v>
      </c>
      <c r="AS852" t="str">
        <f>_xlfn.XLOOKUP(Table1[[#This Row],[StockOptionLevel]],Table19[StockOptionLevel],Table19[Id_StockOptionLevel])</f>
        <v>SOL004</v>
      </c>
      <c r="AT852">
        <v>3</v>
      </c>
      <c r="AU852" t="str">
        <f>_xlfn.XLOOKUP(Table1[[#This Row],[StockOptionLevel]],Table19[StockOptionLevel],Table19[Deskripsi])</f>
        <v>Senior/Executive</v>
      </c>
      <c r="AV852">
        <v>1</v>
      </c>
      <c r="AW852">
        <v>3</v>
      </c>
      <c r="AX852" t="str">
        <f>_xlfn.XLOOKUP(Table1[[#This Row],[WorkLifeBalance]],Table20[WorkLifeBalance],Table20[Id_WorkLifeBalance])</f>
        <v>WLB002</v>
      </c>
      <c r="AY852">
        <v>3</v>
      </c>
      <c r="AZ852" t="str">
        <f>_xlfn.XLOOKUP(Table1[[#This Row],[WorkLifeBalance]],Table20[WorkLifeBalance],Table20[Deskripsi])</f>
        <v>Good</v>
      </c>
      <c r="BA852">
        <v>1</v>
      </c>
      <c r="BB852">
        <v>0</v>
      </c>
      <c r="BC852">
        <v>0</v>
      </c>
      <c r="BD852">
        <v>0</v>
      </c>
    </row>
    <row r="853" spans="1:56" x14ac:dyDescent="0.25">
      <c r="A853">
        <v>56</v>
      </c>
      <c r="B853" t="str">
        <f>_xlfn.XLOOKUP(Table1[[#This Row],[Attrition]],Table2[Attrition],Table2[Id_Attrition])</f>
        <v>A002</v>
      </c>
      <c r="C853" t="s">
        <v>33</v>
      </c>
      <c r="D853" t="str">
        <f>_xlfn.XLOOKUP(Table1[[#This Row],[BusinessTravel]],Table5[BusinessTravel],Table5[Id_BusinessTravel])</f>
        <v>BS001</v>
      </c>
      <c r="E853" t="s">
        <v>34</v>
      </c>
      <c r="F853">
        <v>718</v>
      </c>
      <c r="G853" t="str">
        <f>_xlfn.XLOOKUP(Table1[[#This Row],[Department]],Table6[Department],Table6[Id_Departement])</f>
        <v>D002</v>
      </c>
      <c r="H853" t="s">
        <v>38</v>
      </c>
      <c r="I853">
        <v>4</v>
      </c>
      <c r="J853" t="str">
        <f>_xlfn.XLOOKUP(Table1[[#This Row],[Education]],Table8[Education],Table8[Id_Education])</f>
        <v>E004</v>
      </c>
      <c r="K853">
        <v>4</v>
      </c>
      <c r="L853" t="str">
        <f>_xlfn.XLOOKUP(Table1[[#This Row],[EducationField]],Table7[EducationField],Table7[Id_EducationField])</f>
        <v>EF005</v>
      </c>
      <c r="M853" t="s">
        <v>44</v>
      </c>
      <c r="N853" t="str">
        <f>_xlfn.XLOOKUP(Table1[[#This Row],[EmployeeNumber]],Table4[EmployeeNumber],Table4[Id_Employee])</f>
        <v>EMP00852</v>
      </c>
      <c r="O853">
        <v>1191</v>
      </c>
      <c r="P853" t="str">
        <f>_xlfn.XLOOKUP(Table1[[#This Row],[EnvironmentSatisfaction]],Table9[EnvironmentSatisfaction],Table9[Id_EnviromentSatisfaction])</f>
        <v>ES004</v>
      </c>
      <c r="Q853">
        <v>4</v>
      </c>
      <c r="R853" t="str">
        <f>_xlfn.XLOOKUP(Table1[[#This Row],[EnvironmentSatisfaction]],Table9[EnvironmentSatisfaction],Table9[Deskripsi])</f>
        <v>Very High</v>
      </c>
      <c r="S853" t="str">
        <f>_xlfn.XLOOKUP(Table1[[#This Row],[Gender]],Table10[Gender],Table10[Id_Gender])</f>
        <v>G001</v>
      </c>
      <c r="T853" t="s">
        <v>45</v>
      </c>
      <c r="U853">
        <v>92</v>
      </c>
      <c r="V853" t="str">
        <f>_xlfn.XLOOKUP(Table1[[#This Row],[JobInvolvement]],Table11[JobInvolvement],Table11[Id_JobInvolvement])</f>
        <v>JI003</v>
      </c>
      <c r="W853">
        <v>3</v>
      </c>
      <c r="X853" t="str">
        <f>_xlfn.XLOOKUP(Table1[[#This Row],[JobLevel]],Table12[JobLevel],Table12[Id_JobLevel])</f>
        <v>JL005</v>
      </c>
      <c r="Y853">
        <v>5</v>
      </c>
      <c r="Z853" t="str">
        <f>_xlfn.XLOOKUP(Table1[[#This Row],[JobRole]],Table13[JobRole],Table13[Id_JobRole])</f>
        <v>JR006</v>
      </c>
      <c r="AA853" t="s">
        <v>52</v>
      </c>
      <c r="AB853" t="str">
        <f>_xlfn.XLOOKUP(Table1[[#This Row],[JobSatisfaction]],Table14[JobSatisfaction],Table14[Id_JobSatisfaction])</f>
        <v>JS001</v>
      </c>
      <c r="AC853">
        <v>1</v>
      </c>
      <c r="AD853" t="str">
        <f>_xlfn.XLOOKUP(Table1[[#This Row],[JobSatisfaction]],Table14[JobSatisfaction],Table14[Deskripsi])</f>
        <v>Low</v>
      </c>
      <c r="AE853" t="str">
        <f>_xlfn.XLOOKUP(Table1[[#This Row],[MaritalStatus]],Table15[MaritalStatus],Table15[Id_MaritalStatus])</f>
        <v>MS003</v>
      </c>
      <c r="AF853" t="s">
        <v>57</v>
      </c>
      <c r="AG853">
        <v>19943</v>
      </c>
      <c r="AH853">
        <v>18575</v>
      </c>
      <c r="AI853">
        <v>4</v>
      </c>
      <c r="AJ853" t="str">
        <f>_xlfn.XLOOKUP(Table1[[#This Row],[OverTime]],Table16[OverTime],Table16[Id_OverTime])</f>
        <v>OT002</v>
      </c>
      <c r="AK853" t="s">
        <v>33</v>
      </c>
      <c r="AL853">
        <v>13</v>
      </c>
      <c r="AM853" t="str">
        <f>_xlfn.XLOOKUP(Table1[[#This Row],[PerformanceRating]],Table17[PerformanceRating],Table17[Id_PerformanceRating])</f>
        <v>PR003</v>
      </c>
      <c r="AN853">
        <v>3</v>
      </c>
      <c r="AO853" t="str">
        <f>_xlfn.XLOOKUP(Table1[[#This Row],[PerformanceRating]],Table17[PerformanceRating],Table17[Deskripsi])</f>
        <v>Excellent</v>
      </c>
      <c r="AP853" t="str">
        <f>_xlfn.XLOOKUP(Table1[[#This Row],[RelationshipSatisfaction]],Table18[RelationshipSatisfaction],Table18[Id_RelationshipSatisfaction])</f>
        <v>RS004</v>
      </c>
      <c r="AQ853">
        <v>4</v>
      </c>
      <c r="AR853" t="str">
        <f>_xlfn.XLOOKUP(Table1[[#This Row],[RelationshipSatisfaction]],Table18[RelationshipSatisfaction],Table18[Deskripsi])</f>
        <v>Very High</v>
      </c>
      <c r="AS853" t="str">
        <f>_xlfn.XLOOKUP(Table1[[#This Row],[StockOptionLevel]],Table19[StockOptionLevel],Table19[Id_StockOptionLevel])</f>
        <v>SOL002</v>
      </c>
      <c r="AT853">
        <v>1</v>
      </c>
      <c r="AU853" t="str">
        <f>_xlfn.XLOOKUP(Table1[[#This Row],[StockOptionLevel]],Table19[StockOptionLevel],Table19[Deskripsi])</f>
        <v>Standard</v>
      </c>
      <c r="AV853">
        <v>28</v>
      </c>
      <c r="AW853">
        <v>2</v>
      </c>
      <c r="AX853" t="str">
        <f>_xlfn.XLOOKUP(Table1[[#This Row],[WorkLifeBalance]],Table20[WorkLifeBalance],Table20[Id_WorkLifeBalance])</f>
        <v>WLB002</v>
      </c>
      <c r="AY853">
        <v>3</v>
      </c>
      <c r="AZ853" t="str">
        <f>_xlfn.XLOOKUP(Table1[[#This Row],[WorkLifeBalance]],Table20[WorkLifeBalance],Table20[Deskripsi])</f>
        <v>Good</v>
      </c>
      <c r="BA853">
        <v>5</v>
      </c>
      <c r="BB853">
        <v>2</v>
      </c>
      <c r="BC853">
        <v>4</v>
      </c>
      <c r="BD853">
        <v>2</v>
      </c>
    </row>
    <row r="854" spans="1:56" x14ac:dyDescent="0.25">
      <c r="A854">
        <v>29</v>
      </c>
      <c r="B854" t="str">
        <f>_xlfn.XLOOKUP(Table1[[#This Row],[Attrition]],Table2[Attrition],Table2[Id_Attrition])</f>
        <v>A002</v>
      </c>
      <c r="C854" t="s">
        <v>33</v>
      </c>
      <c r="D854" t="str">
        <f>_xlfn.XLOOKUP(Table1[[#This Row],[BusinessTravel]],Table5[BusinessTravel],Table5[Id_BusinessTravel])</f>
        <v>BS001</v>
      </c>
      <c r="E854" t="s">
        <v>34</v>
      </c>
      <c r="F854">
        <v>1401</v>
      </c>
      <c r="G854" t="str">
        <f>_xlfn.XLOOKUP(Table1[[#This Row],[Department]],Table6[Department],Table6[Id_Departement])</f>
        <v>D002</v>
      </c>
      <c r="H854" t="s">
        <v>38</v>
      </c>
      <c r="I854">
        <v>6</v>
      </c>
      <c r="J854" t="str">
        <f>_xlfn.XLOOKUP(Table1[[#This Row],[Education]],Table8[Education],Table8[Id_Education])</f>
        <v>E001</v>
      </c>
      <c r="K854">
        <v>1</v>
      </c>
      <c r="L854" t="str">
        <f>_xlfn.XLOOKUP(Table1[[#This Row],[EducationField]],Table7[EducationField],Table7[Id_EducationField])</f>
        <v>EF003</v>
      </c>
      <c r="M854" t="s">
        <v>42</v>
      </c>
      <c r="N854" t="str">
        <f>_xlfn.XLOOKUP(Table1[[#This Row],[EmployeeNumber]],Table4[EmployeeNumber],Table4[Id_Employee])</f>
        <v>EMP00853</v>
      </c>
      <c r="O854">
        <v>1192</v>
      </c>
      <c r="P854" t="str">
        <f>_xlfn.XLOOKUP(Table1[[#This Row],[EnvironmentSatisfaction]],Table9[EnvironmentSatisfaction],Table9[Id_EnviromentSatisfaction])</f>
        <v>ES002</v>
      </c>
      <c r="Q854">
        <v>2</v>
      </c>
      <c r="R854" t="str">
        <f>_xlfn.XLOOKUP(Table1[[#This Row],[EnvironmentSatisfaction]],Table9[EnvironmentSatisfaction],Table9[Deskripsi])</f>
        <v>Medium</v>
      </c>
      <c r="S854" t="str">
        <f>_xlfn.XLOOKUP(Table1[[#This Row],[Gender]],Table10[Gender],Table10[Id_Gender])</f>
        <v>G001</v>
      </c>
      <c r="T854" t="s">
        <v>45</v>
      </c>
      <c r="U854">
        <v>54</v>
      </c>
      <c r="V854" t="str">
        <f>_xlfn.XLOOKUP(Table1[[#This Row],[JobInvolvement]],Table11[JobInvolvement],Table11[Id_JobInvolvement])</f>
        <v>JI003</v>
      </c>
      <c r="W854">
        <v>3</v>
      </c>
      <c r="X854" t="str">
        <f>_xlfn.XLOOKUP(Table1[[#This Row],[JobLevel]],Table12[JobLevel],Table12[Id_JobLevel])</f>
        <v>JL001</v>
      </c>
      <c r="Y854">
        <v>1</v>
      </c>
      <c r="Z854" t="str">
        <f>_xlfn.XLOOKUP(Table1[[#This Row],[JobRole]],Table13[JobRole],Table13[Id_JobRole])</f>
        <v>JR003</v>
      </c>
      <c r="AA854" t="s">
        <v>49</v>
      </c>
      <c r="AB854" t="str">
        <f>_xlfn.XLOOKUP(Table1[[#This Row],[JobSatisfaction]],Table14[JobSatisfaction],Table14[Id_JobSatisfaction])</f>
        <v>JS004</v>
      </c>
      <c r="AC854">
        <v>4</v>
      </c>
      <c r="AD854" t="str">
        <f>_xlfn.XLOOKUP(Table1[[#This Row],[JobSatisfaction]],Table14[JobSatisfaction],Table14[Deskripsi])</f>
        <v>Very High</v>
      </c>
      <c r="AE854" t="str">
        <f>_xlfn.XLOOKUP(Table1[[#This Row],[MaritalStatus]],Table15[MaritalStatus],Table15[Id_MaritalStatus])</f>
        <v>MS002</v>
      </c>
      <c r="AF854" t="s">
        <v>56</v>
      </c>
      <c r="AG854">
        <v>3131</v>
      </c>
      <c r="AH854">
        <v>26342</v>
      </c>
      <c r="AI854">
        <v>1</v>
      </c>
      <c r="AJ854" t="str">
        <f>_xlfn.XLOOKUP(Table1[[#This Row],[OverTime]],Table16[OverTime],Table16[Id_OverTime])</f>
        <v>OT002</v>
      </c>
      <c r="AK854" t="s">
        <v>33</v>
      </c>
      <c r="AL854">
        <v>13</v>
      </c>
      <c r="AM854" t="str">
        <f>_xlfn.XLOOKUP(Table1[[#This Row],[PerformanceRating]],Table17[PerformanceRating],Table17[Id_PerformanceRating])</f>
        <v>PR003</v>
      </c>
      <c r="AN854">
        <v>3</v>
      </c>
      <c r="AO854" t="str">
        <f>_xlfn.XLOOKUP(Table1[[#This Row],[PerformanceRating]],Table17[PerformanceRating],Table17[Deskripsi])</f>
        <v>Excellent</v>
      </c>
      <c r="AP854" t="str">
        <f>_xlfn.XLOOKUP(Table1[[#This Row],[RelationshipSatisfaction]],Table18[RelationshipSatisfaction],Table18[Id_RelationshipSatisfaction])</f>
        <v>RS001</v>
      </c>
      <c r="AQ854">
        <v>1</v>
      </c>
      <c r="AR854" t="str">
        <f>_xlfn.XLOOKUP(Table1[[#This Row],[RelationshipSatisfaction]],Table18[RelationshipSatisfaction],Table18[Deskripsi])</f>
        <v>Low</v>
      </c>
      <c r="AS854" t="str">
        <f>_xlfn.XLOOKUP(Table1[[#This Row],[StockOptionLevel]],Table19[StockOptionLevel],Table19[Id_StockOptionLevel])</f>
        <v>SOL002</v>
      </c>
      <c r="AT854">
        <v>1</v>
      </c>
      <c r="AU854" t="str">
        <f>_xlfn.XLOOKUP(Table1[[#This Row],[StockOptionLevel]],Table19[StockOptionLevel],Table19[Deskripsi])</f>
        <v>Standard</v>
      </c>
      <c r="AV854">
        <v>10</v>
      </c>
      <c r="AW854">
        <v>5</v>
      </c>
      <c r="AX854" t="str">
        <f>_xlfn.XLOOKUP(Table1[[#This Row],[WorkLifeBalance]],Table20[WorkLifeBalance],Table20[Id_WorkLifeBalance])</f>
        <v>WLB002</v>
      </c>
      <c r="AY854">
        <v>3</v>
      </c>
      <c r="AZ854" t="str">
        <f>_xlfn.XLOOKUP(Table1[[#This Row],[WorkLifeBalance]],Table20[WorkLifeBalance],Table20[Deskripsi])</f>
        <v>Good</v>
      </c>
      <c r="BA854">
        <v>10</v>
      </c>
      <c r="BB854">
        <v>8</v>
      </c>
      <c r="BC854">
        <v>0</v>
      </c>
      <c r="BD854">
        <v>8</v>
      </c>
    </row>
    <row r="855" spans="1:56" x14ac:dyDescent="0.25">
      <c r="A855">
        <v>19</v>
      </c>
      <c r="B855" t="str">
        <f>_xlfn.XLOOKUP(Table1[[#This Row],[Attrition]],Table2[Attrition],Table2[Id_Attrition])</f>
        <v>A002</v>
      </c>
      <c r="C855" t="s">
        <v>33</v>
      </c>
      <c r="D855" t="str">
        <f>_xlfn.XLOOKUP(Table1[[#This Row],[BusinessTravel]],Table5[BusinessTravel],Table5[Id_BusinessTravel])</f>
        <v>BS001</v>
      </c>
      <c r="E855" t="s">
        <v>34</v>
      </c>
      <c r="F855">
        <v>645</v>
      </c>
      <c r="G855" t="str">
        <f>_xlfn.XLOOKUP(Table1[[#This Row],[Department]],Table6[Department],Table6[Id_Departement])</f>
        <v>D002</v>
      </c>
      <c r="H855" t="s">
        <v>38</v>
      </c>
      <c r="I855">
        <v>9</v>
      </c>
      <c r="J855" t="str">
        <f>_xlfn.XLOOKUP(Table1[[#This Row],[Education]],Table8[Education],Table8[Id_Education])</f>
        <v>E002</v>
      </c>
      <c r="K855">
        <v>2</v>
      </c>
      <c r="L855" t="str">
        <f>_xlfn.XLOOKUP(Table1[[#This Row],[EducationField]],Table7[EducationField],Table7[Id_EducationField])</f>
        <v>EF001</v>
      </c>
      <c r="M855" t="s">
        <v>40</v>
      </c>
      <c r="N855" t="str">
        <f>_xlfn.XLOOKUP(Table1[[#This Row],[EmployeeNumber]],Table4[EmployeeNumber],Table4[Id_Employee])</f>
        <v>EMP00854</v>
      </c>
      <c r="O855">
        <v>1193</v>
      </c>
      <c r="P855" t="str">
        <f>_xlfn.XLOOKUP(Table1[[#This Row],[EnvironmentSatisfaction]],Table9[EnvironmentSatisfaction],Table9[Id_EnviromentSatisfaction])</f>
        <v>ES003</v>
      </c>
      <c r="Q855">
        <v>3</v>
      </c>
      <c r="R855" t="str">
        <f>_xlfn.XLOOKUP(Table1[[#This Row],[EnvironmentSatisfaction]],Table9[EnvironmentSatisfaction],Table9[Deskripsi])</f>
        <v>High</v>
      </c>
      <c r="S855" t="str">
        <f>_xlfn.XLOOKUP(Table1[[#This Row],[Gender]],Table10[Gender],Table10[Id_Gender])</f>
        <v>G002</v>
      </c>
      <c r="T855" t="s">
        <v>46</v>
      </c>
      <c r="U855">
        <v>54</v>
      </c>
      <c r="V855" t="str">
        <f>_xlfn.XLOOKUP(Table1[[#This Row],[JobInvolvement]],Table11[JobInvolvement],Table11[Id_JobInvolvement])</f>
        <v>JI003</v>
      </c>
      <c r="W855">
        <v>3</v>
      </c>
      <c r="X855" t="str">
        <f>_xlfn.XLOOKUP(Table1[[#This Row],[JobLevel]],Table12[JobLevel],Table12[Id_JobLevel])</f>
        <v>JL001</v>
      </c>
      <c r="Y855">
        <v>1</v>
      </c>
      <c r="Z855" t="str">
        <f>_xlfn.XLOOKUP(Table1[[#This Row],[JobRole]],Table13[JobRole],Table13[Id_JobRole])</f>
        <v>JR002</v>
      </c>
      <c r="AA855" t="s">
        <v>48</v>
      </c>
      <c r="AB855" t="str">
        <f>_xlfn.XLOOKUP(Table1[[#This Row],[JobSatisfaction]],Table14[JobSatisfaction],Table14[Id_JobSatisfaction])</f>
        <v>JS001</v>
      </c>
      <c r="AC855">
        <v>1</v>
      </c>
      <c r="AD855" t="str">
        <f>_xlfn.XLOOKUP(Table1[[#This Row],[JobSatisfaction]],Table14[JobSatisfaction],Table14[Deskripsi])</f>
        <v>Low</v>
      </c>
      <c r="AE855" t="str">
        <f>_xlfn.XLOOKUP(Table1[[#This Row],[MaritalStatus]],Table15[MaritalStatus],Table15[Id_MaritalStatus])</f>
        <v>MS001</v>
      </c>
      <c r="AF855" t="s">
        <v>55</v>
      </c>
      <c r="AG855">
        <v>2552</v>
      </c>
      <c r="AH855">
        <v>7172</v>
      </c>
      <c r="AI855">
        <v>1</v>
      </c>
      <c r="AJ855" t="str">
        <f>_xlfn.XLOOKUP(Table1[[#This Row],[OverTime]],Table16[OverTime],Table16[Id_OverTime])</f>
        <v>OT002</v>
      </c>
      <c r="AK855" t="s">
        <v>33</v>
      </c>
      <c r="AL855">
        <v>25</v>
      </c>
      <c r="AM855" t="str">
        <f>_xlfn.XLOOKUP(Table1[[#This Row],[PerformanceRating]],Table17[PerformanceRating],Table17[Id_PerformanceRating])</f>
        <v>PR004</v>
      </c>
      <c r="AN855">
        <v>4</v>
      </c>
      <c r="AO855" t="str">
        <f>_xlfn.XLOOKUP(Table1[[#This Row],[PerformanceRating]],Table17[PerformanceRating],Table17[Deskripsi])</f>
        <v>Outstanding</v>
      </c>
      <c r="AP855" t="str">
        <f>_xlfn.XLOOKUP(Table1[[#This Row],[RelationshipSatisfaction]],Table18[RelationshipSatisfaction],Table18[Id_RelationshipSatisfaction])</f>
        <v>RS003</v>
      </c>
      <c r="AQ855">
        <v>3</v>
      </c>
      <c r="AR855" t="str">
        <f>_xlfn.XLOOKUP(Table1[[#This Row],[RelationshipSatisfaction]],Table18[RelationshipSatisfaction],Table18[Deskripsi])</f>
        <v>High</v>
      </c>
      <c r="AS855" t="str">
        <f>_xlfn.XLOOKUP(Table1[[#This Row],[StockOptionLevel]],Table19[StockOptionLevel],Table19[Id_StockOptionLevel])</f>
        <v>SOL001</v>
      </c>
      <c r="AT855">
        <v>0</v>
      </c>
      <c r="AU855" t="str">
        <f>_xlfn.XLOOKUP(Table1[[#This Row],[StockOptionLevel]],Table19[StockOptionLevel],Table19[Deskripsi])</f>
        <v>Non-Eligible</v>
      </c>
      <c r="AV855">
        <v>1</v>
      </c>
      <c r="AW855">
        <v>4</v>
      </c>
      <c r="AX855" t="str">
        <f>_xlfn.XLOOKUP(Table1[[#This Row],[WorkLifeBalance]],Table20[WorkLifeBalance],Table20[Id_WorkLifeBalance])</f>
        <v>WLB002</v>
      </c>
      <c r="AY855">
        <v>3</v>
      </c>
      <c r="AZ855" t="str">
        <f>_xlfn.XLOOKUP(Table1[[#This Row],[WorkLifeBalance]],Table20[WorkLifeBalance],Table20[Deskripsi])</f>
        <v>Good</v>
      </c>
      <c r="BA855">
        <v>1</v>
      </c>
      <c r="BB855">
        <v>1</v>
      </c>
      <c r="BC855">
        <v>0</v>
      </c>
      <c r="BD855">
        <v>0</v>
      </c>
    </row>
    <row r="856" spans="1:56" x14ac:dyDescent="0.25">
      <c r="A856">
        <v>45</v>
      </c>
      <c r="B856" t="str">
        <f>_xlfn.XLOOKUP(Table1[[#This Row],[Attrition]],Table2[Attrition],Table2[Id_Attrition])</f>
        <v>A002</v>
      </c>
      <c r="C856" t="s">
        <v>33</v>
      </c>
      <c r="D856" t="str">
        <f>_xlfn.XLOOKUP(Table1[[#This Row],[BusinessTravel]],Table5[BusinessTravel],Table5[Id_BusinessTravel])</f>
        <v>BS001</v>
      </c>
      <c r="E856" t="s">
        <v>34</v>
      </c>
      <c r="F856">
        <v>1457</v>
      </c>
      <c r="G856" t="str">
        <f>_xlfn.XLOOKUP(Table1[[#This Row],[Department]],Table6[Department],Table6[Id_Departement])</f>
        <v>D002</v>
      </c>
      <c r="H856" t="s">
        <v>38</v>
      </c>
      <c r="I856">
        <v>7</v>
      </c>
      <c r="J856" t="str">
        <f>_xlfn.XLOOKUP(Table1[[#This Row],[Education]],Table8[Education],Table8[Id_Education])</f>
        <v>E003</v>
      </c>
      <c r="K856">
        <v>3</v>
      </c>
      <c r="L856" t="str">
        <f>_xlfn.XLOOKUP(Table1[[#This Row],[EducationField]],Table7[EducationField],Table7[Id_EducationField])</f>
        <v>EF003</v>
      </c>
      <c r="M856" t="s">
        <v>42</v>
      </c>
      <c r="N856" t="str">
        <f>_xlfn.XLOOKUP(Table1[[#This Row],[EmployeeNumber]],Table4[EmployeeNumber],Table4[Id_Employee])</f>
        <v>EMP00855</v>
      </c>
      <c r="O856">
        <v>1195</v>
      </c>
      <c r="P856" t="str">
        <f>_xlfn.XLOOKUP(Table1[[#This Row],[EnvironmentSatisfaction]],Table9[EnvironmentSatisfaction],Table9[Id_EnviromentSatisfaction])</f>
        <v>ES001</v>
      </c>
      <c r="Q856">
        <v>1</v>
      </c>
      <c r="R856" t="str">
        <f>_xlfn.XLOOKUP(Table1[[#This Row],[EnvironmentSatisfaction]],Table9[EnvironmentSatisfaction],Table9[Deskripsi])</f>
        <v>Low</v>
      </c>
      <c r="S856" t="str">
        <f>_xlfn.XLOOKUP(Table1[[#This Row],[Gender]],Table10[Gender],Table10[Id_Gender])</f>
        <v>G001</v>
      </c>
      <c r="T856" t="s">
        <v>45</v>
      </c>
      <c r="U856">
        <v>83</v>
      </c>
      <c r="V856" t="str">
        <f>_xlfn.XLOOKUP(Table1[[#This Row],[JobInvolvement]],Table11[JobInvolvement],Table11[Id_JobInvolvement])</f>
        <v>JI003</v>
      </c>
      <c r="W856">
        <v>3</v>
      </c>
      <c r="X856" t="str">
        <f>_xlfn.XLOOKUP(Table1[[#This Row],[JobLevel]],Table12[JobLevel],Table12[Id_JobLevel])</f>
        <v>JL001</v>
      </c>
      <c r="Y856">
        <v>1</v>
      </c>
      <c r="Z856" t="str">
        <f>_xlfn.XLOOKUP(Table1[[#This Row],[JobRole]],Table13[JobRole],Table13[Id_JobRole])</f>
        <v>JR002</v>
      </c>
      <c r="AA856" t="s">
        <v>48</v>
      </c>
      <c r="AB856" t="str">
        <f>_xlfn.XLOOKUP(Table1[[#This Row],[JobSatisfaction]],Table14[JobSatisfaction],Table14[Id_JobSatisfaction])</f>
        <v>JS003</v>
      </c>
      <c r="AC856">
        <v>3</v>
      </c>
      <c r="AD856" t="str">
        <f>_xlfn.XLOOKUP(Table1[[#This Row],[JobSatisfaction]],Table14[JobSatisfaction],Table14[Deskripsi])</f>
        <v>High</v>
      </c>
      <c r="AE856" t="str">
        <f>_xlfn.XLOOKUP(Table1[[#This Row],[MaritalStatus]],Table15[MaritalStatus],Table15[Id_MaritalStatus])</f>
        <v>MS002</v>
      </c>
      <c r="AF856" t="s">
        <v>56</v>
      </c>
      <c r="AG856">
        <v>4477</v>
      </c>
      <c r="AH856">
        <v>20100</v>
      </c>
      <c r="AI856">
        <v>4</v>
      </c>
      <c r="AJ856" t="str">
        <f>_xlfn.XLOOKUP(Table1[[#This Row],[OverTime]],Table16[OverTime],Table16[Id_OverTime])</f>
        <v>OT001</v>
      </c>
      <c r="AK856" t="s">
        <v>32</v>
      </c>
      <c r="AL856">
        <v>19</v>
      </c>
      <c r="AM856" t="str">
        <f>_xlfn.XLOOKUP(Table1[[#This Row],[PerformanceRating]],Table17[PerformanceRating],Table17[Id_PerformanceRating])</f>
        <v>PR003</v>
      </c>
      <c r="AN856">
        <v>3</v>
      </c>
      <c r="AO856" t="str">
        <f>_xlfn.XLOOKUP(Table1[[#This Row],[PerformanceRating]],Table17[PerformanceRating],Table17[Deskripsi])</f>
        <v>Excellent</v>
      </c>
      <c r="AP856" t="str">
        <f>_xlfn.XLOOKUP(Table1[[#This Row],[RelationshipSatisfaction]],Table18[RelationshipSatisfaction],Table18[Id_RelationshipSatisfaction])</f>
        <v>RS003</v>
      </c>
      <c r="AQ856">
        <v>3</v>
      </c>
      <c r="AR856" t="str">
        <f>_xlfn.XLOOKUP(Table1[[#This Row],[RelationshipSatisfaction]],Table18[RelationshipSatisfaction],Table18[Deskripsi])</f>
        <v>High</v>
      </c>
      <c r="AS856" t="str">
        <f>_xlfn.XLOOKUP(Table1[[#This Row],[StockOptionLevel]],Table19[StockOptionLevel],Table19[Id_StockOptionLevel])</f>
        <v>SOL002</v>
      </c>
      <c r="AT856">
        <v>1</v>
      </c>
      <c r="AU856" t="str">
        <f>_xlfn.XLOOKUP(Table1[[#This Row],[StockOptionLevel]],Table19[StockOptionLevel],Table19[Deskripsi])</f>
        <v>Standard</v>
      </c>
      <c r="AV856">
        <v>7</v>
      </c>
      <c r="AW856">
        <v>2</v>
      </c>
      <c r="AX856" t="str">
        <f>_xlfn.XLOOKUP(Table1[[#This Row],[WorkLifeBalance]],Table20[WorkLifeBalance],Table20[Id_WorkLifeBalance])</f>
        <v>WLB003</v>
      </c>
      <c r="AY856">
        <v>2</v>
      </c>
      <c r="AZ856" t="str">
        <f>_xlfn.XLOOKUP(Table1[[#This Row],[WorkLifeBalance]],Table20[WorkLifeBalance],Table20[Deskripsi])</f>
        <v>Better</v>
      </c>
      <c r="BA856">
        <v>3</v>
      </c>
      <c r="BB856">
        <v>2</v>
      </c>
      <c r="BC856">
        <v>0</v>
      </c>
      <c r="BD856">
        <v>2</v>
      </c>
    </row>
    <row r="857" spans="1:56" x14ac:dyDescent="0.25">
      <c r="A857">
        <v>37</v>
      </c>
      <c r="B857" t="str">
        <f>_xlfn.XLOOKUP(Table1[[#This Row],[Attrition]],Table2[Attrition],Table2[Id_Attrition])</f>
        <v>A002</v>
      </c>
      <c r="C857" t="s">
        <v>33</v>
      </c>
      <c r="D857" t="str">
        <f>_xlfn.XLOOKUP(Table1[[#This Row],[BusinessTravel]],Table5[BusinessTravel],Table5[Id_BusinessTravel])</f>
        <v>BS001</v>
      </c>
      <c r="E857" t="s">
        <v>34</v>
      </c>
      <c r="F857">
        <v>977</v>
      </c>
      <c r="G857" t="str">
        <f>_xlfn.XLOOKUP(Table1[[#This Row],[Department]],Table6[Department],Table6[Id_Departement])</f>
        <v>D002</v>
      </c>
      <c r="H857" t="s">
        <v>38</v>
      </c>
      <c r="I857">
        <v>1</v>
      </c>
      <c r="J857" t="str">
        <f>_xlfn.XLOOKUP(Table1[[#This Row],[Education]],Table8[Education],Table8[Id_Education])</f>
        <v>E003</v>
      </c>
      <c r="K857">
        <v>3</v>
      </c>
      <c r="L857" t="str">
        <f>_xlfn.XLOOKUP(Table1[[#This Row],[EducationField]],Table7[EducationField],Table7[Id_EducationField])</f>
        <v>EF001</v>
      </c>
      <c r="M857" t="s">
        <v>40</v>
      </c>
      <c r="N857" t="str">
        <f>_xlfn.XLOOKUP(Table1[[#This Row],[EmployeeNumber]],Table4[EmployeeNumber],Table4[Id_Employee])</f>
        <v>EMP00856</v>
      </c>
      <c r="O857">
        <v>1196</v>
      </c>
      <c r="P857" t="str">
        <f>_xlfn.XLOOKUP(Table1[[#This Row],[EnvironmentSatisfaction]],Table9[EnvironmentSatisfaction],Table9[Id_EnviromentSatisfaction])</f>
        <v>ES004</v>
      </c>
      <c r="Q857">
        <v>4</v>
      </c>
      <c r="R857" t="str">
        <f>_xlfn.XLOOKUP(Table1[[#This Row],[EnvironmentSatisfaction]],Table9[EnvironmentSatisfaction],Table9[Deskripsi])</f>
        <v>Very High</v>
      </c>
      <c r="S857" t="str">
        <f>_xlfn.XLOOKUP(Table1[[#This Row],[Gender]],Table10[Gender],Table10[Id_Gender])</f>
        <v>G001</v>
      </c>
      <c r="T857" t="s">
        <v>45</v>
      </c>
      <c r="U857">
        <v>56</v>
      </c>
      <c r="V857" t="str">
        <f>_xlfn.XLOOKUP(Table1[[#This Row],[JobInvolvement]],Table11[JobInvolvement],Table11[Id_JobInvolvement])</f>
        <v>JI002</v>
      </c>
      <c r="W857">
        <v>2</v>
      </c>
      <c r="X857" t="str">
        <f>_xlfn.XLOOKUP(Table1[[#This Row],[JobLevel]],Table12[JobLevel],Table12[Id_JobLevel])</f>
        <v>JL002</v>
      </c>
      <c r="Y857">
        <v>2</v>
      </c>
      <c r="Z857" t="str">
        <f>_xlfn.XLOOKUP(Table1[[#This Row],[JobRole]],Table13[JobRole],Table13[Id_JobRole])</f>
        <v>JR004</v>
      </c>
      <c r="AA857" t="s">
        <v>50</v>
      </c>
      <c r="AB857" t="str">
        <f>_xlfn.XLOOKUP(Table1[[#This Row],[JobSatisfaction]],Table14[JobSatisfaction],Table14[Id_JobSatisfaction])</f>
        <v>JS004</v>
      </c>
      <c r="AC857">
        <v>4</v>
      </c>
      <c r="AD857" t="str">
        <f>_xlfn.XLOOKUP(Table1[[#This Row],[JobSatisfaction]],Table14[JobSatisfaction],Table14[Deskripsi])</f>
        <v>Very High</v>
      </c>
      <c r="AE857" t="str">
        <f>_xlfn.XLOOKUP(Table1[[#This Row],[MaritalStatus]],Table15[MaritalStatus],Table15[Id_MaritalStatus])</f>
        <v>MS002</v>
      </c>
      <c r="AF857" t="s">
        <v>56</v>
      </c>
      <c r="AG857">
        <v>6474</v>
      </c>
      <c r="AH857">
        <v>9961</v>
      </c>
      <c r="AI857">
        <v>1</v>
      </c>
      <c r="AJ857" t="str">
        <f>_xlfn.XLOOKUP(Table1[[#This Row],[OverTime]],Table16[OverTime],Table16[Id_OverTime])</f>
        <v>OT002</v>
      </c>
      <c r="AK857" t="s">
        <v>33</v>
      </c>
      <c r="AL857">
        <v>13</v>
      </c>
      <c r="AM857" t="str">
        <f>_xlfn.XLOOKUP(Table1[[#This Row],[PerformanceRating]],Table17[PerformanceRating],Table17[Id_PerformanceRating])</f>
        <v>PR003</v>
      </c>
      <c r="AN857">
        <v>3</v>
      </c>
      <c r="AO857" t="str">
        <f>_xlfn.XLOOKUP(Table1[[#This Row],[PerformanceRating]],Table17[PerformanceRating],Table17[Deskripsi])</f>
        <v>Excellent</v>
      </c>
      <c r="AP857" t="str">
        <f>_xlfn.XLOOKUP(Table1[[#This Row],[RelationshipSatisfaction]],Table18[RelationshipSatisfaction],Table18[Id_RelationshipSatisfaction])</f>
        <v>RS002</v>
      </c>
      <c r="AQ857">
        <v>2</v>
      </c>
      <c r="AR857" t="str">
        <f>_xlfn.XLOOKUP(Table1[[#This Row],[RelationshipSatisfaction]],Table18[RelationshipSatisfaction],Table18[Deskripsi])</f>
        <v>Medium</v>
      </c>
      <c r="AS857" t="str">
        <f>_xlfn.XLOOKUP(Table1[[#This Row],[StockOptionLevel]],Table19[StockOptionLevel],Table19[Id_StockOptionLevel])</f>
        <v>SOL002</v>
      </c>
      <c r="AT857">
        <v>1</v>
      </c>
      <c r="AU857" t="str">
        <f>_xlfn.XLOOKUP(Table1[[#This Row],[StockOptionLevel]],Table19[StockOptionLevel],Table19[Deskripsi])</f>
        <v>Standard</v>
      </c>
      <c r="AV857">
        <v>14</v>
      </c>
      <c r="AW857">
        <v>2</v>
      </c>
      <c r="AX857" t="str">
        <f>_xlfn.XLOOKUP(Table1[[#This Row],[WorkLifeBalance]],Table20[WorkLifeBalance],Table20[Id_WorkLifeBalance])</f>
        <v>WLB003</v>
      </c>
      <c r="AY857">
        <v>2</v>
      </c>
      <c r="AZ857" t="str">
        <f>_xlfn.XLOOKUP(Table1[[#This Row],[WorkLifeBalance]],Table20[WorkLifeBalance],Table20[Deskripsi])</f>
        <v>Better</v>
      </c>
      <c r="BA857">
        <v>14</v>
      </c>
      <c r="BB857">
        <v>8</v>
      </c>
      <c r="BC857">
        <v>3</v>
      </c>
      <c r="BD857">
        <v>11</v>
      </c>
    </row>
    <row r="858" spans="1:56" x14ac:dyDescent="0.25">
      <c r="A858">
        <v>20</v>
      </c>
      <c r="B858" t="str">
        <f>_xlfn.XLOOKUP(Table1[[#This Row],[Attrition]],Table2[Attrition],Table2[Id_Attrition])</f>
        <v>A002</v>
      </c>
      <c r="C858" t="s">
        <v>33</v>
      </c>
      <c r="D858" t="str">
        <f>_xlfn.XLOOKUP(Table1[[#This Row],[BusinessTravel]],Table5[BusinessTravel],Table5[Id_BusinessTravel])</f>
        <v>BS001</v>
      </c>
      <c r="E858" t="s">
        <v>34</v>
      </c>
      <c r="F858">
        <v>805</v>
      </c>
      <c r="G858" t="str">
        <f>_xlfn.XLOOKUP(Table1[[#This Row],[Department]],Table6[Department],Table6[Id_Departement])</f>
        <v>D002</v>
      </c>
      <c r="H858" t="s">
        <v>38</v>
      </c>
      <c r="I858">
        <v>3</v>
      </c>
      <c r="J858" t="str">
        <f>_xlfn.XLOOKUP(Table1[[#This Row],[Education]],Table8[Education],Table8[Id_Education])</f>
        <v>E003</v>
      </c>
      <c r="K858">
        <v>3</v>
      </c>
      <c r="L858" t="str">
        <f>_xlfn.XLOOKUP(Table1[[#This Row],[EducationField]],Table7[EducationField],Table7[Id_EducationField])</f>
        <v>EF001</v>
      </c>
      <c r="M858" t="s">
        <v>40</v>
      </c>
      <c r="N858" t="str">
        <f>_xlfn.XLOOKUP(Table1[[#This Row],[EmployeeNumber]],Table4[EmployeeNumber],Table4[Id_Employee])</f>
        <v>EMP00857</v>
      </c>
      <c r="O858">
        <v>1198</v>
      </c>
      <c r="P858" t="str">
        <f>_xlfn.XLOOKUP(Table1[[#This Row],[EnvironmentSatisfaction]],Table9[EnvironmentSatisfaction],Table9[Id_EnviromentSatisfaction])</f>
        <v>ES001</v>
      </c>
      <c r="Q858">
        <v>1</v>
      </c>
      <c r="R858" t="str">
        <f>_xlfn.XLOOKUP(Table1[[#This Row],[EnvironmentSatisfaction]],Table9[EnvironmentSatisfaction],Table9[Deskripsi])</f>
        <v>Low</v>
      </c>
      <c r="S858" t="str">
        <f>_xlfn.XLOOKUP(Table1[[#This Row],[Gender]],Table10[Gender],Table10[Id_Gender])</f>
        <v>G002</v>
      </c>
      <c r="T858" t="s">
        <v>46</v>
      </c>
      <c r="U858">
        <v>87</v>
      </c>
      <c r="V858" t="str">
        <f>_xlfn.XLOOKUP(Table1[[#This Row],[JobInvolvement]],Table11[JobInvolvement],Table11[Id_JobInvolvement])</f>
        <v>JI002</v>
      </c>
      <c r="W858">
        <v>2</v>
      </c>
      <c r="X858" t="str">
        <f>_xlfn.XLOOKUP(Table1[[#This Row],[JobLevel]],Table12[JobLevel],Table12[Id_JobLevel])</f>
        <v>JL001</v>
      </c>
      <c r="Y858">
        <v>1</v>
      </c>
      <c r="Z858" t="str">
        <f>_xlfn.XLOOKUP(Table1[[#This Row],[JobRole]],Table13[JobRole],Table13[Id_JobRole])</f>
        <v>JR003</v>
      </c>
      <c r="AA858" t="s">
        <v>49</v>
      </c>
      <c r="AB858" t="str">
        <f>_xlfn.XLOOKUP(Table1[[#This Row],[JobSatisfaction]],Table14[JobSatisfaction],Table14[Id_JobSatisfaction])</f>
        <v>JS003</v>
      </c>
      <c r="AC858">
        <v>3</v>
      </c>
      <c r="AD858" t="str">
        <f>_xlfn.XLOOKUP(Table1[[#This Row],[JobSatisfaction]],Table14[JobSatisfaction],Table14[Deskripsi])</f>
        <v>High</v>
      </c>
      <c r="AE858" t="str">
        <f>_xlfn.XLOOKUP(Table1[[#This Row],[MaritalStatus]],Table15[MaritalStatus],Table15[Id_MaritalStatus])</f>
        <v>MS001</v>
      </c>
      <c r="AF858" t="s">
        <v>55</v>
      </c>
      <c r="AG858">
        <v>3033</v>
      </c>
      <c r="AH858">
        <v>12828</v>
      </c>
      <c r="AI858">
        <v>1</v>
      </c>
      <c r="AJ858" t="str">
        <f>_xlfn.XLOOKUP(Table1[[#This Row],[OverTime]],Table16[OverTime],Table16[Id_OverTime])</f>
        <v>OT002</v>
      </c>
      <c r="AK858" t="s">
        <v>33</v>
      </c>
      <c r="AL858">
        <v>12</v>
      </c>
      <c r="AM858" t="str">
        <f>_xlfn.XLOOKUP(Table1[[#This Row],[PerformanceRating]],Table17[PerformanceRating],Table17[Id_PerformanceRating])</f>
        <v>PR003</v>
      </c>
      <c r="AN858">
        <v>3</v>
      </c>
      <c r="AO858" t="str">
        <f>_xlfn.XLOOKUP(Table1[[#This Row],[PerformanceRating]],Table17[PerformanceRating],Table17[Deskripsi])</f>
        <v>Excellent</v>
      </c>
      <c r="AP858" t="str">
        <f>_xlfn.XLOOKUP(Table1[[#This Row],[RelationshipSatisfaction]],Table18[RelationshipSatisfaction],Table18[Id_RelationshipSatisfaction])</f>
        <v>RS001</v>
      </c>
      <c r="AQ858">
        <v>1</v>
      </c>
      <c r="AR858" t="str">
        <f>_xlfn.XLOOKUP(Table1[[#This Row],[RelationshipSatisfaction]],Table18[RelationshipSatisfaction],Table18[Deskripsi])</f>
        <v>Low</v>
      </c>
      <c r="AS858" t="str">
        <f>_xlfn.XLOOKUP(Table1[[#This Row],[StockOptionLevel]],Table19[StockOptionLevel],Table19[Id_StockOptionLevel])</f>
        <v>SOL001</v>
      </c>
      <c r="AT858">
        <v>0</v>
      </c>
      <c r="AU858" t="str">
        <f>_xlfn.XLOOKUP(Table1[[#This Row],[StockOptionLevel]],Table19[StockOptionLevel],Table19[Deskripsi])</f>
        <v>Non-Eligible</v>
      </c>
      <c r="AV858">
        <v>2</v>
      </c>
      <c r="AW858">
        <v>2</v>
      </c>
      <c r="AX858" t="str">
        <f>_xlfn.XLOOKUP(Table1[[#This Row],[WorkLifeBalance]],Table20[WorkLifeBalance],Table20[Id_WorkLifeBalance])</f>
        <v>WLB003</v>
      </c>
      <c r="AY858">
        <v>2</v>
      </c>
      <c r="AZ858" t="str">
        <f>_xlfn.XLOOKUP(Table1[[#This Row],[WorkLifeBalance]],Table20[WorkLifeBalance],Table20[Deskripsi])</f>
        <v>Better</v>
      </c>
      <c r="BA858">
        <v>2</v>
      </c>
      <c r="BB858">
        <v>2</v>
      </c>
      <c r="BC858">
        <v>1</v>
      </c>
      <c r="BD858">
        <v>2</v>
      </c>
    </row>
    <row r="859" spans="1:56" x14ac:dyDescent="0.25">
      <c r="A859">
        <v>44</v>
      </c>
      <c r="B859" t="str">
        <f>_xlfn.XLOOKUP(Table1[[#This Row],[Attrition]],Table2[Attrition],Table2[Id_Attrition])</f>
        <v>A001</v>
      </c>
      <c r="C859" t="s">
        <v>32</v>
      </c>
      <c r="D859" t="str">
        <f>_xlfn.XLOOKUP(Table1[[#This Row],[BusinessTravel]],Table5[BusinessTravel],Table5[Id_BusinessTravel])</f>
        <v>BS001</v>
      </c>
      <c r="E859" t="s">
        <v>34</v>
      </c>
      <c r="F859">
        <v>1097</v>
      </c>
      <c r="G859" t="str">
        <f>_xlfn.XLOOKUP(Table1[[#This Row],[Department]],Table6[Department],Table6[Id_Departement])</f>
        <v>D002</v>
      </c>
      <c r="H859" t="s">
        <v>38</v>
      </c>
      <c r="I859">
        <v>10</v>
      </c>
      <c r="J859" t="str">
        <f>_xlfn.XLOOKUP(Table1[[#This Row],[Education]],Table8[Education],Table8[Id_Education])</f>
        <v>E004</v>
      </c>
      <c r="K859">
        <v>4</v>
      </c>
      <c r="L859" t="str">
        <f>_xlfn.XLOOKUP(Table1[[#This Row],[EducationField]],Table7[EducationField],Table7[Id_EducationField])</f>
        <v>EF001</v>
      </c>
      <c r="M859" t="s">
        <v>40</v>
      </c>
      <c r="N859" t="str">
        <f>_xlfn.XLOOKUP(Table1[[#This Row],[EmployeeNumber]],Table4[EmployeeNumber],Table4[Id_Employee])</f>
        <v>EMP00858</v>
      </c>
      <c r="O859">
        <v>1200</v>
      </c>
      <c r="P859" t="str">
        <f>_xlfn.XLOOKUP(Table1[[#This Row],[EnvironmentSatisfaction]],Table9[EnvironmentSatisfaction],Table9[Id_EnviromentSatisfaction])</f>
        <v>ES003</v>
      </c>
      <c r="Q859">
        <v>3</v>
      </c>
      <c r="R859" t="str">
        <f>_xlfn.XLOOKUP(Table1[[#This Row],[EnvironmentSatisfaction]],Table9[EnvironmentSatisfaction],Table9[Deskripsi])</f>
        <v>High</v>
      </c>
      <c r="S859" t="str">
        <f>_xlfn.XLOOKUP(Table1[[#This Row],[Gender]],Table10[Gender],Table10[Id_Gender])</f>
        <v>G002</v>
      </c>
      <c r="T859" t="s">
        <v>46</v>
      </c>
      <c r="U859">
        <v>96</v>
      </c>
      <c r="V859" t="str">
        <f>_xlfn.XLOOKUP(Table1[[#This Row],[JobInvolvement]],Table11[JobInvolvement],Table11[Id_JobInvolvement])</f>
        <v>JI003</v>
      </c>
      <c r="W859">
        <v>3</v>
      </c>
      <c r="X859" t="str">
        <f>_xlfn.XLOOKUP(Table1[[#This Row],[JobLevel]],Table12[JobLevel],Table12[Id_JobLevel])</f>
        <v>JL001</v>
      </c>
      <c r="Y859">
        <v>1</v>
      </c>
      <c r="Z859" t="str">
        <f>_xlfn.XLOOKUP(Table1[[#This Row],[JobRole]],Table13[JobRole],Table13[Id_JobRole])</f>
        <v>JR002</v>
      </c>
      <c r="AA859" t="s">
        <v>48</v>
      </c>
      <c r="AB859" t="str">
        <f>_xlfn.XLOOKUP(Table1[[#This Row],[JobSatisfaction]],Table14[JobSatisfaction],Table14[Id_JobSatisfaction])</f>
        <v>JS003</v>
      </c>
      <c r="AC859">
        <v>3</v>
      </c>
      <c r="AD859" t="str">
        <f>_xlfn.XLOOKUP(Table1[[#This Row],[JobSatisfaction]],Table14[JobSatisfaction],Table14[Deskripsi])</f>
        <v>High</v>
      </c>
      <c r="AE859" t="str">
        <f>_xlfn.XLOOKUP(Table1[[#This Row],[MaritalStatus]],Table15[MaritalStatus],Table15[Id_MaritalStatus])</f>
        <v>MS001</v>
      </c>
      <c r="AF859" t="s">
        <v>55</v>
      </c>
      <c r="AG859">
        <v>2936</v>
      </c>
      <c r="AH859">
        <v>10826</v>
      </c>
      <c r="AI859">
        <v>1</v>
      </c>
      <c r="AJ859" t="str">
        <f>_xlfn.XLOOKUP(Table1[[#This Row],[OverTime]],Table16[OverTime],Table16[Id_OverTime])</f>
        <v>OT001</v>
      </c>
      <c r="AK859" t="s">
        <v>32</v>
      </c>
      <c r="AL859">
        <v>11</v>
      </c>
      <c r="AM859" t="str">
        <f>_xlfn.XLOOKUP(Table1[[#This Row],[PerformanceRating]],Table17[PerformanceRating],Table17[Id_PerformanceRating])</f>
        <v>PR003</v>
      </c>
      <c r="AN859">
        <v>3</v>
      </c>
      <c r="AO859" t="str">
        <f>_xlfn.XLOOKUP(Table1[[#This Row],[PerformanceRating]],Table17[PerformanceRating],Table17[Deskripsi])</f>
        <v>Excellent</v>
      </c>
      <c r="AP859" t="str">
        <f>_xlfn.XLOOKUP(Table1[[#This Row],[RelationshipSatisfaction]],Table18[RelationshipSatisfaction],Table18[Id_RelationshipSatisfaction])</f>
        <v>RS003</v>
      </c>
      <c r="AQ859">
        <v>3</v>
      </c>
      <c r="AR859" t="str">
        <f>_xlfn.XLOOKUP(Table1[[#This Row],[RelationshipSatisfaction]],Table18[RelationshipSatisfaction],Table18[Deskripsi])</f>
        <v>High</v>
      </c>
      <c r="AS859" t="str">
        <f>_xlfn.XLOOKUP(Table1[[#This Row],[StockOptionLevel]],Table19[StockOptionLevel],Table19[Id_StockOptionLevel])</f>
        <v>SOL001</v>
      </c>
      <c r="AT859">
        <v>0</v>
      </c>
      <c r="AU859" t="str">
        <f>_xlfn.XLOOKUP(Table1[[#This Row],[StockOptionLevel]],Table19[StockOptionLevel],Table19[Deskripsi])</f>
        <v>Non-Eligible</v>
      </c>
      <c r="AV859">
        <v>6</v>
      </c>
      <c r="AW859">
        <v>4</v>
      </c>
      <c r="AX859" t="str">
        <f>_xlfn.XLOOKUP(Table1[[#This Row],[WorkLifeBalance]],Table20[WorkLifeBalance],Table20[Id_WorkLifeBalance])</f>
        <v>WLB002</v>
      </c>
      <c r="AY859">
        <v>3</v>
      </c>
      <c r="AZ859" t="str">
        <f>_xlfn.XLOOKUP(Table1[[#This Row],[WorkLifeBalance]],Table20[WorkLifeBalance],Table20[Deskripsi])</f>
        <v>Good</v>
      </c>
      <c r="BA859">
        <v>6</v>
      </c>
      <c r="BB859">
        <v>4</v>
      </c>
      <c r="BC859">
        <v>0</v>
      </c>
      <c r="BD859">
        <v>2</v>
      </c>
    </row>
    <row r="860" spans="1:56" x14ac:dyDescent="0.25">
      <c r="A860">
        <v>53</v>
      </c>
      <c r="B860" t="str">
        <f>_xlfn.XLOOKUP(Table1[[#This Row],[Attrition]],Table2[Attrition],Table2[Id_Attrition])</f>
        <v>A002</v>
      </c>
      <c r="C860" t="s">
        <v>33</v>
      </c>
      <c r="D860" t="str">
        <f>_xlfn.XLOOKUP(Table1[[#This Row],[BusinessTravel]],Table5[BusinessTravel],Table5[Id_BusinessTravel])</f>
        <v>BS001</v>
      </c>
      <c r="E860" t="s">
        <v>34</v>
      </c>
      <c r="F860">
        <v>1223</v>
      </c>
      <c r="G860" t="str">
        <f>_xlfn.XLOOKUP(Table1[[#This Row],[Department]],Table6[Department],Table6[Id_Departement])</f>
        <v>D002</v>
      </c>
      <c r="H860" t="s">
        <v>38</v>
      </c>
      <c r="I860">
        <v>7</v>
      </c>
      <c r="J860" t="str">
        <f>_xlfn.XLOOKUP(Table1[[#This Row],[Education]],Table8[Education],Table8[Id_Education])</f>
        <v>E002</v>
      </c>
      <c r="K860">
        <v>2</v>
      </c>
      <c r="L860" t="str">
        <f>_xlfn.XLOOKUP(Table1[[#This Row],[EducationField]],Table7[EducationField],Table7[Id_EducationField])</f>
        <v>EF003</v>
      </c>
      <c r="M860" t="s">
        <v>42</v>
      </c>
      <c r="N860" t="str">
        <f>_xlfn.XLOOKUP(Table1[[#This Row],[EmployeeNumber]],Table4[EmployeeNumber],Table4[Id_Employee])</f>
        <v>EMP00859</v>
      </c>
      <c r="O860">
        <v>1201</v>
      </c>
      <c r="P860" t="str">
        <f>_xlfn.XLOOKUP(Table1[[#This Row],[EnvironmentSatisfaction]],Table9[EnvironmentSatisfaction],Table9[Id_EnviromentSatisfaction])</f>
        <v>ES004</v>
      </c>
      <c r="Q860">
        <v>4</v>
      </c>
      <c r="R860" t="str">
        <f>_xlfn.XLOOKUP(Table1[[#This Row],[EnvironmentSatisfaction]],Table9[EnvironmentSatisfaction],Table9[Deskripsi])</f>
        <v>Very High</v>
      </c>
      <c r="S860" t="str">
        <f>_xlfn.XLOOKUP(Table1[[#This Row],[Gender]],Table10[Gender],Table10[Id_Gender])</f>
        <v>G001</v>
      </c>
      <c r="T860" t="s">
        <v>45</v>
      </c>
      <c r="U860">
        <v>50</v>
      </c>
      <c r="V860" t="str">
        <f>_xlfn.XLOOKUP(Table1[[#This Row],[JobInvolvement]],Table11[JobInvolvement],Table11[Id_JobInvolvement])</f>
        <v>JI003</v>
      </c>
      <c r="W860">
        <v>3</v>
      </c>
      <c r="X860" t="str">
        <f>_xlfn.XLOOKUP(Table1[[#This Row],[JobLevel]],Table12[JobLevel],Table12[Id_JobLevel])</f>
        <v>JL005</v>
      </c>
      <c r="Y860">
        <v>5</v>
      </c>
      <c r="Z860" t="str">
        <f>_xlfn.XLOOKUP(Table1[[#This Row],[JobRole]],Table13[JobRole],Table13[Id_JobRole])</f>
        <v>JR006</v>
      </c>
      <c r="AA860" t="s">
        <v>52</v>
      </c>
      <c r="AB860" t="str">
        <f>_xlfn.XLOOKUP(Table1[[#This Row],[JobSatisfaction]],Table14[JobSatisfaction],Table14[Id_JobSatisfaction])</f>
        <v>JS003</v>
      </c>
      <c r="AC860">
        <v>3</v>
      </c>
      <c r="AD860" t="str">
        <f>_xlfn.XLOOKUP(Table1[[#This Row],[JobSatisfaction]],Table14[JobSatisfaction],Table14[Deskripsi])</f>
        <v>High</v>
      </c>
      <c r="AE860" t="str">
        <f>_xlfn.XLOOKUP(Table1[[#This Row],[MaritalStatus]],Table15[MaritalStatus],Table15[Id_MaritalStatus])</f>
        <v>MS003</v>
      </c>
      <c r="AF860" t="s">
        <v>57</v>
      </c>
      <c r="AG860">
        <v>18606</v>
      </c>
      <c r="AH860">
        <v>18640</v>
      </c>
      <c r="AI860">
        <v>3</v>
      </c>
      <c r="AJ860" t="str">
        <f>_xlfn.XLOOKUP(Table1[[#This Row],[OverTime]],Table16[OverTime],Table16[Id_OverTime])</f>
        <v>OT002</v>
      </c>
      <c r="AK860" t="s">
        <v>33</v>
      </c>
      <c r="AL860">
        <v>18</v>
      </c>
      <c r="AM860" t="str">
        <f>_xlfn.XLOOKUP(Table1[[#This Row],[PerformanceRating]],Table17[PerformanceRating],Table17[Id_PerformanceRating])</f>
        <v>PR003</v>
      </c>
      <c r="AN860">
        <v>3</v>
      </c>
      <c r="AO860" t="str">
        <f>_xlfn.XLOOKUP(Table1[[#This Row],[PerformanceRating]],Table17[PerformanceRating],Table17[Deskripsi])</f>
        <v>Excellent</v>
      </c>
      <c r="AP860" t="str">
        <f>_xlfn.XLOOKUP(Table1[[#This Row],[RelationshipSatisfaction]],Table18[RelationshipSatisfaction],Table18[Id_RelationshipSatisfaction])</f>
        <v>RS002</v>
      </c>
      <c r="AQ860">
        <v>2</v>
      </c>
      <c r="AR860" t="str">
        <f>_xlfn.XLOOKUP(Table1[[#This Row],[RelationshipSatisfaction]],Table18[RelationshipSatisfaction],Table18[Deskripsi])</f>
        <v>Medium</v>
      </c>
      <c r="AS860" t="str">
        <f>_xlfn.XLOOKUP(Table1[[#This Row],[StockOptionLevel]],Table19[StockOptionLevel],Table19[Id_StockOptionLevel])</f>
        <v>SOL002</v>
      </c>
      <c r="AT860">
        <v>1</v>
      </c>
      <c r="AU860" t="str">
        <f>_xlfn.XLOOKUP(Table1[[#This Row],[StockOptionLevel]],Table19[StockOptionLevel],Table19[Deskripsi])</f>
        <v>Standard</v>
      </c>
      <c r="AV860">
        <v>26</v>
      </c>
      <c r="AW860">
        <v>6</v>
      </c>
      <c r="AX860" t="str">
        <f>_xlfn.XLOOKUP(Table1[[#This Row],[WorkLifeBalance]],Table20[WorkLifeBalance],Table20[Id_WorkLifeBalance])</f>
        <v>WLB002</v>
      </c>
      <c r="AY860">
        <v>3</v>
      </c>
      <c r="AZ860" t="str">
        <f>_xlfn.XLOOKUP(Table1[[#This Row],[WorkLifeBalance]],Table20[WorkLifeBalance],Table20[Deskripsi])</f>
        <v>Good</v>
      </c>
      <c r="BA860">
        <v>7</v>
      </c>
      <c r="BB860">
        <v>7</v>
      </c>
      <c r="BC860">
        <v>4</v>
      </c>
      <c r="BD860">
        <v>7</v>
      </c>
    </row>
    <row r="861" spans="1:56" x14ac:dyDescent="0.25">
      <c r="A861">
        <v>29</v>
      </c>
      <c r="B861" t="str">
        <f>_xlfn.XLOOKUP(Table1[[#This Row],[Attrition]],Table2[Attrition],Table2[Id_Attrition])</f>
        <v>A002</v>
      </c>
      <c r="C861" t="s">
        <v>33</v>
      </c>
      <c r="D861" t="str">
        <f>_xlfn.XLOOKUP(Table1[[#This Row],[BusinessTravel]],Table5[BusinessTravel],Table5[Id_BusinessTravel])</f>
        <v>BS001</v>
      </c>
      <c r="E861" t="s">
        <v>34</v>
      </c>
      <c r="F861">
        <v>942</v>
      </c>
      <c r="G861" t="str">
        <f>_xlfn.XLOOKUP(Table1[[#This Row],[Department]],Table6[Department],Table6[Id_Departement])</f>
        <v>D002</v>
      </c>
      <c r="H861" t="s">
        <v>38</v>
      </c>
      <c r="I861">
        <v>15</v>
      </c>
      <c r="J861" t="str">
        <f>_xlfn.XLOOKUP(Table1[[#This Row],[Education]],Table8[Education],Table8[Id_Education])</f>
        <v>E001</v>
      </c>
      <c r="K861">
        <v>1</v>
      </c>
      <c r="L861" t="str">
        <f>_xlfn.XLOOKUP(Table1[[#This Row],[EducationField]],Table7[EducationField],Table7[Id_EducationField])</f>
        <v>EF001</v>
      </c>
      <c r="M861" t="s">
        <v>40</v>
      </c>
      <c r="N861" t="str">
        <f>_xlfn.XLOOKUP(Table1[[#This Row],[EmployeeNumber]],Table4[EmployeeNumber],Table4[Id_Employee])</f>
        <v>EMP00860</v>
      </c>
      <c r="O861">
        <v>1202</v>
      </c>
      <c r="P861" t="str">
        <f>_xlfn.XLOOKUP(Table1[[#This Row],[EnvironmentSatisfaction]],Table9[EnvironmentSatisfaction],Table9[Id_EnviromentSatisfaction])</f>
        <v>ES002</v>
      </c>
      <c r="Q861">
        <v>2</v>
      </c>
      <c r="R861" t="str">
        <f>_xlfn.XLOOKUP(Table1[[#This Row],[EnvironmentSatisfaction]],Table9[EnvironmentSatisfaction],Table9[Deskripsi])</f>
        <v>Medium</v>
      </c>
      <c r="S861" t="str">
        <f>_xlfn.XLOOKUP(Table1[[#This Row],[Gender]],Table10[Gender],Table10[Id_Gender])</f>
        <v>G001</v>
      </c>
      <c r="T861" t="s">
        <v>45</v>
      </c>
      <c r="U861">
        <v>69</v>
      </c>
      <c r="V861" t="str">
        <f>_xlfn.XLOOKUP(Table1[[#This Row],[JobInvolvement]],Table11[JobInvolvement],Table11[Id_JobInvolvement])</f>
        <v>JI001</v>
      </c>
      <c r="W861">
        <v>1</v>
      </c>
      <c r="X861" t="str">
        <f>_xlfn.XLOOKUP(Table1[[#This Row],[JobLevel]],Table12[JobLevel],Table12[Id_JobLevel])</f>
        <v>JL001</v>
      </c>
      <c r="Y861">
        <v>1</v>
      </c>
      <c r="Z861" t="str">
        <f>_xlfn.XLOOKUP(Table1[[#This Row],[JobRole]],Table13[JobRole],Table13[Id_JobRole])</f>
        <v>JR002</v>
      </c>
      <c r="AA861" t="s">
        <v>48</v>
      </c>
      <c r="AB861" t="str">
        <f>_xlfn.XLOOKUP(Table1[[#This Row],[JobSatisfaction]],Table14[JobSatisfaction],Table14[Id_JobSatisfaction])</f>
        <v>JS004</v>
      </c>
      <c r="AC861">
        <v>4</v>
      </c>
      <c r="AD861" t="str">
        <f>_xlfn.XLOOKUP(Table1[[#This Row],[JobSatisfaction]],Table14[JobSatisfaction],Table14[Deskripsi])</f>
        <v>Very High</v>
      </c>
      <c r="AE861" t="str">
        <f>_xlfn.XLOOKUP(Table1[[#This Row],[MaritalStatus]],Table15[MaritalStatus],Table15[Id_MaritalStatus])</f>
        <v>MS002</v>
      </c>
      <c r="AF861" t="s">
        <v>56</v>
      </c>
      <c r="AG861">
        <v>2168</v>
      </c>
      <c r="AH861">
        <v>26933</v>
      </c>
      <c r="AI861">
        <v>0</v>
      </c>
      <c r="AJ861" t="str">
        <f>_xlfn.XLOOKUP(Table1[[#This Row],[OverTime]],Table16[OverTime],Table16[Id_OverTime])</f>
        <v>OT001</v>
      </c>
      <c r="AK861" t="s">
        <v>32</v>
      </c>
      <c r="AL861">
        <v>18</v>
      </c>
      <c r="AM861" t="str">
        <f>_xlfn.XLOOKUP(Table1[[#This Row],[PerformanceRating]],Table17[PerformanceRating],Table17[Id_PerformanceRating])</f>
        <v>PR003</v>
      </c>
      <c r="AN861">
        <v>3</v>
      </c>
      <c r="AO861" t="str">
        <f>_xlfn.XLOOKUP(Table1[[#This Row],[PerformanceRating]],Table17[PerformanceRating],Table17[Deskripsi])</f>
        <v>Excellent</v>
      </c>
      <c r="AP861" t="str">
        <f>_xlfn.XLOOKUP(Table1[[#This Row],[RelationshipSatisfaction]],Table18[RelationshipSatisfaction],Table18[Id_RelationshipSatisfaction])</f>
        <v>RS001</v>
      </c>
      <c r="AQ861">
        <v>1</v>
      </c>
      <c r="AR861" t="str">
        <f>_xlfn.XLOOKUP(Table1[[#This Row],[RelationshipSatisfaction]],Table18[RelationshipSatisfaction],Table18[Deskripsi])</f>
        <v>Low</v>
      </c>
      <c r="AS861" t="str">
        <f>_xlfn.XLOOKUP(Table1[[#This Row],[StockOptionLevel]],Table19[StockOptionLevel],Table19[Id_StockOptionLevel])</f>
        <v>SOL002</v>
      </c>
      <c r="AT861">
        <v>1</v>
      </c>
      <c r="AU861" t="str">
        <f>_xlfn.XLOOKUP(Table1[[#This Row],[StockOptionLevel]],Table19[StockOptionLevel],Table19[Deskripsi])</f>
        <v>Standard</v>
      </c>
      <c r="AV861">
        <v>6</v>
      </c>
      <c r="AW861">
        <v>2</v>
      </c>
      <c r="AX861" t="str">
        <f>_xlfn.XLOOKUP(Table1[[#This Row],[WorkLifeBalance]],Table20[WorkLifeBalance],Table20[Id_WorkLifeBalance])</f>
        <v>WLB003</v>
      </c>
      <c r="AY861">
        <v>2</v>
      </c>
      <c r="AZ861" t="str">
        <f>_xlfn.XLOOKUP(Table1[[#This Row],[WorkLifeBalance]],Table20[WorkLifeBalance],Table20[Deskripsi])</f>
        <v>Better</v>
      </c>
      <c r="BA861">
        <v>5</v>
      </c>
      <c r="BB861">
        <v>4</v>
      </c>
      <c r="BC861">
        <v>1</v>
      </c>
      <c r="BD861">
        <v>3</v>
      </c>
    </row>
    <row r="862" spans="1:56" x14ac:dyDescent="0.25">
      <c r="A862">
        <v>22</v>
      </c>
      <c r="B862" t="str">
        <f>_xlfn.XLOOKUP(Table1[[#This Row],[Attrition]],Table2[Attrition],Table2[Id_Attrition])</f>
        <v>A001</v>
      </c>
      <c r="C862" t="s">
        <v>32</v>
      </c>
      <c r="D862" t="str">
        <f>_xlfn.XLOOKUP(Table1[[#This Row],[BusinessTravel]],Table5[BusinessTravel],Table5[Id_BusinessTravel])</f>
        <v>BS002</v>
      </c>
      <c r="E862" t="s">
        <v>35</v>
      </c>
      <c r="F862">
        <v>1256</v>
      </c>
      <c r="G862" t="str">
        <f>_xlfn.XLOOKUP(Table1[[#This Row],[Department]],Table6[Department],Table6[Id_Departement])</f>
        <v>D002</v>
      </c>
      <c r="H862" t="s">
        <v>38</v>
      </c>
      <c r="I862">
        <v>3</v>
      </c>
      <c r="J862" t="str">
        <f>_xlfn.XLOOKUP(Table1[[#This Row],[Education]],Table8[Education],Table8[Id_Education])</f>
        <v>E004</v>
      </c>
      <c r="K862">
        <v>4</v>
      </c>
      <c r="L862" t="str">
        <f>_xlfn.XLOOKUP(Table1[[#This Row],[EducationField]],Table7[EducationField],Table7[Id_EducationField])</f>
        <v>EF001</v>
      </c>
      <c r="M862" t="s">
        <v>40</v>
      </c>
      <c r="N862" t="str">
        <f>_xlfn.XLOOKUP(Table1[[#This Row],[EmployeeNumber]],Table4[EmployeeNumber],Table4[Id_Employee])</f>
        <v>EMP00861</v>
      </c>
      <c r="O862">
        <v>1203</v>
      </c>
      <c r="P862" t="str">
        <f>_xlfn.XLOOKUP(Table1[[#This Row],[EnvironmentSatisfaction]],Table9[EnvironmentSatisfaction],Table9[Id_EnviromentSatisfaction])</f>
        <v>ES003</v>
      </c>
      <c r="Q862">
        <v>3</v>
      </c>
      <c r="R862" t="str">
        <f>_xlfn.XLOOKUP(Table1[[#This Row],[EnvironmentSatisfaction]],Table9[EnvironmentSatisfaction],Table9[Deskripsi])</f>
        <v>High</v>
      </c>
      <c r="S862" t="str">
        <f>_xlfn.XLOOKUP(Table1[[#This Row],[Gender]],Table10[Gender],Table10[Id_Gender])</f>
        <v>G002</v>
      </c>
      <c r="T862" t="s">
        <v>46</v>
      </c>
      <c r="U862">
        <v>48</v>
      </c>
      <c r="V862" t="str">
        <f>_xlfn.XLOOKUP(Table1[[#This Row],[JobInvolvement]],Table11[JobInvolvement],Table11[Id_JobInvolvement])</f>
        <v>JI002</v>
      </c>
      <c r="W862">
        <v>2</v>
      </c>
      <c r="X862" t="str">
        <f>_xlfn.XLOOKUP(Table1[[#This Row],[JobLevel]],Table12[JobLevel],Table12[Id_JobLevel])</f>
        <v>JL001</v>
      </c>
      <c r="Y862">
        <v>1</v>
      </c>
      <c r="Z862" t="str">
        <f>_xlfn.XLOOKUP(Table1[[#This Row],[JobRole]],Table13[JobRole],Table13[Id_JobRole])</f>
        <v>JR002</v>
      </c>
      <c r="AA862" t="s">
        <v>48</v>
      </c>
      <c r="AB862" t="str">
        <f>_xlfn.XLOOKUP(Table1[[#This Row],[JobSatisfaction]],Table14[JobSatisfaction],Table14[Id_JobSatisfaction])</f>
        <v>JS004</v>
      </c>
      <c r="AC862">
        <v>4</v>
      </c>
      <c r="AD862" t="str">
        <f>_xlfn.XLOOKUP(Table1[[#This Row],[JobSatisfaction]],Table14[JobSatisfaction],Table14[Deskripsi])</f>
        <v>Very High</v>
      </c>
      <c r="AE862" t="str">
        <f>_xlfn.XLOOKUP(Table1[[#This Row],[MaritalStatus]],Table15[MaritalStatus],Table15[Id_MaritalStatus])</f>
        <v>MS002</v>
      </c>
      <c r="AF862" t="s">
        <v>56</v>
      </c>
      <c r="AG862">
        <v>2853</v>
      </c>
      <c r="AH862">
        <v>4223</v>
      </c>
      <c r="AI862">
        <v>0</v>
      </c>
      <c r="AJ862" t="str">
        <f>_xlfn.XLOOKUP(Table1[[#This Row],[OverTime]],Table16[OverTime],Table16[Id_OverTime])</f>
        <v>OT001</v>
      </c>
      <c r="AK862" t="s">
        <v>32</v>
      </c>
      <c r="AL862">
        <v>11</v>
      </c>
      <c r="AM862" t="str">
        <f>_xlfn.XLOOKUP(Table1[[#This Row],[PerformanceRating]],Table17[PerformanceRating],Table17[Id_PerformanceRating])</f>
        <v>PR003</v>
      </c>
      <c r="AN862">
        <v>3</v>
      </c>
      <c r="AO862" t="str">
        <f>_xlfn.XLOOKUP(Table1[[#This Row],[PerformanceRating]],Table17[PerformanceRating],Table17[Deskripsi])</f>
        <v>Excellent</v>
      </c>
      <c r="AP862" t="str">
        <f>_xlfn.XLOOKUP(Table1[[#This Row],[RelationshipSatisfaction]],Table18[RelationshipSatisfaction],Table18[Id_RelationshipSatisfaction])</f>
        <v>RS002</v>
      </c>
      <c r="AQ862">
        <v>2</v>
      </c>
      <c r="AR862" t="str">
        <f>_xlfn.XLOOKUP(Table1[[#This Row],[RelationshipSatisfaction]],Table18[RelationshipSatisfaction],Table18[Deskripsi])</f>
        <v>Medium</v>
      </c>
      <c r="AS862" t="str">
        <f>_xlfn.XLOOKUP(Table1[[#This Row],[StockOptionLevel]],Table19[StockOptionLevel],Table19[Id_StockOptionLevel])</f>
        <v>SOL002</v>
      </c>
      <c r="AT862">
        <v>1</v>
      </c>
      <c r="AU862" t="str">
        <f>_xlfn.XLOOKUP(Table1[[#This Row],[StockOptionLevel]],Table19[StockOptionLevel],Table19[Deskripsi])</f>
        <v>Standard</v>
      </c>
      <c r="AV862">
        <v>1</v>
      </c>
      <c r="AW862">
        <v>5</v>
      </c>
      <c r="AX862" t="str">
        <f>_xlfn.XLOOKUP(Table1[[#This Row],[WorkLifeBalance]],Table20[WorkLifeBalance],Table20[Id_WorkLifeBalance])</f>
        <v>WLB002</v>
      </c>
      <c r="AY862">
        <v>3</v>
      </c>
      <c r="AZ862" t="str">
        <f>_xlfn.XLOOKUP(Table1[[#This Row],[WorkLifeBalance]],Table20[WorkLifeBalance],Table20[Deskripsi])</f>
        <v>Good</v>
      </c>
      <c r="BA862">
        <v>0</v>
      </c>
      <c r="BB862">
        <v>0</v>
      </c>
      <c r="BC862">
        <v>0</v>
      </c>
      <c r="BD862">
        <v>0</v>
      </c>
    </row>
    <row r="863" spans="1:56" x14ac:dyDescent="0.25">
      <c r="A863">
        <v>46</v>
      </c>
      <c r="B863" t="str">
        <f>_xlfn.XLOOKUP(Table1[[#This Row],[Attrition]],Table2[Attrition],Table2[Id_Attrition])</f>
        <v>A002</v>
      </c>
      <c r="C863" t="s">
        <v>33</v>
      </c>
      <c r="D863" t="str">
        <f>_xlfn.XLOOKUP(Table1[[#This Row],[BusinessTravel]],Table5[BusinessTravel],Table5[Id_BusinessTravel])</f>
        <v>BS001</v>
      </c>
      <c r="E863" t="s">
        <v>34</v>
      </c>
      <c r="F863">
        <v>1402</v>
      </c>
      <c r="G863" t="str">
        <f>_xlfn.XLOOKUP(Table1[[#This Row],[Department]],Table6[Department],Table6[Id_Departement])</f>
        <v>D001</v>
      </c>
      <c r="H863" t="s">
        <v>37</v>
      </c>
      <c r="I863">
        <v>2</v>
      </c>
      <c r="J863" t="str">
        <f>_xlfn.XLOOKUP(Table1[[#This Row],[Education]],Table8[Education],Table8[Id_Education])</f>
        <v>E003</v>
      </c>
      <c r="K863">
        <v>3</v>
      </c>
      <c r="L863" t="str">
        <f>_xlfn.XLOOKUP(Table1[[#This Row],[EducationField]],Table7[EducationField],Table7[Id_EducationField])</f>
        <v>EF004</v>
      </c>
      <c r="M863" t="s">
        <v>43</v>
      </c>
      <c r="N863" t="str">
        <f>_xlfn.XLOOKUP(Table1[[#This Row],[EmployeeNumber]],Table4[EmployeeNumber],Table4[Id_Employee])</f>
        <v>EMP00862</v>
      </c>
      <c r="O863">
        <v>1204</v>
      </c>
      <c r="P863" t="str">
        <f>_xlfn.XLOOKUP(Table1[[#This Row],[EnvironmentSatisfaction]],Table9[EnvironmentSatisfaction],Table9[Id_EnviromentSatisfaction])</f>
        <v>ES003</v>
      </c>
      <c r="Q863">
        <v>3</v>
      </c>
      <c r="R863" t="str">
        <f>_xlfn.XLOOKUP(Table1[[#This Row],[EnvironmentSatisfaction]],Table9[EnvironmentSatisfaction],Table9[Deskripsi])</f>
        <v>High</v>
      </c>
      <c r="S863" t="str">
        <f>_xlfn.XLOOKUP(Table1[[#This Row],[Gender]],Table10[Gender],Table10[Id_Gender])</f>
        <v>G001</v>
      </c>
      <c r="T863" t="s">
        <v>45</v>
      </c>
      <c r="U863">
        <v>69</v>
      </c>
      <c r="V863" t="str">
        <f>_xlfn.XLOOKUP(Table1[[#This Row],[JobInvolvement]],Table11[JobInvolvement],Table11[Id_JobInvolvement])</f>
        <v>JI003</v>
      </c>
      <c r="W863">
        <v>3</v>
      </c>
      <c r="X863" t="str">
        <f>_xlfn.XLOOKUP(Table1[[#This Row],[JobLevel]],Table12[JobLevel],Table12[Id_JobLevel])</f>
        <v>JL004</v>
      </c>
      <c r="Y863">
        <v>4</v>
      </c>
      <c r="Z863" t="str">
        <f>_xlfn.XLOOKUP(Table1[[#This Row],[JobRole]],Table13[JobRole],Table13[Id_JobRole])</f>
        <v>JR006</v>
      </c>
      <c r="AA863" t="s">
        <v>52</v>
      </c>
      <c r="AB863" t="str">
        <f>_xlfn.XLOOKUP(Table1[[#This Row],[JobSatisfaction]],Table14[JobSatisfaction],Table14[Id_JobSatisfaction])</f>
        <v>JS001</v>
      </c>
      <c r="AC863">
        <v>1</v>
      </c>
      <c r="AD863" t="str">
        <f>_xlfn.XLOOKUP(Table1[[#This Row],[JobSatisfaction]],Table14[JobSatisfaction],Table14[Deskripsi])</f>
        <v>Low</v>
      </c>
      <c r="AE863" t="str">
        <f>_xlfn.XLOOKUP(Table1[[#This Row],[MaritalStatus]],Table15[MaritalStatus],Table15[Id_MaritalStatus])</f>
        <v>MS002</v>
      </c>
      <c r="AF863" t="s">
        <v>56</v>
      </c>
      <c r="AG863">
        <v>17048</v>
      </c>
      <c r="AH863">
        <v>24097</v>
      </c>
      <c r="AI863">
        <v>8</v>
      </c>
      <c r="AJ863" t="str">
        <f>_xlfn.XLOOKUP(Table1[[#This Row],[OverTime]],Table16[OverTime],Table16[Id_OverTime])</f>
        <v>OT002</v>
      </c>
      <c r="AK863" t="s">
        <v>33</v>
      </c>
      <c r="AL863">
        <v>23</v>
      </c>
      <c r="AM863" t="str">
        <f>_xlfn.XLOOKUP(Table1[[#This Row],[PerformanceRating]],Table17[PerformanceRating],Table17[Id_PerformanceRating])</f>
        <v>PR004</v>
      </c>
      <c r="AN863">
        <v>4</v>
      </c>
      <c r="AO863" t="str">
        <f>_xlfn.XLOOKUP(Table1[[#This Row],[PerformanceRating]],Table17[PerformanceRating],Table17[Deskripsi])</f>
        <v>Outstanding</v>
      </c>
      <c r="AP863" t="str">
        <f>_xlfn.XLOOKUP(Table1[[#This Row],[RelationshipSatisfaction]],Table18[RelationshipSatisfaction],Table18[Id_RelationshipSatisfaction])</f>
        <v>RS001</v>
      </c>
      <c r="AQ863">
        <v>1</v>
      </c>
      <c r="AR863" t="str">
        <f>_xlfn.XLOOKUP(Table1[[#This Row],[RelationshipSatisfaction]],Table18[RelationshipSatisfaction],Table18[Deskripsi])</f>
        <v>Low</v>
      </c>
      <c r="AS863" t="str">
        <f>_xlfn.XLOOKUP(Table1[[#This Row],[StockOptionLevel]],Table19[StockOptionLevel],Table19[Id_StockOptionLevel])</f>
        <v>SOL001</v>
      </c>
      <c r="AT863">
        <v>0</v>
      </c>
      <c r="AU863" t="str">
        <f>_xlfn.XLOOKUP(Table1[[#This Row],[StockOptionLevel]],Table19[StockOptionLevel],Table19[Deskripsi])</f>
        <v>Non-Eligible</v>
      </c>
      <c r="AV863">
        <v>28</v>
      </c>
      <c r="AW863">
        <v>2</v>
      </c>
      <c r="AX863" t="str">
        <f>_xlfn.XLOOKUP(Table1[[#This Row],[WorkLifeBalance]],Table20[WorkLifeBalance],Table20[Id_WorkLifeBalance])</f>
        <v>WLB002</v>
      </c>
      <c r="AY863">
        <v>3</v>
      </c>
      <c r="AZ863" t="str">
        <f>_xlfn.XLOOKUP(Table1[[#This Row],[WorkLifeBalance]],Table20[WorkLifeBalance],Table20[Deskripsi])</f>
        <v>Good</v>
      </c>
      <c r="BA863">
        <v>26</v>
      </c>
      <c r="BB863">
        <v>15</v>
      </c>
      <c r="BC863">
        <v>15</v>
      </c>
      <c r="BD863">
        <v>9</v>
      </c>
    </row>
    <row r="864" spans="1:56" x14ac:dyDescent="0.25">
      <c r="A864">
        <v>44</v>
      </c>
      <c r="B864" t="str">
        <f>_xlfn.XLOOKUP(Table1[[#This Row],[Attrition]],Table2[Attrition],Table2[Id_Attrition])</f>
        <v>A002</v>
      </c>
      <c r="C864" t="s">
        <v>33</v>
      </c>
      <c r="D864" t="str">
        <f>_xlfn.XLOOKUP(Table1[[#This Row],[BusinessTravel]],Table5[BusinessTravel],Table5[Id_BusinessTravel])</f>
        <v>BS003</v>
      </c>
      <c r="E864" t="s">
        <v>36</v>
      </c>
      <c r="F864">
        <v>111</v>
      </c>
      <c r="G864" t="str">
        <f>_xlfn.XLOOKUP(Table1[[#This Row],[Department]],Table6[Department],Table6[Id_Departement])</f>
        <v>D002</v>
      </c>
      <c r="H864" t="s">
        <v>38</v>
      </c>
      <c r="I864">
        <v>17</v>
      </c>
      <c r="J864" t="str">
        <f>_xlfn.XLOOKUP(Table1[[#This Row],[Education]],Table8[Education],Table8[Id_Education])</f>
        <v>E003</v>
      </c>
      <c r="K864">
        <v>3</v>
      </c>
      <c r="L864" t="str">
        <f>_xlfn.XLOOKUP(Table1[[#This Row],[EducationField]],Table7[EducationField],Table7[Id_EducationField])</f>
        <v>EF001</v>
      </c>
      <c r="M864" t="s">
        <v>40</v>
      </c>
      <c r="N864" t="str">
        <f>_xlfn.XLOOKUP(Table1[[#This Row],[EmployeeNumber]],Table4[EmployeeNumber],Table4[Id_Employee])</f>
        <v>EMP00863</v>
      </c>
      <c r="O864">
        <v>1206</v>
      </c>
      <c r="P864" t="str">
        <f>_xlfn.XLOOKUP(Table1[[#This Row],[EnvironmentSatisfaction]],Table9[EnvironmentSatisfaction],Table9[Id_EnviromentSatisfaction])</f>
        <v>ES004</v>
      </c>
      <c r="Q864">
        <v>4</v>
      </c>
      <c r="R864" t="str">
        <f>_xlfn.XLOOKUP(Table1[[#This Row],[EnvironmentSatisfaction]],Table9[EnvironmentSatisfaction],Table9[Deskripsi])</f>
        <v>Very High</v>
      </c>
      <c r="S864" t="str">
        <f>_xlfn.XLOOKUP(Table1[[#This Row],[Gender]],Table10[Gender],Table10[Id_Gender])</f>
        <v>G002</v>
      </c>
      <c r="T864" t="s">
        <v>46</v>
      </c>
      <c r="U864">
        <v>74</v>
      </c>
      <c r="V864" t="str">
        <f>_xlfn.XLOOKUP(Table1[[#This Row],[JobInvolvement]],Table11[JobInvolvement],Table11[Id_JobInvolvement])</f>
        <v>JI001</v>
      </c>
      <c r="W864">
        <v>1</v>
      </c>
      <c r="X864" t="str">
        <f>_xlfn.XLOOKUP(Table1[[#This Row],[JobLevel]],Table12[JobLevel],Table12[Id_JobLevel])</f>
        <v>JL001</v>
      </c>
      <c r="Y864">
        <v>1</v>
      </c>
      <c r="Z864" t="str">
        <f>_xlfn.XLOOKUP(Table1[[#This Row],[JobRole]],Table13[JobRole],Table13[Id_JobRole])</f>
        <v>JR002</v>
      </c>
      <c r="AA864" t="s">
        <v>48</v>
      </c>
      <c r="AB864" t="str">
        <f>_xlfn.XLOOKUP(Table1[[#This Row],[JobSatisfaction]],Table14[JobSatisfaction],Table14[Id_JobSatisfaction])</f>
        <v>JS003</v>
      </c>
      <c r="AC864">
        <v>3</v>
      </c>
      <c r="AD864" t="str">
        <f>_xlfn.XLOOKUP(Table1[[#This Row],[JobSatisfaction]],Table14[JobSatisfaction],Table14[Deskripsi])</f>
        <v>High</v>
      </c>
      <c r="AE864" t="str">
        <f>_xlfn.XLOOKUP(Table1[[#This Row],[MaritalStatus]],Table15[MaritalStatus],Table15[Id_MaritalStatus])</f>
        <v>MS001</v>
      </c>
      <c r="AF864" t="s">
        <v>55</v>
      </c>
      <c r="AG864">
        <v>2290</v>
      </c>
      <c r="AH864">
        <v>4279</v>
      </c>
      <c r="AI864">
        <v>2</v>
      </c>
      <c r="AJ864" t="str">
        <f>_xlfn.XLOOKUP(Table1[[#This Row],[OverTime]],Table16[OverTime],Table16[Id_OverTime])</f>
        <v>OT002</v>
      </c>
      <c r="AK864" t="s">
        <v>33</v>
      </c>
      <c r="AL864">
        <v>13</v>
      </c>
      <c r="AM864" t="str">
        <f>_xlfn.XLOOKUP(Table1[[#This Row],[PerformanceRating]],Table17[PerformanceRating],Table17[Id_PerformanceRating])</f>
        <v>PR003</v>
      </c>
      <c r="AN864">
        <v>3</v>
      </c>
      <c r="AO864" t="str">
        <f>_xlfn.XLOOKUP(Table1[[#This Row],[PerformanceRating]],Table17[PerformanceRating],Table17[Deskripsi])</f>
        <v>Excellent</v>
      </c>
      <c r="AP864" t="str">
        <f>_xlfn.XLOOKUP(Table1[[#This Row],[RelationshipSatisfaction]],Table18[RelationshipSatisfaction],Table18[Id_RelationshipSatisfaction])</f>
        <v>RS004</v>
      </c>
      <c r="AQ864">
        <v>4</v>
      </c>
      <c r="AR864" t="str">
        <f>_xlfn.XLOOKUP(Table1[[#This Row],[RelationshipSatisfaction]],Table18[RelationshipSatisfaction],Table18[Deskripsi])</f>
        <v>Very High</v>
      </c>
      <c r="AS864" t="str">
        <f>_xlfn.XLOOKUP(Table1[[#This Row],[StockOptionLevel]],Table19[StockOptionLevel],Table19[Id_StockOptionLevel])</f>
        <v>SOL001</v>
      </c>
      <c r="AT864">
        <v>0</v>
      </c>
      <c r="AU864" t="str">
        <f>_xlfn.XLOOKUP(Table1[[#This Row],[StockOptionLevel]],Table19[StockOptionLevel],Table19[Deskripsi])</f>
        <v>Non-Eligible</v>
      </c>
      <c r="AV864">
        <v>6</v>
      </c>
      <c r="AW864">
        <v>3</v>
      </c>
      <c r="AX864" t="str">
        <f>_xlfn.XLOOKUP(Table1[[#This Row],[WorkLifeBalance]],Table20[WorkLifeBalance],Table20[Id_WorkLifeBalance])</f>
        <v>WLB002</v>
      </c>
      <c r="AY864">
        <v>3</v>
      </c>
      <c r="AZ864" t="str">
        <f>_xlfn.XLOOKUP(Table1[[#This Row],[WorkLifeBalance]],Table20[WorkLifeBalance],Table20[Deskripsi])</f>
        <v>Good</v>
      </c>
      <c r="BA864">
        <v>0</v>
      </c>
      <c r="BB864">
        <v>0</v>
      </c>
      <c r="BC864">
        <v>0</v>
      </c>
      <c r="BD864">
        <v>0</v>
      </c>
    </row>
    <row r="865" spans="1:56" x14ac:dyDescent="0.25">
      <c r="A865">
        <v>33</v>
      </c>
      <c r="B865" t="str">
        <f>_xlfn.XLOOKUP(Table1[[#This Row],[Attrition]],Table2[Attrition],Table2[Id_Attrition])</f>
        <v>A002</v>
      </c>
      <c r="C865" t="s">
        <v>33</v>
      </c>
      <c r="D865" t="str">
        <f>_xlfn.XLOOKUP(Table1[[#This Row],[BusinessTravel]],Table5[BusinessTravel],Table5[Id_BusinessTravel])</f>
        <v>BS001</v>
      </c>
      <c r="E865" t="s">
        <v>34</v>
      </c>
      <c r="F865">
        <v>147</v>
      </c>
      <c r="G865" t="str">
        <f>_xlfn.XLOOKUP(Table1[[#This Row],[Department]],Table6[Department],Table6[Id_Departement])</f>
        <v>D003</v>
      </c>
      <c r="H865" t="s">
        <v>39</v>
      </c>
      <c r="I865">
        <v>2</v>
      </c>
      <c r="J865" t="str">
        <f>_xlfn.XLOOKUP(Table1[[#This Row],[Education]],Table8[Education],Table8[Id_Education])</f>
        <v>E003</v>
      </c>
      <c r="K865">
        <v>3</v>
      </c>
      <c r="L865" t="str">
        <f>_xlfn.XLOOKUP(Table1[[#This Row],[EducationField]],Table7[EducationField],Table7[Id_EducationField])</f>
        <v>EF006</v>
      </c>
      <c r="M865" t="s">
        <v>39</v>
      </c>
      <c r="N865" t="str">
        <f>_xlfn.XLOOKUP(Table1[[#This Row],[EmployeeNumber]],Table4[EmployeeNumber],Table4[Id_Employee])</f>
        <v>EMP00864</v>
      </c>
      <c r="O865">
        <v>1207</v>
      </c>
      <c r="P865" t="str">
        <f>_xlfn.XLOOKUP(Table1[[#This Row],[EnvironmentSatisfaction]],Table9[EnvironmentSatisfaction],Table9[Id_EnviromentSatisfaction])</f>
        <v>ES002</v>
      </c>
      <c r="Q865">
        <v>2</v>
      </c>
      <c r="R865" t="str">
        <f>_xlfn.XLOOKUP(Table1[[#This Row],[EnvironmentSatisfaction]],Table9[EnvironmentSatisfaction],Table9[Deskripsi])</f>
        <v>Medium</v>
      </c>
      <c r="S865" t="str">
        <f>_xlfn.XLOOKUP(Table1[[#This Row],[Gender]],Table10[Gender],Table10[Id_Gender])</f>
        <v>G002</v>
      </c>
      <c r="T865" t="s">
        <v>46</v>
      </c>
      <c r="U865">
        <v>99</v>
      </c>
      <c r="V865" t="str">
        <f>_xlfn.XLOOKUP(Table1[[#This Row],[JobInvolvement]],Table11[JobInvolvement],Table11[Id_JobInvolvement])</f>
        <v>JI003</v>
      </c>
      <c r="W865">
        <v>3</v>
      </c>
      <c r="X865" t="str">
        <f>_xlfn.XLOOKUP(Table1[[#This Row],[JobLevel]],Table12[JobLevel],Table12[Id_JobLevel])</f>
        <v>JL001</v>
      </c>
      <c r="Y865">
        <v>1</v>
      </c>
      <c r="Z865" t="str">
        <f>_xlfn.XLOOKUP(Table1[[#This Row],[JobRole]],Table13[JobRole],Table13[Id_JobRole])</f>
        <v>JR009</v>
      </c>
      <c r="AA865" t="s">
        <v>39</v>
      </c>
      <c r="AB865" t="str">
        <f>_xlfn.XLOOKUP(Table1[[#This Row],[JobSatisfaction]],Table14[JobSatisfaction],Table14[Id_JobSatisfaction])</f>
        <v>JS003</v>
      </c>
      <c r="AC865">
        <v>3</v>
      </c>
      <c r="AD865" t="str">
        <f>_xlfn.XLOOKUP(Table1[[#This Row],[JobSatisfaction]],Table14[JobSatisfaction],Table14[Deskripsi])</f>
        <v>High</v>
      </c>
      <c r="AE865" t="str">
        <f>_xlfn.XLOOKUP(Table1[[#This Row],[MaritalStatus]],Table15[MaritalStatus],Table15[Id_MaritalStatus])</f>
        <v>MS002</v>
      </c>
      <c r="AF865" t="s">
        <v>56</v>
      </c>
      <c r="AG865">
        <v>3600</v>
      </c>
      <c r="AH865">
        <v>8429</v>
      </c>
      <c r="AI865">
        <v>1</v>
      </c>
      <c r="AJ865" t="str">
        <f>_xlfn.XLOOKUP(Table1[[#This Row],[OverTime]],Table16[OverTime],Table16[Id_OverTime])</f>
        <v>OT002</v>
      </c>
      <c r="AK865" t="s">
        <v>33</v>
      </c>
      <c r="AL865">
        <v>13</v>
      </c>
      <c r="AM865" t="str">
        <f>_xlfn.XLOOKUP(Table1[[#This Row],[PerformanceRating]],Table17[PerformanceRating],Table17[Id_PerformanceRating])</f>
        <v>PR003</v>
      </c>
      <c r="AN865">
        <v>3</v>
      </c>
      <c r="AO865" t="str">
        <f>_xlfn.XLOOKUP(Table1[[#This Row],[PerformanceRating]],Table17[PerformanceRating],Table17[Deskripsi])</f>
        <v>Excellent</v>
      </c>
      <c r="AP865" t="str">
        <f>_xlfn.XLOOKUP(Table1[[#This Row],[RelationshipSatisfaction]],Table18[RelationshipSatisfaction],Table18[Id_RelationshipSatisfaction])</f>
        <v>RS004</v>
      </c>
      <c r="AQ865">
        <v>4</v>
      </c>
      <c r="AR865" t="str">
        <f>_xlfn.XLOOKUP(Table1[[#This Row],[RelationshipSatisfaction]],Table18[RelationshipSatisfaction],Table18[Deskripsi])</f>
        <v>Very High</v>
      </c>
      <c r="AS865" t="str">
        <f>_xlfn.XLOOKUP(Table1[[#This Row],[StockOptionLevel]],Table19[StockOptionLevel],Table19[Id_StockOptionLevel])</f>
        <v>SOL002</v>
      </c>
      <c r="AT865">
        <v>1</v>
      </c>
      <c r="AU865" t="str">
        <f>_xlfn.XLOOKUP(Table1[[#This Row],[StockOptionLevel]],Table19[StockOptionLevel],Table19[Deskripsi])</f>
        <v>Standard</v>
      </c>
      <c r="AV865">
        <v>5</v>
      </c>
      <c r="AW865">
        <v>2</v>
      </c>
      <c r="AX865" t="str">
        <f>_xlfn.XLOOKUP(Table1[[#This Row],[WorkLifeBalance]],Table20[WorkLifeBalance],Table20[Id_WorkLifeBalance])</f>
        <v>WLB002</v>
      </c>
      <c r="AY865">
        <v>3</v>
      </c>
      <c r="AZ865" t="str">
        <f>_xlfn.XLOOKUP(Table1[[#This Row],[WorkLifeBalance]],Table20[WorkLifeBalance],Table20[Deskripsi])</f>
        <v>Good</v>
      </c>
      <c r="BA865">
        <v>5</v>
      </c>
      <c r="BB865">
        <v>4</v>
      </c>
      <c r="BC865">
        <v>1</v>
      </c>
      <c r="BD865">
        <v>4</v>
      </c>
    </row>
    <row r="866" spans="1:56" x14ac:dyDescent="0.25">
      <c r="A866">
        <v>41</v>
      </c>
      <c r="B866" t="str">
        <f>_xlfn.XLOOKUP(Table1[[#This Row],[Attrition]],Table2[Attrition],Table2[Id_Attrition])</f>
        <v>A001</v>
      </c>
      <c r="C866" t="s">
        <v>32</v>
      </c>
      <c r="D866" t="str">
        <f>_xlfn.XLOOKUP(Table1[[#This Row],[BusinessTravel]],Table5[BusinessTravel],Table5[Id_BusinessTravel])</f>
        <v>BS003</v>
      </c>
      <c r="E866" t="s">
        <v>36</v>
      </c>
      <c r="F866">
        <v>906</v>
      </c>
      <c r="G866" t="str">
        <f>_xlfn.XLOOKUP(Table1[[#This Row],[Department]],Table6[Department],Table6[Id_Departement])</f>
        <v>D002</v>
      </c>
      <c r="H866" t="s">
        <v>38</v>
      </c>
      <c r="I866">
        <v>5</v>
      </c>
      <c r="J866" t="str">
        <f>_xlfn.XLOOKUP(Table1[[#This Row],[Education]],Table8[Education],Table8[Id_Education])</f>
        <v>E002</v>
      </c>
      <c r="K866">
        <v>2</v>
      </c>
      <c r="L866" t="str">
        <f>_xlfn.XLOOKUP(Table1[[#This Row],[EducationField]],Table7[EducationField],Table7[Id_EducationField])</f>
        <v>EF001</v>
      </c>
      <c r="M866" t="s">
        <v>40</v>
      </c>
      <c r="N866" t="str">
        <f>_xlfn.XLOOKUP(Table1[[#This Row],[EmployeeNumber]],Table4[EmployeeNumber],Table4[Id_Employee])</f>
        <v>EMP00865</v>
      </c>
      <c r="O866">
        <v>1210</v>
      </c>
      <c r="P866" t="str">
        <f>_xlfn.XLOOKUP(Table1[[#This Row],[EnvironmentSatisfaction]],Table9[EnvironmentSatisfaction],Table9[Id_EnviromentSatisfaction])</f>
        <v>ES001</v>
      </c>
      <c r="Q866">
        <v>1</v>
      </c>
      <c r="R866" t="str">
        <f>_xlfn.XLOOKUP(Table1[[#This Row],[EnvironmentSatisfaction]],Table9[EnvironmentSatisfaction],Table9[Deskripsi])</f>
        <v>Low</v>
      </c>
      <c r="S866" t="str">
        <f>_xlfn.XLOOKUP(Table1[[#This Row],[Gender]],Table10[Gender],Table10[Id_Gender])</f>
        <v>G002</v>
      </c>
      <c r="T866" t="s">
        <v>46</v>
      </c>
      <c r="U866">
        <v>95</v>
      </c>
      <c r="V866" t="str">
        <f>_xlfn.XLOOKUP(Table1[[#This Row],[JobInvolvement]],Table11[JobInvolvement],Table11[Id_JobInvolvement])</f>
        <v>JI002</v>
      </c>
      <c r="W866">
        <v>2</v>
      </c>
      <c r="X866" t="str">
        <f>_xlfn.XLOOKUP(Table1[[#This Row],[JobLevel]],Table12[JobLevel],Table12[Id_JobLevel])</f>
        <v>JL001</v>
      </c>
      <c r="Y866">
        <v>1</v>
      </c>
      <c r="Z866" t="str">
        <f>_xlfn.XLOOKUP(Table1[[#This Row],[JobRole]],Table13[JobRole],Table13[Id_JobRole])</f>
        <v>JR002</v>
      </c>
      <c r="AA866" t="s">
        <v>48</v>
      </c>
      <c r="AB866" t="str">
        <f>_xlfn.XLOOKUP(Table1[[#This Row],[JobSatisfaction]],Table14[JobSatisfaction],Table14[Id_JobSatisfaction])</f>
        <v>JS001</v>
      </c>
      <c r="AC866">
        <v>1</v>
      </c>
      <c r="AD866" t="str">
        <f>_xlfn.XLOOKUP(Table1[[#This Row],[JobSatisfaction]],Table14[JobSatisfaction],Table14[Deskripsi])</f>
        <v>Low</v>
      </c>
      <c r="AE866" t="str">
        <f>_xlfn.XLOOKUP(Table1[[#This Row],[MaritalStatus]],Table15[MaritalStatus],Table15[Id_MaritalStatus])</f>
        <v>MS003</v>
      </c>
      <c r="AF866" t="s">
        <v>57</v>
      </c>
      <c r="AG866">
        <v>2107</v>
      </c>
      <c r="AH866">
        <v>20293</v>
      </c>
      <c r="AI866">
        <v>6</v>
      </c>
      <c r="AJ866" t="str">
        <f>_xlfn.XLOOKUP(Table1[[#This Row],[OverTime]],Table16[OverTime],Table16[Id_OverTime])</f>
        <v>OT002</v>
      </c>
      <c r="AK866" t="s">
        <v>33</v>
      </c>
      <c r="AL866">
        <v>17</v>
      </c>
      <c r="AM866" t="str">
        <f>_xlfn.XLOOKUP(Table1[[#This Row],[PerformanceRating]],Table17[PerformanceRating],Table17[Id_PerformanceRating])</f>
        <v>PR003</v>
      </c>
      <c r="AN866">
        <v>3</v>
      </c>
      <c r="AO866" t="str">
        <f>_xlfn.XLOOKUP(Table1[[#This Row],[PerformanceRating]],Table17[PerformanceRating],Table17[Deskripsi])</f>
        <v>Excellent</v>
      </c>
      <c r="AP866" t="str">
        <f>_xlfn.XLOOKUP(Table1[[#This Row],[RelationshipSatisfaction]],Table18[RelationshipSatisfaction],Table18[Id_RelationshipSatisfaction])</f>
        <v>RS001</v>
      </c>
      <c r="AQ866">
        <v>1</v>
      </c>
      <c r="AR866" t="str">
        <f>_xlfn.XLOOKUP(Table1[[#This Row],[RelationshipSatisfaction]],Table18[RelationshipSatisfaction],Table18[Deskripsi])</f>
        <v>Low</v>
      </c>
      <c r="AS866" t="str">
        <f>_xlfn.XLOOKUP(Table1[[#This Row],[StockOptionLevel]],Table19[StockOptionLevel],Table19[Id_StockOptionLevel])</f>
        <v>SOL002</v>
      </c>
      <c r="AT866">
        <v>1</v>
      </c>
      <c r="AU866" t="str">
        <f>_xlfn.XLOOKUP(Table1[[#This Row],[StockOptionLevel]],Table19[StockOptionLevel],Table19[Deskripsi])</f>
        <v>Standard</v>
      </c>
      <c r="AV866">
        <v>5</v>
      </c>
      <c r="AW866">
        <v>2</v>
      </c>
      <c r="AX866" t="str">
        <f>_xlfn.XLOOKUP(Table1[[#This Row],[WorkLifeBalance]],Table20[WorkLifeBalance],Table20[Id_WorkLifeBalance])</f>
        <v>WLB001</v>
      </c>
      <c r="AY866">
        <v>1</v>
      </c>
      <c r="AZ866" t="str">
        <f>_xlfn.XLOOKUP(Table1[[#This Row],[WorkLifeBalance]],Table20[WorkLifeBalance],Table20[Deskripsi])</f>
        <v>Bad</v>
      </c>
      <c r="BA866">
        <v>1</v>
      </c>
      <c r="BB866">
        <v>0</v>
      </c>
      <c r="BC866">
        <v>0</v>
      </c>
      <c r="BD866">
        <v>0</v>
      </c>
    </row>
    <row r="867" spans="1:56" x14ac:dyDescent="0.25">
      <c r="A867">
        <v>30</v>
      </c>
      <c r="B867" t="str">
        <f>_xlfn.XLOOKUP(Table1[[#This Row],[Attrition]],Table2[Attrition],Table2[Id_Attrition])</f>
        <v>A002</v>
      </c>
      <c r="C867" t="s">
        <v>33</v>
      </c>
      <c r="D867" t="str">
        <f>_xlfn.XLOOKUP(Table1[[#This Row],[BusinessTravel]],Table5[BusinessTravel],Table5[Id_BusinessTravel])</f>
        <v>BS001</v>
      </c>
      <c r="E867" t="s">
        <v>34</v>
      </c>
      <c r="F867">
        <v>1329</v>
      </c>
      <c r="G867" t="str">
        <f>_xlfn.XLOOKUP(Table1[[#This Row],[Department]],Table6[Department],Table6[Id_Departement])</f>
        <v>D001</v>
      </c>
      <c r="H867" t="s">
        <v>37</v>
      </c>
      <c r="I867">
        <v>29</v>
      </c>
      <c r="J867" t="str">
        <f>_xlfn.XLOOKUP(Table1[[#This Row],[Education]],Table8[Education],Table8[Id_Education])</f>
        <v>E004</v>
      </c>
      <c r="K867">
        <v>4</v>
      </c>
      <c r="L867" t="str">
        <f>_xlfn.XLOOKUP(Table1[[#This Row],[EducationField]],Table7[EducationField],Table7[Id_EducationField])</f>
        <v>EF001</v>
      </c>
      <c r="M867" t="s">
        <v>40</v>
      </c>
      <c r="N867" t="str">
        <f>_xlfn.XLOOKUP(Table1[[#This Row],[EmployeeNumber]],Table4[EmployeeNumber],Table4[Id_Employee])</f>
        <v>EMP00866</v>
      </c>
      <c r="O867">
        <v>1211</v>
      </c>
      <c r="P867" t="str">
        <f>_xlfn.XLOOKUP(Table1[[#This Row],[EnvironmentSatisfaction]],Table9[EnvironmentSatisfaction],Table9[Id_EnviromentSatisfaction])</f>
        <v>ES003</v>
      </c>
      <c r="Q867">
        <v>3</v>
      </c>
      <c r="R867" t="str">
        <f>_xlfn.XLOOKUP(Table1[[#This Row],[EnvironmentSatisfaction]],Table9[EnvironmentSatisfaction],Table9[Deskripsi])</f>
        <v>High</v>
      </c>
      <c r="S867" t="str">
        <f>_xlfn.XLOOKUP(Table1[[#This Row],[Gender]],Table10[Gender],Table10[Id_Gender])</f>
        <v>G002</v>
      </c>
      <c r="T867" t="s">
        <v>46</v>
      </c>
      <c r="U867">
        <v>61</v>
      </c>
      <c r="V867" t="str">
        <f>_xlfn.XLOOKUP(Table1[[#This Row],[JobInvolvement]],Table11[JobInvolvement],Table11[Id_JobInvolvement])</f>
        <v>JI003</v>
      </c>
      <c r="W867">
        <v>3</v>
      </c>
      <c r="X867" t="str">
        <f>_xlfn.XLOOKUP(Table1[[#This Row],[JobLevel]],Table12[JobLevel],Table12[Id_JobLevel])</f>
        <v>JL002</v>
      </c>
      <c r="Y867">
        <v>2</v>
      </c>
      <c r="Z867" t="str">
        <f>_xlfn.XLOOKUP(Table1[[#This Row],[JobRole]],Table13[JobRole],Table13[Id_JobRole])</f>
        <v>JR001</v>
      </c>
      <c r="AA867" t="s">
        <v>47</v>
      </c>
      <c r="AB867" t="str">
        <f>_xlfn.XLOOKUP(Table1[[#This Row],[JobSatisfaction]],Table14[JobSatisfaction],Table14[Id_JobSatisfaction])</f>
        <v>JS001</v>
      </c>
      <c r="AC867">
        <v>1</v>
      </c>
      <c r="AD867" t="str">
        <f>_xlfn.XLOOKUP(Table1[[#This Row],[JobSatisfaction]],Table14[JobSatisfaction],Table14[Deskripsi])</f>
        <v>Low</v>
      </c>
      <c r="AE867" t="str">
        <f>_xlfn.XLOOKUP(Table1[[#This Row],[MaritalStatus]],Table15[MaritalStatus],Table15[Id_MaritalStatus])</f>
        <v>MS003</v>
      </c>
      <c r="AF867" t="s">
        <v>57</v>
      </c>
      <c r="AG867">
        <v>4115</v>
      </c>
      <c r="AH867">
        <v>13192</v>
      </c>
      <c r="AI867">
        <v>8</v>
      </c>
      <c r="AJ867" t="str">
        <f>_xlfn.XLOOKUP(Table1[[#This Row],[OverTime]],Table16[OverTime],Table16[Id_OverTime])</f>
        <v>OT002</v>
      </c>
      <c r="AK867" t="s">
        <v>33</v>
      </c>
      <c r="AL867">
        <v>19</v>
      </c>
      <c r="AM867" t="str">
        <f>_xlfn.XLOOKUP(Table1[[#This Row],[PerformanceRating]],Table17[PerformanceRating],Table17[Id_PerformanceRating])</f>
        <v>PR003</v>
      </c>
      <c r="AN867">
        <v>3</v>
      </c>
      <c r="AO867" t="str">
        <f>_xlfn.XLOOKUP(Table1[[#This Row],[PerformanceRating]],Table17[PerformanceRating],Table17[Deskripsi])</f>
        <v>Excellent</v>
      </c>
      <c r="AP867" t="str">
        <f>_xlfn.XLOOKUP(Table1[[#This Row],[RelationshipSatisfaction]],Table18[RelationshipSatisfaction],Table18[Id_RelationshipSatisfaction])</f>
        <v>RS003</v>
      </c>
      <c r="AQ867">
        <v>3</v>
      </c>
      <c r="AR867" t="str">
        <f>_xlfn.XLOOKUP(Table1[[#This Row],[RelationshipSatisfaction]],Table18[RelationshipSatisfaction],Table18[Deskripsi])</f>
        <v>High</v>
      </c>
      <c r="AS867" t="str">
        <f>_xlfn.XLOOKUP(Table1[[#This Row],[StockOptionLevel]],Table19[StockOptionLevel],Table19[Id_StockOptionLevel])</f>
        <v>SOL004</v>
      </c>
      <c r="AT867">
        <v>3</v>
      </c>
      <c r="AU867" t="str">
        <f>_xlfn.XLOOKUP(Table1[[#This Row],[StockOptionLevel]],Table19[StockOptionLevel],Table19[Deskripsi])</f>
        <v>Senior/Executive</v>
      </c>
      <c r="AV867">
        <v>8</v>
      </c>
      <c r="AW867">
        <v>3</v>
      </c>
      <c r="AX867" t="str">
        <f>_xlfn.XLOOKUP(Table1[[#This Row],[WorkLifeBalance]],Table20[WorkLifeBalance],Table20[Id_WorkLifeBalance])</f>
        <v>WLB002</v>
      </c>
      <c r="AY867">
        <v>3</v>
      </c>
      <c r="AZ867" t="str">
        <f>_xlfn.XLOOKUP(Table1[[#This Row],[WorkLifeBalance]],Table20[WorkLifeBalance],Table20[Deskripsi])</f>
        <v>Good</v>
      </c>
      <c r="BA867">
        <v>4</v>
      </c>
      <c r="BB867">
        <v>3</v>
      </c>
      <c r="BC867">
        <v>0</v>
      </c>
      <c r="BD867">
        <v>3</v>
      </c>
    </row>
    <row r="868" spans="1:56" x14ac:dyDescent="0.25">
      <c r="A868">
        <v>40</v>
      </c>
      <c r="B868" t="str">
        <f>_xlfn.XLOOKUP(Table1[[#This Row],[Attrition]],Table2[Attrition],Table2[Id_Attrition])</f>
        <v>A002</v>
      </c>
      <c r="C868" t="s">
        <v>33</v>
      </c>
      <c r="D868" t="str">
        <f>_xlfn.XLOOKUP(Table1[[#This Row],[BusinessTravel]],Table5[BusinessTravel],Table5[Id_BusinessTravel])</f>
        <v>BS002</v>
      </c>
      <c r="E868" t="s">
        <v>35</v>
      </c>
      <c r="F868">
        <v>1184</v>
      </c>
      <c r="G868" t="str">
        <f>_xlfn.XLOOKUP(Table1[[#This Row],[Department]],Table6[Department],Table6[Id_Departement])</f>
        <v>D001</v>
      </c>
      <c r="H868" t="s">
        <v>37</v>
      </c>
      <c r="I868">
        <v>2</v>
      </c>
      <c r="J868" t="str">
        <f>_xlfn.XLOOKUP(Table1[[#This Row],[Education]],Table8[Education],Table8[Id_Education])</f>
        <v>E004</v>
      </c>
      <c r="K868">
        <v>4</v>
      </c>
      <c r="L868" t="str">
        <f>_xlfn.XLOOKUP(Table1[[#This Row],[EducationField]],Table7[EducationField],Table7[Id_EducationField])</f>
        <v>EF003</v>
      </c>
      <c r="M868" t="s">
        <v>42</v>
      </c>
      <c r="N868" t="str">
        <f>_xlfn.XLOOKUP(Table1[[#This Row],[EmployeeNumber]],Table4[EmployeeNumber],Table4[Id_Employee])</f>
        <v>EMP00867</v>
      </c>
      <c r="O868">
        <v>1212</v>
      </c>
      <c r="P868" t="str">
        <f>_xlfn.XLOOKUP(Table1[[#This Row],[EnvironmentSatisfaction]],Table9[EnvironmentSatisfaction],Table9[Id_EnviromentSatisfaction])</f>
        <v>ES002</v>
      </c>
      <c r="Q868">
        <v>2</v>
      </c>
      <c r="R868" t="str">
        <f>_xlfn.XLOOKUP(Table1[[#This Row],[EnvironmentSatisfaction]],Table9[EnvironmentSatisfaction],Table9[Deskripsi])</f>
        <v>Medium</v>
      </c>
      <c r="S868" t="str">
        <f>_xlfn.XLOOKUP(Table1[[#This Row],[Gender]],Table10[Gender],Table10[Id_Gender])</f>
        <v>G002</v>
      </c>
      <c r="T868" t="s">
        <v>46</v>
      </c>
      <c r="U868">
        <v>62</v>
      </c>
      <c r="V868" t="str">
        <f>_xlfn.XLOOKUP(Table1[[#This Row],[JobInvolvement]],Table11[JobInvolvement],Table11[Id_JobInvolvement])</f>
        <v>JI003</v>
      </c>
      <c r="W868">
        <v>3</v>
      </c>
      <c r="X868" t="str">
        <f>_xlfn.XLOOKUP(Table1[[#This Row],[JobLevel]],Table12[JobLevel],Table12[Id_JobLevel])</f>
        <v>JL002</v>
      </c>
      <c r="Y868">
        <v>2</v>
      </c>
      <c r="Z868" t="str">
        <f>_xlfn.XLOOKUP(Table1[[#This Row],[JobRole]],Table13[JobRole],Table13[Id_JobRole])</f>
        <v>JR001</v>
      </c>
      <c r="AA868" t="s">
        <v>47</v>
      </c>
      <c r="AB868" t="str">
        <f>_xlfn.XLOOKUP(Table1[[#This Row],[JobSatisfaction]],Table14[JobSatisfaction],Table14[Id_JobSatisfaction])</f>
        <v>JS002</v>
      </c>
      <c r="AC868">
        <v>2</v>
      </c>
      <c r="AD868" t="str">
        <f>_xlfn.XLOOKUP(Table1[[#This Row],[JobSatisfaction]],Table14[JobSatisfaction],Table14[Deskripsi])</f>
        <v>Medium</v>
      </c>
      <c r="AE868" t="str">
        <f>_xlfn.XLOOKUP(Table1[[#This Row],[MaritalStatus]],Table15[MaritalStatus],Table15[Id_MaritalStatus])</f>
        <v>MS002</v>
      </c>
      <c r="AF868" t="s">
        <v>56</v>
      </c>
      <c r="AG868">
        <v>4327</v>
      </c>
      <c r="AH868">
        <v>25440</v>
      </c>
      <c r="AI868">
        <v>5</v>
      </c>
      <c r="AJ868" t="str">
        <f>_xlfn.XLOOKUP(Table1[[#This Row],[OverTime]],Table16[OverTime],Table16[Id_OverTime])</f>
        <v>OT002</v>
      </c>
      <c r="AK868" t="s">
        <v>33</v>
      </c>
      <c r="AL868">
        <v>12</v>
      </c>
      <c r="AM868" t="str">
        <f>_xlfn.XLOOKUP(Table1[[#This Row],[PerformanceRating]],Table17[PerformanceRating],Table17[Id_PerformanceRating])</f>
        <v>PR003</v>
      </c>
      <c r="AN868">
        <v>3</v>
      </c>
      <c r="AO868" t="str">
        <f>_xlfn.XLOOKUP(Table1[[#This Row],[PerformanceRating]],Table17[PerformanceRating],Table17[Deskripsi])</f>
        <v>Excellent</v>
      </c>
      <c r="AP868" t="str">
        <f>_xlfn.XLOOKUP(Table1[[#This Row],[RelationshipSatisfaction]],Table18[RelationshipSatisfaction],Table18[Id_RelationshipSatisfaction])</f>
        <v>RS004</v>
      </c>
      <c r="AQ868">
        <v>4</v>
      </c>
      <c r="AR868" t="str">
        <f>_xlfn.XLOOKUP(Table1[[#This Row],[RelationshipSatisfaction]],Table18[RelationshipSatisfaction],Table18[Deskripsi])</f>
        <v>Very High</v>
      </c>
      <c r="AS868" t="str">
        <f>_xlfn.XLOOKUP(Table1[[#This Row],[StockOptionLevel]],Table19[StockOptionLevel],Table19[Id_StockOptionLevel])</f>
        <v>SOL004</v>
      </c>
      <c r="AT868">
        <v>3</v>
      </c>
      <c r="AU868" t="str">
        <f>_xlfn.XLOOKUP(Table1[[#This Row],[StockOptionLevel]],Table19[StockOptionLevel],Table19[Deskripsi])</f>
        <v>Senior/Executive</v>
      </c>
      <c r="AV868">
        <v>5</v>
      </c>
      <c r="AW868">
        <v>2</v>
      </c>
      <c r="AX868" t="str">
        <f>_xlfn.XLOOKUP(Table1[[#This Row],[WorkLifeBalance]],Table20[WorkLifeBalance],Table20[Id_WorkLifeBalance])</f>
        <v>WLB002</v>
      </c>
      <c r="AY868">
        <v>3</v>
      </c>
      <c r="AZ868" t="str">
        <f>_xlfn.XLOOKUP(Table1[[#This Row],[WorkLifeBalance]],Table20[WorkLifeBalance],Table20[Deskripsi])</f>
        <v>Good</v>
      </c>
      <c r="BA868">
        <v>0</v>
      </c>
      <c r="BB868">
        <v>0</v>
      </c>
      <c r="BC868">
        <v>0</v>
      </c>
      <c r="BD868">
        <v>0</v>
      </c>
    </row>
    <row r="869" spans="1:56" x14ac:dyDescent="0.25">
      <c r="A869">
        <v>50</v>
      </c>
      <c r="B869" t="str">
        <f>_xlfn.XLOOKUP(Table1[[#This Row],[Attrition]],Table2[Attrition],Table2[Id_Attrition])</f>
        <v>A002</v>
      </c>
      <c r="C869" t="s">
        <v>33</v>
      </c>
      <c r="D869" t="str">
        <f>_xlfn.XLOOKUP(Table1[[#This Row],[BusinessTravel]],Table5[BusinessTravel],Table5[Id_BusinessTravel])</f>
        <v>BS002</v>
      </c>
      <c r="E869" t="s">
        <v>35</v>
      </c>
      <c r="F869">
        <v>1421</v>
      </c>
      <c r="G869" t="str">
        <f>_xlfn.XLOOKUP(Table1[[#This Row],[Department]],Table6[Department],Table6[Id_Departement])</f>
        <v>D002</v>
      </c>
      <c r="H869" t="s">
        <v>38</v>
      </c>
      <c r="I869">
        <v>2</v>
      </c>
      <c r="J869" t="str">
        <f>_xlfn.XLOOKUP(Table1[[#This Row],[Education]],Table8[Education],Table8[Id_Education])</f>
        <v>E003</v>
      </c>
      <c r="K869">
        <v>3</v>
      </c>
      <c r="L869" t="str">
        <f>_xlfn.XLOOKUP(Table1[[#This Row],[EducationField]],Table7[EducationField],Table7[Id_EducationField])</f>
        <v>EF003</v>
      </c>
      <c r="M869" t="s">
        <v>42</v>
      </c>
      <c r="N869" t="str">
        <f>_xlfn.XLOOKUP(Table1[[#This Row],[EmployeeNumber]],Table4[EmployeeNumber],Table4[Id_Employee])</f>
        <v>EMP00868</v>
      </c>
      <c r="O869">
        <v>1215</v>
      </c>
      <c r="P869" t="str">
        <f>_xlfn.XLOOKUP(Table1[[#This Row],[EnvironmentSatisfaction]],Table9[EnvironmentSatisfaction],Table9[Id_EnviromentSatisfaction])</f>
        <v>ES004</v>
      </c>
      <c r="Q869">
        <v>4</v>
      </c>
      <c r="R869" t="str">
        <f>_xlfn.XLOOKUP(Table1[[#This Row],[EnvironmentSatisfaction]],Table9[EnvironmentSatisfaction],Table9[Deskripsi])</f>
        <v>Very High</v>
      </c>
      <c r="S869" t="str">
        <f>_xlfn.XLOOKUP(Table1[[#This Row],[Gender]],Table10[Gender],Table10[Id_Gender])</f>
        <v>G001</v>
      </c>
      <c r="T869" t="s">
        <v>45</v>
      </c>
      <c r="U869">
        <v>30</v>
      </c>
      <c r="V869" t="str">
        <f>_xlfn.XLOOKUP(Table1[[#This Row],[JobInvolvement]],Table11[JobInvolvement],Table11[Id_JobInvolvement])</f>
        <v>JI003</v>
      </c>
      <c r="W869">
        <v>3</v>
      </c>
      <c r="X869" t="str">
        <f>_xlfn.XLOOKUP(Table1[[#This Row],[JobLevel]],Table12[JobLevel],Table12[Id_JobLevel])</f>
        <v>JL004</v>
      </c>
      <c r="Y869">
        <v>4</v>
      </c>
      <c r="Z869" t="str">
        <f>_xlfn.XLOOKUP(Table1[[#This Row],[JobRole]],Table13[JobRole],Table13[Id_JobRole])</f>
        <v>JR006</v>
      </c>
      <c r="AA869" t="s">
        <v>52</v>
      </c>
      <c r="AB869" t="str">
        <f>_xlfn.XLOOKUP(Table1[[#This Row],[JobSatisfaction]],Table14[JobSatisfaction],Table14[Id_JobSatisfaction])</f>
        <v>JS001</v>
      </c>
      <c r="AC869">
        <v>1</v>
      </c>
      <c r="AD869" t="str">
        <f>_xlfn.XLOOKUP(Table1[[#This Row],[JobSatisfaction]],Table14[JobSatisfaction],Table14[Deskripsi])</f>
        <v>Low</v>
      </c>
      <c r="AE869" t="str">
        <f>_xlfn.XLOOKUP(Table1[[#This Row],[MaritalStatus]],Table15[MaritalStatus],Table15[Id_MaritalStatus])</f>
        <v>MS002</v>
      </c>
      <c r="AF869" t="s">
        <v>56</v>
      </c>
      <c r="AG869">
        <v>17856</v>
      </c>
      <c r="AH869">
        <v>9490</v>
      </c>
      <c r="AI869">
        <v>2</v>
      </c>
      <c r="AJ869" t="str">
        <f>_xlfn.XLOOKUP(Table1[[#This Row],[OverTime]],Table16[OverTime],Table16[Id_OverTime])</f>
        <v>OT002</v>
      </c>
      <c r="AK869" t="s">
        <v>33</v>
      </c>
      <c r="AL869">
        <v>22</v>
      </c>
      <c r="AM869" t="str">
        <f>_xlfn.XLOOKUP(Table1[[#This Row],[PerformanceRating]],Table17[PerformanceRating],Table17[Id_PerformanceRating])</f>
        <v>PR004</v>
      </c>
      <c r="AN869">
        <v>4</v>
      </c>
      <c r="AO869" t="str">
        <f>_xlfn.XLOOKUP(Table1[[#This Row],[PerformanceRating]],Table17[PerformanceRating],Table17[Deskripsi])</f>
        <v>Outstanding</v>
      </c>
      <c r="AP869" t="str">
        <f>_xlfn.XLOOKUP(Table1[[#This Row],[RelationshipSatisfaction]],Table18[RelationshipSatisfaction],Table18[Id_RelationshipSatisfaction])</f>
        <v>RS003</v>
      </c>
      <c r="AQ869">
        <v>3</v>
      </c>
      <c r="AR869" t="str">
        <f>_xlfn.XLOOKUP(Table1[[#This Row],[RelationshipSatisfaction]],Table18[RelationshipSatisfaction],Table18[Deskripsi])</f>
        <v>High</v>
      </c>
      <c r="AS869" t="str">
        <f>_xlfn.XLOOKUP(Table1[[#This Row],[StockOptionLevel]],Table19[StockOptionLevel],Table19[Id_StockOptionLevel])</f>
        <v>SOL002</v>
      </c>
      <c r="AT869">
        <v>1</v>
      </c>
      <c r="AU869" t="str">
        <f>_xlfn.XLOOKUP(Table1[[#This Row],[StockOptionLevel]],Table19[StockOptionLevel],Table19[Deskripsi])</f>
        <v>Standard</v>
      </c>
      <c r="AV869">
        <v>32</v>
      </c>
      <c r="AW869">
        <v>3</v>
      </c>
      <c r="AX869" t="str">
        <f>_xlfn.XLOOKUP(Table1[[#This Row],[WorkLifeBalance]],Table20[WorkLifeBalance],Table20[Id_WorkLifeBalance])</f>
        <v>WLB002</v>
      </c>
      <c r="AY869">
        <v>3</v>
      </c>
      <c r="AZ869" t="str">
        <f>_xlfn.XLOOKUP(Table1[[#This Row],[WorkLifeBalance]],Table20[WorkLifeBalance],Table20[Deskripsi])</f>
        <v>Good</v>
      </c>
      <c r="BA869">
        <v>2</v>
      </c>
      <c r="BB869">
        <v>2</v>
      </c>
      <c r="BC869">
        <v>2</v>
      </c>
      <c r="BD869">
        <v>2</v>
      </c>
    </row>
    <row r="870" spans="1:56" x14ac:dyDescent="0.25">
      <c r="A870">
        <v>28</v>
      </c>
      <c r="B870" t="str">
        <f>_xlfn.XLOOKUP(Table1[[#This Row],[Attrition]],Table2[Attrition],Table2[Id_Attrition])</f>
        <v>A002</v>
      </c>
      <c r="C870" t="s">
        <v>33</v>
      </c>
      <c r="D870" t="str">
        <f>_xlfn.XLOOKUP(Table1[[#This Row],[BusinessTravel]],Table5[BusinessTravel],Table5[Id_BusinessTravel])</f>
        <v>BS001</v>
      </c>
      <c r="E870" t="s">
        <v>34</v>
      </c>
      <c r="F870">
        <v>1179</v>
      </c>
      <c r="G870" t="str">
        <f>_xlfn.XLOOKUP(Table1[[#This Row],[Department]],Table6[Department],Table6[Id_Departement])</f>
        <v>D002</v>
      </c>
      <c r="H870" t="s">
        <v>38</v>
      </c>
      <c r="I870">
        <v>19</v>
      </c>
      <c r="J870" t="str">
        <f>_xlfn.XLOOKUP(Table1[[#This Row],[Education]],Table8[Education],Table8[Id_Education])</f>
        <v>E004</v>
      </c>
      <c r="K870">
        <v>4</v>
      </c>
      <c r="L870" t="str">
        <f>_xlfn.XLOOKUP(Table1[[#This Row],[EducationField]],Table7[EducationField],Table7[Id_EducationField])</f>
        <v>EF003</v>
      </c>
      <c r="M870" t="s">
        <v>42</v>
      </c>
      <c r="N870" t="str">
        <f>_xlfn.XLOOKUP(Table1[[#This Row],[EmployeeNumber]],Table4[EmployeeNumber],Table4[Id_Employee])</f>
        <v>EMP00869</v>
      </c>
      <c r="O870">
        <v>1216</v>
      </c>
      <c r="P870" t="str">
        <f>_xlfn.XLOOKUP(Table1[[#This Row],[EnvironmentSatisfaction]],Table9[EnvironmentSatisfaction],Table9[Id_EnviromentSatisfaction])</f>
        <v>ES004</v>
      </c>
      <c r="Q870">
        <v>4</v>
      </c>
      <c r="R870" t="str">
        <f>_xlfn.XLOOKUP(Table1[[#This Row],[EnvironmentSatisfaction]],Table9[EnvironmentSatisfaction],Table9[Deskripsi])</f>
        <v>Very High</v>
      </c>
      <c r="S870" t="str">
        <f>_xlfn.XLOOKUP(Table1[[#This Row],[Gender]],Table10[Gender],Table10[Id_Gender])</f>
        <v>G002</v>
      </c>
      <c r="T870" t="s">
        <v>46</v>
      </c>
      <c r="U870">
        <v>78</v>
      </c>
      <c r="V870" t="str">
        <f>_xlfn.XLOOKUP(Table1[[#This Row],[JobInvolvement]],Table11[JobInvolvement],Table11[Id_JobInvolvement])</f>
        <v>JI002</v>
      </c>
      <c r="W870">
        <v>2</v>
      </c>
      <c r="X870" t="str">
        <f>_xlfn.XLOOKUP(Table1[[#This Row],[JobLevel]],Table12[JobLevel],Table12[Id_JobLevel])</f>
        <v>JL001</v>
      </c>
      <c r="Y870">
        <v>1</v>
      </c>
      <c r="Z870" t="str">
        <f>_xlfn.XLOOKUP(Table1[[#This Row],[JobRole]],Table13[JobRole],Table13[Id_JobRole])</f>
        <v>JR003</v>
      </c>
      <c r="AA870" t="s">
        <v>49</v>
      </c>
      <c r="AB870" t="str">
        <f>_xlfn.XLOOKUP(Table1[[#This Row],[JobSatisfaction]],Table14[JobSatisfaction],Table14[Id_JobSatisfaction])</f>
        <v>JS001</v>
      </c>
      <c r="AC870">
        <v>1</v>
      </c>
      <c r="AD870" t="str">
        <f>_xlfn.XLOOKUP(Table1[[#This Row],[JobSatisfaction]],Table14[JobSatisfaction],Table14[Deskripsi])</f>
        <v>Low</v>
      </c>
      <c r="AE870" t="str">
        <f>_xlfn.XLOOKUP(Table1[[#This Row],[MaritalStatus]],Table15[MaritalStatus],Table15[Id_MaritalStatus])</f>
        <v>MS002</v>
      </c>
      <c r="AF870" t="s">
        <v>56</v>
      </c>
      <c r="AG870">
        <v>3196</v>
      </c>
      <c r="AH870">
        <v>12449</v>
      </c>
      <c r="AI870">
        <v>1</v>
      </c>
      <c r="AJ870" t="str">
        <f>_xlfn.XLOOKUP(Table1[[#This Row],[OverTime]],Table16[OverTime],Table16[Id_OverTime])</f>
        <v>OT002</v>
      </c>
      <c r="AK870" t="s">
        <v>33</v>
      </c>
      <c r="AL870">
        <v>12</v>
      </c>
      <c r="AM870" t="str">
        <f>_xlfn.XLOOKUP(Table1[[#This Row],[PerformanceRating]],Table17[PerformanceRating],Table17[Id_PerformanceRating])</f>
        <v>PR003</v>
      </c>
      <c r="AN870">
        <v>3</v>
      </c>
      <c r="AO870" t="str">
        <f>_xlfn.XLOOKUP(Table1[[#This Row],[PerformanceRating]],Table17[PerformanceRating],Table17[Deskripsi])</f>
        <v>Excellent</v>
      </c>
      <c r="AP870" t="str">
        <f>_xlfn.XLOOKUP(Table1[[#This Row],[RelationshipSatisfaction]],Table18[RelationshipSatisfaction],Table18[Id_RelationshipSatisfaction])</f>
        <v>RS003</v>
      </c>
      <c r="AQ870">
        <v>3</v>
      </c>
      <c r="AR870" t="str">
        <f>_xlfn.XLOOKUP(Table1[[#This Row],[RelationshipSatisfaction]],Table18[RelationshipSatisfaction],Table18[Deskripsi])</f>
        <v>High</v>
      </c>
      <c r="AS870" t="str">
        <f>_xlfn.XLOOKUP(Table1[[#This Row],[StockOptionLevel]],Table19[StockOptionLevel],Table19[Id_StockOptionLevel])</f>
        <v>SOL004</v>
      </c>
      <c r="AT870">
        <v>3</v>
      </c>
      <c r="AU870" t="str">
        <f>_xlfn.XLOOKUP(Table1[[#This Row],[StockOptionLevel]],Table19[StockOptionLevel],Table19[Deskripsi])</f>
        <v>Senior/Executive</v>
      </c>
      <c r="AV870">
        <v>6</v>
      </c>
      <c r="AW870">
        <v>2</v>
      </c>
      <c r="AX870" t="str">
        <f>_xlfn.XLOOKUP(Table1[[#This Row],[WorkLifeBalance]],Table20[WorkLifeBalance],Table20[Id_WorkLifeBalance])</f>
        <v>WLB002</v>
      </c>
      <c r="AY870">
        <v>3</v>
      </c>
      <c r="AZ870" t="str">
        <f>_xlfn.XLOOKUP(Table1[[#This Row],[WorkLifeBalance]],Table20[WorkLifeBalance],Table20[Deskripsi])</f>
        <v>Good</v>
      </c>
      <c r="BA870">
        <v>6</v>
      </c>
      <c r="BB870">
        <v>5</v>
      </c>
      <c r="BC870">
        <v>3</v>
      </c>
      <c r="BD870">
        <v>3</v>
      </c>
    </row>
    <row r="871" spans="1:56" x14ac:dyDescent="0.25">
      <c r="A871">
        <v>46</v>
      </c>
      <c r="B871" t="str">
        <f>_xlfn.XLOOKUP(Table1[[#This Row],[Attrition]],Table2[Attrition],Table2[Id_Attrition])</f>
        <v>A002</v>
      </c>
      <c r="C871" t="s">
        <v>33</v>
      </c>
      <c r="D871" t="str">
        <f>_xlfn.XLOOKUP(Table1[[#This Row],[BusinessTravel]],Table5[BusinessTravel],Table5[Id_BusinessTravel])</f>
        <v>BS001</v>
      </c>
      <c r="E871" t="s">
        <v>34</v>
      </c>
      <c r="F871">
        <v>1450</v>
      </c>
      <c r="G871" t="str">
        <f>_xlfn.XLOOKUP(Table1[[#This Row],[Department]],Table6[Department],Table6[Id_Departement])</f>
        <v>D002</v>
      </c>
      <c r="H871" t="s">
        <v>38</v>
      </c>
      <c r="I871">
        <v>15</v>
      </c>
      <c r="J871" t="str">
        <f>_xlfn.XLOOKUP(Table1[[#This Row],[Education]],Table8[Education],Table8[Id_Education])</f>
        <v>E002</v>
      </c>
      <c r="K871">
        <v>2</v>
      </c>
      <c r="L871" t="str">
        <f>_xlfn.XLOOKUP(Table1[[#This Row],[EducationField]],Table7[EducationField],Table7[Id_EducationField])</f>
        <v>EF001</v>
      </c>
      <c r="M871" t="s">
        <v>40</v>
      </c>
      <c r="N871" t="str">
        <f>_xlfn.XLOOKUP(Table1[[#This Row],[EmployeeNumber]],Table4[EmployeeNumber],Table4[Id_Employee])</f>
        <v>EMP00870</v>
      </c>
      <c r="O871">
        <v>1217</v>
      </c>
      <c r="P871" t="str">
        <f>_xlfn.XLOOKUP(Table1[[#This Row],[EnvironmentSatisfaction]],Table9[EnvironmentSatisfaction],Table9[Id_EnviromentSatisfaction])</f>
        <v>ES004</v>
      </c>
      <c r="Q871">
        <v>4</v>
      </c>
      <c r="R871" t="str">
        <f>_xlfn.XLOOKUP(Table1[[#This Row],[EnvironmentSatisfaction]],Table9[EnvironmentSatisfaction],Table9[Deskripsi])</f>
        <v>Very High</v>
      </c>
      <c r="S871" t="str">
        <f>_xlfn.XLOOKUP(Table1[[#This Row],[Gender]],Table10[Gender],Table10[Id_Gender])</f>
        <v>G002</v>
      </c>
      <c r="T871" t="s">
        <v>46</v>
      </c>
      <c r="U871">
        <v>52</v>
      </c>
      <c r="V871" t="str">
        <f>_xlfn.XLOOKUP(Table1[[#This Row],[JobInvolvement]],Table11[JobInvolvement],Table11[Id_JobInvolvement])</f>
        <v>JI003</v>
      </c>
      <c r="W871">
        <v>3</v>
      </c>
      <c r="X871" t="str">
        <f>_xlfn.XLOOKUP(Table1[[#This Row],[JobLevel]],Table12[JobLevel],Table12[Id_JobLevel])</f>
        <v>JL005</v>
      </c>
      <c r="Y871">
        <v>5</v>
      </c>
      <c r="Z871" t="str">
        <f>_xlfn.XLOOKUP(Table1[[#This Row],[JobRole]],Table13[JobRole],Table13[Id_JobRole])</f>
        <v>JR008</v>
      </c>
      <c r="AA871" t="s">
        <v>54</v>
      </c>
      <c r="AB871" t="str">
        <f>_xlfn.XLOOKUP(Table1[[#This Row],[JobSatisfaction]],Table14[JobSatisfaction],Table14[Id_JobSatisfaction])</f>
        <v>JS002</v>
      </c>
      <c r="AC871">
        <v>2</v>
      </c>
      <c r="AD871" t="str">
        <f>_xlfn.XLOOKUP(Table1[[#This Row],[JobSatisfaction]],Table14[JobSatisfaction],Table14[Deskripsi])</f>
        <v>Medium</v>
      </c>
      <c r="AE871" t="str">
        <f>_xlfn.XLOOKUP(Table1[[#This Row],[MaritalStatus]],Table15[MaritalStatus],Table15[Id_MaritalStatus])</f>
        <v>MS002</v>
      </c>
      <c r="AF871" t="s">
        <v>56</v>
      </c>
      <c r="AG871">
        <v>19081</v>
      </c>
      <c r="AH871">
        <v>10849</v>
      </c>
      <c r="AI871">
        <v>5</v>
      </c>
      <c r="AJ871" t="str">
        <f>_xlfn.XLOOKUP(Table1[[#This Row],[OverTime]],Table16[OverTime],Table16[Id_OverTime])</f>
        <v>OT002</v>
      </c>
      <c r="AK871" t="s">
        <v>33</v>
      </c>
      <c r="AL871">
        <v>11</v>
      </c>
      <c r="AM871" t="str">
        <f>_xlfn.XLOOKUP(Table1[[#This Row],[PerformanceRating]],Table17[PerformanceRating],Table17[Id_PerformanceRating])</f>
        <v>PR003</v>
      </c>
      <c r="AN871">
        <v>3</v>
      </c>
      <c r="AO871" t="str">
        <f>_xlfn.XLOOKUP(Table1[[#This Row],[PerformanceRating]],Table17[PerformanceRating],Table17[Deskripsi])</f>
        <v>Excellent</v>
      </c>
      <c r="AP871" t="str">
        <f>_xlfn.XLOOKUP(Table1[[#This Row],[RelationshipSatisfaction]],Table18[RelationshipSatisfaction],Table18[Id_RelationshipSatisfaction])</f>
        <v>RS001</v>
      </c>
      <c r="AQ871">
        <v>1</v>
      </c>
      <c r="AR871" t="str">
        <f>_xlfn.XLOOKUP(Table1[[#This Row],[RelationshipSatisfaction]],Table18[RelationshipSatisfaction],Table18[Deskripsi])</f>
        <v>Low</v>
      </c>
      <c r="AS871" t="str">
        <f>_xlfn.XLOOKUP(Table1[[#This Row],[StockOptionLevel]],Table19[StockOptionLevel],Table19[Id_StockOptionLevel])</f>
        <v>SOL002</v>
      </c>
      <c r="AT871">
        <v>1</v>
      </c>
      <c r="AU871" t="str">
        <f>_xlfn.XLOOKUP(Table1[[#This Row],[StockOptionLevel]],Table19[StockOptionLevel],Table19[Deskripsi])</f>
        <v>Standard</v>
      </c>
      <c r="AV871">
        <v>25</v>
      </c>
      <c r="AW871">
        <v>2</v>
      </c>
      <c r="AX871" t="str">
        <f>_xlfn.XLOOKUP(Table1[[#This Row],[WorkLifeBalance]],Table20[WorkLifeBalance],Table20[Id_WorkLifeBalance])</f>
        <v>WLB002</v>
      </c>
      <c r="AY871">
        <v>3</v>
      </c>
      <c r="AZ871" t="str">
        <f>_xlfn.XLOOKUP(Table1[[#This Row],[WorkLifeBalance]],Table20[WorkLifeBalance],Table20[Deskripsi])</f>
        <v>Good</v>
      </c>
      <c r="BA871">
        <v>4</v>
      </c>
      <c r="BB871">
        <v>2</v>
      </c>
      <c r="BC871">
        <v>0</v>
      </c>
      <c r="BD871">
        <v>3</v>
      </c>
    </row>
    <row r="872" spans="1:56" x14ac:dyDescent="0.25">
      <c r="A872">
        <v>35</v>
      </c>
      <c r="B872" t="str">
        <f>_xlfn.XLOOKUP(Table1[[#This Row],[Attrition]],Table2[Attrition],Table2[Id_Attrition])</f>
        <v>A002</v>
      </c>
      <c r="C872" t="s">
        <v>33</v>
      </c>
      <c r="D872" t="str">
        <f>_xlfn.XLOOKUP(Table1[[#This Row],[BusinessTravel]],Table5[BusinessTravel],Table5[Id_BusinessTravel])</f>
        <v>BS001</v>
      </c>
      <c r="E872" t="s">
        <v>34</v>
      </c>
      <c r="F872">
        <v>1361</v>
      </c>
      <c r="G872" t="str">
        <f>_xlfn.XLOOKUP(Table1[[#This Row],[Department]],Table6[Department],Table6[Id_Departement])</f>
        <v>D001</v>
      </c>
      <c r="H872" t="s">
        <v>37</v>
      </c>
      <c r="I872">
        <v>17</v>
      </c>
      <c r="J872" t="str">
        <f>_xlfn.XLOOKUP(Table1[[#This Row],[Education]],Table8[Education],Table8[Id_Education])</f>
        <v>E004</v>
      </c>
      <c r="K872">
        <v>4</v>
      </c>
      <c r="L872" t="str">
        <f>_xlfn.XLOOKUP(Table1[[#This Row],[EducationField]],Table7[EducationField],Table7[Id_EducationField])</f>
        <v>EF001</v>
      </c>
      <c r="M872" t="s">
        <v>40</v>
      </c>
      <c r="N872" t="str">
        <f>_xlfn.XLOOKUP(Table1[[#This Row],[EmployeeNumber]],Table4[EmployeeNumber],Table4[Id_Employee])</f>
        <v>EMP00871</v>
      </c>
      <c r="O872">
        <v>1218</v>
      </c>
      <c r="P872" t="str">
        <f>_xlfn.XLOOKUP(Table1[[#This Row],[EnvironmentSatisfaction]],Table9[EnvironmentSatisfaction],Table9[Id_EnviromentSatisfaction])</f>
        <v>ES003</v>
      </c>
      <c r="Q872">
        <v>3</v>
      </c>
      <c r="R872" t="str">
        <f>_xlfn.XLOOKUP(Table1[[#This Row],[EnvironmentSatisfaction]],Table9[EnvironmentSatisfaction],Table9[Deskripsi])</f>
        <v>High</v>
      </c>
      <c r="S872" t="str">
        <f>_xlfn.XLOOKUP(Table1[[#This Row],[Gender]],Table10[Gender],Table10[Id_Gender])</f>
        <v>G002</v>
      </c>
      <c r="T872" t="s">
        <v>46</v>
      </c>
      <c r="U872">
        <v>94</v>
      </c>
      <c r="V872" t="str">
        <f>_xlfn.XLOOKUP(Table1[[#This Row],[JobInvolvement]],Table11[JobInvolvement],Table11[Id_JobInvolvement])</f>
        <v>JI003</v>
      </c>
      <c r="W872">
        <v>3</v>
      </c>
      <c r="X872" t="str">
        <f>_xlfn.XLOOKUP(Table1[[#This Row],[JobLevel]],Table12[JobLevel],Table12[Id_JobLevel])</f>
        <v>JL002</v>
      </c>
      <c r="Y872">
        <v>2</v>
      </c>
      <c r="Z872" t="str">
        <f>_xlfn.XLOOKUP(Table1[[#This Row],[JobRole]],Table13[JobRole],Table13[Id_JobRole])</f>
        <v>JR001</v>
      </c>
      <c r="AA872" t="s">
        <v>47</v>
      </c>
      <c r="AB872" t="str">
        <f>_xlfn.XLOOKUP(Table1[[#This Row],[JobSatisfaction]],Table14[JobSatisfaction],Table14[Id_JobSatisfaction])</f>
        <v>JS001</v>
      </c>
      <c r="AC872">
        <v>1</v>
      </c>
      <c r="AD872" t="str">
        <f>_xlfn.XLOOKUP(Table1[[#This Row],[JobSatisfaction]],Table14[JobSatisfaction],Table14[Deskripsi])</f>
        <v>Low</v>
      </c>
      <c r="AE872" t="str">
        <f>_xlfn.XLOOKUP(Table1[[#This Row],[MaritalStatus]],Table15[MaritalStatus],Table15[Id_MaritalStatus])</f>
        <v>MS002</v>
      </c>
      <c r="AF872" t="s">
        <v>56</v>
      </c>
      <c r="AG872">
        <v>8966</v>
      </c>
      <c r="AH872">
        <v>21026</v>
      </c>
      <c r="AI872">
        <v>3</v>
      </c>
      <c r="AJ872" t="str">
        <f>_xlfn.XLOOKUP(Table1[[#This Row],[OverTime]],Table16[OverTime],Table16[Id_OverTime])</f>
        <v>OT001</v>
      </c>
      <c r="AK872" t="s">
        <v>32</v>
      </c>
      <c r="AL872">
        <v>15</v>
      </c>
      <c r="AM872" t="str">
        <f>_xlfn.XLOOKUP(Table1[[#This Row],[PerformanceRating]],Table17[PerformanceRating],Table17[Id_PerformanceRating])</f>
        <v>PR003</v>
      </c>
      <c r="AN872">
        <v>3</v>
      </c>
      <c r="AO872" t="str">
        <f>_xlfn.XLOOKUP(Table1[[#This Row],[PerformanceRating]],Table17[PerformanceRating],Table17[Deskripsi])</f>
        <v>Excellent</v>
      </c>
      <c r="AP872" t="str">
        <f>_xlfn.XLOOKUP(Table1[[#This Row],[RelationshipSatisfaction]],Table18[RelationshipSatisfaction],Table18[Id_RelationshipSatisfaction])</f>
        <v>RS004</v>
      </c>
      <c r="AQ872">
        <v>4</v>
      </c>
      <c r="AR872" t="str">
        <f>_xlfn.XLOOKUP(Table1[[#This Row],[RelationshipSatisfaction]],Table18[RelationshipSatisfaction],Table18[Deskripsi])</f>
        <v>Very High</v>
      </c>
      <c r="AS872" t="str">
        <f>_xlfn.XLOOKUP(Table1[[#This Row],[StockOptionLevel]],Table19[StockOptionLevel],Table19[Id_StockOptionLevel])</f>
        <v>SOL004</v>
      </c>
      <c r="AT872">
        <v>3</v>
      </c>
      <c r="AU872" t="str">
        <f>_xlfn.XLOOKUP(Table1[[#This Row],[StockOptionLevel]],Table19[StockOptionLevel],Table19[Deskripsi])</f>
        <v>Senior/Executive</v>
      </c>
      <c r="AV872">
        <v>15</v>
      </c>
      <c r="AW872">
        <v>2</v>
      </c>
      <c r="AX872" t="str">
        <f>_xlfn.XLOOKUP(Table1[[#This Row],[WorkLifeBalance]],Table20[WorkLifeBalance],Table20[Id_WorkLifeBalance])</f>
        <v>WLB002</v>
      </c>
      <c r="AY872">
        <v>3</v>
      </c>
      <c r="AZ872" t="str">
        <f>_xlfn.XLOOKUP(Table1[[#This Row],[WorkLifeBalance]],Table20[WorkLifeBalance],Table20[Deskripsi])</f>
        <v>Good</v>
      </c>
      <c r="BA872">
        <v>7</v>
      </c>
      <c r="BB872">
        <v>7</v>
      </c>
      <c r="BC872">
        <v>1</v>
      </c>
      <c r="BD872">
        <v>7</v>
      </c>
    </row>
    <row r="873" spans="1:56" x14ac:dyDescent="0.25">
      <c r="A873">
        <v>24</v>
      </c>
      <c r="B873" t="str">
        <f>_xlfn.XLOOKUP(Table1[[#This Row],[Attrition]],Table2[Attrition],Table2[Id_Attrition])</f>
        <v>A001</v>
      </c>
      <c r="C873" t="s">
        <v>32</v>
      </c>
      <c r="D873" t="str">
        <f>_xlfn.XLOOKUP(Table1[[#This Row],[BusinessTravel]],Table5[BusinessTravel],Table5[Id_BusinessTravel])</f>
        <v>BS001</v>
      </c>
      <c r="E873" t="s">
        <v>34</v>
      </c>
      <c r="F873">
        <v>984</v>
      </c>
      <c r="G873" t="str">
        <f>_xlfn.XLOOKUP(Table1[[#This Row],[Department]],Table6[Department],Table6[Id_Departement])</f>
        <v>D002</v>
      </c>
      <c r="H873" t="s">
        <v>38</v>
      </c>
      <c r="I873">
        <v>17</v>
      </c>
      <c r="J873" t="str">
        <f>_xlfn.XLOOKUP(Table1[[#This Row],[Education]],Table8[Education],Table8[Id_Education])</f>
        <v>E002</v>
      </c>
      <c r="K873">
        <v>2</v>
      </c>
      <c r="L873" t="str">
        <f>_xlfn.XLOOKUP(Table1[[#This Row],[EducationField]],Table7[EducationField],Table7[Id_EducationField])</f>
        <v>EF001</v>
      </c>
      <c r="M873" t="s">
        <v>40</v>
      </c>
      <c r="N873" t="str">
        <f>_xlfn.XLOOKUP(Table1[[#This Row],[EmployeeNumber]],Table4[EmployeeNumber],Table4[Id_Employee])</f>
        <v>EMP00872</v>
      </c>
      <c r="O873">
        <v>1219</v>
      </c>
      <c r="P873" t="str">
        <f>_xlfn.XLOOKUP(Table1[[#This Row],[EnvironmentSatisfaction]],Table9[EnvironmentSatisfaction],Table9[Id_EnviromentSatisfaction])</f>
        <v>ES004</v>
      </c>
      <c r="Q873">
        <v>4</v>
      </c>
      <c r="R873" t="str">
        <f>_xlfn.XLOOKUP(Table1[[#This Row],[EnvironmentSatisfaction]],Table9[EnvironmentSatisfaction],Table9[Deskripsi])</f>
        <v>Very High</v>
      </c>
      <c r="S873" t="str">
        <f>_xlfn.XLOOKUP(Table1[[#This Row],[Gender]],Table10[Gender],Table10[Id_Gender])</f>
        <v>G001</v>
      </c>
      <c r="T873" t="s">
        <v>45</v>
      </c>
      <c r="U873">
        <v>97</v>
      </c>
      <c r="V873" t="str">
        <f>_xlfn.XLOOKUP(Table1[[#This Row],[JobInvolvement]],Table11[JobInvolvement],Table11[Id_JobInvolvement])</f>
        <v>JI003</v>
      </c>
      <c r="W873">
        <v>3</v>
      </c>
      <c r="X873" t="str">
        <f>_xlfn.XLOOKUP(Table1[[#This Row],[JobLevel]],Table12[JobLevel],Table12[Id_JobLevel])</f>
        <v>JL001</v>
      </c>
      <c r="Y873">
        <v>1</v>
      </c>
      <c r="Z873" t="str">
        <f>_xlfn.XLOOKUP(Table1[[#This Row],[JobRole]],Table13[JobRole],Table13[Id_JobRole])</f>
        <v>JR003</v>
      </c>
      <c r="AA873" t="s">
        <v>49</v>
      </c>
      <c r="AB873" t="str">
        <f>_xlfn.XLOOKUP(Table1[[#This Row],[JobSatisfaction]],Table14[JobSatisfaction],Table14[Id_JobSatisfaction])</f>
        <v>JS002</v>
      </c>
      <c r="AC873">
        <v>2</v>
      </c>
      <c r="AD873" t="str">
        <f>_xlfn.XLOOKUP(Table1[[#This Row],[JobSatisfaction]],Table14[JobSatisfaction],Table14[Deskripsi])</f>
        <v>Medium</v>
      </c>
      <c r="AE873" t="str">
        <f>_xlfn.XLOOKUP(Table1[[#This Row],[MaritalStatus]],Table15[MaritalStatus],Table15[Id_MaritalStatus])</f>
        <v>MS002</v>
      </c>
      <c r="AF873" t="s">
        <v>56</v>
      </c>
      <c r="AG873">
        <v>2210</v>
      </c>
      <c r="AH873">
        <v>3372</v>
      </c>
      <c r="AI873">
        <v>1</v>
      </c>
      <c r="AJ873" t="str">
        <f>_xlfn.XLOOKUP(Table1[[#This Row],[OverTime]],Table16[OverTime],Table16[Id_OverTime])</f>
        <v>OT002</v>
      </c>
      <c r="AK873" t="s">
        <v>33</v>
      </c>
      <c r="AL873">
        <v>13</v>
      </c>
      <c r="AM873" t="str">
        <f>_xlfn.XLOOKUP(Table1[[#This Row],[PerformanceRating]],Table17[PerformanceRating],Table17[Id_PerformanceRating])</f>
        <v>PR003</v>
      </c>
      <c r="AN873">
        <v>3</v>
      </c>
      <c r="AO873" t="str">
        <f>_xlfn.XLOOKUP(Table1[[#This Row],[PerformanceRating]],Table17[PerformanceRating],Table17[Deskripsi])</f>
        <v>Excellent</v>
      </c>
      <c r="AP873" t="str">
        <f>_xlfn.XLOOKUP(Table1[[#This Row],[RelationshipSatisfaction]],Table18[RelationshipSatisfaction],Table18[Id_RelationshipSatisfaction])</f>
        <v>RS001</v>
      </c>
      <c r="AQ873">
        <v>1</v>
      </c>
      <c r="AR873" t="str">
        <f>_xlfn.XLOOKUP(Table1[[#This Row],[RelationshipSatisfaction]],Table18[RelationshipSatisfaction],Table18[Deskripsi])</f>
        <v>Low</v>
      </c>
      <c r="AS873" t="str">
        <f>_xlfn.XLOOKUP(Table1[[#This Row],[StockOptionLevel]],Table19[StockOptionLevel],Table19[Id_StockOptionLevel])</f>
        <v>SOL002</v>
      </c>
      <c r="AT873">
        <v>1</v>
      </c>
      <c r="AU873" t="str">
        <f>_xlfn.XLOOKUP(Table1[[#This Row],[StockOptionLevel]],Table19[StockOptionLevel],Table19[Deskripsi])</f>
        <v>Standard</v>
      </c>
      <c r="AV873">
        <v>1</v>
      </c>
      <c r="AW873">
        <v>3</v>
      </c>
      <c r="AX873" t="str">
        <f>_xlfn.XLOOKUP(Table1[[#This Row],[WorkLifeBalance]],Table20[WorkLifeBalance],Table20[Id_WorkLifeBalance])</f>
        <v>WLB001</v>
      </c>
      <c r="AY873">
        <v>1</v>
      </c>
      <c r="AZ873" t="str">
        <f>_xlfn.XLOOKUP(Table1[[#This Row],[WorkLifeBalance]],Table20[WorkLifeBalance],Table20[Deskripsi])</f>
        <v>Bad</v>
      </c>
      <c r="BA873">
        <v>1</v>
      </c>
      <c r="BB873">
        <v>0</v>
      </c>
      <c r="BC873">
        <v>0</v>
      </c>
      <c r="BD873">
        <v>0</v>
      </c>
    </row>
    <row r="874" spans="1:56" x14ac:dyDescent="0.25">
      <c r="A874">
        <v>33</v>
      </c>
      <c r="B874" t="str">
        <f>_xlfn.XLOOKUP(Table1[[#This Row],[Attrition]],Table2[Attrition],Table2[Id_Attrition])</f>
        <v>A002</v>
      </c>
      <c r="C874" t="s">
        <v>33</v>
      </c>
      <c r="D874" t="str">
        <f>_xlfn.XLOOKUP(Table1[[#This Row],[BusinessTravel]],Table5[BusinessTravel],Table5[Id_BusinessTravel])</f>
        <v>BS002</v>
      </c>
      <c r="E874" t="s">
        <v>35</v>
      </c>
      <c r="F874">
        <v>1146</v>
      </c>
      <c r="G874" t="str">
        <f>_xlfn.XLOOKUP(Table1[[#This Row],[Department]],Table6[Department],Table6[Id_Departement])</f>
        <v>D001</v>
      </c>
      <c r="H874" t="s">
        <v>37</v>
      </c>
      <c r="I874">
        <v>25</v>
      </c>
      <c r="J874" t="str">
        <f>_xlfn.XLOOKUP(Table1[[#This Row],[Education]],Table8[Education],Table8[Id_Education])</f>
        <v>E003</v>
      </c>
      <c r="K874">
        <v>3</v>
      </c>
      <c r="L874" t="str">
        <f>_xlfn.XLOOKUP(Table1[[#This Row],[EducationField]],Table7[EducationField],Table7[Id_EducationField])</f>
        <v>EF003</v>
      </c>
      <c r="M874" t="s">
        <v>42</v>
      </c>
      <c r="N874" t="str">
        <f>_xlfn.XLOOKUP(Table1[[#This Row],[EmployeeNumber]],Table4[EmployeeNumber],Table4[Id_Employee])</f>
        <v>EMP00873</v>
      </c>
      <c r="O874">
        <v>1220</v>
      </c>
      <c r="P874" t="str">
        <f>_xlfn.XLOOKUP(Table1[[#This Row],[EnvironmentSatisfaction]],Table9[EnvironmentSatisfaction],Table9[Id_EnviromentSatisfaction])</f>
        <v>ES002</v>
      </c>
      <c r="Q874">
        <v>2</v>
      </c>
      <c r="R874" t="str">
        <f>_xlfn.XLOOKUP(Table1[[#This Row],[EnvironmentSatisfaction]],Table9[EnvironmentSatisfaction],Table9[Deskripsi])</f>
        <v>Medium</v>
      </c>
      <c r="S874" t="str">
        <f>_xlfn.XLOOKUP(Table1[[#This Row],[Gender]],Table10[Gender],Table10[Id_Gender])</f>
        <v>G001</v>
      </c>
      <c r="T874" t="s">
        <v>45</v>
      </c>
      <c r="U874">
        <v>82</v>
      </c>
      <c r="V874" t="str">
        <f>_xlfn.XLOOKUP(Table1[[#This Row],[JobInvolvement]],Table11[JobInvolvement],Table11[Id_JobInvolvement])</f>
        <v>JI003</v>
      </c>
      <c r="W874">
        <v>3</v>
      </c>
      <c r="X874" t="str">
        <f>_xlfn.XLOOKUP(Table1[[#This Row],[JobLevel]],Table12[JobLevel],Table12[Id_JobLevel])</f>
        <v>JL002</v>
      </c>
      <c r="Y874">
        <v>2</v>
      </c>
      <c r="Z874" t="str">
        <f>_xlfn.XLOOKUP(Table1[[#This Row],[JobRole]],Table13[JobRole],Table13[Id_JobRole])</f>
        <v>JR001</v>
      </c>
      <c r="AA874" t="s">
        <v>47</v>
      </c>
      <c r="AB874" t="str">
        <f>_xlfn.XLOOKUP(Table1[[#This Row],[JobSatisfaction]],Table14[JobSatisfaction],Table14[Id_JobSatisfaction])</f>
        <v>JS003</v>
      </c>
      <c r="AC874">
        <v>3</v>
      </c>
      <c r="AD874" t="str">
        <f>_xlfn.XLOOKUP(Table1[[#This Row],[JobSatisfaction]],Table14[JobSatisfaction],Table14[Deskripsi])</f>
        <v>High</v>
      </c>
      <c r="AE874" t="str">
        <f>_xlfn.XLOOKUP(Table1[[#This Row],[MaritalStatus]],Table15[MaritalStatus],Table15[Id_MaritalStatus])</f>
        <v>MS002</v>
      </c>
      <c r="AF874" t="s">
        <v>56</v>
      </c>
      <c r="AG874">
        <v>4539</v>
      </c>
      <c r="AH874">
        <v>4905</v>
      </c>
      <c r="AI874">
        <v>1</v>
      </c>
      <c r="AJ874" t="str">
        <f>_xlfn.XLOOKUP(Table1[[#This Row],[OverTime]],Table16[OverTime],Table16[Id_OverTime])</f>
        <v>OT002</v>
      </c>
      <c r="AK874" t="s">
        <v>33</v>
      </c>
      <c r="AL874">
        <v>12</v>
      </c>
      <c r="AM874" t="str">
        <f>_xlfn.XLOOKUP(Table1[[#This Row],[PerformanceRating]],Table17[PerformanceRating],Table17[Id_PerformanceRating])</f>
        <v>PR003</v>
      </c>
      <c r="AN874">
        <v>3</v>
      </c>
      <c r="AO874" t="str">
        <f>_xlfn.XLOOKUP(Table1[[#This Row],[PerformanceRating]],Table17[PerformanceRating],Table17[Deskripsi])</f>
        <v>Excellent</v>
      </c>
      <c r="AP874" t="str">
        <f>_xlfn.XLOOKUP(Table1[[#This Row],[RelationshipSatisfaction]],Table18[RelationshipSatisfaction],Table18[Id_RelationshipSatisfaction])</f>
        <v>RS001</v>
      </c>
      <c r="AQ874">
        <v>1</v>
      </c>
      <c r="AR874" t="str">
        <f>_xlfn.XLOOKUP(Table1[[#This Row],[RelationshipSatisfaction]],Table18[RelationshipSatisfaction],Table18[Deskripsi])</f>
        <v>Low</v>
      </c>
      <c r="AS874" t="str">
        <f>_xlfn.XLOOKUP(Table1[[#This Row],[StockOptionLevel]],Table19[StockOptionLevel],Table19[Id_StockOptionLevel])</f>
        <v>SOL002</v>
      </c>
      <c r="AT874">
        <v>1</v>
      </c>
      <c r="AU874" t="str">
        <f>_xlfn.XLOOKUP(Table1[[#This Row],[StockOptionLevel]],Table19[StockOptionLevel],Table19[Deskripsi])</f>
        <v>Standard</v>
      </c>
      <c r="AV874">
        <v>10</v>
      </c>
      <c r="AW874">
        <v>3</v>
      </c>
      <c r="AX874" t="str">
        <f>_xlfn.XLOOKUP(Table1[[#This Row],[WorkLifeBalance]],Table20[WorkLifeBalance],Table20[Id_WorkLifeBalance])</f>
        <v>WLB003</v>
      </c>
      <c r="AY874">
        <v>2</v>
      </c>
      <c r="AZ874" t="str">
        <f>_xlfn.XLOOKUP(Table1[[#This Row],[WorkLifeBalance]],Table20[WorkLifeBalance],Table20[Deskripsi])</f>
        <v>Better</v>
      </c>
      <c r="BA874">
        <v>10</v>
      </c>
      <c r="BB874">
        <v>7</v>
      </c>
      <c r="BC874">
        <v>0</v>
      </c>
      <c r="BD874">
        <v>1</v>
      </c>
    </row>
    <row r="875" spans="1:56" x14ac:dyDescent="0.25">
      <c r="A875">
        <v>36</v>
      </c>
      <c r="B875" t="str">
        <f>_xlfn.XLOOKUP(Table1[[#This Row],[Attrition]],Table2[Attrition],Table2[Id_Attrition])</f>
        <v>A002</v>
      </c>
      <c r="C875" t="s">
        <v>33</v>
      </c>
      <c r="D875" t="str">
        <f>_xlfn.XLOOKUP(Table1[[#This Row],[BusinessTravel]],Table5[BusinessTravel],Table5[Id_BusinessTravel])</f>
        <v>BS001</v>
      </c>
      <c r="E875" t="s">
        <v>34</v>
      </c>
      <c r="F875">
        <v>917</v>
      </c>
      <c r="G875" t="str">
        <f>_xlfn.XLOOKUP(Table1[[#This Row],[Department]],Table6[Department],Table6[Id_Departement])</f>
        <v>D002</v>
      </c>
      <c r="H875" t="s">
        <v>38</v>
      </c>
      <c r="I875">
        <v>6</v>
      </c>
      <c r="J875" t="str">
        <f>_xlfn.XLOOKUP(Table1[[#This Row],[Education]],Table8[Education],Table8[Id_Education])</f>
        <v>E004</v>
      </c>
      <c r="K875">
        <v>4</v>
      </c>
      <c r="L875" t="str">
        <f>_xlfn.XLOOKUP(Table1[[#This Row],[EducationField]],Table7[EducationField],Table7[Id_EducationField])</f>
        <v>EF001</v>
      </c>
      <c r="M875" t="s">
        <v>40</v>
      </c>
      <c r="N875" t="str">
        <f>_xlfn.XLOOKUP(Table1[[#This Row],[EmployeeNumber]],Table4[EmployeeNumber],Table4[Id_Employee])</f>
        <v>EMP00874</v>
      </c>
      <c r="O875">
        <v>1221</v>
      </c>
      <c r="P875" t="str">
        <f>_xlfn.XLOOKUP(Table1[[#This Row],[EnvironmentSatisfaction]],Table9[EnvironmentSatisfaction],Table9[Id_EnviromentSatisfaction])</f>
        <v>ES003</v>
      </c>
      <c r="Q875">
        <v>3</v>
      </c>
      <c r="R875" t="str">
        <f>_xlfn.XLOOKUP(Table1[[#This Row],[EnvironmentSatisfaction]],Table9[EnvironmentSatisfaction],Table9[Deskripsi])</f>
        <v>High</v>
      </c>
      <c r="S875" t="str">
        <f>_xlfn.XLOOKUP(Table1[[#This Row],[Gender]],Table10[Gender],Table10[Id_Gender])</f>
        <v>G002</v>
      </c>
      <c r="T875" t="s">
        <v>46</v>
      </c>
      <c r="U875">
        <v>60</v>
      </c>
      <c r="V875" t="str">
        <f>_xlfn.XLOOKUP(Table1[[#This Row],[JobInvolvement]],Table11[JobInvolvement],Table11[Id_JobInvolvement])</f>
        <v>JI001</v>
      </c>
      <c r="W875">
        <v>1</v>
      </c>
      <c r="X875" t="str">
        <f>_xlfn.XLOOKUP(Table1[[#This Row],[JobLevel]],Table12[JobLevel],Table12[Id_JobLevel])</f>
        <v>JL001</v>
      </c>
      <c r="Y875">
        <v>1</v>
      </c>
      <c r="Z875" t="str">
        <f>_xlfn.XLOOKUP(Table1[[#This Row],[JobRole]],Table13[JobRole],Table13[Id_JobRole])</f>
        <v>JR003</v>
      </c>
      <c r="AA875" t="s">
        <v>49</v>
      </c>
      <c r="AB875" t="str">
        <f>_xlfn.XLOOKUP(Table1[[#This Row],[JobSatisfaction]],Table14[JobSatisfaction],Table14[Id_JobSatisfaction])</f>
        <v>JS003</v>
      </c>
      <c r="AC875">
        <v>3</v>
      </c>
      <c r="AD875" t="str">
        <f>_xlfn.XLOOKUP(Table1[[#This Row],[JobSatisfaction]],Table14[JobSatisfaction],Table14[Deskripsi])</f>
        <v>High</v>
      </c>
      <c r="AE875" t="str">
        <f>_xlfn.XLOOKUP(Table1[[#This Row],[MaritalStatus]],Table15[MaritalStatus],Table15[Id_MaritalStatus])</f>
        <v>MS003</v>
      </c>
      <c r="AF875" t="s">
        <v>57</v>
      </c>
      <c r="AG875">
        <v>2741</v>
      </c>
      <c r="AH875">
        <v>6865</v>
      </c>
      <c r="AI875">
        <v>1</v>
      </c>
      <c r="AJ875" t="str">
        <f>_xlfn.XLOOKUP(Table1[[#This Row],[OverTime]],Table16[OverTime],Table16[Id_OverTime])</f>
        <v>OT002</v>
      </c>
      <c r="AK875" t="s">
        <v>33</v>
      </c>
      <c r="AL875">
        <v>14</v>
      </c>
      <c r="AM875" t="str">
        <f>_xlfn.XLOOKUP(Table1[[#This Row],[PerformanceRating]],Table17[PerformanceRating],Table17[Id_PerformanceRating])</f>
        <v>PR003</v>
      </c>
      <c r="AN875">
        <v>3</v>
      </c>
      <c r="AO875" t="str">
        <f>_xlfn.XLOOKUP(Table1[[#This Row],[PerformanceRating]],Table17[PerformanceRating],Table17[Deskripsi])</f>
        <v>Excellent</v>
      </c>
      <c r="AP875" t="str">
        <f>_xlfn.XLOOKUP(Table1[[#This Row],[RelationshipSatisfaction]],Table18[RelationshipSatisfaction],Table18[Id_RelationshipSatisfaction])</f>
        <v>RS003</v>
      </c>
      <c r="AQ875">
        <v>3</v>
      </c>
      <c r="AR875" t="str">
        <f>_xlfn.XLOOKUP(Table1[[#This Row],[RelationshipSatisfaction]],Table18[RelationshipSatisfaction],Table18[Deskripsi])</f>
        <v>High</v>
      </c>
      <c r="AS875" t="str">
        <f>_xlfn.XLOOKUP(Table1[[#This Row],[StockOptionLevel]],Table19[StockOptionLevel],Table19[Id_StockOptionLevel])</f>
        <v>SOL002</v>
      </c>
      <c r="AT875">
        <v>1</v>
      </c>
      <c r="AU875" t="str">
        <f>_xlfn.XLOOKUP(Table1[[#This Row],[StockOptionLevel]],Table19[StockOptionLevel],Table19[Deskripsi])</f>
        <v>Standard</v>
      </c>
      <c r="AV875">
        <v>7</v>
      </c>
      <c r="AW875">
        <v>4</v>
      </c>
      <c r="AX875" t="str">
        <f>_xlfn.XLOOKUP(Table1[[#This Row],[WorkLifeBalance]],Table20[WorkLifeBalance],Table20[Id_WorkLifeBalance])</f>
        <v>WLB002</v>
      </c>
      <c r="AY875">
        <v>3</v>
      </c>
      <c r="AZ875" t="str">
        <f>_xlfn.XLOOKUP(Table1[[#This Row],[WorkLifeBalance]],Table20[WorkLifeBalance],Table20[Deskripsi])</f>
        <v>Good</v>
      </c>
      <c r="BA875">
        <v>7</v>
      </c>
      <c r="BB875">
        <v>7</v>
      </c>
      <c r="BC875">
        <v>1</v>
      </c>
      <c r="BD875">
        <v>7</v>
      </c>
    </row>
    <row r="876" spans="1:56" x14ac:dyDescent="0.25">
      <c r="A876">
        <v>30</v>
      </c>
      <c r="B876" t="str">
        <f>_xlfn.XLOOKUP(Table1[[#This Row],[Attrition]],Table2[Attrition],Table2[Id_Attrition])</f>
        <v>A002</v>
      </c>
      <c r="C876" t="s">
        <v>33</v>
      </c>
      <c r="D876" t="str">
        <f>_xlfn.XLOOKUP(Table1[[#This Row],[BusinessTravel]],Table5[BusinessTravel],Table5[Id_BusinessTravel])</f>
        <v>BS001</v>
      </c>
      <c r="E876" t="s">
        <v>34</v>
      </c>
      <c r="F876">
        <v>853</v>
      </c>
      <c r="G876" t="str">
        <f>_xlfn.XLOOKUP(Table1[[#This Row],[Department]],Table6[Department],Table6[Id_Departement])</f>
        <v>D002</v>
      </c>
      <c r="H876" t="s">
        <v>38</v>
      </c>
      <c r="I876">
        <v>7</v>
      </c>
      <c r="J876" t="str">
        <f>_xlfn.XLOOKUP(Table1[[#This Row],[Education]],Table8[Education],Table8[Id_Education])</f>
        <v>E004</v>
      </c>
      <c r="K876">
        <v>4</v>
      </c>
      <c r="L876" t="str">
        <f>_xlfn.XLOOKUP(Table1[[#This Row],[EducationField]],Table7[EducationField],Table7[Id_EducationField])</f>
        <v>EF001</v>
      </c>
      <c r="M876" t="s">
        <v>40</v>
      </c>
      <c r="N876" t="str">
        <f>_xlfn.XLOOKUP(Table1[[#This Row],[EmployeeNumber]],Table4[EmployeeNumber],Table4[Id_Employee])</f>
        <v>EMP00875</v>
      </c>
      <c r="O876">
        <v>1224</v>
      </c>
      <c r="P876" t="str">
        <f>_xlfn.XLOOKUP(Table1[[#This Row],[EnvironmentSatisfaction]],Table9[EnvironmentSatisfaction],Table9[Id_EnviromentSatisfaction])</f>
        <v>ES003</v>
      </c>
      <c r="Q876">
        <v>3</v>
      </c>
      <c r="R876" t="str">
        <f>_xlfn.XLOOKUP(Table1[[#This Row],[EnvironmentSatisfaction]],Table9[EnvironmentSatisfaction],Table9[Deskripsi])</f>
        <v>High</v>
      </c>
      <c r="S876" t="str">
        <f>_xlfn.XLOOKUP(Table1[[#This Row],[Gender]],Table10[Gender],Table10[Id_Gender])</f>
        <v>G002</v>
      </c>
      <c r="T876" t="s">
        <v>46</v>
      </c>
      <c r="U876">
        <v>49</v>
      </c>
      <c r="V876" t="str">
        <f>_xlfn.XLOOKUP(Table1[[#This Row],[JobInvolvement]],Table11[JobInvolvement],Table11[Id_JobInvolvement])</f>
        <v>JI003</v>
      </c>
      <c r="W876">
        <v>3</v>
      </c>
      <c r="X876" t="str">
        <f>_xlfn.XLOOKUP(Table1[[#This Row],[JobLevel]],Table12[JobLevel],Table12[Id_JobLevel])</f>
        <v>JL002</v>
      </c>
      <c r="Y876">
        <v>2</v>
      </c>
      <c r="Z876" t="str">
        <f>_xlfn.XLOOKUP(Table1[[#This Row],[JobRole]],Table13[JobRole],Table13[Id_JobRole])</f>
        <v>JR003</v>
      </c>
      <c r="AA876" t="s">
        <v>49</v>
      </c>
      <c r="AB876" t="str">
        <f>_xlfn.XLOOKUP(Table1[[#This Row],[JobSatisfaction]],Table14[JobSatisfaction],Table14[Id_JobSatisfaction])</f>
        <v>JS003</v>
      </c>
      <c r="AC876">
        <v>3</v>
      </c>
      <c r="AD876" t="str">
        <f>_xlfn.XLOOKUP(Table1[[#This Row],[JobSatisfaction]],Table14[JobSatisfaction],Table14[Deskripsi])</f>
        <v>High</v>
      </c>
      <c r="AE876" t="str">
        <f>_xlfn.XLOOKUP(Table1[[#This Row],[MaritalStatus]],Table15[MaritalStatus],Table15[Id_MaritalStatus])</f>
        <v>MS003</v>
      </c>
      <c r="AF876" t="s">
        <v>57</v>
      </c>
      <c r="AG876">
        <v>3491</v>
      </c>
      <c r="AH876">
        <v>11309</v>
      </c>
      <c r="AI876">
        <v>1</v>
      </c>
      <c r="AJ876" t="str">
        <f>_xlfn.XLOOKUP(Table1[[#This Row],[OverTime]],Table16[OverTime],Table16[Id_OverTime])</f>
        <v>OT002</v>
      </c>
      <c r="AK876" t="s">
        <v>33</v>
      </c>
      <c r="AL876">
        <v>13</v>
      </c>
      <c r="AM876" t="str">
        <f>_xlfn.XLOOKUP(Table1[[#This Row],[PerformanceRating]],Table17[PerformanceRating],Table17[Id_PerformanceRating])</f>
        <v>PR003</v>
      </c>
      <c r="AN876">
        <v>3</v>
      </c>
      <c r="AO876" t="str">
        <f>_xlfn.XLOOKUP(Table1[[#This Row],[PerformanceRating]],Table17[PerformanceRating],Table17[Deskripsi])</f>
        <v>Excellent</v>
      </c>
      <c r="AP876" t="str">
        <f>_xlfn.XLOOKUP(Table1[[#This Row],[RelationshipSatisfaction]],Table18[RelationshipSatisfaction],Table18[Id_RelationshipSatisfaction])</f>
        <v>RS001</v>
      </c>
      <c r="AQ876">
        <v>1</v>
      </c>
      <c r="AR876" t="str">
        <f>_xlfn.XLOOKUP(Table1[[#This Row],[RelationshipSatisfaction]],Table18[RelationshipSatisfaction],Table18[Deskripsi])</f>
        <v>Low</v>
      </c>
      <c r="AS876" t="str">
        <f>_xlfn.XLOOKUP(Table1[[#This Row],[StockOptionLevel]],Table19[StockOptionLevel],Table19[Id_StockOptionLevel])</f>
        <v>SOL004</v>
      </c>
      <c r="AT876">
        <v>3</v>
      </c>
      <c r="AU876" t="str">
        <f>_xlfn.XLOOKUP(Table1[[#This Row],[StockOptionLevel]],Table19[StockOptionLevel],Table19[Deskripsi])</f>
        <v>Senior/Executive</v>
      </c>
      <c r="AV876">
        <v>10</v>
      </c>
      <c r="AW876">
        <v>4</v>
      </c>
      <c r="AX876" t="str">
        <f>_xlfn.XLOOKUP(Table1[[#This Row],[WorkLifeBalance]],Table20[WorkLifeBalance],Table20[Id_WorkLifeBalance])</f>
        <v>WLB003</v>
      </c>
      <c r="AY876">
        <v>2</v>
      </c>
      <c r="AZ876" t="str">
        <f>_xlfn.XLOOKUP(Table1[[#This Row],[WorkLifeBalance]],Table20[WorkLifeBalance],Table20[Deskripsi])</f>
        <v>Better</v>
      </c>
      <c r="BA876">
        <v>10</v>
      </c>
      <c r="BB876">
        <v>7</v>
      </c>
      <c r="BC876">
        <v>8</v>
      </c>
      <c r="BD876">
        <v>9</v>
      </c>
    </row>
    <row r="877" spans="1:56" x14ac:dyDescent="0.25">
      <c r="A877">
        <v>44</v>
      </c>
      <c r="B877" t="str">
        <f>_xlfn.XLOOKUP(Table1[[#This Row],[Attrition]],Table2[Attrition],Table2[Id_Attrition])</f>
        <v>A002</v>
      </c>
      <c r="C877" t="s">
        <v>33</v>
      </c>
      <c r="D877" t="str">
        <f>_xlfn.XLOOKUP(Table1[[#This Row],[BusinessTravel]],Table5[BusinessTravel],Table5[Id_BusinessTravel])</f>
        <v>BS001</v>
      </c>
      <c r="E877" t="s">
        <v>34</v>
      </c>
      <c r="F877">
        <v>200</v>
      </c>
      <c r="G877" t="str">
        <f>_xlfn.XLOOKUP(Table1[[#This Row],[Department]],Table6[Department],Table6[Id_Departement])</f>
        <v>D002</v>
      </c>
      <c r="H877" t="s">
        <v>38</v>
      </c>
      <c r="I877">
        <v>29</v>
      </c>
      <c r="J877" t="str">
        <f>_xlfn.XLOOKUP(Table1[[#This Row],[Education]],Table8[Education],Table8[Id_Education])</f>
        <v>E004</v>
      </c>
      <c r="K877">
        <v>4</v>
      </c>
      <c r="L877" t="str">
        <f>_xlfn.XLOOKUP(Table1[[#This Row],[EducationField]],Table7[EducationField],Table7[Id_EducationField])</f>
        <v>EF002</v>
      </c>
      <c r="M877" t="s">
        <v>41</v>
      </c>
      <c r="N877" t="str">
        <f>_xlfn.XLOOKUP(Table1[[#This Row],[EmployeeNumber]],Table4[EmployeeNumber],Table4[Id_Employee])</f>
        <v>EMP00876</v>
      </c>
      <c r="O877">
        <v>1225</v>
      </c>
      <c r="P877" t="str">
        <f>_xlfn.XLOOKUP(Table1[[#This Row],[EnvironmentSatisfaction]],Table9[EnvironmentSatisfaction],Table9[Id_EnviromentSatisfaction])</f>
        <v>ES004</v>
      </c>
      <c r="Q877">
        <v>4</v>
      </c>
      <c r="R877" t="str">
        <f>_xlfn.XLOOKUP(Table1[[#This Row],[EnvironmentSatisfaction]],Table9[EnvironmentSatisfaction],Table9[Deskripsi])</f>
        <v>Very High</v>
      </c>
      <c r="S877" t="str">
        <f>_xlfn.XLOOKUP(Table1[[#This Row],[Gender]],Table10[Gender],Table10[Id_Gender])</f>
        <v>G002</v>
      </c>
      <c r="T877" t="s">
        <v>46</v>
      </c>
      <c r="U877">
        <v>32</v>
      </c>
      <c r="V877" t="str">
        <f>_xlfn.XLOOKUP(Table1[[#This Row],[JobInvolvement]],Table11[JobInvolvement],Table11[Id_JobInvolvement])</f>
        <v>JI003</v>
      </c>
      <c r="W877">
        <v>3</v>
      </c>
      <c r="X877" t="str">
        <f>_xlfn.XLOOKUP(Table1[[#This Row],[JobLevel]],Table12[JobLevel],Table12[Id_JobLevel])</f>
        <v>JL002</v>
      </c>
      <c r="Y877">
        <v>2</v>
      </c>
      <c r="Z877" t="str">
        <f>_xlfn.XLOOKUP(Table1[[#This Row],[JobRole]],Table13[JobRole],Table13[Id_JobRole])</f>
        <v>JR002</v>
      </c>
      <c r="AA877" t="s">
        <v>48</v>
      </c>
      <c r="AB877" t="str">
        <f>_xlfn.XLOOKUP(Table1[[#This Row],[JobSatisfaction]],Table14[JobSatisfaction],Table14[Id_JobSatisfaction])</f>
        <v>JS004</v>
      </c>
      <c r="AC877">
        <v>4</v>
      </c>
      <c r="AD877" t="str">
        <f>_xlfn.XLOOKUP(Table1[[#This Row],[JobSatisfaction]],Table14[JobSatisfaction],Table14[Deskripsi])</f>
        <v>Very High</v>
      </c>
      <c r="AE877" t="str">
        <f>_xlfn.XLOOKUP(Table1[[#This Row],[MaritalStatus]],Table15[MaritalStatus],Table15[Id_MaritalStatus])</f>
        <v>MS001</v>
      </c>
      <c r="AF877" t="s">
        <v>55</v>
      </c>
      <c r="AG877">
        <v>4541</v>
      </c>
      <c r="AH877">
        <v>7744</v>
      </c>
      <c r="AI877">
        <v>1</v>
      </c>
      <c r="AJ877" t="str">
        <f>_xlfn.XLOOKUP(Table1[[#This Row],[OverTime]],Table16[OverTime],Table16[Id_OverTime])</f>
        <v>OT002</v>
      </c>
      <c r="AK877" t="s">
        <v>33</v>
      </c>
      <c r="AL877">
        <v>25</v>
      </c>
      <c r="AM877" t="str">
        <f>_xlfn.XLOOKUP(Table1[[#This Row],[PerformanceRating]],Table17[PerformanceRating],Table17[Id_PerformanceRating])</f>
        <v>PR004</v>
      </c>
      <c r="AN877">
        <v>4</v>
      </c>
      <c r="AO877" t="str">
        <f>_xlfn.XLOOKUP(Table1[[#This Row],[PerformanceRating]],Table17[PerformanceRating],Table17[Deskripsi])</f>
        <v>Outstanding</v>
      </c>
      <c r="AP877" t="str">
        <f>_xlfn.XLOOKUP(Table1[[#This Row],[RelationshipSatisfaction]],Table18[RelationshipSatisfaction],Table18[Id_RelationshipSatisfaction])</f>
        <v>RS002</v>
      </c>
      <c r="AQ877">
        <v>2</v>
      </c>
      <c r="AR877" t="str">
        <f>_xlfn.XLOOKUP(Table1[[#This Row],[RelationshipSatisfaction]],Table18[RelationshipSatisfaction],Table18[Deskripsi])</f>
        <v>Medium</v>
      </c>
      <c r="AS877" t="str">
        <f>_xlfn.XLOOKUP(Table1[[#This Row],[StockOptionLevel]],Table19[StockOptionLevel],Table19[Id_StockOptionLevel])</f>
        <v>SOL001</v>
      </c>
      <c r="AT877">
        <v>0</v>
      </c>
      <c r="AU877" t="str">
        <f>_xlfn.XLOOKUP(Table1[[#This Row],[StockOptionLevel]],Table19[StockOptionLevel],Table19[Deskripsi])</f>
        <v>Non-Eligible</v>
      </c>
      <c r="AV877">
        <v>20</v>
      </c>
      <c r="AW877">
        <v>3</v>
      </c>
      <c r="AX877" t="str">
        <f>_xlfn.XLOOKUP(Table1[[#This Row],[WorkLifeBalance]],Table20[WorkLifeBalance],Table20[Id_WorkLifeBalance])</f>
        <v>WLB002</v>
      </c>
      <c r="AY877">
        <v>3</v>
      </c>
      <c r="AZ877" t="str">
        <f>_xlfn.XLOOKUP(Table1[[#This Row],[WorkLifeBalance]],Table20[WorkLifeBalance],Table20[Deskripsi])</f>
        <v>Good</v>
      </c>
      <c r="BA877">
        <v>20</v>
      </c>
      <c r="BB877">
        <v>11</v>
      </c>
      <c r="BC877">
        <v>13</v>
      </c>
      <c r="BD877">
        <v>17</v>
      </c>
    </row>
    <row r="878" spans="1:56" x14ac:dyDescent="0.25">
      <c r="A878">
        <v>20</v>
      </c>
      <c r="B878" t="str">
        <f>_xlfn.XLOOKUP(Table1[[#This Row],[Attrition]],Table2[Attrition],Table2[Id_Attrition])</f>
        <v>A002</v>
      </c>
      <c r="C878" t="s">
        <v>33</v>
      </c>
      <c r="D878" t="str">
        <f>_xlfn.XLOOKUP(Table1[[#This Row],[BusinessTravel]],Table5[BusinessTravel],Table5[Id_BusinessTravel])</f>
        <v>BS001</v>
      </c>
      <c r="E878" t="s">
        <v>34</v>
      </c>
      <c r="F878">
        <v>654</v>
      </c>
      <c r="G878" t="str">
        <f>_xlfn.XLOOKUP(Table1[[#This Row],[Department]],Table6[Department],Table6[Id_Departement])</f>
        <v>D001</v>
      </c>
      <c r="H878" t="s">
        <v>37</v>
      </c>
      <c r="I878">
        <v>21</v>
      </c>
      <c r="J878" t="str">
        <f>_xlfn.XLOOKUP(Table1[[#This Row],[Education]],Table8[Education],Table8[Id_Education])</f>
        <v>E003</v>
      </c>
      <c r="K878">
        <v>3</v>
      </c>
      <c r="L878" t="str">
        <f>_xlfn.XLOOKUP(Table1[[#This Row],[EducationField]],Table7[EducationField],Table7[Id_EducationField])</f>
        <v>EF004</v>
      </c>
      <c r="M878" t="s">
        <v>43</v>
      </c>
      <c r="N878" t="str">
        <f>_xlfn.XLOOKUP(Table1[[#This Row],[EmployeeNumber]],Table4[EmployeeNumber],Table4[Id_Employee])</f>
        <v>EMP00877</v>
      </c>
      <c r="O878">
        <v>1226</v>
      </c>
      <c r="P878" t="str">
        <f>_xlfn.XLOOKUP(Table1[[#This Row],[EnvironmentSatisfaction]],Table9[EnvironmentSatisfaction],Table9[Id_EnviromentSatisfaction])</f>
        <v>ES003</v>
      </c>
      <c r="Q878">
        <v>3</v>
      </c>
      <c r="R878" t="str">
        <f>_xlfn.XLOOKUP(Table1[[#This Row],[EnvironmentSatisfaction]],Table9[EnvironmentSatisfaction],Table9[Deskripsi])</f>
        <v>High</v>
      </c>
      <c r="S878" t="str">
        <f>_xlfn.XLOOKUP(Table1[[#This Row],[Gender]],Table10[Gender],Table10[Id_Gender])</f>
        <v>G002</v>
      </c>
      <c r="T878" t="s">
        <v>46</v>
      </c>
      <c r="U878">
        <v>43</v>
      </c>
      <c r="V878" t="str">
        <f>_xlfn.XLOOKUP(Table1[[#This Row],[JobInvolvement]],Table11[JobInvolvement],Table11[Id_JobInvolvement])</f>
        <v>JI004</v>
      </c>
      <c r="W878">
        <v>4</v>
      </c>
      <c r="X878" t="str">
        <f>_xlfn.XLOOKUP(Table1[[#This Row],[JobLevel]],Table12[JobLevel],Table12[Id_JobLevel])</f>
        <v>JL001</v>
      </c>
      <c r="Y878">
        <v>1</v>
      </c>
      <c r="Z878" t="str">
        <f>_xlfn.XLOOKUP(Table1[[#This Row],[JobRole]],Table13[JobRole],Table13[Id_JobRole])</f>
        <v>JR007</v>
      </c>
      <c r="AA878" t="s">
        <v>53</v>
      </c>
      <c r="AB878" t="str">
        <f>_xlfn.XLOOKUP(Table1[[#This Row],[JobSatisfaction]],Table14[JobSatisfaction],Table14[Id_JobSatisfaction])</f>
        <v>JS004</v>
      </c>
      <c r="AC878">
        <v>4</v>
      </c>
      <c r="AD878" t="str">
        <f>_xlfn.XLOOKUP(Table1[[#This Row],[JobSatisfaction]],Table14[JobSatisfaction],Table14[Deskripsi])</f>
        <v>Very High</v>
      </c>
      <c r="AE878" t="str">
        <f>_xlfn.XLOOKUP(Table1[[#This Row],[MaritalStatus]],Table15[MaritalStatus],Table15[Id_MaritalStatus])</f>
        <v>MS001</v>
      </c>
      <c r="AF878" t="s">
        <v>55</v>
      </c>
      <c r="AG878">
        <v>2678</v>
      </c>
      <c r="AH878">
        <v>5050</v>
      </c>
      <c r="AI878">
        <v>1</v>
      </c>
      <c r="AJ878" t="str">
        <f>_xlfn.XLOOKUP(Table1[[#This Row],[OverTime]],Table16[OverTime],Table16[Id_OverTime])</f>
        <v>OT002</v>
      </c>
      <c r="AK878" t="s">
        <v>33</v>
      </c>
      <c r="AL878">
        <v>17</v>
      </c>
      <c r="AM878" t="str">
        <f>_xlfn.XLOOKUP(Table1[[#This Row],[PerformanceRating]],Table17[PerformanceRating],Table17[Id_PerformanceRating])</f>
        <v>PR003</v>
      </c>
      <c r="AN878">
        <v>3</v>
      </c>
      <c r="AO878" t="str">
        <f>_xlfn.XLOOKUP(Table1[[#This Row],[PerformanceRating]],Table17[PerformanceRating],Table17[Deskripsi])</f>
        <v>Excellent</v>
      </c>
      <c r="AP878" t="str">
        <f>_xlfn.XLOOKUP(Table1[[#This Row],[RelationshipSatisfaction]],Table18[RelationshipSatisfaction],Table18[Id_RelationshipSatisfaction])</f>
        <v>RS004</v>
      </c>
      <c r="AQ878">
        <v>4</v>
      </c>
      <c r="AR878" t="str">
        <f>_xlfn.XLOOKUP(Table1[[#This Row],[RelationshipSatisfaction]],Table18[RelationshipSatisfaction],Table18[Deskripsi])</f>
        <v>Very High</v>
      </c>
      <c r="AS878" t="str">
        <f>_xlfn.XLOOKUP(Table1[[#This Row],[StockOptionLevel]],Table19[StockOptionLevel],Table19[Id_StockOptionLevel])</f>
        <v>SOL001</v>
      </c>
      <c r="AT878">
        <v>0</v>
      </c>
      <c r="AU878" t="str">
        <f>_xlfn.XLOOKUP(Table1[[#This Row],[StockOptionLevel]],Table19[StockOptionLevel],Table19[Deskripsi])</f>
        <v>Non-Eligible</v>
      </c>
      <c r="AV878">
        <v>2</v>
      </c>
      <c r="AW878">
        <v>2</v>
      </c>
      <c r="AX878" t="str">
        <f>_xlfn.XLOOKUP(Table1[[#This Row],[WorkLifeBalance]],Table20[WorkLifeBalance],Table20[Id_WorkLifeBalance])</f>
        <v>WLB002</v>
      </c>
      <c r="AY878">
        <v>3</v>
      </c>
      <c r="AZ878" t="str">
        <f>_xlfn.XLOOKUP(Table1[[#This Row],[WorkLifeBalance]],Table20[WorkLifeBalance],Table20[Deskripsi])</f>
        <v>Good</v>
      </c>
      <c r="BA878">
        <v>2</v>
      </c>
      <c r="BB878">
        <v>1</v>
      </c>
      <c r="BC878">
        <v>2</v>
      </c>
      <c r="BD878">
        <v>2</v>
      </c>
    </row>
    <row r="879" spans="1:56" x14ac:dyDescent="0.25">
      <c r="A879">
        <v>46</v>
      </c>
      <c r="B879" t="str">
        <f>_xlfn.XLOOKUP(Table1[[#This Row],[Attrition]],Table2[Attrition],Table2[Id_Attrition])</f>
        <v>A002</v>
      </c>
      <c r="C879" t="s">
        <v>33</v>
      </c>
      <c r="D879" t="str">
        <f>_xlfn.XLOOKUP(Table1[[#This Row],[BusinessTravel]],Table5[BusinessTravel],Table5[Id_BusinessTravel])</f>
        <v>BS001</v>
      </c>
      <c r="E879" t="s">
        <v>34</v>
      </c>
      <c r="F879">
        <v>150</v>
      </c>
      <c r="G879" t="str">
        <f>_xlfn.XLOOKUP(Table1[[#This Row],[Department]],Table6[Department],Table6[Id_Departement])</f>
        <v>D002</v>
      </c>
      <c r="H879" t="s">
        <v>38</v>
      </c>
      <c r="I879">
        <v>2</v>
      </c>
      <c r="J879" t="str">
        <f>_xlfn.XLOOKUP(Table1[[#This Row],[Education]],Table8[Education],Table8[Id_Education])</f>
        <v>E004</v>
      </c>
      <c r="K879">
        <v>4</v>
      </c>
      <c r="L879" t="str">
        <f>_xlfn.XLOOKUP(Table1[[#This Row],[EducationField]],Table7[EducationField],Table7[Id_EducationField])</f>
        <v>EF005</v>
      </c>
      <c r="M879" t="s">
        <v>44</v>
      </c>
      <c r="N879" t="str">
        <f>_xlfn.XLOOKUP(Table1[[#This Row],[EmployeeNumber]],Table4[EmployeeNumber],Table4[Id_Employee])</f>
        <v>EMP00878</v>
      </c>
      <c r="O879">
        <v>1228</v>
      </c>
      <c r="P879" t="str">
        <f>_xlfn.XLOOKUP(Table1[[#This Row],[EnvironmentSatisfaction]],Table9[EnvironmentSatisfaction],Table9[Id_EnviromentSatisfaction])</f>
        <v>ES004</v>
      </c>
      <c r="Q879">
        <v>4</v>
      </c>
      <c r="R879" t="str">
        <f>_xlfn.XLOOKUP(Table1[[#This Row],[EnvironmentSatisfaction]],Table9[EnvironmentSatisfaction],Table9[Deskripsi])</f>
        <v>Very High</v>
      </c>
      <c r="S879" t="str">
        <f>_xlfn.XLOOKUP(Table1[[#This Row],[Gender]],Table10[Gender],Table10[Id_Gender])</f>
        <v>G002</v>
      </c>
      <c r="T879" t="s">
        <v>46</v>
      </c>
      <c r="U879">
        <v>60</v>
      </c>
      <c r="V879" t="str">
        <f>_xlfn.XLOOKUP(Table1[[#This Row],[JobInvolvement]],Table11[JobInvolvement],Table11[Id_JobInvolvement])</f>
        <v>JI003</v>
      </c>
      <c r="W879">
        <v>3</v>
      </c>
      <c r="X879" t="str">
        <f>_xlfn.XLOOKUP(Table1[[#This Row],[JobLevel]],Table12[JobLevel],Table12[Id_JobLevel])</f>
        <v>JL002</v>
      </c>
      <c r="Y879">
        <v>2</v>
      </c>
      <c r="Z879" t="str">
        <f>_xlfn.XLOOKUP(Table1[[#This Row],[JobRole]],Table13[JobRole],Table13[Id_JobRole])</f>
        <v>JR004</v>
      </c>
      <c r="AA879" t="s">
        <v>50</v>
      </c>
      <c r="AB879" t="str">
        <f>_xlfn.XLOOKUP(Table1[[#This Row],[JobSatisfaction]],Table14[JobSatisfaction],Table14[Id_JobSatisfaction])</f>
        <v>JS004</v>
      </c>
      <c r="AC879">
        <v>4</v>
      </c>
      <c r="AD879" t="str">
        <f>_xlfn.XLOOKUP(Table1[[#This Row],[JobSatisfaction]],Table14[JobSatisfaction],Table14[Deskripsi])</f>
        <v>Very High</v>
      </c>
      <c r="AE879" t="str">
        <f>_xlfn.XLOOKUP(Table1[[#This Row],[MaritalStatus]],Table15[MaritalStatus],Table15[Id_MaritalStatus])</f>
        <v>MS003</v>
      </c>
      <c r="AF879" t="s">
        <v>57</v>
      </c>
      <c r="AG879">
        <v>7379</v>
      </c>
      <c r="AH879">
        <v>17433</v>
      </c>
      <c r="AI879">
        <v>2</v>
      </c>
      <c r="AJ879" t="str">
        <f>_xlfn.XLOOKUP(Table1[[#This Row],[OverTime]],Table16[OverTime],Table16[Id_OverTime])</f>
        <v>OT002</v>
      </c>
      <c r="AK879" t="s">
        <v>33</v>
      </c>
      <c r="AL879">
        <v>11</v>
      </c>
      <c r="AM879" t="str">
        <f>_xlfn.XLOOKUP(Table1[[#This Row],[PerformanceRating]],Table17[PerformanceRating],Table17[Id_PerformanceRating])</f>
        <v>PR003</v>
      </c>
      <c r="AN879">
        <v>3</v>
      </c>
      <c r="AO879" t="str">
        <f>_xlfn.XLOOKUP(Table1[[#This Row],[PerformanceRating]],Table17[PerformanceRating],Table17[Deskripsi])</f>
        <v>Excellent</v>
      </c>
      <c r="AP879" t="str">
        <f>_xlfn.XLOOKUP(Table1[[#This Row],[RelationshipSatisfaction]],Table18[RelationshipSatisfaction],Table18[Id_RelationshipSatisfaction])</f>
        <v>RS003</v>
      </c>
      <c r="AQ879">
        <v>3</v>
      </c>
      <c r="AR879" t="str">
        <f>_xlfn.XLOOKUP(Table1[[#This Row],[RelationshipSatisfaction]],Table18[RelationshipSatisfaction],Table18[Deskripsi])</f>
        <v>High</v>
      </c>
      <c r="AS879" t="str">
        <f>_xlfn.XLOOKUP(Table1[[#This Row],[StockOptionLevel]],Table19[StockOptionLevel],Table19[Id_StockOptionLevel])</f>
        <v>SOL002</v>
      </c>
      <c r="AT879">
        <v>1</v>
      </c>
      <c r="AU879" t="str">
        <f>_xlfn.XLOOKUP(Table1[[#This Row],[StockOptionLevel]],Table19[StockOptionLevel],Table19[Deskripsi])</f>
        <v>Standard</v>
      </c>
      <c r="AV879">
        <v>12</v>
      </c>
      <c r="AW879">
        <v>3</v>
      </c>
      <c r="AX879" t="str">
        <f>_xlfn.XLOOKUP(Table1[[#This Row],[WorkLifeBalance]],Table20[WorkLifeBalance],Table20[Id_WorkLifeBalance])</f>
        <v>WLB003</v>
      </c>
      <c r="AY879">
        <v>2</v>
      </c>
      <c r="AZ879" t="str">
        <f>_xlfn.XLOOKUP(Table1[[#This Row],[WorkLifeBalance]],Table20[WorkLifeBalance],Table20[Deskripsi])</f>
        <v>Better</v>
      </c>
      <c r="BA879">
        <v>6</v>
      </c>
      <c r="BB879">
        <v>3</v>
      </c>
      <c r="BC879">
        <v>1</v>
      </c>
      <c r="BD879">
        <v>4</v>
      </c>
    </row>
    <row r="880" spans="1:56" x14ac:dyDescent="0.25">
      <c r="A880">
        <v>42</v>
      </c>
      <c r="B880" t="str">
        <f>_xlfn.XLOOKUP(Table1[[#This Row],[Attrition]],Table2[Attrition],Table2[Id_Attrition])</f>
        <v>A002</v>
      </c>
      <c r="C880" t="s">
        <v>33</v>
      </c>
      <c r="D880" t="str">
        <f>_xlfn.XLOOKUP(Table1[[#This Row],[BusinessTravel]],Table5[BusinessTravel],Table5[Id_BusinessTravel])</f>
        <v>BS003</v>
      </c>
      <c r="E880" t="s">
        <v>36</v>
      </c>
      <c r="F880">
        <v>179</v>
      </c>
      <c r="G880" t="str">
        <f>_xlfn.XLOOKUP(Table1[[#This Row],[Department]],Table6[Department],Table6[Id_Departement])</f>
        <v>D003</v>
      </c>
      <c r="H880" t="s">
        <v>39</v>
      </c>
      <c r="I880">
        <v>2</v>
      </c>
      <c r="J880" t="str">
        <f>_xlfn.XLOOKUP(Table1[[#This Row],[Education]],Table8[Education],Table8[Id_Education])</f>
        <v>E005</v>
      </c>
      <c r="K880">
        <v>5</v>
      </c>
      <c r="L880" t="str">
        <f>_xlfn.XLOOKUP(Table1[[#This Row],[EducationField]],Table7[EducationField],Table7[Id_EducationField])</f>
        <v>EF003</v>
      </c>
      <c r="M880" t="s">
        <v>42</v>
      </c>
      <c r="N880" t="str">
        <f>_xlfn.XLOOKUP(Table1[[#This Row],[EmployeeNumber]],Table4[EmployeeNumber],Table4[Id_Employee])</f>
        <v>EMP00879</v>
      </c>
      <c r="O880">
        <v>1231</v>
      </c>
      <c r="P880" t="str">
        <f>_xlfn.XLOOKUP(Table1[[#This Row],[EnvironmentSatisfaction]],Table9[EnvironmentSatisfaction],Table9[Id_EnviromentSatisfaction])</f>
        <v>ES004</v>
      </c>
      <c r="Q880">
        <v>4</v>
      </c>
      <c r="R880" t="str">
        <f>_xlfn.XLOOKUP(Table1[[#This Row],[EnvironmentSatisfaction]],Table9[EnvironmentSatisfaction],Table9[Deskripsi])</f>
        <v>Very High</v>
      </c>
      <c r="S880" t="str">
        <f>_xlfn.XLOOKUP(Table1[[#This Row],[Gender]],Table10[Gender],Table10[Id_Gender])</f>
        <v>G002</v>
      </c>
      <c r="T880" t="s">
        <v>46</v>
      </c>
      <c r="U880">
        <v>79</v>
      </c>
      <c r="V880" t="str">
        <f>_xlfn.XLOOKUP(Table1[[#This Row],[JobInvolvement]],Table11[JobInvolvement],Table11[Id_JobInvolvement])</f>
        <v>JI004</v>
      </c>
      <c r="W880">
        <v>4</v>
      </c>
      <c r="X880" t="str">
        <f>_xlfn.XLOOKUP(Table1[[#This Row],[JobLevel]],Table12[JobLevel],Table12[Id_JobLevel])</f>
        <v>JL002</v>
      </c>
      <c r="Y880">
        <v>2</v>
      </c>
      <c r="Z880" t="str">
        <f>_xlfn.XLOOKUP(Table1[[#This Row],[JobRole]],Table13[JobRole],Table13[Id_JobRole])</f>
        <v>JR009</v>
      </c>
      <c r="AA880" t="s">
        <v>39</v>
      </c>
      <c r="AB880" t="str">
        <f>_xlfn.XLOOKUP(Table1[[#This Row],[JobSatisfaction]],Table14[JobSatisfaction],Table14[Id_JobSatisfaction])</f>
        <v>JS001</v>
      </c>
      <c r="AC880">
        <v>1</v>
      </c>
      <c r="AD880" t="str">
        <f>_xlfn.XLOOKUP(Table1[[#This Row],[JobSatisfaction]],Table14[JobSatisfaction],Table14[Deskripsi])</f>
        <v>Low</v>
      </c>
      <c r="AE880" t="str">
        <f>_xlfn.XLOOKUP(Table1[[#This Row],[MaritalStatus]],Table15[MaritalStatus],Table15[Id_MaritalStatus])</f>
        <v>MS002</v>
      </c>
      <c r="AF880" t="s">
        <v>56</v>
      </c>
      <c r="AG880">
        <v>6272</v>
      </c>
      <c r="AH880">
        <v>12858</v>
      </c>
      <c r="AI880">
        <v>7</v>
      </c>
      <c r="AJ880" t="str">
        <f>_xlfn.XLOOKUP(Table1[[#This Row],[OverTime]],Table16[OverTime],Table16[Id_OverTime])</f>
        <v>OT002</v>
      </c>
      <c r="AK880" t="s">
        <v>33</v>
      </c>
      <c r="AL880">
        <v>16</v>
      </c>
      <c r="AM880" t="str">
        <f>_xlfn.XLOOKUP(Table1[[#This Row],[PerformanceRating]],Table17[PerformanceRating],Table17[Id_PerformanceRating])</f>
        <v>PR003</v>
      </c>
      <c r="AN880">
        <v>3</v>
      </c>
      <c r="AO880" t="str">
        <f>_xlfn.XLOOKUP(Table1[[#This Row],[PerformanceRating]],Table17[PerformanceRating],Table17[Deskripsi])</f>
        <v>Excellent</v>
      </c>
      <c r="AP880" t="str">
        <f>_xlfn.XLOOKUP(Table1[[#This Row],[RelationshipSatisfaction]],Table18[RelationshipSatisfaction],Table18[Id_RelationshipSatisfaction])</f>
        <v>RS001</v>
      </c>
      <c r="AQ880">
        <v>1</v>
      </c>
      <c r="AR880" t="str">
        <f>_xlfn.XLOOKUP(Table1[[#This Row],[RelationshipSatisfaction]],Table18[RelationshipSatisfaction],Table18[Deskripsi])</f>
        <v>Low</v>
      </c>
      <c r="AS880" t="str">
        <f>_xlfn.XLOOKUP(Table1[[#This Row],[StockOptionLevel]],Table19[StockOptionLevel],Table19[Id_StockOptionLevel])</f>
        <v>SOL002</v>
      </c>
      <c r="AT880">
        <v>1</v>
      </c>
      <c r="AU880" t="str">
        <f>_xlfn.XLOOKUP(Table1[[#This Row],[StockOptionLevel]],Table19[StockOptionLevel],Table19[Deskripsi])</f>
        <v>Standard</v>
      </c>
      <c r="AV880">
        <v>10</v>
      </c>
      <c r="AW880">
        <v>3</v>
      </c>
      <c r="AX880" t="str">
        <f>_xlfn.XLOOKUP(Table1[[#This Row],[WorkLifeBalance]],Table20[WorkLifeBalance],Table20[Id_WorkLifeBalance])</f>
        <v>WLB004</v>
      </c>
      <c r="AY880">
        <v>4</v>
      </c>
      <c r="AZ880" t="str">
        <f>_xlfn.XLOOKUP(Table1[[#This Row],[WorkLifeBalance]],Table20[WorkLifeBalance],Table20[Deskripsi])</f>
        <v>Best</v>
      </c>
      <c r="BA880">
        <v>4</v>
      </c>
      <c r="BB880">
        <v>3</v>
      </c>
      <c r="BC880">
        <v>0</v>
      </c>
      <c r="BD880">
        <v>3</v>
      </c>
    </row>
    <row r="881" spans="1:56" x14ac:dyDescent="0.25">
      <c r="A881">
        <v>60</v>
      </c>
      <c r="B881" t="str">
        <f>_xlfn.XLOOKUP(Table1[[#This Row],[Attrition]],Table2[Attrition],Table2[Id_Attrition])</f>
        <v>A002</v>
      </c>
      <c r="C881" t="s">
        <v>33</v>
      </c>
      <c r="D881" t="str">
        <f>_xlfn.XLOOKUP(Table1[[#This Row],[BusinessTravel]],Table5[BusinessTravel],Table5[Id_BusinessTravel])</f>
        <v>BS001</v>
      </c>
      <c r="E881" t="s">
        <v>34</v>
      </c>
      <c r="F881">
        <v>696</v>
      </c>
      <c r="G881" t="str">
        <f>_xlfn.XLOOKUP(Table1[[#This Row],[Department]],Table6[Department],Table6[Id_Departement])</f>
        <v>D001</v>
      </c>
      <c r="H881" t="s">
        <v>37</v>
      </c>
      <c r="I881">
        <v>7</v>
      </c>
      <c r="J881" t="str">
        <f>_xlfn.XLOOKUP(Table1[[#This Row],[Education]],Table8[Education],Table8[Id_Education])</f>
        <v>E004</v>
      </c>
      <c r="K881">
        <v>4</v>
      </c>
      <c r="L881" t="str">
        <f>_xlfn.XLOOKUP(Table1[[#This Row],[EducationField]],Table7[EducationField],Table7[Id_EducationField])</f>
        <v>EF004</v>
      </c>
      <c r="M881" t="s">
        <v>43</v>
      </c>
      <c r="N881" t="str">
        <f>_xlfn.XLOOKUP(Table1[[#This Row],[EmployeeNumber]],Table4[EmployeeNumber],Table4[Id_Employee])</f>
        <v>EMP00880</v>
      </c>
      <c r="O881">
        <v>1233</v>
      </c>
      <c r="P881" t="str">
        <f>_xlfn.XLOOKUP(Table1[[#This Row],[EnvironmentSatisfaction]],Table9[EnvironmentSatisfaction],Table9[Id_EnviromentSatisfaction])</f>
        <v>ES002</v>
      </c>
      <c r="Q881">
        <v>2</v>
      </c>
      <c r="R881" t="str">
        <f>_xlfn.XLOOKUP(Table1[[#This Row],[EnvironmentSatisfaction]],Table9[EnvironmentSatisfaction],Table9[Deskripsi])</f>
        <v>Medium</v>
      </c>
      <c r="S881" t="str">
        <f>_xlfn.XLOOKUP(Table1[[#This Row],[Gender]],Table10[Gender],Table10[Id_Gender])</f>
        <v>G002</v>
      </c>
      <c r="T881" t="s">
        <v>46</v>
      </c>
      <c r="U881">
        <v>52</v>
      </c>
      <c r="V881" t="str">
        <f>_xlfn.XLOOKUP(Table1[[#This Row],[JobInvolvement]],Table11[JobInvolvement],Table11[Id_JobInvolvement])</f>
        <v>JI004</v>
      </c>
      <c r="W881">
        <v>4</v>
      </c>
      <c r="X881" t="str">
        <f>_xlfn.XLOOKUP(Table1[[#This Row],[JobLevel]],Table12[JobLevel],Table12[Id_JobLevel])</f>
        <v>JL002</v>
      </c>
      <c r="Y881">
        <v>2</v>
      </c>
      <c r="Z881" t="str">
        <f>_xlfn.XLOOKUP(Table1[[#This Row],[JobRole]],Table13[JobRole],Table13[Id_JobRole])</f>
        <v>JR001</v>
      </c>
      <c r="AA881" t="s">
        <v>47</v>
      </c>
      <c r="AB881" t="str">
        <f>_xlfn.XLOOKUP(Table1[[#This Row],[JobSatisfaction]],Table14[JobSatisfaction],Table14[Id_JobSatisfaction])</f>
        <v>JS004</v>
      </c>
      <c r="AC881">
        <v>4</v>
      </c>
      <c r="AD881" t="str">
        <f>_xlfn.XLOOKUP(Table1[[#This Row],[JobSatisfaction]],Table14[JobSatisfaction],Table14[Deskripsi])</f>
        <v>Very High</v>
      </c>
      <c r="AE881" t="str">
        <f>_xlfn.XLOOKUP(Table1[[#This Row],[MaritalStatus]],Table15[MaritalStatus],Table15[Id_MaritalStatus])</f>
        <v>MS003</v>
      </c>
      <c r="AF881" t="s">
        <v>57</v>
      </c>
      <c r="AG881">
        <v>5220</v>
      </c>
      <c r="AH881">
        <v>10893</v>
      </c>
      <c r="AI881">
        <v>0</v>
      </c>
      <c r="AJ881" t="str">
        <f>_xlfn.XLOOKUP(Table1[[#This Row],[OverTime]],Table16[OverTime],Table16[Id_OverTime])</f>
        <v>OT001</v>
      </c>
      <c r="AK881" t="s">
        <v>32</v>
      </c>
      <c r="AL881">
        <v>18</v>
      </c>
      <c r="AM881" t="str">
        <f>_xlfn.XLOOKUP(Table1[[#This Row],[PerformanceRating]],Table17[PerformanceRating],Table17[Id_PerformanceRating])</f>
        <v>PR003</v>
      </c>
      <c r="AN881">
        <v>3</v>
      </c>
      <c r="AO881" t="str">
        <f>_xlfn.XLOOKUP(Table1[[#This Row],[PerformanceRating]],Table17[PerformanceRating],Table17[Deskripsi])</f>
        <v>Excellent</v>
      </c>
      <c r="AP881" t="str">
        <f>_xlfn.XLOOKUP(Table1[[#This Row],[RelationshipSatisfaction]],Table18[RelationshipSatisfaction],Table18[Id_RelationshipSatisfaction])</f>
        <v>RS002</v>
      </c>
      <c r="AQ881">
        <v>2</v>
      </c>
      <c r="AR881" t="str">
        <f>_xlfn.XLOOKUP(Table1[[#This Row],[RelationshipSatisfaction]],Table18[RelationshipSatisfaction],Table18[Deskripsi])</f>
        <v>Medium</v>
      </c>
      <c r="AS881" t="str">
        <f>_xlfn.XLOOKUP(Table1[[#This Row],[StockOptionLevel]],Table19[StockOptionLevel],Table19[Id_StockOptionLevel])</f>
        <v>SOL002</v>
      </c>
      <c r="AT881">
        <v>1</v>
      </c>
      <c r="AU881" t="str">
        <f>_xlfn.XLOOKUP(Table1[[#This Row],[StockOptionLevel]],Table19[StockOptionLevel],Table19[Deskripsi])</f>
        <v>Standard</v>
      </c>
      <c r="AV881">
        <v>12</v>
      </c>
      <c r="AW881">
        <v>3</v>
      </c>
      <c r="AX881" t="str">
        <f>_xlfn.XLOOKUP(Table1[[#This Row],[WorkLifeBalance]],Table20[WorkLifeBalance],Table20[Id_WorkLifeBalance])</f>
        <v>WLB002</v>
      </c>
      <c r="AY881">
        <v>3</v>
      </c>
      <c r="AZ881" t="str">
        <f>_xlfn.XLOOKUP(Table1[[#This Row],[WorkLifeBalance]],Table20[WorkLifeBalance],Table20[Deskripsi])</f>
        <v>Good</v>
      </c>
      <c r="BA881">
        <v>11</v>
      </c>
      <c r="BB881">
        <v>7</v>
      </c>
      <c r="BC881">
        <v>1</v>
      </c>
      <c r="BD881">
        <v>9</v>
      </c>
    </row>
    <row r="882" spans="1:56" x14ac:dyDescent="0.25">
      <c r="A882">
        <v>32</v>
      </c>
      <c r="B882" t="str">
        <f>_xlfn.XLOOKUP(Table1[[#This Row],[Attrition]],Table2[Attrition],Table2[Id_Attrition])</f>
        <v>A002</v>
      </c>
      <c r="C882" t="s">
        <v>33</v>
      </c>
      <c r="D882" t="str">
        <f>_xlfn.XLOOKUP(Table1[[#This Row],[BusinessTravel]],Table5[BusinessTravel],Table5[Id_BusinessTravel])</f>
        <v>BS002</v>
      </c>
      <c r="E882" t="s">
        <v>35</v>
      </c>
      <c r="F882">
        <v>116</v>
      </c>
      <c r="G882" t="str">
        <f>_xlfn.XLOOKUP(Table1[[#This Row],[Department]],Table6[Department],Table6[Id_Departement])</f>
        <v>D002</v>
      </c>
      <c r="H882" t="s">
        <v>38</v>
      </c>
      <c r="I882">
        <v>13</v>
      </c>
      <c r="J882" t="str">
        <f>_xlfn.XLOOKUP(Table1[[#This Row],[Education]],Table8[Education],Table8[Id_Education])</f>
        <v>E003</v>
      </c>
      <c r="K882">
        <v>3</v>
      </c>
      <c r="L882" t="str">
        <f>_xlfn.XLOOKUP(Table1[[#This Row],[EducationField]],Table7[EducationField],Table7[Id_EducationField])</f>
        <v>EF002</v>
      </c>
      <c r="M882" t="s">
        <v>41</v>
      </c>
      <c r="N882" t="str">
        <f>_xlfn.XLOOKUP(Table1[[#This Row],[EmployeeNumber]],Table4[EmployeeNumber],Table4[Id_Employee])</f>
        <v>EMP00881</v>
      </c>
      <c r="O882">
        <v>1234</v>
      </c>
      <c r="P882" t="str">
        <f>_xlfn.XLOOKUP(Table1[[#This Row],[EnvironmentSatisfaction]],Table9[EnvironmentSatisfaction],Table9[Id_EnviromentSatisfaction])</f>
        <v>ES003</v>
      </c>
      <c r="Q882">
        <v>3</v>
      </c>
      <c r="R882" t="str">
        <f>_xlfn.XLOOKUP(Table1[[#This Row],[EnvironmentSatisfaction]],Table9[EnvironmentSatisfaction],Table9[Deskripsi])</f>
        <v>High</v>
      </c>
      <c r="S882" t="str">
        <f>_xlfn.XLOOKUP(Table1[[#This Row],[Gender]],Table10[Gender],Table10[Id_Gender])</f>
        <v>G001</v>
      </c>
      <c r="T882" t="s">
        <v>45</v>
      </c>
      <c r="U882">
        <v>77</v>
      </c>
      <c r="V882" t="str">
        <f>_xlfn.XLOOKUP(Table1[[#This Row],[JobInvolvement]],Table11[JobInvolvement],Table11[Id_JobInvolvement])</f>
        <v>JI002</v>
      </c>
      <c r="W882">
        <v>2</v>
      </c>
      <c r="X882" t="str">
        <f>_xlfn.XLOOKUP(Table1[[#This Row],[JobLevel]],Table12[JobLevel],Table12[Id_JobLevel])</f>
        <v>JL001</v>
      </c>
      <c r="Y882">
        <v>1</v>
      </c>
      <c r="Z882" t="str">
        <f>_xlfn.XLOOKUP(Table1[[#This Row],[JobRole]],Table13[JobRole],Table13[Id_JobRole])</f>
        <v>JR003</v>
      </c>
      <c r="AA882" t="s">
        <v>49</v>
      </c>
      <c r="AB882" t="str">
        <f>_xlfn.XLOOKUP(Table1[[#This Row],[JobSatisfaction]],Table14[JobSatisfaction],Table14[Id_JobSatisfaction])</f>
        <v>JS002</v>
      </c>
      <c r="AC882">
        <v>2</v>
      </c>
      <c r="AD882" t="str">
        <f>_xlfn.XLOOKUP(Table1[[#This Row],[JobSatisfaction]],Table14[JobSatisfaction],Table14[Deskripsi])</f>
        <v>Medium</v>
      </c>
      <c r="AE882" t="str">
        <f>_xlfn.XLOOKUP(Table1[[#This Row],[MaritalStatus]],Table15[MaritalStatus],Table15[Id_MaritalStatus])</f>
        <v>MS002</v>
      </c>
      <c r="AF882" t="s">
        <v>56</v>
      </c>
      <c r="AG882">
        <v>2743</v>
      </c>
      <c r="AH882">
        <v>7331</v>
      </c>
      <c r="AI882">
        <v>1</v>
      </c>
      <c r="AJ882" t="str">
        <f>_xlfn.XLOOKUP(Table1[[#This Row],[OverTime]],Table16[OverTime],Table16[Id_OverTime])</f>
        <v>OT002</v>
      </c>
      <c r="AK882" t="s">
        <v>33</v>
      </c>
      <c r="AL882">
        <v>20</v>
      </c>
      <c r="AM882" t="str">
        <f>_xlfn.XLOOKUP(Table1[[#This Row],[PerformanceRating]],Table17[PerformanceRating],Table17[Id_PerformanceRating])</f>
        <v>PR004</v>
      </c>
      <c r="AN882">
        <v>4</v>
      </c>
      <c r="AO882" t="str">
        <f>_xlfn.XLOOKUP(Table1[[#This Row],[PerformanceRating]],Table17[PerformanceRating],Table17[Deskripsi])</f>
        <v>Outstanding</v>
      </c>
      <c r="AP882" t="str">
        <f>_xlfn.XLOOKUP(Table1[[#This Row],[RelationshipSatisfaction]],Table18[RelationshipSatisfaction],Table18[Id_RelationshipSatisfaction])</f>
        <v>RS003</v>
      </c>
      <c r="AQ882">
        <v>3</v>
      </c>
      <c r="AR882" t="str">
        <f>_xlfn.XLOOKUP(Table1[[#This Row],[RelationshipSatisfaction]],Table18[RelationshipSatisfaction],Table18[Deskripsi])</f>
        <v>High</v>
      </c>
      <c r="AS882" t="str">
        <f>_xlfn.XLOOKUP(Table1[[#This Row],[StockOptionLevel]],Table19[StockOptionLevel],Table19[Id_StockOptionLevel])</f>
        <v>SOL002</v>
      </c>
      <c r="AT882">
        <v>1</v>
      </c>
      <c r="AU882" t="str">
        <f>_xlfn.XLOOKUP(Table1[[#This Row],[StockOptionLevel]],Table19[StockOptionLevel],Table19[Deskripsi])</f>
        <v>Standard</v>
      </c>
      <c r="AV882">
        <v>2</v>
      </c>
      <c r="AW882">
        <v>2</v>
      </c>
      <c r="AX882" t="str">
        <f>_xlfn.XLOOKUP(Table1[[#This Row],[WorkLifeBalance]],Table20[WorkLifeBalance],Table20[Id_WorkLifeBalance])</f>
        <v>WLB002</v>
      </c>
      <c r="AY882">
        <v>3</v>
      </c>
      <c r="AZ882" t="str">
        <f>_xlfn.XLOOKUP(Table1[[#This Row],[WorkLifeBalance]],Table20[WorkLifeBalance],Table20[Deskripsi])</f>
        <v>Good</v>
      </c>
      <c r="BA882">
        <v>2</v>
      </c>
      <c r="BB882">
        <v>2</v>
      </c>
      <c r="BC882">
        <v>2</v>
      </c>
      <c r="BD882">
        <v>2</v>
      </c>
    </row>
    <row r="883" spans="1:56" x14ac:dyDescent="0.25">
      <c r="A883">
        <v>32</v>
      </c>
      <c r="B883" t="str">
        <f>_xlfn.XLOOKUP(Table1[[#This Row],[Attrition]],Table2[Attrition],Table2[Id_Attrition])</f>
        <v>A002</v>
      </c>
      <c r="C883" t="s">
        <v>33</v>
      </c>
      <c r="D883" t="str">
        <f>_xlfn.XLOOKUP(Table1[[#This Row],[BusinessTravel]],Table5[BusinessTravel],Table5[Id_BusinessTravel])</f>
        <v>BS002</v>
      </c>
      <c r="E883" t="s">
        <v>35</v>
      </c>
      <c r="F883">
        <v>1316</v>
      </c>
      <c r="G883" t="str">
        <f>_xlfn.XLOOKUP(Table1[[#This Row],[Department]],Table6[Department],Table6[Id_Departement])</f>
        <v>D002</v>
      </c>
      <c r="H883" t="s">
        <v>38</v>
      </c>
      <c r="I883">
        <v>2</v>
      </c>
      <c r="J883" t="str">
        <f>_xlfn.XLOOKUP(Table1[[#This Row],[Education]],Table8[Education],Table8[Id_Education])</f>
        <v>E002</v>
      </c>
      <c r="K883">
        <v>2</v>
      </c>
      <c r="L883" t="str">
        <f>_xlfn.XLOOKUP(Table1[[#This Row],[EducationField]],Table7[EducationField],Table7[Id_EducationField])</f>
        <v>EF001</v>
      </c>
      <c r="M883" t="s">
        <v>40</v>
      </c>
      <c r="N883" t="str">
        <f>_xlfn.XLOOKUP(Table1[[#This Row],[EmployeeNumber]],Table4[EmployeeNumber],Table4[Id_Employee])</f>
        <v>EMP00882</v>
      </c>
      <c r="O883">
        <v>1235</v>
      </c>
      <c r="P883" t="str">
        <f>_xlfn.XLOOKUP(Table1[[#This Row],[EnvironmentSatisfaction]],Table9[EnvironmentSatisfaction],Table9[Id_EnviromentSatisfaction])</f>
        <v>ES004</v>
      </c>
      <c r="Q883">
        <v>4</v>
      </c>
      <c r="R883" t="str">
        <f>_xlfn.XLOOKUP(Table1[[#This Row],[EnvironmentSatisfaction]],Table9[EnvironmentSatisfaction],Table9[Deskripsi])</f>
        <v>Very High</v>
      </c>
      <c r="S883" t="str">
        <f>_xlfn.XLOOKUP(Table1[[#This Row],[Gender]],Table10[Gender],Table10[Id_Gender])</f>
        <v>G001</v>
      </c>
      <c r="T883" t="s">
        <v>45</v>
      </c>
      <c r="U883">
        <v>38</v>
      </c>
      <c r="V883" t="str">
        <f>_xlfn.XLOOKUP(Table1[[#This Row],[JobInvolvement]],Table11[JobInvolvement],Table11[Id_JobInvolvement])</f>
        <v>JI003</v>
      </c>
      <c r="W883">
        <v>3</v>
      </c>
      <c r="X883" t="str">
        <f>_xlfn.XLOOKUP(Table1[[#This Row],[JobLevel]],Table12[JobLevel],Table12[Id_JobLevel])</f>
        <v>JL002</v>
      </c>
      <c r="Y883">
        <v>2</v>
      </c>
      <c r="Z883" t="str">
        <f>_xlfn.XLOOKUP(Table1[[#This Row],[JobRole]],Table13[JobRole],Table13[Id_JobRole])</f>
        <v>JR002</v>
      </c>
      <c r="AA883" t="s">
        <v>48</v>
      </c>
      <c r="AB883" t="str">
        <f>_xlfn.XLOOKUP(Table1[[#This Row],[JobSatisfaction]],Table14[JobSatisfaction],Table14[Id_JobSatisfaction])</f>
        <v>JS003</v>
      </c>
      <c r="AC883">
        <v>3</v>
      </c>
      <c r="AD883" t="str">
        <f>_xlfn.XLOOKUP(Table1[[#This Row],[JobSatisfaction]],Table14[JobSatisfaction],Table14[Deskripsi])</f>
        <v>High</v>
      </c>
      <c r="AE883" t="str">
        <f>_xlfn.XLOOKUP(Table1[[#This Row],[MaritalStatus]],Table15[MaritalStatus],Table15[Id_MaritalStatus])</f>
        <v>MS001</v>
      </c>
      <c r="AF883" t="s">
        <v>55</v>
      </c>
      <c r="AG883">
        <v>4998</v>
      </c>
      <c r="AH883">
        <v>2338</v>
      </c>
      <c r="AI883">
        <v>4</v>
      </c>
      <c r="AJ883" t="str">
        <f>_xlfn.XLOOKUP(Table1[[#This Row],[OverTime]],Table16[OverTime],Table16[Id_OverTime])</f>
        <v>OT001</v>
      </c>
      <c r="AK883" t="s">
        <v>32</v>
      </c>
      <c r="AL883">
        <v>14</v>
      </c>
      <c r="AM883" t="str">
        <f>_xlfn.XLOOKUP(Table1[[#This Row],[PerformanceRating]],Table17[PerformanceRating],Table17[Id_PerformanceRating])</f>
        <v>PR003</v>
      </c>
      <c r="AN883">
        <v>3</v>
      </c>
      <c r="AO883" t="str">
        <f>_xlfn.XLOOKUP(Table1[[#This Row],[PerformanceRating]],Table17[PerformanceRating],Table17[Deskripsi])</f>
        <v>Excellent</v>
      </c>
      <c r="AP883" t="str">
        <f>_xlfn.XLOOKUP(Table1[[#This Row],[RelationshipSatisfaction]],Table18[RelationshipSatisfaction],Table18[Id_RelationshipSatisfaction])</f>
        <v>RS004</v>
      </c>
      <c r="AQ883">
        <v>4</v>
      </c>
      <c r="AR883" t="str">
        <f>_xlfn.XLOOKUP(Table1[[#This Row],[RelationshipSatisfaction]],Table18[RelationshipSatisfaction],Table18[Deskripsi])</f>
        <v>Very High</v>
      </c>
      <c r="AS883" t="str">
        <f>_xlfn.XLOOKUP(Table1[[#This Row],[StockOptionLevel]],Table19[StockOptionLevel],Table19[Id_StockOptionLevel])</f>
        <v>SOL001</v>
      </c>
      <c r="AT883">
        <v>0</v>
      </c>
      <c r="AU883" t="str">
        <f>_xlfn.XLOOKUP(Table1[[#This Row],[StockOptionLevel]],Table19[StockOptionLevel],Table19[Deskripsi])</f>
        <v>Non-Eligible</v>
      </c>
      <c r="AV883">
        <v>10</v>
      </c>
      <c r="AW883">
        <v>2</v>
      </c>
      <c r="AX883" t="str">
        <f>_xlfn.XLOOKUP(Table1[[#This Row],[WorkLifeBalance]],Table20[WorkLifeBalance],Table20[Id_WorkLifeBalance])</f>
        <v>WLB002</v>
      </c>
      <c r="AY883">
        <v>3</v>
      </c>
      <c r="AZ883" t="str">
        <f>_xlfn.XLOOKUP(Table1[[#This Row],[WorkLifeBalance]],Table20[WorkLifeBalance],Table20[Deskripsi])</f>
        <v>Good</v>
      </c>
      <c r="BA883">
        <v>8</v>
      </c>
      <c r="BB883">
        <v>7</v>
      </c>
      <c r="BC883">
        <v>0</v>
      </c>
      <c r="BD883">
        <v>7</v>
      </c>
    </row>
    <row r="884" spans="1:56" x14ac:dyDescent="0.25">
      <c r="A884">
        <v>36</v>
      </c>
      <c r="B884" t="str">
        <f>_xlfn.XLOOKUP(Table1[[#This Row],[Attrition]],Table2[Attrition],Table2[Id_Attrition])</f>
        <v>A002</v>
      </c>
      <c r="C884" t="s">
        <v>33</v>
      </c>
      <c r="D884" t="str">
        <f>_xlfn.XLOOKUP(Table1[[#This Row],[BusinessTravel]],Table5[BusinessTravel],Table5[Id_BusinessTravel])</f>
        <v>BS001</v>
      </c>
      <c r="E884" t="s">
        <v>34</v>
      </c>
      <c r="F884">
        <v>363</v>
      </c>
      <c r="G884" t="str">
        <f>_xlfn.XLOOKUP(Table1[[#This Row],[Department]],Table6[Department],Table6[Id_Departement])</f>
        <v>D002</v>
      </c>
      <c r="H884" t="s">
        <v>38</v>
      </c>
      <c r="I884">
        <v>1</v>
      </c>
      <c r="J884" t="str">
        <f>_xlfn.XLOOKUP(Table1[[#This Row],[Education]],Table8[Education],Table8[Id_Education])</f>
        <v>E003</v>
      </c>
      <c r="K884">
        <v>3</v>
      </c>
      <c r="L884" t="str">
        <f>_xlfn.XLOOKUP(Table1[[#This Row],[EducationField]],Table7[EducationField],Table7[Id_EducationField])</f>
        <v>EF005</v>
      </c>
      <c r="M884" t="s">
        <v>44</v>
      </c>
      <c r="N884" t="str">
        <f>_xlfn.XLOOKUP(Table1[[#This Row],[EmployeeNumber]],Table4[EmployeeNumber],Table4[Id_Employee])</f>
        <v>EMP00883</v>
      </c>
      <c r="O884">
        <v>1237</v>
      </c>
      <c r="P884" t="str">
        <f>_xlfn.XLOOKUP(Table1[[#This Row],[EnvironmentSatisfaction]],Table9[EnvironmentSatisfaction],Table9[Id_EnviromentSatisfaction])</f>
        <v>ES003</v>
      </c>
      <c r="Q884">
        <v>3</v>
      </c>
      <c r="R884" t="str">
        <f>_xlfn.XLOOKUP(Table1[[#This Row],[EnvironmentSatisfaction]],Table9[EnvironmentSatisfaction],Table9[Deskripsi])</f>
        <v>High</v>
      </c>
      <c r="S884" t="str">
        <f>_xlfn.XLOOKUP(Table1[[#This Row],[Gender]],Table10[Gender],Table10[Id_Gender])</f>
        <v>G001</v>
      </c>
      <c r="T884" t="s">
        <v>45</v>
      </c>
      <c r="U884">
        <v>77</v>
      </c>
      <c r="V884" t="str">
        <f>_xlfn.XLOOKUP(Table1[[#This Row],[JobInvolvement]],Table11[JobInvolvement],Table11[Id_JobInvolvement])</f>
        <v>JI001</v>
      </c>
      <c r="W884">
        <v>1</v>
      </c>
      <c r="X884" t="str">
        <f>_xlfn.XLOOKUP(Table1[[#This Row],[JobLevel]],Table12[JobLevel],Table12[Id_JobLevel])</f>
        <v>JL003</v>
      </c>
      <c r="Y884">
        <v>3</v>
      </c>
      <c r="Z884" t="str">
        <f>_xlfn.XLOOKUP(Table1[[#This Row],[JobRole]],Table13[JobRole],Table13[Id_JobRole])</f>
        <v>JR004</v>
      </c>
      <c r="AA884" t="s">
        <v>50</v>
      </c>
      <c r="AB884" t="str">
        <f>_xlfn.XLOOKUP(Table1[[#This Row],[JobSatisfaction]],Table14[JobSatisfaction],Table14[Id_JobSatisfaction])</f>
        <v>JS001</v>
      </c>
      <c r="AC884">
        <v>1</v>
      </c>
      <c r="AD884" t="str">
        <f>_xlfn.XLOOKUP(Table1[[#This Row],[JobSatisfaction]],Table14[JobSatisfaction],Table14[Deskripsi])</f>
        <v>Low</v>
      </c>
      <c r="AE884" t="str">
        <f>_xlfn.XLOOKUP(Table1[[#This Row],[MaritalStatus]],Table15[MaritalStatus],Table15[Id_MaritalStatus])</f>
        <v>MS003</v>
      </c>
      <c r="AF884" t="s">
        <v>57</v>
      </c>
      <c r="AG884">
        <v>10252</v>
      </c>
      <c r="AH884">
        <v>4235</v>
      </c>
      <c r="AI884">
        <v>2</v>
      </c>
      <c r="AJ884" t="str">
        <f>_xlfn.XLOOKUP(Table1[[#This Row],[OverTime]],Table16[OverTime],Table16[Id_OverTime])</f>
        <v>OT001</v>
      </c>
      <c r="AK884" t="s">
        <v>32</v>
      </c>
      <c r="AL884">
        <v>21</v>
      </c>
      <c r="AM884" t="str">
        <f>_xlfn.XLOOKUP(Table1[[#This Row],[PerformanceRating]],Table17[PerformanceRating],Table17[Id_PerformanceRating])</f>
        <v>PR004</v>
      </c>
      <c r="AN884">
        <v>4</v>
      </c>
      <c r="AO884" t="str">
        <f>_xlfn.XLOOKUP(Table1[[#This Row],[PerformanceRating]],Table17[PerformanceRating],Table17[Deskripsi])</f>
        <v>Outstanding</v>
      </c>
      <c r="AP884" t="str">
        <f>_xlfn.XLOOKUP(Table1[[#This Row],[RelationshipSatisfaction]],Table18[RelationshipSatisfaction],Table18[Id_RelationshipSatisfaction])</f>
        <v>RS003</v>
      </c>
      <c r="AQ884">
        <v>3</v>
      </c>
      <c r="AR884" t="str">
        <f>_xlfn.XLOOKUP(Table1[[#This Row],[RelationshipSatisfaction]],Table18[RelationshipSatisfaction],Table18[Deskripsi])</f>
        <v>High</v>
      </c>
      <c r="AS884" t="str">
        <f>_xlfn.XLOOKUP(Table1[[#This Row],[StockOptionLevel]],Table19[StockOptionLevel],Table19[Id_StockOptionLevel])</f>
        <v>SOL002</v>
      </c>
      <c r="AT884">
        <v>1</v>
      </c>
      <c r="AU884" t="str">
        <f>_xlfn.XLOOKUP(Table1[[#This Row],[StockOptionLevel]],Table19[StockOptionLevel],Table19[Deskripsi])</f>
        <v>Standard</v>
      </c>
      <c r="AV884">
        <v>17</v>
      </c>
      <c r="AW884">
        <v>2</v>
      </c>
      <c r="AX884" t="str">
        <f>_xlfn.XLOOKUP(Table1[[#This Row],[WorkLifeBalance]],Table20[WorkLifeBalance],Table20[Id_WorkLifeBalance])</f>
        <v>WLB002</v>
      </c>
      <c r="AY884">
        <v>3</v>
      </c>
      <c r="AZ884" t="str">
        <f>_xlfn.XLOOKUP(Table1[[#This Row],[WorkLifeBalance]],Table20[WorkLifeBalance],Table20[Deskripsi])</f>
        <v>Good</v>
      </c>
      <c r="BA884">
        <v>7</v>
      </c>
      <c r="BB884">
        <v>7</v>
      </c>
      <c r="BC884">
        <v>7</v>
      </c>
      <c r="BD884">
        <v>7</v>
      </c>
    </row>
    <row r="885" spans="1:56" x14ac:dyDescent="0.25">
      <c r="A885">
        <v>33</v>
      </c>
      <c r="B885" t="str">
        <f>_xlfn.XLOOKUP(Table1[[#This Row],[Attrition]],Table2[Attrition],Table2[Id_Attrition])</f>
        <v>A002</v>
      </c>
      <c r="C885" t="s">
        <v>33</v>
      </c>
      <c r="D885" t="str">
        <f>_xlfn.XLOOKUP(Table1[[#This Row],[BusinessTravel]],Table5[BusinessTravel],Table5[Id_BusinessTravel])</f>
        <v>BS001</v>
      </c>
      <c r="E885" t="s">
        <v>34</v>
      </c>
      <c r="F885">
        <v>117</v>
      </c>
      <c r="G885" t="str">
        <f>_xlfn.XLOOKUP(Table1[[#This Row],[Department]],Table6[Department],Table6[Id_Departement])</f>
        <v>D002</v>
      </c>
      <c r="H885" t="s">
        <v>38</v>
      </c>
      <c r="I885">
        <v>9</v>
      </c>
      <c r="J885" t="str">
        <f>_xlfn.XLOOKUP(Table1[[#This Row],[Education]],Table8[Education],Table8[Id_Education])</f>
        <v>E003</v>
      </c>
      <c r="K885">
        <v>3</v>
      </c>
      <c r="L885" t="str">
        <f>_xlfn.XLOOKUP(Table1[[#This Row],[EducationField]],Table7[EducationField],Table7[Id_EducationField])</f>
        <v>EF003</v>
      </c>
      <c r="M885" t="s">
        <v>42</v>
      </c>
      <c r="N885" t="str">
        <f>_xlfn.XLOOKUP(Table1[[#This Row],[EmployeeNumber]],Table4[EmployeeNumber],Table4[Id_Employee])</f>
        <v>EMP00884</v>
      </c>
      <c r="O885">
        <v>1238</v>
      </c>
      <c r="P885" t="str">
        <f>_xlfn.XLOOKUP(Table1[[#This Row],[EnvironmentSatisfaction]],Table9[EnvironmentSatisfaction],Table9[Id_EnviromentSatisfaction])</f>
        <v>ES001</v>
      </c>
      <c r="Q885">
        <v>1</v>
      </c>
      <c r="R885" t="str">
        <f>_xlfn.XLOOKUP(Table1[[#This Row],[EnvironmentSatisfaction]],Table9[EnvironmentSatisfaction],Table9[Deskripsi])</f>
        <v>Low</v>
      </c>
      <c r="S885" t="str">
        <f>_xlfn.XLOOKUP(Table1[[#This Row],[Gender]],Table10[Gender],Table10[Id_Gender])</f>
        <v>G002</v>
      </c>
      <c r="T885" t="s">
        <v>46</v>
      </c>
      <c r="U885">
        <v>60</v>
      </c>
      <c r="V885" t="str">
        <f>_xlfn.XLOOKUP(Table1[[#This Row],[JobInvolvement]],Table11[JobInvolvement],Table11[Id_JobInvolvement])</f>
        <v>JI003</v>
      </c>
      <c r="W885">
        <v>3</v>
      </c>
      <c r="X885" t="str">
        <f>_xlfn.XLOOKUP(Table1[[#This Row],[JobLevel]],Table12[JobLevel],Table12[Id_JobLevel])</f>
        <v>JL001</v>
      </c>
      <c r="Y885">
        <v>1</v>
      </c>
      <c r="Z885" t="str">
        <f>_xlfn.XLOOKUP(Table1[[#This Row],[JobRole]],Table13[JobRole],Table13[Id_JobRole])</f>
        <v>JR002</v>
      </c>
      <c r="AA885" t="s">
        <v>48</v>
      </c>
      <c r="AB885" t="str">
        <f>_xlfn.XLOOKUP(Table1[[#This Row],[JobSatisfaction]],Table14[JobSatisfaction],Table14[Id_JobSatisfaction])</f>
        <v>JS004</v>
      </c>
      <c r="AC885">
        <v>4</v>
      </c>
      <c r="AD885" t="str">
        <f>_xlfn.XLOOKUP(Table1[[#This Row],[JobSatisfaction]],Table14[JobSatisfaction],Table14[Deskripsi])</f>
        <v>Very High</v>
      </c>
      <c r="AE885" t="str">
        <f>_xlfn.XLOOKUP(Table1[[#This Row],[MaritalStatus]],Table15[MaritalStatus],Table15[Id_MaritalStatus])</f>
        <v>MS002</v>
      </c>
      <c r="AF885" t="s">
        <v>56</v>
      </c>
      <c r="AG885">
        <v>2781</v>
      </c>
      <c r="AH885">
        <v>6311</v>
      </c>
      <c r="AI885">
        <v>0</v>
      </c>
      <c r="AJ885" t="str">
        <f>_xlfn.XLOOKUP(Table1[[#This Row],[OverTime]],Table16[OverTime],Table16[Id_OverTime])</f>
        <v>OT002</v>
      </c>
      <c r="AK885" t="s">
        <v>33</v>
      </c>
      <c r="AL885">
        <v>13</v>
      </c>
      <c r="AM885" t="str">
        <f>_xlfn.XLOOKUP(Table1[[#This Row],[PerformanceRating]],Table17[PerformanceRating],Table17[Id_PerformanceRating])</f>
        <v>PR003</v>
      </c>
      <c r="AN885">
        <v>3</v>
      </c>
      <c r="AO885" t="str">
        <f>_xlfn.XLOOKUP(Table1[[#This Row],[PerformanceRating]],Table17[PerformanceRating],Table17[Deskripsi])</f>
        <v>Excellent</v>
      </c>
      <c r="AP885" t="str">
        <f>_xlfn.XLOOKUP(Table1[[#This Row],[RelationshipSatisfaction]],Table18[RelationshipSatisfaction],Table18[Id_RelationshipSatisfaction])</f>
        <v>RS002</v>
      </c>
      <c r="AQ885">
        <v>2</v>
      </c>
      <c r="AR885" t="str">
        <f>_xlfn.XLOOKUP(Table1[[#This Row],[RelationshipSatisfaction]],Table18[RelationshipSatisfaction],Table18[Deskripsi])</f>
        <v>Medium</v>
      </c>
      <c r="AS885" t="str">
        <f>_xlfn.XLOOKUP(Table1[[#This Row],[StockOptionLevel]],Table19[StockOptionLevel],Table19[Id_StockOptionLevel])</f>
        <v>SOL002</v>
      </c>
      <c r="AT885">
        <v>1</v>
      </c>
      <c r="AU885" t="str">
        <f>_xlfn.XLOOKUP(Table1[[#This Row],[StockOptionLevel]],Table19[StockOptionLevel],Table19[Deskripsi])</f>
        <v>Standard</v>
      </c>
      <c r="AV885">
        <v>15</v>
      </c>
      <c r="AW885">
        <v>5</v>
      </c>
      <c r="AX885" t="str">
        <f>_xlfn.XLOOKUP(Table1[[#This Row],[WorkLifeBalance]],Table20[WorkLifeBalance],Table20[Id_WorkLifeBalance])</f>
        <v>WLB002</v>
      </c>
      <c r="AY885">
        <v>3</v>
      </c>
      <c r="AZ885" t="str">
        <f>_xlfn.XLOOKUP(Table1[[#This Row],[WorkLifeBalance]],Table20[WorkLifeBalance],Table20[Deskripsi])</f>
        <v>Good</v>
      </c>
      <c r="BA885">
        <v>14</v>
      </c>
      <c r="BB885">
        <v>10</v>
      </c>
      <c r="BC885">
        <v>4</v>
      </c>
      <c r="BD885">
        <v>10</v>
      </c>
    </row>
    <row r="886" spans="1:56" x14ac:dyDescent="0.25">
      <c r="A886">
        <v>40</v>
      </c>
      <c r="B886" t="str">
        <f>_xlfn.XLOOKUP(Table1[[#This Row],[Attrition]],Table2[Attrition],Table2[Id_Attrition])</f>
        <v>A002</v>
      </c>
      <c r="C886" t="s">
        <v>33</v>
      </c>
      <c r="D886" t="str">
        <f>_xlfn.XLOOKUP(Table1[[#This Row],[BusinessTravel]],Table5[BusinessTravel],Table5[Id_BusinessTravel])</f>
        <v>BS001</v>
      </c>
      <c r="E886" t="s">
        <v>34</v>
      </c>
      <c r="F886">
        <v>107</v>
      </c>
      <c r="G886" t="str">
        <f>_xlfn.XLOOKUP(Table1[[#This Row],[Department]],Table6[Department],Table6[Id_Departement])</f>
        <v>D001</v>
      </c>
      <c r="H886" t="s">
        <v>37</v>
      </c>
      <c r="I886">
        <v>10</v>
      </c>
      <c r="J886" t="str">
        <f>_xlfn.XLOOKUP(Table1[[#This Row],[Education]],Table8[Education],Table8[Id_Education])</f>
        <v>E003</v>
      </c>
      <c r="K886">
        <v>3</v>
      </c>
      <c r="L886" t="str">
        <f>_xlfn.XLOOKUP(Table1[[#This Row],[EducationField]],Table7[EducationField],Table7[Id_EducationField])</f>
        <v>EF005</v>
      </c>
      <c r="M886" t="s">
        <v>44</v>
      </c>
      <c r="N886" t="str">
        <f>_xlfn.XLOOKUP(Table1[[#This Row],[EmployeeNumber]],Table4[EmployeeNumber],Table4[Id_Employee])</f>
        <v>EMP00885</v>
      </c>
      <c r="O886">
        <v>1239</v>
      </c>
      <c r="P886" t="str">
        <f>_xlfn.XLOOKUP(Table1[[#This Row],[EnvironmentSatisfaction]],Table9[EnvironmentSatisfaction],Table9[Id_EnviromentSatisfaction])</f>
        <v>ES002</v>
      </c>
      <c r="Q886">
        <v>2</v>
      </c>
      <c r="R886" t="str">
        <f>_xlfn.XLOOKUP(Table1[[#This Row],[EnvironmentSatisfaction]],Table9[EnvironmentSatisfaction],Table9[Deskripsi])</f>
        <v>Medium</v>
      </c>
      <c r="S886" t="str">
        <f>_xlfn.XLOOKUP(Table1[[#This Row],[Gender]],Table10[Gender],Table10[Id_Gender])</f>
        <v>G001</v>
      </c>
      <c r="T886" t="s">
        <v>45</v>
      </c>
      <c r="U886">
        <v>84</v>
      </c>
      <c r="V886" t="str">
        <f>_xlfn.XLOOKUP(Table1[[#This Row],[JobInvolvement]],Table11[JobInvolvement],Table11[Id_JobInvolvement])</f>
        <v>JI002</v>
      </c>
      <c r="W886">
        <v>2</v>
      </c>
      <c r="X886" t="str">
        <f>_xlfn.XLOOKUP(Table1[[#This Row],[JobLevel]],Table12[JobLevel],Table12[Id_JobLevel])</f>
        <v>JL002</v>
      </c>
      <c r="Y886">
        <v>2</v>
      </c>
      <c r="Z886" t="str">
        <f>_xlfn.XLOOKUP(Table1[[#This Row],[JobRole]],Table13[JobRole],Table13[Id_JobRole])</f>
        <v>JR001</v>
      </c>
      <c r="AA886" t="s">
        <v>47</v>
      </c>
      <c r="AB886" t="str">
        <f>_xlfn.XLOOKUP(Table1[[#This Row],[JobSatisfaction]],Table14[JobSatisfaction],Table14[Id_JobSatisfaction])</f>
        <v>JS002</v>
      </c>
      <c r="AC886">
        <v>2</v>
      </c>
      <c r="AD886" t="str">
        <f>_xlfn.XLOOKUP(Table1[[#This Row],[JobSatisfaction]],Table14[JobSatisfaction],Table14[Deskripsi])</f>
        <v>Medium</v>
      </c>
      <c r="AE886" t="str">
        <f>_xlfn.XLOOKUP(Table1[[#This Row],[MaritalStatus]],Table15[MaritalStatus],Table15[Id_MaritalStatus])</f>
        <v>MS003</v>
      </c>
      <c r="AF886" t="s">
        <v>57</v>
      </c>
      <c r="AG886">
        <v>6852</v>
      </c>
      <c r="AH886">
        <v>11591</v>
      </c>
      <c r="AI886">
        <v>7</v>
      </c>
      <c r="AJ886" t="str">
        <f>_xlfn.XLOOKUP(Table1[[#This Row],[OverTime]],Table16[OverTime],Table16[Id_OverTime])</f>
        <v>OT002</v>
      </c>
      <c r="AK886" t="s">
        <v>33</v>
      </c>
      <c r="AL886">
        <v>12</v>
      </c>
      <c r="AM886" t="str">
        <f>_xlfn.XLOOKUP(Table1[[#This Row],[PerformanceRating]],Table17[PerformanceRating],Table17[Id_PerformanceRating])</f>
        <v>PR003</v>
      </c>
      <c r="AN886">
        <v>3</v>
      </c>
      <c r="AO886" t="str">
        <f>_xlfn.XLOOKUP(Table1[[#This Row],[PerformanceRating]],Table17[PerformanceRating],Table17[Deskripsi])</f>
        <v>Excellent</v>
      </c>
      <c r="AP886" t="str">
        <f>_xlfn.XLOOKUP(Table1[[#This Row],[RelationshipSatisfaction]],Table18[RelationshipSatisfaction],Table18[Id_RelationshipSatisfaction])</f>
        <v>RS002</v>
      </c>
      <c r="AQ886">
        <v>2</v>
      </c>
      <c r="AR886" t="str">
        <f>_xlfn.XLOOKUP(Table1[[#This Row],[RelationshipSatisfaction]],Table18[RelationshipSatisfaction],Table18[Deskripsi])</f>
        <v>Medium</v>
      </c>
      <c r="AS886" t="str">
        <f>_xlfn.XLOOKUP(Table1[[#This Row],[StockOptionLevel]],Table19[StockOptionLevel],Table19[Id_StockOptionLevel])</f>
        <v>SOL002</v>
      </c>
      <c r="AT886">
        <v>1</v>
      </c>
      <c r="AU886" t="str">
        <f>_xlfn.XLOOKUP(Table1[[#This Row],[StockOptionLevel]],Table19[StockOptionLevel],Table19[Deskripsi])</f>
        <v>Standard</v>
      </c>
      <c r="AV886">
        <v>7</v>
      </c>
      <c r="AW886">
        <v>2</v>
      </c>
      <c r="AX886" t="str">
        <f>_xlfn.XLOOKUP(Table1[[#This Row],[WorkLifeBalance]],Table20[WorkLifeBalance],Table20[Id_WorkLifeBalance])</f>
        <v>WLB004</v>
      </c>
      <c r="AY886">
        <v>4</v>
      </c>
      <c r="AZ886" t="str">
        <f>_xlfn.XLOOKUP(Table1[[#This Row],[WorkLifeBalance]],Table20[WorkLifeBalance],Table20[Deskripsi])</f>
        <v>Best</v>
      </c>
      <c r="BA886">
        <v>5</v>
      </c>
      <c r="BB886">
        <v>1</v>
      </c>
      <c r="BC886">
        <v>1</v>
      </c>
      <c r="BD886">
        <v>3</v>
      </c>
    </row>
    <row r="887" spans="1:56" x14ac:dyDescent="0.25">
      <c r="A887">
        <v>25</v>
      </c>
      <c r="B887" t="str">
        <f>_xlfn.XLOOKUP(Table1[[#This Row],[Attrition]],Table2[Attrition],Table2[Id_Attrition])</f>
        <v>A002</v>
      </c>
      <c r="C887" t="s">
        <v>33</v>
      </c>
      <c r="D887" t="str">
        <f>_xlfn.XLOOKUP(Table1[[#This Row],[BusinessTravel]],Table5[BusinessTravel],Table5[Id_BusinessTravel])</f>
        <v>BS001</v>
      </c>
      <c r="E887" t="s">
        <v>34</v>
      </c>
      <c r="F887">
        <v>1356</v>
      </c>
      <c r="G887" t="str">
        <f>_xlfn.XLOOKUP(Table1[[#This Row],[Department]],Table6[Department],Table6[Id_Departement])</f>
        <v>D001</v>
      </c>
      <c r="H887" t="s">
        <v>37</v>
      </c>
      <c r="I887">
        <v>10</v>
      </c>
      <c r="J887" t="str">
        <f>_xlfn.XLOOKUP(Table1[[#This Row],[Education]],Table8[Education],Table8[Id_Education])</f>
        <v>E004</v>
      </c>
      <c r="K887">
        <v>4</v>
      </c>
      <c r="L887" t="str">
        <f>_xlfn.XLOOKUP(Table1[[#This Row],[EducationField]],Table7[EducationField],Table7[Id_EducationField])</f>
        <v>EF001</v>
      </c>
      <c r="M887" t="s">
        <v>40</v>
      </c>
      <c r="N887" t="str">
        <f>_xlfn.XLOOKUP(Table1[[#This Row],[EmployeeNumber]],Table4[EmployeeNumber],Table4[Id_Employee])</f>
        <v>EMP00886</v>
      </c>
      <c r="O887">
        <v>1240</v>
      </c>
      <c r="P887" t="str">
        <f>_xlfn.XLOOKUP(Table1[[#This Row],[EnvironmentSatisfaction]],Table9[EnvironmentSatisfaction],Table9[Id_EnviromentSatisfaction])</f>
        <v>ES003</v>
      </c>
      <c r="Q887">
        <v>3</v>
      </c>
      <c r="R887" t="str">
        <f>_xlfn.XLOOKUP(Table1[[#This Row],[EnvironmentSatisfaction]],Table9[EnvironmentSatisfaction],Table9[Deskripsi])</f>
        <v>High</v>
      </c>
      <c r="S887" t="str">
        <f>_xlfn.XLOOKUP(Table1[[#This Row],[Gender]],Table10[Gender],Table10[Id_Gender])</f>
        <v>G002</v>
      </c>
      <c r="T887" t="s">
        <v>46</v>
      </c>
      <c r="U887">
        <v>57</v>
      </c>
      <c r="V887" t="str">
        <f>_xlfn.XLOOKUP(Table1[[#This Row],[JobInvolvement]],Table11[JobInvolvement],Table11[Id_JobInvolvement])</f>
        <v>JI003</v>
      </c>
      <c r="W887">
        <v>3</v>
      </c>
      <c r="X887" t="str">
        <f>_xlfn.XLOOKUP(Table1[[#This Row],[JobLevel]],Table12[JobLevel],Table12[Id_JobLevel])</f>
        <v>JL002</v>
      </c>
      <c r="Y887">
        <v>2</v>
      </c>
      <c r="Z887" t="str">
        <f>_xlfn.XLOOKUP(Table1[[#This Row],[JobRole]],Table13[JobRole],Table13[Id_JobRole])</f>
        <v>JR001</v>
      </c>
      <c r="AA887" t="s">
        <v>47</v>
      </c>
      <c r="AB887" t="str">
        <f>_xlfn.XLOOKUP(Table1[[#This Row],[JobSatisfaction]],Table14[JobSatisfaction],Table14[Id_JobSatisfaction])</f>
        <v>JS004</v>
      </c>
      <c r="AC887">
        <v>4</v>
      </c>
      <c r="AD887" t="str">
        <f>_xlfn.XLOOKUP(Table1[[#This Row],[JobSatisfaction]],Table14[JobSatisfaction],Table14[Deskripsi])</f>
        <v>Very High</v>
      </c>
      <c r="AE887" t="str">
        <f>_xlfn.XLOOKUP(Table1[[#This Row],[MaritalStatus]],Table15[MaritalStatus],Table15[Id_MaritalStatus])</f>
        <v>MS001</v>
      </c>
      <c r="AF887" t="s">
        <v>55</v>
      </c>
      <c r="AG887">
        <v>4950</v>
      </c>
      <c r="AH887">
        <v>20623</v>
      </c>
      <c r="AI887">
        <v>0</v>
      </c>
      <c r="AJ887" t="str">
        <f>_xlfn.XLOOKUP(Table1[[#This Row],[OverTime]],Table16[OverTime],Table16[Id_OverTime])</f>
        <v>OT002</v>
      </c>
      <c r="AK887" t="s">
        <v>33</v>
      </c>
      <c r="AL887">
        <v>14</v>
      </c>
      <c r="AM887" t="str">
        <f>_xlfn.XLOOKUP(Table1[[#This Row],[PerformanceRating]],Table17[PerformanceRating],Table17[Id_PerformanceRating])</f>
        <v>PR003</v>
      </c>
      <c r="AN887">
        <v>3</v>
      </c>
      <c r="AO887" t="str">
        <f>_xlfn.XLOOKUP(Table1[[#This Row],[PerformanceRating]],Table17[PerformanceRating],Table17[Deskripsi])</f>
        <v>Excellent</v>
      </c>
      <c r="AP887" t="str">
        <f>_xlfn.XLOOKUP(Table1[[#This Row],[RelationshipSatisfaction]],Table18[RelationshipSatisfaction],Table18[Id_RelationshipSatisfaction])</f>
        <v>RS002</v>
      </c>
      <c r="AQ887">
        <v>2</v>
      </c>
      <c r="AR887" t="str">
        <f>_xlfn.XLOOKUP(Table1[[#This Row],[RelationshipSatisfaction]],Table18[RelationshipSatisfaction],Table18[Deskripsi])</f>
        <v>Medium</v>
      </c>
      <c r="AS887" t="str">
        <f>_xlfn.XLOOKUP(Table1[[#This Row],[StockOptionLevel]],Table19[StockOptionLevel],Table19[Id_StockOptionLevel])</f>
        <v>SOL001</v>
      </c>
      <c r="AT887">
        <v>0</v>
      </c>
      <c r="AU887" t="str">
        <f>_xlfn.XLOOKUP(Table1[[#This Row],[StockOptionLevel]],Table19[StockOptionLevel],Table19[Deskripsi])</f>
        <v>Non-Eligible</v>
      </c>
      <c r="AV887">
        <v>5</v>
      </c>
      <c r="AW887">
        <v>4</v>
      </c>
      <c r="AX887" t="str">
        <f>_xlfn.XLOOKUP(Table1[[#This Row],[WorkLifeBalance]],Table20[WorkLifeBalance],Table20[Id_WorkLifeBalance])</f>
        <v>WLB002</v>
      </c>
      <c r="AY887">
        <v>3</v>
      </c>
      <c r="AZ887" t="str">
        <f>_xlfn.XLOOKUP(Table1[[#This Row],[WorkLifeBalance]],Table20[WorkLifeBalance],Table20[Deskripsi])</f>
        <v>Good</v>
      </c>
      <c r="BA887">
        <v>4</v>
      </c>
      <c r="BB887">
        <v>3</v>
      </c>
      <c r="BC887">
        <v>1</v>
      </c>
      <c r="BD887">
        <v>1</v>
      </c>
    </row>
    <row r="888" spans="1:56" x14ac:dyDescent="0.25">
      <c r="A888">
        <v>30</v>
      </c>
      <c r="B888" t="str">
        <f>_xlfn.XLOOKUP(Table1[[#This Row],[Attrition]],Table2[Attrition],Table2[Id_Attrition])</f>
        <v>A002</v>
      </c>
      <c r="C888" t="s">
        <v>33</v>
      </c>
      <c r="D888" t="str">
        <f>_xlfn.XLOOKUP(Table1[[#This Row],[BusinessTravel]],Table5[BusinessTravel],Table5[Id_BusinessTravel])</f>
        <v>BS001</v>
      </c>
      <c r="E888" t="s">
        <v>34</v>
      </c>
      <c r="F888">
        <v>1465</v>
      </c>
      <c r="G888" t="str">
        <f>_xlfn.XLOOKUP(Table1[[#This Row],[Department]],Table6[Department],Table6[Id_Departement])</f>
        <v>D002</v>
      </c>
      <c r="H888" t="s">
        <v>38</v>
      </c>
      <c r="I888">
        <v>1</v>
      </c>
      <c r="J888" t="str">
        <f>_xlfn.XLOOKUP(Table1[[#This Row],[Education]],Table8[Education],Table8[Id_Education])</f>
        <v>E003</v>
      </c>
      <c r="K888">
        <v>3</v>
      </c>
      <c r="L888" t="str">
        <f>_xlfn.XLOOKUP(Table1[[#This Row],[EducationField]],Table7[EducationField],Table7[Id_EducationField])</f>
        <v>EF003</v>
      </c>
      <c r="M888" t="s">
        <v>42</v>
      </c>
      <c r="N888" t="str">
        <f>_xlfn.XLOOKUP(Table1[[#This Row],[EmployeeNumber]],Table4[EmployeeNumber],Table4[Id_Employee])</f>
        <v>EMP00887</v>
      </c>
      <c r="O888">
        <v>1241</v>
      </c>
      <c r="P888" t="str">
        <f>_xlfn.XLOOKUP(Table1[[#This Row],[EnvironmentSatisfaction]],Table9[EnvironmentSatisfaction],Table9[Id_EnviromentSatisfaction])</f>
        <v>ES004</v>
      </c>
      <c r="Q888">
        <v>4</v>
      </c>
      <c r="R888" t="str">
        <f>_xlfn.XLOOKUP(Table1[[#This Row],[EnvironmentSatisfaction]],Table9[EnvironmentSatisfaction],Table9[Deskripsi])</f>
        <v>Very High</v>
      </c>
      <c r="S888" t="str">
        <f>_xlfn.XLOOKUP(Table1[[#This Row],[Gender]],Table10[Gender],Table10[Id_Gender])</f>
        <v>G002</v>
      </c>
      <c r="T888" t="s">
        <v>46</v>
      </c>
      <c r="U888">
        <v>63</v>
      </c>
      <c r="V888" t="str">
        <f>_xlfn.XLOOKUP(Table1[[#This Row],[JobInvolvement]],Table11[JobInvolvement],Table11[Id_JobInvolvement])</f>
        <v>JI003</v>
      </c>
      <c r="W888">
        <v>3</v>
      </c>
      <c r="X888" t="str">
        <f>_xlfn.XLOOKUP(Table1[[#This Row],[JobLevel]],Table12[JobLevel],Table12[Id_JobLevel])</f>
        <v>JL001</v>
      </c>
      <c r="Y888">
        <v>1</v>
      </c>
      <c r="Z888" t="str">
        <f>_xlfn.XLOOKUP(Table1[[#This Row],[JobRole]],Table13[JobRole],Table13[Id_JobRole])</f>
        <v>JR002</v>
      </c>
      <c r="AA888" t="s">
        <v>48</v>
      </c>
      <c r="AB888" t="str">
        <f>_xlfn.XLOOKUP(Table1[[#This Row],[JobSatisfaction]],Table14[JobSatisfaction],Table14[Id_JobSatisfaction])</f>
        <v>JS002</v>
      </c>
      <c r="AC888">
        <v>2</v>
      </c>
      <c r="AD888" t="str">
        <f>_xlfn.XLOOKUP(Table1[[#This Row],[JobSatisfaction]],Table14[JobSatisfaction],Table14[Deskripsi])</f>
        <v>Medium</v>
      </c>
      <c r="AE888" t="str">
        <f>_xlfn.XLOOKUP(Table1[[#This Row],[MaritalStatus]],Table15[MaritalStatus],Table15[Id_MaritalStatus])</f>
        <v>MS002</v>
      </c>
      <c r="AF888" t="s">
        <v>56</v>
      </c>
      <c r="AG888">
        <v>3579</v>
      </c>
      <c r="AH888">
        <v>9369</v>
      </c>
      <c r="AI888">
        <v>0</v>
      </c>
      <c r="AJ888" t="str">
        <f>_xlfn.XLOOKUP(Table1[[#This Row],[OverTime]],Table16[OverTime],Table16[Id_OverTime])</f>
        <v>OT001</v>
      </c>
      <c r="AK888" t="s">
        <v>32</v>
      </c>
      <c r="AL888">
        <v>21</v>
      </c>
      <c r="AM888" t="str">
        <f>_xlfn.XLOOKUP(Table1[[#This Row],[PerformanceRating]],Table17[PerformanceRating],Table17[Id_PerformanceRating])</f>
        <v>PR004</v>
      </c>
      <c r="AN888">
        <v>4</v>
      </c>
      <c r="AO888" t="str">
        <f>_xlfn.XLOOKUP(Table1[[#This Row],[PerformanceRating]],Table17[PerformanceRating],Table17[Deskripsi])</f>
        <v>Outstanding</v>
      </c>
      <c r="AP888" t="str">
        <f>_xlfn.XLOOKUP(Table1[[#This Row],[RelationshipSatisfaction]],Table18[RelationshipSatisfaction],Table18[Id_RelationshipSatisfaction])</f>
        <v>RS001</v>
      </c>
      <c r="AQ888">
        <v>1</v>
      </c>
      <c r="AR888" t="str">
        <f>_xlfn.XLOOKUP(Table1[[#This Row],[RelationshipSatisfaction]],Table18[RelationshipSatisfaction],Table18[Deskripsi])</f>
        <v>Low</v>
      </c>
      <c r="AS888" t="str">
        <f>_xlfn.XLOOKUP(Table1[[#This Row],[StockOptionLevel]],Table19[StockOptionLevel],Table19[Id_StockOptionLevel])</f>
        <v>SOL002</v>
      </c>
      <c r="AT888">
        <v>1</v>
      </c>
      <c r="AU888" t="str">
        <f>_xlfn.XLOOKUP(Table1[[#This Row],[StockOptionLevel]],Table19[StockOptionLevel],Table19[Deskripsi])</f>
        <v>Standard</v>
      </c>
      <c r="AV888">
        <v>12</v>
      </c>
      <c r="AW888">
        <v>2</v>
      </c>
      <c r="AX888" t="str">
        <f>_xlfn.XLOOKUP(Table1[[#This Row],[WorkLifeBalance]],Table20[WorkLifeBalance],Table20[Id_WorkLifeBalance])</f>
        <v>WLB002</v>
      </c>
      <c r="AY888">
        <v>3</v>
      </c>
      <c r="AZ888" t="str">
        <f>_xlfn.XLOOKUP(Table1[[#This Row],[WorkLifeBalance]],Table20[WorkLifeBalance],Table20[Deskripsi])</f>
        <v>Good</v>
      </c>
      <c r="BA888">
        <v>11</v>
      </c>
      <c r="BB888">
        <v>9</v>
      </c>
      <c r="BC888">
        <v>5</v>
      </c>
      <c r="BD888">
        <v>7</v>
      </c>
    </row>
    <row r="889" spans="1:56" x14ac:dyDescent="0.25">
      <c r="A889">
        <v>42</v>
      </c>
      <c r="B889" t="str">
        <f>_xlfn.XLOOKUP(Table1[[#This Row],[Attrition]],Table2[Attrition],Table2[Id_Attrition])</f>
        <v>A002</v>
      </c>
      <c r="C889" t="s">
        <v>33</v>
      </c>
      <c r="D889" t="str">
        <f>_xlfn.XLOOKUP(Table1[[#This Row],[BusinessTravel]],Table5[BusinessTravel],Table5[Id_BusinessTravel])</f>
        <v>BS002</v>
      </c>
      <c r="E889" t="s">
        <v>35</v>
      </c>
      <c r="F889">
        <v>458</v>
      </c>
      <c r="G889" t="str">
        <f>_xlfn.XLOOKUP(Table1[[#This Row],[Department]],Table6[Department],Table6[Id_Departement])</f>
        <v>D002</v>
      </c>
      <c r="H889" t="s">
        <v>38</v>
      </c>
      <c r="I889">
        <v>26</v>
      </c>
      <c r="J889" t="str">
        <f>_xlfn.XLOOKUP(Table1[[#This Row],[Education]],Table8[Education],Table8[Id_Education])</f>
        <v>E005</v>
      </c>
      <c r="K889">
        <v>5</v>
      </c>
      <c r="L889" t="str">
        <f>_xlfn.XLOOKUP(Table1[[#This Row],[EducationField]],Table7[EducationField],Table7[Id_EducationField])</f>
        <v>EF003</v>
      </c>
      <c r="M889" t="s">
        <v>42</v>
      </c>
      <c r="N889" t="str">
        <f>_xlfn.XLOOKUP(Table1[[#This Row],[EmployeeNumber]],Table4[EmployeeNumber],Table4[Id_Employee])</f>
        <v>EMP00888</v>
      </c>
      <c r="O889">
        <v>1242</v>
      </c>
      <c r="P889" t="str">
        <f>_xlfn.XLOOKUP(Table1[[#This Row],[EnvironmentSatisfaction]],Table9[EnvironmentSatisfaction],Table9[Id_EnviromentSatisfaction])</f>
        <v>ES001</v>
      </c>
      <c r="Q889">
        <v>1</v>
      </c>
      <c r="R889" t="str">
        <f>_xlfn.XLOOKUP(Table1[[#This Row],[EnvironmentSatisfaction]],Table9[EnvironmentSatisfaction],Table9[Deskripsi])</f>
        <v>Low</v>
      </c>
      <c r="S889" t="str">
        <f>_xlfn.XLOOKUP(Table1[[#This Row],[Gender]],Table10[Gender],Table10[Id_Gender])</f>
        <v>G001</v>
      </c>
      <c r="T889" t="s">
        <v>45</v>
      </c>
      <c r="U889">
        <v>60</v>
      </c>
      <c r="V889" t="str">
        <f>_xlfn.XLOOKUP(Table1[[#This Row],[JobInvolvement]],Table11[JobInvolvement],Table11[Id_JobInvolvement])</f>
        <v>JI003</v>
      </c>
      <c r="W889">
        <v>3</v>
      </c>
      <c r="X889" t="str">
        <f>_xlfn.XLOOKUP(Table1[[#This Row],[JobLevel]],Table12[JobLevel],Table12[Id_JobLevel])</f>
        <v>JL003</v>
      </c>
      <c r="Y889">
        <v>3</v>
      </c>
      <c r="Z889" t="str">
        <f>_xlfn.XLOOKUP(Table1[[#This Row],[JobRole]],Table13[JobRole],Table13[Id_JobRole])</f>
        <v>JR008</v>
      </c>
      <c r="AA889" t="s">
        <v>54</v>
      </c>
      <c r="AB889" t="str">
        <f>_xlfn.XLOOKUP(Table1[[#This Row],[JobSatisfaction]],Table14[JobSatisfaction],Table14[Id_JobSatisfaction])</f>
        <v>JS001</v>
      </c>
      <c r="AC889">
        <v>1</v>
      </c>
      <c r="AD889" t="str">
        <f>_xlfn.XLOOKUP(Table1[[#This Row],[JobSatisfaction]],Table14[JobSatisfaction],Table14[Deskripsi])</f>
        <v>Low</v>
      </c>
      <c r="AE889" t="str">
        <f>_xlfn.XLOOKUP(Table1[[#This Row],[MaritalStatus]],Table15[MaritalStatus],Table15[Id_MaritalStatus])</f>
        <v>MS002</v>
      </c>
      <c r="AF889" t="s">
        <v>56</v>
      </c>
      <c r="AG889">
        <v>13191</v>
      </c>
      <c r="AH889">
        <v>23281</v>
      </c>
      <c r="AI889">
        <v>3</v>
      </c>
      <c r="AJ889" t="str">
        <f>_xlfn.XLOOKUP(Table1[[#This Row],[OverTime]],Table16[OverTime],Table16[Id_OverTime])</f>
        <v>OT001</v>
      </c>
      <c r="AK889" t="s">
        <v>32</v>
      </c>
      <c r="AL889">
        <v>17</v>
      </c>
      <c r="AM889" t="str">
        <f>_xlfn.XLOOKUP(Table1[[#This Row],[PerformanceRating]],Table17[PerformanceRating],Table17[Id_PerformanceRating])</f>
        <v>PR003</v>
      </c>
      <c r="AN889">
        <v>3</v>
      </c>
      <c r="AO889" t="str">
        <f>_xlfn.XLOOKUP(Table1[[#This Row],[PerformanceRating]],Table17[PerformanceRating],Table17[Deskripsi])</f>
        <v>Excellent</v>
      </c>
      <c r="AP889" t="str">
        <f>_xlfn.XLOOKUP(Table1[[#This Row],[RelationshipSatisfaction]],Table18[RelationshipSatisfaction],Table18[Id_RelationshipSatisfaction])</f>
        <v>RS003</v>
      </c>
      <c r="AQ889">
        <v>3</v>
      </c>
      <c r="AR889" t="str">
        <f>_xlfn.XLOOKUP(Table1[[#This Row],[RelationshipSatisfaction]],Table18[RelationshipSatisfaction],Table18[Deskripsi])</f>
        <v>High</v>
      </c>
      <c r="AS889" t="str">
        <f>_xlfn.XLOOKUP(Table1[[#This Row],[StockOptionLevel]],Table19[StockOptionLevel],Table19[Id_StockOptionLevel])</f>
        <v>SOL001</v>
      </c>
      <c r="AT889">
        <v>0</v>
      </c>
      <c r="AU889" t="str">
        <f>_xlfn.XLOOKUP(Table1[[#This Row],[StockOptionLevel]],Table19[StockOptionLevel],Table19[Deskripsi])</f>
        <v>Non-Eligible</v>
      </c>
      <c r="AV889">
        <v>20</v>
      </c>
      <c r="AW889">
        <v>6</v>
      </c>
      <c r="AX889" t="str">
        <f>_xlfn.XLOOKUP(Table1[[#This Row],[WorkLifeBalance]],Table20[WorkLifeBalance],Table20[Id_WorkLifeBalance])</f>
        <v>WLB002</v>
      </c>
      <c r="AY889">
        <v>3</v>
      </c>
      <c r="AZ889" t="str">
        <f>_xlfn.XLOOKUP(Table1[[#This Row],[WorkLifeBalance]],Table20[WorkLifeBalance],Table20[Deskripsi])</f>
        <v>Good</v>
      </c>
      <c r="BA889">
        <v>1</v>
      </c>
      <c r="BB889">
        <v>0</v>
      </c>
      <c r="BC889">
        <v>0</v>
      </c>
      <c r="BD889">
        <v>0</v>
      </c>
    </row>
    <row r="890" spans="1:56" x14ac:dyDescent="0.25">
      <c r="A890">
        <v>35</v>
      </c>
      <c r="B890" t="str">
        <f>_xlfn.XLOOKUP(Table1[[#This Row],[Attrition]],Table2[Attrition],Table2[Id_Attrition])</f>
        <v>A002</v>
      </c>
      <c r="C890" t="s">
        <v>33</v>
      </c>
      <c r="D890" t="str">
        <f>_xlfn.XLOOKUP(Table1[[#This Row],[BusinessTravel]],Table5[BusinessTravel],Table5[Id_BusinessTravel])</f>
        <v>BS003</v>
      </c>
      <c r="E890" t="s">
        <v>36</v>
      </c>
      <c r="F890">
        <v>1212</v>
      </c>
      <c r="G890" t="str">
        <f>_xlfn.XLOOKUP(Table1[[#This Row],[Department]],Table6[Department],Table6[Id_Departement])</f>
        <v>D001</v>
      </c>
      <c r="H890" t="s">
        <v>37</v>
      </c>
      <c r="I890">
        <v>8</v>
      </c>
      <c r="J890" t="str">
        <f>_xlfn.XLOOKUP(Table1[[#This Row],[Education]],Table8[Education],Table8[Id_Education])</f>
        <v>E002</v>
      </c>
      <c r="K890">
        <v>2</v>
      </c>
      <c r="L890" t="str">
        <f>_xlfn.XLOOKUP(Table1[[#This Row],[EducationField]],Table7[EducationField],Table7[Id_EducationField])</f>
        <v>EF004</v>
      </c>
      <c r="M890" t="s">
        <v>43</v>
      </c>
      <c r="N890" t="str">
        <f>_xlfn.XLOOKUP(Table1[[#This Row],[EmployeeNumber]],Table4[EmployeeNumber],Table4[Id_Employee])</f>
        <v>EMP00889</v>
      </c>
      <c r="O890">
        <v>1243</v>
      </c>
      <c r="P890" t="str">
        <f>_xlfn.XLOOKUP(Table1[[#This Row],[EnvironmentSatisfaction]],Table9[EnvironmentSatisfaction],Table9[Id_EnviromentSatisfaction])</f>
        <v>ES003</v>
      </c>
      <c r="Q890">
        <v>3</v>
      </c>
      <c r="R890" t="str">
        <f>_xlfn.XLOOKUP(Table1[[#This Row],[EnvironmentSatisfaction]],Table9[EnvironmentSatisfaction],Table9[Deskripsi])</f>
        <v>High</v>
      </c>
      <c r="S890" t="str">
        <f>_xlfn.XLOOKUP(Table1[[#This Row],[Gender]],Table10[Gender],Table10[Id_Gender])</f>
        <v>G001</v>
      </c>
      <c r="T890" t="s">
        <v>45</v>
      </c>
      <c r="U890">
        <v>78</v>
      </c>
      <c r="V890" t="str">
        <f>_xlfn.XLOOKUP(Table1[[#This Row],[JobInvolvement]],Table11[JobInvolvement],Table11[Id_JobInvolvement])</f>
        <v>JI002</v>
      </c>
      <c r="W890">
        <v>2</v>
      </c>
      <c r="X890" t="str">
        <f>_xlfn.XLOOKUP(Table1[[#This Row],[JobLevel]],Table12[JobLevel],Table12[Id_JobLevel])</f>
        <v>JL003</v>
      </c>
      <c r="Y890">
        <v>3</v>
      </c>
      <c r="Z890" t="str">
        <f>_xlfn.XLOOKUP(Table1[[#This Row],[JobRole]],Table13[JobRole],Table13[Id_JobRole])</f>
        <v>JR001</v>
      </c>
      <c r="AA890" t="s">
        <v>47</v>
      </c>
      <c r="AB890" t="str">
        <f>_xlfn.XLOOKUP(Table1[[#This Row],[JobSatisfaction]],Table14[JobSatisfaction],Table14[Id_JobSatisfaction])</f>
        <v>JS004</v>
      </c>
      <c r="AC890">
        <v>4</v>
      </c>
      <c r="AD890" t="str">
        <f>_xlfn.XLOOKUP(Table1[[#This Row],[JobSatisfaction]],Table14[JobSatisfaction],Table14[Deskripsi])</f>
        <v>Very High</v>
      </c>
      <c r="AE890" t="str">
        <f>_xlfn.XLOOKUP(Table1[[#This Row],[MaritalStatus]],Table15[MaritalStatus],Table15[Id_MaritalStatus])</f>
        <v>MS002</v>
      </c>
      <c r="AF890" t="s">
        <v>56</v>
      </c>
      <c r="AG890">
        <v>10377</v>
      </c>
      <c r="AH890">
        <v>13755</v>
      </c>
      <c r="AI890">
        <v>4</v>
      </c>
      <c r="AJ890" t="str">
        <f>_xlfn.XLOOKUP(Table1[[#This Row],[OverTime]],Table16[OverTime],Table16[Id_OverTime])</f>
        <v>OT001</v>
      </c>
      <c r="AK890" t="s">
        <v>32</v>
      </c>
      <c r="AL890">
        <v>11</v>
      </c>
      <c r="AM890" t="str">
        <f>_xlfn.XLOOKUP(Table1[[#This Row],[PerformanceRating]],Table17[PerformanceRating],Table17[Id_PerformanceRating])</f>
        <v>PR003</v>
      </c>
      <c r="AN890">
        <v>3</v>
      </c>
      <c r="AO890" t="str">
        <f>_xlfn.XLOOKUP(Table1[[#This Row],[PerformanceRating]],Table17[PerformanceRating],Table17[Deskripsi])</f>
        <v>Excellent</v>
      </c>
      <c r="AP890" t="str">
        <f>_xlfn.XLOOKUP(Table1[[#This Row],[RelationshipSatisfaction]],Table18[RelationshipSatisfaction],Table18[Id_RelationshipSatisfaction])</f>
        <v>RS002</v>
      </c>
      <c r="AQ890">
        <v>2</v>
      </c>
      <c r="AR890" t="str">
        <f>_xlfn.XLOOKUP(Table1[[#This Row],[RelationshipSatisfaction]],Table18[RelationshipSatisfaction],Table18[Deskripsi])</f>
        <v>Medium</v>
      </c>
      <c r="AS890" t="str">
        <f>_xlfn.XLOOKUP(Table1[[#This Row],[StockOptionLevel]],Table19[StockOptionLevel],Table19[Id_StockOptionLevel])</f>
        <v>SOL002</v>
      </c>
      <c r="AT890">
        <v>1</v>
      </c>
      <c r="AU890" t="str">
        <f>_xlfn.XLOOKUP(Table1[[#This Row],[StockOptionLevel]],Table19[StockOptionLevel],Table19[Deskripsi])</f>
        <v>Standard</v>
      </c>
      <c r="AV890">
        <v>16</v>
      </c>
      <c r="AW890">
        <v>6</v>
      </c>
      <c r="AX890" t="str">
        <f>_xlfn.XLOOKUP(Table1[[#This Row],[WorkLifeBalance]],Table20[WorkLifeBalance],Table20[Id_WorkLifeBalance])</f>
        <v>WLB003</v>
      </c>
      <c r="AY890">
        <v>2</v>
      </c>
      <c r="AZ890" t="str">
        <f>_xlfn.XLOOKUP(Table1[[#This Row],[WorkLifeBalance]],Table20[WorkLifeBalance],Table20[Deskripsi])</f>
        <v>Better</v>
      </c>
      <c r="BA890">
        <v>13</v>
      </c>
      <c r="BB890">
        <v>2</v>
      </c>
      <c r="BC890">
        <v>4</v>
      </c>
      <c r="BD890">
        <v>12</v>
      </c>
    </row>
    <row r="891" spans="1:56" x14ac:dyDescent="0.25">
      <c r="A891">
        <v>27</v>
      </c>
      <c r="B891" t="str">
        <f>_xlfn.XLOOKUP(Table1[[#This Row],[Attrition]],Table2[Attrition],Table2[Id_Attrition])</f>
        <v>A002</v>
      </c>
      <c r="C891" t="s">
        <v>33</v>
      </c>
      <c r="D891" t="str">
        <f>_xlfn.XLOOKUP(Table1[[#This Row],[BusinessTravel]],Table5[BusinessTravel],Table5[Id_BusinessTravel])</f>
        <v>BS001</v>
      </c>
      <c r="E891" t="s">
        <v>34</v>
      </c>
      <c r="F891">
        <v>1103</v>
      </c>
      <c r="G891" t="str">
        <f>_xlfn.XLOOKUP(Table1[[#This Row],[Department]],Table6[Department],Table6[Id_Departement])</f>
        <v>D002</v>
      </c>
      <c r="H891" t="s">
        <v>38</v>
      </c>
      <c r="I891">
        <v>14</v>
      </c>
      <c r="J891" t="str">
        <f>_xlfn.XLOOKUP(Table1[[#This Row],[Education]],Table8[Education],Table8[Id_Education])</f>
        <v>E003</v>
      </c>
      <c r="K891">
        <v>3</v>
      </c>
      <c r="L891" t="str">
        <f>_xlfn.XLOOKUP(Table1[[#This Row],[EducationField]],Table7[EducationField],Table7[Id_EducationField])</f>
        <v>EF001</v>
      </c>
      <c r="M891" t="s">
        <v>40</v>
      </c>
      <c r="N891" t="str">
        <f>_xlfn.XLOOKUP(Table1[[#This Row],[EmployeeNumber]],Table4[EmployeeNumber],Table4[Id_Employee])</f>
        <v>EMP00890</v>
      </c>
      <c r="O891">
        <v>1244</v>
      </c>
      <c r="P891" t="str">
        <f>_xlfn.XLOOKUP(Table1[[#This Row],[EnvironmentSatisfaction]],Table9[EnvironmentSatisfaction],Table9[Id_EnviromentSatisfaction])</f>
        <v>ES001</v>
      </c>
      <c r="Q891">
        <v>1</v>
      </c>
      <c r="R891" t="str">
        <f>_xlfn.XLOOKUP(Table1[[#This Row],[EnvironmentSatisfaction]],Table9[EnvironmentSatisfaction],Table9[Deskripsi])</f>
        <v>Low</v>
      </c>
      <c r="S891" t="str">
        <f>_xlfn.XLOOKUP(Table1[[#This Row],[Gender]],Table10[Gender],Table10[Id_Gender])</f>
        <v>G002</v>
      </c>
      <c r="T891" t="s">
        <v>46</v>
      </c>
      <c r="U891">
        <v>42</v>
      </c>
      <c r="V891" t="str">
        <f>_xlfn.XLOOKUP(Table1[[#This Row],[JobInvolvement]],Table11[JobInvolvement],Table11[Id_JobInvolvement])</f>
        <v>JI003</v>
      </c>
      <c r="W891">
        <v>3</v>
      </c>
      <c r="X891" t="str">
        <f>_xlfn.XLOOKUP(Table1[[#This Row],[JobLevel]],Table12[JobLevel],Table12[Id_JobLevel])</f>
        <v>JL001</v>
      </c>
      <c r="Y891">
        <v>1</v>
      </c>
      <c r="Z891" t="str">
        <f>_xlfn.XLOOKUP(Table1[[#This Row],[JobRole]],Table13[JobRole],Table13[Id_JobRole])</f>
        <v>JR002</v>
      </c>
      <c r="AA891" t="s">
        <v>48</v>
      </c>
      <c r="AB891" t="str">
        <f>_xlfn.XLOOKUP(Table1[[#This Row],[JobSatisfaction]],Table14[JobSatisfaction],Table14[Id_JobSatisfaction])</f>
        <v>JS001</v>
      </c>
      <c r="AC891">
        <v>1</v>
      </c>
      <c r="AD891" t="str">
        <f>_xlfn.XLOOKUP(Table1[[#This Row],[JobSatisfaction]],Table14[JobSatisfaction],Table14[Deskripsi])</f>
        <v>Low</v>
      </c>
      <c r="AE891" t="str">
        <f>_xlfn.XLOOKUP(Table1[[#This Row],[MaritalStatus]],Table15[MaritalStatus],Table15[Id_MaritalStatus])</f>
        <v>MS002</v>
      </c>
      <c r="AF891" t="s">
        <v>56</v>
      </c>
      <c r="AG891">
        <v>2235</v>
      </c>
      <c r="AH891">
        <v>14377</v>
      </c>
      <c r="AI891">
        <v>1</v>
      </c>
      <c r="AJ891" t="str">
        <f>_xlfn.XLOOKUP(Table1[[#This Row],[OverTime]],Table16[OverTime],Table16[Id_OverTime])</f>
        <v>OT001</v>
      </c>
      <c r="AK891" t="s">
        <v>32</v>
      </c>
      <c r="AL891">
        <v>14</v>
      </c>
      <c r="AM891" t="str">
        <f>_xlfn.XLOOKUP(Table1[[#This Row],[PerformanceRating]],Table17[PerformanceRating],Table17[Id_PerformanceRating])</f>
        <v>PR003</v>
      </c>
      <c r="AN891">
        <v>3</v>
      </c>
      <c r="AO891" t="str">
        <f>_xlfn.XLOOKUP(Table1[[#This Row],[PerformanceRating]],Table17[PerformanceRating],Table17[Deskripsi])</f>
        <v>Excellent</v>
      </c>
      <c r="AP891" t="str">
        <f>_xlfn.XLOOKUP(Table1[[#This Row],[RelationshipSatisfaction]],Table18[RelationshipSatisfaction],Table18[Id_RelationshipSatisfaction])</f>
        <v>RS004</v>
      </c>
      <c r="AQ891">
        <v>4</v>
      </c>
      <c r="AR891" t="str">
        <f>_xlfn.XLOOKUP(Table1[[#This Row],[RelationshipSatisfaction]],Table18[RelationshipSatisfaction],Table18[Deskripsi])</f>
        <v>Very High</v>
      </c>
      <c r="AS891" t="str">
        <f>_xlfn.XLOOKUP(Table1[[#This Row],[StockOptionLevel]],Table19[StockOptionLevel],Table19[Id_StockOptionLevel])</f>
        <v>SOL003</v>
      </c>
      <c r="AT891">
        <v>2</v>
      </c>
      <c r="AU891" t="str">
        <f>_xlfn.XLOOKUP(Table1[[#This Row],[StockOptionLevel]],Table19[StockOptionLevel],Table19[Deskripsi])</f>
        <v>Intermediate</v>
      </c>
      <c r="AV891">
        <v>9</v>
      </c>
      <c r="AW891">
        <v>3</v>
      </c>
      <c r="AX891" t="str">
        <f>_xlfn.XLOOKUP(Table1[[#This Row],[WorkLifeBalance]],Table20[WorkLifeBalance],Table20[Id_WorkLifeBalance])</f>
        <v>WLB003</v>
      </c>
      <c r="AY891">
        <v>2</v>
      </c>
      <c r="AZ891" t="str">
        <f>_xlfn.XLOOKUP(Table1[[#This Row],[WorkLifeBalance]],Table20[WorkLifeBalance],Table20[Deskripsi])</f>
        <v>Better</v>
      </c>
      <c r="BA891">
        <v>9</v>
      </c>
      <c r="BB891">
        <v>7</v>
      </c>
      <c r="BC891">
        <v>6</v>
      </c>
      <c r="BD891">
        <v>8</v>
      </c>
    </row>
    <row r="892" spans="1:56" x14ac:dyDescent="0.25">
      <c r="A892">
        <v>54</v>
      </c>
      <c r="B892" t="str">
        <f>_xlfn.XLOOKUP(Table1[[#This Row],[Attrition]],Table2[Attrition],Table2[Id_Attrition])</f>
        <v>A002</v>
      </c>
      <c r="C892" t="s">
        <v>33</v>
      </c>
      <c r="D892" t="str">
        <f>_xlfn.XLOOKUP(Table1[[#This Row],[BusinessTravel]],Table5[BusinessTravel],Table5[Id_BusinessTravel])</f>
        <v>BS002</v>
      </c>
      <c r="E892" t="s">
        <v>35</v>
      </c>
      <c r="F892">
        <v>966</v>
      </c>
      <c r="G892" t="str">
        <f>_xlfn.XLOOKUP(Table1[[#This Row],[Department]],Table6[Department],Table6[Id_Departement])</f>
        <v>D002</v>
      </c>
      <c r="H892" t="s">
        <v>38</v>
      </c>
      <c r="I892">
        <v>1</v>
      </c>
      <c r="J892" t="str">
        <f>_xlfn.XLOOKUP(Table1[[#This Row],[Education]],Table8[Education],Table8[Id_Education])</f>
        <v>E004</v>
      </c>
      <c r="K892">
        <v>4</v>
      </c>
      <c r="L892" t="str">
        <f>_xlfn.XLOOKUP(Table1[[#This Row],[EducationField]],Table7[EducationField],Table7[Id_EducationField])</f>
        <v>EF001</v>
      </c>
      <c r="M892" t="s">
        <v>40</v>
      </c>
      <c r="N892" t="str">
        <f>_xlfn.XLOOKUP(Table1[[#This Row],[EmployeeNumber]],Table4[EmployeeNumber],Table4[Id_Employee])</f>
        <v>EMP00891</v>
      </c>
      <c r="O892">
        <v>1245</v>
      </c>
      <c r="P892" t="str">
        <f>_xlfn.XLOOKUP(Table1[[#This Row],[EnvironmentSatisfaction]],Table9[EnvironmentSatisfaction],Table9[Id_EnviromentSatisfaction])</f>
        <v>ES004</v>
      </c>
      <c r="Q892">
        <v>4</v>
      </c>
      <c r="R892" t="str">
        <f>_xlfn.XLOOKUP(Table1[[#This Row],[EnvironmentSatisfaction]],Table9[EnvironmentSatisfaction],Table9[Deskripsi])</f>
        <v>Very High</v>
      </c>
      <c r="S892" t="str">
        <f>_xlfn.XLOOKUP(Table1[[#This Row],[Gender]],Table10[Gender],Table10[Id_Gender])</f>
        <v>G001</v>
      </c>
      <c r="T892" t="s">
        <v>45</v>
      </c>
      <c r="U892">
        <v>53</v>
      </c>
      <c r="V892" t="str">
        <f>_xlfn.XLOOKUP(Table1[[#This Row],[JobInvolvement]],Table11[JobInvolvement],Table11[Id_JobInvolvement])</f>
        <v>JI003</v>
      </c>
      <c r="W892">
        <v>3</v>
      </c>
      <c r="X892" t="str">
        <f>_xlfn.XLOOKUP(Table1[[#This Row],[JobLevel]],Table12[JobLevel],Table12[Id_JobLevel])</f>
        <v>JL003</v>
      </c>
      <c r="Y892">
        <v>3</v>
      </c>
      <c r="Z892" t="str">
        <f>_xlfn.XLOOKUP(Table1[[#This Row],[JobRole]],Table13[JobRole],Table13[Id_JobRole])</f>
        <v>JR004</v>
      </c>
      <c r="AA892" t="s">
        <v>50</v>
      </c>
      <c r="AB892" t="str">
        <f>_xlfn.XLOOKUP(Table1[[#This Row],[JobSatisfaction]],Table14[JobSatisfaction],Table14[Id_JobSatisfaction])</f>
        <v>JS003</v>
      </c>
      <c r="AC892">
        <v>3</v>
      </c>
      <c r="AD892" t="str">
        <f>_xlfn.XLOOKUP(Table1[[#This Row],[JobSatisfaction]],Table14[JobSatisfaction],Table14[Deskripsi])</f>
        <v>High</v>
      </c>
      <c r="AE892" t="str">
        <f>_xlfn.XLOOKUP(Table1[[#This Row],[MaritalStatus]],Table15[MaritalStatus],Table15[Id_MaritalStatus])</f>
        <v>MS003</v>
      </c>
      <c r="AF892" t="s">
        <v>57</v>
      </c>
      <c r="AG892">
        <v>10502</v>
      </c>
      <c r="AH892">
        <v>9659</v>
      </c>
      <c r="AI892">
        <v>7</v>
      </c>
      <c r="AJ892" t="str">
        <f>_xlfn.XLOOKUP(Table1[[#This Row],[OverTime]],Table16[OverTime],Table16[Id_OverTime])</f>
        <v>OT002</v>
      </c>
      <c r="AK892" t="s">
        <v>33</v>
      </c>
      <c r="AL892">
        <v>17</v>
      </c>
      <c r="AM892" t="str">
        <f>_xlfn.XLOOKUP(Table1[[#This Row],[PerformanceRating]],Table17[PerformanceRating],Table17[Id_PerformanceRating])</f>
        <v>PR003</v>
      </c>
      <c r="AN892">
        <v>3</v>
      </c>
      <c r="AO892" t="str">
        <f>_xlfn.XLOOKUP(Table1[[#This Row],[PerformanceRating]],Table17[PerformanceRating],Table17[Deskripsi])</f>
        <v>Excellent</v>
      </c>
      <c r="AP892" t="str">
        <f>_xlfn.XLOOKUP(Table1[[#This Row],[RelationshipSatisfaction]],Table18[RelationshipSatisfaction],Table18[Id_RelationshipSatisfaction])</f>
        <v>RS001</v>
      </c>
      <c r="AQ892">
        <v>1</v>
      </c>
      <c r="AR892" t="str">
        <f>_xlfn.XLOOKUP(Table1[[#This Row],[RelationshipSatisfaction]],Table18[RelationshipSatisfaction],Table18[Deskripsi])</f>
        <v>Low</v>
      </c>
      <c r="AS892" t="str">
        <f>_xlfn.XLOOKUP(Table1[[#This Row],[StockOptionLevel]],Table19[StockOptionLevel],Table19[Id_StockOptionLevel])</f>
        <v>SOL002</v>
      </c>
      <c r="AT892">
        <v>1</v>
      </c>
      <c r="AU892" t="str">
        <f>_xlfn.XLOOKUP(Table1[[#This Row],[StockOptionLevel]],Table19[StockOptionLevel],Table19[Deskripsi])</f>
        <v>Standard</v>
      </c>
      <c r="AV892">
        <v>33</v>
      </c>
      <c r="AW892">
        <v>2</v>
      </c>
      <c r="AX892" t="str">
        <f>_xlfn.XLOOKUP(Table1[[#This Row],[WorkLifeBalance]],Table20[WorkLifeBalance],Table20[Id_WorkLifeBalance])</f>
        <v>WLB001</v>
      </c>
      <c r="AY892">
        <v>1</v>
      </c>
      <c r="AZ892" t="str">
        <f>_xlfn.XLOOKUP(Table1[[#This Row],[WorkLifeBalance]],Table20[WorkLifeBalance],Table20[Deskripsi])</f>
        <v>Bad</v>
      </c>
      <c r="BA892">
        <v>5</v>
      </c>
      <c r="BB892">
        <v>4</v>
      </c>
      <c r="BC892">
        <v>1</v>
      </c>
      <c r="BD892">
        <v>4</v>
      </c>
    </row>
    <row r="893" spans="1:56" x14ac:dyDescent="0.25">
      <c r="A893">
        <v>44</v>
      </c>
      <c r="B893" t="str">
        <f>_xlfn.XLOOKUP(Table1[[#This Row],[Attrition]],Table2[Attrition],Table2[Id_Attrition])</f>
        <v>A002</v>
      </c>
      <c r="C893" t="s">
        <v>33</v>
      </c>
      <c r="D893" t="str">
        <f>_xlfn.XLOOKUP(Table1[[#This Row],[BusinessTravel]],Table5[BusinessTravel],Table5[Id_BusinessTravel])</f>
        <v>BS001</v>
      </c>
      <c r="E893" t="s">
        <v>34</v>
      </c>
      <c r="F893">
        <v>1117</v>
      </c>
      <c r="G893" t="str">
        <f>_xlfn.XLOOKUP(Table1[[#This Row],[Department]],Table6[Department],Table6[Id_Departement])</f>
        <v>D002</v>
      </c>
      <c r="H893" t="s">
        <v>38</v>
      </c>
      <c r="I893">
        <v>2</v>
      </c>
      <c r="J893" t="str">
        <f>_xlfn.XLOOKUP(Table1[[#This Row],[Education]],Table8[Education],Table8[Id_Education])</f>
        <v>E001</v>
      </c>
      <c r="K893">
        <v>1</v>
      </c>
      <c r="L893" t="str">
        <f>_xlfn.XLOOKUP(Table1[[#This Row],[EducationField]],Table7[EducationField],Table7[Id_EducationField])</f>
        <v>EF001</v>
      </c>
      <c r="M893" t="s">
        <v>40</v>
      </c>
      <c r="N893" t="str">
        <f>_xlfn.XLOOKUP(Table1[[#This Row],[EmployeeNumber]],Table4[EmployeeNumber],Table4[Id_Employee])</f>
        <v>EMP00892</v>
      </c>
      <c r="O893">
        <v>1246</v>
      </c>
      <c r="P893" t="str">
        <f>_xlfn.XLOOKUP(Table1[[#This Row],[EnvironmentSatisfaction]],Table9[EnvironmentSatisfaction],Table9[Id_EnviromentSatisfaction])</f>
        <v>ES001</v>
      </c>
      <c r="Q893">
        <v>1</v>
      </c>
      <c r="R893" t="str">
        <f>_xlfn.XLOOKUP(Table1[[#This Row],[EnvironmentSatisfaction]],Table9[EnvironmentSatisfaction],Table9[Deskripsi])</f>
        <v>Low</v>
      </c>
      <c r="S893" t="str">
        <f>_xlfn.XLOOKUP(Table1[[#This Row],[Gender]],Table10[Gender],Table10[Id_Gender])</f>
        <v>G001</v>
      </c>
      <c r="T893" t="s">
        <v>45</v>
      </c>
      <c r="U893">
        <v>72</v>
      </c>
      <c r="V893" t="str">
        <f>_xlfn.XLOOKUP(Table1[[#This Row],[JobInvolvement]],Table11[JobInvolvement],Table11[Id_JobInvolvement])</f>
        <v>JI004</v>
      </c>
      <c r="W893">
        <v>4</v>
      </c>
      <c r="X893" t="str">
        <f>_xlfn.XLOOKUP(Table1[[#This Row],[JobLevel]],Table12[JobLevel],Table12[Id_JobLevel])</f>
        <v>JL001</v>
      </c>
      <c r="Y893">
        <v>1</v>
      </c>
      <c r="Z893" t="str">
        <f>_xlfn.XLOOKUP(Table1[[#This Row],[JobRole]],Table13[JobRole],Table13[Id_JobRole])</f>
        <v>JR002</v>
      </c>
      <c r="AA893" t="s">
        <v>48</v>
      </c>
      <c r="AB893" t="str">
        <f>_xlfn.XLOOKUP(Table1[[#This Row],[JobSatisfaction]],Table14[JobSatisfaction],Table14[Id_JobSatisfaction])</f>
        <v>JS004</v>
      </c>
      <c r="AC893">
        <v>4</v>
      </c>
      <c r="AD893" t="str">
        <f>_xlfn.XLOOKUP(Table1[[#This Row],[JobSatisfaction]],Table14[JobSatisfaction],Table14[Deskripsi])</f>
        <v>Very High</v>
      </c>
      <c r="AE893" t="str">
        <f>_xlfn.XLOOKUP(Table1[[#This Row],[MaritalStatus]],Table15[MaritalStatus],Table15[Id_MaritalStatus])</f>
        <v>MS002</v>
      </c>
      <c r="AF893" t="s">
        <v>56</v>
      </c>
      <c r="AG893">
        <v>2011</v>
      </c>
      <c r="AH893">
        <v>19982</v>
      </c>
      <c r="AI893">
        <v>1</v>
      </c>
      <c r="AJ893" t="str">
        <f>_xlfn.XLOOKUP(Table1[[#This Row],[OverTime]],Table16[OverTime],Table16[Id_OverTime])</f>
        <v>OT002</v>
      </c>
      <c r="AK893" t="s">
        <v>33</v>
      </c>
      <c r="AL893">
        <v>13</v>
      </c>
      <c r="AM893" t="str">
        <f>_xlfn.XLOOKUP(Table1[[#This Row],[PerformanceRating]],Table17[PerformanceRating],Table17[Id_PerformanceRating])</f>
        <v>PR003</v>
      </c>
      <c r="AN893">
        <v>3</v>
      </c>
      <c r="AO893" t="str">
        <f>_xlfn.XLOOKUP(Table1[[#This Row],[PerformanceRating]],Table17[PerformanceRating],Table17[Deskripsi])</f>
        <v>Excellent</v>
      </c>
      <c r="AP893" t="str">
        <f>_xlfn.XLOOKUP(Table1[[#This Row],[RelationshipSatisfaction]],Table18[RelationshipSatisfaction],Table18[Id_RelationshipSatisfaction])</f>
        <v>RS004</v>
      </c>
      <c r="AQ893">
        <v>4</v>
      </c>
      <c r="AR893" t="str">
        <f>_xlfn.XLOOKUP(Table1[[#This Row],[RelationshipSatisfaction]],Table18[RelationshipSatisfaction],Table18[Deskripsi])</f>
        <v>Very High</v>
      </c>
      <c r="AS893" t="str">
        <f>_xlfn.XLOOKUP(Table1[[#This Row],[StockOptionLevel]],Table19[StockOptionLevel],Table19[Id_StockOptionLevel])</f>
        <v>SOL002</v>
      </c>
      <c r="AT893">
        <v>1</v>
      </c>
      <c r="AU893" t="str">
        <f>_xlfn.XLOOKUP(Table1[[#This Row],[StockOptionLevel]],Table19[StockOptionLevel],Table19[Deskripsi])</f>
        <v>Standard</v>
      </c>
      <c r="AV893">
        <v>10</v>
      </c>
      <c r="AW893">
        <v>5</v>
      </c>
      <c r="AX893" t="str">
        <f>_xlfn.XLOOKUP(Table1[[#This Row],[WorkLifeBalance]],Table20[WorkLifeBalance],Table20[Id_WorkLifeBalance])</f>
        <v>WLB002</v>
      </c>
      <c r="AY893">
        <v>3</v>
      </c>
      <c r="AZ893" t="str">
        <f>_xlfn.XLOOKUP(Table1[[#This Row],[WorkLifeBalance]],Table20[WorkLifeBalance],Table20[Deskripsi])</f>
        <v>Good</v>
      </c>
      <c r="BA893">
        <v>10</v>
      </c>
      <c r="BB893">
        <v>5</v>
      </c>
      <c r="BC893">
        <v>7</v>
      </c>
      <c r="BD893">
        <v>7</v>
      </c>
    </row>
    <row r="894" spans="1:56" x14ac:dyDescent="0.25">
      <c r="A894">
        <v>19</v>
      </c>
      <c r="B894" t="str">
        <f>_xlfn.XLOOKUP(Table1[[#This Row],[Attrition]],Table2[Attrition],Table2[Id_Attrition])</f>
        <v>A001</v>
      </c>
      <c r="C894" t="s">
        <v>32</v>
      </c>
      <c r="D894" t="str">
        <f>_xlfn.XLOOKUP(Table1[[#This Row],[BusinessTravel]],Table5[BusinessTravel],Table5[Id_BusinessTravel])</f>
        <v>BS003</v>
      </c>
      <c r="E894" t="s">
        <v>36</v>
      </c>
      <c r="F894">
        <v>504</v>
      </c>
      <c r="G894" t="str">
        <f>_xlfn.XLOOKUP(Table1[[#This Row],[Department]],Table6[Department],Table6[Id_Departement])</f>
        <v>D002</v>
      </c>
      <c r="H894" t="s">
        <v>38</v>
      </c>
      <c r="I894">
        <v>10</v>
      </c>
      <c r="J894" t="str">
        <f>_xlfn.XLOOKUP(Table1[[#This Row],[Education]],Table8[Education],Table8[Id_Education])</f>
        <v>E003</v>
      </c>
      <c r="K894">
        <v>3</v>
      </c>
      <c r="L894" t="str">
        <f>_xlfn.XLOOKUP(Table1[[#This Row],[EducationField]],Table7[EducationField],Table7[Id_EducationField])</f>
        <v>EF003</v>
      </c>
      <c r="M894" t="s">
        <v>42</v>
      </c>
      <c r="N894" t="str">
        <f>_xlfn.XLOOKUP(Table1[[#This Row],[EmployeeNumber]],Table4[EmployeeNumber],Table4[Id_Employee])</f>
        <v>EMP00893</v>
      </c>
      <c r="O894">
        <v>1248</v>
      </c>
      <c r="P894" t="str">
        <f>_xlfn.XLOOKUP(Table1[[#This Row],[EnvironmentSatisfaction]],Table9[EnvironmentSatisfaction],Table9[Id_EnviromentSatisfaction])</f>
        <v>ES001</v>
      </c>
      <c r="Q894">
        <v>1</v>
      </c>
      <c r="R894" t="str">
        <f>_xlfn.XLOOKUP(Table1[[#This Row],[EnvironmentSatisfaction]],Table9[EnvironmentSatisfaction],Table9[Deskripsi])</f>
        <v>Low</v>
      </c>
      <c r="S894" t="str">
        <f>_xlfn.XLOOKUP(Table1[[#This Row],[Gender]],Table10[Gender],Table10[Id_Gender])</f>
        <v>G001</v>
      </c>
      <c r="T894" t="s">
        <v>45</v>
      </c>
      <c r="U894">
        <v>96</v>
      </c>
      <c r="V894" t="str">
        <f>_xlfn.XLOOKUP(Table1[[#This Row],[JobInvolvement]],Table11[JobInvolvement],Table11[Id_JobInvolvement])</f>
        <v>JI002</v>
      </c>
      <c r="W894">
        <v>2</v>
      </c>
      <c r="X894" t="str">
        <f>_xlfn.XLOOKUP(Table1[[#This Row],[JobLevel]],Table12[JobLevel],Table12[Id_JobLevel])</f>
        <v>JL001</v>
      </c>
      <c r="Y894">
        <v>1</v>
      </c>
      <c r="Z894" t="str">
        <f>_xlfn.XLOOKUP(Table1[[#This Row],[JobRole]],Table13[JobRole],Table13[Id_JobRole])</f>
        <v>JR002</v>
      </c>
      <c r="AA894" t="s">
        <v>48</v>
      </c>
      <c r="AB894" t="str">
        <f>_xlfn.XLOOKUP(Table1[[#This Row],[JobSatisfaction]],Table14[JobSatisfaction],Table14[Id_JobSatisfaction])</f>
        <v>JS002</v>
      </c>
      <c r="AC894">
        <v>2</v>
      </c>
      <c r="AD894" t="str">
        <f>_xlfn.XLOOKUP(Table1[[#This Row],[JobSatisfaction]],Table14[JobSatisfaction],Table14[Deskripsi])</f>
        <v>Medium</v>
      </c>
      <c r="AE894" t="str">
        <f>_xlfn.XLOOKUP(Table1[[#This Row],[MaritalStatus]],Table15[MaritalStatus],Table15[Id_MaritalStatus])</f>
        <v>MS001</v>
      </c>
      <c r="AF894" t="s">
        <v>55</v>
      </c>
      <c r="AG894">
        <v>1859</v>
      </c>
      <c r="AH894">
        <v>6148</v>
      </c>
      <c r="AI894">
        <v>1</v>
      </c>
      <c r="AJ894" t="str">
        <f>_xlfn.XLOOKUP(Table1[[#This Row],[OverTime]],Table16[OverTime],Table16[Id_OverTime])</f>
        <v>OT001</v>
      </c>
      <c r="AK894" t="s">
        <v>32</v>
      </c>
      <c r="AL894">
        <v>25</v>
      </c>
      <c r="AM894" t="str">
        <f>_xlfn.XLOOKUP(Table1[[#This Row],[PerformanceRating]],Table17[PerformanceRating],Table17[Id_PerformanceRating])</f>
        <v>PR004</v>
      </c>
      <c r="AN894">
        <v>4</v>
      </c>
      <c r="AO894" t="str">
        <f>_xlfn.XLOOKUP(Table1[[#This Row],[PerformanceRating]],Table17[PerformanceRating],Table17[Deskripsi])</f>
        <v>Outstanding</v>
      </c>
      <c r="AP894" t="str">
        <f>_xlfn.XLOOKUP(Table1[[#This Row],[RelationshipSatisfaction]],Table18[RelationshipSatisfaction],Table18[Id_RelationshipSatisfaction])</f>
        <v>RS002</v>
      </c>
      <c r="AQ894">
        <v>2</v>
      </c>
      <c r="AR894" t="str">
        <f>_xlfn.XLOOKUP(Table1[[#This Row],[RelationshipSatisfaction]],Table18[RelationshipSatisfaction],Table18[Deskripsi])</f>
        <v>Medium</v>
      </c>
      <c r="AS894" t="str">
        <f>_xlfn.XLOOKUP(Table1[[#This Row],[StockOptionLevel]],Table19[StockOptionLevel],Table19[Id_StockOptionLevel])</f>
        <v>SOL001</v>
      </c>
      <c r="AT894">
        <v>0</v>
      </c>
      <c r="AU894" t="str">
        <f>_xlfn.XLOOKUP(Table1[[#This Row],[StockOptionLevel]],Table19[StockOptionLevel],Table19[Deskripsi])</f>
        <v>Non-Eligible</v>
      </c>
      <c r="AV894">
        <v>1</v>
      </c>
      <c r="AW894">
        <v>2</v>
      </c>
      <c r="AX894" t="str">
        <f>_xlfn.XLOOKUP(Table1[[#This Row],[WorkLifeBalance]],Table20[WorkLifeBalance],Table20[Id_WorkLifeBalance])</f>
        <v>WLB004</v>
      </c>
      <c r="AY894">
        <v>4</v>
      </c>
      <c r="AZ894" t="str">
        <f>_xlfn.XLOOKUP(Table1[[#This Row],[WorkLifeBalance]],Table20[WorkLifeBalance],Table20[Deskripsi])</f>
        <v>Best</v>
      </c>
      <c r="BA894">
        <v>1</v>
      </c>
      <c r="BB894">
        <v>1</v>
      </c>
      <c r="BC894">
        <v>0</v>
      </c>
      <c r="BD894">
        <v>0</v>
      </c>
    </row>
    <row r="895" spans="1:56" x14ac:dyDescent="0.25">
      <c r="A895">
        <v>29</v>
      </c>
      <c r="B895" t="str">
        <f>_xlfn.XLOOKUP(Table1[[#This Row],[Attrition]],Table2[Attrition],Table2[Id_Attrition])</f>
        <v>A002</v>
      </c>
      <c r="C895" t="s">
        <v>33</v>
      </c>
      <c r="D895" t="str">
        <f>_xlfn.XLOOKUP(Table1[[#This Row],[BusinessTravel]],Table5[BusinessTravel],Table5[Id_BusinessTravel])</f>
        <v>BS001</v>
      </c>
      <c r="E895" t="s">
        <v>34</v>
      </c>
      <c r="F895">
        <v>1010</v>
      </c>
      <c r="G895" t="str">
        <f>_xlfn.XLOOKUP(Table1[[#This Row],[Department]],Table6[Department],Table6[Id_Departement])</f>
        <v>D002</v>
      </c>
      <c r="H895" t="s">
        <v>38</v>
      </c>
      <c r="I895">
        <v>1</v>
      </c>
      <c r="J895" t="str">
        <f>_xlfn.XLOOKUP(Table1[[#This Row],[Education]],Table8[Education],Table8[Id_Education])</f>
        <v>E003</v>
      </c>
      <c r="K895">
        <v>3</v>
      </c>
      <c r="L895" t="str">
        <f>_xlfn.XLOOKUP(Table1[[#This Row],[EducationField]],Table7[EducationField],Table7[Id_EducationField])</f>
        <v>EF001</v>
      </c>
      <c r="M895" t="s">
        <v>40</v>
      </c>
      <c r="N895" t="str">
        <f>_xlfn.XLOOKUP(Table1[[#This Row],[EmployeeNumber]],Table4[EmployeeNumber],Table4[Id_Employee])</f>
        <v>EMP00894</v>
      </c>
      <c r="O895">
        <v>1249</v>
      </c>
      <c r="P895" t="str">
        <f>_xlfn.XLOOKUP(Table1[[#This Row],[EnvironmentSatisfaction]],Table9[EnvironmentSatisfaction],Table9[Id_EnviromentSatisfaction])</f>
        <v>ES001</v>
      </c>
      <c r="Q895">
        <v>1</v>
      </c>
      <c r="R895" t="str">
        <f>_xlfn.XLOOKUP(Table1[[#This Row],[EnvironmentSatisfaction]],Table9[EnvironmentSatisfaction],Table9[Deskripsi])</f>
        <v>Low</v>
      </c>
      <c r="S895" t="str">
        <f>_xlfn.XLOOKUP(Table1[[#This Row],[Gender]],Table10[Gender],Table10[Id_Gender])</f>
        <v>G001</v>
      </c>
      <c r="T895" t="s">
        <v>45</v>
      </c>
      <c r="U895">
        <v>97</v>
      </c>
      <c r="V895" t="str">
        <f>_xlfn.XLOOKUP(Table1[[#This Row],[JobInvolvement]],Table11[JobInvolvement],Table11[Id_JobInvolvement])</f>
        <v>JI003</v>
      </c>
      <c r="W895">
        <v>3</v>
      </c>
      <c r="X895" t="str">
        <f>_xlfn.XLOOKUP(Table1[[#This Row],[JobLevel]],Table12[JobLevel],Table12[Id_JobLevel])</f>
        <v>JL001</v>
      </c>
      <c r="Y895">
        <v>1</v>
      </c>
      <c r="Z895" t="str">
        <f>_xlfn.XLOOKUP(Table1[[#This Row],[JobRole]],Table13[JobRole],Table13[Id_JobRole])</f>
        <v>JR002</v>
      </c>
      <c r="AA895" t="s">
        <v>48</v>
      </c>
      <c r="AB895" t="str">
        <f>_xlfn.XLOOKUP(Table1[[#This Row],[JobSatisfaction]],Table14[JobSatisfaction],Table14[Id_JobSatisfaction])</f>
        <v>JS004</v>
      </c>
      <c r="AC895">
        <v>4</v>
      </c>
      <c r="AD895" t="str">
        <f>_xlfn.XLOOKUP(Table1[[#This Row],[JobSatisfaction]],Table14[JobSatisfaction],Table14[Deskripsi])</f>
        <v>Very High</v>
      </c>
      <c r="AE895" t="str">
        <f>_xlfn.XLOOKUP(Table1[[#This Row],[MaritalStatus]],Table15[MaritalStatus],Table15[Id_MaritalStatus])</f>
        <v>MS003</v>
      </c>
      <c r="AF895" t="s">
        <v>57</v>
      </c>
      <c r="AG895">
        <v>3760</v>
      </c>
      <c r="AH895">
        <v>5598</v>
      </c>
      <c r="AI895">
        <v>1</v>
      </c>
      <c r="AJ895" t="str">
        <f>_xlfn.XLOOKUP(Table1[[#This Row],[OverTime]],Table16[OverTime],Table16[Id_OverTime])</f>
        <v>OT002</v>
      </c>
      <c r="AK895" t="s">
        <v>33</v>
      </c>
      <c r="AL895">
        <v>15</v>
      </c>
      <c r="AM895" t="str">
        <f>_xlfn.XLOOKUP(Table1[[#This Row],[PerformanceRating]],Table17[PerformanceRating],Table17[Id_PerformanceRating])</f>
        <v>PR003</v>
      </c>
      <c r="AN895">
        <v>3</v>
      </c>
      <c r="AO895" t="str">
        <f>_xlfn.XLOOKUP(Table1[[#This Row],[PerformanceRating]],Table17[PerformanceRating],Table17[Deskripsi])</f>
        <v>Excellent</v>
      </c>
      <c r="AP895" t="str">
        <f>_xlfn.XLOOKUP(Table1[[#This Row],[RelationshipSatisfaction]],Table18[RelationshipSatisfaction],Table18[Id_RelationshipSatisfaction])</f>
        <v>RS001</v>
      </c>
      <c r="AQ895">
        <v>1</v>
      </c>
      <c r="AR895" t="str">
        <f>_xlfn.XLOOKUP(Table1[[#This Row],[RelationshipSatisfaction]],Table18[RelationshipSatisfaction],Table18[Deskripsi])</f>
        <v>Low</v>
      </c>
      <c r="AS895" t="str">
        <f>_xlfn.XLOOKUP(Table1[[#This Row],[StockOptionLevel]],Table19[StockOptionLevel],Table19[Id_StockOptionLevel])</f>
        <v>SOL004</v>
      </c>
      <c r="AT895">
        <v>3</v>
      </c>
      <c r="AU895" t="str">
        <f>_xlfn.XLOOKUP(Table1[[#This Row],[StockOptionLevel]],Table19[StockOptionLevel],Table19[Deskripsi])</f>
        <v>Senior/Executive</v>
      </c>
      <c r="AV895">
        <v>3</v>
      </c>
      <c r="AW895">
        <v>5</v>
      </c>
      <c r="AX895" t="str">
        <f>_xlfn.XLOOKUP(Table1[[#This Row],[WorkLifeBalance]],Table20[WorkLifeBalance],Table20[Id_WorkLifeBalance])</f>
        <v>WLB002</v>
      </c>
      <c r="AY895">
        <v>3</v>
      </c>
      <c r="AZ895" t="str">
        <f>_xlfn.XLOOKUP(Table1[[#This Row],[WorkLifeBalance]],Table20[WorkLifeBalance],Table20[Deskripsi])</f>
        <v>Good</v>
      </c>
      <c r="BA895">
        <v>3</v>
      </c>
      <c r="BB895">
        <v>2</v>
      </c>
      <c r="BC895">
        <v>1</v>
      </c>
      <c r="BD895">
        <v>2</v>
      </c>
    </row>
    <row r="896" spans="1:56" x14ac:dyDescent="0.25">
      <c r="A896">
        <v>54</v>
      </c>
      <c r="B896" t="str">
        <f>_xlfn.XLOOKUP(Table1[[#This Row],[Attrition]],Table2[Attrition],Table2[Id_Attrition])</f>
        <v>A002</v>
      </c>
      <c r="C896" t="s">
        <v>33</v>
      </c>
      <c r="D896" t="str">
        <f>_xlfn.XLOOKUP(Table1[[#This Row],[BusinessTravel]],Table5[BusinessTravel],Table5[Id_BusinessTravel])</f>
        <v>BS001</v>
      </c>
      <c r="E896" t="s">
        <v>34</v>
      </c>
      <c r="F896">
        <v>685</v>
      </c>
      <c r="G896" t="str">
        <f>_xlfn.XLOOKUP(Table1[[#This Row],[Department]],Table6[Department],Table6[Id_Departement])</f>
        <v>D002</v>
      </c>
      <c r="H896" t="s">
        <v>38</v>
      </c>
      <c r="I896">
        <v>3</v>
      </c>
      <c r="J896" t="str">
        <f>_xlfn.XLOOKUP(Table1[[#This Row],[Education]],Table8[Education],Table8[Id_Education])</f>
        <v>E003</v>
      </c>
      <c r="K896">
        <v>3</v>
      </c>
      <c r="L896" t="str">
        <f>_xlfn.XLOOKUP(Table1[[#This Row],[EducationField]],Table7[EducationField],Table7[Id_EducationField])</f>
        <v>EF001</v>
      </c>
      <c r="M896" t="s">
        <v>40</v>
      </c>
      <c r="N896" t="str">
        <f>_xlfn.XLOOKUP(Table1[[#This Row],[EmployeeNumber]],Table4[EmployeeNumber],Table4[Id_Employee])</f>
        <v>EMP00895</v>
      </c>
      <c r="O896">
        <v>1250</v>
      </c>
      <c r="P896" t="str">
        <f>_xlfn.XLOOKUP(Table1[[#This Row],[EnvironmentSatisfaction]],Table9[EnvironmentSatisfaction],Table9[Id_EnviromentSatisfaction])</f>
        <v>ES004</v>
      </c>
      <c r="Q896">
        <v>4</v>
      </c>
      <c r="R896" t="str">
        <f>_xlfn.XLOOKUP(Table1[[#This Row],[EnvironmentSatisfaction]],Table9[EnvironmentSatisfaction],Table9[Deskripsi])</f>
        <v>Very High</v>
      </c>
      <c r="S896" t="str">
        <f>_xlfn.XLOOKUP(Table1[[#This Row],[Gender]],Table10[Gender],Table10[Id_Gender])</f>
        <v>G002</v>
      </c>
      <c r="T896" t="s">
        <v>46</v>
      </c>
      <c r="U896">
        <v>85</v>
      </c>
      <c r="V896" t="str">
        <f>_xlfn.XLOOKUP(Table1[[#This Row],[JobInvolvement]],Table11[JobInvolvement],Table11[Id_JobInvolvement])</f>
        <v>JI003</v>
      </c>
      <c r="W896">
        <v>3</v>
      </c>
      <c r="X896" t="str">
        <f>_xlfn.XLOOKUP(Table1[[#This Row],[JobLevel]],Table12[JobLevel],Table12[Id_JobLevel])</f>
        <v>JL004</v>
      </c>
      <c r="Y896">
        <v>4</v>
      </c>
      <c r="Z896" t="str">
        <f>_xlfn.XLOOKUP(Table1[[#This Row],[JobRole]],Table13[JobRole],Table13[Id_JobRole])</f>
        <v>JR008</v>
      </c>
      <c r="AA896" t="s">
        <v>54</v>
      </c>
      <c r="AB896" t="str">
        <f>_xlfn.XLOOKUP(Table1[[#This Row],[JobSatisfaction]],Table14[JobSatisfaction],Table14[Id_JobSatisfaction])</f>
        <v>JS004</v>
      </c>
      <c r="AC896">
        <v>4</v>
      </c>
      <c r="AD896" t="str">
        <f>_xlfn.XLOOKUP(Table1[[#This Row],[JobSatisfaction]],Table14[JobSatisfaction],Table14[Deskripsi])</f>
        <v>Very High</v>
      </c>
      <c r="AE896" t="str">
        <f>_xlfn.XLOOKUP(Table1[[#This Row],[MaritalStatus]],Table15[MaritalStatus],Table15[Id_MaritalStatus])</f>
        <v>MS002</v>
      </c>
      <c r="AF896" t="s">
        <v>56</v>
      </c>
      <c r="AG896">
        <v>17779</v>
      </c>
      <c r="AH896">
        <v>23474</v>
      </c>
      <c r="AI896">
        <v>3</v>
      </c>
      <c r="AJ896" t="str">
        <f>_xlfn.XLOOKUP(Table1[[#This Row],[OverTime]],Table16[OverTime],Table16[Id_OverTime])</f>
        <v>OT002</v>
      </c>
      <c r="AK896" t="s">
        <v>33</v>
      </c>
      <c r="AL896">
        <v>14</v>
      </c>
      <c r="AM896" t="str">
        <f>_xlfn.XLOOKUP(Table1[[#This Row],[PerformanceRating]],Table17[PerformanceRating],Table17[Id_PerformanceRating])</f>
        <v>PR003</v>
      </c>
      <c r="AN896">
        <v>3</v>
      </c>
      <c r="AO896" t="str">
        <f>_xlfn.XLOOKUP(Table1[[#This Row],[PerformanceRating]],Table17[PerformanceRating],Table17[Deskripsi])</f>
        <v>Excellent</v>
      </c>
      <c r="AP896" t="str">
        <f>_xlfn.XLOOKUP(Table1[[#This Row],[RelationshipSatisfaction]],Table18[RelationshipSatisfaction],Table18[Id_RelationshipSatisfaction])</f>
        <v>RS001</v>
      </c>
      <c r="AQ896">
        <v>1</v>
      </c>
      <c r="AR896" t="str">
        <f>_xlfn.XLOOKUP(Table1[[#This Row],[RelationshipSatisfaction]],Table18[RelationshipSatisfaction],Table18[Deskripsi])</f>
        <v>Low</v>
      </c>
      <c r="AS896" t="str">
        <f>_xlfn.XLOOKUP(Table1[[#This Row],[StockOptionLevel]],Table19[StockOptionLevel],Table19[Id_StockOptionLevel])</f>
        <v>SOL001</v>
      </c>
      <c r="AT896">
        <v>0</v>
      </c>
      <c r="AU896" t="str">
        <f>_xlfn.XLOOKUP(Table1[[#This Row],[StockOptionLevel]],Table19[StockOptionLevel],Table19[Deskripsi])</f>
        <v>Non-Eligible</v>
      </c>
      <c r="AV896">
        <v>36</v>
      </c>
      <c r="AW896">
        <v>2</v>
      </c>
      <c r="AX896" t="str">
        <f>_xlfn.XLOOKUP(Table1[[#This Row],[WorkLifeBalance]],Table20[WorkLifeBalance],Table20[Id_WorkLifeBalance])</f>
        <v>WLB002</v>
      </c>
      <c r="AY896">
        <v>3</v>
      </c>
      <c r="AZ896" t="str">
        <f>_xlfn.XLOOKUP(Table1[[#This Row],[WorkLifeBalance]],Table20[WorkLifeBalance],Table20[Deskripsi])</f>
        <v>Good</v>
      </c>
      <c r="BA896">
        <v>10</v>
      </c>
      <c r="BB896">
        <v>9</v>
      </c>
      <c r="BC896">
        <v>0</v>
      </c>
      <c r="BD896">
        <v>9</v>
      </c>
    </row>
    <row r="897" spans="1:56" x14ac:dyDescent="0.25">
      <c r="A897">
        <v>31</v>
      </c>
      <c r="B897" t="str">
        <f>_xlfn.XLOOKUP(Table1[[#This Row],[Attrition]],Table2[Attrition],Table2[Id_Attrition])</f>
        <v>A002</v>
      </c>
      <c r="C897" t="s">
        <v>33</v>
      </c>
      <c r="D897" t="str">
        <f>_xlfn.XLOOKUP(Table1[[#This Row],[BusinessTravel]],Table5[BusinessTravel],Table5[Id_BusinessTravel])</f>
        <v>BS001</v>
      </c>
      <c r="E897" t="s">
        <v>34</v>
      </c>
      <c r="F897">
        <v>1332</v>
      </c>
      <c r="G897" t="str">
        <f>_xlfn.XLOOKUP(Table1[[#This Row],[Department]],Table6[Department],Table6[Id_Departement])</f>
        <v>D002</v>
      </c>
      <c r="H897" t="s">
        <v>38</v>
      </c>
      <c r="I897">
        <v>11</v>
      </c>
      <c r="J897" t="str">
        <f>_xlfn.XLOOKUP(Table1[[#This Row],[Education]],Table8[Education],Table8[Id_Education])</f>
        <v>E002</v>
      </c>
      <c r="K897">
        <v>2</v>
      </c>
      <c r="L897" t="str">
        <f>_xlfn.XLOOKUP(Table1[[#This Row],[EducationField]],Table7[EducationField],Table7[Id_EducationField])</f>
        <v>EF003</v>
      </c>
      <c r="M897" t="s">
        <v>42</v>
      </c>
      <c r="N897" t="str">
        <f>_xlfn.XLOOKUP(Table1[[#This Row],[EmployeeNumber]],Table4[EmployeeNumber],Table4[Id_Employee])</f>
        <v>EMP00896</v>
      </c>
      <c r="O897">
        <v>1251</v>
      </c>
      <c r="P897" t="str">
        <f>_xlfn.XLOOKUP(Table1[[#This Row],[EnvironmentSatisfaction]],Table9[EnvironmentSatisfaction],Table9[Id_EnviromentSatisfaction])</f>
        <v>ES003</v>
      </c>
      <c r="Q897">
        <v>3</v>
      </c>
      <c r="R897" t="str">
        <f>_xlfn.XLOOKUP(Table1[[#This Row],[EnvironmentSatisfaction]],Table9[EnvironmentSatisfaction],Table9[Deskripsi])</f>
        <v>High</v>
      </c>
      <c r="S897" t="str">
        <f>_xlfn.XLOOKUP(Table1[[#This Row],[Gender]],Table10[Gender],Table10[Id_Gender])</f>
        <v>G002</v>
      </c>
      <c r="T897" t="s">
        <v>46</v>
      </c>
      <c r="U897">
        <v>80</v>
      </c>
      <c r="V897" t="str">
        <f>_xlfn.XLOOKUP(Table1[[#This Row],[JobInvolvement]],Table11[JobInvolvement],Table11[Id_JobInvolvement])</f>
        <v>JI003</v>
      </c>
      <c r="W897">
        <v>3</v>
      </c>
      <c r="X897" t="str">
        <f>_xlfn.XLOOKUP(Table1[[#This Row],[JobLevel]],Table12[JobLevel],Table12[Id_JobLevel])</f>
        <v>JL002</v>
      </c>
      <c r="Y897">
        <v>2</v>
      </c>
      <c r="Z897" t="str">
        <f>_xlfn.XLOOKUP(Table1[[#This Row],[JobRole]],Table13[JobRole],Table13[Id_JobRole])</f>
        <v>JR005</v>
      </c>
      <c r="AA897" t="s">
        <v>51</v>
      </c>
      <c r="AB897" t="str">
        <f>_xlfn.XLOOKUP(Table1[[#This Row],[JobSatisfaction]],Table14[JobSatisfaction],Table14[Id_JobSatisfaction])</f>
        <v>JS001</v>
      </c>
      <c r="AC897">
        <v>1</v>
      </c>
      <c r="AD897" t="str">
        <f>_xlfn.XLOOKUP(Table1[[#This Row],[JobSatisfaction]],Table14[JobSatisfaction],Table14[Deskripsi])</f>
        <v>Low</v>
      </c>
      <c r="AE897" t="str">
        <f>_xlfn.XLOOKUP(Table1[[#This Row],[MaritalStatus]],Table15[MaritalStatus],Table15[Id_MaritalStatus])</f>
        <v>MS002</v>
      </c>
      <c r="AF897" t="s">
        <v>56</v>
      </c>
      <c r="AG897">
        <v>6833</v>
      </c>
      <c r="AH897">
        <v>17089</v>
      </c>
      <c r="AI897">
        <v>1</v>
      </c>
      <c r="AJ897" t="str">
        <f>_xlfn.XLOOKUP(Table1[[#This Row],[OverTime]],Table16[OverTime],Table16[Id_OverTime])</f>
        <v>OT001</v>
      </c>
      <c r="AK897" t="s">
        <v>32</v>
      </c>
      <c r="AL897">
        <v>12</v>
      </c>
      <c r="AM897" t="str">
        <f>_xlfn.XLOOKUP(Table1[[#This Row],[PerformanceRating]],Table17[PerformanceRating],Table17[Id_PerformanceRating])</f>
        <v>PR003</v>
      </c>
      <c r="AN897">
        <v>3</v>
      </c>
      <c r="AO897" t="str">
        <f>_xlfn.XLOOKUP(Table1[[#This Row],[PerformanceRating]],Table17[PerformanceRating],Table17[Deskripsi])</f>
        <v>Excellent</v>
      </c>
      <c r="AP897" t="str">
        <f>_xlfn.XLOOKUP(Table1[[#This Row],[RelationshipSatisfaction]],Table18[RelationshipSatisfaction],Table18[Id_RelationshipSatisfaction])</f>
        <v>RS004</v>
      </c>
      <c r="AQ897">
        <v>4</v>
      </c>
      <c r="AR897" t="str">
        <f>_xlfn.XLOOKUP(Table1[[#This Row],[RelationshipSatisfaction]],Table18[RelationshipSatisfaction],Table18[Deskripsi])</f>
        <v>Very High</v>
      </c>
      <c r="AS897" t="str">
        <f>_xlfn.XLOOKUP(Table1[[#This Row],[StockOptionLevel]],Table19[StockOptionLevel],Table19[Id_StockOptionLevel])</f>
        <v>SOL001</v>
      </c>
      <c r="AT897">
        <v>0</v>
      </c>
      <c r="AU897" t="str">
        <f>_xlfn.XLOOKUP(Table1[[#This Row],[StockOptionLevel]],Table19[StockOptionLevel],Table19[Deskripsi])</f>
        <v>Non-Eligible</v>
      </c>
      <c r="AV897">
        <v>6</v>
      </c>
      <c r="AW897">
        <v>2</v>
      </c>
      <c r="AX897" t="str">
        <f>_xlfn.XLOOKUP(Table1[[#This Row],[WorkLifeBalance]],Table20[WorkLifeBalance],Table20[Id_WorkLifeBalance])</f>
        <v>WLB003</v>
      </c>
      <c r="AY897">
        <v>2</v>
      </c>
      <c r="AZ897" t="str">
        <f>_xlfn.XLOOKUP(Table1[[#This Row],[WorkLifeBalance]],Table20[WorkLifeBalance],Table20[Deskripsi])</f>
        <v>Better</v>
      </c>
      <c r="BA897">
        <v>6</v>
      </c>
      <c r="BB897">
        <v>5</v>
      </c>
      <c r="BC897">
        <v>0</v>
      </c>
      <c r="BD897">
        <v>1</v>
      </c>
    </row>
    <row r="898" spans="1:56" x14ac:dyDescent="0.25">
      <c r="A898">
        <v>31</v>
      </c>
      <c r="B898" t="str">
        <f>_xlfn.XLOOKUP(Table1[[#This Row],[Attrition]],Table2[Attrition],Table2[Id_Attrition])</f>
        <v>A002</v>
      </c>
      <c r="C898" t="s">
        <v>33</v>
      </c>
      <c r="D898" t="str">
        <f>_xlfn.XLOOKUP(Table1[[#This Row],[BusinessTravel]],Table5[BusinessTravel],Table5[Id_BusinessTravel])</f>
        <v>BS001</v>
      </c>
      <c r="E898" t="s">
        <v>34</v>
      </c>
      <c r="F898">
        <v>1062</v>
      </c>
      <c r="G898" t="str">
        <f>_xlfn.XLOOKUP(Table1[[#This Row],[Department]],Table6[Department],Table6[Id_Departement])</f>
        <v>D002</v>
      </c>
      <c r="H898" t="s">
        <v>38</v>
      </c>
      <c r="I898">
        <v>24</v>
      </c>
      <c r="J898" t="str">
        <f>_xlfn.XLOOKUP(Table1[[#This Row],[Education]],Table8[Education],Table8[Id_Education])</f>
        <v>E003</v>
      </c>
      <c r="K898">
        <v>3</v>
      </c>
      <c r="L898" t="str">
        <f>_xlfn.XLOOKUP(Table1[[#This Row],[EducationField]],Table7[EducationField],Table7[Id_EducationField])</f>
        <v>EF003</v>
      </c>
      <c r="M898" t="s">
        <v>42</v>
      </c>
      <c r="N898" t="str">
        <f>_xlfn.XLOOKUP(Table1[[#This Row],[EmployeeNumber]],Table4[EmployeeNumber],Table4[Id_Employee])</f>
        <v>EMP00897</v>
      </c>
      <c r="O898">
        <v>1252</v>
      </c>
      <c r="P898" t="str">
        <f>_xlfn.XLOOKUP(Table1[[#This Row],[EnvironmentSatisfaction]],Table9[EnvironmentSatisfaction],Table9[Id_EnviromentSatisfaction])</f>
        <v>ES003</v>
      </c>
      <c r="Q898">
        <v>3</v>
      </c>
      <c r="R898" t="str">
        <f>_xlfn.XLOOKUP(Table1[[#This Row],[EnvironmentSatisfaction]],Table9[EnvironmentSatisfaction],Table9[Deskripsi])</f>
        <v>High</v>
      </c>
      <c r="S898" t="str">
        <f>_xlfn.XLOOKUP(Table1[[#This Row],[Gender]],Table10[Gender],Table10[Id_Gender])</f>
        <v>G001</v>
      </c>
      <c r="T898" t="s">
        <v>45</v>
      </c>
      <c r="U898">
        <v>96</v>
      </c>
      <c r="V898" t="str">
        <f>_xlfn.XLOOKUP(Table1[[#This Row],[JobInvolvement]],Table11[JobInvolvement],Table11[Id_JobInvolvement])</f>
        <v>JI002</v>
      </c>
      <c r="W898">
        <v>2</v>
      </c>
      <c r="X898" t="str">
        <f>_xlfn.XLOOKUP(Table1[[#This Row],[JobLevel]],Table12[JobLevel],Table12[Id_JobLevel])</f>
        <v>JL002</v>
      </c>
      <c r="Y898">
        <v>2</v>
      </c>
      <c r="Z898" t="str">
        <f>_xlfn.XLOOKUP(Table1[[#This Row],[JobRole]],Table13[JobRole],Table13[Id_JobRole])</f>
        <v>JR005</v>
      </c>
      <c r="AA898" t="s">
        <v>51</v>
      </c>
      <c r="AB898" t="str">
        <f>_xlfn.XLOOKUP(Table1[[#This Row],[JobSatisfaction]],Table14[JobSatisfaction],Table14[Id_JobSatisfaction])</f>
        <v>JS001</v>
      </c>
      <c r="AC898">
        <v>1</v>
      </c>
      <c r="AD898" t="str">
        <f>_xlfn.XLOOKUP(Table1[[#This Row],[JobSatisfaction]],Table14[JobSatisfaction],Table14[Deskripsi])</f>
        <v>Low</v>
      </c>
      <c r="AE898" t="str">
        <f>_xlfn.XLOOKUP(Table1[[#This Row],[MaritalStatus]],Table15[MaritalStatus],Table15[Id_MaritalStatus])</f>
        <v>MS001</v>
      </c>
      <c r="AF898" t="s">
        <v>55</v>
      </c>
      <c r="AG898">
        <v>6812</v>
      </c>
      <c r="AH898">
        <v>17198</v>
      </c>
      <c r="AI898">
        <v>1</v>
      </c>
      <c r="AJ898" t="str">
        <f>_xlfn.XLOOKUP(Table1[[#This Row],[OverTime]],Table16[OverTime],Table16[Id_OverTime])</f>
        <v>OT002</v>
      </c>
      <c r="AK898" t="s">
        <v>33</v>
      </c>
      <c r="AL898">
        <v>19</v>
      </c>
      <c r="AM898" t="str">
        <f>_xlfn.XLOOKUP(Table1[[#This Row],[PerformanceRating]],Table17[PerformanceRating],Table17[Id_PerformanceRating])</f>
        <v>PR003</v>
      </c>
      <c r="AN898">
        <v>3</v>
      </c>
      <c r="AO898" t="str">
        <f>_xlfn.XLOOKUP(Table1[[#This Row],[PerformanceRating]],Table17[PerformanceRating],Table17[Deskripsi])</f>
        <v>Excellent</v>
      </c>
      <c r="AP898" t="str">
        <f>_xlfn.XLOOKUP(Table1[[#This Row],[RelationshipSatisfaction]],Table18[RelationshipSatisfaction],Table18[Id_RelationshipSatisfaction])</f>
        <v>RS002</v>
      </c>
      <c r="AQ898">
        <v>2</v>
      </c>
      <c r="AR898" t="str">
        <f>_xlfn.XLOOKUP(Table1[[#This Row],[RelationshipSatisfaction]],Table18[RelationshipSatisfaction],Table18[Deskripsi])</f>
        <v>Medium</v>
      </c>
      <c r="AS898" t="str">
        <f>_xlfn.XLOOKUP(Table1[[#This Row],[StockOptionLevel]],Table19[StockOptionLevel],Table19[Id_StockOptionLevel])</f>
        <v>SOL001</v>
      </c>
      <c r="AT898">
        <v>0</v>
      </c>
      <c r="AU898" t="str">
        <f>_xlfn.XLOOKUP(Table1[[#This Row],[StockOptionLevel]],Table19[StockOptionLevel],Table19[Deskripsi])</f>
        <v>Non-Eligible</v>
      </c>
      <c r="AV898">
        <v>10</v>
      </c>
      <c r="AW898">
        <v>2</v>
      </c>
      <c r="AX898" t="str">
        <f>_xlfn.XLOOKUP(Table1[[#This Row],[WorkLifeBalance]],Table20[WorkLifeBalance],Table20[Id_WorkLifeBalance])</f>
        <v>WLB002</v>
      </c>
      <c r="AY898">
        <v>3</v>
      </c>
      <c r="AZ898" t="str">
        <f>_xlfn.XLOOKUP(Table1[[#This Row],[WorkLifeBalance]],Table20[WorkLifeBalance],Table20[Deskripsi])</f>
        <v>Good</v>
      </c>
      <c r="BA898">
        <v>10</v>
      </c>
      <c r="BB898">
        <v>9</v>
      </c>
      <c r="BC898">
        <v>1</v>
      </c>
      <c r="BD898">
        <v>8</v>
      </c>
    </row>
    <row r="899" spans="1:56" x14ac:dyDescent="0.25">
      <c r="A899">
        <v>59</v>
      </c>
      <c r="B899" t="str">
        <f>_xlfn.XLOOKUP(Table1[[#This Row],[Attrition]],Table2[Attrition],Table2[Id_Attrition])</f>
        <v>A002</v>
      </c>
      <c r="C899" t="s">
        <v>33</v>
      </c>
      <c r="D899" t="str">
        <f>_xlfn.XLOOKUP(Table1[[#This Row],[BusinessTravel]],Table5[BusinessTravel],Table5[Id_BusinessTravel])</f>
        <v>BS001</v>
      </c>
      <c r="E899" t="s">
        <v>34</v>
      </c>
      <c r="F899">
        <v>326</v>
      </c>
      <c r="G899" t="str">
        <f>_xlfn.XLOOKUP(Table1[[#This Row],[Department]],Table6[Department],Table6[Id_Departement])</f>
        <v>D001</v>
      </c>
      <c r="H899" t="s">
        <v>37</v>
      </c>
      <c r="I899">
        <v>3</v>
      </c>
      <c r="J899" t="str">
        <f>_xlfn.XLOOKUP(Table1[[#This Row],[Education]],Table8[Education],Table8[Id_Education])</f>
        <v>E003</v>
      </c>
      <c r="K899">
        <v>3</v>
      </c>
      <c r="L899" t="str">
        <f>_xlfn.XLOOKUP(Table1[[#This Row],[EducationField]],Table7[EducationField],Table7[Id_EducationField])</f>
        <v>EF001</v>
      </c>
      <c r="M899" t="s">
        <v>40</v>
      </c>
      <c r="N899" t="str">
        <f>_xlfn.XLOOKUP(Table1[[#This Row],[EmployeeNumber]],Table4[EmployeeNumber],Table4[Id_Employee])</f>
        <v>EMP00898</v>
      </c>
      <c r="O899">
        <v>1254</v>
      </c>
      <c r="P899" t="str">
        <f>_xlfn.XLOOKUP(Table1[[#This Row],[EnvironmentSatisfaction]],Table9[EnvironmentSatisfaction],Table9[Id_EnviromentSatisfaction])</f>
        <v>ES003</v>
      </c>
      <c r="Q899">
        <v>3</v>
      </c>
      <c r="R899" t="str">
        <f>_xlfn.XLOOKUP(Table1[[#This Row],[EnvironmentSatisfaction]],Table9[EnvironmentSatisfaction],Table9[Deskripsi])</f>
        <v>High</v>
      </c>
      <c r="S899" t="str">
        <f>_xlfn.XLOOKUP(Table1[[#This Row],[Gender]],Table10[Gender],Table10[Id_Gender])</f>
        <v>G001</v>
      </c>
      <c r="T899" t="s">
        <v>45</v>
      </c>
      <c r="U899">
        <v>48</v>
      </c>
      <c r="V899" t="str">
        <f>_xlfn.XLOOKUP(Table1[[#This Row],[JobInvolvement]],Table11[JobInvolvement],Table11[Id_JobInvolvement])</f>
        <v>JI002</v>
      </c>
      <c r="W899">
        <v>2</v>
      </c>
      <c r="X899" t="str">
        <f>_xlfn.XLOOKUP(Table1[[#This Row],[JobLevel]],Table12[JobLevel],Table12[Id_JobLevel])</f>
        <v>JL002</v>
      </c>
      <c r="Y899">
        <v>2</v>
      </c>
      <c r="Z899" t="str">
        <f>_xlfn.XLOOKUP(Table1[[#This Row],[JobRole]],Table13[JobRole],Table13[Id_JobRole])</f>
        <v>JR001</v>
      </c>
      <c r="AA899" t="s">
        <v>47</v>
      </c>
      <c r="AB899" t="str">
        <f>_xlfn.XLOOKUP(Table1[[#This Row],[JobSatisfaction]],Table14[JobSatisfaction],Table14[Id_JobSatisfaction])</f>
        <v>JS004</v>
      </c>
      <c r="AC899">
        <v>4</v>
      </c>
      <c r="AD899" t="str">
        <f>_xlfn.XLOOKUP(Table1[[#This Row],[JobSatisfaction]],Table14[JobSatisfaction],Table14[Deskripsi])</f>
        <v>Very High</v>
      </c>
      <c r="AE899" t="str">
        <f>_xlfn.XLOOKUP(Table1[[#This Row],[MaritalStatus]],Table15[MaritalStatus],Table15[Id_MaritalStatus])</f>
        <v>MS001</v>
      </c>
      <c r="AF899" t="s">
        <v>55</v>
      </c>
      <c r="AG899">
        <v>5171</v>
      </c>
      <c r="AH899">
        <v>16490</v>
      </c>
      <c r="AI899">
        <v>5</v>
      </c>
      <c r="AJ899" t="str">
        <f>_xlfn.XLOOKUP(Table1[[#This Row],[OverTime]],Table16[OverTime],Table16[Id_OverTime])</f>
        <v>OT002</v>
      </c>
      <c r="AK899" t="s">
        <v>33</v>
      </c>
      <c r="AL899">
        <v>17</v>
      </c>
      <c r="AM899" t="str">
        <f>_xlfn.XLOOKUP(Table1[[#This Row],[PerformanceRating]],Table17[PerformanceRating],Table17[Id_PerformanceRating])</f>
        <v>PR003</v>
      </c>
      <c r="AN899">
        <v>3</v>
      </c>
      <c r="AO899" t="str">
        <f>_xlfn.XLOOKUP(Table1[[#This Row],[PerformanceRating]],Table17[PerformanceRating],Table17[Deskripsi])</f>
        <v>Excellent</v>
      </c>
      <c r="AP899" t="str">
        <f>_xlfn.XLOOKUP(Table1[[#This Row],[RelationshipSatisfaction]],Table18[RelationshipSatisfaction],Table18[Id_RelationshipSatisfaction])</f>
        <v>RS004</v>
      </c>
      <c r="AQ899">
        <v>4</v>
      </c>
      <c r="AR899" t="str">
        <f>_xlfn.XLOOKUP(Table1[[#This Row],[RelationshipSatisfaction]],Table18[RelationshipSatisfaction],Table18[Deskripsi])</f>
        <v>Very High</v>
      </c>
      <c r="AS899" t="str">
        <f>_xlfn.XLOOKUP(Table1[[#This Row],[StockOptionLevel]],Table19[StockOptionLevel],Table19[Id_StockOptionLevel])</f>
        <v>SOL001</v>
      </c>
      <c r="AT899">
        <v>0</v>
      </c>
      <c r="AU899" t="str">
        <f>_xlfn.XLOOKUP(Table1[[#This Row],[StockOptionLevel]],Table19[StockOptionLevel],Table19[Deskripsi])</f>
        <v>Non-Eligible</v>
      </c>
      <c r="AV899">
        <v>13</v>
      </c>
      <c r="AW899">
        <v>2</v>
      </c>
      <c r="AX899" t="str">
        <f>_xlfn.XLOOKUP(Table1[[#This Row],[WorkLifeBalance]],Table20[WorkLifeBalance],Table20[Id_WorkLifeBalance])</f>
        <v>WLB002</v>
      </c>
      <c r="AY899">
        <v>3</v>
      </c>
      <c r="AZ899" t="str">
        <f>_xlfn.XLOOKUP(Table1[[#This Row],[WorkLifeBalance]],Table20[WorkLifeBalance],Table20[Deskripsi])</f>
        <v>Good</v>
      </c>
      <c r="BA899">
        <v>6</v>
      </c>
      <c r="BB899">
        <v>1</v>
      </c>
      <c r="BC899">
        <v>0</v>
      </c>
      <c r="BD899">
        <v>5</v>
      </c>
    </row>
    <row r="900" spans="1:56" x14ac:dyDescent="0.25">
      <c r="A900">
        <v>43</v>
      </c>
      <c r="B900" t="str">
        <f>_xlfn.XLOOKUP(Table1[[#This Row],[Attrition]],Table2[Attrition],Table2[Id_Attrition])</f>
        <v>A002</v>
      </c>
      <c r="C900" t="s">
        <v>33</v>
      </c>
      <c r="D900" t="str">
        <f>_xlfn.XLOOKUP(Table1[[#This Row],[BusinessTravel]],Table5[BusinessTravel],Table5[Id_BusinessTravel])</f>
        <v>BS001</v>
      </c>
      <c r="E900" t="s">
        <v>34</v>
      </c>
      <c r="F900">
        <v>920</v>
      </c>
      <c r="G900" t="str">
        <f>_xlfn.XLOOKUP(Table1[[#This Row],[Department]],Table6[Department],Table6[Id_Departement])</f>
        <v>D002</v>
      </c>
      <c r="H900" t="s">
        <v>38</v>
      </c>
      <c r="I900">
        <v>3</v>
      </c>
      <c r="J900" t="str">
        <f>_xlfn.XLOOKUP(Table1[[#This Row],[Education]],Table8[Education],Table8[Id_Education])</f>
        <v>E003</v>
      </c>
      <c r="K900">
        <v>3</v>
      </c>
      <c r="L900" t="str">
        <f>_xlfn.XLOOKUP(Table1[[#This Row],[EducationField]],Table7[EducationField],Table7[Id_EducationField])</f>
        <v>EF001</v>
      </c>
      <c r="M900" t="s">
        <v>40</v>
      </c>
      <c r="N900" t="str">
        <f>_xlfn.XLOOKUP(Table1[[#This Row],[EmployeeNumber]],Table4[EmployeeNumber],Table4[Id_Employee])</f>
        <v>EMP00899</v>
      </c>
      <c r="O900">
        <v>1255</v>
      </c>
      <c r="P900" t="str">
        <f>_xlfn.XLOOKUP(Table1[[#This Row],[EnvironmentSatisfaction]],Table9[EnvironmentSatisfaction],Table9[Id_EnviromentSatisfaction])</f>
        <v>ES003</v>
      </c>
      <c r="Q900">
        <v>3</v>
      </c>
      <c r="R900" t="str">
        <f>_xlfn.XLOOKUP(Table1[[#This Row],[EnvironmentSatisfaction]],Table9[EnvironmentSatisfaction],Table9[Deskripsi])</f>
        <v>High</v>
      </c>
      <c r="S900" t="str">
        <f>_xlfn.XLOOKUP(Table1[[#This Row],[Gender]],Table10[Gender],Table10[Id_Gender])</f>
        <v>G002</v>
      </c>
      <c r="T900" t="s">
        <v>46</v>
      </c>
      <c r="U900">
        <v>96</v>
      </c>
      <c r="V900" t="str">
        <f>_xlfn.XLOOKUP(Table1[[#This Row],[JobInvolvement]],Table11[JobInvolvement],Table11[Id_JobInvolvement])</f>
        <v>JI001</v>
      </c>
      <c r="W900">
        <v>1</v>
      </c>
      <c r="X900" t="str">
        <f>_xlfn.XLOOKUP(Table1[[#This Row],[JobLevel]],Table12[JobLevel],Table12[Id_JobLevel])</f>
        <v>JL005</v>
      </c>
      <c r="Y900">
        <v>5</v>
      </c>
      <c r="Z900" t="str">
        <f>_xlfn.XLOOKUP(Table1[[#This Row],[JobRole]],Table13[JobRole],Table13[Id_JobRole])</f>
        <v>JR008</v>
      </c>
      <c r="AA900" t="s">
        <v>54</v>
      </c>
      <c r="AB900" t="str">
        <f>_xlfn.XLOOKUP(Table1[[#This Row],[JobSatisfaction]],Table14[JobSatisfaction],Table14[Id_JobSatisfaction])</f>
        <v>JS004</v>
      </c>
      <c r="AC900">
        <v>4</v>
      </c>
      <c r="AD900" t="str">
        <f>_xlfn.XLOOKUP(Table1[[#This Row],[JobSatisfaction]],Table14[JobSatisfaction],Table14[Deskripsi])</f>
        <v>Very High</v>
      </c>
      <c r="AE900" t="str">
        <f>_xlfn.XLOOKUP(Table1[[#This Row],[MaritalStatus]],Table15[MaritalStatus],Table15[Id_MaritalStatus])</f>
        <v>MS002</v>
      </c>
      <c r="AF900" t="s">
        <v>56</v>
      </c>
      <c r="AG900">
        <v>19740</v>
      </c>
      <c r="AH900">
        <v>18625</v>
      </c>
      <c r="AI900">
        <v>3</v>
      </c>
      <c r="AJ900" t="str">
        <f>_xlfn.XLOOKUP(Table1[[#This Row],[OverTime]],Table16[OverTime],Table16[Id_OverTime])</f>
        <v>OT002</v>
      </c>
      <c r="AK900" t="s">
        <v>33</v>
      </c>
      <c r="AL900">
        <v>14</v>
      </c>
      <c r="AM900" t="str">
        <f>_xlfn.XLOOKUP(Table1[[#This Row],[PerformanceRating]],Table17[PerformanceRating],Table17[Id_PerformanceRating])</f>
        <v>PR003</v>
      </c>
      <c r="AN900">
        <v>3</v>
      </c>
      <c r="AO900" t="str">
        <f>_xlfn.XLOOKUP(Table1[[#This Row],[PerformanceRating]],Table17[PerformanceRating],Table17[Deskripsi])</f>
        <v>Excellent</v>
      </c>
      <c r="AP900" t="str">
        <f>_xlfn.XLOOKUP(Table1[[#This Row],[RelationshipSatisfaction]],Table18[RelationshipSatisfaction],Table18[Id_RelationshipSatisfaction])</f>
        <v>RS002</v>
      </c>
      <c r="AQ900">
        <v>2</v>
      </c>
      <c r="AR900" t="str">
        <f>_xlfn.XLOOKUP(Table1[[#This Row],[RelationshipSatisfaction]],Table18[RelationshipSatisfaction],Table18[Deskripsi])</f>
        <v>Medium</v>
      </c>
      <c r="AS900" t="str">
        <f>_xlfn.XLOOKUP(Table1[[#This Row],[StockOptionLevel]],Table19[StockOptionLevel],Table19[Id_StockOptionLevel])</f>
        <v>SOL002</v>
      </c>
      <c r="AT900">
        <v>1</v>
      </c>
      <c r="AU900" t="str">
        <f>_xlfn.XLOOKUP(Table1[[#This Row],[StockOptionLevel]],Table19[StockOptionLevel],Table19[Deskripsi])</f>
        <v>Standard</v>
      </c>
      <c r="AV900">
        <v>25</v>
      </c>
      <c r="AW900">
        <v>2</v>
      </c>
      <c r="AX900" t="str">
        <f>_xlfn.XLOOKUP(Table1[[#This Row],[WorkLifeBalance]],Table20[WorkLifeBalance],Table20[Id_WorkLifeBalance])</f>
        <v>WLB002</v>
      </c>
      <c r="AY900">
        <v>3</v>
      </c>
      <c r="AZ900" t="str">
        <f>_xlfn.XLOOKUP(Table1[[#This Row],[WorkLifeBalance]],Table20[WorkLifeBalance],Table20[Deskripsi])</f>
        <v>Good</v>
      </c>
      <c r="BA900">
        <v>8</v>
      </c>
      <c r="BB900">
        <v>7</v>
      </c>
      <c r="BC900">
        <v>0</v>
      </c>
      <c r="BD900">
        <v>7</v>
      </c>
    </row>
    <row r="901" spans="1:56" x14ac:dyDescent="0.25">
      <c r="A901">
        <v>49</v>
      </c>
      <c r="B901" t="str">
        <f>_xlfn.XLOOKUP(Table1[[#This Row],[Attrition]],Table2[Attrition],Table2[Id_Attrition])</f>
        <v>A002</v>
      </c>
      <c r="C901" t="s">
        <v>33</v>
      </c>
      <c r="D901" t="str">
        <f>_xlfn.XLOOKUP(Table1[[#This Row],[BusinessTravel]],Table5[BusinessTravel],Table5[Id_BusinessTravel])</f>
        <v>BS001</v>
      </c>
      <c r="E901" t="s">
        <v>34</v>
      </c>
      <c r="F901">
        <v>1098</v>
      </c>
      <c r="G901" t="str">
        <f>_xlfn.XLOOKUP(Table1[[#This Row],[Department]],Table6[Department],Table6[Id_Departement])</f>
        <v>D002</v>
      </c>
      <c r="H901" t="s">
        <v>38</v>
      </c>
      <c r="I901">
        <v>4</v>
      </c>
      <c r="J901" t="str">
        <f>_xlfn.XLOOKUP(Table1[[#This Row],[Education]],Table8[Education],Table8[Id_Education])</f>
        <v>E002</v>
      </c>
      <c r="K901">
        <v>2</v>
      </c>
      <c r="L901" t="str">
        <f>_xlfn.XLOOKUP(Table1[[#This Row],[EducationField]],Table7[EducationField],Table7[Id_EducationField])</f>
        <v>EF003</v>
      </c>
      <c r="M901" t="s">
        <v>42</v>
      </c>
      <c r="N901" t="str">
        <f>_xlfn.XLOOKUP(Table1[[#This Row],[EmployeeNumber]],Table4[EmployeeNumber],Table4[Id_Employee])</f>
        <v>EMP00900</v>
      </c>
      <c r="O901">
        <v>1256</v>
      </c>
      <c r="P901" t="str">
        <f>_xlfn.XLOOKUP(Table1[[#This Row],[EnvironmentSatisfaction]],Table9[EnvironmentSatisfaction],Table9[Id_EnviromentSatisfaction])</f>
        <v>ES001</v>
      </c>
      <c r="Q901">
        <v>1</v>
      </c>
      <c r="R901" t="str">
        <f>_xlfn.XLOOKUP(Table1[[#This Row],[EnvironmentSatisfaction]],Table9[EnvironmentSatisfaction],Table9[Deskripsi])</f>
        <v>Low</v>
      </c>
      <c r="S901" t="str">
        <f>_xlfn.XLOOKUP(Table1[[#This Row],[Gender]],Table10[Gender],Table10[Id_Gender])</f>
        <v>G002</v>
      </c>
      <c r="T901" t="s">
        <v>46</v>
      </c>
      <c r="U901">
        <v>85</v>
      </c>
      <c r="V901" t="str">
        <f>_xlfn.XLOOKUP(Table1[[#This Row],[JobInvolvement]],Table11[JobInvolvement],Table11[Id_JobInvolvement])</f>
        <v>JI002</v>
      </c>
      <c r="W901">
        <v>2</v>
      </c>
      <c r="X901" t="str">
        <f>_xlfn.XLOOKUP(Table1[[#This Row],[JobLevel]],Table12[JobLevel],Table12[Id_JobLevel])</f>
        <v>JL005</v>
      </c>
      <c r="Y901">
        <v>5</v>
      </c>
      <c r="Z901" t="str">
        <f>_xlfn.XLOOKUP(Table1[[#This Row],[JobRole]],Table13[JobRole],Table13[Id_JobRole])</f>
        <v>JR006</v>
      </c>
      <c r="AA901" t="s">
        <v>52</v>
      </c>
      <c r="AB901" t="str">
        <f>_xlfn.XLOOKUP(Table1[[#This Row],[JobSatisfaction]],Table14[JobSatisfaction],Table14[Id_JobSatisfaction])</f>
        <v>JS003</v>
      </c>
      <c r="AC901">
        <v>3</v>
      </c>
      <c r="AD901" t="str">
        <f>_xlfn.XLOOKUP(Table1[[#This Row],[JobSatisfaction]],Table14[JobSatisfaction],Table14[Deskripsi])</f>
        <v>High</v>
      </c>
      <c r="AE901" t="str">
        <f>_xlfn.XLOOKUP(Table1[[#This Row],[MaritalStatus]],Table15[MaritalStatus],Table15[Id_MaritalStatus])</f>
        <v>MS002</v>
      </c>
      <c r="AF901" t="s">
        <v>56</v>
      </c>
      <c r="AG901">
        <v>18711</v>
      </c>
      <c r="AH901">
        <v>12124</v>
      </c>
      <c r="AI901">
        <v>2</v>
      </c>
      <c r="AJ901" t="str">
        <f>_xlfn.XLOOKUP(Table1[[#This Row],[OverTime]],Table16[OverTime],Table16[Id_OverTime])</f>
        <v>OT002</v>
      </c>
      <c r="AK901" t="s">
        <v>33</v>
      </c>
      <c r="AL901">
        <v>13</v>
      </c>
      <c r="AM901" t="str">
        <f>_xlfn.XLOOKUP(Table1[[#This Row],[PerformanceRating]],Table17[PerformanceRating],Table17[Id_PerformanceRating])</f>
        <v>PR003</v>
      </c>
      <c r="AN901">
        <v>3</v>
      </c>
      <c r="AO901" t="str">
        <f>_xlfn.XLOOKUP(Table1[[#This Row],[PerformanceRating]],Table17[PerformanceRating],Table17[Deskripsi])</f>
        <v>Excellent</v>
      </c>
      <c r="AP901" t="str">
        <f>_xlfn.XLOOKUP(Table1[[#This Row],[RelationshipSatisfaction]],Table18[RelationshipSatisfaction],Table18[Id_RelationshipSatisfaction])</f>
        <v>RS003</v>
      </c>
      <c r="AQ901">
        <v>3</v>
      </c>
      <c r="AR901" t="str">
        <f>_xlfn.XLOOKUP(Table1[[#This Row],[RelationshipSatisfaction]],Table18[RelationshipSatisfaction],Table18[Deskripsi])</f>
        <v>High</v>
      </c>
      <c r="AS901" t="str">
        <f>_xlfn.XLOOKUP(Table1[[#This Row],[StockOptionLevel]],Table19[StockOptionLevel],Table19[Id_StockOptionLevel])</f>
        <v>SOL002</v>
      </c>
      <c r="AT901">
        <v>1</v>
      </c>
      <c r="AU901" t="str">
        <f>_xlfn.XLOOKUP(Table1[[#This Row],[StockOptionLevel]],Table19[StockOptionLevel],Table19[Deskripsi])</f>
        <v>Standard</v>
      </c>
      <c r="AV901">
        <v>23</v>
      </c>
      <c r="AW901">
        <v>2</v>
      </c>
      <c r="AX901" t="str">
        <f>_xlfn.XLOOKUP(Table1[[#This Row],[WorkLifeBalance]],Table20[WorkLifeBalance],Table20[Id_WorkLifeBalance])</f>
        <v>WLB004</v>
      </c>
      <c r="AY901">
        <v>4</v>
      </c>
      <c r="AZ901" t="str">
        <f>_xlfn.XLOOKUP(Table1[[#This Row],[WorkLifeBalance]],Table20[WorkLifeBalance],Table20[Deskripsi])</f>
        <v>Best</v>
      </c>
      <c r="BA901">
        <v>1</v>
      </c>
      <c r="BB901">
        <v>0</v>
      </c>
      <c r="BC901">
        <v>0</v>
      </c>
      <c r="BD901">
        <v>0</v>
      </c>
    </row>
    <row r="902" spans="1:56" x14ac:dyDescent="0.25">
      <c r="A902">
        <v>36</v>
      </c>
      <c r="B902" t="str">
        <f>_xlfn.XLOOKUP(Table1[[#This Row],[Attrition]],Table2[Attrition],Table2[Id_Attrition])</f>
        <v>A002</v>
      </c>
      <c r="C902" t="s">
        <v>33</v>
      </c>
      <c r="D902" t="str">
        <f>_xlfn.XLOOKUP(Table1[[#This Row],[BusinessTravel]],Table5[BusinessTravel],Table5[Id_BusinessTravel])</f>
        <v>BS002</v>
      </c>
      <c r="E902" t="s">
        <v>35</v>
      </c>
      <c r="F902">
        <v>469</v>
      </c>
      <c r="G902" t="str">
        <f>_xlfn.XLOOKUP(Table1[[#This Row],[Department]],Table6[Department],Table6[Id_Departement])</f>
        <v>D002</v>
      </c>
      <c r="H902" t="s">
        <v>38</v>
      </c>
      <c r="I902">
        <v>3</v>
      </c>
      <c r="J902" t="str">
        <f>_xlfn.XLOOKUP(Table1[[#This Row],[Education]],Table8[Education],Table8[Id_Education])</f>
        <v>E003</v>
      </c>
      <c r="K902">
        <v>3</v>
      </c>
      <c r="L902" t="str">
        <f>_xlfn.XLOOKUP(Table1[[#This Row],[EducationField]],Table7[EducationField],Table7[Id_EducationField])</f>
        <v>EF005</v>
      </c>
      <c r="M902" t="s">
        <v>44</v>
      </c>
      <c r="N902" t="str">
        <f>_xlfn.XLOOKUP(Table1[[#This Row],[EmployeeNumber]],Table4[EmployeeNumber],Table4[Id_Employee])</f>
        <v>EMP00901</v>
      </c>
      <c r="O902">
        <v>1257</v>
      </c>
      <c r="P902" t="str">
        <f>_xlfn.XLOOKUP(Table1[[#This Row],[EnvironmentSatisfaction]],Table9[EnvironmentSatisfaction],Table9[Id_EnviromentSatisfaction])</f>
        <v>ES003</v>
      </c>
      <c r="Q902">
        <v>3</v>
      </c>
      <c r="R902" t="str">
        <f>_xlfn.XLOOKUP(Table1[[#This Row],[EnvironmentSatisfaction]],Table9[EnvironmentSatisfaction],Table9[Deskripsi])</f>
        <v>High</v>
      </c>
      <c r="S902" t="str">
        <f>_xlfn.XLOOKUP(Table1[[#This Row],[Gender]],Table10[Gender],Table10[Id_Gender])</f>
        <v>G002</v>
      </c>
      <c r="T902" t="s">
        <v>46</v>
      </c>
      <c r="U902">
        <v>46</v>
      </c>
      <c r="V902" t="str">
        <f>_xlfn.XLOOKUP(Table1[[#This Row],[JobInvolvement]],Table11[JobInvolvement],Table11[Id_JobInvolvement])</f>
        <v>JI003</v>
      </c>
      <c r="W902">
        <v>3</v>
      </c>
      <c r="X902" t="str">
        <f>_xlfn.XLOOKUP(Table1[[#This Row],[JobLevel]],Table12[JobLevel],Table12[Id_JobLevel])</f>
        <v>JL001</v>
      </c>
      <c r="Y902">
        <v>1</v>
      </c>
      <c r="Z902" t="str">
        <f>_xlfn.XLOOKUP(Table1[[#This Row],[JobRole]],Table13[JobRole],Table13[Id_JobRole])</f>
        <v>JR002</v>
      </c>
      <c r="AA902" t="s">
        <v>48</v>
      </c>
      <c r="AB902" t="str">
        <f>_xlfn.XLOOKUP(Table1[[#This Row],[JobSatisfaction]],Table14[JobSatisfaction],Table14[Id_JobSatisfaction])</f>
        <v>JS002</v>
      </c>
      <c r="AC902">
        <v>2</v>
      </c>
      <c r="AD902" t="str">
        <f>_xlfn.XLOOKUP(Table1[[#This Row],[JobSatisfaction]],Table14[JobSatisfaction],Table14[Deskripsi])</f>
        <v>Medium</v>
      </c>
      <c r="AE902" t="str">
        <f>_xlfn.XLOOKUP(Table1[[#This Row],[MaritalStatus]],Table15[MaritalStatus],Table15[Id_MaritalStatus])</f>
        <v>MS002</v>
      </c>
      <c r="AF902" t="s">
        <v>56</v>
      </c>
      <c r="AG902">
        <v>3692</v>
      </c>
      <c r="AH902">
        <v>9256</v>
      </c>
      <c r="AI902">
        <v>1</v>
      </c>
      <c r="AJ902" t="str">
        <f>_xlfn.XLOOKUP(Table1[[#This Row],[OverTime]],Table16[OverTime],Table16[Id_OverTime])</f>
        <v>OT002</v>
      </c>
      <c r="AK902" t="s">
        <v>33</v>
      </c>
      <c r="AL902">
        <v>12</v>
      </c>
      <c r="AM902" t="str">
        <f>_xlfn.XLOOKUP(Table1[[#This Row],[PerformanceRating]],Table17[PerformanceRating],Table17[Id_PerformanceRating])</f>
        <v>PR003</v>
      </c>
      <c r="AN902">
        <v>3</v>
      </c>
      <c r="AO902" t="str">
        <f>_xlfn.XLOOKUP(Table1[[#This Row],[PerformanceRating]],Table17[PerformanceRating],Table17[Deskripsi])</f>
        <v>Excellent</v>
      </c>
      <c r="AP902" t="str">
        <f>_xlfn.XLOOKUP(Table1[[#This Row],[RelationshipSatisfaction]],Table18[RelationshipSatisfaction],Table18[Id_RelationshipSatisfaction])</f>
        <v>RS003</v>
      </c>
      <c r="AQ902">
        <v>3</v>
      </c>
      <c r="AR902" t="str">
        <f>_xlfn.XLOOKUP(Table1[[#This Row],[RelationshipSatisfaction]],Table18[RelationshipSatisfaction],Table18[Deskripsi])</f>
        <v>High</v>
      </c>
      <c r="AS902" t="str">
        <f>_xlfn.XLOOKUP(Table1[[#This Row],[StockOptionLevel]],Table19[StockOptionLevel],Table19[Id_StockOptionLevel])</f>
        <v>SOL001</v>
      </c>
      <c r="AT902">
        <v>0</v>
      </c>
      <c r="AU902" t="str">
        <f>_xlfn.XLOOKUP(Table1[[#This Row],[StockOptionLevel]],Table19[StockOptionLevel],Table19[Deskripsi])</f>
        <v>Non-Eligible</v>
      </c>
      <c r="AV902">
        <v>12</v>
      </c>
      <c r="AW902">
        <v>2</v>
      </c>
      <c r="AX902" t="str">
        <f>_xlfn.XLOOKUP(Table1[[#This Row],[WorkLifeBalance]],Table20[WorkLifeBalance],Table20[Id_WorkLifeBalance])</f>
        <v>WLB003</v>
      </c>
      <c r="AY902">
        <v>2</v>
      </c>
      <c r="AZ902" t="str">
        <f>_xlfn.XLOOKUP(Table1[[#This Row],[WorkLifeBalance]],Table20[WorkLifeBalance],Table20[Deskripsi])</f>
        <v>Better</v>
      </c>
      <c r="BA902">
        <v>11</v>
      </c>
      <c r="BB902">
        <v>10</v>
      </c>
      <c r="BC902">
        <v>0</v>
      </c>
      <c r="BD902">
        <v>7</v>
      </c>
    </row>
    <row r="903" spans="1:56" x14ac:dyDescent="0.25">
      <c r="A903">
        <v>48</v>
      </c>
      <c r="B903" t="str">
        <f>_xlfn.XLOOKUP(Table1[[#This Row],[Attrition]],Table2[Attrition],Table2[Id_Attrition])</f>
        <v>A002</v>
      </c>
      <c r="C903" t="s">
        <v>33</v>
      </c>
      <c r="D903" t="str">
        <f>_xlfn.XLOOKUP(Table1[[#This Row],[BusinessTravel]],Table5[BusinessTravel],Table5[Id_BusinessTravel])</f>
        <v>BS001</v>
      </c>
      <c r="E903" t="s">
        <v>34</v>
      </c>
      <c r="F903">
        <v>969</v>
      </c>
      <c r="G903" t="str">
        <f>_xlfn.XLOOKUP(Table1[[#This Row],[Department]],Table6[Department],Table6[Id_Departement])</f>
        <v>D002</v>
      </c>
      <c r="H903" t="s">
        <v>38</v>
      </c>
      <c r="I903">
        <v>2</v>
      </c>
      <c r="J903" t="str">
        <f>_xlfn.XLOOKUP(Table1[[#This Row],[Education]],Table8[Education],Table8[Id_Education])</f>
        <v>E002</v>
      </c>
      <c r="K903">
        <v>2</v>
      </c>
      <c r="L903" t="str">
        <f>_xlfn.XLOOKUP(Table1[[#This Row],[EducationField]],Table7[EducationField],Table7[Id_EducationField])</f>
        <v>EF005</v>
      </c>
      <c r="M903" t="s">
        <v>44</v>
      </c>
      <c r="N903" t="str">
        <f>_xlfn.XLOOKUP(Table1[[#This Row],[EmployeeNumber]],Table4[EmployeeNumber],Table4[Id_Employee])</f>
        <v>EMP00902</v>
      </c>
      <c r="O903">
        <v>1258</v>
      </c>
      <c r="P903" t="str">
        <f>_xlfn.XLOOKUP(Table1[[#This Row],[EnvironmentSatisfaction]],Table9[EnvironmentSatisfaction],Table9[Id_EnviromentSatisfaction])</f>
        <v>ES004</v>
      </c>
      <c r="Q903">
        <v>4</v>
      </c>
      <c r="R903" t="str">
        <f>_xlfn.XLOOKUP(Table1[[#This Row],[EnvironmentSatisfaction]],Table9[EnvironmentSatisfaction],Table9[Deskripsi])</f>
        <v>Very High</v>
      </c>
      <c r="S903" t="str">
        <f>_xlfn.XLOOKUP(Table1[[#This Row],[Gender]],Table10[Gender],Table10[Id_Gender])</f>
        <v>G002</v>
      </c>
      <c r="T903" t="s">
        <v>46</v>
      </c>
      <c r="U903">
        <v>76</v>
      </c>
      <c r="V903" t="str">
        <f>_xlfn.XLOOKUP(Table1[[#This Row],[JobInvolvement]],Table11[JobInvolvement],Table11[Id_JobInvolvement])</f>
        <v>JI004</v>
      </c>
      <c r="W903">
        <v>4</v>
      </c>
      <c r="X903" t="str">
        <f>_xlfn.XLOOKUP(Table1[[#This Row],[JobLevel]],Table12[JobLevel],Table12[Id_JobLevel])</f>
        <v>JL001</v>
      </c>
      <c r="Y903">
        <v>1</v>
      </c>
      <c r="Z903" t="str">
        <f>_xlfn.XLOOKUP(Table1[[#This Row],[JobRole]],Table13[JobRole],Table13[Id_JobRole])</f>
        <v>JR003</v>
      </c>
      <c r="AA903" t="s">
        <v>49</v>
      </c>
      <c r="AB903" t="str">
        <f>_xlfn.XLOOKUP(Table1[[#This Row],[JobSatisfaction]],Table14[JobSatisfaction],Table14[Id_JobSatisfaction])</f>
        <v>JS002</v>
      </c>
      <c r="AC903">
        <v>2</v>
      </c>
      <c r="AD903" t="str">
        <f>_xlfn.XLOOKUP(Table1[[#This Row],[JobSatisfaction]],Table14[JobSatisfaction],Table14[Deskripsi])</f>
        <v>Medium</v>
      </c>
      <c r="AE903" t="str">
        <f>_xlfn.XLOOKUP(Table1[[#This Row],[MaritalStatus]],Table15[MaritalStatus],Table15[Id_MaritalStatus])</f>
        <v>MS001</v>
      </c>
      <c r="AF903" t="s">
        <v>55</v>
      </c>
      <c r="AG903">
        <v>2559</v>
      </c>
      <c r="AH903">
        <v>16620</v>
      </c>
      <c r="AI903">
        <v>5</v>
      </c>
      <c r="AJ903" t="str">
        <f>_xlfn.XLOOKUP(Table1[[#This Row],[OverTime]],Table16[OverTime],Table16[Id_OverTime])</f>
        <v>OT002</v>
      </c>
      <c r="AK903" t="s">
        <v>33</v>
      </c>
      <c r="AL903">
        <v>11</v>
      </c>
      <c r="AM903" t="str">
        <f>_xlfn.XLOOKUP(Table1[[#This Row],[PerformanceRating]],Table17[PerformanceRating],Table17[Id_PerformanceRating])</f>
        <v>PR003</v>
      </c>
      <c r="AN903">
        <v>3</v>
      </c>
      <c r="AO903" t="str">
        <f>_xlfn.XLOOKUP(Table1[[#This Row],[PerformanceRating]],Table17[PerformanceRating],Table17[Deskripsi])</f>
        <v>Excellent</v>
      </c>
      <c r="AP903" t="str">
        <f>_xlfn.XLOOKUP(Table1[[#This Row],[RelationshipSatisfaction]],Table18[RelationshipSatisfaction],Table18[Id_RelationshipSatisfaction])</f>
        <v>RS003</v>
      </c>
      <c r="AQ903">
        <v>3</v>
      </c>
      <c r="AR903" t="str">
        <f>_xlfn.XLOOKUP(Table1[[#This Row],[RelationshipSatisfaction]],Table18[RelationshipSatisfaction],Table18[Deskripsi])</f>
        <v>High</v>
      </c>
      <c r="AS903" t="str">
        <f>_xlfn.XLOOKUP(Table1[[#This Row],[StockOptionLevel]],Table19[StockOptionLevel],Table19[Id_StockOptionLevel])</f>
        <v>SOL001</v>
      </c>
      <c r="AT903">
        <v>0</v>
      </c>
      <c r="AU903" t="str">
        <f>_xlfn.XLOOKUP(Table1[[#This Row],[StockOptionLevel]],Table19[StockOptionLevel],Table19[Deskripsi])</f>
        <v>Non-Eligible</v>
      </c>
      <c r="AV903">
        <v>7</v>
      </c>
      <c r="AW903">
        <v>4</v>
      </c>
      <c r="AX903" t="str">
        <f>_xlfn.XLOOKUP(Table1[[#This Row],[WorkLifeBalance]],Table20[WorkLifeBalance],Table20[Id_WorkLifeBalance])</f>
        <v>WLB003</v>
      </c>
      <c r="AY903">
        <v>2</v>
      </c>
      <c r="AZ903" t="str">
        <f>_xlfn.XLOOKUP(Table1[[#This Row],[WorkLifeBalance]],Table20[WorkLifeBalance],Table20[Deskripsi])</f>
        <v>Better</v>
      </c>
      <c r="BA903">
        <v>1</v>
      </c>
      <c r="BB903">
        <v>0</v>
      </c>
      <c r="BC903">
        <v>0</v>
      </c>
      <c r="BD903">
        <v>0</v>
      </c>
    </row>
    <row r="904" spans="1:56" x14ac:dyDescent="0.25">
      <c r="A904">
        <v>27</v>
      </c>
      <c r="B904" t="str">
        <f>_xlfn.XLOOKUP(Table1[[#This Row],[Attrition]],Table2[Attrition],Table2[Id_Attrition])</f>
        <v>A002</v>
      </c>
      <c r="C904" t="s">
        <v>33</v>
      </c>
      <c r="D904" t="str">
        <f>_xlfn.XLOOKUP(Table1[[#This Row],[BusinessTravel]],Table5[BusinessTravel],Table5[Id_BusinessTravel])</f>
        <v>BS001</v>
      </c>
      <c r="E904" t="s">
        <v>34</v>
      </c>
      <c r="F904">
        <v>1167</v>
      </c>
      <c r="G904" t="str">
        <f>_xlfn.XLOOKUP(Table1[[#This Row],[Department]],Table6[Department],Table6[Id_Departement])</f>
        <v>D002</v>
      </c>
      <c r="H904" t="s">
        <v>38</v>
      </c>
      <c r="I904">
        <v>4</v>
      </c>
      <c r="J904" t="str">
        <f>_xlfn.XLOOKUP(Table1[[#This Row],[Education]],Table8[Education],Table8[Id_Education])</f>
        <v>E002</v>
      </c>
      <c r="K904">
        <v>2</v>
      </c>
      <c r="L904" t="str">
        <f>_xlfn.XLOOKUP(Table1[[#This Row],[EducationField]],Table7[EducationField],Table7[Id_EducationField])</f>
        <v>EF001</v>
      </c>
      <c r="M904" t="s">
        <v>40</v>
      </c>
      <c r="N904" t="str">
        <f>_xlfn.XLOOKUP(Table1[[#This Row],[EmployeeNumber]],Table4[EmployeeNumber],Table4[Id_Employee])</f>
        <v>EMP00903</v>
      </c>
      <c r="O904">
        <v>1259</v>
      </c>
      <c r="P904" t="str">
        <f>_xlfn.XLOOKUP(Table1[[#This Row],[EnvironmentSatisfaction]],Table9[EnvironmentSatisfaction],Table9[Id_EnviromentSatisfaction])</f>
        <v>ES001</v>
      </c>
      <c r="Q904">
        <v>1</v>
      </c>
      <c r="R904" t="str">
        <f>_xlfn.XLOOKUP(Table1[[#This Row],[EnvironmentSatisfaction]],Table9[EnvironmentSatisfaction],Table9[Deskripsi])</f>
        <v>Low</v>
      </c>
      <c r="S904" t="str">
        <f>_xlfn.XLOOKUP(Table1[[#This Row],[Gender]],Table10[Gender],Table10[Id_Gender])</f>
        <v>G002</v>
      </c>
      <c r="T904" t="s">
        <v>46</v>
      </c>
      <c r="U904">
        <v>76</v>
      </c>
      <c r="V904" t="str">
        <f>_xlfn.XLOOKUP(Table1[[#This Row],[JobInvolvement]],Table11[JobInvolvement],Table11[Id_JobInvolvement])</f>
        <v>JI003</v>
      </c>
      <c r="W904">
        <v>3</v>
      </c>
      <c r="X904" t="str">
        <f>_xlfn.XLOOKUP(Table1[[#This Row],[JobLevel]],Table12[JobLevel],Table12[Id_JobLevel])</f>
        <v>JL001</v>
      </c>
      <c r="Y904">
        <v>1</v>
      </c>
      <c r="Z904" t="str">
        <f>_xlfn.XLOOKUP(Table1[[#This Row],[JobRole]],Table13[JobRole],Table13[Id_JobRole])</f>
        <v>JR002</v>
      </c>
      <c r="AA904" t="s">
        <v>48</v>
      </c>
      <c r="AB904" t="str">
        <f>_xlfn.XLOOKUP(Table1[[#This Row],[JobSatisfaction]],Table14[JobSatisfaction],Table14[Id_JobSatisfaction])</f>
        <v>JS003</v>
      </c>
      <c r="AC904">
        <v>3</v>
      </c>
      <c r="AD904" t="str">
        <f>_xlfn.XLOOKUP(Table1[[#This Row],[JobSatisfaction]],Table14[JobSatisfaction],Table14[Deskripsi])</f>
        <v>High</v>
      </c>
      <c r="AE904" t="str">
        <f>_xlfn.XLOOKUP(Table1[[#This Row],[MaritalStatus]],Table15[MaritalStatus],Table15[Id_MaritalStatus])</f>
        <v>MS003</v>
      </c>
      <c r="AF904" t="s">
        <v>57</v>
      </c>
      <c r="AG904">
        <v>2517</v>
      </c>
      <c r="AH904">
        <v>3208</v>
      </c>
      <c r="AI904">
        <v>1</v>
      </c>
      <c r="AJ904" t="str">
        <f>_xlfn.XLOOKUP(Table1[[#This Row],[OverTime]],Table16[OverTime],Table16[Id_OverTime])</f>
        <v>OT002</v>
      </c>
      <c r="AK904" t="s">
        <v>33</v>
      </c>
      <c r="AL904">
        <v>11</v>
      </c>
      <c r="AM904" t="str">
        <f>_xlfn.XLOOKUP(Table1[[#This Row],[PerformanceRating]],Table17[PerformanceRating],Table17[Id_PerformanceRating])</f>
        <v>PR003</v>
      </c>
      <c r="AN904">
        <v>3</v>
      </c>
      <c r="AO904" t="str">
        <f>_xlfn.XLOOKUP(Table1[[#This Row],[PerformanceRating]],Table17[PerformanceRating],Table17[Deskripsi])</f>
        <v>Excellent</v>
      </c>
      <c r="AP904" t="str">
        <f>_xlfn.XLOOKUP(Table1[[#This Row],[RelationshipSatisfaction]],Table18[RelationshipSatisfaction],Table18[Id_RelationshipSatisfaction])</f>
        <v>RS002</v>
      </c>
      <c r="AQ904">
        <v>2</v>
      </c>
      <c r="AR904" t="str">
        <f>_xlfn.XLOOKUP(Table1[[#This Row],[RelationshipSatisfaction]],Table18[RelationshipSatisfaction],Table18[Deskripsi])</f>
        <v>Medium</v>
      </c>
      <c r="AS904" t="str">
        <f>_xlfn.XLOOKUP(Table1[[#This Row],[StockOptionLevel]],Table19[StockOptionLevel],Table19[Id_StockOptionLevel])</f>
        <v>SOL004</v>
      </c>
      <c r="AT904">
        <v>3</v>
      </c>
      <c r="AU904" t="str">
        <f>_xlfn.XLOOKUP(Table1[[#This Row],[StockOptionLevel]],Table19[StockOptionLevel],Table19[Deskripsi])</f>
        <v>Senior/Executive</v>
      </c>
      <c r="AV904">
        <v>5</v>
      </c>
      <c r="AW904">
        <v>2</v>
      </c>
      <c r="AX904" t="str">
        <f>_xlfn.XLOOKUP(Table1[[#This Row],[WorkLifeBalance]],Table20[WorkLifeBalance],Table20[Id_WorkLifeBalance])</f>
        <v>WLB002</v>
      </c>
      <c r="AY904">
        <v>3</v>
      </c>
      <c r="AZ904" t="str">
        <f>_xlfn.XLOOKUP(Table1[[#This Row],[WorkLifeBalance]],Table20[WorkLifeBalance],Table20[Deskripsi])</f>
        <v>Good</v>
      </c>
      <c r="BA904">
        <v>5</v>
      </c>
      <c r="BB904">
        <v>3</v>
      </c>
      <c r="BC904">
        <v>0</v>
      </c>
      <c r="BD904">
        <v>3</v>
      </c>
    </row>
    <row r="905" spans="1:56" x14ac:dyDescent="0.25">
      <c r="A905">
        <v>29</v>
      </c>
      <c r="B905" t="str">
        <f>_xlfn.XLOOKUP(Table1[[#This Row],[Attrition]],Table2[Attrition],Table2[Id_Attrition])</f>
        <v>A002</v>
      </c>
      <c r="C905" t="s">
        <v>33</v>
      </c>
      <c r="D905" t="str">
        <f>_xlfn.XLOOKUP(Table1[[#This Row],[BusinessTravel]],Table5[BusinessTravel],Table5[Id_BusinessTravel])</f>
        <v>BS001</v>
      </c>
      <c r="E905" t="s">
        <v>34</v>
      </c>
      <c r="F905">
        <v>1329</v>
      </c>
      <c r="G905" t="str">
        <f>_xlfn.XLOOKUP(Table1[[#This Row],[Department]],Table6[Department],Table6[Id_Departement])</f>
        <v>D002</v>
      </c>
      <c r="H905" t="s">
        <v>38</v>
      </c>
      <c r="I905">
        <v>7</v>
      </c>
      <c r="J905" t="str">
        <f>_xlfn.XLOOKUP(Table1[[#This Row],[Education]],Table8[Education],Table8[Id_Education])</f>
        <v>E003</v>
      </c>
      <c r="K905">
        <v>3</v>
      </c>
      <c r="L905" t="str">
        <f>_xlfn.XLOOKUP(Table1[[#This Row],[EducationField]],Table7[EducationField],Table7[Id_EducationField])</f>
        <v>EF001</v>
      </c>
      <c r="M905" t="s">
        <v>40</v>
      </c>
      <c r="N905" t="str">
        <f>_xlfn.XLOOKUP(Table1[[#This Row],[EmployeeNumber]],Table4[EmployeeNumber],Table4[Id_Employee])</f>
        <v>EMP00904</v>
      </c>
      <c r="O905">
        <v>1260</v>
      </c>
      <c r="P905" t="str">
        <f>_xlfn.XLOOKUP(Table1[[#This Row],[EnvironmentSatisfaction]],Table9[EnvironmentSatisfaction],Table9[Id_EnviromentSatisfaction])</f>
        <v>ES003</v>
      </c>
      <c r="Q905">
        <v>3</v>
      </c>
      <c r="R905" t="str">
        <f>_xlfn.XLOOKUP(Table1[[#This Row],[EnvironmentSatisfaction]],Table9[EnvironmentSatisfaction],Table9[Deskripsi])</f>
        <v>High</v>
      </c>
      <c r="S905" t="str">
        <f>_xlfn.XLOOKUP(Table1[[#This Row],[Gender]],Table10[Gender],Table10[Id_Gender])</f>
        <v>G002</v>
      </c>
      <c r="T905" t="s">
        <v>46</v>
      </c>
      <c r="U905">
        <v>82</v>
      </c>
      <c r="V905" t="str">
        <f>_xlfn.XLOOKUP(Table1[[#This Row],[JobInvolvement]],Table11[JobInvolvement],Table11[Id_JobInvolvement])</f>
        <v>JI003</v>
      </c>
      <c r="W905">
        <v>3</v>
      </c>
      <c r="X905" t="str">
        <f>_xlfn.XLOOKUP(Table1[[#This Row],[JobLevel]],Table12[JobLevel],Table12[Id_JobLevel])</f>
        <v>JL002</v>
      </c>
      <c r="Y905">
        <v>2</v>
      </c>
      <c r="Z905" t="str">
        <f>_xlfn.XLOOKUP(Table1[[#This Row],[JobRole]],Table13[JobRole],Table13[Id_JobRole])</f>
        <v>JR005</v>
      </c>
      <c r="AA905" t="s">
        <v>51</v>
      </c>
      <c r="AB905" t="str">
        <f>_xlfn.XLOOKUP(Table1[[#This Row],[JobSatisfaction]],Table14[JobSatisfaction],Table14[Id_JobSatisfaction])</f>
        <v>JS004</v>
      </c>
      <c r="AC905">
        <v>4</v>
      </c>
      <c r="AD905" t="str">
        <f>_xlfn.XLOOKUP(Table1[[#This Row],[JobSatisfaction]],Table14[JobSatisfaction],Table14[Deskripsi])</f>
        <v>Very High</v>
      </c>
      <c r="AE905" t="str">
        <f>_xlfn.XLOOKUP(Table1[[#This Row],[MaritalStatus]],Table15[MaritalStatus],Table15[Id_MaritalStatus])</f>
        <v>MS003</v>
      </c>
      <c r="AF905" t="s">
        <v>57</v>
      </c>
      <c r="AG905">
        <v>6623</v>
      </c>
      <c r="AH905">
        <v>4204</v>
      </c>
      <c r="AI905">
        <v>1</v>
      </c>
      <c r="AJ905" t="str">
        <f>_xlfn.XLOOKUP(Table1[[#This Row],[OverTime]],Table16[OverTime],Table16[Id_OverTime])</f>
        <v>OT001</v>
      </c>
      <c r="AK905" t="s">
        <v>32</v>
      </c>
      <c r="AL905">
        <v>11</v>
      </c>
      <c r="AM905" t="str">
        <f>_xlfn.XLOOKUP(Table1[[#This Row],[PerformanceRating]],Table17[PerformanceRating],Table17[Id_PerformanceRating])</f>
        <v>PR003</v>
      </c>
      <c r="AN905">
        <v>3</v>
      </c>
      <c r="AO905" t="str">
        <f>_xlfn.XLOOKUP(Table1[[#This Row],[PerformanceRating]],Table17[PerformanceRating],Table17[Deskripsi])</f>
        <v>Excellent</v>
      </c>
      <c r="AP905" t="str">
        <f>_xlfn.XLOOKUP(Table1[[#This Row],[RelationshipSatisfaction]],Table18[RelationshipSatisfaction],Table18[Id_RelationshipSatisfaction])</f>
        <v>RS002</v>
      </c>
      <c r="AQ905">
        <v>2</v>
      </c>
      <c r="AR905" t="str">
        <f>_xlfn.XLOOKUP(Table1[[#This Row],[RelationshipSatisfaction]],Table18[RelationshipSatisfaction],Table18[Deskripsi])</f>
        <v>Medium</v>
      </c>
      <c r="AS905" t="str">
        <f>_xlfn.XLOOKUP(Table1[[#This Row],[StockOptionLevel]],Table19[StockOptionLevel],Table19[Id_StockOptionLevel])</f>
        <v>SOL003</v>
      </c>
      <c r="AT905">
        <v>2</v>
      </c>
      <c r="AU905" t="str">
        <f>_xlfn.XLOOKUP(Table1[[#This Row],[StockOptionLevel]],Table19[StockOptionLevel],Table19[Deskripsi])</f>
        <v>Intermediate</v>
      </c>
      <c r="AV905">
        <v>6</v>
      </c>
      <c r="AW905">
        <v>2</v>
      </c>
      <c r="AX905" t="str">
        <f>_xlfn.XLOOKUP(Table1[[#This Row],[WorkLifeBalance]],Table20[WorkLifeBalance],Table20[Id_WorkLifeBalance])</f>
        <v>WLB002</v>
      </c>
      <c r="AY905">
        <v>3</v>
      </c>
      <c r="AZ905" t="str">
        <f>_xlfn.XLOOKUP(Table1[[#This Row],[WorkLifeBalance]],Table20[WorkLifeBalance],Table20[Deskripsi])</f>
        <v>Good</v>
      </c>
      <c r="BA905">
        <v>6</v>
      </c>
      <c r="BB905">
        <v>0</v>
      </c>
      <c r="BC905">
        <v>1</v>
      </c>
      <c r="BD905">
        <v>0</v>
      </c>
    </row>
    <row r="906" spans="1:56" x14ac:dyDescent="0.25">
      <c r="A906">
        <v>48</v>
      </c>
      <c r="B906" t="str">
        <f>_xlfn.XLOOKUP(Table1[[#This Row],[Attrition]],Table2[Attrition],Table2[Id_Attrition])</f>
        <v>A002</v>
      </c>
      <c r="C906" t="s">
        <v>33</v>
      </c>
      <c r="D906" t="str">
        <f>_xlfn.XLOOKUP(Table1[[#This Row],[BusinessTravel]],Table5[BusinessTravel],Table5[Id_BusinessTravel])</f>
        <v>BS001</v>
      </c>
      <c r="E906" t="s">
        <v>34</v>
      </c>
      <c r="F906">
        <v>715</v>
      </c>
      <c r="G906" t="str">
        <f>_xlfn.XLOOKUP(Table1[[#This Row],[Department]],Table6[Department],Table6[Id_Departement])</f>
        <v>D002</v>
      </c>
      <c r="H906" t="s">
        <v>38</v>
      </c>
      <c r="I906">
        <v>1</v>
      </c>
      <c r="J906" t="str">
        <f>_xlfn.XLOOKUP(Table1[[#This Row],[Education]],Table8[Education],Table8[Id_Education])</f>
        <v>E003</v>
      </c>
      <c r="K906">
        <v>3</v>
      </c>
      <c r="L906" t="str">
        <f>_xlfn.XLOOKUP(Table1[[#This Row],[EducationField]],Table7[EducationField],Table7[Id_EducationField])</f>
        <v>EF001</v>
      </c>
      <c r="M906" t="s">
        <v>40</v>
      </c>
      <c r="N906" t="str">
        <f>_xlfn.XLOOKUP(Table1[[#This Row],[EmployeeNumber]],Table4[EmployeeNumber],Table4[Id_Employee])</f>
        <v>EMP00905</v>
      </c>
      <c r="O906">
        <v>1263</v>
      </c>
      <c r="P906" t="str">
        <f>_xlfn.XLOOKUP(Table1[[#This Row],[EnvironmentSatisfaction]],Table9[EnvironmentSatisfaction],Table9[Id_EnviromentSatisfaction])</f>
        <v>ES004</v>
      </c>
      <c r="Q906">
        <v>4</v>
      </c>
      <c r="R906" t="str">
        <f>_xlfn.XLOOKUP(Table1[[#This Row],[EnvironmentSatisfaction]],Table9[EnvironmentSatisfaction],Table9[Deskripsi])</f>
        <v>Very High</v>
      </c>
      <c r="S906" t="str">
        <f>_xlfn.XLOOKUP(Table1[[#This Row],[Gender]],Table10[Gender],Table10[Id_Gender])</f>
        <v>G002</v>
      </c>
      <c r="T906" t="s">
        <v>46</v>
      </c>
      <c r="U906">
        <v>76</v>
      </c>
      <c r="V906" t="str">
        <f>_xlfn.XLOOKUP(Table1[[#This Row],[JobInvolvement]],Table11[JobInvolvement],Table11[Id_JobInvolvement])</f>
        <v>JI002</v>
      </c>
      <c r="W906">
        <v>2</v>
      </c>
      <c r="X906" t="str">
        <f>_xlfn.XLOOKUP(Table1[[#This Row],[JobLevel]],Table12[JobLevel],Table12[Id_JobLevel])</f>
        <v>JL005</v>
      </c>
      <c r="Y906">
        <v>5</v>
      </c>
      <c r="Z906" t="str">
        <f>_xlfn.XLOOKUP(Table1[[#This Row],[JobRole]],Table13[JobRole],Table13[Id_JobRole])</f>
        <v>JR008</v>
      </c>
      <c r="AA906" t="s">
        <v>54</v>
      </c>
      <c r="AB906" t="str">
        <f>_xlfn.XLOOKUP(Table1[[#This Row],[JobSatisfaction]],Table14[JobSatisfaction],Table14[Id_JobSatisfaction])</f>
        <v>JS004</v>
      </c>
      <c r="AC906">
        <v>4</v>
      </c>
      <c r="AD906" t="str">
        <f>_xlfn.XLOOKUP(Table1[[#This Row],[JobSatisfaction]],Table14[JobSatisfaction],Table14[Deskripsi])</f>
        <v>Very High</v>
      </c>
      <c r="AE906" t="str">
        <f>_xlfn.XLOOKUP(Table1[[#This Row],[MaritalStatus]],Table15[MaritalStatus],Table15[Id_MaritalStatus])</f>
        <v>MS001</v>
      </c>
      <c r="AF906" t="s">
        <v>55</v>
      </c>
      <c r="AG906">
        <v>18265</v>
      </c>
      <c r="AH906">
        <v>8733</v>
      </c>
      <c r="AI906">
        <v>6</v>
      </c>
      <c r="AJ906" t="str">
        <f>_xlfn.XLOOKUP(Table1[[#This Row],[OverTime]],Table16[OverTime],Table16[Id_OverTime])</f>
        <v>OT002</v>
      </c>
      <c r="AK906" t="s">
        <v>33</v>
      </c>
      <c r="AL906">
        <v>12</v>
      </c>
      <c r="AM906" t="str">
        <f>_xlfn.XLOOKUP(Table1[[#This Row],[PerformanceRating]],Table17[PerformanceRating],Table17[Id_PerformanceRating])</f>
        <v>PR003</v>
      </c>
      <c r="AN906">
        <v>3</v>
      </c>
      <c r="AO906" t="str">
        <f>_xlfn.XLOOKUP(Table1[[#This Row],[PerformanceRating]],Table17[PerformanceRating],Table17[Deskripsi])</f>
        <v>Excellent</v>
      </c>
      <c r="AP906" t="str">
        <f>_xlfn.XLOOKUP(Table1[[#This Row],[RelationshipSatisfaction]],Table18[RelationshipSatisfaction],Table18[Id_RelationshipSatisfaction])</f>
        <v>RS003</v>
      </c>
      <c r="AQ906">
        <v>3</v>
      </c>
      <c r="AR906" t="str">
        <f>_xlfn.XLOOKUP(Table1[[#This Row],[RelationshipSatisfaction]],Table18[RelationshipSatisfaction],Table18[Deskripsi])</f>
        <v>High</v>
      </c>
      <c r="AS906" t="str">
        <f>_xlfn.XLOOKUP(Table1[[#This Row],[StockOptionLevel]],Table19[StockOptionLevel],Table19[Id_StockOptionLevel])</f>
        <v>SOL001</v>
      </c>
      <c r="AT906">
        <v>0</v>
      </c>
      <c r="AU906" t="str">
        <f>_xlfn.XLOOKUP(Table1[[#This Row],[StockOptionLevel]],Table19[StockOptionLevel],Table19[Deskripsi])</f>
        <v>Non-Eligible</v>
      </c>
      <c r="AV906">
        <v>25</v>
      </c>
      <c r="AW906">
        <v>3</v>
      </c>
      <c r="AX906" t="str">
        <f>_xlfn.XLOOKUP(Table1[[#This Row],[WorkLifeBalance]],Table20[WorkLifeBalance],Table20[Id_WorkLifeBalance])</f>
        <v>WLB004</v>
      </c>
      <c r="AY906">
        <v>4</v>
      </c>
      <c r="AZ906" t="str">
        <f>_xlfn.XLOOKUP(Table1[[#This Row],[WorkLifeBalance]],Table20[WorkLifeBalance],Table20[Deskripsi])</f>
        <v>Best</v>
      </c>
      <c r="BA906">
        <v>1</v>
      </c>
      <c r="BB906">
        <v>0</v>
      </c>
      <c r="BC906">
        <v>0</v>
      </c>
      <c r="BD906">
        <v>0</v>
      </c>
    </row>
    <row r="907" spans="1:56" x14ac:dyDescent="0.25">
      <c r="A907">
        <v>29</v>
      </c>
      <c r="B907" t="str">
        <f>_xlfn.XLOOKUP(Table1[[#This Row],[Attrition]],Table2[Attrition],Table2[Id_Attrition])</f>
        <v>A002</v>
      </c>
      <c r="C907" t="s">
        <v>33</v>
      </c>
      <c r="D907" t="str">
        <f>_xlfn.XLOOKUP(Table1[[#This Row],[BusinessTravel]],Table5[BusinessTravel],Table5[Id_BusinessTravel])</f>
        <v>BS001</v>
      </c>
      <c r="E907" t="s">
        <v>34</v>
      </c>
      <c r="F907">
        <v>694</v>
      </c>
      <c r="G907" t="str">
        <f>_xlfn.XLOOKUP(Table1[[#This Row],[Department]],Table6[Department],Table6[Id_Departement])</f>
        <v>D002</v>
      </c>
      <c r="H907" t="s">
        <v>38</v>
      </c>
      <c r="I907">
        <v>1</v>
      </c>
      <c r="J907" t="str">
        <f>_xlfn.XLOOKUP(Table1[[#This Row],[Education]],Table8[Education],Table8[Id_Education])</f>
        <v>E003</v>
      </c>
      <c r="K907">
        <v>3</v>
      </c>
      <c r="L907" t="str">
        <f>_xlfn.XLOOKUP(Table1[[#This Row],[EducationField]],Table7[EducationField],Table7[Id_EducationField])</f>
        <v>EF001</v>
      </c>
      <c r="M907" t="s">
        <v>40</v>
      </c>
      <c r="N907" t="str">
        <f>_xlfn.XLOOKUP(Table1[[#This Row],[EmployeeNumber]],Table4[EmployeeNumber],Table4[Id_Employee])</f>
        <v>EMP00906</v>
      </c>
      <c r="O907">
        <v>1264</v>
      </c>
      <c r="P907" t="str">
        <f>_xlfn.XLOOKUP(Table1[[#This Row],[EnvironmentSatisfaction]],Table9[EnvironmentSatisfaction],Table9[Id_EnviromentSatisfaction])</f>
        <v>ES004</v>
      </c>
      <c r="Q907">
        <v>4</v>
      </c>
      <c r="R907" t="str">
        <f>_xlfn.XLOOKUP(Table1[[#This Row],[EnvironmentSatisfaction]],Table9[EnvironmentSatisfaction],Table9[Deskripsi])</f>
        <v>Very High</v>
      </c>
      <c r="S907" t="str">
        <f>_xlfn.XLOOKUP(Table1[[#This Row],[Gender]],Table10[Gender],Table10[Id_Gender])</f>
        <v>G001</v>
      </c>
      <c r="T907" t="s">
        <v>45</v>
      </c>
      <c r="U907">
        <v>87</v>
      </c>
      <c r="V907" t="str">
        <f>_xlfn.XLOOKUP(Table1[[#This Row],[JobInvolvement]],Table11[JobInvolvement],Table11[Id_JobInvolvement])</f>
        <v>JI002</v>
      </c>
      <c r="W907">
        <v>2</v>
      </c>
      <c r="X907" t="str">
        <f>_xlfn.XLOOKUP(Table1[[#This Row],[JobLevel]],Table12[JobLevel],Table12[Id_JobLevel])</f>
        <v>JL004</v>
      </c>
      <c r="Y907">
        <v>4</v>
      </c>
      <c r="Z907" t="str">
        <f>_xlfn.XLOOKUP(Table1[[#This Row],[JobRole]],Table13[JobRole],Table13[Id_JobRole])</f>
        <v>JR008</v>
      </c>
      <c r="AA907" t="s">
        <v>54</v>
      </c>
      <c r="AB907" t="str">
        <f>_xlfn.XLOOKUP(Table1[[#This Row],[JobSatisfaction]],Table14[JobSatisfaction],Table14[Id_JobSatisfaction])</f>
        <v>JS004</v>
      </c>
      <c r="AC907">
        <v>4</v>
      </c>
      <c r="AD907" t="str">
        <f>_xlfn.XLOOKUP(Table1[[#This Row],[JobSatisfaction]],Table14[JobSatisfaction],Table14[Deskripsi])</f>
        <v>Very High</v>
      </c>
      <c r="AE907" t="str">
        <f>_xlfn.XLOOKUP(Table1[[#This Row],[MaritalStatus]],Table15[MaritalStatus],Table15[Id_MaritalStatus])</f>
        <v>MS003</v>
      </c>
      <c r="AF907" t="s">
        <v>57</v>
      </c>
      <c r="AG907">
        <v>16124</v>
      </c>
      <c r="AH907">
        <v>3423</v>
      </c>
      <c r="AI907">
        <v>3</v>
      </c>
      <c r="AJ907" t="str">
        <f>_xlfn.XLOOKUP(Table1[[#This Row],[OverTime]],Table16[OverTime],Table16[Id_OverTime])</f>
        <v>OT002</v>
      </c>
      <c r="AK907" t="s">
        <v>33</v>
      </c>
      <c r="AL907">
        <v>14</v>
      </c>
      <c r="AM907" t="str">
        <f>_xlfn.XLOOKUP(Table1[[#This Row],[PerformanceRating]],Table17[PerformanceRating],Table17[Id_PerformanceRating])</f>
        <v>PR003</v>
      </c>
      <c r="AN907">
        <v>3</v>
      </c>
      <c r="AO907" t="str">
        <f>_xlfn.XLOOKUP(Table1[[#This Row],[PerformanceRating]],Table17[PerformanceRating],Table17[Deskripsi])</f>
        <v>Excellent</v>
      </c>
      <c r="AP907" t="str">
        <f>_xlfn.XLOOKUP(Table1[[#This Row],[RelationshipSatisfaction]],Table18[RelationshipSatisfaction],Table18[Id_RelationshipSatisfaction])</f>
        <v>RS002</v>
      </c>
      <c r="AQ907">
        <v>2</v>
      </c>
      <c r="AR907" t="str">
        <f>_xlfn.XLOOKUP(Table1[[#This Row],[RelationshipSatisfaction]],Table18[RelationshipSatisfaction],Table18[Deskripsi])</f>
        <v>Medium</v>
      </c>
      <c r="AS907" t="str">
        <f>_xlfn.XLOOKUP(Table1[[#This Row],[StockOptionLevel]],Table19[StockOptionLevel],Table19[Id_StockOptionLevel])</f>
        <v>SOL003</v>
      </c>
      <c r="AT907">
        <v>2</v>
      </c>
      <c r="AU907" t="str">
        <f>_xlfn.XLOOKUP(Table1[[#This Row],[StockOptionLevel]],Table19[StockOptionLevel],Table19[Deskripsi])</f>
        <v>Intermediate</v>
      </c>
      <c r="AV907">
        <v>9</v>
      </c>
      <c r="AW907">
        <v>2</v>
      </c>
      <c r="AX907" t="str">
        <f>_xlfn.XLOOKUP(Table1[[#This Row],[WorkLifeBalance]],Table20[WorkLifeBalance],Table20[Id_WorkLifeBalance])</f>
        <v>WLB003</v>
      </c>
      <c r="AY907">
        <v>2</v>
      </c>
      <c r="AZ907" t="str">
        <f>_xlfn.XLOOKUP(Table1[[#This Row],[WorkLifeBalance]],Table20[WorkLifeBalance],Table20[Deskripsi])</f>
        <v>Better</v>
      </c>
      <c r="BA907">
        <v>7</v>
      </c>
      <c r="BB907">
        <v>7</v>
      </c>
      <c r="BC907">
        <v>1</v>
      </c>
      <c r="BD907">
        <v>7</v>
      </c>
    </row>
    <row r="908" spans="1:56" x14ac:dyDescent="0.25">
      <c r="A908">
        <v>34</v>
      </c>
      <c r="B908" t="str">
        <f>_xlfn.XLOOKUP(Table1[[#This Row],[Attrition]],Table2[Attrition],Table2[Id_Attrition])</f>
        <v>A002</v>
      </c>
      <c r="C908" t="s">
        <v>33</v>
      </c>
      <c r="D908" t="str">
        <f>_xlfn.XLOOKUP(Table1[[#This Row],[BusinessTravel]],Table5[BusinessTravel],Table5[Id_BusinessTravel])</f>
        <v>BS001</v>
      </c>
      <c r="E908" t="s">
        <v>34</v>
      </c>
      <c r="F908">
        <v>1320</v>
      </c>
      <c r="G908" t="str">
        <f>_xlfn.XLOOKUP(Table1[[#This Row],[Department]],Table6[Department],Table6[Id_Departement])</f>
        <v>D002</v>
      </c>
      <c r="H908" t="s">
        <v>38</v>
      </c>
      <c r="I908">
        <v>20</v>
      </c>
      <c r="J908" t="str">
        <f>_xlfn.XLOOKUP(Table1[[#This Row],[Education]],Table8[Education],Table8[Id_Education])</f>
        <v>E003</v>
      </c>
      <c r="K908">
        <v>3</v>
      </c>
      <c r="L908" t="str">
        <f>_xlfn.XLOOKUP(Table1[[#This Row],[EducationField]],Table7[EducationField],Table7[Id_EducationField])</f>
        <v>EF005</v>
      </c>
      <c r="M908" t="s">
        <v>44</v>
      </c>
      <c r="N908" t="str">
        <f>_xlfn.XLOOKUP(Table1[[#This Row],[EmployeeNumber]],Table4[EmployeeNumber],Table4[Id_Employee])</f>
        <v>EMP00907</v>
      </c>
      <c r="O908">
        <v>1265</v>
      </c>
      <c r="P908" t="str">
        <f>_xlfn.XLOOKUP(Table1[[#This Row],[EnvironmentSatisfaction]],Table9[EnvironmentSatisfaction],Table9[Id_EnviromentSatisfaction])</f>
        <v>ES003</v>
      </c>
      <c r="Q908">
        <v>3</v>
      </c>
      <c r="R908" t="str">
        <f>_xlfn.XLOOKUP(Table1[[#This Row],[EnvironmentSatisfaction]],Table9[EnvironmentSatisfaction],Table9[Deskripsi])</f>
        <v>High</v>
      </c>
      <c r="S908" t="str">
        <f>_xlfn.XLOOKUP(Table1[[#This Row],[Gender]],Table10[Gender],Table10[Id_Gender])</f>
        <v>G001</v>
      </c>
      <c r="T908" t="s">
        <v>45</v>
      </c>
      <c r="U908">
        <v>89</v>
      </c>
      <c r="V908" t="str">
        <f>_xlfn.XLOOKUP(Table1[[#This Row],[JobInvolvement]],Table11[JobInvolvement],Table11[Id_JobInvolvement])</f>
        <v>JI004</v>
      </c>
      <c r="W908">
        <v>4</v>
      </c>
      <c r="X908" t="str">
        <f>_xlfn.XLOOKUP(Table1[[#This Row],[JobLevel]],Table12[JobLevel],Table12[Id_JobLevel])</f>
        <v>JL001</v>
      </c>
      <c r="Y908">
        <v>1</v>
      </c>
      <c r="Z908" t="str">
        <f>_xlfn.XLOOKUP(Table1[[#This Row],[JobRole]],Table13[JobRole],Table13[Id_JobRole])</f>
        <v>JR002</v>
      </c>
      <c r="AA908" t="s">
        <v>48</v>
      </c>
      <c r="AB908" t="str">
        <f>_xlfn.XLOOKUP(Table1[[#This Row],[JobSatisfaction]],Table14[JobSatisfaction],Table14[Id_JobSatisfaction])</f>
        <v>JS003</v>
      </c>
      <c r="AC908">
        <v>3</v>
      </c>
      <c r="AD908" t="str">
        <f>_xlfn.XLOOKUP(Table1[[#This Row],[JobSatisfaction]],Table14[JobSatisfaction],Table14[Deskripsi])</f>
        <v>High</v>
      </c>
      <c r="AE908" t="str">
        <f>_xlfn.XLOOKUP(Table1[[#This Row],[MaritalStatus]],Table15[MaritalStatus],Table15[Id_MaritalStatus])</f>
        <v>MS002</v>
      </c>
      <c r="AF908" t="s">
        <v>56</v>
      </c>
      <c r="AG908">
        <v>2585</v>
      </c>
      <c r="AH908">
        <v>21643</v>
      </c>
      <c r="AI908">
        <v>0</v>
      </c>
      <c r="AJ908" t="str">
        <f>_xlfn.XLOOKUP(Table1[[#This Row],[OverTime]],Table16[OverTime],Table16[Id_OverTime])</f>
        <v>OT002</v>
      </c>
      <c r="AK908" t="s">
        <v>33</v>
      </c>
      <c r="AL908">
        <v>17</v>
      </c>
      <c r="AM908" t="str">
        <f>_xlfn.XLOOKUP(Table1[[#This Row],[PerformanceRating]],Table17[PerformanceRating],Table17[Id_PerformanceRating])</f>
        <v>PR003</v>
      </c>
      <c r="AN908">
        <v>3</v>
      </c>
      <c r="AO908" t="str">
        <f>_xlfn.XLOOKUP(Table1[[#This Row],[PerformanceRating]],Table17[PerformanceRating],Table17[Deskripsi])</f>
        <v>Excellent</v>
      </c>
      <c r="AP908" t="str">
        <f>_xlfn.XLOOKUP(Table1[[#This Row],[RelationshipSatisfaction]],Table18[RelationshipSatisfaction],Table18[Id_RelationshipSatisfaction])</f>
        <v>RS004</v>
      </c>
      <c r="AQ908">
        <v>4</v>
      </c>
      <c r="AR908" t="str">
        <f>_xlfn.XLOOKUP(Table1[[#This Row],[RelationshipSatisfaction]],Table18[RelationshipSatisfaction],Table18[Deskripsi])</f>
        <v>Very High</v>
      </c>
      <c r="AS908" t="str">
        <f>_xlfn.XLOOKUP(Table1[[#This Row],[StockOptionLevel]],Table19[StockOptionLevel],Table19[Id_StockOptionLevel])</f>
        <v>SOL001</v>
      </c>
      <c r="AT908">
        <v>0</v>
      </c>
      <c r="AU908" t="str">
        <f>_xlfn.XLOOKUP(Table1[[#This Row],[StockOptionLevel]],Table19[StockOptionLevel],Table19[Deskripsi])</f>
        <v>Non-Eligible</v>
      </c>
      <c r="AV908">
        <v>2</v>
      </c>
      <c r="AW908">
        <v>5</v>
      </c>
      <c r="AX908" t="str">
        <f>_xlfn.XLOOKUP(Table1[[#This Row],[WorkLifeBalance]],Table20[WorkLifeBalance],Table20[Id_WorkLifeBalance])</f>
        <v>WLB003</v>
      </c>
      <c r="AY908">
        <v>2</v>
      </c>
      <c r="AZ908" t="str">
        <f>_xlfn.XLOOKUP(Table1[[#This Row],[WorkLifeBalance]],Table20[WorkLifeBalance],Table20[Deskripsi])</f>
        <v>Better</v>
      </c>
      <c r="BA908">
        <v>1</v>
      </c>
      <c r="BB908">
        <v>0</v>
      </c>
      <c r="BC908">
        <v>0</v>
      </c>
      <c r="BD908">
        <v>0</v>
      </c>
    </row>
    <row r="909" spans="1:56" x14ac:dyDescent="0.25">
      <c r="A909">
        <v>44</v>
      </c>
      <c r="B909" t="str">
        <f>_xlfn.XLOOKUP(Table1[[#This Row],[Attrition]],Table2[Attrition],Table2[Id_Attrition])</f>
        <v>A002</v>
      </c>
      <c r="C909" t="s">
        <v>33</v>
      </c>
      <c r="D909" t="str">
        <f>_xlfn.XLOOKUP(Table1[[#This Row],[BusinessTravel]],Table5[BusinessTravel],Table5[Id_BusinessTravel])</f>
        <v>BS001</v>
      </c>
      <c r="E909" t="s">
        <v>34</v>
      </c>
      <c r="F909">
        <v>1099</v>
      </c>
      <c r="G909" t="str">
        <f>_xlfn.XLOOKUP(Table1[[#This Row],[Department]],Table6[Department],Table6[Id_Departement])</f>
        <v>D001</v>
      </c>
      <c r="H909" t="s">
        <v>37</v>
      </c>
      <c r="I909">
        <v>5</v>
      </c>
      <c r="J909" t="str">
        <f>_xlfn.XLOOKUP(Table1[[#This Row],[Education]],Table8[Education],Table8[Id_Education])</f>
        <v>E003</v>
      </c>
      <c r="K909">
        <v>3</v>
      </c>
      <c r="L909" t="str">
        <f>_xlfn.XLOOKUP(Table1[[#This Row],[EducationField]],Table7[EducationField],Table7[Id_EducationField])</f>
        <v>EF004</v>
      </c>
      <c r="M909" t="s">
        <v>43</v>
      </c>
      <c r="N909" t="str">
        <f>_xlfn.XLOOKUP(Table1[[#This Row],[EmployeeNumber]],Table4[EmployeeNumber],Table4[Id_Employee])</f>
        <v>EMP00908</v>
      </c>
      <c r="O909">
        <v>1267</v>
      </c>
      <c r="P909" t="str">
        <f>_xlfn.XLOOKUP(Table1[[#This Row],[EnvironmentSatisfaction]],Table9[EnvironmentSatisfaction],Table9[Id_EnviromentSatisfaction])</f>
        <v>ES002</v>
      </c>
      <c r="Q909">
        <v>2</v>
      </c>
      <c r="R909" t="str">
        <f>_xlfn.XLOOKUP(Table1[[#This Row],[EnvironmentSatisfaction]],Table9[EnvironmentSatisfaction],Table9[Deskripsi])</f>
        <v>Medium</v>
      </c>
      <c r="S909" t="str">
        <f>_xlfn.XLOOKUP(Table1[[#This Row],[Gender]],Table10[Gender],Table10[Id_Gender])</f>
        <v>G002</v>
      </c>
      <c r="T909" t="s">
        <v>46</v>
      </c>
      <c r="U909">
        <v>88</v>
      </c>
      <c r="V909" t="str">
        <f>_xlfn.XLOOKUP(Table1[[#This Row],[JobInvolvement]],Table11[JobInvolvement],Table11[Id_JobInvolvement])</f>
        <v>JI003</v>
      </c>
      <c r="W909">
        <v>3</v>
      </c>
      <c r="X909" t="str">
        <f>_xlfn.XLOOKUP(Table1[[#This Row],[JobLevel]],Table12[JobLevel],Table12[Id_JobLevel])</f>
        <v>JL005</v>
      </c>
      <c r="Y909">
        <v>5</v>
      </c>
      <c r="Z909" t="str">
        <f>_xlfn.XLOOKUP(Table1[[#This Row],[JobRole]],Table13[JobRole],Table13[Id_JobRole])</f>
        <v>JR006</v>
      </c>
      <c r="AA909" t="s">
        <v>52</v>
      </c>
      <c r="AB909" t="str">
        <f>_xlfn.XLOOKUP(Table1[[#This Row],[JobSatisfaction]],Table14[JobSatisfaction],Table14[Id_JobSatisfaction])</f>
        <v>JS002</v>
      </c>
      <c r="AC909">
        <v>2</v>
      </c>
      <c r="AD909" t="str">
        <f>_xlfn.XLOOKUP(Table1[[#This Row],[JobSatisfaction]],Table14[JobSatisfaction],Table14[Deskripsi])</f>
        <v>Medium</v>
      </c>
      <c r="AE909" t="str">
        <f>_xlfn.XLOOKUP(Table1[[#This Row],[MaritalStatus]],Table15[MaritalStatus],Table15[Id_MaritalStatus])</f>
        <v>MS002</v>
      </c>
      <c r="AF909" t="s">
        <v>56</v>
      </c>
      <c r="AG909">
        <v>18213</v>
      </c>
      <c r="AH909">
        <v>8751</v>
      </c>
      <c r="AI909">
        <v>7</v>
      </c>
      <c r="AJ909" t="str">
        <f>_xlfn.XLOOKUP(Table1[[#This Row],[OverTime]],Table16[OverTime],Table16[Id_OverTime])</f>
        <v>OT002</v>
      </c>
      <c r="AK909" t="s">
        <v>33</v>
      </c>
      <c r="AL909">
        <v>11</v>
      </c>
      <c r="AM909" t="str">
        <f>_xlfn.XLOOKUP(Table1[[#This Row],[PerformanceRating]],Table17[PerformanceRating],Table17[Id_PerformanceRating])</f>
        <v>PR003</v>
      </c>
      <c r="AN909">
        <v>3</v>
      </c>
      <c r="AO909" t="str">
        <f>_xlfn.XLOOKUP(Table1[[#This Row],[PerformanceRating]],Table17[PerformanceRating],Table17[Deskripsi])</f>
        <v>Excellent</v>
      </c>
      <c r="AP909" t="str">
        <f>_xlfn.XLOOKUP(Table1[[#This Row],[RelationshipSatisfaction]],Table18[RelationshipSatisfaction],Table18[Id_RelationshipSatisfaction])</f>
        <v>RS003</v>
      </c>
      <c r="AQ909">
        <v>3</v>
      </c>
      <c r="AR909" t="str">
        <f>_xlfn.XLOOKUP(Table1[[#This Row],[RelationshipSatisfaction]],Table18[RelationshipSatisfaction],Table18[Deskripsi])</f>
        <v>High</v>
      </c>
      <c r="AS909" t="str">
        <f>_xlfn.XLOOKUP(Table1[[#This Row],[StockOptionLevel]],Table19[StockOptionLevel],Table19[Id_StockOptionLevel])</f>
        <v>SOL002</v>
      </c>
      <c r="AT909">
        <v>1</v>
      </c>
      <c r="AU909" t="str">
        <f>_xlfn.XLOOKUP(Table1[[#This Row],[StockOptionLevel]],Table19[StockOptionLevel],Table19[Deskripsi])</f>
        <v>Standard</v>
      </c>
      <c r="AV909">
        <v>26</v>
      </c>
      <c r="AW909">
        <v>5</v>
      </c>
      <c r="AX909" t="str">
        <f>_xlfn.XLOOKUP(Table1[[#This Row],[WorkLifeBalance]],Table20[WorkLifeBalance],Table20[Id_WorkLifeBalance])</f>
        <v>WLB002</v>
      </c>
      <c r="AY909">
        <v>3</v>
      </c>
      <c r="AZ909" t="str">
        <f>_xlfn.XLOOKUP(Table1[[#This Row],[WorkLifeBalance]],Table20[WorkLifeBalance],Table20[Deskripsi])</f>
        <v>Good</v>
      </c>
      <c r="BA909">
        <v>22</v>
      </c>
      <c r="BB909">
        <v>9</v>
      </c>
      <c r="BC909">
        <v>3</v>
      </c>
      <c r="BD909">
        <v>10</v>
      </c>
    </row>
    <row r="910" spans="1:56" x14ac:dyDescent="0.25">
      <c r="A910">
        <v>33</v>
      </c>
      <c r="B910" t="str">
        <f>_xlfn.XLOOKUP(Table1[[#This Row],[Attrition]],Table2[Attrition],Table2[Id_Attrition])</f>
        <v>A002</v>
      </c>
      <c r="C910" t="s">
        <v>33</v>
      </c>
      <c r="D910" t="str">
        <f>_xlfn.XLOOKUP(Table1[[#This Row],[BusinessTravel]],Table5[BusinessTravel],Table5[Id_BusinessTravel])</f>
        <v>BS001</v>
      </c>
      <c r="E910" t="s">
        <v>34</v>
      </c>
      <c r="F910">
        <v>536</v>
      </c>
      <c r="G910" t="str">
        <f>_xlfn.XLOOKUP(Table1[[#This Row],[Department]],Table6[Department],Table6[Id_Departement])</f>
        <v>D001</v>
      </c>
      <c r="H910" t="s">
        <v>37</v>
      </c>
      <c r="I910">
        <v>10</v>
      </c>
      <c r="J910" t="str">
        <f>_xlfn.XLOOKUP(Table1[[#This Row],[Education]],Table8[Education],Table8[Id_Education])</f>
        <v>E005</v>
      </c>
      <c r="K910">
        <v>5</v>
      </c>
      <c r="L910" t="str">
        <f>_xlfn.XLOOKUP(Table1[[#This Row],[EducationField]],Table7[EducationField],Table7[Id_EducationField])</f>
        <v>EF004</v>
      </c>
      <c r="M910" t="s">
        <v>43</v>
      </c>
      <c r="N910" t="str">
        <f>_xlfn.XLOOKUP(Table1[[#This Row],[EmployeeNumber]],Table4[EmployeeNumber],Table4[Id_Employee])</f>
        <v>EMP00909</v>
      </c>
      <c r="O910">
        <v>1268</v>
      </c>
      <c r="P910" t="str">
        <f>_xlfn.XLOOKUP(Table1[[#This Row],[EnvironmentSatisfaction]],Table9[EnvironmentSatisfaction],Table9[Id_EnviromentSatisfaction])</f>
        <v>ES004</v>
      </c>
      <c r="Q910">
        <v>4</v>
      </c>
      <c r="R910" t="str">
        <f>_xlfn.XLOOKUP(Table1[[#This Row],[EnvironmentSatisfaction]],Table9[EnvironmentSatisfaction],Table9[Deskripsi])</f>
        <v>Very High</v>
      </c>
      <c r="S910" t="str">
        <f>_xlfn.XLOOKUP(Table1[[#This Row],[Gender]],Table10[Gender],Table10[Id_Gender])</f>
        <v>G002</v>
      </c>
      <c r="T910" t="s">
        <v>46</v>
      </c>
      <c r="U910">
        <v>82</v>
      </c>
      <c r="V910" t="str">
        <f>_xlfn.XLOOKUP(Table1[[#This Row],[JobInvolvement]],Table11[JobInvolvement],Table11[Id_JobInvolvement])</f>
        <v>JI004</v>
      </c>
      <c r="W910">
        <v>4</v>
      </c>
      <c r="X910" t="str">
        <f>_xlfn.XLOOKUP(Table1[[#This Row],[JobLevel]],Table12[JobLevel],Table12[Id_JobLevel])</f>
        <v>JL003</v>
      </c>
      <c r="Y910">
        <v>3</v>
      </c>
      <c r="Z910" t="str">
        <f>_xlfn.XLOOKUP(Table1[[#This Row],[JobRole]],Table13[JobRole],Table13[Id_JobRole])</f>
        <v>JR001</v>
      </c>
      <c r="AA910" t="s">
        <v>47</v>
      </c>
      <c r="AB910" t="str">
        <f>_xlfn.XLOOKUP(Table1[[#This Row],[JobSatisfaction]],Table14[JobSatisfaction],Table14[Id_JobSatisfaction])</f>
        <v>JS003</v>
      </c>
      <c r="AC910">
        <v>3</v>
      </c>
      <c r="AD910" t="str">
        <f>_xlfn.XLOOKUP(Table1[[#This Row],[JobSatisfaction]],Table14[JobSatisfaction],Table14[Deskripsi])</f>
        <v>High</v>
      </c>
      <c r="AE910" t="str">
        <f>_xlfn.XLOOKUP(Table1[[#This Row],[MaritalStatus]],Table15[MaritalStatus],Table15[Id_MaritalStatus])</f>
        <v>MS003</v>
      </c>
      <c r="AF910" t="s">
        <v>57</v>
      </c>
      <c r="AG910">
        <v>8380</v>
      </c>
      <c r="AH910">
        <v>21708</v>
      </c>
      <c r="AI910">
        <v>0</v>
      </c>
      <c r="AJ910" t="str">
        <f>_xlfn.XLOOKUP(Table1[[#This Row],[OverTime]],Table16[OverTime],Table16[Id_OverTime])</f>
        <v>OT001</v>
      </c>
      <c r="AK910" t="s">
        <v>32</v>
      </c>
      <c r="AL910">
        <v>14</v>
      </c>
      <c r="AM910" t="str">
        <f>_xlfn.XLOOKUP(Table1[[#This Row],[PerformanceRating]],Table17[PerformanceRating],Table17[Id_PerformanceRating])</f>
        <v>PR003</v>
      </c>
      <c r="AN910">
        <v>3</v>
      </c>
      <c r="AO910" t="str">
        <f>_xlfn.XLOOKUP(Table1[[#This Row],[PerformanceRating]],Table17[PerformanceRating],Table17[Deskripsi])</f>
        <v>Excellent</v>
      </c>
      <c r="AP910" t="str">
        <f>_xlfn.XLOOKUP(Table1[[#This Row],[RelationshipSatisfaction]],Table18[RelationshipSatisfaction],Table18[Id_RelationshipSatisfaction])</f>
        <v>RS004</v>
      </c>
      <c r="AQ910">
        <v>4</v>
      </c>
      <c r="AR910" t="str">
        <f>_xlfn.XLOOKUP(Table1[[#This Row],[RelationshipSatisfaction]],Table18[RelationshipSatisfaction],Table18[Deskripsi])</f>
        <v>Very High</v>
      </c>
      <c r="AS910" t="str">
        <f>_xlfn.XLOOKUP(Table1[[#This Row],[StockOptionLevel]],Table19[StockOptionLevel],Table19[Id_StockOptionLevel])</f>
        <v>SOL003</v>
      </c>
      <c r="AT910">
        <v>2</v>
      </c>
      <c r="AU910" t="str">
        <f>_xlfn.XLOOKUP(Table1[[#This Row],[StockOptionLevel]],Table19[StockOptionLevel],Table19[Deskripsi])</f>
        <v>Intermediate</v>
      </c>
      <c r="AV910">
        <v>10</v>
      </c>
      <c r="AW910">
        <v>3</v>
      </c>
      <c r="AX910" t="str">
        <f>_xlfn.XLOOKUP(Table1[[#This Row],[WorkLifeBalance]],Table20[WorkLifeBalance],Table20[Id_WorkLifeBalance])</f>
        <v>WLB002</v>
      </c>
      <c r="AY910">
        <v>3</v>
      </c>
      <c r="AZ910" t="str">
        <f>_xlfn.XLOOKUP(Table1[[#This Row],[WorkLifeBalance]],Table20[WorkLifeBalance],Table20[Deskripsi])</f>
        <v>Good</v>
      </c>
      <c r="BA910">
        <v>9</v>
      </c>
      <c r="BB910">
        <v>8</v>
      </c>
      <c r="BC910">
        <v>0</v>
      </c>
      <c r="BD910">
        <v>8</v>
      </c>
    </row>
    <row r="911" spans="1:56" x14ac:dyDescent="0.25">
      <c r="A911">
        <v>19</v>
      </c>
      <c r="B911" t="str">
        <f>_xlfn.XLOOKUP(Table1[[#This Row],[Attrition]],Table2[Attrition],Table2[Id_Attrition])</f>
        <v>A002</v>
      </c>
      <c r="C911" t="s">
        <v>33</v>
      </c>
      <c r="D911" t="str">
        <f>_xlfn.XLOOKUP(Table1[[#This Row],[BusinessTravel]],Table5[BusinessTravel],Table5[Id_BusinessTravel])</f>
        <v>BS001</v>
      </c>
      <c r="E911" t="s">
        <v>34</v>
      </c>
      <c r="F911">
        <v>265</v>
      </c>
      <c r="G911" t="str">
        <f>_xlfn.XLOOKUP(Table1[[#This Row],[Department]],Table6[Department],Table6[Id_Departement])</f>
        <v>D002</v>
      </c>
      <c r="H911" t="s">
        <v>38</v>
      </c>
      <c r="I911">
        <v>25</v>
      </c>
      <c r="J911" t="str">
        <f>_xlfn.XLOOKUP(Table1[[#This Row],[Education]],Table8[Education],Table8[Id_Education])</f>
        <v>E003</v>
      </c>
      <c r="K911">
        <v>3</v>
      </c>
      <c r="L911" t="str">
        <f>_xlfn.XLOOKUP(Table1[[#This Row],[EducationField]],Table7[EducationField],Table7[Id_EducationField])</f>
        <v>EF001</v>
      </c>
      <c r="M911" t="s">
        <v>40</v>
      </c>
      <c r="N911" t="str">
        <f>_xlfn.XLOOKUP(Table1[[#This Row],[EmployeeNumber]],Table4[EmployeeNumber],Table4[Id_Employee])</f>
        <v>EMP00910</v>
      </c>
      <c r="O911">
        <v>1269</v>
      </c>
      <c r="P911" t="str">
        <f>_xlfn.XLOOKUP(Table1[[#This Row],[EnvironmentSatisfaction]],Table9[EnvironmentSatisfaction],Table9[Id_EnviromentSatisfaction])</f>
        <v>ES002</v>
      </c>
      <c r="Q911">
        <v>2</v>
      </c>
      <c r="R911" t="str">
        <f>_xlfn.XLOOKUP(Table1[[#This Row],[EnvironmentSatisfaction]],Table9[EnvironmentSatisfaction],Table9[Deskripsi])</f>
        <v>Medium</v>
      </c>
      <c r="S911" t="str">
        <f>_xlfn.XLOOKUP(Table1[[#This Row],[Gender]],Table10[Gender],Table10[Id_Gender])</f>
        <v>G001</v>
      </c>
      <c r="T911" t="s">
        <v>45</v>
      </c>
      <c r="U911">
        <v>57</v>
      </c>
      <c r="V911" t="str">
        <f>_xlfn.XLOOKUP(Table1[[#This Row],[JobInvolvement]],Table11[JobInvolvement],Table11[Id_JobInvolvement])</f>
        <v>JI004</v>
      </c>
      <c r="W911">
        <v>4</v>
      </c>
      <c r="X911" t="str">
        <f>_xlfn.XLOOKUP(Table1[[#This Row],[JobLevel]],Table12[JobLevel],Table12[Id_JobLevel])</f>
        <v>JL001</v>
      </c>
      <c r="Y911">
        <v>1</v>
      </c>
      <c r="Z911" t="str">
        <f>_xlfn.XLOOKUP(Table1[[#This Row],[JobRole]],Table13[JobRole],Table13[Id_JobRole])</f>
        <v>JR002</v>
      </c>
      <c r="AA911" t="s">
        <v>48</v>
      </c>
      <c r="AB911" t="str">
        <f>_xlfn.XLOOKUP(Table1[[#This Row],[JobSatisfaction]],Table14[JobSatisfaction],Table14[Id_JobSatisfaction])</f>
        <v>JS004</v>
      </c>
      <c r="AC911">
        <v>4</v>
      </c>
      <c r="AD911" t="str">
        <f>_xlfn.XLOOKUP(Table1[[#This Row],[JobSatisfaction]],Table14[JobSatisfaction],Table14[Deskripsi])</f>
        <v>Very High</v>
      </c>
      <c r="AE911" t="str">
        <f>_xlfn.XLOOKUP(Table1[[#This Row],[MaritalStatus]],Table15[MaritalStatus],Table15[Id_MaritalStatus])</f>
        <v>MS001</v>
      </c>
      <c r="AF911" t="s">
        <v>55</v>
      </c>
      <c r="AG911">
        <v>2994</v>
      </c>
      <c r="AH911">
        <v>21221</v>
      </c>
      <c r="AI911">
        <v>1</v>
      </c>
      <c r="AJ911" t="str">
        <f>_xlfn.XLOOKUP(Table1[[#This Row],[OverTime]],Table16[OverTime],Table16[Id_OverTime])</f>
        <v>OT001</v>
      </c>
      <c r="AK911" t="s">
        <v>32</v>
      </c>
      <c r="AL911">
        <v>12</v>
      </c>
      <c r="AM911" t="str">
        <f>_xlfn.XLOOKUP(Table1[[#This Row],[PerformanceRating]],Table17[PerformanceRating],Table17[Id_PerformanceRating])</f>
        <v>PR003</v>
      </c>
      <c r="AN911">
        <v>3</v>
      </c>
      <c r="AO911" t="str">
        <f>_xlfn.XLOOKUP(Table1[[#This Row],[PerformanceRating]],Table17[PerformanceRating],Table17[Deskripsi])</f>
        <v>Excellent</v>
      </c>
      <c r="AP911" t="str">
        <f>_xlfn.XLOOKUP(Table1[[#This Row],[RelationshipSatisfaction]],Table18[RelationshipSatisfaction],Table18[Id_RelationshipSatisfaction])</f>
        <v>RS004</v>
      </c>
      <c r="AQ911">
        <v>4</v>
      </c>
      <c r="AR911" t="str">
        <f>_xlfn.XLOOKUP(Table1[[#This Row],[RelationshipSatisfaction]],Table18[RelationshipSatisfaction],Table18[Deskripsi])</f>
        <v>Very High</v>
      </c>
      <c r="AS911" t="str">
        <f>_xlfn.XLOOKUP(Table1[[#This Row],[StockOptionLevel]],Table19[StockOptionLevel],Table19[Id_StockOptionLevel])</f>
        <v>SOL001</v>
      </c>
      <c r="AT911">
        <v>0</v>
      </c>
      <c r="AU911" t="str">
        <f>_xlfn.XLOOKUP(Table1[[#This Row],[StockOptionLevel]],Table19[StockOptionLevel],Table19[Deskripsi])</f>
        <v>Non-Eligible</v>
      </c>
      <c r="AV911">
        <v>1</v>
      </c>
      <c r="AW911">
        <v>2</v>
      </c>
      <c r="AX911" t="str">
        <f>_xlfn.XLOOKUP(Table1[[#This Row],[WorkLifeBalance]],Table20[WorkLifeBalance],Table20[Id_WorkLifeBalance])</f>
        <v>WLB002</v>
      </c>
      <c r="AY911">
        <v>3</v>
      </c>
      <c r="AZ911" t="str">
        <f>_xlfn.XLOOKUP(Table1[[#This Row],[WorkLifeBalance]],Table20[WorkLifeBalance],Table20[Deskripsi])</f>
        <v>Good</v>
      </c>
      <c r="BA911">
        <v>1</v>
      </c>
      <c r="BB911">
        <v>0</v>
      </c>
      <c r="BC911">
        <v>0</v>
      </c>
      <c r="BD911">
        <v>1</v>
      </c>
    </row>
    <row r="912" spans="1:56" x14ac:dyDescent="0.25">
      <c r="A912">
        <v>23</v>
      </c>
      <c r="B912" t="str">
        <f>_xlfn.XLOOKUP(Table1[[#This Row],[Attrition]],Table2[Attrition],Table2[Id_Attrition])</f>
        <v>A002</v>
      </c>
      <c r="C912" t="s">
        <v>33</v>
      </c>
      <c r="D912" t="str">
        <f>_xlfn.XLOOKUP(Table1[[#This Row],[BusinessTravel]],Table5[BusinessTravel],Table5[Id_BusinessTravel])</f>
        <v>BS001</v>
      </c>
      <c r="E912" t="s">
        <v>34</v>
      </c>
      <c r="F912">
        <v>373</v>
      </c>
      <c r="G912" t="str">
        <f>_xlfn.XLOOKUP(Table1[[#This Row],[Department]],Table6[Department],Table6[Id_Departement])</f>
        <v>D002</v>
      </c>
      <c r="H912" t="s">
        <v>38</v>
      </c>
      <c r="I912">
        <v>1</v>
      </c>
      <c r="J912" t="str">
        <f>_xlfn.XLOOKUP(Table1[[#This Row],[Education]],Table8[Education],Table8[Id_Education])</f>
        <v>E002</v>
      </c>
      <c r="K912">
        <v>2</v>
      </c>
      <c r="L912" t="str">
        <f>_xlfn.XLOOKUP(Table1[[#This Row],[EducationField]],Table7[EducationField],Table7[Id_EducationField])</f>
        <v>EF001</v>
      </c>
      <c r="M912" t="s">
        <v>40</v>
      </c>
      <c r="N912" t="str">
        <f>_xlfn.XLOOKUP(Table1[[#This Row],[EmployeeNumber]],Table4[EmployeeNumber],Table4[Id_Employee])</f>
        <v>EMP00911</v>
      </c>
      <c r="O912">
        <v>1270</v>
      </c>
      <c r="P912" t="str">
        <f>_xlfn.XLOOKUP(Table1[[#This Row],[EnvironmentSatisfaction]],Table9[EnvironmentSatisfaction],Table9[Id_EnviromentSatisfaction])</f>
        <v>ES004</v>
      </c>
      <c r="Q912">
        <v>4</v>
      </c>
      <c r="R912" t="str">
        <f>_xlfn.XLOOKUP(Table1[[#This Row],[EnvironmentSatisfaction]],Table9[EnvironmentSatisfaction],Table9[Deskripsi])</f>
        <v>Very High</v>
      </c>
      <c r="S912" t="str">
        <f>_xlfn.XLOOKUP(Table1[[#This Row],[Gender]],Table10[Gender],Table10[Id_Gender])</f>
        <v>G002</v>
      </c>
      <c r="T912" t="s">
        <v>46</v>
      </c>
      <c r="U912">
        <v>47</v>
      </c>
      <c r="V912" t="str">
        <f>_xlfn.XLOOKUP(Table1[[#This Row],[JobInvolvement]],Table11[JobInvolvement],Table11[Id_JobInvolvement])</f>
        <v>JI003</v>
      </c>
      <c r="W912">
        <v>3</v>
      </c>
      <c r="X912" t="str">
        <f>_xlfn.XLOOKUP(Table1[[#This Row],[JobLevel]],Table12[JobLevel],Table12[Id_JobLevel])</f>
        <v>JL001</v>
      </c>
      <c r="Y912">
        <v>1</v>
      </c>
      <c r="Z912" t="str">
        <f>_xlfn.XLOOKUP(Table1[[#This Row],[JobRole]],Table13[JobRole],Table13[Id_JobRole])</f>
        <v>JR002</v>
      </c>
      <c r="AA912" t="s">
        <v>48</v>
      </c>
      <c r="AB912" t="str">
        <f>_xlfn.XLOOKUP(Table1[[#This Row],[JobSatisfaction]],Table14[JobSatisfaction],Table14[Id_JobSatisfaction])</f>
        <v>JS003</v>
      </c>
      <c r="AC912">
        <v>3</v>
      </c>
      <c r="AD912" t="str">
        <f>_xlfn.XLOOKUP(Table1[[#This Row],[JobSatisfaction]],Table14[JobSatisfaction],Table14[Deskripsi])</f>
        <v>High</v>
      </c>
      <c r="AE912" t="str">
        <f>_xlfn.XLOOKUP(Table1[[#This Row],[MaritalStatus]],Table15[MaritalStatus],Table15[Id_MaritalStatus])</f>
        <v>MS002</v>
      </c>
      <c r="AF912" t="s">
        <v>56</v>
      </c>
      <c r="AG912">
        <v>1223</v>
      </c>
      <c r="AH912">
        <v>16901</v>
      </c>
      <c r="AI912">
        <v>1</v>
      </c>
      <c r="AJ912" t="str">
        <f>_xlfn.XLOOKUP(Table1[[#This Row],[OverTime]],Table16[OverTime],Table16[Id_OverTime])</f>
        <v>OT002</v>
      </c>
      <c r="AK912" t="s">
        <v>33</v>
      </c>
      <c r="AL912">
        <v>22</v>
      </c>
      <c r="AM912" t="str">
        <f>_xlfn.XLOOKUP(Table1[[#This Row],[PerformanceRating]],Table17[PerformanceRating],Table17[Id_PerformanceRating])</f>
        <v>PR004</v>
      </c>
      <c r="AN912">
        <v>4</v>
      </c>
      <c r="AO912" t="str">
        <f>_xlfn.XLOOKUP(Table1[[#This Row],[PerformanceRating]],Table17[PerformanceRating],Table17[Deskripsi])</f>
        <v>Outstanding</v>
      </c>
      <c r="AP912" t="str">
        <f>_xlfn.XLOOKUP(Table1[[#This Row],[RelationshipSatisfaction]],Table18[RelationshipSatisfaction],Table18[Id_RelationshipSatisfaction])</f>
        <v>RS004</v>
      </c>
      <c r="AQ912">
        <v>4</v>
      </c>
      <c r="AR912" t="str">
        <f>_xlfn.XLOOKUP(Table1[[#This Row],[RelationshipSatisfaction]],Table18[RelationshipSatisfaction],Table18[Deskripsi])</f>
        <v>Very High</v>
      </c>
      <c r="AS912" t="str">
        <f>_xlfn.XLOOKUP(Table1[[#This Row],[StockOptionLevel]],Table19[StockOptionLevel],Table19[Id_StockOptionLevel])</f>
        <v>SOL002</v>
      </c>
      <c r="AT912">
        <v>1</v>
      </c>
      <c r="AU912" t="str">
        <f>_xlfn.XLOOKUP(Table1[[#This Row],[StockOptionLevel]],Table19[StockOptionLevel],Table19[Deskripsi])</f>
        <v>Standard</v>
      </c>
      <c r="AV912">
        <v>1</v>
      </c>
      <c r="AW912">
        <v>2</v>
      </c>
      <c r="AX912" t="str">
        <f>_xlfn.XLOOKUP(Table1[[#This Row],[WorkLifeBalance]],Table20[WorkLifeBalance],Table20[Id_WorkLifeBalance])</f>
        <v>WLB002</v>
      </c>
      <c r="AY912">
        <v>3</v>
      </c>
      <c r="AZ912" t="str">
        <f>_xlfn.XLOOKUP(Table1[[#This Row],[WorkLifeBalance]],Table20[WorkLifeBalance],Table20[Deskripsi])</f>
        <v>Good</v>
      </c>
      <c r="BA912">
        <v>1</v>
      </c>
      <c r="BB912">
        <v>0</v>
      </c>
      <c r="BC912">
        <v>0</v>
      </c>
      <c r="BD912">
        <v>1</v>
      </c>
    </row>
    <row r="913" spans="1:56" x14ac:dyDescent="0.25">
      <c r="A913">
        <v>25</v>
      </c>
      <c r="B913" t="str">
        <f>_xlfn.XLOOKUP(Table1[[#This Row],[Attrition]],Table2[Attrition],Table2[Id_Attrition])</f>
        <v>A001</v>
      </c>
      <c r="C913" t="s">
        <v>32</v>
      </c>
      <c r="D913" t="str">
        <f>_xlfn.XLOOKUP(Table1[[#This Row],[BusinessTravel]],Table5[BusinessTravel],Table5[Id_BusinessTravel])</f>
        <v>BS002</v>
      </c>
      <c r="E913" t="s">
        <v>35</v>
      </c>
      <c r="F913">
        <v>599</v>
      </c>
      <c r="G913" t="str">
        <f>_xlfn.XLOOKUP(Table1[[#This Row],[Department]],Table6[Department],Table6[Id_Departement])</f>
        <v>D001</v>
      </c>
      <c r="H913" t="s">
        <v>37</v>
      </c>
      <c r="I913">
        <v>24</v>
      </c>
      <c r="J913" t="str">
        <f>_xlfn.XLOOKUP(Table1[[#This Row],[Education]],Table8[Education],Table8[Id_Education])</f>
        <v>E001</v>
      </c>
      <c r="K913">
        <v>1</v>
      </c>
      <c r="L913" t="str">
        <f>_xlfn.XLOOKUP(Table1[[#This Row],[EducationField]],Table7[EducationField],Table7[Id_EducationField])</f>
        <v>EF001</v>
      </c>
      <c r="M913" t="s">
        <v>40</v>
      </c>
      <c r="N913" t="str">
        <f>_xlfn.XLOOKUP(Table1[[#This Row],[EmployeeNumber]],Table4[EmployeeNumber],Table4[Id_Employee])</f>
        <v>EMP00912</v>
      </c>
      <c r="O913">
        <v>1273</v>
      </c>
      <c r="P913" t="str">
        <f>_xlfn.XLOOKUP(Table1[[#This Row],[EnvironmentSatisfaction]],Table9[EnvironmentSatisfaction],Table9[Id_EnviromentSatisfaction])</f>
        <v>ES003</v>
      </c>
      <c r="Q913">
        <v>3</v>
      </c>
      <c r="R913" t="str">
        <f>_xlfn.XLOOKUP(Table1[[#This Row],[EnvironmentSatisfaction]],Table9[EnvironmentSatisfaction],Table9[Deskripsi])</f>
        <v>High</v>
      </c>
      <c r="S913" t="str">
        <f>_xlfn.XLOOKUP(Table1[[#This Row],[Gender]],Table10[Gender],Table10[Id_Gender])</f>
        <v>G002</v>
      </c>
      <c r="T913" t="s">
        <v>46</v>
      </c>
      <c r="U913">
        <v>73</v>
      </c>
      <c r="V913" t="str">
        <f>_xlfn.XLOOKUP(Table1[[#This Row],[JobInvolvement]],Table11[JobInvolvement],Table11[Id_JobInvolvement])</f>
        <v>JI001</v>
      </c>
      <c r="W913">
        <v>1</v>
      </c>
      <c r="X913" t="str">
        <f>_xlfn.XLOOKUP(Table1[[#This Row],[JobLevel]],Table12[JobLevel],Table12[Id_JobLevel])</f>
        <v>JL001</v>
      </c>
      <c r="Y913">
        <v>1</v>
      </c>
      <c r="Z913" t="str">
        <f>_xlfn.XLOOKUP(Table1[[#This Row],[JobRole]],Table13[JobRole],Table13[Id_JobRole])</f>
        <v>JR007</v>
      </c>
      <c r="AA913" t="s">
        <v>53</v>
      </c>
      <c r="AB913" t="str">
        <f>_xlfn.XLOOKUP(Table1[[#This Row],[JobSatisfaction]],Table14[JobSatisfaction],Table14[Id_JobSatisfaction])</f>
        <v>JS004</v>
      </c>
      <c r="AC913">
        <v>4</v>
      </c>
      <c r="AD913" t="str">
        <f>_xlfn.XLOOKUP(Table1[[#This Row],[JobSatisfaction]],Table14[JobSatisfaction],Table14[Deskripsi])</f>
        <v>Very High</v>
      </c>
      <c r="AE913" t="str">
        <f>_xlfn.XLOOKUP(Table1[[#This Row],[MaritalStatus]],Table15[MaritalStatus],Table15[Id_MaritalStatus])</f>
        <v>MS001</v>
      </c>
      <c r="AF913" t="s">
        <v>55</v>
      </c>
      <c r="AG913">
        <v>1118</v>
      </c>
      <c r="AH913">
        <v>8040</v>
      </c>
      <c r="AI913">
        <v>1</v>
      </c>
      <c r="AJ913" t="str">
        <f>_xlfn.XLOOKUP(Table1[[#This Row],[OverTime]],Table16[OverTime],Table16[Id_OverTime])</f>
        <v>OT001</v>
      </c>
      <c r="AK913" t="s">
        <v>32</v>
      </c>
      <c r="AL913">
        <v>14</v>
      </c>
      <c r="AM913" t="str">
        <f>_xlfn.XLOOKUP(Table1[[#This Row],[PerformanceRating]],Table17[PerformanceRating],Table17[Id_PerformanceRating])</f>
        <v>PR003</v>
      </c>
      <c r="AN913">
        <v>3</v>
      </c>
      <c r="AO913" t="str">
        <f>_xlfn.XLOOKUP(Table1[[#This Row],[PerformanceRating]],Table17[PerformanceRating],Table17[Deskripsi])</f>
        <v>Excellent</v>
      </c>
      <c r="AP913" t="str">
        <f>_xlfn.XLOOKUP(Table1[[#This Row],[RelationshipSatisfaction]],Table18[RelationshipSatisfaction],Table18[Id_RelationshipSatisfaction])</f>
        <v>RS004</v>
      </c>
      <c r="AQ913">
        <v>4</v>
      </c>
      <c r="AR913" t="str">
        <f>_xlfn.XLOOKUP(Table1[[#This Row],[RelationshipSatisfaction]],Table18[RelationshipSatisfaction],Table18[Deskripsi])</f>
        <v>Very High</v>
      </c>
      <c r="AS913" t="str">
        <f>_xlfn.XLOOKUP(Table1[[#This Row],[StockOptionLevel]],Table19[StockOptionLevel],Table19[Id_StockOptionLevel])</f>
        <v>SOL001</v>
      </c>
      <c r="AT913">
        <v>0</v>
      </c>
      <c r="AU913" t="str">
        <f>_xlfn.XLOOKUP(Table1[[#This Row],[StockOptionLevel]],Table19[StockOptionLevel],Table19[Deskripsi])</f>
        <v>Non-Eligible</v>
      </c>
      <c r="AV913">
        <v>1</v>
      </c>
      <c r="AW913">
        <v>4</v>
      </c>
      <c r="AX913" t="str">
        <f>_xlfn.XLOOKUP(Table1[[#This Row],[WorkLifeBalance]],Table20[WorkLifeBalance],Table20[Id_WorkLifeBalance])</f>
        <v>WLB002</v>
      </c>
      <c r="AY913">
        <v>3</v>
      </c>
      <c r="AZ913" t="str">
        <f>_xlfn.XLOOKUP(Table1[[#This Row],[WorkLifeBalance]],Table20[WorkLifeBalance],Table20[Deskripsi])</f>
        <v>Good</v>
      </c>
      <c r="BA913">
        <v>1</v>
      </c>
      <c r="BB913">
        <v>0</v>
      </c>
      <c r="BC913">
        <v>1</v>
      </c>
      <c r="BD913">
        <v>0</v>
      </c>
    </row>
    <row r="914" spans="1:56" x14ac:dyDescent="0.25">
      <c r="A914">
        <v>26</v>
      </c>
      <c r="B914" t="str">
        <f>_xlfn.XLOOKUP(Table1[[#This Row],[Attrition]],Table2[Attrition],Table2[Id_Attrition])</f>
        <v>A002</v>
      </c>
      <c r="C914" t="s">
        <v>33</v>
      </c>
      <c r="D914" t="str">
        <f>_xlfn.XLOOKUP(Table1[[#This Row],[BusinessTravel]],Table5[BusinessTravel],Table5[Id_BusinessTravel])</f>
        <v>BS001</v>
      </c>
      <c r="E914" t="s">
        <v>34</v>
      </c>
      <c r="F914">
        <v>583</v>
      </c>
      <c r="G914" t="str">
        <f>_xlfn.XLOOKUP(Table1[[#This Row],[Department]],Table6[Department],Table6[Id_Departement])</f>
        <v>D002</v>
      </c>
      <c r="H914" t="s">
        <v>38</v>
      </c>
      <c r="I914">
        <v>4</v>
      </c>
      <c r="J914" t="str">
        <f>_xlfn.XLOOKUP(Table1[[#This Row],[Education]],Table8[Education],Table8[Id_Education])</f>
        <v>E002</v>
      </c>
      <c r="K914">
        <v>2</v>
      </c>
      <c r="L914" t="str">
        <f>_xlfn.XLOOKUP(Table1[[#This Row],[EducationField]],Table7[EducationField],Table7[Id_EducationField])</f>
        <v>EF001</v>
      </c>
      <c r="M914" t="s">
        <v>40</v>
      </c>
      <c r="N914" t="str">
        <f>_xlfn.XLOOKUP(Table1[[#This Row],[EmployeeNumber]],Table4[EmployeeNumber],Table4[Id_Employee])</f>
        <v>EMP00913</v>
      </c>
      <c r="O914">
        <v>1275</v>
      </c>
      <c r="P914" t="str">
        <f>_xlfn.XLOOKUP(Table1[[#This Row],[EnvironmentSatisfaction]],Table9[EnvironmentSatisfaction],Table9[Id_EnviromentSatisfaction])</f>
        <v>ES003</v>
      </c>
      <c r="Q914">
        <v>3</v>
      </c>
      <c r="R914" t="str">
        <f>_xlfn.XLOOKUP(Table1[[#This Row],[EnvironmentSatisfaction]],Table9[EnvironmentSatisfaction],Table9[Deskripsi])</f>
        <v>High</v>
      </c>
      <c r="S914" t="str">
        <f>_xlfn.XLOOKUP(Table1[[#This Row],[Gender]],Table10[Gender],Table10[Id_Gender])</f>
        <v>G002</v>
      </c>
      <c r="T914" t="s">
        <v>46</v>
      </c>
      <c r="U914">
        <v>53</v>
      </c>
      <c r="V914" t="str">
        <f>_xlfn.XLOOKUP(Table1[[#This Row],[JobInvolvement]],Table11[JobInvolvement],Table11[Id_JobInvolvement])</f>
        <v>JI003</v>
      </c>
      <c r="W914">
        <v>3</v>
      </c>
      <c r="X914" t="str">
        <f>_xlfn.XLOOKUP(Table1[[#This Row],[JobLevel]],Table12[JobLevel],Table12[Id_JobLevel])</f>
        <v>JL001</v>
      </c>
      <c r="Y914">
        <v>1</v>
      </c>
      <c r="Z914" t="str">
        <f>_xlfn.XLOOKUP(Table1[[#This Row],[JobRole]],Table13[JobRole],Table13[Id_JobRole])</f>
        <v>JR002</v>
      </c>
      <c r="AA914" t="s">
        <v>48</v>
      </c>
      <c r="AB914" t="str">
        <f>_xlfn.XLOOKUP(Table1[[#This Row],[JobSatisfaction]],Table14[JobSatisfaction],Table14[Id_JobSatisfaction])</f>
        <v>JS004</v>
      </c>
      <c r="AC914">
        <v>4</v>
      </c>
      <c r="AD914" t="str">
        <f>_xlfn.XLOOKUP(Table1[[#This Row],[JobSatisfaction]],Table14[JobSatisfaction],Table14[Deskripsi])</f>
        <v>Very High</v>
      </c>
      <c r="AE914" t="str">
        <f>_xlfn.XLOOKUP(Table1[[#This Row],[MaritalStatus]],Table15[MaritalStatus],Table15[Id_MaritalStatus])</f>
        <v>MS001</v>
      </c>
      <c r="AF914" t="s">
        <v>55</v>
      </c>
      <c r="AG914">
        <v>2875</v>
      </c>
      <c r="AH914">
        <v>9973</v>
      </c>
      <c r="AI914">
        <v>1</v>
      </c>
      <c r="AJ914" t="str">
        <f>_xlfn.XLOOKUP(Table1[[#This Row],[OverTime]],Table16[OverTime],Table16[Id_OverTime])</f>
        <v>OT001</v>
      </c>
      <c r="AK914" t="s">
        <v>32</v>
      </c>
      <c r="AL914">
        <v>20</v>
      </c>
      <c r="AM914" t="str">
        <f>_xlfn.XLOOKUP(Table1[[#This Row],[PerformanceRating]],Table17[PerformanceRating],Table17[Id_PerformanceRating])</f>
        <v>PR004</v>
      </c>
      <c r="AN914">
        <v>4</v>
      </c>
      <c r="AO914" t="str">
        <f>_xlfn.XLOOKUP(Table1[[#This Row],[PerformanceRating]],Table17[PerformanceRating],Table17[Deskripsi])</f>
        <v>Outstanding</v>
      </c>
      <c r="AP914" t="str">
        <f>_xlfn.XLOOKUP(Table1[[#This Row],[RelationshipSatisfaction]],Table18[RelationshipSatisfaction],Table18[Id_RelationshipSatisfaction])</f>
        <v>RS002</v>
      </c>
      <c r="AQ914">
        <v>2</v>
      </c>
      <c r="AR914" t="str">
        <f>_xlfn.XLOOKUP(Table1[[#This Row],[RelationshipSatisfaction]],Table18[RelationshipSatisfaction],Table18[Deskripsi])</f>
        <v>Medium</v>
      </c>
      <c r="AS914" t="str">
        <f>_xlfn.XLOOKUP(Table1[[#This Row],[StockOptionLevel]],Table19[StockOptionLevel],Table19[Id_StockOptionLevel])</f>
        <v>SOL001</v>
      </c>
      <c r="AT914">
        <v>0</v>
      </c>
      <c r="AU914" t="str">
        <f>_xlfn.XLOOKUP(Table1[[#This Row],[StockOptionLevel]],Table19[StockOptionLevel],Table19[Deskripsi])</f>
        <v>Non-Eligible</v>
      </c>
      <c r="AV914">
        <v>8</v>
      </c>
      <c r="AW914">
        <v>2</v>
      </c>
      <c r="AX914" t="str">
        <f>_xlfn.XLOOKUP(Table1[[#This Row],[WorkLifeBalance]],Table20[WorkLifeBalance],Table20[Id_WorkLifeBalance])</f>
        <v>WLB003</v>
      </c>
      <c r="AY914">
        <v>2</v>
      </c>
      <c r="AZ914" t="str">
        <f>_xlfn.XLOOKUP(Table1[[#This Row],[WorkLifeBalance]],Table20[WorkLifeBalance],Table20[Deskripsi])</f>
        <v>Better</v>
      </c>
      <c r="BA914">
        <v>8</v>
      </c>
      <c r="BB914">
        <v>5</v>
      </c>
      <c r="BC914">
        <v>2</v>
      </c>
      <c r="BD914">
        <v>2</v>
      </c>
    </row>
    <row r="915" spans="1:56" x14ac:dyDescent="0.25">
      <c r="A915">
        <v>45</v>
      </c>
      <c r="B915" t="str">
        <f>_xlfn.XLOOKUP(Table1[[#This Row],[Attrition]],Table2[Attrition],Table2[Id_Attrition])</f>
        <v>A001</v>
      </c>
      <c r="C915" t="s">
        <v>32</v>
      </c>
      <c r="D915" t="str">
        <f>_xlfn.XLOOKUP(Table1[[#This Row],[BusinessTravel]],Table5[BusinessTravel],Table5[Id_BusinessTravel])</f>
        <v>BS001</v>
      </c>
      <c r="E915" t="s">
        <v>34</v>
      </c>
      <c r="F915">
        <v>1449</v>
      </c>
      <c r="G915" t="str">
        <f>_xlfn.XLOOKUP(Table1[[#This Row],[Department]],Table6[Department],Table6[Id_Departement])</f>
        <v>D001</v>
      </c>
      <c r="H915" t="s">
        <v>37</v>
      </c>
      <c r="I915">
        <v>2</v>
      </c>
      <c r="J915" t="str">
        <f>_xlfn.XLOOKUP(Table1[[#This Row],[Education]],Table8[Education],Table8[Id_Education])</f>
        <v>E003</v>
      </c>
      <c r="K915">
        <v>3</v>
      </c>
      <c r="L915" t="str">
        <f>_xlfn.XLOOKUP(Table1[[#This Row],[EducationField]],Table7[EducationField],Table7[Id_EducationField])</f>
        <v>EF004</v>
      </c>
      <c r="M915" t="s">
        <v>43</v>
      </c>
      <c r="N915" t="str">
        <f>_xlfn.XLOOKUP(Table1[[#This Row],[EmployeeNumber]],Table4[EmployeeNumber],Table4[Id_Employee])</f>
        <v>EMP00914</v>
      </c>
      <c r="O915">
        <v>1277</v>
      </c>
      <c r="P915" t="str">
        <f>_xlfn.XLOOKUP(Table1[[#This Row],[EnvironmentSatisfaction]],Table9[EnvironmentSatisfaction],Table9[Id_EnviromentSatisfaction])</f>
        <v>ES001</v>
      </c>
      <c r="Q915">
        <v>1</v>
      </c>
      <c r="R915" t="str">
        <f>_xlfn.XLOOKUP(Table1[[#This Row],[EnvironmentSatisfaction]],Table9[EnvironmentSatisfaction],Table9[Deskripsi])</f>
        <v>Low</v>
      </c>
      <c r="S915" t="str">
        <f>_xlfn.XLOOKUP(Table1[[#This Row],[Gender]],Table10[Gender],Table10[Id_Gender])</f>
        <v>G001</v>
      </c>
      <c r="T915" t="s">
        <v>45</v>
      </c>
      <c r="U915">
        <v>94</v>
      </c>
      <c r="V915" t="str">
        <f>_xlfn.XLOOKUP(Table1[[#This Row],[JobInvolvement]],Table11[JobInvolvement],Table11[Id_JobInvolvement])</f>
        <v>JI001</v>
      </c>
      <c r="W915">
        <v>1</v>
      </c>
      <c r="X915" t="str">
        <f>_xlfn.XLOOKUP(Table1[[#This Row],[JobLevel]],Table12[JobLevel],Table12[Id_JobLevel])</f>
        <v>JL005</v>
      </c>
      <c r="Y915">
        <v>5</v>
      </c>
      <c r="Z915" t="str">
        <f>_xlfn.XLOOKUP(Table1[[#This Row],[JobRole]],Table13[JobRole],Table13[Id_JobRole])</f>
        <v>JR006</v>
      </c>
      <c r="AA915" t="s">
        <v>52</v>
      </c>
      <c r="AB915" t="str">
        <f>_xlfn.XLOOKUP(Table1[[#This Row],[JobSatisfaction]],Table14[JobSatisfaction],Table14[Id_JobSatisfaction])</f>
        <v>JS002</v>
      </c>
      <c r="AC915">
        <v>2</v>
      </c>
      <c r="AD915" t="str">
        <f>_xlfn.XLOOKUP(Table1[[#This Row],[JobSatisfaction]],Table14[JobSatisfaction],Table14[Deskripsi])</f>
        <v>Medium</v>
      </c>
      <c r="AE915" t="str">
        <f>_xlfn.XLOOKUP(Table1[[#This Row],[MaritalStatus]],Table15[MaritalStatus],Table15[Id_MaritalStatus])</f>
        <v>MS001</v>
      </c>
      <c r="AF915" t="s">
        <v>55</v>
      </c>
      <c r="AG915">
        <v>18824</v>
      </c>
      <c r="AH915">
        <v>2493</v>
      </c>
      <c r="AI915">
        <v>2</v>
      </c>
      <c r="AJ915" t="str">
        <f>_xlfn.XLOOKUP(Table1[[#This Row],[OverTime]],Table16[OverTime],Table16[Id_OverTime])</f>
        <v>OT001</v>
      </c>
      <c r="AK915" t="s">
        <v>32</v>
      </c>
      <c r="AL915">
        <v>16</v>
      </c>
      <c r="AM915" t="str">
        <f>_xlfn.XLOOKUP(Table1[[#This Row],[PerformanceRating]],Table17[PerformanceRating],Table17[Id_PerformanceRating])</f>
        <v>PR003</v>
      </c>
      <c r="AN915">
        <v>3</v>
      </c>
      <c r="AO915" t="str">
        <f>_xlfn.XLOOKUP(Table1[[#This Row],[PerformanceRating]],Table17[PerformanceRating],Table17[Deskripsi])</f>
        <v>Excellent</v>
      </c>
      <c r="AP915" t="str">
        <f>_xlfn.XLOOKUP(Table1[[#This Row],[RelationshipSatisfaction]],Table18[RelationshipSatisfaction],Table18[Id_RelationshipSatisfaction])</f>
        <v>RS001</v>
      </c>
      <c r="AQ915">
        <v>1</v>
      </c>
      <c r="AR915" t="str">
        <f>_xlfn.XLOOKUP(Table1[[#This Row],[RelationshipSatisfaction]],Table18[RelationshipSatisfaction],Table18[Deskripsi])</f>
        <v>Low</v>
      </c>
      <c r="AS915" t="str">
        <f>_xlfn.XLOOKUP(Table1[[#This Row],[StockOptionLevel]],Table19[StockOptionLevel],Table19[Id_StockOptionLevel])</f>
        <v>SOL001</v>
      </c>
      <c r="AT915">
        <v>0</v>
      </c>
      <c r="AU915" t="str">
        <f>_xlfn.XLOOKUP(Table1[[#This Row],[StockOptionLevel]],Table19[StockOptionLevel],Table19[Deskripsi])</f>
        <v>Non-Eligible</v>
      </c>
      <c r="AV915">
        <v>26</v>
      </c>
      <c r="AW915">
        <v>2</v>
      </c>
      <c r="AX915" t="str">
        <f>_xlfn.XLOOKUP(Table1[[#This Row],[WorkLifeBalance]],Table20[WorkLifeBalance],Table20[Id_WorkLifeBalance])</f>
        <v>WLB002</v>
      </c>
      <c r="AY915">
        <v>3</v>
      </c>
      <c r="AZ915" t="str">
        <f>_xlfn.XLOOKUP(Table1[[#This Row],[WorkLifeBalance]],Table20[WorkLifeBalance],Table20[Deskripsi])</f>
        <v>Good</v>
      </c>
      <c r="BA915">
        <v>24</v>
      </c>
      <c r="BB915">
        <v>10</v>
      </c>
      <c r="BC915">
        <v>1</v>
      </c>
      <c r="BD915">
        <v>11</v>
      </c>
    </row>
    <row r="916" spans="1:56" x14ac:dyDescent="0.25">
      <c r="A916">
        <v>55</v>
      </c>
      <c r="B916" t="str">
        <f>_xlfn.XLOOKUP(Table1[[#This Row],[Attrition]],Table2[Attrition],Table2[Id_Attrition])</f>
        <v>A002</v>
      </c>
      <c r="C916" t="s">
        <v>33</v>
      </c>
      <c r="D916" t="str">
        <f>_xlfn.XLOOKUP(Table1[[#This Row],[BusinessTravel]],Table5[BusinessTravel],Table5[Id_BusinessTravel])</f>
        <v>BS003</v>
      </c>
      <c r="E916" t="s">
        <v>36</v>
      </c>
      <c r="F916">
        <v>177</v>
      </c>
      <c r="G916" t="str">
        <f>_xlfn.XLOOKUP(Table1[[#This Row],[Department]],Table6[Department],Table6[Id_Departement])</f>
        <v>D002</v>
      </c>
      <c r="H916" t="s">
        <v>38</v>
      </c>
      <c r="I916">
        <v>8</v>
      </c>
      <c r="J916" t="str">
        <f>_xlfn.XLOOKUP(Table1[[#This Row],[Education]],Table8[Education],Table8[Id_Education])</f>
        <v>E001</v>
      </c>
      <c r="K916">
        <v>1</v>
      </c>
      <c r="L916" t="str">
        <f>_xlfn.XLOOKUP(Table1[[#This Row],[EducationField]],Table7[EducationField],Table7[Id_EducationField])</f>
        <v>EF003</v>
      </c>
      <c r="M916" t="s">
        <v>42</v>
      </c>
      <c r="N916" t="str">
        <f>_xlfn.XLOOKUP(Table1[[#This Row],[EmployeeNumber]],Table4[EmployeeNumber],Table4[Id_Employee])</f>
        <v>EMP00915</v>
      </c>
      <c r="O916">
        <v>1278</v>
      </c>
      <c r="P916" t="str">
        <f>_xlfn.XLOOKUP(Table1[[#This Row],[EnvironmentSatisfaction]],Table9[EnvironmentSatisfaction],Table9[Id_EnviromentSatisfaction])</f>
        <v>ES004</v>
      </c>
      <c r="Q916">
        <v>4</v>
      </c>
      <c r="R916" t="str">
        <f>_xlfn.XLOOKUP(Table1[[#This Row],[EnvironmentSatisfaction]],Table9[EnvironmentSatisfaction],Table9[Deskripsi])</f>
        <v>Very High</v>
      </c>
      <c r="S916" t="str">
        <f>_xlfn.XLOOKUP(Table1[[#This Row],[Gender]],Table10[Gender],Table10[Id_Gender])</f>
        <v>G002</v>
      </c>
      <c r="T916" t="s">
        <v>46</v>
      </c>
      <c r="U916">
        <v>37</v>
      </c>
      <c r="V916" t="str">
        <f>_xlfn.XLOOKUP(Table1[[#This Row],[JobInvolvement]],Table11[JobInvolvement],Table11[Id_JobInvolvement])</f>
        <v>JI002</v>
      </c>
      <c r="W916">
        <v>2</v>
      </c>
      <c r="X916" t="str">
        <f>_xlfn.XLOOKUP(Table1[[#This Row],[JobLevel]],Table12[JobLevel],Table12[Id_JobLevel])</f>
        <v>JL004</v>
      </c>
      <c r="Y916">
        <v>4</v>
      </c>
      <c r="Z916" t="str">
        <f>_xlfn.XLOOKUP(Table1[[#This Row],[JobRole]],Table13[JobRole],Table13[Id_JobRole])</f>
        <v>JR005</v>
      </c>
      <c r="AA916" t="s">
        <v>51</v>
      </c>
      <c r="AB916" t="str">
        <f>_xlfn.XLOOKUP(Table1[[#This Row],[JobSatisfaction]],Table14[JobSatisfaction],Table14[Id_JobSatisfaction])</f>
        <v>JS002</v>
      </c>
      <c r="AC916">
        <v>2</v>
      </c>
      <c r="AD916" t="str">
        <f>_xlfn.XLOOKUP(Table1[[#This Row],[JobSatisfaction]],Table14[JobSatisfaction],Table14[Deskripsi])</f>
        <v>Medium</v>
      </c>
      <c r="AE916" t="str">
        <f>_xlfn.XLOOKUP(Table1[[#This Row],[MaritalStatus]],Table15[MaritalStatus],Table15[Id_MaritalStatus])</f>
        <v>MS003</v>
      </c>
      <c r="AF916" t="s">
        <v>57</v>
      </c>
      <c r="AG916">
        <v>13577</v>
      </c>
      <c r="AH916">
        <v>25592</v>
      </c>
      <c r="AI916">
        <v>1</v>
      </c>
      <c r="AJ916" t="str">
        <f>_xlfn.XLOOKUP(Table1[[#This Row],[OverTime]],Table16[OverTime],Table16[Id_OverTime])</f>
        <v>OT001</v>
      </c>
      <c r="AK916" t="s">
        <v>32</v>
      </c>
      <c r="AL916">
        <v>15</v>
      </c>
      <c r="AM916" t="str">
        <f>_xlfn.XLOOKUP(Table1[[#This Row],[PerformanceRating]],Table17[PerformanceRating],Table17[Id_PerformanceRating])</f>
        <v>PR003</v>
      </c>
      <c r="AN916">
        <v>3</v>
      </c>
      <c r="AO916" t="str">
        <f>_xlfn.XLOOKUP(Table1[[#This Row],[PerformanceRating]],Table17[PerformanceRating],Table17[Deskripsi])</f>
        <v>Excellent</v>
      </c>
      <c r="AP916" t="str">
        <f>_xlfn.XLOOKUP(Table1[[#This Row],[RelationshipSatisfaction]],Table18[RelationshipSatisfaction],Table18[Id_RelationshipSatisfaction])</f>
        <v>RS004</v>
      </c>
      <c r="AQ916">
        <v>4</v>
      </c>
      <c r="AR916" t="str">
        <f>_xlfn.XLOOKUP(Table1[[#This Row],[RelationshipSatisfaction]],Table18[RelationshipSatisfaction],Table18[Deskripsi])</f>
        <v>Very High</v>
      </c>
      <c r="AS916" t="str">
        <f>_xlfn.XLOOKUP(Table1[[#This Row],[StockOptionLevel]],Table19[StockOptionLevel],Table19[Id_StockOptionLevel])</f>
        <v>SOL002</v>
      </c>
      <c r="AT916">
        <v>1</v>
      </c>
      <c r="AU916" t="str">
        <f>_xlfn.XLOOKUP(Table1[[#This Row],[StockOptionLevel]],Table19[StockOptionLevel],Table19[Deskripsi])</f>
        <v>Standard</v>
      </c>
      <c r="AV916">
        <v>34</v>
      </c>
      <c r="AW916">
        <v>3</v>
      </c>
      <c r="AX916" t="str">
        <f>_xlfn.XLOOKUP(Table1[[#This Row],[WorkLifeBalance]],Table20[WorkLifeBalance],Table20[Id_WorkLifeBalance])</f>
        <v>WLB002</v>
      </c>
      <c r="AY916">
        <v>3</v>
      </c>
      <c r="AZ916" t="str">
        <f>_xlfn.XLOOKUP(Table1[[#This Row],[WorkLifeBalance]],Table20[WorkLifeBalance],Table20[Deskripsi])</f>
        <v>Good</v>
      </c>
      <c r="BA916">
        <v>33</v>
      </c>
      <c r="BB916">
        <v>9</v>
      </c>
      <c r="BC916">
        <v>15</v>
      </c>
      <c r="BD916">
        <v>0</v>
      </c>
    </row>
    <row r="917" spans="1:56" x14ac:dyDescent="0.25">
      <c r="A917">
        <v>21</v>
      </c>
      <c r="B917" t="str">
        <f>_xlfn.XLOOKUP(Table1[[#This Row],[Attrition]],Table2[Attrition],Table2[Id_Attrition])</f>
        <v>A001</v>
      </c>
      <c r="C917" t="s">
        <v>32</v>
      </c>
      <c r="D917" t="str">
        <f>_xlfn.XLOOKUP(Table1[[#This Row],[BusinessTravel]],Table5[BusinessTravel],Table5[Id_BusinessTravel])</f>
        <v>BS002</v>
      </c>
      <c r="E917" t="s">
        <v>35</v>
      </c>
      <c r="F917">
        <v>251</v>
      </c>
      <c r="G917" t="str">
        <f>_xlfn.XLOOKUP(Table1[[#This Row],[Department]],Table6[Department],Table6[Id_Departement])</f>
        <v>D002</v>
      </c>
      <c r="H917" t="s">
        <v>38</v>
      </c>
      <c r="I917">
        <v>10</v>
      </c>
      <c r="J917" t="str">
        <f>_xlfn.XLOOKUP(Table1[[#This Row],[Education]],Table8[Education],Table8[Id_Education])</f>
        <v>E002</v>
      </c>
      <c r="K917">
        <v>2</v>
      </c>
      <c r="L917" t="str">
        <f>_xlfn.XLOOKUP(Table1[[#This Row],[EducationField]],Table7[EducationField],Table7[Id_EducationField])</f>
        <v>EF001</v>
      </c>
      <c r="M917" t="s">
        <v>40</v>
      </c>
      <c r="N917" t="str">
        <f>_xlfn.XLOOKUP(Table1[[#This Row],[EmployeeNumber]],Table4[EmployeeNumber],Table4[Id_Employee])</f>
        <v>EMP00916</v>
      </c>
      <c r="O917">
        <v>1279</v>
      </c>
      <c r="P917" t="str">
        <f>_xlfn.XLOOKUP(Table1[[#This Row],[EnvironmentSatisfaction]],Table9[EnvironmentSatisfaction],Table9[Id_EnviromentSatisfaction])</f>
        <v>ES001</v>
      </c>
      <c r="Q917">
        <v>1</v>
      </c>
      <c r="R917" t="str">
        <f>_xlfn.XLOOKUP(Table1[[#This Row],[EnvironmentSatisfaction]],Table9[EnvironmentSatisfaction],Table9[Deskripsi])</f>
        <v>Low</v>
      </c>
      <c r="S917" t="str">
        <f>_xlfn.XLOOKUP(Table1[[#This Row],[Gender]],Table10[Gender],Table10[Id_Gender])</f>
        <v>G001</v>
      </c>
      <c r="T917" t="s">
        <v>45</v>
      </c>
      <c r="U917">
        <v>45</v>
      </c>
      <c r="V917" t="str">
        <f>_xlfn.XLOOKUP(Table1[[#This Row],[JobInvolvement]],Table11[JobInvolvement],Table11[Id_JobInvolvement])</f>
        <v>JI002</v>
      </c>
      <c r="W917">
        <v>2</v>
      </c>
      <c r="X917" t="str">
        <f>_xlfn.XLOOKUP(Table1[[#This Row],[JobLevel]],Table12[JobLevel],Table12[Id_JobLevel])</f>
        <v>JL001</v>
      </c>
      <c r="Y917">
        <v>1</v>
      </c>
      <c r="Z917" t="str">
        <f>_xlfn.XLOOKUP(Table1[[#This Row],[JobRole]],Table13[JobRole],Table13[Id_JobRole])</f>
        <v>JR003</v>
      </c>
      <c r="AA917" t="s">
        <v>49</v>
      </c>
      <c r="AB917" t="str">
        <f>_xlfn.XLOOKUP(Table1[[#This Row],[JobSatisfaction]],Table14[JobSatisfaction],Table14[Id_JobSatisfaction])</f>
        <v>JS003</v>
      </c>
      <c r="AC917">
        <v>3</v>
      </c>
      <c r="AD917" t="str">
        <f>_xlfn.XLOOKUP(Table1[[#This Row],[JobSatisfaction]],Table14[JobSatisfaction],Table14[Deskripsi])</f>
        <v>High</v>
      </c>
      <c r="AE917" t="str">
        <f>_xlfn.XLOOKUP(Table1[[#This Row],[MaritalStatus]],Table15[MaritalStatus],Table15[Id_MaritalStatus])</f>
        <v>MS001</v>
      </c>
      <c r="AF917" t="s">
        <v>55</v>
      </c>
      <c r="AG917">
        <v>2625</v>
      </c>
      <c r="AH917">
        <v>25308</v>
      </c>
      <c r="AI917">
        <v>1</v>
      </c>
      <c r="AJ917" t="str">
        <f>_xlfn.XLOOKUP(Table1[[#This Row],[OverTime]],Table16[OverTime],Table16[Id_OverTime])</f>
        <v>OT002</v>
      </c>
      <c r="AK917" t="s">
        <v>33</v>
      </c>
      <c r="AL917">
        <v>20</v>
      </c>
      <c r="AM917" t="str">
        <f>_xlfn.XLOOKUP(Table1[[#This Row],[PerformanceRating]],Table17[PerformanceRating],Table17[Id_PerformanceRating])</f>
        <v>PR004</v>
      </c>
      <c r="AN917">
        <v>4</v>
      </c>
      <c r="AO917" t="str">
        <f>_xlfn.XLOOKUP(Table1[[#This Row],[PerformanceRating]],Table17[PerformanceRating],Table17[Deskripsi])</f>
        <v>Outstanding</v>
      </c>
      <c r="AP917" t="str">
        <f>_xlfn.XLOOKUP(Table1[[#This Row],[RelationshipSatisfaction]],Table18[RelationshipSatisfaction],Table18[Id_RelationshipSatisfaction])</f>
        <v>RS003</v>
      </c>
      <c r="AQ917">
        <v>3</v>
      </c>
      <c r="AR917" t="str">
        <f>_xlfn.XLOOKUP(Table1[[#This Row],[RelationshipSatisfaction]],Table18[RelationshipSatisfaction],Table18[Deskripsi])</f>
        <v>High</v>
      </c>
      <c r="AS917" t="str">
        <f>_xlfn.XLOOKUP(Table1[[#This Row],[StockOptionLevel]],Table19[StockOptionLevel],Table19[Id_StockOptionLevel])</f>
        <v>SOL001</v>
      </c>
      <c r="AT917">
        <v>0</v>
      </c>
      <c r="AU917" t="str">
        <f>_xlfn.XLOOKUP(Table1[[#This Row],[StockOptionLevel]],Table19[StockOptionLevel],Table19[Deskripsi])</f>
        <v>Non-Eligible</v>
      </c>
      <c r="AV917">
        <v>2</v>
      </c>
      <c r="AW917">
        <v>2</v>
      </c>
      <c r="AX917" t="str">
        <f>_xlfn.XLOOKUP(Table1[[#This Row],[WorkLifeBalance]],Table20[WorkLifeBalance],Table20[Id_WorkLifeBalance])</f>
        <v>WLB001</v>
      </c>
      <c r="AY917">
        <v>1</v>
      </c>
      <c r="AZ917" t="str">
        <f>_xlfn.XLOOKUP(Table1[[#This Row],[WorkLifeBalance]],Table20[WorkLifeBalance],Table20[Deskripsi])</f>
        <v>Bad</v>
      </c>
      <c r="BA917">
        <v>2</v>
      </c>
      <c r="BB917">
        <v>2</v>
      </c>
      <c r="BC917">
        <v>2</v>
      </c>
      <c r="BD917">
        <v>2</v>
      </c>
    </row>
    <row r="918" spans="1:56" x14ac:dyDescent="0.25">
      <c r="A918">
        <v>46</v>
      </c>
      <c r="B918" t="str">
        <f>_xlfn.XLOOKUP(Table1[[#This Row],[Attrition]],Table2[Attrition],Table2[Id_Attrition])</f>
        <v>A002</v>
      </c>
      <c r="C918" t="s">
        <v>33</v>
      </c>
      <c r="D918" t="str">
        <f>_xlfn.XLOOKUP(Table1[[#This Row],[BusinessTravel]],Table5[BusinessTravel],Table5[Id_BusinessTravel])</f>
        <v>BS001</v>
      </c>
      <c r="E918" t="s">
        <v>34</v>
      </c>
      <c r="F918">
        <v>168</v>
      </c>
      <c r="G918" t="str">
        <f>_xlfn.XLOOKUP(Table1[[#This Row],[Department]],Table6[Department],Table6[Id_Departement])</f>
        <v>D001</v>
      </c>
      <c r="H918" t="s">
        <v>37</v>
      </c>
      <c r="I918">
        <v>4</v>
      </c>
      <c r="J918" t="str">
        <f>_xlfn.XLOOKUP(Table1[[#This Row],[Education]],Table8[Education],Table8[Id_Education])</f>
        <v>E002</v>
      </c>
      <c r="K918">
        <v>2</v>
      </c>
      <c r="L918" t="str">
        <f>_xlfn.XLOOKUP(Table1[[#This Row],[EducationField]],Table7[EducationField],Table7[Id_EducationField])</f>
        <v>EF004</v>
      </c>
      <c r="M918" t="s">
        <v>43</v>
      </c>
      <c r="N918" t="str">
        <f>_xlfn.XLOOKUP(Table1[[#This Row],[EmployeeNumber]],Table4[EmployeeNumber],Table4[Id_Employee])</f>
        <v>EMP00917</v>
      </c>
      <c r="O918">
        <v>1280</v>
      </c>
      <c r="P918" t="str">
        <f>_xlfn.XLOOKUP(Table1[[#This Row],[EnvironmentSatisfaction]],Table9[EnvironmentSatisfaction],Table9[Id_EnviromentSatisfaction])</f>
        <v>ES004</v>
      </c>
      <c r="Q918">
        <v>4</v>
      </c>
      <c r="R918" t="str">
        <f>_xlfn.XLOOKUP(Table1[[#This Row],[EnvironmentSatisfaction]],Table9[EnvironmentSatisfaction],Table9[Deskripsi])</f>
        <v>Very High</v>
      </c>
      <c r="S918" t="str">
        <f>_xlfn.XLOOKUP(Table1[[#This Row],[Gender]],Table10[Gender],Table10[Id_Gender])</f>
        <v>G001</v>
      </c>
      <c r="T918" t="s">
        <v>45</v>
      </c>
      <c r="U918">
        <v>33</v>
      </c>
      <c r="V918" t="str">
        <f>_xlfn.XLOOKUP(Table1[[#This Row],[JobInvolvement]],Table11[JobInvolvement],Table11[Id_JobInvolvement])</f>
        <v>JI002</v>
      </c>
      <c r="W918">
        <v>2</v>
      </c>
      <c r="X918" t="str">
        <f>_xlfn.XLOOKUP(Table1[[#This Row],[JobLevel]],Table12[JobLevel],Table12[Id_JobLevel])</f>
        <v>JL005</v>
      </c>
      <c r="Y918">
        <v>5</v>
      </c>
      <c r="Z918" t="str">
        <f>_xlfn.XLOOKUP(Table1[[#This Row],[JobRole]],Table13[JobRole],Table13[Id_JobRole])</f>
        <v>JR006</v>
      </c>
      <c r="AA918" t="s">
        <v>52</v>
      </c>
      <c r="AB918" t="str">
        <f>_xlfn.XLOOKUP(Table1[[#This Row],[JobSatisfaction]],Table14[JobSatisfaction],Table14[Id_JobSatisfaction])</f>
        <v>JS002</v>
      </c>
      <c r="AC918">
        <v>2</v>
      </c>
      <c r="AD918" t="str">
        <f>_xlfn.XLOOKUP(Table1[[#This Row],[JobSatisfaction]],Table14[JobSatisfaction],Table14[Deskripsi])</f>
        <v>Medium</v>
      </c>
      <c r="AE918" t="str">
        <f>_xlfn.XLOOKUP(Table1[[#This Row],[MaritalStatus]],Table15[MaritalStatus],Table15[Id_MaritalStatus])</f>
        <v>MS002</v>
      </c>
      <c r="AF918" t="s">
        <v>56</v>
      </c>
      <c r="AG918">
        <v>18789</v>
      </c>
      <c r="AH918">
        <v>9946</v>
      </c>
      <c r="AI918">
        <v>2</v>
      </c>
      <c r="AJ918" t="str">
        <f>_xlfn.XLOOKUP(Table1[[#This Row],[OverTime]],Table16[OverTime],Table16[Id_OverTime])</f>
        <v>OT002</v>
      </c>
      <c r="AK918" t="s">
        <v>33</v>
      </c>
      <c r="AL918">
        <v>14</v>
      </c>
      <c r="AM918" t="str">
        <f>_xlfn.XLOOKUP(Table1[[#This Row],[PerformanceRating]],Table17[PerformanceRating],Table17[Id_PerformanceRating])</f>
        <v>PR003</v>
      </c>
      <c r="AN918">
        <v>3</v>
      </c>
      <c r="AO918" t="str">
        <f>_xlfn.XLOOKUP(Table1[[#This Row],[PerformanceRating]],Table17[PerformanceRating],Table17[Deskripsi])</f>
        <v>Excellent</v>
      </c>
      <c r="AP918" t="str">
        <f>_xlfn.XLOOKUP(Table1[[#This Row],[RelationshipSatisfaction]],Table18[RelationshipSatisfaction],Table18[Id_RelationshipSatisfaction])</f>
        <v>RS003</v>
      </c>
      <c r="AQ918">
        <v>3</v>
      </c>
      <c r="AR918" t="str">
        <f>_xlfn.XLOOKUP(Table1[[#This Row],[RelationshipSatisfaction]],Table18[RelationshipSatisfaction],Table18[Deskripsi])</f>
        <v>High</v>
      </c>
      <c r="AS918" t="str">
        <f>_xlfn.XLOOKUP(Table1[[#This Row],[StockOptionLevel]],Table19[StockOptionLevel],Table19[Id_StockOptionLevel])</f>
        <v>SOL002</v>
      </c>
      <c r="AT918">
        <v>1</v>
      </c>
      <c r="AU918" t="str">
        <f>_xlfn.XLOOKUP(Table1[[#This Row],[StockOptionLevel]],Table19[StockOptionLevel],Table19[Deskripsi])</f>
        <v>Standard</v>
      </c>
      <c r="AV918">
        <v>26</v>
      </c>
      <c r="AW918">
        <v>2</v>
      </c>
      <c r="AX918" t="str">
        <f>_xlfn.XLOOKUP(Table1[[#This Row],[WorkLifeBalance]],Table20[WorkLifeBalance],Table20[Id_WorkLifeBalance])</f>
        <v>WLB002</v>
      </c>
      <c r="AY918">
        <v>3</v>
      </c>
      <c r="AZ918" t="str">
        <f>_xlfn.XLOOKUP(Table1[[#This Row],[WorkLifeBalance]],Table20[WorkLifeBalance],Table20[Deskripsi])</f>
        <v>Good</v>
      </c>
      <c r="BA918">
        <v>11</v>
      </c>
      <c r="BB918">
        <v>4</v>
      </c>
      <c r="BC918">
        <v>0</v>
      </c>
      <c r="BD918">
        <v>8</v>
      </c>
    </row>
    <row r="919" spans="1:56" x14ac:dyDescent="0.25">
      <c r="A919">
        <v>34</v>
      </c>
      <c r="B919" t="str">
        <f>_xlfn.XLOOKUP(Table1[[#This Row],[Attrition]],Table2[Attrition],Table2[Id_Attrition])</f>
        <v>A002</v>
      </c>
      <c r="C919" t="s">
        <v>33</v>
      </c>
      <c r="D919" t="str">
        <f>_xlfn.XLOOKUP(Table1[[#This Row],[BusinessTravel]],Table5[BusinessTravel],Table5[Id_BusinessTravel])</f>
        <v>BS001</v>
      </c>
      <c r="E919" t="s">
        <v>34</v>
      </c>
      <c r="F919">
        <v>131</v>
      </c>
      <c r="G919" t="str">
        <f>_xlfn.XLOOKUP(Table1[[#This Row],[Department]],Table6[Department],Table6[Id_Departement])</f>
        <v>D001</v>
      </c>
      <c r="H919" t="s">
        <v>37</v>
      </c>
      <c r="I919">
        <v>2</v>
      </c>
      <c r="J919" t="str">
        <f>_xlfn.XLOOKUP(Table1[[#This Row],[Education]],Table8[Education],Table8[Id_Education])</f>
        <v>E003</v>
      </c>
      <c r="K919">
        <v>3</v>
      </c>
      <c r="L919" t="str">
        <f>_xlfn.XLOOKUP(Table1[[#This Row],[EducationField]],Table7[EducationField],Table7[Id_EducationField])</f>
        <v>EF004</v>
      </c>
      <c r="M919" t="s">
        <v>43</v>
      </c>
      <c r="N919" t="str">
        <f>_xlfn.XLOOKUP(Table1[[#This Row],[EmployeeNumber]],Table4[EmployeeNumber],Table4[Id_Employee])</f>
        <v>EMP00918</v>
      </c>
      <c r="O919">
        <v>1281</v>
      </c>
      <c r="P919" t="str">
        <f>_xlfn.XLOOKUP(Table1[[#This Row],[EnvironmentSatisfaction]],Table9[EnvironmentSatisfaction],Table9[Id_EnviromentSatisfaction])</f>
        <v>ES003</v>
      </c>
      <c r="Q919">
        <v>3</v>
      </c>
      <c r="R919" t="str">
        <f>_xlfn.XLOOKUP(Table1[[#This Row],[EnvironmentSatisfaction]],Table9[EnvironmentSatisfaction],Table9[Deskripsi])</f>
        <v>High</v>
      </c>
      <c r="S919" t="str">
        <f>_xlfn.XLOOKUP(Table1[[#This Row],[Gender]],Table10[Gender],Table10[Id_Gender])</f>
        <v>G001</v>
      </c>
      <c r="T919" t="s">
        <v>45</v>
      </c>
      <c r="U919">
        <v>86</v>
      </c>
      <c r="V919" t="str">
        <f>_xlfn.XLOOKUP(Table1[[#This Row],[JobInvolvement]],Table11[JobInvolvement],Table11[Id_JobInvolvement])</f>
        <v>JI003</v>
      </c>
      <c r="W919">
        <v>3</v>
      </c>
      <c r="X919" t="str">
        <f>_xlfn.XLOOKUP(Table1[[#This Row],[JobLevel]],Table12[JobLevel],Table12[Id_JobLevel])</f>
        <v>JL002</v>
      </c>
      <c r="Y919">
        <v>2</v>
      </c>
      <c r="Z919" t="str">
        <f>_xlfn.XLOOKUP(Table1[[#This Row],[JobRole]],Table13[JobRole],Table13[Id_JobRole])</f>
        <v>JR001</v>
      </c>
      <c r="AA919" t="s">
        <v>47</v>
      </c>
      <c r="AB919" t="str">
        <f>_xlfn.XLOOKUP(Table1[[#This Row],[JobSatisfaction]],Table14[JobSatisfaction],Table14[Id_JobSatisfaction])</f>
        <v>JS001</v>
      </c>
      <c r="AC919">
        <v>1</v>
      </c>
      <c r="AD919" t="str">
        <f>_xlfn.XLOOKUP(Table1[[#This Row],[JobSatisfaction]],Table14[JobSatisfaction],Table14[Deskripsi])</f>
        <v>Low</v>
      </c>
      <c r="AE919" t="str">
        <f>_xlfn.XLOOKUP(Table1[[#This Row],[MaritalStatus]],Table15[MaritalStatus],Table15[Id_MaritalStatus])</f>
        <v>MS001</v>
      </c>
      <c r="AF919" t="s">
        <v>55</v>
      </c>
      <c r="AG919">
        <v>4538</v>
      </c>
      <c r="AH919">
        <v>6039</v>
      </c>
      <c r="AI919">
        <v>0</v>
      </c>
      <c r="AJ919" t="str">
        <f>_xlfn.XLOOKUP(Table1[[#This Row],[OverTime]],Table16[OverTime],Table16[Id_OverTime])</f>
        <v>OT001</v>
      </c>
      <c r="AK919" t="s">
        <v>32</v>
      </c>
      <c r="AL919">
        <v>12</v>
      </c>
      <c r="AM919" t="str">
        <f>_xlfn.XLOOKUP(Table1[[#This Row],[PerformanceRating]],Table17[PerformanceRating],Table17[Id_PerformanceRating])</f>
        <v>PR003</v>
      </c>
      <c r="AN919">
        <v>3</v>
      </c>
      <c r="AO919" t="str">
        <f>_xlfn.XLOOKUP(Table1[[#This Row],[PerformanceRating]],Table17[PerformanceRating],Table17[Deskripsi])</f>
        <v>Excellent</v>
      </c>
      <c r="AP919" t="str">
        <f>_xlfn.XLOOKUP(Table1[[#This Row],[RelationshipSatisfaction]],Table18[RelationshipSatisfaction],Table18[Id_RelationshipSatisfaction])</f>
        <v>RS004</v>
      </c>
      <c r="AQ919">
        <v>4</v>
      </c>
      <c r="AR919" t="str">
        <f>_xlfn.XLOOKUP(Table1[[#This Row],[RelationshipSatisfaction]],Table18[RelationshipSatisfaction],Table18[Deskripsi])</f>
        <v>Very High</v>
      </c>
      <c r="AS919" t="str">
        <f>_xlfn.XLOOKUP(Table1[[#This Row],[StockOptionLevel]],Table19[StockOptionLevel],Table19[Id_StockOptionLevel])</f>
        <v>SOL001</v>
      </c>
      <c r="AT919">
        <v>0</v>
      </c>
      <c r="AU919" t="str">
        <f>_xlfn.XLOOKUP(Table1[[#This Row],[StockOptionLevel]],Table19[StockOptionLevel],Table19[Deskripsi])</f>
        <v>Non-Eligible</v>
      </c>
      <c r="AV919">
        <v>4</v>
      </c>
      <c r="AW919">
        <v>3</v>
      </c>
      <c r="AX919" t="str">
        <f>_xlfn.XLOOKUP(Table1[[#This Row],[WorkLifeBalance]],Table20[WorkLifeBalance],Table20[Id_WorkLifeBalance])</f>
        <v>WLB002</v>
      </c>
      <c r="AY919">
        <v>3</v>
      </c>
      <c r="AZ919" t="str">
        <f>_xlfn.XLOOKUP(Table1[[#This Row],[WorkLifeBalance]],Table20[WorkLifeBalance],Table20[Deskripsi])</f>
        <v>Good</v>
      </c>
      <c r="BA919">
        <v>3</v>
      </c>
      <c r="BB919">
        <v>2</v>
      </c>
      <c r="BC919">
        <v>0</v>
      </c>
      <c r="BD919">
        <v>2</v>
      </c>
    </row>
    <row r="920" spans="1:56" x14ac:dyDescent="0.25">
      <c r="A920">
        <v>51</v>
      </c>
      <c r="B920" t="str">
        <f>_xlfn.XLOOKUP(Table1[[#This Row],[Attrition]],Table2[Attrition],Table2[Id_Attrition])</f>
        <v>A002</v>
      </c>
      <c r="C920" t="s">
        <v>33</v>
      </c>
      <c r="D920" t="str">
        <f>_xlfn.XLOOKUP(Table1[[#This Row],[BusinessTravel]],Table5[BusinessTravel],Table5[Id_BusinessTravel])</f>
        <v>BS002</v>
      </c>
      <c r="E920" t="s">
        <v>35</v>
      </c>
      <c r="F920">
        <v>237</v>
      </c>
      <c r="G920" t="str">
        <f>_xlfn.XLOOKUP(Table1[[#This Row],[Department]],Table6[Department],Table6[Id_Departement])</f>
        <v>D001</v>
      </c>
      <c r="H920" t="s">
        <v>37</v>
      </c>
      <c r="I920">
        <v>9</v>
      </c>
      <c r="J920" t="str">
        <f>_xlfn.XLOOKUP(Table1[[#This Row],[Education]],Table8[Education],Table8[Id_Education])</f>
        <v>E003</v>
      </c>
      <c r="K920">
        <v>3</v>
      </c>
      <c r="L920" t="str">
        <f>_xlfn.XLOOKUP(Table1[[#This Row],[EducationField]],Table7[EducationField],Table7[Id_EducationField])</f>
        <v>EF001</v>
      </c>
      <c r="M920" t="s">
        <v>40</v>
      </c>
      <c r="N920" t="str">
        <f>_xlfn.XLOOKUP(Table1[[#This Row],[EmployeeNumber]],Table4[EmployeeNumber],Table4[Id_Employee])</f>
        <v>EMP00919</v>
      </c>
      <c r="O920">
        <v>1282</v>
      </c>
      <c r="P920" t="str">
        <f>_xlfn.XLOOKUP(Table1[[#This Row],[EnvironmentSatisfaction]],Table9[EnvironmentSatisfaction],Table9[Id_EnviromentSatisfaction])</f>
        <v>ES004</v>
      </c>
      <c r="Q920">
        <v>4</v>
      </c>
      <c r="R920" t="str">
        <f>_xlfn.XLOOKUP(Table1[[#This Row],[EnvironmentSatisfaction]],Table9[EnvironmentSatisfaction],Table9[Deskripsi])</f>
        <v>Very High</v>
      </c>
      <c r="S920" t="str">
        <f>_xlfn.XLOOKUP(Table1[[#This Row],[Gender]],Table10[Gender],Table10[Id_Gender])</f>
        <v>G002</v>
      </c>
      <c r="T920" t="s">
        <v>46</v>
      </c>
      <c r="U920">
        <v>83</v>
      </c>
      <c r="V920" t="str">
        <f>_xlfn.XLOOKUP(Table1[[#This Row],[JobInvolvement]],Table11[JobInvolvement],Table11[Id_JobInvolvement])</f>
        <v>JI003</v>
      </c>
      <c r="W920">
        <v>3</v>
      </c>
      <c r="X920" t="str">
        <f>_xlfn.XLOOKUP(Table1[[#This Row],[JobLevel]],Table12[JobLevel],Table12[Id_JobLevel])</f>
        <v>JL005</v>
      </c>
      <c r="Y920">
        <v>5</v>
      </c>
      <c r="Z920" t="str">
        <f>_xlfn.XLOOKUP(Table1[[#This Row],[JobRole]],Table13[JobRole],Table13[Id_JobRole])</f>
        <v>JR006</v>
      </c>
      <c r="AA920" t="s">
        <v>52</v>
      </c>
      <c r="AB920" t="str">
        <f>_xlfn.XLOOKUP(Table1[[#This Row],[JobSatisfaction]],Table14[JobSatisfaction],Table14[Id_JobSatisfaction])</f>
        <v>JS002</v>
      </c>
      <c r="AC920">
        <v>2</v>
      </c>
      <c r="AD920" t="str">
        <f>_xlfn.XLOOKUP(Table1[[#This Row],[JobSatisfaction]],Table14[JobSatisfaction],Table14[Deskripsi])</f>
        <v>Medium</v>
      </c>
      <c r="AE920" t="str">
        <f>_xlfn.XLOOKUP(Table1[[#This Row],[MaritalStatus]],Table15[MaritalStatus],Table15[Id_MaritalStatus])</f>
        <v>MS003</v>
      </c>
      <c r="AF920" t="s">
        <v>57</v>
      </c>
      <c r="AG920">
        <v>19847</v>
      </c>
      <c r="AH920">
        <v>19196</v>
      </c>
      <c r="AI920">
        <v>4</v>
      </c>
      <c r="AJ920" t="str">
        <f>_xlfn.XLOOKUP(Table1[[#This Row],[OverTime]],Table16[OverTime],Table16[Id_OverTime])</f>
        <v>OT001</v>
      </c>
      <c r="AK920" t="s">
        <v>32</v>
      </c>
      <c r="AL920">
        <v>24</v>
      </c>
      <c r="AM920" t="str">
        <f>_xlfn.XLOOKUP(Table1[[#This Row],[PerformanceRating]],Table17[PerformanceRating],Table17[Id_PerformanceRating])</f>
        <v>PR004</v>
      </c>
      <c r="AN920">
        <v>4</v>
      </c>
      <c r="AO920" t="str">
        <f>_xlfn.XLOOKUP(Table1[[#This Row],[PerformanceRating]],Table17[PerformanceRating],Table17[Deskripsi])</f>
        <v>Outstanding</v>
      </c>
      <c r="AP920" t="str">
        <f>_xlfn.XLOOKUP(Table1[[#This Row],[RelationshipSatisfaction]],Table18[RelationshipSatisfaction],Table18[Id_RelationshipSatisfaction])</f>
        <v>RS001</v>
      </c>
      <c r="AQ920">
        <v>1</v>
      </c>
      <c r="AR920" t="str">
        <f>_xlfn.XLOOKUP(Table1[[#This Row],[RelationshipSatisfaction]],Table18[RelationshipSatisfaction],Table18[Deskripsi])</f>
        <v>Low</v>
      </c>
      <c r="AS920" t="str">
        <f>_xlfn.XLOOKUP(Table1[[#This Row],[StockOptionLevel]],Table19[StockOptionLevel],Table19[Id_StockOptionLevel])</f>
        <v>SOL002</v>
      </c>
      <c r="AT920">
        <v>1</v>
      </c>
      <c r="AU920" t="str">
        <f>_xlfn.XLOOKUP(Table1[[#This Row],[StockOptionLevel]],Table19[StockOptionLevel],Table19[Deskripsi])</f>
        <v>Standard</v>
      </c>
      <c r="AV920">
        <v>31</v>
      </c>
      <c r="AW920">
        <v>5</v>
      </c>
      <c r="AX920" t="str">
        <f>_xlfn.XLOOKUP(Table1[[#This Row],[WorkLifeBalance]],Table20[WorkLifeBalance],Table20[Id_WorkLifeBalance])</f>
        <v>WLB003</v>
      </c>
      <c r="AY920">
        <v>2</v>
      </c>
      <c r="AZ920" t="str">
        <f>_xlfn.XLOOKUP(Table1[[#This Row],[WorkLifeBalance]],Table20[WorkLifeBalance],Table20[Deskripsi])</f>
        <v>Better</v>
      </c>
      <c r="BA920">
        <v>29</v>
      </c>
      <c r="BB920">
        <v>10</v>
      </c>
      <c r="BC920">
        <v>11</v>
      </c>
      <c r="BD920">
        <v>10</v>
      </c>
    </row>
    <row r="921" spans="1:56" x14ac:dyDescent="0.25">
      <c r="A921">
        <v>59</v>
      </c>
      <c r="B921" t="str">
        <f>_xlfn.XLOOKUP(Table1[[#This Row],[Attrition]],Table2[Attrition],Table2[Id_Attrition])</f>
        <v>A002</v>
      </c>
      <c r="C921" t="s">
        <v>33</v>
      </c>
      <c r="D921" t="str">
        <f>_xlfn.XLOOKUP(Table1[[#This Row],[BusinessTravel]],Table5[BusinessTravel],Table5[Id_BusinessTravel])</f>
        <v>BS001</v>
      </c>
      <c r="E921" t="s">
        <v>34</v>
      </c>
      <c r="F921">
        <v>1429</v>
      </c>
      <c r="G921" t="str">
        <f>_xlfn.XLOOKUP(Table1[[#This Row],[Department]],Table6[Department],Table6[Id_Departement])</f>
        <v>D002</v>
      </c>
      <c r="H921" t="s">
        <v>38</v>
      </c>
      <c r="I921">
        <v>18</v>
      </c>
      <c r="J921" t="str">
        <f>_xlfn.XLOOKUP(Table1[[#This Row],[Education]],Table8[Education],Table8[Id_Education])</f>
        <v>E004</v>
      </c>
      <c r="K921">
        <v>4</v>
      </c>
      <c r="L921" t="str">
        <f>_xlfn.XLOOKUP(Table1[[#This Row],[EducationField]],Table7[EducationField],Table7[Id_EducationField])</f>
        <v>EF003</v>
      </c>
      <c r="M921" t="s">
        <v>42</v>
      </c>
      <c r="N921" t="str">
        <f>_xlfn.XLOOKUP(Table1[[#This Row],[EmployeeNumber]],Table4[EmployeeNumber],Table4[Id_Employee])</f>
        <v>EMP00920</v>
      </c>
      <c r="O921">
        <v>1283</v>
      </c>
      <c r="P921" t="str">
        <f>_xlfn.XLOOKUP(Table1[[#This Row],[EnvironmentSatisfaction]],Table9[EnvironmentSatisfaction],Table9[Id_EnviromentSatisfaction])</f>
        <v>ES004</v>
      </c>
      <c r="Q921">
        <v>4</v>
      </c>
      <c r="R921" t="str">
        <f>_xlfn.XLOOKUP(Table1[[#This Row],[EnvironmentSatisfaction]],Table9[EnvironmentSatisfaction],Table9[Deskripsi])</f>
        <v>Very High</v>
      </c>
      <c r="S921" t="str">
        <f>_xlfn.XLOOKUP(Table1[[#This Row],[Gender]],Table10[Gender],Table10[Id_Gender])</f>
        <v>G002</v>
      </c>
      <c r="T921" t="s">
        <v>46</v>
      </c>
      <c r="U921">
        <v>67</v>
      </c>
      <c r="V921" t="str">
        <f>_xlfn.XLOOKUP(Table1[[#This Row],[JobInvolvement]],Table11[JobInvolvement],Table11[Id_JobInvolvement])</f>
        <v>JI003</v>
      </c>
      <c r="W921">
        <v>3</v>
      </c>
      <c r="X921" t="str">
        <f>_xlfn.XLOOKUP(Table1[[#This Row],[JobLevel]],Table12[JobLevel],Table12[Id_JobLevel])</f>
        <v>JL003</v>
      </c>
      <c r="Y921">
        <v>3</v>
      </c>
      <c r="Z921" t="str">
        <f>_xlfn.XLOOKUP(Table1[[#This Row],[JobRole]],Table13[JobRole],Table13[Id_JobRole])</f>
        <v>JR004</v>
      </c>
      <c r="AA921" t="s">
        <v>50</v>
      </c>
      <c r="AB921" t="str">
        <f>_xlfn.XLOOKUP(Table1[[#This Row],[JobSatisfaction]],Table14[JobSatisfaction],Table14[Id_JobSatisfaction])</f>
        <v>JS004</v>
      </c>
      <c r="AC921">
        <v>4</v>
      </c>
      <c r="AD921" t="str">
        <f>_xlfn.XLOOKUP(Table1[[#This Row],[JobSatisfaction]],Table14[JobSatisfaction],Table14[Deskripsi])</f>
        <v>Very High</v>
      </c>
      <c r="AE921" t="str">
        <f>_xlfn.XLOOKUP(Table1[[#This Row],[MaritalStatus]],Table15[MaritalStatus],Table15[Id_MaritalStatus])</f>
        <v>MS001</v>
      </c>
      <c r="AF921" t="s">
        <v>55</v>
      </c>
      <c r="AG921">
        <v>10512</v>
      </c>
      <c r="AH921">
        <v>20002</v>
      </c>
      <c r="AI921">
        <v>6</v>
      </c>
      <c r="AJ921" t="str">
        <f>_xlfn.XLOOKUP(Table1[[#This Row],[OverTime]],Table16[OverTime],Table16[Id_OverTime])</f>
        <v>OT002</v>
      </c>
      <c r="AK921" t="s">
        <v>33</v>
      </c>
      <c r="AL921">
        <v>12</v>
      </c>
      <c r="AM921" t="str">
        <f>_xlfn.XLOOKUP(Table1[[#This Row],[PerformanceRating]],Table17[PerformanceRating],Table17[Id_PerformanceRating])</f>
        <v>PR003</v>
      </c>
      <c r="AN921">
        <v>3</v>
      </c>
      <c r="AO921" t="str">
        <f>_xlfn.XLOOKUP(Table1[[#This Row],[PerformanceRating]],Table17[PerformanceRating],Table17[Deskripsi])</f>
        <v>Excellent</v>
      </c>
      <c r="AP921" t="str">
        <f>_xlfn.XLOOKUP(Table1[[#This Row],[RelationshipSatisfaction]],Table18[RelationshipSatisfaction],Table18[Id_RelationshipSatisfaction])</f>
        <v>RS004</v>
      </c>
      <c r="AQ921">
        <v>4</v>
      </c>
      <c r="AR921" t="str">
        <f>_xlfn.XLOOKUP(Table1[[#This Row],[RelationshipSatisfaction]],Table18[RelationshipSatisfaction],Table18[Deskripsi])</f>
        <v>Very High</v>
      </c>
      <c r="AS921" t="str">
        <f>_xlfn.XLOOKUP(Table1[[#This Row],[StockOptionLevel]],Table19[StockOptionLevel],Table19[Id_StockOptionLevel])</f>
        <v>SOL001</v>
      </c>
      <c r="AT921">
        <v>0</v>
      </c>
      <c r="AU921" t="str">
        <f>_xlfn.XLOOKUP(Table1[[#This Row],[StockOptionLevel]],Table19[StockOptionLevel],Table19[Deskripsi])</f>
        <v>Non-Eligible</v>
      </c>
      <c r="AV921">
        <v>25</v>
      </c>
      <c r="AW921">
        <v>6</v>
      </c>
      <c r="AX921" t="str">
        <f>_xlfn.XLOOKUP(Table1[[#This Row],[WorkLifeBalance]],Table20[WorkLifeBalance],Table20[Id_WorkLifeBalance])</f>
        <v>WLB003</v>
      </c>
      <c r="AY921">
        <v>2</v>
      </c>
      <c r="AZ921" t="str">
        <f>_xlfn.XLOOKUP(Table1[[#This Row],[WorkLifeBalance]],Table20[WorkLifeBalance],Table20[Deskripsi])</f>
        <v>Better</v>
      </c>
      <c r="BA921">
        <v>9</v>
      </c>
      <c r="BB921">
        <v>7</v>
      </c>
      <c r="BC921">
        <v>5</v>
      </c>
      <c r="BD921">
        <v>4</v>
      </c>
    </row>
    <row r="922" spans="1:56" x14ac:dyDescent="0.25">
      <c r="A922">
        <v>34</v>
      </c>
      <c r="B922" t="str">
        <f>_xlfn.XLOOKUP(Table1[[#This Row],[Attrition]],Table2[Attrition],Table2[Id_Attrition])</f>
        <v>A002</v>
      </c>
      <c r="C922" t="s">
        <v>33</v>
      </c>
      <c r="D922" t="str">
        <f>_xlfn.XLOOKUP(Table1[[#This Row],[BusinessTravel]],Table5[BusinessTravel],Table5[Id_BusinessTravel])</f>
        <v>BS002</v>
      </c>
      <c r="E922" t="s">
        <v>35</v>
      </c>
      <c r="F922">
        <v>135</v>
      </c>
      <c r="G922" t="str">
        <f>_xlfn.XLOOKUP(Table1[[#This Row],[Department]],Table6[Department],Table6[Id_Departement])</f>
        <v>D002</v>
      </c>
      <c r="H922" t="s">
        <v>38</v>
      </c>
      <c r="I922">
        <v>19</v>
      </c>
      <c r="J922" t="str">
        <f>_xlfn.XLOOKUP(Table1[[#This Row],[Education]],Table8[Education],Table8[Id_Education])</f>
        <v>E003</v>
      </c>
      <c r="K922">
        <v>3</v>
      </c>
      <c r="L922" t="str">
        <f>_xlfn.XLOOKUP(Table1[[#This Row],[EducationField]],Table7[EducationField],Table7[Id_EducationField])</f>
        <v>EF003</v>
      </c>
      <c r="M922" t="s">
        <v>42</v>
      </c>
      <c r="N922" t="str">
        <f>_xlfn.XLOOKUP(Table1[[#This Row],[EmployeeNumber]],Table4[EmployeeNumber],Table4[Id_Employee])</f>
        <v>EMP00921</v>
      </c>
      <c r="O922">
        <v>1285</v>
      </c>
      <c r="P922" t="str">
        <f>_xlfn.XLOOKUP(Table1[[#This Row],[EnvironmentSatisfaction]],Table9[EnvironmentSatisfaction],Table9[Id_EnviromentSatisfaction])</f>
        <v>ES003</v>
      </c>
      <c r="Q922">
        <v>3</v>
      </c>
      <c r="R922" t="str">
        <f>_xlfn.XLOOKUP(Table1[[#This Row],[EnvironmentSatisfaction]],Table9[EnvironmentSatisfaction],Table9[Deskripsi])</f>
        <v>High</v>
      </c>
      <c r="S922" t="str">
        <f>_xlfn.XLOOKUP(Table1[[#This Row],[Gender]],Table10[Gender],Table10[Id_Gender])</f>
        <v>G001</v>
      </c>
      <c r="T922" t="s">
        <v>45</v>
      </c>
      <c r="U922">
        <v>46</v>
      </c>
      <c r="V922" t="str">
        <f>_xlfn.XLOOKUP(Table1[[#This Row],[JobInvolvement]],Table11[JobInvolvement],Table11[Id_JobInvolvement])</f>
        <v>JI003</v>
      </c>
      <c r="W922">
        <v>3</v>
      </c>
      <c r="X922" t="str">
        <f>_xlfn.XLOOKUP(Table1[[#This Row],[JobLevel]],Table12[JobLevel],Table12[Id_JobLevel])</f>
        <v>JL002</v>
      </c>
      <c r="Y922">
        <v>2</v>
      </c>
      <c r="Z922" t="str">
        <f>_xlfn.XLOOKUP(Table1[[#This Row],[JobRole]],Table13[JobRole],Table13[Id_JobRole])</f>
        <v>JR003</v>
      </c>
      <c r="AA922" t="s">
        <v>49</v>
      </c>
      <c r="AB922" t="str">
        <f>_xlfn.XLOOKUP(Table1[[#This Row],[JobSatisfaction]],Table14[JobSatisfaction],Table14[Id_JobSatisfaction])</f>
        <v>JS002</v>
      </c>
      <c r="AC922">
        <v>2</v>
      </c>
      <c r="AD922" t="str">
        <f>_xlfn.XLOOKUP(Table1[[#This Row],[JobSatisfaction]],Table14[JobSatisfaction],Table14[Deskripsi])</f>
        <v>Medium</v>
      </c>
      <c r="AE922" t="str">
        <f>_xlfn.XLOOKUP(Table1[[#This Row],[MaritalStatus]],Table15[MaritalStatus],Table15[Id_MaritalStatus])</f>
        <v>MS003</v>
      </c>
      <c r="AF922" t="s">
        <v>57</v>
      </c>
      <c r="AG922">
        <v>4444</v>
      </c>
      <c r="AH922">
        <v>22534</v>
      </c>
      <c r="AI922">
        <v>4</v>
      </c>
      <c r="AJ922" t="str">
        <f>_xlfn.XLOOKUP(Table1[[#This Row],[OverTime]],Table16[OverTime],Table16[Id_OverTime])</f>
        <v>OT002</v>
      </c>
      <c r="AK922" t="s">
        <v>33</v>
      </c>
      <c r="AL922">
        <v>13</v>
      </c>
      <c r="AM922" t="str">
        <f>_xlfn.XLOOKUP(Table1[[#This Row],[PerformanceRating]],Table17[PerformanceRating],Table17[Id_PerformanceRating])</f>
        <v>PR003</v>
      </c>
      <c r="AN922">
        <v>3</v>
      </c>
      <c r="AO922" t="str">
        <f>_xlfn.XLOOKUP(Table1[[#This Row],[PerformanceRating]],Table17[PerformanceRating],Table17[Deskripsi])</f>
        <v>Excellent</v>
      </c>
      <c r="AP922" t="str">
        <f>_xlfn.XLOOKUP(Table1[[#This Row],[RelationshipSatisfaction]],Table18[RelationshipSatisfaction],Table18[Id_RelationshipSatisfaction])</f>
        <v>RS003</v>
      </c>
      <c r="AQ922">
        <v>3</v>
      </c>
      <c r="AR922" t="str">
        <f>_xlfn.XLOOKUP(Table1[[#This Row],[RelationshipSatisfaction]],Table18[RelationshipSatisfaction],Table18[Deskripsi])</f>
        <v>High</v>
      </c>
      <c r="AS922" t="str">
        <f>_xlfn.XLOOKUP(Table1[[#This Row],[StockOptionLevel]],Table19[StockOptionLevel],Table19[Id_StockOptionLevel])</f>
        <v>SOL003</v>
      </c>
      <c r="AT922">
        <v>2</v>
      </c>
      <c r="AU922" t="str">
        <f>_xlfn.XLOOKUP(Table1[[#This Row],[StockOptionLevel]],Table19[StockOptionLevel],Table19[Deskripsi])</f>
        <v>Intermediate</v>
      </c>
      <c r="AV922">
        <v>15</v>
      </c>
      <c r="AW922">
        <v>2</v>
      </c>
      <c r="AX922" t="str">
        <f>_xlfn.XLOOKUP(Table1[[#This Row],[WorkLifeBalance]],Table20[WorkLifeBalance],Table20[Id_WorkLifeBalance])</f>
        <v>WLB004</v>
      </c>
      <c r="AY922">
        <v>4</v>
      </c>
      <c r="AZ922" t="str">
        <f>_xlfn.XLOOKUP(Table1[[#This Row],[WorkLifeBalance]],Table20[WorkLifeBalance],Table20[Deskripsi])</f>
        <v>Best</v>
      </c>
      <c r="BA922">
        <v>11</v>
      </c>
      <c r="BB922">
        <v>8</v>
      </c>
      <c r="BC922">
        <v>5</v>
      </c>
      <c r="BD922">
        <v>10</v>
      </c>
    </row>
    <row r="923" spans="1:56" x14ac:dyDescent="0.25">
      <c r="A923">
        <v>28</v>
      </c>
      <c r="B923" t="str">
        <f>_xlfn.XLOOKUP(Table1[[#This Row],[Attrition]],Table2[Attrition],Table2[Id_Attrition])</f>
        <v>A002</v>
      </c>
      <c r="C923" t="s">
        <v>33</v>
      </c>
      <c r="D923" t="str">
        <f>_xlfn.XLOOKUP(Table1[[#This Row],[BusinessTravel]],Table5[BusinessTravel],Table5[Id_BusinessTravel])</f>
        <v>BS002</v>
      </c>
      <c r="E923" t="s">
        <v>35</v>
      </c>
      <c r="F923">
        <v>791</v>
      </c>
      <c r="G923" t="str">
        <f>_xlfn.XLOOKUP(Table1[[#This Row],[Department]],Table6[Department],Table6[Id_Departement])</f>
        <v>D002</v>
      </c>
      <c r="H923" t="s">
        <v>38</v>
      </c>
      <c r="I923">
        <v>1</v>
      </c>
      <c r="J923" t="str">
        <f>_xlfn.XLOOKUP(Table1[[#This Row],[Education]],Table8[Education],Table8[Id_Education])</f>
        <v>E004</v>
      </c>
      <c r="K923">
        <v>4</v>
      </c>
      <c r="L923" t="str">
        <f>_xlfn.XLOOKUP(Table1[[#This Row],[EducationField]],Table7[EducationField],Table7[Id_EducationField])</f>
        <v>EF003</v>
      </c>
      <c r="M923" t="s">
        <v>42</v>
      </c>
      <c r="N923" t="str">
        <f>_xlfn.XLOOKUP(Table1[[#This Row],[EmployeeNumber]],Table4[EmployeeNumber],Table4[Id_Employee])</f>
        <v>EMP00922</v>
      </c>
      <c r="O923">
        <v>1286</v>
      </c>
      <c r="P923" t="str">
        <f>_xlfn.XLOOKUP(Table1[[#This Row],[EnvironmentSatisfaction]],Table9[EnvironmentSatisfaction],Table9[Id_EnviromentSatisfaction])</f>
        <v>ES004</v>
      </c>
      <c r="Q923">
        <v>4</v>
      </c>
      <c r="R923" t="str">
        <f>_xlfn.XLOOKUP(Table1[[#This Row],[EnvironmentSatisfaction]],Table9[EnvironmentSatisfaction],Table9[Deskripsi])</f>
        <v>Very High</v>
      </c>
      <c r="S923" t="str">
        <f>_xlfn.XLOOKUP(Table1[[#This Row],[Gender]],Table10[Gender],Table10[Id_Gender])</f>
        <v>G002</v>
      </c>
      <c r="T923" t="s">
        <v>46</v>
      </c>
      <c r="U923">
        <v>44</v>
      </c>
      <c r="V923" t="str">
        <f>_xlfn.XLOOKUP(Table1[[#This Row],[JobInvolvement]],Table11[JobInvolvement],Table11[Id_JobInvolvement])</f>
        <v>JI003</v>
      </c>
      <c r="W923">
        <v>3</v>
      </c>
      <c r="X923" t="str">
        <f>_xlfn.XLOOKUP(Table1[[#This Row],[JobLevel]],Table12[JobLevel],Table12[Id_JobLevel])</f>
        <v>JL001</v>
      </c>
      <c r="Y923">
        <v>1</v>
      </c>
      <c r="Z923" t="str">
        <f>_xlfn.XLOOKUP(Table1[[#This Row],[JobRole]],Table13[JobRole],Table13[Id_JobRole])</f>
        <v>JR003</v>
      </c>
      <c r="AA923" t="s">
        <v>49</v>
      </c>
      <c r="AB923" t="str">
        <f>_xlfn.XLOOKUP(Table1[[#This Row],[JobSatisfaction]],Table14[JobSatisfaction],Table14[Id_JobSatisfaction])</f>
        <v>JS003</v>
      </c>
      <c r="AC923">
        <v>3</v>
      </c>
      <c r="AD923" t="str">
        <f>_xlfn.XLOOKUP(Table1[[#This Row],[JobSatisfaction]],Table14[JobSatisfaction],Table14[Deskripsi])</f>
        <v>High</v>
      </c>
      <c r="AE923" t="str">
        <f>_xlfn.XLOOKUP(Table1[[#This Row],[MaritalStatus]],Table15[MaritalStatus],Table15[Id_MaritalStatus])</f>
        <v>MS001</v>
      </c>
      <c r="AF923" t="s">
        <v>55</v>
      </c>
      <c r="AG923">
        <v>2154</v>
      </c>
      <c r="AH923">
        <v>6842</v>
      </c>
      <c r="AI923">
        <v>0</v>
      </c>
      <c r="AJ923" t="str">
        <f>_xlfn.XLOOKUP(Table1[[#This Row],[OverTime]],Table16[OverTime],Table16[Id_OverTime])</f>
        <v>OT001</v>
      </c>
      <c r="AK923" t="s">
        <v>32</v>
      </c>
      <c r="AL923">
        <v>11</v>
      </c>
      <c r="AM923" t="str">
        <f>_xlfn.XLOOKUP(Table1[[#This Row],[PerformanceRating]],Table17[PerformanceRating],Table17[Id_PerformanceRating])</f>
        <v>PR003</v>
      </c>
      <c r="AN923">
        <v>3</v>
      </c>
      <c r="AO923" t="str">
        <f>_xlfn.XLOOKUP(Table1[[#This Row],[PerformanceRating]],Table17[PerformanceRating],Table17[Deskripsi])</f>
        <v>Excellent</v>
      </c>
      <c r="AP923" t="str">
        <f>_xlfn.XLOOKUP(Table1[[#This Row],[RelationshipSatisfaction]],Table18[RelationshipSatisfaction],Table18[Id_RelationshipSatisfaction])</f>
        <v>RS003</v>
      </c>
      <c r="AQ923">
        <v>3</v>
      </c>
      <c r="AR923" t="str">
        <f>_xlfn.XLOOKUP(Table1[[#This Row],[RelationshipSatisfaction]],Table18[RelationshipSatisfaction],Table18[Deskripsi])</f>
        <v>High</v>
      </c>
      <c r="AS923" t="str">
        <f>_xlfn.XLOOKUP(Table1[[#This Row],[StockOptionLevel]],Table19[StockOptionLevel],Table19[Id_StockOptionLevel])</f>
        <v>SOL001</v>
      </c>
      <c r="AT923">
        <v>0</v>
      </c>
      <c r="AU923" t="str">
        <f>_xlfn.XLOOKUP(Table1[[#This Row],[StockOptionLevel]],Table19[StockOptionLevel],Table19[Deskripsi])</f>
        <v>Non-Eligible</v>
      </c>
      <c r="AV923">
        <v>5</v>
      </c>
      <c r="AW923">
        <v>2</v>
      </c>
      <c r="AX923" t="str">
        <f>_xlfn.XLOOKUP(Table1[[#This Row],[WorkLifeBalance]],Table20[WorkLifeBalance],Table20[Id_WorkLifeBalance])</f>
        <v>WLB003</v>
      </c>
      <c r="AY923">
        <v>2</v>
      </c>
      <c r="AZ923" t="str">
        <f>_xlfn.XLOOKUP(Table1[[#This Row],[WorkLifeBalance]],Table20[WorkLifeBalance],Table20[Deskripsi])</f>
        <v>Better</v>
      </c>
      <c r="BA923">
        <v>4</v>
      </c>
      <c r="BB923">
        <v>2</v>
      </c>
      <c r="BC923">
        <v>0</v>
      </c>
      <c r="BD923">
        <v>2</v>
      </c>
    </row>
    <row r="924" spans="1:56" x14ac:dyDescent="0.25">
      <c r="A924">
        <v>44</v>
      </c>
      <c r="B924" t="str">
        <f>_xlfn.XLOOKUP(Table1[[#This Row],[Attrition]],Table2[Attrition],Table2[Id_Attrition])</f>
        <v>A002</v>
      </c>
      <c r="C924" t="s">
        <v>33</v>
      </c>
      <c r="D924" t="str">
        <f>_xlfn.XLOOKUP(Table1[[#This Row],[BusinessTravel]],Table5[BusinessTravel],Table5[Id_BusinessTravel])</f>
        <v>BS001</v>
      </c>
      <c r="E924" t="s">
        <v>34</v>
      </c>
      <c r="F924">
        <v>1199</v>
      </c>
      <c r="G924" t="str">
        <f>_xlfn.XLOOKUP(Table1[[#This Row],[Department]],Table6[Department],Table6[Id_Departement])</f>
        <v>D002</v>
      </c>
      <c r="H924" t="s">
        <v>38</v>
      </c>
      <c r="I924">
        <v>4</v>
      </c>
      <c r="J924" t="str">
        <f>_xlfn.XLOOKUP(Table1[[#This Row],[Education]],Table8[Education],Table8[Id_Education])</f>
        <v>E002</v>
      </c>
      <c r="K924">
        <v>2</v>
      </c>
      <c r="L924" t="str">
        <f>_xlfn.XLOOKUP(Table1[[#This Row],[EducationField]],Table7[EducationField],Table7[Id_EducationField])</f>
        <v>EF001</v>
      </c>
      <c r="M924" t="s">
        <v>40</v>
      </c>
      <c r="N924" t="str">
        <f>_xlfn.XLOOKUP(Table1[[#This Row],[EmployeeNumber]],Table4[EmployeeNumber],Table4[Id_Employee])</f>
        <v>EMP00923</v>
      </c>
      <c r="O924">
        <v>1288</v>
      </c>
      <c r="P924" t="str">
        <f>_xlfn.XLOOKUP(Table1[[#This Row],[EnvironmentSatisfaction]],Table9[EnvironmentSatisfaction],Table9[Id_EnviromentSatisfaction])</f>
        <v>ES003</v>
      </c>
      <c r="Q924">
        <v>3</v>
      </c>
      <c r="R924" t="str">
        <f>_xlfn.XLOOKUP(Table1[[#This Row],[EnvironmentSatisfaction]],Table9[EnvironmentSatisfaction],Table9[Deskripsi])</f>
        <v>High</v>
      </c>
      <c r="S924" t="str">
        <f>_xlfn.XLOOKUP(Table1[[#This Row],[Gender]],Table10[Gender],Table10[Id_Gender])</f>
        <v>G002</v>
      </c>
      <c r="T924" t="s">
        <v>46</v>
      </c>
      <c r="U924">
        <v>92</v>
      </c>
      <c r="V924" t="str">
        <f>_xlfn.XLOOKUP(Table1[[#This Row],[JobInvolvement]],Table11[JobInvolvement],Table11[Id_JobInvolvement])</f>
        <v>JI004</v>
      </c>
      <c r="W924">
        <v>4</v>
      </c>
      <c r="X924" t="str">
        <f>_xlfn.XLOOKUP(Table1[[#This Row],[JobLevel]],Table12[JobLevel],Table12[Id_JobLevel])</f>
        <v>JL005</v>
      </c>
      <c r="Y924">
        <v>5</v>
      </c>
      <c r="Z924" t="str">
        <f>_xlfn.XLOOKUP(Table1[[#This Row],[JobRole]],Table13[JobRole],Table13[Id_JobRole])</f>
        <v>JR006</v>
      </c>
      <c r="AA924" t="s">
        <v>52</v>
      </c>
      <c r="AB924" t="str">
        <f>_xlfn.XLOOKUP(Table1[[#This Row],[JobSatisfaction]],Table14[JobSatisfaction],Table14[Id_JobSatisfaction])</f>
        <v>JS001</v>
      </c>
      <c r="AC924">
        <v>1</v>
      </c>
      <c r="AD924" t="str">
        <f>_xlfn.XLOOKUP(Table1[[#This Row],[JobSatisfaction]],Table14[JobSatisfaction],Table14[Deskripsi])</f>
        <v>Low</v>
      </c>
      <c r="AE924" t="str">
        <f>_xlfn.XLOOKUP(Table1[[#This Row],[MaritalStatus]],Table15[MaritalStatus],Table15[Id_MaritalStatus])</f>
        <v>MS003</v>
      </c>
      <c r="AF924" t="s">
        <v>57</v>
      </c>
      <c r="AG924">
        <v>19190</v>
      </c>
      <c r="AH924">
        <v>17477</v>
      </c>
      <c r="AI924">
        <v>1</v>
      </c>
      <c r="AJ924" t="str">
        <f>_xlfn.XLOOKUP(Table1[[#This Row],[OverTime]],Table16[OverTime],Table16[Id_OverTime])</f>
        <v>OT002</v>
      </c>
      <c r="AK924" t="s">
        <v>33</v>
      </c>
      <c r="AL924">
        <v>14</v>
      </c>
      <c r="AM924" t="str">
        <f>_xlfn.XLOOKUP(Table1[[#This Row],[PerformanceRating]],Table17[PerformanceRating],Table17[Id_PerformanceRating])</f>
        <v>PR003</v>
      </c>
      <c r="AN924">
        <v>3</v>
      </c>
      <c r="AO924" t="str">
        <f>_xlfn.XLOOKUP(Table1[[#This Row],[PerformanceRating]],Table17[PerformanceRating],Table17[Deskripsi])</f>
        <v>Excellent</v>
      </c>
      <c r="AP924" t="str">
        <f>_xlfn.XLOOKUP(Table1[[#This Row],[RelationshipSatisfaction]],Table18[RelationshipSatisfaction],Table18[Id_RelationshipSatisfaction])</f>
        <v>RS004</v>
      </c>
      <c r="AQ924">
        <v>4</v>
      </c>
      <c r="AR924" t="str">
        <f>_xlfn.XLOOKUP(Table1[[#This Row],[RelationshipSatisfaction]],Table18[RelationshipSatisfaction],Table18[Deskripsi])</f>
        <v>Very High</v>
      </c>
      <c r="AS924" t="str">
        <f>_xlfn.XLOOKUP(Table1[[#This Row],[StockOptionLevel]],Table19[StockOptionLevel],Table19[Id_StockOptionLevel])</f>
        <v>SOL003</v>
      </c>
      <c r="AT924">
        <v>2</v>
      </c>
      <c r="AU924" t="str">
        <f>_xlfn.XLOOKUP(Table1[[#This Row],[StockOptionLevel]],Table19[StockOptionLevel],Table19[Deskripsi])</f>
        <v>Intermediate</v>
      </c>
      <c r="AV924">
        <v>26</v>
      </c>
      <c r="AW924">
        <v>4</v>
      </c>
      <c r="AX924" t="str">
        <f>_xlfn.XLOOKUP(Table1[[#This Row],[WorkLifeBalance]],Table20[WorkLifeBalance],Table20[Id_WorkLifeBalance])</f>
        <v>WLB003</v>
      </c>
      <c r="AY924">
        <v>2</v>
      </c>
      <c r="AZ924" t="str">
        <f>_xlfn.XLOOKUP(Table1[[#This Row],[WorkLifeBalance]],Table20[WorkLifeBalance],Table20[Deskripsi])</f>
        <v>Better</v>
      </c>
      <c r="BA924">
        <v>25</v>
      </c>
      <c r="BB924">
        <v>9</v>
      </c>
      <c r="BC924">
        <v>14</v>
      </c>
      <c r="BD924">
        <v>13</v>
      </c>
    </row>
    <row r="925" spans="1:56" x14ac:dyDescent="0.25">
      <c r="A925">
        <v>34</v>
      </c>
      <c r="B925" t="str">
        <f>_xlfn.XLOOKUP(Table1[[#This Row],[Attrition]],Table2[Attrition],Table2[Id_Attrition])</f>
        <v>A002</v>
      </c>
      <c r="C925" t="s">
        <v>33</v>
      </c>
      <c r="D925" t="str">
        <f>_xlfn.XLOOKUP(Table1[[#This Row],[BusinessTravel]],Table5[BusinessTravel],Table5[Id_BusinessTravel])</f>
        <v>BS002</v>
      </c>
      <c r="E925" t="s">
        <v>35</v>
      </c>
      <c r="F925">
        <v>648</v>
      </c>
      <c r="G925" t="str">
        <f>_xlfn.XLOOKUP(Table1[[#This Row],[Department]],Table6[Department],Table6[Id_Departement])</f>
        <v>D003</v>
      </c>
      <c r="H925" t="s">
        <v>39</v>
      </c>
      <c r="I925">
        <v>11</v>
      </c>
      <c r="J925" t="str">
        <f>_xlfn.XLOOKUP(Table1[[#This Row],[Education]],Table8[Education],Table8[Id_Education])</f>
        <v>E003</v>
      </c>
      <c r="K925">
        <v>3</v>
      </c>
      <c r="L925" t="str">
        <f>_xlfn.XLOOKUP(Table1[[#This Row],[EducationField]],Table7[EducationField],Table7[Id_EducationField])</f>
        <v>EF001</v>
      </c>
      <c r="M925" t="s">
        <v>40</v>
      </c>
      <c r="N925" t="str">
        <f>_xlfn.XLOOKUP(Table1[[#This Row],[EmployeeNumber]],Table4[EmployeeNumber],Table4[Id_Employee])</f>
        <v>EMP00924</v>
      </c>
      <c r="O925">
        <v>1289</v>
      </c>
      <c r="P925" t="str">
        <f>_xlfn.XLOOKUP(Table1[[#This Row],[EnvironmentSatisfaction]],Table9[EnvironmentSatisfaction],Table9[Id_EnviromentSatisfaction])</f>
        <v>ES003</v>
      </c>
      <c r="Q925">
        <v>3</v>
      </c>
      <c r="R925" t="str">
        <f>_xlfn.XLOOKUP(Table1[[#This Row],[EnvironmentSatisfaction]],Table9[EnvironmentSatisfaction],Table9[Deskripsi])</f>
        <v>High</v>
      </c>
      <c r="S925" t="str">
        <f>_xlfn.XLOOKUP(Table1[[#This Row],[Gender]],Table10[Gender],Table10[Id_Gender])</f>
        <v>G002</v>
      </c>
      <c r="T925" t="s">
        <v>46</v>
      </c>
      <c r="U925">
        <v>56</v>
      </c>
      <c r="V925" t="str">
        <f>_xlfn.XLOOKUP(Table1[[#This Row],[JobInvolvement]],Table11[JobInvolvement],Table11[Id_JobInvolvement])</f>
        <v>JI002</v>
      </c>
      <c r="W925">
        <v>2</v>
      </c>
      <c r="X925" t="str">
        <f>_xlfn.XLOOKUP(Table1[[#This Row],[JobLevel]],Table12[JobLevel],Table12[Id_JobLevel])</f>
        <v>JL002</v>
      </c>
      <c r="Y925">
        <v>2</v>
      </c>
      <c r="Z925" t="str">
        <f>_xlfn.XLOOKUP(Table1[[#This Row],[JobRole]],Table13[JobRole],Table13[Id_JobRole])</f>
        <v>JR009</v>
      </c>
      <c r="AA925" t="s">
        <v>39</v>
      </c>
      <c r="AB925" t="str">
        <f>_xlfn.XLOOKUP(Table1[[#This Row],[JobSatisfaction]],Table14[JobSatisfaction],Table14[Id_JobSatisfaction])</f>
        <v>JS002</v>
      </c>
      <c r="AC925">
        <v>2</v>
      </c>
      <c r="AD925" t="str">
        <f>_xlfn.XLOOKUP(Table1[[#This Row],[JobSatisfaction]],Table14[JobSatisfaction],Table14[Deskripsi])</f>
        <v>Medium</v>
      </c>
      <c r="AE925" t="str">
        <f>_xlfn.XLOOKUP(Table1[[#This Row],[MaritalStatus]],Table15[MaritalStatus],Table15[Id_MaritalStatus])</f>
        <v>MS002</v>
      </c>
      <c r="AF925" t="s">
        <v>56</v>
      </c>
      <c r="AG925">
        <v>4490</v>
      </c>
      <c r="AH925">
        <v>21833</v>
      </c>
      <c r="AI925">
        <v>4</v>
      </c>
      <c r="AJ925" t="str">
        <f>_xlfn.XLOOKUP(Table1[[#This Row],[OverTime]],Table16[OverTime],Table16[Id_OverTime])</f>
        <v>OT002</v>
      </c>
      <c r="AK925" t="s">
        <v>33</v>
      </c>
      <c r="AL925">
        <v>11</v>
      </c>
      <c r="AM925" t="str">
        <f>_xlfn.XLOOKUP(Table1[[#This Row],[PerformanceRating]],Table17[PerformanceRating],Table17[Id_PerformanceRating])</f>
        <v>PR003</v>
      </c>
      <c r="AN925">
        <v>3</v>
      </c>
      <c r="AO925" t="str">
        <f>_xlfn.XLOOKUP(Table1[[#This Row],[PerformanceRating]],Table17[PerformanceRating],Table17[Deskripsi])</f>
        <v>Excellent</v>
      </c>
      <c r="AP925" t="str">
        <f>_xlfn.XLOOKUP(Table1[[#This Row],[RelationshipSatisfaction]],Table18[RelationshipSatisfaction],Table18[Id_RelationshipSatisfaction])</f>
        <v>RS004</v>
      </c>
      <c r="AQ925">
        <v>4</v>
      </c>
      <c r="AR925" t="str">
        <f>_xlfn.XLOOKUP(Table1[[#This Row],[RelationshipSatisfaction]],Table18[RelationshipSatisfaction],Table18[Deskripsi])</f>
        <v>Very High</v>
      </c>
      <c r="AS925" t="str">
        <f>_xlfn.XLOOKUP(Table1[[#This Row],[StockOptionLevel]],Table19[StockOptionLevel],Table19[Id_StockOptionLevel])</f>
        <v>SOL003</v>
      </c>
      <c r="AT925">
        <v>2</v>
      </c>
      <c r="AU925" t="str">
        <f>_xlfn.XLOOKUP(Table1[[#This Row],[StockOptionLevel]],Table19[StockOptionLevel],Table19[Deskripsi])</f>
        <v>Intermediate</v>
      </c>
      <c r="AV925">
        <v>14</v>
      </c>
      <c r="AW925">
        <v>5</v>
      </c>
      <c r="AX925" t="str">
        <f>_xlfn.XLOOKUP(Table1[[#This Row],[WorkLifeBalance]],Table20[WorkLifeBalance],Table20[Id_WorkLifeBalance])</f>
        <v>WLB004</v>
      </c>
      <c r="AY925">
        <v>4</v>
      </c>
      <c r="AZ925" t="str">
        <f>_xlfn.XLOOKUP(Table1[[#This Row],[WorkLifeBalance]],Table20[WorkLifeBalance],Table20[Deskripsi])</f>
        <v>Best</v>
      </c>
      <c r="BA925">
        <v>10</v>
      </c>
      <c r="BB925">
        <v>9</v>
      </c>
      <c r="BC925">
        <v>1</v>
      </c>
      <c r="BD925">
        <v>8</v>
      </c>
    </row>
    <row r="926" spans="1:56" x14ac:dyDescent="0.25">
      <c r="A926">
        <v>35</v>
      </c>
      <c r="B926" t="str">
        <f>_xlfn.XLOOKUP(Table1[[#This Row],[Attrition]],Table2[Attrition],Table2[Id_Attrition])</f>
        <v>A002</v>
      </c>
      <c r="C926" t="s">
        <v>33</v>
      </c>
      <c r="D926" t="str">
        <f>_xlfn.XLOOKUP(Table1[[#This Row],[BusinessTravel]],Table5[BusinessTravel],Table5[Id_BusinessTravel])</f>
        <v>BS001</v>
      </c>
      <c r="E926" t="s">
        <v>34</v>
      </c>
      <c r="F926">
        <v>735</v>
      </c>
      <c r="G926" t="str">
        <f>_xlfn.XLOOKUP(Table1[[#This Row],[Department]],Table6[Department],Table6[Id_Departement])</f>
        <v>D002</v>
      </c>
      <c r="H926" t="s">
        <v>38</v>
      </c>
      <c r="I926">
        <v>6</v>
      </c>
      <c r="J926" t="str">
        <f>_xlfn.XLOOKUP(Table1[[#This Row],[Education]],Table8[Education],Table8[Id_Education])</f>
        <v>E001</v>
      </c>
      <c r="K926">
        <v>1</v>
      </c>
      <c r="L926" t="str">
        <f>_xlfn.XLOOKUP(Table1[[#This Row],[EducationField]],Table7[EducationField],Table7[Id_EducationField])</f>
        <v>EF001</v>
      </c>
      <c r="M926" t="s">
        <v>40</v>
      </c>
      <c r="N926" t="str">
        <f>_xlfn.XLOOKUP(Table1[[#This Row],[EmployeeNumber]],Table4[EmployeeNumber],Table4[Id_Employee])</f>
        <v>EMP00925</v>
      </c>
      <c r="O926">
        <v>1291</v>
      </c>
      <c r="P926" t="str">
        <f>_xlfn.XLOOKUP(Table1[[#This Row],[EnvironmentSatisfaction]],Table9[EnvironmentSatisfaction],Table9[Id_EnviromentSatisfaction])</f>
        <v>ES003</v>
      </c>
      <c r="Q926">
        <v>3</v>
      </c>
      <c r="R926" t="str">
        <f>_xlfn.XLOOKUP(Table1[[#This Row],[EnvironmentSatisfaction]],Table9[EnvironmentSatisfaction],Table9[Deskripsi])</f>
        <v>High</v>
      </c>
      <c r="S926" t="str">
        <f>_xlfn.XLOOKUP(Table1[[#This Row],[Gender]],Table10[Gender],Table10[Id_Gender])</f>
        <v>G002</v>
      </c>
      <c r="T926" t="s">
        <v>46</v>
      </c>
      <c r="U926">
        <v>66</v>
      </c>
      <c r="V926" t="str">
        <f>_xlfn.XLOOKUP(Table1[[#This Row],[JobInvolvement]],Table11[JobInvolvement],Table11[Id_JobInvolvement])</f>
        <v>JI003</v>
      </c>
      <c r="W926">
        <v>3</v>
      </c>
      <c r="X926" t="str">
        <f>_xlfn.XLOOKUP(Table1[[#This Row],[JobLevel]],Table12[JobLevel],Table12[Id_JobLevel])</f>
        <v>JL001</v>
      </c>
      <c r="Y926">
        <v>1</v>
      </c>
      <c r="Z926" t="str">
        <f>_xlfn.XLOOKUP(Table1[[#This Row],[JobRole]],Table13[JobRole],Table13[Id_JobRole])</f>
        <v>JR002</v>
      </c>
      <c r="AA926" t="s">
        <v>48</v>
      </c>
      <c r="AB926" t="str">
        <f>_xlfn.XLOOKUP(Table1[[#This Row],[JobSatisfaction]],Table14[JobSatisfaction],Table14[Id_JobSatisfaction])</f>
        <v>JS003</v>
      </c>
      <c r="AC926">
        <v>3</v>
      </c>
      <c r="AD926" t="str">
        <f>_xlfn.XLOOKUP(Table1[[#This Row],[JobSatisfaction]],Table14[JobSatisfaction],Table14[Deskripsi])</f>
        <v>High</v>
      </c>
      <c r="AE926" t="str">
        <f>_xlfn.XLOOKUP(Table1[[#This Row],[MaritalStatus]],Table15[MaritalStatus],Table15[Id_MaritalStatus])</f>
        <v>MS002</v>
      </c>
      <c r="AF926" t="s">
        <v>56</v>
      </c>
      <c r="AG926">
        <v>3506</v>
      </c>
      <c r="AH926">
        <v>6020</v>
      </c>
      <c r="AI926">
        <v>0</v>
      </c>
      <c r="AJ926" t="str">
        <f>_xlfn.XLOOKUP(Table1[[#This Row],[OverTime]],Table16[OverTime],Table16[Id_OverTime])</f>
        <v>OT001</v>
      </c>
      <c r="AK926" t="s">
        <v>32</v>
      </c>
      <c r="AL926">
        <v>14</v>
      </c>
      <c r="AM926" t="str">
        <f>_xlfn.XLOOKUP(Table1[[#This Row],[PerformanceRating]],Table17[PerformanceRating],Table17[Id_PerformanceRating])</f>
        <v>PR003</v>
      </c>
      <c r="AN926">
        <v>3</v>
      </c>
      <c r="AO926" t="str">
        <f>_xlfn.XLOOKUP(Table1[[#This Row],[PerformanceRating]],Table17[PerformanceRating],Table17[Deskripsi])</f>
        <v>Excellent</v>
      </c>
      <c r="AP926" t="str">
        <f>_xlfn.XLOOKUP(Table1[[#This Row],[RelationshipSatisfaction]],Table18[RelationshipSatisfaction],Table18[Id_RelationshipSatisfaction])</f>
        <v>RS004</v>
      </c>
      <c r="AQ926">
        <v>4</v>
      </c>
      <c r="AR926" t="str">
        <f>_xlfn.XLOOKUP(Table1[[#This Row],[RelationshipSatisfaction]],Table18[RelationshipSatisfaction],Table18[Deskripsi])</f>
        <v>Very High</v>
      </c>
      <c r="AS926" t="str">
        <f>_xlfn.XLOOKUP(Table1[[#This Row],[StockOptionLevel]],Table19[StockOptionLevel],Table19[Id_StockOptionLevel])</f>
        <v>SOL001</v>
      </c>
      <c r="AT926">
        <v>0</v>
      </c>
      <c r="AU926" t="str">
        <f>_xlfn.XLOOKUP(Table1[[#This Row],[StockOptionLevel]],Table19[StockOptionLevel],Table19[Deskripsi])</f>
        <v>Non-Eligible</v>
      </c>
      <c r="AV926">
        <v>4</v>
      </c>
      <c r="AW926">
        <v>3</v>
      </c>
      <c r="AX926" t="str">
        <f>_xlfn.XLOOKUP(Table1[[#This Row],[WorkLifeBalance]],Table20[WorkLifeBalance],Table20[Id_WorkLifeBalance])</f>
        <v>WLB002</v>
      </c>
      <c r="AY926">
        <v>3</v>
      </c>
      <c r="AZ926" t="str">
        <f>_xlfn.XLOOKUP(Table1[[#This Row],[WorkLifeBalance]],Table20[WorkLifeBalance],Table20[Deskripsi])</f>
        <v>Good</v>
      </c>
      <c r="BA926">
        <v>3</v>
      </c>
      <c r="BB926">
        <v>2</v>
      </c>
      <c r="BC926">
        <v>2</v>
      </c>
      <c r="BD926">
        <v>2</v>
      </c>
    </row>
    <row r="927" spans="1:56" x14ac:dyDescent="0.25">
      <c r="A927">
        <v>42</v>
      </c>
      <c r="B927" t="str">
        <f>_xlfn.XLOOKUP(Table1[[#This Row],[Attrition]],Table2[Attrition],Table2[Id_Attrition])</f>
        <v>A002</v>
      </c>
      <c r="C927" t="s">
        <v>33</v>
      </c>
      <c r="D927" t="str">
        <f>_xlfn.XLOOKUP(Table1[[#This Row],[BusinessTravel]],Table5[BusinessTravel],Table5[Id_BusinessTravel])</f>
        <v>BS001</v>
      </c>
      <c r="E927" t="s">
        <v>34</v>
      </c>
      <c r="F927">
        <v>603</v>
      </c>
      <c r="G927" t="str">
        <f>_xlfn.XLOOKUP(Table1[[#This Row],[Department]],Table6[Department],Table6[Id_Departement])</f>
        <v>D002</v>
      </c>
      <c r="H927" t="s">
        <v>38</v>
      </c>
      <c r="I927">
        <v>7</v>
      </c>
      <c r="J927" t="str">
        <f>_xlfn.XLOOKUP(Table1[[#This Row],[Education]],Table8[Education],Table8[Id_Education])</f>
        <v>E004</v>
      </c>
      <c r="K927">
        <v>4</v>
      </c>
      <c r="L927" t="str">
        <f>_xlfn.XLOOKUP(Table1[[#This Row],[EducationField]],Table7[EducationField],Table7[Id_EducationField])</f>
        <v>EF003</v>
      </c>
      <c r="M927" t="s">
        <v>42</v>
      </c>
      <c r="N927" t="str">
        <f>_xlfn.XLOOKUP(Table1[[#This Row],[EmployeeNumber]],Table4[EmployeeNumber],Table4[Id_Employee])</f>
        <v>EMP00926</v>
      </c>
      <c r="O927">
        <v>1292</v>
      </c>
      <c r="P927" t="str">
        <f>_xlfn.XLOOKUP(Table1[[#This Row],[EnvironmentSatisfaction]],Table9[EnvironmentSatisfaction],Table9[Id_EnviromentSatisfaction])</f>
        <v>ES002</v>
      </c>
      <c r="Q927">
        <v>2</v>
      </c>
      <c r="R927" t="str">
        <f>_xlfn.XLOOKUP(Table1[[#This Row],[EnvironmentSatisfaction]],Table9[EnvironmentSatisfaction],Table9[Deskripsi])</f>
        <v>Medium</v>
      </c>
      <c r="S927" t="str">
        <f>_xlfn.XLOOKUP(Table1[[#This Row],[Gender]],Table10[Gender],Table10[Id_Gender])</f>
        <v>G001</v>
      </c>
      <c r="T927" t="s">
        <v>45</v>
      </c>
      <c r="U927">
        <v>78</v>
      </c>
      <c r="V927" t="str">
        <f>_xlfn.XLOOKUP(Table1[[#This Row],[JobInvolvement]],Table11[JobInvolvement],Table11[Id_JobInvolvement])</f>
        <v>JI004</v>
      </c>
      <c r="W927">
        <v>4</v>
      </c>
      <c r="X927" t="str">
        <f>_xlfn.XLOOKUP(Table1[[#This Row],[JobLevel]],Table12[JobLevel],Table12[Id_JobLevel])</f>
        <v>JL002</v>
      </c>
      <c r="Y927">
        <v>2</v>
      </c>
      <c r="Z927" t="str">
        <f>_xlfn.XLOOKUP(Table1[[#This Row],[JobRole]],Table13[JobRole],Table13[Id_JobRole])</f>
        <v>JR002</v>
      </c>
      <c r="AA927" t="s">
        <v>48</v>
      </c>
      <c r="AB927" t="str">
        <f>_xlfn.XLOOKUP(Table1[[#This Row],[JobSatisfaction]],Table14[JobSatisfaction],Table14[Id_JobSatisfaction])</f>
        <v>JS002</v>
      </c>
      <c r="AC927">
        <v>2</v>
      </c>
      <c r="AD927" t="str">
        <f>_xlfn.XLOOKUP(Table1[[#This Row],[JobSatisfaction]],Table14[JobSatisfaction],Table14[Deskripsi])</f>
        <v>Medium</v>
      </c>
      <c r="AE927" t="str">
        <f>_xlfn.XLOOKUP(Table1[[#This Row],[MaritalStatus]],Table15[MaritalStatus],Table15[Id_MaritalStatus])</f>
        <v>MS002</v>
      </c>
      <c r="AF927" t="s">
        <v>56</v>
      </c>
      <c r="AG927">
        <v>2372</v>
      </c>
      <c r="AH927">
        <v>5628</v>
      </c>
      <c r="AI927">
        <v>6</v>
      </c>
      <c r="AJ927" t="str">
        <f>_xlfn.XLOOKUP(Table1[[#This Row],[OverTime]],Table16[OverTime],Table16[Id_OverTime])</f>
        <v>OT001</v>
      </c>
      <c r="AK927" t="s">
        <v>32</v>
      </c>
      <c r="AL927">
        <v>16</v>
      </c>
      <c r="AM927" t="str">
        <f>_xlfn.XLOOKUP(Table1[[#This Row],[PerformanceRating]],Table17[PerformanceRating],Table17[Id_PerformanceRating])</f>
        <v>PR003</v>
      </c>
      <c r="AN927">
        <v>3</v>
      </c>
      <c r="AO927" t="str">
        <f>_xlfn.XLOOKUP(Table1[[#This Row],[PerformanceRating]],Table17[PerformanceRating],Table17[Deskripsi])</f>
        <v>Excellent</v>
      </c>
      <c r="AP927" t="str">
        <f>_xlfn.XLOOKUP(Table1[[#This Row],[RelationshipSatisfaction]],Table18[RelationshipSatisfaction],Table18[Id_RelationshipSatisfaction])</f>
        <v>RS004</v>
      </c>
      <c r="AQ927">
        <v>4</v>
      </c>
      <c r="AR927" t="str">
        <f>_xlfn.XLOOKUP(Table1[[#This Row],[RelationshipSatisfaction]],Table18[RelationshipSatisfaction],Table18[Deskripsi])</f>
        <v>Very High</v>
      </c>
      <c r="AS927" t="str">
        <f>_xlfn.XLOOKUP(Table1[[#This Row],[StockOptionLevel]],Table19[StockOptionLevel],Table19[Id_StockOptionLevel])</f>
        <v>SOL001</v>
      </c>
      <c r="AT927">
        <v>0</v>
      </c>
      <c r="AU927" t="str">
        <f>_xlfn.XLOOKUP(Table1[[#This Row],[StockOptionLevel]],Table19[StockOptionLevel],Table19[Deskripsi])</f>
        <v>Non-Eligible</v>
      </c>
      <c r="AV927">
        <v>18</v>
      </c>
      <c r="AW927">
        <v>2</v>
      </c>
      <c r="AX927" t="str">
        <f>_xlfn.XLOOKUP(Table1[[#This Row],[WorkLifeBalance]],Table20[WorkLifeBalance],Table20[Id_WorkLifeBalance])</f>
        <v>WLB002</v>
      </c>
      <c r="AY927">
        <v>3</v>
      </c>
      <c r="AZ927" t="str">
        <f>_xlfn.XLOOKUP(Table1[[#This Row],[WorkLifeBalance]],Table20[WorkLifeBalance],Table20[Deskripsi])</f>
        <v>Good</v>
      </c>
      <c r="BA927">
        <v>1</v>
      </c>
      <c r="BB927">
        <v>0</v>
      </c>
      <c r="BC927">
        <v>0</v>
      </c>
      <c r="BD927">
        <v>0</v>
      </c>
    </row>
    <row r="928" spans="1:56" x14ac:dyDescent="0.25">
      <c r="A928">
        <v>43</v>
      </c>
      <c r="B928" t="str">
        <f>_xlfn.XLOOKUP(Table1[[#This Row],[Attrition]],Table2[Attrition],Table2[Id_Attrition])</f>
        <v>A002</v>
      </c>
      <c r="C928" t="s">
        <v>33</v>
      </c>
      <c r="D928" t="str">
        <f>_xlfn.XLOOKUP(Table1[[#This Row],[BusinessTravel]],Table5[BusinessTravel],Table5[Id_BusinessTravel])</f>
        <v>BS001</v>
      </c>
      <c r="E928" t="s">
        <v>34</v>
      </c>
      <c r="F928">
        <v>531</v>
      </c>
      <c r="G928" t="str">
        <f>_xlfn.XLOOKUP(Table1[[#This Row],[Department]],Table6[Department],Table6[Id_Departement])</f>
        <v>D001</v>
      </c>
      <c r="H928" t="s">
        <v>37</v>
      </c>
      <c r="I928">
        <v>4</v>
      </c>
      <c r="J928" t="str">
        <f>_xlfn.XLOOKUP(Table1[[#This Row],[Education]],Table8[Education],Table8[Id_Education])</f>
        <v>E004</v>
      </c>
      <c r="K928">
        <v>4</v>
      </c>
      <c r="L928" t="str">
        <f>_xlfn.XLOOKUP(Table1[[#This Row],[EducationField]],Table7[EducationField],Table7[Id_EducationField])</f>
        <v>EF004</v>
      </c>
      <c r="M928" t="s">
        <v>43</v>
      </c>
      <c r="N928" t="str">
        <f>_xlfn.XLOOKUP(Table1[[#This Row],[EmployeeNumber]],Table4[EmployeeNumber],Table4[Id_Employee])</f>
        <v>EMP00927</v>
      </c>
      <c r="O928">
        <v>1293</v>
      </c>
      <c r="P928" t="str">
        <f>_xlfn.XLOOKUP(Table1[[#This Row],[EnvironmentSatisfaction]],Table9[EnvironmentSatisfaction],Table9[Id_EnviromentSatisfaction])</f>
        <v>ES004</v>
      </c>
      <c r="Q928">
        <v>4</v>
      </c>
      <c r="R928" t="str">
        <f>_xlfn.XLOOKUP(Table1[[#This Row],[EnvironmentSatisfaction]],Table9[EnvironmentSatisfaction],Table9[Deskripsi])</f>
        <v>Very High</v>
      </c>
      <c r="S928" t="str">
        <f>_xlfn.XLOOKUP(Table1[[#This Row],[Gender]],Table10[Gender],Table10[Id_Gender])</f>
        <v>G001</v>
      </c>
      <c r="T928" t="s">
        <v>45</v>
      </c>
      <c r="U928">
        <v>56</v>
      </c>
      <c r="V928" t="str">
        <f>_xlfn.XLOOKUP(Table1[[#This Row],[JobInvolvement]],Table11[JobInvolvement],Table11[Id_JobInvolvement])</f>
        <v>JI002</v>
      </c>
      <c r="W928">
        <v>2</v>
      </c>
      <c r="X928" t="str">
        <f>_xlfn.XLOOKUP(Table1[[#This Row],[JobLevel]],Table12[JobLevel],Table12[Id_JobLevel])</f>
        <v>JL003</v>
      </c>
      <c r="Y928">
        <v>3</v>
      </c>
      <c r="Z928" t="str">
        <f>_xlfn.XLOOKUP(Table1[[#This Row],[JobRole]],Table13[JobRole],Table13[Id_JobRole])</f>
        <v>JR001</v>
      </c>
      <c r="AA928" t="s">
        <v>47</v>
      </c>
      <c r="AB928" t="str">
        <f>_xlfn.XLOOKUP(Table1[[#This Row],[JobSatisfaction]],Table14[JobSatisfaction],Table14[Id_JobSatisfaction])</f>
        <v>JS004</v>
      </c>
      <c r="AC928">
        <v>4</v>
      </c>
      <c r="AD928" t="str">
        <f>_xlfn.XLOOKUP(Table1[[#This Row],[JobSatisfaction]],Table14[JobSatisfaction],Table14[Deskripsi])</f>
        <v>Very High</v>
      </c>
      <c r="AE928" t="str">
        <f>_xlfn.XLOOKUP(Table1[[#This Row],[MaritalStatus]],Table15[MaritalStatus],Table15[Id_MaritalStatus])</f>
        <v>MS001</v>
      </c>
      <c r="AF928" t="s">
        <v>55</v>
      </c>
      <c r="AG928">
        <v>10231</v>
      </c>
      <c r="AH928">
        <v>20364</v>
      </c>
      <c r="AI928">
        <v>3</v>
      </c>
      <c r="AJ928" t="str">
        <f>_xlfn.XLOOKUP(Table1[[#This Row],[OverTime]],Table16[OverTime],Table16[Id_OverTime])</f>
        <v>OT002</v>
      </c>
      <c r="AK928" t="s">
        <v>33</v>
      </c>
      <c r="AL928">
        <v>14</v>
      </c>
      <c r="AM928" t="str">
        <f>_xlfn.XLOOKUP(Table1[[#This Row],[PerformanceRating]],Table17[PerformanceRating],Table17[Id_PerformanceRating])</f>
        <v>PR003</v>
      </c>
      <c r="AN928">
        <v>3</v>
      </c>
      <c r="AO928" t="str">
        <f>_xlfn.XLOOKUP(Table1[[#This Row],[PerformanceRating]],Table17[PerformanceRating],Table17[Deskripsi])</f>
        <v>Excellent</v>
      </c>
      <c r="AP928" t="str">
        <f>_xlfn.XLOOKUP(Table1[[#This Row],[RelationshipSatisfaction]],Table18[RelationshipSatisfaction],Table18[Id_RelationshipSatisfaction])</f>
        <v>RS004</v>
      </c>
      <c r="AQ928">
        <v>4</v>
      </c>
      <c r="AR928" t="str">
        <f>_xlfn.XLOOKUP(Table1[[#This Row],[RelationshipSatisfaction]],Table18[RelationshipSatisfaction],Table18[Deskripsi])</f>
        <v>Very High</v>
      </c>
      <c r="AS928" t="str">
        <f>_xlfn.XLOOKUP(Table1[[#This Row],[StockOptionLevel]],Table19[StockOptionLevel],Table19[Id_StockOptionLevel])</f>
        <v>SOL001</v>
      </c>
      <c r="AT928">
        <v>0</v>
      </c>
      <c r="AU928" t="str">
        <f>_xlfn.XLOOKUP(Table1[[#This Row],[StockOptionLevel]],Table19[StockOptionLevel],Table19[Deskripsi])</f>
        <v>Non-Eligible</v>
      </c>
      <c r="AV928">
        <v>23</v>
      </c>
      <c r="AW928">
        <v>3</v>
      </c>
      <c r="AX928" t="str">
        <f>_xlfn.XLOOKUP(Table1[[#This Row],[WorkLifeBalance]],Table20[WorkLifeBalance],Table20[Id_WorkLifeBalance])</f>
        <v>WLB004</v>
      </c>
      <c r="AY928">
        <v>4</v>
      </c>
      <c r="AZ928" t="str">
        <f>_xlfn.XLOOKUP(Table1[[#This Row],[WorkLifeBalance]],Table20[WorkLifeBalance],Table20[Deskripsi])</f>
        <v>Best</v>
      </c>
      <c r="BA928">
        <v>21</v>
      </c>
      <c r="BB928">
        <v>7</v>
      </c>
      <c r="BC928">
        <v>15</v>
      </c>
      <c r="BD928">
        <v>17</v>
      </c>
    </row>
    <row r="929" spans="1:56" x14ac:dyDescent="0.25">
      <c r="A929">
        <v>36</v>
      </c>
      <c r="B929" t="str">
        <f>_xlfn.XLOOKUP(Table1[[#This Row],[Attrition]],Table2[Attrition],Table2[Id_Attrition])</f>
        <v>A002</v>
      </c>
      <c r="C929" t="s">
        <v>33</v>
      </c>
      <c r="D929" t="str">
        <f>_xlfn.XLOOKUP(Table1[[#This Row],[BusinessTravel]],Table5[BusinessTravel],Table5[Id_BusinessTravel])</f>
        <v>BS001</v>
      </c>
      <c r="E929" t="s">
        <v>34</v>
      </c>
      <c r="F929">
        <v>429</v>
      </c>
      <c r="G929" t="str">
        <f>_xlfn.XLOOKUP(Table1[[#This Row],[Department]],Table6[Department],Table6[Id_Departement])</f>
        <v>D002</v>
      </c>
      <c r="H929" t="s">
        <v>38</v>
      </c>
      <c r="I929">
        <v>2</v>
      </c>
      <c r="J929" t="str">
        <f>_xlfn.XLOOKUP(Table1[[#This Row],[Education]],Table8[Education],Table8[Id_Education])</f>
        <v>E004</v>
      </c>
      <c r="K929">
        <v>4</v>
      </c>
      <c r="L929" t="str">
        <f>_xlfn.XLOOKUP(Table1[[#This Row],[EducationField]],Table7[EducationField],Table7[Id_EducationField])</f>
        <v>EF001</v>
      </c>
      <c r="M929" t="s">
        <v>40</v>
      </c>
      <c r="N929" t="str">
        <f>_xlfn.XLOOKUP(Table1[[#This Row],[EmployeeNumber]],Table4[EmployeeNumber],Table4[Id_Employee])</f>
        <v>EMP00928</v>
      </c>
      <c r="O929">
        <v>1294</v>
      </c>
      <c r="P929" t="str">
        <f>_xlfn.XLOOKUP(Table1[[#This Row],[EnvironmentSatisfaction]],Table9[EnvironmentSatisfaction],Table9[Id_EnviromentSatisfaction])</f>
        <v>ES003</v>
      </c>
      <c r="Q929">
        <v>3</v>
      </c>
      <c r="R929" t="str">
        <f>_xlfn.XLOOKUP(Table1[[#This Row],[EnvironmentSatisfaction]],Table9[EnvironmentSatisfaction],Table9[Deskripsi])</f>
        <v>High</v>
      </c>
      <c r="S929" t="str">
        <f>_xlfn.XLOOKUP(Table1[[#This Row],[Gender]],Table10[Gender],Table10[Id_Gender])</f>
        <v>G001</v>
      </c>
      <c r="T929" t="s">
        <v>45</v>
      </c>
      <c r="U929">
        <v>53</v>
      </c>
      <c r="V929" t="str">
        <f>_xlfn.XLOOKUP(Table1[[#This Row],[JobInvolvement]],Table11[JobInvolvement],Table11[Id_JobInvolvement])</f>
        <v>JI003</v>
      </c>
      <c r="W929">
        <v>3</v>
      </c>
      <c r="X929" t="str">
        <f>_xlfn.XLOOKUP(Table1[[#This Row],[JobLevel]],Table12[JobLevel],Table12[Id_JobLevel])</f>
        <v>JL002</v>
      </c>
      <c r="Y929">
        <v>2</v>
      </c>
      <c r="Z929" t="str">
        <f>_xlfn.XLOOKUP(Table1[[#This Row],[JobRole]],Table13[JobRole],Table13[Id_JobRole])</f>
        <v>JR004</v>
      </c>
      <c r="AA929" t="s">
        <v>50</v>
      </c>
      <c r="AB929" t="str">
        <f>_xlfn.XLOOKUP(Table1[[#This Row],[JobSatisfaction]],Table14[JobSatisfaction],Table14[Id_JobSatisfaction])</f>
        <v>JS002</v>
      </c>
      <c r="AC929">
        <v>2</v>
      </c>
      <c r="AD929" t="str">
        <f>_xlfn.XLOOKUP(Table1[[#This Row],[JobSatisfaction]],Table14[JobSatisfaction],Table14[Deskripsi])</f>
        <v>Medium</v>
      </c>
      <c r="AE929" t="str">
        <f>_xlfn.XLOOKUP(Table1[[#This Row],[MaritalStatus]],Table15[MaritalStatus],Table15[Id_MaritalStatus])</f>
        <v>MS001</v>
      </c>
      <c r="AF929" t="s">
        <v>55</v>
      </c>
      <c r="AG929">
        <v>5410</v>
      </c>
      <c r="AH929">
        <v>2323</v>
      </c>
      <c r="AI929">
        <v>9</v>
      </c>
      <c r="AJ929" t="str">
        <f>_xlfn.XLOOKUP(Table1[[#This Row],[OverTime]],Table16[OverTime],Table16[Id_OverTime])</f>
        <v>OT001</v>
      </c>
      <c r="AK929" t="s">
        <v>32</v>
      </c>
      <c r="AL929">
        <v>11</v>
      </c>
      <c r="AM929" t="str">
        <f>_xlfn.XLOOKUP(Table1[[#This Row],[PerformanceRating]],Table17[PerformanceRating],Table17[Id_PerformanceRating])</f>
        <v>PR003</v>
      </c>
      <c r="AN929">
        <v>3</v>
      </c>
      <c r="AO929" t="str">
        <f>_xlfn.XLOOKUP(Table1[[#This Row],[PerformanceRating]],Table17[PerformanceRating],Table17[Deskripsi])</f>
        <v>Excellent</v>
      </c>
      <c r="AP929" t="str">
        <f>_xlfn.XLOOKUP(Table1[[#This Row],[RelationshipSatisfaction]],Table18[RelationshipSatisfaction],Table18[Id_RelationshipSatisfaction])</f>
        <v>RS004</v>
      </c>
      <c r="AQ929">
        <v>4</v>
      </c>
      <c r="AR929" t="str">
        <f>_xlfn.XLOOKUP(Table1[[#This Row],[RelationshipSatisfaction]],Table18[RelationshipSatisfaction],Table18[Deskripsi])</f>
        <v>Very High</v>
      </c>
      <c r="AS929" t="str">
        <f>_xlfn.XLOOKUP(Table1[[#This Row],[StockOptionLevel]],Table19[StockOptionLevel],Table19[Id_StockOptionLevel])</f>
        <v>SOL001</v>
      </c>
      <c r="AT929">
        <v>0</v>
      </c>
      <c r="AU929" t="str">
        <f>_xlfn.XLOOKUP(Table1[[#This Row],[StockOptionLevel]],Table19[StockOptionLevel],Table19[Deskripsi])</f>
        <v>Non-Eligible</v>
      </c>
      <c r="AV929">
        <v>18</v>
      </c>
      <c r="AW929">
        <v>2</v>
      </c>
      <c r="AX929" t="str">
        <f>_xlfn.XLOOKUP(Table1[[#This Row],[WorkLifeBalance]],Table20[WorkLifeBalance],Table20[Id_WorkLifeBalance])</f>
        <v>WLB002</v>
      </c>
      <c r="AY929">
        <v>3</v>
      </c>
      <c r="AZ929" t="str">
        <f>_xlfn.XLOOKUP(Table1[[#This Row],[WorkLifeBalance]],Table20[WorkLifeBalance],Table20[Deskripsi])</f>
        <v>Good</v>
      </c>
      <c r="BA929">
        <v>16</v>
      </c>
      <c r="BB929">
        <v>14</v>
      </c>
      <c r="BC929">
        <v>5</v>
      </c>
      <c r="BD929">
        <v>12</v>
      </c>
    </row>
    <row r="930" spans="1:56" x14ac:dyDescent="0.25">
      <c r="A930">
        <v>44</v>
      </c>
      <c r="B930" t="str">
        <f>_xlfn.XLOOKUP(Table1[[#This Row],[Attrition]],Table2[Attrition],Table2[Id_Attrition])</f>
        <v>A001</v>
      </c>
      <c r="C930" t="s">
        <v>32</v>
      </c>
      <c r="D930" t="str">
        <f>_xlfn.XLOOKUP(Table1[[#This Row],[BusinessTravel]],Table5[BusinessTravel],Table5[Id_BusinessTravel])</f>
        <v>BS001</v>
      </c>
      <c r="E930" t="s">
        <v>34</v>
      </c>
      <c r="F930">
        <v>621</v>
      </c>
      <c r="G930" t="str">
        <f>_xlfn.XLOOKUP(Table1[[#This Row],[Department]],Table6[Department],Table6[Id_Departement])</f>
        <v>D002</v>
      </c>
      <c r="H930" t="s">
        <v>38</v>
      </c>
      <c r="I930">
        <v>15</v>
      </c>
      <c r="J930" t="str">
        <f>_xlfn.XLOOKUP(Table1[[#This Row],[Education]],Table8[Education],Table8[Id_Education])</f>
        <v>E003</v>
      </c>
      <c r="K930">
        <v>3</v>
      </c>
      <c r="L930" t="str">
        <f>_xlfn.XLOOKUP(Table1[[#This Row],[EducationField]],Table7[EducationField],Table7[Id_EducationField])</f>
        <v>EF003</v>
      </c>
      <c r="M930" t="s">
        <v>42</v>
      </c>
      <c r="N930" t="str">
        <f>_xlfn.XLOOKUP(Table1[[#This Row],[EmployeeNumber]],Table4[EmployeeNumber],Table4[Id_Employee])</f>
        <v>EMP00929</v>
      </c>
      <c r="O930">
        <v>1295</v>
      </c>
      <c r="P930" t="str">
        <f>_xlfn.XLOOKUP(Table1[[#This Row],[EnvironmentSatisfaction]],Table9[EnvironmentSatisfaction],Table9[Id_EnviromentSatisfaction])</f>
        <v>ES001</v>
      </c>
      <c r="Q930">
        <v>1</v>
      </c>
      <c r="R930" t="str">
        <f>_xlfn.XLOOKUP(Table1[[#This Row],[EnvironmentSatisfaction]],Table9[EnvironmentSatisfaction],Table9[Deskripsi])</f>
        <v>Low</v>
      </c>
      <c r="S930" t="str">
        <f>_xlfn.XLOOKUP(Table1[[#This Row],[Gender]],Table10[Gender],Table10[Id_Gender])</f>
        <v>G001</v>
      </c>
      <c r="T930" t="s">
        <v>45</v>
      </c>
      <c r="U930">
        <v>73</v>
      </c>
      <c r="V930" t="str">
        <f>_xlfn.XLOOKUP(Table1[[#This Row],[JobInvolvement]],Table11[JobInvolvement],Table11[Id_JobInvolvement])</f>
        <v>JI003</v>
      </c>
      <c r="W930">
        <v>3</v>
      </c>
      <c r="X930" t="str">
        <f>_xlfn.XLOOKUP(Table1[[#This Row],[JobLevel]],Table12[JobLevel],Table12[Id_JobLevel])</f>
        <v>JL003</v>
      </c>
      <c r="Y930">
        <v>3</v>
      </c>
      <c r="Z930" t="str">
        <f>_xlfn.XLOOKUP(Table1[[#This Row],[JobRole]],Table13[JobRole],Table13[Id_JobRole])</f>
        <v>JR005</v>
      </c>
      <c r="AA930" t="s">
        <v>51</v>
      </c>
      <c r="AB930" t="str">
        <f>_xlfn.XLOOKUP(Table1[[#This Row],[JobSatisfaction]],Table14[JobSatisfaction],Table14[Id_JobSatisfaction])</f>
        <v>JS004</v>
      </c>
      <c r="AC930">
        <v>4</v>
      </c>
      <c r="AD930" t="str">
        <f>_xlfn.XLOOKUP(Table1[[#This Row],[JobSatisfaction]],Table14[JobSatisfaction],Table14[Deskripsi])</f>
        <v>Very High</v>
      </c>
      <c r="AE930" t="str">
        <f>_xlfn.XLOOKUP(Table1[[#This Row],[MaritalStatus]],Table15[MaritalStatus],Table15[Id_MaritalStatus])</f>
        <v>MS002</v>
      </c>
      <c r="AF930" t="s">
        <v>56</v>
      </c>
      <c r="AG930">
        <v>7978</v>
      </c>
      <c r="AH930">
        <v>14075</v>
      </c>
      <c r="AI930">
        <v>1</v>
      </c>
      <c r="AJ930" t="str">
        <f>_xlfn.XLOOKUP(Table1[[#This Row],[OverTime]],Table16[OverTime],Table16[Id_OverTime])</f>
        <v>OT002</v>
      </c>
      <c r="AK930" t="s">
        <v>33</v>
      </c>
      <c r="AL930">
        <v>11</v>
      </c>
      <c r="AM930" t="str">
        <f>_xlfn.XLOOKUP(Table1[[#This Row],[PerformanceRating]],Table17[PerformanceRating],Table17[Id_PerformanceRating])</f>
        <v>PR003</v>
      </c>
      <c r="AN930">
        <v>3</v>
      </c>
      <c r="AO930" t="str">
        <f>_xlfn.XLOOKUP(Table1[[#This Row],[PerformanceRating]],Table17[PerformanceRating],Table17[Deskripsi])</f>
        <v>Excellent</v>
      </c>
      <c r="AP930" t="str">
        <f>_xlfn.XLOOKUP(Table1[[#This Row],[RelationshipSatisfaction]],Table18[RelationshipSatisfaction],Table18[Id_RelationshipSatisfaction])</f>
        <v>RS004</v>
      </c>
      <c r="AQ930">
        <v>4</v>
      </c>
      <c r="AR930" t="str">
        <f>_xlfn.XLOOKUP(Table1[[#This Row],[RelationshipSatisfaction]],Table18[RelationshipSatisfaction],Table18[Deskripsi])</f>
        <v>Very High</v>
      </c>
      <c r="AS930" t="str">
        <f>_xlfn.XLOOKUP(Table1[[#This Row],[StockOptionLevel]],Table19[StockOptionLevel],Table19[Id_StockOptionLevel])</f>
        <v>SOL002</v>
      </c>
      <c r="AT930">
        <v>1</v>
      </c>
      <c r="AU930" t="str">
        <f>_xlfn.XLOOKUP(Table1[[#This Row],[StockOptionLevel]],Table19[StockOptionLevel],Table19[Deskripsi])</f>
        <v>Standard</v>
      </c>
      <c r="AV930">
        <v>10</v>
      </c>
      <c r="AW930">
        <v>2</v>
      </c>
      <c r="AX930" t="str">
        <f>_xlfn.XLOOKUP(Table1[[#This Row],[WorkLifeBalance]],Table20[WorkLifeBalance],Table20[Id_WorkLifeBalance])</f>
        <v>WLB002</v>
      </c>
      <c r="AY930">
        <v>3</v>
      </c>
      <c r="AZ930" t="str">
        <f>_xlfn.XLOOKUP(Table1[[#This Row],[WorkLifeBalance]],Table20[WorkLifeBalance],Table20[Deskripsi])</f>
        <v>Good</v>
      </c>
      <c r="BA930">
        <v>10</v>
      </c>
      <c r="BB930">
        <v>7</v>
      </c>
      <c r="BC930">
        <v>0</v>
      </c>
      <c r="BD930">
        <v>5</v>
      </c>
    </row>
    <row r="931" spans="1:56" x14ac:dyDescent="0.25">
      <c r="A931">
        <v>28</v>
      </c>
      <c r="B931" t="str">
        <f>_xlfn.XLOOKUP(Table1[[#This Row],[Attrition]],Table2[Attrition],Table2[Id_Attrition])</f>
        <v>A002</v>
      </c>
      <c r="C931" t="s">
        <v>33</v>
      </c>
      <c r="D931" t="str">
        <f>_xlfn.XLOOKUP(Table1[[#This Row],[BusinessTravel]],Table5[BusinessTravel],Table5[Id_BusinessTravel])</f>
        <v>BS002</v>
      </c>
      <c r="E931" t="s">
        <v>35</v>
      </c>
      <c r="F931">
        <v>193</v>
      </c>
      <c r="G931" t="str">
        <f>_xlfn.XLOOKUP(Table1[[#This Row],[Department]],Table6[Department],Table6[Id_Departement])</f>
        <v>D002</v>
      </c>
      <c r="H931" t="s">
        <v>38</v>
      </c>
      <c r="I931">
        <v>2</v>
      </c>
      <c r="J931" t="str">
        <f>_xlfn.XLOOKUP(Table1[[#This Row],[Education]],Table8[Education],Table8[Id_Education])</f>
        <v>E003</v>
      </c>
      <c r="K931">
        <v>3</v>
      </c>
      <c r="L931" t="str">
        <f>_xlfn.XLOOKUP(Table1[[#This Row],[EducationField]],Table7[EducationField],Table7[Id_EducationField])</f>
        <v>EF001</v>
      </c>
      <c r="M931" t="s">
        <v>40</v>
      </c>
      <c r="N931" t="str">
        <f>_xlfn.XLOOKUP(Table1[[#This Row],[EmployeeNumber]],Table4[EmployeeNumber],Table4[Id_Employee])</f>
        <v>EMP00930</v>
      </c>
      <c r="O931">
        <v>1296</v>
      </c>
      <c r="P931" t="str">
        <f>_xlfn.XLOOKUP(Table1[[#This Row],[EnvironmentSatisfaction]],Table9[EnvironmentSatisfaction],Table9[Id_EnviromentSatisfaction])</f>
        <v>ES004</v>
      </c>
      <c r="Q931">
        <v>4</v>
      </c>
      <c r="R931" t="str">
        <f>_xlfn.XLOOKUP(Table1[[#This Row],[EnvironmentSatisfaction]],Table9[EnvironmentSatisfaction],Table9[Deskripsi])</f>
        <v>Very High</v>
      </c>
      <c r="S931" t="str">
        <f>_xlfn.XLOOKUP(Table1[[#This Row],[Gender]],Table10[Gender],Table10[Id_Gender])</f>
        <v>G002</v>
      </c>
      <c r="T931" t="s">
        <v>46</v>
      </c>
      <c r="U931">
        <v>52</v>
      </c>
      <c r="V931" t="str">
        <f>_xlfn.XLOOKUP(Table1[[#This Row],[JobInvolvement]],Table11[JobInvolvement],Table11[Id_JobInvolvement])</f>
        <v>JI002</v>
      </c>
      <c r="W931">
        <v>2</v>
      </c>
      <c r="X931" t="str">
        <f>_xlfn.XLOOKUP(Table1[[#This Row],[JobLevel]],Table12[JobLevel],Table12[Id_JobLevel])</f>
        <v>JL001</v>
      </c>
      <c r="Y931">
        <v>1</v>
      </c>
      <c r="Z931" t="str">
        <f>_xlfn.XLOOKUP(Table1[[#This Row],[JobRole]],Table13[JobRole],Table13[Id_JobRole])</f>
        <v>JR003</v>
      </c>
      <c r="AA931" t="s">
        <v>49</v>
      </c>
      <c r="AB931" t="str">
        <f>_xlfn.XLOOKUP(Table1[[#This Row],[JobSatisfaction]],Table14[JobSatisfaction],Table14[Id_JobSatisfaction])</f>
        <v>JS004</v>
      </c>
      <c r="AC931">
        <v>4</v>
      </c>
      <c r="AD931" t="str">
        <f>_xlfn.XLOOKUP(Table1[[#This Row],[JobSatisfaction]],Table14[JobSatisfaction],Table14[Deskripsi])</f>
        <v>Very High</v>
      </c>
      <c r="AE931" t="str">
        <f>_xlfn.XLOOKUP(Table1[[#This Row],[MaritalStatus]],Table15[MaritalStatus],Table15[Id_MaritalStatus])</f>
        <v>MS002</v>
      </c>
      <c r="AF931" t="s">
        <v>56</v>
      </c>
      <c r="AG931">
        <v>3867</v>
      </c>
      <c r="AH931">
        <v>14222</v>
      </c>
      <c r="AI931">
        <v>1</v>
      </c>
      <c r="AJ931" t="str">
        <f>_xlfn.XLOOKUP(Table1[[#This Row],[OverTime]],Table16[OverTime],Table16[Id_OverTime])</f>
        <v>OT001</v>
      </c>
      <c r="AK931" t="s">
        <v>32</v>
      </c>
      <c r="AL931">
        <v>12</v>
      </c>
      <c r="AM931" t="str">
        <f>_xlfn.XLOOKUP(Table1[[#This Row],[PerformanceRating]],Table17[PerformanceRating],Table17[Id_PerformanceRating])</f>
        <v>PR003</v>
      </c>
      <c r="AN931">
        <v>3</v>
      </c>
      <c r="AO931" t="str">
        <f>_xlfn.XLOOKUP(Table1[[#This Row],[PerformanceRating]],Table17[PerformanceRating],Table17[Deskripsi])</f>
        <v>Excellent</v>
      </c>
      <c r="AP931" t="str">
        <f>_xlfn.XLOOKUP(Table1[[#This Row],[RelationshipSatisfaction]],Table18[RelationshipSatisfaction],Table18[Id_RelationshipSatisfaction])</f>
        <v>RS002</v>
      </c>
      <c r="AQ931">
        <v>2</v>
      </c>
      <c r="AR931" t="str">
        <f>_xlfn.XLOOKUP(Table1[[#This Row],[RelationshipSatisfaction]],Table18[RelationshipSatisfaction],Table18[Deskripsi])</f>
        <v>Medium</v>
      </c>
      <c r="AS931" t="str">
        <f>_xlfn.XLOOKUP(Table1[[#This Row],[StockOptionLevel]],Table19[StockOptionLevel],Table19[Id_StockOptionLevel])</f>
        <v>SOL002</v>
      </c>
      <c r="AT931">
        <v>1</v>
      </c>
      <c r="AU931" t="str">
        <f>_xlfn.XLOOKUP(Table1[[#This Row],[StockOptionLevel]],Table19[StockOptionLevel],Table19[Deskripsi])</f>
        <v>Standard</v>
      </c>
      <c r="AV931">
        <v>2</v>
      </c>
      <c r="AW931">
        <v>2</v>
      </c>
      <c r="AX931" t="str">
        <f>_xlfn.XLOOKUP(Table1[[#This Row],[WorkLifeBalance]],Table20[WorkLifeBalance],Table20[Id_WorkLifeBalance])</f>
        <v>WLB002</v>
      </c>
      <c r="AY931">
        <v>3</v>
      </c>
      <c r="AZ931" t="str">
        <f>_xlfn.XLOOKUP(Table1[[#This Row],[WorkLifeBalance]],Table20[WorkLifeBalance],Table20[Deskripsi])</f>
        <v>Good</v>
      </c>
      <c r="BA931">
        <v>2</v>
      </c>
      <c r="BB931">
        <v>2</v>
      </c>
      <c r="BC931">
        <v>2</v>
      </c>
      <c r="BD931">
        <v>2</v>
      </c>
    </row>
    <row r="932" spans="1:56" x14ac:dyDescent="0.25">
      <c r="A932">
        <v>51</v>
      </c>
      <c r="B932" t="str">
        <f>_xlfn.XLOOKUP(Table1[[#This Row],[Attrition]],Table2[Attrition],Table2[Id_Attrition])</f>
        <v>A002</v>
      </c>
      <c r="C932" t="s">
        <v>33</v>
      </c>
      <c r="D932" t="str">
        <f>_xlfn.XLOOKUP(Table1[[#This Row],[BusinessTravel]],Table5[BusinessTravel],Table5[Id_BusinessTravel])</f>
        <v>BS002</v>
      </c>
      <c r="E932" t="s">
        <v>35</v>
      </c>
      <c r="F932">
        <v>968</v>
      </c>
      <c r="G932" t="str">
        <f>_xlfn.XLOOKUP(Table1[[#This Row],[Department]],Table6[Department],Table6[Id_Departement])</f>
        <v>D002</v>
      </c>
      <c r="H932" t="s">
        <v>38</v>
      </c>
      <c r="I932">
        <v>6</v>
      </c>
      <c r="J932" t="str">
        <f>_xlfn.XLOOKUP(Table1[[#This Row],[Education]],Table8[Education],Table8[Id_Education])</f>
        <v>E002</v>
      </c>
      <c r="K932">
        <v>2</v>
      </c>
      <c r="L932" t="str">
        <f>_xlfn.XLOOKUP(Table1[[#This Row],[EducationField]],Table7[EducationField],Table7[Id_EducationField])</f>
        <v>EF003</v>
      </c>
      <c r="M932" t="s">
        <v>42</v>
      </c>
      <c r="N932" t="str">
        <f>_xlfn.XLOOKUP(Table1[[#This Row],[EmployeeNumber]],Table4[EmployeeNumber],Table4[Id_Employee])</f>
        <v>EMP00931</v>
      </c>
      <c r="O932">
        <v>1297</v>
      </c>
      <c r="P932" t="str">
        <f>_xlfn.XLOOKUP(Table1[[#This Row],[EnvironmentSatisfaction]],Table9[EnvironmentSatisfaction],Table9[Id_EnviromentSatisfaction])</f>
        <v>ES002</v>
      </c>
      <c r="Q932">
        <v>2</v>
      </c>
      <c r="R932" t="str">
        <f>_xlfn.XLOOKUP(Table1[[#This Row],[EnvironmentSatisfaction]],Table9[EnvironmentSatisfaction],Table9[Deskripsi])</f>
        <v>Medium</v>
      </c>
      <c r="S932" t="str">
        <f>_xlfn.XLOOKUP(Table1[[#This Row],[Gender]],Table10[Gender],Table10[Id_Gender])</f>
        <v>G001</v>
      </c>
      <c r="T932" t="s">
        <v>45</v>
      </c>
      <c r="U932">
        <v>40</v>
      </c>
      <c r="V932" t="str">
        <f>_xlfn.XLOOKUP(Table1[[#This Row],[JobInvolvement]],Table11[JobInvolvement],Table11[Id_JobInvolvement])</f>
        <v>JI002</v>
      </c>
      <c r="W932">
        <v>2</v>
      </c>
      <c r="X932" t="str">
        <f>_xlfn.XLOOKUP(Table1[[#This Row],[JobLevel]],Table12[JobLevel],Table12[Id_JobLevel])</f>
        <v>JL001</v>
      </c>
      <c r="Y932">
        <v>1</v>
      </c>
      <c r="Z932" t="str">
        <f>_xlfn.XLOOKUP(Table1[[#This Row],[JobRole]],Table13[JobRole],Table13[Id_JobRole])</f>
        <v>JR003</v>
      </c>
      <c r="AA932" t="s">
        <v>49</v>
      </c>
      <c r="AB932" t="str">
        <f>_xlfn.XLOOKUP(Table1[[#This Row],[JobSatisfaction]],Table14[JobSatisfaction],Table14[Id_JobSatisfaction])</f>
        <v>JS003</v>
      </c>
      <c r="AC932">
        <v>3</v>
      </c>
      <c r="AD932" t="str">
        <f>_xlfn.XLOOKUP(Table1[[#This Row],[JobSatisfaction]],Table14[JobSatisfaction],Table14[Deskripsi])</f>
        <v>High</v>
      </c>
      <c r="AE932" t="str">
        <f>_xlfn.XLOOKUP(Table1[[#This Row],[MaritalStatus]],Table15[MaritalStatus],Table15[Id_MaritalStatus])</f>
        <v>MS001</v>
      </c>
      <c r="AF932" t="s">
        <v>55</v>
      </c>
      <c r="AG932">
        <v>2838</v>
      </c>
      <c r="AH932">
        <v>4257</v>
      </c>
      <c r="AI932">
        <v>0</v>
      </c>
      <c r="AJ932" t="str">
        <f>_xlfn.XLOOKUP(Table1[[#This Row],[OverTime]],Table16[OverTime],Table16[Id_OverTime])</f>
        <v>OT002</v>
      </c>
      <c r="AK932" t="s">
        <v>33</v>
      </c>
      <c r="AL932">
        <v>14</v>
      </c>
      <c r="AM932" t="str">
        <f>_xlfn.XLOOKUP(Table1[[#This Row],[PerformanceRating]],Table17[PerformanceRating],Table17[Id_PerformanceRating])</f>
        <v>PR003</v>
      </c>
      <c r="AN932">
        <v>3</v>
      </c>
      <c r="AO932" t="str">
        <f>_xlfn.XLOOKUP(Table1[[#This Row],[PerformanceRating]],Table17[PerformanceRating],Table17[Deskripsi])</f>
        <v>Excellent</v>
      </c>
      <c r="AP932" t="str">
        <f>_xlfn.XLOOKUP(Table1[[#This Row],[RelationshipSatisfaction]],Table18[RelationshipSatisfaction],Table18[Id_RelationshipSatisfaction])</f>
        <v>RS002</v>
      </c>
      <c r="AQ932">
        <v>2</v>
      </c>
      <c r="AR932" t="str">
        <f>_xlfn.XLOOKUP(Table1[[#This Row],[RelationshipSatisfaction]],Table18[RelationshipSatisfaction],Table18[Deskripsi])</f>
        <v>Medium</v>
      </c>
      <c r="AS932" t="str">
        <f>_xlfn.XLOOKUP(Table1[[#This Row],[StockOptionLevel]],Table19[StockOptionLevel],Table19[Id_StockOptionLevel])</f>
        <v>SOL001</v>
      </c>
      <c r="AT932">
        <v>0</v>
      </c>
      <c r="AU932" t="str">
        <f>_xlfn.XLOOKUP(Table1[[#This Row],[StockOptionLevel]],Table19[StockOptionLevel],Table19[Deskripsi])</f>
        <v>Non-Eligible</v>
      </c>
      <c r="AV932">
        <v>8</v>
      </c>
      <c r="AW932">
        <v>6</v>
      </c>
      <c r="AX932" t="str">
        <f>_xlfn.XLOOKUP(Table1[[#This Row],[WorkLifeBalance]],Table20[WorkLifeBalance],Table20[Id_WorkLifeBalance])</f>
        <v>WLB003</v>
      </c>
      <c r="AY932">
        <v>2</v>
      </c>
      <c r="AZ932" t="str">
        <f>_xlfn.XLOOKUP(Table1[[#This Row],[WorkLifeBalance]],Table20[WorkLifeBalance],Table20[Deskripsi])</f>
        <v>Better</v>
      </c>
      <c r="BA932">
        <v>7</v>
      </c>
      <c r="BB932">
        <v>0</v>
      </c>
      <c r="BC932">
        <v>7</v>
      </c>
      <c r="BD932">
        <v>7</v>
      </c>
    </row>
    <row r="933" spans="1:56" x14ac:dyDescent="0.25">
      <c r="A933">
        <v>30</v>
      </c>
      <c r="B933" t="str">
        <f>_xlfn.XLOOKUP(Table1[[#This Row],[Attrition]],Table2[Attrition],Table2[Id_Attrition])</f>
        <v>A002</v>
      </c>
      <c r="C933" t="s">
        <v>33</v>
      </c>
      <c r="D933" t="str">
        <f>_xlfn.XLOOKUP(Table1[[#This Row],[BusinessTravel]],Table5[BusinessTravel],Table5[Id_BusinessTravel])</f>
        <v>BS003</v>
      </c>
      <c r="E933" t="s">
        <v>36</v>
      </c>
      <c r="F933">
        <v>879</v>
      </c>
      <c r="G933" t="str">
        <f>_xlfn.XLOOKUP(Table1[[#This Row],[Department]],Table6[Department],Table6[Id_Departement])</f>
        <v>D002</v>
      </c>
      <c r="H933" t="s">
        <v>38</v>
      </c>
      <c r="I933">
        <v>9</v>
      </c>
      <c r="J933" t="str">
        <f>_xlfn.XLOOKUP(Table1[[#This Row],[Education]],Table8[Education],Table8[Id_Education])</f>
        <v>E002</v>
      </c>
      <c r="K933">
        <v>2</v>
      </c>
      <c r="L933" t="str">
        <f>_xlfn.XLOOKUP(Table1[[#This Row],[EducationField]],Table7[EducationField],Table7[Id_EducationField])</f>
        <v>EF003</v>
      </c>
      <c r="M933" t="s">
        <v>42</v>
      </c>
      <c r="N933" t="str">
        <f>_xlfn.XLOOKUP(Table1[[#This Row],[EmployeeNumber]],Table4[EmployeeNumber],Table4[Id_Employee])</f>
        <v>EMP00932</v>
      </c>
      <c r="O933">
        <v>1298</v>
      </c>
      <c r="P933" t="str">
        <f>_xlfn.XLOOKUP(Table1[[#This Row],[EnvironmentSatisfaction]],Table9[EnvironmentSatisfaction],Table9[Id_EnviromentSatisfaction])</f>
        <v>ES003</v>
      </c>
      <c r="Q933">
        <v>3</v>
      </c>
      <c r="R933" t="str">
        <f>_xlfn.XLOOKUP(Table1[[#This Row],[EnvironmentSatisfaction]],Table9[EnvironmentSatisfaction],Table9[Deskripsi])</f>
        <v>High</v>
      </c>
      <c r="S933" t="str">
        <f>_xlfn.XLOOKUP(Table1[[#This Row],[Gender]],Table10[Gender],Table10[Id_Gender])</f>
        <v>G001</v>
      </c>
      <c r="T933" t="s">
        <v>45</v>
      </c>
      <c r="U933">
        <v>72</v>
      </c>
      <c r="V933" t="str">
        <f>_xlfn.XLOOKUP(Table1[[#This Row],[JobInvolvement]],Table11[JobInvolvement],Table11[Id_JobInvolvement])</f>
        <v>JI003</v>
      </c>
      <c r="W933">
        <v>3</v>
      </c>
      <c r="X933" t="str">
        <f>_xlfn.XLOOKUP(Table1[[#This Row],[JobLevel]],Table12[JobLevel],Table12[Id_JobLevel])</f>
        <v>JL002</v>
      </c>
      <c r="Y933">
        <v>2</v>
      </c>
      <c r="Z933" t="str">
        <f>_xlfn.XLOOKUP(Table1[[#This Row],[JobRole]],Table13[JobRole],Table13[Id_JobRole])</f>
        <v>JR004</v>
      </c>
      <c r="AA933" t="s">
        <v>50</v>
      </c>
      <c r="AB933" t="str">
        <f>_xlfn.XLOOKUP(Table1[[#This Row],[JobSatisfaction]],Table14[JobSatisfaction],Table14[Id_JobSatisfaction])</f>
        <v>JS003</v>
      </c>
      <c r="AC933">
        <v>3</v>
      </c>
      <c r="AD933" t="str">
        <f>_xlfn.XLOOKUP(Table1[[#This Row],[JobSatisfaction]],Table14[JobSatisfaction],Table14[Deskripsi])</f>
        <v>High</v>
      </c>
      <c r="AE933" t="str">
        <f>_xlfn.XLOOKUP(Table1[[#This Row],[MaritalStatus]],Table15[MaritalStatus],Table15[Id_MaritalStatus])</f>
        <v>MS001</v>
      </c>
      <c r="AF933" t="s">
        <v>55</v>
      </c>
      <c r="AG933">
        <v>4695</v>
      </c>
      <c r="AH933">
        <v>12858</v>
      </c>
      <c r="AI933">
        <v>7</v>
      </c>
      <c r="AJ933" t="str">
        <f>_xlfn.XLOOKUP(Table1[[#This Row],[OverTime]],Table16[OverTime],Table16[Id_OverTime])</f>
        <v>OT001</v>
      </c>
      <c r="AK933" t="s">
        <v>32</v>
      </c>
      <c r="AL933">
        <v>18</v>
      </c>
      <c r="AM933" t="str">
        <f>_xlfn.XLOOKUP(Table1[[#This Row],[PerformanceRating]],Table17[PerformanceRating],Table17[Id_PerformanceRating])</f>
        <v>PR003</v>
      </c>
      <c r="AN933">
        <v>3</v>
      </c>
      <c r="AO933" t="str">
        <f>_xlfn.XLOOKUP(Table1[[#This Row],[PerformanceRating]],Table17[PerformanceRating],Table17[Deskripsi])</f>
        <v>Excellent</v>
      </c>
      <c r="AP933" t="str">
        <f>_xlfn.XLOOKUP(Table1[[#This Row],[RelationshipSatisfaction]],Table18[RelationshipSatisfaction],Table18[Id_RelationshipSatisfaction])</f>
        <v>RS003</v>
      </c>
      <c r="AQ933">
        <v>3</v>
      </c>
      <c r="AR933" t="str">
        <f>_xlfn.XLOOKUP(Table1[[#This Row],[RelationshipSatisfaction]],Table18[RelationshipSatisfaction],Table18[Deskripsi])</f>
        <v>High</v>
      </c>
      <c r="AS933" t="str">
        <f>_xlfn.XLOOKUP(Table1[[#This Row],[StockOptionLevel]],Table19[StockOptionLevel],Table19[Id_StockOptionLevel])</f>
        <v>SOL001</v>
      </c>
      <c r="AT933">
        <v>0</v>
      </c>
      <c r="AU933" t="str">
        <f>_xlfn.XLOOKUP(Table1[[#This Row],[StockOptionLevel]],Table19[StockOptionLevel],Table19[Deskripsi])</f>
        <v>Non-Eligible</v>
      </c>
      <c r="AV933">
        <v>10</v>
      </c>
      <c r="AW933">
        <v>3</v>
      </c>
      <c r="AX933" t="str">
        <f>_xlfn.XLOOKUP(Table1[[#This Row],[WorkLifeBalance]],Table20[WorkLifeBalance],Table20[Id_WorkLifeBalance])</f>
        <v>WLB002</v>
      </c>
      <c r="AY933">
        <v>3</v>
      </c>
      <c r="AZ933" t="str">
        <f>_xlfn.XLOOKUP(Table1[[#This Row],[WorkLifeBalance]],Table20[WorkLifeBalance],Table20[Deskripsi])</f>
        <v>Good</v>
      </c>
      <c r="BA933">
        <v>8</v>
      </c>
      <c r="BB933">
        <v>4</v>
      </c>
      <c r="BC933">
        <v>1</v>
      </c>
      <c r="BD933">
        <v>7</v>
      </c>
    </row>
    <row r="934" spans="1:56" x14ac:dyDescent="0.25">
      <c r="A934">
        <v>29</v>
      </c>
      <c r="B934" t="str">
        <f>_xlfn.XLOOKUP(Table1[[#This Row],[Attrition]],Table2[Attrition],Table2[Id_Attrition])</f>
        <v>A001</v>
      </c>
      <c r="C934" t="s">
        <v>32</v>
      </c>
      <c r="D934" t="str">
        <f>_xlfn.XLOOKUP(Table1[[#This Row],[BusinessTravel]],Table5[BusinessTravel],Table5[Id_BusinessTravel])</f>
        <v>BS001</v>
      </c>
      <c r="E934" t="s">
        <v>34</v>
      </c>
      <c r="F934">
        <v>806</v>
      </c>
      <c r="G934" t="str">
        <f>_xlfn.XLOOKUP(Table1[[#This Row],[Department]],Table6[Department],Table6[Id_Departement])</f>
        <v>D002</v>
      </c>
      <c r="H934" t="s">
        <v>38</v>
      </c>
      <c r="I934">
        <v>7</v>
      </c>
      <c r="J934" t="str">
        <f>_xlfn.XLOOKUP(Table1[[#This Row],[Education]],Table8[Education],Table8[Id_Education])</f>
        <v>E003</v>
      </c>
      <c r="K934">
        <v>3</v>
      </c>
      <c r="L934" t="str">
        <f>_xlfn.XLOOKUP(Table1[[#This Row],[EducationField]],Table7[EducationField],Table7[Id_EducationField])</f>
        <v>EF005</v>
      </c>
      <c r="M934" t="s">
        <v>44</v>
      </c>
      <c r="N934" t="str">
        <f>_xlfn.XLOOKUP(Table1[[#This Row],[EmployeeNumber]],Table4[EmployeeNumber],Table4[Id_Employee])</f>
        <v>EMP00933</v>
      </c>
      <c r="O934">
        <v>1299</v>
      </c>
      <c r="P934" t="str">
        <f>_xlfn.XLOOKUP(Table1[[#This Row],[EnvironmentSatisfaction]],Table9[EnvironmentSatisfaction],Table9[Id_EnviromentSatisfaction])</f>
        <v>ES002</v>
      </c>
      <c r="Q934">
        <v>2</v>
      </c>
      <c r="R934" t="str">
        <f>_xlfn.XLOOKUP(Table1[[#This Row],[EnvironmentSatisfaction]],Table9[EnvironmentSatisfaction],Table9[Deskripsi])</f>
        <v>Medium</v>
      </c>
      <c r="S934" t="str">
        <f>_xlfn.XLOOKUP(Table1[[#This Row],[Gender]],Table10[Gender],Table10[Id_Gender])</f>
        <v>G001</v>
      </c>
      <c r="T934" t="s">
        <v>45</v>
      </c>
      <c r="U934">
        <v>39</v>
      </c>
      <c r="V934" t="str">
        <f>_xlfn.XLOOKUP(Table1[[#This Row],[JobInvolvement]],Table11[JobInvolvement],Table11[Id_JobInvolvement])</f>
        <v>JI003</v>
      </c>
      <c r="W934">
        <v>3</v>
      </c>
      <c r="X934" t="str">
        <f>_xlfn.XLOOKUP(Table1[[#This Row],[JobLevel]],Table12[JobLevel],Table12[Id_JobLevel])</f>
        <v>JL001</v>
      </c>
      <c r="Y934">
        <v>1</v>
      </c>
      <c r="Z934" t="str">
        <f>_xlfn.XLOOKUP(Table1[[#This Row],[JobRole]],Table13[JobRole],Table13[Id_JobRole])</f>
        <v>JR003</v>
      </c>
      <c r="AA934" t="s">
        <v>49</v>
      </c>
      <c r="AB934" t="str">
        <f>_xlfn.XLOOKUP(Table1[[#This Row],[JobSatisfaction]],Table14[JobSatisfaction],Table14[Id_JobSatisfaction])</f>
        <v>JS003</v>
      </c>
      <c r="AC934">
        <v>3</v>
      </c>
      <c r="AD934" t="str">
        <f>_xlfn.XLOOKUP(Table1[[#This Row],[JobSatisfaction]],Table14[JobSatisfaction],Table14[Deskripsi])</f>
        <v>High</v>
      </c>
      <c r="AE934" t="str">
        <f>_xlfn.XLOOKUP(Table1[[#This Row],[MaritalStatus]],Table15[MaritalStatus],Table15[Id_MaritalStatus])</f>
        <v>MS003</v>
      </c>
      <c r="AF934" t="s">
        <v>57</v>
      </c>
      <c r="AG934">
        <v>3339</v>
      </c>
      <c r="AH934">
        <v>17285</v>
      </c>
      <c r="AI934">
        <v>3</v>
      </c>
      <c r="AJ934" t="str">
        <f>_xlfn.XLOOKUP(Table1[[#This Row],[OverTime]],Table16[OverTime],Table16[Id_OverTime])</f>
        <v>OT001</v>
      </c>
      <c r="AK934" t="s">
        <v>32</v>
      </c>
      <c r="AL934">
        <v>13</v>
      </c>
      <c r="AM934" t="str">
        <f>_xlfn.XLOOKUP(Table1[[#This Row],[PerformanceRating]],Table17[PerformanceRating],Table17[Id_PerformanceRating])</f>
        <v>PR003</v>
      </c>
      <c r="AN934">
        <v>3</v>
      </c>
      <c r="AO934" t="str">
        <f>_xlfn.XLOOKUP(Table1[[#This Row],[PerformanceRating]],Table17[PerformanceRating],Table17[Deskripsi])</f>
        <v>Excellent</v>
      </c>
      <c r="AP934" t="str">
        <f>_xlfn.XLOOKUP(Table1[[#This Row],[RelationshipSatisfaction]],Table18[RelationshipSatisfaction],Table18[Id_RelationshipSatisfaction])</f>
        <v>RS001</v>
      </c>
      <c r="AQ934">
        <v>1</v>
      </c>
      <c r="AR934" t="str">
        <f>_xlfn.XLOOKUP(Table1[[#This Row],[RelationshipSatisfaction]],Table18[RelationshipSatisfaction],Table18[Deskripsi])</f>
        <v>Low</v>
      </c>
      <c r="AS934" t="str">
        <f>_xlfn.XLOOKUP(Table1[[#This Row],[StockOptionLevel]],Table19[StockOptionLevel],Table19[Id_StockOptionLevel])</f>
        <v>SOL003</v>
      </c>
      <c r="AT934">
        <v>2</v>
      </c>
      <c r="AU934" t="str">
        <f>_xlfn.XLOOKUP(Table1[[#This Row],[StockOptionLevel]],Table19[StockOptionLevel],Table19[Deskripsi])</f>
        <v>Intermediate</v>
      </c>
      <c r="AV934">
        <v>10</v>
      </c>
      <c r="AW934">
        <v>2</v>
      </c>
      <c r="AX934" t="str">
        <f>_xlfn.XLOOKUP(Table1[[#This Row],[WorkLifeBalance]],Table20[WorkLifeBalance],Table20[Id_WorkLifeBalance])</f>
        <v>WLB002</v>
      </c>
      <c r="AY934">
        <v>3</v>
      </c>
      <c r="AZ934" t="str">
        <f>_xlfn.XLOOKUP(Table1[[#This Row],[WorkLifeBalance]],Table20[WorkLifeBalance],Table20[Deskripsi])</f>
        <v>Good</v>
      </c>
      <c r="BA934">
        <v>7</v>
      </c>
      <c r="BB934">
        <v>7</v>
      </c>
      <c r="BC934">
        <v>7</v>
      </c>
      <c r="BD934">
        <v>7</v>
      </c>
    </row>
    <row r="935" spans="1:56" x14ac:dyDescent="0.25">
      <c r="A935">
        <v>28</v>
      </c>
      <c r="B935" t="str">
        <f>_xlfn.XLOOKUP(Table1[[#This Row],[Attrition]],Table2[Attrition],Table2[Id_Attrition])</f>
        <v>A002</v>
      </c>
      <c r="C935" t="s">
        <v>33</v>
      </c>
      <c r="D935" t="str">
        <f>_xlfn.XLOOKUP(Table1[[#This Row],[BusinessTravel]],Table5[BusinessTravel],Table5[Id_BusinessTravel])</f>
        <v>BS001</v>
      </c>
      <c r="E935" t="s">
        <v>34</v>
      </c>
      <c r="F935">
        <v>640</v>
      </c>
      <c r="G935" t="str">
        <f>_xlfn.XLOOKUP(Table1[[#This Row],[Department]],Table6[Department],Table6[Id_Departement])</f>
        <v>D002</v>
      </c>
      <c r="H935" t="s">
        <v>38</v>
      </c>
      <c r="I935">
        <v>1</v>
      </c>
      <c r="J935" t="str">
        <f>_xlfn.XLOOKUP(Table1[[#This Row],[Education]],Table8[Education],Table8[Id_Education])</f>
        <v>E003</v>
      </c>
      <c r="K935">
        <v>3</v>
      </c>
      <c r="L935" t="str">
        <f>_xlfn.XLOOKUP(Table1[[#This Row],[EducationField]],Table7[EducationField],Table7[Id_EducationField])</f>
        <v>EF005</v>
      </c>
      <c r="M935" t="s">
        <v>44</v>
      </c>
      <c r="N935" t="str">
        <f>_xlfn.XLOOKUP(Table1[[#This Row],[EmployeeNumber]],Table4[EmployeeNumber],Table4[Id_Employee])</f>
        <v>EMP00934</v>
      </c>
      <c r="O935">
        <v>1301</v>
      </c>
      <c r="P935" t="str">
        <f>_xlfn.XLOOKUP(Table1[[#This Row],[EnvironmentSatisfaction]],Table9[EnvironmentSatisfaction],Table9[Id_EnviromentSatisfaction])</f>
        <v>ES004</v>
      </c>
      <c r="Q935">
        <v>4</v>
      </c>
      <c r="R935" t="str">
        <f>_xlfn.XLOOKUP(Table1[[#This Row],[EnvironmentSatisfaction]],Table9[EnvironmentSatisfaction],Table9[Deskripsi])</f>
        <v>Very High</v>
      </c>
      <c r="S935" t="str">
        <f>_xlfn.XLOOKUP(Table1[[#This Row],[Gender]],Table10[Gender],Table10[Id_Gender])</f>
        <v>G002</v>
      </c>
      <c r="T935" t="s">
        <v>46</v>
      </c>
      <c r="U935">
        <v>84</v>
      </c>
      <c r="V935" t="str">
        <f>_xlfn.XLOOKUP(Table1[[#This Row],[JobInvolvement]],Table11[JobInvolvement],Table11[Id_JobInvolvement])</f>
        <v>JI003</v>
      </c>
      <c r="W935">
        <v>3</v>
      </c>
      <c r="X935" t="str">
        <f>_xlfn.XLOOKUP(Table1[[#This Row],[JobLevel]],Table12[JobLevel],Table12[Id_JobLevel])</f>
        <v>JL001</v>
      </c>
      <c r="Y935">
        <v>1</v>
      </c>
      <c r="Z935" t="str">
        <f>_xlfn.XLOOKUP(Table1[[#This Row],[JobRole]],Table13[JobRole],Table13[Id_JobRole])</f>
        <v>JR002</v>
      </c>
      <c r="AA935" t="s">
        <v>48</v>
      </c>
      <c r="AB935" t="str">
        <f>_xlfn.XLOOKUP(Table1[[#This Row],[JobSatisfaction]],Table14[JobSatisfaction],Table14[Id_JobSatisfaction])</f>
        <v>JS001</v>
      </c>
      <c r="AC935">
        <v>1</v>
      </c>
      <c r="AD935" t="str">
        <f>_xlfn.XLOOKUP(Table1[[#This Row],[JobSatisfaction]],Table14[JobSatisfaction],Table14[Deskripsi])</f>
        <v>Low</v>
      </c>
      <c r="AE935" t="str">
        <f>_xlfn.XLOOKUP(Table1[[#This Row],[MaritalStatus]],Table15[MaritalStatus],Table15[Id_MaritalStatus])</f>
        <v>MS001</v>
      </c>
      <c r="AF935" t="s">
        <v>55</v>
      </c>
      <c r="AG935">
        <v>2080</v>
      </c>
      <c r="AH935">
        <v>4732</v>
      </c>
      <c r="AI935">
        <v>2</v>
      </c>
      <c r="AJ935" t="str">
        <f>_xlfn.XLOOKUP(Table1[[#This Row],[OverTime]],Table16[OverTime],Table16[Id_OverTime])</f>
        <v>OT002</v>
      </c>
      <c r="AK935" t="s">
        <v>33</v>
      </c>
      <c r="AL935">
        <v>11</v>
      </c>
      <c r="AM935" t="str">
        <f>_xlfn.XLOOKUP(Table1[[#This Row],[PerformanceRating]],Table17[PerformanceRating],Table17[Id_PerformanceRating])</f>
        <v>PR003</v>
      </c>
      <c r="AN935">
        <v>3</v>
      </c>
      <c r="AO935" t="str">
        <f>_xlfn.XLOOKUP(Table1[[#This Row],[PerformanceRating]],Table17[PerformanceRating],Table17[Deskripsi])</f>
        <v>Excellent</v>
      </c>
      <c r="AP935" t="str">
        <f>_xlfn.XLOOKUP(Table1[[#This Row],[RelationshipSatisfaction]],Table18[RelationshipSatisfaction],Table18[Id_RelationshipSatisfaction])</f>
        <v>RS002</v>
      </c>
      <c r="AQ935">
        <v>2</v>
      </c>
      <c r="AR935" t="str">
        <f>_xlfn.XLOOKUP(Table1[[#This Row],[RelationshipSatisfaction]],Table18[RelationshipSatisfaction],Table18[Deskripsi])</f>
        <v>Medium</v>
      </c>
      <c r="AS935" t="str">
        <f>_xlfn.XLOOKUP(Table1[[#This Row],[StockOptionLevel]],Table19[StockOptionLevel],Table19[Id_StockOptionLevel])</f>
        <v>SOL001</v>
      </c>
      <c r="AT935">
        <v>0</v>
      </c>
      <c r="AU935" t="str">
        <f>_xlfn.XLOOKUP(Table1[[#This Row],[StockOptionLevel]],Table19[StockOptionLevel],Table19[Deskripsi])</f>
        <v>Non-Eligible</v>
      </c>
      <c r="AV935">
        <v>5</v>
      </c>
      <c r="AW935">
        <v>2</v>
      </c>
      <c r="AX935" t="str">
        <f>_xlfn.XLOOKUP(Table1[[#This Row],[WorkLifeBalance]],Table20[WorkLifeBalance],Table20[Id_WorkLifeBalance])</f>
        <v>WLB003</v>
      </c>
      <c r="AY935">
        <v>2</v>
      </c>
      <c r="AZ935" t="str">
        <f>_xlfn.XLOOKUP(Table1[[#This Row],[WorkLifeBalance]],Table20[WorkLifeBalance],Table20[Deskripsi])</f>
        <v>Better</v>
      </c>
      <c r="BA935">
        <v>3</v>
      </c>
      <c r="BB935">
        <v>2</v>
      </c>
      <c r="BC935">
        <v>1</v>
      </c>
      <c r="BD935">
        <v>2</v>
      </c>
    </row>
    <row r="936" spans="1:56" x14ac:dyDescent="0.25">
      <c r="A936">
        <v>25</v>
      </c>
      <c r="B936" t="str">
        <f>_xlfn.XLOOKUP(Table1[[#This Row],[Attrition]],Table2[Attrition],Table2[Id_Attrition])</f>
        <v>A002</v>
      </c>
      <c r="C936" t="s">
        <v>33</v>
      </c>
      <c r="D936" t="str">
        <f>_xlfn.XLOOKUP(Table1[[#This Row],[BusinessTravel]],Table5[BusinessTravel],Table5[Id_BusinessTravel])</f>
        <v>BS001</v>
      </c>
      <c r="E936" t="s">
        <v>34</v>
      </c>
      <c r="F936">
        <v>266</v>
      </c>
      <c r="G936" t="str">
        <f>_xlfn.XLOOKUP(Table1[[#This Row],[Department]],Table6[Department],Table6[Id_Departement])</f>
        <v>D002</v>
      </c>
      <c r="H936" t="s">
        <v>38</v>
      </c>
      <c r="I936">
        <v>1</v>
      </c>
      <c r="J936" t="str">
        <f>_xlfn.XLOOKUP(Table1[[#This Row],[Education]],Table8[Education],Table8[Id_Education])</f>
        <v>E003</v>
      </c>
      <c r="K936">
        <v>3</v>
      </c>
      <c r="L936" t="str">
        <f>_xlfn.XLOOKUP(Table1[[#This Row],[EducationField]],Table7[EducationField],Table7[Id_EducationField])</f>
        <v>EF003</v>
      </c>
      <c r="M936" t="s">
        <v>42</v>
      </c>
      <c r="N936" t="str">
        <f>_xlfn.XLOOKUP(Table1[[#This Row],[EmployeeNumber]],Table4[EmployeeNumber],Table4[Id_Employee])</f>
        <v>EMP00935</v>
      </c>
      <c r="O936">
        <v>1303</v>
      </c>
      <c r="P936" t="str">
        <f>_xlfn.XLOOKUP(Table1[[#This Row],[EnvironmentSatisfaction]],Table9[EnvironmentSatisfaction],Table9[Id_EnviromentSatisfaction])</f>
        <v>ES004</v>
      </c>
      <c r="Q936">
        <v>4</v>
      </c>
      <c r="R936" t="str">
        <f>_xlfn.XLOOKUP(Table1[[#This Row],[EnvironmentSatisfaction]],Table9[EnvironmentSatisfaction],Table9[Deskripsi])</f>
        <v>Very High</v>
      </c>
      <c r="S936" t="str">
        <f>_xlfn.XLOOKUP(Table1[[#This Row],[Gender]],Table10[Gender],Table10[Id_Gender])</f>
        <v>G001</v>
      </c>
      <c r="T936" t="s">
        <v>45</v>
      </c>
      <c r="U936">
        <v>40</v>
      </c>
      <c r="V936" t="str">
        <f>_xlfn.XLOOKUP(Table1[[#This Row],[JobInvolvement]],Table11[JobInvolvement],Table11[Id_JobInvolvement])</f>
        <v>JI003</v>
      </c>
      <c r="W936">
        <v>3</v>
      </c>
      <c r="X936" t="str">
        <f>_xlfn.XLOOKUP(Table1[[#This Row],[JobLevel]],Table12[JobLevel],Table12[Id_JobLevel])</f>
        <v>JL001</v>
      </c>
      <c r="Y936">
        <v>1</v>
      </c>
      <c r="Z936" t="str">
        <f>_xlfn.XLOOKUP(Table1[[#This Row],[JobRole]],Table13[JobRole],Table13[Id_JobRole])</f>
        <v>JR002</v>
      </c>
      <c r="AA936" t="s">
        <v>48</v>
      </c>
      <c r="AB936" t="str">
        <f>_xlfn.XLOOKUP(Table1[[#This Row],[JobSatisfaction]],Table14[JobSatisfaction],Table14[Id_JobSatisfaction])</f>
        <v>JS002</v>
      </c>
      <c r="AC936">
        <v>2</v>
      </c>
      <c r="AD936" t="str">
        <f>_xlfn.XLOOKUP(Table1[[#This Row],[JobSatisfaction]],Table14[JobSatisfaction],Table14[Deskripsi])</f>
        <v>Medium</v>
      </c>
      <c r="AE936" t="str">
        <f>_xlfn.XLOOKUP(Table1[[#This Row],[MaritalStatus]],Table15[MaritalStatus],Table15[Id_MaritalStatus])</f>
        <v>MS001</v>
      </c>
      <c r="AF936" t="s">
        <v>55</v>
      </c>
      <c r="AG936">
        <v>2096</v>
      </c>
      <c r="AH936">
        <v>18830</v>
      </c>
      <c r="AI936">
        <v>1</v>
      </c>
      <c r="AJ936" t="str">
        <f>_xlfn.XLOOKUP(Table1[[#This Row],[OverTime]],Table16[OverTime],Table16[Id_OverTime])</f>
        <v>OT002</v>
      </c>
      <c r="AK936" t="s">
        <v>33</v>
      </c>
      <c r="AL936">
        <v>18</v>
      </c>
      <c r="AM936" t="str">
        <f>_xlfn.XLOOKUP(Table1[[#This Row],[PerformanceRating]],Table17[PerformanceRating],Table17[Id_PerformanceRating])</f>
        <v>PR003</v>
      </c>
      <c r="AN936">
        <v>3</v>
      </c>
      <c r="AO936" t="str">
        <f>_xlfn.XLOOKUP(Table1[[#This Row],[PerformanceRating]],Table17[PerformanceRating],Table17[Deskripsi])</f>
        <v>Excellent</v>
      </c>
      <c r="AP936" t="str">
        <f>_xlfn.XLOOKUP(Table1[[#This Row],[RelationshipSatisfaction]],Table18[RelationshipSatisfaction],Table18[Id_RelationshipSatisfaction])</f>
        <v>RS004</v>
      </c>
      <c r="AQ936">
        <v>4</v>
      </c>
      <c r="AR936" t="str">
        <f>_xlfn.XLOOKUP(Table1[[#This Row],[RelationshipSatisfaction]],Table18[RelationshipSatisfaction],Table18[Deskripsi])</f>
        <v>Very High</v>
      </c>
      <c r="AS936" t="str">
        <f>_xlfn.XLOOKUP(Table1[[#This Row],[StockOptionLevel]],Table19[StockOptionLevel],Table19[Id_StockOptionLevel])</f>
        <v>SOL001</v>
      </c>
      <c r="AT936">
        <v>0</v>
      </c>
      <c r="AU936" t="str">
        <f>_xlfn.XLOOKUP(Table1[[#This Row],[StockOptionLevel]],Table19[StockOptionLevel],Table19[Deskripsi])</f>
        <v>Non-Eligible</v>
      </c>
      <c r="AV936">
        <v>2</v>
      </c>
      <c r="AW936">
        <v>3</v>
      </c>
      <c r="AX936" t="str">
        <f>_xlfn.XLOOKUP(Table1[[#This Row],[WorkLifeBalance]],Table20[WorkLifeBalance],Table20[Id_WorkLifeBalance])</f>
        <v>WLB003</v>
      </c>
      <c r="AY936">
        <v>2</v>
      </c>
      <c r="AZ936" t="str">
        <f>_xlfn.XLOOKUP(Table1[[#This Row],[WorkLifeBalance]],Table20[WorkLifeBalance],Table20[Deskripsi])</f>
        <v>Better</v>
      </c>
      <c r="BA936">
        <v>2</v>
      </c>
      <c r="BB936">
        <v>2</v>
      </c>
      <c r="BC936">
        <v>2</v>
      </c>
      <c r="BD936">
        <v>1</v>
      </c>
    </row>
    <row r="937" spans="1:56" x14ac:dyDescent="0.25">
      <c r="A937">
        <v>32</v>
      </c>
      <c r="B937" t="str">
        <f>_xlfn.XLOOKUP(Table1[[#This Row],[Attrition]],Table2[Attrition],Table2[Id_Attrition])</f>
        <v>A002</v>
      </c>
      <c r="C937" t="s">
        <v>33</v>
      </c>
      <c r="D937" t="str">
        <f>_xlfn.XLOOKUP(Table1[[#This Row],[BusinessTravel]],Table5[BusinessTravel],Table5[Id_BusinessTravel])</f>
        <v>BS001</v>
      </c>
      <c r="E937" t="s">
        <v>34</v>
      </c>
      <c r="F937">
        <v>604</v>
      </c>
      <c r="G937" t="str">
        <f>_xlfn.XLOOKUP(Table1[[#This Row],[Department]],Table6[Department],Table6[Id_Departement])</f>
        <v>D001</v>
      </c>
      <c r="H937" t="s">
        <v>37</v>
      </c>
      <c r="I937">
        <v>8</v>
      </c>
      <c r="J937" t="str">
        <f>_xlfn.XLOOKUP(Table1[[#This Row],[Education]],Table8[Education],Table8[Id_Education])</f>
        <v>E003</v>
      </c>
      <c r="K937">
        <v>3</v>
      </c>
      <c r="L937" t="str">
        <f>_xlfn.XLOOKUP(Table1[[#This Row],[EducationField]],Table7[EducationField],Table7[Id_EducationField])</f>
        <v>EF003</v>
      </c>
      <c r="M937" t="s">
        <v>42</v>
      </c>
      <c r="N937" t="str">
        <f>_xlfn.XLOOKUP(Table1[[#This Row],[EmployeeNumber]],Table4[EmployeeNumber],Table4[Id_Employee])</f>
        <v>EMP00936</v>
      </c>
      <c r="O937">
        <v>1304</v>
      </c>
      <c r="P937" t="str">
        <f>_xlfn.XLOOKUP(Table1[[#This Row],[EnvironmentSatisfaction]],Table9[EnvironmentSatisfaction],Table9[Id_EnviromentSatisfaction])</f>
        <v>ES003</v>
      </c>
      <c r="Q937">
        <v>3</v>
      </c>
      <c r="R937" t="str">
        <f>_xlfn.XLOOKUP(Table1[[#This Row],[EnvironmentSatisfaction]],Table9[EnvironmentSatisfaction],Table9[Deskripsi])</f>
        <v>High</v>
      </c>
      <c r="S937" t="str">
        <f>_xlfn.XLOOKUP(Table1[[#This Row],[Gender]],Table10[Gender],Table10[Id_Gender])</f>
        <v>G002</v>
      </c>
      <c r="T937" t="s">
        <v>46</v>
      </c>
      <c r="U937">
        <v>56</v>
      </c>
      <c r="V937" t="str">
        <f>_xlfn.XLOOKUP(Table1[[#This Row],[JobInvolvement]],Table11[JobInvolvement],Table11[Id_JobInvolvement])</f>
        <v>JI004</v>
      </c>
      <c r="W937">
        <v>4</v>
      </c>
      <c r="X937" t="str">
        <f>_xlfn.XLOOKUP(Table1[[#This Row],[JobLevel]],Table12[JobLevel],Table12[Id_JobLevel])</f>
        <v>JL002</v>
      </c>
      <c r="Y937">
        <v>2</v>
      </c>
      <c r="Z937" t="str">
        <f>_xlfn.XLOOKUP(Table1[[#This Row],[JobRole]],Table13[JobRole],Table13[Id_JobRole])</f>
        <v>JR001</v>
      </c>
      <c r="AA937" t="s">
        <v>47</v>
      </c>
      <c r="AB937" t="str">
        <f>_xlfn.XLOOKUP(Table1[[#This Row],[JobSatisfaction]],Table14[JobSatisfaction],Table14[Id_JobSatisfaction])</f>
        <v>JS004</v>
      </c>
      <c r="AC937">
        <v>4</v>
      </c>
      <c r="AD937" t="str">
        <f>_xlfn.XLOOKUP(Table1[[#This Row],[JobSatisfaction]],Table14[JobSatisfaction],Table14[Deskripsi])</f>
        <v>Very High</v>
      </c>
      <c r="AE937" t="str">
        <f>_xlfn.XLOOKUP(Table1[[#This Row],[MaritalStatus]],Table15[MaritalStatus],Table15[Id_MaritalStatus])</f>
        <v>MS002</v>
      </c>
      <c r="AF937" t="s">
        <v>56</v>
      </c>
      <c r="AG937">
        <v>6209</v>
      </c>
      <c r="AH937">
        <v>11693</v>
      </c>
      <c r="AI937">
        <v>1</v>
      </c>
      <c r="AJ937" t="str">
        <f>_xlfn.XLOOKUP(Table1[[#This Row],[OverTime]],Table16[OverTime],Table16[Id_OverTime])</f>
        <v>OT002</v>
      </c>
      <c r="AK937" t="s">
        <v>33</v>
      </c>
      <c r="AL937">
        <v>15</v>
      </c>
      <c r="AM937" t="str">
        <f>_xlfn.XLOOKUP(Table1[[#This Row],[PerformanceRating]],Table17[PerformanceRating],Table17[Id_PerformanceRating])</f>
        <v>PR003</v>
      </c>
      <c r="AN937">
        <v>3</v>
      </c>
      <c r="AO937" t="str">
        <f>_xlfn.XLOOKUP(Table1[[#This Row],[PerformanceRating]],Table17[PerformanceRating],Table17[Deskripsi])</f>
        <v>Excellent</v>
      </c>
      <c r="AP937" t="str">
        <f>_xlfn.XLOOKUP(Table1[[#This Row],[RelationshipSatisfaction]],Table18[RelationshipSatisfaction],Table18[Id_RelationshipSatisfaction])</f>
        <v>RS003</v>
      </c>
      <c r="AQ937">
        <v>3</v>
      </c>
      <c r="AR937" t="str">
        <f>_xlfn.XLOOKUP(Table1[[#This Row],[RelationshipSatisfaction]],Table18[RelationshipSatisfaction],Table18[Deskripsi])</f>
        <v>High</v>
      </c>
      <c r="AS937" t="str">
        <f>_xlfn.XLOOKUP(Table1[[#This Row],[StockOptionLevel]],Table19[StockOptionLevel],Table19[Id_StockOptionLevel])</f>
        <v>SOL003</v>
      </c>
      <c r="AT937">
        <v>2</v>
      </c>
      <c r="AU937" t="str">
        <f>_xlfn.XLOOKUP(Table1[[#This Row],[StockOptionLevel]],Table19[StockOptionLevel],Table19[Deskripsi])</f>
        <v>Intermediate</v>
      </c>
      <c r="AV937">
        <v>10</v>
      </c>
      <c r="AW937">
        <v>4</v>
      </c>
      <c r="AX937" t="str">
        <f>_xlfn.XLOOKUP(Table1[[#This Row],[WorkLifeBalance]],Table20[WorkLifeBalance],Table20[Id_WorkLifeBalance])</f>
        <v>WLB004</v>
      </c>
      <c r="AY937">
        <v>4</v>
      </c>
      <c r="AZ937" t="str">
        <f>_xlfn.XLOOKUP(Table1[[#This Row],[WorkLifeBalance]],Table20[WorkLifeBalance],Table20[Deskripsi])</f>
        <v>Best</v>
      </c>
      <c r="BA937">
        <v>10</v>
      </c>
      <c r="BB937">
        <v>7</v>
      </c>
      <c r="BC937">
        <v>0</v>
      </c>
      <c r="BD937">
        <v>8</v>
      </c>
    </row>
    <row r="938" spans="1:56" x14ac:dyDescent="0.25">
      <c r="A938">
        <v>45</v>
      </c>
      <c r="B938" t="str">
        <f>_xlfn.XLOOKUP(Table1[[#This Row],[Attrition]],Table2[Attrition],Table2[Id_Attrition])</f>
        <v>A002</v>
      </c>
      <c r="C938" t="s">
        <v>33</v>
      </c>
      <c r="D938" t="str">
        <f>_xlfn.XLOOKUP(Table1[[#This Row],[BusinessTravel]],Table5[BusinessTravel],Table5[Id_BusinessTravel])</f>
        <v>BS002</v>
      </c>
      <c r="E938" t="s">
        <v>35</v>
      </c>
      <c r="F938">
        <v>364</v>
      </c>
      <c r="G938" t="str">
        <f>_xlfn.XLOOKUP(Table1[[#This Row],[Department]],Table6[Department],Table6[Id_Departement])</f>
        <v>D002</v>
      </c>
      <c r="H938" t="s">
        <v>38</v>
      </c>
      <c r="I938">
        <v>25</v>
      </c>
      <c r="J938" t="str">
        <f>_xlfn.XLOOKUP(Table1[[#This Row],[Education]],Table8[Education],Table8[Id_Education])</f>
        <v>E003</v>
      </c>
      <c r="K938">
        <v>3</v>
      </c>
      <c r="L938" t="str">
        <f>_xlfn.XLOOKUP(Table1[[#This Row],[EducationField]],Table7[EducationField],Table7[Id_EducationField])</f>
        <v>EF003</v>
      </c>
      <c r="M938" t="s">
        <v>42</v>
      </c>
      <c r="N938" t="str">
        <f>_xlfn.XLOOKUP(Table1[[#This Row],[EmployeeNumber]],Table4[EmployeeNumber],Table4[Id_Employee])</f>
        <v>EMP00937</v>
      </c>
      <c r="O938">
        <v>1306</v>
      </c>
      <c r="P938" t="str">
        <f>_xlfn.XLOOKUP(Table1[[#This Row],[EnvironmentSatisfaction]],Table9[EnvironmentSatisfaction],Table9[Id_EnviromentSatisfaction])</f>
        <v>ES002</v>
      </c>
      <c r="Q938">
        <v>2</v>
      </c>
      <c r="R938" t="str">
        <f>_xlfn.XLOOKUP(Table1[[#This Row],[EnvironmentSatisfaction]],Table9[EnvironmentSatisfaction],Table9[Deskripsi])</f>
        <v>Medium</v>
      </c>
      <c r="S938" t="str">
        <f>_xlfn.XLOOKUP(Table1[[#This Row],[Gender]],Table10[Gender],Table10[Id_Gender])</f>
        <v>G001</v>
      </c>
      <c r="T938" t="s">
        <v>45</v>
      </c>
      <c r="U938">
        <v>83</v>
      </c>
      <c r="V938" t="str">
        <f>_xlfn.XLOOKUP(Table1[[#This Row],[JobInvolvement]],Table11[JobInvolvement],Table11[Id_JobInvolvement])</f>
        <v>JI003</v>
      </c>
      <c r="W938">
        <v>3</v>
      </c>
      <c r="X938" t="str">
        <f>_xlfn.XLOOKUP(Table1[[#This Row],[JobLevel]],Table12[JobLevel],Table12[Id_JobLevel])</f>
        <v>JL005</v>
      </c>
      <c r="Y938">
        <v>5</v>
      </c>
      <c r="Z938" t="str">
        <f>_xlfn.XLOOKUP(Table1[[#This Row],[JobRole]],Table13[JobRole],Table13[Id_JobRole])</f>
        <v>JR006</v>
      </c>
      <c r="AA938" t="s">
        <v>52</v>
      </c>
      <c r="AB938" t="str">
        <f>_xlfn.XLOOKUP(Table1[[#This Row],[JobSatisfaction]],Table14[JobSatisfaction],Table14[Id_JobSatisfaction])</f>
        <v>JS002</v>
      </c>
      <c r="AC938">
        <v>2</v>
      </c>
      <c r="AD938" t="str">
        <f>_xlfn.XLOOKUP(Table1[[#This Row],[JobSatisfaction]],Table14[JobSatisfaction],Table14[Deskripsi])</f>
        <v>Medium</v>
      </c>
      <c r="AE938" t="str">
        <f>_xlfn.XLOOKUP(Table1[[#This Row],[MaritalStatus]],Table15[MaritalStatus],Table15[Id_MaritalStatus])</f>
        <v>MS001</v>
      </c>
      <c r="AF938" t="s">
        <v>55</v>
      </c>
      <c r="AG938">
        <v>18061</v>
      </c>
      <c r="AH938">
        <v>13035</v>
      </c>
      <c r="AI938">
        <v>3</v>
      </c>
      <c r="AJ938" t="str">
        <f>_xlfn.XLOOKUP(Table1[[#This Row],[OverTime]],Table16[OverTime],Table16[Id_OverTime])</f>
        <v>OT002</v>
      </c>
      <c r="AK938" t="s">
        <v>33</v>
      </c>
      <c r="AL938">
        <v>22</v>
      </c>
      <c r="AM938" t="str">
        <f>_xlfn.XLOOKUP(Table1[[#This Row],[PerformanceRating]],Table17[PerformanceRating],Table17[Id_PerformanceRating])</f>
        <v>PR004</v>
      </c>
      <c r="AN938">
        <v>4</v>
      </c>
      <c r="AO938" t="str">
        <f>_xlfn.XLOOKUP(Table1[[#This Row],[PerformanceRating]],Table17[PerformanceRating],Table17[Deskripsi])</f>
        <v>Outstanding</v>
      </c>
      <c r="AP938" t="str">
        <f>_xlfn.XLOOKUP(Table1[[#This Row],[RelationshipSatisfaction]],Table18[RelationshipSatisfaction],Table18[Id_RelationshipSatisfaction])</f>
        <v>RS003</v>
      </c>
      <c r="AQ938">
        <v>3</v>
      </c>
      <c r="AR938" t="str">
        <f>_xlfn.XLOOKUP(Table1[[#This Row],[RelationshipSatisfaction]],Table18[RelationshipSatisfaction],Table18[Deskripsi])</f>
        <v>High</v>
      </c>
      <c r="AS938" t="str">
        <f>_xlfn.XLOOKUP(Table1[[#This Row],[StockOptionLevel]],Table19[StockOptionLevel],Table19[Id_StockOptionLevel])</f>
        <v>SOL001</v>
      </c>
      <c r="AT938">
        <v>0</v>
      </c>
      <c r="AU938" t="str">
        <f>_xlfn.XLOOKUP(Table1[[#This Row],[StockOptionLevel]],Table19[StockOptionLevel],Table19[Deskripsi])</f>
        <v>Non-Eligible</v>
      </c>
      <c r="AV938">
        <v>22</v>
      </c>
      <c r="AW938">
        <v>4</v>
      </c>
      <c r="AX938" t="str">
        <f>_xlfn.XLOOKUP(Table1[[#This Row],[WorkLifeBalance]],Table20[WorkLifeBalance],Table20[Id_WorkLifeBalance])</f>
        <v>WLB002</v>
      </c>
      <c r="AY938">
        <v>3</v>
      </c>
      <c r="AZ938" t="str">
        <f>_xlfn.XLOOKUP(Table1[[#This Row],[WorkLifeBalance]],Table20[WorkLifeBalance],Table20[Deskripsi])</f>
        <v>Good</v>
      </c>
      <c r="BA938">
        <v>0</v>
      </c>
      <c r="BB938">
        <v>0</v>
      </c>
      <c r="BC938">
        <v>0</v>
      </c>
      <c r="BD938">
        <v>0</v>
      </c>
    </row>
    <row r="939" spans="1:56" x14ac:dyDescent="0.25">
      <c r="A939">
        <v>39</v>
      </c>
      <c r="B939" t="str">
        <f>_xlfn.XLOOKUP(Table1[[#This Row],[Attrition]],Table2[Attrition],Table2[Id_Attrition])</f>
        <v>A002</v>
      </c>
      <c r="C939" t="s">
        <v>33</v>
      </c>
      <c r="D939" t="str">
        <f>_xlfn.XLOOKUP(Table1[[#This Row],[BusinessTravel]],Table5[BusinessTravel],Table5[Id_BusinessTravel])</f>
        <v>BS001</v>
      </c>
      <c r="E939" t="s">
        <v>34</v>
      </c>
      <c r="F939">
        <v>412</v>
      </c>
      <c r="G939" t="str">
        <f>_xlfn.XLOOKUP(Table1[[#This Row],[Department]],Table6[Department],Table6[Id_Departement])</f>
        <v>D002</v>
      </c>
      <c r="H939" t="s">
        <v>38</v>
      </c>
      <c r="I939">
        <v>13</v>
      </c>
      <c r="J939" t="str">
        <f>_xlfn.XLOOKUP(Table1[[#This Row],[Education]],Table8[Education],Table8[Id_Education])</f>
        <v>E004</v>
      </c>
      <c r="K939">
        <v>4</v>
      </c>
      <c r="L939" t="str">
        <f>_xlfn.XLOOKUP(Table1[[#This Row],[EducationField]],Table7[EducationField],Table7[Id_EducationField])</f>
        <v>EF003</v>
      </c>
      <c r="M939" t="s">
        <v>42</v>
      </c>
      <c r="N939" t="str">
        <f>_xlfn.XLOOKUP(Table1[[#This Row],[EmployeeNumber]],Table4[EmployeeNumber],Table4[Id_Employee])</f>
        <v>EMP00938</v>
      </c>
      <c r="O939">
        <v>1307</v>
      </c>
      <c r="P939" t="str">
        <f>_xlfn.XLOOKUP(Table1[[#This Row],[EnvironmentSatisfaction]],Table9[EnvironmentSatisfaction],Table9[Id_EnviromentSatisfaction])</f>
        <v>ES003</v>
      </c>
      <c r="Q939">
        <v>3</v>
      </c>
      <c r="R939" t="str">
        <f>_xlfn.XLOOKUP(Table1[[#This Row],[EnvironmentSatisfaction]],Table9[EnvironmentSatisfaction],Table9[Deskripsi])</f>
        <v>High</v>
      </c>
      <c r="S939" t="str">
        <f>_xlfn.XLOOKUP(Table1[[#This Row],[Gender]],Table10[Gender],Table10[Id_Gender])</f>
        <v>G001</v>
      </c>
      <c r="T939" t="s">
        <v>45</v>
      </c>
      <c r="U939">
        <v>94</v>
      </c>
      <c r="V939" t="str">
        <f>_xlfn.XLOOKUP(Table1[[#This Row],[JobInvolvement]],Table11[JobInvolvement],Table11[Id_JobInvolvement])</f>
        <v>JI002</v>
      </c>
      <c r="W939">
        <v>2</v>
      </c>
      <c r="X939" t="str">
        <f>_xlfn.XLOOKUP(Table1[[#This Row],[JobLevel]],Table12[JobLevel],Table12[Id_JobLevel])</f>
        <v>JL004</v>
      </c>
      <c r="Y939">
        <v>4</v>
      </c>
      <c r="Z939" t="str">
        <f>_xlfn.XLOOKUP(Table1[[#This Row],[JobRole]],Table13[JobRole],Table13[Id_JobRole])</f>
        <v>JR006</v>
      </c>
      <c r="AA939" t="s">
        <v>52</v>
      </c>
      <c r="AB939" t="str">
        <f>_xlfn.XLOOKUP(Table1[[#This Row],[JobSatisfaction]],Table14[JobSatisfaction],Table14[Id_JobSatisfaction])</f>
        <v>JS002</v>
      </c>
      <c r="AC939">
        <v>2</v>
      </c>
      <c r="AD939" t="str">
        <f>_xlfn.XLOOKUP(Table1[[#This Row],[JobSatisfaction]],Table14[JobSatisfaction],Table14[Deskripsi])</f>
        <v>Medium</v>
      </c>
      <c r="AE939" t="str">
        <f>_xlfn.XLOOKUP(Table1[[#This Row],[MaritalStatus]],Table15[MaritalStatus],Table15[Id_MaritalStatus])</f>
        <v>MS003</v>
      </c>
      <c r="AF939" t="s">
        <v>57</v>
      </c>
      <c r="AG939">
        <v>17123</v>
      </c>
      <c r="AH939">
        <v>17334</v>
      </c>
      <c r="AI939">
        <v>6</v>
      </c>
      <c r="AJ939" t="str">
        <f>_xlfn.XLOOKUP(Table1[[#This Row],[OverTime]],Table16[OverTime],Table16[Id_OverTime])</f>
        <v>OT001</v>
      </c>
      <c r="AK939" t="s">
        <v>32</v>
      </c>
      <c r="AL939">
        <v>13</v>
      </c>
      <c r="AM939" t="str">
        <f>_xlfn.XLOOKUP(Table1[[#This Row],[PerformanceRating]],Table17[PerformanceRating],Table17[Id_PerformanceRating])</f>
        <v>PR003</v>
      </c>
      <c r="AN939">
        <v>3</v>
      </c>
      <c r="AO939" t="str">
        <f>_xlfn.XLOOKUP(Table1[[#This Row],[PerformanceRating]],Table17[PerformanceRating],Table17[Deskripsi])</f>
        <v>Excellent</v>
      </c>
      <c r="AP939" t="str">
        <f>_xlfn.XLOOKUP(Table1[[#This Row],[RelationshipSatisfaction]],Table18[RelationshipSatisfaction],Table18[Id_RelationshipSatisfaction])</f>
        <v>RS004</v>
      </c>
      <c r="AQ939">
        <v>4</v>
      </c>
      <c r="AR939" t="str">
        <f>_xlfn.XLOOKUP(Table1[[#This Row],[RelationshipSatisfaction]],Table18[RelationshipSatisfaction],Table18[Deskripsi])</f>
        <v>Very High</v>
      </c>
      <c r="AS939" t="str">
        <f>_xlfn.XLOOKUP(Table1[[#This Row],[StockOptionLevel]],Table19[StockOptionLevel],Table19[Id_StockOptionLevel])</f>
        <v>SOL003</v>
      </c>
      <c r="AT939">
        <v>2</v>
      </c>
      <c r="AU939" t="str">
        <f>_xlfn.XLOOKUP(Table1[[#This Row],[StockOptionLevel]],Table19[StockOptionLevel],Table19[Deskripsi])</f>
        <v>Intermediate</v>
      </c>
      <c r="AV939">
        <v>21</v>
      </c>
      <c r="AW939">
        <v>4</v>
      </c>
      <c r="AX939" t="str">
        <f>_xlfn.XLOOKUP(Table1[[#This Row],[WorkLifeBalance]],Table20[WorkLifeBalance],Table20[Id_WorkLifeBalance])</f>
        <v>WLB002</v>
      </c>
      <c r="AY939">
        <v>3</v>
      </c>
      <c r="AZ939" t="str">
        <f>_xlfn.XLOOKUP(Table1[[#This Row],[WorkLifeBalance]],Table20[WorkLifeBalance],Table20[Deskripsi])</f>
        <v>Good</v>
      </c>
      <c r="BA939">
        <v>19</v>
      </c>
      <c r="BB939">
        <v>9</v>
      </c>
      <c r="BC939">
        <v>15</v>
      </c>
      <c r="BD939">
        <v>2</v>
      </c>
    </row>
    <row r="940" spans="1:56" x14ac:dyDescent="0.25">
      <c r="A940">
        <v>58</v>
      </c>
      <c r="B940" t="str">
        <f>_xlfn.XLOOKUP(Table1[[#This Row],[Attrition]],Table2[Attrition],Table2[Id_Attrition])</f>
        <v>A002</v>
      </c>
      <c r="C940" t="s">
        <v>33</v>
      </c>
      <c r="D940" t="str">
        <f>_xlfn.XLOOKUP(Table1[[#This Row],[BusinessTravel]],Table5[BusinessTravel],Table5[Id_BusinessTravel])</f>
        <v>BS001</v>
      </c>
      <c r="E940" t="s">
        <v>34</v>
      </c>
      <c r="F940">
        <v>848</v>
      </c>
      <c r="G940" t="str">
        <f>_xlfn.XLOOKUP(Table1[[#This Row],[Department]],Table6[Department],Table6[Id_Departement])</f>
        <v>D002</v>
      </c>
      <c r="H940" t="s">
        <v>38</v>
      </c>
      <c r="I940">
        <v>23</v>
      </c>
      <c r="J940" t="str">
        <f>_xlfn.XLOOKUP(Table1[[#This Row],[Education]],Table8[Education],Table8[Id_Education])</f>
        <v>E004</v>
      </c>
      <c r="K940">
        <v>4</v>
      </c>
      <c r="L940" t="str">
        <f>_xlfn.XLOOKUP(Table1[[#This Row],[EducationField]],Table7[EducationField],Table7[Id_EducationField])</f>
        <v>EF001</v>
      </c>
      <c r="M940" t="s">
        <v>40</v>
      </c>
      <c r="N940" t="str">
        <f>_xlfn.XLOOKUP(Table1[[#This Row],[EmployeeNumber]],Table4[EmployeeNumber],Table4[Id_Employee])</f>
        <v>EMP00939</v>
      </c>
      <c r="O940">
        <v>1308</v>
      </c>
      <c r="P940" t="str">
        <f>_xlfn.XLOOKUP(Table1[[#This Row],[EnvironmentSatisfaction]],Table9[EnvironmentSatisfaction],Table9[Id_EnviromentSatisfaction])</f>
        <v>ES001</v>
      </c>
      <c r="Q940">
        <v>1</v>
      </c>
      <c r="R940" t="str">
        <f>_xlfn.XLOOKUP(Table1[[#This Row],[EnvironmentSatisfaction]],Table9[EnvironmentSatisfaction],Table9[Deskripsi])</f>
        <v>Low</v>
      </c>
      <c r="S940" t="str">
        <f>_xlfn.XLOOKUP(Table1[[#This Row],[Gender]],Table10[Gender],Table10[Id_Gender])</f>
        <v>G002</v>
      </c>
      <c r="T940" t="s">
        <v>46</v>
      </c>
      <c r="U940">
        <v>88</v>
      </c>
      <c r="V940" t="str">
        <f>_xlfn.XLOOKUP(Table1[[#This Row],[JobInvolvement]],Table11[JobInvolvement],Table11[Id_JobInvolvement])</f>
        <v>JI003</v>
      </c>
      <c r="W940">
        <v>3</v>
      </c>
      <c r="X940" t="str">
        <f>_xlfn.XLOOKUP(Table1[[#This Row],[JobLevel]],Table12[JobLevel],Table12[Id_JobLevel])</f>
        <v>JL001</v>
      </c>
      <c r="Y940">
        <v>1</v>
      </c>
      <c r="Z940" t="str">
        <f>_xlfn.XLOOKUP(Table1[[#This Row],[JobRole]],Table13[JobRole],Table13[Id_JobRole])</f>
        <v>JR002</v>
      </c>
      <c r="AA940" t="s">
        <v>48</v>
      </c>
      <c r="AB940" t="str">
        <f>_xlfn.XLOOKUP(Table1[[#This Row],[JobSatisfaction]],Table14[JobSatisfaction],Table14[Id_JobSatisfaction])</f>
        <v>JS003</v>
      </c>
      <c r="AC940">
        <v>3</v>
      </c>
      <c r="AD940" t="str">
        <f>_xlfn.XLOOKUP(Table1[[#This Row],[JobSatisfaction]],Table14[JobSatisfaction],Table14[Deskripsi])</f>
        <v>High</v>
      </c>
      <c r="AE940" t="str">
        <f>_xlfn.XLOOKUP(Table1[[#This Row],[MaritalStatus]],Table15[MaritalStatus],Table15[Id_MaritalStatus])</f>
        <v>MS003</v>
      </c>
      <c r="AF940" t="s">
        <v>57</v>
      </c>
      <c r="AG940">
        <v>2372</v>
      </c>
      <c r="AH940">
        <v>26076</v>
      </c>
      <c r="AI940">
        <v>1</v>
      </c>
      <c r="AJ940" t="str">
        <f>_xlfn.XLOOKUP(Table1[[#This Row],[OverTime]],Table16[OverTime],Table16[Id_OverTime])</f>
        <v>OT002</v>
      </c>
      <c r="AK940" t="s">
        <v>33</v>
      </c>
      <c r="AL940">
        <v>12</v>
      </c>
      <c r="AM940" t="str">
        <f>_xlfn.XLOOKUP(Table1[[#This Row],[PerformanceRating]],Table17[PerformanceRating],Table17[Id_PerformanceRating])</f>
        <v>PR003</v>
      </c>
      <c r="AN940">
        <v>3</v>
      </c>
      <c r="AO940" t="str">
        <f>_xlfn.XLOOKUP(Table1[[#This Row],[PerformanceRating]],Table17[PerformanceRating],Table17[Deskripsi])</f>
        <v>Excellent</v>
      </c>
      <c r="AP940" t="str">
        <f>_xlfn.XLOOKUP(Table1[[#This Row],[RelationshipSatisfaction]],Table18[RelationshipSatisfaction],Table18[Id_RelationshipSatisfaction])</f>
        <v>RS004</v>
      </c>
      <c r="AQ940">
        <v>4</v>
      </c>
      <c r="AR940" t="str">
        <f>_xlfn.XLOOKUP(Table1[[#This Row],[RelationshipSatisfaction]],Table18[RelationshipSatisfaction],Table18[Deskripsi])</f>
        <v>Very High</v>
      </c>
      <c r="AS940" t="str">
        <f>_xlfn.XLOOKUP(Table1[[#This Row],[StockOptionLevel]],Table19[StockOptionLevel],Table19[Id_StockOptionLevel])</f>
        <v>SOL003</v>
      </c>
      <c r="AT940">
        <v>2</v>
      </c>
      <c r="AU940" t="str">
        <f>_xlfn.XLOOKUP(Table1[[#This Row],[StockOptionLevel]],Table19[StockOptionLevel],Table19[Deskripsi])</f>
        <v>Intermediate</v>
      </c>
      <c r="AV940">
        <v>2</v>
      </c>
      <c r="AW940">
        <v>3</v>
      </c>
      <c r="AX940" t="str">
        <f>_xlfn.XLOOKUP(Table1[[#This Row],[WorkLifeBalance]],Table20[WorkLifeBalance],Table20[Id_WorkLifeBalance])</f>
        <v>WLB002</v>
      </c>
      <c r="AY940">
        <v>3</v>
      </c>
      <c r="AZ940" t="str">
        <f>_xlfn.XLOOKUP(Table1[[#This Row],[WorkLifeBalance]],Table20[WorkLifeBalance],Table20[Deskripsi])</f>
        <v>Good</v>
      </c>
      <c r="BA940">
        <v>2</v>
      </c>
      <c r="BB940">
        <v>2</v>
      </c>
      <c r="BC940">
        <v>2</v>
      </c>
      <c r="BD940">
        <v>2</v>
      </c>
    </row>
    <row r="941" spans="1:56" x14ac:dyDescent="0.25">
      <c r="A941">
        <v>32</v>
      </c>
      <c r="B941" t="str">
        <f>_xlfn.XLOOKUP(Table1[[#This Row],[Attrition]],Table2[Attrition],Table2[Id_Attrition])</f>
        <v>A001</v>
      </c>
      <c r="C941" t="s">
        <v>32</v>
      </c>
      <c r="D941" t="str">
        <f>_xlfn.XLOOKUP(Table1[[#This Row],[BusinessTravel]],Table5[BusinessTravel],Table5[Id_BusinessTravel])</f>
        <v>BS001</v>
      </c>
      <c r="E941" t="s">
        <v>34</v>
      </c>
      <c r="F941">
        <v>1089</v>
      </c>
      <c r="G941" t="str">
        <f>_xlfn.XLOOKUP(Table1[[#This Row],[Department]],Table6[Department],Table6[Id_Departement])</f>
        <v>D002</v>
      </c>
      <c r="H941" t="s">
        <v>38</v>
      </c>
      <c r="I941">
        <v>7</v>
      </c>
      <c r="J941" t="str">
        <f>_xlfn.XLOOKUP(Table1[[#This Row],[Education]],Table8[Education],Table8[Id_Education])</f>
        <v>E002</v>
      </c>
      <c r="K941">
        <v>2</v>
      </c>
      <c r="L941" t="str">
        <f>_xlfn.XLOOKUP(Table1[[#This Row],[EducationField]],Table7[EducationField],Table7[Id_EducationField])</f>
        <v>EF001</v>
      </c>
      <c r="M941" t="s">
        <v>40</v>
      </c>
      <c r="N941" t="str">
        <f>_xlfn.XLOOKUP(Table1[[#This Row],[EmployeeNumber]],Table4[EmployeeNumber],Table4[Id_Employee])</f>
        <v>EMP00940</v>
      </c>
      <c r="O941">
        <v>1309</v>
      </c>
      <c r="P941" t="str">
        <f>_xlfn.XLOOKUP(Table1[[#This Row],[EnvironmentSatisfaction]],Table9[EnvironmentSatisfaction],Table9[Id_EnviromentSatisfaction])</f>
        <v>ES004</v>
      </c>
      <c r="Q941">
        <v>4</v>
      </c>
      <c r="R941" t="str">
        <f>_xlfn.XLOOKUP(Table1[[#This Row],[EnvironmentSatisfaction]],Table9[EnvironmentSatisfaction],Table9[Deskripsi])</f>
        <v>Very High</v>
      </c>
      <c r="S941" t="str">
        <f>_xlfn.XLOOKUP(Table1[[#This Row],[Gender]],Table10[Gender],Table10[Id_Gender])</f>
        <v>G002</v>
      </c>
      <c r="T941" t="s">
        <v>46</v>
      </c>
      <c r="U941">
        <v>79</v>
      </c>
      <c r="V941" t="str">
        <f>_xlfn.XLOOKUP(Table1[[#This Row],[JobInvolvement]],Table11[JobInvolvement],Table11[Id_JobInvolvement])</f>
        <v>JI003</v>
      </c>
      <c r="W941">
        <v>3</v>
      </c>
      <c r="X941" t="str">
        <f>_xlfn.XLOOKUP(Table1[[#This Row],[JobLevel]],Table12[JobLevel],Table12[Id_JobLevel])</f>
        <v>JL002</v>
      </c>
      <c r="Y941">
        <v>2</v>
      </c>
      <c r="Z941" t="str">
        <f>_xlfn.XLOOKUP(Table1[[#This Row],[JobRole]],Table13[JobRole],Table13[Id_JobRole])</f>
        <v>JR003</v>
      </c>
      <c r="AA941" t="s">
        <v>49</v>
      </c>
      <c r="AB941" t="str">
        <f>_xlfn.XLOOKUP(Table1[[#This Row],[JobSatisfaction]],Table14[JobSatisfaction],Table14[Id_JobSatisfaction])</f>
        <v>JS003</v>
      </c>
      <c r="AC941">
        <v>3</v>
      </c>
      <c r="AD941" t="str">
        <f>_xlfn.XLOOKUP(Table1[[#This Row],[JobSatisfaction]],Table14[JobSatisfaction],Table14[Deskripsi])</f>
        <v>High</v>
      </c>
      <c r="AE941" t="str">
        <f>_xlfn.XLOOKUP(Table1[[#This Row],[MaritalStatus]],Table15[MaritalStatus],Table15[Id_MaritalStatus])</f>
        <v>MS002</v>
      </c>
      <c r="AF941" t="s">
        <v>56</v>
      </c>
      <c r="AG941">
        <v>4883</v>
      </c>
      <c r="AH941">
        <v>22845</v>
      </c>
      <c r="AI941">
        <v>1</v>
      </c>
      <c r="AJ941" t="str">
        <f>_xlfn.XLOOKUP(Table1[[#This Row],[OverTime]],Table16[OverTime],Table16[Id_OverTime])</f>
        <v>OT002</v>
      </c>
      <c r="AK941" t="s">
        <v>33</v>
      </c>
      <c r="AL941">
        <v>18</v>
      </c>
      <c r="AM941" t="str">
        <f>_xlfn.XLOOKUP(Table1[[#This Row],[PerformanceRating]],Table17[PerformanceRating],Table17[Id_PerformanceRating])</f>
        <v>PR003</v>
      </c>
      <c r="AN941">
        <v>3</v>
      </c>
      <c r="AO941" t="str">
        <f>_xlfn.XLOOKUP(Table1[[#This Row],[PerformanceRating]],Table17[PerformanceRating],Table17[Deskripsi])</f>
        <v>Excellent</v>
      </c>
      <c r="AP941" t="str">
        <f>_xlfn.XLOOKUP(Table1[[#This Row],[RelationshipSatisfaction]],Table18[RelationshipSatisfaction],Table18[Id_RelationshipSatisfaction])</f>
        <v>RS001</v>
      </c>
      <c r="AQ941">
        <v>1</v>
      </c>
      <c r="AR941" t="str">
        <f>_xlfn.XLOOKUP(Table1[[#This Row],[RelationshipSatisfaction]],Table18[RelationshipSatisfaction],Table18[Deskripsi])</f>
        <v>Low</v>
      </c>
      <c r="AS941" t="str">
        <f>_xlfn.XLOOKUP(Table1[[#This Row],[StockOptionLevel]],Table19[StockOptionLevel],Table19[Id_StockOptionLevel])</f>
        <v>SOL002</v>
      </c>
      <c r="AT941">
        <v>1</v>
      </c>
      <c r="AU941" t="str">
        <f>_xlfn.XLOOKUP(Table1[[#This Row],[StockOptionLevel]],Table19[StockOptionLevel],Table19[Deskripsi])</f>
        <v>Standard</v>
      </c>
      <c r="AV941">
        <v>10</v>
      </c>
      <c r="AW941">
        <v>3</v>
      </c>
      <c r="AX941" t="str">
        <f>_xlfn.XLOOKUP(Table1[[#This Row],[WorkLifeBalance]],Table20[WorkLifeBalance],Table20[Id_WorkLifeBalance])</f>
        <v>WLB002</v>
      </c>
      <c r="AY941">
        <v>3</v>
      </c>
      <c r="AZ941" t="str">
        <f>_xlfn.XLOOKUP(Table1[[#This Row],[WorkLifeBalance]],Table20[WorkLifeBalance],Table20[Deskripsi])</f>
        <v>Good</v>
      </c>
      <c r="BA941">
        <v>10</v>
      </c>
      <c r="BB941">
        <v>4</v>
      </c>
      <c r="BC941">
        <v>1</v>
      </c>
      <c r="BD941">
        <v>1</v>
      </c>
    </row>
    <row r="942" spans="1:56" x14ac:dyDescent="0.25">
      <c r="A942">
        <v>39</v>
      </c>
      <c r="B942" t="str">
        <f>_xlfn.XLOOKUP(Table1[[#This Row],[Attrition]],Table2[Attrition],Table2[Id_Attrition])</f>
        <v>A001</v>
      </c>
      <c r="C942" t="s">
        <v>32</v>
      </c>
      <c r="D942" t="str">
        <f>_xlfn.XLOOKUP(Table1[[#This Row],[BusinessTravel]],Table5[BusinessTravel],Table5[Id_BusinessTravel])</f>
        <v>BS001</v>
      </c>
      <c r="E942" t="s">
        <v>34</v>
      </c>
      <c r="F942">
        <v>360</v>
      </c>
      <c r="G942" t="str">
        <f>_xlfn.XLOOKUP(Table1[[#This Row],[Department]],Table6[Department],Table6[Id_Departement])</f>
        <v>D002</v>
      </c>
      <c r="H942" t="s">
        <v>38</v>
      </c>
      <c r="I942">
        <v>23</v>
      </c>
      <c r="J942" t="str">
        <f>_xlfn.XLOOKUP(Table1[[#This Row],[Education]],Table8[Education],Table8[Id_Education])</f>
        <v>E003</v>
      </c>
      <c r="K942">
        <v>3</v>
      </c>
      <c r="L942" t="str">
        <f>_xlfn.XLOOKUP(Table1[[#This Row],[EducationField]],Table7[EducationField],Table7[Id_EducationField])</f>
        <v>EF003</v>
      </c>
      <c r="M942" t="s">
        <v>42</v>
      </c>
      <c r="N942" t="str">
        <f>_xlfn.XLOOKUP(Table1[[#This Row],[EmployeeNumber]],Table4[EmployeeNumber],Table4[Id_Employee])</f>
        <v>EMP00941</v>
      </c>
      <c r="O942">
        <v>1310</v>
      </c>
      <c r="P942" t="str">
        <f>_xlfn.XLOOKUP(Table1[[#This Row],[EnvironmentSatisfaction]],Table9[EnvironmentSatisfaction],Table9[Id_EnviromentSatisfaction])</f>
        <v>ES003</v>
      </c>
      <c r="Q942">
        <v>3</v>
      </c>
      <c r="R942" t="str">
        <f>_xlfn.XLOOKUP(Table1[[#This Row],[EnvironmentSatisfaction]],Table9[EnvironmentSatisfaction],Table9[Deskripsi])</f>
        <v>High</v>
      </c>
      <c r="S942" t="str">
        <f>_xlfn.XLOOKUP(Table1[[#This Row],[Gender]],Table10[Gender],Table10[Id_Gender])</f>
        <v>G002</v>
      </c>
      <c r="T942" t="s">
        <v>46</v>
      </c>
      <c r="U942">
        <v>93</v>
      </c>
      <c r="V942" t="str">
        <f>_xlfn.XLOOKUP(Table1[[#This Row],[JobInvolvement]],Table11[JobInvolvement],Table11[Id_JobInvolvement])</f>
        <v>JI003</v>
      </c>
      <c r="W942">
        <v>3</v>
      </c>
      <c r="X942" t="str">
        <f>_xlfn.XLOOKUP(Table1[[#This Row],[JobLevel]],Table12[JobLevel],Table12[Id_JobLevel])</f>
        <v>JL001</v>
      </c>
      <c r="Y942">
        <v>1</v>
      </c>
      <c r="Z942" t="str">
        <f>_xlfn.XLOOKUP(Table1[[#This Row],[JobRole]],Table13[JobRole],Table13[Id_JobRole])</f>
        <v>JR002</v>
      </c>
      <c r="AA942" t="s">
        <v>48</v>
      </c>
      <c r="AB942" t="str">
        <f>_xlfn.XLOOKUP(Table1[[#This Row],[JobSatisfaction]],Table14[JobSatisfaction],Table14[Id_JobSatisfaction])</f>
        <v>JS001</v>
      </c>
      <c r="AC942">
        <v>1</v>
      </c>
      <c r="AD942" t="str">
        <f>_xlfn.XLOOKUP(Table1[[#This Row],[JobSatisfaction]],Table14[JobSatisfaction],Table14[Deskripsi])</f>
        <v>Low</v>
      </c>
      <c r="AE942" t="str">
        <f>_xlfn.XLOOKUP(Table1[[#This Row],[MaritalStatus]],Table15[MaritalStatus],Table15[Id_MaritalStatus])</f>
        <v>MS001</v>
      </c>
      <c r="AF942" t="s">
        <v>55</v>
      </c>
      <c r="AG942">
        <v>3904</v>
      </c>
      <c r="AH942">
        <v>22154</v>
      </c>
      <c r="AI942">
        <v>0</v>
      </c>
      <c r="AJ942" t="str">
        <f>_xlfn.XLOOKUP(Table1[[#This Row],[OverTime]],Table16[OverTime],Table16[Id_OverTime])</f>
        <v>OT002</v>
      </c>
      <c r="AK942" t="s">
        <v>33</v>
      </c>
      <c r="AL942">
        <v>13</v>
      </c>
      <c r="AM942" t="str">
        <f>_xlfn.XLOOKUP(Table1[[#This Row],[PerformanceRating]],Table17[PerformanceRating],Table17[Id_PerformanceRating])</f>
        <v>PR003</v>
      </c>
      <c r="AN942">
        <v>3</v>
      </c>
      <c r="AO942" t="str">
        <f>_xlfn.XLOOKUP(Table1[[#This Row],[PerformanceRating]],Table17[PerformanceRating],Table17[Deskripsi])</f>
        <v>Excellent</v>
      </c>
      <c r="AP942" t="str">
        <f>_xlfn.XLOOKUP(Table1[[#This Row],[RelationshipSatisfaction]],Table18[RelationshipSatisfaction],Table18[Id_RelationshipSatisfaction])</f>
        <v>RS001</v>
      </c>
      <c r="AQ942">
        <v>1</v>
      </c>
      <c r="AR942" t="str">
        <f>_xlfn.XLOOKUP(Table1[[#This Row],[RelationshipSatisfaction]],Table18[RelationshipSatisfaction],Table18[Deskripsi])</f>
        <v>Low</v>
      </c>
      <c r="AS942" t="str">
        <f>_xlfn.XLOOKUP(Table1[[#This Row],[StockOptionLevel]],Table19[StockOptionLevel],Table19[Id_StockOptionLevel])</f>
        <v>SOL001</v>
      </c>
      <c r="AT942">
        <v>0</v>
      </c>
      <c r="AU942" t="str">
        <f>_xlfn.XLOOKUP(Table1[[#This Row],[StockOptionLevel]],Table19[StockOptionLevel],Table19[Deskripsi])</f>
        <v>Non-Eligible</v>
      </c>
      <c r="AV942">
        <v>6</v>
      </c>
      <c r="AW942">
        <v>2</v>
      </c>
      <c r="AX942" t="str">
        <f>_xlfn.XLOOKUP(Table1[[#This Row],[WorkLifeBalance]],Table20[WorkLifeBalance],Table20[Id_WorkLifeBalance])</f>
        <v>WLB002</v>
      </c>
      <c r="AY942">
        <v>3</v>
      </c>
      <c r="AZ942" t="str">
        <f>_xlfn.XLOOKUP(Table1[[#This Row],[WorkLifeBalance]],Table20[WorkLifeBalance],Table20[Deskripsi])</f>
        <v>Good</v>
      </c>
      <c r="BA942">
        <v>5</v>
      </c>
      <c r="BB942">
        <v>2</v>
      </c>
      <c r="BC942">
        <v>0</v>
      </c>
      <c r="BD942">
        <v>3</v>
      </c>
    </row>
    <row r="943" spans="1:56" x14ac:dyDescent="0.25">
      <c r="A943">
        <v>30</v>
      </c>
      <c r="B943" t="str">
        <f>_xlfn.XLOOKUP(Table1[[#This Row],[Attrition]],Table2[Attrition],Table2[Id_Attrition])</f>
        <v>A002</v>
      </c>
      <c r="C943" t="s">
        <v>33</v>
      </c>
      <c r="D943" t="str">
        <f>_xlfn.XLOOKUP(Table1[[#This Row],[BusinessTravel]],Table5[BusinessTravel],Table5[Id_BusinessTravel])</f>
        <v>BS001</v>
      </c>
      <c r="E943" t="s">
        <v>34</v>
      </c>
      <c r="F943">
        <v>1138</v>
      </c>
      <c r="G943" t="str">
        <f>_xlfn.XLOOKUP(Table1[[#This Row],[Department]],Table6[Department],Table6[Id_Departement])</f>
        <v>D002</v>
      </c>
      <c r="H943" t="s">
        <v>38</v>
      </c>
      <c r="I943">
        <v>6</v>
      </c>
      <c r="J943" t="str">
        <f>_xlfn.XLOOKUP(Table1[[#This Row],[Education]],Table8[Education],Table8[Id_Education])</f>
        <v>E003</v>
      </c>
      <c r="K943">
        <v>3</v>
      </c>
      <c r="L943" t="str">
        <f>_xlfn.XLOOKUP(Table1[[#This Row],[EducationField]],Table7[EducationField],Table7[Id_EducationField])</f>
        <v>EF005</v>
      </c>
      <c r="M943" t="s">
        <v>44</v>
      </c>
      <c r="N943" t="str">
        <f>_xlfn.XLOOKUP(Table1[[#This Row],[EmployeeNumber]],Table4[EmployeeNumber],Table4[Id_Employee])</f>
        <v>EMP00942</v>
      </c>
      <c r="O943">
        <v>1311</v>
      </c>
      <c r="P943" t="str">
        <f>_xlfn.XLOOKUP(Table1[[#This Row],[EnvironmentSatisfaction]],Table9[EnvironmentSatisfaction],Table9[Id_EnviromentSatisfaction])</f>
        <v>ES001</v>
      </c>
      <c r="Q943">
        <v>1</v>
      </c>
      <c r="R943" t="str">
        <f>_xlfn.XLOOKUP(Table1[[#This Row],[EnvironmentSatisfaction]],Table9[EnvironmentSatisfaction],Table9[Deskripsi])</f>
        <v>Low</v>
      </c>
      <c r="S943" t="str">
        <f>_xlfn.XLOOKUP(Table1[[#This Row],[Gender]],Table10[Gender],Table10[Id_Gender])</f>
        <v>G001</v>
      </c>
      <c r="T943" t="s">
        <v>45</v>
      </c>
      <c r="U943">
        <v>48</v>
      </c>
      <c r="V943" t="str">
        <f>_xlfn.XLOOKUP(Table1[[#This Row],[JobInvolvement]],Table11[JobInvolvement],Table11[Id_JobInvolvement])</f>
        <v>JI002</v>
      </c>
      <c r="W943">
        <v>2</v>
      </c>
      <c r="X943" t="str">
        <f>_xlfn.XLOOKUP(Table1[[#This Row],[JobLevel]],Table12[JobLevel],Table12[Id_JobLevel])</f>
        <v>JL002</v>
      </c>
      <c r="Y943">
        <v>2</v>
      </c>
      <c r="Z943" t="str">
        <f>_xlfn.XLOOKUP(Table1[[#This Row],[JobRole]],Table13[JobRole],Table13[Id_JobRole])</f>
        <v>JR003</v>
      </c>
      <c r="AA943" t="s">
        <v>49</v>
      </c>
      <c r="AB943" t="str">
        <f>_xlfn.XLOOKUP(Table1[[#This Row],[JobSatisfaction]],Table14[JobSatisfaction],Table14[Id_JobSatisfaction])</f>
        <v>JS004</v>
      </c>
      <c r="AC943">
        <v>4</v>
      </c>
      <c r="AD943" t="str">
        <f>_xlfn.XLOOKUP(Table1[[#This Row],[JobSatisfaction]],Table14[JobSatisfaction],Table14[Deskripsi])</f>
        <v>Very High</v>
      </c>
      <c r="AE943" t="str">
        <f>_xlfn.XLOOKUP(Table1[[#This Row],[MaritalStatus]],Table15[MaritalStatus],Table15[Id_MaritalStatus])</f>
        <v>MS002</v>
      </c>
      <c r="AF943" t="s">
        <v>56</v>
      </c>
      <c r="AG943">
        <v>4627</v>
      </c>
      <c r="AH943">
        <v>23631</v>
      </c>
      <c r="AI943">
        <v>0</v>
      </c>
      <c r="AJ943" t="str">
        <f>_xlfn.XLOOKUP(Table1[[#This Row],[OverTime]],Table16[OverTime],Table16[Id_OverTime])</f>
        <v>OT002</v>
      </c>
      <c r="AK943" t="s">
        <v>33</v>
      </c>
      <c r="AL943">
        <v>12</v>
      </c>
      <c r="AM943" t="str">
        <f>_xlfn.XLOOKUP(Table1[[#This Row],[PerformanceRating]],Table17[PerformanceRating],Table17[Id_PerformanceRating])</f>
        <v>PR003</v>
      </c>
      <c r="AN943">
        <v>3</v>
      </c>
      <c r="AO943" t="str">
        <f>_xlfn.XLOOKUP(Table1[[#This Row],[PerformanceRating]],Table17[PerformanceRating],Table17[Deskripsi])</f>
        <v>Excellent</v>
      </c>
      <c r="AP943" t="str">
        <f>_xlfn.XLOOKUP(Table1[[#This Row],[RelationshipSatisfaction]],Table18[RelationshipSatisfaction],Table18[Id_RelationshipSatisfaction])</f>
        <v>RS001</v>
      </c>
      <c r="AQ943">
        <v>1</v>
      </c>
      <c r="AR943" t="str">
        <f>_xlfn.XLOOKUP(Table1[[#This Row],[RelationshipSatisfaction]],Table18[RelationshipSatisfaction],Table18[Deskripsi])</f>
        <v>Low</v>
      </c>
      <c r="AS943" t="str">
        <f>_xlfn.XLOOKUP(Table1[[#This Row],[StockOptionLevel]],Table19[StockOptionLevel],Table19[Id_StockOptionLevel])</f>
        <v>SOL002</v>
      </c>
      <c r="AT943">
        <v>1</v>
      </c>
      <c r="AU943" t="str">
        <f>_xlfn.XLOOKUP(Table1[[#This Row],[StockOptionLevel]],Table19[StockOptionLevel],Table19[Deskripsi])</f>
        <v>Standard</v>
      </c>
      <c r="AV943">
        <v>10</v>
      </c>
      <c r="AW943">
        <v>6</v>
      </c>
      <c r="AX943" t="str">
        <f>_xlfn.XLOOKUP(Table1[[#This Row],[WorkLifeBalance]],Table20[WorkLifeBalance],Table20[Id_WorkLifeBalance])</f>
        <v>WLB002</v>
      </c>
      <c r="AY943">
        <v>3</v>
      </c>
      <c r="AZ943" t="str">
        <f>_xlfn.XLOOKUP(Table1[[#This Row],[WorkLifeBalance]],Table20[WorkLifeBalance],Table20[Deskripsi])</f>
        <v>Good</v>
      </c>
      <c r="BA943">
        <v>9</v>
      </c>
      <c r="BB943">
        <v>2</v>
      </c>
      <c r="BC943">
        <v>6</v>
      </c>
      <c r="BD943">
        <v>7</v>
      </c>
    </row>
    <row r="944" spans="1:56" x14ac:dyDescent="0.25">
      <c r="A944">
        <v>36</v>
      </c>
      <c r="B944" t="str">
        <f>_xlfn.XLOOKUP(Table1[[#This Row],[Attrition]],Table2[Attrition],Table2[Id_Attrition])</f>
        <v>A002</v>
      </c>
      <c r="C944" t="s">
        <v>33</v>
      </c>
      <c r="D944" t="str">
        <f>_xlfn.XLOOKUP(Table1[[#This Row],[BusinessTravel]],Table5[BusinessTravel],Table5[Id_BusinessTravel])</f>
        <v>BS001</v>
      </c>
      <c r="E944" t="s">
        <v>34</v>
      </c>
      <c r="F944">
        <v>325</v>
      </c>
      <c r="G944" t="str">
        <f>_xlfn.XLOOKUP(Table1[[#This Row],[Department]],Table6[Department],Table6[Id_Departement])</f>
        <v>D002</v>
      </c>
      <c r="H944" t="s">
        <v>38</v>
      </c>
      <c r="I944">
        <v>10</v>
      </c>
      <c r="J944" t="str">
        <f>_xlfn.XLOOKUP(Table1[[#This Row],[Education]],Table8[Education],Table8[Id_Education])</f>
        <v>E004</v>
      </c>
      <c r="K944">
        <v>4</v>
      </c>
      <c r="L944" t="str">
        <f>_xlfn.XLOOKUP(Table1[[#This Row],[EducationField]],Table7[EducationField],Table7[Id_EducationField])</f>
        <v>EF005</v>
      </c>
      <c r="M944" t="s">
        <v>44</v>
      </c>
      <c r="N944" t="str">
        <f>_xlfn.XLOOKUP(Table1[[#This Row],[EmployeeNumber]],Table4[EmployeeNumber],Table4[Id_Employee])</f>
        <v>EMP00943</v>
      </c>
      <c r="O944">
        <v>1312</v>
      </c>
      <c r="P944" t="str">
        <f>_xlfn.XLOOKUP(Table1[[#This Row],[EnvironmentSatisfaction]],Table9[EnvironmentSatisfaction],Table9[Id_EnviromentSatisfaction])</f>
        <v>ES004</v>
      </c>
      <c r="Q944">
        <v>4</v>
      </c>
      <c r="R944" t="str">
        <f>_xlfn.XLOOKUP(Table1[[#This Row],[EnvironmentSatisfaction]],Table9[EnvironmentSatisfaction],Table9[Deskripsi])</f>
        <v>Very High</v>
      </c>
      <c r="S944" t="str">
        <f>_xlfn.XLOOKUP(Table1[[#This Row],[Gender]],Table10[Gender],Table10[Id_Gender])</f>
        <v>G001</v>
      </c>
      <c r="T944" t="s">
        <v>45</v>
      </c>
      <c r="U944">
        <v>63</v>
      </c>
      <c r="V944" t="str">
        <f>_xlfn.XLOOKUP(Table1[[#This Row],[JobInvolvement]],Table11[JobInvolvement],Table11[Id_JobInvolvement])</f>
        <v>JI003</v>
      </c>
      <c r="W944">
        <v>3</v>
      </c>
      <c r="X944" t="str">
        <f>_xlfn.XLOOKUP(Table1[[#This Row],[JobLevel]],Table12[JobLevel],Table12[Id_JobLevel])</f>
        <v>JL003</v>
      </c>
      <c r="Y944">
        <v>3</v>
      </c>
      <c r="Z944" t="str">
        <f>_xlfn.XLOOKUP(Table1[[#This Row],[JobRole]],Table13[JobRole],Table13[Id_JobRole])</f>
        <v>JR005</v>
      </c>
      <c r="AA944" t="s">
        <v>51</v>
      </c>
      <c r="AB944" t="str">
        <f>_xlfn.XLOOKUP(Table1[[#This Row],[JobSatisfaction]],Table14[JobSatisfaction],Table14[Id_JobSatisfaction])</f>
        <v>JS003</v>
      </c>
      <c r="AC944">
        <v>3</v>
      </c>
      <c r="AD944" t="str">
        <f>_xlfn.XLOOKUP(Table1[[#This Row],[JobSatisfaction]],Table14[JobSatisfaction],Table14[Deskripsi])</f>
        <v>High</v>
      </c>
      <c r="AE944" t="str">
        <f>_xlfn.XLOOKUP(Table1[[#This Row],[MaritalStatus]],Table15[MaritalStatus],Table15[Id_MaritalStatus])</f>
        <v>MS002</v>
      </c>
      <c r="AF944" t="s">
        <v>56</v>
      </c>
      <c r="AG944">
        <v>7094</v>
      </c>
      <c r="AH944">
        <v>5747</v>
      </c>
      <c r="AI944">
        <v>3</v>
      </c>
      <c r="AJ944" t="str">
        <f>_xlfn.XLOOKUP(Table1[[#This Row],[OverTime]],Table16[OverTime],Table16[Id_OverTime])</f>
        <v>OT002</v>
      </c>
      <c r="AK944" t="s">
        <v>33</v>
      </c>
      <c r="AL944">
        <v>12</v>
      </c>
      <c r="AM944" t="str">
        <f>_xlfn.XLOOKUP(Table1[[#This Row],[PerformanceRating]],Table17[PerformanceRating],Table17[Id_PerformanceRating])</f>
        <v>PR003</v>
      </c>
      <c r="AN944">
        <v>3</v>
      </c>
      <c r="AO944" t="str">
        <f>_xlfn.XLOOKUP(Table1[[#This Row],[PerformanceRating]],Table17[PerformanceRating],Table17[Deskripsi])</f>
        <v>Excellent</v>
      </c>
      <c r="AP944" t="str">
        <f>_xlfn.XLOOKUP(Table1[[#This Row],[RelationshipSatisfaction]],Table18[RelationshipSatisfaction],Table18[Id_RelationshipSatisfaction])</f>
        <v>RS001</v>
      </c>
      <c r="AQ944">
        <v>1</v>
      </c>
      <c r="AR944" t="str">
        <f>_xlfn.XLOOKUP(Table1[[#This Row],[RelationshipSatisfaction]],Table18[RelationshipSatisfaction],Table18[Deskripsi])</f>
        <v>Low</v>
      </c>
      <c r="AS944" t="str">
        <f>_xlfn.XLOOKUP(Table1[[#This Row],[StockOptionLevel]],Table19[StockOptionLevel],Table19[Id_StockOptionLevel])</f>
        <v>SOL001</v>
      </c>
      <c r="AT944">
        <v>0</v>
      </c>
      <c r="AU944" t="str">
        <f>_xlfn.XLOOKUP(Table1[[#This Row],[StockOptionLevel]],Table19[StockOptionLevel],Table19[Deskripsi])</f>
        <v>Non-Eligible</v>
      </c>
      <c r="AV944">
        <v>10</v>
      </c>
      <c r="AW944">
        <v>0</v>
      </c>
      <c r="AX944" t="str">
        <f>_xlfn.XLOOKUP(Table1[[#This Row],[WorkLifeBalance]],Table20[WorkLifeBalance],Table20[Id_WorkLifeBalance])</f>
        <v>WLB002</v>
      </c>
      <c r="AY944">
        <v>3</v>
      </c>
      <c r="AZ944" t="str">
        <f>_xlfn.XLOOKUP(Table1[[#This Row],[WorkLifeBalance]],Table20[WorkLifeBalance],Table20[Deskripsi])</f>
        <v>Good</v>
      </c>
      <c r="BA944">
        <v>7</v>
      </c>
      <c r="BB944">
        <v>7</v>
      </c>
      <c r="BC944">
        <v>1</v>
      </c>
      <c r="BD944">
        <v>7</v>
      </c>
    </row>
    <row r="945" spans="1:56" x14ac:dyDescent="0.25">
      <c r="A945">
        <v>46</v>
      </c>
      <c r="B945" t="str">
        <f>_xlfn.XLOOKUP(Table1[[#This Row],[Attrition]],Table2[Attrition],Table2[Id_Attrition])</f>
        <v>A002</v>
      </c>
      <c r="C945" t="s">
        <v>33</v>
      </c>
      <c r="D945" t="str">
        <f>_xlfn.XLOOKUP(Table1[[#This Row],[BusinessTravel]],Table5[BusinessTravel],Table5[Id_BusinessTravel])</f>
        <v>BS001</v>
      </c>
      <c r="E945" t="s">
        <v>34</v>
      </c>
      <c r="F945">
        <v>991</v>
      </c>
      <c r="G945" t="str">
        <f>_xlfn.XLOOKUP(Table1[[#This Row],[Department]],Table6[Department],Table6[Id_Departement])</f>
        <v>D003</v>
      </c>
      <c r="H945" t="s">
        <v>39</v>
      </c>
      <c r="I945">
        <v>1</v>
      </c>
      <c r="J945" t="str">
        <f>_xlfn.XLOOKUP(Table1[[#This Row],[Education]],Table8[Education],Table8[Id_Education])</f>
        <v>E002</v>
      </c>
      <c r="K945">
        <v>2</v>
      </c>
      <c r="L945" t="str">
        <f>_xlfn.XLOOKUP(Table1[[#This Row],[EducationField]],Table7[EducationField],Table7[Id_EducationField])</f>
        <v>EF001</v>
      </c>
      <c r="M945" t="s">
        <v>40</v>
      </c>
      <c r="N945" t="str">
        <f>_xlfn.XLOOKUP(Table1[[#This Row],[EmployeeNumber]],Table4[EmployeeNumber],Table4[Id_Employee])</f>
        <v>EMP00944</v>
      </c>
      <c r="O945">
        <v>1314</v>
      </c>
      <c r="P945" t="str">
        <f>_xlfn.XLOOKUP(Table1[[#This Row],[EnvironmentSatisfaction]],Table9[EnvironmentSatisfaction],Table9[Id_EnviromentSatisfaction])</f>
        <v>ES004</v>
      </c>
      <c r="Q945">
        <v>4</v>
      </c>
      <c r="R945" t="str">
        <f>_xlfn.XLOOKUP(Table1[[#This Row],[EnvironmentSatisfaction]],Table9[EnvironmentSatisfaction],Table9[Deskripsi])</f>
        <v>Very High</v>
      </c>
      <c r="S945" t="str">
        <f>_xlfn.XLOOKUP(Table1[[#This Row],[Gender]],Table10[Gender],Table10[Id_Gender])</f>
        <v>G001</v>
      </c>
      <c r="T945" t="s">
        <v>45</v>
      </c>
      <c r="U945">
        <v>44</v>
      </c>
      <c r="V945" t="str">
        <f>_xlfn.XLOOKUP(Table1[[#This Row],[JobInvolvement]],Table11[JobInvolvement],Table11[Id_JobInvolvement])</f>
        <v>JI003</v>
      </c>
      <c r="W945">
        <v>3</v>
      </c>
      <c r="X945" t="str">
        <f>_xlfn.XLOOKUP(Table1[[#This Row],[JobLevel]],Table12[JobLevel],Table12[Id_JobLevel])</f>
        <v>JL001</v>
      </c>
      <c r="Y945">
        <v>1</v>
      </c>
      <c r="Z945" t="str">
        <f>_xlfn.XLOOKUP(Table1[[#This Row],[JobRole]],Table13[JobRole],Table13[Id_JobRole])</f>
        <v>JR009</v>
      </c>
      <c r="AA945" t="s">
        <v>39</v>
      </c>
      <c r="AB945" t="str">
        <f>_xlfn.XLOOKUP(Table1[[#This Row],[JobSatisfaction]],Table14[JobSatisfaction],Table14[Id_JobSatisfaction])</f>
        <v>JS001</v>
      </c>
      <c r="AC945">
        <v>1</v>
      </c>
      <c r="AD945" t="str">
        <f>_xlfn.XLOOKUP(Table1[[#This Row],[JobSatisfaction]],Table14[JobSatisfaction],Table14[Deskripsi])</f>
        <v>Low</v>
      </c>
      <c r="AE945" t="str">
        <f>_xlfn.XLOOKUP(Table1[[#This Row],[MaritalStatus]],Table15[MaritalStatus],Table15[Id_MaritalStatus])</f>
        <v>MS001</v>
      </c>
      <c r="AF945" t="s">
        <v>55</v>
      </c>
      <c r="AG945">
        <v>3423</v>
      </c>
      <c r="AH945">
        <v>22957</v>
      </c>
      <c r="AI945">
        <v>6</v>
      </c>
      <c r="AJ945" t="str">
        <f>_xlfn.XLOOKUP(Table1[[#This Row],[OverTime]],Table16[OverTime],Table16[Id_OverTime])</f>
        <v>OT002</v>
      </c>
      <c r="AK945" t="s">
        <v>33</v>
      </c>
      <c r="AL945">
        <v>12</v>
      </c>
      <c r="AM945" t="str">
        <f>_xlfn.XLOOKUP(Table1[[#This Row],[PerformanceRating]],Table17[PerformanceRating],Table17[Id_PerformanceRating])</f>
        <v>PR003</v>
      </c>
      <c r="AN945">
        <v>3</v>
      </c>
      <c r="AO945" t="str">
        <f>_xlfn.XLOOKUP(Table1[[#This Row],[PerformanceRating]],Table17[PerformanceRating],Table17[Deskripsi])</f>
        <v>Excellent</v>
      </c>
      <c r="AP945" t="str">
        <f>_xlfn.XLOOKUP(Table1[[#This Row],[RelationshipSatisfaction]],Table18[RelationshipSatisfaction],Table18[Id_RelationshipSatisfaction])</f>
        <v>RS003</v>
      </c>
      <c r="AQ945">
        <v>3</v>
      </c>
      <c r="AR945" t="str">
        <f>_xlfn.XLOOKUP(Table1[[#This Row],[RelationshipSatisfaction]],Table18[RelationshipSatisfaction],Table18[Deskripsi])</f>
        <v>High</v>
      </c>
      <c r="AS945" t="str">
        <f>_xlfn.XLOOKUP(Table1[[#This Row],[StockOptionLevel]],Table19[StockOptionLevel],Table19[Id_StockOptionLevel])</f>
        <v>SOL001</v>
      </c>
      <c r="AT945">
        <v>0</v>
      </c>
      <c r="AU945" t="str">
        <f>_xlfn.XLOOKUP(Table1[[#This Row],[StockOptionLevel]],Table19[StockOptionLevel],Table19[Deskripsi])</f>
        <v>Non-Eligible</v>
      </c>
      <c r="AV945">
        <v>10</v>
      </c>
      <c r="AW945">
        <v>3</v>
      </c>
      <c r="AX945" t="str">
        <f>_xlfn.XLOOKUP(Table1[[#This Row],[WorkLifeBalance]],Table20[WorkLifeBalance],Table20[Id_WorkLifeBalance])</f>
        <v>WLB004</v>
      </c>
      <c r="AY945">
        <v>4</v>
      </c>
      <c r="AZ945" t="str">
        <f>_xlfn.XLOOKUP(Table1[[#This Row],[WorkLifeBalance]],Table20[WorkLifeBalance],Table20[Deskripsi])</f>
        <v>Best</v>
      </c>
      <c r="BA945">
        <v>7</v>
      </c>
      <c r="BB945">
        <v>6</v>
      </c>
      <c r="BC945">
        <v>5</v>
      </c>
      <c r="BD945">
        <v>7</v>
      </c>
    </row>
    <row r="946" spans="1:56" x14ac:dyDescent="0.25">
      <c r="A946">
        <v>28</v>
      </c>
      <c r="B946" t="str">
        <f>_xlfn.XLOOKUP(Table1[[#This Row],[Attrition]],Table2[Attrition],Table2[Id_Attrition])</f>
        <v>A002</v>
      </c>
      <c r="C946" t="s">
        <v>33</v>
      </c>
      <c r="D946" t="str">
        <f>_xlfn.XLOOKUP(Table1[[#This Row],[BusinessTravel]],Table5[BusinessTravel],Table5[Id_BusinessTravel])</f>
        <v>BS003</v>
      </c>
      <c r="E946" t="s">
        <v>36</v>
      </c>
      <c r="F946">
        <v>1476</v>
      </c>
      <c r="G946" t="str">
        <f>_xlfn.XLOOKUP(Table1[[#This Row],[Department]],Table6[Department],Table6[Id_Departement])</f>
        <v>D002</v>
      </c>
      <c r="H946" t="s">
        <v>38</v>
      </c>
      <c r="I946">
        <v>1</v>
      </c>
      <c r="J946" t="str">
        <f>_xlfn.XLOOKUP(Table1[[#This Row],[Education]],Table8[Education],Table8[Id_Education])</f>
        <v>E003</v>
      </c>
      <c r="K946">
        <v>3</v>
      </c>
      <c r="L946" t="str">
        <f>_xlfn.XLOOKUP(Table1[[#This Row],[EducationField]],Table7[EducationField],Table7[Id_EducationField])</f>
        <v>EF001</v>
      </c>
      <c r="M946" t="s">
        <v>40</v>
      </c>
      <c r="N946" t="str">
        <f>_xlfn.XLOOKUP(Table1[[#This Row],[EmployeeNumber]],Table4[EmployeeNumber],Table4[Id_Employee])</f>
        <v>EMP00945</v>
      </c>
      <c r="O946">
        <v>1315</v>
      </c>
      <c r="P946" t="str">
        <f>_xlfn.XLOOKUP(Table1[[#This Row],[EnvironmentSatisfaction]],Table9[EnvironmentSatisfaction],Table9[Id_EnviromentSatisfaction])</f>
        <v>ES003</v>
      </c>
      <c r="Q946">
        <v>3</v>
      </c>
      <c r="R946" t="str">
        <f>_xlfn.XLOOKUP(Table1[[#This Row],[EnvironmentSatisfaction]],Table9[EnvironmentSatisfaction],Table9[Deskripsi])</f>
        <v>High</v>
      </c>
      <c r="S946" t="str">
        <f>_xlfn.XLOOKUP(Table1[[#This Row],[Gender]],Table10[Gender],Table10[Id_Gender])</f>
        <v>G001</v>
      </c>
      <c r="T946" t="s">
        <v>45</v>
      </c>
      <c r="U946">
        <v>55</v>
      </c>
      <c r="V946" t="str">
        <f>_xlfn.XLOOKUP(Table1[[#This Row],[JobInvolvement]],Table11[JobInvolvement],Table11[Id_JobInvolvement])</f>
        <v>JI001</v>
      </c>
      <c r="W946">
        <v>1</v>
      </c>
      <c r="X946" t="str">
        <f>_xlfn.XLOOKUP(Table1[[#This Row],[JobLevel]],Table12[JobLevel],Table12[Id_JobLevel])</f>
        <v>JL002</v>
      </c>
      <c r="Y946">
        <v>2</v>
      </c>
      <c r="Z946" t="str">
        <f>_xlfn.XLOOKUP(Table1[[#This Row],[JobRole]],Table13[JobRole],Table13[Id_JobRole])</f>
        <v>JR003</v>
      </c>
      <c r="AA946" t="s">
        <v>49</v>
      </c>
      <c r="AB946" t="str">
        <f>_xlfn.XLOOKUP(Table1[[#This Row],[JobSatisfaction]],Table14[JobSatisfaction],Table14[Id_JobSatisfaction])</f>
        <v>JS004</v>
      </c>
      <c r="AC946">
        <v>4</v>
      </c>
      <c r="AD946" t="str">
        <f>_xlfn.XLOOKUP(Table1[[#This Row],[JobSatisfaction]],Table14[JobSatisfaction],Table14[Deskripsi])</f>
        <v>Very High</v>
      </c>
      <c r="AE946" t="str">
        <f>_xlfn.XLOOKUP(Table1[[#This Row],[MaritalStatus]],Table15[MaritalStatus],Table15[Id_MaritalStatus])</f>
        <v>MS002</v>
      </c>
      <c r="AF946" t="s">
        <v>56</v>
      </c>
      <c r="AG946">
        <v>6674</v>
      </c>
      <c r="AH946">
        <v>16392</v>
      </c>
      <c r="AI946">
        <v>0</v>
      </c>
      <c r="AJ946" t="str">
        <f>_xlfn.XLOOKUP(Table1[[#This Row],[OverTime]],Table16[OverTime],Table16[Id_OverTime])</f>
        <v>OT002</v>
      </c>
      <c r="AK946" t="s">
        <v>33</v>
      </c>
      <c r="AL946">
        <v>11</v>
      </c>
      <c r="AM946" t="str">
        <f>_xlfn.XLOOKUP(Table1[[#This Row],[PerformanceRating]],Table17[PerformanceRating],Table17[Id_PerformanceRating])</f>
        <v>PR003</v>
      </c>
      <c r="AN946">
        <v>3</v>
      </c>
      <c r="AO946" t="str">
        <f>_xlfn.XLOOKUP(Table1[[#This Row],[PerformanceRating]],Table17[PerformanceRating],Table17[Deskripsi])</f>
        <v>Excellent</v>
      </c>
      <c r="AP946" t="str">
        <f>_xlfn.XLOOKUP(Table1[[#This Row],[RelationshipSatisfaction]],Table18[RelationshipSatisfaction],Table18[Id_RelationshipSatisfaction])</f>
        <v>RS001</v>
      </c>
      <c r="AQ946">
        <v>1</v>
      </c>
      <c r="AR946" t="str">
        <f>_xlfn.XLOOKUP(Table1[[#This Row],[RelationshipSatisfaction]],Table18[RelationshipSatisfaction],Table18[Deskripsi])</f>
        <v>Low</v>
      </c>
      <c r="AS946" t="str">
        <f>_xlfn.XLOOKUP(Table1[[#This Row],[StockOptionLevel]],Table19[StockOptionLevel],Table19[Id_StockOptionLevel])</f>
        <v>SOL004</v>
      </c>
      <c r="AT946">
        <v>3</v>
      </c>
      <c r="AU946" t="str">
        <f>_xlfn.XLOOKUP(Table1[[#This Row],[StockOptionLevel]],Table19[StockOptionLevel],Table19[Deskripsi])</f>
        <v>Senior/Executive</v>
      </c>
      <c r="AV946">
        <v>10</v>
      </c>
      <c r="AW946">
        <v>6</v>
      </c>
      <c r="AX946" t="str">
        <f>_xlfn.XLOOKUP(Table1[[#This Row],[WorkLifeBalance]],Table20[WorkLifeBalance],Table20[Id_WorkLifeBalance])</f>
        <v>WLB002</v>
      </c>
      <c r="AY946">
        <v>3</v>
      </c>
      <c r="AZ946" t="str">
        <f>_xlfn.XLOOKUP(Table1[[#This Row],[WorkLifeBalance]],Table20[WorkLifeBalance],Table20[Deskripsi])</f>
        <v>Good</v>
      </c>
      <c r="BA946">
        <v>9</v>
      </c>
      <c r="BB946">
        <v>8</v>
      </c>
      <c r="BC946">
        <v>7</v>
      </c>
      <c r="BD946">
        <v>5</v>
      </c>
    </row>
    <row r="947" spans="1:56" x14ac:dyDescent="0.25">
      <c r="A947">
        <v>50</v>
      </c>
      <c r="B947" t="str">
        <f>_xlfn.XLOOKUP(Table1[[#This Row],[Attrition]],Table2[Attrition],Table2[Id_Attrition])</f>
        <v>A002</v>
      </c>
      <c r="C947" t="s">
        <v>33</v>
      </c>
      <c r="D947" t="str">
        <f>_xlfn.XLOOKUP(Table1[[#This Row],[BusinessTravel]],Table5[BusinessTravel],Table5[Id_BusinessTravel])</f>
        <v>BS001</v>
      </c>
      <c r="E947" t="s">
        <v>34</v>
      </c>
      <c r="F947">
        <v>1322</v>
      </c>
      <c r="G947" t="str">
        <f>_xlfn.XLOOKUP(Table1[[#This Row],[Department]],Table6[Department],Table6[Id_Departement])</f>
        <v>D002</v>
      </c>
      <c r="H947" t="s">
        <v>38</v>
      </c>
      <c r="I947">
        <v>28</v>
      </c>
      <c r="J947" t="str">
        <f>_xlfn.XLOOKUP(Table1[[#This Row],[Education]],Table8[Education],Table8[Id_Education])</f>
        <v>E003</v>
      </c>
      <c r="K947">
        <v>3</v>
      </c>
      <c r="L947" t="str">
        <f>_xlfn.XLOOKUP(Table1[[#This Row],[EducationField]],Table7[EducationField],Table7[Id_EducationField])</f>
        <v>EF001</v>
      </c>
      <c r="M947" t="s">
        <v>40</v>
      </c>
      <c r="N947" t="str">
        <f>_xlfn.XLOOKUP(Table1[[#This Row],[EmployeeNumber]],Table4[EmployeeNumber],Table4[Id_Employee])</f>
        <v>EMP00946</v>
      </c>
      <c r="O947">
        <v>1317</v>
      </c>
      <c r="P947" t="str">
        <f>_xlfn.XLOOKUP(Table1[[#This Row],[EnvironmentSatisfaction]],Table9[EnvironmentSatisfaction],Table9[Id_EnviromentSatisfaction])</f>
        <v>ES004</v>
      </c>
      <c r="Q947">
        <v>4</v>
      </c>
      <c r="R947" t="str">
        <f>_xlfn.XLOOKUP(Table1[[#This Row],[EnvironmentSatisfaction]],Table9[EnvironmentSatisfaction],Table9[Deskripsi])</f>
        <v>Very High</v>
      </c>
      <c r="S947" t="str">
        <f>_xlfn.XLOOKUP(Table1[[#This Row],[Gender]],Table10[Gender],Table10[Id_Gender])</f>
        <v>G001</v>
      </c>
      <c r="T947" t="s">
        <v>45</v>
      </c>
      <c r="U947">
        <v>43</v>
      </c>
      <c r="V947" t="str">
        <f>_xlfn.XLOOKUP(Table1[[#This Row],[JobInvolvement]],Table11[JobInvolvement],Table11[Id_JobInvolvement])</f>
        <v>JI003</v>
      </c>
      <c r="W947">
        <v>3</v>
      </c>
      <c r="X947" t="str">
        <f>_xlfn.XLOOKUP(Table1[[#This Row],[JobLevel]],Table12[JobLevel],Table12[Id_JobLevel])</f>
        <v>JL004</v>
      </c>
      <c r="Y947">
        <v>4</v>
      </c>
      <c r="Z947" t="str">
        <f>_xlfn.XLOOKUP(Table1[[#This Row],[JobRole]],Table13[JobRole],Table13[Id_JobRole])</f>
        <v>JR008</v>
      </c>
      <c r="AA947" t="s">
        <v>54</v>
      </c>
      <c r="AB947" t="str">
        <f>_xlfn.XLOOKUP(Table1[[#This Row],[JobSatisfaction]],Table14[JobSatisfaction],Table14[Id_JobSatisfaction])</f>
        <v>JS001</v>
      </c>
      <c r="AC947">
        <v>1</v>
      </c>
      <c r="AD947" t="str">
        <f>_xlfn.XLOOKUP(Table1[[#This Row],[JobSatisfaction]],Table14[JobSatisfaction],Table14[Deskripsi])</f>
        <v>Low</v>
      </c>
      <c r="AE947" t="str">
        <f>_xlfn.XLOOKUP(Table1[[#This Row],[MaritalStatus]],Table15[MaritalStatus],Table15[Id_MaritalStatus])</f>
        <v>MS002</v>
      </c>
      <c r="AF947" t="s">
        <v>56</v>
      </c>
      <c r="AG947">
        <v>16880</v>
      </c>
      <c r="AH947">
        <v>22422</v>
      </c>
      <c r="AI947">
        <v>4</v>
      </c>
      <c r="AJ947" t="str">
        <f>_xlfn.XLOOKUP(Table1[[#This Row],[OverTime]],Table16[OverTime],Table16[Id_OverTime])</f>
        <v>OT001</v>
      </c>
      <c r="AK947" t="s">
        <v>32</v>
      </c>
      <c r="AL947">
        <v>11</v>
      </c>
      <c r="AM947" t="str">
        <f>_xlfn.XLOOKUP(Table1[[#This Row],[PerformanceRating]],Table17[PerformanceRating],Table17[Id_PerformanceRating])</f>
        <v>PR003</v>
      </c>
      <c r="AN947">
        <v>3</v>
      </c>
      <c r="AO947" t="str">
        <f>_xlfn.XLOOKUP(Table1[[#This Row],[PerformanceRating]],Table17[PerformanceRating],Table17[Deskripsi])</f>
        <v>Excellent</v>
      </c>
      <c r="AP947" t="str">
        <f>_xlfn.XLOOKUP(Table1[[#This Row],[RelationshipSatisfaction]],Table18[RelationshipSatisfaction],Table18[Id_RelationshipSatisfaction])</f>
        <v>RS002</v>
      </c>
      <c r="AQ947">
        <v>2</v>
      </c>
      <c r="AR947" t="str">
        <f>_xlfn.XLOOKUP(Table1[[#This Row],[RelationshipSatisfaction]],Table18[RelationshipSatisfaction],Table18[Deskripsi])</f>
        <v>Medium</v>
      </c>
      <c r="AS947" t="str">
        <f>_xlfn.XLOOKUP(Table1[[#This Row],[StockOptionLevel]],Table19[StockOptionLevel],Table19[Id_StockOptionLevel])</f>
        <v>SOL001</v>
      </c>
      <c r="AT947">
        <v>0</v>
      </c>
      <c r="AU947" t="str">
        <f>_xlfn.XLOOKUP(Table1[[#This Row],[StockOptionLevel]],Table19[StockOptionLevel],Table19[Deskripsi])</f>
        <v>Non-Eligible</v>
      </c>
      <c r="AV947">
        <v>25</v>
      </c>
      <c r="AW947">
        <v>2</v>
      </c>
      <c r="AX947" t="str">
        <f>_xlfn.XLOOKUP(Table1[[#This Row],[WorkLifeBalance]],Table20[WorkLifeBalance],Table20[Id_WorkLifeBalance])</f>
        <v>WLB002</v>
      </c>
      <c r="AY947">
        <v>3</v>
      </c>
      <c r="AZ947" t="str">
        <f>_xlfn.XLOOKUP(Table1[[#This Row],[WorkLifeBalance]],Table20[WorkLifeBalance],Table20[Deskripsi])</f>
        <v>Good</v>
      </c>
      <c r="BA947">
        <v>3</v>
      </c>
      <c r="BB947">
        <v>2</v>
      </c>
      <c r="BC947">
        <v>1</v>
      </c>
      <c r="BD947">
        <v>2</v>
      </c>
    </row>
    <row r="948" spans="1:56" x14ac:dyDescent="0.25">
      <c r="A948">
        <v>40</v>
      </c>
      <c r="B948" t="str">
        <f>_xlfn.XLOOKUP(Table1[[#This Row],[Attrition]],Table2[Attrition],Table2[Id_Attrition])</f>
        <v>A001</v>
      </c>
      <c r="C948" t="s">
        <v>32</v>
      </c>
      <c r="D948" t="str">
        <f>_xlfn.XLOOKUP(Table1[[#This Row],[BusinessTravel]],Table5[BusinessTravel],Table5[Id_BusinessTravel])</f>
        <v>BS001</v>
      </c>
      <c r="E948" t="s">
        <v>34</v>
      </c>
      <c r="F948">
        <v>299</v>
      </c>
      <c r="G948" t="str">
        <f>_xlfn.XLOOKUP(Table1[[#This Row],[Department]],Table6[Department],Table6[Id_Departement])</f>
        <v>D001</v>
      </c>
      <c r="H948" t="s">
        <v>37</v>
      </c>
      <c r="I948">
        <v>25</v>
      </c>
      <c r="J948" t="str">
        <f>_xlfn.XLOOKUP(Table1[[#This Row],[Education]],Table8[Education],Table8[Id_Education])</f>
        <v>E004</v>
      </c>
      <c r="K948">
        <v>4</v>
      </c>
      <c r="L948" t="str">
        <f>_xlfn.XLOOKUP(Table1[[#This Row],[EducationField]],Table7[EducationField],Table7[Id_EducationField])</f>
        <v>EF004</v>
      </c>
      <c r="M948" t="s">
        <v>43</v>
      </c>
      <c r="N948" t="str">
        <f>_xlfn.XLOOKUP(Table1[[#This Row],[EmployeeNumber]],Table4[EmployeeNumber],Table4[Id_Employee])</f>
        <v>EMP00947</v>
      </c>
      <c r="O948">
        <v>1318</v>
      </c>
      <c r="P948" t="str">
        <f>_xlfn.XLOOKUP(Table1[[#This Row],[EnvironmentSatisfaction]],Table9[EnvironmentSatisfaction],Table9[Id_EnviromentSatisfaction])</f>
        <v>ES004</v>
      </c>
      <c r="Q948">
        <v>4</v>
      </c>
      <c r="R948" t="str">
        <f>_xlfn.XLOOKUP(Table1[[#This Row],[EnvironmentSatisfaction]],Table9[EnvironmentSatisfaction],Table9[Deskripsi])</f>
        <v>Very High</v>
      </c>
      <c r="S948" t="str">
        <f>_xlfn.XLOOKUP(Table1[[#This Row],[Gender]],Table10[Gender],Table10[Id_Gender])</f>
        <v>G002</v>
      </c>
      <c r="T948" t="s">
        <v>46</v>
      </c>
      <c r="U948">
        <v>57</v>
      </c>
      <c r="V948" t="str">
        <f>_xlfn.XLOOKUP(Table1[[#This Row],[JobInvolvement]],Table11[JobInvolvement],Table11[Id_JobInvolvement])</f>
        <v>JI002</v>
      </c>
      <c r="W948">
        <v>2</v>
      </c>
      <c r="X948" t="str">
        <f>_xlfn.XLOOKUP(Table1[[#This Row],[JobLevel]],Table12[JobLevel],Table12[Id_JobLevel])</f>
        <v>JL003</v>
      </c>
      <c r="Y948">
        <v>3</v>
      </c>
      <c r="Z948" t="str">
        <f>_xlfn.XLOOKUP(Table1[[#This Row],[JobRole]],Table13[JobRole],Table13[Id_JobRole])</f>
        <v>JR001</v>
      </c>
      <c r="AA948" t="s">
        <v>47</v>
      </c>
      <c r="AB948" t="str">
        <f>_xlfn.XLOOKUP(Table1[[#This Row],[JobSatisfaction]],Table14[JobSatisfaction],Table14[Id_JobSatisfaction])</f>
        <v>JS002</v>
      </c>
      <c r="AC948">
        <v>2</v>
      </c>
      <c r="AD948" t="str">
        <f>_xlfn.XLOOKUP(Table1[[#This Row],[JobSatisfaction]],Table14[JobSatisfaction],Table14[Deskripsi])</f>
        <v>Medium</v>
      </c>
      <c r="AE948" t="str">
        <f>_xlfn.XLOOKUP(Table1[[#This Row],[MaritalStatus]],Table15[MaritalStatus],Table15[Id_MaritalStatus])</f>
        <v>MS001</v>
      </c>
      <c r="AF948" t="s">
        <v>55</v>
      </c>
      <c r="AG948">
        <v>9094</v>
      </c>
      <c r="AH948">
        <v>17235</v>
      </c>
      <c r="AI948">
        <v>2</v>
      </c>
      <c r="AJ948" t="str">
        <f>_xlfn.XLOOKUP(Table1[[#This Row],[OverTime]],Table16[OverTime],Table16[Id_OverTime])</f>
        <v>OT001</v>
      </c>
      <c r="AK948" t="s">
        <v>32</v>
      </c>
      <c r="AL948">
        <v>12</v>
      </c>
      <c r="AM948" t="str">
        <f>_xlfn.XLOOKUP(Table1[[#This Row],[PerformanceRating]],Table17[PerformanceRating],Table17[Id_PerformanceRating])</f>
        <v>PR003</v>
      </c>
      <c r="AN948">
        <v>3</v>
      </c>
      <c r="AO948" t="str">
        <f>_xlfn.XLOOKUP(Table1[[#This Row],[PerformanceRating]],Table17[PerformanceRating],Table17[Deskripsi])</f>
        <v>Excellent</v>
      </c>
      <c r="AP948" t="str">
        <f>_xlfn.XLOOKUP(Table1[[#This Row],[RelationshipSatisfaction]],Table18[RelationshipSatisfaction],Table18[Id_RelationshipSatisfaction])</f>
        <v>RS003</v>
      </c>
      <c r="AQ948">
        <v>3</v>
      </c>
      <c r="AR948" t="str">
        <f>_xlfn.XLOOKUP(Table1[[#This Row],[RelationshipSatisfaction]],Table18[RelationshipSatisfaction],Table18[Deskripsi])</f>
        <v>High</v>
      </c>
      <c r="AS948" t="str">
        <f>_xlfn.XLOOKUP(Table1[[#This Row],[StockOptionLevel]],Table19[StockOptionLevel],Table19[Id_StockOptionLevel])</f>
        <v>SOL001</v>
      </c>
      <c r="AT948">
        <v>0</v>
      </c>
      <c r="AU948" t="str">
        <f>_xlfn.XLOOKUP(Table1[[#This Row],[StockOptionLevel]],Table19[StockOptionLevel],Table19[Deskripsi])</f>
        <v>Non-Eligible</v>
      </c>
      <c r="AV948">
        <v>9</v>
      </c>
      <c r="AW948">
        <v>2</v>
      </c>
      <c r="AX948" t="str">
        <f>_xlfn.XLOOKUP(Table1[[#This Row],[WorkLifeBalance]],Table20[WorkLifeBalance],Table20[Id_WorkLifeBalance])</f>
        <v>WLB002</v>
      </c>
      <c r="AY948">
        <v>3</v>
      </c>
      <c r="AZ948" t="str">
        <f>_xlfn.XLOOKUP(Table1[[#This Row],[WorkLifeBalance]],Table20[WorkLifeBalance],Table20[Deskripsi])</f>
        <v>Good</v>
      </c>
      <c r="BA948">
        <v>5</v>
      </c>
      <c r="BB948">
        <v>4</v>
      </c>
      <c r="BC948">
        <v>1</v>
      </c>
      <c r="BD948">
        <v>0</v>
      </c>
    </row>
    <row r="949" spans="1:56" x14ac:dyDescent="0.25">
      <c r="A949">
        <v>52</v>
      </c>
      <c r="B949" t="str">
        <f>_xlfn.XLOOKUP(Table1[[#This Row],[Attrition]],Table2[Attrition],Table2[Id_Attrition])</f>
        <v>A001</v>
      </c>
      <c r="C949" t="s">
        <v>32</v>
      </c>
      <c r="D949" t="str">
        <f>_xlfn.XLOOKUP(Table1[[#This Row],[BusinessTravel]],Table5[BusinessTravel],Table5[Id_BusinessTravel])</f>
        <v>BS001</v>
      </c>
      <c r="E949" t="s">
        <v>34</v>
      </c>
      <c r="F949">
        <v>1030</v>
      </c>
      <c r="G949" t="str">
        <f>_xlfn.XLOOKUP(Table1[[#This Row],[Department]],Table6[Department],Table6[Id_Departement])</f>
        <v>D001</v>
      </c>
      <c r="H949" t="s">
        <v>37</v>
      </c>
      <c r="I949">
        <v>5</v>
      </c>
      <c r="J949" t="str">
        <f>_xlfn.XLOOKUP(Table1[[#This Row],[Education]],Table8[Education],Table8[Id_Education])</f>
        <v>E003</v>
      </c>
      <c r="K949">
        <v>3</v>
      </c>
      <c r="L949" t="str">
        <f>_xlfn.XLOOKUP(Table1[[#This Row],[EducationField]],Table7[EducationField],Table7[Id_EducationField])</f>
        <v>EF001</v>
      </c>
      <c r="M949" t="s">
        <v>40</v>
      </c>
      <c r="N949" t="str">
        <f>_xlfn.XLOOKUP(Table1[[#This Row],[EmployeeNumber]],Table4[EmployeeNumber],Table4[Id_Employee])</f>
        <v>EMP00948</v>
      </c>
      <c r="O949">
        <v>1319</v>
      </c>
      <c r="P949" t="str">
        <f>_xlfn.XLOOKUP(Table1[[#This Row],[EnvironmentSatisfaction]],Table9[EnvironmentSatisfaction],Table9[Id_EnviromentSatisfaction])</f>
        <v>ES002</v>
      </c>
      <c r="Q949">
        <v>2</v>
      </c>
      <c r="R949" t="str">
        <f>_xlfn.XLOOKUP(Table1[[#This Row],[EnvironmentSatisfaction]],Table9[EnvironmentSatisfaction],Table9[Deskripsi])</f>
        <v>Medium</v>
      </c>
      <c r="S949" t="str">
        <f>_xlfn.XLOOKUP(Table1[[#This Row],[Gender]],Table10[Gender],Table10[Id_Gender])</f>
        <v>G002</v>
      </c>
      <c r="T949" t="s">
        <v>46</v>
      </c>
      <c r="U949">
        <v>64</v>
      </c>
      <c r="V949" t="str">
        <f>_xlfn.XLOOKUP(Table1[[#This Row],[JobInvolvement]],Table11[JobInvolvement],Table11[Id_JobInvolvement])</f>
        <v>JI003</v>
      </c>
      <c r="W949">
        <v>3</v>
      </c>
      <c r="X949" t="str">
        <f>_xlfn.XLOOKUP(Table1[[#This Row],[JobLevel]],Table12[JobLevel],Table12[Id_JobLevel])</f>
        <v>JL003</v>
      </c>
      <c r="Y949">
        <v>3</v>
      </c>
      <c r="Z949" t="str">
        <f>_xlfn.XLOOKUP(Table1[[#This Row],[JobRole]],Table13[JobRole],Table13[Id_JobRole])</f>
        <v>JR001</v>
      </c>
      <c r="AA949" t="s">
        <v>47</v>
      </c>
      <c r="AB949" t="str">
        <f>_xlfn.XLOOKUP(Table1[[#This Row],[JobSatisfaction]],Table14[JobSatisfaction],Table14[Id_JobSatisfaction])</f>
        <v>JS002</v>
      </c>
      <c r="AC949">
        <v>2</v>
      </c>
      <c r="AD949" t="str">
        <f>_xlfn.XLOOKUP(Table1[[#This Row],[JobSatisfaction]],Table14[JobSatisfaction],Table14[Deskripsi])</f>
        <v>Medium</v>
      </c>
      <c r="AE949" t="str">
        <f>_xlfn.XLOOKUP(Table1[[#This Row],[MaritalStatus]],Table15[MaritalStatus],Table15[Id_MaritalStatus])</f>
        <v>MS001</v>
      </c>
      <c r="AF949" t="s">
        <v>55</v>
      </c>
      <c r="AG949">
        <v>8446</v>
      </c>
      <c r="AH949">
        <v>21534</v>
      </c>
      <c r="AI949">
        <v>9</v>
      </c>
      <c r="AJ949" t="str">
        <f>_xlfn.XLOOKUP(Table1[[#This Row],[OverTime]],Table16[OverTime],Table16[Id_OverTime])</f>
        <v>OT001</v>
      </c>
      <c r="AK949" t="s">
        <v>32</v>
      </c>
      <c r="AL949">
        <v>19</v>
      </c>
      <c r="AM949" t="str">
        <f>_xlfn.XLOOKUP(Table1[[#This Row],[PerformanceRating]],Table17[PerformanceRating],Table17[Id_PerformanceRating])</f>
        <v>PR003</v>
      </c>
      <c r="AN949">
        <v>3</v>
      </c>
      <c r="AO949" t="str">
        <f>_xlfn.XLOOKUP(Table1[[#This Row],[PerformanceRating]],Table17[PerformanceRating],Table17[Deskripsi])</f>
        <v>Excellent</v>
      </c>
      <c r="AP949" t="str">
        <f>_xlfn.XLOOKUP(Table1[[#This Row],[RelationshipSatisfaction]],Table18[RelationshipSatisfaction],Table18[Id_RelationshipSatisfaction])</f>
        <v>RS003</v>
      </c>
      <c r="AQ949">
        <v>3</v>
      </c>
      <c r="AR949" t="str">
        <f>_xlfn.XLOOKUP(Table1[[#This Row],[RelationshipSatisfaction]],Table18[RelationshipSatisfaction],Table18[Deskripsi])</f>
        <v>High</v>
      </c>
      <c r="AS949" t="str">
        <f>_xlfn.XLOOKUP(Table1[[#This Row],[StockOptionLevel]],Table19[StockOptionLevel],Table19[Id_StockOptionLevel])</f>
        <v>SOL001</v>
      </c>
      <c r="AT949">
        <v>0</v>
      </c>
      <c r="AU949" t="str">
        <f>_xlfn.XLOOKUP(Table1[[#This Row],[StockOptionLevel]],Table19[StockOptionLevel],Table19[Deskripsi])</f>
        <v>Non-Eligible</v>
      </c>
      <c r="AV949">
        <v>10</v>
      </c>
      <c r="AW949">
        <v>2</v>
      </c>
      <c r="AX949" t="str">
        <f>_xlfn.XLOOKUP(Table1[[#This Row],[WorkLifeBalance]],Table20[WorkLifeBalance],Table20[Id_WorkLifeBalance])</f>
        <v>WLB003</v>
      </c>
      <c r="AY949">
        <v>2</v>
      </c>
      <c r="AZ949" t="str">
        <f>_xlfn.XLOOKUP(Table1[[#This Row],[WorkLifeBalance]],Table20[WorkLifeBalance],Table20[Deskripsi])</f>
        <v>Better</v>
      </c>
      <c r="BA949">
        <v>8</v>
      </c>
      <c r="BB949">
        <v>7</v>
      </c>
      <c r="BC949">
        <v>7</v>
      </c>
      <c r="BD949">
        <v>7</v>
      </c>
    </row>
    <row r="950" spans="1:56" x14ac:dyDescent="0.25">
      <c r="A950">
        <v>30</v>
      </c>
      <c r="B950" t="str">
        <f>_xlfn.XLOOKUP(Table1[[#This Row],[Attrition]],Table2[Attrition],Table2[Id_Attrition])</f>
        <v>A002</v>
      </c>
      <c r="C950" t="s">
        <v>33</v>
      </c>
      <c r="D950" t="str">
        <f>_xlfn.XLOOKUP(Table1[[#This Row],[BusinessTravel]],Table5[BusinessTravel],Table5[Id_BusinessTravel])</f>
        <v>BS001</v>
      </c>
      <c r="E950" t="s">
        <v>34</v>
      </c>
      <c r="F950">
        <v>634</v>
      </c>
      <c r="G950" t="str">
        <f>_xlfn.XLOOKUP(Table1[[#This Row],[Department]],Table6[Department],Table6[Id_Departement])</f>
        <v>D002</v>
      </c>
      <c r="H950" t="s">
        <v>38</v>
      </c>
      <c r="I950">
        <v>17</v>
      </c>
      <c r="J950" t="str">
        <f>_xlfn.XLOOKUP(Table1[[#This Row],[Education]],Table8[Education],Table8[Id_Education])</f>
        <v>E004</v>
      </c>
      <c r="K950">
        <v>4</v>
      </c>
      <c r="L950" t="str">
        <f>_xlfn.XLOOKUP(Table1[[#This Row],[EducationField]],Table7[EducationField],Table7[Id_EducationField])</f>
        <v>EF003</v>
      </c>
      <c r="M950" t="s">
        <v>42</v>
      </c>
      <c r="N950" t="str">
        <f>_xlfn.XLOOKUP(Table1[[#This Row],[EmployeeNumber]],Table4[EmployeeNumber],Table4[Id_Employee])</f>
        <v>EMP00949</v>
      </c>
      <c r="O950">
        <v>1321</v>
      </c>
      <c r="P950" t="str">
        <f>_xlfn.XLOOKUP(Table1[[#This Row],[EnvironmentSatisfaction]],Table9[EnvironmentSatisfaction],Table9[Id_EnviromentSatisfaction])</f>
        <v>ES002</v>
      </c>
      <c r="Q950">
        <v>2</v>
      </c>
      <c r="R950" t="str">
        <f>_xlfn.XLOOKUP(Table1[[#This Row],[EnvironmentSatisfaction]],Table9[EnvironmentSatisfaction],Table9[Deskripsi])</f>
        <v>Medium</v>
      </c>
      <c r="S950" t="str">
        <f>_xlfn.XLOOKUP(Table1[[#This Row],[Gender]],Table10[Gender],Table10[Id_Gender])</f>
        <v>G001</v>
      </c>
      <c r="T950" t="s">
        <v>45</v>
      </c>
      <c r="U950">
        <v>95</v>
      </c>
      <c r="V950" t="str">
        <f>_xlfn.XLOOKUP(Table1[[#This Row],[JobInvolvement]],Table11[JobInvolvement],Table11[Id_JobInvolvement])</f>
        <v>JI003</v>
      </c>
      <c r="W950">
        <v>3</v>
      </c>
      <c r="X950" t="str">
        <f>_xlfn.XLOOKUP(Table1[[#This Row],[JobLevel]],Table12[JobLevel],Table12[Id_JobLevel])</f>
        <v>JL003</v>
      </c>
      <c r="Y950">
        <v>3</v>
      </c>
      <c r="Z950" t="str">
        <f>_xlfn.XLOOKUP(Table1[[#This Row],[JobRole]],Table13[JobRole],Table13[Id_JobRole])</f>
        <v>JR006</v>
      </c>
      <c r="AA950" t="s">
        <v>52</v>
      </c>
      <c r="AB950" t="str">
        <f>_xlfn.XLOOKUP(Table1[[#This Row],[JobSatisfaction]],Table14[JobSatisfaction],Table14[Id_JobSatisfaction])</f>
        <v>JS001</v>
      </c>
      <c r="AC950">
        <v>1</v>
      </c>
      <c r="AD950" t="str">
        <f>_xlfn.XLOOKUP(Table1[[#This Row],[JobSatisfaction]],Table14[JobSatisfaction],Table14[Deskripsi])</f>
        <v>Low</v>
      </c>
      <c r="AE950" t="str">
        <f>_xlfn.XLOOKUP(Table1[[#This Row],[MaritalStatus]],Table15[MaritalStatus],Table15[Id_MaritalStatus])</f>
        <v>MS002</v>
      </c>
      <c r="AF950" t="s">
        <v>56</v>
      </c>
      <c r="AG950">
        <v>11916</v>
      </c>
      <c r="AH950">
        <v>25927</v>
      </c>
      <c r="AI950">
        <v>1</v>
      </c>
      <c r="AJ950" t="str">
        <f>_xlfn.XLOOKUP(Table1[[#This Row],[OverTime]],Table16[OverTime],Table16[Id_OverTime])</f>
        <v>OT001</v>
      </c>
      <c r="AK950" t="s">
        <v>32</v>
      </c>
      <c r="AL950">
        <v>23</v>
      </c>
      <c r="AM950" t="str">
        <f>_xlfn.XLOOKUP(Table1[[#This Row],[PerformanceRating]],Table17[PerformanceRating],Table17[Id_PerformanceRating])</f>
        <v>PR004</v>
      </c>
      <c r="AN950">
        <v>4</v>
      </c>
      <c r="AO950" t="str">
        <f>_xlfn.XLOOKUP(Table1[[#This Row],[PerformanceRating]],Table17[PerformanceRating],Table17[Deskripsi])</f>
        <v>Outstanding</v>
      </c>
      <c r="AP950" t="str">
        <f>_xlfn.XLOOKUP(Table1[[#This Row],[RelationshipSatisfaction]],Table18[RelationshipSatisfaction],Table18[Id_RelationshipSatisfaction])</f>
        <v>RS004</v>
      </c>
      <c r="AQ950">
        <v>4</v>
      </c>
      <c r="AR950" t="str">
        <f>_xlfn.XLOOKUP(Table1[[#This Row],[RelationshipSatisfaction]],Table18[RelationshipSatisfaction],Table18[Deskripsi])</f>
        <v>Very High</v>
      </c>
      <c r="AS950" t="str">
        <f>_xlfn.XLOOKUP(Table1[[#This Row],[StockOptionLevel]],Table19[StockOptionLevel],Table19[Id_StockOptionLevel])</f>
        <v>SOL003</v>
      </c>
      <c r="AT950">
        <v>2</v>
      </c>
      <c r="AU950" t="str">
        <f>_xlfn.XLOOKUP(Table1[[#This Row],[StockOptionLevel]],Table19[StockOptionLevel],Table19[Deskripsi])</f>
        <v>Intermediate</v>
      </c>
      <c r="AV950">
        <v>9</v>
      </c>
      <c r="AW950">
        <v>2</v>
      </c>
      <c r="AX950" t="str">
        <f>_xlfn.XLOOKUP(Table1[[#This Row],[WorkLifeBalance]],Table20[WorkLifeBalance],Table20[Id_WorkLifeBalance])</f>
        <v>WLB002</v>
      </c>
      <c r="AY950">
        <v>3</v>
      </c>
      <c r="AZ950" t="str">
        <f>_xlfn.XLOOKUP(Table1[[#This Row],[WorkLifeBalance]],Table20[WorkLifeBalance],Table20[Deskripsi])</f>
        <v>Good</v>
      </c>
      <c r="BA950">
        <v>9</v>
      </c>
      <c r="BB950">
        <v>1</v>
      </c>
      <c r="BC950">
        <v>0</v>
      </c>
      <c r="BD950">
        <v>8</v>
      </c>
    </row>
    <row r="951" spans="1:56" x14ac:dyDescent="0.25">
      <c r="A951">
        <v>39</v>
      </c>
      <c r="B951" t="str">
        <f>_xlfn.XLOOKUP(Table1[[#This Row],[Attrition]],Table2[Attrition],Table2[Id_Attrition])</f>
        <v>A002</v>
      </c>
      <c r="C951" t="s">
        <v>33</v>
      </c>
      <c r="D951" t="str">
        <f>_xlfn.XLOOKUP(Table1[[#This Row],[BusinessTravel]],Table5[BusinessTravel],Table5[Id_BusinessTravel])</f>
        <v>BS001</v>
      </c>
      <c r="E951" t="s">
        <v>34</v>
      </c>
      <c r="F951">
        <v>524</v>
      </c>
      <c r="G951" t="str">
        <f>_xlfn.XLOOKUP(Table1[[#This Row],[Department]],Table6[Department],Table6[Id_Departement])</f>
        <v>D002</v>
      </c>
      <c r="H951" t="s">
        <v>38</v>
      </c>
      <c r="I951">
        <v>18</v>
      </c>
      <c r="J951" t="str">
        <f>_xlfn.XLOOKUP(Table1[[#This Row],[Education]],Table8[Education],Table8[Id_Education])</f>
        <v>E002</v>
      </c>
      <c r="K951">
        <v>2</v>
      </c>
      <c r="L951" t="str">
        <f>_xlfn.XLOOKUP(Table1[[#This Row],[EducationField]],Table7[EducationField],Table7[Id_EducationField])</f>
        <v>EF001</v>
      </c>
      <c r="M951" t="s">
        <v>40</v>
      </c>
      <c r="N951" t="str">
        <f>_xlfn.XLOOKUP(Table1[[#This Row],[EmployeeNumber]],Table4[EmployeeNumber],Table4[Id_Employee])</f>
        <v>EMP00950</v>
      </c>
      <c r="O951">
        <v>1322</v>
      </c>
      <c r="P951" t="str">
        <f>_xlfn.XLOOKUP(Table1[[#This Row],[EnvironmentSatisfaction]],Table9[EnvironmentSatisfaction],Table9[Id_EnviromentSatisfaction])</f>
        <v>ES001</v>
      </c>
      <c r="Q951">
        <v>1</v>
      </c>
      <c r="R951" t="str">
        <f>_xlfn.XLOOKUP(Table1[[#This Row],[EnvironmentSatisfaction]],Table9[EnvironmentSatisfaction],Table9[Deskripsi])</f>
        <v>Low</v>
      </c>
      <c r="S951" t="str">
        <f>_xlfn.XLOOKUP(Table1[[#This Row],[Gender]],Table10[Gender],Table10[Id_Gender])</f>
        <v>G002</v>
      </c>
      <c r="T951" t="s">
        <v>46</v>
      </c>
      <c r="U951">
        <v>32</v>
      </c>
      <c r="V951" t="str">
        <f>_xlfn.XLOOKUP(Table1[[#This Row],[JobInvolvement]],Table11[JobInvolvement],Table11[Id_JobInvolvement])</f>
        <v>JI003</v>
      </c>
      <c r="W951">
        <v>3</v>
      </c>
      <c r="X951" t="str">
        <f>_xlfn.XLOOKUP(Table1[[#This Row],[JobLevel]],Table12[JobLevel],Table12[Id_JobLevel])</f>
        <v>JL002</v>
      </c>
      <c r="Y951">
        <v>2</v>
      </c>
      <c r="Z951" t="str">
        <f>_xlfn.XLOOKUP(Table1[[#This Row],[JobRole]],Table13[JobRole],Table13[Id_JobRole])</f>
        <v>JR004</v>
      </c>
      <c r="AA951" t="s">
        <v>50</v>
      </c>
      <c r="AB951" t="str">
        <f>_xlfn.XLOOKUP(Table1[[#This Row],[JobSatisfaction]],Table14[JobSatisfaction],Table14[Id_JobSatisfaction])</f>
        <v>JS003</v>
      </c>
      <c r="AC951">
        <v>3</v>
      </c>
      <c r="AD951" t="str">
        <f>_xlfn.XLOOKUP(Table1[[#This Row],[JobSatisfaction]],Table14[JobSatisfaction],Table14[Deskripsi])</f>
        <v>High</v>
      </c>
      <c r="AE951" t="str">
        <f>_xlfn.XLOOKUP(Table1[[#This Row],[MaritalStatus]],Table15[MaritalStatus],Table15[Id_MaritalStatus])</f>
        <v>MS001</v>
      </c>
      <c r="AF951" t="s">
        <v>55</v>
      </c>
      <c r="AG951">
        <v>4534</v>
      </c>
      <c r="AH951">
        <v>13352</v>
      </c>
      <c r="AI951">
        <v>0</v>
      </c>
      <c r="AJ951" t="str">
        <f>_xlfn.XLOOKUP(Table1[[#This Row],[OverTime]],Table16[OverTime],Table16[Id_OverTime])</f>
        <v>OT002</v>
      </c>
      <c r="AK951" t="s">
        <v>33</v>
      </c>
      <c r="AL951">
        <v>11</v>
      </c>
      <c r="AM951" t="str">
        <f>_xlfn.XLOOKUP(Table1[[#This Row],[PerformanceRating]],Table17[PerformanceRating],Table17[Id_PerformanceRating])</f>
        <v>PR003</v>
      </c>
      <c r="AN951">
        <v>3</v>
      </c>
      <c r="AO951" t="str">
        <f>_xlfn.XLOOKUP(Table1[[#This Row],[PerformanceRating]],Table17[PerformanceRating],Table17[Deskripsi])</f>
        <v>Excellent</v>
      </c>
      <c r="AP951" t="str">
        <f>_xlfn.XLOOKUP(Table1[[#This Row],[RelationshipSatisfaction]],Table18[RelationshipSatisfaction],Table18[Id_RelationshipSatisfaction])</f>
        <v>RS001</v>
      </c>
      <c r="AQ951">
        <v>1</v>
      </c>
      <c r="AR951" t="str">
        <f>_xlfn.XLOOKUP(Table1[[#This Row],[RelationshipSatisfaction]],Table18[RelationshipSatisfaction],Table18[Deskripsi])</f>
        <v>Low</v>
      </c>
      <c r="AS951" t="str">
        <f>_xlfn.XLOOKUP(Table1[[#This Row],[StockOptionLevel]],Table19[StockOptionLevel],Table19[Id_StockOptionLevel])</f>
        <v>SOL001</v>
      </c>
      <c r="AT951">
        <v>0</v>
      </c>
      <c r="AU951" t="str">
        <f>_xlfn.XLOOKUP(Table1[[#This Row],[StockOptionLevel]],Table19[StockOptionLevel],Table19[Deskripsi])</f>
        <v>Non-Eligible</v>
      </c>
      <c r="AV951">
        <v>9</v>
      </c>
      <c r="AW951">
        <v>6</v>
      </c>
      <c r="AX951" t="str">
        <f>_xlfn.XLOOKUP(Table1[[#This Row],[WorkLifeBalance]],Table20[WorkLifeBalance],Table20[Id_WorkLifeBalance])</f>
        <v>WLB002</v>
      </c>
      <c r="AY951">
        <v>3</v>
      </c>
      <c r="AZ951" t="str">
        <f>_xlfn.XLOOKUP(Table1[[#This Row],[WorkLifeBalance]],Table20[WorkLifeBalance],Table20[Deskripsi])</f>
        <v>Good</v>
      </c>
      <c r="BA951">
        <v>8</v>
      </c>
      <c r="BB951">
        <v>7</v>
      </c>
      <c r="BC951">
        <v>1</v>
      </c>
      <c r="BD951">
        <v>7</v>
      </c>
    </row>
    <row r="952" spans="1:56" x14ac:dyDescent="0.25">
      <c r="A952">
        <v>31</v>
      </c>
      <c r="B952" t="str">
        <f>_xlfn.XLOOKUP(Table1[[#This Row],[Attrition]],Table2[Attrition],Table2[Id_Attrition])</f>
        <v>A002</v>
      </c>
      <c r="C952" t="s">
        <v>33</v>
      </c>
      <c r="D952" t="str">
        <f>_xlfn.XLOOKUP(Table1[[#This Row],[BusinessTravel]],Table5[BusinessTravel],Table5[Id_BusinessTravel])</f>
        <v>BS003</v>
      </c>
      <c r="E952" t="s">
        <v>36</v>
      </c>
      <c r="F952">
        <v>587</v>
      </c>
      <c r="G952" t="str">
        <f>_xlfn.XLOOKUP(Table1[[#This Row],[Department]],Table6[Department],Table6[Id_Departement])</f>
        <v>D001</v>
      </c>
      <c r="H952" t="s">
        <v>37</v>
      </c>
      <c r="I952">
        <v>2</v>
      </c>
      <c r="J952" t="str">
        <f>_xlfn.XLOOKUP(Table1[[#This Row],[Education]],Table8[Education],Table8[Id_Education])</f>
        <v>E004</v>
      </c>
      <c r="K952">
        <v>4</v>
      </c>
      <c r="L952" t="str">
        <f>_xlfn.XLOOKUP(Table1[[#This Row],[EducationField]],Table7[EducationField],Table7[Id_EducationField])</f>
        <v>EF001</v>
      </c>
      <c r="M952" t="s">
        <v>40</v>
      </c>
      <c r="N952" t="str">
        <f>_xlfn.XLOOKUP(Table1[[#This Row],[EmployeeNumber]],Table4[EmployeeNumber],Table4[Id_Employee])</f>
        <v>EMP00951</v>
      </c>
      <c r="O952">
        <v>1324</v>
      </c>
      <c r="P952" t="str">
        <f>_xlfn.XLOOKUP(Table1[[#This Row],[EnvironmentSatisfaction]],Table9[EnvironmentSatisfaction],Table9[Id_EnviromentSatisfaction])</f>
        <v>ES004</v>
      </c>
      <c r="Q952">
        <v>4</v>
      </c>
      <c r="R952" t="str">
        <f>_xlfn.XLOOKUP(Table1[[#This Row],[EnvironmentSatisfaction]],Table9[EnvironmentSatisfaction],Table9[Deskripsi])</f>
        <v>Very High</v>
      </c>
      <c r="S952" t="str">
        <f>_xlfn.XLOOKUP(Table1[[#This Row],[Gender]],Table10[Gender],Table10[Id_Gender])</f>
        <v>G001</v>
      </c>
      <c r="T952" t="s">
        <v>45</v>
      </c>
      <c r="U952">
        <v>57</v>
      </c>
      <c r="V952" t="str">
        <f>_xlfn.XLOOKUP(Table1[[#This Row],[JobInvolvement]],Table11[JobInvolvement],Table11[Id_JobInvolvement])</f>
        <v>JI003</v>
      </c>
      <c r="W952">
        <v>3</v>
      </c>
      <c r="X952" t="str">
        <f>_xlfn.XLOOKUP(Table1[[#This Row],[JobLevel]],Table12[JobLevel],Table12[Id_JobLevel])</f>
        <v>JL003</v>
      </c>
      <c r="Y952">
        <v>3</v>
      </c>
      <c r="Z952" t="str">
        <f>_xlfn.XLOOKUP(Table1[[#This Row],[JobRole]],Table13[JobRole],Table13[Id_JobRole])</f>
        <v>JR001</v>
      </c>
      <c r="AA952" t="s">
        <v>47</v>
      </c>
      <c r="AB952" t="str">
        <f>_xlfn.XLOOKUP(Table1[[#This Row],[JobSatisfaction]],Table14[JobSatisfaction],Table14[Id_JobSatisfaction])</f>
        <v>JS003</v>
      </c>
      <c r="AC952">
        <v>3</v>
      </c>
      <c r="AD952" t="str">
        <f>_xlfn.XLOOKUP(Table1[[#This Row],[JobSatisfaction]],Table14[JobSatisfaction],Table14[Deskripsi])</f>
        <v>High</v>
      </c>
      <c r="AE952" t="str">
        <f>_xlfn.XLOOKUP(Table1[[#This Row],[MaritalStatus]],Table15[MaritalStatus],Table15[Id_MaritalStatus])</f>
        <v>MS003</v>
      </c>
      <c r="AF952" t="s">
        <v>57</v>
      </c>
      <c r="AG952">
        <v>9852</v>
      </c>
      <c r="AH952">
        <v>8935</v>
      </c>
      <c r="AI952">
        <v>1</v>
      </c>
      <c r="AJ952" t="str">
        <f>_xlfn.XLOOKUP(Table1[[#This Row],[OverTime]],Table16[OverTime],Table16[Id_OverTime])</f>
        <v>OT001</v>
      </c>
      <c r="AK952" t="s">
        <v>32</v>
      </c>
      <c r="AL952">
        <v>19</v>
      </c>
      <c r="AM952" t="str">
        <f>_xlfn.XLOOKUP(Table1[[#This Row],[PerformanceRating]],Table17[PerformanceRating],Table17[Id_PerformanceRating])</f>
        <v>PR003</v>
      </c>
      <c r="AN952">
        <v>3</v>
      </c>
      <c r="AO952" t="str">
        <f>_xlfn.XLOOKUP(Table1[[#This Row],[PerformanceRating]],Table17[PerformanceRating],Table17[Deskripsi])</f>
        <v>Excellent</v>
      </c>
      <c r="AP952" t="str">
        <f>_xlfn.XLOOKUP(Table1[[#This Row],[RelationshipSatisfaction]],Table18[RelationshipSatisfaction],Table18[Id_RelationshipSatisfaction])</f>
        <v>RS001</v>
      </c>
      <c r="AQ952">
        <v>1</v>
      </c>
      <c r="AR952" t="str">
        <f>_xlfn.XLOOKUP(Table1[[#This Row],[RelationshipSatisfaction]],Table18[RelationshipSatisfaction],Table18[Deskripsi])</f>
        <v>Low</v>
      </c>
      <c r="AS952" t="str">
        <f>_xlfn.XLOOKUP(Table1[[#This Row],[StockOptionLevel]],Table19[StockOptionLevel],Table19[Id_StockOptionLevel])</f>
        <v>SOL002</v>
      </c>
      <c r="AT952">
        <v>1</v>
      </c>
      <c r="AU952" t="str">
        <f>_xlfn.XLOOKUP(Table1[[#This Row],[StockOptionLevel]],Table19[StockOptionLevel],Table19[Deskripsi])</f>
        <v>Standard</v>
      </c>
      <c r="AV952">
        <v>10</v>
      </c>
      <c r="AW952">
        <v>5</v>
      </c>
      <c r="AX952" t="str">
        <f>_xlfn.XLOOKUP(Table1[[#This Row],[WorkLifeBalance]],Table20[WorkLifeBalance],Table20[Id_WorkLifeBalance])</f>
        <v>WLB003</v>
      </c>
      <c r="AY952">
        <v>2</v>
      </c>
      <c r="AZ952" t="str">
        <f>_xlfn.XLOOKUP(Table1[[#This Row],[WorkLifeBalance]],Table20[WorkLifeBalance],Table20[Deskripsi])</f>
        <v>Better</v>
      </c>
      <c r="BA952">
        <v>10</v>
      </c>
      <c r="BB952">
        <v>8</v>
      </c>
      <c r="BC952">
        <v>9</v>
      </c>
      <c r="BD952">
        <v>6</v>
      </c>
    </row>
    <row r="953" spans="1:56" x14ac:dyDescent="0.25">
      <c r="A953">
        <v>41</v>
      </c>
      <c r="B953" t="str">
        <f>_xlfn.XLOOKUP(Table1[[#This Row],[Attrition]],Table2[Attrition],Table2[Id_Attrition])</f>
        <v>A002</v>
      </c>
      <c r="C953" t="s">
        <v>33</v>
      </c>
      <c r="D953" t="str">
        <f>_xlfn.XLOOKUP(Table1[[#This Row],[BusinessTravel]],Table5[BusinessTravel],Table5[Id_BusinessTravel])</f>
        <v>BS003</v>
      </c>
      <c r="E953" t="s">
        <v>36</v>
      </c>
      <c r="F953">
        <v>256</v>
      </c>
      <c r="G953" t="str">
        <f>_xlfn.XLOOKUP(Table1[[#This Row],[Department]],Table6[Department],Table6[Id_Departement])</f>
        <v>D001</v>
      </c>
      <c r="H953" t="s">
        <v>37</v>
      </c>
      <c r="I953">
        <v>10</v>
      </c>
      <c r="J953" t="str">
        <f>_xlfn.XLOOKUP(Table1[[#This Row],[Education]],Table8[Education],Table8[Id_Education])</f>
        <v>E002</v>
      </c>
      <c r="K953">
        <v>2</v>
      </c>
      <c r="L953" t="str">
        <f>_xlfn.XLOOKUP(Table1[[#This Row],[EducationField]],Table7[EducationField],Table7[Id_EducationField])</f>
        <v>EF003</v>
      </c>
      <c r="M953" t="s">
        <v>42</v>
      </c>
      <c r="N953" t="str">
        <f>_xlfn.XLOOKUP(Table1[[#This Row],[EmployeeNumber]],Table4[EmployeeNumber],Table4[Id_Employee])</f>
        <v>EMP00952</v>
      </c>
      <c r="O953">
        <v>1329</v>
      </c>
      <c r="P953" t="str">
        <f>_xlfn.XLOOKUP(Table1[[#This Row],[EnvironmentSatisfaction]],Table9[EnvironmentSatisfaction],Table9[Id_EnviromentSatisfaction])</f>
        <v>ES003</v>
      </c>
      <c r="Q953">
        <v>3</v>
      </c>
      <c r="R953" t="str">
        <f>_xlfn.XLOOKUP(Table1[[#This Row],[EnvironmentSatisfaction]],Table9[EnvironmentSatisfaction],Table9[Deskripsi])</f>
        <v>High</v>
      </c>
      <c r="S953" t="str">
        <f>_xlfn.XLOOKUP(Table1[[#This Row],[Gender]],Table10[Gender],Table10[Id_Gender])</f>
        <v>G002</v>
      </c>
      <c r="T953" t="s">
        <v>46</v>
      </c>
      <c r="U953">
        <v>40</v>
      </c>
      <c r="V953" t="str">
        <f>_xlfn.XLOOKUP(Table1[[#This Row],[JobInvolvement]],Table11[JobInvolvement],Table11[Id_JobInvolvement])</f>
        <v>JI001</v>
      </c>
      <c r="W953">
        <v>1</v>
      </c>
      <c r="X953" t="str">
        <f>_xlfn.XLOOKUP(Table1[[#This Row],[JobLevel]],Table12[JobLevel],Table12[Id_JobLevel])</f>
        <v>JL002</v>
      </c>
      <c r="Y953">
        <v>2</v>
      </c>
      <c r="Z953" t="str">
        <f>_xlfn.XLOOKUP(Table1[[#This Row],[JobRole]],Table13[JobRole],Table13[Id_JobRole])</f>
        <v>JR001</v>
      </c>
      <c r="AA953" t="s">
        <v>47</v>
      </c>
      <c r="AB953" t="str">
        <f>_xlfn.XLOOKUP(Table1[[#This Row],[JobSatisfaction]],Table14[JobSatisfaction],Table14[Id_JobSatisfaction])</f>
        <v>JS002</v>
      </c>
      <c r="AC953">
        <v>2</v>
      </c>
      <c r="AD953" t="str">
        <f>_xlfn.XLOOKUP(Table1[[#This Row],[JobSatisfaction]],Table14[JobSatisfaction],Table14[Deskripsi])</f>
        <v>Medium</v>
      </c>
      <c r="AE953" t="str">
        <f>_xlfn.XLOOKUP(Table1[[#This Row],[MaritalStatus]],Table15[MaritalStatus],Table15[Id_MaritalStatus])</f>
        <v>MS001</v>
      </c>
      <c r="AF953" t="s">
        <v>55</v>
      </c>
      <c r="AG953">
        <v>6151</v>
      </c>
      <c r="AH953">
        <v>22074</v>
      </c>
      <c r="AI953">
        <v>1</v>
      </c>
      <c r="AJ953" t="str">
        <f>_xlfn.XLOOKUP(Table1[[#This Row],[OverTime]],Table16[OverTime],Table16[Id_OverTime])</f>
        <v>OT002</v>
      </c>
      <c r="AK953" t="s">
        <v>33</v>
      </c>
      <c r="AL953">
        <v>13</v>
      </c>
      <c r="AM953" t="str">
        <f>_xlfn.XLOOKUP(Table1[[#This Row],[PerformanceRating]],Table17[PerformanceRating],Table17[Id_PerformanceRating])</f>
        <v>PR003</v>
      </c>
      <c r="AN953">
        <v>3</v>
      </c>
      <c r="AO953" t="str">
        <f>_xlfn.XLOOKUP(Table1[[#This Row],[PerformanceRating]],Table17[PerformanceRating],Table17[Deskripsi])</f>
        <v>Excellent</v>
      </c>
      <c r="AP953" t="str">
        <f>_xlfn.XLOOKUP(Table1[[#This Row],[RelationshipSatisfaction]],Table18[RelationshipSatisfaction],Table18[Id_RelationshipSatisfaction])</f>
        <v>RS001</v>
      </c>
      <c r="AQ953">
        <v>1</v>
      </c>
      <c r="AR953" t="str">
        <f>_xlfn.XLOOKUP(Table1[[#This Row],[RelationshipSatisfaction]],Table18[RelationshipSatisfaction],Table18[Deskripsi])</f>
        <v>Low</v>
      </c>
      <c r="AS953" t="str">
        <f>_xlfn.XLOOKUP(Table1[[#This Row],[StockOptionLevel]],Table19[StockOptionLevel],Table19[Id_StockOptionLevel])</f>
        <v>SOL001</v>
      </c>
      <c r="AT953">
        <v>0</v>
      </c>
      <c r="AU953" t="str">
        <f>_xlfn.XLOOKUP(Table1[[#This Row],[StockOptionLevel]],Table19[StockOptionLevel],Table19[Deskripsi])</f>
        <v>Non-Eligible</v>
      </c>
      <c r="AV953">
        <v>19</v>
      </c>
      <c r="AW953">
        <v>4</v>
      </c>
      <c r="AX953" t="str">
        <f>_xlfn.XLOOKUP(Table1[[#This Row],[WorkLifeBalance]],Table20[WorkLifeBalance],Table20[Id_WorkLifeBalance])</f>
        <v>WLB002</v>
      </c>
      <c r="AY953">
        <v>3</v>
      </c>
      <c r="AZ953" t="str">
        <f>_xlfn.XLOOKUP(Table1[[#This Row],[WorkLifeBalance]],Table20[WorkLifeBalance],Table20[Deskripsi])</f>
        <v>Good</v>
      </c>
      <c r="BA953">
        <v>19</v>
      </c>
      <c r="BB953">
        <v>2</v>
      </c>
      <c r="BC953">
        <v>11</v>
      </c>
      <c r="BD953">
        <v>9</v>
      </c>
    </row>
    <row r="954" spans="1:56" x14ac:dyDescent="0.25">
      <c r="A954">
        <v>31</v>
      </c>
      <c r="B954" t="str">
        <f>_xlfn.XLOOKUP(Table1[[#This Row],[Attrition]],Table2[Attrition],Table2[Id_Attrition])</f>
        <v>A001</v>
      </c>
      <c r="C954" t="s">
        <v>32</v>
      </c>
      <c r="D954" t="str">
        <f>_xlfn.XLOOKUP(Table1[[#This Row],[BusinessTravel]],Table5[BusinessTravel],Table5[Id_BusinessTravel])</f>
        <v>BS002</v>
      </c>
      <c r="E954" t="s">
        <v>35</v>
      </c>
      <c r="F954">
        <v>1060</v>
      </c>
      <c r="G954" t="str">
        <f>_xlfn.XLOOKUP(Table1[[#This Row],[Department]],Table6[Department],Table6[Id_Departement])</f>
        <v>D001</v>
      </c>
      <c r="H954" t="s">
        <v>37</v>
      </c>
      <c r="I954">
        <v>1</v>
      </c>
      <c r="J954" t="str">
        <f>_xlfn.XLOOKUP(Table1[[#This Row],[Education]],Table8[Education],Table8[Id_Education])</f>
        <v>E003</v>
      </c>
      <c r="K954">
        <v>3</v>
      </c>
      <c r="L954" t="str">
        <f>_xlfn.XLOOKUP(Table1[[#This Row],[EducationField]],Table7[EducationField],Table7[Id_EducationField])</f>
        <v>EF001</v>
      </c>
      <c r="M954" t="s">
        <v>40</v>
      </c>
      <c r="N954" t="str">
        <f>_xlfn.XLOOKUP(Table1[[#This Row],[EmployeeNumber]],Table4[EmployeeNumber],Table4[Id_Employee])</f>
        <v>EMP00953</v>
      </c>
      <c r="O954">
        <v>1331</v>
      </c>
      <c r="P954" t="str">
        <f>_xlfn.XLOOKUP(Table1[[#This Row],[EnvironmentSatisfaction]],Table9[EnvironmentSatisfaction],Table9[Id_EnviromentSatisfaction])</f>
        <v>ES004</v>
      </c>
      <c r="Q954">
        <v>4</v>
      </c>
      <c r="R954" t="str">
        <f>_xlfn.XLOOKUP(Table1[[#This Row],[EnvironmentSatisfaction]],Table9[EnvironmentSatisfaction],Table9[Deskripsi])</f>
        <v>Very High</v>
      </c>
      <c r="S954" t="str">
        <f>_xlfn.XLOOKUP(Table1[[#This Row],[Gender]],Table10[Gender],Table10[Id_Gender])</f>
        <v>G001</v>
      </c>
      <c r="T954" t="s">
        <v>45</v>
      </c>
      <c r="U954">
        <v>54</v>
      </c>
      <c r="V954" t="str">
        <f>_xlfn.XLOOKUP(Table1[[#This Row],[JobInvolvement]],Table11[JobInvolvement],Table11[Id_JobInvolvement])</f>
        <v>JI003</v>
      </c>
      <c r="W954">
        <v>3</v>
      </c>
      <c r="X954" t="str">
        <f>_xlfn.XLOOKUP(Table1[[#This Row],[JobLevel]],Table12[JobLevel],Table12[Id_JobLevel])</f>
        <v>JL001</v>
      </c>
      <c r="Y954">
        <v>1</v>
      </c>
      <c r="Z954" t="str">
        <f>_xlfn.XLOOKUP(Table1[[#This Row],[JobRole]],Table13[JobRole],Table13[Id_JobRole])</f>
        <v>JR007</v>
      </c>
      <c r="AA954" t="s">
        <v>53</v>
      </c>
      <c r="AB954" t="str">
        <f>_xlfn.XLOOKUP(Table1[[#This Row],[JobSatisfaction]],Table14[JobSatisfaction],Table14[Id_JobSatisfaction])</f>
        <v>JS002</v>
      </c>
      <c r="AC954">
        <v>2</v>
      </c>
      <c r="AD954" t="str">
        <f>_xlfn.XLOOKUP(Table1[[#This Row],[JobSatisfaction]],Table14[JobSatisfaction],Table14[Deskripsi])</f>
        <v>Medium</v>
      </c>
      <c r="AE954" t="str">
        <f>_xlfn.XLOOKUP(Table1[[#This Row],[MaritalStatus]],Table15[MaritalStatus],Table15[Id_MaritalStatus])</f>
        <v>MS001</v>
      </c>
      <c r="AF954" t="s">
        <v>55</v>
      </c>
      <c r="AG954">
        <v>2302</v>
      </c>
      <c r="AH954">
        <v>8319</v>
      </c>
      <c r="AI954">
        <v>1</v>
      </c>
      <c r="AJ954" t="str">
        <f>_xlfn.XLOOKUP(Table1[[#This Row],[OverTime]],Table16[OverTime],Table16[Id_OverTime])</f>
        <v>OT001</v>
      </c>
      <c r="AK954" t="s">
        <v>32</v>
      </c>
      <c r="AL954">
        <v>11</v>
      </c>
      <c r="AM954" t="str">
        <f>_xlfn.XLOOKUP(Table1[[#This Row],[PerformanceRating]],Table17[PerformanceRating],Table17[Id_PerformanceRating])</f>
        <v>PR003</v>
      </c>
      <c r="AN954">
        <v>3</v>
      </c>
      <c r="AO954" t="str">
        <f>_xlfn.XLOOKUP(Table1[[#This Row],[PerformanceRating]],Table17[PerformanceRating],Table17[Deskripsi])</f>
        <v>Excellent</v>
      </c>
      <c r="AP954" t="str">
        <f>_xlfn.XLOOKUP(Table1[[#This Row],[RelationshipSatisfaction]],Table18[RelationshipSatisfaction],Table18[Id_RelationshipSatisfaction])</f>
        <v>RS001</v>
      </c>
      <c r="AQ954">
        <v>1</v>
      </c>
      <c r="AR954" t="str">
        <f>_xlfn.XLOOKUP(Table1[[#This Row],[RelationshipSatisfaction]],Table18[RelationshipSatisfaction],Table18[Deskripsi])</f>
        <v>Low</v>
      </c>
      <c r="AS954" t="str">
        <f>_xlfn.XLOOKUP(Table1[[#This Row],[StockOptionLevel]],Table19[StockOptionLevel],Table19[Id_StockOptionLevel])</f>
        <v>SOL001</v>
      </c>
      <c r="AT954">
        <v>0</v>
      </c>
      <c r="AU954" t="str">
        <f>_xlfn.XLOOKUP(Table1[[#This Row],[StockOptionLevel]],Table19[StockOptionLevel],Table19[Deskripsi])</f>
        <v>Non-Eligible</v>
      </c>
      <c r="AV954">
        <v>3</v>
      </c>
      <c r="AW954">
        <v>2</v>
      </c>
      <c r="AX954" t="str">
        <f>_xlfn.XLOOKUP(Table1[[#This Row],[WorkLifeBalance]],Table20[WorkLifeBalance],Table20[Id_WorkLifeBalance])</f>
        <v>WLB004</v>
      </c>
      <c r="AY954">
        <v>4</v>
      </c>
      <c r="AZ954" t="str">
        <f>_xlfn.XLOOKUP(Table1[[#This Row],[WorkLifeBalance]],Table20[WorkLifeBalance],Table20[Deskripsi])</f>
        <v>Best</v>
      </c>
      <c r="BA954">
        <v>3</v>
      </c>
      <c r="BB954">
        <v>2</v>
      </c>
      <c r="BC954">
        <v>2</v>
      </c>
      <c r="BD954">
        <v>2</v>
      </c>
    </row>
    <row r="955" spans="1:56" x14ac:dyDescent="0.25">
      <c r="A955">
        <v>44</v>
      </c>
      <c r="B955" t="str">
        <f>_xlfn.XLOOKUP(Table1[[#This Row],[Attrition]],Table2[Attrition],Table2[Id_Attrition])</f>
        <v>A001</v>
      </c>
      <c r="C955" t="s">
        <v>32</v>
      </c>
      <c r="D955" t="str">
        <f>_xlfn.XLOOKUP(Table1[[#This Row],[BusinessTravel]],Table5[BusinessTravel],Table5[Id_BusinessTravel])</f>
        <v>BS001</v>
      </c>
      <c r="E955" t="s">
        <v>34</v>
      </c>
      <c r="F955">
        <v>935</v>
      </c>
      <c r="G955" t="str">
        <f>_xlfn.XLOOKUP(Table1[[#This Row],[Department]],Table6[Department],Table6[Id_Departement])</f>
        <v>D002</v>
      </c>
      <c r="H955" t="s">
        <v>38</v>
      </c>
      <c r="I955">
        <v>3</v>
      </c>
      <c r="J955" t="str">
        <f>_xlfn.XLOOKUP(Table1[[#This Row],[Education]],Table8[Education],Table8[Id_Education])</f>
        <v>E003</v>
      </c>
      <c r="K955">
        <v>3</v>
      </c>
      <c r="L955" t="str">
        <f>_xlfn.XLOOKUP(Table1[[#This Row],[EducationField]],Table7[EducationField],Table7[Id_EducationField])</f>
        <v>EF001</v>
      </c>
      <c r="M955" t="s">
        <v>40</v>
      </c>
      <c r="N955" t="str">
        <f>_xlfn.XLOOKUP(Table1[[#This Row],[EmployeeNumber]],Table4[EmployeeNumber],Table4[Id_Employee])</f>
        <v>EMP00954</v>
      </c>
      <c r="O955">
        <v>1333</v>
      </c>
      <c r="P955" t="str">
        <f>_xlfn.XLOOKUP(Table1[[#This Row],[EnvironmentSatisfaction]],Table9[EnvironmentSatisfaction],Table9[Id_EnviromentSatisfaction])</f>
        <v>ES001</v>
      </c>
      <c r="Q955">
        <v>1</v>
      </c>
      <c r="R955" t="str">
        <f>_xlfn.XLOOKUP(Table1[[#This Row],[EnvironmentSatisfaction]],Table9[EnvironmentSatisfaction],Table9[Deskripsi])</f>
        <v>Low</v>
      </c>
      <c r="S955" t="str">
        <f>_xlfn.XLOOKUP(Table1[[#This Row],[Gender]],Table10[Gender],Table10[Id_Gender])</f>
        <v>G002</v>
      </c>
      <c r="T955" t="s">
        <v>46</v>
      </c>
      <c r="U955">
        <v>89</v>
      </c>
      <c r="V955" t="str">
        <f>_xlfn.XLOOKUP(Table1[[#This Row],[JobInvolvement]],Table11[JobInvolvement],Table11[Id_JobInvolvement])</f>
        <v>JI003</v>
      </c>
      <c r="W955">
        <v>3</v>
      </c>
      <c r="X955" t="str">
        <f>_xlfn.XLOOKUP(Table1[[#This Row],[JobLevel]],Table12[JobLevel],Table12[Id_JobLevel])</f>
        <v>JL001</v>
      </c>
      <c r="Y955">
        <v>1</v>
      </c>
      <c r="Z955" t="str">
        <f>_xlfn.XLOOKUP(Table1[[#This Row],[JobRole]],Table13[JobRole],Table13[Id_JobRole])</f>
        <v>JR003</v>
      </c>
      <c r="AA955" t="s">
        <v>49</v>
      </c>
      <c r="AB955" t="str">
        <f>_xlfn.XLOOKUP(Table1[[#This Row],[JobSatisfaction]],Table14[JobSatisfaction],Table14[Id_JobSatisfaction])</f>
        <v>JS001</v>
      </c>
      <c r="AC955">
        <v>1</v>
      </c>
      <c r="AD955" t="str">
        <f>_xlfn.XLOOKUP(Table1[[#This Row],[JobSatisfaction]],Table14[JobSatisfaction],Table14[Deskripsi])</f>
        <v>Low</v>
      </c>
      <c r="AE955" t="str">
        <f>_xlfn.XLOOKUP(Table1[[#This Row],[MaritalStatus]],Table15[MaritalStatus],Table15[Id_MaritalStatus])</f>
        <v>MS002</v>
      </c>
      <c r="AF955" t="s">
        <v>56</v>
      </c>
      <c r="AG955">
        <v>2362</v>
      </c>
      <c r="AH955">
        <v>14669</v>
      </c>
      <c r="AI955">
        <v>4</v>
      </c>
      <c r="AJ955" t="str">
        <f>_xlfn.XLOOKUP(Table1[[#This Row],[OverTime]],Table16[OverTime],Table16[Id_OverTime])</f>
        <v>OT002</v>
      </c>
      <c r="AK955" t="s">
        <v>33</v>
      </c>
      <c r="AL955">
        <v>12</v>
      </c>
      <c r="AM955" t="str">
        <f>_xlfn.XLOOKUP(Table1[[#This Row],[PerformanceRating]],Table17[PerformanceRating],Table17[Id_PerformanceRating])</f>
        <v>PR003</v>
      </c>
      <c r="AN955">
        <v>3</v>
      </c>
      <c r="AO955" t="str">
        <f>_xlfn.XLOOKUP(Table1[[#This Row],[PerformanceRating]],Table17[PerformanceRating],Table17[Deskripsi])</f>
        <v>Excellent</v>
      </c>
      <c r="AP955" t="str">
        <f>_xlfn.XLOOKUP(Table1[[#This Row],[RelationshipSatisfaction]],Table18[RelationshipSatisfaction],Table18[Id_RelationshipSatisfaction])</f>
        <v>RS003</v>
      </c>
      <c r="AQ955">
        <v>3</v>
      </c>
      <c r="AR955" t="str">
        <f>_xlfn.XLOOKUP(Table1[[#This Row],[RelationshipSatisfaction]],Table18[RelationshipSatisfaction],Table18[Deskripsi])</f>
        <v>High</v>
      </c>
      <c r="AS955" t="str">
        <f>_xlfn.XLOOKUP(Table1[[#This Row],[StockOptionLevel]],Table19[StockOptionLevel],Table19[Id_StockOptionLevel])</f>
        <v>SOL001</v>
      </c>
      <c r="AT955">
        <v>0</v>
      </c>
      <c r="AU955" t="str">
        <f>_xlfn.XLOOKUP(Table1[[#This Row],[StockOptionLevel]],Table19[StockOptionLevel],Table19[Deskripsi])</f>
        <v>Non-Eligible</v>
      </c>
      <c r="AV955">
        <v>10</v>
      </c>
      <c r="AW955">
        <v>4</v>
      </c>
      <c r="AX955" t="str">
        <f>_xlfn.XLOOKUP(Table1[[#This Row],[WorkLifeBalance]],Table20[WorkLifeBalance],Table20[Id_WorkLifeBalance])</f>
        <v>WLB004</v>
      </c>
      <c r="AY955">
        <v>4</v>
      </c>
      <c r="AZ955" t="str">
        <f>_xlfn.XLOOKUP(Table1[[#This Row],[WorkLifeBalance]],Table20[WorkLifeBalance],Table20[Deskripsi])</f>
        <v>Best</v>
      </c>
      <c r="BA955">
        <v>3</v>
      </c>
      <c r="BB955">
        <v>2</v>
      </c>
      <c r="BC955">
        <v>1</v>
      </c>
      <c r="BD955">
        <v>2</v>
      </c>
    </row>
    <row r="956" spans="1:56" x14ac:dyDescent="0.25">
      <c r="A956">
        <v>42</v>
      </c>
      <c r="B956" t="str">
        <f>_xlfn.XLOOKUP(Table1[[#This Row],[Attrition]],Table2[Attrition],Table2[Id_Attrition])</f>
        <v>A002</v>
      </c>
      <c r="C956" t="s">
        <v>33</v>
      </c>
      <c r="D956" t="str">
        <f>_xlfn.XLOOKUP(Table1[[#This Row],[BusinessTravel]],Table5[BusinessTravel],Table5[Id_BusinessTravel])</f>
        <v>BS003</v>
      </c>
      <c r="E956" t="s">
        <v>36</v>
      </c>
      <c r="F956">
        <v>495</v>
      </c>
      <c r="G956" t="str">
        <f>_xlfn.XLOOKUP(Table1[[#This Row],[Department]],Table6[Department],Table6[Id_Departement])</f>
        <v>D002</v>
      </c>
      <c r="H956" t="s">
        <v>38</v>
      </c>
      <c r="I956">
        <v>2</v>
      </c>
      <c r="J956" t="str">
        <f>_xlfn.XLOOKUP(Table1[[#This Row],[Education]],Table8[Education],Table8[Id_Education])</f>
        <v>E001</v>
      </c>
      <c r="K956">
        <v>1</v>
      </c>
      <c r="L956" t="str">
        <f>_xlfn.XLOOKUP(Table1[[#This Row],[EducationField]],Table7[EducationField],Table7[Id_EducationField])</f>
        <v>EF001</v>
      </c>
      <c r="M956" t="s">
        <v>40</v>
      </c>
      <c r="N956" t="str">
        <f>_xlfn.XLOOKUP(Table1[[#This Row],[EmployeeNumber]],Table4[EmployeeNumber],Table4[Id_Employee])</f>
        <v>EMP00955</v>
      </c>
      <c r="O956">
        <v>1334</v>
      </c>
      <c r="P956" t="str">
        <f>_xlfn.XLOOKUP(Table1[[#This Row],[EnvironmentSatisfaction]],Table9[EnvironmentSatisfaction],Table9[Id_EnviromentSatisfaction])</f>
        <v>ES003</v>
      </c>
      <c r="Q956">
        <v>3</v>
      </c>
      <c r="R956" t="str">
        <f>_xlfn.XLOOKUP(Table1[[#This Row],[EnvironmentSatisfaction]],Table9[EnvironmentSatisfaction],Table9[Deskripsi])</f>
        <v>High</v>
      </c>
      <c r="S956" t="str">
        <f>_xlfn.XLOOKUP(Table1[[#This Row],[Gender]],Table10[Gender],Table10[Id_Gender])</f>
        <v>G002</v>
      </c>
      <c r="T956" t="s">
        <v>46</v>
      </c>
      <c r="U956">
        <v>37</v>
      </c>
      <c r="V956" t="str">
        <f>_xlfn.XLOOKUP(Table1[[#This Row],[JobInvolvement]],Table11[JobInvolvement],Table11[Id_JobInvolvement])</f>
        <v>JI003</v>
      </c>
      <c r="W956">
        <v>3</v>
      </c>
      <c r="X956" t="str">
        <f>_xlfn.XLOOKUP(Table1[[#This Row],[JobLevel]],Table12[JobLevel],Table12[Id_JobLevel])</f>
        <v>JL004</v>
      </c>
      <c r="Y956">
        <v>4</v>
      </c>
      <c r="Z956" t="str">
        <f>_xlfn.XLOOKUP(Table1[[#This Row],[JobRole]],Table13[JobRole],Table13[Id_JobRole])</f>
        <v>JR006</v>
      </c>
      <c r="AA956" t="s">
        <v>52</v>
      </c>
      <c r="AB956" t="str">
        <f>_xlfn.XLOOKUP(Table1[[#This Row],[JobSatisfaction]],Table14[JobSatisfaction],Table14[Id_JobSatisfaction])</f>
        <v>JS003</v>
      </c>
      <c r="AC956">
        <v>3</v>
      </c>
      <c r="AD956" t="str">
        <f>_xlfn.XLOOKUP(Table1[[#This Row],[JobSatisfaction]],Table14[JobSatisfaction],Table14[Deskripsi])</f>
        <v>High</v>
      </c>
      <c r="AE956" t="str">
        <f>_xlfn.XLOOKUP(Table1[[#This Row],[MaritalStatus]],Table15[MaritalStatus],Table15[Id_MaritalStatus])</f>
        <v>MS002</v>
      </c>
      <c r="AF956" t="s">
        <v>56</v>
      </c>
      <c r="AG956">
        <v>17861</v>
      </c>
      <c r="AH956">
        <v>26582</v>
      </c>
      <c r="AI956">
        <v>0</v>
      </c>
      <c r="AJ956" t="str">
        <f>_xlfn.XLOOKUP(Table1[[#This Row],[OverTime]],Table16[OverTime],Table16[Id_OverTime])</f>
        <v>OT001</v>
      </c>
      <c r="AK956" t="s">
        <v>32</v>
      </c>
      <c r="AL956">
        <v>13</v>
      </c>
      <c r="AM956" t="str">
        <f>_xlfn.XLOOKUP(Table1[[#This Row],[PerformanceRating]],Table17[PerformanceRating],Table17[Id_PerformanceRating])</f>
        <v>PR003</v>
      </c>
      <c r="AN956">
        <v>3</v>
      </c>
      <c r="AO956" t="str">
        <f>_xlfn.XLOOKUP(Table1[[#This Row],[PerformanceRating]],Table17[PerformanceRating],Table17[Deskripsi])</f>
        <v>Excellent</v>
      </c>
      <c r="AP956" t="str">
        <f>_xlfn.XLOOKUP(Table1[[#This Row],[RelationshipSatisfaction]],Table18[RelationshipSatisfaction],Table18[Id_RelationshipSatisfaction])</f>
        <v>RS004</v>
      </c>
      <c r="AQ956">
        <v>4</v>
      </c>
      <c r="AR956" t="str">
        <f>_xlfn.XLOOKUP(Table1[[#This Row],[RelationshipSatisfaction]],Table18[RelationshipSatisfaction],Table18[Deskripsi])</f>
        <v>Very High</v>
      </c>
      <c r="AS956" t="str">
        <f>_xlfn.XLOOKUP(Table1[[#This Row],[StockOptionLevel]],Table19[StockOptionLevel],Table19[Id_StockOptionLevel])</f>
        <v>SOL001</v>
      </c>
      <c r="AT956">
        <v>0</v>
      </c>
      <c r="AU956" t="str">
        <f>_xlfn.XLOOKUP(Table1[[#This Row],[StockOptionLevel]],Table19[StockOptionLevel],Table19[Deskripsi])</f>
        <v>Non-Eligible</v>
      </c>
      <c r="AV956">
        <v>21</v>
      </c>
      <c r="AW956">
        <v>3</v>
      </c>
      <c r="AX956" t="str">
        <f>_xlfn.XLOOKUP(Table1[[#This Row],[WorkLifeBalance]],Table20[WorkLifeBalance],Table20[Id_WorkLifeBalance])</f>
        <v>WLB003</v>
      </c>
      <c r="AY956">
        <v>2</v>
      </c>
      <c r="AZ956" t="str">
        <f>_xlfn.XLOOKUP(Table1[[#This Row],[WorkLifeBalance]],Table20[WorkLifeBalance],Table20[Deskripsi])</f>
        <v>Better</v>
      </c>
      <c r="BA956">
        <v>20</v>
      </c>
      <c r="BB956">
        <v>8</v>
      </c>
      <c r="BC956">
        <v>2</v>
      </c>
      <c r="BD956">
        <v>10</v>
      </c>
    </row>
    <row r="957" spans="1:56" x14ac:dyDescent="0.25">
      <c r="A957">
        <v>55</v>
      </c>
      <c r="B957" t="str">
        <f>_xlfn.XLOOKUP(Table1[[#This Row],[Attrition]],Table2[Attrition],Table2[Id_Attrition])</f>
        <v>A002</v>
      </c>
      <c r="C957" t="s">
        <v>33</v>
      </c>
      <c r="D957" t="str">
        <f>_xlfn.XLOOKUP(Table1[[#This Row],[BusinessTravel]],Table5[BusinessTravel],Table5[Id_BusinessTravel])</f>
        <v>BS001</v>
      </c>
      <c r="E957" t="s">
        <v>34</v>
      </c>
      <c r="F957">
        <v>282</v>
      </c>
      <c r="G957" t="str">
        <f>_xlfn.XLOOKUP(Table1[[#This Row],[Department]],Table6[Department],Table6[Id_Departement])</f>
        <v>D002</v>
      </c>
      <c r="H957" t="s">
        <v>38</v>
      </c>
      <c r="I957">
        <v>2</v>
      </c>
      <c r="J957" t="str">
        <f>_xlfn.XLOOKUP(Table1[[#This Row],[Education]],Table8[Education],Table8[Id_Education])</f>
        <v>E002</v>
      </c>
      <c r="K957">
        <v>2</v>
      </c>
      <c r="L957" t="str">
        <f>_xlfn.XLOOKUP(Table1[[#This Row],[EducationField]],Table7[EducationField],Table7[Id_EducationField])</f>
        <v>EF003</v>
      </c>
      <c r="M957" t="s">
        <v>42</v>
      </c>
      <c r="N957" t="str">
        <f>_xlfn.XLOOKUP(Table1[[#This Row],[EmployeeNumber]],Table4[EmployeeNumber],Table4[Id_Employee])</f>
        <v>EMP00956</v>
      </c>
      <c r="O957">
        <v>1336</v>
      </c>
      <c r="P957" t="str">
        <f>_xlfn.XLOOKUP(Table1[[#This Row],[EnvironmentSatisfaction]],Table9[EnvironmentSatisfaction],Table9[Id_EnviromentSatisfaction])</f>
        <v>ES004</v>
      </c>
      <c r="Q957">
        <v>4</v>
      </c>
      <c r="R957" t="str">
        <f>_xlfn.XLOOKUP(Table1[[#This Row],[EnvironmentSatisfaction]],Table9[EnvironmentSatisfaction],Table9[Deskripsi])</f>
        <v>Very High</v>
      </c>
      <c r="S957" t="str">
        <f>_xlfn.XLOOKUP(Table1[[#This Row],[Gender]],Table10[Gender],Table10[Id_Gender])</f>
        <v>G001</v>
      </c>
      <c r="T957" t="s">
        <v>45</v>
      </c>
      <c r="U957">
        <v>58</v>
      </c>
      <c r="V957" t="str">
        <f>_xlfn.XLOOKUP(Table1[[#This Row],[JobInvolvement]],Table11[JobInvolvement],Table11[Id_JobInvolvement])</f>
        <v>JI001</v>
      </c>
      <c r="W957">
        <v>1</v>
      </c>
      <c r="X957" t="str">
        <f>_xlfn.XLOOKUP(Table1[[#This Row],[JobLevel]],Table12[JobLevel],Table12[Id_JobLevel])</f>
        <v>JL005</v>
      </c>
      <c r="Y957">
        <v>5</v>
      </c>
      <c r="Z957" t="str">
        <f>_xlfn.XLOOKUP(Table1[[#This Row],[JobRole]],Table13[JobRole],Table13[Id_JobRole])</f>
        <v>JR006</v>
      </c>
      <c r="AA957" t="s">
        <v>52</v>
      </c>
      <c r="AB957" t="str">
        <f>_xlfn.XLOOKUP(Table1[[#This Row],[JobSatisfaction]],Table14[JobSatisfaction],Table14[Id_JobSatisfaction])</f>
        <v>JS003</v>
      </c>
      <c r="AC957">
        <v>3</v>
      </c>
      <c r="AD957" t="str">
        <f>_xlfn.XLOOKUP(Table1[[#This Row],[JobSatisfaction]],Table14[JobSatisfaction],Table14[Deskripsi])</f>
        <v>High</v>
      </c>
      <c r="AE957" t="str">
        <f>_xlfn.XLOOKUP(Table1[[#This Row],[MaritalStatus]],Table15[MaritalStatus],Table15[Id_MaritalStatus])</f>
        <v>MS002</v>
      </c>
      <c r="AF957" t="s">
        <v>56</v>
      </c>
      <c r="AG957">
        <v>19187</v>
      </c>
      <c r="AH957">
        <v>6992</v>
      </c>
      <c r="AI957">
        <v>4</v>
      </c>
      <c r="AJ957" t="str">
        <f>_xlfn.XLOOKUP(Table1[[#This Row],[OverTime]],Table16[OverTime],Table16[Id_OverTime])</f>
        <v>OT002</v>
      </c>
      <c r="AK957" t="s">
        <v>33</v>
      </c>
      <c r="AL957">
        <v>14</v>
      </c>
      <c r="AM957" t="str">
        <f>_xlfn.XLOOKUP(Table1[[#This Row],[PerformanceRating]],Table17[PerformanceRating],Table17[Id_PerformanceRating])</f>
        <v>PR003</v>
      </c>
      <c r="AN957">
        <v>3</v>
      </c>
      <c r="AO957" t="str">
        <f>_xlfn.XLOOKUP(Table1[[#This Row],[PerformanceRating]],Table17[PerformanceRating],Table17[Deskripsi])</f>
        <v>Excellent</v>
      </c>
      <c r="AP957" t="str">
        <f>_xlfn.XLOOKUP(Table1[[#This Row],[RelationshipSatisfaction]],Table18[RelationshipSatisfaction],Table18[Id_RelationshipSatisfaction])</f>
        <v>RS004</v>
      </c>
      <c r="AQ957">
        <v>4</v>
      </c>
      <c r="AR957" t="str">
        <f>_xlfn.XLOOKUP(Table1[[#This Row],[RelationshipSatisfaction]],Table18[RelationshipSatisfaction],Table18[Deskripsi])</f>
        <v>Very High</v>
      </c>
      <c r="AS957" t="str">
        <f>_xlfn.XLOOKUP(Table1[[#This Row],[StockOptionLevel]],Table19[StockOptionLevel],Table19[Id_StockOptionLevel])</f>
        <v>SOL002</v>
      </c>
      <c r="AT957">
        <v>1</v>
      </c>
      <c r="AU957" t="str">
        <f>_xlfn.XLOOKUP(Table1[[#This Row],[StockOptionLevel]],Table19[StockOptionLevel],Table19[Deskripsi])</f>
        <v>Standard</v>
      </c>
      <c r="AV957">
        <v>23</v>
      </c>
      <c r="AW957">
        <v>5</v>
      </c>
      <c r="AX957" t="str">
        <f>_xlfn.XLOOKUP(Table1[[#This Row],[WorkLifeBalance]],Table20[WorkLifeBalance],Table20[Id_WorkLifeBalance])</f>
        <v>WLB002</v>
      </c>
      <c r="AY957">
        <v>3</v>
      </c>
      <c r="AZ957" t="str">
        <f>_xlfn.XLOOKUP(Table1[[#This Row],[WorkLifeBalance]],Table20[WorkLifeBalance],Table20[Deskripsi])</f>
        <v>Good</v>
      </c>
      <c r="BA957">
        <v>19</v>
      </c>
      <c r="BB957">
        <v>9</v>
      </c>
      <c r="BC957">
        <v>9</v>
      </c>
      <c r="BD957">
        <v>11</v>
      </c>
    </row>
    <row r="958" spans="1:56" x14ac:dyDescent="0.25">
      <c r="A958">
        <v>56</v>
      </c>
      <c r="B958" t="str">
        <f>_xlfn.XLOOKUP(Table1[[#This Row],[Attrition]],Table2[Attrition],Table2[Id_Attrition])</f>
        <v>A002</v>
      </c>
      <c r="C958" t="s">
        <v>33</v>
      </c>
      <c r="D958" t="str">
        <f>_xlfn.XLOOKUP(Table1[[#This Row],[BusinessTravel]],Table5[BusinessTravel],Table5[Id_BusinessTravel])</f>
        <v>BS001</v>
      </c>
      <c r="E958" t="s">
        <v>34</v>
      </c>
      <c r="F958">
        <v>206</v>
      </c>
      <c r="G958" t="str">
        <f>_xlfn.XLOOKUP(Table1[[#This Row],[Department]],Table6[Department],Table6[Id_Departement])</f>
        <v>D003</v>
      </c>
      <c r="H958" t="s">
        <v>39</v>
      </c>
      <c r="I958">
        <v>8</v>
      </c>
      <c r="J958" t="str">
        <f>_xlfn.XLOOKUP(Table1[[#This Row],[Education]],Table8[Education],Table8[Id_Education])</f>
        <v>E004</v>
      </c>
      <c r="K958">
        <v>4</v>
      </c>
      <c r="L958" t="str">
        <f>_xlfn.XLOOKUP(Table1[[#This Row],[EducationField]],Table7[EducationField],Table7[Id_EducationField])</f>
        <v>EF001</v>
      </c>
      <c r="M958" t="s">
        <v>40</v>
      </c>
      <c r="N958" t="str">
        <f>_xlfn.XLOOKUP(Table1[[#This Row],[EmployeeNumber]],Table4[EmployeeNumber],Table4[Id_Employee])</f>
        <v>EMP00957</v>
      </c>
      <c r="O958">
        <v>1338</v>
      </c>
      <c r="P958" t="str">
        <f>_xlfn.XLOOKUP(Table1[[#This Row],[EnvironmentSatisfaction]],Table9[EnvironmentSatisfaction],Table9[Id_EnviromentSatisfaction])</f>
        <v>ES004</v>
      </c>
      <c r="Q958">
        <v>4</v>
      </c>
      <c r="R958" t="str">
        <f>_xlfn.XLOOKUP(Table1[[#This Row],[EnvironmentSatisfaction]],Table9[EnvironmentSatisfaction],Table9[Deskripsi])</f>
        <v>Very High</v>
      </c>
      <c r="S958" t="str">
        <f>_xlfn.XLOOKUP(Table1[[#This Row],[Gender]],Table10[Gender],Table10[Id_Gender])</f>
        <v>G002</v>
      </c>
      <c r="T958" t="s">
        <v>46</v>
      </c>
      <c r="U958">
        <v>99</v>
      </c>
      <c r="V958" t="str">
        <f>_xlfn.XLOOKUP(Table1[[#This Row],[JobInvolvement]],Table11[JobInvolvement],Table11[Id_JobInvolvement])</f>
        <v>JI003</v>
      </c>
      <c r="W958">
        <v>3</v>
      </c>
      <c r="X958" t="str">
        <f>_xlfn.XLOOKUP(Table1[[#This Row],[JobLevel]],Table12[JobLevel],Table12[Id_JobLevel])</f>
        <v>JL005</v>
      </c>
      <c r="Y958">
        <v>5</v>
      </c>
      <c r="Z958" t="str">
        <f>_xlfn.XLOOKUP(Table1[[#This Row],[JobRole]],Table13[JobRole],Table13[Id_JobRole])</f>
        <v>JR006</v>
      </c>
      <c r="AA958" t="s">
        <v>52</v>
      </c>
      <c r="AB958" t="str">
        <f>_xlfn.XLOOKUP(Table1[[#This Row],[JobSatisfaction]],Table14[JobSatisfaction],Table14[Id_JobSatisfaction])</f>
        <v>JS002</v>
      </c>
      <c r="AC958">
        <v>2</v>
      </c>
      <c r="AD958" t="str">
        <f>_xlfn.XLOOKUP(Table1[[#This Row],[JobSatisfaction]],Table14[JobSatisfaction],Table14[Deskripsi])</f>
        <v>Medium</v>
      </c>
      <c r="AE958" t="str">
        <f>_xlfn.XLOOKUP(Table1[[#This Row],[MaritalStatus]],Table15[MaritalStatus],Table15[Id_MaritalStatus])</f>
        <v>MS001</v>
      </c>
      <c r="AF958" t="s">
        <v>55</v>
      </c>
      <c r="AG958">
        <v>19717</v>
      </c>
      <c r="AH958">
        <v>4022</v>
      </c>
      <c r="AI958">
        <v>6</v>
      </c>
      <c r="AJ958" t="str">
        <f>_xlfn.XLOOKUP(Table1[[#This Row],[OverTime]],Table16[OverTime],Table16[Id_OverTime])</f>
        <v>OT002</v>
      </c>
      <c r="AK958" t="s">
        <v>33</v>
      </c>
      <c r="AL958">
        <v>14</v>
      </c>
      <c r="AM958" t="str">
        <f>_xlfn.XLOOKUP(Table1[[#This Row],[PerformanceRating]],Table17[PerformanceRating],Table17[Id_PerformanceRating])</f>
        <v>PR003</v>
      </c>
      <c r="AN958">
        <v>3</v>
      </c>
      <c r="AO958" t="str">
        <f>_xlfn.XLOOKUP(Table1[[#This Row],[PerformanceRating]],Table17[PerformanceRating],Table17[Deskripsi])</f>
        <v>Excellent</v>
      </c>
      <c r="AP958" t="str">
        <f>_xlfn.XLOOKUP(Table1[[#This Row],[RelationshipSatisfaction]],Table18[RelationshipSatisfaction],Table18[Id_RelationshipSatisfaction])</f>
        <v>RS001</v>
      </c>
      <c r="AQ958">
        <v>1</v>
      </c>
      <c r="AR958" t="str">
        <f>_xlfn.XLOOKUP(Table1[[#This Row],[RelationshipSatisfaction]],Table18[RelationshipSatisfaction],Table18[Deskripsi])</f>
        <v>Low</v>
      </c>
      <c r="AS958" t="str">
        <f>_xlfn.XLOOKUP(Table1[[#This Row],[StockOptionLevel]],Table19[StockOptionLevel],Table19[Id_StockOptionLevel])</f>
        <v>SOL001</v>
      </c>
      <c r="AT958">
        <v>0</v>
      </c>
      <c r="AU958" t="str">
        <f>_xlfn.XLOOKUP(Table1[[#This Row],[StockOptionLevel]],Table19[StockOptionLevel],Table19[Deskripsi])</f>
        <v>Non-Eligible</v>
      </c>
      <c r="AV958">
        <v>36</v>
      </c>
      <c r="AW958">
        <v>4</v>
      </c>
      <c r="AX958" t="str">
        <f>_xlfn.XLOOKUP(Table1[[#This Row],[WorkLifeBalance]],Table20[WorkLifeBalance],Table20[Id_WorkLifeBalance])</f>
        <v>WLB002</v>
      </c>
      <c r="AY958">
        <v>3</v>
      </c>
      <c r="AZ958" t="str">
        <f>_xlfn.XLOOKUP(Table1[[#This Row],[WorkLifeBalance]],Table20[WorkLifeBalance],Table20[Deskripsi])</f>
        <v>Good</v>
      </c>
      <c r="BA958">
        <v>7</v>
      </c>
      <c r="BB958">
        <v>3</v>
      </c>
      <c r="BC958">
        <v>7</v>
      </c>
      <c r="BD958">
        <v>7</v>
      </c>
    </row>
    <row r="959" spans="1:56" x14ac:dyDescent="0.25">
      <c r="A959">
        <v>40</v>
      </c>
      <c r="B959" t="str">
        <f>_xlfn.XLOOKUP(Table1[[#This Row],[Attrition]],Table2[Attrition],Table2[Id_Attrition])</f>
        <v>A002</v>
      </c>
      <c r="C959" t="s">
        <v>33</v>
      </c>
      <c r="D959" t="str">
        <f>_xlfn.XLOOKUP(Table1[[#This Row],[BusinessTravel]],Table5[BusinessTravel],Table5[Id_BusinessTravel])</f>
        <v>BS003</v>
      </c>
      <c r="E959" t="s">
        <v>36</v>
      </c>
      <c r="F959">
        <v>458</v>
      </c>
      <c r="G959" t="str">
        <f>_xlfn.XLOOKUP(Table1[[#This Row],[Department]],Table6[Department],Table6[Id_Departement])</f>
        <v>D002</v>
      </c>
      <c r="H959" t="s">
        <v>38</v>
      </c>
      <c r="I959">
        <v>16</v>
      </c>
      <c r="J959" t="str">
        <f>_xlfn.XLOOKUP(Table1[[#This Row],[Education]],Table8[Education],Table8[Id_Education])</f>
        <v>E002</v>
      </c>
      <c r="K959">
        <v>2</v>
      </c>
      <c r="L959" t="str">
        <f>_xlfn.XLOOKUP(Table1[[#This Row],[EducationField]],Table7[EducationField],Table7[Id_EducationField])</f>
        <v>EF001</v>
      </c>
      <c r="M959" t="s">
        <v>40</v>
      </c>
      <c r="N959" t="str">
        <f>_xlfn.XLOOKUP(Table1[[#This Row],[EmployeeNumber]],Table4[EmployeeNumber],Table4[Id_Employee])</f>
        <v>EMP00958</v>
      </c>
      <c r="O959">
        <v>1340</v>
      </c>
      <c r="P959" t="str">
        <f>_xlfn.XLOOKUP(Table1[[#This Row],[EnvironmentSatisfaction]],Table9[EnvironmentSatisfaction],Table9[Id_EnviromentSatisfaction])</f>
        <v>ES003</v>
      </c>
      <c r="Q959">
        <v>3</v>
      </c>
      <c r="R959" t="str">
        <f>_xlfn.XLOOKUP(Table1[[#This Row],[EnvironmentSatisfaction]],Table9[EnvironmentSatisfaction],Table9[Deskripsi])</f>
        <v>High</v>
      </c>
      <c r="S959" t="str">
        <f>_xlfn.XLOOKUP(Table1[[#This Row],[Gender]],Table10[Gender],Table10[Id_Gender])</f>
        <v>G002</v>
      </c>
      <c r="T959" t="s">
        <v>46</v>
      </c>
      <c r="U959">
        <v>74</v>
      </c>
      <c r="V959" t="str">
        <f>_xlfn.XLOOKUP(Table1[[#This Row],[JobInvolvement]],Table11[JobInvolvement],Table11[Id_JobInvolvement])</f>
        <v>JI003</v>
      </c>
      <c r="W959">
        <v>3</v>
      </c>
      <c r="X959" t="str">
        <f>_xlfn.XLOOKUP(Table1[[#This Row],[JobLevel]],Table12[JobLevel],Table12[Id_JobLevel])</f>
        <v>JL001</v>
      </c>
      <c r="Y959">
        <v>1</v>
      </c>
      <c r="Z959" t="str">
        <f>_xlfn.XLOOKUP(Table1[[#This Row],[JobRole]],Table13[JobRole],Table13[Id_JobRole])</f>
        <v>JR002</v>
      </c>
      <c r="AA959" t="s">
        <v>48</v>
      </c>
      <c r="AB959" t="str">
        <f>_xlfn.XLOOKUP(Table1[[#This Row],[JobSatisfaction]],Table14[JobSatisfaction],Table14[Id_JobSatisfaction])</f>
        <v>JS003</v>
      </c>
      <c r="AC959">
        <v>3</v>
      </c>
      <c r="AD959" t="str">
        <f>_xlfn.XLOOKUP(Table1[[#This Row],[JobSatisfaction]],Table14[JobSatisfaction],Table14[Deskripsi])</f>
        <v>High</v>
      </c>
      <c r="AE959" t="str">
        <f>_xlfn.XLOOKUP(Table1[[#This Row],[MaritalStatus]],Table15[MaritalStatus],Table15[Id_MaritalStatus])</f>
        <v>MS003</v>
      </c>
      <c r="AF959" t="s">
        <v>57</v>
      </c>
      <c r="AG959">
        <v>3544</v>
      </c>
      <c r="AH959">
        <v>8532</v>
      </c>
      <c r="AI959">
        <v>9</v>
      </c>
      <c r="AJ959" t="str">
        <f>_xlfn.XLOOKUP(Table1[[#This Row],[OverTime]],Table16[OverTime],Table16[Id_OverTime])</f>
        <v>OT002</v>
      </c>
      <c r="AK959" t="s">
        <v>33</v>
      </c>
      <c r="AL959">
        <v>16</v>
      </c>
      <c r="AM959" t="str">
        <f>_xlfn.XLOOKUP(Table1[[#This Row],[PerformanceRating]],Table17[PerformanceRating],Table17[Id_PerformanceRating])</f>
        <v>PR003</v>
      </c>
      <c r="AN959">
        <v>3</v>
      </c>
      <c r="AO959" t="str">
        <f>_xlfn.XLOOKUP(Table1[[#This Row],[PerformanceRating]],Table17[PerformanceRating],Table17[Deskripsi])</f>
        <v>Excellent</v>
      </c>
      <c r="AP959" t="str">
        <f>_xlfn.XLOOKUP(Table1[[#This Row],[RelationshipSatisfaction]],Table18[RelationshipSatisfaction],Table18[Id_RelationshipSatisfaction])</f>
        <v>RS002</v>
      </c>
      <c r="AQ959">
        <v>2</v>
      </c>
      <c r="AR959" t="str">
        <f>_xlfn.XLOOKUP(Table1[[#This Row],[RelationshipSatisfaction]],Table18[RelationshipSatisfaction],Table18[Deskripsi])</f>
        <v>Medium</v>
      </c>
      <c r="AS959" t="str">
        <f>_xlfn.XLOOKUP(Table1[[#This Row],[StockOptionLevel]],Table19[StockOptionLevel],Table19[Id_StockOptionLevel])</f>
        <v>SOL002</v>
      </c>
      <c r="AT959">
        <v>1</v>
      </c>
      <c r="AU959" t="str">
        <f>_xlfn.XLOOKUP(Table1[[#This Row],[StockOptionLevel]],Table19[StockOptionLevel],Table19[Deskripsi])</f>
        <v>Standard</v>
      </c>
      <c r="AV959">
        <v>6</v>
      </c>
      <c r="AW959">
        <v>0</v>
      </c>
      <c r="AX959" t="str">
        <f>_xlfn.XLOOKUP(Table1[[#This Row],[WorkLifeBalance]],Table20[WorkLifeBalance],Table20[Id_WorkLifeBalance])</f>
        <v>WLB002</v>
      </c>
      <c r="AY959">
        <v>3</v>
      </c>
      <c r="AZ959" t="str">
        <f>_xlfn.XLOOKUP(Table1[[#This Row],[WorkLifeBalance]],Table20[WorkLifeBalance],Table20[Deskripsi])</f>
        <v>Good</v>
      </c>
      <c r="BA959">
        <v>4</v>
      </c>
      <c r="BB959">
        <v>2</v>
      </c>
      <c r="BC959">
        <v>0</v>
      </c>
      <c r="BD959">
        <v>0</v>
      </c>
    </row>
    <row r="960" spans="1:56" x14ac:dyDescent="0.25">
      <c r="A960">
        <v>34</v>
      </c>
      <c r="B960" t="str">
        <f>_xlfn.XLOOKUP(Table1[[#This Row],[Attrition]],Table2[Attrition],Table2[Id_Attrition])</f>
        <v>A002</v>
      </c>
      <c r="C960" t="s">
        <v>33</v>
      </c>
      <c r="D960" t="str">
        <f>_xlfn.XLOOKUP(Table1[[#This Row],[BusinessTravel]],Table5[BusinessTravel],Table5[Id_BusinessTravel])</f>
        <v>BS001</v>
      </c>
      <c r="E960" t="s">
        <v>34</v>
      </c>
      <c r="F960">
        <v>943</v>
      </c>
      <c r="G960" t="str">
        <f>_xlfn.XLOOKUP(Table1[[#This Row],[Department]],Table6[Department],Table6[Id_Departement])</f>
        <v>D002</v>
      </c>
      <c r="H960" t="s">
        <v>38</v>
      </c>
      <c r="I960">
        <v>9</v>
      </c>
      <c r="J960" t="str">
        <f>_xlfn.XLOOKUP(Table1[[#This Row],[Education]],Table8[Education],Table8[Id_Education])</f>
        <v>E003</v>
      </c>
      <c r="K960">
        <v>3</v>
      </c>
      <c r="L960" t="str">
        <f>_xlfn.XLOOKUP(Table1[[#This Row],[EducationField]],Table7[EducationField],Table7[Id_EducationField])</f>
        <v>EF001</v>
      </c>
      <c r="M960" t="s">
        <v>40</v>
      </c>
      <c r="N960" t="str">
        <f>_xlfn.XLOOKUP(Table1[[#This Row],[EmployeeNumber]],Table4[EmployeeNumber],Table4[Id_Employee])</f>
        <v>EMP00959</v>
      </c>
      <c r="O960">
        <v>1344</v>
      </c>
      <c r="P960" t="str">
        <f>_xlfn.XLOOKUP(Table1[[#This Row],[EnvironmentSatisfaction]],Table9[EnvironmentSatisfaction],Table9[Id_EnviromentSatisfaction])</f>
        <v>ES004</v>
      </c>
      <c r="Q960">
        <v>4</v>
      </c>
      <c r="R960" t="str">
        <f>_xlfn.XLOOKUP(Table1[[#This Row],[EnvironmentSatisfaction]],Table9[EnvironmentSatisfaction],Table9[Deskripsi])</f>
        <v>Very High</v>
      </c>
      <c r="S960" t="str">
        <f>_xlfn.XLOOKUP(Table1[[#This Row],[Gender]],Table10[Gender],Table10[Id_Gender])</f>
        <v>G002</v>
      </c>
      <c r="T960" t="s">
        <v>46</v>
      </c>
      <c r="U960">
        <v>86</v>
      </c>
      <c r="V960" t="str">
        <f>_xlfn.XLOOKUP(Table1[[#This Row],[JobInvolvement]],Table11[JobInvolvement],Table11[Id_JobInvolvement])</f>
        <v>JI003</v>
      </c>
      <c r="W960">
        <v>3</v>
      </c>
      <c r="X960" t="str">
        <f>_xlfn.XLOOKUP(Table1[[#This Row],[JobLevel]],Table12[JobLevel],Table12[Id_JobLevel])</f>
        <v>JL003</v>
      </c>
      <c r="Y960">
        <v>3</v>
      </c>
      <c r="Z960" t="str">
        <f>_xlfn.XLOOKUP(Table1[[#This Row],[JobRole]],Table13[JobRole],Table13[Id_JobRole])</f>
        <v>JR005</v>
      </c>
      <c r="AA960" t="s">
        <v>51</v>
      </c>
      <c r="AB960" t="str">
        <f>_xlfn.XLOOKUP(Table1[[#This Row],[JobSatisfaction]],Table14[JobSatisfaction],Table14[Id_JobSatisfaction])</f>
        <v>JS004</v>
      </c>
      <c r="AC960">
        <v>4</v>
      </c>
      <c r="AD960" t="str">
        <f>_xlfn.XLOOKUP(Table1[[#This Row],[JobSatisfaction]],Table14[JobSatisfaction],Table14[Deskripsi])</f>
        <v>Very High</v>
      </c>
      <c r="AE960" t="str">
        <f>_xlfn.XLOOKUP(Table1[[#This Row],[MaritalStatus]],Table15[MaritalStatus],Table15[Id_MaritalStatus])</f>
        <v>MS003</v>
      </c>
      <c r="AF960" t="s">
        <v>57</v>
      </c>
      <c r="AG960">
        <v>8500</v>
      </c>
      <c r="AH960">
        <v>5494</v>
      </c>
      <c r="AI960">
        <v>0</v>
      </c>
      <c r="AJ960" t="str">
        <f>_xlfn.XLOOKUP(Table1[[#This Row],[OverTime]],Table16[OverTime],Table16[Id_OverTime])</f>
        <v>OT002</v>
      </c>
      <c r="AK960" t="s">
        <v>33</v>
      </c>
      <c r="AL960">
        <v>11</v>
      </c>
      <c r="AM960" t="str">
        <f>_xlfn.XLOOKUP(Table1[[#This Row],[PerformanceRating]],Table17[PerformanceRating],Table17[Id_PerformanceRating])</f>
        <v>PR003</v>
      </c>
      <c r="AN960">
        <v>3</v>
      </c>
      <c r="AO960" t="str">
        <f>_xlfn.XLOOKUP(Table1[[#This Row],[PerformanceRating]],Table17[PerformanceRating],Table17[Deskripsi])</f>
        <v>Excellent</v>
      </c>
      <c r="AP960" t="str">
        <f>_xlfn.XLOOKUP(Table1[[#This Row],[RelationshipSatisfaction]],Table18[RelationshipSatisfaction],Table18[Id_RelationshipSatisfaction])</f>
        <v>RS004</v>
      </c>
      <c r="AQ960">
        <v>4</v>
      </c>
      <c r="AR960" t="str">
        <f>_xlfn.XLOOKUP(Table1[[#This Row],[RelationshipSatisfaction]],Table18[RelationshipSatisfaction],Table18[Deskripsi])</f>
        <v>Very High</v>
      </c>
      <c r="AS960" t="str">
        <f>_xlfn.XLOOKUP(Table1[[#This Row],[StockOptionLevel]],Table19[StockOptionLevel],Table19[Id_StockOptionLevel])</f>
        <v>SOL002</v>
      </c>
      <c r="AT960">
        <v>1</v>
      </c>
      <c r="AU960" t="str">
        <f>_xlfn.XLOOKUP(Table1[[#This Row],[StockOptionLevel]],Table19[StockOptionLevel],Table19[Deskripsi])</f>
        <v>Standard</v>
      </c>
      <c r="AV960">
        <v>10</v>
      </c>
      <c r="AW960">
        <v>0</v>
      </c>
      <c r="AX960" t="str">
        <f>_xlfn.XLOOKUP(Table1[[#This Row],[WorkLifeBalance]],Table20[WorkLifeBalance],Table20[Id_WorkLifeBalance])</f>
        <v>WLB003</v>
      </c>
      <c r="AY960">
        <v>2</v>
      </c>
      <c r="AZ960" t="str">
        <f>_xlfn.XLOOKUP(Table1[[#This Row],[WorkLifeBalance]],Table20[WorkLifeBalance],Table20[Deskripsi])</f>
        <v>Better</v>
      </c>
      <c r="BA960">
        <v>9</v>
      </c>
      <c r="BB960">
        <v>7</v>
      </c>
      <c r="BC960">
        <v>1</v>
      </c>
      <c r="BD960">
        <v>6</v>
      </c>
    </row>
    <row r="961" spans="1:56" x14ac:dyDescent="0.25">
      <c r="A961">
        <v>40</v>
      </c>
      <c r="B961" t="str">
        <f>_xlfn.XLOOKUP(Table1[[#This Row],[Attrition]],Table2[Attrition],Table2[Id_Attrition])</f>
        <v>A002</v>
      </c>
      <c r="C961" t="s">
        <v>33</v>
      </c>
      <c r="D961" t="str">
        <f>_xlfn.XLOOKUP(Table1[[#This Row],[BusinessTravel]],Table5[BusinessTravel],Table5[Id_BusinessTravel])</f>
        <v>BS001</v>
      </c>
      <c r="E961" t="s">
        <v>34</v>
      </c>
      <c r="F961">
        <v>523</v>
      </c>
      <c r="G961" t="str">
        <f>_xlfn.XLOOKUP(Table1[[#This Row],[Department]],Table6[Department],Table6[Id_Departement])</f>
        <v>D002</v>
      </c>
      <c r="H961" t="s">
        <v>38</v>
      </c>
      <c r="I961">
        <v>2</v>
      </c>
      <c r="J961" t="str">
        <f>_xlfn.XLOOKUP(Table1[[#This Row],[Education]],Table8[Education],Table8[Id_Education])</f>
        <v>E003</v>
      </c>
      <c r="K961">
        <v>3</v>
      </c>
      <c r="L961" t="str">
        <f>_xlfn.XLOOKUP(Table1[[#This Row],[EducationField]],Table7[EducationField],Table7[Id_EducationField])</f>
        <v>EF001</v>
      </c>
      <c r="M961" t="s">
        <v>40</v>
      </c>
      <c r="N961" t="str">
        <f>_xlfn.XLOOKUP(Table1[[#This Row],[EmployeeNumber]],Table4[EmployeeNumber],Table4[Id_Employee])</f>
        <v>EMP00960</v>
      </c>
      <c r="O961">
        <v>1346</v>
      </c>
      <c r="P961" t="str">
        <f>_xlfn.XLOOKUP(Table1[[#This Row],[EnvironmentSatisfaction]],Table9[EnvironmentSatisfaction],Table9[Id_EnviromentSatisfaction])</f>
        <v>ES003</v>
      </c>
      <c r="Q961">
        <v>3</v>
      </c>
      <c r="R961" t="str">
        <f>_xlfn.XLOOKUP(Table1[[#This Row],[EnvironmentSatisfaction]],Table9[EnvironmentSatisfaction],Table9[Deskripsi])</f>
        <v>High</v>
      </c>
      <c r="S961" t="str">
        <f>_xlfn.XLOOKUP(Table1[[#This Row],[Gender]],Table10[Gender],Table10[Id_Gender])</f>
        <v>G002</v>
      </c>
      <c r="T961" t="s">
        <v>46</v>
      </c>
      <c r="U961">
        <v>98</v>
      </c>
      <c r="V961" t="str">
        <f>_xlfn.XLOOKUP(Table1[[#This Row],[JobInvolvement]],Table11[JobInvolvement],Table11[Id_JobInvolvement])</f>
        <v>JI003</v>
      </c>
      <c r="W961">
        <v>3</v>
      </c>
      <c r="X961" t="str">
        <f>_xlfn.XLOOKUP(Table1[[#This Row],[JobLevel]],Table12[JobLevel],Table12[Id_JobLevel])</f>
        <v>JL002</v>
      </c>
      <c r="Y961">
        <v>2</v>
      </c>
      <c r="Z961" t="str">
        <f>_xlfn.XLOOKUP(Table1[[#This Row],[JobRole]],Table13[JobRole],Table13[Id_JobRole])</f>
        <v>JR002</v>
      </c>
      <c r="AA961" t="s">
        <v>48</v>
      </c>
      <c r="AB961" t="str">
        <f>_xlfn.XLOOKUP(Table1[[#This Row],[JobSatisfaction]],Table14[JobSatisfaction],Table14[Id_JobSatisfaction])</f>
        <v>JS004</v>
      </c>
      <c r="AC961">
        <v>4</v>
      </c>
      <c r="AD961" t="str">
        <f>_xlfn.XLOOKUP(Table1[[#This Row],[JobSatisfaction]],Table14[JobSatisfaction],Table14[Deskripsi])</f>
        <v>Very High</v>
      </c>
      <c r="AE961" t="str">
        <f>_xlfn.XLOOKUP(Table1[[#This Row],[MaritalStatus]],Table15[MaritalStatus],Table15[Id_MaritalStatus])</f>
        <v>MS001</v>
      </c>
      <c r="AF961" t="s">
        <v>55</v>
      </c>
      <c r="AG961">
        <v>4661</v>
      </c>
      <c r="AH961">
        <v>22455</v>
      </c>
      <c r="AI961">
        <v>1</v>
      </c>
      <c r="AJ961" t="str">
        <f>_xlfn.XLOOKUP(Table1[[#This Row],[OverTime]],Table16[OverTime],Table16[Id_OverTime])</f>
        <v>OT002</v>
      </c>
      <c r="AK961" t="s">
        <v>33</v>
      </c>
      <c r="AL961">
        <v>13</v>
      </c>
      <c r="AM961" t="str">
        <f>_xlfn.XLOOKUP(Table1[[#This Row],[PerformanceRating]],Table17[PerformanceRating],Table17[Id_PerformanceRating])</f>
        <v>PR003</v>
      </c>
      <c r="AN961">
        <v>3</v>
      </c>
      <c r="AO961" t="str">
        <f>_xlfn.XLOOKUP(Table1[[#This Row],[PerformanceRating]],Table17[PerformanceRating],Table17[Deskripsi])</f>
        <v>Excellent</v>
      </c>
      <c r="AP961" t="str">
        <f>_xlfn.XLOOKUP(Table1[[#This Row],[RelationshipSatisfaction]],Table18[RelationshipSatisfaction],Table18[Id_RelationshipSatisfaction])</f>
        <v>RS003</v>
      </c>
      <c r="AQ961">
        <v>3</v>
      </c>
      <c r="AR961" t="str">
        <f>_xlfn.XLOOKUP(Table1[[#This Row],[RelationshipSatisfaction]],Table18[RelationshipSatisfaction],Table18[Deskripsi])</f>
        <v>High</v>
      </c>
      <c r="AS961" t="str">
        <f>_xlfn.XLOOKUP(Table1[[#This Row],[StockOptionLevel]],Table19[StockOptionLevel],Table19[Id_StockOptionLevel])</f>
        <v>SOL001</v>
      </c>
      <c r="AT961">
        <v>0</v>
      </c>
      <c r="AU961" t="str">
        <f>_xlfn.XLOOKUP(Table1[[#This Row],[StockOptionLevel]],Table19[StockOptionLevel],Table19[Deskripsi])</f>
        <v>Non-Eligible</v>
      </c>
      <c r="AV961">
        <v>9</v>
      </c>
      <c r="AW961">
        <v>4</v>
      </c>
      <c r="AX961" t="str">
        <f>_xlfn.XLOOKUP(Table1[[#This Row],[WorkLifeBalance]],Table20[WorkLifeBalance],Table20[Id_WorkLifeBalance])</f>
        <v>WLB002</v>
      </c>
      <c r="AY961">
        <v>3</v>
      </c>
      <c r="AZ961" t="str">
        <f>_xlfn.XLOOKUP(Table1[[#This Row],[WorkLifeBalance]],Table20[WorkLifeBalance],Table20[Deskripsi])</f>
        <v>Good</v>
      </c>
      <c r="BA961">
        <v>9</v>
      </c>
      <c r="BB961">
        <v>8</v>
      </c>
      <c r="BC961">
        <v>8</v>
      </c>
      <c r="BD961">
        <v>8</v>
      </c>
    </row>
    <row r="962" spans="1:56" x14ac:dyDescent="0.25">
      <c r="A962">
        <v>41</v>
      </c>
      <c r="B962" t="str">
        <f>_xlfn.XLOOKUP(Table1[[#This Row],[Attrition]],Table2[Attrition],Table2[Id_Attrition])</f>
        <v>A002</v>
      </c>
      <c r="C962" t="s">
        <v>33</v>
      </c>
      <c r="D962" t="str">
        <f>_xlfn.XLOOKUP(Table1[[#This Row],[BusinessTravel]],Table5[BusinessTravel],Table5[Id_BusinessTravel])</f>
        <v>BS002</v>
      </c>
      <c r="E962" t="s">
        <v>35</v>
      </c>
      <c r="F962">
        <v>1018</v>
      </c>
      <c r="G962" t="str">
        <f>_xlfn.XLOOKUP(Table1[[#This Row],[Department]],Table6[Department],Table6[Id_Departement])</f>
        <v>D001</v>
      </c>
      <c r="H962" t="s">
        <v>37</v>
      </c>
      <c r="I962">
        <v>1</v>
      </c>
      <c r="J962" t="str">
        <f>_xlfn.XLOOKUP(Table1[[#This Row],[Education]],Table8[Education],Table8[Id_Education])</f>
        <v>E003</v>
      </c>
      <c r="K962">
        <v>3</v>
      </c>
      <c r="L962" t="str">
        <f>_xlfn.XLOOKUP(Table1[[#This Row],[EducationField]],Table7[EducationField],Table7[Id_EducationField])</f>
        <v>EF004</v>
      </c>
      <c r="M962" t="s">
        <v>43</v>
      </c>
      <c r="N962" t="str">
        <f>_xlfn.XLOOKUP(Table1[[#This Row],[EmployeeNumber]],Table4[EmployeeNumber],Table4[Id_Employee])</f>
        <v>EMP00961</v>
      </c>
      <c r="O962">
        <v>1349</v>
      </c>
      <c r="P962" t="str">
        <f>_xlfn.XLOOKUP(Table1[[#This Row],[EnvironmentSatisfaction]],Table9[EnvironmentSatisfaction],Table9[Id_EnviromentSatisfaction])</f>
        <v>ES003</v>
      </c>
      <c r="Q962">
        <v>3</v>
      </c>
      <c r="R962" t="str">
        <f>_xlfn.XLOOKUP(Table1[[#This Row],[EnvironmentSatisfaction]],Table9[EnvironmentSatisfaction],Table9[Deskripsi])</f>
        <v>High</v>
      </c>
      <c r="S962" t="str">
        <f>_xlfn.XLOOKUP(Table1[[#This Row],[Gender]],Table10[Gender],Table10[Id_Gender])</f>
        <v>G001</v>
      </c>
      <c r="T962" t="s">
        <v>45</v>
      </c>
      <c r="U962">
        <v>66</v>
      </c>
      <c r="V962" t="str">
        <f>_xlfn.XLOOKUP(Table1[[#This Row],[JobInvolvement]],Table11[JobInvolvement],Table11[Id_JobInvolvement])</f>
        <v>JI003</v>
      </c>
      <c r="W962">
        <v>3</v>
      </c>
      <c r="X962" t="str">
        <f>_xlfn.XLOOKUP(Table1[[#This Row],[JobLevel]],Table12[JobLevel],Table12[Id_JobLevel])</f>
        <v>JL002</v>
      </c>
      <c r="Y962">
        <v>2</v>
      </c>
      <c r="Z962" t="str">
        <f>_xlfn.XLOOKUP(Table1[[#This Row],[JobRole]],Table13[JobRole],Table13[Id_JobRole])</f>
        <v>JR001</v>
      </c>
      <c r="AA962" t="s">
        <v>47</v>
      </c>
      <c r="AB962" t="str">
        <f>_xlfn.XLOOKUP(Table1[[#This Row],[JobSatisfaction]],Table14[JobSatisfaction],Table14[Id_JobSatisfaction])</f>
        <v>JS001</v>
      </c>
      <c r="AC962">
        <v>1</v>
      </c>
      <c r="AD962" t="str">
        <f>_xlfn.XLOOKUP(Table1[[#This Row],[JobSatisfaction]],Table14[JobSatisfaction],Table14[Deskripsi])</f>
        <v>Low</v>
      </c>
      <c r="AE962" t="str">
        <f>_xlfn.XLOOKUP(Table1[[#This Row],[MaritalStatus]],Table15[MaritalStatus],Table15[Id_MaritalStatus])</f>
        <v>MS003</v>
      </c>
      <c r="AF962" t="s">
        <v>57</v>
      </c>
      <c r="AG962">
        <v>4103</v>
      </c>
      <c r="AH962">
        <v>4297</v>
      </c>
      <c r="AI962">
        <v>0</v>
      </c>
      <c r="AJ962" t="str">
        <f>_xlfn.XLOOKUP(Table1[[#This Row],[OverTime]],Table16[OverTime],Table16[Id_OverTime])</f>
        <v>OT002</v>
      </c>
      <c r="AK962" t="s">
        <v>33</v>
      </c>
      <c r="AL962">
        <v>17</v>
      </c>
      <c r="AM962" t="str">
        <f>_xlfn.XLOOKUP(Table1[[#This Row],[PerformanceRating]],Table17[PerformanceRating],Table17[Id_PerformanceRating])</f>
        <v>PR003</v>
      </c>
      <c r="AN962">
        <v>3</v>
      </c>
      <c r="AO962" t="str">
        <f>_xlfn.XLOOKUP(Table1[[#This Row],[PerformanceRating]],Table17[PerformanceRating],Table17[Deskripsi])</f>
        <v>Excellent</v>
      </c>
      <c r="AP962" t="str">
        <f>_xlfn.XLOOKUP(Table1[[#This Row],[RelationshipSatisfaction]],Table18[RelationshipSatisfaction],Table18[Id_RelationshipSatisfaction])</f>
        <v>RS004</v>
      </c>
      <c r="AQ962">
        <v>4</v>
      </c>
      <c r="AR962" t="str">
        <f>_xlfn.XLOOKUP(Table1[[#This Row],[RelationshipSatisfaction]],Table18[RelationshipSatisfaction],Table18[Deskripsi])</f>
        <v>Very High</v>
      </c>
      <c r="AS962" t="str">
        <f>_xlfn.XLOOKUP(Table1[[#This Row],[StockOptionLevel]],Table19[StockOptionLevel],Table19[Id_StockOptionLevel])</f>
        <v>SOL002</v>
      </c>
      <c r="AT962">
        <v>1</v>
      </c>
      <c r="AU962" t="str">
        <f>_xlfn.XLOOKUP(Table1[[#This Row],[StockOptionLevel]],Table19[StockOptionLevel],Table19[Deskripsi])</f>
        <v>Standard</v>
      </c>
      <c r="AV962">
        <v>10</v>
      </c>
      <c r="AW962">
        <v>2</v>
      </c>
      <c r="AX962" t="str">
        <f>_xlfn.XLOOKUP(Table1[[#This Row],[WorkLifeBalance]],Table20[WorkLifeBalance],Table20[Id_WorkLifeBalance])</f>
        <v>WLB002</v>
      </c>
      <c r="AY962">
        <v>3</v>
      </c>
      <c r="AZ962" t="str">
        <f>_xlfn.XLOOKUP(Table1[[#This Row],[WorkLifeBalance]],Table20[WorkLifeBalance],Table20[Deskripsi])</f>
        <v>Good</v>
      </c>
      <c r="BA962">
        <v>9</v>
      </c>
      <c r="BB962">
        <v>3</v>
      </c>
      <c r="BC962">
        <v>1</v>
      </c>
      <c r="BD962">
        <v>7</v>
      </c>
    </row>
    <row r="963" spans="1:56" x14ac:dyDescent="0.25">
      <c r="A963">
        <v>35</v>
      </c>
      <c r="B963" t="str">
        <f>_xlfn.XLOOKUP(Table1[[#This Row],[Attrition]],Table2[Attrition],Table2[Id_Attrition])</f>
        <v>A002</v>
      </c>
      <c r="C963" t="s">
        <v>33</v>
      </c>
      <c r="D963" t="str">
        <f>_xlfn.XLOOKUP(Table1[[#This Row],[BusinessTravel]],Table5[BusinessTravel],Table5[Id_BusinessTravel])</f>
        <v>BS002</v>
      </c>
      <c r="E963" t="s">
        <v>35</v>
      </c>
      <c r="F963">
        <v>482</v>
      </c>
      <c r="G963" t="str">
        <f>_xlfn.XLOOKUP(Table1[[#This Row],[Department]],Table6[Department],Table6[Id_Departement])</f>
        <v>D002</v>
      </c>
      <c r="H963" t="s">
        <v>38</v>
      </c>
      <c r="I963">
        <v>4</v>
      </c>
      <c r="J963" t="str">
        <f>_xlfn.XLOOKUP(Table1[[#This Row],[Education]],Table8[Education],Table8[Id_Education])</f>
        <v>E004</v>
      </c>
      <c r="K963">
        <v>4</v>
      </c>
      <c r="L963" t="str">
        <f>_xlfn.XLOOKUP(Table1[[#This Row],[EducationField]],Table7[EducationField],Table7[Id_EducationField])</f>
        <v>EF001</v>
      </c>
      <c r="M963" t="s">
        <v>40</v>
      </c>
      <c r="N963" t="str">
        <f>_xlfn.XLOOKUP(Table1[[#This Row],[EmployeeNumber]],Table4[EmployeeNumber],Table4[Id_Employee])</f>
        <v>EMP00962</v>
      </c>
      <c r="O963">
        <v>1350</v>
      </c>
      <c r="P963" t="str">
        <f>_xlfn.XLOOKUP(Table1[[#This Row],[EnvironmentSatisfaction]],Table9[EnvironmentSatisfaction],Table9[Id_EnviromentSatisfaction])</f>
        <v>ES003</v>
      </c>
      <c r="Q963">
        <v>3</v>
      </c>
      <c r="R963" t="str">
        <f>_xlfn.XLOOKUP(Table1[[#This Row],[EnvironmentSatisfaction]],Table9[EnvironmentSatisfaction],Table9[Deskripsi])</f>
        <v>High</v>
      </c>
      <c r="S963" t="str">
        <f>_xlfn.XLOOKUP(Table1[[#This Row],[Gender]],Table10[Gender],Table10[Id_Gender])</f>
        <v>G002</v>
      </c>
      <c r="T963" t="s">
        <v>46</v>
      </c>
      <c r="U963">
        <v>87</v>
      </c>
      <c r="V963" t="str">
        <f>_xlfn.XLOOKUP(Table1[[#This Row],[JobInvolvement]],Table11[JobInvolvement],Table11[Id_JobInvolvement])</f>
        <v>JI003</v>
      </c>
      <c r="W963">
        <v>3</v>
      </c>
      <c r="X963" t="str">
        <f>_xlfn.XLOOKUP(Table1[[#This Row],[JobLevel]],Table12[JobLevel],Table12[Id_JobLevel])</f>
        <v>JL002</v>
      </c>
      <c r="Y963">
        <v>2</v>
      </c>
      <c r="Z963" t="str">
        <f>_xlfn.XLOOKUP(Table1[[#This Row],[JobRole]],Table13[JobRole],Table13[Id_JobRole])</f>
        <v>JR002</v>
      </c>
      <c r="AA963" t="s">
        <v>48</v>
      </c>
      <c r="AB963" t="str">
        <f>_xlfn.XLOOKUP(Table1[[#This Row],[JobSatisfaction]],Table14[JobSatisfaction],Table14[Id_JobSatisfaction])</f>
        <v>JS003</v>
      </c>
      <c r="AC963">
        <v>3</v>
      </c>
      <c r="AD963" t="str">
        <f>_xlfn.XLOOKUP(Table1[[#This Row],[JobSatisfaction]],Table14[JobSatisfaction],Table14[Deskripsi])</f>
        <v>High</v>
      </c>
      <c r="AE963" t="str">
        <f>_xlfn.XLOOKUP(Table1[[#This Row],[MaritalStatus]],Table15[MaritalStatus],Table15[Id_MaritalStatus])</f>
        <v>MS001</v>
      </c>
      <c r="AF963" t="s">
        <v>55</v>
      </c>
      <c r="AG963">
        <v>4249</v>
      </c>
      <c r="AH963">
        <v>2690</v>
      </c>
      <c r="AI963">
        <v>1</v>
      </c>
      <c r="AJ963" t="str">
        <f>_xlfn.XLOOKUP(Table1[[#This Row],[OverTime]],Table16[OverTime],Table16[Id_OverTime])</f>
        <v>OT001</v>
      </c>
      <c r="AK963" t="s">
        <v>32</v>
      </c>
      <c r="AL963">
        <v>11</v>
      </c>
      <c r="AM963" t="str">
        <f>_xlfn.XLOOKUP(Table1[[#This Row],[PerformanceRating]],Table17[PerformanceRating],Table17[Id_PerformanceRating])</f>
        <v>PR003</v>
      </c>
      <c r="AN963">
        <v>3</v>
      </c>
      <c r="AO963" t="str">
        <f>_xlfn.XLOOKUP(Table1[[#This Row],[PerformanceRating]],Table17[PerformanceRating],Table17[Deskripsi])</f>
        <v>Excellent</v>
      </c>
      <c r="AP963" t="str">
        <f>_xlfn.XLOOKUP(Table1[[#This Row],[RelationshipSatisfaction]],Table18[RelationshipSatisfaction],Table18[Id_RelationshipSatisfaction])</f>
        <v>RS002</v>
      </c>
      <c r="AQ963">
        <v>2</v>
      </c>
      <c r="AR963" t="str">
        <f>_xlfn.XLOOKUP(Table1[[#This Row],[RelationshipSatisfaction]],Table18[RelationshipSatisfaction],Table18[Deskripsi])</f>
        <v>Medium</v>
      </c>
      <c r="AS963" t="str">
        <f>_xlfn.XLOOKUP(Table1[[#This Row],[StockOptionLevel]],Table19[StockOptionLevel],Table19[Id_StockOptionLevel])</f>
        <v>SOL001</v>
      </c>
      <c r="AT963">
        <v>0</v>
      </c>
      <c r="AU963" t="str">
        <f>_xlfn.XLOOKUP(Table1[[#This Row],[StockOptionLevel]],Table19[StockOptionLevel],Table19[Deskripsi])</f>
        <v>Non-Eligible</v>
      </c>
      <c r="AV963">
        <v>9</v>
      </c>
      <c r="AW963">
        <v>3</v>
      </c>
      <c r="AX963" t="str">
        <f>_xlfn.XLOOKUP(Table1[[#This Row],[WorkLifeBalance]],Table20[WorkLifeBalance],Table20[Id_WorkLifeBalance])</f>
        <v>WLB002</v>
      </c>
      <c r="AY963">
        <v>3</v>
      </c>
      <c r="AZ963" t="str">
        <f>_xlfn.XLOOKUP(Table1[[#This Row],[WorkLifeBalance]],Table20[WorkLifeBalance],Table20[Deskripsi])</f>
        <v>Good</v>
      </c>
      <c r="BA963">
        <v>9</v>
      </c>
      <c r="BB963">
        <v>6</v>
      </c>
      <c r="BC963">
        <v>1</v>
      </c>
      <c r="BD963">
        <v>1</v>
      </c>
    </row>
    <row r="964" spans="1:56" x14ac:dyDescent="0.25">
      <c r="A964">
        <v>51</v>
      </c>
      <c r="B964" t="str">
        <f>_xlfn.XLOOKUP(Table1[[#This Row],[Attrition]],Table2[Attrition],Table2[Id_Attrition])</f>
        <v>A002</v>
      </c>
      <c r="C964" t="s">
        <v>33</v>
      </c>
      <c r="D964" t="str">
        <f>_xlfn.XLOOKUP(Table1[[#This Row],[BusinessTravel]],Table5[BusinessTravel],Table5[Id_BusinessTravel])</f>
        <v>BS001</v>
      </c>
      <c r="E964" t="s">
        <v>34</v>
      </c>
      <c r="F964">
        <v>770</v>
      </c>
      <c r="G964" t="str">
        <f>_xlfn.XLOOKUP(Table1[[#This Row],[Department]],Table6[Department],Table6[Id_Departement])</f>
        <v>D003</v>
      </c>
      <c r="H964" t="s">
        <v>39</v>
      </c>
      <c r="I964">
        <v>5</v>
      </c>
      <c r="J964" t="str">
        <f>_xlfn.XLOOKUP(Table1[[#This Row],[Education]],Table8[Education],Table8[Id_Education])</f>
        <v>E003</v>
      </c>
      <c r="K964">
        <v>3</v>
      </c>
      <c r="L964" t="str">
        <f>_xlfn.XLOOKUP(Table1[[#This Row],[EducationField]],Table7[EducationField],Table7[Id_EducationField])</f>
        <v>EF001</v>
      </c>
      <c r="M964" t="s">
        <v>40</v>
      </c>
      <c r="N964" t="str">
        <f>_xlfn.XLOOKUP(Table1[[#This Row],[EmployeeNumber]],Table4[EmployeeNumber],Table4[Id_Employee])</f>
        <v>EMP00963</v>
      </c>
      <c r="O964">
        <v>1352</v>
      </c>
      <c r="P964" t="str">
        <f>_xlfn.XLOOKUP(Table1[[#This Row],[EnvironmentSatisfaction]],Table9[EnvironmentSatisfaction],Table9[Id_EnviromentSatisfaction])</f>
        <v>ES003</v>
      </c>
      <c r="Q964">
        <v>3</v>
      </c>
      <c r="R964" t="str">
        <f>_xlfn.XLOOKUP(Table1[[#This Row],[EnvironmentSatisfaction]],Table9[EnvironmentSatisfaction],Table9[Deskripsi])</f>
        <v>High</v>
      </c>
      <c r="S964" t="str">
        <f>_xlfn.XLOOKUP(Table1[[#This Row],[Gender]],Table10[Gender],Table10[Id_Gender])</f>
        <v>G002</v>
      </c>
      <c r="T964" t="s">
        <v>46</v>
      </c>
      <c r="U964">
        <v>84</v>
      </c>
      <c r="V964" t="str">
        <f>_xlfn.XLOOKUP(Table1[[#This Row],[JobInvolvement]],Table11[JobInvolvement],Table11[Id_JobInvolvement])</f>
        <v>JI003</v>
      </c>
      <c r="W964">
        <v>3</v>
      </c>
      <c r="X964" t="str">
        <f>_xlfn.XLOOKUP(Table1[[#This Row],[JobLevel]],Table12[JobLevel],Table12[Id_JobLevel])</f>
        <v>JL004</v>
      </c>
      <c r="Y964">
        <v>4</v>
      </c>
      <c r="Z964" t="str">
        <f>_xlfn.XLOOKUP(Table1[[#This Row],[JobRole]],Table13[JobRole],Table13[Id_JobRole])</f>
        <v>JR006</v>
      </c>
      <c r="AA964" t="s">
        <v>52</v>
      </c>
      <c r="AB964" t="str">
        <f>_xlfn.XLOOKUP(Table1[[#This Row],[JobSatisfaction]],Table14[JobSatisfaction],Table14[Id_JobSatisfaction])</f>
        <v>JS002</v>
      </c>
      <c r="AC964">
        <v>2</v>
      </c>
      <c r="AD964" t="str">
        <f>_xlfn.XLOOKUP(Table1[[#This Row],[JobSatisfaction]],Table14[JobSatisfaction],Table14[Deskripsi])</f>
        <v>Medium</v>
      </c>
      <c r="AE964" t="str">
        <f>_xlfn.XLOOKUP(Table1[[#This Row],[MaritalStatus]],Table15[MaritalStatus],Table15[Id_MaritalStatus])</f>
        <v>MS003</v>
      </c>
      <c r="AF964" t="s">
        <v>57</v>
      </c>
      <c r="AG964">
        <v>14026</v>
      </c>
      <c r="AH964">
        <v>17588</v>
      </c>
      <c r="AI964">
        <v>1</v>
      </c>
      <c r="AJ964" t="str">
        <f>_xlfn.XLOOKUP(Table1[[#This Row],[OverTime]],Table16[OverTime],Table16[Id_OverTime])</f>
        <v>OT001</v>
      </c>
      <c r="AK964" t="s">
        <v>32</v>
      </c>
      <c r="AL964">
        <v>11</v>
      </c>
      <c r="AM964" t="str">
        <f>_xlfn.XLOOKUP(Table1[[#This Row],[PerformanceRating]],Table17[PerformanceRating],Table17[Id_PerformanceRating])</f>
        <v>PR003</v>
      </c>
      <c r="AN964">
        <v>3</v>
      </c>
      <c r="AO964" t="str">
        <f>_xlfn.XLOOKUP(Table1[[#This Row],[PerformanceRating]],Table17[PerformanceRating],Table17[Deskripsi])</f>
        <v>Excellent</v>
      </c>
      <c r="AP964" t="str">
        <f>_xlfn.XLOOKUP(Table1[[#This Row],[RelationshipSatisfaction]],Table18[RelationshipSatisfaction],Table18[Id_RelationshipSatisfaction])</f>
        <v>RS002</v>
      </c>
      <c r="AQ964">
        <v>2</v>
      </c>
      <c r="AR964" t="str">
        <f>_xlfn.XLOOKUP(Table1[[#This Row],[RelationshipSatisfaction]],Table18[RelationshipSatisfaction],Table18[Deskripsi])</f>
        <v>Medium</v>
      </c>
      <c r="AS964" t="str">
        <f>_xlfn.XLOOKUP(Table1[[#This Row],[StockOptionLevel]],Table19[StockOptionLevel],Table19[Id_StockOptionLevel])</f>
        <v>SOL002</v>
      </c>
      <c r="AT964">
        <v>1</v>
      </c>
      <c r="AU964" t="str">
        <f>_xlfn.XLOOKUP(Table1[[#This Row],[StockOptionLevel]],Table19[StockOptionLevel],Table19[Deskripsi])</f>
        <v>Standard</v>
      </c>
      <c r="AV964">
        <v>33</v>
      </c>
      <c r="AW964">
        <v>2</v>
      </c>
      <c r="AX964" t="str">
        <f>_xlfn.XLOOKUP(Table1[[#This Row],[WorkLifeBalance]],Table20[WorkLifeBalance],Table20[Id_WorkLifeBalance])</f>
        <v>WLB002</v>
      </c>
      <c r="AY964">
        <v>3</v>
      </c>
      <c r="AZ964" t="str">
        <f>_xlfn.XLOOKUP(Table1[[#This Row],[WorkLifeBalance]],Table20[WorkLifeBalance],Table20[Deskripsi])</f>
        <v>Good</v>
      </c>
      <c r="BA964">
        <v>33</v>
      </c>
      <c r="BB964">
        <v>9</v>
      </c>
      <c r="BC964">
        <v>0</v>
      </c>
      <c r="BD964">
        <v>10</v>
      </c>
    </row>
    <row r="965" spans="1:56" x14ac:dyDescent="0.25">
      <c r="A965">
        <v>38</v>
      </c>
      <c r="B965" t="str">
        <f>_xlfn.XLOOKUP(Table1[[#This Row],[Attrition]],Table2[Attrition],Table2[Id_Attrition])</f>
        <v>A002</v>
      </c>
      <c r="C965" t="s">
        <v>33</v>
      </c>
      <c r="D965" t="str">
        <f>_xlfn.XLOOKUP(Table1[[#This Row],[BusinessTravel]],Table5[BusinessTravel],Table5[Id_BusinessTravel])</f>
        <v>BS001</v>
      </c>
      <c r="E965" t="s">
        <v>34</v>
      </c>
      <c r="F965">
        <v>1009</v>
      </c>
      <c r="G965" t="str">
        <f>_xlfn.XLOOKUP(Table1[[#This Row],[Department]],Table6[Department],Table6[Id_Departement])</f>
        <v>D001</v>
      </c>
      <c r="H965" t="s">
        <v>37</v>
      </c>
      <c r="I965">
        <v>2</v>
      </c>
      <c r="J965" t="str">
        <f>_xlfn.XLOOKUP(Table1[[#This Row],[Education]],Table8[Education],Table8[Id_Education])</f>
        <v>E002</v>
      </c>
      <c r="K965">
        <v>2</v>
      </c>
      <c r="L965" t="str">
        <f>_xlfn.XLOOKUP(Table1[[#This Row],[EducationField]],Table7[EducationField],Table7[Id_EducationField])</f>
        <v>EF001</v>
      </c>
      <c r="M965" t="s">
        <v>40</v>
      </c>
      <c r="N965" t="str">
        <f>_xlfn.XLOOKUP(Table1[[#This Row],[EmployeeNumber]],Table4[EmployeeNumber],Table4[Id_Employee])</f>
        <v>EMP00964</v>
      </c>
      <c r="O965">
        <v>1355</v>
      </c>
      <c r="P965" t="str">
        <f>_xlfn.XLOOKUP(Table1[[#This Row],[EnvironmentSatisfaction]],Table9[EnvironmentSatisfaction],Table9[Id_EnviromentSatisfaction])</f>
        <v>ES002</v>
      </c>
      <c r="Q965">
        <v>2</v>
      </c>
      <c r="R965" t="str">
        <f>_xlfn.XLOOKUP(Table1[[#This Row],[EnvironmentSatisfaction]],Table9[EnvironmentSatisfaction],Table9[Deskripsi])</f>
        <v>Medium</v>
      </c>
      <c r="S965" t="str">
        <f>_xlfn.XLOOKUP(Table1[[#This Row],[Gender]],Table10[Gender],Table10[Id_Gender])</f>
        <v>G001</v>
      </c>
      <c r="T965" t="s">
        <v>45</v>
      </c>
      <c r="U965">
        <v>31</v>
      </c>
      <c r="V965" t="str">
        <f>_xlfn.XLOOKUP(Table1[[#This Row],[JobInvolvement]],Table11[JobInvolvement],Table11[Id_JobInvolvement])</f>
        <v>JI003</v>
      </c>
      <c r="W965">
        <v>3</v>
      </c>
      <c r="X965" t="str">
        <f>_xlfn.XLOOKUP(Table1[[#This Row],[JobLevel]],Table12[JobLevel],Table12[Id_JobLevel])</f>
        <v>JL002</v>
      </c>
      <c r="Y965">
        <v>2</v>
      </c>
      <c r="Z965" t="str">
        <f>_xlfn.XLOOKUP(Table1[[#This Row],[JobRole]],Table13[JobRole],Table13[Id_JobRole])</f>
        <v>JR001</v>
      </c>
      <c r="AA965" t="s">
        <v>47</v>
      </c>
      <c r="AB965" t="str">
        <f>_xlfn.XLOOKUP(Table1[[#This Row],[JobSatisfaction]],Table14[JobSatisfaction],Table14[Id_JobSatisfaction])</f>
        <v>JS001</v>
      </c>
      <c r="AC965">
        <v>1</v>
      </c>
      <c r="AD965" t="str">
        <f>_xlfn.XLOOKUP(Table1[[#This Row],[JobSatisfaction]],Table14[JobSatisfaction],Table14[Deskripsi])</f>
        <v>Low</v>
      </c>
      <c r="AE965" t="str">
        <f>_xlfn.XLOOKUP(Table1[[#This Row],[MaritalStatus]],Table15[MaritalStatus],Table15[Id_MaritalStatus])</f>
        <v>MS003</v>
      </c>
      <c r="AF965" t="s">
        <v>57</v>
      </c>
      <c r="AG965">
        <v>6893</v>
      </c>
      <c r="AH965">
        <v>19461</v>
      </c>
      <c r="AI965">
        <v>3</v>
      </c>
      <c r="AJ965" t="str">
        <f>_xlfn.XLOOKUP(Table1[[#This Row],[OverTime]],Table16[OverTime],Table16[Id_OverTime])</f>
        <v>OT002</v>
      </c>
      <c r="AK965" t="s">
        <v>33</v>
      </c>
      <c r="AL965">
        <v>15</v>
      </c>
      <c r="AM965" t="str">
        <f>_xlfn.XLOOKUP(Table1[[#This Row],[PerformanceRating]],Table17[PerformanceRating],Table17[Id_PerformanceRating])</f>
        <v>PR003</v>
      </c>
      <c r="AN965">
        <v>3</v>
      </c>
      <c r="AO965" t="str">
        <f>_xlfn.XLOOKUP(Table1[[#This Row],[PerformanceRating]],Table17[PerformanceRating],Table17[Deskripsi])</f>
        <v>Excellent</v>
      </c>
      <c r="AP965" t="str">
        <f>_xlfn.XLOOKUP(Table1[[#This Row],[RelationshipSatisfaction]],Table18[RelationshipSatisfaction],Table18[Id_RelationshipSatisfaction])</f>
        <v>RS004</v>
      </c>
      <c r="AQ965">
        <v>4</v>
      </c>
      <c r="AR965" t="str">
        <f>_xlfn.XLOOKUP(Table1[[#This Row],[RelationshipSatisfaction]],Table18[RelationshipSatisfaction],Table18[Deskripsi])</f>
        <v>Very High</v>
      </c>
      <c r="AS965" t="str">
        <f>_xlfn.XLOOKUP(Table1[[#This Row],[StockOptionLevel]],Table19[StockOptionLevel],Table19[Id_StockOptionLevel])</f>
        <v>SOL002</v>
      </c>
      <c r="AT965">
        <v>1</v>
      </c>
      <c r="AU965" t="str">
        <f>_xlfn.XLOOKUP(Table1[[#This Row],[StockOptionLevel]],Table19[StockOptionLevel],Table19[Deskripsi])</f>
        <v>Standard</v>
      </c>
      <c r="AV965">
        <v>11</v>
      </c>
      <c r="AW965">
        <v>3</v>
      </c>
      <c r="AX965" t="str">
        <f>_xlfn.XLOOKUP(Table1[[#This Row],[WorkLifeBalance]],Table20[WorkLifeBalance],Table20[Id_WorkLifeBalance])</f>
        <v>WLB002</v>
      </c>
      <c r="AY965">
        <v>3</v>
      </c>
      <c r="AZ965" t="str">
        <f>_xlfn.XLOOKUP(Table1[[#This Row],[WorkLifeBalance]],Table20[WorkLifeBalance],Table20[Deskripsi])</f>
        <v>Good</v>
      </c>
      <c r="BA965">
        <v>7</v>
      </c>
      <c r="BB965">
        <v>7</v>
      </c>
      <c r="BC965">
        <v>1</v>
      </c>
      <c r="BD965">
        <v>7</v>
      </c>
    </row>
    <row r="966" spans="1:56" x14ac:dyDescent="0.25">
      <c r="A966">
        <v>34</v>
      </c>
      <c r="B966" t="str">
        <f>_xlfn.XLOOKUP(Table1[[#This Row],[Attrition]],Table2[Attrition],Table2[Id_Attrition])</f>
        <v>A002</v>
      </c>
      <c r="C966" t="s">
        <v>33</v>
      </c>
      <c r="D966" t="str">
        <f>_xlfn.XLOOKUP(Table1[[#This Row],[BusinessTravel]],Table5[BusinessTravel],Table5[Id_BusinessTravel])</f>
        <v>BS001</v>
      </c>
      <c r="E966" t="s">
        <v>34</v>
      </c>
      <c r="F966">
        <v>507</v>
      </c>
      <c r="G966" t="str">
        <f>_xlfn.XLOOKUP(Table1[[#This Row],[Department]],Table6[Department],Table6[Id_Departement])</f>
        <v>D001</v>
      </c>
      <c r="H966" t="s">
        <v>37</v>
      </c>
      <c r="I966">
        <v>15</v>
      </c>
      <c r="J966" t="str">
        <f>_xlfn.XLOOKUP(Table1[[#This Row],[Education]],Table8[Education],Table8[Id_Education])</f>
        <v>E002</v>
      </c>
      <c r="K966">
        <v>2</v>
      </c>
      <c r="L966" t="str">
        <f>_xlfn.XLOOKUP(Table1[[#This Row],[EducationField]],Table7[EducationField],Table7[Id_EducationField])</f>
        <v>EF003</v>
      </c>
      <c r="M966" t="s">
        <v>42</v>
      </c>
      <c r="N966" t="str">
        <f>_xlfn.XLOOKUP(Table1[[#This Row],[EmployeeNumber]],Table4[EmployeeNumber],Table4[Id_Employee])</f>
        <v>EMP00965</v>
      </c>
      <c r="O966">
        <v>1356</v>
      </c>
      <c r="P966" t="str">
        <f>_xlfn.XLOOKUP(Table1[[#This Row],[EnvironmentSatisfaction]],Table9[EnvironmentSatisfaction],Table9[Id_EnviromentSatisfaction])</f>
        <v>ES003</v>
      </c>
      <c r="Q966">
        <v>3</v>
      </c>
      <c r="R966" t="str">
        <f>_xlfn.XLOOKUP(Table1[[#This Row],[EnvironmentSatisfaction]],Table9[EnvironmentSatisfaction],Table9[Deskripsi])</f>
        <v>High</v>
      </c>
      <c r="S966" t="str">
        <f>_xlfn.XLOOKUP(Table1[[#This Row],[Gender]],Table10[Gender],Table10[Id_Gender])</f>
        <v>G001</v>
      </c>
      <c r="T966" t="s">
        <v>45</v>
      </c>
      <c r="U966">
        <v>66</v>
      </c>
      <c r="V966" t="str">
        <f>_xlfn.XLOOKUP(Table1[[#This Row],[JobInvolvement]],Table11[JobInvolvement],Table11[Id_JobInvolvement])</f>
        <v>JI003</v>
      </c>
      <c r="W966">
        <v>3</v>
      </c>
      <c r="X966" t="str">
        <f>_xlfn.XLOOKUP(Table1[[#This Row],[JobLevel]],Table12[JobLevel],Table12[Id_JobLevel])</f>
        <v>JL002</v>
      </c>
      <c r="Y966">
        <v>2</v>
      </c>
      <c r="Z966" t="str">
        <f>_xlfn.XLOOKUP(Table1[[#This Row],[JobRole]],Table13[JobRole],Table13[Id_JobRole])</f>
        <v>JR001</v>
      </c>
      <c r="AA966" t="s">
        <v>47</v>
      </c>
      <c r="AB966" t="str">
        <f>_xlfn.XLOOKUP(Table1[[#This Row],[JobSatisfaction]],Table14[JobSatisfaction],Table14[Id_JobSatisfaction])</f>
        <v>JS001</v>
      </c>
      <c r="AC966">
        <v>1</v>
      </c>
      <c r="AD966" t="str">
        <f>_xlfn.XLOOKUP(Table1[[#This Row],[JobSatisfaction]],Table14[JobSatisfaction],Table14[Deskripsi])</f>
        <v>Low</v>
      </c>
      <c r="AE966" t="str">
        <f>_xlfn.XLOOKUP(Table1[[#This Row],[MaritalStatus]],Table15[MaritalStatus],Table15[Id_MaritalStatus])</f>
        <v>MS001</v>
      </c>
      <c r="AF966" t="s">
        <v>55</v>
      </c>
      <c r="AG966">
        <v>6125</v>
      </c>
      <c r="AH966">
        <v>23553</v>
      </c>
      <c r="AI966">
        <v>1</v>
      </c>
      <c r="AJ966" t="str">
        <f>_xlfn.XLOOKUP(Table1[[#This Row],[OverTime]],Table16[OverTime],Table16[Id_OverTime])</f>
        <v>OT002</v>
      </c>
      <c r="AK966" t="s">
        <v>33</v>
      </c>
      <c r="AL966">
        <v>12</v>
      </c>
      <c r="AM966" t="str">
        <f>_xlfn.XLOOKUP(Table1[[#This Row],[PerformanceRating]],Table17[PerformanceRating],Table17[Id_PerformanceRating])</f>
        <v>PR003</v>
      </c>
      <c r="AN966">
        <v>3</v>
      </c>
      <c r="AO966" t="str">
        <f>_xlfn.XLOOKUP(Table1[[#This Row],[PerformanceRating]],Table17[PerformanceRating],Table17[Deskripsi])</f>
        <v>Excellent</v>
      </c>
      <c r="AP966" t="str">
        <f>_xlfn.XLOOKUP(Table1[[#This Row],[RelationshipSatisfaction]],Table18[RelationshipSatisfaction],Table18[Id_RelationshipSatisfaction])</f>
        <v>RS004</v>
      </c>
      <c r="AQ966">
        <v>4</v>
      </c>
      <c r="AR966" t="str">
        <f>_xlfn.XLOOKUP(Table1[[#This Row],[RelationshipSatisfaction]],Table18[RelationshipSatisfaction],Table18[Deskripsi])</f>
        <v>Very High</v>
      </c>
      <c r="AS966" t="str">
        <f>_xlfn.XLOOKUP(Table1[[#This Row],[StockOptionLevel]],Table19[StockOptionLevel],Table19[Id_StockOptionLevel])</f>
        <v>SOL001</v>
      </c>
      <c r="AT966">
        <v>0</v>
      </c>
      <c r="AU966" t="str">
        <f>_xlfn.XLOOKUP(Table1[[#This Row],[StockOptionLevel]],Table19[StockOptionLevel],Table19[Deskripsi])</f>
        <v>Non-Eligible</v>
      </c>
      <c r="AV966">
        <v>10</v>
      </c>
      <c r="AW966">
        <v>6</v>
      </c>
      <c r="AX966" t="str">
        <f>_xlfn.XLOOKUP(Table1[[#This Row],[WorkLifeBalance]],Table20[WorkLifeBalance],Table20[Id_WorkLifeBalance])</f>
        <v>WLB004</v>
      </c>
      <c r="AY966">
        <v>4</v>
      </c>
      <c r="AZ966" t="str">
        <f>_xlfn.XLOOKUP(Table1[[#This Row],[WorkLifeBalance]],Table20[WorkLifeBalance],Table20[Deskripsi])</f>
        <v>Best</v>
      </c>
      <c r="BA966">
        <v>10</v>
      </c>
      <c r="BB966">
        <v>8</v>
      </c>
      <c r="BC966">
        <v>9</v>
      </c>
      <c r="BD966">
        <v>6</v>
      </c>
    </row>
    <row r="967" spans="1:56" x14ac:dyDescent="0.25">
      <c r="A967">
        <v>25</v>
      </c>
      <c r="B967" t="str">
        <f>_xlfn.XLOOKUP(Table1[[#This Row],[Attrition]],Table2[Attrition],Table2[Id_Attrition])</f>
        <v>A002</v>
      </c>
      <c r="C967" t="s">
        <v>33</v>
      </c>
      <c r="D967" t="str">
        <f>_xlfn.XLOOKUP(Table1[[#This Row],[BusinessTravel]],Table5[BusinessTravel],Table5[Id_BusinessTravel])</f>
        <v>BS001</v>
      </c>
      <c r="E967" t="s">
        <v>34</v>
      </c>
      <c r="F967">
        <v>882</v>
      </c>
      <c r="G967" t="str">
        <f>_xlfn.XLOOKUP(Table1[[#This Row],[Department]],Table6[Department],Table6[Id_Departement])</f>
        <v>D002</v>
      </c>
      <c r="H967" t="s">
        <v>38</v>
      </c>
      <c r="I967">
        <v>19</v>
      </c>
      <c r="J967" t="str">
        <f>_xlfn.XLOOKUP(Table1[[#This Row],[Education]],Table8[Education],Table8[Id_Education])</f>
        <v>E001</v>
      </c>
      <c r="K967">
        <v>1</v>
      </c>
      <c r="L967" t="str">
        <f>_xlfn.XLOOKUP(Table1[[#This Row],[EducationField]],Table7[EducationField],Table7[Id_EducationField])</f>
        <v>EF003</v>
      </c>
      <c r="M967" t="s">
        <v>42</v>
      </c>
      <c r="N967" t="str">
        <f>_xlfn.XLOOKUP(Table1[[#This Row],[EmployeeNumber]],Table4[EmployeeNumber],Table4[Id_Employee])</f>
        <v>EMP00966</v>
      </c>
      <c r="O967">
        <v>1358</v>
      </c>
      <c r="P967" t="str">
        <f>_xlfn.XLOOKUP(Table1[[#This Row],[EnvironmentSatisfaction]],Table9[EnvironmentSatisfaction],Table9[Id_EnviromentSatisfaction])</f>
        <v>ES004</v>
      </c>
      <c r="Q967">
        <v>4</v>
      </c>
      <c r="R967" t="str">
        <f>_xlfn.XLOOKUP(Table1[[#This Row],[EnvironmentSatisfaction]],Table9[EnvironmentSatisfaction],Table9[Deskripsi])</f>
        <v>Very High</v>
      </c>
      <c r="S967" t="str">
        <f>_xlfn.XLOOKUP(Table1[[#This Row],[Gender]],Table10[Gender],Table10[Id_Gender])</f>
        <v>G002</v>
      </c>
      <c r="T967" t="s">
        <v>46</v>
      </c>
      <c r="U967">
        <v>67</v>
      </c>
      <c r="V967" t="str">
        <f>_xlfn.XLOOKUP(Table1[[#This Row],[JobInvolvement]],Table11[JobInvolvement],Table11[Id_JobInvolvement])</f>
        <v>JI003</v>
      </c>
      <c r="W967">
        <v>3</v>
      </c>
      <c r="X967" t="str">
        <f>_xlfn.XLOOKUP(Table1[[#This Row],[JobLevel]],Table12[JobLevel],Table12[Id_JobLevel])</f>
        <v>JL001</v>
      </c>
      <c r="Y967">
        <v>1</v>
      </c>
      <c r="Z967" t="str">
        <f>_xlfn.XLOOKUP(Table1[[#This Row],[JobRole]],Table13[JobRole],Table13[Id_JobRole])</f>
        <v>JR003</v>
      </c>
      <c r="AA967" t="s">
        <v>49</v>
      </c>
      <c r="AB967" t="str">
        <f>_xlfn.XLOOKUP(Table1[[#This Row],[JobSatisfaction]],Table14[JobSatisfaction],Table14[Id_JobSatisfaction])</f>
        <v>JS004</v>
      </c>
      <c r="AC967">
        <v>4</v>
      </c>
      <c r="AD967" t="str">
        <f>_xlfn.XLOOKUP(Table1[[#This Row],[JobSatisfaction]],Table14[JobSatisfaction],Table14[Deskripsi])</f>
        <v>Very High</v>
      </c>
      <c r="AE967" t="str">
        <f>_xlfn.XLOOKUP(Table1[[#This Row],[MaritalStatus]],Table15[MaritalStatus],Table15[Id_MaritalStatus])</f>
        <v>MS002</v>
      </c>
      <c r="AF967" t="s">
        <v>56</v>
      </c>
      <c r="AG967">
        <v>3669</v>
      </c>
      <c r="AH967">
        <v>9075</v>
      </c>
      <c r="AI967">
        <v>3</v>
      </c>
      <c r="AJ967" t="str">
        <f>_xlfn.XLOOKUP(Table1[[#This Row],[OverTime]],Table16[OverTime],Table16[Id_OverTime])</f>
        <v>OT002</v>
      </c>
      <c r="AK967" t="s">
        <v>33</v>
      </c>
      <c r="AL967">
        <v>11</v>
      </c>
      <c r="AM967" t="str">
        <f>_xlfn.XLOOKUP(Table1[[#This Row],[PerformanceRating]],Table17[PerformanceRating],Table17[Id_PerformanceRating])</f>
        <v>PR003</v>
      </c>
      <c r="AN967">
        <v>3</v>
      </c>
      <c r="AO967" t="str">
        <f>_xlfn.XLOOKUP(Table1[[#This Row],[PerformanceRating]],Table17[PerformanceRating],Table17[Deskripsi])</f>
        <v>Excellent</v>
      </c>
      <c r="AP967" t="str">
        <f>_xlfn.XLOOKUP(Table1[[#This Row],[RelationshipSatisfaction]],Table18[RelationshipSatisfaction],Table18[Id_RelationshipSatisfaction])</f>
        <v>RS003</v>
      </c>
      <c r="AQ967">
        <v>3</v>
      </c>
      <c r="AR967" t="str">
        <f>_xlfn.XLOOKUP(Table1[[#This Row],[RelationshipSatisfaction]],Table18[RelationshipSatisfaction],Table18[Deskripsi])</f>
        <v>High</v>
      </c>
      <c r="AS967" t="str">
        <f>_xlfn.XLOOKUP(Table1[[#This Row],[StockOptionLevel]],Table19[StockOptionLevel],Table19[Id_StockOptionLevel])</f>
        <v>SOL004</v>
      </c>
      <c r="AT967">
        <v>3</v>
      </c>
      <c r="AU967" t="str">
        <f>_xlfn.XLOOKUP(Table1[[#This Row],[StockOptionLevel]],Table19[StockOptionLevel],Table19[Deskripsi])</f>
        <v>Senior/Executive</v>
      </c>
      <c r="AV967">
        <v>7</v>
      </c>
      <c r="AW967">
        <v>6</v>
      </c>
      <c r="AX967" t="str">
        <f>_xlfn.XLOOKUP(Table1[[#This Row],[WorkLifeBalance]],Table20[WorkLifeBalance],Table20[Id_WorkLifeBalance])</f>
        <v>WLB003</v>
      </c>
      <c r="AY967">
        <v>2</v>
      </c>
      <c r="AZ967" t="str">
        <f>_xlfn.XLOOKUP(Table1[[#This Row],[WorkLifeBalance]],Table20[WorkLifeBalance],Table20[Deskripsi])</f>
        <v>Better</v>
      </c>
      <c r="BA967">
        <v>3</v>
      </c>
      <c r="BB967">
        <v>2</v>
      </c>
      <c r="BC967">
        <v>1</v>
      </c>
      <c r="BD967">
        <v>2</v>
      </c>
    </row>
    <row r="968" spans="1:56" x14ac:dyDescent="0.25">
      <c r="A968">
        <v>58</v>
      </c>
      <c r="B968" t="str">
        <f>_xlfn.XLOOKUP(Table1[[#This Row],[Attrition]],Table2[Attrition],Table2[Id_Attrition])</f>
        <v>A001</v>
      </c>
      <c r="C968" t="s">
        <v>32</v>
      </c>
      <c r="D968" t="str">
        <f>_xlfn.XLOOKUP(Table1[[#This Row],[BusinessTravel]],Table5[BusinessTravel],Table5[Id_BusinessTravel])</f>
        <v>BS001</v>
      </c>
      <c r="E968" t="s">
        <v>34</v>
      </c>
      <c r="F968">
        <v>601</v>
      </c>
      <c r="G968" t="str">
        <f>_xlfn.XLOOKUP(Table1[[#This Row],[Department]],Table6[Department],Table6[Id_Departement])</f>
        <v>D002</v>
      </c>
      <c r="H968" t="s">
        <v>38</v>
      </c>
      <c r="I968">
        <v>7</v>
      </c>
      <c r="J968" t="str">
        <f>_xlfn.XLOOKUP(Table1[[#This Row],[Education]],Table8[Education],Table8[Id_Education])</f>
        <v>E004</v>
      </c>
      <c r="K968">
        <v>4</v>
      </c>
      <c r="L968" t="str">
        <f>_xlfn.XLOOKUP(Table1[[#This Row],[EducationField]],Table7[EducationField],Table7[Id_EducationField])</f>
        <v>EF003</v>
      </c>
      <c r="M968" t="s">
        <v>42</v>
      </c>
      <c r="N968" t="str">
        <f>_xlfn.XLOOKUP(Table1[[#This Row],[EmployeeNumber]],Table4[EmployeeNumber],Table4[Id_Employee])</f>
        <v>EMP00967</v>
      </c>
      <c r="O968">
        <v>1360</v>
      </c>
      <c r="P968" t="str">
        <f>_xlfn.XLOOKUP(Table1[[#This Row],[EnvironmentSatisfaction]],Table9[EnvironmentSatisfaction],Table9[Id_EnviromentSatisfaction])</f>
        <v>ES003</v>
      </c>
      <c r="Q968">
        <v>3</v>
      </c>
      <c r="R968" t="str">
        <f>_xlfn.XLOOKUP(Table1[[#This Row],[EnvironmentSatisfaction]],Table9[EnvironmentSatisfaction],Table9[Deskripsi])</f>
        <v>High</v>
      </c>
      <c r="S968" t="str">
        <f>_xlfn.XLOOKUP(Table1[[#This Row],[Gender]],Table10[Gender],Table10[Id_Gender])</f>
        <v>G001</v>
      </c>
      <c r="T968" t="s">
        <v>45</v>
      </c>
      <c r="U968">
        <v>53</v>
      </c>
      <c r="V968" t="str">
        <f>_xlfn.XLOOKUP(Table1[[#This Row],[JobInvolvement]],Table11[JobInvolvement],Table11[Id_JobInvolvement])</f>
        <v>JI002</v>
      </c>
      <c r="W968">
        <v>2</v>
      </c>
      <c r="X968" t="str">
        <f>_xlfn.XLOOKUP(Table1[[#This Row],[JobLevel]],Table12[JobLevel],Table12[Id_JobLevel])</f>
        <v>JL003</v>
      </c>
      <c r="Y968">
        <v>3</v>
      </c>
      <c r="Z968" t="str">
        <f>_xlfn.XLOOKUP(Table1[[#This Row],[JobRole]],Table13[JobRole],Table13[Id_JobRole])</f>
        <v>JR004</v>
      </c>
      <c r="AA968" t="s">
        <v>50</v>
      </c>
      <c r="AB968" t="str">
        <f>_xlfn.XLOOKUP(Table1[[#This Row],[JobSatisfaction]],Table14[JobSatisfaction],Table14[Id_JobSatisfaction])</f>
        <v>JS001</v>
      </c>
      <c r="AC968">
        <v>1</v>
      </c>
      <c r="AD968" t="str">
        <f>_xlfn.XLOOKUP(Table1[[#This Row],[JobSatisfaction]],Table14[JobSatisfaction],Table14[Deskripsi])</f>
        <v>Low</v>
      </c>
      <c r="AE968" t="str">
        <f>_xlfn.XLOOKUP(Table1[[#This Row],[MaritalStatus]],Table15[MaritalStatus],Table15[Id_MaritalStatus])</f>
        <v>MS002</v>
      </c>
      <c r="AF968" t="s">
        <v>56</v>
      </c>
      <c r="AG968">
        <v>10008</v>
      </c>
      <c r="AH968">
        <v>12023</v>
      </c>
      <c r="AI968">
        <v>7</v>
      </c>
      <c r="AJ968" t="str">
        <f>_xlfn.XLOOKUP(Table1[[#This Row],[OverTime]],Table16[OverTime],Table16[Id_OverTime])</f>
        <v>OT001</v>
      </c>
      <c r="AK968" t="s">
        <v>32</v>
      </c>
      <c r="AL968">
        <v>14</v>
      </c>
      <c r="AM968" t="str">
        <f>_xlfn.XLOOKUP(Table1[[#This Row],[PerformanceRating]],Table17[PerformanceRating],Table17[Id_PerformanceRating])</f>
        <v>PR003</v>
      </c>
      <c r="AN968">
        <v>3</v>
      </c>
      <c r="AO968" t="str">
        <f>_xlfn.XLOOKUP(Table1[[#This Row],[PerformanceRating]],Table17[PerformanceRating],Table17[Deskripsi])</f>
        <v>Excellent</v>
      </c>
      <c r="AP968" t="str">
        <f>_xlfn.XLOOKUP(Table1[[#This Row],[RelationshipSatisfaction]],Table18[RelationshipSatisfaction],Table18[Id_RelationshipSatisfaction])</f>
        <v>RS004</v>
      </c>
      <c r="AQ968">
        <v>4</v>
      </c>
      <c r="AR968" t="str">
        <f>_xlfn.XLOOKUP(Table1[[#This Row],[RelationshipSatisfaction]],Table18[RelationshipSatisfaction],Table18[Deskripsi])</f>
        <v>Very High</v>
      </c>
      <c r="AS968" t="str">
        <f>_xlfn.XLOOKUP(Table1[[#This Row],[StockOptionLevel]],Table19[StockOptionLevel],Table19[Id_StockOptionLevel])</f>
        <v>SOL001</v>
      </c>
      <c r="AT968">
        <v>0</v>
      </c>
      <c r="AU968" t="str">
        <f>_xlfn.XLOOKUP(Table1[[#This Row],[StockOptionLevel]],Table19[StockOptionLevel],Table19[Deskripsi])</f>
        <v>Non-Eligible</v>
      </c>
      <c r="AV968">
        <v>31</v>
      </c>
      <c r="AW968">
        <v>0</v>
      </c>
      <c r="AX968" t="str">
        <f>_xlfn.XLOOKUP(Table1[[#This Row],[WorkLifeBalance]],Table20[WorkLifeBalance],Table20[Id_WorkLifeBalance])</f>
        <v>WLB003</v>
      </c>
      <c r="AY968">
        <v>2</v>
      </c>
      <c r="AZ968" t="str">
        <f>_xlfn.XLOOKUP(Table1[[#This Row],[WorkLifeBalance]],Table20[WorkLifeBalance],Table20[Deskripsi])</f>
        <v>Better</v>
      </c>
      <c r="BA968">
        <v>10</v>
      </c>
      <c r="BB968">
        <v>9</v>
      </c>
      <c r="BC968">
        <v>5</v>
      </c>
      <c r="BD968">
        <v>9</v>
      </c>
    </row>
    <row r="969" spans="1:56" x14ac:dyDescent="0.25">
      <c r="A969">
        <v>40</v>
      </c>
      <c r="B969" t="str">
        <f>_xlfn.XLOOKUP(Table1[[#This Row],[Attrition]],Table2[Attrition],Table2[Id_Attrition])</f>
        <v>A002</v>
      </c>
      <c r="C969" t="s">
        <v>33</v>
      </c>
      <c r="D969" t="str">
        <f>_xlfn.XLOOKUP(Table1[[#This Row],[BusinessTravel]],Table5[BusinessTravel],Table5[Id_BusinessTravel])</f>
        <v>BS001</v>
      </c>
      <c r="E969" t="s">
        <v>34</v>
      </c>
      <c r="F969">
        <v>329</v>
      </c>
      <c r="G969" t="str">
        <f>_xlfn.XLOOKUP(Table1[[#This Row],[Department]],Table6[Department],Table6[Id_Departement])</f>
        <v>D002</v>
      </c>
      <c r="H969" t="s">
        <v>38</v>
      </c>
      <c r="I969">
        <v>1</v>
      </c>
      <c r="J969" t="str">
        <f>_xlfn.XLOOKUP(Table1[[#This Row],[Education]],Table8[Education],Table8[Id_Education])</f>
        <v>E004</v>
      </c>
      <c r="K969">
        <v>4</v>
      </c>
      <c r="L969" t="str">
        <f>_xlfn.XLOOKUP(Table1[[#This Row],[EducationField]],Table7[EducationField],Table7[Id_EducationField])</f>
        <v>EF001</v>
      </c>
      <c r="M969" t="s">
        <v>40</v>
      </c>
      <c r="N969" t="str">
        <f>_xlfn.XLOOKUP(Table1[[#This Row],[EmployeeNumber]],Table4[EmployeeNumber],Table4[Id_Employee])</f>
        <v>EMP00968</v>
      </c>
      <c r="O969">
        <v>1361</v>
      </c>
      <c r="P969" t="str">
        <f>_xlfn.XLOOKUP(Table1[[#This Row],[EnvironmentSatisfaction]],Table9[EnvironmentSatisfaction],Table9[Id_EnviromentSatisfaction])</f>
        <v>ES002</v>
      </c>
      <c r="Q969">
        <v>2</v>
      </c>
      <c r="R969" t="str">
        <f>_xlfn.XLOOKUP(Table1[[#This Row],[EnvironmentSatisfaction]],Table9[EnvironmentSatisfaction],Table9[Deskripsi])</f>
        <v>Medium</v>
      </c>
      <c r="S969" t="str">
        <f>_xlfn.XLOOKUP(Table1[[#This Row],[Gender]],Table10[Gender],Table10[Id_Gender])</f>
        <v>G002</v>
      </c>
      <c r="T969" t="s">
        <v>46</v>
      </c>
      <c r="U969">
        <v>88</v>
      </c>
      <c r="V969" t="str">
        <f>_xlfn.XLOOKUP(Table1[[#This Row],[JobInvolvement]],Table11[JobInvolvement],Table11[Id_JobInvolvement])</f>
        <v>JI003</v>
      </c>
      <c r="W969">
        <v>3</v>
      </c>
      <c r="X969" t="str">
        <f>_xlfn.XLOOKUP(Table1[[#This Row],[JobLevel]],Table12[JobLevel],Table12[Id_JobLevel])</f>
        <v>JL001</v>
      </c>
      <c r="Y969">
        <v>1</v>
      </c>
      <c r="Z969" t="str">
        <f>_xlfn.XLOOKUP(Table1[[#This Row],[JobRole]],Table13[JobRole],Table13[Id_JobRole])</f>
        <v>JR003</v>
      </c>
      <c r="AA969" t="s">
        <v>49</v>
      </c>
      <c r="AB969" t="str">
        <f>_xlfn.XLOOKUP(Table1[[#This Row],[JobSatisfaction]],Table14[JobSatisfaction],Table14[Id_JobSatisfaction])</f>
        <v>JS002</v>
      </c>
      <c r="AC969">
        <v>2</v>
      </c>
      <c r="AD969" t="str">
        <f>_xlfn.XLOOKUP(Table1[[#This Row],[JobSatisfaction]],Table14[JobSatisfaction],Table14[Deskripsi])</f>
        <v>Medium</v>
      </c>
      <c r="AE969" t="str">
        <f>_xlfn.XLOOKUP(Table1[[#This Row],[MaritalStatus]],Table15[MaritalStatus],Table15[Id_MaritalStatus])</f>
        <v>MS002</v>
      </c>
      <c r="AF969" t="s">
        <v>56</v>
      </c>
      <c r="AG969">
        <v>2387</v>
      </c>
      <c r="AH969">
        <v>6762</v>
      </c>
      <c r="AI969">
        <v>3</v>
      </c>
      <c r="AJ969" t="str">
        <f>_xlfn.XLOOKUP(Table1[[#This Row],[OverTime]],Table16[OverTime],Table16[Id_OverTime])</f>
        <v>OT002</v>
      </c>
      <c r="AK969" t="s">
        <v>33</v>
      </c>
      <c r="AL969">
        <v>22</v>
      </c>
      <c r="AM969" t="str">
        <f>_xlfn.XLOOKUP(Table1[[#This Row],[PerformanceRating]],Table17[PerformanceRating],Table17[Id_PerformanceRating])</f>
        <v>PR004</v>
      </c>
      <c r="AN969">
        <v>4</v>
      </c>
      <c r="AO969" t="str">
        <f>_xlfn.XLOOKUP(Table1[[#This Row],[PerformanceRating]],Table17[PerformanceRating],Table17[Deskripsi])</f>
        <v>Outstanding</v>
      </c>
      <c r="AP969" t="str">
        <f>_xlfn.XLOOKUP(Table1[[#This Row],[RelationshipSatisfaction]],Table18[RelationshipSatisfaction],Table18[Id_RelationshipSatisfaction])</f>
        <v>RS003</v>
      </c>
      <c r="AQ969">
        <v>3</v>
      </c>
      <c r="AR969" t="str">
        <f>_xlfn.XLOOKUP(Table1[[#This Row],[RelationshipSatisfaction]],Table18[RelationshipSatisfaction],Table18[Deskripsi])</f>
        <v>High</v>
      </c>
      <c r="AS969" t="str">
        <f>_xlfn.XLOOKUP(Table1[[#This Row],[StockOptionLevel]],Table19[StockOptionLevel],Table19[Id_StockOptionLevel])</f>
        <v>SOL002</v>
      </c>
      <c r="AT969">
        <v>1</v>
      </c>
      <c r="AU969" t="str">
        <f>_xlfn.XLOOKUP(Table1[[#This Row],[StockOptionLevel]],Table19[StockOptionLevel],Table19[Deskripsi])</f>
        <v>Standard</v>
      </c>
      <c r="AV969">
        <v>7</v>
      </c>
      <c r="AW969">
        <v>3</v>
      </c>
      <c r="AX969" t="str">
        <f>_xlfn.XLOOKUP(Table1[[#This Row],[WorkLifeBalance]],Table20[WorkLifeBalance],Table20[Id_WorkLifeBalance])</f>
        <v>WLB002</v>
      </c>
      <c r="AY969">
        <v>3</v>
      </c>
      <c r="AZ969" t="str">
        <f>_xlfn.XLOOKUP(Table1[[#This Row],[WorkLifeBalance]],Table20[WorkLifeBalance],Table20[Deskripsi])</f>
        <v>Good</v>
      </c>
      <c r="BA969">
        <v>4</v>
      </c>
      <c r="BB969">
        <v>2</v>
      </c>
      <c r="BC969">
        <v>0</v>
      </c>
      <c r="BD969">
        <v>3</v>
      </c>
    </row>
    <row r="970" spans="1:56" x14ac:dyDescent="0.25">
      <c r="A970">
        <v>36</v>
      </c>
      <c r="B970" t="str">
        <f>_xlfn.XLOOKUP(Table1[[#This Row],[Attrition]],Table2[Attrition],Table2[Id_Attrition])</f>
        <v>A002</v>
      </c>
      <c r="C970" t="s">
        <v>33</v>
      </c>
      <c r="D970" t="str">
        <f>_xlfn.XLOOKUP(Table1[[#This Row],[BusinessTravel]],Table5[BusinessTravel],Table5[Id_BusinessTravel])</f>
        <v>BS002</v>
      </c>
      <c r="E970" t="s">
        <v>35</v>
      </c>
      <c r="F970">
        <v>607</v>
      </c>
      <c r="G970" t="str">
        <f>_xlfn.XLOOKUP(Table1[[#This Row],[Department]],Table6[Department],Table6[Id_Departement])</f>
        <v>D001</v>
      </c>
      <c r="H970" t="s">
        <v>37</v>
      </c>
      <c r="I970">
        <v>7</v>
      </c>
      <c r="J970" t="str">
        <f>_xlfn.XLOOKUP(Table1[[#This Row],[Education]],Table8[Education],Table8[Id_Education])</f>
        <v>E003</v>
      </c>
      <c r="K970">
        <v>3</v>
      </c>
      <c r="L970" t="str">
        <f>_xlfn.XLOOKUP(Table1[[#This Row],[EducationField]],Table7[EducationField],Table7[Id_EducationField])</f>
        <v>EF004</v>
      </c>
      <c r="M970" t="s">
        <v>43</v>
      </c>
      <c r="N970" t="str">
        <f>_xlfn.XLOOKUP(Table1[[#This Row],[EmployeeNumber]],Table4[EmployeeNumber],Table4[Id_Employee])</f>
        <v>EMP00969</v>
      </c>
      <c r="O970">
        <v>1362</v>
      </c>
      <c r="P970" t="str">
        <f>_xlfn.XLOOKUP(Table1[[#This Row],[EnvironmentSatisfaction]],Table9[EnvironmentSatisfaction],Table9[Id_EnviromentSatisfaction])</f>
        <v>ES001</v>
      </c>
      <c r="Q970">
        <v>1</v>
      </c>
      <c r="R970" t="str">
        <f>_xlfn.XLOOKUP(Table1[[#This Row],[EnvironmentSatisfaction]],Table9[EnvironmentSatisfaction],Table9[Deskripsi])</f>
        <v>Low</v>
      </c>
      <c r="S970" t="str">
        <f>_xlfn.XLOOKUP(Table1[[#This Row],[Gender]],Table10[Gender],Table10[Id_Gender])</f>
        <v>G001</v>
      </c>
      <c r="T970" t="s">
        <v>45</v>
      </c>
      <c r="U970">
        <v>83</v>
      </c>
      <c r="V970" t="str">
        <f>_xlfn.XLOOKUP(Table1[[#This Row],[JobInvolvement]],Table11[JobInvolvement],Table11[Id_JobInvolvement])</f>
        <v>JI004</v>
      </c>
      <c r="W970">
        <v>4</v>
      </c>
      <c r="X970" t="str">
        <f>_xlfn.XLOOKUP(Table1[[#This Row],[JobLevel]],Table12[JobLevel],Table12[Id_JobLevel])</f>
        <v>JL002</v>
      </c>
      <c r="Y970">
        <v>2</v>
      </c>
      <c r="Z970" t="str">
        <f>_xlfn.XLOOKUP(Table1[[#This Row],[JobRole]],Table13[JobRole],Table13[Id_JobRole])</f>
        <v>JR001</v>
      </c>
      <c r="AA970" t="s">
        <v>47</v>
      </c>
      <c r="AB970" t="str">
        <f>_xlfn.XLOOKUP(Table1[[#This Row],[JobSatisfaction]],Table14[JobSatisfaction],Table14[Id_JobSatisfaction])</f>
        <v>JS001</v>
      </c>
      <c r="AC970">
        <v>1</v>
      </c>
      <c r="AD970" t="str">
        <f>_xlfn.XLOOKUP(Table1[[#This Row],[JobSatisfaction]],Table14[JobSatisfaction],Table14[Deskripsi])</f>
        <v>Low</v>
      </c>
      <c r="AE970" t="str">
        <f>_xlfn.XLOOKUP(Table1[[#This Row],[MaritalStatus]],Table15[MaritalStatus],Table15[Id_MaritalStatus])</f>
        <v>MS002</v>
      </c>
      <c r="AF970" t="s">
        <v>56</v>
      </c>
      <c r="AG970">
        <v>4639</v>
      </c>
      <c r="AH970">
        <v>2261</v>
      </c>
      <c r="AI970">
        <v>2</v>
      </c>
      <c r="AJ970" t="str">
        <f>_xlfn.XLOOKUP(Table1[[#This Row],[OverTime]],Table16[OverTime],Table16[Id_OverTime])</f>
        <v>OT002</v>
      </c>
      <c r="AK970" t="s">
        <v>33</v>
      </c>
      <c r="AL970">
        <v>16</v>
      </c>
      <c r="AM970" t="str">
        <f>_xlfn.XLOOKUP(Table1[[#This Row],[PerformanceRating]],Table17[PerformanceRating],Table17[Id_PerformanceRating])</f>
        <v>PR003</v>
      </c>
      <c r="AN970">
        <v>3</v>
      </c>
      <c r="AO970" t="str">
        <f>_xlfn.XLOOKUP(Table1[[#This Row],[PerformanceRating]],Table17[PerformanceRating],Table17[Deskripsi])</f>
        <v>Excellent</v>
      </c>
      <c r="AP970" t="str">
        <f>_xlfn.XLOOKUP(Table1[[#This Row],[RelationshipSatisfaction]],Table18[RelationshipSatisfaction],Table18[Id_RelationshipSatisfaction])</f>
        <v>RS004</v>
      </c>
      <c r="AQ970">
        <v>4</v>
      </c>
      <c r="AR970" t="str">
        <f>_xlfn.XLOOKUP(Table1[[#This Row],[RelationshipSatisfaction]],Table18[RelationshipSatisfaction],Table18[Deskripsi])</f>
        <v>Very High</v>
      </c>
      <c r="AS970" t="str">
        <f>_xlfn.XLOOKUP(Table1[[#This Row],[StockOptionLevel]],Table19[StockOptionLevel],Table19[Id_StockOptionLevel])</f>
        <v>SOL002</v>
      </c>
      <c r="AT970">
        <v>1</v>
      </c>
      <c r="AU970" t="str">
        <f>_xlfn.XLOOKUP(Table1[[#This Row],[StockOptionLevel]],Table19[StockOptionLevel],Table19[Deskripsi])</f>
        <v>Standard</v>
      </c>
      <c r="AV970">
        <v>17</v>
      </c>
      <c r="AW970">
        <v>2</v>
      </c>
      <c r="AX970" t="str">
        <f>_xlfn.XLOOKUP(Table1[[#This Row],[WorkLifeBalance]],Table20[WorkLifeBalance],Table20[Id_WorkLifeBalance])</f>
        <v>WLB003</v>
      </c>
      <c r="AY970">
        <v>2</v>
      </c>
      <c r="AZ970" t="str">
        <f>_xlfn.XLOOKUP(Table1[[#This Row],[WorkLifeBalance]],Table20[WorkLifeBalance],Table20[Deskripsi])</f>
        <v>Better</v>
      </c>
      <c r="BA970">
        <v>15</v>
      </c>
      <c r="BB970">
        <v>7</v>
      </c>
      <c r="BC970">
        <v>6</v>
      </c>
      <c r="BD970">
        <v>13</v>
      </c>
    </row>
    <row r="971" spans="1:56" x14ac:dyDescent="0.25">
      <c r="A971">
        <v>48</v>
      </c>
      <c r="B971" t="str">
        <f>_xlfn.XLOOKUP(Table1[[#This Row],[Attrition]],Table2[Attrition],Table2[Id_Attrition])</f>
        <v>A002</v>
      </c>
      <c r="C971" t="s">
        <v>33</v>
      </c>
      <c r="D971" t="str">
        <f>_xlfn.XLOOKUP(Table1[[#This Row],[BusinessTravel]],Table5[BusinessTravel],Table5[Id_BusinessTravel])</f>
        <v>BS001</v>
      </c>
      <c r="E971" t="s">
        <v>34</v>
      </c>
      <c r="F971">
        <v>855</v>
      </c>
      <c r="G971" t="str">
        <f>_xlfn.XLOOKUP(Table1[[#This Row],[Department]],Table6[Department],Table6[Id_Departement])</f>
        <v>D002</v>
      </c>
      <c r="H971" t="s">
        <v>38</v>
      </c>
      <c r="I971">
        <v>4</v>
      </c>
      <c r="J971" t="str">
        <f>_xlfn.XLOOKUP(Table1[[#This Row],[Education]],Table8[Education],Table8[Id_Education])</f>
        <v>E003</v>
      </c>
      <c r="K971">
        <v>3</v>
      </c>
      <c r="L971" t="str">
        <f>_xlfn.XLOOKUP(Table1[[#This Row],[EducationField]],Table7[EducationField],Table7[Id_EducationField])</f>
        <v>EF001</v>
      </c>
      <c r="M971" t="s">
        <v>40</v>
      </c>
      <c r="N971" t="str">
        <f>_xlfn.XLOOKUP(Table1[[#This Row],[EmployeeNumber]],Table4[EmployeeNumber],Table4[Id_Employee])</f>
        <v>EMP00970</v>
      </c>
      <c r="O971">
        <v>1363</v>
      </c>
      <c r="P971" t="str">
        <f>_xlfn.XLOOKUP(Table1[[#This Row],[EnvironmentSatisfaction]],Table9[EnvironmentSatisfaction],Table9[Id_EnviromentSatisfaction])</f>
        <v>ES004</v>
      </c>
      <c r="Q971">
        <v>4</v>
      </c>
      <c r="R971" t="str">
        <f>_xlfn.XLOOKUP(Table1[[#This Row],[EnvironmentSatisfaction]],Table9[EnvironmentSatisfaction],Table9[Deskripsi])</f>
        <v>Very High</v>
      </c>
      <c r="S971" t="str">
        <f>_xlfn.XLOOKUP(Table1[[#This Row],[Gender]],Table10[Gender],Table10[Id_Gender])</f>
        <v>G002</v>
      </c>
      <c r="T971" t="s">
        <v>46</v>
      </c>
      <c r="U971">
        <v>54</v>
      </c>
      <c r="V971" t="str">
        <f>_xlfn.XLOOKUP(Table1[[#This Row],[JobInvolvement]],Table11[JobInvolvement],Table11[Id_JobInvolvement])</f>
        <v>JI003</v>
      </c>
      <c r="W971">
        <v>3</v>
      </c>
      <c r="X971" t="str">
        <f>_xlfn.XLOOKUP(Table1[[#This Row],[JobLevel]],Table12[JobLevel],Table12[Id_JobLevel])</f>
        <v>JL003</v>
      </c>
      <c r="Y971">
        <v>3</v>
      </c>
      <c r="Z971" t="str">
        <f>_xlfn.XLOOKUP(Table1[[#This Row],[JobRole]],Table13[JobRole],Table13[Id_JobRole])</f>
        <v>JR004</v>
      </c>
      <c r="AA971" t="s">
        <v>50</v>
      </c>
      <c r="AB971" t="str">
        <f>_xlfn.XLOOKUP(Table1[[#This Row],[JobSatisfaction]],Table14[JobSatisfaction],Table14[Id_JobSatisfaction])</f>
        <v>JS004</v>
      </c>
      <c r="AC971">
        <v>4</v>
      </c>
      <c r="AD971" t="str">
        <f>_xlfn.XLOOKUP(Table1[[#This Row],[JobSatisfaction]],Table14[JobSatisfaction],Table14[Deskripsi])</f>
        <v>Very High</v>
      </c>
      <c r="AE971" t="str">
        <f>_xlfn.XLOOKUP(Table1[[#This Row],[MaritalStatus]],Table15[MaritalStatus],Table15[Id_MaritalStatus])</f>
        <v>MS001</v>
      </c>
      <c r="AF971" t="s">
        <v>55</v>
      </c>
      <c r="AG971">
        <v>7898</v>
      </c>
      <c r="AH971">
        <v>18706</v>
      </c>
      <c r="AI971">
        <v>1</v>
      </c>
      <c r="AJ971" t="str">
        <f>_xlfn.XLOOKUP(Table1[[#This Row],[OverTime]],Table16[OverTime],Table16[Id_OverTime])</f>
        <v>OT002</v>
      </c>
      <c r="AK971" t="s">
        <v>33</v>
      </c>
      <c r="AL971">
        <v>11</v>
      </c>
      <c r="AM971" t="str">
        <f>_xlfn.XLOOKUP(Table1[[#This Row],[PerformanceRating]],Table17[PerformanceRating],Table17[Id_PerformanceRating])</f>
        <v>PR003</v>
      </c>
      <c r="AN971">
        <v>3</v>
      </c>
      <c r="AO971" t="str">
        <f>_xlfn.XLOOKUP(Table1[[#This Row],[PerformanceRating]],Table17[PerformanceRating],Table17[Deskripsi])</f>
        <v>Excellent</v>
      </c>
      <c r="AP971" t="str">
        <f>_xlfn.XLOOKUP(Table1[[#This Row],[RelationshipSatisfaction]],Table18[RelationshipSatisfaction],Table18[Id_RelationshipSatisfaction])</f>
        <v>RS003</v>
      </c>
      <c r="AQ971">
        <v>3</v>
      </c>
      <c r="AR971" t="str">
        <f>_xlfn.XLOOKUP(Table1[[#This Row],[RelationshipSatisfaction]],Table18[RelationshipSatisfaction],Table18[Deskripsi])</f>
        <v>High</v>
      </c>
      <c r="AS971" t="str">
        <f>_xlfn.XLOOKUP(Table1[[#This Row],[StockOptionLevel]],Table19[StockOptionLevel],Table19[Id_StockOptionLevel])</f>
        <v>SOL001</v>
      </c>
      <c r="AT971">
        <v>0</v>
      </c>
      <c r="AU971" t="str">
        <f>_xlfn.XLOOKUP(Table1[[#This Row],[StockOptionLevel]],Table19[StockOptionLevel],Table19[Deskripsi])</f>
        <v>Non-Eligible</v>
      </c>
      <c r="AV971">
        <v>11</v>
      </c>
      <c r="AW971">
        <v>2</v>
      </c>
      <c r="AX971" t="str">
        <f>_xlfn.XLOOKUP(Table1[[#This Row],[WorkLifeBalance]],Table20[WorkLifeBalance],Table20[Id_WorkLifeBalance])</f>
        <v>WLB002</v>
      </c>
      <c r="AY971">
        <v>3</v>
      </c>
      <c r="AZ971" t="str">
        <f>_xlfn.XLOOKUP(Table1[[#This Row],[WorkLifeBalance]],Table20[WorkLifeBalance],Table20[Deskripsi])</f>
        <v>Good</v>
      </c>
      <c r="BA971">
        <v>10</v>
      </c>
      <c r="BB971">
        <v>9</v>
      </c>
      <c r="BC971">
        <v>0</v>
      </c>
      <c r="BD971">
        <v>8</v>
      </c>
    </row>
    <row r="972" spans="1:56" x14ac:dyDescent="0.25">
      <c r="A972">
        <v>27</v>
      </c>
      <c r="B972" t="str">
        <f>_xlfn.XLOOKUP(Table1[[#This Row],[Attrition]],Table2[Attrition],Table2[Id_Attrition])</f>
        <v>A002</v>
      </c>
      <c r="C972" t="s">
        <v>33</v>
      </c>
      <c r="D972" t="str">
        <f>_xlfn.XLOOKUP(Table1[[#This Row],[BusinessTravel]],Table5[BusinessTravel],Table5[Id_BusinessTravel])</f>
        <v>BS001</v>
      </c>
      <c r="E972" t="s">
        <v>34</v>
      </c>
      <c r="F972">
        <v>1291</v>
      </c>
      <c r="G972" t="str">
        <f>_xlfn.XLOOKUP(Table1[[#This Row],[Department]],Table6[Department],Table6[Id_Departement])</f>
        <v>D001</v>
      </c>
      <c r="H972" t="s">
        <v>37</v>
      </c>
      <c r="I972">
        <v>11</v>
      </c>
      <c r="J972" t="str">
        <f>_xlfn.XLOOKUP(Table1[[#This Row],[Education]],Table8[Education],Table8[Id_Education])</f>
        <v>E003</v>
      </c>
      <c r="K972">
        <v>3</v>
      </c>
      <c r="L972" t="str">
        <f>_xlfn.XLOOKUP(Table1[[#This Row],[EducationField]],Table7[EducationField],Table7[Id_EducationField])</f>
        <v>EF003</v>
      </c>
      <c r="M972" t="s">
        <v>42</v>
      </c>
      <c r="N972" t="str">
        <f>_xlfn.XLOOKUP(Table1[[#This Row],[EmployeeNumber]],Table4[EmployeeNumber],Table4[Id_Employee])</f>
        <v>EMP00971</v>
      </c>
      <c r="O972">
        <v>1364</v>
      </c>
      <c r="P972" t="str">
        <f>_xlfn.XLOOKUP(Table1[[#This Row],[EnvironmentSatisfaction]],Table9[EnvironmentSatisfaction],Table9[Id_EnviromentSatisfaction])</f>
        <v>ES003</v>
      </c>
      <c r="Q972">
        <v>3</v>
      </c>
      <c r="R972" t="str">
        <f>_xlfn.XLOOKUP(Table1[[#This Row],[EnvironmentSatisfaction]],Table9[EnvironmentSatisfaction],Table9[Deskripsi])</f>
        <v>High</v>
      </c>
      <c r="S972" t="str">
        <f>_xlfn.XLOOKUP(Table1[[#This Row],[Gender]],Table10[Gender],Table10[Id_Gender])</f>
        <v>G001</v>
      </c>
      <c r="T972" t="s">
        <v>45</v>
      </c>
      <c r="U972">
        <v>98</v>
      </c>
      <c r="V972" t="str">
        <f>_xlfn.XLOOKUP(Table1[[#This Row],[JobInvolvement]],Table11[JobInvolvement],Table11[Id_JobInvolvement])</f>
        <v>JI004</v>
      </c>
      <c r="W972">
        <v>4</v>
      </c>
      <c r="X972" t="str">
        <f>_xlfn.XLOOKUP(Table1[[#This Row],[JobLevel]],Table12[JobLevel],Table12[Id_JobLevel])</f>
        <v>JL001</v>
      </c>
      <c r="Y972">
        <v>1</v>
      </c>
      <c r="Z972" t="str">
        <f>_xlfn.XLOOKUP(Table1[[#This Row],[JobRole]],Table13[JobRole],Table13[Id_JobRole])</f>
        <v>JR007</v>
      </c>
      <c r="AA972" t="s">
        <v>53</v>
      </c>
      <c r="AB972" t="str">
        <f>_xlfn.XLOOKUP(Table1[[#This Row],[JobSatisfaction]],Table14[JobSatisfaction],Table14[Id_JobSatisfaction])</f>
        <v>JS004</v>
      </c>
      <c r="AC972">
        <v>4</v>
      </c>
      <c r="AD972" t="str">
        <f>_xlfn.XLOOKUP(Table1[[#This Row],[JobSatisfaction]],Table14[JobSatisfaction],Table14[Deskripsi])</f>
        <v>Very High</v>
      </c>
      <c r="AE972" t="str">
        <f>_xlfn.XLOOKUP(Table1[[#This Row],[MaritalStatus]],Table15[MaritalStatus],Table15[Id_MaritalStatus])</f>
        <v>MS002</v>
      </c>
      <c r="AF972" t="s">
        <v>56</v>
      </c>
      <c r="AG972">
        <v>2534</v>
      </c>
      <c r="AH972">
        <v>6527</v>
      </c>
      <c r="AI972">
        <v>8</v>
      </c>
      <c r="AJ972" t="str">
        <f>_xlfn.XLOOKUP(Table1[[#This Row],[OverTime]],Table16[OverTime],Table16[Id_OverTime])</f>
        <v>OT002</v>
      </c>
      <c r="AK972" t="s">
        <v>33</v>
      </c>
      <c r="AL972">
        <v>14</v>
      </c>
      <c r="AM972" t="str">
        <f>_xlfn.XLOOKUP(Table1[[#This Row],[PerformanceRating]],Table17[PerformanceRating],Table17[Id_PerformanceRating])</f>
        <v>PR003</v>
      </c>
      <c r="AN972">
        <v>3</v>
      </c>
      <c r="AO972" t="str">
        <f>_xlfn.XLOOKUP(Table1[[#This Row],[PerformanceRating]],Table17[PerformanceRating],Table17[Deskripsi])</f>
        <v>Excellent</v>
      </c>
      <c r="AP972" t="str">
        <f>_xlfn.XLOOKUP(Table1[[#This Row],[RelationshipSatisfaction]],Table18[RelationshipSatisfaction],Table18[Id_RelationshipSatisfaction])</f>
        <v>RS002</v>
      </c>
      <c r="AQ972">
        <v>2</v>
      </c>
      <c r="AR972" t="str">
        <f>_xlfn.XLOOKUP(Table1[[#This Row],[RelationshipSatisfaction]],Table18[RelationshipSatisfaction],Table18[Deskripsi])</f>
        <v>Medium</v>
      </c>
      <c r="AS972" t="str">
        <f>_xlfn.XLOOKUP(Table1[[#This Row],[StockOptionLevel]],Table19[StockOptionLevel],Table19[Id_StockOptionLevel])</f>
        <v>SOL002</v>
      </c>
      <c r="AT972">
        <v>1</v>
      </c>
      <c r="AU972" t="str">
        <f>_xlfn.XLOOKUP(Table1[[#This Row],[StockOptionLevel]],Table19[StockOptionLevel],Table19[Deskripsi])</f>
        <v>Standard</v>
      </c>
      <c r="AV972">
        <v>5</v>
      </c>
      <c r="AW972">
        <v>4</v>
      </c>
      <c r="AX972" t="str">
        <f>_xlfn.XLOOKUP(Table1[[#This Row],[WorkLifeBalance]],Table20[WorkLifeBalance],Table20[Id_WorkLifeBalance])</f>
        <v>WLB002</v>
      </c>
      <c r="AY972">
        <v>3</v>
      </c>
      <c r="AZ972" t="str">
        <f>_xlfn.XLOOKUP(Table1[[#This Row],[WorkLifeBalance]],Table20[WorkLifeBalance],Table20[Deskripsi])</f>
        <v>Good</v>
      </c>
      <c r="BA972">
        <v>1</v>
      </c>
      <c r="BB972">
        <v>0</v>
      </c>
      <c r="BC972">
        <v>0</v>
      </c>
      <c r="BD972">
        <v>0</v>
      </c>
    </row>
    <row r="973" spans="1:56" x14ac:dyDescent="0.25">
      <c r="A973">
        <v>51</v>
      </c>
      <c r="B973" t="str">
        <f>_xlfn.XLOOKUP(Table1[[#This Row],[Attrition]],Table2[Attrition],Table2[Id_Attrition])</f>
        <v>A002</v>
      </c>
      <c r="C973" t="s">
        <v>33</v>
      </c>
      <c r="D973" t="str">
        <f>_xlfn.XLOOKUP(Table1[[#This Row],[BusinessTravel]],Table5[BusinessTravel],Table5[Id_BusinessTravel])</f>
        <v>BS001</v>
      </c>
      <c r="E973" t="s">
        <v>34</v>
      </c>
      <c r="F973">
        <v>1405</v>
      </c>
      <c r="G973" t="str">
        <f>_xlfn.XLOOKUP(Table1[[#This Row],[Department]],Table6[Department],Table6[Id_Departement])</f>
        <v>D002</v>
      </c>
      <c r="H973" t="s">
        <v>38</v>
      </c>
      <c r="I973">
        <v>11</v>
      </c>
      <c r="J973" t="str">
        <f>_xlfn.XLOOKUP(Table1[[#This Row],[Education]],Table8[Education],Table8[Id_Education])</f>
        <v>E002</v>
      </c>
      <c r="K973">
        <v>2</v>
      </c>
      <c r="L973" t="str">
        <f>_xlfn.XLOOKUP(Table1[[#This Row],[EducationField]],Table7[EducationField],Table7[Id_EducationField])</f>
        <v>EF005</v>
      </c>
      <c r="M973" t="s">
        <v>44</v>
      </c>
      <c r="N973" t="str">
        <f>_xlfn.XLOOKUP(Table1[[#This Row],[EmployeeNumber]],Table4[EmployeeNumber],Table4[Id_Employee])</f>
        <v>EMP00972</v>
      </c>
      <c r="O973">
        <v>1367</v>
      </c>
      <c r="P973" t="str">
        <f>_xlfn.XLOOKUP(Table1[[#This Row],[EnvironmentSatisfaction]],Table9[EnvironmentSatisfaction],Table9[Id_EnviromentSatisfaction])</f>
        <v>ES004</v>
      </c>
      <c r="Q973">
        <v>4</v>
      </c>
      <c r="R973" t="str">
        <f>_xlfn.XLOOKUP(Table1[[#This Row],[EnvironmentSatisfaction]],Table9[EnvironmentSatisfaction],Table9[Deskripsi])</f>
        <v>Very High</v>
      </c>
      <c r="S973" t="str">
        <f>_xlfn.XLOOKUP(Table1[[#This Row],[Gender]],Table10[Gender],Table10[Id_Gender])</f>
        <v>G001</v>
      </c>
      <c r="T973" t="s">
        <v>45</v>
      </c>
      <c r="U973">
        <v>82</v>
      </c>
      <c r="V973" t="str">
        <f>_xlfn.XLOOKUP(Table1[[#This Row],[JobInvolvement]],Table11[JobInvolvement],Table11[Id_JobInvolvement])</f>
        <v>JI002</v>
      </c>
      <c r="W973">
        <v>2</v>
      </c>
      <c r="X973" t="str">
        <f>_xlfn.XLOOKUP(Table1[[#This Row],[JobLevel]],Table12[JobLevel],Table12[Id_JobLevel])</f>
        <v>JL004</v>
      </c>
      <c r="Y973">
        <v>4</v>
      </c>
      <c r="Z973" t="str">
        <f>_xlfn.XLOOKUP(Table1[[#This Row],[JobRole]],Table13[JobRole],Table13[Id_JobRole])</f>
        <v>JR004</v>
      </c>
      <c r="AA973" t="s">
        <v>50</v>
      </c>
      <c r="AB973" t="str">
        <f>_xlfn.XLOOKUP(Table1[[#This Row],[JobSatisfaction]],Table14[JobSatisfaction],Table14[Id_JobSatisfaction])</f>
        <v>JS002</v>
      </c>
      <c r="AC973">
        <v>2</v>
      </c>
      <c r="AD973" t="str">
        <f>_xlfn.XLOOKUP(Table1[[#This Row],[JobSatisfaction]],Table14[JobSatisfaction],Table14[Deskripsi])</f>
        <v>Medium</v>
      </c>
      <c r="AE973" t="str">
        <f>_xlfn.XLOOKUP(Table1[[#This Row],[MaritalStatus]],Table15[MaritalStatus],Table15[Id_MaritalStatus])</f>
        <v>MS001</v>
      </c>
      <c r="AF973" t="s">
        <v>55</v>
      </c>
      <c r="AG973">
        <v>13142</v>
      </c>
      <c r="AH973">
        <v>24439</v>
      </c>
      <c r="AI973">
        <v>3</v>
      </c>
      <c r="AJ973" t="str">
        <f>_xlfn.XLOOKUP(Table1[[#This Row],[OverTime]],Table16[OverTime],Table16[Id_OverTime])</f>
        <v>OT002</v>
      </c>
      <c r="AK973" t="s">
        <v>33</v>
      </c>
      <c r="AL973">
        <v>16</v>
      </c>
      <c r="AM973" t="str">
        <f>_xlfn.XLOOKUP(Table1[[#This Row],[PerformanceRating]],Table17[PerformanceRating],Table17[Id_PerformanceRating])</f>
        <v>PR003</v>
      </c>
      <c r="AN973">
        <v>3</v>
      </c>
      <c r="AO973" t="str">
        <f>_xlfn.XLOOKUP(Table1[[#This Row],[PerformanceRating]],Table17[PerformanceRating],Table17[Deskripsi])</f>
        <v>Excellent</v>
      </c>
      <c r="AP973" t="str">
        <f>_xlfn.XLOOKUP(Table1[[#This Row],[RelationshipSatisfaction]],Table18[RelationshipSatisfaction],Table18[Id_RelationshipSatisfaction])</f>
        <v>RS002</v>
      </c>
      <c r="AQ973">
        <v>2</v>
      </c>
      <c r="AR973" t="str">
        <f>_xlfn.XLOOKUP(Table1[[#This Row],[RelationshipSatisfaction]],Table18[RelationshipSatisfaction],Table18[Deskripsi])</f>
        <v>Medium</v>
      </c>
      <c r="AS973" t="str">
        <f>_xlfn.XLOOKUP(Table1[[#This Row],[StockOptionLevel]],Table19[StockOptionLevel],Table19[Id_StockOptionLevel])</f>
        <v>SOL001</v>
      </c>
      <c r="AT973">
        <v>0</v>
      </c>
      <c r="AU973" t="str">
        <f>_xlfn.XLOOKUP(Table1[[#This Row],[StockOptionLevel]],Table19[StockOptionLevel],Table19[Deskripsi])</f>
        <v>Non-Eligible</v>
      </c>
      <c r="AV973">
        <v>29</v>
      </c>
      <c r="AW973">
        <v>1</v>
      </c>
      <c r="AX973" t="str">
        <f>_xlfn.XLOOKUP(Table1[[#This Row],[WorkLifeBalance]],Table20[WorkLifeBalance],Table20[Id_WorkLifeBalance])</f>
        <v>WLB003</v>
      </c>
      <c r="AY973">
        <v>2</v>
      </c>
      <c r="AZ973" t="str">
        <f>_xlfn.XLOOKUP(Table1[[#This Row],[WorkLifeBalance]],Table20[WorkLifeBalance],Table20[Deskripsi])</f>
        <v>Better</v>
      </c>
      <c r="BA973">
        <v>5</v>
      </c>
      <c r="BB973">
        <v>2</v>
      </c>
      <c r="BC973">
        <v>0</v>
      </c>
      <c r="BD973">
        <v>3</v>
      </c>
    </row>
    <row r="974" spans="1:56" x14ac:dyDescent="0.25">
      <c r="A974">
        <v>18</v>
      </c>
      <c r="B974" t="str">
        <f>_xlfn.XLOOKUP(Table1[[#This Row],[Attrition]],Table2[Attrition],Table2[Id_Attrition])</f>
        <v>A002</v>
      </c>
      <c r="C974" t="s">
        <v>33</v>
      </c>
      <c r="D974" t="str">
        <f>_xlfn.XLOOKUP(Table1[[#This Row],[BusinessTravel]],Table5[BusinessTravel],Table5[Id_BusinessTravel])</f>
        <v>BS003</v>
      </c>
      <c r="E974" t="s">
        <v>36</v>
      </c>
      <c r="F974">
        <v>1124</v>
      </c>
      <c r="G974" t="str">
        <f>_xlfn.XLOOKUP(Table1[[#This Row],[Department]],Table6[Department],Table6[Id_Departement])</f>
        <v>D002</v>
      </c>
      <c r="H974" t="s">
        <v>38</v>
      </c>
      <c r="I974">
        <v>1</v>
      </c>
      <c r="J974" t="str">
        <f>_xlfn.XLOOKUP(Table1[[#This Row],[Education]],Table8[Education],Table8[Id_Education])</f>
        <v>E003</v>
      </c>
      <c r="K974">
        <v>3</v>
      </c>
      <c r="L974" t="str">
        <f>_xlfn.XLOOKUP(Table1[[#This Row],[EducationField]],Table7[EducationField],Table7[Id_EducationField])</f>
        <v>EF001</v>
      </c>
      <c r="M974" t="s">
        <v>40</v>
      </c>
      <c r="N974" t="str">
        <f>_xlfn.XLOOKUP(Table1[[#This Row],[EmployeeNumber]],Table4[EmployeeNumber],Table4[Id_Employee])</f>
        <v>EMP00973</v>
      </c>
      <c r="O974">
        <v>1368</v>
      </c>
      <c r="P974" t="str">
        <f>_xlfn.XLOOKUP(Table1[[#This Row],[EnvironmentSatisfaction]],Table9[EnvironmentSatisfaction],Table9[Id_EnviromentSatisfaction])</f>
        <v>ES004</v>
      </c>
      <c r="Q974">
        <v>4</v>
      </c>
      <c r="R974" t="str">
        <f>_xlfn.XLOOKUP(Table1[[#This Row],[EnvironmentSatisfaction]],Table9[EnvironmentSatisfaction],Table9[Deskripsi])</f>
        <v>Very High</v>
      </c>
      <c r="S974" t="str">
        <f>_xlfn.XLOOKUP(Table1[[#This Row],[Gender]],Table10[Gender],Table10[Id_Gender])</f>
        <v>G001</v>
      </c>
      <c r="T974" t="s">
        <v>45</v>
      </c>
      <c r="U974">
        <v>97</v>
      </c>
      <c r="V974" t="str">
        <f>_xlfn.XLOOKUP(Table1[[#This Row],[JobInvolvement]],Table11[JobInvolvement],Table11[Id_JobInvolvement])</f>
        <v>JI003</v>
      </c>
      <c r="W974">
        <v>3</v>
      </c>
      <c r="X974" t="str">
        <f>_xlfn.XLOOKUP(Table1[[#This Row],[JobLevel]],Table12[JobLevel],Table12[Id_JobLevel])</f>
        <v>JL001</v>
      </c>
      <c r="Y974">
        <v>1</v>
      </c>
      <c r="Z974" t="str">
        <f>_xlfn.XLOOKUP(Table1[[#This Row],[JobRole]],Table13[JobRole],Table13[Id_JobRole])</f>
        <v>JR003</v>
      </c>
      <c r="AA974" t="s">
        <v>49</v>
      </c>
      <c r="AB974" t="str">
        <f>_xlfn.XLOOKUP(Table1[[#This Row],[JobSatisfaction]],Table14[JobSatisfaction],Table14[Id_JobSatisfaction])</f>
        <v>JS004</v>
      </c>
      <c r="AC974">
        <v>4</v>
      </c>
      <c r="AD974" t="str">
        <f>_xlfn.XLOOKUP(Table1[[#This Row],[JobSatisfaction]],Table14[JobSatisfaction],Table14[Deskripsi])</f>
        <v>Very High</v>
      </c>
      <c r="AE974" t="str">
        <f>_xlfn.XLOOKUP(Table1[[#This Row],[MaritalStatus]],Table15[MaritalStatus],Table15[Id_MaritalStatus])</f>
        <v>MS001</v>
      </c>
      <c r="AF974" t="s">
        <v>55</v>
      </c>
      <c r="AG974">
        <v>1611</v>
      </c>
      <c r="AH974">
        <v>19305</v>
      </c>
      <c r="AI974">
        <v>1</v>
      </c>
      <c r="AJ974" t="str">
        <f>_xlfn.XLOOKUP(Table1[[#This Row],[OverTime]],Table16[OverTime],Table16[Id_OverTime])</f>
        <v>OT002</v>
      </c>
      <c r="AK974" t="s">
        <v>33</v>
      </c>
      <c r="AL974">
        <v>15</v>
      </c>
      <c r="AM974" t="str">
        <f>_xlfn.XLOOKUP(Table1[[#This Row],[PerformanceRating]],Table17[PerformanceRating],Table17[Id_PerformanceRating])</f>
        <v>PR003</v>
      </c>
      <c r="AN974">
        <v>3</v>
      </c>
      <c r="AO974" t="str">
        <f>_xlfn.XLOOKUP(Table1[[#This Row],[PerformanceRating]],Table17[PerformanceRating],Table17[Deskripsi])</f>
        <v>Excellent</v>
      </c>
      <c r="AP974" t="str">
        <f>_xlfn.XLOOKUP(Table1[[#This Row],[RelationshipSatisfaction]],Table18[RelationshipSatisfaction],Table18[Id_RelationshipSatisfaction])</f>
        <v>RS003</v>
      </c>
      <c r="AQ974">
        <v>3</v>
      </c>
      <c r="AR974" t="str">
        <f>_xlfn.XLOOKUP(Table1[[#This Row],[RelationshipSatisfaction]],Table18[RelationshipSatisfaction],Table18[Deskripsi])</f>
        <v>High</v>
      </c>
      <c r="AS974" t="str">
        <f>_xlfn.XLOOKUP(Table1[[#This Row],[StockOptionLevel]],Table19[StockOptionLevel],Table19[Id_StockOptionLevel])</f>
        <v>SOL001</v>
      </c>
      <c r="AT974">
        <v>0</v>
      </c>
      <c r="AU974" t="str">
        <f>_xlfn.XLOOKUP(Table1[[#This Row],[StockOptionLevel]],Table19[StockOptionLevel],Table19[Deskripsi])</f>
        <v>Non-Eligible</v>
      </c>
      <c r="AV974">
        <v>0</v>
      </c>
      <c r="AW974">
        <v>5</v>
      </c>
      <c r="AX974" t="str">
        <f>_xlfn.XLOOKUP(Table1[[#This Row],[WorkLifeBalance]],Table20[WorkLifeBalance],Table20[Id_WorkLifeBalance])</f>
        <v>WLB004</v>
      </c>
      <c r="AY974">
        <v>4</v>
      </c>
      <c r="AZ974" t="str">
        <f>_xlfn.XLOOKUP(Table1[[#This Row],[WorkLifeBalance]],Table20[WorkLifeBalance],Table20[Deskripsi])</f>
        <v>Best</v>
      </c>
      <c r="BA974">
        <v>0</v>
      </c>
      <c r="BB974">
        <v>0</v>
      </c>
      <c r="BC974">
        <v>0</v>
      </c>
      <c r="BD974">
        <v>0</v>
      </c>
    </row>
    <row r="975" spans="1:56" x14ac:dyDescent="0.25">
      <c r="A975">
        <v>35</v>
      </c>
      <c r="B975" t="str">
        <f>_xlfn.XLOOKUP(Table1[[#This Row],[Attrition]],Table2[Attrition],Table2[Id_Attrition])</f>
        <v>A002</v>
      </c>
      <c r="C975" t="s">
        <v>33</v>
      </c>
      <c r="D975" t="str">
        <f>_xlfn.XLOOKUP(Table1[[#This Row],[BusinessTravel]],Table5[BusinessTravel],Table5[Id_BusinessTravel])</f>
        <v>BS001</v>
      </c>
      <c r="E975" t="s">
        <v>34</v>
      </c>
      <c r="F975">
        <v>817</v>
      </c>
      <c r="G975" t="str">
        <f>_xlfn.XLOOKUP(Table1[[#This Row],[Department]],Table6[Department],Table6[Id_Departement])</f>
        <v>D002</v>
      </c>
      <c r="H975" t="s">
        <v>38</v>
      </c>
      <c r="I975">
        <v>1</v>
      </c>
      <c r="J975" t="str">
        <f>_xlfn.XLOOKUP(Table1[[#This Row],[Education]],Table8[Education],Table8[Id_Education])</f>
        <v>E003</v>
      </c>
      <c r="K975">
        <v>3</v>
      </c>
      <c r="L975" t="str">
        <f>_xlfn.XLOOKUP(Table1[[#This Row],[EducationField]],Table7[EducationField],Table7[Id_EducationField])</f>
        <v>EF003</v>
      </c>
      <c r="M975" t="s">
        <v>42</v>
      </c>
      <c r="N975" t="str">
        <f>_xlfn.XLOOKUP(Table1[[#This Row],[EmployeeNumber]],Table4[EmployeeNumber],Table4[Id_Employee])</f>
        <v>EMP00974</v>
      </c>
      <c r="O975">
        <v>1369</v>
      </c>
      <c r="P975" t="str">
        <f>_xlfn.XLOOKUP(Table1[[#This Row],[EnvironmentSatisfaction]],Table9[EnvironmentSatisfaction],Table9[Id_EnviromentSatisfaction])</f>
        <v>ES004</v>
      </c>
      <c r="Q975">
        <v>4</v>
      </c>
      <c r="R975" t="str">
        <f>_xlfn.XLOOKUP(Table1[[#This Row],[EnvironmentSatisfaction]],Table9[EnvironmentSatisfaction],Table9[Deskripsi])</f>
        <v>Very High</v>
      </c>
      <c r="S975" t="str">
        <f>_xlfn.XLOOKUP(Table1[[#This Row],[Gender]],Table10[Gender],Table10[Id_Gender])</f>
        <v>G001</v>
      </c>
      <c r="T975" t="s">
        <v>45</v>
      </c>
      <c r="U975">
        <v>60</v>
      </c>
      <c r="V975" t="str">
        <f>_xlfn.XLOOKUP(Table1[[#This Row],[JobInvolvement]],Table11[JobInvolvement],Table11[Id_JobInvolvement])</f>
        <v>JI002</v>
      </c>
      <c r="W975">
        <v>2</v>
      </c>
      <c r="X975" t="str">
        <f>_xlfn.XLOOKUP(Table1[[#This Row],[JobLevel]],Table12[JobLevel],Table12[Id_JobLevel])</f>
        <v>JL002</v>
      </c>
      <c r="Y975">
        <v>2</v>
      </c>
      <c r="Z975" t="str">
        <f>_xlfn.XLOOKUP(Table1[[#This Row],[JobRole]],Table13[JobRole],Table13[Id_JobRole])</f>
        <v>JR003</v>
      </c>
      <c r="AA975" t="s">
        <v>49</v>
      </c>
      <c r="AB975" t="str">
        <f>_xlfn.XLOOKUP(Table1[[#This Row],[JobSatisfaction]],Table14[JobSatisfaction],Table14[Id_JobSatisfaction])</f>
        <v>JS004</v>
      </c>
      <c r="AC975">
        <v>4</v>
      </c>
      <c r="AD975" t="str">
        <f>_xlfn.XLOOKUP(Table1[[#This Row],[JobSatisfaction]],Table14[JobSatisfaction],Table14[Deskripsi])</f>
        <v>Very High</v>
      </c>
      <c r="AE975" t="str">
        <f>_xlfn.XLOOKUP(Table1[[#This Row],[MaritalStatus]],Table15[MaritalStatus],Table15[Id_MaritalStatus])</f>
        <v>MS002</v>
      </c>
      <c r="AF975" t="s">
        <v>56</v>
      </c>
      <c r="AG975">
        <v>5363</v>
      </c>
      <c r="AH975">
        <v>10846</v>
      </c>
      <c r="AI975">
        <v>0</v>
      </c>
      <c r="AJ975" t="str">
        <f>_xlfn.XLOOKUP(Table1[[#This Row],[OverTime]],Table16[OverTime],Table16[Id_OverTime])</f>
        <v>OT002</v>
      </c>
      <c r="AK975" t="s">
        <v>33</v>
      </c>
      <c r="AL975">
        <v>12</v>
      </c>
      <c r="AM975" t="str">
        <f>_xlfn.XLOOKUP(Table1[[#This Row],[PerformanceRating]],Table17[PerformanceRating],Table17[Id_PerformanceRating])</f>
        <v>PR003</v>
      </c>
      <c r="AN975">
        <v>3</v>
      </c>
      <c r="AO975" t="str">
        <f>_xlfn.XLOOKUP(Table1[[#This Row],[PerformanceRating]],Table17[PerformanceRating],Table17[Deskripsi])</f>
        <v>Excellent</v>
      </c>
      <c r="AP975" t="str">
        <f>_xlfn.XLOOKUP(Table1[[#This Row],[RelationshipSatisfaction]],Table18[RelationshipSatisfaction],Table18[Id_RelationshipSatisfaction])</f>
        <v>RS002</v>
      </c>
      <c r="AQ975">
        <v>2</v>
      </c>
      <c r="AR975" t="str">
        <f>_xlfn.XLOOKUP(Table1[[#This Row],[RelationshipSatisfaction]],Table18[RelationshipSatisfaction],Table18[Deskripsi])</f>
        <v>Medium</v>
      </c>
      <c r="AS975" t="str">
        <f>_xlfn.XLOOKUP(Table1[[#This Row],[StockOptionLevel]],Table19[StockOptionLevel],Table19[Id_StockOptionLevel])</f>
        <v>SOL002</v>
      </c>
      <c r="AT975">
        <v>1</v>
      </c>
      <c r="AU975" t="str">
        <f>_xlfn.XLOOKUP(Table1[[#This Row],[StockOptionLevel]],Table19[StockOptionLevel],Table19[Deskripsi])</f>
        <v>Standard</v>
      </c>
      <c r="AV975">
        <v>10</v>
      </c>
      <c r="AW975">
        <v>0</v>
      </c>
      <c r="AX975" t="str">
        <f>_xlfn.XLOOKUP(Table1[[#This Row],[WorkLifeBalance]],Table20[WorkLifeBalance],Table20[Id_WorkLifeBalance])</f>
        <v>WLB002</v>
      </c>
      <c r="AY975">
        <v>3</v>
      </c>
      <c r="AZ975" t="str">
        <f>_xlfn.XLOOKUP(Table1[[#This Row],[WorkLifeBalance]],Table20[WorkLifeBalance],Table20[Deskripsi])</f>
        <v>Good</v>
      </c>
      <c r="BA975">
        <v>9</v>
      </c>
      <c r="BB975">
        <v>7</v>
      </c>
      <c r="BC975">
        <v>0</v>
      </c>
      <c r="BD975">
        <v>0</v>
      </c>
    </row>
    <row r="976" spans="1:56" x14ac:dyDescent="0.25">
      <c r="A976">
        <v>27</v>
      </c>
      <c r="B976" t="str">
        <f>_xlfn.XLOOKUP(Table1[[#This Row],[Attrition]],Table2[Attrition],Table2[Id_Attrition])</f>
        <v>A002</v>
      </c>
      <c r="C976" t="s">
        <v>33</v>
      </c>
      <c r="D976" t="str">
        <f>_xlfn.XLOOKUP(Table1[[#This Row],[BusinessTravel]],Table5[BusinessTravel],Table5[Id_BusinessTravel])</f>
        <v>BS002</v>
      </c>
      <c r="E976" t="s">
        <v>35</v>
      </c>
      <c r="F976">
        <v>793</v>
      </c>
      <c r="G976" t="str">
        <f>_xlfn.XLOOKUP(Table1[[#This Row],[Department]],Table6[Department],Table6[Id_Departement])</f>
        <v>D001</v>
      </c>
      <c r="H976" t="s">
        <v>37</v>
      </c>
      <c r="I976">
        <v>2</v>
      </c>
      <c r="J976" t="str">
        <f>_xlfn.XLOOKUP(Table1[[#This Row],[Education]],Table8[Education],Table8[Id_Education])</f>
        <v>E001</v>
      </c>
      <c r="K976">
        <v>1</v>
      </c>
      <c r="L976" t="str">
        <f>_xlfn.XLOOKUP(Table1[[#This Row],[EducationField]],Table7[EducationField],Table7[Id_EducationField])</f>
        <v>EF001</v>
      </c>
      <c r="M976" t="s">
        <v>40</v>
      </c>
      <c r="N976" t="str">
        <f>_xlfn.XLOOKUP(Table1[[#This Row],[EmployeeNumber]],Table4[EmployeeNumber],Table4[Id_Employee])</f>
        <v>EMP00975</v>
      </c>
      <c r="O976">
        <v>1371</v>
      </c>
      <c r="P976" t="str">
        <f>_xlfn.XLOOKUP(Table1[[#This Row],[EnvironmentSatisfaction]],Table9[EnvironmentSatisfaction],Table9[Id_EnviromentSatisfaction])</f>
        <v>ES004</v>
      </c>
      <c r="Q976">
        <v>4</v>
      </c>
      <c r="R976" t="str">
        <f>_xlfn.XLOOKUP(Table1[[#This Row],[EnvironmentSatisfaction]],Table9[EnvironmentSatisfaction],Table9[Deskripsi])</f>
        <v>Very High</v>
      </c>
      <c r="S976" t="str">
        <f>_xlfn.XLOOKUP(Table1[[#This Row],[Gender]],Table10[Gender],Table10[Id_Gender])</f>
        <v>G002</v>
      </c>
      <c r="T976" t="s">
        <v>46</v>
      </c>
      <c r="U976">
        <v>43</v>
      </c>
      <c r="V976" t="str">
        <f>_xlfn.XLOOKUP(Table1[[#This Row],[JobInvolvement]],Table11[JobInvolvement],Table11[Id_JobInvolvement])</f>
        <v>JI001</v>
      </c>
      <c r="W976">
        <v>1</v>
      </c>
      <c r="X976" t="str">
        <f>_xlfn.XLOOKUP(Table1[[#This Row],[JobLevel]],Table12[JobLevel],Table12[Id_JobLevel])</f>
        <v>JL002</v>
      </c>
      <c r="Y976">
        <v>2</v>
      </c>
      <c r="Z976" t="str">
        <f>_xlfn.XLOOKUP(Table1[[#This Row],[JobRole]],Table13[JobRole],Table13[Id_JobRole])</f>
        <v>JR001</v>
      </c>
      <c r="AA976" t="s">
        <v>47</v>
      </c>
      <c r="AB976" t="str">
        <f>_xlfn.XLOOKUP(Table1[[#This Row],[JobSatisfaction]],Table14[JobSatisfaction],Table14[Id_JobSatisfaction])</f>
        <v>JS004</v>
      </c>
      <c r="AC976">
        <v>4</v>
      </c>
      <c r="AD976" t="str">
        <f>_xlfn.XLOOKUP(Table1[[#This Row],[JobSatisfaction]],Table14[JobSatisfaction],Table14[Deskripsi])</f>
        <v>Very High</v>
      </c>
      <c r="AE976" t="str">
        <f>_xlfn.XLOOKUP(Table1[[#This Row],[MaritalStatus]],Table15[MaritalStatus],Table15[Id_MaritalStatus])</f>
        <v>MS001</v>
      </c>
      <c r="AF976" t="s">
        <v>55</v>
      </c>
      <c r="AG976">
        <v>5071</v>
      </c>
      <c r="AH976">
        <v>20392</v>
      </c>
      <c r="AI976">
        <v>3</v>
      </c>
      <c r="AJ976" t="str">
        <f>_xlfn.XLOOKUP(Table1[[#This Row],[OverTime]],Table16[OverTime],Table16[Id_OverTime])</f>
        <v>OT002</v>
      </c>
      <c r="AK976" t="s">
        <v>33</v>
      </c>
      <c r="AL976">
        <v>20</v>
      </c>
      <c r="AM976" t="str">
        <f>_xlfn.XLOOKUP(Table1[[#This Row],[PerformanceRating]],Table17[PerformanceRating],Table17[Id_PerformanceRating])</f>
        <v>PR004</v>
      </c>
      <c r="AN976">
        <v>4</v>
      </c>
      <c r="AO976" t="str">
        <f>_xlfn.XLOOKUP(Table1[[#This Row],[PerformanceRating]],Table17[PerformanceRating],Table17[Deskripsi])</f>
        <v>Outstanding</v>
      </c>
      <c r="AP976" t="str">
        <f>_xlfn.XLOOKUP(Table1[[#This Row],[RelationshipSatisfaction]],Table18[RelationshipSatisfaction],Table18[Id_RelationshipSatisfaction])</f>
        <v>RS002</v>
      </c>
      <c r="AQ976">
        <v>2</v>
      </c>
      <c r="AR976" t="str">
        <f>_xlfn.XLOOKUP(Table1[[#This Row],[RelationshipSatisfaction]],Table18[RelationshipSatisfaction],Table18[Deskripsi])</f>
        <v>Medium</v>
      </c>
      <c r="AS976" t="str">
        <f>_xlfn.XLOOKUP(Table1[[#This Row],[StockOptionLevel]],Table19[StockOptionLevel],Table19[Id_StockOptionLevel])</f>
        <v>SOL001</v>
      </c>
      <c r="AT976">
        <v>0</v>
      </c>
      <c r="AU976" t="str">
        <f>_xlfn.XLOOKUP(Table1[[#This Row],[StockOptionLevel]],Table19[StockOptionLevel],Table19[Deskripsi])</f>
        <v>Non-Eligible</v>
      </c>
      <c r="AV976">
        <v>8</v>
      </c>
      <c r="AW976">
        <v>3</v>
      </c>
      <c r="AX976" t="str">
        <f>_xlfn.XLOOKUP(Table1[[#This Row],[WorkLifeBalance]],Table20[WorkLifeBalance],Table20[Id_WorkLifeBalance])</f>
        <v>WLB002</v>
      </c>
      <c r="AY976">
        <v>3</v>
      </c>
      <c r="AZ976" t="str">
        <f>_xlfn.XLOOKUP(Table1[[#This Row],[WorkLifeBalance]],Table20[WorkLifeBalance],Table20[Deskripsi])</f>
        <v>Good</v>
      </c>
      <c r="BA976">
        <v>6</v>
      </c>
      <c r="BB976">
        <v>2</v>
      </c>
      <c r="BC976">
        <v>0</v>
      </c>
      <c r="BD976">
        <v>0</v>
      </c>
    </row>
    <row r="977" spans="1:56" x14ac:dyDescent="0.25">
      <c r="A977">
        <v>55</v>
      </c>
      <c r="B977" t="str">
        <f>_xlfn.XLOOKUP(Table1[[#This Row],[Attrition]],Table2[Attrition],Table2[Id_Attrition])</f>
        <v>A001</v>
      </c>
      <c r="C977" t="s">
        <v>32</v>
      </c>
      <c r="D977" t="str">
        <f>_xlfn.XLOOKUP(Table1[[#This Row],[BusinessTravel]],Table5[BusinessTravel],Table5[Id_BusinessTravel])</f>
        <v>BS001</v>
      </c>
      <c r="E977" t="s">
        <v>34</v>
      </c>
      <c r="F977">
        <v>267</v>
      </c>
      <c r="G977" t="str">
        <f>_xlfn.XLOOKUP(Table1[[#This Row],[Department]],Table6[Department],Table6[Id_Departement])</f>
        <v>D001</v>
      </c>
      <c r="H977" t="s">
        <v>37</v>
      </c>
      <c r="I977">
        <v>13</v>
      </c>
      <c r="J977" t="str">
        <f>_xlfn.XLOOKUP(Table1[[#This Row],[Education]],Table8[Education],Table8[Id_Education])</f>
        <v>E004</v>
      </c>
      <c r="K977">
        <v>4</v>
      </c>
      <c r="L977" t="str">
        <f>_xlfn.XLOOKUP(Table1[[#This Row],[EducationField]],Table7[EducationField],Table7[Id_EducationField])</f>
        <v>EF004</v>
      </c>
      <c r="M977" t="s">
        <v>43</v>
      </c>
      <c r="N977" t="str">
        <f>_xlfn.XLOOKUP(Table1[[#This Row],[EmployeeNumber]],Table4[EmployeeNumber],Table4[Id_Employee])</f>
        <v>EMP00976</v>
      </c>
      <c r="O977">
        <v>1372</v>
      </c>
      <c r="P977" t="str">
        <f>_xlfn.XLOOKUP(Table1[[#This Row],[EnvironmentSatisfaction]],Table9[EnvironmentSatisfaction],Table9[Id_EnviromentSatisfaction])</f>
        <v>ES001</v>
      </c>
      <c r="Q977">
        <v>1</v>
      </c>
      <c r="R977" t="str">
        <f>_xlfn.XLOOKUP(Table1[[#This Row],[EnvironmentSatisfaction]],Table9[EnvironmentSatisfaction],Table9[Deskripsi])</f>
        <v>Low</v>
      </c>
      <c r="S977" t="str">
        <f>_xlfn.XLOOKUP(Table1[[#This Row],[Gender]],Table10[Gender],Table10[Id_Gender])</f>
        <v>G002</v>
      </c>
      <c r="T977" t="s">
        <v>46</v>
      </c>
      <c r="U977">
        <v>85</v>
      </c>
      <c r="V977" t="str">
        <f>_xlfn.XLOOKUP(Table1[[#This Row],[JobInvolvement]],Table11[JobInvolvement],Table11[Id_JobInvolvement])</f>
        <v>JI004</v>
      </c>
      <c r="W977">
        <v>4</v>
      </c>
      <c r="X977" t="str">
        <f>_xlfn.XLOOKUP(Table1[[#This Row],[JobLevel]],Table12[JobLevel],Table12[Id_JobLevel])</f>
        <v>JL004</v>
      </c>
      <c r="Y977">
        <v>4</v>
      </c>
      <c r="Z977" t="str">
        <f>_xlfn.XLOOKUP(Table1[[#This Row],[JobRole]],Table13[JobRole],Table13[Id_JobRole])</f>
        <v>JR001</v>
      </c>
      <c r="AA977" t="s">
        <v>47</v>
      </c>
      <c r="AB977" t="str">
        <f>_xlfn.XLOOKUP(Table1[[#This Row],[JobSatisfaction]],Table14[JobSatisfaction],Table14[Id_JobSatisfaction])</f>
        <v>JS003</v>
      </c>
      <c r="AC977">
        <v>3</v>
      </c>
      <c r="AD977" t="str">
        <f>_xlfn.XLOOKUP(Table1[[#This Row],[JobSatisfaction]],Table14[JobSatisfaction],Table14[Deskripsi])</f>
        <v>High</v>
      </c>
      <c r="AE977" t="str">
        <f>_xlfn.XLOOKUP(Table1[[#This Row],[MaritalStatus]],Table15[MaritalStatus],Table15[Id_MaritalStatus])</f>
        <v>MS001</v>
      </c>
      <c r="AF977" t="s">
        <v>55</v>
      </c>
      <c r="AG977">
        <v>13695</v>
      </c>
      <c r="AH977">
        <v>9277</v>
      </c>
      <c r="AI977">
        <v>6</v>
      </c>
      <c r="AJ977" t="str">
        <f>_xlfn.XLOOKUP(Table1[[#This Row],[OverTime]],Table16[OverTime],Table16[Id_OverTime])</f>
        <v>OT001</v>
      </c>
      <c r="AK977" t="s">
        <v>32</v>
      </c>
      <c r="AL977">
        <v>17</v>
      </c>
      <c r="AM977" t="str">
        <f>_xlfn.XLOOKUP(Table1[[#This Row],[PerformanceRating]],Table17[PerformanceRating],Table17[Id_PerformanceRating])</f>
        <v>PR003</v>
      </c>
      <c r="AN977">
        <v>3</v>
      </c>
      <c r="AO977" t="str">
        <f>_xlfn.XLOOKUP(Table1[[#This Row],[PerformanceRating]],Table17[PerformanceRating],Table17[Deskripsi])</f>
        <v>Excellent</v>
      </c>
      <c r="AP977" t="str">
        <f>_xlfn.XLOOKUP(Table1[[#This Row],[RelationshipSatisfaction]],Table18[RelationshipSatisfaction],Table18[Id_RelationshipSatisfaction])</f>
        <v>RS003</v>
      </c>
      <c r="AQ977">
        <v>3</v>
      </c>
      <c r="AR977" t="str">
        <f>_xlfn.XLOOKUP(Table1[[#This Row],[RelationshipSatisfaction]],Table18[RelationshipSatisfaction],Table18[Deskripsi])</f>
        <v>High</v>
      </c>
      <c r="AS977" t="str">
        <f>_xlfn.XLOOKUP(Table1[[#This Row],[StockOptionLevel]],Table19[StockOptionLevel],Table19[Id_StockOptionLevel])</f>
        <v>SOL001</v>
      </c>
      <c r="AT977">
        <v>0</v>
      </c>
      <c r="AU977" t="str">
        <f>_xlfn.XLOOKUP(Table1[[#This Row],[StockOptionLevel]],Table19[StockOptionLevel],Table19[Deskripsi])</f>
        <v>Non-Eligible</v>
      </c>
      <c r="AV977">
        <v>24</v>
      </c>
      <c r="AW977">
        <v>2</v>
      </c>
      <c r="AX977" t="str">
        <f>_xlfn.XLOOKUP(Table1[[#This Row],[WorkLifeBalance]],Table20[WorkLifeBalance],Table20[Id_WorkLifeBalance])</f>
        <v>WLB003</v>
      </c>
      <c r="AY977">
        <v>2</v>
      </c>
      <c r="AZ977" t="str">
        <f>_xlfn.XLOOKUP(Table1[[#This Row],[WorkLifeBalance]],Table20[WorkLifeBalance],Table20[Deskripsi])</f>
        <v>Better</v>
      </c>
      <c r="BA977">
        <v>19</v>
      </c>
      <c r="BB977">
        <v>7</v>
      </c>
      <c r="BC977">
        <v>3</v>
      </c>
      <c r="BD977">
        <v>8</v>
      </c>
    </row>
    <row r="978" spans="1:56" x14ac:dyDescent="0.25">
      <c r="A978">
        <v>56</v>
      </c>
      <c r="B978" t="str">
        <f>_xlfn.XLOOKUP(Table1[[#This Row],[Attrition]],Table2[Attrition],Table2[Id_Attrition])</f>
        <v>A002</v>
      </c>
      <c r="C978" t="s">
        <v>33</v>
      </c>
      <c r="D978" t="str">
        <f>_xlfn.XLOOKUP(Table1[[#This Row],[BusinessTravel]],Table5[BusinessTravel],Table5[Id_BusinessTravel])</f>
        <v>BS001</v>
      </c>
      <c r="E978" t="s">
        <v>34</v>
      </c>
      <c r="F978">
        <v>1369</v>
      </c>
      <c r="G978" t="str">
        <f>_xlfn.XLOOKUP(Table1[[#This Row],[Department]],Table6[Department],Table6[Id_Departement])</f>
        <v>D002</v>
      </c>
      <c r="H978" t="s">
        <v>38</v>
      </c>
      <c r="I978">
        <v>23</v>
      </c>
      <c r="J978" t="str">
        <f>_xlfn.XLOOKUP(Table1[[#This Row],[Education]],Table8[Education],Table8[Id_Education])</f>
        <v>E003</v>
      </c>
      <c r="K978">
        <v>3</v>
      </c>
      <c r="L978" t="str">
        <f>_xlfn.XLOOKUP(Table1[[#This Row],[EducationField]],Table7[EducationField],Table7[Id_EducationField])</f>
        <v>EF001</v>
      </c>
      <c r="M978" t="s">
        <v>40</v>
      </c>
      <c r="N978" t="str">
        <f>_xlfn.XLOOKUP(Table1[[#This Row],[EmployeeNumber]],Table4[EmployeeNumber],Table4[Id_Employee])</f>
        <v>EMP00977</v>
      </c>
      <c r="O978">
        <v>1373</v>
      </c>
      <c r="P978" t="str">
        <f>_xlfn.XLOOKUP(Table1[[#This Row],[EnvironmentSatisfaction]],Table9[EnvironmentSatisfaction],Table9[Id_EnviromentSatisfaction])</f>
        <v>ES004</v>
      </c>
      <c r="Q978">
        <v>4</v>
      </c>
      <c r="R978" t="str">
        <f>_xlfn.XLOOKUP(Table1[[#This Row],[EnvironmentSatisfaction]],Table9[EnvironmentSatisfaction],Table9[Deskripsi])</f>
        <v>Very High</v>
      </c>
      <c r="S978" t="str">
        <f>_xlfn.XLOOKUP(Table1[[#This Row],[Gender]],Table10[Gender],Table10[Id_Gender])</f>
        <v>G002</v>
      </c>
      <c r="T978" t="s">
        <v>46</v>
      </c>
      <c r="U978">
        <v>68</v>
      </c>
      <c r="V978" t="str">
        <f>_xlfn.XLOOKUP(Table1[[#This Row],[JobInvolvement]],Table11[JobInvolvement],Table11[Id_JobInvolvement])</f>
        <v>JI003</v>
      </c>
      <c r="W978">
        <v>3</v>
      </c>
      <c r="X978" t="str">
        <f>_xlfn.XLOOKUP(Table1[[#This Row],[JobLevel]],Table12[JobLevel],Table12[Id_JobLevel])</f>
        <v>JL004</v>
      </c>
      <c r="Y978">
        <v>4</v>
      </c>
      <c r="Z978" t="str">
        <f>_xlfn.XLOOKUP(Table1[[#This Row],[JobRole]],Table13[JobRole],Table13[Id_JobRole])</f>
        <v>JR004</v>
      </c>
      <c r="AA978" t="s">
        <v>50</v>
      </c>
      <c r="AB978" t="str">
        <f>_xlfn.XLOOKUP(Table1[[#This Row],[JobSatisfaction]],Table14[JobSatisfaction],Table14[Id_JobSatisfaction])</f>
        <v>JS002</v>
      </c>
      <c r="AC978">
        <v>2</v>
      </c>
      <c r="AD978" t="str">
        <f>_xlfn.XLOOKUP(Table1[[#This Row],[JobSatisfaction]],Table14[JobSatisfaction],Table14[Deskripsi])</f>
        <v>Medium</v>
      </c>
      <c r="AE978" t="str">
        <f>_xlfn.XLOOKUP(Table1[[#This Row],[MaritalStatus]],Table15[MaritalStatus],Table15[Id_MaritalStatus])</f>
        <v>MS002</v>
      </c>
      <c r="AF978" t="s">
        <v>56</v>
      </c>
      <c r="AG978">
        <v>13402</v>
      </c>
      <c r="AH978">
        <v>18235</v>
      </c>
      <c r="AI978">
        <v>4</v>
      </c>
      <c r="AJ978" t="str">
        <f>_xlfn.XLOOKUP(Table1[[#This Row],[OverTime]],Table16[OverTime],Table16[Id_OverTime])</f>
        <v>OT001</v>
      </c>
      <c r="AK978" t="s">
        <v>32</v>
      </c>
      <c r="AL978">
        <v>12</v>
      </c>
      <c r="AM978" t="str">
        <f>_xlfn.XLOOKUP(Table1[[#This Row],[PerformanceRating]],Table17[PerformanceRating],Table17[Id_PerformanceRating])</f>
        <v>PR003</v>
      </c>
      <c r="AN978">
        <v>3</v>
      </c>
      <c r="AO978" t="str">
        <f>_xlfn.XLOOKUP(Table1[[#This Row],[PerformanceRating]],Table17[PerformanceRating],Table17[Deskripsi])</f>
        <v>Excellent</v>
      </c>
      <c r="AP978" t="str">
        <f>_xlfn.XLOOKUP(Table1[[#This Row],[RelationshipSatisfaction]],Table18[RelationshipSatisfaction],Table18[Id_RelationshipSatisfaction])</f>
        <v>RS001</v>
      </c>
      <c r="AQ978">
        <v>1</v>
      </c>
      <c r="AR978" t="str">
        <f>_xlfn.XLOOKUP(Table1[[#This Row],[RelationshipSatisfaction]],Table18[RelationshipSatisfaction],Table18[Deskripsi])</f>
        <v>Low</v>
      </c>
      <c r="AS978" t="str">
        <f>_xlfn.XLOOKUP(Table1[[#This Row],[StockOptionLevel]],Table19[StockOptionLevel],Table19[Id_StockOptionLevel])</f>
        <v>SOL002</v>
      </c>
      <c r="AT978">
        <v>1</v>
      </c>
      <c r="AU978" t="str">
        <f>_xlfn.XLOOKUP(Table1[[#This Row],[StockOptionLevel]],Table19[StockOptionLevel],Table19[Deskripsi])</f>
        <v>Standard</v>
      </c>
      <c r="AV978">
        <v>33</v>
      </c>
      <c r="AW978">
        <v>0</v>
      </c>
      <c r="AX978" t="str">
        <f>_xlfn.XLOOKUP(Table1[[#This Row],[WorkLifeBalance]],Table20[WorkLifeBalance],Table20[Id_WorkLifeBalance])</f>
        <v>WLB002</v>
      </c>
      <c r="AY978">
        <v>3</v>
      </c>
      <c r="AZ978" t="str">
        <f>_xlfn.XLOOKUP(Table1[[#This Row],[WorkLifeBalance]],Table20[WorkLifeBalance],Table20[Deskripsi])</f>
        <v>Good</v>
      </c>
      <c r="BA978">
        <v>19</v>
      </c>
      <c r="BB978">
        <v>16</v>
      </c>
      <c r="BC978">
        <v>15</v>
      </c>
      <c r="BD978">
        <v>9</v>
      </c>
    </row>
    <row r="979" spans="1:56" x14ac:dyDescent="0.25">
      <c r="A979">
        <v>34</v>
      </c>
      <c r="B979" t="str">
        <f>_xlfn.XLOOKUP(Table1[[#This Row],[Attrition]],Table2[Attrition],Table2[Id_Attrition])</f>
        <v>A002</v>
      </c>
      <c r="C979" t="s">
        <v>33</v>
      </c>
      <c r="D979" t="str">
        <f>_xlfn.XLOOKUP(Table1[[#This Row],[BusinessTravel]],Table5[BusinessTravel],Table5[Id_BusinessTravel])</f>
        <v>BS003</v>
      </c>
      <c r="E979" t="s">
        <v>36</v>
      </c>
      <c r="F979">
        <v>999</v>
      </c>
      <c r="G979" t="str">
        <f>_xlfn.XLOOKUP(Table1[[#This Row],[Department]],Table6[Department],Table6[Id_Departement])</f>
        <v>D002</v>
      </c>
      <c r="H979" t="s">
        <v>38</v>
      </c>
      <c r="I979">
        <v>26</v>
      </c>
      <c r="J979" t="str">
        <f>_xlfn.XLOOKUP(Table1[[#This Row],[Education]],Table8[Education],Table8[Id_Education])</f>
        <v>E001</v>
      </c>
      <c r="K979">
        <v>1</v>
      </c>
      <c r="L979" t="str">
        <f>_xlfn.XLOOKUP(Table1[[#This Row],[EducationField]],Table7[EducationField],Table7[Id_EducationField])</f>
        <v>EF005</v>
      </c>
      <c r="M979" t="s">
        <v>44</v>
      </c>
      <c r="N979" t="str">
        <f>_xlfn.XLOOKUP(Table1[[#This Row],[EmployeeNumber]],Table4[EmployeeNumber],Table4[Id_Employee])</f>
        <v>EMP00978</v>
      </c>
      <c r="O979">
        <v>1374</v>
      </c>
      <c r="P979" t="str">
        <f>_xlfn.XLOOKUP(Table1[[#This Row],[EnvironmentSatisfaction]],Table9[EnvironmentSatisfaction],Table9[Id_EnviromentSatisfaction])</f>
        <v>ES001</v>
      </c>
      <c r="Q979">
        <v>1</v>
      </c>
      <c r="R979" t="str">
        <f>_xlfn.XLOOKUP(Table1[[#This Row],[EnvironmentSatisfaction]],Table9[EnvironmentSatisfaction],Table9[Deskripsi])</f>
        <v>Low</v>
      </c>
      <c r="S979" t="str">
        <f>_xlfn.XLOOKUP(Table1[[#This Row],[Gender]],Table10[Gender],Table10[Id_Gender])</f>
        <v>G001</v>
      </c>
      <c r="T979" t="s">
        <v>45</v>
      </c>
      <c r="U979">
        <v>92</v>
      </c>
      <c r="V979" t="str">
        <f>_xlfn.XLOOKUP(Table1[[#This Row],[JobInvolvement]],Table11[JobInvolvement],Table11[Id_JobInvolvement])</f>
        <v>JI002</v>
      </c>
      <c r="W979">
        <v>2</v>
      </c>
      <c r="X979" t="str">
        <f>_xlfn.XLOOKUP(Table1[[#This Row],[JobLevel]],Table12[JobLevel],Table12[Id_JobLevel])</f>
        <v>JL001</v>
      </c>
      <c r="Y979">
        <v>1</v>
      </c>
      <c r="Z979" t="str">
        <f>_xlfn.XLOOKUP(Table1[[#This Row],[JobRole]],Table13[JobRole],Table13[Id_JobRole])</f>
        <v>JR002</v>
      </c>
      <c r="AA979" t="s">
        <v>48</v>
      </c>
      <c r="AB979" t="str">
        <f>_xlfn.XLOOKUP(Table1[[#This Row],[JobSatisfaction]],Table14[JobSatisfaction],Table14[Id_JobSatisfaction])</f>
        <v>JS003</v>
      </c>
      <c r="AC979">
        <v>3</v>
      </c>
      <c r="AD979" t="str">
        <f>_xlfn.XLOOKUP(Table1[[#This Row],[JobSatisfaction]],Table14[JobSatisfaction],Table14[Deskripsi])</f>
        <v>High</v>
      </c>
      <c r="AE979" t="str">
        <f>_xlfn.XLOOKUP(Table1[[#This Row],[MaritalStatus]],Table15[MaritalStatus],Table15[Id_MaritalStatus])</f>
        <v>MS003</v>
      </c>
      <c r="AF979" t="s">
        <v>57</v>
      </c>
      <c r="AG979">
        <v>2029</v>
      </c>
      <c r="AH979">
        <v>15891</v>
      </c>
      <c r="AI979">
        <v>1</v>
      </c>
      <c r="AJ979" t="str">
        <f>_xlfn.XLOOKUP(Table1[[#This Row],[OverTime]],Table16[OverTime],Table16[Id_OverTime])</f>
        <v>OT002</v>
      </c>
      <c r="AK979" t="s">
        <v>33</v>
      </c>
      <c r="AL979">
        <v>20</v>
      </c>
      <c r="AM979" t="str">
        <f>_xlfn.XLOOKUP(Table1[[#This Row],[PerformanceRating]],Table17[PerformanceRating],Table17[Id_PerformanceRating])</f>
        <v>PR004</v>
      </c>
      <c r="AN979">
        <v>4</v>
      </c>
      <c r="AO979" t="str">
        <f>_xlfn.XLOOKUP(Table1[[#This Row],[PerformanceRating]],Table17[PerformanceRating],Table17[Deskripsi])</f>
        <v>Outstanding</v>
      </c>
      <c r="AP979" t="str">
        <f>_xlfn.XLOOKUP(Table1[[#This Row],[RelationshipSatisfaction]],Table18[RelationshipSatisfaction],Table18[Id_RelationshipSatisfaction])</f>
        <v>RS003</v>
      </c>
      <c r="AQ979">
        <v>3</v>
      </c>
      <c r="AR979" t="str">
        <f>_xlfn.XLOOKUP(Table1[[#This Row],[RelationshipSatisfaction]],Table18[RelationshipSatisfaction],Table18[Deskripsi])</f>
        <v>High</v>
      </c>
      <c r="AS979" t="str">
        <f>_xlfn.XLOOKUP(Table1[[#This Row],[StockOptionLevel]],Table19[StockOptionLevel],Table19[Id_StockOptionLevel])</f>
        <v>SOL004</v>
      </c>
      <c r="AT979">
        <v>3</v>
      </c>
      <c r="AU979" t="str">
        <f>_xlfn.XLOOKUP(Table1[[#This Row],[StockOptionLevel]],Table19[StockOptionLevel],Table19[Deskripsi])</f>
        <v>Senior/Executive</v>
      </c>
      <c r="AV979">
        <v>5</v>
      </c>
      <c r="AW979">
        <v>2</v>
      </c>
      <c r="AX979" t="str">
        <f>_xlfn.XLOOKUP(Table1[[#This Row],[WorkLifeBalance]],Table20[WorkLifeBalance],Table20[Id_WorkLifeBalance])</f>
        <v>WLB002</v>
      </c>
      <c r="AY979">
        <v>3</v>
      </c>
      <c r="AZ979" t="str">
        <f>_xlfn.XLOOKUP(Table1[[#This Row],[WorkLifeBalance]],Table20[WorkLifeBalance],Table20[Deskripsi])</f>
        <v>Good</v>
      </c>
      <c r="BA979">
        <v>5</v>
      </c>
      <c r="BB979">
        <v>4</v>
      </c>
      <c r="BC979">
        <v>0</v>
      </c>
      <c r="BD979">
        <v>0</v>
      </c>
    </row>
    <row r="980" spans="1:56" x14ac:dyDescent="0.25">
      <c r="A980">
        <v>40</v>
      </c>
      <c r="B980" t="str">
        <f>_xlfn.XLOOKUP(Table1[[#This Row],[Attrition]],Table2[Attrition],Table2[Id_Attrition])</f>
        <v>A002</v>
      </c>
      <c r="C980" t="s">
        <v>33</v>
      </c>
      <c r="D980" t="str">
        <f>_xlfn.XLOOKUP(Table1[[#This Row],[BusinessTravel]],Table5[BusinessTravel],Table5[Id_BusinessTravel])</f>
        <v>BS001</v>
      </c>
      <c r="E980" t="s">
        <v>34</v>
      </c>
      <c r="F980">
        <v>1202</v>
      </c>
      <c r="G980" t="str">
        <f>_xlfn.XLOOKUP(Table1[[#This Row],[Department]],Table6[Department],Table6[Id_Departement])</f>
        <v>D002</v>
      </c>
      <c r="H980" t="s">
        <v>38</v>
      </c>
      <c r="I980">
        <v>2</v>
      </c>
      <c r="J980" t="str">
        <f>_xlfn.XLOOKUP(Table1[[#This Row],[Education]],Table8[Education],Table8[Id_Education])</f>
        <v>E001</v>
      </c>
      <c r="K980">
        <v>1</v>
      </c>
      <c r="L980" t="str">
        <f>_xlfn.XLOOKUP(Table1[[#This Row],[EducationField]],Table7[EducationField],Table7[Id_EducationField])</f>
        <v>EF003</v>
      </c>
      <c r="M980" t="s">
        <v>42</v>
      </c>
      <c r="N980" t="str">
        <f>_xlfn.XLOOKUP(Table1[[#This Row],[EmployeeNumber]],Table4[EmployeeNumber],Table4[Id_Employee])</f>
        <v>EMP00979</v>
      </c>
      <c r="O980">
        <v>1375</v>
      </c>
      <c r="P980" t="str">
        <f>_xlfn.XLOOKUP(Table1[[#This Row],[EnvironmentSatisfaction]],Table9[EnvironmentSatisfaction],Table9[Id_EnviromentSatisfaction])</f>
        <v>ES002</v>
      </c>
      <c r="Q980">
        <v>2</v>
      </c>
      <c r="R980" t="str">
        <f>_xlfn.XLOOKUP(Table1[[#This Row],[EnvironmentSatisfaction]],Table9[EnvironmentSatisfaction],Table9[Deskripsi])</f>
        <v>Medium</v>
      </c>
      <c r="S980" t="str">
        <f>_xlfn.XLOOKUP(Table1[[#This Row],[Gender]],Table10[Gender],Table10[Id_Gender])</f>
        <v>G001</v>
      </c>
      <c r="T980" t="s">
        <v>45</v>
      </c>
      <c r="U980">
        <v>89</v>
      </c>
      <c r="V980" t="str">
        <f>_xlfn.XLOOKUP(Table1[[#This Row],[JobInvolvement]],Table11[JobInvolvement],Table11[Id_JobInvolvement])</f>
        <v>JI004</v>
      </c>
      <c r="W980">
        <v>4</v>
      </c>
      <c r="X980" t="str">
        <f>_xlfn.XLOOKUP(Table1[[#This Row],[JobLevel]],Table12[JobLevel],Table12[Id_JobLevel])</f>
        <v>JL002</v>
      </c>
      <c r="Y980">
        <v>2</v>
      </c>
      <c r="Z980" t="str">
        <f>_xlfn.XLOOKUP(Table1[[#This Row],[JobRole]],Table13[JobRole],Table13[Id_JobRole])</f>
        <v>JR005</v>
      </c>
      <c r="AA980" t="s">
        <v>51</v>
      </c>
      <c r="AB980" t="str">
        <f>_xlfn.XLOOKUP(Table1[[#This Row],[JobSatisfaction]],Table14[JobSatisfaction],Table14[Id_JobSatisfaction])</f>
        <v>JS003</v>
      </c>
      <c r="AC980">
        <v>3</v>
      </c>
      <c r="AD980" t="str">
        <f>_xlfn.XLOOKUP(Table1[[#This Row],[JobSatisfaction]],Table14[JobSatisfaction],Table14[Deskripsi])</f>
        <v>High</v>
      </c>
      <c r="AE980" t="str">
        <f>_xlfn.XLOOKUP(Table1[[#This Row],[MaritalStatus]],Table15[MaritalStatus],Table15[Id_MaritalStatus])</f>
        <v>MS003</v>
      </c>
      <c r="AF980" t="s">
        <v>57</v>
      </c>
      <c r="AG980">
        <v>6377</v>
      </c>
      <c r="AH980">
        <v>13888</v>
      </c>
      <c r="AI980">
        <v>5</v>
      </c>
      <c r="AJ980" t="str">
        <f>_xlfn.XLOOKUP(Table1[[#This Row],[OverTime]],Table16[OverTime],Table16[Id_OverTime])</f>
        <v>OT002</v>
      </c>
      <c r="AK980" t="s">
        <v>33</v>
      </c>
      <c r="AL980">
        <v>20</v>
      </c>
      <c r="AM980" t="str">
        <f>_xlfn.XLOOKUP(Table1[[#This Row],[PerformanceRating]],Table17[PerformanceRating],Table17[Id_PerformanceRating])</f>
        <v>PR004</v>
      </c>
      <c r="AN980">
        <v>4</v>
      </c>
      <c r="AO980" t="str">
        <f>_xlfn.XLOOKUP(Table1[[#This Row],[PerformanceRating]],Table17[PerformanceRating],Table17[Deskripsi])</f>
        <v>Outstanding</v>
      </c>
      <c r="AP980" t="str">
        <f>_xlfn.XLOOKUP(Table1[[#This Row],[RelationshipSatisfaction]],Table18[RelationshipSatisfaction],Table18[Id_RelationshipSatisfaction])</f>
        <v>RS002</v>
      </c>
      <c r="AQ980">
        <v>2</v>
      </c>
      <c r="AR980" t="str">
        <f>_xlfn.XLOOKUP(Table1[[#This Row],[RelationshipSatisfaction]],Table18[RelationshipSatisfaction],Table18[Deskripsi])</f>
        <v>Medium</v>
      </c>
      <c r="AS980" t="str">
        <f>_xlfn.XLOOKUP(Table1[[#This Row],[StockOptionLevel]],Table19[StockOptionLevel],Table19[Id_StockOptionLevel])</f>
        <v>SOL004</v>
      </c>
      <c r="AT980">
        <v>3</v>
      </c>
      <c r="AU980" t="str">
        <f>_xlfn.XLOOKUP(Table1[[#This Row],[StockOptionLevel]],Table19[StockOptionLevel],Table19[Deskripsi])</f>
        <v>Senior/Executive</v>
      </c>
      <c r="AV980">
        <v>15</v>
      </c>
      <c r="AW980">
        <v>0</v>
      </c>
      <c r="AX980" t="str">
        <f>_xlfn.XLOOKUP(Table1[[#This Row],[WorkLifeBalance]],Table20[WorkLifeBalance],Table20[Id_WorkLifeBalance])</f>
        <v>WLB002</v>
      </c>
      <c r="AY980">
        <v>3</v>
      </c>
      <c r="AZ980" t="str">
        <f>_xlfn.XLOOKUP(Table1[[#This Row],[WorkLifeBalance]],Table20[WorkLifeBalance],Table20[Deskripsi])</f>
        <v>Good</v>
      </c>
      <c r="BA980">
        <v>12</v>
      </c>
      <c r="BB980">
        <v>11</v>
      </c>
      <c r="BC980">
        <v>11</v>
      </c>
      <c r="BD980">
        <v>8</v>
      </c>
    </row>
    <row r="981" spans="1:56" x14ac:dyDescent="0.25">
      <c r="A981">
        <v>34</v>
      </c>
      <c r="B981" t="str">
        <f>_xlfn.XLOOKUP(Table1[[#This Row],[Attrition]],Table2[Attrition],Table2[Id_Attrition])</f>
        <v>A002</v>
      </c>
      <c r="C981" t="s">
        <v>33</v>
      </c>
      <c r="D981" t="str">
        <f>_xlfn.XLOOKUP(Table1[[#This Row],[BusinessTravel]],Table5[BusinessTravel],Table5[Id_BusinessTravel])</f>
        <v>BS001</v>
      </c>
      <c r="E981" t="s">
        <v>34</v>
      </c>
      <c r="F981">
        <v>285</v>
      </c>
      <c r="G981" t="str">
        <f>_xlfn.XLOOKUP(Table1[[#This Row],[Department]],Table6[Department],Table6[Id_Departement])</f>
        <v>D002</v>
      </c>
      <c r="H981" t="s">
        <v>38</v>
      </c>
      <c r="I981">
        <v>29</v>
      </c>
      <c r="J981" t="str">
        <f>_xlfn.XLOOKUP(Table1[[#This Row],[Education]],Table8[Education],Table8[Id_Education])</f>
        <v>E003</v>
      </c>
      <c r="K981">
        <v>3</v>
      </c>
      <c r="L981" t="str">
        <f>_xlfn.XLOOKUP(Table1[[#This Row],[EducationField]],Table7[EducationField],Table7[Id_EducationField])</f>
        <v>EF003</v>
      </c>
      <c r="M981" t="s">
        <v>42</v>
      </c>
      <c r="N981" t="str">
        <f>_xlfn.XLOOKUP(Table1[[#This Row],[EmployeeNumber]],Table4[EmployeeNumber],Table4[Id_Employee])</f>
        <v>EMP00980</v>
      </c>
      <c r="O981">
        <v>1377</v>
      </c>
      <c r="P981" t="str">
        <f>_xlfn.XLOOKUP(Table1[[#This Row],[EnvironmentSatisfaction]],Table9[EnvironmentSatisfaction],Table9[Id_EnviromentSatisfaction])</f>
        <v>ES002</v>
      </c>
      <c r="Q981">
        <v>2</v>
      </c>
      <c r="R981" t="str">
        <f>_xlfn.XLOOKUP(Table1[[#This Row],[EnvironmentSatisfaction]],Table9[EnvironmentSatisfaction],Table9[Deskripsi])</f>
        <v>Medium</v>
      </c>
      <c r="S981" t="str">
        <f>_xlfn.XLOOKUP(Table1[[#This Row],[Gender]],Table10[Gender],Table10[Id_Gender])</f>
        <v>G002</v>
      </c>
      <c r="T981" t="s">
        <v>46</v>
      </c>
      <c r="U981">
        <v>86</v>
      </c>
      <c r="V981" t="str">
        <f>_xlfn.XLOOKUP(Table1[[#This Row],[JobInvolvement]],Table11[JobInvolvement],Table11[Id_JobInvolvement])</f>
        <v>JI003</v>
      </c>
      <c r="W981">
        <v>3</v>
      </c>
      <c r="X981" t="str">
        <f>_xlfn.XLOOKUP(Table1[[#This Row],[JobLevel]],Table12[JobLevel],Table12[Id_JobLevel])</f>
        <v>JL002</v>
      </c>
      <c r="Y981">
        <v>2</v>
      </c>
      <c r="Z981" t="str">
        <f>_xlfn.XLOOKUP(Table1[[#This Row],[JobRole]],Table13[JobRole],Table13[Id_JobRole])</f>
        <v>JR003</v>
      </c>
      <c r="AA981" t="s">
        <v>49</v>
      </c>
      <c r="AB981" t="str">
        <f>_xlfn.XLOOKUP(Table1[[#This Row],[JobSatisfaction]],Table14[JobSatisfaction],Table14[Id_JobSatisfaction])</f>
        <v>JS003</v>
      </c>
      <c r="AC981">
        <v>3</v>
      </c>
      <c r="AD981" t="str">
        <f>_xlfn.XLOOKUP(Table1[[#This Row],[JobSatisfaction]],Table14[JobSatisfaction],Table14[Deskripsi])</f>
        <v>High</v>
      </c>
      <c r="AE981" t="str">
        <f>_xlfn.XLOOKUP(Table1[[#This Row],[MaritalStatus]],Table15[MaritalStatus],Table15[Id_MaritalStatus])</f>
        <v>MS002</v>
      </c>
      <c r="AF981" t="s">
        <v>56</v>
      </c>
      <c r="AG981">
        <v>5429</v>
      </c>
      <c r="AH981">
        <v>17491</v>
      </c>
      <c r="AI981">
        <v>4</v>
      </c>
      <c r="AJ981" t="str">
        <f>_xlfn.XLOOKUP(Table1[[#This Row],[OverTime]],Table16[OverTime],Table16[Id_OverTime])</f>
        <v>OT002</v>
      </c>
      <c r="AK981" t="s">
        <v>33</v>
      </c>
      <c r="AL981">
        <v>13</v>
      </c>
      <c r="AM981" t="str">
        <f>_xlfn.XLOOKUP(Table1[[#This Row],[PerformanceRating]],Table17[PerformanceRating],Table17[Id_PerformanceRating])</f>
        <v>PR003</v>
      </c>
      <c r="AN981">
        <v>3</v>
      </c>
      <c r="AO981" t="str">
        <f>_xlfn.XLOOKUP(Table1[[#This Row],[PerformanceRating]],Table17[PerformanceRating],Table17[Deskripsi])</f>
        <v>Excellent</v>
      </c>
      <c r="AP981" t="str">
        <f>_xlfn.XLOOKUP(Table1[[#This Row],[RelationshipSatisfaction]],Table18[RelationshipSatisfaction],Table18[Id_RelationshipSatisfaction])</f>
        <v>RS001</v>
      </c>
      <c r="AQ981">
        <v>1</v>
      </c>
      <c r="AR981" t="str">
        <f>_xlfn.XLOOKUP(Table1[[#This Row],[RelationshipSatisfaction]],Table18[RelationshipSatisfaction],Table18[Deskripsi])</f>
        <v>Low</v>
      </c>
      <c r="AS981" t="str">
        <f>_xlfn.XLOOKUP(Table1[[#This Row],[StockOptionLevel]],Table19[StockOptionLevel],Table19[Id_StockOptionLevel])</f>
        <v>SOL003</v>
      </c>
      <c r="AT981">
        <v>2</v>
      </c>
      <c r="AU981" t="str">
        <f>_xlfn.XLOOKUP(Table1[[#This Row],[StockOptionLevel]],Table19[StockOptionLevel],Table19[Deskripsi])</f>
        <v>Intermediate</v>
      </c>
      <c r="AV981">
        <v>10</v>
      </c>
      <c r="AW981">
        <v>1</v>
      </c>
      <c r="AX981" t="str">
        <f>_xlfn.XLOOKUP(Table1[[#This Row],[WorkLifeBalance]],Table20[WorkLifeBalance],Table20[Id_WorkLifeBalance])</f>
        <v>WLB002</v>
      </c>
      <c r="AY981">
        <v>3</v>
      </c>
      <c r="AZ981" t="str">
        <f>_xlfn.XLOOKUP(Table1[[#This Row],[WorkLifeBalance]],Table20[WorkLifeBalance],Table20[Deskripsi])</f>
        <v>Good</v>
      </c>
      <c r="BA981">
        <v>8</v>
      </c>
      <c r="BB981">
        <v>7</v>
      </c>
      <c r="BC981">
        <v>7</v>
      </c>
      <c r="BD981">
        <v>7</v>
      </c>
    </row>
    <row r="982" spans="1:56" x14ac:dyDescent="0.25">
      <c r="A982">
        <v>31</v>
      </c>
      <c r="B982" t="str">
        <f>_xlfn.XLOOKUP(Table1[[#This Row],[Attrition]],Table2[Attrition],Table2[Id_Attrition])</f>
        <v>A001</v>
      </c>
      <c r="C982" t="s">
        <v>32</v>
      </c>
      <c r="D982" t="str">
        <f>_xlfn.XLOOKUP(Table1[[#This Row],[BusinessTravel]],Table5[BusinessTravel],Table5[Id_BusinessTravel])</f>
        <v>BS002</v>
      </c>
      <c r="E982" t="s">
        <v>35</v>
      </c>
      <c r="F982">
        <v>703</v>
      </c>
      <c r="G982" t="str">
        <f>_xlfn.XLOOKUP(Table1[[#This Row],[Department]],Table6[Department],Table6[Id_Departement])</f>
        <v>D001</v>
      </c>
      <c r="H982" t="s">
        <v>37</v>
      </c>
      <c r="I982">
        <v>2</v>
      </c>
      <c r="J982" t="str">
        <f>_xlfn.XLOOKUP(Table1[[#This Row],[Education]],Table8[Education],Table8[Id_Education])</f>
        <v>E003</v>
      </c>
      <c r="K982">
        <v>3</v>
      </c>
      <c r="L982" t="str">
        <f>_xlfn.XLOOKUP(Table1[[#This Row],[EducationField]],Table7[EducationField],Table7[Id_EducationField])</f>
        <v>EF001</v>
      </c>
      <c r="M982" t="s">
        <v>40</v>
      </c>
      <c r="N982" t="str">
        <f>_xlfn.XLOOKUP(Table1[[#This Row],[EmployeeNumber]],Table4[EmployeeNumber],Table4[Id_Employee])</f>
        <v>EMP00981</v>
      </c>
      <c r="O982">
        <v>1379</v>
      </c>
      <c r="P982" t="str">
        <f>_xlfn.XLOOKUP(Table1[[#This Row],[EnvironmentSatisfaction]],Table9[EnvironmentSatisfaction],Table9[Id_EnviromentSatisfaction])</f>
        <v>ES003</v>
      </c>
      <c r="Q982">
        <v>3</v>
      </c>
      <c r="R982" t="str">
        <f>_xlfn.XLOOKUP(Table1[[#This Row],[EnvironmentSatisfaction]],Table9[EnvironmentSatisfaction],Table9[Deskripsi])</f>
        <v>High</v>
      </c>
      <c r="S982" t="str">
        <f>_xlfn.XLOOKUP(Table1[[#This Row],[Gender]],Table10[Gender],Table10[Id_Gender])</f>
        <v>G001</v>
      </c>
      <c r="T982" t="s">
        <v>45</v>
      </c>
      <c r="U982">
        <v>90</v>
      </c>
      <c r="V982" t="str">
        <f>_xlfn.XLOOKUP(Table1[[#This Row],[JobInvolvement]],Table11[JobInvolvement],Table11[Id_JobInvolvement])</f>
        <v>JI002</v>
      </c>
      <c r="W982">
        <v>2</v>
      </c>
      <c r="X982" t="str">
        <f>_xlfn.XLOOKUP(Table1[[#This Row],[JobLevel]],Table12[JobLevel],Table12[Id_JobLevel])</f>
        <v>JL001</v>
      </c>
      <c r="Y982">
        <v>1</v>
      </c>
      <c r="Z982" t="str">
        <f>_xlfn.XLOOKUP(Table1[[#This Row],[JobRole]],Table13[JobRole],Table13[Id_JobRole])</f>
        <v>JR007</v>
      </c>
      <c r="AA982" t="s">
        <v>53</v>
      </c>
      <c r="AB982" t="str">
        <f>_xlfn.XLOOKUP(Table1[[#This Row],[JobSatisfaction]],Table14[JobSatisfaction],Table14[Id_JobSatisfaction])</f>
        <v>JS004</v>
      </c>
      <c r="AC982">
        <v>4</v>
      </c>
      <c r="AD982" t="str">
        <f>_xlfn.XLOOKUP(Table1[[#This Row],[JobSatisfaction]],Table14[JobSatisfaction],Table14[Deskripsi])</f>
        <v>Very High</v>
      </c>
      <c r="AE982" t="str">
        <f>_xlfn.XLOOKUP(Table1[[#This Row],[MaritalStatus]],Table15[MaritalStatus],Table15[Id_MaritalStatus])</f>
        <v>MS001</v>
      </c>
      <c r="AF982" t="s">
        <v>55</v>
      </c>
      <c r="AG982">
        <v>2785</v>
      </c>
      <c r="AH982">
        <v>11882</v>
      </c>
      <c r="AI982">
        <v>7</v>
      </c>
      <c r="AJ982" t="str">
        <f>_xlfn.XLOOKUP(Table1[[#This Row],[OverTime]],Table16[OverTime],Table16[Id_OverTime])</f>
        <v>OT002</v>
      </c>
      <c r="AK982" t="s">
        <v>33</v>
      </c>
      <c r="AL982">
        <v>14</v>
      </c>
      <c r="AM982" t="str">
        <f>_xlfn.XLOOKUP(Table1[[#This Row],[PerformanceRating]],Table17[PerformanceRating],Table17[Id_PerformanceRating])</f>
        <v>PR003</v>
      </c>
      <c r="AN982">
        <v>3</v>
      </c>
      <c r="AO982" t="str">
        <f>_xlfn.XLOOKUP(Table1[[#This Row],[PerformanceRating]],Table17[PerformanceRating],Table17[Deskripsi])</f>
        <v>Excellent</v>
      </c>
      <c r="AP982" t="str">
        <f>_xlfn.XLOOKUP(Table1[[#This Row],[RelationshipSatisfaction]],Table18[RelationshipSatisfaction],Table18[Id_RelationshipSatisfaction])</f>
        <v>RS003</v>
      </c>
      <c r="AQ982">
        <v>3</v>
      </c>
      <c r="AR982" t="str">
        <f>_xlfn.XLOOKUP(Table1[[#This Row],[RelationshipSatisfaction]],Table18[RelationshipSatisfaction],Table18[Deskripsi])</f>
        <v>High</v>
      </c>
      <c r="AS982" t="str">
        <f>_xlfn.XLOOKUP(Table1[[#This Row],[StockOptionLevel]],Table19[StockOptionLevel],Table19[Id_StockOptionLevel])</f>
        <v>SOL001</v>
      </c>
      <c r="AT982">
        <v>0</v>
      </c>
      <c r="AU982" t="str">
        <f>_xlfn.XLOOKUP(Table1[[#This Row],[StockOptionLevel]],Table19[StockOptionLevel],Table19[Deskripsi])</f>
        <v>Non-Eligible</v>
      </c>
      <c r="AV982">
        <v>3</v>
      </c>
      <c r="AW982">
        <v>3</v>
      </c>
      <c r="AX982" t="str">
        <f>_xlfn.XLOOKUP(Table1[[#This Row],[WorkLifeBalance]],Table20[WorkLifeBalance],Table20[Id_WorkLifeBalance])</f>
        <v>WLB004</v>
      </c>
      <c r="AY982">
        <v>4</v>
      </c>
      <c r="AZ982" t="str">
        <f>_xlfn.XLOOKUP(Table1[[#This Row],[WorkLifeBalance]],Table20[WorkLifeBalance],Table20[Deskripsi])</f>
        <v>Best</v>
      </c>
      <c r="BA982">
        <v>1</v>
      </c>
      <c r="BB982">
        <v>0</v>
      </c>
      <c r="BC982">
        <v>0</v>
      </c>
      <c r="BD982">
        <v>0</v>
      </c>
    </row>
    <row r="983" spans="1:56" x14ac:dyDescent="0.25">
      <c r="A983">
        <v>35</v>
      </c>
      <c r="B983" t="str">
        <f>_xlfn.XLOOKUP(Table1[[#This Row],[Attrition]],Table2[Attrition],Table2[Id_Attrition])</f>
        <v>A001</v>
      </c>
      <c r="C983" t="s">
        <v>32</v>
      </c>
      <c r="D983" t="str">
        <f>_xlfn.XLOOKUP(Table1[[#This Row],[BusinessTravel]],Table5[BusinessTravel],Table5[Id_BusinessTravel])</f>
        <v>BS002</v>
      </c>
      <c r="E983" t="s">
        <v>35</v>
      </c>
      <c r="F983">
        <v>662</v>
      </c>
      <c r="G983" t="str">
        <f>_xlfn.XLOOKUP(Table1[[#This Row],[Department]],Table6[Department],Table6[Id_Departement])</f>
        <v>D001</v>
      </c>
      <c r="H983" t="s">
        <v>37</v>
      </c>
      <c r="I983">
        <v>18</v>
      </c>
      <c r="J983" t="str">
        <f>_xlfn.XLOOKUP(Table1[[#This Row],[Education]],Table8[Education],Table8[Id_Education])</f>
        <v>E004</v>
      </c>
      <c r="K983">
        <v>4</v>
      </c>
      <c r="L983" t="str">
        <f>_xlfn.XLOOKUP(Table1[[#This Row],[EducationField]],Table7[EducationField],Table7[Id_EducationField])</f>
        <v>EF004</v>
      </c>
      <c r="M983" t="s">
        <v>43</v>
      </c>
      <c r="N983" t="str">
        <f>_xlfn.XLOOKUP(Table1[[#This Row],[EmployeeNumber]],Table4[EmployeeNumber],Table4[Id_Employee])</f>
        <v>EMP00982</v>
      </c>
      <c r="O983">
        <v>1380</v>
      </c>
      <c r="P983" t="str">
        <f>_xlfn.XLOOKUP(Table1[[#This Row],[EnvironmentSatisfaction]],Table9[EnvironmentSatisfaction],Table9[Id_EnviromentSatisfaction])</f>
        <v>ES004</v>
      </c>
      <c r="Q983">
        <v>4</v>
      </c>
      <c r="R983" t="str">
        <f>_xlfn.XLOOKUP(Table1[[#This Row],[EnvironmentSatisfaction]],Table9[EnvironmentSatisfaction],Table9[Deskripsi])</f>
        <v>Very High</v>
      </c>
      <c r="S983" t="str">
        <f>_xlfn.XLOOKUP(Table1[[#This Row],[Gender]],Table10[Gender],Table10[Id_Gender])</f>
        <v>G001</v>
      </c>
      <c r="T983" t="s">
        <v>45</v>
      </c>
      <c r="U983">
        <v>67</v>
      </c>
      <c r="V983" t="str">
        <f>_xlfn.XLOOKUP(Table1[[#This Row],[JobInvolvement]],Table11[JobInvolvement],Table11[Id_JobInvolvement])</f>
        <v>JI003</v>
      </c>
      <c r="W983">
        <v>3</v>
      </c>
      <c r="X983" t="str">
        <f>_xlfn.XLOOKUP(Table1[[#This Row],[JobLevel]],Table12[JobLevel],Table12[Id_JobLevel])</f>
        <v>JL002</v>
      </c>
      <c r="Y983">
        <v>2</v>
      </c>
      <c r="Z983" t="str">
        <f>_xlfn.XLOOKUP(Table1[[#This Row],[JobRole]],Table13[JobRole],Table13[Id_JobRole])</f>
        <v>JR001</v>
      </c>
      <c r="AA983" t="s">
        <v>47</v>
      </c>
      <c r="AB983" t="str">
        <f>_xlfn.XLOOKUP(Table1[[#This Row],[JobSatisfaction]],Table14[JobSatisfaction],Table14[Id_JobSatisfaction])</f>
        <v>JS003</v>
      </c>
      <c r="AC983">
        <v>3</v>
      </c>
      <c r="AD983" t="str">
        <f>_xlfn.XLOOKUP(Table1[[#This Row],[JobSatisfaction]],Table14[JobSatisfaction],Table14[Deskripsi])</f>
        <v>High</v>
      </c>
      <c r="AE983" t="str">
        <f>_xlfn.XLOOKUP(Table1[[#This Row],[MaritalStatus]],Table15[MaritalStatus],Table15[Id_MaritalStatus])</f>
        <v>MS002</v>
      </c>
      <c r="AF983" t="s">
        <v>56</v>
      </c>
      <c r="AG983">
        <v>4614</v>
      </c>
      <c r="AH983">
        <v>23288</v>
      </c>
      <c r="AI983">
        <v>0</v>
      </c>
      <c r="AJ983" t="str">
        <f>_xlfn.XLOOKUP(Table1[[#This Row],[OverTime]],Table16[OverTime],Table16[Id_OverTime])</f>
        <v>OT001</v>
      </c>
      <c r="AK983" t="s">
        <v>32</v>
      </c>
      <c r="AL983">
        <v>18</v>
      </c>
      <c r="AM983" t="str">
        <f>_xlfn.XLOOKUP(Table1[[#This Row],[PerformanceRating]],Table17[PerformanceRating],Table17[Id_PerformanceRating])</f>
        <v>PR003</v>
      </c>
      <c r="AN983">
        <v>3</v>
      </c>
      <c r="AO983" t="str">
        <f>_xlfn.XLOOKUP(Table1[[#This Row],[PerformanceRating]],Table17[PerformanceRating],Table17[Deskripsi])</f>
        <v>Excellent</v>
      </c>
      <c r="AP983" t="str">
        <f>_xlfn.XLOOKUP(Table1[[#This Row],[RelationshipSatisfaction]],Table18[RelationshipSatisfaction],Table18[Id_RelationshipSatisfaction])</f>
        <v>RS003</v>
      </c>
      <c r="AQ983">
        <v>3</v>
      </c>
      <c r="AR983" t="str">
        <f>_xlfn.XLOOKUP(Table1[[#This Row],[RelationshipSatisfaction]],Table18[RelationshipSatisfaction],Table18[Deskripsi])</f>
        <v>High</v>
      </c>
      <c r="AS983" t="str">
        <f>_xlfn.XLOOKUP(Table1[[#This Row],[StockOptionLevel]],Table19[StockOptionLevel],Table19[Id_StockOptionLevel])</f>
        <v>SOL002</v>
      </c>
      <c r="AT983">
        <v>1</v>
      </c>
      <c r="AU983" t="str">
        <f>_xlfn.XLOOKUP(Table1[[#This Row],[StockOptionLevel]],Table19[StockOptionLevel],Table19[Deskripsi])</f>
        <v>Standard</v>
      </c>
      <c r="AV983">
        <v>5</v>
      </c>
      <c r="AW983">
        <v>0</v>
      </c>
      <c r="AX983" t="str">
        <f>_xlfn.XLOOKUP(Table1[[#This Row],[WorkLifeBalance]],Table20[WorkLifeBalance],Table20[Id_WorkLifeBalance])</f>
        <v>WLB003</v>
      </c>
      <c r="AY983">
        <v>2</v>
      </c>
      <c r="AZ983" t="str">
        <f>_xlfn.XLOOKUP(Table1[[#This Row],[WorkLifeBalance]],Table20[WorkLifeBalance],Table20[Deskripsi])</f>
        <v>Better</v>
      </c>
      <c r="BA983">
        <v>4</v>
      </c>
      <c r="BB983">
        <v>2</v>
      </c>
      <c r="BC983">
        <v>3</v>
      </c>
      <c r="BD983">
        <v>2</v>
      </c>
    </row>
    <row r="984" spans="1:56" x14ac:dyDescent="0.25">
      <c r="A984">
        <v>38</v>
      </c>
      <c r="B984" t="str">
        <f>_xlfn.XLOOKUP(Table1[[#This Row],[Attrition]],Table2[Attrition],Table2[Id_Attrition])</f>
        <v>A002</v>
      </c>
      <c r="C984" t="s">
        <v>33</v>
      </c>
      <c r="D984" t="str">
        <f>_xlfn.XLOOKUP(Table1[[#This Row],[BusinessTravel]],Table5[BusinessTravel],Table5[Id_BusinessTravel])</f>
        <v>BS002</v>
      </c>
      <c r="E984" t="s">
        <v>35</v>
      </c>
      <c r="F984">
        <v>693</v>
      </c>
      <c r="G984" t="str">
        <f>_xlfn.XLOOKUP(Table1[[#This Row],[Department]],Table6[Department],Table6[Id_Departement])</f>
        <v>D002</v>
      </c>
      <c r="H984" t="s">
        <v>38</v>
      </c>
      <c r="I984">
        <v>7</v>
      </c>
      <c r="J984" t="str">
        <f>_xlfn.XLOOKUP(Table1[[#This Row],[Education]],Table8[Education],Table8[Id_Education])</f>
        <v>E003</v>
      </c>
      <c r="K984">
        <v>3</v>
      </c>
      <c r="L984" t="str">
        <f>_xlfn.XLOOKUP(Table1[[#This Row],[EducationField]],Table7[EducationField],Table7[Id_EducationField])</f>
        <v>EF001</v>
      </c>
      <c r="M984" t="s">
        <v>40</v>
      </c>
      <c r="N984" t="str">
        <f>_xlfn.XLOOKUP(Table1[[#This Row],[EmployeeNumber]],Table4[EmployeeNumber],Table4[Id_Employee])</f>
        <v>EMP00983</v>
      </c>
      <c r="O984">
        <v>1382</v>
      </c>
      <c r="P984" t="str">
        <f>_xlfn.XLOOKUP(Table1[[#This Row],[EnvironmentSatisfaction]],Table9[EnvironmentSatisfaction],Table9[Id_EnviromentSatisfaction])</f>
        <v>ES004</v>
      </c>
      <c r="Q984">
        <v>4</v>
      </c>
      <c r="R984" t="str">
        <f>_xlfn.XLOOKUP(Table1[[#This Row],[EnvironmentSatisfaction]],Table9[EnvironmentSatisfaction],Table9[Deskripsi])</f>
        <v>Very High</v>
      </c>
      <c r="S984" t="str">
        <f>_xlfn.XLOOKUP(Table1[[#This Row],[Gender]],Table10[Gender],Table10[Id_Gender])</f>
        <v>G002</v>
      </c>
      <c r="T984" t="s">
        <v>46</v>
      </c>
      <c r="U984">
        <v>57</v>
      </c>
      <c r="V984" t="str">
        <f>_xlfn.XLOOKUP(Table1[[#This Row],[JobInvolvement]],Table11[JobInvolvement],Table11[Id_JobInvolvement])</f>
        <v>JI004</v>
      </c>
      <c r="W984">
        <v>4</v>
      </c>
      <c r="X984" t="str">
        <f>_xlfn.XLOOKUP(Table1[[#This Row],[JobLevel]],Table12[JobLevel],Table12[Id_JobLevel])</f>
        <v>JL001</v>
      </c>
      <c r="Y984">
        <v>1</v>
      </c>
      <c r="Z984" t="str">
        <f>_xlfn.XLOOKUP(Table1[[#This Row],[JobRole]],Table13[JobRole],Table13[Id_JobRole])</f>
        <v>JR002</v>
      </c>
      <c r="AA984" t="s">
        <v>48</v>
      </c>
      <c r="AB984" t="str">
        <f>_xlfn.XLOOKUP(Table1[[#This Row],[JobSatisfaction]],Table14[JobSatisfaction],Table14[Id_JobSatisfaction])</f>
        <v>JS003</v>
      </c>
      <c r="AC984">
        <v>3</v>
      </c>
      <c r="AD984" t="str">
        <f>_xlfn.XLOOKUP(Table1[[#This Row],[JobSatisfaction]],Table14[JobSatisfaction],Table14[Deskripsi])</f>
        <v>High</v>
      </c>
      <c r="AE984" t="str">
        <f>_xlfn.XLOOKUP(Table1[[#This Row],[MaritalStatus]],Table15[MaritalStatus],Table15[Id_MaritalStatus])</f>
        <v>MS003</v>
      </c>
      <c r="AF984" t="s">
        <v>57</v>
      </c>
      <c r="AG984">
        <v>2610</v>
      </c>
      <c r="AH984">
        <v>15748</v>
      </c>
      <c r="AI984">
        <v>1</v>
      </c>
      <c r="AJ984" t="str">
        <f>_xlfn.XLOOKUP(Table1[[#This Row],[OverTime]],Table16[OverTime],Table16[Id_OverTime])</f>
        <v>OT002</v>
      </c>
      <c r="AK984" t="s">
        <v>33</v>
      </c>
      <c r="AL984">
        <v>11</v>
      </c>
      <c r="AM984" t="str">
        <f>_xlfn.XLOOKUP(Table1[[#This Row],[PerformanceRating]],Table17[PerformanceRating],Table17[Id_PerformanceRating])</f>
        <v>PR003</v>
      </c>
      <c r="AN984">
        <v>3</v>
      </c>
      <c r="AO984" t="str">
        <f>_xlfn.XLOOKUP(Table1[[#This Row],[PerformanceRating]],Table17[PerformanceRating],Table17[Deskripsi])</f>
        <v>Excellent</v>
      </c>
      <c r="AP984" t="str">
        <f>_xlfn.XLOOKUP(Table1[[#This Row],[RelationshipSatisfaction]],Table18[RelationshipSatisfaction],Table18[Id_RelationshipSatisfaction])</f>
        <v>RS004</v>
      </c>
      <c r="AQ984">
        <v>4</v>
      </c>
      <c r="AR984" t="str">
        <f>_xlfn.XLOOKUP(Table1[[#This Row],[RelationshipSatisfaction]],Table18[RelationshipSatisfaction],Table18[Deskripsi])</f>
        <v>Very High</v>
      </c>
      <c r="AS984" t="str">
        <f>_xlfn.XLOOKUP(Table1[[#This Row],[StockOptionLevel]],Table19[StockOptionLevel],Table19[Id_StockOptionLevel])</f>
        <v>SOL004</v>
      </c>
      <c r="AT984">
        <v>3</v>
      </c>
      <c r="AU984" t="str">
        <f>_xlfn.XLOOKUP(Table1[[#This Row],[StockOptionLevel]],Table19[StockOptionLevel],Table19[Deskripsi])</f>
        <v>Senior/Executive</v>
      </c>
      <c r="AV984">
        <v>4</v>
      </c>
      <c r="AW984">
        <v>2</v>
      </c>
      <c r="AX984" t="str">
        <f>_xlfn.XLOOKUP(Table1[[#This Row],[WorkLifeBalance]],Table20[WorkLifeBalance],Table20[Id_WorkLifeBalance])</f>
        <v>WLB002</v>
      </c>
      <c r="AY984">
        <v>3</v>
      </c>
      <c r="AZ984" t="str">
        <f>_xlfn.XLOOKUP(Table1[[#This Row],[WorkLifeBalance]],Table20[WorkLifeBalance],Table20[Deskripsi])</f>
        <v>Good</v>
      </c>
      <c r="BA984">
        <v>4</v>
      </c>
      <c r="BB984">
        <v>2</v>
      </c>
      <c r="BC984">
        <v>0</v>
      </c>
      <c r="BD984">
        <v>3</v>
      </c>
    </row>
    <row r="985" spans="1:56" x14ac:dyDescent="0.25">
      <c r="A985">
        <v>34</v>
      </c>
      <c r="B985" t="str">
        <f>_xlfn.XLOOKUP(Table1[[#This Row],[Attrition]],Table2[Attrition],Table2[Id_Attrition])</f>
        <v>A002</v>
      </c>
      <c r="C985" t="s">
        <v>33</v>
      </c>
      <c r="D985" t="str">
        <f>_xlfn.XLOOKUP(Table1[[#This Row],[BusinessTravel]],Table5[BusinessTravel],Table5[Id_BusinessTravel])</f>
        <v>BS001</v>
      </c>
      <c r="E985" t="s">
        <v>34</v>
      </c>
      <c r="F985">
        <v>404</v>
      </c>
      <c r="G985" t="str">
        <f>_xlfn.XLOOKUP(Table1[[#This Row],[Department]],Table6[Department],Table6[Id_Departement])</f>
        <v>D002</v>
      </c>
      <c r="H985" t="s">
        <v>38</v>
      </c>
      <c r="I985">
        <v>2</v>
      </c>
      <c r="J985" t="str">
        <f>_xlfn.XLOOKUP(Table1[[#This Row],[Education]],Table8[Education],Table8[Id_Education])</f>
        <v>E004</v>
      </c>
      <c r="K985">
        <v>4</v>
      </c>
      <c r="L985" t="str">
        <f>_xlfn.XLOOKUP(Table1[[#This Row],[EducationField]],Table7[EducationField],Table7[Id_EducationField])</f>
        <v>EF005</v>
      </c>
      <c r="M985" t="s">
        <v>44</v>
      </c>
      <c r="N985" t="str">
        <f>_xlfn.XLOOKUP(Table1[[#This Row],[EmployeeNumber]],Table4[EmployeeNumber],Table4[Id_Employee])</f>
        <v>EMP00984</v>
      </c>
      <c r="O985">
        <v>1383</v>
      </c>
      <c r="P985" t="str">
        <f>_xlfn.XLOOKUP(Table1[[#This Row],[EnvironmentSatisfaction]],Table9[EnvironmentSatisfaction],Table9[Id_EnviromentSatisfaction])</f>
        <v>ES003</v>
      </c>
      <c r="Q985">
        <v>3</v>
      </c>
      <c r="R985" t="str">
        <f>_xlfn.XLOOKUP(Table1[[#This Row],[EnvironmentSatisfaction]],Table9[EnvironmentSatisfaction],Table9[Deskripsi])</f>
        <v>High</v>
      </c>
      <c r="S985" t="str">
        <f>_xlfn.XLOOKUP(Table1[[#This Row],[Gender]],Table10[Gender],Table10[Id_Gender])</f>
        <v>G001</v>
      </c>
      <c r="T985" t="s">
        <v>45</v>
      </c>
      <c r="U985">
        <v>98</v>
      </c>
      <c r="V985" t="str">
        <f>_xlfn.XLOOKUP(Table1[[#This Row],[JobInvolvement]],Table11[JobInvolvement],Table11[Id_JobInvolvement])</f>
        <v>JI003</v>
      </c>
      <c r="W985">
        <v>3</v>
      </c>
      <c r="X985" t="str">
        <f>_xlfn.XLOOKUP(Table1[[#This Row],[JobLevel]],Table12[JobLevel],Table12[Id_JobLevel])</f>
        <v>JL002</v>
      </c>
      <c r="Y985">
        <v>2</v>
      </c>
      <c r="Z985" t="str">
        <f>_xlfn.XLOOKUP(Table1[[#This Row],[JobRole]],Table13[JobRole],Table13[Id_JobRole])</f>
        <v>JR005</v>
      </c>
      <c r="AA985" t="s">
        <v>51</v>
      </c>
      <c r="AB985" t="str">
        <f>_xlfn.XLOOKUP(Table1[[#This Row],[JobSatisfaction]],Table14[JobSatisfaction],Table14[Id_JobSatisfaction])</f>
        <v>JS004</v>
      </c>
      <c r="AC985">
        <v>4</v>
      </c>
      <c r="AD985" t="str">
        <f>_xlfn.XLOOKUP(Table1[[#This Row],[JobSatisfaction]],Table14[JobSatisfaction],Table14[Deskripsi])</f>
        <v>Very High</v>
      </c>
      <c r="AE985" t="str">
        <f>_xlfn.XLOOKUP(Table1[[#This Row],[MaritalStatus]],Table15[MaritalStatus],Table15[Id_MaritalStatus])</f>
        <v>MS001</v>
      </c>
      <c r="AF985" t="s">
        <v>55</v>
      </c>
      <c r="AG985">
        <v>6687</v>
      </c>
      <c r="AH985">
        <v>6163</v>
      </c>
      <c r="AI985">
        <v>1</v>
      </c>
      <c r="AJ985" t="str">
        <f>_xlfn.XLOOKUP(Table1[[#This Row],[OverTime]],Table16[OverTime],Table16[Id_OverTime])</f>
        <v>OT002</v>
      </c>
      <c r="AK985" t="s">
        <v>33</v>
      </c>
      <c r="AL985">
        <v>11</v>
      </c>
      <c r="AM985" t="str">
        <f>_xlfn.XLOOKUP(Table1[[#This Row],[PerformanceRating]],Table17[PerformanceRating],Table17[Id_PerformanceRating])</f>
        <v>PR003</v>
      </c>
      <c r="AN985">
        <v>3</v>
      </c>
      <c r="AO985" t="str">
        <f>_xlfn.XLOOKUP(Table1[[#This Row],[PerformanceRating]],Table17[PerformanceRating],Table17[Deskripsi])</f>
        <v>Excellent</v>
      </c>
      <c r="AP985" t="str">
        <f>_xlfn.XLOOKUP(Table1[[#This Row],[RelationshipSatisfaction]],Table18[RelationshipSatisfaction],Table18[Id_RelationshipSatisfaction])</f>
        <v>RS004</v>
      </c>
      <c r="AQ985">
        <v>4</v>
      </c>
      <c r="AR985" t="str">
        <f>_xlfn.XLOOKUP(Table1[[#This Row],[RelationshipSatisfaction]],Table18[RelationshipSatisfaction],Table18[Deskripsi])</f>
        <v>Very High</v>
      </c>
      <c r="AS985" t="str">
        <f>_xlfn.XLOOKUP(Table1[[#This Row],[StockOptionLevel]],Table19[StockOptionLevel],Table19[Id_StockOptionLevel])</f>
        <v>SOL001</v>
      </c>
      <c r="AT985">
        <v>0</v>
      </c>
      <c r="AU985" t="str">
        <f>_xlfn.XLOOKUP(Table1[[#This Row],[StockOptionLevel]],Table19[StockOptionLevel],Table19[Deskripsi])</f>
        <v>Non-Eligible</v>
      </c>
      <c r="AV985">
        <v>14</v>
      </c>
      <c r="AW985">
        <v>2</v>
      </c>
      <c r="AX985" t="str">
        <f>_xlfn.XLOOKUP(Table1[[#This Row],[WorkLifeBalance]],Table20[WorkLifeBalance],Table20[Id_WorkLifeBalance])</f>
        <v>WLB004</v>
      </c>
      <c r="AY985">
        <v>4</v>
      </c>
      <c r="AZ985" t="str">
        <f>_xlfn.XLOOKUP(Table1[[#This Row],[WorkLifeBalance]],Table20[WorkLifeBalance],Table20[Deskripsi])</f>
        <v>Best</v>
      </c>
      <c r="BA985">
        <v>14</v>
      </c>
      <c r="BB985">
        <v>11</v>
      </c>
      <c r="BC985">
        <v>4</v>
      </c>
      <c r="BD985">
        <v>11</v>
      </c>
    </row>
    <row r="986" spans="1:56" x14ac:dyDescent="0.25">
      <c r="A986">
        <v>28</v>
      </c>
      <c r="B986" t="str">
        <f>_xlfn.XLOOKUP(Table1[[#This Row],[Attrition]],Table2[Attrition],Table2[Id_Attrition])</f>
        <v>A002</v>
      </c>
      <c r="C986" t="s">
        <v>33</v>
      </c>
      <c r="D986" t="str">
        <f>_xlfn.XLOOKUP(Table1[[#This Row],[BusinessTravel]],Table5[BusinessTravel],Table5[Id_BusinessTravel])</f>
        <v>BS001</v>
      </c>
      <c r="E986" t="s">
        <v>34</v>
      </c>
      <c r="F986">
        <v>736</v>
      </c>
      <c r="G986" t="str">
        <f>_xlfn.XLOOKUP(Table1[[#This Row],[Department]],Table6[Department],Table6[Id_Departement])</f>
        <v>D001</v>
      </c>
      <c r="H986" t="s">
        <v>37</v>
      </c>
      <c r="I986">
        <v>26</v>
      </c>
      <c r="J986" t="str">
        <f>_xlfn.XLOOKUP(Table1[[#This Row],[Education]],Table8[Education],Table8[Id_Education])</f>
        <v>E003</v>
      </c>
      <c r="K986">
        <v>3</v>
      </c>
      <c r="L986" t="str">
        <f>_xlfn.XLOOKUP(Table1[[#This Row],[EducationField]],Table7[EducationField],Table7[Id_EducationField])</f>
        <v>EF001</v>
      </c>
      <c r="M986" t="s">
        <v>40</v>
      </c>
      <c r="N986" t="str">
        <f>_xlfn.XLOOKUP(Table1[[#This Row],[EmployeeNumber]],Table4[EmployeeNumber],Table4[Id_Employee])</f>
        <v>EMP00985</v>
      </c>
      <c r="O986">
        <v>1387</v>
      </c>
      <c r="P986" t="str">
        <f>_xlfn.XLOOKUP(Table1[[#This Row],[EnvironmentSatisfaction]],Table9[EnvironmentSatisfaction],Table9[Id_EnviromentSatisfaction])</f>
        <v>ES003</v>
      </c>
      <c r="Q986">
        <v>3</v>
      </c>
      <c r="R986" t="str">
        <f>_xlfn.XLOOKUP(Table1[[#This Row],[EnvironmentSatisfaction]],Table9[EnvironmentSatisfaction],Table9[Deskripsi])</f>
        <v>High</v>
      </c>
      <c r="S986" t="str">
        <f>_xlfn.XLOOKUP(Table1[[#This Row],[Gender]],Table10[Gender],Table10[Id_Gender])</f>
        <v>G002</v>
      </c>
      <c r="T986" t="s">
        <v>46</v>
      </c>
      <c r="U986">
        <v>48</v>
      </c>
      <c r="V986" t="str">
        <f>_xlfn.XLOOKUP(Table1[[#This Row],[JobInvolvement]],Table11[JobInvolvement],Table11[Id_JobInvolvement])</f>
        <v>JI002</v>
      </c>
      <c r="W986">
        <v>2</v>
      </c>
      <c r="X986" t="str">
        <f>_xlfn.XLOOKUP(Table1[[#This Row],[JobLevel]],Table12[JobLevel],Table12[Id_JobLevel])</f>
        <v>JL002</v>
      </c>
      <c r="Y986">
        <v>2</v>
      </c>
      <c r="Z986" t="str">
        <f>_xlfn.XLOOKUP(Table1[[#This Row],[JobRole]],Table13[JobRole],Table13[Id_JobRole])</f>
        <v>JR001</v>
      </c>
      <c r="AA986" t="s">
        <v>47</v>
      </c>
      <c r="AB986" t="str">
        <f>_xlfn.XLOOKUP(Table1[[#This Row],[JobSatisfaction]],Table14[JobSatisfaction],Table14[Id_JobSatisfaction])</f>
        <v>JS001</v>
      </c>
      <c r="AC986">
        <v>1</v>
      </c>
      <c r="AD986" t="str">
        <f>_xlfn.XLOOKUP(Table1[[#This Row],[JobSatisfaction]],Table14[JobSatisfaction],Table14[Deskripsi])</f>
        <v>Low</v>
      </c>
      <c r="AE986" t="str">
        <f>_xlfn.XLOOKUP(Table1[[#This Row],[MaritalStatus]],Table15[MaritalStatus],Table15[Id_MaritalStatus])</f>
        <v>MS002</v>
      </c>
      <c r="AF986" t="s">
        <v>56</v>
      </c>
      <c r="AG986">
        <v>4724</v>
      </c>
      <c r="AH986">
        <v>24232</v>
      </c>
      <c r="AI986">
        <v>1</v>
      </c>
      <c r="AJ986" t="str">
        <f>_xlfn.XLOOKUP(Table1[[#This Row],[OverTime]],Table16[OverTime],Table16[Id_OverTime])</f>
        <v>OT002</v>
      </c>
      <c r="AK986" t="s">
        <v>33</v>
      </c>
      <c r="AL986">
        <v>11</v>
      </c>
      <c r="AM986" t="str">
        <f>_xlfn.XLOOKUP(Table1[[#This Row],[PerformanceRating]],Table17[PerformanceRating],Table17[Id_PerformanceRating])</f>
        <v>PR003</v>
      </c>
      <c r="AN986">
        <v>3</v>
      </c>
      <c r="AO986" t="str">
        <f>_xlfn.XLOOKUP(Table1[[#This Row],[PerformanceRating]],Table17[PerformanceRating],Table17[Deskripsi])</f>
        <v>Excellent</v>
      </c>
      <c r="AP986" t="str">
        <f>_xlfn.XLOOKUP(Table1[[#This Row],[RelationshipSatisfaction]],Table18[RelationshipSatisfaction],Table18[Id_RelationshipSatisfaction])</f>
        <v>RS003</v>
      </c>
      <c r="AQ986">
        <v>3</v>
      </c>
      <c r="AR986" t="str">
        <f>_xlfn.XLOOKUP(Table1[[#This Row],[RelationshipSatisfaction]],Table18[RelationshipSatisfaction],Table18[Deskripsi])</f>
        <v>High</v>
      </c>
      <c r="AS986" t="str">
        <f>_xlfn.XLOOKUP(Table1[[#This Row],[StockOptionLevel]],Table19[StockOptionLevel],Table19[Id_StockOptionLevel])</f>
        <v>SOL002</v>
      </c>
      <c r="AT986">
        <v>1</v>
      </c>
      <c r="AU986" t="str">
        <f>_xlfn.XLOOKUP(Table1[[#This Row],[StockOptionLevel]],Table19[StockOptionLevel],Table19[Deskripsi])</f>
        <v>Standard</v>
      </c>
      <c r="AV986">
        <v>5</v>
      </c>
      <c r="AW986">
        <v>0</v>
      </c>
      <c r="AX986" t="str">
        <f>_xlfn.XLOOKUP(Table1[[#This Row],[WorkLifeBalance]],Table20[WorkLifeBalance],Table20[Id_WorkLifeBalance])</f>
        <v>WLB002</v>
      </c>
      <c r="AY986">
        <v>3</v>
      </c>
      <c r="AZ986" t="str">
        <f>_xlfn.XLOOKUP(Table1[[#This Row],[WorkLifeBalance]],Table20[WorkLifeBalance],Table20[Deskripsi])</f>
        <v>Good</v>
      </c>
      <c r="BA986">
        <v>5</v>
      </c>
      <c r="BB986">
        <v>3</v>
      </c>
      <c r="BC986">
        <v>0</v>
      </c>
      <c r="BD986">
        <v>4</v>
      </c>
    </row>
    <row r="987" spans="1:56" x14ac:dyDescent="0.25">
      <c r="A987">
        <v>31</v>
      </c>
      <c r="B987" t="str">
        <f>_xlfn.XLOOKUP(Table1[[#This Row],[Attrition]],Table2[Attrition],Table2[Id_Attrition])</f>
        <v>A001</v>
      </c>
      <c r="C987" t="s">
        <v>32</v>
      </c>
      <c r="D987" t="str">
        <f>_xlfn.XLOOKUP(Table1[[#This Row],[BusinessTravel]],Table5[BusinessTravel],Table5[Id_BusinessTravel])</f>
        <v>BS001</v>
      </c>
      <c r="E987" t="s">
        <v>34</v>
      </c>
      <c r="F987">
        <v>330</v>
      </c>
      <c r="G987" t="str">
        <f>_xlfn.XLOOKUP(Table1[[#This Row],[Department]],Table6[Department],Table6[Id_Departement])</f>
        <v>D002</v>
      </c>
      <c r="H987" t="s">
        <v>38</v>
      </c>
      <c r="I987">
        <v>22</v>
      </c>
      <c r="J987" t="str">
        <f>_xlfn.XLOOKUP(Table1[[#This Row],[Education]],Table8[Education],Table8[Id_Education])</f>
        <v>E004</v>
      </c>
      <c r="K987">
        <v>4</v>
      </c>
      <c r="L987" t="str">
        <f>_xlfn.XLOOKUP(Table1[[#This Row],[EducationField]],Table7[EducationField],Table7[Id_EducationField])</f>
        <v>EF003</v>
      </c>
      <c r="M987" t="s">
        <v>42</v>
      </c>
      <c r="N987" t="str">
        <f>_xlfn.XLOOKUP(Table1[[#This Row],[EmployeeNumber]],Table4[EmployeeNumber],Table4[Id_Employee])</f>
        <v>EMP00986</v>
      </c>
      <c r="O987">
        <v>1389</v>
      </c>
      <c r="P987" t="str">
        <f>_xlfn.XLOOKUP(Table1[[#This Row],[EnvironmentSatisfaction]],Table9[EnvironmentSatisfaction],Table9[Id_EnviromentSatisfaction])</f>
        <v>ES004</v>
      </c>
      <c r="Q987">
        <v>4</v>
      </c>
      <c r="R987" t="str">
        <f>_xlfn.XLOOKUP(Table1[[#This Row],[EnvironmentSatisfaction]],Table9[EnvironmentSatisfaction],Table9[Deskripsi])</f>
        <v>Very High</v>
      </c>
      <c r="S987" t="str">
        <f>_xlfn.XLOOKUP(Table1[[#This Row],[Gender]],Table10[Gender],Table10[Id_Gender])</f>
        <v>G002</v>
      </c>
      <c r="T987" t="s">
        <v>46</v>
      </c>
      <c r="U987">
        <v>98</v>
      </c>
      <c r="V987" t="str">
        <f>_xlfn.XLOOKUP(Table1[[#This Row],[JobInvolvement]],Table11[JobInvolvement],Table11[Id_JobInvolvement])</f>
        <v>JI003</v>
      </c>
      <c r="W987">
        <v>3</v>
      </c>
      <c r="X987" t="str">
        <f>_xlfn.XLOOKUP(Table1[[#This Row],[JobLevel]],Table12[JobLevel],Table12[Id_JobLevel])</f>
        <v>JL002</v>
      </c>
      <c r="Y987">
        <v>2</v>
      </c>
      <c r="Z987" t="str">
        <f>_xlfn.XLOOKUP(Table1[[#This Row],[JobRole]],Table13[JobRole],Table13[Id_JobRole])</f>
        <v>JR004</v>
      </c>
      <c r="AA987" t="s">
        <v>50</v>
      </c>
      <c r="AB987" t="str">
        <f>_xlfn.XLOOKUP(Table1[[#This Row],[JobSatisfaction]],Table14[JobSatisfaction],Table14[Id_JobSatisfaction])</f>
        <v>JS003</v>
      </c>
      <c r="AC987">
        <v>3</v>
      </c>
      <c r="AD987" t="str">
        <f>_xlfn.XLOOKUP(Table1[[#This Row],[JobSatisfaction]],Table14[JobSatisfaction],Table14[Deskripsi])</f>
        <v>High</v>
      </c>
      <c r="AE987" t="str">
        <f>_xlfn.XLOOKUP(Table1[[#This Row],[MaritalStatus]],Table15[MaritalStatus],Table15[Id_MaritalStatus])</f>
        <v>MS002</v>
      </c>
      <c r="AF987" t="s">
        <v>56</v>
      </c>
      <c r="AG987">
        <v>6179</v>
      </c>
      <c r="AH987">
        <v>21057</v>
      </c>
      <c r="AI987">
        <v>1</v>
      </c>
      <c r="AJ987" t="str">
        <f>_xlfn.XLOOKUP(Table1[[#This Row],[OverTime]],Table16[OverTime],Table16[Id_OverTime])</f>
        <v>OT001</v>
      </c>
      <c r="AK987" t="s">
        <v>32</v>
      </c>
      <c r="AL987">
        <v>15</v>
      </c>
      <c r="AM987" t="str">
        <f>_xlfn.XLOOKUP(Table1[[#This Row],[PerformanceRating]],Table17[PerformanceRating],Table17[Id_PerformanceRating])</f>
        <v>PR003</v>
      </c>
      <c r="AN987">
        <v>3</v>
      </c>
      <c r="AO987" t="str">
        <f>_xlfn.XLOOKUP(Table1[[#This Row],[PerformanceRating]],Table17[PerformanceRating],Table17[Deskripsi])</f>
        <v>Excellent</v>
      </c>
      <c r="AP987" t="str">
        <f>_xlfn.XLOOKUP(Table1[[#This Row],[RelationshipSatisfaction]],Table18[RelationshipSatisfaction],Table18[Id_RelationshipSatisfaction])</f>
        <v>RS004</v>
      </c>
      <c r="AQ987">
        <v>4</v>
      </c>
      <c r="AR987" t="str">
        <f>_xlfn.XLOOKUP(Table1[[#This Row],[RelationshipSatisfaction]],Table18[RelationshipSatisfaction],Table18[Deskripsi])</f>
        <v>Very High</v>
      </c>
      <c r="AS987" t="str">
        <f>_xlfn.XLOOKUP(Table1[[#This Row],[StockOptionLevel]],Table19[StockOptionLevel],Table19[Id_StockOptionLevel])</f>
        <v>SOL003</v>
      </c>
      <c r="AT987">
        <v>2</v>
      </c>
      <c r="AU987" t="str">
        <f>_xlfn.XLOOKUP(Table1[[#This Row],[StockOptionLevel]],Table19[StockOptionLevel],Table19[Deskripsi])</f>
        <v>Intermediate</v>
      </c>
      <c r="AV987">
        <v>10</v>
      </c>
      <c r="AW987">
        <v>3</v>
      </c>
      <c r="AX987" t="str">
        <f>_xlfn.XLOOKUP(Table1[[#This Row],[WorkLifeBalance]],Table20[WorkLifeBalance],Table20[Id_WorkLifeBalance])</f>
        <v>WLB003</v>
      </c>
      <c r="AY987">
        <v>2</v>
      </c>
      <c r="AZ987" t="str">
        <f>_xlfn.XLOOKUP(Table1[[#This Row],[WorkLifeBalance]],Table20[WorkLifeBalance],Table20[Deskripsi])</f>
        <v>Better</v>
      </c>
      <c r="BA987">
        <v>10</v>
      </c>
      <c r="BB987">
        <v>2</v>
      </c>
      <c r="BC987">
        <v>6</v>
      </c>
      <c r="BD987">
        <v>7</v>
      </c>
    </row>
    <row r="988" spans="1:56" x14ac:dyDescent="0.25">
      <c r="A988">
        <v>39</v>
      </c>
      <c r="B988" t="str">
        <f>_xlfn.XLOOKUP(Table1[[#This Row],[Attrition]],Table2[Attrition],Table2[Id_Attrition])</f>
        <v>A002</v>
      </c>
      <c r="C988" t="s">
        <v>33</v>
      </c>
      <c r="D988" t="str">
        <f>_xlfn.XLOOKUP(Table1[[#This Row],[BusinessTravel]],Table5[BusinessTravel],Table5[Id_BusinessTravel])</f>
        <v>BS001</v>
      </c>
      <c r="E988" t="s">
        <v>34</v>
      </c>
      <c r="F988">
        <v>1498</v>
      </c>
      <c r="G988" t="str">
        <f>_xlfn.XLOOKUP(Table1[[#This Row],[Department]],Table6[Department],Table6[Id_Departement])</f>
        <v>D001</v>
      </c>
      <c r="H988" t="s">
        <v>37</v>
      </c>
      <c r="I988">
        <v>21</v>
      </c>
      <c r="J988" t="str">
        <f>_xlfn.XLOOKUP(Table1[[#This Row],[Education]],Table8[Education],Table8[Id_Education])</f>
        <v>E004</v>
      </c>
      <c r="K988">
        <v>4</v>
      </c>
      <c r="L988" t="str">
        <f>_xlfn.XLOOKUP(Table1[[#This Row],[EducationField]],Table7[EducationField],Table7[Id_EducationField])</f>
        <v>EF001</v>
      </c>
      <c r="M988" t="s">
        <v>40</v>
      </c>
      <c r="N988" t="str">
        <f>_xlfn.XLOOKUP(Table1[[#This Row],[EmployeeNumber]],Table4[EmployeeNumber],Table4[Id_Employee])</f>
        <v>EMP00987</v>
      </c>
      <c r="O988">
        <v>1390</v>
      </c>
      <c r="P988" t="str">
        <f>_xlfn.XLOOKUP(Table1[[#This Row],[EnvironmentSatisfaction]],Table9[EnvironmentSatisfaction],Table9[Id_EnviromentSatisfaction])</f>
        <v>ES001</v>
      </c>
      <c r="Q988">
        <v>1</v>
      </c>
      <c r="R988" t="str">
        <f>_xlfn.XLOOKUP(Table1[[#This Row],[EnvironmentSatisfaction]],Table9[EnvironmentSatisfaction],Table9[Deskripsi])</f>
        <v>Low</v>
      </c>
      <c r="S988" t="str">
        <f>_xlfn.XLOOKUP(Table1[[#This Row],[Gender]],Table10[Gender],Table10[Id_Gender])</f>
        <v>G002</v>
      </c>
      <c r="T988" t="s">
        <v>46</v>
      </c>
      <c r="U988">
        <v>44</v>
      </c>
      <c r="V988" t="str">
        <f>_xlfn.XLOOKUP(Table1[[#This Row],[JobInvolvement]],Table11[JobInvolvement],Table11[Id_JobInvolvement])</f>
        <v>JI002</v>
      </c>
      <c r="W988">
        <v>2</v>
      </c>
      <c r="X988" t="str">
        <f>_xlfn.XLOOKUP(Table1[[#This Row],[JobLevel]],Table12[JobLevel],Table12[Id_JobLevel])</f>
        <v>JL002</v>
      </c>
      <c r="Y988">
        <v>2</v>
      </c>
      <c r="Z988" t="str">
        <f>_xlfn.XLOOKUP(Table1[[#This Row],[JobRole]],Table13[JobRole],Table13[Id_JobRole])</f>
        <v>JR001</v>
      </c>
      <c r="AA988" t="s">
        <v>47</v>
      </c>
      <c r="AB988" t="str">
        <f>_xlfn.XLOOKUP(Table1[[#This Row],[JobSatisfaction]],Table14[JobSatisfaction],Table14[Id_JobSatisfaction])</f>
        <v>JS004</v>
      </c>
      <c r="AC988">
        <v>4</v>
      </c>
      <c r="AD988" t="str">
        <f>_xlfn.XLOOKUP(Table1[[#This Row],[JobSatisfaction]],Table14[JobSatisfaction],Table14[Deskripsi])</f>
        <v>Very High</v>
      </c>
      <c r="AE988" t="str">
        <f>_xlfn.XLOOKUP(Table1[[#This Row],[MaritalStatus]],Table15[MaritalStatus],Table15[Id_MaritalStatus])</f>
        <v>MS002</v>
      </c>
      <c r="AF988" t="s">
        <v>56</v>
      </c>
      <c r="AG988">
        <v>6120</v>
      </c>
      <c r="AH988">
        <v>3567</v>
      </c>
      <c r="AI988">
        <v>3</v>
      </c>
      <c r="AJ988" t="str">
        <f>_xlfn.XLOOKUP(Table1[[#This Row],[OverTime]],Table16[OverTime],Table16[Id_OverTime])</f>
        <v>OT001</v>
      </c>
      <c r="AK988" t="s">
        <v>32</v>
      </c>
      <c r="AL988">
        <v>12</v>
      </c>
      <c r="AM988" t="str">
        <f>_xlfn.XLOOKUP(Table1[[#This Row],[PerformanceRating]],Table17[PerformanceRating],Table17[Id_PerformanceRating])</f>
        <v>PR003</v>
      </c>
      <c r="AN988">
        <v>3</v>
      </c>
      <c r="AO988" t="str">
        <f>_xlfn.XLOOKUP(Table1[[#This Row],[PerformanceRating]],Table17[PerformanceRating],Table17[Deskripsi])</f>
        <v>Excellent</v>
      </c>
      <c r="AP988" t="str">
        <f>_xlfn.XLOOKUP(Table1[[#This Row],[RelationshipSatisfaction]],Table18[RelationshipSatisfaction],Table18[Id_RelationshipSatisfaction])</f>
        <v>RS004</v>
      </c>
      <c r="AQ988">
        <v>4</v>
      </c>
      <c r="AR988" t="str">
        <f>_xlfn.XLOOKUP(Table1[[#This Row],[RelationshipSatisfaction]],Table18[RelationshipSatisfaction],Table18[Deskripsi])</f>
        <v>Very High</v>
      </c>
      <c r="AS988" t="str">
        <f>_xlfn.XLOOKUP(Table1[[#This Row],[StockOptionLevel]],Table19[StockOptionLevel],Table19[Id_StockOptionLevel])</f>
        <v>SOL003</v>
      </c>
      <c r="AT988">
        <v>2</v>
      </c>
      <c r="AU988" t="str">
        <f>_xlfn.XLOOKUP(Table1[[#This Row],[StockOptionLevel]],Table19[StockOptionLevel],Table19[Deskripsi])</f>
        <v>Intermediate</v>
      </c>
      <c r="AV988">
        <v>8</v>
      </c>
      <c r="AW988">
        <v>2</v>
      </c>
      <c r="AX988" t="str">
        <f>_xlfn.XLOOKUP(Table1[[#This Row],[WorkLifeBalance]],Table20[WorkLifeBalance],Table20[Id_WorkLifeBalance])</f>
        <v>WLB004</v>
      </c>
      <c r="AY988">
        <v>4</v>
      </c>
      <c r="AZ988" t="str">
        <f>_xlfn.XLOOKUP(Table1[[#This Row],[WorkLifeBalance]],Table20[WorkLifeBalance],Table20[Deskripsi])</f>
        <v>Best</v>
      </c>
      <c r="BA988">
        <v>5</v>
      </c>
      <c r="BB988">
        <v>4</v>
      </c>
      <c r="BC988">
        <v>1</v>
      </c>
      <c r="BD988">
        <v>4</v>
      </c>
    </row>
    <row r="989" spans="1:56" x14ac:dyDescent="0.25">
      <c r="A989">
        <v>51</v>
      </c>
      <c r="B989" t="str">
        <f>_xlfn.XLOOKUP(Table1[[#This Row],[Attrition]],Table2[Attrition],Table2[Id_Attrition])</f>
        <v>A002</v>
      </c>
      <c r="C989" t="s">
        <v>33</v>
      </c>
      <c r="D989" t="str">
        <f>_xlfn.XLOOKUP(Table1[[#This Row],[BusinessTravel]],Table5[BusinessTravel],Table5[Id_BusinessTravel])</f>
        <v>BS002</v>
      </c>
      <c r="E989" t="s">
        <v>35</v>
      </c>
      <c r="F989">
        <v>541</v>
      </c>
      <c r="G989" t="str">
        <f>_xlfn.XLOOKUP(Table1[[#This Row],[Department]],Table6[Department],Table6[Id_Departement])</f>
        <v>D001</v>
      </c>
      <c r="H989" t="s">
        <v>37</v>
      </c>
      <c r="I989">
        <v>2</v>
      </c>
      <c r="J989" t="str">
        <f>_xlfn.XLOOKUP(Table1[[#This Row],[Education]],Table8[Education],Table8[Id_Education])</f>
        <v>E003</v>
      </c>
      <c r="K989">
        <v>3</v>
      </c>
      <c r="L989" t="str">
        <f>_xlfn.XLOOKUP(Table1[[#This Row],[EducationField]],Table7[EducationField],Table7[Id_EducationField])</f>
        <v>EF004</v>
      </c>
      <c r="M989" t="s">
        <v>43</v>
      </c>
      <c r="N989" t="str">
        <f>_xlfn.XLOOKUP(Table1[[#This Row],[EmployeeNumber]],Table4[EmployeeNumber],Table4[Id_Employee])</f>
        <v>EMP00988</v>
      </c>
      <c r="O989">
        <v>1391</v>
      </c>
      <c r="P989" t="str">
        <f>_xlfn.XLOOKUP(Table1[[#This Row],[EnvironmentSatisfaction]],Table9[EnvironmentSatisfaction],Table9[Id_EnviromentSatisfaction])</f>
        <v>ES002</v>
      </c>
      <c r="Q989">
        <v>2</v>
      </c>
      <c r="R989" t="str">
        <f>_xlfn.XLOOKUP(Table1[[#This Row],[EnvironmentSatisfaction]],Table9[EnvironmentSatisfaction],Table9[Deskripsi])</f>
        <v>Medium</v>
      </c>
      <c r="S989" t="str">
        <f>_xlfn.XLOOKUP(Table1[[#This Row],[Gender]],Table10[Gender],Table10[Id_Gender])</f>
        <v>G002</v>
      </c>
      <c r="T989" t="s">
        <v>46</v>
      </c>
      <c r="U989">
        <v>52</v>
      </c>
      <c r="V989" t="str">
        <f>_xlfn.XLOOKUP(Table1[[#This Row],[JobInvolvement]],Table11[JobInvolvement],Table11[Id_JobInvolvement])</f>
        <v>JI003</v>
      </c>
      <c r="W989">
        <v>3</v>
      </c>
      <c r="X989" t="str">
        <f>_xlfn.XLOOKUP(Table1[[#This Row],[JobLevel]],Table12[JobLevel],Table12[Id_JobLevel])</f>
        <v>JL003</v>
      </c>
      <c r="Y989">
        <v>3</v>
      </c>
      <c r="Z989" t="str">
        <f>_xlfn.XLOOKUP(Table1[[#This Row],[JobRole]],Table13[JobRole],Table13[Id_JobRole])</f>
        <v>JR001</v>
      </c>
      <c r="AA989" t="s">
        <v>47</v>
      </c>
      <c r="AB989" t="str">
        <f>_xlfn.XLOOKUP(Table1[[#This Row],[JobSatisfaction]],Table14[JobSatisfaction],Table14[Id_JobSatisfaction])</f>
        <v>JS002</v>
      </c>
      <c r="AC989">
        <v>2</v>
      </c>
      <c r="AD989" t="str">
        <f>_xlfn.XLOOKUP(Table1[[#This Row],[JobSatisfaction]],Table14[JobSatisfaction],Table14[Deskripsi])</f>
        <v>Medium</v>
      </c>
      <c r="AE989" t="str">
        <f>_xlfn.XLOOKUP(Table1[[#This Row],[MaritalStatus]],Table15[MaritalStatus],Table15[Id_MaritalStatus])</f>
        <v>MS002</v>
      </c>
      <c r="AF989" t="s">
        <v>56</v>
      </c>
      <c r="AG989">
        <v>10596</v>
      </c>
      <c r="AH989">
        <v>15395</v>
      </c>
      <c r="AI989">
        <v>2</v>
      </c>
      <c r="AJ989" t="str">
        <f>_xlfn.XLOOKUP(Table1[[#This Row],[OverTime]],Table16[OverTime],Table16[Id_OverTime])</f>
        <v>OT002</v>
      </c>
      <c r="AK989" t="s">
        <v>33</v>
      </c>
      <c r="AL989">
        <v>11</v>
      </c>
      <c r="AM989" t="str">
        <f>_xlfn.XLOOKUP(Table1[[#This Row],[PerformanceRating]],Table17[PerformanceRating],Table17[Id_PerformanceRating])</f>
        <v>PR003</v>
      </c>
      <c r="AN989">
        <v>3</v>
      </c>
      <c r="AO989" t="str">
        <f>_xlfn.XLOOKUP(Table1[[#This Row],[PerformanceRating]],Table17[PerformanceRating],Table17[Deskripsi])</f>
        <v>Excellent</v>
      </c>
      <c r="AP989" t="str">
        <f>_xlfn.XLOOKUP(Table1[[#This Row],[RelationshipSatisfaction]],Table18[RelationshipSatisfaction],Table18[Id_RelationshipSatisfaction])</f>
        <v>RS002</v>
      </c>
      <c r="AQ989">
        <v>2</v>
      </c>
      <c r="AR989" t="str">
        <f>_xlfn.XLOOKUP(Table1[[#This Row],[RelationshipSatisfaction]],Table18[RelationshipSatisfaction],Table18[Deskripsi])</f>
        <v>Medium</v>
      </c>
      <c r="AS989" t="str">
        <f>_xlfn.XLOOKUP(Table1[[#This Row],[StockOptionLevel]],Table19[StockOptionLevel],Table19[Id_StockOptionLevel])</f>
        <v>SOL001</v>
      </c>
      <c r="AT989">
        <v>0</v>
      </c>
      <c r="AU989" t="str">
        <f>_xlfn.XLOOKUP(Table1[[#This Row],[StockOptionLevel]],Table19[StockOptionLevel],Table19[Deskripsi])</f>
        <v>Non-Eligible</v>
      </c>
      <c r="AV989">
        <v>14</v>
      </c>
      <c r="AW989">
        <v>5</v>
      </c>
      <c r="AX989" t="str">
        <f>_xlfn.XLOOKUP(Table1[[#This Row],[WorkLifeBalance]],Table20[WorkLifeBalance],Table20[Id_WorkLifeBalance])</f>
        <v>WLB002</v>
      </c>
      <c r="AY989">
        <v>3</v>
      </c>
      <c r="AZ989" t="str">
        <f>_xlfn.XLOOKUP(Table1[[#This Row],[WorkLifeBalance]],Table20[WorkLifeBalance],Table20[Deskripsi])</f>
        <v>Good</v>
      </c>
      <c r="BA989">
        <v>4</v>
      </c>
      <c r="BB989">
        <v>2</v>
      </c>
      <c r="BC989">
        <v>3</v>
      </c>
      <c r="BD989">
        <v>2</v>
      </c>
    </row>
    <row r="990" spans="1:56" x14ac:dyDescent="0.25">
      <c r="A990">
        <v>41</v>
      </c>
      <c r="B990" t="str">
        <f>_xlfn.XLOOKUP(Table1[[#This Row],[Attrition]],Table2[Attrition],Table2[Id_Attrition])</f>
        <v>A002</v>
      </c>
      <c r="C990" t="s">
        <v>33</v>
      </c>
      <c r="D990" t="str">
        <f>_xlfn.XLOOKUP(Table1[[#This Row],[BusinessTravel]],Table5[BusinessTravel],Table5[Id_BusinessTravel])</f>
        <v>BS002</v>
      </c>
      <c r="E990" t="s">
        <v>35</v>
      </c>
      <c r="F990">
        <v>1200</v>
      </c>
      <c r="G990" t="str">
        <f>_xlfn.XLOOKUP(Table1[[#This Row],[Department]],Table6[Department],Table6[Id_Departement])</f>
        <v>D002</v>
      </c>
      <c r="H990" t="s">
        <v>38</v>
      </c>
      <c r="I990">
        <v>22</v>
      </c>
      <c r="J990" t="str">
        <f>_xlfn.XLOOKUP(Table1[[#This Row],[Education]],Table8[Education],Table8[Id_Education])</f>
        <v>E003</v>
      </c>
      <c r="K990">
        <v>3</v>
      </c>
      <c r="L990" t="str">
        <f>_xlfn.XLOOKUP(Table1[[#This Row],[EducationField]],Table7[EducationField],Table7[Id_EducationField])</f>
        <v>EF001</v>
      </c>
      <c r="M990" t="s">
        <v>40</v>
      </c>
      <c r="N990" t="str">
        <f>_xlfn.XLOOKUP(Table1[[#This Row],[EmployeeNumber]],Table4[EmployeeNumber],Table4[Id_Employee])</f>
        <v>EMP00989</v>
      </c>
      <c r="O990">
        <v>1392</v>
      </c>
      <c r="P990" t="str">
        <f>_xlfn.XLOOKUP(Table1[[#This Row],[EnvironmentSatisfaction]],Table9[EnvironmentSatisfaction],Table9[Id_EnviromentSatisfaction])</f>
        <v>ES004</v>
      </c>
      <c r="Q990">
        <v>4</v>
      </c>
      <c r="R990" t="str">
        <f>_xlfn.XLOOKUP(Table1[[#This Row],[EnvironmentSatisfaction]],Table9[EnvironmentSatisfaction],Table9[Deskripsi])</f>
        <v>Very High</v>
      </c>
      <c r="S990" t="str">
        <f>_xlfn.XLOOKUP(Table1[[#This Row],[Gender]],Table10[Gender],Table10[Id_Gender])</f>
        <v>G001</v>
      </c>
      <c r="T990" t="s">
        <v>45</v>
      </c>
      <c r="U990">
        <v>75</v>
      </c>
      <c r="V990" t="str">
        <f>_xlfn.XLOOKUP(Table1[[#This Row],[JobInvolvement]],Table11[JobInvolvement],Table11[Id_JobInvolvement])</f>
        <v>JI003</v>
      </c>
      <c r="W990">
        <v>3</v>
      </c>
      <c r="X990" t="str">
        <f>_xlfn.XLOOKUP(Table1[[#This Row],[JobLevel]],Table12[JobLevel],Table12[Id_JobLevel])</f>
        <v>JL002</v>
      </c>
      <c r="Y990">
        <v>2</v>
      </c>
      <c r="Z990" t="str">
        <f>_xlfn.XLOOKUP(Table1[[#This Row],[JobRole]],Table13[JobRole],Table13[Id_JobRole])</f>
        <v>JR002</v>
      </c>
      <c r="AA990" t="s">
        <v>48</v>
      </c>
      <c r="AB990" t="str">
        <f>_xlfn.XLOOKUP(Table1[[#This Row],[JobSatisfaction]],Table14[JobSatisfaction],Table14[Id_JobSatisfaction])</f>
        <v>JS004</v>
      </c>
      <c r="AC990">
        <v>4</v>
      </c>
      <c r="AD990" t="str">
        <f>_xlfn.XLOOKUP(Table1[[#This Row],[JobSatisfaction]],Table14[JobSatisfaction],Table14[Deskripsi])</f>
        <v>Very High</v>
      </c>
      <c r="AE990" t="str">
        <f>_xlfn.XLOOKUP(Table1[[#This Row],[MaritalStatus]],Table15[MaritalStatus],Table15[Id_MaritalStatus])</f>
        <v>MS003</v>
      </c>
      <c r="AF990" t="s">
        <v>57</v>
      </c>
      <c r="AG990">
        <v>5467</v>
      </c>
      <c r="AH990">
        <v>13953</v>
      </c>
      <c r="AI990">
        <v>3</v>
      </c>
      <c r="AJ990" t="str">
        <f>_xlfn.XLOOKUP(Table1[[#This Row],[OverTime]],Table16[OverTime],Table16[Id_OverTime])</f>
        <v>OT001</v>
      </c>
      <c r="AK990" t="s">
        <v>32</v>
      </c>
      <c r="AL990">
        <v>14</v>
      </c>
      <c r="AM990" t="str">
        <f>_xlfn.XLOOKUP(Table1[[#This Row],[PerformanceRating]],Table17[PerformanceRating],Table17[Id_PerformanceRating])</f>
        <v>PR003</v>
      </c>
      <c r="AN990">
        <v>3</v>
      </c>
      <c r="AO990" t="str">
        <f>_xlfn.XLOOKUP(Table1[[#This Row],[PerformanceRating]],Table17[PerformanceRating],Table17[Deskripsi])</f>
        <v>Excellent</v>
      </c>
      <c r="AP990" t="str">
        <f>_xlfn.XLOOKUP(Table1[[#This Row],[RelationshipSatisfaction]],Table18[RelationshipSatisfaction],Table18[Id_RelationshipSatisfaction])</f>
        <v>RS001</v>
      </c>
      <c r="AQ990">
        <v>1</v>
      </c>
      <c r="AR990" t="str">
        <f>_xlfn.XLOOKUP(Table1[[#This Row],[RelationshipSatisfaction]],Table18[RelationshipSatisfaction],Table18[Deskripsi])</f>
        <v>Low</v>
      </c>
      <c r="AS990" t="str">
        <f>_xlfn.XLOOKUP(Table1[[#This Row],[StockOptionLevel]],Table19[StockOptionLevel],Table19[Id_StockOptionLevel])</f>
        <v>SOL003</v>
      </c>
      <c r="AT990">
        <v>2</v>
      </c>
      <c r="AU990" t="str">
        <f>_xlfn.XLOOKUP(Table1[[#This Row],[StockOptionLevel]],Table19[StockOptionLevel],Table19[Deskripsi])</f>
        <v>Intermediate</v>
      </c>
      <c r="AV990">
        <v>12</v>
      </c>
      <c r="AW990">
        <v>4</v>
      </c>
      <c r="AX990" t="str">
        <f>_xlfn.XLOOKUP(Table1[[#This Row],[WorkLifeBalance]],Table20[WorkLifeBalance],Table20[Id_WorkLifeBalance])</f>
        <v>WLB003</v>
      </c>
      <c r="AY990">
        <v>2</v>
      </c>
      <c r="AZ990" t="str">
        <f>_xlfn.XLOOKUP(Table1[[#This Row],[WorkLifeBalance]],Table20[WorkLifeBalance],Table20[Deskripsi])</f>
        <v>Better</v>
      </c>
      <c r="BA990">
        <v>6</v>
      </c>
      <c r="BB990">
        <v>2</v>
      </c>
      <c r="BC990">
        <v>3</v>
      </c>
      <c r="BD990">
        <v>3</v>
      </c>
    </row>
    <row r="991" spans="1:56" x14ac:dyDescent="0.25">
      <c r="A991">
        <v>37</v>
      </c>
      <c r="B991" t="str">
        <f>_xlfn.XLOOKUP(Table1[[#This Row],[Attrition]],Table2[Attrition],Table2[Id_Attrition])</f>
        <v>A002</v>
      </c>
      <c r="C991" t="s">
        <v>33</v>
      </c>
      <c r="D991" t="str">
        <f>_xlfn.XLOOKUP(Table1[[#This Row],[BusinessTravel]],Table5[BusinessTravel],Table5[Id_BusinessTravel])</f>
        <v>BS001</v>
      </c>
      <c r="E991" t="s">
        <v>34</v>
      </c>
      <c r="F991">
        <v>1439</v>
      </c>
      <c r="G991" t="str">
        <f>_xlfn.XLOOKUP(Table1[[#This Row],[Department]],Table6[Department],Table6[Id_Departement])</f>
        <v>D002</v>
      </c>
      <c r="H991" t="s">
        <v>38</v>
      </c>
      <c r="I991">
        <v>4</v>
      </c>
      <c r="J991" t="str">
        <f>_xlfn.XLOOKUP(Table1[[#This Row],[Education]],Table8[Education],Table8[Id_Education])</f>
        <v>E001</v>
      </c>
      <c r="K991">
        <v>1</v>
      </c>
      <c r="L991" t="str">
        <f>_xlfn.XLOOKUP(Table1[[#This Row],[EducationField]],Table7[EducationField],Table7[Id_EducationField])</f>
        <v>EF001</v>
      </c>
      <c r="M991" t="s">
        <v>40</v>
      </c>
      <c r="N991" t="str">
        <f>_xlfn.XLOOKUP(Table1[[#This Row],[EmployeeNumber]],Table4[EmployeeNumber],Table4[Id_Employee])</f>
        <v>EMP00990</v>
      </c>
      <c r="O991">
        <v>1394</v>
      </c>
      <c r="P991" t="str">
        <f>_xlfn.XLOOKUP(Table1[[#This Row],[EnvironmentSatisfaction]],Table9[EnvironmentSatisfaction],Table9[Id_EnviromentSatisfaction])</f>
        <v>ES003</v>
      </c>
      <c r="Q991">
        <v>3</v>
      </c>
      <c r="R991" t="str">
        <f>_xlfn.XLOOKUP(Table1[[#This Row],[EnvironmentSatisfaction]],Table9[EnvironmentSatisfaction],Table9[Deskripsi])</f>
        <v>High</v>
      </c>
      <c r="S991" t="str">
        <f>_xlfn.XLOOKUP(Table1[[#This Row],[Gender]],Table10[Gender],Table10[Id_Gender])</f>
        <v>G002</v>
      </c>
      <c r="T991" t="s">
        <v>46</v>
      </c>
      <c r="U991">
        <v>54</v>
      </c>
      <c r="V991" t="str">
        <f>_xlfn.XLOOKUP(Table1[[#This Row],[JobInvolvement]],Table11[JobInvolvement],Table11[Id_JobInvolvement])</f>
        <v>JI003</v>
      </c>
      <c r="W991">
        <v>3</v>
      </c>
      <c r="X991" t="str">
        <f>_xlfn.XLOOKUP(Table1[[#This Row],[JobLevel]],Table12[JobLevel],Table12[Id_JobLevel])</f>
        <v>JL001</v>
      </c>
      <c r="Y991">
        <v>1</v>
      </c>
      <c r="Z991" t="str">
        <f>_xlfn.XLOOKUP(Table1[[#This Row],[JobRole]],Table13[JobRole],Table13[Id_JobRole])</f>
        <v>JR002</v>
      </c>
      <c r="AA991" t="s">
        <v>48</v>
      </c>
      <c r="AB991" t="str">
        <f>_xlfn.XLOOKUP(Table1[[#This Row],[JobSatisfaction]],Table14[JobSatisfaction],Table14[Id_JobSatisfaction])</f>
        <v>JS003</v>
      </c>
      <c r="AC991">
        <v>3</v>
      </c>
      <c r="AD991" t="str">
        <f>_xlfn.XLOOKUP(Table1[[#This Row],[JobSatisfaction]],Table14[JobSatisfaction],Table14[Deskripsi])</f>
        <v>High</v>
      </c>
      <c r="AE991" t="str">
        <f>_xlfn.XLOOKUP(Table1[[#This Row],[MaritalStatus]],Table15[MaritalStatus],Table15[Id_MaritalStatus])</f>
        <v>MS002</v>
      </c>
      <c r="AF991" t="s">
        <v>56</v>
      </c>
      <c r="AG991">
        <v>2996</v>
      </c>
      <c r="AH991">
        <v>5182</v>
      </c>
      <c r="AI991">
        <v>7</v>
      </c>
      <c r="AJ991" t="str">
        <f>_xlfn.XLOOKUP(Table1[[#This Row],[OverTime]],Table16[OverTime],Table16[Id_OverTime])</f>
        <v>OT001</v>
      </c>
      <c r="AK991" t="s">
        <v>32</v>
      </c>
      <c r="AL991">
        <v>15</v>
      </c>
      <c r="AM991" t="str">
        <f>_xlfn.XLOOKUP(Table1[[#This Row],[PerformanceRating]],Table17[PerformanceRating],Table17[Id_PerformanceRating])</f>
        <v>PR003</v>
      </c>
      <c r="AN991">
        <v>3</v>
      </c>
      <c r="AO991" t="str">
        <f>_xlfn.XLOOKUP(Table1[[#This Row],[PerformanceRating]],Table17[PerformanceRating],Table17[Deskripsi])</f>
        <v>Excellent</v>
      </c>
      <c r="AP991" t="str">
        <f>_xlfn.XLOOKUP(Table1[[#This Row],[RelationshipSatisfaction]],Table18[RelationshipSatisfaction],Table18[Id_RelationshipSatisfaction])</f>
        <v>RS004</v>
      </c>
      <c r="AQ991">
        <v>4</v>
      </c>
      <c r="AR991" t="str">
        <f>_xlfn.XLOOKUP(Table1[[#This Row],[RelationshipSatisfaction]],Table18[RelationshipSatisfaction],Table18[Deskripsi])</f>
        <v>Very High</v>
      </c>
      <c r="AS991" t="str">
        <f>_xlfn.XLOOKUP(Table1[[#This Row],[StockOptionLevel]],Table19[StockOptionLevel],Table19[Id_StockOptionLevel])</f>
        <v>SOL001</v>
      </c>
      <c r="AT991">
        <v>0</v>
      </c>
      <c r="AU991" t="str">
        <f>_xlfn.XLOOKUP(Table1[[#This Row],[StockOptionLevel]],Table19[StockOptionLevel],Table19[Deskripsi])</f>
        <v>Non-Eligible</v>
      </c>
      <c r="AV991">
        <v>8</v>
      </c>
      <c r="AW991">
        <v>2</v>
      </c>
      <c r="AX991" t="str">
        <f>_xlfn.XLOOKUP(Table1[[#This Row],[WorkLifeBalance]],Table20[WorkLifeBalance],Table20[Id_WorkLifeBalance])</f>
        <v>WLB002</v>
      </c>
      <c r="AY991">
        <v>3</v>
      </c>
      <c r="AZ991" t="str">
        <f>_xlfn.XLOOKUP(Table1[[#This Row],[WorkLifeBalance]],Table20[WorkLifeBalance],Table20[Deskripsi])</f>
        <v>Good</v>
      </c>
      <c r="BA991">
        <v>6</v>
      </c>
      <c r="BB991">
        <v>4</v>
      </c>
      <c r="BC991">
        <v>1</v>
      </c>
      <c r="BD991">
        <v>3</v>
      </c>
    </row>
    <row r="992" spans="1:56" x14ac:dyDescent="0.25">
      <c r="A992">
        <v>33</v>
      </c>
      <c r="B992" t="str">
        <f>_xlfn.XLOOKUP(Table1[[#This Row],[Attrition]],Table2[Attrition],Table2[Id_Attrition])</f>
        <v>A002</v>
      </c>
      <c r="C992" t="s">
        <v>33</v>
      </c>
      <c r="D992" t="str">
        <f>_xlfn.XLOOKUP(Table1[[#This Row],[BusinessTravel]],Table5[BusinessTravel],Table5[Id_BusinessTravel])</f>
        <v>BS002</v>
      </c>
      <c r="E992" t="s">
        <v>35</v>
      </c>
      <c r="F992">
        <v>1111</v>
      </c>
      <c r="G992" t="str">
        <f>_xlfn.XLOOKUP(Table1[[#This Row],[Department]],Table6[Department],Table6[Id_Departement])</f>
        <v>D001</v>
      </c>
      <c r="H992" t="s">
        <v>37</v>
      </c>
      <c r="I992">
        <v>5</v>
      </c>
      <c r="J992" t="str">
        <f>_xlfn.XLOOKUP(Table1[[#This Row],[Education]],Table8[Education],Table8[Id_Education])</f>
        <v>E001</v>
      </c>
      <c r="K992">
        <v>1</v>
      </c>
      <c r="L992" t="str">
        <f>_xlfn.XLOOKUP(Table1[[#This Row],[EducationField]],Table7[EducationField],Table7[Id_EducationField])</f>
        <v>EF001</v>
      </c>
      <c r="M992" t="s">
        <v>40</v>
      </c>
      <c r="N992" t="str">
        <f>_xlfn.XLOOKUP(Table1[[#This Row],[EmployeeNumber]],Table4[EmployeeNumber],Table4[Id_Employee])</f>
        <v>EMP00991</v>
      </c>
      <c r="O992">
        <v>1395</v>
      </c>
      <c r="P992" t="str">
        <f>_xlfn.XLOOKUP(Table1[[#This Row],[EnvironmentSatisfaction]],Table9[EnvironmentSatisfaction],Table9[Id_EnviromentSatisfaction])</f>
        <v>ES002</v>
      </c>
      <c r="Q992">
        <v>2</v>
      </c>
      <c r="R992" t="str">
        <f>_xlfn.XLOOKUP(Table1[[#This Row],[EnvironmentSatisfaction]],Table9[EnvironmentSatisfaction],Table9[Deskripsi])</f>
        <v>Medium</v>
      </c>
      <c r="S992" t="str">
        <f>_xlfn.XLOOKUP(Table1[[#This Row],[Gender]],Table10[Gender],Table10[Id_Gender])</f>
        <v>G002</v>
      </c>
      <c r="T992" t="s">
        <v>46</v>
      </c>
      <c r="U992">
        <v>61</v>
      </c>
      <c r="V992" t="str">
        <f>_xlfn.XLOOKUP(Table1[[#This Row],[JobInvolvement]],Table11[JobInvolvement],Table11[Id_JobInvolvement])</f>
        <v>JI003</v>
      </c>
      <c r="W992">
        <v>3</v>
      </c>
      <c r="X992" t="str">
        <f>_xlfn.XLOOKUP(Table1[[#This Row],[JobLevel]],Table12[JobLevel],Table12[Id_JobLevel])</f>
        <v>JL002</v>
      </c>
      <c r="Y992">
        <v>2</v>
      </c>
      <c r="Z992" t="str">
        <f>_xlfn.XLOOKUP(Table1[[#This Row],[JobRole]],Table13[JobRole],Table13[Id_JobRole])</f>
        <v>JR001</v>
      </c>
      <c r="AA992" t="s">
        <v>47</v>
      </c>
      <c r="AB992" t="str">
        <f>_xlfn.XLOOKUP(Table1[[#This Row],[JobSatisfaction]],Table14[JobSatisfaction],Table14[Id_JobSatisfaction])</f>
        <v>JS004</v>
      </c>
      <c r="AC992">
        <v>4</v>
      </c>
      <c r="AD992" t="str">
        <f>_xlfn.XLOOKUP(Table1[[#This Row],[JobSatisfaction]],Table14[JobSatisfaction],Table14[Deskripsi])</f>
        <v>Very High</v>
      </c>
      <c r="AE992" t="str">
        <f>_xlfn.XLOOKUP(Table1[[#This Row],[MaritalStatus]],Table15[MaritalStatus],Table15[Id_MaritalStatus])</f>
        <v>MS002</v>
      </c>
      <c r="AF992" t="s">
        <v>56</v>
      </c>
      <c r="AG992">
        <v>9998</v>
      </c>
      <c r="AH992">
        <v>19293</v>
      </c>
      <c r="AI992">
        <v>6</v>
      </c>
      <c r="AJ992" t="str">
        <f>_xlfn.XLOOKUP(Table1[[#This Row],[OverTime]],Table16[OverTime],Table16[Id_OverTime])</f>
        <v>OT002</v>
      </c>
      <c r="AK992" t="s">
        <v>33</v>
      </c>
      <c r="AL992">
        <v>13</v>
      </c>
      <c r="AM992" t="str">
        <f>_xlfn.XLOOKUP(Table1[[#This Row],[PerformanceRating]],Table17[PerformanceRating],Table17[Id_PerformanceRating])</f>
        <v>PR003</v>
      </c>
      <c r="AN992">
        <v>3</v>
      </c>
      <c r="AO992" t="str">
        <f>_xlfn.XLOOKUP(Table1[[#This Row],[PerformanceRating]],Table17[PerformanceRating],Table17[Deskripsi])</f>
        <v>Excellent</v>
      </c>
      <c r="AP992" t="str">
        <f>_xlfn.XLOOKUP(Table1[[#This Row],[RelationshipSatisfaction]],Table18[RelationshipSatisfaction],Table18[Id_RelationshipSatisfaction])</f>
        <v>RS001</v>
      </c>
      <c r="AQ992">
        <v>1</v>
      </c>
      <c r="AR992" t="str">
        <f>_xlfn.XLOOKUP(Table1[[#This Row],[RelationshipSatisfaction]],Table18[RelationshipSatisfaction],Table18[Deskripsi])</f>
        <v>Low</v>
      </c>
      <c r="AS992" t="str">
        <f>_xlfn.XLOOKUP(Table1[[#This Row],[StockOptionLevel]],Table19[StockOptionLevel],Table19[Id_StockOptionLevel])</f>
        <v>SOL001</v>
      </c>
      <c r="AT992">
        <v>0</v>
      </c>
      <c r="AU992" t="str">
        <f>_xlfn.XLOOKUP(Table1[[#This Row],[StockOptionLevel]],Table19[StockOptionLevel],Table19[Deskripsi])</f>
        <v>Non-Eligible</v>
      </c>
      <c r="AV992">
        <v>8</v>
      </c>
      <c r="AW992">
        <v>2</v>
      </c>
      <c r="AX992" t="str">
        <f>_xlfn.XLOOKUP(Table1[[#This Row],[WorkLifeBalance]],Table20[WorkLifeBalance],Table20[Id_WorkLifeBalance])</f>
        <v>WLB004</v>
      </c>
      <c r="AY992">
        <v>4</v>
      </c>
      <c r="AZ992" t="str">
        <f>_xlfn.XLOOKUP(Table1[[#This Row],[WorkLifeBalance]],Table20[WorkLifeBalance],Table20[Deskripsi])</f>
        <v>Best</v>
      </c>
      <c r="BA992">
        <v>5</v>
      </c>
      <c r="BB992">
        <v>4</v>
      </c>
      <c r="BC992">
        <v>1</v>
      </c>
      <c r="BD992">
        <v>2</v>
      </c>
    </row>
    <row r="993" spans="1:56" x14ac:dyDescent="0.25">
      <c r="A993">
        <v>32</v>
      </c>
      <c r="B993" t="str">
        <f>_xlfn.XLOOKUP(Table1[[#This Row],[Attrition]],Table2[Attrition],Table2[Id_Attrition])</f>
        <v>A002</v>
      </c>
      <c r="C993" t="s">
        <v>33</v>
      </c>
      <c r="D993" t="str">
        <f>_xlfn.XLOOKUP(Table1[[#This Row],[BusinessTravel]],Table5[BusinessTravel],Table5[Id_BusinessTravel])</f>
        <v>BS001</v>
      </c>
      <c r="E993" t="s">
        <v>34</v>
      </c>
      <c r="F993">
        <v>499</v>
      </c>
      <c r="G993" t="str">
        <f>_xlfn.XLOOKUP(Table1[[#This Row],[Department]],Table6[Department],Table6[Id_Departement])</f>
        <v>D001</v>
      </c>
      <c r="H993" t="s">
        <v>37</v>
      </c>
      <c r="I993">
        <v>2</v>
      </c>
      <c r="J993" t="str">
        <f>_xlfn.XLOOKUP(Table1[[#This Row],[Education]],Table8[Education],Table8[Id_Education])</f>
        <v>E001</v>
      </c>
      <c r="K993">
        <v>1</v>
      </c>
      <c r="L993" t="str">
        <f>_xlfn.XLOOKUP(Table1[[#This Row],[EducationField]],Table7[EducationField],Table7[Id_EducationField])</f>
        <v>EF004</v>
      </c>
      <c r="M993" t="s">
        <v>43</v>
      </c>
      <c r="N993" t="str">
        <f>_xlfn.XLOOKUP(Table1[[#This Row],[EmployeeNumber]],Table4[EmployeeNumber],Table4[Id_Employee])</f>
        <v>EMP00992</v>
      </c>
      <c r="O993">
        <v>1396</v>
      </c>
      <c r="P993" t="str">
        <f>_xlfn.XLOOKUP(Table1[[#This Row],[EnvironmentSatisfaction]],Table9[EnvironmentSatisfaction],Table9[Id_EnviromentSatisfaction])</f>
        <v>ES003</v>
      </c>
      <c r="Q993">
        <v>3</v>
      </c>
      <c r="R993" t="str">
        <f>_xlfn.XLOOKUP(Table1[[#This Row],[EnvironmentSatisfaction]],Table9[EnvironmentSatisfaction],Table9[Deskripsi])</f>
        <v>High</v>
      </c>
      <c r="S993" t="str">
        <f>_xlfn.XLOOKUP(Table1[[#This Row],[Gender]],Table10[Gender],Table10[Id_Gender])</f>
        <v>G002</v>
      </c>
      <c r="T993" t="s">
        <v>46</v>
      </c>
      <c r="U993">
        <v>36</v>
      </c>
      <c r="V993" t="str">
        <f>_xlfn.XLOOKUP(Table1[[#This Row],[JobInvolvement]],Table11[JobInvolvement],Table11[Id_JobInvolvement])</f>
        <v>JI003</v>
      </c>
      <c r="W993">
        <v>3</v>
      </c>
      <c r="X993" t="str">
        <f>_xlfn.XLOOKUP(Table1[[#This Row],[JobLevel]],Table12[JobLevel],Table12[Id_JobLevel])</f>
        <v>JL002</v>
      </c>
      <c r="Y993">
        <v>2</v>
      </c>
      <c r="Z993" t="str">
        <f>_xlfn.XLOOKUP(Table1[[#This Row],[JobRole]],Table13[JobRole],Table13[Id_JobRole])</f>
        <v>JR001</v>
      </c>
      <c r="AA993" t="s">
        <v>47</v>
      </c>
      <c r="AB993" t="str">
        <f>_xlfn.XLOOKUP(Table1[[#This Row],[JobSatisfaction]],Table14[JobSatisfaction],Table14[Id_JobSatisfaction])</f>
        <v>JS002</v>
      </c>
      <c r="AC993">
        <v>2</v>
      </c>
      <c r="AD993" t="str">
        <f>_xlfn.XLOOKUP(Table1[[#This Row],[JobSatisfaction]],Table14[JobSatisfaction],Table14[Deskripsi])</f>
        <v>Medium</v>
      </c>
      <c r="AE993" t="str">
        <f>_xlfn.XLOOKUP(Table1[[#This Row],[MaritalStatus]],Table15[MaritalStatus],Table15[Id_MaritalStatus])</f>
        <v>MS002</v>
      </c>
      <c r="AF993" t="s">
        <v>56</v>
      </c>
      <c r="AG993">
        <v>4078</v>
      </c>
      <c r="AH993">
        <v>20497</v>
      </c>
      <c r="AI993">
        <v>0</v>
      </c>
      <c r="AJ993" t="str">
        <f>_xlfn.XLOOKUP(Table1[[#This Row],[OverTime]],Table16[OverTime],Table16[Id_OverTime])</f>
        <v>OT001</v>
      </c>
      <c r="AK993" t="s">
        <v>32</v>
      </c>
      <c r="AL993">
        <v>13</v>
      </c>
      <c r="AM993" t="str">
        <f>_xlfn.XLOOKUP(Table1[[#This Row],[PerformanceRating]],Table17[PerformanceRating],Table17[Id_PerformanceRating])</f>
        <v>PR003</v>
      </c>
      <c r="AN993">
        <v>3</v>
      </c>
      <c r="AO993" t="str">
        <f>_xlfn.XLOOKUP(Table1[[#This Row],[PerformanceRating]],Table17[PerformanceRating],Table17[Deskripsi])</f>
        <v>Excellent</v>
      </c>
      <c r="AP993" t="str">
        <f>_xlfn.XLOOKUP(Table1[[#This Row],[RelationshipSatisfaction]],Table18[RelationshipSatisfaction],Table18[Id_RelationshipSatisfaction])</f>
        <v>RS001</v>
      </c>
      <c r="AQ993">
        <v>1</v>
      </c>
      <c r="AR993" t="str">
        <f>_xlfn.XLOOKUP(Table1[[#This Row],[RelationshipSatisfaction]],Table18[RelationshipSatisfaction],Table18[Deskripsi])</f>
        <v>Low</v>
      </c>
      <c r="AS993" t="str">
        <f>_xlfn.XLOOKUP(Table1[[#This Row],[StockOptionLevel]],Table19[StockOptionLevel],Table19[Id_StockOptionLevel])</f>
        <v>SOL004</v>
      </c>
      <c r="AT993">
        <v>3</v>
      </c>
      <c r="AU993" t="str">
        <f>_xlfn.XLOOKUP(Table1[[#This Row],[StockOptionLevel]],Table19[StockOptionLevel],Table19[Deskripsi])</f>
        <v>Senior/Executive</v>
      </c>
      <c r="AV993">
        <v>4</v>
      </c>
      <c r="AW993">
        <v>3</v>
      </c>
      <c r="AX993" t="str">
        <f>_xlfn.XLOOKUP(Table1[[#This Row],[WorkLifeBalance]],Table20[WorkLifeBalance],Table20[Id_WorkLifeBalance])</f>
        <v>WLB003</v>
      </c>
      <c r="AY993">
        <v>2</v>
      </c>
      <c r="AZ993" t="str">
        <f>_xlfn.XLOOKUP(Table1[[#This Row],[WorkLifeBalance]],Table20[WorkLifeBalance],Table20[Deskripsi])</f>
        <v>Better</v>
      </c>
      <c r="BA993">
        <v>3</v>
      </c>
      <c r="BB993">
        <v>2</v>
      </c>
      <c r="BC993">
        <v>1</v>
      </c>
      <c r="BD993">
        <v>2</v>
      </c>
    </row>
    <row r="994" spans="1:56" x14ac:dyDescent="0.25">
      <c r="A994">
        <v>39</v>
      </c>
      <c r="B994" t="str">
        <f>_xlfn.XLOOKUP(Table1[[#This Row],[Attrition]],Table2[Attrition],Table2[Id_Attrition])</f>
        <v>A002</v>
      </c>
      <c r="C994" t="s">
        <v>33</v>
      </c>
      <c r="D994" t="str">
        <f>_xlfn.XLOOKUP(Table1[[#This Row],[BusinessTravel]],Table5[BusinessTravel],Table5[Id_BusinessTravel])</f>
        <v>BS003</v>
      </c>
      <c r="E994" t="s">
        <v>36</v>
      </c>
      <c r="F994">
        <v>1485</v>
      </c>
      <c r="G994" t="str">
        <f>_xlfn.XLOOKUP(Table1[[#This Row],[Department]],Table6[Department],Table6[Id_Departement])</f>
        <v>D002</v>
      </c>
      <c r="H994" t="s">
        <v>38</v>
      </c>
      <c r="I994">
        <v>25</v>
      </c>
      <c r="J994" t="str">
        <f>_xlfn.XLOOKUP(Table1[[#This Row],[Education]],Table8[Education],Table8[Id_Education])</f>
        <v>E002</v>
      </c>
      <c r="K994">
        <v>2</v>
      </c>
      <c r="L994" t="str">
        <f>_xlfn.XLOOKUP(Table1[[#This Row],[EducationField]],Table7[EducationField],Table7[Id_EducationField])</f>
        <v>EF001</v>
      </c>
      <c r="M994" t="s">
        <v>40</v>
      </c>
      <c r="N994" t="str">
        <f>_xlfn.XLOOKUP(Table1[[#This Row],[EmployeeNumber]],Table4[EmployeeNumber],Table4[Id_Employee])</f>
        <v>EMP00993</v>
      </c>
      <c r="O994">
        <v>1397</v>
      </c>
      <c r="P994" t="str">
        <f>_xlfn.XLOOKUP(Table1[[#This Row],[EnvironmentSatisfaction]],Table9[EnvironmentSatisfaction],Table9[Id_EnviromentSatisfaction])</f>
        <v>ES003</v>
      </c>
      <c r="Q994">
        <v>3</v>
      </c>
      <c r="R994" t="str">
        <f>_xlfn.XLOOKUP(Table1[[#This Row],[EnvironmentSatisfaction]],Table9[EnvironmentSatisfaction],Table9[Deskripsi])</f>
        <v>High</v>
      </c>
      <c r="S994" t="str">
        <f>_xlfn.XLOOKUP(Table1[[#This Row],[Gender]],Table10[Gender],Table10[Id_Gender])</f>
        <v>G002</v>
      </c>
      <c r="T994" t="s">
        <v>46</v>
      </c>
      <c r="U994">
        <v>71</v>
      </c>
      <c r="V994" t="str">
        <f>_xlfn.XLOOKUP(Table1[[#This Row],[JobInvolvement]],Table11[JobInvolvement],Table11[Id_JobInvolvement])</f>
        <v>JI003</v>
      </c>
      <c r="W994">
        <v>3</v>
      </c>
      <c r="X994" t="str">
        <f>_xlfn.XLOOKUP(Table1[[#This Row],[JobLevel]],Table12[JobLevel],Table12[Id_JobLevel])</f>
        <v>JL003</v>
      </c>
      <c r="Y994">
        <v>3</v>
      </c>
      <c r="Z994" t="str">
        <f>_xlfn.XLOOKUP(Table1[[#This Row],[JobRole]],Table13[JobRole],Table13[Id_JobRole])</f>
        <v>JR005</v>
      </c>
      <c r="AA994" t="s">
        <v>51</v>
      </c>
      <c r="AB994" t="str">
        <f>_xlfn.XLOOKUP(Table1[[#This Row],[JobSatisfaction]],Table14[JobSatisfaction],Table14[Id_JobSatisfaction])</f>
        <v>JS003</v>
      </c>
      <c r="AC994">
        <v>3</v>
      </c>
      <c r="AD994" t="str">
        <f>_xlfn.XLOOKUP(Table1[[#This Row],[JobSatisfaction]],Table14[JobSatisfaction],Table14[Deskripsi])</f>
        <v>High</v>
      </c>
      <c r="AE994" t="str">
        <f>_xlfn.XLOOKUP(Table1[[#This Row],[MaritalStatus]],Table15[MaritalStatus],Table15[Id_MaritalStatus])</f>
        <v>MS002</v>
      </c>
      <c r="AF994" t="s">
        <v>56</v>
      </c>
      <c r="AG994">
        <v>10920</v>
      </c>
      <c r="AH994">
        <v>3449</v>
      </c>
      <c r="AI994">
        <v>3</v>
      </c>
      <c r="AJ994" t="str">
        <f>_xlfn.XLOOKUP(Table1[[#This Row],[OverTime]],Table16[OverTime],Table16[Id_OverTime])</f>
        <v>OT002</v>
      </c>
      <c r="AK994" t="s">
        <v>33</v>
      </c>
      <c r="AL994">
        <v>21</v>
      </c>
      <c r="AM994" t="str">
        <f>_xlfn.XLOOKUP(Table1[[#This Row],[PerformanceRating]],Table17[PerformanceRating],Table17[Id_PerformanceRating])</f>
        <v>PR004</v>
      </c>
      <c r="AN994">
        <v>4</v>
      </c>
      <c r="AO994" t="str">
        <f>_xlfn.XLOOKUP(Table1[[#This Row],[PerformanceRating]],Table17[PerformanceRating],Table17[Deskripsi])</f>
        <v>Outstanding</v>
      </c>
      <c r="AP994" t="str">
        <f>_xlfn.XLOOKUP(Table1[[#This Row],[RelationshipSatisfaction]],Table18[RelationshipSatisfaction],Table18[Id_RelationshipSatisfaction])</f>
        <v>RS002</v>
      </c>
      <c r="AQ994">
        <v>2</v>
      </c>
      <c r="AR994" t="str">
        <f>_xlfn.XLOOKUP(Table1[[#This Row],[RelationshipSatisfaction]],Table18[RelationshipSatisfaction],Table18[Deskripsi])</f>
        <v>Medium</v>
      </c>
      <c r="AS994" t="str">
        <f>_xlfn.XLOOKUP(Table1[[#This Row],[StockOptionLevel]],Table19[StockOptionLevel],Table19[Id_StockOptionLevel])</f>
        <v>SOL002</v>
      </c>
      <c r="AT994">
        <v>1</v>
      </c>
      <c r="AU994" t="str">
        <f>_xlfn.XLOOKUP(Table1[[#This Row],[StockOptionLevel]],Table19[StockOptionLevel],Table19[Deskripsi])</f>
        <v>Standard</v>
      </c>
      <c r="AV994">
        <v>13</v>
      </c>
      <c r="AW994">
        <v>2</v>
      </c>
      <c r="AX994" t="str">
        <f>_xlfn.XLOOKUP(Table1[[#This Row],[WorkLifeBalance]],Table20[WorkLifeBalance],Table20[Id_WorkLifeBalance])</f>
        <v>WLB002</v>
      </c>
      <c r="AY994">
        <v>3</v>
      </c>
      <c r="AZ994" t="str">
        <f>_xlfn.XLOOKUP(Table1[[#This Row],[WorkLifeBalance]],Table20[WorkLifeBalance],Table20[Deskripsi])</f>
        <v>Good</v>
      </c>
      <c r="BA994">
        <v>6</v>
      </c>
      <c r="BB994">
        <v>4</v>
      </c>
      <c r="BC994">
        <v>0</v>
      </c>
      <c r="BD994">
        <v>5</v>
      </c>
    </row>
    <row r="995" spans="1:56" x14ac:dyDescent="0.25">
      <c r="A995">
        <v>25</v>
      </c>
      <c r="B995" t="str">
        <f>_xlfn.XLOOKUP(Table1[[#This Row],[Attrition]],Table2[Attrition],Table2[Id_Attrition])</f>
        <v>A002</v>
      </c>
      <c r="C995" t="s">
        <v>33</v>
      </c>
      <c r="D995" t="str">
        <f>_xlfn.XLOOKUP(Table1[[#This Row],[BusinessTravel]],Table5[BusinessTravel],Table5[Id_BusinessTravel])</f>
        <v>BS001</v>
      </c>
      <c r="E995" t="s">
        <v>34</v>
      </c>
      <c r="F995">
        <v>1372</v>
      </c>
      <c r="G995" t="str">
        <f>_xlfn.XLOOKUP(Table1[[#This Row],[Department]],Table6[Department],Table6[Id_Departement])</f>
        <v>D001</v>
      </c>
      <c r="H995" t="s">
        <v>37</v>
      </c>
      <c r="I995">
        <v>18</v>
      </c>
      <c r="J995" t="str">
        <f>_xlfn.XLOOKUP(Table1[[#This Row],[Education]],Table8[Education],Table8[Id_Education])</f>
        <v>E001</v>
      </c>
      <c r="K995">
        <v>1</v>
      </c>
      <c r="L995" t="str">
        <f>_xlfn.XLOOKUP(Table1[[#This Row],[EducationField]],Table7[EducationField],Table7[Id_EducationField])</f>
        <v>EF001</v>
      </c>
      <c r="M995" t="s">
        <v>40</v>
      </c>
      <c r="N995" t="str">
        <f>_xlfn.XLOOKUP(Table1[[#This Row],[EmployeeNumber]],Table4[EmployeeNumber],Table4[Id_Employee])</f>
        <v>EMP00994</v>
      </c>
      <c r="O995">
        <v>1399</v>
      </c>
      <c r="P995" t="str">
        <f>_xlfn.XLOOKUP(Table1[[#This Row],[EnvironmentSatisfaction]],Table9[EnvironmentSatisfaction],Table9[Id_EnviromentSatisfaction])</f>
        <v>ES001</v>
      </c>
      <c r="Q995">
        <v>1</v>
      </c>
      <c r="R995" t="str">
        <f>_xlfn.XLOOKUP(Table1[[#This Row],[EnvironmentSatisfaction]],Table9[EnvironmentSatisfaction],Table9[Deskripsi])</f>
        <v>Low</v>
      </c>
      <c r="S995" t="str">
        <f>_xlfn.XLOOKUP(Table1[[#This Row],[Gender]],Table10[Gender],Table10[Id_Gender])</f>
        <v>G002</v>
      </c>
      <c r="T995" t="s">
        <v>46</v>
      </c>
      <c r="U995">
        <v>93</v>
      </c>
      <c r="V995" t="str">
        <f>_xlfn.XLOOKUP(Table1[[#This Row],[JobInvolvement]],Table11[JobInvolvement],Table11[Id_JobInvolvement])</f>
        <v>JI004</v>
      </c>
      <c r="W995">
        <v>4</v>
      </c>
      <c r="X995" t="str">
        <f>_xlfn.XLOOKUP(Table1[[#This Row],[JobLevel]],Table12[JobLevel],Table12[Id_JobLevel])</f>
        <v>JL002</v>
      </c>
      <c r="Y995">
        <v>2</v>
      </c>
      <c r="Z995" t="str">
        <f>_xlfn.XLOOKUP(Table1[[#This Row],[JobRole]],Table13[JobRole],Table13[Id_JobRole])</f>
        <v>JR001</v>
      </c>
      <c r="AA995" t="s">
        <v>47</v>
      </c>
      <c r="AB995" t="str">
        <f>_xlfn.XLOOKUP(Table1[[#This Row],[JobSatisfaction]],Table14[JobSatisfaction],Table14[Id_JobSatisfaction])</f>
        <v>JS003</v>
      </c>
      <c r="AC995">
        <v>3</v>
      </c>
      <c r="AD995" t="str">
        <f>_xlfn.XLOOKUP(Table1[[#This Row],[JobSatisfaction]],Table14[JobSatisfaction],Table14[Deskripsi])</f>
        <v>High</v>
      </c>
      <c r="AE995" t="str">
        <f>_xlfn.XLOOKUP(Table1[[#This Row],[MaritalStatus]],Table15[MaritalStatus],Table15[Id_MaritalStatus])</f>
        <v>MS002</v>
      </c>
      <c r="AF995" t="s">
        <v>56</v>
      </c>
      <c r="AG995">
        <v>6232</v>
      </c>
      <c r="AH995">
        <v>12477</v>
      </c>
      <c r="AI995">
        <v>2</v>
      </c>
      <c r="AJ995" t="str">
        <f>_xlfn.XLOOKUP(Table1[[#This Row],[OverTime]],Table16[OverTime],Table16[Id_OverTime])</f>
        <v>OT002</v>
      </c>
      <c r="AK995" t="s">
        <v>33</v>
      </c>
      <c r="AL995">
        <v>11</v>
      </c>
      <c r="AM995" t="str">
        <f>_xlfn.XLOOKUP(Table1[[#This Row],[PerformanceRating]],Table17[PerformanceRating],Table17[Id_PerformanceRating])</f>
        <v>PR003</v>
      </c>
      <c r="AN995">
        <v>3</v>
      </c>
      <c r="AO995" t="str">
        <f>_xlfn.XLOOKUP(Table1[[#This Row],[PerformanceRating]],Table17[PerformanceRating],Table17[Deskripsi])</f>
        <v>Excellent</v>
      </c>
      <c r="AP995" t="str">
        <f>_xlfn.XLOOKUP(Table1[[#This Row],[RelationshipSatisfaction]],Table18[RelationshipSatisfaction],Table18[Id_RelationshipSatisfaction])</f>
        <v>RS002</v>
      </c>
      <c r="AQ995">
        <v>2</v>
      </c>
      <c r="AR995" t="str">
        <f>_xlfn.XLOOKUP(Table1[[#This Row],[RelationshipSatisfaction]],Table18[RelationshipSatisfaction],Table18[Deskripsi])</f>
        <v>Medium</v>
      </c>
      <c r="AS995" t="str">
        <f>_xlfn.XLOOKUP(Table1[[#This Row],[StockOptionLevel]],Table19[StockOptionLevel],Table19[Id_StockOptionLevel])</f>
        <v>SOL001</v>
      </c>
      <c r="AT995">
        <v>0</v>
      </c>
      <c r="AU995" t="str">
        <f>_xlfn.XLOOKUP(Table1[[#This Row],[StockOptionLevel]],Table19[StockOptionLevel],Table19[Deskripsi])</f>
        <v>Non-Eligible</v>
      </c>
      <c r="AV995">
        <v>6</v>
      </c>
      <c r="AW995">
        <v>3</v>
      </c>
      <c r="AX995" t="str">
        <f>_xlfn.XLOOKUP(Table1[[#This Row],[WorkLifeBalance]],Table20[WorkLifeBalance],Table20[Id_WorkLifeBalance])</f>
        <v>WLB003</v>
      </c>
      <c r="AY995">
        <v>2</v>
      </c>
      <c r="AZ995" t="str">
        <f>_xlfn.XLOOKUP(Table1[[#This Row],[WorkLifeBalance]],Table20[WorkLifeBalance],Table20[Deskripsi])</f>
        <v>Better</v>
      </c>
      <c r="BA995">
        <v>3</v>
      </c>
      <c r="BB995">
        <v>2</v>
      </c>
      <c r="BC995">
        <v>1</v>
      </c>
      <c r="BD995">
        <v>2</v>
      </c>
    </row>
    <row r="996" spans="1:56" x14ac:dyDescent="0.25">
      <c r="A996">
        <v>52</v>
      </c>
      <c r="B996" t="str">
        <f>_xlfn.XLOOKUP(Table1[[#This Row],[Attrition]],Table2[Attrition],Table2[Id_Attrition])</f>
        <v>A002</v>
      </c>
      <c r="C996" t="s">
        <v>33</v>
      </c>
      <c r="D996" t="str">
        <f>_xlfn.XLOOKUP(Table1[[#This Row],[BusinessTravel]],Table5[BusinessTravel],Table5[Id_BusinessTravel])</f>
        <v>BS002</v>
      </c>
      <c r="E996" t="s">
        <v>35</v>
      </c>
      <c r="F996">
        <v>322</v>
      </c>
      <c r="G996" t="str">
        <f>_xlfn.XLOOKUP(Table1[[#This Row],[Department]],Table6[Department],Table6[Id_Departement])</f>
        <v>D002</v>
      </c>
      <c r="H996" t="s">
        <v>38</v>
      </c>
      <c r="I996">
        <v>28</v>
      </c>
      <c r="J996" t="str">
        <f>_xlfn.XLOOKUP(Table1[[#This Row],[Education]],Table8[Education],Table8[Id_Education])</f>
        <v>E002</v>
      </c>
      <c r="K996">
        <v>2</v>
      </c>
      <c r="L996" t="str">
        <f>_xlfn.XLOOKUP(Table1[[#This Row],[EducationField]],Table7[EducationField],Table7[Id_EducationField])</f>
        <v>EF003</v>
      </c>
      <c r="M996" t="s">
        <v>42</v>
      </c>
      <c r="N996" t="str">
        <f>_xlfn.XLOOKUP(Table1[[#This Row],[EmployeeNumber]],Table4[EmployeeNumber],Table4[Id_Employee])</f>
        <v>EMP00995</v>
      </c>
      <c r="O996">
        <v>1401</v>
      </c>
      <c r="P996" t="str">
        <f>_xlfn.XLOOKUP(Table1[[#This Row],[EnvironmentSatisfaction]],Table9[EnvironmentSatisfaction],Table9[Id_EnviromentSatisfaction])</f>
        <v>ES004</v>
      </c>
      <c r="Q996">
        <v>4</v>
      </c>
      <c r="R996" t="str">
        <f>_xlfn.XLOOKUP(Table1[[#This Row],[EnvironmentSatisfaction]],Table9[EnvironmentSatisfaction],Table9[Deskripsi])</f>
        <v>Very High</v>
      </c>
      <c r="S996" t="str">
        <f>_xlfn.XLOOKUP(Table1[[#This Row],[Gender]],Table10[Gender],Table10[Id_Gender])</f>
        <v>G001</v>
      </c>
      <c r="T996" t="s">
        <v>45</v>
      </c>
      <c r="U996">
        <v>59</v>
      </c>
      <c r="V996" t="str">
        <f>_xlfn.XLOOKUP(Table1[[#This Row],[JobInvolvement]],Table11[JobInvolvement],Table11[Id_JobInvolvement])</f>
        <v>JI004</v>
      </c>
      <c r="W996">
        <v>4</v>
      </c>
      <c r="X996" t="str">
        <f>_xlfn.XLOOKUP(Table1[[#This Row],[JobLevel]],Table12[JobLevel],Table12[Id_JobLevel])</f>
        <v>JL004</v>
      </c>
      <c r="Y996">
        <v>4</v>
      </c>
      <c r="Z996" t="str">
        <f>_xlfn.XLOOKUP(Table1[[#This Row],[JobRole]],Table13[JobRole],Table13[Id_JobRole])</f>
        <v>JR004</v>
      </c>
      <c r="AA996" t="s">
        <v>50</v>
      </c>
      <c r="AB996" t="str">
        <f>_xlfn.XLOOKUP(Table1[[#This Row],[JobSatisfaction]],Table14[JobSatisfaction],Table14[Id_JobSatisfaction])</f>
        <v>JS003</v>
      </c>
      <c r="AC996">
        <v>3</v>
      </c>
      <c r="AD996" t="str">
        <f>_xlfn.XLOOKUP(Table1[[#This Row],[JobSatisfaction]],Table14[JobSatisfaction],Table14[Deskripsi])</f>
        <v>High</v>
      </c>
      <c r="AE996" t="str">
        <f>_xlfn.XLOOKUP(Table1[[#This Row],[MaritalStatus]],Table15[MaritalStatus],Table15[Id_MaritalStatus])</f>
        <v>MS002</v>
      </c>
      <c r="AF996" t="s">
        <v>56</v>
      </c>
      <c r="AG996">
        <v>13247</v>
      </c>
      <c r="AH996">
        <v>9731</v>
      </c>
      <c r="AI996">
        <v>2</v>
      </c>
      <c r="AJ996" t="str">
        <f>_xlfn.XLOOKUP(Table1[[#This Row],[OverTime]],Table16[OverTime],Table16[Id_OverTime])</f>
        <v>OT001</v>
      </c>
      <c r="AK996" t="s">
        <v>32</v>
      </c>
      <c r="AL996">
        <v>11</v>
      </c>
      <c r="AM996" t="str">
        <f>_xlfn.XLOOKUP(Table1[[#This Row],[PerformanceRating]],Table17[PerformanceRating],Table17[Id_PerformanceRating])</f>
        <v>PR003</v>
      </c>
      <c r="AN996">
        <v>3</v>
      </c>
      <c r="AO996" t="str">
        <f>_xlfn.XLOOKUP(Table1[[#This Row],[PerformanceRating]],Table17[PerformanceRating],Table17[Deskripsi])</f>
        <v>Excellent</v>
      </c>
      <c r="AP996" t="str">
        <f>_xlfn.XLOOKUP(Table1[[#This Row],[RelationshipSatisfaction]],Table18[RelationshipSatisfaction],Table18[Id_RelationshipSatisfaction])</f>
        <v>RS002</v>
      </c>
      <c r="AQ996">
        <v>2</v>
      </c>
      <c r="AR996" t="str">
        <f>_xlfn.XLOOKUP(Table1[[#This Row],[RelationshipSatisfaction]],Table18[RelationshipSatisfaction],Table18[Deskripsi])</f>
        <v>Medium</v>
      </c>
      <c r="AS996" t="str">
        <f>_xlfn.XLOOKUP(Table1[[#This Row],[StockOptionLevel]],Table19[StockOptionLevel],Table19[Id_StockOptionLevel])</f>
        <v>SOL002</v>
      </c>
      <c r="AT996">
        <v>1</v>
      </c>
      <c r="AU996" t="str">
        <f>_xlfn.XLOOKUP(Table1[[#This Row],[StockOptionLevel]],Table19[StockOptionLevel],Table19[Deskripsi])</f>
        <v>Standard</v>
      </c>
      <c r="AV996">
        <v>24</v>
      </c>
      <c r="AW996">
        <v>3</v>
      </c>
      <c r="AX996" t="str">
        <f>_xlfn.XLOOKUP(Table1[[#This Row],[WorkLifeBalance]],Table20[WorkLifeBalance],Table20[Id_WorkLifeBalance])</f>
        <v>WLB003</v>
      </c>
      <c r="AY996">
        <v>2</v>
      </c>
      <c r="AZ996" t="str">
        <f>_xlfn.XLOOKUP(Table1[[#This Row],[WorkLifeBalance]],Table20[WorkLifeBalance],Table20[Deskripsi])</f>
        <v>Better</v>
      </c>
      <c r="BA996">
        <v>5</v>
      </c>
      <c r="BB996">
        <v>3</v>
      </c>
      <c r="BC996">
        <v>0</v>
      </c>
      <c r="BD996">
        <v>2</v>
      </c>
    </row>
    <row r="997" spans="1:56" x14ac:dyDescent="0.25">
      <c r="A997">
        <v>43</v>
      </c>
      <c r="B997" t="str">
        <f>_xlfn.XLOOKUP(Table1[[#This Row],[Attrition]],Table2[Attrition],Table2[Id_Attrition])</f>
        <v>A002</v>
      </c>
      <c r="C997" t="s">
        <v>33</v>
      </c>
      <c r="D997" t="str">
        <f>_xlfn.XLOOKUP(Table1[[#This Row],[BusinessTravel]],Table5[BusinessTravel],Table5[Id_BusinessTravel])</f>
        <v>BS001</v>
      </c>
      <c r="E997" t="s">
        <v>34</v>
      </c>
      <c r="F997">
        <v>930</v>
      </c>
      <c r="G997" t="str">
        <f>_xlfn.XLOOKUP(Table1[[#This Row],[Department]],Table6[Department],Table6[Id_Departement])</f>
        <v>D002</v>
      </c>
      <c r="H997" t="s">
        <v>38</v>
      </c>
      <c r="I997">
        <v>6</v>
      </c>
      <c r="J997" t="str">
        <f>_xlfn.XLOOKUP(Table1[[#This Row],[Education]],Table8[Education],Table8[Id_Education])</f>
        <v>E003</v>
      </c>
      <c r="K997">
        <v>3</v>
      </c>
      <c r="L997" t="str">
        <f>_xlfn.XLOOKUP(Table1[[#This Row],[EducationField]],Table7[EducationField],Table7[Id_EducationField])</f>
        <v>EF003</v>
      </c>
      <c r="M997" t="s">
        <v>42</v>
      </c>
      <c r="N997" t="str">
        <f>_xlfn.XLOOKUP(Table1[[#This Row],[EmployeeNumber]],Table4[EmployeeNumber],Table4[Id_Employee])</f>
        <v>EMP00996</v>
      </c>
      <c r="O997">
        <v>1402</v>
      </c>
      <c r="P997" t="str">
        <f>_xlfn.XLOOKUP(Table1[[#This Row],[EnvironmentSatisfaction]],Table9[EnvironmentSatisfaction],Table9[Id_EnviromentSatisfaction])</f>
        <v>ES001</v>
      </c>
      <c r="Q997">
        <v>1</v>
      </c>
      <c r="R997" t="str">
        <f>_xlfn.XLOOKUP(Table1[[#This Row],[EnvironmentSatisfaction]],Table9[EnvironmentSatisfaction],Table9[Deskripsi])</f>
        <v>Low</v>
      </c>
      <c r="S997" t="str">
        <f>_xlfn.XLOOKUP(Table1[[#This Row],[Gender]],Table10[Gender],Table10[Id_Gender])</f>
        <v>G001</v>
      </c>
      <c r="T997" t="s">
        <v>45</v>
      </c>
      <c r="U997">
        <v>73</v>
      </c>
      <c r="V997" t="str">
        <f>_xlfn.XLOOKUP(Table1[[#This Row],[JobInvolvement]],Table11[JobInvolvement],Table11[Id_JobInvolvement])</f>
        <v>JI002</v>
      </c>
      <c r="W997">
        <v>2</v>
      </c>
      <c r="X997" t="str">
        <f>_xlfn.XLOOKUP(Table1[[#This Row],[JobLevel]],Table12[JobLevel],Table12[Id_JobLevel])</f>
        <v>JL002</v>
      </c>
      <c r="Y997">
        <v>2</v>
      </c>
      <c r="Z997" t="str">
        <f>_xlfn.XLOOKUP(Table1[[#This Row],[JobRole]],Table13[JobRole],Table13[Id_JobRole])</f>
        <v>JR002</v>
      </c>
      <c r="AA997" t="s">
        <v>48</v>
      </c>
      <c r="AB997" t="str">
        <f>_xlfn.XLOOKUP(Table1[[#This Row],[JobSatisfaction]],Table14[JobSatisfaction],Table14[Id_JobSatisfaction])</f>
        <v>JS003</v>
      </c>
      <c r="AC997">
        <v>3</v>
      </c>
      <c r="AD997" t="str">
        <f>_xlfn.XLOOKUP(Table1[[#This Row],[JobSatisfaction]],Table14[JobSatisfaction],Table14[Deskripsi])</f>
        <v>High</v>
      </c>
      <c r="AE997" t="str">
        <f>_xlfn.XLOOKUP(Table1[[#This Row],[MaritalStatus]],Table15[MaritalStatus],Table15[Id_MaritalStatus])</f>
        <v>MS001</v>
      </c>
      <c r="AF997" t="s">
        <v>55</v>
      </c>
      <c r="AG997">
        <v>4081</v>
      </c>
      <c r="AH997">
        <v>20003</v>
      </c>
      <c r="AI997">
        <v>1</v>
      </c>
      <c r="AJ997" t="str">
        <f>_xlfn.XLOOKUP(Table1[[#This Row],[OverTime]],Table16[OverTime],Table16[Id_OverTime])</f>
        <v>OT001</v>
      </c>
      <c r="AK997" t="s">
        <v>32</v>
      </c>
      <c r="AL997">
        <v>14</v>
      </c>
      <c r="AM997" t="str">
        <f>_xlfn.XLOOKUP(Table1[[#This Row],[PerformanceRating]],Table17[PerformanceRating],Table17[Id_PerformanceRating])</f>
        <v>PR003</v>
      </c>
      <c r="AN997">
        <v>3</v>
      </c>
      <c r="AO997" t="str">
        <f>_xlfn.XLOOKUP(Table1[[#This Row],[PerformanceRating]],Table17[PerformanceRating],Table17[Deskripsi])</f>
        <v>Excellent</v>
      </c>
      <c r="AP997" t="str">
        <f>_xlfn.XLOOKUP(Table1[[#This Row],[RelationshipSatisfaction]],Table18[RelationshipSatisfaction],Table18[Id_RelationshipSatisfaction])</f>
        <v>RS001</v>
      </c>
      <c r="AQ997">
        <v>1</v>
      </c>
      <c r="AR997" t="str">
        <f>_xlfn.XLOOKUP(Table1[[#This Row],[RelationshipSatisfaction]],Table18[RelationshipSatisfaction],Table18[Deskripsi])</f>
        <v>Low</v>
      </c>
      <c r="AS997" t="str">
        <f>_xlfn.XLOOKUP(Table1[[#This Row],[StockOptionLevel]],Table19[StockOptionLevel],Table19[Id_StockOptionLevel])</f>
        <v>SOL001</v>
      </c>
      <c r="AT997">
        <v>0</v>
      </c>
      <c r="AU997" t="str">
        <f>_xlfn.XLOOKUP(Table1[[#This Row],[StockOptionLevel]],Table19[StockOptionLevel],Table19[Deskripsi])</f>
        <v>Non-Eligible</v>
      </c>
      <c r="AV997">
        <v>20</v>
      </c>
      <c r="AW997">
        <v>3</v>
      </c>
      <c r="AX997" t="str">
        <f>_xlfn.XLOOKUP(Table1[[#This Row],[WorkLifeBalance]],Table20[WorkLifeBalance],Table20[Id_WorkLifeBalance])</f>
        <v>WLB001</v>
      </c>
      <c r="AY997">
        <v>1</v>
      </c>
      <c r="AZ997" t="str">
        <f>_xlfn.XLOOKUP(Table1[[#This Row],[WorkLifeBalance]],Table20[WorkLifeBalance],Table20[Deskripsi])</f>
        <v>Bad</v>
      </c>
      <c r="BA997">
        <v>20</v>
      </c>
      <c r="BB997">
        <v>7</v>
      </c>
      <c r="BC997">
        <v>1</v>
      </c>
      <c r="BD997">
        <v>8</v>
      </c>
    </row>
    <row r="998" spans="1:56" x14ac:dyDescent="0.25">
      <c r="A998">
        <v>27</v>
      </c>
      <c r="B998" t="str">
        <f>_xlfn.XLOOKUP(Table1[[#This Row],[Attrition]],Table2[Attrition],Table2[Id_Attrition])</f>
        <v>A002</v>
      </c>
      <c r="C998" t="s">
        <v>33</v>
      </c>
      <c r="D998" t="str">
        <f>_xlfn.XLOOKUP(Table1[[#This Row],[BusinessTravel]],Table5[BusinessTravel],Table5[Id_BusinessTravel])</f>
        <v>BS001</v>
      </c>
      <c r="E998" t="s">
        <v>34</v>
      </c>
      <c r="F998">
        <v>205</v>
      </c>
      <c r="G998" t="str">
        <f>_xlfn.XLOOKUP(Table1[[#This Row],[Department]],Table6[Department],Table6[Id_Departement])</f>
        <v>D001</v>
      </c>
      <c r="H998" t="s">
        <v>37</v>
      </c>
      <c r="I998">
        <v>10</v>
      </c>
      <c r="J998" t="str">
        <f>_xlfn.XLOOKUP(Table1[[#This Row],[Education]],Table8[Education],Table8[Id_Education])</f>
        <v>E003</v>
      </c>
      <c r="K998">
        <v>3</v>
      </c>
      <c r="L998" t="str">
        <f>_xlfn.XLOOKUP(Table1[[#This Row],[EducationField]],Table7[EducationField],Table7[Id_EducationField])</f>
        <v>EF004</v>
      </c>
      <c r="M998" t="s">
        <v>43</v>
      </c>
      <c r="N998" t="str">
        <f>_xlfn.XLOOKUP(Table1[[#This Row],[EmployeeNumber]],Table4[EmployeeNumber],Table4[Id_Employee])</f>
        <v>EMP00997</v>
      </c>
      <c r="O998">
        <v>1403</v>
      </c>
      <c r="P998" t="str">
        <f>_xlfn.XLOOKUP(Table1[[#This Row],[EnvironmentSatisfaction]],Table9[EnvironmentSatisfaction],Table9[Id_EnviromentSatisfaction])</f>
        <v>ES004</v>
      </c>
      <c r="Q998">
        <v>4</v>
      </c>
      <c r="R998" t="str">
        <f>_xlfn.XLOOKUP(Table1[[#This Row],[EnvironmentSatisfaction]],Table9[EnvironmentSatisfaction],Table9[Deskripsi])</f>
        <v>Very High</v>
      </c>
      <c r="S998" t="str">
        <f>_xlfn.XLOOKUP(Table1[[#This Row],[Gender]],Table10[Gender],Table10[Id_Gender])</f>
        <v>G001</v>
      </c>
      <c r="T998" t="s">
        <v>45</v>
      </c>
      <c r="U998">
        <v>98</v>
      </c>
      <c r="V998" t="str">
        <f>_xlfn.XLOOKUP(Table1[[#This Row],[JobInvolvement]],Table11[JobInvolvement],Table11[Id_JobInvolvement])</f>
        <v>JI002</v>
      </c>
      <c r="W998">
        <v>2</v>
      </c>
      <c r="X998" t="str">
        <f>_xlfn.XLOOKUP(Table1[[#This Row],[JobLevel]],Table12[JobLevel],Table12[Id_JobLevel])</f>
        <v>JL002</v>
      </c>
      <c r="Y998">
        <v>2</v>
      </c>
      <c r="Z998" t="str">
        <f>_xlfn.XLOOKUP(Table1[[#This Row],[JobRole]],Table13[JobRole],Table13[Id_JobRole])</f>
        <v>JR001</v>
      </c>
      <c r="AA998" t="s">
        <v>47</v>
      </c>
      <c r="AB998" t="str">
        <f>_xlfn.XLOOKUP(Table1[[#This Row],[JobSatisfaction]],Table14[JobSatisfaction],Table14[Id_JobSatisfaction])</f>
        <v>JS004</v>
      </c>
      <c r="AC998">
        <v>4</v>
      </c>
      <c r="AD998" t="str">
        <f>_xlfn.XLOOKUP(Table1[[#This Row],[JobSatisfaction]],Table14[JobSatisfaction],Table14[Deskripsi])</f>
        <v>Very High</v>
      </c>
      <c r="AE998" t="str">
        <f>_xlfn.XLOOKUP(Table1[[#This Row],[MaritalStatus]],Table15[MaritalStatus],Table15[Id_MaritalStatus])</f>
        <v>MS002</v>
      </c>
      <c r="AF998" t="s">
        <v>56</v>
      </c>
      <c r="AG998">
        <v>5769</v>
      </c>
      <c r="AH998">
        <v>7100</v>
      </c>
      <c r="AI998">
        <v>1</v>
      </c>
      <c r="AJ998" t="str">
        <f>_xlfn.XLOOKUP(Table1[[#This Row],[OverTime]],Table16[OverTime],Table16[Id_OverTime])</f>
        <v>OT001</v>
      </c>
      <c r="AK998" t="s">
        <v>32</v>
      </c>
      <c r="AL998">
        <v>11</v>
      </c>
      <c r="AM998" t="str">
        <f>_xlfn.XLOOKUP(Table1[[#This Row],[PerformanceRating]],Table17[PerformanceRating],Table17[Id_PerformanceRating])</f>
        <v>PR003</v>
      </c>
      <c r="AN998">
        <v>3</v>
      </c>
      <c r="AO998" t="str">
        <f>_xlfn.XLOOKUP(Table1[[#This Row],[PerformanceRating]],Table17[PerformanceRating],Table17[Deskripsi])</f>
        <v>Excellent</v>
      </c>
      <c r="AP998" t="str">
        <f>_xlfn.XLOOKUP(Table1[[#This Row],[RelationshipSatisfaction]],Table18[RelationshipSatisfaction],Table18[Id_RelationshipSatisfaction])</f>
        <v>RS004</v>
      </c>
      <c r="AQ998">
        <v>4</v>
      </c>
      <c r="AR998" t="str">
        <f>_xlfn.XLOOKUP(Table1[[#This Row],[RelationshipSatisfaction]],Table18[RelationshipSatisfaction],Table18[Deskripsi])</f>
        <v>Very High</v>
      </c>
      <c r="AS998" t="str">
        <f>_xlfn.XLOOKUP(Table1[[#This Row],[StockOptionLevel]],Table19[StockOptionLevel],Table19[Id_StockOptionLevel])</f>
        <v>SOL001</v>
      </c>
      <c r="AT998">
        <v>0</v>
      </c>
      <c r="AU998" t="str">
        <f>_xlfn.XLOOKUP(Table1[[#This Row],[StockOptionLevel]],Table19[StockOptionLevel],Table19[Deskripsi])</f>
        <v>Non-Eligible</v>
      </c>
      <c r="AV998">
        <v>6</v>
      </c>
      <c r="AW998">
        <v>3</v>
      </c>
      <c r="AX998" t="str">
        <f>_xlfn.XLOOKUP(Table1[[#This Row],[WorkLifeBalance]],Table20[WorkLifeBalance],Table20[Id_WorkLifeBalance])</f>
        <v>WLB002</v>
      </c>
      <c r="AY998">
        <v>3</v>
      </c>
      <c r="AZ998" t="str">
        <f>_xlfn.XLOOKUP(Table1[[#This Row],[WorkLifeBalance]],Table20[WorkLifeBalance],Table20[Deskripsi])</f>
        <v>Good</v>
      </c>
      <c r="BA998">
        <v>6</v>
      </c>
      <c r="BB998">
        <v>2</v>
      </c>
      <c r="BC998">
        <v>4</v>
      </c>
      <c r="BD998">
        <v>4</v>
      </c>
    </row>
    <row r="999" spans="1:56" x14ac:dyDescent="0.25">
      <c r="A999">
        <v>27</v>
      </c>
      <c r="B999" t="str">
        <f>_xlfn.XLOOKUP(Table1[[#This Row],[Attrition]],Table2[Attrition],Table2[Id_Attrition])</f>
        <v>A001</v>
      </c>
      <c r="C999" t="s">
        <v>32</v>
      </c>
      <c r="D999" t="str">
        <f>_xlfn.XLOOKUP(Table1[[#This Row],[BusinessTravel]],Table5[BusinessTravel],Table5[Id_BusinessTravel])</f>
        <v>BS001</v>
      </c>
      <c r="E999" t="s">
        <v>34</v>
      </c>
      <c r="F999">
        <v>135</v>
      </c>
      <c r="G999" t="str">
        <f>_xlfn.XLOOKUP(Table1[[#This Row],[Department]],Table6[Department],Table6[Id_Departement])</f>
        <v>D002</v>
      </c>
      <c r="H999" t="s">
        <v>38</v>
      </c>
      <c r="I999">
        <v>17</v>
      </c>
      <c r="J999" t="str">
        <f>_xlfn.XLOOKUP(Table1[[#This Row],[Education]],Table8[Education],Table8[Id_Education])</f>
        <v>E004</v>
      </c>
      <c r="K999">
        <v>4</v>
      </c>
      <c r="L999" t="str">
        <f>_xlfn.XLOOKUP(Table1[[#This Row],[EducationField]],Table7[EducationField],Table7[Id_EducationField])</f>
        <v>EF001</v>
      </c>
      <c r="M999" t="s">
        <v>40</v>
      </c>
      <c r="N999" t="str">
        <f>_xlfn.XLOOKUP(Table1[[#This Row],[EmployeeNumber]],Table4[EmployeeNumber],Table4[Id_Employee])</f>
        <v>EMP00998</v>
      </c>
      <c r="O999">
        <v>1405</v>
      </c>
      <c r="P999" t="str">
        <f>_xlfn.XLOOKUP(Table1[[#This Row],[EnvironmentSatisfaction]],Table9[EnvironmentSatisfaction],Table9[Id_EnviromentSatisfaction])</f>
        <v>ES004</v>
      </c>
      <c r="Q999">
        <v>4</v>
      </c>
      <c r="R999" t="str">
        <f>_xlfn.XLOOKUP(Table1[[#This Row],[EnvironmentSatisfaction]],Table9[EnvironmentSatisfaction],Table9[Deskripsi])</f>
        <v>Very High</v>
      </c>
      <c r="S999" t="str">
        <f>_xlfn.XLOOKUP(Table1[[#This Row],[Gender]],Table10[Gender],Table10[Id_Gender])</f>
        <v>G001</v>
      </c>
      <c r="T999" t="s">
        <v>45</v>
      </c>
      <c r="U999">
        <v>51</v>
      </c>
      <c r="V999" t="str">
        <f>_xlfn.XLOOKUP(Table1[[#This Row],[JobInvolvement]],Table11[JobInvolvement],Table11[Id_JobInvolvement])</f>
        <v>JI003</v>
      </c>
      <c r="W999">
        <v>3</v>
      </c>
      <c r="X999" t="str">
        <f>_xlfn.XLOOKUP(Table1[[#This Row],[JobLevel]],Table12[JobLevel],Table12[Id_JobLevel])</f>
        <v>JL001</v>
      </c>
      <c r="Y999">
        <v>1</v>
      </c>
      <c r="Z999" t="str">
        <f>_xlfn.XLOOKUP(Table1[[#This Row],[JobRole]],Table13[JobRole],Table13[Id_JobRole])</f>
        <v>JR002</v>
      </c>
      <c r="AA999" t="s">
        <v>48</v>
      </c>
      <c r="AB999" t="str">
        <f>_xlfn.XLOOKUP(Table1[[#This Row],[JobSatisfaction]],Table14[JobSatisfaction],Table14[Id_JobSatisfaction])</f>
        <v>JS003</v>
      </c>
      <c r="AC999">
        <v>3</v>
      </c>
      <c r="AD999" t="str">
        <f>_xlfn.XLOOKUP(Table1[[#This Row],[JobSatisfaction]],Table14[JobSatisfaction],Table14[Deskripsi])</f>
        <v>High</v>
      </c>
      <c r="AE999" t="str">
        <f>_xlfn.XLOOKUP(Table1[[#This Row],[MaritalStatus]],Table15[MaritalStatus],Table15[Id_MaritalStatus])</f>
        <v>MS001</v>
      </c>
      <c r="AF999" t="s">
        <v>55</v>
      </c>
      <c r="AG999">
        <v>2394</v>
      </c>
      <c r="AH999">
        <v>25681</v>
      </c>
      <c r="AI999">
        <v>1</v>
      </c>
      <c r="AJ999" t="str">
        <f>_xlfn.XLOOKUP(Table1[[#This Row],[OverTime]],Table16[OverTime],Table16[Id_OverTime])</f>
        <v>OT001</v>
      </c>
      <c r="AK999" t="s">
        <v>32</v>
      </c>
      <c r="AL999">
        <v>13</v>
      </c>
      <c r="AM999" t="str">
        <f>_xlfn.XLOOKUP(Table1[[#This Row],[PerformanceRating]],Table17[PerformanceRating],Table17[Id_PerformanceRating])</f>
        <v>PR003</v>
      </c>
      <c r="AN999">
        <v>3</v>
      </c>
      <c r="AO999" t="str">
        <f>_xlfn.XLOOKUP(Table1[[#This Row],[PerformanceRating]],Table17[PerformanceRating],Table17[Deskripsi])</f>
        <v>Excellent</v>
      </c>
      <c r="AP999" t="str">
        <f>_xlfn.XLOOKUP(Table1[[#This Row],[RelationshipSatisfaction]],Table18[RelationshipSatisfaction],Table18[Id_RelationshipSatisfaction])</f>
        <v>RS004</v>
      </c>
      <c r="AQ999">
        <v>4</v>
      </c>
      <c r="AR999" t="str">
        <f>_xlfn.XLOOKUP(Table1[[#This Row],[RelationshipSatisfaction]],Table18[RelationshipSatisfaction],Table18[Deskripsi])</f>
        <v>Very High</v>
      </c>
      <c r="AS999" t="str">
        <f>_xlfn.XLOOKUP(Table1[[#This Row],[StockOptionLevel]],Table19[StockOptionLevel],Table19[Id_StockOptionLevel])</f>
        <v>SOL001</v>
      </c>
      <c r="AT999">
        <v>0</v>
      </c>
      <c r="AU999" t="str">
        <f>_xlfn.XLOOKUP(Table1[[#This Row],[StockOptionLevel]],Table19[StockOptionLevel],Table19[Deskripsi])</f>
        <v>Non-Eligible</v>
      </c>
      <c r="AV999">
        <v>8</v>
      </c>
      <c r="AW999">
        <v>2</v>
      </c>
      <c r="AX999" t="str">
        <f>_xlfn.XLOOKUP(Table1[[#This Row],[WorkLifeBalance]],Table20[WorkLifeBalance],Table20[Id_WorkLifeBalance])</f>
        <v>WLB002</v>
      </c>
      <c r="AY999">
        <v>3</v>
      </c>
      <c r="AZ999" t="str">
        <f>_xlfn.XLOOKUP(Table1[[#This Row],[WorkLifeBalance]],Table20[WorkLifeBalance],Table20[Deskripsi])</f>
        <v>Good</v>
      </c>
      <c r="BA999">
        <v>8</v>
      </c>
      <c r="BB999">
        <v>2</v>
      </c>
      <c r="BC999">
        <v>7</v>
      </c>
      <c r="BD999">
        <v>7</v>
      </c>
    </row>
    <row r="1000" spans="1:56" x14ac:dyDescent="0.25">
      <c r="A1000">
        <v>26</v>
      </c>
      <c r="B1000" t="str">
        <f>_xlfn.XLOOKUP(Table1[[#This Row],[Attrition]],Table2[Attrition],Table2[Id_Attrition])</f>
        <v>A002</v>
      </c>
      <c r="C1000" t="s">
        <v>33</v>
      </c>
      <c r="D1000" t="str">
        <f>_xlfn.XLOOKUP(Table1[[#This Row],[BusinessTravel]],Table5[BusinessTravel],Table5[Id_BusinessTravel])</f>
        <v>BS001</v>
      </c>
      <c r="E1000" t="s">
        <v>34</v>
      </c>
      <c r="F1000">
        <v>683</v>
      </c>
      <c r="G1000" t="str">
        <f>_xlfn.XLOOKUP(Table1[[#This Row],[Department]],Table6[Department],Table6[Id_Departement])</f>
        <v>D002</v>
      </c>
      <c r="H1000" t="s">
        <v>38</v>
      </c>
      <c r="I1000">
        <v>2</v>
      </c>
      <c r="J1000" t="str">
        <f>_xlfn.XLOOKUP(Table1[[#This Row],[Education]],Table8[Education],Table8[Id_Education])</f>
        <v>E001</v>
      </c>
      <c r="K1000">
        <v>1</v>
      </c>
      <c r="L1000" t="str">
        <f>_xlfn.XLOOKUP(Table1[[#This Row],[EducationField]],Table7[EducationField],Table7[Id_EducationField])</f>
        <v>EF003</v>
      </c>
      <c r="M1000" t="s">
        <v>42</v>
      </c>
      <c r="N1000" t="str">
        <f>_xlfn.XLOOKUP(Table1[[#This Row],[EmployeeNumber]],Table4[EmployeeNumber],Table4[Id_Employee])</f>
        <v>EMP00999</v>
      </c>
      <c r="O1000">
        <v>1407</v>
      </c>
      <c r="P1000" t="str">
        <f>_xlfn.XLOOKUP(Table1[[#This Row],[EnvironmentSatisfaction]],Table9[EnvironmentSatisfaction],Table9[Id_EnviromentSatisfaction])</f>
        <v>ES001</v>
      </c>
      <c r="Q1000">
        <v>1</v>
      </c>
      <c r="R1000" t="str">
        <f>_xlfn.XLOOKUP(Table1[[#This Row],[EnvironmentSatisfaction]],Table9[EnvironmentSatisfaction],Table9[Deskripsi])</f>
        <v>Low</v>
      </c>
      <c r="S1000" t="str">
        <f>_xlfn.XLOOKUP(Table1[[#This Row],[Gender]],Table10[Gender],Table10[Id_Gender])</f>
        <v>G002</v>
      </c>
      <c r="T1000" t="s">
        <v>46</v>
      </c>
      <c r="U1000">
        <v>36</v>
      </c>
      <c r="V1000" t="str">
        <f>_xlfn.XLOOKUP(Table1[[#This Row],[JobInvolvement]],Table11[JobInvolvement],Table11[Id_JobInvolvement])</f>
        <v>JI002</v>
      </c>
      <c r="W1000">
        <v>2</v>
      </c>
      <c r="X1000" t="str">
        <f>_xlfn.XLOOKUP(Table1[[#This Row],[JobLevel]],Table12[JobLevel],Table12[Id_JobLevel])</f>
        <v>JL001</v>
      </c>
      <c r="Y1000">
        <v>1</v>
      </c>
      <c r="Z1000" t="str">
        <f>_xlfn.XLOOKUP(Table1[[#This Row],[JobRole]],Table13[JobRole],Table13[Id_JobRole])</f>
        <v>JR002</v>
      </c>
      <c r="AA1000" t="s">
        <v>48</v>
      </c>
      <c r="AB1000" t="str">
        <f>_xlfn.XLOOKUP(Table1[[#This Row],[JobSatisfaction]],Table14[JobSatisfaction],Table14[Id_JobSatisfaction])</f>
        <v>JS004</v>
      </c>
      <c r="AC1000">
        <v>4</v>
      </c>
      <c r="AD1000" t="str">
        <f>_xlfn.XLOOKUP(Table1[[#This Row],[JobSatisfaction]],Table14[JobSatisfaction],Table14[Deskripsi])</f>
        <v>Very High</v>
      </c>
      <c r="AE1000" t="str">
        <f>_xlfn.XLOOKUP(Table1[[#This Row],[MaritalStatus]],Table15[MaritalStatus],Table15[Id_MaritalStatus])</f>
        <v>MS001</v>
      </c>
      <c r="AF1000" t="s">
        <v>55</v>
      </c>
      <c r="AG1000">
        <v>3904</v>
      </c>
      <c r="AH1000">
        <v>4050</v>
      </c>
      <c r="AI1000">
        <v>0</v>
      </c>
      <c r="AJ1000" t="str">
        <f>_xlfn.XLOOKUP(Table1[[#This Row],[OverTime]],Table16[OverTime],Table16[Id_OverTime])</f>
        <v>OT002</v>
      </c>
      <c r="AK1000" t="s">
        <v>33</v>
      </c>
      <c r="AL1000">
        <v>12</v>
      </c>
      <c r="AM1000" t="str">
        <f>_xlfn.XLOOKUP(Table1[[#This Row],[PerformanceRating]],Table17[PerformanceRating],Table17[Id_PerformanceRating])</f>
        <v>PR003</v>
      </c>
      <c r="AN1000">
        <v>3</v>
      </c>
      <c r="AO1000" t="str">
        <f>_xlfn.XLOOKUP(Table1[[#This Row],[PerformanceRating]],Table17[PerformanceRating],Table17[Deskripsi])</f>
        <v>Excellent</v>
      </c>
      <c r="AP1000" t="str">
        <f>_xlfn.XLOOKUP(Table1[[#This Row],[RelationshipSatisfaction]],Table18[RelationshipSatisfaction],Table18[Id_RelationshipSatisfaction])</f>
        <v>RS004</v>
      </c>
      <c r="AQ1000">
        <v>4</v>
      </c>
      <c r="AR1000" t="str">
        <f>_xlfn.XLOOKUP(Table1[[#This Row],[RelationshipSatisfaction]],Table18[RelationshipSatisfaction],Table18[Deskripsi])</f>
        <v>Very High</v>
      </c>
      <c r="AS1000" t="str">
        <f>_xlfn.XLOOKUP(Table1[[#This Row],[StockOptionLevel]],Table19[StockOptionLevel],Table19[Id_StockOptionLevel])</f>
        <v>SOL001</v>
      </c>
      <c r="AT1000">
        <v>0</v>
      </c>
      <c r="AU1000" t="str">
        <f>_xlfn.XLOOKUP(Table1[[#This Row],[StockOptionLevel]],Table19[StockOptionLevel],Table19[Deskripsi])</f>
        <v>Non-Eligible</v>
      </c>
      <c r="AV1000">
        <v>5</v>
      </c>
      <c r="AW1000">
        <v>2</v>
      </c>
      <c r="AX1000" t="str">
        <f>_xlfn.XLOOKUP(Table1[[#This Row],[WorkLifeBalance]],Table20[WorkLifeBalance],Table20[Id_WorkLifeBalance])</f>
        <v>WLB002</v>
      </c>
      <c r="AY1000">
        <v>3</v>
      </c>
      <c r="AZ1000" t="str">
        <f>_xlfn.XLOOKUP(Table1[[#This Row],[WorkLifeBalance]],Table20[WorkLifeBalance],Table20[Deskripsi])</f>
        <v>Good</v>
      </c>
      <c r="BA1000">
        <v>4</v>
      </c>
      <c r="BB1000">
        <v>3</v>
      </c>
      <c r="BC1000">
        <v>1</v>
      </c>
      <c r="BD1000">
        <v>1</v>
      </c>
    </row>
    <row r="1001" spans="1:56" x14ac:dyDescent="0.25">
      <c r="A1001">
        <v>42</v>
      </c>
      <c r="B1001" t="str">
        <f>_xlfn.XLOOKUP(Table1[[#This Row],[Attrition]],Table2[Attrition],Table2[Id_Attrition])</f>
        <v>A002</v>
      </c>
      <c r="C1001" t="s">
        <v>33</v>
      </c>
      <c r="D1001" t="str">
        <f>_xlfn.XLOOKUP(Table1[[#This Row],[BusinessTravel]],Table5[BusinessTravel],Table5[Id_BusinessTravel])</f>
        <v>BS001</v>
      </c>
      <c r="E1001" t="s">
        <v>34</v>
      </c>
      <c r="F1001">
        <v>1147</v>
      </c>
      <c r="G1001" t="str">
        <f>_xlfn.XLOOKUP(Table1[[#This Row],[Department]],Table6[Department],Table6[Id_Departement])</f>
        <v>D003</v>
      </c>
      <c r="H1001" t="s">
        <v>39</v>
      </c>
      <c r="I1001">
        <v>10</v>
      </c>
      <c r="J1001" t="str">
        <f>_xlfn.XLOOKUP(Table1[[#This Row],[Education]],Table8[Education],Table8[Id_Education])</f>
        <v>E003</v>
      </c>
      <c r="K1001">
        <v>3</v>
      </c>
      <c r="L1001" t="str">
        <f>_xlfn.XLOOKUP(Table1[[#This Row],[EducationField]],Table7[EducationField],Table7[Id_EducationField])</f>
        <v>EF006</v>
      </c>
      <c r="M1001" t="s">
        <v>39</v>
      </c>
      <c r="N1001" t="str">
        <f>_xlfn.XLOOKUP(Table1[[#This Row],[EmployeeNumber]],Table4[EmployeeNumber],Table4[Id_Employee])</f>
        <v>EMP01000</v>
      </c>
      <c r="O1001">
        <v>1408</v>
      </c>
      <c r="P1001" t="str">
        <f>_xlfn.XLOOKUP(Table1[[#This Row],[EnvironmentSatisfaction]],Table9[EnvironmentSatisfaction],Table9[Id_EnviromentSatisfaction])</f>
        <v>ES003</v>
      </c>
      <c r="Q1001">
        <v>3</v>
      </c>
      <c r="R1001" t="str">
        <f>_xlfn.XLOOKUP(Table1[[#This Row],[EnvironmentSatisfaction]],Table9[EnvironmentSatisfaction],Table9[Deskripsi])</f>
        <v>High</v>
      </c>
      <c r="S1001" t="str">
        <f>_xlfn.XLOOKUP(Table1[[#This Row],[Gender]],Table10[Gender],Table10[Id_Gender])</f>
        <v>G001</v>
      </c>
      <c r="T1001" t="s">
        <v>45</v>
      </c>
      <c r="U1001">
        <v>31</v>
      </c>
      <c r="V1001" t="str">
        <f>_xlfn.XLOOKUP(Table1[[#This Row],[JobInvolvement]],Table11[JobInvolvement],Table11[Id_JobInvolvement])</f>
        <v>JI003</v>
      </c>
      <c r="W1001">
        <v>3</v>
      </c>
      <c r="X1001" t="str">
        <f>_xlfn.XLOOKUP(Table1[[#This Row],[JobLevel]],Table12[JobLevel],Table12[Id_JobLevel])</f>
        <v>JL004</v>
      </c>
      <c r="Y1001">
        <v>4</v>
      </c>
      <c r="Z1001" t="str">
        <f>_xlfn.XLOOKUP(Table1[[#This Row],[JobRole]],Table13[JobRole],Table13[Id_JobRole])</f>
        <v>JR006</v>
      </c>
      <c r="AA1001" t="s">
        <v>52</v>
      </c>
      <c r="AB1001" t="str">
        <f>_xlfn.XLOOKUP(Table1[[#This Row],[JobSatisfaction]],Table14[JobSatisfaction],Table14[Id_JobSatisfaction])</f>
        <v>JS001</v>
      </c>
      <c r="AC1001">
        <v>1</v>
      </c>
      <c r="AD1001" t="str">
        <f>_xlfn.XLOOKUP(Table1[[#This Row],[JobSatisfaction]],Table14[JobSatisfaction],Table14[Deskripsi])</f>
        <v>Low</v>
      </c>
      <c r="AE1001" t="str">
        <f>_xlfn.XLOOKUP(Table1[[#This Row],[MaritalStatus]],Table15[MaritalStatus],Table15[Id_MaritalStatus])</f>
        <v>MS002</v>
      </c>
      <c r="AF1001" t="s">
        <v>56</v>
      </c>
      <c r="AG1001">
        <v>16799</v>
      </c>
      <c r="AH1001">
        <v>16616</v>
      </c>
      <c r="AI1001">
        <v>0</v>
      </c>
      <c r="AJ1001" t="str">
        <f>_xlfn.XLOOKUP(Table1[[#This Row],[OverTime]],Table16[OverTime],Table16[Id_OverTime])</f>
        <v>OT002</v>
      </c>
      <c r="AK1001" t="s">
        <v>33</v>
      </c>
      <c r="AL1001">
        <v>14</v>
      </c>
      <c r="AM1001" t="str">
        <f>_xlfn.XLOOKUP(Table1[[#This Row],[PerformanceRating]],Table17[PerformanceRating],Table17[Id_PerformanceRating])</f>
        <v>PR003</v>
      </c>
      <c r="AN1001">
        <v>3</v>
      </c>
      <c r="AO1001" t="str">
        <f>_xlfn.XLOOKUP(Table1[[#This Row],[PerformanceRating]],Table17[PerformanceRating],Table17[Deskripsi])</f>
        <v>Excellent</v>
      </c>
      <c r="AP1001" t="str">
        <f>_xlfn.XLOOKUP(Table1[[#This Row],[RelationshipSatisfaction]],Table18[RelationshipSatisfaction],Table18[Id_RelationshipSatisfaction])</f>
        <v>RS003</v>
      </c>
      <c r="AQ1001">
        <v>3</v>
      </c>
      <c r="AR1001" t="str">
        <f>_xlfn.XLOOKUP(Table1[[#This Row],[RelationshipSatisfaction]],Table18[RelationshipSatisfaction],Table18[Deskripsi])</f>
        <v>High</v>
      </c>
      <c r="AS1001" t="str">
        <f>_xlfn.XLOOKUP(Table1[[#This Row],[StockOptionLevel]],Table19[StockOptionLevel],Table19[Id_StockOptionLevel])</f>
        <v>SOL002</v>
      </c>
      <c r="AT1001">
        <v>1</v>
      </c>
      <c r="AU1001" t="str">
        <f>_xlfn.XLOOKUP(Table1[[#This Row],[StockOptionLevel]],Table19[StockOptionLevel],Table19[Deskripsi])</f>
        <v>Standard</v>
      </c>
      <c r="AV1001">
        <v>21</v>
      </c>
      <c r="AW1001">
        <v>5</v>
      </c>
      <c r="AX1001" t="str">
        <f>_xlfn.XLOOKUP(Table1[[#This Row],[WorkLifeBalance]],Table20[WorkLifeBalance],Table20[Id_WorkLifeBalance])</f>
        <v>WLB002</v>
      </c>
      <c r="AY1001">
        <v>3</v>
      </c>
      <c r="AZ1001" t="str">
        <f>_xlfn.XLOOKUP(Table1[[#This Row],[WorkLifeBalance]],Table20[WorkLifeBalance],Table20[Deskripsi])</f>
        <v>Good</v>
      </c>
      <c r="BA1001">
        <v>20</v>
      </c>
      <c r="BB1001">
        <v>7</v>
      </c>
      <c r="BC1001">
        <v>0</v>
      </c>
      <c r="BD1001">
        <v>9</v>
      </c>
    </row>
    <row r="1002" spans="1:56" x14ac:dyDescent="0.25">
      <c r="A1002">
        <v>52</v>
      </c>
      <c r="B1002" t="str">
        <f>_xlfn.XLOOKUP(Table1[[#This Row],[Attrition]],Table2[Attrition],Table2[Id_Attrition])</f>
        <v>A002</v>
      </c>
      <c r="C1002" t="s">
        <v>33</v>
      </c>
      <c r="D1002" t="str">
        <f>_xlfn.XLOOKUP(Table1[[#This Row],[BusinessTravel]],Table5[BusinessTravel],Table5[Id_BusinessTravel])</f>
        <v>BS001</v>
      </c>
      <c r="E1002" t="s">
        <v>34</v>
      </c>
      <c r="F1002">
        <v>258</v>
      </c>
      <c r="G1002" t="str">
        <f>_xlfn.XLOOKUP(Table1[[#This Row],[Department]],Table6[Department],Table6[Id_Departement])</f>
        <v>D002</v>
      </c>
      <c r="H1002" t="s">
        <v>38</v>
      </c>
      <c r="I1002">
        <v>8</v>
      </c>
      <c r="J1002" t="str">
        <f>_xlfn.XLOOKUP(Table1[[#This Row],[Education]],Table8[Education],Table8[Id_Education])</f>
        <v>E004</v>
      </c>
      <c r="K1002">
        <v>4</v>
      </c>
      <c r="L1002" t="str">
        <f>_xlfn.XLOOKUP(Table1[[#This Row],[EducationField]],Table7[EducationField],Table7[Id_EducationField])</f>
        <v>EF002</v>
      </c>
      <c r="M1002" t="s">
        <v>41</v>
      </c>
      <c r="N1002" t="str">
        <f>_xlfn.XLOOKUP(Table1[[#This Row],[EmployeeNumber]],Table4[EmployeeNumber],Table4[Id_Employee])</f>
        <v>EMP01001</v>
      </c>
      <c r="O1002">
        <v>1409</v>
      </c>
      <c r="P1002" t="str">
        <f>_xlfn.XLOOKUP(Table1[[#This Row],[EnvironmentSatisfaction]],Table9[EnvironmentSatisfaction],Table9[Id_EnviromentSatisfaction])</f>
        <v>ES003</v>
      </c>
      <c r="Q1002">
        <v>3</v>
      </c>
      <c r="R1002" t="str">
        <f>_xlfn.XLOOKUP(Table1[[#This Row],[EnvironmentSatisfaction]],Table9[EnvironmentSatisfaction],Table9[Deskripsi])</f>
        <v>High</v>
      </c>
      <c r="S1002" t="str">
        <f>_xlfn.XLOOKUP(Table1[[#This Row],[Gender]],Table10[Gender],Table10[Id_Gender])</f>
        <v>G001</v>
      </c>
      <c r="T1002" t="s">
        <v>45</v>
      </c>
      <c r="U1002">
        <v>54</v>
      </c>
      <c r="V1002" t="str">
        <f>_xlfn.XLOOKUP(Table1[[#This Row],[JobInvolvement]],Table11[JobInvolvement],Table11[Id_JobInvolvement])</f>
        <v>JI003</v>
      </c>
      <c r="W1002">
        <v>3</v>
      </c>
      <c r="X1002" t="str">
        <f>_xlfn.XLOOKUP(Table1[[#This Row],[JobLevel]],Table12[JobLevel],Table12[Id_JobLevel])</f>
        <v>JL001</v>
      </c>
      <c r="Y1002">
        <v>1</v>
      </c>
      <c r="Z1002" t="str">
        <f>_xlfn.XLOOKUP(Table1[[#This Row],[JobRole]],Table13[JobRole],Table13[Id_JobRole])</f>
        <v>JR003</v>
      </c>
      <c r="AA1002" t="s">
        <v>49</v>
      </c>
      <c r="AB1002" t="str">
        <f>_xlfn.XLOOKUP(Table1[[#This Row],[JobSatisfaction]],Table14[JobSatisfaction],Table14[Id_JobSatisfaction])</f>
        <v>JS001</v>
      </c>
      <c r="AC1002">
        <v>1</v>
      </c>
      <c r="AD1002" t="str">
        <f>_xlfn.XLOOKUP(Table1[[#This Row],[JobSatisfaction]],Table14[JobSatisfaction],Table14[Deskripsi])</f>
        <v>Low</v>
      </c>
      <c r="AE1002" t="str">
        <f>_xlfn.XLOOKUP(Table1[[#This Row],[MaritalStatus]],Table15[MaritalStatus],Table15[Id_MaritalStatus])</f>
        <v>MS002</v>
      </c>
      <c r="AF1002" t="s">
        <v>56</v>
      </c>
      <c r="AG1002">
        <v>2950</v>
      </c>
      <c r="AH1002">
        <v>17363</v>
      </c>
      <c r="AI1002">
        <v>9</v>
      </c>
      <c r="AJ1002" t="str">
        <f>_xlfn.XLOOKUP(Table1[[#This Row],[OverTime]],Table16[OverTime],Table16[Id_OverTime])</f>
        <v>OT002</v>
      </c>
      <c r="AK1002" t="s">
        <v>33</v>
      </c>
      <c r="AL1002">
        <v>13</v>
      </c>
      <c r="AM1002" t="str">
        <f>_xlfn.XLOOKUP(Table1[[#This Row],[PerformanceRating]],Table17[PerformanceRating],Table17[Id_PerformanceRating])</f>
        <v>PR003</v>
      </c>
      <c r="AN1002">
        <v>3</v>
      </c>
      <c r="AO1002" t="str">
        <f>_xlfn.XLOOKUP(Table1[[#This Row],[PerformanceRating]],Table17[PerformanceRating],Table17[Deskripsi])</f>
        <v>Excellent</v>
      </c>
      <c r="AP1002" t="str">
        <f>_xlfn.XLOOKUP(Table1[[#This Row],[RelationshipSatisfaction]],Table18[RelationshipSatisfaction],Table18[Id_RelationshipSatisfaction])</f>
        <v>RS003</v>
      </c>
      <c r="AQ1002">
        <v>3</v>
      </c>
      <c r="AR1002" t="str">
        <f>_xlfn.XLOOKUP(Table1[[#This Row],[RelationshipSatisfaction]],Table18[RelationshipSatisfaction],Table18[Deskripsi])</f>
        <v>High</v>
      </c>
      <c r="AS1002" t="str">
        <f>_xlfn.XLOOKUP(Table1[[#This Row],[StockOptionLevel]],Table19[StockOptionLevel],Table19[Id_StockOptionLevel])</f>
        <v>SOL001</v>
      </c>
      <c r="AT1002">
        <v>0</v>
      </c>
      <c r="AU1002" t="str">
        <f>_xlfn.XLOOKUP(Table1[[#This Row],[StockOptionLevel]],Table19[StockOptionLevel],Table19[Deskripsi])</f>
        <v>Non-Eligible</v>
      </c>
      <c r="AV1002">
        <v>12</v>
      </c>
      <c r="AW1002">
        <v>2</v>
      </c>
      <c r="AX1002" t="str">
        <f>_xlfn.XLOOKUP(Table1[[#This Row],[WorkLifeBalance]],Table20[WorkLifeBalance],Table20[Id_WorkLifeBalance])</f>
        <v>WLB001</v>
      </c>
      <c r="AY1002">
        <v>1</v>
      </c>
      <c r="AZ1002" t="str">
        <f>_xlfn.XLOOKUP(Table1[[#This Row],[WorkLifeBalance]],Table20[WorkLifeBalance],Table20[Deskripsi])</f>
        <v>Bad</v>
      </c>
      <c r="BA1002">
        <v>5</v>
      </c>
      <c r="BB1002">
        <v>4</v>
      </c>
      <c r="BC1002">
        <v>0</v>
      </c>
      <c r="BD1002">
        <v>4</v>
      </c>
    </row>
    <row r="1003" spans="1:56" x14ac:dyDescent="0.25">
      <c r="A1003">
        <v>37</v>
      </c>
      <c r="B1003" t="str">
        <f>_xlfn.XLOOKUP(Table1[[#This Row],[Attrition]],Table2[Attrition],Table2[Id_Attrition])</f>
        <v>A002</v>
      </c>
      <c r="C1003" t="s">
        <v>33</v>
      </c>
      <c r="D1003" t="str">
        <f>_xlfn.XLOOKUP(Table1[[#This Row],[BusinessTravel]],Table5[BusinessTravel],Table5[Id_BusinessTravel])</f>
        <v>BS001</v>
      </c>
      <c r="E1003" t="s">
        <v>34</v>
      </c>
      <c r="F1003">
        <v>1462</v>
      </c>
      <c r="G1003" t="str">
        <f>_xlfn.XLOOKUP(Table1[[#This Row],[Department]],Table6[Department],Table6[Id_Departement])</f>
        <v>D002</v>
      </c>
      <c r="H1003" t="s">
        <v>38</v>
      </c>
      <c r="I1003">
        <v>11</v>
      </c>
      <c r="J1003" t="str">
        <f>_xlfn.XLOOKUP(Table1[[#This Row],[Education]],Table8[Education],Table8[Id_Education])</f>
        <v>E003</v>
      </c>
      <c r="K1003">
        <v>3</v>
      </c>
      <c r="L1003" t="str">
        <f>_xlfn.XLOOKUP(Table1[[#This Row],[EducationField]],Table7[EducationField],Table7[Id_EducationField])</f>
        <v>EF003</v>
      </c>
      <c r="M1003" t="s">
        <v>42</v>
      </c>
      <c r="N1003" t="str">
        <f>_xlfn.XLOOKUP(Table1[[#This Row],[EmployeeNumber]],Table4[EmployeeNumber],Table4[Id_Employee])</f>
        <v>EMP01002</v>
      </c>
      <c r="O1003">
        <v>1411</v>
      </c>
      <c r="P1003" t="str">
        <f>_xlfn.XLOOKUP(Table1[[#This Row],[EnvironmentSatisfaction]],Table9[EnvironmentSatisfaction],Table9[Id_EnviromentSatisfaction])</f>
        <v>ES001</v>
      </c>
      <c r="Q1003">
        <v>1</v>
      </c>
      <c r="R1003" t="str">
        <f>_xlfn.XLOOKUP(Table1[[#This Row],[EnvironmentSatisfaction]],Table9[EnvironmentSatisfaction],Table9[Deskripsi])</f>
        <v>Low</v>
      </c>
      <c r="S1003" t="str">
        <f>_xlfn.XLOOKUP(Table1[[#This Row],[Gender]],Table10[Gender],Table10[Id_Gender])</f>
        <v>G001</v>
      </c>
      <c r="T1003" t="s">
        <v>45</v>
      </c>
      <c r="U1003">
        <v>94</v>
      </c>
      <c r="V1003" t="str">
        <f>_xlfn.XLOOKUP(Table1[[#This Row],[JobInvolvement]],Table11[JobInvolvement],Table11[Id_JobInvolvement])</f>
        <v>JI003</v>
      </c>
      <c r="W1003">
        <v>3</v>
      </c>
      <c r="X1003" t="str">
        <f>_xlfn.XLOOKUP(Table1[[#This Row],[JobLevel]],Table12[JobLevel],Table12[Id_JobLevel])</f>
        <v>JL001</v>
      </c>
      <c r="Y1003">
        <v>1</v>
      </c>
      <c r="Z1003" t="str">
        <f>_xlfn.XLOOKUP(Table1[[#This Row],[JobRole]],Table13[JobRole],Table13[Id_JobRole])</f>
        <v>JR003</v>
      </c>
      <c r="AA1003" t="s">
        <v>49</v>
      </c>
      <c r="AB1003" t="str">
        <f>_xlfn.XLOOKUP(Table1[[#This Row],[JobSatisfaction]],Table14[JobSatisfaction],Table14[Id_JobSatisfaction])</f>
        <v>JS003</v>
      </c>
      <c r="AC1003">
        <v>3</v>
      </c>
      <c r="AD1003" t="str">
        <f>_xlfn.XLOOKUP(Table1[[#This Row],[JobSatisfaction]],Table14[JobSatisfaction],Table14[Deskripsi])</f>
        <v>High</v>
      </c>
      <c r="AE1003" t="str">
        <f>_xlfn.XLOOKUP(Table1[[#This Row],[MaritalStatus]],Table15[MaritalStatus],Table15[Id_MaritalStatus])</f>
        <v>MS001</v>
      </c>
      <c r="AF1003" t="s">
        <v>55</v>
      </c>
      <c r="AG1003">
        <v>3629</v>
      </c>
      <c r="AH1003">
        <v>19106</v>
      </c>
      <c r="AI1003">
        <v>4</v>
      </c>
      <c r="AJ1003" t="str">
        <f>_xlfn.XLOOKUP(Table1[[#This Row],[OverTime]],Table16[OverTime],Table16[Id_OverTime])</f>
        <v>OT002</v>
      </c>
      <c r="AK1003" t="s">
        <v>33</v>
      </c>
      <c r="AL1003">
        <v>18</v>
      </c>
      <c r="AM1003" t="str">
        <f>_xlfn.XLOOKUP(Table1[[#This Row],[PerformanceRating]],Table17[PerformanceRating],Table17[Id_PerformanceRating])</f>
        <v>PR003</v>
      </c>
      <c r="AN1003">
        <v>3</v>
      </c>
      <c r="AO1003" t="str">
        <f>_xlfn.XLOOKUP(Table1[[#This Row],[PerformanceRating]],Table17[PerformanceRating],Table17[Deskripsi])</f>
        <v>Excellent</v>
      </c>
      <c r="AP1003" t="str">
        <f>_xlfn.XLOOKUP(Table1[[#This Row],[RelationshipSatisfaction]],Table18[RelationshipSatisfaction],Table18[Id_RelationshipSatisfaction])</f>
        <v>RS001</v>
      </c>
      <c r="AQ1003">
        <v>1</v>
      </c>
      <c r="AR1003" t="str">
        <f>_xlfn.XLOOKUP(Table1[[#This Row],[RelationshipSatisfaction]],Table18[RelationshipSatisfaction],Table18[Deskripsi])</f>
        <v>Low</v>
      </c>
      <c r="AS1003" t="str">
        <f>_xlfn.XLOOKUP(Table1[[#This Row],[StockOptionLevel]],Table19[StockOptionLevel],Table19[Id_StockOptionLevel])</f>
        <v>SOL001</v>
      </c>
      <c r="AT1003">
        <v>0</v>
      </c>
      <c r="AU1003" t="str">
        <f>_xlfn.XLOOKUP(Table1[[#This Row],[StockOptionLevel]],Table19[StockOptionLevel],Table19[Deskripsi])</f>
        <v>Non-Eligible</v>
      </c>
      <c r="AV1003">
        <v>8</v>
      </c>
      <c r="AW1003">
        <v>6</v>
      </c>
      <c r="AX1003" t="str">
        <f>_xlfn.XLOOKUP(Table1[[#This Row],[WorkLifeBalance]],Table20[WorkLifeBalance],Table20[Id_WorkLifeBalance])</f>
        <v>WLB002</v>
      </c>
      <c r="AY1003">
        <v>3</v>
      </c>
      <c r="AZ1003" t="str">
        <f>_xlfn.XLOOKUP(Table1[[#This Row],[WorkLifeBalance]],Table20[WorkLifeBalance],Table20[Deskripsi])</f>
        <v>Good</v>
      </c>
      <c r="BA1003">
        <v>3</v>
      </c>
      <c r="BB1003">
        <v>2</v>
      </c>
      <c r="BC1003">
        <v>0</v>
      </c>
      <c r="BD1003">
        <v>2</v>
      </c>
    </row>
    <row r="1004" spans="1:56" x14ac:dyDescent="0.25">
      <c r="A1004">
        <v>35</v>
      </c>
      <c r="B1004" t="str">
        <f>_xlfn.XLOOKUP(Table1[[#This Row],[Attrition]],Table2[Attrition],Table2[Id_Attrition])</f>
        <v>A002</v>
      </c>
      <c r="C1004" t="s">
        <v>33</v>
      </c>
      <c r="D1004" t="str">
        <f>_xlfn.XLOOKUP(Table1[[#This Row],[BusinessTravel]],Table5[BusinessTravel],Table5[Id_BusinessTravel])</f>
        <v>BS002</v>
      </c>
      <c r="E1004" t="s">
        <v>35</v>
      </c>
      <c r="F1004">
        <v>200</v>
      </c>
      <c r="G1004" t="str">
        <f>_xlfn.XLOOKUP(Table1[[#This Row],[Department]],Table6[Department],Table6[Id_Departement])</f>
        <v>D002</v>
      </c>
      <c r="H1004" t="s">
        <v>38</v>
      </c>
      <c r="I1004">
        <v>18</v>
      </c>
      <c r="J1004" t="str">
        <f>_xlfn.XLOOKUP(Table1[[#This Row],[Education]],Table8[Education],Table8[Id_Education])</f>
        <v>E002</v>
      </c>
      <c r="K1004">
        <v>2</v>
      </c>
      <c r="L1004" t="str">
        <f>_xlfn.XLOOKUP(Table1[[#This Row],[EducationField]],Table7[EducationField],Table7[Id_EducationField])</f>
        <v>EF001</v>
      </c>
      <c r="M1004" t="s">
        <v>40</v>
      </c>
      <c r="N1004" t="str">
        <f>_xlfn.XLOOKUP(Table1[[#This Row],[EmployeeNumber]],Table4[EmployeeNumber],Table4[Id_Employee])</f>
        <v>EMP01003</v>
      </c>
      <c r="O1004">
        <v>1412</v>
      </c>
      <c r="P1004" t="str">
        <f>_xlfn.XLOOKUP(Table1[[#This Row],[EnvironmentSatisfaction]],Table9[EnvironmentSatisfaction],Table9[Id_EnviromentSatisfaction])</f>
        <v>ES003</v>
      </c>
      <c r="Q1004">
        <v>3</v>
      </c>
      <c r="R1004" t="str">
        <f>_xlfn.XLOOKUP(Table1[[#This Row],[EnvironmentSatisfaction]],Table9[EnvironmentSatisfaction],Table9[Deskripsi])</f>
        <v>High</v>
      </c>
      <c r="S1004" t="str">
        <f>_xlfn.XLOOKUP(Table1[[#This Row],[Gender]],Table10[Gender],Table10[Id_Gender])</f>
        <v>G002</v>
      </c>
      <c r="T1004" t="s">
        <v>46</v>
      </c>
      <c r="U1004">
        <v>60</v>
      </c>
      <c r="V1004" t="str">
        <f>_xlfn.XLOOKUP(Table1[[#This Row],[JobInvolvement]],Table11[JobInvolvement],Table11[Id_JobInvolvement])</f>
        <v>JI003</v>
      </c>
      <c r="W1004">
        <v>3</v>
      </c>
      <c r="X1004" t="str">
        <f>_xlfn.XLOOKUP(Table1[[#This Row],[JobLevel]],Table12[JobLevel],Table12[Id_JobLevel])</f>
        <v>JL003</v>
      </c>
      <c r="Y1004">
        <v>3</v>
      </c>
      <c r="Z1004" t="str">
        <f>_xlfn.XLOOKUP(Table1[[#This Row],[JobRole]],Table13[JobRole],Table13[Id_JobRole])</f>
        <v>JR004</v>
      </c>
      <c r="AA1004" t="s">
        <v>50</v>
      </c>
      <c r="AB1004" t="str">
        <f>_xlfn.XLOOKUP(Table1[[#This Row],[JobSatisfaction]],Table14[JobSatisfaction],Table14[Id_JobSatisfaction])</f>
        <v>JS004</v>
      </c>
      <c r="AC1004">
        <v>4</v>
      </c>
      <c r="AD1004" t="str">
        <f>_xlfn.XLOOKUP(Table1[[#This Row],[JobSatisfaction]],Table14[JobSatisfaction],Table14[Deskripsi])</f>
        <v>Very High</v>
      </c>
      <c r="AE1004" t="str">
        <f>_xlfn.XLOOKUP(Table1[[#This Row],[MaritalStatus]],Table15[MaritalStatus],Table15[Id_MaritalStatus])</f>
        <v>MS001</v>
      </c>
      <c r="AF1004" t="s">
        <v>55</v>
      </c>
      <c r="AG1004">
        <v>9362</v>
      </c>
      <c r="AH1004">
        <v>19944</v>
      </c>
      <c r="AI1004">
        <v>2</v>
      </c>
      <c r="AJ1004" t="str">
        <f>_xlfn.XLOOKUP(Table1[[#This Row],[OverTime]],Table16[OverTime],Table16[Id_OverTime])</f>
        <v>OT002</v>
      </c>
      <c r="AK1004" t="s">
        <v>33</v>
      </c>
      <c r="AL1004">
        <v>11</v>
      </c>
      <c r="AM1004" t="str">
        <f>_xlfn.XLOOKUP(Table1[[#This Row],[PerformanceRating]],Table17[PerformanceRating],Table17[Id_PerformanceRating])</f>
        <v>PR003</v>
      </c>
      <c r="AN1004">
        <v>3</v>
      </c>
      <c r="AO1004" t="str">
        <f>_xlfn.XLOOKUP(Table1[[#This Row],[PerformanceRating]],Table17[PerformanceRating],Table17[Deskripsi])</f>
        <v>Excellent</v>
      </c>
      <c r="AP1004" t="str">
        <f>_xlfn.XLOOKUP(Table1[[#This Row],[RelationshipSatisfaction]],Table18[RelationshipSatisfaction],Table18[Id_RelationshipSatisfaction])</f>
        <v>RS003</v>
      </c>
      <c r="AQ1004">
        <v>3</v>
      </c>
      <c r="AR1004" t="str">
        <f>_xlfn.XLOOKUP(Table1[[#This Row],[RelationshipSatisfaction]],Table18[RelationshipSatisfaction],Table18[Deskripsi])</f>
        <v>High</v>
      </c>
      <c r="AS1004" t="str">
        <f>_xlfn.XLOOKUP(Table1[[#This Row],[StockOptionLevel]],Table19[StockOptionLevel],Table19[Id_StockOptionLevel])</f>
        <v>SOL001</v>
      </c>
      <c r="AT1004">
        <v>0</v>
      </c>
      <c r="AU1004" t="str">
        <f>_xlfn.XLOOKUP(Table1[[#This Row],[StockOptionLevel]],Table19[StockOptionLevel],Table19[Deskripsi])</f>
        <v>Non-Eligible</v>
      </c>
      <c r="AV1004">
        <v>10</v>
      </c>
      <c r="AW1004">
        <v>2</v>
      </c>
      <c r="AX1004" t="str">
        <f>_xlfn.XLOOKUP(Table1[[#This Row],[WorkLifeBalance]],Table20[WorkLifeBalance],Table20[Id_WorkLifeBalance])</f>
        <v>WLB002</v>
      </c>
      <c r="AY1004">
        <v>3</v>
      </c>
      <c r="AZ1004" t="str">
        <f>_xlfn.XLOOKUP(Table1[[#This Row],[WorkLifeBalance]],Table20[WorkLifeBalance],Table20[Deskripsi])</f>
        <v>Good</v>
      </c>
      <c r="BA1004">
        <v>2</v>
      </c>
      <c r="BB1004">
        <v>2</v>
      </c>
      <c r="BC1004">
        <v>2</v>
      </c>
      <c r="BD1004">
        <v>2</v>
      </c>
    </row>
    <row r="1005" spans="1:56" x14ac:dyDescent="0.25">
      <c r="A1005">
        <v>25</v>
      </c>
      <c r="B1005" t="str">
        <f>_xlfn.XLOOKUP(Table1[[#This Row],[Attrition]],Table2[Attrition],Table2[Id_Attrition])</f>
        <v>A002</v>
      </c>
      <c r="C1005" t="s">
        <v>33</v>
      </c>
      <c r="D1005" t="str">
        <f>_xlfn.XLOOKUP(Table1[[#This Row],[BusinessTravel]],Table5[BusinessTravel],Table5[Id_BusinessTravel])</f>
        <v>BS001</v>
      </c>
      <c r="E1005" t="s">
        <v>34</v>
      </c>
      <c r="F1005">
        <v>949</v>
      </c>
      <c r="G1005" t="str">
        <f>_xlfn.XLOOKUP(Table1[[#This Row],[Department]],Table6[Department],Table6[Id_Departement])</f>
        <v>D002</v>
      </c>
      <c r="H1005" t="s">
        <v>38</v>
      </c>
      <c r="I1005">
        <v>1</v>
      </c>
      <c r="J1005" t="str">
        <f>_xlfn.XLOOKUP(Table1[[#This Row],[Education]],Table8[Education],Table8[Id_Education])</f>
        <v>E003</v>
      </c>
      <c r="K1005">
        <v>3</v>
      </c>
      <c r="L1005" t="str">
        <f>_xlfn.XLOOKUP(Table1[[#This Row],[EducationField]],Table7[EducationField],Table7[Id_EducationField])</f>
        <v>EF005</v>
      </c>
      <c r="M1005" t="s">
        <v>44</v>
      </c>
      <c r="N1005" t="str">
        <f>_xlfn.XLOOKUP(Table1[[#This Row],[EmployeeNumber]],Table4[EmployeeNumber],Table4[Id_Employee])</f>
        <v>EMP01004</v>
      </c>
      <c r="O1005">
        <v>1415</v>
      </c>
      <c r="P1005" t="str">
        <f>_xlfn.XLOOKUP(Table1[[#This Row],[EnvironmentSatisfaction]],Table9[EnvironmentSatisfaction],Table9[Id_EnviromentSatisfaction])</f>
        <v>ES001</v>
      </c>
      <c r="Q1005">
        <v>1</v>
      </c>
      <c r="R1005" t="str">
        <f>_xlfn.XLOOKUP(Table1[[#This Row],[EnvironmentSatisfaction]],Table9[EnvironmentSatisfaction],Table9[Deskripsi])</f>
        <v>Low</v>
      </c>
      <c r="S1005" t="str">
        <f>_xlfn.XLOOKUP(Table1[[#This Row],[Gender]],Table10[Gender],Table10[Id_Gender])</f>
        <v>G002</v>
      </c>
      <c r="T1005" t="s">
        <v>46</v>
      </c>
      <c r="U1005">
        <v>81</v>
      </c>
      <c r="V1005" t="str">
        <f>_xlfn.XLOOKUP(Table1[[#This Row],[JobInvolvement]],Table11[JobInvolvement],Table11[Id_JobInvolvement])</f>
        <v>JI003</v>
      </c>
      <c r="W1005">
        <v>3</v>
      </c>
      <c r="X1005" t="str">
        <f>_xlfn.XLOOKUP(Table1[[#This Row],[JobLevel]],Table12[JobLevel],Table12[Id_JobLevel])</f>
        <v>JL001</v>
      </c>
      <c r="Y1005">
        <v>1</v>
      </c>
      <c r="Z1005" t="str">
        <f>_xlfn.XLOOKUP(Table1[[#This Row],[JobRole]],Table13[JobRole],Table13[Id_JobRole])</f>
        <v>JR003</v>
      </c>
      <c r="AA1005" t="s">
        <v>49</v>
      </c>
      <c r="AB1005" t="str">
        <f>_xlfn.XLOOKUP(Table1[[#This Row],[JobSatisfaction]],Table14[JobSatisfaction],Table14[Id_JobSatisfaction])</f>
        <v>JS004</v>
      </c>
      <c r="AC1005">
        <v>4</v>
      </c>
      <c r="AD1005" t="str">
        <f>_xlfn.XLOOKUP(Table1[[#This Row],[JobSatisfaction]],Table14[JobSatisfaction],Table14[Deskripsi])</f>
        <v>Very High</v>
      </c>
      <c r="AE1005" t="str">
        <f>_xlfn.XLOOKUP(Table1[[#This Row],[MaritalStatus]],Table15[MaritalStatus],Table15[Id_MaritalStatus])</f>
        <v>MS002</v>
      </c>
      <c r="AF1005" t="s">
        <v>56</v>
      </c>
      <c r="AG1005">
        <v>3229</v>
      </c>
      <c r="AH1005">
        <v>4910</v>
      </c>
      <c r="AI1005">
        <v>4</v>
      </c>
      <c r="AJ1005" t="str">
        <f>_xlfn.XLOOKUP(Table1[[#This Row],[OverTime]],Table16[OverTime],Table16[Id_OverTime])</f>
        <v>OT002</v>
      </c>
      <c r="AK1005" t="s">
        <v>33</v>
      </c>
      <c r="AL1005">
        <v>11</v>
      </c>
      <c r="AM1005" t="str">
        <f>_xlfn.XLOOKUP(Table1[[#This Row],[PerformanceRating]],Table17[PerformanceRating],Table17[Id_PerformanceRating])</f>
        <v>PR003</v>
      </c>
      <c r="AN1005">
        <v>3</v>
      </c>
      <c r="AO1005" t="str">
        <f>_xlfn.XLOOKUP(Table1[[#This Row],[PerformanceRating]],Table17[PerformanceRating],Table17[Deskripsi])</f>
        <v>Excellent</v>
      </c>
      <c r="AP1005" t="str">
        <f>_xlfn.XLOOKUP(Table1[[#This Row],[RelationshipSatisfaction]],Table18[RelationshipSatisfaction],Table18[Id_RelationshipSatisfaction])</f>
        <v>RS002</v>
      </c>
      <c r="AQ1005">
        <v>2</v>
      </c>
      <c r="AR1005" t="str">
        <f>_xlfn.XLOOKUP(Table1[[#This Row],[RelationshipSatisfaction]],Table18[RelationshipSatisfaction],Table18[Deskripsi])</f>
        <v>Medium</v>
      </c>
      <c r="AS1005" t="str">
        <f>_xlfn.XLOOKUP(Table1[[#This Row],[StockOptionLevel]],Table19[StockOptionLevel],Table19[Id_StockOptionLevel])</f>
        <v>SOL002</v>
      </c>
      <c r="AT1005">
        <v>1</v>
      </c>
      <c r="AU1005" t="str">
        <f>_xlfn.XLOOKUP(Table1[[#This Row],[StockOptionLevel]],Table19[StockOptionLevel],Table19[Deskripsi])</f>
        <v>Standard</v>
      </c>
      <c r="AV1005">
        <v>7</v>
      </c>
      <c r="AW1005">
        <v>2</v>
      </c>
      <c r="AX1005" t="str">
        <f>_xlfn.XLOOKUP(Table1[[#This Row],[WorkLifeBalance]],Table20[WorkLifeBalance],Table20[Id_WorkLifeBalance])</f>
        <v>WLB003</v>
      </c>
      <c r="AY1005">
        <v>2</v>
      </c>
      <c r="AZ1005" t="str">
        <f>_xlfn.XLOOKUP(Table1[[#This Row],[WorkLifeBalance]],Table20[WorkLifeBalance],Table20[Deskripsi])</f>
        <v>Better</v>
      </c>
      <c r="BA1005">
        <v>3</v>
      </c>
      <c r="BB1005">
        <v>2</v>
      </c>
      <c r="BC1005">
        <v>0</v>
      </c>
      <c r="BD1005">
        <v>2</v>
      </c>
    </row>
    <row r="1006" spans="1:56" x14ac:dyDescent="0.25">
      <c r="A1006">
        <v>26</v>
      </c>
      <c r="B1006" t="str">
        <f>_xlfn.XLOOKUP(Table1[[#This Row],[Attrition]],Table2[Attrition],Table2[Id_Attrition])</f>
        <v>A002</v>
      </c>
      <c r="C1006" t="s">
        <v>33</v>
      </c>
      <c r="D1006" t="str">
        <f>_xlfn.XLOOKUP(Table1[[#This Row],[BusinessTravel]],Table5[BusinessTravel],Table5[Id_BusinessTravel])</f>
        <v>BS001</v>
      </c>
      <c r="E1006" t="s">
        <v>34</v>
      </c>
      <c r="F1006">
        <v>652</v>
      </c>
      <c r="G1006" t="str">
        <f>_xlfn.XLOOKUP(Table1[[#This Row],[Department]],Table6[Department],Table6[Id_Departement])</f>
        <v>D002</v>
      </c>
      <c r="H1006" t="s">
        <v>38</v>
      </c>
      <c r="I1006">
        <v>7</v>
      </c>
      <c r="J1006" t="str">
        <f>_xlfn.XLOOKUP(Table1[[#This Row],[Education]],Table8[Education],Table8[Id_Education])</f>
        <v>E003</v>
      </c>
      <c r="K1006">
        <v>3</v>
      </c>
      <c r="L1006" t="str">
        <f>_xlfn.XLOOKUP(Table1[[#This Row],[EducationField]],Table7[EducationField],Table7[Id_EducationField])</f>
        <v>EF002</v>
      </c>
      <c r="M1006" t="s">
        <v>41</v>
      </c>
      <c r="N1006" t="str">
        <f>_xlfn.XLOOKUP(Table1[[#This Row],[EmployeeNumber]],Table4[EmployeeNumber],Table4[Id_Employee])</f>
        <v>EMP01005</v>
      </c>
      <c r="O1006">
        <v>1417</v>
      </c>
      <c r="P1006" t="str">
        <f>_xlfn.XLOOKUP(Table1[[#This Row],[EnvironmentSatisfaction]],Table9[EnvironmentSatisfaction],Table9[Id_EnviromentSatisfaction])</f>
        <v>ES003</v>
      </c>
      <c r="Q1006">
        <v>3</v>
      </c>
      <c r="R1006" t="str">
        <f>_xlfn.XLOOKUP(Table1[[#This Row],[EnvironmentSatisfaction]],Table9[EnvironmentSatisfaction],Table9[Deskripsi])</f>
        <v>High</v>
      </c>
      <c r="S1006" t="str">
        <f>_xlfn.XLOOKUP(Table1[[#This Row],[Gender]],Table10[Gender],Table10[Id_Gender])</f>
        <v>G002</v>
      </c>
      <c r="T1006" t="s">
        <v>46</v>
      </c>
      <c r="U1006">
        <v>100</v>
      </c>
      <c r="V1006" t="str">
        <f>_xlfn.XLOOKUP(Table1[[#This Row],[JobInvolvement]],Table11[JobInvolvement],Table11[Id_JobInvolvement])</f>
        <v>JI004</v>
      </c>
      <c r="W1006">
        <v>4</v>
      </c>
      <c r="X1006" t="str">
        <f>_xlfn.XLOOKUP(Table1[[#This Row],[JobLevel]],Table12[JobLevel],Table12[Id_JobLevel])</f>
        <v>JL001</v>
      </c>
      <c r="Y1006">
        <v>1</v>
      </c>
      <c r="Z1006" t="str">
        <f>_xlfn.XLOOKUP(Table1[[#This Row],[JobRole]],Table13[JobRole],Table13[Id_JobRole])</f>
        <v>JR003</v>
      </c>
      <c r="AA1006" t="s">
        <v>49</v>
      </c>
      <c r="AB1006" t="str">
        <f>_xlfn.XLOOKUP(Table1[[#This Row],[JobSatisfaction]],Table14[JobSatisfaction],Table14[Id_JobSatisfaction])</f>
        <v>JS001</v>
      </c>
      <c r="AC1006">
        <v>1</v>
      </c>
      <c r="AD1006" t="str">
        <f>_xlfn.XLOOKUP(Table1[[#This Row],[JobSatisfaction]],Table14[JobSatisfaction],Table14[Deskripsi])</f>
        <v>Low</v>
      </c>
      <c r="AE1006" t="str">
        <f>_xlfn.XLOOKUP(Table1[[#This Row],[MaritalStatus]],Table15[MaritalStatus],Table15[Id_MaritalStatus])</f>
        <v>MS001</v>
      </c>
      <c r="AF1006" t="s">
        <v>55</v>
      </c>
      <c r="AG1006">
        <v>3578</v>
      </c>
      <c r="AH1006">
        <v>23577</v>
      </c>
      <c r="AI1006">
        <v>0</v>
      </c>
      <c r="AJ1006" t="str">
        <f>_xlfn.XLOOKUP(Table1[[#This Row],[OverTime]],Table16[OverTime],Table16[Id_OverTime])</f>
        <v>OT002</v>
      </c>
      <c r="AK1006" t="s">
        <v>33</v>
      </c>
      <c r="AL1006">
        <v>12</v>
      </c>
      <c r="AM1006" t="str">
        <f>_xlfn.XLOOKUP(Table1[[#This Row],[PerformanceRating]],Table17[PerformanceRating],Table17[Id_PerformanceRating])</f>
        <v>PR003</v>
      </c>
      <c r="AN1006">
        <v>3</v>
      </c>
      <c r="AO1006" t="str">
        <f>_xlfn.XLOOKUP(Table1[[#This Row],[PerformanceRating]],Table17[PerformanceRating],Table17[Deskripsi])</f>
        <v>Excellent</v>
      </c>
      <c r="AP1006" t="str">
        <f>_xlfn.XLOOKUP(Table1[[#This Row],[RelationshipSatisfaction]],Table18[RelationshipSatisfaction],Table18[Id_RelationshipSatisfaction])</f>
        <v>RS004</v>
      </c>
      <c r="AQ1006">
        <v>4</v>
      </c>
      <c r="AR1006" t="str">
        <f>_xlfn.XLOOKUP(Table1[[#This Row],[RelationshipSatisfaction]],Table18[RelationshipSatisfaction],Table18[Deskripsi])</f>
        <v>Very High</v>
      </c>
      <c r="AS1006" t="str">
        <f>_xlfn.XLOOKUP(Table1[[#This Row],[StockOptionLevel]],Table19[StockOptionLevel],Table19[Id_StockOptionLevel])</f>
        <v>SOL001</v>
      </c>
      <c r="AT1006">
        <v>0</v>
      </c>
      <c r="AU1006" t="str">
        <f>_xlfn.XLOOKUP(Table1[[#This Row],[StockOptionLevel]],Table19[StockOptionLevel],Table19[Deskripsi])</f>
        <v>Non-Eligible</v>
      </c>
      <c r="AV1006">
        <v>8</v>
      </c>
      <c r="AW1006">
        <v>2</v>
      </c>
      <c r="AX1006" t="str">
        <f>_xlfn.XLOOKUP(Table1[[#This Row],[WorkLifeBalance]],Table20[WorkLifeBalance],Table20[Id_WorkLifeBalance])</f>
        <v>WLB002</v>
      </c>
      <c r="AY1006">
        <v>3</v>
      </c>
      <c r="AZ1006" t="str">
        <f>_xlfn.XLOOKUP(Table1[[#This Row],[WorkLifeBalance]],Table20[WorkLifeBalance],Table20[Deskripsi])</f>
        <v>Good</v>
      </c>
      <c r="BA1006">
        <v>7</v>
      </c>
      <c r="BB1006">
        <v>7</v>
      </c>
      <c r="BC1006">
        <v>0</v>
      </c>
      <c r="BD1006">
        <v>7</v>
      </c>
    </row>
    <row r="1007" spans="1:56" x14ac:dyDescent="0.25">
      <c r="A1007">
        <v>29</v>
      </c>
      <c r="B1007" t="str">
        <f>_xlfn.XLOOKUP(Table1[[#This Row],[Attrition]],Table2[Attrition],Table2[Id_Attrition])</f>
        <v>A002</v>
      </c>
      <c r="C1007" t="s">
        <v>33</v>
      </c>
      <c r="D1007" t="str">
        <f>_xlfn.XLOOKUP(Table1[[#This Row],[BusinessTravel]],Table5[BusinessTravel],Table5[Id_BusinessTravel])</f>
        <v>BS001</v>
      </c>
      <c r="E1007" t="s">
        <v>34</v>
      </c>
      <c r="F1007">
        <v>332</v>
      </c>
      <c r="G1007" t="str">
        <f>_xlfn.XLOOKUP(Table1[[#This Row],[Department]],Table6[Department],Table6[Id_Departement])</f>
        <v>D003</v>
      </c>
      <c r="H1007" t="s">
        <v>39</v>
      </c>
      <c r="I1007">
        <v>17</v>
      </c>
      <c r="J1007" t="str">
        <f>_xlfn.XLOOKUP(Table1[[#This Row],[Education]],Table8[Education],Table8[Id_Education])</f>
        <v>E003</v>
      </c>
      <c r="K1007">
        <v>3</v>
      </c>
      <c r="L1007" t="str">
        <f>_xlfn.XLOOKUP(Table1[[#This Row],[EducationField]],Table7[EducationField],Table7[Id_EducationField])</f>
        <v>EF002</v>
      </c>
      <c r="M1007" t="s">
        <v>41</v>
      </c>
      <c r="N1007" t="str">
        <f>_xlfn.XLOOKUP(Table1[[#This Row],[EmployeeNumber]],Table4[EmployeeNumber],Table4[Id_Employee])</f>
        <v>EMP01006</v>
      </c>
      <c r="O1007">
        <v>1419</v>
      </c>
      <c r="P1007" t="str">
        <f>_xlfn.XLOOKUP(Table1[[#This Row],[EnvironmentSatisfaction]],Table9[EnvironmentSatisfaction],Table9[Id_EnviromentSatisfaction])</f>
        <v>ES002</v>
      </c>
      <c r="Q1007">
        <v>2</v>
      </c>
      <c r="R1007" t="str">
        <f>_xlfn.XLOOKUP(Table1[[#This Row],[EnvironmentSatisfaction]],Table9[EnvironmentSatisfaction],Table9[Deskripsi])</f>
        <v>Medium</v>
      </c>
      <c r="S1007" t="str">
        <f>_xlfn.XLOOKUP(Table1[[#This Row],[Gender]],Table10[Gender],Table10[Id_Gender])</f>
        <v>G002</v>
      </c>
      <c r="T1007" t="s">
        <v>46</v>
      </c>
      <c r="U1007">
        <v>51</v>
      </c>
      <c r="V1007" t="str">
        <f>_xlfn.XLOOKUP(Table1[[#This Row],[JobInvolvement]],Table11[JobInvolvement],Table11[Id_JobInvolvement])</f>
        <v>JI002</v>
      </c>
      <c r="W1007">
        <v>2</v>
      </c>
      <c r="X1007" t="str">
        <f>_xlfn.XLOOKUP(Table1[[#This Row],[JobLevel]],Table12[JobLevel],Table12[Id_JobLevel])</f>
        <v>JL003</v>
      </c>
      <c r="Y1007">
        <v>3</v>
      </c>
      <c r="Z1007" t="str">
        <f>_xlfn.XLOOKUP(Table1[[#This Row],[JobRole]],Table13[JobRole],Table13[Id_JobRole])</f>
        <v>JR009</v>
      </c>
      <c r="AA1007" t="s">
        <v>39</v>
      </c>
      <c r="AB1007" t="str">
        <f>_xlfn.XLOOKUP(Table1[[#This Row],[JobSatisfaction]],Table14[JobSatisfaction],Table14[Id_JobSatisfaction])</f>
        <v>JS001</v>
      </c>
      <c r="AC1007">
        <v>1</v>
      </c>
      <c r="AD1007" t="str">
        <f>_xlfn.XLOOKUP(Table1[[#This Row],[JobSatisfaction]],Table14[JobSatisfaction],Table14[Deskripsi])</f>
        <v>Low</v>
      </c>
      <c r="AE1007" t="str">
        <f>_xlfn.XLOOKUP(Table1[[#This Row],[MaritalStatus]],Table15[MaritalStatus],Table15[Id_MaritalStatus])</f>
        <v>MS001</v>
      </c>
      <c r="AF1007" t="s">
        <v>55</v>
      </c>
      <c r="AG1007">
        <v>7988</v>
      </c>
      <c r="AH1007">
        <v>9769</v>
      </c>
      <c r="AI1007">
        <v>1</v>
      </c>
      <c r="AJ1007" t="str">
        <f>_xlfn.XLOOKUP(Table1[[#This Row],[OverTime]],Table16[OverTime],Table16[Id_OverTime])</f>
        <v>OT002</v>
      </c>
      <c r="AK1007" t="s">
        <v>33</v>
      </c>
      <c r="AL1007">
        <v>13</v>
      </c>
      <c r="AM1007" t="str">
        <f>_xlfn.XLOOKUP(Table1[[#This Row],[PerformanceRating]],Table17[PerformanceRating],Table17[Id_PerformanceRating])</f>
        <v>PR003</v>
      </c>
      <c r="AN1007">
        <v>3</v>
      </c>
      <c r="AO1007" t="str">
        <f>_xlfn.XLOOKUP(Table1[[#This Row],[PerformanceRating]],Table17[PerformanceRating],Table17[Deskripsi])</f>
        <v>Excellent</v>
      </c>
      <c r="AP1007" t="str">
        <f>_xlfn.XLOOKUP(Table1[[#This Row],[RelationshipSatisfaction]],Table18[RelationshipSatisfaction],Table18[Id_RelationshipSatisfaction])</f>
        <v>RS001</v>
      </c>
      <c r="AQ1007">
        <v>1</v>
      </c>
      <c r="AR1007" t="str">
        <f>_xlfn.XLOOKUP(Table1[[#This Row],[RelationshipSatisfaction]],Table18[RelationshipSatisfaction],Table18[Deskripsi])</f>
        <v>Low</v>
      </c>
      <c r="AS1007" t="str">
        <f>_xlfn.XLOOKUP(Table1[[#This Row],[StockOptionLevel]],Table19[StockOptionLevel],Table19[Id_StockOptionLevel])</f>
        <v>SOL001</v>
      </c>
      <c r="AT1007">
        <v>0</v>
      </c>
      <c r="AU1007" t="str">
        <f>_xlfn.XLOOKUP(Table1[[#This Row],[StockOptionLevel]],Table19[StockOptionLevel],Table19[Deskripsi])</f>
        <v>Non-Eligible</v>
      </c>
      <c r="AV1007">
        <v>10</v>
      </c>
      <c r="AW1007">
        <v>3</v>
      </c>
      <c r="AX1007" t="str">
        <f>_xlfn.XLOOKUP(Table1[[#This Row],[WorkLifeBalance]],Table20[WorkLifeBalance],Table20[Id_WorkLifeBalance])</f>
        <v>WLB003</v>
      </c>
      <c r="AY1007">
        <v>2</v>
      </c>
      <c r="AZ1007" t="str">
        <f>_xlfn.XLOOKUP(Table1[[#This Row],[WorkLifeBalance]],Table20[WorkLifeBalance],Table20[Deskripsi])</f>
        <v>Better</v>
      </c>
      <c r="BA1007">
        <v>10</v>
      </c>
      <c r="BB1007">
        <v>9</v>
      </c>
      <c r="BC1007">
        <v>0</v>
      </c>
      <c r="BD1007">
        <v>9</v>
      </c>
    </row>
    <row r="1008" spans="1:56" x14ac:dyDescent="0.25">
      <c r="A1008">
        <v>49</v>
      </c>
      <c r="B1008" t="str">
        <f>_xlfn.XLOOKUP(Table1[[#This Row],[Attrition]],Table2[Attrition],Table2[Id_Attrition])</f>
        <v>A001</v>
      </c>
      <c r="C1008" t="s">
        <v>32</v>
      </c>
      <c r="D1008" t="str">
        <f>_xlfn.XLOOKUP(Table1[[#This Row],[BusinessTravel]],Table5[BusinessTravel],Table5[Id_BusinessTravel])</f>
        <v>BS002</v>
      </c>
      <c r="E1008" t="s">
        <v>35</v>
      </c>
      <c r="F1008">
        <v>1475</v>
      </c>
      <c r="G1008" t="str">
        <f>_xlfn.XLOOKUP(Table1[[#This Row],[Department]],Table6[Department],Table6[Id_Departement])</f>
        <v>D002</v>
      </c>
      <c r="H1008" t="s">
        <v>38</v>
      </c>
      <c r="I1008">
        <v>28</v>
      </c>
      <c r="J1008" t="str">
        <f>_xlfn.XLOOKUP(Table1[[#This Row],[Education]],Table8[Education],Table8[Id_Education])</f>
        <v>E002</v>
      </c>
      <c r="K1008">
        <v>2</v>
      </c>
      <c r="L1008" t="str">
        <f>_xlfn.XLOOKUP(Table1[[#This Row],[EducationField]],Table7[EducationField],Table7[Id_EducationField])</f>
        <v>EF001</v>
      </c>
      <c r="M1008" t="s">
        <v>40</v>
      </c>
      <c r="N1008" t="str">
        <f>_xlfn.XLOOKUP(Table1[[#This Row],[EmployeeNumber]],Table4[EmployeeNumber],Table4[Id_Employee])</f>
        <v>EMP01007</v>
      </c>
      <c r="O1008">
        <v>1420</v>
      </c>
      <c r="P1008" t="str">
        <f>_xlfn.XLOOKUP(Table1[[#This Row],[EnvironmentSatisfaction]],Table9[EnvironmentSatisfaction],Table9[Id_EnviromentSatisfaction])</f>
        <v>ES001</v>
      </c>
      <c r="Q1008">
        <v>1</v>
      </c>
      <c r="R1008" t="str">
        <f>_xlfn.XLOOKUP(Table1[[#This Row],[EnvironmentSatisfaction]],Table9[EnvironmentSatisfaction],Table9[Deskripsi])</f>
        <v>Low</v>
      </c>
      <c r="S1008" t="str">
        <f>_xlfn.XLOOKUP(Table1[[#This Row],[Gender]],Table10[Gender],Table10[Id_Gender])</f>
        <v>G002</v>
      </c>
      <c r="T1008" t="s">
        <v>46</v>
      </c>
      <c r="U1008">
        <v>97</v>
      </c>
      <c r="V1008" t="str">
        <f>_xlfn.XLOOKUP(Table1[[#This Row],[JobInvolvement]],Table11[JobInvolvement],Table11[Id_JobInvolvement])</f>
        <v>JI002</v>
      </c>
      <c r="W1008">
        <v>2</v>
      </c>
      <c r="X1008" t="str">
        <f>_xlfn.XLOOKUP(Table1[[#This Row],[JobLevel]],Table12[JobLevel],Table12[Id_JobLevel])</f>
        <v>JL002</v>
      </c>
      <c r="Y1008">
        <v>2</v>
      </c>
      <c r="Z1008" t="str">
        <f>_xlfn.XLOOKUP(Table1[[#This Row],[JobRole]],Table13[JobRole],Table13[Id_JobRole])</f>
        <v>JR003</v>
      </c>
      <c r="AA1008" t="s">
        <v>49</v>
      </c>
      <c r="AB1008" t="str">
        <f>_xlfn.XLOOKUP(Table1[[#This Row],[JobSatisfaction]],Table14[JobSatisfaction],Table14[Id_JobSatisfaction])</f>
        <v>JS001</v>
      </c>
      <c r="AC1008">
        <v>1</v>
      </c>
      <c r="AD1008" t="str">
        <f>_xlfn.XLOOKUP(Table1[[#This Row],[JobSatisfaction]],Table14[JobSatisfaction],Table14[Deskripsi])</f>
        <v>Low</v>
      </c>
      <c r="AE1008" t="str">
        <f>_xlfn.XLOOKUP(Table1[[#This Row],[MaritalStatus]],Table15[MaritalStatus],Table15[Id_MaritalStatus])</f>
        <v>MS001</v>
      </c>
      <c r="AF1008" t="s">
        <v>55</v>
      </c>
      <c r="AG1008">
        <v>4284</v>
      </c>
      <c r="AH1008">
        <v>22710</v>
      </c>
      <c r="AI1008">
        <v>3</v>
      </c>
      <c r="AJ1008" t="str">
        <f>_xlfn.XLOOKUP(Table1[[#This Row],[OverTime]],Table16[OverTime],Table16[Id_OverTime])</f>
        <v>OT002</v>
      </c>
      <c r="AK1008" t="s">
        <v>33</v>
      </c>
      <c r="AL1008">
        <v>20</v>
      </c>
      <c r="AM1008" t="str">
        <f>_xlfn.XLOOKUP(Table1[[#This Row],[PerformanceRating]],Table17[PerformanceRating],Table17[Id_PerformanceRating])</f>
        <v>PR004</v>
      </c>
      <c r="AN1008">
        <v>4</v>
      </c>
      <c r="AO1008" t="str">
        <f>_xlfn.XLOOKUP(Table1[[#This Row],[PerformanceRating]],Table17[PerformanceRating],Table17[Deskripsi])</f>
        <v>Outstanding</v>
      </c>
      <c r="AP1008" t="str">
        <f>_xlfn.XLOOKUP(Table1[[#This Row],[RelationshipSatisfaction]],Table18[RelationshipSatisfaction],Table18[Id_RelationshipSatisfaction])</f>
        <v>RS001</v>
      </c>
      <c r="AQ1008">
        <v>1</v>
      </c>
      <c r="AR1008" t="str">
        <f>_xlfn.XLOOKUP(Table1[[#This Row],[RelationshipSatisfaction]],Table18[RelationshipSatisfaction],Table18[Deskripsi])</f>
        <v>Low</v>
      </c>
      <c r="AS1008" t="str">
        <f>_xlfn.XLOOKUP(Table1[[#This Row],[StockOptionLevel]],Table19[StockOptionLevel],Table19[Id_StockOptionLevel])</f>
        <v>SOL001</v>
      </c>
      <c r="AT1008">
        <v>0</v>
      </c>
      <c r="AU1008" t="str">
        <f>_xlfn.XLOOKUP(Table1[[#This Row],[StockOptionLevel]],Table19[StockOptionLevel],Table19[Deskripsi])</f>
        <v>Non-Eligible</v>
      </c>
      <c r="AV1008">
        <v>20</v>
      </c>
      <c r="AW1008">
        <v>2</v>
      </c>
      <c r="AX1008" t="str">
        <f>_xlfn.XLOOKUP(Table1[[#This Row],[WorkLifeBalance]],Table20[WorkLifeBalance],Table20[Id_WorkLifeBalance])</f>
        <v>WLB002</v>
      </c>
      <c r="AY1008">
        <v>3</v>
      </c>
      <c r="AZ1008" t="str">
        <f>_xlfn.XLOOKUP(Table1[[#This Row],[WorkLifeBalance]],Table20[WorkLifeBalance],Table20[Deskripsi])</f>
        <v>Good</v>
      </c>
      <c r="BA1008">
        <v>4</v>
      </c>
      <c r="BB1008">
        <v>3</v>
      </c>
      <c r="BC1008">
        <v>1</v>
      </c>
      <c r="BD1008">
        <v>3</v>
      </c>
    </row>
    <row r="1009" spans="1:56" x14ac:dyDescent="0.25">
      <c r="A1009">
        <v>29</v>
      </c>
      <c r="B1009" t="str">
        <f>_xlfn.XLOOKUP(Table1[[#This Row],[Attrition]],Table2[Attrition],Table2[Id_Attrition])</f>
        <v>A001</v>
      </c>
      <c r="C1009" t="s">
        <v>32</v>
      </c>
      <c r="D1009" t="str">
        <f>_xlfn.XLOOKUP(Table1[[#This Row],[BusinessTravel]],Table5[BusinessTravel],Table5[Id_BusinessTravel])</f>
        <v>BS002</v>
      </c>
      <c r="E1009" t="s">
        <v>35</v>
      </c>
      <c r="F1009">
        <v>337</v>
      </c>
      <c r="G1009" t="str">
        <f>_xlfn.XLOOKUP(Table1[[#This Row],[Department]],Table6[Department],Table6[Id_Departement])</f>
        <v>D002</v>
      </c>
      <c r="H1009" t="s">
        <v>38</v>
      </c>
      <c r="I1009">
        <v>14</v>
      </c>
      <c r="J1009" t="str">
        <f>_xlfn.XLOOKUP(Table1[[#This Row],[Education]],Table8[Education],Table8[Id_Education])</f>
        <v>E001</v>
      </c>
      <c r="K1009">
        <v>1</v>
      </c>
      <c r="L1009" t="str">
        <f>_xlfn.XLOOKUP(Table1[[#This Row],[EducationField]],Table7[EducationField],Table7[Id_EducationField])</f>
        <v>EF002</v>
      </c>
      <c r="M1009" t="s">
        <v>41</v>
      </c>
      <c r="N1009" t="str">
        <f>_xlfn.XLOOKUP(Table1[[#This Row],[EmployeeNumber]],Table4[EmployeeNumber],Table4[Id_Employee])</f>
        <v>EMP01008</v>
      </c>
      <c r="O1009">
        <v>1421</v>
      </c>
      <c r="P1009" t="str">
        <f>_xlfn.XLOOKUP(Table1[[#This Row],[EnvironmentSatisfaction]],Table9[EnvironmentSatisfaction],Table9[Id_EnviromentSatisfaction])</f>
        <v>ES003</v>
      </c>
      <c r="Q1009">
        <v>3</v>
      </c>
      <c r="R1009" t="str">
        <f>_xlfn.XLOOKUP(Table1[[#This Row],[EnvironmentSatisfaction]],Table9[EnvironmentSatisfaction],Table9[Deskripsi])</f>
        <v>High</v>
      </c>
      <c r="S1009" t="str">
        <f>_xlfn.XLOOKUP(Table1[[#This Row],[Gender]],Table10[Gender],Table10[Id_Gender])</f>
        <v>G001</v>
      </c>
      <c r="T1009" t="s">
        <v>45</v>
      </c>
      <c r="U1009">
        <v>84</v>
      </c>
      <c r="V1009" t="str">
        <f>_xlfn.XLOOKUP(Table1[[#This Row],[JobInvolvement]],Table11[JobInvolvement],Table11[Id_JobInvolvement])</f>
        <v>JI003</v>
      </c>
      <c r="W1009">
        <v>3</v>
      </c>
      <c r="X1009" t="str">
        <f>_xlfn.XLOOKUP(Table1[[#This Row],[JobLevel]],Table12[JobLevel],Table12[Id_JobLevel])</f>
        <v>JL003</v>
      </c>
      <c r="Y1009">
        <v>3</v>
      </c>
      <c r="Z1009" t="str">
        <f>_xlfn.XLOOKUP(Table1[[#This Row],[JobRole]],Table13[JobRole],Table13[Id_JobRole])</f>
        <v>JR005</v>
      </c>
      <c r="AA1009" t="s">
        <v>51</v>
      </c>
      <c r="AB1009" t="str">
        <f>_xlfn.XLOOKUP(Table1[[#This Row],[JobSatisfaction]],Table14[JobSatisfaction],Table14[Id_JobSatisfaction])</f>
        <v>JS004</v>
      </c>
      <c r="AC1009">
        <v>4</v>
      </c>
      <c r="AD1009" t="str">
        <f>_xlfn.XLOOKUP(Table1[[#This Row],[JobSatisfaction]],Table14[JobSatisfaction],Table14[Deskripsi])</f>
        <v>Very High</v>
      </c>
      <c r="AE1009" t="str">
        <f>_xlfn.XLOOKUP(Table1[[#This Row],[MaritalStatus]],Table15[MaritalStatus],Table15[Id_MaritalStatus])</f>
        <v>MS001</v>
      </c>
      <c r="AF1009" t="s">
        <v>55</v>
      </c>
      <c r="AG1009">
        <v>7553</v>
      </c>
      <c r="AH1009">
        <v>22930</v>
      </c>
      <c r="AI1009">
        <v>0</v>
      </c>
      <c r="AJ1009" t="str">
        <f>_xlfn.XLOOKUP(Table1[[#This Row],[OverTime]],Table16[OverTime],Table16[Id_OverTime])</f>
        <v>OT001</v>
      </c>
      <c r="AK1009" t="s">
        <v>32</v>
      </c>
      <c r="AL1009">
        <v>12</v>
      </c>
      <c r="AM1009" t="str">
        <f>_xlfn.XLOOKUP(Table1[[#This Row],[PerformanceRating]],Table17[PerformanceRating],Table17[Id_PerformanceRating])</f>
        <v>PR003</v>
      </c>
      <c r="AN1009">
        <v>3</v>
      </c>
      <c r="AO1009" t="str">
        <f>_xlfn.XLOOKUP(Table1[[#This Row],[PerformanceRating]],Table17[PerformanceRating],Table17[Deskripsi])</f>
        <v>Excellent</v>
      </c>
      <c r="AP1009" t="str">
        <f>_xlfn.XLOOKUP(Table1[[#This Row],[RelationshipSatisfaction]],Table18[RelationshipSatisfaction],Table18[Id_RelationshipSatisfaction])</f>
        <v>RS001</v>
      </c>
      <c r="AQ1009">
        <v>1</v>
      </c>
      <c r="AR1009" t="str">
        <f>_xlfn.XLOOKUP(Table1[[#This Row],[RelationshipSatisfaction]],Table18[RelationshipSatisfaction],Table18[Deskripsi])</f>
        <v>Low</v>
      </c>
      <c r="AS1009" t="str">
        <f>_xlfn.XLOOKUP(Table1[[#This Row],[StockOptionLevel]],Table19[StockOptionLevel],Table19[Id_StockOptionLevel])</f>
        <v>SOL001</v>
      </c>
      <c r="AT1009">
        <v>0</v>
      </c>
      <c r="AU1009" t="str">
        <f>_xlfn.XLOOKUP(Table1[[#This Row],[StockOptionLevel]],Table19[StockOptionLevel],Table19[Deskripsi])</f>
        <v>Non-Eligible</v>
      </c>
      <c r="AV1009">
        <v>9</v>
      </c>
      <c r="AW1009">
        <v>1</v>
      </c>
      <c r="AX1009" t="str">
        <f>_xlfn.XLOOKUP(Table1[[#This Row],[WorkLifeBalance]],Table20[WorkLifeBalance],Table20[Id_WorkLifeBalance])</f>
        <v>WLB002</v>
      </c>
      <c r="AY1009">
        <v>3</v>
      </c>
      <c r="AZ1009" t="str">
        <f>_xlfn.XLOOKUP(Table1[[#This Row],[WorkLifeBalance]],Table20[WorkLifeBalance],Table20[Deskripsi])</f>
        <v>Good</v>
      </c>
      <c r="BA1009">
        <v>8</v>
      </c>
      <c r="BB1009">
        <v>7</v>
      </c>
      <c r="BC1009">
        <v>7</v>
      </c>
      <c r="BD1009">
        <v>7</v>
      </c>
    </row>
    <row r="1010" spans="1:56" x14ac:dyDescent="0.25">
      <c r="A1010">
        <v>54</v>
      </c>
      <c r="B1010" t="str">
        <f>_xlfn.XLOOKUP(Table1[[#This Row],[Attrition]],Table2[Attrition],Table2[Id_Attrition])</f>
        <v>A002</v>
      </c>
      <c r="C1010" t="s">
        <v>33</v>
      </c>
      <c r="D1010" t="str">
        <f>_xlfn.XLOOKUP(Table1[[#This Row],[BusinessTravel]],Table5[BusinessTravel],Table5[Id_BusinessTravel])</f>
        <v>BS001</v>
      </c>
      <c r="E1010" t="s">
        <v>34</v>
      </c>
      <c r="F1010">
        <v>971</v>
      </c>
      <c r="G1010" t="str">
        <f>_xlfn.XLOOKUP(Table1[[#This Row],[Department]],Table6[Department],Table6[Id_Departement])</f>
        <v>D002</v>
      </c>
      <c r="H1010" t="s">
        <v>38</v>
      </c>
      <c r="I1010">
        <v>1</v>
      </c>
      <c r="J1010" t="str">
        <f>_xlfn.XLOOKUP(Table1[[#This Row],[Education]],Table8[Education],Table8[Id_Education])</f>
        <v>E003</v>
      </c>
      <c r="K1010">
        <v>3</v>
      </c>
      <c r="L1010" t="str">
        <f>_xlfn.XLOOKUP(Table1[[#This Row],[EducationField]],Table7[EducationField],Table7[Id_EducationField])</f>
        <v>EF003</v>
      </c>
      <c r="M1010" t="s">
        <v>42</v>
      </c>
      <c r="N1010" t="str">
        <f>_xlfn.XLOOKUP(Table1[[#This Row],[EmployeeNumber]],Table4[EmployeeNumber],Table4[Id_Employee])</f>
        <v>EMP01009</v>
      </c>
      <c r="O1010">
        <v>1422</v>
      </c>
      <c r="P1010" t="str">
        <f>_xlfn.XLOOKUP(Table1[[#This Row],[EnvironmentSatisfaction]],Table9[EnvironmentSatisfaction],Table9[Id_EnviromentSatisfaction])</f>
        <v>ES004</v>
      </c>
      <c r="Q1010">
        <v>4</v>
      </c>
      <c r="R1010" t="str">
        <f>_xlfn.XLOOKUP(Table1[[#This Row],[EnvironmentSatisfaction]],Table9[EnvironmentSatisfaction],Table9[Deskripsi])</f>
        <v>Very High</v>
      </c>
      <c r="S1010" t="str">
        <f>_xlfn.XLOOKUP(Table1[[#This Row],[Gender]],Table10[Gender],Table10[Id_Gender])</f>
        <v>G001</v>
      </c>
      <c r="T1010" t="s">
        <v>45</v>
      </c>
      <c r="U1010">
        <v>54</v>
      </c>
      <c r="V1010" t="str">
        <f>_xlfn.XLOOKUP(Table1[[#This Row],[JobInvolvement]],Table11[JobInvolvement],Table11[Id_JobInvolvement])</f>
        <v>JI003</v>
      </c>
      <c r="W1010">
        <v>3</v>
      </c>
      <c r="X1010" t="str">
        <f>_xlfn.XLOOKUP(Table1[[#This Row],[JobLevel]],Table12[JobLevel],Table12[Id_JobLevel])</f>
        <v>JL004</v>
      </c>
      <c r="Y1010">
        <v>4</v>
      </c>
      <c r="Z1010" t="str">
        <f>_xlfn.XLOOKUP(Table1[[#This Row],[JobRole]],Table13[JobRole],Table13[Id_JobRole])</f>
        <v>JR008</v>
      </c>
      <c r="AA1010" t="s">
        <v>54</v>
      </c>
      <c r="AB1010" t="str">
        <f>_xlfn.XLOOKUP(Table1[[#This Row],[JobSatisfaction]],Table14[JobSatisfaction],Table14[Id_JobSatisfaction])</f>
        <v>JS004</v>
      </c>
      <c r="AC1010">
        <v>4</v>
      </c>
      <c r="AD1010" t="str">
        <f>_xlfn.XLOOKUP(Table1[[#This Row],[JobSatisfaction]],Table14[JobSatisfaction],Table14[Deskripsi])</f>
        <v>Very High</v>
      </c>
      <c r="AE1010" t="str">
        <f>_xlfn.XLOOKUP(Table1[[#This Row],[MaritalStatus]],Table15[MaritalStatus],Table15[Id_MaritalStatus])</f>
        <v>MS001</v>
      </c>
      <c r="AF1010" t="s">
        <v>55</v>
      </c>
      <c r="AG1010">
        <v>17328</v>
      </c>
      <c r="AH1010">
        <v>5652</v>
      </c>
      <c r="AI1010">
        <v>6</v>
      </c>
      <c r="AJ1010" t="str">
        <f>_xlfn.XLOOKUP(Table1[[#This Row],[OverTime]],Table16[OverTime],Table16[Id_OverTime])</f>
        <v>OT002</v>
      </c>
      <c r="AK1010" t="s">
        <v>33</v>
      </c>
      <c r="AL1010">
        <v>19</v>
      </c>
      <c r="AM1010" t="str">
        <f>_xlfn.XLOOKUP(Table1[[#This Row],[PerformanceRating]],Table17[PerformanceRating],Table17[Id_PerformanceRating])</f>
        <v>PR003</v>
      </c>
      <c r="AN1010">
        <v>3</v>
      </c>
      <c r="AO1010" t="str">
        <f>_xlfn.XLOOKUP(Table1[[#This Row],[PerformanceRating]],Table17[PerformanceRating],Table17[Deskripsi])</f>
        <v>Excellent</v>
      </c>
      <c r="AP1010" t="str">
        <f>_xlfn.XLOOKUP(Table1[[#This Row],[RelationshipSatisfaction]],Table18[RelationshipSatisfaction],Table18[Id_RelationshipSatisfaction])</f>
        <v>RS004</v>
      </c>
      <c r="AQ1010">
        <v>4</v>
      </c>
      <c r="AR1010" t="str">
        <f>_xlfn.XLOOKUP(Table1[[#This Row],[RelationshipSatisfaction]],Table18[RelationshipSatisfaction],Table18[Deskripsi])</f>
        <v>Very High</v>
      </c>
      <c r="AS1010" t="str">
        <f>_xlfn.XLOOKUP(Table1[[#This Row],[StockOptionLevel]],Table19[StockOptionLevel],Table19[Id_StockOptionLevel])</f>
        <v>SOL001</v>
      </c>
      <c r="AT1010">
        <v>0</v>
      </c>
      <c r="AU1010" t="str">
        <f>_xlfn.XLOOKUP(Table1[[#This Row],[StockOptionLevel]],Table19[StockOptionLevel],Table19[Deskripsi])</f>
        <v>Non-Eligible</v>
      </c>
      <c r="AV1010">
        <v>29</v>
      </c>
      <c r="AW1010">
        <v>3</v>
      </c>
      <c r="AX1010" t="str">
        <f>_xlfn.XLOOKUP(Table1[[#This Row],[WorkLifeBalance]],Table20[WorkLifeBalance],Table20[Id_WorkLifeBalance])</f>
        <v>WLB003</v>
      </c>
      <c r="AY1010">
        <v>2</v>
      </c>
      <c r="AZ1010" t="str">
        <f>_xlfn.XLOOKUP(Table1[[#This Row],[WorkLifeBalance]],Table20[WorkLifeBalance],Table20[Deskripsi])</f>
        <v>Better</v>
      </c>
      <c r="BA1010">
        <v>20</v>
      </c>
      <c r="BB1010">
        <v>7</v>
      </c>
      <c r="BC1010">
        <v>12</v>
      </c>
      <c r="BD1010">
        <v>7</v>
      </c>
    </row>
    <row r="1011" spans="1:56" x14ac:dyDescent="0.25">
      <c r="A1011">
        <v>58</v>
      </c>
      <c r="B1011" t="str">
        <f>_xlfn.XLOOKUP(Table1[[#This Row],[Attrition]],Table2[Attrition],Table2[Id_Attrition])</f>
        <v>A002</v>
      </c>
      <c r="C1011" t="s">
        <v>33</v>
      </c>
      <c r="D1011" t="str">
        <f>_xlfn.XLOOKUP(Table1[[#This Row],[BusinessTravel]],Table5[BusinessTravel],Table5[Id_BusinessTravel])</f>
        <v>BS001</v>
      </c>
      <c r="E1011" t="s">
        <v>34</v>
      </c>
      <c r="F1011">
        <v>1055</v>
      </c>
      <c r="G1011" t="str">
        <f>_xlfn.XLOOKUP(Table1[[#This Row],[Department]],Table6[Department],Table6[Id_Departement])</f>
        <v>D002</v>
      </c>
      <c r="H1011" t="s">
        <v>38</v>
      </c>
      <c r="I1011">
        <v>1</v>
      </c>
      <c r="J1011" t="str">
        <f>_xlfn.XLOOKUP(Table1[[#This Row],[Education]],Table8[Education],Table8[Id_Education])</f>
        <v>E003</v>
      </c>
      <c r="K1011">
        <v>3</v>
      </c>
      <c r="L1011" t="str">
        <f>_xlfn.XLOOKUP(Table1[[#This Row],[EducationField]],Table7[EducationField],Table7[Id_EducationField])</f>
        <v>EF003</v>
      </c>
      <c r="M1011" t="s">
        <v>42</v>
      </c>
      <c r="N1011" t="str">
        <f>_xlfn.XLOOKUP(Table1[[#This Row],[EmployeeNumber]],Table4[EmployeeNumber],Table4[Id_Employee])</f>
        <v>EMP01010</v>
      </c>
      <c r="O1011">
        <v>1423</v>
      </c>
      <c r="P1011" t="str">
        <f>_xlfn.XLOOKUP(Table1[[#This Row],[EnvironmentSatisfaction]],Table9[EnvironmentSatisfaction],Table9[Id_EnviromentSatisfaction])</f>
        <v>ES004</v>
      </c>
      <c r="Q1011">
        <v>4</v>
      </c>
      <c r="R1011" t="str">
        <f>_xlfn.XLOOKUP(Table1[[#This Row],[EnvironmentSatisfaction]],Table9[EnvironmentSatisfaction],Table9[Deskripsi])</f>
        <v>Very High</v>
      </c>
      <c r="S1011" t="str">
        <f>_xlfn.XLOOKUP(Table1[[#This Row],[Gender]],Table10[Gender],Table10[Id_Gender])</f>
        <v>G001</v>
      </c>
      <c r="T1011" t="s">
        <v>45</v>
      </c>
      <c r="U1011">
        <v>76</v>
      </c>
      <c r="V1011" t="str">
        <f>_xlfn.XLOOKUP(Table1[[#This Row],[JobInvolvement]],Table11[JobInvolvement],Table11[Id_JobInvolvement])</f>
        <v>JI003</v>
      </c>
      <c r="W1011">
        <v>3</v>
      </c>
      <c r="X1011" t="str">
        <f>_xlfn.XLOOKUP(Table1[[#This Row],[JobLevel]],Table12[JobLevel],Table12[Id_JobLevel])</f>
        <v>JL005</v>
      </c>
      <c r="Y1011">
        <v>5</v>
      </c>
      <c r="Z1011" t="str">
        <f>_xlfn.XLOOKUP(Table1[[#This Row],[JobRole]],Table13[JobRole],Table13[Id_JobRole])</f>
        <v>JR008</v>
      </c>
      <c r="AA1011" t="s">
        <v>54</v>
      </c>
      <c r="AB1011" t="str">
        <f>_xlfn.XLOOKUP(Table1[[#This Row],[JobSatisfaction]],Table14[JobSatisfaction],Table14[Id_JobSatisfaction])</f>
        <v>JS001</v>
      </c>
      <c r="AC1011">
        <v>1</v>
      </c>
      <c r="AD1011" t="str">
        <f>_xlfn.XLOOKUP(Table1[[#This Row],[JobSatisfaction]],Table14[JobSatisfaction],Table14[Deskripsi])</f>
        <v>Low</v>
      </c>
      <c r="AE1011" t="str">
        <f>_xlfn.XLOOKUP(Table1[[#This Row],[MaritalStatus]],Table15[MaritalStatus],Table15[Id_MaritalStatus])</f>
        <v>MS002</v>
      </c>
      <c r="AF1011" t="s">
        <v>56</v>
      </c>
      <c r="AG1011">
        <v>19701</v>
      </c>
      <c r="AH1011">
        <v>22456</v>
      </c>
      <c r="AI1011">
        <v>3</v>
      </c>
      <c r="AJ1011" t="str">
        <f>_xlfn.XLOOKUP(Table1[[#This Row],[OverTime]],Table16[OverTime],Table16[Id_OverTime])</f>
        <v>OT001</v>
      </c>
      <c r="AK1011" t="s">
        <v>32</v>
      </c>
      <c r="AL1011">
        <v>21</v>
      </c>
      <c r="AM1011" t="str">
        <f>_xlfn.XLOOKUP(Table1[[#This Row],[PerformanceRating]],Table17[PerformanceRating],Table17[Id_PerformanceRating])</f>
        <v>PR004</v>
      </c>
      <c r="AN1011">
        <v>4</v>
      </c>
      <c r="AO1011" t="str">
        <f>_xlfn.XLOOKUP(Table1[[#This Row],[PerformanceRating]],Table17[PerformanceRating],Table17[Deskripsi])</f>
        <v>Outstanding</v>
      </c>
      <c r="AP1011" t="str">
        <f>_xlfn.XLOOKUP(Table1[[#This Row],[RelationshipSatisfaction]],Table18[RelationshipSatisfaction],Table18[Id_RelationshipSatisfaction])</f>
        <v>RS003</v>
      </c>
      <c r="AQ1011">
        <v>3</v>
      </c>
      <c r="AR1011" t="str">
        <f>_xlfn.XLOOKUP(Table1[[#This Row],[RelationshipSatisfaction]],Table18[RelationshipSatisfaction],Table18[Deskripsi])</f>
        <v>High</v>
      </c>
      <c r="AS1011" t="str">
        <f>_xlfn.XLOOKUP(Table1[[#This Row],[StockOptionLevel]],Table19[StockOptionLevel],Table19[Id_StockOptionLevel])</f>
        <v>SOL002</v>
      </c>
      <c r="AT1011">
        <v>1</v>
      </c>
      <c r="AU1011" t="str">
        <f>_xlfn.XLOOKUP(Table1[[#This Row],[StockOptionLevel]],Table19[StockOptionLevel],Table19[Deskripsi])</f>
        <v>Standard</v>
      </c>
      <c r="AV1011">
        <v>32</v>
      </c>
      <c r="AW1011">
        <v>3</v>
      </c>
      <c r="AX1011" t="str">
        <f>_xlfn.XLOOKUP(Table1[[#This Row],[WorkLifeBalance]],Table20[WorkLifeBalance],Table20[Id_WorkLifeBalance])</f>
        <v>WLB002</v>
      </c>
      <c r="AY1011">
        <v>3</v>
      </c>
      <c r="AZ1011" t="str">
        <f>_xlfn.XLOOKUP(Table1[[#This Row],[WorkLifeBalance]],Table20[WorkLifeBalance],Table20[Deskripsi])</f>
        <v>Good</v>
      </c>
      <c r="BA1011">
        <v>9</v>
      </c>
      <c r="BB1011">
        <v>8</v>
      </c>
      <c r="BC1011">
        <v>1</v>
      </c>
      <c r="BD1011">
        <v>5</v>
      </c>
    </row>
    <row r="1012" spans="1:56" x14ac:dyDescent="0.25">
      <c r="A1012">
        <v>55</v>
      </c>
      <c r="B1012" t="str">
        <f>_xlfn.XLOOKUP(Table1[[#This Row],[Attrition]],Table2[Attrition],Table2[Id_Attrition])</f>
        <v>A002</v>
      </c>
      <c r="C1012" t="s">
        <v>33</v>
      </c>
      <c r="D1012" t="str">
        <f>_xlfn.XLOOKUP(Table1[[#This Row],[BusinessTravel]],Table5[BusinessTravel],Table5[Id_BusinessTravel])</f>
        <v>BS001</v>
      </c>
      <c r="E1012" t="s">
        <v>34</v>
      </c>
      <c r="F1012">
        <v>1136</v>
      </c>
      <c r="G1012" t="str">
        <f>_xlfn.XLOOKUP(Table1[[#This Row],[Department]],Table6[Department],Table6[Id_Departement])</f>
        <v>D002</v>
      </c>
      <c r="H1012" t="s">
        <v>38</v>
      </c>
      <c r="I1012">
        <v>1</v>
      </c>
      <c r="J1012" t="str">
        <f>_xlfn.XLOOKUP(Table1[[#This Row],[Education]],Table8[Education],Table8[Id_Education])</f>
        <v>E004</v>
      </c>
      <c r="K1012">
        <v>4</v>
      </c>
      <c r="L1012" t="str">
        <f>_xlfn.XLOOKUP(Table1[[#This Row],[EducationField]],Table7[EducationField],Table7[Id_EducationField])</f>
        <v>EF003</v>
      </c>
      <c r="M1012" t="s">
        <v>42</v>
      </c>
      <c r="N1012" t="str">
        <f>_xlfn.XLOOKUP(Table1[[#This Row],[EmployeeNumber]],Table4[EmployeeNumber],Table4[Id_Employee])</f>
        <v>EMP01011</v>
      </c>
      <c r="O1012">
        <v>1424</v>
      </c>
      <c r="P1012" t="str">
        <f>_xlfn.XLOOKUP(Table1[[#This Row],[EnvironmentSatisfaction]],Table9[EnvironmentSatisfaction],Table9[Id_EnviromentSatisfaction])</f>
        <v>ES002</v>
      </c>
      <c r="Q1012">
        <v>2</v>
      </c>
      <c r="R1012" t="str">
        <f>_xlfn.XLOOKUP(Table1[[#This Row],[EnvironmentSatisfaction]],Table9[EnvironmentSatisfaction],Table9[Deskripsi])</f>
        <v>Medium</v>
      </c>
      <c r="S1012" t="str">
        <f>_xlfn.XLOOKUP(Table1[[#This Row],[Gender]],Table10[Gender],Table10[Id_Gender])</f>
        <v>G002</v>
      </c>
      <c r="T1012" t="s">
        <v>46</v>
      </c>
      <c r="U1012">
        <v>81</v>
      </c>
      <c r="V1012" t="str">
        <f>_xlfn.XLOOKUP(Table1[[#This Row],[JobInvolvement]],Table11[JobInvolvement],Table11[Id_JobInvolvement])</f>
        <v>JI004</v>
      </c>
      <c r="W1012">
        <v>4</v>
      </c>
      <c r="X1012" t="str">
        <f>_xlfn.XLOOKUP(Table1[[#This Row],[JobLevel]],Table12[JobLevel],Table12[Id_JobLevel])</f>
        <v>JL004</v>
      </c>
      <c r="Y1012">
        <v>4</v>
      </c>
      <c r="Z1012" t="str">
        <f>_xlfn.XLOOKUP(Table1[[#This Row],[JobRole]],Table13[JobRole],Table13[Id_JobRole])</f>
        <v>JR008</v>
      </c>
      <c r="AA1012" t="s">
        <v>54</v>
      </c>
      <c r="AB1012" t="str">
        <f>_xlfn.XLOOKUP(Table1[[#This Row],[JobSatisfaction]],Table14[JobSatisfaction],Table14[Id_JobSatisfaction])</f>
        <v>JS004</v>
      </c>
      <c r="AC1012">
        <v>4</v>
      </c>
      <c r="AD1012" t="str">
        <f>_xlfn.XLOOKUP(Table1[[#This Row],[JobSatisfaction]],Table14[JobSatisfaction],Table14[Deskripsi])</f>
        <v>Very High</v>
      </c>
      <c r="AE1012" t="str">
        <f>_xlfn.XLOOKUP(Table1[[#This Row],[MaritalStatus]],Table15[MaritalStatus],Table15[Id_MaritalStatus])</f>
        <v>MS003</v>
      </c>
      <c r="AF1012" t="s">
        <v>57</v>
      </c>
      <c r="AG1012">
        <v>14732</v>
      </c>
      <c r="AH1012">
        <v>12414</v>
      </c>
      <c r="AI1012">
        <v>2</v>
      </c>
      <c r="AJ1012" t="str">
        <f>_xlfn.XLOOKUP(Table1[[#This Row],[OverTime]],Table16[OverTime],Table16[Id_OverTime])</f>
        <v>OT002</v>
      </c>
      <c r="AK1012" t="s">
        <v>33</v>
      </c>
      <c r="AL1012">
        <v>13</v>
      </c>
      <c r="AM1012" t="str">
        <f>_xlfn.XLOOKUP(Table1[[#This Row],[PerformanceRating]],Table17[PerformanceRating],Table17[Id_PerformanceRating])</f>
        <v>PR003</v>
      </c>
      <c r="AN1012">
        <v>3</v>
      </c>
      <c r="AO1012" t="str">
        <f>_xlfn.XLOOKUP(Table1[[#This Row],[PerformanceRating]],Table17[PerformanceRating],Table17[Deskripsi])</f>
        <v>Excellent</v>
      </c>
      <c r="AP1012" t="str">
        <f>_xlfn.XLOOKUP(Table1[[#This Row],[RelationshipSatisfaction]],Table18[RelationshipSatisfaction],Table18[Id_RelationshipSatisfaction])</f>
        <v>RS004</v>
      </c>
      <c r="AQ1012">
        <v>4</v>
      </c>
      <c r="AR1012" t="str">
        <f>_xlfn.XLOOKUP(Table1[[#This Row],[RelationshipSatisfaction]],Table18[RelationshipSatisfaction],Table18[Deskripsi])</f>
        <v>Very High</v>
      </c>
      <c r="AS1012" t="str">
        <f>_xlfn.XLOOKUP(Table1[[#This Row],[StockOptionLevel]],Table19[StockOptionLevel],Table19[Id_StockOptionLevel])</f>
        <v>SOL003</v>
      </c>
      <c r="AT1012">
        <v>2</v>
      </c>
      <c r="AU1012" t="str">
        <f>_xlfn.XLOOKUP(Table1[[#This Row],[StockOptionLevel]],Table19[StockOptionLevel],Table19[Deskripsi])</f>
        <v>Intermediate</v>
      </c>
      <c r="AV1012">
        <v>31</v>
      </c>
      <c r="AW1012">
        <v>4</v>
      </c>
      <c r="AX1012" t="str">
        <f>_xlfn.XLOOKUP(Table1[[#This Row],[WorkLifeBalance]],Table20[WorkLifeBalance],Table20[Id_WorkLifeBalance])</f>
        <v>WLB004</v>
      </c>
      <c r="AY1012">
        <v>4</v>
      </c>
      <c r="AZ1012" t="str">
        <f>_xlfn.XLOOKUP(Table1[[#This Row],[WorkLifeBalance]],Table20[WorkLifeBalance],Table20[Deskripsi])</f>
        <v>Best</v>
      </c>
      <c r="BA1012">
        <v>7</v>
      </c>
      <c r="BB1012">
        <v>7</v>
      </c>
      <c r="BC1012">
        <v>0</v>
      </c>
      <c r="BD1012">
        <v>0</v>
      </c>
    </row>
    <row r="1013" spans="1:56" x14ac:dyDescent="0.25">
      <c r="A1013">
        <v>36</v>
      </c>
      <c r="B1013" t="str">
        <f>_xlfn.XLOOKUP(Table1[[#This Row],[Attrition]],Table2[Attrition],Table2[Id_Attrition])</f>
        <v>A002</v>
      </c>
      <c r="C1013" t="s">
        <v>33</v>
      </c>
      <c r="D1013" t="str">
        <f>_xlfn.XLOOKUP(Table1[[#This Row],[BusinessTravel]],Table5[BusinessTravel],Table5[Id_BusinessTravel])</f>
        <v>BS001</v>
      </c>
      <c r="E1013" t="s">
        <v>34</v>
      </c>
      <c r="F1013">
        <v>1174</v>
      </c>
      <c r="G1013" t="str">
        <f>_xlfn.XLOOKUP(Table1[[#This Row],[Department]],Table6[Department],Table6[Id_Departement])</f>
        <v>D001</v>
      </c>
      <c r="H1013" t="s">
        <v>37</v>
      </c>
      <c r="I1013">
        <v>3</v>
      </c>
      <c r="J1013" t="str">
        <f>_xlfn.XLOOKUP(Table1[[#This Row],[Education]],Table8[Education],Table8[Id_Education])</f>
        <v>E004</v>
      </c>
      <c r="K1013">
        <v>4</v>
      </c>
      <c r="L1013" t="str">
        <f>_xlfn.XLOOKUP(Table1[[#This Row],[EducationField]],Table7[EducationField],Table7[Id_EducationField])</f>
        <v>EF004</v>
      </c>
      <c r="M1013" t="s">
        <v>43</v>
      </c>
      <c r="N1013" t="str">
        <f>_xlfn.XLOOKUP(Table1[[#This Row],[EmployeeNumber]],Table4[EmployeeNumber],Table4[Id_Employee])</f>
        <v>EMP01012</v>
      </c>
      <c r="O1013">
        <v>1425</v>
      </c>
      <c r="P1013" t="str">
        <f>_xlfn.XLOOKUP(Table1[[#This Row],[EnvironmentSatisfaction]],Table9[EnvironmentSatisfaction],Table9[Id_EnviromentSatisfaction])</f>
        <v>ES001</v>
      </c>
      <c r="Q1013">
        <v>1</v>
      </c>
      <c r="R1013" t="str">
        <f>_xlfn.XLOOKUP(Table1[[#This Row],[EnvironmentSatisfaction]],Table9[EnvironmentSatisfaction],Table9[Deskripsi])</f>
        <v>Low</v>
      </c>
      <c r="S1013" t="str">
        <f>_xlfn.XLOOKUP(Table1[[#This Row],[Gender]],Table10[Gender],Table10[Id_Gender])</f>
        <v>G001</v>
      </c>
      <c r="T1013" t="s">
        <v>45</v>
      </c>
      <c r="U1013">
        <v>99</v>
      </c>
      <c r="V1013" t="str">
        <f>_xlfn.XLOOKUP(Table1[[#This Row],[JobInvolvement]],Table11[JobInvolvement],Table11[Id_JobInvolvement])</f>
        <v>JI003</v>
      </c>
      <c r="W1013">
        <v>3</v>
      </c>
      <c r="X1013" t="str">
        <f>_xlfn.XLOOKUP(Table1[[#This Row],[JobLevel]],Table12[JobLevel],Table12[Id_JobLevel])</f>
        <v>JL002</v>
      </c>
      <c r="Y1013">
        <v>2</v>
      </c>
      <c r="Z1013" t="str">
        <f>_xlfn.XLOOKUP(Table1[[#This Row],[JobRole]],Table13[JobRole],Table13[Id_JobRole])</f>
        <v>JR001</v>
      </c>
      <c r="AA1013" t="s">
        <v>47</v>
      </c>
      <c r="AB1013" t="str">
        <f>_xlfn.XLOOKUP(Table1[[#This Row],[JobSatisfaction]],Table14[JobSatisfaction],Table14[Id_JobSatisfaction])</f>
        <v>JS002</v>
      </c>
      <c r="AC1013">
        <v>2</v>
      </c>
      <c r="AD1013" t="str">
        <f>_xlfn.XLOOKUP(Table1[[#This Row],[JobSatisfaction]],Table14[JobSatisfaction],Table14[Deskripsi])</f>
        <v>Medium</v>
      </c>
      <c r="AE1013" t="str">
        <f>_xlfn.XLOOKUP(Table1[[#This Row],[MaritalStatus]],Table15[MaritalStatus],Table15[Id_MaritalStatus])</f>
        <v>MS001</v>
      </c>
      <c r="AF1013" t="s">
        <v>55</v>
      </c>
      <c r="AG1013">
        <v>9278</v>
      </c>
      <c r="AH1013">
        <v>20763</v>
      </c>
      <c r="AI1013">
        <v>3</v>
      </c>
      <c r="AJ1013" t="str">
        <f>_xlfn.XLOOKUP(Table1[[#This Row],[OverTime]],Table16[OverTime],Table16[Id_OverTime])</f>
        <v>OT001</v>
      </c>
      <c r="AK1013" t="s">
        <v>32</v>
      </c>
      <c r="AL1013">
        <v>16</v>
      </c>
      <c r="AM1013" t="str">
        <f>_xlfn.XLOOKUP(Table1[[#This Row],[PerformanceRating]],Table17[PerformanceRating],Table17[Id_PerformanceRating])</f>
        <v>PR003</v>
      </c>
      <c r="AN1013">
        <v>3</v>
      </c>
      <c r="AO1013" t="str">
        <f>_xlfn.XLOOKUP(Table1[[#This Row],[PerformanceRating]],Table17[PerformanceRating],Table17[Deskripsi])</f>
        <v>Excellent</v>
      </c>
      <c r="AP1013" t="str">
        <f>_xlfn.XLOOKUP(Table1[[#This Row],[RelationshipSatisfaction]],Table18[RelationshipSatisfaction],Table18[Id_RelationshipSatisfaction])</f>
        <v>RS004</v>
      </c>
      <c r="AQ1013">
        <v>4</v>
      </c>
      <c r="AR1013" t="str">
        <f>_xlfn.XLOOKUP(Table1[[#This Row],[RelationshipSatisfaction]],Table18[RelationshipSatisfaction],Table18[Deskripsi])</f>
        <v>Very High</v>
      </c>
      <c r="AS1013" t="str">
        <f>_xlfn.XLOOKUP(Table1[[#This Row],[StockOptionLevel]],Table19[StockOptionLevel],Table19[Id_StockOptionLevel])</f>
        <v>SOL001</v>
      </c>
      <c r="AT1013">
        <v>0</v>
      </c>
      <c r="AU1013" t="str">
        <f>_xlfn.XLOOKUP(Table1[[#This Row],[StockOptionLevel]],Table19[StockOptionLevel],Table19[Deskripsi])</f>
        <v>Non-Eligible</v>
      </c>
      <c r="AV1013">
        <v>15</v>
      </c>
      <c r="AW1013">
        <v>3</v>
      </c>
      <c r="AX1013" t="str">
        <f>_xlfn.XLOOKUP(Table1[[#This Row],[WorkLifeBalance]],Table20[WorkLifeBalance],Table20[Id_WorkLifeBalance])</f>
        <v>WLB002</v>
      </c>
      <c r="AY1013">
        <v>3</v>
      </c>
      <c r="AZ1013" t="str">
        <f>_xlfn.XLOOKUP(Table1[[#This Row],[WorkLifeBalance]],Table20[WorkLifeBalance],Table20[Deskripsi])</f>
        <v>Good</v>
      </c>
      <c r="BA1013">
        <v>5</v>
      </c>
      <c r="BB1013">
        <v>4</v>
      </c>
      <c r="BC1013">
        <v>0</v>
      </c>
      <c r="BD1013">
        <v>1</v>
      </c>
    </row>
    <row r="1014" spans="1:56" x14ac:dyDescent="0.25">
      <c r="A1014">
        <v>31</v>
      </c>
      <c r="B1014" t="str">
        <f>_xlfn.XLOOKUP(Table1[[#This Row],[Attrition]],Table2[Attrition],Table2[Id_Attrition])</f>
        <v>A001</v>
      </c>
      <c r="C1014" t="s">
        <v>32</v>
      </c>
      <c r="D1014" t="str">
        <f>_xlfn.XLOOKUP(Table1[[#This Row],[BusinessTravel]],Table5[BusinessTravel],Table5[Id_BusinessTravel])</f>
        <v>BS002</v>
      </c>
      <c r="E1014" t="s">
        <v>35</v>
      </c>
      <c r="F1014">
        <v>667</v>
      </c>
      <c r="G1014" t="str">
        <f>_xlfn.XLOOKUP(Table1[[#This Row],[Department]],Table6[Department],Table6[Id_Departement])</f>
        <v>D001</v>
      </c>
      <c r="H1014" t="s">
        <v>37</v>
      </c>
      <c r="I1014">
        <v>1</v>
      </c>
      <c r="J1014" t="str">
        <f>_xlfn.XLOOKUP(Table1[[#This Row],[Education]],Table8[Education],Table8[Id_Education])</f>
        <v>E004</v>
      </c>
      <c r="K1014">
        <v>4</v>
      </c>
      <c r="L1014" t="str">
        <f>_xlfn.XLOOKUP(Table1[[#This Row],[EducationField]],Table7[EducationField],Table7[Id_EducationField])</f>
        <v>EF001</v>
      </c>
      <c r="M1014" t="s">
        <v>40</v>
      </c>
      <c r="N1014" t="str">
        <f>_xlfn.XLOOKUP(Table1[[#This Row],[EmployeeNumber]],Table4[EmployeeNumber],Table4[Id_Employee])</f>
        <v>EMP01013</v>
      </c>
      <c r="O1014">
        <v>1427</v>
      </c>
      <c r="P1014" t="str">
        <f>_xlfn.XLOOKUP(Table1[[#This Row],[EnvironmentSatisfaction]],Table9[EnvironmentSatisfaction],Table9[Id_EnviromentSatisfaction])</f>
        <v>ES002</v>
      </c>
      <c r="Q1014">
        <v>2</v>
      </c>
      <c r="R1014" t="str">
        <f>_xlfn.XLOOKUP(Table1[[#This Row],[EnvironmentSatisfaction]],Table9[EnvironmentSatisfaction],Table9[Deskripsi])</f>
        <v>Medium</v>
      </c>
      <c r="S1014" t="str">
        <f>_xlfn.XLOOKUP(Table1[[#This Row],[Gender]],Table10[Gender],Table10[Id_Gender])</f>
        <v>G001</v>
      </c>
      <c r="T1014" t="s">
        <v>45</v>
      </c>
      <c r="U1014">
        <v>50</v>
      </c>
      <c r="V1014" t="str">
        <f>_xlfn.XLOOKUP(Table1[[#This Row],[JobInvolvement]],Table11[JobInvolvement],Table11[Id_JobInvolvement])</f>
        <v>JI001</v>
      </c>
      <c r="W1014">
        <v>1</v>
      </c>
      <c r="X1014" t="str">
        <f>_xlfn.XLOOKUP(Table1[[#This Row],[JobLevel]],Table12[JobLevel],Table12[Id_JobLevel])</f>
        <v>JL001</v>
      </c>
      <c r="Y1014">
        <v>1</v>
      </c>
      <c r="Z1014" t="str">
        <f>_xlfn.XLOOKUP(Table1[[#This Row],[JobRole]],Table13[JobRole],Table13[Id_JobRole])</f>
        <v>JR007</v>
      </c>
      <c r="AA1014" t="s">
        <v>53</v>
      </c>
      <c r="AB1014" t="str">
        <f>_xlfn.XLOOKUP(Table1[[#This Row],[JobSatisfaction]],Table14[JobSatisfaction],Table14[Id_JobSatisfaction])</f>
        <v>JS003</v>
      </c>
      <c r="AC1014">
        <v>3</v>
      </c>
      <c r="AD1014" t="str">
        <f>_xlfn.XLOOKUP(Table1[[#This Row],[JobSatisfaction]],Table14[JobSatisfaction],Table14[Deskripsi])</f>
        <v>High</v>
      </c>
      <c r="AE1014" t="str">
        <f>_xlfn.XLOOKUP(Table1[[#This Row],[MaritalStatus]],Table15[MaritalStatus],Table15[Id_MaritalStatus])</f>
        <v>MS001</v>
      </c>
      <c r="AF1014" t="s">
        <v>55</v>
      </c>
      <c r="AG1014">
        <v>1359</v>
      </c>
      <c r="AH1014">
        <v>16154</v>
      </c>
      <c r="AI1014">
        <v>1</v>
      </c>
      <c r="AJ1014" t="str">
        <f>_xlfn.XLOOKUP(Table1[[#This Row],[OverTime]],Table16[OverTime],Table16[Id_OverTime])</f>
        <v>OT002</v>
      </c>
      <c r="AK1014" t="s">
        <v>33</v>
      </c>
      <c r="AL1014">
        <v>12</v>
      </c>
      <c r="AM1014" t="str">
        <f>_xlfn.XLOOKUP(Table1[[#This Row],[PerformanceRating]],Table17[PerformanceRating],Table17[Id_PerformanceRating])</f>
        <v>PR003</v>
      </c>
      <c r="AN1014">
        <v>3</v>
      </c>
      <c r="AO1014" t="str">
        <f>_xlfn.XLOOKUP(Table1[[#This Row],[PerformanceRating]],Table17[PerformanceRating],Table17[Deskripsi])</f>
        <v>Excellent</v>
      </c>
      <c r="AP1014" t="str">
        <f>_xlfn.XLOOKUP(Table1[[#This Row],[RelationshipSatisfaction]],Table18[RelationshipSatisfaction],Table18[Id_RelationshipSatisfaction])</f>
        <v>RS002</v>
      </c>
      <c r="AQ1014">
        <v>2</v>
      </c>
      <c r="AR1014" t="str">
        <f>_xlfn.XLOOKUP(Table1[[#This Row],[RelationshipSatisfaction]],Table18[RelationshipSatisfaction],Table18[Deskripsi])</f>
        <v>Medium</v>
      </c>
      <c r="AS1014" t="str">
        <f>_xlfn.XLOOKUP(Table1[[#This Row],[StockOptionLevel]],Table19[StockOptionLevel],Table19[Id_StockOptionLevel])</f>
        <v>SOL001</v>
      </c>
      <c r="AT1014">
        <v>0</v>
      </c>
      <c r="AU1014" t="str">
        <f>_xlfn.XLOOKUP(Table1[[#This Row],[StockOptionLevel]],Table19[StockOptionLevel],Table19[Deskripsi])</f>
        <v>Non-Eligible</v>
      </c>
      <c r="AV1014">
        <v>1</v>
      </c>
      <c r="AW1014">
        <v>3</v>
      </c>
      <c r="AX1014" t="str">
        <f>_xlfn.XLOOKUP(Table1[[#This Row],[WorkLifeBalance]],Table20[WorkLifeBalance],Table20[Id_WorkLifeBalance])</f>
        <v>WLB002</v>
      </c>
      <c r="AY1014">
        <v>3</v>
      </c>
      <c r="AZ1014" t="str">
        <f>_xlfn.XLOOKUP(Table1[[#This Row],[WorkLifeBalance]],Table20[WorkLifeBalance],Table20[Deskripsi])</f>
        <v>Good</v>
      </c>
      <c r="BA1014">
        <v>1</v>
      </c>
      <c r="BB1014">
        <v>0</v>
      </c>
      <c r="BC1014">
        <v>0</v>
      </c>
      <c r="BD1014">
        <v>0</v>
      </c>
    </row>
    <row r="1015" spans="1:56" x14ac:dyDescent="0.25">
      <c r="A1015">
        <v>30</v>
      </c>
      <c r="B1015" t="str">
        <f>_xlfn.XLOOKUP(Table1[[#This Row],[Attrition]],Table2[Attrition],Table2[Id_Attrition])</f>
        <v>A002</v>
      </c>
      <c r="C1015" t="s">
        <v>33</v>
      </c>
      <c r="D1015" t="str">
        <f>_xlfn.XLOOKUP(Table1[[#This Row],[BusinessTravel]],Table5[BusinessTravel],Table5[Id_BusinessTravel])</f>
        <v>BS001</v>
      </c>
      <c r="E1015" t="s">
        <v>34</v>
      </c>
      <c r="F1015">
        <v>855</v>
      </c>
      <c r="G1015" t="str">
        <f>_xlfn.XLOOKUP(Table1[[#This Row],[Department]],Table6[Department],Table6[Id_Departement])</f>
        <v>D001</v>
      </c>
      <c r="H1015" t="s">
        <v>37</v>
      </c>
      <c r="I1015">
        <v>7</v>
      </c>
      <c r="J1015" t="str">
        <f>_xlfn.XLOOKUP(Table1[[#This Row],[Education]],Table8[Education],Table8[Id_Education])</f>
        <v>E004</v>
      </c>
      <c r="K1015">
        <v>4</v>
      </c>
      <c r="L1015" t="str">
        <f>_xlfn.XLOOKUP(Table1[[#This Row],[EducationField]],Table7[EducationField],Table7[Id_EducationField])</f>
        <v>EF004</v>
      </c>
      <c r="M1015" t="s">
        <v>43</v>
      </c>
      <c r="N1015" t="str">
        <f>_xlfn.XLOOKUP(Table1[[#This Row],[EmployeeNumber]],Table4[EmployeeNumber],Table4[Id_Employee])</f>
        <v>EMP01014</v>
      </c>
      <c r="O1015">
        <v>1428</v>
      </c>
      <c r="P1015" t="str">
        <f>_xlfn.XLOOKUP(Table1[[#This Row],[EnvironmentSatisfaction]],Table9[EnvironmentSatisfaction],Table9[Id_EnviromentSatisfaction])</f>
        <v>ES004</v>
      </c>
      <c r="Q1015">
        <v>4</v>
      </c>
      <c r="R1015" t="str">
        <f>_xlfn.XLOOKUP(Table1[[#This Row],[EnvironmentSatisfaction]],Table9[EnvironmentSatisfaction],Table9[Deskripsi])</f>
        <v>Very High</v>
      </c>
      <c r="S1015" t="str">
        <f>_xlfn.XLOOKUP(Table1[[#This Row],[Gender]],Table10[Gender],Table10[Id_Gender])</f>
        <v>G001</v>
      </c>
      <c r="T1015" t="s">
        <v>45</v>
      </c>
      <c r="U1015">
        <v>73</v>
      </c>
      <c r="V1015" t="str">
        <f>_xlfn.XLOOKUP(Table1[[#This Row],[JobInvolvement]],Table11[JobInvolvement],Table11[Id_JobInvolvement])</f>
        <v>JI003</v>
      </c>
      <c r="W1015">
        <v>3</v>
      </c>
      <c r="X1015" t="str">
        <f>_xlfn.XLOOKUP(Table1[[#This Row],[JobLevel]],Table12[JobLevel],Table12[Id_JobLevel])</f>
        <v>JL002</v>
      </c>
      <c r="Y1015">
        <v>2</v>
      </c>
      <c r="Z1015" t="str">
        <f>_xlfn.XLOOKUP(Table1[[#This Row],[JobRole]],Table13[JobRole],Table13[Id_JobRole])</f>
        <v>JR001</v>
      </c>
      <c r="AA1015" t="s">
        <v>47</v>
      </c>
      <c r="AB1015" t="str">
        <f>_xlfn.XLOOKUP(Table1[[#This Row],[JobSatisfaction]],Table14[JobSatisfaction],Table14[Id_JobSatisfaction])</f>
        <v>JS001</v>
      </c>
      <c r="AC1015">
        <v>1</v>
      </c>
      <c r="AD1015" t="str">
        <f>_xlfn.XLOOKUP(Table1[[#This Row],[JobSatisfaction]],Table14[JobSatisfaction],Table14[Deskripsi])</f>
        <v>Low</v>
      </c>
      <c r="AE1015" t="str">
        <f>_xlfn.XLOOKUP(Table1[[#This Row],[MaritalStatus]],Table15[MaritalStatus],Table15[Id_MaritalStatus])</f>
        <v>MS003</v>
      </c>
      <c r="AF1015" t="s">
        <v>57</v>
      </c>
      <c r="AG1015">
        <v>4779</v>
      </c>
      <c r="AH1015">
        <v>12761</v>
      </c>
      <c r="AI1015">
        <v>7</v>
      </c>
      <c r="AJ1015" t="str">
        <f>_xlfn.XLOOKUP(Table1[[#This Row],[OverTime]],Table16[OverTime],Table16[Id_OverTime])</f>
        <v>OT002</v>
      </c>
      <c r="AK1015" t="s">
        <v>33</v>
      </c>
      <c r="AL1015">
        <v>14</v>
      </c>
      <c r="AM1015" t="str">
        <f>_xlfn.XLOOKUP(Table1[[#This Row],[PerformanceRating]],Table17[PerformanceRating],Table17[Id_PerformanceRating])</f>
        <v>PR003</v>
      </c>
      <c r="AN1015">
        <v>3</v>
      </c>
      <c r="AO1015" t="str">
        <f>_xlfn.XLOOKUP(Table1[[#This Row],[PerformanceRating]],Table17[PerformanceRating],Table17[Deskripsi])</f>
        <v>Excellent</v>
      </c>
      <c r="AP1015" t="str">
        <f>_xlfn.XLOOKUP(Table1[[#This Row],[RelationshipSatisfaction]],Table18[RelationshipSatisfaction],Table18[Id_RelationshipSatisfaction])</f>
        <v>RS002</v>
      </c>
      <c r="AQ1015">
        <v>2</v>
      </c>
      <c r="AR1015" t="str">
        <f>_xlfn.XLOOKUP(Table1[[#This Row],[RelationshipSatisfaction]],Table18[RelationshipSatisfaction],Table18[Deskripsi])</f>
        <v>Medium</v>
      </c>
      <c r="AS1015" t="str">
        <f>_xlfn.XLOOKUP(Table1[[#This Row],[StockOptionLevel]],Table19[StockOptionLevel],Table19[Id_StockOptionLevel])</f>
        <v>SOL003</v>
      </c>
      <c r="AT1015">
        <v>2</v>
      </c>
      <c r="AU1015" t="str">
        <f>_xlfn.XLOOKUP(Table1[[#This Row],[StockOptionLevel]],Table19[StockOptionLevel],Table19[Deskripsi])</f>
        <v>Intermediate</v>
      </c>
      <c r="AV1015">
        <v>8</v>
      </c>
      <c r="AW1015">
        <v>3</v>
      </c>
      <c r="AX1015" t="str">
        <f>_xlfn.XLOOKUP(Table1[[#This Row],[WorkLifeBalance]],Table20[WorkLifeBalance],Table20[Id_WorkLifeBalance])</f>
        <v>WLB002</v>
      </c>
      <c r="AY1015">
        <v>3</v>
      </c>
      <c r="AZ1015" t="str">
        <f>_xlfn.XLOOKUP(Table1[[#This Row],[WorkLifeBalance]],Table20[WorkLifeBalance],Table20[Deskripsi])</f>
        <v>Good</v>
      </c>
      <c r="BA1015">
        <v>3</v>
      </c>
      <c r="BB1015">
        <v>2</v>
      </c>
      <c r="BC1015">
        <v>0</v>
      </c>
      <c r="BD1015">
        <v>2</v>
      </c>
    </row>
    <row r="1016" spans="1:56" x14ac:dyDescent="0.25">
      <c r="A1016">
        <v>31</v>
      </c>
      <c r="B1016" t="str">
        <f>_xlfn.XLOOKUP(Table1[[#This Row],[Attrition]],Table2[Attrition],Table2[Id_Attrition])</f>
        <v>A002</v>
      </c>
      <c r="C1016" t="s">
        <v>33</v>
      </c>
      <c r="D1016" t="str">
        <f>_xlfn.XLOOKUP(Table1[[#This Row],[BusinessTravel]],Table5[BusinessTravel],Table5[Id_BusinessTravel])</f>
        <v>BS001</v>
      </c>
      <c r="E1016" t="s">
        <v>34</v>
      </c>
      <c r="F1016">
        <v>182</v>
      </c>
      <c r="G1016" t="str">
        <f>_xlfn.XLOOKUP(Table1[[#This Row],[Department]],Table6[Department],Table6[Id_Departement])</f>
        <v>D002</v>
      </c>
      <c r="H1016" t="s">
        <v>38</v>
      </c>
      <c r="I1016">
        <v>8</v>
      </c>
      <c r="J1016" t="str">
        <f>_xlfn.XLOOKUP(Table1[[#This Row],[Education]],Table8[Education],Table8[Id_Education])</f>
        <v>E005</v>
      </c>
      <c r="K1016">
        <v>5</v>
      </c>
      <c r="L1016" t="str">
        <f>_xlfn.XLOOKUP(Table1[[#This Row],[EducationField]],Table7[EducationField],Table7[Id_EducationField])</f>
        <v>EF001</v>
      </c>
      <c r="M1016" t="s">
        <v>40</v>
      </c>
      <c r="N1016" t="str">
        <f>_xlfn.XLOOKUP(Table1[[#This Row],[EmployeeNumber]],Table4[EmployeeNumber],Table4[Id_Employee])</f>
        <v>EMP01015</v>
      </c>
      <c r="O1016">
        <v>1430</v>
      </c>
      <c r="P1016" t="str">
        <f>_xlfn.XLOOKUP(Table1[[#This Row],[EnvironmentSatisfaction]],Table9[EnvironmentSatisfaction],Table9[Id_EnviromentSatisfaction])</f>
        <v>ES001</v>
      </c>
      <c r="Q1016">
        <v>1</v>
      </c>
      <c r="R1016" t="str">
        <f>_xlfn.XLOOKUP(Table1[[#This Row],[EnvironmentSatisfaction]],Table9[EnvironmentSatisfaction],Table9[Deskripsi])</f>
        <v>Low</v>
      </c>
      <c r="S1016" t="str">
        <f>_xlfn.XLOOKUP(Table1[[#This Row],[Gender]],Table10[Gender],Table10[Id_Gender])</f>
        <v>G001</v>
      </c>
      <c r="T1016" t="s">
        <v>45</v>
      </c>
      <c r="U1016">
        <v>93</v>
      </c>
      <c r="V1016" t="str">
        <f>_xlfn.XLOOKUP(Table1[[#This Row],[JobInvolvement]],Table11[JobInvolvement],Table11[Id_JobInvolvement])</f>
        <v>JI003</v>
      </c>
      <c r="W1016">
        <v>3</v>
      </c>
      <c r="X1016" t="str">
        <f>_xlfn.XLOOKUP(Table1[[#This Row],[JobLevel]],Table12[JobLevel],Table12[Id_JobLevel])</f>
        <v>JL004</v>
      </c>
      <c r="Y1016">
        <v>4</v>
      </c>
      <c r="Z1016" t="str">
        <f>_xlfn.XLOOKUP(Table1[[#This Row],[JobRole]],Table13[JobRole],Table13[Id_JobRole])</f>
        <v>JR008</v>
      </c>
      <c r="AA1016" t="s">
        <v>54</v>
      </c>
      <c r="AB1016" t="str">
        <f>_xlfn.XLOOKUP(Table1[[#This Row],[JobSatisfaction]],Table14[JobSatisfaction],Table14[Id_JobSatisfaction])</f>
        <v>JS002</v>
      </c>
      <c r="AC1016">
        <v>2</v>
      </c>
      <c r="AD1016" t="str">
        <f>_xlfn.XLOOKUP(Table1[[#This Row],[JobSatisfaction]],Table14[JobSatisfaction],Table14[Deskripsi])</f>
        <v>Medium</v>
      </c>
      <c r="AE1016" t="str">
        <f>_xlfn.XLOOKUP(Table1[[#This Row],[MaritalStatus]],Table15[MaritalStatus],Table15[Id_MaritalStatus])</f>
        <v>MS001</v>
      </c>
      <c r="AF1016" t="s">
        <v>55</v>
      </c>
      <c r="AG1016">
        <v>16422</v>
      </c>
      <c r="AH1016">
        <v>8847</v>
      </c>
      <c r="AI1016">
        <v>3</v>
      </c>
      <c r="AJ1016" t="str">
        <f>_xlfn.XLOOKUP(Table1[[#This Row],[OverTime]],Table16[OverTime],Table16[Id_OverTime])</f>
        <v>OT002</v>
      </c>
      <c r="AK1016" t="s">
        <v>33</v>
      </c>
      <c r="AL1016">
        <v>11</v>
      </c>
      <c r="AM1016" t="str">
        <f>_xlfn.XLOOKUP(Table1[[#This Row],[PerformanceRating]],Table17[PerformanceRating],Table17[Id_PerformanceRating])</f>
        <v>PR003</v>
      </c>
      <c r="AN1016">
        <v>3</v>
      </c>
      <c r="AO1016" t="str">
        <f>_xlfn.XLOOKUP(Table1[[#This Row],[PerformanceRating]],Table17[PerformanceRating],Table17[Deskripsi])</f>
        <v>Excellent</v>
      </c>
      <c r="AP1016" t="str">
        <f>_xlfn.XLOOKUP(Table1[[#This Row],[RelationshipSatisfaction]],Table18[RelationshipSatisfaction],Table18[Id_RelationshipSatisfaction])</f>
        <v>RS003</v>
      </c>
      <c r="AQ1016">
        <v>3</v>
      </c>
      <c r="AR1016" t="str">
        <f>_xlfn.XLOOKUP(Table1[[#This Row],[RelationshipSatisfaction]],Table18[RelationshipSatisfaction],Table18[Deskripsi])</f>
        <v>High</v>
      </c>
      <c r="AS1016" t="str">
        <f>_xlfn.XLOOKUP(Table1[[#This Row],[StockOptionLevel]],Table19[StockOptionLevel],Table19[Id_StockOptionLevel])</f>
        <v>SOL001</v>
      </c>
      <c r="AT1016">
        <v>0</v>
      </c>
      <c r="AU1016" t="str">
        <f>_xlfn.XLOOKUP(Table1[[#This Row],[StockOptionLevel]],Table19[StockOptionLevel],Table19[Deskripsi])</f>
        <v>Non-Eligible</v>
      </c>
      <c r="AV1016">
        <v>9</v>
      </c>
      <c r="AW1016">
        <v>3</v>
      </c>
      <c r="AX1016" t="str">
        <f>_xlfn.XLOOKUP(Table1[[#This Row],[WorkLifeBalance]],Table20[WorkLifeBalance],Table20[Id_WorkLifeBalance])</f>
        <v>WLB004</v>
      </c>
      <c r="AY1016">
        <v>4</v>
      </c>
      <c r="AZ1016" t="str">
        <f>_xlfn.XLOOKUP(Table1[[#This Row],[WorkLifeBalance]],Table20[WorkLifeBalance],Table20[Deskripsi])</f>
        <v>Best</v>
      </c>
      <c r="BA1016">
        <v>3</v>
      </c>
      <c r="BB1016">
        <v>2</v>
      </c>
      <c r="BC1016">
        <v>1</v>
      </c>
      <c r="BD1016">
        <v>0</v>
      </c>
    </row>
    <row r="1017" spans="1:56" x14ac:dyDescent="0.25">
      <c r="A1017">
        <v>34</v>
      </c>
      <c r="B1017" t="str">
        <f>_xlfn.XLOOKUP(Table1[[#This Row],[Attrition]],Table2[Attrition],Table2[Id_Attrition])</f>
        <v>A002</v>
      </c>
      <c r="C1017" t="s">
        <v>33</v>
      </c>
      <c r="D1017" t="str">
        <f>_xlfn.XLOOKUP(Table1[[#This Row],[BusinessTravel]],Table5[BusinessTravel],Table5[Id_BusinessTravel])</f>
        <v>BS002</v>
      </c>
      <c r="E1017" t="s">
        <v>35</v>
      </c>
      <c r="F1017">
        <v>560</v>
      </c>
      <c r="G1017" t="str">
        <f>_xlfn.XLOOKUP(Table1[[#This Row],[Department]],Table6[Department],Table6[Id_Departement])</f>
        <v>D002</v>
      </c>
      <c r="H1017" t="s">
        <v>38</v>
      </c>
      <c r="I1017">
        <v>1</v>
      </c>
      <c r="J1017" t="str">
        <f>_xlfn.XLOOKUP(Table1[[#This Row],[Education]],Table8[Education],Table8[Id_Education])</f>
        <v>E004</v>
      </c>
      <c r="K1017">
        <v>4</v>
      </c>
      <c r="L1017" t="str">
        <f>_xlfn.XLOOKUP(Table1[[#This Row],[EducationField]],Table7[EducationField],Table7[Id_EducationField])</f>
        <v>EF002</v>
      </c>
      <c r="M1017" t="s">
        <v>41</v>
      </c>
      <c r="N1017" t="str">
        <f>_xlfn.XLOOKUP(Table1[[#This Row],[EmployeeNumber]],Table4[EmployeeNumber],Table4[Id_Employee])</f>
        <v>EMP01016</v>
      </c>
      <c r="O1017">
        <v>1431</v>
      </c>
      <c r="P1017" t="str">
        <f>_xlfn.XLOOKUP(Table1[[#This Row],[EnvironmentSatisfaction]],Table9[EnvironmentSatisfaction],Table9[Id_EnviromentSatisfaction])</f>
        <v>ES004</v>
      </c>
      <c r="Q1017">
        <v>4</v>
      </c>
      <c r="R1017" t="str">
        <f>_xlfn.XLOOKUP(Table1[[#This Row],[EnvironmentSatisfaction]],Table9[EnvironmentSatisfaction],Table9[Deskripsi])</f>
        <v>Very High</v>
      </c>
      <c r="S1017" t="str">
        <f>_xlfn.XLOOKUP(Table1[[#This Row],[Gender]],Table10[Gender],Table10[Id_Gender])</f>
        <v>G002</v>
      </c>
      <c r="T1017" t="s">
        <v>46</v>
      </c>
      <c r="U1017">
        <v>91</v>
      </c>
      <c r="V1017" t="str">
        <f>_xlfn.XLOOKUP(Table1[[#This Row],[JobInvolvement]],Table11[JobInvolvement],Table11[Id_JobInvolvement])</f>
        <v>JI003</v>
      </c>
      <c r="W1017">
        <v>3</v>
      </c>
      <c r="X1017" t="str">
        <f>_xlfn.XLOOKUP(Table1[[#This Row],[JobLevel]],Table12[JobLevel],Table12[Id_JobLevel])</f>
        <v>JL001</v>
      </c>
      <c r="Y1017">
        <v>1</v>
      </c>
      <c r="Z1017" t="str">
        <f>_xlfn.XLOOKUP(Table1[[#This Row],[JobRole]],Table13[JobRole],Table13[Id_JobRole])</f>
        <v>JR002</v>
      </c>
      <c r="AA1017" t="s">
        <v>48</v>
      </c>
      <c r="AB1017" t="str">
        <f>_xlfn.XLOOKUP(Table1[[#This Row],[JobSatisfaction]],Table14[JobSatisfaction],Table14[Id_JobSatisfaction])</f>
        <v>JS001</v>
      </c>
      <c r="AC1017">
        <v>1</v>
      </c>
      <c r="AD1017" t="str">
        <f>_xlfn.XLOOKUP(Table1[[#This Row],[JobSatisfaction]],Table14[JobSatisfaction],Table14[Deskripsi])</f>
        <v>Low</v>
      </c>
      <c r="AE1017" t="str">
        <f>_xlfn.XLOOKUP(Table1[[#This Row],[MaritalStatus]],Table15[MaritalStatus],Table15[Id_MaritalStatus])</f>
        <v>MS003</v>
      </c>
      <c r="AF1017" t="s">
        <v>57</v>
      </c>
      <c r="AG1017">
        <v>2996</v>
      </c>
      <c r="AH1017">
        <v>20284</v>
      </c>
      <c r="AI1017">
        <v>5</v>
      </c>
      <c r="AJ1017" t="str">
        <f>_xlfn.XLOOKUP(Table1[[#This Row],[OverTime]],Table16[OverTime],Table16[Id_OverTime])</f>
        <v>OT002</v>
      </c>
      <c r="AK1017" t="s">
        <v>33</v>
      </c>
      <c r="AL1017">
        <v>14</v>
      </c>
      <c r="AM1017" t="str">
        <f>_xlfn.XLOOKUP(Table1[[#This Row],[PerformanceRating]],Table17[PerformanceRating],Table17[Id_PerformanceRating])</f>
        <v>PR003</v>
      </c>
      <c r="AN1017">
        <v>3</v>
      </c>
      <c r="AO1017" t="str">
        <f>_xlfn.XLOOKUP(Table1[[#This Row],[PerformanceRating]],Table17[PerformanceRating],Table17[Deskripsi])</f>
        <v>Excellent</v>
      </c>
      <c r="AP1017" t="str">
        <f>_xlfn.XLOOKUP(Table1[[#This Row],[RelationshipSatisfaction]],Table18[RelationshipSatisfaction],Table18[Id_RelationshipSatisfaction])</f>
        <v>RS003</v>
      </c>
      <c r="AQ1017">
        <v>3</v>
      </c>
      <c r="AR1017" t="str">
        <f>_xlfn.XLOOKUP(Table1[[#This Row],[RelationshipSatisfaction]],Table18[RelationshipSatisfaction],Table18[Deskripsi])</f>
        <v>High</v>
      </c>
      <c r="AS1017" t="str">
        <f>_xlfn.XLOOKUP(Table1[[#This Row],[StockOptionLevel]],Table19[StockOptionLevel],Table19[Id_StockOptionLevel])</f>
        <v>SOL003</v>
      </c>
      <c r="AT1017">
        <v>2</v>
      </c>
      <c r="AU1017" t="str">
        <f>_xlfn.XLOOKUP(Table1[[#This Row],[StockOptionLevel]],Table19[StockOptionLevel],Table19[Deskripsi])</f>
        <v>Intermediate</v>
      </c>
      <c r="AV1017">
        <v>10</v>
      </c>
      <c r="AW1017">
        <v>2</v>
      </c>
      <c r="AX1017" t="str">
        <f>_xlfn.XLOOKUP(Table1[[#This Row],[WorkLifeBalance]],Table20[WorkLifeBalance],Table20[Id_WorkLifeBalance])</f>
        <v>WLB002</v>
      </c>
      <c r="AY1017">
        <v>3</v>
      </c>
      <c r="AZ1017" t="str">
        <f>_xlfn.XLOOKUP(Table1[[#This Row],[WorkLifeBalance]],Table20[WorkLifeBalance],Table20[Deskripsi])</f>
        <v>Good</v>
      </c>
      <c r="BA1017">
        <v>4</v>
      </c>
      <c r="BB1017">
        <v>3</v>
      </c>
      <c r="BC1017">
        <v>1</v>
      </c>
      <c r="BD1017">
        <v>3</v>
      </c>
    </row>
    <row r="1018" spans="1:56" x14ac:dyDescent="0.25">
      <c r="A1018">
        <v>31</v>
      </c>
      <c r="B1018" t="str">
        <f>_xlfn.XLOOKUP(Table1[[#This Row],[Attrition]],Table2[Attrition],Table2[Id_Attrition])</f>
        <v>A001</v>
      </c>
      <c r="C1018" t="s">
        <v>32</v>
      </c>
      <c r="D1018" t="str">
        <f>_xlfn.XLOOKUP(Table1[[#This Row],[BusinessTravel]],Table5[BusinessTravel],Table5[Id_BusinessTravel])</f>
        <v>BS001</v>
      </c>
      <c r="E1018" t="s">
        <v>34</v>
      </c>
      <c r="F1018">
        <v>202</v>
      </c>
      <c r="G1018" t="str">
        <f>_xlfn.XLOOKUP(Table1[[#This Row],[Department]],Table6[Department],Table6[Id_Departement])</f>
        <v>D002</v>
      </c>
      <c r="H1018" t="s">
        <v>38</v>
      </c>
      <c r="I1018">
        <v>8</v>
      </c>
      <c r="J1018" t="str">
        <f>_xlfn.XLOOKUP(Table1[[#This Row],[Education]],Table8[Education],Table8[Id_Education])</f>
        <v>E003</v>
      </c>
      <c r="K1018">
        <v>3</v>
      </c>
      <c r="L1018" t="str">
        <f>_xlfn.XLOOKUP(Table1[[#This Row],[EducationField]],Table7[EducationField],Table7[Id_EducationField])</f>
        <v>EF001</v>
      </c>
      <c r="M1018" t="s">
        <v>40</v>
      </c>
      <c r="N1018" t="str">
        <f>_xlfn.XLOOKUP(Table1[[#This Row],[EmployeeNumber]],Table4[EmployeeNumber],Table4[Id_Employee])</f>
        <v>EMP01017</v>
      </c>
      <c r="O1018">
        <v>1433</v>
      </c>
      <c r="P1018" t="str">
        <f>_xlfn.XLOOKUP(Table1[[#This Row],[EnvironmentSatisfaction]],Table9[EnvironmentSatisfaction],Table9[Id_EnviromentSatisfaction])</f>
        <v>ES001</v>
      </c>
      <c r="Q1018">
        <v>1</v>
      </c>
      <c r="R1018" t="str">
        <f>_xlfn.XLOOKUP(Table1[[#This Row],[EnvironmentSatisfaction]],Table9[EnvironmentSatisfaction],Table9[Deskripsi])</f>
        <v>Low</v>
      </c>
      <c r="S1018" t="str">
        <f>_xlfn.XLOOKUP(Table1[[#This Row],[Gender]],Table10[Gender],Table10[Id_Gender])</f>
        <v>G001</v>
      </c>
      <c r="T1018" t="s">
        <v>45</v>
      </c>
      <c r="U1018">
        <v>34</v>
      </c>
      <c r="V1018" t="str">
        <f>_xlfn.XLOOKUP(Table1[[#This Row],[JobInvolvement]],Table11[JobInvolvement],Table11[Id_JobInvolvement])</f>
        <v>JI002</v>
      </c>
      <c r="W1018">
        <v>2</v>
      </c>
      <c r="X1018" t="str">
        <f>_xlfn.XLOOKUP(Table1[[#This Row],[JobLevel]],Table12[JobLevel],Table12[Id_JobLevel])</f>
        <v>JL001</v>
      </c>
      <c r="Y1018">
        <v>1</v>
      </c>
      <c r="Z1018" t="str">
        <f>_xlfn.XLOOKUP(Table1[[#This Row],[JobRole]],Table13[JobRole],Table13[Id_JobRole])</f>
        <v>JR002</v>
      </c>
      <c r="AA1018" t="s">
        <v>48</v>
      </c>
      <c r="AB1018" t="str">
        <f>_xlfn.XLOOKUP(Table1[[#This Row],[JobSatisfaction]],Table14[JobSatisfaction],Table14[Id_JobSatisfaction])</f>
        <v>JS002</v>
      </c>
      <c r="AC1018">
        <v>2</v>
      </c>
      <c r="AD1018" t="str">
        <f>_xlfn.XLOOKUP(Table1[[#This Row],[JobSatisfaction]],Table14[JobSatisfaction],Table14[Deskripsi])</f>
        <v>Medium</v>
      </c>
      <c r="AE1018" t="str">
        <f>_xlfn.XLOOKUP(Table1[[#This Row],[MaritalStatus]],Table15[MaritalStatus],Table15[Id_MaritalStatus])</f>
        <v>MS001</v>
      </c>
      <c r="AF1018" t="s">
        <v>55</v>
      </c>
      <c r="AG1018">
        <v>1261</v>
      </c>
      <c r="AH1018">
        <v>22262</v>
      </c>
      <c r="AI1018">
        <v>1</v>
      </c>
      <c r="AJ1018" t="str">
        <f>_xlfn.XLOOKUP(Table1[[#This Row],[OverTime]],Table16[OverTime],Table16[Id_OverTime])</f>
        <v>OT002</v>
      </c>
      <c r="AK1018" t="s">
        <v>33</v>
      </c>
      <c r="AL1018">
        <v>12</v>
      </c>
      <c r="AM1018" t="str">
        <f>_xlfn.XLOOKUP(Table1[[#This Row],[PerformanceRating]],Table17[PerformanceRating],Table17[Id_PerformanceRating])</f>
        <v>PR003</v>
      </c>
      <c r="AN1018">
        <v>3</v>
      </c>
      <c r="AO1018" t="str">
        <f>_xlfn.XLOOKUP(Table1[[#This Row],[PerformanceRating]],Table17[PerformanceRating],Table17[Deskripsi])</f>
        <v>Excellent</v>
      </c>
      <c r="AP1018" t="str">
        <f>_xlfn.XLOOKUP(Table1[[#This Row],[RelationshipSatisfaction]],Table18[RelationshipSatisfaction],Table18[Id_RelationshipSatisfaction])</f>
        <v>RS003</v>
      </c>
      <c r="AQ1018">
        <v>3</v>
      </c>
      <c r="AR1018" t="str">
        <f>_xlfn.XLOOKUP(Table1[[#This Row],[RelationshipSatisfaction]],Table18[RelationshipSatisfaction],Table18[Deskripsi])</f>
        <v>High</v>
      </c>
      <c r="AS1018" t="str">
        <f>_xlfn.XLOOKUP(Table1[[#This Row],[StockOptionLevel]],Table19[StockOptionLevel],Table19[Id_StockOptionLevel])</f>
        <v>SOL001</v>
      </c>
      <c r="AT1018">
        <v>0</v>
      </c>
      <c r="AU1018" t="str">
        <f>_xlfn.XLOOKUP(Table1[[#This Row],[StockOptionLevel]],Table19[StockOptionLevel],Table19[Deskripsi])</f>
        <v>Non-Eligible</v>
      </c>
      <c r="AV1018">
        <v>1</v>
      </c>
      <c r="AW1018">
        <v>3</v>
      </c>
      <c r="AX1018" t="str">
        <f>_xlfn.XLOOKUP(Table1[[#This Row],[WorkLifeBalance]],Table20[WorkLifeBalance],Table20[Id_WorkLifeBalance])</f>
        <v>WLB004</v>
      </c>
      <c r="AY1018">
        <v>4</v>
      </c>
      <c r="AZ1018" t="str">
        <f>_xlfn.XLOOKUP(Table1[[#This Row],[WorkLifeBalance]],Table20[WorkLifeBalance],Table20[Deskripsi])</f>
        <v>Best</v>
      </c>
      <c r="BA1018">
        <v>1</v>
      </c>
      <c r="BB1018">
        <v>0</v>
      </c>
      <c r="BC1018">
        <v>0</v>
      </c>
      <c r="BD1018">
        <v>0</v>
      </c>
    </row>
    <row r="1019" spans="1:56" x14ac:dyDescent="0.25">
      <c r="A1019">
        <v>27</v>
      </c>
      <c r="B1019" t="str">
        <f>_xlfn.XLOOKUP(Table1[[#This Row],[Attrition]],Table2[Attrition],Table2[Id_Attrition])</f>
        <v>A002</v>
      </c>
      <c r="C1019" t="s">
        <v>33</v>
      </c>
      <c r="D1019" t="str">
        <f>_xlfn.XLOOKUP(Table1[[#This Row],[BusinessTravel]],Table5[BusinessTravel],Table5[Id_BusinessTravel])</f>
        <v>BS001</v>
      </c>
      <c r="E1019" t="s">
        <v>34</v>
      </c>
      <c r="F1019">
        <v>1377</v>
      </c>
      <c r="G1019" t="str">
        <f>_xlfn.XLOOKUP(Table1[[#This Row],[Department]],Table6[Department],Table6[Id_Departement])</f>
        <v>D002</v>
      </c>
      <c r="H1019" t="s">
        <v>38</v>
      </c>
      <c r="I1019">
        <v>11</v>
      </c>
      <c r="J1019" t="str">
        <f>_xlfn.XLOOKUP(Table1[[#This Row],[Education]],Table8[Education],Table8[Id_Education])</f>
        <v>E001</v>
      </c>
      <c r="K1019">
        <v>1</v>
      </c>
      <c r="L1019" t="str">
        <f>_xlfn.XLOOKUP(Table1[[#This Row],[EducationField]],Table7[EducationField],Table7[Id_EducationField])</f>
        <v>EF001</v>
      </c>
      <c r="M1019" t="s">
        <v>40</v>
      </c>
      <c r="N1019" t="str">
        <f>_xlfn.XLOOKUP(Table1[[#This Row],[EmployeeNumber]],Table4[EmployeeNumber],Table4[Id_Employee])</f>
        <v>EMP01018</v>
      </c>
      <c r="O1019">
        <v>1434</v>
      </c>
      <c r="P1019" t="str">
        <f>_xlfn.XLOOKUP(Table1[[#This Row],[EnvironmentSatisfaction]],Table9[EnvironmentSatisfaction],Table9[Id_EnviromentSatisfaction])</f>
        <v>ES002</v>
      </c>
      <c r="Q1019">
        <v>2</v>
      </c>
      <c r="R1019" t="str">
        <f>_xlfn.XLOOKUP(Table1[[#This Row],[EnvironmentSatisfaction]],Table9[EnvironmentSatisfaction],Table9[Deskripsi])</f>
        <v>Medium</v>
      </c>
      <c r="S1019" t="str">
        <f>_xlfn.XLOOKUP(Table1[[#This Row],[Gender]],Table10[Gender],Table10[Id_Gender])</f>
        <v>G002</v>
      </c>
      <c r="T1019" t="s">
        <v>46</v>
      </c>
      <c r="U1019">
        <v>91</v>
      </c>
      <c r="V1019" t="str">
        <f>_xlfn.XLOOKUP(Table1[[#This Row],[JobInvolvement]],Table11[JobInvolvement],Table11[Id_JobInvolvement])</f>
        <v>JI003</v>
      </c>
      <c r="W1019">
        <v>3</v>
      </c>
      <c r="X1019" t="str">
        <f>_xlfn.XLOOKUP(Table1[[#This Row],[JobLevel]],Table12[JobLevel],Table12[Id_JobLevel])</f>
        <v>JL001</v>
      </c>
      <c r="Y1019">
        <v>1</v>
      </c>
      <c r="Z1019" t="str">
        <f>_xlfn.XLOOKUP(Table1[[#This Row],[JobRole]],Table13[JobRole],Table13[Id_JobRole])</f>
        <v>JR003</v>
      </c>
      <c r="AA1019" t="s">
        <v>49</v>
      </c>
      <c r="AB1019" t="str">
        <f>_xlfn.XLOOKUP(Table1[[#This Row],[JobSatisfaction]],Table14[JobSatisfaction],Table14[Id_JobSatisfaction])</f>
        <v>JS001</v>
      </c>
      <c r="AC1019">
        <v>1</v>
      </c>
      <c r="AD1019" t="str">
        <f>_xlfn.XLOOKUP(Table1[[#This Row],[JobSatisfaction]],Table14[JobSatisfaction],Table14[Deskripsi])</f>
        <v>Low</v>
      </c>
      <c r="AE1019" t="str">
        <f>_xlfn.XLOOKUP(Table1[[#This Row],[MaritalStatus]],Table15[MaritalStatus],Table15[Id_MaritalStatus])</f>
        <v>MS002</v>
      </c>
      <c r="AF1019" t="s">
        <v>56</v>
      </c>
      <c r="AG1019">
        <v>2099</v>
      </c>
      <c r="AH1019">
        <v>7679</v>
      </c>
      <c r="AI1019">
        <v>0</v>
      </c>
      <c r="AJ1019" t="str">
        <f>_xlfn.XLOOKUP(Table1[[#This Row],[OverTime]],Table16[OverTime],Table16[Id_OverTime])</f>
        <v>OT002</v>
      </c>
      <c r="AK1019" t="s">
        <v>33</v>
      </c>
      <c r="AL1019">
        <v>14</v>
      </c>
      <c r="AM1019" t="str">
        <f>_xlfn.XLOOKUP(Table1[[#This Row],[PerformanceRating]],Table17[PerformanceRating],Table17[Id_PerformanceRating])</f>
        <v>PR003</v>
      </c>
      <c r="AN1019">
        <v>3</v>
      </c>
      <c r="AO1019" t="str">
        <f>_xlfn.XLOOKUP(Table1[[#This Row],[PerformanceRating]],Table17[PerformanceRating],Table17[Deskripsi])</f>
        <v>Excellent</v>
      </c>
      <c r="AP1019" t="str">
        <f>_xlfn.XLOOKUP(Table1[[#This Row],[RelationshipSatisfaction]],Table18[RelationshipSatisfaction],Table18[Id_RelationshipSatisfaction])</f>
        <v>RS002</v>
      </c>
      <c r="AQ1019">
        <v>2</v>
      </c>
      <c r="AR1019" t="str">
        <f>_xlfn.XLOOKUP(Table1[[#This Row],[RelationshipSatisfaction]],Table18[RelationshipSatisfaction],Table18[Deskripsi])</f>
        <v>Medium</v>
      </c>
      <c r="AS1019" t="str">
        <f>_xlfn.XLOOKUP(Table1[[#This Row],[StockOptionLevel]],Table19[StockOptionLevel],Table19[Id_StockOptionLevel])</f>
        <v>SOL001</v>
      </c>
      <c r="AT1019">
        <v>0</v>
      </c>
      <c r="AU1019" t="str">
        <f>_xlfn.XLOOKUP(Table1[[#This Row],[StockOptionLevel]],Table19[StockOptionLevel],Table19[Deskripsi])</f>
        <v>Non-Eligible</v>
      </c>
      <c r="AV1019">
        <v>6</v>
      </c>
      <c r="AW1019">
        <v>3</v>
      </c>
      <c r="AX1019" t="str">
        <f>_xlfn.XLOOKUP(Table1[[#This Row],[WorkLifeBalance]],Table20[WorkLifeBalance],Table20[Id_WorkLifeBalance])</f>
        <v>WLB004</v>
      </c>
      <c r="AY1019">
        <v>4</v>
      </c>
      <c r="AZ1019" t="str">
        <f>_xlfn.XLOOKUP(Table1[[#This Row],[WorkLifeBalance]],Table20[WorkLifeBalance],Table20[Deskripsi])</f>
        <v>Best</v>
      </c>
      <c r="BA1019">
        <v>5</v>
      </c>
      <c r="BB1019">
        <v>0</v>
      </c>
      <c r="BC1019">
        <v>1</v>
      </c>
      <c r="BD1019">
        <v>4</v>
      </c>
    </row>
    <row r="1020" spans="1:56" x14ac:dyDescent="0.25">
      <c r="A1020">
        <v>36</v>
      </c>
      <c r="B1020" t="str">
        <f>_xlfn.XLOOKUP(Table1[[#This Row],[Attrition]],Table2[Attrition],Table2[Id_Attrition])</f>
        <v>A002</v>
      </c>
      <c r="C1020" t="s">
        <v>33</v>
      </c>
      <c r="D1020" t="str">
        <f>_xlfn.XLOOKUP(Table1[[#This Row],[BusinessTravel]],Table5[BusinessTravel],Table5[Id_BusinessTravel])</f>
        <v>BS001</v>
      </c>
      <c r="E1020" t="s">
        <v>34</v>
      </c>
      <c r="F1020">
        <v>172</v>
      </c>
      <c r="G1020" t="str">
        <f>_xlfn.XLOOKUP(Table1[[#This Row],[Department]],Table6[Department],Table6[Id_Departement])</f>
        <v>D002</v>
      </c>
      <c r="H1020" t="s">
        <v>38</v>
      </c>
      <c r="I1020">
        <v>4</v>
      </c>
      <c r="J1020" t="str">
        <f>_xlfn.XLOOKUP(Table1[[#This Row],[Education]],Table8[Education],Table8[Id_Education])</f>
        <v>E004</v>
      </c>
      <c r="K1020">
        <v>4</v>
      </c>
      <c r="L1020" t="str">
        <f>_xlfn.XLOOKUP(Table1[[#This Row],[EducationField]],Table7[EducationField],Table7[Id_EducationField])</f>
        <v>EF001</v>
      </c>
      <c r="M1020" t="s">
        <v>40</v>
      </c>
      <c r="N1020" t="str">
        <f>_xlfn.XLOOKUP(Table1[[#This Row],[EmployeeNumber]],Table4[EmployeeNumber],Table4[Id_Employee])</f>
        <v>EMP01019</v>
      </c>
      <c r="O1020">
        <v>1435</v>
      </c>
      <c r="P1020" t="str">
        <f>_xlfn.XLOOKUP(Table1[[#This Row],[EnvironmentSatisfaction]],Table9[EnvironmentSatisfaction],Table9[Id_EnviromentSatisfaction])</f>
        <v>ES001</v>
      </c>
      <c r="Q1020">
        <v>1</v>
      </c>
      <c r="R1020" t="str">
        <f>_xlfn.XLOOKUP(Table1[[#This Row],[EnvironmentSatisfaction]],Table9[EnvironmentSatisfaction],Table9[Deskripsi])</f>
        <v>Low</v>
      </c>
      <c r="S1020" t="str">
        <f>_xlfn.XLOOKUP(Table1[[#This Row],[Gender]],Table10[Gender],Table10[Id_Gender])</f>
        <v>G002</v>
      </c>
      <c r="T1020" t="s">
        <v>46</v>
      </c>
      <c r="U1020">
        <v>37</v>
      </c>
      <c r="V1020" t="str">
        <f>_xlfn.XLOOKUP(Table1[[#This Row],[JobInvolvement]],Table11[JobInvolvement],Table11[Id_JobInvolvement])</f>
        <v>JI002</v>
      </c>
      <c r="W1020">
        <v>2</v>
      </c>
      <c r="X1020" t="str">
        <f>_xlfn.XLOOKUP(Table1[[#This Row],[JobLevel]],Table12[JobLevel],Table12[Id_JobLevel])</f>
        <v>JL002</v>
      </c>
      <c r="Y1020">
        <v>2</v>
      </c>
      <c r="Z1020" t="str">
        <f>_xlfn.XLOOKUP(Table1[[#This Row],[JobRole]],Table13[JobRole],Table13[Id_JobRole])</f>
        <v>JR003</v>
      </c>
      <c r="AA1020" t="s">
        <v>49</v>
      </c>
      <c r="AB1020" t="str">
        <f>_xlfn.XLOOKUP(Table1[[#This Row],[JobSatisfaction]],Table14[JobSatisfaction],Table14[Id_JobSatisfaction])</f>
        <v>JS004</v>
      </c>
      <c r="AC1020">
        <v>4</v>
      </c>
      <c r="AD1020" t="str">
        <f>_xlfn.XLOOKUP(Table1[[#This Row],[JobSatisfaction]],Table14[JobSatisfaction],Table14[Deskripsi])</f>
        <v>Very High</v>
      </c>
      <c r="AE1020" t="str">
        <f>_xlfn.XLOOKUP(Table1[[#This Row],[MaritalStatus]],Table15[MaritalStatus],Table15[Id_MaritalStatus])</f>
        <v>MS001</v>
      </c>
      <c r="AF1020" t="s">
        <v>55</v>
      </c>
      <c r="AG1020">
        <v>5810</v>
      </c>
      <c r="AH1020">
        <v>22604</v>
      </c>
      <c r="AI1020">
        <v>1</v>
      </c>
      <c r="AJ1020" t="str">
        <f>_xlfn.XLOOKUP(Table1[[#This Row],[OverTime]],Table16[OverTime],Table16[Id_OverTime])</f>
        <v>OT002</v>
      </c>
      <c r="AK1020" t="s">
        <v>33</v>
      </c>
      <c r="AL1020">
        <v>16</v>
      </c>
      <c r="AM1020" t="str">
        <f>_xlfn.XLOOKUP(Table1[[#This Row],[PerformanceRating]],Table17[PerformanceRating],Table17[Id_PerformanceRating])</f>
        <v>PR003</v>
      </c>
      <c r="AN1020">
        <v>3</v>
      </c>
      <c r="AO1020" t="str">
        <f>_xlfn.XLOOKUP(Table1[[#This Row],[PerformanceRating]],Table17[PerformanceRating],Table17[Deskripsi])</f>
        <v>Excellent</v>
      </c>
      <c r="AP1020" t="str">
        <f>_xlfn.XLOOKUP(Table1[[#This Row],[RelationshipSatisfaction]],Table18[RelationshipSatisfaction],Table18[Id_RelationshipSatisfaction])</f>
        <v>RS003</v>
      </c>
      <c r="AQ1020">
        <v>3</v>
      </c>
      <c r="AR1020" t="str">
        <f>_xlfn.XLOOKUP(Table1[[#This Row],[RelationshipSatisfaction]],Table18[RelationshipSatisfaction],Table18[Deskripsi])</f>
        <v>High</v>
      </c>
      <c r="AS1020" t="str">
        <f>_xlfn.XLOOKUP(Table1[[#This Row],[StockOptionLevel]],Table19[StockOptionLevel],Table19[Id_StockOptionLevel])</f>
        <v>SOL001</v>
      </c>
      <c r="AT1020">
        <v>0</v>
      </c>
      <c r="AU1020" t="str">
        <f>_xlfn.XLOOKUP(Table1[[#This Row],[StockOptionLevel]],Table19[StockOptionLevel],Table19[Deskripsi])</f>
        <v>Non-Eligible</v>
      </c>
      <c r="AV1020">
        <v>10</v>
      </c>
      <c r="AW1020">
        <v>2</v>
      </c>
      <c r="AX1020" t="str">
        <f>_xlfn.XLOOKUP(Table1[[#This Row],[WorkLifeBalance]],Table20[WorkLifeBalance],Table20[Id_WorkLifeBalance])</f>
        <v>WLB003</v>
      </c>
      <c r="AY1020">
        <v>2</v>
      </c>
      <c r="AZ1020" t="str">
        <f>_xlfn.XLOOKUP(Table1[[#This Row],[WorkLifeBalance]],Table20[WorkLifeBalance],Table20[Deskripsi])</f>
        <v>Better</v>
      </c>
      <c r="BA1020">
        <v>10</v>
      </c>
      <c r="BB1020">
        <v>4</v>
      </c>
      <c r="BC1020">
        <v>1</v>
      </c>
      <c r="BD1020">
        <v>8</v>
      </c>
    </row>
    <row r="1021" spans="1:56" x14ac:dyDescent="0.25">
      <c r="A1021">
        <v>36</v>
      </c>
      <c r="B1021" t="str">
        <f>_xlfn.XLOOKUP(Table1[[#This Row],[Attrition]],Table2[Attrition],Table2[Id_Attrition])</f>
        <v>A002</v>
      </c>
      <c r="C1021" t="s">
        <v>33</v>
      </c>
      <c r="D1021" t="str">
        <f>_xlfn.XLOOKUP(Table1[[#This Row],[BusinessTravel]],Table5[BusinessTravel],Table5[Id_BusinessTravel])</f>
        <v>BS001</v>
      </c>
      <c r="E1021" t="s">
        <v>34</v>
      </c>
      <c r="F1021">
        <v>329</v>
      </c>
      <c r="G1021" t="str">
        <f>_xlfn.XLOOKUP(Table1[[#This Row],[Department]],Table6[Department],Table6[Id_Departement])</f>
        <v>D001</v>
      </c>
      <c r="H1021" t="s">
        <v>37</v>
      </c>
      <c r="I1021">
        <v>16</v>
      </c>
      <c r="J1021" t="str">
        <f>_xlfn.XLOOKUP(Table1[[#This Row],[Education]],Table8[Education],Table8[Id_Education])</f>
        <v>E004</v>
      </c>
      <c r="K1021">
        <v>4</v>
      </c>
      <c r="L1021" t="str">
        <f>_xlfn.XLOOKUP(Table1[[#This Row],[EducationField]],Table7[EducationField],Table7[Id_EducationField])</f>
        <v>EF004</v>
      </c>
      <c r="M1021" t="s">
        <v>43</v>
      </c>
      <c r="N1021" t="str">
        <f>_xlfn.XLOOKUP(Table1[[#This Row],[EmployeeNumber]],Table4[EmployeeNumber],Table4[Id_Employee])</f>
        <v>EMP01020</v>
      </c>
      <c r="O1021">
        <v>1436</v>
      </c>
      <c r="P1021" t="str">
        <f>_xlfn.XLOOKUP(Table1[[#This Row],[EnvironmentSatisfaction]],Table9[EnvironmentSatisfaction],Table9[Id_EnviromentSatisfaction])</f>
        <v>ES003</v>
      </c>
      <c r="Q1021">
        <v>3</v>
      </c>
      <c r="R1021" t="str">
        <f>_xlfn.XLOOKUP(Table1[[#This Row],[EnvironmentSatisfaction]],Table9[EnvironmentSatisfaction],Table9[Deskripsi])</f>
        <v>High</v>
      </c>
      <c r="S1021" t="str">
        <f>_xlfn.XLOOKUP(Table1[[#This Row],[Gender]],Table10[Gender],Table10[Id_Gender])</f>
        <v>G001</v>
      </c>
      <c r="T1021" t="s">
        <v>45</v>
      </c>
      <c r="U1021">
        <v>98</v>
      </c>
      <c r="V1021" t="str">
        <f>_xlfn.XLOOKUP(Table1[[#This Row],[JobInvolvement]],Table11[JobInvolvement],Table11[Id_JobInvolvement])</f>
        <v>JI002</v>
      </c>
      <c r="W1021">
        <v>2</v>
      </c>
      <c r="X1021" t="str">
        <f>_xlfn.XLOOKUP(Table1[[#This Row],[JobLevel]],Table12[JobLevel],Table12[Id_JobLevel])</f>
        <v>JL002</v>
      </c>
      <c r="Y1021">
        <v>2</v>
      </c>
      <c r="Z1021" t="str">
        <f>_xlfn.XLOOKUP(Table1[[#This Row],[JobRole]],Table13[JobRole],Table13[Id_JobRole])</f>
        <v>JR001</v>
      </c>
      <c r="AA1021" t="s">
        <v>47</v>
      </c>
      <c r="AB1021" t="str">
        <f>_xlfn.XLOOKUP(Table1[[#This Row],[JobSatisfaction]],Table14[JobSatisfaction],Table14[Id_JobSatisfaction])</f>
        <v>JS001</v>
      </c>
      <c r="AC1021">
        <v>1</v>
      </c>
      <c r="AD1021" t="str">
        <f>_xlfn.XLOOKUP(Table1[[#This Row],[JobSatisfaction]],Table14[JobSatisfaction],Table14[Deskripsi])</f>
        <v>Low</v>
      </c>
      <c r="AE1021" t="str">
        <f>_xlfn.XLOOKUP(Table1[[#This Row],[MaritalStatus]],Table15[MaritalStatus],Table15[Id_MaritalStatus])</f>
        <v>MS002</v>
      </c>
      <c r="AF1021" t="s">
        <v>56</v>
      </c>
      <c r="AG1021">
        <v>5647</v>
      </c>
      <c r="AH1021">
        <v>13494</v>
      </c>
      <c r="AI1021">
        <v>4</v>
      </c>
      <c r="AJ1021" t="str">
        <f>_xlfn.XLOOKUP(Table1[[#This Row],[OverTime]],Table16[OverTime],Table16[Id_OverTime])</f>
        <v>OT002</v>
      </c>
      <c r="AK1021" t="s">
        <v>33</v>
      </c>
      <c r="AL1021">
        <v>13</v>
      </c>
      <c r="AM1021" t="str">
        <f>_xlfn.XLOOKUP(Table1[[#This Row],[PerformanceRating]],Table17[PerformanceRating],Table17[Id_PerformanceRating])</f>
        <v>PR003</v>
      </c>
      <c r="AN1021">
        <v>3</v>
      </c>
      <c r="AO1021" t="str">
        <f>_xlfn.XLOOKUP(Table1[[#This Row],[PerformanceRating]],Table17[PerformanceRating],Table17[Deskripsi])</f>
        <v>Excellent</v>
      </c>
      <c r="AP1021" t="str">
        <f>_xlfn.XLOOKUP(Table1[[#This Row],[RelationshipSatisfaction]],Table18[RelationshipSatisfaction],Table18[Id_RelationshipSatisfaction])</f>
        <v>RS001</v>
      </c>
      <c r="AQ1021">
        <v>1</v>
      </c>
      <c r="AR1021" t="str">
        <f>_xlfn.XLOOKUP(Table1[[#This Row],[RelationshipSatisfaction]],Table18[RelationshipSatisfaction],Table18[Deskripsi])</f>
        <v>Low</v>
      </c>
      <c r="AS1021" t="str">
        <f>_xlfn.XLOOKUP(Table1[[#This Row],[StockOptionLevel]],Table19[StockOptionLevel],Table19[Id_StockOptionLevel])</f>
        <v>SOL003</v>
      </c>
      <c r="AT1021">
        <v>2</v>
      </c>
      <c r="AU1021" t="str">
        <f>_xlfn.XLOOKUP(Table1[[#This Row],[StockOptionLevel]],Table19[StockOptionLevel],Table19[Deskripsi])</f>
        <v>Intermediate</v>
      </c>
      <c r="AV1021">
        <v>11</v>
      </c>
      <c r="AW1021">
        <v>3</v>
      </c>
      <c r="AX1021" t="str">
        <f>_xlfn.XLOOKUP(Table1[[#This Row],[WorkLifeBalance]],Table20[WorkLifeBalance],Table20[Id_WorkLifeBalance])</f>
        <v>WLB003</v>
      </c>
      <c r="AY1021">
        <v>2</v>
      </c>
      <c r="AZ1021" t="str">
        <f>_xlfn.XLOOKUP(Table1[[#This Row],[WorkLifeBalance]],Table20[WorkLifeBalance],Table20[Deskripsi])</f>
        <v>Better</v>
      </c>
      <c r="BA1021">
        <v>3</v>
      </c>
      <c r="BB1021">
        <v>2</v>
      </c>
      <c r="BC1021">
        <v>0</v>
      </c>
      <c r="BD1021">
        <v>2</v>
      </c>
    </row>
    <row r="1022" spans="1:56" x14ac:dyDescent="0.25">
      <c r="A1022">
        <v>47</v>
      </c>
      <c r="B1022" t="str">
        <f>_xlfn.XLOOKUP(Table1[[#This Row],[Attrition]],Table2[Attrition],Table2[Id_Attrition])</f>
        <v>A002</v>
      </c>
      <c r="C1022" t="s">
        <v>33</v>
      </c>
      <c r="D1022" t="str">
        <f>_xlfn.XLOOKUP(Table1[[#This Row],[BusinessTravel]],Table5[BusinessTravel],Table5[Id_BusinessTravel])</f>
        <v>BS001</v>
      </c>
      <c r="E1022" t="s">
        <v>34</v>
      </c>
      <c r="F1022">
        <v>465</v>
      </c>
      <c r="G1022" t="str">
        <f>_xlfn.XLOOKUP(Table1[[#This Row],[Department]],Table6[Department],Table6[Id_Departement])</f>
        <v>D002</v>
      </c>
      <c r="H1022" t="s">
        <v>38</v>
      </c>
      <c r="I1022">
        <v>1</v>
      </c>
      <c r="J1022" t="str">
        <f>_xlfn.XLOOKUP(Table1[[#This Row],[Education]],Table8[Education],Table8[Id_Education])</f>
        <v>E003</v>
      </c>
      <c r="K1022">
        <v>3</v>
      </c>
      <c r="L1022" t="str">
        <f>_xlfn.XLOOKUP(Table1[[#This Row],[EducationField]],Table7[EducationField],Table7[Id_EducationField])</f>
        <v>EF005</v>
      </c>
      <c r="M1022" t="s">
        <v>44</v>
      </c>
      <c r="N1022" t="str">
        <f>_xlfn.XLOOKUP(Table1[[#This Row],[EmployeeNumber]],Table4[EmployeeNumber],Table4[Id_Employee])</f>
        <v>EMP01021</v>
      </c>
      <c r="O1022">
        <v>1438</v>
      </c>
      <c r="P1022" t="str">
        <f>_xlfn.XLOOKUP(Table1[[#This Row],[EnvironmentSatisfaction]],Table9[EnvironmentSatisfaction],Table9[Id_EnviromentSatisfaction])</f>
        <v>ES001</v>
      </c>
      <c r="Q1022">
        <v>1</v>
      </c>
      <c r="R1022" t="str">
        <f>_xlfn.XLOOKUP(Table1[[#This Row],[EnvironmentSatisfaction]],Table9[EnvironmentSatisfaction],Table9[Deskripsi])</f>
        <v>Low</v>
      </c>
      <c r="S1022" t="str">
        <f>_xlfn.XLOOKUP(Table1[[#This Row],[Gender]],Table10[Gender],Table10[Id_Gender])</f>
        <v>G002</v>
      </c>
      <c r="T1022" t="s">
        <v>46</v>
      </c>
      <c r="U1022">
        <v>74</v>
      </c>
      <c r="V1022" t="str">
        <f>_xlfn.XLOOKUP(Table1[[#This Row],[JobInvolvement]],Table11[JobInvolvement],Table11[Id_JobInvolvement])</f>
        <v>JI003</v>
      </c>
      <c r="W1022">
        <v>3</v>
      </c>
      <c r="X1022" t="str">
        <f>_xlfn.XLOOKUP(Table1[[#This Row],[JobLevel]],Table12[JobLevel],Table12[Id_JobLevel])</f>
        <v>JL001</v>
      </c>
      <c r="Y1022">
        <v>1</v>
      </c>
      <c r="Z1022" t="str">
        <f>_xlfn.XLOOKUP(Table1[[#This Row],[JobRole]],Table13[JobRole],Table13[Id_JobRole])</f>
        <v>JR002</v>
      </c>
      <c r="AA1022" t="s">
        <v>48</v>
      </c>
      <c r="AB1022" t="str">
        <f>_xlfn.XLOOKUP(Table1[[#This Row],[JobSatisfaction]],Table14[JobSatisfaction],Table14[Id_JobSatisfaction])</f>
        <v>JS004</v>
      </c>
      <c r="AC1022">
        <v>4</v>
      </c>
      <c r="AD1022" t="str">
        <f>_xlfn.XLOOKUP(Table1[[#This Row],[JobSatisfaction]],Table14[JobSatisfaction],Table14[Deskripsi])</f>
        <v>Very High</v>
      </c>
      <c r="AE1022" t="str">
        <f>_xlfn.XLOOKUP(Table1[[#This Row],[MaritalStatus]],Table15[MaritalStatus],Table15[Id_MaritalStatus])</f>
        <v>MS002</v>
      </c>
      <c r="AF1022" t="s">
        <v>56</v>
      </c>
      <c r="AG1022">
        <v>3420</v>
      </c>
      <c r="AH1022">
        <v>10205</v>
      </c>
      <c r="AI1022">
        <v>7</v>
      </c>
      <c r="AJ1022" t="str">
        <f>_xlfn.XLOOKUP(Table1[[#This Row],[OverTime]],Table16[OverTime],Table16[Id_OverTime])</f>
        <v>OT002</v>
      </c>
      <c r="AK1022" t="s">
        <v>33</v>
      </c>
      <c r="AL1022">
        <v>12</v>
      </c>
      <c r="AM1022" t="str">
        <f>_xlfn.XLOOKUP(Table1[[#This Row],[PerformanceRating]],Table17[PerformanceRating],Table17[Id_PerformanceRating])</f>
        <v>PR003</v>
      </c>
      <c r="AN1022">
        <v>3</v>
      </c>
      <c r="AO1022" t="str">
        <f>_xlfn.XLOOKUP(Table1[[#This Row],[PerformanceRating]],Table17[PerformanceRating],Table17[Deskripsi])</f>
        <v>Excellent</v>
      </c>
      <c r="AP1022" t="str">
        <f>_xlfn.XLOOKUP(Table1[[#This Row],[RelationshipSatisfaction]],Table18[RelationshipSatisfaction],Table18[Id_RelationshipSatisfaction])</f>
        <v>RS003</v>
      </c>
      <c r="AQ1022">
        <v>3</v>
      </c>
      <c r="AR1022" t="str">
        <f>_xlfn.XLOOKUP(Table1[[#This Row],[RelationshipSatisfaction]],Table18[RelationshipSatisfaction],Table18[Deskripsi])</f>
        <v>High</v>
      </c>
      <c r="AS1022" t="str">
        <f>_xlfn.XLOOKUP(Table1[[#This Row],[StockOptionLevel]],Table19[StockOptionLevel],Table19[Id_StockOptionLevel])</f>
        <v>SOL002</v>
      </c>
      <c r="AT1022">
        <v>1</v>
      </c>
      <c r="AU1022" t="str">
        <f>_xlfn.XLOOKUP(Table1[[#This Row],[StockOptionLevel]],Table19[StockOptionLevel],Table19[Deskripsi])</f>
        <v>Standard</v>
      </c>
      <c r="AV1022">
        <v>17</v>
      </c>
      <c r="AW1022">
        <v>2</v>
      </c>
      <c r="AX1022" t="str">
        <f>_xlfn.XLOOKUP(Table1[[#This Row],[WorkLifeBalance]],Table20[WorkLifeBalance],Table20[Id_WorkLifeBalance])</f>
        <v>WLB003</v>
      </c>
      <c r="AY1022">
        <v>2</v>
      </c>
      <c r="AZ1022" t="str">
        <f>_xlfn.XLOOKUP(Table1[[#This Row],[WorkLifeBalance]],Table20[WorkLifeBalance],Table20[Deskripsi])</f>
        <v>Better</v>
      </c>
      <c r="BA1022">
        <v>6</v>
      </c>
      <c r="BB1022">
        <v>5</v>
      </c>
      <c r="BC1022">
        <v>1</v>
      </c>
      <c r="BD1022">
        <v>2</v>
      </c>
    </row>
    <row r="1023" spans="1:56" x14ac:dyDescent="0.25">
      <c r="A1023">
        <v>25</v>
      </c>
      <c r="B1023" t="str">
        <f>_xlfn.XLOOKUP(Table1[[#This Row],[Attrition]],Table2[Attrition],Table2[Id_Attrition])</f>
        <v>A001</v>
      </c>
      <c r="C1023" t="s">
        <v>32</v>
      </c>
      <c r="D1023" t="str">
        <f>_xlfn.XLOOKUP(Table1[[#This Row],[BusinessTravel]],Table5[BusinessTravel],Table5[Id_BusinessTravel])</f>
        <v>BS001</v>
      </c>
      <c r="E1023" t="s">
        <v>34</v>
      </c>
      <c r="F1023">
        <v>383</v>
      </c>
      <c r="G1023" t="str">
        <f>_xlfn.XLOOKUP(Table1[[#This Row],[Department]],Table6[Department],Table6[Id_Departement])</f>
        <v>D001</v>
      </c>
      <c r="H1023" t="s">
        <v>37</v>
      </c>
      <c r="I1023">
        <v>9</v>
      </c>
      <c r="J1023" t="str">
        <f>_xlfn.XLOOKUP(Table1[[#This Row],[Education]],Table8[Education],Table8[Id_Education])</f>
        <v>E002</v>
      </c>
      <c r="K1023">
        <v>2</v>
      </c>
      <c r="L1023" t="str">
        <f>_xlfn.XLOOKUP(Table1[[#This Row],[EducationField]],Table7[EducationField],Table7[Id_EducationField])</f>
        <v>EF001</v>
      </c>
      <c r="M1023" t="s">
        <v>40</v>
      </c>
      <c r="N1023" t="str">
        <f>_xlfn.XLOOKUP(Table1[[#This Row],[EmployeeNumber]],Table4[EmployeeNumber],Table4[Id_Employee])</f>
        <v>EMP01022</v>
      </c>
      <c r="O1023">
        <v>1439</v>
      </c>
      <c r="P1023" t="str">
        <f>_xlfn.XLOOKUP(Table1[[#This Row],[EnvironmentSatisfaction]],Table9[EnvironmentSatisfaction],Table9[Id_EnviromentSatisfaction])</f>
        <v>ES001</v>
      </c>
      <c r="Q1023">
        <v>1</v>
      </c>
      <c r="R1023" t="str">
        <f>_xlfn.XLOOKUP(Table1[[#This Row],[EnvironmentSatisfaction]],Table9[EnvironmentSatisfaction],Table9[Deskripsi])</f>
        <v>Low</v>
      </c>
      <c r="S1023" t="str">
        <f>_xlfn.XLOOKUP(Table1[[#This Row],[Gender]],Table10[Gender],Table10[Id_Gender])</f>
        <v>G002</v>
      </c>
      <c r="T1023" t="s">
        <v>46</v>
      </c>
      <c r="U1023">
        <v>68</v>
      </c>
      <c r="V1023" t="str">
        <f>_xlfn.XLOOKUP(Table1[[#This Row],[JobInvolvement]],Table11[JobInvolvement],Table11[Id_JobInvolvement])</f>
        <v>JI002</v>
      </c>
      <c r="W1023">
        <v>2</v>
      </c>
      <c r="X1023" t="str">
        <f>_xlfn.XLOOKUP(Table1[[#This Row],[JobLevel]],Table12[JobLevel],Table12[Id_JobLevel])</f>
        <v>JL001</v>
      </c>
      <c r="Y1023">
        <v>1</v>
      </c>
      <c r="Z1023" t="str">
        <f>_xlfn.XLOOKUP(Table1[[#This Row],[JobRole]],Table13[JobRole],Table13[Id_JobRole])</f>
        <v>JR007</v>
      </c>
      <c r="AA1023" t="s">
        <v>53</v>
      </c>
      <c r="AB1023" t="str">
        <f>_xlfn.XLOOKUP(Table1[[#This Row],[JobSatisfaction]],Table14[JobSatisfaction],Table14[Id_JobSatisfaction])</f>
        <v>JS001</v>
      </c>
      <c r="AC1023">
        <v>1</v>
      </c>
      <c r="AD1023" t="str">
        <f>_xlfn.XLOOKUP(Table1[[#This Row],[JobSatisfaction]],Table14[JobSatisfaction],Table14[Deskripsi])</f>
        <v>Low</v>
      </c>
      <c r="AE1023" t="str">
        <f>_xlfn.XLOOKUP(Table1[[#This Row],[MaritalStatus]],Table15[MaritalStatus],Table15[Id_MaritalStatus])</f>
        <v>MS002</v>
      </c>
      <c r="AF1023" t="s">
        <v>56</v>
      </c>
      <c r="AG1023">
        <v>4400</v>
      </c>
      <c r="AH1023">
        <v>15182</v>
      </c>
      <c r="AI1023">
        <v>3</v>
      </c>
      <c r="AJ1023" t="str">
        <f>_xlfn.XLOOKUP(Table1[[#This Row],[OverTime]],Table16[OverTime],Table16[Id_OverTime])</f>
        <v>OT002</v>
      </c>
      <c r="AK1023" t="s">
        <v>33</v>
      </c>
      <c r="AL1023">
        <v>12</v>
      </c>
      <c r="AM1023" t="str">
        <f>_xlfn.XLOOKUP(Table1[[#This Row],[PerformanceRating]],Table17[PerformanceRating],Table17[Id_PerformanceRating])</f>
        <v>PR003</v>
      </c>
      <c r="AN1023">
        <v>3</v>
      </c>
      <c r="AO1023" t="str">
        <f>_xlfn.XLOOKUP(Table1[[#This Row],[PerformanceRating]],Table17[PerformanceRating],Table17[Deskripsi])</f>
        <v>Excellent</v>
      </c>
      <c r="AP1023" t="str">
        <f>_xlfn.XLOOKUP(Table1[[#This Row],[RelationshipSatisfaction]],Table18[RelationshipSatisfaction],Table18[Id_RelationshipSatisfaction])</f>
        <v>RS001</v>
      </c>
      <c r="AQ1023">
        <v>1</v>
      </c>
      <c r="AR1023" t="str">
        <f>_xlfn.XLOOKUP(Table1[[#This Row],[RelationshipSatisfaction]],Table18[RelationshipSatisfaction],Table18[Deskripsi])</f>
        <v>Low</v>
      </c>
      <c r="AS1023" t="str">
        <f>_xlfn.XLOOKUP(Table1[[#This Row],[StockOptionLevel]],Table19[StockOptionLevel],Table19[Id_StockOptionLevel])</f>
        <v>SOL001</v>
      </c>
      <c r="AT1023">
        <v>0</v>
      </c>
      <c r="AU1023" t="str">
        <f>_xlfn.XLOOKUP(Table1[[#This Row],[StockOptionLevel]],Table19[StockOptionLevel],Table19[Deskripsi])</f>
        <v>Non-Eligible</v>
      </c>
      <c r="AV1023">
        <v>6</v>
      </c>
      <c r="AW1023">
        <v>2</v>
      </c>
      <c r="AX1023" t="str">
        <f>_xlfn.XLOOKUP(Table1[[#This Row],[WorkLifeBalance]],Table20[WorkLifeBalance],Table20[Id_WorkLifeBalance])</f>
        <v>WLB002</v>
      </c>
      <c r="AY1023">
        <v>3</v>
      </c>
      <c r="AZ1023" t="str">
        <f>_xlfn.XLOOKUP(Table1[[#This Row],[WorkLifeBalance]],Table20[WorkLifeBalance],Table20[Deskripsi])</f>
        <v>Good</v>
      </c>
      <c r="BA1023">
        <v>3</v>
      </c>
      <c r="BB1023">
        <v>2</v>
      </c>
      <c r="BC1023">
        <v>2</v>
      </c>
      <c r="BD1023">
        <v>2</v>
      </c>
    </row>
    <row r="1024" spans="1:56" x14ac:dyDescent="0.25">
      <c r="A1024">
        <v>37</v>
      </c>
      <c r="B1024" t="str">
        <f>_xlfn.XLOOKUP(Table1[[#This Row],[Attrition]],Table2[Attrition],Table2[Id_Attrition])</f>
        <v>A002</v>
      </c>
      <c r="C1024" t="s">
        <v>33</v>
      </c>
      <c r="D1024" t="str">
        <f>_xlfn.XLOOKUP(Table1[[#This Row],[BusinessTravel]],Table5[BusinessTravel],Table5[Id_BusinessTravel])</f>
        <v>BS003</v>
      </c>
      <c r="E1024" t="s">
        <v>36</v>
      </c>
      <c r="F1024">
        <v>1413</v>
      </c>
      <c r="G1024" t="str">
        <f>_xlfn.XLOOKUP(Table1[[#This Row],[Department]],Table6[Department],Table6[Id_Departement])</f>
        <v>D002</v>
      </c>
      <c r="H1024" t="s">
        <v>38</v>
      </c>
      <c r="I1024">
        <v>5</v>
      </c>
      <c r="J1024" t="str">
        <f>_xlfn.XLOOKUP(Table1[[#This Row],[Education]],Table8[Education],Table8[Id_Education])</f>
        <v>E002</v>
      </c>
      <c r="K1024">
        <v>2</v>
      </c>
      <c r="L1024" t="str">
        <f>_xlfn.XLOOKUP(Table1[[#This Row],[EducationField]],Table7[EducationField],Table7[Id_EducationField])</f>
        <v>EF005</v>
      </c>
      <c r="M1024" t="s">
        <v>44</v>
      </c>
      <c r="N1024" t="str">
        <f>_xlfn.XLOOKUP(Table1[[#This Row],[EmployeeNumber]],Table4[EmployeeNumber],Table4[Id_Employee])</f>
        <v>EMP01023</v>
      </c>
      <c r="O1024">
        <v>1440</v>
      </c>
      <c r="P1024" t="str">
        <f>_xlfn.XLOOKUP(Table1[[#This Row],[EnvironmentSatisfaction]],Table9[EnvironmentSatisfaction],Table9[Id_EnviromentSatisfaction])</f>
        <v>ES003</v>
      </c>
      <c r="Q1024">
        <v>3</v>
      </c>
      <c r="R1024" t="str">
        <f>_xlfn.XLOOKUP(Table1[[#This Row],[EnvironmentSatisfaction]],Table9[EnvironmentSatisfaction],Table9[Deskripsi])</f>
        <v>High</v>
      </c>
      <c r="S1024" t="str">
        <f>_xlfn.XLOOKUP(Table1[[#This Row],[Gender]],Table10[Gender],Table10[Id_Gender])</f>
        <v>G002</v>
      </c>
      <c r="T1024" t="s">
        <v>46</v>
      </c>
      <c r="U1024">
        <v>84</v>
      </c>
      <c r="V1024" t="str">
        <f>_xlfn.XLOOKUP(Table1[[#This Row],[JobInvolvement]],Table11[JobInvolvement],Table11[Id_JobInvolvement])</f>
        <v>JI004</v>
      </c>
      <c r="W1024">
        <v>4</v>
      </c>
      <c r="X1024" t="str">
        <f>_xlfn.XLOOKUP(Table1[[#This Row],[JobLevel]],Table12[JobLevel],Table12[Id_JobLevel])</f>
        <v>JL001</v>
      </c>
      <c r="Y1024">
        <v>1</v>
      </c>
      <c r="Z1024" t="str">
        <f>_xlfn.XLOOKUP(Table1[[#This Row],[JobRole]],Table13[JobRole],Table13[Id_JobRole])</f>
        <v>JR003</v>
      </c>
      <c r="AA1024" t="s">
        <v>49</v>
      </c>
      <c r="AB1024" t="str">
        <f>_xlfn.XLOOKUP(Table1[[#This Row],[JobSatisfaction]],Table14[JobSatisfaction],Table14[Id_JobSatisfaction])</f>
        <v>JS003</v>
      </c>
      <c r="AC1024">
        <v>3</v>
      </c>
      <c r="AD1024" t="str">
        <f>_xlfn.XLOOKUP(Table1[[#This Row],[JobSatisfaction]],Table14[JobSatisfaction],Table14[Deskripsi])</f>
        <v>High</v>
      </c>
      <c r="AE1024" t="str">
        <f>_xlfn.XLOOKUP(Table1[[#This Row],[MaritalStatus]],Table15[MaritalStatus],Table15[Id_MaritalStatus])</f>
        <v>MS001</v>
      </c>
      <c r="AF1024" t="s">
        <v>55</v>
      </c>
      <c r="AG1024">
        <v>3500</v>
      </c>
      <c r="AH1024">
        <v>25470</v>
      </c>
      <c r="AI1024">
        <v>0</v>
      </c>
      <c r="AJ1024" t="str">
        <f>_xlfn.XLOOKUP(Table1[[#This Row],[OverTime]],Table16[OverTime],Table16[Id_OverTime])</f>
        <v>OT002</v>
      </c>
      <c r="AK1024" t="s">
        <v>33</v>
      </c>
      <c r="AL1024">
        <v>14</v>
      </c>
      <c r="AM1024" t="str">
        <f>_xlfn.XLOOKUP(Table1[[#This Row],[PerformanceRating]],Table17[PerformanceRating],Table17[Id_PerformanceRating])</f>
        <v>PR003</v>
      </c>
      <c r="AN1024">
        <v>3</v>
      </c>
      <c r="AO1024" t="str">
        <f>_xlfn.XLOOKUP(Table1[[#This Row],[PerformanceRating]],Table17[PerformanceRating],Table17[Deskripsi])</f>
        <v>Excellent</v>
      </c>
      <c r="AP1024" t="str">
        <f>_xlfn.XLOOKUP(Table1[[#This Row],[RelationshipSatisfaction]],Table18[RelationshipSatisfaction],Table18[Id_RelationshipSatisfaction])</f>
        <v>RS001</v>
      </c>
      <c r="AQ1024">
        <v>1</v>
      </c>
      <c r="AR1024" t="str">
        <f>_xlfn.XLOOKUP(Table1[[#This Row],[RelationshipSatisfaction]],Table18[RelationshipSatisfaction],Table18[Deskripsi])</f>
        <v>Low</v>
      </c>
      <c r="AS1024" t="str">
        <f>_xlfn.XLOOKUP(Table1[[#This Row],[StockOptionLevel]],Table19[StockOptionLevel],Table19[Id_StockOptionLevel])</f>
        <v>SOL001</v>
      </c>
      <c r="AT1024">
        <v>0</v>
      </c>
      <c r="AU1024" t="str">
        <f>_xlfn.XLOOKUP(Table1[[#This Row],[StockOptionLevel]],Table19[StockOptionLevel],Table19[Deskripsi])</f>
        <v>Non-Eligible</v>
      </c>
      <c r="AV1024">
        <v>7</v>
      </c>
      <c r="AW1024">
        <v>2</v>
      </c>
      <c r="AX1024" t="str">
        <f>_xlfn.XLOOKUP(Table1[[#This Row],[WorkLifeBalance]],Table20[WorkLifeBalance],Table20[Id_WorkLifeBalance])</f>
        <v>WLB001</v>
      </c>
      <c r="AY1024">
        <v>1</v>
      </c>
      <c r="AZ1024" t="str">
        <f>_xlfn.XLOOKUP(Table1[[#This Row],[WorkLifeBalance]],Table20[WorkLifeBalance],Table20[Deskripsi])</f>
        <v>Bad</v>
      </c>
      <c r="BA1024">
        <v>6</v>
      </c>
      <c r="BB1024">
        <v>5</v>
      </c>
      <c r="BC1024">
        <v>1</v>
      </c>
      <c r="BD1024">
        <v>3</v>
      </c>
    </row>
    <row r="1025" spans="1:56" x14ac:dyDescent="0.25">
      <c r="A1025">
        <v>56</v>
      </c>
      <c r="B1025" t="str">
        <f>_xlfn.XLOOKUP(Table1[[#This Row],[Attrition]],Table2[Attrition],Table2[Id_Attrition])</f>
        <v>A002</v>
      </c>
      <c r="C1025" t="s">
        <v>33</v>
      </c>
      <c r="D1025" t="str">
        <f>_xlfn.XLOOKUP(Table1[[#This Row],[BusinessTravel]],Table5[BusinessTravel],Table5[Id_BusinessTravel])</f>
        <v>BS001</v>
      </c>
      <c r="E1025" t="s">
        <v>34</v>
      </c>
      <c r="F1025">
        <v>1255</v>
      </c>
      <c r="G1025" t="str">
        <f>_xlfn.XLOOKUP(Table1[[#This Row],[Department]],Table6[Department],Table6[Id_Departement])</f>
        <v>D002</v>
      </c>
      <c r="H1025" t="s">
        <v>38</v>
      </c>
      <c r="I1025">
        <v>1</v>
      </c>
      <c r="J1025" t="str">
        <f>_xlfn.XLOOKUP(Table1[[#This Row],[Education]],Table8[Education],Table8[Id_Education])</f>
        <v>E002</v>
      </c>
      <c r="K1025">
        <v>2</v>
      </c>
      <c r="L1025" t="str">
        <f>_xlfn.XLOOKUP(Table1[[#This Row],[EducationField]],Table7[EducationField],Table7[Id_EducationField])</f>
        <v>EF001</v>
      </c>
      <c r="M1025" t="s">
        <v>40</v>
      </c>
      <c r="N1025" t="str">
        <f>_xlfn.XLOOKUP(Table1[[#This Row],[EmployeeNumber]],Table4[EmployeeNumber],Table4[Id_Employee])</f>
        <v>EMP01024</v>
      </c>
      <c r="O1025">
        <v>1441</v>
      </c>
      <c r="P1025" t="str">
        <f>_xlfn.XLOOKUP(Table1[[#This Row],[EnvironmentSatisfaction]],Table9[EnvironmentSatisfaction],Table9[Id_EnviromentSatisfaction])</f>
        <v>ES001</v>
      </c>
      <c r="Q1025">
        <v>1</v>
      </c>
      <c r="R1025" t="str">
        <f>_xlfn.XLOOKUP(Table1[[#This Row],[EnvironmentSatisfaction]],Table9[EnvironmentSatisfaction],Table9[Deskripsi])</f>
        <v>Low</v>
      </c>
      <c r="S1025" t="str">
        <f>_xlfn.XLOOKUP(Table1[[#This Row],[Gender]],Table10[Gender],Table10[Id_Gender])</f>
        <v>G001</v>
      </c>
      <c r="T1025" t="s">
        <v>45</v>
      </c>
      <c r="U1025">
        <v>90</v>
      </c>
      <c r="V1025" t="str">
        <f>_xlfn.XLOOKUP(Table1[[#This Row],[JobInvolvement]],Table11[JobInvolvement],Table11[Id_JobInvolvement])</f>
        <v>JI003</v>
      </c>
      <c r="W1025">
        <v>3</v>
      </c>
      <c r="X1025" t="str">
        <f>_xlfn.XLOOKUP(Table1[[#This Row],[JobLevel]],Table12[JobLevel],Table12[Id_JobLevel])</f>
        <v>JL001</v>
      </c>
      <c r="Y1025">
        <v>1</v>
      </c>
      <c r="Z1025" t="str">
        <f>_xlfn.XLOOKUP(Table1[[#This Row],[JobRole]],Table13[JobRole],Table13[Id_JobRole])</f>
        <v>JR002</v>
      </c>
      <c r="AA1025" t="s">
        <v>48</v>
      </c>
      <c r="AB1025" t="str">
        <f>_xlfn.XLOOKUP(Table1[[#This Row],[JobSatisfaction]],Table14[JobSatisfaction],Table14[Id_JobSatisfaction])</f>
        <v>JS001</v>
      </c>
      <c r="AC1025">
        <v>1</v>
      </c>
      <c r="AD1025" t="str">
        <f>_xlfn.XLOOKUP(Table1[[#This Row],[JobSatisfaction]],Table14[JobSatisfaction],Table14[Deskripsi])</f>
        <v>Low</v>
      </c>
      <c r="AE1025" t="str">
        <f>_xlfn.XLOOKUP(Table1[[#This Row],[MaritalStatus]],Table15[MaritalStatus],Table15[Id_MaritalStatus])</f>
        <v>MS002</v>
      </c>
      <c r="AF1025" t="s">
        <v>56</v>
      </c>
      <c r="AG1025">
        <v>2066</v>
      </c>
      <c r="AH1025">
        <v>10494</v>
      </c>
      <c r="AI1025">
        <v>2</v>
      </c>
      <c r="AJ1025" t="str">
        <f>_xlfn.XLOOKUP(Table1[[#This Row],[OverTime]],Table16[OverTime],Table16[Id_OverTime])</f>
        <v>OT002</v>
      </c>
      <c r="AK1025" t="s">
        <v>33</v>
      </c>
      <c r="AL1025">
        <v>22</v>
      </c>
      <c r="AM1025" t="str">
        <f>_xlfn.XLOOKUP(Table1[[#This Row],[PerformanceRating]],Table17[PerformanceRating],Table17[Id_PerformanceRating])</f>
        <v>PR004</v>
      </c>
      <c r="AN1025">
        <v>4</v>
      </c>
      <c r="AO1025" t="str">
        <f>_xlfn.XLOOKUP(Table1[[#This Row],[PerformanceRating]],Table17[PerformanceRating],Table17[Deskripsi])</f>
        <v>Outstanding</v>
      </c>
      <c r="AP1025" t="str">
        <f>_xlfn.XLOOKUP(Table1[[#This Row],[RelationshipSatisfaction]],Table18[RelationshipSatisfaction],Table18[Id_RelationshipSatisfaction])</f>
        <v>RS004</v>
      </c>
      <c r="AQ1025">
        <v>4</v>
      </c>
      <c r="AR1025" t="str">
        <f>_xlfn.XLOOKUP(Table1[[#This Row],[RelationshipSatisfaction]],Table18[RelationshipSatisfaction],Table18[Deskripsi])</f>
        <v>Very High</v>
      </c>
      <c r="AS1025" t="str">
        <f>_xlfn.XLOOKUP(Table1[[#This Row],[StockOptionLevel]],Table19[StockOptionLevel],Table19[Id_StockOptionLevel])</f>
        <v>SOL002</v>
      </c>
      <c r="AT1025">
        <v>1</v>
      </c>
      <c r="AU1025" t="str">
        <f>_xlfn.XLOOKUP(Table1[[#This Row],[StockOptionLevel]],Table19[StockOptionLevel],Table19[Deskripsi])</f>
        <v>Standard</v>
      </c>
      <c r="AV1025">
        <v>5</v>
      </c>
      <c r="AW1025">
        <v>3</v>
      </c>
      <c r="AX1025" t="str">
        <f>_xlfn.XLOOKUP(Table1[[#This Row],[WorkLifeBalance]],Table20[WorkLifeBalance],Table20[Id_WorkLifeBalance])</f>
        <v>WLB004</v>
      </c>
      <c r="AY1025">
        <v>4</v>
      </c>
      <c r="AZ1025" t="str">
        <f>_xlfn.XLOOKUP(Table1[[#This Row],[WorkLifeBalance]],Table20[WorkLifeBalance],Table20[Deskripsi])</f>
        <v>Best</v>
      </c>
      <c r="BA1025">
        <v>3</v>
      </c>
      <c r="BB1025">
        <v>2</v>
      </c>
      <c r="BC1025">
        <v>1</v>
      </c>
      <c r="BD1025">
        <v>0</v>
      </c>
    </row>
    <row r="1026" spans="1:56" x14ac:dyDescent="0.25">
      <c r="A1026">
        <v>47</v>
      </c>
      <c r="B1026" t="str">
        <f>_xlfn.XLOOKUP(Table1[[#This Row],[Attrition]],Table2[Attrition],Table2[Id_Attrition])</f>
        <v>A002</v>
      </c>
      <c r="C1026" t="s">
        <v>33</v>
      </c>
      <c r="D1026" t="str">
        <f>_xlfn.XLOOKUP(Table1[[#This Row],[BusinessTravel]],Table5[BusinessTravel],Table5[Id_BusinessTravel])</f>
        <v>BS001</v>
      </c>
      <c r="E1026" t="s">
        <v>34</v>
      </c>
      <c r="F1026">
        <v>359</v>
      </c>
      <c r="G1026" t="str">
        <f>_xlfn.XLOOKUP(Table1[[#This Row],[Department]],Table6[Department],Table6[Id_Departement])</f>
        <v>D002</v>
      </c>
      <c r="H1026" t="s">
        <v>38</v>
      </c>
      <c r="I1026">
        <v>2</v>
      </c>
      <c r="J1026" t="str">
        <f>_xlfn.XLOOKUP(Table1[[#This Row],[Education]],Table8[Education],Table8[Id_Education])</f>
        <v>E004</v>
      </c>
      <c r="K1026">
        <v>4</v>
      </c>
      <c r="L1026" t="str">
        <f>_xlfn.XLOOKUP(Table1[[#This Row],[EducationField]],Table7[EducationField],Table7[Id_EducationField])</f>
        <v>EF003</v>
      </c>
      <c r="M1026" t="s">
        <v>42</v>
      </c>
      <c r="N1026" t="str">
        <f>_xlfn.XLOOKUP(Table1[[#This Row],[EmployeeNumber]],Table4[EmployeeNumber],Table4[Id_Employee])</f>
        <v>EMP01025</v>
      </c>
      <c r="O1026">
        <v>1443</v>
      </c>
      <c r="P1026" t="str">
        <f>_xlfn.XLOOKUP(Table1[[#This Row],[EnvironmentSatisfaction]],Table9[EnvironmentSatisfaction],Table9[Id_EnviromentSatisfaction])</f>
        <v>ES001</v>
      </c>
      <c r="Q1026">
        <v>1</v>
      </c>
      <c r="R1026" t="str">
        <f>_xlfn.XLOOKUP(Table1[[#This Row],[EnvironmentSatisfaction]],Table9[EnvironmentSatisfaction],Table9[Deskripsi])</f>
        <v>Low</v>
      </c>
      <c r="S1026" t="str">
        <f>_xlfn.XLOOKUP(Table1[[#This Row],[Gender]],Table10[Gender],Table10[Id_Gender])</f>
        <v>G001</v>
      </c>
      <c r="T1026" t="s">
        <v>45</v>
      </c>
      <c r="U1026">
        <v>82</v>
      </c>
      <c r="V1026" t="str">
        <f>_xlfn.XLOOKUP(Table1[[#This Row],[JobInvolvement]],Table11[JobInvolvement],Table11[Id_JobInvolvement])</f>
        <v>JI003</v>
      </c>
      <c r="W1026">
        <v>3</v>
      </c>
      <c r="X1026" t="str">
        <f>_xlfn.XLOOKUP(Table1[[#This Row],[JobLevel]],Table12[JobLevel],Table12[Id_JobLevel])</f>
        <v>JL004</v>
      </c>
      <c r="Y1026">
        <v>4</v>
      </c>
      <c r="Z1026" t="str">
        <f>_xlfn.XLOOKUP(Table1[[#This Row],[JobRole]],Table13[JobRole],Table13[Id_JobRole])</f>
        <v>JR008</v>
      </c>
      <c r="AA1026" t="s">
        <v>54</v>
      </c>
      <c r="AB1026" t="str">
        <f>_xlfn.XLOOKUP(Table1[[#This Row],[JobSatisfaction]],Table14[JobSatisfaction],Table14[Id_JobSatisfaction])</f>
        <v>JS003</v>
      </c>
      <c r="AC1026">
        <v>3</v>
      </c>
      <c r="AD1026" t="str">
        <f>_xlfn.XLOOKUP(Table1[[#This Row],[JobSatisfaction]],Table14[JobSatisfaction],Table14[Deskripsi])</f>
        <v>High</v>
      </c>
      <c r="AE1026" t="str">
        <f>_xlfn.XLOOKUP(Table1[[#This Row],[MaritalStatus]],Table15[MaritalStatus],Table15[Id_MaritalStatus])</f>
        <v>MS002</v>
      </c>
      <c r="AF1026" t="s">
        <v>56</v>
      </c>
      <c r="AG1026">
        <v>17169</v>
      </c>
      <c r="AH1026">
        <v>26703</v>
      </c>
      <c r="AI1026">
        <v>3</v>
      </c>
      <c r="AJ1026" t="str">
        <f>_xlfn.XLOOKUP(Table1[[#This Row],[OverTime]],Table16[OverTime],Table16[Id_OverTime])</f>
        <v>OT002</v>
      </c>
      <c r="AK1026" t="s">
        <v>33</v>
      </c>
      <c r="AL1026">
        <v>19</v>
      </c>
      <c r="AM1026" t="str">
        <f>_xlfn.XLOOKUP(Table1[[#This Row],[PerformanceRating]],Table17[PerformanceRating],Table17[Id_PerformanceRating])</f>
        <v>PR003</v>
      </c>
      <c r="AN1026">
        <v>3</v>
      </c>
      <c r="AO1026" t="str">
        <f>_xlfn.XLOOKUP(Table1[[#This Row],[PerformanceRating]],Table17[PerformanceRating],Table17[Deskripsi])</f>
        <v>Excellent</v>
      </c>
      <c r="AP1026" t="str">
        <f>_xlfn.XLOOKUP(Table1[[#This Row],[RelationshipSatisfaction]],Table18[RelationshipSatisfaction],Table18[Id_RelationshipSatisfaction])</f>
        <v>RS002</v>
      </c>
      <c r="AQ1026">
        <v>2</v>
      </c>
      <c r="AR1026" t="str">
        <f>_xlfn.XLOOKUP(Table1[[#This Row],[RelationshipSatisfaction]],Table18[RelationshipSatisfaction],Table18[Deskripsi])</f>
        <v>Medium</v>
      </c>
      <c r="AS1026" t="str">
        <f>_xlfn.XLOOKUP(Table1[[#This Row],[StockOptionLevel]],Table19[StockOptionLevel],Table19[Id_StockOptionLevel])</f>
        <v>SOL003</v>
      </c>
      <c r="AT1026">
        <v>2</v>
      </c>
      <c r="AU1026" t="str">
        <f>_xlfn.XLOOKUP(Table1[[#This Row],[StockOptionLevel]],Table19[StockOptionLevel],Table19[Deskripsi])</f>
        <v>Intermediate</v>
      </c>
      <c r="AV1026">
        <v>26</v>
      </c>
      <c r="AW1026">
        <v>2</v>
      </c>
      <c r="AX1026" t="str">
        <f>_xlfn.XLOOKUP(Table1[[#This Row],[WorkLifeBalance]],Table20[WorkLifeBalance],Table20[Id_WorkLifeBalance])</f>
        <v>WLB004</v>
      </c>
      <c r="AY1026">
        <v>4</v>
      </c>
      <c r="AZ1026" t="str">
        <f>_xlfn.XLOOKUP(Table1[[#This Row],[WorkLifeBalance]],Table20[WorkLifeBalance],Table20[Deskripsi])</f>
        <v>Best</v>
      </c>
      <c r="BA1026">
        <v>20</v>
      </c>
      <c r="BB1026">
        <v>17</v>
      </c>
      <c r="BC1026">
        <v>5</v>
      </c>
      <c r="BD1026">
        <v>6</v>
      </c>
    </row>
    <row r="1027" spans="1:56" x14ac:dyDescent="0.25">
      <c r="A1027">
        <v>24</v>
      </c>
      <c r="B1027" t="str">
        <f>_xlfn.XLOOKUP(Table1[[#This Row],[Attrition]],Table2[Attrition],Table2[Id_Attrition])</f>
        <v>A002</v>
      </c>
      <c r="C1027" t="s">
        <v>33</v>
      </c>
      <c r="D1027" t="str">
        <f>_xlfn.XLOOKUP(Table1[[#This Row],[BusinessTravel]],Table5[BusinessTravel],Table5[Id_BusinessTravel])</f>
        <v>BS001</v>
      </c>
      <c r="E1027" t="s">
        <v>34</v>
      </c>
      <c r="F1027">
        <v>1476</v>
      </c>
      <c r="G1027" t="str">
        <f>_xlfn.XLOOKUP(Table1[[#This Row],[Department]],Table6[Department],Table6[Id_Departement])</f>
        <v>D001</v>
      </c>
      <c r="H1027" t="s">
        <v>37</v>
      </c>
      <c r="I1027">
        <v>4</v>
      </c>
      <c r="J1027" t="str">
        <f>_xlfn.XLOOKUP(Table1[[#This Row],[Education]],Table8[Education],Table8[Id_Education])</f>
        <v>E001</v>
      </c>
      <c r="K1027">
        <v>1</v>
      </c>
      <c r="L1027" t="str">
        <f>_xlfn.XLOOKUP(Table1[[#This Row],[EducationField]],Table7[EducationField],Table7[Id_EducationField])</f>
        <v>EF003</v>
      </c>
      <c r="M1027" t="s">
        <v>42</v>
      </c>
      <c r="N1027" t="str">
        <f>_xlfn.XLOOKUP(Table1[[#This Row],[EmployeeNumber]],Table4[EmployeeNumber],Table4[Id_Employee])</f>
        <v>EMP01026</v>
      </c>
      <c r="O1027">
        <v>1445</v>
      </c>
      <c r="P1027" t="str">
        <f>_xlfn.XLOOKUP(Table1[[#This Row],[EnvironmentSatisfaction]],Table9[EnvironmentSatisfaction],Table9[Id_EnviromentSatisfaction])</f>
        <v>ES004</v>
      </c>
      <c r="Q1027">
        <v>4</v>
      </c>
      <c r="R1027" t="str">
        <f>_xlfn.XLOOKUP(Table1[[#This Row],[EnvironmentSatisfaction]],Table9[EnvironmentSatisfaction],Table9[Deskripsi])</f>
        <v>Very High</v>
      </c>
      <c r="S1027" t="str">
        <f>_xlfn.XLOOKUP(Table1[[#This Row],[Gender]],Table10[Gender],Table10[Id_Gender])</f>
        <v>G001</v>
      </c>
      <c r="T1027" t="s">
        <v>45</v>
      </c>
      <c r="U1027">
        <v>42</v>
      </c>
      <c r="V1027" t="str">
        <f>_xlfn.XLOOKUP(Table1[[#This Row],[JobInvolvement]],Table11[JobInvolvement],Table11[Id_JobInvolvement])</f>
        <v>JI003</v>
      </c>
      <c r="W1027">
        <v>3</v>
      </c>
      <c r="X1027" t="str">
        <f>_xlfn.XLOOKUP(Table1[[#This Row],[JobLevel]],Table12[JobLevel],Table12[Id_JobLevel])</f>
        <v>JL002</v>
      </c>
      <c r="Y1027">
        <v>2</v>
      </c>
      <c r="Z1027" t="str">
        <f>_xlfn.XLOOKUP(Table1[[#This Row],[JobRole]],Table13[JobRole],Table13[Id_JobRole])</f>
        <v>JR001</v>
      </c>
      <c r="AA1027" t="s">
        <v>47</v>
      </c>
      <c r="AB1027" t="str">
        <f>_xlfn.XLOOKUP(Table1[[#This Row],[JobSatisfaction]],Table14[JobSatisfaction],Table14[Id_JobSatisfaction])</f>
        <v>JS003</v>
      </c>
      <c r="AC1027">
        <v>3</v>
      </c>
      <c r="AD1027" t="str">
        <f>_xlfn.XLOOKUP(Table1[[#This Row],[JobSatisfaction]],Table14[JobSatisfaction],Table14[Deskripsi])</f>
        <v>High</v>
      </c>
      <c r="AE1027" t="str">
        <f>_xlfn.XLOOKUP(Table1[[#This Row],[MaritalStatus]],Table15[MaritalStatus],Table15[Id_MaritalStatus])</f>
        <v>MS002</v>
      </c>
      <c r="AF1027" t="s">
        <v>56</v>
      </c>
      <c r="AG1027">
        <v>4162</v>
      </c>
      <c r="AH1027">
        <v>15211</v>
      </c>
      <c r="AI1027">
        <v>1</v>
      </c>
      <c r="AJ1027" t="str">
        <f>_xlfn.XLOOKUP(Table1[[#This Row],[OverTime]],Table16[OverTime],Table16[Id_OverTime])</f>
        <v>OT001</v>
      </c>
      <c r="AK1027" t="s">
        <v>32</v>
      </c>
      <c r="AL1027">
        <v>12</v>
      </c>
      <c r="AM1027" t="str">
        <f>_xlfn.XLOOKUP(Table1[[#This Row],[PerformanceRating]],Table17[PerformanceRating],Table17[Id_PerformanceRating])</f>
        <v>PR003</v>
      </c>
      <c r="AN1027">
        <v>3</v>
      </c>
      <c r="AO1027" t="str">
        <f>_xlfn.XLOOKUP(Table1[[#This Row],[PerformanceRating]],Table17[PerformanceRating],Table17[Deskripsi])</f>
        <v>Excellent</v>
      </c>
      <c r="AP1027" t="str">
        <f>_xlfn.XLOOKUP(Table1[[#This Row],[RelationshipSatisfaction]],Table18[RelationshipSatisfaction],Table18[Id_RelationshipSatisfaction])</f>
        <v>RS003</v>
      </c>
      <c r="AQ1027">
        <v>3</v>
      </c>
      <c r="AR1027" t="str">
        <f>_xlfn.XLOOKUP(Table1[[#This Row],[RelationshipSatisfaction]],Table18[RelationshipSatisfaction],Table18[Deskripsi])</f>
        <v>High</v>
      </c>
      <c r="AS1027" t="str">
        <f>_xlfn.XLOOKUP(Table1[[#This Row],[StockOptionLevel]],Table19[StockOptionLevel],Table19[Id_StockOptionLevel])</f>
        <v>SOL003</v>
      </c>
      <c r="AT1027">
        <v>2</v>
      </c>
      <c r="AU1027" t="str">
        <f>_xlfn.XLOOKUP(Table1[[#This Row],[StockOptionLevel]],Table19[StockOptionLevel],Table19[Deskripsi])</f>
        <v>Intermediate</v>
      </c>
      <c r="AV1027">
        <v>5</v>
      </c>
      <c r="AW1027">
        <v>3</v>
      </c>
      <c r="AX1027" t="str">
        <f>_xlfn.XLOOKUP(Table1[[#This Row],[WorkLifeBalance]],Table20[WorkLifeBalance],Table20[Id_WorkLifeBalance])</f>
        <v>WLB002</v>
      </c>
      <c r="AY1027">
        <v>3</v>
      </c>
      <c r="AZ1027" t="str">
        <f>_xlfn.XLOOKUP(Table1[[#This Row],[WorkLifeBalance]],Table20[WorkLifeBalance],Table20[Deskripsi])</f>
        <v>Good</v>
      </c>
      <c r="BA1027">
        <v>5</v>
      </c>
      <c r="BB1027">
        <v>4</v>
      </c>
      <c r="BC1027">
        <v>0</v>
      </c>
      <c r="BD1027">
        <v>3</v>
      </c>
    </row>
    <row r="1028" spans="1:56" x14ac:dyDescent="0.25">
      <c r="A1028">
        <v>32</v>
      </c>
      <c r="B1028" t="str">
        <f>_xlfn.XLOOKUP(Table1[[#This Row],[Attrition]],Table2[Attrition],Table2[Id_Attrition])</f>
        <v>A002</v>
      </c>
      <c r="C1028" t="s">
        <v>33</v>
      </c>
      <c r="D1028" t="str">
        <f>_xlfn.XLOOKUP(Table1[[#This Row],[BusinessTravel]],Table5[BusinessTravel],Table5[Id_BusinessTravel])</f>
        <v>BS001</v>
      </c>
      <c r="E1028" t="s">
        <v>34</v>
      </c>
      <c r="F1028">
        <v>601</v>
      </c>
      <c r="G1028" t="str">
        <f>_xlfn.XLOOKUP(Table1[[#This Row],[Department]],Table6[Department],Table6[Id_Departement])</f>
        <v>D001</v>
      </c>
      <c r="H1028" t="s">
        <v>37</v>
      </c>
      <c r="I1028">
        <v>7</v>
      </c>
      <c r="J1028" t="str">
        <f>_xlfn.XLOOKUP(Table1[[#This Row],[Education]],Table8[Education],Table8[Id_Education])</f>
        <v>E005</v>
      </c>
      <c r="K1028">
        <v>5</v>
      </c>
      <c r="L1028" t="str">
        <f>_xlfn.XLOOKUP(Table1[[#This Row],[EducationField]],Table7[EducationField],Table7[Id_EducationField])</f>
        <v>EF004</v>
      </c>
      <c r="M1028" t="s">
        <v>43</v>
      </c>
      <c r="N1028" t="str">
        <f>_xlfn.XLOOKUP(Table1[[#This Row],[EmployeeNumber]],Table4[EmployeeNumber],Table4[Id_Employee])</f>
        <v>EMP01027</v>
      </c>
      <c r="O1028">
        <v>1446</v>
      </c>
      <c r="P1028" t="str">
        <f>_xlfn.XLOOKUP(Table1[[#This Row],[EnvironmentSatisfaction]],Table9[EnvironmentSatisfaction],Table9[Id_EnviromentSatisfaction])</f>
        <v>ES004</v>
      </c>
      <c r="Q1028">
        <v>4</v>
      </c>
      <c r="R1028" t="str">
        <f>_xlfn.XLOOKUP(Table1[[#This Row],[EnvironmentSatisfaction]],Table9[EnvironmentSatisfaction],Table9[Deskripsi])</f>
        <v>Very High</v>
      </c>
      <c r="S1028" t="str">
        <f>_xlfn.XLOOKUP(Table1[[#This Row],[Gender]],Table10[Gender],Table10[Id_Gender])</f>
        <v>G002</v>
      </c>
      <c r="T1028" t="s">
        <v>46</v>
      </c>
      <c r="U1028">
        <v>97</v>
      </c>
      <c r="V1028" t="str">
        <f>_xlfn.XLOOKUP(Table1[[#This Row],[JobInvolvement]],Table11[JobInvolvement],Table11[Id_JobInvolvement])</f>
        <v>JI003</v>
      </c>
      <c r="W1028">
        <v>3</v>
      </c>
      <c r="X1028" t="str">
        <f>_xlfn.XLOOKUP(Table1[[#This Row],[JobLevel]],Table12[JobLevel],Table12[Id_JobLevel])</f>
        <v>JL002</v>
      </c>
      <c r="Y1028">
        <v>2</v>
      </c>
      <c r="Z1028" t="str">
        <f>_xlfn.XLOOKUP(Table1[[#This Row],[JobRole]],Table13[JobRole],Table13[Id_JobRole])</f>
        <v>JR001</v>
      </c>
      <c r="AA1028" t="s">
        <v>47</v>
      </c>
      <c r="AB1028" t="str">
        <f>_xlfn.XLOOKUP(Table1[[#This Row],[JobSatisfaction]],Table14[JobSatisfaction],Table14[Id_JobSatisfaction])</f>
        <v>JS004</v>
      </c>
      <c r="AC1028">
        <v>4</v>
      </c>
      <c r="AD1028" t="str">
        <f>_xlfn.XLOOKUP(Table1[[#This Row],[JobSatisfaction]],Table14[JobSatisfaction],Table14[Deskripsi])</f>
        <v>Very High</v>
      </c>
      <c r="AE1028" t="str">
        <f>_xlfn.XLOOKUP(Table1[[#This Row],[MaritalStatus]],Table15[MaritalStatus],Table15[Id_MaritalStatus])</f>
        <v>MS002</v>
      </c>
      <c r="AF1028" t="s">
        <v>56</v>
      </c>
      <c r="AG1028">
        <v>9204</v>
      </c>
      <c r="AH1028">
        <v>23343</v>
      </c>
      <c r="AI1028">
        <v>4</v>
      </c>
      <c r="AJ1028" t="str">
        <f>_xlfn.XLOOKUP(Table1[[#This Row],[OverTime]],Table16[OverTime],Table16[Id_OverTime])</f>
        <v>OT002</v>
      </c>
      <c r="AK1028" t="s">
        <v>33</v>
      </c>
      <c r="AL1028">
        <v>12</v>
      </c>
      <c r="AM1028" t="str">
        <f>_xlfn.XLOOKUP(Table1[[#This Row],[PerformanceRating]],Table17[PerformanceRating],Table17[Id_PerformanceRating])</f>
        <v>PR003</v>
      </c>
      <c r="AN1028">
        <v>3</v>
      </c>
      <c r="AO1028" t="str">
        <f>_xlfn.XLOOKUP(Table1[[#This Row],[PerformanceRating]],Table17[PerformanceRating],Table17[Deskripsi])</f>
        <v>Excellent</v>
      </c>
      <c r="AP1028" t="str">
        <f>_xlfn.XLOOKUP(Table1[[#This Row],[RelationshipSatisfaction]],Table18[RelationshipSatisfaction],Table18[Id_RelationshipSatisfaction])</f>
        <v>RS003</v>
      </c>
      <c r="AQ1028">
        <v>3</v>
      </c>
      <c r="AR1028" t="str">
        <f>_xlfn.XLOOKUP(Table1[[#This Row],[RelationshipSatisfaction]],Table18[RelationshipSatisfaction],Table18[Deskripsi])</f>
        <v>High</v>
      </c>
      <c r="AS1028" t="str">
        <f>_xlfn.XLOOKUP(Table1[[#This Row],[StockOptionLevel]],Table19[StockOptionLevel],Table19[Id_StockOptionLevel])</f>
        <v>SOL002</v>
      </c>
      <c r="AT1028">
        <v>1</v>
      </c>
      <c r="AU1028" t="str">
        <f>_xlfn.XLOOKUP(Table1[[#This Row],[StockOptionLevel]],Table19[StockOptionLevel],Table19[Deskripsi])</f>
        <v>Standard</v>
      </c>
      <c r="AV1028">
        <v>7</v>
      </c>
      <c r="AW1028">
        <v>3</v>
      </c>
      <c r="AX1028" t="str">
        <f>_xlfn.XLOOKUP(Table1[[#This Row],[WorkLifeBalance]],Table20[WorkLifeBalance],Table20[Id_WorkLifeBalance])</f>
        <v>WLB003</v>
      </c>
      <c r="AY1028">
        <v>2</v>
      </c>
      <c r="AZ1028" t="str">
        <f>_xlfn.XLOOKUP(Table1[[#This Row],[WorkLifeBalance]],Table20[WorkLifeBalance],Table20[Deskripsi])</f>
        <v>Better</v>
      </c>
      <c r="BA1028">
        <v>4</v>
      </c>
      <c r="BB1028">
        <v>3</v>
      </c>
      <c r="BC1028">
        <v>0</v>
      </c>
      <c r="BD1028">
        <v>3</v>
      </c>
    </row>
    <row r="1029" spans="1:56" x14ac:dyDescent="0.25">
      <c r="A1029">
        <v>34</v>
      </c>
      <c r="B1029" t="str">
        <f>_xlfn.XLOOKUP(Table1[[#This Row],[Attrition]],Table2[Attrition],Table2[Id_Attrition])</f>
        <v>A002</v>
      </c>
      <c r="C1029" t="s">
        <v>33</v>
      </c>
      <c r="D1029" t="str">
        <f>_xlfn.XLOOKUP(Table1[[#This Row],[BusinessTravel]],Table5[BusinessTravel],Table5[Id_BusinessTravel])</f>
        <v>BS001</v>
      </c>
      <c r="E1029" t="s">
        <v>34</v>
      </c>
      <c r="F1029">
        <v>401</v>
      </c>
      <c r="G1029" t="str">
        <f>_xlfn.XLOOKUP(Table1[[#This Row],[Department]],Table6[Department],Table6[Id_Departement])</f>
        <v>D002</v>
      </c>
      <c r="H1029" t="s">
        <v>38</v>
      </c>
      <c r="I1029">
        <v>1</v>
      </c>
      <c r="J1029" t="str">
        <f>_xlfn.XLOOKUP(Table1[[#This Row],[Education]],Table8[Education],Table8[Id_Education])</f>
        <v>E003</v>
      </c>
      <c r="K1029">
        <v>3</v>
      </c>
      <c r="L1029" t="str">
        <f>_xlfn.XLOOKUP(Table1[[#This Row],[EducationField]],Table7[EducationField],Table7[Id_EducationField])</f>
        <v>EF001</v>
      </c>
      <c r="M1029" t="s">
        <v>40</v>
      </c>
      <c r="N1029" t="str">
        <f>_xlfn.XLOOKUP(Table1[[#This Row],[EmployeeNumber]],Table4[EmployeeNumber],Table4[Id_Employee])</f>
        <v>EMP01028</v>
      </c>
      <c r="O1029">
        <v>1447</v>
      </c>
      <c r="P1029" t="str">
        <f>_xlfn.XLOOKUP(Table1[[#This Row],[EnvironmentSatisfaction]],Table9[EnvironmentSatisfaction],Table9[Id_EnviromentSatisfaction])</f>
        <v>ES004</v>
      </c>
      <c r="Q1029">
        <v>4</v>
      </c>
      <c r="R1029" t="str">
        <f>_xlfn.XLOOKUP(Table1[[#This Row],[EnvironmentSatisfaction]],Table9[EnvironmentSatisfaction],Table9[Deskripsi])</f>
        <v>Very High</v>
      </c>
      <c r="S1029" t="str">
        <f>_xlfn.XLOOKUP(Table1[[#This Row],[Gender]],Table10[Gender],Table10[Id_Gender])</f>
        <v>G001</v>
      </c>
      <c r="T1029" t="s">
        <v>45</v>
      </c>
      <c r="U1029">
        <v>86</v>
      </c>
      <c r="V1029" t="str">
        <f>_xlfn.XLOOKUP(Table1[[#This Row],[JobInvolvement]],Table11[JobInvolvement],Table11[Id_JobInvolvement])</f>
        <v>JI002</v>
      </c>
      <c r="W1029">
        <v>2</v>
      </c>
      <c r="X1029" t="str">
        <f>_xlfn.XLOOKUP(Table1[[#This Row],[JobLevel]],Table12[JobLevel],Table12[Id_JobLevel])</f>
        <v>JL001</v>
      </c>
      <c r="Y1029">
        <v>1</v>
      </c>
      <c r="Z1029" t="str">
        <f>_xlfn.XLOOKUP(Table1[[#This Row],[JobRole]],Table13[JobRole],Table13[Id_JobRole])</f>
        <v>JR003</v>
      </c>
      <c r="AA1029" t="s">
        <v>49</v>
      </c>
      <c r="AB1029" t="str">
        <f>_xlfn.XLOOKUP(Table1[[#This Row],[JobSatisfaction]],Table14[JobSatisfaction],Table14[Id_JobSatisfaction])</f>
        <v>JS002</v>
      </c>
      <c r="AC1029">
        <v>2</v>
      </c>
      <c r="AD1029" t="str">
        <f>_xlfn.XLOOKUP(Table1[[#This Row],[JobSatisfaction]],Table14[JobSatisfaction],Table14[Deskripsi])</f>
        <v>Medium</v>
      </c>
      <c r="AE1029" t="str">
        <f>_xlfn.XLOOKUP(Table1[[#This Row],[MaritalStatus]],Table15[MaritalStatus],Table15[Id_MaritalStatus])</f>
        <v>MS002</v>
      </c>
      <c r="AF1029" t="s">
        <v>56</v>
      </c>
      <c r="AG1029">
        <v>3294</v>
      </c>
      <c r="AH1029">
        <v>3708</v>
      </c>
      <c r="AI1029">
        <v>5</v>
      </c>
      <c r="AJ1029" t="str">
        <f>_xlfn.XLOOKUP(Table1[[#This Row],[OverTime]],Table16[OverTime],Table16[Id_OverTime])</f>
        <v>OT002</v>
      </c>
      <c r="AK1029" t="s">
        <v>33</v>
      </c>
      <c r="AL1029">
        <v>17</v>
      </c>
      <c r="AM1029" t="str">
        <f>_xlfn.XLOOKUP(Table1[[#This Row],[PerformanceRating]],Table17[PerformanceRating],Table17[Id_PerformanceRating])</f>
        <v>PR003</v>
      </c>
      <c r="AN1029">
        <v>3</v>
      </c>
      <c r="AO1029" t="str">
        <f>_xlfn.XLOOKUP(Table1[[#This Row],[PerformanceRating]],Table17[PerformanceRating],Table17[Deskripsi])</f>
        <v>Excellent</v>
      </c>
      <c r="AP1029" t="str">
        <f>_xlfn.XLOOKUP(Table1[[#This Row],[RelationshipSatisfaction]],Table18[RelationshipSatisfaction],Table18[Id_RelationshipSatisfaction])</f>
        <v>RS001</v>
      </c>
      <c r="AQ1029">
        <v>1</v>
      </c>
      <c r="AR1029" t="str">
        <f>_xlfn.XLOOKUP(Table1[[#This Row],[RelationshipSatisfaction]],Table18[RelationshipSatisfaction],Table18[Deskripsi])</f>
        <v>Low</v>
      </c>
      <c r="AS1029" t="str">
        <f>_xlfn.XLOOKUP(Table1[[#This Row],[StockOptionLevel]],Table19[StockOptionLevel],Table19[Id_StockOptionLevel])</f>
        <v>SOL002</v>
      </c>
      <c r="AT1029">
        <v>1</v>
      </c>
      <c r="AU1029" t="str">
        <f>_xlfn.XLOOKUP(Table1[[#This Row],[StockOptionLevel]],Table19[StockOptionLevel],Table19[Deskripsi])</f>
        <v>Standard</v>
      </c>
      <c r="AV1029">
        <v>7</v>
      </c>
      <c r="AW1029">
        <v>2</v>
      </c>
      <c r="AX1029" t="str">
        <f>_xlfn.XLOOKUP(Table1[[#This Row],[WorkLifeBalance]],Table20[WorkLifeBalance],Table20[Id_WorkLifeBalance])</f>
        <v>WLB003</v>
      </c>
      <c r="AY1029">
        <v>2</v>
      </c>
      <c r="AZ1029" t="str">
        <f>_xlfn.XLOOKUP(Table1[[#This Row],[WorkLifeBalance]],Table20[WorkLifeBalance],Table20[Deskripsi])</f>
        <v>Better</v>
      </c>
      <c r="BA1029">
        <v>5</v>
      </c>
      <c r="BB1029">
        <v>4</v>
      </c>
      <c r="BC1029">
        <v>0</v>
      </c>
      <c r="BD1029">
        <v>2</v>
      </c>
    </row>
    <row r="1030" spans="1:56" x14ac:dyDescent="0.25">
      <c r="A1030">
        <v>41</v>
      </c>
      <c r="B1030" t="str">
        <f>_xlfn.XLOOKUP(Table1[[#This Row],[Attrition]],Table2[Attrition],Table2[Id_Attrition])</f>
        <v>A002</v>
      </c>
      <c r="C1030" t="s">
        <v>33</v>
      </c>
      <c r="D1030" t="str">
        <f>_xlfn.XLOOKUP(Table1[[#This Row],[BusinessTravel]],Table5[BusinessTravel],Table5[Id_BusinessTravel])</f>
        <v>BS001</v>
      </c>
      <c r="E1030" t="s">
        <v>34</v>
      </c>
      <c r="F1030">
        <v>1283</v>
      </c>
      <c r="G1030" t="str">
        <f>_xlfn.XLOOKUP(Table1[[#This Row],[Department]],Table6[Department],Table6[Id_Departement])</f>
        <v>D002</v>
      </c>
      <c r="H1030" t="s">
        <v>38</v>
      </c>
      <c r="I1030">
        <v>5</v>
      </c>
      <c r="J1030" t="str">
        <f>_xlfn.XLOOKUP(Table1[[#This Row],[Education]],Table8[Education],Table8[Id_Education])</f>
        <v>E005</v>
      </c>
      <c r="K1030">
        <v>5</v>
      </c>
      <c r="L1030" t="str">
        <f>_xlfn.XLOOKUP(Table1[[#This Row],[EducationField]],Table7[EducationField],Table7[Id_EducationField])</f>
        <v>EF003</v>
      </c>
      <c r="M1030" t="s">
        <v>42</v>
      </c>
      <c r="N1030" t="str">
        <f>_xlfn.XLOOKUP(Table1[[#This Row],[EmployeeNumber]],Table4[EmployeeNumber],Table4[Id_Employee])</f>
        <v>EMP01029</v>
      </c>
      <c r="O1030">
        <v>1448</v>
      </c>
      <c r="P1030" t="str">
        <f>_xlfn.XLOOKUP(Table1[[#This Row],[EnvironmentSatisfaction]],Table9[EnvironmentSatisfaction],Table9[Id_EnviromentSatisfaction])</f>
        <v>ES002</v>
      </c>
      <c r="Q1030">
        <v>2</v>
      </c>
      <c r="R1030" t="str">
        <f>_xlfn.XLOOKUP(Table1[[#This Row],[EnvironmentSatisfaction]],Table9[EnvironmentSatisfaction],Table9[Deskripsi])</f>
        <v>Medium</v>
      </c>
      <c r="S1030" t="str">
        <f>_xlfn.XLOOKUP(Table1[[#This Row],[Gender]],Table10[Gender],Table10[Id_Gender])</f>
        <v>G002</v>
      </c>
      <c r="T1030" t="s">
        <v>46</v>
      </c>
      <c r="U1030">
        <v>90</v>
      </c>
      <c r="V1030" t="str">
        <f>_xlfn.XLOOKUP(Table1[[#This Row],[JobInvolvement]],Table11[JobInvolvement],Table11[Id_JobInvolvement])</f>
        <v>JI004</v>
      </c>
      <c r="W1030">
        <v>4</v>
      </c>
      <c r="X1030" t="str">
        <f>_xlfn.XLOOKUP(Table1[[#This Row],[JobLevel]],Table12[JobLevel],Table12[Id_JobLevel])</f>
        <v>JL001</v>
      </c>
      <c r="Y1030">
        <v>1</v>
      </c>
      <c r="Z1030" t="str">
        <f>_xlfn.XLOOKUP(Table1[[#This Row],[JobRole]],Table13[JobRole],Table13[Id_JobRole])</f>
        <v>JR002</v>
      </c>
      <c r="AA1030" t="s">
        <v>48</v>
      </c>
      <c r="AB1030" t="str">
        <f>_xlfn.XLOOKUP(Table1[[#This Row],[JobSatisfaction]],Table14[JobSatisfaction],Table14[Id_JobSatisfaction])</f>
        <v>JS003</v>
      </c>
      <c r="AC1030">
        <v>3</v>
      </c>
      <c r="AD1030" t="str">
        <f>_xlfn.XLOOKUP(Table1[[#This Row],[JobSatisfaction]],Table14[JobSatisfaction],Table14[Deskripsi])</f>
        <v>High</v>
      </c>
      <c r="AE1030" t="str">
        <f>_xlfn.XLOOKUP(Table1[[#This Row],[MaritalStatus]],Table15[MaritalStatus],Table15[Id_MaritalStatus])</f>
        <v>MS002</v>
      </c>
      <c r="AF1030" t="s">
        <v>56</v>
      </c>
      <c r="AG1030">
        <v>2127</v>
      </c>
      <c r="AH1030">
        <v>5561</v>
      </c>
      <c r="AI1030">
        <v>2</v>
      </c>
      <c r="AJ1030" t="str">
        <f>_xlfn.XLOOKUP(Table1[[#This Row],[OverTime]],Table16[OverTime],Table16[Id_OverTime])</f>
        <v>OT001</v>
      </c>
      <c r="AK1030" t="s">
        <v>32</v>
      </c>
      <c r="AL1030">
        <v>12</v>
      </c>
      <c r="AM1030" t="str">
        <f>_xlfn.XLOOKUP(Table1[[#This Row],[PerformanceRating]],Table17[PerformanceRating],Table17[Id_PerformanceRating])</f>
        <v>PR003</v>
      </c>
      <c r="AN1030">
        <v>3</v>
      </c>
      <c r="AO1030" t="str">
        <f>_xlfn.XLOOKUP(Table1[[#This Row],[PerformanceRating]],Table17[PerformanceRating],Table17[Deskripsi])</f>
        <v>Excellent</v>
      </c>
      <c r="AP1030" t="str">
        <f>_xlfn.XLOOKUP(Table1[[#This Row],[RelationshipSatisfaction]],Table18[RelationshipSatisfaction],Table18[Id_RelationshipSatisfaction])</f>
        <v>RS001</v>
      </c>
      <c r="AQ1030">
        <v>1</v>
      </c>
      <c r="AR1030" t="str">
        <f>_xlfn.XLOOKUP(Table1[[#This Row],[RelationshipSatisfaction]],Table18[RelationshipSatisfaction],Table18[Deskripsi])</f>
        <v>Low</v>
      </c>
      <c r="AS1030" t="str">
        <f>_xlfn.XLOOKUP(Table1[[#This Row],[StockOptionLevel]],Table19[StockOptionLevel],Table19[Id_StockOptionLevel])</f>
        <v>SOL001</v>
      </c>
      <c r="AT1030">
        <v>0</v>
      </c>
      <c r="AU1030" t="str">
        <f>_xlfn.XLOOKUP(Table1[[#This Row],[StockOptionLevel]],Table19[StockOptionLevel],Table19[Deskripsi])</f>
        <v>Non-Eligible</v>
      </c>
      <c r="AV1030">
        <v>7</v>
      </c>
      <c r="AW1030">
        <v>5</v>
      </c>
      <c r="AX1030" t="str">
        <f>_xlfn.XLOOKUP(Table1[[#This Row],[WorkLifeBalance]],Table20[WorkLifeBalance],Table20[Id_WorkLifeBalance])</f>
        <v>WLB003</v>
      </c>
      <c r="AY1030">
        <v>2</v>
      </c>
      <c r="AZ1030" t="str">
        <f>_xlfn.XLOOKUP(Table1[[#This Row],[WorkLifeBalance]],Table20[WorkLifeBalance],Table20[Deskripsi])</f>
        <v>Better</v>
      </c>
      <c r="BA1030">
        <v>4</v>
      </c>
      <c r="BB1030">
        <v>2</v>
      </c>
      <c r="BC1030">
        <v>0</v>
      </c>
      <c r="BD1030">
        <v>3</v>
      </c>
    </row>
    <row r="1031" spans="1:56" x14ac:dyDescent="0.25">
      <c r="A1031">
        <v>40</v>
      </c>
      <c r="B1031" t="str">
        <f>_xlfn.XLOOKUP(Table1[[#This Row],[Attrition]],Table2[Attrition],Table2[Id_Attrition])</f>
        <v>A002</v>
      </c>
      <c r="C1031" t="s">
        <v>33</v>
      </c>
      <c r="D1031" t="str">
        <f>_xlfn.XLOOKUP(Table1[[#This Row],[BusinessTravel]],Table5[BusinessTravel],Table5[Id_BusinessTravel])</f>
        <v>BS003</v>
      </c>
      <c r="E1031" t="s">
        <v>36</v>
      </c>
      <c r="F1031">
        <v>663</v>
      </c>
      <c r="G1031" t="str">
        <f>_xlfn.XLOOKUP(Table1[[#This Row],[Department]],Table6[Department],Table6[Id_Departement])</f>
        <v>D002</v>
      </c>
      <c r="H1031" t="s">
        <v>38</v>
      </c>
      <c r="I1031">
        <v>9</v>
      </c>
      <c r="J1031" t="str">
        <f>_xlfn.XLOOKUP(Table1[[#This Row],[Education]],Table8[Education],Table8[Id_Education])</f>
        <v>E004</v>
      </c>
      <c r="K1031">
        <v>4</v>
      </c>
      <c r="L1031" t="str">
        <f>_xlfn.XLOOKUP(Table1[[#This Row],[EducationField]],Table7[EducationField],Table7[Id_EducationField])</f>
        <v>EF002</v>
      </c>
      <c r="M1031" t="s">
        <v>41</v>
      </c>
      <c r="N1031" t="str">
        <f>_xlfn.XLOOKUP(Table1[[#This Row],[EmployeeNumber]],Table4[EmployeeNumber],Table4[Id_Employee])</f>
        <v>EMP01030</v>
      </c>
      <c r="O1031">
        <v>1449</v>
      </c>
      <c r="P1031" t="str">
        <f>_xlfn.XLOOKUP(Table1[[#This Row],[EnvironmentSatisfaction]],Table9[EnvironmentSatisfaction],Table9[Id_EnviromentSatisfaction])</f>
        <v>ES003</v>
      </c>
      <c r="Q1031">
        <v>3</v>
      </c>
      <c r="R1031" t="str">
        <f>_xlfn.XLOOKUP(Table1[[#This Row],[EnvironmentSatisfaction]],Table9[EnvironmentSatisfaction],Table9[Deskripsi])</f>
        <v>High</v>
      </c>
      <c r="S1031" t="str">
        <f>_xlfn.XLOOKUP(Table1[[#This Row],[Gender]],Table10[Gender],Table10[Id_Gender])</f>
        <v>G002</v>
      </c>
      <c r="T1031" t="s">
        <v>46</v>
      </c>
      <c r="U1031">
        <v>81</v>
      </c>
      <c r="V1031" t="str">
        <f>_xlfn.XLOOKUP(Table1[[#This Row],[JobInvolvement]],Table11[JobInvolvement],Table11[Id_JobInvolvement])</f>
        <v>JI003</v>
      </c>
      <c r="W1031">
        <v>3</v>
      </c>
      <c r="X1031" t="str">
        <f>_xlfn.XLOOKUP(Table1[[#This Row],[JobLevel]],Table12[JobLevel],Table12[Id_JobLevel])</f>
        <v>JL002</v>
      </c>
      <c r="Y1031">
        <v>2</v>
      </c>
      <c r="Z1031" t="str">
        <f>_xlfn.XLOOKUP(Table1[[#This Row],[JobRole]],Table13[JobRole],Table13[Id_JobRole])</f>
        <v>JR003</v>
      </c>
      <c r="AA1031" t="s">
        <v>49</v>
      </c>
      <c r="AB1031" t="str">
        <f>_xlfn.XLOOKUP(Table1[[#This Row],[JobSatisfaction]],Table14[JobSatisfaction],Table14[Id_JobSatisfaction])</f>
        <v>JS003</v>
      </c>
      <c r="AC1031">
        <v>3</v>
      </c>
      <c r="AD1031" t="str">
        <f>_xlfn.XLOOKUP(Table1[[#This Row],[JobSatisfaction]],Table14[JobSatisfaction],Table14[Deskripsi])</f>
        <v>High</v>
      </c>
      <c r="AE1031" t="str">
        <f>_xlfn.XLOOKUP(Table1[[#This Row],[MaritalStatus]],Table15[MaritalStatus],Table15[Id_MaritalStatus])</f>
        <v>MS003</v>
      </c>
      <c r="AF1031" t="s">
        <v>57</v>
      </c>
      <c r="AG1031">
        <v>3975</v>
      </c>
      <c r="AH1031">
        <v>23099</v>
      </c>
      <c r="AI1031">
        <v>3</v>
      </c>
      <c r="AJ1031" t="str">
        <f>_xlfn.XLOOKUP(Table1[[#This Row],[OverTime]],Table16[OverTime],Table16[Id_OverTime])</f>
        <v>OT002</v>
      </c>
      <c r="AK1031" t="s">
        <v>33</v>
      </c>
      <c r="AL1031">
        <v>11</v>
      </c>
      <c r="AM1031" t="str">
        <f>_xlfn.XLOOKUP(Table1[[#This Row],[PerformanceRating]],Table17[PerformanceRating],Table17[Id_PerformanceRating])</f>
        <v>PR003</v>
      </c>
      <c r="AN1031">
        <v>3</v>
      </c>
      <c r="AO1031" t="str">
        <f>_xlfn.XLOOKUP(Table1[[#This Row],[PerformanceRating]],Table17[PerformanceRating],Table17[Deskripsi])</f>
        <v>Excellent</v>
      </c>
      <c r="AP1031" t="str">
        <f>_xlfn.XLOOKUP(Table1[[#This Row],[RelationshipSatisfaction]],Table18[RelationshipSatisfaction],Table18[Id_RelationshipSatisfaction])</f>
        <v>RS003</v>
      </c>
      <c r="AQ1031">
        <v>3</v>
      </c>
      <c r="AR1031" t="str">
        <f>_xlfn.XLOOKUP(Table1[[#This Row],[RelationshipSatisfaction]],Table18[RelationshipSatisfaction],Table18[Deskripsi])</f>
        <v>High</v>
      </c>
      <c r="AS1031" t="str">
        <f>_xlfn.XLOOKUP(Table1[[#This Row],[StockOptionLevel]],Table19[StockOptionLevel],Table19[Id_StockOptionLevel])</f>
        <v>SOL003</v>
      </c>
      <c r="AT1031">
        <v>2</v>
      </c>
      <c r="AU1031" t="str">
        <f>_xlfn.XLOOKUP(Table1[[#This Row],[StockOptionLevel]],Table19[StockOptionLevel],Table19[Deskripsi])</f>
        <v>Intermediate</v>
      </c>
      <c r="AV1031">
        <v>11</v>
      </c>
      <c r="AW1031">
        <v>2</v>
      </c>
      <c r="AX1031" t="str">
        <f>_xlfn.XLOOKUP(Table1[[#This Row],[WorkLifeBalance]],Table20[WorkLifeBalance],Table20[Id_WorkLifeBalance])</f>
        <v>WLB004</v>
      </c>
      <c r="AY1031">
        <v>4</v>
      </c>
      <c r="AZ1031" t="str">
        <f>_xlfn.XLOOKUP(Table1[[#This Row],[WorkLifeBalance]],Table20[WorkLifeBalance],Table20[Deskripsi])</f>
        <v>Best</v>
      </c>
      <c r="BA1031">
        <v>8</v>
      </c>
      <c r="BB1031">
        <v>7</v>
      </c>
      <c r="BC1031">
        <v>0</v>
      </c>
      <c r="BD1031">
        <v>7</v>
      </c>
    </row>
    <row r="1032" spans="1:56" x14ac:dyDescent="0.25">
      <c r="A1032">
        <v>31</v>
      </c>
      <c r="B1032" t="str">
        <f>_xlfn.XLOOKUP(Table1[[#This Row],[Attrition]],Table2[Attrition],Table2[Id_Attrition])</f>
        <v>A002</v>
      </c>
      <c r="C1032" t="s">
        <v>33</v>
      </c>
      <c r="D1032" t="str">
        <f>_xlfn.XLOOKUP(Table1[[#This Row],[BusinessTravel]],Table5[BusinessTravel],Table5[Id_BusinessTravel])</f>
        <v>BS001</v>
      </c>
      <c r="E1032" t="s">
        <v>34</v>
      </c>
      <c r="F1032">
        <v>326</v>
      </c>
      <c r="G1032" t="str">
        <f>_xlfn.XLOOKUP(Table1[[#This Row],[Department]],Table6[Department],Table6[Id_Departement])</f>
        <v>D001</v>
      </c>
      <c r="H1032" t="s">
        <v>37</v>
      </c>
      <c r="I1032">
        <v>8</v>
      </c>
      <c r="J1032" t="str">
        <f>_xlfn.XLOOKUP(Table1[[#This Row],[Education]],Table8[Education],Table8[Id_Education])</f>
        <v>E002</v>
      </c>
      <c r="K1032">
        <v>2</v>
      </c>
      <c r="L1032" t="str">
        <f>_xlfn.XLOOKUP(Table1[[#This Row],[EducationField]],Table7[EducationField],Table7[Id_EducationField])</f>
        <v>EF001</v>
      </c>
      <c r="M1032" t="s">
        <v>40</v>
      </c>
      <c r="N1032" t="str">
        <f>_xlfn.XLOOKUP(Table1[[#This Row],[EmployeeNumber]],Table4[EmployeeNumber],Table4[Id_Employee])</f>
        <v>EMP01031</v>
      </c>
      <c r="O1032">
        <v>1453</v>
      </c>
      <c r="P1032" t="str">
        <f>_xlfn.XLOOKUP(Table1[[#This Row],[EnvironmentSatisfaction]],Table9[EnvironmentSatisfaction],Table9[Id_EnviromentSatisfaction])</f>
        <v>ES001</v>
      </c>
      <c r="Q1032">
        <v>1</v>
      </c>
      <c r="R1032" t="str">
        <f>_xlfn.XLOOKUP(Table1[[#This Row],[EnvironmentSatisfaction]],Table9[EnvironmentSatisfaction],Table9[Deskripsi])</f>
        <v>Low</v>
      </c>
      <c r="S1032" t="str">
        <f>_xlfn.XLOOKUP(Table1[[#This Row],[Gender]],Table10[Gender],Table10[Id_Gender])</f>
        <v>G002</v>
      </c>
      <c r="T1032" t="s">
        <v>46</v>
      </c>
      <c r="U1032">
        <v>31</v>
      </c>
      <c r="V1032" t="str">
        <f>_xlfn.XLOOKUP(Table1[[#This Row],[JobInvolvement]],Table11[JobInvolvement],Table11[Id_JobInvolvement])</f>
        <v>JI003</v>
      </c>
      <c r="W1032">
        <v>3</v>
      </c>
      <c r="X1032" t="str">
        <f>_xlfn.XLOOKUP(Table1[[#This Row],[JobLevel]],Table12[JobLevel],Table12[Id_JobLevel])</f>
        <v>JL003</v>
      </c>
      <c r="Y1032">
        <v>3</v>
      </c>
      <c r="Z1032" t="str">
        <f>_xlfn.XLOOKUP(Table1[[#This Row],[JobRole]],Table13[JobRole],Table13[Id_JobRole])</f>
        <v>JR001</v>
      </c>
      <c r="AA1032" t="s">
        <v>47</v>
      </c>
      <c r="AB1032" t="str">
        <f>_xlfn.XLOOKUP(Table1[[#This Row],[JobSatisfaction]],Table14[JobSatisfaction],Table14[Id_JobSatisfaction])</f>
        <v>JS004</v>
      </c>
      <c r="AC1032">
        <v>4</v>
      </c>
      <c r="AD1032" t="str">
        <f>_xlfn.XLOOKUP(Table1[[#This Row],[JobSatisfaction]],Table14[JobSatisfaction],Table14[Deskripsi])</f>
        <v>Very High</v>
      </c>
      <c r="AE1032" t="str">
        <f>_xlfn.XLOOKUP(Table1[[#This Row],[MaritalStatus]],Table15[MaritalStatus],Table15[Id_MaritalStatus])</f>
        <v>MS003</v>
      </c>
      <c r="AF1032" t="s">
        <v>57</v>
      </c>
      <c r="AG1032">
        <v>10793</v>
      </c>
      <c r="AH1032">
        <v>8386</v>
      </c>
      <c r="AI1032">
        <v>1</v>
      </c>
      <c r="AJ1032" t="str">
        <f>_xlfn.XLOOKUP(Table1[[#This Row],[OverTime]],Table16[OverTime],Table16[Id_OverTime])</f>
        <v>OT002</v>
      </c>
      <c r="AK1032" t="s">
        <v>33</v>
      </c>
      <c r="AL1032">
        <v>18</v>
      </c>
      <c r="AM1032" t="str">
        <f>_xlfn.XLOOKUP(Table1[[#This Row],[PerformanceRating]],Table17[PerformanceRating],Table17[Id_PerformanceRating])</f>
        <v>PR003</v>
      </c>
      <c r="AN1032">
        <v>3</v>
      </c>
      <c r="AO1032" t="str">
        <f>_xlfn.XLOOKUP(Table1[[#This Row],[PerformanceRating]],Table17[PerformanceRating],Table17[Deskripsi])</f>
        <v>Excellent</v>
      </c>
      <c r="AP1032" t="str">
        <f>_xlfn.XLOOKUP(Table1[[#This Row],[RelationshipSatisfaction]],Table18[RelationshipSatisfaction],Table18[Id_RelationshipSatisfaction])</f>
        <v>RS001</v>
      </c>
      <c r="AQ1032">
        <v>1</v>
      </c>
      <c r="AR1032" t="str">
        <f>_xlfn.XLOOKUP(Table1[[#This Row],[RelationshipSatisfaction]],Table18[RelationshipSatisfaction],Table18[Deskripsi])</f>
        <v>Low</v>
      </c>
      <c r="AS1032" t="str">
        <f>_xlfn.XLOOKUP(Table1[[#This Row],[StockOptionLevel]],Table19[StockOptionLevel],Table19[Id_StockOptionLevel])</f>
        <v>SOL002</v>
      </c>
      <c r="AT1032">
        <v>1</v>
      </c>
      <c r="AU1032" t="str">
        <f>_xlfn.XLOOKUP(Table1[[#This Row],[StockOptionLevel]],Table19[StockOptionLevel],Table19[Deskripsi])</f>
        <v>Standard</v>
      </c>
      <c r="AV1032">
        <v>13</v>
      </c>
      <c r="AW1032">
        <v>5</v>
      </c>
      <c r="AX1032" t="str">
        <f>_xlfn.XLOOKUP(Table1[[#This Row],[WorkLifeBalance]],Table20[WorkLifeBalance],Table20[Id_WorkLifeBalance])</f>
        <v>WLB002</v>
      </c>
      <c r="AY1032">
        <v>3</v>
      </c>
      <c r="AZ1032" t="str">
        <f>_xlfn.XLOOKUP(Table1[[#This Row],[WorkLifeBalance]],Table20[WorkLifeBalance],Table20[Deskripsi])</f>
        <v>Good</v>
      </c>
      <c r="BA1032">
        <v>13</v>
      </c>
      <c r="BB1032">
        <v>7</v>
      </c>
      <c r="BC1032">
        <v>9</v>
      </c>
      <c r="BD1032">
        <v>9</v>
      </c>
    </row>
    <row r="1033" spans="1:56" x14ac:dyDescent="0.25">
      <c r="A1033">
        <v>46</v>
      </c>
      <c r="B1033" t="str">
        <f>_xlfn.XLOOKUP(Table1[[#This Row],[Attrition]],Table2[Attrition],Table2[Id_Attrition])</f>
        <v>A001</v>
      </c>
      <c r="C1033" t="s">
        <v>32</v>
      </c>
      <c r="D1033" t="str">
        <f>_xlfn.XLOOKUP(Table1[[#This Row],[BusinessTravel]],Table5[BusinessTravel],Table5[Id_BusinessTravel])</f>
        <v>BS001</v>
      </c>
      <c r="E1033" t="s">
        <v>34</v>
      </c>
      <c r="F1033">
        <v>377</v>
      </c>
      <c r="G1033" t="str">
        <f>_xlfn.XLOOKUP(Table1[[#This Row],[Department]],Table6[Department],Table6[Id_Departement])</f>
        <v>D001</v>
      </c>
      <c r="H1033" t="s">
        <v>37</v>
      </c>
      <c r="I1033">
        <v>9</v>
      </c>
      <c r="J1033" t="str">
        <f>_xlfn.XLOOKUP(Table1[[#This Row],[Education]],Table8[Education],Table8[Id_Education])</f>
        <v>E003</v>
      </c>
      <c r="K1033">
        <v>3</v>
      </c>
      <c r="L1033" t="str">
        <f>_xlfn.XLOOKUP(Table1[[#This Row],[EducationField]],Table7[EducationField],Table7[Id_EducationField])</f>
        <v>EF004</v>
      </c>
      <c r="M1033" t="s">
        <v>43</v>
      </c>
      <c r="N1033" t="str">
        <f>_xlfn.XLOOKUP(Table1[[#This Row],[EmployeeNumber]],Table4[EmployeeNumber],Table4[Id_Employee])</f>
        <v>EMP01032</v>
      </c>
      <c r="O1033">
        <v>1457</v>
      </c>
      <c r="P1033" t="str">
        <f>_xlfn.XLOOKUP(Table1[[#This Row],[EnvironmentSatisfaction]],Table9[EnvironmentSatisfaction],Table9[Id_EnviromentSatisfaction])</f>
        <v>ES001</v>
      </c>
      <c r="Q1033">
        <v>1</v>
      </c>
      <c r="R1033" t="str">
        <f>_xlfn.XLOOKUP(Table1[[#This Row],[EnvironmentSatisfaction]],Table9[EnvironmentSatisfaction],Table9[Deskripsi])</f>
        <v>Low</v>
      </c>
      <c r="S1033" t="str">
        <f>_xlfn.XLOOKUP(Table1[[#This Row],[Gender]],Table10[Gender],Table10[Id_Gender])</f>
        <v>G002</v>
      </c>
      <c r="T1033" t="s">
        <v>46</v>
      </c>
      <c r="U1033">
        <v>52</v>
      </c>
      <c r="V1033" t="str">
        <f>_xlfn.XLOOKUP(Table1[[#This Row],[JobInvolvement]],Table11[JobInvolvement],Table11[Id_JobInvolvement])</f>
        <v>JI003</v>
      </c>
      <c r="W1033">
        <v>3</v>
      </c>
      <c r="X1033" t="str">
        <f>_xlfn.XLOOKUP(Table1[[#This Row],[JobLevel]],Table12[JobLevel],Table12[Id_JobLevel])</f>
        <v>JL003</v>
      </c>
      <c r="Y1033">
        <v>3</v>
      </c>
      <c r="Z1033" t="str">
        <f>_xlfn.XLOOKUP(Table1[[#This Row],[JobRole]],Table13[JobRole],Table13[Id_JobRole])</f>
        <v>JR001</v>
      </c>
      <c r="AA1033" t="s">
        <v>47</v>
      </c>
      <c r="AB1033" t="str">
        <f>_xlfn.XLOOKUP(Table1[[#This Row],[JobSatisfaction]],Table14[JobSatisfaction],Table14[Id_JobSatisfaction])</f>
        <v>JS004</v>
      </c>
      <c r="AC1033">
        <v>4</v>
      </c>
      <c r="AD1033" t="str">
        <f>_xlfn.XLOOKUP(Table1[[#This Row],[JobSatisfaction]],Table14[JobSatisfaction],Table14[Deskripsi])</f>
        <v>Very High</v>
      </c>
      <c r="AE1033" t="str">
        <f>_xlfn.XLOOKUP(Table1[[#This Row],[MaritalStatus]],Table15[MaritalStatus],Table15[Id_MaritalStatus])</f>
        <v>MS003</v>
      </c>
      <c r="AF1033" t="s">
        <v>57</v>
      </c>
      <c r="AG1033">
        <v>10096</v>
      </c>
      <c r="AH1033">
        <v>15986</v>
      </c>
      <c r="AI1033">
        <v>4</v>
      </c>
      <c r="AJ1033" t="str">
        <f>_xlfn.XLOOKUP(Table1[[#This Row],[OverTime]],Table16[OverTime],Table16[Id_OverTime])</f>
        <v>OT002</v>
      </c>
      <c r="AK1033" t="s">
        <v>33</v>
      </c>
      <c r="AL1033">
        <v>11</v>
      </c>
      <c r="AM1033" t="str">
        <f>_xlfn.XLOOKUP(Table1[[#This Row],[PerformanceRating]],Table17[PerformanceRating],Table17[Id_PerformanceRating])</f>
        <v>PR003</v>
      </c>
      <c r="AN1033">
        <v>3</v>
      </c>
      <c r="AO1033" t="str">
        <f>_xlfn.XLOOKUP(Table1[[#This Row],[PerformanceRating]],Table17[PerformanceRating],Table17[Deskripsi])</f>
        <v>Excellent</v>
      </c>
      <c r="AP1033" t="str">
        <f>_xlfn.XLOOKUP(Table1[[#This Row],[RelationshipSatisfaction]],Table18[RelationshipSatisfaction],Table18[Id_RelationshipSatisfaction])</f>
        <v>RS001</v>
      </c>
      <c r="AQ1033">
        <v>1</v>
      </c>
      <c r="AR1033" t="str">
        <f>_xlfn.XLOOKUP(Table1[[#This Row],[RelationshipSatisfaction]],Table18[RelationshipSatisfaction],Table18[Deskripsi])</f>
        <v>Low</v>
      </c>
      <c r="AS1033" t="str">
        <f>_xlfn.XLOOKUP(Table1[[#This Row],[StockOptionLevel]],Table19[StockOptionLevel],Table19[Id_StockOptionLevel])</f>
        <v>SOL002</v>
      </c>
      <c r="AT1033">
        <v>1</v>
      </c>
      <c r="AU1033" t="str">
        <f>_xlfn.XLOOKUP(Table1[[#This Row],[StockOptionLevel]],Table19[StockOptionLevel],Table19[Deskripsi])</f>
        <v>Standard</v>
      </c>
      <c r="AV1033">
        <v>28</v>
      </c>
      <c r="AW1033">
        <v>1</v>
      </c>
      <c r="AX1033" t="str">
        <f>_xlfn.XLOOKUP(Table1[[#This Row],[WorkLifeBalance]],Table20[WorkLifeBalance],Table20[Id_WorkLifeBalance])</f>
        <v>WLB004</v>
      </c>
      <c r="AY1033">
        <v>4</v>
      </c>
      <c r="AZ1033" t="str">
        <f>_xlfn.XLOOKUP(Table1[[#This Row],[WorkLifeBalance]],Table20[WorkLifeBalance],Table20[Deskripsi])</f>
        <v>Best</v>
      </c>
      <c r="BA1033">
        <v>7</v>
      </c>
      <c r="BB1033">
        <v>7</v>
      </c>
      <c r="BC1033">
        <v>4</v>
      </c>
      <c r="BD1033">
        <v>3</v>
      </c>
    </row>
    <row r="1034" spans="1:56" x14ac:dyDescent="0.25">
      <c r="A1034">
        <v>39</v>
      </c>
      <c r="B1034" t="str">
        <f>_xlfn.XLOOKUP(Table1[[#This Row],[Attrition]],Table2[Attrition],Table2[Id_Attrition])</f>
        <v>A001</v>
      </c>
      <c r="C1034" t="s">
        <v>32</v>
      </c>
      <c r="D1034" t="str">
        <f>_xlfn.XLOOKUP(Table1[[#This Row],[BusinessTravel]],Table5[BusinessTravel],Table5[Id_BusinessTravel])</f>
        <v>BS003</v>
      </c>
      <c r="E1034" t="s">
        <v>36</v>
      </c>
      <c r="F1034">
        <v>592</v>
      </c>
      <c r="G1034" t="str">
        <f>_xlfn.XLOOKUP(Table1[[#This Row],[Department]],Table6[Department],Table6[Id_Departement])</f>
        <v>D002</v>
      </c>
      <c r="H1034" t="s">
        <v>38</v>
      </c>
      <c r="I1034">
        <v>2</v>
      </c>
      <c r="J1034" t="str">
        <f>_xlfn.XLOOKUP(Table1[[#This Row],[Education]],Table8[Education],Table8[Id_Education])</f>
        <v>E003</v>
      </c>
      <c r="K1034">
        <v>3</v>
      </c>
      <c r="L1034" t="str">
        <f>_xlfn.XLOOKUP(Table1[[#This Row],[EducationField]],Table7[EducationField],Table7[Id_EducationField])</f>
        <v>EF001</v>
      </c>
      <c r="M1034" t="s">
        <v>40</v>
      </c>
      <c r="N1034" t="str">
        <f>_xlfn.XLOOKUP(Table1[[#This Row],[EmployeeNumber]],Table4[EmployeeNumber],Table4[Id_Employee])</f>
        <v>EMP01033</v>
      </c>
      <c r="O1034">
        <v>1458</v>
      </c>
      <c r="P1034" t="str">
        <f>_xlfn.XLOOKUP(Table1[[#This Row],[EnvironmentSatisfaction]],Table9[EnvironmentSatisfaction],Table9[Id_EnviromentSatisfaction])</f>
        <v>ES001</v>
      </c>
      <c r="Q1034">
        <v>1</v>
      </c>
      <c r="R1034" t="str">
        <f>_xlfn.XLOOKUP(Table1[[#This Row],[EnvironmentSatisfaction]],Table9[EnvironmentSatisfaction],Table9[Deskripsi])</f>
        <v>Low</v>
      </c>
      <c r="S1034" t="str">
        <f>_xlfn.XLOOKUP(Table1[[#This Row],[Gender]],Table10[Gender],Table10[Id_Gender])</f>
        <v>G001</v>
      </c>
      <c r="T1034" t="s">
        <v>45</v>
      </c>
      <c r="U1034">
        <v>54</v>
      </c>
      <c r="V1034" t="str">
        <f>_xlfn.XLOOKUP(Table1[[#This Row],[JobInvolvement]],Table11[JobInvolvement],Table11[Id_JobInvolvement])</f>
        <v>JI002</v>
      </c>
      <c r="W1034">
        <v>2</v>
      </c>
      <c r="X1034" t="str">
        <f>_xlfn.XLOOKUP(Table1[[#This Row],[JobLevel]],Table12[JobLevel],Table12[Id_JobLevel])</f>
        <v>JL001</v>
      </c>
      <c r="Y1034">
        <v>1</v>
      </c>
      <c r="Z1034" t="str">
        <f>_xlfn.XLOOKUP(Table1[[#This Row],[JobRole]],Table13[JobRole],Table13[Id_JobRole])</f>
        <v>JR003</v>
      </c>
      <c r="AA1034" t="s">
        <v>49</v>
      </c>
      <c r="AB1034" t="str">
        <f>_xlfn.XLOOKUP(Table1[[#This Row],[JobSatisfaction]],Table14[JobSatisfaction],Table14[Id_JobSatisfaction])</f>
        <v>JS001</v>
      </c>
      <c r="AC1034">
        <v>1</v>
      </c>
      <c r="AD1034" t="str">
        <f>_xlfn.XLOOKUP(Table1[[#This Row],[JobSatisfaction]],Table14[JobSatisfaction],Table14[Deskripsi])</f>
        <v>Low</v>
      </c>
      <c r="AE1034" t="str">
        <f>_xlfn.XLOOKUP(Table1[[#This Row],[MaritalStatus]],Table15[MaritalStatus],Table15[Id_MaritalStatus])</f>
        <v>MS001</v>
      </c>
      <c r="AF1034" t="s">
        <v>55</v>
      </c>
      <c r="AG1034">
        <v>3646</v>
      </c>
      <c r="AH1034">
        <v>17181</v>
      </c>
      <c r="AI1034">
        <v>2</v>
      </c>
      <c r="AJ1034" t="str">
        <f>_xlfn.XLOOKUP(Table1[[#This Row],[OverTime]],Table16[OverTime],Table16[Id_OverTime])</f>
        <v>OT001</v>
      </c>
      <c r="AK1034" t="s">
        <v>32</v>
      </c>
      <c r="AL1034">
        <v>23</v>
      </c>
      <c r="AM1034" t="str">
        <f>_xlfn.XLOOKUP(Table1[[#This Row],[PerformanceRating]],Table17[PerformanceRating],Table17[Id_PerformanceRating])</f>
        <v>PR004</v>
      </c>
      <c r="AN1034">
        <v>4</v>
      </c>
      <c r="AO1034" t="str">
        <f>_xlfn.XLOOKUP(Table1[[#This Row],[PerformanceRating]],Table17[PerformanceRating],Table17[Deskripsi])</f>
        <v>Outstanding</v>
      </c>
      <c r="AP1034" t="str">
        <f>_xlfn.XLOOKUP(Table1[[#This Row],[RelationshipSatisfaction]],Table18[RelationshipSatisfaction],Table18[Id_RelationshipSatisfaction])</f>
        <v>RS002</v>
      </c>
      <c r="AQ1034">
        <v>2</v>
      </c>
      <c r="AR1034" t="str">
        <f>_xlfn.XLOOKUP(Table1[[#This Row],[RelationshipSatisfaction]],Table18[RelationshipSatisfaction],Table18[Deskripsi])</f>
        <v>Medium</v>
      </c>
      <c r="AS1034" t="str">
        <f>_xlfn.XLOOKUP(Table1[[#This Row],[StockOptionLevel]],Table19[StockOptionLevel],Table19[Id_StockOptionLevel])</f>
        <v>SOL001</v>
      </c>
      <c r="AT1034">
        <v>0</v>
      </c>
      <c r="AU1034" t="str">
        <f>_xlfn.XLOOKUP(Table1[[#This Row],[StockOptionLevel]],Table19[StockOptionLevel],Table19[Deskripsi])</f>
        <v>Non-Eligible</v>
      </c>
      <c r="AV1034">
        <v>11</v>
      </c>
      <c r="AW1034">
        <v>2</v>
      </c>
      <c r="AX1034" t="str">
        <f>_xlfn.XLOOKUP(Table1[[#This Row],[WorkLifeBalance]],Table20[WorkLifeBalance],Table20[Id_WorkLifeBalance])</f>
        <v>WLB004</v>
      </c>
      <c r="AY1034">
        <v>4</v>
      </c>
      <c r="AZ1034" t="str">
        <f>_xlfn.XLOOKUP(Table1[[#This Row],[WorkLifeBalance]],Table20[WorkLifeBalance],Table20[Deskripsi])</f>
        <v>Best</v>
      </c>
      <c r="BA1034">
        <v>1</v>
      </c>
      <c r="BB1034">
        <v>0</v>
      </c>
      <c r="BC1034">
        <v>0</v>
      </c>
      <c r="BD1034">
        <v>0</v>
      </c>
    </row>
    <row r="1035" spans="1:56" x14ac:dyDescent="0.25">
      <c r="A1035">
        <v>31</v>
      </c>
      <c r="B1035" t="str">
        <f>_xlfn.XLOOKUP(Table1[[#This Row],[Attrition]],Table2[Attrition],Table2[Id_Attrition])</f>
        <v>A001</v>
      </c>
      <c r="C1035" t="s">
        <v>32</v>
      </c>
      <c r="D1035" t="str">
        <f>_xlfn.XLOOKUP(Table1[[#This Row],[BusinessTravel]],Table5[BusinessTravel],Table5[Id_BusinessTravel])</f>
        <v>BS002</v>
      </c>
      <c r="E1035" t="s">
        <v>35</v>
      </c>
      <c r="F1035">
        <v>1445</v>
      </c>
      <c r="G1035" t="str">
        <f>_xlfn.XLOOKUP(Table1[[#This Row],[Department]],Table6[Department],Table6[Id_Departement])</f>
        <v>D002</v>
      </c>
      <c r="H1035" t="s">
        <v>38</v>
      </c>
      <c r="I1035">
        <v>1</v>
      </c>
      <c r="J1035" t="str">
        <f>_xlfn.XLOOKUP(Table1[[#This Row],[Education]],Table8[Education],Table8[Id_Education])</f>
        <v>E005</v>
      </c>
      <c r="K1035">
        <v>5</v>
      </c>
      <c r="L1035" t="str">
        <f>_xlfn.XLOOKUP(Table1[[#This Row],[EducationField]],Table7[EducationField],Table7[Id_EducationField])</f>
        <v>EF001</v>
      </c>
      <c r="M1035" t="s">
        <v>40</v>
      </c>
      <c r="N1035" t="str">
        <f>_xlfn.XLOOKUP(Table1[[#This Row],[EmployeeNumber]],Table4[EmployeeNumber],Table4[Id_Employee])</f>
        <v>EMP01034</v>
      </c>
      <c r="O1035">
        <v>1459</v>
      </c>
      <c r="P1035" t="str">
        <f>_xlfn.XLOOKUP(Table1[[#This Row],[EnvironmentSatisfaction]],Table9[EnvironmentSatisfaction],Table9[Id_EnviromentSatisfaction])</f>
        <v>ES003</v>
      </c>
      <c r="Q1035">
        <v>3</v>
      </c>
      <c r="R1035" t="str">
        <f>_xlfn.XLOOKUP(Table1[[#This Row],[EnvironmentSatisfaction]],Table9[EnvironmentSatisfaction],Table9[Deskripsi])</f>
        <v>High</v>
      </c>
      <c r="S1035" t="str">
        <f>_xlfn.XLOOKUP(Table1[[#This Row],[Gender]],Table10[Gender],Table10[Id_Gender])</f>
        <v>G001</v>
      </c>
      <c r="T1035" t="s">
        <v>45</v>
      </c>
      <c r="U1035">
        <v>100</v>
      </c>
      <c r="V1035" t="str">
        <f>_xlfn.XLOOKUP(Table1[[#This Row],[JobInvolvement]],Table11[JobInvolvement],Table11[Id_JobInvolvement])</f>
        <v>JI004</v>
      </c>
      <c r="W1035">
        <v>4</v>
      </c>
      <c r="X1035" t="str">
        <f>_xlfn.XLOOKUP(Table1[[#This Row],[JobLevel]],Table12[JobLevel],Table12[Id_JobLevel])</f>
        <v>JL003</v>
      </c>
      <c r="Y1035">
        <v>3</v>
      </c>
      <c r="Z1035" t="str">
        <f>_xlfn.XLOOKUP(Table1[[#This Row],[JobRole]],Table13[JobRole],Table13[Id_JobRole])</f>
        <v>JR004</v>
      </c>
      <c r="AA1035" t="s">
        <v>50</v>
      </c>
      <c r="AB1035" t="str">
        <f>_xlfn.XLOOKUP(Table1[[#This Row],[JobSatisfaction]],Table14[JobSatisfaction],Table14[Id_JobSatisfaction])</f>
        <v>JS002</v>
      </c>
      <c r="AC1035">
        <v>2</v>
      </c>
      <c r="AD1035" t="str">
        <f>_xlfn.XLOOKUP(Table1[[#This Row],[JobSatisfaction]],Table14[JobSatisfaction],Table14[Deskripsi])</f>
        <v>Medium</v>
      </c>
      <c r="AE1035" t="str">
        <f>_xlfn.XLOOKUP(Table1[[#This Row],[MaritalStatus]],Table15[MaritalStatus],Table15[Id_MaritalStatus])</f>
        <v>MS001</v>
      </c>
      <c r="AF1035" t="s">
        <v>55</v>
      </c>
      <c r="AG1035">
        <v>7446</v>
      </c>
      <c r="AH1035">
        <v>8931</v>
      </c>
      <c r="AI1035">
        <v>1</v>
      </c>
      <c r="AJ1035" t="str">
        <f>_xlfn.XLOOKUP(Table1[[#This Row],[OverTime]],Table16[OverTime],Table16[Id_OverTime])</f>
        <v>OT002</v>
      </c>
      <c r="AK1035" t="s">
        <v>33</v>
      </c>
      <c r="AL1035">
        <v>11</v>
      </c>
      <c r="AM1035" t="str">
        <f>_xlfn.XLOOKUP(Table1[[#This Row],[PerformanceRating]],Table17[PerformanceRating],Table17[Id_PerformanceRating])</f>
        <v>PR003</v>
      </c>
      <c r="AN1035">
        <v>3</v>
      </c>
      <c r="AO1035" t="str">
        <f>_xlfn.XLOOKUP(Table1[[#This Row],[PerformanceRating]],Table17[PerformanceRating],Table17[Deskripsi])</f>
        <v>Excellent</v>
      </c>
      <c r="AP1035" t="str">
        <f>_xlfn.XLOOKUP(Table1[[#This Row],[RelationshipSatisfaction]],Table18[RelationshipSatisfaction],Table18[Id_RelationshipSatisfaction])</f>
        <v>RS001</v>
      </c>
      <c r="AQ1035">
        <v>1</v>
      </c>
      <c r="AR1035" t="str">
        <f>_xlfn.XLOOKUP(Table1[[#This Row],[RelationshipSatisfaction]],Table18[RelationshipSatisfaction],Table18[Deskripsi])</f>
        <v>Low</v>
      </c>
      <c r="AS1035" t="str">
        <f>_xlfn.XLOOKUP(Table1[[#This Row],[StockOptionLevel]],Table19[StockOptionLevel],Table19[Id_StockOptionLevel])</f>
        <v>SOL001</v>
      </c>
      <c r="AT1035">
        <v>0</v>
      </c>
      <c r="AU1035" t="str">
        <f>_xlfn.XLOOKUP(Table1[[#This Row],[StockOptionLevel]],Table19[StockOptionLevel],Table19[Deskripsi])</f>
        <v>Non-Eligible</v>
      </c>
      <c r="AV1035">
        <v>10</v>
      </c>
      <c r="AW1035">
        <v>2</v>
      </c>
      <c r="AX1035" t="str">
        <f>_xlfn.XLOOKUP(Table1[[#This Row],[WorkLifeBalance]],Table20[WorkLifeBalance],Table20[Id_WorkLifeBalance])</f>
        <v>WLB002</v>
      </c>
      <c r="AY1035">
        <v>3</v>
      </c>
      <c r="AZ1035" t="str">
        <f>_xlfn.XLOOKUP(Table1[[#This Row],[WorkLifeBalance]],Table20[WorkLifeBalance],Table20[Deskripsi])</f>
        <v>Good</v>
      </c>
      <c r="BA1035">
        <v>10</v>
      </c>
      <c r="BB1035">
        <v>8</v>
      </c>
      <c r="BC1035">
        <v>4</v>
      </c>
      <c r="BD1035">
        <v>7</v>
      </c>
    </row>
    <row r="1036" spans="1:56" x14ac:dyDescent="0.25">
      <c r="A1036">
        <v>45</v>
      </c>
      <c r="B1036" t="str">
        <f>_xlfn.XLOOKUP(Table1[[#This Row],[Attrition]],Table2[Attrition],Table2[Id_Attrition])</f>
        <v>A002</v>
      </c>
      <c r="C1036" t="s">
        <v>33</v>
      </c>
      <c r="D1036" t="str">
        <f>_xlfn.XLOOKUP(Table1[[#This Row],[BusinessTravel]],Table5[BusinessTravel],Table5[Id_BusinessTravel])</f>
        <v>BS001</v>
      </c>
      <c r="E1036" t="s">
        <v>34</v>
      </c>
      <c r="F1036">
        <v>1038</v>
      </c>
      <c r="G1036" t="str">
        <f>_xlfn.XLOOKUP(Table1[[#This Row],[Department]],Table6[Department],Table6[Id_Departement])</f>
        <v>D002</v>
      </c>
      <c r="H1036" t="s">
        <v>38</v>
      </c>
      <c r="I1036">
        <v>20</v>
      </c>
      <c r="J1036" t="str">
        <f>_xlfn.XLOOKUP(Table1[[#This Row],[Education]],Table8[Education],Table8[Id_Education])</f>
        <v>E003</v>
      </c>
      <c r="K1036">
        <v>3</v>
      </c>
      <c r="L1036" t="str">
        <f>_xlfn.XLOOKUP(Table1[[#This Row],[EducationField]],Table7[EducationField],Table7[Id_EducationField])</f>
        <v>EF003</v>
      </c>
      <c r="M1036" t="s">
        <v>42</v>
      </c>
      <c r="N1036" t="str">
        <f>_xlfn.XLOOKUP(Table1[[#This Row],[EmployeeNumber]],Table4[EmployeeNumber],Table4[Id_Employee])</f>
        <v>EMP01035</v>
      </c>
      <c r="O1036">
        <v>1460</v>
      </c>
      <c r="P1036" t="str">
        <f>_xlfn.XLOOKUP(Table1[[#This Row],[EnvironmentSatisfaction]],Table9[EnvironmentSatisfaction],Table9[Id_EnviromentSatisfaction])</f>
        <v>ES002</v>
      </c>
      <c r="Q1036">
        <v>2</v>
      </c>
      <c r="R1036" t="str">
        <f>_xlfn.XLOOKUP(Table1[[#This Row],[EnvironmentSatisfaction]],Table9[EnvironmentSatisfaction],Table9[Deskripsi])</f>
        <v>Medium</v>
      </c>
      <c r="S1036" t="str">
        <f>_xlfn.XLOOKUP(Table1[[#This Row],[Gender]],Table10[Gender],Table10[Id_Gender])</f>
        <v>G002</v>
      </c>
      <c r="T1036" t="s">
        <v>46</v>
      </c>
      <c r="U1036">
        <v>95</v>
      </c>
      <c r="V1036" t="str">
        <f>_xlfn.XLOOKUP(Table1[[#This Row],[JobInvolvement]],Table11[JobInvolvement],Table11[Id_JobInvolvement])</f>
        <v>JI001</v>
      </c>
      <c r="W1036">
        <v>1</v>
      </c>
      <c r="X1036" t="str">
        <f>_xlfn.XLOOKUP(Table1[[#This Row],[JobLevel]],Table12[JobLevel],Table12[Id_JobLevel])</f>
        <v>JL003</v>
      </c>
      <c r="Y1036">
        <v>3</v>
      </c>
      <c r="Z1036" t="str">
        <f>_xlfn.XLOOKUP(Table1[[#This Row],[JobRole]],Table13[JobRole],Table13[Id_JobRole])</f>
        <v>JR005</v>
      </c>
      <c r="AA1036" t="s">
        <v>51</v>
      </c>
      <c r="AB1036" t="str">
        <f>_xlfn.XLOOKUP(Table1[[#This Row],[JobSatisfaction]],Table14[JobSatisfaction],Table14[Id_JobSatisfaction])</f>
        <v>JS001</v>
      </c>
      <c r="AC1036">
        <v>1</v>
      </c>
      <c r="AD1036" t="str">
        <f>_xlfn.XLOOKUP(Table1[[#This Row],[JobSatisfaction]],Table14[JobSatisfaction],Table14[Deskripsi])</f>
        <v>Low</v>
      </c>
      <c r="AE1036" t="str">
        <f>_xlfn.XLOOKUP(Table1[[#This Row],[MaritalStatus]],Table15[MaritalStatus],Table15[Id_MaritalStatus])</f>
        <v>MS003</v>
      </c>
      <c r="AF1036" t="s">
        <v>57</v>
      </c>
      <c r="AG1036">
        <v>10851</v>
      </c>
      <c r="AH1036">
        <v>19863</v>
      </c>
      <c r="AI1036">
        <v>2</v>
      </c>
      <c r="AJ1036" t="str">
        <f>_xlfn.XLOOKUP(Table1[[#This Row],[OverTime]],Table16[OverTime],Table16[Id_OverTime])</f>
        <v>OT001</v>
      </c>
      <c r="AK1036" t="s">
        <v>32</v>
      </c>
      <c r="AL1036">
        <v>18</v>
      </c>
      <c r="AM1036" t="str">
        <f>_xlfn.XLOOKUP(Table1[[#This Row],[PerformanceRating]],Table17[PerformanceRating],Table17[Id_PerformanceRating])</f>
        <v>PR003</v>
      </c>
      <c r="AN1036">
        <v>3</v>
      </c>
      <c r="AO1036" t="str">
        <f>_xlfn.XLOOKUP(Table1[[#This Row],[PerformanceRating]],Table17[PerformanceRating],Table17[Deskripsi])</f>
        <v>Excellent</v>
      </c>
      <c r="AP1036" t="str">
        <f>_xlfn.XLOOKUP(Table1[[#This Row],[RelationshipSatisfaction]],Table18[RelationshipSatisfaction],Table18[Id_RelationshipSatisfaction])</f>
        <v>RS002</v>
      </c>
      <c r="AQ1036">
        <v>2</v>
      </c>
      <c r="AR1036" t="str">
        <f>_xlfn.XLOOKUP(Table1[[#This Row],[RelationshipSatisfaction]],Table18[RelationshipSatisfaction],Table18[Deskripsi])</f>
        <v>Medium</v>
      </c>
      <c r="AS1036" t="str">
        <f>_xlfn.XLOOKUP(Table1[[#This Row],[StockOptionLevel]],Table19[StockOptionLevel],Table19[Id_StockOptionLevel])</f>
        <v>SOL002</v>
      </c>
      <c r="AT1036">
        <v>1</v>
      </c>
      <c r="AU1036" t="str">
        <f>_xlfn.XLOOKUP(Table1[[#This Row],[StockOptionLevel]],Table19[StockOptionLevel],Table19[Deskripsi])</f>
        <v>Standard</v>
      </c>
      <c r="AV1036">
        <v>24</v>
      </c>
      <c r="AW1036">
        <v>2</v>
      </c>
      <c r="AX1036" t="str">
        <f>_xlfn.XLOOKUP(Table1[[#This Row],[WorkLifeBalance]],Table20[WorkLifeBalance],Table20[Id_WorkLifeBalance])</f>
        <v>WLB002</v>
      </c>
      <c r="AY1036">
        <v>3</v>
      </c>
      <c r="AZ1036" t="str">
        <f>_xlfn.XLOOKUP(Table1[[#This Row],[WorkLifeBalance]],Table20[WorkLifeBalance],Table20[Deskripsi])</f>
        <v>Good</v>
      </c>
      <c r="BA1036">
        <v>7</v>
      </c>
      <c r="BB1036">
        <v>7</v>
      </c>
      <c r="BC1036">
        <v>0</v>
      </c>
      <c r="BD1036">
        <v>7</v>
      </c>
    </row>
    <row r="1037" spans="1:56" x14ac:dyDescent="0.25">
      <c r="A1037">
        <v>31</v>
      </c>
      <c r="B1037" t="str">
        <f>_xlfn.XLOOKUP(Table1[[#This Row],[Attrition]],Table2[Attrition],Table2[Id_Attrition])</f>
        <v>A002</v>
      </c>
      <c r="C1037" t="s">
        <v>33</v>
      </c>
      <c r="D1037" t="str">
        <f>_xlfn.XLOOKUP(Table1[[#This Row],[BusinessTravel]],Table5[BusinessTravel],Table5[Id_BusinessTravel])</f>
        <v>BS001</v>
      </c>
      <c r="E1037" t="s">
        <v>34</v>
      </c>
      <c r="F1037">
        <v>1398</v>
      </c>
      <c r="G1037" t="str">
        <f>_xlfn.XLOOKUP(Table1[[#This Row],[Department]],Table6[Department],Table6[Id_Departement])</f>
        <v>D003</v>
      </c>
      <c r="H1037" t="s">
        <v>39</v>
      </c>
      <c r="I1037">
        <v>8</v>
      </c>
      <c r="J1037" t="str">
        <f>_xlfn.XLOOKUP(Table1[[#This Row],[Education]],Table8[Education],Table8[Id_Education])</f>
        <v>E002</v>
      </c>
      <c r="K1037">
        <v>2</v>
      </c>
      <c r="L1037" t="str">
        <f>_xlfn.XLOOKUP(Table1[[#This Row],[EducationField]],Table7[EducationField],Table7[Id_EducationField])</f>
        <v>EF003</v>
      </c>
      <c r="M1037" t="s">
        <v>42</v>
      </c>
      <c r="N1037" t="str">
        <f>_xlfn.XLOOKUP(Table1[[#This Row],[EmployeeNumber]],Table4[EmployeeNumber],Table4[Id_Employee])</f>
        <v>EMP01036</v>
      </c>
      <c r="O1037">
        <v>1461</v>
      </c>
      <c r="P1037" t="str">
        <f>_xlfn.XLOOKUP(Table1[[#This Row],[EnvironmentSatisfaction]],Table9[EnvironmentSatisfaction],Table9[Id_EnviromentSatisfaction])</f>
        <v>ES004</v>
      </c>
      <c r="Q1037">
        <v>4</v>
      </c>
      <c r="R1037" t="str">
        <f>_xlfn.XLOOKUP(Table1[[#This Row],[EnvironmentSatisfaction]],Table9[EnvironmentSatisfaction],Table9[Deskripsi])</f>
        <v>Very High</v>
      </c>
      <c r="S1037" t="str">
        <f>_xlfn.XLOOKUP(Table1[[#This Row],[Gender]],Table10[Gender],Table10[Id_Gender])</f>
        <v>G001</v>
      </c>
      <c r="T1037" t="s">
        <v>45</v>
      </c>
      <c r="U1037">
        <v>96</v>
      </c>
      <c r="V1037" t="str">
        <f>_xlfn.XLOOKUP(Table1[[#This Row],[JobInvolvement]],Table11[JobInvolvement],Table11[Id_JobInvolvement])</f>
        <v>JI004</v>
      </c>
      <c r="W1037">
        <v>4</v>
      </c>
      <c r="X1037" t="str">
        <f>_xlfn.XLOOKUP(Table1[[#This Row],[JobLevel]],Table12[JobLevel],Table12[Id_JobLevel])</f>
        <v>JL001</v>
      </c>
      <c r="Y1037">
        <v>1</v>
      </c>
      <c r="Z1037" t="str">
        <f>_xlfn.XLOOKUP(Table1[[#This Row],[JobRole]],Table13[JobRole],Table13[Id_JobRole])</f>
        <v>JR009</v>
      </c>
      <c r="AA1037" t="s">
        <v>39</v>
      </c>
      <c r="AB1037" t="str">
        <f>_xlfn.XLOOKUP(Table1[[#This Row],[JobSatisfaction]],Table14[JobSatisfaction],Table14[Id_JobSatisfaction])</f>
        <v>JS002</v>
      </c>
      <c r="AC1037">
        <v>2</v>
      </c>
      <c r="AD1037" t="str">
        <f>_xlfn.XLOOKUP(Table1[[#This Row],[JobSatisfaction]],Table14[JobSatisfaction],Table14[Deskripsi])</f>
        <v>Medium</v>
      </c>
      <c r="AE1037" t="str">
        <f>_xlfn.XLOOKUP(Table1[[#This Row],[MaritalStatus]],Table15[MaritalStatus],Table15[Id_MaritalStatus])</f>
        <v>MS001</v>
      </c>
      <c r="AF1037" t="s">
        <v>55</v>
      </c>
      <c r="AG1037">
        <v>2109</v>
      </c>
      <c r="AH1037">
        <v>24609</v>
      </c>
      <c r="AI1037">
        <v>9</v>
      </c>
      <c r="AJ1037" t="str">
        <f>_xlfn.XLOOKUP(Table1[[#This Row],[OverTime]],Table16[OverTime],Table16[Id_OverTime])</f>
        <v>OT002</v>
      </c>
      <c r="AK1037" t="s">
        <v>33</v>
      </c>
      <c r="AL1037">
        <v>18</v>
      </c>
      <c r="AM1037" t="str">
        <f>_xlfn.XLOOKUP(Table1[[#This Row],[PerformanceRating]],Table17[PerformanceRating],Table17[Id_PerformanceRating])</f>
        <v>PR003</v>
      </c>
      <c r="AN1037">
        <v>3</v>
      </c>
      <c r="AO1037" t="str">
        <f>_xlfn.XLOOKUP(Table1[[#This Row],[PerformanceRating]],Table17[PerformanceRating],Table17[Deskripsi])</f>
        <v>Excellent</v>
      </c>
      <c r="AP1037" t="str">
        <f>_xlfn.XLOOKUP(Table1[[#This Row],[RelationshipSatisfaction]],Table18[RelationshipSatisfaction],Table18[Id_RelationshipSatisfaction])</f>
        <v>RS004</v>
      </c>
      <c r="AQ1037">
        <v>4</v>
      </c>
      <c r="AR1037" t="str">
        <f>_xlfn.XLOOKUP(Table1[[#This Row],[RelationshipSatisfaction]],Table18[RelationshipSatisfaction],Table18[Deskripsi])</f>
        <v>Very High</v>
      </c>
      <c r="AS1037" t="str">
        <f>_xlfn.XLOOKUP(Table1[[#This Row],[StockOptionLevel]],Table19[StockOptionLevel],Table19[Id_StockOptionLevel])</f>
        <v>SOL001</v>
      </c>
      <c r="AT1037">
        <v>0</v>
      </c>
      <c r="AU1037" t="str">
        <f>_xlfn.XLOOKUP(Table1[[#This Row],[StockOptionLevel]],Table19[StockOptionLevel],Table19[Deskripsi])</f>
        <v>Non-Eligible</v>
      </c>
      <c r="AV1037">
        <v>8</v>
      </c>
      <c r="AW1037">
        <v>3</v>
      </c>
      <c r="AX1037" t="str">
        <f>_xlfn.XLOOKUP(Table1[[#This Row],[WorkLifeBalance]],Table20[WorkLifeBalance],Table20[Id_WorkLifeBalance])</f>
        <v>WLB002</v>
      </c>
      <c r="AY1037">
        <v>3</v>
      </c>
      <c r="AZ1037" t="str">
        <f>_xlfn.XLOOKUP(Table1[[#This Row],[WorkLifeBalance]],Table20[WorkLifeBalance],Table20[Deskripsi])</f>
        <v>Good</v>
      </c>
      <c r="BA1037">
        <v>3</v>
      </c>
      <c r="BB1037">
        <v>2</v>
      </c>
      <c r="BC1037">
        <v>0</v>
      </c>
      <c r="BD1037">
        <v>2</v>
      </c>
    </row>
    <row r="1038" spans="1:56" x14ac:dyDescent="0.25">
      <c r="A1038">
        <v>31</v>
      </c>
      <c r="B1038" t="str">
        <f>_xlfn.XLOOKUP(Table1[[#This Row],[Attrition]],Table2[Attrition],Table2[Id_Attrition])</f>
        <v>A001</v>
      </c>
      <c r="C1038" t="s">
        <v>32</v>
      </c>
      <c r="D1038" t="str">
        <f>_xlfn.XLOOKUP(Table1[[#This Row],[BusinessTravel]],Table5[BusinessTravel],Table5[Id_BusinessTravel])</f>
        <v>BS002</v>
      </c>
      <c r="E1038" t="s">
        <v>35</v>
      </c>
      <c r="F1038">
        <v>523</v>
      </c>
      <c r="G1038" t="str">
        <f>_xlfn.XLOOKUP(Table1[[#This Row],[Department]],Table6[Department],Table6[Id_Departement])</f>
        <v>D002</v>
      </c>
      <c r="H1038" t="s">
        <v>38</v>
      </c>
      <c r="I1038">
        <v>2</v>
      </c>
      <c r="J1038" t="str">
        <f>_xlfn.XLOOKUP(Table1[[#This Row],[Education]],Table8[Education],Table8[Id_Education])</f>
        <v>E003</v>
      </c>
      <c r="K1038">
        <v>3</v>
      </c>
      <c r="L1038" t="str">
        <f>_xlfn.XLOOKUP(Table1[[#This Row],[EducationField]],Table7[EducationField],Table7[Id_EducationField])</f>
        <v>EF001</v>
      </c>
      <c r="M1038" t="s">
        <v>40</v>
      </c>
      <c r="N1038" t="str">
        <f>_xlfn.XLOOKUP(Table1[[#This Row],[EmployeeNumber]],Table4[EmployeeNumber],Table4[Id_Employee])</f>
        <v>EMP01037</v>
      </c>
      <c r="O1038">
        <v>1464</v>
      </c>
      <c r="P1038" t="str">
        <f>_xlfn.XLOOKUP(Table1[[#This Row],[EnvironmentSatisfaction]],Table9[EnvironmentSatisfaction],Table9[Id_EnviromentSatisfaction])</f>
        <v>ES002</v>
      </c>
      <c r="Q1038">
        <v>2</v>
      </c>
      <c r="R1038" t="str">
        <f>_xlfn.XLOOKUP(Table1[[#This Row],[EnvironmentSatisfaction]],Table9[EnvironmentSatisfaction],Table9[Deskripsi])</f>
        <v>Medium</v>
      </c>
      <c r="S1038" t="str">
        <f>_xlfn.XLOOKUP(Table1[[#This Row],[Gender]],Table10[Gender],Table10[Id_Gender])</f>
        <v>G002</v>
      </c>
      <c r="T1038" t="s">
        <v>46</v>
      </c>
      <c r="U1038">
        <v>94</v>
      </c>
      <c r="V1038" t="str">
        <f>_xlfn.XLOOKUP(Table1[[#This Row],[JobInvolvement]],Table11[JobInvolvement],Table11[Id_JobInvolvement])</f>
        <v>JI003</v>
      </c>
      <c r="W1038">
        <v>3</v>
      </c>
      <c r="X1038" t="str">
        <f>_xlfn.XLOOKUP(Table1[[#This Row],[JobLevel]],Table12[JobLevel],Table12[Id_JobLevel])</f>
        <v>JL001</v>
      </c>
      <c r="Y1038">
        <v>1</v>
      </c>
      <c r="Z1038" t="str">
        <f>_xlfn.XLOOKUP(Table1[[#This Row],[JobRole]],Table13[JobRole],Table13[Id_JobRole])</f>
        <v>JR003</v>
      </c>
      <c r="AA1038" t="s">
        <v>49</v>
      </c>
      <c r="AB1038" t="str">
        <f>_xlfn.XLOOKUP(Table1[[#This Row],[JobSatisfaction]],Table14[JobSatisfaction],Table14[Id_JobSatisfaction])</f>
        <v>JS004</v>
      </c>
      <c r="AC1038">
        <v>4</v>
      </c>
      <c r="AD1038" t="str">
        <f>_xlfn.XLOOKUP(Table1[[#This Row],[JobSatisfaction]],Table14[JobSatisfaction],Table14[Deskripsi])</f>
        <v>Very High</v>
      </c>
      <c r="AE1038" t="str">
        <f>_xlfn.XLOOKUP(Table1[[#This Row],[MaritalStatus]],Table15[MaritalStatus],Table15[Id_MaritalStatus])</f>
        <v>MS002</v>
      </c>
      <c r="AF1038" t="s">
        <v>56</v>
      </c>
      <c r="AG1038">
        <v>3722</v>
      </c>
      <c r="AH1038">
        <v>21081</v>
      </c>
      <c r="AI1038">
        <v>6</v>
      </c>
      <c r="AJ1038" t="str">
        <f>_xlfn.XLOOKUP(Table1[[#This Row],[OverTime]],Table16[OverTime],Table16[Id_OverTime])</f>
        <v>OT001</v>
      </c>
      <c r="AK1038" t="s">
        <v>32</v>
      </c>
      <c r="AL1038">
        <v>13</v>
      </c>
      <c r="AM1038" t="str">
        <f>_xlfn.XLOOKUP(Table1[[#This Row],[PerformanceRating]],Table17[PerformanceRating],Table17[Id_PerformanceRating])</f>
        <v>PR003</v>
      </c>
      <c r="AN1038">
        <v>3</v>
      </c>
      <c r="AO1038" t="str">
        <f>_xlfn.XLOOKUP(Table1[[#This Row],[PerformanceRating]],Table17[PerformanceRating],Table17[Deskripsi])</f>
        <v>Excellent</v>
      </c>
      <c r="AP1038" t="str">
        <f>_xlfn.XLOOKUP(Table1[[#This Row],[RelationshipSatisfaction]],Table18[RelationshipSatisfaction],Table18[Id_RelationshipSatisfaction])</f>
        <v>RS003</v>
      </c>
      <c r="AQ1038">
        <v>3</v>
      </c>
      <c r="AR1038" t="str">
        <f>_xlfn.XLOOKUP(Table1[[#This Row],[RelationshipSatisfaction]],Table18[RelationshipSatisfaction],Table18[Deskripsi])</f>
        <v>High</v>
      </c>
      <c r="AS1038" t="str">
        <f>_xlfn.XLOOKUP(Table1[[#This Row],[StockOptionLevel]],Table19[StockOptionLevel],Table19[Id_StockOptionLevel])</f>
        <v>SOL002</v>
      </c>
      <c r="AT1038">
        <v>1</v>
      </c>
      <c r="AU1038" t="str">
        <f>_xlfn.XLOOKUP(Table1[[#This Row],[StockOptionLevel]],Table19[StockOptionLevel],Table19[Deskripsi])</f>
        <v>Standard</v>
      </c>
      <c r="AV1038">
        <v>7</v>
      </c>
      <c r="AW1038">
        <v>2</v>
      </c>
      <c r="AX1038" t="str">
        <f>_xlfn.XLOOKUP(Table1[[#This Row],[WorkLifeBalance]],Table20[WorkLifeBalance],Table20[Id_WorkLifeBalance])</f>
        <v>WLB001</v>
      </c>
      <c r="AY1038">
        <v>1</v>
      </c>
      <c r="AZ1038" t="str">
        <f>_xlfn.XLOOKUP(Table1[[#This Row],[WorkLifeBalance]],Table20[WorkLifeBalance],Table20[Deskripsi])</f>
        <v>Bad</v>
      </c>
      <c r="BA1038">
        <v>2</v>
      </c>
      <c r="BB1038">
        <v>2</v>
      </c>
      <c r="BC1038">
        <v>2</v>
      </c>
      <c r="BD1038">
        <v>2</v>
      </c>
    </row>
    <row r="1039" spans="1:56" x14ac:dyDescent="0.25">
      <c r="A1039">
        <v>45</v>
      </c>
      <c r="B1039" t="str">
        <f>_xlfn.XLOOKUP(Table1[[#This Row],[Attrition]],Table2[Attrition],Table2[Id_Attrition])</f>
        <v>A002</v>
      </c>
      <c r="C1039" t="s">
        <v>33</v>
      </c>
      <c r="D1039" t="str">
        <f>_xlfn.XLOOKUP(Table1[[#This Row],[BusinessTravel]],Table5[BusinessTravel],Table5[Id_BusinessTravel])</f>
        <v>BS001</v>
      </c>
      <c r="E1039" t="s">
        <v>34</v>
      </c>
      <c r="F1039">
        <v>1448</v>
      </c>
      <c r="G1039" t="str">
        <f>_xlfn.XLOOKUP(Table1[[#This Row],[Department]],Table6[Department],Table6[Id_Departement])</f>
        <v>D002</v>
      </c>
      <c r="H1039" t="s">
        <v>38</v>
      </c>
      <c r="I1039">
        <v>29</v>
      </c>
      <c r="J1039" t="str">
        <f>_xlfn.XLOOKUP(Table1[[#This Row],[Education]],Table8[Education],Table8[Id_Education])</f>
        <v>E003</v>
      </c>
      <c r="K1039">
        <v>3</v>
      </c>
      <c r="L1039" t="str">
        <f>_xlfn.XLOOKUP(Table1[[#This Row],[EducationField]],Table7[EducationField],Table7[Id_EducationField])</f>
        <v>EF005</v>
      </c>
      <c r="M1039" t="s">
        <v>44</v>
      </c>
      <c r="N1039" t="str">
        <f>_xlfn.XLOOKUP(Table1[[#This Row],[EmployeeNumber]],Table4[EmployeeNumber],Table4[Id_Employee])</f>
        <v>EMP01038</v>
      </c>
      <c r="O1039">
        <v>1465</v>
      </c>
      <c r="P1039" t="str">
        <f>_xlfn.XLOOKUP(Table1[[#This Row],[EnvironmentSatisfaction]],Table9[EnvironmentSatisfaction],Table9[Id_EnviromentSatisfaction])</f>
        <v>ES002</v>
      </c>
      <c r="Q1039">
        <v>2</v>
      </c>
      <c r="R1039" t="str">
        <f>_xlfn.XLOOKUP(Table1[[#This Row],[EnvironmentSatisfaction]],Table9[EnvironmentSatisfaction],Table9[Deskripsi])</f>
        <v>Medium</v>
      </c>
      <c r="S1039" t="str">
        <f>_xlfn.XLOOKUP(Table1[[#This Row],[Gender]],Table10[Gender],Table10[Id_Gender])</f>
        <v>G002</v>
      </c>
      <c r="T1039" t="s">
        <v>46</v>
      </c>
      <c r="U1039">
        <v>55</v>
      </c>
      <c r="V1039" t="str">
        <f>_xlfn.XLOOKUP(Table1[[#This Row],[JobInvolvement]],Table11[JobInvolvement],Table11[Id_JobInvolvement])</f>
        <v>JI003</v>
      </c>
      <c r="W1039">
        <v>3</v>
      </c>
      <c r="X1039" t="str">
        <f>_xlfn.XLOOKUP(Table1[[#This Row],[JobLevel]],Table12[JobLevel],Table12[Id_JobLevel])</f>
        <v>JL003</v>
      </c>
      <c r="Y1039">
        <v>3</v>
      </c>
      <c r="Z1039" t="str">
        <f>_xlfn.XLOOKUP(Table1[[#This Row],[JobRole]],Table13[JobRole],Table13[Id_JobRole])</f>
        <v>JR004</v>
      </c>
      <c r="AA1039" t="s">
        <v>50</v>
      </c>
      <c r="AB1039" t="str">
        <f>_xlfn.XLOOKUP(Table1[[#This Row],[JobSatisfaction]],Table14[JobSatisfaction],Table14[Id_JobSatisfaction])</f>
        <v>JS004</v>
      </c>
      <c r="AC1039">
        <v>4</v>
      </c>
      <c r="AD1039" t="str">
        <f>_xlfn.XLOOKUP(Table1[[#This Row],[JobSatisfaction]],Table14[JobSatisfaction],Table14[Deskripsi])</f>
        <v>Very High</v>
      </c>
      <c r="AE1039" t="str">
        <f>_xlfn.XLOOKUP(Table1[[#This Row],[MaritalStatus]],Table15[MaritalStatus],Table15[Id_MaritalStatus])</f>
        <v>MS002</v>
      </c>
      <c r="AF1039" t="s">
        <v>56</v>
      </c>
      <c r="AG1039">
        <v>9380</v>
      </c>
      <c r="AH1039">
        <v>14720</v>
      </c>
      <c r="AI1039">
        <v>4</v>
      </c>
      <c r="AJ1039" t="str">
        <f>_xlfn.XLOOKUP(Table1[[#This Row],[OverTime]],Table16[OverTime],Table16[Id_OverTime])</f>
        <v>OT001</v>
      </c>
      <c r="AK1039" t="s">
        <v>32</v>
      </c>
      <c r="AL1039">
        <v>18</v>
      </c>
      <c r="AM1039" t="str">
        <f>_xlfn.XLOOKUP(Table1[[#This Row],[PerformanceRating]],Table17[PerformanceRating],Table17[Id_PerformanceRating])</f>
        <v>PR003</v>
      </c>
      <c r="AN1039">
        <v>3</v>
      </c>
      <c r="AO1039" t="str">
        <f>_xlfn.XLOOKUP(Table1[[#This Row],[PerformanceRating]],Table17[PerformanceRating],Table17[Deskripsi])</f>
        <v>Excellent</v>
      </c>
      <c r="AP1039" t="str">
        <f>_xlfn.XLOOKUP(Table1[[#This Row],[RelationshipSatisfaction]],Table18[RelationshipSatisfaction],Table18[Id_RelationshipSatisfaction])</f>
        <v>RS004</v>
      </c>
      <c r="AQ1039">
        <v>4</v>
      </c>
      <c r="AR1039" t="str">
        <f>_xlfn.XLOOKUP(Table1[[#This Row],[RelationshipSatisfaction]],Table18[RelationshipSatisfaction],Table18[Deskripsi])</f>
        <v>Very High</v>
      </c>
      <c r="AS1039" t="str">
        <f>_xlfn.XLOOKUP(Table1[[#This Row],[StockOptionLevel]],Table19[StockOptionLevel],Table19[Id_StockOptionLevel])</f>
        <v>SOL003</v>
      </c>
      <c r="AT1039">
        <v>2</v>
      </c>
      <c r="AU1039" t="str">
        <f>_xlfn.XLOOKUP(Table1[[#This Row],[StockOptionLevel]],Table19[StockOptionLevel],Table19[Deskripsi])</f>
        <v>Intermediate</v>
      </c>
      <c r="AV1039">
        <v>10</v>
      </c>
      <c r="AW1039">
        <v>4</v>
      </c>
      <c r="AX1039" t="str">
        <f>_xlfn.XLOOKUP(Table1[[#This Row],[WorkLifeBalance]],Table20[WorkLifeBalance],Table20[Id_WorkLifeBalance])</f>
        <v>WLB004</v>
      </c>
      <c r="AY1039">
        <v>4</v>
      </c>
      <c r="AZ1039" t="str">
        <f>_xlfn.XLOOKUP(Table1[[#This Row],[WorkLifeBalance]],Table20[WorkLifeBalance],Table20[Deskripsi])</f>
        <v>Best</v>
      </c>
      <c r="BA1039">
        <v>3</v>
      </c>
      <c r="BB1039">
        <v>1</v>
      </c>
      <c r="BC1039">
        <v>1</v>
      </c>
      <c r="BD1039">
        <v>2</v>
      </c>
    </row>
    <row r="1040" spans="1:56" x14ac:dyDescent="0.25">
      <c r="A1040">
        <v>48</v>
      </c>
      <c r="B1040" t="str">
        <f>_xlfn.XLOOKUP(Table1[[#This Row],[Attrition]],Table2[Attrition],Table2[Id_Attrition])</f>
        <v>A002</v>
      </c>
      <c r="C1040" t="s">
        <v>33</v>
      </c>
      <c r="D1040" t="str">
        <f>_xlfn.XLOOKUP(Table1[[#This Row],[BusinessTravel]],Table5[BusinessTravel],Table5[Id_BusinessTravel])</f>
        <v>BS001</v>
      </c>
      <c r="E1040" t="s">
        <v>34</v>
      </c>
      <c r="F1040">
        <v>1221</v>
      </c>
      <c r="G1040" t="str">
        <f>_xlfn.XLOOKUP(Table1[[#This Row],[Department]],Table6[Department],Table6[Id_Departement])</f>
        <v>D001</v>
      </c>
      <c r="H1040" t="s">
        <v>37</v>
      </c>
      <c r="I1040">
        <v>7</v>
      </c>
      <c r="J1040" t="str">
        <f>_xlfn.XLOOKUP(Table1[[#This Row],[Education]],Table8[Education],Table8[Id_Education])</f>
        <v>E003</v>
      </c>
      <c r="K1040">
        <v>3</v>
      </c>
      <c r="L1040" t="str">
        <f>_xlfn.XLOOKUP(Table1[[#This Row],[EducationField]],Table7[EducationField],Table7[Id_EducationField])</f>
        <v>EF004</v>
      </c>
      <c r="M1040" t="s">
        <v>43</v>
      </c>
      <c r="N1040" t="str">
        <f>_xlfn.XLOOKUP(Table1[[#This Row],[EmployeeNumber]],Table4[EmployeeNumber],Table4[Id_Employee])</f>
        <v>EMP01039</v>
      </c>
      <c r="O1040">
        <v>1466</v>
      </c>
      <c r="P1040" t="str">
        <f>_xlfn.XLOOKUP(Table1[[#This Row],[EnvironmentSatisfaction]],Table9[EnvironmentSatisfaction],Table9[Id_EnviromentSatisfaction])</f>
        <v>ES003</v>
      </c>
      <c r="Q1040">
        <v>3</v>
      </c>
      <c r="R1040" t="str">
        <f>_xlfn.XLOOKUP(Table1[[#This Row],[EnvironmentSatisfaction]],Table9[EnvironmentSatisfaction],Table9[Deskripsi])</f>
        <v>High</v>
      </c>
      <c r="S1040" t="str">
        <f>_xlfn.XLOOKUP(Table1[[#This Row],[Gender]],Table10[Gender],Table10[Id_Gender])</f>
        <v>G002</v>
      </c>
      <c r="T1040" t="s">
        <v>46</v>
      </c>
      <c r="U1040">
        <v>96</v>
      </c>
      <c r="V1040" t="str">
        <f>_xlfn.XLOOKUP(Table1[[#This Row],[JobInvolvement]],Table11[JobInvolvement],Table11[Id_JobInvolvement])</f>
        <v>JI003</v>
      </c>
      <c r="W1040">
        <v>3</v>
      </c>
      <c r="X1040" t="str">
        <f>_xlfn.XLOOKUP(Table1[[#This Row],[JobLevel]],Table12[JobLevel],Table12[Id_JobLevel])</f>
        <v>JL002</v>
      </c>
      <c r="Y1040">
        <v>2</v>
      </c>
      <c r="Z1040" t="str">
        <f>_xlfn.XLOOKUP(Table1[[#This Row],[JobRole]],Table13[JobRole],Table13[Id_JobRole])</f>
        <v>JR001</v>
      </c>
      <c r="AA1040" t="s">
        <v>47</v>
      </c>
      <c r="AB1040" t="str">
        <f>_xlfn.XLOOKUP(Table1[[#This Row],[JobSatisfaction]],Table14[JobSatisfaction],Table14[Id_JobSatisfaction])</f>
        <v>JS001</v>
      </c>
      <c r="AC1040">
        <v>1</v>
      </c>
      <c r="AD1040" t="str">
        <f>_xlfn.XLOOKUP(Table1[[#This Row],[JobSatisfaction]],Table14[JobSatisfaction],Table14[Deskripsi])</f>
        <v>Low</v>
      </c>
      <c r="AE1040" t="str">
        <f>_xlfn.XLOOKUP(Table1[[#This Row],[MaritalStatus]],Table15[MaritalStatus],Table15[Id_MaritalStatus])</f>
        <v>MS003</v>
      </c>
      <c r="AF1040" t="s">
        <v>57</v>
      </c>
      <c r="AG1040">
        <v>5486</v>
      </c>
      <c r="AH1040">
        <v>24795</v>
      </c>
      <c r="AI1040">
        <v>4</v>
      </c>
      <c r="AJ1040" t="str">
        <f>_xlfn.XLOOKUP(Table1[[#This Row],[OverTime]],Table16[OverTime],Table16[Id_OverTime])</f>
        <v>OT002</v>
      </c>
      <c r="AK1040" t="s">
        <v>33</v>
      </c>
      <c r="AL1040">
        <v>11</v>
      </c>
      <c r="AM1040" t="str">
        <f>_xlfn.XLOOKUP(Table1[[#This Row],[PerformanceRating]],Table17[PerformanceRating],Table17[Id_PerformanceRating])</f>
        <v>PR003</v>
      </c>
      <c r="AN1040">
        <v>3</v>
      </c>
      <c r="AO1040" t="str">
        <f>_xlfn.XLOOKUP(Table1[[#This Row],[PerformanceRating]],Table17[PerformanceRating],Table17[Deskripsi])</f>
        <v>Excellent</v>
      </c>
      <c r="AP1040" t="str">
        <f>_xlfn.XLOOKUP(Table1[[#This Row],[RelationshipSatisfaction]],Table18[RelationshipSatisfaction],Table18[Id_RelationshipSatisfaction])</f>
        <v>RS001</v>
      </c>
      <c r="AQ1040">
        <v>1</v>
      </c>
      <c r="AR1040" t="str">
        <f>_xlfn.XLOOKUP(Table1[[#This Row],[RelationshipSatisfaction]],Table18[RelationshipSatisfaction],Table18[Deskripsi])</f>
        <v>Low</v>
      </c>
      <c r="AS1040" t="str">
        <f>_xlfn.XLOOKUP(Table1[[#This Row],[StockOptionLevel]],Table19[StockOptionLevel],Table19[Id_StockOptionLevel])</f>
        <v>SOL004</v>
      </c>
      <c r="AT1040">
        <v>3</v>
      </c>
      <c r="AU1040" t="str">
        <f>_xlfn.XLOOKUP(Table1[[#This Row],[StockOptionLevel]],Table19[StockOptionLevel],Table19[Deskripsi])</f>
        <v>Senior/Executive</v>
      </c>
      <c r="AV1040">
        <v>15</v>
      </c>
      <c r="AW1040">
        <v>3</v>
      </c>
      <c r="AX1040" t="str">
        <f>_xlfn.XLOOKUP(Table1[[#This Row],[WorkLifeBalance]],Table20[WorkLifeBalance],Table20[Id_WorkLifeBalance])</f>
        <v>WLB002</v>
      </c>
      <c r="AY1040">
        <v>3</v>
      </c>
      <c r="AZ1040" t="str">
        <f>_xlfn.XLOOKUP(Table1[[#This Row],[WorkLifeBalance]],Table20[WorkLifeBalance],Table20[Deskripsi])</f>
        <v>Good</v>
      </c>
      <c r="BA1040">
        <v>2</v>
      </c>
      <c r="BB1040">
        <v>2</v>
      </c>
      <c r="BC1040">
        <v>2</v>
      </c>
      <c r="BD1040">
        <v>2</v>
      </c>
    </row>
    <row r="1041" spans="1:56" x14ac:dyDescent="0.25">
      <c r="A1041">
        <v>34</v>
      </c>
      <c r="B1041" t="str">
        <f>_xlfn.XLOOKUP(Table1[[#This Row],[Attrition]],Table2[Attrition],Table2[Id_Attrition])</f>
        <v>A001</v>
      </c>
      <c r="C1041" t="s">
        <v>32</v>
      </c>
      <c r="D1041" t="str">
        <f>_xlfn.XLOOKUP(Table1[[#This Row],[BusinessTravel]],Table5[BusinessTravel],Table5[Id_BusinessTravel])</f>
        <v>BS001</v>
      </c>
      <c r="E1041" t="s">
        <v>34</v>
      </c>
      <c r="F1041">
        <v>1107</v>
      </c>
      <c r="G1041" t="str">
        <f>_xlfn.XLOOKUP(Table1[[#This Row],[Department]],Table6[Department],Table6[Id_Departement])</f>
        <v>D003</v>
      </c>
      <c r="H1041" t="s">
        <v>39</v>
      </c>
      <c r="I1041">
        <v>9</v>
      </c>
      <c r="J1041" t="str">
        <f>_xlfn.XLOOKUP(Table1[[#This Row],[Education]],Table8[Education],Table8[Id_Education])</f>
        <v>E004</v>
      </c>
      <c r="K1041">
        <v>4</v>
      </c>
      <c r="L1041" t="str">
        <f>_xlfn.XLOOKUP(Table1[[#This Row],[EducationField]],Table7[EducationField],Table7[Id_EducationField])</f>
        <v>EF005</v>
      </c>
      <c r="M1041" t="s">
        <v>44</v>
      </c>
      <c r="N1041" t="str">
        <f>_xlfn.XLOOKUP(Table1[[#This Row],[EmployeeNumber]],Table4[EmployeeNumber],Table4[Id_Employee])</f>
        <v>EMP01040</v>
      </c>
      <c r="O1041">
        <v>1467</v>
      </c>
      <c r="P1041" t="str">
        <f>_xlfn.XLOOKUP(Table1[[#This Row],[EnvironmentSatisfaction]],Table9[EnvironmentSatisfaction],Table9[Id_EnviromentSatisfaction])</f>
        <v>ES001</v>
      </c>
      <c r="Q1041">
        <v>1</v>
      </c>
      <c r="R1041" t="str">
        <f>_xlfn.XLOOKUP(Table1[[#This Row],[EnvironmentSatisfaction]],Table9[EnvironmentSatisfaction],Table9[Deskripsi])</f>
        <v>Low</v>
      </c>
      <c r="S1041" t="str">
        <f>_xlfn.XLOOKUP(Table1[[#This Row],[Gender]],Table10[Gender],Table10[Id_Gender])</f>
        <v>G001</v>
      </c>
      <c r="T1041" t="s">
        <v>45</v>
      </c>
      <c r="U1041">
        <v>52</v>
      </c>
      <c r="V1041" t="str">
        <f>_xlfn.XLOOKUP(Table1[[#This Row],[JobInvolvement]],Table11[JobInvolvement],Table11[Id_JobInvolvement])</f>
        <v>JI003</v>
      </c>
      <c r="W1041">
        <v>3</v>
      </c>
      <c r="X1041" t="str">
        <f>_xlfn.XLOOKUP(Table1[[#This Row],[JobLevel]],Table12[JobLevel],Table12[Id_JobLevel])</f>
        <v>JL001</v>
      </c>
      <c r="Y1041">
        <v>1</v>
      </c>
      <c r="Z1041" t="str">
        <f>_xlfn.XLOOKUP(Table1[[#This Row],[JobRole]],Table13[JobRole],Table13[Id_JobRole])</f>
        <v>JR009</v>
      </c>
      <c r="AA1041" t="s">
        <v>39</v>
      </c>
      <c r="AB1041" t="str">
        <f>_xlfn.XLOOKUP(Table1[[#This Row],[JobSatisfaction]],Table14[JobSatisfaction],Table14[Id_JobSatisfaction])</f>
        <v>JS003</v>
      </c>
      <c r="AC1041">
        <v>3</v>
      </c>
      <c r="AD1041" t="str">
        <f>_xlfn.XLOOKUP(Table1[[#This Row],[JobSatisfaction]],Table14[JobSatisfaction],Table14[Deskripsi])</f>
        <v>High</v>
      </c>
      <c r="AE1041" t="str">
        <f>_xlfn.XLOOKUP(Table1[[#This Row],[MaritalStatus]],Table15[MaritalStatus],Table15[Id_MaritalStatus])</f>
        <v>MS002</v>
      </c>
      <c r="AF1041" t="s">
        <v>56</v>
      </c>
      <c r="AG1041">
        <v>2742</v>
      </c>
      <c r="AH1041">
        <v>3072</v>
      </c>
      <c r="AI1041">
        <v>1</v>
      </c>
      <c r="AJ1041" t="str">
        <f>_xlfn.XLOOKUP(Table1[[#This Row],[OverTime]],Table16[OverTime],Table16[Id_OverTime])</f>
        <v>OT002</v>
      </c>
      <c r="AK1041" t="s">
        <v>33</v>
      </c>
      <c r="AL1041">
        <v>15</v>
      </c>
      <c r="AM1041" t="str">
        <f>_xlfn.XLOOKUP(Table1[[#This Row],[PerformanceRating]],Table17[PerformanceRating],Table17[Id_PerformanceRating])</f>
        <v>PR003</v>
      </c>
      <c r="AN1041">
        <v>3</v>
      </c>
      <c r="AO1041" t="str">
        <f>_xlfn.XLOOKUP(Table1[[#This Row],[PerformanceRating]],Table17[PerformanceRating],Table17[Deskripsi])</f>
        <v>Excellent</v>
      </c>
      <c r="AP1041" t="str">
        <f>_xlfn.XLOOKUP(Table1[[#This Row],[RelationshipSatisfaction]],Table18[RelationshipSatisfaction],Table18[Id_RelationshipSatisfaction])</f>
        <v>RS004</v>
      </c>
      <c r="AQ1041">
        <v>4</v>
      </c>
      <c r="AR1041" t="str">
        <f>_xlfn.XLOOKUP(Table1[[#This Row],[RelationshipSatisfaction]],Table18[RelationshipSatisfaction],Table18[Deskripsi])</f>
        <v>Very High</v>
      </c>
      <c r="AS1041" t="str">
        <f>_xlfn.XLOOKUP(Table1[[#This Row],[StockOptionLevel]],Table19[StockOptionLevel],Table19[Id_StockOptionLevel])</f>
        <v>SOL001</v>
      </c>
      <c r="AT1041">
        <v>0</v>
      </c>
      <c r="AU1041" t="str">
        <f>_xlfn.XLOOKUP(Table1[[#This Row],[StockOptionLevel]],Table19[StockOptionLevel],Table19[Deskripsi])</f>
        <v>Non-Eligible</v>
      </c>
      <c r="AV1041">
        <v>2</v>
      </c>
      <c r="AW1041">
        <v>0</v>
      </c>
      <c r="AX1041" t="str">
        <f>_xlfn.XLOOKUP(Table1[[#This Row],[WorkLifeBalance]],Table20[WorkLifeBalance],Table20[Id_WorkLifeBalance])</f>
        <v>WLB002</v>
      </c>
      <c r="AY1041">
        <v>3</v>
      </c>
      <c r="AZ1041" t="str">
        <f>_xlfn.XLOOKUP(Table1[[#This Row],[WorkLifeBalance]],Table20[WorkLifeBalance],Table20[Deskripsi])</f>
        <v>Good</v>
      </c>
      <c r="BA1041">
        <v>2</v>
      </c>
      <c r="BB1041">
        <v>2</v>
      </c>
      <c r="BC1041">
        <v>2</v>
      </c>
      <c r="BD1041">
        <v>2</v>
      </c>
    </row>
    <row r="1042" spans="1:56" x14ac:dyDescent="0.25">
      <c r="A1042">
        <v>40</v>
      </c>
      <c r="B1042" t="str">
        <f>_xlfn.XLOOKUP(Table1[[#This Row],[Attrition]],Table2[Attrition],Table2[Id_Attrition])</f>
        <v>A002</v>
      </c>
      <c r="C1042" t="s">
        <v>33</v>
      </c>
      <c r="D1042" t="str">
        <f>_xlfn.XLOOKUP(Table1[[#This Row],[BusinessTravel]],Table5[BusinessTravel],Table5[Id_BusinessTravel])</f>
        <v>BS003</v>
      </c>
      <c r="E1042" t="s">
        <v>36</v>
      </c>
      <c r="F1042">
        <v>218</v>
      </c>
      <c r="G1042" t="str">
        <f>_xlfn.XLOOKUP(Table1[[#This Row],[Department]],Table6[Department],Table6[Id_Departement])</f>
        <v>D002</v>
      </c>
      <c r="H1042" t="s">
        <v>38</v>
      </c>
      <c r="I1042">
        <v>8</v>
      </c>
      <c r="J1042" t="str">
        <f>_xlfn.XLOOKUP(Table1[[#This Row],[Education]],Table8[Education],Table8[Id_Education])</f>
        <v>E001</v>
      </c>
      <c r="K1042">
        <v>1</v>
      </c>
      <c r="L1042" t="str">
        <f>_xlfn.XLOOKUP(Table1[[#This Row],[EducationField]],Table7[EducationField],Table7[Id_EducationField])</f>
        <v>EF003</v>
      </c>
      <c r="M1042" t="s">
        <v>42</v>
      </c>
      <c r="N1042" t="str">
        <f>_xlfn.XLOOKUP(Table1[[#This Row],[EmployeeNumber]],Table4[EmployeeNumber],Table4[Id_Employee])</f>
        <v>EMP01041</v>
      </c>
      <c r="O1042">
        <v>1468</v>
      </c>
      <c r="P1042" t="str">
        <f>_xlfn.XLOOKUP(Table1[[#This Row],[EnvironmentSatisfaction]],Table9[EnvironmentSatisfaction],Table9[Id_EnviromentSatisfaction])</f>
        <v>ES004</v>
      </c>
      <c r="Q1042">
        <v>4</v>
      </c>
      <c r="R1042" t="str">
        <f>_xlfn.XLOOKUP(Table1[[#This Row],[EnvironmentSatisfaction]],Table9[EnvironmentSatisfaction],Table9[Deskripsi])</f>
        <v>Very High</v>
      </c>
      <c r="S1042" t="str">
        <f>_xlfn.XLOOKUP(Table1[[#This Row],[Gender]],Table10[Gender],Table10[Id_Gender])</f>
        <v>G002</v>
      </c>
      <c r="T1042" t="s">
        <v>46</v>
      </c>
      <c r="U1042">
        <v>55</v>
      </c>
      <c r="V1042" t="str">
        <f>_xlfn.XLOOKUP(Table1[[#This Row],[JobInvolvement]],Table11[JobInvolvement],Table11[Id_JobInvolvement])</f>
        <v>JI002</v>
      </c>
      <c r="W1042">
        <v>2</v>
      </c>
      <c r="X1042" t="str">
        <f>_xlfn.XLOOKUP(Table1[[#This Row],[JobLevel]],Table12[JobLevel],Table12[Id_JobLevel])</f>
        <v>JL003</v>
      </c>
      <c r="Y1042">
        <v>3</v>
      </c>
      <c r="Z1042" t="str">
        <f>_xlfn.XLOOKUP(Table1[[#This Row],[JobRole]],Table13[JobRole],Table13[Id_JobRole])</f>
        <v>JR008</v>
      </c>
      <c r="AA1042" t="s">
        <v>54</v>
      </c>
      <c r="AB1042" t="str">
        <f>_xlfn.XLOOKUP(Table1[[#This Row],[JobSatisfaction]],Table14[JobSatisfaction],Table14[Id_JobSatisfaction])</f>
        <v>JS002</v>
      </c>
      <c r="AC1042">
        <v>2</v>
      </c>
      <c r="AD1042" t="str">
        <f>_xlfn.XLOOKUP(Table1[[#This Row],[JobSatisfaction]],Table14[JobSatisfaction],Table14[Deskripsi])</f>
        <v>Medium</v>
      </c>
      <c r="AE1042" t="str">
        <f>_xlfn.XLOOKUP(Table1[[#This Row],[MaritalStatus]],Table15[MaritalStatus],Table15[Id_MaritalStatus])</f>
        <v>MS003</v>
      </c>
      <c r="AF1042" t="s">
        <v>57</v>
      </c>
      <c r="AG1042">
        <v>13757</v>
      </c>
      <c r="AH1042">
        <v>25178</v>
      </c>
      <c r="AI1042">
        <v>2</v>
      </c>
      <c r="AJ1042" t="str">
        <f>_xlfn.XLOOKUP(Table1[[#This Row],[OverTime]],Table16[OverTime],Table16[Id_OverTime])</f>
        <v>OT002</v>
      </c>
      <c r="AK1042" t="s">
        <v>33</v>
      </c>
      <c r="AL1042">
        <v>11</v>
      </c>
      <c r="AM1042" t="str">
        <f>_xlfn.XLOOKUP(Table1[[#This Row],[PerformanceRating]],Table17[PerformanceRating],Table17[Id_PerformanceRating])</f>
        <v>PR003</v>
      </c>
      <c r="AN1042">
        <v>3</v>
      </c>
      <c r="AO1042" t="str">
        <f>_xlfn.XLOOKUP(Table1[[#This Row],[PerformanceRating]],Table17[PerformanceRating],Table17[Deskripsi])</f>
        <v>Excellent</v>
      </c>
      <c r="AP1042" t="str">
        <f>_xlfn.XLOOKUP(Table1[[#This Row],[RelationshipSatisfaction]],Table18[RelationshipSatisfaction],Table18[Id_RelationshipSatisfaction])</f>
        <v>RS003</v>
      </c>
      <c r="AQ1042">
        <v>3</v>
      </c>
      <c r="AR1042" t="str">
        <f>_xlfn.XLOOKUP(Table1[[#This Row],[RelationshipSatisfaction]],Table18[RelationshipSatisfaction],Table18[Deskripsi])</f>
        <v>High</v>
      </c>
      <c r="AS1042" t="str">
        <f>_xlfn.XLOOKUP(Table1[[#This Row],[StockOptionLevel]],Table19[StockOptionLevel],Table19[Id_StockOptionLevel])</f>
        <v>SOL002</v>
      </c>
      <c r="AT1042">
        <v>1</v>
      </c>
      <c r="AU1042" t="str">
        <f>_xlfn.XLOOKUP(Table1[[#This Row],[StockOptionLevel]],Table19[StockOptionLevel],Table19[Deskripsi])</f>
        <v>Standard</v>
      </c>
      <c r="AV1042">
        <v>16</v>
      </c>
      <c r="AW1042">
        <v>5</v>
      </c>
      <c r="AX1042" t="str">
        <f>_xlfn.XLOOKUP(Table1[[#This Row],[WorkLifeBalance]],Table20[WorkLifeBalance],Table20[Id_WorkLifeBalance])</f>
        <v>WLB002</v>
      </c>
      <c r="AY1042">
        <v>3</v>
      </c>
      <c r="AZ1042" t="str">
        <f>_xlfn.XLOOKUP(Table1[[#This Row],[WorkLifeBalance]],Table20[WorkLifeBalance],Table20[Deskripsi])</f>
        <v>Good</v>
      </c>
      <c r="BA1042">
        <v>9</v>
      </c>
      <c r="BB1042">
        <v>8</v>
      </c>
      <c r="BC1042">
        <v>4</v>
      </c>
      <c r="BD1042">
        <v>8</v>
      </c>
    </row>
    <row r="1043" spans="1:56" x14ac:dyDescent="0.25">
      <c r="A1043">
        <v>28</v>
      </c>
      <c r="B1043" t="str">
        <f>_xlfn.XLOOKUP(Table1[[#This Row],[Attrition]],Table2[Attrition],Table2[Id_Attrition])</f>
        <v>A002</v>
      </c>
      <c r="C1043" t="s">
        <v>33</v>
      </c>
      <c r="D1043" t="str">
        <f>_xlfn.XLOOKUP(Table1[[#This Row],[BusinessTravel]],Table5[BusinessTravel],Table5[Id_BusinessTravel])</f>
        <v>BS001</v>
      </c>
      <c r="E1043" t="s">
        <v>34</v>
      </c>
      <c r="F1043">
        <v>866</v>
      </c>
      <c r="G1043" t="str">
        <f>_xlfn.XLOOKUP(Table1[[#This Row],[Department]],Table6[Department],Table6[Id_Departement])</f>
        <v>D001</v>
      </c>
      <c r="H1043" t="s">
        <v>37</v>
      </c>
      <c r="I1043">
        <v>5</v>
      </c>
      <c r="J1043" t="str">
        <f>_xlfn.XLOOKUP(Table1[[#This Row],[Education]],Table8[Education],Table8[Id_Education])</f>
        <v>E003</v>
      </c>
      <c r="K1043">
        <v>3</v>
      </c>
      <c r="L1043" t="str">
        <f>_xlfn.XLOOKUP(Table1[[#This Row],[EducationField]],Table7[EducationField],Table7[Id_EducationField])</f>
        <v>EF003</v>
      </c>
      <c r="M1043" t="s">
        <v>42</v>
      </c>
      <c r="N1043" t="str">
        <f>_xlfn.XLOOKUP(Table1[[#This Row],[EmployeeNumber]],Table4[EmployeeNumber],Table4[Id_Employee])</f>
        <v>EMP01042</v>
      </c>
      <c r="O1043">
        <v>1469</v>
      </c>
      <c r="P1043" t="str">
        <f>_xlfn.XLOOKUP(Table1[[#This Row],[EnvironmentSatisfaction]],Table9[EnvironmentSatisfaction],Table9[Id_EnviromentSatisfaction])</f>
        <v>ES004</v>
      </c>
      <c r="Q1043">
        <v>4</v>
      </c>
      <c r="R1043" t="str">
        <f>_xlfn.XLOOKUP(Table1[[#This Row],[EnvironmentSatisfaction]],Table9[EnvironmentSatisfaction],Table9[Deskripsi])</f>
        <v>Very High</v>
      </c>
      <c r="S1043" t="str">
        <f>_xlfn.XLOOKUP(Table1[[#This Row],[Gender]],Table10[Gender],Table10[Id_Gender])</f>
        <v>G002</v>
      </c>
      <c r="T1043" t="s">
        <v>46</v>
      </c>
      <c r="U1043">
        <v>84</v>
      </c>
      <c r="V1043" t="str">
        <f>_xlfn.XLOOKUP(Table1[[#This Row],[JobInvolvement]],Table11[JobInvolvement],Table11[Id_JobInvolvement])</f>
        <v>JI003</v>
      </c>
      <c r="W1043">
        <v>3</v>
      </c>
      <c r="X1043" t="str">
        <f>_xlfn.XLOOKUP(Table1[[#This Row],[JobLevel]],Table12[JobLevel],Table12[Id_JobLevel])</f>
        <v>JL002</v>
      </c>
      <c r="Y1043">
        <v>2</v>
      </c>
      <c r="Z1043" t="str">
        <f>_xlfn.XLOOKUP(Table1[[#This Row],[JobRole]],Table13[JobRole],Table13[Id_JobRole])</f>
        <v>JR001</v>
      </c>
      <c r="AA1043" t="s">
        <v>47</v>
      </c>
      <c r="AB1043" t="str">
        <f>_xlfn.XLOOKUP(Table1[[#This Row],[JobSatisfaction]],Table14[JobSatisfaction],Table14[Id_JobSatisfaction])</f>
        <v>JS001</v>
      </c>
      <c r="AC1043">
        <v>1</v>
      </c>
      <c r="AD1043" t="str">
        <f>_xlfn.XLOOKUP(Table1[[#This Row],[JobSatisfaction]],Table14[JobSatisfaction],Table14[Deskripsi])</f>
        <v>Low</v>
      </c>
      <c r="AE1043" t="str">
        <f>_xlfn.XLOOKUP(Table1[[#This Row],[MaritalStatus]],Table15[MaritalStatus],Table15[Id_MaritalStatus])</f>
        <v>MS001</v>
      </c>
      <c r="AF1043" t="s">
        <v>55</v>
      </c>
      <c r="AG1043">
        <v>8463</v>
      </c>
      <c r="AH1043">
        <v>23490</v>
      </c>
      <c r="AI1043">
        <v>0</v>
      </c>
      <c r="AJ1043" t="str">
        <f>_xlfn.XLOOKUP(Table1[[#This Row],[OverTime]],Table16[OverTime],Table16[Id_OverTime])</f>
        <v>OT002</v>
      </c>
      <c r="AK1043" t="s">
        <v>33</v>
      </c>
      <c r="AL1043">
        <v>18</v>
      </c>
      <c r="AM1043" t="str">
        <f>_xlfn.XLOOKUP(Table1[[#This Row],[PerformanceRating]],Table17[PerformanceRating],Table17[Id_PerformanceRating])</f>
        <v>PR003</v>
      </c>
      <c r="AN1043">
        <v>3</v>
      </c>
      <c r="AO1043" t="str">
        <f>_xlfn.XLOOKUP(Table1[[#This Row],[PerformanceRating]],Table17[PerformanceRating],Table17[Deskripsi])</f>
        <v>Excellent</v>
      </c>
      <c r="AP1043" t="str">
        <f>_xlfn.XLOOKUP(Table1[[#This Row],[RelationshipSatisfaction]],Table18[RelationshipSatisfaction],Table18[Id_RelationshipSatisfaction])</f>
        <v>RS004</v>
      </c>
      <c r="AQ1043">
        <v>4</v>
      </c>
      <c r="AR1043" t="str">
        <f>_xlfn.XLOOKUP(Table1[[#This Row],[RelationshipSatisfaction]],Table18[RelationshipSatisfaction],Table18[Deskripsi])</f>
        <v>Very High</v>
      </c>
      <c r="AS1043" t="str">
        <f>_xlfn.XLOOKUP(Table1[[#This Row],[StockOptionLevel]],Table19[StockOptionLevel],Table19[Id_StockOptionLevel])</f>
        <v>SOL001</v>
      </c>
      <c r="AT1043">
        <v>0</v>
      </c>
      <c r="AU1043" t="str">
        <f>_xlfn.XLOOKUP(Table1[[#This Row],[StockOptionLevel]],Table19[StockOptionLevel],Table19[Deskripsi])</f>
        <v>Non-Eligible</v>
      </c>
      <c r="AV1043">
        <v>6</v>
      </c>
      <c r="AW1043">
        <v>4</v>
      </c>
      <c r="AX1043" t="str">
        <f>_xlfn.XLOOKUP(Table1[[#This Row],[WorkLifeBalance]],Table20[WorkLifeBalance],Table20[Id_WorkLifeBalance])</f>
        <v>WLB002</v>
      </c>
      <c r="AY1043">
        <v>3</v>
      </c>
      <c r="AZ1043" t="str">
        <f>_xlfn.XLOOKUP(Table1[[#This Row],[WorkLifeBalance]],Table20[WorkLifeBalance],Table20[Deskripsi])</f>
        <v>Good</v>
      </c>
      <c r="BA1043">
        <v>5</v>
      </c>
      <c r="BB1043">
        <v>4</v>
      </c>
      <c r="BC1043">
        <v>1</v>
      </c>
      <c r="BD1043">
        <v>3</v>
      </c>
    </row>
    <row r="1044" spans="1:56" x14ac:dyDescent="0.25">
      <c r="A1044">
        <v>44</v>
      </c>
      <c r="B1044" t="str">
        <f>_xlfn.XLOOKUP(Table1[[#This Row],[Attrition]],Table2[Attrition],Table2[Id_Attrition])</f>
        <v>A002</v>
      </c>
      <c r="C1044" t="s">
        <v>33</v>
      </c>
      <c r="D1044" t="str">
        <f>_xlfn.XLOOKUP(Table1[[#This Row],[BusinessTravel]],Table5[BusinessTravel],Table5[Id_BusinessTravel])</f>
        <v>BS003</v>
      </c>
      <c r="E1044" t="s">
        <v>36</v>
      </c>
      <c r="F1044">
        <v>981</v>
      </c>
      <c r="G1044" t="str">
        <f>_xlfn.XLOOKUP(Table1[[#This Row],[Department]],Table6[Department],Table6[Id_Departement])</f>
        <v>D002</v>
      </c>
      <c r="H1044" t="s">
        <v>38</v>
      </c>
      <c r="I1044">
        <v>5</v>
      </c>
      <c r="J1044" t="str">
        <f>_xlfn.XLOOKUP(Table1[[#This Row],[Education]],Table8[Education],Table8[Id_Education])</f>
        <v>E003</v>
      </c>
      <c r="K1044">
        <v>3</v>
      </c>
      <c r="L1044" t="str">
        <f>_xlfn.XLOOKUP(Table1[[#This Row],[EducationField]],Table7[EducationField],Table7[Id_EducationField])</f>
        <v>EF001</v>
      </c>
      <c r="M1044" t="s">
        <v>40</v>
      </c>
      <c r="N1044" t="str">
        <f>_xlfn.XLOOKUP(Table1[[#This Row],[EmployeeNumber]],Table4[EmployeeNumber],Table4[Id_Employee])</f>
        <v>EMP01043</v>
      </c>
      <c r="O1044">
        <v>1471</v>
      </c>
      <c r="P1044" t="str">
        <f>_xlfn.XLOOKUP(Table1[[#This Row],[EnvironmentSatisfaction]],Table9[EnvironmentSatisfaction],Table9[Id_EnviromentSatisfaction])</f>
        <v>ES003</v>
      </c>
      <c r="Q1044">
        <v>3</v>
      </c>
      <c r="R1044" t="str">
        <f>_xlfn.XLOOKUP(Table1[[#This Row],[EnvironmentSatisfaction]],Table9[EnvironmentSatisfaction],Table9[Deskripsi])</f>
        <v>High</v>
      </c>
      <c r="S1044" t="str">
        <f>_xlfn.XLOOKUP(Table1[[#This Row],[Gender]],Table10[Gender],Table10[Id_Gender])</f>
        <v>G002</v>
      </c>
      <c r="T1044" t="s">
        <v>46</v>
      </c>
      <c r="U1044">
        <v>90</v>
      </c>
      <c r="V1044" t="str">
        <f>_xlfn.XLOOKUP(Table1[[#This Row],[JobInvolvement]],Table11[JobInvolvement],Table11[Id_JobInvolvement])</f>
        <v>JI002</v>
      </c>
      <c r="W1044">
        <v>2</v>
      </c>
      <c r="X1044" t="str">
        <f>_xlfn.XLOOKUP(Table1[[#This Row],[JobLevel]],Table12[JobLevel],Table12[Id_JobLevel])</f>
        <v>JL001</v>
      </c>
      <c r="Y1044">
        <v>1</v>
      </c>
      <c r="Z1044" t="str">
        <f>_xlfn.XLOOKUP(Table1[[#This Row],[JobRole]],Table13[JobRole],Table13[Id_JobRole])</f>
        <v>JR003</v>
      </c>
      <c r="AA1044" t="s">
        <v>49</v>
      </c>
      <c r="AB1044" t="str">
        <f>_xlfn.XLOOKUP(Table1[[#This Row],[JobSatisfaction]],Table14[JobSatisfaction],Table14[Id_JobSatisfaction])</f>
        <v>JS003</v>
      </c>
      <c r="AC1044">
        <v>3</v>
      </c>
      <c r="AD1044" t="str">
        <f>_xlfn.XLOOKUP(Table1[[#This Row],[JobSatisfaction]],Table14[JobSatisfaction],Table14[Deskripsi])</f>
        <v>High</v>
      </c>
      <c r="AE1044" t="str">
        <f>_xlfn.XLOOKUP(Table1[[#This Row],[MaritalStatus]],Table15[MaritalStatus],Table15[Id_MaritalStatus])</f>
        <v>MS001</v>
      </c>
      <c r="AF1044" t="s">
        <v>55</v>
      </c>
      <c r="AG1044">
        <v>3162</v>
      </c>
      <c r="AH1044">
        <v>7973</v>
      </c>
      <c r="AI1044">
        <v>3</v>
      </c>
      <c r="AJ1044" t="str">
        <f>_xlfn.XLOOKUP(Table1[[#This Row],[OverTime]],Table16[OverTime],Table16[Id_OverTime])</f>
        <v>OT002</v>
      </c>
      <c r="AK1044" t="s">
        <v>33</v>
      </c>
      <c r="AL1044">
        <v>14</v>
      </c>
      <c r="AM1044" t="str">
        <f>_xlfn.XLOOKUP(Table1[[#This Row],[PerformanceRating]],Table17[PerformanceRating],Table17[Id_PerformanceRating])</f>
        <v>PR003</v>
      </c>
      <c r="AN1044">
        <v>3</v>
      </c>
      <c r="AO1044" t="str">
        <f>_xlfn.XLOOKUP(Table1[[#This Row],[PerformanceRating]],Table17[PerformanceRating],Table17[Deskripsi])</f>
        <v>Excellent</v>
      </c>
      <c r="AP1044" t="str">
        <f>_xlfn.XLOOKUP(Table1[[#This Row],[RelationshipSatisfaction]],Table18[RelationshipSatisfaction],Table18[Id_RelationshipSatisfaction])</f>
        <v>RS004</v>
      </c>
      <c r="AQ1044">
        <v>4</v>
      </c>
      <c r="AR1044" t="str">
        <f>_xlfn.XLOOKUP(Table1[[#This Row],[RelationshipSatisfaction]],Table18[RelationshipSatisfaction],Table18[Deskripsi])</f>
        <v>Very High</v>
      </c>
      <c r="AS1044" t="str">
        <f>_xlfn.XLOOKUP(Table1[[#This Row],[StockOptionLevel]],Table19[StockOptionLevel],Table19[Id_StockOptionLevel])</f>
        <v>SOL001</v>
      </c>
      <c r="AT1044">
        <v>0</v>
      </c>
      <c r="AU1044" t="str">
        <f>_xlfn.XLOOKUP(Table1[[#This Row],[StockOptionLevel]],Table19[StockOptionLevel],Table19[Deskripsi])</f>
        <v>Non-Eligible</v>
      </c>
      <c r="AV1044">
        <v>7</v>
      </c>
      <c r="AW1044">
        <v>5</v>
      </c>
      <c r="AX1044" t="str">
        <f>_xlfn.XLOOKUP(Table1[[#This Row],[WorkLifeBalance]],Table20[WorkLifeBalance],Table20[Id_WorkLifeBalance])</f>
        <v>WLB002</v>
      </c>
      <c r="AY1044">
        <v>3</v>
      </c>
      <c r="AZ1044" t="str">
        <f>_xlfn.XLOOKUP(Table1[[#This Row],[WorkLifeBalance]],Table20[WorkLifeBalance],Table20[Deskripsi])</f>
        <v>Good</v>
      </c>
      <c r="BA1044">
        <v>5</v>
      </c>
      <c r="BB1044">
        <v>2</v>
      </c>
      <c r="BC1044">
        <v>0</v>
      </c>
      <c r="BD1044">
        <v>3</v>
      </c>
    </row>
    <row r="1045" spans="1:56" x14ac:dyDescent="0.25">
      <c r="A1045">
        <v>53</v>
      </c>
      <c r="B1045" t="str">
        <f>_xlfn.XLOOKUP(Table1[[#This Row],[Attrition]],Table2[Attrition],Table2[Id_Attrition])</f>
        <v>A002</v>
      </c>
      <c r="C1045" t="s">
        <v>33</v>
      </c>
      <c r="D1045" t="str">
        <f>_xlfn.XLOOKUP(Table1[[#This Row],[BusinessTravel]],Table5[BusinessTravel],Table5[Id_BusinessTravel])</f>
        <v>BS001</v>
      </c>
      <c r="E1045" t="s">
        <v>34</v>
      </c>
      <c r="F1045">
        <v>447</v>
      </c>
      <c r="G1045" t="str">
        <f>_xlfn.XLOOKUP(Table1[[#This Row],[Department]],Table6[Department],Table6[Id_Departement])</f>
        <v>D002</v>
      </c>
      <c r="H1045" t="s">
        <v>38</v>
      </c>
      <c r="I1045">
        <v>2</v>
      </c>
      <c r="J1045" t="str">
        <f>_xlfn.XLOOKUP(Table1[[#This Row],[Education]],Table8[Education],Table8[Id_Education])</f>
        <v>E003</v>
      </c>
      <c r="K1045">
        <v>3</v>
      </c>
      <c r="L1045" t="str">
        <f>_xlfn.XLOOKUP(Table1[[#This Row],[EducationField]],Table7[EducationField],Table7[Id_EducationField])</f>
        <v>EF003</v>
      </c>
      <c r="M1045" t="s">
        <v>42</v>
      </c>
      <c r="N1045" t="str">
        <f>_xlfn.XLOOKUP(Table1[[#This Row],[EmployeeNumber]],Table4[EmployeeNumber],Table4[Id_Employee])</f>
        <v>EMP01044</v>
      </c>
      <c r="O1045">
        <v>1472</v>
      </c>
      <c r="P1045" t="str">
        <f>_xlfn.XLOOKUP(Table1[[#This Row],[EnvironmentSatisfaction]],Table9[EnvironmentSatisfaction],Table9[Id_EnviromentSatisfaction])</f>
        <v>ES004</v>
      </c>
      <c r="Q1045">
        <v>4</v>
      </c>
      <c r="R1045" t="str">
        <f>_xlfn.XLOOKUP(Table1[[#This Row],[EnvironmentSatisfaction]],Table9[EnvironmentSatisfaction],Table9[Deskripsi])</f>
        <v>Very High</v>
      </c>
      <c r="S1045" t="str">
        <f>_xlfn.XLOOKUP(Table1[[#This Row],[Gender]],Table10[Gender],Table10[Id_Gender])</f>
        <v>G002</v>
      </c>
      <c r="T1045" t="s">
        <v>46</v>
      </c>
      <c r="U1045">
        <v>39</v>
      </c>
      <c r="V1045" t="str">
        <f>_xlfn.XLOOKUP(Table1[[#This Row],[JobInvolvement]],Table11[JobInvolvement],Table11[Id_JobInvolvement])</f>
        <v>JI004</v>
      </c>
      <c r="W1045">
        <v>4</v>
      </c>
      <c r="X1045" t="str">
        <f>_xlfn.XLOOKUP(Table1[[#This Row],[JobLevel]],Table12[JobLevel],Table12[Id_JobLevel])</f>
        <v>JL004</v>
      </c>
      <c r="Y1045">
        <v>4</v>
      </c>
      <c r="Z1045" t="str">
        <f>_xlfn.XLOOKUP(Table1[[#This Row],[JobRole]],Table13[JobRole],Table13[Id_JobRole])</f>
        <v>JR008</v>
      </c>
      <c r="AA1045" t="s">
        <v>54</v>
      </c>
      <c r="AB1045" t="str">
        <f>_xlfn.XLOOKUP(Table1[[#This Row],[JobSatisfaction]],Table14[JobSatisfaction],Table14[Id_JobSatisfaction])</f>
        <v>JS002</v>
      </c>
      <c r="AC1045">
        <v>2</v>
      </c>
      <c r="AD1045" t="str">
        <f>_xlfn.XLOOKUP(Table1[[#This Row],[JobSatisfaction]],Table14[JobSatisfaction],Table14[Deskripsi])</f>
        <v>Medium</v>
      </c>
      <c r="AE1045" t="str">
        <f>_xlfn.XLOOKUP(Table1[[#This Row],[MaritalStatus]],Table15[MaritalStatus],Table15[Id_MaritalStatus])</f>
        <v>MS001</v>
      </c>
      <c r="AF1045" t="s">
        <v>55</v>
      </c>
      <c r="AG1045">
        <v>16598</v>
      </c>
      <c r="AH1045">
        <v>19764</v>
      </c>
      <c r="AI1045">
        <v>4</v>
      </c>
      <c r="AJ1045" t="str">
        <f>_xlfn.XLOOKUP(Table1[[#This Row],[OverTime]],Table16[OverTime],Table16[Id_OverTime])</f>
        <v>OT002</v>
      </c>
      <c r="AK1045" t="s">
        <v>33</v>
      </c>
      <c r="AL1045">
        <v>12</v>
      </c>
      <c r="AM1045" t="str">
        <f>_xlfn.XLOOKUP(Table1[[#This Row],[PerformanceRating]],Table17[PerformanceRating],Table17[Id_PerformanceRating])</f>
        <v>PR003</v>
      </c>
      <c r="AN1045">
        <v>3</v>
      </c>
      <c r="AO1045" t="str">
        <f>_xlfn.XLOOKUP(Table1[[#This Row],[PerformanceRating]],Table17[PerformanceRating],Table17[Deskripsi])</f>
        <v>Excellent</v>
      </c>
      <c r="AP1045" t="str">
        <f>_xlfn.XLOOKUP(Table1[[#This Row],[RelationshipSatisfaction]],Table18[RelationshipSatisfaction],Table18[Id_RelationshipSatisfaction])</f>
        <v>RS002</v>
      </c>
      <c r="AQ1045">
        <v>2</v>
      </c>
      <c r="AR1045" t="str">
        <f>_xlfn.XLOOKUP(Table1[[#This Row],[RelationshipSatisfaction]],Table18[RelationshipSatisfaction],Table18[Deskripsi])</f>
        <v>Medium</v>
      </c>
      <c r="AS1045" t="str">
        <f>_xlfn.XLOOKUP(Table1[[#This Row],[StockOptionLevel]],Table19[StockOptionLevel],Table19[Id_StockOptionLevel])</f>
        <v>SOL001</v>
      </c>
      <c r="AT1045">
        <v>0</v>
      </c>
      <c r="AU1045" t="str">
        <f>_xlfn.XLOOKUP(Table1[[#This Row],[StockOptionLevel]],Table19[StockOptionLevel],Table19[Deskripsi])</f>
        <v>Non-Eligible</v>
      </c>
      <c r="AV1045">
        <v>35</v>
      </c>
      <c r="AW1045">
        <v>2</v>
      </c>
      <c r="AX1045" t="str">
        <f>_xlfn.XLOOKUP(Table1[[#This Row],[WorkLifeBalance]],Table20[WorkLifeBalance],Table20[Id_WorkLifeBalance])</f>
        <v>WLB003</v>
      </c>
      <c r="AY1045">
        <v>2</v>
      </c>
      <c r="AZ1045" t="str">
        <f>_xlfn.XLOOKUP(Table1[[#This Row],[WorkLifeBalance]],Table20[WorkLifeBalance],Table20[Deskripsi])</f>
        <v>Better</v>
      </c>
      <c r="BA1045">
        <v>9</v>
      </c>
      <c r="BB1045">
        <v>8</v>
      </c>
      <c r="BC1045">
        <v>8</v>
      </c>
      <c r="BD1045">
        <v>8</v>
      </c>
    </row>
    <row r="1046" spans="1:56" x14ac:dyDescent="0.25">
      <c r="A1046">
        <v>49</v>
      </c>
      <c r="B1046" t="str">
        <f>_xlfn.XLOOKUP(Table1[[#This Row],[Attrition]],Table2[Attrition],Table2[Id_Attrition])</f>
        <v>A002</v>
      </c>
      <c r="C1046" t="s">
        <v>33</v>
      </c>
      <c r="D1046" t="str">
        <f>_xlfn.XLOOKUP(Table1[[#This Row],[BusinessTravel]],Table5[BusinessTravel],Table5[Id_BusinessTravel])</f>
        <v>BS001</v>
      </c>
      <c r="E1046" t="s">
        <v>34</v>
      </c>
      <c r="F1046">
        <v>1495</v>
      </c>
      <c r="G1046" t="str">
        <f>_xlfn.XLOOKUP(Table1[[#This Row],[Department]],Table6[Department],Table6[Id_Departement])</f>
        <v>D002</v>
      </c>
      <c r="H1046" t="s">
        <v>38</v>
      </c>
      <c r="I1046">
        <v>5</v>
      </c>
      <c r="J1046" t="str">
        <f>_xlfn.XLOOKUP(Table1[[#This Row],[Education]],Table8[Education],Table8[Id_Education])</f>
        <v>E004</v>
      </c>
      <c r="K1046">
        <v>4</v>
      </c>
      <c r="L1046" t="str">
        <f>_xlfn.XLOOKUP(Table1[[#This Row],[EducationField]],Table7[EducationField],Table7[Id_EducationField])</f>
        <v>EF005</v>
      </c>
      <c r="M1046" t="s">
        <v>44</v>
      </c>
      <c r="N1046" t="str">
        <f>_xlfn.XLOOKUP(Table1[[#This Row],[EmployeeNumber]],Table4[EmployeeNumber],Table4[Id_Employee])</f>
        <v>EMP01045</v>
      </c>
      <c r="O1046">
        <v>1473</v>
      </c>
      <c r="P1046" t="str">
        <f>_xlfn.XLOOKUP(Table1[[#This Row],[EnvironmentSatisfaction]],Table9[EnvironmentSatisfaction],Table9[Id_EnviromentSatisfaction])</f>
        <v>ES001</v>
      </c>
      <c r="Q1046">
        <v>1</v>
      </c>
      <c r="R1046" t="str">
        <f>_xlfn.XLOOKUP(Table1[[#This Row],[EnvironmentSatisfaction]],Table9[EnvironmentSatisfaction],Table9[Deskripsi])</f>
        <v>Low</v>
      </c>
      <c r="S1046" t="str">
        <f>_xlfn.XLOOKUP(Table1[[#This Row],[Gender]],Table10[Gender],Table10[Id_Gender])</f>
        <v>G002</v>
      </c>
      <c r="T1046" t="s">
        <v>46</v>
      </c>
      <c r="U1046">
        <v>96</v>
      </c>
      <c r="V1046" t="str">
        <f>_xlfn.XLOOKUP(Table1[[#This Row],[JobInvolvement]],Table11[JobInvolvement],Table11[Id_JobInvolvement])</f>
        <v>JI003</v>
      </c>
      <c r="W1046">
        <v>3</v>
      </c>
      <c r="X1046" t="str">
        <f>_xlfn.XLOOKUP(Table1[[#This Row],[JobLevel]],Table12[JobLevel],Table12[Id_JobLevel])</f>
        <v>JL002</v>
      </c>
      <c r="Y1046">
        <v>2</v>
      </c>
      <c r="Z1046" t="str">
        <f>_xlfn.XLOOKUP(Table1[[#This Row],[JobRole]],Table13[JobRole],Table13[Id_JobRole])</f>
        <v>JR005</v>
      </c>
      <c r="AA1046" t="s">
        <v>51</v>
      </c>
      <c r="AB1046" t="str">
        <f>_xlfn.XLOOKUP(Table1[[#This Row],[JobSatisfaction]],Table14[JobSatisfaction],Table14[Id_JobSatisfaction])</f>
        <v>JS003</v>
      </c>
      <c r="AC1046">
        <v>3</v>
      </c>
      <c r="AD1046" t="str">
        <f>_xlfn.XLOOKUP(Table1[[#This Row],[JobSatisfaction]],Table14[JobSatisfaction],Table14[Deskripsi])</f>
        <v>High</v>
      </c>
      <c r="AE1046" t="str">
        <f>_xlfn.XLOOKUP(Table1[[#This Row],[MaritalStatus]],Table15[MaritalStatus],Table15[Id_MaritalStatus])</f>
        <v>MS002</v>
      </c>
      <c r="AF1046" t="s">
        <v>56</v>
      </c>
      <c r="AG1046">
        <v>6651</v>
      </c>
      <c r="AH1046">
        <v>21534</v>
      </c>
      <c r="AI1046">
        <v>2</v>
      </c>
      <c r="AJ1046" t="str">
        <f>_xlfn.XLOOKUP(Table1[[#This Row],[OverTime]],Table16[OverTime],Table16[Id_OverTime])</f>
        <v>OT002</v>
      </c>
      <c r="AK1046" t="s">
        <v>33</v>
      </c>
      <c r="AL1046">
        <v>14</v>
      </c>
      <c r="AM1046" t="str">
        <f>_xlfn.XLOOKUP(Table1[[#This Row],[PerformanceRating]],Table17[PerformanceRating],Table17[Id_PerformanceRating])</f>
        <v>PR003</v>
      </c>
      <c r="AN1046">
        <v>3</v>
      </c>
      <c r="AO1046" t="str">
        <f>_xlfn.XLOOKUP(Table1[[#This Row],[PerformanceRating]],Table17[PerformanceRating],Table17[Deskripsi])</f>
        <v>Excellent</v>
      </c>
      <c r="AP1046" t="str">
        <f>_xlfn.XLOOKUP(Table1[[#This Row],[RelationshipSatisfaction]],Table18[RelationshipSatisfaction],Table18[Id_RelationshipSatisfaction])</f>
        <v>RS002</v>
      </c>
      <c r="AQ1046">
        <v>2</v>
      </c>
      <c r="AR1046" t="str">
        <f>_xlfn.XLOOKUP(Table1[[#This Row],[RelationshipSatisfaction]],Table18[RelationshipSatisfaction],Table18[Deskripsi])</f>
        <v>Medium</v>
      </c>
      <c r="AS1046" t="str">
        <f>_xlfn.XLOOKUP(Table1[[#This Row],[StockOptionLevel]],Table19[StockOptionLevel],Table19[Id_StockOptionLevel])</f>
        <v>SOL002</v>
      </c>
      <c r="AT1046">
        <v>1</v>
      </c>
      <c r="AU1046" t="str">
        <f>_xlfn.XLOOKUP(Table1[[#This Row],[StockOptionLevel]],Table19[StockOptionLevel],Table19[Deskripsi])</f>
        <v>Standard</v>
      </c>
      <c r="AV1046">
        <v>20</v>
      </c>
      <c r="AW1046">
        <v>0</v>
      </c>
      <c r="AX1046" t="str">
        <f>_xlfn.XLOOKUP(Table1[[#This Row],[WorkLifeBalance]],Table20[WorkLifeBalance],Table20[Id_WorkLifeBalance])</f>
        <v>WLB003</v>
      </c>
      <c r="AY1046">
        <v>2</v>
      </c>
      <c r="AZ1046" t="str">
        <f>_xlfn.XLOOKUP(Table1[[#This Row],[WorkLifeBalance]],Table20[WorkLifeBalance],Table20[Deskripsi])</f>
        <v>Better</v>
      </c>
      <c r="BA1046">
        <v>3</v>
      </c>
      <c r="BB1046">
        <v>2</v>
      </c>
      <c r="BC1046">
        <v>1</v>
      </c>
      <c r="BD1046">
        <v>2</v>
      </c>
    </row>
    <row r="1047" spans="1:56" x14ac:dyDescent="0.25">
      <c r="A1047">
        <v>40</v>
      </c>
      <c r="B1047" t="str">
        <f>_xlfn.XLOOKUP(Table1[[#This Row],[Attrition]],Table2[Attrition],Table2[Id_Attrition])</f>
        <v>A002</v>
      </c>
      <c r="C1047" t="s">
        <v>33</v>
      </c>
      <c r="D1047" t="str">
        <f>_xlfn.XLOOKUP(Table1[[#This Row],[BusinessTravel]],Table5[BusinessTravel],Table5[Id_BusinessTravel])</f>
        <v>BS001</v>
      </c>
      <c r="E1047" t="s">
        <v>34</v>
      </c>
      <c r="F1047">
        <v>896</v>
      </c>
      <c r="G1047" t="str">
        <f>_xlfn.XLOOKUP(Table1[[#This Row],[Department]],Table6[Department],Table6[Id_Departement])</f>
        <v>D002</v>
      </c>
      <c r="H1047" t="s">
        <v>38</v>
      </c>
      <c r="I1047">
        <v>2</v>
      </c>
      <c r="J1047" t="str">
        <f>_xlfn.XLOOKUP(Table1[[#This Row],[Education]],Table8[Education],Table8[Id_Education])</f>
        <v>E003</v>
      </c>
      <c r="K1047">
        <v>3</v>
      </c>
      <c r="L1047" t="str">
        <f>_xlfn.XLOOKUP(Table1[[#This Row],[EducationField]],Table7[EducationField],Table7[Id_EducationField])</f>
        <v>EF003</v>
      </c>
      <c r="M1047" t="s">
        <v>42</v>
      </c>
      <c r="N1047" t="str">
        <f>_xlfn.XLOOKUP(Table1[[#This Row],[EmployeeNumber]],Table4[EmployeeNumber],Table4[Id_Employee])</f>
        <v>EMP01046</v>
      </c>
      <c r="O1047">
        <v>1474</v>
      </c>
      <c r="P1047" t="str">
        <f>_xlfn.XLOOKUP(Table1[[#This Row],[EnvironmentSatisfaction]],Table9[EnvironmentSatisfaction],Table9[Id_EnviromentSatisfaction])</f>
        <v>ES003</v>
      </c>
      <c r="Q1047">
        <v>3</v>
      </c>
      <c r="R1047" t="str">
        <f>_xlfn.XLOOKUP(Table1[[#This Row],[EnvironmentSatisfaction]],Table9[EnvironmentSatisfaction],Table9[Deskripsi])</f>
        <v>High</v>
      </c>
      <c r="S1047" t="str">
        <f>_xlfn.XLOOKUP(Table1[[#This Row],[Gender]],Table10[Gender],Table10[Id_Gender])</f>
        <v>G002</v>
      </c>
      <c r="T1047" t="s">
        <v>46</v>
      </c>
      <c r="U1047">
        <v>68</v>
      </c>
      <c r="V1047" t="str">
        <f>_xlfn.XLOOKUP(Table1[[#This Row],[JobInvolvement]],Table11[JobInvolvement],Table11[Id_JobInvolvement])</f>
        <v>JI003</v>
      </c>
      <c r="W1047">
        <v>3</v>
      </c>
      <c r="X1047" t="str">
        <f>_xlfn.XLOOKUP(Table1[[#This Row],[JobLevel]],Table12[JobLevel],Table12[Id_JobLevel])</f>
        <v>JL001</v>
      </c>
      <c r="Y1047">
        <v>1</v>
      </c>
      <c r="Z1047" t="str">
        <f>_xlfn.XLOOKUP(Table1[[#This Row],[JobRole]],Table13[JobRole],Table13[Id_JobRole])</f>
        <v>JR002</v>
      </c>
      <c r="AA1047" t="s">
        <v>48</v>
      </c>
      <c r="AB1047" t="str">
        <f>_xlfn.XLOOKUP(Table1[[#This Row],[JobSatisfaction]],Table14[JobSatisfaction],Table14[Id_JobSatisfaction])</f>
        <v>JS003</v>
      </c>
      <c r="AC1047">
        <v>3</v>
      </c>
      <c r="AD1047" t="str">
        <f>_xlfn.XLOOKUP(Table1[[#This Row],[JobSatisfaction]],Table14[JobSatisfaction],Table14[Deskripsi])</f>
        <v>High</v>
      </c>
      <c r="AE1047" t="str">
        <f>_xlfn.XLOOKUP(Table1[[#This Row],[MaritalStatus]],Table15[MaritalStatus],Table15[Id_MaritalStatus])</f>
        <v>MS003</v>
      </c>
      <c r="AF1047" t="s">
        <v>57</v>
      </c>
      <c r="AG1047">
        <v>2345</v>
      </c>
      <c r="AH1047">
        <v>8045</v>
      </c>
      <c r="AI1047">
        <v>2</v>
      </c>
      <c r="AJ1047" t="str">
        <f>_xlfn.XLOOKUP(Table1[[#This Row],[OverTime]],Table16[OverTime],Table16[Id_OverTime])</f>
        <v>OT002</v>
      </c>
      <c r="AK1047" t="s">
        <v>33</v>
      </c>
      <c r="AL1047">
        <v>14</v>
      </c>
      <c r="AM1047" t="str">
        <f>_xlfn.XLOOKUP(Table1[[#This Row],[PerformanceRating]],Table17[PerformanceRating],Table17[Id_PerformanceRating])</f>
        <v>PR003</v>
      </c>
      <c r="AN1047">
        <v>3</v>
      </c>
      <c r="AO1047" t="str">
        <f>_xlfn.XLOOKUP(Table1[[#This Row],[PerformanceRating]],Table17[PerformanceRating],Table17[Deskripsi])</f>
        <v>Excellent</v>
      </c>
      <c r="AP1047" t="str">
        <f>_xlfn.XLOOKUP(Table1[[#This Row],[RelationshipSatisfaction]],Table18[RelationshipSatisfaction],Table18[Id_RelationshipSatisfaction])</f>
        <v>RS003</v>
      </c>
      <c r="AQ1047">
        <v>3</v>
      </c>
      <c r="AR1047" t="str">
        <f>_xlfn.XLOOKUP(Table1[[#This Row],[RelationshipSatisfaction]],Table18[RelationshipSatisfaction],Table18[Deskripsi])</f>
        <v>High</v>
      </c>
      <c r="AS1047" t="str">
        <f>_xlfn.XLOOKUP(Table1[[#This Row],[StockOptionLevel]],Table19[StockOptionLevel],Table19[Id_StockOptionLevel])</f>
        <v>SOL002</v>
      </c>
      <c r="AT1047">
        <v>1</v>
      </c>
      <c r="AU1047" t="str">
        <f>_xlfn.XLOOKUP(Table1[[#This Row],[StockOptionLevel]],Table19[StockOptionLevel],Table19[Deskripsi])</f>
        <v>Standard</v>
      </c>
      <c r="AV1047">
        <v>8</v>
      </c>
      <c r="AW1047">
        <v>3</v>
      </c>
      <c r="AX1047" t="str">
        <f>_xlfn.XLOOKUP(Table1[[#This Row],[WorkLifeBalance]],Table20[WorkLifeBalance],Table20[Id_WorkLifeBalance])</f>
        <v>WLB004</v>
      </c>
      <c r="AY1047">
        <v>4</v>
      </c>
      <c r="AZ1047" t="str">
        <f>_xlfn.XLOOKUP(Table1[[#This Row],[WorkLifeBalance]],Table20[WorkLifeBalance],Table20[Deskripsi])</f>
        <v>Best</v>
      </c>
      <c r="BA1047">
        <v>3</v>
      </c>
      <c r="BB1047">
        <v>1</v>
      </c>
      <c r="BC1047">
        <v>1</v>
      </c>
      <c r="BD1047">
        <v>2</v>
      </c>
    </row>
    <row r="1048" spans="1:56" x14ac:dyDescent="0.25">
      <c r="A1048">
        <v>44</v>
      </c>
      <c r="B1048" t="str">
        <f>_xlfn.XLOOKUP(Table1[[#This Row],[Attrition]],Table2[Attrition],Table2[Id_Attrition])</f>
        <v>A002</v>
      </c>
      <c r="C1048" t="s">
        <v>33</v>
      </c>
      <c r="D1048" t="str">
        <f>_xlfn.XLOOKUP(Table1[[#This Row],[BusinessTravel]],Table5[BusinessTravel],Table5[Id_BusinessTravel])</f>
        <v>BS001</v>
      </c>
      <c r="E1048" t="s">
        <v>34</v>
      </c>
      <c r="F1048">
        <v>1467</v>
      </c>
      <c r="G1048" t="str">
        <f>_xlfn.XLOOKUP(Table1[[#This Row],[Department]],Table6[Department],Table6[Id_Departement])</f>
        <v>D002</v>
      </c>
      <c r="H1048" t="s">
        <v>38</v>
      </c>
      <c r="I1048">
        <v>20</v>
      </c>
      <c r="J1048" t="str">
        <f>_xlfn.XLOOKUP(Table1[[#This Row],[Education]],Table8[Education],Table8[Id_Education])</f>
        <v>E003</v>
      </c>
      <c r="K1048">
        <v>3</v>
      </c>
      <c r="L1048" t="str">
        <f>_xlfn.XLOOKUP(Table1[[#This Row],[EducationField]],Table7[EducationField],Table7[Id_EducationField])</f>
        <v>EF001</v>
      </c>
      <c r="M1048" t="s">
        <v>40</v>
      </c>
      <c r="N1048" t="str">
        <f>_xlfn.XLOOKUP(Table1[[#This Row],[EmployeeNumber]],Table4[EmployeeNumber],Table4[Id_Employee])</f>
        <v>EMP01047</v>
      </c>
      <c r="O1048">
        <v>1475</v>
      </c>
      <c r="P1048" t="str">
        <f>_xlfn.XLOOKUP(Table1[[#This Row],[EnvironmentSatisfaction]],Table9[EnvironmentSatisfaction],Table9[Id_EnviromentSatisfaction])</f>
        <v>ES004</v>
      </c>
      <c r="Q1048">
        <v>4</v>
      </c>
      <c r="R1048" t="str">
        <f>_xlfn.XLOOKUP(Table1[[#This Row],[EnvironmentSatisfaction]],Table9[EnvironmentSatisfaction],Table9[Deskripsi])</f>
        <v>Very High</v>
      </c>
      <c r="S1048" t="str">
        <f>_xlfn.XLOOKUP(Table1[[#This Row],[Gender]],Table10[Gender],Table10[Id_Gender])</f>
        <v>G002</v>
      </c>
      <c r="T1048" t="s">
        <v>46</v>
      </c>
      <c r="U1048">
        <v>49</v>
      </c>
      <c r="V1048" t="str">
        <f>_xlfn.XLOOKUP(Table1[[#This Row],[JobInvolvement]],Table11[JobInvolvement],Table11[Id_JobInvolvement])</f>
        <v>JI003</v>
      </c>
      <c r="W1048">
        <v>3</v>
      </c>
      <c r="X1048" t="str">
        <f>_xlfn.XLOOKUP(Table1[[#This Row],[JobLevel]],Table12[JobLevel],Table12[Id_JobLevel])</f>
        <v>JL001</v>
      </c>
      <c r="Y1048">
        <v>1</v>
      </c>
      <c r="Z1048" t="str">
        <f>_xlfn.XLOOKUP(Table1[[#This Row],[JobRole]],Table13[JobRole],Table13[Id_JobRole])</f>
        <v>JR002</v>
      </c>
      <c r="AA1048" t="s">
        <v>48</v>
      </c>
      <c r="AB1048" t="str">
        <f>_xlfn.XLOOKUP(Table1[[#This Row],[JobSatisfaction]],Table14[JobSatisfaction],Table14[Id_JobSatisfaction])</f>
        <v>JS002</v>
      </c>
      <c r="AC1048">
        <v>2</v>
      </c>
      <c r="AD1048" t="str">
        <f>_xlfn.XLOOKUP(Table1[[#This Row],[JobSatisfaction]],Table14[JobSatisfaction],Table14[Deskripsi])</f>
        <v>Medium</v>
      </c>
      <c r="AE1048" t="str">
        <f>_xlfn.XLOOKUP(Table1[[#This Row],[MaritalStatus]],Table15[MaritalStatus],Table15[Id_MaritalStatus])</f>
        <v>MS001</v>
      </c>
      <c r="AF1048" t="s">
        <v>55</v>
      </c>
      <c r="AG1048">
        <v>3420</v>
      </c>
      <c r="AH1048">
        <v>21158</v>
      </c>
      <c r="AI1048">
        <v>1</v>
      </c>
      <c r="AJ1048" t="str">
        <f>_xlfn.XLOOKUP(Table1[[#This Row],[OverTime]],Table16[OverTime],Table16[Id_OverTime])</f>
        <v>OT002</v>
      </c>
      <c r="AK1048" t="s">
        <v>33</v>
      </c>
      <c r="AL1048">
        <v>13</v>
      </c>
      <c r="AM1048" t="str">
        <f>_xlfn.XLOOKUP(Table1[[#This Row],[PerformanceRating]],Table17[PerformanceRating],Table17[Id_PerformanceRating])</f>
        <v>PR003</v>
      </c>
      <c r="AN1048">
        <v>3</v>
      </c>
      <c r="AO1048" t="str">
        <f>_xlfn.XLOOKUP(Table1[[#This Row],[PerformanceRating]],Table17[PerformanceRating],Table17[Deskripsi])</f>
        <v>Excellent</v>
      </c>
      <c r="AP1048" t="str">
        <f>_xlfn.XLOOKUP(Table1[[#This Row],[RelationshipSatisfaction]],Table18[RelationshipSatisfaction],Table18[Id_RelationshipSatisfaction])</f>
        <v>RS003</v>
      </c>
      <c r="AQ1048">
        <v>3</v>
      </c>
      <c r="AR1048" t="str">
        <f>_xlfn.XLOOKUP(Table1[[#This Row],[RelationshipSatisfaction]],Table18[RelationshipSatisfaction],Table18[Deskripsi])</f>
        <v>High</v>
      </c>
      <c r="AS1048" t="str">
        <f>_xlfn.XLOOKUP(Table1[[#This Row],[StockOptionLevel]],Table19[StockOptionLevel],Table19[Id_StockOptionLevel])</f>
        <v>SOL001</v>
      </c>
      <c r="AT1048">
        <v>0</v>
      </c>
      <c r="AU1048" t="str">
        <f>_xlfn.XLOOKUP(Table1[[#This Row],[StockOptionLevel]],Table19[StockOptionLevel],Table19[Deskripsi])</f>
        <v>Non-Eligible</v>
      </c>
      <c r="AV1048">
        <v>6</v>
      </c>
      <c r="AW1048">
        <v>3</v>
      </c>
      <c r="AX1048" t="str">
        <f>_xlfn.XLOOKUP(Table1[[#This Row],[WorkLifeBalance]],Table20[WorkLifeBalance],Table20[Id_WorkLifeBalance])</f>
        <v>WLB003</v>
      </c>
      <c r="AY1048">
        <v>2</v>
      </c>
      <c r="AZ1048" t="str">
        <f>_xlfn.XLOOKUP(Table1[[#This Row],[WorkLifeBalance]],Table20[WorkLifeBalance],Table20[Deskripsi])</f>
        <v>Better</v>
      </c>
      <c r="BA1048">
        <v>5</v>
      </c>
      <c r="BB1048">
        <v>2</v>
      </c>
      <c r="BC1048">
        <v>1</v>
      </c>
      <c r="BD1048">
        <v>3</v>
      </c>
    </row>
    <row r="1049" spans="1:56" x14ac:dyDescent="0.25">
      <c r="A1049">
        <v>33</v>
      </c>
      <c r="B1049" t="str">
        <f>_xlfn.XLOOKUP(Table1[[#This Row],[Attrition]],Table2[Attrition],Table2[Id_Attrition])</f>
        <v>A002</v>
      </c>
      <c r="C1049" t="s">
        <v>33</v>
      </c>
      <c r="D1049" t="str">
        <f>_xlfn.XLOOKUP(Table1[[#This Row],[BusinessTravel]],Table5[BusinessTravel],Table5[Id_BusinessTravel])</f>
        <v>BS002</v>
      </c>
      <c r="E1049" t="s">
        <v>35</v>
      </c>
      <c r="F1049">
        <v>430</v>
      </c>
      <c r="G1049" t="str">
        <f>_xlfn.XLOOKUP(Table1[[#This Row],[Department]],Table6[Department],Table6[Id_Departement])</f>
        <v>D001</v>
      </c>
      <c r="H1049" t="s">
        <v>37</v>
      </c>
      <c r="I1049">
        <v>7</v>
      </c>
      <c r="J1049" t="str">
        <f>_xlfn.XLOOKUP(Table1[[#This Row],[Education]],Table8[Education],Table8[Id_Education])</f>
        <v>E003</v>
      </c>
      <c r="K1049">
        <v>3</v>
      </c>
      <c r="L1049" t="str">
        <f>_xlfn.XLOOKUP(Table1[[#This Row],[EducationField]],Table7[EducationField],Table7[Id_EducationField])</f>
        <v>EF003</v>
      </c>
      <c r="M1049" t="s">
        <v>42</v>
      </c>
      <c r="N1049" t="str">
        <f>_xlfn.XLOOKUP(Table1[[#This Row],[EmployeeNumber]],Table4[EmployeeNumber],Table4[Id_Employee])</f>
        <v>EMP01048</v>
      </c>
      <c r="O1049">
        <v>1477</v>
      </c>
      <c r="P1049" t="str">
        <f>_xlfn.XLOOKUP(Table1[[#This Row],[EnvironmentSatisfaction]],Table9[EnvironmentSatisfaction],Table9[Id_EnviromentSatisfaction])</f>
        <v>ES004</v>
      </c>
      <c r="Q1049">
        <v>4</v>
      </c>
      <c r="R1049" t="str">
        <f>_xlfn.XLOOKUP(Table1[[#This Row],[EnvironmentSatisfaction]],Table9[EnvironmentSatisfaction],Table9[Deskripsi])</f>
        <v>Very High</v>
      </c>
      <c r="S1049" t="str">
        <f>_xlfn.XLOOKUP(Table1[[#This Row],[Gender]],Table10[Gender],Table10[Id_Gender])</f>
        <v>G002</v>
      </c>
      <c r="T1049" t="s">
        <v>46</v>
      </c>
      <c r="U1049">
        <v>54</v>
      </c>
      <c r="V1049" t="str">
        <f>_xlfn.XLOOKUP(Table1[[#This Row],[JobInvolvement]],Table11[JobInvolvement],Table11[Id_JobInvolvement])</f>
        <v>JI003</v>
      </c>
      <c r="W1049">
        <v>3</v>
      </c>
      <c r="X1049" t="str">
        <f>_xlfn.XLOOKUP(Table1[[#This Row],[JobLevel]],Table12[JobLevel],Table12[Id_JobLevel])</f>
        <v>JL002</v>
      </c>
      <c r="Y1049">
        <v>2</v>
      </c>
      <c r="Z1049" t="str">
        <f>_xlfn.XLOOKUP(Table1[[#This Row],[JobRole]],Table13[JobRole],Table13[Id_JobRole])</f>
        <v>JR001</v>
      </c>
      <c r="AA1049" t="s">
        <v>47</v>
      </c>
      <c r="AB1049" t="str">
        <f>_xlfn.XLOOKUP(Table1[[#This Row],[JobSatisfaction]],Table14[JobSatisfaction],Table14[Id_JobSatisfaction])</f>
        <v>JS001</v>
      </c>
      <c r="AC1049">
        <v>1</v>
      </c>
      <c r="AD1049" t="str">
        <f>_xlfn.XLOOKUP(Table1[[#This Row],[JobSatisfaction]],Table14[JobSatisfaction],Table14[Deskripsi])</f>
        <v>Low</v>
      </c>
      <c r="AE1049" t="str">
        <f>_xlfn.XLOOKUP(Table1[[#This Row],[MaritalStatus]],Table15[MaritalStatus],Table15[Id_MaritalStatus])</f>
        <v>MS002</v>
      </c>
      <c r="AF1049" t="s">
        <v>56</v>
      </c>
      <c r="AG1049">
        <v>4373</v>
      </c>
      <c r="AH1049">
        <v>17456</v>
      </c>
      <c r="AI1049">
        <v>0</v>
      </c>
      <c r="AJ1049" t="str">
        <f>_xlfn.XLOOKUP(Table1[[#This Row],[OverTime]],Table16[OverTime],Table16[Id_OverTime])</f>
        <v>OT002</v>
      </c>
      <c r="AK1049" t="s">
        <v>33</v>
      </c>
      <c r="AL1049">
        <v>14</v>
      </c>
      <c r="AM1049" t="str">
        <f>_xlfn.XLOOKUP(Table1[[#This Row],[PerformanceRating]],Table17[PerformanceRating],Table17[Id_PerformanceRating])</f>
        <v>PR003</v>
      </c>
      <c r="AN1049">
        <v>3</v>
      </c>
      <c r="AO1049" t="str">
        <f>_xlfn.XLOOKUP(Table1[[#This Row],[PerformanceRating]],Table17[PerformanceRating],Table17[Deskripsi])</f>
        <v>Excellent</v>
      </c>
      <c r="AP1049" t="str">
        <f>_xlfn.XLOOKUP(Table1[[#This Row],[RelationshipSatisfaction]],Table18[RelationshipSatisfaction],Table18[Id_RelationshipSatisfaction])</f>
        <v>RS001</v>
      </c>
      <c r="AQ1049">
        <v>1</v>
      </c>
      <c r="AR1049" t="str">
        <f>_xlfn.XLOOKUP(Table1[[#This Row],[RelationshipSatisfaction]],Table18[RelationshipSatisfaction],Table18[Deskripsi])</f>
        <v>Low</v>
      </c>
      <c r="AS1049" t="str">
        <f>_xlfn.XLOOKUP(Table1[[#This Row],[StockOptionLevel]],Table19[StockOptionLevel],Table19[Id_StockOptionLevel])</f>
        <v>SOL003</v>
      </c>
      <c r="AT1049">
        <v>2</v>
      </c>
      <c r="AU1049" t="str">
        <f>_xlfn.XLOOKUP(Table1[[#This Row],[StockOptionLevel]],Table19[StockOptionLevel],Table19[Deskripsi])</f>
        <v>Intermediate</v>
      </c>
      <c r="AV1049">
        <v>5</v>
      </c>
      <c r="AW1049">
        <v>2</v>
      </c>
      <c r="AX1049" t="str">
        <f>_xlfn.XLOOKUP(Table1[[#This Row],[WorkLifeBalance]],Table20[WorkLifeBalance],Table20[Id_WorkLifeBalance])</f>
        <v>WLB002</v>
      </c>
      <c r="AY1049">
        <v>3</v>
      </c>
      <c r="AZ1049" t="str">
        <f>_xlfn.XLOOKUP(Table1[[#This Row],[WorkLifeBalance]],Table20[WorkLifeBalance],Table20[Deskripsi])</f>
        <v>Good</v>
      </c>
      <c r="BA1049">
        <v>4</v>
      </c>
      <c r="BB1049">
        <v>3</v>
      </c>
      <c r="BC1049">
        <v>0</v>
      </c>
      <c r="BD1049">
        <v>3</v>
      </c>
    </row>
    <row r="1050" spans="1:56" x14ac:dyDescent="0.25">
      <c r="A1050">
        <v>34</v>
      </c>
      <c r="B1050" t="str">
        <f>_xlfn.XLOOKUP(Table1[[#This Row],[Attrition]],Table2[Attrition],Table2[Id_Attrition])</f>
        <v>A002</v>
      </c>
      <c r="C1050" t="s">
        <v>33</v>
      </c>
      <c r="D1050" t="str">
        <f>_xlfn.XLOOKUP(Table1[[#This Row],[BusinessTravel]],Table5[BusinessTravel],Table5[Id_BusinessTravel])</f>
        <v>BS001</v>
      </c>
      <c r="E1050" t="s">
        <v>34</v>
      </c>
      <c r="F1050">
        <v>1326</v>
      </c>
      <c r="G1050" t="str">
        <f>_xlfn.XLOOKUP(Table1[[#This Row],[Department]],Table6[Department],Table6[Id_Departement])</f>
        <v>D001</v>
      </c>
      <c r="H1050" t="s">
        <v>37</v>
      </c>
      <c r="I1050">
        <v>3</v>
      </c>
      <c r="J1050" t="str">
        <f>_xlfn.XLOOKUP(Table1[[#This Row],[Education]],Table8[Education],Table8[Id_Education])</f>
        <v>E003</v>
      </c>
      <c r="K1050">
        <v>3</v>
      </c>
      <c r="L1050" t="str">
        <f>_xlfn.XLOOKUP(Table1[[#This Row],[EducationField]],Table7[EducationField],Table7[Id_EducationField])</f>
        <v>EF002</v>
      </c>
      <c r="M1050" t="s">
        <v>41</v>
      </c>
      <c r="N1050" t="str">
        <f>_xlfn.XLOOKUP(Table1[[#This Row],[EmployeeNumber]],Table4[EmployeeNumber],Table4[Id_Employee])</f>
        <v>EMP01049</v>
      </c>
      <c r="O1050">
        <v>1478</v>
      </c>
      <c r="P1050" t="str">
        <f>_xlfn.XLOOKUP(Table1[[#This Row],[EnvironmentSatisfaction]],Table9[EnvironmentSatisfaction],Table9[Id_EnviromentSatisfaction])</f>
        <v>ES004</v>
      </c>
      <c r="Q1050">
        <v>4</v>
      </c>
      <c r="R1050" t="str">
        <f>_xlfn.XLOOKUP(Table1[[#This Row],[EnvironmentSatisfaction]],Table9[EnvironmentSatisfaction],Table9[Deskripsi])</f>
        <v>Very High</v>
      </c>
      <c r="S1050" t="str">
        <f>_xlfn.XLOOKUP(Table1[[#This Row],[Gender]],Table10[Gender],Table10[Id_Gender])</f>
        <v>G002</v>
      </c>
      <c r="T1050" t="s">
        <v>46</v>
      </c>
      <c r="U1050">
        <v>81</v>
      </c>
      <c r="V1050" t="str">
        <f>_xlfn.XLOOKUP(Table1[[#This Row],[JobInvolvement]],Table11[JobInvolvement],Table11[Id_JobInvolvement])</f>
        <v>JI001</v>
      </c>
      <c r="W1050">
        <v>1</v>
      </c>
      <c r="X1050" t="str">
        <f>_xlfn.XLOOKUP(Table1[[#This Row],[JobLevel]],Table12[JobLevel],Table12[Id_JobLevel])</f>
        <v>JL002</v>
      </c>
      <c r="Y1050">
        <v>2</v>
      </c>
      <c r="Z1050" t="str">
        <f>_xlfn.XLOOKUP(Table1[[#This Row],[JobRole]],Table13[JobRole],Table13[Id_JobRole])</f>
        <v>JR001</v>
      </c>
      <c r="AA1050" t="s">
        <v>47</v>
      </c>
      <c r="AB1050" t="str">
        <f>_xlfn.XLOOKUP(Table1[[#This Row],[JobSatisfaction]],Table14[JobSatisfaction],Table14[Id_JobSatisfaction])</f>
        <v>JS001</v>
      </c>
      <c r="AC1050">
        <v>1</v>
      </c>
      <c r="AD1050" t="str">
        <f>_xlfn.XLOOKUP(Table1[[#This Row],[JobSatisfaction]],Table14[JobSatisfaction],Table14[Deskripsi])</f>
        <v>Low</v>
      </c>
      <c r="AE1050" t="str">
        <f>_xlfn.XLOOKUP(Table1[[#This Row],[MaritalStatus]],Table15[MaritalStatus],Table15[Id_MaritalStatus])</f>
        <v>MS001</v>
      </c>
      <c r="AF1050" t="s">
        <v>55</v>
      </c>
      <c r="AG1050">
        <v>4759</v>
      </c>
      <c r="AH1050">
        <v>15891</v>
      </c>
      <c r="AI1050">
        <v>3</v>
      </c>
      <c r="AJ1050" t="str">
        <f>_xlfn.XLOOKUP(Table1[[#This Row],[OverTime]],Table16[OverTime],Table16[Id_OverTime])</f>
        <v>OT002</v>
      </c>
      <c r="AK1050" t="s">
        <v>33</v>
      </c>
      <c r="AL1050">
        <v>18</v>
      </c>
      <c r="AM1050" t="str">
        <f>_xlfn.XLOOKUP(Table1[[#This Row],[PerformanceRating]],Table17[PerformanceRating],Table17[Id_PerformanceRating])</f>
        <v>PR003</v>
      </c>
      <c r="AN1050">
        <v>3</v>
      </c>
      <c r="AO1050" t="str">
        <f>_xlfn.XLOOKUP(Table1[[#This Row],[PerformanceRating]],Table17[PerformanceRating],Table17[Deskripsi])</f>
        <v>Excellent</v>
      </c>
      <c r="AP1050" t="str">
        <f>_xlfn.XLOOKUP(Table1[[#This Row],[RelationshipSatisfaction]],Table18[RelationshipSatisfaction],Table18[Id_RelationshipSatisfaction])</f>
        <v>RS004</v>
      </c>
      <c r="AQ1050">
        <v>4</v>
      </c>
      <c r="AR1050" t="str">
        <f>_xlfn.XLOOKUP(Table1[[#This Row],[RelationshipSatisfaction]],Table18[RelationshipSatisfaction],Table18[Deskripsi])</f>
        <v>Very High</v>
      </c>
      <c r="AS1050" t="str">
        <f>_xlfn.XLOOKUP(Table1[[#This Row],[StockOptionLevel]],Table19[StockOptionLevel],Table19[Id_StockOptionLevel])</f>
        <v>SOL001</v>
      </c>
      <c r="AT1050">
        <v>0</v>
      </c>
      <c r="AU1050" t="str">
        <f>_xlfn.XLOOKUP(Table1[[#This Row],[StockOptionLevel]],Table19[StockOptionLevel],Table19[Deskripsi])</f>
        <v>Non-Eligible</v>
      </c>
      <c r="AV1050">
        <v>15</v>
      </c>
      <c r="AW1050">
        <v>2</v>
      </c>
      <c r="AX1050" t="str">
        <f>_xlfn.XLOOKUP(Table1[[#This Row],[WorkLifeBalance]],Table20[WorkLifeBalance],Table20[Id_WorkLifeBalance])</f>
        <v>WLB002</v>
      </c>
      <c r="AY1050">
        <v>3</v>
      </c>
      <c r="AZ1050" t="str">
        <f>_xlfn.XLOOKUP(Table1[[#This Row],[WorkLifeBalance]],Table20[WorkLifeBalance],Table20[Deskripsi])</f>
        <v>Good</v>
      </c>
      <c r="BA1050">
        <v>13</v>
      </c>
      <c r="BB1050">
        <v>9</v>
      </c>
      <c r="BC1050">
        <v>3</v>
      </c>
      <c r="BD1050">
        <v>12</v>
      </c>
    </row>
    <row r="1051" spans="1:56" x14ac:dyDescent="0.25">
      <c r="A1051">
        <v>30</v>
      </c>
      <c r="B1051" t="str">
        <f>_xlfn.XLOOKUP(Table1[[#This Row],[Attrition]],Table2[Attrition],Table2[Id_Attrition])</f>
        <v>A002</v>
      </c>
      <c r="C1051" t="s">
        <v>33</v>
      </c>
      <c r="D1051" t="str">
        <f>_xlfn.XLOOKUP(Table1[[#This Row],[BusinessTravel]],Table5[BusinessTravel],Table5[Id_BusinessTravel])</f>
        <v>BS001</v>
      </c>
      <c r="E1051" t="s">
        <v>34</v>
      </c>
      <c r="F1051">
        <v>1358</v>
      </c>
      <c r="G1051" t="str">
        <f>_xlfn.XLOOKUP(Table1[[#This Row],[Department]],Table6[Department],Table6[Id_Departement])</f>
        <v>D001</v>
      </c>
      <c r="H1051" t="s">
        <v>37</v>
      </c>
      <c r="I1051">
        <v>16</v>
      </c>
      <c r="J1051" t="str">
        <f>_xlfn.XLOOKUP(Table1[[#This Row],[Education]],Table8[Education],Table8[Id_Education])</f>
        <v>E001</v>
      </c>
      <c r="K1051">
        <v>1</v>
      </c>
      <c r="L1051" t="str">
        <f>_xlfn.XLOOKUP(Table1[[#This Row],[EducationField]],Table7[EducationField],Table7[Id_EducationField])</f>
        <v>EF001</v>
      </c>
      <c r="M1051" t="s">
        <v>40</v>
      </c>
      <c r="N1051" t="str">
        <f>_xlfn.XLOOKUP(Table1[[#This Row],[EmployeeNumber]],Table4[EmployeeNumber],Table4[Id_Employee])</f>
        <v>EMP01050</v>
      </c>
      <c r="O1051">
        <v>1479</v>
      </c>
      <c r="P1051" t="str">
        <f>_xlfn.XLOOKUP(Table1[[#This Row],[EnvironmentSatisfaction]],Table9[EnvironmentSatisfaction],Table9[Id_EnviromentSatisfaction])</f>
        <v>ES004</v>
      </c>
      <c r="Q1051">
        <v>4</v>
      </c>
      <c r="R1051" t="str">
        <f>_xlfn.XLOOKUP(Table1[[#This Row],[EnvironmentSatisfaction]],Table9[EnvironmentSatisfaction],Table9[Deskripsi])</f>
        <v>Very High</v>
      </c>
      <c r="S1051" t="str">
        <f>_xlfn.XLOOKUP(Table1[[#This Row],[Gender]],Table10[Gender],Table10[Id_Gender])</f>
        <v>G002</v>
      </c>
      <c r="T1051" t="s">
        <v>46</v>
      </c>
      <c r="U1051">
        <v>96</v>
      </c>
      <c r="V1051" t="str">
        <f>_xlfn.XLOOKUP(Table1[[#This Row],[JobInvolvement]],Table11[JobInvolvement],Table11[Id_JobInvolvement])</f>
        <v>JI003</v>
      </c>
      <c r="W1051">
        <v>3</v>
      </c>
      <c r="X1051" t="str">
        <f>_xlfn.XLOOKUP(Table1[[#This Row],[JobLevel]],Table12[JobLevel],Table12[Id_JobLevel])</f>
        <v>JL002</v>
      </c>
      <c r="Y1051">
        <v>2</v>
      </c>
      <c r="Z1051" t="str">
        <f>_xlfn.XLOOKUP(Table1[[#This Row],[JobRole]],Table13[JobRole],Table13[Id_JobRole])</f>
        <v>JR001</v>
      </c>
      <c r="AA1051" t="s">
        <v>47</v>
      </c>
      <c r="AB1051" t="str">
        <f>_xlfn.XLOOKUP(Table1[[#This Row],[JobSatisfaction]],Table14[JobSatisfaction],Table14[Id_JobSatisfaction])</f>
        <v>JS003</v>
      </c>
      <c r="AC1051">
        <v>3</v>
      </c>
      <c r="AD1051" t="str">
        <f>_xlfn.XLOOKUP(Table1[[#This Row],[JobSatisfaction]],Table14[JobSatisfaction],Table14[Deskripsi])</f>
        <v>High</v>
      </c>
      <c r="AE1051" t="str">
        <f>_xlfn.XLOOKUP(Table1[[#This Row],[MaritalStatus]],Table15[MaritalStatus],Table15[Id_MaritalStatus])</f>
        <v>MS002</v>
      </c>
      <c r="AF1051" t="s">
        <v>56</v>
      </c>
      <c r="AG1051">
        <v>5301</v>
      </c>
      <c r="AH1051">
        <v>2939</v>
      </c>
      <c r="AI1051">
        <v>8</v>
      </c>
      <c r="AJ1051" t="str">
        <f>_xlfn.XLOOKUP(Table1[[#This Row],[OverTime]],Table16[OverTime],Table16[Id_OverTime])</f>
        <v>OT002</v>
      </c>
      <c r="AK1051" t="s">
        <v>33</v>
      </c>
      <c r="AL1051">
        <v>15</v>
      </c>
      <c r="AM1051" t="str">
        <f>_xlfn.XLOOKUP(Table1[[#This Row],[PerformanceRating]],Table17[PerformanceRating],Table17[Id_PerformanceRating])</f>
        <v>PR003</v>
      </c>
      <c r="AN1051">
        <v>3</v>
      </c>
      <c r="AO1051" t="str">
        <f>_xlfn.XLOOKUP(Table1[[#This Row],[PerformanceRating]],Table17[PerformanceRating],Table17[Deskripsi])</f>
        <v>Excellent</v>
      </c>
      <c r="AP1051" t="str">
        <f>_xlfn.XLOOKUP(Table1[[#This Row],[RelationshipSatisfaction]],Table18[RelationshipSatisfaction],Table18[Id_RelationshipSatisfaction])</f>
        <v>RS003</v>
      </c>
      <c r="AQ1051">
        <v>3</v>
      </c>
      <c r="AR1051" t="str">
        <f>_xlfn.XLOOKUP(Table1[[#This Row],[RelationshipSatisfaction]],Table18[RelationshipSatisfaction],Table18[Deskripsi])</f>
        <v>High</v>
      </c>
      <c r="AS1051" t="str">
        <f>_xlfn.XLOOKUP(Table1[[#This Row],[StockOptionLevel]],Table19[StockOptionLevel],Table19[Id_StockOptionLevel])</f>
        <v>SOL003</v>
      </c>
      <c r="AT1051">
        <v>2</v>
      </c>
      <c r="AU1051" t="str">
        <f>_xlfn.XLOOKUP(Table1[[#This Row],[StockOptionLevel]],Table19[StockOptionLevel],Table19[Deskripsi])</f>
        <v>Intermediate</v>
      </c>
      <c r="AV1051">
        <v>4</v>
      </c>
      <c r="AW1051">
        <v>2</v>
      </c>
      <c r="AX1051" t="str">
        <f>_xlfn.XLOOKUP(Table1[[#This Row],[WorkLifeBalance]],Table20[WorkLifeBalance],Table20[Id_WorkLifeBalance])</f>
        <v>WLB003</v>
      </c>
      <c r="AY1051">
        <v>2</v>
      </c>
      <c r="AZ1051" t="str">
        <f>_xlfn.XLOOKUP(Table1[[#This Row],[WorkLifeBalance]],Table20[WorkLifeBalance],Table20[Deskripsi])</f>
        <v>Better</v>
      </c>
      <c r="BA1051">
        <v>2</v>
      </c>
      <c r="BB1051">
        <v>1</v>
      </c>
      <c r="BC1051">
        <v>2</v>
      </c>
      <c r="BD1051">
        <v>2</v>
      </c>
    </row>
    <row r="1052" spans="1:56" x14ac:dyDescent="0.25">
      <c r="A1052">
        <v>42</v>
      </c>
      <c r="B1052" t="str">
        <f>_xlfn.XLOOKUP(Table1[[#This Row],[Attrition]],Table2[Attrition],Table2[Id_Attrition])</f>
        <v>A002</v>
      </c>
      <c r="C1052" t="s">
        <v>33</v>
      </c>
      <c r="D1052" t="str">
        <f>_xlfn.XLOOKUP(Table1[[#This Row],[BusinessTravel]],Table5[BusinessTravel],Table5[Id_BusinessTravel])</f>
        <v>BS002</v>
      </c>
      <c r="E1052" t="s">
        <v>35</v>
      </c>
      <c r="F1052">
        <v>748</v>
      </c>
      <c r="G1052" t="str">
        <f>_xlfn.XLOOKUP(Table1[[#This Row],[Department]],Table6[Department],Table6[Id_Departement])</f>
        <v>D002</v>
      </c>
      <c r="H1052" t="s">
        <v>38</v>
      </c>
      <c r="I1052">
        <v>9</v>
      </c>
      <c r="J1052" t="str">
        <f>_xlfn.XLOOKUP(Table1[[#This Row],[Education]],Table8[Education],Table8[Id_Education])</f>
        <v>E002</v>
      </c>
      <c r="K1052">
        <v>2</v>
      </c>
      <c r="L1052" t="str">
        <f>_xlfn.XLOOKUP(Table1[[#This Row],[EducationField]],Table7[EducationField],Table7[Id_EducationField])</f>
        <v>EF003</v>
      </c>
      <c r="M1052" t="s">
        <v>42</v>
      </c>
      <c r="N1052" t="str">
        <f>_xlfn.XLOOKUP(Table1[[#This Row],[EmployeeNumber]],Table4[EmployeeNumber],Table4[Id_Employee])</f>
        <v>EMP01051</v>
      </c>
      <c r="O1052">
        <v>1480</v>
      </c>
      <c r="P1052" t="str">
        <f>_xlfn.XLOOKUP(Table1[[#This Row],[EnvironmentSatisfaction]],Table9[EnvironmentSatisfaction],Table9[Id_EnviromentSatisfaction])</f>
        <v>ES001</v>
      </c>
      <c r="Q1052">
        <v>1</v>
      </c>
      <c r="R1052" t="str">
        <f>_xlfn.XLOOKUP(Table1[[#This Row],[EnvironmentSatisfaction]],Table9[EnvironmentSatisfaction],Table9[Deskripsi])</f>
        <v>Low</v>
      </c>
      <c r="S1052" t="str">
        <f>_xlfn.XLOOKUP(Table1[[#This Row],[Gender]],Table10[Gender],Table10[Id_Gender])</f>
        <v>G001</v>
      </c>
      <c r="T1052" t="s">
        <v>45</v>
      </c>
      <c r="U1052">
        <v>74</v>
      </c>
      <c r="V1052" t="str">
        <f>_xlfn.XLOOKUP(Table1[[#This Row],[JobInvolvement]],Table11[JobInvolvement],Table11[Id_JobInvolvement])</f>
        <v>JI003</v>
      </c>
      <c r="W1052">
        <v>3</v>
      </c>
      <c r="X1052" t="str">
        <f>_xlfn.XLOOKUP(Table1[[#This Row],[JobLevel]],Table12[JobLevel],Table12[Id_JobLevel])</f>
        <v>JL001</v>
      </c>
      <c r="Y1052">
        <v>1</v>
      </c>
      <c r="Z1052" t="str">
        <f>_xlfn.XLOOKUP(Table1[[#This Row],[JobRole]],Table13[JobRole],Table13[Id_JobRole])</f>
        <v>JR003</v>
      </c>
      <c r="AA1052" t="s">
        <v>49</v>
      </c>
      <c r="AB1052" t="str">
        <f>_xlfn.XLOOKUP(Table1[[#This Row],[JobSatisfaction]],Table14[JobSatisfaction],Table14[Id_JobSatisfaction])</f>
        <v>JS004</v>
      </c>
      <c r="AC1052">
        <v>4</v>
      </c>
      <c r="AD1052" t="str">
        <f>_xlfn.XLOOKUP(Table1[[#This Row],[JobSatisfaction]],Table14[JobSatisfaction],Table14[Deskripsi])</f>
        <v>Very High</v>
      </c>
      <c r="AE1052" t="str">
        <f>_xlfn.XLOOKUP(Table1[[#This Row],[MaritalStatus]],Table15[MaritalStatus],Table15[Id_MaritalStatus])</f>
        <v>MS001</v>
      </c>
      <c r="AF1052" t="s">
        <v>55</v>
      </c>
      <c r="AG1052">
        <v>3673</v>
      </c>
      <c r="AH1052">
        <v>16458</v>
      </c>
      <c r="AI1052">
        <v>1</v>
      </c>
      <c r="AJ1052" t="str">
        <f>_xlfn.XLOOKUP(Table1[[#This Row],[OverTime]],Table16[OverTime],Table16[Id_OverTime])</f>
        <v>OT002</v>
      </c>
      <c r="AK1052" t="s">
        <v>33</v>
      </c>
      <c r="AL1052">
        <v>13</v>
      </c>
      <c r="AM1052" t="str">
        <f>_xlfn.XLOOKUP(Table1[[#This Row],[PerformanceRating]],Table17[PerformanceRating],Table17[Id_PerformanceRating])</f>
        <v>PR003</v>
      </c>
      <c r="AN1052">
        <v>3</v>
      </c>
      <c r="AO1052" t="str">
        <f>_xlfn.XLOOKUP(Table1[[#This Row],[PerformanceRating]],Table17[PerformanceRating],Table17[Deskripsi])</f>
        <v>Excellent</v>
      </c>
      <c r="AP1052" t="str">
        <f>_xlfn.XLOOKUP(Table1[[#This Row],[RelationshipSatisfaction]],Table18[RelationshipSatisfaction],Table18[Id_RelationshipSatisfaction])</f>
        <v>RS003</v>
      </c>
      <c r="AQ1052">
        <v>3</v>
      </c>
      <c r="AR1052" t="str">
        <f>_xlfn.XLOOKUP(Table1[[#This Row],[RelationshipSatisfaction]],Table18[RelationshipSatisfaction],Table18[Deskripsi])</f>
        <v>High</v>
      </c>
      <c r="AS1052" t="str">
        <f>_xlfn.XLOOKUP(Table1[[#This Row],[StockOptionLevel]],Table19[StockOptionLevel],Table19[Id_StockOptionLevel])</f>
        <v>SOL001</v>
      </c>
      <c r="AT1052">
        <v>0</v>
      </c>
      <c r="AU1052" t="str">
        <f>_xlfn.XLOOKUP(Table1[[#This Row],[StockOptionLevel]],Table19[StockOptionLevel],Table19[Deskripsi])</f>
        <v>Non-Eligible</v>
      </c>
      <c r="AV1052">
        <v>12</v>
      </c>
      <c r="AW1052">
        <v>3</v>
      </c>
      <c r="AX1052" t="str">
        <f>_xlfn.XLOOKUP(Table1[[#This Row],[WorkLifeBalance]],Table20[WorkLifeBalance],Table20[Id_WorkLifeBalance])</f>
        <v>WLB002</v>
      </c>
      <c r="AY1052">
        <v>3</v>
      </c>
      <c r="AZ1052" t="str">
        <f>_xlfn.XLOOKUP(Table1[[#This Row],[WorkLifeBalance]],Table20[WorkLifeBalance],Table20[Deskripsi])</f>
        <v>Good</v>
      </c>
      <c r="BA1052">
        <v>12</v>
      </c>
      <c r="BB1052">
        <v>9</v>
      </c>
      <c r="BC1052">
        <v>5</v>
      </c>
      <c r="BD1052">
        <v>8</v>
      </c>
    </row>
    <row r="1053" spans="1:56" x14ac:dyDescent="0.25">
      <c r="A1053">
        <v>44</v>
      </c>
      <c r="B1053" t="str">
        <f>_xlfn.XLOOKUP(Table1[[#This Row],[Attrition]],Table2[Attrition],Table2[Id_Attrition])</f>
        <v>A002</v>
      </c>
      <c r="C1053" t="s">
        <v>33</v>
      </c>
      <c r="D1053" t="str">
        <f>_xlfn.XLOOKUP(Table1[[#This Row],[BusinessTravel]],Table5[BusinessTravel],Table5[Id_BusinessTravel])</f>
        <v>BS002</v>
      </c>
      <c r="E1053" t="s">
        <v>35</v>
      </c>
      <c r="F1053">
        <v>383</v>
      </c>
      <c r="G1053" t="str">
        <f>_xlfn.XLOOKUP(Table1[[#This Row],[Department]],Table6[Department],Table6[Id_Departement])</f>
        <v>D001</v>
      </c>
      <c r="H1053" t="s">
        <v>37</v>
      </c>
      <c r="I1053">
        <v>1</v>
      </c>
      <c r="J1053" t="str">
        <f>_xlfn.XLOOKUP(Table1[[#This Row],[Education]],Table8[Education],Table8[Id_Education])</f>
        <v>E005</v>
      </c>
      <c r="K1053">
        <v>5</v>
      </c>
      <c r="L1053" t="str">
        <f>_xlfn.XLOOKUP(Table1[[#This Row],[EducationField]],Table7[EducationField],Table7[Id_EducationField])</f>
        <v>EF004</v>
      </c>
      <c r="M1053" t="s">
        <v>43</v>
      </c>
      <c r="N1053" t="str">
        <f>_xlfn.XLOOKUP(Table1[[#This Row],[EmployeeNumber]],Table4[EmployeeNumber],Table4[Id_Employee])</f>
        <v>EMP01052</v>
      </c>
      <c r="O1053">
        <v>1481</v>
      </c>
      <c r="P1053" t="str">
        <f>_xlfn.XLOOKUP(Table1[[#This Row],[EnvironmentSatisfaction]],Table9[EnvironmentSatisfaction],Table9[Id_EnviromentSatisfaction])</f>
        <v>ES001</v>
      </c>
      <c r="Q1053">
        <v>1</v>
      </c>
      <c r="R1053" t="str">
        <f>_xlfn.XLOOKUP(Table1[[#This Row],[EnvironmentSatisfaction]],Table9[EnvironmentSatisfaction],Table9[Deskripsi])</f>
        <v>Low</v>
      </c>
      <c r="S1053" t="str">
        <f>_xlfn.XLOOKUP(Table1[[#This Row],[Gender]],Table10[Gender],Table10[Id_Gender])</f>
        <v>G001</v>
      </c>
      <c r="T1053" t="s">
        <v>45</v>
      </c>
      <c r="U1053">
        <v>79</v>
      </c>
      <c r="V1053" t="str">
        <f>_xlfn.XLOOKUP(Table1[[#This Row],[JobInvolvement]],Table11[JobInvolvement],Table11[Id_JobInvolvement])</f>
        <v>JI003</v>
      </c>
      <c r="W1053">
        <v>3</v>
      </c>
      <c r="X1053" t="str">
        <f>_xlfn.XLOOKUP(Table1[[#This Row],[JobLevel]],Table12[JobLevel],Table12[Id_JobLevel])</f>
        <v>JL002</v>
      </c>
      <c r="Y1053">
        <v>2</v>
      </c>
      <c r="Z1053" t="str">
        <f>_xlfn.XLOOKUP(Table1[[#This Row],[JobRole]],Table13[JobRole],Table13[Id_JobRole])</f>
        <v>JR001</v>
      </c>
      <c r="AA1053" t="s">
        <v>47</v>
      </c>
      <c r="AB1053" t="str">
        <f>_xlfn.XLOOKUP(Table1[[#This Row],[JobSatisfaction]],Table14[JobSatisfaction],Table14[Id_JobSatisfaction])</f>
        <v>JS003</v>
      </c>
      <c r="AC1053">
        <v>3</v>
      </c>
      <c r="AD1053" t="str">
        <f>_xlfn.XLOOKUP(Table1[[#This Row],[JobSatisfaction]],Table14[JobSatisfaction],Table14[Deskripsi])</f>
        <v>High</v>
      </c>
      <c r="AE1053" t="str">
        <f>_xlfn.XLOOKUP(Table1[[#This Row],[MaritalStatus]],Table15[MaritalStatus],Table15[Id_MaritalStatus])</f>
        <v>MS002</v>
      </c>
      <c r="AF1053" t="s">
        <v>56</v>
      </c>
      <c r="AG1053">
        <v>4768</v>
      </c>
      <c r="AH1053">
        <v>9282</v>
      </c>
      <c r="AI1053">
        <v>7</v>
      </c>
      <c r="AJ1053" t="str">
        <f>_xlfn.XLOOKUP(Table1[[#This Row],[OverTime]],Table16[OverTime],Table16[Id_OverTime])</f>
        <v>OT002</v>
      </c>
      <c r="AK1053" t="s">
        <v>33</v>
      </c>
      <c r="AL1053">
        <v>12</v>
      </c>
      <c r="AM1053" t="str">
        <f>_xlfn.XLOOKUP(Table1[[#This Row],[PerformanceRating]],Table17[PerformanceRating],Table17[Id_PerformanceRating])</f>
        <v>PR003</v>
      </c>
      <c r="AN1053">
        <v>3</v>
      </c>
      <c r="AO1053" t="str">
        <f>_xlfn.XLOOKUP(Table1[[#This Row],[PerformanceRating]],Table17[PerformanceRating],Table17[Deskripsi])</f>
        <v>Excellent</v>
      </c>
      <c r="AP1053" t="str">
        <f>_xlfn.XLOOKUP(Table1[[#This Row],[RelationshipSatisfaction]],Table18[RelationshipSatisfaction],Table18[Id_RelationshipSatisfaction])</f>
        <v>RS003</v>
      </c>
      <c r="AQ1053">
        <v>3</v>
      </c>
      <c r="AR1053" t="str">
        <f>_xlfn.XLOOKUP(Table1[[#This Row],[RelationshipSatisfaction]],Table18[RelationshipSatisfaction],Table18[Deskripsi])</f>
        <v>High</v>
      </c>
      <c r="AS1053" t="str">
        <f>_xlfn.XLOOKUP(Table1[[#This Row],[StockOptionLevel]],Table19[StockOptionLevel],Table19[Id_StockOptionLevel])</f>
        <v>SOL002</v>
      </c>
      <c r="AT1053">
        <v>1</v>
      </c>
      <c r="AU1053" t="str">
        <f>_xlfn.XLOOKUP(Table1[[#This Row],[StockOptionLevel]],Table19[StockOptionLevel],Table19[Deskripsi])</f>
        <v>Standard</v>
      </c>
      <c r="AV1053">
        <v>11</v>
      </c>
      <c r="AW1053">
        <v>4</v>
      </c>
      <c r="AX1053" t="str">
        <f>_xlfn.XLOOKUP(Table1[[#This Row],[WorkLifeBalance]],Table20[WorkLifeBalance],Table20[Id_WorkLifeBalance])</f>
        <v>WLB003</v>
      </c>
      <c r="AY1053">
        <v>2</v>
      </c>
      <c r="AZ1053" t="str">
        <f>_xlfn.XLOOKUP(Table1[[#This Row],[WorkLifeBalance]],Table20[WorkLifeBalance],Table20[Deskripsi])</f>
        <v>Better</v>
      </c>
      <c r="BA1053">
        <v>1</v>
      </c>
      <c r="BB1053">
        <v>0</v>
      </c>
      <c r="BC1053">
        <v>0</v>
      </c>
      <c r="BD1053">
        <v>0</v>
      </c>
    </row>
    <row r="1054" spans="1:56" x14ac:dyDescent="0.25">
      <c r="A1054">
        <v>30</v>
      </c>
      <c r="B1054" t="str">
        <f>_xlfn.XLOOKUP(Table1[[#This Row],[Attrition]],Table2[Attrition],Table2[Id_Attrition])</f>
        <v>A002</v>
      </c>
      <c r="C1054" t="s">
        <v>33</v>
      </c>
      <c r="D1054" t="str">
        <f>_xlfn.XLOOKUP(Table1[[#This Row],[BusinessTravel]],Table5[BusinessTravel],Table5[Id_BusinessTravel])</f>
        <v>BS003</v>
      </c>
      <c r="E1054" t="s">
        <v>36</v>
      </c>
      <c r="F1054">
        <v>990</v>
      </c>
      <c r="G1054" t="str">
        <f>_xlfn.XLOOKUP(Table1[[#This Row],[Department]],Table6[Department],Table6[Id_Departement])</f>
        <v>D002</v>
      </c>
      <c r="H1054" t="s">
        <v>38</v>
      </c>
      <c r="I1054">
        <v>7</v>
      </c>
      <c r="J1054" t="str">
        <f>_xlfn.XLOOKUP(Table1[[#This Row],[Education]],Table8[Education],Table8[Id_Education])</f>
        <v>E003</v>
      </c>
      <c r="K1054">
        <v>3</v>
      </c>
      <c r="L1054" t="str">
        <f>_xlfn.XLOOKUP(Table1[[#This Row],[EducationField]],Table7[EducationField],Table7[Id_EducationField])</f>
        <v>EF005</v>
      </c>
      <c r="M1054" t="s">
        <v>44</v>
      </c>
      <c r="N1054" t="str">
        <f>_xlfn.XLOOKUP(Table1[[#This Row],[EmployeeNumber]],Table4[EmployeeNumber],Table4[Id_Employee])</f>
        <v>EMP01053</v>
      </c>
      <c r="O1054">
        <v>1482</v>
      </c>
      <c r="P1054" t="str">
        <f>_xlfn.XLOOKUP(Table1[[#This Row],[EnvironmentSatisfaction]],Table9[EnvironmentSatisfaction],Table9[Id_EnviromentSatisfaction])</f>
        <v>ES003</v>
      </c>
      <c r="Q1054">
        <v>3</v>
      </c>
      <c r="R1054" t="str">
        <f>_xlfn.XLOOKUP(Table1[[#This Row],[EnvironmentSatisfaction]],Table9[EnvironmentSatisfaction],Table9[Deskripsi])</f>
        <v>High</v>
      </c>
      <c r="S1054" t="str">
        <f>_xlfn.XLOOKUP(Table1[[#This Row],[Gender]],Table10[Gender],Table10[Id_Gender])</f>
        <v>G002</v>
      </c>
      <c r="T1054" t="s">
        <v>46</v>
      </c>
      <c r="U1054">
        <v>64</v>
      </c>
      <c r="V1054" t="str">
        <f>_xlfn.XLOOKUP(Table1[[#This Row],[JobInvolvement]],Table11[JobInvolvement],Table11[Id_JobInvolvement])</f>
        <v>JI003</v>
      </c>
      <c r="W1054">
        <v>3</v>
      </c>
      <c r="X1054" t="str">
        <f>_xlfn.XLOOKUP(Table1[[#This Row],[JobLevel]],Table12[JobLevel],Table12[Id_JobLevel])</f>
        <v>JL001</v>
      </c>
      <c r="Y1054">
        <v>1</v>
      </c>
      <c r="Z1054" t="str">
        <f>_xlfn.XLOOKUP(Table1[[#This Row],[JobRole]],Table13[JobRole],Table13[Id_JobRole])</f>
        <v>JR002</v>
      </c>
      <c r="AA1054" t="s">
        <v>48</v>
      </c>
      <c r="AB1054" t="str">
        <f>_xlfn.XLOOKUP(Table1[[#This Row],[JobSatisfaction]],Table14[JobSatisfaction],Table14[Id_JobSatisfaction])</f>
        <v>JS003</v>
      </c>
      <c r="AC1054">
        <v>3</v>
      </c>
      <c r="AD1054" t="str">
        <f>_xlfn.XLOOKUP(Table1[[#This Row],[JobSatisfaction]],Table14[JobSatisfaction],Table14[Deskripsi])</f>
        <v>High</v>
      </c>
      <c r="AE1054" t="str">
        <f>_xlfn.XLOOKUP(Table1[[#This Row],[MaritalStatus]],Table15[MaritalStatus],Table15[Id_MaritalStatus])</f>
        <v>MS003</v>
      </c>
      <c r="AF1054" t="s">
        <v>57</v>
      </c>
      <c r="AG1054">
        <v>1274</v>
      </c>
      <c r="AH1054">
        <v>7152</v>
      </c>
      <c r="AI1054">
        <v>1</v>
      </c>
      <c r="AJ1054" t="str">
        <f>_xlfn.XLOOKUP(Table1[[#This Row],[OverTime]],Table16[OverTime],Table16[Id_OverTime])</f>
        <v>OT002</v>
      </c>
      <c r="AK1054" t="s">
        <v>33</v>
      </c>
      <c r="AL1054">
        <v>13</v>
      </c>
      <c r="AM1054" t="str">
        <f>_xlfn.XLOOKUP(Table1[[#This Row],[PerformanceRating]],Table17[PerformanceRating],Table17[Id_PerformanceRating])</f>
        <v>PR003</v>
      </c>
      <c r="AN1054">
        <v>3</v>
      </c>
      <c r="AO1054" t="str">
        <f>_xlfn.XLOOKUP(Table1[[#This Row],[PerformanceRating]],Table17[PerformanceRating],Table17[Deskripsi])</f>
        <v>Excellent</v>
      </c>
      <c r="AP1054" t="str">
        <f>_xlfn.XLOOKUP(Table1[[#This Row],[RelationshipSatisfaction]],Table18[RelationshipSatisfaction],Table18[Id_RelationshipSatisfaction])</f>
        <v>RS002</v>
      </c>
      <c r="AQ1054">
        <v>2</v>
      </c>
      <c r="AR1054" t="str">
        <f>_xlfn.XLOOKUP(Table1[[#This Row],[RelationshipSatisfaction]],Table18[RelationshipSatisfaction],Table18[Deskripsi])</f>
        <v>Medium</v>
      </c>
      <c r="AS1054" t="str">
        <f>_xlfn.XLOOKUP(Table1[[#This Row],[StockOptionLevel]],Table19[StockOptionLevel],Table19[Id_StockOptionLevel])</f>
        <v>SOL003</v>
      </c>
      <c r="AT1054">
        <v>2</v>
      </c>
      <c r="AU1054" t="str">
        <f>_xlfn.XLOOKUP(Table1[[#This Row],[StockOptionLevel]],Table19[StockOptionLevel],Table19[Deskripsi])</f>
        <v>Intermediate</v>
      </c>
      <c r="AV1054">
        <v>1</v>
      </c>
      <c r="AW1054">
        <v>2</v>
      </c>
      <c r="AX1054" t="str">
        <f>_xlfn.XLOOKUP(Table1[[#This Row],[WorkLifeBalance]],Table20[WorkLifeBalance],Table20[Id_WorkLifeBalance])</f>
        <v>WLB003</v>
      </c>
      <c r="AY1054">
        <v>2</v>
      </c>
      <c r="AZ1054" t="str">
        <f>_xlfn.XLOOKUP(Table1[[#This Row],[WorkLifeBalance]],Table20[WorkLifeBalance],Table20[Deskripsi])</f>
        <v>Better</v>
      </c>
      <c r="BA1054">
        <v>1</v>
      </c>
      <c r="BB1054">
        <v>0</v>
      </c>
      <c r="BC1054">
        <v>0</v>
      </c>
      <c r="BD1054">
        <v>0</v>
      </c>
    </row>
    <row r="1055" spans="1:56" x14ac:dyDescent="0.25">
      <c r="A1055">
        <v>57</v>
      </c>
      <c r="B1055" t="str">
        <f>_xlfn.XLOOKUP(Table1[[#This Row],[Attrition]],Table2[Attrition],Table2[Id_Attrition])</f>
        <v>A002</v>
      </c>
      <c r="C1055" t="s">
        <v>33</v>
      </c>
      <c r="D1055" t="str">
        <f>_xlfn.XLOOKUP(Table1[[#This Row],[BusinessTravel]],Table5[BusinessTravel],Table5[Id_BusinessTravel])</f>
        <v>BS001</v>
      </c>
      <c r="E1055" t="s">
        <v>34</v>
      </c>
      <c r="F1055">
        <v>405</v>
      </c>
      <c r="G1055" t="str">
        <f>_xlfn.XLOOKUP(Table1[[#This Row],[Department]],Table6[Department],Table6[Id_Departement])</f>
        <v>D002</v>
      </c>
      <c r="H1055" t="s">
        <v>38</v>
      </c>
      <c r="I1055">
        <v>1</v>
      </c>
      <c r="J1055" t="str">
        <f>_xlfn.XLOOKUP(Table1[[#This Row],[Education]],Table8[Education],Table8[Id_Education])</f>
        <v>E002</v>
      </c>
      <c r="K1055">
        <v>2</v>
      </c>
      <c r="L1055" t="str">
        <f>_xlfn.XLOOKUP(Table1[[#This Row],[EducationField]],Table7[EducationField],Table7[Id_EducationField])</f>
        <v>EF001</v>
      </c>
      <c r="M1055" t="s">
        <v>40</v>
      </c>
      <c r="N1055" t="str">
        <f>_xlfn.XLOOKUP(Table1[[#This Row],[EmployeeNumber]],Table4[EmployeeNumber],Table4[Id_Employee])</f>
        <v>EMP01054</v>
      </c>
      <c r="O1055">
        <v>1483</v>
      </c>
      <c r="P1055" t="str">
        <f>_xlfn.XLOOKUP(Table1[[#This Row],[EnvironmentSatisfaction]],Table9[EnvironmentSatisfaction],Table9[Id_EnviromentSatisfaction])</f>
        <v>ES002</v>
      </c>
      <c r="Q1055">
        <v>2</v>
      </c>
      <c r="R1055" t="str">
        <f>_xlfn.XLOOKUP(Table1[[#This Row],[EnvironmentSatisfaction]],Table9[EnvironmentSatisfaction],Table9[Deskripsi])</f>
        <v>Medium</v>
      </c>
      <c r="S1055" t="str">
        <f>_xlfn.XLOOKUP(Table1[[#This Row],[Gender]],Table10[Gender],Table10[Id_Gender])</f>
        <v>G002</v>
      </c>
      <c r="T1055" t="s">
        <v>46</v>
      </c>
      <c r="U1055">
        <v>93</v>
      </c>
      <c r="V1055" t="str">
        <f>_xlfn.XLOOKUP(Table1[[#This Row],[JobInvolvement]],Table11[JobInvolvement],Table11[Id_JobInvolvement])</f>
        <v>JI004</v>
      </c>
      <c r="W1055">
        <v>4</v>
      </c>
      <c r="X1055" t="str">
        <f>_xlfn.XLOOKUP(Table1[[#This Row],[JobLevel]],Table12[JobLevel],Table12[Id_JobLevel])</f>
        <v>JL002</v>
      </c>
      <c r="Y1055">
        <v>2</v>
      </c>
      <c r="Z1055" t="str">
        <f>_xlfn.XLOOKUP(Table1[[#This Row],[JobRole]],Table13[JobRole],Table13[Id_JobRole])</f>
        <v>JR002</v>
      </c>
      <c r="AA1055" t="s">
        <v>48</v>
      </c>
      <c r="AB1055" t="str">
        <f>_xlfn.XLOOKUP(Table1[[#This Row],[JobSatisfaction]],Table14[JobSatisfaction],Table14[Id_JobSatisfaction])</f>
        <v>JS003</v>
      </c>
      <c r="AC1055">
        <v>3</v>
      </c>
      <c r="AD1055" t="str">
        <f>_xlfn.XLOOKUP(Table1[[#This Row],[JobSatisfaction]],Table14[JobSatisfaction],Table14[Deskripsi])</f>
        <v>High</v>
      </c>
      <c r="AE1055" t="str">
        <f>_xlfn.XLOOKUP(Table1[[#This Row],[MaritalStatus]],Table15[MaritalStatus],Table15[Id_MaritalStatus])</f>
        <v>MS002</v>
      </c>
      <c r="AF1055" t="s">
        <v>56</v>
      </c>
      <c r="AG1055">
        <v>4900</v>
      </c>
      <c r="AH1055">
        <v>2721</v>
      </c>
      <c r="AI1055">
        <v>0</v>
      </c>
      <c r="AJ1055" t="str">
        <f>_xlfn.XLOOKUP(Table1[[#This Row],[OverTime]],Table16[OverTime],Table16[Id_OverTime])</f>
        <v>OT002</v>
      </c>
      <c r="AK1055" t="s">
        <v>33</v>
      </c>
      <c r="AL1055">
        <v>24</v>
      </c>
      <c r="AM1055" t="str">
        <f>_xlfn.XLOOKUP(Table1[[#This Row],[PerformanceRating]],Table17[PerformanceRating],Table17[Id_PerformanceRating])</f>
        <v>PR004</v>
      </c>
      <c r="AN1055">
        <v>4</v>
      </c>
      <c r="AO1055" t="str">
        <f>_xlfn.XLOOKUP(Table1[[#This Row],[PerformanceRating]],Table17[PerformanceRating],Table17[Deskripsi])</f>
        <v>Outstanding</v>
      </c>
      <c r="AP1055" t="str">
        <f>_xlfn.XLOOKUP(Table1[[#This Row],[RelationshipSatisfaction]],Table18[RelationshipSatisfaction],Table18[Id_RelationshipSatisfaction])</f>
        <v>RS001</v>
      </c>
      <c r="AQ1055">
        <v>1</v>
      </c>
      <c r="AR1055" t="str">
        <f>_xlfn.XLOOKUP(Table1[[#This Row],[RelationshipSatisfaction]],Table18[RelationshipSatisfaction],Table18[Deskripsi])</f>
        <v>Low</v>
      </c>
      <c r="AS1055" t="str">
        <f>_xlfn.XLOOKUP(Table1[[#This Row],[StockOptionLevel]],Table19[StockOptionLevel],Table19[Id_StockOptionLevel])</f>
        <v>SOL002</v>
      </c>
      <c r="AT1055">
        <v>1</v>
      </c>
      <c r="AU1055" t="str">
        <f>_xlfn.XLOOKUP(Table1[[#This Row],[StockOptionLevel]],Table19[StockOptionLevel],Table19[Deskripsi])</f>
        <v>Standard</v>
      </c>
      <c r="AV1055">
        <v>13</v>
      </c>
      <c r="AW1055">
        <v>2</v>
      </c>
      <c r="AX1055" t="str">
        <f>_xlfn.XLOOKUP(Table1[[#This Row],[WorkLifeBalance]],Table20[WorkLifeBalance],Table20[Id_WorkLifeBalance])</f>
        <v>WLB003</v>
      </c>
      <c r="AY1055">
        <v>2</v>
      </c>
      <c r="AZ1055" t="str">
        <f>_xlfn.XLOOKUP(Table1[[#This Row],[WorkLifeBalance]],Table20[WorkLifeBalance],Table20[Deskripsi])</f>
        <v>Better</v>
      </c>
      <c r="BA1055">
        <v>12</v>
      </c>
      <c r="BB1055">
        <v>9</v>
      </c>
      <c r="BC1055">
        <v>2</v>
      </c>
      <c r="BD1055">
        <v>8</v>
      </c>
    </row>
    <row r="1056" spans="1:56" x14ac:dyDescent="0.25">
      <c r="A1056">
        <v>49</v>
      </c>
      <c r="B1056" t="str">
        <f>_xlfn.XLOOKUP(Table1[[#This Row],[Attrition]],Table2[Attrition],Table2[Id_Attrition])</f>
        <v>A002</v>
      </c>
      <c r="C1056" t="s">
        <v>33</v>
      </c>
      <c r="D1056" t="str">
        <f>_xlfn.XLOOKUP(Table1[[#This Row],[BusinessTravel]],Table5[BusinessTravel],Table5[Id_BusinessTravel])</f>
        <v>BS001</v>
      </c>
      <c r="E1056" t="s">
        <v>34</v>
      </c>
      <c r="F1056">
        <v>1490</v>
      </c>
      <c r="G1056" t="str">
        <f>_xlfn.XLOOKUP(Table1[[#This Row],[Department]],Table6[Department],Table6[Id_Departement])</f>
        <v>D002</v>
      </c>
      <c r="H1056" t="s">
        <v>38</v>
      </c>
      <c r="I1056">
        <v>7</v>
      </c>
      <c r="J1056" t="str">
        <f>_xlfn.XLOOKUP(Table1[[#This Row],[Education]],Table8[Education],Table8[Id_Education])</f>
        <v>E004</v>
      </c>
      <c r="K1056">
        <v>4</v>
      </c>
      <c r="L1056" t="str">
        <f>_xlfn.XLOOKUP(Table1[[#This Row],[EducationField]],Table7[EducationField],Table7[Id_EducationField])</f>
        <v>EF001</v>
      </c>
      <c r="M1056" t="s">
        <v>40</v>
      </c>
      <c r="N1056" t="str">
        <f>_xlfn.XLOOKUP(Table1[[#This Row],[EmployeeNumber]],Table4[EmployeeNumber],Table4[Id_Employee])</f>
        <v>EMP01055</v>
      </c>
      <c r="O1056">
        <v>1484</v>
      </c>
      <c r="P1056" t="str">
        <f>_xlfn.XLOOKUP(Table1[[#This Row],[EnvironmentSatisfaction]],Table9[EnvironmentSatisfaction],Table9[Id_EnviromentSatisfaction])</f>
        <v>ES003</v>
      </c>
      <c r="Q1056">
        <v>3</v>
      </c>
      <c r="R1056" t="str">
        <f>_xlfn.XLOOKUP(Table1[[#This Row],[EnvironmentSatisfaction]],Table9[EnvironmentSatisfaction],Table9[Deskripsi])</f>
        <v>High</v>
      </c>
      <c r="S1056" t="str">
        <f>_xlfn.XLOOKUP(Table1[[#This Row],[Gender]],Table10[Gender],Table10[Id_Gender])</f>
        <v>G002</v>
      </c>
      <c r="T1056" t="s">
        <v>46</v>
      </c>
      <c r="U1056">
        <v>35</v>
      </c>
      <c r="V1056" t="str">
        <f>_xlfn.XLOOKUP(Table1[[#This Row],[JobInvolvement]],Table11[JobInvolvement],Table11[Id_JobInvolvement])</f>
        <v>JI003</v>
      </c>
      <c r="W1056">
        <v>3</v>
      </c>
      <c r="X1056" t="str">
        <f>_xlfn.XLOOKUP(Table1[[#This Row],[JobLevel]],Table12[JobLevel],Table12[Id_JobLevel])</f>
        <v>JL003</v>
      </c>
      <c r="Y1056">
        <v>3</v>
      </c>
      <c r="Z1056" t="str">
        <f>_xlfn.XLOOKUP(Table1[[#This Row],[JobRole]],Table13[JobRole],Table13[Id_JobRole])</f>
        <v>JR005</v>
      </c>
      <c r="AA1056" t="s">
        <v>51</v>
      </c>
      <c r="AB1056" t="str">
        <f>_xlfn.XLOOKUP(Table1[[#This Row],[JobSatisfaction]],Table14[JobSatisfaction],Table14[Id_JobSatisfaction])</f>
        <v>JS002</v>
      </c>
      <c r="AC1056">
        <v>2</v>
      </c>
      <c r="AD1056" t="str">
        <f>_xlfn.XLOOKUP(Table1[[#This Row],[JobSatisfaction]],Table14[JobSatisfaction],Table14[Deskripsi])</f>
        <v>Medium</v>
      </c>
      <c r="AE1056" t="str">
        <f>_xlfn.XLOOKUP(Table1[[#This Row],[MaritalStatus]],Table15[MaritalStatus],Table15[Id_MaritalStatus])</f>
        <v>MS003</v>
      </c>
      <c r="AF1056" t="s">
        <v>57</v>
      </c>
      <c r="AG1056">
        <v>10466</v>
      </c>
      <c r="AH1056">
        <v>20948</v>
      </c>
      <c r="AI1056">
        <v>3</v>
      </c>
      <c r="AJ1056" t="str">
        <f>_xlfn.XLOOKUP(Table1[[#This Row],[OverTime]],Table16[OverTime],Table16[Id_OverTime])</f>
        <v>OT002</v>
      </c>
      <c r="AK1056" t="s">
        <v>33</v>
      </c>
      <c r="AL1056">
        <v>14</v>
      </c>
      <c r="AM1056" t="str">
        <f>_xlfn.XLOOKUP(Table1[[#This Row],[PerformanceRating]],Table17[PerformanceRating],Table17[Id_PerformanceRating])</f>
        <v>PR003</v>
      </c>
      <c r="AN1056">
        <v>3</v>
      </c>
      <c r="AO1056" t="str">
        <f>_xlfn.XLOOKUP(Table1[[#This Row],[PerformanceRating]],Table17[PerformanceRating],Table17[Deskripsi])</f>
        <v>Excellent</v>
      </c>
      <c r="AP1056" t="str">
        <f>_xlfn.XLOOKUP(Table1[[#This Row],[RelationshipSatisfaction]],Table18[RelationshipSatisfaction],Table18[Id_RelationshipSatisfaction])</f>
        <v>RS002</v>
      </c>
      <c r="AQ1056">
        <v>2</v>
      </c>
      <c r="AR1056" t="str">
        <f>_xlfn.XLOOKUP(Table1[[#This Row],[RelationshipSatisfaction]],Table18[RelationshipSatisfaction],Table18[Deskripsi])</f>
        <v>Medium</v>
      </c>
      <c r="AS1056" t="str">
        <f>_xlfn.XLOOKUP(Table1[[#This Row],[StockOptionLevel]],Table19[StockOptionLevel],Table19[Id_StockOptionLevel])</f>
        <v>SOL003</v>
      </c>
      <c r="AT1056">
        <v>2</v>
      </c>
      <c r="AU1056" t="str">
        <f>_xlfn.XLOOKUP(Table1[[#This Row],[StockOptionLevel]],Table19[StockOptionLevel],Table19[Deskripsi])</f>
        <v>Intermediate</v>
      </c>
      <c r="AV1056">
        <v>29</v>
      </c>
      <c r="AW1056">
        <v>3</v>
      </c>
      <c r="AX1056" t="str">
        <f>_xlfn.XLOOKUP(Table1[[#This Row],[WorkLifeBalance]],Table20[WorkLifeBalance],Table20[Id_WorkLifeBalance])</f>
        <v>WLB002</v>
      </c>
      <c r="AY1056">
        <v>3</v>
      </c>
      <c r="AZ1056" t="str">
        <f>_xlfn.XLOOKUP(Table1[[#This Row],[WorkLifeBalance]],Table20[WorkLifeBalance],Table20[Deskripsi])</f>
        <v>Good</v>
      </c>
      <c r="BA1056">
        <v>8</v>
      </c>
      <c r="BB1056">
        <v>7</v>
      </c>
      <c r="BC1056">
        <v>0</v>
      </c>
      <c r="BD1056">
        <v>7</v>
      </c>
    </row>
    <row r="1057" spans="1:56" x14ac:dyDescent="0.25">
      <c r="A1057">
        <v>34</v>
      </c>
      <c r="B1057" t="str">
        <f>_xlfn.XLOOKUP(Table1[[#This Row],[Attrition]],Table2[Attrition],Table2[Id_Attrition])</f>
        <v>A002</v>
      </c>
      <c r="C1057" t="s">
        <v>33</v>
      </c>
      <c r="D1057" t="str">
        <f>_xlfn.XLOOKUP(Table1[[#This Row],[BusinessTravel]],Table5[BusinessTravel],Table5[Id_BusinessTravel])</f>
        <v>BS002</v>
      </c>
      <c r="E1057" t="s">
        <v>35</v>
      </c>
      <c r="F1057">
        <v>829</v>
      </c>
      <c r="G1057" t="str">
        <f>_xlfn.XLOOKUP(Table1[[#This Row],[Department]],Table6[Department],Table6[Id_Departement])</f>
        <v>D002</v>
      </c>
      <c r="H1057" t="s">
        <v>38</v>
      </c>
      <c r="I1057">
        <v>15</v>
      </c>
      <c r="J1057" t="str">
        <f>_xlfn.XLOOKUP(Table1[[#This Row],[Education]],Table8[Education],Table8[Id_Education])</f>
        <v>E003</v>
      </c>
      <c r="K1057">
        <v>3</v>
      </c>
      <c r="L1057" t="str">
        <f>_xlfn.XLOOKUP(Table1[[#This Row],[EducationField]],Table7[EducationField],Table7[Id_EducationField])</f>
        <v>EF003</v>
      </c>
      <c r="M1057" t="s">
        <v>42</v>
      </c>
      <c r="N1057" t="str">
        <f>_xlfn.XLOOKUP(Table1[[#This Row],[EmployeeNumber]],Table4[EmployeeNumber],Table4[Id_Employee])</f>
        <v>EMP01056</v>
      </c>
      <c r="O1057">
        <v>1485</v>
      </c>
      <c r="P1057" t="str">
        <f>_xlfn.XLOOKUP(Table1[[#This Row],[EnvironmentSatisfaction]],Table9[EnvironmentSatisfaction],Table9[Id_EnviromentSatisfaction])</f>
        <v>ES002</v>
      </c>
      <c r="Q1057">
        <v>2</v>
      </c>
      <c r="R1057" t="str">
        <f>_xlfn.XLOOKUP(Table1[[#This Row],[EnvironmentSatisfaction]],Table9[EnvironmentSatisfaction],Table9[Deskripsi])</f>
        <v>Medium</v>
      </c>
      <c r="S1057" t="str">
        <f>_xlfn.XLOOKUP(Table1[[#This Row],[Gender]],Table10[Gender],Table10[Id_Gender])</f>
        <v>G002</v>
      </c>
      <c r="T1057" t="s">
        <v>46</v>
      </c>
      <c r="U1057">
        <v>71</v>
      </c>
      <c r="V1057" t="str">
        <f>_xlfn.XLOOKUP(Table1[[#This Row],[JobInvolvement]],Table11[JobInvolvement],Table11[Id_JobInvolvement])</f>
        <v>JI003</v>
      </c>
      <c r="W1057">
        <v>3</v>
      </c>
      <c r="X1057" t="str">
        <f>_xlfn.XLOOKUP(Table1[[#This Row],[JobLevel]],Table12[JobLevel],Table12[Id_JobLevel])</f>
        <v>JL004</v>
      </c>
      <c r="Y1057">
        <v>4</v>
      </c>
      <c r="Z1057" t="str">
        <f>_xlfn.XLOOKUP(Table1[[#This Row],[JobRole]],Table13[JobRole],Table13[Id_JobRole])</f>
        <v>JR008</v>
      </c>
      <c r="AA1057" t="s">
        <v>54</v>
      </c>
      <c r="AB1057" t="str">
        <f>_xlfn.XLOOKUP(Table1[[#This Row],[JobSatisfaction]],Table14[JobSatisfaction],Table14[Id_JobSatisfaction])</f>
        <v>JS001</v>
      </c>
      <c r="AC1057">
        <v>1</v>
      </c>
      <c r="AD1057" t="str">
        <f>_xlfn.XLOOKUP(Table1[[#This Row],[JobSatisfaction]],Table14[JobSatisfaction],Table14[Deskripsi])</f>
        <v>Low</v>
      </c>
      <c r="AE1057" t="str">
        <f>_xlfn.XLOOKUP(Table1[[#This Row],[MaritalStatus]],Table15[MaritalStatus],Table15[Id_MaritalStatus])</f>
        <v>MS003</v>
      </c>
      <c r="AF1057" t="s">
        <v>57</v>
      </c>
      <c r="AG1057">
        <v>17007</v>
      </c>
      <c r="AH1057">
        <v>11929</v>
      </c>
      <c r="AI1057">
        <v>7</v>
      </c>
      <c r="AJ1057" t="str">
        <f>_xlfn.XLOOKUP(Table1[[#This Row],[OverTime]],Table16[OverTime],Table16[Id_OverTime])</f>
        <v>OT002</v>
      </c>
      <c r="AK1057" t="s">
        <v>33</v>
      </c>
      <c r="AL1057">
        <v>14</v>
      </c>
      <c r="AM1057" t="str">
        <f>_xlfn.XLOOKUP(Table1[[#This Row],[PerformanceRating]],Table17[PerformanceRating],Table17[Id_PerformanceRating])</f>
        <v>PR003</v>
      </c>
      <c r="AN1057">
        <v>3</v>
      </c>
      <c r="AO1057" t="str">
        <f>_xlfn.XLOOKUP(Table1[[#This Row],[PerformanceRating]],Table17[PerformanceRating],Table17[Deskripsi])</f>
        <v>Excellent</v>
      </c>
      <c r="AP1057" t="str">
        <f>_xlfn.XLOOKUP(Table1[[#This Row],[RelationshipSatisfaction]],Table18[RelationshipSatisfaction],Table18[Id_RelationshipSatisfaction])</f>
        <v>RS004</v>
      </c>
      <c r="AQ1057">
        <v>4</v>
      </c>
      <c r="AR1057" t="str">
        <f>_xlfn.XLOOKUP(Table1[[#This Row],[RelationshipSatisfaction]],Table18[RelationshipSatisfaction],Table18[Deskripsi])</f>
        <v>Very High</v>
      </c>
      <c r="AS1057" t="str">
        <f>_xlfn.XLOOKUP(Table1[[#This Row],[StockOptionLevel]],Table19[StockOptionLevel],Table19[Id_StockOptionLevel])</f>
        <v>SOL003</v>
      </c>
      <c r="AT1057">
        <v>2</v>
      </c>
      <c r="AU1057" t="str">
        <f>_xlfn.XLOOKUP(Table1[[#This Row],[StockOptionLevel]],Table19[StockOptionLevel],Table19[Deskripsi])</f>
        <v>Intermediate</v>
      </c>
      <c r="AV1057">
        <v>16</v>
      </c>
      <c r="AW1057">
        <v>3</v>
      </c>
      <c r="AX1057" t="str">
        <f>_xlfn.XLOOKUP(Table1[[#This Row],[WorkLifeBalance]],Table20[WorkLifeBalance],Table20[Id_WorkLifeBalance])</f>
        <v>WLB003</v>
      </c>
      <c r="AY1057">
        <v>2</v>
      </c>
      <c r="AZ1057" t="str">
        <f>_xlfn.XLOOKUP(Table1[[#This Row],[WorkLifeBalance]],Table20[WorkLifeBalance],Table20[Deskripsi])</f>
        <v>Better</v>
      </c>
      <c r="BA1057">
        <v>14</v>
      </c>
      <c r="BB1057">
        <v>8</v>
      </c>
      <c r="BC1057">
        <v>6</v>
      </c>
      <c r="BD1057">
        <v>9</v>
      </c>
    </row>
    <row r="1058" spans="1:56" x14ac:dyDescent="0.25">
      <c r="A1058">
        <v>28</v>
      </c>
      <c r="B1058" t="str">
        <f>_xlfn.XLOOKUP(Table1[[#This Row],[Attrition]],Table2[Attrition],Table2[Id_Attrition])</f>
        <v>A001</v>
      </c>
      <c r="C1058" t="s">
        <v>32</v>
      </c>
      <c r="D1058" t="str">
        <f>_xlfn.XLOOKUP(Table1[[#This Row],[BusinessTravel]],Table5[BusinessTravel],Table5[Id_BusinessTravel])</f>
        <v>BS002</v>
      </c>
      <c r="E1058" t="s">
        <v>35</v>
      </c>
      <c r="F1058">
        <v>1496</v>
      </c>
      <c r="G1058" t="str">
        <f>_xlfn.XLOOKUP(Table1[[#This Row],[Department]],Table6[Department],Table6[Id_Departement])</f>
        <v>D001</v>
      </c>
      <c r="H1058" t="s">
        <v>37</v>
      </c>
      <c r="I1058">
        <v>1</v>
      </c>
      <c r="J1058" t="str">
        <f>_xlfn.XLOOKUP(Table1[[#This Row],[Education]],Table8[Education],Table8[Id_Education])</f>
        <v>E003</v>
      </c>
      <c r="K1058">
        <v>3</v>
      </c>
      <c r="L1058" t="str">
        <f>_xlfn.XLOOKUP(Table1[[#This Row],[EducationField]],Table7[EducationField],Table7[Id_EducationField])</f>
        <v>EF005</v>
      </c>
      <c r="M1058" t="s">
        <v>44</v>
      </c>
      <c r="N1058" t="str">
        <f>_xlfn.XLOOKUP(Table1[[#This Row],[EmployeeNumber]],Table4[EmployeeNumber],Table4[Id_Employee])</f>
        <v>EMP01057</v>
      </c>
      <c r="O1058">
        <v>1486</v>
      </c>
      <c r="P1058" t="str">
        <f>_xlfn.XLOOKUP(Table1[[#This Row],[EnvironmentSatisfaction]],Table9[EnvironmentSatisfaction],Table9[Id_EnviromentSatisfaction])</f>
        <v>ES001</v>
      </c>
      <c r="Q1058">
        <v>1</v>
      </c>
      <c r="R1058" t="str">
        <f>_xlfn.XLOOKUP(Table1[[#This Row],[EnvironmentSatisfaction]],Table9[EnvironmentSatisfaction],Table9[Deskripsi])</f>
        <v>Low</v>
      </c>
      <c r="S1058" t="str">
        <f>_xlfn.XLOOKUP(Table1[[#This Row],[Gender]],Table10[Gender],Table10[Id_Gender])</f>
        <v>G002</v>
      </c>
      <c r="T1058" t="s">
        <v>46</v>
      </c>
      <c r="U1058">
        <v>92</v>
      </c>
      <c r="V1058" t="str">
        <f>_xlfn.XLOOKUP(Table1[[#This Row],[JobInvolvement]],Table11[JobInvolvement],Table11[Id_JobInvolvement])</f>
        <v>JI003</v>
      </c>
      <c r="W1058">
        <v>3</v>
      </c>
      <c r="X1058" t="str">
        <f>_xlfn.XLOOKUP(Table1[[#This Row],[JobLevel]],Table12[JobLevel],Table12[Id_JobLevel])</f>
        <v>JL001</v>
      </c>
      <c r="Y1058">
        <v>1</v>
      </c>
      <c r="Z1058" t="str">
        <f>_xlfn.XLOOKUP(Table1[[#This Row],[JobRole]],Table13[JobRole],Table13[Id_JobRole])</f>
        <v>JR007</v>
      </c>
      <c r="AA1058" t="s">
        <v>53</v>
      </c>
      <c r="AB1058" t="str">
        <f>_xlfn.XLOOKUP(Table1[[#This Row],[JobSatisfaction]],Table14[JobSatisfaction],Table14[Id_JobSatisfaction])</f>
        <v>JS003</v>
      </c>
      <c r="AC1058">
        <v>3</v>
      </c>
      <c r="AD1058" t="str">
        <f>_xlfn.XLOOKUP(Table1[[#This Row],[JobSatisfaction]],Table14[JobSatisfaction],Table14[Deskripsi])</f>
        <v>High</v>
      </c>
      <c r="AE1058" t="str">
        <f>_xlfn.XLOOKUP(Table1[[#This Row],[MaritalStatus]],Table15[MaritalStatus],Table15[Id_MaritalStatus])</f>
        <v>MS002</v>
      </c>
      <c r="AF1058" t="s">
        <v>56</v>
      </c>
      <c r="AG1058">
        <v>2909</v>
      </c>
      <c r="AH1058">
        <v>15747</v>
      </c>
      <c r="AI1058">
        <v>3</v>
      </c>
      <c r="AJ1058" t="str">
        <f>_xlfn.XLOOKUP(Table1[[#This Row],[OverTime]],Table16[OverTime],Table16[Id_OverTime])</f>
        <v>OT002</v>
      </c>
      <c r="AK1058" t="s">
        <v>33</v>
      </c>
      <c r="AL1058">
        <v>15</v>
      </c>
      <c r="AM1058" t="str">
        <f>_xlfn.XLOOKUP(Table1[[#This Row],[PerformanceRating]],Table17[PerformanceRating],Table17[Id_PerformanceRating])</f>
        <v>PR003</v>
      </c>
      <c r="AN1058">
        <v>3</v>
      </c>
      <c r="AO1058" t="str">
        <f>_xlfn.XLOOKUP(Table1[[#This Row],[PerformanceRating]],Table17[PerformanceRating],Table17[Deskripsi])</f>
        <v>Excellent</v>
      </c>
      <c r="AP1058" t="str">
        <f>_xlfn.XLOOKUP(Table1[[#This Row],[RelationshipSatisfaction]],Table18[RelationshipSatisfaction],Table18[Id_RelationshipSatisfaction])</f>
        <v>RS004</v>
      </c>
      <c r="AQ1058">
        <v>4</v>
      </c>
      <c r="AR1058" t="str">
        <f>_xlfn.XLOOKUP(Table1[[#This Row],[RelationshipSatisfaction]],Table18[RelationshipSatisfaction],Table18[Deskripsi])</f>
        <v>Very High</v>
      </c>
      <c r="AS1058" t="str">
        <f>_xlfn.XLOOKUP(Table1[[#This Row],[StockOptionLevel]],Table19[StockOptionLevel],Table19[Id_StockOptionLevel])</f>
        <v>SOL002</v>
      </c>
      <c r="AT1058">
        <v>1</v>
      </c>
      <c r="AU1058" t="str">
        <f>_xlfn.XLOOKUP(Table1[[#This Row],[StockOptionLevel]],Table19[StockOptionLevel],Table19[Deskripsi])</f>
        <v>Standard</v>
      </c>
      <c r="AV1058">
        <v>5</v>
      </c>
      <c r="AW1058">
        <v>3</v>
      </c>
      <c r="AX1058" t="str">
        <f>_xlfn.XLOOKUP(Table1[[#This Row],[WorkLifeBalance]],Table20[WorkLifeBalance],Table20[Id_WorkLifeBalance])</f>
        <v>WLB004</v>
      </c>
      <c r="AY1058">
        <v>4</v>
      </c>
      <c r="AZ1058" t="str">
        <f>_xlfn.XLOOKUP(Table1[[#This Row],[WorkLifeBalance]],Table20[WorkLifeBalance],Table20[Deskripsi])</f>
        <v>Best</v>
      </c>
      <c r="BA1058">
        <v>3</v>
      </c>
      <c r="BB1058">
        <v>2</v>
      </c>
      <c r="BC1058">
        <v>1</v>
      </c>
      <c r="BD1058">
        <v>2</v>
      </c>
    </row>
    <row r="1059" spans="1:56" x14ac:dyDescent="0.25">
      <c r="A1059">
        <v>29</v>
      </c>
      <c r="B1059" t="str">
        <f>_xlfn.XLOOKUP(Table1[[#This Row],[Attrition]],Table2[Attrition],Table2[Id_Attrition])</f>
        <v>A001</v>
      </c>
      <c r="C1059" t="s">
        <v>32</v>
      </c>
      <c r="D1059" t="str">
        <f>_xlfn.XLOOKUP(Table1[[#This Row],[BusinessTravel]],Table5[BusinessTravel],Table5[Id_BusinessTravel])</f>
        <v>BS002</v>
      </c>
      <c r="E1059" t="s">
        <v>35</v>
      </c>
      <c r="F1059">
        <v>115</v>
      </c>
      <c r="G1059" t="str">
        <f>_xlfn.XLOOKUP(Table1[[#This Row],[Department]],Table6[Department],Table6[Id_Departement])</f>
        <v>D001</v>
      </c>
      <c r="H1059" t="s">
        <v>37</v>
      </c>
      <c r="I1059">
        <v>13</v>
      </c>
      <c r="J1059" t="str">
        <f>_xlfn.XLOOKUP(Table1[[#This Row],[Education]],Table8[Education],Table8[Id_Education])</f>
        <v>E003</v>
      </c>
      <c r="K1059">
        <v>3</v>
      </c>
      <c r="L1059" t="str">
        <f>_xlfn.XLOOKUP(Table1[[#This Row],[EducationField]],Table7[EducationField],Table7[Id_EducationField])</f>
        <v>EF005</v>
      </c>
      <c r="M1059" t="s">
        <v>44</v>
      </c>
      <c r="N1059" t="str">
        <f>_xlfn.XLOOKUP(Table1[[#This Row],[EmployeeNumber]],Table4[EmployeeNumber],Table4[Id_Employee])</f>
        <v>EMP01058</v>
      </c>
      <c r="O1059">
        <v>1487</v>
      </c>
      <c r="P1059" t="str">
        <f>_xlfn.XLOOKUP(Table1[[#This Row],[EnvironmentSatisfaction]],Table9[EnvironmentSatisfaction],Table9[Id_EnviromentSatisfaction])</f>
        <v>ES001</v>
      </c>
      <c r="Q1059">
        <v>1</v>
      </c>
      <c r="R1059" t="str">
        <f>_xlfn.XLOOKUP(Table1[[#This Row],[EnvironmentSatisfaction]],Table9[EnvironmentSatisfaction],Table9[Deskripsi])</f>
        <v>Low</v>
      </c>
      <c r="S1059" t="str">
        <f>_xlfn.XLOOKUP(Table1[[#This Row],[Gender]],Table10[Gender],Table10[Id_Gender])</f>
        <v>G001</v>
      </c>
      <c r="T1059" t="s">
        <v>45</v>
      </c>
      <c r="U1059">
        <v>51</v>
      </c>
      <c r="V1059" t="str">
        <f>_xlfn.XLOOKUP(Table1[[#This Row],[JobInvolvement]],Table11[JobInvolvement],Table11[Id_JobInvolvement])</f>
        <v>JI003</v>
      </c>
      <c r="W1059">
        <v>3</v>
      </c>
      <c r="X1059" t="str">
        <f>_xlfn.XLOOKUP(Table1[[#This Row],[JobLevel]],Table12[JobLevel],Table12[Id_JobLevel])</f>
        <v>JL002</v>
      </c>
      <c r="Y1059">
        <v>2</v>
      </c>
      <c r="Z1059" t="str">
        <f>_xlfn.XLOOKUP(Table1[[#This Row],[JobRole]],Table13[JobRole],Table13[Id_JobRole])</f>
        <v>JR001</v>
      </c>
      <c r="AA1059" t="s">
        <v>47</v>
      </c>
      <c r="AB1059" t="str">
        <f>_xlfn.XLOOKUP(Table1[[#This Row],[JobSatisfaction]],Table14[JobSatisfaction],Table14[Id_JobSatisfaction])</f>
        <v>JS002</v>
      </c>
      <c r="AC1059">
        <v>2</v>
      </c>
      <c r="AD1059" t="str">
        <f>_xlfn.XLOOKUP(Table1[[#This Row],[JobSatisfaction]],Table14[JobSatisfaction],Table14[Deskripsi])</f>
        <v>Medium</v>
      </c>
      <c r="AE1059" t="str">
        <f>_xlfn.XLOOKUP(Table1[[#This Row],[MaritalStatus]],Table15[MaritalStatus],Table15[Id_MaritalStatus])</f>
        <v>MS001</v>
      </c>
      <c r="AF1059" t="s">
        <v>55</v>
      </c>
      <c r="AG1059">
        <v>5765</v>
      </c>
      <c r="AH1059">
        <v>17485</v>
      </c>
      <c r="AI1059">
        <v>5</v>
      </c>
      <c r="AJ1059" t="str">
        <f>_xlfn.XLOOKUP(Table1[[#This Row],[OverTime]],Table16[OverTime],Table16[Id_OverTime])</f>
        <v>OT002</v>
      </c>
      <c r="AK1059" t="s">
        <v>33</v>
      </c>
      <c r="AL1059">
        <v>11</v>
      </c>
      <c r="AM1059" t="str">
        <f>_xlfn.XLOOKUP(Table1[[#This Row],[PerformanceRating]],Table17[PerformanceRating],Table17[Id_PerformanceRating])</f>
        <v>PR003</v>
      </c>
      <c r="AN1059">
        <v>3</v>
      </c>
      <c r="AO1059" t="str">
        <f>_xlfn.XLOOKUP(Table1[[#This Row],[PerformanceRating]],Table17[PerformanceRating],Table17[Deskripsi])</f>
        <v>Excellent</v>
      </c>
      <c r="AP1059" t="str">
        <f>_xlfn.XLOOKUP(Table1[[#This Row],[RelationshipSatisfaction]],Table18[RelationshipSatisfaction],Table18[Id_RelationshipSatisfaction])</f>
        <v>RS001</v>
      </c>
      <c r="AQ1059">
        <v>1</v>
      </c>
      <c r="AR1059" t="str">
        <f>_xlfn.XLOOKUP(Table1[[#This Row],[RelationshipSatisfaction]],Table18[RelationshipSatisfaction],Table18[Deskripsi])</f>
        <v>Low</v>
      </c>
      <c r="AS1059" t="str">
        <f>_xlfn.XLOOKUP(Table1[[#This Row],[StockOptionLevel]],Table19[StockOptionLevel],Table19[Id_StockOptionLevel])</f>
        <v>SOL001</v>
      </c>
      <c r="AT1059">
        <v>0</v>
      </c>
      <c r="AU1059" t="str">
        <f>_xlfn.XLOOKUP(Table1[[#This Row],[StockOptionLevel]],Table19[StockOptionLevel],Table19[Deskripsi])</f>
        <v>Non-Eligible</v>
      </c>
      <c r="AV1059">
        <v>7</v>
      </c>
      <c r="AW1059">
        <v>4</v>
      </c>
      <c r="AX1059" t="str">
        <f>_xlfn.XLOOKUP(Table1[[#This Row],[WorkLifeBalance]],Table20[WorkLifeBalance],Table20[Id_WorkLifeBalance])</f>
        <v>WLB001</v>
      </c>
      <c r="AY1059">
        <v>1</v>
      </c>
      <c r="AZ1059" t="str">
        <f>_xlfn.XLOOKUP(Table1[[#This Row],[WorkLifeBalance]],Table20[WorkLifeBalance],Table20[Deskripsi])</f>
        <v>Bad</v>
      </c>
      <c r="BA1059">
        <v>5</v>
      </c>
      <c r="BB1059">
        <v>3</v>
      </c>
      <c r="BC1059">
        <v>0</v>
      </c>
      <c r="BD1059">
        <v>0</v>
      </c>
    </row>
    <row r="1060" spans="1:56" x14ac:dyDescent="0.25">
      <c r="A1060">
        <v>34</v>
      </c>
      <c r="B1060" t="str">
        <f>_xlfn.XLOOKUP(Table1[[#This Row],[Attrition]],Table2[Attrition],Table2[Id_Attrition])</f>
        <v>A001</v>
      </c>
      <c r="C1060" t="s">
        <v>32</v>
      </c>
      <c r="D1060" t="str">
        <f>_xlfn.XLOOKUP(Table1[[#This Row],[BusinessTravel]],Table5[BusinessTravel],Table5[Id_BusinessTravel])</f>
        <v>BS001</v>
      </c>
      <c r="E1060" t="s">
        <v>34</v>
      </c>
      <c r="F1060">
        <v>790</v>
      </c>
      <c r="G1060" t="str">
        <f>_xlfn.XLOOKUP(Table1[[#This Row],[Department]],Table6[Department],Table6[Id_Departement])</f>
        <v>D001</v>
      </c>
      <c r="H1060" t="s">
        <v>37</v>
      </c>
      <c r="I1060">
        <v>24</v>
      </c>
      <c r="J1060" t="str">
        <f>_xlfn.XLOOKUP(Table1[[#This Row],[Education]],Table8[Education],Table8[Id_Education])</f>
        <v>E004</v>
      </c>
      <c r="K1060">
        <v>4</v>
      </c>
      <c r="L1060" t="str">
        <f>_xlfn.XLOOKUP(Table1[[#This Row],[EducationField]],Table7[EducationField],Table7[Id_EducationField])</f>
        <v>EF003</v>
      </c>
      <c r="M1060" t="s">
        <v>42</v>
      </c>
      <c r="N1060" t="str">
        <f>_xlfn.XLOOKUP(Table1[[#This Row],[EmployeeNumber]],Table4[EmployeeNumber],Table4[Id_Employee])</f>
        <v>EMP01059</v>
      </c>
      <c r="O1060">
        <v>1489</v>
      </c>
      <c r="P1060" t="str">
        <f>_xlfn.XLOOKUP(Table1[[#This Row],[EnvironmentSatisfaction]],Table9[EnvironmentSatisfaction],Table9[Id_EnviromentSatisfaction])</f>
        <v>ES001</v>
      </c>
      <c r="Q1060">
        <v>1</v>
      </c>
      <c r="R1060" t="str">
        <f>_xlfn.XLOOKUP(Table1[[#This Row],[EnvironmentSatisfaction]],Table9[EnvironmentSatisfaction],Table9[Deskripsi])</f>
        <v>Low</v>
      </c>
      <c r="S1060" t="str">
        <f>_xlfn.XLOOKUP(Table1[[#This Row],[Gender]],Table10[Gender],Table10[Id_Gender])</f>
        <v>G001</v>
      </c>
      <c r="T1060" t="s">
        <v>45</v>
      </c>
      <c r="U1060">
        <v>40</v>
      </c>
      <c r="V1060" t="str">
        <f>_xlfn.XLOOKUP(Table1[[#This Row],[JobInvolvement]],Table11[JobInvolvement],Table11[Id_JobInvolvement])</f>
        <v>JI002</v>
      </c>
      <c r="W1060">
        <v>2</v>
      </c>
      <c r="X1060" t="str">
        <f>_xlfn.XLOOKUP(Table1[[#This Row],[JobLevel]],Table12[JobLevel],Table12[Id_JobLevel])</f>
        <v>JL002</v>
      </c>
      <c r="Y1060">
        <v>2</v>
      </c>
      <c r="Z1060" t="str">
        <f>_xlfn.XLOOKUP(Table1[[#This Row],[JobRole]],Table13[JobRole],Table13[Id_JobRole])</f>
        <v>JR001</v>
      </c>
      <c r="AA1060" t="s">
        <v>47</v>
      </c>
      <c r="AB1060" t="str">
        <f>_xlfn.XLOOKUP(Table1[[#This Row],[JobSatisfaction]],Table14[JobSatisfaction],Table14[Id_JobSatisfaction])</f>
        <v>JS002</v>
      </c>
      <c r="AC1060">
        <v>2</v>
      </c>
      <c r="AD1060" t="str">
        <f>_xlfn.XLOOKUP(Table1[[#This Row],[JobSatisfaction]],Table14[JobSatisfaction],Table14[Deskripsi])</f>
        <v>Medium</v>
      </c>
      <c r="AE1060" t="str">
        <f>_xlfn.XLOOKUP(Table1[[#This Row],[MaritalStatus]],Table15[MaritalStatus],Table15[Id_MaritalStatus])</f>
        <v>MS001</v>
      </c>
      <c r="AF1060" t="s">
        <v>55</v>
      </c>
      <c r="AG1060">
        <v>4599</v>
      </c>
      <c r="AH1060">
        <v>7815</v>
      </c>
      <c r="AI1060">
        <v>0</v>
      </c>
      <c r="AJ1060" t="str">
        <f>_xlfn.XLOOKUP(Table1[[#This Row],[OverTime]],Table16[OverTime],Table16[Id_OverTime])</f>
        <v>OT001</v>
      </c>
      <c r="AK1060" t="s">
        <v>32</v>
      </c>
      <c r="AL1060">
        <v>23</v>
      </c>
      <c r="AM1060" t="str">
        <f>_xlfn.XLOOKUP(Table1[[#This Row],[PerformanceRating]],Table17[PerformanceRating],Table17[Id_PerformanceRating])</f>
        <v>PR004</v>
      </c>
      <c r="AN1060">
        <v>4</v>
      </c>
      <c r="AO1060" t="str">
        <f>_xlfn.XLOOKUP(Table1[[#This Row],[PerformanceRating]],Table17[PerformanceRating],Table17[Deskripsi])</f>
        <v>Outstanding</v>
      </c>
      <c r="AP1060" t="str">
        <f>_xlfn.XLOOKUP(Table1[[#This Row],[RelationshipSatisfaction]],Table18[RelationshipSatisfaction],Table18[Id_RelationshipSatisfaction])</f>
        <v>RS003</v>
      </c>
      <c r="AQ1060">
        <v>3</v>
      </c>
      <c r="AR1060" t="str">
        <f>_xlfn.XLOOKUP(Table1[[#This Row],[RelationshipSatisfaction]],Table18[RelationshipSatisfaction],Table18[Deskripsi])</f>
        <v>High</v>
      </c>
      <c r="AS1060" t="str">
        <f>_xlfn.XLOOKUP(Table1[[#This Row],[StockOptionLevel]],Table19[StockOptionLevel],Table19[Id_StockOptionLevel])</f>
        <v>SOL001</v>
      </c>
      <c r="AT1060">
        <v>0</v>
      </c>
      <c r="AU1060" t="str">
        <f>_xlfn.XLOOKUP(Table1[[#This Row],[StockOptionLevel]],Table19[StockOptionLevel],Table19[Deskripsi])</f>
        <v>Non-Eligible</v>
      </c>
      <c r="AV1060">
        <v>16</v>
      </c>
      <c r="AW1060">
        <v>2</v>
      </c>
      <c r="AX1060" t="str">
        <f>_xlfn.XLOOKUP(Table1[[#This Row],[WorkLifeBalance]],Table20[WorkLifeBalance],Table20[Id_WorkLifeBalance])</f>
        <v>WLB004</v>
      </c>
      <c r="AY1060">
        <v>4</v>
      </c>
      <c r="AZ1060" t="str">
        <f>_xlfn.XLOOKUP(Table1[[#This Row],[WorkLifeBalance]],Table20[WorkLifeBalance],Table20[Deskripsi])</f>
        <v>Best</v>
      </c>
      <c r="BA1060">
        <v>15</v>
      </c>
      <c r="BB1060">
        <v>9</v>
      </c>
      <c r="BC1060">
        <v>10</v>
      </c>
      <c r="BD1060">
        <v>10</v>
      </c>
    </row>
    <row r="1061" spans="1:56" x14ac:dyDescent="0.25">
      <c r="A1061">
        <v>35</v>
      </c>
      <c r="B1061" t="str">
        <f>_xlfn.XLOOKUP(Table1[[#This Row],[Attrition]],Table2[Attrition],Table2[Id_Attrition])</f>
        <v>A002</v>
      </c>
      <c r="C1061" t="s">
        <v>33</v>
      </c>
      <c r="D1061" t="str">
        <f>_xlfn.XLOOKUP(Table1[[#This Row],[BusinessTravel]],Table5[BusinessTravel],Table5[Id_BusinessTravel])</f>
        <v>BS001</v>
      </c>
      <c r="E1061" t="s">
        <v>34</v>
      </c>
      <c r="F1061">
        <v>660</v>
      </c>
      <c r="G1061" t="str">
        <f>_xlfn.XLOOKUP(Table1[[#This Row],[Department]],Table6[Department],Table6[Id_Departement])</f>
        <v>D001</v>
      </c>
      <c r="H1061" t="s">
        <v>37</v>
      </c>
      <c r="I1061">
        <v>7</v>
      </c>
      <c r="J1061" t="str">
        <f>_xlfn.XLOOKUP(Table1[[#This Row],[Education]],Table8[Education],Table8[Id_Education])</f>
        <v>E001</v>
      </c>
      <c r="K1061">
        <v>1</v>
      </c>
      <c r="L1061" t="str">
        <f>_xlfn.XLOOKUP(Table1[[#This Row],[EducationField]],Table7[EducationField],Table7[Id_EducationField])</f>
        <v>EF001</v>
      </c>
      <c r="M1061" t="s">
        <v>40</v>
      </c>
      <c r="N1061" t="str">
        <f>_xlfn.XLOOKUP(Table1[[#This Row],[EmployeeNumber]],Table4[EmployeeNumber],Table4[Id_Employee])</f>
        <v>EMP01060</v>
      </c>
      <c r="O1061">
        <v>1492</v>
      </c>
      <c r="P1061" t="str">
        <f>_xlfn.XLOOKUP(Table1[[#This Row],[EnvironmentSatisfaction]],Table9[EnvironmentSatisfaction],Table9[Id_EnviromentSatisfaction])</f>
        <v>ES004</v>
      </c>
      <c r="Q1061">
        <v>4</v>
      </c>
      <c r="R1061" t="str">
        <f>_xlfn.XLOOKUP(Table1[[#This Row],[EnvironmentSatisfaction]],Table9[EnvironmentSatisfaction],Table9[Deskripsi])</f>
        <v>Very High</v>
      </c>
      <c r="S1061" t="str">
        <f>_xlfn.XLOOKUP(Table1[[#This Row],[Gender]],Table10[Gender],Table10[Id_Gender])</f>
        <v>G002</v>
      </c>
      <c r="T1061" t="s">
        <v>46</v>
      </c>
      <c r="U1061">
        <v>76</v>
      </c>
      <c r="V1061" t="str">
        <f>_xlfn.XLOOKUP(Table1[[#This Row],[JobInvolvement]],Table11[JobInvolvement],Table11[Id_JobInvolvement])</f>
        <v>JI003</v>
      </c>
      <c r="W1061">
        <v>3</v>
      </c>
      <c r="X1061" t="str">
        <f>_xlfn.XLOOKUP(Table1[[#This Row],[JobLevel]],Table12[JobLevel],Table12[Id_JobLevel])</f>
        <v>JL001</v>
      </c>
      <c r="Y1061">
        <v>1</v>
      </c>
      <c r="Z1061" t="str">
        <f>_xlfn.XLOOKUP(Table1[[#This Row],[JobRole]],Table13[JobRole],Table13[Id_JobRole])</f>
        <v>JR007</v>
      </c>
      <c r="AA1061" t="s">
        <v>53</v>
      </c>
      <c r="AB1061" t="str">
        <f>_xlfn.XLOOKUP(Table1[[#This Row],[JobSatisfaction]],Table14[JobSatisfaction],Table14[Id_JobSatisfaction])</f>
        <v>JS003</v>
      </c>
      <c r="AC1061">
        <v>3</v>
      </c>
      <c r="AD1061" t="str">
        <f>_xlfn.XLOOKUP(Table1[[#This Row],[JobSatisfaction]],Table14[JobSatisfaction],Table14[Deskripsi])</f>
        <v>High</v>
      </c>
      <c r="AE1061" t="str">
        <f>_xlfn.XLOOKUP(Table1[[#This Row],[MaritalStatus]],Table15[MaritalStatus],Table15[Id_MaritalStatus])</f>
        <v>MS002</v>
      </c>
      <c r="AF1061" t="s">
        <v>56</v>
      </c>
      <c r="AG1061">
        <v>2404</v>
      </c>
      <c r="AH1061">
        <v>16192</v>
      </c>
      <c r="AI1061">
        <v>1</v>
      </c>
      <c r="AJ1061" t="str">
        <f>_xlfn.XLOOKUP(Table1[[#This Row],[OverTime]],Table16[OverTime],Table16[Id_OverTime])</f>
        <v>OT002</v>
      </c>
      <c r="AK1061" t="s">
        <v>33</v>
      </c>
      <c r="AL1061">
        <v>13</v>
      </c>
      <c r="AM1061" t="str">
        <f>_xlfn.XLOOKUP(Table1[[#This Row],[PerformanceRating]],Table17[PerformanceRating],Table17[Id_PerformanceRating])</f>
        <v>PR003</v>
      </c>
      <c r="AN1061">
        <v>3</v>
      </c>
      <c r="AO1061" t="str">
        <f>_xlfn.XLOOKUP(Table1[[#This Row],[PerformanceRating]],Table17[PerformanceRating],Table17[Deskripsi])</f>
        <v>Excellent</v>
      </c>
      <c r="AP1061" t="str">
        <f>_xlfn.XLOOKUP(Table1[[#This Row],[RelationshipSatisfaction]],Table18[RelationshipSatisfaction],Table18[Id_RelationshipSatisfaction])</f>
        <v>RS001</v>
      </c>
      <c r="AQ1061">
        <v>1</v>
      </c>
      <c r="AR1061" t="str">
        <f>_xlfn.XLOOKUP(Table1[[#This Row],[RelationshipSatisfaction]],Table18[RelationshipSatisfaction],Table18[Deskripsi])</f>
        <v>Low</v>
      </c>
      <c r="AS1061" t="str">
        <f>_xlfn.XLOOKUP(Table1[[#This Row],[StockOptionLevel]],Table19[StockOptionLevel],Table19[Id_StockOptionLevel])</f>
        <v>SOL002</v>
      </c>
      <c r="AT1061">
        <v>1</v>
      </c>
      <c r="AU1061" t="str">
        <f>_xlfn.XLOOKUP(Table1[[#This Row],[StockOptionLevel]],Table19[StockOptionLevel],Table19[Deskripsi])</f>
        <v>Standard</v>
      </c>
      <c r="AV1061">
        <v>1</v>
      </c>
      <c r="AW1061">
        <v>3</v>
      </c>
      <c r="AX1061" t="str">
        <f>_xlfn.XLOOKUP(Table1[[#This Row],[WorkLifeBalance]],Table20[WorkLifeBalance],Table20[Id_WorkLifeBalance])</f>
        <v>WLB002</v>
      </c>
      <c r="AY1061">
        <v>3</v>
      </c>
      <c r="AZ1061" t="str">
        <f>_xlfn.XLOOKUP(Table1[[#This Row],[WorkLifeBalance]],Table20[WorkLifeBalance],Table20[Deskripsi])</f>
        <v>Good</v>
      </c>
      <c r="BA1061">
        <v>1</v>
      </c>
      <c r="BB1061">
        <v>0</v>
      </c>
      <c r="BC1061">
        <v>0</v>
      </c>
      <c r="BD1061">
        <v>0</v>
      </c>
    </row>
    <row r="1062" spans="1:56" x14ac:dyDescent="0.25">
      <c r="A1062">
        <v>24</v>
      </c>
      <c r="B1062" t="str">
        <f>_xlfn.XLOOKUP(Table1[[#This Row],[Attrition]],Table2[Attrition],Table2[Id_Attrition])</f>
        <v>A001</v>
      </c>
      <c r="C1062" t="s">
        <v>32</v>
      </c>
      <c r="D1062" t="str">
        <f>_xlfn.XLOOKUP(Table1[[#This Row],[BusinessTravel]],Table5[BusinessTravel],Table5[Id_BusinessTravel])</f>
        <v>BS002</v>
      </c>
      <c r="E1062" t="s">
        <v>35</v>
      </c>
      <c r="F1062">
        <v>381</v>
      </c>
      <c r="G1062" t="str">
        <f>_xlfn.XLOOKUP(Table1[[#This Row],[Department]],Table6[Department],Table6[Id_Departement])</f>
        <v>D002</v>
      </c>
      <c r="H1062" t="s">
        <v>38</v>
      </c>
      <c r="I1062">
        <v>9</v>
      </c>
      <c r="J1062" t="str">
        <f>_xlfn.XLOOKUP(Table1[[#This Row],[Education]],Table8[Education],Table8[Id_Education])</f>
        <v>E003</v>
      </c>
      <c r="K1062">
        <v>3</v>
      </c>
      <c r="L1062" t="str">
        <f>_xlfn.XLOOKUP(Table1[[#This Row],[EducationField]],Table7[EducationField],Table7[Id_EducationField])</f>
        <v>EF003</v>
      </c>
      <c r="M1062" t="s">
        <v>42</v>
      </c>
      <c r="N1062" t="str">
        <f>_xlfn.XLOOKUP(Table1[[#This Row],[EmployeeNumber]],Table4[EmployeeNumber],Table4[Id_Employee])</f>
        <v>EMP01061</v>
      </c>
      <c r="O1062">
        <v>1494</v>
      </c>
      <c r="P1062" t="str">
        <f>_xlfn.XLOOKUP(Table1[[#This Row],[EnvironmentSatisfaction]],Table9[EnvironmentSatisfaction],Table9[Id_EnviromentSatisfaction])</f>
        <v>ES002</v>
      </c>
      <c r="Q1062">
        <v>2</v>
      </c>
      <c r="R1062" t="str">
        <f>_xlfn.XLOOKUP(Table1[[#This Row],[EnvironmentSatisfaction]],Table9[EnvironmentSatisfaction],Table9[Deskripsi])</f>
        <v>Medium</v>
      </c>
      <c r="S1062" t="str">
        <f>_xlfn.XLOOKUP(Table1[[#This Row],[Gender]],Table10[Gender],Table10[Id_Gender])</f>
        <v>G002</v>
      </c>
      <c r="T1062" t="s">
        <v>46</v>
      </c>
      <c r="U1062">
        <v>89</v>
      </c>
      <c r="V1062" t="str">
        <f>_xlfn.XLOOKUP(Table1[[#This Row],[JobInvolvement]],Table11[JobInvolvement],Table11[Id_JobInvolvement])</f>
        <v>JI003</v>
      </c>
      <c r="W1062">
        <v>3</v>
      </c>
      <c r="X1062" t="str">
        <f>_xlfn.XLOOKUP(Table1[[#This Row],[JobLevel]],Table12[JobLevel],Table12[Id_JobLevel])</f>
        <v>JL001</v>
      </c>
      <c r="Y1062">
        <v>1</v>
      </c>
      <c r="Z1062" t="str">
        <f>_xlfn.XLOOKUP(Table1[[#This Row],[JobRole]],Table13[JobRole],Table13[Id_JobRole])</f>
        <v>JR003</v>
      </c>
      <c r="AA1062" t="s">
        <v>49</v>
      </c>
      <c r="AB1062" t="str">
        <f>_xlfn.XLOOKUP(Table1[[#This Row],[JobSatisfaction]],Table14[JobSatisfaction],Table14[Id_JobSatisfaction])</f>
        <v>JS001</v>
      </c>
      <c r="AC1062">
        <v>1</v>
      </c>
      <c r="AD1062" t="str">
        <f>_xlfn.XLOOKUP(Table1[[#This Row],[JobSatisfaction]],Table14[JobSatisfaction],Table14[Deskripsi])</f>
        <v>Low</v>
      </c>
      <c r="AE1062" t="str">
        <f>_xlfn.XLOOKUP(Table1[[#This Row],[MaritalStatus]],Table15[MaritalStatus],Table15[Id_MaritalStatus])</f>
        <v>MS001</v>
      </c>
      <c r="AF1062" t="s">
        <v>55</v>
      </c>
      <c r="AG1062">
        <v>3172</v>
      </c>
      <c r="AH1062">
        <v>16998</v>
      </c>
      <c r="AI1062">
        <v>2</v>
      </c>
      <c r="AJ1062" t="str">
        <f>_xlfn.XLOOKUP(Table1[[#This Row],[OverTime]],Table16[OverTime],Table16[Id_OverTime])</f>
        <v>OT001</v>
      </c>
      <c r="AK1062" t="s">
        <v>32</v>
      </c>
      <c r="AL1062">
        <v>11</v>
      </c>
      <c r="AM1062" t="str">
        <f>_xlfn.XLOOKUP(Table1[[#This Row],[PerformanceRating]],Table17[PerformanceRating],Table17[Id_PerformanceRating])</f>
        <v>PR003</v>
      </c>
      <c r="AN1062">
        <v>3</v>
      </c>
      <c r="AO1062" t="str">
        <f>_xlfn.XLOOKUP(Table1[[#This Row],[PerformanceRating]],Table17[PerformanceRating],Table17[Deskripsi])</f>
        <v>Excellent</v>
      </c>
      <c r="AP1062" t="str">
        <f>_xlfn.XLOOKUP(Table1[[#This Row],[RelationshipSatisfaction]],Table18[RelationshipSatisfaction],Table18[Id_RelationshipSatisfaction])</f>
        <v>RS003</v>
      </c>
      <c r="AQ1062">
        <v>3</v>
      </c>
      <c r="AR1062" t="str">
        <f>_xlfn.XLOOKUP(Table1[[#This Row],[RelationshipSatisfaction]],Table18[RelationshipSatisfaction],Table18[Deskripsi])</f>
        <v>High</v>
      </c>
      <c r="AS1062" t="str">
        <f>_xlfn.XLOOKUP(Table1[[#This Row],[StockOptionLevel]],Table19[StockOptionLevel],Table19[Id_StockOptionLevel])</f>
        <v>SOL001</v>
      </c>
      <c r="AT1062">
        <v>0</v>
      </c>
      <c r="AU1062" t="str">
        <f>_xlfn.XLOOKUP(Table1[[#This Row],[StockOptionLevel]],Table19[StockOptionLevel],Table19[Deskripsi])</f>
        <v>Non-Eligible</v>
      </c>
      <c r="AV1062">
        <v>4</v>
      </c>
      <c r="AW1062">
        <v>2</v>
      </c>
      <c r="AX1062" t="str">
        <f>_xlfn.XLOOKUP(Table1[[#This Row],[WorkLifeBalance]],Table20[WorkLifeBalance],Table20[Id_WorkLifeBalance])</f>
        <v>WLB003</v>
      </c>
      <c r="AY1062">
        <v>2</v>
      </c>
      <c r="AZ1062" t="str">
        <f>_xlfn.XLOOKUP(Table1[[#This Row],[WorkLifeBalance]],Table20[WorkLifeBalance],Table20[Deskripsi])</f>
        <v>Better</v>
      </c>
      <c r="BA1062">
        <v>0</v>
      </c>
      <c r="BB1062">
        <v>0</v>
      </c>
      <c r="BC1062">
        <v>0</v>
      </c>
      <c r="BD1062">
        <v>0</v>
      </c>
    </row>
    <row r="1063" spans="1:56" x14ac:dyDescent="0.25">
      <c r="A1063">
        <v>24</v>
      </c>
      <c r="B1063" t="str">
        <f>_xlfn.XLOOKUP(Table1[[#This Row],[Attrition]],Table2[Attrition],Table2[Id_Attrition])</f>
        <v>A002</v>
      </c>
      <c r="C1063" t="s">
        <v>33</v>
      </c>
      <c r="D1063" t="str">
        <f>_xlfn.XLOOKUP(Table1[[#This Row],[BusinessTravel]],Table5[BusinessTravel],Table5[Id_BusinessTravel])</f>
        <v>BS003</v>
      </c>
      <c r="E1063" t="s">
        <v>36</v>
      </c>
      <c r="F1063">
        <v>830</v>
      </c>
      <c r="G1063" t="str">
        <f>_xlfn.XLOOKUP(Table1[[#This Row],[Department]],Table6[Department],Table6[Id_Departement])</f>
        <v>D001</v>
      </c>
      <c r="H1063" t="s">
        <v>37</v>
      </c>
      <c r="I1063">
        <v>13</v>
      </c>
      <c r="J1063" t="str">
        <f>_xlfn.XLOOKUP(Table1[[#This Row],[Education]],Table8[Education],Table8[Id_Education])</f>
        <v>E002</v>
      </c>
      <c r="K1063">
        <v>2</v>
      </c>
      <c r="L1063" t="str">
        <f>_xlfn.XLOOKUP(Table1[[#This Row],[EducationField]],Table7[EducationField],Table7[Id_EducationField])</f>
        <v>EF001</v>
      </c>
      <c r="M1063" t="s">
        <v>40</v>
      </c>
      <c r="N1063" t="str">
        <f>_xlfn.XLOOKUP(Table1[[#This Row],[EmployeeNumber]],Table4[EmployeeNumber],Table4[Id_Employee])</f>
        <v>EMP01062</v>
      </c>
      <c r="O1063">
        <v>1495</v>
      </c>
      <c r="P1063" t="str">
        <f>_xlfn.XLOOKUP(Table1[[#This Row],[EnvironmentSatisfaction]],Table9[EnvironmentSatisfaction],Table9[Id_EnviromentSatisfaction])</f>
        <v>ES004</v>
      </c>
      <c r="Q1063">
        <v>4</v>
      </c>
      <c r="R1063" t="str">
        <f>_xlfn.XLOOKUP(Table1[[#This Row],[EnvironmentSatisfaction]],Table9[EnvironmentSatisfaction],Table9[Deskripsi])</f>
        <v>Very High</v>
      </c>
      <c r="S1063" t="str">
        <f>_xlfn.XLOOKUP(Table1[[#This Row],[Gender]],Table10[Gender],Table10[Id_Gender])</f>
        <v>G001</v>
      </c>
      <c r="T1063" t="s">
        <v>45</v>
      </c>
      <c r="U1063">
        <v>78</v>
      </c>
      <c r="V1063" t="str">
        <f>_xlfn.XLOOKUP(Table1[[#This Row],[JobInvolvement]],Table11[JobInvolvement],Table11[Id_JobInvolvement])</f>
        <v>JI003</v>
      </c>
      <c r="W1063">
        <v>3</v>
      </c>
      <c r="X1063" t="str">
        <f>_xlfn.XLOOKUP(Table1[[#This Row],[JobLevel]],Table12[JobLevel],Table12[Id_JobLevel])</f>
        <v>JL001</v>
      </c>
      <c r="Y1063">
        <v>1</v>
      </c>
      <c r="Z1063" t="str">
        <f>_xlfn.XLOOKUP(Table1[[#This Row],[JobRole]],Table13[JobRole],Table13[Id_JobRole])</f>
        <v>JR007</v>
      </c>
      <c r="AA1063" t="s">
        <v>53</v>
      </c>
      <c r="AB1063" t="str">
        <f>_xlfn.XLOOKUP(Table1[[#This Row],[JobSatisfaction]],Table14[JobSatisfaction],Table14[Id_JobSatisfaction])</f>
        <v>JS002</v>
      </c>
      <c r="AC1063">
        <v>2</v>
      </c>
      <c r="AD1063" t="str">
        <f>_xlfn.XLOOKUP(Table1[[#This Row],[JobSatisfaction]],Table14[JobSatisfaction],Table14[Deskripsi])</f>
        <v>Medium</v>
      </c>
      <c r="AE1063" t="str">
        <f>_xlfn.XLOOKUP(Table1[[#This Row],[MaritalStatus]],Table15[MaritalStatus],Table15[Id_MaritalStatus])</f>
        <v>MS002</v>
      </c>
      <c r="AF1063" t="s">
        <v>56</v>
      </c>
      <c r="AG1063">
        <v>2033</v>
      </c>
      <c r="AH1063">
        <v>7103</v>
      </c>
      <c r="AI1063">
        <v>1</v>
      </c>
      <c r="AJ1063" t="str">
        <f>_xlfn.XLOOKUP(Table1[[#This Row],[OverTime]],Table16[OverTime],Table16[Id_OverTime])</f>
        <v>OT002</v>
      </c>
      <c r="AK1063" t="s">
        <v>33</v>
      </c>
      <c r="AL1063">
        <v>13</v>
      </c>
      <c r="AM1063" t="str">
        <f>_xlfn.XLOOKUP(Table1[[#This Row],[PerformanceRating]],Table17[PerformanceRating],Table17[Id_PerformanceRating])</f>
        <v>PR003</v>
      </c>
      <c r="AN1063">
        <v>3</v>
      </c>
      <c r="AO1063" t="str">
        <f>_xlfn.XLOOKUP(Table1[[#This Row],[PerformanceRating]],Table17[PerformanceRating],Table17[Deskripsi])</f>
        <v>Excellent</v>
      </c>
      <c r="AP1063" t="str">
        <f>_xlfn.XLOOKUP(Table1[[#This Row],[RelationshipSatisfaction]],Table18[RelationshipSatisfaction],Table18[Id_RelationshipSatisfaction])</f>
        <v>RS003</v>
      </c>
      <c r="AQ1063">
        <v>3</v>
      </c>
      <c r="AR1063" t="str">
        <f>_xlfn.XLOOKUP(Table1[[#This Row],[RelationshipSatisfaction]],Table18[RelationshipSatisfaction],Table18[Deskripsi])</f>
        <v>High</v>
      </c>
      <c r="AS1063" t="str">
        <f>_xlfn.XLOOKUP(Table1[[#This Row],[StockOptionLevel]],Table19[StockOptionLevel],Table19[Id_StockOptionLevel])</f>
        <v>SOL002</v>
      </c>
      <c r="AT1063">
        <v>1</v>
      </c>
      <c r="AU1063" t="str">
        <f>_xlfn.XLOOKUP(Table1[[#This Row],[StockOptionLevel]],Table19[StockOptionLevel],Table19[Deskripsi])</f>
        <v>Standard</v>
      </c>
      <c r="AV1063">
        <v>1</v>
      </c>
      <c r="AW1063">
        <v>2</v>
      </c>
      <c r="AX1063" t="str">
        <f>_xlfn.XLOOKUP(Table1[[#This Row],[WorkLifeBalance]],Table20[WorkLifeBalance],Table20[Id_WorkLifeBalance])</f>
        <v>WLB002</v>
      </c>
      <c r="AY1063">
        <v>3</v>
      </c>
      <c r="AZ1063" t="str">
        <f>_xlfn.XLOOKUP(Table1[[#This Row],[WorkLifeBalance]],Table20[WorkLifeBalance],Table20[Deskripsi])</f>
        <v>Good</v>
      </c>
      <c r="BA1063">
        <v>1</v>
      </c>
      <c r="BB1063">
        <v>0</v>
      </c>
      <c r="BC1063">
        <v>0</v>
      </c>
      <c r="BD1063">
        <v>0</v>
      </c>
    </row>
    <row r="1064" spans="1:56" x14ac:dyDescent="0.25">
      <c r="A1064">
        <v>44</v>
      </c>
      <c r="B1064" t="str">
        <f>_xlfn.XLOOKUP(Table1[[#This Row],[Attrition]],Table2[Attrition],Table2[Id_Attrition])</f>
        <v>A002</v>
      </c>
      <c r="C1064" t="s">
        <v>33</v>
      </c>
      <c r="D1064" t="str">
        <f>_xlfn.XLOOKUP(Table1[[#This Row],[BusinessTravel]],Table5[BusinessTravel],Table5[Id_BusinessTravel])</f>
        <v>BS002</v>
      </c>
      <c r="E1064" t="s">
        <v>35</v>
      </c>
      <c r="F1064">
        <v>1193</v>
      </c>
      <c r="G1064" t="str">
        <f>_xlfn.XLOOKUP(Table1[[#This Row],[Department]],Table6[Department],Table6[Id_Departement])</f>
        <v>D002</v>
      </c>
      <c r="H1064" t="s">
        <v>38</v>
      </c>
      <c r="I1064">
        <v>2</v>
      </c>
      <c r="J1064" t="str">
        <f>_xlfn.XLOOKUP(Table1[[#This Row],[Education]],Table8[Education],Table8[Id_Education])</f>
        <v>E001</v>
      </c>
      <c r="K1064">
        <v>1</v>
      </c>
      <c r="L1064" t="str">
        <f>_xlfn.XLOOKUP(Table1[[#This Row],[EducationField]],Table7[EducationField],Table7[Id_EducationField])</f>
        <v>EF003</v>
      </c>
      <c r="M1064" t="s">
        <v>42</v>
      </c>
      <c r="N1064" t="str">
        <f>_xlfn.XLOOKUP(Table1[[#This Row],[EmployeeNumber]],Table4[EmployeeNumber],Table4[Id_Employee])</f>
        <v>EMP01063</v>
      </c>
      <c r="O1064">
        <v>1496</v>
      </c>
      <c r="P1064" t="str">
        <f>_xlfn.XLOOKUP(Table1[[#This Row],[EnvironmentSatisfaction]],Table9[EnvironmentSatisfaction],Table9[Id_EnviromentSatisfaction])</f>
        <v>ES002</v>
      </c>
      <c r="Q1064">
        <v>2</v>
      </c>
      <c r="R1064" t="str">
        <f>_xlfn.XLOOKUP(Table1[[#This Row],[EnvironmentSatisfaction]],Table9[EnvironmentSatisfaction],Table9[Deskripsi])</f>
        <v>Medium</v>
      </c>
      <c r="S1064" t="str">
        <f>_xlfn.XLOOKUP(Table1[[#This Row],[Gender]],Table10[Gender],Table10[Id_Gender])</f>
        <v>G002</v>
      </c>
      <c r="T1064" t="s">
        <v>46</v>
      </c>
      <c r="U1064">
        <v>86</v>
      </c>
      <c r="V1064" t="str">
        <f>_xlfn.XLOOKUP(Table1[[#This Row],[JobInvolvement]],Table11[JobInvolvement],Table11[Id_JobInvolvement])</f>
        <v>JI003</v>
      </c>
      <c r="W1064">
        <v>3</v>
      </c>
      <c r="X1064" t="str">
        <f>_xlfn.XLOOKUP(Table1[[#This Row],[JobLevel]],Table12[JobLevel],Table12[Id_JobLevel])</f>
        <v>JL003</v>
      </c>
      <c r="Y1064">
        <v>3</v>
      </c>
      <c r="Z1064" t="str">
        <f>_xlfn.XLOOKUP(Table1[[#This Row],[JobRole]],Table13[JobRole],Table13[Id_JobRole])</f>
        <v>JR004</v>
      </c>
      <c r="AA1064" t="s">
        <v>50</v>
      </c>
      <c r="AB1064" t="str">
        <f>_xlfn.XLOOKUP(Table1[[#This Row],[JobSatisfaction]],Table14[JobSatisfaction],Table14[Id_JobSatisfaction])</f>
        <v>JS003</v>
      </c>
      <c r="AC1064">
        <v>3</v>
      </c>
      <c r="AD1064" t="str">
        <f>_xlfn.XLOOKUP(Table1[[#This Row],[JobSatisfaction]],Table14[JobSatisfaction],Table14[Deskripsi])</f>
        <v>High</v>
      </c>
      <c r="AE1064" t="str">
        <f>_xlfn.XLOOKUP(Table1[[#This Row],[MaritalStatus]],Table15[MaritalStatus],Table15[Id_MaritalStatus])</f>
        <v>MS001</v>
      </c>
      <c r="AF1064" t="s">
        <v>55</v>
      </c>
      <c r="AG1064">
        <v>10209</v>
      </c>
      <c r="AH1064">
        <v>19719</v>
      </c>
      <c r="AI1064">
        <v>5</v>
      </c>
      <c r="AJ1064" t="str">
        <f>_xlfn.XLOOKUP(Table1[[#This Row],[OverTime]],Table16[OverTime],Table16[Id_OverTime])</f>
        <v>OT001</v>
      </c>
      <c r="AK1064" t="s">
        <v>32</v>
      </c>
      <c r="AL1064">
        <v>18</v>
      </c>
      <c r="AM1064" t="str">
        <f>_xlfn.XLOOKUP(Table1[[#This Row],[PerformanceRating]],Table17[PerformanceRating],Table17[Id_PerformanceRating])</f>
        <v>PR003</v>
      </c>
      <c r="AN1064">
        <v>3</v>
      </c>
      <c r="AO1064" t="str">
        <f>_xlfn.XLOOKUP(Table1[[#This Row],[PerformanceRating]],Table17[PerformanceRating],Table17[Deskripsi])</f>
        <v>Excellent</v>
      </c>
      <c r="AP1064" t="str">
        <f>_xlfn.XLOOKUP(Table1[[#This Row],[RelationshipSatisfaction]],Table18[RelationshipSatisfaction],Table18[Id_RelationshipSatisfaction])</f>
        <v>RS002</v>
      </c>
      <c r="AQ1064">
        <v>2</v>
      </c>
      <c r="AR1064" t="str">
        <f>_xlfn.XLOOKUP(Table1[[#This Row],[RelationshipSatisfaction]],Table18[RelationshipSatisfaction],Table18[Deskripsi])</f>
        <v>Medium</v>
      </c>
      <c r="AS1064" t="str">
        <f>_xlfn.XLOOKUP(Table1[[#This Row],[StockOptionLevel]],Table19[StockOptionLevel],Table19[Id_StockOptionLevel])</f>
        <v>SOL001</v>
      </c>
      <c r="AT1064">
        <v>0</v>
      </c>
      <c r="AU1064" t="str">
        <f>_xlfn.XLOOKUP(Table1[[#This Row],[StockOptionLevel]],Table19[StockOptionLevel],Table19[Deskripsi])</f>
        <v>Non-Eligible</v>
      </c>
      <c r="AV1064">
        <v>16</v>
      </c>
      <c r="AW1064">
        <v>2</v>
      </c>
      <c r="AX1064" t="str">
        <f>_xlfn.XLOOKUP(Table1[[#This Row],[WorkLifeBalance]],Table20[WorkLifeBalance],Table20[Id_WorkLifeBalance])</f>
        <v>WLB003</v>
      </c>
      <c r="AY1064">
        <v>2</v>
      </c>
      <c r="AZ1064" t="str">
        <f>_xlfn.XLOOKUP(Table1[[#This Row],[WorkLifeBalance]],Table20[WorkLifeBalance],Table20[Deskripsi])</f>
        <v>Better</v>
      </c>
      <c r="BA1064">
        <v>2</v>
      </c>
      <c r="BB1064">
        <v>2</v>
      </c>
      <c r="BC1064">
        <v>2</v>
      </c>
      <c r="BD1064">
        <v>2</v>
      </c>
    </row>
    <row r="1065" spans="1:56" x14ac:dyDescent="0.25">
      <c r="A1065">
        <v>29</v>
      </c>
      <c r="B1065" t="str">
        <f>_xlfn.XLOOKUP(Table1[[#This Row],[Attrition]],Table2[Attrition],Table2[Id_Attrition])</f>
        <v>A002</v>
      </c>
      <c r="C1065" t="s">
        <v>33</v>
      </c>
      <c r="D1065" t="str">
        <f>_xlfn.XLOOKUP(Table1[[#This Row],[BusinessTravel]],Table5[BusinessTravel],Table5[Id_BusinessTravel])</f>
        <v>BS001</v>
      </c>
      <c r="E1065" t="s">
        <v>34</v>
      </c>
      <c r="F1065">
        <v>1246</v>
      </c>
      <c r="G1065" t="str">
        <f>_xlfn.XLOOKUP(Table1[[#This Row],[Department]],Table6[Department],Table6[Id_Departement])</f>
        <v>D001</v>
      </c>
      <c r="H1065" t="s">
        <v>37</v>
      </c>
      <c r="I1065">
        <v>19</v>
      </c>
      <c r="J1065" t="str">
        <f>_xlfn.XLOOKUP(Table1[[#This Row],[Education]],Table8[Education],Table8[Id_Education])</f>
        <v>E003</v>
      </c>
      <c r="K1065">
        <v>3</v>
      </c>
      <c r="L1065" t="str">
        <f>_xlfn.XLOOKUP(Table1[[#This Row],[EducationField]],Table7[EducationField],Table7[Id_EducationField])</f>
        <v>EF001</v>
      </c>
      <c r="M1065" t="s">
        <v>40</v>
      </c>
      <c r="N1065" t="str">
        <f>_xlfn.XLOOKUP(Table1[[#This Row],[EmployeeNumber]],Table4[EmployeeNumber],Table4[Id_Employee])</f>
        <v>EMP01064</v>
      </c>
      <c r="O1065">
        <v>1497</v>
      </c>
      <c r="P1065" t="str">
        <f>_xlfn.XLOOKUP(Table1[[#This Row],[EnvironmentSatisfaction]],Table9[EnvironmentSatisfaction],Table9[Id_EnviromentSatisfaction])</f>
        <v>ES003</v>
      </c>
      <c r="Q1065">
        <v>3</v>
      </c>
      <c r="R1065" t="str">
        <f>_xlfn.XLOOKUP(Table1[[#This Row],[EnvironmentSatisfaction]],Table9[EnvironmentSatisfaction],Table9[Deskripsi])</f>
        <v>High</v>
      </c>
      <c r="S1065" t="str">
        <f>_xlfn.XLOOKUP(Table1[[#This Row],[Gender]],Table10[Gender],Table10[Id_Gender])</f>
        <v>G002</v>
      </c>
      <c r="T1065" t="s">
        <v>46</v>
      </c>
      <c r="U1065">
        <v>77</v>
      </c>
      <c r="V1065" t="str">
        <f>_xlfn.XLOOKUP(Table1[[#This Row],[JobInvolvement]],Table11[JobInvolvement],Table11[Id_JobInvolvement])</f>
        <v>JI002</v>
      </c>
      <c r="W1065">
        <v>2</v>
      </c>
      <c r="X1065" t="str">
        <f>_xlfn.XLOOKUP(Table1[[#This Row],[JobLevel]],Table12[JobLevel],Table12[Id_JobLevel])</f>
        <v>JL002</v>
      </c>
      <c r="Y1065">
        <v>2</v>
      </c>
      <c r="Z1065" t="str">
        <f>_xlfn.XLOOKUP(Table1[[#This Row],[JobRole]],Table13[JobRole],Table13[Id_JobRole])</f>
        <v>JR001</v>
      </c>
      <c r="AA1065" t="s">
        <v>47</v>
      </c>
      <c r="AB1065" t="str">
        <f>_xlfn.XLOOKUP(Table1[[#This Row],[JobSatisfaction]],Table14[JobSatisfaction],Table14[Id_JobSatisfaction])</f>
        <v>JS003</v>
      </c>
      <c r="AC1065">
        <v>3</v>
      </c>
      <c r="AD1065" t="str">
        <f>_xlfn.XLOOKUP(Table1[[#This Row],[JobSatisfaction]],Table14[JobSatisfaction],Table14[Deskripsi])</f>
        <v>High</v>
      </c>
      <c r="AE1065" t="str">
        <f>_xlfn.XLOOKUP(Table1[[#This Row],[MaritalStatus]],Table15[MaritalStatus],Table15[Id_MaritalStatus])</f>
        <v>MS003</v>
      </c>
      <c r="AF1065" t="s">
        <v>57</v>
      </c>
      <c r="AG1065">
        <v>8620</v>
      </c>
      <c r="AH1065">
        <v>23757</v>
      </c>
      <c r="AI1065">
        <v>1</v>
      </c>
      <c r="AJ1065" t="str">
        <f>_xlfn.XLOOKUP(Table1[[#This Row],[OverTime]],Table16[OverTime],Table16[Id_OverTime])</f>
        <v>OT002</v>
      </c>
      <c r="AK1065" t="s">
        <v>33</v>
      </c>
      <c r="AL1065">
        <v>14</v>
      </c>
      <c r="AM1065" t="str">
        <f>_xlfn.XLOOKUP(Table1[[#This Row],[PerformanceRating]],Table17[PerformanceRating],Table17[Id_PerformanceRating])</f>
        <v>PR003</v>
      </c>
      <c r="AN1065">
        <v>3</v>
      </c>
      <c r="AO1065" t="str">
        <f>_xlfn.XLOOKUP(Table1[[#This Row],[PerformanceRating]],Table17[PerformanceRating],Table17[Deskripsi])</f>
        <v>Excellent</v>
      </c>
      <c r="AP1065" t="str">
        <f>_xlfn.XLOOKUP(Table1[[#This Row],[RelationshipSatisfaction]],Table18[RelationshipSatisfaction],Table18[Id_RelationshipSatisfaction])</f>
        <v>RS003</v>
      </c>
      <c r="AQ1065">
        <v>3</v>
      </c>
      <c r="AR1065" t="str">
        <f>_xlfn.XLOOKUP(Table1[[#This Row],[RelationshipSatisfaction]],Table18[RelationshipSatisfaction],Table18[Deskripsi])</f>
        <v>High</v>
      </c>
      <c r="AS1065" t="str">
        <f>_xlfn.XLOOKUP(Table1[[#This Row],[StockOptionLevel]],Table19[StockOptionLevel],Table19[Id_StockOptionLevel])</f>
        <v>SOL003</v>
      </c>
      <c r="AT1065">
        <v>2</v>
      </c>
      <c r="AU1065" t="str">
        <f>_xlfn.XLOOKUP(Table1[[#This Row],[StockOptionLevel]],Table19[StockOptionLevel],Table19[Deskripsi])</f>
        <v>Intermediate</v>
      </c>
      <c r="AV1065">
        <v>10</v>
      </c>
      <c r="AW1065">
        <v>3</v>
      </c>
      <c r="AX1065" t="str">
        <f>_xlfn.XLOOKUP(Table1[[#This Row],[WorkLifeBalance]],Table20[WorkLifeBalance],Table20[Id_WorkLifeBalance])</f>
        <v>WLB002</v>
      </c>
      <c r="AY1065">
        <v>3</v>
      </c>
      <c r="AZ1065" t="str">
        <f>_xlfn.XLOOKUP(Table1[[#This Row],[WorkLifeBalance]],Table20[WorkLifeBalance],Table20[Deskripsi])</f>
        <v>Good</v>
      </c>
      <c r="BA1065">
        <v>10</v>
      </c>
      <c r="BB1065">
        <v>7</v>
      </c>
      <c r="BC1065">
        <v>0</v>
      </c>
      <c r="BD1065">
        <v>4</v>
      </c>
    </row>
    <row r="1066" spans="1:56" x14ac:dyDescent="0.25">
      <c r="A1066">
        <v>30</v>
      </c>
      <c r="B1066" t="str">
        <f>_xlfn.XLOOKUP(Table1[[#This Row],[Attrition]],Table2[Attrition],Table2[Id_Attrition])</f>
        <v>A002</v>
      </c>
      <c r="C1066" t="s">
        <v>33</v>
      </c>
      <c r="D1066" t="str">
        <f>_xlfn.XLOOKUP(Table1[[#This Row],[BusinessTravel]],Table5[BusinessTravel],Table5[Id_BusinessTravel])</f>
        <v>BS001</v>
      </c>
      <c r="E1066" t="s">
        <v>34</v>
      </c>
      <c r="F1066">
        <v>330</v>
      </c>
      <c r="G1066" t="str">
        <f>_xlfn.XLOOKUP(Table1[[#This Row],[Department]],Table6[Department],Table6[Id_Departement])</f>
        <v>D003</v>
      </c>
      <c r="H1066" t="s">
        <v>39</v>
      </c>
      <c r="I1066">
        <v>1</v>
      </c>
      <c r="J1066" t="str">
        <f>_xlfn.XLOOKUP(Table1[[#This Row],[Education]],Table8[Education],Table8[Id_Education])</f>
        <v>E003</v>
      </c>
      <c r="K1066">
        <v>3</v>
      </c>
      <c r="L1066" t="str">
        <f>_xlfn.XLOOKUP(Table1[[#This Row],[EducationField]],Table7[EducationField],Table7[Id_EducationField])</f>
        <v>EF001</v>
      </c>
      <c r="M1066" t="s">
        <v>40</v>
      </c>
      <c r="N1066" t="str">
        <f>_xlfn.XLOOKUP(Table1[[#This Row],[EmployeeNumber]],Table4[EmployeeNumber],Table4[Id_Employee])</f>
        <v>EMP01065</v>
      </c>
      <c r="O1066">
        <v>1499</v>
      </c>
      <c r="P1066" t="str">
        <f>_xlfn.XLOOKUP(Table1[[#This Row],[EnvironmentSatisfaction]],Table9[EnvironmentSatisfaction],Table9[Id_EnviromentSatisfaction])</f>
        <v>ES003</v>
      </c>
      <c r="Q1066">
        <v>3</v>
      </c>
      <c r="R1066" t="str">
        <f>_xlfn.XLOOKUP(Table1[[#This Row],[EnvironmentSatisfaction]],Table9[EnvironmentSatisfaction],Table9[Deskripsi])</f>
        <v>High</v>
      </c>
      <c r="S1066" t="str">
        <f>_xlfn.XLOOKUP(Table1[[#This Row],[Gender]],Table10[Gender],Table10[Id_Gender])</f>
        <v>G002</v>
      </c>
      <c r="T1066" t="s">
        <v>46</v>
      </c>
      <c r="U1066">
        <v>46</v>
      </c>
      <c r="V1066" t="str">
        <f>_xlfn.XLOOKUP(Table1[[#This Row],[JobInvolvement]],Table11[JobInvolvement],Table11[Id_JobInvolvement])</f>
        <v>JI003</v>
      </c>
      <c r="W1066">
        <v>3</v>
      </c>
      <c r="X1066" t="str">
        <f>_xlfn.XLOOKUP(Table1[[#This Row],[JobLevel]],Table12[JobLevel],Table12[Id_JobLevel])</f>
        <v>JL001</v>
      </c>
      <c r="Y1066">
        <v>1</v>
      </c>
      <c r="Z1066" t="str">
        <f>_xlfn.XLOOKUP(Table1[[#This Row],[JobRole]],Table13[JobRole],Table13[Id_JobRole])</f>
        <v>JR009</v>
      </c>
      <c r="AA1066" t="s">
        <v>39</v>
      </c>
      <c r="AB1066" t="str">
        <f>_xlfn.XLOOKUP(Table1[[#This Row],[JobSatisfaction]],Table14[JobSatisfaction],Table14[Id_JobSatisfaction])</f>
        <v>JS003</v>
      </c>
      <c r="AC1066">
        <v>3</v>
      </c>
      <c r="AD1066" t="str">
        <f>_xlfn.XLOOKUP(Table1[[#This Row],[JobSatisfaction]],Table14[JobSatisfaction],Table14[Deskripsi])</f>
        <v>High</v>
      </c>
      <c r="AE1066" t="str">
        <f>_xlfn.XLOOKUP(Table1[[#This Row],[MaritalStatus]],Table15[MaritalStatus],Table15[Id_MaritalStatus])</f>
        <v>MS003</v>
      </c>
      <c r="AF1066" t="s">
        <v>57</v>
      </c>
      <c r="AG1066">
        <v>2064</v>
      </c>
      <c r="AH1066">
        <v>15428</v>
      </c>
      <c r="AI1066">
        <v>0</v>
      </c>
      <c r="AJ1066" t="str">
        <f>_xlfn.XLOOKUP(Table1[[#This Row],[OverTime]],Table16[OverTime],Table16[Id_OverTime])</f>
        <v>OT002</v>
      </c>
      <c r="AK1066" t="s">
        <v>33</v>
      </c>
      <c r="AL1066">
        <v>21</v>
      </c>
      <c r="AM1066" t="str">
        <f>_xlfn.XLOOKUP(Table1[[#This Row],[PerformanceRating]],Table17[PerformanceRating],Table17[Id_PerformanceRating])</f>
        <v>PR004</v>
      </c>
      <c r="AN1066">
        <v>4</v>
      </c>
      <c r="AO1066" t="str">
        <f>_xlfn.XLOOKUP(Table1[[#This Row],[PerformanceRating]],Table17[PerformanceRating],Table17[Deskripsi])</f>
        <v>Outstanding</v>
      </c>
      <c r="AP1066" t="str">
        <f>_xlfn.XLOOKUP(Table1[[#This Row],[RelationshipSatisfaction]],Table18[RelationshipSatisfaction],Table18[Id_RelationshipSatisfaction])</f>
        <v>RS001</v>
      </c>
      <c r="AQ1066">
        <v>1</v>
      </c>
      <c r="AR1066" t="str">
        <f>_xlfn.XLOOKUP(Table1[[#This Row],[RelationshipSatisfaction]],Table18[RelationshipSatisfaction],Table18[Deskripsi])</f>
        <v>Low</v>
      </c>
      <c r="AS1066" t="str">
        <f>_xlfn.XLOOKUP(Table1[[#This Row],[StockOptionLevel]],Table19[StockOptionLevel],Table19[Id_StockOptionLevel])</f>
        <v>SOL002</v>
      </c>
      <c r="AT1066">
        <v>1</v>
      </c>
      <c r="AU1066" t="str">
        <f>_xlfn.XLOOKUP(Table1[[#This Row],[StockOptionLevel]],Table19[StockOptionLevel],Table19[Deskripsi])</f>
        <v>Standard</v>
      </c>
      <c r="AV1066">
        <v>6</v>
      </c>
      <c r="AW1066">
        <v>3</v>
      </c>
      <c r="AX1066" t="str">
        <f>_xlfn.XLOOKUP(Table1[[#This Row],[WorkLifeBalance]],Table20[WorkLifeBalance],Table20[Id_WorkLifeBalance])</f>
        <v>WLB004</v>
      </c>
      <c r="AY1066">
        <v>4</v>
      </c>
      <c r="AZ1066" t="str">
        <f>_xlfn.XLOOKUP(Table1[[#This Row],[WorkLifeBalance]],Table20[WorkLifeBalance],Table20[Deskripsi])</f>
        <v>Best</v>
      </c>
      <c r="BA1066">
        <v>5</v>
      </c>
      <c r="BB1066">
        <v>3</v>
      </c>
      <c r="BC1066">
        <v>1</v>
      </c>
      <c r="BD1066">
        <v>3</v>
      </c>
    </row>
    <row r="1067" spans="1:56" x14ac:dyDescent="0.25">
      <c r="A1067">
        <v>55</v>
      </c>
      <c r="B1067" t="str">
        <f>_xlfn.XLOOKUP(Table1[[#This Row],[Attrition]],Table2[Attrition],Table2[Id_Attrition])</f>
        <v>A002</v>
      </c>
      <c r="C1067" t="s">
        <v>33</v>
      </c>
      <c r="D1067" t="str">
        <f>_xlfn.XLOOKUP(Table1[[#This Row],[BusinessTravel]],Table5[BusinessTravel],Table5[Id_BusinessTravel])</f>
        <v>BS001</v>
      </c>
      <c r="E1067" t="s">
        <v>34</v>
      </c>
      <c r="F1067">
        <v>1229</v>
      </c>
      <c r="G1067" t="str">
        <f>_xlfn.XLOOKUP(Table1[[#This Row],[Department]],Table6[Department],Table6[Id_Departement])</f>
        <v>D002</v>
      </c>
      <c r="H1067" t="s">
        <v>38</v>
      </c>
      <c r="I1067">
        <v>4</v>
      </c>
      <c r="J1067" t="str">
        <f>_xlfn.XLOOKUP(Table1[[#This Row],[Education]],Table8[Education],Table8[Id_Education])</f>
        <v>E004</v>
      </c>
      <c r="K1067">
        <v>4</v>
      </c>
      <c r="L1067" t="str">
        <f>_xlfn.XLOOKUP(Table1[[#This Row],[EducationField]],Table7[EducationField],Table7[Id_EducationField])</f>
        <v>EF001</v>
      </c>
      <c r="M1067" t="s">
        <v>40</v>
      </c>
      <c r="N1067" t="str">
        <f>_xlfn.XLOOKUP(Table1[[#This Row],[EmployeeNumber]],Table4[EmployeeNumber],Table4[Id_Employee])</f>
        <v>EMP01066</v>
      </c>
      <c r="O1067">
        <v>1501</v>
      </c>
      <c r="P1067" t="str">
        <f>_xlfn.XLOOKUP(Table1[[#This Row],[EnvironmentSatisfaction]],Table9[EnvironmentSatisfaction],Table9[Id_EnviromentSatisfaction])</f>
        <v>ES004</v>
      </c>
      <c r="Q1067">
        <v>4</v>
      </c>
      <c r="R1067" t="str">
        <f>_xlfn.XLOOKUP(Table1[[#This Row],[EnvironmentSatisfaction]],Table9[EnvironmentSatisfaction],Table9[Deskripsi])</f>
        <v>Very High</v>
      </c>
      <c r="S1067" t="str">
        <f>_xlfn.XLOOKUP(Table1[[#This Row],[Gender]],Table10[Gender],Table10[Id_Gender])</f>
        <v>G002</v>
      </c>
      <c r="T1067" t="s">
        <v>46</v>
      </c>
      <c r="U1067">
        <v>30</v>
      </c>
      <c r="V1067" t="str">
        <f>_xlfn.XLOOKUP(Table1[[#This Row],[JobInvolvement]],Table11[JobInvolvement],Table11[Id_JobInvolvement])</f>
        <v>JI003</v>
      </c>
      <c r="W1067">
        <v>3</v>
      </c>
      <c r="X1067" t="str">
        <f>_xlfn.XLOOKUP(Table1[[#This Row],[JobLevel]],Table12[JobLevel],Table12[Id_JobLevel])</f>
        <v>JL002</v>
      </c>
      <c r="Y1067">
        <v>2</v>
      </c>
      <c r="Z1067" t="str">
        <f>_xlfn.XLOOKUP(Table1[[#This Row],[JobRole]],Table13[JobRole],Table13[Id_JobRole])</f>
        <v>JR005</v>
      </c>
      <c r="AA1067" t="s">
        <v>51</v>
      </c>
      <c r="AB1067" t="str">
        <f>_xlfn.XLOOKUP(Table1[[#This Row],[JobSatisfaction]],Table14[JobSatisfaction],Table14[Id_JobSatisfaction])</f>
        <v>JS003</v>
      </c>
      <c r="AC1067">
        <v>3</v>
      </c>
      <c r="AD1067" t="str">
        <f>_xlfn.XLOOKUP(Table1[[#This Row],[JobSatisfaction]],Table14[JobSatisfaction],Table14[Deskripsi])</f>
        <v>High</v>
      </c>
      <c r="AE1067" t="str">
        <f>_xlfn.XLOOKUP(Table1[[#This Row],[MaritalStatus]],Table15[MaritalStatus],Table15[Id_MaritalStatus])</f>
        <v>MS002</v>
      </c>
      <c r="AF1067" t="s">
        <v>56</v>
      </c>
      <c r="AG1067">
        <v>4035</v>
      </c>
      <c r="AH1067">
        <v>16143</v>
      </c>
      <c r="AI1067">
        <v>0</v>
      </c>
      <c r="AJ1067" t="str">
        <f>_xlfn.XLOOKUP(Table1[[#This Row],[OverTime]],Table16[OverTime],Table16[Id_OverTime])</f>
        <v>OT001</v>
      </c>
      <c r="AK1067" t="s">
        <v>32</v>
      </c>
      <c r="AL1067">
        <v>16</v>
      </c>
      <c r="AM1067" t="str">
        <f>_xlfn.XLOOKUP(Table1[[#This Row],[PerformanceRating]],Table17[PerformanceRating],Table17[Id_PerformanceRating])</f>
        <v>PR003</v>
      </c>
      <c r="AN1067">
        <v>3</v>
      </c>
      <c r="AO1067" t="str">
        <f>_xlfn.XLOOKUP(Table1[[#This Row],[PerformanceRating]],Table17[PerformanceRating],Table17[Deskripsi])</f>
        <v>Excellent</v>
      </c>
      <c r="AP1067" t="str">
        <f>_xlfn.XLOOKUP(Table1[[#This Row],[RelationshipSatisfaction]],Table18[RelationshipSatisfaction],Table18[Id_RelationshipSatisfaction])</f>
        <v>RS002</v>
      </c>
      <c r="AQ1067">
        <v>2</v>
      </c>
      <c r="AR1067" t="str">
        <f>_xlfn.XLOOKUP(Table1[[#This Row],[RelationshipSatisfaction]],Table18[RelationshipSatisfaction],Table18[Deskripsi])</f>
        <v>Medium</v>
      </c>
      <c r="AS1067" t="str">
        <f>_xlfn.XLOOKUP(Table1[[#This Row],[StockOptionLevel]],Table19[StockOptionLevel],Table19[Id_StockOptionLevel])</f>
        <v>SOL001</v>
      </c>
      <c r="AT1067">
        <v>0</v>
      </c>
      <c r="AU1067" t="str">
        <f>_xlfn.XLOOKUP(Table1[[#This Row],[StockOptionLevel]],Table19[StockOptionLevel],Table19[Deskripsi])</f>
        <v>Non-Eligible</v>
      </c>
      <c r="AV1067">
        <v>4</v>
      </c>
      <c r="AW1067">
        <v>2</v>
      </c>
      <c r="AX1067" t="str">
        <f>_xlfn.XLOOKUP(Table1[[#This Row],[WorkLifeBalance]],Table20[WorkLifeBalance],Table20[Id_WorkLifeBalance])</f>
        <v>WLB002</v>
      </c>
      <c r="AY1067">
        <v>3</v>
      </c>
      <c r="AZ1067" t="str">
        <f>_xlfn.XLOOKUP(Table1[[#This Row],[WorkLifeBalance]],Table20[WorkLifeBalance],Table20[Deskripsi])</f>
        <v>Good</v>
      </c>
      <c r="BA1067">
        <v>3</v>
      </c>
      <c r="BB1067">
        <v>2</v>
      </c>
      <c r="BC1067">
        <v>1</v>
      </c>
      <c r="BD1067">
        <v>2</v>
      </c>
    </row>
    <row r="1068" spans="1:56" x14ac:dyDescent="0.25">
      <c r="A1068">
        <v>33</v>
      </c>
      <c r="B1068" t="str">
        <f>_xlfn.XLOOKUP(Table1[[#This Row],[Attrition]],Table2[Attrition],Table2[Id_Attrition])</f>
        <v>A002</v>
      </c>
      <c r="C1068" t="s">
        <v>33</v>
      </c>
      <c r="D1068" t="str">
        <f>_xlfn.XLOOKUP(Table1[[#This Row],[BusinessTravel]],Table5[BusinessTravel],Table5[Id_BusinessTravel])</f>
        <v>BS001</v>
      </c>
      <c r="E1068" t="s">
        <v>34</v>
      </c>
      <c r="F1068">
        <v>1099</v>
      </c>
      <c r="G1068" t="str">
        <f>_xlfn.XLOOKUP(Table1[[#This Row],[Department]],Table6[Department],Table6[Id_Departement])</f>
        <v>D002</v>
      </c>
      <c r="H1068" t="s">
        <v>38</v>
      </c>
      <c r="I1068">
        <v>4</v>
      </c>
      <c r="J1068" t="str">
        <f>_xlfn.XLOOKUP(Table1[[#This Row],[Education]],Table8[Education],Table8[Id_Education])</f>
        <v>E004</v>
      </c>
      <c r="K1068">
        <v>4</v>
      </c>
      <c r="L1068" t="str">
        <f>_xlfn.XLOOKUP(Table1[[#This Row],[EducationField]],Table7[EducationField],Table7[Id_EducationField])</f>
        <v>EF003</v>
      </c>
      <c r="M1068" t="s">
        <v>42</v>
      </c>
      <c r="N1068" t="str">
        <f>_xlfn.XLOOKUP(Table1[[#This Row],[EmployeeNumber]],Table4[EmployeeNumber],Table4[Id_Employee])</f>
        <v>EMP01067</v>
      </c>
      <c r="O1068">
        <v>1502</v>
      </c>
      <c r="P1068" t="str">
        <f>_xlfn.XLOOKUP(Table1[[#This Row],[EnvironmentSatisfaction]],Table9[EnvironmentSatisfaction],Table9[Id_EnviromentSatisfaction])</f>
        <v>ES001</v>
      </c>
      <c r="Q1068">
        <v>1</v>
      </c>
      <c r="R1068" t="str">
        <f>_xlfn.XLOOKUP(Table1[[#This Row],[EnvironmentSatisfaction]],Table9[EnvironmentSatisfaction],Table9[Deskripsi])</f>
        <v>Low</v>
      </c>
      <c r="S1068" t="str">
        <f>_xlfn.XLOOKUP(Table1[[#This Row],[Gender]],Table10[Gender],Table10[Id_Gender])</f>
        <v>G001</v>
      </c>
      <c r="T1068" t="s">
        <v>45</v>
      </c>
      <c r="U1068">
        <v>82</v>
      </c>
      <c r="V1068" t="str">
        <f>_xlfn.XLOOKUP(Table1[[#This Row],[JobInvolvement]],Table11[JobInvolvement],Table11[Id_JobInvolvement])</f>
        <v>JI002</v>
      </c>
      <c r="W1068">
        <v>2</v>
      </c>
      <c r="X1068" t="str">
        <f>_xlfn.XLOOKUP(Table1[[#This Row],[JobLevel]],Table12[JobLevel],Table12[Id_JobLevel])</f>
        <v>JL001</v>
      </c>
      <c r="Y1068">
        <v>1</v>
      </c>
      <c r="Z1068" t="str">
        <f>_xlfn.XLOOKUP(Table1[[#This Row],[JobRole]],Table13[JobRole],Table13[Id_JobRole])</f>
        <v>JR003</v>
      </c>
      <c r="AA1068" t="s">
        <v>49</v>
      </c>
      <c r="AB1068" t="str">
        <f>_xlfn.XLOOKUP(Table1[[#This Row],[JobSatisfaction]],Table14[JobSatisfaction],Table14[Id_JobSatisfaction])</f>
        <v>JS002</v>
      </c>
      <c r="AC1068">
        <v>2</v>
      </c>
      <c r="AD1068" t="str">
        <f>_xlfn.XLOOKUP(Table1[[#This Row],[JobSatisfaction]],Table14[JobSatisfaction],Table14[Deskripsi])</f>
        <v>Medium</v>
      </c>
      <c r="AE1068" t="str">
        <f>_xlfn.XLOOKUP(Table1[[#This Row],[MaritalStatus]],Table15[MaritalStatus],Table15[Id_MaritalStatus])</f>
        <v>MS002</v>
      </c>
      <c r="AF1068" t="s">
        <v>56</v>
      </c>
      <c r="AG1068">
        <v>3838</v>
      </c>
      <c r="AH1068">
        <v>8192</v>
      </c>
      <c r="AI1068">
        <v>8</v>
      </c>
      <c r="AJ1068" t="str">
        <f>_xlfn.XLOOKUP(Table1[[#This Row],[OverTime]],Table16[OverTime],Table16[Id_OverTime])</f>
        <v>OT002</v>
      </c>
      <c r="AK1068" t="s">
        <v>33</v>
      </c>
      <c r="AL1068">
        <v>11</v>
      </c>
      <c r="AM1068" t="str">
        <f>_xlfn.XLOOKUP(Table1[[#This Row],[PerformanceRating]],Table17[PerformanceRating],Table17[Id_PerformanceRating])</f>
        <v>PR003</v>
      </c>
      <c r="AN1068">
        <v>3</v>
      </c>
      <c r="AO1068" t="str">
        <f>_xlfn.XLOOKUP(Table1[[#This Row],[PerformanceRating]],Table17[PerformanceRating],Table17[Deskripsi])</f>
        <v>Excellent</v>
      </c>
      <c r="AP1068" t="str">
        <f>_xlfn.XLOOKUP(Table1[[#This Row],[RelationshipSatisfaction]],Table18[RelationshipSatisfaction],Table18[Id_RelationshipSatisfaction])</f>
        <v>RS004</v>
      </c>
      <c r="AQ1068">
        <v>4</v>
      </c>
      <c r="AR1068" t="str">
        <f>_xlfn.XLOOKUP(Table1[[#This Row],[RelationshipSatisfaction]],Table18[RelationshipSatisfaction],Table18[Deskripsi])</f>
        <v>Very High</v>
      </c>
      <c r="AS1068" t="str">
        <f>_xlfn.XLOOKUP(Table1[[#This Row],[StockOptionLevel]],Table19[StockOptionLevel],Table19[Id_StockOptionLevel])</f>
        <v>SOL001</v>
      </c>
      <c r="AT1068">
        <v>0</v>
      </c>
      <c r="AU1068" t="str">
        <f>_xlfn.XLOOKUP(Table1[[#This Row],[StockOptionLevel]],Table19[StockOptionLevel],Table19[Deskripsi])</f>
        <v>Non-Eligible</v>
      </c>
      <c r="AV1068">
        <v>8</v>
      </c>
      <c r="AW1068">
        <v>5</v>
      </c>
      <c r="AX1068" t="str">
        <f>_xlfn.XLOOKUP(Table1[[#This Row],[WorkLifeBalance]],Table20[WorkLifeBalance],Table20[Id_WorkLifeBalance])</f>
        <v>WLB002</v>
      </c>
      <c r="AY1068">
        <v>3</v>
      </c>
      <c r="AZ1068" t="str">
        <f>_xlfn.XLOOKUP(Table1[[#This Row],[WorkLifeBalance]],Table20[WorkLifeBalance],Table20[Deskripsi])</f>
        <v>Good</v>
      </c>
      <c r="BA1068">
        <v>5</v>
      </c>
      <c r="BB1068">
        <v>4</v>
      </c>
      <c r="BC1068">
        <v>0</v>
      </c>
      <c r="BD1068">
        <v>2</v>
      </c>
    </row>
    <row r="1069" spans="1:56" x14ac:dyDescent="0.25">
      <c r="A1069">
        <v>47</v>
      </c>
      <c r="B1069" t="str">
        <f>_xlfn.XLOOKUP(Table1[[#This Row],[Attrition]],Table2[Attrition],Table2[Id_Attrition])</f>
        <v>A002</v>
      </c>
      <c r="C1069" t="s">
        <v>33</v>
      </c>
      <c r="D1069" t="str">
        <f>_xlfn.XLOOKUP(Table1[[#This Row],[BusinessTravel]],Table5[BusinessTravel],Table5[Id_BusinessTravel])</f>
        <v>BS001</v>
      </c>
      <c r="E1069" t="s">
        <v>34</v>
      </c>
      <c r="F1069">
        <v>571</v>
      </c>
      <c r="G1069" t="str">
        <f>_xlfn.XLOOKUP(Table1[[#This Row],[Department]],Table6[Department],Table6[Id_Departement])</f>
        <v>D001</v>
      </c>
      <c r="H1069" t="s">
        <v>37</v>
      </c>
      <c r="I1069">
        <v>14</v>
      </c>
      <c r="J1069" t="str">
        <f>_xlfn.XLOOKUP(Table1[[#This Row],[Education]],Table8[Education],Table8[Id_Education])</f>
        <v>E003</v>
      </c>
      <c r="K1069">
        <v>3</v>
      </c>
      <c r="L1069" t="str">
        <f>_xlfn.XLOOKUP(Table1[[#This Row],[EducationField]],Table7[EducationField],Table7[Id_EducationField])</f>
        <v>EF003</v>
      </c>
      <c r="M1069" t="s">
        <v>42</v>
      </c>
      <c r="N1069" t="str">
        <f>_xlfn.XLOOKUP(Table1[[#This Row],[EmployeeNumber]],Table4[EmployeeNumber],Table4[Id_Employee])</f>
        <v>EMP01068</v>
      </c>
      <c r="O1069">
        <v>1503</v>
      </c>
      <c r="P1069" t="str">
        <f>_xlfn.XLOOKUP(Table1[[#This Row],[EnvironmentSatisfaction]],Table9[EnvironmentSatisfaction],Table9[Id_EnviromentSatisfaction])</f>
        <v>ES003</v>
      </c>
      <c r="Q1069">
        <v>3</v>
      </c>
      <c r="R1069" t="str">
        <f>_xlfn.XLOOKUP(Table1[[#This Row],[EnvironmentSatisfaction]],Table9[EnvironmentSatisfaction],Table9[Deskripsi])</f>
        <v>High</v>
      </c>
      <c r="S1069" t="str">
        <f>_xlfn.XLOOKUP(Table1[[#This Row],[Gender]],Table10[Gender],Table10[Id_Gender])</f>
        <v>G001</v>
      </c>
      <c r="T1069" t="s">
        <v>45</v>
      </c>
      <c r="U1069">
        <v>78</v>
      </c>
      <c r="V1069" t="str">
        <f>_xlfn.XLOOKUP(Table1[[#This Row],[JobInvolvement]],Table11[JobInvolvement],Table11[Id_JobInvolvement])</f>
        <v>JI003</v>
      </c>
      <c r="W1069">
        <v>3</v>
      </c>
      <c r="X1069" t="str">
        <f>_xlfn.XLOOKUP(Table1[[#This Row],[JobLevel]],Table12[JobLevel],Table12[Id_JobLevel])</f>
        <v>JL002</v>
      </c>
      <c r="Y1069">
        <v>2</v>
      </c>
      <c r="Z1069" t="str">
        <f>_xlfn.XLOOKUP(Table1[[#This Row],[JobRole]],Table13[JobRole],Table13[Id_JobRole])</f>
        <v>JR001</v>
      </c>
      <c r="AA1069" t="s">
        <v>47</v>
      </c>
      <c r="AB1069" t="str">
        <f>_xlfn.XLOOKUP(Table1[[#This Row],[JobSatisfaction]],Table14[JobSatisfaction],Table14[Id_JobSatisfaction])</f>
        <v>JS003</v>
      </c>
      <c r="AC1069">
        <v>3</v>
      </c>
      <c r="AD1069" t="str">
        <f>_xlfn.XLOOKUP(Table1[[#This Row],[JobSatisfaction]],Table14[JobSatisfaction],Table14[Deskripsi])</f>
        <v>High</v>
      </c>
      <c r="AE1069" t="str">
        <f>_xlfn.XLOOKUP(Table1[[#This Row],[MaritalStatus]],Table15[MaritalStatus],Table15[Id_MaritalStatus])</f>
        <v>MS002</v>
      </c>
      <c r="AF1069" t="s">
        <v>56</v>
      </c>
      <c r="AG1069">
        <v>4591</v>
      </c>
      <c r="AH1069">
        <v>24200</v>
      </c>
      <c r="AI1069">
        <v>3</v>
      </c>
      <c r="AJ1069" t="str">
        <f>_xlfn.XLOOKUP(Table1[[#This Row],[OverTime]],Table16[OverTime],Table16[Id_OverTime])</f>
        <v>OT001</v>
      </c>
      <c r="AK1069" t="s">
        <v>32</v>
      </c>
      <c r="AL1069">
        <v>17</v>
      </c>
      <c r="AM1069" t="str">
        <f>_xlfn.XLOOKUP(Table1[[#This Row],[PerformanceRating]],Table17[PerformanceRating],Table17[Id_PerformanceRating])</f>
        <v>PR003</v>
      </c>
      <c r="AN1069">
        <v>3</v>
      </c>
      <c r="AO1069" t="str">
        <f>_xlfn.XLOOKUP(Table1[[#This Row],[PerformanceRating]],Table17[PerformanceRating],Table17[Deskripsi])</f>
        <v>Excellent</v>
      </c>
      <c r="AP1069" t="str">
        <f>_xlfn.XLOOKUP(Table1[[#This Row],[RelationshipSatisfaction]],Table18[RelationshipSatisfaction],Table18[Id_RelationshipSatisfaction])</f>
        <v>RS003</v>
      </c>
      <c r="AQ1069">
        <v>3</v>
      </c>
      <c r="AR1069" t="str">
        <f>_xlfn.XLOOKUP(Table1[[#This Row],[RelationshipSatisfaction]],Table18[RelationshipSatisfaction],Table18[Deskripsi])</f>
        <v>High</v>
      </c>
      <c r="AS1069" t="str">
        <f>_xlfn.XLOOKUP(Table1[[#This Row],[StockOptionLevel]],Table19[StockOptionLevel],Table19[Id_StockOptionLevel])</f>
        <v>SOL002</v>
      </c>
      <c r="AT1069">
        <v>1</v>
      </c>
      <c r="AU1069" t="str">
        <f>_xlfn.XLOOKUP(Table1[[#This Row],[StockOptionLevel]],Table19[StockOptionLevel],Table19[Deskripsi])</f>
        <v>Standard</v>
      </c>
      <c r="AV1069">
        <v>11</v>
      </c>
      <c r="AW1069">
        <v>4</v>
      </c>
      <c r="AX1069" t="str">
        <f>_xlfn.XLOOKUP(Table1[[#This Row],[WorkLifeBalance]],Table20[WorkLifeBalance],Table20[Id_WorkLifeBalance])</f>
        <v>WLB003</v>
      </c>
      <c r="AY1069">
        <v>2</v>
      </c>
      <c r="AZ1069" t="str">
        <f>_xlfn.XLOOKUP(Table1[[#This Row],[WorkLifeBalance]],Table20[WorkLifeBalance],Table20[Deskripsi])</f>
        <v>Better</v>
      </c>
      <c r="BA1069">
        <v>5</v>
      </c>
      <c r="BB1069">
        <v>4</v>
      </c>
      <c r="BC1069">
        <v>1</v>
      </c>
      <c r="BD1069">
        <v>2</v>
      </c>
    </row>
    <row r="1070" spans="1:56" x14ac:dyDescent="0.25">
      <c r="A1070">
        <v>28</v>
      </c>
      <c r="B1070" t="str">
        <f>_xlfn.XLOOKUP(Table1[[#This Row],[Attrition]],Table2[Attrition],Table2[Id_Attrition])</f>
        <v>A001</v>
      </c>
      <c r="C1070" t="s">
        <v>32</v>
      </c>
      <c r="D1070" t="str">
        <f>_xlfn.XLOOKUP(Table1[[#This Row],[BusinessTravel]],Table5[BusinessTravel],Table5[Id_BusinessTravel])</f>
        <v>BS002</v>
      </c>
      <c r="E1070" t="s">
        <v>35</v>
      </c>
      <c r="F1070">
        <v>289</v>
      </c>
      <c r="G1070" t="str">
        <f>_xlfn.XLOOKUP(Table1[[#This Row],[Department]],Table6[Department],Table6[Id_Departement])</f>
        <v>D002</v>
      </c>
      <c r="H1070" t="s">
        <v>38</v>
      </c>
      <c r="I1070">
        <v>2</v>
      </c>
      <c r="J1070" t="str">
        <f>_xlfn.XLOOKUP(Table1[[#This Row],[Education]],Table8[Education],Table8[Id_Education])</f>
        <v>E002</v>
      </c>
      <c r="K1070">
        <v>2</v>
      </c>
      <c r="L1070" t="str">
        <f>_xlfn.XLOOKUP(Table1[[#This Row],[EducationField]],Table7[EducationField],Table7[Id_EducationField])</f>
        <v>EF003</v>
      </c>
      <c r="M1070" t="s">
        <v>42</v>
      </c>
      <c r="N1070" t="str">
        <f>_xlfn.XLOOKUP(Table1[[#This Row],[EmployeeNumber]],Table4[EmployeeNumber],Table4[Id_Employee])</f>
        <v>EMP01069</v>
      </c>
      <c r="O1070">
        <v>1504</v>
      </c>
      <c r="P1070" t="str">
        <f>_xlfn.XLOOKUP(Table1[[#This Row],[EnvironmentSatisfaction]],Table9[EnvironmentSatisfaction],Table9[Id_EnviromentSatisfaction])</f>
        <v>ES003</v>
      </c>
      <c r="Q1070">
        <v>3</v>
      </c>
      <c r="R1070" t="str">
        <f>_xlfn.XLOOKUP(Table1[[#This Row],[EnvironmentSatisfaction]],Table9[EnvironmentSatisfaction],Table9[Deskripsi])</f>
        <v>High</v>
      </c>
      <c r="S1070" t="str">
        <f>_xlfn.XLOOKUP(Table1[[#This Row],[Gender]],Table10[Gender],Table10[Id_Gender])</f>
        <v>G002</v>
      </c>
      <c r="T1070" t="s">
        <v>46</v>
      </c>
      <c r="U1070">
        <v>38</v>
      </c>
      <c r="V1070" t="str">
        <f>_xlfn.XLOOKUP(Table1[[#This Row],[JobInvolvement]],Table11[JobInvolvement],Table11[Id_JobInvolvement])</f>
        <v>JI002</v>
      </c>
      <c r="W1070">
        <v>2</v>
      </c>
      <c r="X1070" t="str">
        <f>_xlfn.XLOOKUP(Table1[[#This Row],[JobLevel]],Table12[JobLevel],Table12[Id_JobLevel])</f>
        <v>JL001</v>
      </c>
      <c r="Y1070">
        <v>1</v>
      </c>
      <c r="Z1070" t="str">
        <f>_xlfn.XLOOKUP(Table1[[#This Row],[JobRole]],Table13[JobRole],Table13[Id_JobRole])</f>
        <v>JR003</v>
      </c>
      <c r="AA1070" t="s">
        <v>49</v>
      </c>
      <c r="AB1070" t="str">
        <f>_xlfn.XLOOKUP(Table1[[#This Row],[JobSatisfaction]],Table14[JobSatisfaction],Table14[Id_JobSatisfaction])</f>
        <v>JS001</v>
      </c>
      <c r="AC1070">
        <v>1</v>
      </c>
      <c r="AD1070" t="str">
        <f>_xlfn.XLOOKUP(Table1[[#This Row],[JobSatisfaction]],Table14[JobSatisfaction],Table14[Deskripsi])</f>
        <v>Low</v>
      </c>
      <c r="AE1070" t="str">
        <f>_xlfn.XLOOKUP(Table1[[#This Row],[MaritalStatus]],Table15[MaritalStatus],Table15[Id_MaritalStatus])</f>
        <v>MS001</v>
      </c>
      <c r="AF1070" t="s">
        <v>55</v>
      </c>
      <c r="AG1070">
        <v>2561</v>
      </c>
      <c r="AH1070">
        <v>5355</v>
      </c>
      <c r="AI1070">
        <v>7</v>
      </c>
      <c r="AJ1070" t="str">
        <f>_xlfn.XLOOKUP(Table1[[#This Row],[OverTime]],Table16[OverTime],Table16[Id_OverTime])</f>
        <v>OT002</v>
      </c>
      <c r="AK1070" t="s">
        <v>33</v>
      </c>
      <c r="AL1070">
        <v>11</v>
      </c>
      <c r="AM1070" t="str">
        <f>_xlfn.XLOOKUP(Table1[[#This Row],[PerformanceRating]],Table17[PerformanceRating],Table17[Id_PerformanceRating])</f>
        <v>PR003</v>
      </c>
      <c r="AN1070">
        <v>3</v>
      </c>
      <c r="AO1070" t="str">
        <f>_xlfn.XLOOKUP(Table1[[#This Row],[PerformanceRating]],Table17[PerformanceRating],Table17[Deskripsi])</f>
        <v>Excellent</v>
      </c>
      <c r="AP1070" t="str">
        <f>_xlfn.XLOOKUP(Table1[[#This Row],[RelationshipSatisfaction]],Table18[RelationshipSatisfaction],Table18[Id_RelationshipSatisfaction])</f>
        <v>RS003</v>
      </c>
      <c r="AQ1070">
        <v>3</v>
      </c>
      <c r="AR1070" t="str">
        <f>_xlfn.XLOOKUP(Table1[[#This Row],[RelationshipSatisfaction]],Table18[RelationshipSatisfaction],Table18[Deskripsi])</f>
        <v>High</v>
      </c>
      <c r="AS1070" t="str">
        <f>_xlfn.XLOOKUP(Table1[[#This Row],[StockOptionLevel]],Table19[StockOptionLevel],Table19[Id_StockOptionLevel])</f>
        <v>SOL001</v>
      </c>
      <c r="AT1070">
        <v>0</v>
      </c>
      <c r="AU1070" t="str">
        <f>_xlfn.XLOOKUP(Table1[[#This Row],[StockOptionLevel]],Table19[StockOptionLevel],Table19[Deskripsi])</f>
        <v>Non-Eligible</v>
      </c>
      <c r="AV1070">
        <v>8</v>
      </c>
      <c r="AW1070">
        <v>2</v>
      </c>
      <c r="AX1070" t="str">
        <f>_xlfn.XLOOKUP(Table1[[#This Row],[WorkLifeBalance]],Table20[WorkLifeBalance],Table20[Id_WorkLifeBalance])</f>
        <v>WLB003</v>
      </c>
      <c r="AY1070">
        <v>2</v>
      </c>
      <c r="AZ1070" t="str">
        <f>_xlfn.XLOOKUP(Table1[[#This Row],[WorkLifeBalance]],Table20[WorkLifeBalance],Table20[Deskripsi])</f>
        <v>Better</v>
      </c>
      <c r="BA1070">
        <v>0</v>
      </c>
      <c r="BB1070">
        <v>0</v>
      </c>
      <c r="BC1070">
        <v>0</v>
      </c>
      <c r="BD1070">
        <v>0</v>
      </c>
    </row>
    <row r="1071" spans="1:56" x14ac:dyDescent="0.25">
      <c r="A1071">
        <v>28</v>
      </c>
      <c r="B1071" t="str">
        <f>_xlfn.XLOOKUP(Table1[[#This Row],[Attrition]],Table2[Attrition],Table2[Id_Attrition])</f>
        <v>A002</v>
      </c>
      <c r="C1071" t="s">
        <v>33</v>
      </c>
      <c r="D1071" t="str">
        <f>_xlfn.XLOOKUP(Table1[[#This Row],[BusinessTravel]],Table5[BusinessTravel],Table5[Id_BusinessTravel])</f>
        <v>BS001</v>
      </c>
      <c r="E1071" t="s">
        <v>34</v>
      </c>
      <c r="F1071">
        <v>1423</v>
      </c>
      <c r="G1071" t="str">
        <f>_xlfn.XLOOKUP(Table1[[#This Row],[Department]],Table6[Department],Table6[Id_Departement])</f>
        <v>D002</v>
      </c>
      <c r="H1071" t="s">
        <v>38</v>
      </c>
      <c r="I1071">
        <v>1</v>
      </c>
      <c r="J1071" t="str">
        <f>_xlfn.XLOOKUP(Table1[[#This Row],[Education]],Table8[Education],Table8[Id_Education])</f>
        <v>E003</v>
      </c>
      <c r="K1071">
        <v>3</v>
      </c>
      <c r="L1071" t="str">
        <f>_xlfn.XLOOKUP(Table1[[#This Row],[EducationField]],Table7[EducationField],Table7[Id_EducationField])</f>
        <v>EF001</v>
      </c>
      <c r="M1071" t="s">
        <v>40</v>
      </c>
      <c r="N1071" t="str">
        <f>_xlfn.XLOOKUP(Table1[[#This Row],[EmployeeNumber]],Table4[EmployeeNumber],Table4[Id_Employee])</f>
        <v>EMP01070</v>
      </c>
      <c r="O1071">
        <v>1506</v>
      </c>
      <c r="P1071" t="str">
        <f>_xlfn.XLOOKUP(Table1[[#This Row],[EnvironmentSatisfaction]],Table9[EnvironmentSatisfaction],Table9[Id_EnviromentSatisfaction])</f>
        <v>ES001</v>
      </c>
      <c r="Q1071">
        <v>1</v>
      </c>
      <c r="R1071" t="str">
        <f>_xlfn.XLOOKUP(Table1[[#This Row],[EnvironmentSatisfaction]],Table9[EnvironmentSatisfaction],Table9[Deskripsi])</f>
        <v>Low</v>
      </c>
      <c r="S1071" t="str">
        <f>_xlfn.XLOOKUP(Table1[[#This Row],[Gender]],Table10[Gender],Table10[Id_Gender])</f>
        <v>G002</v>
      </c>
      <c r="T1071" t="s">
        <v>46</v>
      </c>
      <c r="U1071">
        <v>72</v>
      </c>
      <c r="V1071" t="str">
        <f>_xlfn.XLOOKUP(Table1[[#This Row],[JobInvolvement]],Table11[JobInvolvement],Table11[Id_JobInvolvement])</f>
        <v>JI002</v>
      </c>
      <c r="W1071">
        <v>2</v>
      </c>
      <c r="X1071" t="str">
        <f>_xlfn.XLOOKUP(Table1[[#This Row],[JobLevel]],Table12[JobLevel],Table12[Id_JobLevel])</f>
        <v>JL001</v>
      </c>
      <c r="Y1071">
        <v>1</v>
      </c>
      <c r="Z1071" t="str">
        <f>_xlfn.XLOOKUP(Table1[[#This Row],[JobRole]],Table13[JobRole],Table13[Id_JobRole])</f>
        <v>JR002</v>
      </c>
      <c r="AA1071" t="s">
        <v>48</v>
      </c>
      <c r="AB1071" t="str">
        <f>_xlfn.XLOOKUP(Table1[[#This Row],[JobSatisfaction]],Table14[JobSatisfaction],Table14[Id_JobSatisfaction])</f>
        <v>JS003</v>
      </c>
      <c r="AC1071">
        <v>3</v>
      </c>
      <c r="AD1071" t="str">
        <f>_xlfn.XLOOKUP(Table1[[#This Row],[JobSatisfaction]],Table14[JobSatisfaction],Table14[Deskripsi])</f>
        <v>High</v>
      </c>
      <c r="AE1071" t="str">
        <f>_xlfn.XLOOKUP(Table1[[#This Row],[MaritalStatus]],Table15[MaritalStatus],Table15[Id_MaritalStatus])</f>
        <v>MS003</v>
      </c>
      <c r="AF1071" t="s">
        <v>57</v>
      </c>
      <c r="AG1071">
        <v>1563</v>
      </c>
      <c r="AH1071">
        <v>12530</v>
      </c>
      <c r="AI1071">
        <v>1</v>
      </c>
      <c r="AJ1071" t="str">
        <f>_xlfn.XLOOKUP(Table1[[#This Row],[OverTime]],Table16[OverTime],Table16[Id_OverTime])</f>
        <v>OT002</v>
      </c>
      <c r="AK1071" t="s">
        <v>33</v>
      </c>
      <c r="AL1071">
        <v>14</v>
      </c>
      <c r="AM1071" t="str">
        <f>_xlfn.XLOOKUP(Table1[[#This Row],[PerformanceRating]],Table17[PerformanceRating],Table17[Id_PerformanceRating])</f>
        <v>PR003</v>
      </c>
      <c r="AN1071">
        <v>3</v>
      </c>
      <c r="AO1071" t="str">
        <f>_xlfn.XLOOKUP(Table1[[#This Row],[PerformanceRating]],Table17[PerformanceRating],Table17[Deskripsi])</f>
        <v>Excellent</v>
      </c>
      <c r="AP1071" t="str">
        <f>_xlfn.XLOOKUP(Table1[[#This Row],[RelationshipSatisfaction]],Table18[RelationshipSatisfaction],Table18[Id_RelationshipSatisfaction])</f>
        <v>RS004</v>
      </c>
      <c r="AQ1071">
        <v>4</v>
      </c>
      <c r="AR1071" t="str">
        <f>_xlfn.XLOOKUP(Table1[[#This Row],[RelationshipSatisfaction]],Table18[RelationshipSatisfaction],Table18[Deskripsi])</f>
        <v>Very High</v>
      </c>
      <c r="AS1071" t="str">
        <f>_xlfn.XLOOKUP(Table1[[#This Row],[StockOptionLevel]],Table19[StockOptionLevel],Table19[Id_StockOptionLevel])</f>
        <v>SOL002</v>
      </c>
      <c r="AT1071">
        <v>1</v>
      </c>
      <c r="AU1071" t="str">
        <f>_xlfn.XLOOKUP(Table1[[#This Row],[StockOptionLevel]],Table19[StockOptionLevel],Table19[Deskripsi])</f>
        <v>Standard</v>
      </c>
      <c r="AV1071">
        <v>1</v>
      </c>
      <c r="AW1071">
        <v>2</v>
      </c>
      <c r="AX1071" t="str">
        <f>_xlfn.XLOOKUP(Table1[[#This Row],[WorkLifeBalance]],Table20[WorkLifeBalance],Table20[Id_WorkLifeBalance])</f>
        <v>WLB001</v>
      </c>
      <c r="AY1071">
        <v>1</v>
      </c>
      <c r="AZ1071" t="str">
        <f>_xlfn.XLOOKUP(Table1[[#This Row],[WorkLifeBalance]],Table20[WorkLifeBalance],Table20[Deskripsi])</f>
        <v>Bad</v>
      </c>
      <c r="BA1071">
        <v>1</v>
      </c>
      <c r="BB1071">
        <v>0</v>
      </c>
      <c r="BC1071">
        <v>0</v>
      </c>
      <c r="BD1071">
        <v>0</v>
      </c>
    </row>
    <row r="1072" spans="1:56" x14ac:dyDescent="0.25">
      <c r="A1072">
        <v>28</v>
      </c>
      <c r="B1072" t="str">
        <f>_xlfn.XLOOKUP(Table1[[#This Row],[Attrition]],Table2[Attrition],Table2[Id_Attrition])</f>
        <v>A002</v>
      </c>
      <c r="C1072" t="s">
        <v>33</v>
      </c>
      <c r="D1072" t="str">
        <f>_xlfn.XLOOKUP(Table1[[#This Row],[BusinessTravel]],Table5[BusinessTravel],Table5[Id_BusinessTravel])</f>
        <v>BS002</v>
      </c>
      <c r="E1072" t="s">
        <v>35</v>
      </c>
      <c r="F1072">
        <v>467</v>
      </c>
      <c r="G1072" t="str">
        <f>_xlfn.XLOOKUP(Table1[[#This Row],[Department]],Table6[Department],Table6[Id_Departement])</f>
        <v>D001</v>
      </c>
      <c r="H1072" t="s">
        <v>37</v>
      </c>
      <c r="I1072">
        <v>7</v>
      </c>
      <c r="J1072" t="str">
        <f>_xlfn.XLOOKUP(Table1[[#This Row],[Education]],Table8[Education],Table8[Id_Education])</f>
        <v>E003</v>
      </c>
      <c r="K1072">
        <v>3</v>
      </c>
      <c r="L1072" t="str">
        <f>_xlfn.XLOOKUP(Table1[[#This Row],[EducationField]],Table7[EducationField],Table7[Id_EducationField])</f>
        <v>EF001</v>
      </c>
      <c r="M1072" t="s">
        <v>40</v>
      </c>
      <c r="N1072" t="str">
        <f>_xlfn.XLOOKUP(Table1[[#This Row],[EmployeeNumber]],Table4[EmployeeNumber],Table4[Id_Employee])</f>
        <v>EMP01071</v>
      </c>
      <c r="O1072">
        <v>1507</v>
      </c>
      <c r="P1072" t="str">
        <f>_xlfn.XLOOKUP(Table1[[#This Row],[EnvironmentSatisfaction]],Table9[EnvironmentSatisfaction],Table9[Id_EnviromentSatisfaction])</f>
        <v>ES003</v>
      </c>
      <c r="Q1072">
        <v>3</v>
      </c>
      <c r="R1072" t="str">
        <f>_xlfn.XLOOKUP(Table1[[#This Row],[EnvironmentSatisfaction]],Table9[EnvironmentSatisfaction],Table9[Deskripsi])</f>
        <v>High</v>
      </c>
      <c r="S1072" t="str">
        <f>_xlfn.XLOOKUP(Table1[[#This Row],[Gender]],Table10[Gender],Table10[Id_Gender])</f>
        <v>G002</v>
      </c>
      <c r="T1072" t="s">
        <v>46</v>
      </c>
      <c r="U1072">
        <v>55</v>
      </c>
      <c r="V1072" t="str">
        <f>_xlfn.XLOOKUP(Table1[[#This Row],[JobInvolvement]],Table11[JobInvolvement],Table11[Id_JobInvolvement])</f>
        <v>JI003</v>
      </c>
      <c r="W1072">
        <v>3</v>
      </c>
      <c r="X1072" t="str">
        <f>_xlfn.XLOOKUP(Table1[[#This Row],[JobLevel]],Table12[JobLevel],Table12[Id_JobLevel])</f>
        <v>JL002</v>
      </c>
      <c r="Y1072">
        <v>2</v>
      </c>
      <c r="Z1072" t="str">
        <f>_xlfn.XLOOKUP(Table1[[#This Row],[JobRole]],Table13[JobRole],Table13[Id_JobRole])</f>
        <v>JR001</v>
      </c>
      <c r="AA1072" t="s">
        <v>47</v>
      </c>
      <c r="AB1072" t="str">
        <f>_xlfn.XLOOKUP(Table1[[#This Row],[JobSatisfaction]],Table14[JobSatisfaction],Table14[Id_JobSatisfaction])</f>
        <v>JS001</v>
      </c>
      <c r="AC1072">
        <v>1</v>
      </c>
      <c r="AD1072" t="str">
        <f>_xlfn.XLOOKUP(Table1[[#This Row],[JobSatisfaction]],Table14[JobSatisfaction],Table14[Deskripsi])</f>
        <v>Low</v>
      </c>
      <c r="AE1072" t="str">
        <f>_xlfn.XLOOKUP(Table1[[#This Row],[MaritalStatus]],Table15[MaritalStatus],Table15[Id_MaritalStatus])</f>
        <v>MS001</v>
      </c>
      <c r="AF1072" t="s">
        <v>55</v>
      </c>
      <c r="AG1072">
        <v>4898</v>
      </c>
      <c r="AH1072">
        <v>11827</v>
      </c>
      <c r="AI1072">
        <v>0</v>
      </c>
      <c r="AJ1072" t="str">
        <f>_xlfn.XLOOKUP(Table1[[#This Row],[OverTime]],Table16[OverTime],Table16[Id_OverTime])</f>
        <v>OT002</v>
      </c>
      <c r="AK1072" t="s">
        <v>33</v>
      </c>
      <c r="AL1072">
        <v>14</v>
      </c>
      <c r="AM1072" t="str">
        <f>_xlfn.XLOOKUP(Table1[[#This Row],[PerformanceRating]],Table17[PerformanceRating],Table17[Id_PerformanceRating])</f>
        <v>PR003</v>
      </c>
      <c r="AN1072">
        <v>3</v>
      </c>
      <c r="AO1072" t="str">
        <f>_xlfn.XLOOKUP(Table1[[#This Row],[PerformanceRating]],Table17[PerformanceRating],Table17[Deskripsi])</f>
        <v>Excellent</v>
      </c>
      <c r="AP1072" t="str">
        <f>_xlfn.XLOOKUP(Table1[[#This Row],[RelationshipSatisfaction]],Table18[RelationshipSatisfaction],Table18[Id_RelationshipSatisfaction])</f>
        <v>RS004</v>
      </c>
      <c r="AQ1072">
        <v>4</v>
      </c>
      <c r="AR1072" t="str">
        <f>_xlfn.XLOOKUP(Table1[[#This Row],[RelationshipSatisfaction]],Table18[RelationshipSatisfaction],Table18[Deskripsi])</f>
        <v>Very High</v>
      </c>
      <c r="AS1072" t="str">
        <f>_xlfn.XLOOKUP(Table1[[#This Row],[StockOptionLevel]],Table19[StockOptionLevel],Table19[Id_StockOptionLevel])</f>
        <v>SOL001</v>
      </c>
      <c r="AT1072">
        <v>0</v>
      </c>
      <c r="AU1072" t="str">
        <f>_xlfn.XLOOKUP(Table1[[#This Row],[StockOptionLevel]],Table19[StockOptionLevel],Table19[Deskripsi])</f>
        <v>Non-Eligible</v>
      </c>
      <c r="AV1072">
        <v>5</v>
      </c>
      <c r="AW1072">
        <v>5</v>
      </c>
      <c r="AX1072" t="str">
        <f>_xlfn.XLOOKUP(Table1[[#This Row],[WorkLifeBalance]],Table20[WorkLifeBalance],Table20[Id_WorkLifeBalance])</f>
        <v>WLB002</v>
      </c>
      <c r="AY1072">
        <v>3</v>
      </c>
      <c r="AZ1072" t="str">
        <f>_xlfn.XLOOKUP(Table1[[#This Row],[WorkLifeBalance]],Table20[WorkLifeBalance],Table20[Deskripsi])</f>
        <v>Good</v>
      </c>
      <c r="BA1072">
        <v>4</v>
      </c>
      <c r="BB1072">
        <v>2</v>
      </c>
      <c r="BC1072">
        <v>1</v>
      </c>
      <c r="BD1072">
        <v>3</v>
      </c>
    </row>
    <row r="1073" spans="1:56" x14ac:dyDescent="0.25">
      <c r="A1073">
        <v>49</v>
      </c>
      <c r="B1073" t="str">
        <f>_xlfn.XLOOKUP(Table1[[#This Row],[Attrition]],Table2[Attrition],Table2[Id_Attrition])</f>
        <v>A002</v>
      </c>
      <c r="C1073" t="s">
        <v>33</v>
      </c>
      <c r="D1073" t="str">
        <f>_xlfn.XLOOKUP(Table1[[#This Row],[BusinessTravel]],Table5[BusinessTravel],Table5[Id_BusinessTravel])</f>
        <v>BS001</v>
      </c>
      <c r="E1073" t="s">
        <v>34</v>
      </c>
      <c r="F1073">
        <v>271</v>
      </c>
      <c r="G1073" t="str">
        <f>_xlfn.XLOOKUP(Table1[[#This Row],[Department]],Table6[Department],Table6[Id_Departement])</f>
        <v>D002</v>
      </c>
      <c r="H1073" t="s">
        <v>38</v>
      </c>
      <c r="I1073">
        <v>3</v>
      </c>
      <c r="J1073" t="str">
        <f>_xlfn.XLOOKUP(Table1[[#This Row],[Education]],Table8[Education],Table8[Id_Education])</f>
        <v>E002</v>
      </c>
      <c r="K1073">
        <v>2</v>
      </c>
      <c r="L1073" t="str">
        <f>_xlfn.XLOOKUP(Table1[[#This Row],[EducationField]],Table7[EducationField],Table7[Id_EducationField])</f>
        <v>EF003</v>
      </c>
      <c r="M1073" t="s">
        <v>42</v>
      </c>
      <c r="N1073" t="str">
        <f>_xlfn.XLOOKUP(Table1[[#This Row],[EmployeeNumber]],Table4[EmployeeNumber],Table4[Id_Employee])</f>
        <v>EMP01072</v>
      </c>
      <c r="O1073">
        <v>1509</v>
      </c>
      <c r="P1073" t="str">
        <f>_xlfn.XLOOKUP(Table1[[#This Row],[EnvironmentSatisfaction]],Table9[EnvironmentSatisfaction],Table9[Id_EnviromentSatisfaction])</f>
        <v>ES003</v>
      </c>
      <c r="Q1073">
        <v>3</v>
      </c>
      <c r="R1073" t="str">
        <f>_xlfn.XLOOKUP(Table1[[#This Row],[EnvironmentSatisfaction]],Table9[EnvironmentSatisfaction],Table9[Deskripsi])</f>
        <v>High</v>
      </c>
      <c r="S1073" t="str">
        <f>_xlfn.XLOOKUP(Table1[[#This Row],[Gender]],Table10[Gender],Table10[Id_Gender])</f>
        <v>G001</v>
      </c>
      <c r="T1073" t="s">
        <v>45</v>
      </c>
      <c r="U1073">
        <v>43</v>
      </c>
      <c r="V1073" t="str">
        <f>_xlfn.XLOOKUP(Table1[[#This Row],[JobInvolvement]],Table11[JobInvolvement],Table11[Id_JobInvolvement])</f>
        <v>JI002</v>
      </c>
      <c r="W1073">
        <v>2</v>
      </c>
      <c r="X1073" t="str">
        <f>_xlfn.XLOOKUP(Table1[[#This Row],[JobLevel]],Table12[JobLevel],Table12[Id_JobLevel])</f>
        <v>JL002</v>
      </c>
      <c r="Y1073">
        <v>2</v>
      </c>
      <c r="Z1073" t="str">
        <f>_xlfn.XLOOKUP(Table1[[#This Row],[JobRole]],Table13[JobRole],Table13[Id_JobRole])</f>
        <v>JR003</v>
      </c>
      <c r="AA1073" t="s">
        <v>49</v>
      </c>
      <c r="AB1073" t="str">
        <f>_xlfn.XLOOKUP(Table1[[#This Row],[JobSatisfaction]],Table14[JobSatisfaction],Table14[Id_JobSatisfaction])</f>
        <v>JS001</v>
      </c>
      <c r="AC1073">
        <v>1</v>
      </c>
      <c r="AD1073" t="str">
        <f>_xlfn.XLOOKUP(Table1[[#This Row],[JobSatisfaction]],Table14[JobSatisfaction],Table14[Deskripsi])</f>
        <v>Low</v>
      </c>
      <c r="AE1073" t="str">
        <f>_xlfn.XLOOKUP(Table1[[#This Row],[MaritalStatus]],Table15[MaritalStatus],Table15[Id_MaritalStatus])</f>
        <v>MS002</v>
      </c>
      <c r="AF1073" t="s">
        <v>56</v>
      </c>
      <c r="AG1073">
        <v>4789</v>
      </c>
      <c r="AH1073">
        <v>23070</v>
      </c>
      <c r="AI1073">
        <v>4</v>
      </c>
      <c r="AJ1073" t="str">
        <f>_xlfn.XLOOKUP(Table1[[#This Row],[OverTime]],Table16[OverTime],Table16[Id_OverTime])</f>
        <v>OT002</v>
      </c>
      <c r="AK1073" t="s">
        <v>33</v>
      </c>
      <c r="AL1073">
        <v>25</v>
      </c>
      <c r="AM1073" t="str">
        <f>_xlfn.XLOOKUP(Table1[[#This Row],[PerformanceRating]],Table17[PerformanceRating],Table17[Id_PerformanceRating])</f>
        <v>PR004</v>
      </c>
      <c r="AN1073">
        <v>4</v>
      </c>
      <c r="AO1073" t="str">
        <f>_xlfn.XLOOKUP(Table1[[#This Row],[PerformanceRating]],Table17[PerformanceRating],Table17[Deskripsi])</f>
        <v>Outstanding</v>
      </c>
      <c r="AP1073" t="str">
        <f>_xlfn.XLOOKUP(Table1[[#This Row],[RelationshipSatisfaction]],Table18[RelationshipSatisfaction],Table18[Id_RelationshipSatisfaction])</f>
        <v>RS001</v>
      </c>
      <c r="AQ1073">
        <v>1</v>
      </c>
      <c r="AR1073" t="str">
        <f>_xlfn.XLOOKUP(Table1[[#This Row],[RelationshipSatisfaction]],Table18[RelationshipSatisfaction],Table18[Deskripsi])</f>
        <v>Low</v>
      </c>
      <c r="AS1073" t="str">
        <f>_xlfn.XLOOKUP(Table1[[#This Row],[StockOptionLevel]],Table19[StockOptionLevel],Table19[Id_StockOptionLevel])</f>
        <v>SOL002</v>
      </c>
      <c r="AT1073">
        <v>1</v>
      </c>
      <c r="AU1073" t="str">
        <f>_xlfn.XLOOKUP(Table1[[#This Row],[StockOptionLevel]],Table19[StockOptionLevel],Table19[Deskripsi])</f>
        <v>Standard</v>
      </c>
      <c r="AV1073">
        <v>10</v>
      </c>
      <c r="AW1073">
        <v>3</v>
      </c>
      <c r="AX1073" t="str">
        <f>_xlfn.XLOOKUP(Table1[[#This Row],[WorkLifeBalance]],Table20[WorkLifeBalance],Table20[Id_WorkLifeBalance])</f>
        <v>WLB002</v>
      </c>
      <c r="AY1073">
        <v>3</v>
      </c>
      <c r="AZ1073" t="str">
        <f>_xlfn.XLOOKUP(Table1[[#This Row],[WorkLifeBalance]],Table20[WorkLifeBalance],Table20[Deskripsi])</f>
        <v>Good</v>
      </c>
      <c r="BA1073">
        <v>3</v>
      </c>
      <c r="BB1073">
        <v>2</v>
      </c>
      <c r="BC1073">
        <v>1</v>
      </c>
      <c r="BD1073">
        <v>2</v>
      </c>
    </row>
    <row r="1074" spans="1:56" x14ac:dyDescent="0.25">
      <c r="A1074">
        <v>29</v>
      </c>
      <c r="B1074" t="str">
        <f>_xlfn.XLOOKUP(Table1[[#This Row],[Attrition]],Table2[Attrition],Table2[Id_Attrition])</f>
        <v>A002</v>
      </c>
      <c r="C1074" t="s">
        <v>33</v>
      </c>
      <c r="D1074" t="str">
        <f>_xlfn.XLOOKUP(Table1[[#This Row],[BusinessTravel]],Table5[BusinessTravel],Table5[Id_BusinessTravel])</f>
        <v>BS002</v>
      </c>
      <c r="E1074" t="s">
        <v>35</v>
      </c>
      <c r="F1074">
        <v>410</v>
      </c>
      <c r="G1074" t="str">
        <f>_xlfn.XLOOKUP(Table1[[#This Row],[Department]],Table6[Department],Table6[Id_Departement])</f>
        <v>D002</v>
      </c>
      <c r="H1074" t="s">
        <v>38</v>
      </c>
      <c r="I1074">
        <v>2</v>
      </c>
      <c r="J1074" t="str">
        <f>_xlfn.XLOOKUP(Table1[[#This Row],[Education]],Table8[Education],Table8[Id_Education])</f>
        <v>E001</v>
      </c>
      <c r="K1074">
        <v>1</v>
      </c>
      <c r="L1074" t="str">
        <f>_xlfn.XLOOKUP(Table1[[#This Row],[EducationField]],Table7[EducationField],Table7[Id_EducationField])</f>
        <v>EF001</v>
      </c>
      <c r="M1074" t="s">
        <v>40</v>
      </c>
      <c r="N1074" t="str">
        <f>_xlfn.XLOOKUP(Table1[[#This Row],[EmployeeNumber]],Table4[EmployeeNumber],Table4[Id_Employee])</f>
        <v>EMP01073</v>
      </c>
      <c r="O1074">
        <v>1513</v>
      </c>
      <c r="P1074" t="str">
        <f>_xlfn.XLOOKUP(Table1[[#This Row],[EnvironmentSatisfaction]],Table9[EnvironmentSatisfaction],Table9[Id_EnviromentSatisfaction])</f>
        <v>ES004</v>
      </c>
      <c r="Q1074">
        <v>4</v>
      </c>
      <c r="R1074" t="str">
        <f>_xlfn.XLOOKUP(Table1[[#This Row],[EnvironmentSatisfaction]],Table9[EnvironmentSatisfaction],Table9[Deskripsi])</f>
        <v>Very High</v>
      </c>
      <c r="S1074" t="str">
        <f>_xlfn.XLOOKUP(Table1[[#This Row],[Gender]],Table10[Gender],Table10[Id_Gender])</f>
        <v>G001</v>
      </c>
      <c r="T1074" t="s">
        <v>45</v>
      </c>
      <c r="U1074">
        <v>97</v>
      </c>
      <c r="V1074" t="str">
        <f>_xlfn.XLOOKUP(Table1[[#This Row],[JobInvolvement]],Table11[JobInvolvement],Table11[Id_JobInvolvement])</f>
        <v>JI003</v>
      </c>
      <c r="W1074">
        <v>3</v>
      </c>
      <c r="X1074" t="str">
        <f>_xlfn.XLOOKUP(Table1[[#This Row],[JobLevel]],Table12[JobLevel],Table12[Id_JobLevel])</f>
        <v>JL001</v>
      </c>
      <c r="Y1074">
        <v>1</v>
      </c>
      <c r="Z1074" t="str">
        <f>_xlfn.XLOOKUP(Table1[[#This Row],[JobRole]],Table13[JobRole],Table13[Id_JobRole])</f>
        <v>JR003</v>
      </c>
      <c r="AA1074" t="s">
        <v>49</v>
      </c>
      <c r="AB1074" t="str">
        <f>_xlfn.XLOOKUP(Table1[[#This Row],[JobSatisfaction]],Table14[JobSatisfaction],Table14[Id_JobSatisfaction])</f>
        <v>JS002</v>
      </c>
      <c r="AC1074">
        <v>2</v>
      </c>
      <c r="AD1074" t="str">
        <f>_xlfn.XLOOKUP(Table1[[#This Row],[JobSatisfaction]],Table14[JobSatisfaction],Table14[Deskripsi])</f>
        <v>Medium</v>
      </c>
      <c r="AE1074" t="str">
        <f>_xlfn.XLOOKUP(Table1[[#This Row],[MaritalStatus]],Table15[MaritalStatus],Table15[Id_MaritalStatus])</f>
        <v>MS002</v>
      </c>
      <c r="AF1074" t="s">
        <v>56</v>
      </c>
      <c r="AG1074">
        <v>3180</v>
      </c>
      <c r="AH1074">
        <v>4668</v>
      </c>
      <c r="AI1074">
        <v>0</v>
      </c>
      <c r="AJ1074" t="str">
        <f>_xlfn.XLOOKUP(Table1[[#This Row],[OverTime]],Table16[OverTime],Table16[Id_OverTime])</f>
        <v>OT002</v>
      </c>
      <c r="AK1074" t="s">
        <v>33</v>
      </c>
      <c r="AL1074">
        <v>13</v>
      </c>
      <c r="AM1074" t="str">
        <f>_xlfn.XLOOKUP(Table1[[#This Row],[PerformanceRating]],Table17[PerformanceRating],Table17[Id_PerformanceRating])</f>
        <v>PR003</v>
      </c>
      <c r="AN1074">
        <v>3</v>
      </c>
      <c r="AO1074" t="str">
        <f>_xlfn.XLOOKUP(Table1[[#This Row],[PerformanceRating]],Table17[PerformanceRating],Table17[Deskripsi])</f>
        <v>Excellent</v>
      </c>
      <c r="AP1074" t="str">
        <f>_xlfn.XLOOKUP(Table1[[#This Row],[RelationshipSatisfaction]],Table18[RelationshipSatisfaction],Table18[Id_RelationshipSatisfaction])</f>
        <v>RS003</v>
      </c>
      <c r="AQ1074">
        <v>3</v>
      </c>
      <c r="AR1074" t="str">
        <f>_xlfn.XLOOKUP(Table1[[#This Row],[RelationshipSatisfaction]],Table18[RelationshipSatisfaction],Table18[Deskripsi])</f>
        <v>High</v>
      </c>
      <c r="AS1074" t="str">
        <f>_xlfn.XLOOKUP(Table1[[#This Row],[StockOptionLevel]],Table19[StockOptionLevel],Table19[Id_StockOptionLevel])</f>
        <v>SOL004</v>
      </c>
      <c r="AT1074">
        <v>3</v>
      </c>
      <c r="AU1074" t="str">
        <f>_xlfn.XLOOKUP(Table1[[#This Row],[StockOptionLevel]],Table19[StockOptionLevel],Table19[Deskripsi])</f>
        <v>Senior/Executive</v>
      </c>
      <c r="AV1074">
        <v>4</v>
      </c>
      <c r="AW1074">
        <v>3</v>
      </c>
      <c r="AX1074" t="str">
        <f>_xlfn.XLOOKUP(Table1[[#This Row],[WorkLifeBalance]],Table20[WorkLifeBalance],Table20[Id_WorkLifeBalance])</f>
        <v>WLB002</v>
      </c>
      <c r="AY1074">
        <v>3</v>
      </c>
      <c r="AZ1074" t="str">
        <f>_xlfn.XLOOKUP(Table1[[#This Row],[WorkLifeBalance]],Table20[WorkLifeBalance],Table20[Deskripsi])</f>
        <v>Good</v>
      </c>
      <c r="BA1074">
        <v>3</v>
      </c>
      <c r="BB1074">
        <v>2</v>
      </c>
      <c r="BC1074">
        <v>0</v>
      </c>
      <c r="BD1074">
        <v>2</v>
      </c>
    </row>
    <row r="1075" spans="1:56" x14ac:dyDescent="0.25">
      <c r="A1075">
        <v>28</v>
      </c>
      <c r="B1075" t="str">
        <f>_xlfn.XLOOKUP(Table1[[#This Row],[Attrition]],Table2[Attrition],Table2[Id_Attrition])</f>
        <v>A002</v>
      </c>
      <c r="C1075" t="s">
        <v>33</v>
      </c>
      <c r="D1075" t="str">
        <f>_xlfn.XLOOKUP(Table1[[#This Row],[BusinessTravel]],Table5[BusinessTravel],Table5[Id_BusinessTravel])</f>
        <v>BS001</v>
      </c>
      <c r="E1075" t="s">
        <v>34</v>
      </c>
      <c r="F1075">
        <v>1083</v>
      </c>
      <c r="G1075" t="str">
        <f>_xlfn.XLOOKUP(Table1[[#This Row],[Department]],Table6[Department],Table6[Id_Departement])</f>
        <v>D002</v>
      </c>
      <c r="H1075" t="s">
        <v>38</v>
      </c>
      <c r="I1075">
        <v>29</v>
      </c>
      <c r="J1075" t="str">
        <f>_xlfn.XLOOKUP(Table1[[#This Row],[Education]],Table8[Education],Table8[Id_Education])</f>
        <v>E001</v>
      </c>
      <c r="K1075">
        <v>1</v>
      </c>
      <c r="L1075" t="str">
        <f>_xlfn.XLOOKUP(Table1[[#This Row],[EducationField]],Table7[EducationField],Table7[Id_EducationField])</f>
        <v>EF001</v>
      </c>
      <c r="M1075" t="s">
        <v>40</v>
      </c>
      <c r="N1075" t="str">
        <f>_xlfn.XLOOKUP(Table1[[#This Row],[EmployeeNumber]],Table4[EmployeeNumber],Table4[Id_Employee])</f>
        <v>EMP01074</v>
      </c>
      <c r="O1075">
        <v>1514</v>
      </c>
      <c r="P1075" t="str">
        <f>_xlfn.XLOOKUP(Table1[[#This Row],[EnvironmentSatisfaction]],Table9[EnvironmentSatisfaction],Table9[Id_EnviromentSatisfaction])</f>
        <v>ES003</v>
      </c>
      <c r="Q1075">
        <v>3</v>
      </c>
      <c r="R1075" t="str">
        <f>_xlfn.XLOOKUP(Table1[[#This Row],[EnvironmentSatisfaction]],Table9[EnvironmentSatisfaction],Table9[Deskripsi])</f>
        <v>High</v>
      </c>
      <c r="S1075" t="str">
        <f>_xlfn.XLOOKUP(Table1[[#This Row],[Gender]],Table10[Gender],Table10[Id_Gender])</f>
        <v>G002</v>
      </c>
      <c r="T1075" t="s">
        <v>46</v>
      </c>
      <c r="U1075">
        <v>96</v>
      </c>
      <c r="V1075" t="str">
        <f>_xlfn.XLOOKUP(Table1[[#This Row],[JobInvolvement]],Table11[JobInvolvement],Table11[Id_JobInvolvement])</f>
        <v>JI001</v>
      </c>
      <c r="W1075">
        <v>1</v>
      </c>
      <c r="X1075" t="str">
        <f>_xlfn.XLOOKUP(Table1[[#This Row],[JobLevel]],Table12[JobLevel],Table12[Id_JobLevel])</f>
        <v>JL002</v>
      </c>
      <c r="Y1075">
        <v>2</v>
      </c>
      <c r="Z1075" t="str">
        <f>_xlfn.XLOOKUP(Table1[[#This Row],[JobRole]],Table13[JobRole],Table13[Id_JobRole])</f>
        <v>JR004</v>
      </c>
      <c r="AA1075" t="s">
        <v>50</v>
      </c>
      <c r="AB1075" t="str">
        <f>_xlfn.XLOOKUP(Table1[[#This Row],[JobSatisfaction]],Table14[JobSatisfaction],Table14[Id_JobSatisfaction])</f>
        <v>JS002</v>
      </c>
      <c r="AC1075">
        <v>2</v>
      </c>
      <c r="AD1075" t="str">
        <f>_xlfn.XLOOKUP(Table1[[#This Row],[JobSatisfaction]],Table14[JobSatisfaction],Table14[Deskripsi])</f>
        <v>Medium</v>
      </c>
      <c r="AE1075" t="str">
        <f>_xlfn.XLOOKUP(Table1[[#This Row],[MaritalStatus]],Table15[MaritalStatus],Table15[Id_MaritalStatus])</f>
        <v>MS002</v>
      </c>
      <c r="AF1075" t="s">
        <v>56</v>
      </c>
      <c r="AG1075">
        <v>6549</v>
      </c>
      <c r="AH1075">
        <v>3173</v>
      </c>
      <c r="AI1075">
        <v>1</v>
      </c>
      <c r="AJ1075" t="str">
        <f>_xlfn.XLOOKUP(Table1[[#This Row],[OverTime]],Table16[OverTime],Table16[Id_OverTime])</f>
        <v>OT002</v>
      </c>
      <c r="AK1075" t="s">
        <v>33</v>
      </c>
      <c r="AL1075">
        <v>14</v>
      </c>
      <c r="AM1075" t="str">
        <f>_xlfn.XLOOKUP(Table1[[#This Row],[PerformanceRating]],Table17[PerformanceRating],Table17[Id_PerformanceRating])</f>
        <v>PR003</v>
      </c>
      <c r="AN1075">
        <v>3</v>
      </c>
      <c r="AO1075" t="str">
        <f>_xlfn.XLOOKUP(Table1[[#This Row],[PerformanceRating]],Table17[PerformanceRating],Table17[Deskripsi])</f>
        <v>Excellent</v>
      </c>
      <c r="AP1075" t="str">
        <f>_xlfn.XLOOKUP(Table1[[#This Row],[RelationshipSatisfaction]],Table18[RelationshipSatisfaction],Table18[Id_RelationshipSatisfaction])</f>
        <v>RS002</v>
      </c>
      <c r="AQ1075">
        <v>2</v>
      </c>
      <c r="AR1075" t="str">
        <f>_xlfn.XLOOKUP(Table1[[#This Row],[RelationshipSatisfaction]],Table18[RelationshipSatisfaction],Table18[Deskripsi])</f>
        <v>Medium</v>
      </c>
      <c r="AS1075" t="str">
        <f>_xlfn.XLOOKUP(Table1[[#This Row],[StockOptionLevel]],Table19[StockOptionLevel],Table19[Id_StockOptionLevel])</f>
        <v>SOL003</v>
      </c>
      <c r="AT1075">
        <v>2</v>
      </c>
      <c r="AU1075" t="str">
        <f>_xlfn.XLOOKUP(Table1[[#This Row],[StockOptionLevel]],Table19[StockOptionLevel],Table19[Deskripsi])</f>
        <v>Intermediate</v>
      </c>
      <c r="AV1075">
        <v>8</v>
      </c>
      <c r="AW1075">
        <v>2</v>
      </c>
      <c r="AX1075" t="str">
        <f>_xlfn.XLOOKUP(Table1[[#This Row],[WorkLifeBalance]],Table20[WorkLifeBalance],Table20[Id_WorkLifeBalance])</f>
        <v>WLB003</v>
      </c>
      <c r="AY1075">
        <v>2</v>
      </c>
      <c r="AZ1075" t="str">
        <f>_xlfn.XLOOKUP(Table1[[#This Row],[WorkLifeBalance]],Table20[WorkLifeBalance],Table20[Deskripsi])</f>
        <v>Better</v>
      </c>
      <c r="BA1075">
        <v>8</v>
      </c>
      <c r="BB1075">
        <v>6</v>
      </c>
      <c r="BC1075">
        <v>1</v>
      </c>
      <c r="BD1075">
        <v>7</v>
      </c>
    </row>
    <row r="1076" spans="1:56" x14ac:dyDescent="0.25">
      <c r="A1076">
        <v>33</v>
      </c>
      <c r="B1076" t="str">
        <f>_xlfn.XLOOKUP(Table1[[#This Row],[Attrition]],Table2[Attrition],Table2[Id_Attrition])</f>
        <v>A002</v>
      </c>
      <c r="C1076" t="s">
        <v>33</v>
      </c>
      <c r="D1076" t="str">
        <f>_xlfn.XLOOKUP(Table1[[#This Row],[BusinessTravel]],Table5[BusinessTravel],Table5[Id_BusinessTravel])</f>
        <v>BS001</v>
      </c>
      <c r="E1076" t="s">
        <v>34</v>
      </c>
      <c r="F1076">
        <v>516</v>
      </c>
      <c r="G1076" t="str">
        <f>_xlfn.XLOOKUP(Table1[[#This Row],[Department]],Table6[Department],Table6[Id_Departement])</f>
        <v>D002</v>
      </c>
      <c r="H1076" t="s">
        <v>38</v>
      </c>
      <c r="I1076">
        <v>8</v>
      </c>
      <c r="J1076" t="str">
        <f>_xlfn.XLOOKUP(Table1[[#This Row],[Education]],Table8[Education],Table8[Id_Education])</f>
        <v>E005</v>
      </c>
      <c r="K1076">
        <v>5</v>
      </c>
      <c r="L1076" t="str">
        <f>_xlfn.XLOOKUP(Table1[[#This Row],[EducationField]],Table7[EducationField],Table7[Id_EducationField])</f>
        <v>EF001</v>
      </c>
      <c r="M1076" t="s">
        <v>40</v>
      </c>
      <c r="N1076" t="str">
        <f>_xlfn.XLOOKUP(Table1[[#This Row],[EmployeeNumber]],Table4[EmployeeNumber],Table4[Id_Employee])</f>
        <v>EMP01075</v>
      </c>
      <c r="O1076">
        <v>1515</v>
      </c>
      <c r="P1076" t="str">
        <f>_xlfn.XLOOKUP(Table1[[#This Row],[EnvironmentSatisfaction]],Table9[EnvironmentSatisfaction],Table9[Id_EnviromentSatisfaction])</f>
        <v>ES004</v>
      </c>
      <c r="Q1076">
        <v>4</v>
      </c>
      <c r="R1076" t="str">
        <f>_xlfn.XLOOKUP(Table1[[#This Row],[EnvironmentSatisfaction]],Table9[EnvironmentSatisfaction],Table9[Deskripsi])</f>
        <v>Very High</v>
      </c>
      <c r="S1076" t="str">
        <f>_xlfn.XLOOKUP(Table1[[#This Row],[Gender]],Table10[Gender],Table10[Id_Gender])</f>
        <v>G002</v>
      </c>
      <c r="T1076" t="s">
        <v>46</v>
      </c>
      <c r="U1076">
        <v>69</v>
      </c>
      <c r="V1076" t="str">
        <f>_xlfn.XLOOKUP(Table1[[#This Row],[JobInvolvement]],Table11[JobInvolvement],Table11[Id_JobInvolvement])</f>
        <v>JI003</v>
      </c>
      <c r="W1076">
        <v>3</v>
      </c>
      <c r="X1076" t="str">
        <f>_xlfn.XLOOKUP(Table1[[#This Row],[JobLevel]],Table12[JobLevel],Table12[Id_JobLevel])</f>
        <v>JL002</v>
      </c>
      <c r="Y1076">
        <v>2</v>
      </c>
      <c r="Z1076" t="str">
        <f>_xlfn.XLOOKUP(Table1[[#This Row],[JobRole]],Table13[JobRole],Table13[Id_JobRole])</f>
        <v>JR005</v>
      </c>
      <c r="AA1076" t="s">
        <v>51</v>
      </c>
      <c r="AB1076" t="str">
        <f>_xlfn.XLOOKUP(Table1[[#This Row],[JobSatisfaction]],Table14[JobSatisfaction],Table14[Id_JobSatisfaction])</f>
        <v>JS003</v>
      </c>
      <c r="AC1076">
        <v>3</v>
      </c>
      <c r="AD1076" t="str">
        <f>_xlfn.XLOOKUP(Table1[[#This Row],[JobSatisfaction]],Table14[JobSatisfaction],Table14[Deskripsi])</f>
        <v>High</v>
      </c>
      <c r="AE1076" t="str">
        <f>_xlfn.XLOOKUP(Table1[[#This Row],[MaritalStatus]],Table15[MaritalStatus],Table15[Id_MaritalStatus])</f>
        <v>MS001</v>
      </c>
      <c r="AF1076" t="s">
        <v>55</v>
      </c>
      <c r="AG1076">
        <v>6388</v>
      </c>
      <c r="AH1076">
        <v>22049</v>
      </c>
      <c r="AI1076">
        <v>2</v>
      </c>
      <c r="AJ1076" t="str">
        <f>_xlfn.XLOOKUP(Table1[[#This Row],[OverTime]],Table16[OverTime],Table16[Id_OverTime])</f>
        <v>OT001</v>
      </c>
      <c r="AK1076" t="s">
        <v>32</v>
      </c>
      <c r="AL1076">
        <v>17</v>
      </c>
      <c r="AM1076" t="str">
        <f>_xlfn.XLOOKUP(Table1[[#This Row],[PerformanceRating]],Table17[PerformanceRating],Table17[Id_PerformanceRating])</f>
        <v>PR003</v>
      </c>
      <c r="AN1076">
        <v>3</v>
      </c>
      <c r="AO1076" t="str">
        <f>_xlfn.XLOOKUP(Table1[[#This Row],[PerformanceRating]],Table17[PerformanceRating],Table17[Deskripsi])</f>
        <v>Excellent</v>
      </c>
      <c r="AP1076" t="str">
        <f>_xlfn.XLOOKUP(Table1[[#This Row],[RelationshipSatisfaction]],Table18[RelationshipSatisfaction],Table18[Id_RelationshipSatisfaction])</f>
        <v>RS001</v>
      </c>
      <c r="AQ1076">
        <v>1</v>
      </c>
      <c r="AR1076" t="str">
        <f>_xlfn.XLOOKUP(Table1[[#This Row],[RelationshipSatisfaction]],Table18[RelationshipSatisfaction],Table18[Deskripsi])</f>
        <v>Low</v>
      </c>
      <c r="AS1076" t="str">
        <f>_xlfn.XLOOKUP(Table1[[#This Row],[StockOptionLevel]],Table19[StockOptionLevel],Table19[Id_StockOptionLevel])</f>
        <v>SOL001</v>
      </c>
      <c r="AT1076">
        <v>0</v>
      </c>
      <c r="AU1076" t="str">
        <f>_xlfn.XLOOKUP(Table1[[#This Row],[StockOptionLevel]],Table19[StockOptionLevel],Table19[Deskripsi])</f>
        <v>Non-Eligible</v>
      </c>
      <c r="AV1076">
        <v>14</v>
      </c>
      <c r="AW1076">
        <v>6</v>
      </c>
      <c r="AX1076" t="str">
        <f>_xlfn.XLOOKUP(Table1[[#This Row],[WorkLifeBalance]],Table20[WorkLifeBalance],Table20[Id_WorkLifeBalance])</f>
        <v>WLB002</v>
      </c>
      <c r="AY1076">
        <v>3</v>
      </c>
      <c r="AZ1076" t="str">
        <f>_xlfn.XLOOKUP(Table1[[#This Row],[WorkLifeBalance]],Table20[WorkLifeBalance],Table20[Deskripsi])</f>
        <v>Good</v>
      </c>
      <c r="BA1076">
        <v>0</v>
      </c>
      <c r="BB1076">
        <v>0</v>
      </c>
      <c r="BC1076">
        <v>0</v>
      </c>
      <c r="BD1076">
        <v>0</v>
      </c>
    </row>
    <row r="1077" spans="1:56" x14ac:dyDescent="0.25">
      <c r="A1077">
        <v>32</v>
      </c>
      <c r="B1077" t="str">
        <f>_xlfn.XLOOKUP(Table1[[#This Row],[Attrition]],Table2[Attrition],Table2[Id_Attrition])</f>
        <v>A002</v>
      </c>
      <c r="C1077" t="s">
        <v>33</v>
      </c>
      <c r="D1077" t="str">
        <f>_xlfn.XLOOKUP(Table1[[#This Row],[BusinessTravel]],Table5[BusinessTravel],Table5[Id_BusinessTravel])</f>
        <v>BS001</v>
      </c>
      <c r="E1077" t="s">
        <v>34</v>
      </c>
      <c r="F1077">
        <v>495</v>
      </c>
      <c r="G1077" t="str">
        <f>_xlfn.XLOOKUP(Table1[[#This Row],[Department]],Table6[Department],Table6[Id_Departement])</f>
        <v>D002</v>
      </c>
      <c r="H1077" t="s">
        <v>38</v>
      </c>
      <c r="I1077">
        <v>10</v>
      </c>
      <c r="J1077" t="str">
        <f>_xlfn.XLOOKUP(Table1[[#This Row],[Education]],Table8[Education],Table8[Id_Education])</f>
        <v>E003</v>
      </c>
      <c r="K1077">
        <v>3</v>
      </c>
      <c r="L1077" t="str">
        <f>_xlfn.XLOOKUP(Table1[[#This Row],[EducationField]],Table7[EducationField],Table7[Id_EducationField])</f>
        <v>EF003</v>
      </c>
      <c r="M1077" t="s">
        <v>42</v>
      </c>
      <c r="N1077" t="str">
        <f>_xlfn.XLOOKUP(Table1[[#This Row],[EmployeeNumber]],Table4[EmployeeNumber],Table4[Id_Employee])</f>
        <v>EMP01076</v>
      </c>
      <c r="O1077">
        <v>1516</v>
      </c>
      <c r="P1077" t="str">
        <f>_xlfn.XLOOKUP(Table1[[#This Row],[EnvironmentSatisfaction]],Table9[EnvironmentSatisfaction],Table9[Id_EnviromentSatisfaction])</f>
        <v>ES003</v>
      </c>
      <c r="Q1077">
        <v>3</v>
      </c>
      <c r="R1077" t="str">
        <f>_xlfn.XLOOKUP(Table1[[#This Row],[EnvironmentSatisfaction]],Table9[EnvironmentSatisfaction],Table9[Deskripsi])</f>
        <v>High</v>
      </c>
      <c r="S1077" t="str">
        <f>_xlfn.XLOOKUP(Table1[[#This Row],[Gender]],Table10[Gender],Table10[Id_Gender])</f>
        <v>G002</v>
      </c>
      <c r="T1077" t="s">
        <v>46</v>
      </c>
      <c r="U1077">
        <v>64</v>
      </c>
      <c r="V1077" t="str">
        <f>_xlfn.XLOOKUP(Table1[[#This Row],[JobInvolvement]],Table11[JobInvolvement],Table11[Id_JobInvolvement])</f>
        <v>JI003</v>
      </c>
      <c r="W1077">
        <v>3</v>
      </c>
      <c r="X1077" t="str">
        <f>_xlfn.XLOOKUP(Table1[[#This Row],[JobLevel]],Table12[JobLevel],Table12[Id_JobLevel])</f>
        <v>JL003</v>
      </c>
      <c r="Y1077">
        <v>3</v>
      </c>
      <c r="Z1077" t="str">
        <f>_xlfn.XLOOKUP(Table1[[#This Row],[JobRole]],Table13[JobRole],Table13[Id_JobRole])</f>
        <v>JR006</v>
      </c>
      <c r="AA1077" t="s">
        <v>52</v>
      </c>
      <c r="AB1077" t="str">
        <f>_xlfn.XLOOKUP(Table1[[#This Row],[JobSatisfaction]],Table14[JobSatisfaction],Table14[Id_JobSatisfaction])</f>
        <v>JS004</v>
      </c>
      <c r="AC1077">
        <v>4</v>
      </c>
      <c r="AD1077" t="str">
        <f>_xlfn.XLOOKUP(Table1[[#This Row],[JobSatisfaction]],Table14[JobSatisfaction],Table14[Deskripsi])</f>
        <v>Very High</v>
      </c>
      <c r="AE1077" t="str">
        <f>_xlfn.XLOOKUP(Table1[[#This Row],[MaritalStatus]],Table15[MaritalStatus],Table15[Id_MaritalStatus])</f>
        <v>MS001</v>
      </c>
      <c r="AF1077" t="s">
        <v>55</v>
      </c>
      <c r="AG1077">
        <v>11244</v>
      </c>
      <c r="AH1077">
        <v>21072</v>
      </c>
      <c r="AI1077">
        <v>2</v>
      </c>
      <c r="AJ1077" t="str">
        <f>_xlfn.XLOOKUP(Table1[[#This Row],[OverTime]],Table16[OverTime],Table16[Id_OverTime])</f>
        <v>OT002</v>
      </c>
      <c r="AK1077" t="s">
        <v>33</v>
      </c>
      <c r="AL1077">
        <v>25</v>
      </c>
      <c r="AM1077" t="str">
        <f>_xlfn.XLOOKUP(Table1[[#This Row],[PerformanceRating]],Table17[PerformanceRating],Table17[Id_PerformanceRating])</f>
        <v>PR004</v>
      </c>
      <c r="AN1077">
        <v>4</v>
      </c>
      <c r="AO1077" t="str">
        <f>_xlfn.XLOOKUP(Table1[[#This Row],[PerformanceRating]],Table17[PerformanceRating],Table17[Deskripsi])</f>
        <v>Outstanding</v>
      </c>
      <c r="AP1077" t="str">
        <f>_xlfn.XLOOKUP(Table1[[#This Row],[RelationshipSatisfaction]],Table18[RelationshipSatisfaction],Table18[Id_RelationshipSatisfaction])</f>
        <v>RS002</v>
      </c>
      <c r="AQ1077">
        <v>2</v>
      </c>
      <c r="AR1077" t="str">
        <f>_xlfn.XLOOKUP(Table1[[#This Row],[RelationshipSatisfaction]],Table18[RelationshipSatisfaction],Table18[Deskripsi])</f>
        <v>Medium</v>
      </c>
      <c r="AS1077" t="str">
        <f>_xlfn.XLOOKUP(Table1[[#This Row],[StockOptionLevel]],Table19[StockOptionLevel],Table19[Id_StockOptionLevel])</f>
        <v>SOL001</v>
      </c>
      <c r="AT1077">
        <v>0</v>
      </c>
      <c r="AU1077" t="str">
        <f>_xlfn.XLOOKUP(Table1[[#This Row],[StockOptionLevel]],Table19[StockOptionLevel],Table19[Deskripsi])</f>
        <v>Non-Eligible</v>
      </c>
      <c r="AV1077">
        <v>10</v>
      </c>
      <c r="AW1077">
        <v>5</v>
      </c>
      <c r="AX1077" t="str">
        <f>_xlfn.XLOOKUP(Table1[[#This Row],[WorkLifeBalance]],Table20[WorkLifeBalance],Table20[Id_WorkLifeBalance])</f>
        <v>WLB004</v>
      </c>
      <c r="AY1077">
        <v>4</v>
      </c>
      <c r="AZ1077" t="str">
        <f>_xlfn.XLOOKUP(Table1[[#This Row],[WorkLifeBalance]],Table20[WorkLifeBalance],Table20[Deskripsi])</f>
        <v>Best</v>
      </c>
      <c r="BA1077">
        <v>5</v>
      </c>
      <c r="BB1077">
        <v>2</v>
      </c>
      <c r="BC1077">
        <v>0</v>
      </c>
      <c r="BD1077">
        <v>0</v>
      </c>
    </row>
    <row r="1078" spans="1:56" x14ac:dyDescent="0.25">
      <c r="A1078">
        <v>54</v>
      </c>
      <c r="B1078" t="str">
        <f>_xlfn.XLOOKUP(Table1[[#This Row],[Attrition]],Table2[Attrition],Table2[Id_Attrition])</f>
        <v>A002</v>
      </c>
      <c r="C1078" t="s">
        <v>33</v>
      </c>
      <c r="D1078" t="str">
        <f>_xlfn.XLOOKUP(Table1[[#This Row],[BusinessTravel]],Table5[BusinessTravel],Table5[Id_BusinessTravel])</f>
        <v>BS002</v>
      </c>
      <c r="E1078" t="s">
        <v>35</v>
      </c>
      <c r="F1078">
        <v>1050</v>
      </c>
      <c r="G1078" t="str">
        <f>_xlfn.XLOOKUP(Table1[[#This Row],[Department]],Table6[Department],Table6[Id_Departement])</f>
        <v>D002</v>
      </c>
      <c r="H1078" t="s">
        <v>38</v>
      </c>
      <c r="I1078">
        <v>11</v>
      </c>
      <c r="J1078" t="str">
        <f>_xlfn.XLOOKUP(Table1[[#This Row],[Education]],Table8[Education],Table8[Id_Education])</f>
        <v>E004</v>
      </c>
      <c r="K1078">
        <v>4</v>
      </c>
      <c r="L1078" t="str">
        <f>_xlfn.XLOOKUP(Table1[[#This Row],[EducationField]],Table7[EducationField],Table7[Id_EducationField])</f>
        <v>EF003</v>
      </c>
      <c r="M1078" t="s">
        <v>42</v>
      </c>
      <c r="N1078" t="str">
        <f>_xlfn.XLOOKUP(Table1[[#This Row],[EmployeeNumber]],Table4[EmployeeNumber],Table4[Id_Employee])</f>
        <v>EMP01077</v>
      </c>
      <c r="O1078">
        <v>1520</v>
      </c>
      <c r="P1078" t="str">
        <f>_xlfn.XLOOKUP(Table1[[#This Row],[EnvironmentSatisfaction]],Table9[EnvironmentSatisfaction],Table9[Id_EnviromentSatisfaction])</f>
        <v>ES002</v>
      </c>
      <c r="Q1078">
        <v>2</v>
      </c>
      <c r="R1078" t="str">
        <f>_xlfn.XLOOKUP(Table1[[#This Row],[EnvironmentSatisfaction]],Table9[EnvironmentSatisfaction],Table9[Deskripsi])</f>
        <v>Medium</v>
      </c>
      <c r="S1078" t="str">
        <f>_xlfn.XLOOKUP(Table1[[#This Row],[Gender]],Table10[Gender],Table10[Id_Gender])</f>
        <v>G001</v>
      </c>
      <c r="T1078" t="s">
        <v>45</v>
      </c>
      <c r="U1078">
        <v>87</v>
      </c>
      <c r="V1078" t="str">
        <f>_xlfn.XLOOKUP(Table1[[#This Row],[JobInvolvement]],Table11[JobInvolvement],Table11[Id_JobInvolvement])</f>
        <v>JI003</v>
      </c>
      <c r="W1078">
        <v>3</v>
      </c>
      <c r="X1078" t="str">
        <f>_xlfn.XLOOKUP(Table1[[#This Row],[JobLevel]],Table12[JobLevel],Table12[Id_JobLevel])</f>
        <v>JL004</v>
      </c>
      <c r="Y1078">
        <v>4</v>
      </c>
      <c r="Z1078" t="str">
        <f>_xlfn.XLOOKUP(Table1[[#This Row],[JobRole]],Table13[JobRole],Table13[Id_JobRole])</f>
        <v>JR006</v>
      </c>
      <c r="AA1078" t="s">
        <v>52</v>
      </c>
      <c r="AB1078" t="str">
        <f>_xlfn.XLOOKUP(Table1[[#This Row],[JobSatisfaction]],Table14[JobSatisfaction],Table14[Id_JobSatisfaction])</f>
        <v>JS004</v>
      </c>
      <c r="AC1078">
        <v>4</v>
      </c>
      <c r="AD1078" t="str">
        <f>_xlfn.XLOOKUP(Table1[[#This Row],[JobSatisfaction]],Table14[JobSatisfaction],Table14[Deskripsi])</f>
        <v>Very High</v>
      </c>
      <c r="AE1078" t="str">
        <f>_xlfn.XLOOKUP(Table1[[#This Row],[MaritalStatus]],Table15[MaritalStatus],Table15[Id_MaritalStatus])</f>
        <v>MS003</v>
      </c>
      <c r="AF1078" t="s">
        <v>57</v>
      </c>
      <c r="AG1078">
        <v>16032</v>
      </c>
      <c r="AH1078">
        <v>24456</v>
      </c>
      <c r="AI1078">
        <v>3</v>
      </c>
      <c r="AJ1078" t="str">
        <f>_xlfn.XLOOKUP(Table1[[#This Row],[OverTime]],Table16[OverTime],Table16[Id_OverTime])</f>
        <v>OT002</v>
      </c>
      <c r="AK1078" t="s">
        <v>33</v>
      </c>
      <c r="AL1078">
        <v>20</v>
      </c>
      <c r="AM1078" t="str">
        <f>_xlfn.XLOOKUP(Table1[[#This Row],[PerformanceRating]],Table17[PerformanceRating],Table17[Id_PerformanceRating])</f>
        <v>PR004</v>
      </c>
      <c r="AN1078">
        <v>4</v>
      </c>
      <c r="AO1078" t="str">
        <f>_xlfn.XLOOKUP(Table1[[#This Row],[PerformanceRating]],Table17[PerformanceRating],Table17[Deskripsi])</f>
        <v>Outstanding</v>
      </c>
      <c r="AP1078" t="str">
        <f>_xlfn.XLOOKUP(Table1[[#This Row],[RelationshipSatisfaction]],Table18[RelationshipSatisfaction],Table18[Id_RelationshipSatisfaction])</f>
        <v>RS001</v>
      </c>
      <c r="AQ1078">
        <v>1</v>
      </c>
      <c r="AR1078" t="str">
        <f>_xlfn.XLOOKUP(Table1[[#This Row],[RelationshipSatisfaction]],Table18[RelationshipSatisfaction],Table18[Deskripsi])</f>
        <v>Low</v>
      </c>
      <c r="AS1078" t="str">
        <f>_xlfn.XLOOKUP(Table1[[#This Row],[StockOptionLevel]],Table19[StockOptionLevel],Table19[Id_StockOptionLevel])</f>
        <v>SOL002</v>
      </c>
      <c r="AT1078">
        <v>1</v>
      </c>
      <c r="AU1078" t="str">
        <f>_xlfn.XLOOKUP(Table1[[#This Row],[StockOptionLevel]],Table19[StockOptionLevel],Table19[Deskripsi])</f>
        <v>Standard</v>
      </c>
      <c r="AV1078">
        <v>26</v>
      </c>
      <c r="AW1078">
        <v>2</v>
      </c>
      <c r="AX1078" t="str">
        <f>_xlfn.XLOOKUP(Table1[[#This Row],[WorkLifeBalance]],Table20[WorkLifeBalance],Table20[Id_WorkLifeBalance])</f>
        <v>WLB002</v>
      </c>
      <c r="AY1078">
        <v>3</v>
      </c>
      <c r="AZ1078" t="str">
        <f>_xlfn.XLOOKUP(Table1[[#This Row],[WorkLifeBalance]],Table20[WorkLifeBalance],Table20[Deskripsi])</f>
        <v>Good</v>
      </c>
      <c r="BA1078">
        <v>14</v>
      </c>
      <c r="BB1078">
        <v>9</v>
      </c>
      <c r="BC1078">
        <v>1</v>
      </c>
      <c r="BD1078">
        <v>12</v>
      </c>
    </row>
    <row r="1079" spans="1:56" x14ac:dyDescent="0.25">
      <c r="A1079">
        <v>29</v>
      </c>
      <c r="B1079" t="str">
        <f>_xlfn.XLOOKUP(Table1[[#This Row],[Attrition]],Table2[Attrition],Table2[Id_Attrition])</f>
        <v>A001</v>
      </c>
      <c r="C1079" t="s">
        <v>32</v>
      </c>
      <c r="D1079" t="str">
        <f>_xlfn.XLOOKUP(Table1[[#This Row],[BusinessTravel]],Table5[BusinessTravel],Table5[Id_BusinessTravel])</f>
        <v>BS001</v>
      </c>
      <c r="E1079" t="s">
        <v>34</v>
      </c>
      <c r="F1079">
        <v>224</v>
      </c>
      <c r="G1079" t="str">
        <f>_xlfn.XLOOKUP(Table1[[#This Row],[Department]],Table6[Department],Table6[Id_Departement])</f>
        <v>D002</v>
      </c>
      <c r="H1079" t="s">
        <v>38</v>
      </c>
      <c r="I1079">
        <v>1</v>
      </c>
      <c r="J1079" t="str">
        <f>_xlfn.XLOOKUP(Table1[[#This Row],[Education]],Table8[Education],Table8[Id_Education])</f>
        <v>E004</v>
      </c>
      <c r="K1079">
        <v>4</v>
      </c>
      <c r="L1079" t="str">
        <f>_xlfn.XLOOKUP(Table1[[#This Row],[EducationField]],Table7[EducationField],Table7[Id_EducationField])</f>
        <v>EF005</v>
      </c>
      <c r="M1079" t="s">
        <v>44</v>
      </c>
      <c r="N1079" t="str">
        <f>_xlfn.XLOOKUP(Table1[[#This Row],[EmployeeNumber]],Table4[EmployeeNumber],Table4[Id_Employee])</f>
        <v>EMP01078</v>
      </c>
      <c r="O1079">
        <v>1522</v>
      </c>
      <c r="P1079" t="str">
        <f>_xlfn.XLOOKUP(Table1[[#This Row],[EnvironmentSatisfaction]],Table9[EnvironmentSatisfaction],Table9[Id_EnviromentSatisfaction])</f>
        <v>ES001</v>
      </c>
      <c r="Q1079">
        <v>1</v>
      </c>
      <c r="R1079" t="str">
        <f>_xlfn.XLOOKUP(Table1[[#This Row],[EnvironmentSatisfaction]],Table9[EnvironmentSatisfaction],Table9[Deskripsi])</f>
        <v>Low</v>
      </c>
      <c r="S1079" t="str">
        <f>_xlfn.XLOOKUP(Table1[[#This Row],[Gender]],Table10[Gender],Table10[Id_Gender])</f>
        <v>G002</v>
      </c>
      <c r="T1079" t="s">
        <v>46</v>
      </c>
      <c r="U1079">
        <v>100</v>
      </c>
      <c r="V1079" t="str">
        <f>_xlfn.XLOOKUP(Table1[[#This Row],[JobInvolvement]],Table11[JobInvolvement],Table11[Id_JobInvolvement])</f>
        <v>JI002</v>
      </c>
      <c r="W1079">
        <v>2</v>
      </c>
      <c r="X1079" t="str">
        <f>_xlfn.XLOOKUP(Table1[[#This Row],[JobLevel]],Table12[JobLevel],Table12[Id_JobLevel])</f>
        <v>JL001</v>
      </c>
      <c r="Y1079">
        <v>1</v>
      </c>
      <c r="Z1079" t="str">
        <f>_xlfn.XLOOKUP(Table1[[#This Row],[JobRole]],Table13[JobRole],Table13[Id_JobRole])</f>
        <v>JR002</v>
      </c>
      <c r="AA1079" t="s">
        <v>48</v>
      </c>
      <c r="AB1079" t="str">
        <f>_xlfn.XLOOKUP(Table1[[#This Row],[JobSatisfaction]],Table14[JobSatisfaction],Table14[Id_JobSatisfaction])</f>
        <v>JS001</v>
      </c>
      <c r="AC1079">
        <v>1</v>
      </c>
      <c r="AD1079" t="str">
        <f>_xlfn.XLOOKUP(Table1[[#This Row],[JobSatisfaction]],Table14[JobSatisfaction],Table14[Deskripsi])</f>
        <v>Low</v>
      </c>
      <c r="AE1079" t="str">
        <f>_xlfn.XLOOKUP(Table1[[#This Row],[MaritalStatus]],Table15[MaritalStatus],Table15[Id_MaritalStatus])</f>
        <v>MS001</v>
      </c>
      <c r="AF1079" t="s">
        <v>55</v>
      </c>
      <c r="AG1079">
        <v>2362</v>
      </c>
      <c r="AH1079">
        <v>7568</v>
      </c>
      <c r="AI1079">
        <v>6</v>
      </c>
      <c r="AJ1079" t="str">
        <f>_xlfn.XLOOKUP(Table1[[#This Row],[OverTime]],Table16[OverTime],Table16[Id_OverTime])</f>
        <v>OT002</v>
      </c>
      <c r="AK1079" t="s">
        <v>33</v>
      </c>
      <c r="AL1079">
        <v>13</v>
      </c>
      <c r="AM1079" t="str">
        <f>_xlfn.XLOOKUP(Table1[[#This Row],[PerformanceRating]],Table17[PerformanceRating],Table17[Id_PerformanceRating])</f>
        <v>PR003</v>
      </c>
      <c r="AN1079">
        <v>3</v>
      </c>
      <c r="AO1079" t="str">
        <f>_xlfn.XLOOKUP(Table1[[#This Row],[PerformanceRating]],Table17[PerformanceRating],Table17[Deskripsi])</f>
        <v>Excellent</v>
      </c>
      <c r="AP1079" t="str">
        <f>_xlfn.XLOOKUP(Table1[[#This Row],[RelationshipSatisfaction]],Table18[RelationshipSatisfaction],Table18[Id_RelationshipSatisfaction])</f>
        <v>RS003</v>
      </c>
      <c r="AQ1079">
        <v>3</v>
      </c>
      <c r="AR1079" t="str">
        <f>_xlfn.XLOOKUP(Table1[[#This Row],[RelationshipSatisfaction]],Table18[RelationshipSatisfaction],Table18[Deskripsi])</f>
        <v>High</v>
      </c>
      <c r="AS1079" t="str">
        <f>_xlfn.XLOOKUP(Table1[[#This Row],[StockOptionLevel]],Table19[StockOptionLevel],Table19[Id_StockOptionLevel])</f>
        <v>SOL001</v>
      </c>
      <c r="AT1079">
        <v>0</v>
      </c>
      <c r="AU1079" t="str">
        <f>_xlfn.XLOOKUP(Table1[[#This Row],[StockOptionLevel]],Table19[StockOptionLevel],Table19[Deskripsi])</f>
        <v>Non-Eligible</v>
      </c>
      <c r="AV1079">
        <v>11</v>
      </c>
      <c r="AW1079">
        <v>2</v>
      </c>
      <c r="AX1079" t="str">
        <f>_xlfn.XLOOKUP(Table1[[#This Row],[WorkLifeBalance]],Table20[WorkLifeBalance],Table20[Id_WorkLifeBalance])</f>
        <v>WLB001</v>
      </c>
      <c r="AY1079">
        <v>1</v>
      </c>
      <c r="AZ1079" t="str">
        <f>_xlfn.XLOOKUP(Table1[[#This Row],[WorkLifeBalance]],Table20[WorkLifeBalance],Table20[Deskripsi])</f>
        <v>Bad</v>
      </c>
      <c r="BA1079">
        <v>9</v>
      </c>
      <c r="BB1079">
        <v>7</v>
      </c>
      <c r="BC1079">
        <v>0</v>
      </c>
      <c r="BD1079">
        <v>7</v>
      </c>
    </row>
    <row r="1080" spans="1:56" x14ac:dyDescent="0.25">
      <c r="A1080">
        <v>44</v>
      </c>
      <c r="B1080" t="str">
        <f>_xlfn.XLOOKUP(Table1[[#This Row],[Attrition]],Table2[Attrition],Table2[Id_Attrition])</f>
        <v>A002</v>
      </c>
      <c r="C1080" t="s">
        <v>33</v>
      </c>
      <c r="D1080" t="str">
        <f>_xlfn.XLOOKUP(Table1[[#This Row],[BusinessTravel]],Table5[BusinessTravel],Table5[Id_BusinessTravel])</f>
        <v>BS001</v>
      </c>
      <c r="E1080" t="s">
        <v>34</v>
      </c>
      <c r="F1080">
        <v>136</v>
      </c>
      <c r="G1080" t="str">
        <f>_xlfn.XLOOKUP(Table1[[#This Row],[Department]],Table6[Department],Table6[Id_Departement])</f>
        <v>D002</v>
      </c>
      <c r="H1080" t="s">
        <v>38</v>
      </c>
      <c r="I1080">
        <v>28</v>
      </c>
      <c r="J1080" t="str">
        <f>_xlfn.XLOOKUP(Table1[[#This Row],[Education]],Table8[Education],Table8[Id_Education])</f>
        <v>E003</v>
      </c>
      <c r="K1080">
        <v>3</v>
      </c>
      <c r="L1080" t="str">
        <f>_xlfn.XLOOKUP(Table1[[#This Row],[EducationField]],Table7[EducationField],Table7[Id_EducationField])</f>
        <v>EF001</v>
      </c>
      <c r="M1080" t="s">
        <v>40</v>
      </c>
      <c r="N1080" t="str">
        <f>_xlfn.XLOOKUP(Table1[[#This Row],[EmployeeNumber]],Table4[EmployeeNumber],Table4[Id_Employee])</f>
        <v>EMP01079</v>
      </c>
      <c r="O1080">
        <v>1523</v>
      </c>
      <c r="P1080" t="str">
        <f>_xlfn.XLOOKUP(Table1[[#This Row],[EnvironmentSatisfaction]],Table9[EnvironmentSatisfaction],Table9[Id_EnviromentSatisfaction])</f>
        <v>ES004</v>
      </c>
      <c r="Q1080">
        <v>4</v>
      </c>
      <c r="R1080" t="str">
        <f>_xlfn.XLOOKUP(Table1[[#This Row],[EnvironmentSatisfaction]],Table9[EnvironmentSatisfaction],Table9[Deskripsi])</f>
        <v>Very High</v>
      </c>
      <c r="S1080" t="str">
        <f>_xlfn.XLOOKUP(Table1[[#This Row],[Gender]],Table10[Gender],Table10[Id_Gender])</f>
        <v>G002</v>
      </c>
      <c r="T1080" t="s">
        <v>46</v>
      </c>
      <c r="U1080">
        <v>32</v>
      </c>
      <c r="V1080" t="str">
        <f>_xlfn.XLOOKUP(Table1[[#This Row],[JobInvolvement]],Table11[JobInvolvement],Table11[Id_JobInvolvement])</f>
        <v>JI003</v>
      </c>
      <c r="W1080">
        <v>3</v>
      </c>
      <c r="X1080" t="str">
        <f>_xlfn.XLOOKUP(Table1[[#This Row],[JobLevel]],Table12[JobLevel],Table12[Id_JobLevel])</f>
        <v>JL004</v>
      </c>
      <c r="Y1080">
        <v>4</v>
      </c>
      <c r="Z1080" t="str">
        <f>_xlfn.XLOOKUP(Table1[[#This Row],[JobRole]],Table13[JobRole],Table13[Id_JobRole])</f>
        <v>JR008</v>
      </c>
      <c r="AA1080" t="s">
        <v>54</v>
      </c>
      <c r="AB1080" t="str">
        <f>_xlfn.XLOOKUP(Table1[[#This Row],[JobSatisfaction]],Table14[JobSatisfaction],Table14[Id_JobSatisfaction])</f>
        <v>JS001</v>
      </c>
      <c r="AC1080">
        <v>1</v>
      </c>
      <c r="AD1080" t="str">
        <f>_xlfn.XLOOKUP(Table1[[#This Row],[JobSatisfaction]],Table14[JobSatisfaction],Table14[Deskripsi])</f>
        <v>Low</v>
      </c>
      <c r="AE1080" t="str">
        <f>_xlfn.XLOOKUP(Table1[[#This Row],[MaritalStatus]],Table15[MaritalStatus],Table15[Id_MaritalStatus])</f>
        <v>MS002</v>
      </c>
      <c r="AF1080" t="s">
        <v>56</v>
      </c>
      <c r="AG1080">
        <v>16328</v>
      </c>
      <c r="AH1080">
        <v>22074</v>
      </c>
      <c r="AI1080">
        <v>3</v>
      </c>
      <c r="AJ1080" t="str">
        <f>_xlfn.XLOOKUP(Table1[[#This Row],[OverTime]],Table16[OverTime],Table16[Id_OverTime])</f>
        <v>OT002</v>
      </c>
      <c r="AK1080" t="s">
        <v>33</v>
      </c>
      <c r="AL1080">
        <v>13</v>
      </c>
      <c r="AM1080" t="str">
        <f>_xlfn.XLOOKUP(Table1[[#This Row],[PerformanceRating]],Table17[PerformanceRating],Table17[Id_PerformanceRating])</f>
        <v>PR003</v>
      </c>
      <c r="AN1080">
        <v>3</v>
      </c>
      <c r="AO1080" t="str">
        <f>_xlfn.XLOOKUP(Table1[[#This Row],[PerformanceRating]],Table17[PerformanceRating],Table17[Deskripsi])</f>
        <v>Excellent</v>
      </c>
      <c r="AP1080" t="str">
        <f>_xlfn.XLOOKUP(Table1[[#This Row],[RelationshipSatisfaction]],Table18[RelationshipSatisfaction],Table18[Id_RelationshipSatisfaction])</f>
        <v>RS003</v>
      </c>
      <c r="AQ1080">
        <v>3</v>
      </c>
      <c r="AR1080" t="str">
        <f>_xlfn.XLOOKUP(Table1[[#This Row],[RelationshipSatisfaction]],Table18[RelationshipSatisfaction],Table18[Deskripsi])</f>
        <v>High</v>
      </c>
      <c r="AS1080" t="str">
        <f>_xlfn.XLOOKUP(Table1[[#This Row],[StockOptionLevel]],Table19[StockOptionLevel],Table19[Id_StockOptionLevel])</f>
        <v>SOL002</v>
      </c>
      <c r="AT1080">
        <v>1</v>
      </c>
      <c r="AU1080" t="str">
        <f>_xlfn.XLOOKUP(Table1[[#This Row],[StockOptionLevel]],Table19[StockOptionLevel],Table19[Deskripsi])</f>
        <v>Standard</v>
      </c>
      <c r="AV1080">
        <v>24</v>
      </c>
      <c r="AW1080">
        <v>1</v>
      </c>
      <c r="AX1080" t="str">
        <f>_xlfn.XLOOKUP(Table1[[#This Row],[WorkLifeBalance]],Table20[WorkLifeBalance],Table20[Id_WorkLifeBalance])</f>
        <v>WLB004</v>
      </c>
      <c r="AY1080">
        <v>4</v>
      </c>
      <c r="AZ1080" t="str">
        <f>_xlfn.XLOOKUP(Table1[[#This Row],[WorkLifeBalance]],Table20[WorkLifeBalance],Table20[Deskripsi])</f>
        <v>Best</v>
      </c>
      <c r="BA1080">
        <v>20</v>
      </c>
      <c r="BB1080">
        <v>6</v>
      </c>
      <c r="BC1080">
        <v>14</v>
      </c>
      <c r="BD1080">
        <v>17</v>
      </c>
    </row>
    <row r="1081" spans="1:56" x14ac:dyDescent="0.25">
      <c r="A1081">
        <v>39</v>
      </c>
      <c r="B1081" t="str">
        <f>_xlfn.XLOOKUP(Table1[[#This Row],[Attrition]],Table2[Attrition],Table2[Id_Attrition])</f>
        <v>A002</v>
      </c>
      <c r="C1081" t="s">
        <v>33</v>
      </c>
      <c r="D1081" t="str">
        <f>_xlfn.XLOOKUP(Table1[[#This Row],[BusinessTravel]],Table5[BusinessTravel],Table5[Id_BusinessTravel])</f>
        <v>BS001</v>
      </c>
      <c r="E1081" t="s">
        <v>34</v>
      </c>
      <c r="F1081">
        <v>1089</v>
      </c>
      <c r="G1081" t="str">
        <f>_xlfn.XLOOKUP(Table1[[#This Row],[Department]],Table6[Department],Table6[Id_Departement])</f>
        <v>D002</v>
      </c>
      <c r="H1081" t="s">
        <v>38</v>
      </c>
      <c r="I1081">
        <v>6</v>
      </c>
      <c r="J1081" t="str">
        <f>_xlfn.XLOOKUP(Table1[[#This Row],[Education]],Table8[Education],Table8[Id_Education])</f>
        <v>E003</v>
      </c>
      <c r="K1081">
        <v>3</v>
      </c>
      <c r="L1081" t="str">
        <f>_xlfn.XLOOKUP(Table1[[#This Row],[EducationField]],Table7[EducationField],Table7[Id_EducationField])</f>
        <v>EF001</v>
      </c>
      <c r="M1081" t="s">
        <v>40</v>
      </c>
      <c r="N1081" t="str">
        <f>_xlfn.XLOOKUP(Table1[[#This Row],[EmployeeNumber]],Table4[EmployeeNumber],Table4[Id_Employee])</f>
        <v>EMP01080</v>
      </c>
      <c r="O1081">
        <v>1525</v>
      </c>
      <c r="P1081" t="str">
        <f>_xlfn.XLOOKUP(Table1[[#This Row],[EnvironmentSatisfaction]],Table9[EnvironmentSatisfaction],Table9[Id_EnviromentSatisfaction])</f>
        <v>ES002</v>
      </c>
      <c r="Q1081">
        <v>2</v>
      </c>
      <c r="R1081" t="str">
        <f>_xlfn.XLOOKUP(Table1[[#This Row],[EnvironmentSatisfaction]],Table9[EnvironmentSatisfaction],Table9[Deskripsi])</f>
        <v>Medium</v>
      </c>
      <c r="S1081" t="str">
        <f>_xlfn.XLOOKUP(Table1[[#This Row],[Gender]],Table10[Gender],Table10[Id_Gender])</f>
        <v>G001</v>
      </c>
      <c r="T1081" t="s">
        <v>45</v>
      </c>
      <c r="U1081">
        <v>32</v>
      </c>
      <c r="V1081" t="str">
        <f>_xlfn.XLOOKUP(Table1[[#This Row],[JobInvolvement]],Table11[JobInvolvement],Table11[Id_JobInvolvement])</f>
        <v>JI003</v>
      </c>
      <c r="W1081">
        <v>3</v>
      </c>
      <c r="X1081" t="str">
        <f>_xlfn.XLOOKUP(Table1[[#This Row],[JobLevel]],Table12[JobLevel],Table12[Id_JobLevel])</f>
        <v>JL003</v>
      </c>
      <c r="Y1081">
        <v>3</v>
      </c>
      <c r="Z1081" t="str">
        <f>_xlfn.XLOOKUP(Table1[[#This Row],[JobRole]],Table13[JobRole],Table13[Id_JobRole])</f>
        <v>JR004</v>
      </c>
      <c r="AA1081" t="s">
        <v>50</v>
      </c>
      <c r="AB1081" t="str">
        <f>_xlfn.XLOOKUP(Table1[[#This Row],[JobSatisfaction]],Table14[JobSatisfaction],Table14[Id_JobSatisfaction])</f>
        <v>JS002</v>
      </c>
      <c r="AC1081">
        <v>2</v>
      </c>
      <c r="AD1081" t="str">
        <f>_xlfn.XLOOKUP(Table1[[#This Row],[JobSatisfaction]],Table14[JobSatisfaction],Table14[Deskripsi])</f>
        <v>Medium</v>
      </c>
      <c r="AE1081" t="str">
        <f>_xlfn.XLOOKUP(Table1[[#This Row],[MaritalStatus]],Table15[MaritalStatus],Table15[Id_MaritalStatus])</f>
        <v>MS001</v>
      </c>
      <c r="AF1081" t="s">
        <v>55</v>
      </c>
      <c r="AG1081">
        <v>8376</v>
      </c>
      <c r="AH1081">
        <v>9150</v>
      </c>
      <c r="AI1081">
        <v>4</v>
      </c>
      <c r="AJ1081" t="str">
        <f>_xlfn.XLOOKUP(Table1[[#This Row],[OverTime]],Table16[OverTime],Table16[Id_OverTime])</f>
        <v>OT002</v>
      </c>
      <c r="AK1081" t="s">
        <v>33</v>
      </c>
      <c r="AL1081">
        <v>18</v>
      </c>
      <c r="AM1081" t="str">
        <f>_xlfn.XLOOKUP(Table1[[#This Row],[PerformanceRating]],Table17[PerformanceRating],Table17[Id_PerformanceRating])</f>
        <v>PR003</v>
      </c>
      <c r="AN1081">
        <v>3</v>
      </c>
      <c r="AO1081" t="str">
        <f>_xlfn.XLOOKUP(Table1[[#This Row],[PerformanceRating]],Table17[PerformanceRating],Table17[Deskripsi])</f>
        <v>Excellent</v>
      </c>
      <c r="AP1081" t="str">
        <f>_xlfn.XLOOKUP(Table1[[#This Row],[RelationshipSatisfaction]],Table18[RelationshipSatisfaction],Table18[Id_RelationshipSatisfaction])</f>
        <v>RS004</v>
      </c>
      <c r="AQ1081">
        <v>4</v>
      </c>
      <c r="AR1081" t="str">
        <f>_xlfn.XLOOKUP(Table1[[#This Row],[RelationshipSatisfaction]],Table18[RelationshipSatisfaction],Table18[Deskripsi])</f>
        <v>Very High</v>
      </c>
      <c r="AS1081" t="str">
        <f>_xlfn.XLOOKUP(Table1[[#This Row],[StockOptionLevel]],Table19[StockOptionLevel],Table19[Id_StockOptionLevel])</f>
        <v>SOL001</v>
      </c>
      <c r="AT1081">
        <v>0</v>
      </c>
      <c r="AU1081" t="str">
        <f>_xlfn.XLOOKUP(Table1[[#This Row],[StockOptionLevel]],Table19[StockOptionLevel],Table19[Deskripsi])</f>
        <v>Non-Eligible</v>
      </c>
      <c r="AV1081">
        <v>9</v>
      </c>
      <c r="AW1081">
        <v>3</v>
      </c>
      <c r="AX1081" t="str">
        <f>_xlfn.XLOOKUP(Table1[[#This Row],[WorkLifeBalance]],Table20[WorkLifeBalance],Table20[Id_WorkLifeBalance])</f>
        <v>WLB002</v>
      </c>
      <c r="AY1081">
        <v>3</v>
      </c>
      <c r="AZ1081" t="str">
        <f>_xlfn.XLOOKUP(Table1[[#This Row],[WorkLifeBalance]],Table20[WorkLifeBalance],Table20[Deskripsi])</f>
        <v>Good</v>
      </c>
      <c r="BA1081">
        <v>2</v>
      </c>
      <c r="BB1081">
        <v>0</v>
      </c>
      <c r="BC1081">
        <v>2</v>
      </c>
      <c r="BD1081">
        <v>2</v>
      </c>
    </row>
    <row r="1082" spans="1:56" x14ac:dyDescent="0.25">
      <c r="A1082">
        <v>46</v>
      </c>
      <c r="B1082" t="str">
        <f>_xlfn.XLOOKUP(Table1[[#This Row],[Attrition]],Table2[Attrition],Table2[Id_Attrition])</f>
        <v>A002</v>
      </c>
      <c r="C1082" t="s">
        <v>33</v>
      </c>
      <c r="D1082" t="str">
        <f>_xlfn.XLOOKUP(Table1[[#This Row],[BusinessTravel]],Table5[BusinessTravel],Table5[Id_BusinessTravel])</f>
        <v>BS001</v>
      </c>
      <c r="E1082" t="s">
        <v>34</v>
      </c>
      <c r="F1082">
        <v>228</v>
      </c>
      <c r="G1082" t="str">
        <f>_xlfn.XLOOKUP(Table1[[#This Row],[Department]],Table6[Department],Table6[Id_Departement])</f>
        <v>D001</v>
      </c>
      <c r="H1082" t="s">
        <v>37</v>
      </c>
      <c r="I1082">
        <v>3</v>
      </c>
      <c r="J1082" t="str">
        <f>_xlfn.XLOOKUP(Table1[[#This Row],[Education]],Table8[Education],Table8[Id_Education])</f>
        <v>E003</v>
      </c>
      <c r="K1082">
        <v>3</v>
      </c>
      <c r="L1082" t="str">
        <f>_xlfn.XLOOKUP(Table1[[#This Row],[EducationField]],Table7[EducationField],Table7[Id_EducationField])</f>
        <v>EF001</v>
      </c>
      <c r="M1082" t="s">
        <v>40</v>
      </c>
      <c r="N1082" t="str">
        <f>_xlfn.XLOOKUP(Table1[[#This Row],[EmployeeNumber]],Table4[EmployeeNumber],Table4[Id_Employee])</f>
        <v>EMP01081</v>
      </c>
      <c r="O1082">
        <v>1527</v>
      </c>
      <c r="P1082" t="str">
        <f>_xlfn.XLOOKUP(Table1[[#This Row],[EnvironmentSatisfaction]],Table9[EnvironmentSatisfaction],Table9[Id_EnviromentSatisfaction])</f>
        <v>ES003</v>
      </c>
      <c r="Q1082">
        <v>3</v>
      </c>
      <c r="R1082" t="str">
        <f>_xlfn.XLOOKUP(Table1[[#This Row],[EnvironmentSatisfaction]],Table9[EnvironmentSatisfaction],Table9[Deskripsi])</f>
        <v>High</v>
      </c>
      <c r="S1082" t="str">
        <f>_xlfn.XLOOKUP(Table1[[#This Row],[Gender]],Table10[Gender],Table10[Id_Gender])</f>
        <v>G001</v>
      </c>
      <c r="T1082" t="s">
        <v>45</v>
      </c>
      <c r="U1082">
        <v>51</v>
      </c>
      <c r="V1082" t="str">
        <f>_xlfn.XLOOKUP(Table1[[#This Row],[JobInvolvement]],Table11[JobInvolvement],Table11[Id_JobInvolvement])</f>
        <v>JI003</v>
      </c>
      <c r="W1082">
        <v>3</v>
      </c>
      <c r="X1082" t="str">
        <f>_xlfn.XLOOKUP(Table1[[#This Row],[JobLevel]],Table12[JobLevel],Table12[Id_JobLevel])</f>
        <v>JL004</v>
      </c>
      <c r="Y1082">
        <v>4</v>
      </c>
      <c r="Z1082" t="str">
        <f>_xlfn.XLOOKUP(Table1[[#This Row],[JobRole]],Table13[JobRole],Table13[Id_JobRole])</f>
        <v>JR006</v>
      </c>
      <c r="AA1082" t="s">
        <v>52</v>
      </c>
      <c r="AB1082" t="str">
        <f>_xlfn.XLOOKUP(Table1[[#This Row],[JobSatisfaction]],Table14[JobSatisfaction],Table14[Id_JobSatisfaction])</f>
        <v>JS002</v>
      </c>
      <c r="AC1082">
        <v>2</v>
      </c>
      <c r="AD1082" t="str">
        <f>_xlfn.XLOOKUP(Table1[[#This Row],[JobSatisfaction]],Table14[JobSatisfaction],Table14[Deskripsi])</f>
        <v>Medium</v>
      </c>
      <c r="AE1082" t="str">
        <f>_xlfn.XLOOKUP(Table1[[#This Row],[MaritalStatus]],Table15[MaritalStatus],Table15[Id_MaritalStatus])</f>
        <v>MS002</v>
      </c>
      <c r="AF1082" t="s">
        <v>56</v>
      </c>
      <c r="AG1082">
        <v>16606</v>
      </c>
      <c r="AH1082">
        <v>11380</v>
      </c>
      <c r="AI1082">
        <v>8</v>
      </c>
      <c r="AJ1082" t="str">
        <f>_xlfn.XLOOKUP(Table1[[#This Row],[OverTime]],Table16[OverTime],Table16[Id_OverTime])</f>
        <v>OT002</v>
      </c>
      <c r="AK1082" t="s">
        <v>33</v>
      </c>
      <c r="AL1082">
        <v>12</v>
      </c>
      <c r="AM1082" t="str">
        <f>_xlfn.XLOOKUP(Table1[[#This Row],[PerformanceRating]],Table17[PerformanceRating],Table17[Id_PerformanceRating])</f>
        <v>PR003</v>
      </c>
      <c r="AN1082">
        <v>3</v>
      </c>
      <c r="AO1082" t="str">
        <f>_xlfn.XLOOKUP(Table1[[#This Row],[PerformanceRating]],Table17[PerformanceRating],Table17[Deskripsi])</f>
        <v>Excellent</v>
      </c>
      <c r="AP1082" t="str">
        <f>_xlfn.XLOOKUP(Table1[[#This Row],[RelationshipSatisfaction]],Table18[RelationshipSatisfaction],Table18[Id_RelationshipSatisfaction])</f>
        <v>RS004</v>
      </c>
      <c r="AQ1082">
        <v>4</v>
      </c>
      <c r="AR1082" t="str">
        <f>_xlfn.XLOOKUP(Table1[[#This Row],[RelationshipSatisfaction]],Table18[RelationshipSatisfaction],Table18[Deskripsi])</f>
        <v>Very High</v>
      </c>
      <c r="AS1082" t="str">
        <f>_xlfn.XLOOKUP(Table1[[#This Row],[StockOptionLevel]],Table19[StockOptionLevel],Table19[Id_StockOptionLevel])</f>
        <v>SOL002</v>
      </c>
      <c r="AT1082">
        <v>1</v>
      </c>
      <c r="AU1082" t="str">
        <f>_xlfn.XLOOKUP(Table1[[#This Row],[StockOptionLevel]],Table19[StockOptionLevel],Table19[Deskripsi])</f>
        <v>Standard</v>
      </c>
      <c r="AV1082">
        <v>23</v>
      </c>
      <c r="AW1082">
        <v>2</v>
      </c>
      <c r="AX1082" t="str">
        <f>_xlfn.XLOOKUP(Table1[[#This Row],[WorkLifeBalance]],Table20[WorkLifeBalance],Table20[Id_WorkLifeBalance])</f>
        <v>WLB004</v>
      </c>
      <c r="AY1082">
        <v>4</v>
      </c>
      <c r="AZ1082" t="str">
        <f>_xlfn.XLOOKUP(Table1[[#This Row],[WorkLifeBalance]],Table20[WorkLifeBalance],Table20[Deskripsi])</f>
        <v>Best</v>
      </c>
      <c r="BA1082">
        <v>13</v>
      </c>
      <c r="BB1082">
        <v>12</v>
      </c>
      <c r="BC1082">
        <v>5</v>
      </c>
      <c r="BD1082">
        <v>1</v>
      </c>
    </row>
    <row r="1083" spans="1:56" x14ac:dyDescent="0.25">
      <c r="A1083">
        <v>35</v>
      </c>
      <c r="B1083" t="str">
        <f>_xlfn.XLOOKUP(Table1[[#This Row],[Attrition]],Table2[Attrition],Table2[Id_Attrition])</f>
        <v>A002</v>
      </c>
      <c r="C1083" t="s">
        <v>33</v>
      </c>
      <c r="D1083" t="str">
        <f>_xlfn.XLOOKUP(Table1[[#This Row],[BusinessTravel]],Table5[BusinessTravel],Table5[Id_BusinessTravel])</f>
        <v>BS001</v>
      </c>
      <c r="E1083" t="s">
        <v>34</v>
      </c>
      <c r="F1083">
        <v>1029</v>
      </c>
      <c r="G1083" t="str">
        <f>_xlfn.XLOOKUP(Table1[[#This Row],[Department]],Table6[Department],Table6[Id_Departement])</f>
        <v>D002</v>
      </c>
      <c r="H1083" t="s">
        <v>38</v>
      </c>
      <c r="I1083">
        <v>16</v>
      </c>
      <c r="J1083" t="str">
        <f>_xlfn.XLOOKUP(Table1[[#This Row],[Education]],Table8[Education],Table8[Id_Education])</f>
        <v>E003</v>
      </c>
      <c r="K1083">
        <v>3</v>
      </c>
      <c r="L1083" t="str">
        <f>_xlfn.XLOOKUP(Table1[[#This Row],[EducationField]],Table7[EducationField],Table7[Id_EducationField])</f>
        <v>EF001</v>
      </c>
      <c r="M1083" t="s">
        <v>40</v>
      </c>
      <c r="N1083" t="str">
        <f>_xlfn.XLOOKUP(Table1[[#This Row],[EmployeeNumber]],Table4[EmployeeNumber],Table4[Id_Employee])</f>
        <v>EMP01082</v>
      </c>
      <c r="O1083">
        <v>1529</v>
      </c>
      <c r="P1083" t="str">
        <f>_xlfn.XLOOKUP(Table1[[#This Row],[EnvironmentSatisfaction]],Table9[EnvironmentSatisfaction],Table9[Id_EnviromentSatisfaction])</f>
        <v>ES004</v>
      </c>
      <c r="Q1083">
        <v>4</v>
      </c>
      <c r="R1083" t="str">
        <f>_xlfn.XLOOKUP(Table1[[#This Row],[EnvironmentSatisfaction]],Table9[EnvironmentSatisfaction],Table9[Deskripsi])</f>
        <v>Very High</v>
      </c>
      <c r="S1083" t="str">
        <f>_xlfn.XLOOKUP(Table1[[#This Row],[Gender]],Table10[Gender],Table10[Id_Gender])</f>
        <v>G001</v>
      </c>
      <c r="T1083" t="s">
        <v>45</v>
      </c>
      <c r="U1083">
        <v>91</v>
      </c>
      <c r="V1083" t="str">
        <f>_xlfn.XLOOKUP(Table1[[#This Row],[JobInvolvement]],Table11[JobInvolvement],Table11[Id_JobInvolvement])</f>
        <v>JI002</v>
      </c>
      <c r="W1083">
        <v>2</v>
      </c>
      <c r="X1083" t="str">
        <f>_xlfn.XLOOKUP(Table1[[#This Row],[JobLevel]],Table12[JobLevel],Table12[Id_JobLevel])</f>
        <v>JL003</v>
      </c>
      <c r="Y1083">
        <v>3</v>
      </c>
      <c r="Z1083" t="str">
        <f>_xlfn.XLOOKUP(Table1[[#This Row],[JobRole]],Table13[JobRole],Table13[Id_JobRole])</f>
        <v>JR005</v>
      </c>
      <c r="AA1083" t="s">
        <v>51</v>
      </c>
      <c r="AB1083" t="str">
        <f>_xlfn.XLOOKUP(Table1[[#This Row],[JobSatisfaction]],Table14[JobSatisfaction],Table14[Id_JobSatisfaction])</f>
        <v>JS002</v>
      </c>
      <c r="AC1083">
        <v>2</v>
      </c>
      <c r="AD1083" t="str">
        <f>_xlfn.XLOOKUP(Table1[[#This Row],[JobSatisfaction]],Table14[JobSatisfaction],Table14[Deskripsi])</f>
        <v>Medium</v>
      </c>
      <c r="AE1083" t="str">
        <f>_xlfn.XLOOKUP(Table1[[#This Row],[MaritalStatus]],Table15[MaritalStatus],Table15[Id_MaritalStatus])</f>
        <v>MS001</v>
      </c>
      <c r="AF1083" t="s">
        <v>55</v>
      </c>
      <c r="AG1083">
        <v>8606</v>
      </c>
      <c r="AH1083">
        <v>21195</v>
      </c>
      <c r="AI1083">
        <v>1</v>
      </c>
      <c r="AJ1083" t="str">
        <f>_xlfn.XLOOKUP(Table1[[#This Row],[OverTime]],Table16[OverTime],Table16[Id_OverTime])</f>
        <v>OT002</v>
      </c>
      <c r="AK1083" t="s">
        <v>33</v>
      </c>
      <c r="AL1083">
        <v>19</v>
      </c>
      <c r="AM1083" t="str">
        <f>_xlfn.XLOOKUP(Table1[[#This Row],[PerformanceRating]],Table17[PerformanceRating],Table17[Id_PerformanceRating])</f>
        <v>PR003</v>
      </c>
      <c r="AN1083">
        <v>3</v>
      </c>
      <c r="AO1083" t="str">
        <f>_xlfn.XLOOKUP(Table1[[#This Row],[PerformanceRating]],Table17[PerformanceRating],Table17[Deskripsi])</f>
        <v>Excellent</v>
      </c>
      <c r="AP1083" t="str">
        <f>_xlfn.XLOOKUP(Table1[[#This Row],[RelationshipSatisfaction]],Table18[RelationshipSatisfaction],Table18[Id_RelationshipSatisfaction])</f>
        <v>RS004</v>
      </c>
      <c r="AQ1083">
        <v>4</v>
      </c>
      <c r="AR1083" t="str">
        <f>_xlfn.XLOOKUP(Table1[[#This Row],[RelationshipSatisfaction]],Table18[RelationshipSatisfaction],Table18[Deskripsi])</f>
        <v>Very High</v>
      </c>
      <c r="AS1083" t="str">
        <f>_xlfn.XLOOKUP(Table1[[#This Row],[StockOptionLevel]],Table19[StockOptionLevel],Table19[Id_StockOptionLevel])</f>
        <v>SOL001</v>
      </c>
      <c r="AT1083">
        <v>0</v>
      </c>
      <c r="AU1083" t="str">
        <f>_xlfn.XLOOKUP(Table1[[#This Row],[StockOptionLevel]],Table19[StockOptionLevel],Table19[Deskripsi])</f>
        <v>Non-Eligible</v>
      </c>
      <c r="AV1083">
        <v>11</v>
      </c>
      <c r="AW1083">
        <v>3</v>
      </c>
      <c r="AX1083" t="str">
        <f>_xlfn.XLOOKUP(Table1[[#This Row],[WorkLifeBalance]],Table20[WorkLifeBalance],Table20[Id_WorkLifeBalance])</f>
        <v>WLB001</v>
      </c>
      <c r="AY1083">
        <v>1</v>
      </c>
      <c r="AZ1083" t="str">
        <f>_xlfn.XLOOKUP(Table1[[#This Row],[WorkLifeBalance]],Table20[WorkLifeBalance],Table20[Deskripsi])</f>
        <v>Bad</v>
      </c>
      <c r="BA1083">
        <v>11</v>
      </c>
      <c r="BB1083">
        <v>8</v>
      </c>
      <c r="BC1083">
        <v>3</v>
      </c>
      <c r="BD1083">
        <v>3</v>
      </c>
    </row>
    <row r="1084" spans="1:56" x14ac:dyDescent="0.25">
      <c r="A1084">
        <v>23</v>
      </c>
      <c r="B1084" t="str">
        <f>_xlfn.XLOOKUP(Table1[[#This Row],[Attrition]],Table2[Attrition],Table2[Id_Attrition])</f>
        <v>A002</v>
      </c>
      <c r="C1084" t="s">
        <v>33</v>
      </c>
      <c r="D1084" t="str">
        <f>_xlfn.XLOOKUP(Table1[[#This Row],[BusinessTravel]],Table5[BusinessTravel],Table5[Id_BusinessTravel])</f>
        <v>BS001</v>
      </c>
      <c r="E1084" t="s">
        <v>34</v>
      </c>
      <c r="F1084">
        <v>507</v>
      </c>
      <c r="G1084" t="str">
        <f>_xlfn.XLOOKUP(Table1[[#This Row],[Department]],Table6[Department],Table6[Id_Departement])</f>
        <v>D002</v>
      </c>
      <c r="H1084" t="s">
        <v>38</v>
      </c>
      <c r="I1084">
        <v>20</v>
      </c>
      <c r="J1084" t="str">
        <f>_xlfn.XLOOKUP(Table1[[#This Row],[Education]],Table8[Education],Table8[Id_Education])</f>
        <v>E001</v>
      </c>
      <c r="K1084">
        <v>1</v>
      </c>
      <c r="L1084" t="str">
        <f>_xlfn.XLOOKUP(Table1[[#This Row],[EducationField]],Table7[EducationField],Table7[Id_EducationField])</f>
        <v>EF001</v>
      </c>
      <c r="M1084" t="s">
        <v>40</v>
      </c>
      <c r="N1084" t="str">
        <f>_xlfn.XLOOKUP(Table1[[#This Row],[EmployeeNumber]],Table4[EmployeeNumber],Table4[Id_Employee])</f>
        <v>EMP01083</v>
      </c>
      <c r="O1084">
        <v>1533</v>
      </c>
      <c r="P1084" t="str">
        <f>_xlfn.XLOOKUP(Table1[[#This Row],[EnvironmentSatisfaction]],Table9[EnvironmentSatisfaction],Table9[Id_EnviromentSatisfaction])</f>
        <v>ES001</v>
      </c>
      <c r="Q1084">
        <v>1</v>
      </c>
      <c r="R1084" t="str">
        <f>_xlfn.XLOOKUP(Table1[[#This Row],[EnvironmentSatisfaction]],Table9[EnvironmentSatisfaction],Table9[Deskripsi])</f>
        <v>Low</v>
      </c>
      <c r="S1084" t="str">
        <f>_xlfn.XLOOKUP(Table1[[#This Row],[Gender]],Table10[Gender],Table10[Id_Gender])</f>
        <v>G002</v>
      </c>
      <c r="T1084" t="s">
        <v>46</v>
      </c>
      <c r="U1084">
        <v>97</v>
      </c>
      <c r="V1084" t="str">
        <f>_xlfn.XLOOKUP(Table1[[#This Row],[JobInvolvement]],Table11[JobInvolvement],Table11[Id_JobInvolvement])</f>
        <v>JI003</v>
      </c>
      <c r="W1084">
        <v>3</v>
      </c>
      <c r="X1084" t="str">
        <f>_xlfn.XLOOKUP(Table1[[#This Row],[JobLevel]],Table12[JobLevel],Table12[Id_JobLevel])</f>
        <v>JL002</v>
      </c>
      <c r="Y1084">
        <v>2</v>
      </c>
      <c r="Z1084" t="str">
        <f>_xlfn.XLOOKUP(Table1[[#This Row],[JobRole]],Table13[JobRole],Table13[Id_JobRole])</f>
        <v>JR003</v>
      </c>
      <c r="AA1084" t="s">
        <v>49</v>
      </c>
      <c r="AB1084" t="str">
        <f>_xlfn.XLOOKUP(Table1[[#This Row],[JobSatisfaction]],Table14[JobSatisfaction],Table14[Id_JobSatisfaction])</f>
        <v>JS003</v>
      </c>
      <c r="AC1084">
        <v>3</v>
      </c>
      <c r="AD1084" t="str">
        <f>_xlfn.XLOOKUP(Table1[[#This Row],[JobSatisfaction]],Table14[JobSatisfaction],Table14[Deskripsi])</f>
        <v>High</v>
      </c>
      <c r="AE1084" t="str">
        <f>_xlfn.XLOOKUP(Table1[[#This Row],[MaritalStatus]],Table15[MaritalStatus],Table15[Id_MaritalStatus])</f>
        <v>MS001</v>
      </c>
      <c r="AF1084" t="s">
        <v>55</v>
      </c>
      <c r="AG1084">
        <v>2272</v>
      </c>
      <c r="AH1084">
        <v>24812</v>
      </c>
      <c r="AI1084">
        <v>0</v>
      </c>
      <c r="AJ1084" t="str">
        <f>_xlfn.XLOOKUP(Table1[[#This Row],[OverTime]],Table16[OverTime],Table16[Id_OverTime])</f>
        <v>OT002</v>
      </c>
      <c r="AK1084" t="s">
        <v>33</v>
      </c>
      <c r="AL1084">
        <v>14</v>
      </c>
      <c r="AM1084" t="str">
        <f>_xlfn.XLOOKUP(Table1[[#This Row],[PerformanceRating]],Table17[PerformanceRating],Table17[Id_PerformanceRating])</f>
        <v>PR003</v>
      </c>
      <c r="AN1084">
        <v>3</v>
      </c>
      <c r="AO1084" t="str">
        <f>_xlfn.XLOOKUP(Table1[[#This Row],[PerformanceRating]],Table17[PerformanceRating],Table17[Deskripsi])</f>
        <v>Excellent</v>
      </c>
      <c r="AP1084" t="str">
        <f>_xlfn.XLOOKUP(Table1[[#This Row],[RelationshipSatisfaction]],Table18[RelationshipSatisfaction],Table18[Id_RelationshipSatisfaction])</f>
        <v>RS002</v>
      </c>
      <c r="AQ1084">
        <v>2</v>
      </c>
      <c r="AR1084" t="str">
        <f>_xlfn.XLOOKUP(Table1[[#This Row],[RelationshipSatisfaction]],Table18[RelationshipSatisfaction],Table18[Deskripsi])</f>
        <v>Medium</v>
      </c>
      <c r="AS1084" t="str">
        <f>_xlfn.XLOOKUP(Table1[[#This Row],[StockOptionLevel]],Table19[StockOptionLevel],Table19[Id_StockOptionLevel])</f>
        <v>SOL001</v>
      </c>
      <c r="AT1084">
        <v>0</v>
      </c>
      <c r="AU1084" t="str">
        <f>_xlfn.XLOOKUP(Table1[[#This Row],[StockOptionLevel]],Table19[StockOptionLevel],Table19[Deskripsi])</f>
        <v>Non-Eligible</v>
      </c>
      <c r="AV1084">
        <v>5</v>
      </c>
      <c r="AW1084">
        <v>2</v>
      </c>
      <c r="AX1084" t="str">
        <f>_xlfn.XLOOKUP(Table1[[#This Row],[WorkLifeBalance]],Table20[WorkLifeBalance],Table20[Id_WorkLifeBalance])</f>
        <v>WLB002</v>
      </c>
      <c r="AY1084">
        <v>3</v>
      </c>
      <c r="AZ1084" t="str">
        <f>_xlfn.XLOOKUP(Table1[[#This Row],[WorkLifeBalance]],Table20[WorkLifeBalance],Table20[Deskripsi])</f>
        <v>Good</v>
      </c>
      <c r="BA1084">
        <v>4</v>
      </c>
      <c r="BB1084">
        <v>3</v>
      </c>
      <c r="BC1084">
        <v>1</v>
      </c>
      <c r="BD1084">
        <v>2</v>
      </c>
    </row>
    <row r="1085" spans="1:56" x14ac:dyDescent="0.25">
      <c r="A1085">
        <v>40</v>
      </c>
      <c r="B1085" t="str">
        <f>_xlfn.XLOOKUP(Table1[[#This Row],[Attrition]],Table2[Attrition],Table2[Id_Attrition])</f>
        <v>A001</v>
      </c>
      <c r="C1085" t="s">
        <v>32</v>
      </c>
      <c r="D1085" t="str">
        <f>_xlfn.XLOOKUP(Table1[[#This Row],[BusinessTravel]],Table5[BusinessTravel],Table5[Id_BusinessTravel])</f>
        <v>BS001</v>
      </c>
      <c r="E1085" t="s">
        <v>34</v>
      </c>
      <c r="F1085">
        <v>676</v>
      </c>
      <c r="G1085" t="str">
        <f>_xlfn.XLOOKUP(Table1[[#This Row],[Department]],Table6[Department],Table6[Id_Departement])</f>
        <v>D002</v>
      </c>
      <c r="H1085" t="s">
        <v>38</v>
      </c>
      <c r="I1085">
        <v>9</v>
      </c>
      <c r="J1085" t="str">
        <f>_xlfn.XLOOKUP(Table1[[#This Row],[Education]],Table8[Education],Table8[Id_Education])</f>
        <v>E004</v>
      </c>
      <c r="K1085">
        <v>4</v>
      </c>
      <c r="L1085" t="str">
        <f>_xlfn.XLOOKUP(Table1[[#This Row],[EducationField]],Table7[EducationField],Table7[Id_EducationField])</f>
        <v>EF001</v>
      </c>
      <c r="M1085" t="s">
        <v>40</v>
      </c>
      <c r="N1085" t="str">
        <f>_xlfn.XLOOKUP(Table1[[#This Row],[EmployeeNumber]],Table4[EmployeeNumber],Table4[Id_Employee])</f>
        <v>EMP01084</v>
      </c>
      <c r="O1085">
        <v>1534</v>
      </c>
      <c r="P1085" t="str">
        <f>_xlfn.XLOOKUP(Table1[[#This Row],[EnvironmentSatisfaction]],Table9[EnvironmentSatisfaction],Table9[Id_EnviromentSatisfaction])</f>
        <v>ES004</v>
      </c>
      <c r="Q1085">
        <v>4</v>
      </c>
      <c r="R1085" t="str">
        <f>_xlfn.XLOOKUP(Table1[[#This Row],[EnvironmentSatisfaction]],Table9[EnvironmentSatisfaction],Table9[Deskripsi])</f>
        <v>Very High</v>
      </c>
      <c r="S1085" t="str">
        <f>_xlfn.XLOOKUP(Table1[[#This Row],[Gender]],Table10[Gender],Table10[Id_Gender])</f>
        <v>G002</v>
      </c>
      <c r="T1085" t="s">
        <v>46</v>
      </c>
      <c r="U1085">
        <v>86</v>
      </c>
      <c r="V1085" t="str">
        <f>_xlfn.XLOOKUP(Table1[[#This Row],[JobInvolvement]],Table11[JobInvolvement],Table11[Id_JobInvolvement])</f>
        <v>JI003</v>
      </c>
      <c r="W1085">
        <v>3</v>
      </c>
      <c r="X1085" t="str">
        <f>_xlfn.XLOOKUP(Table1[[#This Row],[JobLevel]],Table12[JobLevel],Table12[Id_JobLevel])</f>
        <v>JL001</v>
      </c>
      <c r="Y1085">
        <v>1</v>
      </c>
      <c r="Z1085" t="str">
        <f>_xlfn.XLOOKUP(Table1[[#This Row],[JobRole]],Table13[JobRole],Table13[Id_JobRole])</f>
        <v>JR003</v>
      </c>
      <c r="AA1085" t="s">
        <v>49</v>
      </c>
      <c r="AB1085" t="str">
        <f>_xlfn.XLOOKUP(Table1[[#This Row],[JobSatisfaction]],Table14[JobSatisfaction],Table14[Id_JobSatisfaction])</f>
        <v>JS001</v>
      </c>
      <c r="AC1085">
        <v>1</v>
      </c>
      <c r="AD1085" t="str">
        <f>_xlfn.XLOOKUP(Table1[[#This Row],[JobSatisfaction]],Table14[JobSatisfaction],Table14[Deskripsi])</f>
        <v>Low</v>
      </c>
      <c r="AE1085" t="str">
        <f>_xlfn.XLOOKUP(Table1[[#This Row],[MaritalStatus]],Table15[MaritalStatus],Table15[Id_MaritalStatus])</f>
        <v>MS001</v>
      </c>
      <c r="AF1085" t="s">
        <v>55</v>
      </c>
      <c r="AG1085">
        <v>2018</v>
      </c>
      <c r="AH1085">
        <v>21831</v>
      </c>
      <c r="AI1085">
        <v>3</v>
      </c>
      <c r="AJ1085" t="str">
        <f>_xlfn.XLOOKUP(Table1[[#This Row],[OverTime]],Table16[OverTime],Table16[Id_OverTime])</f>
        <v>OT002</v>
      </c>
      <c r="AK1085" t="s">
        <v>33</v>
      </c>
      <c r="AL1085">
        <v>14</v>
      </c>
      <c r="AM1085" t="str">
        <f>_xlfn.XLOOKUP(Table1[[#This Row],[PerformanceRating]],Table17[PerformanceRating],Table17[Id_PerformanceRating])</f>
        <v>PR003</v>
      </c>
      <c r="AN1085">
        <v>3</v>
      </c>
      <c r="AO1085" t="str">
        <f>_xlfn.XLOOKUP(Table1[[#This Row],[PerformanceRating]],Table17[PerformanceRating],Table17[Deskripsi])</f>
        <v>Excellent</v>
      </c>
      <c r="AP1085" t="str">
        <f>_xlfn.XLOOKUP(Table1[[#This Row],[RelationshipSatisfaction]],Table18[RelationshipSatisfaction],Table18[Id_RelationshipSatisfaction])</f>
        <v>RS002</v>
      </c>
      <c r="AQ1085">
        <v>2</v>
      </c>
      <c r="AR1085" t="str">
        <f>_xlfn.XLOOKUP(Table1[[#This Row],[RelationshipSatisfaction]],Table18[RelationshipSatisfaction],Table18[Deskripsi])</f>
        <v>Medium</v>
      </c>
      <c r="AS1085" t="str">
        <f>_xlfn.XLOOKUP(Table1[[#This Row],[StockOptionLevel]],Table19[StockOptionLevel],Table19[Id_StockOptionLevel])</f>
        <v>SOL001</v>
      </c>
      <c r="AT1085">
        <v>0</v>
      </c>
      <c r="AU1085" t="str">
        <f>_xlfn.XLOOKUP(Table1[[#This Row],[StockOptionLevel]],Table19[StockOptionLevel],Table19[Deskripsi])</f>
        <v>Non-Eligible</v>
      </c>
      <c r="AV1085">
        <v>15</v>
      </c>
      <c r="AW1085">
        <v>3</v>
      </c>
      <c r="AX1085" t="str">
        <f>_xlfn.XLOOKUP(Table1[[#This Row],[WorkLifeBalance]],Table20[WorkLifeBalance],Table20[Id_WorkLifeBalance])</f>
        <v>WLB001</v>
      </c>
      <c r="AY1085">
        <v>1</v>
      </c>
      <c r="AZ1085" t="str">
        <f>_xlfn.XLOOKUP(Table1[[#This Row],[WorkLifeBalance]],Table20[WorkLifeBalance],Table20[Deskripsi])</f>
        <v>Bad</v>
      </c>
      <c r="BA1085">
        <v>5</v>
      </c>
      <c r="BB1085">
        <v>4</v>
      </c>
      <c r="BC1085">
        <v>1</v>
      </c>
      <c r="BD1085">
        <v>0</v>
      </c>
    </row>
    <row r="1086" spans="1:56" x14ac:dyDescent="0.25">
      <c r="A1086">
        <v>34</v>
      </c>
      <c r="B1086" t="str">
        <f>_xlfn.XLOOKUP(Table1[[#This Row],[Attrition]],Table2[Attrition],Table2[Id_Attrition])</f>
        <v>A002</v>
      </c>
      <c r="C1086" t="s">
        <v>33</v>
      </c>
      <c r="D1086" t="str">
        <f>_xlfn.XLOOKUP(Table1[[#This Row],[BusinessTravel]],Table5[BusinessTravel],Table5[Id_BusinessTravel])</f>
        <v>BS001</v>
      </c>
      <c r="E1086" t="s">
        <v>34</v>
      </c>
      <c r="F1086">
        <v>971</v>
      </c>
      <c r="G1086" t="str">
        <f>_xlfn.XLOOKUP(Table1[[#This Row],[Department]],Table6[Department],Table6[Id_Departement])</f>
        <v>D001</v>
      </c>
      <c r="H1086" t="s">
        <v>37</v>
      </c>
      <c r="I1086">
        <v>1</v>
      </c>
      <c r="J1086" t="str">
        <f>_xlfn.XLOOKUP(Table1[[#This Row],[Education]],Table8[Education],Table8[Id_Education])</f>
        <v>E003</v>
      </c>
      <c r="K1086">
        <v>3</v>
      </c>
      <c r="L1086" t="str">
        <f>_xlfn.XLOOKUP(Table1[[#This Row],[EducationField]],Table7[EducationField],Table7[Id_EducationField])</f>
        <v>EF005</v>
      </c>
      <c r="M1086" t="s">
        <v>44</v>
      </c>
      <c r="N1086" t="str">
        <f>_xlfn.XLOOKUP(Table1[[#This Row],[EmployeeNumber]],Table4[EmployeeNumber],Table4[Id_Employee])</f>
        <v>EMP01085</v>
      </c>
      <c r="O1086">
        <v>1535</v>
      </c>
      <c r="P1086" t="str">
        <f>_xlfn.XLOOKUP(Table1[[#This Row],[EnvironmentSatisfaction]],Table9[EnvironmentSatisfaction],Table9[Id_EnviromentSatisfaction])</f>
        <v>ES004</v>
      </c>
      <c r="Q1086">
        <v>4</v>
      </c>
      <c r="R1086" t="str">
        <f>_xlfn.XLOOKUP(Table1[[#This Row],[EnvironmentSatisfaction]],Table9[EnvironmentSatisfaction],Table9[Deskripsi])</f>
        <v>Very High</v>
      </c>
      <c r="S1086" t="str">
        <f>_xlfn.XLOOKUP(Table1[[#This Row],[Gender]],Table10[Gender],Table10[Id_Gender])</f>
        <v>G002</v>
      </c>
      <c r="T1086" t="s">
        <v>46</v>
      </c>
      <c r="U1086">
        <v>64</v>
      </c>
      <c r="V1086" t="str">
        <f>_xlfn.XLOOKUP(Table1[[#This Row],[JobInvolvement]],Table11[JobInvolvement],Table11[Id_JobInvolvement])</f>
        <v>JI002</v>
      </c>
      <c r="W1086">
        <v>2</v>
      </c>
      <c r="X1086" t="str">
        <f>_xlfn.XLOOKUP(Table1[[#This Row],[JobLevel]],Table12[JobLevel],Table12[Id_JobLevel])</f>
        <v>JL003</v>
      </c>
      <c r="Y1086">
        <v>3</v>
      </c>
      <c r="Z1086" t="str">
        <f>_xlfn.XLOOKUP(Table1[[#This Row],[JobRole]],Table13[JobRole],Table13[Id_JobRole])</f>
        <v>JR001</v>
      </c>
      <c r="AA1086" t="s">
        <v>47</v>
      </c>
      <c r="AB1086" t="str">
        <f>_xlfn.XLOOKUP(Table1[[#This Row],[JobSatisfaction]],Table14[JobSatisfaction],Table14[Id_JobSatisfaction])</f>
        <v>JS003</v>
      </c>
      <c r="AC1086">
        <v>3</v>
      </c>
      <c r="AD1086" t="str">
        <f>_xlfn.XLOOKUP(Table1[[#This Row],[JobSatisfaction]],Table14[JobSatisfaction],Table14[Deskripsi])</f>
        <v>High</v>
      </c>
      <c r="AE1086" t="str">
        <f>_xlfn.XLOOKUP(Table1[[#This Row],[MaritalStatus]],Table15[MaritalStatus],Table15[Id_MaritalStatus])</f>
        <v>MS002</v>
      </c>
      <c r="AF1086" t="s">
        <v>56</v>
      </c>
      <c r="AG1086">
        <v>7083</v>
      </c>
      <c r="AH1086">
        <v>12288</v>
      </c>
      <c r="AI1086">
        <v>1</v>
      </c>
      <c r="AJ1086" t="str">
        <f>_xlfn.XLOOKUP(Table1[[#This Row],[OverTime]],Table16[OverTime],Table16[Id_OverTime])</f>
        <v>OT001</v>
      </c>
      <c r="AK1086" t="s">
        <v>32</v>
      </c>
      <c r="AL1086">
        <v>14</v>
      </c>
      <c r="AM1086" t="str">
        <f>_xlfn.XLOOKUP(Table1[[#This Row],[PerformanceRating]],Table17[PerformanceRating],Table17[Id_PerformanceRating])</f>
        <v>PR003</v>
      </c>
      <c r="AN1086">
        <v>3</v>
      </c>
      <c r="AO1086" t="str">
        <f>_xlfn.XLOOKUP(Table1[[#This Row],[PerformanceRating]],Table17[PerformanceRating],Table17[Deskripsi])</f>
        <v>Excellent</v>
      </c>
      <c r="AP1086" t="str">
        <f>_xlfn.XLOOKUP(Table1[[#This Row],[RelationshipSatisfaction]],Table18[RelationshipSatisfaction],Table18[Id_RelationshipSatisfaction])</f>
        <v>RS004</v>
      </c>
      <c r="AQ1086">
        <v>4</v>
      </c>
      <c r="AR1086" t="str">
        <f>_xlfn.XLOOKUP(Table1[[#This Row],[RelationshipSatisfaction]],Table18[RelationshipSatisfaction],Table18[Deskripsi])</f>
        <v>Very High</v>
      </c>
      <c r="AS1086" t="str">
        <f>_xlfn.XLOOKUP(Table1[[#This Row],[StockOptionLevel]],Table19[StockOptionLevel],Table19[Id_StockOptionLevel])</f>
        <v>SOL001</v>
      </c>
      <c r="AT1086">
        <v>0</v>
      </c>
      <c r="AU1086" t="str">
        <f>_xlfn.XLOOKUP(Table1[[#This Row],[StockOptionLevel]],Table19[StockOptionLevel],Table19[Deskripsi])</f>
        <v>Non-Eligible</v>
      </c>
      <c r="AV1086">
        <v>10</v>
      </c>
      <c r="AW1086">
        <v>3</v>
      </c>
      <c r="AX1086" t="str">
        <f>_xlfn.XLOOKUP(Table1[[#This Row],[WorkLifeBalance]],Table20[WorkLifeBalance],Table20[Id_WorkLifeBalance])</f>
        <v>WLB002</v>
      </c>
      <c r="AY1086">
        <v>3</v>
      </c>
      <c r="AZ1086" t="str">
        <f>_xlfn.XLOOKUP(Table1[[#This Row],[WorkLifeBalance]],Table20[WorkLifeBalance],Table20[Deskripsi])</f>
        <v>Good</v>
      </c>
      <c r="BA1086">
        <v>10</v>
      </c>
      <c r="BB1086">
        <v>9</v>
      </c>
      <c r="BC1086">
        <v>8</v>
      </c>
      <c r="BD1086">
        <v>6</v>
      </c>
    </row>
    <row r="1087" spans="1:56" x14ac:dyDescent="0.25">
      <c r="A1087">
        <v>31</v>
      </c>
      <c r="B1087" t="str">
        <f>_xlfn.XLOOKUP(Table1[[#This Row],[Attrition]],Table2[Attrition],Table2[Id_Attrition])</f>
        <v>A001</v>
      </c>
      <c r="C1087" t="s">
        <v>32</v>
      </c>
      <c r="D1087" t="str">
        <f>_xlfn.XLOOKUP(Table1[[#This Row],[BusinessTravel]],Table5[BusinessTravel],Table5[Id_BusinessTravel])</f>
        <v>BS002</v>
      </c>
      <c r="E1087" t="s">
        <v>35</v>
      </c>
      <c r="F1087">
        <v>561</v>
      </c>
      <c r="G1087" t="str">
        <f>_xlfn.XLOOKUP(Table1[[#This Row],[Department]],Table6[Department],Table6[Id_Departement])</f>
        <v>D002</v>
      </c>
      <c r="H1087" t="s">
        <v>38</v>
      </c>
      <c r="I1087">
        <v>3</v>
      </c>
      <c r="J1087" t="str">
        <f>_xlfn.XLOOKUP(Table1[[#This Row],[Education]],Table8[Education],Table8[Id_Education])</f>
        <v>E003</v>
      </c>
      <c r="K1087">
        <v>3</v>
      </c>
      <c r="L1087" t="str">
        <f>_xlfn.XLOOKUP(Table1[[#This Row],[EducationField]],Table7[EducationField],Table7[Id_EducationField])</f>
        <v>EF001</v>
      </c>
      <c r="M1087" t="s">
        <v>40</v>
      </c>
      <c r="N1087" t="str">
        <f>_xlfn.XLOOKUP(Table1[[#This Row],[EmployeeNumber]],Table4[EmployeeNumber],Table4[Id_Employee])</f>
        <v>EMP01086</v>
      </c>
      <c r="O1087">
        <v>1537</v>
      </c>
      <c r="P1087" t="str">
        <f>_xlfn.XLOOKUP(Table1[[#This Row],[EnvironmentSatisfaction]],Table9[EnvironmentSatisfaction],Table9[Id_EnviromentSatisfaction])</f>
        <v>ES004</v>
      </c>
      <c r="Q1087">
        <v>4</v>
      </c>
      <c r="R1087" t="str">
        <f>_xlfn.XLOOKUP(Table1[[#This Row],[EnvironmentSatisfaction]],Table9[EnvironmentSatisfaction],Table9[Deskripsi])</f>
        <v>Very High</v>
      </c>
      <c r="S1087" t="str">
        <f>_xlfn.XLOOKUP(Table1[[#This Row],[Gender]],Table10[Gender],Table10[Id_Gender])</f>
        <v>G001</v>
      </c>
      <c r="T1087" t="s">
        <v>45</v>
      </c>
      <c r="U1087">
        <v>33</v>
      </c>
      <c r="V1087" t="str">
        <f>_xlfn.XLOOKUP(Table1[[#This Row],[JobInvolvement]],Table11[JobInvolvement],Table11[Id_JobInvolvement])</f>
        <v>JI003</v>
      </c>
      <c r="W1087">
        <v>3</v>
      </c>
      <c r="X1087" t="str">
        <f>_xlfn.XLOOKUP(Table1[[#This Row],[JobLevel]],Table12[JobLevel],Table12[Id_JobLevel])</f>
        <v>JL001</v>
      </c>
      <c r="Y1087">
        <v>1</v>
      </c>
      <c r="Z1087" t="str">
        <f>_xlfn.XLOOKUP(Table1[[#This Row],[JobRole]],Table13[JobRole],Table13[Id_JobRole])</f>
        <v>JR002</v>
      </c>
      <c r="AA1087" t="s">
        <v>48</v>
      </c>
      <c r="AB1087" t="str">
        <f>_xlfn.XLOOKUP(Table1[[#This Row],[JobSatisfaction]],Table14[JobSatisfaction],Table14[Id_JobSatisfaction])</f>
        <v>JS003</v>
      </c>
      <c r="AC1087">
        <v>3</v>
      </c>
      <c r="AD1087" t="str">
        <f>_xlfn.XLOOKUP(Table1[[#This Row],[JobSatisfaction]],Table14[JobSatisfaction],Table14[Deskripsi])</f>
        <v>High</v>
      </c>
      <c r="AE1087" t="str">
        <f>_xlfn.XLOOKUP(Table1[[#This Row],[MaritalStatus]],Table15[MaritalStatus],Table15[Id_MaritalStatus])</f>
        <v>MS001</v>
      </c>
      <c r="AF1087" t="s">
        <v>55</v>
      </c>
      <c r="AG1087">
        <v>4084</v>
      </c>
      <c r="AH1087">
        <v>4156</v>
      </c>
      <c r="AI1087">
        <v>1</v>
      </c>
      <c r="AJ1087" t="str">
        <f>_xlfn.XLOOKUP(Table1[[#This Row],[OverTime]],Table16[OverTime],Table16[Id_OverTime])</f>
        <v>OT002</v>
      </c>
      <c r="AK1087" t="s">
        <v>33</v>
      </c>
      <c r="AL1087">
        <v>12</v>
      </c>
      <c r="AM1087" t="str">
        <f>_xlfn.XLOOKUP(Table1[[#This Row],[PerformanceRating]],Table17[PerformanceRating],Table17[Id_PerformanceRating])</f>
        <v>PR003</v>
      </c>
      <c r="AN1087">
        <v>3</v>
      </c>
      <c r="AO1087" t="str">
        <f>_xlfn.XLOOKUP(Table1[[#This Row],[PerformanceRating]],Table17[PerformanceRating],Table17[Deskripsi])</f>
        <v>Excellent</v>
      </c>
      <c r="AP1087" t="str">
        <f>_xlfn.XLOOKUP(Table1[[#This Row],[RelationshipSatisfaction]],Table18[RelationshipSatisfaction],Table18[Id_RelationshipSatisfaction])</f>
        <v>RS001</v>
      </c>
      <c r="AQ1087">
        <v>1</v>
      </c>
      <c r="AR1087" t="str">
        <f>_xlfn.XLOOKUP(Table1[[#This Row],[RelationshipSatisfaction]],Table18[RelationshipSatisfaction],Table18[Deskripsi])</f>
        <v>Low</v>
      </c>
      <c r="AS1087" t="str">
        <f>_xlfn.XLOOKUP(Table1[[#This Row],[StockOptionLevel]],Table19[StockOptionLevel],Table19[Id_StockOptionLevel])</f>
        <v>SOL001</v>
      </c>
      <c r="AT1087">
        <v>0</v>
      </c>
      <c r="AU1087" t="str">
        <f>_xlfn.XLOOKUP(Table1[[#This Row],[StockOptionLevel]],Table19[StockOptionLevel],Table19[Deskripsi])</f>
        <v>Non-Eligible</v>
      </c>
      <c r="AV1087">
        <v>7</v>
      </c>
      <c r="AW1087">
        <v>2</v>
      </c>
      <c r="AX1087" t="str">
        <f>_xlfn.XLOOKUP(Table1[[#This Row],[WorkLifeBalance]],Table20[WorkLifeBalance],Table20[Id_WorkLifeBalance])</f>
        <v>WLB001</v>
      </c>
      <c r="AY1087">
        <v>1</v>
      </c>
      <c r="AZ1087" t="str">
        <f>_xlfn.XLOOKUP(Table1[[#This Row],[WorkLifeBalance]],Table20[WorkLifeBalance],Table20[Deskripsi])</f>
        <v>Bad</v>
      </c>
      <c r="BA1087">
        <v>7</v>
      </c>
      <c r="BB1087">
        <v>2</v>
      </c>
      <c r="BC1087">
        <v>7</v>
      </c>
      <c r="BD1087">
        <v>7</v>
      </c>
    </row>
    <row r="1088" spans="1:56" x14ac:dyDescent="0.25">
      <c r="A1088">
        <v>50</v>
      </c>
      <c r="B1088" t="str">
        <f>_xlfn.XLOOKUP(Table1[[#This Row],[Attrition]],Table2[Attrition],Table2[Id_Attrition])</f>
        <v>A002</v>
      </c>
      <c r="C1088" t="s">
        <v>33</v>
      </c>
      <c r="D1088" t="str">
        <f>_xlfn.XLOOKUP(Table1[[#This Row],[BusinessTravel]],Table5[BusinessTravel],Table5[Id_BusinessTravel])</f>
        <v>BS002</v>
      </c>
      <c r="E1088" t="s">
        <v>35</v>
      </c>
      <c r="F1088">
        <v>333</v>
      </c>
      <c r="G1088" t="str">
        <f>_xlfn.XLOOKUP(Table1[[#This Row],[Department]],Table6[Department],Table6[Id_Departement])</f>
        <v>D002</v>
      </c>
      <c r="H1088" t="s">
        <v>38</v>
      </c>
      <c r="I1088">
        <v>22</v>
      </c>
      <c r="J1088" t="str">
        <f>_xlfn.XLOOKUP(Table1[[#This Row],[Education]],Table8[Education],Table8[Id_Education])</f>
        <v>E005</v>
      </c>
      <c r="K1088">
        <v>5</v>
      </c>
      <c r="L1088" t="str">
        <f>_xlfn.XLOOKUP(Table1[[#This Row],[EducationField]],Table7[EducationField],Table7[Id_EducationField])</f>
        <v>EF003</v>
      </c>
      <c r="M1088" t="s">
        <v>42</v>
      </c>
      <c r="N1088" t="str">
        <f>_xlfn.XLOOKUP(Table1[[#This Row],[EmployeeNumber]],Table4[EmployeeNumber],Table4[Id_Employee])</f>
        <v>EMP01087</v>
      </c>
      <c r="O1088">
        <v>1539</v>
      </c>
      <c r="P1088" t="str">
        <f>_xlfn.XLOOKUP(Table1[[#This Row],[EnvironmentSatisfaction]],Table9[EnvironmentSatisfaction],Table9[Id_EnviromentSatisfaction])</f>
        <v>ES003</v>
      </c>
      <c r="Q1088">
        <v>3</v>
      </c>
      <c r="R1088" t="str">
        <f>_xlfn.XLOOKUP(Table1[[#This Row],[EnvironmentSatisfaction]],Table9[EnvironmentSatisfaction],Table9[Deskripsi])</f>
        <v>High</v>
      </c>
      <c r="S1088" t="str">
        <f>_xlfn.XLOOKUP(Table1[[#This Row],[Gender]],Table10[Gender],Table10[Id_Gender])</f>
        <v>G002</v>
      </c>
      <c r="T1088" t="s">
        <v>46</v>
      </c>
      <c r="U1088">
        <v>88</v>
      </c>
      <c r="V1088" t="str">
        <f>_xlfn.XLOOKUP(Table1[[#This Row],[JobInvolvement]],Table11[JobInvolvement],Table11[Id_JobInvolvement])</f>
        <v>JI001</v>
      </c>
      <c r="W1088">
        <v>1</v>
      </c>
      <c r="X1088" t="str">
        <f>_xlfn.XLOOKUP(Table1[[#This Row],[JobLevel]],Table12[JobLevel],Table12[Id_JobLevel])</f>
        <v>JL004</v>
      </c>
      <c r="Y1088">
        <v>4</v>
      </c>
      <c r="Z1088" t="str">
        <f>_xlfn.XLOOKUP(Table1[[#This Row],[JobRole]],Table13[JobRole],Table13[Id_JobRole])</f>
        <v>JR008</v>
      </c>
      <c r="AA1088" t="s">
        <v>54</v>
      </c>
      <c r="AB1088" t="str">
        <f>_xlfn.XLOOKUP(Table1[[#This Row],[JobSatisfaction]],Table14[JobSatisfaction],Table14[Id_JobSatisfaction])</f>
        <v>JS004</v>
      </c>
      <c r="AC1088">
        <v>4</v>
      </c>
      <c r="AD1088" t="str">
        <f>_xlfn.XLOOKUP(Table1[[#This Row],[JobSatisfaction]],Table14[JobSatisfaction],Table14[Deskripsi])</f>
        <v>Very High</v>
      </c>
      <c r="AE1088" t="str">
        <f>_xlfn.XLOOKUP(Table1[[#This Row],[MaritalStatus]],Table15[MaritalStatus],Table15[Id_MaritalStatus])</f>
        <v>MS001</v>
      </c>
      <c r="AF1088" t="s">
        <v>55</v>
      </c>
      <c r="AG1088">
        <v>14411</v>
      </c>
      <c r="AH1088">
        <v>24450</v>
      </c>
      <c r="AI1088">
        <v>1</v>
      </c>
      <c r="AJ1088" t="str">
        <f>_xlfn.XLOOKUP(Table1[[#This Row],[OverTime]],Table16[OverTime],Table16[Id_OverTime])</f>
        <v>OT001</v>
      </c>
      <c r="AK1088" t="s">
        <v>32</v>
      </c>
      <c r="AL1088">
        <v>13</v>
      </c>
      <c r="AM1088" t="str">
        <f>_xlfn.XLOOKUP(Table1[[#This Row],[PerformanceRating]],Table17[PerformanceRating],Table17[Id_PerformanceRating])</f>
        <v>PR003</v>
      </c>
      <c r="AN1088">
        <v>3</v>
      </c>
      <c r="AO1088" t="str">
        <f>_xlfn.XLOOKUP(Table1[[#This Row],[PerformanceRating]],Table17[PerformanceRating],Table17[Deskripsi])</f>
        <v>Excellent</v>
      </c>
      <c r="AP1088" t="str">
        <f>_xlfn.XLOOKUP(Table1[[#This Row],[RelationshipSatisfaction]],Table18[RelationshipSatisfaction],Table18[Id_RelationshipSatisfaction])</f>
        <v>RS004</v>
      </c>
      <c r="AQ1088">
        <v>4</v>
      </c>
      <c r="AR1088" t="str">
        <f>_xlfn.XLOOKUP(Table1[[#This Row],[RelationshipSatisfaction]],Table18[RelationshipSatisfaction],Table18[Deskripsi])</f>
        <v>Very High</v>
      </c>
      <c r="AS1088" t="str">
        <f>_xlfn.XLOOKUP(Table1[[#This Row],[StockOptionLevel]],Table19[StockOptionLevel],Table19[Id_StockOptionLevel])</f>
        <v>SOL001</v>
      </c>
      <c r="AT1088">
        <v>0</v>
      </c>
      <c r="AU1088" t="str">
        <f>_xlfn.XLOOKUP(Table1[[#This Row],[StockOptionLevel]],Table19[StockOptionLevel],Table19[Deskripsi])</f>
        <v>Non-Eligible</v>
      </c>
      <c r="AV1088">
        <v>32</v>
      </c>
      <c r="AW1088">
        <v>2</v>
      </c>
      <c r="AX1088" t="str">
        <f>_xlfn.XLOOKUP(Table1[[#This Row],[WorkLifeBalance]],Table20[WorkLifeBalance],Table20[Id_WorkLifeBalance])</f>
        <v>WLB002</v>
      </c>
      <c r="AY1088">
        <v>3</v>
      </c>
      <c r="AZ1088" t="str">
        <f>_xlfn.XLOOKUP(Table1[[#This Row],[WorkLifeBalance]],Table20[WorkLifeBalance],Table20[Deskripsi])</f>
        <v>Good</v>
      </c>
      <c r="BA1088">
        <v>32</v>
      </c>
      <c r="BB1088">
        <v>6</v>
      </c>
      <c r="BC1088">
        <v>13</v>
      </c>
      <c r="BD1088">
        <v>9</v>
      </c>
    </row>
    <row r="1089" spans="1:56" x14ac:dyDescent="0.25">
      <c r="A1089">
        <v>34</v>
      </c>
      <c r="B1089" t="str">
        <f>_xlfn.XLOOKUP(Table1[[#This Row],[Attrition]],Table2[Attrition],Table2[Id_Attrition])</f>
        <v>A002</v>
      </c>
      <c r="C1089" t="s">
        <v>33</v>
      </c>
      <c r="D1089" t="str">
        <f>_xlfn.XLOOKUP(Table1[[#This Row],[BusinessTravel]],Table5[BusinessTravel],Table5[Id_BusinessTravel])</f>
        <v>BS001</v>
      </c>
      <c r="E1089" t="s">
        <v>34</v>
      </c>
      <c r="F1089">
        <v>1440</v>
      </c>
      <c r="G1089" t="str">
        <f>_xlfn.XLOOKUP(Table1[[#This Row],[Department]],Table6[Department],Table6[Id_Departement])</f>
        <v>D001</v>
      </c>
      <c r="H1089" t="s">
        <v>37</v>
      </c>
      <c r="I1089">
        <v>7</v>
      </c>
      <c r="J1089" t="str">
        <f>_xlfn.XLOOKUP(Table1[[#This Row],[Education]],Table8[Education],Table8[Id_Education])</f>
        <v>E002</v>
      </c>
      <c r="K1089">
        <v>2</v>
      </c>
      <c r="L1089" t="str">
        <f>_xlfn.XLOOKUP(Table1[[#This Row],[EducationField]],Table7[EducationField],Table7[Id_EducationField])</f>
        <v>EF005</v>
      </c>
      <c r="M1089" t="s">
        <v>44</v>
      </c>
      <c r="N1089" t="str">
        <f>_xlfn.XLOOKUP(Table1[[#This Row],[EmployeeNumber]],Table4[EmployeeNumber],Table4[Id_Employee])</f>
        <v>EMP01088</v>
      </c>
      <c r="O1089">
        <v>1541</v>
      </c>
      <c r="P1089" t="str">
        <f>_xlfn.XLOOKUP(Table1[[#This Row],[EnvironmentSatisfaction]],Table9[EnvironmentSatisfaction],Table9[Id_EnviromentSatisfaction])</f>
        <v>ES002</v>
      </c>
      <c r="Q1089">
        <v>2</v>
      </c>
      <c r="R1089" t="str">
        <f>_xlfn.XLOOKUP(Table1[[#This Row],[EnvironmentSatisfaction]],Table9[EnvironmentSatisfaction],Table9[Deskripsi])</f>
        <v>Medium</v>
      </c>
      <c r="S1089" t="str">
        <f>_xlfn.XLOOKUP(Table1[[#This Row],[Gender]],Table10[Gender],Table10[Id_Gender])</f>
        <v>G002</v>
      </c>
      <c r="T1089" t="s">
        <v>46</v>
      </c>
      <c r="U1089">
        <v>55</v>
      </c>
      <c r="V1089" t="str">
        <f>_xlfn.XLOOKUP(Table1[[#This Row],[JobInvolvement]],Table11[JobInvolvement],Table11[Id_JobInvolvement])</f>
        <v>JI003</v>
      </c>
      <c r="W1089">
        <v>3</v>
      </c>
      <c r="X1089" t="str">
        <f>_xlfn.XLOOKUP(Table1[[#This Row],[JobLevel]],Table12[JobLevel],Table12[Id_JobLevel])</f>
        <v>JL001</v>
      </c>
      <c r="Y1089">
        <v>1</v>
      </c>
      <c r="Z1089" t="str">
        <f>_xlfn.XLOOKUP(Table1[[#This Row],[JobRole]],Table13[JobRole],Table13[Id_JobRole])</f>
        <v>JR007</v>
      </c>
      <c r="AA1089" t="s">
        <v>53</v>
      </c>
      <c r="AB1089" t="str">
        <f>_xlfn.XLOOKUP(Table1[[#This Row],[JobSatisfaction]],Table14[JobSatisfaction],Table14[Id_JobSatisfaction])</f>
        <v>JS003</v>
      </c>
      <c r="AC1089">
        <v>3</v>
      </c>
      <c r="AD1089" t="str">
        <f>_xlfn.XLOOKUP(Table1[[#This Row],[JobSatisfaction]],Table14[JobSatisfaction],Table14[Deskripsi])</f>
        <v>High</v>
      </c>
      <c r="AE1089" t="str">
        <f>_xlfn.XLOOKUP(Table1[[#This Row],[MaritalStatus]],Table15[MaritalStatus],Table15[Id_MaritalStatus])</f>
        <v>MS002</v>
      </c>
      <c r="AF1089" t="s">
        <v>56</v>
      </c>
      <c r="AG1089">
        <v>2308</v>
      </c>
      <c r="AH1089">
        <v>4944</v>
      </c>
      <c r="AI1089">
        <v>0</v>
      </c>
      <c r="AJ1089" t="str">
        <f>_xlfn.XLOOKUP(Table1[[#This Row],[OverTime]],Table16[OverTime],Table16[Id_OverTime])</f>
        <v>OT001</v>
      </c>
      <c r="AK1089" t="s">
        <v>32</v>
      </c>
      <c r="AL1089">
        <v>25</v>
      </c>
      <c r="AM1089" t="str">
        <f>_xlfn.XLOOKUP(Table1[[#This Row],[PerformanceRating]],Table17[PerformanceRating],Table17[Id_PerformanceRating])</f>
        <v>PR004</v>
      </c>
      <c r="AN1089">
        <v>4</v>
      </c>
      <c r="AO1089" t="str">
        <f>_xlfn.XLOOKUP(Table1[[#This Row],[PerformanceRating]],Table17[PerformanceRating],Table17[Deskripsi])</f>
        <v>Outstanding</v>
      </c>
      <c r="AP1089" t="str">
        <f>_xlfn.XLOOKUP(Table1[[#This Row],[RelationshipSatisfaction]],Table18[RelationshipSatisfaction],Table18[Id_RelationshipSatisfaction])</f>
        <v>RS002</v>
      </c>
      <c r="AQ1089">
        <v>2</v>
      </c>
      <c r="AR1089" t="str">
        <f>_xlfn.XLOOKUP(Table1[[#This Row],[RelationshipSatisfaction]],Table18[RelationshipSatisfaction],Table18[Deskripsi])</f>
        <v>Medium</v>
      </c>
      <c r="AS1089" t="str">
        <f>_xlfn.XLOOKUP(Table1[[#This Row],[StockOptionLevel]],Table19[StockOptionLevel],Table19[Id_StockOptionLevel])</f>
        <v>SOL002</v>
      </c>
      <c r="AT1089">
        <v>1</v>
      </c>
      <c r="AU1089" t="str">
        <f>_xlfn.XLOOKUP(Table1[[#This Row],[StockOptionLevel]],Table19[StockOptionLevel],Table19[Deskripsi])</f>
        <v>Standard</v>
      </c>
      <c r="AV1089">
        <v>12</v>
      </c>
      <c r="AW1089">
        <v>4</v>
      </c>
      <c r="AX1089" t="str">
        <f>_xlfn.XLOOKUP(Table1[[#This Row],[WorkLifeBalance]],Table20[WorkLifeBalance],Table20[Id_WorkLifeBalance])</f>
        <v>WLB002</v>
      </c>
      <c r="AY1089">
        <v>3</v>
      </c>
      <c r="AZ1089" t="str">
        <f>_xlfn.XLOOKUP(Table1[[#This Row],[WorkLifeBalance]],Table20[WorkLifeBalance],Table20[Deskripsi])</f>
        <v>Good</v>
      </c>
      <c r="BA1089">
        <v>11</v>
      </c>
      <c r="BB1089">
        <v>10</v>
      </c>
      <c r="BC1089">
        <v>5</v>
      </c>
      <c r="BD1089">
        <v>7</v>
      </c>
    </row>
    <row r="1090" spans="1:56" x14ac:dyDescent="0.25">
      <c r="A1090">
        <v>42</v>
      </c>
      <c r="B1090" t="str">
        <f>_xlfn.XLOOKUP(Table1[[#This Row],[Attrition]],Table2[Attrition],Table2[Id_Attrition])</f>
        <v>A002</v>
      </c>
      <c r="C1090" t="s">
        <v>33</v>
      </c>
      <c r="D1090" t="str">
        <f>_xlfn.XLOOKUP(Table1[[#This Row],[BusinessTravel]],Table5[BusinessTravel],Table5[Id_BusinessTravel])</f>
        <v>BS001</v>
      </c>
      <c r="E1090" t="s">
        <v>34</v>
      </c>
      <c r="F1090">
        <v>1210</v>
      </c>
      <c r="G1090" t="str">
        <f>_xlfn.XLOOKUP(Table1[[#This Row],[Department]],Table6[Department],Table6[Id_Departement])</f>
        <v>D002</v>
      </c>
      <c r="H1090" t="s">
        <v>38</v>
      </c>
      <c r="I1090">
        <v>2</v>
      </c>
      <c r="J1090" t="str">
        <f>_xlfn.XLOOKUP(Table1[[#This Row],[Education]],Table8[Education],Table8[Id_Education])</f>
        <v>E003</v>
      </c>
      <c r="K1090">
        <v>3</v>
      </c>
      <c r="L1090" t="str">
        <f>_xlfn.XLOOKUP(Table1[[#This Row],[EducationField]],Table7[EducationField],Table7[Id_EducationField])</f>
        <v>EF003</v>
      </c>
      <c r="M1090" t="s">
        <v>42</v>
      </c>
      <c r="N1090" t="str">
        <f>_xlfn.XLOOKUP(Table1[[#This Row],[EmployeeNumber]],Table4[EmployeeNumber],Table4[Id_Employee])</f>
        <v>EMP01089</v>
      </c>
      <c r="O1090">
        <v>1542</v>
      </c>
      <c r="P1090" t="str">
        <f>_xlfn.XLOOKUP(Table1[[#This Row],[EnvironmentSatisfaction]],Table9[EnvironmentSatisfaction],Table9[Id_EnviromentSatisfaction])</f>
        <v>ES003</v>
      </c>
      <c r="Q1090">
        <v>3</v>
      </c>
      <c r="R1090" t="str">
        <f>_xlfn.XLOOKUP(Table1[[#This Row],[EnvironmentSatisfaction]],Table9[EnvironmentSatisfaction],Table9[Deskripsi])</f>
        <v>High</v>
      </c>
      <c r="S1090" t="str">
        <f>_xlfn.XLOOKUP(Table1[[#This Row],[Gender]],Table10[Gender],Table10[Id_Gender])</f>
        <v>G002</v>
      </c>
      <c r="T1090" t="s">
        <v>46</v>
      </c>
      <c r="U1090">
        <v>68</v>
      </c>
      <c r="V1090" t="str">
        <f>_xlfn.XLOOKUP(Table1[[#This Row],[JobInvolvement]],Table11[JobInvolvement],Table11[Id_JobInvolvement])</f>
        <v>JI002</v>
      </c>
      <c r="W1090">
        <v>2</v>
      </c>
      <c r="X1090" t="str">
        <f>_xlfn.XLOOKUP(Table1[[#This Row],[JobLevel]],Table12[JobLevel],Table12[Id_JobLevel])</f>
        <v>JL001</v>
      </c>
      <c r="Y1090">
        <v>1</v>
      </c>
      <c r="Z1090" t="str">
        <f>_xlfn.XLOOKUP(Table1[[#This Row],[JobRole]],Table13[JobRole],Table13[Id_JobRole])</f>
        <v>JR003</v>
      </c>
      <c r="AA1090" t="s">
        <v>49</v>
      </c>
      <c r="AB1090" t="str">
        <f>_xlfn.XLOOKUP(Table1[[#This Row],[JobSatisfaction]],Table14[JobSatisfaction],Table14[Id_JobSatisfaction])</f>
        <v>JS002</v>
      </c>
      <c r="AC1090">
        <v>2</v>
      </c>
      <c r="AD1090" t="str">
        <f>_xlfn.XLOOKUP(Table1[[#This Row],[JobSatisfaction]],Table14[JobSatisfaction],Table14[Deskripsi])</f>
        <v>Medium</v>
      </c>
      <c r="AE1090" t="str">
        <f>_xlfn.XLOOKUP(Table1[[#This Row],[MaritalStatus]],Table15[MaritalStatus],Table15[Id_MaritalStatus])</f>
        <v>MS002</v>
      </c>
      <c r="AF1090" t="s">
        <v>56</v>
      </c>
      <c r="AG1090">
        <v>4841</v>
      </c>
      <c r="AH1090">
        <v>24052</v>
      </c>
      <c r="AI1090">
        <v>4</v>
      </c>
      <c r="AJ1090" t="str">
        <f>_xlfn.XLOOKUP(Table1[[#This Row],[OverTime]],Table16[OverTime],Table16[Id_OverTime])</f>
        <v>OT002</v>
      </c>
      <c r="AK1090" t="s">
        <v>33</v>
      </c>
      <c r="AL1090">
        <v>14</v>
      </c>
      <c r="AM1090" t="str">
        <f>_xlfn.XLOOKUP(Table1[[#This Row],[PerformanceRating]],Table17[PerformanceRating],Table17[Id_PerformanceRating])</f>
        <v>PR003</v>
      </c>
      <c r="AN1090">
        <v>3</v>
      </c>
      <c r="AO1090" t="str">
        <f>_xlfn.XLOOKUP(Table1[[#This Row],[PerformanceRating]],Table17[PerformanceRating],Table17[Deskripsi])</f>
        <v>Excellent</v>
      </c>
      <c r="AP1090" t="str">
        <f>_xlfn.XLOOKUP(Table1[[#This Row],[RelationshipSatisfaction]],Table18[RelationshipSatisfaction],Table18[Id_RelationshipSatisfaction])</f>
        <v>RS002</v>
      </c>
      <c r="AQ1090">
        <v>2</v>
      </c>
      <c r="AR1090" t="str">
        <f>_xlfn.XLOOKUP(Table1[[#This Row],[RelationshipSatisfaction]],Table18[RelationshipSatisfaction],Table18[Deskripsi])</f>
        <v>Medium</v>
      </c>
      <c r="AS1090" t="str">
        <f>_xlfn.XLOOKUP(Table1[[#This Row],[StockOptionLevel]],Table19[StockOptionLevel],Table19[Id_StockOptionLevel])</f>
        <v>SOL002</v>
      </c>
      <c r="AT1090">
        <v>1</v>
      </c>
      <c r="AU1090" t="str">
        <f>_xlfn.XLOOKUP(Table1[[#This Row],[StockOptionLevel]],Table19[StockOptionLevel],Table19[Deskripsi])</f>
        <v>Standard</v>
      </c>
      <c r="AV1090">
        <v>4</v>
      </c>
      <c r="AW1090">
        <v>3</v>
      </c>
      <c r="AX1090" t="str">
        <f>_xlfn.XLOOKUP(Table1[[#This Row],[WorkLifeBalance]],Table20[WorkLifeBalance],Table20[Id_WorkLifeBalance])</f>
        <v>WLB002</v>
      </c>
      <c r="AY1090">
        <v>3</v>
      </c>
      <c r="AZ1090" t="str">
        <f>_xlfn.XLOOKUP(Table1[[#This Row],[WorkLifeBalance]],Table20[WorkLifeBalance],Table20[Deskripsi])</f>
        <v>Good</v>
      </c>
      <c r="BA1090">
        <v>1</v>
      </c>
      <c r="BB1090">
        <v>0</v>
      </c>
      <c r="BC1090">
        <v>0</v>
      </c>
      <c r="BD1090">
        <v>0</v>
      </c>
    </row>
    <row r="1091" spans="1:56" x14ac:dyDescent="0.25">
      <c r="A1091">
        <v>37</v>
      </c>
      <c r="B1091" t="str">
        <f>_xlfn.XLOOKUP(Table1[[#This Row],[Attrition]],Table2[Attrition],Table2[Id_Attrition])</f>
        <v>A002</v>
      </c>
      <c r="C1091" t="s">
        <v>33</v>
      </c>
      <c r="D1091" t="str">
        <f>_xlfn.XLOOKUP(Table1[[#This Row],[BusinessTravel]],Table5[BusinessTravel],Table5[Id_BusinessTravel])</f>
        <v>BS001</v>
      </c>
      <c r="E1091" t="s">
        <v>34</v>
      </c>
      <c r="F1091">
        <v>674</v>
      </c>
      <c r="G1091" t="str">
        <f>_xlfn.XLOOKUP(Table1[[#This Row],[Department]],Table6[Department],Table6[Id_Departement])</f>
        <v>D002</v>
      </c>
      <c r="H1091" t="s">
        <v>38</v>
      </c>
      <c r="I1091">
        <v>13</v>
      </c>
      <c r="J1091" t="str">
        <f>_xlfn.XLOOKUP(Table1[[#This Row],[Education]],Table8[Education],Table8[Id_Education])</f>
        <v>E003</v>
      </c>
      <c r="K1091">
        <v>3</v>
      </c>
      <c r="L1091" t="str">
        <f>_xlfn.XLOOKUP(Table1[[#This Row],[EducationField]],Table7[EducationField],Table7[Id_EducationField])</f>
        <v>EF003</v>
      </c>
      <c r="M1091" t="s">
        <v>42</v>
      </c>
      <c r="N1091" t="str">
        <f>_xlfn.XLOOKUP(Table1[[#This Row],[EmployeeNumber]],Table4[EmployeeNumber],Table4[Id_Employee])</f>
        <v>EMP01090</v>
      </c>
      <c r="O1091">
        <v>1543</v>
      </c>
      <c r="P1091" t="str">
        <f>_xlfn.XLOOKUP(Table1[[#This Row],[EnvironmentSatisfaction]],Table9[EnvironmentSatisfaction],Table9[Id_EnviromentSatisfaction])</f>
        <v>ES001</v>
      </c>
      <c r="Q1091">
        <v>1</v>
      </c>
      <c r="R1091" t="str">
        <f>_xlfn.XLOOKUP(Table1[[#This Row],[EnvironmentSatisfaction]],Table9[EnvironmentSatisfaction],Table9[Deskripsi])</f>
        <v>Low</v>
      </c>
      <c r="S1091" t="str">
        <f>_xlfn.XLOOKUP(Table1[[#This Row],[Gender]],Table10[Gender],Table10[Id_Gender])</f>
        <v>G002</v>
      </c>
      <c r="T1091" t="s">
        <v>46</v>
      </c>
      <c r="U1091">
        <v>47</v>
      </c>
      <c r="V1091" t="str">
        <f>_xlfn.XLOOKUP(Table1[[#This Row],[JobInvolvement]],Table11[JobInvolvement],Table11[Id_JobInvolvement])</f>
        <v>JI003</v>
      </c>
      <c r="W1091">
        <v>3</v>
      </c>
      <c r="X1091" t="str">
        <f>_xlfn.XLOOKUP(Table1[[#This Row],[JobLevel]],Table12[JobLevel],Table12[Id_JobLevel])</f>
        <v>JL002</v>
      </c>
      <c r="Y1091">
        <v>2</v>
      </c>
      <c r="Z1091" t="str">
        <f>_xlfn.XLOOKUP(Table1[[#This Row],[JobRole]],Table13[JobRole],Table13[Id_JobRole])</f>
        <v>JR002</v>
      </c>
      <c r="AA1091" t="s">
        <v>48</v>
      </c>
      <c r="AB1091" t="str">
        <f>_xlfn.XLOOKUP(Table1[[#This Row],[JobSatisfaction]],Table14[JobSatisfaction],Table14[Id_JobSatisfaction])</f>
        <v>JS004</v>
      </c>
      <c r="AC1091">
        <v>4</v>
      </c>
      <c r="AD1091" t="str">
        <f>_xlfn.XLOOKUP(Table1[[#This Row],[JobSatisfaction]],Table14[JobSatisfaction],Table14[Deskripsi])</f>
        <v>Very High</v>
      </c>
      <c r="AE1091" t="str">
        <f>_xlfn.XLOOKUP(Table1[[#This Row],[MaritalStatus]],Table15[MaritalStatus],Table15[Id_MaritalStatus])</f>
        <v>MS002</v>
      </c>
      <c r="AF1091" t="s">
        <v>56</v>
      </c>
      <c r="AG1091">
        <v>4285</v>
      </c>
      <c r="AH1091">
        <v>3031</v>
      </c>
      <c r="AI1091">
        <v>1</v>
      </c>
      <c r="AJ1091" t="str">
        <f>_xlfn.XLOOKUP(Table1[[#This Row],[OverTime]],Table16[OverTime],Table16[Id_OverTime])</f>
        <v>OT002</v>
      </c>
      <c r="AK1091" t="s">
        <v>33</v>
      </c>
      <c r="AL1091">
        <v>17</v>
      </c>
      <c r="AM1091" t="str">
        <f>_xlfn.XLOOKUP(Table1[[#This Row],[PerformanceRating]],Table17[PerformanceRating],Table17[Id_PerformanceRating])</f>
        <v>PR003</v>
      </c>
      <c r="AN1091">
        <v>3</v>
      </c>
      <c r="AO1091" t="str">
        <f>_xlfn.XLOOKUP(Table1[[#This Row],[PerformanceRating]],Table17[PerformanceRating],Table17[Deskripsi])</f>
        <v>Excellent</v>
      </c>
      <c r="AP1091" t="str">
        <f>_xlfn.XLOOKUP(Table1[[#This Row],[RelationshipSatisfaction]],Table18[RelationshipSatisfaction],Table18[Id_RelationshipSatisfaction])</f>
        <v>RS001</v>
      </c>
      <c r="AQ1091">
        <v>1</v>
      </c>
      <c r="AR1091" t="str">
        <f>_xlfn.XLOOKUP(Table1[[#This Row],[RelationshipSatisfaction]],Table18[RelationshipSatisfaction],Table18[Deskripsi])</f>
        <v>Low</v>
      </c>
      <c r="AS1091" t="str">
        <f>_xlfn.XLOOKUP(Table1[[#This Row],[StockOptionLevel]],Table19[StockOptionLevel],Table19[Id_StockOptionLevel])</f>
        <v>SOL001</v>
      </c>
      <c r="AT1091">
        <v>0</v>
      </c>
      <c r="AU1091" t="str">
        <f>_xlfn.XLOOKUP(Table1[[#This Row],[StockOptionLevel]],Table19[StockOptionLevel],Table19[Deskripsi])</f>
        <v>Non-Eligible</v>
      </c>
      <c r="AV1091">
        <v>10</v>
      </c>
      <c r="AW1091">
        <v>2</v>
      </c>
      <c r="AX1091" t="str">
        <f>_xlfn.XLOOKUP(Table1[[#This Row],[WorkLifeBalance]],Table20[WorkLifeBalance],Table20[Id_WorkLifeBalance])</f>
        <v>WLB002</v>
      </c>
      <c r="AY1091">
        <v>3</v>
      </c>
      <c r="AZ1091" t="str">
        <f>_xlfn.XLOOKUP(Table1[[#This Row],[WorkLifeBalance]],Table20[WorkLifeBalance],Table20[Deskripsi])</f>
        <v>Good</v>
      </c>
      <c r="BA1091">
        <v>10</v>
      </c>
      <c r="BB1091">
        <v>8</v>
      </c>
      <c r="BC1091">
        <v>3</v>
      </c>
      <c r="BD1091">
        <v>7</v>
      </c>
    </row>
    <row r="1092" spans="1:56" x14ac:dyDescent="0.25">
      <c r="A1092">
        <v>29</v>
      </c>
      <c r="B1092" t="str">
        <f>_xlfn.XLOOKUP(Table1[[#This Row],[Attrition]],Table2[Attrition],Table2[Id_Attrition])</f>
        <v>A002</v>
      </c>
      <c r="C1092" t="s">
        <v>33</v>
      </c>
      <c r="D1092" t="str">
        <f>_xlfn.XLOOKUP(Table1[[#This Row],[BusinessTravel]],Table5[BusinessTravel],Table5[Id_BusinessTravel])</f>
        <v>BS001</v>
      </c>
      <c r="E1092" t="s">
        <v>34</v>
      </c>
      <c r="F1092">
        <v>441</v>
      </c>
      <c r="G1092" t="str">
        <f>_xlfn.XLOOKUP(Table1[[#This Row],[Department]],Table6[Department],Table6[Id_Departement])</f>
        <v>D002</v>
      </c>
      <c r="H1092" t="s">
        <v>38</v>
      </c>
      <c r="I1092">
        <v>8</v>
      </c>
      <c r="J1092" t="str">
        <f>_xlfn.XLOOKUP(Table1[[#This Row],[Education]],Table8[Education],Table8[Id_Education])</f>
        <v>E001</v>
      </c>
      <c r="K1092">
        <v>1</v>
      </c>
      <c r="L1092" t="str">
        <f>_xlfn.XLOOKUP(Table1[[#This Row],[EducationField]],Table7[EducationField],Table7[Id_EducationField])</f>
        <v>EF002</v>
      </c>
      <c r="M1092" t="s">
        <v>41</v>
      </c>
      <c r="N1092" t="str">
        <f>_xlfn.XLOOKUP(Table1[[#This Row],[EmployeeNumber]],Table4[EmployeeNumber],Table4[Id_Employee])</f>
        <v>EMP01091</v>
      </c>
      <c r="O1092">
        <v>1544</v>
      </c>
      <c r="P1092" t="str">
        <f>_xlfn.XLOOKUP(Table1[[#This Row],[EnvironmentSatisfaction]],Table9[EnvironmentSatisfaction],Table9[Id_EnviromentSatisfaction])</f>
        <v>ES003</v>
      </c>
      <c r="Q1092">
        <v>3</v>
      </c>
      <c r="R1092" t="str">
        <f>_xlfn.XLOOKUP(Table1[[#This Row],[EnvironmentSatisfaction]],Table9[EnvironmentSatisfaction],Table9[Deskripsi])</f>
        <v>High</v>
      </c>
      <c r="S1092" t="str">
        <f>_xlfn.XLOOKUP(Table1[[#This Row],[Gender]],Table10[Gender],Table10[Id_Gender])</f>
        <v>G001</v>
      </c>
      <c r="T1092" t="s">
        <v>45</v>
      </c>
      <c r="U1092">
        <v>39</v>
      </c>
      <c r="V1092" t="str">
        <f>_xlfn.XLOOKUP(Table1[[#This Row],[JobInvolvement]],Table11[JobInvolvement],Table11[Id_JobInvolvement])</f>
        <v>JI001</v>
      </c>
      <c r="W1092">
        <v>1</v>
      </c>
      <c r="X1092" t="str">
        <f>_xlfn.XLOOKUP(Table1[[#This Row],[JobLevel]],Table12[JobLevel],Table12[Id_JobLevel])</f>
        <v>JL002</v>
      </c>
      <c r="Y1092">
        <v>2</v>
      </c>
      <c r="Z1092" t="str">
        <f>_xlfn.XLOOKUP(Table1[[#This Row],[JobRole]],Table13[JobRole],Table13[Id_JobRole])</f>
        <v>JR005</v>
      </c>
      <c r="AA1092" t="s">
        <v>51</v>
      </c>
      <c r="AB1092" t="str">
        <f>_xlfn.XLOOKUP(Table1[[#This Row],[JobSatisfaction]],Table14[JobSatisfaction],Table14[Id_JobSatisfaction])</f>
        <v>JS001</v>
      </c>
      <c r="AC1092">
        <v>1</v>
      </c>
      <c r="AD1092" t="str">
        <f>_xlfn.XLOOKUP(Table1[[#This Row],[JobSatisfaction]],Table14[JobSatisfaction],Table14[Deskripsi])</f>
        <v>Low</v>
      </c>
      <c r="AE1092" t="str">
        <f>_xlfn.XLOOKUP(Table1[[#This Row],[MaritalStatus]],Table15[MaritalStatus],Table15[Id_MaritalStatus])</f>
        <v>MS002</v>
      </c>
      <c r="AF1092" t="s">
        <v>56</v>
      </c>
      <c r="AG1092">
        <v>9715</v>
      </c>
      <c r="AH1092">
        <v>7288</v>
      </c>
      <c r="AI1092">
        <v>3</v>
      </c>
      <c r="AJ1092" t="str">
        <f>_xlfn.XLOOKUP(Table1[[#This Row],[OverTime]],Table16[OverTime],Table16[Id_OverTime])</f>
        <v>OT002</v>
      </c>
      <c r="AK1092" t="s">
        <v>33</v>
      </c>
      <c r="AL1092">
        <v>13</v>
      </c>
      <c r="AM1092" t="str">
        <f>_xlfn.XLOOKUP(Table1[[#This Row],[PerformanceRating]],Table17[PerformanceRating],Table17[Id_PerformanceRating])</f>
        <v>PR003</v>
      </c>
      <c r="AN1092">
        <v>3</v>
      </c>
      <c r="AO1092" t="str">
        <f>_xlfn.XLOOKUP(Table1[[#This Row],[PerformanceRating]],Table17[PerformanceRating],Table17[Deskripsi])</f>
        <v>Excellent</v>
      </c>
      <c r="AP1092" t="str">
        <f>_xlfn.XLOOKUP(Table1[[#This Row],[RelationshipSatisfaction]],Table18[RelationshipSatisfaction],Table18[Id_RelationshipSatisfaction])</f>
        <v>RS003</v>
      </c>
      <c r="AQ1092">
        <v>3</v>
      </c>
      <c r="AR1092" t="str">
        <f>_xlfn.XLOOKUP(Table1[[#This Row],[RelationshipSatisfaction]],Table18[RelationshipSatisfaction],Table18[Deskripsi])</f>
        <v>High</v>
      </c>
      <c r="AS1092" t="str">
        <f>_xlfn.XLOOKUP(Table1[[#This Row],[StockOptionLevel]],Table19[StockOptionLevel],Table19[Id_StockOptionLevel])</f>
        <v>SOL002</v>
      </c>
      <c r="AT1092">
        <v>1</v>
      </c>
      <c r="AU1092" t="str">
        <f>_xlfn.XLOOKUP(Table1[[#This Row],[StockOptionLevel]],Table19[StockOptionLevel],Table19[Deskripsi])</f>
        <v>Standard</v>
      </c>
      <c r="AV1092">
        <v>9</v>
      </c>
      <c r="AW1092">
        <v>3</v>
      </c>
      <c r="AX1092" t="str">
        <f>_xlfn.XLOOKUP(Table1[[#This Row],[WorkLifeBalance]],Table20[WorkLifeBalance],Table20[Id_WorkLifeBalance])</f>
        <v>WLB002</v>
      </c>
      <c r="AY1092">
        <v>3</v>
      </c>
      <c r="AZ1092" t="str">
        <f>_xlfn.XLOOKUP(Table1[[#This Row],[WorkLifeBalance]],Table20[WorkLifeBalance],Table20[Deskripsi])</f>
        <v>Good</v>
      </c>
      <c r="BA1092">
        <v>7</v>
      </c>
      <c r="BB1092">
        <v>7</v>
      </c>
      <c r="BC1092">
        <v>0</v>
      </c>
      <c r="BD1092">
        <v>7</v>
      </c>
    </row>
    <row r="1093" spans="1:56" x14ac:dyDescent="0.25">
      <c r="A1093">
        <v>33</v>
      </c>
      <c r="B1093" t="str">
        <f>_xlfn.XLOOKUP(Table1[[#This Row],[Attrition]],Table2[Attrition],Table2[Id_Attrition])</f>
        <v>A002</v>
      </c>
      <c r="C1093" t="s">
        <v>33</v>
      </c>
      <c r="D1093" t="str">
        <f>_xlfn.XLOOKUP(Table1[[#This Row],[BusinessTravel]],Table5[BusinessTravel],Table5[Id_BusinessTravel])</f>
        <v>BS001</v>
      </c>
      <c r="E1093" t="s">
        <v>34</v>
      </c>
      <c r="F1093">
        <v>575</v>
      </c>
      <c r="G1093" t="str">
        <f>_xlfn.XLOOKUP(Table1[[#This Row],[Department]],Table6[Department],Table6[Id_Departement])</f>
        <v>D002</v>
      </c>
      <c r="H1093" t="s">
        <v>38</v>
      </c>
      <c r="I1093">
        <v>25</v>
      </c>
      <c r="J1093" t="str">
        <f>_xlfn.XLOOKUP(Table1[[#This Row],[Education]],Table8[Education],Table8[Id_Education])</f>
        <v>E003</v>
      </c>
      <c r="K1093">
        <v>3</v>
      </c>
      <c r="L1093" t="str">
        <f>_xlfn.XLOOKUP(Table1[[#This Row],[EducationField]],Table7[EducationField],Table7[Id_EducationField])</f>
        <v>EF001</v>
      </c>
      <c r="M1093" t="s">
        <v>40</v>
      </c>
      <c r="N1093" t="str">
        <f>_xlfn.XLOOKUP(Table1[[#This Row],[EmployeeNumber]],Table4[EmployeeNumber],Table4[Id_Employee])</f>
        <v>EMP01092</v>
      </c>
      <c r="O1093">
        <v>1545</v>
      </c>
      <c r="P1093" t="str">
        <f>_xlfn.XLOOKUP(Table1[[#This Row],[EnvironmentSatisfaction]],Table9[EnvironmentSatisfaction],Table9[Id_EnviromentSatisfaction])</f>
        <v>ES004</v>
      </c>
      <c r="Q1093">
        <v>4</v>
      </c>
      <c r="R1093" t="str">
        <f>_xlfn.XLOOKUP(Table1[[#This Row],[EnvironmentSatisfaction]],Table9[EnvironmentSatisfaction],Table9[Deskripsi])</f>
        <v>Very High</v>
      </c>
      <c r="S1093" t="str">
        <f>_xlfn.XLOOKUP(Table1[[#This Row],[Gender]],Table10[Gender],Table10[Id_Gender])</f>
        <v>G002</v>
      </c>
      <c r="T1093" t="s">
        <v>46</v>
      </c>
      <c r="U1093">
        <v>44</v>
      </c>
      <c r="V1093" t="str">
        <f>_xlfn.XLOOKUP(Table1[[#This Row],[JobInvolvement]],Table11[JobInvolvement],Table11[Id_JobInvolvement])</f>
        <v>JI002</v>
      </c>
      <c r="W1093">
        <v>2</v>
      </c>
      <c r="X1093" t="str">
        <f>_xlfn.XLOOKUP(Table1[[#This Row],[JobLevel]],Table12[JobLevel],Table12[Id_JobLevel])</f>
        <v>JL002</v>
      </c>
      <c r="Y1093">
        <v>2</v>
      </c>
      <c r="Z1093" t="str">
        <f>_xlfn.XLOOKUP(Table1[[#This Row],[JobRole]],Table13[JobRole],Table13[Id_JobRole])</f>
        <v>JR004</v>
      </c>
      <c r="AA1093" t="s">
        <v>50</v>
      </c>
      <c r="AB1093" t="str">
        <f>_xlfn.XLOOKUP(Table1[[#This Row],[JobSatisfaction]],Table14[JobSatisfaction],Table14[Id_JobSatisfaction])</f>
        <v>JS002</v>
      </c>
      <c r="AC1093">
        <v>2</v>
      </c>
      <c r="AD1093" t="str">
        <f>_xlfn.XLOOKUP(Table1[[#This Row],[JobSatisfaction]],Table14[JobSatisfaction],Table14[Deskripsi])</f>
        <v>Medium</v>
      </c>
      <c r="AE1093" t="str">
        <f>_xlfn.XLOOKUP(Table1[[#This Row],[MaritalStatus]],Table15[MaritalStatus],Table15[Id_MaritalStatus])</f>
        <v>MS001</v>
      </c>
      <c r="AF1093" t="s">
        <v>55</v>
      </c>
      <c r="AG1093">
        <v>4320</v>
      </c>
      <c r="AH1093">
        <v>24152</v>
      </c>
      <c r="AI1093">
        <v>1</v>
      </c>
      <c r="AJ1093" t="str">
        <f>_xlfn.XLOOKUP(Table1[[#This Row],[OverTime]],Table16[OverTime],Table16[Id_OverTime])</f>
        <v>OT002</v>
      </c>
      <c r="AK1093" t="s">
        <v>33</v>
      </c>
      <c r="AL1093">
        <v>13</v>
      </c>
      <c r="AM1093" t="str">
        <f>_xlfn.XLOOKUP(Table1[[#This Row],[PerformanceRating]],Table17[PerformanceRating],Table17[Id_PerformanceRating])</f>
        <v>PR003</v>
      </c>
      <c r="AN1093">
        <v>3</v>
      </c>
      <c r="AO1093" t="str">
        <f>_xlfn.XLOOKUP(Table1[[#This Row],[PerformanceRating]],Table17[PerformanceRating],Table17[Deskripsi])</f>
        <v>Excellent</v>
      </c>
      <c r="AP1093" t="str">
        <f>_xlfn.XLOOKUP(Table1[[#This Row],[RelationshipSatisfaction]],Table18[RelationshipSatisfaction],Table18[Id_RelationshipSatisfaction])</f>
        <v>RS004</v>
      </c>
      <c r="AQ1093">
        <v>4</v>
      </c>
      <c r="AR1093" t="str">
        <f>_xlfn.XLOOKUP(Table1[[#This Row],[RelationshipSatisfaction]],Table18[RelationshipSatisfaction],Table18[Deskripsi])</f>
        <v>Very High</v>
      </c>
      <c r="AS1093" t="str">
        <f>_xlfn.XLOOKUP(Table1[[#This Row],[StockOptionLevel]],Table19[StockOptionLevel],Table19[Id_StockOptionLevel])</f>
        <v>SOL001</v>
      </c>
      <c r="AT1093">
        <v>0</v>
      </c>
      <c r="AU1093" t="str">
        <f>_xlfn.XLOOKUP(Table1[[#This Row],[StockOptionLevel]],Table19[StockOptionLevel],Table19[Deskripsi])</f>
        <v>Non-Eligible</v>
      </c>
      <c r="AV1093">
        <v>5</v>
      </c>
      <c r="AW1093">
        <v>2</v>
      </c>
      <c r="AX1093" t="str">
        <f>_xlfn.XLOOKUP(Table1[[#This Row],[WorkLifeBalance]],Table20[WorkLifeBalance],Table20[Id_WorkLifeBalance])</f>
        <v>WLB002</v>
      </c>
      <c r="AY1093">
        <v>3</v>
      </c>
      <c r="AZ1093" t="str">
        <f>_xlfn.XLOOKUP(Table1[[#This Row],[WorkLifeBalance]],Table20[WorkLifeBalance],Table20[Deskripsi])</f>
        <v>Good</v>
      </c>
      <c r="BA1093">
        <v>5</v>
      </c>
      <c r="BB1093">
        <v>3</v>
      </c>
      <c r="BC1093">
        <v>0</v>
      </c>
      <c r="BD1093">
        <v>2</v>
      </c>
    </row>
    <row r="1094" spans="1:56" x14ac:dyDescent="0.25">
      <c r="A1094">
        <v>45</v>
      </c>
      <c r="B1094" t="str">
        <f>_xlfn.XLOOKUP(Table1[[#This Row],[Attrition]],Table2[Attrition],Table2[Id_Attrition])</f>
        <v>A002</v>
      </c>
      <c r="C1094" t="s">
        <v>33</v>
      </c>
      <c r="D1094" t="str">
        <f>_xlfn.XLOOKUP(Table1[[#This Row],[BusinessTravel]],Table5[BusinessTravel],Table5[Id_BusinessTravel])</f>
        <v>BS001</v>
      </c>
      <c r="E1094" t="s">
        <v>34</v>
      </c>
      <c r="F1094">
        <v>950</v>
      </c>
      <c r="G1094" t="str">
        <f>_xlfn.XLOOKUP(Table1[[#This Row],[Department]],Table6[Department],Table6[Id_Departement])</f>
        <v>D002</v>
      </c>
      <c r="H1094" t="s">
        <v>38</v>
      </c>
      <c r="I1094">
        <v>28</v>
      </c>
      <c r="J1094" t="str">
        <f>_xlfn.XLOOKUP(Table1[[#This Row],[Education]],Table8[Education],Table8[Id_Education])</f>
        <v>E003</v>
      </c>
      <c r="K1094">
        <v>3</v>
      </c>
      <c r="L1094" t="str">
        <f>_xlfn.XLOOKUP(Table1[[#This Row],[EducationField]],Table7[EducationField],Table7[Id_EducationField])</f>
        <v>EF005</v>
      </c>
      <c r="M1094" t="s">
        <v>44</v>
      </c>
      <c r="N1094" t="str">
        <f>_xlfn.XLOOKUP(Table1[[#This Row],[EmployeeNumber]],Table4[EmployeeNumber],Table4[Id_Employee])</f>
        <v>EMP01093</v>
      </c>
      <c r="O1094">
        <v>1546</v>
      </c>
      <c r="P1094" t="str">
        <f>_xlfn.XLOOKUP(Table1[[#This Row],[EnvironmentSatisfaction]],Table9[EnvironmentSatisfaction],Table9[Id_EnviromentSatisfaction])</f>
        <v>ES004</v>
      </c>
      <c r="Q1094">
        <v>4</v>
      </c>
      <c r="R1094" t="str">
        <f>_xlfn.XLOOKUP(Table1[[#This Row],[EnvironmentSatisfaction]],Table9[EnvironmentSatisfaction],Table9[Deskripsi])</f>
        <v>Very High</v>
      </c>
      <c r="S1094" t="str">
        <f>_xlfn.XLOOKUP(Table1[[#This Row],[Gender]],Table10[Gender],Table10[Id_Gender])</f>
        <v>G002</v>
      </c>
      <c r="T1094" t="s">
        <v>46</v>
      </c>
      <c r="U1094">
        <v>97</v>
      </c>
      <c r="V1094" t="str">
        <f>_xlfn.XLOOKUP(Table1[[#This Row],[JobInvolvement]],Table11[JobInvolvement],Table11[Id_JobInvolvement])</f>
        <v>JI003</v>
      </c>
      <c r="W1094">
        <v>3</v>
      </c>
      <c r="X1094" t="str">
        <f>_xlfn.XLOOKUP(Table1[[#This Row],[JobLevel]],Table12[JobLevel],Table12[Id_JobLevel])</f>
        <v>JL001</v>
      </c>
      <c r="Y1094">
        <v>1</v>
      </c>
      <c r="Z1094" t="str">
        <f>_xlfn.XLOOKUP(Table1[[#This Row],[JobRole]],Table13[JobRole],Table13[Id_JobRole])</f>
        <v>JR002</v>
      </c>
      <c r="AA1094" t="s">
        <v>48</v>
      </c>
      <c r="AB1094" t="str">
        <f>_xlfn.XLOOKUP(Table1[[#This Row],[JobSatisfaction]],Table14[JobSatisfaction],Table14[Id_JobSatisfaction])</f>
        <v>JS004</v>
      </c>
      <c r="AC1094">
        <v>4</v>
      </c>
      <c r="AD1094" t="str">
        <f>_xlfn.XLOOKUP(Table1[[#This Row],[JobSatisfaction]],Table14[JobSatisfaction],Table14[Deskripsi])</f>
        <v>Very High</v>
      </c>
      <c r="AE1094" t="str">
        <f>_xlfn.XLOOKUP(Table1[[#This Row],[MaritalStatus]],Table15[MaritalStatus],Table15[Id_MaritalStatus])</f>
        <v>MS002</v>
      </c>
      <c r="AF1094" t="s">
        <v>56</v>
      </c>
      <c r="AG1094">
        <v>2132</v>
      </c>
      <c r="AH1094">
        <v>4585</v>
      </c>
      <c r="AI1094">
        <v>4</v>
      </c>
      <c r="AJ1094" t="str">
        <f>_xlfn.XLOOKUP(Table1[[#This Row],[OverTime]],Table16[OverTime],Table16[Id_OverTime])</f>
        <v>OT002</v>
      </c>
      <c r="AK1094" t="s">
        <v>33</v>
      </c>
      <c r="AL1094">
        <v>20</v>
      </c>
      <c r="AM1094" t="str">
        <f>_xlfn.XLOOKUP(Table1[[#This Row],[PerformanceRating]],Table17[PerformanceRating],Table17[Id_PerformanceRating])</f>
        <v>PR004</v>
      </c>
      <c r="AN1094">
        <v>4</v>
      </c>
      <c r="AO1094" t="str">
        <f>_xlfn.XLOOKUP(Table1[[#This Row],[PerformanceRating]],Table17[PerformanceRating],Table17[Deskripsi])</f>
        <v>Outstanding</v>
      </c>
      <c r="AP1094" t="str">
        <f>_xlfn.XLOOKUP(Table1[[#This Row],[RelationshipSatisfaction]],Table18[RelationshipSatisfaction],Table18[Id_RelationshipSatisfaction])</f>
        <v>RS004</v>
      </c>
      <c r="AQ1094">
        <v>4</v>
      </c>
      <c r="AR1094" t="str">
        <f>_xlfn.XLOOKUP(Table1[[#This Row],[RelationshipSatisfaction]],Table18[RelationshipSatisfaction],Table18[Deskripsi])</f>
        <v>Very High</v>
      </c>
      <c r="AS1094" t="str">
        <f>_xlfn.XLOOKUP(Table1[[#This Row],[StockOptionLevel]],Table19[StockOptionLevel],Table19[Id_StockOptionLevel])</f>
        <v>SOL002</v>
      </c>
      <c r="AT1094">
        <v>1</v>
      </c>
      <c r="AU1094" t="str">
        <f>_xlfn.XLOOKUP(Table1[[#This Row],[StockOptionLevel]],Table19[StockOptionLevel],Table19[Deskripsi])</f>
        <v>Standard</v>
      </c>
      <c r="AV1094">
        <v>8</v>
      </c>
      <c r="AW1094">
        <v>3</v>
      </c>
      <c r="AX1094" t="str">
        <f>_xlfn.XLOOKUP(Table1[[#This Row],[WorkLifeBalance]],Table20[WorkLifeBalance],Table20[Id_WorkLifeBalance])</f>
        <v>WLB002</v>
      </c>
      <c r="AY1094">
        <v>3</v>
      </c>
      <c r="AZ1094" t="str">
        <f>_xlfn.XLOOKUP(Table1[[#This Row],[WorkLifeBalance]],Table20[WorkLifeBalance],Table20[Deskripsi])</f>
        <v>Good</v>
      </c>
      <c r="BA1094">
        <v>5</v>
      </c>
      <c r="BB1094">
        <v>4</v>
      </c>
      <c r="BC1094">
        <v>0</v>
      </c>
      <c r="BD1094">
        <v>3</v>
      </c>
    </row>
    <row r="1095" spans="1:56" x14ac:dyDescent="0.25">
      <c r="A1095">
        <v>42</v>
      </c>
      <c r="B1095" t="str">
        <f>_xlfn.XLOOKUP(Table1[[#This Row],[Attrition]],Table2[Attrition],Table2[Id_Attrition])</f>
        <v>A002</v>
      </c>
      <c r="C1095" t="s">
        <v>33</v>
      </c>
      <c r="D1095" t="str">
        <f>_xlfn.XLOOKUP(Table1[[#This Row],[BusinessTravel]],Table5[BusinessTravel],Table5[Id_BusinessTravel])</f>
        <v>BS002</v>
      </c>
      <c r="E1095" t="s">
        <v>35</v>
      </c>
      <c r="F1095">
        <v>288</v>
      </c>
      <c r="G1095" t="str">
        <f>_xlfn.XLOOKUP(Table1[[#This Row],[Department]],Table6[Department],Table6[Id_Departement])</f>
        <v>D002</v>
      </c>
      <c r="H1095" t="s">
        <v>38</v>
      </c>
      <c r="I1095">
        <v>2</v>
      </c>
      <c r="J1095" t="str">
        <f>_xlfn.XLOOKUP(Table1[[#This Row],[Education]],Table8[Education],Table8[Id_Education])</f>
        <v>E003</v>
      </c>
      <c r="K1095">
        <v>3</v>
      </c>
      <c r="L1095" t="str">
        <f>_xlfn.XLOOKUP(Table1[[#This Row],[EducationField]],Table7[EducationField],Table7[Id_EducationField])</f>
        <v>EF001</v>
      </c>
      <c r="M1095" t="s">
        <v>40</v>
      </c>
      <c r="N1095" t="str">
        <f>_xlfn.XLOOKUP(Table1[[#This Row],[EmployeeNumber]],Table4[EmployeeNumber],Table4[Id_Employee])</f>
        <v>EMP01094</v>
      </c>
      <c r="O1095">
        <v>1547</v>
      </c>
      <c r="P1095" t="str">
        <f>_xlfn.XLOOKUP(Table1[[#This Row],[EnvironmentSatisfaction]],Table9[EnvironmentSatisfaction],Table9[Id_EnviromentSatisfaction])</f>
        <v>ES004</v>
      </c>
      <c r="Q1095">
        <v>4</v>
      </c>
      <c r="R1095" t="str">
        <f>_xlfn.XLOOKUP(Table1[[#This Row],[EnvironmentSatisfaction]],Table9[EnvironmentSatisfaction],Table9[Deskripsi])</f>
        <v>Very High</v>
      </c>
      <c r="S1095" t="str">
        <f>_xlfn.XLOOKUP(Table1[[#This Row],[Gender]],Table10[Gender],Table10[Id_Gender])</f>
        <v>G002</v>
      </c>
      <c r="T1095" t="s">
        <v>46</v>
      </c>
      <c r="U1095">
        <v>40</v>
      </c>
      <c r="V1095" t="str">
        <f>_xlfn.XLOOKUP(Table1[[#This Row],[JobInvolvement]],Table11[JobInvolvement],Table11[Id_JobInvolvement])</f>
        <v>JI003</v>
      </c>
      <c r="W1095">
        <v>3</v>
      </c>
      <c r="X1095" t="str">
        <f>_xlfn.XLOOKUP(Table1[[#This Row],[JobLevel]],Table12[JobLevel],Table12[Id_JobLevel])</f>
        <v>JL003</v>
      </c>
      <c r="Y1095">
        <v>3</v>
      </c>
      <c r="Z1095" t="str">
        <f>_xlfn.XLOOKUP(Table1[[#This Row],[JobRole]],Table13[JobRole],Table13[Id_JobRole])</f>
        <v>JR005</v>
      </c>
      <c r="AA1095" t="s">
        <v>51</v>
      </c>
      <c r="AB1095" t="str">
        <f>_xlfn.XLOOKUP(Table1[[#This Row],[JobSatisfaction]],Table14[JobSatisfaction],Table14[Id_JobSatisfaction])</f>
        <v>JS004</v>
      </c>
      <c r="AC1095">
        <v>4</v>
      </c>
      <c r="AD1095" t="str">
        <f>_xlfn.XLOOKUP(Table1[[#This Row],[JobSatisfaction]],Table14[JobSatisfaction],Table14[Deskripsi])</f>
        <v>Very High</v>
      </c>
      <c r="AE1095" t="str">
        <f>_xlfn.XLOOKUP(Table1[[#This Row],[MaritalStatus]],Table15[MaritalStatus],Table15[Id_MaritalStatus])</f>
        <v>MS002</v>
      </c>
      <c r="AF1095" t="s">
        <v>56</v>
      </c>
      <c r="AG1095">
        <v>10124</v>
      </c>
      <c r="AH1095">
        <v>18611</v>
      </c>
      <c r="AI1095">
        <v>2</v>
      </c>
      <c r="AJ1095" t="str">
        <f>_xlfn.XLOOKUP(Table1[[#This Row],[OverTime]],Table16[OverTime],Table16[Id_OverTime])</f>
        <v>OT001</v>
      </c>
      <c r="AK1095" t="s">
        <v>32</v>
      </c>
      <c r="AL1095">
        <v>14</v>
      </c>
      <c r="AM1095" t="str">
        <f>_xlfn.XLOOKUP(Table1[[#This Row],[PerformanceRating]],Table17[PerformanceRating],Table17[Id_PerformanceRating])</f>
        <v>PR003</v>
      </c>
      <c r="AN1095">
        <v>3</v>
      </c>
      <c r="AO1095" t="str">
        <f>_xlfn.XLOOKUP(Table1[[#This Row],[PerformanceRating]],Table17[PerformanceRating],Table17[Deskripsi])</f>
        <v>Excellent</v>
      </c>
      <c r="AP1095" t="str">
        <f>_xlfn.XLOOKUP(Table1[[#This Row],[RelationshipSatisfaction]],Table18[RelationshipSatisfaction],Table18[Id_RelationshipSatisfaction])</f>
        <v>RS003</v>
      </c>
      <c r="AQ1095">
        <v>3</v>
      </c>
      <c r="AR1095" t="str">
        <f>_xlfn.XLOOKUP(Table1[[#This Row],[RelationshipSatisfaction]],Table18[RelationshipSatisfaction],Table18[Deskripsi])</f>
        <v>High</v>
      </c>
      <c r="AS1095" t="str">
        <f>_xlfn.XLOOKUP(Table1[[#This Row],[StockOptionLevel]],Table19[StockOptionLevel],Table19[Id_StockOptionLevel])</f>
        <v>SOL002</v>
      </c>
      <c r="AT1095">
        <v>1</v>
      </c>
      <c r="AU1095" t="str">
        <f>_xlfn.XLOOKUP(Table1[[#This Row],[StockOptionLevel]],Table19[StockOptionLevel],Table19[Deskripsi])</f>
        <v>Standard</v>
      </c>
      <c r="AV1095">
        <v>24</v>
      </c>
      <c r="AW1095">
        <v>3</v>
      </c>
      <c r="AX1095" t="str">
        <f>_xlfn.XLOOKUP(Table1[[#This Row],[WorkLifeBalance]],Table20[WorkLifeBalance],Table20[Id_WorkLifeBalance])</f>
        <v>WLB001</v>
      </c>
      <c r="AY1095">
        <v>1</v>
      </c>
      <c r="AZ1095" t="str">
        <f>_xlfn.XLOOKUP(Table1[[#This Row],[WorkLifeBalance]],Table20[WorkLifeBalance],Table20[Deskripsi])</f>
        <v>Bad</v>
      </c>
      <c r="BA1095">
        <v>20</v>
      </c>
      <c r="BB1095">
        <v>8</v>
      </c>
      <c r="BC1095">
        <v>13</v>
      </c>
      <c r="BD1095">
        <v>9</v>
      </c>
    </row>
    <row r="1096" spans="1:56" x14ac:dyDescent="0.25">
      <c r="A1096">
        <v>40</v>
      </c>
      <c r="B1096" t="str">
        <f>_xlfn.XLOOKUP(Table1[[#This Row],[Attrition]],Table2[Attrition],Table2[Id_Attrition])</f>
        <v>A002</v>
      </c>
      <c r="C1096" t="s">
        <v>33</v>
      </c>
      <c r="D1096" t="str">
        <f>_xlfn.XLOOKUP(Table1[[#This Row],[BusinessTravel]],Table5[BusinessTravel],Table5[Id_BusinessTravel])</f>
        <v>BS001</v>
      </c>
      <c r="E1096" t="s">
        <v>34</v>
      </c>
      <c r="F1096">
        <v>1342</v>
      </c>
      <c r="G1096" t="str">
        <f>_xlfn.XLOOKUP(Table1[[#This Row],[Department]],Table6[Department],Table6[Id_Departement])</f>
        <v>D001</v>
      </c>
      <c r="H1096" t="s">
        <v>37</v>
      </c>
      <c r="I1096">
        <v>9</v>
      </c>
      <c r="J1096" t="str">
        <f>_xlfn.XLOOKUP(Table1[[#This Row],[Education]],Table8[Education],Table8[Id_Education])</f>
        <v>E002</v>
      </c>
      <c r="K1096">
        <v>2</v>
      </c>
      <c r="L1096" t="str">
        <f>_xlfn.XLOOKUP(Table1[[#This Row],[EducationField]],Table7[EducationField],Table7[Id_EducationField])</f>
        <v>EF003</v>
      </c>
      <c r="M1096" t="s">
        <v>42</v>
      </c>
      <c r="N1096" t="str">
        <f>_xlfn.XLOOKUP(Table1[[#This Row],[EmployeeNumber]],Table4[EmployeeNumber],Table4[Id_Employee])</f>
        <v>EMP01095</v>
      </c>
      <c r="O1096">
        <v>1548</v>
      </c>
      <c r="P1096" t="str">
        <f>_xlfn.XLOOKUP(Table1[[#This Row],[EnvironmentSatisfaction]],Table9[EnvironmentSatisfaction],Table9[Id_EnviromentSatisfaction])</f>
        <v>ES001</v>
      </c>
      <c r="Q1096">
        <v>1</v>
      </c>
      <c r="R1096" t="str">
        <f>_xlfn.XLOOKUP(Table1[[#This Row],[EnvironmentSatisfaction]],Table9[EnvironmentSatisfaction],Table9[Deskripsi])</f>
        <v>Low</v>
      </c>
      <c r="S1096" t="str">
        <f>_xlfn.XLOOKUP(Table1[[#This Row],[Gender]],Table10[Gender],Table10[Id_Gender])</f>
        <v>G002</v>
      </c>
      <c r="T1096" t="s">
        <v>46</v>
      </c>
      <c r="U1096">
        <v>47</v>
      </c>
      <c r="V1096" t="str">
        <f>_xlfn.XLOOKUP(Table1[[#This Row],[JobInvolvement]],Table11[JobInvolvement],Table11[Id_JobInvolvement])</f>
        <v>JI003</v>
      </c>
      <c r="W1096">
        <v>3</v>
      </c>
      <c r="X1096" t="str">
        <f>_xlfn.XLOOKUP(Table1[[#This Row],[JobLevel]],Table12[JobLevel],Table12[Id_JobLevel])</f>
        <v>JL002</v>
      </c>
      <c r="Y1096">
        <v>2</v>
      </c>
      <c r="Z1096" t="str">
        <f>_xlfn.XLOOKUP(Table1[[#This Row],[JobRole]],Table13[JobRole],Table13[Id_JobRole])</f>
        <v>JR001</v>
      </c>
      <c r="AA1096" t="s">
        <v>47</v>
      </c>
      <c r="AB1096" t="str">
        <f>_xlfn.XLOOKUP(Table1[[#This Row],[JobSatisfaction]],Table14[JobSatisfaction],Table14[Id_JobSatisfaction])</f>
        <v>JS001</v>
      </c>
      <c r="AC1096">
        <v>1</v>
      </c>
      <c r="AD1096" t="str">
        <f>_xlfn.XLOOKUP(Table1[[#This Row],[JobSatisfaction]],Table14[JobSatisfaction],Table14[Deskripsi])</f>
        <v>Low</v>
      </c>
      <c r="AE1096" t="str">
        <f>_xlfn.XLOOKUP(Table1[[#This Row],[MaritalStatus]],Table15[MaritalStatus],Table15[Id_MaritalStatus])</f>
        <v>MS002</v>
      </c>
      <c r="AF1096" t="s">
        <v>56</v>
      </c>
      <c r="AG1096">
        <v>5473</v>
      </c>
      <c r="AH1096">
        <v>19345</v>
      </c>
      <c r="AI1096">
        <v>0</v>
      </c>
      <c r="AJ1096" t="str">
        <f>_xlfn.XLOOKUP(Table1[[#This Row],[OverTime]],Table16[OverTime],Table16[Id_OverTime])</f>
        <v>OT002</v>
      </c>
      <c r="AK1096" t="s">
        <v>33</v>
      </c>
      <c r="AL1096">
        <v>12</v>
      </c>
      <c r="AM1096" t="str">
        <f>_xlfn.XLOOKUP(Table1[[#This Row],[PerformanceRating]],Table17[PerformanceRating],Table17[Id_PerformanceRating])</f>
        <v>PR003</v>
      </c>
      <c r="AN1096">
        <v>3</v>
      </c>
      <c r="AO1096" t="str">
        <f>_xlfn.XLOOKUP(Table1[[#This Row],[PerformanceRating]],Table17[PerformanceRating],Table17[Deskripsi])</f>
        <v>Excellent</v>
      </c>
      <c r="AP1096" t="str">
        <f>_xlfn.XLOOKUP(Table1[[#This Row],[RelationshipSatisfaction]],Table18[RelationshipSatisfaction],Table18[Id_RelationshipSatisfaction])</f>
        <v>RS004</v>
      </c>
      <c r="AQ1096">
        <v>4</v>
      </c>
      <c r="AR1096" t="str">
        <f>_xlfn.XLOOKUP(Table1[[#This Row],[RelationshipSatisfaction]],Table18[RelationshipSatisfaction],Table18[Deskripsi])</f>
        <v>Very High</v>
      </c>
      <c r="AS1096" t="str">
        <f>_xlfn.XLOOKUP(Table1[[#This Row],[StockOptionLevel]],Table19[StockOptionLevel],Table19[Id_StockOptionLevel])</f>
        <v>SOL001</v>
      </c>
      <c r="AT1096">
        <v>0</v>
      </c>
      <c r="AU1096" t="str">
        <f>_xlfn.XLOOKUP(Table1[[#This Row],[StockOptionLevel]],Table19[StockOptionLevel],Table19[Deskripsi])</f>
        <v>Non-Eligible</v>
      </c>
      <c r="AV1096">
        <v>9</v>
      </c>
      <c r="AW1096">
        <v>5</v>
      </c>
      <c r="AX1096" t="str">
        <f>_xlfn.XLOOKUP(Table1[[#This Row],[WorkLifeBalance]],Table20[WorkLifeBalance],Table20[Id_WorkLifeBalance])</f>
        <v>WLB004</v>
      </c>
      <c r="AY1096">
        <v>4</v>
      </c>
      <c r="AZ1096" t="str">
        <f>_xlfn.XLOOKUP(Table1[[#This Row],[WorkLifeBalance]],Table20[WorkLifeBalance],Table20[Deskripsi])</f>
        <v>Best</v>
      </c>
      <c r="BA1096">
        <v>8</v>
      </c>
      <c r="BB1096">
        <v>4</v>
      </c>
      <c r="BC1096">
        <v>7</v>
      </c>
      <c r="BD1096">
        <v>1</v>
      </c>
    </row>
    <row r="1097" spans="1:56" x14ac:dyDescent="0.25">
      <c r="A1097">
        <v>33</v>
      </c>
      <c r="B1097" t="str">
        <f>_xlfn.XLOOKUP(Table1[[#This Row],[Attrition]],Table2[Attrition],Table2[Id_Attrition])</f>
        <v>A002</v>
      </c>
      <c r="C1097" t="s">
        <v>33</v>
      </c>
      <c r="D1097" t="str">
        <f>_xlfn.XLOOKUP(Table1[[#This Row],[BusinessTravel]],Table5[BusinessTravel],Table5[Id_BusinessTravel])</f>
        <v>BS001</v>
      </c>
      <c r="E1097" t="s">
        <v>34</v>
      </c>
      <c r="F1097">
        <v>589</v>
      </c>
      <c r="G1097" t="str">
        <f>_xlfn.XLOOKUP(Table1[[#This Row],[Department]],Table6[Department],Table6[Id_Departement])</f>
        <v>D002</v>
      </c>
      <c r="H1097" t="s">
        <v>38</v>
      </c>
      <c r="I1097">
        <v>28</v>
      </c>
      <c r="J1097" t="str">
        <f>_xlfn.XLOOKUP(Table1[[#This Row],[Education]],Table8[Education],Table8[Id_Education])</f>
        <v>E004</v>
      </c>
      <c r="K1097">
        <v>4</v>
      </c>
      <c r="L1097" t="str">
        <f>_xlfn.XLOOKUP(Table1[[#This Row],[EducationField]],Table7[EducationField],Table7[Id_EducationField])</f>
        <v>EF001</v>
      </c>
      <c r="M1097" t="s">
        <v>40</v>
      </c>
      <c r="N1097" t="str">
        <f>_xlfn.XLOOKUP(Table1[[#This Row],[EmployeeNumber]],Table4[EmployeeNumber],Table4[Id_Employee])</f>
        <v>EMP01096</v>
      </c>
      <c r="O1097">
        <v>1549</v>
      </c>
      <c r="P1097" t="str">
        <f>_xlfn.XLOOKUP(Table1[[#This Row],[EnvironmentSatisfaction]],Table9[EnvironmentSatisfaction],Table9[Id_EnviromentSatisfaction])</f>
        <v>ES002</v>
      </c>
      <c r="Q1097">
        <v>2</v>
      </c>
      <c r="R1097" t="str">
        <f>_xlfn.XLOOKUP(Table1[[#This Row],[EnvironmentSatisfaction]],Table9[EnvironmentSatisfaction],Table9[Deskripsi])</f>
        <v>Medium</v>
      </c>
      <c r="S1097" t="str">
        <f>_xlfn.XLOOKUP(Table1[[#This Row],[Gender]],Table10[Gender],Table10[Id_Gender])</f>
        <v>G002</v>
      </c>
      <c r="T1097" t="s">
        <v>46</v>
      </c>
      <c r="U1097">
        <v>79</v>
      </c>
      <c r="V1097" t="str">
        <f>_xlfn.XLOOKUP(Table1[[#This Row],[JobInvolvement]],Table11[JobInvolvement],Table11[Id_JobInvolvement])</f>
        <v>JI003</v>
      </c>
      <c r="W1097">
        <v>3</v>
      </c>
      <c r="X1097" t="str">
        <f>_xlfn.XLOOKUP(Table1[[#This Row],[JobLevel]],Table12[JobLevel],Table12[Id_JobLevel])</f>
        <v>JL002</v>
      </c>
      <c r="Y1097">
        <v>2</v>
      </c>
      <c r="Z1097" t="str">
        <f>_xlfn.XLOOKUP(Table1[[#This Row],[JobRole]],Table13[JobRole],Table13[Id_JobRole])</f>
        <v>JR003</v>
      </c>
      <c r="AA1097" t="s">
        <v>49</v>
      </c>
      <c r="AB1097" t="str">
        <f>_xlfn.XLOOKUP(Table1[[#This Row],[JobSatisfaction]],Table14[JobSatisfaction],Table14[Id_JobSatisfaction])</f>
        <v>JS003</v>
      </c>
      <c r="AC1097">
        <v>3</v>
      </c>
      <c r="AD1097" t="str">
        <f>_xlfn.XLOOKUP(Table1[[#This Row],[JobSatisfaction]],Table14[JobSatisfaction],Table14[Deskripsi])</f>
        <v>High</v>
      </c>
      <c r="AE1097" t="str">
        <f>_xlfn.XLOOKUP(Table1[[#This Row],[MaritalStatus]],Table15[MaritalStatus],Table15[Id_MaritalStatus])</f>
        <v>MS002</v>
      </c>
      <c r="AF1097" t="s">
        <v>56</v>
      </c>
      <c r="AG1097">
        <v>5207</v>
      </c>
      <c r="AH1097">
        <v>22949</v>
      </c>
      <c r="AI1097">
        <v>1</v>
      </c>
      <c r="AJ1097" t="str">
        <f>_xlfn.XLOOKUP(Table1[[#This Row],[OverTime]],Table16[OverTime],Table16[Id_OverTime])</f>
        <v>OT001</v>
      </c>
      <c r="AK1097" t="s">
        <v>32</v>
      </c>
      <c r="AL1097">
        <v>12</v>
      </c>
      <c r="AM1097" t="str">
        <f>_xlfn.XLOOKUP(Table1[[#This Row],[PerformanceRating]],Table17[PerformanceRating],Table17[Id_PerformanceRating])</f>
        <v>PR003</v>
      </c>
      <c r="AN1097">
        <v>3</v>
      </c>
      <c r="AO1097" t="str">
        <f>_xlfn.XLOOKUP(Table1[[#This Row],[PerformanceRating]],Table17[PerformanceRating],Table17[Deskripsi])</f>
        <v>Excellent</v>
      </c>
      <c r="AP1097" t="str">
        <f>_xlfn.XLOOKUP(Table1[[#This Row],[RelationshipSatisfaction]],Table18[RelationshipSatisfaction],Table18[Id_RelationshipSatisfaction])</f>
        <v>RS002</v>
      </c>
      <c r="AQ1097">
        <v>2</v>
      </c>
      <c r="AR1097" t="str">
        <f>_xlfn.XLOOKUP(Table1[[#This Row],[RelationshipSatisfaction]],Table18[RelationshipSatisfaction],Table18[Deskripsi])</f>
        <v>Medium</v>
      </c>
      <c r="AS1097" t="str">
        <f>_xlfn.XLOOKUP(Table1[[#This Row],[StockOptionLevel]],Table19[StockOptionLevel],Table19[Id_StockOptionLevel])</f>
        <v>SOL002</v>
      </c>
      <c r="AT1097">
        <v>1</v>
      </c>
      <c r="AU1097" t="str">
        <f>_xlfn.XLOOKUP(Table1[[#This Row],[StockOptionLevel]],Table19[StockOptionLevel],Table19[Deskripsi])</f>
        <v>Standard</v>
      </c>
      <c r="AV1097">
        <v>15</v>
      </c>
      <c r="AW1097">
        <v>3</v>
      </c>
      <c r="AX1097" t="str">
        <f>_xlfn.XLOOKUP(Table1[[#This Row],[WorkLifeBalance]],Table20[WorkLifeBalance],Table20[Id_WorkLifeBalance])</f>
        <v>WLB002</v>
      </c>
      <c r="AY1097">
        <v>3</v>
      </c>
      <c r="AZ1097" t="str">
        <f>_xlfn.XLOOKUP(Table1[[#This Row],[WorkLifeBalance]],Table20[WorkLifeBalance],Table20[Deskripsi])</f>
        <v>Good</v>
      </c>
      <c r="BA1097">
        <v>15</v>
      </c>
      <c r="BB1097">
        <v>14</v>
      </c>
      <c r="BC1097">
        <v>5</v>
      </c>
      <c r="BD1097">
        <v>7</v>
      </c>
    </row>
    <row r="1098" spans="1:56" x14ac:dyDescent="0.25">
      <c r="A1098">
        <v>40</v>
      </c>
      <c r="B1098" t="str">
        <f>_xlfn.XLOOKUP(Table1[[#This Row],[Attrition]],Table2[Attrition],Table2[Id_Attrition])</f>
        <v>A002</v>
      </c>
      <c r="C1098" t="s">
        <v>33</v>
      </c>
      <c r="D1098" t="str">
        <f>_xlfn.XLOOKUP(Table1[[#This Row],[BusinessTravel]],Table5[BusinessTravel],Table5[Id_BusinessTravel])</f>
        <v>BS001</v>
      </c>
      <c r="E1098" t="s">
        <v>34</v>
      </c>
      <c r="F1098">
        <v>898</v>
      </c>
      <c r="G1098" t="str">
        <f>_xlfn.XLOOKUP(Table1[[#This Row],[Department]],Table6[Department],Table6[Id_Departement])</f>
        <v>D003</v>
      </c>
      <c r="H1098" t="s">
        <v>39</v>
      </c>
      <c r="I1098">
        <v>6</v>
      </c>
      <c r="J1098" t="str">
        <f>_xlfn.XLOOKUP(Table1[[#This Row],[Education]],Table8[Education],Table8[Id_Education])</f>
        <v>E002</v>
      </c>
      <c r="K1098">
        <v>2</v>
      </c>
      <c r="L1098" t="str">
        <f>_xlfn.XLOOKUP(Table1[[#This Row],[EducationField]],Table7[EducationField],Table7[Id_EducationField])</f>
        <v>EF003</v>
      </c>
      <c r="M1098" t="s">
        <v>42</v>
      </c>
      <c r="N1098" t="str">
        <f>_xlfn.XLOOKUP(Table1[[#This Row],[EmployeeNumber]],Table4[EmployeeNumber],Table4[Id_Employee])</f>
        <v>EMP01097</v>
      </c>
      <c r="O1098">
        <v>1550</v>
      </c>
      <c r="P1098" t="str">
        <f>_xlfn.XLOOKUP(Table1[[#This Row],[EnvironmentSatisfaction]],Table9[EnvironmentSatisfaction],Table9[Id_EnviromentSatisfaction])</f>
        <v>ES003</v>
      </c>
      <c r="Q1098">
        <v>3</v>
      </c>
      <c r="R1098" t="str">
        <f>_xlfn.XLOOKUP(Table1[[#This Row],[EnvironmentSatisfaction]],Table9[EnvironmentSatisfaction],Table9[Deskripsi])</f>
        <v>High</v>
      </c>
      <c r="S1098" t="str">
        <f>_xlfn.XLOOKUP(Table1[[#This Row],[Gender]],Table10[Gender],Table10[Id_Gender])</f>
        <v>G002</v>
      </c>
      <c r="T1098" t="s">
        <v>46</v>
      </c>
      <c r="U1098">
        <v>38</v>
      </c>
      <c r="V1098" t="str">
        <f>_xlfn.XLOOKUP(Table1[[#This Row],[JobInvolvement]],Table11[JobInvolvement],Table11[Id_JobInvolvement])</f>
        <v>JI003</v>
      </c>
      <c r="W1098">
        <v>3</v>
      </c>
      <c r="X1098" t="str">
        <f>_xlfn.XLOOKUP(Table1[[#This Row],[JobLevel]],Table12[JobLevel],Table12[Id_JobLevel])</f>
        <v>JL004</v>
      </c>
      <c r="Y1098">
        <v>4</v>
      </c>
      <c r="Z1098" t="str">
        <f>_xlfn.XLOOKUP(Table1[[#This Row],[JobRole]],Table13[JobRole],Table13[Id_JobRole])</f>
        <v>JR006</v>
      </c>
      <c r="AA1098" t="s">
        <v>52</v>
      </c>
      <c r="AB1098" t="str">
        <f>_xlfn.XLOOKUP(Table1[[#This Row],[JobSatisfaction]],Table14[JobSatisfaction],Table14[Id_JobSatisfaction])</f>
        <v>JS004</v>
      </c>
      <c r="AC1098">
        <v>4</v>
      </c>
      <c r="AD1098" t="str">
        <f>_xlfn.XLOOKUP(Table1[[#This Row],[JobSatisfaction]],Table14[JobSatisfaction],Table14[Deskripsi])</f>
        <v>Very High</v>
      </c>
      <c r="AE1098" t="str">
        <f>_xlfn.XLOOKUP(Table1[[#This Row],[MaritalStatus]],Table15[MaritalStatus],Table15[Id_MaritalStatus])</f>
        <v>MS001</v>
      </c>
      <c r="AF1098" t="s">
        <v>55</v>
      </c>
      <c r="AG1098">
        <v>16437</v>
      </c>
      <c r="AH1098">
        <v>17381</v>
      </c>
      <c r="AI1098">
        <v>1</v>
      </c>
      <c r="AJ1098" t="str">
        <f>_xlfn.XLOOKUP(Table1[[#This Row],[OverTime]],Table16[OverTime],Table16[Id_OverTime])</f>
        <v>OT001</v>
      </c>
      <c r="AK1098" t="s">
        <v>32</v>
      </c>
      <c r="AL1098">
        <v>21</v>
      </c>
      <c r="AM1098" t="str">
        <f>_xlfn.XLOOKUP(Table1[[#This Row],[PerformanceRating]],Table17[PerformanceRating],Table17[Id_PerformanceRating])</f>
        <v>PR004</v>
      </c>
      <c r="AN1098">
        <v>4</v>
      </c>
      <c r="AO1098" t="str">
        <f>_xlfn.XLOOKUP(Table1[[#This Row],[PerformanceRating]],Table17[PerformanceRating],Table17[Deskripsi])</f>
        <v>Outstanding</v>
      </c>
      <c r="AP1098" t="str">
        <f>_xlfn.XLOOKUP(Table1[[#This Row],[RelationshipSatisfaction]],Table18[RelationshipSatisfaction],Table18[Id_RelationshipSatisfaction])</f>
        <v>RS004</v>
      </c>
      <c r="AQ1098">
        <v>4</v>
      </c>
      <c r="AR1098" t="str">
        <f>_xlfn.XLOOKUP(Table1[[#This Row],[RelationshipSatisfaction]],Table18[RelationshipSatisfaction],Table18[Deskripsi])</f>
        <v>Very High</v>
      </c>
      <c r="AS1098" t="str">
        <f>_xlfn.XLOOKUP(Table1[[#This Row],[StockOptionLevel]],Table19[StockOptionLevel],Table19[Id_StockOptionLevel])</f>
        <v>SOL001</v>
      </c>
      <c r="AT1098">
        <v>0</v>
      </c>
      <c r="AU1098" t="str">
        <f>_xlfn.XLOOKUP(Table1[[#This Row],[StockOptionLevel]],Table19[StockOptionLevel],Table19[Deskripsi])</f>
        <v>Non-Eligible</v>
      </c>
      <c r="AV1098">
        <v>21</v>
      </c>
      <c r="AW1098">
        <v>2</v>
      </c>
      <c r="AX1098" t="str">
        <f>_xlfn.XLOOKUP(Table1[[#This Row],[WorkLifeBalance]],Table20[WorkLifeBalance],Table20[Id_WorkLifeBalance])</f>
        <v>WLB002</v>
      </c>
      <c r="AY1098">
        <v>3</v>
      </c>
      <c r="AZ1098" t="str">
        <f>_xlfn.XLOOKUP(Table1[[#This Row],[WorkLifeBalance]],Table20[WorkLifeBalance],Table20[Deskripsi])</f>
        <v>Good</v>
      </c>
      <c r="BA1098">
        <v>21</v>
      </c>
      <c r="BB1098">
        <v>7</v>
      </c>
      <c r="BC1098">
        <v>7</v>
      </c>
      <c r="BD1098">
        <v>7</v>
      </c>
    </row>
    <row r="1099" spans="1:56" x14ac:dyDescent="0.25">
      <c r="A1099">
        <v>24</v>
      </c>
      <c r="B1099" t="str">
        <f>_xlfn.XLOOKUP(Table1[[#This Row],[Attrition]],Table2[Attrition],Table2[Id_Attrition])</f>
        <v>A002</v>
      </c>
      <c r="C1099" t="s">
        <v>33</v>
      </c>
      <c r="D1099" t="str">
        <f>_xlfn.XLOOKUP(Table1[[#This Row],[BusinessTravel]],Table5[BusinessTravel],Table5[Id_BusinessTravel])</f>
        <v>BS001</v>
      </c>
      <c r="E1099" t="s">
        <v>34</v>
      </c>
      <c r="F1099">
        <v>350</v>
      </c>
      <c r="G1099" t="str">
        <f>_xlfn.XLOOKUP(Table1[[#This Row],[Department]],Table6[Department],Table6[Id_Departement])</f>
        <v>D002</v>
      </c>
      <c r="H1099" t="s">
        <v>38</v>
      </c>
      <c r="I1099">
        <v>21</v>
      </c>
      <c r="J1099" t="str">
        <f>_xlfn.XLOOKUP(Table1[[#This Row],[Education]],Table8[Education],Table8[Id_Education])</f>
        <v>E002</v>
      </c>
      <c r="K1099">
        <v>2</v>
      </c>
      <c r="L1099" t="str">
        <f>_xlfn.XLOOKUP(Table1[[#This Row],[EducationField]],Table7[EducationField],Table7[Id_EducationField])</f>
        <v>EF005</v>
      </c>
      <c r="M1099" t="s">
        <v>44</v>
      </c>
      <c r="N1099" t="str">
        <f>_xlfn.XLOOKUP(Table1[[#This Row],[EmployeeNumber]],Table4[EmployeeNumber],Table4[Id_Employee])</f>
        <v>EMP01098</v>
      </c>
      <c r="O1099">
        <v>1551</v>
      </c>
      <c r="P1099" t="str">
        <f>_xlfn.XLOOKUP(Table1[[#This Row],[EnvironmentSatisfaction]],Table9[EnvironmentSatisfaction],Table9[Id_EnviromentSatisfaction])</f>
        <v>ES003</v>
      </c>
      <c r="Q1099">
        <v>3</v>
      </c>
      <c r="R1099" t="str">
        <f>_xlfn.XLOOKUP(Table1[[#This Row],[EnvironmentSatisfaction]],Table9[EnvironmentSatisfaction],Table9[Deskripsi])</f>
        <v>High</v>
      </c>
      <c r="S1099" t="str">
        <f>_xlfn.XLOOKUP(Table1[[#This Row],[Gender]],Table10[Gender],Table10[Id_Gender])</f>
        <v>G002</v>
      </c>
      <c r="T1099" t="s">
        <v>46</v>
      </c>
      <c r="U1099">
        <v>57</v>
      </c>
      <c r="V1099" t="str">
        <f>_xlfn.XLOOKUP(Table1[[#This Row],[JobInvolvement]],Table11[JobInvolvement],Table11[Id_JobInvolvement])</f>
        <v>JI002</v>
      </c>
      <c r="W1099">
        <v>2</v>
      </c>
      <c r="X1099" t="str">
        <f>_xlfn.XLOOKUP(Table1[[#This Row],[JobLevel]],Table12[JobLevel],Table12[Id_JobLevel])</f>
        <v>JL001</v>
      </c>
      <c r="Y1099">
        <v>1</v>
      </c>
      <c r="Z1099" t="str">
        <f>_xlfn.XLOOKUP(Table1[[#This Row],[JobRole]],Table13[JobRole],Table13[Id_JobRole])</f>
        <v>JR003</v>
      </c>
      <c r="AA1099" t="s">
        <v>49</v>
      </c>
      <c r="AB1099" t="str">
        <f>_xlfn.XLOOKUP(Table1[[#This Row],[JobSatisfaction]],Table14[JobSatisfaction],Table14[Id_JobSatisfaction])</f>
        <v>JS001</v>
      </c>
      <c r="AC1099">
        <v>1</v>
      </c>
      <c r="AD1099" t="str">
        <f>_xlfn.XLOOKUP(Table1[[#This Row],[JobSatisfaction]],Table14[JobSatisfaction],Table14[Deskripsi])</f>
        <v>Low</v>
      </c>
      <c r="AE1099" t="str">
        <f>_xlfn.XLOOKUP(Table1[[#This Row],[MaritalStatus]],Table15[MaritalStatus],Table15[Id_MaritalStatus])</f>
        <v>MS003</v>
      </c>
      <c r="AF1099" t="s">
        <v>57</v>
      </c>
      <c r="AG1099">
        <v>2296</v>
      </c>
      <c r="AH1099">
        <v>10036</v>
      </c>
      <c r="AI1099">
        <v>0</v>
      </c>
      <c r="AJ1099" t="str">
        <f>_xlfn.XLOOKUP(Table1[[#This Row],[OverTime]],Table16[OverTime],Table16[Id_OverTime])</f>
        <v>OT002</v>
      </c>
      <c r="AK1099" t="s">
        <v>33</v>
      </c>
      <c r="AL1099">
        <v>14</v>
      </c>
      <c r="AM1099" t="str">
        <f>_xlfn.XLOOKUP(Table1[[#This Row],[PerformanceRating]],Table17[PerformanceRating],Table17[Id_PerformanceRating])</f>
        <v>PR003</v>
      </c>
      <c r="AN1099">
        <v>3</v>
      </c>
      <c r="AO1099" t="str">
        <f>_xlfn.XLOOKUP(Table1[[#This Row],[PerformanceRating]],Table17[PerformanceRating],Table17[Deskripsi])</f>
        <v>Excellent</v>
      </c>
      <c r="AP1099" t="str">
        <f>_xlfn.XLOOKUP(Table1[[#This Row],[RelationshipSatisfaction]],Table18[RelationshipSatisfaction],Table18[Id_RelationshipSatisfaction])</f>
        <v>RS002</v>
      </c>
      <c r="AQ1099">
        <v>2</v>
      </c>
      <c r="AR1099" t="str">
        <f>_xlfn.XLOOKUP(Table1[[#This Row],[RelationshipSatisfaction]],Table18[RelationshipSatisfaction],Table18[Deskripsi])</f>
        <v>Medium</v>
      </c>
      <c r="AS1099" t="str">
        <f>_xlfn.XLOOKUP(Table1[[#This Row],[StockOptionLevel]],Table19[StockOptionLevel],Table19[Id_StockOptionLevel])</f>
        <v>SOL004</v>
      </c>
      <c r="AT1099">
        <v>3</v>
      </c>
      <c r="AU1099" t="str">
        <f>_xlfn.XLOOKUP(Table1[[#This Row],[StockOptionLevel]],Table19[StockOptionLevel],Table19[Deskripsi])</f>
        <v>Senior/Executive</v>
      </c>
      <c r="AV1099">
        <v>2</v>
      </c>
      <c r="AW1099">
        <v>3</v>
      </c>
      <c r="AX1099" t="str">
        <f>_xlfn.XLOOKUP(Table1[[#This Row],[WorkLifeBalance]],Table20[WorkLifeBalance],Table20[Id_WorkLifeBalance])</f>
        <v>WLB002</v>
      </c>
      <c r="AY1099">
        <v>3</v>
      </c>
      <c r="AZ1099" t="str">
        <f>_xlfn.XLOOKUP(Table1[[#This Row],[WorkLifeBalance]],Table20[WorkLifeBalance],Table20[Deskripsi])</f>
        <v>Good</v>
      </c>
      <c r="BA1099">
        <v>1</v>
      </c>
      <c r="BB1099">
        <v>1</v>
      </c>
      <c r="BC1099">
        <v>0</v>
      </c>
      <c r="BD1099">
        <v>0</v>
      </c>
    </row>
    <row r="1100" spans="1:56" x14ac:dyDescent="0.25">
      <c r="A1100">
        <v>40</v>
      </c>
      <c r="B1100" t="str">
        <f>_xlfn.XLOOKUP(Table1[[#This Row],[Attrition]],Table2[Attrition],Table2[Id_Attrition])</f>
        <v>A002</v>
      </c>
      <c r="C1100" t="s">
        <v>33</v>
      </c>
      <c r="D1100" t="str">
        <f>_xlfn.XLOOKUP(Table1[[#This Row],[BusinessTravel]],Table5[BusinessTravel],Table5[Id_BusinessTravel])</f>
        <v>BS003</v>
      </c>
      <c r="E1100" t="s">
        <v>36</v>
      </c>
      <c r="F1100">
        <v>1142</v>
      </c>
      <c r="G1100" t="str">
        <f>_xlfn.XLOOKUP(Table1[[#This Row],[Department]],Table6[Department],Table6[Id_Departement])</f>
        <v>D002</v>
      </c>
      <c r="H1100" t="s">
        <v>38</v>
      </c>
      <c r="I1100">
        <v>8</v>
      </c>
      <c r="J1100" t="str">
        <f>_xlfn.XLOOKUP(Table1[[#This Row],[Education]],Table8[Education],Table8[Id_Education])</f>
        <v>E002</v>
      </c>
      <c r="K1100">
        <v>2</v>
      </c>
      <c r="L1100" t="str">
        <f>_xlfn.XLOOKUP(Table1[[#This Row],[EducationField]],Table7[EducationField],Table7[Id_EducationField])</f>
        <v>EF001</v>
      </c>
      <c r="M1100" t="s">
        <v>40</v>
      </c>
      <c r="N1100" t="str">
        <f>_xlfn.XLOOKUP(Table1[[#This Row],[EmployeeNumber]],Table4[EmployeeNumber],Table4[Id_Employee])</f>
        <v>EMP01099</v>
      </c>
      <c r="O1100">
        <v>1552</v>
      </c>
      <c r="P1100" t="str">
        <f>_xlfn.XLOOKUP(Table1[[#This Row],[EnvironmentSatisfaction]],Table9[EnvironmentSatisfaction],Table9[Id_EnviromentSatisfaction])</f>
        <v>ES004</v>
      </c>
      <c r="Q1100">
        <v>4</v>
      </c>
      <c r="R1100" t="str">
        <f>_xlfn.XLOOKUP(Table1[[#This Row],[EnvironmentSatisfaction]],Table9[EnvironmentSatisfaction],Table9[Deskripsi])</f>
        <v>Very High</v>
      </c>
      <c r="S1100" t="str">
        <f>_xlfn.XLOOKUP(Table1[[#This Row],[Gender]],Table10[Gender],Table10[Id_Gender])</f>
        <v>G002</v>
      </c>
      <c r="T1100" t="s">
        <v>46</v>
      </c>
      <c r="U1100">
        <v>72</v>
      </c>
      <c r="V1100" t="str">
        <f>_xlfn.XLOOKUP(Table1[[#This Row],[JobInvolvement]],Table11[JobInvolvement],Table11[Id_JobInvolvement])</f>
        <v>JI003</v>
      </c>
      <c r="W1100">
        <v>3</v>
      </c>
      <c r="X1100" t="str">
        <f>_xlfn.XLOOKUP(Table1[[#This Row],[JobLevel]],Table12[JobLevel],Table12[Id_JobLevel])</f>
        <v>JL002</v>
      </c>
      <c r="Y1100">
        <v>2</v>
      </c>
      <c r="Z1100" t="str">
        <f>_xlfn.XLOOKUP(Table1[[#This Row],[JobRole]],Table13[JobRole],Table13[Id_JobRole])</f>
        <v>JR005</v>
      </c>
      <c r="AA1100" t="s">
        <v>51</v>
      </c>
      <c r="AB1100" t="str">
        <f>_xlfn.XLOOKUP(Table1[[#This Row],[JobSatisfaction]],Table14[JobSatisfaction],Table14[Id_JobSatisfaction])</f>
        <v>JS004</v>
      </c>
      <c r="AC1100">
        <v>4</v>
      </c>
      <c r="AD1100" t="str">
        <f>_xlfn.XLOOKUP(Table1[[#This Row],[JobSatisfaction]],Table14[JobSatisfaction],Table14[Deskripsi])</f>
        <v>Very High</v>
      </c>
      <c r="AE1100" t="str">
        <f>_xlfn.XLOOKUP(Table1[[#This Row],[MaritalStatus]],Table15[MaritalStatus],Table15[Id_MaritalStatus])</f>
        <v>MS003</v>
      </c>
      <c r="AF1100" t="s">
        <v>57</v>
      </c>
      <c r="AG1100">
        <v>4069</v>
      </c>
      <c r="AH1100">
        <v>8841</v>
      </c>
      <c r="AI1100">
        <v>3</v>
      </c>
      <c r="AJ1100" t="str">
        <f>_xlfn.XLOOKUP(Table1[[#This Row],[OverTime]],Table16[OverTime],Table16[Id_OverTime])</f>
        <v>OT001</v>
      </c>
      <c r="AK1100" t="s">
        <v>32</v>
      </c>
      <c r="AL1100">
        <v>18</v>
      </c>
      <c r="AM1100" t="str">
        <f>_xlfn.XLOOKUP(Table1[[#This Row],[PerformanceRating]],Table17[PerformanceRating],Table17[Id_PerformanceRating])</f>
        <v>PR003</v>
      </c>
      <c r="AN1100">
        <v>3</v>
      </c>
      <c r="AO1100" t="str">
        <f>_xlfn.XLOOKUP(Table1[[#This Row],[PerformanceRating]],Table17[PerformanceRating],Table17[Deskripsi])</f>
        <v>Excellent</v>
      </c>
      <c r="AP1100" t="str">
        <f>_xlfn.XLOOKUP(Table1[[#This Row],[RelationshipSatisfaction]],Table18[RelationshipSatisfaction],Table18[Id_RelationshipSatisfaction])</f>
        <v>RS003</v>
      </c>
      <c r="AQ1100">
        <v>3</v>
      </c>
      <c r="AR1100" t="str">
        <f>_xlfn.XLOOKUP(Table1[[#This Row],[RelationshipSatisfaction]],Table18[RelationshipSatisfaction],Table18[Deskripsi])</f>
        <v>High</v>
      </c>
      <c r="AS1100" t="str">
        <f>_xlfn.XLOOKUP(Table1[[#This Row],[StockOptionLevel]],Table19[StockOptionLevel],Table19[Id_StockOptionLevel])</f>
        <v>SOL001</v>
      </c>
      <c r="AT1100">
        <v>0</v>
      </c>
      <c r="AU1100" t="str">
        <f>_xlfn.XLOOKUP(Table1[[#This Row],[StockOptionLevel]],Table19[StockOptionLevel],Table19[Deskripsi])</f>
        <v>Non-Eligible</v>
      </c>
      <c r="AV1100">
        <v>8</v>
      </c>
      <c r="AW1100">
        <v>2</v>
      </c>
      <c r="AX1100" t="str">
        <f>_xlfn.XLOOKUP(Table1[[#This Row],[WorkLifeBalance]],Table20[WorkLifeBalance],Table20[Id_WorkLifeBalance])</f>
        <v>WLB002</v>
      </c>
      <c r="AY1100">
        <v>3</v>
      </c>
      <c r="AZ1100" t="str">
        <f>_xlfn.XLOOKUP(Table1[[#This Row],[WorkLifeBalance]],Table20[WorkLifeBalance],Table20[Deskripsi])</f>
        <v>Good</v>
      </c>
      <c r="BA1100">
        <v>2</v>
      </c>
      <c r="BB1100">
        <v>2</v>
      </c>
      <c r="BC1100">
        <v>2</v>
      </c>
      <c r="BD1100">
        <v>2</v>
      </c>
    </row>
    <row r="1101" spans="1:56" x14ac:dyDescent="0.25">
      <c r="A1101">
        <v>45</v>
      </c>
      <c r="B1101" t="str">
        <f>_xlfn.XLOOKUP(Table1[[#This Row],[Attrition]],Table2[Attrition],Table2[Id_Attrition])</f>
        <v>A002</v>
      </c>
      <c r="C1101" t="s">
        <v>33</v>
      </c>
      <c r="D1101" t="str">
        <f>_xlfn.XLOOKUP(Table1[[#This Row],[BusinessTravel]],Table5[BusinessTravel],Table5[Id_BusinessTravel])</f>
        <v>BS001</v>
      </c>
      <c r="E1101" t="s">
        <v>34</v>
      </c>
      <c r="F1101">
        <v>538</v>
      </c>
      <c r="G1101" t="str">
        <f>_xlfn.XLOOKUP(Table1[[#This Row],[Department]],Table6[Department],Table6[Id_Departement])</f>
        <v>D002</v>
      </c>
      <c r="H1101" t="s">
        <v>38</v>
      </c>
      <c r="I1101">
        <v>1</v>
      </c>
      <c r="J1101" t="str">
        <f>_xlfn.XLOOKUP(Table1[[#This Row],[Education]],Table8[Education],Table8[Id_Education])</f>
        <v>E004</v>
      </c>
      <c r="K1101">
        <v>4</v>
      </c>
      <c r="L1101" t="str">
        <f>_xlfn.XLOOKUP(Table1[[#This Row],[EducationField]],Table7[EducationField],Table7[Id_EducationField])</f>
        <v>EF005</v>
      </c>
      <c r="M1101" t="s">
        <v>44</v>
      </c>
      <c r="N1101" t="str">
        <f>_xlfn.XLOOKUP(Table1[[#This Row],[EmployeeNumber]],Table4[EmployeeNumber],Table4[Id_Employee])</f>
        <v>EMP01100</v>
      </c>
      <c r="O1101">
        <v>1553</v>
      </c>
      <c r="P1101" t="str">
        <f>_xlfn.XLOOKUP(Table1[[#This Row],[EnvironmentSatisfaction]],Table9[EnvironmentSatisfaction],Table9[Id_EnviromentSatisfaction])</f>
        <v>ES001</v>
      </c>
      <c r="Q1101">
        <v>1</v>
      </c>
      <c r="R1101" t="str">
        <f>_xlfn.XLOOKUP(Table1[[#This Row],[EnvironmentSatisfaction]],Table9[EnvironmentSatisfaction],Table9[Deskripsi])</f>
        <v>Low</v>
      </c>
      <c r="S1101" t="str">
        <f>_xlfn.XLOOKUP(Table1[[#This Row],[Gender]],Table10[Gender],Table10[Id_Gender])</f>
        <v>G002</v>
      </c>
      <c r="T1101" t="s">
        <v>46</v>
      </c>
      <c r="U1101">
        <v>66</v>
      </c>
      <c r="V1101" t="str">
        <f>_xlfn.XLOOKUP(Table1[[#This Row],[JobInvolvement]],Table11[JobInvolvement],Table11[Id_JobInvolvement])</f>
        <v>JI003</v>
      </c>
      <c r="W1101">
        <v>3</v>
      </c>
      <c r="X1101" t="str">
        <f>_xlfn.XLOOKUP(Table1[[#This Row],[JobLevel]],Table12[JobLevel],Table12[Id_JobLevel])</f>
        <v>JL003</v>
      </c>
      <c r="Y1101">
        <v>3</v>
      </c>
      <c r="Z1101" t="str">
        <f>_xlfn.XLOOKUP(Table1[[#This Row],[JobRole]],Table13[JobRole],Table13[Id_JobRole])</f>
        <v>JR005</v>
      </c>
      <c r="AA1101" t="s">
        <v>51</v>
      </c>
      <c r="AB1101" t="str">
        <f>_xlfn.XLOOKUP(Table1[[#This Row],[JobSatisfaction]],Table14[JobSatisfaction],Table14[Id_JobSatisfaction])</f>
        <v>JS002</v>
      </c>
      <c r="AC1101">
        <v>2</v>
      </c>
      <c r="AD1101" t="str">
        <f>_xlfn.XLOOKUP(Table1[[#This Row],[JobSatisfaction]],Table14[JobSatisfaction],Table14[Deskripsi])</f>
        <v>Medium</v>
      </c>
      <c r="AE1101" t="str">
        <f>_xlfn.XLOOKUP(Table1[[#This Row],[MaritalStatus]],Table15[MaritalStatus],Table15[Id_MaritalStatus])</f>
        <v>MS003</v>
      </c>
      <c r="AF1101" t="s">
        <v>57</v>
      </c>
      <c r="AG1101">
        <v>7441</v>
      </c>
      <c r="AH1101">
        <v>20933</v>
      </c>
      <c r="AI1101">
        <v>1</v>
      </c>
      <c r="AJ1101" t="str">
        <f>_xlfn.XLOOKUP(Table1[[#This Row],[OverTime]],Table16[OverTime],Table16[Id_OverTime])</f>
        <v>OT002</v>
      </c>
      <c r="AK1101" t="s">
        <v>33</v>
      </c>
      <c r="AL1101">
        <v>12</v>
      </c>
      <c r="AM1101" t="str">
        <f>_xlfn.XLOOKUP(Table1[[#This Row],[PerformanceRating]],Table17[PerformanceRating],Table17[Id_PerformanceRating])</f>
        <v>PR003</v>
      </c>
      <c r="AN1101">
        <v>3</v>
      </c>
      <c r="AO1101" t="str">
        <f>_xlfn.XLOOKUP(Table1[[#This Row],[PerformanceRating]],Table17[PerformanceRating],Table17[Deskripsi])</f>
        <v>Excellent</v>
      </c>
      <c r="AP1101" t="str">
        <f>_xlfn.XLOOKUP(Table1[[#This Row],[RelationshipSatisfaction]],Table18[RelationshipSatisfaction],Table18[Id_RelationshipSatisfaction])</f>
        <v>RS001</v>
      </c>
      <c r="AQ1101">
        <v>1</v>
      </c>
      <c r="AR1101" t="str">
        <f>_xlfn.XLOOKUP(Table1[[#This Row],[RelationshipSatisfaction]],Table18[RelationshipSatisfaction],Table18[Deskripsi])</f>
        <v>Low</v>
      </c>
      <c r="AS1101" t="str">
        <f>_xlfn.XLOOKUP(Table1[[#This Row],[StockOptionLevel]],Table19[StockOptionLevel],Table19[Id_StockOptionLevel])</f>
        <v>SOL004</v>
      </c>
      <c r="AT1101">
        <v>3</v>
      </c>
      <c r="AU1101" t="str">
        <f>_xlfn.XLOOKUP(Table1[[#This Row],[StockOptionLevel]],Table19[StockOptionLevel],Table19[Deskripsi])</f>
        <v>Senior/Executive</v>
      </c>
      <c r="AV1101">
        <v>10</v>
      </c>
      <c r="AW1101">
        <v>4</v>
      </c>
      <c r="AX1101" t="str">
        <f>_xlfn.XLOOKUP(Table1[[#This Row],[WorkLifeBalance]],Table20[WorkLifeBalance],Table20[Id_WorkLifeBalance])</f>
        <v>WLB002</v>
      </c>
      <c r="AY1101">
        <v>3</v>
      </c>
      <c r="AZ1101" t="str">
        <f>_xlfn.XLOOKUP(Table1[[#This Row],[WorkLifeBalance]],Table20[WorkLifeBalance],Table20[Deskripsi])</f>
        <v>Good</v>
      </c>
      <c r="BA1101">
        <v>10</v>
      </c>
      <c r="BB1101">
        <v>8</v>
      </c>
      <c r="BC1101">
        <v>7</v>
      </c>
      <c r="BD1101">
        <v>7</v>
      </c>
    </row>
    <row r="1102" spans="1:56" x14ac:dyDescent="0.25">
      <c r="A1102">
        <v>35</v>
      </c>
      <c r="B1102" t="str">
        <f>_xlfn.XLOOKUP(Table1[[#This Row],[Attrition]],Table2[Attrition],Table2[Id_Attrition])</f>
        <v>A002</v>
      </c>
      <c r="C1102" t="s">
        <v>33</v>
      </c>
      <c r="D1102" t="str">
        <f>_xlfn.XLOOKUP(Table1[[#This Row],[BusinessTravel]],Table5[BusinessTravel],Table5[Id_BusinessTravel])</f>
        <v>BS001</v>
      </c>
      <c r="E1102" t="s">
        <v>34</v>
      </c>
      <c r="F1102">
        <v>1402</v>
      </c>
      <c r="G1102" t="str">
        <f>_xlfn.XLOOKUP(Table1[[#This Row],[Department]],Table6[Department],Table6[Id_Departement])</f>
        <v>D001</v>
      </c>
      <c r="H1102" t="s">
        <v>37</v>
      </c>
      <c r="I1102">
        <v>28</v>
      </c>
      <c r="J1102" t="str">
        <f>_xlfn.XLOOKUP(Table1[[#This Row],[Education]],Table8[Education],Table8[Id_Education])</f>
        <v>E004</v>
      </c>
      <c r="K1102">
        <v>4</v>
      </c>
      <c r="L1102" t="str">
        <f>_xlfn.XLOOKUP(Table1[[#This Row],[EducationField]],Table7[EducationField],Table7[Id_EducationField])</f>
        <v>EF001</v>
      </c>
      <c r="M1102" t="s">
        <v>40</v>
      </c>
      <c r="N1102" t="str">
        <f>_xlfn.XLOOKUP(Table1[[#This Row],[EmployeeNumber]],Table4[EmployeeNumber],Table4[Id_Employee])</f>
        <v>EMP01101</v>
      </c>
      <c r="O1102">
        <v>1554</v>
      </c>
      <c r="P1102" t="str">
        <f>_xlfn.XLOOKUP(Table1[[#This Row],[EnvironmentSatisfaction]],Table9[EnvironmentSatisfaction],Table9[Id_EnviromentSatisfaction])</f>
        <v>ES002</v>
      </c>
      <c r="Q1102">
        <v>2</v>
      </c>
      <c r="R1102" t="str">
        <f>_xlfn.XLOOKUP(Table1[[#This Row],[EnvironmentSatisfaction]],Table9[EnvironmentSatisfaction],Table9[Deskripsi])</f>
        <v>Medium</v>
      </c>
      <c r="S1102" t="str">
        <f>_xlfn.XLOOKUP(Table1[[#This Row],[Gender]],Table10[Gender],Table10[Id_Gender])</f>
        <v>G001</v>
      </c>
      <c r="T1102" t="s">
        <v>45</v>
      </c>
      <c r="U1102">
        <v>98</v>
      </c>
      <c r="V1102" t="str">
        <f>_xlfn.XLOOKUP(Table1[[#This Row],[JobInvolvement]],Table11[JobInvolvement],Table11[Id_JobInvolvement])</f>
        <v>JI002</v>
      </c>
      <c r="W1102">
        <v>2</v>
      </c>
      <c r="X1102" t="str">
        <f>_xlfn.XLOOKUP(Table1[[#This Row],[JobLevel]],Table12[JobLevel],Table12[Id_JobLevel])</f>
        <v>JL001</v>
      </c>
      <c r="Y1102">
        <v>1</v>
      </c>
      <c r="Z1102" t="str">
        <f>_xlfn.XLOOKUP(Table1[[#This Row],[JobRole]],Table13[JobRole],Table13[Id_JobRole])</f>
        <v>JR007</v>
      </c>
      <c r="AA1102" t="s">
        <v>53</v>
      </c>
      <c r="AB1102" t="str">
        <f>_xlfn.XLOOKUP(Table1[[#This Row],[JobSatisfaction]],Table14[JobSatisfaction],Table14[Id_JobSatisfaction])</f>
        <v>JS003</v>
      </c>
      <c r="AC1102">
        <v>3</v>
      </c>
      <c r="AD1102" t="str">
        <f>_xlfn.XLOOKUP(Table1[[#This Row],[JobSatisfaction]],Table14[JobSatisfaction],Table14[Deskripsi])</f>
        <v>High</v>
      </c>
      <c r="AE1102" t="str">
        <f>_xlfn.XLOOKUP(Table1[[#This Row],[MaritalStatus]],Table15[MaritalStatus],Table15[Id_MaritalStatus])</f>
        <v>MS002</v>
      </c>
      <c r="AF1102" t="s">
        <v>56</v>
      </c>
      <c r="AG1102">
        <v>2430</v>
      </c>
      <c r="AH1102">
        <v>26204</v>
      </c>
      <c r="AI1102">
        <v>0</v>
      </c>
      <c r="AJ1102" t="str">
        <f>_xlfn.XLOOKUP(Table1[[#This Row],[OverTime]],Table16[OverTime],Table16[Id_OverTime])</f>
        <v>OT002</v>
      </c>
      <c r="AK1102" t="s">
        <v>33</v>
      </c>
      <c r="AL1102">
        <v>23</v>
      </c>
      <c r="AM1102" t="str">
        <f>_xlfn.XLOOKUP(Table1[[#This Row],[PerformanceRating]],Table17[PerformanceRating],Table17[Id_PerformanceRating])</f>
        <v>PR004</v>
      </c>
      <c r="AN1102">
        <v>4</v>
      </c>
      <c r="AO1102" t="str">
        <f>_xlfn.XLOOKUP(Table1[[#This Row],[PerformanceRating]],Table17[PerformanceRating],Table17[Deskripsi])</f>
        <v>Outstanding</v>
      </c>
      <c r="AP1102" t="str">
        <f>_xlfn.XLOOKUP(Table1[[#This Row],[RelationshipSatisfaction]],Table18[RelationshipSatisfaction],Table18[Id_RelationshipSatisfaction])</f>
        <v>RS001</v>
      </c>
      <c r="AQ1102">
        <v>1</v>
      </c>
      <c r="AR1102" t="str">
        <f>_xlfn.XLOOKUP(Table1[[#This Row],[RelationshipSatisfaction]],Table18[RelationshipSatisfaction],Table18[Deskripsi])</f>
        <v>Low</v>
      </c>
      <c r="AS1102" t="str">
        <f>_xlfn.XLOOKUP(Table1[[#This Row],[StockOptionLevel]],Table19[StockOptionLevel],Table19[Id_StockOptionLevel])</f>
        <v>SOL003</v>
      </c>
      <c r="AT1102">
        <v>2</v>
      </c>
      <c r="AU1102" t="str">
        <f>_xlfn.XLOOKUP(Table1[[#This Row],[StockOptionLevel]],Table19[StockOptionLevel],Table19[Deskripsi])</f>
        <v>Intermediate</v>
      </c>
      <c r="AV1102">
        <v>6</v>
      </c>
      <c r="AW1102">
        <v>5</v>
      </c>
      <c r="AX1102" t="str">
        <f>_xlfn.XLOOKUP(Table1[[#This Row],[WorkLifeBalance]],Table20[WorkLifeBalance],Table20[Id_WorkLifeBalance])</f>
        <v>WLB002</v>
      </c>
      <c r="AY1102">
        <v>3</v>
      </c>
      <c r="AZ1102" t="str">
        <f>_xlfn.XLOOKUP(Table1[[#This Row],[WorkLifeBalance]],Table20[WorkLifeBalance],Table20[Deskripsi])</f>
        <v>Good</v>
      </c>
      <c r="BA1102">
        <v>5</v>
      </c>
      <c r="BB1102">
        <v>3</v>
      </c>
      <c r="BC1102">
        <v>4</v>
      </c>
      <c r="BD1102">
        <v>2</v>
      </c>
    </row>
    <row r="1103" spans="1:56" x14ac:dyDescent="0.25">
      <c r="A1103">
        <v>32</v>
      </c>
      <c r="B1103" t="str">
        <f>_xlfn.XLOOKUP(Table1[[#This Row],[Attrition]],Table2[Attrition],Table2[Id_Attrition])</f>
        <v>A002</v>
      </c>
      <c r="C1103" t="s">
        <v>33</v>
      </c>
      <c r="D1103" t="str">
        <f>_xlfn.XLOOKUP(Table1[[#This Row],[BusinessTravel]],Table5[BusinessTravel],Table5[Id_BusinessTravel])</f>
        <v>BS001</v>
      </c>
      <c r="E1103" t="s">
        <v>34</v>
      </c>
      <c r="F1103">
        <v>824</v>
      </c>
      <c r="G1103" t="str">
        <f>_xlfn.XLOOKUP(Table1[[#This Row],[Department]],Table6[Department],Table6[Id_Departement])</f>
        <v>D002</v>
      </c>
      <c r="H1103" t="s">
        <v>38</v>
      </c>
      <c r="I1103">
        <v>5</v>
      </c>
      <c r="J1103" t="str">
        <f>_xlfn.XLOOKUP(Table1[[#This Row],[Education]],Table8[Education],Table8[Id_Education])</f>
        <v>E002</v>
      </c>
      <c r="K1103">
        <v>2</v>
      </c>
      <c r="L1103" t="str">
        <f>_xlfn.XLOOKUP(Table1[[#This Row],[EducationField]],Table7[EducationField],Table7[Id_EducationField])</f>
        <v>EF001</v>
      </c>
      <c r="M1103" t="s">
        <v>40</v>
      </c>
      <c r="N1103" t="str">
        <f>_xlfn.XLOOKUP(Table1[[#This Row],[EmployeeNumber]],Table4[EmployeeNumber],Table4[Id_Employee])</f>
        <v>EMP01102</v>
      </c>
      <c r="O1103">
        <v>1555</v>
      </c>
      <c r="P1103" t="str">
        <f>_xlfn.XLOOKUP(Table1[[#This Row],[EnvironmentSatisfaction]],Table9[EnvironmentSatisfaction],Table9[Id_EnviromentSatisfaction])</f>
        <v>ES004</v>
      </c>
      <c r="Q1103">
        <v>4</v>
      </c>
      <c r="R1103" t="str">
        <f>_xlfn.XLOOKUP(Table1[[#This Row],[EnvironmentSatisfaction]],Table9[EnvironmentSatisfaction],Table9[Deskripsi])</f>
        <v>Very High</v>
      </c>
      <c r="S1103" t="str">
        <f>_xlfn.XLOOKUP(Table1[[#This Row],[Gender]],Table10[Gender],Table10[Id_Gender])</f>
        <v>G001</v>
      </c>
      <c r="T1103" t="s">
        <v>45</v>
      </c>
      <c r="U1103">
        <v>67</v>
      </c>
      <c r="V1103" t="str">
        <f>_xlfn.XLOOKUP(Table1[[#This Row],[JobInvolvement]],Table11[JobInvolvement],Table11[Id_JobInvolvement])</f>
        <v>JI002</v>
      </c>
      <c r="W1103">
        <v>2</v>
      </c>
      <c r="X1103" t="str">
        <f>_xlfn.XLOOKUP(Table1[[#This Row],[JobLevel]],Table12[JobLevel],Table12[Id_JobLevel])</f>
        <v>JL002</v>
      </c>
      <c r="Y1103">
        <v>2</v>
      </c>
      <c r="Z1103" t="str">
        <f>_xlfn.XLOOKUP(Table1[[#This Row],[JobRole]],Table13[JobRole],Table13[Id_JobRole])</f>
        <v>JR002</v>
      </c>
      <c r="AA1103" t="s">
        <v>48</v>
      </c>
      <c r="AB1103" t="str">
        <f>_xlfn.XLOOKUP(Table1[[#This Row],[JobSatisfaction]],Table14[JobSatisfaction],Table14[Id_JobSatisfaction])</f>
        <v>JS002</v>
      </c>
      <c r="AC1103">
        <v>2</v>
      </c>
      <c r="AD1103" t="str">
        <f>_xlfn.XLOOKUP(Table1[[#This Row],[JobSatisfaction]],Table14[JobSatisfaction],Table14[Deskripsi])</f>
        <v>Medium</v>
      </c>
      <c r="AE1103" t="str">
        <f>_xlfn.XLOOKUP(Table1[[#This Row],[MaritalStatus]],Table15[MaritalStatus],Table15[Id_MaritalStatus])</f>
        <v>MS002</v>
      </c>
      <c r="AF1103" t="s">
        <v>56</v>
      </c>
      <c r="AG1103">
        <v>5878</v>
      </c>
      <c r="AH1103">
        <v>15624</v>
      </c>
      <c r="AI1103">
        <v>3</v>
      </c>
      <c r="AJ1103" t="str">
        <f>_xlfn.XLOOKUP(Table1[[#This Row],[OverTime]],Table16[OverTime],Table16[Id_OverTime])</f>
        <v>OT002</v>
      </c>
      <c r="AK1103" t="s">
        <v>33</v>
      </c>
      <c r="AL1103">
        <v>12</v>
      </c>
      <c r="AM1103" t="str">
        <f>_xlfn.XLOOKUP(Table1[[#This Row],[PerformanceRating]],Table17[PerformanceRating],Table17[Id_PerformanceRating])</f>
        <v>PR003</v>
      </c>
      <c r="AN1103">
        <v>3</v>
      </c>
      <c r="AO1103" t="str">
        <f>_xlfn.XLOOKUP(Table1[[#This Row],[PerformanceRating]],Table17[PerformanceRating],Table17[Deskripsi])</f>
        <v>Excellent</v>
      </c>
      <c r="AP1103" t="str">
        <f>_xlfn.XLOOKUP(Table1[[#This Row],[RelationshipSatisfaction]],Table18[RelationshipSatisfaction],Table18[Id_RelationshipSatisfaction])</f>
        <v>RS001</v>
      </c>
      <c r="AQ1103">
        <v>1</v>
      </c>
      <c r="AR1103" t="str">
        <f>_xlfn.XLOOKUP(Table1[[#This Row],[RelationshipSatisfaction]],Table18[RelationshipSatisfaction],Table18[Deskripsi])</f>
        <v>Low</v>
      </c>
      <c r="AS1103" t="str">
        <f>_xlfn.XLOOKUP(Table1[[#This Row],[StockOptionLevel]],Table19[StockOptionLevel],Table19[Id_StockOptionLevel])</f>
        <v>SOL002</v>
      </c>
      <c r="AT1103">
        <v>1</v>
      </c>
      <c r="AU1103" t="str">
        <f>_xlfn.XLOOKUP(Table1[[#This Row],[StockOptionLevel]],Table19[StockOptionLevel],Table19[Deskripsi])</f>
        <v>Standard</v>
      </c>
      <c r="AV1103">
        <v>12</v>
      </c>
      <c r="AW1103">
        <v>2</v>
      </c>
      <c r="AX1103" t="str">
        <f>_xlfn.XLOOKUP(Table1[[#This Row],[WorkLifeBalance]],Table20[WorkLifeBalance],Table20[Id_WorkLifeBalance])</f>
        <v>WLB002</v>
      </c>
      <c r="AY1103">
        <v>3</v>
      </c>
      <c r="AZ1103" t="str">
        <f>_xlfn.XLOOKUP(Table1[[#This Row],[WorkLifeBalance]],Table20[WorkLifeBalance],Table20[Deskripsi])</f>
        <v>Good</v>
      </c>
      <c r="BA1103">
        <v>7</v>
      </c>
      <c r="BB1103">
        <v>1</v>
      </c>
      <c r="BC1103">
        <v>2</v>
      </c>
      <c r="BD1103">
        <v>5</v>
      </c>
    </row>
    <row r="1104" spans="1:56" x14ac:dyDescent="0.25">
      <c r="A1104">
        <v>36</v>
      </c>
      <c r="B1104" t="str">
        <f>_xlfn.XLOOKUP(Table1[[#This Row],[Attrition]],Table2[Attrition],Table2[Id_Attrition])</f>
        <v>A002</v>
      </c>
      <c r="C1104" t="s">
        <v>33</v>
      </c>
      <c r="D1104" t="str">
        <f>_xlfn.XLOOKUP(Table1[[#This Row],[BusinessTravel]],Table5[BusinessTravel],Table5[Id_BusinessTravel])</f>
        <v>BS001</v>
      </c>
      <c r="E1104" t="s">
        <v>34</v>
      </c>
      <c r="F1104">
        <v>1157</v>
      </c>
      <c r="G1104" t="str">
        <f>_xlfn.XLOOKUP(Table1[[#This Row],[Department]],Table6[Department],Table6[Id_Departement])</f>
        <v>D001</v>
      </c>
      <c r="H1104" t="s">
        <v>37</v>
      </c>
      <c r="I1104">
        <v>2</v>
      </c>
      <c r="J1104" t="str">
        <f>_xlfn.XLOOKUP(Table1[[#This Row],[Education]],Table8[Education],Table8[Id_Education])</f>
        <v>E004</v>
      </c>
      <c r="K1104">
        <v>4</v>
      </c>
      <c r="L1104" t="str">
        <f>_xlfn.XLOOKUP(Table1[[#This Row],[EducationField]],Table7[EducationField],Table7[Id_EducationField])</f>
        <v>EF001</v>
      </c>
      <c r="M1104" t="s">
        <v>40</v>
      </c>
      <c r="N1104" t="str">
        <f>_xlfn.XLOOKUP(Table1[[#This Row],[EmployeeNumber]],Table4[EmployeeNumber],Table4[Id_Employee])</f>
        <v>EMP01103</v>
      </c>
      <c r="O1104">
        <v>1556</v>
      </c>
      <c r="P1104" t="str">
        <f>_xlfn.XLOOKUP(Table1[[#This Row],[EnvironmentSatisfaction]],Table9[EnvironmentSatisfaction],Table9[Id_EnviromentSatisfaction])</f>
        <v>ES003</v>
      </c>
      <c r="Q1104">
        <v>3</v>
      </c>
      <c r="R1104" t="str">
        <f>_xlfn.XLOOKUP(Table1[[#This Row],[EnvironmentSatisfaction]],Table9[EnvironmentSatisfaction],Table9[Deskripsi])</f>
        <v>High</v>
      </c>
      <c r="S1104" t="str">
        <f>_xlfn.XLOOKUP(Table1[[#This Row],[Gender]],Table10[Gender],Table10[Id_Gender])</f>
        <v>G002</v>
      </c>
      <c r="T1104" t="s">
        <v>46</v>
      </c>
      <c r="U1104">
        <v>70</v>
      </c>
      <c r="V1104" t="str">
        <f>_xlfn.XLOOKUP(Table1[[#This Row],[JobInvolvement]],Table11[JobInvolvement],Table11[Id_JobInvolvement])</f>
        <v>JI003</v>
      </c>
      <c r="W1104">
        <v>3</v>
      </c>
      <c r="X1104" t="str">
        <f>_xlfn.XLOOKUP(Table1[[#This Row],[JobLevel]],Table12[JobLevel],Table12[Id_JobLevel])</f>
        <v>JL001</v>
      </c>
      <c r="Y1104">
        <v>1</v>
      </c>
      <c r="Z1104" t="str">
        <f>_xlfn.XLOOKUP(Table1[[#This Row],[JobRole]],Table13[JobRole],Table13[Id_JobRole])</f>
        <v>JR007</v>
      </c>
      <c r="AA1104" t="s">
        <v>53</v>
      </c>
      <c r="AB1104" t="str">
        <f>_xlfn.XLOOKUP(Table1[[#This Row],[JobSatisfaction]],Table14[JobSatisfaction],Table14[Id_JobSatisfaction])</f>
        <v>JS004</v>
      </c>
      <c r="AC1104">
        <v>4</v>
      </c>
      <c r="AD1104" t="str">
        <f>_xlfn.XLOOKUP(Table1[[#This Row],[JobSatisfaction]],Table14[JobSatisfaction],Table14[Deskripsi])</f>
        <v>Very High</v>
      </c>
      <c r="AE1104" t="str">
        <f>_xlfn.XLOOKUP(Table1[[#This Row],[MaritalStatus]],Table15[MaritalStatus],Table15[Id_MaritalStatus])</f>
        <v>MS001</v>
      </c>
      <c r="AF1104" t="s">
        <v>55</v>
      </c>
      <c r="AG1104">
        <v>2644</v>
      </c>
      <c r="AH1104">
        <v>17001</v>
      </c>
      <c r="AI1104">
        <v>3</v>
      </c>
      <c r="AJ1104" t="str">
        <f>_xlfn.XLOOKUP(Table1[[#This Row],[OverTime]],Table16[OverTime],Table16[Id_OverTime])</f>
        <v>OT001</v>
      </c>
      <c r="AK1104" t="s">
        <v>32</v>
      </c>
      <c r="AL1104">
        <v>21</v>
      </c>
      <c r="AM1104" t="str">
        <f>_xlfn.XLOOKUP(Table1[[#This Row],[PerformanceRating]],Table17[PerformanceRating],Table17[Id_PerformanceRating])</f>
        <v>PR004</v>
      </c>
      <c r="AN1104">
        <v>4</v>
      </c>
      <c r="AO1104" t="str">
        <f>_xlfn.XLOOKUP(Table1[[#This Row],[PerformanceRating]],Table17[PerformanceRating],Table17[Deskripsi])</f>
        <v>Outstanding</v>
      </c>
      <c r="AP1104" t="str">
        <f>_xlfn.XLOOKUP(Table1[[#This Row],[RelationshipSatisfaction]],Table18[RelationshipSatisfaction],Table18[Id_RelationshipSatisfaction])</f>
        <v>RS004</v>
      </c>
      <c r="AQ1104">
        <v>4</v>
      </c>
      <c r="AR1104" t="str">
        <f>_xlfn.XLOOKUP(Table1[[#This Row],[RelationshipSatisfaction]],Table18[RelationshipSatisfaction],Table18[Deskripsi])</f>
        <v>Very High</v>
      </c>
      <c r="AS1104" t="str">
        <f>_xlfn.XLOOKUP(Table1[[#This Row],[StockOptionLevel]],Table19[StockOptionLevel],Table19[Id_StockOptionLevel])</f>
        <v>SOL001</v>
      </c>
      <c r="AT1104">
        <v>0</v>
      </c>
      <c r="AU1104" t="str">
        <f>_xlfn.XLOOKUP(Table1[[#This Row],[StockOptionLevel]],Table19[StockOptionLevel],Table19[Deskripsi])</f>
        <v>Non-Eligible</v>
      </c>
      <c r="AV1104">
        <v>7</v>
      </c>
      <c r="AW1104">
        <v>3</v>
      </c>
      <c r="AX1104" t="str">
        <f>_xlfn.XLOOKUP(Table1[[#This Row],[WorkLifeBalance]],Table20[WorkLifeBalance],Table20[Id_WorkLifeBalance])</f>
        <v>WLB003</v>
      </c>
      <c r="AY1104">
        <v>2</v>
      </c>
      <c r="AZ1104" t="str">
        <f>_xlfn.XLOOKUP(Table1[[#This Row],[WorkLifeBalance]],Table20[WorkLifeBalance],Table20[Deskripsi])</f>
        <v>Better</v>
      </c>
      <c r="BA1104">
        <v>3</v>
      </c>
      <c r="BB1104">
        <v>2</v>
      </c>
      <c r="BC1104">
        <v>1</v>
      </c>
      <c r="BD1104">
        <v>2</v>
      </c>
    </row>
    <row r="1105" spans="1:56" x14ac:dyDescent="0.25">
      <c r="A1105">
        <v>48</v>
      </c>
      <c r="B1105" t="str">
        <f>_xlfn.XLOOKUP(Table1[[#This Row],[Attrition]],Table2[Attrition],Table2[Id_Attrition])</f>
        <v>A002</v>
      </c>
      <c r="C1105" t="s">
        <v>33</v>
      </c>
      <c r="D1105" t="str">
        <f>_xlfn.XLOOKUP(Table1[[#This Row],[BusinessTravel]],Table5[BusinessTravel],Table5[Id_BusinessTravel])</f>
        <v>BS001</v>
      </c>
      <c r="E1105" t="s">
        <v>34</v>
      </c>
      <c r="F1105">
        <v>492</v>
      </c>
      <c r="G1105" t="str">
        <f>_xlfn.XLOOKUP(Table1[[#This Row],[Department]],Table6[Department],Table6[Id_Departement])</f>
        <v>D001</v>
      </c>
      <c r="H1105" t="s">
        <v>37</v>
      </c>
      <c r="I1105">
        <v>16</v>
      </c>
      <c r="J1105" t="str">
        <f>_xlfn.XLOOKUP(Table1[[#This Row],[Education]],Table8[Education],Table8[Id_Education])</f>
        <v>E004</v>
      </c>
      <c r="K1105">
        <v>4</v>
      </c>
      <c r="L1105" t="str">
        <f>_xlfn.XLOOKUP(Table1[[#This Row],[EducationField]],Table7[EducationField],Table7[Id_EducationField])</f>
        <v>EF001</v>
      </c>
      <c r="M1105" t="s">
        <v>40</v>
      </c>
      <c r="N1105" t="str">
        <f>_xlfn.XLOOKUP(Table1[[#This Row],[EmployeeNumber]],Table4[EmployeeNumber],Table4[Id_Employee])</f>
        <v>EMP01104</v>
      </c>
      <c r="O1105">
        <v>1557</v>
      </c>
      <c r="P1105" t="str">
        <f>_xlfn.XLOOKUP(Table1[[#This Row],[EnvironmentSatisfaction]],Table9[EnvironmentSatisfaction],Table9[Id_EnviromentSatisfaction])</f>
        <v>ES003</v>
      </c>
      <c r="Q1105">
        <v>3</v>
      </c>
      <c r="R1105" t="str">
        <f>_xlfn.XLOOKUP(Table1[[#This Row],[EnvironmentSatisfaction]],Table9[EnvironmentSatisfaction],Table9[Deskripsi])</f>
        <v>High</v>
      </c>
      <c r="S1105" t="str">
        <f>_xlfn.XLOOKUP(Table1[[#This Row],[Gender]],Table10[Gender],Table10[Id_Gender])</f>
        <v>G001</v>
      </c>
      <c r="T1105" t="s">
        <v>45</v>
      </c>
      <c r="U1105">
        <v>96</v>
      </c>
      <c r="V1105" t="str">
        <f>_xlfn.XLOOKUP(Table1[[#This Row],[JobInvolvement]],Table11[JobInvolvement],Table11[Id_JobInvolvement])</f>
        <v>JI003</v>
      </c>
      <c r="W1105">
        <v>3</v>
      </c>
      <c r="X1105" t="str">
        <f>_xlfn.XLOOKUP(Table1[[#This Row],[JobLevel]],Table12[JobLevel],Table12[Id_JobLevel])</f>
        <v>JL002</v>
      </c>
      <c r="Y1105">
        <v>2</v>
      </c>
      <c r="Z1105" t="str">
        <f>_xlfn.XLOOKUP(Table1[[#This Row],[JobRole]],Table13[JobRole],Table13[Id_JobRole])</f>
        <v>JR001</v>
      </c>
      <c r="AA1105" t="s">
        <v>47</v>
      </c>
      <c r="AB1105" t="str">
        <f>_xlfn.XLOOKUP(Table1[[#This Row],[JobSatisfaction]],Table14[JobSatisfaction],Table14[Id_JobSatisfaction])</f>
        <v>JS003</v>
      </c>
      <c r="AC1105">
        <v>3</v>
      </c>
      <c r="AD1105" t="str">
        <f>_xlfn.XLOOKUP(Table1[[#This Row],[JobSatisfaction]],Table14[JobSatisfaction],Table14[Deskripsi])</f>
        <v>High</v>
      </c>
      <c r="AE1105" t="str">
        <f>_xlfn.XLOOKUP(Table1[[#This Row],[MaritalStatus]],Table15[MaritalStatus],Table15[Id_MaritalStatus])</f>
        <v>MS003</v>
      </c>
      <c r="AF1105" t="s">
        <v>57</v>
      </c>
      <c r="AG1105">
        <v>6439</v>
      </c>
      <c r="AH1105">
        <v>13693</v>
      </c>
      <c r="AI1105">
        <v>8</v>
      </c>
      <c r="AJ1105" t="str">
        <f>_xlfn.XLOOKUP(Table1[[#This Row],[OverTime]],Table16[OverTime],Table16[Id_OverTime])</f>
        <v>OT002</v>
      </c>
      <c r="AK1105" t="s">
        <v>33</v>
      </c>
      <c r="AL1105">
        <v>14</v>
      </c>
      <c r="AM1105" t="str">
        <f>_xlfn.XLOOKUP(Table1[[#This Row],[PerformanceRating]],Table17[PerformanceRating],Table17[Id_PerformanceRating])</f>
        <v>PR003</v>
      </c>
      <c r="AN1105">
        <v>3</v>
      </c>
      <c r="AO1105" t="str">
        <f>_xlfn.XLOOKUP(Table1[[#This Row],[PerformanceRating]],Table17[PerformanceRating],Table17[Deskripsi])</f>
        <v>Excellent</v>
      </c>
      <c r="AP1105" t="str">
        <f>_xlfn.XLOOKUP(Table1[[#This Row],[RelationshipSatisfaction]],Table18[RelationshipSatisfaction],Table18[Id_RelationshipSatisfaction])</f>
        <v>RS003</v>
      </c>
      <c r="AQ1105">
        <v>3</v>
      </c>
      <c r="AR1105" t="str">
        <f>_xlfn.XLOOKUP(Table1[[#This Row],[RelationshipSatisfaction]],Table18[RelationshipSatisfaction],Table18[Deskripsi])</f>
        <v>High</v>
      </c>
      <c r="AS1105" t="str">
        <f>_xlfn.XLOOKUP(Table1[[#This Row],[StockOptionLevel]],Table19[StockOptionLevel],Table19[Id_StockOptionLevel])</f>
        <v>SOL002</v>
      </c>
      <c r="AT1105">
        <v>1</v>
      </c>
      <c r="AU1105" t="str">
        <f>_xlfn.XLOOKUP(Table1[[#This Row],[StockOptionLevel]],Table19[StockOptionLevel],Table19[Deskripsi])</f>
        <v>Standard</v>
      </c>
      <c r="AV1105">
        <v>18</v>
      </c>
      <c r="AW1105">
        <v>2</v>
      </c>
      <c r="AX1105" t="str">
        <f>_xlfn.XLOOKUP(Table1[[#This Row],[WorkLifeBalance]],Table20[WorkLifeBalance],Table20[Id_WorkLifeBalance])</f>
        <v>WLB002</v>
      </c>
      <c r="AY1105">
        <v>3</v>
      </c>
      <c r="AZ1105" t="str">
        <f>_xlfn.XLOOKUP(Table1[[#This Row],[WorkLifeBalance]],Table20[WorkLifeBalance],Table20[Deskripsi])</f>
        <v>Good</v>
      </c>
      <c r="BA1105">
        <v>8</v>
      </c>
      <c r="BB1105">
        <v>7</v>
      </c>
      <c r="BC1105">
        <v>7</v>
      </c>
      <c r="BD1105">
        <v>7</v>
      </c>
    </row>
    <row r="1106" spans="1:56" x14ac:dyDescent="0.25">
      <c r="A1106">
        <v>29</v>
      </c>
      <c r="B1106" t="str">
        <f>_xlfn.XLOOKUP(Table1[[#This Row],[Attrition]],Table2[Attrition],Table2[Id_Attrition])</f>
        <v>A002</v>
      </c>
      <c r="C1106" t="s">
        <v>33</v>
      </c>
      <c r="D1106" t="str">
        <f>_xlfn.XLOOKUP(Table1[[#This Row],[BusinessTravel]],Table5[BusinessTravel],Table5[Id_BusinessTravel])</f>
        <v>BS001</v>
      </c>
      <c r="E1106" t="s">
        <v>34</v>
      </c>
      <c r="F1106">
        <v>598</v>
      </c>
      <c r="G1106" t="str">
        <f>_xlfn.XLOOKUP(Table1[[#This Row],[Department]],Table6[Department],Table6[Id_Departement])</f>
        <v>D002</v>
      </c>
      <c r="H1106" t="s">
        <v>38</v>
      </c>
      <c r="I1106">
        <v>9</v>
      </c>
      <c r="J1106" t="str">
        <f>_xlfn.XLOOKUP(Table1[[#This Row],[Education]],Table8[Education],Table8[Id_Education])</f>
        <v>E003</v>
      </c>
      <c r="K1106">
        <v>3</v>
      </c>
      <c r="L1106" t="str">
        <f>_xlfn.XLOOKUP(Table1[[#This Row],[EducationField]],Table7[EducationField],Table7[Id_EducationField])</f>
        <v>EF001</v>
      </c>
      <c r="M1106" t="s">
        <v>40</v>
      </c>
      <c r="N1106" t="str">
        <f>_xlfn.XLOOKUP(Table1[[#This Row],[EmployeeNumber]],Table4[EmployeeNumber],Table4[Id_Employee])</f>
        <v>EMP01105</v>
      </c>
      <c r="O1106">
        <v>1558</v>
      </c>
      <c r="P1106" t="str">
        <f>_xlfn.XLOOKUP(Table1[[#This Row],[EnvironmentSatisfaction]],Table9[EnvironmentSatisfaction],Table9[Id_EnviromentSatisfaction])</f>
        <v>ES003</v>
      </c>
      <c r="Q1106">
        <v>3</v>
      </c>
      <c r="R1106" t="str">
        <f>_xlfn.XLOOKUP(Table1[[#This Row],[EnvironmentSatisfaction]],Table9[EnvironmentSatisfaction],Table9[Deskripsi])</f>
        <v>High</v>
      </c>
      <c r="S1106" t="str">
        <f>_xlfn.XLOOKUP(Table1[[#This Row],[Gender]],Table10[Gender],Table10[Id_Gender])</f>
        <v>G002</v>
      </c>
      <c r="T1106" t="s">
        <v>46</v>
      </c>
      <c r="U1106">
        <v>91</v>
      </c>
      <c r="V1106" t="str">
        <f>_xlfn.XLOOKUP(Table1[[#This Row],[JobInvolvement]],Table11[JobInvolvement],Table11[Id_JobInvolvement])</f>
        <v>JI004</v>
      </c>
      <c r="W1106">
        <v>4</v>
      </c>
      <c r="X1106" t="str">
        <f>_xlfn.XLOOKUP(Table1[[#This Row],[JobLevel]],Table12[JobLevel],Table12[Id_JobLevel])</f>
        <v>JL001</v>
      </c>
      <c r="Y1106">
        <v>1</v>
      </c>
      <c r="Z1106" t="str">
        <f>_xlfn.XLOOKUP(Table1[[#This Row],[JobRole]],Table13[JobRole],Table13[Id_JobRole])</f>
        <v>JR002</v>
      </c>
      <c r="AA1106" t="s">
        <v>48</v>
      </c>
      <c r="AB1106" t="str">
        <f>_xlfn.XLOOKUP(Table1[[#This Row],[JobSatisfaction]],Table14[JobSatisfaction],Table14[Id_JobSatisfaction])</f>
        <v>JS003</v>
      </c>
      <c r="AC1106">
        <v>3</v>
      </c>
      <c r="AD1106" t="str">
        <f>_xlfn.XLOOKUP(Table1[[#This Row],[JobSatisfaction]],Table14[JobSatisfaction],Table14[Deskripsi])</f>
        <v>High</v>
      </c>
      <c r="AE1106" t="str">
        <f>_xlfn.XLOOKUP(Table1[[#This Row],[MaritalStatus]],Table15[MaritalStatus],Table15[Id_MaritalStatus])</f>
        <v>MS002</v>
      </c>
      <c r="AF1106" t="s">
        <v>56</v>
      </c>
      <c r="AG1106">
        <v>2451</v>
      </c>
      <c r="AH1106">
        <v>22376</v>
      </c>
      <c r="AI1106">
        <v>6</v>
      </c>
      <c r="AJ1106" t="str">
        <f>_xlfn.XLOOKUP(Table1[[#This Row],[OverTime]],Table16[OverTime],Table16[Id_OverTime])</f>
        <v>OT002</v>
      </c>
      <c r="AK1106" t="s">
        <v>33</v>
      </c>
      <c r="AL1106">
        <v>18</v>
      </c>
      <c r="AM1106" t="str">
        <f>_xlfn.XLOOKUP(Table1[[#This Row],[PerformanceRating]],Table17[PerformanceRating],Table17[Id_PerformanceRating])</f>
        <v>PR003</v>
      </c>
      <c r="AN1106">
        <v>3</v>
      </c>
      <c r="AO1106" t="str">
        <f>_xlfn.XLOOKUP(Table1[[#This Row],[PerformanceRating]],Table17[PerformanceRating],Table17[Deskripsi])</f>
        <v>Excellent</v>
      </c>
      <c r="AP1106" t="str">
        <f>_xlfn.XLOOKUP(Table1[[#This Row],[RelationshipSatisfaction]],Table18[RelationshipSatisfaction],Table18[Id_RelationshipSatisfaction])</f>
        <v>RS001</v>
      </c>
      <c r="AQ1106">
        <v>1</v>
      </c>
      <c r="AR1106" t="str">
        <f>_xlfn.XLOOKUP(Table1[[#This Row],[RelationshipSatisfaction]],Table18[RelationshipSatisfaction],Table18[Deskripsi])</f>
        <v>Low</v>
      </c>
      <c r="AS1106" t="str">
        <f>_xlfn.XLOOKUP(Table1[[#This Row],[StockOptionLevel]],Table19[StockOptionLevel],Table19[Id_StockOptionLevel])</f>
        <v>SOL003</v>
      </c>
      <c r="AT1106">
        <v>2</v>
      </c>
      <c r="AU1106" t="str">
        <f>_xlfn.XLOOKUP(Table1[[#This Row],[StockOptionLevel]],Table19[StockOptionLevel],Table19[Deskripsi])</f>
        <v>Intermediate</v>
      </c>
      <c r="AV1106">
        <v>5</v>
      </c>
      <c r="AW1106">
        <v>2</v>
      </c>
      <c r="AX1106" t="str">
        <f>_xlfn.XLOOKUP(Table1[[#This Row],[WorkLifeBalance]],Table20[WorkLifeBalance],Table20[Id_WorkLifeBalance])</f>
        <v>WLB003</v>
      </c>
      <c r="AY1106">
        <v>2</v>
      </c>
      <c r="AZ1106" t="str">
        <f>_xlfn.XLOOKUP(Table1[[#This Row],[WorkLifeBalance]],Table20[WorkLifeBalance],Table20[Deskripsi])</f>
        <v>Better</v>
      </c>
      <c r="BA1106">
        <v>1</v>
      </c>
      <c r="BB1106">
        <v>0</v>
      </c>
      <c r="BC1106">
        <v>0</v>
      </c>
      <c r="BD1106">
        <v>0</v>
      </c>
    </row>
    <row r="1107" spans="1:56" x14ac:dyDescent="0.25">
      <c r="A1107">
        <v>33</v>
      </c>
      <c r="B1107" t="str">
        <f>_xlfn.XLOOKUP(Table1[[#This Row],[Attrition]],Table2[Attrition],Table2[Id_Attrition])</f>
        <v>A002</v>
      </c>
      <c r="C1107" t="s">
        <v>33</v>
      </c>
      <c r="D1107" t="str">
        <f>_xlfn.XLOOKUP(Table1[[#This Row],[BusinessTravel]],Table5[BusinessTravel],Table5[Id_BusinessTravel])</f>
        <v>BS001</v>
      </c>
      <c r="E1107" t="s">
        <v>34</v>
      </c>
      <c r="F1107">
        <v>1242</v>
      </c>
      <c r="G1107" t="str">
        <f>_xlfn.XLOOKUP(Table1[[#This Row],[Department]],Table6[Department],Table6[Id_Departement])</f>
        <v>D001</v>
      </c>
      <c r="H1107" t="s">
        <v>37</v>
      </c>
      <c r="I1107">
        <v>8</v>
      </c>
      <c r="J1107" t="str">
        <f>_xlfn.XLOOKUP(Table1[[#This Row],[Education]],Table8[Education],Table8[Id_Education])</f>
        <v>E004</v>
      </c>
      <c r="K1107">
        <v>4</v>
      </c>
      <c r="L1107" t="str">
        <f>_xlfn.XLOOKUP(Table1[[#This Row],[EducationField]],Table7[EducationField],Table7[Id_EducationField])</f>
        <v>EF001</v>
      </c>
      <c r="M1107" t="s">
        <v>40</v>
      </c>
      <c r="N1107" t="str">
        <f>_xlfn.XLOOKUP(Table1[[#This Row],[EmployeeNumber]],Table4[EmployeeNumber],Table4[Id_Employee])</f>
        <v>EMP01106</v>
      </c>
      <c r="O1107">
        <v>1560</v>
      </c>
      <c r="P1107" t="str">
        <f>_xlfn.XLOOKUP(Table1[[#This Row],[EnvironmentSatisfaction]],Table9[EnvironmentSatisfaction],Table9[Id_EnviromentSatisfaction])</f>
        <v>ES001</v>
      </c>
      <c r="Q1107">
        <v>1</v>
      </c>
      <c r="R1107" t="str">
        <f>_xlfn.XLOOKUP(Table1[[#This Row],[EnvironmentSatisfaction]],Table9[EnvironmentSatisfaction],Table9[Deskripsi])</f>
        <v>Low</v>
      </c>
      <c r="S1107" t="str">
        <f>_xlfn.XLOOKUP(Table1[[#This Row],[Gender]],Table10[Gender],Table10[Id_Gender])</f>
        <v>G002</v>
      </c>
      <c r="T1107" t="s">
        <v>46</v>
      </c>
      <c r="U1107">
        <v>46</v>
      </c>
      <c r="V1107" t="str">
        <f>_xlfn.XLOOKUP(Table1[[#This Row],[JobInvolvement]],Table11[JobInvolvement],Table11[Id_JobInvolvement])</f>
        <v>JI003</v>
      </c>
      <c r="W1107">
        <v>3</v>
      </c>
      <c r="X1107" t="str">
        <f>_xlfn.XLOOKUP(Table1[[#This Row],[JobLevel]],Table12[JobLevel],Table12[Id_JobLevel])</f>
        <v>JL002</v>
      </c>
      <c r="Y1107">
        <v>2</v>
      </c>
      <c r="Z1107" t="str">
        <f>_xlfn.XLOOKUP(Table1[[#This Row],[JobRole]],Table13[JobRole],Table13[Id_JobRole])</f>
        <v>JR001</v>
      </c>
      <c r="AA1107" t="s">
        <v>47</v>
      </c>
      <c r="AB1107" t="str">
        <f>_xlfn.XLOOKUP(Table1[[#This Row],[JobSatisfaction]],Table14[JobSatisfaction],Table14[Id_JobSatisfaction])</f>
        <v>JS001</v>
      </c>
      <c r="AC1107">
        <v>1</v>
      </c>
      <c r="AD1107" t="str">
        <f>_xlfn.XLOOKUP(Table1[[#This Row],[JobSatisfaction]],Table14[JobSatisfaction],Table14[Deskripsi])</f>
        <v>Low</v>
      </c>
      <c r="AE1107" t="str">
        <f>_xlfn.XLOOKUP(Table1[[#This Row],[MaritalStatus]],Table15[MaritalStatus],Table15[Id_MaritalStatus])</f>
        <v>MS002</v>
      </c>
      <c r="AF1107" t="s">
        <v>56</v>
      </c>
      <c r="AG1107">
        <v>6392</v>
      </c>
      <c r="AH1107">
        <v>10589</v>
      </c>
      <c r="AI1107">
        <v>2</v>
      </c>
      <c r="AJ1107" t="str">
        <f>_xlfn.XLOOKUP(Table1[[#This Row],[OverTime]],Table16[OverTime],Table16[Id_OverTime])</f>
        <v>OT002</v>
      </c>
      <c r="AK1107" t="s">
        <v>33</v>
      </c>
      <c r="AL1107">
        <v>13</v>
      </c>
      <c r="AM1107" t="str">
        <f>_xlfn.XLOOKUP(Table1[[#This Row],[PerformanceRating]],Table17[PerformanceRating],Table17[Id_PerformanceRating])</f>
        <v>PR003</v>
      </c>
      <c r="AN1107">
        <v>3</v>
      </c>
      <c r="AO1107" t="str">
        <f>_xlfn.XLOOKUP(Table1[[#This Row],[PerformanceRating]],Table17[PerformanceRating],Table17[Deskripsi])</f>
        <v>Excellent</v>
      </c>
      <c r="AP1107" t="str">
        <f>_xlfn.XLOOKUP(Table1[[#This Row],[RelationshipSatisfaction]],Table18[RelationshipSatisfaction],Table18[Id_RelationshipSatisfaction])</f>
        <v>RS004</v>
      </c>
      <c r="AQ1107">
        <v>4</v>
      </c>
      <c r="AR1107" t="str">
        <f>_xlfn.XLOOKUP(Table1[[#This Row],[RelationshipSatisfaction]],Table18[RelationshipSatisfaction],Table18[Deskripsi])</f>
        <v>Very High</v>
      </c>
      <c r="AS1107" t="str">
        <f>_xlfn.XLOOKUP(Table1[[#This Row],[StockOptionLevel]],Table19[StockOptionLevel],Table19[Id_StockOptionLevel])</f>
        <v>SOL002</v>
      </c>
      <c r="AT1107">
        <v>1</v>
      </c>
      <c r="AU1107" t="str">
        <f>_xlfn.XLOOKUP(Table1[[#This Row],[StockOptionLevel]],Table19[StockOptionLevel],Table19[Deskripsi])</f>
        <v>Standard</v>
      </c>
      <c r="AV1107">
        <v>8</v>
      </c>
      <c r="AW1107">
        <v>6</v>
      </c>
      <c r="AX1107" t="str">
        <f>_xlfn.XLOOKUP(Table1[[#This Row],[WorkLifeBalance]],Table20[WorkLifeBalance],Table20[Id_WorkLifeBalance])</f>
        <v>WLB001</v>
      </c>
      <c r="AY1107">
        <v>1</v>
      </c>
      <c r="AZ1107" t="str">
        <f>_xlfn.XLOOKUP(Table1[[#This Row],[WorkLifeBalance]],Table20[WorkLifeBalance],Table20[Deskripsi])</f>
        <v>Bad</v>
      </c>
      <c r="BA1107">
        <v>2</v>
      </c>
      <c r="BB1107">
        <v>2</v>
      </c>
      <c r="BC1107">
        <v>2</v>
      </c>
      <c r="BD1107">
        <v>2</v>
      </c>
    </row>
    <row r="1108" spans="1:56" x14ac:dyDescent="0.25">
      <c r="A1108">
        <v>30</v>
      </c>
      <c r="B1108" t="str">
        <f>_xlfn.XLOOKUP(Table1[[#This Row],[Attrition]],Table2[Attrition],Table2[Id_Attrition])</f>
        <v>A001</v>
      </c>
      <c r="C1108" t="s">
        <v>32</v>
      </c>
      <c r="D1108" t="str">
        <f>_xlfn.XLOOKUP(Table1[[#This Row],[BusinessTravel]],Table5[BusinessTravel],Table5[Id_BusinessTravel])</f>
        <v>BS001</v>
      </c>
      <c r="E1108" t="s">
        <v>34</v>
      </c>
      <c r="F1108">
        <v>740</v>
      </c>
      <c r="G1108" t="str">
        <f>_xlfn.XLOOKUP(Table1[[#This Row],[Department]],Table6[Department],Table6[Id_Departement])</f>
        <v>D001</v>
      </c>
      <c r="H1108" t="s">
        <v>37</v>
      </c>
      <c r="I1108">
        <v>1</v>
      </c>
      <c r="J1108" t="str">
        <f>_xlfn.XLOOKUP(Table1[[#This Row],[Education]],Table8[Education],Table8[Id_Education])</f>
        <v>E003</v>
      </c>
      <c r="K1108">
        <v>3</v>
      </c>
      <c r="L1108" t="str">
        <f>_xlfn.XLOOKUP(Table1[[#This Row],[EducationField]],Table7[EducationField],Table7[Id_EducationField])</f>
        <v>EF001</v>
      </c>
      <c r="M1108" t="s">
        <v>40</v>
      </c>
      <c r="N1108" t="str">
        <f>_xlfn.XLOOKUP(Table1[[#This Row],[EmployeeNumber]],Table4[EmployeeNumber],Table4[Id_Employee])</f>
        <v>EMP01107</v>
      </c>
      <c r="O1108">
        <v>1562</v>
      </c>
      <c r="P1108" t="str">
        <f>_xlfn.XLOOKUP(Table1[[#This Row],[EnvironmentSatisfaction]],Table9[EnvironmentSatisfaction],Table9[Id_EnviromentSatisfaction])</f>
        <v>ES002</v>
      </c>
      <c r="Q1108">
        <v>2</v>
      </c>
      <c r="R1108" t="str">
        <f>_xlfn.XLOOKUP(Table1[[#This Row],[EnvironmentSatisfaction]],Table9[EnvironmentSatisfaction],Table9[Deskripsi])</f>
        <v>Medium</v>
      </c>
      <c r="S1108" t="str">
        <f>_xlfn.XLOOKUP(Table1[[#This Row],[Gender]],Table10[Gender],Table10[Id_Gender])</f>
        <v>G002</v>
      </c>
      <c r="T1108" t="s">
        <v>46</v>
      </c>
      <c r="U1108">
        <v>64</v>
      </c>
      <c r="V1108" t="str">
        <f>_xlfn.XLOOKUP(Table1[[#This Row],[JobInvolvement]],Table11[JobInvolvement],Table11[Id_JobInvolvement])</f>
        <v>JI002</v>
      </c>
      <c r="W1108">
        <v>2</v>
      </c>
      <c r="X1108" t="str">
        <f>_xlfn.XLOOKUP(Table1[[#This Row],[JobLevel]],Table12[JobLevel],Table12[Id_JobLevel])</f>
        <v>JL002</v>
      </c>
      <c r="Y1108">
        <v>2</v>
      </c>
      <c r="Z1108" t="str">
        <f>_xlfn.XLOOKUP(Table1[[#This Row],[JobRole]],Table13[JobRole],Table13[Id_JobRole])</f>
        <v>JR001</v>
      </c>
      <c r="AA1108" t="s">
        <v>47</v>
      </c>
      <c r="AB1108" t="str">
        <f>_xlfn.XLOOKUP(Table1[[#This Row],[JobSatisfaction]],Table14[JobSatisfaction],Table14[Id_JobSatisfaction])</f>
        <v>JS001</v>
      </c>
      <c r="AC1108">
        <v>1</v>
      </c>
      <c r="AD1108" t="str">
        <f>_xlfn.XLOOKUP(Table1[[#This Row],[JobSatisfaction]],Table14[JobSatisfaction],Table14[Deskripsi])</f>
        <v>Low</v>
      </c>
      <c r="AE1108" t="str">
        <f>_xlfn.XLOOKUP(Table1[[#This Row],[MaritalStatus]],Table15[MaritalStatus],Table15[Id_MaritalStatus])</f>
        <v>MS002</v>
      </c>
      <c r="AF1108" t="s">
        <v>56</v>
      </c>
      <c r="AG1108">
        <v>9714</v>
      </c>
      <c r="AH1108">
        <v>5323</v>
      </c>
      <c r="AI1108">
        <v>1</v>
      </c>
      <c r="AJ1108" t="str">
        <f>_xlfn.XLOOKUP(Table1[[#This Row],[OverTime]],Table16[OverTime],Table16[Id_OverTime])</f>
        <v>OT002</v>
      </c>
      <c r="AK1108" t="s">
        <v>33</v>
      </c>
      <c r="AL1108">
        <v>11</v>
      </c>
      <c r="AM1108" t="str">
        <f>_xlfn.XLOOKUP(Table1[[#This Row],[PerformanceRating]],Table17[PerformanceRating],Table17[Id_PerformanceRating])</f>
        <v>PR003</v>
      </c>
      <c r="AN1108">
        <v>3</v>
      </c>
      <c r="AO1108" t="str">
        <f>_xlfn.XLOOKUP(Table1[[#This Row],[PerformanceRating]],Table17[PerformanceRating],Table17[Deskripsi])</f>
        <v>Excellent</v>
      </c>
      <c r="AP1108" t="str">
        <f>_xlfn.XLOOKUP(Table1[[#This Row],[RelationshipSatisfaction]],Table18[RelationshipSatisfaction],Table18[Id_RelationshipSatisfaction])</f>
        <v>RS004</v>
      </c>
      <c r="AQ1108">
        <v>4</v>
      </c>
      <c r="AR1108" t="str">
        <f>_xlfn.XLOOKUP(Table1[[#This Row],[RelationshipSatisfaction]],Table18[RelationshipSatisfaction],Table18[Deskripsi])</f>
        <v>Very High</v>
      </c>
      <c r="AS1108" t="str">
        <f>_xlfn.XLOOKUP(Table1[[#This Row],[StockOptionLevel]],Table19[StockOptionLevel],Table19[Id_StockOptionLevel])</f>
        <v>SOL002</v>
      </c>
      <c r="AT1108">
        <v>1</v>
      </c>
      <c r="AU1108" t="str">
        <f>_xlfn.XLOOKUP(Table1[[#This Row],[StockOptionLevel]],Table19[StockOptionLevel],Table19[Deskripsi])</f>
        <v>Standard</v>
      </c>
      <c r="AV1108">
        <v>10</v>
      </c>
      <c r="AW1108">
        <v>4</v>
      </c>
      <c r="AX1108" t="str">
        <f>_xlfn.XLOOKUP(Table1[[#This Row],[WorkLifeBalance]],Table20[WorkLifeBalance],Table20[Id_WorkLifeBalance])</f>
        <v>WLB002</v>
      </c>
      <c r="AY1108">
        <v>3</v>
      </c>
      <c r="AZ1108" t="str">
        <f>_xlfn.XLOOKUP(Table1[[#This Row],[WorkLifeBalance]],Table20[WorkLifeBalance],Table20[Deskripsi])</f>
        <v>Good</v>
      </c>
      <c r="BA1108">
        <v>10</v>
      </c>
      <c r="BB1108">
        <v>8</v>
      </c>
      <c r="BC1108">
        <v>6</v>
      </c>
      <c r="BD1108">
        <v>7</v>
      </c>
    </row>
    <row r="1109" spans="1:56" x14ac:dyDescent="0.25">
      <c r="A1109">
        <v>38</v>
      </c>
      <c r="B1109" t="str">
        <f>_xlfn.XLOOKUP(Table1[[#This Row],[Attrition]],Table2[Attrition],Table2[Id_Attrition])</f>
        <v>A002</v>
      </c>
      <c r="C1109" t="s">
        <v>33</v>
      </c>
      <c r="D1109" t="str">
        <f>_xlfn.XLOOKUP(Table1[[#This Row],[BusinessTravel]],Table5[BusinessTravel],Table5[Id_BusinessTravel])</f>
        <v>BS002</v>
      </c>
      <c r="E1109" t="s">
        <v>35</v>
      </c>
      <c r="F1109">
        <v>888</v>
      </c>
      <c r="G1109" t="str">
        <f>_xlfn.XLOOKUP(Table1[[#This Row],[Department]],Table6[Department],Table6[Id_Departement])</f>
        <v>D003</v>
      </c>
      <c r="H1109" t="s">
        <v>39</v>
      </c>
      <c r="I1109">
        <v>10</v>
      </c>
      <c r="J1109" t="str">
        <f>_xlfn.XLOOKUP(Table1[[#This Row],[Education]],Table8[Education],Table8[Id_Education])</f>
        <v>E004</v>
      </c>
      <c r="K1109">
        <v>4</v>
      </c>
      <c r="L1109" t="str">
        <f>_xlfn.XLOOKUP(Table1[[#This Row],[EducationField]],Table7[EducationField],Table7[Id_EducationField])</f>
        <v>EF006</v>
      </c>
      <c r="M1109" t="s">
        <v>39</v>
      </c>
      <c r="N1109" t="str">
        <f>_xlfn.XLOOKUP(Table1[[#This Row],[EmployeeNumber]],Table4[EmployeeNumber],Table4[Id_Employee])</f>
        <v>EMP01108</v>
      </c>
      <c r="O1109">
        <v>1563</v>
      </c>
      <c r="P1109" t="str">
        <f>_xlfn.XLOOKUP(Table1[[#This Row],[EnvironmentSatisfaction]],Table9[EnvironmentSatisfaction],Table9[Id_EnviromentSatisfaction])</f>
        <v>ES003</v>
      </c>
      <c r="Q1109">
        <v>3</v>
      </c>
      <c r="R1109" t="str">
        <f>_xlfn.XLOOKUP(Table1[[#This Row],[EnvironmentSatisfaction]],Table9[EnvironmentSatisfaction],Table9[Deskripsi])</f>
        <v>High</v>
      </c>
      <c r="S1109" t="str">
        <f>_xlfn.XLOOKUP(Table1[[#This Row],[Gender]],Table10[Gender],Table10[Id_Gender])</f>
        <v>G002</v>
      </c>
      <c r="T1109" t="s">
        <v>46</v>
      </c>
      <c r="U1109">
        <v>71</v>
      </c>
      <c r="V1109" t="str">
        <f>_xlfn.XLOOKUP(Table1[[#This Row],[JobInvolvement]],Table11[JobInvolvement],Table11[Id_JobInvolvement])</f>
        <v>JI003</v>
      </c>
      <c r="W1109">
        <v>3</v>
      </c>
      <c r="X1109" t="str">
        <f>_xlfn.XLOOKUP(Table1[[#This Row],[JobLevel]],Table12[JobLevel],Table12[Id_JobLevel])</f>
        <v>JL002</v>
      </c>
      <c r="Y1109">
        <v>2</v>
      </c>
      <c r="Z1109" t="str">
        <f>_xlfn.XLOOKUP(Table1[[#This Row],[JobRole]],Table13[JobRole],Table13[Id_JobRole])</f>
        <v>JR009</v>
      </c>
      <c r="AA1109" t="s">
        <v>39</v>
      </c>
      <c r="AB1109" t="str">
        <f>_xlfn.XLOOKUP(Table1[[#This Row],[JobSatisfaction]],Table14[JobSatisfaction],Table14[Id_JobSatisfaction])</f>
        <v>JS003</v>
      </c>
      <c r="AC1109">
        <v>3</v>
      </c>
      <c r="AD1109" t="str">
        <f>_xlfn.XLOOKUP(Table1[[#This Row],[JobSatisfaction]],Table14[JobSatisfaction],Table14[Deskripsi])</f>
        <v>High</v>
      </c>
      <c r="AE1109" t="str">
        <f>_xlfn.XLOOKUP(Table1[[#This Row],[MaritalStatus]],Table15[MaritalStatus],Table15[Id_MaritalStatus])</f>
        <v>MS002</v>
      </c>
      <c r="AF1109" t="s">
        <v>56</v>
      </c>
      <c r="AG1109">
        <v>6077</v>
      </c>
      <c r="AH1109">
        <v>14814</v>
      </c>
      <c r="AI1109">
        <v>3</v>
      </c>
      <c r="AJ1109" t="str">
        <f>_xlfn.XLOOKUP(Table1[[#This Row],[OverTime]],Table16[OverTime],Table16[Id_OverTime])</f>
        <v>OT002</v>
      </c>
      <c r="AK1109" t="s">
        <v>33</v>
      </c>
      <c r="AL1109">
        <v>11</v>
      </c>
      <c r="AM1109" t="str">
        <f>_xlfn.XLOOKUP(Table1[[#This Row],[PerformanceRating]],Table17[PerformanceRating],Table17[Id_PerformanceRating])</f>
        <v>PR003</v>
      </c>
      <c r="AN1109">
        <v>3</v>
      </c>
      <c r="AO1109" t="str">
        <f>_xlfn.XLOOKUP(Table1[[#This Row],[PerformanceRating]],Table17[PerformanceRating],Table17[Deskripsi])</f>
        <v>Excellent</v>
      </c>
      <c r="AP1109" t="str">
        <f>_xlfn.XLOOKUP(Table1[[#This Row],[RelationshipSatisfaction]],Table18[RelationshipSatisfaction],Table18[Id_RelationshipSatisfaction])</f>
        <v>RS003</v>
      </c>
      <c r="AQ1109">
        <v>3</v>
      </c>
      <c r="AR1109" t="str">
        <f>_xlfn.XLOOKUP(Table1[[#This Row],[RelationshipSatisfaction]],Table18[RelationshipSatisfaction],Table18[Deskripsi])</f>
        <v>High</v>
      </c>
      <c r="AS1109" t="str">
        <f>_xlfn.XLOOKUP(Table1[[#This Row],[StockOptionLevel]],Table19[StockOptionLevel],Table19[Id_StockOptionLevel])</f>
        <v>SOL001</v>
      </c>
      <c r="AT1109">
        <v>0</v>
      </c>
      <c r="AU1109" t="str">
        <f>_xlfn.XLOOKUP(Table1[[#This Row],[StockOptionLevel]],Table19[StockOptionLevel],Table19[Deskripsi])</f>
        <v>Non-Eligible</v>
      </c>
      <c r="AV1109">
        <v>10</v>
      </c>
      <c r="AW1109">
        <v>2</v>
      </c>
      <c r="AX1109" t="str">
        <f>_xlfn.XLOOKUP(Table1[[#This Row],[WorkLifeBalance]],Table20[WorkLifeBalance],Table20[Id_WorkLifeBalance])</f>
        <v>WLB002</v>
      </c>
      <c r="AY1109">
        <v>3</v>
      </c>
      <c r="AZ1109" t="str">
        <f>_xlfn.XLOOKUP(Table1[[#This Row],[WorkLifeBalance]],Table20[WorkLifeBalance],Table20[Deskripsi])</f>
        <v>Good</v>
      </c>
      <c r="BA1109">
        <v>6</v>
      </c>
      <c r="BB1109">
        <v>3</v>
      </c>
      <c r="BC1109">
        <v>1</v>
      </c>
      <c r="BD1109">
        <v>2</v>
      </c>
    </row>
    <row r="1110" spans="1:56" x14ac:dyDescent="0.25">
      <c r="A1110">
        <v>35</v>
      </c>
      <c r="B1110" t="str">
        <f>_xlfn.XLOOKUP(Table1[[#This Row],[Attrition]],Table2[Attrition],Table2[Id_Attrition])</f>
        <v>A002</v>
      </c>
      <c r="C1110" t="s">
        <v>33</v>
      </c>
      <c r="D1110" t="str">
        <f>_xlfn.XLOOKUP(Table1[[#This Row],[BusinessTravel]],Table5[BusinessTravel],Table5[Id_BusinessTravel])</f>
        <v>BS001</v>
      </c>
      <c r="E1110" t="s">
        <v>34</v>
      </c>
      <c r="F1110">
        <v>992</v>
      </c>
      <c r="G1110" t="str">
        <f>_xlfn.XLOOKUP(Table1[[#This Row],[Department]],Table6[Department],Table6[Id_Departement])</f>
        <v>D002</v>
      </c>
      <c r="H1110" t="s">
        <v>38</v>
      </c>
      <c r="I1110">
        <v>1</v>
      </c>
      <c r="J1110" t="str">
        <f>_xlfn.XLOOKUP(Table1[[#This Row],[Education]],Table8[Education],Table8[Id_Education])</f>
        <v>E003</v>
      </c>
      <c r="K1110">
        <v>3</v>
      </c>
      <c r="L1110" t="str">
        <f>_xlfn.XLOOKUP(Table1[[#This Row],[EducationField]],Table7[EducationField],Table7[Id_EducationField])</f>
        <v>EF003</v>
      </c>
      <c r="M1110" t="s">
        <v>42</v>
      </c>
      <c r="N1110" t="str">
        <f>_xlfn.XLOOKUP(Table1[[#This Row],[EmployeeNumber]],Table4[EmployeeNumber],Table4[Id_Employee])</f>
        <v>EMP01109</v>
      </c>
      <c r="O1110">
        <v>1564</v>
      </c>
      <c r="P1110" t="str">
        <f>_xlfn.XLOOKUP(Table1[[#This Row],[EnvironmentSatisfaction]],Table9[EnvironmentSatisfaction],Table9[Id_EnviromentSatisfaction])</f>
        <v>ES004</v>
      </c>
      <c r="Q1110">
        <v>4</v>
      </c>
      <c r="R1110" t="str">
        <f>_xlfn.XLOOKUP(Table1[[#This Row],[EnvironmentSatisfaction]],Table9[EnvironmentSatisfaction],Table9[Deskripsi])</f>
        <v>Very High</v>
      </c>
      <c r="S1110" t="str">
        <f>_xlfn.XLOOKUP(Table1[[#This Row],[Gender]],Table10[Gender],Table10[Id_Gender])</f>
        <v>G002</v>
      </c>
      <c r="T1110" t="s">
        <v>46</v>
      </c>
      <c r="U1110">
        <v>68</v>
      </c>
      <c r="V1110" t="str">
        <f>_xlfn.XLOOKUP(Table1[[#This Row],[JobInvolvement]],Table11[JobInvolvement],Table11[Id_JobInvolvement])</f>
        <v>JI002</v>
      </c>
      <c r="W1110">
        <v>2</v>
      </c>
      <c r="X1110" t="str">
        <f>_xlfn.XLOOKUP(Table1[[#This Row],[JobLevel]],Table12[JobLevel],Table12[Id_JobLevel])</f>
        <v>JL001</v>
      </c>
      <c r="Y1110">
        <v>1</v>
      </c>
      <c r="Z1110" t="str">
        <f>_xlfn.XLOOKUP(Table1[[#This Row],[JobRole]],Table13[JobRole],Table13[Id_JobRole])</f>
        <v>JR003</v>
      </c>
      <c r="AA1110" t="s">
        <v>49</v>
      </c>
      <c r="AB1110" t="str">
        <f>_xlfn.XLOOKUP(Table1[[#This Row],[JobSatisfaction]],Table14[JobSatisfaction],Table14[Id_JobSatisfaction])</f>
        <v>JS001</v>
      </c>
      <c r="AC1110">
        <v>1</v>
      </c>
      <c r="AD1110" t="str">
        <f>_xlfn.XLOOKUP(Table1[[#This Row],[JobSatisfaction]],Table14[JobSatisfaction],Table14[Deskripsi])</f>
        <v>Low</v>
      </c>
      <c r="AE1110" t="str">
        <f>_xlfn.XLOOKUP(Table1[[#This Row],[MaritalStatus]],Table15[MaritalStatus],Table15[Id_MaritalStatus])</f>
        <v>MS001</v>
      </c>
      <c r="AF1110" t="s">
        <v>55</v>
      </c>
      <c r="AG1110">
        <v>2450</v>
      </c>
      <c r="AH1110">
        <v>21731</v>
      </c>
      <c r="AI1110">
        <v>1</v>
      </c>
      <c r="AJ1110" t="str">
        <f>_xlfn.XLOOKUP(Table1[[#This Row],[OverTime]],Table16[OverTime],Table16[Id_OverTime])</f>
        <v>OT002</v>
      </c>
      <c r="AK1110" t="s">
        <v>33</v>
      </c>
      <c r="AL1110">
        <v>19</v>
      </c>
      <c r="AM1110" t="str">
        <f>_xlfn.XLOOKUP(Table1[[#This Row],[PerformanceRating]],Table17[PerformanceRating],Table17[Id_PerformanceRating])</f>
        <v>PR003</v>
      </c>
      <c r="AN1110">
        <v>3</v>
      </c>
      <c r="AO1110" t="str">
        <f>_xlfn.XLOOKUP(Table1[[#This Row],[PerformanceRating]],Table17[PerformanceRating],Table17[Deskripsi])</f>
        <v>Excellent</v>
      </c>
      <c r="AP1110" t="str">
        <f>_xlfn.XLOOKUP(Table1[[#This Row],[RelationshipSatisfaction]],Table18[RelationshipSatisfaction],Table18[Id_RelationshipSatisfaction])</f>
        <v>RS002</v>
      </c>
      <c r="AQ1110">
        <v>2</v>
      </c>
      <c r="AR1110" t="str">
        <f>_xlfn.XLOOKUP(Table1[[#This Row],[RelationshipSatisfaction]],Table18[RelationshipSatisfaction],Table18[Deskripsi])</f>
        <v>Medium</v>
      </c>
      <c r="AS1110" t="str">
        <f>_xlfn.XLOOKUP(Table1[[#This Row],[StockOptionLevel]],Table19[StockOptionLevel],Table19[Id_StockOptionLevel])</f>
        <v>SOL001</v>
      </c>
      <c r="AT1110">
        <v>0</v>
      </c>
      <c r="AU1110" t="str">
        <f>_xlfn.XLOOKUP(Table1[[#This Row],[StockOptionLevel]],Table19[StockOptionLevel],Table19[Deskripsi])</f>
        <v>Non-Eligible</v>
      </c>
      <c r="AV1110">
        <v>3</v>
      </c>
      <c r="AW1110">
        <v>3</v>
      </c>
      <c r="AX1110" t="str">
        <f>_xlfn.XLOOKUP(Table1[[#This Row],[WorkLifeBalance]],Table20[WorkLifeBalance],Table20[Id_WorkLifeBalance])</f>
        <v>WLB002</v>
      </c>
      <c r="AY1110">
        <v>3</v>
      </c>
      <c r="AZ1110" t="str">
        <f>_xlfn.XLOOKUP(Table1[[#This Row],[WorkLifeBalance]],Table20[WorkLifeBalance],Table20[Deskripsi])</f>
        <v>Good</v>
      </c>
      <c r="BA1110">
        <v>3</v>
      </c>
      <c r="BB1110">
        <v>0</v>
      </c>
      <c r="BC1110">
        <v>1</v>
      </c>
      <c r="BD1110">
        <v>2</v>
      </c>
    </row>
    <row r="1111" spans="1:56" x14ac:dyDescent="0.25">
      <c r="A1111">
        <v>30</v>
      </c>
      <c r="B1111" t="str">
        <f>_xlfn.XLOOKUP(Table1[[#This Row],[Attrition]],Table2[Attrition],Table2[Id_Attrition])</f>
        <v>A002</v>
      </c>
      <c r="C1111" t="s">
        <v>33</v>
      </c>
      <c r="D1111" t="str">
        <f>_xlfn.XLOOKUP(Table1[[#This Row],[BusinessTravel]],Table5[BusinessTravel],Table5[Id_BusinessTravel])</f>
        <v>BS001</v>
      </c>
      <c r="E1111" t="s">
        <v>34</v>
      </c>
      <c r="F1111">
        <v>1288</v>
      </c>
      <c r="G1111" t="str">
        <f>_xlfn.XLOOKUP(Table1[[#This Row],[Department]],Table6[Department],Table6[Id_Departement])</f>
        <v>D001</v>
      </c>
      <c r="H1111" t="s">
        <v>37</v>
      </c>
      <c r="I1111">
        <v>29</v>
      </c>
      <c r="J1111" t="str">
        <f>_xlfn.XLOOKUP(Table1[[#This Row],[Education]],Table8[Education],Table8[Id_Education])</f>
        <v>E004</v>
      </c>
      <c r="K1111">
        <v>4</v>
      </c>
      <c r="L1111" t="str">
        <f>_xlfn.XLOOKUP(Table1[[#This Row],[EducationField]],Table7[EducationField],Table7[Id_EducationField])</f>
        <v>EF005</v>
      </c>
      <c r="M1111" t="s">
        <v>44</v>
      </c>
      <c r="N1111" t="str">
        <f>_xlfn.XLOOKUP(Table1[[#This Row],[EmployeeNumber]],Table4[EmployeeNumber],Table4[Id_Employee])</f>
        <v>EMP01110</v>
      </c>
      <c r="O1111">
        <v>1568</v>
      </c>
      <c r="P1111" t="str">
        <f>_xlfn.XLOOKUP(Table1[[#This Row],[EnvironmentSatisfaction]],Table9[EnvironmentSatisfaction],Table9[Id_EnviromentSatisfaction])</f>
        <v>ES003</v>
      </c>
      <c r="Q1111">
        <v>3</v>
      </c>
      <c r="R1111" t="str">
        <f>_xlfn.XLOOKUP(Table1[[#This Row],[EnvironmentSatisfaction]],Table9[EnvironmentSatisfaction],Table9[Deskripsi])</f>
        <v>High</v>
      </c>
      <c r="S1111" t="str">
        <f>_xlfn.XLOOKUP(Table1[[#This Row],[Gender]],Table10[Gender],Table10[Id_Gender])</f>
        <v>G002</v>
      </c>
      <c r="T1111" t="s">
        <v>46</v>
      </c>
      <c r="U1111">
        <v>33</v>
      </c>
      <c r="V1111" t="str">
        <f>_xlfn.XLOOKUP(Table1[[#This Row],[JobInvolvement]],Table11[JobInvolvement],Table11[Id_JobInvolvement])</f>
        <v>JI003</v>
      </c>
      <c r="W1111">
        <v>3</v>
      </c>
      <c r="X1111" t="str">
        <f>_xlfn.XLOOKUP(Table1[[#This Row],[JobLevel]],Table12[JobLevel],Table12[Id_JobLevel])</f>
        <v>JL003</v>
      </c>
      <c r="Y1111">
        <v>3</v>
      </c>
      <c r="Z1111" t="str">
        <f>_xlfn.XLOOKUP(Table1[[#This Row],[JobRole]],Table13[JobRole],Table13[Id_JobRole])</f>
        <v>JR001</v>
      </c>
      <c r="AA1111" t="s">
        <v>47</v>
      </c>
      <c r="AB1111" t="str">
        <f>_xlfn.XLOOKUP(Table1[[#This Row],[JobSatisfaction]],Table14[JobSatisfaction],Table14[Id_JobSatisfaction])</f>
        <v>JS002</v>
      </c>
      <c r="AC1111">
        <v>2</v>
      </c>
      <c r="AD1111" t="str">
        <f>_xlfn.XLOOKUP(Table1[[#This Row],[JobSatisfaction]],Table14[JobSatisfaction],Table14[Deskripsi])</f>
        <v>Medium</v>
      </c>
      <c r="AE1111" t="str">
        <f>_xlfn.XLOOKUP(Table1[[#This Row],[MaritalStatus]],Table15[MaritalStatus],Table15[Id_MaritalStatus])</f>
        <v>MS002</v>
      </c>
      <c r="AF1111" t="s">
        <v>56</v>
      </c>
      <c r="AG1111">
        <v>9250</v>
      </c>
      <c r="AH1111">
        <v>17799</v>
      </c>
      <c r="AI1111">
        <v>3</v>
      </c>
      <c r="AJ1111" t="str">
        <f>_xlfn.XLOOKUP(Table1[[#This Row],[OverTime]],Table16[OverTime],Table16[Id_OverTime])</f>
        <v>OT002</v>
      </c>
      <c r="AK1111" t="s">
        <v>33</v>
      </c>
      <c r="AL1111">
        <v>12</v>
      </c>
      <c r="AM1111" t="str">
        <f>_xlfn.XLOOKUP(Table1[[#This Row],[PerformanceRating]],Table17[PerformanceRating],Table17[Id_PerformanceRating])</f>
        <v>PR003</v>
      </c>
      <c r="AN1111">
        <v>3</v>
      </c>
      <c r="AO1111" t="str">
        <f>_xlfn.XLOOKUP(Table1[[#This Row],[PerformanceRating]],Table17[PerformanceRating],Table17[Deskripsi])</f>
        <v>Excellent</v>
      </c>
      <c r="AP1111" t="str">
        <f>_xlfn.XLOOKUP(Table1[[#This Row],[RelationshipSatisfaction]],Table18[RelationshipSatisfaction],Table18[Id_RelationshipSatisfaction])</f>
        <v>RS002</v>
      </c>
      <c r="AQ1111">
        <v>2</v>
      </c>
      <c r="AR1111" t="str">
        <f>_xlfn.XLOOKUP(Table1[[#This Row],[RelationshipSatisfaction]],Table18[RelationshipSatisfaction],Table18[Deskripsi])</f>
        <v>Medium</v>
      </c>
      <c r="AS1111" t="str">
        <f>_xlfn.XLOOKUP(Table1[[#This Row],[StockOptionLevel]],Table19[StockOptionLevel],Table19[Id_StockOptionLevel])</f>
        <v>SOL002</v>
      </c>
      <c r="AT1111">
        <v>1</v>
      </c>
      <c r="AU1111" t="str">
        <f>_xlfn.XLOOKUP(Table1[[#This Row],[StockOptionLevel]],Table19[StockOptionLevel],Table19[Deskripsi])</f>
        <v>Standard</v>
      </c>
      <c r="AV1111">
        <v>9</v>
      </c>
      <c r="AW1111">
        <v>3</v>
      </c>
      <c r="AX1111" t="str">
        <f>_xlfn.XLOOKUP(Table1[[#This Row],[WorkLifeBalance]],Table20[WorkLifeBalance],Table20[Id_WorkLifeBalance])</f>
        <v>WLB002</v>
      </c>
      <c r="AY1111">
        <v>3</v>
      </c>
      <c r="AZ1111" t="str">
        <f>_xlfn.XLOOKUP(Table1[[#This Row],[WorkLifeBalance]],Table20[WorkLifeBalance],Table20[Deskripsi])</f>
        <v>Good</v>
      </c>
      <c r="BA1111">
        <v>4</v>
      </c>
      <c r="BB1111">
        <v>2</v>
      </c>
      <c r="BC1111">
        <v>1</v>
      </c>
      <c r="BD1111">
        <v>3</v>
      </c>
    </row>
    <row r="1112" spans="1:56" x14ac:dyDescent="0.25">
      <c r="A1112">
        <v>35</v>
      </c>
      <c r="B1112" t="str">
        <f>_xlfn.XLOOKUP(Table1[[#This Row],[Attrition]],Table2[Attrition],Table2[Id_Attrition])</f>
        <v>A001</v>
      </c>
      <c r="C1112" t="s">
        <v>32</v>
      </c>
      <c r="D1112" t="str">
        <f>_xlfn.XLOOKUP(Table1[[#This Row],[BusinessTravel]],Table5[BusinessTravel],Table5[Id_BusinessTravel])</f>
        <v>BS001</v>
      </c>
      <c r="E1112" t="s">
        <v>34</v>
      </c>
      <c r="F1112">
        <v>104</v>
      </c>
      <c r="G1112" t="str">
        <f>_xlfn.XLOOKUP(Table1[[#This Row],[Department]],Table6[Department],Table6[Id_Departement])</f>
        <v>D002</v>
      </c>
      <c r="H1112" t="s">
        <v>38</v>
      </c>
      <c r="I1112">
        <v>2</v>
      </c>
      <c r="J1112" t="str">
        <f>_xlfn.XLOOKUP(Table1[[#This Row],[Education]],Table8[Education],Table8[Id_Education])</f>
        <v>E003</v>
      </c>
      <c r="K1112">
        <v>3</v>
      </c>
      <c r="L1112" t="str">
        <f>_xlfn.XLOOKUP(Table1[[#This Row],[EducationField]],Table7[EducationField],Table7[Id_EducationField])</f>
        <v>EF001</v>
      </c>
      <c r="M1112" t="s">
        <v>40</v>
      </c>
      <c r="N1112" t="str">
        <f>_xlfn.XLOOKUP(Table1[[#This Row],[EmployeeNumber]],Table4[EmployeeNumber],Table4[Id_Employee])</f>
        <v>EMP01111</v>
      </c>
      <c r="O1112">
        <v>1569</v>
      </c>
      <c r="P1112" t="str">
        <f>_xlfn.XLOOKUP(Table1[[#This Row],[EnvironmentSatisfaction]],Table9[EnvironmentSatisfaction],Table9[Id_EnviromentSatisfaction])</f>
        <v>ES001</v>
      </c>
      <c r="Q1112">
        <v>1</v>
      </c>
      <c r="R1112" t="str">
        <f>_xlfn.XLOOKUP(Table1[[#This Row],[EnvironmentSatisfaction]],Table9[EnvironmentSatisfaction],Table9[Deskripsi])</f>
        <v>Low</v>
      </c>
      <c r="S1112" t="str">
        <f>_xlfn.XLOOKUP(Table1[[#This Row],[Gender]],Table10[Gender],Table10[Id_Gender])</f>
        <v>G001</v>
      </c>
      <c r="T1112" t="s">
        <v>45</v>
      </c>
      <c r="U1112">
        <v>69</v>
      </c>
      <c r="V1112" t="str">
        <f>_xlfn.XLOOKUP(Table1[[#This Row],[JobInvolvement]],Table11[JobInvolvement],Table11[Id_JobInvolvement])</f>
        <v>JI003</v>
      </c>
      <c r="W1112">
        <v>3</v>
      </c>
      <c r="X1112" t="str">
        <f>_xlfn.XLOOKUP(Table1[[#This Row],[JobLevel]],Table12[JobLevel],Table12[Id_JobLevel])</f>
        <v>JL001</v>
      </c>
      <c r="Y1112">
        <v>1</v>
      </c>
      <c r="Z1112" t="str">
        <f>_xlfn.XLOOKUP(Table1[[#This Row],[JobRole]],Table13[JobRole],Table13[Id_JobRole])</f>
        <v>JR003</v>
      </c>
      <c r="AA1112" t="s">
        <v>49</v>
      </c>
      <c r="AB1112" t="str">
        <f>_xlfn.XLOOKUP(Table1[[#This Row],[JobSatisfaction]],Table14[JobSatisfaction],Table14[Id_JobSatisfaction])</f>
        <v>JS001</v>
      </c>
      <c r="AC1112">
        <v>1</v>
      </c>
      <c r="AD1112" t="str">
        <f>_xlfn.XLOOKUP(Table1[[#This Row],[JobSatisfaction]],Table14[JobSatisfaction],Table14[Deskripsi])</f>
        <v>Low</v>
      </c>
      <c r="AE1112" t="str">
        <f>_xlfn.XLOOKUP(Table1[[#This Row],[MaritalStatus]],Table15[MaritalStatus],Table15[Id_MaritalStatus])</f>
        <v>MS003</v>
      </c>
      <c r="AF1112" t="s">
        <v>57</v>
      </c>
      <c r="AG1112">
        <v>2074</v>
      </c>
      <c r="AH1112">
        <v>26619</v>
      </c>
      <c r="AI1112">
        <v>1</v>
      </c>
      <c r="AJ1112" t="str">
        <f>_xlfn.XLOOKUP(Table1[[#This Row],[OverTime]],Table16[OverTime],Table16[Id_OverTime])</f>
        <v>OT001</v>
      </c>
      <c r="AK1112" t="s">
        <v>32</v>
      </c>
      <c r="AL1112">
        <v>12</v>
      </c>
      <c r="AM1112" t="str">
        <f>_xlfn.XLOOKUP(Table1[[#This Row],[PerformanceRating]],Table17[PerformanceRating],Table17[Id_PerformanceRating])</f>
        <v>PR003</v>
      </c>
      <c r="AN1112">
        <v>3</v>
      </c>
      <c r="AO1112" t="str">
        <f>_xlfn.XLOOKUP(Table1[[#This Row],[PerformanceRating]],Table17[PerformanceRating],Table17[Deskripsi])</f>
        <v>Excellent</v>
      </c>
      <c r="AP1112" t="str">
        <f>_xlfn.XLOOKUP(Table1[[#This Row],[RelationshipSatisfaction]],Table18[RelationshipSatisfaction],Table18[Id_RelationshipSatisfaction])</f>
        <v>RS004</v>
      </c>
      <c r="AQ1112">
        <v>4</v>
      </c>
      <c r="AR1112" t="str">
        <f>_xlfn.XLOOKUP(Table1[[#This Row],[RelationshipSatisfaction]],Table18[RelationshipSatisfaction],Table18[Deskripsi])</f>
        <v>Very High</v>
      </c>
      <c r="AS1112" t="str">
        <f>_xlfn.XLOOKUP(Table1[[#This Row],[StockOptionLevel]],Table19[StockOptionLevel],Table19[Id_StockOptionLevel])</f>
        <v>SOL002</v>
      </c>
      <c r="AT1112">
        <v>1</v>
      </c>
      <c r="AU1112" t="str">
        <f>_xlfn.XLOOKUP(Table1[[#This Row],[StockOptionLevel]],Table19[StockOptionLevel],Table19[Deskripsi])</f>
        <v>Standard</v>
      </c>
      <c r="AV1112">
        <v>1</v>
      </c>
      <c r="AW1112">
        <v>2</v>
      </c>
      <c r="AX1112" t="str">
        <f>_xlfn.XLOOKUP(Table1[[#This Row],[WorkLifeBalance]],Table20[WorkLifeBalance],Table20[Id_WorkLifeBalance])</f>
        <v>WLB002</v>
      </c>
      <c r="AY1112">
        <v>3</v>
      </c>
      <c r="AZ1112" t="str">
        <f>_xlfn.XLOOKUP(Table1[[#This Row],[WorkLifeBalance]],Table20[WorkLifeBalance],Table20[Deskripsi])</f>
        <v>Good</v>
      </c>
      <c r="BA1112">
        <v>1</v>
      </c>
      <c r="BB1112">
        <v>0</v>
      </c>
      <c r="BC1112">
        <v>0</v>
      </c>
      <c r="BD1112">
        <v>0</v>
      </c>
    </row>
    <row r="1113" spans="1:56" x14ac:dyDescent="0.25">
      <c r="A1113">
        <v>53</v>
      </c>
      <c r="B1113" t="str">
        <f>_xlfn.XLOOKUP(Table1[[#This Row],[Attrition]],Table2[Attrition],Table2[Id_Attrition])</f>
        <v>A001</v>
      </c>
      <c r="C1113" t="s">
        <v>32</v>
      </c>
      <c r="D1113" t="str">
        <f>_xlfn.XLOOKUP(Table1[[#This Row],[BusinessTravel]],Table5[BusinessTravel],Table5[Id_BusinessTravel])</f>
        <v>BS001</v>
      </c>
      <c r="E1113" t="s">
        <v>34</v>
      </c>
      <c r="F1113">
        <v>607</v>
      </c>
      <c r="G1113" t="str">
        <f>_xlfn.XLOOKUP(Table1[[#This Row],[Department]],Table6[Department],Table6[Id_Departement])</f>
        <v>D002</v>
      </c>
      <c r="H1113" t="s">
        <v>38</v>
      </c>
      <c r="I1113">
        <v>2</v>
      </c>
      <c r="J1113" t="str">
        <f>_xlfn.XLOOKUP(Table1[[#This Row],[Education]],Table8[Education],Table8[Id_Education])</f>
        <v>E005</v>
      </c>
      <c r="K1113">
        <v>5</v>
      </c>
      <c r="L1113" t="str">
        <f>_xlfn.XLOOKUP(Table1[[#This Row],[EducationField]],Table7[EducationField],Table7[Id_EducationField])</f>
        <v>EF005</v>
      </c>
      <c r="M1113" t="s">
        <v>44</v>
      </c>
      <c r="N1113" t="str">
        <f>_xlfn.XLOOKUP(Table1[[#This Row],[EmployeeNumber]],Table4[EmployeeNumber],Table4[Id_Employee])</f>
        <v>EMP01112</v>
      </c>
      <c r="O1113">
        <v>1572</v>
      </c>
      <c r="P1113" t="str">
        <f>_xlfn.XLOOKUP(Table1[[#This Row],[EnvironmentSatisfaction]],Table9[EnvironmentSatisfaction],Table9[Id_EnviromentSatisfaction])</f>
        <v>ES003</v>
      </c>
      <c r="Q1113">
        <v>3</v>
      </c>
      <c r="R1113" t="str">
        <f>_xlfn.XLOOKUP(Table1[[#This Row],[EnvironmentSatisfaction]],Table9[EnvironmentSatisfaction],Table9[Deskripsi])</f>
        <v>High</v>
      </c>
      <c r="S1113" t="str">
        <f>_xlfn.XLOOKUP(Table1[[#This Row],[Gender]],Table10[Gender],Table10[Id_Gender])</f>
        <v>G001</v>
      </c>
      <c r="T1113" t="s">
        <v>45</v>
      </c>
      <c r="U1113">
        <v>78</v>
      </c>
      <c r="V1113" t="str">
        <f>_xlfn.XLOOKUP(Table1[[#This Row],[JobInvolvement]],Table11[JobInvolvement],Table11[Id_JobInvolvement])</f>
        <v>JI002</v>
      </c>
      <c r="W1113">
        <v>2</v>
      </c>
      <c r="X1113" t="str">
        <f>_xlfn.XLOOKUP(Table1[[#This Row],[JobLevel]],Table12[JobLevel],Table12[Id_JobLevel])</f>
        <v>JL003</v>
      </c>
      <c r="Y1113">
        <v>3</v>
      </c>
      <c r="Z1113" t="str">
        <f>_xlfn.XLOOKUP(Table1[[#This Row],[JobRole]],Table13[JobRole],Table13[Id_JobRole])</f>
        <v>JR004</v>
      </c>
      <c r="AA1113" t="s">
        <v>50</v>
      </c>
      <c r="AB1113" t="str">
        <f>_xlfn.XLOOKUP(Table1[[#This Row],[JobSatisfaction]],Table14[JobSatisfaction],Table14[Id_JobSatisfaction])</f>
        <v>JS004</v>
      </c>
      <c r="AC1113">
        <v>4</v>
      </c>
      <c r="AD1113" t="str">
        <f>_xlfn.XLOOKUP(Table1[[#This Row],[JobSatisfaction]],Table14[JobSatisfaction],Table14[Deskripsi])</f>
        <v>Very High</v>
      </c>
      <c r="AE1113" t="str">
        <f>_xlfn.XLOOKUP(Table1[[#This Row],[MaritalStatus]],Table15[MaritalStatus],Table15[Id_MaritalStatus])</f>
        <v>MS002</v>
      </c>
      <c r="AF1113" t="s">
        <v>56</v>
      </c>
      <c r="AG1113">
        <v>10169</v>
      </c>
      <c r="AH1113">
        <v>14618</v>
      </c>
      <c r="AI1113">
        <v>0</v>
      </c>
      <c r="AJ1113" t="str">
        <f>_xlfn.XLOOKUP(Table1[[#This Row],[OverTime]],Table16[OverTime],Table16[Id_OverTime])</f>
        <v>OT002</v>
      </c>
      <c r="AK1113" t="s">
        <v>33</v>
      </c>
      <c r="AL1113">
        <v>16</v>
      </c>
      <c r="AM1113" t="str">
        <f>_xlfn.XLOOKUP(Table1[[#This Row],[PerformanceRating]],Table17[PerformanceRating],Table17[Id_PerformanceRating])</f>
        <v>PR003</v>
      </c>
      <c r="AN1113">
        <v>3</v>
      </c>
      <c r="AO1113" t="str">
        <f>_xlfn.XLOOKUP(Table1[[#This Row],[PerformanceRating]],Table17[PerformanceRating],Table17[Deskripsi])</f>
        <v>Excellent</v>
      </c>
      <c r="AP1113" t="str">
        <f>_xlfn.XLOOKUP(Table1[[#This Row],[RelationshipSatisfaction]],Table18[RelationshipSatisfaction],Table18[Id_RelationshipSatisfaction])</f>
        <v>RS002</v>
      </c>
      <c r="AQ1113">
        <v>2</v>
      </c>
      <c r="AR1113" t="str">
        <f>_xlfn.XLOOKUP(Table1[[#This Row],[RelationshipSatisfaction]],Table18[RelationshipSatisfaction],Table18[Deskripsi])</f>
        <v>Medium</v>
      </c>
      <c r="AS1113" t="str">
        <f>_xlfn.XLOOKUP(Table1[[#This Row],[StockOptionLevel]],Table19[StockOptionLevel],Table19[Id_StockOptionLevel])</f>
        <v>SOL002</v>
      </c>
      <c r="AT1113">
        <v>1</v>
      </c>
      <c r="AU1113" t="str">
        <f>_xlfn.XLOOKUP(Table1[[#This Row],[StockOptionLevel]],Table19[StockOptionLevel],Table19[Deskripsi])</f>
        <v>Standard</v>
      </c>
      <c r="AV1113">
        <v>34</v>
      </c>
      <c r="AW1113">
        <v>4</v>
      </c>
      <c r="AX1113" t="str">
        <f>_xlfn.XLOOKUP(Table1[[#This Row],[WorkLifeBalance]],Table20[WorkLifeBalance],Table20[Id_WorkLifeBalance])</f>
        <v>WLB002</v>
      </c>
      <c r="AY1113">
        <v>3</v>
      </c>
      <c r="AZ1113" t="str">
        <f>_xlfn.XLOOKUP(Table1[[#This Row],[WorkLifeBalance]],Table20[WorkLifeBalance],Table20[Deskripsi])</f>
        <v>Good</v>
      </c>
      <c r="BA1113">
        <v>33</v>
      </c>
      <c r="BB1113">
        <v>7</v>
      </c>
      <c r="BC1113">
        <v>1</v>
      </c>
      <c r="BD1113">
        <v>9</v>
      </c>
    </row>
    <row r="1114" spans="1:56" x14ac:dyDescent="0.25">
      <c r="A1114">
        <v>38</v>
      </c>
      <c r="B1114" t="str">
        <f>_xlfn.XLOOKUP(Table1[[#This Row],[Attrition]],Table2[Attrition],Table2[Id_Attrition])</f>
        <v>A001</v>
      </c>
      <c r="C1114" t="s">
        <v>32</v>
      </c>
      <c r="D1114" t="str">
        <f>_xlfn.XLOOKUP(Table1[[#This Row],[BusinessTravel]],Table5[BusinessTravel],Table5[Id_BusinessTravel])</f>
        <v>BS001</v>
      </c>
      <c r="E1114" t="s">
        <v>34</v>
      </c>
      <c r="F1114">
        <v>903</v>
      </c>
      <c r="G1114" t="str">
        <f>_xlfn.XLOOKUP(Table1[[#This Row],[Department]],Table6[Department],Table6[Id_Departement])</f>
        <v>D002</v>
      </c>
      <c r="H1114" t="s">
        <v>38</v>
      </c>
      <c r="I1114">
        <v>2</v>
      </c>
      <c r="J1114" t="str">
        <f>_xlfn.XLOOKUP(Table1[[#This Row],[Education]],Table8[Education],Table8[Id_Education])</f>
        <v>E003</v>
      </c>
      <c r="K1114">
        <v>3</v>
      </c>
      <c r="L1114" t="str">
        <f>_xlfn.XLOOKUP(Table1[[#This Row],[EducationField]],Table7[EducationField],Table7[Id_EducationField])</f>
        <v>EF003</v>
      </c>
      <c r="M1114" t="s">
        <v>42</v>
      </c>
      <c r="N1114" t="str">
        <f>_xlfn.XLOOKUP(Table1[[#This Row],[EmployeeNumber]],Table4[EmployeeNumber],Table4[Id_Employee])</f>
        <v>EMP01113</v>
      </c>
      <c r="O1114">
        <v>1573</v>
      </c>
      <c r="P1114" t="str">
        <f>_xlfn.XLOOKUP(Table1[[#This Row],[EnvironmentSatisfaction]],Table9[EnvironmentSatisfaction],Table9[Id_EnviromentSatisfaction])</f>
        <v>ES003</v>
      </c>
      <c r="Q1114">
        <v>3</v>
      </c>
      <c r="R1114" t="str">
        <f>_xlfn.XLOOKUP(Table1[[#This Row],[EnvironmentSatisfaction]],Table9[EnvironmentSatisfaction],Table9[Deskripsi])</f>
        <v>High</v>
      </c>
      <c r="S1114" t="str">
        <f>_xlfn.XLOOKUP(Table1[[#This Row],[Gender]],Table10[Gender],Table10[Id_Gender])</f>
        <v>G002</v>
      </c>
      <c r="T1114" t="s">
        <v>46</v>
      </c>
      <c r="U1114">
        <v>81</v>
      </c>
      <c r="V1114" t="str">
        <f>_xlfn.XLOOKUP(Table1[[#This Row],[JobInvolvement]],Table11[JobInvolvement],Table11[Id_JobInvolvement])</f>
        <v>JI003</v>
      </c>
      <c r="W1114">
        <v>3</v>
      </c>
      <c r="X1114" t="str">
        <f>_xlfn.XLOOKUP(Table1[[#This Row],[JobLevel]],Table12[JobLevel],Table12[Id_JobLevel])</f>
        <v>JL002</v>
      </c>
      <c r="Y1114">
        <v>2</v>
      </c>
      <c r="Z1114" t="str">
        <f>_xlfn.XLOOKUP(Table1[[#This Row],[JobRole]],Table13[JobRole],Table13[Id_JobRole])</f>
        <v>JR004</v>
      </c>
      <c r="AA1114" t="s">
        <v>50</v>
      </c>
      <c r="AB1114" t="str">
        <f>_xlfn.XLOOKUP(Table1[[#This Row],[JobSatisfaction]],Table14[JobSatisfaction],Table14[Id_JobSatisfaction])</f>
        <v>JS002</v>
      </c>
      <c r="AC1114">
        <v>2</v>
      </c>
      <c r="AD1114" t="str">
        <f>_xlfn.XLOOKUP(Table1[[#This Row],[JobSatisfaction]],Table14[JobSatisfaction],Table14[Deskripsi])</f>
        <v>Medium</v>
      </c>
      <c r="AE1114" t="str">
        <f>_xlfn.XLOOKUP(Table1[[#This Row],[MaritalStatus]],Table15[MaritalStatus],Table15[Id_MaritalStatus])</f>
        <v>MS002</v>
      </c>
      <c r="AF1114" t="s">
        <v>56</v>
      </c>
      <c r="AG1114">
        <v>4855</v>
      </c>
      <c r="AH1114">
        <v>7653</v>
      </c>
      <c r="AI1114">
        <v>4</v>
      </c>
      <c r="AJ1114" t="str">
        <f>_xlfn.XLOOKUP(Table1[[#This Row],[OverTime]],Table16[OverTime],Table16[Id_OverTime])</f>
        <v>OT002</v>
      </c>
      <c r="AK1114" t="s">
        <v>33</v>
      </c>
      <c r="AL1114">
        <v>11</v>
      </c>
      <c r="AM1114" t="str">
        <f>_xlfn.XLOOKUP(Table1[[#This Row],[PerformanceRating]],Table17[PerformanceRating],Table17[Id_PerformanceRating])</f>
        <v>PR003</v>
      </c>
      <c r="AN1114">
        <v>3</v>
      </c>
      <c r="AO1114" t="str">
        <f>_xlfn.XLOOKUP(Table1[[#This Row],[PerformanceRating]],Table17[PerformanceRating],Table17[Deskripsi])</f>
        <v>Excellent</v>
      </c>
      <c r="AP1114" t="str">
        <f>_xlfn.XLOOKUP(Table1[[#This Row],[RelationshipSatisfaction]],Table18[RelationshipSatisfaction],Table18[Id_RelationshipSatisfaction])</f>
        <v>RS001</v>
      </c>
      <c r="AQ1114">
        <v>1</v>
      </c>
      <c r="AR1114" t="str">
        <f>_xlfn.XLOOKUP(Table1[[#This Row],[RelationshipSatisfaction]],Table18[RelationshipSatisfaction],Table18[Deskripsi])</f>
        <v>Low</v>
      </c>
      <c r="AS1114" t="str">
        <f>_xlfn.XLOOKUP(Table1[[#This Row],[StockOptionLevel]],Table19[StockOptionLevel],Table19[Id_StockOptionLevel])</f>
        <v>SOL003</v>
      </c>
      <c r="AT1114">
        <v>2</v>
      </c>
      <c r="AU1114" t="str">
        <f>_xlfn.XLOOKUP(Table1[[#This Row],[StockOptionLevel]],Table19[StockOptionLevel],Table19[Deskripsi])</f>
        <v>Intermediate</v>
      </c>
      <c r="AV1114">
        <v>7</v>
      </c>
      <c r="AW1114">
        <v>2</v>
      </c>
      <c r="AX1114" t="str">
        <f>_xlfn.XLOOKUP(Table1[[#This Row],[WorkLifeBalance]],Table20[WorkLifeBalance],Table20[Id_WorkLifeBalance])</f>
        <v>WLB002</v>
      </c>
      <c r="AY1114">
        <v>3</v>
      </c>
      <c r="AZ1114" t="str">
        <f>_xlfn.XLOOKUP(Table1[[#This Row],[WorkLifeBalance]],Table20[WorkLifeBalance],Table20[Deskripsi])</f>
        <v>Good</v>
      </c>
      <c r="BA1114">
        <v>5</v>
      </c>
      <c r="BB1114">
        <v>2</v>
      </c>
      <c r="BC1114">
        <v>1</v>
      </c>
      <c r="BD1114">
        <v>4</v>
      </c>
    </row>
    <row r="1115" spans="1:56" x14ac:dyDescent="0.25">
      <c r="A1115">
        <v>32</v>
      </c>
      <c r="B1115" t="str">
        <f>_xlfn.XLOOKUP(Table1[[#This Row],[Attrition]],Table2[Attrition],Table2[Id_Attrition])</f>
        <v>A002</v>
      </c>
      <c r="C1115" t="s">
        <v>33</v>
      </c>
      <c r="D1115" t="str">
        <f>_xlfn.XLOOKUP(Table1[[#This Row],[BusinessTravel]],Table5[BusinessTravel],Table5[Id_BusinessTravel])</f>
        <v>BS003</v>
      </c>
      <c r="E1115" t="s">
        <v>36</v>
      </c>
      <c r="F1115">
        <v>1200</v>
      </c>
      <c r="G1115" t="str">
        <f>_xlfn.XLOOKUP(Table1[[#This Row],[Department]],Table6[Department],Table6[Id_Departement])</f>
        <v>D002</v>
      </c>
      <c r="H1115" t="s">
        <v>38</v>
      </c>
      <c r="I1115">
        <v>1</v>
      </c>
      <c r="J1115" t="str">
        <f>_xlfn.XLOOKUP(Table1[[#This Row],[Education]],Table8[Education],Table8[Id_Education])</f>
        <v>E004</v>
      </c>
      <c r="K1115">
        <v>4</v>
      </c>
      <c r="L1115" t="str">
        <f>_xlfn.XLOOKUP(Table1[[#This Row],[EducationField]],Table7[EducationField],Table7[Id_EducationField])</f>
        <v>EF005</v>
      </c>
      <c r="M1115" t="s">
        <v>44</v>
      </c>
      <c r="N1115" t="str">
        <f>_xlfn.XLOOKUP(Table1[[#This Row],[EmployeeNumber]],Table4[EmployeeNumber],Table4[Id_Employee])</f>
        <v>EMP01114</v>
      </c>
      <c r="O1115">
        <v>1574</v>
      </c>
      <c r="P1115" t="str">
        <f>_xlfn.XLOOKUP(Table1[[#This Row],[EnvironmentSatisfaction]],Table9[EnvironmentSatisfaction],Table9[Id_EnviromentSatisfaction])</f>
        <v>ES004</v>
      </c>
      <c r="Q1115">
        <v>4</v>
      </c>
      <c r="R1115" t="str">
        <f>_xlfn.XLOOKUP(Table1[[#This Row],[EnvironmentSatisfaction]],Table9[EnvironmentSatisfaction],Table9[Deskripsi])</f>
        <v>Very High</v>
      </c>
      <c r="S1115" t="str">
        <f>_xlfn.XLOOKUP(Table1[[#This Row],[Gender]],Table10[Gender],Table10[Id_Gender])</f>
        <v>G002</v>
      </c>
      <c r="T1115" t="s">
        <v>46</v>
      </c>
      <c r="U1115">
        <v>62</v>
      </c>
      <c r="V1115" t="str">
        <f>_xlfn.XLOOKUP(Table1[[#This Row],[JobInvolvement]],Table11[JobInvolvement],Table11[Id_JobInvolvement])</f>
        <v>JI003</v>
      </c>
      <c r="W1115">
        <v>3</v>
      </c>
      <c r="X1115" t="str">
        <f>_xlfn.XLOOKUP(Table1[[#This Row],[JobLevel]],Table12[JobLevel],Table12[Id_JobLevel])</f>
        <v>JL002</v>
      </c>
      <c r="Y1115">
        <v>2</v>
      </c>
      <c r="Z1115" t="str">
        <f>_xlfn.XLOOKUP(Table1[[#This Row],[JobRole]],Table13[JobRole],Table13[Id_JobRole])</f>
        <v>JR002</v>
      </c>
      <c r="AA1115" t="s">
        <v>48</v>
      </c>
      <c r="AB1115" t="str">
        <f>_xlfn.XLOOKUP(Table1[[#This Row],[JobSatisfaction]],Table14[JobSatisfaction],Table14[Id_JobSatisfaction])</f>
        <v>JS001</v>
      </c>
      <c r="AC1115">
        <v>1</v>
      </c>
      <c r="AD1115" t="str">
        <f>_xlfn.XLOOKUP(Table1[[#This Row],[JobSatisfaction]],Table14[JobSatisfaction],Table14[Deskripsi])</f>
        <v>Low</v>
      </c>
      <c r="AE1115" t="str">
        <f>_xlfn.XLOOKUP(Table1[[#This Row],[MaritalStatus]],Table15[MaritalStatus],Table15[Id_MaritalStatus])</f>
        <v>MS002</v>
      </c>
      <c r="AF1115" t="s">
        <v>56</v>
      </c>
      <c r="AG1115">
        <v>4087</v>
      </c>
      <c r="AH1115">
        <v>25174</v>
      </c>
      <c r="AI1115">
        <v>4</v>
      </c>
      <c r="AJ1115" t="str">
        <f>_xlfn.XLOOKUP(Table1[[#This Row],[OverTime]],Table16[OverTime],Table16[Id_OverTime])</f>
        <v>OT002</v>
      </c>
      <c r="AK1115" t="s">
        <v>33</v>
      </c>
      <c r="AL1115">
        <v>14</v>
      </c>
      <c r="AM1115" t="str">
        <f>_xlfn.XLOOKUP(Table1[[#This Row],[PerformanceRating]],Table17[PerformanceRating],Table17[Id_PerformanceRating])</f>
        <v>PR003</v>
      </c>
      <c r="AN1115">
        <v>3</v>
      </c>
      <c r="AO1115" t="str">
        <f>_xlfn.XLOOKUP(Table1[[#This Row],[PerformanceRating]],Table17[PerformanceRating],Table17[Deskripsi])</f>
        <v>Excellent</v>
      </c>
      <c r="AP1115" t="str">
        <f>_xlfn.XLOOKUP(Table1[[#This Row],[RelationshipSatisfaction]],Table18[RelationshipSatisfaction],Table18[Id_RelationshipSatisfaction])</f>
        <v>RS002</v>
      </c>
      <c r="AQ1115">
        <v>2</v>
      </c>
      <c r="AR1115" t="str">
        <f>_xlfn.XLOOKUP(Table1[[#This Row],[RelationshipSatisfaction]],Table18[RelationshipSatisfaction],Table18[Deskripsi])</f>
        <v>Medium</v>
      </c>
      <c r="AS1115" t="str">
        <f>_xlfn.XLOOKUP(Table1[[#This Row],[StockOptionLevel]],Table19[StockOptionLevel],Table19[Id_StockOptionLevel])</f>
        <v>SOL002</v>
      </c>
      <c r="AT1115">
        <v>1</v>
      </c>
      <c r="AU1115" t="str">
        <f>_xlfn.XLOOKUP(Table1[[#This Row],[StockOptionLevel]],Table19[StockOptionLevel],Table19[Deskripsi])</f>
        <v>Standard</v>
      </c>
      <c r="AV1115">
        <v>9</v>
      </c>
      <c r="AW1115">
        <v>3</v>
      </c>
      <c r="AX1115" t="str">
        <f>_xlfn.XLOOKUP(Table1[[#This Row],[WorkLifeBalance]],Table20[WorkLifeBalance],Table20[Id_WorkLifeBalance])</f>
        <v>WLB003</v>
      </c>
      <c r="AY1115">
        <v>2</v>
      </c>
      <c r="AZ1115" t="str">
        <f>_xlfn.XLOOKUP(Table1[[#This Row],[WorkLifeBalance]],Table20[WorkLifeBalance],Table20[Deskripsi])</f>
        <v>Better</v>
      </c>
      <c r="BA1115">
        <v>6</v>
      </c>
      <c r="BB1115">
        <v>5</v>
      </c>
      <c r="BC1115">
        <v>1</v>
      </c>
      <c r="BD1115">
        <v>2</v>
      </c>
    </row>
    <row r="1116" spans="1:56" x14ac:dyDescent="0.25">
      <c r="A1116">
        <v>48</v>
      </c>
      <c r="B1116" t="str">
        <f>_xlfn.XLOOKUP(Table1[[#This Row],[Attrition]],Table2[Attrition],Table2[Id_Attrition])</f>
        <v>A002</v>
      </c>
      <c r="C1116" t="s">
        <v>33</v>
      </c>
      <c r="D1116" t="str">
        <f>_xlfn.XLOOKUP(Table1[[#This Row],[BusinessTravel]],Table5[BusinessTravel],Table5[Id_BusinessTravel])</f>
        <v>BS001</v>
      </c>
      <c r="E1116" t="s">
        <v>34</v>
      </c>
      <c r="F1116">
        <v>1108</v>
      </c>
      <c r="G1116" t="str">
        <f>_xlfn.XLOOKUP(Table1[[#This Row],[Department]],Table6[Department],Table6[Id_Departement])</f>
        <v>D002</v>
      </c>
      <c r="H1116" t="s">
        <v>38</v>
      </c>
      <c r="I1116">
        <v>15</v>
      </c>
      <c r="J1116" t="str">
        <f>_xlfn.XLOOKUP(Table1[[#This Row],[Education]],Table8[Education],Table8[Id_Education])</f>
        <v>E004</v>
      </c>
      <c r="K1116">
        <v>4</v>
      </c>
      <c r="L1116" t="str">
        <f>_xlfn.XLOOKUP(Table1[[#This Row],[EducationField]],Table7[EducationField],Table7[Id_EducationField])</f>
        <v>EF002</v>
      </c>
      <c r="M1116" t="s">
        <v>41</v>
      </c>
      <c r="N1116" t="str">
        <f>_xlfn.XLOOKUP(Table1[[#This Row],[EmployeeNumber]],Table4[EmployeeNumber],Table4[Id_Employee])</f>
        <v>EMP01115</v>
      </c>
      <c r="O1116">
        <v>1576</v>
      </c>
      <c r="P1116" t="str">
        <f>_xlfn.XLOOKUP(Table1[[#This Row],[EnvironmentSatisfaction]],Table9[EnvironmentSatisfaction],Table9[Id_EnviromentSatisfaction])</f>
        <v>ES003</v>
      </c>
      <c r="Q1116">
        <v>3</v>
      </c>
      <c r="R1116" t="str">
        <f>_xlfn.XLOOKUP(Table1[[#This Row],[EnvironmentSatisfaction]],Table9[EnvironmentSatisfaction],Table9[Deskripsi])</f>
        <v>High</v>
      </c>
      <c r="S1116" t="str">
        <f>_xlfn.XLOOKUP(Table1[[#This Row],[Gender]],Table10[Gender],Table10[Id_Gender])</f>
        <v>G001</v>
      </c>
      <c r="T1116" t="s">
        <v>45</v>
      </c>
      <c r="U1116">
        <v>65</v>
      </c>
      <c r="V1116" t="str">
        <f>_xlfn.XLOOKUP(Table1[[#This Row],[JobInvolvement]],Table11[JobInvolvement],Table11[Id_JobInvolvement])</f>
        <v>JI003</v>
      </c>
      <c r="W1116">
        <v>3</v>
      </c>
      <c r="X1116" t="str">
        <f>_xlfn.XLOOKUP(Table1[[#This Row],[JobLevel]],Table12[JobLevel],Table12[Id_JobLevel])</f>
        <v>JL001</v>
      </c>
      <c r="Y1116">
        <v>1</v>
      </c>
      <c r="Z1116" t="str">
        <f>_xlfn.XLOOKUP(Table1[[#This Row],[JobRole]],Table13[JobRole],Table13[Id_JobRole])</f>
        <v>JR002</v>
      </c>
      <c r="AA1116" t="s">
        <v>48</v>
      </c>
      <c r="AB1116" t="str">
        <f>_xlfn.XLOOKUP(Table1[[#This Row],[JobSatisfaction]],Table14[JobSatisfaction],Table14[Id_JobSatisfaction])</f>
        <v>JS001</v>
      </c>
      <c r="AC1116">
        <v>1</v>
      </c>
      <c r="AD1116" t="str">
        <f>_xlfn.XLOOKUP(Table1[[#This Row],[JobSatisfaction]],Table14[JobSatisfaction],Table14[Deskripsi])</f>
        <v>Low</v>
      </c>
      <c r="AE1116" t="str">
        <f>_xlfn.XLOOKUP(Table1[[#This Row],[MaritalStatus]],Table15[MaritalStatus],Table15[Id_MaritalStatus])</f>
        <v>MS002</v>
      </c>
      <c r="AF1116" t="s">
        <v>56</v>
      </c>
      <c r="AG1116">
        <v>2367</v>
      </c>
      <c r="AH1116">
        <v>16530</v>
      </c>
      <c r="AI1116">
        <v>8</v>
      </c>
      <c r="AJ1116" t="str">
        <f>_xlfn.XLOOKUP(Table1[[#This Row],[OverTime]],Table16[OverTime],Table16[Id_OverTime])</f>
        <v>OT002</v>
      </c>
      <c r="AK1116" t="s">
        <v>33</v>
      </c>
      <c r="AL1116">
        <v>12</v>
      </c>
      <c r="AM1116" t="str">
        <f>_xlfn.XLOOKUP(Table1[[#This Row],[PerformanceRating]],Table17[PerformanceRating],Table17[Id_PerformanceRating])</f>
        <v>PR003</v>
      </c>
      <c r="AN1116">
        <v>3</v>
      </c>
      <c r="AO1116" t="str">
        <f>_xlfn.XLOOKUP(Table1[[#This Row],[PerformanceRating]],Table17[PerformanceRating],Table17[Deskripsi])</f>
        <v>Excellent</v>
      </c>
      <c r="AP1116" t="str">
        <f>_xlfn.XLOOKUP(Table1[[#This Row],[RelationshipSatisfaction]],Table18[RelationshipSatisfaction],Table18[Id_RelationshipSatisfaction])</f>
        <v>RS004</v>
      </c>
      <c r="AQ1116">
        <v>4</v>
      </c>
      <c r="AR1116" t="str">
        <f>_xlfn.XLOOKUP(Table1[[#This Row],[RelationshipSatisfaction]],Table18[RelationshipSatisfaction],Table18[Deskripsi])</f>
        <v>Very High</v>
      </c>
      <c r="AS1116" t="str">
        <f>_xlfn.XLOOKUP(Table1[[#This Row],[StockOptionLevel]],Table19[StockOptionLevel],Table19[Id_StockOptionLevel])</f>
        <v>SOL002</v>
      </c>
      <c r="AT1116">
        <v>1</v>
      </c>
      <c r="AU1116" t="str">
        <f>_xlfn.XLOOKUP(Table1[[#This Row],[StockOptionLevel]],Table19[StockOptionLevel],Table19[Deskripsi])</f>
        <v>Standard</v>
      </c>
      <c r="AV1116">
        <v>10</v>
      </c>
      <c r="AW1116">
        <v>3</v>
      </c>
      <c r="AX1116" t="str">
        <f>_xlfn.XLOOKUP(Table1[[#This Row],[WorkLifeBalance]],Table20[WorkLifeBalance],Table20[Id_WorkLifeBalance])</f>
        <v>WLB003</v>
      </c>
      <c r="AY1116">
        <v>2</v>
      </c>
      <c r="AZ1116" t="str">
        <f>_xlfn.XLOOKUP(Table1[[#This Row],[WorkLifeBalance]],Table20[WorkLifeBalance],Table20[Deskripsi])</f>
        <v>Better</v>
      </c>
      <c r="BA1116">
        <v>8</v>
      </c>
      <c r="BB1116">
        <v>2</v>
      </c>
      <c r="BC1116">
        <v>7</v>
      </c>
      <c r="BD1116">
        <v>6</v>
      </c>
    </row>
    <row r="1117" spans="1:56" x14ac:dyDescent="0.25">
      <c r="A1117">
        <v>34</v>
      </c>
      <c r="B1117" t="str">
        <f>_xlfn.XLOOKUP(Table1[[#This Row],[Attrition]],Table2[Attrition],Table2[Id_Attrition])</f>
        <v>A002</v>
      </c>
      <c r="C1117" t="s">
        <v>33</v>
      </c>
      <c r="D1117" t="str">
        <f>_xlfn.XLOOKUP(Table1[[#This Row],[BusinessTravel]],Table5[BusinessTravel],Table5[Id_BusinessTravel])</f>
        <v>BS001</v>
      </c>
      <c r="E1117" t="s">
        <v>34</v>
      </c>
      <c r="F1117">
        <v>479</v>
      </c>
      <c r="G1117" t="str">
        <f>_xlfn.XLOOKUP(Table1[[#This Row],[Department]],Table6[Department],Table6[Id_Departement])</f>
        <v>D002</v>
      </c>
      <c r="H1117" t="s">
        <v>38</v>
      </c>
      <c r="I1117">
        <v>7</v>
      </c>
      <c r="J1117" t="str">
        <f>_xlfn.XLOOKUP(Table1[[#This Row],[Education]],Table8[Education],Table8[Id_Education])</f>
        <v>E004</v>
      </c>
      <c r="K1117">
        <v>4</v>
      </c>
      <c r="L1117" t="str">
        <f>_xlfn.XLOOKUP(Table1[[#This Row],[EducationField]],Table7[EducationField],Table7[Id_EducationField])</f>
        <v>EF003</v>
      </c>
      <c r="M1117" t="s">
        <v>42</v>
      </c>
      <c r="N1117" t="str">
        <f>_xlfn.XLOOKUP(Table1[[#This Row],[EmployeeNumber]],Table4[EmployeeNumber],Table4[Id_Employee])</f>
        <v>EMP01116</v>
      </c>
      <c r="O1117">
        <v>1577</v>
      </c>
      <c r="P1117" t="str">
        <f>_xlfn.XLOOKUP(Table1[[#This Row],[EnvironmentSatisfaction]],Table9[EnvironmentSatisfaction],Table9[Id_EnviromentSatisfaction])</f>
        <v>ES001</v>
      </c>
      <c r="Q1117">
        <v>1</v>
      </c>
      <c r="R1117" t="str">
        <f>_xlfn.XLOOKUP(Table1[[#This Row],[EnvironmentSatisfaction]],Table9[EnvironmentSatisfaction],Table9[Deskripsi])</f>
        <v>Low</v>
      </c>
      <c r="S1117" t="str">
        <f>_xlfn.XLOOKUP(Table1[[#This Row],[Gender]],Table10[Gender],Table10[Id_Gender])</f>
        <v>G002</v>
      </c>
      <c r="T1117" t="s">
        <v>46</v>
      </c>
      <c r="U1117">
        <v>35</v>
      </c>
      <c r="V1117" t="str">
        <f>_xlfn.XLOOKUP(Table1[[#This Row],[JobInvolvement]],Table11[JobInvolvement],Table11[Id_JobInvolvement])</f>
        <v>JI003</v>
      </c>
      <c r="W1117">
        <v>3</v>
      </c>
      <c r="X1117" t="str">
        <f>_xlfn.XLOOKUP(Table1[[#This Row],[JobLevel]],Table12[JobLevel],Table12[Id_JobLevel])</f>
        <v>JL001</v>
      </c>
      <c r="Y1117">
        <v>1</v>
      </c>
      <c r="Z1117" t="str">
        <f>_xlfn.XLOOKUP(Table1[[#This Row],[JobRole]],Table13[JobRole],Table13[Id_JobRole])</f>
        <v>JR002</v>
      </c>
      <c r="AA1117" t="s">
        <v>48</v>
      </c>
      <c r="AB1117" t="str">
        <f>_xlfn.XLOOKUP(Table1[[#This Row],[JobSatisfaction]],Table14[JobSatisfaction],Table14[Id_JobSatisfaction])</f>
        <v>JS004</v>
      </c>
      <c r="AC1117">
        <v>4</v>
      </c>
      <c r="AD1117" t="str">
        <f>_xlfn.XLOOKUP(Table1[[#This Row],[JobSatisfaction]],Table14[JobSatisfaction],Table14[Deskripsi])</f>
        <v>Very High</v>
      </c>
      <c r="AE1117" t="str">
        <f>_xlfn.XLOOKUP(Table1[[#This Row],[MaritalStatus]],Table15[MaritalStatus],Table15[Id_MaritalStatus])</f>
        <v>MS001</v>
      </c>
      <c r="AF1117" t="s">
        <v>55</v>
      </c>
      <c r="AG1117">
        <v>2972</v>
      </c>
      <c r="AH1117">
        <v>22061</v>
      </c>
      <c r="AI1117">
        <v>1</v>
      </c>
      <c r="AJ1117" t="str">
        <f>_xlfn.XLOOKUP(Table1[[#This Row],[OverTime]],Table16[OverTime],Table16[Id_OverTime])</f>
        <v>OT002</v>
      </c>
      <c r="AK1117" t="s">
        <v>33</v>
      </c>
      <c r="AL1117">
        <v>13</v>
      </c>
      <c r="AM1117" t="str">
        <f>_xlfn.XLOOKUP(Table1[[#This Row],[PerformanceRating]],Table17[PerformanceRating],Table17[Id_PerformanceRating])</f>
        <v>PR003</v>
      </c>
      <c r="AN1117">
        <v>3</v>
      </c>
      <c r="AO1117" t="str">
        <f>_xlfn.XLOOKUP(Table1[[#This Row],[PerformanceRating]],Table17[PerformanceRating],Table17[Deskripsi])</f>
        <v>Excellent</v>
      </c>
      <c r="AP1117" t="str">
        <f>_xlfn.XLOOKUP(Table1[[#This Row],[RelationshipSatisfaction]],Table18[RelationshipSatisfaction],Table18[Id_RelationshipSatisfaction])</f>
        <v>RS003</v>
      </c>
      <c r="AQ1117">
        <v>3</v>
      </c>
      <c r="AR1117" t="str">
        <f>_xlfn.XLOOKUP(Table1[[#This Row],[RelationshipSatisfaction]],Table18[RelationshipSatisfaction],Table18[Deskripsi])</f>
        <v>High</v>
      </c>
      <c r="AS1117" t="str">
        <f>_xlfn.XLOOKUP(Table1[[#This Row],[StockOptionLevel]],Table19[StockOptionLevel],Table19[Id_StockOptionLevel])</f>
        <v>SOL001</v>
      </c>
      <c r="AT1117">
        <v>0</v>
      </c>
      <c r="AU1117" t="str">
        <f>_xlfn.XLOOKUP(Table1[[#This Row],[StockOptionLevel]],Table19[StockOptionLevel],Table19[Deskripsi])</f>
        <v>Non-Eligible</v>
      </c>
      <c r="AV1117">
        <v>1</v>
      </c>
      <c r="AW1117">
        <v>4</v>
      </c>
      <c r="AX1117" t="str">
        <f>_xlfn.XLOOKUP(Table1[[#This Row],[WorkLifeBalance]],Table20[WorkLifeBalance],Table20[Id_WorkLifeBalance])</f>
        <v>WLB001</v>
      </c>
      <c r="AY1117">
        <v>1</v>
      </c>
      <c r="AZ1117" t="str">
        <f>_xlfn.XLOOKUP(Table1[[#This Row],[WorkLifeBalance]],Table20[WorkLifeBalance],Table20[Deskripsi])</f>
        <v>Bad</v>
      </c>
      <c r="BA1117">
        <v>1</v>
      </c>
      <c r="BB1117">
        <v>0</v>
      </c>
      <c r="BC1117">
        <v>0</v>
      </c>
      <c r="BD1117">
        <v>0</v>
      </c>
    </row>
    <row r="1118" spans="1:56" x14ac:dyDescent="0.25">
      <c r="A1118">
        <v>55</v>
      </c>
      <c r="B1118" t="str">
        <f>_xlfn.XLOOKUP(Table1[[#This Row],[Attrition]],Table2[Attrition],Table2[Id_Attrition])</f>
        <v>A002</v>
      </c>
      <c r="C1118" t="s">
        <v>33</v>
      </c>
      <c r="D1118" t="str">
        <f>_xlfn.XLOOKUP(Table1[[#This Row],[BusinessTravel]],Table5[BusinessTravel],Table5[Id_BusinessTravel])</f>
        <v>BS001</v>
      </c>
      <c r="E1118" t="s">
        <v>34</v>
      </c>
      <c r="F1118">
        <v>685</v>
      </c>
      <c r="G1118" t="str">
        <f>_xlfn.XLOOKUP(Table1[[#This Row],[Department]],Table6[Department],Table6[Id_Departement])</f>
        <v>D001</v>
      </c>
      <c r="H1118" t="s">
        <v>37</v>
      </c>
      <c r="I1118">
        <v>26</v>
      </c>
      <c r="J1118" t="str">
        <f>_xlfn.XLOOKUP(Table1[[#This Row],[Education]],Table8[Education],Table8[Id_Education])</f>
        <v>E005</v>
      </c>
      <c r="K1118">
        <v>5</v>
      </c>
      <c r="L1118" t="str">
        <f>_xlfn.XLOOKUP(Table1[[#This Row],[EducationField]],Table7[EducationField],Table7[Id_EducationField])</f>
        <v>EF004</v>
      </c>
      <c r="M1118" t="s">
        <v>43</v>
      </c>
      <c r="N1118" t="str">
        <f>_xlfn.XLOOKUP(Table1[[#This Row],[EmployeeNumber]],Table4[EmployeeNumber],Table4[Id_Employee])</f>
        <v>EMP01117</v>
      </c>
      <c r="O1118">
        <v>1578</v>
      </c>
      <c r="P1118" t="str">
        <f>_xlfn.XLOOKUP(Table1[[#This Row],[EnvironmentSatisfaction]],Table9[EnvironmentSatisfaction],Table9[Id_EnviromentSatisfaction])</f>
        <v>ES003</v>
      </c>
      <c r="Q1118">
        <v>3</v>
      </c>
      <c r="R1118" t="str">
        <f>_xlfn.XLOOKUP(Table1[[#This Row],[EnvironmentSatisfaction]],Table9[EnvironmentSatisfaction],Table9[Deskripsi])</f>
        <v>High</v>
      </c>
      <c r="S1118" t="str">
        <f>_xlfn.XLOOKUP(Table1[[#This Row],[Gender]],Table10[Gender],Table10[Id_Gender])</f>
        <v>G002</v>
      </c>
      <c r="T1118" t="s">
        <v>46</v>
      </c>
      <c r="U1118">
        <v>60</v>
      </c>
      <c r="V1118" t="str">
        <f>_xlfn.XLOOKUP(Table1[[#This Row],[JobInvolvement]],Table11[JobInvolvement],Table11[Id_JobInvolvement])</f>
        <v>JI002</v>
      </c>
      <c r="W1118">
        <v>2</v>
      </c>
      <c r="X1118" t="str">
        <f>_xlfn.XLOOKUP(Table1[[#This Row],[JobLevel]],Table12[JobLevel],Table12[Id_JobLevel])</f>
        <v>JL005</v>
      </c>
      <c r="Y1118">
        <v>5</v>
      </c>
      <c r="Z1118" t="str">
        <f>_xlfn.XLOOKUP(Table1[[#This Row],[JobRole]],Table13[JobRole],Table13[Id_JobRole])</f>
        <v>JR006</v>
      </c>
      <c r="AA1118" t="s">
        <v>52</v>
      </c>
      <c r="AB1118" t="str">
        <f>_xlfn.XLOOKUP(Table1[[#This Row],[JobSatisfaction]],Table14[JobSatisfaction],Table14[Id_JobSatisfaction])</f>
        <v>JS004</v>
      </c>
      <c r="AC1118">
        <v>4</v>
      </c>
      <c r="AD1118" t="str">
        <f>_xlfn.XLOOKUP(Table1[[#This Row],[JobSatisfaction]],Table14[JobSatisfaction],Table14[Deskripsi])</f>
        <v>Very High</v>
      </c>
      <c r="AE1118" t="str">
        <f>_xlfn.XLOOKUP(Table1[[#This Row],[MaritalStatus]],Table15[MaritalStatus],Table15[Id_MaritalStatus])</f>
        <v>MS002</v>
      </c>
      <c r="AF1118" t="s">
        <v>56</v>
      </c>
      <c r="AG1118">
        <v>19586</v>
      </c>
      <c r="AH1118">
        <v>23037</v>
      </c>
      <c r="AI1118">
        <v>1</v>
      </c>
      <c r="AJ1118" t="str">
        <f>_xlfn.XLOOKUP(Table1[[#This Row],[OverTime]],Table16[OverTime],Table16[Id_OverTime])</f>
        <v>OT002</v>
      </c>
      <c r="AK1118" t="s">
        <v>33</v>
      </c>
      <c r="AL1118">
        <v>21</v>
      </c>
      <c r="AM1118" t="str">
        <f>_xlfn.XLOOKUP(Table1[[#This Row],[PerformanceRating]],Table17[PerformanceRating],Table17[Id_PerformanceRating])</f>
        <v>PR004</v>
      </c>
      <c r="AN1118">
        <v>4</v>
      </c>
      <c r="AO1118" t="str">
        <f>_xlfn.XLOOKUP(Table1[[#This Row],[PerformanceRating]],Table17[PerformanceRating],Table17[Deskripsi])</f>
        <v>Outstanding</v>
      </c>
      <c r="AP1118" t="str">
        <f>_xlfn.XLOOKUP(Table1[[#This Row],[RelationshipSatisfaction]],Table18[RelationshipSatisfaction],Table18[Id_RelationshipSatisfaction])</f>
        <v>RS003</v>
      </c>
      <c r="AQ1118">
        <v>3</v>
      </c>
      <c r="AR1118" t="str">
        <f>_xlfn.XLOOKUP(Table1[[#This Row],[RelationshipSatisfaction]],Table18[RelationshipSatisfaction],Table18[Deskripsi])</f>
        <v>High</v>
      </c>
      <c r="AS1118" t="str">
        <f>_xlfn.XLOOKUP(Table1[[#This Row],[StockOptionLevel]],Table19[StockOptionLevel],Table19[Id_StockOptionLevel])</f>
        <v>SOL002</v>
      </c>
      <c r="AT1118">
        <v>1</v>
      </c>
      <c r="AU1118" t="str">
        <f>_xlfn.XLOOKUP(Table1[[#This Row],[StockOptionLevel]],Table19[StockOptionLevel],Table19[Deskripsi])</f>
        <v>Standard</v>
      </c>
      <c r="AV1118">
        <v>36</v>
      </c>
      <c r="AW1118">
        <v>3</v>
      </c>
      <c r="AX1118" t="str">
        <f>_xlfn.XLOOKUP(Table1[[#This Row],[WorkLifeBalance]],Table20[WorkLifeBalance],Table20[Id_WorkLifeBalance])</f>
        <v>WLB002</v>
      </c>
      <c r="AY1118">
        <v>3</v>
      </c>
      <c r="AZ1118" t="str">
        <f>_xlfn.XLOOKUP(Table1[[#This Row],[WorkLifeBalance]],Table20[WorkLifeBalance],Table20[Deskripsi])</f>
        <v>Good</v>
      </c>
      <c r="BA1118">
        <v>36</v>
      </c>
      <c r="BB1118">
        <v>6</v>
      </c>
      <c r="BC1118">
        <v>2</v>
      </c>
      <c r="BD1118">
        <v>13</v>
      </c>
    </row>
    <row r="1119" spans="1:56" x14ac:dyDescent="0.25">
      <c r="A1119">
        <v>34</v>
      </c>
      <c r="B1119" t="str">
        <f>_xlfn.XLOOKUP(Table1[[#This Row],[Attrition]],Table2[Attrition],Table2[Id_Attrition])</f>
        <v>A002</v>
      </c>
      <c r="C1119" t="s">
        <v>33</v>
      </c>
      <c r="D1119" t="str">
        <f>_xlfn.XLOOKUP(Table1[[#This Row],[BusinessTravel]],Table5[BusinessTravel],Table5[Id_BusinessTravel])</f>
        <v>BS001</v>
      </c>
      <c r="E1119" t="s">
        <v>34</v>
      </c>
      <c r="F1119">
        <v>1351</v>
      </c>
      <c r="G1119" t="str">
        <f>_xlfn.XLOOKUP(Table1[[#This Row],[Department]],Table6[Department],Table6[Id_Departement])</f>
        <v>D002</v>
      </c>
      <c r="H1119" t="s">
        <v>38</v>
      </c>
      <c r="I1119">
        <v>1</v>
      </c>
      <c r="J1119" t="str">
        <f>_xlfn.XLOOKUP(Table1[[#This Row],[Education]],Table8[Education],Table8[Id_Education])</f>
        <v>E004</v>
      </c>
      <c r="K1119">
        <v>4</v>
      </c>
      <c r="L1119" t="str">
        <f>_xlfn.XLOOKUP(Table1[[#This Row],[EducationField]],Table7[EducationField],Table7[Id_EducationField])</f>
        <v>EF001</v>
      </c>
      <c r="M1119" t="s">
        <v>40</v>
      </c>
      <c r="N1119" t="str">
        <f>_xlfn.XLOOKUP(Table1[[#This Row],[EmployeeNumber]],Table4[EmployeeNumber],Table4[Id_Employee])</f>
        <v>EMP01118</v>
      </c>
      <c r="O1119">
        <v>1580</v>
      </c>
      <c r="P1119" t="str">
        <f>_xlfn.XLOOKUP(Table1[[#This Row],[EnvironmentSatisfaction]],Table9[EnvironmentSatisfaction],Table9[Id_EnviromentSatisfaction])</f>
        <v>ES002</v>
      </c>
      <c r="Q1119">
        <v>2</v>
      </c>
      <c r="R1119" t="str">
        <f>_xlfn.XLOOKUP(Table1[[#This Row],[EnvironmentSatisfaction]],Table9[EnvironmentSatisfaction],Table9[Deskripsi])</f>
        <v>Medium</v>
      </c>
      <c r="S1119" t="str">
        <f>_xlfn.XLOOKUP(Table1[[#This Row],[Gender]],Table10[Gender],Table10[Id_Gender])</f>
        <v>G002</v>
      </c>
      <c r="T1119" t="s">
        <v>46</v>
      </c>
      <c r="U1119">
        <v>45</v>
      </c>
      <c r="V1119" t="str">
        <f>_xlfn.XLOOKUP(Table1[[#This Row],[JobInvolvement]],Table11[JobInvolvement],Table11[Id_JobInvolvement])</f>
        <v>JI003</v>
      </c>
      <c r="W1119">
        <v>3</v>
      </c>
      <c r="X1119" t="str">
        <f>_xlfn.XLOOKUP(Table1[[#This Row],[JobLevel]],Table12[JobLevel],Table12[Id_JobLevel])</f>
        <v>JL002</v>
      </c>
      <c r="Y1119">
        <v>2</v>
      </c>
      <c r="Z1119" t="str">
        <f>_xlfn.XLOOKUP(Table1[[#This Row],[JobRole]],Table13[JobRole],Table13[Id_JobRole])</f>
        <v>JR002</v>
      </c>
      <c r="AA1119" t="s">
        <v>48</v>
      </c>
      <c r="AB1119" t="str">
        <f>_xlfn.XLOOKUP(Table1[[#This Row],[JobSatisfaction]],Table14[JobSatisfaction],Table14[Id_JobSatisfaction])</f>
        <v>JS004</v>
      </c>
      <c r="AC1119">
        <v>4</v>
      </c>
      <c r="AD1119" t="str">
        <f>_xlfn.XLOOKUP(Table1[[#This Row],[JobSatisfaction]],Table14[JobSatisfaction],Table14[Deskripsi])</f>
        <v>Very High</v>
      </c>
      <c r="AE1119" t="str">
        <f>_xlfn.XLOOKUP(Table1[[#This Row],[MaritalStatus]],Table15[MaritalStatus],Table15[Id_MaritalStatus])</f>
        <v>MS002</v>
      </c>
      <c r="AF1119" t="s">
        <v>56</v>
      </c>
      <c r="AG1119">
        <v>5484</v>
      </c>
      <c r="AH1119">
        <v>13008</v>
      </c>
      <c r="AI1119">
        <v>9</v>
      </c>
      <c r="AJ1119" t="str">
        <f>_xlfn.XLOOKUP(Table1[[#This Row],[OverTime]],Table16[OverTime],Table16[Id_OverTime])</f>
        <v>OT002</v>
      </c>
      <c r="AK1119" t="s">
        <v>33</v>
      </c>
      <c r="AL1119">
        <v>17</v>
      </c>
      <c r="AM1119" t="str">
        <f>_xlfn.XLOOKUP(Table1[[#This Row],[PerformanceRating]],Table17[PerformanceRating],Table17[Id_PerformanceRating])</f>
        <v>PR003</v>
      </c>
      <c r="AN1119">
        <v>3</v>
      </c>
      <c r="AO1119" t="str">
        <f>_xlfn.XLOOKUP(Table1[[#This Row],[PerformanceRating]],Table17[PerformanceRating],Table17[Deskripsi])</f>
        <v>Excellent</v>
      </c>
      <c r="AP1119" t="str">
        <f>_xlfn.XLOOKUP(Table1[[#This Row],[RelationshipSatisfaction]],Table18[RelationshipSatisfaction],Table18[Id_RelationshipSatisfaction])</f>
        <v>RS002</v>
      </c>
      <c r="AQ1119">
        <v>2</v>
      </c>
      <c r="AR1119" t="str">
        <f>_xlfn.XLOOKUP(Table1[[#This Row],[RelationshipSatisfaction]],Table18[RelationshipSatisfaction],Table18[Deskripsi])</f>
        <v>Medium</v>
      </c>
      <c r="AS1119" t="str">
        <f>_xlfn.XLOOKUP(Table1[[#This Row],[StockOptionLevel]],Table19[StockOptionLevel],Table19[Id_StockOptionLevel])</f>
        <v>SOL002</v>
      </c>
      <c r="AT1119">
        <v>1</v>
      </c>
      <c r="AU1119" t="str">
        <f>_xlfn.XLOOKUP(Table1[[#This Row],[StockOptionLevel]],Table19[StockOptionLevel],Table19[Deskripsi])</f>
        <v>Standard</v>
      </c>
      <c r="AV1119">
        <v>9</v>
      </c>
      <c r="AW1119">
        <v>3</v>
      </c>
      <c r="AX1119" t="str">
        <f>_xlfn.XLOOKUP(Table1[[#This Row],[WorkLifeBalance]],Table20[WorkLifeBalance],Table20[Id_WorkLifeBalance])</f>
        <v>WLB003</v>
      </c>
      <c r="AY1119">
        <v>2</v>
      </c>
      <c r="AZ1119" t="str">
        <f>_xlfn.XLOOKUP(Table1[[#This Row],[WorkLifeBalance]],Table20[WorkLifeBalance],Table20[Deskripsi])</f>
        <v>Better</v>
      </c>
      <c r="BA1119">
        <v>2</v>
      </c>
      <c r="BB1119">
        <v>2</v>
      </c>
      <c r="BC1119">
        <v>2</v>
      </c>
      <c r="BD1119">
        <v>1</v>
      </c>
    </row>
    <row r="1120" spans="1:56" x14ac:dyDescent="0.25">
      <c r="A1120">
        <v>26</v>
      </c>
      <c r="B1120" t="str">
        <f>_xlfn.XLOOKUP(Table1[[#This Row],[Attrition]],Table2[Attrition],Table2[Id_Attrition])</f>
        <v>A002</v>
      </c>
      <c r="C1120" t="s">
        <v>33</v>
      </c>
      <c r="D1120" t="str">
        <f>_xlfn.XLOOKUP(Table1[[#This Row],[BusinessTravel]],Table5[BusinessTravel],Table5[Id_BusinessTravel])</f>
        <v>BS001</v>
      </c>
      <c r="E1120" t="s">
        <v>34</v>
      </c>
      <c r="F1120">
        <v>474</v>
      </c>
      <c r="G1120" t="str">
        <f>_xlfn.XLOOKUP(Table1[[#This Row],[Department]],Table6[Department],Table6[Id_Departement])</f>
        <v>D002</v>
      </c>
      <c r="H1120" t="s">
        <v>38</v>
      </c>
      <c r="I1120">
        <v>3</v>
      </c>
      <c r="J1120" t="str">
        <f>_xlfn.XLOOKUP(Table1[[#This Row],[Education]],Table8[Education],Table8[Id_Education])</f>
        <v>E003</v>
      </c>
      <c r="K1120">
        <v>3</v>
      </c>
      <c r="L1120" t="str">
        <f>_xlfn.XLOOKUP(Table1[[#This Row],[EducationField]],Table7[EducationField],Table7[Id_EducationField])</f>
        <v>EF001</v>
      </c>
      <c r="M1120" t="s">
        <v>40</v>
      </c>
      <c r="N1120" t="str">
        <f>_xlfn.XLOOKUP(Table1[[#This Row],[EmployeeNumber]],Table4[EmployeeNumber],Table4[Id_Employee])</f>
        <v>EMP01119</v>
      </c>
      <c r="O1120">
        <v>1581</v>
      </c>
      <c r="P1120" t="str">
        <f>_xlfn.XLOOKUP(Table1[[#This Row],[EnvironmentSatisfaction]],Table9[EnvironmentSatisfaction],Table9[Id_EnviromentSatisfaction])</f>
        <v>ES001</v>
      </c>
      <c r="Q1120">
        <v>1</v>
      </c>
      <c r="R1120" t="str">
        <f>_xlfn.XLOOKUP(Table1[[#This Row],[EnvironmentSatisfaction]],Table9[EnvironmentSatisfaction],Table9[Deskripsi])</f>
        <v>Low</v>
      </c>
      <c r="S1120" t="str">
        <f>_xlfn.XLOOKUP(Table1[[#This Row],[Gender]],Table10[Gender],Table10[Id_Gender])</f>
        <v>G001</v>
      </c>
      <c r="T1120" t="s">
        <v>45</v>
      </c>
      <c r="U1120">
        <v>89</v>
      </c>
      <c r="V1120" t="str">
        <f>_xlfn.XLOOKUP(Table1[[#This Row],[JobInvolvement]],Table11[JobInvolvement],Table11[Id_JobInvolvement])</f>
        <v>JI003</v>
      </c>
      <c r="W1120">
        <v>3</v>
      </c>
      <c r="X1120" t="str">
        <f>_xlfn.XLOOKUP(Table1[[#This Row],[JobLevel]],Table12[JobLevel],Table12[Id_JobLevel])</f>
        <v>JL001</v>
      </c>
      <c r="Y1120">
        <v>1</v>
      </c>
      <c r="Z1120" t="str">
        <f>_xlfn.XLOOKUP(Table1[[#This Row],[JobRole]],Table13[JobRole],Table13[Id_JobRole])</f>
        <v>JR002</v>
      </c>
      <c r="AA1120" t="s">
        <v>48</v>
      </c>
      <c r="AB1120" t="str">
        <f>_xlfn.XLOOKUP(Table1[[#This Row],[JobSatisfaction]],Table14[JobSatisfaction],Table14[Id_JobSatisfaction])</f>
        <v>JS004</v>
      </c>
      <c r="AC1120">
        <v>4</v>
      </c>
      <c r="AD1120" t="str">
        <f>_xlfn.XLOOKUP(Table1[[#This Row],[JobSatisfaction]],Table14[JobSatisfaction],Table14[Deskripsi])</f>
        <v>Very High</v>
      </c>
      <c r="AE1120" t="str">
        <f>_xlfn.XLOOKUP(Table1[[#This Row],[MaritalStatus]],Table15[MaritalStatus],Table15[Id_MaritalStatus])</f>
        <v>MS002</v>
      </c>
      <c r="AF1120" t="s">
        <v>56</v>
      </c>
      <c r="AG1120">
        <v>2061</v>
      </c>
      <c r="AH1120">
        <v>11133</v>
      </c>
      <c r="AI1120">
        <v>1</v>
      </c>
      <c r="AJ1120" t="str">
        <f>_xlfn.XLOOKUP(Table1[[#This Row],[OverTime]],Table16[OverTime],Table16[Id_OverTime])</f>
        <v>OT002</v>
      </c>
      <c r="AK1120" t="s">
        <v>33</v>
      </c>
      <c r="AL1120">
        <v>21</v>
      </c>
      <c r="AM1120" t="str">
        <f>_xlfn.XLOOKUP(Table1[[#This Row],[PerformanceRating]],Table17[PerformanceRating],Table17[Id_PerformanceRating])</f>
        <v>PR004</v>
      </c>
      <c r="AN1120">
        <v>4</v>
      </c>
      <c r="AO1120" t="str">
        <f>_xlfn.XLOOKUP(Table1[[#This Row],[PerformanceRating]],Table17[PerformanceRating],Table17[Deskripsi])</f>
        <v>Outstanding</v>
      </c>
      <c r="AP1120" t="str">
        <f>_xlfn.XLOOKUP(Table1[[#This Row],[RelationshipSatisfaction]],Table18[RelationshipSatisfaction],Table18[Id_RelationshipSatisfaction])</f>
        <v>RS001</v>
      </c>
      <c r="AQ1120">
        <v>1</v>
      </c>
      <c r="AR1120" t="str">
        <f>_xlfn.XLOOKUP(Table1[[#This Row],[RelationshipSatisfaction]],Table18[RelationshipSatisfaction],Table18[Deskripsi])</f>
        <v>Low</v>
      </c>
      <c r="AS1120" t="str">
        <f>_xlfn.XLOOKUP(Table1[[#This Row],[StockOptionLevel]],Table19[StockOptionLevel],Table19[Id_StockOptionLevel])</f>
        <v>SOL001</v>
      </c>
      <c r="AT1120">
        <v>0</v>
      </c>
      <c r="AU1120" t="str">
        <f>_xlfn.XLOOKUP(Table1[[#This Row],[StockOptionLevel]],Table19[StockOptionLevel],Table19[Deskripsi])</f>
        <v>Non-Eligible</v>
      </c>
      <c r="AV1120">
        <v>1</v>
      </c>
      <c r="AW1120">
        <v>5</v>
      </c>
      <c r="AX1120" t="str">
        <f>_xlfn.XLOOKUP(Table1[[#This Row],[WorkLifeBalance]],Table20[WorkLifeBalance],Table20[Id_WorkLifeBalance])</f>
        <v>WLB002</v>
      </c>
      <c r="AY1120">
        <v>3</v>
      </c>
      <c r="AZ1120" t="str">
        <f>_xlfn.XLOOKUP(Table1[[#This Row],[WorkLifeBalance]],Table20[WorkLifeBalance],Table20[Deskripsi])</f>
        <v>Good</v>
      </c>
      <c r="BA1120">
        <v>1</v>
      </c>
      <c r="BB1120">
        <v>0</v>
      </c>
      <c r="BC1120">
        <v>0</v>
      </c>
      <c r="BD1120">
        <v>0</v>
      </c>
    </row>
    <row r="1121" spans="1:56" x14ac:dyDescent="0.25">
      <c r="A1121">
        <v>38</v>
      </c>
      <c r="B1121" t="str">
        <f>_xlfn.XLOOKUP(Table1[[#This Row],[Attrition]],Table2[Attrition],Table2[Id_Attrition])</f>
        <v>A002</v>
      </c>
      <c r="C1121" t="s">
        <v>33</v>
      </c>
      <c r="D1121" t="str">
        <f>_xlfn.XLOOKUP(Table1[[#This Row],[BusinessTravel]],Table5[BusinessTravel],Table5[Id_BusinessTravel])</f>
        <v>BS001</v>
      </c>
      <c r="E1121" t="s">
        <v>34</v>
      </c>
      <c r="F1121">
        <v>1245</v>
      </c>
      <c r="G1121" t="str">
        <f>_xlfn.XLOOKUP(Table1[[#This Row],[Department]],Table6[Department],Table6[Id_Departement])</f>
        <v>D001</v>
      </c>
      <c r="H1121" t="s">
        <v>37</v>
      </c>
      <c r="I1121">
        <v>14</v>
      </c>
      <c r="J1121" t="str">
        <f>_xlfn.XLOOKUP(Table1[[#This Row],[Education]],Table8[Education],Table8[Id_Education])</f>
        <v>E003</v>
      </c>
      <c r="K1121">
        <v>3</v>
      </c>
      <c r="L1121" t="str">
        <f>_xlfn.XLOOKUP(Table1[[#This Row],[EducationField]],Table7[EducationField],Table7[Id_EducationField])</f>
        <v>EF001</v>
      </c>
      <c r="M1121" t="s">
        <v>40</v>
      </c>
      <c r="N1121" t="str">
        <f>_xlfn.XLOOKUP(Table1[[#This Row],[EmployeeNumber]],Table4[EmployeeNumber],Table4[Id_Employee])</f>
        <v>EMP01120</v>
      </c>
      <c r="O1121">
        <v>1582</v>
      </c>
      <c r="P1121" t="str">
        <f>_xlfn.XLOOKUP(Table1[[#This Row],[EnvironmentSatisfaction]],Table9[EnvironmentSatisfaction],Table9[Id_EnviromentSatisfaction])</f>
        <v>ES003</v>
      </c>
      <c r="Q1121">
        <v>3</v>
      </c>
      <c r="R1121" t="str">
        <f>_xlfn.XLOOKUP(Table1[[#This Row],[EnvironmentSatisfaction]],Table9[EnvironmentSatisfaction],Table9[Deskripsi])</f>
        <v>High</v>
      </c>
      <c r="S1121" t="str">
        <f>_xlfn.XLOOKUP(Table1[[#This Row],[Gender]],Table10[Gender],Table10[Id_Gender])</f>
        <v>G002</v>
      </c>
      <c r="T1121" t="s">
        <v>46</v>
      </c>
      <c r="U1121">
        <v>80</v>
      </c>
      <c r="V1121" t="str">
        <f>_xlfn.XLOOKUP(Table1[[#This Row],[JobInvolvement]],Table11[JobInvolvement],Table11[Id_JobInvolvement])</f>
        <v>JI003</v>
      </c>
      <c r="W1121">
        <v>3</v>
      </c>
      <c r="X1121" t="str">
        <f>_xlfn.XLOOKUP(Table1[[#This Row],[JobLevel]],Table12[JobLevel],Table12[Id_JobLevel])</f>
        <v>JL002</v>
      </c>
      <c r="Y1121">
        <v>2</v>
      </c>
      <c r="Z1121" t="str">
        <f>_xlfn.XLOOKUP(Table1[[#This Row],[JobRole]],Table13[JobRole],Table13[Id_JobRole])</f>
        <v>JR001</v>
      </c>
      <c r="AA1121" t="s">
        <v>47</v>
      </c>
      <c r="AB1121" t="str">
        <f>_xlfn.XLOOKUP(Table1[[#This Row],[JobSatisfaction]],Table14[JobSatisfaction],Table14[Id_JobSatisfaction])</f>
        <v>JS002</v>
      </c>
      <c r="AC1121">
        <v>2</v>
      </c>
      <c r="AD1121" t="str">
        <f>_xlfn.XLOOKUP(Table1[[#This Row],[JobSatisfaction]],Table14[JobSatisfaction],Table14[Deskripsi])</f>
        <v>Medium</v>
      </c>
      <c r="AE1121" t="str">
        <f>_xlfn.XLOOKUP(Table1[[#This Row],[MaritalStatus]],Table15[MaritalStatus],Table15[Id_MaritalStatus])</f>
        <v>MS002</v>
      </c>
      <c r="AF1121" t="s">
        <v>56</v>
      </c>
      <c r="AG1121">
        <v>9924</v>
      </c>
      <c r="AH1121">
        <v>12355</v>
      </c>
      <c r="AI1121">
        <v>0</v>
      </c>
      <c r="AJ1121" t="str">
        <f>_xlfn.XLOOKUP(Table1[[#This Row],[OverTime]],Table16[OverTime],Table16[Id_OverTime])</f>
        <v>OT002</v>
      </c>
      <c r="AK1121" t="s">
        <v>33</v>
      </c>
      <c r="AL1121">
        <v>11</v>
      </c>
      <c r="AM1121" t="str">
        <f>_xlfn.XLOOKUP(Table1[[#This Row],[PerformanceRating]],Table17[PerformanceRating],Table17[Id_PerformanceRating])</f>
        <v>PR003</v>
      </c>
      <c r="AN1121">
        <v>3</v>
      </c>
      <c r="AO1121" t="str">
        <f>_xlfn.XLOOKUP(Table1[[#This Row],[PerformanceRating]],Table17[PerformanceRating],Table17[Deskripsi])</f>
        <v>Excellent</v>
      </c>
      <c r="AP1121" t="str">
        <f>_xlfn.XLOOKUP(Table1[[#This Row],[RelationshipSatisfaction]],Table18[RelationshipSatisfaction],Table18[Id_RelationshipSatisfaction])</f>
        <v>RS004</v>
      </c>
      <c r="AQ1121">
        <v>4</v>
      </c>
      <c r="AR1121" t="str">
        <f>_xlfn.XLOOKUP(Table1[[#This Row],[RelationshipSatisfaction]],Table18[RelationshipSatisfaction],Table18[Deskripsi])</f>
        <v>Very High</v>
      </c>
      <c r="AS1121" t="str">
        <f>_xlfn.XLOOKUP(Table1[[#This Row],[StockOptionLevel]],Table19[StockOptionLevel],Table19[Id_StockOptionLevel])</f>
        <v>SOL002</v>
      </c>
      <c r="AT1121">
        <v>1</v>
      </c>
      <c r="AU1121" t="str">
        <f>_xlfn.XLOOKUP(Table1[[#This Row],[StockOptionLevel]],Table19[StockOptionLevel],Table19[Deskripsi])</f>
        <v>Standard</v>
      </c>
      <c r="AV1121">
        <v>10</v>
      </c>
      <c r="AW1121">
        <v>3</v>
      </c>
      <c r="AX1121" t="str">
        <f>_xlfn.XLOOKUP(Table1[[#This Row],[WorkLifeBalance]],Table20[WorkLifeBalance],Table20[Id_WorkLifeBalance])</f>
        <v>WLB002</v>
      </c>
      <c r="AY1121">
        <v>3</v>
      </c>
      <c r="AZ1121" t="str">
        <f>_xlfn.XLOOKUP(Table1[[#This Row],[WorkLifeBalance]],Table20[WorkLifeBalance],Table20[Deskripsi])</f>
        <v>Good</v>
      </c>
      <c r="BA1121">
        <v>9</v>
      </c>
      <c r="BB1121">
        <v>8</v>
      </c>
      <c r="BC1121">
        <v>7</v>
      </c>
      <c r="BD1121">
        <v>7</v>
      </c>
    </row>
    <row r="1122" spans="1:56" x14ac:dyDescent="0.25">
      <c r="A1122">
        <v>38</v>
      </c>
      <c r="B1122" t="str">
        <f>_xlfn.XLOOKUP(Table1[[#This Row],[Attrition]],Table2[Attrition],Table2[Id_Attrition])</f>
        <v>A002</v>
      </c>
      <c r="C1122" t="s">
        <v>33</v>
      </c>
      <c r="D1122" t="str">
        <f>_xlfn.XLOOKUP(Table1[[#This Row],[BusinessTravel]],Table5[BusinessTravel],Table5[Id_BusinessTravel])</f>
        <v>BS001</v>
      </c>
      <c r="E1122" t="s">
        <v>34</v>
      </c>
      <c r="F1122">
        <v>437</v>
      </c>
      <c r="G1122" t="str">
        <f>_xlfn.XLOOKUP(Table1[[#This Row],[Department]],Table6[Department],Table6[Id_Departement])</f>
        <v>D001</v>
      </c>
      <c r="H1122" t="s">
        <v>37</v>
      </c>
      <c r="I1122">
        <v>16</v>
      </c>
      <c r="J1122" t="str">
        <f>_xlfn.XLOOKUP(Table1[[#This Row],[Education]],Table8[Education],Table8[Id_Education])</f>
        <v>E003</v>
      </c>
      <c r="K1122">
        <v>3</v>
      </c>
      <c r="L1122" t="str">
        <f>_xlfn.XLOOKUP(Table1[[#This Row],[EducationField]],Table7[EducationField],Table7[Id_EducationField])</f>
        <v>EF001</v>
      </c>
      <c r="M1122" t="s">
        <v>40</v>
      </c>
      <c r="N1122" t="str">
        <f>_xlfn.XLOOKUP(Table1[[#This Row],[EmployeeNumber]],Table4[EmployeeNumber],Table4[Id_Employee])</f>
        <v>EMP01121</v>
      </c>
      <c r="O1122">
        <v>1583</v>
      </c>
      <c r="P1122" t="str">
        <f>_xlfn.XLOOKUP(Table1[[#This Row],[EnvironmentSatisfaction]],Table9[EnvironmentSatisfaction],Table9[Id_EnviromentSatisfaction])</f>
        <v>ES002</v>
      </c>
      <c r="Q1122">
        <v>2</v>
      </c>
      <c r="R1122" t="str">
        <f>_xlfn.XLOOKUP(Table1[[#This Row],[EnvironmentSatisfaction]],Table9[EnvironmentSatisfaction],Table9[Deskripsi])</f>
        <v>Medium</v>
      </c>
      <c r="S1122" t="str">
        <f>_xlfn.XLOOKUP(Table1[[#This Row],[Gender]],Table10[Gender],Table10[Id_Gender])</f>
        <v>G001</v>
      </c>
      <c r="T1122" t="s">
        <v>45</v>
      </c>
      <c r="U1122">
        <v>90</v>
      </c>
      <c r="V1122" t="str">
        <f>_xlfn.XLOOKUP(Table1[[#This Row],[JobInvolvement]],Table11[JobInvolvement],Table11[Id_JobInvolvement])</f>
        <v>JI003</v>
      </c>
      <c r="W1122">
        <v>3</v>
      </c>
      <c r="X1122" t="str">
        <f>_xlfn.XLOOKUP(Table1[[#This Row],[JobLevel]],Table12[JobLevel],Table12[Id_JobLevel])</f>
        <v>JL002</v>
      </c>
      <c r="Y1122">
        <v>2</v>
      </c>
      <c r="Z1122" t="str">
        <f>_xlfn.XLOOKUP(Table1[[#This Row],[JobRole]],Table13[JobRole],Table13[Id_JobRole])</f>
        <v>JR001</v>
      </c>
      <c r="AA1122" t="s">
        <v>47</v>
      </c>
      <c r="AB1122" t="str">
        <f>_xlfn.XLOOKUP(Table1[[#This Row],[JobSatisfaction]],Table14[JobSatisfaction],Table14[Id_JobSatisfaction])</f>
        <v>JS002</v>
      </c>
      <c r="AC1122">
        <v>2</v>
      </c>
      <c r="AD1122" t="str">
        <f>_xlfn.XLOOKUP(Table1[[#This Row],[JobSatisfaction]],Table14[JobSatisfaction],Table14[Deskripsi])</f>
        <v>Medium</v>
      </c>
      <c r="AE1122" t="str">
        <f>_xlfn.XLOOKUP(Table1[[#This Row],[MaritalStatus]],Table15[MaritalStatus],Table15[Id_MaritalStatus])</f>
        <v>MS001</v>
      </c>
      <c r="AF1122" t="s">
        <v>55</v>
      </c>
      <c r="AG1122">
        <v>4198</v>
      </c>
      <c r="AH1122">
        <v>16379</v>
      </c>
      <c r="AI1122">
        <v>2</v>
      </c>
      <c r="AJ1122" t="str">
        <f>_xlfn.XLOOKUP(Table1[[#This Row],[OverTime]],Table16[OverTime],Table16[Id_OverTime])</f>
        <v>OT002</v>
      </c>
      <c r="AK1122" t="s">
        <v>33</v>
      </c>
      <c r="AL1122">
        <v>12</v>
      </c>
      <c r="AM1122" t="str">
        <f>_xlfn.XLOOKUP(Table1[[#This Row],[PerformanceRating]],Table17[PerformanceRating],Table17[Id_PerformanceRating])</f>
        <v>PR003</v>
      </c>
      <c r="AN1122">
        <v>3</v>
      </c>
      <c r="AO1122" t="str">
        <f>_xlfn.XLOOKUP(Table1[[#This Row],[PerformanceRating]],Table17[PerformanceRating],Table17[Deskripsi])</f>
        <v>Excellent</v>
      </c>
      <c r="AP1122" t="str">
        <f>_xlfn.XLOOKUP(Table1[[#This Row],[RelationshipSatisfaction]],Table18[RelationshipSatisfaction],Table18[Id_RelationshipSatisfaction])</f>
        <v>RS002</v>
      </c>
      <c r="AQ1122">
        <v>2</v>
      </c>
      <c r="AR1122" t="str">
        <f>_xlfn.XLOOKUP(Table1[[#This Row],[RelationshipSatisfaction]],Table18[RelationshipSatisfaction],Table18[Deskripsi])</f>
        <v>Medium</v>
      </c>
      <c r="AS1122" t="str">
        <f>_xlfn.XLOOKUP(Table1[[#This Row],[StockOptionLevel]],Table19[StockOptionLevel],Table19[Id_StockOptionLevel])</f>
        <v>SOL001</v>
      </c>
      <c r="AT1122">
        <v>0</v>
      </c>
      <c r="AU1122" t="str">
        <f>_xlfn.XLOOKUP(Table1[[#This Row],[StockOptionLevel]],Table19[StockOptionLevel],Table19[Deskripsi])</f>
        <v>Non-Eligible</v>
      </c>
      <c r="AV1122">
        <v>8</v>
      </c>
      <c r="AW1122">
        <v>5</v>
      </c>
      <c r="AX1122" t="str">
        <f>_xlfn.XLOOKUP(Table1[[#This Row],[WorkLifeBalance]],Table20[WorkLifeBalance],Table20[Id_WorkLifeBalance])</f>
        <v>WLB004</v>
      </c>
      <c r="AY1122">
        <v>4</v>
      </c>
      <c r="AZ1122" t="str">
        <f>_xlfn.XLOOKUP(Table1[[#This Row],[WorkLifeBalance]],Table20[WorkLifeBalance],Table20[Deskripsi])</f>
        <v>Best</v>
      </c>
      <c r="BA1122">
        <v>3</v>
      </c>
      <c r="BB1122">
        <v>2</v>
      </c>
      <c r="BC1122">
        <v>1</v>
      </c>
      <c r="BD1122">
        <v>2</v>
      </c>
    </row>
    <row r="1123" spans="1:56" x14ac:dyDescent="0.25">
      <c r="A1123">
        <v>36</v>
      </c>
      <c r="B1123" t="str">
        <f>_xlfn.XLOOKUP(Table1[[#This Row],[Attrition]],Table2[Attrition],Table2[Id_Attrition])</f>
        <v>A002</v>
      </c>
      <c r="C1123" t="s">
        <v>33</v>
      </c>
      <c r="D1123" t="str">
        <f>_xlfn.XLOOKUP(Table1[[#This Row],[BusinessTravel]],Table5[BusinessTravel],Table5[Id_BusinessTravel])</f>
        <v>BS001</v>
      </c>
      <c r="E1123" t="s">
        <v>34</v>
      </c>
      <c r="F1123">
        <v>884</v>
      </c>
      <c r="G1123" t="str">
        <f>_xlfn.XLOOKUP(Table1[[#This Row],[Department]],Table6[Department],Table6[Id_Departement])</f>
        <v>D001</v>
      </c>
      <c r="H1123" t="s">
        <v>37</v>
      </c>
      <c r="I1123">
        <v>1</v>
      </c>
      <c r="J1123" t="str">
        <f>_xlfn.XLOOKUP(Table1[[#This Row],[Education]],Table8[Education],Table8[Id_Education])</f>
        <v>E004</v>
      </c>
      <c r="K1123">
        <v>4</v>
      </c>
      <c r="L1123" t="str">
        <f>_xlfn.XLOOKUP(Table1[[#This Row],[EducationField]],Table7[EducationField],Table7[Id_EducationField])</f>
        <v>EF001</v>
      </c>
      <c r="M1123" t="s">
        <v>40</v>
      </c>
      <c r="N1123" t="str">
        <f>_xlfn.XLOOKUP(Table1[[#This Row],[EmployeeNumber]],Table4[EmployeeNumber],Table4[Id_Employee])</f>
        <v>EMP01122</v>
      </c>
      <c r="O1123">
        <v>1585</v>
      </c>
      <c r="P1123" t="str">
        <f>_xlfn.XLOOKUP(Table1[[#This Row],[EnvironmentSatisfaction]],Table9[EnvironmentSatisfaction],Table9[Id_EnviromentSatisfaction])</f>
        <v>ES002</v>
      </c>
      <c r="Q1123">
        <v>2</v>
      </c>
      <c r="R1123" t="str">
        <f>_xlfn.XLOOKUP(Table1[[#This Row],[EnvironmentSatisfaction]],Table9[EnvironmentSatisfaction],Table9[Deskripsi])</f>
        <v>Medium</v>
      </c>
      <c r="S1123" t="str">
        <f>_xlfn.XLOOKUP(Table1[[#This Row],[Gender]],Table10[Gender],Table10[Id_Gender])</f>
        <v>G001</v>
      </c>
      <c r="T1123" t="s">
        <v>45</v>
      </c>
      <c r="U1123">
        <v>73</v>
      </c>
      <c r="V1123" t="str">
        <f>_xlfn.XLOOKUP(Table1[[#This Row],[JobInvolvement]],Table11[JobInvolvement],Table11[Id_JobInvolvement])</f>
        <v>JI003</v>
      </c>
      <c r="W1123">
        <v>3</v>
      </c>
      <c r="X1123" t="str">
        <f>_xlfn.XLOOKUP(Table1[[#This Row],[JobLevel]],Table12[JobLevel],Table12[Id_JobLevel])</f>
        <v>JL002</v>
      </c>
      <c r="Y1123">
        <v>2</v>
      </c>
      <c r="Z1123" t="str">
        <f>_xlfn.XLOOKUP(Table1[[#This Row],[JobRole]],Table13[JobRole],Table13[Id_JobRole])</f>
        <v>JR001</v>
      </c>
      <c r="AA1123" t="s">
        <v>47</v>
      </c>
      <c r="AB1123" t="str">
        <f>_xlfn.XLOOKUP(Table1[[#This Row],[JobSatisfaction]],Table14[JobSatisfaction],Table14[Id_JobSatisfaction])</f>
        <v>JS003</v>
      </c>
      <c r="AC1123">
        <v>3</v>
      </c>
      <c r="AD1123" t="str">
        <f>_xlfn.XLOOKUP(Table1[[#This Row],[JobSatisfaction]],Table14[JobSatisfaction],Table14[Deskripsi])</f>
        <v>High</v>
      </c>
      <c r="AE1123" t="str">
        <f>_xlfn.XLOOKUP(Table1[[#This Row],[MaritalStatus]],Table15[MaritalStatus],Table15[Id_MaritalStatus])</f>
        <v>MS001</v>
      </c>
      <c r="AF1123" t="s">
        <v>55</v>
      </c>
      <c r="AG1123">
        <v>6815</v>
      </c>
      <c r="AH1123">
        <v>21447</v>
      </c>
      <c r="AI1123">
        <v>6</v>
      </c>
      <c r="AJ1123" t="str">
        <f>_xlfn.XLOOKUP(Table1[[#This Row],[OverTime]],Table16[OverTime],Table16[Id_OverTime])</f>
        <v>OT002</v>
      </c>
      <c r="AK1123" t="s">
        <v>33</v>
      </c>
      <c r="AL1123">
        <v>13</v>
      </c>
      <c r="AM1123" t="str">
        <f>_xlfn.XLOOKUP(Table1[[#This Row],[PerformanceRating]],Table17[PerformanceRating],Table17[Id_PerformanceRating])</f>
        <v>PR003</v>
      </c>
      <c r="AN1123">
        <v>3</v>
      </c>
      <c r="AO1123" t="str">
        <f>_xlfn.XLOOKUP(Table1[[#This Row],[PerformanceRating]],Table17[PerformanceRating],Table17[Deskripsi])</f>
        <v>Excellent</v>
      </c>
      <c r="AP1123" t="str">
        <f>_xlfn.XLOOKUP(Table1[[#This Row],[RelationshipSatisfaction]],Table18[RelationshipSatisfaction],Table18[Id_RelationshipSatisfaction])</f>
        <v>RS001</v>
      </c>
      <c r="AQ1123">
        <v>1</v>
      </c>
      <c r="AR1123" t="str">
        <f>_xlfn.XLOOKUP(Table1[[#This Row],[RelationshipSatisfaction]],Table18[RelationshipSatisfaction],Table18[Deskripsi])</f>
        <v>Low</v>
      </c>
      <c r="AS1123" t="str">
        <f>_xlfn.XLOOKUP(Table1[[#This Row],[StockOptionLevel]],Table19[StockOptionLevel],Table19[Id_StockOptionLevel])</f>
        <v>SOL001</v>
      </c>
      <c r="AT1123">
        <v>0</v>
      </c>
      <c r="AU1123" t="str">
        <f>_xlfn.XLOOKUP(Table1[[#This Row],[StockOptionLevel]],Table19[StockOptionLevel],Table19[Deskripsi])</f>
        <v>Non-Eligible</v>
      </c>
      <c r="AV1123">
        <v>15</v>
      </c>
      <c r="AW1123">
        <v>5</v>
      </c>
      <c r="AX1123" t="str">
        <f>_xlfn.XLOOKUP(Table1[[#This Row],[WorkLifeBalance]],Table20[WorkLifeBalance],Table20[Id_WorkLifeBalance])</f>
        <v>WLB002</v>
      </c>
      <c r="AY1123">
        <v>3</v>
      </c>
      <c r="AZ1123" t="str">
        <f>_xlfn.XLOOKUP(Table1[[#This Row],[WorkLifeBalance]],Table20[WorkLifeBalance],Table20[Deskripsi])</f>
        <v>Good</v>
      </c>
      <c r="BA1123">
        <v>1</v>
      </c>
      <c r="BB1123">
        <v>0</v>
      </c>
      <c r="BC1123">
        <v>0</v>
      </c>
      <c r="BD1123">
        <v>0</v>
      </c>
    </row>
    <row r="1124" spans="1:56" x14ac:dyDescent="0.25">
      <c r="A1124">
        <v>29</v>
      </c>
      <c r="B1124" t="str">
        <f>_xlfn.XLOOKUP(Table1[[#This Row],[Attrition]],Table2[Attrition],Table2[Id_Attrition])</f>
        <v>A002</v>
      </c>
      <c r="C1124" t="s">
        <v>33</v>
      </c>
      <c r="D1124" t="str">
        <f>_xlfn.XLOOKUP(Table1[[#This Row],[BusinessTravel]],Table5[BusinessTravel],Table5[Id_BusinessTravel])</f>
        <v>BS001</v>
      </c>
      <c r="E1124" t="s">
        <v>34</v>
      </c>
      <c r="F1124">
        <v>1370</v>
      </c>
      <c r="G1124" t="str">
        <f>_xlfn.XLOOKUP(Table1[[#This Row],[Department]],Table6[Department],Table6[Id_Departement])</f>
        <v>D002</v>
      </c>
      <c r="H1124" t="s">
        <v>38</v>
      </c>
      <c r="I1124">
        <v>3</v>
      </c>
      <c r="J1124" t="str">
        <f>_xlfn.XLOOKUP(Table1[[#This Row],[Education]],Table8[Education],Table8[Id_Education])</f>
        <v>E001</v>
      </c>
      <c r="K1124">
        <v>1</v>
      </c>
      <c r="L1124" t="str">
        <f>_xlfn.XLOOKUP(Table1[[#This Row],[EducationField]],Table7[EducationField],Table7[Id_EducationField])</f>
        <v>EF003</v>
      </c>
      <c r="M1124" t="s">
        <v>42</v>
      </c>
      <c r="N1124" t="str">
        <f>_xlfn.XLOOKUP(Table1[[#This Row],[EmployeeNumber]],Table4[EmployeeNumber],Table4[Id_Employee])</f>
        <v>EMP01123</v>
      </c>
      <c r="O1124">
        <v>1586</v>
      </c>
      <c r="P1124" t="str">
        <f>_xlfn.XLOOKUP(Table1[[#This Row],[EnvironmentSatisfaction]],Table9[EnvironmentSatisfaction],Table9[Id_EnviromentSatisfaction])</f>
        <v>ES002</v>
      </c>
      <c r="Q1124">
        <v>2</v>
      </c>
      <c r="R1124" t="str">
        <f>_xlfn.XLOOKUP(Table1[[#This Row],[EnvironmentSatisfaction]],Table9[EnvironmentSatisfaction],Table9[Deskripsi])</f>
        <v>Medium</v>
      </c>
      <c r="S1124" t="str">
        <f>_xlfn.XLOOKUP(Table1[[#This Row],[Gender]],Table10[Gender],Table10[Id_Gender])</f>
        <v>G002</v>
      </c>
      <c r="T1124" t="s">
        <v>46</v>
      </c>
      <c r="U1124">
        <v>87</v>
      </c>
      <c r="V1124" t="str">
        <f>_xlfn.XLOOKUP(Table1[[#This Row],[JobInvolvement]],Table11[JobInvolvement],Table11[Id_JobInvolvement])</f>
        <v>JI003</v>
      </c>
      <c r="W1124">
        <v>3</v>
      </c>
      <c r="X1124" t="str">
        <f>_xlfn.XLOOKUP(Table1[[#This Row],[JobLevel]],Table12[JobLevel],Table12[Id_JobLevel])</f>
        <v>JL001</v>
      </c>
      <c r="Y1124">
        <v>1</v>
      </c>
      <c r="Z1124" t="str">
        <f>_xlfn.XLOOKUP(Table1[[#This Row],[JobRole]],Table13[JobRole],Table13[Id_JobRole])</f>
        <v>JR003</v>
      </c>
      <c r="AA1124" t="s">
        <v>49</v>
      </c>
      <c r="AB1124" t="str">
        <f>_xlfn.XLOOKUP(Table1[[#This Row],[JobSatisfaction]],Table14[JobSatisfaction],Table14[Id_JobSatisfaction])</f>
        <v>JS001</v>
      </c>
      <c r="AC1124">
        <v>1</v>
      </c>
      <c r="AD1124" t="str">
        <f>_xlfn.XLOOKUP(Table1[[#This Row],[JobSatisfaction]],Table14[JobSatisfaction],Table14[Deskripsi])</f>
        <v>Low</v>
      </c>
      <c r="AE1124" t="str">
        <f>_xlfn.XLOOKUP(Table1[[#This Row],[MaritalStatus]],Table15[MaritalStatus],Table15[Id_MaritalStatus])</f>
        <v>MS001</v>
      </c>
      <c r="AF1124" t="s">
        <v>55</v>
      </c>
      <c r="AG1124">
        <v>4723</v>
      </c>
      <c r="AH1124">
        <v>16213</v>
      </c>
      <c r="AI1124">
        <v>1</v>
      </c>
      <c r="AJ1124" t="str">
        <f>_xlfn.XLOOKUP(Table1[[#This Row],[OverTime]],Table16[OverTime],Table16[Id_OverTime])</f>
        <v>OT001</v>
      </c>
      <c r="AK1124" t="s">
        <v>32</v>
      </c>
      <c r="AL1124">
        <v>18</v>
      </c>
      <c r="AM1124" t="str">
        <f>_xlfn.XLOOKUP(Table1[[#This Row],[PerformanceRating]],Table17[PerformanceRating],Table17[Id_PerformanceRating])</f>
        <v>PR003</v>
      </c>
      <c r="AN1124">
        <v>3</v>
      </c>
      <c r="AO1124" t="str">
        <f>_xlfn.XLOOKUP(Table1[[#This Row],[PerformanceRating]],Table17[PerformanceRating],Table17[Deskripsi])</f>
        <v>Excellent</v>
      </c>
      <c r="AP1124" t="str">
        <f>_xlfn.XLOOKUP(Table1[[#This Row],[RelationshipSatisfaction]],Table18[RelationshipSatisfaction],Table18[Id_RelationshipSatisfaction])</f>
        <v>RS004</v>
      </c>
      <c r="AQ1124">
        <v>4</v>
      </c>
      <c r="AR1124" t="str">
        <f>_xlfn.XLOOKUP(Table1[[#This Row],[RelationshipSatisfaction]],Table18[RelationshipSatisfaction],Table18[Deskripsi])</f>
        <v>Very High</v>
      </c>
      <c r="AS1124" t="str">
        <f>_xlfn.XLOOKUP(Table1[[#This Row],[StockOptionLevel]],Table19[StockOptionLevel],Table19[Id_StockOptionLevel])</f>
        <v>SOL001</v>
      </c>
      <c r="AT1124">
        <v>0</v>
      </c>
      <c r="AU1124" t="str">
        <f>_xlfn.XLOOKUP(Table1[[#This Row],[StockOptionLevel]],Table19[StockOptionLevel],Table19[Deskripsi])</f>
        <v>Non-Eligible</v>
      </c>
      <c r="AV1124">
        <v>10</v>
      </c>
      <c r="AW1124">
        <v>3</v>
      </c>
      <c r="AX1124" t="str">
        <f>_xlfn.XLOOKUP(Table1[[#This Row],[WorkLifeBalance]],Table20[WorkLifeBalance],Table20[Id_WorkLifeBalance])</f>
        <v>WLB002</v>
      </c>
      <c r="AY1124">
        <v>3</v>
      </c>
      <c r="AZ1124" t="str">
        <f>_xlfn.XLOOKUP(Table1[[#This Row],[WorkLifeBalance]],Table20[WorkLifeBalance],Table20[Deskripsi])</f>
        <v>Good</v>
      </c>
      <c r="BA1124">
        <v>10</v>
      </c>
      <c r="BB1124">
        <v>9</v>
      </c>
      <c r="BC1124">
        <v>1</v>
      </c>
      <c r="BD1124">
        <v>5</v>
      </c>
    </row>
    <row r="1125" spans="1:56" x14ac:dyDescent="0.25">
      <c r="A1125">
        <v>35</v>
      </c>
      <c r="B1125" t="str">
        <f>_xlfn.XLOOKUP(Table1[[#This Row],[Attrition]],Table2[Attrition],Table2[Id_Attrition])</f>
        <v>A002</v>
      </c>
      <c r="C1125" t="s">
        <v>33</v>
      </c>
      <c r="D1125" t="str">
        <f>_xlfn.XLOOKUP(Table1[[#This Row],[BusinessTravel]],Table5[BusinessTravel],Table5[Id_BusinessTravel])</f>
        <v>BS001</v>
      </c>
      <c r="E1125" t="s">
        <v>34</v>
      </c>
      <c r="F1125">
        <v>670</v>
      </c>
      <c r="G1125" t="str">
        <f>_xlfn.XLOOKUP(Table1[[#This Row],[Department]],Table6[Department],Table6[Id_Departement])</f>
        <v>D002</v>
      </c>
      <c r="H1125" t="s">
        <v>38</v>
      </c>
      <c r="I1125">
        <v>10</v>
      </c>
      <c r="J1125" t="str">
        <f>_xlfn.XLOOKUP(Table1[[#This Row],[Education]],Table8[Education],Table8[Id_Education])</f>
        <v>E004</v>
      </c>
      <c r="K1125">
        <v>4</v>
      </c>
      <c r="L1125" t="str">
        <f>_xlfn.XLOOKUP(Table1[[#This Row],[EducationField]],Table7[EducationField],Table7[Id_EducationField])</f>
        <v>EF003</v>
      </c>
      <c r="M1125" t="s">
        <v>42</v>
      </c>
      <c r="N1125" t="str">
        <f>_xlfn.XLOOKUP(Table1[[#This Row],[EmployeeNumber]],Table4[EmployeeNumber],Table4[Id_Employee])</f>
        <v>EMP01124</v>
      </c>
      <c r="O1125">
        <v>1587</v>
      </c>
      <c r="P1125" t="str">
        <f>_xlfn.XLOOKUP(Table1[[#This Row],[EnvironmentSatisfaction]],Table9[EnvironmentSatisfaction],Table9[Id_EnviromentSatisfaction])</f>
        <v>ES001</v>
      </c>
      <c r="Q1125">
        <v>1</v>
      </c>
      <c r="R1125" t="str">
        <f>_xlfn.XLOOKUP(Table1[[#This Row],[EnvironmentSatisfaction]],Table9[EnvironmentSatisfaction],Table9[Deskripsi])</f>
        <v>Low</v>
      </c>
      <c r="S1125" t="str">
        <f>_xlfn.XLOOKUP(Table1[[#This Row],[Gender]],Table10[Gender],Table10[Id_Gender])</f>
        <v>G001</v>
      </c>
      <c r="T1125" t="s">
        <v>45</v>
      </c>
      <c r="U1125">
        <v>51</v>
      </c>
      <c r="V1125" t="str">
        <f>_xlfn.XLOOKUP(Table1[[#This Row],[JobInvolvement]],Table11[JobInvolvement],Table11[Id_JobInvolvement])</f>
        <v>JI003</v>
      </c>
      <c r="W1125">
        <v>3</v>
      </c>
      <c r="X1125" t="str">
        <f>_xlfn.XLOOKUP(Table1[[#This Row],[JobLevel]],Table12[JobLevel],Table12[Id_JobLevel])</f>
        <v>JL002</v>
      </c>
      <c r="Y1125">
        <v>2</v>
      </c>
      <c r="Z1125" t="str">
        <f>_xlfn.XLOOKUP(Table1[[#This Row],[JobRole]],Table13[JobRole],Table13[Id_JobRole])</f>
        <v>JR005</v>
      </c>
      <c r="AA1125" t="s">
        <v>51</v>
      </c>
      <c r="AB1125" t="str">
        <f>_xlfn.XLOOKUP(Table1[[#This Row],[JobSatisfaction]],Table14[JobSatisfaction],Table14[Id_JobSatisfaction])</f>
        <v>JS003</v>
      </c>
      <c r="AC1125">
        <v>3</v>
      </c>
      <c r="AD1125" t="str">
        <f>_xlfn.XLOOKUP(Table1[[#This Row],[JobSatisfaction]],Table14[JobSatisfaction],Table14[Deskripsi])</f>
        <v>High</v>
      </c>
      <c r="AE1125" t="str">
        <f>_xlfn.XLOOKUP(Table1[[#This Row],[MaritalStatus]],Table15[MaritalStatus],Table15[Id_MaritalStatus])</f>
        <v>MS001</v>
      </c>
      <c r="AF1125" t="s">
        <v>55</v>
      </c>
      <c r="AG1125">
        <v>6142</v>
      </c>
      <c r="AH1125">
        <v>4223</v>
      </c>
      <c r="AI1125">
        <v>3</v>
      </c>
      <c r="AJ1125" t="str">
        <f>_xlfn.XLOOKUP(Table1[[#This Row],[OverTime]],Table16[OverTime],Table16[Id_OverTime])</f>
        <v>OT001</v>
      </c>
      <c r="AK1125" t="s">
        <v>32</v>
      </c>
      <c r="AL1125">
        <v>16</v>
      </c>
      <c r="AM1125" t="str">
        <f>_xlfn.XLOOKUP(Table1[[#This Row],[PerformanceRating]],Table17[PerformanceRating],Table17[Id_PerformanceRating])</f>
        <v>PR003</v>
      </c>
      <c r="AN1125">
        <v>3</v>
      </c>
      <c r="AO1125" t="str">
        <f>_xlfn.XLOOKUP(Table1[[#This Row],[PerformanceRating]],Table17[PerformanceRating],Table17[Deskripsi])</f>
        <v>Excellent</v>
      </c>
      <c r="AP1125" t="str">
        <f>_xlfn.XLOOKUP(Table1[[#This Row],[RelationshipSatisfaction]],Table18[RelationshipSatisfaction],Table18[Id_RelationshipSatisfaction])</f>
        <v>RS003</v>
      </c>
      <c r="AQ1125">
        <v>3</v>
      </c>
      <c r="AR1125" t="str">
        <f>_xlfn.XLOOKUP(Table1[[#This Row],[RelationshipSatisfaction]],Table18[RelationshipSatisfaction],Table18[Deskripsi])</f>
        <v>High</v>
      </c>
      <c r="AS1125" t="str">
        <f>_xlfn.XLOOKUP(Table1[[#This Row],[StockOptionLevel]],Table19[StockOptionLevel],Table19[Id_StockOptionLevel])</f>
        <v>SOL001</v>
      </c>
      <c r="AT1125">
        <v>0</v>
      </c>
      <c r="AU1125" t="str">
        <f>_xlfn.XLOOKUP(Table1[[#This Row],[StockOptionLevel]],Table19[StockOptionLevel],Table19[Deskripsi])</f>
        <v>Non-Eligible</v>
      </c>
      <c r="AV1125">
        <v>10</v>
      </c>
      <c r="AW1125">
        <v>4</v>
      </c>
      <c r="AX1125" t="str">
        <f>_xlfn.XLOOKUP(Table1[[#This Row],[WorkLifeBalance]],Table20[WorkLifeBalance],Table20[Id_WorkLifeBalance])</f>
        <v>WLB002</v>
      </c>
      <c r="AY1125">
        <v>3</v>
      </c>
      <c r="AZ1125" t="str">
        <f>_xlfn.XLOOKUP(Table1[[#This Row],[WorkLifeBalance]],Table20[WorkLifeBalance],Table20[Deskripsi])</f>
        <v>Good</v>
      </c>
      <c r="BA1125">
        <v>5</v>
      </c>
      <c r="BB1125">
        <v>2</v>
      </c>
      <c r="BC1125">
        <v>0</v>
      </c>
      <c r="BD1125">
        <v>4</v>
      </c>
    </row>
    <row r="1126" spans="1:56" x14ac:dyDescent="0.25">
      <c r="A1126">
        <v>39</v>
      </c>
      <c r="B1126" t="str">
        <f>_xlfn.XLOOKUP(Table1[[#This Row],[Attrition]],Table2[Attrition],Table2[Id_Attrition])</f>
        <v>A002</v>
      </c>
      <c r="C1126" t="s">
        <v>33</v>
      </c>
      <c r="D1126" t="str">
        <f>_xlfn.XLOOKUP(Table1[[#This Row],[BusinessTravel]],Table5[BusinessTravel],Table5[Id_BusinessTravel])</f>
        <v>BS001</v>
      </c>
      <c r="E1126" t="s">
        <v>34</v>
      </c>
      <c r="F1126">
        <v>1462</v>
      </c>
      <c r="G1126" t="str">
        <f>_xlfn.XLOOKUP(Table1[[#This Row],[Department]],Table6[Department],Table6[Id_Departement])</f>
        <v>D001</v>
      </c>
      <c r="H1126" t="s">
        <v>37</v>
      </c>
      <c r="I1126">
        <v>6</v>
      </c>
      <c r="J1126" t="str">
        <f>_xlfn.XLOOKUP(Table1[[#This Row],[Education]],Table8[Education],Table8[Id_Education])</f>
        <v>E003</v>
      </c>
      <c r="K1126">
        <v>3</v>
      </c>
      <c r="L1126" t="str">
        <f>_xlfn.XLOOKUP(Table1[[#This Row],[EducationField]],Table7[EducationField],Table7[Id_EducationField])</f>
        <v>EF003</v>
      </c>
      <c r="M1126" t="s">
        <v>42</v>
      </c>
      <c r="N1126" t="str">
        <f>_xlfn.XLOOKUP(Table1[[#This Row],[EmployeeNumber]],Table4[EmployeeNumber],Table4[Id_Employee])</f>
        <v>EMP01125</v>
      </c>
      <c r="O1126">
        <v>1588</v>
      </c>
      <c r="P1126" t="str">
        <f>_xlfn.XLOOKUP(Table1[[#This Row],[EnvironmentSatisfaction]],Table9[EnvironmentSatisfaction],Table9[Id_EnviromentSatisfaction])</f>
        <v>ES004</v>
      </c>
      <c r="Q1126">
        <v>4</v>
      </c>
      <c r="R1126" t="str">
        <f>_xlfn.XLOOKUP(Table1[[#This Row],[EnvironmentSatisfaction]],Table9[EnvironmentSatisfaction],Table9[Deskripsi])</f>
        <v>Very High</v>
      </c>
      <c r="S1126" t="str">
        <f>_xlfn.XLOOKUP(Table1[[#This Row],[Gender]],Table10[Gender],Table10[Id_Gender])</f>
        <v>G002</v>
      </c>
      <c r="T1126" t="s">
        <v>46</v>
      </c>
      <c r="U1126">
        <v>38</v>
      </c>
      <c r="V1126" t="str">
        <f>_xlfn.XLOOKUP(Table1[[#This Row],[JobInvolvement]],Table11[JobInvolvement],Table11[Id_JobInvolvement])</f>
        <v>JI004</v>
      </c>
      <c r="W1126">
        <v>4</v>
      </c>
      <c r="X1126" t="str">
        <f>_xlfn.XLOOKUP(Table1[[#This Row],[JobLevel]],Table12[JobLevel],Table12[Id_JobLevel])</f>
        <v>JL003</v>
      </c>
      <c r="Y1126">
        <v>3</v>
      </c>
      <c r="Z1126" t="str">
        <f>_xlfn.XLOOKUP(Table1[[#This Row],[JobRole]],Table13[JobRole],Table13[Id_JobRole])</f>
        <v>JR001</v>
      </c>
      <c r="AA1126" t="s">
        <v>47</v>
      </c>
      <c r="AB1126" t="str">
        <f>_xlfn.XLOOKUP(Table1[[#This Row],[JobSatisfaction]],Table14[JobSatisfaction],Table14[Id_JobSatisfaction])</f>
        <v>JS003</v>
      </c>
      <c r="AC1126">
        <v>3</v>
      </c>
      <c r="AD1126" t="str">
        <f>_xlfn.XLOOKUP(Table1[[#This Row],[JobSatisfaction]],Table14[JobSatisfaction],Table14[Deskripsi])</f>
        <v>High</v>
      </c>
      <c r="AE1126" t="str">
        <f>_xlfn.XLOOKUP(Table1[[#This Row],[MaritalStatus]],Table15[MaritalStatus],Table15[Id_MaritalStatus])</f>
        <v>MS002</v>
      </c>
      <c r="AF1126" t="s">
        <v>56</v>
      </c>
      <c r="AG1126">
        <v>8237</v>
      </c>
      <c r="AH1126">
        <v>4658</v>
      </c>
      <c r="AI1126">
        <v>2</v>
      </c>
      <c r="AJ1126" t="str">
        <f>_xlfn.XLOOKUP(Table1[[#This Row],[OverTime]],Table16[OverTime],Table16[Id_OverTime])</f>
        <v>OT002</v>
      </c>
      <c r="AK1126" t="s">
        <v>33</v>
      </c>
      <c r="AL1126">
        <v>11</v>
      </c>
      <c r="AM1126" t="str">
        <f>_xlfn.XLOOKUP(Table1[[#This Row],[PerformanceRating]],Table17[PerformanceRating],Table17[Id_PerformanceRating])</f>
        <v>PR003</v>
      </c>
      <c r="AN1126">
        <v>3</v>
      </c>
      <c r="AO1126" t="str">
        <f>_xlfn.XLOOKUP(Table1[[#This Row],[PerformanceRating]],Table17[PerformanceRating],Table17[Deskripsi])</f>
        <v>Excellent</v>
      </c>
      <c r="AP1126" t="str">
        <f>_xlfn.XLOOKUP(Table1[[#This Row],[RelationshipSatisfaction]],Table18[RelationshipSatisfaction],Table18[Id_RelationshipSatisfaction])</f>
        <v>RS001</v>
      </c>
      <c r="AQ1126">
        <v>1</v>
      </c>
      <c r="AR1126" t="str">
        <f>_xlfn.XLOOKUP(Table1[[#This Row],[RelationshipSatisfaction]],Table18[RelationshipSatisfaction],Table18[Deskripsi])</f>
        <v>Low</v>
      </c>
      <c r="AS1126" t="str">
        <f>_xlfn.XLOOKUP(Table1[[#This Row],[StockOptionLevel]],Table19[StockOptionLevel],Table19[Id_StockOptionLevel])</f>
        <v>SOL002</v>
      </c>
      <c r="AT1126">
        <v>1</v>
      </c>
      <c r="AU1126" t="str">
        <f>_xlfn.XLOOKUP(Table1[[#This Row],[StockOptionLevel]],Table19[StockOptionLevel],Table19[Deskripsi])</f>
        <v>Standard</v>
      </c>
      <c r="AV1126">
        <v>11</v>
      </c>
      <c r="AW1126">
        <v>3</v>
      </c>
      <c r="AX1126" t="str">
        <f>_xlfn.XLOOKUP(Table1[[#This Row],[WorkLifeBalance]],Table20[WorkLifeBalance],Table20[Id_WorkLifeBalance])</f>
        <v>WLB002</v>
      </c>
      <c r="AY1126">
        <v>3</v>
      </c>
      <c r="AZ1126" t="str">
        <f>_xlfn.XLOOKUP(Table1[[#This Row],[WorkLifeBalance]],Table20[WorkLifeBalance],Table20[Deskripsi])</f>
        <v>Good</v>
      </c>
      <c r="BA1126">
        <v>7</v>
      </c>
      <c r="BB1126">
        <v>6</v>
      </c>
      <c r="BC1126">
        <v>7</v>
      </c>
      <c r="BD1126">
        <v>6</v>
      </c>
    </row>
    <row r="1127" spans="1:56" x14ac:dyDescent="0.25">
      <c r="A1127">
        <v>29</v>
      </c>
      <c r="B1127" t="str">
        <f>_xlfn.XLOOKUP(Table1[[#This Row],[Attrition]],Table2[Attrition],Table2[Id_Attrition])</f>
        <v>A002</v>
      </c>
      <c r="C1127" t="s">
        <v>33</v>
      </c>
      <c r="D1127" t="str">
        <f>_xlfn.XLOOKUP(Table1[[#This Row],[BusinessTravel]],Table5[BusinessTravel],Table5[Id_BusinessTravel])</f>
        <v>BS002</v>
      </c>
      <c r="E1127" t="s">
        <v>35</v>
      </c>
      <c r="F1127">
        <v>995</v>
      </c>
      <c r="G1127" t="str">
        <f>_xlfn.XLOOKUP(Table1[[#This Row],[Department]],Table6[Department],Table6[Id_Departement])</f>
        <v>D002</v>
      </c>
      <c r="H1127" t="s">
        <v>38</v>
      </c>
      <c r="I1127">
        <v>2</v>
      </c>
      <c r="J1127" t="str">
        <f>_xlfn.XLOOKUP(Table1[[#This Row],[Education]],Table8[Education],Table8[Id_Education])</f>
        <v>E001</v>
      </c>
      <c r="K1127">
        <v>1</v>
      </c>
      <c r="L1127" t="str">
        <f>_xlfn.XLOOKUP(Table1[[#This Row],[EducationField]],Table7[EducationField],Table7[Id_EducationField])</f>
        <v>EF001</v>
      </c>
      <c r="M1127" t="s">
        <v>40</v>
      </c>
      <c r="N1127" t="str">
        <f>_xlfn.XLOOKUP(Table1[[#This Row],[EmployeeNumber]],Table4[EmployeeNumber],Table4[Id_Employee])</f>
        <v>EMP01126</v>
      </c>
      <c r="O1127">
        <v>1590</v>
      </c>
      <c r="P1127" t="str">
        <f>_xlfn.XLOOKUP(Table1[[#This Row],[EnvironmentSatisfaction]],Table9[EnvironmentSatisfaction],Table9[Id_EnviromentSatisfaction])</f>
        <v>ES001</v>
      </c>
      <c r="Q1127">
        <v>1</v>
      </c>
      <c r="R1127" t="str">
        <f>_xlfn.XLOOKUP(Table1[[#This Row],[EnvironmentSatisfaction]],Table9[EnvironmentSatisfaction],Table9[Deskripsi])</f>
        <v>Low</v>
      </c>
      <c r="S1127" t="str">
        <f>_xlfn.XLOOKUP(Table1[[#This Row],[Gender]],Table10[Gender],Table10[Id_Gender])</f>
        <v>G002</v>
      </c>
      <c r="T1127" t="s">
        <v>46</v>
      </c>
      <c r="U1127">
        <v>87</v>
      </c>
      <c r="V1127" t="str">
        <f>_xlfn.XLOOKUP(Table1[[#This Row],[JobInvolvement]],Table11[JobInvolvement],Table11[Id_JobInvolvement])</f>
        <v>JI003</v>
      </c>
      <c r="W1127">
        <v>3</v>
      </c>
      <c r="X1127" t="str">
        <f>_xlfn.XLOOKUP(Table1[[#This Row],[JobLevel]],Table12[JobLevel],Table12[Id_JobLevel])</f>
        <v>JL002</v>
      </c>
      <c r="Y1127">
        <v>2</v>
      </c>
      <c r="Z1127" t="str">
        <f>_xlfn.XLOOKUP(Table1[[#This Row],[JobRole]],Table13[JobRole],Table13[Id_JobRole])</f>
        <v>JR005</v>
      </c>
      <c r="AA1127" t="s">
        <v>51</v>
      </c>
      <c r="AB1127" t="str">
        <f>_xlfn.XLOOKUP(Table1[[#This Row],[JobSatisfaction]],Table14[JobSatisfaction],Table14[Id_JobSatisfaction])</f>
        <v>JS004</v>
      </c>
      <c r="AC1127">
        <v>4</v>
      </c>
      <c r="AD1127" t="str">
        <f>_xlfn.XLOOKUP(Table1[[#This Row],[JobSatisfaction]],Table14[JobSatisfaction],Table14[Deskripsi])</f>
        <v>Very High</v>
      </c>
      <c r="AE1127" t="str">
        <f>_xlfn.XLOOKUP(Table1[[#This Row],[MaritalStatus]],Table15[MaritalStatus],Table15[Id_MaritalStatus])</f>
        <v>MS003</v>
      </c>
      <c r="AF1127" t="s">
        <v>57</v>
      </c>
      <c r="AG1127">
        <v>8853</v>
      </c>
      <c r="AH1127">
        <v>24483</v>
      </c>
      <c r="AI1127">
        <v>1</v>
      </c>
      <c r="AJ1127" t="str">
        <f>_xlfn.XLOOKUP(Table1[[#This Row],[OverTime]],Table16[OverTime],Table16[Id_OverTime])</f>
        <v>OT002</v>
      </c>
      <c r="AK1127" t="s">
        <v>33</v>
      </c>
      <c r="AL1127">
        <v>19</v>
      </c>
      <c r="AM1127" t="str">
        <f>_xlfn.XLOOKUP(Table1[[#This Row],[PerformanceRating]],Table17[PerformanceRating],Table17[Id_PerformanceRating])</f>
        <v>PR003</v>
      </c>
      <c r="AN1127">
        <v>3</v>
      </c>
      <c r="AO1127" t="str">
        <f>_xlfn.XLOOKUP(Table1[[#This Row],[PerformanceRating]],Table17[PerformanceRating],Table17[Deskripsi])</f>
        <v>Excellent</v>
      </c>
      <c r="AP1127" t="str">
        <f>_xlfn.XLOOKUP(Table1[[#This Row],[RelationshipSatisfaction]],Table18[RelationshipSatisfaction],Table18[Id_RelationshipSatisfaction])</f>
        <v>RS004</v>
      </c>
      <c r="AQ1127">
        <v>4</v>
      </c>
      <c r="AR1127" t="str">
        <f>_xlfn.XLOOKUP(Table1[[#This Row],[RelationshipSatisfaction]],Table18[RelationshipSatisfaction],Table18[Deskripsi])</f>
        <v>Very High</v>
      </c>
      <c r="AS1127" t="str">
        <f>_xlfn.XLOOKUP(Table1[[#This Row],[StockOptionLevel]],Table19[StockOptionLevel],Table19[Id_StockOptionLevel])</f>
        <v>SOL002</v>
      </c>
      <c r="AT1127">
        <v>1</v>
      </c>
      <c r="AU1127" t="str">
        <f>_xlfn.XLOOKUP(Table1[[#This Row],[StockOptionLevel]],Table19[StockOptionLevel],Table19[Deskripsi])</f>
        <v>Standard</v>
      </c>
      <c r="AV1127">
        <v>6</v>
      </c>
      <c r="AW1127">
        <v>0</v>
      </c>
      <c r="AX1127" t="str">
        <f>_xlfn.XLOOKUP(Table1[[#This Row],[WorkLifeBalance]],Table20[WorkLifeBalance],Table20[Id_WorkLifeBalance])</f>
        <v>WLB004</v>
      </c>
      <c r="AY1127">
        <v>4</v>
      </c>
      <c r="AZ1127" t="str">
        <f>_xlfn.XLOOKUP(Table1[[#This Row],[WorkLifeBalance]],Table20[WorkLifeBalance],Table20[Deskripsi])</f>
        <v>Best</v>
      </c>
      <c r="BA1127">
        <v>6</v>
      </c>
      <c r="BB1127">
        <v>4</v>
      </c>
      <c r="BC1127">
        <v>1</v>
      </c>
      <c r="BD1127">
        <v>3</v>
      </c>
    </row>
    <row r="1128" spans="1:56" x14ac:dyDescent="0.25">
      <c r="A1128">
        <v>50</v>
      </c>
      <c r="B1128" t="str">
        <f>_xlfn.XLOOKUP(Table1[[#This Row],[Attrition]],Table2[Attrition],Table2[Id_Attrition])</f>
        <v>A002</v>
      </c>
      <c r="C1128" t="s">
        <v>33</v>
      </c>
      <c r="D1128" t="str">
        <f>_xlfn.XLOOKUP(Table1[[#This Row],[BusinessTravel]],Table5[BusinessTravel],Table5[Id_BusinessTravel])</f>
        <v>BS001</v>
      </c>
      <c r="E1128" t="s">
        <v>34</v>
      </c>
      <c r="F1128">
        <v>264</v>
      </c>
      <c r="G1128" t="str">
        <f>_xlfn.XLOOKUP(Table1[[#This Row],[Department]],Table6[Department],Table6[Id_Departement])</f>
        <v>D001</v>
      </c>
      <c r="H1128" t="s">
        <v>37</v>
      </c>
      <c r="I1128">
        <v>9</v>
      </c>
      <c r="J1128" t="str">
        <f>_xlfn.XLOOKUP(Table1[[#This Row],[Education]],Table8[Education],Table8[Id_Education])</f>
        <v>E003</v>
      </c>
      <c r="K1128">
        <v>3</v>
      </c>
      <c r="L1128" t="str">
        <f>_xlfn.XLOOKUP(Table1[[#This Row],[EducationField]],Table7[EducationField],Table7[Id_EducationField])</f>
        <v>EF004</v>
      </c>
      <c r="M1128" t="s">
        <v>43</v>
      </c>
      <c r="N1128" t="str">
        <f>_xlfn.XLOOKUP(Table1[[#This Row],[EmployeeNumber]],Table4[EmployeeNumber],Table4[Id_Employee])</f>
        <v>EMP01127</v>
      </c>
      <c r="O1128">
        <v>1591</v>
      </c>
      <c r="P1128" t="str">
        <f>_xlfn.XLOOKUP(Table1[[#This Row],[EnvironmentSatisfaction]],Table9[EnvironmentSatisfaction],Table9[Id_EnviromentSatisfaction])</f>
        <v>ES003</v>
      </c>
      <c r="Q1128">
        <v>3</v>
      </c>
      <c r="R1128" t="str">
        <f>_xlfn.XLOOKUP(Table1[[#This Row],[EnvironmentSatisfaction]],Table9[EnvironmentSatisfaction],Table9[Deskripsi])</f>
        <v>High</v>
      </c>
      <c r="S1128" t="str">
        <f>_xlfn.XLOOKUP(Table1[[#This Row],[Gender]],Table10[Gender],Table10[Id_Gender])</f>
        <v>G002</v>
      </c>
      <c r="T1128" t="s">
        <v>46</v>
      </c>
      <c r="U1128">
        <v>59</v>
      </c>
      <c r="V1128" t="str">
        <f>_xlfn.XLOOKUP(Table1[[#This Row],[JobInvolvement]],Table11[JobInvolvement],Table11[Id_JobInvolvement])</f>
        <v>JI003</v>
      </c>
      <c r="W1128">
        <v>3</v>
      </c>
      <c r="X1128" t="str">
        <f>_xlfn.XLOOKUP(Table1[[#This Row],[JobLevel]],Table12[JobLevel],Table12[Id_JobLevel])</f>
        <v>JL005</v>
      </c>
      <c r="Y1128">
        <v>5</v>
      </c>
      <c r="Z1128" t="str">
        <f>_xlfn.XLOOKUP(Table1[[#This Row],[JobRole]],Table13[JobRole],Table13[Id_JobRole])</f>
        <v>JR006</v>
      </c>
      <c r="AA1128" t="s">
        <v>52</v>
      </c>
      <c r="AB1128" t="str">
        <f>_xlfn.XLOOKUP(Table1[[#This Row],[JobSatisfaction]],Table14[JobSatisfaction],Table14[Id_JobSatisfaction])</f>
        <v>JS003</v>
      </c>
      <c r="AC1128">
        <v>3</v>
      </c>
      <c r="AD1128" t="str">
        <f>_xlfn.XLOOKUP(Table1[[#This Row],[JobSatisfaction]],Table14[JobSatisfaction],Table14[Deskripsi])</f>
        <v>High</v>
      </c>
      <c r="AE1128" t="str">
        <f>_xlfn.XLOOKUP(Table1[[#This Row],[MaritalStatus]],Table15[MaritalStatus],Table15[Id_MaritalStatus])</f>
        <v>MS002</v>
      </c>
      <c r="AF1128" t="s">
        <v>56</v>
      </c>
      <c r="AG1128">
        <v>19331</v>
      </c>
      <c r="AH1128">
        <v>19519</v>
      </c>
      <c r="AI1128">
        <v>4</v>
      </c>
      <c r="AJ1128" t="str">
        <f>_xlfn.XLOOKUP(Table1[[#This Row],[OverTime]],Table16[OverTime],Table16[Id_OverTime])</f>
        <v>OT001</v>
      </c>
      <c r="AK1128" t="s">
        <v>32</v>
      </c>
      <c r="AL1128">
        <v>16</v>
      </c>
      <c r="AM1128" t="str">
        <f>_xlfn.XLOOKUP(Table1[[#This Row],[PerformanceRating]],Table17[PerformanceRating],Table17[Id_PerformanceRating])</f>
        <v>PR003</v>
      </c>
      <c r="AN1128">
        <v>3</v>
      </c>
      <c r="AO1128" t="str">
        <f>_xlfn.XLOOKUP(Table1[[#This Row],[PerformanceRating]],Table17[PerformanceRating],Table17[Deskripsi])</f>
        <v>Excellent</v>
      </c>
      <c r="AP1128" t="str">
        <f>_xlfn.XLOOKUP(Table1[[#This Row],[RelationshipSatisfaction]],Table18[RelationshipSatisfaction],Table18[Id_RelationshipSatisfaction])</f>
        <v>RS003</v>
      </c>
      <c r="AQ1128">
        <v>3</v>
      </c>
      <c r="AR1128" t="str">
        <f>_xlfn.XLOOKUP(Table1[[#This Row],[RelationshipSatisfaction]],Table18[RelationshipSatisfaction],Table18[Deskripsi])</f>
        <v>High</v>
      </c>
      <c r="AS1128" t="str">
        <f>_xlfn.XLOOKUP(Table1[[#This Row],[StockOptionLevel]],Table19[StockOptionLevel],Table19[Id_StockOptionLevel])</f>
        <v>SOL002</v>
      </c>
      <c r="AT1128">
        <v>1</v>
      </c>
      <c r="AU1128" t="str">
        <f>_xlfn.XLOOKUP(Table1[[#This Row],[StockOptionLevel]],Table19[StockOptionLevel],Table19[Deskripsi])</f>
        <v>Standard</v>
      </c>
      <c r="AV1128">
        <v>27</v>
      </c>
      <c r="AW1128">
        <v>2</v>
      </c>
      <c r="AX1128" t="str">
        <f>_xlfn.XLOOKUP(Table1[[#This Row],[WorkLifeBalance]],Table20[WorkLifeBalance],Table20[Id_WorkLifeBalance])</f>
        <v>WLB002</v>
      </c>
      <c r="AY1128">
        <v>3</v>
      </c>
      <c r="AZ1128" t="str">
        <f>_xlfn.XLOOKUP(Table1[[#This Row],[WorkLifeBalance]],Table20[WorkLifeBalance],Table20[Deskripsi])</f>
        <v>Good</v>
      </c>
      <c r="BA1128">
        <v>1</v>
      </c>
      <c r="BB1128">
        <v>0</v>
      </c>
      <c r="BC1128">
        <v>0</v>
      </c>
      <c r="BD1128">
        <v>0</v>
      </c>
    </row>
    <row r="1129" spans="1:56" x14ac:dyDescent="0.25">
      <c r="A1129">
        <v>23</v>
      </c>
      <c r="B1129" t="str">
        <f>_xlfn.XLOOKUP(Table1[[#This Row],[Attrition]],Table2[Attrition],Table2[Id_Attrition])</f>
        <v>A002</v>
      </c>
      <c r="C1129" t="s">
        <v>33</v>
      </c>
      <c r="D1129" t="str">
        <f>_xlfn.XLOOKUP(Table1[[#This Row],[BusinessTravel]],Table5[BusinessTravel],Table5[Id_BusinessTravel])</f>
        <v>BS001</v>
      </c>
      <c r="E1129" t="s">
        <v>34</v>
      </c>
      <c r="F1129">
        <v>977</v>
      </c>
      <c r="G1129" t="str">
        <f>_xlfn.XLOOKUP(Table1[[#This Row],[Department]],Table6[Department],Table6[Id_Departement])</f>
        <v>D002</v>
      </c>
      <c r="H1129" t="s">
        <v>38</v>
      </c>
      <c r="I1129">
        <v>10</v>
      </c>
      <c r="J1129" t="str">
        <f>_xlfn.XLOOKUP(Table1[[#This Row],[Education]],Table8[Education],Table8[Id_Education])</f>
        <v>E003</v>
      </c>
      <c r="K1129">
        <v>3</v>
      </c>
      <c r="L1129" t="str">
        <f>_xlfn.XLOOKUP(Table1[[#This Row],[EducationField]],Table7[EducationField],Table7[Id_EducationField])</f>
        <v>EF005</v>
      </c>
      <c r="M1129" t="s">
        <v>44</v>
      </c>
      <c r="N1129" t="str">
        <f>_xlfn.XLOOKUP(Table1[[#This Row],[EmployeeNumber]],Table4[EmployeeNumber],Table4[Id_Employee])</f>
        <v>EMP01128</v>
      </c>
      <c r="O1129">
        <v>1592</v>
      </c>
      <c r="P1129" t="str">
        <f>_xlfn.XLOOKUP(Table1[[#This Row],[EnvironmentSatisfaction]],Table9[EnvironmentSatisfaction],Table9[Id_EnviromentSatisfaction])</f>
        <v>ES004</v>
      </c>
      <c r="Q1129">
        <v>4</v>
      </c>
      <c r="R1129" t="str">
        <f>_xlfn.XLOOKUP(Table1[[#This Row],[EnvironmentSatisfaction]],Table9[EnvironmentSatisfaction],Table9[Deskripsi])</f>
        <v>Very High</v>
      </c>
      <c r="S1129" t="str">
        <f>_xlfn.XLOOKUP(Table1[[#This Row],[Gender]],Table10[Gender],Table10[Id_Gender])</f>
        <v>G002</v>
      </c>
      <c r="T1129" t="s">
        <v>46</v>
      </c>
      <c r="U1129">
        <v>45</v>
      </c>
      <c r="V1129" t="str">
        <f>_xlfn.XLOOKUP(Table1[[#This Row],[JobInvolvement]],Table11[JobInvolvement],Table11[Id_JobInvolvement])</f>
        <v>JI004</v>
      </c>
      <c r="W1129">
        <v>4</v>
      </c>
      <c r="X1129" t="str">
        <f>_xlfn.XLOOKUP(Table1[[#This Row],[JobLevel]],Table12[JobLevel],Table12[Id_JobLevel])</f>
        <v>JL001</v>
      </c>
      <c r="Y1129">
        <v>1</v>
      </c>
      <c r="Z1129" t="str">
        <f>_xlfn.XLOOKUP(Table1[[#This Row],[JobRole]],Table13[JobRole],Table13[Id_JobRole])</f>
        <v>JR002</v>
      </c>
      <c r="AA1129" t="s">
        <v>48</v>
      </c>
      <c r="AB1129" t="str">
        <f>_xlfn.XLOOKUP(Table1[[#This Row],[JobSatisfaction]],Table14[JobSatisfaction],Table14[Id_JobSatisfaction])</f>
        <v>JS003</v>
      </c>
      <c r="AC1129">
        <v>3</v>
      </c>
      <c r="AD1129" t="str">
        <f>_xlfn.XLOOKUP(Table1[[#This Row],[JobSatisfaction]],Table14[JobSatisfaction],Table14[Deskripsi])</f>
        <v>High</v>
      </c>
      <c r="AE1129" t="str">
        <f>_xlfn.XLOOKUP(Table1[[#This Row],[MaritalStatus]],Table15[MaritalStatus],Table15[Id_MaritalStatus])</f>
        <v>MS002</v>
      </c>
      <c r="AF1129" t="s">
        <v>56</v>
      </c>
      <c r="AG1129">
        <v>2073</v>
      </c>
      <c r="AH1129">
        <v>12826</v>
      </c>
      <c r="AI1129">
        <v>2</v>
      </c>
      <c r="AJ1129" t="str">
        <f>_xlfn.XLOOKUP(Table1[[#This Row],[OverTime]],Table16[OverTime],Table16[Id_OverTime])</f>
        <v>OT002</v>
      </c>
      <c r="AK1129" t="s">
        <v>33</v>
      </c>
      <c r="AL1129">
        <v>16</v>
      </c>
      <c r="AM1129" t="str">
        <f>_xlfn.XLOOKUP(Table1[[#This Row],[PerformanceRating]],Table17[PerformanceRating],Table17[Id_PerformanceRating])</f>
        <v>PR003</v>
      </c>
      <c r="AN1129">
        <v>3</v>
      </c>
      <c r="AO1129" t="str">
        <f>_xlfn.XLOOKUP(Table1[[#This Row],[PerformanceRating]],Table17[PerformanceRating],Table17[Deskripsi])</f>
        <v>Excellent</v>
      </c>
      <c r="AP1129" t="str">
        <f>_xlfn.XLOOKUP(Table1[[#This Row],[RelationshipSatisfaction]],Table18[RelationshipSatisfaction],Table18[Id_RelationshipSatisfaction])</f>
        <v>RS004</v>
      </c>
      <c r="AQ1129">
        <v>4</v>
      </c>
      <c r="AR1129" t="str">
        <f>_xlfn.XLOOKUP(Table1[[#This Row],[RelationshipSatisfaction]],Table18[RelationshipSatisfaction],Table18[Deskripsi])</f>
        <v>Very High</v>
      </c>
      <c r="AS1129" t="str">
        <f>_xlfn.XLOOKUP(Table1[[#This Row],[StockOptionLevel]],Table19[StockOptionLevel],Table19[Id_StockOptionLevel])</f>
        <v>SOL002</v>
      </c>
      <c r="AT1129">
        <v>1</v>
      </c>
      <c r="AU1129" t="str">
        <f>_xlfn.XLOOKUP(Table1[[#This Row],[StockOptionLevel]],Table19[StockOptionLevel],Table19[Deskripsi])</f>
        <v>Standard</v>
      </c>
      <c r="AV1129">
        <v>4</v>
      </c>
      <c r="AW1129">
        <v>2</v>
      </c>
      <c r="AX1129" t="str">
        <f>_xlfn.XLOOKUP(Table1[[#This Row],[WorkLifeBalance]],Table20[WorkLifeBalance],Table20[Id_WorkLifeBalance])</f>
        <v>WLB002</v>
      </c>
      <c r="AY1129">
        <v>3</v>
      </c>
      <c r="AZ1129" t="str">
        <f>_xlfn.XLOOKUP(Table1[[#This Row],[WorkLifeBalance]],Table20[WorkLifeBalance],Table20[Deskripsi])</f>
        <v>Good</v>
      </c>
      <c r="BA1129">
        <v>2</v>
      </c>
      <c r="BB1129">
        <v>2</v>
      </c>
      <c r="BC1129">
        <v>2</v>
      </c>
      <c r="BD1129">
        <v>2</v>
      </c>
    </row>
    <row r="1130" spans="1:56" x14ac:dyDescent="0.25">
      <c r="A1130">
        <v>36</v>
      </c>
      <c r="B1130" t="str">
        <f>_xlfn.XLOOKUP(Table1[[#This Row],[Attrition]],Table2[Attrition],Table2[Id_Attrition])</f>
        <v>A002</v>
      </c>
      <c r="C1130" t="s">
        <v>33</v>
      </c>
      <c r="D1130" t="str">
        <f>_xlfn.XLOOKUP(Table1[[#This Row],[BusinessTravel]],Table5[BusinessTravel],Table5[Id_BusinessTravel])</f>
        <v>BS002</v>
      </c>
      <c r="E1130" t="s">
        <v>35</v>
      </c>
      <c r="F1130">
        <v>1302</v>
      </c>
      <c r="G1130" t="str">
        <f>_xlfn.XLOOKUP(Table1[[#This Row],[Department]],Table6[Department],Table6[Id_Departement])</f>
        <v>D002</v>
      </c>
      <c r="H1130" t="s">
        <v>38</v>
      </c>
      <c r="I1130">
        <v>6</v>
      </c>
      <c r="J1130" t="str">
        <f>_xlfn.XLOOKUP(Table1[[#This Row],[Education]],Table8[Education],Table8[Id_Education])</f>
        <v>E004</v>
      </c>
      <c r="K1130">
        <v>4</v>
      </c>
      <c r="L1130" t="str">
        <f>_xlfn.XLOOKUP(Table1[[#This Row],[EducationField]],Table7[EducationField],Table7[Id_EducationField])</f>
        <v>EF001</v>
      </c>
      <c r="M1130" t="s">
        <v>40</v>
      </c>
      <c r="N1130" t="str">
        <f>_xlfn.XLOOKUP(Table1[[#This Row],[EmployeeNumber]],Table4[EmployeeNumber],Table4[Id_Employee])</f>
        <v>EMP01129</v>
      </c>
      <c r="O1130">
        <v>1594</v>
      </c>
      <c r="P1130" t="str">
        <f>_xlfn.XLOOKUP(Table1[[#This Row],[EnvironmentSatisfaction]],Table9[EnvironmentSatisfaction],Table9[Id_EnviromentSatisfaction])</f>
        <v>ES001</v>
      </c>
      <c r="Q1130">
        <v>1</v>
      </c>
      <c r="R1130" t="str">
        <f>_xlfn.XLOOKUP(Table1[[#This Row],[EnvironmentSatisfaction]],Table9[EnvironmentSatisfaction],Table9[Deskripsi])</f>
        <v>Low</v>
      </c>
      <c r="S1130" t="str">
        <f>_xlfn.XLOOKUP(Table1[[#This Row],[Gender]],Table10[Gender],Table10[Id_Gender])</f>
        <v>G002</v>
      </c>
      <c r="T1130" t="s">
        <v>46</v>
      </c>
      <c r="U1130">
        <v>80</v>
      </c>
      <c r="V1130" t="str">
        <f>_xlfn.XLOOKUP(Table1[[#This Row],[JobInvolvement]],Table11[JobInvolvement],Table11[Id_JobInvolvement])</f>
        <v>JI004</v>
      </c>
      <c r="W1130">
        <v>4</v>
      </c>
      <c r="X1130" t="str">
        <f>_xlfn.XLOOKUP(Table1[[#This Row],[JobLevel]],Table12[JobLevel],Table12[Id_JobLevel])</f>
        <v>JL002</v>
      </c>
      <c r="Y1130">
        <v>2</v>
      </c>
      <c r="Z1130" t="str">
        <f>_xlfn.XLOOKUP(Table1[[#This Row],[JobRole]],Table13[JobRole],Table13[Id_JobRole])</f>
        <v>JR003</v>
      </c>
      <c r="AA1130" t="s">
        <v>49</v>
      </c>
      <c r="AB1130" t="str">
        <f>_xlfn.XLOOKUP(Table1[[#This Row],[JobSatisfaction]],Table14[JobSatisfaction],Table14[Id_JobSatisfaction])</f>
        <v>JS001</v>
      </c>
      <c r="AC1130">
        <v>1</v>
      </c>
      <c r="AD1130" t="str">
        <f>_xlfn.XLOOKUP(Table1[[#This Row],[JobSatisfaction]],Table14[JobSatisfaction],Table14[Deskripsi])</f>
        <v>Low</v>
      </c>
      <c r="AE1130" t="str">
        <f>_xlfn.XLOOKUP(Table1[[#This Row],[MaritalStatus]],Table15[MaritalStatus],Table15[Id_MaritalStatus])</f>
        <v>MS002</v>
      </c>
      <c r="AF1130" t="s">
        <v>56</v>
      </c>
      <c r="AG1130">
        <v>5562</v>
      </c>
      <c r="AH1130">
        <v>19711</v>
      </c>
      <c r="AI1130">
        <v>3</v>
      </c>
      <c r="AJ1130" t="str">
        <f>_xlfn.XLOOKUP(Table1[[#This Row],[OverTime]],Table16[OverTime],Table16[Id_OverTime])</f>
        <v>OT001</v>
      </c>
      <c r="AK1130" t="s">
        <v>32</v>
      </c>
      <c r="AL1130">
        <v>13</v>
      </c>
      <c r="AM1130" t="str">
        <f>_xlfn.XLOOKUP(Table1[[#This Row],[PerformanceRating]],Table17[PerformanceRating],Table17[Id_PerformanceRating])</f>
        <v>PR003</v>
      </c>
      <c r="AN1130">
        <v>3</v>
      </c>
      <c r="AO1130" t="str">
        <f>_xlfn.XLOOKUP(Table1[[#This Row],[PerformanceRating]],Table17[PerformanceRating],Table17[Deskripsi])</f>
        <v>Excellent</v>
      </c>
      <c r="AP1130" t="str">
        <f>_xlfn.XLOOKUP(Table1[[#This Row],[RelationshipSatisfaction]],Table18[RelationshipSatisfaction],Table18[Id_RelationshipSatisfaction])</f>
        <v>RS004</v>
      </c>
      <c r="AQ1130">
        <v>4</v>
      </c>
      <c r="AR1130" t="str">
        <f>_xlfn.XLOOKUP(Table1[[#This Row],[RelationshipSatisfaction]],Table18[RelationshipSatisfaction],Table18[Deskripsi])</f>
        <v>Very High</v>
      </c>
      <c r="AS1130" t="str">
        <f>_xlfn.XLOOKUP(Table1[[#This Row],[StockOptionLevel]],Table19[StockOptionLevel],Table19[Id_StockOptionLevel])</f>
        <v>SOL002</v>
      </c>
      <c r="AT1130">
        <v>1</v>
      </c>
      <c r="AU1130" t="str">
        <f>_xlfn.XLOOKUP(Table1[[#This Row],[StockOptionLevel]],Table19[StockOptionLevel],Table19[Deskripsi])</f>
        <v>Standard</v>
      </c>
      <c r="AV1130">
        <v>9</v>
      </c>
      <c r="AW1130">
        <v>3</v>
      </c>
      <c r="AX1130" t="str">
        <f>_xlfn.XLOOKUP(Table1[[#This Row],[WorkLifeBalance]],Table20[WorkLifeBalance],Table20[Id_WorkLifeBalance])</f>
        <v>WLB002</v>
      </c>
      <c r="AY1130">
        <v>3</v>
      </c>
      <c r="AZ1130" t="str">
        <f>_xlfn.XLOOKUP(Table1[[#This Row],[WorkLifeBalance]],Table20[WorkLifeBalance],Table20[Deskripsi])</f>
        <v>Good</v>
      </c>
      <c r="BA1130">
        <v>3</v>
      </c>
      <c r="BB1130">
        <v>2</v>
      </c>
      <c r="BC1130">
        <v>0</v>
      </c>
      <c r="BD1130">
        <v>2</v>
      </c>
    </row>
    <row r="1131" spans="1:56" x14ac:dyDescent="0.25">
      <c r="A1131">
        <v>42</v>
      </c>
      <c r="B1131" t="str">
        <f>_xlfn.XLOOKUP(Table1[[#This Row],[Attrition]],Table2[Attrition],Table2[Id_Attrition])</f>
        <v>A002</v>
      </c>
      <c r="C1131" t="s">
        <v>33</v>
      </c>
      <c r="D1131" t="str">
        <f>_xlfn.XLOOKUP(Table1[[#This Row],[BusinessTravel]],Table5[BusinessTravel],Table5[Id_BusinessTravel])</f>
        <v>BS001</v>
      </c>
      <c r="E1131" t="s">
        <v>34</v>
      </c>
      <c r="F1131">
        <v>1059</v>
      </c>
      <c r="G1131" t="str">
        <f>_xlfn.XLOOKUP(Table1[[#This Row],[Department]],Table6[Department],Table6[Id_Departement])</f>
        <v>D002</v>
      </c>
      <c r="H1131" t="s">
        <v>38</v>
      </c>
      <c r="I1131">
        <v>9</v>
      </c>
      <c r="J1131" t="str">
        <f>_xlfn.XLOOKUP(Table1[[#This Row],[Education]],Table8[Education],Table8[Id_Education])</f>
        <v>E002</v>
      </c>
      <c r="K1131">
        <v>2</v>
      </c>
      <c r="L1131" t="str">
        <f>_xlfn.XLOOKUP(Table1[[#This Row],[EducationField]],Table7[EducationField],Table7[Id_EducationField])</f>
        <v>EF002</v>
      </c>
      <c r="M1131" t="s">
        <v>41</v>
      </c>
      <c r="N1131" t="str">
        <f>_xlfn.XLOOKUP(Table1[[#This Row],[EmployeeNumber]],Table4[EmployeeNumber],Table4[Id_Employee])</f>
        <v>EMP01130</v>
      </c>
      <c r="O1131">
        <v>1595</v>
      </c>
      <c r="P1131" t="str">
        <f>_xlfn.XLOOKUP(Table1[[#This Row],[EnvironmentSatisfaction]],Table9[EnvironmentSatisfaction],Table9[Id_EnviromentSatisfaction])</f>
        <v>ES004</v>
      </c>
      <c r="Q1131">
        <v>4</v>
      </c>
      <c r="R1131" t="str">
        <f>_xlfn.XLOOKUP(Table1[[#This Row],[EnvironmentSatisfaction]],Table9[EnvironmentSatisfaction],Table9[Deskripsi])</f>
        <v>Very High</v>
      </c>
      <c r="S1131" t="str">
        <f>_xlfn.XLOOKUP(Table1[[#This Row],[Gender]],Table10[Gender],Table10[Id_Gender])</f>
        <v>G002</v>
      </c>
      <c r="T1131" t="s">
        <v>46</v>
      </c>
      <c r="U1131">
        <v>93</v>
      </c>
      <c r="V1131" t="str">
        <f>_xlfn.XLOOKUP(Table1[[#This Row],[JobInvolvement]],Table11[JobInvolvement],Table11[Id_JobInvolvement])</f>
        <v>JI002</v>
      </c>
      <c r="W1131">
        <v>2</v>
      </c>
      <c r="X1131" t="str">
        <f>_xlfn.XLOOKUP(Table1[[#This Row],[JobLevel]],Table12[JobLevel],Table12[Id_JobLevel])</f>
        <v>JL005</v>
      </c>
      <c r="Y1131">
        <v>5</v>
      </c>
      <c r="Z1131" t="str">
        <f>_xlfn.XLOOKUP(Table1[[#This Row],[JobRole]],Table13[JobRole],Table13[Id_JobRole])</f>
        <v>JR006</v>
      </c>
      <c r="AA1131" t="s">
        <v>52</v>
      </c>
      <c r="AB1131" t="str">
        <f>_xlfn.XLOOKUP(Table1[[#This Row],[JobSatisfaction]],Table14[JobSatisfaction],Table14[Id_JobSatisfaction])</f>
        <v>JS004</v>
      </c>
      <c r="AC1131">
        <v>4</v>
      </c>
      <c r="AD1131" t="str">
        <f>_xlfn.XLOOKUP(Table1[[#This Row],[JobSatisfaction]],Table14[JobSatisfaction],Table14[Deskripsi])</f>
        <v>Very High</v>
      </c>
      <c r="AE1131" t="str">
        <f>_xlfn.XLOOKUP(Table1[[#This Row],[MaritalStatus]],Table15[MaritalStatus],Table15[Id_MaritalStatus])</f>
        <v>MS001</v>
      </c>
      <c r="AF1131" t="s">
        <v>55</v>
      </c>
      <c r="AG1131">
        <v>19613</v>
      </c>
      <c r="AH1131">
        <v>26362</v>
      </c>
      <c r="AI1131">
        <v>8</v>
      </c>
      <c r="AJ1131" t="str">
        <f>_xlfn.XLOOKUP(Table1[[#This Row],[OverTime]],Table16[OverTime],Table16[Id_OverTime])</f>
        <v>OT002</v>
      </c>
      <c r="AK1131" t="s">
        <v>33</v>
      </c>
      <c r="AL1131">
        <v>22</v>
      </c>
      <c r="AM1131" t="str">
        <f>_xlfn.XLOOKUP(Table1[[#This Row],[PerformanceRating]],Table17[PerformanceRating],Table17[Id_PerformanceRating])</f>
        <v>PR004</v>
      </c>
      <c r="AN1131">
        <v>4</v>
      </c>
      <c r="AO1131" t="str">
        <f>_xlfn.XLOOKUP(Table1[[#This Row],[PerformanceRating]],Table17[PerformanceRating],Table17[Deskripsi])</f>
        <v>Outstanding</v>
      </c>
      <c r="AP1131" t="str">
        <f>_xlfn.XLOOKUP(Table1[[#This Row],[RelationshipSatisfaction]],Table18[RelationshipSatisfaction],Table18[Id_RelationshipSatisfaction])</f>
        <v>RS004</v>
      </c>
      <c r="AQ1131">
        <v>4</v>
      </c>
      <c r="AR1131" t="str">
        <f>_xlfn.XLOOKUP(Table1[[#This Row],[RelationshipSatisfaction]],Table18[RelationshipSatisfaction],Table18[Deskripsi])</f>
        <v>Very High</v>
      </c>
      <c r="AS1131" t="str">
        <f>_xlfn.XLOOKUP(Table1[[#This Row],[StockOptionLevel]],Table19[StockOptionLevel],Table19[Id_StockOptionLevel])</f>
        <v>SOL001</v>
      </c>
      <c r="AT1131">
        <v>0</v>
      </c>
      <c r="AU1131" t="str">
        <f>_xlfn.XLOOKUP(Table1[[#This Row],[StockOptionLevel]],Table19[StockOptionLevel],Table19[Deskripsi])</f>
        <v>Non-Eligible</v>
      </c>
      <c r="AV1131">
        <v>24</v>
      </c>
      <c r="AW1131">
        <v>2</v>
      </c>
      <c r="AX1131" t="str">
        <f>_xlfn.XLOOKUP(Table1[[#This Row],[WorkLifeBalance]],Table20[WorkLifeBalance],Table20[Id_WorkLifeBalance])</f>
        <v>WLB002</v>
      </c>
      <c r="AY1131">
        <v>3</v>
      </c>
      <c r="AZ1131" t="str">
        <f>_xlfn.XLOOKUP(Table1[[#This Row],[WorkLifeBalance]],Table20[WorkLifeBalance],Table20[Deskripsi])</f>
        <v>Good</v>
      </c>
      <c r="BA1131">
        <v>1</v>
      </c>
      <c r="BB1131">
        <v>0</v>
      </c>
      <c r="BC1131">
        <v>0</v>
      </c>
      <c r="BD1131">
        <v>1</v>
      </c>
    </row>
    <row r="1132" spans="1:56" x14ac:dyDescent="0.25">
      <c r="A1132">
        <v>35</v>
      </c>
      <c r="B1132" t="str">
        <f>_xlfn.XLOOKUP(Table1[[#This Row],[Attrition]],Table2[Attrition],Table2[Id_Attrition])</f>
        <v>A002</v>
      </c>
      <c r="C1132" t="s">
        <v>33</v>
      </c>
      <c r="D1132" t="str">
        <f>_xlfn.XLOOKUP(Table1[[#This Row],[BusinessTravel]],Table5[BusinessTravel],Table5[Id_BusinessTravel])</f>
        <v>BS001</v>
      </c>
      <c r="E1132" t="s">
        <v>34</v>
      </c>
      <c r="F1132">
        <v>750</v>
      </c>
      <c r="G1132" t="str">
        <f>_xlfn.XLOOKUP(Table1[[#This Row],[Department]],Table6[Department],Table6[Id_Departement])</f>
        <v>D002</v>
      </c>
      <c r="H1132" t="s">
        <v>38</v>
      </c>
      <c r="I1132">
        <v>28</v>
      </c>
      <c r="J1132" t="str">
        <f>_xlfn.XLOOKUP(Table1[[#This Row],[Education]],Table8[Education],Table8[Id_Education])</f>
        <v>E003</v>
      </c>
      <c r="K1132">
        <v>3</v>
      </c>
      <c r="L1132" t="str">
        <f>_xlfn.XLOOKUP(Table1[[#This Row],[EducationField]],Table7[EducationField],Table7[Id_EducationField])</f>
        <v>EF001</v>
      </c>
      <c r="M1132" t="s">
        <v>40</v>
      </c>
      <c r="N1132" t="str">
        <f>_xlfn.XLOOKUP(Table1[[#This Row],[EmployeeNumber]],Table4[EmployeeNumber],Table4[Id_Employee])</f>
        <v>EMP01131</v>
      </c>
      <c r="O1132">
        <v>1596</v>
      </c>
      <c r="P1132" t="str">
        <f>_xlfn.XLOOKUP(Table1[[#This Row],[EnvironmentSatisfaction]],Table9[EnvironmentSatisfaction],Table9[Id_EnviromentSatisfaction])</f>
        <v>ES002</v>
      </c>
      <c r="Q1132">
        <v>2</v>
      </c>
      <c r="R1132" t="str">
        <f>_xlfn.XLOOKUP(Table1[[#This Row],[EnvironmentSatisfaction]],Table9[EnvironmentSatisfaction],Table9[Deskripsi])</f>
        <v>Medium</v>
      </c>
      <c r="S1132" t="str">
        <f>_xlfn.XLOOKUP(Table1[[#This Row],[Gender]],Table10[Gender],Table10[Id_Gender])</f>
        <v>G002</v>
      </c>
      <c r="T1132" t="s">
        <v>46</v>
      </c>
      <c r="U1132">
        <v>46</v>
      </c>
      <c r="V1132" t="str">
        <f>_xlfn.XLOOKUP(Table1[[#This Row],[JobInvolvement]],Table11[JobInvolvement],Table11[Id_JobInvolvement])</f>
        <v>JI004</v>
      </c>
      <c r="W1132">
        <v>4</v>
      </c>
      <c r="X1132" t="str">
        <f>_xlfn.XLOOKUP(Table1[[#This Row],[JobLevel]],Table12[JobLevel],Table12[Id_JobLevel])</f>
        <v>JL002</v>
      </c>
      <c r="Y1132">
        <v>2</v>
      </c>
      <c r="Z1132" t="str">
        <f>_xlfn.XLOOKUP(Table1[[#This Row],[JobRole]],Table13[JobRole],Table13[Id_JobRole])</f>
        <v>JR003</v>
      </c>
      <c r="AA1132" t="s">
        <v>49</v>
      </c>
      <c r="AB1132" t="str">
        <f>_xlfn.XLOOKUP(Table1[[#This Row],[JobSatisfaction]],Table14[JobSatisfaction],Table14[Id_JobSatisfaction])</f>
        <v>JS003</v>
      </c>
      <c r="AC1132">
        <v>3</v>
      </c>
      <c r="AD1132" t="str">
        <f>_xlfn.XLOOKUP(Table1[[#This Row],[JobSatisfaction]],Table14[JobSatisfaction],Table14[Deskripsi])</f>
        <v>High</v>
      </c>
      <c r="AE1132" t="str">
        <f>_xlfn.XLOOKUP(Table1[[#This Row],[MaritalStatus]],Table15[MaritalStatus],Table15[Id_MaritalStatus])</f>
        <v>MS002</v>
      </c>
      <c r="AF1132" t="s">
        <v>56</v>
      </c>
      <c r="AG1132">
        <v>3407</v>
      </c>
      <c r="AH1132">
        <v>25348</v>
      </c>
      <c r="AI1132">
        <v>1</v>
      </c>
      <c r="AJ1132" t="str">
        <f>_xlfn.XLOOKUP(Table1[[#This Row],[OverTime]],Table16[OverTime],Table16[Id_OverTime])</f>
        <v>OT002</v>
      </c>
      <c r="AK1132" t="s">
        <v>33</v>
      </c>
      <c r="AL1132">
        <v>17</v>
      </c>
      <c r="AM1132" t="str">
        <f>_xlfn.XLOOKUP(Table1[[#This Row],[PerformanceRating]],Table17[PerformanceRating],Table17[Id_PerformanceRating])</f>
        <v>PR003</v>
      </c>
      <c r="AN1132">
        <v>3</v>
      </c>
      <c r="AO1132" t="str">
        <f>_xlfn.XLOOKUP(Table1[[#This Row],[PerformanceRating]],Table17[PerformanceRating],Table17[Deskripsi])</f>
        <v>Excellent</v>
      </c>
      <c r="AP1132" t="str">
        <f>_xlfn.XLOOKUP(Table1[[#This Row],[RelationshipSatisfaction]],Table18[RelationshipSatisfaction],Table18[Id_RelationshipSatisfaction])</f>
        <v>RS004</v>
      </c>
      <c r="AQ1132">
        <v>4</v>
      </c>
      <c r="AR1132" t="str">
        <f>_xlfn.XLOOKUP(Table1[[#This Row],[RelationshipSatisfaction]],Table18[RelationshipSatisfaction],Table18[Deskripsi])</f>
        <v>Very High</v>
      </c>
      <c r="AS1132" t="str">
        <f>_xlfn.XLOOKUP(Table1[[#This Row],[StockOptionLevel]],Table19[StockOptionLevel],Table19[Id_StockOptionLevel])</f>
        <v>SOL003</v>
      </c>
      <c r="AT1132">
        <v>2</v>
      </c>
      <c r="AU1132" t="str">
        <f>_xlfn.XLOOKUP(Table1[[#This Row],[StockOptionLevel]],Table19[StockOptionLevel],Table19[Deskripsi])</f>
        <v>Intermediate</v>
      </c>
      <c r="AV1132">
        <v>10</v>
      </c>
      <c r="AW1132">
        <v>3</v>
      </c>
      <c r="AX1132" t="str">
        <f>_xlfn.XLOOKUP(Table1[[#This Row],[WorkLifeBalance]],Table20[WorkLifeBalance],Table20[Id_WorkLifeBalance])</f>
        <v>WLB003</v>
      </c>
      <c r="AY1132">
        <v>2</v>
      </c>
      <c r="AZ1132" t="str">
        <f>_xlfn.XLOOKUP(Table1[[#This Row],[WorkLifeBalance]],Table20[WorkLifeBalance],Table20[Deskripsi])</f>
        <v>Better</v>
      </c>
      <c r="BA1132">
        <v>10</v>
      </c>
      <c r="BB1132">
        <v>9</v>
      </c>
      <c r="BC1132">
        <v>6</v>
      </c>
      <c r="BD1132">
        <v>8</v>
      </c>
    </row>
    <row r="1133" spans="1:56" x14ac:dyDescent="0.25">
      <c r="A1133">
        <v>34</v>
      </c>
      <c r="B1133" t="str">
        <f>_xlfn.XLOOKUP(Table1[[#This Row],[Attrition]],Table2[Attrition],Table2[Id_Attrition])</f>
        <v>A002</v>
      </c>
      <c r="C1133" t="s">
        <v>33</v>
      </c>
      <c r="D1133" t="str">
        <f>_xlfn.XLOOKUP(Table1[[#This Row],[BusinessTravel]],Table5[BusinessTravel],Table5[Id_BusinessTravel])</f>
        <v>BS002</v>
      </c>
      <c r="E1133" t="s">
        <v>35</v>
      </c>
      <c r="F1133">
        <v>653</v>
      </c>
      <c r="G1133" t="str">
        <f>_xlfn.XLOOKUP(Table1[[#This Row],[Department]],Table6[Department],Table6[Id_Departement])</f>
        <v>D002</v>
      </c>
      <c r="H1133" t="s">
        <v>38</v>
      </c>
      <c r="I1133">
        <v>10</v>
      </c>
      <c r="J1133" t="str">
        <f>_xlfn.XLOOKUP(Table1[[#This Row],[Education]],Table8[Education],Table8[Id_Education])</f>
        <v>E004</v>
      </c>
      <c r="K1133">
        <v>4</v>
      </c>
      <c r="L1133" t="str">
        <f>_xlfn.XLOOKUP(Table1[[#This Row],[EducationField]],Table7[EducationField],Table7[Id_EducationField])</f>
        <v>EF005</v>
      </c>
      <c r="M1133" t="s">
        <v>44</v>
      </c>
      <c r="N1133" t="str">
        <f>_xlfn.XLOOKUP(Table1[[#This Row],[EmployeeNumber]],Table4[EmployeeNumber],Table4[Id_Employee])</f>
        <v>EMP01132</v>
      </c>
      <c r="O1133">
        <v>1597</v>
      </c>
      <c r="P1133" t="str">
        <f>_xlfn.XLOOKUP(Table1[[#This Row],[EnvironmentSatisfaction]],Table9[EnvironmentSatisfaction],Table9[Id_EnviromentSatisfaction])</f>
        <v>ES004</v>
      </c>
      <c r="Q1133">
        <v>4</v>
      </c>
      <c r="R1133" t="str">
        <f>_xlfn.XLOOKUP(Table1[[#This Row],[EnvironmentSatisfaction]],Table9[EnvironmentSatisfaction],Table9[Deskripsi])</f>
        <v>Very High</v>
      </c>
      <c r="S1133" t="str">
        <f>_xlfn.XLOOKUP(Table1[[#This Row],[Gender]],Table10[Gender],Table10[Id_Gender])</f>
        <v>G002</v>
      </c>
      <c r="T1133" t="s">
        <v>46</v>
      </c>
      <c r="U1133">
        <v>92</v>
      </c>
      <c r="V1133" t="str">
        <f>_xlfn.XLOOKUP(Table1[[#This Row],[JobInvolvement]],Table11[JobInvolvement],Table11[Id_JobInvolvement])</f>
        <v>JI002</v>
      </c>
      <c r="W1133">
        <v>2</v>
      </c>
      <c r="X1133" t="str">
        <f>_xlfn.XLOOKUP(Table1[[#This Row],[JobLevel]],Table12[JobLevel],Table12[Id_JobLevel])</f>
        <v>JL002</v>
      </c>
      <c r="Y1133">
        <v>2</v>
      </c>
      <c r="Z1133" t="str">
        <f>_xlfn.XLOOKUP(Table1[[#This Row],[JobRole]],Table13[JobRole],Table13[Id_JobRole])</f>
        <v>JR005</v>
      </c>
      <c r="AA1133" t="s">
        <v>51</v>
      </c>
      <c r="AB1133" t="str">
        <f>_xlfn.XLOOKUP(Table1[[#This Row],[JobSatisfaction]],Table14[JobSatisfaction],Table14[Id_JobSatisfaction])</f>
        <v>JS003</v>
      </c>
      <c r="AC1133">
        <v>3</v>
      </c>
      <c r="AD1133" t="str">
        <f>_xlfn.XLOOKUP(Table1[[#This Row],[JobSatisfaction]],Table14[JobSatisfaction],Table14[Deskripsi])</f>
        <v>High</v>
      </c>
      <c r="AE1133" t="str">
        <f>_xlfn.XLOOKUP(Table1[[#This Row],[MaritalStatus]],Table15[MaritalStatus],Table15[Id_MaritalStatus])</f>
        <v>MS002</v>
      </c>
      <c r="AF1133" t="s">
        <v>56</v>
      </c>
      <c r="AG1133">
        <v>5063</v>
      </c>
      <c r="AH1133">
        <v>15332</v>
      </c>
      <c r="AI1133">
        <v>1</v>
      </c>
      <c r="AJ1133" t="str">
        <f>_xlfn.XLOOKUP(Table1[[#This Row],[OverTime]],Table16[OverTime],Table16[Id_OverTime])</f>
        <v>OT002</v>
      </c>
      <c r="AK1133" t="s">
        <v>33</v>
      </c>
      <c r="AL1133">
        <v>14</v>
      </c>
      <c r="AM1133" t="str">
        <f>_xlfn.XLOOKUP(Table1[[#This Row],[PerformanceRating]],Table17[PerformanceRating],Table17[Id_PerformanceRating])</f>
        <v>PR003</v>
      </c>
      <c r="AN1133">
        <v>3</v>
      </c>
      <c r="AO1133" t="str">
        <f>_xlfn.XLOOKUP(Table1[[#This Row],[PerformanceRating]],Table17[PerformanceRating],Table17[Deskripsi])</f>
        <v>Excellent</v>
      </c>
      <c r="AP1133" t="str">
        <f>_xlfn.XLOOKUP(Table1[[#This Row],[RelationshipSatisfaction]],Table18[RelationshipSatisfaction],Table18[Id_RelationshipSatisfaction])</f>
        <v>RS002</v>
      </c>
      <c r="AQ1133">
        <v>2</v>
      </c>
      <c r="AR1133" t="str">
        <f>_xlfn.XLOOKUP(Table1[[#This Row],[RelationshipSatisfaction]],Table18[RelationshipSatisfaction],Table18[Deskripsi])</f>
        <v>Medium</v>
      </c>
      <c r="AS1133" t="str">
        <f>_xlfn.XLOOKUP(Table1[[#This Row],[StockOptionLevel]],Table19[StockOptionLevel],Table19[Id_StockOptionLevel])</f>
        <v>SOL002</v>
      </c>
      <c r="AT1133">
        <v>1</v>
      </c>
      <c r="AU1133" t="str">
        <f>_xlfn.XLOOKUP(Table1[[#This Row],[StockOptionLevel]],Table19[StockOptionLevel],Table19[Deskripsi])</f>
        <v>Standard</v>
      </c>
      <c r="AV1133">
        <v>8</v>
      </c>
      <c r="AW1133">
        <v>3</v>
      </c>
      <c r="AX1133" t="str">
        <f>_xlfn.XLOOKUP(Table1[[#This Row],[WorkLifeBalance]],Table20[WorkLifeBalance],Table20[Id_WorkLifeBalance])</f>
        <v>WLB003</v>
      </c>
      <c r="AY1133">
        <v>2</v>
      </c>
      <c r="AZ1133" t="str">
        <f>_xlfn.XLOOKUP(Table1[[#This Row],[WorkLifeBalance]],Table20[WorkLifeBalance],Table20[Deskripsi])</f>
        <v>Better</v>
      </c>
      <c r="BA1133">
        <v>8</v>
      </c>
      <c r="BB1133">
        <v>2</v>
      </c>
      <c r="BC1133">
        <v>7</v>
      </c>
      <c r="BD1133">
        <v>7</v>
      </c>
    </row>
    <row r="1134" spans="1:56" x14ac:dyDescent="0.25">
      <c r="A1134">
        <v>40</v>
      </c>
      <c r="B1134" t="str">
        <f>_xlfn.XLOOKUP(Table1[[#This Row],[Attrition]],Table2[Attrition],Table2[Id_Attrition])</f>
        <v>A002</v>
      </c>
      <c r="C1134" t="s">
        <v>33</v>
      </c>
      <c r="D1134" t="str">
        <f>_xlfn.XLOOKUP(Table1[[#This Row],[BusinessTravel]],Table5[BusinessTravel],Table5[Id_BusinessTravel])</f>
        <v>BS001</v>
      </c>
      <c r="E1134" t="s">
        <v>34</v>
      </c>
      <c r="F1134">
        <v>118</v>
      </c>
      <c r="G1134" t="str">
        <f>_xlfn.XLOOKUP(Table1[[#This Row],[Department]],Table6[Department],Table6[Id_Departement])</f>
        <v>D001</v>
      </c>
      <c r="H1134" t="s">
        <v>37</v>
      </c>
      <c r="I1134">
        <v>14</v>
      </c>
      <c r="J1134" t="str">
        <f>_xlfn.XLOOKUP(Table1[[#This Row],[Education]],Table8[Education],Table8[Id_Education])</f>
        <v>E002</v>
      </c>
      <c r="K1134">
        <v>2</v>
      </c>
      <c r="L1134" t="str">
        <f>_xlfn.XLOOKUP(Table1[[#This Row],[EducationField]],Table7[EducationField],Table7[Id_EducationField])</f>
        <v>EF001</v>
      </c>
      <c r="M1134" t="s">
        <v>40</v>
      </c>
      <c r="N1134" t="str">
        <f>_xlfn.XLOOKUP(Table1[[#This Row],[EmployeeNumber]],Table4[EmployeeNumber],Table4[Id_Employee])</f>
        <v>EMP01133</v>
      </c>
      <c r="O1134">
        <v>1598</v>
      </c>
      <c r="P1134" t="str">
        <f>_xlfn.XLOOKUP(Table1[[#This Row],[EnvironmentSatisfaction]],Table9[EnvironmentSatisfaction],Table9[Id_EnviromentSatisfaction])</f>
        <v>ES004</v>
      </c>
      <c r="Q1134">
        <v>4</v>
      </c>
      <c r="R1134" t="str">
        <f>_xlfn.XLOOKUP(Table1[[#This Row],[EnvironmentSatisfaction]],Table9[EnvironmentSatisfaction],Table9[Deskripsi])</f>
        <v>Very High</v>
      </c>
      <c r="S1134" t="str">
        <f>_xlfn.XLOOKUP(Table1[[#This Row],[Gender]],Table10[Gender],Table10[Id_Gender])</f>
        <v>G001</v>
      </c>
      <c r="T1134" t="s">
        <v>45</v>
      </c>
      <c r="U1134">
        <v>84</v>
      </c>
      <c r="V1134" t="str">
        <f>_xlfn.XLOOKUP(Table1[[#This Row],[JobInvolvement]],Table11[JobInvolvement],Table11[Id_JobInvolvement])</f>
        <v>JI003</v>
      </c>
      <c r="W1134">
        <v>3</v>
      </c>
      <c r="X1134" t="str">
        <f>_xlfn.XLOOKUP(Table1[[#This Row],[JobLevel]],Table12[JobLevel],Table12[Id_JobLevel])</f>
        <v>JL002</v>
      </c>
      <c r="Y1134">
        <v>2</v>
      </c>
      <c r="Z1134" t="str">
        <f>_xlfn.XLOOKUP(Table1[[#This Row],[JobRole]],Table13[JobRole],Table13[Id_JobRole])</f>
        <v>JR001</v>
      </c>
      <c r="AA1134" t="s">
        <v>47</v>
      </c>
      <c r="AB1134" t="str">
        <f>_xlfn.XLOOKUP(Table1[[#This Row],[JobSatisfaction]],Table14[JobSatisfaction],Table14[Id_JobSatisfaction])</f>
        <v>JS001</v>
      </c>
      <c r="AC1134">
        <v>1</v>
      </c>
      <c r="AD1134" t="str">
        <f>_xlfn.XLOOKUP(Table1[[#This Row],[JobSatisfaction]],Table14[JobSatisfaction],Table14[Deskripsi])</f>
        <v>Low</v>
      </c>
      <c r="AE1134" t="str">
        <f>_xlfn.XLOOKUP(Table1[[#This Row],[MaritalStatus]],Table15[MaritalStatus],Table15[Id_MaritalStatus])</f>
        <v>MS002</v>
      </c>
      <c r="AF1134" t="s">
        <v>56</v>
      </c>
      <c r="AG1134">
        <v>4639</v>
      </c>
      <c r="AH1134">
        <v>11262</v>
      </c>
      <c r="AI1134">
        <v>1</v>
      </c>
      <c r="AJ1134" t="str">
        <f>_xlfn.XLOOKUP(Table1[[#This Row],[OverTime]],Table16[OverTime],Table16[Id_OverTime])</f>
        <v>OT002</v>
      </c>
      <c r="AK1134" t="s">
        <v>33</v>
      </c>
      <c r="AL1134">
        <v>15</v>
      </c>
      <c r="AM1134" t="str">
        <f>_xlfn.XLOOKUP(Table1[[#This Row],[PerformanceRating]],Table17[PerformanceRating],Table17[Id_PerformanceRating])</f>
        <v>PR003</v>
      </c>
      <c r="AN1134">
        <v>3</v>
      </c>
      <c r="AO1134" t="str">
        <f>_xlfn.XLOOKUP(Table1[[#This Row],[PerformanceRating]],Table17[PerformanceRating],Table17[Deskripsi])</f>
        <v>Excellent</v>
      </c>
      <c r="AP1134" t="str">
        <f>_xlfn.XLOOKUP(Table1[[#This Row],[RelationshipSatisfaction]],Table18[RelationshipSatisfaction],Table18[Id_RelationshipSatisfaction])</f>
        <v>RS003</v>
      </c>
      <c r="AQ1134">
        <v>3</v>
      </c>
      <c r="AR1134" t="str">
        <f>_xlfn.XLOOKUP(Table1[[#This Row],[RelationshipSatisfaction]],Table18[RelationshipSatisfaction],Table18[Deskripsi])</f>
        <v>High</v>
      </c>
      <c r="AS1134" t="str">
        <f>_xlfn.XLOOKUP(Table1[[#This Row],[StockOptionLevel]],Table19[StockOptionLevel],Table19[Id_StockOptionLevel])</f>
        <v>SOL002</v>
      </c>
      <c r="AT1134">
        <v>1</v>
      </c>
      <c r="AU1134" t="str">
        <f>_xlfn.XLOOKUP(Table1[[#This Row],[StockOptionLevel]],Table19[StockOptionLevel],Table19[Deskripsi])</f>
        <v>Standard</v>
      </c>
      <c r="AV1134">
        <v>5</v>
      </c>
      <c r="AW1134">
        <v>2</v>
      </c>
      <c r="AX1134" t="str">
        <f>_xlfn.XLOOKUP(Table1[[#This Row],[WorkLifeBalance]],Table20[WorkLifeBalance],Table20[Id_WorkLifeBalance])</f>
        <v>WLB002</v>
      </c>
      <c r="AY1134">
        <v>3</v>
      </c>
      <c r="AZ1134" t="str">
        <f>_xlfn.XLOOKUP(Table1[[#This Row],[WorkLifeBalance]],Table20[WorkLifeBalance],Table20[Deskripsi])</f>
        <v>Good</v>
      </c>
      <c r="BA1134">
        <v>5</v>
      </c>
      <c r="BB1134">
        <v>4</v>
      </c>
      <c r="BC1134">
        <v>1</v>
      </c>
      <c r="BD1134">
        <v>2</v>
      </c>
    </row>
    <row r="1135" spans="1:56" x14ac:dyDescent="0.25">
      <c r="A1135">
        <v>43</v>
      </c>
      <c r="B1135" t="str">
        <f>_xlfn.XLOOKUP(Table1[[#This Row],[Attrition]],Table2[Attrition],Table2[Id_Attrition])</f>
        <v>A002</v>
      </c>
      <c r="C1135" t="s">
        <v>33</v>
      </c>
      <c r="D1135" t="str">
        <f>_xlfn.XLOOKUP(Table1[[#This Row],[BusinessTravel]],Table5[BusinessTravel],Table5[Id_BusinessTravel])</f>
        <v>BS001</v>
      </c>
      <c r="E1135" t="s">
        <v>34</v>
      </c>
      <c r="F1135">
        <v>990</v>
      </c>
      <c r="G1135" t="str">
        <f>_xlfn.XLOOKUP(Table1[[#This Row],[Department]],Table6[Department],Table6[Id_Departement])</f>
        <v>D002</v>
      </c>
      <c r="H1135" t="s">
        <v>38</v>
      </c>
      <c r="I1135">
        <v>27</v>
      </c>
      <c r="J1135" t="str">
        <f>_xlfn.XLOOKUP(Table1[[#This Row],[Education]],Table8[Education],Table8[Id_Education])</f>
        <v>E003</v>
      </c>
      <c r="K1135">
        <v>3</v>
      </c>
      <c r="L1135" t="str">
        <f>_xlfn.XLOOKUP(Table1[[#This Row],[EducationField]],Table7[EducationField],Table7[Id_EducationField])</f>
        <v>EF005</v>
      </c>
      <c r="M1135" t="s">
        <v>44</v>
      </c>
      <c r="N1135" t="str">
        <f>_xlfn.XLOOKUP(Table1[[#This Row],[EmployeeNumber]],Table4[EmployeeNumber],Table4[Id_Employee])</f>
        <v>EMP01134</v>
      </c>
      <c r="O1135">
        <v>1599</v>
      </c>
      <c r="P1135" t="str">
        <f>_xlfn.XLOOKUP(Table1[[#This Row],[EnvironmentSatisfaction]],Table9[EnvironmentSatisfaction],Table9[Id_EnviromentSatisfaction])</f>
        <v>ES004</v>
      </c>
      <c r="Q1135">
        <v>4</v>
      </c>
      <c r="R1135" t="str">
        <f>_xlfn.XLOOKUP(Table1[[#This Row],[EnvironmentSatisfaction]],Table9[EnvironmentSatisfaction],Table9[Deskripsi])</f>
        <v>Very High</v>
      </c>
      <c r="S1135" t="str">
        <f>_xlfn.XLOOKUP(Table1[[#This Row],[Gender]],Table10[Gender],Table10[Id_Gender])</f>
        <v>G002</v>
      </c>
      <c r="T1135" t="s">
        <v>46</v>
      </c>
      <c r="U1135">
        <v>87</v>
      </c>
      <c r="V1135" t="str">
        <f>_xlfn.XLOOKUP(Table1[[#This Row],[JobInvolvement]],Table11[JobInvolvement],Table11[Id_JobInvolvement])</f>
        <v>JI004</v>
      </c>
      <c r="W1135">
        <v>4</v>
      </c>
      <c r="X1135" t="str">
        <f>_xlfn.XLOOKUP(Table1[[#This Row],[JobLevel]],Table12[JobLevel],Table12[Id_JobLevel])</f>
        <v>JL001</v>
      </c>
      <c r="Y1135">
        <v>1</v>
      </c>
      <c r="Z1135" t="str">
        <f>_xlfn.XLOOKUP(Table1[[#This Row],[JobRole]],Table13[JobRole],Table13[Id_JobRole])</f>
        <v>JR003</v>
      </c>
      <c r="AA1135" t="s">
        <v>49</v>
      </c>
      <c r="AB1135" t="str">
        <f>_xlfn.XLOOKUP(Table1[[#This Row],[JobSatisfaction]],Table14[JobSatisfaction],Table14[Id_JobSatisfaction])</f>
        <v>JS002</v>
      </c>
      <c r="AC1135">
        <v>2</v>
      </c>
      <c r="AD1135" t="str">
        <f>_xlfn.XLOOKUP(Table1[[#This Row],[JobSatisfaction]],Table14[JobSatisfaction],Table14[Deskripsi])</f>
        <v>Medium</v>
      </c>
      <c r="AE1135" t="str">
        <f>_xlfn.XLOOKUP(Table1[[#This Row],[MaritalStatus]],Table15[MaritalStatus],Table15[Id_MaritalStatus])</f>
        <v>MS003</v>
      </c>
      <c r="AF1135" t="s">
        <v>57</v>
      </c>
      <c r="AG1135">
        <v>4876</v>
      </c>
      <c r="AH1135">
        <v>5855</v>
      </c>
      <c r="AI1135">
        <v>5</v>
      </c>
      <c r="AJ1135" t="str">
        <f>_xlfn.XLOOKUP(Table1[[#This Row],[OverTime]],Table16[OverTime],Table16[Id_OverTime])</f>
        <v>OT002</v>
      </c>
      <c r="AK1135" t="s">
        <v>33</v>
      </c>
      <c r="AL1135">
        <v>12</v>
      </c>
      <c r="AM1135" t="str">
        <f>_xlfn.XLOOKUP(Table1[[#This Row],[PerformanceRating]],Table17[PerformanceRating],Table17[Id_PerformanceRating])</f>
        <v>PR003</v>
      </c>
      <c r="AN1135">
        <v>3</v>
      </c>
      <c r="AO1135" t="str">
        <f>_xlfn.XLOOKUP(Table1[[#This Row],[PerformanceRating]],Table17[PerformanceRating],Table17[Deskripsi])</f>
        <v>Excellent</v>
      </c>
      <c r="AP1135" t="str">
        <f>_xlfn.XLOOKUP(Table1[[#This Row],[RelationshipSatisfaction]],Table18[RelationshipSatisfaction],Table18[Id_RelationshipSatisfaction])</f>
        <v>RS003</v>
      </c>
      <c r="AQ1135">
        <v>3</v>
      </c>
      <c r="AR1135" t="str">
        <f>_xlfn.XLOOKUP(Table1[[#This Row],[RelationshipSatisfaction]],Table18[RelationshipSatisfaction],Table18[Deskripsi])</f>
        <v>High</v>
      </c>
      <c r="AS1135" t="str">
        <f>_xlfn.XLOOKUP(Table1[[#This Row],[StockOptionLevel]],Table19[StockOptionLevel],Table19[Id_StockOptionLevel])</f>
        <v>SOL002</v>
      </c>
      <c r="AT1135">
        <v>1</v>
      </c>
      <c r="AU1135" t="str">
        <f>_xlfn.XLOOKUP(Table1[[#This Row],[StockOptionLevel]],Table19[StockOptionLevel],Table19[Deskripsi])</f>
        <v>Standard</v>
      </c>
      <c r="AV1135">
        <v>8</v>
      </c>
      <c r="AW1135">
        <v>0</v>
      </c>
      <c r="AX1135" t="str">
        <f>_xlfn.XLOOKUP(Table1[[#This Row],[WorkLifeBalance]],Table20[WorkLifeBalance],Table20[Id_WorkLifeBalance])</f>
        <v>WLB002</v>
      </c>
      <c r="AY1135">
        <v>3</v>
      </c>
      <c r="AZ1135" t="str">
        <f>_xlfn.XLOOKUP(Table1[[#This Row],[WorkLifeBalance]],Table20[WorkLifeBalance],Table20[Deskripsi])</f>
        <v>Good</v>
      </c>
      <c r="BA1135">
        <v>6</v>
      </c>
      <c r="BB1135">
        <v>4</v>
      </c>
      <c r="BC1135">
        <v>0</v>
      </c>
      <c r="BD1135">
        <v>2</v>
      </c>
    </row>
    <row r="1136" spans="1:56" x14ac:dyDescent="0.25">
      <c r="A1136">
        <v>35</v>
      </c>
      <c r="B1136" t="str">
        <f>_xlfn.XLOOKUP(Table1[[#This Row],[Attrition]],Table2[Attrition],Table2[Id_Attrition])</f>
        <v>A002</v>
      </c>
      <c r="C1136" t="s">
        <v>33</v>
      </c>
      <c r="D1136" t="str">
        <f>_xlfn.XLOOKUP(Table1[[#This Row],[BusinessTravel]],Table5[BusinessTravel],Table5[Id_BusinessTravel])</f>
        <v>BS001</v>
      </c>
      <c r="E1136" t="s">
        <v>34</v>
      </c>
      <c r="F1136">
        <v>1349</v>
      </c>
      <c r="G1136" t="str">
        <f>_xlfn.XLOOKUP(Table1[[#This Row],[Department]],Table6[Department],Table6[Id_Departement])</f>
        <v>D002</v>
      </c>
      <c r="H1136" t="s">
        <v>38</v>
      </c>
      <c r="I1136">
        <v>7</v>
      </c>
      <c r="J1136" t="str">
        <f>_xlfn.XLOOKUP(Table1[[#This Row],[Education]],Table8[Education],Table8[Id_Education])</f>
        <v>E002</v>
      </c>
      <c r="K1136">
        <v>2</v>
      </c>
      <c r="L1136" t="str">
        <f>_xlfn.XLOOKUP(Table1[[#This Row],[EducationField]],Table7[EducationField],Table7[Id_EducationField])</f>
        <v>EF001</v>
      </c>
      <c r="M1136" t="s">
        <v>40</v>
      </c>
      <c r="N1136" t="str">
        <f>_xlfn.XLOOKUP(Table1[[#This Row],[EmployeeNumber]],Table4[EmployeeNumber],Table4[Id_Employee])</f>
        <v>EMP01135</v>
      </c>
      <c r="O1136">
        <v>1601</v>
      </c>
      <c r="P1136" t="str">
        <f>_xlfn.XLOOKUP(Table1[[#This Row],[EnvironmentSatisfaction]],Table9[EnvironmentSatisfaction],Table9[Id_EnviromentSatisfaction])</f>
        <v>ES003</v>
      </c>
      <c r="Q1136">
        <v>3</v>
      </c>
      <c r="R1136" t="str">
        <f>_xlfn.XLOOKUP(Table1[[#This Row],[EnvironmentSatisfaction]],Table9[EnvironmentSatisfaction],Table9[Deskripsi])</f>
        <v>High</v>
      </c>
      <c r="S1136" t="str">
        <f>_xlfn.XLOOKUP(Table1[[#This Row],[Gender]],Table10[Gender],Table10[Id_Gender])</f>
        <v>G002</v>
      </c>
      <c r="T1136" t="s">
        <v>46</v>
      </c>
      <c r="U1136">
        <v>63</v>
      </c>
      <c r="V1136" t="str">
        <f>_xlfn.XLOOKUP(Table1[[#This Row],[JobInvolvement]],Table11[JobInvolvement],Table11[Id_JobInvolvement])</f>
        <v>JI002</v>
      </c>
      <c r="W1136">
        <v>2</v>
      </c>
      <c r="X1136" t="str">
        <f>_xlfn.XLOOKUP(Table1[[#This Row],[JobLevel]],Table12[JobLevel],Table12[Id_JobLevel])</f>
        <v>JL001</v>
      </c>
      <c r="Y1136">
        <v>1</v>
      </c>
      <c r="Z1136" t="str">
        <f>_xlfn.XLOOKUP(Table1[[#This Row],[JobRole]],Table13[JobRole],Table13[Id_JobRole])</f>
        <v>JR003</v>
      </c>
      <c r="AA1136" t="s">
        <v>49</v>
      </c>
      <c r="AB1136" t="str">
        <f>_xlfn.XLOOKUP(Table1[[#This Row],[JobSatisfaction]],Table14[JobSatisfaction],Table14[Id_JobSatisfaction])</f>
        <v>JS004</v>
      </c>
      <c r="AC1136">
        <v>4</v>
      </c>
      <c r="AD1136" t="str">
        <f>_xlfn.XLOOKUP(Table1[[#This Row],[JobSatisfaction]],Table14[JobSatisfaction],Table14[Deskripsi])</f>
        <v>Very High</v>
      </c>
      <c r="AE1136" t="str">
        <f>_xlfn.XLOOKUP(Table1[[#This Row],[MaritalStatus]],Table15[MaritalStatus],Table15[Id_MaritalStatus])</f>
        <v>MS002</v>
      </c>
      <c r="AF1136" t="s">
        <v>56</v>
      </c>
      <c r="AG1136">
        <v>2690</v>
      </c>
      <c r="AH1136">
        <v>7713</v>
      </c>
      <c r="AI1136">
        <v>1</v>
      </c>
      <c r="AJ1136" t="str">
        <f>_xlfn.XLOOKUP(Table1[[#This Row],[OverTime]],Table16[OverTime],Table16[Id_OverTime])</f>
        <v>OT002</v>
      </c>
      <c r="AK1136" t="s">
        <v>33</v>
      </c>
      <c r="AL1136">
        <v>18</v>
      </c>
      <c r="AM1136" t="str">
        <f>_xlfn.XLOOKUP(Table1[[#This Row],[PerformanceRating]],Table17[PerformanceRating],Table17[Id_PerformanceRating])</f>
        <v>PR003</v>
      </c>
      <c r="AN1136">
        <v>3</v>
      </c>
      <c r="AO1136" t="str">
        <f>_xlfn.XLOOKUP(Table1[[#This Row],[PerformanceRating]],Table17[PerformanceRating],Table17[Deskripsi])</f>
        <v>Excellent</v>
      </c>
      <c r="AP1136" t="str">
        <f>_xlfn.XLOOKUP(Table1[[#This Row],[RelationshipSatisfaction]],Table18[RelationshipSatisfaction],Table18[Id_RelationshipSatisfaction])</f>
        <v>RS004</v>
      </c>
      <c r="AQ1136">
        <v>4</v>
      </c>
      <c r="AR1136" t="str">
        <f>_xlfn.XLOOKUP(Table1[[#This Row],[RelationshipSatisfaction]],Table18[RelationshipSatisfaction],Table18[Deskripsi])</f>
        <v>Very High</v>
      </c>
      <c r="AS1136" t="str">
        <f>_xlfn.XLOOKUP(Table1[[#This Row],[StockOptionLevel]],Table19[StockOptionLevel],Table19[Id_StockOptionLevel])</f>
        <v>SOL002</v>
      </c>
      <c r="AT1136">
        <v>1</v>
      </c>
      <c r="AU1136" t="str">
        <f>_xlfn.XLOOKUP(Table1[[#This Row],[StockOptionLevel]],Table19[StockOptionLevel],Table19[Deskripsi])</f>
        <v>Standard</v>
      </c>
      <c r="AV1136">
        <v>1</v>
      </c>
      <c r="AW1136">
        <v>5</v>
      </c>
      <c r="AX1136" t="str">
        <f>_xlfn.XLOOKUP(Table1[[#This Row],[WorkLifeBalance]],Table20[WorkLifeBalance],Table20[Id_WorkLifeBalance])</f>
        <v>WLB003</v>
      </c>
      <c r="AY1136">
        <v>2</v>
      </c>
      <c r="AZ1136" t="str">
        <f>_xlfn.XLOOKUP(Table1[[#This Row],[WorkLifeBalance]],Table20[WorkLifeBalance],Table20[Deskripsi])</f>
        <v>Better</v>
      </c>
      <c r="BA1136">
        <v>1</v>
      </c>
      <c r="BB1136">
        <v>0</v>
      </c>
      <c r="BC1136">
        <v>0</v>
      </c>
      <c r="BD1136">
        <v>1</v>
      </c>
    </row>
    <row r="1137" spans="1:56" x14ac:dyDescent="0.25">
      <c r="A1137">
        <v>46</v>
      </c>
      <c r="B1137" t="str">
        <f>_xlfn.XLOOKUP(Table1[[#This Row],[Attrition]],Table2[Attrition],Table2[Id_Attrition])</f>
        <v>A002</v>
      </c>
      <c r="C1137" t="s">
        <v>33</v>
      </c>
      <c r="D1137" t="str">
        <f>_xlfn.XLOOKUP(Table1[[#This Row],[BusinessTravel]],Table5[BusinessTravel],Table5[Id_BusinessTravel])</f>
        <v>BS001</v>
      </c>
      <c r="E1137" t="s">
        <v>34</v>
      </c>
      <c r="F1137">
        <v>563</v>
      </c>
      <c r="G1137" t="str">
        <f>_xlfn.XLOOKUP(Table1[[#This Row],[Department]],Table6[Department],Table6[Id_Departement])</f>
        <v>D001</v>
      </c>
      <c r="H1137" t="s">
        <v>37</v>
      </c>
      <c r="I1137">
        <v>1</v>
      </c>
      <c r="J1137" t="str">
        <f>_xlfn.XLOOKUP(Table1[[#This Row],[Education]],Table8[Education],Table8[Id_Education])</f>
        <v>E004</v>
      </c>
      <c r="K1137">
        <v>4</v>
      </c>
      <c r="L1137" t="str">
        <f>_xlfn.XLOOKUP(Table1[[#This Row],[EducationField]],Table7[EducationField],Table7[Id_EducationField])</f>
        <v>EF001</v>
      </c>
      <c r="M1137" t="s">
        <v>40</v>
      </c>
      <c r="N1137" t="str">
        <f>_xlfn.XLOOKUP(Table1[[#This Row],[EmployeeNumber]],Table4[EmployeeNumber],Table4[Id_Employee])</f>
        <v>EMP01136</v>
      </c>
      <c r="O1137">
        <v>1602</v>
      </c>
      <c r="P1137" t="str">
        <f>_xlfn.XLOOKUP(Table1[[#This Row],[EnvironmentSatisfaction]],Table9[EnvironmentSatisfaction],Table9[Id_EnviromentSatisfaction])</f>
        <v>ES004</v>
      </c>
      <c r="Q1137">
        <v>4</v>
      </c>
      <c r="R1137" t="str">
        <f>_xlfn.XLOOKUP(Table1[[#This Row],[EnvironmentSatisfaction]],Table9[EnvironmentSatisfaction],Table9[Deskripsi])</f>
        <v>Very High</v>
      </c>
      <c r="S1137" t="str">
        <f>_xlfn.XLOOKUP(Table1[[#This Row],[Gender]],Table10[Gender],Table10[Id_Gender])</f>
        <v>G002</v>
      </c>
      <c r="T1137" t="s">
        <v>46</v>
      </c>
      <c r="U1137">
        <v>56</v>
      </c>
      <c r="V1137" t="str">
        <f>_xlfn.XLOOKUP(Table1[[#This Row],[JobInvolvement]],Table11[JobInvolvement],Table11[Id_JobInvolvement])</f>
        <v>JI004</v>
      </c>
      <c r="W1137">
        <v>4</v>
      </c>
      <c r="X1137" t="str">
        <f>_xlfn.XLOOKUP(Table1[[#This Row],[JobLevel]],Table12[JobLevel],Table12[Id_JobLevel])</f>
        <v>JL004</v>
      </c>
      <c r="Y1137">
        <v>4</v>
      </c>
      <c r="Z1137" t="str">
        <f>_xlfn.XLOOKUP(Table1[[#This Row],[JobRole]],Table13[JobRole],Table13[Id_JobRole])</f>
        <v>JR006</v>
      </c>
      <c r="AA1137" t="s">
        <v>52</v>
      </c>
      <c r="AB1137" t="str">
        <f>_xlfn.XLOOKUP(Table1[[#This Row],[JobSatisfaction]],Table14[JobSatisfaction],Table14[Id_JobSatisfaction])</f>
        <v>JS001</v>
      </c>
      <c r="AC1137">
        <v>1</v>
      </c>
      <c r="AD1137" t="str">
        <f>_xlfn.XLOOKUP(Table1[[#This Row],[JobSatisfaction]],Table14[JobSatisfaction],Table14[Deskripsi])</f>
        <v>Low</v>
      </c>
      <c r="AE1137" t="str">
        <f>_xlfn.XLOOKUP(Table1[[#This Row],[MaritalStatus]],Table15[MaritalStatus],Table15[Id_MaritalStatus])</f>
        <v>MS001</v>
      </c>
      <c r="AF1137" t="s">
        <v>55</v>
      </c>
      <c r="AG1137">
        <v>17567</v>
      </c>
      <c r="AH1137">
        <v>3156</v>
      </c>
      <c r="AI1137">
        <v>1</v>
      </c>
      <c r="AJ1137" t="str">
        <f>_xlfn.XLOOKUP(Table1[[#This Row],[OverTime]],Table16[OverTime],Table16[Id_OverTime])</f>
        <v>OT002</v>
      </c>
      <c r="AK1137" t="s">
        <v>33</v>
      </c>
      <c r="AL1137">
        <v>15</v>
      </c>
      <c r="AM1137" t="str">
        <f>_xlfn.XLOOKUP(Table1[[#This Row],[PerformanceRating]],Table17[PerformanceRating],Table17[Id_PerformanceRating])</f>
        <v>PR003</v>
      </c>
      <c r="AN1137">
        <v>3</v>
      </c>
      <c r="AO1137" t="str">
        <f>_xlfn.XLOOKUP(Table1[[#This Row],[PerformanceRating]],Table17[PerformanceRating],Table17[Deskripsi])</f>
        <v>Excellent</v>
      </c>
      <c r="AP1137" t="str">
        <f>_xlfn.XLOOKUP(Table1[[#This Row],[RelationshipSatisfaction]],Table18[RelationshipSatisfaction],Table18[Id_RelationshipSatisfaction])</f>
        <v>RS002</v>
      </c>
      <c r="AQ1137">
        <v>2</v>
      </c>
      <c r="AR1137" t="str">
        <f>_xlfn.XLOOKUP(Table1[[#This Row],[RelationshipSatisfaction]],Table18[RelationshipSatisfaction],Table18[Deskripsi])</f>
        <v>Medium</v>
      </c>
      <c r="AS1137" t="str">
        <f>_xlfn.XLOOKUP(Table1[[#This Row],[StockOptionLevel]],Table19[StockOptionLevel],Table19[Id_StockOptionLevel])</f>
        <v>SOL001</v>
      </c>
      <c r="AT1137">
        <v>0</v>
      </c>
      <c r="AU1137" t="str">
        <f>_xlfn.XLOOKUP(Table1[[#This Row],[StockOptionLevel]],Table19[StockOptionLevel],Table19[Deskripsi])</f>
        <v>Non-Eligible</v>
      </c>
      <c r="AV1137">
        <v>27</v>
      </c>
      <c r="AW1137">
        <v>5</v>
      </c>
      <c r="AX1137" t="str">
        <f>_xlfn.XLOOKUP(Table1[[#This Row],[WorkLifeBalance]],Table20[WorkLifeBalance],Table20[Id_WorkLifeBalance])</f>
        <v>WLB001</v>
      </c>
      <c r="AY1137">
        <v>1</v>
      </c>
      <c r="AZ1137" t="str">
        <f>_xlfn.XLOOKUP(Table1[[#This Row],[WorkLifeBalance]],Table20[WorkLifeBalance],Table20[Deskripsi])</f>
        <v>Bad</v>
      </c>
      <c r="BA1137">
        <v>26</v>
      </c>
      <c r="BB1137">
        <v>0</v>
      </c>
      <c r="BC1137">
        <v>0</v>
      </c>
      <c r="BD1137">
        <v>12</v>
      </c>
    </row>
    <row r="1138" spans="1:56" x14ac:dyDescent="0.25">
      <c r="A1138">
        <v>28</v>
      </c>
      <c r="B1138" t="str">
        <f>_xlfn.XLOOKUP(Table1[[#This Row],[Attrition]],Table2[Attrition],Table2[Id_Attrition])</f>
        <v>A001</v>
      </c>
      <c r="C1138" t="s">
        <v>32</v>
      </c>
      <c r="D1138" t="str">
        <f>_xlfn.XLOOKUP(Table1[[#This Row],[BusinessTravel]],Table5[BusinessTravel],Table5[Id_BusinessTravel])</f>
        <v>BS001</v>
      </c>
      <c r="E1138" t="s">
        <v>34</v>
      </c>
      <c r="F1138">
        <v>329</v>
      </c>
      <c r="G1138" t="str">
        <f>_xlfn.XLOOKUP(Table1[[#This Row],[Department]],Table6[Department],Table6[Id_Departement])</f>
        <v>D002</v>
      </c>
      <c r="H1138" t="s">
        <v>38</v>
      </c>
      <c r="I1138">
        <v>24</v>
      </c>
      <c r="J1138" t="str">
        <f>_xlfn.XLOOKUP(Table1[[#This Row],[Education]],Table8[Education],Table8[Id_Education])</f>
        <v>E003</v>
      </c>
      <c r="K1138">
        <v>3</v>
      </c>
      <c r="L1138" t="str">
        <f>_xlfn.XLOOKUP(Table1[[#This Row],[EducationField]],Table7[EducationField],Table7[Id_EducationField])</f>
        <v>EF003</v>
      </c>
      <c r="M1138" t="s">
        <v>42</v>
      </c>
      <c r="N1138" t="str">
        <f>_xlfn.XLOOKUP(Table1[[#This Row],[EmployeeNumber]],Table4[EmployeeNumber],Table4[Id_Employee])</f>
        <v>EMP01137</v>
      </c>
      <c r="O1138">
        <v>1604</v>
      </c>
      <c r="P1138" t="str">
        <f>_xlfn.XLOOKUP(Table1[[#This Row],[EnvironmentSatisfaction]],Table9[EnvironmentSatisfaction],Table9[Id_EnviromentSatisfaction])</f>
        <v>ES003</v>
      </c>
      <c r="Q1138">
        <v>3</v>
      </c>
      <c r="R1138" t="str">
        <f>_xlfn.XLOOKUP(Table1[[#This Row],[EnvironmentSatisfaction]],Table9[EnvironmentSatisfaction],Table9[Deskripsi])</f>
        <v>High</v>
      </c>
      <c r="S1138" t="str">
        <f>_xlfn.XLOOKUP(Table1[[#This Row],[Gender]],Table10[Gender],Table10[Id_Gender])</f>
        <v>G002</v>
      </c>
      <c r="T1138" t="s">
        <v>46</v>
      </c>
      <c r="U1138">
        <v>51</v>
      </c>
      <c r="V1138" t="str">
        <f>_xlfn.XLOOKUP(Table1[[#This Row],[JobInvolvement]],Table11[JobInvolvement],Table11[Id_JobInvolvement])</f>
        <v>JI003</v>
      </c>
      <c r="W1138">
        <v>3</v>
      </c>
      <c r="X1138" t="str">
        <f>_xlfn.XLOOKUP(Table1[[#This Row],[JobLevel]],Table12[JobLevel],Table12[Id_JobLevel])</f>
        <v>JL001</v>
      </c>
      <c r="Y1138">
        <v>1</v>
      </c>
      <c r="Z1138" t="str">
        <f>_xlfn.XLOOKUP(Table1[[#This Row],[JobRole]],Table13[JobRole],Table13[Id_JobRole])</f>
        <v>JR003</v>
      </c>
      <c r="AA1138" t="s">
        <v>49</v>
      </c>
      <c r="AB1138" t="str">
        <f>_xlfn.XLOOKUP(Table1[[#This Row],[JobSatisfaction]],Table14[JobSatisfaction],Table14[Id_JobSatisfaction])</f>
        <v>JS002</v>
      </c>
      <c r="AC1138">
        <v>2</v>
      </c>
      <c r="AD1138" t="str">
        <f>_xlfn.XLOOKUP(Table1[[#This Row],[JobSatisfaction]],Table14[JobSatisfaction],Table14[Deskripsi])</f>
        <v>Medium</v>
      </c>
      <c r="AE1138" t="str">
        <f>_xlfn.XLOOKUP(Table1[[#This Row],[MaritalStatus]],Table15[MaritalStatus],Table15[Id_MaritalStatus])</f>
        <v>MS002</v>
      </c>
      <c r="AF1138" t="s">
        <v>56</v>
      </c>
      <c r="AG1138">
        <v>2408</v>
      </c>
      <c r="AH1138">
        <v>7324</v>
      </c>
      <c r="AI1138">
        <v>1</v>
      </c>
      <c r="AJ1138" t="str">
        <f>_xlfn.XLOOKUP(Table1[[#This Row],[OverTime]],Table16[OverTime],Table16[Id_OverTime])</f>
        <v>OT001</v>
      </c>
      <c r="AK1138" t="s">
        <v>32</v>
      </c>
      <c r="AL1138">
        <v>17</v>
      </c>
      <c r="AM1138" t="str">
        <f>_xlfn.XLOOKUP(Table1[[#This Row],[PerformanceRating]],Table17[PerformanceRating],Table17[Id_PerformanceRating])</f>
        <v>PR003</v>
      </c>
      <c r="AN1138">
        <v>3</v>
      </c>
      <c r="AO1138" t="str">
        <f>_xlfn.XLOOKUP(Table1[[#This Row],[PerformanceRating]],Table17[PerformanceRating],Table17[Deskripsi])</f>
        <v>Excellent</v>
      </c>
      <c r="AP1138" t="str">
        <f>_xlfn.XLOOKUP(Table1[[#This Row],[RelationshipSatisfaction]],Table18[RelationshipSatisfaction],Table18[Id_RelationshipSatisfaction])</f>
        <v>RS003</v>
      </c>
      <c r="AQ1138">
        <v>3</v>
      </c>
      <c r="AR1138" t="str">
        <f>_xlfn.XLOOKUP(Table1[[#This Row],[RelationshipSatisfaction]],Table18[RelationshipSatisfaction],Table18[Deskripsi])</f>
        <v>High</v>
      </c>
      <c r="AS1138" t="str">
        <f>_xlfn.XLOOKUP(Table1[[#This Row],[StockOptionLevel]],Table19[StockOptionLevel],Table19[Id_StockOptionLevel])</f>
        <v>SOL004</v>
      </c>
      <c r="AT1138">
        <v>3</v>
      </c>
      <c r="AU1138" t="str">
        <f>_xlfn.XLOOKUP(Table1[[#This Row],[StockOptionLevel]],Table19[StockOptionLevel],Table19[Deskripsi])</f>
        <v>Senior/Executive</v>
      </c>
      <c r="AV1138">
        <v>1</v>
      </c>
      <c r="AW1138">
        <v>3</v>
      </c>
      <c r="AX1138" t="str">
        <f>_xlfn.XLOOKUP(Table1[[#This Row],[WorkLifeBalance]],Table20[WorkLifeBalance],Table20[Id_WorkLifeBalance])</f>
        <v>WLB002</v>
      </c>
      <c r="AY1138">
        <v>3</v>
      </c>
      <c r="AZ1138" t="str">
        <f>_xlfn.XLOOKUP(Table1[[#This Row],[WorkLifeBalance]],Table20[WorkLifeBalance],Table20[Deskripsi])</f>
        <v>Good</v>
      </c>
      <c r="BA1138">
        <v>1</v>
      </c>
      <c r="BB1138">
        <v>1</v>
      </c>
      <c r="BC1138">
        <v>0</v>
      </c>
      <c r="BD1138">
        <v>0</v>
      </c>
    </row>
    <row r="1139" spans="1:56" x14ac:dyDescent="0.25">
      <c r="A1139">
        <v>22</v>
      </c>
      <c r="B1139" t="str">
        <f>_xlfn.XLOOKUP(Table1[[#This Row],[Attrition]],Table2[Attrition],Table2[Id_Attrition])</f>
        <v>A002</v>
      </c>
      <c r="C1139" t="s">
        <v>33</v>
      </c>
      <c r="D1139" t="str">
        <f>_xlfn.XLOOKUP(Table1[[#This Row],[BusinessTravel]],Table5[BusinessTravel],Table5[Id_BusinessTravel])</f>
        <v>BS003</v>
      </c>
      <c r="E1139" t="s">
        <v>36</v>
      </c>
      <c r="F1139">
        <v>457</v>
      </c>
      <c r="G1139" t="str">
        <f>_xlfn.XLOOKUP(Table1[[#This Row],[Department]],Table6[Department],Table6[Id_Departement])</f>
        <v>D002</v>
      </c>
      <c r="H1139" t="s">
        <v>38</v>
      </c>
      <c r="I1139">
        <v>26</v>
      </c>
      <c r="J1139" t="str">
        <f>_xlfn.XLOOKUP(Table1[[#This Row],[Education]],Table8[Education],Table8[Id_Education])</f>
        <v>E002</v>
      </c>
      <c r="K1139">
        <v>2</v>
      </c>
      <c r="L1139" t="str">
        <f>_xlfn.XLOOKUP(Table1[[#This Row],[EducationField]],Table7[EducationField],Table7[Id_EducationField])</f>
        <v>EF002</v>
      </c>
      <c r="M1139" t="s">
        <v>41</v>
      </c>
      <c r="N1139" t="str">
        <f>_xlfn.XLOOKUP(Table1[[#This Row],[EmployeeNumber]],Table4[EmployeeNumber],Table4[Id_Employee])</f>
        <v>EMP01138</v>
      </c>
      <c r="O1139">
        <v>1605</v>
      </c>
      <c r="P1139" t="str">
        <f>_xlfn.XLOOKUP(Table1[[#This Row],[EnvironmentSatisfaction]],Table9[EnvironmentSatisfaction],Table9[Id_EnviromentSatisfaction])</f>
        <v>ES002</v>
      </c>
      <c r="Q1139">
        <v>2</v>
      </c>
      <c r="R1139" t="str">
        <f>_xlfn.XLOOKUP(Table1[[#This Row],[EnvironmentSatisfaction]],Table9[EnvironmentSatisfaction],Table9[Deskripsi])</f>
        <v>Medium</v>
      </c>
      <c r="S1139" t="str">
        <f>_xlfn.XLOOKUP(Table1[[#This Row],[Gender]],Table10[Gender],Table10[Id_Gender])</f>
        <v>G001</v>
      </c>
      <c r="T1139" t="s">
        <v>45</v>
      </c>
      <c r="U1139">
        <v>85</v>
      </c>
      <c r="V1139" t="str">
        <f>_xlfn.XLOOKUP(Table1[[#This Row],[JobInvolvement]],Table11[JobInvolvement],Table11[Id_JobInvolvement])</f>
        <v>JI002</v>
      </c>
      <c r="W1139">
        <v>2</v>
      </c>
      <c r="X1139" t="str">
        <f>_xlfn.XLOOKUP(Table1[[#This Row],[JobLevel]],Table12[JobLevel],Table12[Id_JobLevel])</f>
        <v>JL001</v>
      </c>
      <c r="Y1139">
        <v>1</v>
      </c>
      <c r="Z1139" t="str">
        <f>_xlfn.XLOOKUP(Table1[[#This Row],[JobRole]],Table13[JobRole],Table13[Id_JobRole])</f>
        <v>JR002</v>
      </c>
      <c r="AA1139" t="s">
        <v>48</v>
      </c>
      <c r="AB1139" t="str">
        <f>_xlfn.XLOOKUP(Table1[[#This Row],[JobSatisfaction]],Table14[JobSatisfaction],Table14[Id_JobSatisfaction])</f>
        <v>JS003</v>
      </c>
      <c r="AC1139">
        <v>3</v>
      </c>
      <c r="AD1139" t="str">
        <f>_xlfn.XLOOKUP(Table1[[#This Row],[JobSatisfaction]],Table14[JobSatisfaction],Table14[Deskripsi])</f>
        <v>High</v>
      </c>
      <c r="AE1139" t="str">
        <f>_xlfn.XLOOKUP(Table1[[#This Row],[MaritalStatus]],Table15[MaritalStatus],Table15[Id_MaritalStatus])</f>
        <v>MS002</v>
      </c>
      <c r="AF1139" t="s">
        <v>56</v>
      </c>
      <c r="AG1139">
        <v>2814</v>
      </c>
      <c r="AH1139">
        <v>10293</v>
      </c>
      <c r="AI1139">
        <v>1</v>
      </c>
      <c r="AJ1139" t="str">
        <f>_xlfn.XLOOKUP(Table1[[#This Row],[OverTime]],Table16[OverTime],Table16[Id_OverTime])</f>
        <v>OT001</v>
      </c>
      <c r="AK1139" t="s">
        <v>32</v>
      </c>
      <c r="AL1139">
        <v>14</v>
      </c>
      <c r="AM1139" t="str">
        <f>_xlfn.XLOOKUP(Table1[[#This Row],[PerformanceRating]],Table17[PerformanceRating],Table17[Id_PerformanceRating])</f>
        <v>PR003</v>
      </c>
      <c r="AN1139">
        <v>3</v>
      </c>
      <c r="AO1139" t="str">
        <f>_xlfn.XLOOKUP(Table1[[#This Row],[PerformanceRating]],Table17[PerformanceRating],Table17[Deskripsi])</f>
        <v>Excellent</v>
      </c>
      <c r="AP1139" t="str">
        <f>_xlfn.XLOOKUP(Table1[[#This Row],[RelationshipSatisfaction]],Table18[RelationshipSatisfaction],Table18[Id_RelationshipSatisfaction])</f>
        <v>RS002</v>
      </c>
      <c r="AQ1139">
        <v>2</v>
      </c>
      <c r="AR1139" t="str">
        <f>_xlfn.XLOOKUP(Table1[[#This Row],[RelationshipSatisfaction]],Table18[RelationshipSatisfaction],Table18[Deskripsi])</f>
        <v>Medium</v>
      </c>
      <c r="AS1139" t="str">
        <f>_xlfn.XLOOKUP(Table1[[#This Row],[StockOptionLevel]],Table19[StockOptionLevel],Table19[Id_StockOptionLevel])</f>
        <v>SOL001</v>
      </c>
      <c r="AT1139">
        <v>0</v>
      </c>
      <c r="AU1139" t="str">
        <f>_xlfn.XLOOKUP(Table1[[#This Row],[StockOptionLevel]],Table19[StockOptionLevel],Table19[Deskripsi])</f>
        <v>Non-Eligible</v>
      </c>
      <c r="AV1139">
        <v>4</v>
      </c>
      <c r="AW1139">
        <v>2</v>
      </c>
      <c r="AX1139" t="str">
        <f>_xlfn.XLOOKUP(Table1[[#This Row],[WorkLifeBalance]],Table20[WorkLifeBalance],Table20[Id_WorkLifeBalance])</f>
        <v>WLB003</v>
      </c>
      <c r="AY1139">
        <v>2</v>
      </c>
      <c r="AZ1139" t="str">
        <f>_xlfn.XLOOKUP(Table1[[#This Row],[WorkLifeBalance]],Table20[WorkLifeBalance],Table20[Deskripsi])</f>
        <v>Better</v>
      </c>
      <c r="BA1139">
        <v>4</v>
      </c>
      <c r="BB1139">
        <v>2</v>
      </c>
      <c r="BC1139">
        <v>1</v>
      </c>
      <c r="BD1139">
        <v>3</v>
      </c>
    </row>
    <row r="1140" spans="1:56" x14ac:dyDescent="0.25">
      <c r="A1140">
        <v>50</v>
      </c>
      <c r="B1140" t="str">
        <f>_xlfn.XLOOKUP(Table1[[#This Row],[Attrition]],Table2[Attrition],Table2[Id_Attrition])</f>
        <v>A002</v>
      </c>
      <c r="C1140" t="s">
        <v>33</v>
      </c>
      <c r="D1140" t="str">
        <f>_xlfn.XLOOKUP(Table1[[#This Row],[BusinessTravel]],Table5[BusinessTravel],Table5[Id_BusinessTravel])</f>
        <v>BS002</v>
      </c>
      <c r="E1140" t="s">
        <v>35</v>
      </c>
      <c r="F1140">
        <v>1234</v>
      </c>
      <c r="G1140" t="str">
        <f>_xlfn.XLOOKUP(Table1[[#This Row],[Department]],Table6[Department],Table6[Id_Departement])</f>
        <v>D002</v>
      </c>
      <c r="H1140" t="s">
        <v>38</v>
      </c>
      <c r="I1140">
        <v>20</v>
      </c>
      <c r="J1140" t="str">
        <f>_xlfn.XLOOKUP(Table1[[#This Row],[Education]],Table8[Education],Table8[Id_Education])</f>
        <v>E005</v>
      </c>
      <c r="K1140">
        <v>5</v>
      </c>
      <c r="L1140" t="str">
        <f>_xlfn.XLOOKUP(Table1[[#This Row],[EducationField]],Table7[EducationField],Table7[Id_EducationField])</f>
        <v>EF003</v>
      </c>
      <c r="M1140" t="s">
        <v>42</v>
      </c>
      <c r="N1140" t="str">
        <f>_xlfn.XLOOKUP(Table1[[#This Row],[EmployeeNumber]],Table4[EmployeeNumber],Table4[Id_Employee])</f>
        <v>EMP01139</v>
      </c>
      <c r="O1140">
        <v>1606</v>
      </c>
      <c r="P1140" t="str">
        <f>_xlfn.XLOOKUP(Table1[[#This Row],[EnvironmentSatisfaction]],Table9[EnvironmentSatisfaction],Table9[Id_EnviromentSatisfaction])</f>
        <v>ES002</v>
      </c>
      <c r="Q1140">
        <v>2</v>
      </c>
      <c r="R1140" t="str">
        <f>_xlfn.XLOOKUP(Table1[[#This Row],[EnvironmentSatisfaction]],Table9[EnvironmentSatisfaction],Table9[Deskripsi])</f>
        <v>Medium</v>
      </c>
      <c r="S1140" t="str">
        <f>_xlfn.XLOOKUP(Table1[[#This Row],[Gender]],Table10[Gender],Table10[Id_Gender])</f>
        <v>G002</v>
      </c>
      <c r="T1140" t="s">
        <v>46</v>
      </c>
      <c r="U1140">
        <v>41</v>
      </c>
      <c r="V1140" t="str">
        <f>_xlfn.XLOOKUP(Table1[[#This Row],[JobInvolvement]],Table11[JobInvolvement],Table11[Id_JobInvolvement])</f>
        <v>JI003</v>
      </c>
      <c r="W1140">
        <v>3</v>
      </c>
      <c r="X1140" t="str">
        <f>_xlfn.XLOOKUP(Table1[[#This Row],[JobLevel]],Table12[JobLevel],Table12[Id_JobLevel])</f>
        <v>JL004</v>
      </c>
      <c r="Y1140">
        <v>4</v>
      </c>
      <c r="Z1140" t="str">
        <f>_xlfn.XLOOKUP(Table1[[#This Row],[JobRole]],Table13[JobRole],Table13[Id_JobRole])</f>
        <v>JR005</v>
      </c>
      <c r="AA1140" t="s">
        <v>51</v>
      </c>
      <c r="AB1140" t="str">
        <f>_xlfn.XLOOKUP(Table1[[#This Row],[JobSatisfaction]],Table14[JobSatisfaction],Table14[Id_JobSatisfaction])</f>
        <v>JS003</v>
      </c>
      <c r="AC1140">
        <v>3</v>
      </c>
      <c r="AD1140" t="str">
        <f>_xlfn.XLOOKUP(Table1[[#This Row],[JobSatisfaction]],Table14[JobSatisfaction],Table14[Deskripsi])</f>
        <v>High</v>
      </c>
      <c r="AE1140" t="str">
        <f>_xlfn.XLOOKUP(Table1[[#This Row],[MaritalStatus]],Table15[MaritalStatus],Table15[Id_MaritalStatus])</f>
        <v>MS002</v>
      </c>
      <c r="AF1140" t="s">
        <v>56</v>
      </c>
      <c r="AG1140">
        <v>11245</v>
      </c>
      <c r="AH1140">
        <v>20689</v>
      </c>
      <c r="AI1140">
        <v>2</v>
      </c>
      <c r="AJ1140" t="str">
        <f>_xlfn.XLOOKUP(Table1[[#This Row],[OverTime]],Table16[OverTime],Table16[Id_OverTime])</f>
        <v>OT001</v>
      </c>
      <c r="AK1140" t="s">
        <v>32</v>
      </c>
      <c r="AL1140">
        <v>15</v>
      </c>
      <c r="AM1140" t="str">
        <f>_xlfn.XLOOKUP(Table1[[#This Row],[PerformanceRating]],Table17[PerformanceRating],Table17[Id_PerformanceRating])</f>
        <v>PR003</v>
      </c>
      <c r="AN1140">
        <v>3</v>
      </c>
      <c r="AO1140" t="str">
        <f>_xlfn.XLOOKUP(Table1[[#This Row],[PerformanceRating]],Table17[PerformanceRating],Table17[Deskripsi])</f>
        <v>Excellent</v>
      </c>
      <c r="AP1140" t="str">
        <f>_xlfn.XLOOKUP(Table1[[#This Row],[RelationshipSatisfaction]],Table18[RelationshipSatisfaction],Table18[Id_RelationshipSatisfaction])</f>
        <v>RS003</v>
      </c>
      <c r="AQ1140">
        <v>3</v>
      </c>
      <c r="AR1140" t="str">
        <f>_xlfn.XLOOKUP(Table1[[#This Row],[RelationshipSatisfaction]],Table18[RelationshipSatisfaction],Table18[Deskripsi])</f>
        <v>High</v>
      </c>
      <c r="AS1140" t="str">
        <f>_xlfn.XLOOKUP(Table1[[#This Row],[StockOptionLevel]],Table19[StockOptionLevel],Table19[Id_StockOptionLevel])</f>
        <v>SOL002</v>
      </c>
      <c r="AT1140">
        <v>1</v>
      </c>
      <c r="AU1140" t="str">
        <f>_xlfn.XLOOKUP(Table1[[#This Row],[StockOptionLevel]],Table19[StockOptionLevel],Table19[Deskripsi])</f>
        <v>Standard</v>
      </c>
      <c r="AV1140">
        <v>32</v>
      </c>
      <c r="AW1140">
        <v>3</v>
      </c>
      <c r="AX1140" t="str">
        <f>_xlfn.XLOOKUP(Table1[[#This Row],[WorkLifeBalance]],Table20[WorkLifeBalance],Table20[Id_WorkLifeBalance])</f>
        <v>WLB002</v>
      </c>
      <c r="AY1140">
        <v>3</v>
      </c>
      <c r="AZ1140" t="str">
        <f>_xlfn.XLOOKUP(Table1[[#This Row],[WorkLifeBalance]],Table20[WorkLifeBalance],Table20[Deskripsi])</f>
        <v>Good</v>
      </c>
      <c r="BA1140">
        <v>30</v>
      </c>
      <c r="BB1140">
        <v>8</v>
      </c>
      <c r="BC1140">
        <v>12</v>
      </c>
      <c r="BD1140">
        <v>13</v>
      </c>
    </row>
    <row r="1141" spans="1:56" x14ac:dyDescent="0.25">
      <c r="A1141">
        <v>32</v>
      </c>
      <c r="B1141" t="str">
        <f>_xlfn.XLOOKUP(Table1[[#This Row],[Attrition]],Table2[Attrition],Table2[Id_Attrition])</f>
        <v>A002</v>
      </c>
      <c r="C1141" t="s">
        <v>33</v>
      </c>
      <c r="D1141" t="str">
        <f>_xlfn.XLOOKUP(Table1[[#This Row],[BusinessTravel]],Table5[BusinessTravel],Table5[Id_BusinessTravel])</f>
        <v>BS001</v>
      </c>
      <c r="E1141" t="s">
        <v>34</v>
      </c>
      <c r="F1141">
        <v>634</v>
      </c>
      <c r="G1141" t="str">
        <f>_xlfn.XLOOKUP(Table1[[#This Row],[Department]],Table6[Department],Table6[Id_Departement])</f>
        <v>D002</v>
      </c>
      <c r="H1141" t="s">
        <v>38</v>
      </c>
      <c r="I1141">
        <v>5</v>
      </c>
      <c r="J1141" t="str">
        <f>_xlfn.XLOOKUP(Table1[[#This Row],[Education]],Table8[Education],Table8[Id_Education])</f>
        <v>E004</v>
      </c>
      <c r="K1141">
        <v>4</v>
      </c>
      <c r="L1141" t="str">
        <f>_xlfn.XLOOKUP(Table1[[#This Row],[EducationField]],Table7[EducationField],Table7[Id_EducationField])</f>
        <v>EF002</v>
      </c>
      <c r="M1141" t="s">
        <v>41</v>
      </c>
      <c r="N1141" t="str">
        <f>_xlfn.XLOOKUP(Table1[[#This Row],[EmployeeNumber]],Table4[EmployeeNumber],Table4[Id_Employee])</f>
        <v>EMP01140</v>
      </c>
      <c r="O1141">
        <v>1607</v>
      </c>
      <c r="P1141" t="str">
        <f>_xlfn.XLOOKUP(Table1[[#This Row],[EnvironmentSatisfaction]],Table9[EnvironmentSatisfaction],Table9[Id_EnviromentSatisfaction])</f>
        <v>ES002</v>
      </c>
      <c r="Q1141">
        <v>2</v>
      </c>
      <c r="R1141" t="str">
        <f>_xlfn.XLOOKUP(Table1[[#This Row],[EnvironmentSatisfaction]],Table9[EnvironmentSatisfaction],Table9[Deskripsi])</f>
        <v>Medium</v>
      </c>
      <c r="S1141" t="str">
        <f>_xlfn.XLOOKUP(Table1[[#This Row],[Gender]],Table10[Gender],Table10[Id_Gender])</f>
        <v>G001</v>
      </c>
      <c r="T1141" t="s">
        <v>45</v>
      </c>
      <c r="U1141">
        <v>35</v>
      </c>
      <c r="V1141" t="str">
        <f>_xlfn.XLOOKUP(Table1[[#This Row],[JobInvolvement]],Table11[JobInvolvement],Table11[Id_JobInvolvement])</f>
        <v>JI004</v>
      </c>
      <c r="W1141">
        <v>4</v>
      </c>
      <c r="X1141" t="str">
        <f>_xlfn.XLOOKUP(Table1[[#This Row],[JobLevel]],Table12[JobLevel],Table12[Id_JobLevel])</f>
        <v>JL001</v>
      </c>
      <c r="Y1141">
        <v>1</v>
      </c>
      <c r="Z1141" t="str">
        <f>_xlfn.XLOOKUP(Table1[[#This Row],[JobRole]],Table13[JobRole],Table13[Id_JobRole])</f>
        <v>JR002</v>
      </c>
      <c r="AA1141" t="s">
        <v>48</v>
      </c>
      <c r="AB1141" t="str">
        <f>_xlfn.XLOOKUP(Table1[[#This Row],[JobSatisfaction]],Table14[JobSatisfaction],Table14[Id_JobSatisfaction])</f>
        <v>JS004</v>
      </c>
      <c r="AC1141">
        <v>4</v>
      </c>
      <c r="AD1141" t="str">
        <f>_xlfn.XLOOKUP(Table1[[#This Row],[JobSatisfaction]],Table14[JobSatisfaction],Table14[Deskripsi])</f>
        <v>Very High</v>
      </c>
      <c r="AE1141" t="str">
        <f>_xlfn.XLOOKUP(Table1[[#This Row],[MaritalStatus]],Table15[MaritalStatus],Table15[Id_MaritalStatus])</f>
        <v>MS002</v>
      </c>
      <c r="AF1141" t="s">
        <v>56</v>
      </c>
      <c r="AG1141">
        <v>3312</v>
      </c>
      <c r="AH1141">
        <v>18783</v>
      </c>
      <c r="AI1141">
        <v>3</v>
      </c>
      <c r="AJ1141" t="str">
        <f>_xlfn.XLOOKUP(Table1[[#This Row],[OverTime]],Table16[OverTime],Table16[Id_OverTime])</f>
        <v>OT002</v>
      </c>
      <c r="AK1141" t="s">
        <v>33</v>
      </c>
      <c r="AL1141">
        <v>17</v>
      </c>
      <c r="AM1141" t="str">
        <f>_xlfn.XLOOKUP(Table1[[#This Row],[PerformanceRating]],Table17[PerformanceRating],Table17[Id_PerformanceRating])</f>
        <v>PR003</v>
      </c>
      <c r="AN1141">
        <v>3</v>
      </c>
      <c r="AO1141" t="str">
        <f>_xlfn.XLOOKUP(Table1[[#This Row],[PerformanceRating]],Table17[PerformanceRating],Table17[Deskripsi])</f>
        <v>Excellent</v>
      </c>
      <c r="AP1141" t="str">
        <f>_xlfn.XLOOKUP(Table1[[#This Row],[RelationshipSatisfaction]],Table18[RelationshipSatisfaction],Table18[Id_RelationshipSatisfaction])</f>
        <v>RS004</v>
      </c>
      <c r="AQ1141">
        <v>4</v>
      </c>
      <c r="AR1141" t="str">
        <f>_xlfn.XLOOKUP(Table1[[#This Row],[RelationshipSatisfaction]],Table18[RelationshipSatisfaction],Table18[Deskripsi])</f>
        <v>Very High</v>
      </c>
      <c r="AS1141" t="str">
        <f>_xlfn.XLOOKUP(Table1[[#This Row],[StockOptionLevel]],Table19[StockOptionLevel],Table19[Id_StockOptionLevel])</f>
        <v>SOL003</v>
      </c>
      <c r="AT1141">
        <v>2</v>
      </c>
      <c r="AU1141" t="str">
        <f>_xlfn.XLOOKUP(Table1[[#This Row],[StockOptionLevel]],Table19[StockOptionLevel],Table19[Deskripsi])</f>
        <v>Intermediate</v>
      </c>
      <c r="AV1141">
        <v>6</v>
      </c>
      <c r="AW1141">
        <v>3</v>
      </c>
      <c r="AX1141" t="str">
        <f>_xlfn.XLOOKUP(Table1[[#This Row],[WorkLifeBalance]],Table20[WorkLifeBalance],Table20[Id_WorkLifeBalance])</f>
        <v>WLB002</v>
      </c>
      <c r="AY1141">
        <v>3</v>
      </c>
      <c r="AZ1141" t="str">
        <f>_xlfn.XLOOKUP(Table1[[#This Row],[WorkLifeBalance]],Table20[WorkLifeBalance],Table20[Deskripsi])</f>
        <v>Good</v>
      </c>
      <c r="BA1141">
        <v>3</v>
      </c>
      <c r="BB1141">
        <v>2</v>
      </c>
      <c r="BC1141">
        <v>0</v>
      </c>
      <c r="BD1141">
        <v>2</v>
      </c>
    </row>
    <row r="1142" spans="1:56" x14ac:dyDescent="0.25">
      <c r="A1142">
        <v>44</v>
      </c>
      <c r="B1142" t="str">
        <f>_xlfn.XLOOKUP(Table1[[#This Row],[Attrition]],Table2[Attrition],Table2[Id_Attrition])</f>
        <v>A002</v>
      </c>
      <c r="C1142" t="s">
        <v>33</v>
      </c>
      <c r="D1142" t="str">
        <f>_xlfn.XLOOKUP(Table1[[#This Row],[BusinessTravel]],Table5[BusinessTravel],Table5[Id_BusinessTravel])</f>
        <v>BS001</v>
      </c>
      <c r="E1142" t="s">
        <v>34</v>
      </c>
      <c r="F1142">
        <v>1313</v>
      </c>
      <c r="G1142" t="str">
        <f>_xlfn.XLOOKUP(Table1[[#This Row],[Department]],Table6[Department],Table6[Id_Departement])</f>
        <v>D002</v>
      </c>
      <c r="H1142" t="s">
        <v>38</v>
      </c>
      <c r="I1142">
        <v>7</v>
      </c>
      <c r="J1142" t="str">
        <f>_xlfn.XLOOKUP(Table1[[#This Row],[Education]],Table8[Education],Table8[Id_Education])</f>
        <v>E003</v>
      </c>
      <c r="K1142">
        <v>3</v>
      </c>
      <c r="L1142" t="str">
        <f>_xlfn.XLOOKUP(Table1[[#This Row],[EducationField]],Table7[EducationField],Table7[Id_EducationField])</f>
        <v>EF003</v>
      </c>
      <c r="M1142" t="s">
        <v>42</v>
      </c>
      <c r="N1142" t="str">
        <f>_xlfn.XLOOKUP(Table1[[#This Row],[EmployeeNumber]],Table4[EmployeeNumber],Table4[Id_Employee])</f>
        <v>EMP01141</v>
      </c>
      <c r="O1142">
        <v>1608</v>
      </c>
      <c r="P1142" t="str">
        <f>_xlfn.XLOOKUP(Table1[[#This Row],[EnvironmentSatisfaction]],Table9[EnvironmentSatisfaction],Table9[Id_EnviromentSatisfaction])</f>
        <v>ES002</v>
      </c>
      <c r="Q1142">
        <v>2</v>
      </c>
      <c r="R1142" t="str">
        <f>_xlfn.XLOOKUP(Table1[[#This Row],[EnvironmentSatisfaction]],Table9[EnvironmentSatisfaction],Table9[Deskripsi])</f>
        <v>Medium</v>
      </c>
      <c r="S1142" t="str">
        <f>_xlfn.XLOOKUP(Table1[[#This Row],[Gender]],Table10[Gender],Table10[Id_Gender])</f>
        <v>G001</v>
      </c>
      <c r="T1142" t="s">
        <v>45</v>
      </c>
      <c r="U1142">
        <v>31</v>
      </c>
      <c r="V1142" t="str">
        <f>_xlfn.XLOOKUP(Table1[[#This Row],[JobInvolvement]],Table11[JobInvolvement],Table11[Id_JobInvolvement])</f>
        <v>JI003</v>
      </c>
      <c r="W1142">
        <v>3</v>
      </c>
      <c r="X1142" t="str">
        <f>_xlfn.XLOOKUP(Table1[[#This Row],[JobLevel]],Table12[JobLevel],Table12[Id_JobLevel])</f>
        <v>JL005</v>
      </c>
      <c r="Y1142">
        <v>5</v>
      </c>
      <c r="Z1142" t="str">
        <f>_xlfn.XLOOKUP(Table1[[#This Row],[JobRole]],Table13[JobRole],Table13[Id_JobRole])</f>
        <v>JR008</v>
      </c>
      <c r="AA1142" t="s">
        <v>54</v>
      </c>
      <c r="AB1142" t="str">
        <f>_xlfn.XLOOKUP(Table1[[#This Row],[JobSatisfaction]],Table14[JobSatisfaction],Table14[Id_JobSatisfaction])</f>
        <v>JS004</v>
      </c>
      <c r="AC1142">
        <v>4</v>
      </c>
      <c r="AD1142" t="str">
        <f>_xlfn.XLOOKUP(Table1[[#This Row],[JobSatisfaction]],Table14[JobSatisfaction],Table14[Deskripsi])</f>
        <v>Very High</v>
      </c>
      <c r="AE1142" t="str">
        <f>_xlfn.XLOOKUP(Table1[[#This Row],[MaritalStatus]],Table15[MaritalStatus],Table15[Id_MaritalStatus])</f>
        <v>MS003</v>
      </c>
      <c r="AF1142" t="s">
        <v>57</v>
      </c>
      <c r="AG1142">
        <v>19049</v>
      </c>
      <c r="AH1142">
        <v>3549</v>
      </c>
      <c r="AI1142">
        <v>0</v>
      </c>
      <c r="AJ1142" t="str">
        <f>_xlfn.XLOOKUP(Table1[[#This Row],[OverTime]],Table16[OverTime],Table16[Id_OverTime])</f>
        <v>OT001</v>
      </c>
      <c r="AK1142" t="s">
        <v>32</v>
      </c>
      <c r="AL1142">
        <v>14</v>
      </c>
      <c r="AM1142" t="str">
        <f>_xlfn.XLOOKUP(Table1[[#This Row],[PerformanceRating]],Table17[PerformanceRating],Table17[Id_PerformanceRating])</f>
        <v>PR003</v>
      </c>
      <c r="AN1142">
        <v>3</v>
      </c>
      <c r="AO1142" t="str">
        <f>_xlfn.XLOOKUP(Table1[[#This Row],[PerformanceRating]],Table17[PerformanceRating],Table17[Deskripsi])</f>
        <v>Excellent</v>
      </c>
      <c r="AP1142" t="str">
        <f>_xlfn.XLOOKUP(Table1[[#This Row],[RelationshipSatisfaction]],Table18[RelationshipSatisfaction],Table18[Id_RelationshipSatisfaction])</f>
        <v>RS004</v>
      </c>
      <c r="AQ1142">
        <v>4</v>
      </c>
      <c r="AR1142" t="str">
        <f>_xlfn.XLOOKUP(Table1[[#This Row],[RelationshipSatisfaction]],Table18[RelationshipSatisfaction],Table18[Deskripsi])</f>
        <v>Very High</v>
      </c>
      <c r="AS1142" t="str">
        <f>_xlfn.XLOOKUP(Table1[[#This Row],[StockOptionLevel]],Table19[StockOptionLevel],Table19[Id_StockOptionLevel])</f>
        <v>SOL002</v>
      </c>
      <c r="AT1142">
        <v>1</v>
      </c>
      <c r="AU1142" t="str">
        <f>_xlfn.XLOOKUP(Table1[[#This Row],[StockOptionLevel]],Table19[StockOptionLevel],Table19[Deskripsi])</f>
        <v>Standard</v>
      </c>
      <c r="AV1142">
        <v>23</v>
      </c>
      <c r="AW1142">
        <v>4</v>
      </c>
      <c r="AX1142" t="str">
        <f>_xlfn.XLOOKUP(Table1[[#This Row],[WorkLifeBalance]],Table20[WorkLifeBalance],Table20[Id_WorkLifeBalance])</f>
        <v>WLB003</v>
      </c>
      <c r="AY1142">
        <v>2</v>
      </c>
      <c r="AZ1142" t="str">
        <f>_xlfn.XLOOKUP(Table1[[#This Row],[WorkLifeBalance]],Table20[WorkLifeBalance],Table20[Deskripsi])</f>
        <v>Better</v>
      </c>
      <c r="BA1142">
        <v>22</v>
      </c>
      <c r="BB1142">
        <v>7</v>
      </c>
      <c r="BC1142">
        <v>1</v>
      </c>
      <c r="BD1142">
        <v>10</v>
      </c>
    </row>
    <row r="1143" spans="1:56" x14ac:dyDescent="0.25">
      <c r="A1143">
        <v>30</v>
      </c>
      <c r="B1143" t="str">
        <f>_xlfn.XLOOKUP(Table1[[#This Row],[Attrition]],Table2[Attrition],Table2[Id_Attrition])</f>
        <v>A002</v>
      </c>
      <c r="C1143" t="s">
        <v>33</v>
      </c>
      <c r="D1143" t="str">
        <f>_xlfn.XLOOKUP(Table1[[#This Row],[BusinessTravel]],Table5[BusinessTravel],Table5[Id_BusinessTravel])</f>
        <v>BS001</v>
      </c>
      <c r="E1143" t="s">
        <v>34</v>
      </c>
      <c r="F1143">
        <v>241</v>
      </c>
      <c r="G1143" t="str">
        <f>_xlfn.XLOOKUP(Table1[[#This Row],[Department]],Table6[Department],Table6[Id_Departement])</f>
        <v>D002</v>
      </c>
      <c r="H1143" t="s">
        <v>38</v>
      </c>
      <c r="I1143">
        <v>7</v>
      </c>
      <c r="J1143" t="str">
        <f>_xlfn.XLOOKUP(Table1[[#This Row],[Education]],Table8[Education],Table8[Id_Education])</f>
        <v>E003</v>
      </c>
      <c r="K1143">
        <v>3</v>
      </c>
      <c r="L1143" t="str">
        <f>_xlfn.XLOOKUP(Table1[[#This Row],[EducationField]],Table7[EducationField],Table7[Id_EducationField])</f>
        <v>EF003</v>
      </c>
      <c r="M1143" t="s">
        <v>42</v>
      </c>
      <c r="N1143" t="str">
        <f>_xlfn.XLOOKUP(Table1[[#This Row],[EmployeeNumber]],Table4[EmployeeNumber],Table4[Id_Employee])</f>
        <v>EMP01142</v>
      </c>
      <c r="O1143">
        <v>1609</v>
      </c>
      <c r="P1143" t="str">
        <f>_xlfn.XLOOKUP(Table1[[#This Row],[EnvironmentSatisfaction]],Table9[EnvironmentSatisfaction],Table9[Id_EnviromentSatisfaction])</f>
        <v>ES002</v>
      </c>
      <c r="Q1143">
        <v>2</v>
      </c>
      <c r="R1143" t="str">
        <f>_xlfn.XLOOKUP(Table1[[#This Row],[EnvironmentSatisfaction]],Table9[EnvironmentSatisfaction],Table9[Deskripsi])</f>
        <v>Medium</v>
      </c>
      <c r="S1143" t="str">
        <f>_xlfn.XLOOKUP(Table1[[#This Row],[Gender]],Table10[Gender],Table10[Id_Gender])</f>
        <v>G002</v>
      </c>
      <c r="T1143" t="s">
        <v>46</v>
      </c>
      <c r="U1143">
        <v>48</v>
      </c>
      <c r="V1143" t="str">
        <f>_xlfn.XLOOKUP(Table1[[#This Row],[JobInvolvement]],Table11[JobInvolvement],Table11[Id_JobInvolvement])</f>
        <v>JI002</v>
      </c>
      <c r="W1143">
        <v>2</v>
      </c>
      <c r="X1143" t="str">
        <f>_xlfn.XLOOKUP(Table1[[#This Row],[JobLevel]],Table12[JobLevel],Table12[Id_JobLevel])</f>
        <v>JL001</v>
      </c>
      <c r="Y1143">
        <v>1</v>
      </c>
      <c r="Z1143" t="str">
        <f>_xlfn.XLOOKUP(Table1[[#This Row],[JobRole]],Table13[JobRole],Table13[Id_JobRole])</f>
        <v>JR002</v>
      </c>
      <c r="AA1143" t="s">
        <v>48</v>
      </c>
      <c r="AB1143" t="str">
        <f>_xlfn.XLOOKUP(Table1[[#This Row],[JobSatisfaction]],Table14[JobSatisfaction],Table14[Id_JobSatisfaction])</f>
        <v>JS002</v>
      </c>
      <c r="AC1143">
        <v>2</v>
      </c>
      <c r="AD1143" t="str">
        <f>_xlfn.XLOOKUP(Table1[[#This Row],[JobSatisfaction]],Table14[JobSatisfaction],Table14[Deskripsi])</f>
        <v>Medium</v>
      </c>
      <c r="AE1143" t="str">
        <f>_xlfn.XLOOKUP(Table1[[#This Row],[MaritalStatus]],Table15[MaritalStatus],Table15[Id_MaritalStatus])</f>
        <v>MS002</v>
      </c>
      <c r="AF1143" t="s">
        <v>56</v>
      </c>
      <c r="AG1143">
        <v>2141</v>
      </c>
      <c r="AH1143">
        <v>5348</v>
      </c>
      <c r="AI1143">
        <v>1</v>
      </c>
      <c r="AJ1143" t="str">
        <f>_xlfn.XLOOKUP(Table1[[#This Row],[OverTime]],Table16[OverTime],Table16[Id_OverTime])</f>
        <v>OT002</v>
      </c>
      <c r="AK1143" t="s">
        <v>33</v>
      </c>
      <c r="AL1143">
        <v>12</v>
      </c>
      <c r="AM1143" t="str">
        <f>_xlfn.XLOOKUP(Table1[[#This Row],[PerformanceRating]],Table17[PerformanceRating],Table17[Id_PerformanceRating])</f>
        <v>PR003</v>
      </c>
      <c r="AN1143">
        <v>3</v>
      </c>
      <c r="AO1143" t="str">
        <f>_xlfn.XLOOKUP(Table1[[#This Row],[PerformanceRating]],Table17[PerformanceRating],Table17[Deskripsi])</f>
        <v>Excellent</v>
      </c>
      <c r="AP1143" t="str">
        <f>_xlfn.XLOOKUP(Table1[[#This Row],[RelationshipSatisfaction]],Table18[RelationshipSatisfaction],Table18[Id_RelationshipSatisfaction])</f>
        <v>RS002</v>
      </c>
      <c r="AQ1143">
        <v>2</v>
      </c>
      <c r="AR1143" t="str">
        <f>_xlfn.XLOOKUP(Table1[[#This Row],[RelationshipSatisfaction]],Table18[RelationshipSatisfaction],Table18[Deskripsi])</f>
        <v>Medium</v>
      </c>
      <c r="AS1143" t="str">
        <f>_xlfn.XLOOKUP(Table1[[#This Row],[StockOptionLevel]],Table19[StockOptionLevel],Table19[Id_StockOptionLevel])</f>
        <v>SOL002</v>
      </c>
      <c r="AT1143">
        <v>1</v>
      </c>
      <c r="AU1143" t="str">
        <f>_xlfn.XLOOKUP(Table1[[#This Row],[StockOptionLevel]],Table19[StockOptionLevel],Table19[Deskripsi])</f>
        <v>Standard</v>
      </c>
      <c r="AV1143">
        <v>6</v>
      </c>
      <c r="AW1143">
        <v>3</v>
      </c>
      <c r="AX1143" t="str">
        <f>_xlfn.XLOOKUP(Table1[[#This Row],[WorkLifeBalance]],Table20[WorkLifeBalance],Table20[Id_WorkLifeBalance])</f>
        <v>WLB003</v>
      </c>
      <c r="AY1143">
        <v>2</v>
      </c>
      <c r="AZ1143" t="str">
        <f>_xlfn.XLOOKUP(Table1[[#This Row],[WorkLifeBalance]],Table20[WorkLifeBalance],Table20[Deskripsi])</f>
        <v>Better</v>
      </c>
      <c r="BA1143">
        <v>6</v>
      </c>
      <c r="BB1143">
        <v>4</v>
      </c>
      <c r="BC1143">
        <v>1</v>
      </c>
      <c r="BD1143">
        <v>1</v>
      </c>
    </row>
    <row r="1144" spans="1:56" x14ac:dyDescent="0.25">
      <c r="A1144">
        <v>45</v>
      </c>
      <c r="B1144" t="str">
        <f>_xlfn.XLOOKUP(Table1[[#This Row],[Attrition]],Table2[Attrition],Table2[Id_Attrition])</f>
        <v>A002</v>
      </c>
      <c r="C1144" t="s">
        <v>33</v>
      </c>
      <c r="D1144" t="str">
        <f>_xlfn.XLOOKUP(Table1[[#This Row],[BusinessTravel]],Table5[BusinessTravel],Table5[Id_BusinessTravel])</f>
        <v>BS001</v>
      </c>
      <c r="E1144" t="s">
        <v>34</v>
      </c>
      <c r="F1144">
        <v>1015</v>
      </c>
      <c r="G1144" t="str">
        <f>_xlfn.XLOOKUP(Table1[[#This Row],[Department]],Table6[Department],Table6[Id_Departement])</f>
        <v>D002</v>
      </c>
      <c r="H1144" t="s">
        <v>38</v>
      </c>
      <c r="I1144">
        <v>5</v>
      </c>
      <c r="J1144" t="str">
        <f>_xlfn.XLOOKUP(Table1[[#This Row],[Education]],Table8[Education],Table8[Id_Education])</f>
        <v>E005</v>
      </c>
      <c r="K1144">
        <v>5</v>
      </c>
      <c r="L1144" t="str">
        <f>_xlfn.XLOOKUP(Table1[[#This Row],[EducationField]],Table7[EducationField],Table7[Id_EducationField])</f>
        <v>EF003</v>
      </c>
      <c r="M1144" t="s">
        <v>42</v>
      </c>
      <c r="N1144" t="str">
        <f>_xlfn.XLOOKUP(Table1[[#This Row],[EmployeeNumber]],Table4[EmployeeNumber],Table4[Id_Employee])</f>
        <v>EMP01143</v>
      </c>
      <c r="O1144">
        <v>1611</v>
      </c>
      <c r="P1144" t="str">
        <f>_xlfn.XLOOKUP(Table1[[#This Row],[EnvironmentSatisfaction]],Table9[EnvironmentSatisfaction],Table9[Id_EnviromentSatisfaction])</f>
        <v>ES003</v>
      </c>
      <c r="Q1144">
        <v>3</v>
      </c>
      <c r="R1144" t="str">
        <f>_xlfn.XLOOKUP(Table1[[#This Row],[EnvironmentSatisfaction]],Table9[EnvironmentSatisfaction],Table9[Deskripsi])</f>
        <v>High</v>
      </c>
      <c r="S1144" t="str">
        <f>_xlfn.XLOOKUP(Table1[[#This Row],[Gender]],Table10[Gender],Table10[Id_Gender])</f>
        <v>G001</v>
      </c>
      <c r="T1144" t="s">
        <v>45</v>
      </c>
      <c r="U1144">
        <v>50</v>
      </c>
      <c r="V1144" t="str">
        <f>_xlfn.XLOOKUP(Table1[[#This Row],[JobInvolvement]],Table11[JobInvolvement],Table11[Id_JobInvolvement])</f>
        <v>JI001</v>
      </c>
      <c r="W1144">
        <v>1</v>
      </c>
      <c r="X1144" t="str">
        <f>_xlfn.XLOOKUP(Table1[[#This Row],[JobLevel]],Table12[JobLevel],Table12[Id_JobLevel])</f>
        <v>JL002</v>
      </c>
      <c r="Y1144">
        <v>2</v>
      </c>
      <c r="Z1144" t="str">
        <f>_xlfn.XLOOKUP(Table1[[#This Row],[JobRole]],Table13[JobRole],Table13[Id_JobRole])</f>
        <v>JR003</v>
      </c>
      <c r="AA1144" t="s">
        <v>49</v>
      </c>
      <c r="AB1144" t="str">
        <f>_xlfn.XLOOKUP(Table1[[#This Row],[JobSatisfaction]],Table14[JobSatisfaction],Table14[Id_JobSatisfaction])</f>
        <v>JS001</v>
      </c>
      <c r="AC1144">
        <v>1</v>
      </c>
      <c r="AD1144" t="str">
        <f>_xlfn.XLOOKUP(Table1[[#This Row],[JobSatisfaction]],Table14[JobSatisfaction],Table14[Deskripsi])</f>
        <v>Low</v>
      </c>
      <c r="AE1144" t="str">
        <f>_xlfn.XLOOKUP(Table1[[#This Row],[MaritalStatus]],Table15[MaritalStatus],Table15[Id_MaritalStatus])</f>
        <v>MS001</v>
      </c>
      <c r="AF1144" t="s">
        <v>55</v>
      </c>
      <c r="AG1144">
        <v>5769</v>
      </c>
      <c r="AH1144">
        <v>23447</v>
      </c>
      <c r="AI1144">
        <v>1</v>
      </c>
      <c r="AJ1144" t="str">
        <f>_xlfn.XLOOKUP(Table1[[#This Row],[OverTime]],Table16[OverTime],Table16[Id_OverTime])</f>
        <v>OT001</v>
      </c>
      <c r="AK1144" t="s">
        <v>32</v>
      </c>
      <c r="AL1144">
        <v>14</v>
      </c>
      <c r="AM1144" t="str">
        <f>_xlfn.XLOOKUP(Table1[[#This Row],[PerformanceRating]],Table17[PerformanceRating],Table17[Id_PerformanceRating])</f>
        <v>PR003</v>
      </c>
      <c r="AN1144">
        <v>3</v>
      </c>
      <c r="AO1144" t="str">
        <f>_xlfn.XLOOKUP(Table1[[#This Row],[PerformanceRating]],Table17[PerformanceRating],Table17[Deskripsi])</f>
        <v>Excellent</v>
      </c>
      <c r="AP1144" t="str">
        <f>_xlfn.XLOOKUP(Table1[[#This Row],[RelationshipSatisfaction]],Table18[RelationshipSatisfaction],Table18[Id_RelationshipSatisfaction])</f>
        <v>RS001</v>
      </c>
      <c r="AQ1144">
        <v>1</v>
      </c>
      <c r="AR1144" t="str">
        <f>_xlfn.XLOOKUP(Table1[[#This Row],[RelationshipSatisfaction]],Table18[RelationshipSatisfaction],Table18[Deskripsi])</f>
        <v>Low</v>
      </c>
      <c r="AS1144" t="str">
        <f>_xlfn.XLOOKUP(Table1[[#This Row],[StockOptionLevel]],Table19[StockOptionLevel],Table19[Id_StockOptionLevel])</f>
        <v>SOL001</v>
      </c>
      <c r="AT1144">
        <v>0</v>
      </c>
      <c r="AU1144" t="str">
        <f>_xlfn.XLOOKUP(Table1[[#This Row],[StockOptionLevel]],Table19[StockOptionLevel],Table19[Deskripsi])</f>
        <v>Non-Eligible</v>
      </c>
      <c r="AV1144">
        <v>10</v>
      </c>
      <c r="AW1144">
        <v>3</v>
      </c>
      <c r="AX1144" t="str">
        <f>_xlfn.XLOOKUP(Table1[[#This Row],[WorkLifeBalance]],Table20[WorkLifeBalance],Table20[Id_WorkLifeBalance])</f>
        <v>WLB002</v>
      </c>
      <c r="AY1144">
        <v>3</v>
      </c>
      <c r="AZ1144" t="str">
        <f>_xlfn.XLOOKUP(Table1[[#This Row],[WorkLifeBalance]],Table20[WorkLifeBalance],Table20[Deskripsi])</f>
        <v>Good</v>
      </c>
      <c r="BA1144">
        <v>10</v>
      </c>
      <c r="BB1144">
        <v>7</v>
      </c>
      <c r="BC1144">
        <v>1</v>
      </c>
      <c r="BD1144">
        <v>4</v>
      </c>
    </row>
    <row r="1145" spans="1:56" x14ac:dyDescent="0.25">
      <c r="A1145">
        <v>45</v>
      </c>
      <c r="B1145" t="str">
        <f>_xlfn.XLOOKUP(Table1[[#This Row],[Attrition]],Table2[Attrition],Table2[Id_Attrition])</f>
        <v>A002</v>
      </c>
      <c r="C1145" t="s">
        <v>33</v>
      </c>
      <c r="D1145" t="str">
        <f>_xlfn.XLOOKUP(Table1[[#This Row],[BusinessTravel]],Table5[BusinessTravel],Table5[Id_BusinessTravel])</f>
        <v>BS003</v>
      </c>
      <c r="E1145" t="s">
        <v>36</v>
      </c>
      <c r="F1145">
        <v>336</v>
      </c>
      <c r="G1145" t="str">
        <f>_xlfn.XLOOKUP(Table1[[#This Row],[Department]],Table6[Department],Table6[Id_Departement])</f>
        <v>D001</v>
      </c>
      <c r="H1145" t="s">
        <v>37</v>
      </c>
      <c r="I1145">
        <v>26</v>
      </c>
      <c r="J1145" t="str">
        <f>_xlfn.XLOOKUP(Table1[[#This Row],[Education]],Table8[Education],Table8[Id_Education])</f>
        <v>E003</v>
      </c>
      <c r="K1145">
        <v>3</v>
      </c>
      <c r="L1145" t="str">
        <f>_xlfn.XLOOKUP(Table1[[#This Row],[EducationField]],Table7[EducationField],Table7[Id_EducationField])</f>
        <v>EF004</v>
      </c>
      <c r="M1145" t="s">
        <v>43</v>
      </c>
      <c r="N1145" t="str">
        <f>_xlfn.XLOOKUP(Table1[[#This Row],[EmployeeNumber]],Table4[EmployeeNumber],Table4[Id_Employee])</f>
        <v>EMP01144</v>
      </c>
      <c r="O1145">
        <v>1612</v>
      </c>
      <c r="P1145" t="str">
        <f>_xlfn.XLOOKUP(Table1[[#This Row],[EnvironmentSatisfaction]],Table9[EnvironmentSatisfaction],Table9[Id_EnviromentSatisfaction])</f>
        <v>ES001</v>
      </c>
      <c r="Q1145">
        <v>1</v>
      </c>
      <c r="R1145" t="str">
        <f>_xlfn.XLOOKUP(Table1[[#This Row],[EnvironmentSatisfaction]],Table9[EnvironmentSatisfaction],Table9[Deskripsi])</f>
        <v>Low</v>
      </c>
      <c r="S1145" t="str">
        <f>_xlfn.XLOOKUP(Table1[[#This Row],[Gender]],Table10[Gender],Table10[Id_Gender])</f>
        <v>G002</v>
      </c>
      <c r="T1145" t="s">
        <v>46</v>
      </c>
      <c r="U1145">
        <v>52</v>
      </c>
      <c r="V1145" t="str">
        <f>_xlfn.XLOOKUP(Table1[[#This Row],[JobInvolvement]],Table11[JobInvolvement],Table11[Id_JobInvolvement])</f>
        <v>JI002</v>
      </c>
      <c r="W1145">
        <v>2</v>
      </c>
      <c r="X1145" t="str">
        <f>_xlfn.XLOOKUP(Table1[[#This Row],[JobLevel]],Table12[JobLevel],Table12[Id_JobLevel])</f>
        <v>JL002</v>
      </c>
      <c r="Y1145">
        <v>2</v>
      </c>
      <c r="Z1145" t="str">
        <f>_xlfn.XLOOKUP(Table1[[#This Row],[JobRole]],Table13[JobRole],Table13[Id_JobRole])</f>
        <v>JR001</v>
      </c>
      <c r="AA1145" t="s">
        <v>47</v>
      </c>
      <c r="AB1145" t="str">
        <f>_xlfn.XLOOKUP(Table1[[#This Row],[JobSatisfaction]],Table14[JobSatisfaction],Table14[Id_JobSatisfaction])</f>
        <v>JS001</v>
      </c>
      <c r="AC1145">
        <v>1</v>
      </c>
      <c r="AD1145" t="str">
        <f>_xlfn.XLOOKUP(Table1[[#This Row],[JobSatisfaction]],Table14[JobSatisfaction],Table14[Deskripsi])</f>
        <v>Low</v>
      </c>
      <c r="AE1145" t="str">
        <f>_xlfn.XLOOKUP(Table1[[#This Row],[MaritalStatus]],Table15[MaritalStatus],Table15[Id_MaritalStatus])</f>
        <v>MS002</v>
      </c>
      <c r="AF1145" t="s">
        <v>56</v>
      </c>
      <c r="AG1145">
        <v>4385</v>
      </c>
      <c r="AH1145">
        <v>24162</v>
      </c>
      <c r="AI1145">
        <v>1</v>
      </c>
      <c r="AJ1145" t="str">
        <f>_xlfn.XLOOKUP(Table1[[#This Row],[OverTime]],Table16[OverTime],Table16[Id_OverTime])</f>
        <v>OT002</v>
      </c>
      <c r="AK1145" t="s">
        <v>33</v>
      </c>
      <c r="AL1145">
        <v>15</v>
      </c>
      <c r="AM1145" t="str">
        <f>_xlfn.XLOOKUP(Table1[[#This Row],[PerformanceRating]],Table17[PerformanceRating],Table17[Id_PerformanceRating])</f>
        <v>PR003</v>
      </c>
      <c r="AN1145">
        <v>3</v>
      </c>
      <c r="AO1145" t="str">
        <f>_xlfn.XLOOKUP(Table1[[#This Row],[PerformanceRating]],Table17[PerformanceRating],Table17[Deskripsi])</f>
        <v>Excellent</v>
      </c>
      <c r="AP1145" t="str">
        <f>_xlfn.XLOOKUP(Table1[[#This Row],[RelationshipSatisfaction]],Table18[RelationshipSatisfaction],Table18[Id_RelationshipSatisfaction])</f>
        <v>RS001</v>
      </c>
      <c r="AQ1145">
        <v>1</v>
      </c>
      <c r="AR1145" t="str">
        <f>_xlfn.XLOOKUP(Table1[[#This Row],[RelationshipSatisfaction]],Table18[RelationshipSatisfaction],Table18[Deskripsi])</f>
        <v>Low</v>
      </c>
      <c r="AS1145" t="str">
        <f>_xlfn.XLOOKUP(Table1[[#This Row],[StockOptionLevel]],Table19[StockOptionLevel],Table19[Id_StockOptionLevel])</f>
        <v>SOL002</v>
      </c>
      <c r="AT1145">
        <v>1</v>
      </c>
      <c r="AU1145" t="str">
        <f>_xlfn.XLOOKUP(Table1[[#This Row],[StockOptionLevel]],Table19[StockOptionLevel],Table19[Deskripsi])</f>
        <v>Standard</v>
      </c>
      <c r="AV1145">
        <v>10</v>
      </c>
      <c r="AW1145">
        <v>2</v>
      </c>
      <c r="AX1145" t="str">
        <f>_xlfn.XLOOKUP(Table1[[#This Row],[WorkLifeBalance]],Table20[WorkLifeBalance],Table20[Id_WorkLifeBalance])</f>
        <v>WLB002</v>
      </c>
      <c r="AY1145">
        <v>3</v>
      </c>
      <c r="AZ1145" t="str">
        <f>_xlfn.XLOOKUP(Table1[[#This Row],[WorkLifeBalance]],Table20[WorkLifeBalance],Table20[Deskripsi])</f>
        <v>Good</v>
      </c>
      <c r="BA1145">
        <v>10</v>
      </c>
      <c r="BB1145">
        <v>7</v>
      </c>
      <c r="BC1145">
        <v>4</v>
      </c>
      <c r="BD1145">
        <v>5</v>
      </c>
    </row>
    <row r="1146" spans="1:56" x14ac:dyDescent="0.25">
      <c r="A1146">
        <v>31</v>
      </c>
      <c r="B1146" t="str">
        <f>_xlfn.XLOOKUP(Table1[[#This Row],[Attrition]],Table2[Attrition],Table2[Id_Attrition])</f>
        <v>A002</v>
      </c>
      <c r="C1146" t="s">
        <v>33</v>
      </c>
      <c r="D1146" t="str">
        <f>_xlfn.XLOOKUP(Table1[[#This Row],[BusinessTravel]],Table5[BusinessTravel],Table5[Id_BusinessTravel])</f>
        <v>BS002</v>
      </c>
      <c r="E1146" t="s">
        <v>35</v>
      </c>
      <c r="F1146">
        <v>715</v>
      </c>
      <c r="G1146" t="str">
        <f>_xlfn.XLOOKUP(Table1[[#This Row],[Department]],Table6[Department],Table6[Id_Departement])</f>
        <v>D001</v>
      </c>
      <c r="H1146" t="s">
        <v>37</v>
      </c>
      <c r="I1146">
        <v>2</v>
      </c>
      <c r="J1146" t="str">
        <f>_xlfn.XLOOKUP(Table1[[#This Row],[Education]],Table8[Education],Table8[Id_Education])</f>
        <v>E004</v>
      </c>
      <c r="K1146">
        <v>4</v>
      </c>
      <c r="L1146" t="str">
        <f>_xlfn.XLOOKUP(Table1[[#This Row],[EducationField]],Table7[EducationField],Table7[Id_EducationField])</f>
        <v>EF002</v>
      </c>
      <c r="M1146" t="s">
        <v>41</v>
      </c>
      <c r="N1146" t="str">
        <f>_xlfn.XLOOKUP(Table1[[#This Row],[EmployeeNumber]],Table4[EmployeeNumber],Table4[Id_Employee])</f>
        <v>EMP01145</v>
      </c>
      <c r="O1146">
        <v>1613</v>
      </c>
      <c r="P1146" t="str">
        <f>_xlfn.XLOOKUP(Table1[[#This Row],[EnvironmentSatisfaction]],Table9[EnvironmentSatisfaction],Table9[Id_EnviromentSatisfaction])</f>
        <v>ES004</v>
      </c>
      <c r="Q1146">
        <v>4</v>
      </c>
      <c r="R1146" t="str">
        <f>_xlfn.XLOOKUP(Table1[[#This Row],[EnvironmentSatisfaction]],Table9[EnvironmentSatisfaction],Table9[Deskripsi])</f>
        <v>Very High</v>
      </c>
      <c r="S1146" t="str">
        <f>_xlfn.XLOOKUP(Table1[[#This Row],[Gender]],Table10[Gender],Table10[Id_Gender])</f>
        <v>G002</v>
      </c>
      <c r="T1146" t="s">
        <v>46</v>
      </c>
      <c r="U1146">
        <v>54</v>
      </c>
      <c r="V1146" t="str">
        <f>_xlfn.XLOOKUP(Table1[[#This Row],[JobInvolvement]],Table11[JobInvolvement],Table11[Id_JobInvolvement])</f>
        <v>JI003</v>
      </c>
      <c r="W1146">
        <v>3</v>
      </c>
      <c r="X1146" t="str">
        <f>_xlfn.XLOOKUP(Table1[[#This Row],[JobLevel]],Table12[JobLevel],Table12[Id_JobLevel])</f>
        <v>JL002</v>
      </c>
      <c r="Y1146">
        <v>2</v>
      </c>
      <c r="Z1146" t="str">
        <f>_xlfn.XLOOKUP(Table1[[#This Row],[JobRole]],Table13[JobRole],Table13[Id_JobRole])</f>
        <v>JR001</v>
      </c>
      <c r="AA1146" t="s">
        <v>47</v>
      </c>
      <c r="AB1146" t="str">
        <f>_xlfn.XLOOKUP(Table1[[#This Row],[JobSatisfaction]],Table14[JobSatisfaction],Table14[Id_JobSatisfaction])</f>
        <v>JS001</v>
      </c>
      <c r="AC1146">
        <v>1</v>
      </c>
      <c r="AD1146" t="str">
        <f>_xlfn.XLOOKUP(Table1[[#This Row],[JobSatisfaction]],Table14[JobSatisfaction],Table14[Deskripsi])</f>
        <v>Low</v>
      </c>
      <c r="AE1146" t="str">
        <f>_xlfn.XLOOKUP(Table1[[#This Row],[MaritalStatus]],Table15[MaritalStatus],Table15[Id_MaritalStatus])</f>
        <v>MS001</v>
      </c>
      <c r="AF1146" t="s">
        <v>55</v>
      </c>
      <c r="AG1146">
        <v>5332</v>
      </c>
      <c r="AH1146">
        <v>21602</v>
      </c>
      <c r="AI1146">
        <v>7</v>
      </c>
      <c r="AJ1146" t="str">
        <f>_xlfn.XLOOKUP(Table1[[#This Row],[OverTime]],Table16[OverTime],Table16[Id_OverTime])</f>
        <v>OT002</v>
      </c>
      <c r="AK1146" t="s">
        <v>33</v>
      </c>
      <c r="AL1146">
        <v>13</v>
      </c>
      <c r="AM1146" t="str">
        <f>_xlfn.XLOOKUP(Table1[[#This Row],[PerformanceRating]],Table17[PerformanceRating],Table17[Id_PerformanceRating])</f>
        <v>PR003</v>
      </c>
      <c r="AN1146">
        <v>3</v>
      </c>
      <c r="AO1146" t="str">
        <f>_xlfn.XLOOKUP(Table1[[#This Row],[PerformanceRating]],Table17[PerformanceRating],Table17[Deskripsi])</f>
        <v>Excellent</v>
      </c>
      <c r="AP1146" t="str">
        <f>_xlfn.XLOOKUP(Table1[[#This Row],[RelationshipSatisfaction]],Table18[RelationshipSatisfaction],Table18[Id_RelationshipSatisfaction])</f>
        <v>RS004</v>
      </c>
      <c r="AQ1146">
        <v>4</v>
      </c>
      <c r="AR1146" t="str">
        <f>_xlfn.XLOOKUP(Table1[[#This Row],[RelationshipSatisfaction]],Table18[RelationshipSatisfaction],Table18[Deskripsi])</f>
        <v>Very High</v>
      </c>
      <c r="AS1146" t="str">
        <f>_xlfn.XLOOKUP(Table1[[#This Row],[StockOptionLevel]],Table19[StockOptionLevel],Table19[Id_StockOptionLevel])</f>
        <v>SOL001</v>
      </c>
      <c r="AT1146">
        <v>0</v>
      </c>
      <c r="AU1146" t="str">
        <f>_xlfn.XLOOKUP(Table1[[#This Row],[StockOptionLevel]],Table19[StockOptionLevel],Table19[Deskripsi])</f>
        <v>Non-Eligible</v>
      </c>
      <c r="AV1146">
        <v>10</v>
      </c>
      <c r="AW1146">
        <v>3</v>
      </c>
      <c r="AX1146" t="str">
        <f>_xlfn.XLOOKUP(Table1[[#This Row],[WorkLifeBalance]],Table20[WorkLifeBalance],Table20[Id_WorkLifeBalance])</f>
        <v>WLB002</v>
      </c>
      <c r="AY1146">
        <v>3</v>
      </c>
      <c r="AZ1146" t="str">
        <f>_xlfn.XLOOKUP(Table1[[#This Row],[WorkLifeBalance]],Table20[WorkLifeBalance],Table20[Deskripsi])</f>
        <v>Good</v>
      </c>
      <c r="BA1146">
        <v>5</v>
      </c>
      <c r="BB1146">
        <v>2</v>
      </c>
      <c r="BC1146">
        <v>0</v>
      </c>
      <c r="BD1146">
        <v>3</v>
      </c>
    </row>
    <row r="1147" spans="1:56" x14ac:dyDescent="0.25">
      <c r="A1147">
        <v>36</v>
      </c>
      <c r="B1147" t="str">
        <f>_xlfn.XLOOKUP(Table1[[#This Row],[Attrition]],Table2[Attrition],Table2[Id_Attrition])</f>
        <v>A002</v>
      </c>
      <c r="C1147" t="s">
        <v>33</v>
      </c>
      <c r="D1147" t="str">
        <f>_xlfn.XLOOKUP(Table1[[#This Row],[BusinessTravel]],Table5[BusinessTravel],Table5[Id_BusinessTravel])</f>
        <v>BS001</v>
      </c>
      <c r="E1147" t="s">
        <v>34</v>
      </c>
      <c r="F1147">
        <v>559</v>
      </c>
      <c r="G1147" t="str">
        <f>_xlfn.XLOOKUP(Table1[[#This Row],[Department]],Table6[Department],Table6[Id_Departement])</f>
        <v>D002</v>
      </c>
      <c r="H1147" t="s">
        <v>38</v>
      </c>
      <c r="I1147">
        <v>12</v>
      </c>
      <c r="J1147" t="str">
        <f>_xlfn.XLOOKUP(Table1[[#This Row],[Education]],Table8[Education],Table8[Id_Education])</f>
        <v>E004</v>
      </c>
      <c r="K1147">
        <v>4</v>
      </c>
      <c r="L1147" t="str">
        <f>_xlfn.XLOOKUP(Table1[[#This Row],[EducationField]],Table7[EducationField],Table7[Id_EducationField])</f>
        <v>EF001</v>
      </c>
      <c r="M1147" t="s">
        <v>40</v>
      </c>
      <c r="N1147" t="str">
        <f>_xlfn.XLOOKUP(Table1[[#This Row],[EmployeeNumber]],Table4[EmployeeNumber],Table4[Id_Employee])</f>
        <v>EMP01146</v>
      </c>
      <c r="O1147">
        <v>1614</v>
      </c>
      <c r="P1147" t="str">
        <f>_xlfn.XLOOKUP(Table1[[#This Row],[EnvironmentSatisfaction]],Table9[EnvironmentSatisfaction],Table9[Id_EnviromentSatisfaction])</f>
        <v>ES003</v>
      </c>
      <c r="Q1147">
        <v>3</v>
      </c>
      <c r="R1147" t="str">
        <f>_xlfn.XLOOKUP(Table1[[#This Row],[EnvironmentSatisfaction]],Table9[EnvironmentSatisfaction],Table9[Deskripsi])</f>
        <v>High</v>
      </c>
      <c r="S1147" t="str">
        <f>_xlfn.XLOOKUP(Table1[[#This Row],[Gender]],Table10[Gender],Table10[Id_Gender])</f>
        <v>G001</v>
      </c>
      <c r="T1147" t="s">
        <v>45</v>
      </c>
      <c r="U1147">
        <v>76</v>
      </c>
      <c r="V1147" t="str">
        <f>_xlfn.XLOOKUP(Table1[[#This Row],[JobInvolvement]],Table11[JobInvolvement],Table11[Id_JobInvolvement])</f>
        <v>JI003</v>
      </c>
      <c r="W1147">
        <v>3</v>
      </c>
      <c r="X1147" t="str">
        <f>_xlfn.XLOOKUP(Table1[[#This Row],[JobLevel]],Table12[JobLevel],Table12[Id_JobLevel])</f>
        <v>JL002</v>
      </c>
      <c r="Y1147">
        <v>2</v>
      </c>
      <c r="Z1147" t="str">
        <f>_xlfn.XLOOKUP(Table1[[#This Row],[JobRole]],Table13[JobRole],Table13[Id_JobRole])</f>
        <v>JR004</v>
      </c>
      <c r="AA1147" t="s">
        <v>50</v>
      </c>
      <c r="AB1147" t="str">
        <f>_xlfn.XLOOKUP(Table1[[#This Row],[JobSatisfaction]],Table14[JobSatisfaction],Table14[Id_JobSatisfaction])</f>
        <v>JS003</v>
      </c>
      <c r="AC1147">
        <v>3</v>
      </c>
      <c r="AD1147" t="str">
        <f>_xlfn.XLOOKUP(Table1[[#This Row],[JobSatisfaction]],Table14[JobSatisfaction],Table14[Deskripsi])</f>
        <v>High</v>
      </c>
      <c r="AE1147" t="str">
        <f>_xlfn.XLOOKUP(Table1[[#This Row],[MaritalStatus]],Table15[MaritalStatus],Table15[Id_MaritalStatus])</f>
        <v>MS002</v>
      </c>
      <c r="AF1147" t="s">
        <v>56</v>
      </c>
      <c r="AG1147">
        <v>4663</v>
      </c>
      <c r="AH1147">
        <v>12421</v>
      </c>
      <c r="AI1147">
        <v>9</v>
      </c>
      <c r="AJ1147" t="str">
        <f>_xlfn.XLOOKUP(Table1[[#This Row],[OverTime]],Table16[OverTime],Table16[Id_OverTime])</f>
        <v>OT001</v>
      </c>
      <c r="AK1147" t="s">
        <v>32</v>
      </c>
      <c r="AL1147">
        <v>12</v>
      </c>
      <c r="AM1147" t="str">
        <f>_xlfn.XLOOKUP(Table1[[#This Row],[PerformanceRating]],Table17[PerformanceRating],Table17[Id_PerformanceRating])</f>
        <v>PR003</v>
      </c>
      <c r="AN1147">
        <v>3</v>
      </c>
      <c r="AO1147" t="str">
        <f>_xlfn.XLOOKUP(Table1[[#This Row],[PerformanceRating]],Table17[PerformanceRating],Table17[Deskripsi])</f>
        <v>Excellent</v>
      </c>
      <c r="AP1147" t="str">
        <f>_xlfn.XLOOKUP(Table1[[#This Row],[RelationshipSatisfaction]],Table18[RelationshipSatisfaction],Table18[Id_RelationshipSatisfaction])</f>
        <v>RS002</v>
      </c>
      <c r="AQ1147">
        <v>2</v>
      </c>
      <c r="AR1147" t="str">
        <f>_xlfn.XLOOKUP(Table1[[#This Row],[RelationshipSatisfaction]],Table18[RelationshipSatisfaction],Table18[Deskripsi])</f>
        <v>Medium</v>
      </c>
      <c r="AS1147" t="str">
        <f>_xlfn.XLOOKUP(Table1[[#This Row],[StockOptionLevel]],Table19[StockOptionLevel],Table19[Id_StockOptionLevel])</f>
        <v>SOL003</v>
      </c>
      <c r="AT1147">
        <v>2</v>
      </c>
      <c r="AU1147" t="str">
        <f>_xlfn.XLOOKUP(Table1[[#This Row],[StockOptionLevel]],Table19[StockOptionLevel],Table19[Deskripsi])</f>
        <v>Intermediate</v>
      </c>
      <c r="AV1147">
        <v>7</v>
      </c>
      <c r="AW1147">
        <v>2</v>
      </c>
      <c r="AX1147" t="str">
        <f>_xlfn.XLOOKUP(Table1[[#This Row],[WorkLifeBalance]],Table20[WorkLifeBalance],Table20[Id_WorkLifeBalance])</f>
        <v>WLB002</v>
      </c>
      <c r="AY1147">
        <v>3</v>
      </c>
      <c r="AZ1147" t="str">
        <f>_xlfn.XLOOKUP(Table1[[#This Row],[WorkLifeBalance]],Table20[WorkLifeBalance],Table20[Deskripsi])</f>
        <v>Good</v>
      </c>
      <c r="BA1147">
        <v>3</v>
      </c>
      <c r="BB1147">
        <v>2</v>
      </c>
      <c r="BC1147">
        <v>1</v>
      </c>
      <c r="BD1147">
        <v>1</v>
      </c>
    </row>
    <row r="1148" spans="1:56" x14ac:dyDescent="0.25">
      <c r="A1148">
        <v>34</v>
      </c>
      <c r="B1148" t="str">
        <f>_xlfn.XLOOKUP(Table1[[#This Row],[Attrition]],Table2[Attrition],Table2[Id_Attrition])</f>
        <v>A002</v>
      </c>
      <c r="C1148" t="s">
        <v>33</v>
      </c>
      <c r="D1148" t="str">
        <f>_xlfn.XLOOKUP(Table1[[#This Row],[BusinessTravel]],Table5[BusinessTravel],Table5[Id_BusinessTravel])</f>
        <v>BS002</v>
      </c>
      <c r="E1148" t="s">
        <v>35</v>
      </c>
      <c r="F1148">
        <v>426</v>
      </c>
      <c r="G1148" t="str">
        <f>_xlfn.XLOOKUP(Table1[[#This Row],[Department]],Table6[Department],Table6[Id_Departement])</f>
        <v>D002</v>
      </c>
      <c r="H1148" t="s">
        <v>38</v>
      </c>
      <c r="I1148">
        <v>10</v>
      </c>
      <c r="J1148" t="str">
        <f>_xlfn.XLOOKUP(Table1[[#This Row],[Education]],Table8[Education],Table8[Id_Education])</f>
        <v>E004</v>
      </c>
      <c r="K1148">
        <v>4</v>
      </c>
      <c r="L1148" t="str">
        <f>_xlfn.XLOOKUP(Table1[[#This Row],[EducationField]],Table7[EducationField],Table7[Id_EducationField])</f>
        <v>EF001</v>
      </c>
      <c r="M1148" t="s">
        <v>40</v>
      </c>
      <c r="N1148" t="str">
        <f>_xlfn.XLOOKUP(Table1[[#This Row],[EmployeeNumber]],Table4[EmployeeNumber],Table4[Id_Employee])</f>
        <v>EMP01147</v>
      </c>
      <c r="O1148">
        <v>1615</v>
      </c>
      <c r="P1148" t="str">
        <f>_xlfn.XLOOKUP(Table1[[#This Row],[EnvironmentSatisfaction]],Table9[EnvironmentSatisfaction],Table9[Id_EnviromentSatisfaction])</f>
        <v>ES003</v>
      </c>
      <c r="Q1148">
        <v>3</v>
      </c>
      <c r="R1148" t="str">
        <f>_xlfn.XLOOKUP(Table1[[#This Row],[EnvironmentSatisfaction]],Table9[EnvironmentSatisfaction],Table9[Deskripsi])</f>
        <v>High</v>
      </c>
      <c r="S1148" t="str">
        <f>_xlfn.XLOOKUP(Table1[[#This Row],[Gender]],Table10[Gender],Table10[Id_Gender])</f>
        <v>G002</v>
      </c>
      <c r="T1148" t="s">
        <v>46</v>
      </c>
      <c r="U1148">
        <v>42</v>
      </c>
      <c r="V1148" t="str">
        <f>_xlfn.XLOOKUP(Table1[[#This Row],[JobInvolvement]],Table11[JobInvolvement],Table11[Id_JobInvolvement])</f>
        <v>JI004</v>
      </c>
      <c r="W1148">
        <v>4</v>
      </c>
      <c r="X1148" t="str">
        <f>_xlfn.XLOOKUP(Table1[[#This Row],[JobLevel]],Table12[JobLevel],Table12[Id_JobLevel])</f>
        <v>JL002</v>
      </c>
      <c r="Y1148">
        <v>2</v>
      </c>
      <c r="Z1148" t="str">
        <f>_xlfn.XLOOKUP(Table1[[#This Row],[JobRole]],Table13[JobRole],Table13[Id_JobRole])</f>
        <v>JR004</v>
      </c>
      <c r="AA1148" t="s">
        <v>50</v>
      </c>
      <c r="AB1148" t="str">
        <f>_xlfn.XLOOKUP(Table1[[#This Row],[JobSatisfaction]],Table14[JobSatisfaction],Table14[Id_JobSatisfaction])</f>
        <v>JS004</v>
      </c>
      <c r="AC1148">
        <v>4</v>
      </c>
      <c r="AD1148" t="str">
        <f>_xlfn.XLOOKUP(Table1[[#This Row],[JobSatisfaction]],Table14[JobSatisfaction],Table14[Deskripsi])</f>
        <v>Very High</v>
      </c>
      <c r="AE1148" t="str">
        <f>_xlfn.XLOOKUP(Table1[[#This Row],[MaritalStatus]],Table15[MaritalStatus],Table15[Id_MaritalStatus])</f>
        <v>MS003</v>
      </c>
      <c r="AF1148" t="s">
        <v>57</v>
      </c>
      <c r="AG1148">
        <v>4724</v>
      </c>
      <c r="AH1148">
        <v>17000</v>
      </c>
      <c r="AI1148">
        <v>1</v>
      </c>
      <c r="AJ1148" t="str">
        <f>_xlfn.XLOOKUP(Table1[[#This Row],[OverTime]],Table16[OverTime],Table16[Id_OverTime])</f>
        <v>OT002</v>
      </c>
      <c r="AK1148" t="s">
        <v>33</v>
      </c>
      <c r="AL1148">
        <v>13</v>
      </c>
      <c r="AM1148" t="str">
        <f>_xlfn.XLOOKUP(Table1[[#This Row],[PerformanceRating]],Table17[PerformanceRating],Table17[Id_PerformanceRating])</f>
        <v>PR003</v>
      </c>
      <c r="AN1148">
        <v>3</v>
      </c>
      <c r="AO1148" t="str">
        <f>_xlfn.XLOOKUP(Table1[[#This Row],[PerformanceRating]],Table17[PerformanceRating],Table17[Deskripsi])</f>
        <v>Excellent</v>
      </c>
      <c r="AP1148" t="str">
        <f>_xlfn.XLOOKUP(Table1[[#This Row],[RelationshipSatisfaction]],Table18[RelationshipSatisfaction],Table18[Id_RelationshipSatisfaction])</f>
        <v>RS001</v>
      </c>
      <c r="AQ1148">
        <v>1</v>
      </c>
      <c r="AR1148" t="str">
        <f>_xlfn.XLOOKUP(Table1[[#This Row],[RelationshipSatisfaction]],Table18[RelationshipSatisfaction],Table18[Deskripsi])</f>
        <v>Low</v>
      </c>
      <c r="AS1148" t="str">
        <f>_xlfn.XLOOKUP(Table1[[#This Row],[StockOptionLevel]],Table19[StockOptionLevel],Table19[Id_StockOptionLevel])</f>
        <v>SOL002</v>
      </c>
      <c r="AT1148">
        <v>1</v>
      </c>
      <c r="AU1148" t="str">
        <f>_xlfn.XLOOKUP(Table1[[#This Row],[StockOptionLevel]],Table19[StockOptionLevel],Table19[Deskripsi])</f>
        <v>Standard</v>
      </c>
      <c r="AV1148">
        <v>9</v>
      </c>
      <c r="AW1148">
        <v>3</v>
      </c>
      <c r="AX1148" t="str">
        <f>_xlfn.XLOOKUP(Table1[[#This Row],[WorkLifeBalance]],Table20[WorkLifeBalance],Table20[Id_WorkLifeBalance])</f>
        <v>WLB002</v>
      </c>
      <c r="AY1148">
        <v>3</v>
      </c>
      <c r="AZ1148" t="str">
        <f>_xlfn.XLOOKUP(Table1[[#This Row],[WorkLifeBalance]],Table20[WorkLifeBalance],Table20[Deskripsi])</f>
        <v>Good</v>
      </c>
      <c r="BA1148">
        <v>9</v>
      </c>
      <c r="BB1148">
        <v>7</v>
      </c>
      <c r="BC1148">
        <v>7</v>
      </c>
      <c r="BD1148">
        <v>2</v>
      </c>
    </row>
    <row r="1149" spans="1:56" x14ac:dyDescent="0.25">
      <c r="A1149">
        <v>49</v>
      </c>
      <c r="B1149" t="str">
        <f>_xlfn.XLOOKUP(Table1[[#This Row],[Attrition]],Table2[Attrition],Table2[Id_Attrition])</f>
        <v>A002</v>
      </c>
      <c r="C1149" t="s">
        <v>33</v>
      </c>
      <c r="D1149" t="str">
        <f>_xlfn.XLOOKUP(Table1[[#This Row],[BusinessTravel]],Table5[BusinessTravel],Table5[Id_BusinessTravel])</f>
        <v>BS001</v>
      </c>
      <c r="E1149" t="s">
        <v>34</v>
      </c>
      <c r="F1149">
        <v>722</v>
      </c>
      <c r="G1149" t="str">
        <f>_xlfn.XLOOKUP(Table1[[#This Row],[Department]],Table6[Department],Table6[Id_Departement])</f>
        <v>D002</v>
      </c>
      <c r="H1149" t="s">
        <v>38</v>
      </c>
      <c r="I1149">
        <v>25</v>
      </c>
      <c r="J1149" t="str">
        <f>_xlfn.XLOOKUP(Table1[[#This Row],[Education]],Table8[Education],Table8[Id_Education])</f>
        <v>E004</v>
      </c>
      <c r="K1149">
        <v>4</v>
      </c>
      <c r="L1149" t="str">
        <f>_xlfn.XLOOKUP(Table1[[#This Row],[EducationField]],Table7[EducationField],Table7[Id_EducationField])</f>
        <v>EF001</v>
      </c>
      <c r="M1149" t="s">
        <v>40</v>
      </c>
      <c r="N1149" t="str">
        <f>_xlfn.XLOOKUP(Table1[[#This Row],[EmployeeNumber]],Table4[EmployeeNumber],Table4[Id_Employee])</f>
        <v>EMP01148</v>
      </c>
      <c r="O1149">
        <v>1617</v>
      </c>
      <c r="P1149" t="str">
        <f>_xlfn.XLOOKUP(Table1[[#This Row],[EnvironmentSatisfaction]],Table9[EnvironmentSatisfaction],Table9[Id_EnviromentSatisfaction])</f>
        <v>ES003</v>
      </c>
      <c r="Q1149">
        <v>3</v>
      </c>
      <c r="R1149" t="str">
        <f>_xlfn.XLOOKUP(Table1[[#This Row],[EnvironmentSatisfaction]],Table9[EnvironmentSatisfaction],Table9[Deskripsi])</f>
        <v>High</v>
      </c>
      <c r="S1149" t="str">
        <f>_xlfn.XLOOKUP(Table1[[#This Row],[Gender]],Table10[Gender],Table10[Id_Gender])</f>
        <v>G001</v>
      </c>
      <c r="T1149" t="s">
        <v>45</v>
      </c>
      <c r="U1149">
        <v>84</v>
      </c>
      <c r="V1149" t="str">
        <f>_xlfn.XLOOKUP(Table1[[#This Row],[JobInvolvement]],Table11[JobInvolvement],Table11[Id_JobInvolvement])</f>
        <v>JI003</v>
      </c>
      <c r="W1149">
        <v>3</v>
      </c>
      <c r="X1149" t="str">
        <f>_xlfn.XLOOKUP(Table1[[#This Row],[JobLevel]],Table12[JobLevel],Table12[Id_JobLevel])</f>
        <v>JL001</v>
      </c>
      <c r="Y1149">
        <v>1</v>
      </c>
      <c r="Z1149" t="str">
        <f>_xlfn.XLOOKUP(Table1[[#This Row],[JobRole]],Table13[JobRole],Table13[Id_JobRole])</f>
        <v>JR003</v>
      </c>
      <c r="AA1149" t="s">
        <v>49</v>
      </c>
      <c r="AB1149" t="str">
        <f>_xlfn.XLOOKUP(Table1[[#This Row],[JobSatisfaction]],Table14[JobSatisfaction],Table14[Id_JobSatisfaction])</f>
        <v>JS001</v>
      </c>
      <c r="AC1149">
        <v>1</v>
      </c>
      <c r="AD1149" t="str">
        <f>_xlfn.XLOOKUP(Table1[[#This Row],[JobSatisfaction]],Table14[JobSatisfaction],Table14[Deskripsi])</f>
        <v>Low</v>
      </c>
      <c r="AE1149" t="str">
        <f>_xlfn.XLOOKUP(Table1[[#This Row],[MaritalStatus]],Table15[MaritalStatus],Table15[Id_MaritalStatus])</f>
        <v>MS002</v>
      </c>
      <c r="AF1149" t="s">
        <v>56</v>
      </c>
      <c r="AG1149">
        <v>3211</v>
      </c>
      <c r="AH1149">
        <v>22102</v>
      </c>
      <c r="AI1149">
        <v>1</v>
      </c>
      <c r="AJ1149" t="str">
        <f>_xlfn.XLOOKUP(Table1[[#This Row],[OverTime]],Table16[OverTime],Table16[Id_OverTime])</f>
        <v>OT002</v>
      </c>
      <c r="AK1149" t="s">
        <v>33</v>
      </c>
      <c r="AL1149">
        <v>14</v>
      </c>
      <c r="AM1149" t="str">
        <f>_xlfn.XLOOKUP(Table1[[#This Row],[PerformanceRating]],Table17[PerformanceRating],Table17[Id_PerformanceRating])</f>
        <v>PR003</v>
      </c>
      <c r="AN1149">
        <v>3</v>
      </c>
      <c r="AO1149" t="str">
        <f>_xlfn.XLOOKUP(Table1[[#This Row],[PerformanceRating]],Table17[PerformanceRating],Table17[Deskripsi])</f>
        <v>Excellent</v>
      </c>
      <c r="AP1149" t="str">
        <f>_xlfn.XLOOKUP(Table1[[#This Row],[RelationshipSatisfaction]],Table18[RelationshipSatisfaction],Table18[Id_RelationshipSatisfaction])</f>
        <v>RS004</v>
      </c>
      <c r="AQ1149">
        <v>4</v>
      </c>
      <c r="AR1149" t="str">
        <f>_xlfn.XLOOKUP(Table1[[#This Row],[RelationshipSatisfaction]],Table18[RelationshipSatisfaction],Table18[Deskripsi])</f>
        <v>Very High</v>
      </c>
      <c r="AS1149" t="str">
        <f>_xlfn.XLOOKUP(Table1[[#This Row],[StockOptionLevel]],Table19[StockOptionLevel],Table19[Id_StockOptionLevel])</f>
        <v>SOL002</v>
      </c>
      <c r="AT1149">
        <v>1</v>
      </c>
      <c r="AU1149" t="str">
        <f>_xlfn.XLOOKUP(Table1[[#This Row],[StockOptionLevel]],Table19[StockOptionLevel],Table19[Deskripsi])</f>
        <v>Standard</v>
      </c>
      <c r="AV1149">
        <v>10</v>
      </c>
      <c r="AW1149">
        <v>3</v>
      </c>
      <c r="AX1149" t="str">
        <f>_xlfn.XLOOKUP(Table1[[#This Row],[WorkLifeBalance]],Table20[WorkLifeBalance],Table20[Id_WorkLifeBalance])</f>
        <v>WLB003</v>
      </c>
      <c r="AY1149">
        <v>2</v>
      </c>
      <c r="AZ1149" t="str">
        <f>_xlfn.XLOOKUP(Table1[[#This Row],[WorkLifeBalance]],Table20[WorkLifeBalance],Table20[Deskripsi])</f>
        <v>Better</v>
      </c>
      <c r="BA1149">
        <v>9</v>
      </c>
      <c r="BB1149">
        <v>6</v>
      </c>
      <c r="BC1149">
        <v>1</v>
      </c>
      <c r="BD1149">
        <v>4</v>
      </c>
    </row>
    <row r="1150" spans="1:56" x14ac:dyDescent="0.25">
      <c r="A1150">
        <v>39</v>
      </c>
      <c r="B1150" t="str">
        <f>_xlfn.XLOOKUP(Table1[[#This Row],[Attrition]],Table2[Attrition],Table2[Id_Attrition])</f>
        <v>A002</v>
      </c>
      <c r="C1150" t="s">
        <v>33</v>
      </c>
      <c r="D1150" t="str">
        <f>_xlfn.XLOOKUP(Table1[[#This Row],[BusinessTravel]],Table5[BusinessTravel],Table5[Id_BusinessTravel])</f>
        <v>BS001</v>
      </c>
      <c r="E1150" t="s">
        <v>34</v>
      </c>
      <c r="F1150">
        <v>1387</v>
      </c>
      <c r="G1150" t="str">
        <f>_xlfn.XLOOKUP(Table1[[#This Row],[Department]],Table6[Department],Table6[Id_Departement])</f>
        <v>D002</v>
      </c>
      <c r="H1150" t="s">
        <v>38</v>
      </c>
      <c r="I1150">
        <v>10</v>
      </c>
      <c r="J1150" t="str">
        <f>_xlfn.XLOOKUP(Table1[[#This Row],[Education]],Table8[Education],Table8[Id_Education])</f>
        <v>E005</v>
      </c>
      <c r="K1150">
        <v>5</v>
      </c>
      <c r="L1150" t="str">
        <f>_xlfn.XLOOKUP(Table1[[#This Row],[EducationField]],Table7[EducationField],Table7[Id_EducationField])</f>
        <v>EF003</v>
      </c>
      <c r="M1150" t="s">
        <v>42</v>
      </c>
      <c r="N1150" t="str">
        <f>_xlfn.XLOOKUP(Table1[[#This Row],[EmployeeNumber]],Table4[EmployeeNumber],Table4[Id_Employee])</f>
        <v>EMP01149</v>
      </c>
      <c r="O1150">
        <v>1618</v>
      </c>
      <c r="P1150" t="str">
        <f>_xlfn.XLOOKUP(Table1[[#This Row],[EnvironmentSatisfaction]],Table9[EnvironmentSatisfaction],Table9[Id_EnviromentSatisfaction])</f>
        <v>ES002</v>
      </c>
      <c r="Q1150">
        <v>2</v>
      </c>
      <c r="R1150" t="str">
        <f>_xlfn.XLOOKUP(Table1[[#This Row],[EnvironmentSatisfaction]],Table9[EnvironmentSatisfaction],Table9[Deskripsi])</f>
        <v>Medium</v>
      </c>
      <c r="S1150" t="str">
        <f>_xlfn.XLOOKUP(Table1[[#This Row],[Gender]],Table10[Gender],Table10[Id_Gender])</f>
        <v>G002</v>
      </c>
      <c r="T1150" t="s">
        <v>46</v>
      </c>
      <c r="U1150">
        <v>76</v>
      </c>
      <c r="V1150" t="str">
        <f>_xlfn.XLOOKUP(Table1[[#This Row],[JobInvolvement]],Table11[JobInvolvement],Table11[Id_JobInvolvement])</f>
        <v>JI003</v>
      </c>
      <c r="W1150">
        <v>3</v>
      </c>
      <c r="X1150" t="str">
        <f>_xlfn.XLOOKUP(Table1[[#This Row],[JobLevel]],Table12[JobLevel],Table12[Id_JobLevel])</f>
        <v>JL002</v>
      </c>
      <c r="Y1150">
        <v>2</v>
      </c>
      <c r="Z1150" t="str">
        <f>_xlfn.XLOOKUP(Table1[[#This Row],[JobRole]],Table13[JobRole],Table13[Id_JobRole])</f>
        <v>JR004</v>
      </c>
      <c r="AA1150" t="s">
        <v>50</v>
      </c>
      <c r="AB1150" t="str">
        <f>_xlfn.XLOOKUP(Table1[[#This Row],[JobSatisfaction]],Table14[JobSatisfaction],Table14[Id_JobSatisfaction])</f>
        <v>JS001</v>
      </c>
      <c r="AC1150">
        <v>1</v>
      </c>
      <c r="AD1150" t="str">
        <f>_xlfn.XLOOKUP(Table1[[#This Row],[JobSatisfaction]],Table14[JobSatisfaction],Table14[Deskripsi])</f>
        <v>Low</v>
      </c>
      <c r="AE1150" t="str">
        <f>_xlfn.XLOOKUP(Table1[[#This Row],[MaritalStatus]],Table15[MaritalStatus],Table15[Id_MaritalStatus])</f>
        <v>MS002</v>
      </c>
      <c r="AF1150" t="s">
        <v>56</v>
      </c>
      <c r="AG1150">
        <v>5377</v>
      </c>
      <c r="AH1150">
        <v>3835</v>
      </c>
      <c r="AI1150">
        <v>2</v>
      </c>
      <c r="AJ1150" t="str">
        <f>_xlfn.XLOOKUP(Table1[[#This Row],[OverTime]],Table16[OverTime],Table16[Id_OverTime])</f>
        <v>OT002</v>
      </c>
      <c r="AK1150" t="s">
        <v>33</v>
      </c>
      <c r="AL1150">
        <v>13</v>
      </c>
      <c r="AM1150" t="str">
        <f>_xlfn.XLOOKUP(Table1[[#This Row],[PerformanceRating]],Table17[PerformanceRating],Table17[Id_PerformanceRating])</f>
        <v>PR003</v>
      </c>
      <c r="AN1150">
        <v>3</v>
      </c>
      <c r="AO1150" t="str">
        <f>_xlfn.XLOOKUP(Table1[[#This Row],[PerformanceRating]],Table17[PerformanceRating],Table17[Deskripsi])</f>
        <v>Excellent</v>
      </c>
      <c r="AP1150" t="str">
        <f>_xlfn.XLOOKUP(Table1[[#This Row],[RelationshipSatisfaction]],Table18[RelationshipSatisfaction],Table18[Id_RelationshipSatisfaction])</f>
        <v>RS004</v>
      </c>
      <c r="AQ1150">
        <v>4</v>
      </c>
      <c r="AR1150" t="str">
        <f>_xlfn.XLOOKUP(Table1[[#This Row],[RelationshipSatisfaction]],Table18[RelationshipSatisfaction],Table18[Deskripsi])</f>
        <v>Very High</v>
      </c>
      <c r="AS1150" t="str">
        <f>_xlfn.XLOOKUP(Table1[[#This Row],[StockOptionLevel]],Table19[StockOptionLevel],Table19[Id_StockOptionLevel])</f>
        <v>SOL004</v>
      </c>
      <c r="AT1150">
        <v>3</v>
      </c>
      <c r="AU1150" t="str">
        <f>_xlfn.XLOOKUP(Table1[[#This Row],[StockOptionLevel]],Table19[StockOptionLevel],Table19[Deskripsi])</f>
        <v>Senior/Executive</v>
      </c>
      <c r="AV1150">
        <v>10</v>
      </c>
      <c r="AW1150">
        <v>3</v>
      </c>
      <c r="AX1150" t="str">
        <f>_xlfn.XLOOKUP(Table1[[#This Row],[WorkLifeBalance]],Table20[WorkLifeBalance],Table20[Id_WorkLifeBalance])</f>
        <v>WLB002</v>
      </c>
      <c r="AY1150">
        <v>3</v>
      </c>
      <c r="AZ1150" t="str">
        <f>_xlfn.XLOOKUP(Table1[[#This Row],[WorkLifeBalance]],Table20[WorkLifeBalance],Table20[Deskripsi])</f>
        <v>Good</v>
      </c>
      <c r="BA1150">
        <v>7</v>
      </c>
      <c r="BB1150">
        <v>7</v>
      </c>
      <c r="BC1150">
        <v>7</v>
      </c>
      <c r="BD1150">
        <v>7</v>
      </c>
    </row>
    <row r="1151" spans="1:56" x14ac:dyDescent="0.25">
      <c r="A1151">
        <v>27</v>
      </c>
      <c r="B1151" t="str">
        <f>_xlfn.XLOOKUP(Table1[[#This Row],[Attrition]],Table2[Attrition],Table2[Id_Attrition])</f>
        <v>A002</v>
      </c>
      <c r="C1151" t="s">
        <v>33</v>
      </c>
      <c r="D1151" t="str">
        <f>_xlfn.XLOOKUP(Table1[[#This Row],[BusinessTravel]],Table5[BusinessTravel],Table5[Id_BusinessTravel])</f>
        <v>BS001</v>
      </c>
      <c r="E1151" t="s">
        <v>34</v>
      </c>
      <c r="F1151">
        <v>1302</v>
      </c>
      <c r="G1151" t="str">
        <f>_xlfn.XLOOKUP(Table1[[#This Row],[Department]],Table6[Department],Table6[Id_Departement])</f>
        <v>D002</v>
      </c>
      <c r="H1151" t="s">
        <v>38</v>
      </c>
      <c r="I1151">
        <v>19</v>
      </c>
      <c r="J1151" t="str">
        <f>_xlfn.XLOOKUP(Table1[[#This Row],[Education]],Table8[Education],Table8[Id_Education])</f>
        <v>E003</v>
      </c>
      <c r="K1151">
        <v>3</v>
      </c>
      <c r="L1151" t="str">
        <f>_xlfn.XLOOKUP(Table1[[#This Row],[EducationField]],Table7[EducationField],Table7[Id_EducationField])</f>
        <v>EF002</v>
      </c>
      <c r="M1151" t="s">
        <v>41</v>
      </c>
      <c r="N1151" t="str">
        <f>_xlfn.XLOOKUP(Table1[[#This Row],[EmployeeNumber]],Table4[EmployeeNumber],Table4[Id_Employee])</f>
        <v>EMP01150</v>
      </c>
      <c r="O1151">
        <v>1619</v>
      </c>
      <c r="P1151" t="str">
        <f>_xlfn.XLOOKUP(Table1[[#This Row],[EnvironmentSatisfaction]],Table9[EnvironmentSatisfaction],Table9[Id_EnviromentSatisfaction])</f>
        <v>ES004</v>
      </c>
      <c r="Q1151">
        <v>4</v>
      </c>
      <c r="R1151" t="str">
        <f>_xlfn.XLOOKUP(Table1[[#This Row],[EnvironmentSatisfaction]],Table9[EnvironmentSatisfaction],Table9[Deskripsi])</f>
        <v>Very High</v>
      </c>
      <c r="S1151" t="str">
        <f>_xlfn.XLOOKUP(Table1[[#This Row],[Gender]],Table10[Gender],Table10[Id_Gender])</f>
        <v>G002</v>
      </c>
      <c r="T1151" t="s">
        <v>46</v>
      </c>
      <c r="U1151">
        <v>67</v>
      </c>
      <c r="V1151" t="str">
        <f>_xlfn.XLOOKUP(Table1[[#This Row],[JobInvolvement]],Table11[JobInvolvement],Table11[Id_JobInvolvement])</f>
        <v>JI002</v>
      </c>
      <c r="W1151">
        <v>2</v>
      </c>
      <c r="X1151" t="str">
        <f>_xlfn.XLOOKUP(Table1[[#This Row],[JobLevel]],Table12[JobLevel],Table12[Id_JobLevel])</f>
        <v>JL001</v>
      </c>
      <c r="Y1151">
        <v>1</v>
      </c>
      <c r="Z1151" t="str">
        <f>_xlfn.XLOOKUP(Table1[[#This Row],[JobRole]],Table13[JobRole],Table13[Id_JobRole])</f>
        <v>JR003</v>
      </c>
      <c r="AA1151" t="s">
        <v>49</v>
      </c>
      <c r="AB1151" t="str">
        <f>_xlfn.XLOOKUP(Table1[[#This Row],[JobSatisfaction]],Table14[JobSatisfaction],Table14[Id_JobSatisfaction])</f>
        <v>JS001</v>
      </c>
      <c r="AC1151">
        <v>1</v>
      </c>
      <c r="AD1151" t="str">
        <f>_xlfn.XLOOKUP(Table1[[#This Row],[JobSatisfaction]],Table14[JobSatisfaction],Table14[Deskripsi])</f>
        <v>Low</v>
      </c>
      <c r="AE1151" t="str">
        <f>_xlfn.XLOOKUP(Table1[[#This Row],[MaritalStatus]],Table15[MaritalStatus],Table15[Id_MaritalStatus])</f>
        <v>MS003</v>
      </c>
      <c r="AF1151" t="s">
        <v>57</v>
      </c>
      <c r="AG1151">
        <v>4066</v>
      </c>
      <c r="AH1151">
        <v>16290</v>
      </c>
      <c r="AI1151">
        <v>1</v>
      </c>
      <c r="AJ1151" t="str">
        <f>_xlfn.XLOOKUP(Table1[[#This Row],[OverTime]],Table16[OverTime],Table16[Id_OverTime])</f>
        <v>OT002</v>
      </c>
      <c r="AK1151" t="s">
        <v>33</v>
      </c>
      <c r="AL1151">
        <v>11</v>
      </c>
      <c r="AM1151" t="str">
        <f>_xlfn.XLOOKUP(Table1[[#This Row],[PerformanceRating]],Table17[PerformanceRating],Table17[Id_PerformanceRating])</f>
        <v>PR003</v>
      </c>
      <c r="AN1151">
        <v>3</v>
      </c>
      <c r="AO1151" t="str">
        <f>_xlfn.XLOOKUP(Table1[[#This Row],[PerformanceRating]],Table17[PerformanceRating],Table17[Deskripsi])</f>
        <v>Excellent</v>
      </c>
      <c r="AP1151" t="str">
        <f>_xlfn.XLOOKUP(Table1[[#This Row],[RelationshipSatisfaction]],Table18[RelationshipSatisfaction],Table18[Id_RelationshipSatisfaction])</f>
        <v>RS001</v>
      </c>
      <c r="AQ1151">
        <v>1</v>
      </c>
      <c r="AR1151" t="str">
        <f>_xlfn.XLOOKUP(Table1[[#This Row],[RelationshipSatisfaction]],Table18[RelationshipSatisfaction],Table18[Deskripsi])</f>
        <v>Low</v>
      </c>
      <c r="AS1151" t="str">
        <f>_xlfn.XLOOKUP(Table1[[#This Row],[StockOptionLevel]],Table19[StockOptionLevel],Table19[Id_StockOptionLevel])</f>
        <v>SOL003</v>
      </c>
      <c r="AT1151">
        <v>2</v>
      </c>
      <c r="AU1151" t="str">
        <f>_xlfn.XLOOKUP(Table1[[#This Row],[StockOptionLevel]],Table19[StockOptionLevel],Table19[Deskripsi])</f>
        <v>Intermediate</v>
      </c>
      <c r="AV1151">
        <v>7</v>
      </c>
      <c r="AW1151">
        <v>3</v>
      </c>
      <c r="AX1151" t="str">
        <f>_xlfn.XLOOKUP(Table1[[#This Row],[WorkLifeBalance]],Table20[WorkLifeBalance],Table20[Id_WorkLifeBalance])</f>
        <v>WLB002</v>
      </c>
      <c r="AY1151">
        <v>3</v>
      </c>
      <c r="AZ1151" t="str">
        <f>_xlfn.XLOOKUP(Table1[[#This Row],[WorkLifeBalance]],Table20[WorkLifeBalance],Table20[Deskripsi])</f>
        <v>Good</v>
      </c>
      <c r="BA1151">
        <v>7</v>
      </c>
      <c r="BB1151">
        <v>7</v>
      </c>
      <c r="BC1151">
        <v>0</v>
      </c>
      <c r="BD1151">
        <v>7</v>
      </c>
    </row>
    <row r="1152" spans="1:56" x14ac:dyDescent="0.25">
      <c r="A1152">
        <v>35</v>
      </c>
      <c r="B1152" t="str">
        <f>_xlfn.XLOOKUP(Table1[[#This Row],[Attrition]],Table2[Attrition],Table2[Id_Attrition])</f>
        <v>A002</v>
      </c>
      <c r="C1152" t="s">
        <v>33</v>
      </c>
      <c r="D1152" t="str">
        <f>_xlfn.XLOOKUP(Table1[[#This Row],[BusinessTravel]],Table5[BusinessTravel],Table5[Id_BusinessTravel])</f>
        <v>BS001</v>
      </c>
      <c r="E1152" t="s">
        <v>34</v>
      </c>
      <c r="F1152">
        <v>819</v>
      </c>
      <c r="G1152" t="str">
        <f>_xlfn.XLOOKUP(Table1[[#This Row],[Department]],Table6[Department],Table6[Id_Departement])</f>
        <v>D002</v>
      </c>
      <c r="H1152" t="s">
        <v>38</v>
      </c>
      <c r="I1152">
        <v>18</v>
      </c>
      <c r="J1152" t="str">
        <f>_xlfn.XLOOKUP(Table1[[#This Row],[Education]],Table8[Education],Table8[Id_Education])</f>
        <v>E005</v>
      </c>
      <c r="K1152">
        <v>5</v>
      </c>
      <c r="L1152" t="str">
        <f>_xlfn.XLOOKUP(Table1[[#This Row],[EducationField]],Table7[EducationField],Table7[Id_EducationField])</f>
        <v>EF001</v>
      </c>
      <c r="M1152" t="s">
        <v>40</v>
      </c>
      <c r="N1152" t="str">
        <f>_xlfn.XLOOKUP(Table1[[#This Row],[EmployeeNumber]],Table4[EmployeeNumber],Table4[Id_Employee])</f>
        <v>EMP01151</v>
      </c>
      <c r="O1152">
        <v>1621</v>
      </c>
      <c r="P1152" t="str">
        <f>_xlfn.XLOOKUP(Table1[[#This Row],[EnvironmentSatisfaction]],Table9[EnvironmentSatisfaction],Table9[Id_EnviromentSatisfaction])</f>
        <v>ES002</v>
      </c>
      <c r="Q1152">
        <v>2</v>
      </c>
      <c r="R1152" t="str">
        <f>_xlfn.XLOOKUP(Table1[[#This Row],[EnvironmentSatisfaction]],Table9[EnvironmentSatisfaction],Table9[Deskripsi])</f>
        <v>Medium</v>
      </c>
      <c r="S1152" t="str">
        <f>_xlfn.XLOOKUP(Table1[[#This Row],[Gender]],Table10[Gender],Table10[Id_Gender])</f>
        <v>G002</v>
      </c>
      <c r="T1152" t="s">
        <v>46</v>
      </c>
      <c r="U1152">
        <v>48</v>
      </c>
      <c r="V1152" t="str">
        <f>_xlfn.XLOOKUP(Table1[[#This Row],[JobInvolvement]],Table11[JobInvolvement],Table11[Id_JobInvolvement])</f>
        <v>JI004</v>
      </c>
      <c r="W1152">
        <v>4</v>
      </c>
      <c r="X1152" t="str">
        <f>_xlfn.XLOOKUP(Table1[[#This Row],[JobLevel]],Table12[JobLevel],Table12[Id_JobLevel])</f>
        <v>JL002</v>
      </c>
      <c r="Y1152">
        <v>2</v>
      </c>
      <c r="Z1152" t="str">
        <f>_xlfn.XLOOKUP(Table1[[#This Row],[JobRole]],Table13[JobRole],Table13[Id_JobRole])</f>
        <v>JR002</v>
      </c>
      <c r="AA1152" t="s">
        <v>48</v>
      </c>
      <c r="AB1152" t="str">
        <f>_xlfn.XLOOKUP(Table1[[#This Row],[JobSatisfaction]],Table14[JobSatisfaction],Table14[Id_JobSatisfaction])</f>
        <v>JS001</v>
      </c>
      <c r="AC1152">
        <v>1</v>
      </c>
      <c r="AD1152" t="str">
        <f>_xlfn.XLOOKUP(Table1[[#This Row],[JobSatisfaction]],Table14[JobSatisfaction],Table14[Deskripsi])</f>
        <v>Low</v>
      </c>
      <c r="AE1152" t="str">
        <f>_xlfn.XLOOKUP(Table1[[#This Row],[MaritalStatus]],Table15[MaritalStatus],Table15[Id_MaritalStatus])</f>
        <v>MS002</v>
      </c>
      <c r="AF1152" t="s">
        <v>56</v>
      </c>
      <c r="AG1152">
        <v>5208</v>
      </c>
      <c r="AH1152">
        <v>26312</v>
      </c>
      <c r="AI1152">
        <v>1</v>
      </c>
      <c r="AJ1152" t="str">
        <f>_xlfn.XLOOKUP(Table1[[#This Row],[OverTime]],Table16[OverTime],Table16[Id_OverTime])</f>
        <v>OT002</v>
      </c>
      <c r="AK1152" t="s">
        <v>33</v>
      </c>
      <c r="AL1152">
        <v>11</v>
      </c>
      <c r="AM1152" t="str">
        <f>_xlfn.XLOOKUP(Table1[[#This Row],[PerformanceRating]],Table17[PerformanceRating],Table17[Id_PerformanceRating])</f>
        <v>PR003</v>
      </c>
      <c r="AN1152">
        <v>3</v>
      </c>
      <c r="AO1152" t="str">
        <f>_xlfn.XLOOKUP(Table1[[#This Row],[PerformanceRating]],Table17[PerformanceRating],Table17[Deskripsi])</f>
        <v>Excellent</v>
      </c>
      <c r="AP1152" t="str">
        <f>_xlfn.XLOOKUP(Table1[[#This Row],[RelationshipSatisfaction]],Table18[RelationshipSatisfaction],Table18[Id_RelationshipSatisfaction])</f>
        <v>RS004</v>
      </c>
      <c r="AQ1152">
        <v>4</v>
      </c>
      <c r="AR1152" t="str">
        <f>_xlfn.XLOOKUP(Table1[[#This Row],[RelationshipSatisfaction]],Table18[RelationshipSatisfaction],Table18[Deskripsi])</f>
        <v>Very High</v>
      </c>
      <c r="AS1152" t="str">
        <f>_xlfn.XLOOKUP(Table1[[#This Row],[StockOptionLevel]],Table19[StockOptionLevel],Table19[Id_StockOptionLevel])</f>
        <v>SOL001</v>
      </c>
      <c r="AT1152">
        <v>0</v>
      </c>
      <c r="AU1152" t="str">
        <f>_xlfn.XLOOKUP(Table1[[#This Row],[StockOptionLevel]],Table19[StockOptionLevel],Table19[Deskripsi])</f>
        <v>Non-Eligible</v>
      </c>
      <c r="AV1152">
        <v>16</v>
      </c>
      <c r="AW1152">
        <v>2</v>
      </c>
      <c r="AX1152" t="str">
        <f>_xlfn.XLOOKUP(Table1[[#This Row],[WorkLifeBalance]],Table20[WorkLifeBalance],Table20[Id_WorkLifeBalance])</f>
        <v>WLB002</v>
      </c>
      <c r="AY1152">
        <v>3</v>
      </c>
      <c r="AZ1152" t="str">
        <f>_xlfn.XLOOKUP(Table1[[#This Row],[WorkLifeBalance]],Table20[WorkLifeBalance],Table20[Deskripsi])</f>
        <v>Good</v>
      </c>
      <c r="BA1152">
        <v>16</v>
      </c>
      <c r="BB1152">
        <v>15</v>
      </c>
      <c r="BC1152">
        <v>1</v>
      </c>
      <c r="BD1152">
        <v>10</v>
      </c>
    </row>
    <row r="1153" spans="1:56" x14ac:dyDescent="0.25">
      <c r="A1153">
        <v>28</v>
      </c>
      <c r="B1153" t="str">
        <f>_xlfn.XLOOKUP(Table1[[#This Row],[Attrition]],Table2[Attrition],Table2[Id_Attrition])</f>
        <v>A002</v>
      </c>
      <c r="C1153" t="s">
        <v>33</v>
      </c>
      <c r="D1153" t="str">
        <f>_xlfn.XLOOKUP(Table1[[#This Row],[BusinessTravel]],Table5[BusinessTravel],Table5[Id_BusinessTravel])</f>
        <v>BS001</v>
      </c>
      <c r="E1153" t="s">
        <v>34</v>
      </c>
      <c r="F1153">
        <v>580</v>
      </c>
      <c r="G1153" t="str">
        <f>_xlfn.XLOOKUP(Table1[[#This Row],[Department]],Table6[Department],Table6[Id_Departement])</f>
        <v>D002</v>
      </c>
      <c r="H1153" t="s">
        <v>38</v>
      </c>
      <c r="I1153">
        <v>27</v>
      </c>
      <c r="J1153" t="str">
        <f>_xlfn.XLOOKUP(Table1[[#This Row],[Education]],Table8[Education],Table8[Id_Education])</f>
        <v>E003</v>
      </c>
      <c r="K1153">
        <v>3</v>
      </c>
      <c r="L1153" t="str">
        <f>_xlfn.XLOOKUP(Table1[[#This Row],[EducationField]],Table7[EducationField],Table7[Id_EducationField])</f>
        <v>EF003</v>
      </c>
      <c r="M1153" t="s">
        <v>42</v>
      </c>
      <c r="N1153" t="str">
        <f>_xlfn.XLOOKUP(Table1[[#This Row],[EmployeeNumber]],Table4[EmployeeNumber],Table4[Id_Employee])</f>
        <v>EMP01152</v>
      </c>
      <c r="O1153">
        <v>1622</v>
      </c>
      <c r="P1153" t="str">
        <f>_xlfn.XLOOKUP(Table1[[#This Row],[EnvironmentSatisfaction]],Table9[EnvironmentSatisfaction],Table9[Id_EnviromentSatisfaction])</f>
        <v>ES002</v>
      </c>
      <c r="Q1153">
        <v>2</v>
      </c>
      <c r="R1153" t="str">
        <f>_xlfn.XLOOKUP(Table1[[#This Row],[EnvironmentSatisfaction]],Table9[EnvironmentSatisfaction],Table9[Deskripsi])</f>
        <v>Medium</v>
      </c>
      <c r="S1153" t="str">
        <f>_xlfn.XLOOKUP(Table1[[#This Row],[Gender]],Table10[Gender],Table10[Id_Gender])</f>
        <v>G001</v>
      </c>
      <c r="T1153" t="s">
        <v>45</v>
      </c>
      <c r="U1153">
        <v>39</v>
      </c>
      <c r="V1153" t="str">
        <f>_xlfn.XLOOKUP(Table1[[#This Row],[JobInvolvement]],Table11[JobInvolvement],Table11[Id_JobInvolvement])</f>
        <v>JI001</v>
      </c>
      <c r="W1153">
        <v>1</v>
      </c>
      <c r="X1153" t="str">
        <f>_xlfn.XLOOKUP(Table1[[#This Row],[JobLevel]],Table12[JobLevel],Table12[Id_JobLevel])</f>
        <v>JL002</v>
      </c>
      <c r="Y1153">
        <v>2</v>
      </c>
      <c r="Z1153" t="str">
        <f>_xlfn.XLOOKUP(Table1[[#This Row],[JobRole]],Table13[JobRole],Table13[Id_JobRole])</f>
        <v>JR004</v>
      </c>
      <c r="AA1153" t="s">
        <v>50</v>
      </c>
      <c r="AB1153" t="str">
        <f>_xlfn.XLOOKUP(Table1[[#This Row],[JobSatisfaction]],Table14[JobSatisfaction],Table14[Id_JobSatisfaction])</f>
        <v>JS001</v>
      </c>
      <c r="AC1153">
        <v>1</v>
      </c>
      <c r="AD1153" t="str">
        <f>_xlfn.XLOOKUP(Table1[[#This Row],[JobSatisfaction]],Table14[JobSatisfaction],Table14[Deskripsi])</f>
        <v>Low</v>
      </c>
      <c r="AE1153" t="str">
        <f>_xlfn.XLOOKUP(Table1[[#This Row],[MaritalStatus]],Table15[MaritalStatus],Table15[Id_MaritalStatus])</f>
        <v>MS003</v>
      </c>
      <c r="AF1153" t="s">
        <v>57</v>
      </c>
      <c r="AG1153">
        <v>4877</v>
      </c>
      <c r="AH1153">
        <v>20460</v>
      </c>
      <c r="AI1153">
        <v>0</v>
      </c>
      <c r="AJ1153" t="str">
        <f>_xlfn.XLOOKUP(Table1[[#This Row],[OverTime]],Table16[OverTime],Table16[Id_OverTime])</f>
        <v>OT002</v>
      </c>
      <c r="AK1153" t="s">
        <v>33</v>
      </c>
      <c r="AL1153">
        <v>21</v>
      </c>
      <c r="AM1153" t="str">
        <f>_xlfn.XLOOKUP(Table1[[#This Row],[PerformanceRating]],Table17[PerformanceRating],Table17[Id_PerformanceRating])</f>
        <v>PR004</v>
      </c>
      <c r="AN1153">
        <v>4</v>
      </c>
      <c r="AO1153" t="str">
        <f>_xlfn.XLOOKUP(Table1[[#This Row],[PerformanceRating]],Table17[PerformanceRating],Table17[Deskripsi])</f>
        <v>Outstanding</v>
      </c>
      <c r="AP1153" t="str">
        <f>_xlfn.XLOOKUP(Table1[[#This Row],[RelationshipSatisfaction]],Table18[RelationshipSatisfaction],Table18[Id_RelationshipSatisfaction])</f>
        <v>RS002</v>
      </c>
      <c r="AQ1153">
        <v>2</v>
      </c>
      <c r="AR1153" t="str">
        <f>_xlfn.XLOOKUP(Table1[[#This Row],[RelationshipSatisfaction]],Table18[RelationshipSatisfaction],Table18[Deskripsi])</f>
        <v>Medium</v>
      </c>
      <c r="AS1153" t="str">
        <f>_xlfn.XLOOKUP(Table1[[#This Row],[StockOptionLevel]],Table19[StockOptionLevel],Table19[Id_StockOptionLevel])</f>
        <v>SOL002</v>
      </c>
      <c r="AT1153">
        <v>1</v>
      </c>
      <c r="AU1153" t="str">
        <f>_xlfn.XLOOKUP(Table1[[#This Row],[StockOptionLevel]],Table19[StockOptionLevel],Table19[Deskripsi])</f>
        <v>Standard</v>
      </c>
      <c r="AV1153">
        <v>6</v>
      </c>
      <c r="AW1153">
        <v>5</v>
      </c>
      <c r="AX1153" t="str">
        <f>_xlfn.XLOOKUP(Table1[[#This Row],[WorkLifeBalance]],Table20[WorkLifeBalance],Table20[Id_WorkLifeBalance])</f>
        <v>WLB003</v>
      </c>
      <c r="AY1153">
        <v>2</v>
      </c>
      <c r="AZ1153" t="str">
        <f>_xlfn.XLOOKUP(Table1[[#This Row],[WorkLifeBalance]],Table20[WorkLifeBalance],Table20[Deskripsi])</f>
        <v>Better</v>
      </c>
      <c r="BA1153">
        <v>5</v>
      </c>
      <c r="BB1153">
        <v>3</v>
      </c>
      <c r="BC1153">
        <v>0</v>
      </c>
      <c r="BD1153">
        <v>0</v>
      </c>
    </row>
    <row r="1154" spans="1:56" x14ac:dyDescent="0.25">
      <c r="A1154">
        <v>21</v>
      </c>
      <c r="B1154" t="str">
        <f>_xlfn.XLOOKUP(Table1[[#This Row],[Attrition]],Table2[Attrition],Table2[Id_Attrition])</f>
        <v>A002</v>
      </c>
      <c r="C1154" t="s">
        <v>33</v>
      </c>
      <c r="D1154" t="str">
        <f>_xlfn.XLOOKUP(Table1[[#This Row],[BusinessTravel]],Table5[BusinessTravel],Table5[Id_BusinessTravel])</f>
        <v>BS001</v>
      </c>
      <c r="E1154" t="s">
        <v>34</v>
      </c>
      <c r="F1154">
        <v>546</v>
      </c>
      <c r="G1154" t="str">
        <f>_xlfn.XLOOKUP(Table1[[#This Row],[Department]],Table6[Department],Table6[Id_Departement])</f>
        <v>D002</v>
      </c>
      <c r="H1154" t="s">
        <v>38</v>
      </c>
      <c r="I1154">
        <v>5</v>
      </c>
      <c r="J1154" t="str">
        <f>_xlfn.XLOOKUP(Table1[[#This Row],[Education]],Table8[Education],Table8[Id_Education])</f>
        <v>E001</v>
      </c>
      <c r="K1154">
        <v>1</v>
      </c>
      <c r="L1154" t="str">
        <f>_xlfn.XLOOKUP(Table1[[#This Row],[EducationField]],Table7[EducationField],Table7[Id_EducationField])</f>
        <v>EF003</v>
      </c>
      <c r="M1154" t="s">
        <v>42</v>
      </c>
      <c r="N1154" t="str">
        <f>_xlfn.XLOOKUP(Table1[[#This Row],[EmployeeNumber]],Table4[EmployeeNumber],Table4[Id_Employee])</f>
        <v>EMP01153</v>
      </c>
      <c r="O1154">
        <v>1623</v>
      </c>
      <c r="P1154" t="str">
        <f>_xlfn.XLOOKUP(Table1[[#This Row],[EnvironmentSatisfaction]],Table9[EnvironmentSatisfaction],Table9[Id_EnviromentSatisfaction])</f>
        <v>ES003</v>
      </c>
      <c r="Q1154">
        <v>3</v>
      </c>
      <c r="R1154" t="str">
        <f>_xlfn.XLOOKUP(Table1[[#This Row],[EnvironmentSatisfaction]],Table9[EnvironmentSatisfaction],Table9[Deskripsi])</f>
        <v>High</v>
      </c>
      <c r="S1154" t="str">
        <f>_xlfn.XLOOKUP(Table1[[#This Row],[Gender]],Table10[Gender],Table10[Id_Gender])</f>
        <v>G002</v>
      </c>
      <c r="T1154" t="s">
        <v>46</v>
      </c>
      <c r="U1154">
        <v>97</v>
      </c>
      <c r="V1154" t="str">
        <f>_xlfn.XLOOKUP(Table1[[#This Row],[JobInvolvement]],Table11[JobInvolvement],Table11[Id_JobInvolvement])</f>
        <v>JI003</v>
      </c>
      <c r="W1154">
        <v>3</v>
      </c>
      <c r="X1154" t="str">
        <f>_xlfn.XLOOKUP(Table1[[#This Row],[JobLevel]],Table12[JobLevel],Table12[Id_JobLevel])</f>
        <v>JL001</v>
      </c>
      <c r="Y1154">
        <v>1</v>
      </c>
      <c r="Z1154" t="str">
        <f>_xlfn.XLOOKUP(Table1[[#This Row],[JobRole]],Table13[JobRole],Table13[Id_JobRole])</f>
        <v>JR002</v>
      </c>
      <c r="AA1154" t="s">
        <v>48</v>
      </c>
      <c r="AB1154" t="str">
        <f>_xlfn.XLOOKUP(Table1[[#This Row],[JobSatisfaction]],Table14[JobSatisfaction],Table14[Id_JobSatisfaction])</f>
        <v>JS004</v>
      </c>
      <c r="AC1154">
        <v>4</v>
      </c>
      <c r="AD1154" t="str">
        <f>_xlfn.XLOOKUP(Table1[[#This Row],[JobSatisfaction]],Table14[JobSatisfaction],Table14[Deskripsi])</f>
        <v>Very High</v>
      </c>
      <c r="AE1154" t="str">
        <f>_xlfn.XLOOKUP(Table1[[#This Row],[MaritalStatus]],Table15[MaritalStatus],Table15[Id_MaritalStatus])</f>
        <v>MS001</v>
      </c>
      <c r="AF1154" t="s">
        <v>55</v>
      </c>
      <c r="AG1154">
        <v>3117</v>
      </c>
      <c r="AH1154">
        <v>26009</v>
      </c>
      <c r="AI1154">
        <v>1</v>
      </c>
      <c r="AJ1154" t="str">
        <f>_xlfn.XLOOKUP(Table1[[#This Row],[OverTime]],Table16[OverTime],Table16[Id_OverTime])</f>
        <v>OT002</v>
      </c>
      <c r="AK1154" t="s">
        <v>33</v>
      </c>
      <c r="AL1154">
        <v>18</v>
      </c>
      <c r="AM1154" t="str">
        <f>_xlfn.XLOOKUP(Table1[[#This Row],[PerformanceRating]],Table17[PerformanceRating],Table17[Id_PerformanceRating])</f>
        <v>PR003</v>
      </c>
      <c r="AN1154">
        <v>3</v>
      </c>
      <c r="AO1154" t="str">
        <f>_xlfn.XLOOKUP(Table1[[#This Row],[PerformanceRating]],Table17[PerformanceRating],Table17[Deskripsi])</f>
        <v>Excellent</v>
      </c>
      <c r="AP1154" t="str">
        <f>_xlfn.XLOOKUP(Table1[[#This Row],[RelationshipSatisfaction]],Table18[RelationshipSatisfaction],Table18[Id_RelationshipSatisfaction])</f>
        <v>RS003</v>
      </c>
      <c r="AQ1154">
        <v>3</v>
      </c>
      <c r="AR1154" t="str">
        <f>_xlfn.XLOOKUP(Table1[[#This Row],[RelationshipSatisfaction]],Table18[RelationshipSatisfaction],Table18[Deskripsi])</f>
        <v>High</v>
      </c>
      <c r="AS1154" t="str">
        <f>_xlfn.XLOOKUP(Table1[[#This Row],[StockOptionLevel]],Table19[StockOptionLevel],Table19[Id_StockOptionLevel])</f>
        <v>SOL001</v>
      </c>
      <c r="AT1154">
        <v>0</v>
      </c>
      <c r="AU1154" t="str">
        <f>_xlfn.XLOOKUP(Table1[[#This Row],[StockOptionLevel]],Table19[StockOptionLevel],Table19[Deskripsi])</f>
        <v>Non-Eligible</v>
      </c>
      <c r="AV1154">
        <v>3</v>
      </c>
      <c r="AW1154">
        <v>2</v>
      </c>
      <c r="AX1154" t="str">
        <f>_xlfn.XLOOKUP(Table1[[#This Row],[WorkLifeBalance]],Table20[WorkLifeBalance],Table20[Id_WorkLifeBalance])</f>
        <v>WLB002</v>
      </c>
      <c r="AY1154">
        <v>3</v>
      </c>
      <c r="AZ1154" t="str">
        <f>_xlfn.XLOOKUP(Table1[[#This Row],[WorkLifeBalance]],Table20[WorkLifeBalance],Table20[Deskripsi])</f>
        <v>Good</v>
      </c>
      <c r="BA1154">
        <v>2</v>
      </c>
      <c r="BB1154">
        <v>2</v>
      </c>
      <c r="BC1154">
        <v>2</v>
      </c>
      <c r="BD1154">
        <v>2</v>
      </c>
    </row>
    <row r="1155" spans="1:56" x14ac:dyDescent="0.25">
      <c r="A1155">
        <v>18</v>
      </c>
      <c r="B1155" t="str">
        <f>_xlfn.XLOOKUP(Table1[[#This Row],[Attrition]],Table2[Attrition],Table2[Id_Attrition])</f>
        <v>A001</v>
      </c>
      <c r="C1155" t="s">
        <v>32</v>
      </c>
      <c r="D1155" t="str">
        <f>_xlfn.XLOOKUP(Table1[[#This Row],[BusinessTravel]],Table5[BusinessTravel],Table5[Id_BusinessTravel])</f>
        <v>BS002</v>
      </c>
      <c r="E1155" t="s">
        <v>35</v>
      </c>
      <c r="F1155">
        <v>544</v>
      </c>
      <c r="G1155" t="str">
        <f>_xlfn.XLOOKUP(Table1[[#This Row],[Department]],Table6[Department],Table6[Id_Departement])</f>
        <v>D001</v>
      </c>
      <c r="H1155" t="s">
        <v>37</v>
      </c>
      <c r="I1155">
        <v>3</v>
      </c>
      <c r="J1155" t="str">
        <f>_xlfn.XLOOKUP(Table1[[#This Row],[Education]],Table8[Education],Table8[Id_Education])</f>
        <v>E002</v>
      </c>
      <c r="K1155">
        <v>2</v>
      </c>
      <c r="L1155" t="str">
        <f>_xlfn.XLOOKUP(Table1[[#This Row],[EducationField]],Table7[EducationField],Table7[Id_EducationField])</f>
        <v>EF003</v>
      </c>
      <c r="M1155" t="s">
        <v>42</v>
      </c>
      <c r="N1155" t="str">
        <f>_xlfn.XLOOKUP(Table1[[#This Row],[EmployeeNumber]],Table4[EmployeeNumber],Table4[Id_Employee])</f>
        <v>EMP01154</v>
      </c>
      <c r="O1155">
        <v>1624</v>
      </c>
      <c r="P1155" t="str">
        <f>_xlfn.XLOOKUP(Table1[[#This Row],[EnvironmentSatisfaction]],Table9[EnvironmentSatisfaction],Table9[Id_EnviromentSatisfaction])</f>
        <v>ES002</v>
      </c>
      <c r="Q1155">
        <v>2</v>
      </c>
      <c r="R1155" t="str">
        <f>_xlfn.XLOOKUP(Table1[[#This Row],[EnvironmentSatisfaction]],Table9[EnvironmentSatisfaction],Table9[Deskripsi])</f>
        <v>Medium</v>
      </c>
      <c r="S1155" t="str">
        <f>_xlfn.XLOOKUP(Table1[[#This Row],[Gender]],Table10[Gender],Table10[Id_Gender])</f>
        <v>G001</v>
      </c>
      <c r="T1155" t="s">
        <v>45</v>
      </c>
      <c r="U1155">
        <v>70</v>
      </c>
      <c r="V1155" t="str">
        <f>_xlfn.XLOOKUP(Table1[[#This Row],[JobInvolvement]],Table11[JobInvolvement],Table11[Id_JobInvolvement])</f>
        <v>JI003</v>
      </c>
      <c r="W1155">
        <v>3</v>
      </c>
      <c r="X1155" t="str">
        <f>_xlfn.XLOOKUP(Table1[[#This Row],[JobLevel]],Table12[JobLevel],Table12[Id_JobLevel])</f>
        <v>JL001</v>
      </c>
      <c r="Y1155">
        <v>1</v>
      </c>
      <c r="Z1155" t="str">
        <f>_xlfn.XLOOKUP(Table1[[#This Row],[JobRole]],Table13[JobRole],Table13[Id_JobRole])</f>
        <v>JR007</v>
      </c>
      <c r="AA1155" t="s">
        <v>53</v>
      </c>
      <c r="AB1155" t="str">
        <f>_xlfn.XLOOKUP(Table1[[#This Row],[JobSatisfaction]],Table14[JobSatisfaction],Table14[Id_JobSatisfaction])</f>
        <v>JS004</v>
      </c>
      <c r="AC1155">
        <v>4</v>
      </c>
      <c r="AD1155" t="str">
        <f>_xlfn.XLOOKUP(Table1[[#This Row],[JobSatisfaction]],Table14[JobSatisfaction],Table14[Deskripsi])</f>
        <v>Very High</v>
      </c>
      <c r="AE1155" t="str">
        <f>_xlfn.XLOOKUP(Table1[[#This Row],[MaritalStatus]],Table15[MaritalStatus],Table15[Id_MaritalStatus])</f>
        <v>MS001</v>
      </c>
      <c r="AF1155" t="s">
        <v>55</v>
      </c>
      <c r="AG1155">
        <v>1569</v>
      </c>
      <c r="AH1155">
        <v>18420</v>
      </c>
      <c r="AI1155">
        <v>1</v>
      </c>
      <c r="AJ1155" t="str">
        <f>_xlfn.XLOOKUP(Table1[[#This Row],[OverTime]],Table16[OverTime],Table16[Id_OverTime])</f>
        <v>OT001</v>
      </c>
      <c r="AK1155" t="s">
        <v>32</v>
      </c>
      <c r="AL1155">
        <v>12</v>
      </c>
      <c r="AM1155" t="str">
        <f>_xlfn.XLOOKUP(Table1[[#This Row],[PerformanceRating]],Table17[PerformanceRating],Table17[Id_PerformanceRating])</f>
        <v>PR003</v>
      </c>
      <c r="AN1155">
        <v>3</v>
      </c>
      <c r="AO1155" t="str">
        <f>_xlfn.XLOOKUP(Table1[[#This Row],[PerformanceRating]],Table17[PerformanceRating],Table17[Deskripsi])</f>
        <v>Excellent</v>
      </c>
      <c r="AP1155" t="str">
        <f>_xlfn.XLOOKUP(Table1[[#This Row],[RelationshipSatisfaction]],Table18[RelationshipSatisfaction],Table18[Id_RelationshipSatisfaction])</f>
        <v>RS003</v>
      </c>
      <c r="AQ1155">
        <v>3</v>
      </c>
      <c r="AR1155" t="str">
        <f>_xlfn.XLOOKUP(Table1[[#This Row],[RelationshipSatisfaction]],Table18[RelationshipSatisfaction],Table18[Deskripsi])</f>
        <v>High</v>
      </c>
      <c r="AS1155" t="str">
        <f>_xlfn.XLOOKUP(Table1[[#This Row],[StockOptionLevel]],Table19[StockOptionLevel],Table19[Id_StockOptionLevel])</f>
        <v>SOL001</v>
      </c>
      <c r="AT1155">
        <v>0</v>
      </c>
      <c r="AU1155" t="str">
        <f>_xlfn.XLOOKUP(Table1[[#This Row],[StockOptionLevel]],Table19[StockOptionLevel],Table19[Deskripsi])</f>
        <v>Non-Eligible</v>
      </c>
      <c r="AV1155">
        <v>0</v>
      </c>
      <c r="AW1155">
        <v>2</v>
      </c>
      <c r="AX1155" t="str">
        <f>_xlfn.XLOOKUP(Table1[[#This Row],[WorkLifeBalance]],Table20[WorkLifeBalance],Table20[Id_WorkLifeBalance])</f>
        <v>WLB004</v>
      </c>
      <c r="AY1155">
        <v>4</v>
      </c>
      <c r="AZ1155" t="str">
        <f>_xlfn.XLOOKUP(Table1[[#This Row],[WorkLifeBalance]],Table20[WorkLifeBalance],Table20[Deskripsi])</f>
        <v>Best</v>
      </c>
      <c r="BA1155">
        <v>0</v>
      </c>
      <c r="BB1155">
        <v>0</v>
      </c>
      <c r="BC1155">
        <v>0</v>
      </c>
      <c r="BD1155">
        <v>0</v>
      </c>
    </row>
    <row r="1156" spans="1:56" x14ac:dyDescent="0.25">
      <c r="A1156">
        <v>47</v>
      </c>
      <c r="B1156" t="str">
        <f>_xlfn.XLOOKUP(Table1[[#This Row],[Attrition]],Table2[Attrition],Table2[Id_Attrition])</f>
        <v>A002</v>
      </c>
      <c r="C1156" t="s">
        <v>33</v>
      </c>
      <c r="D1156" t="str">
        <f>_xlfn.XLOOKUP(Table1[[#This Row],[BusinessTravel]],Table5[BusinessTravel],Table5[Id_BusinessTravel])</f>
        <v>BS001</v>
      </c>
      <c r="E1156" t="s">
        <v>34</v>
      </c>
      <c r="F1156">
        <v>1176</v>
      </c>
      <c r="G1156" t="str">
        <f>_xlfn.XLOOKUP(Table1[[#This Row],[Department]],Table6[Department],Table6[Id_Departement])</f>
        <v>D003</v>
      </c>
      <c r="H1156" t="s">
        <v>39</v>
      </c>
      <c r="I1156">
        <v>26</v>
      </c>
      <c r="J1156" t="str">
        <f>_xlfn.XLOOKUP(Table1[[#This Row],[Education]],Table8[Education],Table8[Id_Education])</f>
        <v>E004</v>
      </c>
      <c r="K1156">
        <v>4</v>
      </c>
      <c r="L1156" t="str">
        <f>_xlfn.XLOOKUP(Table1[[#This Row],[EducationField]],Table7[EducationField],Table7[Id_EducationField])</f>
        <v>EF001</v>
      </c>
      <c r="M1156" t="s">
        <v>40</v>
      </c>
      <c r="N1156" t="str">
        <f>_xlfn.XLOOKUP(Table1[[#This Row],[EmployeeNumber]],Table4[EmployeeNumber],Table4[Id_Employee])</f>
        <v>EMP01155</v>
      </c>
      <c r="O1156">
        <v>1625</v>
      </c>
      <c r="P1156" t="str">
        <f>_xlfn.XLOOKUP(Table1[[#This Row],[EnvironmentSatisfaction]],Table9[EnvironmentSatisfaction],Table9[Id_EnviromentSatisfaction])</f>
        <v>ES004</v>
      </c>
      <c r="Q1156">
        <v>4</v>
      </c>
      <c r="R1156" t="str">
        <f>_xlfn.XLOOKUP(Table1[[#This Row],[EnvironmentSatisfaction]],Table9[EnvironmentSatisfaction],Table9[Deskripsi])</f>
        <v>Very High</v>
      </c>
      <c r="S1156" t="str">
        <f>_xlfn.XLOOKUP(Table1[[#This Row],[Gender]],Table10[Gender],Table10[Id_Gender])</f>
        <v>G001</v>
      </c>
      <c r="T1156" t="s">
        <v>45</v>
      </c>
      <c r="U1156">
        <v>98</v>
      </c>
      <c r="V1156" t="str">
        <f>_xlfn.XLOOKUP(Table1[[#This Row],[JobInvolvement]],Table11[JobInvolvement],Table11[Id_JobInvolvement])</f>
        <v>JI003</v>
      </c>
      <c r="W1156">
        <v>3</v>
      </c>
      <c r="X1156" t="str">
        <f>_xlfn.XLOOKUP(Table1[[#This Row],[JobLevel]],Table12[JobLevel],Table12[Id_JobLevel])</f>
        <v>JL005</v>
      </c>
      <c r="Y1156">
        <v>5</v>
      </c>
      <c r="Z1156" t="str">
        <f>_xlfn.XLOOKUP(Table1[[#This Row],[JobRole]],Table13[JobRole],Table13[Id_JobRole])</f>
        <v>JR006</v>
      </c>
      <c r="AA1156" t="s">
        <v>52</v>
      </c>
      <c r="AB1156" t="str">
        <f>_xlfn.XLOOKUP(Table1[[#This Row],[JobSatisfaction]],Table14[JobSatisfaction],Table14[Id_JobSatisfaction])</f>
        <v>JS003</v>
      </c>
      <c r="AC1156">
        <v>3</v>
      </c>
      <c r="AD1156" t="str">
        <f>_xlfn.XLOOKUP(Table1[[#This Row],[JobSatisfaction]],Table14[JobSatisfaction],Table14[Deskripsi])</f>
        <v>High</v>
      </c>
      <c r="AE1156" t="str">
        <f>_xlfn.XLOOKUP(Table1[[#This Row],[MaritalStatus]],Table15[MaritalStatus],Table15[Id_MaritalStatus])</f>
        <v>MS002</v>
      </c>
      <c r="AF1156" t="s">
        <v>56</v>
      </c>
      <c r="AG1156">
        <v>19658</v>
      </c>
      <c r="AH1156">
        <v>5220</v>
      </c>
      <c r="AI1156">
        <v>3</v>
      </c>
      <c r="AJ1156" t="str">
        <f>_xlfn.XLOOKUP(Table1[[#This Row],[OverTime]],Table16[OverTime],Table16[Id_OverTime])</f>
        <v>OT002</v>
      </c>
      <c r="AK1156" t="s">
        <v>33</v>
      </c>
      <c r="AL1156">
        <v>11</v>
      </c>
      <c r="AM1156" t="str">
        <f>_xlfn.XLOOKUP(Table1[[#This Row],[PerformanceRating]],Table17[PerformanceRating],Table17[Id_PerformanceRating])</f>
        <v>PR003</v>
      </c>
      <c r="AN1156">
        <v>3</v>
      </c>
      <c r="AO1156" t="str">
        <f>_xlfn.XLOOKUP(Table1[[#This Row],[PerformanceRating]],Table17[PerformanceRating],Table17[Deskripsi])</f>
        <v>Excellent</v>
      </c>
      <c r="AP1156" t="str">
        <f>_xlfn.XLOOKUP(Table1[[#This Row],[RelationshipSatisfaction]],Table18[RelationshipSatisfaction],Table18[Id_RelationshipSatisfaction])</f>
        <v>RS003</v>
      </c>
      <c r="AQ1156">
        <v>3</v>
      </c>
      <c r="AR1156" t="str">
        <f>_xlfn.XLOOKUP(Table1[[#This Row],[RelationshipSatisfaction]],Table18[RelationshipSatisfaction],Table18[Deskripsi])</f>
        <v>High</v>
      </c>
      <c r="AS1156" t="str">
        <f>_xlfn.XLOOKUP(Table1[[#This Row],[StockOptionLevel]],Table19[StockOptionLevel],Table19[Id_StockOptionLevel])</f>
        <v>SOL002</v>
      </c>
      <c r="AT1156">
        <v>1</v>
      </c>
      <c r="AU1156" t="str">
        <f>_xlfn.XLOOKUP(Table1[[#This Row],[StockOptionLevel]],Table19[StockOptionLevel],Table19[Deskripsi])</f>
        <v>Standard</v>
      </c>
      <c r="AV1156">
        <v>27</v>
      </c>
      <c r="AW1156">
        <v>2</v>
      </c>
      <c r="AX1156" t="str">
        <f>_xlfn.XLOOKUP(Table1[[#This Row],[WorkLifeBalance]],Table20[WorkLifeBalance],Table20[Id_WorkLifeBalance])</f>
        <v>WLB002</v>
      </c>
      <c r="AY1156">
        <v>3</v>
      </c>
      <c r="AZ1156" t="str">
        <f>_xlfn.XLOOKUP(Table1[[#This Row],[WorkLifeBalance]],Table20[WorkLifeBalance],Table20[Deskripsi])</f>
        <v>Good</v>
      </c>
      <c r="BA1156">
        <v>5</v>
      </c>
      <c r="BB1156">
        <v>2</v>
      </c>
      <c r="BC1156">
        <v>1</v>
      </c>
      <c r="BD1156">
        <v>0</v>
      </c>
    </row>
    <row r="1157" spans="1:56" x14ac:dyDescent="0.25">
      <c r="A1157">
        <v>39</v>
      </c>
      <c r="B1157" t="str">
        <f>_xlfn.XLOOKUP(Table1[[#This Row],[Attrition]],Table2[Attrition],Table2[Id_Attrition])</f>
        <v>A002</v>
      </c>
      <c r="C1157" t="s">
        <v>33</v>
      </c>
      <c r="D1157" t="str">
        <f>_xlfn.XLOOKUP(Table1[[#This Row],[BusinessTravel]],Table5[BusinessTravel],Table5[Id_BusinessTravel])</f>
        <v>BS001</v>
      </c>
      <c r="E1157" t="s">
        <v>34</v>
      </c>
      <c r="F1157">
        <v>170</v>
      </c>
      <c r="G1157" t="str">
        <f>_xlfn.XLOOKUP(Table1[[#This Row],[Department]],Table6[Department],Table6[Id_Departement])</f>
        <v>D002</v>
      </c>
      <c r="H1157" t="s">
        <v>38</v>
      </c>
      <c r="I1157">
        <v>3</v>
      </c>
      <c r="J1157" t="str">
        <f>_xlfn.XLOOKUP(Table1[[#This Row],[Education]],Table8[Education],Table8[Id_Education])</f>
        <v>E002</v>
      </c>
      <c r="K1157">
        <v>2</v>
      </c>
      <c r="L1157" t="str">
        <f>_xlfn.XLOOKUP(Table1[[#This Row],[EducationField]],Table7[EducationField],Table7[Id_EducationField])</f>
        <v>EF003</v>
      </c>
      <c r="M1157" t="s">
        <v>42</v>
      </c>
      <c r="N1157" t="str">
        <f>_xlfn.XLOOKUP(Table1[[#This Row],[EmployeeNumber]],Table4[EmployeeNumber],Table4[Id_Employee])</f>
        <v>EMP01156</v>
      </c>
      <c r="O1157">
        <v>1627</v>
      </c>
      <c r="P1157" t="str">
        <f>_xlfn.XLOOKUP(Table1[[#This Row],[EnvironmentSatisfaction]],Table9[EnvironmentSatisfaction],Table9[Id_EnviromentSatisfaction])</f>
        <v>ES003</v>
      </c>
      <c r="Q1157">
        <v>3</v>
      </c>
      <c r="R1157" t="str">
        <f>_xlfn.XLOOKUP(Table1[[#This Row],[EnvironmentSatisfaction]],Table9[EnvironmentSatisfaction],Table9[Deskripsi])</f>
        <v>High</v>
      </c>
      <c r="S1157" t="str">
        <f>_xlfn.XLOOKUP(Table1[[#This Row],[Gender]],Table10[Gender],Table10[Id_Gender])</f>
        <v>G002</v>
      </c>
      <c r="T1157" t="s">
        <v>46</v>
      </c>
      <c r="U1157">
        <v>76</v>
      </c>
      <c r="V1157" t="str">
        <f>_xlfn.XLOOKUP(Table1[[#This Row],[JobInvolvement]],Table11[JobInvolvement],Table11[Id_JobInvolvement])</f>
        <v>JI002</v>
      </c>
      <c r="W1157">
        <v>2</v>
      </c>
      <c r="X1157" t="str">
        <f>_xlfn.XLOOKUP(Table1[[#This Row],[JobLevel]],Table12[JobLevel],Table12[Id_JobLevel])</f>
        <v>JL002</v>
      </c>
      <c r="Y1157">
        <v>2</v>
      </c>
      <c r="Z1157" t="str">
        <f>_xlfn.XLOOKUP(Table1[[#This Row],[JobRole]],Table13[JobRole],Table13[Id_JobRole])</f>
        <v>JR003</v>
      </c>
      <c r="AA1157" t="s">
        <v>49</v>
      </c>
      <c r="AB1157" t="str">
        <f>_xlfn.XLOOKUP(Table1[[#This Row],[JobSatisfaction]],Table14[JobSatisfaction],Table14[Id_JobSatisfaction])</f>
        <v>JS003</v>
      </c>
      <c r="AC1157">
        <v>3</v>
      </c>
      <c r="AD1157" t="str">
        <f>_xlfn.XLOOKUP(Table1[[#This Row],[JobSatisfaction]],Table14[JobSatisfaction],Table14[Deskripsi])</f>
        <v>High</v>
      </c>
      <c r="AE1157" t="str">
        <f>_xlfn.XLOOKUP(Table1[[#This Row],[MaritalStatus]],Table15[MaritalStatus],Table15[Id_MaritalStatus])</f>
        <v>MS003</v>
      </c>
      <c r="AF1157" t="s">
        <v>57</v>
      </c>
      <c r="AG1157">
        <v>3069</v>
      </c>
      <c r="AH1157">
        <v>10302</v>
      </c>
      <c r="AI1157">
        <v>0</v>
      </c>
      <c r="AJ1157" t="str">
        <f>_xlfn.XLOOKUP(Table1[[#This Row],[OverTime]],Table16[OverTime],Table16[Id_OverTime])</f>
        <v>OT002</v>
      </c>
      <c r="AK1157" t="s">
        <v>33</v>
      </c>
      <c r="AL1157">
        <v>15</v>
      </c>
      <c r="AM1157" t="str">
        <f>_xlfn.XLOOKUP(Table1[[#This Row],[PerformanceRating]],Table17[PerformanceRating],Table17[Id_PerformanceRating])</f>
        <v>PR003</v>
      </c>
      <c r="AN1157">
        <v>3</v>
      </c>
      <c r="AO1157" t="str">
        <f>_xlfn.XLOOKUP(Table1[[#This Row],[PerformanceRating]],Table17[PerformanceRating],Table17[Deskripsi])</f>
        <v>Excellent</v>
      </c>
      <c r="AP1157" t="str">
        <f>_xlfn.XLOOKUP(Table1[[#This Row],[RelationshipSatisfaction]],Table18[RelationshipSatisfaction],Table18[Id_RelationshipSatisfaction])</f>
        <v>RS004</v>
      </c>
      <c r="AQ1157">
        <v>4</v>
      </c>
      <c r="AR1157" t="str">
        <f>_xlfn.XLOOKUP(Table1[[#This Row],[RelationshipSatisfaction]],Table18[RelationshipSatisfaction],Table18[Deskripsi])</f>
        <v>Very High</v>
      </c>
      <c r="AS1157" t="str">
        <f>_xlfn.XLOOKUP(Table1[[#This Row],[StockOptionLevel]],Table19[StockOptionLevel],Table19[Id_StockOptionLevel])</f>
        <v>SOL002</v>
      </c>
      <c r="AT1157">
        <v>1</v>
      </c>
      <c r="AU1157" t="str">
        <f>_xlfn.XLOOKUP(Table1[[#This Row],[StockOptionLevel]],Table19[StockOptionLevel],Table19[Deskripsi])</f>
        <v>Standard</v>
      </c>
      <c r="AV1157">
        <v>11</v>
      </c>
      <c r="AW1157">
        <v>3</v>
      </c>
      <c r="AX1157" t="str">
        <f>_xlfn.XLOOKUP(Table1[[#This Row],[WorkLifeBalance]],Table20[WorkLifeBalance],Table20[Id_WorkLifeBalance])</f>
        <v>WLB002</v>
      </c>
      <c r="AY1157">
        <v>3</v>
      </c>
      <c r="AZ1157" t="str">
        <f>_xlfn.XLOOKUP(Table1[[#This Row],[WorkLifeBalance]],Table20[WorkLifeBalance],Table20[Deskripsi])</f>
        <v>Good</v>
      </c>
      <c r="BA1157">
        <v>10</v>
      </c>
      <c r="BB1157">
        <v>8</v>
      </c>
      <c r="BC1157">
        <v>0</v>
      </c>
      <c r="BD1157">
        <v>7</v>
      </c>
    </row>
    <row r="1158" spans="1:56" x14ac:dyDescent="0.25">
      <c r="A1158">
        <v>40</v>
      </c>
      <c r="B1158" t="str">
        <f>_xlfn.XLOOKUP(Table1[[#This Row],[Attrition]],Table2[Attrition],Table2[Id_Attrition])</f>
        <v>A002</v>
      </c>
      <c r="C1158" t="s">
        <v>33</v>
      </c>
      <c r="D1158" t="str">
        <f>_xlfn.XLOOKUP(Table1[[#This Row],[BusinessTravel]],Table5[BusinessTravel],Table5[Id_BusinessTravel])</f>
        <v>BS001</v>
      </c>
      <c r="E1158" t="s">
        <v>34</v>
      </c>
      <c r="F1158">
        <v>884</v>
      </c>
      <c r="G1158" t="str">
        <f>_xlfn.XLOOKUP(Table1[[#This Row],[Department]],Table6[Department],Table6[Id_Departement])</f>
        <v>D002</v>
      </c>
      <c r="H1158" t="s">
        <v>38</v>
      </c>
      <c r="I1158">
        <v>15</v>
      </c>
      <c r="J1158" t="str">
        <f>_xlfn.XLOOKUP(Table1[[#This Row],[Education]],Table8[Education],Table8[Id_Education])</f>
        <v>E003</v>
      </c>
      <c r="K1158">
        <v>3</v>
      </c>
      <c r="L1158" t="str">
        <f>_xlfn.XLOOKUP(Table1[[#This Row],[EducationField]],Table7[EducationField],Table7[Id_EducationField])</f>
        <v>EF001</v>
      </c>
      <c r="M1158" t="s">
        <v>40</v>
      </c>
      <c r="N1158" t="str">
        <f>_xlfn.XLOOKUP(Table1[[#This Row],[EmployeeNumber]],Table4[EmployeeNumber],Table4[Id_Employee])</f>
        <v>EMP01157</v>
      </c>
      <c r="O1158">
        <v>1628</v>
      </c>
      <c r="P1158" t="str">
        <f>_xlfn.XLOOKUP(Table1[[#This Row],[EnvironmentSatisfaction]],Table9[EnvironmentSatisfaction],Table9[Id_EnviromentSatisfaction])</f>
        <v>ES001</v>
      </c>
      <c r="Q1158">
        <v>1</v>
      </c>
      <c r="R1158" t="str">
        <f>_xlfn.XLOOKUP(Table1[[#This Row],[EnvironmentSatisfaction]],Table9[EnvironmentSatisfaction],Table9[Deskripsi])</f>
        <v>Low</v>
      </c>
      <c r="S1158" t="str">
        <f>_xlfn.XLOOKUP(Table1[[#This Row],[Gender]],Table10[Gender],Table10[Id_Gender])</f>
        <v>G001</v>
      </c>
      <c r="T1158" t="s">
        <v>45</v>
      </c>
      <c r="U1158">
        <v>80</v>
      </c>
      <c r="V1158" t="str">
        <f>_xlfn.XLOOKUP(Table1[[#This Row],[JobInvolvement]],Table11[JobInvolvement],Table11[Id_JobInvolvement])</f>
        <v>JI002</v>
      </c>
      <c r="W1158">
        <v>2</v>
      </c>
      <c r="X1158" t="str">
        <f>_xlfn.XLOOKUP(Table1[[#This Row],[JobLevel]],Table12[JobLevel],Table12[Id_JobLevel])</f>
        <v>JL003</v>
      </c>
      <c r="Y1158">
        <v>3</v>
      </c>
      <c r="Z1158" t="str">
        <f>_xlfn.XLOOKUP(Table1[[#This Row],[JobRole]],Table13[JobRole],Table13[Id_JobRole])</f>
        <v>JR004</v>
      </c>
      <c r="AA1158" t="s">
        <v>50</v>
      </c>
      <c r="AB1158" t="str">
        <f>_xlfn.XLOOKUP(Table1[[#This Row],[JobSatisfaction]],Table14[JobSatisfaction],Table14[Id_JobSatisfaction])</f>
        <v>JS003</v>
      </c>
      <c r="AC1158">
        <v>3</v>
      </c>
      <c r="AD1158" t="str">
        <f>_xlfn.XLOOKUP(Table1[[#This Row],[JobSatisfaction]],Table14[JobSatisfaction],Table14[Deskripsi])</f>
        <v>High</v>
      </c>
      <c r="AE1158" t="str">
        <f>_xlfn.XLOOKUP(Table1[[#This Row],[MaritalStatus]],Table15[MaritalStatus],Table15[Id_MaritalStatus])</f>
        <v>MS002</v>
      </c>
      <c r="AF1158" t="s">
        <v>56</v>
      </c>
      <c r="AG1158">
        <v>10435</v>
      </c>
      <c r="AH1158">
        <v>25800</v>
      </c>
      <c r="AI1158">
        <v>1</v>
      </c>
      <c r="AJ1158" t="str">
        <f>_xlfn.XLOOKUP(Table1[[#This Row],[OverTime]],Table16[OverTime],Table16[Id_OverTime])</f>
        <v>OT002</v>
      </c>
      <c r="AK1158" t="s">
        <v>33</v>
      </c>
      <c r="AL1158">
        <v>13</v>
      </c>
      <c r="AM1158" t="str">
        <f>_xlfn.XLOOKUP(Table1[[#This Row],[PerformanceRating]],Table17[PerformanceRating],Table17[Id_PerformanceRating])</f>
        <v>PR003</v>
      </c>
      <c r="AN1158">
        <v>3</v>
      </c>
      <c r="AO1158" t="str">
        <f>_xlfn.XLOOKUP(Table1[[#This Row],[PerformanceRating]],Table17[PerformanceRating],Table17[Deskripsi])</f>
        <v>Excellent</v>
      </c>
      <c r="AP1158" t="str">
        <f>_xlfn.XLOOKUP(Table1[[#This Row],[RelationshipSatisfaction]],Table18[RelationshipSatisfaction],Table18[Id_RelationshipSatisfaction])</f>
        <v>RS004</v>
      </c>
      <c r="AQ1158">
        <v>4</v>
      </c>
      <c r="AR1158" t="str">
        <f>_xlfn.XLOOKUP(Table1[[#This Row],[RelationshipSatisfaction]],Table18[RelationshipSatisfaction],Table18[Deskripsi])</f>
        <v>Very High</v>
      </c>
      <c r="AS1158" t="str">
        <f>_xlfn.XLOOKUP(Table1[[#This Row],[StockOptionLevel]],Table19[StockOptionLevel],Table19[Id_StockOptionLevel])</f>
        <v>SOL003</v>
      </c>
      <c r="AT1158">
        <v>2</v>
      </c>
      <c r="AU1158" t="str">
        <f>_xlfn.XLOOKUP(Table1[[#This Row],[StockOptionLevel]],Table19[StockOptionLevel],Table19[Deskripsi])</f>
        <v>Intermediate</v>
      </c>
      <c r="AV1158">
        <v>18</v>
      </c>
      <c r="AW1158">
        <v>2</v>
      </c>
      <c r="AX1158" t="str">
        <f>_xlfn.XLOOKUP(Table1[[#This Row],[WorkLifeBalance]],Table20[WorkLifeBalance],Table20[Id_WorkLifeBalance])</f>
        <v>WLB002</v>
      </c>
      <c r="AY1158">
        <v>3</v>
      </c>
      <c r="AZ1158" t="str">
        <f>_xlfn.XLOOKUP(Table1[[#This Row],[WorkLifeBalance]],Table20[WorkLifeBalance],Table20[Deskripsi])</f>
        <v>Good</v>
      </c>
      <c r="BA1158">
        <v>18</v>
      </c>
      <c r="BB1158">
        <v>15</v>
      </c>
      <c r="BC1158">
        <v>14</v>
      </c>
      <c r="BD1158">
        <v>12</v>
      </c>
    </row>
    <row r="1159" spans="1:56" x14ac:dyDescent="0.25">
      <c r="A1159">
        <v>35</v>
      </c>
      <c r="B1159" t="str">
        <f>_xlfn.XLOOKUP(Table1[[#This Row],[Attrition]],Table2[Attrition],Table2[Id_Attrition])</f>
        <v>A002</v>
      </c>
      <c r="C1159" t="s">
        <v>33</v>
      </c>
      <c r="D1159" t="str">
        <f>_xlfn.XLOOKUP(Table1[[#This Row],[BusinessTravel]],Table5[BusinessTravel],Table5[Id_BusinessTravel])</f>
        <v>BS003</v>
      </c>
      <c r="E1159" t="s">
        <v>36</v>
      </c>
      <c r="F1159">
        <v>208</v>
      </c>
      <c r="G1159" t="str">
        <f>_xlfn.XLOOKUP(Table1[[#This Row],[Department]],Table6[Department],Table6[Id_Departement])</f>
        <v>D002</v>
      </c>
      <c r="H1159" t="s">
        <v>38</v>
      </c>
      <c r="I1159">
        <v>8</v>
      </c>
      <c r="J1159" t="str">
        <f>_xlfn.XLOOKUP(Table1[[#This Row],[Education]],Table8[Education],Table8[Id_Education])</f>
        <v>E004</v>
      </c>
      <c r="K1159">
        <v>4</v>
      </c>
      <c r="L1159" t="str">
        <f>_xlfn.XLOOKUP(Table1[[#This Row],[EducationField]],Table7[EducationField],Table7[Id_EducationField])</f>
        <v>EF001</v>
      </c>
      <c r="M1159" t="s">
        <v>40</v>
      </c>
      <c r="N1159" t="str">
        <f>_xlfn.XLOOKUP(Table1[[#This Row],[EmployeeNumber]],Table4[EmployeeNumber],Table4[Id_Employee])</f>
        <v>EMP01158</v>
      </c>
      <c r="O1159">
        <v>1630</v>
      </c>
      <c r="P1159" t="str">
        <f>_xlfn.XLOOKUP(Table1[[#This Row],[EnvironmentSatisfaction]],Table9[EnvironmentSatisfaction],Table9[Id_EnviromentSatisfaction])</f>
        <v>ES003</v>
      </c>
      <c r="Q1159">
        <v>3</v>
      </c>
      <c r="R1159" t="str">
        <f>_xlfn.XLOOKUP(Table1[[#This Row],[EnvironmentSatisfaction]],Table9[EnvironmentSatisfaction],Table9[Deskripsi])</f>
        <v>High</v>
      </c>
      <c r="S1159" t="str">
        <f>_xlfn.XLOOKUP(Table1[[#This Row],[Gender]],Table10[Gender],Table10[Id_Gender])</f>
        <v>G001</v>
      </c>
      <c r="T1159" t="s">
        <v>45</v>
      </c>
      <c r="U1159">
        <v>52</v>
      </c>
      <c r="V1159" t="str">
        <f>_xlfn.XLOOKUP(Table1[[#This Row],[JobInvolvement]],Table11[JobInvolvement],Table11[Id_JobInvolvement])</f>
        <v>JI003</v>
      </c>
      <c r="W1159">
        <v>3</v>
      </c>
      <c r="X1159" t="str">
        <f>_xlfn.XLOOKUP(Table1[[#This Row],[JobLevel]],Table12[JobLevel],Table12[Id_JobLevel])</f>
        <v>JL002</v>
      </c>
      <c r="Y1159">
        <v>2</v>
      </c>
      <c r="Z1159" t="str">
        <f>_xlfn.XLOOKUP(Table1[[#This Row],[JobRole]],Table13[JobRole],Table13[Id_JobRole])</f>
        <v>JR005</v>
      </c>
      <c r="AA1159" t="s">
        <v>51</v>
      </c>
      <c r="AB1159" t="str">
        <f>_xlfn.XLOOKUP(Table1[[#This Row],[JobSatisfaction]],Table14[JobSatisfaction],Table14[Id_JobSatisfaction])</f>
        <v>JS003</v>
      </c>
      <c r="AC1159">
        <v>3</v>
      </c>
      <c r="AD1159" t="str">
        <f>_xlfn.XLOOKUP(Table1[[#This Row],[JobSatisfaction]],Table14[JobSatisfaction],Table14[Deskripsi])</f>
        <v>High</v>
      </c>
      <c r="AE1159" t="str">
        <f>_xlfn.XLOOKUP(Table1[[#This Row],[MaritalStatus]],Table15[MaritalStatus],Table15[Id_MaritalStatus])</f>
        <v>MS002</v>
      </c>
      <c r="AF1159" t="s">
        <v>56</v>
      </c>
      <c r="AG1159">
        <v>4148</v>
      </c>
      <c r="AH1159">
        <v>12250</v>
      </c>
      <c r="AI1159">
        <v>1</v>
      </c>
      <c r="AJ1159" t="str">
        <f>_xlfn.XLOOKUP(Table1[[#This Row],[OverTime]],Table16[OverTime],Table16[Id_OverTime])</f>
        <v>OT002</v>
      </c>
      <c r="AK1159" t="s">
        <v>33</v>
      </c>
      <c r="AL1159">
        <v>12</v>
      </c>
      <c r="AM1159" t="str">
        <f>_xlfn.XLOOKUP(Table1[[#This Row],[PerformanceRating]],Table17[PerformanceRating],Table17[Id_PerformanceRating])</f>
        <v>PR003</v>
      </c>
      <c r="AN1159">
        <v>3</v>
      </c>
      <c r="AO1159" t="str">
        <f>_xlfn.XLOOKUP(Table1[[#This Row],[PerformanceRating]],Table17[PerformanceRating],Table17[Deskripsi])</f>
        <v>Excellent</v>
      </c>
      <c r="AP1159" t="str">
        <f>_xlfn.XLOOKUP(Table1[[#This Row],[RelationshipSatisfaction]],Table18[RelationshipSatisfaction],Table18[Id_RelationshipSatisfaction])</f>
        <v>RS004</v>
      </c>
      <c r="AQ1159">
        <v>4</v>
      </c>
      <c r="AR1159" t="str">
        <f>_xlfn.XLOOKUP(Table1[[#This Row],[RelationshipSatisfaction]],Table18[RelationshipSatisfaction],Table18[Deskripsi])</f>
        <v>Very High</v>
      </c>
      <c r="AS1159" t="str">
        <f>_xlfn.XLOOKUP(Table1[[#This Row],[StockOptionLevel]],Table19[StockOptionLevel],Table19[Id_StockOptionLevel])</f>
        <v>SOL002</v>
      </c>
      <c r="AT1159">
        <v>1</v>
      </c>
      <c r="AU1159" t="str">
        <f>_xlfn.XLOOKUP(Table1[[#This Row],[StockOptionLevel]],Table19[StockOptionLevel],Table19[Deskripsi])</f>
        <v>Standard</v>
      </c>
      <c r="AV1159">
        <v>15</v>
      </c>
      <c r="AW1159">
        <v>5</v>
      </c>
      <c r="AX1159" t="str">
        <f>_xlfn.XLOOKUP(Table1[[#This Row],[WorkLifeBalance]],Table20[WorkLifeBalance],Table20[Id_WorkLifeBalance])</f>
        <v>WLB002</v>
      </c>
      <c r="AY1159">
        <v>3</v>
      </c>
      <c r="AZ1159" t="str">
        <f>_xlfn.XLOOKUP(Table1[[#This Row],[WorkLifeBalance]],Table20[WorkLifeBalance],Table20[Deskripsi])</f>
        <v>Good</v>
      </c>
      <c r="BA1159">
        <v>14</v>
      </c>
      <c r="BB1159">
        <v>11</v>
      </c>
      <c r="BC1159">
        <v>2</v>
      </c>
      <c r="BD1159">
        <v>9</v>
      </c>
    </row>
    <row r="1160" spans="1:56" x14ac:dyDescent="0.25">
      <c r="A1160">
        <v>37</v>
      </c>
      <c r="B1160" t="str">
        <f>_xlfn.XLOOKUP(Table1[[#This Row],[Attrition]],Table2[Attrition],Table2[Id_Attrition])</f>
        <v>A002</v>
      </c>
      <c r="C1160" t="s">
        <v>33</v>
      </c>
      <c r="D1160" t="str">
        <f>_xlfn.XLOOKUP(Table1[[#This Row],[BusinessTravel]],Table5[BusinessTravel],Table5[Id_BusinessTravel])</f>
        <v>BS001</v>
      </c>
      <c r="E1160" t="s">
        <v>34</v>
      </c>
      <c r="F1160">
        <v>671</v>
      </c>
      <c r="G1160" t="str">
        <f>_xlfn.XLOOKUP(Table1[[#This Row],[Department]],Table6[Department],Table6[Id_Departement])</f>
        <v>D002</v>
      </c>
      <c r="H1160" t="s">
        <v>38</v>
      </c>
      <c r="I1160">
        <v>19</v>
      </c>
      <c r="J1160" t="str">
        <f>_xlfn.XLOOKUP(Table1[[#This Row],[Education]],Table8[Education],Table8[Id_Education])</f>
        <v>E003</v>
      </c>
      <c r="K1160">
        <v>3</v>
      </c>
      <c r="L1160" t="str">
        <f>_xlfn.XLOOKUP(Table1[[#This Row],[EducationField]],Table7[EducationField],Table7[Id_EducationField])</f>
        <v>EF001</v>
      </c>
      <c r="M1160" t="s">
        <v>40</v>
      </c>
      <c r="N1160" t="str">
        <f>_xlfn.XLOOKUP(Table1[[#This Row],[EmployeeNumber]],Table4[EmployeeNumber],Table4[Id_Employee])</f>
        <v>EMP01159</v>
      </c>
      <c r="O1160">
        <v>1631</v>
      </c>
      <c r="P1160" t="str">
        <f>_xlfn.XLOOKUP(Table1[[#This Row],[EnvironmentSatisfaction]],Table9[EnvironmentSatisfaction],Table9[Id_EnviromentSatisfaction])</f>
        <v>ES003</v>
      </c>
      <c r="Q1160">
        <v>3</v>
      </c>
      <c r="R1160" t="str">
        <f>_xlfn.XLOOKUP(Table1[[#This Row],[EnvironmentSatisfaction]],Table9[EnvironmentSatisfaction],Table9[Deskripsi])</f>
        <v>High</v>
      </c>
      <c r="S1160" t="str">
        <f>_xlfn.XLOOKUP(Table1[[#This Row],[Gender]],Table10[Gender],Table10[Id_Gender])</f>
        <v>G002</v>
      </c>
      <c r="T1160" t="s">
        <v>46</v>
      </c>
      <c r="U1160">
        <v>85</v>
      </c>
      <c r="V1160" t="str">
        <f>_xlfn.XLOOKUP(Table1[[#This Row],[JobInvolvement]],Table11[JobInvolvement],Table11[Id_JobInvolvement])</f>
        <v>JI003</v>
      </c>
      <c r="W1160">
        <v>3</v>
      </c>
      <c r="X1160" t="str">
        <f>_xlfn.XLOOKUP(Table1[[#This Row],[JobLevel]],Table12[JobLevel],Table12[Id_JobLevel])</f>
        <v>JL002</v>
      </c>
      <c r="Y1160">
        <v>2</v>
      </c>
      <c r="Z1160" t="str">
        <f>_xlfn.XLOOKUP(Table1[[#This Row],[JobRole]],Table13[JobRole],Table13[Id_JobRole])</f>
        <v>JR004</v>
      </c>
      <c r="AA1160" t="s">
        <v>50</v>
      </c>
      <c r="AB1160" t="str">
        <f>_xlfn.XLOOKUP(Table1[[#This Row],[JobSatisfaction]],Table14[JobSatisfaction],Table14[Id_JobSatisfaction])</f>
        <v>JS003</v>
      </c>
      <c r="AC1160">
        <v>3</v>
      </c>
      <c r="AD1160" t="str">
        <f>_xlfn.XLOOKUP(Table1[[#This Row],[JobSatisfaction]],Table14[JobSatisfaction],Table14[Deskripsi])</f>
        <v>High</v>
      </c>
      <c r="AE1160" t="str">
        <f>_xlfn.XLOOKUP(Table1[[#This Row],[MaritalStatus]],Table15[MaritalStatus],Table15[Id_MaritalStatus])</f>
        <v>MS002</v>
      </c>
      <c r="AF1160" t="s">
        <v>56</v>
      </c>
      <c r="AG1160">
        <v>5768</v>
      </c>
      <c r="AH1160">
        <v>26493</v>
      </c>
      <c r="AI1160">
        <v>3</v>
      </c>
      <c r="AJ1160" t="str">
        <f>_xlfn.XLOOKUP(Table1[[#This Row],[OverTime]],Table16[OverTime],Table16[Id_OverTime])</f>
        <v>OT002</v>
      </c>
      <c r="AK1160" t="s">
        <v>33</v>
      </c>
      <c r="AL1160">
        <v>17</v>
      </c>
      <c r="AM1160" t="str">
        <f>_xlfn.XLOOKUP(Table1[[#This Row],[PerformanceRating]],Table17[PerformanceRating],Table17[Id_PerformanceRating])</f>
        <v>PR003</v>
      </c>
      <c r="AN1160">
        <v>3</v>
      </c>
      <c r="AO1160" t="str">
        <f>_xlfn.XLOOKUP(Table1[[#This Row],[PerformanceRating]],Table17[PerformanceRating],Table17[Deskripsi])</f>
        <v>Excellent</v>
      </c>
      <c r="AP1160" t="str">
        <f>_xlfn.XLOOKUP(Table1[[#This Row],[RelationshipSatisfaction]],Table18[RelationshipSatisfaction],Table18[Id_RelationshipSatisfaction])</f>
        <v>RS001</v>
      </c>
      <c r="AQ1160">
        <v>1</v>
      </c>
      <c r="AR1160" t="str">
        <f>_xlfn.XLOOKUP(Table1[[#This Row],[RelationshipSatisfaction]],Table18[RelationshipSatisfaction],Table18[Deskripsi])</f>
        <v>Low</v>
      </c>
      <c r="AS1160" t="str">
        <f>_xlfn.XLOOKUP(Table1[[#This Row],[StockOptionLevel]],Table19[StockOptionLevel],Table19[Id_StockOptionLevel])</f>
        <v>SOL004</v>
      </c>
      <c r="AT1160">
        <v>3</v>
      </c>
      <c r="AU1160" t="str">
        <f>_xlfn.XLOOKUP(Table1[[#This Row],[StockOptionLevel]],Table19[StockOptionLevel],Table19[Deskripsi])</f>
        <v>Senior/Executive</v>
      </c>
      <c r="AV1160">
        <v>9</v>
      </c>
      <c r="AW1160">
        <v>2</v>
      </c>
      <c r="AX1160" t="str">
        <f>_xlfn.XLOOKUP(Table1[[#This Row],[WorkLifeBalance]],Table20[WorkLifeBalance],Table20[Id_WorkLifeBalance])</f>
        <v>WLB003</v>
      </c>
      <c r="AY1160">
        <v>2</v>
      </c>
      <c r="AZ1160" t="str">
        <f>_xlfn.XLOOKUP(Table1[[#This Row],[WorkLifeBalance]],Table20[WorkLifeBalance],Table20[Deskripsi])</f>
        <v>Better</v>
      </c>
      <c r="BA1160">
        <v>4</v>
      </c>
      <c r="BB1160">
        <v>3</v>
      </c>
      <c r="BC1160">
        <v>0</v>
      </c>
      <c r="BD1160">
        <v>2</v>
      </c>
    </row>
    <row r="1161" spans="1:56" x14ac:dyDescent="0.25">
      <c r="A1161">
        <v>39</v>
      </c>
      <c r="B1161" t="str">
        <f>_xlfn.XLOOKUP(Table1[[#This Row],[Attrition]],Table2[Attrition],Table2[Id_Attrition])</f>
        <v>A002</v>
      </c>
      <c r="C1161" t="s">
        <v>33</v>
      </c>
      <c r="D1161" t="str">
        <f>_xlfn.XLOOKUP(Table1[[#This Row],[BusinessTravel]],Table5[BusinessTravel],Table5[Id_BusinessTravel])</f>
        <v>BS002</v>
      </c>
      <c r="E1161" t="s">
        <v>35</v>
      </c>
      <c r="F1161">
        <v>711</v>
      </c>
      <c r="G1161" t="str">
        <f>_xlfn.XLOOKUP(Table1[[#This Row],[Department]],Table6[Department],Table6[Id_Departement])</f>
        <v>D002</v>
      </c>
      <c r="H1161" t="s">
        <v>38</v>
      </c>
      <c r="I1161">
        <v>4</v>
      </c>
      <c r="J1161" t="str">
        <f>_xlfn.XLOOKUP(Table1[[#This Row],[Education]],Table8[Education],Table8[Id_Education])</f>
        <v>E003</v>
      </c>
      <c r="K1161">
        <v>3</v>
      </c>
      <c r="L1161" t="str">
        <f>_xlfn.XLOOKUP(Table1[[#This Row],[EducationField]],Table7[EducationField],Table7[Id_EducationField])</f>
        <v>EF003</v>
      </c>
      <c r="M1161" t="s">
        <v>42</v>
      </c>
      <c r="N1161" t="str">
        <f>_xlfn.XLOOKUP(Table1[[#This Row],[EmployeeNumber]],Table4[EmployeeNumber],Table4[Id_Employee])</f>
        <v>EMP01160</v>
      </c>
      <c r="O1161">
        <v>1633</v>
      </c>
      <c r="P1161" t="str">
        <f>_xlfn.XLOOKUP(Table1[[#This Row],[EnvironmentSatisfaction]],Table9[EnvironmentSatisfaction],Table9[Id_EnviromentSatisfaction])</f>
        <v>ES001</v>
      </c>
      <c r="Q1161">
        <v>1</v>
      </c>
      <c r="R1161" t="str">
        <f>_xlfn.XLOOKUP(Table1[[#This Row],[EnvironmentSatisfaction]],Table9[EnvironmentSatisfaction],Table9[Deskripsi])</f>
        <v>Low</v>
      </c>
      <c r="S1161" t="str">
        <f>_xlfn.XLOOKUP(Table1[[#This Row],[Gender]],Table10[Gender],Table10[Id_Gender])</f>
        <v>G001</v>
      </c>
      <c r="T1161" t="s">
        <v>45</v>
      </c>
      <c r="U1161">
        <v>81</v>
      </c>
      <c r="V1161" t="str">
        <f>_xlfn.XLOOKUP(Table1[[#This Row],[JobInvolvement]],Table11[JobInvolvement],Table11[Id_JobInvolvement])</f>
        <v>JI003</v>
      </c>
      <c r="W1161">
        <v>3</v>
      </c>
      <c r="X1161" t="str">
        <f>_xlfn.XLOOKUP(Table1[[#This Row],[JobLevel]],Table12[JobLevel],Table12[Id_JobLevel])</f>
        <v>JL002</v>
      </c>
      <c r="Y1161">
        <v>2</v>
      </c>
      <c r="Z1161" t="str">
        <f>_xlfn.XLOOKUP(Table1[[#This Row],[JobRole]],Table13[JobRole],Table13[Id_JobRole])</f>
        <v>JR004</v>
      </c>
      <c r="AA1161" t="s">
        <v>50</v>
      </c>
      <c r="AB1161" t="str">
        <f>_xlfn.XLOOKUP(Table1[[#This Row],[JobSatisfaction]],Table14[JobSatisfaction],Table14[Id_JobSatisfaction])</f>
        <v>JS003</v>
      </c>
      <c r="AC1161">
        <v>3</v>
      </c>
      <c r="AD1161" t="str">
        <f>_xlfn.XLOOKUP(Table1[[#This Row],[JobSatisfaction]],Table14[JobSatisfaction],Table14[Deskripsi])</f>
        <v>High</v>
      </c>
      <c r="AE1161" t="str">
        <f>_xlfn.XLOOKUP(Table1[[#This Row],[MaritalStatus]],Table15[MaritalStatus],Table15[Id_MaritalStatus])</f>
        <v>MS001</v>
      </c>
      <c r="AF1161" t="s">
        <v>55</v>
      </c>
      <c r="AG1161">
        <v>5042</v>
      </c>
      <c r="AH1161">
        <v>3140</v>
      </c>
      <c r="AI1161">
        <v>0</v>
      </c>
      <c r="AJ1161" t="str">
        <f>_xlfn.XLOOKUP(Table1[[#This Row],[OverTime]],Table16[OverTime],Table16[Id_OverTime])</f>
        <v>OT002</v>
      </c>
      <c r="AK1161" t="s">
        <v>33</v>
      </c>
      <c r="AL1161">
        <v>13</v>
      </c>
      <c r="AM1161" t="str">
        <f>_xlfn.XLOOKUP(Table1[[#This Row],[PerformanceRating]],Table17[PerformanceRating],Table17[Id_PerformanceRating])</f>
        <v>PR003</v>
      </c>
      <c r="AN1161">
        <v>3</v>
      </c>
      <c r="AO1161" t="str">
        <f>_xlfn.XLOOKUP(Table1[[#This Row],[PerformanceRating]],Table17[PerformanceRating],Table17[Deskripsi])</f>
        <v>Excellent</v>
      </c>
      <c r="AP1161" t="str">
        <f>_xlfn.XLOOKUP(Table1[[#This Row],[RelationshipSatisfaction]],Table18[RelationshipSatisfaction],Table18[Id_RelationshipSatisfaction])</f>
        <v>RS004</v>
      </c>
      <c r="AQ1161">
        <v>4</v>
      </c>
      <c r="AR1161" t="str">
        <f>_xlfn.XLOOKUP(Table1[[#This Row],[RelationshipSatisfaction]],Table18[RelationshipSatisfaction],Table18[Deskripsi])</f>
        <v>Very High</v>
      </c>
      <c r="AS1161" t="str">
        <f>_xlfn.XLOOKUP(Table1[[#This Row],[StockOptionLevel]],Table19[StockOptionLevel],Table19[Id_StockOptionLevel])</f>
        <v>SOL001</v>
      </c>
      <c r="AT1161">
        <v>0</v>
      </c>
      <c r="AU1161" t="str">
        <f>_xlfn.XLOOKUP(Table1[[#This Row],[StockOptionLevel]],Table19[StockOptionLevel],Table19[Deskripsi])</f>
        <v>Non-Eligible</v>
      </c>
      <c r="AV1161">
        <v>10</v>
      </c>
      <c r="AW1161">
        <v>2</v>
      </c>
      <c r="AX1161" t="str">
        <f>_xlfn.XLOOKUP(Table1[[#This Row],[WorkLifeBalance]],Table20[WorkLifeBalance],Table20[Id_WorkLifeBalance])</f>
        <v>WLB001</v>
      </c>
      <c r="AY1161">
        <v>1</v>
      </c>
      <c r="AZ1161" t="str">
        <f>_xlfn.XLOOKUP(Table1[[#This Row],[WorkLifeBalance]],Table20[WorkLifeBalance],Table20[Deskripsi])</f>
        <v>Bad</v>
      </c>
      <c r="BA1161">
        <v>9</v>
      </c>
      <c r="BB1161">
        <v>2</v>
      </c>
      <c r="BC1161">
        <v>3</v>
      </c>
      <c r="BD1161">
        <v>8</v>
      </c>
    </row>
    <row r="1162" spans="1:56" x14ac:dyDescent="0.25">
      <c r="A1162">
        <v>45</v>
      </c>
      <c r="B1162" t="str">
        <f>_xlfn.XLOOKUP(Table1[[#This Row],[Attrition]],Table2[Attrition],Table2[Id_Attrition])</f>
        <v>A002</v>
      </c>
      <c r="C1162" t="s">
        <v>33</v>
      </c>
      <c r="D1162" t="str">
        <f>_xlfn.XLOOKUP(Table1[[#This Row],[BusinessTravel]],Table5[BusinessTravel],Table5[Id_BusinessTravel])</f>
        <v>BS001</v>
      </c>
      <c r="E1162" t="s">
        <v>34</v>
      </c>
      <c r="F1162">
        <v>1329</v>
      </c>
      <c r="G1162" t="str">
        <f>_xlfn.XLOOKUP(Table1[[#This Row],[Department]],Table6[Department],Table6[Id_Departement])</f>
        <v>D002</v>
      </c>
      <c r="H1162" t="s">
        <v>38</v>
      </c>
      <c r="I1162">
        <v>2</v>
      </c>
      <c r="J1162" t="str">
        <f>_xlfn.XLOOKUP(Table1[[#This Row],[Education]],Table8[Education],Table8[Id_Education])</f>
        <v>E002</v>
      </c>
      <c r="K1162">
        <v>2</v>
      </c>
      <c r="L1162" t="str">
        <f>_xlfn.XLOOKUP(Table1[[#This Row],[EducationField]],Table7[EducationField],Table7[Id_EducationField])</f>
        <v>EF002</v>
      </c>
      <c r="M1162" t="s">
        <v>41</v>
      </c>
      <c r="N1162" t="str">
        <f>_xlfn.XLOOKUP(Table1[[#This Row],[EmployeeNumber]],Table4[EmployeeNumber],Table4[Id_Employee])</f>
        <v>EMP01161</v>
      </c>
      <c r="O1162">
        <v>1635</v>
      </c>
      <c r="P1162" t="str">
        <f>_xlfn.XLOOKUP(Table1[[#This Row],[EnvironmentSatisfaction]],Table9[EnvironmentSatisfaction],Table9[Id_EnviromentSatisfaction])</f>
        <v>ES004</v>
      </c>
      <c r="Q1162">
        <v>4</v>
      </c>
      <c r="R1162" t="str">
        <f>_xlfn.XLOOKUP(Table1[[#This Row],[EnvironmentSatisfaction]],Table9[EnvironmentSatisfaction],Table9[Deskripsi])</f>
        <v>Very High</v>
      </c>
      <c r="S1162" t="str">
        <f>_xlfn.XLOOKUP(Table1[[#This Row],[Gender]],Table10[Gender],Table10[Id_Gender])</f>
        <v>G001</v>
      </c>
      <c r="T1162" t="s">
        <v>45</v>
      </c>
      <c r="U1162">
        <v>59</v>
      </c>
      <c r="V1162" t="str">
        <f>_xlfn.XLOOKUP(Table1[[#This Row],[JobInvolvement]],Table11[JobInvolvement],Table11[Id_JobInvolvement])</f>
        <v>JI002</v>
      </c>
      <c r="W1162">
        <v>2</v>
      </c>
      <c r="X1162" t="str">
        <f>_xlfn.XLOOKUP(Table1[[#This Row],[JobLevel]],Table12[JobLevel],Table12[Id_JobLevel])</f>
        <v>JL002</v>
      </c>
      <c r="Y1162">
        <v>2</v>
      </c>
      <c r="Z1162" t="str">
        <f>_xlfn.XLOOKUP(Table1[[#This Row],[JobRole]],Table13[JobRole],Table13[Id_JobRole])</f>
        <v>JR004</v>
      </c>
      <c r="AA1162" t="s">
        <v>50</v>
      </c>
      <c r="AB1162" t="str">
        <f>_xlfn.XLOOKUP(Table1[[#This Row],[JobSatisfaction]],Table14[JobSatisfaction],Table14[Id_JobSatisfaction])</f>
        <v>JS004</v>
      </c>
      <c r="AC1162">
        <v>4</v>
      </c>
      <c r="AD1162" t="str">
        <f>_xlfn.XLOOKUP(Table1[[#This Row],[JobSatisfaction]],Table14[JobSatisfaction],Table14[Deskripsi])</f>
        <v>Very High</v>
      </c>
      <c r="AE1162" t="str">
        <f>_xlfn.XLOOKUP(Table1[[#This Row],[MaritalStatus]],Table15[MaritalStatus],Table15[Id_MaritalStatus])</f>
        <v>MS003</v>
      </c>
      <c r="AF1162" t="s">
        <v>57</v>
      </c>
      <c r="AG1162">
        <v>5770</v>
      </c>
      <c r="AH1162">
        <v>5388</v>
      </c>
      <c r="AI1162">
        <v>1</v>
      </c>
      <c r="AJ1162" t="str">
        <f>_xlfn.XLOOKUP(Table1[[#This Row],[OverTime]],Table16[OverTime],Table16[Id_OverTime])</f>
        <v>OT002</v>
      </c>
      <c r="AK1162" t="s">
        <v>33</v>
      </c>
      <c r="AL1162">
        <v>19</v>
      </c>
      <c r="AM1162" t="str">
        <f>_xlfn.XLOOKUP(Table1[[#This Row],[PerformanceRating]],Table17[PerformanceRating],Table17[Id_PerformanceRating])</f>
        <v>PR003</v>
      </c>
      <c r="AN1162">
        <v>3</v>
      </c>
      <c r="AO1162" t="str">
        <f>_xlfn.XLOOKUP(Table1[[#This Row],[PerformanceRating]],Table17[PerformanceRating],Table17[Deskripsi])</f>
        <v>Excellent</v>
      </c>
      <c r="AP1162" t="str">
        <f>_xlfn.XLOOKUP(Table1[[#This Row],[RelationshipSatisfaction]],Table18[RelationshipSatisfaction],Table18[Id_RelationshipSatisfaction])</f>
        <v>RS001</v>
      </c>
      <c r="AQ1162">
        <v>1</v>
      </c>
      <c r="AR1162" t="str">
        <f>_xlfn.XLOOKUP(Table1[[#This Row],[RelationshipSatisfaction]],Table18[RelationshipSatisfaction],Table18[Deskripsi])</f>
        <v>Low</v>
      </c>
      <c r="AS1162" t="str">
        <f>_xlfn.XLOOKUP(Table1[[#This Row],[StockOptionLevel]],Table19[StockOptionLevel],Table19[Id_StockOptionLevel])</f>
        <v>SOL003</v>
      </c>
      <c r="AT1162">
        <v>2</v>
      </c>
      <c r="AU1162" t="str">
        <f>_xlfn.XLOOKUP(Table1[[#This Row],[StockOptionLevel]],Table19[StockOptionLevel],Table19[Deskripsi])</f>
        <v>Intermediate</v>
      </c>
      <c r="AV1162">
        <v>10</v>
      </c>
      <c r="AW1162">
        <v>3</v>
      </c>
      <c r="AX1162" t="str">
        <f>_xlfn.XLOOKUP(Table1[[#This Row],[WorkLifeBalance]],Table20[WorkLifeBalance],Table20[Id_WorkLifeBalance])</f>
        <v>WLB002</v>
      </c>
      <c r="AY1162">
        <v>3</v>
      </c>
      <c r="AZ1162" t="str">
        <f>_xlfn.XLOOKUP(Table1[[#This Row],[WorkLifeBalance]],Table20[WorkLifeBalance],Table20[Deskripsi])</f>
        <v>Good</v>
      </c>
      <c r="BA1162">
        <v>10</v>
      </c>
      <c r="BB1162">
        <v>7</v>
      </c>
      <c r="BC1162">
        <v>3</v>
      </c>
      <c r="BD1162">
        <v>9</v>
      </c>
    </row>
    <row r="1163" spans="1:56" x14ac:dyDescent="0.25">
      <c r="A1163">
        <v>38</v>
      </c>
      <c r="B1163" t="str">
        <f>_xlfn.XLOOKUP(Table1[[#This Row],[Attrition]],Table2[Attrition],Table2[Id_Attrition])</f>
        <v>A002</v>
      </c>
      <c r="C1163" t="s">
        <v>33</v>
      </c>
      <c r="D1163" t="str">
        <f>_xlfn.XLOOKUP(Table1[[#This Row],[BusinessTravel]],Table5[BusinessTravel],Table5[Id_BusinessTravel])</f>
        <v>BS001</v>
      </c>
      <c r="E1163" t="s">
        <v>34</v>
      </c>
      <c r="F1163">
        <v>397</v>
      </c>
      <c r="G1163" t="str">
        <f>_xlfn.XLOOKUP(Table1[[#This Row],[Department]],Table6[Department],Table6[Id_Departement])</f>
        <v>D002</v>
      </c>
      <c r="H1163" t="s">
        <v>38</v>
      </c>
      <c r="I1163">
        <v>2</v>
      </c>
      <c r="J1163" t="str">
        <f>_xlfn.XLOOKUP(Table1[[#This Row],[Education]],Table8[Education],Table8[Id_Education])</f>
        <v>E002</v>
      </c>
      <c r="K1163">
        <v>2</v>
      </c>
      <c r="L1163" t="str">
        <f>_xlfn.XLOOKUP(Table1[[#This Row],[EducationField]],Table7[EducationField],Table7[Id_EducationField])</f>
        <v>EF003</v>
      </c>
      <c r="M1163" t="s">
        <v>42</v>
      </c>
      <c r="N1163" t="str">
        <f>_xlfn.XLOOKUP(Table1[[#This Row],[EmployeeNumber]],Table4[EmployeeNumber],Table4[Id_Employee])</f>
        <v>EMP01162</v>
      </c>
      <c r="O1163">
        <v>1638</v>
      </c>
      <c r="P1163" t="str">
        <f>_xlfn.XLOOKUP(Table1[[#This Row],[EnvironmentSatisfaction]],Table9[EnvironmentSatisfaction],Table9[Id_EnviromentSatisfaction])</f>
        <v>ES004</v>
      </c>
      <c r="Q1163">
        <v>4</v>
      </c>
      <c r="R1163" t="str">
        <f>_xlfn.XLOOKUP(Table1[[#This Row],[EnvironmentSatisfaction]],Table9[EnvironmentSatisfaction],Table9[Deskripsi])</f>
        <v>Very High</v>
      </c>
      <c r="S1163" t="str">
        <f>_xlfn.XLOOKUP(Table1[[#This Row],[Gender]],Table10[Gender],Table10[Id_Gender])</f>
        <v>G001</v>
      </c>
      <c r="T1163" t="s">
        <v>45</v>
      </c>
      <c r="U1163">
        <v>54</v>
      </c>
      <c r="V1163" t="str">
        <f>_xlfn.XLOOKUP(Table1[[#This Row],[JobInvolvement]],Table11[JobInvolvement],Table11[Id_JobInvolvement])</f>
        <v>JI002</v>
      </c>
      <c r="W1163">
        <v>2</v>
      </c>
      <c r="X1163" t="str">
        <f>_xlfn.XLOOKUP(Table1[[#This Row],[JobLevel]],Table12[JobLevel],Table12[Id_JobLevel])</f>
        <v>JL003</v>
      </c>
      <c r="Y1163">
        <v>3</v>
      </c>
      <c r="Z1163" t="str">
        <f>_xlfn.XLOOKUP(Table1[[#This Row],[JobRole]],Table13[JobRole],Table13[Id_JobRole])</f>
        <v>JR004</v>
      </c>
      <c r="AA1163" t="s">
        <v>50</v>
      </c>
      <c r="AB1163" t="str">
        <f>_xlfn.XLOOKUP(Table1[[#This Row],[JobSatisfaction]],Table14[JobSatisfaction],Table14[Id_JobSatisfaction])</f>
        <v>JS003</v>
      </c>
      <c r="AC1163">
        <v>3</v>
      </c>
      <c r="AD1163" t="str">
        <f>_xlfn.XLOOKUP(Table1[[#This Row],[JobSatisfaction]],Table14[JobSatisfaction],Table14[Deskripsi])</f>
        <v>High</v>
      </c>
      <c r="AE1163" t="str">
        <f>_xlfn.XLOOKUP(Table1[[#This Row],[MaritalStatus]],Table15[MaritalStatus],Table15[Id_MaritalStatus])</f>
        <v>MS002</v>
      </c>
      <c r="AF1163" t="s">
        <v>56</v>
      </c>
      <c r="AG1163">
        <v>7756</v>
      </c>
      <c r="AH1163">
        <v>14199</v>
      </c>
      <c r="AI1163">
        <v>3</v>
      </c>
      <c r="AJ1163" t="str">
        <f>_xlfn.XLOOKUP(Table1[[#This Row],[OverTime]],Table16[OverTime],Table16[Id_OverTime])</f>
        <v>OT001</v>
      </c>
      <c r="AK1163" t="s">
        <v>32</v>
      </c>
      <c r="AL1163">
        <v>19</v>
      </c>
      <c r="AM1163" t="str">
        <f>_xlfn.XLOOKUP(Table1[[#This Row],[PerformanceRating]],Table17[PerformanceRating],Table17[Id_PerformanceRating])</f>
        <v>PR003</v>
      </c>
      <c r="AN1163">
        <v>3</v>
      </c>
      <c r="AO1163" t="str">
        <f>_xlfn.XLOOKUP(Table1[[#This Row],[PerformanceRating]],Table17[PerformanceRating],Table17[Deskripsi])</f>
        <v>Excellent</v>
      </c>
      <c r="AP1163" t="str">
        <f>_xlfn.XLOOKUP(Table1[[#This Row],[RelationshipSatisfaction]],Table18[RelationshipSatisfaction],Table18[Id_RelationshipSatisfaction])</f>
        <v>RS004</v>
      </c>
      <c r="AQ1163">
        <v>4</v>
      </c>
      <c r="AR1163" t="str">
        <f>_xlfn.XLOOKUP(Table1[[#This Row],[RelationshipSatisfaction]],Table18[RelationshipSatisfaction],Table18[Deskripsi])</f>
        <v>Very High</v>
      </c>
      <c r="AS1163" t="str">
        <f>_xlfn.XLOOKUP(Table1[[#This Row],[StockOptionLevel]],Table19[StockOptionLevel],Table19[Id_StockOptionLevel])</f>
        <v>SOL002</v>
      </c>
      <c r="AT1163">
        <v>1</v>
      </c>
      <c r="AU1163" t="str">
        <f>_xlfn.XLOOKUP(Table1[[#This Row],[StockOptionLevel]],Table19[StockOptionLevel],Table19[Deskripsi])</f>
        <v>Standard</v>
      </c>
      <c r="AV1163">
        <v>10</v>
      </c>
      <c r="AW1163">
        <v>6</v>
      </c>
      <c r="AX1163" t="str">
        <f>_xlfn.XLOOKUP(Table1[[#This Row],[WorkLifeBalance]],Table20[WorkLifeBalance],Table20[Id_WorkLifeBalance])</f>
        <v>WLB004</v>
      </c>
      <c r="AY1163">
        <v>4</v>
      </c>
      <c r="AZ1163" t="str">
        <f>_xlfn.XLOOKUP(Table1[[#This Row],[WorkLifeBalance]],Table20[WorkLifeBalance],Table20[Deskripsi])</f>
        <v>Best</v>
      </c>
      <c r="BA1163">
        <v>5</v>
      </c>
      <c r="BB1163">
        <v>4</v>
      </c>
      <c r="BC1163">
        <v>0</v>
      </c>
      <c r="BD1163">
        <v>2</v>
      </c>
    </row>
    <row r="1164" spans="1:56" x14ac:dyDescent="0.25">
      <c r="A1164">
        <v>35</v>
      </c>
      <c r="B1164" t="str">
        <f>_xlfn.XLOOKUP(Table1[[#This Row],[Attrition]],Table2[Attrition],Table2[Id_Attrition])</f>
        <v>A001</v>
      </c>
      <c r="C1164" t="s">
        <v>32</v>
      </c>
      <c r="D1164" t="str">
        <f>_xlfn.XLOOKUP(Table1[[#This Row],[BusinessTravel]],Table5[BusinessTravel],Table5[Id_BusinessTravel])</f>
        <v>BS001</v>
      </c>
      <c r="E1164" t="s">
        <v>34</v>
      </c>
      <c r="F1164">
        <v>737</v>
      </c>
      <c r="G1164" t="str">
        <f>_xlfn.XLOOKUP(Table1[[#This Row],[Department]],Table6[Department],Table6[Id_Departement])</f>
        <v>D001</v>
      </c>
      <c r="H1164" t="s">
        <v>37</v>
      </c>
      <c r="I1164">
        <v>10</v>
      </c>
      <c r="J1164" t="str">
        <f>_xlfn.XLOOKUP(Table1[[#This Row],[Education]],Table8[Education],Table8[Id_Education])</f>
        <v>E003</v>
      </c>
      <c r="K1164">
        <v>3</v>
      </c>
      <c r="L1164" t="str">
        <f>_xlfn.XLOOKUP(Table1[[#This Row],[EducationField]],Table7[EducationField],Table7[Id_EducationField])</f>
        <v>EF003</v>
      </c>
      <c r="M1164" t="s">
        <v>42</v>
      </c>
      <c r="N1164" t="str">
        <f>_xlfn.XLOOKUP(Table1[[#This Row],[EmployeeNumber]],Table4[EmployeeNumber],Table4[Id_Employee])</f>
        <v>EMP01163</v>
      </c>
      <c r="O1164">
        <v>1639</v>
      </c>
      <c r="P1164" t="str">
        <f>_xlfn.XLOOKUP(Table1[[#This Row],[EnvironmentSatisfaction]],Table9[EnvironmentSatisfaction],Table9[Id_EnviromentSatisfaction])</f>
        <v>ES004</v>
      </c>
      <c r="Q1164">
        <v>4</v>
      </c>
      <c r="R1164" t="str">
        <f>_xlfn.XLOOKUP(Table1[[#This Row],[EnvironmentSatisfaction]],Table9[EnvironmentSatisfaction],Table9[Deskripsi])</f>
        <v>Very High</v>
      </c>
      <c r="S1164" t="str">
        <f>_xlfn.XLOOKUP(Table1[[#This Row],[Gender]],Table10[Gender],Table10[Id_Gender])</f>
        <v>G002</v>
      </c>
      <c r="T1164" t="s">
        <v>46</v>
      </c>
      <c r="U1164">
        <v>55</v>
      </c>
      <c r="V1164" t="str">
        <f>_xlfn.XLOOKUP(Table1[[#This Row],[JobInvolvement]],Table11[JobInvolvement],Table11[Id_JobInvolvement])</f>
        <v>JI002</v>
      </c>
      <c r="W1164">
        <v>2</v>
      </c>
      <c r="X1164" t="str">
        <f>_xlfn.XLOOKUP(Table1[[#This Row],[JobLevel]],Table12[JobLevel],Table12[Id_JobLevel])</f>
        <v>JL003</v>
      </c>
      <c r="Y1164">
        <v>3</v>
      </c>
      <c r="Z1164" t="str">
        <f>_xlfn.XLOOKUP(Table1[[#This Row],[JobRole]],Table13[JobRole],Table13[Id_JobRole])</f>
        <v>JR001</v>
      </c>
      <c r="AA1164" t="s">
        <v>47</v>
      </c>
      <c r="AB1164" t="str">
        <f>_xlfn.XLOOKUP(Table1[[#This Row],[JobSatisfaction]],Table14[JobSatisfaction],Table14[Id_JobSatisfaction])</f>
        <v>JS001</v>
      </c>
      <c r="AC1164">
        <v>1</v>
      </c>
      <c r="AD1164" t="str">
        <f>_xlfn.XLOOKUP(Table1[[#This Row],[JobSatisfaction]],Table14[JobSatisfaction],Table14[Deskripsi])</f>
        <v>Low</v>
      </c>
      <c r="AE1164" t="str">
        <f>_xlfn.XLOOKUP(Table1[[#This Row],[MaritalStatus]],Table15[MaritalStatus],Table15[Id_MaritalStatus])</f>
        <v>MS002</v>
      </c>
      <c r="AF1164" t="s">
        <v>56</v>
      </c>
      <c r="AG1164">
        <v>10306</v>
      </c>
      <c r="AH1164">
        <v>21530</v>
      </c>
      <c r="AI1164">
        <v>9</v>
      </c>
      <c r="AJ1164" t="str">
        <f>_xlfn.XLOOKUP(Table1[[#This Row],[OverTime]],Table16[OverTime],Table16[Id_OverTime])</f>
        <v>OT002</v>
      </c>
      <c r="AK1164" t="s">
        <v>33</v>
      </c>
      <c r="AL1164">
        <v>17</v>
      </c>
      <c r="AM1164" t="str">
        <f>_xlfn.XLOOKUP(Table1[[#This Row],[PerformanceRating]],Table17[PerformanceRating],Table17[Id_PerformanceRating])</f>
        <v>PR003</v>
      </c>
      <c r="AN1164">
        <v>3</v>
      </c>
      <c r="AO1164" t="str">
        <f>_xlfn.XLOOKUP(Table1[[#This Row],[PerformanceRating]],Table17[PerformanceRating],Table17[Deskripsi])</f>
        <v>Excellent</v>
      </c>
      <c r="AP1164" t="str">
        <f>_xlfn.XLOOKUP(Table1[[#This Row],[RelationshipSatisfaction]],Table18[RelationshipSatisfaction],Table18[Id_RelationshipSatisfaction])</f>
        <v>RS003</v>
      </c>
      <c r="AQ1164">
        <v>3</v>
      </c>
      <c r="AR1164" t="str">
        <f>_xlfn.XLOOKUP(Table1[[#This Row],[RelationshipSatisfaction]],Table18[RelationshipSatisfaction],Table18[Deskripsi])</f>
        <v>High</v>
      </c>
      <c r="AS1164" t="str">
        <f>_xlfn.XLOOKUP(Table1[[#This Row],[StockOptionLevel]],Table19[StockOptionLevel],Table19[Id_StockOptionLevel])</f>
        <v>SOL001</v>
      </c>
      <c r="AT1164">
        <v>0</v>
      </c>
      <c r="AU1164" t="str">
        <f>_xlfn.XLOOKUP(Table1[[#This Row],[StockOptionLevel]],Table19[StockOptionLevel],Table19[Deskripsi])</f>
        <v>Non-Eligible</v>
      </c>
      <c r="AV1164">
        <v>15</v>
      </c>
      <c r="AW1164">
        <v>3</v>
      </c>
      <c r="AX1164" t="str">
        <f>_xlfn.XLOOKUP(Table1[[#This Row],[WorkLifeBalance]],Table20[WorkLifeBalance],Table20[Id_WorkLifeBalance])</f>
        <v>WLB002</v>
      </c>
      <c r="AY1164">
        <v>3</v>
      </c>
      <c r="AZ1164" t="str">
        <f>_xlfn.XLOOKUP(Table1[[#This Row],[WorkLifeBalance]],Table20[WorkLifeBalance],Table20[Deskripsi])</f>
        <v>Good</v>
      </c>
      <c r="BA1164">
        <v>13</v>
      </c>
      <c r="BB1164">
        <v>12</v>
      </c>
      <c r="BC1164">
        <v>6</v>
      </c>
      <c r="BD1164">
        <v>0</v>
      </c>
    </row>
    <row r="1165" spans="1:56" x14ac:dyDescent="0.25">
      <c r="A1165">
        <v>37</v>
      </c>
      <c r="B1165" t="str">
        <f>_xlfn.XLOOKUP(Table1[[#This Row],[Attrition]],Table2[Attrition],Table2[Id_Attrition])</f>
        <v>A002</v>
      </c>
      <c r="C1165" t="s">
        <v>33</v>
      </c>
      <c r="D1165" t="str">
        <f>_xlfn.XLOOKUP(Table1[[#This Row],[BusinessTravel]],Table5[BusinessTravel],Table5[Id_BusinessTravel])</f>
        <v>BS001</v>
      </c>
      <c r="E1165" t="s">
        <v>34</v>
      </c>
      <c r="F1165">
        <v>1470</v>
      </c>
      <c r="G1165" t="str">
        <f>_xlfn.XLOOKUP(Table1[[#This Row],[Department]],Table6[Department],Table6[Id_Departement])</f>
        <v>D002</v>
      </c>
      <c r="H1165" t="s">
        <v>38</v>
      </c>
      <c r="I1165">
        <v>10</v>
      </c>
      <c r="J1165" t="str">
        <f>_xlfn.XLOOKUP(Table1[[#This Row],[Education]],Table8[Education],Table8[Id_Education])</f>
        <v>E003</v>
      </c>
      <c r="K1165">
        <v>3</v>
      </c>
      <c r="L1165" t="str">
        <f>_xlfn.XLOOKUP(Table1[[#This Row],[EducationField]],Table7[EducationField],Table7[Id_EducationField])</f>
        <v>EF003</v>
      </c>
      <c r="M1165" t="s">
        <v>42</v>
      </c>
      <c r="N1165" t="str">
        <f>_xlfn.XLOOKUP(Table1[[#This Row],[EmployeeNumber]],Table4[EmployeeNumber],Table4[Id_Employee])</f>
        <v>EMP01164</v>
      </c>
      <c r="O1165">
        <v>1640</v>
      </c>
      <c r="P1165" t="str">
        <f>_xlfn.XLOOKUP(Table1[[#This Row],[EnvironmentSatisfaction]],Table9[EnvironmentSatisfaction],Table9[Id_EnviromentSatisfaction])</f>
        <v>ES002</v>
      </c>
      <c r="Q1165">
        <v>2</v>
      </c>
      <c r="R1165" t="str">
        <f>_xlfn.XLOOKUP(Table1[[#This Row],[EnvironmentSatisfaction]],Table9[EnvironmentSatisfaction],Table9[Deskripsi])</f>
        <v>Medium</v>
      </c>
      <c r="S1165" t="str">
        <f>_xlfn.XLOOKUP(Table1[[#This Row],[Gender]],Table10[Gender],Table10[Id_Gender])</f>
        <v>G001</v>
      </c>
      <c r="T1165" t="s">
        <v>45</v>
      </c>
      <c r="U1165">
        <v>71</v>
      </c>
      <c r="V1165" t="str">
        <f>_xlfn.XLOOKUP(Table1[[#This Row],[JobInvolvement]],Table11[JobInvolvement],Table11[Id_JobInvolvement])</f>
        <v>JI003</v>
      </c>
      <c r="W1165">
        <v>3</v>
      </c>
      <c r="X1165" t="str">
        <f>_xlfn.XLOOKUP(Table1[[#This Row],[JobLevel]],Table12[JobLevel],Table12[Id_JobLevel])</f>
        <v>JL001</v>
      </c>
      <c r="Y1165">
        <v>1</v>
      </c>
      <c r="Z1165" t="str">
        <f>_xlfn.XLOOKUP(Table1[[#This Row],[JobRole]],Table13[JobRole],Table13[Id_JobRole])</f>
        <v>JR002</v>
      </c>
      <c r="AA1165" t="s">
        <v>48</v>
      </c>
      <c r="AB1165" t="str">
        <f>_xlfn.XLOOKUP(Table1[[#This Row],[JobSatisfaction]],Table14[JobSatisfaction],Table14[Id_JobSatisfaction])</f>
        <v>JS002</v>
      </c>
      <c r="AC1165">
        <v>2</v>
      </c>
      <c r="AD1165" t="str">
        <f>_xlfn.XLOOKUP(Table1[[#This Row],[JobSatisfaction]],Table14[JobSatisfaction],Table14[Deskripsi])</f>
        <v>Medium</v>
      </c>
      <c r="AE1165" t="str">
        <f>_xlfn.XLOOKUP(Table1[[#This Row],[MaritalStatus]],Table15[MaritalStatus],Table15[Id_MaritalStatus])</f>
        <v>MS002</v>
      </c>
      <c r="AF1165" t="s">
        <v>56</v>
      </c>
      <c r="AG1165">
        <v>3936</v>
      </c>
      <c r="AH1165">
        <v>9953</v>
      </c>
      <c r="AI1165">
        <v>1</v>
      </c>
      <c r="AJ1165" t="str">
        <f>_xlfn.XLOOKUP(Table1[[#This Row],[OverTime]],Table16[OverTime],Table16[Id_OverTime])</f>
        <v>OT002</v>
      </c>
      <c r="AK1165" t="s">
        <v>33</v>
      </c>
      <c r="AL1165">
        <v>11</v>
      </c>
      <c r="AM1165" t="str">
        <f>_xlfn.XLOOKUP(Table1[[#This Row],[PerformanceRating]],Table17[PerformanceRating],Table17[Id_PerformanceRating])</f>
        <v>PR003</v>
      </c>
      <c r="AN1165">
        <v>3</v>
      </c>
      <c r="AO1165" t="str">
        <f>_xlfn.XLOOKUP(Table1[[#This Row],[PerformanceRating]],Table17[PerformanceRating],Table17[Deskripsi])</f>
        <v>Excellent</v>
      </c>
      <c r="AP1165" t="str">
        <f>_xlfn.XLOOKUP(Table1[[#This Row],[RelationshipSatisfaction]],Table18[RelationshipSatisfaction],Table18[Id_RelationshipSatisfaction])</f>
        <v>RS001</v>
      </c>
      <c r="AQ1165">
        <v>1</v>
      </c>
      <c r="AR1165" t="str">
        <f>_xlfn.XLOOKUP(Table1[[#This Row],[RelationshipSatisfaction]],Table18[RelationshipSatisfaction],Table18[Deskripsi])</f>
        <v>Low</v>
      </c>
      <c r="AS1165" t="str">
        <f>_xlfn.XLOOKUP(Table1[[#This Row],[StockOptionLevel]],Table19[StockOptionLevel],Table19[Id_StockOptionLevel])</f>
        <v>SOL002</v>
      </c>
      <c r="AT1165">
        <v>1</v>
      </c>
      <c r="AU1165" t="str">
        <f>_xlfn.XLOOKUP(Table1[[#This Row],[StockOptionLevel]],Table19[StockOptionLevel],Table19[Deskripsi])</f>
        <v>Standard</v>
      </c>
      <c r="AV1165">
        <v>8</v>
      </c>
      <c r="AW1165">
        <v>2</v>
      </c>
      <c r="AX1165" t="str">
        <f>_xlfn.XLOOKUP(Table1[[#This Row],[WorkLifeBalance]],Table20[WorkLifeBalance],Table20[Id_WorkLifeBalance])</f>
        <v>WLB001</v>
      </c>
      <c r="AY1165">
        <v>1</v>
      </c>
      <c r="AZ1165" t="str">
        <f>_xlfn.XLOOKUP(Table1[[#This Row],[WorkLifeBalance]],Table20[WorkLifeBalance],Table20[Deskripsi])</f>
        <v>Bad</v>
      </c>
      <c r="BA1165">
        <v>8</v>
      </c>
      <c r="BB1165">
        <v>4</v>
      </c>
      <c r="BC1165">
        <v>7</v>
      </c>
      <c r="BD1165">
        <v>7</v>
      </c>
    </row>
    <row r="1166" spans="1:56" x14ac:dyDescent="0.25">
      <c r="A1166">
        <v>40</v>
      </c>
      <c r="B1166" t="str">
        <f>_xlfn.XLOOKUP(Table1[[#This Row],[Attrition]],Table2[Attrition],Table2[Id_Attrition])</f>
        <v>A002</v>
      </c>
      <c r="C1166" t="s">
        <v>33</v>
      </c>
      <c r="D1166" t="str">
        <f>_xlfn.XLOOKUP(Table1[[#This Row],[BusinessTravel]],Table5[BusinessTravel],Table5[Id_BusinessTravel])</f>
        <v>BS001</v>
      </c>
      <c r="E1166" t="s">
        <v>34</v>
      </c>
      <c r="F1166">
        <v>448</v>
      </c>
      <c r="G1166" t="str">
        <f>_xlfn.XLOOKUP(Table1[[#This Row],[Department]],Table6[Department],Table6[Id_Departement])</f>
        <v>D002</v>
      </c>
      <c r="H1166" t="s">
        <v>38</v>
      </c>
      <c r="I1166">
        <v>16</v>
      </c>
      <c r="J1166" t="str">
        <f>_xlfn.XLOOKUP(Table1[[#This Row],[Education]],Table8[Education],Table8[Id_Education])</f>
        <v>E003</v>
      </c>
      <c r="K1166">
        <v>3</v>
      </c>
      <c r="L1166" t="str">
        <f>_xlfn.XLOOKUP(Table1[[#This Row],[EducationField]],Table7[EducationField],Table7[Id_EducationField])</f>
        <v>EF001</v>
      </c>
      <c r="M1166" t="s">
        <v>40</v>
      </c>
      <c r="N1166" t="str">
        <f>_xlfn.XLOOKUP(Table1[[#This Row],[EmployeeNumber]],Table4[EmployeeNumber],Table4[Id_Employee])</f>
        <v>EMP01165</v>
      </c>
      <c r="O1166">
        <v>1641</v>
      </c>
      <c r="P1166" t="str">
        <f>_xlfn.XLOOKUP(Table1[[#This Row],[EnvironmentSatisfaction]],Table9[EnvironmentSatisfaction],Table9[Id_EnviromentSatisfaction])</f>
        <v>ES003</v>
      </c>
      <c r="Q1166">
        <v>3</v>
      </c>
      <c r="R1166" t="str">
        <f>_xlfn.XLOOKUP(Table1[[#This Row],[EnvironmentSatisfaction]],Table9[EnvironmentSatisfaction],Table9[Deskripsi])</f>
        <v>High</v>
      </c>
      <c r="S1166" t="str">
        <f>_xlfn.XLOOKUP(Table1[[#This Row],[Gender]],Table10[Gender],Table10[Id_Gender])</f>
        <v>G001</v>
      </c>
      <c r="T1166" t="s">
        <v>45</v>
      </c>
      <c r="U1166">
        <v>84</v>
      </c>
      <c r="V1166" t="str">
        <f>_xlfn.XLOOKUP(Table1[[#This Row],[JobInvolvement]],Table11[JobInvolvement],Table11[Id_JobInvolvement])</f>
        <v>JI003</v>
      </c>
      <c r="W1166">
        <v>3</v>
      </c>
      <c r="X1166" t="str">
        <f>_xlfn.XLOOKUP(Table1[[#This Row],[JobLevel]],Table12[JobLevel],Table12[Id_JobLevel])</f>
        <v>JL003</v>
      </c>
      <c r="Y1166">
        <v>3</v>
      </c>
      <c r="Z1166" t="str">
        <f>_xlfn.XLOOKUP(Table1[[#This Row],[JobRole]],Table13[JobRole],Table13[Id_JobRole])</f>
        <v>JR004</v>
      </c>
      <c r="AA1166" t="s">
        <v>50</v>
      </c>
      <c r="AB1166" t="str">
        <f>_xlfn.XLOOKUP(Table1[[#This Row],[JobSatisfaction]],Table14[JobSatisfaction],Table14[Id_JobSatisfaction])</f>
        <v>JS004</v>
      </c>
      <c r="AC1166">
        <v>4</v>
      </c>
      <c r="AD1166" t="str">
        <f>_xlfn.XLOOKUP(Table1[[#This Row],[JobSatisfaction]],Table14[JobSatisfaction],Table14[Deskripsi])</f>
        <v>Very High</v>
      </c>
      <c r="AE1166" t="str">
        <f>_xlfn.XLOOKUP(Table1[[#This Row],[MaritalStatus]],Table15[MaritalStatus],Table15[Id_MaritalStatus])</f>
        <v>MS001</v>
      </c>
      <c r="AF1166" t="s">
        <v>55</v>
      </c>
      <c r="AG1166">
        <v>7945</v>
      </c>
      <c r="AH1166">
        <v>19948</v>
      </c>
      <c r="AI1166">
        <v>6</v>
      </c>
      <c r="AJ1166" t="str">
        <f>_xlfn.XLOOKUP(Table1[[#This Row],[OverTime]],Table16[OverTime],Table16[Id_OverTime])</f>
        <v>OT001</v>
      </c>
      <c r="AK1166" t="s">
        <v>32</v>
      </c>
      <c r="AL1166">
        <v>15</v>
      </c>
      <c r="AM1166" t="str">
        <f>_xlfn.XLOOKUP(Table1[[#This Row],[PerformanceRating]],Table17[PerformanceRating],Table17[Id_PerformanceRating])</f>
        <v>PR003</v>
      </c>
      <c r="AN1166">
        <v>3</v>
      </c>
      <c r="AO1166" t="str">
        <f>_xlfn.XLOOKUP(Table1[[#This Row],[PerformanceRating]],Table17[PerformanceRating],Table17[Deskripsi])</f>
        <v>Excellent</v>
      </c>
      <c r="AP1166" t="str">
        <f>_xlfn.XLOOKUP(Table1[[#This Row],[RelationshipSatisfaction]],Table18[RelationshipSatisfaction],Table18[Id_RelationshipSatisfaction])</f>
        <v>RS004</v>
      </c>
      <c r="AQ1166">
        <v>4</v>
      </c>
      <c r="AR1166" t="str">
        <f>_xlfn.XLOOKUP(Table1[[#This Row],[RelationshipSatisfaction]],Table18[RelationshipSatisfaction],Table18[Deskripsi])</f>
        <v>Very High</v>
      </c>
      <c r="AS1166" t="str">
        <f>_xlfn.XLOOKUP(Table1[[#This Row],[StockOptionLevel]],Table19[StockOptionLevel],Table19[Id_StockOptionLevel])</f>
        <v>SOL001</v>
      </c>
      <c r="AT1166">
        <v>0</v>
      </c>
      <c r="AU1166" t="str">
        <f>_xlfn.XLOOKUP(Table1[[#This Row],[StockOptionLevel]],Table19[StockOptionLevel],Table19[Deskripsi])</f>
        <v>Non-Eligible</v>
      </c>
      <c r="AV1166">
        <v>18</v>
      </c>
      <c r="AW1166">
        <v>2</v>
      </c>
      <c r="AX1166" t="str">
        <f>_xlfn.XLOOKUP(Table1[[#This Row],[WorkLifeBalance]],Table20[WorkLifeBalance],Table20[Id_WorkLifeBalance])</f>
        <v>WLB003</v>
      </c>
      <c r="AY1166">
        <v>2</v>
      </c>
      <c r="AZ1166" t="str">
        <f>_xlfn.XLOOKUP(Table1[[#This Row],[WorkLifeBalance]],Table20[WorkLifeBalance],Table20[Deskripsi])</f>
        <v>Better</v>
      </c>
      <c r="BA1166">
        <v>4</v>
      </c>
      <c r="BB1166">
        <v>2</v>
      </c>
      <c r="BC1166">
        <v>3</v>
      </c>
      <c r="BD1166">
        <v>3</v>
      </c>
    </row>
    <row r="1167" spans="1:56" x14ac:dyDescent="0.25">
      <c r="A1167">
        <v>44</v>
      </c>
      <c r="B1167" t="str">
        <f>_xlfn.XLOOKUP(Table1[[#This Row],[Attrition]],Table2[Attrition],Table2[Id_Attrition])</f>
        <v>A002</v>
      </c>
      <c r="C1167" t="s">
        <v>33</v>
      </c>
      <c r="D1167" t="str">
        <f>_xlfn.XLOOKUP(Table1[[#This Row],[BusinessTravel]],Table5[BusinessTravel],Table5[Id_BusinessTravel])</f>
        <v>BS002</v>
      </c>
      <c r="E1167" t="s">
        <v>35</v>
      </c>
      <c r="F1167">
        <v>602</v>
      </c>
      <c r="G1167" t="str">
        <f>_xlfn.XLOOKUP(Table1[[#This Row],[Department]],Table6[Department],Table6[Id_Departement])</f>
        <v>D003</v>
      </c>
      <c r="H1167" t="s">
        <v>39</v>
      </c>
      <c r="I1167">
        <v>1</v>
      </c>
      <c r="J1167" t="str">
        <f>_xlfn.XLOOKUP(Table1[[#This Row],[Education]],Table8[Education],Table8[Id_Education])</f>
        <v>E005</v>
      </c>
      <c r="K1167">
        <v>5</v>
      </c>
      <c r="L1167" t="str">
        <f>_xlfn.XLOOKUP(Table1[[#This Row],[EducationField]],Table7[EducationField],Table7[Id_EducationField])</f>
        <v>EF006</v>
      </c>
      <c r="M1167" t="s">
        <v>39</v>
      </c>
      <c r="N1167" t="str">
        <f>_xlfn.XLOOKUP(Table1[[#This Row],[EmployeeNumber]],Table4[EmployeeNumber],Table4[Id_Employee])</f>
        <v>EMP01166</v>
      </c>
      <c r="O1167">
        <v>1642</v>
      </c>
      <c r="P1167" t="str">
        <f>_xlfn.XLOOKUP(Table1[[#This Row],[EnvironmentSatisfaction]],Table9[EnvironmentSatisfaction],Table9[Id_EnviromentSatisfaction])</f>
        <v>ES001</v>
      </c>
      <c r="Q1167">
        <v>1</v>
      </c>
      <c r="R1167" t="str">
        <f>_xlfn.XLOOKUP(Table1[[#This Row],[EnvironmentSatisfaction]],Table9[EnvironmentSatisfaction],Table9[Deskripsi])</f>
        <v>Low</v>
      </c>
      <c r="S1167" t="str">
        <f>_xlfn.XLOOKUP(Table1[[#This Row],[Gender]],Table10[Gender],Table10[Id_Gender])</f>
        <v>G002</v>
      </c>
      <c r="T1167" t="s">
        <v>46</v>
      </c>
      <c r="U1167">
        <v>37</v>
      </c>
      <c r="V1167" t="str">
        <f>_xlfn.XLOOKUP(Table1[[#This Row],[JobInvolvement]],Table11[JobInvolvement],Table11[Id_JobInvolvement])</f>
        <v>JI003</v>
      </c>
      <c r="W1167">
        <v>3</v>
      </c>
      <c r="X1167" t="str">
        <f>_xlfn.XLOOKUP(Table1[[#This Row],[JobLevel]],Table12[JobLevel],Table12[Id_JobLevel])</f>
        <v>JL002</v>
      </c>
      <c r="Y1167">
        <v>2</v>
      </c>
      <c r="Z1167" t="str">
        <f>_xlfn.XLOOKUP(Table1[[#This Row],[JobRole]],Table13[JobRole],Table13[Id_JobRole])</f>
        <v>JR009</v>
      </c>
      <c r="AA1167" t="s">
        <v>39</v>
      </c>
      <c r="AB1167" t="str">
        <f>_xlfn.XLOOKUP(Table1[[#This Row],[JobSatisfaction]],Table14[JobSatisfaction],Table14[Id_JobSatisfaction])</f>
        <v>JS004</v>
      </c>
      <c r="AC1167">
        <v>4</v>
      </c>
      <c r="AD1167" t="str">
        <f>_xlfn.XLOOKUP(Table1[[#This Row],[JobSatisfaction]],Table14[JobSatisfaction],Table14[Deskripsi])</f>
        <v>Very High</v>
      </c>
      <c r="AE1167" t="str">
        <f>_xlfn.XLOOKUP(Table1[[#This Row],[MaritalStatus]],Table15[MaritalStatus],Table15[Id_MaritalStatus])</f>
        <v>MS002</v>
      </c>
      <c r="AF1167" t="s">
        <v>56</v>
      </c>
      <c r="AG1167">
        <v>5743</v>
      </c>
      <c r="AH1167">
        <v>10503</v>
      </c>
      <c r="AI1167">
        <v>4</v>
      </c>
      <c r="AJ1167" t="str">
        <f>_xlfn.XLOOKUP(Table1[[#This Row],[OverTime]],Table16[OverTime],Table16[Id_OverTime])</f>
        <v>OT001</v>
      </c>
      <c r="AK1167" t="s">
        <v>32</v>
      </c>
      <c r="AL1167">
        <v>11</v>
      </c>
      <c r="AM1167" t="str">
        <f>_xlfn.XLOOKUP(Table1[[#This Row],[PerformanceRating]],Table17[PerformanceRating],Table17[Id_PerformanceRating])</f>
        <v>PR003</v>
      </c>
      <c r="AN1167">
        <v>3</v>
      </c>
      <c r="AO1167" t="str">
        <f>_xlfn.XLOOKUP(Table1[[#This Row],[PerformanceRating]],Table17[PerformanceRating],Table17[Deskripsi])</f>
        <v>Excellent</v>
      </c>
      <c r="AP1167" t="str">
        <f>_xlfn.XLOOKUP(Table1[[#This Row],[RelationshipSatisfaction]],Table18[RelationshipSatisfaction],Table18[Id_RelationshipSatisfaction])</f>
        <v>RS003</v>
      </c>
      <c r="AQ1167">
        <v>3</v>
      </c>
      <c r="AR1167" t="str">
        <f>_xlfn.XLOOKUP(Table1[[#This Row],[RelationshipSatisfaction]],Table18[RelationshipSatisfaction],Table18[Deskripsi])</f>
        <v>High</v>
      </c>
      <c r="AS1167" t="str">
        <f>_xlfn.XLOOKUP(Table1[[#This Row],[StockOptionLevel]],Table19[StockOptionLevel],Table19[Id_StockOptionLevel])</f>
        <v>SOL001</v>
      </c>
      <c r="AT1167">
        <v>0</v>
      </c>
      <c r="AU1167" t="str">
        <f>_xlfn.XLOOKUP(Table1[[#This Row],[StockOptionLevel]],Table19[StockOptionLevel],Table19[Deskripsi])</f>
        <v>Non-Eligible</v>
      </c>
      <c r="AV1167">
        <v>14</v>
      </c>
      <c r="AW1167">
        <v>3</v>
      </c>
      <c r="AX1167" t="str">
        <f>_xlfn.XLOOKUP(Table1[[#This Row],[WorkLifeBalance]],Table20[WorkLifeBalance],Table20[Id_WorkLifeBalance])</f>
        <v>WLB002</v>
      </c>
      <c r="AY1167">
        <v>3</v>
      </c>
      <c r="AZ1167" t="str">
        <f>_xlfn.XLOOKUP(Table1[[#This Row],[WorkLifeBalance]],Table20[WorkLifeBalance],Table20[Deskripsi])</f>
        <v>Good</v>
      </c>
      <c r="BA1167">
        <v>10</v>
      </c>
      <c r="BB1167">
        <v>7</v>
      </c>
      <c r="BC1167">
        <v>0</v>
      </c>
      <c r="BD1167">
        <v>2</v>
      </c>
    </row>
    <row r="1168" spans="1:56" x14ac:dyDescent="0.25">
      <c r="A1168">
        <v>48</v>
      </c>
      <c r="B1168" t="str">
        <f>_xlfn.XLOOKUP(Table1[[#This Row],[Attrition]],Table2[Attrition],Table2[Id_Attrition])</f>
        <v>A002</v>
      </c>
      <c r="C1168" t="s">
        <v>33</v>
      </c>
      <c r="D1168" t="str">
        <f>_xlfn.XLOOKUP(Table1[[#This Row],[BusinessTravel]],Table5[BusinessTravel],Table5[Id_BusinessTravel])</f>
        <v>BS002</v>
      </c>
      <c r="E1168" t="s">
        <v>35</v>
      </c>
      <c r="F1168">
        <v>365</v>
      </c>
      <c r="G1168" t="str">
        <f>_xlfn.XLOOKUP(Table1[[#This Row],[Department]],Table6[Department],Table6[Id_Departement])</f>
        <v>D002</v>
      </c>
      <c r="H1168" t="s">
        <v>38</v>
      </c>
      <c r="I1168">
        <v>4</v>
      </c>
      <c r="J1168" t="str">
        <f>_xlfn.XLOOKUP(Table1[[#This Row],[Education]],Table8[Education],Table8[Id_Education])</f>
        <v>E005</v>
      </c>
      <c r="K1168">
        <v>5</v>
      </c>
      <c r="L1168" t="str">
        <f>_xlfn.XLOOKUP(Table1[[#This Row],[EducationField]],Table7[EducationField],Table7[Id_EducationField])</f>
        <v>EF003</v>
      </c>
      <c r="M1168" t="s">
        <v>42</v>
      </c>
      <c r="N1168" t="str">
        <f>_xlfn.XLOOKUP(Table1[[#This Row],[EmployeeNumber]],Table4[EmployeeNumber],Table4[Id_Employee])</f>
        <v>EMP01167</v>
      </c>
      <c r="O1168">
        <v>1644</v>
      </c>
      <c r="P1168" t="str">
        <f>_xlfn.XLOOKUP(Table1[[#This Row],[EnvironmentSatisfaction]],Table9[EnvironmentSatisfaction],Table9[Id_EnviromentSatisfaction])</f>
        <v>ES003</v>
      </c>
      <c r="Q1168">
        <v>3</v>
      </c>
      <c r="R1168" t="str">
        <f>_xlfn.XLOOKUP(Table1[[#This Row],[EnvironmentSatisfaction]],Table9[EnvironmentSatisfaction],Table9[Deskripsi])</f>
        <v>High</v>
      </c>
      <c r="S1168" t="str">
        <f>_xlfn.XLOOKUP(Table1[[#This Row],[Gender]],Table10[Gender],Table10[Id_Gender])</f>
        <v>G002</v>
      </c>
      <c r="T1168" t="s">
        <v>46</v>
      </c>
      <c r="U1168">
        <v>89</v>
      </c>
      <c r="V1168" t="str">
        <f>_xlfn.XLOOKUP(Table1[[#This Row],[JobInvolvement]],Table11[JobInvolvement],Table11[Id_JobInvolvement])</f>
        <v>JI002</v>
      </c>
      <c r="W1168">
        <v>2</v>
      </c>
      <c r="X1168" t="str">
        <f>_xlfn.XLOOKUP(Table1[[#This Row],[JobLevel]],Table12[JobLevel],Table12[Id_JobLevel])</f>
        <v>JL004</v>
      </c>
      <c r="Y1168">
        <v>4</v>
      </c>
      <c r="Z1168" t="str">
        <f>_xlfn.XLOOKUP(Table1[[#This Row],[JobRole]],Table13[JobRole],Table13[Id_JobRole])</f>
        <v>JR006</v>
      </c>
      <c r="AA1168" t="s">
        <v>52</v>
      </c>
      <c r="AB1168" t="str">
        <f>_xlfn.XLOOKUP(Table1[[#This Row],[JobSatisfaction]],Table14[JobSatisfaction],Table14[Id_JobSatisfaction])</f>
        <v>JS004</v>
      </c>
      <c r="AC1168">
        <v>4</v>
      </c>
      <c r="AD1168" t="str">
        <f>_xlfn.XLOOKUP(Table1[[#This Row],[JobSatisfaction]],Table14[JobSatisfaction],Table14[Deskripsi])</f>
        <v>Very High</v>
      </c>
      <c r="AE1168" t="str">
        <f>_xlfn.XLOOKUP(Table1[[#This Row],[MaritalStatus]],Table15[MaritalStatus],Table15[Id_MaritalStatus])</f>
        <v>MS002</v>
      </c>
      <c r="AF1168" t="s">
        <v>56</v>
      </c>
      <c r="AG1168">
        <v>15202</v>
      </c>
      <c r="AH1168">
        <v>5602</v>
      </c>
      <c r="AI1168">
        <v>2</v>
      </c>
      <c r="AJ1168" t="str">
        <f>_xlfn.XLOOKUP(Table1[[#This Row],[OverTime]],Table16[OverTime],Table16[Id_OverTime])</f>
        <v>OT002</v>
      </c>
      <c r="AK1168" t="s">
        <v>33</v>
      </c>
      <c r="AL1168">
        <v>25</v>
      </c>
      <c r="AM1168" t="str">
        <f>_xlfn.XLOOKUP(Table1[[#This Row],[PerformanceRating]],Table17[PerformanceRating],Table17[Id_PerformanceRating])</f>
        <v>PR004</v>
      </c>
      <c r="AN1168">
        <v>4</v>
      </c>
      <c r="AO1168" t="str">
        <f>_xlfn.XLOOKUP(Table1[[#This Row],[PerformanceRating]],Table17[PerformanceRating],Table17[Deskripsi])</f>
        <v>Outstanding</v>
      </c>
      <c r="AP1168" t="str">
        <f>_xlfn.XLOOKUP(Table1[[#This Row],[RelationshipSatisfaction]],Table18[RelationshipSatisfaction],Table18[Id_RelationshipSatisfaction])</f>
        <v>RS002</v>
      </c>
      <c r="AQ1168">
        <v>2</v>
      </c>
      <c r="AR1168" t="str">
        <f>_xlfn.XLOOKUP(Table1[[#This Row],[RelationshipSatisfaction]],Table18[RelationshipSatisfaction],Table18[Deskripsi])</f>
        <v>Medium</v>
      </c>
      <c r="AS1168" t="str">
        <f>_xlfn.XLOOKUP(Table1[[#This Row],[StockOptionLevel]],Table19[StockOptionLevel],Table19[Id_StockOptionLevel])</f>
        <v>SOL002</v>
      </c>
      <c r="AT1168">
        <v>1</v>
      </c>
      <c r="AU1168" t="str">
        <f>_xlfn.XLOOKUP(Table1[[#This Row],[StockOptionLevel]],Table19[StockOptionLevel],Table19[Deskripsi])</f>
        <v>Standard</v>
      </c>
      <c r="AV1168">
        <v>23</v>
      </c>
      <c r="AW1168">
        <v>3</v>
      </c>
      <c r="AX1168" t="str">
        <f>_xlfn.XLOOKUP(Table1[[#This Row],[WorkLifeBalance]],Table20[WorkLifeBalance],Table20[Id_WorkLifeBalance])</f>
        <v>WLB002</v>
      </c>
      <c r="AY1168">
        <v>3</v>
      </c>
      <c r="AZ1168" t="str">
        <f>_xlfn.XLOOKUP(Table1[[#This Row],[WorkLifeBalance]],Table20[WorkLifeBalance],Table20[Deskripsi])</f>
        <v>Good</v>
      </c>
      <c r="BA1168">
        <v>2</v>
      </c>
      <c r="BB1168">
        <v>2</v>
      </c>
      <c r="BC1168">
        <v>2</v>
      </c>
      <c r="BD1168">
        <v>2</v>
      </c>
    </row>
    <row r="1169" spans="1:56" x14ac:dyDescent="0.25">
      <c r="A1169">
        <v>35</v>
      </c>
      <c r="B1169" t="str">
        <f>_xlfn.XLOOKUP(Table1[[#This Row],[Attrition]],Table2[Attrition],Table2[Id_Attrition])</f>
        <v>A001</v>
      </c>
      <c r="C1169" t="s">
        <v>32</v>
      </c>
      <c r="D1169" t="str">
        <f>_xlfn.XLOOKUP(Table1[[#This Row],[BusinessTravel]],Table5[BusinessTravel],Table5[Id_BusinessTravel])</f>
        <v>BS001</v>
      </c>
      <c r="E1169" t="s">
        <v>34</v>
      </c>
      <c r="F1169">
        <v>763</v>
      </c>
      <c r="G1169" t="str">
        <f>_xlfn.XLOOKUP(Table1[[#This Row],[Department]],Table6[Department],Table6[Id_Departement])</f>
        <v>D001</v>
      </c>
      <c r="H1169" t="s">
        <v>37</v>
      </c>
      <c r="I1169">
        <v>15</v>
      </c>
      <c r="J1169" t="str">
        <f>_xlfn.XLOOKUP(Table1[[#This Row],[Education]],Table8[Education],Table8[Id_Education])</f>
        <v>E002</v>
      </c>
      <c r="K1169">
        <v>2</v>
      </c>
      <c r="L1169" t="str">
        <f>_xlfn.XLOOKUP(Table1[[#This Row],[EducationField]],Table7[EducationField],Table7[Id_EducationField])</f>
        <v>EF003</v>
      </c>
      <c r="M1169" t="s">
        <v>42</v>
      </c>
      <c r="N1169" t="str">
        <f>_xlfn.XLOOKUP(Table1[[#This Row],[EmployeeNumber]],Table4[EmployeeNumber],Table4[Id_Employee])</f>
        <v>EMP01168</v>
      </c>
      <c r="O1169">
        <v>1645</v>
      </c>
      <c r="P1169" t="str">
        <f>_xlfn.XLOOKUP(Table1[[#This Row],[EnvironmentSatisfaction]],Table9[EnvironmentSatisfaction],Table9[Id_EnviromentSatisfaction])</f>
        <v>ES001</v>
      </c>
      <c r="Q1169">
        <v>1</v>
      </c>
      <c r="R1169" t="str">
        <f>_xlfn.XLOOKUP(Table1[[#This Row],[EnvironmentSatisfaction]],Table9[EnvironmentSatisfaction],Table9[Deskripsi])</f>
        <v>Low</v>
      </c>
      <c r="S1169" t="str">
        <f>_xlfn.XLOOKUP(Table1[[#This Row],[Gender]],Table10[Gender],Table10[Id_Gender])</f>
        <v>G002</v>
      </c>
      <c r="T1169" t="s">
        <v>46</v>
      </c>
      <c r="U1169">
        <v>59</v>
      </c>
      <c r="V1169" t="str">
        <f>_xlfn.XLOOKUP(Table1[[#This Row],[JobInvolvement]],Table11[JobInvolvement],Table11[Id_JobInvolvement])</f>
        <v>JI001</v>
      </c>
      <c r="W1169">
        <v>1</v>
      </c>
      <c r="X1169" t="str">
        <f>_xlfn.XLOOKUP(Table1[[#This Row],[JobLevel]],Table12[JobLevel],Table12[Id_JobLevel])</f>
        <v>JL002</v>
      </c>
      <c r="Y1169">
        <v>2</v>
      </c>
      <c r="Z1169" t="str">
        <f>_xlfn.XLOOKUP(Table1[[#This Row],[JobRole]],Table13[JobRole],Table13[Id_JobRole])</f>
        <v>JR001</v>
      </c>
      <c r="AA1169" t="s">
        <v>47</v>
      </c>
      <c r="AB1169" t="str">
        <f>_xlfn.XLOOKUP(Table1[[#This Row],[JobSatisfaction]],Table14[JobSatisfaction],Table14[Id_JobSatisfaction])</f>
        <v>JS004</v>
      </c>
      <c r="AC1169">
        <v>4</v>
      </c>
      <c r="AD1169" t="str">
        <f>_xlfn.XLOOKUP(Table1[[#This Row],[JobSatisfaction]],Table14[JobSatisfaction],Table14[Deskripsi])</f>
        <v>Very High</v>
      </c>
      <c r="AE1169" t="str">
        <f>_xlfn.XLOOKUP(Table1[[#This Row],[MaritalStatus]],Table15[MaritalStatus],Table15[Id_MaritalStatus])</f>
        <v>MS003</v>
      </c>
      <c r="AF1169" t="s">
        <v>57</v>
      </c>
      <c r="AG1169">
        <v>5440</v>
      </c>
      <c r="AH1169">
        <v>22098</v>
      </c>
      <c r="AI1169">
        <v>6</v>
      </c>
      <c r="AJ1169" t="str">
        <f>_xlfn.XLOOKUP(Table1[[#This Row],[OverTime]],Table16[OverTime],Table16[Id_OverTime])</f>
        <v>OT001</v>
      </c>
      <c r="AK1169" t="s">
        <v>32</v>
      </c>
      <c r="AL1169">
        <v>14</v>
      </c>
      <c r="AM1169" t="str">
        <f>_xlfn.XLOOKUP(Table1[[#This Row],[PerformanceRating]],Table17[PerformanceRating],Table17[Id_PerformanceRating])</f>
        <v>PR003</v>
      </c>
      <c r="AN1169">
        <v>3</v>
      </c>
      <c r="AO1169" t="str">
        <f>_xlfn.XLOOKUP(Table1[[#This Row],[PerformanceRating]],Table17[PerformanceRating],Table17[Deskripsi])</f>
        <v>Excellent</v>
      </c>
      <c r="AP1169" t="str">
        <f>_xlfn.XLOOKUP(Table1[[#This Row],[RelationshipSatisfaction]],Table18[RelationshipSatisfaction],Table18[Id_RelationshipSatisfaction])</f>
        <v>RS004</v>
      </c>
      <c r="AQ1169">
        <v>4</v>
      </c>
      <c r="AR1169" t="str">
        <f>_xlfn.XLOOKUP(Table1[[#This Row],[RelationshipSatisfaction]],Table18[RelationshipSatisfaction],Table18[Deskripsi])</f>
        <v>Very High</v>
      </c>
      <c r="AS1169" t="str">
        <f>_xlfn.XLOOKUP(Table1[[#This Row],[StockOptionLevel]],Table19[StockOptionLevel],Table19[Id_StockOptionLevel])</f>
        <v>SOL003</v>
      </c>
      <c r="AT1169">
        <v>2</v>
      </c>
      <c r="AU1169" t="str">
        <f>_xlfn.XLOOKUP(Table1[[#This Row],[StockOptionLevel]],Table19[StockOptionLevel],Table19[Deskripsi])</f>
        <v>Intermediate</v>
      </c>
      <c r="AV1169">
        <v>7</v>
      </c>
      <c r="AW1169">
        <v>2</v>
      </c>
      <c r="AX1169" t="str">
        <f>_xlfn.XLOOKUP(Table1[[#This Row],[WorkLifeBalance]],Table20[WorkLifeBalance],Table20[Id_WorkLifeBalance])</f>
        <v>WLB003</v>
      </c>
      <c r="AY1169">
        <v>2</v>
      </c>
      <c r="AZ1169" t="str">
        <f>_xlfn.XLOOKUP(Table1[[#This Row],[WorkLifeBalance]],Table20[WorkLifeBalance],Table20[Deskripsi])</f>
        <v>Better</v>
      </c>
      <c r="BA1169">
        <v>2</v>
      </c>
      <c r="BB1169">
        <v>2</v>
      </c>
      <c r="BC1169">
        <v>2</v>
      </c>
      <c r="BD1169">
        <v>2</v>
      </c>
    </row>
    <row r="1170" spans="1:56" x14ac:dyDescent="0.25">
      <c r="A1170">
        <v>24</v>
      </c>
      <c r="B1170" t="str">
        <f>_xlfn.XLOOKUP(Table1[[#This Row],[Attrition]],Table2[Attrition],Table2[Id_Attrition])</f>
        <v>A002</v>
      </c>
      <c r="C1170" t="s">
        <v>33</v>
      </c>
      <c r="D1170" t="str">
        <f>_xlfn.XLOOKUP(Table1[[#This Row],[BusinessTravel]],Table5[BusinessTravel],Table5[Id_BusinessTravel])</f>
        <v>BS002</v>
      </c>
      <c r="E1170" t="s">
        <v>35</v>
      </c>
      <c r="F1170">
        <v>567</v>
      </c>
      <c r="G1170" t="str">
        <f>_xlfn.XLOOKUP(Table1[[#This Row],[Department]],Table6[Department],Table6[Id_Departement])</f>
        <v>D002</v>
      </c>
      <c r="H1170" t="s">
        <v>38</v>
      </c>
      <c r="I1170">
        <v>2</v>
      </c>
      <c r="J1170" t="str">
        <f>_xlfn.XLOOKUP(Table1[[#This Row],[Education]],Table8[Education],Table8[Id_Education])</f>
        <v>E001</v>
      </c>
      <c r="K1170">
        <v>1</v>
      </c>
      <c r="L1170" t="str">
        <f>_xlfn.XLOOKUP(Table1[[#This Row],[EducationField]],Table7[EducationField],Table7[Id_EducationField])</f>
        <v>EF005</v>
      </c>
      <c r="M1170" t="s">
        <v>44</v>
      </c>
      <c r="N1170" t="str">
        <f>_xlfn.XLOOKUP(Table1[[#This Row],[EmployeeNumber]],Table4[EmployeeNumber],Table4[Id_Employee])</f>
        <v>EMP01169</v>
      </c>
      <c r="O1170">
        <v>1646</v>
      </c>
      <c r="P1170" t="str">
        <f>_xlfn.XLOOKUP(Table1[[#This Row],[EnvironmentSatisfaction]],Table9[EnvironmentSatisfaction],Table9[Id_EnviromentSatisfaction])</f>
        <v>ES001</v>
      </c>
      <c r="Q1170">
        <v>1</v>
      </c>
      <c r="R1170" t="str">
        <f>_xlfn.XLOOKUP(Table1[[#This Row],[EnvironmentSatisfaction]],Table9[EnvironmentSatisfaction],Table9[Deskripsi])</f>
        <v>Low</v>
      </c>
      <c r="S1170" t="str">
        <f>_xlfn.XLOOKUP(Table1[[#This Row],[Gender]],Table10[Gender],Table10[Id_Gender])</f>
        <v>G001</v>
      </c>
      <c r="T1170" t="s">
        <v>45</v>
      </c>
      <c r="U1170">
        <v>32</v>
      </c>
      <c r="V1170" t="str">
        <f>_xlfn.XLOOKUP(Table1[[#This Row],[JobInvolvement]],Table11[JobInvolvement],Table11[Id_JobInvolvement])</f>
        <v>JI003</v>
      </c>
      <c r="W1170">
        <v>3</v>
      </c>
      <c r="X1170" t="str">
        <f>_xlfn.XLOOKUP(Table1[[#This Row],[JobLevel]],Table12[JobLevel],Table12[Id_JobLevel])</f>
        <v>JL001</v>
      </c>
      <c r="Y1170">
        <v>1</v>
      </c>
      <c r="Z1170" t="str">
        <f>_xlfn.XLOOKUP(Table1[[#This Row],[JobRole]],Table13[JobRole],Table13[Id_JobRole])</f>
        <v>JR002</v>
      </c>
      <c r="AA1170" t="s">
        <v>48</v>
      </c>
      <c r="AB1170" t="str">
        <f>_xlfn.XLOOKUP(Table1[[#This Row],[JobSatisfaction]],Table14[JobSatisfaction],Table14[Id_JobSatisfaction])</f>
        <v>JS004</v>
      </c>
      <c r="AC1170">
        <v>4</v>
      </c>
      <c r="AD1170" t="str">
        <f>_xlfn.XLOOKUP(Table1[[#This Row],[JobSatisfaction]],Table14[JobSatisfaction],Table14[Deskripsi])</f>
        <v>Very High</v>
      </c>
      <c r="AE1170" t="str">
        <f>_xlfn.XLOOKUP(Table1[[#This Row],[MaritalStatus]],Table15[MaritalStatus],Table15[Id_MaritalStatus])</f>
        <v>MS001</v>
      </c>
      <c r="AF1170" t="s">
        <v>55</v>
      </c>
      <c r="AG1170">
        <v>3760</v>
      </c>
      <c r="AH1170">
        <v>17218</v>
      </c>
      <c r="AI1170">
        <v>1</v>
      </c>
      <c r="AJ1170" t="str">
        <f>_xlfn.XLOOKUP(Table1[[#This Row],[OverTime]],Table16[OverTime],Table16[Id_OverTime])</f>
        <v>OT001</v>
      </c>
      <c r="AK1170" t="s">
        <v>32</v>
      </c>
      <c r="AL1170">
        <v>13</v>
      </c>
      <c r="AM1170" t="str">
        <f>_xlfn.XLOOKUP(Table1[[#This Row],[PerformanceRating]],Table17[PerformanceRating],Table17[Id_PerformanceRating])</f>
        <v>PR003</v>
      </c>
      <c r="AN1170">
        <v>3</v>
      </c>
      <c r="AO1170" t="str">
        <f>_xlfn.XLOOKUP(Table1[[#This Row],[PerformanceRating]],Table17[PerformanceRating],Table17[Deskripsi])</f>
        <v>Excellent</v>
      </c>
      <c r="AP1170" t="str">
        <f>_xlfn.XLOOKUP(Table1[[#This Row],[RelationshipSatisfaction]],Table18[RelationshipSatisfaction],Table18[Id_RelationshipSatisfaction])</f>
        <v>RS003</v>
      </c>
      <c r="AQ1170">
        <v>3</v>
      </c>
      <c r="AR1170" t="str">
        <f>_xlfn.XLOOKUP(Table1[[#This Row],[RelationshipSatisfaction]],Table18[RelationshipSatisfaction],Table18[Deskripsi])</f>
        <v>High</v>
      </c>
      <c r="AS1170" t="str">
        <f>_xlfn.XLOOKUP(Table1[[#This Row],[StockOptionLevel]],Table19[StockOptionLevel],Table19[Id_StockOptionLevel])</f>
        <v>SOL001</v>
      </c>
      <c r="AT1170">
        <v>0</v>
      </c>
      <c r="AU1170" t="str">
        <f>_xlfn.XLOOKUP(Table1[[#This Row],[StockOptionLevel]],Table19[StockOptionLevel],Table19[Deskripsi])</f>
        <v>Non-Eligible</v>
      </c>
      <c r="AV1170">
        <v>6</v>
      </c>
      <c r="AW1170">
        <v>2</v>
      </c>
      <c r="AX1170" t="str">
        <f>_xlfn.XLOOKUP(Table1[[#This Row],[WorkLifeBalance]],Table20[WorkLifeBalance],Table20[Id_WorkLifeBalance])</f>
        <v>WLB002</v>
      </c>
      <c r="AY1170">
        <v>3</v>
      </c>
      <c r="AZ1170" t="str">
        <f>_xlfn.XLOOKUP(Table1[[#This Row],[WorkLifeBalance]],Table20[WorkLifeBalance],Table20[Deskripsi])</f>
        <v>Good</v>
      </c>
      <c r="BA1170">
        <v>6</v>
      </c>
      <c r="BB1170">
        <v>3</v>
      </c>
      <c r="BC1170">
        <v>1</v>
      </c>
      <c r="BD1170">
        <v>3</v>
      </c>
    </row>
    <row r="1171" spans="1:56" x14ac:dyDescent="0.25">
      <c r="A1171">
        <v>27</v>
      </c>
      <c r="B1171" t="str">
        <f>_xlfn.XLOOKUP(Table1[[#This Row],[Attrition]],Table2[Attrition],Table2[Id_Attrition])</f>
        <v>A002</v>
      </c>
      <c r="C1171" t="s">
        <v>33</v>
      </c>
      <c r="D1171" t="str">
        <f>_xlfn.XLOOKUP(Table1[[#This Row],[BusinessTravel]],Table5[BusinessTravel],Table5[Id_BusinessTravel])</f>
        <v>BS001</v>
      </c>
      <c r="E1171" t="s">
        <v>34</v>
      </c>
      <c r="F1171">
        <v>486</v>
      </c>
      <c r="G1171" t="str">
        <f>_xlfn.XLOOKUP(Table1[[#This Row],[Department]],Table6[Department],Table6[Id_Departement])</f>
        <v>D002</v>
      </c>
      <c r="H1171" t="s">
        <v>38</v>
      </c>
      <c r="I1171">
        <v>8</v>
      </c>
      <c r="J1171" t="str">
        <f>_xlfn.XLOOKUP(Table1[[#This Row],[Education]],Table8[Education],Table8[Id_Education])</f>
        <v>E003</v>
      </c>
      <c r="K1171">
        <v>3</v>
      </c>
      <c r="L1171" t="str">
        <f>_xlfn.XLOOKUP(Table1[[#This Row],[EducationField]],Table7[EducationField],Table7[Id_EducationField])</f>
        <v>EF003</v>
      </c>
      <c r="M1171" t="s">
        <v>42</v>
      </c>
      <c r="N1171" t="str">
        <f>_xlfn.XLOOKUP(Table1[[#This Row],[EmployeeNumber]],Table4[EmployeeNumber],Table4[Id_Employee])</f>
        <v>EMP01170</v>
      </c>
      <c r="O1171">
        <v>1647</v>
      </c>
      <c r="P1171" t="str">
        <f>_xlfn.XLOOKUP(Table1[[#This Row],[EnvironmentSatisfaction]],Table9[EnvironmentSatisfaction],Table9[Id_EnviromentSatisfaction])</f>
        <v>ES002</v>
      </c>
      <c r="Q1171">
        <v>2</v>
      </c>
      <c r="R1171" t="str">
        <f>_xlfn.XLOOKUP(Table1[[#This Row],[EnvironmentSatisfaction]],Table9[EnvironmentSatisfaction],Table9[Deskripsi])</f>
        <v>Medium</v>
      </c>
      <c r="S1171" t="str">
        <f>_xlfn.XLOOKUP(Table1[[#This Row],[Gender]],Table10[Gender],Table10[Id_Gender])</f>
        <v>G001</v>
      </c>
      <c r="T1171" t="s">
        <v>45</v>
      </c>
      <c r="U1171">
        <v>86</v>
      </c>
      <c r="V1171" t="str">
        <f>_xlfn.XLOOKUP(Table1[[#This Row],[JobInvolvement]],Table11[JobInvolvement],Table11[Id_JobInvolvement])</f>
        <v>JI004</v>
      </c>
      <c r="W1171">
        <v>4</v>
      </c>
      <c r="X1171" t="str">
        <f>_xlfn.XLOOKUP(Table1[[#This Row],[JobLevel]],Table12[JobLevel],Table12[Id_JobLevel])</f>
        <v>JL001</v>
      </c>
      <c r="Y1171">
        <v>1</v>
      </c>
      <c r="Z1171" t="str">
        <f>_xlfn.XLOOKUP(Table1[[#This Row],[JobRole]],Table13[JobRole],Table13[Id_JobRole])</f>
        <v>JR002</v>
      </c>
      <c r="AA1171" t="s">
        <v>48</v>
      </c>
      <c r="AB1171" t="str">
        <f>_xlfn.XLOOKUP(Table1[[#This Row],[JobSatisfaction]],Table14[JobSatisfaction],Table14[Id_JobSatisfaction])</f>
        <v>JS003</v>
      </c>
      <c r="AC1171">
        <v>3</v>
      </c>
      <c r="AD1171" t="str">
        <f>_xlfn.XLOOKUP(Table1[[#This Row],[JobSatisfaction]],Table14[JobSatisfaction],Table14[Deskripsi])</f>
        <v>High</v>
      </c>
      <c r="AE1171" t="str">
        <f>_xlfn.XLOOKUP(Table1[[#This Row],[MaritalStatus]],Table15[MaritalStatus],Table15[Id_MaritalStatus])</f>
        <v>MS002</v>
      </c>
      <c r="AF1171" t="s">
        <v>56</v>
      </c>
      <c r="AG1171">
        <v>3517</v>
      </c>
      <c r="AH1171">
        <v>22490</v>
      </c>
      <c r="AI1171">
        <v>7</v>
      </c>
      <c r="AJ1171" t="str">
        <f>_xlfn.XLOOKUP(Table1[[#This Row],[OverTime]],Table16[OverTime],Table16[Id_OverTime])</f>
        <v>OT002</v>
      </c>
      <c r="AK1171" t="s">
        <v>33</v>
      </c>
      <c r="AL1171">
        <v>17</v>
      </c>
      <c r="AM1171" t="str">
        <f>_xlfn.XLOOKUP(Table1[[#This Row],[PerformanceRating]],Table17[PerformanceRating],Table17[Id_PerformanceRating])</f>
        <v>PR003</v>
      </c>
      <c r="AN1171">
        <v>3</v>
      </c>
      <c r="AO1171" t="str">
        <f>_xlfn.XLOOKUP(Table1[[#This Row],[PerformanceRating]],Table17[PerformanceRating],Table17[Deskripsi])</f>
        <v>Excellent</v>
      </c>
      <c r="AP1171" t="str">
        <f>_xlfn.XLOOKUP(Table1[[#This Row],[RelationshipSatisfaction]],Table18[RelationshipSatisfaction],Table18[Id_RelationshipSatisfaction])</f>
        <v>RS001</v>
      </c>
      <c r="AQ1171">
        <v>1</v>
      </c>
      <c r="AR1171" t="str">
        <f>_xlfn.XLOOKUP(Table1[[#This Row],[RelationshipSatisfaction]],Table18[RelationshipSatisfaction],Table18[Deskripsi])</f>
        <v>Low</v>
      </c>
      <c r="AS1171" t="str">
        <f>_xlfn.XLOOKUP(Table1[[#This Row],[StockOptionLevel]],Table19[StockOptionLevel],Table19[Id_StockOptionLevel])</f>
        <v>SOL001</v>
      </c>
      <c r="AT1171">
        <v>0</v>
      </c>
      <c r="AU1171" t="str">
        <f>_xlfn.XLOOKUP(Table1[[#This Row],[StockOptionLevel]],Table19[StockOptionLevel],Table19[Deskripsi])</f>
        <v>Non-Eligible</v>
      </c>
      <c r="AV1171">
        <v>5</v>
      </c>
      <c r="AW1171">
        <v>0</v>
      </c>
      <c r="AX1171" t="str">
        <f>_xlfn.XLOOKUP(Table1[[#This Row],[WorkLifeBalance]],Table20[WorkLifeBalance],Table20[Id_WorkLifeBalance])</f>
        <v>WLB002</v>
      </c>
      <c r="AY1171">
        <v>3</v>
      </c>
      <c r="AZ1171" t="str">
        <f>_xlfn.XLOOKUP(Table1[[#This Row],[WorkLifeBalance]],Table20[WorkLifeBalance],Table20[Deskripsi])</f>
        <v>Good</v>
      </c>
      <c r="BA1171">
        <v>3</v>
      </c>
      <c r="BB1171">
        <v>2</v>
      </c>
      <c r="BC1171">
        <v>0</v>
      </c>
      <c r="BD1171">
        <v>2</v>
      </c>
    </row>
    <row r="1172" spans="1:56" x14ac:dyDescent="0.25">
      <c r="A1172">
        <v>27</v>
      </c>
      <c r="B1172" t="str">
        <f>_xlfn.XLOOKUP(Table1[[#This Row],[Attrition]],Table2[Attrition],Table2[Id_Attrition])</f>
        <v>A002</v>
      </c>
      <c r="C1172" t="s">
        <v>33</v>
      </c>
      <c r="D1172" t="str">
        <f>_xlfn.XLOOKUP(Table1[[#This Row],[BusinessTravel]],Table5[BusinessTravel],Table5[Id_BusinessTravel])</f>
        <v>BS002</v>
      </c>
      <c r="E1172" t="s">
        <v>35</v>
      </c>
      <c r="F1172">
        <v>591</v>
      </c>
      <c r="G1172" t="str">
        <f>_xlfn.XLOOKUP(Table1[[#This Row],[Department]],Table6[Department],Table6[Id_Departement])</f>
        <v>D002</v>
      </c>
      <c r="H1172" t="s">
        <v>38</v>
      </c>
      <c r="I1172">
        <v>2</v>
      </c>
      <c r="J1172" t="str">
        <f>_xlfn.XLOOKUP(Table1[[#This Row],[Education]],Table8[Education],Table8[Id_Education])</f>
        <v>E003</v>
      </c>
      <c r="K1172">
        <v>3</v>
      </c>
      <c r="L1172" t="str">
        <f>_xlfn.XLOOKUP(Table1[[#This Row],[EducationField]],Table7[EducationField],Table7[Id_EducationField])</f>
        <v>EF003</v>
      </c>
      <c r="M1172" t="s">
        <v>42</v>
      </c>
      <c r="N1172" t="str">
        <f>_xlfn.XLOOKUP(Table1[[#This Row],[EmployeeNumber]],Table4[EmployeeNumber],Table4[Id_Employee])</f>
        <v>EMP01171</v>
      </c>
      <c r="O1172">
        <v>1648</v>
      </c>
      <c r="P1172" t="str">
        <f>_xlfn.XLOOKUP(Table1[[#This Row],[EnvironmentSatisfaction]],Table9[EnvironmentSatisfaction],Table9[Id_EnviromentSatisfaction])</f>
        <v>ES004</v>
      </c>
      <c r="Q1172">
        <v>4</v>
      </c>
      <c r="R1172" t="str">
        <f>_xlfn.XLOOKUP(Table1[[#This Row],[EnvironmentSatisfaction]],Table9[EnvironmentSatisfaction],Table9[Deskripsi])</f>
        <v>Very High</v>
      </c>
      <c r="S1172" t="str">
        <f>_xlfn.XLOOKUP(Table1[[#This Row],[Gender]],Table10[Gender],Table10[Id_Gender])</f>
        <v>G002</v>
      </c>
      <c r="T1172" t="s">
        <v>46</v>
      </c>
      <c r="U1172">
        <v>87</v>
      </c>
      <c r="V1172" t="str">
        <f>_xlfn.XLOOKUP(Table1[[#This Row],[JobInvolvement]],Table11[JobInvolvement],Table11[Id_JobInvolvement])</f>
        <v>JI003</v>
      </c>
      <c r="W1172">
        <v>3</v>
      </c>
      <c r="X1172" t="str">
        <f>_xlfn.XLOOKUP(Table1[[#This Row],[JobLevel]],Table12[JobLevel],Table12[Id_JobLevel])</f>
        <v>JL001</v>
      </c>
      <c r="Y1172">
        <v>1</v>
      </c>
      <c r="Z1172" t="str">
        <f>_xlfn.XLOOKUP(Table1[[#This Row],[JobRole]],Table13[JobRole],Table13[Id_JobRole])</f>
        <v>JR002</v>
      </c>
      <c r="AA1172" t="s">
        <v>48</v>
      </c>
      <c r="AB1172" t="str">
        <f>_xlfn.XLOOKUP(Table1[[#This Row],[JobSatisfaction]],Table14[JobSatisfaction],Table14[Id_JobSatisfaction])</f>
        <v>JS004</v>
      </c>
      <c r="AC1172">
        <v>4</v>
      </c>
      <c r="AD1172" t="str">
        <f>_xlfn.XLOOKUP(Table1[[#This Row],[JobSatisfaction]],Table14[JobSatisfaction],Table14[Deskripsi])</f>
        <v>Very High</v>
      </c>
      <c r="AE1172" t="str">
        <f>_xlfn.XLOOKUP(Table1[[#This Row],[MaritalStatus]],Table15[MaritalStatus],Table15[Id_MaritalStatus])</f>
        <v>MS001</v>
      </c>
      <c r="AF1172" t="s">
        <v>55</v>
      </c>
      <c r="AG1172">
        <v>2580</v>
      </c>
      <c r="AH1172">
        <v>6297</v>
      </c>
      <c r="AI1172">
        <v>2</v>
      </c>
      <c r="AJ1172" t="str">
        <f>_xlfn.XLOOKUP(Table1[[#This Row],[OverTime]],Table16[OverTime],Table16[Id_OverTime])</f>
        <v>OT002</v>
      </c>
      <c r="AK1172" t="s">
        <v>33</v>
      </c>
      <c r="AL1172">
        <v>13</v>
      </c>
      <c r="AM1172" t="str">
        <f>_xlfn.XLOOKUP(Table1[[#This Row],[PerformanceRating]],Table17[PerformanceRating],Table17[Id_PerformanceRating])</f>
        <v>PR003</v>
      </c>
      <c r="AN1172">
        <v>3</v>
      </c>
      <c r="AO1172" t="str">
        <f>_xlfn.XLOOKUP(Table1[[#This Row],[PerformanceRating]],Table17[PerformanceRating],Table17[Deskripsi])</f>
        <v>Excellent</v>
      </c>
      <c r="AP1172" t="str">
        <f>_xlfn.XLOOKUP(Table1[[#This Row],[RelationshipSatisfaction]],Table18[RelationshipSatisfaction],Table18[Id_RelationshipSatisfaction])</f>
        <v>RS003</v>
      </c>
      <c r="AQ1172">
        <v>3</v>
      </c>
      <c r="AR1172" t="str">
        <f>_xlfn.XLOOKUP(Table1[[#This Row],[RelationshipSatisfaction]],Table18[RelationshipSatisfaction],Table18[Deskripsi])</f>
        <v>High</v>
      </c>
      <c r="AS1172" t="str">
        <f>_xlfn.XLOOKUP(Table1[[#This Row],[StockOptionLevel]],Table19[StockOptionLevel],Table19[Id_StockOptionLevel])</f>
        <v>SOL001</v>
      </c>
      <c r="AT1172">
        <v>0</v>
      </c>
      <c r="AU1172" t="str">
        <f>_xlfn.XLOOKUP(Table1[[#This Row],[StockOptionLevel]],Table19[StockOptionLevel],Table19[Deskripsi])</f>
        <v>Non-Eligible</v>
      </c>
      <c r="AV1172">
        <v>6</v>
      </c>
      <c r="AW1172">
        <v>0</v>
      </c>
      <c r="AX1172" t="str">
        <f>_xlfn.XLOOKUP(Table1[[#This Row],[WorkLifeBalance]],Table20[WorkLifeBalance],Table20[Id_WorkLifeBalance])</f>
        <v>WLB003</v>
      </c>
      <c r="AY1172">
        <v>2</v>
      </c>
      <c r="AZ1172" t="str">
        <f>_xlfn.XLOOKUP(Table1[[#This Row],[WorkLifeBalance]],Table20[WorkLifeBalance],Table20[Deskripsi])</f>
        <v>Better</v>
      </c>
      <c r="BA1172">
        <v>4</v>
      </c>
      <c r="BB1172">
        <v>2</v>
      </c>
      <c r="BC1172">
        <v>1</v>
      </c>
      <c r="BD1172">
        <v>2</v>
      </c>
    </row>
    <row r="1173" spans="1:56" x14ac:dyDescent="0.25">
      <c r="A1173">
        <v>40</v>
      </c>
      <c r="B1173" t="str">
        <f>_xlfn.XLOOKUP(Table1[[#This Row],[Attrition]],Table2[Attrition],Table2[Id_Attrition])</f>
        <v>A001</v>
      </c>
      <c r="C1173" t="s">
        <v>32</v>
      </c>
      <c r="D1173" t="str">
        <f>_xlfn.XLOOKUP(Table1[[#This Row],[BusinessTravel]],Table5[BusinessTravel],Table5[Id_BusinessTravel])</f>
        <v>BS001</v>
      </c>
      <c r="E1173" t="s">
        <v>34</v>
      </c>
      <c r="F1173">
        <v>1329</v>
      </c>
      <c r="G1173" t="str">
        <f>_xlfn.XLOOKUP(Table1[[#This Row],[Department]],Table6[Department],Table6[Id_Departement])</f>
        <v>D002</v>
      </c>
      <c r="H1173" t="s">
        <v>38</v>
      </c>
      <c r="I1173">
        <v>7</v>
      </c>
      <c r="J1173" t="str">
        <f>_xlfn.XLOOKUP(Table1[[#This Row],[Education]],Table8[Education],Table8[Id_Education])</f>
        <v>E003</v>
      </c>
      <c r="K1173">
        <v>3</v>
      </c>
      <c r="L1173" t="str">
        <f>_xlfn.XLOOKUP(Table1[[#This Row],[EducationField]],Table7[EducationField],Table7[Id_EducationField])</f>
        <v>EF001</v>
      </c>
      <c r="M1173" t="s">
        <v>40</v>
      </c>
      <c r="N1173" t="str">
        <f>_xlfn.XLOOKUP(Table1[[#This Row],[EmployeeNumber]],Table4[EmployeeNumber],Table4[Id_Employee])</f>
        <v>EMP01172</v>
      </c>
      <c r="O1173">
        <v>1649</v>
      </c>
      <c r="P1173" t="str">
        <f>_xlfn.XLOOKUP(Table1[[#This Row],[EnvironmentSatisfaction]],Table9[EnvironmentSatisfaction],Table9[Id_EnviromentSatisfaction])</f>
        <v>ES001</v>
      </c>
      <c r="Q1173">
        <v>1</v>
      </c>
      <c r="R1173" t="str">
        <f>_xlfn.XLOOKUP(Table1[[#This Row],[EnvironmentSatisfaction]],Table9[EnvironmentSatisfaction],Table9[Deskripsi])</f>
        <v>Low</v>
      </c>
      <c r="S1173" t="str">
        <f>_xlfn.XLOOKUP(Table1[[#This Row],[Gender]],Table10[Gender],Table10[Id_Gender])</f>
        <v>G002</v>
      </c>
      <c r="T1173" t="s">
        <v>46</v>
      </c>
      <c r="U1173">
        <v>73</v>
      </c>
      <c r="V1173" t="str">
        <f>_xlfn.XLOOKUP(Table1[[#This Row],[JobInvolvement]],Table11[JobInvolvement],Table11[Id_JobInvolvement])</f>
        <v>JI003</v>
      </c>
      <c r="W1173">
        <v>3</v>
      </c>
      <c r="X1173" t="str">
        <f>_xlfn.XLOOKUP(Table1[[#This Row],[JobLevel]],Table12[JobLevel],Table12[Id_JobLevel])</f>
        <v>JL001</v>
      </c>
      <c r="Y1173">
        <v>1</v>
      </c>
      <c r="Z1173" t="str">
        <f>_xlfn.XLOOKUP(Table1[[#This Row],[JobRole]],Table13[JobRole],Table13[Id_JobRole])</f>
        <v>JR003</v>
      </c>
      <c r="AA1173" t="s">
        <v>49</v>
      </c>
      <c r="AB1173" t="str">
        <f>_xlfn.XLOOKUP(Table1[[#This Row],[JobSatisfaction]],Table14[JobSatisfaction],Table14[Id_JobSatisfaction])</f>
        <v>JS001</v>
      </c>
      <c r="AC1173">
        <v>1</v>
      </c>
      <c r="AD1173" t="str">
        <f>_xlfn.XLOOKUP(Table1[[#This Row],[JobSatisfaction]],Table14[JobSatisfaction],Table14[Deskripsi])</f>
        <v>Low</v>
      </c>
      <c r="AE1173" t="str">
        <f>_xlfn.XLOOKUP(Table1[[#This Row],[MaritalStatus]],Table15[MaritalStatus],Table15[Id_MaritalStatus])</f>
        <v>MS001</v>
      </c>
      <c r="AF1173" t="s">
        <v>55</v>
      </c>
      <c r="AG1173">
        <v>2166</v>
      </c>
      <c r="AH1173">
        <v>3339</v>
      </c>
      <c r="AI1173">
        <v>3</v>
      </c>
      <c r="AJ1173" t="str">
        <f>_xlfn.XLOOKUP(Table1[[#This Row],[OverTime]],Table16[OverTime],Table16[Id_OverTime])</f>
        <v>OT001</v>
      </c>
      <c r="AK1173" t="s">
        <v>32</v>
      </c>
      <c r="AL1173">
        <v>14</v>
      </c>
      <c r="AM1173" t="str">
        <f>_xlfn.XLOOKUP(Table1[[#This Row],[PerformanceRating]],Table17[PerformanceRating],Table17[Id_PerformanceRating])</f>
        <v>PR003</v>
      </c>
      <c r="AN1173">
        <v>3</v>
      </c>
      <c r="AO1173" t="str">
        <f>_xlfn.XLOOKUP(Table1[[#This Row],[PerformanceRating]],Table17[PerformanceRating],Table17[Deskripsi])</f>
        <v>Excellent</v>
      </c>
      <c r="AP1173" t="str">
        <f>_xlfn.XLOOKUP(Table1[[#This Row],[RelationshipSatisfaction]],Table18[RelationshipSatisfaction],Table18[Id_RelationshipSatisfaction])</f>
        <v>RS002</v>
      </c>
      <c r="AQ1173">
        <v>2</v>
      </c>
      <c r="AR1173" t="str">
        <f>_xlfn.XLOOKUP(Table1[[#This Row],[RelationshipSatisfaction]],Table18[RelationshipSatisfaction],Table18[Deskripsi])</f>
        <v>Medium</v>
      </c>
      <c r="AS1173" t="str">
        <f>_xlfn.XLOOKUP(Table1[[#This Row],[StockOptionLevel]],Table19[StockOptionLevel],Table19[Id_StockOptionLevel])</f>
        <v>SOL001</v>
      </c>
      <c r="AT1173">
        <v>0</v>
      </c>
      <c r="AU1173" t="str">
        <f>_xlfn.XLOOKUP(Table1[[#This Row],[StockOptionLevel]],Table19[StockOptionLevel],Table19[Deskripsi])</f>
        <v>Non-Eligible</v>
      </c>
      <c r="AV1173">
        <v>10</v>
      </c>
      <c r="AW1173">
        <v>3</v>
      </c>
      <c r="AX1173" t="str">
        <f>_xlfn.XLOOKUP(Table1[[#This Row],[WorkLifeBalance]],Table20[WorkLifeBalance],Table20[Id_WorkLifeBalance])</f>
        <v>WLB001</v>
      </c>
      <c r="AY1173">
        <v>1</v>
      </c>
      <c r="AZ1173" t="str">
        <f>_xlfn.XLOOKUP(Table1[[#This Row],[WorkLifeBalance]],Table20[WorkLifeBalance],Table20[Deskripsi])</f>
        <v>Bad</v>
      </c>
      <c r="BA1173">
        <v>4</v>
      </c>
      <c r="BB1173">
        <v>2</v>
      </c>
      <c r="BC1173">
        <v>0</v>
      </c>
      <c r="BD1173">
        <v>3</v>
      </c>
    </row>
    <row r="1174" spans="1:56" x14ac:dyDescent="0.25">
      <c r="A1174">
        <v>29</v>
      </c>
      <c r="B1174" t="str">
        <f>_xlfn.XLOOKUP(Table1[[#This Row],[Attrition]],Table2[Attrition],Table2[Id_Attrition])</f>
        <v>A002</v>
      </c>
      <c r="C1174" t="s">
        <v>33</v>
      </c>
      <c r="D1174" t="str">
        <f>_xlfn.XLOOKUP(Table1[[#This Row],[BusinessTravel]],Table5[BusinessTravel],Table5[Id_BusinessTravel])</f>
        <v>BS001</v>
      </c>
      <c r="E1174" t="s">
        <v>34</v>
      </c>
      <c r="F1174">
        <v>469</v>
      </c>
      <c r="G1174" t="str">
        <f>_xlfn.XLOOKUP(Table1[[#This Row],[Department]],Table6[Department],Table6[Id_Departement])</f>
        <v>D001</v>
      </c>
      <c r="H1174" t="s">
        <v>37</v>
      </c>
      <c r="I1174">
        <v>10</v>
      </c>
      <c r="J1174" t="str">
        <f>_xlfn.XLOOKUP(Table1[[#This Row],[Education]],Table8[Education],Table8[Id_Education])</f>
        <v>E003</v>
      </c>
      <c r="K1174">
        <v>3</v>
      </c>
      <c r="L1174" t="str">
        <f>_xlfn.XLOOKUP(Table1[[#This Row],[EducationField]],Table7[EducationField],Table7[Id_EducationField])</f>
        <v>EF003</v>
      </c>
      <c r="M1174" t="s">
        <v>42</v>
      </c>
      <c r="N1174" t="str">
        <f>_xlfn.XLOOKUP(Table1[[#This Row],[EmployeeNumber]],Table4[EmployeeNumber],Table4[Id_Employee])</f>
        <v>EMP01173</v>
      </c>
      <c r="O1174">
        <v>1650</v>
      </c>
      <c r="P1174" t="str">
        <f>_xlfn.XLOOKUP(Table1[[#This Row],[EnvironmentSatisfaction]],Table9[EnvironmentSatisfaction],Table9[Id_EnviromentSatisfaction])</f>
        <v>ES003</v>
      </c>
      <c r="Q1174">
        <v>3</v>
      </c>
      <c r="R1174" t="str">
        <f>_xlfn.XLOOKUP(Table1[[#This Row],[EnvironmentSatisfaction]],Table9[EnvironmentSatisfaction],Table9[Deskripsi])</f>
        <v>High</v>
      </c>
      <c r="S1174" t="str">
        <f>_xlfn.XLOOKUP(Table1[[#This Row],[Gender]],Table10[Gender],Table10[Id_Gender])</f>
        <v>G002</v>
      </c>
      <c r="T1174" t="s">
        <v>46</v>
      </c>
      <c r="U1174">
        <v>42</v>
      </c>
      <c r="V1174" t="str">
        <f>_xlfn.XLOOKUP(Table1[[#This Row],[JobInvolvement]],Table11[JobInvolvement],Table11[Id_JobInvolvement])</f>
        <v>JI002</v>
      </c>
      <c r="W1174">
        <v>2</v>
      </c>
      <c r="X1174" t="str">
        <f>_xlfn.XLOOKUP(Table1[[#This Row],[JobLevel]],Table12[JobLevel],Table12[Id_JobLevel])</f>
        <v>JL002</v>
      </c>
      <c r="Y1174">
        <v>2</v>
      </c>
      <c r="Z1174" t="str">
        <f>_xlfn.XLOOKUP(Table1[[#This Row],[JobRole]],Table13[JobRole],Table13[Id_JobRole])</f>
        <v>JR001</v>
      </c>
      <c r="AA1174" t="s">
        <v>47</v>
      </c>
      <c r="AB1174" t="str">
        <f>_xlfn.XLOOKUP(Table1[[#This Row],[JobSatisfaction]],Table14[JobSatisfaction],Table14[Id_JobSatisfaction])</f>
        <v>JS003</v>
      </c>
      <c r="AC1174">
        <v>3</v>
      </c>
      <c r="AD1174" t="str">
        <f>_xlfn.XLOOKUP(Table1[[#This Row],[JobSatisfaction]],Table14[JobSatisfaction],Table14[Deskripsi])</f>
        <v>High</v>
      </c>
      <c r="AE1174" t="str">
        <f>_xlfn.XLOOKUP(Table1[[#This Row],[MaritalStatus]],Table15[MaritalStatus],Table15[Id_MaritalStatus])</f>
        <v>MS001</v>
      </c>
      <c r="AF1174" t="s">
        <v>55</v>
      </c>
      <c r="AG1174">
        <v>5869</v>
      </c>
      <c r="AH1174">
        <v>23413</v>
      </c>
      <c r="AI1174">
        <v>9</v>
      </c>
      <c r="AJ1174" t="str">
        <f>_xlfn.XLOOKUP(Table1[[#This Row],[OverTime]],Table16[OverTime],Table16[Id_OverTime])</f>
        <v>OT002</v>
      </c>
      <c r="AK1174" t="s">
        <v>33</v>
      </c>
      <c r="AL1174">
        <v>11</v>
      </c>
      <c r="AM1174" t="str">
        <f>_xlfn.XLOOKUP(Table1[[#This Row],[PerformanceRating]],Table17[PerformanceRating],Table17[Id_PerformanceRating])</f>
        <v>PR003</v>
      </c>
      <c r="AN1174">
        <v>3</v>
      </c>
      <c r="AO1174" t="str">
        <f>_xlfn.XLOOKUP(Table1[[#This Row],[PerformanceRating]],Table17[PerformanceRating],Table17[Deskripsi])</f>
        <v>Excellent</v>
      </c>
      <c r="AP1174" t="str">
        <f>_xlfn.XLOOKUP(Table1[[#This Row],[RelationshipSatisfaction]],Table18[RelationshipSatisfaction],Table18[Id_RelationshipSatisfaction])</f>
        <v>RS003</v>
      </c>
      <c r="AQ1174">
        <v>3</v>
      </c>
      <c r="AR1174" t="str">
        <f>_xlfn.XLOOKUP(Table1[[#This Row],[RelationshipSatisfaction]],Table18[RelationshipSatisfaction],Table18[Deskripsi])</f>
        <v>High</v>
      </c>
      <c r="AS1174" t="str">
        <f>_xlfn.XLOOKUP(Table1[[#This Row],[StockOptionLevel]],Table19[StockOptionLevel],Table19[Id_StockOptionLevel])</f>
        <v>SOL001</v>
      </c>
      <c r="AT1174">
        <v>0</v>
      </c>
      <c r="AU1174" t="str">
        <f>_xlfn.XLOOKUP(Table1[[#This Row],[StockOptionLevel]],Table19[StockOptionLevel],Table19[Deskripsi])</f>
        <v>Non-Eligible</v>
      </c>
      <c r="AV1174">
        <v>8</v>
      </c>
      <c r="AW1174">
        <v>2</v>
      </c>
      <c r="AX1174" t="str">
        <f>_xlfn.XLOOKUP(Table1[[#This Row],[WorkLifeBalance]],Table20[WorkLifeBalance],Table20[Id_WorkLifeBalance])</f>
        <v>WLB002</v>
      </c>
      <c r="AY1174">
        <v>3</v>
      </c>
      <c r="AZ1174" t="str">
        <f>_xlfn.XLOOKUP(Table1[[#This Row],[WorkLifeBalance]],Table20[WorkLifeBalance],Table20[Deskripsi])</f>
        <v>Good</v>
      </c>
      <c r="BA1174">
        <v>5</v>
      </c>
      <c r="BB1174">
        <v>2</v>
      </c>
      <c r="BC1174">
        <v>1</v>
      </c>
      <c r="BD1174">
        <v>4</v>
      </c>
    </row>
    <row r="1175" spans="1:56" x14ac:dyDescent="0.25">
      <c r="A1175">
        <v>36</v>
      </c>
      <c r="B1175" t="str">
        <f>_xlfn.XLOOKUP(Table1[[#This Row],[Attrition]],Table2[Attrition],Table2[Id_Attrition])</f>
        <v>A002</v>
      </c>
      <c r="C1175" t="s">
        <v>33</v>
      </c>
      <c r="D1175" t="str">
        <f>_xlfn.XLOOKUP(Table1[[#This Row],[BusinessTravel]],Table5[BusinessTravel],Table5[Id_BusinessTravel])</f>
        <v>BS001</v>
      </c>
      <c r="E1175" t="s">
        <v>34</v>
      </c>
      <c r="F1175">
        <v>711</v>
      </c>
      <c r="G1175" t="str">
        <f>_xlfn.XLOOKUP(Table1[[#This Row],[Department]],Table6[Department],Table6[Id_Departement])</f>
        <v>D002</v>
      </c>
      <c r="H1175" t="s">
        <v>38</v>
      </c>
      <c r="I1175">
        <v>5</v>
      </c>
      <c r="J1175" t="str">
        <f>_xlfn.XLOOKUP(Table1[[#This Row],[Education]],Table8[Education],Table8[Id_Education])</f>
        <v>E004</v>
      </c>
      <c r="K1175">
        <v>4</v>
      </c>
      <c r="L1175" t="str">
        <f>_xlfn.XLOOKUP(Table1[[#This Row],[EducationField]],Table7[EducationField],Table7[Id_EducationField])</f>
        <v>EF001</v>
      </c>
      <c r="M1175" t="s">
        <v>40</v>
      </c>
      <c r="N1175" t="str">
        <f>_xlfn.XLOOKUP(Table1[[#This Row],[EmployeeNumber]],Table4[EmployeeNumber],Table4[Id_Employee])</f>
        <v>EMP01174</v>
      </c>
      <c r="O1175">
        <v>1651</v>
      </c>
      <c r="P1175" t="str">
        <f>_xlfn.XLOOKUP(Table1[[#This Row],[EnvironmentSatisfaction]],Table9[EnvironmentSatisfaction],Table9[Id_EnviromentSatisfaction])</f>
        <v>ES002</v>
      </c>
      <c r="Q1175">
        <v>2</v>
      </c>
      <c r="R1175" t="str">
        <f>_xlfn.XLOOKUP(Table1[[#This Row],[EnvironmentSatisfaction]],Table9[EnvironmentSatisfaction],Table9[Deskripsi])</f>
        <v>Medium</v>
      </c>
      <c r="S1175" t="str">
        <f>_xlfn.XLOOKUP(Table1[[#This Row],[Gender]],Table10[Gender],Table10[Id_Gender])</f>
        <v>G001</v>
      </c>
      <c r="T1175" t="s">
        <v>45</v>
      </c>
      <c r="U1175">
        <v>42</v>
      </c>
      <c r="V1175" t="str">
        <f>_xlfn.XLOOKUP(Table1[[#This Row],[JobInvolvement]],Table11[JobInvolvement],Table11[Id_JobInvolvement])</f>
        <v>JI003</v>
      </c>
      <c r="W1175">
        <v>3</v>
      </c>
      <c r="X1175" t="str">
        <f>_xlfn.XLOOKUP(Table1[[#This Row],[JobLevel]],Table12[JobLevel],Table12[Id_JobLevel])</f>
        <v>JL003</v>
      </c>
      <c r="Y1175">
        <v>3</v>
      </c>
      <c r="Z1175" t="str">
        <f>_xlfn.XLOOKUP(Table1[[#This Row],[JobRole]],Table13[JobRole],Table13[Id_JobRole])</f>
        <v>JR005</v>
      </c>
      <c r="AA1175" t="s">
        <v>51</v>
      </c>
      <c r="AB1175" t="str">
        <f>_xlfn.XLOOKUP(Table1[[#This Row],[JobSatisfaction]],Table14[JobSatisfaction],Table14[Id_JobSatisfaction])</f>
        <v>JS001</v>
      </c>
      <c r="AC1175">
        <v>1</v>
      </c>
      <c r="AD1175" t="str">
        <f>_xlfn.XLOOKUP(Table1[[#This Row],[JobSatisfaction]],Table14[JobSatisfaction],Table14[Deskripsi])</f>
        <v>Low</v>
      </c>
      <c r="AE1175" t="str">
        <f>_xlfn.XLOOKUP(Table1[[#This Row],[MaritalStatus]],Table15[MaritalStatus],Table15[Id_MaritalStatus])</f>
        <v>MS002</v>
      </c>
      <c r="AF1175" t="s">
        <v>56</v>
      </c>
      <c r="AG1175">
        <v>8008</v>
      </c>
      <c r="AH1175">
        <v>22792</v>
      </c>
      <c r="AI1175">
        <v>4</v>
      </c>
      <c r="AJ1175" t="str">
        <f>_xlfn.XLOOKUP(Table1[[#This Row],[OverTime]],Table16[OverTime],Table16[Id_OverTime])</f>
        <v>OT002</v>
      </c>
      <c r="AK1175" t="s">
        <v>33</v>
      </c>
      <c r="AL1175">
        <v>12</v>
      </c>
      <c r="AM1175" t="str">
        <f>_xlfn.XLOOKUP(Table1[[#This Row],[PerformanceRating]],Table17[PerformanceRating],Table17[Id_PerformanceRating])</f>
        <v>PR003</v>
      </c>
      <c r="AN1175">
        <v>3</v>
      </c>
      <c r="AO1175" t="str">
        <f>_xlfn.XLOOKUP(Table1[[#This Row],[PerformanceRating]],Table17[PerformanceRating],Table17[Deskripsi])</f>
        <v>Excellent</v>
      </c>
      <c r="AP1175" t="str">
        <f>_xlfn.XLOOKUP(Table1[[#This Row],[RelationshipSatisfaction]],Table18[RelationshipSatisfaction],Table18[Id_RelationshipSatisfaction])</f>
        <v>RS003</v>
      </c>
      <c r="AQ1175">
        <v>3</v>
      </c>
      <c r="AR1175" t="str">
        <f>_xlfn.XLOOKUP(Table1[[#This Row],[RelationshipSatisfaction]],Table18[RelationshipSatisfaction],Table18[Deskripsi])</f>
        <v>High</v>
      </c>
      <c r="AS1175" t="str">
        <f>_xlfn.XLOOKUP(Table1[[#This Row],[StockOptionLevel]],Table19[StockOptionLevel],Table19[Id_StockOptionLevel])</f>
        <v>SOL003</v>
      </c>
      <c r="AT1175">
        <v>2</v>
      </c>
      <c r="AU1175" t="str">
        <f>_xlfn.XLOOKUP(Table1[[#This Row],[StockOptionLevel]],Table19[StockOptionLevel],Table19[Deskripsi])</f>
        <v>Intermediate</v>
      </c>
      <c r="AV1175">
        <v>9</v>
      </c>
      <c r="AW1175">
        <v>6</v>
      </c>
      <c r="AX1175" t="str">
        <f>_xlfn.XLOOKUP(Table1[[#This Row],[WorkLifeBalance]],Table20[WorkLifeBalance],Table20[Id_WorkLifeBalance])</f>
        <v>WLB002</v>
      </c>
      <c r="AY1175">
        <v>3</v>
      </c>
      <c r="AZ1175" t="str">
        <f>_xlfn.XLOOKUP(Table1[[#This Row],[WorkLifeBalance]],Table20[WorkLifeBalance],Table20[Deskripsi])</f>
        <v>Good</v>
      </c>
      <c r="BA1175">
        <v>3</v>
      </c>
      <c r="BB1175">
        <v>2</v>
      </c>
      <c r="BC1175">
        <v>0</v>
      </c>
      <c r="BD1175">
        <v>2</v>
      </c>
    </row>
    <row r="1176" spans="1:56" x14ac:dyDescent="0.25">
      <c r="A1176">
        <v>25</v>
      </c>
      <c r="B1176" t="str">
        <f>_xlfn.XLOOKUP(Table1[[#This Row],[Attrition]],Table2[Attrition],Table2[Id_Attrition])</f>
        <v>A002</v>
      </c>
      <c r="C1176" t="s">
        <v>33</v>
      </c>
      <c r="D1176" t="str">
        <f>_xlfn.XLOOKUP(Table1[[#This Row],[BusinessTravel]],Table5[BusinessTravel],Table5[Id_BusinessTravel])</f>
        <v>BS002</v>
      </c>
      <c r="E1176" t="s">
        <v>35</v>
      </c>
      <c r="F1176">
        <v>772</v>
      </c>
      <c r="G1176" t="str">
        <f>_xlfn.XLOOKUP(Table1[[#This Row],[Department]],Table6[Department],Table6[Id_Departement])</f>
        <v>D002</v>
      </c>
      <c r="H1176" t="s">
        <v>38</v>
      </c>
      <c r="I1176">
        <v>2</v>
      </c>
      <c r="J1176" t="str">
        <f>_xlfn.XLOOKUP(Table1[[#This Row],[Education]],Table8[Education],Table8[Id_Education])</f>
        <v>E001</v>
      </c>
      <c r="K1176">
        <v>1</v>
      </c>
      <c r="L1176" t="str">
        <f>_xlfn.XLOOKUP(Table1[[#This Row],[EducationField]],Table7[EducationField],Table7[Id_EducationField])</f>
        <v>EF001</v>
      </c>
      <c r="M1176" t="s">
        <v>40</v>
      </c>
      <c r="N1176" t="str">
        <f>_xlfn.XLOOKUP(Table1[[#This Row],[EmployeeNumber]],Table4[EmployeeNumber],Table4[Id_Employee])</f>
        <v>EMP01175</v>
      </c>
      <c r="O1176">
        <v>1653</v>
      </c>
      <c r="P1176" t="str">
        <f>_xlfn.XLOOKUP(Table1[[#This Row],[EnvironmentSatisfaction]],Table9[EnvironmentSatisfaction],Table9[Id_EnviromentSatisfaction])</f>
        <v>ES004</v>
      </c>
      <c r="Q1176">
        <v>4</v>
      </c>
      <c r="R1176" t="str">
        <f>_xlfn.XLOOKUP(Table1[[#This Row],[EnvironmentSatisfaction]],Table9[EnvironmentSatisfaction],Table9[Deskripsi])</f>
        <v>Very High</v>
      </c>
      <c r="S1176" t="str">
        <f>_xlfn.XLOOKUP(Table1[[#This Row],[Gender]],Table10[Gender],Table10[Id_Gender])</f>
        <v>G002</v>
      </c>
      <c r="T1176" t="s">
        <v>46</v>
      </c>
      <c r="U1176">
        <v>77</v>
      </c>
      <c r="V1176" t="str">
        <f>_xlfn.XLOOKUP(Table1[[#This Row],[JobInvolvement]],Table11[JobInvolvement],Table11[Id_JobInvolvement])</f>
        <v>JI004</v>
      </c>
      <c r="W1176">
        <v>4</v>
      </c>
      <c r="X1176" t="str">
        <f>_xlfn.XLOOKUP(Table1[[#This Row],[JobLevel]],Table12[JobLevel],Table12[Id_JobLevel])</f>
        <v>JL002</v>
      </c>
      <c r="Y1176">
        <v>2</v>
      </c>
      <c r="Z1176" t="str">
        <f>_xlfn.XLOOKUP(Table1[[#This Row],[JobRole]],Table13[JobRole],Table13[Id_JobRole])</f>
        <v>JR004</v>
      </c>
      <c r="AA1176" t="s">
        <v>50</v>
      </c>
      <c r="AB1176" t="str">
        <f>_xlfn.XLOOKUP(Table1[[#This Row],[JobSatisfaction]],Table14[JobSatisfaction],Table14[Id_JobSatisfaction])</f>
        <v>JS003</v>
      </c>
      <c r="AC1176">
        <v>3</v>
      </c>
      <c r="AD1176" t="str">
        <f>_xlfn.XLOOKUP(Table1[[#This Row],[JobSatisfaction]],Table14[JobSatisfaction],Table14[Deskripsi])</f>
        <v>High</v>
      </c>
      <c r="AE1176" t="str">
        <f>_xlfn.XLOOKUP(Table1[[#This Row],[MaritalStatus]],Table15[MaritalStatus],Table15[Id_MaritalStatus])</f>
        <v>MS003</v>
      </c>
      <c r="AF1176" t="s">
        <v>57</v>
      </c>
      <c r="AG1176">
        <v>5206</v>
      </c>
      <c r="AH1176">
        <v>4973</v>
      </c>
      <c r="AI1176">
        <v>1</v>
      </c>
      <c r="AJ1176" t="str">
        <f>_xlfn.XLOOKUP(Table1[[#This Row],[OverTime]],Table16[OverTime],Table16[Id_OverTime])</f>
        <v>OT002</v>
      </c>
      <c r="AK1176" t="s">
        <v>33</v>
      </c>
      <c r="AL1176">
        <v>17</v>
      </c>
      <c r="AM1176" t="str">
        <f>_xlfn.XLOOKUP(Table1[[#This Row],[PerformanceRating]],Table17[PerformanceRating],Table17[Id_PerformanceRating])</f>
        <v>PR003</v>
      </c>
      <c r="AN1176">
        <v>3</v>
      </c>
      <c r="AO1176" t="str">
        <f>_xlfn.XLOOKUP(Table1[[#This Row],[PerformanceRating]],Table17[PerformanceRating],Table17[Deskripsi])</f>
        <v>Excellent</v>
      </c>
      <c r="AP1176" t="str">
        <f>_xlfn.XLOOKUP(Table1[[#This Row],[RelationshipSatisfaction]],Table18[RelationshipSatisfaction],Table18[Id_RelationshipSatisfaction])</f>
        <v>RS003</v>
      </c>
      <c r="AQ1176">
        <v>3</v>
      </c>
      <c r="AR1176" t="str">
        <f>_xlfn.XLOOKUP(Table1[[#This Row],[RelationshipSatisfaction]],Table18[RelationshipSatisfaction],Table18[Deskripsi])</f>
        <v>High</v>
      </c>
      <c r="AS1176" t="str">
        <f>_xlfn.XLOOKUP(Table1[[#This Row],[StockOptionLevel]],Table19[StockOptionLevel],Table19[Id_StockOptionLevel])</f>
        <v>SOL003</v>
      </c>
      <c r="AT1176">
        <v>2</v>
      </c>
      <c r="AU1176" t="str">
        <f>_xlfn.XLOOKUP(Table1[[#This Row],[StockOptionLevel]],Table19[StockOptionLevel],Table19[Deskripsi])</f>
        <v>Intermediate</v>
      </c>
      <c r="AV1176">
        <v>7</v>
      </c>
      <c r="AW1176">
        <v>6</v>
      </c>
      <c r="AX1176" t="str">
        <f>_xlfn.XLOOKUP(Table1[[#This Row],[WorkLifeBalance]],Table20[WorkLifeBalance],Table20[Id_WorkLifeBalance])</f>
        <v>WLB002</v>
      </c>
      <c r="AY1176">
        <v>3</v>
      </c>
      <c r="AZ1176" t="str">
        <f>_xlfn.XLOOKUP(Table1[[#This Row],[WorkLifeBalance]],Table20[WorkLifeBalance],Table20[Deskripsi])</f>
        <v>Good</v>
      </c>
      <c r="BA1176">
        <v>7</v>
      </c>
      <c r="BB1176">
        <v>7</v>
      </c>
      <c r="BC1176">
        <v>0</v>
      </c>
      <c r="BD1176">
        <v>7</v>
      </c>
    </row>
    <row r="1177" spans="1:56" x14ac:dyDescent="0.25">
      <c r="A1177">
        <v>39</v>
      </c>
      <c r="B1177" t="str">
        <f>_xlfn.XLOOKUP(Table1[[#This Row],[Attrition]],Table2[Attrition],Table2[Id_Attrition])</f>
        <v>A002</v>
      </c>
      <c r="C1177" t="s">
        <v>33</v>
      </c>
      <c r="D1177" t="str">
        <f>_xlfn.XLOOKUP(Table1[[#This Row],[BusinessTravel]],Table5[BusinessTravel],Table5[Id_BusinessTravel])</f>
        <v>BS001</v>
      </c>
      <c r="E1177" t="s">
        <v>34</v>
      </c>
      <c r="F1177">
        <v>492</v>
      </c>
      <c r="G1177" t="str">
        <f>_xlfn.XLOOKUP(Table1[[#This Row],[Department]],Table6[Department],Table6[Id_Departement])</f>
        <v>D002</v>
      </c>
      <c r="H1177" t="s">
        <v>38</v>
      </c>
      <c r="I1177">
        <v>12</v>
      </c>
      <c r="J1177" t="str">
        <f>_xlfn.XLOOKUP(Table1[[#This Row],[Education]],Table8[Education],Table8[Id_Education])</f>
        <v>E003</v>
      </c>
      <c r="K1177">
        <v>3</v>
      </c>
      <c r="L1177" t="str">
        <f>_xlfn.XLOOKUP(Table1[[#This Row],[EducationField]],Table7[EducationField],Table7[Id_EducationField])</f>
        <v>EF003</v>
      </c>
      <c r="M1177" t="s">
        <v>42</v>
      </c>
      <c r="N1177" t="str">
        <f>_xlfn.XLOOKUP(Table1[[#This Row],[EmployeeNumber]],Table4[EmployeeNumber],Table4[Id_Employee])</f>
        <v>EMP01176</v>
      </c>
      <c r="O1177">
        <v>1654</v>
      </c>
      <c r="P1177" t="str">
        <f>_xlfn.XLOOKUP(Table1[[#This Row],[EnvironmentSatisfaction]],Table9[EnvironmentSatisfaction],Table9[Id_EnviromentSatisfaction])</f>
        <v>ES004</v>
      </c>
      <c r="Q1177">
        <v>4</v>
      </c>
      <c r="R1177" t="str">
        <f>_xlfn.XLOOKUP(Table1[[#This Row],[EnvironmentSatisfaction]],Table9[EnvironmentSatisfaction],Table9[Deskripsi])</f>
        <v>Very High</v>
      </c>
      <c r="S1177" t="str">
        <f>_xlfn.XLOOKUP(Table1[[#This Row],[Gender]],Table10[Gender],Table10[Id_Gender])</f>
        <v>G002</v>
      </c>
      <c r="T1177" t="s">
        <v>46</v>
      </c>
      <c r="U1177">
        <v>66</v>
      </c>
      <c r="V1177" t="str">
        <f>_xlfn.XLOOKUP(Table1[[#This Row],[JobInvolvement]],Table11[JobInvolvement],Table11[Id_JobInvolvement])</f>
        <v>JI003</v>
      </c>
      <c r="W1177">
        <v>3</v>
      </c>
      <c r="X1177" t="str">
        <f>_xlfn.XLOOKUP(Table1[[#This Row],[JobLevel]],Table12[JobLevel],Table12[Id_JobLevel])</f>
        <v>JL002</v>
      </c>
      <c r="Y1177">
        <v>2</v>
      </c>
      <c r="Z1177" t="str">
        <f>_xlfn.XLOOKUP(Table1[[#This Row],[JobRole]],Table13[JobRole],Table13[Id_JobRole])</f>
        <v>JR004</v>
      </c>
      <c r="AA1177" t="s">
        <v>50</v>
      </c>
      <c r="AB1177" t="str">
        <f>_xlfn.XLOOKUP(Table1[[#This Row],[JobSatisfaction]],Table14[JobSatisfaction],Table14[Id_JobSatisfaction])</f>
        <v>JS002</v>
      </c>
      <c r="AC1177">
        <v>2</v>
      </c>
      <c r="AD1177" t="str">
        <f>_xlfn.XLOOKUP(Table1[[#This Row],[JobSatisfaction]],Table14[JobSatisfaction],Table14[Deskripsi])</f>
        <v>Medium</v>
      </c>
      <c r="AE1177" t="str">
        <f>_xlfn.XLOOKUP(Table1[[#This Row],[MaritalStatus]],Table15[MaritalStatus],Table15[Id_MaritalStatus])</f>
        <v>MS002</v>
      </c>
      <c r="AF1177" t="s">
        <v>56</v>
      </c>
      <c r="AG1177">
        <v>5295</v>
      </c>
      <c r="AH1177">
        <v>7693</v>
      </c>
      <c r="AI1177">
        <v>4</v>
      </c>
      <c r="AJ1177" t="str">
        <f>_xlfn.XLOOKUP(Table1[[#This Row],[OverTime]],Table16[OverTime],Table16[Id_OverTime])</f>
        <v>OT002</v>
      </c>
      <c r="AK1177" t="s">
        <v>33</v>
      </c>
      <c r="AL1177">
        <v>21</v>
      </c>
      <c r="AM1177" t="str">
        <f>_xlfn.XLOOKUP(Table1[[#This Row],[PerformanceRating]],Table17[PerformanceRating],Table17[Id_PerformanceRating])</f>
        <v>PR004</v>
      </c>
      <c r="AN1177">
        <v>4</v>
      </c>
      <c r="AO1177" t="str">
        <f>_xlfn.XLOOKUP(Table1[[#This Row],[PerformanceRating]],Table17[PerformanceRating],Table17[Deskripsi])</f>
        <v>Outstanding</v>
      </c>
      <c r="AP1177" t="str">
        <f>_xlfn.XLOOKUP(Table1[[#This Row],[RelationshipSatisfaction]],Table18[RelationshipSatisfaction],Table18[Id_RelationshipSatisfaction])</f>
        <v>RS003</v>
      </c>
      <c r="AQ1177">
        <v>3</v>
      </c>
      <c r="AR1177" t="str">
        <f>_xlfn.XLOOKUP(Table1[[#This Row],[RelationshipSatisfaction]],Table18[RelationshipSatisfaction],Table18[Deskripsi])</f>
        <v>High</v>
      </c>
      <c r="AS1177" t="str">
        <f>_xlfn.XLOOKUP(Table1[[#This Row],[StockOptionLevel]],Table19[StockOptionLevel],Table19[Id_StockOptionLevel])</f>
        <v>SOL001</v>
      </c>
      <c r="AT1177">
        <v>0</v>
      </c>
      <c r="AU1177" t="str">
        <f>_xlfn.XLOOKUP(Table1[[#This Row],[StockOptionLevel]],Table19[StockOptionLevel],Table19[Deskripsi])</f>
        <v>Non-Eligible</v>
      </c>
      <c r="AV1177">
        <v>7</v>
      </c>
      <c r="AW1177">
        <v>3</v>
      </c>
      <c r="AX1177" t="str">
        <f>_xlfn.XLOOKUP(Table1[[#This Row],[WorkLifeBalance]],Table20[WorkLifeBalance],Table20[Id_WorkLifeBalance])</f>
        <v>WLB002</v>
      </c>
      <c r="AY1177">
        <v>3</v>
      </c>
      <c r="AZ1177" t="str">
        <f>_xlfn.XLOOKUP(Table1[[#This Row],[WorkLifeBalance]],Table20[WorkLifeBalance],Table20[Deskripsi])</f>
        <v>Good</v>
      </c>
      <c r="BA1177">
        <v>5</v>
      </c>
      <c r="BB1177">
        <v>4</v>
      </c>
      <c r="BC1177">
        <v>1</v>
      </c>
      <c r="BD1177">
        <v>0</v>
      </c>
    </row>
    <row r="1178" spans="1:56" x14ac:dyDescent="0.25">
      <c r="A1178">
        <v>49</v>
      </c>
      <c r="B1178" t="str">
        <f>_xlfn.XLOOKUP(Table1[[#This Row],[Attrition]],Table2[Attrition],Table2[Id_Attrition])</f>
        <v>A002</v>
      </c>
      <c r="C1178" t="s">
        <v>33</v>
      </c>
      <c r="D1178" t="str">
        <f>_xlfn.XLOOKUP(Table1[[#This Row],[BusinessTravel]],Table5[BusinessTravel],Table5[Id_BusinessTravel])</f>
        <v>BS001</v>
      </c>
      <c r="E1178" t="s">
        <v>34</v>
      </c>
      <c r="F1178">
        <v>301</v>
      </c>
      <c r="G1178" t="str">
        <f>_xlfn.XLOOKUP(Table1[[#This Row],[Department]],Table6[Department],Table6[Id_Departement])</f>
        <v>D002</v>
      </c>
      <c r="H1178" t="s">
        <v>38</v>
      </c>
      <c r="I1178">
        <v>22</v>
      </c>
      <c r="J1178" t="str">
        <f>_xlfn.XLOOKUP(Table1[[#This Row],[Education]],Table8[Education],Table8[Id_Education])</f>
        <v>E004</v>
      </c>
      <c r="K1178">
        <v>4</v>
      </c>
      <c r="L1178" t="str">
        <f>_xlfn.XLOOKUP(Table1[[#This Row],[EducationField]],Table7[EducationField],Table7[Id_EducationField])</f>
        <v>EF002</v>
      </c>
      <c r="M1178" t="s">
        <v>41</v>
      </c>
      <c r="N1178" t="str">
        <f>_xlfn.XLOOKUP(Table1[[#This Row],[EmployeeNumber]],Table4[EmployeeNumber],Table4[Id_Employee])</f>
        <v>EMP01177</v>
      </c>
      <c r="O1178">
        <v>1655</v>
      </c>
      <c r="P1178" t="str">
        <f>_xlfn.XLOOKUP(Table1[[#This Row],[EnvironmentSatisfaction]],Table9[EnvironmentSatisfaction],Table9[Id_EnviromentSatisfaction])</f>
        <v>ES001</v>
      </c>
      <c r="Q1178">
        <v>1</v>
      </c>
      <c r="R1178" t="str">
        <f>_xlfn.XLOOKUP(Table1[[#This Row],[EnvironmentSatisfaction]],Table9[EnvironmentSatisfaction],Table9[Deskripsi])</f>
        <v>Low</v>
      </c>
      <c r="S1178" t="str">
        <f>_xlfn.XLOOKUP(Table1[[#This Row],[Gender]],Table10[Gender],Table10[Id_Gender])</f>
        <v>G001</v>
      </c>
      <c r="T1178" t="s">
        <v>45</v>
      </c>
      <c r="U1178">
        <v>72</v>
      </c>
      <c r="V1178" t="str">
        <f>_xlfn.XLOOKUP(Table1[[#This Row],[JobInvolvement]],Table11[JobInvolvement],Table11[Id_JobInvolvement])</f>
        <v>JI003</v>
      </c>
      <c r="W1178">
        <v>3</v>
      </c>
      <c r="X1178" t="str">
        <f>_xlfn.XLOOKUP(Table1[[#This Row],[JobLevel]],Table12[JobLevel],Table12[Id_JobLevel])</f>
        <v>JL004</v>
      </c>
      <c r="Y1178">
        <v>4</v>
      </c>
      <c r="Z1178" t="str">
        <f>_xlfn.XLOOKUP(Table1[[#This Row],[JobRole]],Table13[JobRole],Table13[Id_JobRole])</f>
        <v>JR008</v>
      </c>
      <c r="AA1178" t="s">
        <v>54</v>
      </c>
      <c r="AB1178" t="str">
        <f>_xlfn.XLOOKUP(Table1[[#This Row],[JobSatisfaction]],Table14[JobSatisfaction],Table14[Id_JobSatisfaction])</f>
        <v>JS002</v>
      </c>
      <c r="AC1178">
        <v>2</v>
      </c>
      <c r="AD1178" t="str">
        <f>_xlfn.XLOOKUP(Table1[[#This Row],[JobSatisfaction]],Table14[JobSatisfaction],Table14[Deskripsi])</f>
        <v>Medium</v>
      </c>
      <c r="AE1178" t="str">
        <f>_xlfn.XLOOKUP(Table1[[#This Row],[MaritalStatus]],Table15[MaritalStatus],Table15[Id_MaritalStatus])</f>
        <v>MS002</v>
      </c>
      <c r="AF1178" t="s">
        <v>56</v>
      </c>
      <c r="AG1178">
        <v>16413</v>
      </c>
      <c r="AH1178">
        <v>3498</v>
      </c>
      <c r="AI1178">
        <v>3</v>
      </c>
      <c r="AJ1178" t="str">
        <f>_xlfn.XLOOKUP(Table1[[#This Row],[OverTime]],Table16[OverTime],Table16[Id_OverTime])</f>
        <v>OT002</v>
      </c>
      <c r="AK1178" t="s">
        <v>33</v>
      </c>
      <c r="AL1178">
        <v>16</v>
      </c>
      <c r="AM1178" t="str">
        <f>_xlfn.XLOOKUP(Table1[[#This Row],[PerformanceRating]],Table17[PerformanceRating],Table17[Id_PerformanceRating])</f>
        <v>PR003</v>
      </c>
      <c r="AN1178">
        <v>3</v>
      </c>
      <c r="AO1178" t="str">
        <f>_xlfn.XLOOKUP(Table1[[#This Row],[PerformanceRating]],Table17[PerformanceRating],Table17[Deskripsi])</f>
        <v>Excellent</v>
      </c>
      <c r="AP1178" t="str">
        <f>_xlfn.XLOOKUP(Table1[[#This Row],[RelationshipSatisfaction]],Table18[RelationshipSatisfaction],Table18[Id_RelationshipSatisfaction])</f>
        <v>RS002</v>
      </c>
      <c r="AQ1178">
        <v>2</v>
      </c>
      <c r="AR1178" t="str">
        <f>_xlfn.XLOOKUP(Table1[[#This Row],[RelationshipSatisfaction]],Table18[RelationshipSatisfaction],Table18[Deskripsi])</f>
        <v>Medium</v>
      </c>
      <c r="AS1178" t="str">
        <f>_xlfn.XLOOKUP(Table1[[#This Row],[StockOptionLevel]],Table19[StockOptionLevel],Table19[Id_StockOptionLevel])</f>
        <v>SOL003</v>
      </c>
      <c r="AT1178">
        <v>2</v>
      </c>
      <c r="AU1178" t="str">
        <f>_xlfn.XLOOKUP(Table1[[#This Row],[StockOptionLevel]],Table19[StockOptionLevel],Table19[Deskripsi])</f>
        <v>Intermediate</v>
      </c>
      <c r="AV1178">
        <v>27</v>
      </c>
      <c r="AW1178">
        <v>2</v>
      </c>
      <c r="AX1178" t="str">
        <f>_xlfn.XLOOKUP(Table1[[#This Row],[WorkLifeBalance]],Table20[WorkLifeBalance],Table20[Id_WorkLifeBalance])</f>
        <v>WLB002</v>
      </c>
      <c r="AY1178">
        <v>3</v>
      </c>
      <c r="AZ1178" t="str">
        <f>_xlfn.XLOOKUP(Table1[[#This Row],[WorkLifeBalance]],Table20[WorkLifeBalance],Table20[Deskripsi])</f>
        <v>Good</v>
      </c>
      <c r="BA1178">
        <v>4</v>
      </c>
      <c r="BB1178">
        <v>2</v>
      </c>
      <c r="BC1178">
        <v>1</v>
      </c>
      <c r="BD1178">
        <v>2</v>
      </c>
    </row>
    <row r="1179" spans="1:56" x14ac:dyDescent="0.25">
      <c r="A1179">
        <v>50</v>
      </c>
      <c r="B1179" t="str">
        <f>_xlfn.XLOOKUP(Table1[[#This Row],[Attrition]],Table2[Attrition],Table2[Id_Attrition])</f>
        <v>A002</v>
      </c>
      <c r="C1179" t="s">
        <v>33</v>
      </c>
      <c r="D1179" t="str">
        <f>_xlfn.XLOOKUP(Table1[[#This Row],[BusinessTravel]],Table5[BusinessTravel],Table5[Id_BusinessTravel])</f>
        <v>BS001</v>
      </c>
      <c r="E1179" t="s">
        <v>34</v>
      </c>
      <c r="F1179">
        <v>813</v>
      </c>
      <c r="G1179" t="str">
        <f>_xlfn.XLOOKUP(Table1[[#This Row],[Department]],Table6[Department],Table6[Id_Departement])</f>
        <v>D002</v>
      </c>
      <c r="H1179" t="s">
        <v>38</v>
      </c>
      <c r="I1179">
        <v>17</v>
      </c>
      <c r="J1179" t="str">
        <f>_xlfn.XLOOKUP(Table1[[#This Row],[Education]],Table8[Education],Table8[Id_Education])</f>
        <v>E005</v>
      </c>
      <c r="K1179">
        <v>5</v>
      </c>
      <c r="L1179" t="str">
        <f>_xlfn.XLOOKUP(Table1[[#This Row],[EducationField]],Table7[EducationField],Table7[Id_EducationField])</f>
        <v>EF001</v>
      </c>
      <c r="M1179" t="s">
        <v>40</v>
      </c>
      <c r="N1179" t="str">
        <f>_xlfn.XLOOKUP(Table1[[#This Row],[EmployeeNumber]],Table4[EmployeeNumber],Table4[Id_Employee])</f>
        <v>EMP01178</v>
      </c>
      <c r="O1179">
        <v>1656</v>
      </c>
      <c r="P1179" t="str">
        <f>_xlfn.XLOOKUP(Table1[[#This Row],[EnvironmentSatisfaction]],Table9[EnvironmentSatisfaction],Table9[Id_EnviromentSatisfaction])</f>
        <v>ES004</v>
      </c>
      <c r="Q1179">
        <v>4</v>
      </c>
      <c r="R1179" t="str">
        <f>_xlfn.XLOOKUP(Table1[[#This Row],[EnvironmentSatisfaction]],Table9[EnvironmentSatisfaction],Table9[Deskripsi])</f>
        <v>Very High</v>
      </c>
      <c r="S1179" t="str">
        <f>_xlfn.XLOOKUP(Table1[[#This Row],[Gender]],Table10[Gender],Table10[Id_Gender])</f>
        <v>G001</v>
      </c>
      <c r="T1179" t="s">
        <v>45</v>
      </c>
      <c r="U1179">
        <v>50</v>
      </c>
      <c r="V1179" t="str">
        <f>_xlfn.XLOOKUP(Table1[[#This Row],[JobInvolvement]],Table11[JobInvolvement],Table11[Id_JobInvolvement])</f>
        <v>JI002</v>
      </c>
      <c r="W1179">
        <v>2</v>
      </c>
      <c r="X1179" t="str">
        <f>_xlfn.XLOOKUP(Table1[[#This Row],[JobLevel]],Table12[JobLevel],Table12[Id_JobLevel])</f>
        <v>JL003</v>
      </c>
      <c r="Y1179">
        <v>3</v>
      </c>
      <c r="Z1179" t="str">
        <f>_xlfn.XLOOKUP(Table1[[#This Row],[JobRole]],Table13[JobRole],Table13[Id_JobRole])</f>
        <v>JR008</v>
      </c>
      <c r="AA1179" t="s">
        <v>54</v>
      </c>
      <c r="AB1179" t="str">
        <f>_xlfn.XLOOKUP(Table1[[#This Row],[JobSatisfaction]],Table14[JobSatisfaction],Table14[Id_JobSatisfaction])</f>
        <v>JS001</v>
      </c>
      <c r="AC1179">
        <v>1</v>
      </c>
      <c r="AD1179" t="str">
        <f>_xlfn.XLOOKUP(Table1[[#This Row],[JobSatisfaction]],Table14[JobSatisfaction],Table14[Deskripsi])</f>
        <v>Low</v>
      </c>
      <c r="AE1179" t="str">
        <f>_xlfn.XLOOKUP(Table1[[#This Row],[MaritalStatus]],Table15[MaritalStatus],Table15[Id_MaritalStatus])</f>
        <v>MS003</v>
      </c>
      <c r="AF1179" t="s">
        <v>57</v>
      </c>
      <c r="AG1179">
        <v>13269</v>
      </c>
      <c r="AH1179">
        <v>21981</v>
      </c>
      <c r="AI1179">
        <v>5</v>
      </c>
      <c r="AJ1179" t="str">
        <f>_xlfn.XLOOKUP(Table1[[#This Row],[OverTime]],Table16[OverTime],Table16[Id_OverTime])</f>
        <v>OT002</v>
      </c>
      <c r="AK1179" t="s">
        <v>33</v>
      </c>
      <c r="AL1179">
        <v>15</v>
      </c>
      <c r="AM1179" t="str">
        <f>_xlfn.XLOOKUP(Table1[[#This Row],[PerformanceRating]],Table17[PerformanceRating],Table17[Id_PerformanceRating])</f>
        <v>PR003</v>
      </c>
      <c r="AN1179">
        <v>3</v>
      </c>
      <c r="AO1179" t="str">
        <f>_xlfn.XLOOKUP(Table1[[#This Row],[PerformanceRating]],Table17[PerformanceRating],Table17[Deskripsi])</f>
        <v>Excellent</v>
      </c>
      <c r="AP1179" t="str">
        <f>_xlfn.XLOOKUP(Table1[[#This Row],[RelationshipSatisfaction]],Table18[RelationshipSatisfaction],Table18[Id_RelationshipSatisfaction])</f>
        <v>RS003</v>
      </c>
      <c r="AQ1179">
        <v>3</v>
      </c>
      <c r="AR1179" t="str">
        <f>_xlfn.XLOOKUP(Table1[[#This Row],[RelationshipSatisfaction]],Table18[RelationshipSatisfaction],Table18[Deskripsi])</f>
        <v>High</v>
      </c>
      <c r="AS1179" t="str">
        <f>_xlfn.XLOOKUP(Table1[[#This Row],[StockOptionLevel]],Table19[StockOptionLevel],Table19[Id_StockOptionLevel])</f>
        <v>SOL004</v>
      </c>
      <c r="AT1179">
        <v>3</v>
      </c>
      <c r="AU1179" t="str">
        <f>_xlfn.XLOOKUP(Table1[[#This Row],[StockOptionLevel]],Table19[StockOptionLevel],Table19[Deskripsi])</f>
        <v>Senior/Executive</v>
      </c>
      <c r="AV1179">
        <v>19</v>
      </c>
      <c r="AW1179">
        <v>3</v>
      </c>
      <c r="AX1179" t="str">
        <f>_xlfn.XLOOKUP(Table1[[#This Row],[WorkLifeBalance]],Table20[WorkLifeBalance],Table20[Id_WorkLifeBalance])</f>
        <v>WLB002</v>
      </c>
      <c r="AY1179">
        <v>3</v>
      </c>
      <c r="AZ1179" t="str">
        <f>_xlfn.XLOOKUP(Table1[[#This Row],[WorkLifeBalance]],Table20[WorkLifeBalance],Table20[Deskripsi])</f>
        <v>Good</v>
      </c>
      <c r="BA1179">
        <v>14</v>
      </c>
      <c r="BB1179">
        <v>11</v>
      </c>
      <c r="BC1179">
        <v>1</v>
      </c>
      <c r="BD1179">
        <v>11</v>
      </c>
    </row>
    <row r="1180" spans="1:56" x14ac:dyDescent="0.25">
      <c r="A1180">
        <v>20</v>
      </c>
      <c r="B1180" t="str">
        <f>_xlfn.XLOOKUP(Table1[[#This Row],[Attrition]],Table2[Attrition],Table2[Id_Attrition])</f>
        <v>A002</v>
      </c>
      <c r="C1180" t="s">
        <v>33</v>
      </c>
      <c r="D1180" t="str">
        <f>_xlfn.XLOOKUP(Table1[[#This Row],[BusinessTravel]],Table5[BusinessTravel],Table5[Id_BusinessTravel])</f>
        <v>BS001</v>
      </c>
      <c r="E1180" t="s">
        <v>34</v>
      </c>
      <c r="F1180">
        <v>1141</v>
      </c>
      <c r="G1180" t="str">
        <f>_xlfn.XLOOKUP(Table1[[#This Row],[Department]],Table6[Department],Table6[Id_Departement])</f>
        <v>D001</v>
      </c>
      <c r="H1180" t="s">
        <v>37</v>
      </c>
      <c r="I1180">
        <v>2</v>
      </c>
      <c r="J1180" t="str">
        <f>_xlfn.XLOOKUP(Table1[[#This Row],[Education]],Table8[Education],Table8[Id_Education])</f>
        <v>E003</v>
      </c>
      <c r="K1180">
        <v>3</v>
      </c>
      <c r="L1180" t="str">
        <f>_xlfn.XLOOKUP(Table1[[#This Row],[EducationField]],Table7[EducationField],Table7[Id_EducationField])</f>
        <v>EF003</v>
      </c>
      <c r="M1180" t="s">
        <v>42</v>
      </c>
      <c r="N1180" t="str">
        <f>_xlfn.XLOOKUP(Table1[[#This Row],[EmployeeNumber]],Table4[EmployeeNumber],Table4[Id_Employee])</f>
        <v>EMP01179</v>
      </c>
      <c r="O1180">
        <v>1657</v>
      </c>
      <c r="P1180" t="str">
        <f>_xlfn.XLOOKUP(Table1[[#This Row],[EnvironmentSatisfaction]],Table9[EnvironmentSatisfaction],Table9[Id_EnviromentSatisfaction])</f>
        <v>ES003</v>
      </c>
      <c r="Q1180">
        <v>3</v>
      </c>
      <c r="R1180" t="str">
        <f>_xlfn.XLOOKUP(Table1[[#This Row],[EnvironmentSatisfaction]],Table9[EnvironmentSatisfaction],Table9[Deskripsi])</f>
        <v>High</v>
      </c>
      <c r="S1180" t="str">
        <f>_xlfn.XLOOKUP(Table1[[#This Row],[Gender]],Table10[Gender],Table10[Id_Gender])</f>
        <v>G001</v>
      </c>
      <c r="T1180" t="s">
        <v>45</v>
      </c>
      <c r="U1180">
        <v>31</v>
      </c>
      <c r="V1180" t="str">
        <f>_xlfn.XLOOKUP(Table1[[#This Row],[JobInvolvement]],Table11[JobInvolvement],Table11[Id_JobInvolvement])</f>
        <v>JI003</v>
      </c>
      <c r="W1180">
        <v>3</v>
      </c>
      <c r="X1180" t="str">
        <f>_xlfn.XLOOKUP(Table1[[#This Row],[JobLevel]],Table12[JobLevel],Table12[Id_JobLevel])</f>
        <v>JL001</v>
      </c>
      <c r="Y1180">
        <v>1</v>
      </c>
      <c r="Z1180" t="str">
        <f>_xlfn.XLOOKUP(Table1[[#This Row],[JobRole]],Table13[JobRole],Table13[Id_JobRole])</f>
        <v>JR007</v>
      </c>
      <c r="AA1180" t="s">
        <v>53</v>
      </c>
      <c r="AB1180" t="str">
        <f>_xlfn.XLOOKUP(Table1[[#This Row],[JobSatisfaction]],Table14[JobSatisfaction],Table14[Id_JobSatisfaction])</f>
        <v>JS003</v>
      </c>
      <c r="AC1180">
        <v>3</v>
      </c>
      <c r="AD1180" t="str">
        <f>_xlfn.XLOOKUP(Table1[[#This Row],[JobSatisfaction]],Table14[JobSatisfaction],Table14[Deskripsi])</f>
        <v>High</v>
      </c>
      <c r="AE1180" t="str">
        <f>_xlfn.XLOOKUP(Table1[[#This Row],[MaritalStatus]],Table15[MaritalStatus],Table15[Id_MaritalStatus])</f>
        <v>MS001</v>
      </c>
      <c r="AF1180" t="s">
        <v>55</v>
      </c>
      <c r="AG1180">
        <v>2783</v>
      </c>
      <c r="AH1180">
        <v>13251</v>
      </c>
      <c r="AI1180">
        <v>1</v>
      </c>
      <c r="AJ1180" t="str">
        <f>_xlfn.XLOOKUP(Table1[[#This Row],[OverTime]],Table16[OverTime],Table16[Id_OverTime])</f>
        <v>OT002</v>
      </c>
      <c r="AK1180" t="s">
        <v>33</v>
      </c>
      <c r="AL1180">
        <v>19</v>
      </c>
      <c r="AM1180" t="str">
        <f>_xlfn.XLOOKUP(Table1[[#This Row],[PerformanceRating]],Table17[PerformanceRating],Table17[Id_PerformanceRating])</f>
        <v>PR003</v>
      </c>
      <c r="AN1180">
        <v>3</v>
      </c>
      <c r="AO1180" t="str">
        <f>_xlfn.XLOOKUP(Table1[[#This Row],[PerformanceRating]],Table17[PerformanceRating],Table17[Deskripsi])</f>
        <v>Excellent</v>
      </c>
      <c r="AP1180" t="str">
        <f>_xlfn.XLOOKUP(Table1[[#This Row],[RelationshipSatisfaction]],Table18[RelationshipSatisfaction],Table18[Id_RelationshipSatisfaction])</f>
        <v>RS001</v>
      </c>
      <c r="AQ1180">
        <v>1</v>
      </c>
      <c r="AR1180" t="str">
        <f>_xlfn.XLOOKUP(Table1[[#This Row],[RelationshipSatisfaction]],Table18[RelationshipSatisfaction],Table18[Deskripsi])</f>
        <v>Low</v>
      </c>
      <c r="AS1180" t="str">
        <f>_xlfn.XLOOKUP(Table1[[#This Row],[StockOptionLevel]],Table19[StockOptionLevel],Table19[Id_StockOptionLevel])</f>
        <v>SOL001</v>
      </c>
      <c r="AT1180">
        <v>0</v>
      </c>
      <c r="AU1180" t="str">
        <f>_xlfn.XLOOKUP(Table1[[#This Row],[StockOptionLevel]],Table19[StockOptionLevel],Table19[Deskripsi])</f>
        <v>Non-Eligible</v>
      </c>
      <c r="AV1180">
        <v>2</v>
      </c>
      <c r="AW1180">
        <v>3</v>
      </c>
      <c r="AX1180" t="str">
        <f>_xlfn.XLOOKUP(Table1[[#This Row],[WorkLifeBalance]],Table20[WorkLifeBalance],Table20[Id_WorkLifeBalance])</f>
        <v>WLB002</v>
      </c>
      <c r="AY1180">
        <v>3</v>
      </c>
      <c r="AZ1180" t="str">
        <f>_xlfn.XLOOKUP(Table1[[#This Row],[WorkLifeBalance]],Table20[WorkLifeBalance],Table20[Deskripsi])</f>
        <v>Good</v>
      </c>
      <c r="BA1180">
        <v>2</v>
      </c>
      <c r="BB1180">
        <v>2</v>
      </c>
      <c r="BC1180">
        <v>2</v>
      </c>
      <c r="BD1180">
        <v>2</v>
      </c>
    </row>
    <row r="1181" spans="1:56" x14ac:dyDescent="0.25">
      <c r="A1181">
        <v>34</v>
      </c>
      <c r="B1181" t="str">
        <f>_xlfn.XLOOKUP(Table1[[#This Row],[Attrition]],Table2[Attrition],Table2[Id_Attrition])</f>
        <v>A002</v>
      </c>
      <c r="C1181" t="s">
        <v>33</v>
      </c>
      <c r="D1181" t="str">
        <f>_xlfn.XLOOKUP(Table1[[#This Row],[BusinessTravel]],Table5[BusinessTravel],Table5[Id_BusinessTravel])</f>
        <v>BS001</v>
      </c>
      <c r="E1181" t="s">
        <v>34</v>
      </c>
      <c r="F1181">
        <v>1130</v>
      </c>
      <c r="G1181" t="str">
        <f>_xlfn.XLOOKUP(Table1[[#This Row],[Department]],Table6[Department],Table6[Id_Departement])</f>
        <v>D002</v>
      </c>
      <c r="H1181" t="s">
        <v>38</v>
      </c>
      <c r="I1181">
        <v>3</v>
      </c>
      <c r="J1181" t="str">
        <f>_xlfn.XLOOKUP(Table1[[#This Row],[Education]],Table8[Education],Table8[Id_Education])</f>
        <v>E003</v>
      </c>
      <c r="K1181">
        <v>3</v>
      </c>
      <c r="L1181" t="str">
        <f>_xlfn.XLOOKUP(Table1[[#This Row],[EducationField]],Table7[EducationField],Table7[Id_EducationField])</f>
        <v>EF001</v>
      </c>
      <c r="M1181" t="s">
        <v>40</v>
      </c>
      <c r="N1181" t="str">
        <f>_xlfn.XLOOKUP(Table1[[#This Row],[EmployeeNumber]],Table4[EmployeeNumber],Table4[Id_Employee])</f>
        <v>EMP01180</v>
      </c>
      <c r="O1181">
        <v>1658</v>
      </c>
      <c r="P1181" t="str">
        <f>_xlfn.XLOOKUP(Table1[[#This Row],[EnvironmentSatisfaction]],Table9[EnvironmentSatisfaction],Table9[Id_EnviromentSatisfaction])</f>
        <v>ES004</v>
      </c>
      <c r="Q1181">
        <v>4</v>
      </c>
      <c r="R1181" t="str">
        <f>_xlfn.XLOOKUP(Table1[[#This Row],[EnvironmentSatisfaction]],Table9[EnvironmentSatisfaction],Table9[Deskripsi])</f>
        <v>Very High</v>
      </c>
      <c r="S1181" t="str">
        <f>_xlfn.XLOOKUP(Table1[[#This Row],[Gender]],Table10[Gender],Table10[Id_Gender])</f>
        <v>G001</v>
      </c>
      <c r="T1181" t="s">
        <v>45</v>
      </c>
      <c r="U1181">
        <v>66</v>
      </c>
      <c r="V1181" t="str">
        <f>_xlfn.XLOOKUP(Table1[[#This Row],[JobInvolvement]],Table11[JobInvolvement],Table11[Id_JobInvolvement])</f>
        <v>JI003</v>
      </c>
      <c r="W1181">
        <v>3</v>
      </c>
      <c r="X1181" t="str">
        <f>_xlfn.XLOOKUP(Table1[[#This Row],[JobLevel]],Table12[JobLevel],Table12[Id_JobLevel])</f>
        <v>JL002</v>
      </c>
      <c r="Y1181">
        <v>2</v>
      </c>
      <c r="Z1181" t="str">
        <f>_xlfn.XLOOKUP(Table1[[#This Row],[JobRole]],Table13[JobRole],Table13[Id_JobRole])</f>
        <v>JR002</v>
      </c>
      <c r="AA1181" t="s">
        <v>48</v>
      </c>
      <c r="AB1181" t="str">
        <f>_xlfn.XLOOKUP(Table1[[#This Row],[JobSatisfaction]],Table14[JobSatisfaction],Table14[Id_JobSatisfaction])</f>
        <v>JS002</v>
      </c>
      <c r="AC1181">
        <v>2</v>
      </c>
      <c r="AD1181" t="str">
        <f>_xlfn.XLOOKUP(Table1[[#This Row],[JobSatisfaction]],Table14[JobSatisfaction],Table14[Deskripsi])</f>
        <v>Medium</v>
      </c>
      <c r="AE1181" t="str">
        <f>_xlfn.XLOOKUP(Table1[[#This Row],[MaritalStatus]],Table15[MaritalStatus],Table15[Id_MaritalStatus])</f>
        <v>MS003</v>
      </c>
      <c r="AF1181" t="s">
        <v>57</v>
      </c>
      <c r="AG1181">
        <v>5433</v>
      </c>
      <c r="AH1181">
        <v>19332</v>
      </c>
      <c r="AI1181">
        <v>1</v>
      </c>
      <c r="AJ1181" t="str">
        <f>_xlfn.XLOOKUP(Table1[[#This Row],[OverTime]],Table16[OverTime],Table16[Id_OverTime])</f>
        <v>OT002</v>
      </c>
      <c r="AK1181" t="s">
        <v>33</v>
      </c>
      <c r="AL1181">
        <v>12</v>
      </c>
      <c r="AM1181" t="str">
        <f>_xlfn.XLOOKUP(Table1[[#This Row],[PerformanceRating]],Table17[PerformanceRating],Table17[Id_PerformanceRating])</f>
        <v>PR003</v>
      </c>
      <c r="AN1181">
        <v>3</v>
      </c>
      <c r="AO1181" t="str">
        <f>_xlfn.XLOOKUP(Table1[[#This Row],[PerformanceRating]],Table17[PerformanceRating],Table17[Deskripsi])</f>
        <v>Excellent</v>
      </c>
      <c r="AP1181" t="str">
        <f>_xlfn.XLOOKUP(Table1[[#This Row],[RelationshipSatisfaction]],Table18[RelationshipSatisfaction],Table18[Id_RelationshipSatisfaction])</f>
        <v>RS003</v>
      </c>
      <c r="AQ1181">
        <v>3</v>
      </c>
      <c r="AR1181" t="str">
        <f>_xlfn.XLOOKUP(Table1[[#This Row],[RelationshipSatisfaction]],Table18[RelationshipSatisfaction],Table18[Deskripsi])</f>
        <v>High</v>
      </c>
      <c r="AS1181" t="str">
        <f>_xlfn.XLOOKUP(Table1[[#This Row],[StockOptionLevel]],Table19[StockOptionLevel],Table19[Id_StockOptionLevel])</f>
        <v>SOL002</v>
      </c>
      <c r="AT1181">
        <v>1</v>
      </c>
      <c r="AU1181" t="str">
        <f>_xlfn.XLOOKUP(Table1[[#This Row],[StockOptionLevel]],Table19[StockOptionLevel],Table19[Deskripsi])</f>
        <v>Standard</v>
      </c>
      <c r="AV1181">
        <v>11</v>
      </c>
      <c r="AW1181">
        <v>2</v>
      </c>
      <c r="AX1181" t="str">
        <f>_xlfn.XLOOKUP(Table1[[#This Row],[WorkLifeBalance]],Table20[WorkLifeBalance],Table20[Id_WorkLifeBalance])</f>
        <v>WLB002</v>
      </c>
      <c r="AY1181">
        <v>3</v>
      </c>
      <c r="AZ1181" t="str">
        <f>_xlfn.XLOOKUP(Table1[[#This Row],[WorkLifeBalance]],Table20[WorkLifeBalance],Table20[Deskripsi])</f>
        <v>Good</v>
      </c>
      <c r="BA1181">
        <v>11</v>
      </c>
      <c r="BB1181">
        <v>8</v>
      </c>
      <c r="BC1181">
        <v>7</v>
      </c>
      <c r="BD1181">
        <v>9</v>
      </c>
    </row>
    <row r="1182" spans="1:56" x14ac:dyDescent="0.25">
      <c r="A1182">
        <v>36</v>
      </c>
      <c r="B1182" t="str">
        <f>_xlfn.XLOOKUP(Table1[[#This Row],[Attrition]],Table2[Attrition],Table2[Id_Attrition])</f>
        <v>A002</v>
      </c>
      <c r="C1182" t="s">
        <v>33</v>
      </c>
      <c r="D1182" t="str">
        <f>_xlfn.XLOOKUP(Table1[[#This Row],[BusinessTravel]],Table5[BusinessTravel],Table5[Id_BusinessTravel])</f>
        <v>BS001</v>
      </c>
      <c r="E1182" t="s">
        <v>34</v>
      </c>
      <c r="F1182">
        <v>311</v>
      </c>
      <c r="G1182" t="str">
        <f>_xlfn.XLOOKUP(Table1[[#This Row],[Department]],Table6[Department],Table6[Id_Departement])</f>
        <v>D002</v>
      </c>
      <c r="H1182" t="s">
        <v>38</v>
      </c>
      <c r="I1182">
        <v>7</v>
      </c>
      <c r="J1182" t="str">
        <f>_xlfn.XLOOKUP(Table1[[#This Row],[Education]],Table8[Education],Table8[Id_Education])</f>
        <v>E003</v>
      </c>
      <c r="K1182">
        <v>3</v>
      </c>
      <c r="L1182" t="str">
        <f>_xlfn.XLOOKUP(Table1[[#This Row],[EducationField]],Table7[EducationField],Table7[Id_EducationField])</f>
        <v>EF001</v>
      </c>
      <c r="M1182" t="s">
        <v>40</v>
      </c>
      <c r="N1182" t="str">
        <f>_xlfn.XLOOKUP(Table1[[#This Row],[EmployeeNumber]],Table4[EmployeeNumber],Table4[Id_Employee])</f>
        <v>EMP01181</v>
      </c>
      <c r="O1182">
        <v>1659</v>
      </c>
      <c r="P1182" t="str">
        <f>_xlfn.XLOOKUP(Table1[[#This Row],[EnvironmentSatisfaction]],Table9[EnvironmentSatisfaction],Table9[Id_EnviromentSatisfaction])</f>
        <v>ES001</v>
      </c>
      <c r="Q1182">
        <v>1</v>
      </c>
      <c r="R1182" t="str">
        <f>_xlfn.XLOOKUP(Table1[[#This Row],[EnvironmentSatisfaction]],Table9[EnvironmentSatisfaction],Table9[Deskripsi])</f>
        <v>Low</v>
      </c>
      <c r="S1182" t="str">
        <f>_xlfn.XLOOKUP(Table1[[#This Row],[Gender]],Table10[Gender],Table10[Id_Gender])</f>
        <v>G002</v>
      </c>
      <c r="T1182" t="s">
        <v>46</v>
      </c>
      <c r="U1182">
        <v>77</v>
      </c>
      <c r="V1182" t="str">
        <f>_xlfn.XLOOKUP(Table1[[#This Row],[JobInvolvement]],Table11[JobInvolvement],Table11[Id_JobInvolvement])</f>
        <v>JI003</v>
      </c>
      <c r="W1182">
        <v>3</v>
      </c>
      <c r="X1182" t="str">
        <f>_xlfn.XLOOKUP(Table1[[#This Row],[JobLevel]],Table12[JobLevel],Table12[Id_JobLevel])</f>
        <v>JL001</v>
      </c>
      <c r="Y1182">
        <v>1</v>
      </c>
      <c r="Z1182" t="str">
        <f>_xlfn.XLOOKUP(Table1[[#This Row],[JobRole]],Table13[JobRole],Table13[Id_JobRole])</f>
        <v>JR003</v>
      </c>
      <c r="AA1182" t="s">
        <v>49</v>
      </c>
      <c r="AB1182" t="str">
        <f>_xlfn.XLOOKUP(Table1[[#This Row],[JobSatisfaction]],Table14[JobSatisfaction],Table14[Id_JobSatisfaction])</f>
        <v>JS002</v>
      </c>
      <c r="AC1182">
        <v>2</v>
      </c>
      <c r="AD1182" t="str">
        <f>_xlfn.XLOOKUP(Table1[[#This Row],[JobSatisfaction]],Table14[JobSatisfaction],Table14[Deskripsi])</f>
        <v>Medium</v>
      </c>
      <c r="AE1182" t="str">
        <f>_xlfn.XLOOKUP(Table1[[#This Row],[MaritalStatus]],Table15[MaritalStatus],Table15[Id_MaritalStatus])</f>
        <v>MS001</v>
      </c>
      <c r="AF1182" t="s">
        <v>55</v>
      </c>
      <c r="AG1182">
        <v>2013</v>
      </c>
      <c r="AH1182">
        <v>10950</v>
      </c>
      <c r="AI1182">
        <v>2</v>
      </c>
      <c r="AJ1182" t="str">
        <f>_xlfn.XLOOKUP(Table1[[#This Row],[OverTime]],Table16[OverTime],Table16[Id_OverTime])</f>
        <v>OT002</v>
      </c>
      <c r="AK1182" t="s">
        <v>33</v>
      </c>
      <c r="AL1182">
        <v>11</v>
      </c>
      <c r="AM1182" t="str">
        <f>_xlfn.XLOOKUP(Table1[[#This Row],[PerformanceRating]],Table17[PerformanceRating],Table17[Id_PerformanceRating])</f>
        <v>PR003</v>
      </c>
      <c r="AN1182">
        <v>3</v>
      </c>
      <c r="AO1182" t="str">
        <f>_xlfn.XLOOKUP(Table1[[#This Row],[PerformanceRating]],Table17[PerformanceRating],Table17[Deskripsi])</f>
        <v>Excellent</v>
      </c>
      <c r="AP1182" t="str">
        <f>_xlfn.XLOOKUP(Table1[[#This Row],[RelationshipSatisfaction]],Table18[RelationshipSatisfaction],Table18[Id_RelationshipSatisfaction])</f>
        <v>RS003</v>
      </c>
      <c r="AQ1182">
        <v>3</v>
      </c>
      <c r="AR1182" t="str">
        <f>_xlfn.XLOOKUP(Table1[[#This Row],[RelationshipSatisfaction]],Table18[RelationshipSatisfaction],Table18[Deskripsi])</f>
        <v>High</v>
      </c>
      <c r="AS1182" t="str">
        <f>_xlfn.XLOOKUP(Table1[[#This Row],[StockOptionLevel]],Table19[StockOptionLevel],Table19[Id_StockOptionLevel])</f>
        <v>SOL001</v>
      </c>
      <c r="AT1182">
        <v>0</v>
      </c>
      <c r="AU1182" t="str">
        <f>_xlfn.XLOOKUP(Table1[[#This Row],[StockOptionLevel]],Table19[StockOptionLevel],Table19[Deskripsi])</f>
        <v>Non-Eligible</v>
      </c>
      <c r="AV1182">
        <v>15</v>
      </c>
      <c r="AW1182">
        <v>4</v>
      </c>
      <c r="AX1182" t="str">
        <f>_xlfn.XLOOKUP(Table1[[#This Row],[WorkLifeBalance]],Table20[WorkLifeBalance],Table20[Id_WorkLifeBalance])</f>
        <v>WLB002</v>
      </c>
      <c r="AY1182">
        <v>3</v>
      </c>
      <c r="AZ1182" t="str">
        <f>_xlfn.XLOOKUP(Table1[[#This Row],[WorkLifeBalance]],Table20[WorkLifeBalance],Table20[Deskripsi])</f>
        <v>Good</v>
      </c>
      <c r="BA1182">
        <v>4</v>
      </c>
      <c r="BB1182">
        <v>3</v>
      </c>
      <c r="BC1182">
        <v>1</v>
      </c>
      <c r="BD1182">
        <v>3</v>
      </c>
    </row>
    <row r="1183" spans="1:56" x14ac:dyDescent="0.25">
      <c r="A1183">
        <v>49</v>
      </c>
      <c r="B1183" t="str">
        <f>_xlfn.XLOOKUP(Table1[[#This Row],[Attrition]],Table2[Attrition],Table2[Id_Attrition])</f>
        <v>A002</v>
      </c>
      <c r="C1183" t="s">
        <v>33</v>
      </c>
      <c r="D1183" t="str">
        <f>_xlfn.XLOOKUP(Table1[[#This Row],[BusinessTravel]],Table5[BusinessTravel],Table5[Id_BusinessTravel])</f>
        <v>BS001</v>
      </c>
      <c r="E1183" t="s">
        <v>34</v>
      </c>
      <c r="F1183">
        <v>465</v>
      </c>
      <c r="G1183" t="str">
        <f>_xlfn.XLOOKUP(Table1[[#This Row],[Department]],Table6[Department],Table6[Id_Departement])</f>
        <v>D002</v>
      </c>
      <c r="H1183" t="s">
        <v>38</v>
      </c>
      <c r="I1183">
        <v>6</v>
      </c>
      <c r="J1183" t="str">
        <f>_xlfn.XLOOKUP(Table1[[#This Row],[Education]],Table8[Education],Table8[Id_Education])</f>
        <v>E001</v>
      </c>
      <c r="K1183">
        <v>1</v>
      </c>
      <c r="L1183" t="str">
        <f>_xlfn.XLOOKUP(Table1[[#This Row],[EducationField]],Table7[EducationField],Table7[Id_EducationField])</f>
        <v>EF001</v>
      </c>
      <c r="M1183" t="s">
        <v>40</v>
      </c>
      <c r="N1183" t="str">
        <f>_xlfn.XLOOKUP(Table1[[#This Row],[EmployeeNumber]],Table4[EmployeeNumber],Table4[Id_Employee])</f>
        <v>EMP01182</v>
      </c>
      <c r="O1183">
        <v>1661</v>
      </c>
      <c r="P1183" t="str">
        <f>_xlfn.XLOOKUP(Table1[[#This Row],[EnvironmentSatisfaction]],Table9[EnvironmentSatisfaction],Table9[Id_EnviromentSatisfaction])</f>
        <v>ES003</v>
      </c>
      <c r="Q1183">
        <v>3</v>
      </c>
      <c r="R1183" t="str">
        <f>_xlfn.XLOOKUP(Table1[[#This Row],[EnvironmentSatisfaction]],Table9[EnvironmentSatisfaction],Table9[Deskripsi])</f>
        <v>High</v>
      </c>
      <c r="S1183" t="str">
        <f>_xlfn.XLOOKUP(Table1[[#This Row],[Gender]],Table10[Gender],Table10[Id_Gender])</f>
        <v>G001</v>
      </c>
      <c r="T1183" t="s">
        <v>45</v>
      </c>
      <c r="U1183">
        <v>41</v>
      </c>
      <c r="V1183" t="str">
        <f>_xlfn.XLOOKUP(Table1[[#This Row],[JobInvolvement]],Table11[JobInvolvement],Table11[Id_JobInvolvement])</f>
        <v>JI002</v>
      </c>
      <c r="W1183">
        <v>2</v>
      </c>
      <c r="X1183" t="str">
        <f>_xlfn.XLOOKUP(Table1[[#This Row],[JobLevel]],Table12[JobLevel],Table12[Id_JobLevel])</f>
        <v>JL004</v>
      </c>
      <c r="Y1183">
        <v>4</v>
      </c>
      <c r="Z1183" t="str">
        <f>_xlfn.XLOOKUP(Table1[[#This Row],[JobRole]],Table13[JobRole],Table13[Id_JobRole])</f>
        <v>JR005</v>
      </c>
      <c r="AA1183" t="s">
        <v>51</v>
      </c>
      <c r="AB1183" t="str">
        <f>_xlfn.XLOOKUP(Table1[[#This Row],[JobSatisfaction]],Table14[JobSatisfaction],Table14[Id_JobSatisfaction])</f>
        <v>JS003</v>
      </c>
      <c r="AC1183">
        <v>3</v>
      </c>
      <c r="AD1183" t="str">
        <f>_xlfn.XLOOKUP(Table1[[#This Row],[JobSatisfaction]],Table14[JobSatisfaction],Table14[Deskripsi])</f>
        <v>High</v>
      </c>
      <c r="AE1183" t="str">
        <f>_xlfn.XLOOKUP(Table1[[#This Row],[MaritalStatus]],Table15[MaritalStatus],Table15[Id_MaritalStatus])</f>
        <v>MS002</v>
      </c>
      <c r="AF1183" t="s">
        <v>56</v>
      </c>
      <c r="AG1183">
        <v>13966</v>
      </c>
      <c r="AH1183">
        <v>11652</v>
      </c>
      <c r="AI1183">
        <v>2</v>
      </c>
      <c r="AJ1183" t="str">
        <f>_xlfn.XLOOKUP(Table1[[#This Row],[OverTime]],Table16[OverTime],Table16[Id_OverTime])</f>
        <v>OT001</v>
      </c>
      <c r="AK1183" t="s">
        <v>32</v>
      </c>
      <c r="AL1183">
        <v>19</v>
      </c>
      <c r="AM1183" t="str">
        <f>_xlfn.XLOOKUP(Table1[[#This Row],[PerformanceRating]],Table17[PerformanceRating],Table17[Id_PerformanceRating])</f>
        <v>PR003</v>
      </c>
      <c r="AN1183">
        <v>3</v>
      </c>
      <c r="AO1183" t="str">
        <f>_xlfn.XLOOKUP(Table1[[#This Row],[PerformanceRating]],Table17[PerformanceRating],Table17[Deskripsi])</f>
        <v>Excellent</v>
      </c>
      <c r="AP1183" t="str">
        <f>_xlfn.XLOOKUP(Table1[[#This Row],[RelationshipSatisfaction]],Table18[RelationshipSatisfaction],Table18[Id_RelationshipSatisfaction])</f>
        <v>RS002</v>
      </c>
      <c r="AQ1183">
        <v>2</v>
      </c>
      <c r="AR1183" t="str">
        <f>_xlfn.XLOOKUP(Table1[[#This Row],[RelationshipSatisfaction]],Table18[RelationshipSatisfaction],Table18[Deskripsi])</f>
        <v>Medium</v>
      </c>
      <c r="AS1183" t="str">
        <f>_xlfn.XLOOKUP(Table1[[#This Row],[StockOptionLevel]],Table19[StockOptionLevel],Table19[Id_StockOptionLevel])</f>
        <v>SOL002</v>
      </c>
      <c r="AT1183">
        <v>1</v>
      </c>
      <c r="AU1183" t="str">
        <f>_xlfn.XLOOKUP(Table1[[#This Row],[StockOptionLevel]],Table19[StockOptionLevel],Table19[Deskripsi])</f>
        <v>Standard</v>
      </c>
      <c r="AV1183">
        <v>30</v>
      </c>
      <c r="AW1183">
        <v>3</v>
      </c>
      <c r="AX1183" t="str">
        <f>_xlfn.XLOOKUP(Table1[[#This Row],[WorkLifeBalance]],Table20[WorkLifeBalance],Table20[Id_WorkLifeBalance])</f>
        <v>WLB002</v>
      </c>
      <c r="AY1183">
        <v>3</v>
      </c>
      <c r="AZ1183" t="str">
        <f>_xlfn.XLOOKUP(Table1[[#This Row],[WorkLifeBalance]],Table20[WorkLifeBalance],Table20[Deskripsi])</f>
        <v>Good</v>
      </c>
      <c r="BA1183">
        <v>15</v>
      </c>
      <c r="BB1183">
        <v>11</v>
      </c>
      <c r="BC1183">
        <v>2</v>
      </c>
      <c r="BD1183">
        <v>12</v>
      </c>
    </row>
    <row r="1184" spans="1:56" x14ac:dyDescent="0.25">
      <c r="A1184">
        <v>36</v>
      </c>
      <c r="B1184" t="str">
        <f>_xlfn.XLOOKUP(Table1[[#This Row],[Attrition]],Table2[Attrition],Table2[Id_Attrition])</f>
        <v>A002</v>
      </c>
      <c r="C1184" t="s">
        <v>33</v>
      </c>
      <c r="D1184" t="str">
        <f>_xlfn.XLOOKUP(Table1[[#This Row],[BusinessTravel]],Table5[BusinessTravel],Table5[Id_BusinessTravel])</f>
        <v>BS003</v>
      </c>
      <c r="E1184" t="s">
        <v>36</v>
      </c>
      <c r="F1184">
        <v>894</v>
      </c>
      <c r="G1184" t="str">
        <f>_xlfn.XLOOKUP(Table1[[#This Row],[Department]],Table6[Department],Table6[Id_Departement])</f>
        <v>D002</v>
      </c>
      <c r="H1184" t="s">
        <v>38</v>
      </c>
      <c r="I1184">
        <v>1</v>
      </c>
      <c r="J1184" t="str">
        <f>_xlfn.XLOOKUP(Table1[[#This Row],[Education]],Table8[Education],Table8[Id_Education])</f>
        <v>E004</v>
      </c>
      <c r="K1184">
        <v>4</v>
      </c>
      <c r="L1184" t="str">
        <f>_xlfn.XLOOKUP(Table1[[#This Row],[EducationField]],Table7[EducationField],Table7[Id_EducationField])</f>
        <v>EF003</v>
      </c>
      <c r="M1184" t="s">
        <v>42</v>
      </c>
      <c r="N1184" t="str">
        <f>_xlfn.XLOOKUP(Table1[[#This Row],[EmployeeNumber]],Table4[EmployeeNumber],Table4[Id_Employee])</f>
        <v>EMP01183</v>
      </c>
      <c r="O1184">
        <v>1662</v>
      </c>
      <c r="P1184" t="str">
        <f>_xlfn.XLOOKUP(Table1[[#This Row],[EnvironmentSatisfaction]],Table9[EnvironmentSatisfaction],Table9[Id_EnviromentSatisfaction])</f>
        <v>ES004</v>
      </c>
      <c r="Q1184">
        <v>4</v>
      </c>
      <c r="R1184" t="str">
        <f>_xlfn.XLOOKUP(Table1[[#This Row],[EnvironmentSatisfaction]],Table9[EnvironmentSatisfaction],Table9[Deskripsi])</f>
        <v>Very High</v>
      </c>
      <c r="S1184" t="str">
        <f>_xlfn.XLOOKUP(Table1[[#This Row],[Gender]],Table10[Gender],Table10[Id_Gender])</f>
        <v>G001</v>
      </c>
      <c r="T1184" t="s">
        <v>45</v>
      </c>
      <c r="U1184">
        <v>33</v>
      </c>
      <c r="V1184" t="str">
        <f>_xlfn.XLOOKUP(Table1[[#This Row],[JobInvolvement]],Table11[JobInvolvement],Table11[Id_JobInvolvement])</f>
        <v>JI002</v>
      </c>
      <c r="W1184">
        <v>2</v>
      </c>
      <c r="X1184" t="str">
        <f>_xlfn.XLOOKUP(Table1[[#This Row],[JobLevel]],Table12[JobLevel],Table12[Id_JobLevel])</f>
        <v>JL002</v>
      </c>
      <c r="Y1184">
        <v>2</v>
      </c>
      <c r="Z1184" t="str">
        <f>_xlfn.XLOOKUP(Table1[[#This Row],[JobRole]],Table13[JobRole],Table13[Id_JobRole])</f>
        <v>JR004</v>
      </c>
      <c r="AA1184" t="s">
        <v>50</v>
      </c>
      <c r="AB1184" t="str">
        <f>_xlfn.XLOOKUP(Table1[[#This Row],[JobSatisfaction]],Table14[JobSatisfaction],Table14[Id_JobSatisfaction])</f>
        <v>JS003</v>
      </c>
      <c r="AC1184">
        <v>3</v>
      </c>
      <c r="AD1184" t="str">
        <f>_xlfn.XLOOKUP(Table1[[#This Row],[JobSatisfaction]],Table14[JobSatisfaction],Table14[Deskripsi])</f>
        <v>High</v>
      </c>
      <c r="AE1184" t="str">
        <f>_xlfn.XLOOKUP(Table1[[#This Row],[MaritalStatus]],Table15[MaritalStatus],Table15[Id_MaritalStatus])</f>
        <v>MS002</v>
      </c>
      <c r="AF1184" t="s">
        <v>56</v>
      </c>
      <c r="AG1184">
        <v>4374</v>
      </c>
      <c r="AH1184">
        <v>15411</v>
      </c>
      <c r="AI1184">
        <v>0</v>
      </c>
      <c r="AJ1184" t="str">
        <f>_xlfn.XLOOKUP(Table1[[#This Row],[OverTime]],Table16[OverTime],Table16[Id_OverTime])</f>
        <v>OT002</v>
      </c>
      <c r="AK1184" t="s">
        <v>33</v>
      </c>
      <c r="AL1184">
        <v>15</v>
      </c>
      <c r="AM1184" t="str">
        <f>_xlfn.XLOOKUP(Table1[[#This Row],[PerformanceRating]],Table17[PerformanceRating],Table17[Id_PerformanceRating])</f>
        <v>PR003</v>
      </c>
      <c r="AN1184">
        <v>3</v>
      </c>
      <c r="AO1184" t="str">
        <f>_xlfn.XLOOKUP(Table1[[#This Row],[PerformanceRating]],Table17[PerformanceRating],Table17[Deskripsi])</f>
        <v>Excellent</v>
      </c>
      <c r="AP1184" t="str">
        <f>_xlfn.XLOOKUP(Table1[[#This Row],[RelationshipSatisfaction]],Table18[RelationshipSatisfaction],Table18[Id_RelationshipSatisfaction])</f>
        <v>RS003</v>
      </c>
      <c r="AQ1184">
        <v>3</v>
      </c>
      <c r="AR1184" t="str">
        <f>_xlfn.XLOOKUP(Table1[[#This Row],[RelationshipSatisfaction]],Table18[RelationshipSatisfaction],Table18[Deskripsi])</f>
        <v>High</v>
      </c>
      <c r="AS1184" t="str">
        <f>_xlfn.XLOOKUP(Table1[[#This Row],[StockOptionLevel]],Table19[StockOptionLevel],Table19[Id_StockOptionLevel])</f>
        <v>SOL001</v>
      </c>
      <c r="AT1184">
        <v>0</v>
      </c>
      <c r="AU1184" t="str">
        <f>_xlfn.XLOOKUP(Table1[[#This Row],[StockOptionLevel]],Table19[StockOptionLevel],Table19[Deskripsi])</f>
        <v>Non-Eligible</v>
      </c>
      <c r="AV1184">
        <v>4</v>
      </c>
      <c r="AW1184">
        <v>6</v>
      </c>
      <c r="AX1184" t="str">
        <f>_xlfn.XLOOKUP(Table1[[#This Row],[WorkLifeBalance]],Table20[WorkLifeBalance],Table20[Id_WorkLifeBalance])</f>
        <v>WLB002</v>
      </c>
      <c r="AY1184">
        <v>3</v>
      </c>
      <c r="AZ1184" t="str">
        <f>_xlfn.XLOOKUP(Table1[[#This Row],[WorkLifeBalance]],Table20[WorkLifeBalance],Table20[Deskripsi])</f>
        <v>Good</v>
      </c>
      <c r="BA1184">
        <v>3</v>
      </c>
      <c r="BB1184">
        <v>2</v>
      </c>
      <c r="BC1184">
        <v>1</v>
      </c>
      <c r="BD1184">
        <v>2</v>
      </c>
    </row>
    <row r="1185" spans="1:56" x14ac:dyDescent="0.25">
      <c r="A1185">
        <v>36</v>
      </c>
      <c r="B1185" t="str">
        <f>_xlfn.XLOOKUP(Table1[[#This Row],[Attrition]],Table2[Attrition],Table2[Id_Attrition])</f>
        <v>A002</v>
      </c>
      <c r="C1185" t="s">
        <v>33</v>
      </c>
      <c r="D1185" t="str">
        <f>_xlfn.XLOOKUP(Table1[[#This Row],[BusinessTravel]],Table5[BusinessTravel],Table5[Id_BusinessTravel])</f>
        <v>BS001</v>
      </c>
      <c r="E1185" t="s">
        <v>34</v>
      </c>
      <c r="F1185">
        <v>1040</v>
      </c>
      <c r="G1185" t="str">
        <f>_xlfn.XLOOKUP(Table1[[#This Row],[Department]],Table6[Department],Table6[Id_Departement])</f>
        <v>D002</v>
      </c>
      <c r="H1185" t="s">
        <v>38</v>
      </c>
      <c r="I1185">
        <v>3</v>
      </c>
      <c r="J1185" t="str">
        <f>_xlfn.XLOOKUP(Table1[[#This Row],[Education]],Table8[Education],Table8[Id_Education])</f>
        <v>E002</v>
      </c>
      <c r="K1185">
        <v>2</v>
      </c>
      <c r="L1185" t="str">
        <f>_xlfn.XLOOKUP(Table1[[#This Row],[EducationField]],Table7[EducationField],Table7[Id_EducationField])</f>
        <v>EF001</v>
      </c>
      <c r="M1185" t="s">
        <v>40</v>
      </c>
      <c r="N1185" t="str">
        <f>_xlfn.XLOOKUP(Table1[[#This Row],[EmployeeNumber]],Table4[EmployeeNumber],Table4[Id_Employee])</f>
        <v>EMP01184</v>
      </c>
      <c r="O1185">
        <v>1664</v>
      </c>
      <c r="P1185" t="str">
        <f>_xlfn.XLOOKUP(Table1[[#This Row],[EnvironmentSatisfaction]],Table9[EnvironmentSatisfaction],Table9[Id_EnviromentSatisfaction])</f>
        <v>ES004</v>
      </c>
      <c r="Q1185">
        <v>4</v>
      </c>
      <c r="R1185" t="str">
        <f>_xlfn.XLOOKUP(Table1[[#This Row],[EnvironmentSatisfaction]],Table9[EnvironmentSatisfaction],Table9[Deskripsi])</f>
        <v>Very High</v>
      </c>
      <c r="S1185" t="str">
        <f>_xlfn.XLOOKUP(Table1[[#This Row],[Gender]],Table10[Gender],Table10[Id_Gender])</f>
        <v>G002</v>
      </c>
      <c r="T1185" t="s">
        <v>46</v>
      </c>
      <c r="U1185">
        <v>79</v>
      </c>
      <c r="V1185" t="str">
        <f>_xlfn.XLOOKUP(Table1[[#This Row],[JobInvolvement]],Table11[JobInvolvement],Table11[Id_JobInvolvement])</f>
        <v>JI004</v>
      </c>
      <c r="W1185">
        <v>4</v>
      </c>
      <c r="X1185" t="str">
        <f>_xlfn.XLOOKUP(Table1[[#This Row],[JobLevel]],Table12[JobLevel],Table12[Id_JobLevel])</f>
        <v>JL002</v>
      </c>
      <c r="Y1185">
        <v>2</v>
      </c>
      <c r="Z1185" t="str">
        <f>_xlfn.XLOOKUP(Table1[[#This Row],[JobRole]],Table13[JobRole],Table13[Id_JobRole])</f>
        <v>JR005</v>
      </c>
      <c r="AA1185" t="s">
        <v>51</v>
      </c>
      <c r="AB1185" t="str">
        <f>_xlfn.XLOOKUP(Table1[[#This Row],[JobSatisfaction]],Table14[JobSatisfaction],Table14[Id_JobSatisfaction])</f>
        <v>JS001</v>
      </c>
      <c r="AC1185">
        <v>1</v>
      </c>
      <c r="AD1185" t="str">
        <f>_xlfn.XLOOKUP(Table1[[#This Row],[JobSatisfaction]],Table14[JobSatisfaction],Table14[Deskripsi])</f>
        <v>Low</v>
      </c>
      <c r="AE1185" t="str">
        <f>_xlfn.XLOOKUP(Table1[[#This Row],[MaritalStatus]],Table15[MaritalStatus],Table15[Id_MaritalStatus])</f>
        <v>MS003</v>
      </c>
      <c r="AF1185" t="s">
        <v>57</v>
      </c>
      <c r="AG1185">
        <v>6842</v>
      </c>
      <c r="AH1185">
        <v>26308</v>
      </c>
      <c r="AI1185">
        <v>6</v>
      </c>
      <c r="AJ1185" t="str">
        <f>_xlfn.XLOOKUP(Table1[[#This Row],[OverTime]],Table16[OverTime],Table16[Id_OverTime])</f>
        <v>OT002</v>
      </c>
      <c r="AK1185" t="s">
        <v>33</v>
      </c>
      <c r="AL1185">
        <v>20</v>
      </c>
      <c r="AM1185" t="str">
        <f>_xlfn.XLOOKUP(Table1[[#This Row],[PerformanceRating]],Table17[PerformanceRating],Table17[Id_PerformanceRating])</f>
        <v>PR004</v>
      </c>
      <c r="AN1185">
        <v>4</v>
      </c>
      <c r="AO1185" t="str">
        <f>_xlfn.XLOOKUP(Table1[[#This Row],[PerformanceRating]],Table17[PerformanceRating],Table17[Deskripsi])</f>
        <v>Outstanding</v>
      </c>
      <c r="AP1185" t="str">
        <f>_xlfn.XLOOKUP(Table1[[#This Row],[RelationshipSatisfaction]],Table18[RelationshipSatisfaction],Table18[Id_RelationshipSatisfaction])</f>
        <v>RS001</v>
      </c>
      <c r="AQ1185">
        <v>1</v>
      </c>
      <c r="AR1185" t="str">
        <f>_xlfn.XLOOKUP(Table1[[#This Row],[RelationshipSatisfaction]],Table18[RelationshipSatisfaction],Table18[Deskripsi])</f>
        <v>Low</v>
      </c>
      <c r="AS1185" t="str">
        <f>_xlfn.XLOOKUP(Table1[[#This Row],[StockOptionLevel]],Table19[StockOptionLevel],Table19[Id_StockOptionLevel])</f>
        <v>SOL002</v>
      </c>
      <c r="AT1185">
        <v>1</v>
      </c>
      <c r="AU1185" t="str">
        <f>_xlfn.XLOOKUP(Table1[[#This Row],[StockOptionLevel]],Table19[StockOptionLevel],Table19[Deskripsi])</f>
        <v>Standard</v>
      </c>
      <c r="AV1185">
        <v>13</v>
      </c>
      <c r="AW1185">
        <v>3</v>
      </c>
      <c r="AX1185" t="str">
        <f>_xlfn.XLOOKUP(Table1[[#This Row],[WorkLifeBalance]],Table20[WorkLifeBalance],Table20[Id_WorkLifeBalance])</f>
        <v>WLB002</v>
      </c>
      <c r="AY1185">
        <v>3</v>
      </c>
      <c r="AZ1185" t="str">
        <f>_xlfn.XLOOKUP(Table1[[#This Row],[WorkLifeBalance]],Table20[WorkLifeBalance],Table20[Deskripsi])</f>
        <v>Good</v>
      </c>
      <c r="BA1185">
        <v>5</v>
      </c>
      <c r="BB1185">
        <v>4</v>
      </c>
      <c r="BC1185">
        <v>0</v>
      </c>
      <c r="BD1185">
        <v>4</v>
      </c>
    </row>
    <row r="1186" spans="1:56" x14ac:dyDescent="0.25">
      <c r="A1186">
        <v>54</v>
      </c>
      <c r="B1186" t="str">
        <f>_xlfn.XLOOKUP(Table1[[#This Row],[Attrition]],Table2[Attrition],Table2[Id_Attrition])</f>
        <v>A002</v>
      </c>
      <c r="C1186" t="s">
        <v>33</v>
      </c>
      <c r="D1186" t="str">
        <f>_xlfn.XLOOKUP(Table1[[#This Row],[BusinessTravel]],Table5[BusinessTravel],Table5[Id_BusinessTravel])</f>
        <v>BS001</v>
      </c>
      <c r="E1186" t="s">
        <v>34</v>
      </c>
      <c r="F1186">
        <v>584</v>
      </c>
      <c r="G1186" t="str">
        <f>_xlfn.XLOOKUP(Table1[[#This Row],[Department]],Table6[Department],Table6[Id_Departement])</f>
        <v>D002</v>
      </c>
      <c r="H1186" t="s">
        <v>38</v>
      </c>
      <c r="I1186">
        <v>22</v>
      </c>
      <c r="J1186" t="str">
        <f>_xlfn.XLOOKUP(Table1[[#This Row],[Education]],Table8[Education],Table8[Id_Education])</f>
        <v>E005</v>
      </c>
      <c r="K1186">
        <v>5</v>
      </c>
      <c r="L1186" t="str">
        <f>_xlfn.XLOOKUP(Table1[[#This Row],[EducationField]],Table7[EducationField],Table7[Id_EducationField])</f>
        <v>EF003</v>
      </c>
      <c r="M1186" t="s">
        <v>42</v>
      </c>
      <c r="N1186" t="str">
        <f>_xlfn.XLOOKUP(Table1[[#This Row],[EmployeeNumber]],Table4[EmployeeNumber],Table4[Id_Employee])</f>
        <v>EMP01185</v>
      </c>
      <c r="O1186">
        <v>1665</v>
      </c>
      <c r="P1186" t="str">
        <f>_xlfn.XLOOKUP(Table1[[#This Row],[EnvironmentSatisfaction]],Table9[EnvironmentSatisfaction],Table9[Id_EnviromentSatisfaction])</f>
        <v>ES002</v>
      </c>
      <c r="Q1186">
        <v>2</v>
      </c>
      <c r="R1186" t="str">
        <f>_xlfn.XLOOKUP(Table1[[#This Row],[EnvironmentSatisfaction]],Table9[EnvironmentSatisfaction],Table9[Deskripsi])</f>
        <v>Medium</v>
      </c>
      <c r="S1186" t="str">
        <f>_xlfn.XLOOKUP(Table1[[#This Row],[Gender]],Table10[Gender],Table10[Id_Gender])</f>
        <v>G001</v>
      </c>
      <c r="T1186" t="s">
        <v>45</v>
      </c>
      <c r="U1186">
        <v>91</v>
      </c>
      <c r="V1186" t="str">
        <f>_xlfn.XLOOKUP(Table1[[#This Row],[JobInvolvement]],Table11[JobInvolvement],Table11[Id_JobInvolvement])</f>
        <v>JI003</v>
      </c>
      <c r="W1186">
        <v>3</v>
      </c>
      <c r="X1186" t="str">
        <f>_xlfn.XLOOKUP(Table1[[#This Row],[JobLevel]],Table12[JobLevel],Table12[Id_JobLevel])</f>
        <v>JL004</v>
      </c>
      <c r="Y1186">
        <v>4</v>
      </c>
      <c r="Z1186" t="str">
        <f>_xlfn.XLOOKUP(Table1[[#This Row],[JobRole]],Table13[JobRole],Table13[Id_JobRole])</f>
        <v>JR006</v>
      </c>
      <c r="AA1186" t="s">
        <v>52</v>
      </c>
      <c r="AB1186" t="str">
        <f>_xlfn.XLOOKUP(Table1[[#This Row],[JobSatisfaction]],Table14[JobSatisfaction],Table14[Id_JobSatisfaction])</f>
        <v>JS003</v>
      </c>
      <c r="AC1186">
        <v>3</v>
      </c>
      <c r="AD1186" t="str">
        <f>_xlfn.XLOOKUP(Table1[[#This Row],[JobSatisfaction]],Table14[JobSatisfaction],Table14[Deskripsi])</f>
        <v>High</v>
      </c>
      <c r="AE1186" t="str">
        <f>_xlfn.XLOOKUP(Table1[[#This Row],[MaritalStatus]],Table15[MaritalStatus],Table15[Id_MaritalStatus])</f>
        <v>MS002</v>
      </c>
      <c r="AF1186" t="s">
        <v>56</v>
      </c>
      <c r="AG1186">
        <v>17426</v>
      </c>
      <c r="AH1186">
        <v>18685</v>
      </c>
      <c r="AI1186">
        <v>3</v>
      </c>
      <c r="AJ1186" t="str">
        <f>_xlfn.XLOOKUP(Table1[[#This Row],[OverTime]],Table16[OverTime],Table16[Id_OverTime])</f>
        <v>OT002</v>
      </c>
      <c r="AK1186" t="s">
        <v>33</v>
      </c>
      <c r="AL1186">
        <v>25</v>
      </c>
      <c r="AM1186" t="str">
        <f>_xlfn.XLOOKUP(Table1[[#This Row],[PerformanceRating]],Table17[PerformanceRating],Table17[Id_PerformanceRating])</f>
        <v>PR004</v>
      </c>
      <c r="AN1186">
        <v>4</v>
      </c>
      <c r="AO1186" t="str">
        <f>_xlfn.XLOOKUP(Table1[[#This Row],[PerformanceRating]],Table17[PerformanceRating],Table17[Deskripsi])</f>
        <v>Outstanding</v>
      </c>
      <c r="AP1186" t="str">
        <f>_xlfn.XLOOKUP(Table1[[#This Row],[RelationshipSatisfaction]],Table18[RelationshipSatisfaction],Table18[Id_RelationshipSatisfaction])</f>
        <v>RS003</v>
      </c>
      <c r="AQ1186">
        <v>3</v>
      </c>
      <c r="AR1186" t="str">
        <f>_xlfn.XLOOKUP(Table1[[#This Row],[RelationshipSatisfaction]],Table18[RelationshipSatisfaction],Table18[Deskripsi])</f>
        <v>High</v>
      </c>
      <c r="AS1186" t="str">
        <f>_xlfn.XLOOKUP(Table1[[#This Row],[StockOptionLevel]],Table19[StockOptionLevel],Table19[Id_StockOptionLevel])</f>
        <v>SOL002</v>
      </c>
      <c r="AT1186">
        <v>1</v>
      </c>
      <c r="AU1186" t="str">
        <f>_xlfn.XLOOKUP(Table1[[#This Row],[StockOptionLevel]],Table19[StockOptionLevel],Table19[Deskripsi])</f>
        <v>Standard</v>
      </c>
      <c r="AV1186">
        <v>36</v>
      </c>
      <c r="AW1186">
        <v>6</v>
      </c>
      <c r="AX1186" t="str">
        <f>_xlfn.XLOOKUP(Table1[[#This Row],[WorkLifeBalance]],Table20[WorkLifeBalance],Table20[Id_WorkLifeBalance])</f>
        <v>WLB002</v>
      </c>
      <c r="AY1186">
        <v>3</v>
      </c>
      <c r="AZ1186" t="str">
        <f>_xlfn.XLOOKUP(Table1[[#This Row],[WorkLifeBalance]],Table20[WorkLifeBalance],Table20[Deskripsi])</f>
        <v>Good</v>
      </c>
      <c r="BA1186">
        <v>10</v>
      </c>
      <c r="BB1186">
        <v>8</v>
      </c>
      <c r="BC1186">
        <v>4</v>
      </c>
      <c r="BD1186">
        <v>7</v>
      </c>
    </row>
    <row r="1187" spans="1:56" x14ac:dyDescent="0.25">
      <c r="A1187">
        <v>43</v>
      </c>
      <c r="B1187" t="str">
        <f>_xlfn.XLOOKUP(Table1[[#This Row],[Attrition]],Table2[Attrition],Table2[Id_Attrition])</f>
        <v>A002</v>
      </c>
      <c r="C1187" t="s">
        <v>33</v>
      </c>
      <c r="D1187" t="str">
        <f>_xlfn.XLOOKUP(Table1[[#This Row],[BusinessTravel]],Table5[BusinessTravel],Table5[Id_BusinessTravel])</f>
        <v>BS001</v>
      </c>
      <c r="E1187" t="s">
        <v>34</v>
      </c>
      <c r="F1187">
        <v>1291</v>
      </c>
      <c r="G1187" t="str">
        <f>_xlfn.XLOOKUP(Table1[[#This Row],[Department]],Table6[Department],Table6[Id_Departement])</f>
        <v>D002</v>
      </c>
      <c r="H1187" t="s">
        <v>38</v>
      </c>
      <c r="I1187">
        <v>15</v>
      </c>
      <c r="J1187" t="str">
        <f>_xlfn.XLOOKUP(Table1[[#This Row],[Education]],Table8[Education],Table8[Id_Education])</f>
        <v>E002</v>
      </c>
      <c r="K1187">
        <v>2</v>
      </c>
      <c r="L1187" t="str">
        <f>_xlfn.XLOOKUP(Table1[[#This Row],[EducationField]],Table7[EducationField],Table7[Id_EducationField])</f>
        <v>EF001</v>
      </c>
      <c r="M1187" t="s">
        <v>40</v>
      </c>
      <c r="N1187" t="str">
        <f>_xlfn.XLOOKUP(Table1[[#This Row],[EmployeeNumber]],Table4[EmployeeNumber],Table4[Id_Employee])</f>
        <v>EMP01186</v>
      </c>
      <c r="O1187">
        <v>1666</v>
      </c>
      <c r="P1187" t="str">
        <f>_xlfn.XLOOKUP(Table1[[#This Row],[EnvironmentSatisfaction]],Table9[EnvironmentSatisfaction],Table9[Id_EnviromentSatisfaction])</f>
        <v>ES003</v>
      </c>
      <c r="Q1187">
        <v>3</v>
      </c>
      <c r="R1187" t="str">
        <f>_xlfn.XLOOKUP(Table1[[#This Row],[EnvironmentSatisfaction]],Table9[EnvironmentSatisfaction],Table9[Deskripsi])</f>
        <v>High</v>
      </c>
      <c r="S1187" t="str">
        <f>_xlfn.XLOOKUP(Table1[[#This Row],[Gender]],Table10[Gender],Table10[Id_Gender])</f>
        <v>G002</v>
      </c>
      <c r="T1187" t="s">
        <v>46</v>
      </c>
      <c r="U1187">
        <v>65</v>
      </c>
      <c r="V1187" t="str">
        <f>_xlfn.XLOOKUP(Table1[[#This Row],[JobInvolvement]],Table11[JobInvolvement],Table11[Id_JobInvolvement])</f>
        <v>JI002</v>
      </c>
      <c r="W1187">
        <v>2</v>
      </c>
      <c r="X1187" t="str">
        <f>_xlfn.XLOOKUP(Table1[[#This Row],[JobLevel]],Table12[JobLevel],Table12[Id_JobLevel])</f>
        <v>JL004</v>
      </c>
      <c r="Y1187">
        <v>4</v>
      </c>
      <c r="Z1187" t="str">
        <f>_xlfn.XLOOKUP(Table1[[#This Row],[JobRole]],Table13[JobRole],Table13[Id_JobRole])</f>
        <v>JR008</v>
      </c>
      <c r="AA1187" t="s">
        <v>54</v>
      </c>
      <c r="AB1187" t="str">
        <f>_xlfn.XLOOKUP(Table1[[#This Row],[JobSatisfaction]],Table14[JobSatisfaction],Table14[Id_JobSatisfaction])</f>
        <v>JS003</v>
      </c>
      <c r="AC1187">
        <v>3</v>
      </c>
      <c r="AD1187" t="str">
        <f>_xlfn.XLOOKUP(Table1[[#This Row],[JobSatisfaction]],Table14[JobSatisfaction],Table14[Deskripsi])</f>
        <v>High</v>
      </c>
      <c r="AE1187" t="str">
        <f>_xlfn.XLOOKUP(Table1[[#This Row],[MaritalStatus]],Table15[MaritalStatus],Table15[Id_MaritalStatus])</f>
        <v>MS002</v>
      </c>
      <c r="AF1187" t="s">
        <v>56</v>
      </c>
      <c r="AG1187">
        <v>17603</v>
      </c>
      <c r="AH1187">
        <v>3525</v>
      </c>
      <c r="AI1187">
        <v>1</v>
      </c>
      <c r="AJ1187" t="str">
        <f>_xlfn.XLOOKUP(Table1[[#This Row],[OverTime]],Table16[OverTime],Table16[Id_OverTime])</f>
        <v>OT002</v>
      </c>
      <c r="AK1187" t="s">
        <v>33</v>
      </c>
      <c r="AL1187">
        <v>24</v>
      </c>
      <c r="AM1187" t="str">
        <f>_xlfn.XLOOKUP(Table1[[#This Row],[PerformanceRating]],Table17[PerformanceRating],Table17[Id_PerformanceRating])</f>
        <v>PR004</v>
      </c>
      <c r="AN1187">
        <v>4</v>
      </c>
      <c r="AO1187" t="str">
        <f>_xlfn.XLOOKUP(Table1[[#This Row],[PerformanceRating]],Table17[PerformanceRating],Table17[Deskripsi])</f>
        <v>Outstanding</v>
      </c>
      <c r="AP1187" t="str">
        <f>_xlfn.XLOOKUP(Table1[[#This Row],[RelationshipSatisfaction]],Table18[RelationshipSatisfaction],Table18[Id_RelationshipSatisfaction])</f>
        <v>RS001</v>
      </c>
      <c r="AQ1187">
        <v>1</v>
      </c>
      <c r="AR1187" t="str">
        <f>_xlfn.XLOOKUP(Table1[[#This Row],[RelationshipSatisfaction]],Table18[RelationshipSatisfaction],Table18[Deskripsi])</f>
        <v>Low</v>
      </c>
      <c r="AS1187" t="str">
        <f>_xlfn.XLOOKUP(Table1[[#This Row],[StockOptionLevel]],Table19[StockOptionLevel],Table19[Id_StockOptionLevel])</f>
        <v>SOL002</v>
      </c>
      <c r="AT1187">
        <v>1</v>
      </c>
      <c r="AU1187" t="str">
        <f>_xlfn.XLOOKUP(Table1[[#This Row],[StockOptionLevel]],Table19[StockOptionLevel],Table19[Deskripsi])</f>
        <v>Standard</v>
      </c>
      <c r="AV1187">
        <v>14</v>
      </c>
      <c r="AW1187">
        <v>3</v>
      </c>
      <c r="AX1187" t="str">
        <f>_xlfn.XLOOKUP(Table1[[#This Row],[WorkLifeBalance]],Table20[WorkLifeBalance],Table20[Id_WorkLifeBalance])</f>
        <v>WLB002</v>
      </c>
      <c r="AY1187">
        <v>3</v>
      </c>
      <c r="AZ1187" t="str">
        <f>_xlfn.XLOOKUP(Table1[[#This Row],[WorkLifeBalance]],Table20[WorkLifeBalance],Table20[Deskripsi])</f>
        <v>Good</v>
      </c>
      <c r="BA1187">
        <v>14</v>
      </c>
      <c r="BB1187">
        <v>10</v>
      </c>
      <c r="BC1187">
        <v>6</v>
      </c>
      <c r="BD1187">
        <v>11</v>
      </c>
    </row>
    <row r="1188" spans="1:56" x14ac:dyDescent="0.25">
      <c r="A1188">
        <v>35</v>
      </c>
      <c r="B1188" t="str">
        <f>_xlfn.XLOOKUP(Table1[[#This Row],[Attrition]],Table2[Attrition],Table2[Id_Attrition])</f>
        <v>A001</v>
      </c>
      <c r="C1188" t="s">
        <v>32</v>
      </c>
      <c r="D1188" t="str">
        <f>_xlfn.XLOOKUP(Table1[[#This Row],[BusinessTravel]],Table5[BusinessTravel],Table5[Id_BusinessTravel])</f>
        <v>BS002</v>
      </c>
      <c r="E1188" t="s">
        <v>35</v>
      </c>
      <c r="F1188">
        <v>880</v>
      </c>
      <c r="G1188" t="str">
        <f>_xlfn.XLOOKUP(Table1[[#This Row],[Department]],Table6[Department],Table6[Id_Departement])</f>
        <v>D001</v>
      </c>
      <c r="H1188" t="s">
        <v>37</v>
      </c>
      <c r="I1188">
        <v>12</v>
      </c>
      <c r="J1188" t="str">
        <f>_xlfn.XLOOKUP(Table1[[#This Row],[Education]],Table8[Education],Table8[Id_Education])</f>
        <v>E004</v>
      </c>
      <c r="K1188">
        <v>4</v>
      </c>
      <c r="L1188" t="str">
        <f>_xlfn.XLOOKUP(Table1[[#This Row],[EducationField]],Table7[EducationField],Table7[Id_EducationField])</f>
        <v>EF002</v>
      </c>
      <c r="M1188" t="s">
        <v>41</v>
      </c>
      <c r="N1188" t="str">
        <f>_xlfn.XLOOKUP(Table1[[#This Row],[EmployeeNumber]],Table4[EmployeeNumber],Table4[Id_Employee])</f>
        <v>EMP01187</v>
      </c>
      <c r="O1188">
        <v>1667</v>
      </c>
      <c r="P1188" t="str">
        <f>_xlfn.XLOOKUP(Table1[[#This Row],[EnvironmentSatisfaction]],Table9[EnvironmentSatisfaction],Table9[Id_EnviromentSatisfaction])</f>
        <v>ES004</v>
      </c>
      <c r="Q1188">
        <v>4</v>
      </c>
      <c r="R1188" t="str">
        <f>_xlfn.XLOOKUP(Table1[[#This Row],[EnvironmentSatisfaction]],Table9[EnvironmentSatisfaction],Table9[Deskripsi])</f>
        <v>Very High</v>
      </c>
      <c r="S1188" t="str">
        <f>_xlfn.XLOOKUP(Table1[[#This Row],[Gender]],Table10[Gender],Table10[Id_Gender])</f>
        <v>G002</v>
      </c>
      <c r="T1188" t="s">
        <v>46</v>
      </c>
      <c r="U1188">
        <v>36</v>
      </c>
      <c r="V1188" t="str">
        <f>_xlfn.XLOOKUP(Table1[[#This Row],[JobInvolvement]],Table11[JobInvolvement],Table11[Id_JobInvolvement])</f>
        <v>JI003</v>
      </c>
      <c r="W1188">
        <v>3</v>
      </c>
      <c r="X1188" t="str">
        <f>_xlfn.XLOOKUP(Table1[[#This Row],[JobLevel]],Table12[JobLevel],Table12[Id_JobLevel])</f>
        <v>JL002</v>
      </c>
      <c r="Y1188">
        <v>2</v>
      </c>
      <c r="Z1188" t="str">
        <f>_xlfn.XLOOKUP(Table1[[#This Row],[JobRole]],Table13[JobRole],Table13[Id_JobRole])</f>
        <v>JR001</v>
      </c>
      <c r="AA1188" t="s">
        <v>47</v>
      </c>
      <c r="AB1188" t="str">
        <f>_xlfn.XLOOKUP(Table1[[#This Row],[JobSatisfaction]],Table14[JobSatisfaction],Table14[Id_JobSatisfaction])</f>
        <v>JS004</v>
      </c>
      <c r="AC1188">
        <v>4</v>
      </c>
      <c r="AD1188" t="str">
        <f>_xlfn.XLOOKUP(Table1[[#This Row],[JobSatisfaction]],Table14[JobSatisfaction],Table14[Deskripsi])</f>
        <v>Very High</v>
      </c>
      <c r="AE1188" t="str">
        <f>_xlfn.XLOOKUP(Table1[[#This Row],[MaritalStatus]],Table15[MaritalStatus],Table15[Id_MaritalStatus])</f>
        <v>MS001</v>
      </c>
      <c r="AF1188" t="s">
        <v>55</v>
      </c>
      <c r="AG1188">
        <v>4581</v>
      </c>
      <c r="AH1188">
        <v>10414</v>
      </c>
      <c r="AI1188">
        <v>3</v>
      </c>
      <c r="AJ1188" t="str">
        <f>_xlfn.XLOOKUP(Table1[[#This Row],[OverTime]],Table16[OverTime],Table16[Id_OverTime])</f>
        <v>OT001</v>
      </c>
      <c r="AK1188" t="s">
        <v>32</v>
      </c>
      <c r="AL1188">
        <v>24</v>
      </c>
      <c r="AM1188" t="str">
        <f>_xlfn.XLOOKUP(Table1[[#This Row],[PerformanceRating]],Table17[PerformanceRating],Table17[Id_PerformanceRating])</f>
        <v>PR004</v>
      </c>
      <c r="AN1188">
        <v>4</v>
      </c>
      <c r="AO1188" t="str">
        <f>_xlfn.XLOOKUP(Table1[[#This Row],[PerformanceRating]],Table17[PerformanceRating],Table17[Deskripsi])</f>
        <v>Outstanding</v>
      </c>
      <c r="AP1188" t="str">
        <f>_xlfn.XLOOKUP(Table1[[#This Row],[RelationshipSatisfaction]],Table18[RelationshipSatisfaction],Table18[Id_RelationshipSatisfaction])</f>
        <v>RS001</v>
      </c>
      <c r="AQ1188">
        <v>1</v>
      </c>
      <c r="AR1188" t="str">
        <f>_xlfn.XLOOKUP(Table1[[#This Row],[RelationshipSatisfaction]],Table18[RelationshipSatisfaction],Table18[Deskripsi])</f>
        <v>Low</v>
      </c>
      <c r="AS1188" t="str">
        <f>_xlfn.XLOOKUP(Table1[[#This Row],[StockOptionLevel]],Table19[StockOptionLevel],Table19[Id_StockOptionLevel])</f>
        <v>SOL001</v>
      </c>
      <c r="AT1188">
        <v>0</v>
      </c>
      <c r="AU1188" t="str">
        <f>_xlfn.XLOOKUP(Table1[[#This Row],[StockOptionLevel]],Table19[StockOptionLevel],Table19[Deskripsi])</f>
        <v>Non-Eligible</v>
      </c>
      <c r="AV1188">
        <v>13</v>
      </c>
      <c r="AW1188">
        <v>2</v>
      </c>
      <c r="AX1188" t="str">
        <f>_xlfn.XLOOKUP(Table1[[#This Row],[WorkLifeBalance]],Table20[WorkLifeBalance],Table20[Id_WorkLifeBalance])</f>
        <v>WLB004</v>
      </c>
      <c r="AY1188">
        <v>4</v>
      </c>
      <c r="AZ1188" t="str">
        <f>_xlfn.XLOOKUP(Table1[[#This Row],[WorkLifeBalance]],Table20[WorkLifeBalance],Table20[Deskripsi])</f>
        <v>Best</v>
      </c>
      <c r="BA1188">
        <v>11</v>
      </c>
      <c r="BB1188">
        <v>9</v>
      </c>
      <c r="BC1188">
        <v>6</v>
      </c>
      <c r="BD1188">
        <v>7</v>
      </c>
    </row>
    <row r="1189" spans="1:56" x14ac:dyDescent="0.25">
      <c r="A1189">
        <v>38</v>
      </c>
      <c r="B1189" t="str">
        <f>_xlfn.XLOOKUP(Table1[[#This Row],[Attrition]],Table2[Attrition],Table2[Id_Attrition])</f>
        <v>A002</v>
      </c>
      <c r="C1189" t="s">
        <v>33</v>
      </c>
      <c r="D1189" t="str">
        <f>_xlfn.XLOOKUP(Table1[[#This Row],[BusinessTravel]],Table5[BusinessTravel],Table5[Id_BusinessTravel])</f>
        <v>BS002</v>
      </c>
      <c r="E1189" t="s">
        <v>35</v>
      </c>
      <c r="F1189">
        <v>1189</v>
      </c>
      <c r="G1189" t="str">
        <f>_xlfn.XLOOKUP(Table1[[#This Row],[Department]],Table6[Department],Table6[Id_Departement])</f>
        <v>D002</v>
      </c>
      <c r="H1189" t="s">
        <v>38</v>
      </c>
      <c r="I1189">
        <v>1</v>
      </c>
      <c r="J1189" t="str">
        <f>_xlfn.XLOOKUP(Table1[[#This Row],[Education]],Table8[Education],Table8[Id_Education])</f>
        <v>E003</v>
      </c>
      <c r="K1189">
        <v>3</v>
      </c>
      <c r="L1189" t="str">
        <f>_xlfn.XLOOKUP(Table1[[#This Row],[EducationField]],Table7[EducationField],Table7[Id_EducationField])</f>
        <v>EF001</v>
      </c>
      <c r="M1189" t="s">
        <v>40</v>
      </c>
      <c r="N1189" t="str">
        <f>_xlfn.XLOOKUP(Table1[[#This Row],[EmployeeNumber]],Table4[EmployeeNumber],Table4[Id_Employee])</f>
        <v>EMP01188</v>
      </c>
      <c r="O1189">
        <v>1668</v>
      </c>
      <c r="P1189" t="str">
        <f>_xlfn.XLOOKUP(Table1[[#This Row],[EnvironmentSatisfaction]],Table9[EnvironmentSatisfaction],Table9[Id_EnviromentSatisfaction])</f>
        <v>ES004</v>
      </c>
      <c r="Q1189">
        <v>4</v>
      </c>
      <c r="R1189" t="str">
        <f>_xlfn.XLOOKUP(Table1[[#This Row],[EnvironmentSatisfaction]],Table9[EnvironmentSatisfaction],Table9[Deskripsi])</f>
        <v>Very High</v>
      </c>
      <c r="S1189" t="str">
        <f>_xlfn.XLOOKUP(Table1[[#This Row],[Gender]],Table10[Gender],Table10[Id_Gender])</f>
        <v>G002</v>
      </c>
      <c r="T1189" t="s">
        <v>46</v>
      </c>
      <c r="U1189">
        <v>90</v>
      </c>
      <c r="V1189" t="str">
        <f>_xlfn.XLOOKUP(Table1[[#This Row],[JobInvolvement]],Table11[JobInvolvement],Table11[Id_JobInvolvement])</f>
        <v>JI003</v>
      </c>
      <c r="W1189">
        <v>3</v>
      </c>
      <c r="X1189" t="str">
        <f>_xlfn.XLOOKUP(Table1[[#This Row],[JobLevel]],Table12[JobLevel],Table12[Id_JobLevel])</f>
        <v>JL002</v>
      </c>
      <c r="Y1189">
        <v>2</v>
      </c>
      <c r="Z1189" t="str">
        <f>_xlfn.XLOOKUP(Table1[[#This Row],[JobRole]],Table13[JobRole],Table13[Id_JobRole])</f>
        <v>JR002</v>
      </c>
      <c r="AA1189" t="s">
        <v>48</v>
      </c>
      <c r="AB1189" t="str">
        <f>_xlfn.XLOOKUP(Table1[[#This Row],[JobSatisfaction]],Table14[JobSatisfaction],Table14[Id_JobSatisfaction])</f>
        <v>JS004</v>
      </c>
      <c r="AC1189">
        <v>4</v>
      </c>
      <c r="AD1189" t="str">
        <f>_xlfn.XLOOKUP(Table1[[#This Row],[JobSatisfaction]],Table14[JobSatisfaction],Table14[Deskripsi])</f>
        <v>Very High</v>
      </c>
      <c r="AE1189" t="str">
        <f>_xlfn.XLOOKUP(Table1[[#This Row],[MaritalStatus]],Table15[MaritalStatus],Table15[Id_MaritalStatus])</f>
        <v>MS002</v>
      </c>
      <c r="AF1189" t="s">
        <v>56</v>
      </c>
      <c r="AG1189">
        <v>4735</v>
      </c>
      <c r="AH1189">
        <v>9867</v>
      </c>
      <c r="AI1189">
        <v>7</v>
      </c>
      <c r="AJ1189" t="str">
        <f>_xlfn.XLOOKUP(Table1[[#This Row],[OverTime]],Table16[OverTime],Table16[Id_OverTime])</f>
        <v>OT002</v>
      </c>
      <c r="AK1189" t="s">
        <v>33</v>
      </c>
      <c r="AL1189">
        <v>15</v>
      </c>
      <c r="AM1189" t="str">
        <f>_xlfn.XLOOKUP(Table1[[#This Row],[PerformanceRating]],Table17[PerformanceRating],Table17[Id_PerformanceRating])</f>
        <v>PR003</v>
      </c>
      <c r="AN1189">
        <v>3</v>
      </c>
      <c r="AO1189" t="str">
        <f>_xlfn.XLOOKUP(Table1[[#This Row],[PerformanceRating]],Table17[PerformanceRating],Table17[Deskripsi])</f>
        <v>Excellent</v>
      </c>
      <c r="AP1189" t="str">
        <f>_xlfn.XLOOKUP(Table1[[#This Row],[RelationshipSatisfaction]],Table18[RelationshipSatisfaction],Table18[Id_RelationshipSatisfaction])</f>
        <v>RS004</v>
      </c>
      <c r="AQ1189">
        <v>4</v>
      </c>
      <c r="AR1189" t="str">
        <f>_xlfn.XLOOKUP(Table1[[#This Row],[RelationshipSatisfaction]],Table18[RelationshipSatisfaction],Table18[Deskripsi])</f>
        <v>Very High</v>
      </c>
      <c r="AS1189" t="str">
        <f>_xlfn.XLOOKUP(Table1[[#This Row],[StockOptionLevel]],Table19[StockOptionLevel],Table19[Id_StockOptionLevel])</f>
        <v>SOL003</v>
      </c>
      <c r="AT1189">
        <v>2</v>
      </c>
      <c r="AU1189" t="str">
        <f>_xlfn.XLOOKUP(Table1[[#This Row],[StockOptionLevel]],Table19[StockOptionLevel],Table19[Deskripsi])</f>
        <v>Intermediate</v>
      </c>
      <c r="AV1189">
        <v>19</v>
      </c>
      <c r="AW1189">
        <v>4</v>
      </c>
      <c r="AX1189" t="str">
        <f>_xlfn.XLOOKUP(Table1[[#This Row],[WorkLifeBalance]],Table20[WorkLifeBalance],Table20[Id_WorkLifeBalance])</f>
        <v>WLB004</v>
      </c>
      <c r="AY1189">
        <v>4</v>
      </c>
      <c r="AZ1189" t="str">
        <f>_xlfn.XLOOKUP(Table1[[#This Row],[WorkLifeBalance]],Table20[WorkLifeBalance],Table20[Deskripsi])</f>
        <v>Best</v>
      </c>
      <c r="BA1189">
        <v>13</v>
      </c>
      <c r="BB1189">
        <v>11</v>
      </c>
      <c r="BC1189">
        <v>2</v>
      </c>
      <c r="BD1189">
        <v>9</v>
      </c>
    </row>
    <row r="1190" spans="1:56" x14ac:dyDescent="0.25">
      <c r="A1190">
        <v>29</v>
      </c>
      <c r="B1190" t="str">
        <f>_xlfn.XLOOKUP(Table1[[#This Row],[Attrition]],Table2[Attrition],Table2[Id_Attrition])</f>
        <v>A002</v>
      </c>
      <c r="C1190" t="s">
        <v>33</v>
      </c>
      <c r="D1190" t="str">
        <f>_xlfn.XLOOKUP(Table1[[#This Row],[BusinessTravel]],Table5[BusinessTravel],Table5[Id_BusinessTravel])</f>
        <v>BS001</v>
      </c>
      <c r="E1190" t="s">
        <v>34</v>
      </c>
      <c r="F1190">
        <v>991</v>
      </c>
      <c r="G1190" t="str">
        <f>_xlfn.XLOOKUP(Table1[[#This Row],[Department]],Table6[Department],Table6[Id_Departement])</f>
        <v>D001</v>
      </c>
      <c r="H1190" t="s">
        <v>37</v>
      </c>
      <c r="I1190">
        <v>5</v>
      </c>
      <c r="J1190" t="str">
        <f>_xlfn.XLOOKUP(Table1[[#This Row],[Education]],Table8[Education],Table8[Id_Education])</f>
        <v>E003</v>
      </c>
      <c r="K1190">
        <v>3</v>
      </c>
      <c r="L1190" t="str">
        <f>_xlfn.XLOOKUP(Table1[[#This Row],[EducationField]],Table7[EducationField],Table7[Id_EducationField])</f>
        <v>EF003</v>
      </c>
      <c r="M1190" t="s">
        <v>42</v>
      </c>
      <c r="N1190" t="str">
        <f>_xlfn.XLOOKUP(Table1[[#This Row],[EmployeeNumber]],Table4[EmployeeNumber],Table4[Id_Employee])</f>
        <v>EMP01189</v>
      </c>
      <c r="O1190">
        <v>1669</v>
      </c>
      <c r="P1190" t="str">
        <f>_xlfn.XLOOKUP(Table1[[#This Row],[EnvironmentSatisfaction]],Table9[EnvironmentSatisfaction],Table9[Id_EnviromentSatisfaction])</f>
        <v>ES001</v>
      </c>
      <c r="Q1190">
        <v>1</v>
      </c>
      <c r="R1190" t="str">
        <f>_xlfn.XLOOKUP(Table1[[#This Row],[EnvironmentSatisfaction]],Table9[EnvironmentSatisfaction],Table9[Deskripsi])</f>
        <v>Low</v>
      </c>
      <c r="S1190" t="str">
        <f>_xlfn.XLOOKUP(Table1[[#This Row],[Gender]],Table10[Gender],Table10[Id_Gender])</f>
        <v>G002</v>
      </c>
      <c r="T1190" t="s">
        <v>46</v>
      </c>
      <c r="U1190">
        <v>43</v>
      </c>
      <c r="V1190" t="str">
        <f>_xlfn.XLOOKUP(Table1[[#This Row],[JobInvolvement]],Table11[JobInvolvement],Table11[Id_JobInvolvement])</f>
        <v>JI002</v>
      </c>
      <c r="W1190">
        <v>2</v>
      </c>
      <c r="X1190" t="str">
        <f>_xlfn.XLOOKUP(Table1[[#This Row],[JobLevel]],Table12[JobLevel],Table12[Id_JobLevel])</f>
        <v>JL002</v>
      </c>
      <c r="Y1190">
        <v>2</v>
      </c>
      <c r="Z1190" t="str">
        <f>_xlfn.XLOOKUP(Table1[[#This Row],[JobRole]],Table13[JobRole],Table13[Id_JobRole])</f>
        <v>JR001</v>
      </c>
      <c r="AA1190" t="s">
        <v>47</v>
      </c>
      <c r="AB1190" t="str">
        <f>_xlfn.XLOOKUP(Table1[[#This Row],[JobSatisfaction]],Table14[JobSatisfaction],Table14[Id_JobSatisfaction])</f>
        <v>JS002</v>
      </c>
      <c r="AC1190">
        <v>2</v>
      </c>
      <c r="AD1190" t="str">
        <f>_xlfn.XLOOKUP(Table1[[#This Row],[JobSatisfaction]],Table14[JobSatisfaction],Table14[Deskripsi])</f>
        <v>Medium</v>
      </c>
      <c r="AE1190" t="str">
        <f>_xlfn.XLOOKUP(Table1[[#This Row],[MaritalStatus]],Table15[MaritalStatus],Table15[Id_MaritalStatus])</f>
        <v>MS003</v>
      </c>
      <c r="AF1190" t="s">
        <v>57</v>
      </c>
      <c r="AG1190">
        <v>4187</v>
      </c>
      <c r="AH1190">
        <v>3356</v>
      </c>
      <c r="AI1190">
        <v>1</v>
      </c>
      <c r="AJ1190" t="str">
        <f>_xlfn.XLOOKUP(Table1[[#This Row],[OverTime]],Table16[OverTime],Table16[Id_OverTime])</f>
        <v>OT001</v>
      </c>
      <c r="AK1190" t="s">
        <v>32</v>
      </c>
      <c r="AL1190">
        <v>13</v>
      </c>
      <c r="AM1190" t="str">
        <f>_xlfn.XLOOKUP(Table1[[#This Row],[PerformanceRating]],Table17[PerformanceRating],Table17[Id_PerformanceRating])</f>
        <v>PR003</v>
      </c>
      <c r="AN1190">
        <v>3</v>
      </c>
      <c r="AO1190" t="str">
        <f>_xlfn.XLOOKUP(Table1[[#This Row],[PerformanceRating]],Table17[PerformanceRating],Table17[Deskripsi])</f>
        <v>Excellent</v>
      </c>
      <c r="AP1190" t="str">
        <f>_xlfn.XLOOKUP(Table1[[#This Row],[RelationshipSatisfaction]],Table18[RelationshipSatisfaction],Table18[Id_RelationshipSatisfaction])</f>
        <v>RS002</v>
      </c>
      <c r="AQ1190">
        <v>2</v>
      </c>
      <c r="AR1190" t="str">
        <f>_xlfn.XLOOKUP(Table1[[#This Row],[RelationshipSatisfaction]],Table18[RelationshipSatisfaction],Table18[Deskripsi])</f>
        <v>Medium</v>
      </c>
      <c r="AS1190" t="str">
        <f>_xlfn.XLOOKUP(Table1[[#This Row],[StockOptionLevel]],Table19[StockOptionLevel],Table19[Id_StockOptionLevel])</f>
        <v>SOL002</v>
      </c>
      <c r="AT1190">
        <v>1</v>
      </c>
      <c r="AU1190" t="str">
        <f>_xlfn.XLOOKUP(Table1[[#This Row],[StockOptionLevel]],Table19[StockOptionLevel],Table19[Deskripsi])</f>
        <v>Standard</v>
      </c>
      <c r="AV1190">
        <v>10</v>
      </c>
      <c r="AW1190">
        <v>3</v>
      </c>
      <c r="AX1190" t="str">
        <f>_xlfn.XLOOKUP(Table1[[#This Row],[WorkLifeBalance]],Table20[WorkLifeBalance],Table20[Id_WorkLifeBalance])</f>
        <v>WLB003</v>
      </c>
      <c r="AY1190">
        <v>2</v>
      </c>
      <c r="AZ1190" t="str">
        <f>_xlfn.XLOOKUP(Table1[[#This Row],[WorkLifeBalance]],Table20[WorkLifeBalance],Table20[Deskripsi])</f>
        <v>Better</v>
      </c>
      <c r="BA1190">
        <v>10</v>
      </c>
      <c r="BB1190">
        <v>0</v>
      </c>
      <c r="BC1190">
        <v>0</v>
      </c>
      <c r="BD1190">
        <v>9</v>
      </c>
    </row>
    <row r="1191" spans="1:56" x14ac:dyDescent="0.25">
      <c r="A1191">
        <v>33</v>
      </c>
      <c r="B1191" t="str">
        <f>_xlfn.XLOOKUP(Table1[[#This Row],[Attrition]],Table2[Attrition],Table2[Id_Attrition])</f>
        <v>A002</v>
      </c>
      <c r="C1191" t="s">
        <v>33</v>
      </c>
      <c r="D1191" t="str">
        <f>_xlfn.XLOOKUP(Table1[[#This Row],[BusinessTravel]],Table5[BusinessTravel],Table5[Id_BusinessTravel])</f>
        <v>BS001</v>
      </c>
      <c r="E1191" t="s">
        <v>34</v>
      </c>
      <c r="F1191">
        <v>392</v>
      </c>
      <c r="G1191" t="str">
        <f>_xlfn.XLOOKUP(Table1[[#This Row],[Department]],Table6[Department],Table6[Id_Departement])</f>
        <v>D001</v>
      </c>
      <c r="H1191" t="s">
        <v>37</v>
      </c>
      <c r="I1191">
        <v>2</v>
      </c>
      <c r="J1191" t="str">
        <f>_xlfn.XLOOKUP(Table1[[#This Row],[Education]],Table8[Education],Table8[Id_Education])</f>
        <v>E004</v>
      </c>
      <c r="K1191">
        <v>4</v>
      </c>
      <c r="L1191" t="str">
        <f>_xlfn.XLOOKUP(Table1[[#This Row],[EducationField]],Table7[EducationField],Table7[Id_EducationField])</f>
        <v>EF003</v>
      </c>
      <c r="M1191" t="s">
        <v>42</v>
      </c>
      <c r="N1191" t="str">
        <f>_xlfn.XLOOKUP(Table1[[#This Row],[EmployeeNumber]],Table4[EmployeeNumber],Table4[Id_Employee])</f>
        <v>EMP01190</v>
      </c>
      <c r="O1191">
        <v>1670</v>
      </c>
      <c r="P1191" t="str">
        <f>_xlfn.XLOOKUP(Table1[[#This Row],[EnvironmentSatisfaction]],Table9[EnvironmentSatisfaction],Table9[Id_EnviromentSatisfaction])</f>
        <v>ES004</v>
      </c>
      <c r="Q1191">
        <v>4</v>
      </c>
      <c r="R1191" t="str">
        <f>_xlfn.XLOOKUP(Table1[[#This Row],[EnvironmentSatisfaction]],Table9[EnvironmentSatisfaction],Table9[Deskripsi])</f>
        <v>Very High</v>
      </c>
      <c r="S1191" t="str">
        <f>_xlfn.XLOOKUP(Table1[[#This Row],[Gender]],Table10[Gender],Table10[Id_Gender])</f>
        <v>G002</v>
      </c>
      <c r="T1191" t="s">
        <v>46</v>
      </c>
      <c r="U1191">
        <v>93</v>
      </c>
      <c r="V1191" t="str">
        <f>_xlfn.XLOOKUP(Table1[[#This Row],[JobInvolvement]],Table11[JobInvolvement],Table11[Id_JobInvolvement])</f>
        <v>JI003</v>
      </c>
      <c r="W1191">
        <v>3</v>
      </c>
      <c r="X1191" t="str">
        <f>_xlfn.XLOOKUP(Table1[[#This Row],[JobLevel]],Table12[JobLevel],Table12[Id_JobLevel])</f>
        <v>JL002</v>
      </c>
      <c r="Y1191">
        <v>2</v>
      </c>
      <c r="Z1191" t="str">
        <f>_xlfn.XLOOKUP(Table1[[#This Row],[JobRole]],Table13[JobRole],Table13[Id_JobRole])</f>
        <v>JR001</v>
      </c>
      <c r="AA1191" t="s">
        <v>47</v>
      </c>
      <c r="AB1191" t="str">
        <f>_xlfn.XLOOKUP(Table1[[#This Row],[JobSatisfaction]],Table14[JobSatisfaction],Table14[Id_JobSatisfaction])</f>
        <v>JS004</v>
      </c>
      <c r="AC1191">
        <v>4</v>
      </c>
      <c r="AD1191" t="str">
        <f>_xlfn.XLOOKUP(Table1[[#This Row],[JobSatisfaction]],Table14[JobSatisfaction],Table14[Deskripsi])</f>
        <v>Very High</v>
      </c>
      <c r="AE1191" t="str">
        <f>_xlfn.XLOOKUP(Table1[[#This Row],[MaritalStatus]],Table15[MaritalStatus],Table15[Id_MaritalStatus])</f>
        <v>MS003</v>
      </c>
      <c r="AF1191" t="s">
        <v>57</v>
      </c>
      <c r="AG1191">
        <v>5505</v>
      </c>
      <c r="AH1191">
        <v>3921</v>
      </c>
      <c r="AI1191">
        <v>1</v>
      </c>
      <c r="AJ1191" t="str">
        <f>_xlfn.XLOOKUP(Table1[[#This Row],[OverTime]],Table16[OverTime],Table16[Id_OverTime])</f>
        <v>OT002</v>
      </c>
      <c r="AK1191" t="s">
        <v>33</v>
      </c>
      <c r="AL1191">
        <v>14</v>
      </c>
      <c r="AM1191" t="str">
        <f>_xlfn.XLOOKUP(Table1[[#This Row],[PerformanceRating]],Table17[PerformanceRating],Table17[Id_PerformanceRating])</f>
        <v>PR003</v>
      </c>
      <c r="AN1191">
        <v>3</v>
      </c>
      <c r="AO1191" t="str">
        <f>_xlfn.XLOOKUP(Table1[[#This Row],[PerformanceRating]],Table17[PerformanceRating],Table17[Deskripsi])</f>
        <v>Excellent</v>
      </c>
      <c r="AP1191" t="str">
        <f>_xlfn.XLOOKUP(Table1[[#This Row],[RelationshipSatisfaction]],Table18[RelationshipSatisfaction],Table18[Id_RelationshipSatisfaction])</f>
        <v>RS003</v>
      </c>
      <c r="AQ1191">
        <v>3</v>
      </c>
      <c r="AR1191" t="str">
        <f>_xlfn.XLOOKUP(Table1[[#This Row],[RelationshipSatisfaction]],Table18[RelationshipSatisfaction],Table18[Deskripsi])</f>
        <v>High</v>
      </c>
      <c r="AS1191" t="str">
        <f>_xlfn.XLOOKUP(Table1[[#This Row],[StockOptionLevel]],Table19[StockOptionLevel],Table19[Id_StockOptionLevel])</f>
        <v>SOL003</v>
      </c>
      <c r="AT1191">
        <v>2</v>
      </c>
      <c r="AU1191" t="str">
        <f>_xlfn.XLOOKUP(Table1[[#This Row],[StockOptionLevel]],Table19[StockOptionLevel],Table19[Deskripsi])</f>
        <v>Intermediate</v>
      </c>
      <c r="AV1191">
        <v>6</v>
      </c>
      <c r="AW1191">
        <v>5</v>
      </c>
      <c r="AX1191" t="str">
        <f>_xlfn.XLOOKUP(Table1[[#This Row],[WorkLifeBalance]],Table20[WorkLifeBalance],Table20[Id_WorkLifeBalance])</f>
        <v>WLB002</v>
      </c>
      <c r="AY1191">
        <v>3</v>
      </c>
      <c r="AZ1191" t="str">
        <f>_xlfn.XLOOKUP(Table1[[#This Row],[WorkLifeBalance]],Table20[WorkLifeBalance],Table20[Deskripsi])</f>
        <v>Good</v>
      </c>
      <c r="BA1191">
        <v>6</v>
      </c>
      <c r="BB1191">
        <v>2</v>
      </c>
      <c r="BC1191">
        <v>0</v>
      </c>
      <c r="BD1191">
        <v>4</v>
      </c>
    </row>
    <row r="1192" spans="1:56" x14ac:dyDescent="0.25">
      <c r="A1192">
        <v>32</v>
      </c>
      <c r="B1192" t="str">
        <f>_xlfn.XLOOKUP(Table1[[#This Row],[Attrition]],Table2[Attrition],Table2[Id_Attrition])</f>
        <v>A002</v>
      </c>
      <c r="C1192" t="s">
        <v>33</v>
      </c>
      <c r="D1192" t="str">
        <f>_xlfn.XLOOKUP(Table1[[#This Row],[BusinessTravel]],Table5[BusinessTravel],Table5[Id_BusinessTravel])</f>
        <v>BS001</v>
      </c>
      <c r="E1192" t="s">
        <v>34</v>
      </c>
      <c r="F1192">
        <v>977</v>
      </c>
      <c r="G1192" t="str">
        <f>_xlfn.XLOOKUP(Table1[[#This Row],[Department]],Table6[Department],Table6[Id_Departement])</f>
        <v>D002</v>
      </c>
      <c r="H1192" t="s">
        <v>38</v>
      </c>
      <c r="I1192">
        <v>2</v>
      </c>
      <c r="J1192" t="str">
        <f>_xlfn.XLOOKUP(Table1[[#This Row],[Education]],Table8[Education],Table8[Id_Education])</f>
        <v>E003</v>
      </c>
      <c r="K1192">
        <v>3</v>
      </c>
      <c r="L1192" t="str">
        <f>_xlfn.XLOOKUP(Table1[[#This Row],[EducationField]],Table7[EducationField],Table7[Id_EducationField])</f>
        <v>EF003</v>
      </c>
      <c r="M1192" t="s">
        <v>42</v>
      </c>
      <c r="N1192" t="str">
        <f>_xlfn.XLOOKUP(Table1[[#This Row],[EmployeeNumber]],Table4[EmployeeNumber],Table4[Id_Employee])</f>
        <v>EMP01191</v>
      </c>
      <c r="O1192">
        <v>1671</v>
      </c>
      <c r="P1192" t="str">
        <f>_xlfn.XLOOKUP(Table1[[#This Row],[EnvironmentSatisfaction]],Table9[EnvironmentSatisfaction],Table9[Id_EnviromentSatisfaction])</f>
        <v>ES004</v>
      </c>
      <c r="Q1192">
        <v>4</v>
      </c>
      <c r="R1192" t="str">
        <f>_xlfn.XLOOKUP(Table1[[#This Row],[EnvironmentSatisfaction]],Table9[EnvironmentSatisfaction],Table9[Deskripsi])</f>
        <v>Very High</v>
      </c>
      <c r="S1192" t="str">
        <f>_xlfn.XLOOKUP(Table1[[#This Row],[Gender]],Table10[Gender],Table10[Id_Gender])</f>
        <v>G002</v>
      </c>
      <c r="T1192" t="s">
        <v>46</v>
      </c>
      <c r="U1192">
        <v>45</v>
      </c>
      <c r="V1192" t="str">
        <f>_xlfn.XLOOKUP(Table1[[#This Row],[JobInvolvement]],Table11[JobInvolvement],Table11[Id_JobInvolvement])</f>
        <v>JI003</v>
      </c>
      <c r="W1192">
        <v>3</v>
      </c>
      <c r="X1192" t="str">
        <f>_xlfn.XLOOKUP(Table1[[#This Row],[JobLevel]],Table12[JobLevel],Table12[Id_JobLevel])</f>
        <v>JL002</v>
      </c>
      <c r="Y1192">
        <v>2</v>
      </c>
      <c r="Z1192" t="str">
        <f>_xlfn.XLOOKUP(Table1[[#This Row],[JobRole]],Table13[JobRole],Table13[Id_JobRole])</f>
        <v>JR002</v>
      </c>
      <c r="AA1192" t="s">
        <v>48</v>
      </c>
      <c r="AB1192" t="str">
        <f>_xlfn.XLOOKUP(Table1[[#This Row],[JobSatisfaction]],Table14[JobSatisfaction],Table14[Id_JobSatisfaction])</f>
        <v>JS002</v>
      </c>
      <c r="AC1192">
        <v>2</v>
      </c>
      <c r="AD1192" t="str">
        <f>_xlfn.XLOOKUP(Table1[[#This Row],[JobSatisfaction]],Table14[JobSatisfaction],Table14[Deskripsi])</f>
        <v>Medium</v>
      </c>
      <c r="AE1192" t="str">
        <f>_xlfn.XLOOKUP(Table1[[#This Row],[MaritalStatus]],Table15[MaritalStatus],Table15[Id_MaritalStatus])</f>
        <v>MS003</v>
      </c>
      <c r="AF1192" t="s">
        <v>57</v>
      </c>
      <c r="AG1192">
        <v>5470</v>
      </c>
      <c r="AH1192">
        <v>25518</v>
      </c>
      <c r="AI1192">
        <v>0</v>
      </c>
      <c r="AJ1192" t="str">
        <f>_xlfn.XLOOKUP(Table1[[#This Row],[OverTime]],Table16[OverTime],Table16[Id_OverTime])</f>
        <v>OT002</v>
      </c>
      <c r="AK1192" t="s">
        <v>33</v>
      </c>
      <c r="AL1192">
        <v>13</v>
      </c>
      <c r="AM1192" t="str">
        <f>_xlfn.XLOOKUP(Table1[[#This Row],[PerformanceRating]],Table17[PerformanceRating],Table17[Id_PerformanceRating])</f>
        <v>PR003</v>
      </c>
      <c r="AN1192">
        <v>3</v>
      </c>
      <c r="AO1192" t="str">
        <f>_xlfn.XLOOKUP(Table1[[#This Row],[PerformanceRating]],Table17[PerformanceRating],Table17[Deskripsi])</f>
        <v>Excellent</v>
      </c>
      <c r="AP1192" t="str">
        <f>_xlfn.XLOOKUP(Table1[[#This Row],[RelationshipSatisfaction]],Table18[RelationshipSatisfaction],Table18[Id_RelationshipSatisfaction])</f>
        <v>RS003</v>
      </c>
      <c r="AQ1192">
        <v>3</v>
      </c>
      <c r="AR1192" t="str">
        <f>_xlfn.XLOOKUP(Table1[[#This Row],[RelationshipSatisfaction]],Table18[RelationshipSatisfaction],Table18[Deskripsi])</f>
        <v>High</v>
      </c>
      <c r="AS1192" t="str">
        <f>_xlfn.XLOOKUP(Table1[[#This Row],[StockOptionLevel]],Table19[StockOptionLevel],Table19[Id_StockOptionLevel])</f>
        <v>SOL003</v>
      </c>
      <c r="AT1192">
        <v>2</v>
      </c>
      <c r="AU1192" t="str">
        <f>_xlfn.XLOOKUP(Table1[[#This Row],[StockOptionLevel]],Table19[StockOptionLevel],Table19[Deskripsi])</f>
        <v>Intermediate</v>
      </c>
      <c r="AV1192">
        <v>10</v>
      </c>
      <c r="AW1192">
        <v>4</v>
      </c>
      <c r="AX1192" t="str">
        <f>_xlfn.XLOOKUP(Table1[[#This Row],[WorkLifeBalance]],Table20[WorkLifeBalance],Table20[Id_WorkLifeBalance])</f>
        <v>WLB003</v>
      </c>
      <c r="AY1192">
        <v>2</v>
      </c>
      <c r="AZ1192" t="str">
        <f>_xlfn.XLOOKUP(Table1[[#This Row],[WorkLifeBalance]],Table20[WorkLifeBalance],Table20[Deskripsi])</f>
        <v>Better</v>
      </c>
      <c r="BA1192">
        <v>9</v>
      </c>
      <c r="BB1192">
        <v>5</v>
      </c>
      <c r="BC1192">
        <v>1</v>
      </c>
      <c r="BD1192">
        <v>6</v>
      </c>
    </row>
    <row r="1193" spans="1:56" x14ac:dyDescent="0.25">
      <c r="A1193">
        <v>31</v>
      </c>
      <c r="B1193" t="str">
        <f>_xlfn.XLOOKUP(Table1[[#This Row],[Attrition]],Table2[Attrition],Table2[Id_Attrition])</f>
        <v>A002</v>
      </c>
      <c r="C1193" t="s">
        <v>33</v>
      </c>
      <c r="D1193" t="str">
        <f>_xlfn.XLOOKUP(Table1[[#This Row],[BusinessTravel]],Table5[BusinessTravel],Table5[Id_BusinessTravel])</f>
        <v>BS001</v>
      </c>
      <c r="E1193" t="s">
        <v>34</v>
      </c>
      <c r="F1193">
        <v>1112</v>
      </c>
      <c r="G1193" t="str">
        <f>_xlfn.XLOOKUP(Table1[[#This Row],[Department]],Table6[Department],Table6[Id_Departement])</f>
        <v>D001</v>
      </c>
      <c r="H1193" t="s">
        <v>37</v>
      </c>
      <c r="I1193">
        <v>5</v>
      </c>
      <c r="J1193" t="str">
        <f>_xlfn.XLOOKUP(Table1[[#This Row],[Education]],Table8[Education],Table8[Id_Education])</f>
        <v>E004</v>
      </c>
      <c r="K1193">
        <v>4</v>
      </c>
      <c r="L1193" t="str">
        <f>_xlfn.XLOOKUP(Table1[[#This Row],[EducationField]],Table7[EducationField],Table7[Id_EducationField])</f>
        <v>EF001</v>
      </c>
      <c r="M1193" t="s">
        <v>40</v>
      </c>
      <c r="N1193" t="str">
        <f>_xlfn.XLOOKUP(Table1[[#This Row],[EmployeeNumber]],Table4[EmployeeNumber],Table4[Id_Employee])</f>
        <v>EMP01192</v>
      </c>
      <c r="O1193">
        <v>1673</v>
      </c>
      <c r="P1193" t="str">
        <f>_xlfn.XLOOKUP(Table1[[#This Row],[EnvironmentSatisfaction]],Table9[EnvironmentSatisfaction],Table9[Id_EnviromentSatisfaction])</f>
        <v>ES001</v>
      </c>
      <c r="Q1193">
        <v>1</v>
      </c>
      <c r="R1193" t="str">
        <f>_xlfn.XLOOKUP(Table1[[#This Row],[EnvironmentSatisfaction]],Table9[EnvironmentSatisfaction],Table9[Deskripsi])</f>
        <v>Low</v>
      </c>
      <c r="S1193" t="str">
        <f>_xlfn.XLOOKUP(Table1[[#This Row],[Gender]],Table10[Gender],Table10[Id_Gender])</f>
        <v>G001</v>
      </c>
      <c r="T1193" t="s">
        <v>45</v>
      </c>
      <c r="U1193">
        <v>67</v>
      </c>
      <c r="V1193" t="str">
        <f>_xlfn.XLOOKUP(Table1[[#This Row],[JobInvolvement]],Table11[JobInvolvement],Table11[Id_JobInvolvement])</f>
        <v>JI003</v>
      </c>
      <c r="W1193">
        <v>3</v>
      </c>
      <c r="X1193" t="str">
        <f>_xlfn.XLOOKUP(Table1[[#This Row],[JobLevel]],Table12[JobLevel],Table12[Id_JobLevel])</f>
        <v>JL002</v>
      </c>
      <c r="Y1193">
        <v>2</v>
      </c>
      <c r="Z1193" t="str">
        <f>_xlfn.XLOOKUP(Table1[[#This Row],[JobRole]],Table13[JobRole],Table13[Id_JobRole])</f>
        <v>JR001</v>
      </c>
      <c r="AA1193" t="s">
        <v>47</v>
      </c>
      <c r="AB1193" t="str">
        <f>_xlfn.XLOOKUP(Table1[[#This Row],[JobSatisfaction]],Table14[JobSatisfaction],Table14[Id_JobSatisfaction])</f>
        <v>JS004</v>
      </c>
      <c r="AC1193">
        <v>4</v>
      </c>
      <c r="AD1193" t="str">
        <f>_xlfn.XLOOKUP(Table1[[#This Row],[JobSatisfaction]],Table14[JobSatisfaction],Table14[Deskripsi])</f>
        <v>Very High</v>
      </c>
      <c r="AE1193" t="str">
        <f>_xlfn.XLOOKUP(Table1[[#This Row],[MaritalStatus]],Table15[MaritalStatus],Table15[Id_MaritalStatus])</f>
        <v>MS002</v>
      </c>
      <c r="AF1193" t="s">
        <v>56</v>
      </c>
      <c r="AG1193">
        <v>5476</v>
      </c>
      <c r="AH1193">
        <v>22589</v>
      </c>
      <c r="AI1193">
        <v>1</v>
      </c>
      <c r="AJ1193" t="str">
        <f>_xlfn.XLOOKUP(Table1[[#This Row],[OverTime]],Table16[OverTime],Table16[Id_OverTime])</f>
        <v>OT002</v>
      </c>
      <c r="AK1193" t="s">
        <v>33</v>
      </c>
      <c r="AL1193">
        <v>11</v>
      </c>
      <c r="AM1193" t="str">
        <f>_xlfn.XLOOKUP(Table1[[#This Row],[PerformanceRating]],Table17[PerformanceRating],Table17[Id_PerformanceRating])</f>
        <v>PR003</v>
      </c>
      <c r="AN1193">
        <v>3</v>
      </c>
      <c r="AO1193" t="str">
        <f>_xlfn.XLOOKUP(Table1[[#This Row],[PerformanceRating]],Table17[PerformanceRating],Table17[Deskripsi])</f>
        <v>Excellent</v>
      </c>
      <c r="AP1193" t="str">
        <f>_xlfn.XLOOKUP(Table1[[#This Row],[RelationshipSatisfaction]],Table18[RelationshipSatisfaction],Table18[Id_RelationshipSatisfaction])</f>
        <v>RS001</v>
      </c>
      <c r="AQ1193">
        <v>1</v>
      </c>
      <c r="AR1193" t="str">
        <f>_xlfn.XLOOKUP(Table1[[#This Row],[RelationshipSatisfaction]],Table18[RelationshipSatisfaction],Table18[Deskripsi])</f>
        <v>Low</v>
      </c>
      <c r="AS1193" t="str">
        <f>_xlfn.XLOOKUP(Table1[[#This Row],[StockOptionLevel]],Table19[StockOptionLevel],Table19[Id_StockOptionLevel])</f>
        <v>SOL003</v>
      </c>
      <c r="AT1193">
        <v>2</v>
      </c>
      <c r="AU1193" t="str">
        <f>_xlfn.XLOOKUP(Table1[[#This Row],[StockOptionLevel]],Table19[StockOptionLevel],Table19[Deskripsi])</f>
        <v>Intermediate</v>
      </c>
      <c r="AV1193">
        <v>10</v>
      </c>
      <c r="AW1193">
        <v>2</v>
      </c>
      <c r="AX1193" t="str">
        <f>_xlfn.XLOOKUP(Table1[[#This Row],[WorkLifeBalance]],Table20[WorkLifeBalance],Table20[Id_WorkLifeBalance])</f>
        <v>WLB002</v>
      </c>
      <c r="AY1193">
        <v>3</v>
      </c>
      <c r="AZ1193" t="str">
        <f>_xlfn.XLOOKUP(Table1[[#This Row],[WorkLifeBalance]],Table20[WorkLifeBalance],Table20[Deskripsi])</f>
        <v>Good</v>
      </c>
      <c r="BA1193">
        <v>10</v>
      </c>
      <c r="BB1193">
        <v>0</v>
      </c>
      <c r="BC1193">
        <v>0</v>
      </c>
      <c r="BD1193">
        <v>2</v>
      </c>
    </row>
    <row r="1194" spans="1:56" x14ac:dyDescent="0.25">
      <c r="A1194">
        <v>49</v>
      </c>
      <c r="B1194" t="str">
        <f>_xlfn.XLOOKUP(Table1[[#This Row],[Attrition]],Table2[Attrition],Table2[Id_Attrition])</f>
        <v>A002</v>
      </c>
      <c r="C1194" t="s">
        <v>33</v>
      </c>
      <c r="D1194" t="str">
        <f>_xlfn.XLOOKUP(Table1[[#This Row],[BusinessTravel]],Table5[BusinessTravel],Table5[Id_BusinessTravel])</f>
        <v>BS001</v>
      </c>
      <c r="E1194" t="s">
        <v>34</v>
      </c>
      <c r="F1194">
        <v>464</v>
      </c>
      <c r="G1194" t="str">
        <f>_xlfn.XLOOKUP(Table1[[#This Row],[Department]],Table6[Department],Table6[Id_Departement])</f>
        <v>D002</v>
      </c>
      <c r="H1194" t="s">
        <v>38</v>
      </c>
      <c r="I1194">
        <v>16</v>
      </c>
      <c r="J1194" t="str">
        <f>_xlfn.XLOOKUP(Table1[[#This Row],[Education]],Table8[Education],Table8[Id_Education])</f>
        <v>E003</v>
      </c>
      <c r="K1194">
        <v>3</v>
      </c>
      <c r="L1194" t="str">
        <f>_xlfn.XLOOKUP(Table1[[#This Row],[EducationField]],Table7[EducationField],Table7[Id_EducationField])</f>
        <v>EF003</v>
      </c>
      <c r="M1194" t="s">
        <v>42</v>
      </c>
      <c r="N1194" t="str">
        <f>_xlfn.XLOOKUP(Table1[[#This Row],[EmployeeNumber]],Table4[EmployeeNumber],Table4[Id_Employee])</f>
        <v>EMP01193</v>
      </c>
      <c r="O1194">
        <v>1674</v>
      </c>
      <c r="P1194" t="str">
        <f>_xlfn.XLOOKUP(Table1[[#This Row],[EnvironmentSatisfaction]],Table9[EnvironmentSatisfaction],Table9[Id_EnviromentSatisfaction])</f>
        <v>ES004</v>
      </c>
      <c r="Q1194">
        <v>4</v>
      </c>
      <c r="R1194" t="str">
        <f>_xlfn.XLOOKUP(Table1[[#This Row],[EnvironmentSatisfaction]],Table9[EnvironmentSatisfaction],Table9[Deskripsi])</f>
        <v>Very High</v>
      </c>
      <c r="S1194" t="str">
        <f>_xlfn.XLOOKUP(Table1[[#This Row],[Gender]],Table10[Gender],Table10[Id_Gender])</f>
        <v>G001</v>
      </c>
      <c r="T1194" t="s">
        <v>45</v>
      </c>
      <c r="U1194">
        <v>74</v>
      </c>
      <c r="V1194" t="str">
        <f>_xlfn.XLOOKUP(Table1[[#This Row],[JobInvolvement]],Table11[JobInvolvement],Table11[Id_JobInvolvement])</f>
        <v>JI003</v>
      </c>
      <c r="W1194">
        <v>3</v>
      </c>
      <c r="X1194" t="str">
        <f>_xlfn.XLOOKUP(Table1[[#This Row],[JobLevel]],Table12[JobLevel],Table12[Id_JobLevel])</f>
        <v>JL001</v>
      </c>
      <c r="Y1194">
        <v>1</v>
      </c>
      <c r="Z1194" t="str">
        <f>_xlfn.XLOOKUP(Table1[[#This Row],[JobRole]],Table13[JobRole],Table13[Id_JobRole])</f>
        <v>JR003</v>
      </c>
      <c r="AA1194" t="s">
        <v>49</v>
      </c>
      <c r="AB1194" t="str">
        <f>_xlfn.XLOOKUP(Table1[[#This Row],[JobSatisfaction]],Table14[JobSatisfaction],Table14[Id_JobSatisfaction])</f>
        <v>JS001</v>
      </c>
      <c r="AC1194">
        <v>1</v>
      </c>
      <c r="AD1194" t="str">
        <f>_xlfn.XLOOKUP(Table1[[#This Row],[JobSatisfaction]],Table14[JobSatisfaction],Table14[Deskripsi])</f>
        <v>Low</v>
      </c>
      <c r="AE1194" t="str">
        <f>_xlfn.XLOOKUP(Table1[[#This Row],[MaritalStatus]],Table15[MaritalStatus],Table15[Id_MaritalStatus])</f>
        <v>MS003</v>
      </c>
      <c r="AF1194" t="s">
        <v>57</v>
      </c>
      <c r="AG1194">
        <v>2587</v>
      </c>
      <c r="AH1194">
        <v>24941</v>
      </c>
      <c r="AI1194">
        <v>4</v>
      </c>
      <c r="AJ1194" t="str">
        <f>_xlfn.XLOOKUP(Table1[[#This Row],[OverTime]],Table16[OverTime],Table16[Id_OverTime])</f>
        <v>OT001</v>
      </c>
      <c r="AK1194" t="s">
        <v>32</v>
      </c>
      <c r="AL1194">
        <v>16</v>
      </c>
      <c r="AM1194" t="str">
        <f>_xlfn.XLOOKUP(Table1[[#This Row],[PerformanceRating]],Table17[PerformanceRating],Table17[Id_PerformanceRating])</f>
        <v>PR003</v>
      </c>
      <c r="AN1194">
        <v>3</v>
      </c>
      <c r="AO1194" t="str">
        <f>_xlfn.XLOOKUP(Table1[[#This Row],[PerformanceRating]],Table17[PerformanceRating],Table17[Deskripsi])</f>
        <v>Excellent</v>
      </c>
      <c r="AP1194" t="str">
        <f>_xlfn.XLOOKUP(Table1[[#This Row],[RelationshipSatisfaction]],Table18[RelationshipSatisfaction],Table18[Id_RelationshipSatisfaction])</f>
        <v>RS002</v>
      </c>
      <c r="AQ1194">
        <v>2</v>
      </c>
      <c r="AR1194" t="str">
        <f>_xlfn.XLOOKUP(Table1[[#This Row],[RelationshipSatisfaction]],Table18[RelationshipSatisfaction],Table18[Deskripsi])</f>
        <v>Medium</v>
      </c>
      <c r="AS1194" t="str">
        <f>_xlfn.XLOOKUP(Table1[[#This Row],[StockOptionLevel]],Table19[StockOptionLevel],Table19[Id_StockOptionLevel])</f>
        <v>SOL002</v>
      </c>
      <c r="AT1194">
        <v>1</v>
      </c>
      <c r="AU1194" t="str">
        <f>_xlfn.XLOOKUP(Table1[[#This Row],[StockOptionLevel]],Table19[StockOptionLevel],Table19[Deskripsi])</f>
        <v>Standard</v>
      </c>
      <c r="AV1194">
        <v>17</v>
      </c>
      <c r="AW1194">
        <v>2</v>
      </c>
      <c r="AX1194" t="str">
        <f>_xlfn.XLOOKUP(Table1[[#This Row],[WorkLifeBalance]],Table20[WorkLifeBalance],Table20[Id_WorkLifeBalance])</f>
        <v>WLB003</v>
      </c>
      <c r="AY1194">
        <v>2</v>
      </c>
      <c r="AZ1194" t="str">
        <f>_xlfn.XLOOKUP(Table1[[#This Row],[WorkLifeBalance]],Table20[WorkLifeBalance],Table20[Deskripsi])</f>
        <v>Better</v>
      </c>
      <c r="BA1194">
        <v>2</v>
      </c>
      <c r="BB1194">
        <v>2</v>
      </c>
      <c r="BC1194">
        <v>2</v>
      </c>
      <c r="BD1194">
        <v>2</v>
      </c>
    </row>
    <row r="1195" spans="1:56" x14ac:dyDescent="0.25">
      <c r="A1195">
        <v>38</v>
      </c>
      <c r="B1195" t="str">
        <f>_xlfn.XLOOKUP(Table1[[#This Row],[Attrition]],Table2[Attrition],Table2[Id_Attrition])</f>
        <v>A002</v>
      </c>
      <c r="C1195" t="s">
        <v>33</v>
      </c>
      <c r="D1195" t="str">
        <f>_xlfn.XLOOKUP(Table1[[#This Row],[BusinessTravel]],Table5[BusinessTravel],Table5[Id_BusinessTravel])</f>
        <v>BS002</v>
      </c>
      <c r="E1195" t="s">
        <v>35</v>
      </c>
      <c r="F1195">
        <v>148</v>
      </c>
      <c r="G1195" t="str">
        <f>_xlfn.XLOOKUP(Table1[[#This Row],[Department]],Table6[Department],Table6[Id_Departement])</f>
        <v>D002</v>
      </c>
      <c r="H1195" t="s">
        <v>38</v>
      </c>
      <c r="I1195">
        <v>2</v>
      </c>
      <c r="J1195" t="str">
        <f>_xlfn.XLOOKUP(Table1[[#This Row],[Education]],Table8[Education],Table8[Id_Education])</f>
        <v>E003</v>
      </c>
      <c r="K1195">
        <v>3</v>
      </c>
      <c r="L1195" t="str">
        <f>_xlfn.XLOOKUP(Table1[[#This Row],[EducationField]],Table7[EducationField],Table7[Id_EducationField])</f>
        <v>EF003</v>
      </c>
      <c r="M1195" t="s">
        <v>42</v>
      </c>
      <c r="N1195" t="str">
        <f>_xlfn.XLOOKUP(Table1[[#This Row],[EmployeeNumber]],Table4[EmployeeNumber],Table4[Id_Employee])</f>
        <v>EMP01194</v>
      </c>
      <c r="O1195">
        <v>1675</v>
      </c>
      <c r="P1195" t="str">
        <f>_xlfn.XLOOKUP(Table1[[#This Row],[EnvironmentSatisfaction]],Table9[EnvironmentSatisfaction],Table9[Id_EnviromentSatisfaction])</f>
        <v>ES004</v>
      </c>
      <c r="Q1195">
        <v>4</v>
      </c>
      <c r="R1195" t="str">
        <f>_xlfn.XLOOKUP(Table1[[#This Row],[EnvironmentSatisfaction]],Table9[EnvironmentSatisfaction],Table9[Deskripsi])</f>
        <v>Very High</v>
      </c>
      <c r="S1195" t="str">
        <f>_xlfn.XLOOKUP(Table1[[#This Row],[Gender]],Table10[Gender],Table10[Id_Gender])</f>
        <v>G001</v>
      </c>
      <c r="T1195" t="s">
        <v>45</v>
      </c>
      <c r="U1195">
        <v>42</v>
      </c>
      <c r="V1195" t="str">
        <f>_xlfn.XLOOKUP(Table1[[#This Row],[JobInvolvement]],Table11[JobInvolvement],Table11[Id_JobInvolvement])</f>
        <v>JI002</v>
      </c>
      <c r="W1195">
        <v>2</v>
      </c>
      <c r="X1195" t="str">
        <f>_xlfn.XLOOKUP(Table1[[#This Row],[JobLevel]],Table12[JobLevel],Table12[Id_JobLevel])</f>
        <v>JL001</v>
      </c>
      <c r="Y1195">
        <v>1</v>
      </c>
      <c r="Z1195" t="str">
        <f>_xlfn.XLOOKUP(Table1[[#This Row],[JobRole]],Table13[JobRole],Table13[Id_JobRole])</f>
        <v>JR003</v>
      </c>
      <c r="AA1195" t="s">
        <v>49</v>
      </c>
      <c r="AB1195" t="str">
        <f>_xlfn.XLOOKUP(Table1[[#This Row],[JobSatisfaction]],Table14[JobSatisfaction],Table14[Id_JobSatisfaction])</f>
        <v>JS002</v>
      </c>
      <c r="AC1195">
        <v>2</v>
      </c>
      <c r="AD1195" t="str">
        <f>_xlfn.XLOOKUP(Table1[[#This Row],[JobSatisfaction]],Table14[JobSatisfaction],Table14[Deskripsi])</f>
        <v>Medium</v>
      </c>
      <c r="AE1195" t="str">
        <f>_xlfn.XLOOKUP(Table1[[#This Row],[MaritalStatus]],Table15[MaritalStatus],Table15[Id_MaritalStatus])</f>
        <v>MS001</v>
      </c>
      <c r="AF1195" t="s">
        <v>55</v>
      </c>
      <c r="AG1195">
        <v>2440</v>
      </c>
      <c r="AH1195">
        <v>23826</v>
      </c>
      <c r="AI1195">
        <v>1</v>
      </c>
      <c r="AJ1195" t="str">
        <f>_xlfn.XLOOKUP(Table1[[#This Row],[OverTime]],Table16[OverTime],Table16[Id_OverTime])</f>
        <v>OT002</v>
      </c>
      <c r="AK1195" t="s">
        <v>33</v>
      </c>
      <c r="AL1195">
        <v>22</v>
      </c>
      <c r="AM1195" t="str">
        <f>_xlfn.XLOOKUP(Table1[[#This Row],[PerformanceRating]],Table17[PerformanceRating],Table17[Id_PerformanceRating])</f>
        <v>PR004</v>
      </c>
      <c r="AN1195">
        <v>4</v>
      </c>
      <c r="AO1195" t="str">
        <f>_xlfn.XLOOKUP(Table1[[#This Row],[PerformanceRating]],Table17[PerformanceRating],Table17[Deskripsi])</f>
        <v>Outstanding</v>
      </c>
      <c r="AP1195" t="str">
        <f>_xlfn.XLOOKUP(Table1[[#This Row],[RelationshipSatisfaction]],Table18[RelationshipSatisfaction],Table18[Id_RelationshipSatisfaction])</f>
        <v>RS002</v>
      </c>
      <c r="AQ1195">
        <v>2</v>
      </c>
      <c r="AR1195" t="str">
        <f>_xlfn.XLOOKUP(Table1[[#This Row],[RelationshipSatisfaction]],Table18[RelationshipSatisfaction],Table18[Deskripsi])</f>
        <v>Medium</v>
      </c>
      <c r="AS1195" t="str">
        <f>_xlfn.XLOOKUP(Table1[[#This Row],[StockOptionLevel]],Table19[StockOptionLevel],Table19[Id_StockOptionLevel])</f>
        <v>SOL001</v>
      </c>
      <c r="AT1195">
        <v>0</v>
      </c>
      <c r="AU1195" t="str">
        <f>_xlfn.XLOOKUP(Table1[[#This Row],[StockOptionLevel]],Table19[StockOptionLevel],Table19[Deskripsi])</f>
        <v>Non-Eligible</v>
      </c>
      <c r="AV1195">
        <v>4</v>
      </c>
      <c r="AW1195">
        <v>3</v>
      </c>
      <c r="AX1195" t="str">
        <f>_xlfn.XLOOKUP(Table1[[#This Row],[WorkLifeBalance]],Table20[WorkLifeBalance],Table20[Id_WorkLifeBalance])</f>
        <v>WLB002</v>
      </c>
      <c r="AY1195">
        <v>3</v>
      </c>
      <c r="AZ1195" t="str">
        <f>_xlfn.XLOOKUP(Table1[[#This Row],[WorkLifeBalance]],Table20[WorkLifeBalance],Table20[Deskripsi])</f>
        <v>Good</v>
      </c>
      <c r="BA1195">
        <v>4</v>
      </c>
      <c r="BB1195">
        <v>3</v>
      </c>
      <c r="BC1195">
        <v>3</v>
      </c>
      <c r="BD1195">
        <v>3</v>
      </c>
    </row>
    <row r="1196" spans="1:56" x14ac:dyDescent="0.25">
      <c r="A1196">
        <v>47</v>
      </c>
      <c r="B1196" t="str">
        <f>_xlfn.XLOOKUP(Table1[[#This Row],[Attrition]],Table2[Attrition],Table2[Id_Attrition])</f>
        <v>A002</v>
      </c>
      <c r="C1196" t="s">
        <v>33</v>
      </c>
      <c r="D1196" t="str">
        <f>_xlfn.XLOOKUP(Table1[[#This Row],[BusinessTravel]],Table5[BusinessTravel],Table5[Id_BusinessTravel])</f>
        <v>BS001</v>
      </c>
      <c r="E1196" t="s">
        <v>34</v>
      </c>
      <c r="F1196">
        <v>1225</v>
      </c>
      <c r="G1196" t="str">
        <f>_xlfn.XLOOKUP(Table1[[#This Row],[Department]],Table6[Department],Table6[Id_Departement])</f>
        <v>D001</v>
      </c>
      <c r="H1196" t="s">
        <v>37</v>
      </c>
      <c r="I1196">
        <v>2</v>
      </c>
      <c r="J1196" t="str">
        <f>_xlfn.XLOOKUP(Table1[[#This Row],[Education]],Table8[Education],Table8[Id_Education])</f>
        <v>E004</v>
      </c>
      <c r="K1196">
        <v>4</v>
      </c>
      <c r="L1196" t="str">
        <f>_xlfn.XLOOKUP(Table1[[#This Row],[EducationField]],Table7[EducationField],Table7[Id_EducationField])</f>
        <v>EF001</v>
      </c>
      <c r="M1196" t="s">
        <v>40</v>
      </c>
      <c r="N1196" t="str">
        <f>_xlfn.XLOOKUP(Table1[[#This Row],[EmployeeNumber]],Table4[EmployeeNumber],Table4[Id_Employee])</f>
        <v>EMP01195</v>
      </c>
      <c r="O1196">
        <v>1676</v>
      </c>
      <c r="P1196" t="str">
        <f>_xlfn.XLOOKUP(Table1[[#This Row],[EnvironmentSatisfaction]],Table9[EnvironmentSatisfaction],Table9[Id_EnviromentSatisfaction])</f>
        <v>ES002</v>
      </c>
      <c r="Q1196">
        <v>2</v>
      </c>
      <c r="R1196" t="str">
        <f>_xlfn.XLOOKUP(Table1[[#This Row],[EnvironmentSatisfaction]],Table9[EnvironmentSatisfaction],Table9[Deskripsi])</f>
        <v>Medium</v>
      </c>
      <c r="S1196" t="str">
        <f>_xlfn.XLOOKUP(Table1[[#This Row],[Gender]],Table10[Gender],Table10[Id_Gender])</f>
        <v>G001</v>
      </c>
      <c r="T1196" t="s">
        <v>45</v>
      </c>
      <c r="U1196">
        <v>47</v>
      </c>
      <c r="V1196" t="str">
        <f>_xlfn.XLOOKUP(Table1[[#This Row],[JobInvolvement]],Table11[JobInvolvement],Table11[Id_JobInvolvement])</f>
        <v>JI004</v>
      </c>
      <c r="W1196">
        <v>4</v>
      </c>
      <c r="X1196" t="str">
        <f>_xlfn.XLOOKUP(Table1[[#This Row],[JobLevel]],Table12[JobLevel],Table12[Id_JobLevel])</f>
        <v>JL004</v>
      </c>
      <c r="Y1196">
        <v>4</v>
      </c>
      <c r="Z1196" t="str">
        <f>_xlfn.XLOOKUP(Table1[[#This Row],[JobRole]],Table13[JobRole],Table13[Id_JobRole])</f>
        <v>JR006</v>
      </c>
      <c r="AA1196" t="s">
        <v>52</v>
      </c>
      <c r="AB1196" t="str">
        <f>_xlfn.XLOOKUP(Table1[[#This Row],[JobSatisfaction]],Table14[JobSatisfaction],Table14[Id_JobSatisfaction])</f>
        <v>JS002</v>
      </c>
      <c r="AC1196">
        <v>2</v>
      </c>
      <c r="AD1196" t="str">
        <f>_xlfn.XLOOKUP(Table1[[#This Row],[JobSatisfaction]],Table14[JobSatisfaction],Table14[Deskripsi])</f>
        <v>Medium</v>
      </c>
      <c r="AE1196" t="str">
        <f>_xlfn.XLOOKUP(Table1[[#This Row],[MaritalStatus]],Table15[MaritalStatus],Table15[Id_MaritalStatus])</f>
        <v>MS003</v>
      </c>
      <c r="AF1196" t="s">
        <v>57</v>
      </c>
      <c r="AG1196">
        <v>15972</v>
      </c>
      <c r="AH1196">
        <v>21086</v>
      </c>
      <c r="AI1196">
        <v>6</v>
      </c>
      <c r="AJ1196" t="str">
        <f>_xlfn.XLOOKUP(Table1[[#This Row],[OverTime]],Table16[OverTime],Table16[Id_OverTime])</f>
        <v>OT002</v>
      </c>
      <c r="AK1196" t="s">
        <v>33</v>
      </c>
      <c r="AL1196">
        <v>14</v>
      </c>
      <c r="AM1196" t="str">
        <f>_xlfn.XLOOKUP(Table1[[#This Row],[PerformanceRating]],Table17[PerformanceRating],Table17[Id_PerformanceRating])</f>
        <v>PR003</v>
      </c>
      <c r="AN1196">
        <v>3</v>
      </c>
      <c r="AO1196" t="str">
        <f>_xlfn.XLOOKUP(Table1[[#This Row],[PerformanceRating]],Table17[PerformanceRating],Table17[Deskripsi])</f>
        <v>Excellent</v>
      </c>
      <c r="AP1196" t="str">
        <f>_xlfn.XLOOKUP(Table1[[#This Row],[RelationshipSatisfaction]],Table18[RelationshipSatisfaction],Table18[Id_RelationshipSatisfaction])</f>
        <v>RS003</v>
      </c>
      <c r="AQ1196">
        <v>3</v>
      </c>
      <c r="AR1196" t="str">
        <f>_xlfn.XLOOKUP(Table1[[#This Row],[RelationshipSatisfaction]],Table18[RelationshipSatisfaction],Table18[Deskripsi])</f>
        <v>High</v>
      </c>
      <c r="AS1196" t="str">
        <f>_xlfn.XLOOKUP(Table1[[#This Row],[StockOptionLevel]],Table19[StockOptionLevel],Table19[Id_StockOptionLevel])</f>
        <v>SOL004</v>
      </c>
      <c r="AT1196">
        <v>3</v>
      </c>
      <c r="AU1196" t="str">
        <f>_xlfn.XLOOKUP(Table1[[#This Row],[StockOptionLevel]],Table19[StockOptionLevel],Table19[Deskripsi])</f>
        <v>Senior/Executive</v>
      </c>
      <c r="AV1196">
        <v>29</v>
      </c>
      <c r="AW1196">
        <v>2</v>
      </c>
      <c r="AX1196" t="str">
        <f>_xlfn.XLOOKUP(Table1[[#This Row],[WorkLifeBalance]],Table20[WorkLifeBalance],Table20[Id_WorkLifeBalance])</f>
        <v>WLB002</v>
      </c>
      <c r="AY1196">
        <v>3</v>
      </c>
      <c r="AZ1196" t="str">
        <f>_xlfn.XLOOKUP(Table1[[#This Row],[WorkLifeBalance]],Table20[WorkLifeBalance],Table20[Deskripsi])</f>
        <v>Good</v>
      </c>
      <c r="BA1196">
        <v>3</v>
      </c>
      <c r="BB1196">
        <v>2</v>
      </c>
      <c r="BC1196">
        <v>1</v>
      </c>
      <c r="BD1196">
        <v>2</v>
      </c>
    </row>
    <row r="1197" spans="1:56" x14ac:dyDescent="0.25">
      <c r="A1197">
        <v>49</v>
      </c>
      <c r="B1197" t="str">
        <f>_xlfn.XLOOKUP(Table1[[#This Row],[Attrition]],Table2[Attrition],Table2[Id_Attrition])</f>
        <v>A002</v>
      </c>
      <c r="C1197" t="s">
        <v>33</v>
      </c>
      <c r="D1197" t="str">
        <f>_xlfn.XLOOKUP(Table1[[#This Row],[BusinessTravel]],Table5[BusinessTravel],Table5[Id_BusinessTravel])</f>
        <v>BS001</v>
      </c>
      <c r="E1197" t="s">
        <v>34</v>
      </c>
      <c r="F1197">
        <v>809</v>
      </c>
      <c r="G1197" t="str">
        <f>_xlfn.XLOOKUP(Table1[[#This Row],[Department]],Table6[Department],Table6[Id_Departement])</f>
        <v>D002</v>
      </c>
      <c r="H1197" t="s">
        <v>38</v>
      </c>
      <c r="I1197">
        <v>1</v>
      </c>
      <c r="J1197" t="str">
        <f>_xlfn.XLOOKUP(Table1[[#This Row],[Education]],Table8[Education],Table8[Id_Education])</f>
        <v>E003</v>
      </c>
      <c r="K1197">
        <v>3</v>
      </c>
      <c r="L1197" t="str">
        <f>_xlfn.XLOOKUP(Table1[[#This Row],[EducationField]],Table7[EducationField],Table7[Id_EducationField])</f>
        <v>EF001</v>
      </c>
      <c r="M1197" t="s">
        <v>40</v>
      </c>
      <c r="N1197" t="str">
        <f>_xlfn.XLOOKUP(Table1[[#This Row],[EmployeeNumber]],Table4[EmployeeNumber],Table4[Id_Employee])</f>
        <v>EMP01196</v>
      </c>
      <c r="O1197">
        <v>1677</v>
      </c>
      <c r="P1197" t="str">
        <f>_xlfn.XLOOKUP(Table1[[#This Row],[EnvironmentSatisfaction]],Table9[EnvironmentSatisfaction],Table9[Id_EnviromentSatisfaction])</f>
        <v>ES003</v>
      </c>
      <c r="Q1197">
        <v>3</v>
      </c>
      <c r="R1197" t="str">
        <f>_xlfn.XLOOKUP(Table1[[#This Row],[EnvironmentSatisfaction]],Table9[EnvironmentSatisfaction],Table9[Deskripsi])</f>
        <v>High</v>
      </c>
      <c r="S1197" t="str">
        <f>_xlfn.XLOOKUP(Table1[[#This Row],[Gender]],Table10[Gender],Table10[Id_Gender])</f>
        <v>G002</v>
      </c>
      <c r="T1197" t="s">
        <v>46</v>
      </c>
      <c r="U1197">
        <v>36</v>
      </c>
      <c r="V1197" t="str">
        <f>_xlfn.XLOOKUP(Table1[[#This Row],[JobInvolvement]],Table11[JobInvolvement],Table11[Id_JobInvolvement])</f>
        <v>JI003</v>
      </c>
      <c r="W1197">
        <v>3</v>
      </c>
      <c r="X1197" t="str">
        <f>_xlfn.XLOOKUP(Table1[[#This Row],[JobLevel]],Table12[JobLevel],Table12[Id_JobLevel])</f>
        <v>JL004</v>
      </c>
      <c r="Y1197">
        <v>4</v>
      </c>
      <c r="Z1197" t="str">
        <f>_xlfn.XLOOKUP(Table1[[#This Row],[JobRole]],Table13[JobRole],Table13[Id_JobRole])</f>
        <v>JR006</v>
      </c>
      <c r="AA1197" t="s">
        <v>52</v>
      </c>
      <c r="AB1197" t="str">
        <f>_xlfn.XLOOKUP(Table1[[#This Row],[JobSatisfaction]],Table14[JobSatisfaction],Table14[Id_JobSatisfaction])</f>
        <v>JS003</v>
      </c>
      <c r="AC1197">
        <v>3</v>
      </c>
      <c r="AD1197" t="str">
        <f>_xlfn.XLOOKUP(Table1[[#This Row],[JobSatisfaction]],Table14[JobSatisfaction],Table14[Deskripsi])</f>
        <v>High</v>
      </c>
      <c r="AE1197" t="str">
        <f>_xlfn.XLOOKUP(Table1[[#This Row],[MaritalStatus]],Table15[MaritalStatus],Table15[Id_MaritalStatus])</f>
        <v>MS001</v>
      </c>
      <c r="AF1197" t="s">
        <v>55</v>
      </c>
      <c r="AG1197">
        <v>15379</v>
      </c>
      <c r="AH1197">
        <v>22384</v>
      </c>
      <c r="AI1197">
        <v>4</v>
      </c>
      <c r="AJ1197" t="str">
        <f>_xlfn.XLOOKUP(Table1[[#This Row],[OverTime]],Table16[OverTime],Table16[Id_OverTime])</f>
        <v>OT002</v>
      </c>
      <c r="AK1197" t="s">
        <v>33</v>
      </c>
      <c r="AL1197">
        <v>14</v>
      </c>
      <c r="AM1197" t="str">
        <f>_xlfn.XLOOKUP(Table1[[#This Row],[PerformanceRating]],Table17[PerformanceRating],Table17[Id_PerformanceRating])</f>
        <v>PR003</v>
      </c>
      <c r="AN1197">
        <v>3</v>
      </c>
      <c r="AO1197" t="str">
        <f>_xlfn.XLOOKUP(Table1[[#This Row],[PerformanceRating]],Table17[PerformanceRating],Table17[Deskripsi])</f>
        <v>Excellent</v>
      </c>
      <c r="AP1197" t="str">
        <f>_xlfn.XLOOKUP(Table1[[#This Row],[RelationshipSatisfaction]],Table18[RelationshipSatisfaction],Table18[Id_RelationshipSatisfaction])</f>
        <v>RS001</v>
      </c>
      <c r="AQ1197">
        <v>1</v>
      </c>
      <c r="AR1197" t="str">
        <f>_xlfn.XLOOKUP(Table1[[#This Row],[RelationshipSatisfaction]],Table18[RelationshipSatisfaction],Table18[Deskripsi])</f>
        <v>Low</v>
      </c>
      <c r="AS1197" t="str">
        <f>_xlfn.XLOOKUP(Table1[[#This Row],[StockOptionLevel]],Table19[StockOptionLevel],Table19[Id_StockOptionLevel])</f>
        <v>SOL001</v>
      </c>
      <c r="AT1197">
        <v>0</v>
      </c>
      <c r="AU1197" t="str">
        <f>_xlfn.XLOOKUP(Table1[[#This Row],[StockOptionLevel]],Table19[StockOptionLevel],Table19[Deskripsi])</f>
        <v>Non-Eligible</v>
      </c>
      <c r="AV1197">
        <v>23</v>
      </c>
      <c r="AW1197">
        <v>2</v>
      </c>
      <c r="AX1197" t="str">
        <f>_xlfn.XLOOKUP(Table1[[#This Row],[WorkLifeBalance]],Table20[WorkLifeBalance],Table20[Id_WorkLifeBalance])</f>
        <v>WLB002</v>
      </c>
      <c r="AY1197">
        <v>3</v>
      </c>
      <c r="AZ1197" t="str">
        <f>_xlfn.XLOOKUP(Table1[[#This Row],[WorkLifeBalance]],Table20[WorkLifeBalance],Table20[Deskripsi])</f>
        <v>Good</v>
      </c>
      <c r="BA1197">
        <v>8</v>
      </c>
      <c r="BB1197">
        <v>7</v>
      </c>
      <c r="BC1197">
        <v>0</v>
      </c>
      <c r="BD1197">
        <v>0</v>
      </c>
    </row>
    <row r="1198" spans="1:56" x14ac:dyDescent="0.25">
      <c r="A1198">
        <v>41</v>
      </c>
      <c r="B1198" t="str">
        <f>_xlfn.XLOOKUP(Table1[[#This Row],[Attrition]],Table2[Attrition],Table2[Id_Attrition])</f>
        <v>A002</v>
      </c>
      <c r="C1198" t="s">
        <v>33</v>
      </c>
      <c r="D1198" t="str">
        <f>_xlfn.XLOOKUP(Table1[[#This Row],[BusinessTravel]],Table5[BusinessTravel],Table5[Id_BusinessTravel])</f>
        <v>BS001</v>
      </c>
      <c r="E1198" t="s">
        <v>34</v>
      </c>
      <c r="F1198">
        <v>1206</v>
      </c>
      <c r="G1198" t="str">
        <f>_xlfn.XLOOKUP(Table1[[#This Row],[Department]],Table6[Department],Table6[Id_Departement])</f>
        <v>D001</v>
      </c>
      <c r="H1198" t="s">
        <v>37</v>
      </c>
      <c r="I1198">
        <v>23</v>
      </c>
      <c r="J1198" t="str">
        <f>_xlfn.XLOOKUP(Table1[[#This Row],[Education]],Table8[Education],Table8[Id_Education])</f>
        <v>E002</v>
      </c>
      <c r="K1198">
        <v>2</v>
      </c>
      <c r="L1198" t="str">
        <f>_xlfn.XLOOKUP(Table1[[#This Row],[EducationField]],Table7[EducationField],Table7[Id_EducationField])</f>
        <v>EF001</v>
      </c>
      <c r="M1198" t="s">
        <v>40</v>
      </c>
      <c r="N1198" t="str">
        <f>_xlfn.XLOOKUP(Table1[[#This Row],[EmployeeNumber]],Table4[EmployeeNumber],Table4[Id_Employee])</f>
        <v>EMP01197</v>
      </c>
      <c r="O1198">
        <v>1678</v>
      </c>
      <c r="P1198" t="str">
        <f>_xlfn.XLOOKUP(Table1[[#This Row],[EnvironmentSatisfaction]],Table9[EnvironmentSatisfaction],Table9[Id_EnviromentSatisfaction])</f>
        <v>ES004</v>
      </c>
      <c r="Q1198">
        <v>4</v>
      </c>
      <c r="R1198" t="str">
        <f>_xlfn.XLOOKUP(Table1[[#This Row],[EnvironmentSatisfaction]],Table9[EnvironmentSatisfaction],Table9[Deskripsi])</f>
        <v>Very High</v>
      </c>
      <c r="S1198" t="str">
        <f>_xlfn.XLOOKUP(Table1[[#This Row],[Gender]],Table10[Gender],Table10[Id_Gender])</f>
        <v>G002</v>
      </c>
      <c r="T1198" t="s">
        <v>46</v>
      </c>
      <c r="U1198">
        <v>80</v>
      </c>
      <c r="V1198" t="str">
        <f>_xlfn.XLOOKUP(Table1[[#This Row],[JobInvolvement]],Table11[JobInvolvement],Table11[Id_JobInvolvement])</f>
        <v>JI003</v>
      </c>
      <c r="W1198">
        <v>3</v>
      </c>
      <c r="X1198" t="str">
        <f>_xlfn.XLOOKUP(Table1[[#This Row],[JobLevel]],Table12[JobLevel],Table12[Id_JobLevel])</f>
        <v>JL003</v>
      </c>
      <c r="Y1198">
        <v>3</v>
      </c>
      <c r="Z1198" t="str">
        <f>_xlfn.XLOOKUP(Table1[[#This Row],[JobRole]],Table13[JobRole],Table13[Id_JobRole])</f>
        <v>JR001</v>
      </c>
      <c r="AA1198" t="s">
        <v>47</v>
      </c>
      <c r="AB1198" t="str">
        <f>_xlfn.XLOOKUP(Table1[[#This Row],[JobSatisfaction]],Table14[JobSatisfaction],Table14[Id_JobSatisfaction])</f>
        <v>JS003</v>
      </c>
      <c r="AC1198">
        <v>3</v>
      </c>
      <c r="AD1198" t="str">
        <f>_xlfn.XLOOKUP(Table1[[#This Row],[JobSatisfaction]],Table14[JobSatisfaction],Table14[Deskripsi])</f>
        <v>High</v>
      </c>
      <c r="AE1198" t="str">
        <f>_xlfn.XLOOKUP(Table1[[#This Row],[MaritalStatus]],Table15[MaritalStatus],Table15[Id_MaritalStatus])</f>
        <v>MS001</v>
      </c>
      <c r="AF1198" t="s">
        <v>55</v>
      </c>
      <c r="AG1198">
        <v>7082</v>
      </c>
      <c r="AH1198">
        <v>11591</v>
      </c>
      <c r="AI1198">
        <v>3</v>
      </c>
      <c r="AJ1198" t="str">
        <f>_xlfn.XLOOKUP(Table1[[#This Row],[OverTime]],Table16[OverTime],Table16[Id_OverTime])</f>
        <v>OT001</v>
      </c>
      <c r="AK1198" t="s">
        <v>32</v>
      </c>
      <c r="AL1198">
        <v>16</v>
      </c>
      <c r="AM1198" t="str">
        <f>_xlfn.XLOOKUP(Table1[[#This Row],[PerformanceRating]],Table17[PerformanceRating],Table17[Id_PerformanceRating])</f>
        <v>PR003</v>
      </c>
      <c r="AN1198">
        <v>3</v>
      </c>
      <c r="AO1198" t="str">
        <f>_xlfn.XLOOKUP(Table1[[#This Row],[PerformanceRating]],Table17[PerformanceRating],Table17[Deskripsi])</f>
        <v>Excellent</v>
      </c>
      <c r="AP1198" t="str">
        <f>_xlfn.XLOOKUP(Table1[[#This Row],[RelationshipSatisfaction]],Table18[RelationshipSatisfaction],Table18[Id_RelationshipSatisfaction])</f>
        <v>RS004</v>
      </c>
      <c r="AQ1198">
        <v>4</v>
      </c>
      <c r="AR1198" t="str">
        <f>_xlfn.XLOOKUP(Table1[[#This Row],[RelationshipSatisfaction]],Table18[RelationshipSatisfaction],Table18[Deskripsi])</f>
        <v>Very High</v>
      </c>
      <c r="AS1198" t="str">
        <f>_xlfn.XLOOKUP(Table1[[#This Row],[StockOptionLevel]],Table19[StockOptionLevel],Table19[Id_StockOptionLevel])</f>
        <v>SOL001</v>
      </c>
      <c r="AT1198">
        <v>0</v>
      </c>
      <c r="AU1198" t="str">
        <f>_xlfn.XLOOKUP(Table1[[#This Row],[StockOptionLevel]],Table19[StockOptionLevel],Table19[Deskripsi])</f>
        <v>Non-Eligible</v>
      </c>
      <c r="AV1198">
        <v>21</v>
      </c>
      <c r="AW1198">
        <v>2</v>
      </c>
      <c r="AX1198" t="str">
        <f>_xlfn.XLOOKUP(Table1[[#This Row],[WorkLifeBalance]],Table20[WorkLifeBalance],Table20[Id_WorkLifeBalance])</f>
        <v>WLB002</v>
      </c>
      <c r="AY1198">
        <v>3</v>
      </c>
      <c r="AZ1198" t="str">
        <f>_xlfn.XLOOKUP(Table1[[#This Row],[WorkLifeBalance]],Table20[WorkLifeBalance],Table20[Deskripsi])</f>
        <v>Good</v>
      </c>
      <c r="BA1198">
        <v>2</v>
      </c>
      <c r="BB1198">
        <v>0</v>
      </c>
      <c r="BC1198">
        <v>0</v>
      </c>
      <c r="BD1198">
        <v>2</v>
      </c>
    </row>
    <row r="1199" spans="1:56" x14ac:dyDescent="0.25">
      <c r="A1199">
        <v>20</v>
      </c>
      <c r="B1199" t="str">
        <f>_xlfn.XLOOKUP(Table1[[#This Row],[Attrition]],Table2[Attrition],Table2[Id_Attrition])</f>
        <v>A002</v>
      </c>
      <c r="C1199" t="s">
        <v>33</v>
      </c>
      <c r="D1199" t="str">
        <f>_xlfn.XLOOKUP(Table1[[#This Row],[BusinessTravel]],Table5[BusinessTravel],Table5[Id_BusinessTravel])</f>
        <v>BS001</v>
      </c>
      <c r="E1199" t="s">
        <v>34</v>
      </c>
      <c r="F1199">
        <v>727</v>
      </c>
      <c r="G1199" t="str">
        <f>_xlfn.XLOOKUP(Table1[[#This Row],[Department]],Table6[Department],Table6[Id_Departement])</f>
        <v>D001</v>
      </c>
      <c r="H1199" t="s">
        <v>37</v>
      </c>
      <c r="I1199">
        <v>9</v>
      </c>
      <c r="J1199" t="str">
        <f>_xlfn.XLOOKUP(Table1[[#This Row],[Education]],Table8[Education],Table8[Id_Education])</f>
        <v>E001</v>
      </c>
      <c r="K1199">
        <v>1</v>
      </c>
      <c r="L1199" t="str">
        <f>_xlfn.XLOOKUP(Table1[[#This Row],[EducationField]],Table7[EducationField],Table7[Id_EducationField])</f>
        <v>EF001</v>
      </c>
      <c r="M1199" t="s">
        <v>40</v>
      </c>
      <c r="N1199" t="str">
        <f>_xlfn.XLOOKUP(Table1[[#This Row],[EmployeeNumber]],Table4[EmployeeNumber],Table4[Id_Employee])</f>
        <v>EMP01198</v>
      </c>
      <c r="O1199">
        <v>1680</v>
      </c>
      <c r="P1199" t="str">
        <f>_xlfn.XLOOKUP(Table1[[#This Row],[EnvironmentSatisfaction]],Table9[EnvironmentSatisfaction],Table9[Id_EnviromentSatisfaction])</f>
        <v>ES004</v>
      </c>
      <c r="Q1199">
        <v>4</v>
      </c>
      <c r="R1199" t="str">
        <f>_xlfn.XLOOKUP(Table1[[#This Row],[EnvironmentSatisfaction]],Table9[EnvironmentSatisfaction],Table9[Deskripsi])</f>
        <v>Very High</v>
      </c>
      <c r="S1199" t="str">
        <f>_xlfn.XLOOKUP(Table1[[#This Row],[Gender]],Table10[Gender],Table10[Id_Gender])</f>
        <v>G002</v>
      </c>
      <c r="T1199" t="s">
        <v>46</v>
      </c>
      <c r="U1199">
        <v>54</v>
      </c>
      <c r="V1199" t="str">
        <f>_xlfn.XLOOKUP(Table1[[#This Row],[JobInvolvement]],Table11[JobInvolvement],Table11[Id_JobInvolvement])</f>
        <v>JI003</v>
      </c>
      <c r="W1199">
        <v>3</v>
      </c>
      <c r="X1199" t="str">
        <f>_xlfn.XLOOKUP(Table1[[#This Row],[JobLevel]],Table12[JobLevel],Table12[Id_JobLevel])</f>
        <v>JL001</v>
      </c>
      <c r="Y1199">
        <v>1</v>
      </c>
      <c r="Z1199" t="str">
        <f>_xlfn.XLOOKUP(Table1[[#This Row],[JobRole]],Table13[JobRole],Table13[Id_JobRole])</f>
        <v>JR007</v>
      </c>
      <c r="AA1199" t="s">
        <v>53</v>
      </c>
      <c r="AB1199" t="str">
        <f>_xlfn.XLOOKUP(Table1[[#This Row],[JobSatisfaction]],Table14[JobSatisfaction],Table14[Id_JobSatisfaction])</f>
        <v>JS001</v>
      </c>
      <c r="AC1199">
        <v>1</v>
      </c>
      <c r="AD1199" t="str">
        <f>_xlfn.XLOOKUP(Table1[[#This Row],[JobSatisfaction]],Table14[JobSatisfaction],Table14[Deskripsi])</f>
        <v>Low</v>
      </c>
      <c r="AE1199" t="str">
        <f>_xlfn.XLOOKUP(Table1[[#This Row],[MaritalStatus]],Table15[MaritalStatus],Table15[Id_MaritalStatus])</f>
        <v>MS001</v>
      </c>
      <c r="AF1199" t="s">
        <v>55</v>
      </c>
      <c r="AG1199">
        <v>2728</v>
      </c>
      <c r="AH1199">
        <v>21082</v>
      </c>
      <c r="AI1199">
        <v>1</v>
      </c>
      <c r="AJ1199" t="str">
        <f>_xlfn.XLOOKUP(Table1[[#This Row],[OverTime]],Table16[OverTime],Table16[Id_OverTime])</f>
        <v>OT002</v>
      </c>
      <c r="AK1199" t="s">
        <v>33</v>
      </c>
      <c r="AL1199">
        <v>11</v>
      </c>
      <c r="AM1199" t="str">
        <f>_xlfn.XLOOKUP(Table1[[#This Row],[PerformanceRating]],Table17[PerformanceRating],Table17[Id_PerformanceRating])</f>
        <v>PR003</v>
      </c>
      <c r="AN1199">
        <v>3</v>
      </c>
      <c r="AO1199" t="str">
        <f>_xlfn.XLOOKUP(Table1[[#This Row],[PerformanceRating]],Table17[PerformanceRating],Table17[Deskripsi])</f>
        <v>Excellent</v>
      </c>
      <c r="AP1199" t="str">
        <f>_xlfn.XLOOKUP(Table1[[#This Row],[RelationshipSatisfaction]],Table18[RelationshipSatisfaction],Table18[Id_RelationshipSatisfaction])</f>
        <v>RS001</v>
      </c>
      <c r="AQ1199">
        <v>1</v>
      </c>
      <c r="AR1199" t="str">
        <f>_xlfn.XLOOKUP(Table1[[#This Row],[RelationshipSatisfaction]],Table18[RelationshipSatisfaction],Table18[Deskripsi])</f>
        <v>Low</v>
      </c>
      <c r="AS1199" t="str">
        <f>_xlfn.XLOOKUP(Table1[[#This Row],[StockOptionLevel]],Table19[StockOptionLevel],Table19[Id_StockOptionLevel])</f>
        <v>SOL001</v>
      </c>
      <c r="AT1199">
        <v>0</v>
      </c>
      <c r="AU1199" t="str">
        <f>_xlfn.XLOOKUP(Table1[[#This Row],[StockOptionLevel]],Table19[StockOptionLevel],Table19[Deskripsi])</f>
        <v>Non-Eligible</v>
      </c>
      <c r="AV1199">
        <v>2</v>
      </c>
      <c r="AW1199">
        <v>3</v>
      </c>
      <c r="AX1199" t="str">
        <f>_xlfn.XLOOKUP(Table1[[#This Row],[WorkLifeBalance]],Table20[WorkLifeBalance],Table20[Id_WorkLifeBalance])</f>
        <v>WLB002</v>
      </c>
      <c r="AY1199">
        <v>3</v>
      </c>
      <c r="AZ1199" t="str">
        <f>_xlfn.XLOOKUP(Table1[[#This Row],[WorkLifeBalance]],Table20[WorkLifeBalance],Table20[Deskripsi])</f>
        <v>Good</v>
      </c>
      <c r="BA1199">
        <v>2</v>
      </c>
      <c r="BB1199">
        <v>2</v>
      </c>
      <c r="BC1199">
        <v>0</v>
      </c>
      <c r="BD1199">
        <v>2</v>
      </c>
    </row>
    <row r="1200" spans="1:56" x14ac:dyDescent="0.25">
      <c r="A1200">
        <v>33</v>
      </c>
      <c r="B1200" t="str">
        <f>_xlfn.XLOOKUP(Table1[[#This Row],[Attrition]],Table2[Attrition],Table2[Id_Attrition])</f>
        <v>A002</v>
      </c>
      <c r="C1200" t="s">
        <v>33</v>
      </c>
      <c r="D1200" t="str">
        <f>_xlfn.XLOOKUP(Table1[[#This Row],[BusinessTravel]],Table5[BusinessTravel],Table5[Id_BusinessTravel])</f>
        <v>BS003</v>
      </c>
      <c r="E1200" t="s">
        <v>36</v>
      </c>
      <c r="F1200">
        <v>530</v>
      </c>
      <c r="G1200" t="str">
        <f>_xlfn.XLOOKUP(Table1[[#This Row],[Department]],Table6[Department],Table6[Id_Departement])</f>
        <v>D001</v>
      </c>
      <c r="H1200" t="s">
        <v>37</v>
      </c>
      <c r="I1200">
        <v>16</v>
      </c>
      <c r="J1200" t="str">
        <f>_xlfn.XLOOKUP(Table1[[#This Row],[Education]],Table8[Education],Table8[Id_Education])</f>
        <v>E003</v>
      </c>
      <c r="K1200">
        <v>3</v>
      </c>
      <c r="L1200" t="str">
        <f>_xlfn.XLOOKUP(Table1[[#This Row],[EducationField]],Table7[EducationField],Table7[Id_EducationField])</f>
        <v>EF001</v>
      </c>
      <c r="M1200" t="s">
        <v>40</v>
      </c>
      <c r="N1200" t="str">
        <f>_xlfn.XLOOKUP(Table1[[#This Row],[EmployeeNumber]],Table4[EmployeeNumber],Table4[Id_Employee])</f>
        <v>EMP01199</v>
      </c>
      <c r="O1200">
        <v>1681</v>
      </c>
      <c r="P1200" t="str">
        <f>_xlfn.XLOOKUP(Table1[[#This Row],[EnvironmentSatisfaction]],Table9[EnvironmentSatisfaction],Table9[Id_EnviromentSatisfaction])</f>
        <v>ES003</v>
      </c>
      <c r="Q1200">
        <v>3</v>
      </c>
      <c r="R1200" t="str">
        <f>_xlfn.XLOOKUP(Table1[[#This Row],[EnvironmentSatisfaction]],Table9[EnvironmentSatisfaction],Table9[Deskripsi])</f>
        <v>High</v>
      </c>
      <c r="S1200" t="str">
        <f>_xlfn.XLOOKUP(Table1[[#This Row],[Gender]],Table10[Gender],Table10[Id_Gender])</f>
        <v>G001</v>
      </c>
      <c r="T1200" t="s">
        <v>45</v>
      </c>
      <c r="U1200">
        <v>36</v>
      </c>
      <c r="V1200" t="str">
        <f>_xlfn.XLOOKUP(Table1[[#This Row],[JobInvolvement]],Table11[JobInvolvement],Table11[Id_JobInvolvement])</f>
        <v>JI003</v>
      </c>
      <c r="W1200">
        <v>3</v>
      </c>
      <c r="X1200" t="str">
        <f>_xlfn.XLOOKUP(Table1[[#This Row],[JobLevel]],Table12[JobLevel],Table12[Id_JobLevel])</f>
        <v>JL002</v>
      </c>
      <c r="Y1200">
        <v>2</v>
      </c>
      <c r="Z1200" t="str">
        <f>_xlfn.XLOOKUP(Table1[[#This Row],[JobRole]],Table13[JobRole],Table13[Id_JobRole])</f>
        <v>JR001</v>
      </c>
      <c r="AA1200" t="s">
        <v>47</v>
      </c>
      <c r="AB1200" t="str">
        <f>_xlfn.XLOOKUP(Table1[[#This Row],[JobSatisfaction]],Table14[JobSatisfaction],Table14[Id_JobSatisfaction])</f>
        <v>JS004</v>
      </c>
      <c r="AC1200">
        <v>4</v>
      </c>
      <c r="AD1200" t="str">
        <f>_xlfn.XLOOKUP(Table1[[#This Row],[JobSatisfaction]],Table14[JobSatisfaction],Table14[Deskripsi])</f>
        <v>Very High</v>
      </c>
      <c r="AE1200" t="str">
        <f>_xlfn.XLOOKUP(Table1[[#This Row],[MaritalStatus]],Table15[MaritalStatus],Table15[Id_MaritalStatus])</f>
        <v>MS003</v>
      </c>
      <c r="AF1200" t="s">
        <v>57</v>
      </c>
      <c r="AG1200">
        <v>5368</v>
      </c>
      <c r="AH1200">
        <v>16130</v>
      </c>
      <c r="AI1200">
        <v>1</v>
      </c>
      <c r="AJ1200" t="str">
        <f>_xlfn.XLOOKUP(Table1[[#This Row],[OverTime]],Table16[OverTime],Table16[Id_OverTime])</f>
        <v>OT001</v>
      </c>
      <c r="AK1200" t="s">
        <v>32</v>
      </c>
      <c r="AL1200">
        <v>25</v>
      </c>
      <c r="AM1200" t="str">
        <f>_xlfn.XLOOKUP(Table1[[#This Row],[PerformanceRating]],Table17[PerformanceRating],Table17[Id_PerformanceRating])</f>
        <v>PR004</v>
      </c>
      <c r="AN1200">
        <v>4</v>
      </c>
      <c r="AO1200" t="str">
        <f>_xlfn.XLOOKUP(Table1[[#This Row],[PerformanceRating]],Table17[PerformanceRating],Table17[Deskripsi])</f>
        <v>Outstanding</v>
      </c>
      <c r="AP1200" t="str">
        <f>_xlfn.XLOOKUP(Table1[[#This Row],[RelationshipSatisfaction]],Table18[RelationshipSatisfaction],Table18[Id_RelationshipSatisfaction])</f>
        <v>RS003</v>
      </c>
      <c r="AQ1200">
        <v>3</v>
      </c>
      <c r="AR1200" t="str">
        <f>_xlfn.XLOOKUP(Table1[[#This Row],[RelationshipSatisfaction]],Table18[RelationshipSatisfaction],Table18[Deskripsi])</f>
        <v>High</v>
      </c>
      <c r="AS1200" t="str">
        <f>_xlfn.XLOOKUP(Table1[[#This Row],[StockOptionLevel]],Table19[StockOptionLevel],Table19[Id_StockOptionLevel])</f>
        <v>SOL002</v>
      </c>
      <c r="AT1200">
        <v>1</v>
      </c>
      <c r="AU1200" t="str">
        <f>_xlfn.XLOOKUP(Table1[[#This Row],[StockOptionLevel]],Table19[StockOptionLevel],Table19[Deskripsi])</f>
        <v>Standard</v>
      </c>
      <c r="AV1200">
        <v>7</v>
      </c>
      <c r="AW1200">
        <v>2</v>
      </c>
      <c r="AX1200" t="str">
        <f>_xlfn.XLOOKUP(Table1[[#This Row],[WorkLifeBalance]],Table20[WorkLifeBalance],Table20[Id_WorkLifeBalance])</f>
        <v>WLB002</v>
      </c>
      <c r="AY1200">
        <v>3</v>
      </c>
      <c r="AZ1200" t="str">
        <f>_xlfn.XLOOKUP(Table1[[#This Row],[WorkLifeBalance]],Table20[WorkLifeBalance],Table20[Deskripsi])</f>
        <v>Good</v>
      </c>
      <c r="BA1200">
        <v>6</v>
      </c>
      <c r="BB1200">
        <v>5</v>
      </c>
      <c r="BC1200">
        <v>1</v>
      </c>
      <c r="BD1200">
        <v>2</v>
      </c>
    </row>
    <row r="1201" spans="1:56" x14ac:dyDescent="0.25">
      <c r="A1201">
        <v>36</v>
      </c>
      <c r="B1201" t="str">
        <f>_xlfn.XLOOKUP(Table1[[#This Row],[Attrition]],Table2[Attrition],Table2[Id_Attrition])</f>
        <v>A002</v>
      </c>
      <c r="C1201" t="s">
        <v>33</v>
      </c>
      <c r="D1201" t="str">
        <f>_xlfn.XLOOKUP(Table1[[#This Row],[BusinessTravel]],Table5[BusinessTravel],Table5[Id_BusinessTravel])</f>
        <v>BS001</v>
      </c>
      <c r="E1201" t="s">
        <v>34</v>
      </c>
      <c r="F1201">
        <v>1351</v>
      </c>
      <c r="G1201" t="str">
        <f>_xlfn.XLOOKUP(Table1[[#This Row],[Department]],Table6[Department],Table6[Id_Departement])</f>
        <v>D002</v>
      </c>
      <c r="H1201" t="s">
        <v>38</v>
      </c>
      <c r="I1201">
        <v>26</v>
      </c>
      <c r="J1201" t="str">
        <f>_xlfn.XLOOKUP(Table1[[#This Row],[Education]],Table8[Education],Table8[Id_Education])</f>
        <v>E004</v>
      </c>
      <c r="K1201">
        <v>4</v>
      </c>
      <c r="L1201" t="str">
        <f>_xlfn.XLOOKUP(Table1[[#This Row],[EducationField]],Table7[EducationField],Table7[Id_EducationField])</f>
        <v>EF001</v>
      </c>
      <c r="M1201" t="s">
        <v>40</v>
      </c>
      <c r="N1201" t="str">
        <f>_xlfn.XLOOKUP(Table1[[#This Row],[EmployeeNumber]],Table4[EmployeeNumber],Table4[Id_Employee])</f>
        <v>EMP01200</v>
      </c>
      <c r="O1201">
        <v>1682</v>
      </c>
      <c r="P1201" t="str">
        <f>_xlfn.XLOOKUP(Table1[[#This Row],[EnvironmentSatisfaction]],Table9[EnvironmentSatisfaction],Table9[Id_EnviromentSatisfaction])</f>
        <v>ES001</v>
      </c>
      <c r="Q1201">
        <v>1</v>
      </c>
      <c r="R1201" t="str">
        <f>_xlfn.XLOOKUP(Table1[[#This Row],[EnvironmentSatisfaction]],Table9[EnvironmentSatisfaction],Table9[Deskripsi])</f>
        <v>Low</v>
      </c>
      <c r="S1201" t="str">
        <f>_xlfn.XLOOKUP(Table1[[#This Row],[Gender]],Table10[Gender],Table10[Id_Gender])</f>
        <v>G002</v>
      </c>
      <c r="T1201" t="s">
        <v>46</v>
      </c>
      <c r="U1201">
        <v>80</v>
      </c>
      <c r="V1201" t="str">
        <f>_xlfn.XLOOKUP(Table1[[#This Row],[JobInvolvement]],Table11[JobInvolvement],Table11[Id_JobInvolvement])</f>
        <v>JI003</v>
      </c>
      <c r="W1201">
        <v>3</v>
      </c>
      <c r="X1201" t="str">
        <f>_xlfn.XLOOKUP(Table1[[#This Row],[JobLevel]],Table12[JobLevel],Table12[Id_JobLevel])</f>
        <v>JL002</v>
      </c>
      <c r="Y1201">
        <v>2</v>
      </c>
      <c r="Z1201" t="str">
        <f>_xlfn.XLOOKUP(Table1[[#This Row],[JobRole]],Table13[JobRole],Table13[Id_JobRole])</f>
        <v>JR005</v>
      </c>
      <c r="AA1201" t="s">
        <v>51</v>
      </c>
      <c r="AB1201" t="str">
        <f>_xlfn.XLOOKUP(Table1[[#This Row],[JobSatisfaction]],Table14[JobSatisfaction],Table14[Id_JobSatisfaction])</f>
        <v>JS003</v>
      </c>
      <c r="AC1201">
        <v>3</v>
      </c>
      <c r="AD1201" t="str">
        <f>_xlfn.XLOOKUP(Table1[[#This Row],[JobSatisfaction]],Table14[JobSatisfaction],Table14[Deskripsi])</f>
        <v>High</v>
      </c>
      <c r="AE1201" t="str">
        <f>_xlfn.XLOOKUP(Table1[[#This Row],[MaritalStatus]],Table15[MaritalStatus],Table15[Id_MaritalStatus])</f>
        <v>MS002</v>
      </c>
      <c r="AF1201" t="s">
        <v>56</v>
      </c>
      <c r="AG1201">
        <v>5347</v>
      </c>
      <c r="AH1201">
        <v>7419</v>
      </c>
      <c r="AI1201">
        <v>6</v>
      </c>
      <c r="AJ1201" t="str">
        <f>_xlfn.XLOOKUP(Table1[[#This Row],[OverTime]],Table16[OverTime],Table16[Id_OverTime])</f>
        <v>OT002</v>
      </c>
      <c r="AK1201" t="s">
        <v>33</v>
      </c>
      <c r="AL1201">
        <v>14</v>
      </c>
      <c r="AM1201" t="str">
        <f>_xlfn.XLOOKUP(Table1[[#This Row],[PerformanceRating]],Table17[PerformanceRating],Table17[Id_PerformanceRating])</f>
        <v>PR003</v>
      </c>
      <c r="AN1201">
        <v>3</v>
      </c>
      <c r="AO1201" t="str">
        <f>_xlfn.XLOOKUP(Table1[[#This Row],[PerformanceRating]],Table17[PerformanceRating],Table17[Deskripsi])</f>
        <v>Excellent</v>
      </c>
      <c r="AP1201" t="str">
        <f>_xlfn.XLOOKUP(Table1[[#This Row],[RelationshipSatisfaction]],Table18[RelationshipSatisfaction],Table18[Id_RelationshipSatisfaction])</f>
        <v>RS002</v>
      </c>
      <c r="AQ1201">
        <v>2</v>
      </c>
      <c r="AR1201" t="str">
        <f>_xlfn.XLOOKUP(Table1[[#This Row],[RelationshipSatisfaction]],Table18[RelationshipSatisfaction],Table18[Deskripsi])</f>
        <v>Medium</v>
      </c>
      <c r="AS1201" t="str">
        <f>_xlfn.XLOOKUP(Table1[[#This Row],[StockOptionLevel]],Table19[StockOptionLevel],Table19[Id_StockOptionLevel])</f>
        <v>SOL003</v>
      </c>
      <c r="AT1201">
        <v>2</v>
      </c>
      <c r="AU1201" t="str">
        <f>_xlfn.XLOOKUP(Table1[[#This Row],[StockOptionLevel]],Table19[StockOptionLevel],Table19[Deskripsi])</f>
        <v>Intermediate</v>
      </c>
      <c r="AV1201">
        <v>10</v>
      </c>
      <c r="AW1201">
        <v>2</v>
      </c>
      <c r="AX1201" t="str">
        <f>_xlfn.XLOOKUP(Table1[[#This Row],[WorkLifeBalance]],Table20[WorkLifeBalance],Table20[Id_WorkLifeBalance])</f>
        <v>WLB003</v>
      </c>
      <c r="AY1201">
        <v>2</v>
      </c>
      <c r="AZ1201" t="str">
        <f>_xlfn.XLOOKUP(Table1[[#This Row],[WorkLifeBalance]],Table20[WorkLifeBalance],Table20[Deskripsi])</f>
        <v>Better</v>
      </c>
      <c r="BA1201">
        <v>3</v>
      </c>
      <c r="BB1201">
        <v>2</v>
      </c>
      <c r="BC1201">
        <v>0</v>
      </c>
      <c r="BD1201">
        <v>2</v>
      </c>
    </row>
    <row r="1202" spans="1:56" x14ac:dyDescent="0.25">
      <c r="A1202">
        <v>44</v>
      </c>
      <c r="B1202" t="str">
        <f>_xlfn.XLOOKUP(Table1[[#This Row],[Attrition]],Table2[Attrition],Table2[Id_Attrition])</f>
        <v>A002</v>
      </c>
      <c r="C1202" t="s">
        <v>33</v>
      </c>
      <c r="D1202" t="str">
        <f>_xlfn.XLOOKUP(Table1[[#This Row],[BusinessTravel]],Table5[BusinessTravel],Table5[Id_BusinessTravel])</f>
        <v>BS001</v>
      </c>
      <c r="E1202" t="s">
        <v>34</v>
      </c>
      <c r="F1202">
        <v>528</v>
      </c>
      <c r="G1202" t="str">
        <f>_xlfn.XLOOKUP(Table1[[#This Row],[Department]],Table6[Department],Table6[Id_Departement])</f>
        <v>D003</v>
      </c>
      <c r="H1202" t="s">
        <v>39</v>
      </c>
      <c r="I1202">
        <v>1</v>
      </c>
      <c r="J1202" t="str">
        <f>_xlfn.XLOOKUP(Table1[[#This Row],[Education]],Table8[Education],Table8[Id_Education])</f>
        <v>E003</v>
      </c>
      <c r="K1202">
        <v>3</v>
      </c>
      <c r="L1202" t="str">
        <f>_xlfn.XLOOKUP(Table1[[#This Row],[EducationField]],Table7[EducationField],Table7[Id_EducationField])</f>
        <v>EF001</v>
      </c>
      <c r="M1202" t="s">
        <v>40</v>
      </c>
      <c r="N1202" t="str">
        <f>_xlfn.XLOOKUP(Table1[[#This Row],[EmployeeNumber]],Table4[EmployeeNumber],Table4[Id_Employee])</f>
        <v>EMP01201</v>
      </c>
      <c r="O1202">
        <v>1683</v>
      </c>
      <c r="P1202" t="str">
        <f>_xlfn.XLOOKUP(Table1[[#This Row],[EnvironmentSatisfaction]],Table9[EnvironmentSatisfaction],Table9[Id_EnviromentSatisfaction])</f>
        <v>ES003</v>
      </c>
      <c r="Q1202">
        <v>3</v>
      </c>
      <c r="R1202" t="str">
        <f>_xlfn.XLOOKUP(Table1[[#This Row],[EnvironmentSatisfaction]],Table9[EnvironmentSatisfaction],Table9[Deskripsi])</f>
        <v>High</v>
      </c>
      <c r="S1202" t="str">
        <f>_xlfn.XLOOKUP(Table1[[#This Row],[Gender]],Table10[Gender],Table10[Id_Gender])</f>
        <v>G001</v>
      </c>
      <c r="T1202" t="s">
        <v>45</v>
      </c>
      <c r="U1202">
        <v>44</v>
      </c>
      <c r="V1202" t="str">
        <f>_xlfn.XLOOKUP(Table1[[#This Row],[JobInvolvement]],Table11[JobInvolvement],Table11[Id_JobInvolvement])</f>
        <v>JI003</v>
      </c>
      <c r="W1202">
        <v>3</v>
      </c>
      <c r="X1202" t="str">
        <f>_xlfn.XLOOKUP(Table1[[#This Row],[JobLevel]],Table12[JobLevel],Table12[Id_JobLevel])</f>
        <v>JL001</v>
      </c>
      <c r="Y1202">
        <v>1</v>
      </c>
      <c r="Z1202" t="str">
        <f>_xlfn.XLOOKUP(Table1[[#This Row],[JobRole]],Table13[JobRole],Table13[Id_JobRole])</f>
        <v>JR009</v>
      </c>
      <c r="AA1202" t="s">
        <v>39</v>
      </c>
      <c r="AB1202" t="str">
        <f>_xlfn.XLOOKUP(Table1[[#This Row],[JobSatisfaction]],Table14[JobSatisfaction],Table14[Id_JobSatisfaction])</f>
        <v>JS004</v>
      </c>
      <c r="AC1202">
        <v>4</v>
      </c>
      <c r="AD1202" t="str">
        <f>_xlfn.XLOOKUP(Table1[[#This Row],[JobSatisfaction]],Table14[JobSatisfaction],Table14[Deskripsi])</f>
        <v>Very High</v>
      </c>
      <c r="AE1202" t="str">
        <f>_xlfn.XLOOKUP(Table1[[#This Row],[MaritalStatus]],Table15[MaritalStatus],Table15[Id_MaritalStatus])</f>
        <v>MS003</v>
      </c>
      <c r="AF1202" t="s">
        <v>57</v>
      </c>
      <c r="AG1202">
        <v>3195</v>
      </c>
      <c r="AH1202">
        <v>4167</v>
      </c>
      <c r="AI1202">
        <v>4</v>
      </c>
      <c r="AJ1202" t="str">
        <f>_xlfn.XLOOKUP(Table1[[#This Row],[OverTime]],Table16[OverTime],Table16[Id_OverTime])</f>
        <v>OT001</v>
      </c>
      <c r="AK1202" t="s">
        <v>32</v>
      </c>
      <c r="AL1202">
        <v>18</v>
      </c>
      <c r="AM1202" t="str">
        <f>_xlfn.XLOOKUP(Table1[[#This Row],[PerformanceRating]],Table17[PerformanceRating],Table17[Id_PerformanceRating])</f>
        <v>PR003</v>
      </c>
      <c r="AN1202">
        <v>3</v>
      </c>
      <c r="AO1202" t="str">
        <f>_xlfn.XLOOKUP(Table1[[#This Row],[PerformanceRating]],Table17[PerformanceRating],Table17[Deskripsi])</f>
        <v>Excellent</v>
      </c>
      <c r="AP1202" t="str">
        <f>_xlfn.XLOOKUP(Table1[[#This Row],[RelationshipSatisfaction]],Table18[RelationshipSatisfaction],Table18[Id_RelationshipSatisfaction])</f>
        <v>RS001</v>
      </c>
      <c r="AQ1202">
        <v>1</v>
      </c>
      <c r="AR1202" t="str">
        <f>_xlfn.XLOOKUP(Table1[[#This Row],[RelationshipSatisfaction]],Table18[RelationshipSatisfaction],Table18[Deskripsi])</f>
        <v>Low</v>
      </c>
      <c r="AS1202" t="str">
        <f>_xlfn.XLOOKUP(Table1[[#This Row],[StockOptionLevel]],Table19[StockOptionLevel],Table19[Id_StockOptionLevel])</f>
        <v>SOL004</v>
      </c>
      <c r="AT1202">
        <v>3</v>
      </c>
      <c r="AU1202" t="str">
        <f>_xlfn.XLOOKUP(Table1[[#This Row],[StockOptionLevel]],Table19[StockOptionLevel],Table19[Deskripsi])</f>
        <v>Senior/Executive</v>
      </c>
      <c r="AV1202">
        <v>8</v>
      </c>
      <c r="AW1202">
        <v>2</v>
      </c>
      <c r="AX1202" t="str">
        <f>_xlfn.XLOOKUP(Table1[[#This Row],[WorkLifeBalance]],Table20[WorkLifeBalance],Table20[Id_WorkLifeBalance])</f>
        <v>WLB002</v>
      </c>
      <c r="AY1202">
        <v>3</v>
      </c>
      <c r="AZ1202" t="str">
        <f>_xlfn.XLOOKUP(Table1[[#This Row],[WorkLifeBalance]],Table20[WorkLifeBalance],Table20[Deskripsi])</f>
        <v>Good</v>
      </c>
      <c r="BA1202">
        <v>2</v>
      </c>
      <c r="BB1202">
        <v>2</v>
      </c>
      <c r="BC1202">
        <v>2</v>
      </c>
      <c r="BD1202">
        <v>2</v>
      </c>
    </row>
    <row r="1203" spans="1:56" x14ac:dyDescent="0.25">
      <c r="A1203">
        <v>23</v>
      </c>
      <c r="B1203" t="str">
        <f>_xlfn.XLOOKUP(Table1[[#This Row],[Attrition]],Table2[Attrition],Table2[Id_Attrition])</f>
        <v>A001</v>
      </c>
      <c r="C1203" t="s">
        <v>32</v>
      </c>
      <c r="D1203" t="str">
        <f>_xlfn.XLOOKUP(Table1[[#This Row],[BusinessTravel]],Table5[BusinessTravel],Table5[Id_BusinessTravel])</f>
        <v>BS001</v>
      </c>
      <c r="E1203" t="s">
        <v>34</v>
      </c>
      <c r="F1203">
        <v>1320</v>
      </c>
      <c r="G1203" t="str">
        <f>_xlfn.XLOOKUP(Table1[[#This Row],[Department]],Table6[Department],Table6[Id_Departement])</f>
        <v>D002</v>
      </c>
      <c r="H1203" t="s">
        <v>38</v>
      </c>
      <c r="I1203">
        <v>8</v>
      </c>
      <c r="J1203" t="str">
        <f>_xlfn.XLOOKUP(Table1[[#This Row],[Education]],Table8[Education],Table8[Id_Education])</f>
        <v>E001</v>
      </c>
      <c r="K1203">
        <v>1</v>
      </c>
      <c r="L1203" t="str">
        <f>_xlfn.XLOOKUP(Table1[[#This Row],[EducationField]],Table7[EducationField],Table7[Id_EducationField])</f>
        <v>EF003</v>
      </c>
      <c r="M1203" t="s">
        <v>42</v>
      </c>
      <c r="N1203" t="str">
        <f>_xlfn.XLOOKUP(Table1[[#This Row],[EmployeeNumber]],Table4[EmployeeNumber],Table4[Id_Employee])</f>
        <v>EMP01202</v>
      </c>
      <c r="O1203">
        <v>1684</v>
      </c>
      <c r="P1203" t="str">
        <f>_xlfn.XLOOKUP(Table1[[#This Row],[EnvironmentSatisfaction]],Table9[EnvironmentSatisfaction],Table9[Id_EnviromentSatisfaction])</f>
        <v>ES004</v>
      </c>
      <c r="Q1203">
        <v>4</v>
      </c>
      <c r="R1203" t="str">
        <f>_xlfn.XLOOKUP(Table1[[#This Row],[EnvironmentSatisfaction]],Table9[EnvironmentSatisfaction],Table9[Deskripsi])</f>
        <v>Very High</v>
      </c>
      <c r="S1203" t="str">
        <f>_xlfn.XLOOKUP(Table1[[#This Row],[Gender]],Table10[Gender],Table10[Id_Gender])</f>
        <v>G002</v>
      </c>
      <c r="T1203" t="s">
        <v>46</v>
      </c>
      <c r="U1203">
        <v>93</v>
      </c>
      <c r="V1203" t="str">
        <f>_xlfn.XLOOKUP(Table1[[#This Row],[JobInvolvement]],Table11[JobInvolvement],Table11[Id_JobInvolvement])</f>
        <v>JI002</v>
      </c>
      <c r="W1203">
        <v>2</v>
      </c>
      <c r="X1203" t="str">
        <f>_xlfn.XLOOKUP(Table1[[#This Row],[JobLevel]],Table12[JobLevel],Table12[Id_JobLevel])</f>
        <v>JL001</v>
      </c>
      <c r="Y1203">
        <v>1</v>
      </c>
      <c r="Z1203" t="str">
        <f>_xlfn.XLOOKUP(Table1[[#This Row],[JobRole]],Table13[JobRole],Table13[Id_JobRole])</f>
        <v>JR003</v>
      </c>
      <c r="AA1203" t="s">
        <v>49</v>
      </c>
      <c r="AB1203" t="str">
        <f>_xlfn.XLOOKUP(Table1[[#This Row],[JobSatisfaction]],Table14[JobSatisfaction],Table14[Id_JobSatisfaction])</f>
        <v>JS003</v>
      </c>
      <c r="AC1203">
        <v>3</v>
      </c>
      <c r="AD1203" t="str">
        <f>_xlfn.XLOOKUP(Table1[[#This Row],[JobSatisfaction]],Table14[JobSatisfaction],Table14[Deskripsi])</f>
        <v>High</v>
      </c>
      <c r="AE1203" t="str">
        <f>_xlfn.XLOOKUP(Table1[[#This Row],[MaritalStatus]],Table15[MaritalStatus],Table15[Id_MaritalStatus])</f>
        <v>MS001</v>
      </c>
      <c r="AF1203" t="s">
        <v>55</v>
      </c>
      <c r="AG1203">
        <v>3989</v>
      </c>
      <c r="AH1203">
        <v>20586</v>
      </c>
      <c r="AI1203">
        <v>1</v>
      </c>
      <c r="AJ1203" t="str">
        <f>_xlfn.XLOOKUP(Table1[[#This Row],[OverTime]],Table16[OverTime],Table16[Id_OverTime])</f>
        <v>OT001</v>
      </c>
      <c r="AK1203" t="s">
        <v>32</v>
      </c>
      <c r="AL1203">
        <v>11</v>
      </c>
      <c r="AM1203" t="str">
        <f>_xlfn.XLOOKUP(Table1[[#This Row],[PerformanceRating]],Table17[PerformanceRating],Table17[Id_PerformanceRating])</f>
        <v>PR003</v>
      </c>
      <c r="AN1203">
        <v>3</v>
      </c>
      <c r="AO1203" t="str">
        <f>_xlfn.XLOOKUP(Table1[[#This Row],[PerformanceRating]],Table17[PerformanceRating],Table17[Deskripsi])</f>
        <v>Excellent</v>
      </c>
      <c r="AP1203" t="str">
        <f>_xlfn.XLOOKUP(Table1[[#This Row],[RelationshipSatisfaction]],Table18[RelationshipSatisfaction],Table18[Id_RelationshipSatisfaction])</f>
        <v>RS001</v>
      </c>
      <c r="AQ1203">
        <v>1</v>
      </c>
      <c r="AR1203" t="str">
        <f>_xlfn.XLOOKUP(Table1[[#This Row],[RelationshipSatisfaction]],Table18[RelationshipSatisfaction],Table18[Deskripsi])</f>
        <v>Low</v>
      </c>
      <c r="AS1203" t="str">
        <f>_xlfn.XLOOKUP(Table1[[#This Row],[StockOptionLevel]],Table19[StockOptionLevel],Table19[Id_StockOptionLevel])</f>
        <v>SOL001</v>
      </c>
      <c r="AT1203">
        <v>0</v>
      </c>
      <c r="AU1203" t="str">
        <f>_xlfn.XLOOKUP(Table1[[#This Row],[StockOptionLevel]],Table19[StockOptionLevel],Table19[Deskripsi])</f>
        <v>Non-Eligible</v>
      </c>
      <c r="AV1203">
        <v>5</v>
      </c>
      <c r="AW1203">
        <v>2</v>
      </c>
      <c r="AX1203" t="str">
        <f>_xlfn.XLOOKUP(Table1[[#This Row],[WorkLifeBalance]],Table20[WorkLifeBalance],Table20[Id_WorkLifeBalance])</f>
        <v>WLB002</v>
      </c>
      <c r="AY1203">
        <v>3</v>
      </c>
      <c r="AZ1203" t="str">
        <f>_xlfn.XLOOKUP(Table1[[#This Row],[WorkLifeBalance]],Table20[WorkLifeBalance],Table20[Deskripsi])</f>
        <v>Good</v>
      </c>
      <c r="BA1203">
        <v>5</v>
      </c>
      <c r="BB1203">
        <v>4</v>
      </c>
      <c r="BC1203">
        <v>1</v>
      </c>
      <c r="BD1203">
        <v>2</v>
      </c>
    </row>
    <row r="1204" spans="1:56" x14ac:dyDescent="0.25">
      <c r="A1204">
        <v>38</v>
      </c>
      <c r="B1204" t="str">
        <f>_xlfn.XLOOKUP(Table1[[#This Row],[Attrition]],Table2[Attrition],Table2[Id_Attrition])</f>
        <v>A002</v>
      </c>
      <c r="C1204" t="s">
        <v>33</v>
      </c>
      <c r="D1204" t="str">
        <f>_xlfn.XLOOKUP(Table1[[#This Row],[BusinessTravel]],Table5[BusinessTravel],Table5[Id_BusinessTravel])</f>
        <v>BS001</v>
      </c>
      <c r="E1204" t="s">
        <v>34</v>
      </c>
      <c r="F1204">
        <v>1495</v>
      </c>
      <c r="G1204" t="str">
        <f>_xlfn.XLOOKUP(Table1[[#This Row],[Department]],Table6[Department],Table6[Id_Departement])</f>
        <v>D002</v>
      </c>
      <c r="H1204" t="s">
        <v>38</v>
      </c>
      <c r="I1204">
        <v>4</v>
      </c>
      <c r="J1204" t="str">
        <f>_xlfn.XLOOKUP(Table1[[#This Row],[Education]],Table8[Education],Table8[Id_Education])</f>
        <v>E002</v>
      </c>
      <c r="K1204">
        <v>2</v>
      </c>
      <c r="L1204" t="str">
        <f>_xlfn.XLOOKUP(Table1[[#This Row],[EducationField]],Table7[EducationField],Table7[Id_EducationField])</f>
        <v>EF003</v>
      </c>
      <c r="M1204" t="s">
        <v>42</v>
      </c>
      <c r="N1204" t="str">
        <f>_xlfn.XLOOKUP(Table1[[#This Row],[EmployeeNumber]],Table4[EmployeeNumber],Table4[Id_Employee])</f>
        <v>EMP01203</v>
      </c>
      <c r="O1204">
        <v>1687</v>
      </c>
      <c r="P1204" t="str">
        <f>_xlfn.XLOOKUP(Table1[[#This Row],[EnvironmentSatisfaction]],Table9[EnvironmentSatisfaction],Table9[Id_EnviromentSatisfaction])</f>
        <v>ES004</v>
      </c>
      <c r="Q1204">
        <v>4</v>
      </c>
      <c r="R1204" t="str">
        <f>_xlfn.XLOOKUP(Table1[[#This Row],[EnvironmentSatisfaction]],Table9[EnvironmentSatisfaction],Table9[Deskripsi])</f>
        <v>Very High</v>
      </c>
      <c r="S1204" t="str">
        <f>_xlfn.XLOOKUP(Table1[[#This Row],[Gender]],Table10[Gender],Table10[Id_Gender])</f>
        <v>G001</v>
      </c>
      <c r="T1204" t="s">
        <v>45</v>
      </c>
      <c r="U1204">
        <v>87</v>
      </c>
      <c r="V1204" t="str">
        <f>_xlfn.XLOOKUP(Table1[[#This Row],[JobInvolvement]],Table11[JobInvolvement],Table11[Id_JobInvolvement])</f>
        <v>JI003</v>
      </c>
      <c r="W1204">
        <v>3</v>
      </c>
      <c r="X1204" t="str">
        <f>_xlfn.XLOOKUP(Table1[[#This Row],[JobLevel]],Table12[JobLevel],Table12[Id_JobLevel])</f>
        <v>JL001</v>
      </c>
      <c r="Y1204">
        <v>1</v>
      </c>
      <c r="Z1204" t="str">
        <f>_xlfn.XLOOKUP(Table1[[#This Row],[JobRole]],Table13[JobRole],Table13[Id_JobRole])</f>
        <v>JR003</v>
      </c>
      <c r="AA1204" t="s">
        <v>49</v>
      </c>
      <c r="AB1204" t="str">
        <f>_xlfn.XLOOKUP(Table1[[#This Row],[JobSatisfaction]],Table14[JobSatisfaction],Table14[Id_JobSatisfaction])</f>
        <v>JS003</v>
      </c>
      <c r="AC1204">
        <v>3</v>
      </c>
      <c r="AD1204" t="str">
        <f>_xlfn.XLOOKUP(Table1[[#This Row],[JobSatisfaction]],Table14[JobSatisfaction],Table14[Deskripsi])</f>
        <v>High</v>
      </c>
      <c r="AE1204" t="str">
        <f>_xlfn.XLOOKUP(Table1[[#This Row],[MaritalStatus]],Table15[MaritalStatus],Table15[Id_MaritalStatus])</f>
        <v>MS002</v>
      </c>
      <c r="AF1204" t="s">
        <v>56</v>
      </c>
      <c r="AG1204">
        <v>3306</v>
      </c>
      <c r="AH1204">
        <v>26176</v>
      </c>
      <c r="AI1204">
        <v>7</v>
      </c>
      <c r="AJ1204" t="str">
        <f>_xlfn.XLOOKUP(Table1[[#This Row],[OverTime]],Table16[OverTime],Table16[Id_OverTime])</f>
        <v>OT002</v>
      </c>
      <c r="AK1204" t="s">
        <v>33</v>
      </c>
      <c r="AL1204">
        <v>19</v>
      </c>
      <c r="AM1204" t="str">
        <f>_xlfn.XLOOKUP(Table1[[#This Row],[PerformanceRating]],Table17[PerformanceRating],Table17[Id_PerformanceRating])</f>
        <v>PR003</v>
      </c>
      <c r="AN1204">
        <v>3</v>
      </c>
      <c r="AO1204" t="str">
        <f>_xlfn.XLOOKUP(Table1[[#This Row],[PerformanceRating]],Table17[PerformanceRating],Table17[Deskripsi])</f>
        <v>Excellent</v>
      </c>
      <c r="AP1204" t="str">
        <f>_xlfn.XLOOKUP(Table1[[#This Row],[RelationshipSatisfaction]],Table18[RelationshipSatisfaction],Table18[Id_RelationshipSatisfaction])</f>
        <v>RS004</v>
      </c>
      <c r="AQ1204">
        <v>4</v>
      </c>
      <c r="AR1204" t="str">
        <f>_xlfn.XLOOKUP(Table1[[#This Row],[RelationshipSatisfaction]],Table18[RelationshipSatisfaction],Table18[Deskripsi])</f>
        <v>Very High</v>
      </c>
      <c r="AS1204" t="str">
        <f>_xlfn.XLOOKUP(Table1[[#This Row],[StockOptionLevel]],Table19[StockOptionLevel],Table19[Id_StockOptionLevel])</f>
        <v>SOL002</v>
      </c>
      <c r="AT1204">
        <v>1</v>
      </c>
      <c r="AU1204" t="str">
        <f>_xlfn.XLOOKUP(Table1[[#This Row],[StockOptionLevel]],Table19[StockOptionLevel],Table19[Deskripsi])</f>
        <v>Standard</v>
      </c>
      <c r="AV1204">
        <v>7</v>
      </c>
      <c r="AW1204">
        <v>5</v>
      </c>
      <c r="AX1204" t="str">
        <f>_xlfn.XLOOKUP(Table1[[#This Row],[WorkLifeBalance]],Table20[WorkLifeBalance],Table20[Id_WorkLifeBalance])</f>
        <v>WLB003</v>
      </c>
      <c r="AY1204">
        <v>2</v>
      </c>
      <c r="AZ1204" t="str">
        <f>_xlfn.XLOOKUP(Table1[[#This Row],[WorkLifeBalance]],Table20[WorkLifeBalance],Table20[Deskripsi])</f>
        <v>Better</v>
      </c>
      <c r="BA1204">
        <v>0</v>
      </c>
      <c r="BB1204">
        <v>0</v>
      </c>
      <c r="BC1204">
        <v>0</v>
      </c>
      <c r="BD1204">
        <v>0</v>
      </c>
    </row>
    <row r="1205" spans="1:56" x14ac:dyDescent="0.25">
      <c r="A1205">
        <v>53</v>
      </c>
      <c r="B1205" t="str">
        <f>_xlfn.XLOOKUP(Table1[[#This Row],[Attrition]],Table2[Attrition],Table2[Id_Attrition])</f>
        <v>A002</v>
      </c>
      <c r="C1205" t="s">
        <v>33</v>
      </c>
      <c r="D1205" t="str">
        <f>_xlfn.XLOOKUP(Table1[[#This Row],[BusinessTravel]],Table5[BusinessTravel],Table5[Id_BusinessTravel])</f>
        <v>BS001</v>
      </c>
      <c r="E1205" t="s">
        <v>34</v>
      </c>
      <c r="F1205">
        <v>1395</v>
      </c>
      <c r="G1205" t="str">
        <f>_xlfn.XLOOKUP(Table1[[#This Row],[Department]],Table6[Department],Table6[Id_Departement])</f>
        <v>D002</v>
      </c>
      <c r="H1205" t="s">
        <v>38</v>
      </c>
      <c r="I1205">
        <v>24</v>
      </c>
      <c r="J1205" t="str">
        <f>_xlfn.XLOOKUP(Table1[[#This Row],[Education]],Table8[Education],Table8[Id_Education])</f>
        <v>E004</v>
      </c>
      <c r="K1205">
        <v>4</v>
      </c>
      <c r="L1205" t="str">
        <f>_xlfn.XLOOKUP(Table1[[#This Row],[EducationField]],Table7[EducationField],Table7[Id_EducationField])</f>
        <v>EF003</v>
      </c>
      <c r="M1205" t="s">
        <v>42</v>
      </c>
      <c r="N1205" t="str">
        <f>_xlfn.XLOOKUP(Table1[[#This Row],[EmployeeNumber]],Table4[EmployeeNumber],Table4[Id_Employee])</f>
        <v>EMP01204</v>
      </c>
      <c r="O1205">
        <v>1689</v>
      </c>
      <c r="P1205" t="str">
        <f>_xlfn.XLOOKUP(Table1[[#This Row],[EnvironmentSatisfaction]],Table9[EnvironmentSatisfaction],Table9[Id_EnviromentSatisfaction])</f>
        <v>ES002</v>
      </c>
      <c r="Q1205">
        <v>2</v>
      </c>
      <c r="R1205" t="str">
        <f>_xlfn.XLOOKUP(Table1[[#This Row],[EnvironmentSatisfaction]],Table9[EnvironmentSatisfaction],Table9[Deskripsi])</f>
        <v>Medium</v>
      </c>
      <c r="S1205" t="str">
        <f>_xlfn.XLOOKUP(Table1[[#This Row],[Gender]],Table10[Gender],Table10[Id_Gender])</f>
        <v>G002</v>
      </c>
      <c r="T1205" t="s">
        <v>46</v>
      </c>
      <c r="U1205">
        <v>48</v>
      </c>
      <c r="V1205" t="str">
        <f>_xlfn.XLOOKUP(Table1[[#This Row],[JobInvolvement]],Table11[JobInvolvement],Table11[Id_JobInvolvement])</f>
        <v>JI004</v>
      </c>
      <c r="W1205">
        <v>4</v>
      </c>
      <c r="X1205" t="str">
        <f>_xlfn.XLOOKUP(Table1[[#This Row],[JobLevel]],Table12[JobLevel],Table12[Id_JobLevel])</f>
        <v>JL003</v>
      </c>
      <c r="Y1205">
        <v>3</v>
      </c>
      <c r="Z1205" t="str">
        <f>_xlfn.XLOOKUP(Table1[[#This Row],[JobRole]],Table13[JobRole],Table13[Id_JobRole])</f>
        <v>JR005</v>
      </c>
      <c r="AA1205" t="s">
        <v>51</v>
      </c>
      <c r="AB1205" t="str">
        <f>_xlfn.XLOOKUP(Table1[[#This Row],[JobSatisfaction]],Table14[JobSatisfaction],Table14[Id_JobSatisfaction])</f>
        <v>JS004</v>
      </c>
      <c r="AC1205">
        <v>4</v>
      </c>
      <c r="AD1205" t="str">
        <f>_xlfn.XLOOKUP(Table1[[#This Row],[JobSatisfaction]],Table14[JobSatisfaction],Table14[Deskripsi])</f>
        <v>Very High</v>
      </c>
      <c r="AE1205" t="str">
        <f>_xlfn.XLOOKUP(Table1[[#This Row],[MaritalStatus]],Table15[MaritalStatus],Table15[Id_MaritalStatus])</f>
        <v>MS002</v>
      </c>
      <c r="AF1205" t="s">
        <v>56</v>
      </c>
      <c r="AG1205">
        <v>7005</v>
      </c>
      <c r="AH1205">
        <v>3458</v>
      </c>
      <c r="AI1205">
        <v>3</v>
      </c>
      <c r="AJ1205" t="str">
        <f>_xlfn.XLOOKUP(Table1[[#This Row],[OverTime]],Table16[OverTime],Table16[Id_OverTime])</f>
        <v>OT002</v>
      </c>
      <c r="AK1205" t="s">
        <v>33</v>
      </c>
      <c r="AL1205">
        <v>15</v>
      </c>
      <c r="AM1205" t="str">
        <f>_xlfn.XLOOKUP(Table1[[#This Row],[PerformanceRating]],Table17[PerformanceRating],Table17[Id_PerformanceRating])</f>
        <v>PR003</v>
      </c>
      <c r="AN1205">
        <v>3</v>
      </c>
      <c r="AO1205" t="str">
        <f>_xlfn.XLOOKUP(Table1[[#This Row],[PerformanceRating]],Table17[PerformanceRating],Table17[Deskripsi])</f>
        <v>Excellent</v>
      </c>
      <c r="AP1205" t="str">
        <f>_xlfn.XLOOKUP(Table1[[#This Row],[RelationshipSatisfaction]],Table18[RelationshipSatisfaction],Table18[Id_RelationshipSatisfaction])</f>
        <v>RS003</v>
      </c>
      <c r="AQ1205">
        <v>3</v>
      </c>
      <c r="AR1205" t="str">
        <f>_xlfn.XLOOKUP(Table1[[#This Row],[RelationshipSatisfaction]],Table18[RelationshipSatisfaction],Table18[Deskripsi])</f>
        <v>High</v>
      </c>
      <c r="AS1205" t="str">
        <f>_xlfn.XLOOKUP(Table1[[#This Row],[StockOptionLevel]],Table19[StockOptionLevel],Table19[Id_StockOptionLevel])</f>
        <v>SOL001</v>
      </c>
      <c r="AT1205">
        <v>0</v>
      </c>
      <c r="AU1205" t="str">
        <f>_xlfn.XLOOKUP(Table1[[#This Row],[StockOptionLevel]],Table19[StockOptionLevel],Table19[Deskripsi])</f>
        <v>Non-Eligible</v>
      </c>
      <c r="AV1205">
        <v>11</v>
      </c>
      <c r="AW1205">
        <v>2</v>
      </c>
      <c r="AX1205" t="str">
        <f>_xlfn.XLOOKUP(Table1[[#This Row],[WorkLifeBalance]],Table20[WorkLifeBalance],Table20[Id_WorkLifeBalance])</f>
        <v>WLB002</v>
      </c>
      <c r="AY1205">
        <v>3</v>
      </c>
      <c r="AZ1205" t="str">
        <f>_xlfn.XLOOKUP(Table1[[#This Row],[WorkLifeBalance]],Table20[WorkLifeBalance],Table20[Deskripsi])</f>
        <v>Good</v>
      </c>
      <c r="BA1205">
        <v>4</v>
      </c>
      <c r="BB1205">
        <v>3</v>
      </c>
      <c r="BC1205">
        <v>1</v>
      </c>
      <c r="BD1205">
        <v>2</v>
      </c>
    </row>
    <row r="1206" spans="1:56" x14ac:dyDescent="0.25">
      <c r="A1206">
        <v>48</v>
      </c>
      <c r="B1206" t="str">
        <f>_xlfn.XLOOKUP(Table1[[#This Row],[Attrition]],Table2[Attrition],Table2[Id_Attrition])</f>
        <v>A001</v>
      </c>
      <c r="C1206" t="s">
        <v>32</v>
      </c>
      <c r="D1206" t="str">
        <f>_xlfn.XLOOKUP(Table1[[#This Row],[BusinessTravel]],Table5[BusinessTravel],Table5[Id_BusinessTravel])</f>
        <v>BS002</v>
      </c>
      <c r="E1206" t="s">
        <v>35</v>
      </c>
      <c r="F1206">
        <v>708</v>
      </c>
      <c r="G1206" t="str">
        <f>_xlfn.XLOOKUP(Table1[[#This Row],[Department]],Table6[Department],Table6[Id_Departement])</f>
        <v>D001</v>
      </c>
      <c r="H1206" t="s">
        <v>37</v>
      </c>
      <c r="I1206">
        <v>7</v>
      </c>
      <c r="J1206" t="str">
        <f>_xlfn.XLOOKUP(Table1[[#This Row],[Education]],Table8[Education],Table8[Id_Education])</f>
        <v>E002</v>
      </c>
      <c r="K1206">
        <v>2</v>
      </c>
      <c r="L1206" t="str">
        <f>_xlfn.XLOOKUP(Table1[[#This Row],[EducationField]],Table7[EducationField],Table7[Id_EducationField])</f>
        <v>EF003</v>
      </c>
      <c r="M1206" t="s">
        <v>42</v>
      </c>
      <c r="N1206" t="str">
        <f>_xlfn.XLOOKUP(Table1[[#This Row],[EmployeeNumber]],Table4[EmployeeNumber],Table4[Id_Employee])</f>
        <v>EMP01205</v>
      </c>
      <c r="O1206">
        <v>1691</v>
      </c>
      <c r="P1206" t="str">
        <f>_xlfn.XLOOKUP(Table1[[#This Row],[EnvironmentSatisfaction]],Table9[EnvironmentSatisfaction],Table9[Id_EnviromentSatisfaction])</f>
        <v>ES004</v>
      </c>
      <c r="Q1206">
        <v>4</v>
      </c>
      <c r="R1206" t="str">
        <f>_xlfn.XLOOKUP(Table1[[#This Row],[EnvironmentSatisfaction]],Table9[EnvironmentSatisfaction],Table9[Deskripsi])</f>
        <v>Very High</v>
      </c>
      <c r="S1206" t="str">
        <f>_xlfn.XLOOKUP(Table1[[#This Row],[Gender]],Table10[Gender],Table10[Id_Gender])</f>
        <v>G001</v>
      </c>
      <c r="T1206" t="s">
        <v>45</v>
      </c>
      <c r="U1206">
        <v>95</v>
      </c>
      <c r="V1206" t="str">
        <f>_xlfn.XLOOKUP(Table1[[#This Row],[JobInvolvement]],Table11[JobInvolvement],Table11[Id_JobInvolvement])</f>
        <v>JI003</v>
      </c>
      <c r="W1206">
        <v>3</v>
      </c>
      <c r="X1206" t="str">
        <f>_xlfn.XLOOKUP(Table1[[#This Row],[JobLevel]],Table12[JobLevel],Table12[Id_JobLevel])</f>
        <v>JL001</v>
      </c>
      <c r="Y1206">
        <v>1</v>
      </c>
      <c r="Z1206" t="str">
        <f>_xlfn.XLOOKUP(Table1[[#This Row],[JobRole]],Table13[JobRole],Table13[Id_JobRole])</f>
        <v>JR007</v>
      </c>
      <c r="AA1206" t="s">
        <v>53</v>
      </c>
      <c r="AB1206" t="str">
        <f>_xlfn.XLOOKUP(Table1[[#This Row],[JobSatisfaction]],Table14[JobSatisfaction],Table14[Id_JobSatisfaction])</f>
        <v>JS003</v>
      </c>
      <c r="AC1206">
        <v>3</v>
      </c>
      <c r="AD1206" t="str">
        <f>_xlfn.XLOOKUP(Table1[[#This Row],[JobSatisfaction]],Table14[JobSatisfaction],Table14[Deskripsi])</f>
        <v>High</v>
      </c>
      <c r="AE1206" t="str">
        <f>_xlfn.XLOOKUP(Table1[[#This Row],[MaritalStatus]],Table15[MaritalStatus],Table15[Id_MaritalStatus])</f>
        <v>MS002</v>
      </c>
      <c r="AF1206" t="s">
        <v>56</v>
      </c>
      <c r="AG1206">
        <v>2655</v>
      </c>
      <c r="AH1206">
        <v>11740</v>
      </c>
      <c r="AI1206">
        <v>2</v>
      </c>
      <c r="AJ1206" t="str">
        <f>_xlfn.XLOOKUP(Table1[[#This Row],[OverTime]],Table16[OverTime],Table16[Id_OverTime])</f>
        <v>OT001</v>
      </c>
      <c r="AK1206" t="s">
        <v>32</v>
      </c>
      <c r="AL1206">
        <v>11</v>
      </c>
      <c r="AM1206" t="str">
        <f>_xlfn.XLOOKUP(Table1[[#This Row],[PerformanceRating]],Table17[PerformanceRating],Table17[Id_PerformanceRating])</f>
        <v>PR003</v>
      </c>
      <c r="AN1206">
        <v>3</v>
      </c>
      <c r="AO1206" t="str">
        <f>_xlfn.XLOOKUP(Table1[[#This Row],[PerformanceRating]],Table17[PerformanceRating],Table17[Deskripsi])</f>
        <v>Excellent</v>
      </c>
      <c r="AP1206" t="str">
        <f>_xlfn.XLOOKUP(Table1[[#This Row],[RelationshipSatisfaction]],Table18[RelationshipSatisfaction],Table18[Id_RelationshipSatisfaction])</f>
        <v>RS003</v>
      </c>
      <c r="AQ1206">
        <v>3</v>
      </c>
      <c r="AR1206" t="str">
        <f>_xlfn.XLOOKUP(Table1[[#This Row],[RelationshipSatisfaction]],Table18[RelationshipSatisfaction],Table18[Deskripsi])</f>
        <v>High</v>
      </c>
      <c r="AS1206" t="str">
        <f>_xlfn.XLOOKUP(Table1[[#This Row],[StockOptionLevel]],Table19[StockOptionLevel],Table19[Id_StockOptionLevel])</f>
        <v>SOL003</v>
      </c>
      <c r="AT1206">
        <v>2</v>
      </c>
      <c r="AU1206" t="str">
        <f>_xlfn.XLOOKUP(Table1[[#This Row],[StockOptionLevel]],Table19[StockOptionLevel],Table19[Deskripsi])</f>
        <v>Intermediate</v>
      </c>
      <c r="AV1206">
        <v>19</v>
      </c>
      <c r="AW1206">
        <v>3</v>
      </c>
      <c r="AX1206" t="str">
        <f>_xlfn.XLOOKUP(Table1[[#This Row],[WorkLifeBalance]],Table20[WorkLifeBalance],Table20[Id_WorkLifeBalance])</f>
        <v>WLB002</v>
      </c>
      <c r="AY1206">
        <v>3</v>
      </c>
      <c r="AZ1206" t="str">
        <f>_xlfn.XLOOKUP(Table1[[#This Row],[WorkLifeBalance]],Table20[WorkLifeBalance],Table20[Deskripsi])</f>
        <v>Good</v>
      </c>
      <c r="BA1206">
        <v>9</v>
      </c>
      <c r="BB1206">
        <v>7</v>
      </c>
      <c r="BC1206">
        <v>7</v>
      </c>
      <c r="BD1206">
        <v>7</v>
      </c>
    </row>
    <row r="1207" spans="1:56" x14ac:dyDescent="0.25">
      <c r="A1207">
        <v>32</v>
      </c>
      <c r="B1207" t="str">
        <f>_xlfn.XLOOKUP(Table1[[#This Row],[Attrition]],Table2[Attrition],Table2[Id_Attrition])</f>
        <v>A001</v>
      </c>
      <c r="C1207" t="s">
        <v>32</v>
      </c>
      <c r="D1207" t="str">
        <f>_xlfn.XLOOKUP(Table1[[#This Row],[BusinessTravel]],Table5[BusinessTravel],Table5[Id_BusinessTravel])</f>
        <v>BS001</v>
      </c>
      <c r="E1207" t="s">
        <v>34</v>
      </c>
      <c r="F1207">
        <v>1259</v>
      </c>
      <c r="G1207" t="str">
        <f>_xlfn.XLOOKUP(Table1[[#This Row],[Department]],Table6[Department],Table6[Id_Departement])</f>
        <v>D002</v>
      </c>
      <c r="H1207" t="s">
        <v>38</v>
      </c>
      <c r="I1207">
        <v>2</v>
      </c>
      <c r="J1207" t="str">
        <f>_xlfn.XLOOKUP(Table1[[#This Row],[Education]],Table8[Education],Table8[Id_Education])</f>
        <v>E004</v>
      </c>
      <c r="K1207">
        <v>4</v>
      </c>
      <c r="L1207" t="str">
        <f>_xlfn.XLOOKUP(Table1[[#This Row],[EducationField]],Table7[EducationField],Table7[Id_EducationField])</f>
        <v>EF001</v>
      </c>
      <c r="M1207" t="s">
        <v>40</v>
      </c>
      <c r="N1207" t="str">
        <f>_xlfn.XLOOKUP(Table1[[#This Row],[EmployeeNumber]],Table4[EmployeeNumber],Table4[Id_Employee])</f>
        <v>EMP01206</v>
      </c>
      <c r="O1207">
        <v>1692</v>
      </c>
      <c r="P1207" t="str">
        <f>_xlfn.XLOOKUP(Table1[[#This Row],[EnvironmentSatisfaction]],Table9[EnvironmentSatisfaction],Table9[Id_EnviromentSatisfaction])</f>
        <v>ES004</v>
      </c>
      <c r="Q1207">
        <v>4</v>
      </c>
      <c r="R1207" t="str">
        <f>_xlfn.XLOOKUP(Table1[[#This Row],[EnvironmentSatisfaction]],Table9[EnvironmentSatisfaction],Table9[Deskripsi])</f>
        <v>Very High</v>
      </c>
      <c r="S1207" t="str">
        <f>_xlfn.XLOOKUP(Table1[[#This Row],[Gender]],Table10[Gender],Table10[Id_Gender])</f>
        <v>G002</v>
      </c>
      <c r="T1207" t="s">
        <v>46</v>
      </c>
      <c r="U1207">
        <v>95</v>
      </c>
      <c r="V1207" t="str">
        <f>_xlfn.XLOOKUP(Table1[[#This Row],[JobInvolvement]],Table11[JobInvolvement],Table11[Id_JobInvolvement])</f>
        <v>JI003</v>
      </c>
      <c r="W1207">
        <v>3</v>
      </c>
      <c r="X1207" t="str">
        <f>_xlfn.XLOOKUP(Table1[[#This Row],[JobLevel]],Table12[JobLevel],Table12[Id_JobLevel])</f>
        <v>JL001</v>
      </c>
      <c r="Y1207">
        <v>1</v>
      </c>
      <c r="Z1207" t="str">
        <f>_xlfn.XLOOKUP(Table1[[#This Row],[JobRole]],Table13[JobRole],Table13[Id_JobRole])</f>
        <v>JR003</v>
      </c>
      <c r="AA1207" t="s">
        <v>49</v>
      </c>
      <c r="AB1207" t="str">
        <f>_xlfn.XLOOKUP(Table1[[#This Row],[JobSatisfaction]],Table14[JobSatisfaction],Table14[Id_JobSatisfaction])</f>
        <v>JS002</v>
      </c>
      <c r="AC1207">
        <v>2</v>
      </c>
      <c r="AD1207" t="str">
        <f>_xlfn.XLOOKUP(Table1[[#This Row],[JobSatisfaction]],Table14[JobSatisfaction],Table14[Deskripsi])</f>
        <v>Medium</v>
      </c>
      <c r="AE1207" t="str">
        <f>_xlfn.XLOOKUP(Table1[[#This Row],[MaritalStatus]],Table15[MaritalStatus],Table15[Id_MaritalStatus])</f>
        <v>MS001</v>
      </c>
      <c r="AF1207" t="s">
        <v>55</v>
      </c>
      <c r="AG1207">
        <v>1393</v>
      </c>
      <c r="AH1207">
        <v>24852</v>
      </c>
      <c r="AI1207">
        <v>1</v>
      </c>
      <c r="AJ1207" t="str">
        <f>_xlfn.XLOOKUP(Table1[[#This Row],[OverTime]],Table16[OverTime],Table16[Id_OverTime])</f>
        <v>OT002</v>
      </c>
      <c r="AK1207" t="s">
        <v>33</v>
      </c>
      <c r="AL1207">
        <v>12</v>
      </c>
      <c r="AM1207" t="str">
        <f>_xlfn.XLOOKUP(Table1[[#This Row],[PerformanceRating]],Table17[PerformanceRating],Table17[Id_PerformanceRating])</f>
        <v>PR003</v>
      </c>
      <c r="AN1207">
        <v>3</v>
      </c>
      <c r="AO1207" t="str">
        <f>_xlfn.XLOOKUP(Table1[[#This Row],[PerformanceRating]],Table17[PerformanceRating],Table17[Deskripsi])</f>
        <v>Excellent</v>
      </c>
      <c r="AP1207" t="str">
        <f>_xlfn.XLOOKUP(Table1[[#This Row],[RelationshipSatisfaction]],Table18[RelationshipSatisfaction],Table18[Id_RelationshipSatisfaction])</f>
        <v>RS001</v>
      </c>
      <c r="AQ1207">
        <v>1</v>
      </c>
      <c r="AR1207" t="str">
        <f>_xlfn.XLOOKUP(Table1[[#This Row],[RelationshipSatisfaction]],Table18[RelationshipSatisfaction],Table18[Deskripsi])</f>
        <v>Low</v>
      </c>
      <c r="AS1207" t="str">
        <f>_xlfn.XLOOKUP(Table1[[#This Row],[StockOptionLevel]],Table19[StockOptionLevel],Table19[Id_StockOptionLevel])</f>
        <v>SOL001</v>
      </c>
      <c r="AT1207">
        <v>0</v>
      </c>
      <c r="AU1207" t="str">
        <f>_xlfn.XLOOKUP(Table1[[#This Row],[StockOptionLevel]],Table19[StockOptionLevel],Table19[Deskripsi])</f>
        <v>Non-Eligible</v>
      </c>
      <c r="AV1207">
        <v>1</v>
      </c>
      <c r="AW1207">
        <v>2</v>
      </c>
      <c r="AX1207" t="str">
        <f>_xlfn.XLOOKUP(Table1[[#This Row],[WorkLifeBalance]],Table20[WorkLifeBalance],Table20[Id_WorkLifeBalance])</f>
        <v>WLB002</v>
      </c>
      <c r="AY1207">
        <v>3</v>
      </c>
      <c r="AZ1207" t="str">
        <f>_xlfn.XLOOKUP(Table1[[#This Row],[WorkLifeBalance]],Table20[WorkLifeBalance],Table20[Deskripsi])</f>
        <v>Good</v>
      </c>
      <c r="BA1207">
        <v>1</v>
      </c>
      <c r="BB1207">
        <v>0</v>
      </c>
      <c r="BC1207">
        <v>0</v>
      </c>
      <c r="BD1207">
        <v>0</v>
      </c>
    </row>
    <row r="1208" spans="1:56" x14ac:dyDescent="0.25">
      <c r="A1208">
        <v>26</v>
      </c>
      <c r="B1208" t="str">
        <f>_xlfn.XLOOKUP(Table1[[#This Row],[Attrition]],Table2[Attrition],Table2[Id_Attrition])</f>
        <v>A002</v>
      </c>
      <c r="C1208" t="s">
        <v>33</v>
      </c>
      <c r="D1208" t="str">
        <f>_xlfn.XLOOKUP(Table1[[#This Row],[BusinessTravel]],Table5[BusinessTravel],Table5[Id_BusinessTravel])</f>
        <v>BS003</v>
      </c>
      <c r="E1208" t="s">
        <v>36</v>
      </c>
      <c r="F1208">
        <v>786</v>
      </c>
      <c r="G1208" t="str">
        <f>_xlfn.XLOOKUP(Table1[[#This Row],[Department]],Table6[Department],Table6[Id_Departement])</f>
        <v>D002</v>
      </c>
      <c r="H1208" t="s">
        <v>38</v>
      </c>
      <c r="I1208">
        <v>7</v>
      </c>
      <c r="J1208" t="str">
        <f>_xlfn.XLOOKUP(Table1[[#This Row],[Education]],Table8[Education],Table8[Id_Education])</f>
        <v>E003</v>
      </c>
      <c r="K1208">
        <v>3</v>
      </c>
      <c r="L1208" t="str">
        <f>_xlfn.XLOOKUP(Table1[[#This Row],[EducationField]],Table7[EducationField],Table7[Id_EducationField])</f>
        <v>EF003</v>
      </c>
      <c r="M1208" t="s">
        <v>42</v>
      </c>
      <c r="N1208" t="str">
        <f>_xlfn.XLOOKUP(Table1[[#This Row],[EmployeeNumber]],Table4[EmployeeNumber],Table4[Id_Employee])</f>
        <v>EMP01207</v>
      </c>
      <c r="O1208">
        <v>1693</v>
      </c>
      <c r="P1208" t="str">
        <f>_xlfn.XLOOKUP(Table1[[#This Row],[EnvironmentSatisfaction]],Table9[EnvironmentSatisfaction],Table9[Id_EnviromentSatisfaction])</f>
        <v>ES004</v>
      </c>
      <c r="Q1208">
        <v>4</v>
      </c>
      <c r="R1208" t="str">
        <f>_xlfn.XLOOKUP(Table1[[#This Row],[EnvironmentSatisfaction]],Table9[EnvironmentSatisfaction],Table9[Deskripsi])</f>
        <v>Very High</v>
      </c>
      <c r="S1208" t="str">
        <f>_xlfn.XLOOKUP(Table1[[#This Row],[Gender]],Table10[Gender],Table10[Id_Gender])</f>
        <v>G002</v>
      </c>
      <c r="T1208" t="s">
        <v>46</v>
      </c>
      <c r="U1208">
        <v>76</v>
      </c>
      <c r="V1208" t="str">
        <f>_xlfn.XLOOKUP(Table1[[#This Row],[JobInvolvement]],Table11[JobInvolvement],Table11[Id_JobInvolvement])</f>
        <v>JI003</v>
      </c>
      <c r="W1208">
        <v>3</v>
      </c>
      <c r="X1208" t="str">
        <f>_xlfn.XLOOKUP(Table1[[#This Row],[JobLevel]],Table12[JobLevel],Table12[Id_JobLevel])</f>
        <v>JL001</v>
      </c>
      <c r="Y1208">
        <v>1</v>
      </c>
      <c r="Z1208" t="str">
        <f>_xlfn.XLOOKUP(Table1[[#This Row],[JobRole]],Table13[JobRole],Table13[Id_JobRole])</f>
        <v>JR003</v>
      </c>
      <c r="AA1208" t="s">
        <v>49</v>
      </c>
      <c r="AB1208" t="str">
        <f>_xlfn.XLOOKUP(Table1[[#This Row],[JobSatisfaction]],Table14[JobSatisfaction],Table14[Id_JobSatisfaction])</f>
        <v>JS004</v>
      </c>
      <c r="AC1208">
        <v>4</v>
      </c>
      <c r="AD1208" t="str">
        <f>_xlfn.XLOOKUP(Table1[[#This Row],[JobSatisfaction]],Table14[JobSatisfaction],Table14[Deskripsi])</f>
        <v>Very High</v>
      </c>
      <c r="AE1208" t="str">
        <f>_xlfn.XLOOKUP(Table1[[#This Row],[MaritalStatus]],Table15[MaritalStatus],Table15[Id_MaritalStatus])</f>
        <v>MS001</v>
      </c>
      <c r="AF1208" t="s">
        <v>55</v>
      </c>
      <c r="AG1208">
        <v>2570</v>
      </c>
      <c r="AH1208">
        <v>11925</v>
      </c>
      <c r="AI1208">
        <v>1</v>
      </c>
      <c r="AJ1208" t="str">
        <f>_xlfn.XLOOKUP(Table1[[#This Row],[OverTime]],Table16[OverTime],Table16[Id_OverTime])</f>
        <v>OT002</v>
      </c>
      <c r="AK1208" t="s">
        <v>33</v>
      </c>
      <c r="AL1208">
        <v>20</v>
      </c>
      <c r="AM1208" t="str">
        <f>_xlfn.XLOOKUP(Table1[[#This Row],[PerformanceRating]],Table17[PerformanceRating],Table17[Id_PerformanceRating])</f>
        <v>PR004</v>
      </c>
      <c r="AN1208">
        <v>4</v>
      </c>
      <c r="AO1208" t="str">
        <f>_xlfn.XLOOKUP(Table1[[#This Row],[PerformanceRating]],Table17[PerformanceRating],Table17[Deskripsi])</f>
        <v>Outstanding</v>
      </c>
      <c r="AP1208" t="str">
        <f>_xlfn.XLOOKUP(Table1[[#This Row],[RelationshipSatisfaction]],Table18[RelationshipSatisfaction],Table18[Id_RelationshipSatisfaction])</f>
        <v>RS003</v>
      </c>
      <c r="AQ1208">
        <v>3</v>
      </c>
      <c r="AR1208" t="str">
        <f>_xlfn.XLOOKUP(Table1[[#This Row],[RelationshipSatisfaction]],Table18[RelationshipSatisfaction],Table18[Deskripsi])</f>
        <v>High</v>
      </c>
      <c r="AS1208" t="str">
        <f>_xlfn.XLOOKUP(Table1[[#This Row],[StockOptionLevel]],Table19[StockOptionLevel],Table19[Id_StockOptionLevel])</f>
        <v>SOL001</v>
      </c>
      <c r="AT1208">
        <v>0</v>
      </c>
      <c r="AU1208" t="str">
        <f>_xlfn.XLOOKUP(Table1[[#This Row],[StockOptionLevel]],Table19[StockOptionLevel],Table19[Deskripsi])</f>
        <v>Non-Eligible</v>
      </c>
      <c r="AV1208">
        <v>7</v>
      </c>
      <c r="AW1208">
        <v>5</v>
      </c>
      <c r="AX1208" t="str">
        <f>_xlfn.XLOOKUP(Table1[[#This Row],[WorkLifeBalance]],Table20[WorkLifeBalance],Table20[Id_WorkLifeBalance])</f>
        <v>WLB002</v>
      </c>
      <c r="AY1208">
        <v>3</v>
      </c>
      <c r="AZ1208" t="str">
        <f>_xlfn.XLOOKUP(Table1[[#This Row],[WorkLifeBalance]],Table20[WorkLifeBalance],Table20[Deskripsi])</f>
        <v>Good</v>
      </c>
      <c r="BA1208">
        <v>7</v>
      </c>
      <c r="BB1208">
        <v>7</v>
      </c>
      <c r="BC1208">
        <v>5</v>
      </c>
      <c r="BD1208">
        <v>7</v>
      </c>
    </row>
    <row r="1209" spans="1:56" x14ac:dyDescent="0.25">
      <c r="A1209">
        <v>55</v>
      </c>
      <c r="B1209" t="str">
        <f>_xlfn.XLOOKUP(Table1[[#This Row],[Attrition]],Table2[Attrition],Table2[Id_Attrition])</f>
        <v>A002</v>
      </c>
      <c r="C1209" t="s">
        <v>33</v>
      </c>
      <c r="D1209" t="str">
        <f>_xlfn.XLOOKUP(Table1[[#This Row],[BusinessTravel]],Table5[BusinessTravel],Table5[Id_BusinessTravel])</f>
        <v>BS001</v>
      </c>
      <c r="E1209" t="s">
        <v>34</v>
      </c>
      <c r="F1209">
        <v>1441</v>
      </c>
      <c r="G1209" t="str">
        <f>_xlfn.XLOOKUP(Table1[[#This Row],[Department]],Table6[Department],Table6[Id_Departement])</f>
        <v>D002</v>
      </c>
      <c r="H1209" t="s">
        <v>38</v>
      </c>
      <c r="I1209">
        <v>22</v>
      </c>
      <c r="J1209" t="str">
        <f>_xlfn.XLOOKUP(Table1[[#This Row],[Education]],Table8[Education],Table8[Id_Education])</f>
        <v>E003</v>
      </c>
      <c r="K1209">
        <v>3</v>
      </c>
      <c r="L1209" t="str">
        <f>_xlfn.XLOOKUP(Table1[[#This Row],[EducationField]],Table7[EducationField],Table7[Id_EducationField])</f>
        <v>EF005</v>
      </c>
      <c r="M1209" t="s">
        <v>44</v>
      </c>
      <c r="N1209" t="str">
        <f>_xlfn.XLOOKUP(Table1[[#This Row],[EmployeeNumber]],Table4[EmployeeNumber],Table4[Id_Employee])</f>
        <v>EMP01208</v>
      </c>
      <c r="O1209">
        <v>1694</v>
      </c>
      <c r="P1209" t="str">
        <f>_xlfn.XLOOKUP(Table1[[#This Row],[EnvironmentSatisfaction]],Table9[EnvironmentSatisfaction],Table9[Id_EnviromentSatisfaction])</f>
        <v>ES001</v>
      </c>
      <c r="Q1209">
        <v>1</v>
      </c>
      <c r="R1209" t="str">
        <f>_xlfn.XLOOKUP(Table1[[#This Row],[EnvironmentSatisfaction]],Table9[EnvironmentSatisfaction],Table9[Deskripsi])</f>
        <v>Low</v>
      </c>
      <c r="S1209" t="str">
        <f>_xlfn.XLOOKUP(Table1[[#This Row],[Gender]],Table10[Gender],Table10[Id_Gender])</f>
        <v>G002</v>
      </c>
      <c r="T1209" t="s">
        <v>46</v>
      </c>
      <c r="U1209">
        <v>94</v>
      </c>
      <c r="V1209" t="str">
        <f>_xlfn.XLOOKUP(Table1[[#This Row],[JobInvolvement]],Table11[JobInvolvement],Table11[Id_JobInvolvement])</f>
        <v>JI002</v>
      </c>
      <c r="W1209">
        <v>2</v>
      </c>
      <c r="X1209" t="str">
        <f>_xlfn.XLOOKUP(Table1[[#This Row],[JobLevel]],Table12[JobLevel],Table12[Id_JobLevel])</f>
        <v>JL001</v>
      </c>
      <c r="Y1209">
        <v>1</v>
      </c>
      <c r="Z1209" t="str">
        <f>_xlfn.XLOOKUP(Table1[[#This Row],[JobRole]],Table13[JobRole],Table13[Id_JobRole])</f>
        <v>JR002</v>
      </c>
      <c r="AA1209" t="s">
        <v>48</v>
      </c>
      <c r="AB1209" t="str">
        <f>_xlfn.XLOOKUP(Table1[[#This Row],[JobSatisfaction]],Table14[JobSatisfaction],Table14[Id_JobSatisfaction])</f>
        <v>JS002</v>
      </c>
      <c r="AC1209">
        <v>2</v>
      </c>
      <c r="AD1209" t="str">
        <f>_xlfn.XLOOKUP(Table1[[#This Row],[JobSatisfaction]],Table14[JobSatisfaction],Table14[Deskripsi])</f>
        <v>Medium</v>
      </c>
      <c r="AE1209" t="str">
        <f>_xlfn.XLOOKUP(Table1[[#This Row],[MaritalStatus]],Table15[MaritalStatus],Table15[Id_MaritalStatus])</f>
        <v>MS003</v>
      </c>
      <c r="AF1209" t="s">
        <v>57</v>
      </c>
      <c r="AG1209">
        <v>3537</v>
      </c>
      <c r="AH1209">
        <v>23737</v>
      </c>
      <c r="AI1209">
        <v>5</v>
      </c>
      <c r="AJ1209" t="str">
        <f>_xlfn.XLOOKUP(Table1[[#This Row],[OverTime]],Table16[OverTime],Table16[Id_OverTime])</f>
        <v>OT002</v>
      </c>
      <c r="AK1209" t="s">
        <v>33</v>
      </c>
      <c r="AL1209">
        <v>12</v>
      </c>
      <c r="AM1209" t="str">
        <f>_xlfn.XLOOKUP(Table1[[#This Row],[PerformanceRating]],Table17[PerformanceRating],Table17[Id_PerformanceRating])</f>
        <v>PR003</v>
      </c>
      <c r="AN1209">
        <v>3</v>
      </c>
      <c r="AO1209" t="str">
        <f>_xlfn.XLOOKUP(Table1[[#This Row],[PerformanceRating]],Table17[PerformanceRating],Table17[Deskripsi])</f>
        <v>Excellent</v>
      </c>
      <c r="AP1209" t="str">
        <f>_xlfn.XLOOKUP(Table1[[#This Row],[RelationshipSatisfaction]],Table18[RelationshipSatisfaction],Table18[Id_RelationshipSatisfaction])</f>
        <v>RS004</v>
      </c>
      <c r="AQ1209">
        <v>4</v>
      </c>
      <c r="AR1209" t="str">
        <f>_xlfn.XLOOKUP(Table1[[#This Row],[RelationshipSatisfaction]],Table18[RelationshipSatisfaction],Table18[Deskripsi])</f>
        <v>Very High</v>
      </c>
      <c r="AS1209" t="str">
        <f>_xlfn.XLOOKUP(Table1[[#This Row],[StockOptionLevel]],Table19[StockOptionLevel],Table19[Id_StockOptionLevel])</f>
        <v>SOL002</v>
      </c>
      <c r="AT1209">
        <v>1</v>
      </c>
      <c r="AU1209" t="str">
        <f>_xlfn.XLOOKUP(Table1[[#This Row],[StockOptionLevel]],Table19[StockOptionLevel],Table19[Deskripsi])</f>
        <v>Standard</v>
      </c>
      <c r="AV1209">
        <v>8</v>
      </c>
      <c r="AW1209">
        <v>1</v>
      </c>
      <c r="AX1209" t="str">
        <f>_xlfn.XLOOKUP(Table1[[#This Row],[WorkLifeBalance]],Table20[WorkLifeBalance],Table20[Id_WorkLifeBalance])</f>
        <v>WLB002</v>
      </c>
      <c r="AY1209">
        <v>3</v>
      </c>
      <c r="AZ1209" t="str">
        <f>_xlfn.XLOOKUP(Table1[[#This Row],[WorkLifeBalance]],Table20[WorkLifeBalance],Table20[Deskripsi])</f>
        <v>Good</v>
      </c>
      <c r="BA1209">
        <v>4</v>
      </c>
      <c r="BB1209">
        <v>2</v>
      </c>
      <c r="BC1209">
        <v>1</v>
      </c>
      <c r="BD1209">
        <v>2</v>
      </c>
    </row>
    <row r="1210" spans="1:56" x14ac:dyDescent="0.25">
      <c r="A1210">
        <v>34</v>
      </c>
      <c r="B1210" t="str">
        <f>_xlfn.XLOOKUP(Table1[[#This Row],[Attrition]],Table2[Attrition],Table2[Id_Attrition])</f>
        <v>A002</v>
      </c>
      <c r="C1210" t="s">
        <v>33</v>
      </c>
      <c r="D1210" t="str">
        <f>_xlfn.XLOOKUP(Table1[[#This Row],[BusinessTravel]],Table5[BusinessTravel],Table5[Id_BusinessTravel])</f>
        <v>BS001</v>
      </c>
      <c r="E1210" t="s">
        <v>34</v>
      </c>
      <c r="F1210">
        <v>1157</v>
      </c>
      <c r="G1210" t="str">
        <f>_xlfn.XLOOKUP(Table1[[#This Row],[Department]],Table6[Department],Table6[Id_Departement])</f>
        <v>D002</v>
      </c>
      <c r="H1210" t="s">
        <v>38</v>
      </c>
      <c r="I1210">
        <v>5</v>
      </c>
      <c r="J1210" t="str">
        <f>_xlfn.XLOOKUP(Table1[[#This Row],[Education]],Table8[Education],Table8[Id_Education])</f>
        <v>E002</v>
      </c>
      <c r="K1210">
        <v>2</v>
      </c>
      <c r="L1210" t="str">
        <f>_xlfn.XLOOKUP(Table1[[#This Row],[EducationField]],Table7[EducationField],Table7[Id_EducationField])</f>
        <v>EF003</v>
      </c>
      <c r="M1210" t="s">
        <v>42</v>
      </c>
      <c r="N1210" t="str">
        <f>_xlfn.XLOOKUP(Table1[[#This Row],[EmployeeNumber]],Table4[EmployeeNumber],Table4[Id_Employee])</f>
        <v>EMP01209</v>
      </c>
      <c r="O1210">
        <v>1696</v>
      </c>
      <c r="P1210" t="str">
        <f>_xlfn.XLOOKUP(Table1[[#This Row],[EnvironmentSatisfaction]],Table9[EnvironmentSatisfaction],Table9[Id_EnviromentSatisfaction])</f>
        <v>ES002</v>
      </c>
      <c r="Q1210">
        <v>2</v>
      </c>
      <c r="R1210" t="str">
        <f>_xlfn.XLOOKUP(Table1[[#This Row],[EnvironmentSatisfaction]],Table9[EnvironmentSatisfaction],Table9[Deskripsi])</f>
        <v>Medium</v>
      </c>
      <c r="S1210" t="str">
        <f>_xlfn.XLOOKUP(Table1[[#This Row],[Gender]],Table10[Gender],Table10[Id_Gender])</f>
        <v>G002</v>
      </c>
      <c r="T1210" t="s">
        <v>46</v>
      </c>
      <c r="U1210">
        <v>57</v>
      </c>
      <c r="V1210" t="str">
        <f>_xlfn.XLOOKUP(Table1[[#This Row],[JobInvolvement]],Table11[JobInvolvement],Table11[Id_JobInvolvement])</f>
        <v>JI002</v>
      </c>
      <c r="W1210">
        <v>2</v>
      </c>
      <c r="X1210" t="str">
        <f>_xlfn.XLOOKUP(Table1[[#This Row],[JobLevel]],Table12[JobLevel],Table12[Id_JobLevel])</f>
        <v>JL002</v>
      </c>
      <c r="Y1210">
        <v>2</v>
      </c>
      <c r="Z1210" t="str">
        <f>_xlfn.XLOOKUP(Table1[[#This Row],[JobRole]],Table13[JobRole],Table13[Id_JobRole])</f>
        <v>JR003</v>
      </c>
      <c r="AA1210" t="s">
        <v>49</v>
      </c>
      <c r="AB1210" t="str">
        <f>_xlfn.XLOOKUP(Table1[[#This Row],[JobSatisfaction]],Table14[JobSatisfaction],Table14[Id_JobSatisfaction])</f>
        <v>JS004</v>
      </c>
      <c r="AC1210">
        <v>4</v>
      </c>
      <c r="AD1210" t="str">
        <f>_xlfn.XLOOKUP(Table1[[#This Row],[JobSatisfaction]],Table14[JobSatisfaction],Table14[Deskripsi])</f>
        <v>Very High</v>
      </c>
      <c r="AE1210" t="str">
        <f>_xlfn.XLOOKUP(Table1[[#This Row],[MaritalStatus]],Table15[MaritalStatus],Table15[Id_MaritalStatus])</f>
        <v>MS002</v>
      </c>
      <c r="AF1210" t="s">
        <v>56</v>
      </c>
      <c r="AG1210">
        <v>3986</v>
      </c>
      <c r="AH1210">
        <v>11912</v>
      </c>
      <c r="AI1210">
        <v>1</v>
      </c>
      <c r="AJ1210" t="str">
        <f>_xlfn.XLOOKUP(Table1[[#This Row],[OverTime]],Table16[OverTime],Table16[Id_OverTime])</f>
        <v>OT002</v>
      </c>
      <c r="AK1210" t="s">
        <v>33</v>
      </c>
      <c r="AL1210">
        <v>14</v>
      </c>
      <c r="AM1210" t="str">
        <f>_xlfn.XLOOKUP(Table1[[#This Row],[PerformanceRating]],Table17[PerformanceRating],Table17[Id_PerformanceRating])</f>
        <v>PR003</v>
      </c>
      <c r="AN1210">
        <v>3</v>
      </c>
      <c r="AO1210" t="str">
        <f>_xlfn.XLOOKUP(Table1[[#This Row],[PerformanceRating]],Table17[PerformanceRating],Table17[Deskripsi])</f>
        <v>Excellent</v>
      </c>
      <c r="AP1210" t="str">
        <f>_xlfn.XLOOKUP(Table1[[#This Row],[RelationshipSatisfaction]],Table18[RelationshipSatisfaction],Table18[Id_RelationshipSatisfaction])</f>
        <v>RS003</v>
      </c>
      <c r="AQ1210">
        <v>3</v>
      </c>
      <c r="AR1210" t="str">
        <f>_xlfn.XLOOKUP(Table1[[#This Row],[RelationshipSatisfaction]],Table18[RelationshipSatisfaction],Table18[Deskripsi])</f>
        <v>High</v>
      </c>
      <c r="AS1210" t="str">
        <f>_xlfn.XLOOKUP(Table1[[#This Row],[StockOptionLevel]],Table19[StockOptionLevel],Table19[Id_StockOptionLevel])</f>
        <v>SOL002</v>
      </c>
      <c r="AT1210">
        <v>1</v>
      </c>
      <c r="AU1210" t="str">
        <f>_xlfn.XLOOKUP(Table1[[#This Row],[StockOptionLevel]],Table19[StockOptionLevel],Table19[Deskripsi])</f>
        <v>Standard</v>
      </c>
      <c r="AV1210">
        <v>15</v>
      </c>
      <c r="AW1210">
        <v>3</v>
      </c>
      <c r="AX1210" t="str">
        <f>_xlfn.XLOOKUP(Table1[[#This Row],[WorkLifeBalance]],Table20[WorkLifeBalance],Table20[Id_WorkLifeBalance])</f>
        <v>WLB004</v>
      </c>
      <c r="AY1210">
        <v>4</v>
      </c>
      <c r="AZ1210" t="str">
        <f>_xlfn.XLOOKUP(Table1[[#This Row],[WorkLifeBalance]],Table20[WorkLifeBalance],Table20[Deskripsi])</f>
        <v>Best</v>
      </c>
      <c r="BA1210">
        <v>15</v>
      </c>
      <c r="BB1210">
        <v>10</v>
      </c>
      <c r="BC1210">
        <v>4</v>
      </c>
      <c r="BD1210">
        <v>13</v>
      </c>
    </row>
    <row r="1211" spans="1:56" x14ac:dyDescent="0.25">
      <c r="A1211">
        <v>60</v>
      </c>
      <c r="B1211" t="str">
        <f>_xlfn.XLOOKUP(Table1[[#This Row],[Attrition]],Table2[Attrition],Table2[Id_Attrition])</f>
        <v>A002</v>
      </c>
      <c r="C1211" t="s">
        <v>33</v>
      </c>
      <c r="D1211" t="str">
        <f>_xlfn.XLOOKUP(Table1[[#This Row],[BusinessTravel]],Table5[BusinessTravel],Table5[Id_BusinessTravel])</f>
        <v>BS001</v>
      </c>
      <c r="E1211" t="s">
        <v>34</v>
      </c>
      <c r="F1211">
        <v>370</v>
      </c>
      <c r="G1211" t="str">
        <f>_xlfn.XLOOKUP(Table1[[#This Row],[Department]],Table6[Department],Table6[Id_Departement])</f>
        <v>D002</v>
      </c>
      <c r="H1211" t="s">
        <v>38</v>
      </c>
      <c r="I1211">
        <v>1</v>
      </c>
      <c r="J1211" t="str">
        <f>_xlfn.XLOOKUP(Table1[[#This Row],[Education]],Table8[Education],Table8[Id_Education])</f>
        <v>E004</v>
      </c>
      <c r="K1211">
        <v>4</v>
      </c>
      <c r="L1211" t="str">
        <f>_xlfn.XLOOKUP(Table1[[#This Row],[EducationField]],Table7[EducationField],Table7[Id_EducationField])</f>
        <v>EF003</v>
      </c>
      <c r="M1211" t="s">
        <v>42</v>
      </c>
      <c r="N1211" t="str">
        <f>_xlfn.XLOOKUP(Table1[[#This Row],[EmployeeNumber]],Table4[EmployeeNumber],Table4[Id_Employee])</f>
        <v>EMP01210</v>
      </c>
      <c r="O1211">
        <v>1697</v>
      </c>
      <c r="P1211" t="str">
        <f>_xlfn.XLOOKUP(Table1[[#This Row],[EnvironmentSatisfaction]],Table9[EnvironmentSatisfaction],Table9[Id_EnviromentSatisfaction])</f>
        <v>ES003</v>
      </c>
      <c r="Q1211">
        <v>3</v>
      </c>
      <c r="R1211" t="str">
        <f>_xlfn.XLOOKUP(Table1[[#This Row],[EnvironmentSatisfaction]],Table9[EnvironmentSatisfaction],Table9[Deskripsi])</f>
        <v>High</v>
      </c>
      <c r="S1211" t="str">
        <f>_xlfn.XLOOKUP(Table1[[#This Row],[Gender]],Table10[Gender],Table10[Id_Gender])</f>
        <v>G002</v>
      </c>
      <c r="T1211" t="s">
        <v>46</v>
      </c>
      <c r="U1211">
        <v>92</v>
      </c>
      <c r="V1211" t="str">
        <f>_xlfn.XLOOKUP(Table1[[#This Row],[JobInvolvement]],Table11[JobInvolvement],Table11[Id_JobInvolvement])</f>
        <v>JI001</v>
      </c>
      <c r="W1211">
        <v>1</v>
      </c>
      <c r="X1211" t="str">
        <f>_xlfn.XLOOKUP(Table1[[#This Row],[JobLevel]],Table12[JobLevel],Table12[Id_JobLevel])</f>
        <v>JL003</v>
      </c>
      <c r="Y1211">
        <v>3</v>
      </c>
      <c r="Z1211" t="str">
        <f>_xlfn.XLOOKUP(Table1[[#This Row],[JobRole]],Table13[JobRole],Table13[Id_JobRole])</f>
        <v>JR005</v>
      </c>
      <c r="AA1211" t="s">
        <v>51</v>
      </c>
      <c r="AB1211" t="str">
        <f>_xlfn.XLOOKUP(Table1[[#This Row],[JobSatisfaction]],Table14[JobSatisfaction],Table14[Id_JobSatisfaction])</f>
        <v>JS004</v>
      </c>
      <c r="AC1211">
        <v>4</v>
      </c>
      <c r="AD1211" t="str">
        <f>_xlfn.XLOOKUP(Table1[[#This Row],[JobSatisfaction]],Table14[JobSatisfaction],Table14[Deskripsi])</f>
        <v>Very High</v>
      </c>
      <c r="AE1211" t="str">
        <f>_xlfn.XLOOKUP(Table1[[#This Row],[MaritalStatus]],Table15[MaritalStatus],Table15[Id_MaritalStatus])</f>
        <v>MS003</v>
      </c>
      <c r="AF1211" t="s">
        <v>57</v>
      </c>
      <c r="AG1211">
        <v>10883</v>
      </c>
      <c r="AH1211">
        <v>20467</v>
      </c>
      <c r="AI1211">
        <v>3</v>
      </c>
      <c r="AJ1211" t="str">
        <f>_xlfn.XLOOKUP(Table1[[#This Row],[OverTime]],Table16[OverTime],Table16[Id_OverTime])</f>
        <v>OT002</v>
      </c>
      <c r="AK1211" t="s">
        <v>33</v>
      </c>
      <c r="AL1211">
        <v>20</v>
      </c>
      <c r="AM1211" t="str">
        <f>_xlfn.XLOOKUP(Table1[[#This Row],[PerformanceRating]],Table17[PerformanceRating],Table17[Id_PerformanceRating])</f>
        <v>PR004</v>
      </c>
      <c r="AN1211">
        <v>4</v>
      </c>
      <c r="AO1211" t="str">
        <f>_xlfn.XLOOKUP(Table1[[#This Row],[PerformanceRating]],Table17[PerformanceRating],Table17[Deskripsi])</f>
        <v>Outstanding</v>
      </c>
      <c r="AP1211" t="str">
        <f>_xlfn.XLOOKUP(Table1[[#This Row],[RelationshipSatisfaction]],Table18[RelationshipSatisfaction],Table18[Id_RelationshipSatisfaction])</f>
        <v>RS003</v>
      </c>
      <c r="AQ1211">
        <v>3</v>
      </c>
      <c r="AR1211" t="str">
        <f>_xlfn.XLOOKUP(Table1[[#This Row],[RelationshipSatisfaction]],Table18[RelationshipSatisfaction],Table18[Deskripsi])</f>
        <v>High</v>
      </c>
      <c r="AS1211" t="str">
        <f>_xlfn.XLOOKUP(Table1[[#This Row],[StockOptionLevel]],Table19[StockOptionLevel],Table19[Id_StockOptionLevel])</f>
        <v>SOL002</v>
      </c>
      <c r="AT1211">
        <v>1</v>
      </c>
      <c r="AU1211" t="str">
        <f>_xlfn.XLOOKUP(Table1[[#This Row],[StockOptionLevel]],Table19[StockOptionLevel],Table19[Deskripsi])</f>
        <v>Standard</v>
      </c>
      <c r="AV1211">
        <v>19</v>
      </c>
      <c r="AW1211">
        <v>2</v>
      </c>
      <c r="AX1211" t="str">
        <f>_xlfn.XLOOKUP(Table1[[#This Row],[WorkLifeBalance]],Table20[WorkLifeBalance],Table20[Id_WorkLifeBalance])</f>
        <v>WLB004</v>
      </c>
      <c r="AY1211">
        <v>4</v>
      </c>
      <c r="AZ1211" t="str">
        <f>_xlfn.XLOOKUP(Table1[[#This Row],[WorkLifeBalance]],Table20[WorkLifeBalance],Table20[Deskripsi])</f>
        <v>Best</v>
      </c>
      <c r="BA1211">
        <v>1</v>
      </c>
      <c r="BB1211">
        <v>0</v>
      </c>
      <c r="BC1211">
        <v>0</v>
      </c>
      <c r="BD1211">
        <v>0</v>
      </c>
    </row>
    <row r="1212" spans="1:56" x14ac:dyDescent="0.25">
      <c r="A1212">
        <v>33</v>
      </c>
      <c r="B1212" t="str">
        <f>_xlfn.XLOOKUP(Table1[[#This Row],[Attrition]],Table2[Attrition],Table2[Id_Attrition])</f>
        <v>A002</v>
      </c>
      <c r="C1212" t="s">
        <v>33</v>
      </c>
      <c r="D1212" t="str">
        <f>_xlfn.XLOOKUP(Table1[[#This Row],[BusinessTravel]],Table5[BusinessTravel],Table5[Id_BusinessTravel])</f>
        <v>BS001</v>
      </c>
      <c r="E1212" t="s">
        <v>34</v>
      </c>
      <c r="F1212">
        <v>267</v>
      </c>
      <c r="G1212" t="str">
        <f>_xlfn.XLOOKUP(Table1[[#This Row],[Department]],Table6[Department],Table6[Id_Departement])</f>
        <v>D002</v>
      </c>
      <c r="H1212" t="s">
        <v>38</v>
      </c>
      <c r="I1212">
        <v>21</v>
      </c>
      <c r="J1212" t="str">
        <f>_xlfn.XLOOKUP(Table1[[#This Row],[Education]],Table8[Education],Table8[Id_Education])</f>
        <v>E003</v>
      </c>
      <c r="K1212">
        <v>3</v>
      </c>
      <c r="L1212" t="str">
        <f>_xlfn.XLOOKUP(Table1[[#This Row],[EducationField]],Table7[EducationField],Table7[Id_EducationField])</f>
        <v>EF003</v>
      </c>
      <c r="M1212" t="s">
        <v>42</v>
      </c>
      <c r="N1212" t="str">
        <f>_xlfn.XLOOKUP(Table1[[#This Row],[EmployeeNumber]],Table4[EmployeeNumber],Table4[Id_Employee])</f>
        <v>EMP01211</v>
      </c>
      <c r="O1212">
        <v>1698</v>
      </c>
      <c r="P1212" t="str">
        <f>_xlfn.XLOOKUP(Table1[[#This Row],[EnvironmentSatisfaction]],Table9[EnvironmentSatisfaction],Table9[Id_EnviromentSatisfaction])</f>
        <v>ES002</v>
      </c>
      <c r="Q1212">
        <v>2</v>
      </c>
      <c r="R1212" t="str">
        <f>_xlfn.XLOOKUP(Table1[[#This Row],[EnvironmentSatisfaction]],Table9[EnvironmentSatisfaction],Table9[Deskripsi])</f>
        <v>Medium</v>
      </c>
      <c r="S1212" t="str">
        <f>_xlfn.XLOOKUP(Table1[[#This Row],[Gender]],Table10[Gender],Table10[Id_Gender])</f>
        <v>G002</v>
      </c>
      <c r="T1212" t="s">
        <v>46</v>
      </c>
      <c r="U1212">
        <v>79</v>
      </c>
      <c r="V1212" t="str">
        <f>_xlfn.XLOOKUP(Table1[[#This Row],[JobInvolvement]],Table11[JobInvolvement],Table11[Id_JobInvolvement])</f>
        <v>JI004</v>
      </c>
      <c r="W1212">
        <v>4</v>
      </c>
      <c r="X1212" t="str">
        <f>_xlfn.XLOOKUP(Table1[[#This Row],[JobLevel]],Table12[JobLevel],Table12[Id_JobLevel])</f>
        <v>JL001</v>
      </c>
      <c r="Y1212">
        <v>1</v>
      </c>
      <c r="Z1212" t="str">
        <f>_xlfn.XLOOKUP(Table1[[#This Row],[JobRole]],Table13[JobRole],Table13[Id_JobRole])</f>
        <v>JR003</v>
      </c>
      <c r="AA1212" t="s">
        <v>49</v>
      </c>
      <c r="AB1212" t="str">
        <f>_xlfn.XLOOKUP(Table1[[#This Row],[JobSatisfaction]],Table14[JobSatisfaction],Table14[Id_JobSatisfaction])</f>
        <v>JS002</v>
      </c>
      <c r="AC1212">
        <v>2</v>
      </c>
      <c r="AD1212" t="str">
        <f>_xlfn.XLOOKUP(Table1[[#This Row],[JobSatisfaction]],Table14[JobSatisfaction],Table14[Deskripsi])</f>
        <v>Medium</v>
      </c>
      <c r="AE1212" t="str">
        <f>_xlfn.XLOOKUP(Table1[[#This Row],[MaritalStatus]],Table15[MaritalStatus],Table15[Id_MaritalStatus])</f>
        <v>MS002</v>
      </c>
      <c r="AF1212" t="s">
        <v>56</v>
      </c>
      <c r="AG1212">
        <v>2028</v>
      </c>
      <c r="AH1212">
        <v>13637</v>
      </c>
      <c r="AI1212">
        <v>1</v>
      </c>
      <c r="AJ1212" t="str">
        <f>_xlfn.XLOOKUP(Table1[[#This Row],[OverTime]],Table16[OverTime],Table16[Id_OverTime])</f>
        <v>OT002</v>
      </c>
      <c r="AK1212" t="s">
        <v>33</v>
      </c>
      <c r="AL1212">
        <v>18</v>
      </c>
      <c r="AM1212" t="str">
        <f>_xlfn.XLOOKUP(Table1[[#This Row],[PerformanceRating]],Table17[PerformanceRating],Table17[Id_PerformanceRating])</f>
        <v>PR003</v>
      </c>
      <c r="AN1212">
        <v>3</v>
      </c>
      <c r="AO1212" t="str">
        <f>_xlfn.XLOOKUP(Table1[[#This Row],[PerformanceRating]],Table17[PerformanceRating],Table17[Deskripsi])</f>
        <v>Excellent</v>
      </c>
      <c r="AP1212" t="str">
        <f>_xlfn.XLOOKUP(Table1[[#This Row],[RelationshipSatisfaction]],Table18[RelationshipSatisfaction],Table18[Id_RelationshipSatisfaction])</f>
        <v>RS004</v>
      </c>
      <c r="AQ1212">
        <v>4</v>
      </c>
      <c r="AR1212" t="str">
        <f>_xlfn.XLOOKUP(Table1[[#This Row],[RelationshipSatisfaction]],Table18[RelationshipSatisfaction],Table18[Deskripsi])</f>
        <v>Very High</v>
      </c>
      <c r="AS1212" t="str">
        <f>_xlfn.XLOOKUP(Table1[[#This Row],[StockOptionLevel]],Table19[StockOptionLevel],Table19[Id_StockOptionLevel])</f>
        <v>SOL004</v>
      </c>
      <c r="AT1212">
        <v>3</v>
      </c>
      <c r="AU1212" t="str">
        <f>_xlfn.XLOOKUP(Table1[[#This Row],[StockOptionLevel]],Table19[StockOptionLevel],Table19[Deskripsi])</f>
        <v>Senior/Executive</v>
      </c>
      <c r="AV1212">
        <v>14</v>
      </c>
      <c r="AW1212">
        <v>6</v>
      </c>
      <c r="AX1212" t="str">
        <f>_xlfn.XLOOKUP(Table1[[#This Row],[WorkLifeBalance]],Table20[WorkLifeBalance],Table20[Id_WorkLifeBalance])</f>
        <v>WLB002</v>
      </c>
      <c r="AY1212">
        <v>3</v>
      </c>
      <c r="AZ1212" t="str">
        <f>_xlfn.XLOOKUP(Table1[[#This Row],[WorkLifeBalance]],Table20[WorkLifeBalance],Table20[Deskripsi])</f>
        <v>Good</v>
      </c>
      <c r="BA1212">
        <v>14</v>
      </c>
      <c r="BB1212">
        <v>11</v>
      </c>
      <c r="BC1212">
        <v>2</v>
      </c>
      <c r="BD1212">
        <v>13</v>
      </c>
    </row>
    <row r="1213" spans="1:56" x14ac:dyDescent="0.25">
      <c r="A1213">
        <v>37</v>
      </c>
      <c r="B1213" t="str">
        <f>_xlfn.XLOOKUP(Table1[[#This Row],[Attrition]],Table2[Attrition],Table2[Id_Attrition])</f>
        <v>A002</v>
      </c>
      <c r="C1213" t="s">
        <v>33</v>
      </c>
      <c r="D1213" t="str">
        <f>_xlfn.XLOOKUP(Table1[[#This Row],[BusinessTravel]],Table5[BusinessTravel],Table5[Id_BusinessTravel])</f>
        <v>BS002</v>
      </c>
      <c r="E1213" t="s">
        <v>35</v>
      </c>
      <c r="F1213">
        <v>1278</v>
      </c>
      <c r="G1213" t="str">
        <f>_xlfn.XLOOKUP(Table1[[#This Row],[Department]],Table6[Department],Table6[Id_Departement])</f>
        <v>D001</v>
      </c>
      <c r="H1213" t="s">
        <v>37</v>
      </c>
      <c r="I1213">
        <v>1</v>
      </c>
      <c r="J1213" t="str">
        <f>_xlfn.XLOOKUP(Table1[[#This Row],[Education]],Table8[Education],Table8[Id_Education])</f>
        <v>E004</v>
      </c>
      <c r="K1213">
        <v>4</v>
      </c>
      <c r="L1213" t="str">
        <f>_xlfn.XLOOKUP(Table1[[#This Row],[EducationField]],Table7[EducationField],Table7[Id_EducationField])</f>
        <v>EF003</v>
      </c>
      <c r="M1213" t="s">
        <v>42</v>
      </c>
      <c r="N1213" t="str">
        <f>_xlfn.XLOOKUP(Table1[[#This Row],[EmployeeNumber]],Table4[EmployeeNumber],Table4[Id_Employee])</f>
        <v>EMP01212</v>
      </c>
      <c r="O1213">
        <v>1700</v>
      </c>
      <c r="P1213" t="str">
        <f>_xlfn.XLOOKUP(Table1[[#This Row],[EnvironmentSatisfaction]],Table9[EnvironmentSatisfaction],Table9[Id_EnviromentSatisfaction])</f>
        <v>ES003</v>
      </c>
      <c r="Q1213">
        <v>3</v>
      </c>
      <c r="R1213" t="str">
        <f>_xlfn.XLOOKUP(Table1[[#This Row],[EnvironmentSatisfaction]],Table9[EnvironmentSatisfaction],Table9[Deskripsi])</f>
        <v>High</v>
      </c>
      <c r="S1213" t="str">
        <f>_xlfn.XLOOKUP(Table1[[#This Row],[Gender]],Table10[Gender],Table10[Id_Gender])</f>
        <v>G002</v>
      </c>
      <c r="T1213" t="s">
        <v>46</v>
      </c>
      <c r="U1213">
        <v>31</v>
      </c>
      <c r="V1213" t="str">
        <f>_xlfn.XLOOKUP(Table1[[#This Row],[JobInvolvement]],Table11[JobInvolvement],Table11[Id_JobInvolvement])</f>
        <v>JI001</v>
      </c>
      <c r="W1213">
        <v>1</v>
      </c>
      <c r="X1213" t="str">
        <f>_xlfn.XLOOKUP(Table1[[#This Row],[JobLevel]],Table12[JobLevel],Table12[Id_JobLevel])</f>
        <v>JL002</v>
      </c>
      <c r="Y1213">
        <v>2</v>
      </c>
      <c r="Z1213" t="str">
        <f>_xlfn.XLOOKUP(Table1[[#This Row],[JobRole]],Table13[JobRole],Table13[Id_JobRole])</f>
        <v>JR001</v>
      </c>
      <c r="AA1213" t="s">
        <v>47</v>
      </c>
      <c r="AB1213" t="str">
        <f>_xlfn.XLOOKUP(Table1[[#This Row],[JobSatisfaction]],Table14[JobSatisfaction],Table14[Id_JobSatisfaction])</f>
        <v>JS004</v>
      </c>
      <c r="AC1213">
        <v>4</v>
      </c>
      <c r="AD1213" t="str">
        <f>_xlfn.XLOOKUP(Table1[[#This Row],[JobSatisfaction]],Table14[JobSatisfaction],Table14[Deskripsi])</f>
        <v>Very High</v>
      </c>
      <c r="AE1213" t="str">
        <f>_xlfn.XLOOKUP(Table1[[#This Row],[MaritalStatus]],Table15[MaritalStatus],Table15[Id_MaritalStatus])</f>
        <v>MS003</v>
      </c>
      <c r="AF1213" t="s">
        <v>57</v>
      </c>
      <c r="AG1213">
        <v>9525</v>
      </c>
      <c r="AH1213">
        <v>7677</v>
      </c>
      <c r="AI1213">
        <v>1</v>
      </c>
      <c r="AJ1213" t="str">
        <f>_xlfn.XLOOKUP(Table1[[#This Row],[OverTime]],Table16[OverTime],Table16[Id_OverTime])</f>
        <v>OT002</v>
      </c>
      <c r="AK1213" t="s">
        <v>33</v>
      </c>
      <c r="AL1213">
        <v>14</v>
      </c>
      <c r="AM1213" t="str">
        <f>_xlfn.XLOOKUP(Table1[[#This Row],[PerformanceRating]],Table17[PerformanceRating],Table17[Id_PerformanceRating])</f>
        <v>PR003</v>
      </c>
      <c r="AN1213">
        <v>3</v>
      </c>
      <c r="AO1213" t="str">
        <f>_xlfn.XLOOKUP(Table1[[#This Row],[PerformanceRating]],Table17[PerformanceRating],Table17[Deskripsi])</f>
        <v>Excellent</v>
      </c>
      <c r="AP1213" t="str">
        <f>_xlfn.XLOOKUP(Table1[[#This Row],[RelationshipSatisfaction]],Table18[RelationshipSatisfaction],Table18[Id_RelationshipSatisfaction])</f>
        <v>RS003</v>
      </c>
      <c r="AQ1213">
        <v>3</v>
      </c>
      <c r="AR1213" t="str">
        <f>_xlfn.XLOOKUP(Table1[[#This Row],[RelationshipSatisfaction]],Table18[RelationshipSatisfaction],Table18[Deskripsi])</f>
        <v>High</v>
      </c>
      <c r="AS1213" t="str">
        <f>_xlfn.XLOOKUP(Table1[[#This Row],[StockOptionLevel]],Table19[StockOptionLevel],Table19[Id_StockOptionLevel])</f>
        <v>SOL003</v>
      </c>
      <c r="AT1213">
        <v>2</v>
      </c>
      <c r="AU1213" t="str">
        <f>_xlfn.XLOOKUP(Table1[[#This Row],[StockOptionLevel]],Table19[StockOptionLevel],Table19[Deskripsi])</f>
        <v>Intermediate</v>
      </c>
      <c r="AV1213">
        <v>6</v>
      </c>
      <c r="AW1213">
        <v>2</v>
      </c>
      <c r="AX1213" t="str">
        <f>_xlfn.XLOOKUP(Table1[[#This Row],[WorkLifeBalance]],Table20[WorkLifeBalance],Table20[Id_WorkLifeBalance])</f>
        <v>WLB003</v>
      </c>
      <c r="AY1213">
        <v>2</v>
      </c>
      <c r="AZ1213" t="str">
        <f>_xlfn.XLOOKUP(Table1[[#This Row],[WorkLifeBalance]],Table20[WorkLifeBalance],Table20[Deskripsi])</f>
        <v>Better</v>
      </c>
      <c r="BA1213">
        <v>6</v>
      </c>
      <c r="BB1213">
        <v>3</v>
      </c>
      <c r="BC1213">
        <v>1</v>
      </c>
      <c r="BD1213">
        <v>3</v>
      </c>
    </row>
    <row r="1214" spans="1:56" x14ac:dyDescent="0.25">
      <c r="A1214">
        <v>34</v>
      </c>
      <c r="B1214" t="str">
        <f>_xlfn.XLOOKUP(Table1[[#This Row],[Attrition]],Table2[Attrition],Table2[Id_Attrition])</f>
        <v>A002</v>
      </c>
      <c r="C1214" t="s">
        <v>33</v>
      </c>
      <c r="D1214" t="str">
        <f>_xlfn.XLOOKUP(Table1[[#This Row],[BusinessTravel]],Table5[BusinessTravel],Table5[Id_BusinessTravel])</f>
        <v>BS001</v>
      </c>
      <c r="E1214" t="s">
        <v>34</v>
      </c>
      <c r="F1214">
        <v>678</v>
      </c>
      <c r="G1214" t="str">
        <f>_xlfn.XLOOKUP(Table1[[#This Row],[Department]],Table6[Department],Table6[Id_Departement])</f>
        <v>D002</v>
      </c>
      <c r="H1214" t="s">
        <v>38</v>
      </c>
      <c r="I1214">
        <v>19</v>
      </c>
      <c r="J1214" t="str">
        <f>_xlfn.XLOOKUP(Table1[[#This Row],[Education]],Table8[Education],Table8[Id_Education])</f>
        <v>E003</v>
      </c>
      <c r="K1214">
        <v>3</v>
      </c>
      <c r="L1214" t="str">
        <f>_xlfn.XLOOKUP(Table1[[#This Row],[EducationField]],Table7[EducationField],Table7[Id_EducationField])</f>
        <v>EF001</v>
      </c>
      <c r="M1214" t="s">
        <v>40</v>
      </c>
      <c r="N1214" t="str">
        <f>_xlfn.XLOOKUP(Table1[[#This Row],[EmployeeNumber]],Table4[EmployeeNumber],Table4[Id_Employee])</f>
        <v>EMP01213</v>
      </c>
      <c r="O1214">
        <v>1701</v>
      </c>
      <c r="P1214" t="str">
        <f>_xlfn.XLOOKUP(Table1[[#This Row],[EnvironmentSatisfaction]],Table9[EnvironmentSatisfaction],Table9[Id_EnviromentSatisfaction])</f>
        <v>ES002</v>
      </c>
      <c r="Q1214">
        <v>2</v>
      </c>
      <c r="R1214" t="str">
        <f>_xlfn.XLOOKUP(Table1[[#This Row],[EnvironmentSatisfaction]],Table9[EnvironmentSatisfaction],Table9[Deskripsi])</f>
        <v>Medium</v>
      </c>
      <c r="S1214" t="str">
        <f>_xlfn.XLOOKUP(Table1[[#This Row],[Gender]],Table10[Gender],Table10[Id_Gender])</f>
        <v>G001</v>
      </c>
      <c r="T1214" t="s">
        <v>45</v>
      </c>
      <c r="U1214">
        <v>35</v>
      </c>
      <c r="V1214" t="str">
        <f>_xlfn.XLOOKUP(Table1[[#This Row],[JobInvolvement]],Table11[JobInvolvement],Table11[Id_JobInvolvement])</f>
        <v>JI002</v>
      </c>
      <c r="W1214">
        <v>2</v>
      </c>
      <c r="X1214" t="str">
        <f>_xlfn.XLOOKUP(Table1[[#This Row],[JobLevel]],Table12[JobLevel],Table12[Id_JobLevel])</f>
        <v>JL001</v>
      </c>
      <c r="Y1214">
        <v>1</v>
      </c>
      <c r="Z1214" t="str">
        <f>_xlfn.XLOOKUP(Table1[[#This Row],[JobRole]],Table13[JobRole],Table13[Id_JobRole])</f>
        <v>JR002</v>
      </c>
      <c r="AA1214" t="s">
        <v>48</v>
      </c>
      <c r="AB1214" t="str">
        <f>_xlfn.XLOOKUP(Table1[[#This Row],[JobSatisfaction]],Table14[JobSatisfaction],Table14[Id_JobSatisfaction])</f>
        <v>JS004</v>
      </c>
      <c r="AC1214">
        <v>4</v>
      </c>
      <c r="AD1214" t="str">
        <f>_xlfn.XLOOKUP(Table1[[#This Row],[JobSatisfaction]],Table14[JobSatisfaction],Table14[Deskripsi])</f>
        <v>Very High</v>
      </c>
      <c r="AE1214" t="str">
        <f>_xlfn.XLOOKUP(Table1[[#This Row],[MaritalStatus]],Table15[MaritalStatus],Table15[Id_MaritalStatus])</f>
        <v>MS002</v>
      </c>
      <c r="AF1214" t="s">
        <v>56</v>
      </c>
      <c r="AG1214">
        <v>2929</v>
      </c>
      <c r="AH1214">
        <v>20338</v>
      </c>
      <c r="AI1214">
        <v>1</v>
      </c>
      <c r="AJ1214" t="str">
        <f>_xlfn.XLOOKUP(Table1[[#This Row],[OverTime]],Table16[OverTime],Table16[Id_OverTime])</f>
        <v>OT002</v>
      </c>
      <c r="AK1214" t="s">
        <v>33</v>
      </c>
      <c r="AL1214">
        <v>12</v>
      </c>
      <c r="AM1214" t="str">
        <f>_xlfn.XLOOKUP(Table1[[#This Row],[PerformanceRating]],Table17[PerformanceRating],Table17[Id_PerformanceRating])</f>
        <v>PR003</v>
      </c>
      <c r="AN1214">
        <v>3</v>
      </c>
      <c r="AO1214" t="str">
        <f>_xlfn.XLOOKUP(Table1[[#This Row],[PerformanceRating]],Table17[PerformanceRating],Table17[Deskripsi])</f>
        <v>Excellent</v>
      </c>
      <c r="AP1214" t="str">
        <f>_xlfn.XLOOKUP(Table1[[#This Row],[RelationshipSatisfaction]],Table18[RelationshipSatisfaction],Table18[Id_RelationshipSatisfaction])</f>
        <v>RS002</v>
      </c>
      <c r="AQ1214">
        <v>2</v>
      </c>
      <c r="AR1214" t="str">
        <f>_xlfn.XLOOKUP(Table1[[#This Row],[RelationshipSatisfaction]],Table18[RelationshipSatisfaction],Table18[Deskripsi])</f>
        <v>Medium</v>
      </c>
      <c r="AS1214" t="str">
        <f>_xlfn.XLOOKUP(Table1[[#This Row],[StockOptionLevel]],Table19[StockOptionLevel],Table19[Id_StockOptionLevel])</f>
        <v>SOL001</v>
      </c>
      <c r="AT1214">
        <v>0</v>
      </c>
      <c r="AU1214" t="str">
        <f>_xlfn.XLOOKUP(Table1[[#This Row],[StockOptionLevel]],Table19[StockOptionLevel],Table19[Deskripsi])</f>
        <v>Non-Eligible</v>
      </c>
      <c r="AV1214">
        <v>10</v>
      </c>
      <c r="AW1214">
        <v>3</v>
      </c>
      <c r="AX1214" t="str">
        <f>_xlfn.XLOOKUP(Table1[[#This Row],[WorkLifeBalance]],Table20[WorkLifeBalance],Table20[Id_WorkLifeBalance])</f>
        <v>WLB002</v>
      </c>
      <c r="AY1214">
        <v>3</v>
      </c>
      <c r="AZ1214" t="str">
        <f>_xlfn.XLOOKUP(Table1[[#This Row],[WorkLifeBalance]],Table20[WorkLifeBalance],Table20[Deskripsi])</f>
        <v>Good</v>
      </c>
      <c r="BA1214">
        <v>10</v>
      </c>
      <c r="BB1214">
        <v>9</v>
      </c>
      <c r="BC1214">
        <v>8</v>
      </c>
      <c r="BD1214">
        <v>7</v>
      </c>
    </row>
    <row r="1215" spans="1:56" x14ac:dyDescent="0.25">
      <c r="A1215">
        <v>23</v>
      </c>
      <c r="B1215" t="str">
        <f>_xlfn.XLOOKUP(Table1[[#This Row],[Attrition]],Table2[Attrition],Table2[Id_Attrition])</f>
        <v>A001</v>
      </c>
      <c r="C1215" t="s">
        <v>32</v>
      </c>
      <c r="D1215" t="str">
        <f>_xlfn.XLOOKUP(Table1[[#This Row],[BusinessTravel]],Table5[BusinessTravel],Table5[Id_BusinessTravel])</f>
        <v>BS001</v>
      </c>
      <c r="E1215" t="s">
        <v>34</v>
      </c>
      <c r="F1215">
        <v>427</v>
      </c>
      <c r="G1215" t="str">
        <f>_xlfn.XLOOKUP(Table1[[#This Row],[Department]],Table6[Department],Table6[Id_Departement])</f>
        <v>D001</v>
      </c>
      <c r="H1215" t="s">
        <v>37</v>
      </c>
      <c r="I1215">
        <v>7</v>
      </c>
      <c r="J1215" t="str">
        <f>_xlfn.XLOOKUP(Table1[[#This Row],[Education]],Table8[Education],Table8[Id_Education])</f>
        <v>E003</v>
      </c>
      <c r="K1215">
        <v>3</v>
      </c>
      <c r="L1215" t="str">
        <f>_xlfn.XLOOKUP(Table1[[#This Row],[EducationField]],Table7[EducationField],Table7[Id_EducationField])</f>
        <v>EF001</v>
      </c>
      <c r="M1215" t="s">
        <v>40</v>
      </c>
      <c r="N1215" t="str">
        <f>_xlfn.XLOOKUP(Table1[[#This Row],[EmployeeNumber]],Table4[EmployeeNumber],Table4[Id_Employee])</f>
        <v>EMP01214</v>
      </c>
      <c r="O1215">
        <v>1702</v>
      </c>
      <c r="P1215" t="str">
        <f>_xlfn.XLOOKUP(Table1[[#This Row],[EnvironmentSatisfaction]],Table9[EnvironmentSatisfaction],Table9[Id_EnviromentSatisfaction])</f>
        <v>ES003</v>
      </c>
      <c r="Q1215">
        <v>3</v>
      </c>
      <c r="R1215" t="str">
        <f>_xlfn.XLOOKUP(Table1[[#This Row],[EnvironmentSatisfaction]],Table9[EnvironmentSatisfaction],Table9[Deskripsi])</f>
        <v>High</v>
      </c>
      <c r="S1215" t="str">
        <f>_xlfn.XLOOKUP(Table1[[#This Row],[Gender]],Table10[Gender],Table10[Id_Gender])</f>
        <v>G002</v>
      </c>
      <c r="T1215" t="s">
        <v>46</v>
      </c>
      <c r="U1215">
        <v>99</v>
      </c>
      <c r="V1215" t="str">
        <f>_xlfn.XLOOKUP(Table1[[#This Row],[JobInvolvement]],Table11[JobInvolvement],Table11[Id_JobInvolvement])</f>
        <v>JI003</v>
      </c>
      <c r="W1215">
        <v>3</v>
      </c>
      <c r="X1215" t="str">
        <f>_xlfn.XLOOKUP(Table1[[#This Row],[JobLevel]],Table12[JobLevel],Table12[Id_JobLevel])</f>
        <v>JL001</v>
      </c>
      <c r="Y1215">
        <v>1</v>
      </c>
      <c r="Z1215" t="str">
        <f>_xlfn.XLOOKUP(Table1[[#This Row],[JobRole]],Table13[JobRole],Table13[Id_JobRole])</f>
        <v>JR007</v>
      </c>
      <c r="AA1215" t="s">
        <v>53</v>
      </c>
      <c r="AB1215" t="str">
        <f>_xlfn.XLOOKUP(Table1[[#This Row],[JobSatisfaction]],Table14[JobSatisfaction],Table14[Id_JobSatisfaction])</f>
        <v>JS004</v>
      </c>
      <c r="AC1215">
        <v>4</v>
      </c>
      <c r="AD1215" t="str">
        <f>_xlfn.XLOOKUP(Table1[[#This Row],[JobSatisfaction]],Table14[JobSatisfaction],Table14[Deskripsi])</f>
        <v>Very High</v>
      </c>
      <c r="AE1215" t="str">
        <f>_xlfn.XLOOKUP(Table1[[#This Row],[MaritalStatus]],Table15[MaritalStatus],Table15[Id_MaritalStatus])</f>
        <v>MS003</v>
      </c>
      <c r="AF1215" t="s">
        <v>57</v>
      </c>
      <c r="AG1215">
        <v>2275</v>
      </c>
      <c r="AH1215">
        <v>25103</v>
      </c>
      <c r="AI1215">
        <v>1</v>
      </c>
      <c r="AJ1215" t="str">
        <f>_xlfn.XLOOKUP(Table1[[#This Row],[OverTime]],Table16[OverTime],Table16[Id_OverTime])</f>
        <v>OT001</v>
      </c>
      <c r="AK1215" t="s">
        <v>32</v>
      </c>
      <c r="AL1215">
        <v>21</v>
      </c>
      <c r="AM1215" t="str">
        <f>_xlfn.XLOOKUP(Table1[[#This Row],[PerformanceRating]],Table17[PerformanceRating],Table17[Id_PerformanceRating])</f>
        <v>PR004</v>
      </c>
      <c r="AN1215">
        <v>4</v>
      </c>
      <c r="AO1215" t="str">
        <f>_xlfn.XLOOKUP(Table1[[#This Row],[PerformanceRating]],Table17[PerformanceRating],Table17[Deskripsi])</f>
        <v>Outstanding</v>
      </c>
      <c r="AP1215" t="str">
        <f>_xlfn.XLOOKUP(Table1[[#This Row],[RelationshipSatisfaction]],Table18[RelationshipSatisfaction],Table18[Id_RelationshipSatisfaction])</f>
        <v>RS002</v>
      </c>
      <c r="AQ1215">
        <v>2</v>
      </c>
      <c r="AR1215" t="str">
        <f>_xlfn.XLOOKUP(Table1[[#This Row],[RelationshipSatisfaction]],Table18[RelationshipSatisfaction],Table18[Deskripsi])</f>
        <v>Medium</v>
      </c>
      <c r="AS1215" t="str">
        <f>_xlfn.XLOOKUP(Table1[[#This Row],[StockOptionLevel]],Table19[StockOptionLevel],Table19[Id_StockOptionLevel])</f>
        <v>SOL002</v>
      </c>
      <c r="AT1215">
        <v>1</v>
      </c>
      <c r="AU1215" t="str">
        <f>_xlfn.XLOOKUP(Table1[[#This Row],[StockOptionLevel]],Table19[StockOptionLevel],Table19[Deskripsi])</f>
        <v>Standard</v>
      </c>
      <c r="AV1215">
        <v>3</v>
      </c>
      <c r="AW1215">
        <v>2</v>
      </c>
      <c r="AX1215" t="str">
        <f>_xlfn.XLOOKUP(Table1[[#This Row],[WorkLifeBalance]],Table20[WorkLifeBalance],Table20[Id_WorkLifeBalance])</f>
        <v>WLB002</v>
      </c>
      <c r="AY1215">
        <v>3</v>
      </c>
      <c r="AZ1215" t="str">
        <f>_xlfn.XLOOKUP(Table1[[#This Row],[WorkLifeBalance]],Table20[WorkLifeBalance],Table20[Deskripsi])</f>
        <v>Good</v>
      </c>
      <c r="BA1215">
        <v>3</v>
      </c>
      <c r="BB1215">
        <v>2</v>
      </c>
      <c r="BC1215">
        <v>0</v>
      </c>
      <c r="BD1215">
        <v>2</v>
      </c>
    </row>
    <row r="1216" spans="1:56" x14ac:dyDescent="0.25">
      <c r="A1216">
        <v>44</v>
      </c>
      <c r="B1216" t="str">
        <f>_xlfn.XLOOKUP(Table1[[#This Row],[Attrition]],Table2[Attrition],Table2[Id_Attrition])</f>
        <v>A002</v>
      </c>
      <c r="C1216" t="s">
        <v>33</v>
      </c>
      <c r="D1216" t="str">
        <f>_xlfn.XLOOKUP(Table1[[#This Row],[BusinessTravel]],Table5[BusinessTravel],Table5[Id_BusinessTravel])</f>
        <v>BS001</v>
      </c>
      <c r="E1216" t="s">
        <v>34</v>
      </c>
      <c r="F1216">
        <v>921</v>
      </c>
      <c r="G1216" t="str">
        <f>_xlfn.XLOOKUP(Table1[[#This Row],[Department]],Table6[Department],Table6[Id_Departement])</f>
        <v>D002</v>
      </c>
      <c r="H1216" t="s">
        <v>38</v>
      </c>
      <c r="I1216">
        <v>2</v>
      </c>
      <c r="J1216" t="str">
        <f>_xlfn.XLOOKUP(Table1[[#This Row],[Education]],Table8[Education],Table8[Id_Education])</f>
        <v>E003</v>
      </c>
      <c r="K1216">
        <v>3</v>
      </c>
      <c r="L1216" t="str">
        <f>_xlfn.XLOOKUP(Table1[[#This Row],[EducationField]],Table7[EducationField],Table7[Id_EducationField])</f>
        <v>EF001</v>
      </c>
      <c r="M1216" t="s">
        <v>40</v>
      </c>
      <c r="N1216" t="str">
        <f>_xlfn.XLOOKUP(Table1[[#This Row],[EmployeeNumber]],Table4[EmployeeNumber],Table4[Id_Employee])</f>
        <v>EMP01215</v>
      </c>
      <c r="O1216">
        <v>1703</v>
      </c>
      <c r="P1216" t="str">
        <f>_xlfn.XLOOKUP(Table1[[#This Row],[EnvironmentSatisfaction]],Table9[EnvironmentSatisfaction],Table9[Id_EnviromentSatisfaction])</f>
        <v>ES003</v>
      </c>
      <c r="Q1216">
        <v>3</v>
      </c>
      <c r="R1216" t="str">
        <f>_xlfn.XLOOKUP(Table1[[#This Row],[EnvironmentSatisfaction]],Table9[EnvironmentSatisfaction],Table9[Deskripsi])</f>
        <v>High</v>
      </c>
      <c r="S1216" t="str">
        <f>_xlfn.XLOOKUP(Table1[[#This Row],[Gender]],Table10[Gender],Table10[Id_Gender])</f>
        <v>G001</v>
      </c>
      <c r="T1216" t="s">
        <v>45</v>
      </c>
      <c r="U1216">
        <v>96</v>
      </c>
      <c r="V1216" t="str">
        <f>_xlfn.XLOOKUP(Table1[[#This Row],[JobInvolvement]],Table11[JobInvolvement],Table11[Id_JobInvolvement])</f>
        <v>JI004</v>
      </c>
      <c r="W1216">
        <v>4</v>
      </c>
      <c r="X1216" t="str">
        <f>_xlfn.XLOOKUP(Table1[[#This Row],[JobLevel]],Table12[JobLevel],Table12[Id_JobLevel])</f>
        <v>JL003</v>
      </c>
      <c r="Y1216">
        <v>3</v>
      </c>
      <c r="Z1216" t="str">
        <f>_xlfn.XLOOKUP(Table1[[#This Row],[JobRole]],Table13[JobRole],Table13[Id_JobRole])</f>
        <v>JR005</v>
      </c>
      <c r="AA1216" t="s">
        <v>51</v>
      </c>
      <c r="AB1216" t="str">
        <f>_xlfn.XLOOKUP(Table1[[#This Row],[JobSatisfaction]],Table14[JobSatisfaction],Table14[Id_JobSatisfaction])</f>
        <v>JS004</v>
      </c>
      <c r="AC1216">
        <v>4</v>
      </c>
      <c r="AD1216" t="str">
        <f>_xlfn.XLOOKUP(Table1[[#This Row],[JobSatisfaction]],Table14[JobSatisfaction],Table14[Deskripsi])</f>
        <v>Very High</v>
      </c>
      <c r="AE1216" t="str">
        <f>_xlfn.XLOOKUP(Table1[[#This Row],[MaritalStatus]],Table15[MaritalStatus],Table15[Id_MaritalStatus])</f>
        <v>MS002</v>
      </c>
      <c r="AF1216" t="s">
        <v>56</v>
      </c>
      <c r="AG1216">
        <v>7879</v>
      </c>
      <c r="AH1216">
        <v>14810</v>
      </c>
      <c r="AI1216">
        <v>1</v>
      </c>
      <c r="AJ1216" t="str">
        <f>_xlfn.XLOOKUP(Table1[[#This Row],[OverTime]],Table16[OverTime],Table16[Id_OverTime])</f>
        <v>OT001</v>
      </c>
      <c r="AK1216" t="s">
        <v>32</v>
      </c>
      <c r="AL1216">
        <v>19</v>
      </c>
      <c r="AM1216" t="str">
        <f>_xlfn.XLOOKUP(Table1[[#This Row],[PerformanceRating]],Table17[PerformanceRating],Table17[Id_PerformanceRating])</f>
        <v>PR003</v>
      </c>
      <c r="AN1216">
        <v>3</v>
      </c>
      <c r="AO1216" t="str">
        <f>_xlfn.XLOOKUP(Table1[[#This Row],[PerformanceRating]],Table17[PerformanceRating],Table17[Deskripsi])</f>
        <v>Excellent</v>
      </c>
      <c r="AP1216" t="str">
        <f>_xlfn.XLOOKUP(Table1[[#This Row],[RelationshipSatisfaction]],Table18[RelationshipSatisfaction],Table18[Id_RelationshipSatisfaction])</f>
        <v>RS002</v>
      </c>
      <c r="AQ1216">
        <v>2</v>
      </c>
      <c r="AR1216" t="str">
        <f>_xlfn.XLOOKUP(Table1[[#This Row],[RelationshipSatisfaction]],Table18[RelationshipSatisfaction],Table18[Deskripsi])</f>
        <v>Medium</v>
      </c>
      <c r="AS1216" t="str">
        <f>_xlfn.XLOOKUP(Table1[[#This Row],[StockOptionLevel]],Table19[StockOptionLevel],Table19[Id_StockOptionLevel])</f>
        <v>SOL002</v>
      </c>
      <c r="AT1216">
        <v>1</v>
      </c>
      <c r="AU1216" t="str">
        <f>_xlfn.XLOOKUP(Table1[[#This Row],[StockOptionLevel]],Table19[StockOptionLevel],Table19[Deskripsi])</f>
        <v>Standard</v>
      </c>
      <c r="AV1216">
        <v>9</v>
      </c>
      <c r="AW1216">
        <v>2</v>
      </c>
      <c r="AX1216" t="str">
        <f>_xlfn.XLOOKUP(Table1[[#This Row],[WorkLifeBalance]],Table20[WorkLifeBalance],Table20[Id_WorkLifeBalance])</f>
        <v>WLB002</v>
      </c>
      <c r="AY1216">
        <v>3</v>
      </c>
      <c r="AZ1216" t="str">
        <f>_xlfn.XLOOKUP(Table1[[#This Row],[WorkLifeBalance]],Table20[WorkLifeBalance],Table20[Deskripsi])</f>
        <v>Good</v>
      </c>
      <c r="BA1216">
        <v>8</v>
      </c>
      <c r="BB1216">
        <v>7</v>
      </c>
      <c r="BC1216">
        <v>6</v>
      </c>
      <c r="BD1216">
        <v>7</v>
      </c>
    </row>
    <row r="1217" spans="1:56" x14ac:dyDescent="0.25">
      <c r="A1217">
        <v>35</v>
      </c>
      <c r="B1217" t="str">
        <f>_xlfn.XLOOKUP(Table1[[#This Row],[Attrition]],Table2[Attrition],Table2[Id_Attrition])</f>
        <v>A002</v>
      </c>
      <c r="C1217" t="s">
        <v>33</v>
      </c>
      <c r="D1217" t="str">
        <f>_xlfn.XLOOKUP(Table1[[#This Row],[BusinessTravel]],Table5[BusinessTravel],Table5[Id_BusinessTravel])</f>
        <v>BS002</v>
      </c>
      <c r="E1217" t="s">
        <v>35</v>
      </c>
      <c r="F1217">
        <v>146</v>
      </c>
      <c r="G1217" t="str">
        <f>_xlfn.XLOOKUP(Table1[[#This Row],[Department]],Table6[Department],Table6[Id_Departement])</f>
        <v>D002</v>
      </c>
      <c r="H1217" t="s">
        <v>38</v>
      </c>
      <c r="I1217">
        <v>2</v>
      </c>
      <c r="J1217" t="str">
        <f>_xlfn.XLOOKUP(Table1[[#This Row],[Education]],Table8[Education],Table8[Id_Education])</f>
        <v>E004</v>
      </c>
      <c r="K1217">
        <v>4</v>
      </c>
      <c r="L1217" t="str">
        <f>_xlfn.XLOOKUP(Table1[[#This Row],[EducationField]],Table7[EducationField],Table7[Id_EducationField])</f>
        <v>EF003</v>
      </c>
      <c r="M1217" t="s">
        <v>42</v>
      </c>
      <c r="N1217" t="str">
        <f>_xlfn.XLOOKUP(Table1[[#This Row],[EmployeeNumber]],Table4[EmployeeNumber],Table4[Id_Employee])</f>
        <v>EMP01216</v>
      </c>
      <c r="O1217">
        <v>1704</v>
      </c>
      <c r="P1217" t="str">
        <f>_xlfn.XLOOKUP(Table1[[#This Row],[EnvironmentSatisfaction]],Table9[EnvironmentSatisfaction],Table9[Id_EnviromentSatisfaction])</f>
        <v>ES001</v>
      </c>
      <c r="Q1217">
        <v>1</v>
      </c>
      <c r="R1217" t="str">
        <f>_xlfn.XLOOKUP(Table1[[#This Row],[EnvironmentSatisfaction]],Table9[EnvironmentSatisfaction],Table9[Deskripsi])</f>
        <v>Low</v>
      </c>
      <c r="S1217" t="str">
        <f>_xlfn.XLOOKUP(Table1[[#This Row],[Gender]],Table10[Gender],Table10[Id_Gender])</f>
        <v>G002</v>
      </c>
      <c r="T1217" t="s">
        <v>46</v>
      </c>
      <c r="U1217">
        <v>79</v>
      </c>
      <c r="V1217" t="str">
        <f>_xlfn.XLOOKUP(Table1[[#This Row],[JobInvolvement]],Table11[JobInvolvement],Table11[Id_JobInvolvement])</f>
        <v>JI002</v>
      </c>
      <c r="W1217">
        <v>2</v>
      </c>
      <c r="X1217" t="str">
        <f>_xlfn.XLOOKUP(Table1[[#This Row],[JobLevel]],Table12[JobLevel],Table12[Id_JobLevel])</f>
        <v>JL001</v>
      </c>
      <c r="Y1217">
        <v>1</v>
      </c>
      <c r="Z1217" t="str">
        <f>_xlfn.XLOOKUP(Table1[[#This Row],[JobRole]],Table13[JobRole],Table13[Id_JobRole])</f>
        <v>JR002</v>
      </c>
      <c r="AA1217" t="s">
        <v>48</v>
      </c>
      <c r="AB1217" t="str">
        <f>_xlfn.XLOOKUP(Table1[[#This Row],[JobSatisfaction]],Table14[JobSatisfaction],Table14[Id_JobSatisfaction])</f>
        <v>JS004</v>
      </c>
      <c r="AC1217">
        <v>4</v>
      </c>
      <c r="AD1217" t="str">
        <f>_xlfn.XLOOKUP(Table1[[#This Row],[JobSatisfaction]],Table14[JobSatisfaction],Table14[Deskripsi])</f>
        <v>Very High</v>
      </c>
      <c r="AE1217" t="str">
        <f>_xlfn.XLOOKUP(Table1[[#This Row],[MaritalStatus]],Table15[MaritalStatus],Table15[Id_MaritalStatus])</f>
        <v>MS001</v>
      </c>
      <c r="AF1217" t="s">
        <v>55</v>
      </c>
      <c r="AG1217">
        <v>4930</v>
      </c>
      <c r="AH1217">
        <v>13970</v>
      </c>
      <c r="AI1217">
        <v>0</v>
      </c>
      <c r="AJ1217" t="str">
        <f>_xlfn.XLOOKUP(Table1[[#This Row],[OverTime]],Table16[OverTime],Table16[Id_OverTime])</f>
        <v>OT001</v>
      </c>
      <c r="AK1217" t="s">
        <v>32</v>
      </c>
      <c r="AL1217">
        <v>14</v>
      </c>
      <c r="AM1217" t="str">
        <f>_xlfn.XLOOKUP(Table1[[#This Row],[PerformanceRating]],Table17[PerformanceRating],Table17[Id_PerformanceRating])</f>
        <v>PR003</v>
      </c>
      <c r="AN1217">
        <v>3</v>
      </c>
      <c r="AO1217" t="str">
        <f>_xlfn.XLOOKUP(Table1[[#This Row],[PerformanceRating]],Table17[PerformanceRating],Table17[Deskripsi])</f>
        <v>Excellent</v>
      </c>
      <c r="AP1217" t="str">
        <f>_xlfn.XLOOKUP(Table1[[#This Row],[RelationshipSatisfaction]],Table18[RelationshipSatisfaction],Table18[Id_RelationshipSatisfaction])</f>
        <v>RS003</v>
      </c>
      <c r="AQ1217">
        <v>3</v>
      </c>
      <c r="AR1217" t="str">
        <f>_xlfn.XLOOKUP(Table1[[#This Row],[RelationshipSatisfaction]],Table18[RelationshipSatisfaction],Table18[Deskripsi])</f>
        <v>High</v>
      </c>
      <c r="AS1217" t="str">
        <f>_xlfn.XLOOKUP(Table1[[#This Row],[StockOptionLevel]],Table19[StockOptionLevel],Table19[Id_StockOptionLevel])</f>
        <v>SOL001</v>
      </c>
      <c r="AT1217">
        <v>0</v>
      </c>
      <c r="AU1217" t="str">
        <f>_xlfn.XLOOKUP(Table1[[#This Row],[StockOptionLevel]],Table19[StockOptionLevel],Table19[Deskripsi])</f>
        <v>Non-Eligible</v>
      </c>
      <c r="AV1217">
        <v>6</v>
      </c>
      <c r="AW1217">
        <v>2</v>
      </c>
      <c r="AX1217" t="str">
        <f>_xlfn.XLOOKUP(Table1[[#This Row],[WorkLifeBalance]],Table20[WorkLifeBalance],Table20[Id_WorkLifeBalance])</f>
        <v>WLB004</v>
      </c>
      <c r="AY1217">
        <v>4</v>
      </c>
      <c r="AZ1217" t="str">
        <f>_xlfn.XLOOKUP(Table1[[#This Row],[WorkLifeBalance]],Table20[WorkLifeBalance],Table20[Deskripsi])</f>
        <v>Best</v>
      </c>
      <c r="BA1217">
        <v>5</v>
      </c>
      <c r="BB1217">
        <v>4</v>
      </c>
      <c r="BC1217">
        <v>1</v>
      </c>
      <c r="BD1217">
        <v>4</v>
      </c>
    </row>
    <row r="1218" spans="1:56" x14ac:dyDescent="0.25">
      <c r="A1218">
        <v>43</v>
      </c>
      <c r="B1218" t="str">
        <f>_xlfn.XLOOKUP(Table1[[#This Row],[Attrition]],Table2[Attrition],Table2[Id_Attrition])</f>
        <v>A002</v>
      </c>
      <c r="C1218" t="s">
        <v>33</v>
      </c>
      <c r="D1218" t="str">
        <f>_xlfn.XLOOKUP(Table1[[#This Row],[BusinessTravel]],Table5[BusinessTravel],Table5[Id_BusinessTravel])</f>
        <v>BS001</v>
      </c>
      <c r="E1218" t="s">
        <v>34</v>
      </c>
      <c r="F1218">
        <v>1179</v>
      </c>
      <c r="G1218" t="str">
        <f>_xlfn.XLOOKUP(Table1[[#This Row],[Department]],Table6[Department],Table6[Id_Departement])</f>
        <v>D001</v>
      </c>
      <c r="H1218" t="s">
        <v>37</v>
      </c>
      <c r="I1218">
        <v>2</v>
      </c>
      <c r="J1218" t="str">
        <f>_xlfn.XLOOKUP(Table1[[#This Row],[Education]],Table8[Education],Table8[Id_Education])</f>
        <v>E003</v>
      </c>
      <c r="K1218">
        <v>3</v>
      </c>
      <c r="L1218" t="str">
        <f>_xlfn.XLOOKUP(Table1[[#This Row],[EducationField]],Table7[EducationField],Table7[Id_EducationField])</f>
        <v>EF003</v>
      </c>
      <c r="M1218" t="s">
        <v>42</v>
      </c>
      <c r="N1218" t="str">
        <f>_xlfn.XLOOKUP(Table1[[#This Row],[EmployeeNumber]],Table4[EmployeeNumber],Table4[Id_Employee])</f>
        <v>EMP01217</v>
      </c>
      <c r="O1218">
        <v>1706</v>
      </c>
      <c r="P1218" t="str">
        <f>_xlfn.XLOOKUP(Table1[[#This Row],[EnvironmentSatisfaction]],Table9[EnvironmentSatisfaction],Table9[Id_EnviromentSatisfaction])</f>
        <v>ES004</v>
      </c>
      <c r="Q1218">
        <v>4</v>
      </c>
      <c r="R1218" t="str">
        <f>_xlfn.XLOOKUP(Table1[[#This Row],[EnvironmentSatisfaction]],Table9[EnvironmentSatisfaction],Table9[Deskripsi])</f>
        <v>Very High</v>
      </c>
      <c r="S1218" t="str">
        <f>_xlfn.XLOOKUP(Table1[[#This Row],[Gender]],Table10[Gender],Table10[Id_Gender])</f>
        <v>G002</v>
      </c>
      <c r="T1218" t="s">
        <v>46</v>
      </c>
      <c r="U1218">
        <v>73</v>
      </c>
      <c r="V1218" t="str">
        <f>_xlfn.XLOOKUP(Table1[[#This Row],[JobInvolvement]],Table11[JobInvolvement],Table11[Id_JobInvolvement])</f>
        <v>JI003</v>
      </c>
      <c r="W1218">
        <v>3</v>
      </c>
      <c r="X1218" t="str">
        <f>_xlfn.XLOOKUP(Table1[[#This Row],[JobLevel]],Table12[JobLevel],Table12[Id_JobLevel])</f>
        <v>JL002</v>
      </c>
      <c r="Y1218">
        <v>2</v>
      </c>
      <c r="Z1218" t="str">
        <f>_xlfn.XLOOKUP(Table1[[#This Row],[JobRole]],Table13[JobRole],Table13[Id_JobRole])</f>
        <v>JR001</v>
      </c>
      <c r="AA1218" t="s">
        <v>47</v>
      </c>
      <c r="AB1218" t="str">
        <f>_xlfn.XLOOKUP(Table1[[#This Row],[JobSatisfaction]],Table14[JobSatisfaction],Table14[Id_JobSatisfaction])</f>
        <v>JS004</v>
      </c>
      <c r="AC1218">
        <v>4</v>
      </c>
      <c r="AD1218" t="str">
        <f>_xlfn.XLOOKUP(Table1[[#This Row],[JobSatisfaction]],Table14[JobSatisfaction],Table14[Deskripsi])</f>
        <v>Very High</v>
      </c>
      <c r="AE1218" t="str">
        <f>_xlfn.XLOOKUP(Table1[[#This Row],[MaritalStatus]],Table15[MaritalStatus],Table15[Id_MaritalStatus])</f>
        <v>MS002</v>
      </c>
      <c r="AF1218" t="s">
        <v>56</v>
      </c>
      <c r="AG1218">
        <v>7847</v>
      </c>
      <c r="AH1218">
        <v>6069</v>
      </c>
      <c r="AI1218">
        <v>1</v>
      </c>
      <c r="AJ1218" t="str">
        <f>_xlfn.XLOOKUP(Table1[[#This Row],[OverTime]],Table16[OverTime],Table16[Id_OverTime])</f>
        <v>OT001</v>
      </c>
      <c r="AK1218" t="s">
        <v>32</v>
      </c>
      <c r="AL1218">
        <v>17</v>
      </c>
      <c r="AM1218" t="str">
        <f>_xlfn.XLOOKUP(Table1[[#This Row],[PerformanceRating]],Table17[PerformanceRating],Table17[Id_PerformanceRating])</f>
        <v>PR003</v>
      </c>
      <c r="AN1218">
        <v>3</v>
      </c>
      <c r="AO1218" t="str">
        <f>_xlfn.XLOOKUP(Table1[[#This Row],[PerformanceRating]],Table17[PerformanceRating],Table17[Deskripsi])</f>
        <v>Excellent</v>
      </c>
      <c r="AP1218" t="str">
        <f>_xlfn.XLOOKUP(Table1[[#This Row],[RelationshipSatisfaction]],Table18[RelationshipSatisfaction],Table18[Id_RelationshipSatisfaction])</f>
        <v>RS001</v>
      </c>
      <c r="AQ1218">
        <v>1</v>
      </c>
      <c r="AR1218" t="str">
        <f>_xlfn.XLOOKUP(Table1[[#This Row],[RelationshipSatisfaction]],Table18[RelationshipSatisfaction],Table18[Deskripsi])</f>
        <v>Low</v>
      </c>
      <c r="AS1218" t="str">
        <f>_xlfn.XLOOKUP(Table1[[#This Row],[StockOptionLevel]],Table19[StockOptionLevel],Table19[Id_StockOptionLevel])</f>
        <v>SOL002</v>
      </c>
      <c r="AT1218">
        <v>1</v>
      </c>
      <c r="AU1218" t="str">
        <f>_xlfn.XLOOKUP(Table1[[#This Row],[StockOptionLevel]],Table19[StockOptionLevel],Table19[Deskripsi])</f>
        <v>Standard</v>
      </c>
      <c r="AV1218">
        <v>10</v>
      </c>
      <c r="AW1218">
        <v>3</v>
      </c>
      <c r="AX1218" t="str">
        <f>_xlfn.XLOOKUP(Table1[[#This Row],[WorkLifeBalance]],Table20[WorkLifeBalance],Table20[Id_WorkLifeBalance])</f>
        <v>WLB002</v>
      </c>
      <c r="AY1218">
        <v>3</v>
      </c>
      <c r="AZ1218" t="str">
        <f>_xlfn.XLOOKUP(Table1[[#This Row],[WorkLifeBalance]],Table20[WorkLifeBalance],Table20[Deskripsi])</f>
        <v>Good</v>
      </c>
      <c r="BA1218">
        <v>10</v>
      </c>
      <c r="BB1218">
        <v>9</v>
      </c>
      <c r="BC1218">
        <v>8</v>
      </c>
      <c r="BD1218">
        <v>8</v>
      </c>
    </row>
    <row r="1219" spans="1:56" x14ac:dyDescent="0.25">
      <c r="A1219">
        <v>24</v>
      </c>
      <c r="B1219" t="str">
        <f>_xlfn.XLOOKUP(Table1[[#This Row],[Attrition]],Table2[Attrition],Table2[Id_Attrition])</f>
        <v>A002</v>
      </c>
      <c r="C1219" t="s">
        <v>33</v>
      </c>
      <c r="D1219" t="str">
        <f>_xlfn.XLOOKUP(Table1[[#This Row],[BusinessTravel]],Table5[BusinessTravel],Table5[Id_BusinessTravel])</f>
        <v>BS001</v>
      </c>
      <c r="E1219" t="s">
        <v>34</v>
      </c>
      <c r="F1219">
        <v>581</v>
      </c>
      <c r="G1219" t="str">
        <f>_xlfn.XLOOKUP(Table1[[#This Row],[Department]],Table6[Department],Table6[Id_Departement])</f>
        <v>D002</v>
      </c>
      <c r="H1219" t="s">
        <v>38</v>
      </c>
      <c r="I1219">
        <v>9</v>
      </c>
      <c r="J1219" t="str">
        <f>_xlfn.XLOOKUP(Table1[[#This Row],[Education]],Table8[Education],Table8[Id_Education])</f>
        <v>E003</v>
      </c>
      <c r="K1219">
        <v>3</v>
      </c>
      <c r="L1219" t="str">
        <f>_xlfn.XLOOKUP(Table1[[#This Row],[EducationField]],Table7[EducationField],Table7[Id_EducationField])</f>
        <v>EF003</v>
      </c>
      <c r="M1219" t="s">
        <v>42</v>
      </c>
      <c r="N1219" t="str">
        <f>_xlfn.XLOOKUP(Table1[[#This Row],[EmployeeNumber]],Table4[EmployeeNumber],Table4[Id_Employee])</f>
        <v>EMP01218</v>
      </c>
      <c r="O1219">
        <v>1707</v>
      </c>
      <c r="P1219" t="str">
        <f>_xlfn.XLOOKUP(Table1[[#This Row],[EnvironmentSatisfaction]],Table9[EnvironmentSatisfaction],Table9[Id_EnviromentSatisfaction])</f>
        <v>ES003</v>
      </c>
      <c r="Q1219">
        <v>3</v>
      </c>
      <c r="R1219" t="str">
        <f>_xlfn.XLOOKUP(Table1[[#This Row],[EnvironmentSatisfaction]],Table9[EnvironmentSatisfaction],Table9[Deskripsi])</f>
        <v>High</v>
      </c>
      <c r="S1219" t="str">
        <f>_xlfn.XLOOKUP(Table1[[#This Row],[Gender]],Table10[Gender],Table10[Id_Gender])</f>
        <v>G002</v>
      </c>
      <c r="T1219" t="s">
        <v>46</v>
      </c>
      <c r="U1219">
        <v>62</v>
      </c>
      <c r="V1219" t="str">
        <f>_xlfn.XLOOKUP(Table1[[#This Row],[JobInvolvement]],Table11[JobInvolvement],Table11[Id_JobInvolvement])</f>
        <v>JI004</v>
      </c>
      <c r="W1219">
        <v>4</v>
      </c>
      <c r="X1219" t="str">
        <f>_xlfn.XLOOKUP(Table1[[#This Row],[JobLevel]],Table12[JobLevel],Table12[Id_JobLevel])</f>
        <v>JL001</v>
      </c>
      <c r="Y1219">
        <v>1</v>
      </c>
      <c r="Z1219" t="str">
        <f>_xlfn.XLOOKUP(Table1[[#This Row],[JobRole]],Table13[JobRole],Table13[Id_JobRole])</f>
        <v>JR002</v>
      </c>
      <c r="AA1219" t="s">
        <v>48</v>
      </c>
      <c r="AB1219" t="str">
        <f>_xlfn.XLOOKUP(Table1[[#This Row],[JobSatisfaction]],Table14[JobSatisfaction],Table14[Id_JobSatisfaction])</f>
        <v>JS003</v>
      </c>
      <c r="AC1219">
        <v>3</v>
      </c>
      <c r="AD1219" t="str">
        <f>_xlfn.XLOOKUP(Table1[[#This Row],[JobSatisfaction]],Table14[JobSatisfaction],Table14[Deskripsi])</f>
        <v>High</v>
      </c>
      <c r="AE1219" t="str">
        <f>_xlfn.XLOOKUP(Table1[[#This Row],[MaritalStatus]],Table15[MaritalStatus],Table15[Id_MaritalStatus])</f>
        <v>MS002</v>
      </c>
      <c r="AF1219" t="s">
        <v>56</v>
      </c>
      <c r="AG1219">
        <v>4401</v>
      </c>
      <c r="AH1219">
        <v>17616</v>
      </c>
      <c r="AI1219">
        <v>1</v>
      </c>
      <c r="AJ1219" t="str">
        <f>_xlfn.XLOOKUP(Table1[[#This Row],[OverTime]],Table16[OverTime],Table16[Id_OverTime])</f>
        <v>OT002</v>
      </c>
      <c r="AK1219" t="s">
        <v>33</v>
      </c>
      <c r="AL1219">
        <v>16</v>
      </c>
      <c r="AM1219" t="str">
        <f>_xlfn.XLOOKUP(Table1[[#This Row],[PerformanceRating]],Table17[PerformanceRating],Table17[Id_PerformanceRating])</f>
        <v>PR003</v>
      </c>
      <c r="AN1219">
        <v>3</v>
      </c>
      <c r="AO1219" t="str">
        <f>_xlfn.XLOOKUP(Table1[[#This Row],[PerformanceRating]],Table17[PerformanceRating],Table17[Deskripsi])</f>
        <v>Excellent</v>
      </c>
      <c r="AP1219" t="str">
        <f>_xlfn.XLOOKUP(Table1[[#This Row],[RelationshipSatisfaction]],Table18[RelationshipSatisfaction],Table18[Id_RelationshipSatisfaction])</f>
        <v>RS004</v>
      </c>
      <c r="AQ1219">
        <v>4</v>
      </c>
      <c r="AR1219" t="str">
        <f>_xlfn.XLOOKUP(Table1[[#This Row],[RelationshipSatisfaction]],Table18[RelationshipSatisfaction],Table18[Deskripsi])</f>
        <v>Very High</v>
      </c>
      <c r="AS1219" t="str">
        <f>_xlfn.XLOOKUP(Table1[[#This Row],[StockOptionLevel]],Table19[StockOptionLevel],Table19[Id_StockOptionLevel])</f>
        <v>SOL002</v>
      </c>
      <c r="AT1219">
        <v>1</v>
      </c>
      <c r="AU1219" t="str">
        <f>_xlfn.XLOOKUP(Table1[[#This Row],[StockOptionLevel]],Table19[StockOptionLevel],Table19[Deskripsi])</f>
        <v>Standard</v>
      </c>
      <c r="AV1219">
        <v>5</v>
      </c>
      <c r="AW1219">
        <v>1</v>
      </c>
      <c r="AX1219" t="str">
        <f>_xlfn.XLOOKUP(Table1[[#This Row],[WorkLifeBalance]],Table20[WorkLifeBalance],Table20[Id_WorkLifeBalance])</f>
        <v>WLB002</v>
      </c>
      <c r="AY1219">
        <v>3</v>
      </c>
      <c r="AZ1219" t="str">
        <f>_xlfn.XLOOKUP(Table1[[#This Row],[WorkLifeBalance]],Table20[WorkLifeBalance],Table20[Deskripsi])</f>
        <v>Good</v>
      </c>
      <c r="BA1219">
        <v>5</v>
      </c>
      <c r="BB1219">
        <v>3</v>
      </c>
      <c r="BC1219">
        <v>0</v>
      </c>
      <c r="BD1219">
        <v>4</v>
      </c>
    </row>
    <row r="1220" spans="1:56" x14ac:dyDescent="0.25">
      <c r="A1220">
        <v>41</v>
      </c>
      <c r="B1220" t="str">
        <f>_xlfn.XLOOKUP(Table1[[#This Row],[Attrition]],Table2[Attrition],Table2[Id_Attrition])</f>
        <v>A002</v>
      </c>
      <c r="C1220" t="s">
        <v>33</v>
      </c>
      <c r="D1220" t="str">
        <f>_xlfn.XLOOKUP(Table1[[#This Row],[BusinessTravel]],Table5[BusinessTravel],Table5[Id_BusinessTravel])</f>
        <v>BS001</v>
      </c>
      <c r="E1220" t="s">
        <v>34</v>
      </c>
      <c r="F1220">
        <v>918</v>
      </c>
      <c r="G1220" t="str">
        <f>_xlfn.XLOOKUP(Table1[[#This Row],[Department]],Table6[Department],Table6[Id_Departement])</f>
        <v>D001</v>
      </c>
      <c r="H1220" t="s">
        <v>37</v>
      </c>
      <c r="I1220">
        <v>6</v>
      </c>
      <c r="J1220" t="str">
        <f>_xlfn.XLOOKUP(Table1[[#This Row],[Education]],Table8[Education],Table8[Id_Education])</f>
        <v>E003</v>
      </c>
      <c r="K1220">
        <v>3</v>
      </c>
      <c r="L1220" t="str">
        <f>_xlfn.XLOOKUP(Table1[[#This Row],[EducationField]],Table7[EducationField],Table7[Id_EducationField])</f>
        <v>EF004</v>
      </c>
      <c r="M1220" t="s">
        <v>43</v>
      </c>
      <c r="N1220" t="str">
        <f>_xlfn.XLOOKUP(Table1[[#This Row],[EmployeeNumber]],Table4[EmployeeNumber],Table4[Id_Employee])</f>
        <v>EMP01219</v>
      </c>
      <c r="O1220">
        <v>1708</v>
      </c>
      <c r="P1220" t="str">
        <f>_xlfn.XLOOKUP(Table1[[#This Row],[EnvironmentSatisfaction]],Table9[EnvironmentSatisfaction],Table9[Id_EnviromentSatisfaction])</f>
        <v>ES004</v>
      </c>
      <c r="Q1220">
        <v>4</v>
      </c>
      <c r="R1220" t="str">
        <f>_xlfn.XLOOKUP(Table1[[#This Row],[EnvironmentSatisfaction]],Table9[EnvironmentSatisfaction],Table9[Deskripsi])</f>
        <v>Very High</v>
      </c>
      <c r="S1220" t="str">
        <f>_xlfn.XLOOKUP(Table1[[#This Row],[Gender]],Table10[Gender],Table10[Id_Gender])</f>
        <v>G002</v>
      </c>
      <c r="T1220" t="s">
        <v>46</v>
      </c>
      <c r="U1220">
        <v>35</v>
      </c>
      <c r="V1220" t="str">
        <f>_xlfn.XLOOKUP(Table1[[#This Row],[JobInvolvement]],Table11[JobInvolvement],Table11[Id_JobInvolvement])</f>
        <v>JI003</v>
      </c>
      <c r="W1220">
        <v>3</v>
      </c>
      <c r="X1220" t="str">
        <f>_xlfn.XLOOKUP(Table1[[#This Row],[JobLevel]],Table12[JobLevel],Table12[Id_JobLevel])</f>
        <v>JL003</v>
      </c>
      <c r="Y1220">
        <v>3</v>
      </c>
      <c r="Z1220" t="str">
        <f>_xlfn.XLOOKUP(Table1[[#This Row],[JobRole]],Table13[JobRole],Table13[Id_JobRole])</f>
        <v>JR001</v>
      </c>
      <c r="AA1220" t="s">
        <v>47</v>
      </c>
      <c r="AB1220" t="str">
        <f>_xlfn.XLOOKUP(Table1[[#This Row],[JobSatisfaction]],Table14[JobSatisfaction],Table14[Id_JobSatisfaction])</f>
        <v>JS003</v>
      </c>
      <c r="AC1220">
        <v>3</v>
      </c>
      <c r="AD1220" t="str">
        <f>_xlfn.XLOOKUP(Table1[[#This Row],[JobSatisfaction]],Table14[JobSatisfaction],Table14[Deskripsi])</f>
        <v>High</v>
      </c>
      <c r="AE1220" t="str">
        <f>_xlfn.XLOOKUP(Table1[[#This Row],[MaritalStatus]],Table15[MaritalStatus],Table15[Id_MaritalStatus])</f>
        <v>MS001</v>
      </c>
      <c r="AF1220" t="s">
        <v>55</v>
      </c>
      <c r="AG1220">
        <v>9241</v>
      </c>
      <c r="AH1220">
        <v>15869</v>
      </c>
      <c r="AI1220">
        <v>1</v>
      </c>
      <c r="AJ1220" t="str">
        <f>_xlfn.XLOOKUP(Table1[[#This Row],[OverTime]],Table16[OverTime],Table16[Id_OverTime])</f>
        <v>OT002</v>
      </c>
      <c r="AK1220" t="s">
        <v>33</v>
      </c>
      <c r="AL1220">
        <v>12</v>
      </c>
      <c r="AM1220" t="str">
        <f>_xlfn.XLOOKUP(Table1[[#This Row],[PerformanceRating]],Table17[PerformanceRating],Table17[Id_PerformanceRating])</f>
        <v>PR003</v>
      </c>
      <c r="AN1220">
        <v>3</v>
      </c>
      <c r="AO1220" t="str">
        <f>_xlfn.XLOOKUP(Table1[[#This Row],[PerformanceRating]],Table17[PerformanceRating],Table17[Deskripsi])</f>
        <v>Excellent</v>
      </c>
      <c r="AP1220" t="str">
        <f>_xlfn.XLOOKUP(Table1[[#This Row],[RelationshipSatisfaction]],Table18[RelationshipSatisfaction],Table18[Id_RelationshipSatisfaction])</f>
        <v>RS002</v>
      </c>
      <c r="AQ1220">
        <v>2</v>
      </c>
      <c r="AR1220" t="str">
        <f>_xlfn.XLOOKUP(Table1[[#This Row],[RelationshipSatisfaction]],Table18[RelationshipSatisfaction],Table18[Deskripsi])</f>
        <v>Medium</v>
      </c>
      <c r="AS1220" t="str">
        <f>_xlfn.XLOOKUP(Table1[[#This Row],[StockOptionLevel]],Table19[StockOptionLevel],Table19[Id_StockOptionLevel])</f>
        <v>SOL001</v>
      </c>
      <c r="AT1220">
        <v>0</v>
      </c>
      <c r="AU1220" t="str">
        <f>_xlfn.XLOOKUP(Table1[[#This Row],[StockOptionLevel]],Table19[StockOptionLevel],Table19[Deskripsi])</f>
        <v>Non-Eligible</v>
      </c>
      <c r="AV1220">
        <v>10</v>
      </c>
      <c r="AW1220">
        <v>3</v>
      </c>
      <c r="AX1220" t="str">
        <f>_xlfn.XLOOKUP(Table1[[#This Row],[WorkLifeBalance]],Table20[WorkLifeBalance],Table20[Id_WorkLifeBalance])</f>
        <v>WLB002</v>
      </c>
      <c r="AY1220">
        <v>3</v>
      </c>
      <c r="AZ1220" t="str">
        <f>_xlfn.XLOOKUP(Table1[[#This Row],[WorkLifeBalance]],Table20[WorkLifeBalance],Table20[Deskripsi])</f>
        <v>Good</v>
      </c>
      <c r="BA1220">
        <v>10</v>
      </c>
      <c r="BB1220">
        <v>8</v>
      </c>
      <c r="BC1220">
        <v>8</v>
      </c>
      <c r="BD1220">
        <v>7</v>
      </c>
    </row>
    <row r="1221" spans="1:56" x14ac:dyDescent="0.25">
      <c r="A1221">
        <v>29</v>
      </c>
      <c r="B1221" t="str">
        <f>_xlfn.XLOOKUP(Table1[[#This Row],[Attrition]],Table2[Attrition],Table2[Id_Attrition])</f>
        <v>A002</v>
      </c>
      <c r="C1221" t="s">
        <v>33</v>
      </c>
      <c r="D1221" t="str">
        <f>_xlfn.XLOOKUP(Table1[[#This Row],[BusinessTravel]],Table5[BusinessTravel],Table5[Id_BusinessTravel])</f>
        <v>BS001</v>
      </c>
      <c r="E1221" t="s">
        <v>34</v>
      </c>
      <c r="F1221">
        <v>1082</v>
      </c>
      <c r="G1221" t="str">
        <f>_xlfn.XLOOKUP(Table1[[#This Row],[Department]],Table6[Department],Table6[Id_Departement])</f>
        <v>D002</v>
      </c>
      <c r="H1221" t="s">
        <v>38</v>
      </c>
      <c r="I1221">
        <v>9</v>
      </c>
      <c r="J1221" t="str">
        <f>_xlfn.XLOOKUP(Table1[[#This Row],[Education]],Table8[Education],Table8[Id_Education])</f>
        <v>E004</v>
      </c>
      <c r="K1221">
        <v>4</v>
      </c>
      <c r="L1221" t="str">
        <f>_xlfn.XLOOKUP(Table1[[#This Row],[EducationField]],Table7[EducationField],Table7[Id_EducationField])</f>
        <v>EF003</v>
      </c>
      <c r="M1221" t="s">
        <v>42</v>
      </c>
      <c r="N1221" t="str">
        <f>_xlfn.XLOOKUP(Table1[[#This Row],[EmployeeNumber]],Table4[EmployeeNumber],Table4[Id_Employee])</f>
        <v>EMP01220</v>
      </c>
      <c r="O1221">
        <v>1709</v>
      </c>
      <c r="P1221" t="str">
        <f>_xlfn.XLOOKUP(Table1[[#This Row],[EnvironmentSatisfaction]],Table9[EnvironmentSatisfaction],Table9[Id_EnviromentSatisfaction])</f>
        <v>ES004</v>
      </c>
      <c r="Q1221">
        <v>4</v>
      </c>
      <c r="R1221" t="str">
        <f>_xlfn.XLOOKUP(Table1[[#This Row],[EnvironmentSatisfaction]],Table9[EnvironmentSatisfaction],Table9[Deskripsi])</f>
        <v>Very High</v>
      </c>
      <c r="S1221" t="str">
        <f>_xlfn.XLOOKUP(Table1[[#This Row],[Gender]],Table10[Gender],Table10[Id_Gender])</f>
        <v>G001</v>
      </c>
      <c r="T1221" t="s">
        <v>45</v>
      </c>
      <c r="U1221">
        <v>43</v>
      </c>
      <c r="V1221" t="str">
        <f>_xlfn.XLOOKUP(Table1[[#This Row],[JobInvolvement]],Table11[JobInvolvement],Table11[Id_JobInvolvement])</f>
        <v>JI003</v>
      </c>
      <c r="W1221">
        <v>3</v>
      </c>
      <c r="X1221" t="str">
        <f>_xlfn.XLOOKUP(Table1[[#This Row],[JobLevel]],Table12[JobLevel],Table12[Id_JobLevel])</f>
        <v>JL001</v>
      </c>
      <c r="Y1221">
        <v>1</v>
      </c>
      <c r="Z1221" t="str">
        <f>_xlfn.XLOOKUP(Table1[[#This Row],[JobRole]],Table13[JobRole],Table13[Id_JobRole])</f>
        <v>JR003</v>
      </c>
      <c r="AA1221" t="s">
        <v>49</v>
      </c>
      <c r="AB1221" t="str">
        <f>_xlfn.XLOOKUP(Table1[[#This Row],[JobSatisfaction]],Table14[JobSatisfaction],Table14[Id_JobSatisfaction])</f>
        <v>JS003</v>
      </c>
      <c r="AC1221">
        <v>3</v>
      </c>
      <c r="AD1221" t="str">
        <f>_xlfn.XLOOKUP(Table1[[#This Row],[JobSatisfaction]],Table14[JobSatisfaction],Table14[Deskripsi])</f>
        <v>High</v>
      </c>
      <c r="AE1221" t="str">
        <f>_xlfn.XLOOKUP(Table1[[#This Row],[MaritalStatus]],Table15[MaritalStatus],Table15[Id_MaritalStatus])</f>
        <v>MS002</v>
      </c>
      <c r="AF1221" t="s">
        <v>56</v>
      </c>
      <c r="AG1221">
        <v>2974</v>
      </c>
      <c r="AH1221">
        <v>25412</v>
      </c>
      <c r="AI1221">
        <v>9</v>
      </c>
      <c r="AJ1221" t="str">
        <f>_xlfn.XLOOKUP(Table1[[#This Row],[OverTime]],Table16[OverTime],Table16[Id_OverTime])</f>
        <v>OT002</v>
      </c>
      <c r="AK1221" t="s">
        <v>33</v>
      </c>
      <c r="AL1221">
        <v>17</v>
      </c>
      <c r="AM1221" t="str">
        <f>_xlfn.XLOOKUP(Table1[[#This Row],[PerformanceRating]],Table17[PerformanceRating],Table17[Id_PerformanceRating])</f>
        <v>PR003</v>
      </c>
      <c r="AN1221">
        <v>3</v>
      </c>
      <c r="AO1221" t="str">
        <f>_xlfn.XLOOKUP(Table1[[#This Row],[PerformanceRating]],Table17[PerformanceRating],Table17[Deskripsi])</f>
        <v>Excellent</v>
      </c>
      <c r="AP1221" t="str">
        <f>_xlfn.XLOOKUP(Table1[[#This Row],[RelationshipSatisfaction]],Table18[RelationshipSatisfaction],Table18[Id_RelationshipSatisfaction])</f>
        <v>RS003</v>
      </c>
      <c r="AQ1221">
        <v>3</v>
      </c>
      <c r="AR1221" t="str">
        <f>_xlfn.XLOOKUP(Table1[[#This Row],[RelationshipSatisfaction]],Table18[RelationshipSatisfaction],Table18[Deskripsi])</f>
        <v>High</v>
      </c>
      <c r="AS1221" t="str">
        <f>_xlfn.XLOOKUP(Table1[[#This Row],[StockOptionLevel]],Table19[StockOptionLevel],Table19[Id_StockOptionLevel])</f>
        <v>SOL002</v>
      </c>
      <c r="AT1221">
        <v>1</v>
      </c>
      <c r="AU1221" t="str">
        <f>_xlfn.XLOOKUP(Table1[[#This Row],[StockOptionLevel]],Table19[StockOptionLevel],Table19[Deskripsi])</f>
        <v>Standard</v>
      </c>
      <c r="AV1221">
        <v>9</v>
      </c>
      <c r="AW1221">
        <v>2</v>
      </c>
      <c r="AX1221" t="str">
        <f>_xlfn.XLOOKUP(Table1[[#This Row],[WorkLifeBalance]],Table20[WorkLifeBalance],Table20[Id_WorkLifeBalance])</f>
        <v>WLB002</v>
      </c>
      <c r="AY1221">
        <v>3</v>
      </c>
      <c r="AZ1221" t="str">
        <f>_xlfn.XLOOKUP(Table1[[#This Row],[WorkLifeBalance]],Table20[WorkLifeBalance],Table20[Deskripsi])</f>
        <v>Good</v>
      </c>
      <c r="BA1221">
        <v>5</v>
      </c>
      <c r="BB1221">
        <v>3</v>
      </c>
      <c r="BC1221">
        <v>1</v>
      </c>
      <c r="BD1221">
        <v>2</v>
      </c>
    </row>
    <row r="1222" spans="1:56" x14ac:dyDescent="0.25">
      <c r="A1222">
        <v>36</v>
      </c>
      <c r="B1222" t="str">
        <f>_xlfn.XLOOKUP(Table1[[#This Row],[Attrition]],Table2[Attrition],Table2[Id_Attrition])</f>
        <v>A002</v>
      </c>
      <c r="C1222" t="s">
        <v>33</v>
      </c>
      <c r="D1222" t="str">
        <f>_xlfn.XLOOKUP(Table1[[#This Row],[BusinessTravel]],Table5[BusinessTravel],Table5[Id_BusinessTravel])</f>
        <v>BS001</v>
      </c>
      <c r="E1222" t="s">
        <v>34</v>
      </c>
      <c r="F1222">
        <v>530</v>
      </c>
      <c r="G1222" t="str">
        <f>_xlfn.XLOOKUP(Table1[[#This Row],[Department]],Table6[Department],Table6[Id_Departement])</f>
        <v>D001</v>
      </c>
      <c r="H1222" t="s">
        <v>37</v>
      </c>
      <c r="I1222">
        <v>2</v>
      </c>
      <c r="J1222" t="str">
        <f>_xlfn.XLOOKUP(Table1[[#This Row],[Education]],Table8[Education],Table8[Id_Education])</f>
        <v>E004</v>
      </c>
      <c r="K1222">
        <v>4</v>
      </c>
      <c r="L1222" t="str">
        <f>_xlfn.XLOOKUP(Table1[[#This Row],[EducationField]],Table7[EducationField],Table7[Id_EducationField])</f>
        <v>EF001</v>
      </c>
      <c r="M1222" t="s">
        <v>40</v>
      </c>
      <c r="N1222" t="str">
        <f>_xlfn.XLOOKUP(Table1[[#This Row],[EmployeeNumber]],Table4[EmployeeNumber],Table4[Id_Employee])</f>
        <v>EMP01221</v>
      </c>
      <c r="O1222">
        <v>1710</v>
      </c>
      <c r="P1222" t="str">
        <f>_xlfn.XLOOKUP(Table1[[#This Row],[EnvironmentSatisfaction]],Table9[EnvironmentSatisfaction],Table9[Id_EnviromentSatisfaction])</f>
        <v>ES003</v>
      </c>
      <c r="Q1222">
        <v>3</v>
      </c>
      <c r="R1222" t="str">
        <f>_xlfn.XLOOKUP(Table1[[#This Row],[EnvironmentSatisfaction]],Table9[EnvironmentSatisfaction],Table9[Deskripsi])</f>
        <v>High</v>
      </c>
      <c r="S1222" t="str">
        <f>_xlfn.XLOOKUP(Table1[[#This Row],[Gender]],Table10[Gender],Table10[Id_Gender])</f>
        <v>G001</v>
      </c>
      <c r="T1222" t="s">
        <v>45</v>
      </c>
      <c r="U1222">
        <v>51</v>
      </c>
      <c r="V1222" t="str">
        <f>_xlfn.XLOOKUP(Table1[[#This Row],[JobInvolvement]],Table11[JobInvolvement],Table11[Id_JobInvolvement])</f>
        <v>JI003</v>
      </c>
      <c r="W1222">
        <v>3</v>
      </c>
      <c r="X1222" t="str">
        <f>_xlfn.XLOOKUP(Table1[[#This Row],[JobLevel]],Table12[JobLevel],Table12[Id_JobLevel])</f>
        <v>JL002</v>
      </c>
      <c r="Y1222">
        <v>2</v>
      </c>
      <c r="Z1222" t="str">
        <f>_xlfn.XLOOKUP(Table1[[#This Row],[JobRole]],Table13[JobRole],Table13[Id_JobRole])</f>
        <v>JR007</v>
      </c>
      <c r="AA1222" t="s">
        <v>53</v>
      </c>
      <c r="AB1222" t="str">
        <f>_xlfn.XLOOKUP(Table1[[#This Row],[JobSatisfaction]],Table14[JobSatisfaction],Table14[Id_JobSatisfaction])</f>
        <v>JS004</v>
      </c>
      <c r="AC1222">
        <v>4</v>
      </c>
      <c r="AD1222" t="str">
        <f>_xlfn.XLOOKUP(Table1[[#This Row],[JobSatisfaction]],Table14[JobSatisfaction],Table14[Deskripsi])</f>
        <v>Very High</v>
      </c>
      <c r="AE1222" t="str">
        <f>_xlfn.XLOOKUP(Table1[[#This Row],[MaritalStatus]],Table15[MaritalStatus],Table15[Id_MaritalStatus])</f>
        <v>MS001</v>
      </c>
      <c r="AF1222" t="s">
        <v>55</v>
      </c>
      <c r="AG1222">
        <v>4502</v>
      </c>
      <c r="AH1222">
        <v>7439</v>
      </c>
      <c r="AI1222">
        <v>3</v>
      </c>
      <c r="AJ1222" t="str">
        <f>_xlfn.XLOOKUP(Table1[[#This Row],[OverTime]],Table16[OverTime],Table16[Id_OverTime])</f>
        <v>OT002</v>
      </c>
      <c r="AK1222" t="s">
        <v>33</v>
      </c>
      <c r="AL1222">
        <v>15</v>
      </c>
      <c r="AM1222" t="str">
        <f>_xlfn.XLOOKUP(Table1[[#This Row],[PerformanceRating]],Table17[PerformanceRating],Table17[Id_PerformanceRating])</f>
        <v>PR003</v>
      </c>
      <c r="AN1222">
        <v>3</v>
      </c>
      <c r="AO1222" t="str">
        <f>_xlfn.XLOOKUP(Table1[[#This Row],[PerformanceRating]],Table17[PerformanceRating],Table17[Deskripsi])</f>
        <v>Excellent</v>
      </c>
      <c r="AP1222" t="str">
        <f>_xlfn.XLOOKUP(Table1[[#This Row],[RelationshipSatisfaction]],Table18[RelationshipSatisfaction],Table18[Id_RelationshipSatisfaction])</f>
        <v>RS003</v>
      </c>
      <c r="AQ1222">
        <v>3</v>
      </c>
      <c r="AR1222" t="str">
        <f>_xlfn.XLOOKUP(Table1[[#This Row],[RelationshipSatisfaction]],Table18[RelationshipSatisfaction],Table18[Deskripsi])</f>
        <v>High</v>
      </c>
      <c r="AS1222" t="str">
        <f>_xlfn.XLOOKUP(Table1[[#This Row],[StockOptionLevel]],Table19[StockOptionLevel],Table19[Id_StockOptionLevel])</f>
        <v>SOL001</v>
      </c>
      <c r="AT1222">
        <v>0</v>
      </c>
      <c r="AU1222" t="str">
        <f>_xlfn.XLOOKUP(Table1[[#This Row],[StockOptionLevel]],Table19[StockOptionLevel],Table19[Deskripsi])</f>
        <v>Non-Eligible</v>
      </c>
      <c r="AV1222">
        <v>17</v>
      </c>
      <c r="AW1222">
        <v>2</v>
      </c>
      <c r="AX1222" t="str">
        <f>_xlfn.XLOOKUP(Table1[[#This Row],[WorkLifeBalance]],Table20[WorkLifeBalance],Table20[Id_WorkLifeBalance])</f>
        <v>WLB003</v>
      </c>
      <c r="AY1222">
        <v>2</v>
      </c>
      <c r="AZ1222" t="str">
        <f>_xlfn.XLOOKUP(Table1[[#This Row],[WorkLifeBalance]],Table20[WorkLifeBalance],Table20[Deskripsi])</f>
        <v>Better</v>
      </c>
      <c r="BA1222">
        <v>13</v>
      </c>
      <c r="BB1222">
        <v>7</v>
      </c>
      <c r="BC1222">
        <v>6</v>
      </c>
      <c r="BD1222">
        <v>7</v>
      </c>
    </row>
    <row r="1223" spans="1:56" x14ac:dyDescent="0.25">
      <c r="A1223">
        <v>45</v>
      </c>
      <c r="B1223" t="str">
        <f>_xlfn.XLOOKUP(Table1[[#This Row],[Attrition]],Table2[Attrition],Table2[Id_Attrition])</f>
        <v>A002</v>
      </c>
      <c r="C1223" t="s">
        <v>33</v>
      </c>
      <c r="D1223" t="str">
        <f>_xlfn.XLOOKUP(Table1[[#This Row],[BusinessTravel]],Table5[BusinessTravel],Table5[Id_BusinessTravel])</f>
        <v>BS003</v>
      </c>
      <c r="E1223" t="s">
        <v>36</v>
      </c>
      <c r="F1223">
        <v>1238</v>
      </c>
      <c r="G1223" t="str">
        <f>_xlfn.XLOOKUP(Table1[[#This Row],[Department]],Table6[Department],Table6[Id_Departement])</f>
        <v>D002</v>
      </c>
      <c r="H1223" t="s">
        <v>38</v>
      </c>
      <c r="I1223">
        <v>1</v>
      </c>
      <c r="J1223" t="str">
        <f>_xlfn.XLOOKUP(Table1[[#This Row],[Education]],Table8[Education],Table8[Id_Education])</f>
        <v>E001</v>
      </c>
      <c r="K1223">
        <v>1</v>
      </c>
      <c r="L1223" t="str">
        <f>_xlfn.XLOOKUP(Table1[[#This Row],[EducationField]],Table7[EducationField],Table7[Id_EducationField])</f>
        <v>EF001</v>
      </c>
      <c r="M1223" t="s">
        <v>40</v>
      </c>
      <c r="N1223" t="str">
        <f>_xlfn.XLOOKUP(Table1[[#This Row],[EmployeeNumber]],Table4[EmployeeNumber],Table4[Id_Employee])</f>
        <v>EMP01222</v>
      </c>
      <c r="O1223">
        <v>1712</v>
      </c>
      <c r="P1223" t="str">
        <f>_xlfn.XLOOKUP(Table1[[#This Row],[EnvironmentSatisfaction]],Table9[EnvironmentSatisfaction],Table9[Id_EnviromentSatisfaction])</f>
        <v>ES003</v>
      </c>
      <c r="Q1223">
        <v>3</v>
      </c>
      <c r="R1223" t="str">
        <f>_xlfn.XLOOKUP(Table1[[#This Row],[EnvironmentSatisfaction]],Table9[EnvironmentSatisfaction],Table9[Deskripsi])</f>
        <v>High</v>
      </c>
      <c r="S1223" t="str">
        <f>_xlfn.XLOOKUP(Table1[[#This Row],[Gender]],Table10[Gender],Table10[Id_Gender])</f>
        <v>G002</v>
      </c>
      <c r="T1223" t="s">
        <v>46</v>
      </c>
      <c r="U1223">
        <v>74</v>
      </c>
      <c r="V1223" t="str">
        <f>_xlfn.XLOOKUP(Table1[[#This Row],[JobInvolvement]],Table11[JobInvolvement],Table11[Id_JobInvolvement])</f>
        <v>JI002</v>
      </c>
      <c r="W1223">
        <v>2</v>
      </c>
      <c r="X1223" t="str">
        <f>_xlfn.XLOOKUP(Table1[[#This Row],[JobLevel]],Table12[JobLevel],Table12[Id_JobLevel])</f>
        <v>JL003</v>
      </c>
      <c r="Y1223">
        <v>3</v>
      </c>
      <c r="Z1223" t="str">
        <f>_xlfn.XLOOKUP(Table1[[#This Row],[JobRole]],Table13[JobRole],Table13[Id_JobRole])</f>
        <v>JR005</v>
      </c>
      <c r="AA1223" t="s">
        <v>51</v>
      </c>
      <c r="AB1223" t="str">
        <f>_xlfn.XLOOKUP(Table1[[#This Row],[JobSatisfaction]],Table14[JobSatisfaction],Table14[Id_JobSatisfaction])</f>
        <v>JS003</v>
      </c>
      <c r="AC1223">
        <v>3</v>
      </c>
      <c r="AD1223" t="str">
        <f>_xlfn.XLOOKUP(Table1[[#This Row],[JobSatisfaction]],Table14[JobSatisfaction],Table14[Deskripsi])</f>
        <v>High</v>
      </c>
      <c r="AE1223" t="str">
        <f>_xlfn.XLOOKUP(Table1[[#This Row],[MaritalStatus]],Table15[MaritalStatus],Table15[Id_MaritalStatus])</f>
        <v>MS002</v>
      </c>
      <c r="AF1223" t="s">
        <v>56</v>
      </c>
      <c r="AG1223">
        <v>10748</v>
      </c>
      <c r="AH1223">
        <v>3395</v>
      </c>
      <c r="AI1223">
        <v>3</v>
      </c>
      <c r="AJ1223" t="str">
        <f>_xlfn.XLOOKUP(Table1[[#This Row],[OverTime]],Table16[OverTime],Table16[Id_OverTime])</f>
        <v>OT002</v>
      </c>
      <c r="AK1223" t="s">
        <v>33</v>
      </c>
      <c r="AL1223">
        <v>23</v>
      </c>
      <c r="AM1223" t="str">
        <f>_xlfn.XLOOKUP(Table1[[#This Row],[PerformanceRating]],Table17[PerformanceRating],Table17[Id_PerformanceRating])</f>
        <v>PR004</v>
      </c>
      <c r="AN1223">
        <v>4</v>
      </c>
      <c r="AO1223" t="str">
        <f>_xlfn.XLOOKUP(Table1[[#This Row],[PerformanceRating]],Table17[PerformanceRating],Table17[Deskripsi])</f>
        <v>Outstanding</v>
      </c>
      <c r="AP1223" t="str">
        <f>_xlfn.XLOOKUP(Table1[[#This Row],[RelationshipSatisfaction]],Table18[RelationshipSatisfaction],Table18[Id_RelationshipSatisfaction])</f>
        <v>RS004</v>
      </c>
      <c r="AQ1223">
        <v>4</v>
      </c>
      <c r="AR1223" t="str">
        <f>_xlfn.XLOOKUP(Table1[[#This Row],[RelationshipSatisfaction]],Table18[RelationshipSatisfaction],Table18[Deskripsi])</f>
        <v>Very High</v>
      </c>
      <c r="AS1223" t="str">
        <f>_xlfn.XLOOKUP(Table1[[#This Row],[StockOptionLevel]],Table19[StockOptionLevel],Table19[Id_StockOptionLevel])</f>
        <v>SOL002</v>
      </c>
      <c r="AT1223">
        <v>1</v>
      </c>
      <c r="AU1223" t="str">
        <f>_xlfn.XLOOKUP(Table1[[#This Row],[StockOptionLevel]],Table19[StockOptionLevel],Table19[Deskripsi])</f>
        <v>Standard</v>
      </c>
      <c r="AV1223">
        <v>25</v>
      </c>
      <c r="AW1223">
        <v>3</v>
      </c>
      <c r="AX1223" t="str">
        <f>_xlfn.XLOOKUP(Table1[[#This Row],[WorkLifeBalance]],Table20[WorkLifeBalance],Table20[Id_WorkLifeBalance])</f>
        <v>WLB003</v>
      </c>
      <c r="AY1223">
        <v>2</v>
      </c>
      <c r="AZ1223" t="str">
        <f>_xlfn.XLOOKUP(Table1[[#This Row],[WorkLifeBalance]],Table20[WorkLifeBalance],Table20[Deskripsi])</f>
        <v>Better</v>
      </c>
      <c r="BA1223">
        <v>23</v>
      </c>
      <c r="BB1223">
        <v>15</v>
      </c>
      <c r="BC1223">
        <v>14</v>
      </c>
      <c r="BD1223">
        <v>4</v>
      </c>
    </row>
    <row r="1224" spans="1:56" x14ac:dyDescent="0.25">
      <c r="A1224">
        <v>24</v>
      </c>
      <c r="B1224" t="str">
        <f>_xlfn.XLOOKUP(Table1[[#This Row],[Attrition]],Table2[Attrition],Table2[Id_Attrition])</f>
        <v>A001</v>
      </c>
      <c r="C1224" t="s">
        <v>32</v>
      </c>
      <c r="D1224" t="str">
        <f>_xlfn.XLOOKUP(Table1[[#This Row],[BusinessTravel]],Table5[BusinessTravel],Table5[Id_BusinessTravel])</f>
        <v>BS001</v>
      </c>
      <c r="E1224" t="s">
        <v>34</v>
      </c>
      <c r="F1224">
        <v>240</v>
      </c>
      <c r="G1224" t="str">
        <f>_xlfn.XLOOKUP(Table1[[#This Row],[Department]],Table6[Department],Table6[Id_Departement])</f>
        <v>D003</v>
      </c>
      <c r="H1224" t="s">
        <v>39</v>
      </c>
      <c r="I1224">
        <v>22</v>
      </c>
      <c r="J1224" t="str">
        <f>_xlfn.XLOOKUP(Table1[[#This Row],[Education]],Table8[Education],Table8[Id_Education])</f>
        <v>E001</v>
      </c>
      <c r="K1224">
        <v>1</v>
      </c>
      <c r="L1224" t="str">
        <f>_xlfn.XLOOKUP(Table1[[#This Row],[EducationField]],Table7[EducationField],Table7[Id_EducationField])</f>
        <v>EF006</v>
      </c>
      <c r="M1224" t="s">
        <v>39</v>
      </c>
      <c r="N1224" t="str">
        <f>_xlfn.XLOOKUP(Table1[[#This Row],[EmployeeNumber]],Table4[EmployeeNumber],Table4[Id_Employee])</f>
        <v>EMP01223</v>
      </c>
      <c r="O1224">
        <v>1714</v>
      </c>
      <c r="P1224" t="str">
        <f>_xlfn.XLOOKUP(Table1[[#This Row],[EnvironmentSatisfaction]],Table9[EnvironmentSatisfaction],Table9[Id_EnviromentSatisfaction])</f>
        <v>ES004</v>
      </c>
      <c r="Q1224">
        <v>4</v>
      </c>
      <c r="R1224" t="str">
        <f>_xlfn.XLOOKUP(Table1[[#This Row],[EnvironmentSatisfaction]],Table9[EnvironmentSatisfaction],Table9[Deskripsi])</f>
        <v>Very High</v>
      </c>
      <c r="S1224" t="str">
        <f>_xlfn.XLOOKUP(Table1[[#This Row],[Gender]],Table10[Gender],Table10[Id_Gender])</f>
        <v>G002</v>
      </c>
      <c r="T1224" t="s">
        <v>46</v>
      </c>
      <c r="U1224">
        <v>58</v>
      </c>
      <c r="V1224" t="str">
        <f>_xlfn.XLOOKUP(Table1[[#This Row],[JobInvolvement]],Table11[JobInvolvement],Table11[Id_JobInvolvement])</f>
        <v>JI001</v>
      </c>
      <c r="W1224">
        <v>1</v>
      </c>
      <c r="X1224" t="str">
        <f>_xlfn.XLOOKUP(Table1[[#This Row],[JobLevel]],Table12[JobLevel],Table12[Id_JobLevel])</f>
        <v>JL001</v>
      </c>
      <c r="Y1224">
        <v>1</v>
      </c>
      <c r="Z1224" t="str">
        <f>_xlfn.XLOOKUP(Table1[[#This Row],[JobRole]],Table13[JobRole],Table13[Id_JobRole])</f>
        <v>JR009</v>
      </c>
      <c r="AA1224" t="s">
        <v>39</v>
      </c>
      <c r="AB1224" t="str">
        <f>_xlfn.XLOOKUP(Table1[[#This Row],[JobSatisfaction]],Table14[JobSatisfaction],Table14[Id_JobSatisfaction])</f>
        <v>JS003</v>
      </c>
      <c r="AC1224">
        <v>3</v>
      </c>
      <c r="AD1224" t="str">
        <f>_xlfn.XLOOKUP(Table1[[#This Row],[JobSatisfaction]],Table14[JobSatisfaction],Table14[Deskripsi])</f>
        <v>High</v>
      </c>
      <c r="AE1224" t="str">
        <f>_xlfn.XLOOKUP(Table1[[#This Row],[MaritalStatus]],Table15[MaritalStatus],Table15[Id_MaritalStatus])</f>
        <v>MS002</v>
      </c>
      <c r="AF1224" t="s">
        <v>56</v>
      </c>
      <c r="AG1224">
        <v>1555</v>
      </c>
      <c r="AH1224">
        <v>11585</v>
      </c>
      <c r="AI1224">
        <v>1</v>
      </c>
      <c r="AJ1224" t="str">
        <f>_xlfn.XLOOKUP(Table1[[#This Row],[OverTime]],Table16[OverTime],Table16[Id_OverTime])</f>
        <v>OT002</v>
      </c>
      <c r="AK1224" t="s">
        <v>33</v>
      </c>
      <c r="AL1224">
        <v>11</v>
      </c>
      <c r="AM1224" t="str">
        <f>_xlfn.XLOOKUP(Table1[[#This Row],[PerformanceRating]],Table17[PerformanceRating],Table17[Id_PerformanceRating])</f>
        <v>PR003</v>
      </c>
      <c r="AN1224">
        <v>3</v>
      </c>
      <c r="AO1224" t="str">
        <f>_xlfn.XLOOKUP(Table1[[#This Row],[PerformanceRating]],Table17[PerformanceRating],Table17[Deskripsi])</f>
        <v>Excellent</v>
      </c>
      <c r="AP1224" t="str">
        <f>_xlfn.XLOOKUP(Table1[[#This Row],[RelationshipSatisfaction]],Table18[RelationshipSatisfaction],Table18[Id_RelationshipSatisfaction])</f>
        <v>RS003</v>
      </c>
      <c r="AQ1224">
        <v>3</v>
      </c>
      <c r="AR1224" t="str">
        <f>_xlfn.XLOOKUP(Table1[[#This Row],[RelationshipSatisfaction]],Table18[RelationshipSatisfaction],Table18[Deskripsi])</f>
        <v>High</v>
      </c>
      <c r="AS1224" t="str">
        <f>_xlfn.XLOOKUP(Table1[[#This Row],[StockOptionLevel]],Table19[StockOptionLevel],Table19[Id_StockOptionLevel])</f>
        <v>SOL002</v>
      </c>
      <c r="AT1224">
        <v>1</v>
      </c>
      <c r="AU1224" t="str">
        <f>_xlfn.XLOOKUP(Table1[[#This Row],[StockOptionLevel]],Table19[StockOptionLevel],Table19[Deskripsi])</f>
        <v>Standard</v>
      </c>
      <c r="AV1224">
        <v>1</v>
      </c>
      <c r="AW1224">
        <v>2</v>
      </c>
      <c r="AX1224" t="str">
        <f>_xlfn.XLOOKUP(Table1[[#This Row],[WorkLifeBalance]],Table20[WorkLifeBalance],Table20[Id_WorkLifeBalance])</f>
        <v>WLB002</v>
      </c>
      <c r="AY1224">
        <v>3</v>
      </c>
      <c r="AZ1224" t="str">
        <f>_xlfn.XLOOKUP(Table1[[#This Row],[WorkLifeBalance]],Table20[WorkLifeBalance],Table20[Deskripsi])</f>
        <v>Good</v>
      </c>
      <c r="BA1224">
        <v>1</v>
      </c>
      <c r="BB1224">
        <v>0</v>
      </c>
      <c r="BC1224">
        <v>0</v>
      </c>
      <c r="BD1224">
        <v>0</v>
      </c>
    </row>
    <row r="1225" spans="1:56" x14ac:dyDescent="0.25">
      <c r="A1225">
        <v>47</v>
      </c>
      <c r="B1225" t="str">
        <f>_xlfn.XLOOKUP(Table1[[#This Row],[Attrition]],Table2[Attrition],Table2[Id_Attrition])</f>
        <v>A001</v>
      </c>
      <c r="C1225" t="s">
        <v>32</v>
      </c>
      <c r="D1225" t="str">
        <f>_xlfn.XLOOKUP(Table1[[#This Row],[BusinessTravel]],Table5[BusinessTravel],Table5[Id_BusinessTravel])</f>
        <v>BS002</v>
      </c>
      <c r="E1225" t="s">
        <v>35</v>
      </c>
      <c r="F1225">
        <v>1093</v>
      </c>
      <c r="G1225" t="str">
        <f>_xlfn.XLOOKUP(Table1[[#This Row],[Department]],Table6[Department],Table6[Id_Departement])</f>
        <v>D001</v>
      </c>
      <c r="H1225" t="s">
        <v>37</v>
      </c>
      <c r="I1225">
        <v>9</v>
      </c>
      <c r="J1225" t="str">
        <f>_xlfn.XLOOKUP(Table1[[#This Row],[Education]],Table8[Education],Table8[Id_Education])</f>
        <v>E003</v>
      </c>
      <c r="K1225">
        <v>3</v>
      </c>
      <c r="L1225" t="str">
        <f>_xlfn.XLOOKUP(Table1[[#This Row],[EducationField]],Table7[EducationField],Table7[Id_EducationField])</f>
        <v>EF001</v>
      </c>
      <c r="M1225" t="s">
        <v>40</v>
      </c>
      <c r="N1225" t="str">
        <f>_xlfn.XLOOKUP(Table1[[#This Row],[EmployeeNumber]],Table4[EmployeeNumber],Table4[Id_Employee])</f>
        <v>EMP01224</v>
      </c>
      <c r="O1225">
        <v>1716</v>
      </c>
      <c r="P1225" t="str">
        <f>_xlfn.XLOOKUP(Table1[[#This Row],[EnvironmentSatisfaction]],Table9[EnvironmentSatisfaction],Table9[Id_EnviromentSatisfaction])</f>
        <v>ES003</v>
      </c>
      <c r="Q1225">
        <v>3</v>
      </c>
      <c r="R1225" t="str">
        <f>_xlfn.XLOOKUP(Table1[[#This Row],[EnvironmentSatisfaction]],Table9[EnvironmentSatisfaction],Table9[Deskripsi])</f>
        <v>High</v>
      </c>
      <c r="S1225" t="str">
        <f>_xlfn.XLOOKUP(Table1[[#This Row],[Gender]],Table10[Gender],Table10[Id_Gender])</f>
        <v>G002</v>
      </c>
      <c r="T1225" t="s">
        <v>46</v>
      </c>
      <c r="U1225">
        <v>82</v>
      </c>
      <c r="V1225" t="str">
        <f>_xlfn.XLOOKUP(Table1[[#This Row],[JobInvolvement]],Table11[JobInvolvement],Table11[Id_JobInvolvement])</f>
        <v>JI001</v>
      </c>
      <c r="W1225">
        <v>1</v>
      </c>
      <c r="X1225" t="str">
        <f>_xlfn.XLOOKUP(Table1[[#This Row],[JobLevel]],Table12[JobLevel],Table12[Id_JobLevel])</f>
        <v>JL004</v>
      </c>
      <c r="Y1225">
        <v>4</v>
      </c>
      <c r="Z1225" t="str">
        <f>_xlfn.XLOOKUP(Table1[[#This Row],[JobRole]],Table13[JobRole],Table13[Id_JobRole])</f>
        <v>JR001</v>
      </c>
      <c r="AA1225" t="s">
        <v>47</v>
      </c>
      <c r="AB1225" t="str">
        <f>_xlfn.XLOOKUP(Table1[[#This Row],[JobSatisfaction]],Table14[JobSatisfaction],Table14[Id_JobSatisfaction])</f>
        <v>JS003</v>
      </c>
      <c r="AC1225">
        <v>3</v>
      </c>
      <c r="AD1225" t="str">
        <f>_xlfn.XLOOKUP(Table1[[#This Row],[JobSatisfaction]],Table14[JobSatisfaction],Table14[Deskripsi])</f>
        <v>High</v>
      </c>
      <c r="AE1225" t="str">
        <f>_xlfn.XLOOKUP(Table1[[#This Row],[MaritalStatus]],Table15[MaritalStatus],Table15[Id_MaritalStatus])</f>
        <v>MS002</v>
      </c>
      <c r="AF1225" t="s">
        <v>56</v>
      </c>
      <c r="AG1225">
        <v>12936</v>
      </c>
      <c r="AH1225">
        <v>24164</v>
      </c>
      <c r="AI1225">
        <v>7</v>
      </c>
      <c r="AJ1225" t="str">
        <f>_xlfn.XLOOKUP(Table1[[#This Row],[OverTime]],Table16[OverTime],Table16[Id_OverTime])</f>
        <v>OT002</v>
      </c>
      <c r="AK1225" t="s">
        <v>33</v>
      </c>
      <c r="AL1225">
        <v>11</v>
      </c>
      <c r="AM1225" t="str">
        <f>_xlfn.XLOOKUP(Table1[[#This Row],[PerformanceRating]],Table17[PerformanceRating],Table17[Id_PerformanceRating])</f>
        <v>PR003</v>
      </c>
      <c r="AN1225">
        <v>3</v>
      </c>
      <c r="AO1225" t="str">
        <f>_xlfn.XLOOKUP(Table1[[#This Row],[PerformanceRating]],Table17[PerformanceRating],Table17[Deskripsi])</f>
        <v>Excellent</v>
      </c>
      <c r="AP1225" t="str">
        <f>_xlfn.XLOOKUP(Table1[[#This Row],[RelationshipSatisfaction]],Table18[RelationshipSatisfaction],Table18[Id_RelationshipSatisfaction])</f>
        <v>RS003</v>
      </c>
      <c r="AQ1225">
        <v>3</v>
      </c>
      <c r="AR1225" t="str">
        <f>_xlfn.XLOOKUP(Table1[[#This Row],[RelationshipSatisfaction]],Table18[RelationshipSatisfaction],Table18[Deskripsi])</f>
        <v>High</v>
      </c>
      <c r="AS1225" t="str">
        <f>_xlfn.XLOOKUP(Table1[[#This Row],[StockOptionLevel]],Table19[StockOptionLevel],Table19[Id_StockOptionLevel])</f>
        <v>SOL001</v>
      </c>
      <c r="AT1225">
        <v>0</v>
      </c>
      <c r="AU1225" t="str">
        <f>_xlfn.XLOOKUP(Table1[[#This Row],[StockOptionLevel]],Table19[StockOptionLevel],Table19[Deskripsi])</f>
        <v>Non-Eligible</v>
      </c>
      <c r="AV1225">
        <v>25</v>
      </c>
      <c r="AW1225">
        <v>3</v>
      </c>
      <c r="AX1225" t="str">
        <f>_xlfn.XLOOKUP(Table1[[#This Row],[WorkLifeBalance]],Table20[WorkLifeBalance],Table20[Id_WorkLifeBalance])</f>
        <v>WLB001</v>
      </c>
      <c r="AY1225">
        <v>1</v>
      </c>
      <c r="AZ1225" t="str">
        <f>_xlfn.XLOOKUP(Table1[[#This Row],[WorkLifeBalance]],Table20[WorkLifeBalance],Table20[Deskripsi])</f>
        <v>Bad</v>
      </c>
      <c r="BA1225">
        <v>23</v>
      </c>
      <c r="BB1225">
        <v>5</v>
      </c>
      <c r="BC1225">
        <v>14</v>
      </c>
      <c r="BD1225">
        <v>10</v>
      </c>
    </row>
    <row r="1226" spans="1:56" x14ac:dyDescent="0.25">
      <c r="A1226">
        <v>26</v>
      </c>
      <c r="B1226" t="str">
        <f>_xlfn.XLOOKUP(Table1[[#This Row],[Attrition]],Table2[Attrition],Table2[Id_Attrition])</f>
        <v>A002</v>
      </c>
      <c r="C1226" t="s">
        <v>33</v>
      </c>
      <c r="D1226" t="str">
        <f>_xlfn.XLOOKUP(Table1[[#This Row],[BusinessTravel]],Table5[BusinessTravel],Table5[Id_BusinessTravel])</f>
        <v>BS001</v>
      </c>
      <c r="E1226" t="s">
        <v>34</v>
      </c>
      <c r="F1226">
        <v>390</v>
      </c>
      <c r="G1226" t="str">
        <f>_xlfn.XLOOKUP(Table1[[#This Row],[Department]],Table6[Department],Table6[Id_Departement])</f>
        <v>D002</v>
      </c>
      <c r="H1226" t="s">
        <v>38</v>
      </c>
      <c r="I1226">
        <v>17</v>
      </c>
      <c r="J1226" t="str">
        <f>_xlfn.XLOOKUP(Table1[[#This Row],[Education]],Table8[Education],Table8[Id_Education])</f>
        <v>E004</v>
      </c>
      <c r="K1226">
        <v>4</v>
      </c>
      <c r="L1226" t="str">
        <f>_xlfn.XLOOKUP(Table1[[#This Row],[EducationField]],Table7[EducationField],Table7[Id_EducationField])</f>
        <v>EF003</v>
      </c>
      <c r="M1226" t="s">
        <v>42</v>
      </c>
      <c r="N1226" t="str">
        <f>_xlfn.XLOOKUP(Table1[[#This Row],[EmployeeNumber]],Table4[EmployeeNumber],Table4[Id_Employee])</f>
        <v>EMP01225</v>
      </c>
      <c r="O1226">
        <v>1718</v>
      </c>
      <c r="P1226" t="str">
        <f>_xlfn.XLOOKUP(Table1[[#This Row],[EnvironmentSatisfaction]],Table9[EnvironmentSatisfaction],Table9[Id_EnviromentSatisfaction])</f>
        <v>ES004</v>
      </c>
      <c r="Q1226">
        <v>4</v>
      </c>
      <c r="R1226" t="str">
        <f>_xlfn.XLOOKUP(Table1[[#This Row],[EnvironmentSatisfaction]],Table9[EnvironmentSatisfaction],Table9[Deskripsi])</f>
        <v>Very High</v>
      </c>
      <c r="S1226" t="str">
        <f>_xlfn.XLOOKUP(Table1[[#This Row],[Gender]],Table10[Gender],Table10[Id_Gender])</f>
        <v>G002</v>
      </c>
      <c r="T1226" t="s">
        <v>46</v>
      </c>
      <c r="U1226">
        <v>62</v>
      </c>
      <c r="V1226" t="str">
        <f>_xlfn.XLOOKUP(Table1[[#This Row],[JobInvolvement]],Table11[JobInvolvement],Table11[Id_JobInvolvement])</f>
        <v>JI001</v>
      </c>
      <c r="W1226">
        <v>1</v>
      </c>
      <c r="X1226" t="str">
        <f>_xlfn.XLOOKUP(Table1[[#This Row],[JobLevel]],Table12[JobLevel],Table12[Id_JobLevel])</f>
        <v>JL001</v>
      </c>
      <c r="Y1226">
        <v>1</v>
      </c>
      <c r="Z1226" t="str">
        <f>_xlfn.XLOOKUP(Table1[[#This Row],[JobRole]],Table13[JobRole],Table13[Id_JobRole])</f>
        <v>JR003</v>
      </c>
      <c r="AA1226" t="s">
        <v>49</v>
      </c>
      <c r="AB1226" t="str">
        <f>_xlfn.XLOOKUP(Table1[[#This Row],[JobSatisfaction]],Table14[JobSatisfaction],Table14[Id_JobSatisfaction])</f>
        <v>JS003</v>
      </c>
      <c r="AC1226">
        <v>3</v>
      </c>
      <c r="AD1226" t="str">
        <f>_xlfn.XLOOKUP(Table1[[#This Row],[JobSatisfaction]],Table14[JobSatisfaction],Table14[Deskripsi])</f>
        <v>High</v>
      </c>
      <c r="AE1226" t="str">
        <f>_xlfn.XLOOKUP(Table1[[#This Row],[MaritalStatus]],Table15[MaritalStatus],Table15[Id_MaritalStatus])</f>
        <v>MS002</v>
      </c>
      <c r="AF1226" t="s">
        <v>56</v>
      </c>
      <c r="AG1226">
        <v>2305</v>
      </c>
      <c r="AH1226">
        <v>6217</v>
      </c>
      <c r="AI1226">
        <v>1</v>
      </c>
      <c r="AJ1226" t="str">
        <f>_xlfn.XLOOKUP(Table1[[#This Row],[OverTime]],Table16[OverTime],Table16[Id_OverTime])</f>
        <v>OT002</v>
      </c>
      <c r="AK1226" t="s">
        <v>33</v>
      </c>
      <c r="AL1226">
        <v>15</v>
      </c>
      <c r="AM1226" t="str">
        <f>_xlfn.XLOOKUP(Table1[[#This Row],[PerformanceRating]],Table17[PerformanceRating],Table17[Id_PerformanceRating])</f>
        <v>PR003</v>
      </c>
      <c r="AN1226">
        <v>3</v>
      </c>
      <c r="AO1226" t="str">
        <f>_xlfn.XLOOKUP(Table1[[#This Row],[PerformanceRating]],Table17[PerformanceRating],Table17[Deskripsi])</f>
        <v>Excellent</v>
      </c>
      <c r="AP1226" t="str">
        <f>_xlfn.XLOOKUP(Table1[[#This Row],[RelationshipSatisfaction]],Table18[RelationshipSatisfaction],Table18[Id_RelationshipSatisfaction])</f>
        <v>RS003</v>
      </c>
      <c r="AQ1226">
        <v>3</v>
      </c>
      <c r="AR1226" t="str">
        <f>_xlfn.XLOOKUP(Table1[[#This Row],[RelationshipSatisfaction]],Table18[RelationshipSatisfaction],Table18[Deskripsi])</f>
        <v>High</v>
      </c>
      <c r="AS1226" t="str">
        <f>_xlfn.XLOOKUP(Table1[[#This Row],[StockOptionLevel]],Table19[StockOptionLevel],Table19[Id_StockOptionLevel])</f>
        <v>SOL004</v>
      </c>
      <c r="AT1226">
        <v>3</v>
      </c>
      <c r="AU1226" t="str">
        <f>_xlfn.XLOOKUP(Table1[[#This Row],[StockOptionLevel]],Table19[StockOptionLevel],Table19[Deskripsi])</f>
        <v>Senior/Executive</v>
      </c>
      <c r="AV1226">
        <v>3</v>
      </c>
      <c r="AW1226">
        <v>3</v>
      </c>
      <c r="AX1226" t="str">
        <f>_xlfn.XLOOKUP(Table1[[#This Row],[WorkLifeBalance]],Table20[WorkLifeBalance],Table20[Id_WorkLifeBalance])</f>
        <v>WLB004</v>
      </c>
      <c r="AY1226">
        <v>4</v>
      </c>
      <c r="AZ1226" t="str">
        <f>_xlfn.XLOOKUP(Table1[[#This Row],[WorkLifeBalance]],Table20[WorkLifeBalance],Table20[Deskripsi])</f>
        <v>Best</v>
      </c>
      <c r="BA1226">
        <v>3</v>
      </c>
      <c r="BB1226">
        <v>2</v>
      </c>
      <c r="BC1226">
        <v>0</v>
      </c>
      <c r="BD1226">
        <v>2</v>
      </c>
    </row>
    <row r="1227" spans="1:56" x14ac:dyDescent="0.25">
      <c r="A1227">
        <v>45</v>
      </c>
      <c r="B1227" t="str">
        <f>_xlfn.XLOOKUP(Table1[[#This Row],[Attrition]],Table2[Attrition],Table2[Id_Attrition])</f>
        <v>A002</v>
      </c>
      <c r="C1227" t="s">
        <v>33</v>
      </c>
      <c r="D1227" t="str">
        <f>_xlfn.XLOOKUP(Table1[[#This Row],[BusinessTravel]],Table5[BusinessTravel],Table5[Id_BusinessTravel])</f>
        <v>BS001</v>
      </c>
      <c r="E1227" t="s">
        <v>34</v>
      </c>
      <c r="F1227">
        <v>1005</v>
      </c>
      <c r="G1227" t="str">
        <f>_xlfn.XLOOKUP(Table1[[#This Row],[Department]],Table6[Department],Table6[Id_Departement])</f>
        <v>D002</v>
      </c>
      <c r="H1227" t="s">
        <v>38</v>
      </c>
      <c r="I1227">
        <v>28</v>
      </c>
      <c r="J1227" t="str">
        <f>_xlfn.XLOOKUP(Table1[[#This Row],[Education]],Table8[Education],Table8[Id_Education])</f>
        <v>E002</v>
      </c>
      <c r="K1227">
        <v>2</v>
      </c>
      <c r="L1227" t="str">
        <f>_xlfn.XLOOKUP(Table1[[#This Row],[EducationField]],Table7[EducationField],Table7[Id_EducationField])</f>
        <v>EF005</v>
      </c>
      <c r="M1227" t="s">
        <v>44</v>
      </c>
      <c r="N1227" t="str">
        <f>_xlfn.XLOOKUP(Table1[[#This Row],[EmployeeNumber]],Table4[EmployeeNumber],Table4[Id_Employee])</f>
        <v>EMP01226</v>
      </c>
      <c r="O1227">
        <v>1719</v>
      </c>
      <c r="P1227" t="str">
        <f>_xlfn.XLOOKUP(Table1[[#This Row],[EnvironmentSatisfaction]],Table9[EnvironmentSatisfaction],Table9[Id_EnviromentSatisfaction])</f>
        <v>ES004</v>
      </c>
      <c r="Q1227">
        <v>4</v>
      </c>
      <c r="R1227" t="str">
        <f>_xlfn.XLOOKUP(Table1[[#This Row],[EnvironmentSatisfaction]],Table9[EnvironmentSatisfaction],Table9[Deskripsi])</f>
        <v>Very High</v>
      </c>
      <c r="S1227" t="str">
        <f>_xlfn.XLOOKUP(Table1[[#This Row],[Gender]],Table10[Gender],Table10[Id_Gender])</f>
        <v>G001</v>
      </c>
      <c r="T1227" t="s">
        <v>45</v>
      </c>
      <c r="U1227">
        <v>48</v>
      </c>
      <c r="V1227" t="str">
        <f>_xlfn.XLOOKUP(Table1[[#This Row],[JobInvolvement]],Table11[JobInvolvement],Table11[Id_JobInvolvement])</f>
        <v>JI002</v>
      </c>
      <c r="W1227">
        <v>2</v>
      </c>
      <c r="X1227" t="str">
        <f>_xlfn.XLOOKUP(Table1[[#This Row],[JobLevel]],Table12[JobLevel],Table12[Id_JobLevel])</f>
        <v>JL004</v>
      </c>
      <c r="Y1227">
        <v>4</v>
      </c>
      <c r="Z1227" t="str">
        <f>_xlfn.XLOOKUP(Table1[[#This Row],[JobRole]],Table13[JobRole],Table13[Id_JobRole])</f>
        <v>JR008</v>
      </c>
      <c r="AA1227" t="s">
        <v>54</v>
      </c>
      <c r="AB1227" t="str">
        <f>_xlfn.XLOOKUP(Table1[[#This Row],[JobSatisfaction]],Table14[JobSatisfaction],Table14[Id_JobSatisfaction])</f>
        <v>JS002</v>
      </c>
      <c r="AC1227">
        <v>2</v>
      </c>
      <c r="AD1227" t="str">
        <f>_xlfn.XLOOKUP(Table1[[#This Row],[JobSatisfaction]],Table14[JobSatisfaction],Table14[Deskripsi])</f>
        <v>Medium</v>
      </c>
      <c r="AE1227" t="str">
        <f>_xlfn.XLOOKUP(Table1[[#This Row],[MaritalStatus]],Table15[MaritalStatus],Table15[Id_MaritalStatus])</f>
        <v>MS001</v>
      </c>
      <c r="AF1227" t="s">
        <v>55</v>
      </c>
      <c r="AG1227">
        <v>16704</v>
      </c>
      <c r="AH1227">
        <v>17119</v>
      </c>
      <c r="AI1227">
        <v>1</v>
      </c>
      <c r="AJ1227" t="str">
        <f>_xlfn.XLOOKUP(Table1[[#This Row],[OverTime]],Table16[OverTime],Table16[Id_OverTime])</f>
        <v>OT002</v>
      </c>
      <c r="AK1227" t="s">
        <v>33</v>
      </c>
      <c r="AL1227">
        <v>11</v>
      </c>
      <c r="AM1227" t="str">
        <f>_xlfn.XLOOKUP(Table1[[#This Row],[PerformanceRating]],Table17[PerformanceRating],Table17[Id_PerformanceRating])</f>
        <v>PR003</v>
      </c>
      <c r="AN1227">
        <v>3</v>
      </c>
      <c r="AO1227" t="str">
        <f>_xlfn.XLOOKUP(Table1[[#This Row],[PerformanceRating]],Table17[PerformanceRating],Table17[Deskripsi])</f>
        <v>Excellent</v>
      </c>
      <c r="AP1227" t="str">
        <f>_xlfn.XLOOKUP(Table1[[#This Row],[RelationshipSatisfaction]],Table18[RelationshipSatisfaction],Table18[Id_RelationshipSatisfaction])</f>
        <v>RS003</v>
      </c>
      <c r="AQ1227">
        <v>3</v>
      </c>
      <c r="AR1227" t="str">
        <f>_xlfn.XLOOKUP(Table1[[#This Row],[RelationshipSatisfaction]],Table18[RelationshipSatisfaction],Table18[Deskripsi])</f>
        <v>High</v>
      </c>
      <c r="AS1227" t="str">
        <f>_xlfn.XLOOKUP(Table1[[#This Row],[StockOptionLevel]],Table19[StockOptionLevel],Table19[Id_StockOptionLevel])</f>
        <v>SOL001</v>
      </c>
      <c r="AT1227">
        <v>0</v>
      </c>
      <c r="AU1227" t="str">
        <f>_xlfn.XLOOKUP(Table1[[#This Row],[StockOptionLevel]],Table19[StockOptionLevel],Table19[Deskripsi])</f>
        <v>Non-Eligible</v>
      </c>
      <c r="AV1227">
        <v>21</v>
      </c>
      <c r="AW1227">
        <v>2</v>
      </c>
      <c r="AX1227" t="str">
        <f>_xlfn.XLOOKUP(Table1[[#This Row],[WorkLifeBalance]],Table20[WorkLifeBalance],Table20[Id_WorkLifeBalance])</f>
        <v>WLB002</v>
      </c>
      <c r="AY1227">
        <v>3</v>
      </c>
      <c r="AZ1227" t="str">
        <f>_xlfn.XLOOKUP(Table1[[#This Row],[WorkLifeBalance]],Table20[WorkLifeBalance],Table20[Deskripsi])</f>
        <v>Good</v>
      </c>
      <c r="BA1227">
        <v>21</v>
      </c>
      <c r="BB1227">
        <v>6</v>
      </c>
      <c r="BC1227">
        <v>8</v>
      </c>
      <c r="BD1227">
        <v>6</v>
      </c>
    </row>
    <row r="1228" spans="1:56" x14ac:dyDescent="0.25">
      <c r="A1228">
        <v>32</v>
      </c>
      <c r="B1228" t="str">
        <f>_xlfn.XLOOKUP(Table1[[#This Row],[Attrition]],Table2[Attrition],Table2[Id_Attrition])</f>
        <v>A002</v>
      </c>
      <c r="C1228" t="s">
        <v>33</v>
      </c>
      <c r="D1228" t="str">
        <f>_xlfn.XLOOKUP(Table1[[#This Row],[BusinessTravel]],Table5[BusinessTravel],Table5[Id_BusinessTravel])</f>
        <v>BS002</v>
      </c>
      <c r="E1228" t="s">
        <v>35</v>
      </c>
      <c r="F1228">
        <v>585</v>
      </c>
      <c r="G1228" t="str">
        <f>_xlfn.XLOOKUP(Table1[[#This Row],[Department]],Table6[Department],Table6[Id_Departement])</f>
        <v>D002</v>
      </c>
      <c r="H1228" t="s">
        <v>38</v>
      </c>
      <c r="I1228">
        <v>10</v>
      </c>
      <c r="J1228" t="str">
        <f>_xlfn.XLOOKUP(Table1[[#This Row],[Education]],Table8[Education],Table8[Id_Education])</f>
        <v>E003</v>
      </c>
      <c r="K1228">
        <v>3</v>
      </c>
      <c r="L1228" t="str">
        <f>_xlfn.XLOOKUP(Table1[[#This Row],[EducationField]],Table7[EducationField],Table7[Id_EducationField])</f>
        <v>EF001</v>
      </c>
      <c r="M1228" t="s">
        <v>40</v>
      </c>
      <c r="N1228" t="str">
        <f>_xlfn.XLOOKUP(Table1[[#This Row],[EmployeeNumber]],Table4[EmployeeNumber],Table4[Id_Employee])</f>
        <v>EMP01227</v>
      </c>
      <c r="O1228">
        <v>1720</v>
      </c>
      <c r="P1228" t="str">
        <f>_xlfn.XLOOKUP(Table1[[#This Row],[EnvironmentSatisfaction]],Table9[EnvironmentSatisfaction],Table9[Id_EnviromentSatisfaction])</f>
        <v>ES001</v>
      </c>
      <c r="Q1228">
        <v>1</v>
      </c>
      <c r="R1228" t="str">
        <f>_xlfn.XLOOKUP(Table1[[#This Row],[EnvironmentSatisfaction]],Table9[EnvironmentSatisfaction],Table9[Deskripsi])</f>
        <v>Low</v>
      </c>
      <c r="S1228" t="str">
        <f>_xlfn.XLOOKUP(Table1[[#This Row],[Gender]],Table10[Gender],Table10[Id_Gender])</f>
        <v>G002</v>
      </c>
      <c r="T1228" t="s">
        <v>46</v>
      </c>
      <c r="U1228">
        <v>56</v>
      </c>
      <c r="V1228" t="str">
        <f>_xlfn.XLOOKUP(Table1[[#This Row],[JobInvolvement]],Table11[JobInvolvement],Table11[Id_JobInvolvement])</f>
        <v>JI003</v>
      </c>
      <c r="W1228">
        <v>3</v>
      </c>
      <c r="X1228" t="str">
        <f>_xlfn.XLOOKUP(Table1[[#This Row],[JobLevel]],Table12[JobLevel],Table12[Id_JobLevel])</f>
        <v>JL001</v>
      </c>
      <c r="Y1228">
        <v>1</v>
      </c>
      <c r="Z1228" t="str">
        <f>_xlfn.XLOOKUP(Table1[[#This Row],[JobRole]],Table13[JobRole],Table13[Id_JobRole])</f>
        <v>JR002</v>
      </c>
      <c r="AA1228" t="s">
        <v>48</v>
      </c>
      <c r="AB1228" t="str">
        <f>_xlfn.XLOOKUP(Table1[[#This Row],[JobSatisfaction]],Table14[JobSatisfaction],Table14[Id_JobSatisfaction])</f>
        <v>JS003</v>
      </c>
      <c r="AC1228">
        <v>3</v>
      </c>
      <c r="AD1228" t="str">
        <f>_xlfn.XLOOKUP(Table1[[#This Row],[JobSatisfaction]],Table14[JobSatisfaction],Table14[Deskripsi])</f>
        <v>High</v>
      </c>
      <c r="AE1228" t="str">
        <f>_xlfn.XLOOKUP(Table1[[#This Row],[MaritalStatus]],Table15[MaritalStatus],Table15[Id_MaritalStatus])</f>
        <v>MS002</v>
      </c>
      <c r="AF1228" t="s">
        <v>56</v>
      </c>
      <c r="AG1228">
        <v>3433</v>
      </c>
      <c r="AH1228">
        <v>17360</v>
      </c>
      <c r="AI1228">
        <v>6</v>
      </c>
      <c r="AJ1228" t="str">
        <f>_xlfn.XLOOKUP(Table1[[#This Row],[OverTime]],Table16[OverTime],Table16[Id_OverTime])</f>
        <v>OT002</v>
      </c>
      <c r="AK1228" t="s">
        <v>33</v>
      </c>
      <c r="AL1228">
        <v>13</v>
      </c>
      <c r="AM1228" t="str">
        <f>_xlfn.XLOOKUP(Table1[[#This Row],[PerformanceRating]],Table17[PerformanceRating],Table17[Id_PerformanceRating])</f>
        <v>PR003</v>
      </c>
      <c r="AN1228">
        <v>3</v>
      </c>
      <c r="AO1228" t="str">
        <f>_xlfn.XLOOKUP(Table1[[#This Row],[PerformanceRating]],Table17[PerformanceRating],Table17[Deskripsi])</f>
        <v>Excellent</v>
      </c>
      <c r="AP1228" t="str">
        <f>_xlfn.XLOOKUP(Table1[[#This Row],[RelationshipSatisfaction]],Table18[RelationshipSatisfaction],Table18[Id_RelationshipSatisfaction])</f>
        <v>RS001</v>
      </c>
      <c r="AQ1228">
        <v>1</v>
      </c>
      <c r="AR1228" t="str">
        <f>_xlfn.XLOOKUP(Table1[[#This Row],[RelationshipSatisfaction]],Table18[RelationshipSatisfaction],Table18[Deskripsi])</f>
        <v>Low</v>
      </c>
      <c r="AS1228" t="str">
        <f>_xlfn.XLOOKUP(Table1[[#This Row],[StockOptionLevel]],Table19[StockOptionLevel],Table19[Id_StockOptionLevel])</f>
        <v>SOL002</v>
      </c>
      <c r="AT1228">
        <v>1</v>
      </c>
      <c r="AU1228" t="str">
        <f>_xlfn.XLOOKUP(Table1[[#This Row],[StockOptionLevel]],Table19[StockOptionLevel],Table19[Deskripsi])</f>
        <v>Standard</v>
      </c>
      <c r="AV1228">
        <v>10</v>
      </c>
      <c r="AW1228">
        <v>3</v>
      </c>
      <c r="AX1228" t="str">
        <f>_xlfn.XLOOKUP(Table1[[#This Row],[WorkLifeBalance]],Table20[WorkLifeBalance],Table20[Id_WorkLifeBalance])</f>
        <v>WLB003</v>
      </c>
      <c r="AY1228">
        <v>2</v>
      </c>
      <c r="AZ1228" t="str">
        <f>_xlfn.XLOOKUP(Table1[[#This Row],[WorkLifeBalance]],Table20[WorkLifeBalance],Table20[Deskripsi])</f>
        <v>Better</v>
      </c>
      <c r="BA1228">
        <v>5</v>
      </c>
      <c r="BB1228">
        <v>2</v>
      </c>
      <c r="BC1228">
        <v>1</v>
      </c>
      <c r="BD1228">
        <v>3</v>
      </c>
    </row>
    <row r="1229" spans="1:56" x14ac:dyDescent="0.25">
      <c r="A1229">
        <v>31</v>
      </c>
      <c r="B1229" t="str">
        <f>_xlfn.XLOOKUP(Table1[[#This Row],[Attrition]],Table2[Attrition],Table2[Id_Attrition])</f>
        <v>A002</v>
      </c>
      <c r="C1229" t="s">
        <v>33</v>
      </c>
      <c r="D1229" t="str">
        <f>_xlfn.XLOOKUP(Table1[[#This Row],[BusinessTravel]],Table5[BusinessTravel],Table5[Id_BusinessTravel])</f>
        <v>BS001</v>
      </c>
      <c r="E1229" t="s">
        <v>34</v>
      </c>
      <c r="F1229">
        <v>741</v>
      </c>
      <c r="G1229" t="str">
        <f>_xlfn.XLOOKUP(Table1[[#This Row],[Department]],Table6[Department],Table6[Id_Departement])</f>
        <v>D002</v>
      </c>
      <c r="H1229" t="s">
        <v>38</v>
      </c>
      <c r="I1229">
        <v>2</v>
      </c>
      <c r="J1229" t="str">
        <f>_xlfn.XLOOKUP(Table1[[#This Row],[Education]],Table8[Education],Table8[Id_Education])</f>
        <v>E004</v>
      </c>
      <c r="K1229">
        <v>4</v>
      </c>
      <c r="L1229" t="str">
        <f>_xlfn.XLOOKUP(Table1[[#This Row],[EducationField]],Table7[EducationField],Table7[Id_EducationField])</f>
        <v>EF001</v>
      </c>
      <c r="M1229" t="s">
        <v>40</v>
      </c>
      <c r="N1229" t="str">
        <f>_xlfn.XLOOKUP(Table1[[#This Row],[EmployeeNumber]],Table4[EmployeeNumber],Table4[Id_Employee])</f>
        <v>EMP01228</v>
      </c>
      <c r="O1229">
        <v>1721</v>
      </c>
      <c r="P1229" t="str">
        <f>_xlfn.XLOOKUP(Table1[[#This Row],[EnvironmentSatisfaction]],Table9[EnvironmentSatisfaction],Table9[Id_EnviromentSatisfaction])</f>
        <v>ES002</v>
      </c>
      <c r="Q1229">
        <v>2</v>
      </c>
      <c r="R1229" t="str">
        <f>_xlfn.XLOOKUP(Table1[[#This Row],[EnvironmentSatisfaction]],Table9[EnvironmentSatisfaction],Table9[Deskripsi])</f>
        <v>Medium</v>
      </c>
      <c r="S1229" t="str">
        <f>_xlfn.XLOOKUP(Table1[[#This Row],[Gender]],Table10[Gender],Table10[Id_Gender])</f>
        <v>G002</v>
      </c>
      <c r="T1229" t="s">
        <v>46</v>
      </c>
      <c r="U1229">
        <v>69</v>
      </c>
      <c r="V1229" t="str">
        <f>_xlfn.XLOOKUP(Table1[[#This Row],[JobInvolvement]],Table11[JobInvolvement],Table11[Id_JobInvolvement])</f>
        <v>JI003</v>
      </c>
      <c r="W1229">
        <v>3</v>
      </c>
      <c r="X1229" t="str">
        <f>_xlfn.XLOOKUP(Table1[[#This Row],[JobLevel]],Table12[JobLevel],Table12[Id_JobLevel])</f>
        <v>JL001</v>
      </c>
      <c r="Y1229">
        <v>1</v>
      </c>
      <c r="Z1229" t="str">
        <f>_xlfn.XLOOKUP(Table1[[#This Row],[JobRole]],Table13[JobRole],Table13[Id_JobRole])</f>
        <v>JR003</v>
      </c>
      <c r="AA1229" t="s">
        <v>49</v>
      </c>
      <c r="AB1229" t="str">
        <f>_xlfn.XLOOKUP(Table1[[#This Row],[JobSatisfaction]],Table14[JobSatisfaction],Table14[Id_JobSatisfaction])</f>
        <v>JS003</v>
      </c>
      <c r="AC1229">
        <v>3</v>
      </c>
      <c r="AD1229" t="str">
        <f>_xlfn.XLOOKUP(Table1[[#This Row],[JobSatisfaction]],Table14[JobSatisfaction],Table14[Deskripsi])</f>
        <v>High</v>
      </c>
      <c r="AE1229" t="str">
        <f>_xlfn.XLOOKUP(Table1[[#This Row],[MaritalStatus]],Table15[MaritalStatus],Table15[Id_MaritalStatus])</f>
        <v>MS002</v>
      </c>
      <c r="AF1229" t="s">
        <v>56</v>
      </c>
      <c r="AG1229">
        <v>3477</v>
      </c>
      <c r="AH1229">
        <v>18103</v>
      </c>
      <c r="AI1229">
        <v>1</v>
      </c>
      <c r="AJ1229" t="str">
        <f>_xlfn.XLOOKUP(Table1[[#This Row],[OverTime]],Table16[OverTime],Table16[Id_OverTime])</f>
        <v>OT002</v>
      </c>
      <c r="AK1229" t="s">
        <v>33</v>
      </c>
      <c r="AL1229">
        <v>14</v>
      </c>
      <c r="AM1229" t="str">
        <f>_xlfn.XLOOKUP(Table1[[#This Row],[PerformanceRating]],Table17[PerformanceRating],Table17[Id_PerformanceRating])</f>
        <v>PR003</v>
      </c>
      <c r="AN1229">
        <v>3</v>
      </c>
      <c r="AO1229" t="str">
        <f>_xlfn.XLOOKUP(Table1[[#This Row],[PerformanceRating]],Table17[PerformanceRating],Table17[Deskripsi])</f>
        <v>Excellent</v>
      </c>
      <c r="AP1229" t="str">
        <f>_xlfn.XLOOKUP(Table1[[#This Row],[RelationshipSatisfaction]],Table18[RelationshipSatisfaction],Table18[Id_RelationshipSatisfaction])</f>
        <v>RS004</v>
      </c>
      <c r="AQ1229">
        <v>4</v>
      </c>
      <c r="AR1229" t="str">
        <f>_xlfn.XLOOKUP(Table1[[#This Row],[RelationshipSatisfaction]],Table18[RelationshipSatisfaction],Table18[Deskripsi])</f>
        <v>Very High</v>
      </c>
      <c r="AS1229" t="str">
        <f>_xlfn.XLOOKUP(Table1[[#This Row],[StockOptionLevel]],Table19[StockOptionLevel],Table19[Id_StockOptionLevel])</f>
        <v>SOL002</v>
      </c>
      <c r="AT1229">
        <v>1</v>
      </c>
      <c r="AU1229" t="str">
        <f>_xlfn.XLOOKUP(Table1[[#This Row],[StockOptionLevel]],Table19[StockOptionLevel],Table19[Deskripsi])</f>
        <v>Standard</v>
      </c>
      <c r="AV1229">
        <v>6</v>
      </c>
      <c r="AW1229">
        <v>2</v>
      </c>
      <c r="AX1229" t="str">
        <f>_xlfn.XLOOKUP(Table1[[#This Row],[WorkLifeBalance]],Table20[WorkLifeBalance],Table20[Id_WorkLifeBalance])</f>
        <v>WLB004</v>
      </c>
      <c r="AY1229">
        <v>4</v>
      </c>
      <c r="AZ1229" t="str">
        <f>_xlfn.XLOOKUP(Table1[[#This Row],[WorkLifeBalance]],Table20[WorkLifeBalance],Table20[Deskripsi])</f>
        <v>Best</v>
      </c>
      <c r="BA1229">
        <v>5</v>
      </c>
      <c r="BB1229">
        <v>2</v>
      </c>
      <c r="BC1229">
        <v>0</v>
      </c>
      <c r="BD1229">
        <v>3</v>
      </c>
    </row>
    <row r="1230" spans="1:56" x14ac:dyDescent="0.25">
      <c r="A1230">
        <v>41</v>
      </c>
      <c r="B1230" t="str">
        <f>_xlfn.XLOOKUP(Table1[[#This Row],[Attrition]],Table2[Attrition],Table2[Id_Attrition])</f>
        <v>A002</v>
      </c>
      <c r="C1230" t="s">
        <v>33</v>
      </c>
      <c r="D1230" t="str">
        <f>_xlfn.XLOOKUP(Table1[[#This Row],[BusinessTravel]],Table5[BusinessTravel],Table5[Id_BusinessTravel])</f>
        <v>BS003</v>
      </c>
      <c r="E1230" t="s">
        <v>36</v>
      </c>
      <c r="F1230">
        <v>552</v>
      </c>
      <c r="G1230" t="str">
        <f>_xlfn.XLOOKUP(Table1[[#This Row],[Department]],Table6[Department],Table6[Id_Departement])</f>
        <v>D003</v>
      </c>
      <c r="H1230" t="s">
        <v>39</v>
      </c>
      <c r="I1230">
        <v>4</v>
      </c>
      <c r="J1230" t="str">
        <f>_xlfn.XLOOKUP(Table1[[#This Row],[Education]],Table8[Education],Table8[Id_Education])</f>
        <v>E003</v>
      </c>
      <c r="K1230">
        <v>3</v>
      </c>
      <c r="L1230" t="str">
        <f>_xlfn.XLOOKUP(Table1[[#This Row],[EducationField]],Table7[EducationField],Table7[Id_EducationField])</f>
        <v>EF006</v>
      </c>
      <c r="M1230" t="s">
        <v>39</v>
      </c>
      <c r="N1230" t="str">
        <f>_xlfn.XLOOKUP(Table1[[#This Row],[EmployeeNumber]],Table4[EmployeeNumber],Table4[Id_Employee])</f>
        <v>EMP01229</v>
      </c>
      <c r="O1230">
        <v>1722</v>
      </c>
      <c r="P1230" t="str">
        <f>_xlfn.XLOOKUP(Table1[[#This Row],[EnvironmentSatisfaction]],Table9[EnvironmentSatisfaction],Table9[Id_EnviromentSatisfaction])</f>
        <v>ES003</v>
      </c>
      <c r="Q1230">
        <v>3</v>
      </c>
      <c r="R1230" t="str">
        <f>_xlfn.XLOOKUP(Table1[[#This Row],[EnvironmentSatisfaction]],Table9[EnvironmentSatisfaction],Table9[Deskripsi])</f>
        <v>High</v>
      </c>
      <c r="S1230" t="str">
        <f>_xlfn.XLOOKUP(Table1[[#This Row],[Gender]],Table10[Gender],Table10[Id_Gender])</f>
        <v>G002</v>
      </c>
      <c r="T1230" t="s">
        <v>46</v>
      </c>
      <c r="U1230">
        <v>60</v>
      </c>
      <c r="V1230" t="str">
        <f>_xlfn.XLOOKUP(Table1[[#This Row],[JobInvolvement]],Table11[JobInvolvement],Table11[Id_JobInvolvement])</f>
        <v>JI001</v>
      </c>
      <c r="W1230">
        <v>1</v>
      </c>
      <c r="X1230" t="str">
        <f>_xlfn.XLOOKUP(Table1[[#This Row],[JobLevel]],Table12[JobLevel],Table12[Id_JobLevel])</f>
        <v>JL002</v>
      </c>
      <c r="Y1230">
        <v>2</v>
      </c>
      <c r="Z1230" t="str">
        <f>_xlfn.XLOOKUP(Table1[[#This Row],[JobRole]],Table13[JobRole],Table13[Id_JobRole])</f>
        <v>JR009</v>
      </c>
      <c r="AA1230" t="s">
        <v>39</v>
      </c>
      <c r="AB1230" t="str">
        <f>_xlfn.XLOOKUP(Table1[[#This Row],[JobSatisfaction]],Table14[JobSatisfaction],Table14[Id_JobSatisfaction])</f>
        <v>JS002</v>
      </c>
      <c r="AC1230">
        <v>2</v>
      </c>
      <c r="AD1230" t="str">
        <f>_xlfn.XLOOKUP(Table1[[#This Row],[JobSatisfaction]],Table14[JobSatisfaction],Table14[Deskripsi])</f>
        <v>Medium</v>
      </c>
      <c r="AE1230" t="str">
        <f>_xlfn.XLOOKUP(Table1[[#This Row],[MaritalStatus]],Table15[MaritalStatus],Table15[Id_MaritalStatus])</f>
        <v>MS002</v>
      </c>
      <c r="AF1230" t="s">
        <v>56</v>
      </c>
      <c r="AG1230">
        <v>6430</v>
      </c>
      <c r="AH1230">
        <v>20794</v>
      </c>
      <c r="AI1230">
        <v>6</v>
      </c>
      <c r="AJ1230" t="str">
        <f>_xlfn.XLOOKUP(Table1[[#This Row],[OverTime]],Table16[OverTime],Table16[Id_OverTime])</f>
        <v>OT002</v>
      </c>
      <c r="AK1230" t="s">
        <v>33</v>
      </c>
      <c r="AL1230">
        <v>19</v>
      </c>
      <c r="AM1230" t="str">
        <f>_xlfn.XLOOKUP(Table1[[#This Row],[PerformanceRating]],Table17[PerformanceRating],Table17[Id_PerformanceRating])</f>
        <v>PR003</v>
      </c>
      <c r="AN1230">
        <v>3</v>
      </c>
      <c r="AO1230" t="str">
        <f>_xlfn.XLOOKUP(Table1[[#This Row],[PerformanceRating]],Table17[PerformanceRating],Table17[Deskripsi])</f>
        <v>Excellent</v>
      </c>
      <c r="AP1230" t="str">
        <f>_xlfn.XLOOKUP(Table1[[#This Row],[RelationshipSatisfaction]],Table18[RelationshipSatisfaction],Table18[Id_RelationshipSatisfaction])</f>
        <v>RS002</v>
      </c>
      <c r="AQ1230">
        <v>2</v>
      </c>
      <c r="AR1230" t="str">
        <f>_xlfn.XLOOKUP(Table1[[#This Row],[RelationshipSatisfaction]],Table18[RelationshipSatisfaction],Table18[Deskripsi])</f>
        <v>Medium</v>
      </c>
      <c r="AS1230" t="str">
        <f>_xlfn.XLOOKUP(Table1[[#This Row],[StockOptionLevel]],Table19[StockOptionLevel],Table19[Id_StockOptionLevel])</f>
        <v>SOL002</v>
      </c>
      <c r="AT1230">
        <v>1</v>
      </c>
      <c r="AU1230" t="str">
        <f>_xlfn.XLOOKUP(Table1[[#This Row],[StockOptionLevel]],Table19[StockOptionLevel],Table19[Deskripsi])</f>
        <v>Standard</v>
      </c>
      <c r="AV1230">
        <v>10</v>
      </c>
      <c r="AW1230">
        <v>4</v>
      </c>
      <c r="AX1230" t="str">
        <f>_xlfn.XLOOKUP(Table1[[#This Row],[WorkLifeBalance]],Table20[WorkLifeBalance],Table20[Id_WorkLifeBalance])</f>
        <v>WLB002</v>
      </c>
      <c r="AY1230">
        <v>3</v>
      </c>
      <c r="AZ1230" t="str">
        <f>_xlfn.XLOOKUP(Table1[[#This Row],[WorkLifeBalance]],Table20[WorkLifeBalance],Table20[Deskripsi])</f>
        <v>Good</v>
      </c>
      <c r="BA1230">
        <v>3</v>
      </c>
      <c r="BB1230">
        <v>2</v>
      </c>
      <c r="BC1230">
        <v>1</v>
      </c>
      <c r="BD1230">
        <v>2</v>
      </c>
    </row>
    <row r="1231" spans="1:56" x14ac:dyDescent="0.25">
      <c r="A1231">
        <v>40</v>
      </c>
      <c r="B1231" t="str">
        <f>_xlfn.XLOOKUP(Table1[[#This Row],[Attrition]],Table2[Attrition],Table2[Id_Attrition])</f>
        <v>A002</v>
      </c>
      <c r="C1231" t="s">
        <v>33</v>
      </c>
      <c r="D1231" t="str">
        <f>_xlfn.XLOOKUP(Table1[[#This Row],[BusinessTravel]],Table5[BusinessTravel],Table5[Id_BusinessTravel])</f>
        <v>BS001</v>
      </c>
      <c r="E1231" t="s">
        <v>34</v>
      </c>
      <c r="F1231">
        <v>369</v>
      </c>
      <c r="G1231" t="str">
        <f>_xlfn.XLOOKUP(Table1[[#This Row],[Department]],Table6[Department],Table6[Id_Departement])</f>
        <v>D002</v>
      </c>
      <c r="H1231" t="s">
        <v>38</v>
      </c>
      <c r="I1231">
        <v>8</v>
      </c>
      <c r="J1231" t="str">
        <f>_xlfn.XLOOKUP(Table1[[#This Row],[Education]],Table8[Education],Table8[Id_Education])</f>
        <v>E002</v>
      </c>
      <c r="K1231">
        <v>2</v>
      </c>
      <c r="L1231" t="str">
        <f>_xlfn.XLOOKUP(Table1[[#This Row],[EducationField]],Table7[EducationField],Table7[Id_EducationField])</f>
        <v>EF001</v>
      </c>
      <c r="M1231" t="s">
        <v>40</v>
      </c>
      <c r="N1231" t="str">
        <f>_xlfn.XLOOKUP(Table1[[#This Row],[EmployeeNumber]],Table4[EmployeeNumber],Table4[Id_Employee])</f>
        <v>EMP01230</v>
      </c>
      <c r="O1231">
        <v>1724</v>
      </c>
      <c r="P1231" t="str">
        <f>_xlfn.XLOOKUP(Table1[[#This Row],[EnvironmentSatisfaction]],Table9[EnvironmentSatisfaction],Table9[Id_EnviromentSatisfaction])</f>
        <v>ES002</v>
      </c>
      <c r="Q1231">
        <v>2</v>
      </c>
      <c r="R1231" t="str">
        <f>_xlfn.XLOOKUP(Table1[[#This Row],[EnvironmentSatisfaction]],Table9[EnvironmentSatisfaction],Table9[Deskripsi])</f>
        <v>Medium</v>
      </c>
      <c r="S1231" t="str">
        <f>_xlfn.XLOOKUP(Table1[[#This Row],[Gender]],Table10[Gender],Table10[Id_Gender])</f>
        <v>G001</v>
      </c>
      <c r="T1231" t="s">
        <v>45</v>
      </c>
      <c r="U1231">
        <v>92</v>
      </c>
      <c r="V1231" t="str">
        <f>_xlfn.XLOOKUP(Table1[[#This Row],[JobInvolvement]],Table11[JobInvolvement],Table11[Id_JobInvolvement])</f>
        <v>JI003</v>
      </c>
      <c r="W1231">
        <v>3</v>
      </c>
      <c r="X1231" t="str">
        <f>_xlfn.XLOOKUP(Table1[[#This Row],[JobLevel]],Table12[JobLevel],Table12[Id_JobLevel])</f>
        <v>JL002</v>
      </c>
      <c r="Y1231">
        <v>2</v>
      </c>
      <c r="Z1231" t="str">
        <f>_xlfn.XLOOKUP(Table1[[#This Row],[JobRole]],Table13[JobRole],Table13[Id_JobRole])</f>
        <v>JR004</v>
      </c>
      <c r="AA1231" t="s">
        <v>50</v>
      </c>
      <c r="AB1231" t="str">
        <f>_xlfn.XLOOKUP(Table1[[#This Row],[JobSatisfaction]],Table14[JobSatisfaction],Table14[Id_JobSatisfaction])</f>
        <v>JS001</v>
      </c>
      <c r="AC1231">
        <v>1</v>
      </c>
      <c r="AD1231" t="str">
        <f>_xlfn.XLOOKUP(Table1[[#This Row],[JobSatisfaction]],Table14[JobSatisfaction],Table14[Deskripsi])</f>
        <v>Low</v>
      </c>
      <c r="AE1231" t="str">
        <f>_xlfn.XLOOKUP(Table1[[#This Row],[MaritalStatus]],Table15[MaritalStatus],Table15[Id_MaritalStatus])</f>
        <v>MS002</v>
      </c>
      <c r="AF1231" t="s">
        <v>56</v>
      </c>
      <c r="AG1231">
        <v>6516</v>
      </c>
      <c r="AH1231">
        <v>5041</v>
      </c>
      <c r="AI1231">
        <v>2</v>
      </c>
      <c r="AJ1231" t="str">
        <f>_xlfn.XLOOKUP(Table1[[#This Row],[OverTime]],Table16[OverTime],Table16[Id_OverTime])</f>
        <v>OT001</v>
      </c>
      <c r="AK1231" t="s">
        <v>32</v>
      </c>
      <c r="AL1231">
        <v>16</v>
      </c>
      <c r="AM1231" t="str">
        <f>_xlfn.XLOOKUP(Table1[[#This Row],[PerformanceRating]],Table17[PerformanceRating],Table17[Id_PerformanceRating])</f>
        <v>PR003</v>
      </c>
      <c r="AN1231">
        <v>3</v>
      </c>
      <c r="AO1231" t="str">
        <f>_xlfn.XLOOKUP(Table1[[#This Row],[PerformanceRating]],Table17[PerformanceRating],Table17[Deskripsi])</f>
        <v>Excellent</v>
      </c>
      <c r="AP1231" t="str">
        <f>_xlfn.XLOOKUP(Table1[[#This Row],[RelationshipSatisfaction]],Table18[RelationshipSatisfaction],Table18[Id_RelationshipSatisfaction])</f>
        <v>RS002</v>
      </c>
      <c r="AQ1231">
        <v>2</v>
      </c>
      <c r="AR1231" t="str">
        <f>_xlfn.XLOOKUP(Table1[[#This Row],[RelationshipSatisfaction]],Table18[RelationshipSatisfaction],Table18[Deskripsi])</f>
        <v>Medium</v>
      </c>
      <c r="AS1231" t="str">
        <f>_xlfn.XLOOKUP(Table1[[#This Row],[StockOptionLevel]],Table19[StockOptionLevel],Table19[Id_StockOptionLevel])</f>
        <v>SOL002</v>
      </c>
      <c r="AT1231">
        <v>1</v>
      </c>
      <c r="AU1231" t="str">
        <f>_xlfn.XLOOKUP(Table1[[#This Row],[StockOptionLevel]],Table19[StockOptionLevel],Table19[Deskripsi])</f>
        <v>Standard</v>
      </c>
      <c r="AV1231">
        <v>18</v>
      </c>
      <c r="AW1231">
        <v>3</v>
      </c>
      <c r="AX1231" t="str">
        <f>_xlfn.XLOOKUP(Table1[[#This Row],[WorkLifeBalance]],Table20[WorkLifeBalance],Table20[Id_WorkLifeBalance])</f>
        <v>WLB002</v>
      </c>
      <c r="AY1231">
        <v>3</v>
      </c>
      <c r="AZ1231" t="str">
        <f>_xlfn.XLOOKUP(Table1[[#This Row],[WorkLifeBalance]],Table20[WorkLifeBalance],Table20[Deskripsi])</f>
        <v>Good</v>
      </c>
      <c r="BA1231">
        <v>1</v>
      </c>
      <c r="BB1231">
        <v>0</v>
      </c>
      <c r="BC1231">
        <v>0</v>
      </c>
      <c r="BD1231">
        <v>0</v>
      </c>
    </row>
    <row r="1232" spans="1:56" x14ac:dyDescent="0.25">
      <c r="A1232">
        <v>24</v>
      </c>
      <c r="B1232" t="str">
        <f>_xlfn.XLOOKUP(Table1[[#This Row],[Attrition]],Table2[Attrition],Table2[Id_Attrition])</f>
        <v>A002</v>
      </c>
      <c r="C1232" t="s">
        <v>33</v>
      </c>
      <c r="D1232" t="str">
        <f>_xlfn.XLOOKUP(Table1[[#This Row],[BusinessTravel]],Table5[BusinessTravel],Table5[Id_BusinessTravel])</f>
        <v>BS001</v>
      </c>
      <c r="E1232" t="s">
        <v>34</v>
      </c>
      <c r="F1232">
        <v>506</v>
      </c>
      <c r="G1232" t="str">
        <f>_xlfn.XLOOKUP(Table1[[#This Row],[Department]],Table6[Department],Table6[Id_Departement])</f>
        <v>D002</v>
      </c>
      <c r="H1232" t="s">
        <v>38</v>
      </c>
      <c r="I1232">
        <v>29</v>
      </c>
      <c r="J1232" t="str">
        <f>_xlfn.XLOOKUP(Table1[[#This Row],[Education]],Table8[Education],Table8[Id_Education])</f>
        <v>E001</v>
      </c>
      <c r="K1232">
        <v>1</v>
      </c>
      <c r="L1232" t="str">
        <f>_xlfn.XLOOKUP(Table1[[#This Row],[EducationField]],Table7[EducationField],Table7[Id_EducationField])</f>
        <v>EF003</v>
      </c>
      <c r="M1232" t="s">
        <v>42</v>
      </c>
      <c r="N1232" t="str">
        <f>_xlfn.XLOOKUP(Table1[[#This Row],[EmployeeNumber]],Table4[EmployeeNumber],Table4[Id_Employee])</f>
        <v>EMP01231</v>
      </c>
      <c r="O1232">
        <v>1725</v>
      </c>
      <c r="P1232" t="str">
        <f>_xlfn.XLOOKUP(Table1[[#This Row],[EnvironmentSatisfaction]],Table9[EnvironmentSatisfaction],Table9[Id_EnviromentSatisfaction])</f>
        <v>ES002</v>
      </c>
      <c r="Q1232">
        <v>2</v>
      </c>
      <c r="R1232" t="str">
        <f>_xlfn.XLOOKUP(Table1[[#This Row],[EnvironmentSatisfaction]],Table9[EnvironmentSatisfaction],Table9[Deskripsi])</f>
        <v>Medium</v>
      </c>
      <c r="S1232" t="str">
        <f>_xlfn.XLOOKUP(Table1[[#This Row],[Gender]],Table10[Gender],Table10[Id_Gender])</f>
        <v>G002</v>
      </c>
      <c r="T1232" t="s">
        <v>46</v>
      </c>
      <c r="U1232">
        <v>91</v>
      </c>
      <c r="V1232" t="str">
        <f>_xlfn.XLOOKUP(Table1[[#This Row],[JobInvolvement]],Table11[JobInvolvement],Table11[Id_JobInvolvement])</f>
        <v>JI003</v>
      </c>
      <c r="W1232">
        <v>3</v>
      </c>
      <c r="X1232" t="str">
        <f>_xlfn.XLOOKUP(Table1[[#This Row],[JobLevel]],Table12[JobLevel],Table12[Id_JobLevel])</f>
        <v>JL001</v>
      </c>
      <c r="Y1232">
        <v>1</v>
      </c>
      <c r="Z1232" t="str">
        <f>_xlfn.XLOOKUP(Table1[[#This Row],[JobRole]],Table13[JobRole],Table13[Id_JobRole])</f>
        <v>JR003</v>
      </c>
      <c r="AA1232" t="s">
        <v>49</v>
      </c>
      <c r="AB1232" t="str">
        <f>_xlfn.XLOOKUP(Table1[[#This Row],[JobSatisfaction]],Table14[JobSatisfaction],Table14[Id_JobSatisfaction])</f>
        <v>JS001</v>
      </c>
      <c r="AC1232">
        <v>1</v>
      </c>
      <c r="AD1232" t="str">
        <f>_xlfn.XLOOKUP(Table1[[#This Row],[JobSatisfaction]],Table14[JobSatisfaction],Table14[Deskripsi])</f>
        <v>Low</v>
      </c>
      <c r="AE1232" t="str">
        <f>_xlfn.XLOOKUP(Table1[[#This Row],[MaritalStatus]],Table15[MaritalStatus],Table15[Id_MaritalStatus])</f>
        <v>MS003</v>
      </c>
      <c r="AF1232" t="s">
        <v>57</v>
      </c>
      <c r="AG1232">
        <v>3907</v>
      </c>
      <c r="AH1232">
        <v>3622</v>
      </c>
      <c r="AI1232">
        <v>1</v>
      </c>
      <c r="AJ1232" t="str">
        <f>_xlfn.XLOOKUP(Table1[[#This Row],[OverTime]],Table16[OverTime],Table16[Id_OverTime])</f>
        <v>OT002</v>
      </c>
      <c r="AK1232" t="s">
        <v>33</v>
      </c>
      <c r="AL1232">
        <v>13</v>
      </c>
      <c r="AM1232" t="str">
        <f>_xlfn.XLOOKUP(Table1[[#This Row],[PerformanceRating]],Table17[PerformanceRating],Table17[Id_PerformanceRating])</f>
        <v>PR003</v>
      </c>
      <c r="AN1232">
        <v>3</v>
      </c>
      <c r="AO1232" t="str">
        <f>_xlfn.XLOOKUP(Table1[[#This Row],[PerformanceRating]],Table17[PerformanceRating],Table17[Deskripsi])</f>
        <v>Excellent</v>
      </c>
      <c r="AP1232" t="str">
        <f>_xlfn.XLOOKUP(Table1[[#This Row],[RelationshipSatisfaction]],Table18[RelationshipSatisfaction],Table18[Id_RelationshipSatisfaction])</f>
        <v>RS002</v>
      </c>
      <c r="AQ1232">
        <v>2</v>
      </c>
      <c r="AR1232" t="str">
        <f>_xlfn.XLOOKUP(Table1[[#This Row],[RelationshipSatisfaction]],Table18[RelationshipSatisfaction],Table18[Deskripsi])</f>
        <v>Medium</v>
      </c>
      <c r="AS1232" t="str">
        <f>_xlfn.XLOOKUP(Table1[[#This Row],[StockOptionLevel]],Table19[StockOptionLevel],Table19[Id_StockOptionLevel])</f>
        <v>SOL004</v>
      </c>
      <c r="AT1232">
        <v>3</v>
      </c>
      <c r="AU1232" t="str">
        <f>_xlfn.XLOOKUP(Table1[[#This Row],[StockOptionLevel]],Table19[StockOptionLevel],Table19[Deskripsi])</f>
        <v>Senior/Executive</v>
      </c>
      <c r="AV1232">
        <v>6</v>
      </c>
      <c r="AW1232">
        <v>2</v>
      </c>
      <c r="AX1232" t="str">
        <f>_xlfn.XLOOKUP(Table1[[#This Row],[WorkLifeBalance]],Table20[WorkLifeBalance],Table20[Id_WorkLifeBalance])</f>
        <v>WLB004</v>
      </c>
      <c r="AY1232">
        <v>4</v>
      </c>
      <c r="AZ1232" t="str">
        <f>_xlfn.XLOOKUP(Table1[[#This Row],[WorkLifeBalance]],Table20[WorkLifeBalance],Table20[Deskripsi])</f>
        <v>Best</v>
      </c>
      <c r="BA1232">
        <v>6</v>
      </c>
      <c r="BB1232">
        <v>2</v>
      </c>
      <c r="BC1232">
        <v>1</v>
      </c>
      <c r="BD1232">
        <v>2</v>
      </c>
    </row>
    <row r="1233" spans="1:56" x14ac:dyDescent="0.25">
      <c r="A1233">
        <v>46</v>
      </c>
      <c r="B1233" t="str">
        <f>_xlfn.XLOOKUP(Table1[[#This Row],[Attrition]],Table2[Attrition],Table2[Id_Attrition])</f>
        <v>A002</v>
      </c>
      <c r="C1233" t="s">
        <v>33</v>
      </c>
      <c r="D1233" t="str">
        <f>_xlfn.XLOOKUP(Table1[[#This Row],[BusinessTravel]],Table5[BusinessTravel],Table5[Id_BusinessTravel])</f>
        <v>BS001</v>
      </c>
      <c r="E1233" t="s">
        <v>34</v>
      </c>
      <c r="F1233">
        <v>717</v>
      </c>
      <c r="G1233" t="str">
        <f>_xlfn.XLOOKUP(Table1[[#This Row],[Department]],Table6[Department],Table6[Id_Departement])</f>
        <v>D002</v>
      </c>
      <c r="H1233" t="s">
        <v>38</v>
      </c>
      <c r="I1233">
        <v>13</v>
      </c>
      <c r="J1233" t="str">
        <f>_xlfn.XLOOKUP(Table1[[#This Row],[Education]],Table8[Education],Table8[Id_Education])</f>
        <v>E004</v>
      </c>
      <c r="K1233">
        <v>4</v>
      </c>
      <c r="L1233" t="str">
        <f>_xlfn.XLOOKUP(Table1[[#This Row],[EducationField]],Table7[EducationField],Table7[Id_EducationField])</f>
        <v>EF001</v>
      </c>
      <c r="M1233" t="s">
        <v>40</v>
      </c>
      <c r="N1233" t="str">
        <f>_xlfn.XLOOKUP(Table1[[#This Row],[EmployeeNumber]],Table4[EmployeeNumber],Table4[Id_Employee])</f>
        <v>EMP01232</v>
      </c>
      <c r="O1233">
        <v>1727</v>
      </c>
      <c r="P1233" t="str">
        <f>_xlfn.XLOOKUP(Table1[[#This Row],[EnvironmentSatisfaction]],Table9[EnvironmentSatisfaction],Table9[Id_EnviromentSatisfaction])</f>
        <v>ES003</v>
      </c>
      <c r="Q1233">
        <v>3</v>
      </c>
      <c r="R1233" t="str">
        <f>_xlfn.XLOOKUP(Table1[[#This Row],[EnvironmentSatisfaction]],Table9[EnvironmentSatisfaction],Table9[Deskripsi])</f>
        <v>High</v>
      </c>
      <c r="S1233" t="str">
        <f>_xlfn.XLOOKUP(Table1[[#This Row],[Gender]],Table10[Gender],Table10[Id_Gender])</f>
        <v>G002</v>
      </c>
      <c r="T1233" t="s">
        <v>46</v>
      </c>
      <c r="U1233">
        <v>34</v>
      </c>
      <c r="V1233" t="str">
        <f>_xlfn.XLOOKUP(Table1[[#This Row],[JobInvolvement]],Table11[JobInvolvement],Table11[Id_JobInvolvement])</f>
        <v>JI003</v>
      </c>
      <c r="W1233">
        <v>3</v>
      </c>
      <c r="X1233" t="str">
        <f>_xlfn.XLOOKUP(Table1[[#This Row],[JobLevel]],Table12[JobLevel],Table12[Id_JobLevel])</f>
        <v>JL002</v>
      </c>
      <c r="Y1233">
        <v>2</v>
      </c>
      <c r="Z1233" t="str">
        <f>_xlfn.XLOOKUP(Table1[[#This Row],[JobRole]],Table13[JobRole],Table13[Id_JobRole])</f>
        <v>JR005</v>
      </c>
      <c r="AA1233" t="s">
        <v>51</v>
      </c>
      <c r="AB1233" t="str">
        <f>_xlfn.XLOOKUP(Table1[[#This Row],[JobSatisfaction]],Table14[JobSatisfaction],Table14[Id_JobSatisfaction])</f>
        <v>JS002</v>
      </c>
      <c r="AC1233">
        <v>2</v>
      </c>
      <c r="AD1233" t="str">
        <f>_xlfn.XLOOKUP(Table1[[#This Row],[JobSatisfaction]],Table14[JobSatisfaction],Table14[Deskripsi])</f>
        <v>Medium</v>
      </c>
      <c r="AE1233" t="str">
        <f>_xlfn.XLOOKUP(Table1[[#This Row],[MaritalStatus]],Table15[MaritalStatus],Table15[Id_MaritalStatus])</f>
        <v>MS001</v>
      </c>
      <c r="AF1233" t="s">
        <v>55</v>
      </c>
      <c r="AG1233">
        <v>5562</v>
      </c>
      <c r="AH1233">
        <v>9697</v>
      </c>
      <c r="AI1233">
        <v>6</v>
      </c>
      <c r="AJ1233" t="str">
        <f>_xlfn.XLOOKUP(Table1[[#This Row],[OverTime]],Table16[OverTime],Table16[Id_OverTime])</f>
        <v>OT002</v>
      </c>
      <c r="AK1233" t="s">
        <v>33</v>
      </c>
      <c r="AL1233">
        <v>14</v>
      </c>
      <c r="AM1233" t="str">
        <f>_xlfn.XLOOKUP(Table1[[#This Row],[PerformanceRating]],Table17[PerformanceRating],Table17[Id_PerformanceRating])</f>
        <v>PR003</v>
      </c>
      <c r="AN1233">
        <v>3</v>
      </c>
      <c r="AO1233" t="str">
        <f>_xlfn.XLOOKUP(Table1[[#This Row],[PerformanceRating]],Table17[PerformanceRating],Table17[Deskripsi])</f>
        <v>Excellent</v>
      </c>
      <c r="AP1233" t="str">
        <f>_xlfn.XLOOKUP(Table1[[#This Row],[RelationshipSatisfaction]],Table18[RelationshipSatisfaction],Table18[Id_RelationshipSatisfaction])</f>
        <v>RS004</v>
      </c>
      <c r="AQ1233">
        <v>4</v>
      </c>
      <c r="AR1233" t="str">
        <f>_xlfn.XLOOKUP(Table1[[#This Row],[RelationshipSatisfaction]],Table18[RelationshipSatisfaction],Table18[Deskripsi])</f>
        <v>Very High</v>
      </c>
      <c r="AS1233" t="str">
        <f>_xlfn.XLOOKUP(Table1[[#This Row],[StockOptionLevel]],Table19[StockOptionLevel],Table19[Id_StockOptionLevel])</f>
        <v>SOL001</v>
      </c>
      <c r="AT1233">
        <v>0</v>
      </c>
      <c r="AU1233" t="str">
        <f>_xlfn.XLOOKUP(Table1[[#This Row],[StockOptionLevel]],Table19[StockOptionLevel],Table19[Deskripsi])</f>
        <v>Non-Eligible</v>
      </c>
      <c r="AV1233">
        <v>19</v>
      </c>
      <c r="AW1233">
        <v>3</v>
      </c>
      <c r="AX1233" t="str">
        <f>_xlfn.XLOOKUP(Table1[[#This Row],[WorkLifeBalance]],Table20[WorkLifeBalance],Table20[Id_WorkLifeBalance])</f>
        <v>WLB002</v>
      </c>
      <c r="AY1233">
        <v>3</v>
      </c>
      <c r="AZ1233" t="str">
        <f>_xlfn.XLOOKUP(Table1[[#This Row],[WorkLifeBalance]],Table20[WorkLifeBalance],Table20[Deskripsi])</f>
        <v>Good</v>
      </c>
      <c r="BA1233">
        <v>10</v>
      </c>
      <c r="BB1233">
        <v>7</v>
      </c>
      <c r="BC1233">
        <v>0</v>
      </c>
      <c r="BD1233">
        <v>9</v>
      </c>
    </row>
    <row r="1234" spans="1:56" x14ac:dyDescent="0.25">
      <c r="A1234">
        <v>35</v>
      </c>
      <c r="B1234" t="str">
        <f>_xlfn.XLOOKUP(Table1[[#This Row],[Attrition]],Table2[Attrition],Table2[Id_Attrition])</f>
        <v>A002</v>
      </c>
      <c r="C1234" t="s">
        <v>33</v>
      </c>
      <c r="D1234" t="str">
        <f>_xlfn.XLOOKUP(Table1[[#This Row],[BusinessTravel]],Table5[BusinessTravel],Table5[Id_BusinessTravel])</f>
        <v>BS001</v>
      </c>
      <c r="E1234" t="s">
        <v>34</v>
      </c>
      <c r="F1234">
        <v>1370</v>
      </c>
      <c r="G1234" t="str">
        <f>_xlfn.XLOOKUP(Table1[[#This Row],[Department]],Table6[Department],Table6[Id_Departement])</f>
        <v>D002</v>
      </c>
      <c r="H1234" t="s">
        <v>38</v>
      </c>
      <c r="I1234">
        <v>27</v>
      </c>
      <c r="J1234" t="str">
        <f>_xlfn.XLOOKUP(Table1[[#This Row],[Education]],Table8[Education],Table8[Id_Education])</f>
        <v>E004</v>
      </c>
      <c r="K1234">
        <v>4</v>
      </c>
      <c r="L1234" t="str">
        <f>_xlfn.XLOOKUP(Table1[[#This Row],[EducationField]],Table7[EducationField],Table7[Id_EducationField])</f>
        <v>EF001</v>
      </c>
      <c r="M1234" t="s">
        <v>40</v>
      </c>
      <c r="N1234" t="str">
        <f>_xlfn.XLOOKUP(Table1[[#This Row],[EmployeeNumber]],Table4[EmployeeNumber],Table4[Id_Employee])</f>
        <v>EMP01233</v>
      </c>
      <c r="O1234">
        <v>1728</v>
      </c>
      <c r="P1234" t="str">
        <f>_xlfn.XLOOKUP(Table1[[#This Row],[EnvironmentSatisfaction]],Table9[EnvironmentSatisfaction],Table9[Id_EnviromentSatisfaction])</f>
        <v>ES004</v>
      </c>
      <c r="Q1234">
        <v>4</v>
      </c>
      <c r="R1234" t="str">
        <f>_xlfn.XLOOKUP(Table1[[#This Row],[EnvironmentSatisfaction]],Table9[EnvironmentSatisfaction],Table9[Deskripsi])</f>
        <v>Very High</v>
      </c>
      <c r="S1234" t="str">
        <f>_xlfn.XLOOKUP(Table1[[#This Row],[Gender]],Table10[Gender],Table10[Id_Gender])</f>
        <v>G002</v>
      </c>
      <c r="T1234" t="s">
        <v>46</v>
      </c>
      <c r="U1234">
        <v>49</v>
      </c>
      <c r="V1234" t="str">
        <f>_xlfn.XLOOKUP(Table1[[#This Row],[JobInvolvement]],Table11[JobInvolvement],Table11[Id_JobInvolvement])</f>
        <v>JI003</v>
      </c>
      <c r="W1234">
        <v>3</v>
      </c>
      <c r="X1234" t="str">
        <f>_xlfn.XLOOKUP(Table1[[#This Row],[JobLevel]],Table12[JobLevel],Table12[Id_JobLevel])</f>
        <v>JL002</v>
      </c>
      <c r="Y1234">
        <v>2</v>
      </c>
      <c r="Z1234" t="str">
        <f>_xlfn.XLOOKUP(Table1[[#This Row],[JobRole]],Table13[JobRole],Table13[Id_JobRole])</f>
        <v>JR004</v>
      </c>
      <c r="AA1234" t="s">
        <v>50</v>
      </c>
      <c r="AB1234" t="str">
        <f>_xlfn.XLOOKUP(Table1[[#This Row],[JobSatisfaction]],Table14[JobSatisfaction],Table14[Id_JobSatisfaction])</f>
        <v>JS003</v>
      </c>
      <c r="AC1234">
        <v>3</v>
      </c>
      <c r="AD1234" t="str">
        <f>_xlfn.XLOOKUP(Table1[[#This Row],[JobSatisfaction]],Table14[JobSatisfaction],Table14[Deskripsi])</f>
        <v>High</v>
      </c>
      <c r="AE1234" t="str">
        <f>_xlfn.XLOOKUP(Table1[[#This Row],[MaritalStatus]],Table15[MaritalStatus],Table15[Id_MaritalStatus])</f>
        <v>MS002</v>
      </c>
      <c r="AF1234" t="s">
        <v>56</v>
      </c>
      <c r="AG1234">
        <v>6883</v>
      </c>
      <c r="AH1234">
        <v>5151</v>
      </c>
      <c r="AI1234">
        <v>2</v>
      </c>
      <c r="AJ1234" t="str">
        <f>_xlfn.XLOOKUP(Table1[[#This Row],[OverTime]],Table16[OverTime],Table16[Id_OverTime])</f>
        <v>OT002</v>
      </c>
      <c r="AK1234" t="s">
        <v>33</v>
      </c>
      <c r="AL1234">
        <v>16</v>
      </c>
      <c r="AM1234" t="str">
        <f>_xlfn.XLOOKUP(Table1[[#This Row],[PerformanceRating]],Table17[PerformanceRating],Table17[Id_PerformanceRating])</f>
        <v>PR003</v>
      </c>
      <c r="AN1234">
        <v>3</v>
      </c>
      <c r="AO1234" t="str">
        <f>_xlfn.XLOOKUP(Table1[[#This Row],[PerformanceRating]],Table17[PerformanceRating],Table17[Deskripsi])</f>
        <v>Excellent</v>
      </c>
      <c r="AP1234" t="str">
        <f>_xlfn.XLOOKUP(Table1[[#This Row],[RelationshipSatisfaction]],Table18[RelationshipSatisfaction],Table18[Id_RelationshipSatisfaction])</f>
        <v>RS002</v>
      </c>
      <c r="AQ1234">
        <v>2</v>
      </c>
      <c r="AR1234" t="str">
        <f>_xlfn.XLOOKUP(Table1[[#This Row],[RelationshipSatisfaction]],Table18[RelationshipSatisfaction],Table18[Deskripsi])</f>
        <v>Medium</v>
      </c>
      <c r="AS1234" t="str">
        <f>_xlfn.XLOOKUP(Table1[[#This Row],[StockOptionLevel]],Table19[StockOptionLevel],Table19[Id_StockOptionLevel])</f>
        <v>SOL002</v>
      </c>
      <c r="AT1234">
        <v>1</v>
      </c>
      <c r="AU1234" t="str">
        <f>_xlfn.XLOOKUP(Table1[[#This Row],[StockOptionLevel]],Table19[StockOptionLevel],Table19[Deskripsi])</f>
        <v>Standard</v>
      </c>
      <c r="AV1234">
        <v>17</v>
      </c>
      <c r="AW1234">
        <v>3</v>
      </c>
      <c r="AX1234" t="str">
        <f>_xlfn.XLOOKUP(Table1[[#This Row],[WorkLifeBalance]],Table20[WorkLifeBalance],Table20[Id_WorkLifeBalance])</f>
        <v>WLB002</v>
      </c>
      <c r="AY1234">
        <v>3</v>
      </c>
      <c r="AZ1234" t="str">
        <f>_xlfn.XLOOKUP(Table1[[#This Row],[WorkLifeBalance]],Table20[WorkLifeBalance],Table20[Deskripsi])</f>
        <v>Good</v>
      </c>
      <c r="BA1234">
        <v>7</v>
      </c>
      <c r="BB1234">
        <v>7</v>
      </c>
      <c r="BC1234">
        <v>0</v>
      </c>
      <c r="BD1234">
        <v>7</v>
      </c>
    </row>
    <row r="1235" spans="1:56" x14ac:dyDescent="0.25">
      <c r="A1235">
        <v>30</v>
      </c>
      <c r="B1235" t="str">
        <f>_xlfn.XLOOKUP(Table1[[#This Row],[Attrition]],Table2[Attrition],Table2[Id_Attrition])</f>
        <v>A002</v>
      </c>
      <c r="C1235" t="s">
        <v>33</v>
      </c>
      <c r="D1235" t="str">
        <f>_xlfn.XLOOKUP(Table1[[#This Row],[BusinessTravel]],Table5[BusinessTravel],Table5[Id_BusinessTravel])</f>
        <v>BS001</v>
      </c>
      <c r="E1235" t="s">
        <v>34</v>
      </c>
      <c r="F1235">
        <v>793</v>
      </c>
      <c r="G1235" t="str">
        <f>_xlfn.XLOOKUP(Table1[[#This Row],[Department]],Table6[Department],Table6[Id_Departement])</f>
        <v>D002</v>
      </c>
      <c r="H1235" t="s">
        <v>38</v>
      </c>
      <c r="I1235">
        <v>16</v>
      </c>
      <c r="J1235" t="str">
        <f>_xlfn.XLOOKUP(Table1[[#This Row],[Education]],Table8[Education],Table8[Id_Education])</f>
        <v>E001</v>
      </c>
      <c r="K1235">
        <v>1</v>
      </c>
      <c r="L1235" t="str">
        <f>_xlfn.XLOOKUP(Table1[[#This Row],[EducationField]],Table7[EducationField],Table7[Id_EducationField])</f>
        <v>EF001</v>
      </c>
      <c r="M1235" t="s">
        <v>40</v>
      </c>
      <c r="N1235" t="str">
        <f>_xlfn.XLOOKUP(Table1[[#This Row],[EmployeeNumber]],Table4[EmployeeNumber],Table4[Id_Employee])</f>
        <v>EMP01234</v>
      </c>
      <c r="O1235">
        <v>1729</v>
      </c>
      <c r="P1235" t="str">
        <f>_xlfn.XLOOKUP(Table1[[#This Row],[EnvironmentSatisfaction]],Table9[EnvironmentSatisfaction],Table9[Id_EnviromentSatisfaction])</f>
        <v>ES002</v>
      </c>
      <c r="Q1235">
        <v>2</v>
      </c>
      <c r="R1235" t="str">
        <f>_xlfn.XLOOKUP(Table1[[#This Row],[EnvironmentSatisfaction]],Table9[EnvironmentSatisfaction],Table9[Deskripsi])</f>
        <v>Medium</v>
      </c>
      <c r="S1235" t="str">
        <f>_xlfn.XLOOKUP(Table1[[#This Row],[Gender]],Table10[Gender],Table10[Id_Gender])</f>
        <v>G002</v>
      </c>
      <c r="T1235" t="s">
        <v>46</v>
      </c>
      <c r="U1235">
        <v>33</v>
      </c>
      <c r="V1235" t="str">
        <f>_xlfn.XLOOKUP(Table1[[#This Row],[JobInvolvement]],Table11[JobInvolvement],Table11[Id_JobInvolvement])</f>
        <v>JI003</v>
      </c>
      <c r="W1235">
        <v>3</v>
      </c>
      <c r="X1235" t="str">
        <f>_xlfn.XLOOKUP(Table1[[#This Row],[JobLevel]],Table12[JobLevel],Table12[Id_JobLevel])</f>
        <v>JL001</v>
      </c>
      <c r="Y1235">
        <v>1</v>
      </c>
      <c r="Z1235" t="str">
        <f>_xlfn.XLOOKUP(Table1[[#This Row],[JobRole]],Table13[JobRole],Table13[Id_JobRole])</f>
        <v>JR002</v>
      </c>
      <c r="AA1235" t="s">
        <v>48</v>
      </c>
      <c r="AB1235" t="str">
        <f>_xlfn.XLOOKUP(Table1[[#This Row],[JobSatisfaction]],Table14[JobSatisfaction],Table14[Id_JobSatisfaction])</f>
        <v>JS004</v>
      </c>
      <c r="AC1235">
        <v>4</v>
      </c>
      <c r="AD1235" t="str">
        <f>_xlfn.XLOOKUP(Table1[[#This Row],[JobSatisfaction]],Table14[JobSatisfaction],Table14[Deskripsi])</f>
        <v>Very High</v>
      </c>
      <c r="AE1235" t="str">
        <f>_xlfn.XLOOKUP(Table1[[#This Row],[MaritalStatus]],Table15[MaritalStatus],Table15[Id_MaritalStatus])</f>
        <v>MS002</v>
      </c>
      <c r="AF1235" t="s">
        <v>56</v>
      </c>
      <c r="AG1235">
        <v>2862</v>
      </c>
      <c r="AH1235">
        <v>3811</v>
      </c>
      <c r="AI1235">
        <v>1</v>
      </c>
      <c r="AJ1235" t="str">
        <f>_xlfn.XLOOKUP(Table1[[#This Row],[OverTime]],Table16[OverTime],Table16[Id_OverTime])</f>
        <v>OT002</v>
      </c>
      <c r="AK1235" t="s">
        <v>33</v>
      </c>
      <c r="AL1235">
        <v>12</v>
      </c>
      <c r="AM1235" t="str">
        <f>_xlfn.XLOOKUP(Table1[[#This Row],[PerformanceRating]],Table17[PerformanceRating],Table17[Id_PerformanceRating])</f>
        <v>PR003</v>
      </c>
      <c r="AN1235">
        <v>3</v>
      </c>
      <c r="AO1235" t="str">
        <f>_xlfn.XLOOKUP(Table1[[#This Row],[PerformanceRating]],Table17[PerformanceRating],Table17[Deskripsi])</f>
        <v>Excellent</v>
      </c>
      <c r="AP1235" t="str">
        <f>_xlfn.XLOOKUP(Table1[[#This Row],[RelationshipSatisfaction]],Table18[RelationshipSatisfaction],Table18[Id_RelationshipSatisfaction])</f>
        <v>RS002</v>
      </c>
      <c r="AQ1235">
        <v>2</v>
      </c>
      <c r="AR1235" t="str">
        <f>_xlfn.XLOOKUP(Table1[[#This Row],[RelationshipSatisfaction]],Table18[RelationshipSatisfaction],Table18[Deskripsi])</f>
        <v>Medium</v>
      </c>
      <c r="AS1235" t="str">
        <f>_xlfn.XLOOKUP(Table1[[#This Row],[StockOptionLevel]],Table19[StockOptionLevel],Table19[Id_StockOptionLevel])</f>
        <v>SOL002</v>
      </c>
      <c r="AT1235">
        <v>1</v>
      </c>
      <c r="AU1235" t="str">
        <f>_xlfn.XLOOKUP(Table1[[#This Row],[StockOptionLevel]],Table19[StockOptionLevel],Table19[Deskripsi])</f>
        <v>Standard</v>
      </c>
      <c r="AV1235">
        <v>10</v>
      </c>
      <c r="AW1235">
        <v>2</v>
      </c>
      <c r="AX1235" t="str">
        <f>_xlfn.XLOOKUP(Table1[[#This Row],[WorkLifeBalance]],Table20[WorkLifeBalance],Table20[Id_WorkLifeBalance])</f>
        <v>WLB003</v>
      </c>
      <c r="AY1235">
        <v>2</v>
      </c>
      <c r="AZ1235" t="str">
        <f>_xlfn.XLOOKUP(Table1[[#This Row],[WorkLifeBalance]],Table20[WorkLifeBalance],Table20[Deskripsi])</f>
        <v>Better</v>
      </c>
      <c r="BA1235">
        <v>10</v>
      </c>
      <c r="BB1235">
        <v>0</v>
      </c>
      <c r="BC1235">
        <v>0</v>
      </c>
      <c r="BD1235">
        <v>8</v>
      </c>
    </row>
    <row r="1236" spans="1:56" x14ac:dyDescent="0.25">
      <c r="A1236">
        <v>47</v>
      </c>
      <c r="B1236" t="str">
        <f>_xlfn.XLOOKUP(Table1[[#This Row],[Attrition]],Table2[Attrition],Table2[Id_Attrition])</f>
        <v>A002</v>
      </c>
      <c r="C1236" t="s">
        <v>33</v>
      </c>
      <c r="D1236" t="str">
        <f>_xlfn.XLOOKUP(Table1[[#This Row],[BusinessTravel]],Table5[BusinessTravel],Table5[Id_BusinessTravel])</f>
        <v>BS003</v>
      </c>
      <c r="E1236" t="s">
        <v>36</v>
      </c>
      <c r="F1236">
        <v>543</v>
      </c>
      <c r="G1236" t="str">
        <f>_xlfn.XLOOKUP(Table1[[#This Row],[Department]],Table6[Department],Table6[Id_Departement])</f>
        <v>D001</v>
      </c>
      <c r="H1236" t="s">
        <v>37</v>
      </c>
      <c r="I1236">
        <v>2</v>
      </c>
      <c r="J1236" t="str">
        <f>_xlfn.XLOOKUP(Table1[[#This Row],[Education]],Table8[Education],Table8[Id_Education])</f>
        <v>E004</v>
      </c>
      <c r="K1236">
        <v>4</v>
      </c>
      <c r="L1236" t="str">
        <f>_xlfn.XLOOKUP(Table1[[#This Row],[EducationField]],Table7[EducationField],Table7[Id_EducationField])</f>
        <v>EF004</v>
      </c>
      <c r="M1236" t="s">
        <v>43</v>
      </c>
      <c r="N1236" t="str">
        <f>_xlfn.XLOOKUP(Table1[[#This Row],[EmployeeNumber]],Table4[EmployeeNumber],Table4[Id_Employee])</f>
        <v>EMP01235</v>
      </c>
      <c r="O1236">
        <v>1731</v>
      </c>
      <c r="P1236" t="str">
        <f>_xlfn.XLOOKUP(Table1[[#This Row],[EnvironmentSatisfaction]],Table9[EnvironmentSatisfaction],Table9[Id_EnviromentSatisfaction])</f>
        <v>ES003</v>
      </c>
      <c r="Q1236">
        <v>3</v>
      </c>
      <c r="R1236" t="str">
        <f>_xlfn.XLOOKUP(Table1[[#This Row],[EnvironmentSatisfaction]],Table9[EnvironmentSatisfaction],Table9[Deskripsi])</f>
        <v>High</v>
      </c>
      <c r="S1236" t="str">
        <f>_xlfn.XLOOKUP(Table1[[#This Row],[Gender]],Table10[Gender],Table10[Id_Gender])</f>
        <v>G002</v>
      </c>
      <c r="T1236" t="s">
        <v>46</v>
      </c>
      <c r="U1236">
        <v>87</v>
      </c>
      <c r="V1236" t="str">
        <f>_xlfn.XLOOKUP(Table1[[#This Row],[JobInvolvement]],Table11[JobInvolvement],Table11[Id_JobInvolvement])</f>
        <v>JI003</v>
      </c>
      <c r="W1236">
        <v>3</v>
      </c>
      <c r="X1236" t="str">
        <f>_xlfn.XLOOKUP(Table1[[#This Row],[JobLevel]],Table12[JobLevel],Table12[Id_JobLevel])</f>
        <v>JL002</v>
      </c>
      <c r="Y1236">
        <v>2</v>
      </c>
      <c r="Z1236" t="str">
        <f>_xlfn.XLOOKUP(Table1[[#This Row],[JobRole]],Table13[JobRole],Table13[Id_JobRole])</f>
        <v>JR001</v>
      </c>
      <c r="AA1236" t="s">
        <v>47</v>
      </c>
      <c r="AB1236" t="str">
        <f>_xlfn.XLOOKUP(Table1[[#This Row],[JobSatisfaction]],Table14[JobSatisfaction],Table14[Id_JobSatisfaction])</f>
        <v>JS002</v>
      </c>
      <c r="AC1236">
        <v>2</v>
      </c>
      <c r="AD1236" t="str">
        <f>_xlfn.XLOOKUP(Table1[[#This Row],[JobSatisfaction]],Table14[JobSatisfaction],Table14[Deskripsi])</f>
        <v>Medium</v>
      </c>
      <c r="AE1236" t="str">
        <f>_xlfn.XLOOKUP(Table1[[#This Row],[MaritalStatus]],Table15[MaritalStatus],Table15[Id_MaritalStatus])</f>
        <v>MS002</v>
      </c>
      <c r="AF1236" t="s">
        <v>56</v>
      </c>
      <c r="AG1236">
        <v>4978</v>
      </c>
      <c r="AH1236">
        <v>3536</v>
      </c>
      <c r="AI1236">
        <v>7</v>
      </c>
      <c r="AJ1236" t="str">
        <f>_xlfn.XLOOKUP(Table1[[#This Row],[OverTime]],Table16[OverTime],Table16[Id_OverTime])</f>
        <v>OT002</v>
      </c>
      <c r="AK1236" t="s">
        <v>33</v>
      </c>
      <c r="AL1236">
        <v>11</v>
      </c>
      <c r="AM1236" t="str">
        <f>_xlfn.XLOOKUP(Table1[[#This Row],[PerformanceRating]],Table17[PerformanceRating],Table17[Id_PerformanceRating])</f>
        <v>PR003</v>
      </c>
      <c r="AN1236">
        <v>3</v>
      </c>
      <c r="AO1236" t="str">
        <f>_xlfn.XLOOKUP(Table1[[#This Row],[PerformanceRating]],Table17[PerformanceRating],Table17[Deskripsi])</f>
        <v>Excellent</v>
      </c>
      <c r="AP1236" t="str">
        <f>_xlfn.XLOOKUP(Table1[[#This Row],[RelationshipSatisfaction]],Table18[RelationshipSatisfaction],Table18[Id_RelationshipSatisfaction])</f>
        <v>RS004</v>
      </c>
      <c r="AQ1236">
        <v>4</v>
      </c>
      <c r="AR1236" t="str">
        <f>_xlfn.XLOOKUP(Table1[[#This Row],[RelationshipSatisfaction]],Table18[RelationshipSatisfaction],Table18[Deskripsi])</f>
        <v>Very High</v>
      </c>
      <c r="AS1236" t="str">
        <f>_xlfn.XLOOKUP(Table1[[#This Row],[StockOptionLevel]],Table19[StockOptionLevel],Table19[Id_StockOptionLevel])</f>
        <v>SOL002</v>
      </c>
      <c r="AT1236">
        <v>1</v>
      </c>
      <c r="AU1236" t="str">
        <f>_xlfn.XLOOKUP(Table1[[#This Row],[StockOptionLevel]],Table19[StockOptionLevel],Table19[Deskripsi])</f>
        <v>Standard</v>
      </c>
      <c r="AV1236">
        <v>4</v>
      </c>
      <c r="AW1236">
        <v>3</v>
      </c>
      <c r="AX1236" t="str">
        <f>_xlfn.XLOOKUP(Table1[[#This Row],[WorkLifeBalance]],Table20[WorkLifeBalance],Table20[Id_WorkLifeBalance])</f>
        <v>WLB001</v>
      </c>
      <c r="AY1236">
        <v>1</v>
      </c>
      <c r="AZ1236" t="str">
        <f>_xlfn.XLOOKUP(Table1[[#This Row],[WorkLifeBalance]],Table20[WorkLifeBalance],Table20[Deskripsi])</f>
        <v>Bad</v>
      </c>
      <c r="BA1236">
        <v>1</v>
      </c>
      <c r="BB1236">
        <v>0</v>
      </c>
      <c r="BC1236">
        <v>0</v>
      </c>
      <c r="BD1236">
        <v>0</v>
      </c>
    </row>
    <row r="1237" spans="1:56" x14ac:dyDescent="0.25">
      <c r="A1237">
        <v>46</v>
      </c>
      <c r="B1237" t="str">
        <f>_xlfn.XLOOKUP(Table1[[#This Row],[Attrition]],Table2[Attrition],Table2[Id_Attrition])</f>
        <v>A002</v>
      </c>
      <c r="C1237" t="s">
        <v>33</v>
      </c>
      <c r="D1237" t="str">
        <f>_xlfn.XLOOKUP(Table1[[#This Row],[BusinessTravel]],Table5[BusinessTravel],Table5[Id_BusinessTravel])</f>
        <v>BS001</v>
      </c>
      <c r="E1237" t="s">
        <v>34</v>
      </c>
      <c r="F1237">
        <v>1277</v>
      </c>
      <c r="G1237" t="str">
        <f>_xlfn.XLOOKUP(Table1[[#This Row],[Department]],Table6[Department],Table6[Id_Departement])</f>
        <v>D001</v>
      </c>
      <c r="H1237" t="s">
        <v>37</v>
      </c>
      <c r="I1237">
        <v>2</v>
      </c>
      <c r="J1237" t="str">
        <f>_xlfn.XLOOKUP(Table1[[#This Row],[Education]],Table8[Education],Table8[Id_Education])</f>
        <v>E003</v>
      </c>
      <c r="K1237">
        <v>3</v>
      </c>
      <c r="L1237" t="str">
        <f>_xlfn.XLOOKUP(Table1[[#This Row],[EducationField]],Table7[EducationField],Table7[Id_EducationField])</f>
        <v>EF001</v>
      </c>
      <c r="M1237" t="s">
        <v>40</v>
      </c>
      <c r="N1237" t="str">
        <f>_xlfn.XLOOKUP(Table1[[#This Row],[EmployeeNumber]],Table4[EmployeeNumber],Table4[Id_Employee])</f>
        <v>EMP01236</v>
      </c>
      <c r="O1237">
        <v>1732</v>
      </c>
      <c r="P1237" t="str">
        <f>_xlfn.XLOOKUP(Table1[[#This Row],[EnvironmentSatisfaction]],Table9[EnvironmentSatisfaction],Table9[Id_EnviromentSatisfaction])</f>
        <v>ES003</v>
      </c>
      <c r="Q1237">
        <v>3</v>
      </c>
      <c r="R1237" t="str">
        <f>_xlfn.XLOOKUP(Table1[[#This Row],[EnvironmentSatisfaction]],Table9[EnvironmentSatisfaction],Table9[Deskripsi])</f>
        <v>High</v>
      </c>
      <c r="S1237" t="str">
        <f>_xlfn.XLOOKUP(Table1[[#This Row],[Gender]],Table10[Gender],Table10[Id_Gender])</f>
        <v>G002</v>
      </c>
      <c r="T1237" t="s">
        <v>46</v>
      </c>
      <c r="U1237">
        <v>74</v>
      </c>
      <c r="V1237" t="str">
        <f>_xlfn.XLOOKUP(Table1[[#This Row],[JobInvolvement]],Table11[JobInvolvement],Table11[Id_JobInvolvement])</f>
        <v>JI003</v>
      </c>
      <c r="W1237">
        <v>3</v>
      </c>
      <c r="X1237" t="str">
        <f>_xlfn.XLOOKUP(Table1[[#This Row],[JobLevel]],Table12[JobLevel],Table12[Id_JobLevel])</f>
        <v>JL003</v>
      </c>
      <c r="Y1237">
        <v>3</v>
      </c>
      <c r="Z1237" t="str">
        <f>_xlfn.XLOOKUP(Table1[[#This Row],[JobRole]],Table13[JobRole],Table13[Id_JobRole])</f>
        <v>JR001</v>
      </c>
      <c r="AA1237" t="s">
        <v>47</v>
      </c>
      <c r="AB1237" t="str">
        <f>_xlfn.XLOOKUP(Table1[[#This Row],[JobSatisfaction]],Table14[JobSatisfaction],Table14[Id_JobSatisfaction])</f>
        <v>JS004</v>
      </c>
      <c r="AC1237">
        <v>4</v>
      </c>
      <c r="AD1237" t="str">
        <f>_xlfn.XLOOKUP(Table1[[#This Row],[JobSatisfaction]],Table14[JobSatisfaction],Table14[Deskripsi])</f>
        <v>Very High</v>
      </c>
      <c r="AE1237" t="str">
        <f>_xlfn.XLOOKUP(Table1[[#This Row],[MaritalStatus]],Table15[MaritalStatus],Table15[Id_MaritalStatus])</f>
        <v>MS003</v>
      </c>
      <c r="AF1237" t="s">
        <v>57</v>
      </c>
      <c r="AG1237">
        <v>10368</v>
      </c>
      <c r="AH1237">
        <v>5596</v>
      </c>
      <c r="AI1237">
        <v>4</v>
      </c>
      <c r="AJ1237" t="str">
        <f>_xlfn.XLOOKUP(Table1[[#This Row],[OverTime]],Table16[OverTime],Table16[Id_OverTime])</f>
        <v>OT001</v>
      </c>
      <c r="AK1237" t="s">
        <v>32</v>
      </c>
      <c r="AL1237">
        <v>12</v>
      </c>
      <c r="AM1237" t="str">
        <f>_xlfn.XLOOKUP(Table1[[#This Row],[PerformanceRating]],Table17[PerformanceRating],Table17[Id_PerformanceRating])</f>
        <v>PR003</v>
      </c>
      <c r="AN1237">
        <v>3</v>
      </c>
      <c r="AO1237" t="str">
        <f>_xlfn.XLOOKUP(Table1[[#This Row],[PerformanceRating]],Table17[PerformanceRating],Table17[Deskripsi])</f>
        <v>Excellent</v>
      </c>
      <c r="AP1237" t="str">
        <f>_xlfn.XLOOKUP(Table1[[#This Row],[RelationshipSatisfaction]],Table18[RelationshipSatisfaction],Table18[Id_RelationshipSatisfaction])</f>
        <v>RS002</v>
      </c>
      <c r="AQ1237">
        <v>2</v>
      </c>
      <c r="AR1237" t="str">
        <f>_xlfn.XLOOKUP(Table1[[#This Row],[RelationshipSatisfaction]],Table18[RelationshipSatisfaction],Table18[Deskripsi])</f>
        <v>Medium</v>
      </c>
      <c r="AS1237" t="str">
        <f>_xlfn.XLOOKUP(Table1[[#This Row],[StockOptionLevel]],Table19[StockOptionLevel],Table19[Id_StockOptionLevel])</f>
        <v>SOL002</v>
      </c>
      <c r="AT1237">
        <v>1</v>
      </c>
      <c r="AU1237" t="str">
        <f>_xlfn.XLOOKUP(Table1[[#This Row],[StockOptionLevel]],Table19[StockOptionLevel],Table19[Deskripsi])</f>
        <v>Standard</v>
      </c>
      <c r="AV1237">
        <v>13</v>
      </c>
      <c r="AW1237">
        <v>5</v>
      </c>
      <c r="AX1237" t="str">
        <f>_xlfn.XLOOKUP(Table1[[#This Row],[WorkLifeBalance]],Table20[WorkLifeBalance],Table20[Id_WorkLifeBalance])</f>
        <v>WLB003</v>
      </c>
      <c r="AY1237">
        <v>2</v>
      </c>
      <c r="AZ1237" t="str">
        <f>_xlfn.XLOOKUP(Table1[[#This Row],[WorkLifeBalance]],Table20[WorkLifeBalance],Table20[Deskripsi])</f>
        <v>Better</v>
      </c>
      <c r="BA1237">
        <v>10</v>
      </c>
      <c r="BB1237">
        <v>6</v>
      </c>
      <c r="BC1237">
        <v>0</v>
      </c>
      <c r="BD1237">
        <v>3</v>
      </c>
    </row>
    <row r="1238" spans="1:56" x14ac:dyDescent="0.25">
      <c r="A1238">
        <v>36</v>
      </c>
      <c r="B1238" t="str">
        <f>_xlfn.XLOOKUP(Table1[[#This Row],[Attrition]],Table2[Attrition],Table2[Id_Attrition])</f>
        <v>A001</v>
      </c>
      <c r="C1238" t="s">
        <v>32</v>
      </c>
      <c r="D1238" t="str">
        <f>_xlfn.XLOOKUP(Table1[[#This Row],[BusinessTravel]],Table5[BusinessTravel],Table5[Id_BusinessTravel])</f>
        <v>BS001</v>
      </c>
      <c r="E1238" t="s">
        <v>34</v>
      </c>
      <c r="F1238">
        <v>1456</v>
      </c>
      <c r="G1238" t="str">
        <f>_xlfn.XLOOKUP(Table1[[#This Row],[Department]],Table6[Department],Table6[Id_Departement])</f>
        <v>D001</v>
      </c>
      <c r="H1238" t="s">
        <v>37</v>
      </c>
      <c r="I1238">
        <v>13</v>
      </c>
      <c r="J1238" t="str">
        <f>_xlfn.XLOOKUP(Table1[[#This Row],[Education]],Table8[Education],Table8[Id_Education])</f>
        <v>E005</v>
      </c>
      <c r="K1238">
        <v>5</v>
      </c>
      <c r="L1238" t="str">
        <f>_xlfn.XLOOKUP(Table1[[#This Row],[EducationField]],Table7[EducationField],Table7[Id_EducationField])</f>
        <v>EF004</v>
      </c>
      <c r="M1238" t="s">
        <v>43</v>
      </c>
      <c r="N1238" t="str">
        <f>_xlfn.XLOOKUP(Table1[[#This Row],[EmployeeNumber]],Table4[EmployeeNumber],Table4[Id_Employee])</f>
        <v>EMP01237</v>
      </c>
      <c r="O1238">
        <v>1733</v>
      </c>
      <c r="P1238" t="str">
        <f>_xlfn.XLOOKUP(Table1[[#This Row],[EnvironmentSatisfaction]],Table9[EnvironmentSatisfaction],Table9[Id_EnviromentSatisfaction])</f>
        <v>ES002</v>
      </c>
      <c r="Q1238">
        <v>2</v>
      </c>
      <c r="R1238" t="str">
        <f>_xlfn.XLOOKUP(Table1[[#This Row],[EnvironmentSatisfaction]],Table9[EnvironmentSatisfaction],Table9[Deskripsi])</f>
        <v>Medium</v>
      </c>
      <c r="S1238" t="str">
        <f>_xlfn.XLOOKUP(Table1[[#This Row],[Gender]],Table10[Gender],Table10[Id_Gender])</f>
        <v>G002</v>
      </c>
      <c r="T1238" t="s">
        <v>46</v>
      </c>
      <c r="U1238">
        <v>96</v>
      </c>
      <c r="V1238" t="str">
        <f>_xlfn.XLOOKUP(Table1[[#This Row],[JobInvolvement]],Table11[JobInvolvement],Table11[Id_JobInvolvement])</f>
        <v>JI002</v>
      </c>
      <c r="W1238">
        <v>2</v>
      </c>
      <c r="X1238" t="str">
        <f>_xlfn.XLOOKUP(Table1[[#This Row],[JobLevel]],Table12[JobLevel],Table12[Id_JobLevel])</f>
        <v>JL002</v>
      </c>
      <c r="Y1238">
        <v>2</v>
      </c>
      <c r="Z1238" t="str">
        <f>_xlfn.XLOOKUP(Table1[[#This Row],[JobRole]],Table13[JobRole],Table13[Id_JobRole])</f>
        <v>JR001</v>
      </c>
      <c r="AA1238" t="s">
        <v>47</v>
      </c>
      <c r="AB1238" t="str">
        <f>_xlfn.XLOOKUP(Table1[[#This Row],[JobSatisfaction]],Table14[JobSatisfaction],Table14[Id_JobSatisfaction])</f>
        <v>JS001</v>
      </c>
      <c r="AC1238">
        <v>1</v>
      </c>
      <c r="AD1238" t="str">
        <f>_xlfn.XLOOKUP(Table1[[#This Row],[JobSatisfaction]],Table14[JobSatisfaction],Table14[Deskripsi])</f>
        <v>Low</v>
      </c>
      <c r="AE1238" t="str">
        <f>_xlfn.XLOOKUP(Table1[[#This Row],[MaritalStatus]],Table15[MaritalStatus],Table15[Id_MaritalStatus])</f>
        <v>MS003</v>
      </c>
      <c r="AF1238" t="s">
        <v>57</v>
      </c>
      <c r="AG1238">
        <v>6134</v>
      </c>
      <c r="AH1238">
        <v>8658</v>
      </c>
      <c r="AI1238">
        <v>5</v>
      </c>
      <c r="AJ1238" t="str">
        <f>_xlfn.XLOOKUP(Table1[[#This Row],[OverTime]],Table16[OverTime],Table16[Id_OverTime])</f>
        <v>OT001</v>
      </c>
      <c r="AK1238" t="s">
        <v>32</v>
      </c>
      <c r="AL1238">
        <v>13</v>
      </c>
      <c r="AM1238" t="str">
        <f>_xlfn.XLOOKUP(Table1[[#This Row],[PerformanceRating]],Table17[PerformanceRating],Table17[Id_PerformanceRating])</f>
        <v>PR003</v>
      </c>
      <c r="AN1238">
        <v>3</v>
      </c>
      <c r="AO1238" t="str">
        <f>_xlfn.XLOOKUP(Table1[[#This Row],[PerformanceRating]],Table17[PerformanceRating],Table17[Deskripsi])</f>
        <v>Excellent</v>
      </c>
      <c r="AP1238" t="str">
        <f>_xlfn.XLOOKUP(Table1[[#This Row],[RelationshipSatisfaction]],Table18[RelationshipSatisfaction],Table18[Id_RelationshipSatisfaction])</f>
        <v>RS002</v>
      </c>
      <c r="AQ1238">
        <v>2</v>
      </c>
      <c r="AR1238" t="str">
        <f>_xlfn.XLOOKUP(Table1[[#This Row],[RelationshipSatisfaction]],Table18[RelationshipSatisfaction],Table18[Deskripsi])</f>
        <v>Medium</v>
      </c>
      <c r="AS1238" t="str">
        <f>_xlfn.XLOOKUP(Table1[[#This Row],[StockOptionLevel]],Table19[StockOptionLevel],Table19[Id_StockOptionLevel])</f>
        <v>SOL004</v>
      </c>
      <c r="AT1238">
        <v>3</v>
      </c>
      <c r="AU1238" t="str">
        <f>_xlfn.XLOOKUP(Table1[[#This Row],[StockOptionLevel]],Table19[StockOptionLevel],Table19[Deskripsi])</f>
        <v>Senior/Executive</v>
      </c>
      <c r="AV1238">
        <v>16</v>
      </c>
      <c r="AW1238">
        <v>3</v>
      </c>
      <c r="AX1238" t="str">
        <f>_xlfn.XLOOKUP(Table1[[#This Row],[WorkLifeBalance]],Table20[WorkLifeBalance],Table20[Id_WorkLifeBalance])</f>
        <v>WLB002</v>
      </c>
      <c r="AY1238">
        <v>3</v>
      </c>
      <c r="AZ1238" t="str">
        <f>_xlfn.XLOOKUP(Table1[[#This Row],[WorkLifeBalance]],Table20[WorkLifeBalance],Table20[Deskripsi])</f>
        <v>Good</v>
      </c>
      <c r="BA1238">
        <v>2</v>
      </c>
      <c r="BB1238">
        <v>2</v>
      </c>
      <c r="BC1238">
        <v>2</v>
      </c>
      <c r="BD1238">
        <v>2</v>
      </c>
    </row>
    <row r="1239" spans="1:56" x14ac:dyDescent="0.25">
      <c r="A1239">
        <v>32</v>
      </c>
      <c r="B1239" t="str">
        <f>_xlfn.XLOOKUP(Table1[[#This Row],[Attrition]],Table2[Attrition],Table2[Id_Attrition])</f>
        <v>A001</v>
      </c>
      <c r="C1239" t="s">
        <v>32</v>
      </c>
      <c r="D1239" t="str">
        <f>_xlfn.XLOOKUP(Table1[[#This Row],[BusinessTravel]],Table5[BusinessTravel],Table5[Id_BusinessTravel])</f>
        <v>BS001</v>
      </c>
      <c r="E1239" t="s">
        <v>34</v>
      </c>
      <c r="F1239">
        <v>964</v>
      </c>
      <c r="G1239" t="str">
        <f>_xlfn.XLOOKUP(Table1[[#This Row],[Department]],Table6[Department],Table6[Id_Departement])</f>
        <v>D001</v>
      </c>
      <c r="H1239" t="s">
        <v>37</v>
      </c>
      <c r="I1239">
        <v>1</v>
      </c>
      <c r="J1239" t="str">
        <f>_xlfn.XLOOKUP(Table1[[#This Row],[Education]],Table8[Education],Table8[Id_Education])</f>
        <v>E002</v>
      </c>
      <c r="K1239">
        <v>2</v>
      </c>
      <c r="L1239" t="str">
        <f>_xlfn.XLOOKUP(Table1[[#This Row],[EducationField]],Table7[EducationField],Table7[Id_EducationField])</f>
        <v>EF001</v>
      </c>
      <c r="M1239" t="s">
        <v>40</v>
      </c>
      <c r="N1239" t="str">
        <f>_xlfn.XLOOKUP(Table1[[#This Row],[EmployeeNumber]],Table4[EmployeeNumber],Table4[Id_Employee])</f>
        <v>EMP01238</v>
      </c>
      <c r="O1239">
        <v>1734</v>
      </c>
      <c r="P1239" t="str">
        <f>_xlfn.XLOOKUP(Table1[[#This Row],[EnvironmentSatisfaction]],Table9[EnvironmentSatisfaction],Table9[Id_EnviromentSatisfaction])</f>
        <v>ES001</v>
      </c>
      <c r="Q1239">
        <v>1</v>
      </c>
      <c r="R1239" t="str">
        <f>_xlfn.XLOOKUP(Table1[[#This Row],[EnvironmentSatisfaction]],Table9[EnvironmentSatisfaction],Table9[Deskripsi])</f>
        <v>Low</v>
      </c>
      <c r="S1239" t="str">
        <f>_xlfn.XLOOKUP(Table1[[#This Row],[Gender]],Table10[Gender],Table10[Id_Gender])</f>
        <v>G002</v>
      </c>
      <c r="T1239" t="s">
        <v>46</v>
      </c>
      <c r="U1239">
        <v>34</v>
      </c>
      <c r="V1239" t="str">
        <f>_xlfn.XLOOKUP(Table1[[#This Row],[JobInvolvement]],Table11[JobInvolvement],Table11[Id_JobInvolvement])</f>
        <v>JI001</v>
      </c>
      <c r="W1239">
        <v>1</v>
      </c>
      <c r="X1239" t="str">
        <f>_xlfn.XLOOKUP(Table1[[#This Row],[JobLevel]],Table12[JobLevel],Table12[Id_JobLevel])</f>
        <v>JL002</v>
      </c>
      <c r="Y1239">
        <v>2</v>
      </c>
      <c r="Z1239" t="str">
        <f>_xlfn.XLOOKUP(Table1[[#This Row],[JobRole]],Table13[JobRole],Table13[Id_JobRole])</f>
        <v>JR001</v>
      </c>
      <c r="AA1239" t="s">
        <v>47</v>
      </c>
      <c r="AB1239" t="str">
        <f>_xlfn.XLOOKUP(Table1[[#This Row],[JobSatisfaction]],Table14[JobSatisfaction],Table14[Id_JobSatisfaction])</f>
        <v>JS002</v>
      </c>
      <c r="AC1239">
        <v>2</v>
      </c>
      <c r="AD1239" t="str">
        <f>_xlfn.XLOOKUP(Table1[[#This Row],[JobSatisfaction]],Table14[JobSatisfaction],Table14[Deskripsi])</f>
        <v>Medium</v>
      </c>
      <c r="AE1239" t="str">
        <f>_xlfn.XLOOKUP(Table1[[#This Row],[MaritalStatus]],Table15[MaritalStatus],Table15[Id_MaritalStatus])</f>
        <v>MS001</v>
      </c>
      <c r="AF1239" t="s">
        <v>55</v>
      </c>
      <c r="AG1239">
        <v>6735</v>
      </c>
      <c r="AH1239">
        <v>12147</v>
      </c>
      <c r="AI1239">
        <v>6</v>
      </c>
      <c r="AJ1239" t="str">
        <f>_xlfn.XLOOKUP(Table1[[#This Row],[OverTime]],Table16[OverTime],Table16[Id_OverTime])</f>
        <v>OT002</v>
      </c>
      <c r="AK1239" t="s">
        <v>33</v>
      </c>
      <c r="AL1239">
        <v>15</v>
      </c>
      <c r="AM1239" t="str">
        <f>_xlfn.XLOOKUP(Table1[[#This Row],[PerformanceRating]],Table17[PerformanceRating],Table17[Id_PerformanceRating])</f>
        <v>PR003</v>
      </c>
      <c r="AN1239">
        <v>3</v>
      </c>
      <c r="AO1239" t="str">
        <f>_xlfn.XLOOKUP(Table1[[#This Row],[PerformanceRating]],Table17[PerformanceRating],Table17[Deskripsi])</f>
        <v>Excellent</v>
      </c>
      <c r="AP1239" t="str">
        <f>_xlfn.XLOOKUP(Table1[[#This Row],[RelationshipSatisfaction]],Table18[RelationshipSatisfaction],Table18[Id_RelationshipSatisfaction])</f>
        <v>RS002</v>
      </c>
      <c r="AQ1239">
        <v>2</v>
      </c>
      <c r="AR1239" t="str">
        <f>_xlfn.XLOOKUP(Table1[[#This Row],[RelationshipSatisfaction]],Table18[RelationshipSatisfaction],Table18[Deskripsi])</f>
        <v>Medium</v>
      </c>
      <c r="AS1239" t="str">
        <f>_xlfn.XLOOKUP(Table1[[#This Row],[StockOptionLevel]],Table19[StockOptionLevel],Table19[Id_StockOptionLevel])</f>
        <v>SOL001</v>
      </c>
      <c r="AT1239">
        <v>0</v>
      </c>
      <c r="AU1239" t="str">
        <f>_xlfn.XLOOKUP(Table1[[#This Row],[StockOptionLevel]],Table19[StockOptionLevel],Table19[Deskripsi])</f>
        <v>Non-Eligible</v>
      </c>
      <c r="AV1239">
        <v>10</v>
      </c>
      <c r="AW1239">
        <v>2</v>
      </c>
      <c r="AX1239" t="str">
        <f>_xlfn.XLOOKUP(Table1[[#This Row],[WorkLifeBalance]],Table20[WorkLifeBalance],Table20[Id_WorkLifeBalance])</f>
        <v>WLB002</v>
      </c>
      <c r="AY1239">
        <v>3</v>
      </c>
      <c r="AZ1239" t="str">
        <f>_xlfn.XLOOKUP(Table1[[#This Row],[WorkLifeBalance]],Table20[WorkLifeBalance],Table20[Deskripsi])</f>
        <v>Good</v>
      </c>
      <c r="BA1239">
        <v>0</v>
      </c>
      <c r="BB1239">
        <v>0</v>
      </c>
      <c r="BC1239">
        <v>0</v>
      </c>
      <c r="BD1239">
        <v>0</v>
      </c>
    </row>
    <row r="1240" spans="1:56" x14ac:dyDescent="0.25">
      <c r="A1240">
        <v>23</v>
      </c>
      <c r="B1240" t="str">
        <f>_xlfn.XLOOKUP(Table1[[#This Row],[Attrition]],Table2[Attrition],Table2[Id_Attrition])</f>
        <v>A002</v>
      </c>
      <c r="C1240" t="s">
        <v>33</v>
      </c>
      <c r="D1240" t="str">
        <f>_xlfn.XLOOKUP(Table1[[#This Row],[BusinessTravel]],Table5[BusinessTravel],Table5[Id_BusinessTravel])</f>
        <v>BS001</v>
      </c>
      <c r="E1240" t="s">
        <v>34</v>
      </c>
      <c r="F1240">
        <v>160</v>
      </c>
      <c r="G1240" t="str">
        <f>_xlfn.XLOOKUP(Table1[[#This Row],[Department]],Table6[Department],Table6[Id_Departement])</f>
        <v>D002</v>
      </c>
      <c r="H1240" t="s">
        <v>38</v>
      </c>
      <c r="I1240">
        <v>4</v>
      </c>
      <c r="J1240" t="str">
        <f>_xlfn.XLOOKUP(Table1[[#This Row],[Education]],Table8[Education],Table8[Id_Education])</f>
        <v>E001</v>
      </c>
      <c r="K1240">
        <v>1</v>
      </c>
      <c r="L1240" t="str">
        <f>_xlfn.XLOOKUP(Table1[[#This Row],[EducationField]],Table7[EducationField],Table7[Id_EducationField])</f>
        <v>EF003</v>
      </c>
      <c r="M1240" t="s">
        <v>42</v>
      </c>
      <c r="N1240" t="str">
        <f>_xlfn.XLOOKUP(Table1[[#This Row],[EmployeeNumber]],Table4[EmployeeNumber],Table4[Id_Employee])</f>
        <v>EMP01239</v>
      </c>
      <c r="O1240">
        <v>1735</v>
      </c>
      <c r="P1240" t="str">
        <f>_xlfn.XLOOKUP(Table1[[#This Row],[EnvironmentSatisfaction]],Table9[EnvironmentSatisfaction],Table9[Id_EnviromentSatisfaction])</f>
        <v>ES003</v>
      </c>
      <c r="Q1240">
        <v>3</v>
      </c>
      <c r="R1240" t="str">
        <f>_xlfn.XLOOKUP(Table1[[#This Row],[EnvironmentSatisfaction]],Table9[EnvironmentSatisfaction],Table9[Deskripsi])</f>
        <v>High</v>
      </c>
      <c r="S1240" t="str">
        <f>_xlfn.XLOOKUP(Table1[[#This Row],[Gender]],Table10[Gender],Table10[Id_Gender])</f>
        <v>G001</v>
      </c>
      <c r="T1240" t="s">
        <v>45</v>
      </c>
      <c r="U1240">
        <v>51</v>
      </c>
      <c r="V1240" t="str">
        <f>_xlfn.XLOOKUP(Table1[[#This Row],[JobInvolvement]],Table11[JobInvolvement],Table11[Id_JobInvolvement])</f>
        <v>JI003</v>
      </c>
      <c r="W1240">
        <v>3</v>
      </c>
      <c r="X1240" t="str">
        <f>_xlfn.XLOOKUP(Table1[[#This Row],[JobLevel]],Table12[JobLevel],Table12[Id_JobLevel])</f>
        <v>JL001</v>
      </c>
      <c r="Y1240">
        <v>1</v>
      </c>
      <c r="Z1240" t="str">
        <f>_xlfn.XLOOKUP(Table1[[#This Row],[JobRole]],Table13[JobRole],Table13[Id_JobRole])</f>
        <v>JR003</v>
      </c>
      <c r="AA1240" t="s">
        <v>49</v>
      </c>
      <c r="AB1240" t="str">
        <f>_xlfn.XLOOKUP(Table1[[#This Row],[JobSatisfaction]],Table14[JobSatisfaction],Table14[Id_JobSatisfaction])</f>
        <v>JS002</v>
      </c>
      <c r="AC1240">
        <v>2</v>
      </c>
      <c r="AD1240" t="str">
        <f>_xlfn.XLOOKUP(Table1[[#This Row],[JobSatisfaction]],Table14[JobSatisfaction],Table14[Deskripsi])</f>
        <v>Medium</v>
      </c>
      <c r="AE1240" t="str">
        <f>_xlfn.XLOOKUP(Table1[[#This Row],[MaritalStatus]],Table15[MaritalStatus],Table15[Id_MaritalStatus])</f>
        <v>MS001</v>
      </c>
      <c r="AF1240" t="s">
        <v>55</v>
      </c>
      <c r="AG1240">
        <v>3295</v>
      </c>
      <c r="AH1240">
        <v>12862</v>
      </c>
      <c r="AI1240">
        <v>1</v>
      </c>
      <c r="AJ1240" t="str">
        <f>_xlfn.XLOOKUP(Table1[[#This Row],[OverTime]],Table16[OverTime],Table16[Id_OverTime])</f>
        <v>OT002</v>
      </c>
      <c r="AK1240" t="s">
        <v>33</v>
      </c>
      <c r="AL1240">
        <v>13</v>
      </c>
      <c r="AM1240" t="str">
        <f>_xlfn.XLOOKUP(Table1[[#This Row],[PerformanceRating]],Table17[PerformanceRating],Table17[Id_PerformanceRating])</f>
        <v>PR003</v>
      </c>
      <c r="AN1240">
        <v>3</v>
      </c>
      <c r="AO1240" t="str">
        <f>_xlfn.XLOOKUP(Table1[[#This Row],[PerformanceRating]],Table17[PerformanceRating],Table17[Deskripsi])</f>
        <v>Excellent</v>
      </c>
      <c r="AP1240" t="str">
        <f>_xlfn.XLOOKUP(Table1[[#This Row],[RelationshipSatisfaction]],Table18[RelationshipSatisfaction],Table18[Id_RelationshipSatisfaction])</f>
        <v>RS003</v>
      </c>
      <c r="AQ1240">
        <v>3</v>
      </c>
      <c r="AR1240" t="str">
        <f>_xlfn.XLOOKUP(Table1[[#This Row],[RelationshipSatisfaction]],Table18[RelationshipSatisfaction],Table18[Deskripsi])</f>
        <v>High</v>
      </c>
      <c r="AS1240" t="str">
        <f>_xlfn.XLOOKUP(Table1[[#This Row],[StockOptionLevel]],Table19[StockOptionLevel],Table19[Id_StockOptionLevel])</f>
        <v>SOL001</v>
      </c>
      <c r="AT1240">
        <v>0</v>
      </c>
      <c r="AU1240" t="str">
        <f>_xlfn.XLOOKUP(Table1[[#This Row],[StockOptionLevel]],Table19[StockOptionLevel],Table19[Deskripsi])</f>
        <v>Non-Eligible</v>
      </c>
      <c r="AV1240">
        <v>3</v>
      </c>
      <c r="AW1240">
        <v>3</v>
      </c>
      <c r="AX1240" t="str">
        <f>_xlfn.XLOOKUP(Table1[[#This Row],[WorkLifeBalance]],Table20[WorkLifeBalance],Table20[Id_WorkLifeBalance])</f>
        <v>WLB001</v>
      </c>
      <c r="AY1240">
        <v>1</v>
      </c>
      <c r="AZ1240" t="str">
        <f>_xlfn.XLOOKUP(Table1[[#This Row],[WorkLifeBalance]],Table20[WorkLifeBalance],Table20[Deskripsi])</f>
        <v>Bad</v>
      </c>
      <c r="BA1240">
        <v>3</v>
      </c>
      <c r="BB1240">
        <v>2</v>
      </c>
      <c r="BC1240">
        <v>1</v>
      </c>
      <c r="BD1240">
        <v>2</v>
      </c>
    </row>
    <row r="1241" spans="1:56" x14ac:dyDescent="0.25">
      <c r="A1241">
        <v>31</v>
      </c>
      <c r="B1241" t="str">
        <f>_xlfn.XLOOKUP(Table1[[#This Row],[Attrition]],Table2[Attrition],Table2[Id_Attrition])</f>
        <v>A002</v>
      </c>
      <c r="C1241" t="s">
        <v>33</v>
      </c>
      <c r="D1241" t="str">
        <f>_xlfn.XLOOKUP(Table1[[#This Row],[BusinessTravel]],Table5[BusinessTravel],Table5[Id_BusinessTravel])</f>
        <v>BS002</v>
      </c>
      <c r="E1241" t="s">
        <v>35</v>
      </c>
      <c r="F1241">
        <v>163</v>
      </c>
      <c r="G1241" t="str">
        <f>_xlfn.XLOOKUP(Table1[[#This Row],[Department]],Table6[Department],Table6[Id_Departement])</f>
        <v>D002</v>
      </c>
      <c r="H1241" t="s">
        <v>38</v>
      </c>
      <c r="I1241">
        <v>24</v>
      </c>
      <c r="J1241" t="str">
        <f>_xlfn.XLOOKUP(Table1[[#This Row],[Education]],Table8[Education],Table8[Id_Education])</f>
        <v>E001</v>
      </c>
      <c r="K1241">
        <v>1</v>
      </c>
      <c r="L1241" t="str">
        <f>_xlfn.XLOOKUP(Table1[[#This Row],[EducationField]],Table7[EducationField],Table7[Id_EducationField])</f>
        <v>EF005</v>
      </c>
      <c r="M1241" t="s">
        <v>44</v>
      </c>
      <c r="N1241" t="str">
        <f>_xlfn.XLOOKUP(Table1[[#This Row],[EmployeeNumber]],Table4[EmployeeNumber],Table4[Id_Employee])</f>
        <v>EMP01240</v>
      </c>
      <c r="O1241">
        <v>1736</v>
      </c>
      <c r="P1241" t="str">
        <f>_xlfn.XLOOKUP(Table1[[#This Row],[EnvironmentSatisfaction]],Table9[EnvironmentSatisfaction],Table9[Id_EnviromentSatisfaction])</f>
        <v>ES004</v>
      </c>
      <c r="Q1241">
        <v>4</v>
      </c>
      <c r="R1241" t="str">
        <f>_xlfn.XLOOKUP(Table1[[#This Row],[EnvironmentSatisfaction]],Table9[EnvironmentSatisfaction],Table9[Deskripsi])</f>
        <v>Very High</v>
      </c>
      <c r="S1241" t="str">
        <f>_xlfn.XLOOKUP(Table1[[#This Row],[Gender]],Table10[Gender],Table10[Id_Gender])</f>
        <v>G001</v>
      </c>
      <c r="T1241" t="s">
        <v>45</v>
      </c>
      <c r="U1241">
        <v>30</v>
      </c>
      <c r="V1241" t="str">
        <f>_xlfn.XLOOKUP(Table1[[#This Row],[JobInvolvement]],Table11[JobInvolvement],Table11[Id_JobInvolvement])</f>
        <v>JI003</v>
      </c>
      <c r="W1241">
        <v>3</v>
      </c>
      <c r="X1241" t="str">
        <f>_xlfn.XLOOKUP(Table1[[#This Row],[JobLevel]],Table12[JobLevel],Table12[Id_JobLevel])</f>
        <v>JL002</v>
      </c>
      <c r="Y1241">
        <v>2</v>
      </c>
      <c r="Z1241" t="str">
        <f>_xlfn.XLOOKUP(Table1[[#This Row],[JobRole]],Table13[JobRole],Table13[Id_JobRole])</f>
        <v>JR004</v>
      </c>
      <c r="AA1241" t="s">
        <v>50</v>
      </c>
      <c r="AB1241" t="str">
        <f>_xlfn.XLOOKUP(Table1[[#This Row],[JobSatisfaction]],Table14[JobSatisfaction],Table14[Id_JobSatisfaction])</f>
        <v>JS004</v>
      </c>
      <c r="AC1241">
        <v>4</v>
      </c>
      <c r="AD1241" t="str">
        <f>_xlfn.XLOOKUP(Table1[[#This Row],[JobSatisfaction]],Table14[JobSatisfaction],Table14[Deskripsi])</f>
        <v>Very High</v>
      </c>
      <c r="AE1241" t="str">
        <f>_xlfn.XLOOKUP(Table1[[#This Row],[MaritalStatus]],Table15[MaritalStatus],Table15[Id_MaritalStatus])</f>
        <v>MS001</v>
      </c>
      <c r="AF1241" t="s">
        <v>55</v>
      </c>
      <c r="AG1241">
        <v>5238</v>
      </c>
      <c r="AH1241">
        <v>6670</v>
      </c>
      <c r="AI1241">
        <v>2</v>
      </c>
      <c r="AJ1241" t="str">
        <f>_xlfn.XLOOKUP(Table1[[#This Row],[OverTime]],Table16[OverTime],Table16[Id_OverTime])</f>
        <v>OT002</v>
      </c>
      <c r="AK1241" t="s">
        <v>33</v>
      </c>
      <c r="AL1241">
        <v>20</v>
      </c>
      <c r="AM1241" t="str">
        <f>_xlfn.XLOOKUP(Table1[[#This Row],[PerformanceRating]],Table17[PerformanceRating],Table17[Id_PerformanceRating])</f>
        <v>PR004</v>
      </c>
      <c r="AN1241">
        <v>4</v>
      </c>
      <c r="AO1241" t="str">
        <f>_xlfn.XLOOKUP(Table1[[#This Row],[PerformanceRating]],Table17[PerformanceRating],Table17[Deskripsi])</f>
        <v>Outstanding</v>
      </c>
      <c r="AP1241" t="str">
        <f>_xlfn.XLOOKUP(Table1[[#This Row],[RelationshipSatisfaction]],Table18[RelationshipSatisfaction],Table18[Id_RelationshipSatisfaction])</f>
        <v>RS004</v>
      </c>
      <c r="AQ1241">
        <v>4</v>
      </c>
      <c r="AR1241" t="str">
        <f>_xlfn.XLOOKUP(Table1[[#This Row],[RelationshipSatisfaction]],Table18[RelationshipSatisfaction],Table18[Deskripsi])</f>
        <v>Very High</v>
      </c>
      <c r="AS1241" t="str">
        <f>_xlfn.XLOOKUP(Table1[[#This Row],[StockOptionLevel]],Table19[StockOptionLevel],Table19[Id_StockOptionLevel])</f>
        <v>SOL001</v>
      </c>
      <c r="AT1241">
        <v>0</v>
      </c>
      <c r="AU1241" t="str">
        <f>_xlfn.XLOOKUP(Table1[[#This Row],[StockOptionLevel]],Table19[StockOptionLevel],Table19[Deskripsi])</f>
        <v>Non-Eligible</v>
      </c>
      <c r="AV1241">
        <v>9</v>
      </c>
      <c r="AW1241">
        <v>3</v>
      </c>
      <c r="AX1241" t="str">
        <f>_xlfn.XLOOKUP(Table1[[#This Row],[WorkLifeBalance]],Table20[WorkLifeBalance],Table20[Id_WorkLifeBalance])</f>
        <v>WLB003</v>
      </c>
      <c r="AY1241">
        <v>2</v>
      </c>
      <c r="AZ1241" t="str">
        <f>_xlfn.XLOOKUP(Table1[[#This Row],[WorkLifeBalance]],Table20[WorkLifeBalance],Table20[Deskripsi])</f>
        <v>Better</v>
      </c>
      <c r="BA1241">
        <v>5</v>
      </c>
      <c r="BB1241">
        <v>4</v>
      </c>
      <c r="BC1241">
        <v>1</v>
      </c>
      <c r="BD1241">
        <v>4</v>
      </c>
    </row>
    <row r="1242" spans="1:56" x14ac:dyDescent="0.25">
      <c r="A1242">
        <v>39</v>
      </c>
      <c r="B1242" t="str">
        <f>_xlfn.XLOOKUP(Table1[[#This Row],[Attrition]],Table2[Attrition],Table2[Id_Attrition])</f>
        <v>A002</v>
      </c>
      <c r="C1242" t="s">
        <v>33</v>
      </c>
      <c r="D1242" t="str">
        <f>_xlfn.XLOOKUP(Table1[[#This Row],[BusinessTravel]],Table5[BusinessTravel],Table5[Id_BusinessTravel])</f>
        <v>BS003</v>
      </c>
      <c r="E1242" t="s">
        <v>36</v>
      </c>
      <c r="F1242">
        <v>792</v>
      </c>
      <c r="G1242" t="str">
        <f>_xlfn.XLOOKUP(Table1[[#This Row],[Department]],Table6[Department],Table6[Id_Departement])</f>
        <v>D002</v>
      </c>
      <c r="H1242" t="s">
        <v>38</v>
      </c>
      <c r="I1242">
        <v>1</v>
      </c>
      <c r="J1242" t="str">
        <f>_xlfn.XLOOKUP(Table1[[#This Row],[Education]],Table8[Education],Table8[Id_Education])</f>
        <v>E003</v>
      </c>
      <c r="K1242">
        <v>3</v>
      </c>
      <c r="L1242" t="str">
        <f>_xlfn.XLOOKUP(Table1[[#This Row],[EducationField]],Table7[EducationField],Table7[Id_EducationField])</f>
        <v>EF001</v>
      </c>
      <c r="M1242" t="s">
        <v>40</v>
      </c>
      <c r="N1242" t="str">
        <f>_xlfn.XLOOKUP(Table1[[#This Row],[EmployeeNumber]],Table4[EmployeeNumber],Table4[Id_Employee])</f>
        <v>EMP01241</v>
      </c>
      <c r="O1242">
        <v>1737</v>
      </c>
      <c r="P1242" t="str">
        <f>_xlfn.XLOOKUP(Table1[[#This Row],[EnvironmentSatisfaction]],Table9[EnvironmentSatisfaction],Table9[Id_EnviromentSatisfaction])</f>
        <v>ES004</v>
      </c>
      <c r="Q1242">
        <v>4</v>
      </c>
      <c r="R1242" t="str">
        <f>_xlfn.XLOOKUP(Table1[[#This Row],[EnvironmentSatisfaction]],Table9[EnvironmentSatisfaction],Table9[Deskripsi])</f>
        <v>Very High</v>
      </c>
      <c r="S1242" t="str">
        <f>_xlfn.XLOOKUP(Table1[[#This Row],[Gender]],Table10[Gender],Table10[Id_Gender])</f>
        <v>G002</v>
      </c>
      <c r="T1242" t="s">
        <v>46</v>
      </c>
      <c r="U1242">
        <v>77</v>
      </c>
      <c r="V1242" t="str">
        <f>_xlfn.XLOOKUP(Table1[[#This Row],[JobInvolvement]],Table11[JobInvolvement],Table11[Id_JobInvolvement])</f>
        <v>JI003</v>
      </c>
      <c r="W1242">
        <v>3</v>
      </c>
      <c r="X1242" t="str">
        <f>_xlfn.XLOOKUP(Table1[[#This Row],[JobLevel]],Table12[JobLevel],Table12[Id_JobLevel])</f>
        <v>JL002</v>
      </c>
      <c r="Y1242">
        <v>2</v>
      </c>
      <c r="Z1242" t="str">
        <f>_xlfn.XLOOKUP(Table1[[#This Row],[JobRole]],Table13[JobRole],Table13[Id_JobRole])</f>
        <v>JR003</v>
      </c>
      <c r="AA1242" t="s">
        <v>49</v>
      </c>
      <c r="AB1242" t="str">
        <f>_xlfn.XLOOKUP(Table1[[#This Row],[JobSatisfaction]],Table14[JobSatisfaction],Table14[Id_JobSatisfaction])</f>
        <v>JS004</v>
      </c>
      <c r="AC1242">
        <v>4</v>
      </c>
      <c r="AD1242" t="str">
        <f>_xlfn.XLOOKUP(Table1[[#This Row],[JobSatisfaction]],Table14[JobSatisfaction],Table14[Deskripsi])</f>
        <v>Very High</v>
      </c>
      <c r="AE1242" t="str">
        <f>_xlfn.XLOOKUP(Table1[[#This Row],[MaritalStatus]],Table15[MaritalStatus],Table15[Id_MaritalStatus])</f>
        <v>MS002</v>
      </c>
      <c r="AF1242" t="s">
        <v>56</v>
      </c>
      <c r="AG1242">
        <v>6472</v>
      </c>
      <c r="AH1242">
        <v>8989</v>
      </c>
      <c r="AI1242">
        <v>1</v>
      </c>
      <c r="AJ1242" t="str">
        <f>_xlfn.XLOOKUP(Table1[[#This Row],[OverTime]],Table16[OverTime],Table16[Id_OverTime])</f>
        <v>OT001</v>
      </c>
      <c r="AK1242" t="s">
        <v>32</v>
      </c>
      <c r="AL1242">
        <v>15</v>
      </c>
      <c r="AM1242" t="str">
        <f>_xlfn.XLOOKUP(Table1[[#This Row],[PerformanceRating]],Table17[PerformanceRating],Table17[Id_PerformanceRating])</f>
        <v>PR003</v>
      </c>
      <c r="AN1242">
        <v>3</v>
      </c>
      <c r="AO1242" t="str">
        <f>_xlfn.XLOOKUP(Table1[[#This Row],[PerformanceRating]],Table17[PerformanceRating],Table17[Deskripsi])</f>
        <v>Excellent</v>
      </c>
      <c r="AP1242" t="str">
        <f>_xlfn.XLOOKUP(Table1[[#This Row],[RelationshipSatisfaction]],Table18[RelationshipSatisfaction],Table18[Id_RelationshipSatisfaction])</f>
        <v>RS004</v>
      </c>
      <c r="AQ1242">
        <v>4</v>
      </c>
      <c r="AR1242" t="str">
        <f>_xlfn.XLOOKUP(Table1[[#This Row],[RelationshipSatisfaction]],Table18[RelationshipSatisfaction],Table18[Deskripsi])</f>
        <v>Very High</v>
      </c>
      <c r="AS1242" t="str">
        <f>_xlfn.XLOOKUP(Table1[[#This Row],[StockOptionLevel]],Table19[StockOptionLevel],Table19[Id_StockOptionLevel])</f>
        <v>SOL002</v>
      </c>
      <c r="AT1242">
        <v>1</v>
      </c>
      <c r="AU1242" t="str">
        <f>_xlfn.XLOOKUP(Table1[[#This Row],[StockOptionLevel]],Table19[StockOptionLevel],Table19[Deskripsi])</f>
        <v>Standard</v>
      </c>
      <c r="AV1242">
        <v>9</v>
      </c>
      <c r="AW1242">
        <v>2</v>
      </c>
      <c r="AX1242" t="str">
        <f>_xlfn.XLOOKUP(Table1[[#This Row],[WorkLifeBalance]],Table20[WorkLifeBalance],Table20[Id_WorkLifeBalance])</f>
        <v>WLB002</v>
      </c>
      <c r="AY1242">
        <v>3</v>
      </c>
      <c r="AZ1242" t="str">
        <f>_xlfn.XLOOKUP(Table1[[#This Row],[WorkLifeBalance]],Table20[WorkLifeBalance],Table20[Deskripsi])</f>
        <v>Good</v>
      </c>
      <c r="BA1242">
        <v>9</v>
      </c>
      <c r="BB1242">
        <v>8</v>
      </c>
      <c r="BC1242">
        <v>5</v>
      </c>
      <c r="BD1242">
        <v>8</v>
      </c>
    </row>
    <row r="1243" spans="1:56" x14ac:dyDescent="0.25">
      <c r="A1243">
        <v>32</v>
      </c>
      <c r="B1243" t="str">
        <f>_xlfn.XLOOKUP(Table1[[#This Row],[Attrition]],Table2[Attrition],Table2[Id_Attrition])</f>
        <v>A002</v>
      </c>
      <c r="C1243" t="s">
        <v>33</v>
      </c>
      <c r="D1243" t="str">
        <f>_xlfn.XLOOKUP(Table1[[#This Row],[BusinessTravel]],Table5[BusinessTravel],Table5[Id_BusinessTravel])</f>
        <v>BS001</v>
      </c>
      <c r="E1243" t="s">
        <v>34</v>
      </c>
      <c r="F1243">
        <v>371</v>
      </c>
      <c r="G1243" t="str">
        <f>_xlfn.XLOOKUP(Table1[[#This Row],[Department]],Table6[Department],Table6[Id_Departement])</f>
        <v>D001</v>
      </c>
      <c r="H1243" t="s">
        <v>37</v>
      </c>
      <c r="I1243">
        <v>19</v>
      </c>
      <c r="J1243" t="str">
        <f>_xlfn.XLOOKUP(Table1[[#This Row],[Education]],Table8[Education],Table8[Id_Education])</f>
        <v>E003</v>
      </c>
      <c r="K1243">
        <v>3</v>
      </c>
      <c r="L1243" t="str">
        <f>_xlfn.XLOOKUP(Table1[[#This Row],[EducationField]],Table7[EducationField],Table7[Id_EducationField])</f>
        <v>EF001</v>
      </c>
      <c r="M1243" t="s">
        <v>40</v>
      </c>
      <c r="N1243" t="str">
        <f>_xlfn.XLOOKUP(Table1[[#This Row],[EmployeeNumber]],Table4[EmployeeNumber],Table4[Id_Employee])</f>
        <v>EMP01242</v>
      </c>
      <c r="O1243">
        <v>1739</v>
      </c>
      <c r="P1243" t="str">
        <f>_xlfn.XLOOKUP(Table1[[#This Row],[EnvironmentSatisfaction]],Table9[EnvironmentSatisfaction],Table9[Id_EnviromentSatisfaction])</f>
        <v>ES004</v>
      </c>
      <c r="Q1243">
        <v>4</v>
      </c>
      <c r="R1243" t="str">
        <f>_xlfn.XLOOKUP(Table1[[#This Row],[EnvironmentSatisfaction]],Table9[EnvironmentSatisfaction],Table9[Deskripsi])</f>
        <v>Very High</v>
      </c>
      <c r="S1243" t="str">
        <f>_xlfn.XLOOKUP(Table1[[#This Row],[Gender]],Table10[Gender],Table10[Id_Gender])</f>
        <v>G002</v>
      </c>
      <c r="T1243" t="s">
        <v>46</v>
      </c>
      <c r="U1243">
        <v>80</v>
      </c>
      <c r="V1243" t="str">
        <f>_xlfn.XLOOKUP(Table1[[#This Row],[JobInvolvement]],Table11[JobInvolvement],Table11[Id_JobInvolvement])</f>
        <v>JI001</v>
      </c>
      <c r="W1243">
        <v>1</v>
      </c>
      <c r="X1243" t="str">
        <f>_xlfn.XLOOKUP(Table1[[#This Row],[JobLevel]],Table12[JobLevel],Table12[Id_JobLevel])</f>
        <v>JL003</v>
      </c>
      <c r="Y1243">
        <v>3</v>
      </c>
      <c r="Z1243" t="str">
        <f>_xlfn.XLOOKUP(Table1[[#This Row],[JobRole]],Table13[JobRole],Table13[Id_JobRole])</f>
        <v>JR001</v>
      </c>
      <c r="AA1243" t="s">
        <v>47</v>
      </c>
      <c r="AB1243" t="str">
        <f>_xlfn.XLOOKUP(Table1[[#This Row],[JobSatisfaction]],Table14[JobSatisfaction],Table14[Id_JobSatisfaction])</f>
        <v>JS003</v>
      </c>
      <c r="AC1243">
        <v>3</v>
      </c>
      <c r="AD1243" t="str">
        <f>_xlfn.XLOOKUP(Table1[[#This Row],[JobSatisfaction]],Table14[JobSatisfaction],Table14[Deskripsi])</f>
        <v>High</v>
      </c>
      <c r="AE1243" t="str">
        <f>_xlfn.XLOOKUP(Table1[[#This Row],[MaritalStatus]],Table15[MaritalStatus],Table15[Id_MaritalStatus])</f>
        <v>MS002</v>
      </c>
      <c r="AF1243" t="s">
        <v>56</v>
      </c>
      <c r="AG1243">
        <v>9610</v>
      </c>
      <c r="AH1243">
        <v>3840</v>
      </c>
      <c r="AI1243">
        <v>3</v>
      </c>
      <c r="AJ1243" t="str">
        <f>_xlfn.XLOOKUP(Table1[[#This Row],[OverTime]],Table16[OverTime],Table16[Id_OverTime])</f>
        <v>OT002</v>
      </c>
      <c r="AK1243" t="s">
        <v>33</v>
      </c>
      <c r="AL1243">
        <v>13</v>
      </c>
      <c r="AM1243" t="str">
        <f>_xlfn.XLOOKUP(Table1[[#This Row],[PerformanceRating]],Table17[PerformanceRating],Table17[Id_PerformanceRating])</f>
        <v>PR003</v>
      </c>
      <c r="AN1243">
        <v>3</v>
      </c>
      <c r="AO1243" t="str">
        <f>_xlfn.XLOOKUP(Table1[[#This Row],[PerformanceRating]],Table17[PerformanceRating],Table17[Deskripsi])</f>
        <v>Excellent</v>
      </c>
      <c r="AP1243" t="str">
        <f>_xlfn.XLOOKUP(Table1[[#This Row],[RelationshipSatisfaction]],Table18[RelationshipSatisfaction],Table18[Id_RelationshipSatisfaction])</f>
        <v>RS003</v>
      </c>
      <c r="AQ1243">
        <v>3</v>
      </c>
      <c r="AR1243" t="str">
        <f>_xlfn.XLOOKUP(Table1[[#This Row],[RelationshipSatisfaction]],Table18[RelationshipSatisfaction],Table18[Deskripsi])</f>
        <v>High</v>
      </c>
      <c r="AS1243" t="str">
        <f>_xlfn.XLOOKUP(Table1[[#This Row],[StockOptionLevel]],Table19[StockOptionLevel],Table19[Id_StockOptionLevel])</f>
        <v>SOL002</v>
      </c>
      <c r="AT1243">
        <v>1</v>
      </c>
      <c r="AU1243" t="str">
        <f>_xlfn.XLOOKUP(Table1[[#This Row],[StockOptionLevel]],Table19[StockOptionLevel],Table19[Deskripsi])</f>
        <v>Standard</v>
      </c>
      <c r="AV1243">
        <v>10</v>
      </c>
      <c r="AW1243">
        <v>2</v>
      </c>
      <c r="AX1243" t="str">
        <f>_xlfn.XLOOKUP(Table1[[#This Row],[WorkLifeBalance]],Table20[WorkLifeBalance],Table20[Id_WorkLifeBalance])</f>
        <v>WLB001</v>
      </c>
      <c r="AY1243">
        <v>1</v>
      </c>
      <c r="AZ1243" t="str">
        <f>_xlfn.XLOOKUP(Table1[[#This Row],[WorkLifeBalance]],Table20[WorkLifeBalance],Table20[Deskripsi])</f>
        <v>Bad</v>
      </c>
      <c r="BA1243">
        <v>4</v>
      </c>
      <c r="BB1243">
        <v>3</v>
      </c>
      <c r="BC1243">
        <v>0</v>
      </c>
      <c r="BD1243">
        <v>2</v>
      </c>
    </row>
    <row r="1244" spans="1:56" x14ac:dyDescent="0.25">
      <c r="A1244">
        <v>40</v>
      </c>
      <c r="B1244" t="str">
        <f>_xlfn.XLOOKUP(Table1[[#This Row],[Attrition]],Table2[Attrition],Table2[Id_Attrition])</f>
        <v>A002</v>
      </c>
      <c r="C1244" t="s">
        <v>33</v>
      </c>
      <c r="D1244" t="str">
        <f>_xlfn.XLOOKUP(Table1[[#This Row],[BusinessTravel]],Table5[BusinessTravel],Table5[Id_BusinessTravel])</f>
        <v>BS001</v>
      </c>
      <c r="E1244" t="s">
        <v>34</v>
      </c>
      <c r="F1244">
        <v>611</v>
      </c>
      <c r="G1244" t="str">
        <f>_xlfn.XLOOKUP(Table1[[#This Row],[Department]],Table6[Department],Table6[Id_Departement])</f>
        <v>D001</v>
      </c>
      <c r="H1244" t="s">
        <v>37</v>
      </c>
      <c r="I1244">
        <v>7</v>
      </c>
      <c r="J1244" t="str">
        <f>_xlfn.XLOOKUP(Table1[[#This Row],[Education]],Table8[Education],Table8[Id_Education])</f>
        <v>E004</v>
      </c>
      <c r="K1244">
        <v>4</v>
      </c>
      <c r="L1244" t="str">
        <f>_xlfn.XLOOKUP(Table1[[#This Row],[EducationField]],Table7[EducationField],Table7[Id_EducationField])</f>
        <v>EF003</v>
      </c>
      <c r="M1244" t="s">
        <v>42</v>
      </c>
      <c r="N1244" t="str">
        <f>_xlfn.XLOOKUP(Table1[[#This Row],[EmployeeNumber]],Table4[EmployeeNumber],Table4[Id_Employee])</f>
        <v>EMP01243</v>
      </c>
      <c r="O1244">
        <v>1740</v>
      </c>
      <c r="P1244" t="str">
        <f>_xlfn.XLOOKUP(Table1[[#This Row],[EnvironmentSatisfaction]],Table9[EnvironmentSatisfaction],Table9[Id_EnviromentSatisfaction])</f>
        <v>ES002</v>
      </c>
      <c r="Q1244">
        <v>2</v>
      </c>
      <c r="R1244" t="str">
        <f>_xlfn.XLOOKUP(Table1[[#This Row],[EnvironmentSatisfaction]],Table9[EnvironmentSatisfaction],Table9[Deskripsi])</f>
        <v>Medium</v>
      </c>
      <c r="S1244" t="str">
        <f>_xlfn.XLOOKUP(Table1[[#This Row],[Gender]],Table10[Gender],Table10[Id_Gender])</f>
        <v>G002</v>
      </c>
      <c r="T1244" t="s">
        <v>46</v>
      </c>
      <c r="U1244">
        <v>88</v>
      </c>
      <c r="V1244" t="str">
        <f>_xlfn.XLOOKUP(Table1[[#This Row],[JobInvolvement]],Table11[JobInvolvement],Table11[Id_JobInvolvement])</f>
        <v>JI003</v>
      </c>
      <c r="W1244">
        <v>3</v>
      </c>
      <c r="X1244" t="str">
        <f>_xlfn.XLOOKUP(Table1[[#This Row],[JobLevel]],Table12[JobLevel],Table12[Id_JobLevel])</f>
        <v>JL005</v>
      </c>
      <c r="Y1244">
        <v>5</v>
      </c>
      <c r="Z1244" t="str">
        <f>_xlfn.XLOOKUP(Table1[[#This Row],[JobRole]],Table13[JobRole],Table13[Id_JobRole])</f>
        <v>JR006</v>
      </c>
      <c r="AA1244" t="s">
        <v>52</v>
      </c>
      <c r="AB1244" t="str">
        <f>_xlfn.XLOOKUP(Table1[[#This Row],[JobSatisfaction]],Table14[JobSatisfaction],Table14[Id_JobSatisfaction])</f>
        <v>JS002</v>
      </c>
      <c r="AC1244">
        <v>2</v>
      </c>
      <c r="AD1244" t="str">
        <f>_xlfn.XLOOKUP(Table1[[#This Row],[JobSatisfaction]],Table14[JobSatisfaction],Table14[Deskripsi])</f>
        <v>Medium</v>
      </c>
      <c r="AE1244" t="str">
        <f>_xlfn.XLOOKUP(Table1[[#This Row],[MaritalStatus]],Table15[MaritalStatus],Table15[Id_MaritalStatus])</f>
        <v>MS001</v>
      </c>
      <c r="AF1244" t="s">
        <v>55</v>
      </c>
      <c r="AG1244">
        <v>19833</v>
      </c>
      <c r="AH1244">
        <v>4349</v>
      </c>
      <c r="AI1244">
        <v>1</v>
      </c>
      <c r="AJ1244" t="str">
        <f>_xlfn.XLOOKUP(Table1[[#This Row],[OverTime]],Table16[OverTime],Table16[Id_OverTime])</f>
        <v>OT002</v>
      </c>
      <c r="AK1244" t="s">
        <v>33</v>
      </c>
      <c r="AL1244">
        <v>14</v>
      </c>
      <c r="AM1244" t="str">
        <f>_xlfn.XLOOKUP(Table1[[#This Row],[PerformanceRating]],Table17[PerformanceRating],Table17[Id_PerformanceRating])</f>
        <v>PR003</v>
      </c>
      <c r="AN1244">
        <v>3</v>
      </c>
      <c r="AO1244" t="str">
        <f>_xlfn.XLOOKUP(Table1[[#This Row],[PerformanceRating]],Table17[PerformanceRating],Table17[Deskripsi])</f>
        <v>Excellent</v>
      </c>
      <c r="AP1244" t="str">
        <f>_xlfn.XLOOKUP(Table1[[#This Row],[RelationshipSatisfaction]],Table18[RelationshipSatisfaction],Table18[Id_RelationshipSatisfaction])</f>
        <v>RS002</v>
      </c>
      <c r="AQ1244">
        <v>2</v>
      </c>
      <c r="AR1244" t="str">
        <f>_xlfn.XLOOKUP(Table1[[#This Row],[RelationshipSatisfaction]],Table18[RelationshipSatisfaction],Table18[Deskripsi])</f>
        <v>Medium</v>
      </c>
      <c r="AS1244" t="str">
        <f>_xlfn.XLOOKUP(Table1[[#This Row],[StockOptionLevel]],Table19[StockOptionLevel],Table19[Id_StockOptionLevel])</f>
        <v>SOL001</v>
      </c>
      <c r="AT1244">
        <v>0</v>
      </c>
      <c r="AU1244" t="str">
        <f>_xlfn.XLOOKUP(Table1[[#This Row],[StockOptionLevel]],Table19[StockOptionLevel],Table19[Deskripsi])</f>
        <v>Non-Eligible</v>
      </c>
      <c r="AV1244">
        <v>21</v>
      </c>
      <c r="AW1244">
        <v>3</v>
      </c>
      <c r="AX1244" t="str">
        <f>_xlfn.XLOOKUP(Table1[[#This Row],[WorkLifeBalance]],Table20[WorkLifeBalance],Table20[Id_WorkLifeBalance])</f>
        <v>WLB003</v>
      </c>
      <c r="AY1244">
        <v>2</v>
      </c>
      <c r="AZ1244" t="str">
        <f>_xlfn.XLOOKUP(Table1[[#This Row],[WorkLifeBalance]],Table20[WorkLifeBalance],Table20[Deskripsi])</f>
        <v>Better</v>
      </c>
      <c r="BA1244">
        <v>21</v>
      </c>
      <c r="BB1244">
        <v>8</v>
      </c>
      <c r="BC1244">
        <v>12</v>
      </c>
      <c r="BD1244">
        <v>8</v>
      </c>
    </row>
    <row r="1245" spans="1:56" x14ac:dyDescent="0.25">
      <c r="A1245">
        <v>45</v>
      </c>
      <c r="B1245" t="str">
        <f>_xlfn.XLOOKUP(Table1[[#This Row],[Attrition]],Table2[Attrition],Table2[Id_Attrition])</f>
        <v>A002</v>
      </c>
      <c r="C1245" t="s">
        <v>33</v>
      </c>
      <c r="D1245" t="str">
        <f>_xlfn.XLOOKUP(Table1[[#This Row],[BusinessTravel]],Table5[BusinessTravel],Table5[Id_BusinessTravel])</f>
        <v>BS001</v>
      </c>
      <c r="E1245" t="s">
        <v>34</v>
      </c>
      <c r="F1245">
        <v>176</v>
      </c>
      <c r="G1245" t="str">
        <f>_xlfn.XLOOKUP(Table1[[#This Row],[Department]],Table6[Department],Table6[Id_Departement])</f>
        <v>D003</v>
      </c>
      <c r="H1245" t="s">
        <v>39</v>
      </c>
      <c r="I1245">
        <v>4</v>
      </c>
      <c r="J1245" t="str">
        <f>_xlfn.XLOOKUP(Table1[[#This Row],[Education]],Table8[Education],Table8[Id_Education])</f>
        <v>E003</v>
      </c>
      <c r="K1245">
        <v>3</v>
      </c>
      <c r="L1245" t="str">
        <f>_xlfn.XLOOKUP(Table1[[#This Row],[EducationField]],Table7[EducationField],Table7[Id_EducationField])</f>
        <v>EF001</v>
      </c>
      <c r="M1245" t="s">
        <v>40</v>
      </c>
      <c r="N1245" t="str">
        <f>_xlfn.XLOOKUP(Table1[[#This Row],[EmployeeNumber]],Table4[EmployeeNumber],Table4[Id_Employee])</f>
        <v>EMP01244</v>
      </c>
      <c r="O1245">
        <v>1744</v>
      </c>
      <c r="P1245" t="str">
        <f>_xlfn.XLOOKUP(Table1[[#This Row],[EnvironmentSatisfaction]],Table9[EnvironmentSatisfaction],Table9[Id_EnviromentSatisfaction])</f>
        <v>ES003</v>
      </c>
      <c r="Q1245">
        <v>3</v>
      </c>
      <c r="R1245" t="str">
        <f>_xlfn.XLOOKUP(Table1[[#This Row],[EnvironmentSatisfaction]],Table9[EnvironmentSatisfaction],Table9[Deskripsi])</f>
        <v>High</v>
      </c>
      <c r="S1245" t="str">
        <f>_xlfn.XLOOKUP(Table1[[#This Row],[Gender]],Table10[Gender],Table10[Id_Gender])</f>
        <v>G001</v>
      </c>
      <c r="T1245" t="s">
        <v>45</v>
      </c>
      <c r="U1245">
        <v>56</v>
      </c>
      <c r="V1245" t="str">
        <f>_xlfn.XLOOKUP(Table1[[#This Row],[JobInvolvement]],Table11[JobInvolvement],Table11[Id_JobInvolvement])</f>
        <v>JI001</v>
      </c>
      <c r="W1245">
        <v>1</v>
      </c>
      <c r="X1245" t="str">
        <f>_xlfn.XLOOKUP(Table1[[#This Row],[JobLevel]],Table12[JobLevel],Table12[Id_JobLevel])</f>
        <v>JL003</v>
      </c>
      <c r="Y1245">
        <v>3</v>
      </c>
      <c r="Z1245" t="str">
        <f>_xlfn.XLOOKUP(Table1[[#This Row],[JobRole]],Table13[JobRole],Table13[Id_JobRole])</f>
        <v>JR009</v>
      </c>
      <c r="AA1245" t="s">
        <v>39</v>
      </c>
      <c r="AB1245" t="str">
        <f>_xlfn.XLOOKUP(Table1[[#This Row],[JobSatisfaction]],Table14[JobSatisfaction],Table14[Id_JobSatisfaction])</f>
        <v>JS003</v>
      </c>
      <c r="AC1245">
        <v>3</v>
      </c>
      <c r="AD1245" t="str">
        <f>_xlfn.XLOOKUP(Table1[[#This Row],[JobSatisfaction]],Table14[JobSatisfaction],Table14[Deskripsi])</f>
        <v>High</v>
      </c>
      <c r="AE1245" t="str">
        <f>_xlfn.XLOOKUP(Table1[[#This Row],[MaritalStatus]],Table15[MaritalStatus],Table15[Id_MaritalStatus])</f>
        <v>MS002</v>
      </c>
      <c r="AF1245" t="s">
        <v>56</v>
      </c>
      <c r="AG1245">
        <v>9756</v>
      </c>
      <c r="AH1245">
        <v>6595</v>
      </c>
      <c r="AI1245">
        <v>4</v>
      </c>
      <c r="AJ1245" t="str">
        <f>_xlfn.XLOOKUP(Table1[[#This Row],[OverTime]],Table16[OverTime],Table16[Id_OverTime])</f>
        <v>OT002</v>
      </c>
      <c r="AK1245" t="s">
        <v>33</v>
      </c>
      <c r="AL1245">
        <v>21</v>
      </c>
      <c r="AM1245" t="str">
        <f>_xlfn.XLOOKUP(Table1[[#This Row],[PerformanceRating]],Table17[PerformanceRating],Table17[Id_PerformanceRating])</f>
        <v>PR004</v>
      </c>
      <c r="AN1245">
        <v>4</v>
      </c>
      <c r="AO1245" t="str">
        <f>_xlfn.XLOOKUP(Table1[[#This Row],[PerformanceRating]],Table17[PerformanceRating],Table17[Deskripsi])</f>
        <v>Outstanding</v>
      </c>
      <c r="AP1245" t="str">
        <f>_xlfn.XLOOKUP(Table1[[#This Row],[RelationshipSatisfaction]],Table18[RelationshipSatisfaction],Table18[Id_RelationshipSatisfaction])</f>
        <v>RS003</v>
      </c>
      <c r="AQ1245">
        <v>3</v>
      </c>
      <c r="AR1245" t="str">
        <f>_xlfn.XLOOKUP(Table1[[#This Row],[RelationshipSatisfaction]],Table18[RelationshipSatisfaction],Table18[Deskripsi])</f>
        <v>High</v>
      </c>
      <c r="AS1245" t="str">
        <f>_xlfn.XLOOKUP(Table1[[#This Row],[StockOptionLevel]],Table19[StockOptionLevel],Table19[Id_StockOptionLevel])</f>
        <v>SOL003</v>
      </c>
      <c r="AT1245">
        <v>2</v>
      </c>
      <c r="AU1245" t="str">
        <f>_xlfn.XLOOKUP(Table1[[#This Row],[StockOptionLevel]],Table19[StockOptionLevel],Table19[Deskripsi])</f>
        <v>Intermediate</v>
      </c>
      <c r="AV1245">
        <v>9</v>
      </c>
      <c r="AW1245">
        <v>2</v>
      </c>
      <c r="AX1245" t="str">
        <f>_xlfn.XLOOKUP(Table1[[#This Row],[WorkLifeBalance]],Table20[WorkLifeBalance],Table20[Id_WorkLifeBalance])</f>
        <v>WLB004</v>
      </c>
      <c r="AY1245">
        <v>4</v>
      </c>
      <c r="AZ1245" t="str">
        <f>_xlfn.XLOOKUP(Table1[[#This Row],[WorkLifeBalance]],Table20[WorkLifeBalance],Table20[Deskripsi])</f>
        <v>Best</v>
      </c>
      <c r="BA1245">
        <v>5</v>
      </c>
      <c r="BB1245">
        <v>0</v>
      </c>
      <c r="BC1245">
        <v>0</v>
      </c>
      <c r="BD1245">
        <v>3</v>
      </c>
    </row>
    <row r="1246" spans="1:56" x14ac:dyDescent="0.25">
      <c r="A1246">
        <v>30</v>
      </c>
      <c r="B1246" t="str">
        <f>_xlfn.XLOOKUP(Table1[[#This Row],[Attrition]],Table2[Attrition],Table2[Id_Attrition])</f>
        <v>A002</v>
      </c>
      <c r="C1246" t="s">
        <v>33</v>
      </c>
      <c r="D1246" t="str">
        <f>_xlfn.XLOOKUP(Table1[[#This Row],[BusinessTravel]],Table5[BusinessTravel],Table5[Id_BusinessTravel])</f>
        <v>BS002</v>
      </c>
      <c r="E1246" t="s">
        <v>35</v>
      </c>
      <c r="F1246">
        <v>1312</v>
      </c>
      <c r="G1246" t="str">
        <f>_xlfn.XLOOKUP(Table1[[#This Row],[Department]],Table6[Department],Table6[Id_Departement])</f>
        <v>D002</v>
      </c>
      <c r="H1246" t="s">
        <v>38</v>
      </c>
      <c r="I1246">
        <v>2</v>
      </c>
      <c r="J1246" t="str">
        <f>_xlfn.XLOOKUP(Table1[[#This Row],[Education]],Table8[Education],Table8[Id_Education])</f>
        <v>E004</v>
      </c>
      <c r="K1246">
        <v>4</v>
      </c>
      <c r="L1246" t="str">
        <f>_xlfn.XLOOKUP(Table1[[#This Row],[EducationField]],Table7[EducationField],Table7[Id_EducationField])</f>
        <v>EF005</v>
      </c>
      <c r="M1246" t="s">
        <v>44</v>
      </c>
      <c r="N1246" t="str">
        <f>_xlfn.XLOOKUP(Table1[[#This Row],[EmployeeNumber]],Table4[EmployeeNumber],Table4[Id_Employee])</f>
        <v>EMP01245</v>
      </c>
      <c r="O1246">
        <v>1745</v>
      </c>
      <c r="P1246" t="str">
        <f>_xlfn.XLOOKUP(Table1[[#This Row],[EnvironmentSatisfaction]],Table9[EnvironmentSatisfaction],Table9[Id_EnviromentSatisfaction])</f>
        <v>ES004</v>
      </c>
      <c r="Q1246">
        <v>4</v>
      </c>
      <c r="R1246" t="str">
        <f>_xlfn.XLOOKUP(Table1[[#This Row],[EnvironmentSatisfaction]],Table9[EnvironmentSatisfaction],Table9[Deskripsi])</f>
        <v>Very High</v>
      </c>
      <c r="S1246" t="str">
        <f>_xlfn.XLOOKUP(Table1[[#This Row],[Gender]],Table10[Gender],Table10[Id_Gender])</f>
        <v>G001</v>
      </c>
      <c r="T1246" t="s">
        <v>45</v>
      </c>
      <c r="U1246">
        <v>78</v>
      </c>
      <c r="V1246" t="str">
        <f>_xlfn.XLOOKUP(Table1[[#This Row],[JobInvolvement]],Table11[JobInvolvement],Table11[Id_JobInvolvement])</f>
        <v>JI002</v>
      </c>
      <c r="W1246">
        <v>2</v>
      </c>
      <c r="X1246" t="str">
        <f>_xlfn.XLOOKUP(Table1[[#This Row],[JobLevel]],Table12[JobLevel],Table12[Id_JobLevel])</f>
        <v>JL001</v>
      </c>
      <c r="Y1246">
        <v>1</v>
      </c>
      <c r="Z1246" t="str">
        <f>_xlfn.XLOOKUP(Table1[[#This Row],[JobRole]],Table13[JobRole],Table13[Id_JobRole])</f>
        <v>JR002</v>
      </c>
      <c r="AA1246" t="s">
        <v>48</v>
      </c>
      <c r="AB1246" t="str">
        <f>_xlfn.XLOOKUP(Table1[[#This Row],[JobSatisfaction]],Table14[JobSatisfaction],Table14[Id_JobSatisfaction])</f>
        <v>JS001</v>
      </c>
      <c r="AC1246">
        <v>1</v>
      </c>
      <c r="AD1246" t="str">
        <f>_xlfn.XLOOKUP(Table1[[#This Row],[JobSatisfaction]],Table14[JobSatisfaction],Table14[Deskripsi])</f>
        <v>Low</v>
      </c>
      <c r="AE1246" t="str">
        <f>_xlfn.XLOOKUP(Table1[[#This Row],[MaritalStatus]],Table15[MaritalStatus],Table15[Id_MaritalStatus])</f>
        <v>MS001</v>
      </c>
      <c r="AF1246" t="s">
        <v>55</v>
      </c>
      <c r="AG1246">
        <v>4968</v>
      </c>
      <c r="AH1246">
        <v>26427</v>
      </c>
      <c r="AI1246">
        <v>0</v>
      </c>
      <c r="AJ1246" t="str">
        <f>_xlfn.XLOOKUP(Table1[[#This Row],[OverTime]],Table16[OverTime],Table16[Id_OverTime])</f>
        <v>OT002</v>
      </c>
      <c r="AK1246" t="s">
        <v>33</v>
      </c>
      <c r="AL1246">
        <v>16</v>
      </c>
      <c r="AM1246" t="str">
        <f>_xlfn.XLOOKUP(Table1[[#This Row],[PerformanceRating]],Table17[PerformanceRating],Table17[Id_PerformanceRating])</f>
        <v>PR003</v>
      </c>
      <c r="AN1246">
        <v>3</v>
      </c>
      <c r="AO1246" t="str">
        <f>_xlfn.XLOOKUP(Table1[[#This Row],[PerformanceRating]],Table17[PerformanceRating],Table17[Deskripsi])</f>
        <v>Excellent</v>
      </c>
      <c r="AP1246" t="str">
        <f>_xlfn.XLOOKUP(Table1[[#This Row],[RelationshipSatisfaction]],Table18[RelationshipSatisfaction],Table18[Id_RelationshipSatisfaction])</f>
        <v>RS004</v>
      </c>
      <c r="AQ1246">
        <v>4</v>
      </c>
      <c r="AR1246" t="str">
        <f>_xlfn.XLOOKUP(Table1[[#This Row],[RelationshipSatisfaction]],Table18[RelationshipSatisfaction],Table18[Deskripsi])</f>
        <v>Very High</v>
      </c>
      <c r="AS1246" t="str">
        <f>_xlfn.XLOOKUP(Table1[[#This Row],[StockOptionLevel]],Table19[StockOptionLevel],Table19[Id_StockOptionLevel])</f>
        <v>SOL001</v>
      </c>
      <c r="AT1246">
        <v>0</v>
      </c>
      <c r="AU1246" t="str">
        <f>_xlfn.XLOOKUP(Table1[[#This Row],[StockOptionLevel]],Table19[StockOptionLevel],Table19[Deskripsi])</f>
        <v>Non-Eligible</v>
      </c>
      <c r="AV1246">
        <v>10</v>
      </c>
      <c r="AW1246">
        <v>2</v>
      </c>
      <c r="AX1246" t="str">
        <f>_xlfn.XLOOKUP(Table1[[#This Row],[WorkLifeBalance]],Table20[WorkLifeBalance],Table20[Id_WorkLifeBalance])</f>
        <v>WLB002</v>
      </c>
      <c r="AY1246">
        <v>3</v>
      </c>
      <c r="AZ1246" t="str">
        <f>_xlfn.XLOOKUP(Table1[[#This Row],[WorkLifeBalance]],Table20[WorkLifeBalance],Table20[Deskripsi])</f>
        <v>Good</v>
      </c>
      <c r="BA1246">
        <v>9</v>
      </c>
      <c r="BB1246">
        <v>7</v>
      </c>
      <c r="BC1246">
        <v>0</v>
      </c>
      <c r="BD1246">
        <v>7</v>
      </c>
    </row>
    <row r="1247" spans="1:56" x14ac:dyDescent="0.25">
      <c r="A1247">
        <v>24</v>
      </c>
      <c r="B1247" t="str">
        <f>_xlfn.XLOOKUP(Table1[[#This Row],[Attrition]],Table2[Attrition],Table2[Id_Attrition])</f>
        <v>A002</v>
      </c>
      <c r="C1247" t="s">
        <v>33</v>
      </c>
      <c r="D1247" t="str">
        <f>_xlfn.XLOOKUP(Table1[[#This Row],[BusinessTravel]],Table5[BusinessTravel],Table5[Id_BusinessTravel])</f>
        <v>BS002</v>
      </c>
      <c r="E1247" t="s">
        <v>35</v>
      </c>
      <c r="F1247">
        <v>897</v>
      </c>
      <c r="G1247" t="str">
        <f>_xlfn.XLOOKUP(Table1[[#This Row],[Department]],Table6[Department],Table6[Id_Departement])</f>
        <v>D003</v>
      </c>
      <c r="H1247" t="s">
        <v>39</v>
      </c>
      <c r="I1247">
        <v>10</v>
      </c>
      <c r="J1247" t="str">
        <f>_xlfn.XLOOKUP(Table1[[#This Row],[Education]],Table8[Education],Table8[Id_Education])</f>
        <v>E003</v>
      </c>
      <c r="K1247">
        <v>3</v>
      </c>
      <c r="L1247" t="str">
        <f>_xlfn.XLOOKUP(Table1[[#This Row],[EducationField]],Table7[EducationField],Table7[Id_EducationField])</f>
        <v>EF003</v>
      </c>
      <c r="M1247" t="s">
        <v>42</v>
      </c>
      <c r="N1247" t="str">
        <f>_xlfn.XLOOKUP(Table1[[#This Row],[EmployeeNumber]],Table4[EmployeeNumber],Table4[Id_Employee])</f>
        <v>EMP01246</v>
      </c>
      <c r="O1247">
        <v>1746</v>
      </c>
      <c r="P1247" t="str">
        <f>_xlfn.XLOOKUP(Table1[[#This Row],[EnvironmentSatisfaction]],Table9[EnvironmentSatisfaction],Table9[Id_EnviromentSatisfaction])</f>
        <v>ES001</v>
      </c>
      <c r="Q1247">
        <v>1</v>
      </c>
      <c r="R1247" t="str">
        <f>_xlfn.XLOOKUP(Table1[[#This Row],[EnvironmentSatisfaction]],Table9[EnvironmentSatisfaction],Table9[Deskripsi])</f>
        <v>Low</v>
      </c>
      <c r="S1247" t="str">
        <f>_xlfn.XLOOKUP(Table1[[#This Row],[Gender]],Table10[Gender],Table10[Id_Gender])</f>
        <v>G002</v>
      </c>
      <c r="T1247" t="s">
        <v>46</v>
      </c>
      <c r="U1247">
        <v>59</v>
      </c>
      <c r="V1247" t="str">
        <f>_xlfn.XLOOKUP(Table1[[#This Row],[JobInvolvement]],Table11[JobInvolvement],Table11[Id_JobInvolvement])</f>
        <v>JI003</v>
      </c>
      <c r="W1247">
        <v>3</v>
      </c>
      <c r="X1247" t="str">
        <f>_xlfn.XLOOKUP(Table1[[#This Row],[JobLevel]],Table12[JobLevel],Table12[Id_JobLevel])</f>
        <v>JL001</v>
      </c>
      <c r="Y1247">
        <v>1</v>
      </c>
      <c r="Z1247" t="str">
        <f>_xlfn.XLOOKUP(Table1[[#This Row],[JobRole]],Table13[JobRole],Table13[Id_JobRole])</f>
        <v>JR009</v>
      </c>
      <c r="AA1247" t="s">
        <v>39</v>
      </c>
      <c r="AB1247" t="str">
        <f>_xlfn.XLOOKUP(Table1[[#This Row],[JobSatisfaction]],Table14[JobSatisfaction],Table14[Id_JobSatisfaction])</f>
        <v>JS004</v>
      </c>
      <c r="AC1247">
        <v>4</v>
      </c>
      <c r="AD1247" t="str">
        <f>_xlfn.XLOOKUP(Table1[[#This Row],[JobSatisfaction]],Table14[JobSatisfaction],Table14[Deskripsi])</f>
        <v>Very High</v>
      </c>
      <c r="AE1247" t="str">
        <f>_xlfn.XLOOKUP(Table1[[#This Row],[MaritalStatus]],Table15[MaritalStatus],Table15[Id_MaritalStatus])</f>
        <v>MS002</v>
      </c>
      <c r="AF1247" t="s">
        <v>56</v>
      </c>
      <c r="AG1247">
        <v>2145</v>
      </c>
      <c r="AH1247">
        <v>2097</v>
      </c>
      <c r="AI1247">
        <v>0</v>
      </c>
      <c r="AJ1247" t="str">
        <f>_xlfn.XLOOKUP(Table1[[#This Row],[OverTime]],Table16[OverTime],Table16[Id_OverTime])</f>
        <v>OT002</v>
      </c>
      <c r="AK1247" t="s">
        <v>33</v>
      </c>
      <c r="AL1247">
        <v>14</v>
      </c>
      <c r="AM1247" t="str">
        <f>_xlfn.XLOOKUP(Table1[[#This Row],[PerformanceRating]],Table17[PerformanceRating],Table17[Id_PerformanceRating])</f>
        <v>PR003</v>
      </c>
      <c r="AN1247">
        <v>3</v>
      </c>
      <c r="AO1247" t="str">
        <f>_xlfn.XLOOKUP(Table1[[#This Row],[PerformanceRating]],Table17[PerformanceRating],Table17[Deskripsi])</f>
        <v>Excellent</v>
      </c>
      <c r="AP1247" t="str">
        <f>_xlfn.XLOOKUP(Table1[[#This Row],[RelationshipSatisfaction]],Table18[RelationshipSatisfaction],Table18[Id_RelationshipSatisfaction])</f>
        <v>RS004</v>
      </c>
      <c r="AQ1247">
        <v>4</v>
      </c>
      <c r="AR1247" t="str">
        <f>_xlfn.XLOOKUP(Table1[[#This Row],[RelationshipSatisfaction]],Table18[RelationshipSatisfaction],Table18[Deskripsi])</f>
        <v>Very High</v>
      </c>
      <c r="AS1247" t="str">
        <f>_xlfn.XLOOKUP(Table1[[#This Row],[StockOptionLevel]],Table19[StockOptionLevel],Table19[Id_StockOptionLevel])</f>
        <v>SOL002</v>
      </c>
      <c r="AT1247">
        <v>1</v>
      </c>
      <c r="AU1247" t="str">
        <f>_xlfn.XLOOKUP(Table1[[#This Row],[StockOptionLevel]],Table19[StockOptionLevel],Table19[Deskripsi])</f>
        <v>Standard</v>
      </c>
      <c r="AV1247">
        <v>3</v>
      </c>
      <c r="AW1247">
        <v>2</v>
      </c>
      <c r="AX1247" t="str">
        <f>_xlfn.XLOOKUP(Table1[[#This Row],[WorkLifeBalance]],Table20[WorkLifeBalance],Table20[Id_WorkLifeBalance])</f>
        <v>WLB002</v>
      </c>
      <c r="AY1247">
        <v>3</v>
      </c>
      <c r="AZ1247" t="str">
        <f>_xlfn.XLOOKUP(Table1[[#This Row],[WorkLifeBalance]],Table20[WorkLifeBalance],Table20[Deskripsi])</f>
        <v>Good</v>
      </c>
      <c r="BA1247">
        <v>2</v>
      </c>
      <c r="BB1247">
        <v>2</v>
      </c>
      <c r="BC1247">
        <v>2</v>
      </c>
      <c r="BD1247">
        <v>1</v>
      </c>
    </row>
    <row r="1248" spans="1:56" x14ac:dyDescent="0.25">
      <c r="A1248">
        <v>30</v>
      </c>
      <c r="B1248" t="str">
        <f>_xlfn.XLOOKUP(Table1[[#This Row],[Attrition]],Table2[Attrition],Table2[Id_Attrition])</f>
        <v>A001</v>
      </c>
      <c r="C1248" t="s">
        <v>32</v>
      </c>
      <c r="D1248" t="str">
        <f>_xlfn.XLOOKUP(Table1[[#This Row],[BusinessTravel]],Table5[BusinessTravel],Table5[Id_BusinessTravel])</f>
        <v>BS002</v>
      </c>
      <c r="E1248" t="s">
        <v>35</v>
      </c>
      <c r="F1248">
        <v>600</v>
      </c>
      <c r="G1248" t="str">
        <f>_xlfn.XLOOKUP(Table1[[#This Row],[Department]],Table6[Department],Table6[Id_Departement])</f>
        <v>D003</v>
      </c>
      <c r="H1248" t="s">
        <v>39</v>
      </c>
      <c r="I1248">
        <v>8</v>
      </c>
      <c r="J1248" t="str">
        <f>_xlfn.XLOOKUP(Table1[[#This Row],[Education]],Table8[Education],Table8[Id_Education])</f>
        <v>E003</v>
      </c>
      <c r="K1248">
        <v>3</v>
      </c>
      <c r="L1248" t="str">
        <f>_xlfn.XLOOKUP(Table1[[#This Row],[EducationField]],Table7[EducationField],Table7[Id_EducationField])</f>
        <v>EF006</v>
      </c>
      <c r="M1248" t="s">
        <v>39</v>
      </c>
      <c r="N1248" t="str">
        <f>_xlfn.XLOOKUP(Table1[[#This Row],[EmployeeNumber]],Table4[EmployeeNumber],Table4[Id_Employee])</f>
        <v>EMP01247</v>
      </c>
      <c r="O1248">
        <v>1747</v>
      </c>
      <c r="P1248" t="str">
        <f>_xlfn.XLOOKUP(Table1[[#This Row],[EnvironmentSatisfaction]],Table9[EnvironmentSatisfaction],Table9[Id_EnviromentSatisfaction])</f>
        <v>ES003</v>
      </c>
      <c r="Q1248">
        <v>3</v>
      </c>
      <c r="R1248" t="str">
        <f>_xlfn.XLOOKUP(Table1[[#This Row],[EnvironmentSatisfaction]],Table9[EnvironmentSatisfaction],Table9[Deskripsi])</f>
        <v>High</v>
      </c>
      <c r="S1248" t="str">
        <f>_xlfn.XLOOKUP(Table1[[#This Row],[Gender]],Table10[Gender],Table10[Id_Gender])</f>
        <v>G001</v>
      </c>
      <c r="T1248" t="s">
        <v>45</v>
      </c>
      <c r="U1248">
        <v>66</v>
      </c>
      <c r="V1248" t="str">
        <f>_xlfn.XLOOKUP(Table1[[#This Row],[JobInvolvement]],Table11[JobInvolvement],Table11[Id_JobInvolvement])</f>
        <v>JI002</v>
      </c>
      <c r="W1248">
        <v>2</v>
      </c>
      <c r="X1248" t="str">
        <f>_xlfn.XLOOKUP(Table1[[#This Row],[JobLevel]],Table12[JobLevel],Table12[Id_JobLevel])</f>
        <v>JL001</v>
      </c>
      <c r="Y1248">
        <v>1</v>
      </c>
      <c r="Z1248" t="str">
        <f>_xlfn.XLOOKUP(Table1[[#This Row],[JobRole]],Table13[JobRole],Table13[Id_JobRole])</f>
        <v>JR009</v>
      </c>
      <c r="AA1248" t="s">
        <v>39</v>
      </c>
      <c r="AB1248" t="str">
        <f>_xlfn.XLOOKUP(Table1[[#This Row],[JobSatisfaction]],Table14[JobSatisfaction],Table14[Id_JobSatisfaction])</f>
        <v>JS004</v>
      </c>
      <c r="AC1248">
        <v>4</v>
      </c>
      <c r="AD1248" t="str">
        <f>_xlfn.XLOOKUP(Table1[[#This Row],[JobSatisfaction]],Table14[JobSatisfaction],Table14[Deskripsi])</f>
        <v>Very High</v>
      </c>
      <c r="AE1248" t="str">
        <f>_xlfn.XLOOKUP(Table1[[#This Row],[MaritalStatus]],Table15[MaritalStatus],Table15[Id_MaritalStatus])</f>
        <v>MS003</v>
      </c>
      <c r="AF1248" t="s">
        <v>57</v>
      </c>
      <c r="AG1248">
        <v>2180</v>
      </c>
      <c r="AH1248">
        <v>9732</v>
      </c>
      <c r="AI1248">
        <v>6</v>
      </c>
      <c r="AJ1248" t="str">
        <f>_xlfn.XLOOKUP(Table1[[#This Row],[OverTime]],Table16[OverTime],Table16[Id_OverTime])</f>
        <v>OT002</v>
      </c>
      <c r="AK1248" t="s">
        <v>33</v>
      </c>
      <c r="AL1248">
        <v>11</v>
      </c>
      <c r="AM1248" t="str">
        <f>_xlfn.XLOOKUP(Table1[[#This Row],[PerformanceRating]],Table17[PerformanceRating],Table17[Id_PerformanceRating])</f>
        <v>PR003</v>
      </c>
      <c r="AN1248">
        <v>3</v>
      </c>
      <c r="AO1248" t="str">
        <f>_xlfn.XLOOKUP(Table1[[#This Row],[PerformanceRating]],Table17[PerformanceRating],Table17[Deskripsi])</f>
        <v>Excellent</v>
      </c>
      <c r="AP1248" t="str">
        <f>_xlfn.XLOOKUP(Table1[[#This Row],[RelationshipSatisfaction]],Table18[RelationshipSatisfaction],Table18[Id_RelationshipSatisfaction])</f>
        <v>RS003</v>
      </c>
      <c r="AQ1248">
        <v>3</v>
      </c>
      <c r="AR1248" t="str">
        <f>_xlfn.XLOOKUP(Table1[[#This Row],[RelationshipSatisfaction]],Table18[RelationshipSatisfaction],Table18[Deskripsi])</f>
        <v>High</v>
      </c>
      <c r="AS1248" t="str">
        <f>_xlfn.XLOOKUP(Table1[[#This Row],[StockOptionLevel]],Table19[StockOptionLevel],Table19[Id_StockOptionLevel])</f>
        <v>SOL002</v>
      </c>
      <c r="AT1248">
        <v>1</v>
      </c>
      <c r="AU1248" t="str">
        <f>_xlfn.XLOOKUP(Table1[[#This Row],[StockOptionLevel]],Table19[StockOptionLevel],Table19[Deskripsi])</f>
        <v>Standard</v>
      </c>
      <c r="AV1248">
        <v>6</v>
      </c>
      <c r="AW1248">
        <v>0</v>
      </c>
      <c r="AX1248" t="str">
        <f>_xlfn.XLOOKUP(Table1[[#This Row],[WorkLifeBalance]],Table20[WorkLifeBalance],Table20[Id_WorkLifeBalance])</f>
        <v>WLB003</v>
      </c>
      <c r="AY1248">
        <v>2</v>
      </c>
      <c r="AZ1248" t="str">
        <f>_xlfn.XLOOKUP(Table1[[#This Row],[WorkLifeBalance]],Table20[WorkLifeBalance],Table20[Deskripsi])</f>
        <v>Better</v>
      </c>
      <c r="BA1248">
        <v>4</v>
      </c>
      <c r="BB1248">
        <v>2</v>
      </c>
      <c r="BC1248">
        <v>1</v>
      </c>
      <c r="BD1248">
        <v>2</v>
      </c>
    </row>
    <row r="1249" spans="1:56" x14ac:dyDescent="0.25">
      <c r="A1249">
        <v>31</v>
      </c>
      <c r="B1249" t="str">
        <f>_xlfn.XLOOKUP(Table1[[#This Row],[Attrition]],Table2[Attrition],Table2[Id_Attrition])</f>
        <v>A002</v>
      </c>
      <c r="C1249" t="s">
        <v>33</v>
      </c>
      <c r="D1249" t="str">
        <f>_xlfn.XLOOKUP(Table1[[#This Row],[BusinessTravel]],Table5[BusinessTravel],Table5[Id_BusinessTravel])</f>
        <v>BS001</v>
      </c>
      <c r="E1249" t="s">
        <v>34</v>
      </c>
      <c r="F1249">
        <v>1003</v>
      </c>
      <c r="G1249" t="str">
        <f>_xlfn.XLOOKUP(Table1[[#This Row],[Department]],Table6[Department],Table6[Id_Departement])</f>
        <v>D001</v>
      </c>
      <c r="H1249" t="s">
        <v>37</v>
      </c>
      <c r="I1249">
        <v>5</v>
      </c>
      <c r="J1249" t="str">
        <f>_xlfn.XLOOKUP(Table1[[#This Row],[Education]],Table8[Education],Table8[Id_Education])</f>
        <v>E003</v>
      </c>
      <c r="K1249">
        <v>3</v>
      </c>
      <c r="L1249" t="str">
        <f>_xlfn.XLOOKUP(Table1[[#This Row],[EducationField]],Table7[EducationField],Table7[Id_EducationField])</f>
        <v>EF005</v>
      </c>
      <c r="M1249" t="s">
        <v>44</v>
      </c>
      <c r="N1249" t="str">
        <f>_xlfn.XLOOKUP(Table1[[#This Row],[EmployeeNumber]],Table4[EmployeeNumber],Table4[Id_Employee])</f>
        <v>EMP01248</v>
      </c>
      <c r="O1249">
        <v>1749</v>
      </c>
      <c r="P1249" t="str">
        <f>_xlfn.XLOOKUP(Table1[[#This Row],[EnvironmentSatisfaction]],Table9[EnvironmentSatisfaction],Table9[Id_EnviromentSatisfaction])</f>
        <v>ES001</v>
      </c>
      <c r="Q1249">
        <v>1</v>
      </c>
      <c r="R1249" t="str">
        <f>_xlfn.XLOOKUP(Table1[[#This Row],[EnvironmentSatisfaction]],Table9[EnvironmentSatisfaction],Table9[Deskripsi])</f>
        <v>Low</v>
      </c>
      <c r="S1249" t="str">
        <f>_xlfn.XLOOKUP(Table1[[#This Row],[Gender]],Table10[Gender],Table10[Id_Gender])</f>
        <v>G002</v>
      </c>
      <c r="T1249" t="s">
        <v>46</v>
      </c>
      <c r="U1249">
        <v>51</v>
      </c>
      <c r="V1249" t="str">
        <f>_xlfn.XLOOKUP(Table1[[#This Row],[JobInvolvement]],Table11[JobInvolvement],Table11[Id_JobInvolvement])</f>
        <v>JI003</v>
      </c>
      <c r="W1249">
        <v>3</v>
      </c>
      <c r="X1249" t="str">
        <f>_xlfn.XLOOKUP(Table1[[#This Row],[JobLevel]],Table12[JobLevel],Table12[Id_JobLevel])</f>
        <v>JL002</v>
      </c>
      <c r="Y1249">
        <v>2</v>
      </c>
      <c r="Z1249" t="str">
        <f>_xlfn.XLOOKUP(Table1[[#This Row],[JobRole]],Table13[JobRole],Table13[Id_JobRole])</f>
        <v>JR001</v>
      </c>
      <c r="AA1249" t="s">
        <v>47</v>
      </c>
      <c r="AB1249" t="str">
        <f>_xlfn.XLOOKUP(Table1[[#This Row],[JobSatisfaction]],Table14[JobSatisfaction],Table14[Id_JobSatisfaction])</f>
        <v>JS003</v>
      </c>
      <c r="AC1249">
        <v>3</v>
      </c>
      <c r="AD1249" t="str">
        <f>_xlfn.XLOOKUP(Table1[[#This Row],[JobSatisfaction]],Table14[JobSatisfaction],Table14[Deskripsi])</f>
        <v>High</v>
      </c>
      <c r="AE1249" t="str">
        <f>_xlfn.XLOOKUP(Table1[[#This Row],[MaritalStatus]],Table15[MaritalStatus],Table15[Id_MaritalStatus])</f>
        <v>MS002</v>
      </c>
      <c r="AF1249" t="s">
        <v>56</v>
      </c>
      <c r="AG1249">
        <v>8346</v>
      </c>
      <c r="AH1249">
        <v>20943</v>
      </c>
      <c r="AI1249">
        <v>1</v>
      </c>
      <c r="AJ1249" t="str">
        <f>_xlfn.XLOOKUP(Table1[[#This Row],[OverTime]],Table16[OverTime],Table16[Id_OverTime])</f>
        <v>OT002</v>
      </c>
      <c r="AK1249" t="s">
        <v>33</v>
      </c>
      <c r="AL1249">
        <v>19</v>
      </c>
      <c r="AM1249" t="str">
        <f>_xlfn.XLOOKUP(Table1[[#This Row],[PerformanceRating]],Table17[PerformanceRating],Table17[Id_PerformanceRating])</f>
        <v>PR003</v>
      </c>
      <c r="AN1249">
        <v>3</v>
      </c>
      <c r="AO1249" t="str">
        <f>_xlfn.XLOOKUP(Table1[[#This Row],[PerformanceRating]],Table17[PerformanceRating],Table17[Deskripsi])</f>
        <v>Excellent</v>
      </c>
      <c r="AP1249" t="str">
        <f>_xlfn.XLOOKUP(Table1[[#This Row],[RelationshipSatisfaction]],Table18[RelationshipSatisfaction],Table18[Id_RelationshipSatisfaction])</f>
        <v>RS003</v>
      </c>
      <c r="AQ1249">
        <v>3</v>
      </c>
      <c r="AR1249" t="str">
        <f>_xlfn.XLOOKUP(Table1[[#This Row],[RelationshipSatisfaction]],Table18[RelationshipSatisfaction],Table18[Deskripsi])</f>
        <v>High</v>
      </c>
      <c r="AS1249" t="str">
        <f>_xlfn.XLOOKUP(Table1[[#This Row],[StockOptionLevel]],Table19[StockOptionLevel],Table19[Id_StockOptionLevel])</f>
        <v>SOL002</v>
      </c>
      <c r="AT1249">
        <v>1</v>
      </c>
      <c r="AU1249" t="str">
        <f>_xlfn.XLOOKUP(Table1[[#This Row],[StockOptionLevel]],Table19[StockOptionLevel],Table19[Deskripsi])</f>
        <v>Standard</v>
      </c>
      <c r="AV1249">
        <v>6</v>
      </c>
      <c r="AW1249">
        <v>3</v>
      </c>
      <c r="AX1249" t="str">
        <f>_xlfn.XLOOKUP(Table1[[#This Row],[WorkLifeBalance]],Table20[WorkLifeBalance],Table20[Id_WorkLifeBalance])</f>
        <v>WLB002</v>
      </c>
      <c r="AY1249">
        <v>3</v>
      </c>
      <c r="AZ1249" t="str">
        <f>_xlfn.XLOOKUP(Table1[[#This Row],[WorkLifeBalance]],Table20[WorkLifeBalance],Table20[Deskripsi])</f>
        <v>Good</v>
      </c>
      <c r="BA1249">
        <v>5</v>
      </c>
      <c r="BB1249">
        <v>2</v>
      </c>
      <c r="BC1249">
        <v>0</v>
      </c>
      <c r="BD1249">
        <v>2</v>
      </c>
    </row>
    <row r="1250" spans="1:56" x14ac:dyDescent="0.25">
      <c r="A1250">
        <v>27</v>
      </c>
      <c r="B1250" t="str">
        <f>_xlfn.XLOOKUP(Table1[[#This Row],[Attrition]],Table2[Attrition],Table2[Id_Attrition])</f>
        <v>A002</v>
      </c>
      <c r="C1250" t="s">
        <v>33</v>
      </c>
      <c r="D1250" t="str">
        <f>_xlfn.XLOOKUP(Table1[[#This Row],[BusinessTravel]],Table5[BusinessTravel],Table5[Id_BusinessTravel])</f>
        <v>BS001</v>
      </c>
      <c r="E1250" t="s">
        <v>34</v>
      </c>
      <c r="F1250">
        <v>1054</v>
      </c>
      <c r="G1250" t="str">
        <f>_xlfn.XLOOKUP(Table1[[#This Row],[Department]],Table6[Department],Table6[Id_Departement])</f>
        <v>D002</v>
      </c>
      <c r="H1250" t="s">
        <v>38</v>
      </c>
      <c r="I1250">
        <v>8</v>
      </c>
      <c r="J1250" t="str">
        <f>_xlfn.XLOOKUP(Table1[[#This Row],[Education]],Table8[Education],Table8[Id_Education])</f>
        <v>E003</v>
      </c>
      <c r="K1250">
        <v>3</v>
      </c>
      <c r="L1250" t="str">
        <f>_xlfn.XLOOKUP(Table1[[#This Row],[EducationField]],Table7[EducationField],Table7[Id_EducationField])</f>
        <v>EF003</v>
      </c>
      <c r="M1250" t="s">
        <v>42</v>
      </c>
      <c r="N1250" t="str">
        <f>_xlfn.XLOOKUP(Table1[[#This Row],[EmployeeNumber]],Table4[EmployeeNumber],Table4[Id_Employee])</f>
        <v>EMP01249</v>
      </c>
      <c r="O1250">
        <v>1751</v>
      </c>
      <c r="P1250" t="str">
        <f>_xlfn.XLOOKUP(Table1[[#This Row],[EnvironmentSatisfaction]],Table9[EnvironmentSatisfaction],Table9[Id_EnviromentSatisfaction])</f>
        <v>ES003</v>
      </c>
      <c r="Q1250">
        <v>3</v>
      </c>
      <c r="R1250" t="str">
        <f>_xlfn.XLOOKUP(Table1[[#This Row],[EnvironmentSatisfaction]],Table9[EnvironmentSatisfaction],Table9[Deskripsi])</f>
        <v>High</v>
      </c>
      <c r="S1250" t="str">
        <f>_xlfn.XLOOKUP(Table1[[#This Row],[Gender]],Table10[Gender],Table10[Id_Gender])</f>
        <v>G001</v>
      </c>
      <c r="T1250" t="s">
        <v>45</v>
      </c>
      <c r="U1250">
        <v>67</v>
      </c>
      <c r="V1250" t="str">
        <f>_xlfn.XLOOKUP(Table1[[#This Row],[JobInvolvement]],Table11[JobInvolvement],Table11[Id_JobInvolvement])</f>
        <v>JI003</v>
      </c>
      <c r="W1250">
        <v>3</v>
      </c>
      <c r="X1250" t="str">
        <f>_xlfn.XLOOKUP(Table1[[#This Row],[JobLevel]],Table12[JobLevel],Table12[Id_JobLevel])</f>
        <v>JL001</v>
      </c>
      <c r="Y1250">
        <v>1</v>
      </c>
      <c r="Z1250" t="str">
        <f>_xlfn.XLOOKUP(Table1[[#This Row],[JobRole]],Table13[JobRole],Table13[Id_JobRole])</f>
        <v>JR002</v>
      </c>
      <c r="AA1250" t="s">
        <v>48</v>
      </c>
      <c r="AB1250" t="str">
        <f>_xlfn.XLOOKUP(Table1[[#This Row],[JobSatisfaction]],Table14[JobSatisfaction],Table14[Id_JobSatisfaction])</f>
        <v>JS004</v>
      </c>
      <c r="AC1250">
        <v>4</v>
      </c>
      <c r="AD1250" t="str">
        <f>_xlfn.XLOOKUP(Table1[[#This Row],[JobSatisfaction]],Table14[JobSatisfaction],Table14[Deskripsi])</f>
        <v>Very High</v>
      </c>
      <c r="AE1250" t="str">
        <f>_xlfn.XLOOKUP(Table1[[#This Row],[MaritalStatus]],Table15[MaritalStatus],Table15[Id_MaritalStatus])</f>
        <v>MS001</v>
      </c>
      <c r="AF1250" t="s">
        <v>55</v>
      </c>
      <c r="AG1250">
        <v>3445</v>
      </c>
      <c r="AH1250">
        <v>6152</v>
      </c>
      <c r="AI1250">
        <v>1</v>
      </c>
      <c r="AJ1250" t="str">
        <f>_xlfn.XLOOKUP(Table1[[#This Row],[OverTime]],Table16[OverTime],Table16[Id_OverTime])</f>
        <v>OT002</v>
      </c>
      <c r="AK1250" t="s">
        <v>33</v>
      </c>
      <c r="AL1250">
        <v>11</v>
      </c>
      <c r="AM1250" t="str">
        <f>_xlfn.XLOOKUP(Table1[[#This Row],[PerformanceRating]],Table17[PerformanceRating],Table17[Id_PerformanceRating])</f>
        <v>PR003</v>
      </c>
      <c r="AN1250">
        <v>3</v>
      </c>
      <c r="AO1250" t="str">
        <f>_xlfn.XLOOKUP(Table1[[#This Row],[PerformanceRating]],Table17[PerformanceRating],Table17[Deskripsi])</f>
        <v>Excellent</v>
      </c>
      <c r="AP1250" t="str">
        <f>_xlfn.XLOOKUP(Table1[[#This Row],[RelationshipSatisfaction]],Table18[RelationshipSatisfaction],Table18[Id_RelationshipSatisfaction])</f>
        <v>RS003</v>
      </c>
      <c r="AQ1250">
        <v>3</v>
      </c>
      <c r="AR1250" t="str">
        <f>_xlfn.XLOOKUP(Table1[[#This Row],[RelationshipSatisfaction]],Table18[RelationshipSatisfaction],Table18[Deskripsi])</f>
        <v>High</v>
      </c>
      <c r="AS1250" t="str">
        <f>_xlfn.XLOOKUP(Table1[[#This Row],[StockOptionLevel]],Table19[StockOptionLevel],Table19[Id_StockOptionLevel])</f>
        <v>SOL001</v>
      </c>
      <c r="AT1250">
        <v>0</v>
      </c>
      <c r="AU1250" t="str">
        <f>_xlfn.XLOOKUP(Table1[[#This Row],[StockOptionLevel]],Table19[StockOptionLevel],Table19[Deskripsi])</f>
        <v>Non-Eligible</v>
      </c>
      <c r="AV1250">
        <v>6</v>
      </c>
      <c r="AW1250">
        <v>5</v>
      </c>
      <c r="AX1250" t="str">
        <f>_xlfn.XLOOKUP(Table1[[#This Row],[WorkLifeBalance]],Table20[WorkLifeBalance],Table20[Id_WorkLifeBalance])</f>
        <v>WLB003</v>
      </c>
      <c r="AY1250">
        <v>2</v>
      </c>
      <c r="AZ1250" t="str">
        <f>_xlfn.XLOOKUP(Table1[[#This Row],[WorkLifeBalance]],Table20[WorkLifeBalance],Table20[Deskripsi])</f>
        <v>Better</v>
      </c>
      <c r="BA1250">
        <v>6</v>
      </c>
      <c r="BB1250">
        <v>2</v>
      </c>
      <c r="BC1250">
        <v>1</v>
      </c>
      <c r="BD1250">
        <v>4</v>
      </c>
    </row>
    <row r="1251" spans="1:56" x14ac:dyDescent="0.25">
      <c r="A1251">
        <v>29</v>
      </c>
      <c r="B1251" t="str">
        <f>_xlfn.XLOOKUP(Table1[[#This Row],[Attrition]],Table2[Attrition],Table2[Id_Attrition])</f>
        <v>A001</v>
      </c>
      <c r="C1251" t="s">
        <v>32</v>
      </c>
      <c r="D1251" t="str">
        <f>_xlfn.XLOOKUP(Table1[[#This Row],[BusinessTravel]],Table5[BusinessTravel],Table5[Id_BusinessTravel])</f>
        <v>BS001</v>
      </c>
      <c r="E1251" t="s">
        <v>34</v>
      </c>
      <c r="F1251">
        <v>428</v>
      </c>
      <c r="G1251" t="str">
        <f>_xlfn.XLOOKUP(Table1[[#This Row],[Department]],Table6[Department],Table6[Id_Departement])</f>
        <v>D001</v>
      </c>
      <c r="H1251" t="s">
        <v>37</v>
      </c>
      <c r="I1251">
        <v>9</v>
      </c>
      <c r="J1251" t="str">
        <f>_xlfn.XLOOKUP(Table1[[#This Row],[Education]],Table8[Education],Table8[Id_Education])</f>
        <v>E003</v>
      </c>
      <c r="K1251">
        <v>3</v>
      </c>
      <c r="L1251" t="str">
        <f>_xlfn.XLOOKUP(Table1[[#This Row],[EducationField]],Table7[EducationField],Table7[Id_EducationField])</f>
        <v>EF004</v>
      </c>
      <c r="M1251" t="s">
        <v>43</v>
      </c>
      <c r="N1251" t="str">
        <f>_xlfn.XLOOKUP(Table1[[#This Row],[EmployeeNumber]],Table4[EmployeeNumber],Table4[Id_Employee])</f>
        <v>EMP01250</v>
      </c>
      <c r="O1251">
        <v>1752</v>
      </c>
      <c r="P1251" t="str">
        <f>_xlfn.XLOOKUP(Table1[[#This Row],[EnvironmentSatisfaction]],Table9[EnvironmentSatisfaction],Table9[Id_EnviromentSatisfaction])</f>
        <v>ES002</v>
      </c>
      <c r="Q1251">
        <v>2</v>
      </c>
      <c r="R1251" t="str">
        <f>_xlfn.XLOOKUP(Table1[[#This Row],[EnvironmentSatisfaction]],Table9[EnvironmentSatisfaction],Table9[Deskripsi])</f>
        <v>Medium</v>
      </c>
      <c r="S1251" t="str">
        <f>_xlfn.XLOOKUP(Table1[[#This Row],[Gender]],Table10[Gender],Table10[Id_Gender])</f>
        <v>G001</v>
      </c>
      <c r="T1251" t="s">
        <v>45</v>
      </c>
      <c r="U1251">
        <v>52</v>
      </c>
      <c r="V1251" t="str">
        <f>_xlfn.XLOOKUP(Table1[[#This Row],[JobInvolvement]],Table11[JobInvolvement],Table11[Id_JobInvolvement])</f>
        <v>JI001</v>
      </c>
      <c r="W1251">
        <v>1</v>
      </c>
      <c r="X1251" t="str">
        <f>_xlfn.XLOOKUP(Table1[[#This Row],[JobLevel]],Table12[JobLevel],Table12[Id_JobLevel])</f>
        <v>JL001</v>
      </c>
      <c r="Y1251">
        <v>1</v>
      </c>
      <c r="Z1251" t="str">
        <f>_xlfn.XLOOKUP(Table1[[#This Row],[JobRole]],Table13[JobRole],Table13[Id_JobRole])</f>
        <v>JR007</v>
      </c>
      <c r="AA1251" t="s">
        <v>53</v>
      </c>
      <c r="AB1251" t="str">
        <f>_xlfn.XLOOKUP(Table1[[#This Row],[JobSatisfaction]],Table14[JobSatisfaction],Table14[Id_JobSatisfaction])</f>
        <v>JS002</v>
      </c>
      <c r="AC1251">
        <v>2</v>
      </c>
      <c r="AD1251" t="str">
        <f>_xlfn.XLOOKUP(Table1[[#This Row],[JobSatisfaction]],Table14[JobSatisfaction],Table14[Deskripsi])</f>
        <v>Medium</v>
      </c>
      <c r="AE1251" t="str">
        <f>_xlfn.XLOOKUP(Table1[[#This Row],[MaritalStatus]],Table15[MaritalStatus],Table15[Id_MaritalStatus])</f>
        <v>MS001</v>
      </c>
      <c r="AF1251" t="s">
        <v>55</v>
      </c>
      <c r="AG1251">
        <v>2760</v>
      </c>
      <c r="AH1251">
        <v>14630</v>
      </c>
      <c r="AI1251">
        <v>1</v>
      </c>
      <c r="AJ1251" t="str">
        <f>_xlfn.XLOOKUP(Table1[[#This Row],[OverTime]],Table16[OverTime],Table16[Id_OverTime])</f>
        <v>OT002</v>
      </c>
      <c r="AK1251" t="s">
        <v>33</v>
      </c>
      <c r="AL1251">
        <v>13</v>
      </c>
      <c r="AM1251" t="str">
        <f>_xlfn.XLOOKUP(Table1[[#This Row],[PerformanceRating]],Table17[PerformanceRating],Table17[Id_PerformanceRating])</f>
        <v>PR003</v>
      </c>
      <c r="AN1251">
        <v>3</v>
      </c>
      <c r="AO1251" t="str">
        <f>_xlfn.XLOOKUP(Table1[[#This Row],[PerformanceRating]],Table17[PerformanceRating],Table17[Deskripsi])</f>
        <v>Excellent</v>
      </c>
      <c r="AP1251" t="str">
        <f>_xlfn.XLOOKUP(Table1[[#This Row],[RelationshipSatisfaction]],Table18[RelationshipSatisfaction],Table18[Id_RelationshipSatisfaction])</f>
        <v>RS003</v>
      </c>
      <c r="AQ1251">
        <v>3</v>
      </c>
      <c r="AR1251" t="str">
        <f>_xlfn.XLOOKUP(Table1[[#This Row],[RelationshipSatisfaction]],Table18[RelationshipSatisfaction],Table18[Deskripsi])</f>
        <v>High</v>
      </c>
      <c r="AS1251" t="str">
        <f>_xlfn.XLOOKUP(Table1[[#This Row],[StockOptionLevel]],Table19[StockOptionLevel],Table19[Id_StockOptionLevel])</f>
        <v>SOL001</v>
      </c>
      <c r="AT1251">
        <v>0</v>
      </c>
      <c r="AU1251" t="str">
        <f>_xlfn.XLOOKUP(Table1[[#This Row],[StockOptionLevel]],Table19[StockOptionLevel],Table19[Deskripsi])</f>
        <v>Non-Eligible</v>
      </c>
      <c r="AV1251">
        <v>2</v>
      </c>
      <c r="AW1251">
        <v>3</v>
      </c>
      <c r="AX1251" t="str">
        <f>_xlfn.XLOOKUP(Table1[[#This Row],[WorkLifeBalance]],Table20[WorkLifeBalance],Table20[Id_WorkLifeBalance])</f>
        <v>WLB002</v>
      </c>
      <c r="AY1251">
        <v>3</v>
      </c>
      <c r="AZ1251" t="str">
        <f>_xlfn.XLOOKUP(Table1[[#This Row],[WorkLifeBalance]],Table20[WorkLifeBalance],Table20[Deskripsi])</f>
        <v>Good</v>
      </c>
      <c r="BA1251">
        <v>2</v>
      </c>
      <c r="BB1251">
        <v>2</v>
      </c>
      <c r="BC1251">
        <v>2</v>
      </c>
      <c r="BD1251">
        <v>2</v>
      </c>
    </row>
    <row r="1252" spans="1:56" x14ac:dyDescent="0.25">
      <c r="A1252">
        <v>29</v>
      </c>
      <c r="B1252" t="str">
        <f>_xlfn.XLOOKUP(Table1[[#This Row],[Attrition]],Table2[Attrition],Table2[Id_Attrition])</f>
        <v>A002</v>
      </c>
      <c r="C1252" t="s">
        <v>33</v>
      </c>
      <c r="D1252" t="str">
        <f>_xlfn.XLOOKUP(Table1[[#This Row],[BusinessTravel]],Table5[BusinessTravel],Table5[Id_BusinessTravel])</f>
        <v>BS002</v>
      </c>
      <c r="E1252" t="s">
        <v>35</v>
      </c>
      <c r="F1252">
        <v>461</v>
      </c>
      <c r="G1252" t="str">
        <f>_xlfn.XLOOKUP(Table1[[#This Row],[Department]],Table6[Department],Table6[Id_Departement])</f>
        <v>D002</v>
      </c>
      <c r="H1252" t="s">
        <v>38</v>
      </c>
      <c r="I1252">
        <v>1</v>
      </c>
      <c r="J1252" t="str">
        <f>_xlfn.XLOOKUP(Table1[[#This Row],[Education]],Table8[Education],Table8[Id_Education])</f>
        <v>E003</v>
      </c>
      <c r="K1252">
        <v>3</v>
      </c>
      <c r="L1252" t="str">
        <f>_xlfn.XLOOKUP(Table1[[#This Row],[EducationField]],Table7[EducationField],Table7[Id_EducationField])</f>
        <v>EF001</v>
      </c>
      <c r="M1252" t="s">
        <v>40</v>
      </c>
      <c r="N1252" t="str">
        <f>_xlfn.XLOOKUP(Table1[[#This Row],[EmployeeNumber]],Table4[EmployeeNumber],Table4[Id_Employee])</f>
        <v>EMP01251</v>
      </c>
      <c r="O1252">
        <v>1753</v>
      </c>
      <c r="P1252" t="str">
        <f>_xlfn.XLOOKUP(Table1[[#This Row],[EnvironmentSatisfaction]],Table9[EnvironmentSatisfaction],Table9[Id_EnviromentSatisfaction])</f>
        <v>ES004</v>
      </c>
      <c r="Q1252">
        <v>4</v>
      </c>
      <c r="R1252" t="str">
        <f>_xlfn.XLOOKUP(Table1[[#This Row],[EnvironmentSatisfaction]],Table9[EnvironmentSatisfaction],Table9[Deskripsi])</f>
        <v>Very High</v>
      </c>
      <c r="S1252" t="str">
        <f>_xlfn.XLOOKUP(Table1[[#This Row],[Gender]],Table10[Gender],Table10[Id_Gender])</f>
        <v>G002</v>
      </c>
      <c r="T1252" t="s">
        <v>46</v>
      </c>
      <c r="U1252">
        <v>70</v>
      </c>
      <c r="V1252" t="str">
        <f>_xlfn.XLOOKUP(Table1[[#This Row],[JobInvolvement]],Table11[JobInvolvement],Table11[Id_JobInvolvement])</f>
        <v>JI004</v>
      </c>
      <c r="W1252">
        <v>4</v>
      </c>
      <c r="X1252" t="str">
        <f>_xlfn.XLOOKUP(Table1[[#This Row],[JobLevel]],Table12[JobLevel],Table12[Id_JobLevel])</f>
        <v>JL002</v>
      </c>
      <c r="Y1252">
        <v>2</v>
      </c>
      <c r="Z1252" t="str">
        <f>_xlfn.XLOOKUP(Table1[[#This Row],[JobRole]],Table13[JobRole],Table13[Id_JobRole])</f>
        <v>JR005</v>
      </c>
      <c r="AA1252" t="s">
        <v>51</v>
      </c>
      <c r="AB1252" t="str">
        <f>_xlfn.XLOOKUP(Table1[[#This Row],[JobSatisfaction]],Table14[JobSatisfaction],Table14[Id_JobSatisfaction])</f>
        <v>JS003</v>
      </c>
      <c r="AC1252">
        <v>3</v>
      </c>
      <c r="AD1252" t="str">
        <f>_xlfn.XLOOKUP(Table1[[#This Row],[JobSatisfaction]],Table14[JobSatisfaction],Table14[Deskripsi])</f>
        <v>High</v>
      </c>
      <c r="AE1252" t="str">
        <f>_xlfn.XLOOKUP(Table1[[#This Row],[MaritalStatus]],Table15[MaritalStatus],Table15[Id_MaritalStatus])</f>
        <v>MS001</v>
      </c>
      <c r="AF1252" t="s">
        <v>55</v>
      </c>
      <c r="AG1252">
        <v>6294</v>
      </c>
      <c r="AH1252">
        <v>23060</v>
      </c>
      <c r="AI1252">
        <v>8</v>
      </c>
      <c r="AJ1252" t="str">
        <f>_xlfn.XLOOKUP(Table1[[#This Row],[OverTime]],Table16[OverTime],Table16[Id_OverTime])</f>
        <v>OT001</v>
      </c>
      <c r="AK1252" t="s">
        <v>32</v>
      </c>
      <c r="AL1252">
        <v>12</v>
      </c>
      <c r="AM1252" t="str">
        <f>_xlfn.XLOOKUP(Table1[[#This Row],[PerformanceRating]],Table17[PerformanceRating],Table17[Id_PerformanceRating])</f>
        <v>PR003</v>
      </c>
      <c r="AN1252">
        <v>3</v>
      </c>
      <c r="AO1252" t="str">
        <f>_xlfn.XLOOKUP(Table1[[#This Row],[PerformanceRating]],Table17[PerformanceRating],Table17[Deskripsi])</f>
        <v>Excellent</v>
      </c>
      <c r="AP1252" t="str">
        <f>_xlfn.XLOOKUP(Table1[[#This Row],[RelationshipSatisfaction]],Table18[RelationshipSatisfaction],Table18[Id_RelationshipSatisfaction])</f>
        <v>RS004</v>
      </c>
      <c r="AQ1252">
        <v>4</v>
      </c>
      <c r="AR1252" t="str">
        <f>_xlfn.XLOOKUP(Table1[[#This Row],[RelationshipSatisfaction]],Table18[RelationshipSatisfaction],Table18[Deskripsi])</f>
        <v>Very High</v>
      </c>
      <c r="AS1252" t="str">
        <f>_xlfn.XLOOKUP(Table1[[#This Row],[StockOptionLevel]],Table19[StockOptionLevel],Table19[Id_StockOptionLevel])</f>
        <v>SOL001</v>
      </c>
      <c r="AT1252">
        <v>0</v>
      </c>
      <c r="AU1252" t="str">
        <f>_xlfn.XLOOKUP(Table1[[#This Row],[StockOptionLevel]],Table19[StockOptionLevel],Table19[Deskripsi])</f>
        <v>Non-Eligible</v>
      </c>
      <c r="AV1252">
        <v>10</v>
      </c>
      <c r="AW1252">
        <v>5</v>
      </c>
      <c r="AX1252" t="str">
        <f>_xlfn.XLOOKUP(Table1[[#This Row],[WorkLifeBalance]],Table20[WorkLifeBalance],Table20[Id_WorkLifeBalance])</f>
        <v>WLB004</v>
      </c>
      <c r="AY1252">
        <v>4</v>
      </c>
      <c r="AZ1252" t="str">
        <f>_xlfn.XLOOKUP(Table1[[#This Row],[WorkLifeBalance]],Table20[WorkLifeBalance],Table20[Deskripsi])</f>
        <v>Best</v>
      </c>
      <c r="BA1252">
        <v>3</v>
      </c>
      <c r="BB1252">
        <v>2</v>
      </c>
      <c r="BC1252">
        <v>0</v>
      </c>
      <c r="BD1252">
        <v>2</v>
      </c>
    </row>
    <row r="1253" spans="1:56" x14ac:dyDescent="0.25">
      <c r="A1253">
        <v>30</v>
      </c>
      <c r="B1253" t="str">
        <f>_xlfn.XLOOKUP(Table1[[#This Row],[Attrition]],Table2[Attrition],Table2[Id_Attrition])</f>
        <v>A002</v>
      </c>
      <c r="C1253" t="s">
        <v>33</v>
      </c>
      <c r="D1253" t="str">
        <f>_xlfn.XLOOKUP(Table1[[#This Row],[BusinessTravel]],Table5[BusinessTravel],Table5[Id_BusinessTravel])</f>
        <v>BS001</v>
      </c>
      <c r="E1253" t="s">
        <v>34</v>
      </c>
      <c r="F1253">
        <v>979</v>
      </c>
      <c r="G1253" t="str">
        <f>_xlfn.XLOOKUP(Table1[[#This Row],[Department]],Table6[Department],Table6[Id_Departement])</f>
        <v>D001</v>
      </c>
      <c r="H1253" t="s">
        <v>37</v>
      </c>
      <c r="I1253">
        <v>15</v>
      </c>
      <c r="J1253" t="str">
        <f>_xlfn.XLOOKUP(Table1[[#This Row],[Education]],Table8[Education],Table8[Id_Education])</f>
        <v>E002</v>
      </c>
      <c r="K1253">
        <v>2</v>
      </c>
      <c r="L1253" t="str">
        <f>_xlfn.XLOOKUP(Table1[[#This Row],[EducationField]],Table7[EducationField],Table7[Id_EducationField])</f>
        <v>EF004</v>
      </c>
      <c r="M1253" t="s">
        <v>43</v>
      </c>
      <c r="N1253" t="str">
        <f>_xlfn.XLOOKUP(Table1[[#This Row],[EmployeeNumber]],Table4[EmployeeNumber],Table4[Id_Employee])</f>
        <v>EMP01252</v>
      </c>
      <c r="O1253">
        <v>1754</v>
      </c>
      <c r="P1253" t="str">
        <f>_xlfn.XLOOKUP(Table1[[#This Row],[EnvironmentSatisfaction]],Table9[EnvironmentSatisfaction],Table9[Id_EnviromentSatisfaction])</f>
        <v>ES003</v>
      </c>
      <c r="Q1253">
        <v>3</v>
      </c>
      <c r="R1253" t="str">
        <f>_xlfn.XLOOKUP(Table1[[#This Row],[EnvironmentSatisfaction]],Table9[EnvironmentSatisfaction],Table9[Deskripsi])</f>
        <v>High</v>
      </c>
      <c r="S1253" t="str">
        <f>_xlfn.XLOOKUP(Table1[[#This Row],[Gender]],Table10[Gender],Table10[Id_Gender])</f>
        <v>G002</v>
      </c>
      <c r="T1253" t="s">
        <v>46</v>
      </c>
      <c r="U1253">
        <v>94</v>
      </c>
      <c r="V1253" t="str">
        <f>_xlfn.XLOOKUP(Table1[[#This Row],[JobInvolvement]],Table11[JobInvolvement],Table11[Id_JobInvolvement])</f>
        <v>JI002</v>
      </c>
      <c r="W1253">
        <v>2</v>
      </c>
      <c r="X1253" t="str">
        <f>_xlfn.XLOOKUP(Table1[[#This Row],[JobLevel]],Table12[JobLevel],Table12[Id_JobLevel])</f>
        <v>JL003</v>
      </c>
      <c r="Y1253">
        <v>3</v>
      </c>
      <c r="Z1253" t="str">
        <f>_xlfn.XLOOKUP(Table1[[#This Row],[JobRole]],Table13[JobRole],Table13[Id_JobRole])</f>
        <v>JR001</v>
      </c>
      <c r="AA1253" t="s">
        <v>47</v>
      </c>
      <c r="AB1253" t="str">
        <f>_xlfn.XLOOKUP(Table1[[#This Row],[JobSatisfaction]],Table14[JobSatisfaction],Table14[Id_JobSatisfaction])</f>
        <v>JS001</v>
      </c>
      <c r="AC1253">
        <v>1</v>
      </c>
      <c r="AD1253" t="str">
        <f>_xlfn.XLOOKUP(Table1[[#This Row],[JobSatisfaction]],Table14[JobSatisfaction],Table14[Deskripsi])</f>
        <v>Low</v>
      </c>
      <c r="AE1253" t="str">
        <f>_xlfn.XLOOKUP(Table1[[#This Row],[MaritalStatus]],Table15[MaritalStatus],Table15[Id_MaritalStatus])</f>
        <v>MS003</v>
      </c>
      <c r="AF1253" t="s">
        <v>57</v>
      </c>
      <c r="AG1253">
        <v>7140</v>
      </c>
      <c r="AH1253">
        <v>3088</v>
      </c>
      <c r="AI1253">
        <v>2</v>
      </c>
      <c r="AJ1253" t="str">
        <f>_xlfn.XLOOKUP(Table1[[#This Row],[OverTime]],Table16[OverTime],Table16[Id_OverTime])</f>
        <v>OT002</v>
      </c>
      <c r="AK1253" t="s">
        <v>33</v>
      </c>
      <c r="AL1253">
        <v>11</v>
      </c>
      <c r="AM1253" t="str">
        <f>_xlfn.XLOOKUP(Table1[[#This Row],[PerformanceRating]],Table17[PerformanceRating],Table17[Id_PerformanceRating])</f>
        <v>PR003</v>
      </c>
      <c r="AN1253">
        <v>3</v>
      </c>
      <c r="AO1253" t="str">
        <f>_xlfn.XLOOKUP(Table1[[#This Row],[PerformanceRating]],Table17[PerformanceRating],Table17[Deskripsi])</f>
        <v>Excellent</v>
      </c>
      <c r="AP1253" t="str">
        <f>_xlfn.XLOOKUP(Table1[[#This Row],[RelationshipSatisfaction]],Table18[RelationshipSatisfaction],Table18[Id_RelationshipSatisfaction])</f>
        <v>RS001</v>
      </c>
      <c r="AQ1253">
        <v>1</v>
      </c>
      <c r="AR1253" t="str">
        <f>_xlfn.XLOOKUP(Table1[[#This Row],[RelationshipSatisfaction]],Table18[RelationshipSatisfaction],Table18[Deskripsi])</f>
        <v>Low</v>
      </c>
      <c r="AS1253" t="str">
        <f>_xlfn.XLOOKUP(Table1[[#This Row],[StockOptionLevel]],Table19[StockOptionLevel],Table19[Id_StockOptionLevel])</f>
        <v>SOL002</v>
      </c>
      <c r="AT1253">
        <v>1</v>
      </c>
      <c r="AU1253" t="str">
        <f>_xlfn.XLOOKUP(Table1[[#This Row],[StockOptionLevel]],Table19[StockOptionLevel],Table19[Deskripsi])</f>
        <v>Standard</v>
      </c>
      <c r="AV1253">
        <v>12</v>
      </c>
      <c r="AW1253">
        <v>2</v>
      </c>
      <c r="AX1253" t="str">
        <f>_xlfn.XLOOKUP(Table1[[#This Row],[WorkLifeBalance]],Table20[WorkLifeBalance],Table20[Id_WorkLifeBalance])</f>
        <v>WLB002</v>
      </c>
      <c r="AY1253">
        <v>3</v>
      </c>
      <c r="AZ1253" t="str">
        <f>_xlfn.XLOOKUP(Table1[[#This Row],[WorkLifeBalance]],Table20[WorkLifeBalance],Table20[Deskripsi])</f>
        <v>Good</v>
      </c>
      <c r="BA1253">
        <v>7</v>
      </c>
      <c r="BB1253">
        <v>7</v>
      </c>
      <c r="BC1253">
        <v>1</v>
      </c>
      <c r="BD1253">
        <v>7</v>
      </c>
    </row>
    <row r="1254" spans="1:56" x14ac:dyDescent="0.25">
      <c r="A1254">
        <v>34</v>
      </c>
      <c r="B1254" t="str">
        <f>_xlfn.XLOOKUP(Table1[[#This Row],[Attrition]],Table2[Attrition],Table2[Id_Attrition])</f>
        <v>A002</v>
      </c>
      <c r="C1254" t="s">
        <v>33</v>
      </c>
      <c r="D1254" t="str">
        <f>_xlfn.XLOOKUP(Table1[[#This Row],[BusinessTravel]],Table5[BusinessTravel],Table5[Id_BusinessTravel])</f>
        <v>BS001</v>
      </c>
      <c r="E1254" t="s">
        <v>34</v>
      </c>
      <c r="F1254">
        <v>181</v>
      </c>
      <c r="G1254" t="str">
        <f>_xlfn.XLOOKUP(Table1[[#This Row],[Department]],Table6[Department],Table6[Id_Departement])</f>
        <v>D002</v>
      </c>
      <c r="H1254" t="s">
        <v>38</v>
      </c>
      <c r="I1254">
        <v>2</v>
      </c>
      <c r="J1254" t="str">
        <f>_xlfn.XLOOKUP(Table1[[#This Row],[Education]],Table8[Education],Table8[Id_Education])</f>
        <v>E004</v>
      </c>
      <c r="K1254">
        <v>4</v>
      </c>
      <c r="L1254" t="str">
        <f>_xlfn.XLOOKUP(Table1[[#This Row],[EducationField]],Table7[EducationField],Table7[Id_EducationField])</f>
        <v>EF003</v>
      </c>
      <c r="M1254" t="s">
        <v>42</v>
      </c>
      <c r="N1254" t="str">
        <f>_xlfn.XLOOKUP(Table1[[#This Row],[EmployeeNumber]],Table4[EmployeeNumber],Table4[Id_Employee])</f>
        <v>EMP01253</v>
      </c>
      <c r="O1254">
        <v>1755</v>
      </c>
      <c r="P1254" t="str">
        <f>_xlfn.XLOOKUP(Table1[[#This Row],[EnvironmentSatisfaction]],Table9[EnvironmentSatisfaction],Table9[Id_EnviromentSatisfaction])</f>
        <v>ES004</v>
      </c>
      <c r="Q1254">
        <v>4</v>
      </c>
      <c r="R1254" t="str">
        <f>_xlfn.XLOOKUP(Table1[[#This Row],[EnvironmentSatisfaction]],Table9[EnvironmentSatisfaction],Table9[Deskripsi])</f>
        <v>Very High</v>
      </c>
      <c r="S1254" t="str">
        <f>_xlfn.XLOOKUP(Table1[[#This Row],[Gender]],Table10[Gender],Table10[Id_Gender])</f>
        <v>G002</v>
      </c>
      <c r="T1254" t="s">
        <v>46</v>
      </c>
      <c r="U1254">
        <v>97</v>
      </c>
      <c r="V1254" t="str">
        <f>_xlfn.XLOOKUP(Table1[[#This Row],[JobInvolvement]],Table11[JobInvolvement],Table11[Id_JobInvolvement])</f>
        <v>JI004</v>
      </c>
      <c r="W1254">
        <v>4</v>
      </c>
      <c r="X1254" t="str">
        <f>_xlfn.XLOOKUP(Table1[[#This Row],[JobLevel]],Table12[JobLevel],Table12[Id_JobLevel])</f>
        <v>JL001</v>
      </c>
      <c r="Y1254">
        <v>1</v>
      </c>
      <c r="Z1254" t="str">
        <f>_xlfn.XLOOKUP(Table1[[#This Row],[JobRole]],Table13[JobRole],Table13[Id_JobRole])</f>
        <v>JR002</v>
      </c>
      <c r="AA1254" t="s">
        <v>48</v>
      </c>
      <c r="AB1254" t="str">
        <f>_xlfn.XLOOKUP(Table1[[#This Row],[JobSatisfaction]],Table14[JobSatisfaction],Table14[Id_JobSatisfaction])</f>
        <v>JS004</v>
      </c>
      <c r="AC1254">
        <v>4</v>
      </c>
      <c r="AD1254" t="str">
        <f>_xlfn.XLOOKUP(Table1[[#This Row],[JobSatisfaction]],Table14[JobSatisfaction],Table14[Deskripsi])</f>
        <v>Very High</v>
      </c>
      <c r="AE1254" t="str">
        <f>_xlfn.XLOOKUP(Table1[[#This Row],[MaritalStatus]],Table15[MaritalStatus],Table15[Id_MaritalStatus])</f>
        <v>MS002</v>
      </c>
      <c r="AF1254" t="s">
        <v>56</v>
      </c>
      <c r="AG1254">
        <v>2932</v>
      </c>
      <c r="AH1254">
        <v>5586</v>
      </c>
      <c r="AI1254">
        <v>0</v>
      </c>
      <c r="AJ1254" t="str">
        <f>_xlfn.XLOOKUP(Table1[[#This Row],[OverTime]],Table16[OverTime],Table16[Id_OverTime])</f>
        <v>OT001</v>
      </c>
      <c r="AK1254" t="s">
        <v>32</v>
      </c>
      <c r="AL1254">
        <v>14</v>
      </c>
      <c r="AM1254" t="str">
        <f>_xlfn.XLOOKUP(Table1[[#This Row],[PerformanceRating]],Table17[PerformanceRating],Table17[Id_PerformanceRating])</f>
        <v>PR003</v>
      </c>
      <c r="AN1254">
        <v>3</v>
      </c>
      <c r="AO1254" t="str">
        <f>_xlfn.XLOOKUP(Table1[[#This Row],[PerformanceRating]],Table17[PerformanceRating],Table17[Deskripsi])</f>
        <v>Excellent</v>
      </c>
      <c r="AP1254" t="str">
        <f>_xlfn.XLOOKUP(Table1[[#This Row],[RelationshipSatisfaction]],Table18[RelationshipSatisfaction],Table18[Id_RelationshipSatisfaction])</f>
        <v>RS001</v>
      </c>
      <c r="AQ1254">
        <v>1</v>
      </c>
      <c r="AR1254" t="str">
        <f>_xlfn.XLOOKUP(Table1[[#This Row],[RelationshipSatisfaction]],Table18[RelationshipSatisfaction],Table18[Deskripsi])</f>
        <v>Low</v>
      </c>
      <c r="AS1254" t="str">
        <f>_xlfn.XLOOKUP(Table1[[#This Row],[StockOptionLevel]],Table19[StockOptionLevel],Table19[Id_StockOptionLevel])</f>
        <v>SOL004</v>
      </c>
      <c r="AT1254">
        <v>3</v>
      </c>
      <c r="AU1254" t="str">
        <f>_xlfn.XLOOKUP(Table1[[#This Row],[StockOptionLevel]],Table19[StockOptionLevel],Table19[Deskripsi])</f>
        <v>Senior/Executive</v>
      </c>
      <c r="AV1254">
        <v>6</v>
      </c>
      <c r="AW1254">
        <v>3</v>
      </c>
      <c r="AX1254" t="str">
        <f>_xlfn.XLOOKUP(Table1[[#This Row],[WorkLifeBalance]],Table20[WorkLifeBalance],Table20[Id_WorkLifeBalance])</f>
        <v>WLB002</v>
      </c>
      <c r="AY1254">
        <v>3</v>
      </c>
      <c r="AZ1254" t="str">
        <f>_xlfn.XLOOKUP(Table1[[#This Row],[WorkLifeBalance]],Table20[WorkLifeBalance],Table20[Deskripsi])</f>
        <v>Good</v>
      </c>
      <c r="BA1254">
        <v>5</v>
      </c>
      <c r="BB1254">
        <v>0</v>
      </c>
      <c r="BC1254">
        <v>1</v>
      </c>
      <c r="BD1254">
        <v>2</v>
      </c>
    </row>
    <row r="1255" spans="1:56" x14ac:dyDescent="0.25">
      <c r="A1255">
        <v>33</v>
      </c>
      <c r="B1255" t="str">
        <f>_xlfn.XLOOKUP(Table1[[#This Row],[Attrition]],Table2[Attrition],Table2[Id_Attrition])</f>
        <v>A002</v>
      </c>
      <c r="C1255" t="s">
        <v>33</v>
      </c>
      <c r="D1255" t="str">
        <f>_xlfn.XLOOKUP(Table1[[#This Row],[BusinessTravel]],Table5[BusinessTravel],Table5[Id_BusinessTravel])</f>
        <v>BS003</v>
      </c>
      <c r="E1255" t="s">
        <v>36</v>
      </c>
      <c r="F1255">
        <v>1283</v>
      </c>
      <c r="G1255" t="str">
        <f>_xlfn.XLOOKUP(Table1[[#This Row],[Department]],Table6[Department],Table6[Id_Departement])</f>
        <v>D001</v>
      </c>
      <c r="H1255" t="s">
        <v>37</v>
      </c>
      <c r="I1255">
        <v>2</v>
      </c>
      <c r="J1255" t="str">
        <f>_xlfn.XLOOKUP(Table1[[#This Row],[Education]],Table8[Education],Table8[Id_Education])</f>
        <v>E003</v>
      </c>
      <c r="K1255">
        <v>3</v>
      </c>
      <c r="L1255" t="str">
        <f>_xlfn.XLOOKUP(Table1[[#This Row],[EducationField]],Table7[EducationField],Table7[Id_EducationField])</f>
        <v>EF004</v>
      </c>
      <c r="M1255" t="s">
        <v>43</v>
      </c>
      <c r="N1255" t="str">
        <f>_xlfn.XLOOKUP(Table1[[#This Row],[EmployeeNumber]],Table4[EmployeeNumber],Table4[Id_Employee])</f>
        <v>EMP01254</v>
      </c>
      <c r="O1255">
        <v>1756</v>
      </c>
      <c r="P1255" t="str">
        <f>_xlfn.XLOOKUP(Table1[[#This Row],[EnvironmentSatisfaction]],Table9[EnvironmentSatisfaction],Table9[Id_EnviromentSatisfaction])</f>
        <v>ES004</v>
      </c>
      <c r="Q1255">
        <v>4</v>
      </c>
      <c r="R1255" t="str">
        <f>_xlfn.XLOOKUP(Table1[[#This Row],[EnvironmentSatisfaction]],Table9[EnvironmentSatisfaction],Table9[Deskripsi])</f>
        <v>Very High</v>
      </c>
      <c r="S1255" t="str">
        <f>_xlfn.XLOOKUP(Table1[[#This Row],[Gender]],Table10[Gender],Table10[Id_Gender])</f>
        <v>G001</v>
      </c>
      <c r="T1255" t="s">
        <v>45</v>
      </c>
      <c r="U1255">
        <v>62</v>
      </c>
      <c r="V1255" t="str">
        <f>_xlfn.XLOOKUP(Table1[[#This Row],[JobInvolvement]],Table11[JobInvolvement],Table11[Id_JobInvolvement])</f>
        <v>JI003</v>
      </c>
      <c r="W1255">
        <v>3</v>
      </c>
      <c r="X1255" t="str">
        <f>_xlfn.XLOOKUP(Table1[[#This Row],[JobLevel]],Table12[JobLevel],Table12[Id_JobLevel])</f>
        <v>JL002</v>
      </c>
      <c r="Y1255">
        <v>2</v>
      </c>
      <c r="Z1255" t="str">
        <f>_xlfn.XLOOKUP(Table1[[#This Row],[JobRole]],Table13[JobRole],Table13[Id_JobRole])</f>
        <v>JR001</v>
      </c>
      <c r="AA1255" t="s">
        <v>47</v>
      </c>
      <c r="AB1255" t="str">
        <f>_xlfn.XLOOKUP(Table1[[#This Row],[JobSatisfaction]],Table14[JobSatisfaction],Table14[Id_JobSatisfaction])</f>
        <v>JS002</v>
      </c>
      <c r="AC1255">
        <v>2</v>
      </c>
      <c r="AD1255" t="str">
        <f>_xlfn.XLOOKUP(Table1[[#This Row],[JobSatisfaction]],Table14[JobSatisfaction],Table14[Deskripsi])</f>
        <v>Medium</v>
      </c>
      <c r="AE1255" t="str">
        <f>_xlfn.XLOOKUP(Table1[[#This Row],[MaritalStatus]],Table15[MaritalStatus],Table15[Id_MaritalStatus])</f>
        <v>MS001</v>
      </c>
      <c r="AF1255" t="s">
        <v>55</v>
      </c>
      <c r="AG1255">
        <v>5147</v>
      </c>
      <c r="AH1255">
        <v>10697</v>
      </c>
      <c r="AI1255">
        <v>8</v>
      </c>
      <c r="AJ1255" t="str">
        <f>_xlfn.XLOOKUP(Table1[[#This Row],[OverTime]],Table16[OverTime],Table16[Id_OverTime])</f>
        <v>OT002</v>
      </c>
      <c r="AK1255" t="s">
        <v>33</v>
      </c>
      <c r="AL1255">
        <v>15</v>
      </c>
      <c r="AM1255" t="str">
        <f>_xlfn.XLOOKUP(Table1[[#This Row],[PerformanceRating]],Table17[PerformanceRating],Table17[Id_PerformanceRating])</f>
        <v>PR003</v>
      </c>
      <c r="AN1255">
        <v>3</v>
      </c>
      <c r="AO1255" t="str">
        <f>_xlfn.XLOOKUP(Table1[[#This Row],[PerformanceRating]],Table17[PerformanceRating],Table17[Deskripsi])</f>
        <v>Excellent</v>
      </c>
      <c r="AP1255" t="str">
        <f>_xlfn.XLOOKUP(Table1[[#This Row],[RelationshipSatisfaction]],Table18[RelationshipSatisfaction],Table18[Id_RelationshipSatisfaction])</f>
        <v>RS004</v>
      </c>
      <c r="AQ1255">
        <v>4</v>
      </c>
      <c r="AR1255" t="str">
        <f>_xlfn.XLOOKUP(Table1[[#This Row],[RelationshipSatisfaction]],Table18[RelationshipSatisfaction],Table18[Deskripsi])</f>
        <v>Very High</v>
      </c>
      <c r="AS1255" t="str">
        <f>_xlfn.XLOOKUP(Table1[[#This Row],[StockOptionLevel]],Table19[StockOptionLevel],Table19[Id_StockOptionLevel])</f>
        <v>SOL001</v>
      </c>
      <c r="AT1255">
        <v>0</v>
      </c>
      <c r="AU1255" t="str">
        <f>_xlfn.XLOOKUP(Table1[[#This Row],[StockOptionLevel]],Table19[StockOptionLevel],Table19[Deskripsi])</f>
        <v>Non-Eligible</v>
      </c>
      <c r="AV1255">
        <v>13</v>
      </c>
      <c r="AW1255">
        <v>2</v>
      </c>
      <c r="AX1255" t="str">
        <f>_xlfn.XLOOKUP(Table1[[#This Row],[WorkLifeBalance]],Table20[WorkLifeBalance],Table20[Id_WorkLifeBalance])</f>
        <v>WLB003</v>
      </c>
      <c r="AY1255">
        <v>2</v>
      </c>
      <c r="AZ1255" t="str">
        <f>_xlfn.XLOOKUP(Table1[[#This Row],[WorkLifeBalance]],Table20[WorkLifeBalance],Table20[Deskripsi])</f>
        <v>Better</v>
      </c>
      <c r="BA1255">
        <v>11</v>
      </c>
      <c r="BB1255">
        <v>7</v>
      </c>
      <c r="BC1255">
        <v>1</v>
      </c>
      <c r="BD1255">
        <v>7</v>
      </c>
    </row>
    <row r="1256" spans="1:56" x14ac:dyDescent="0.25">
      <c r="A1256">
        <v>49</v>
      </c>
      <c r="B1256" t="str">
        <f>_xlfn.XLOOKUP(Table1[[#This Row],[Attrition]],Table2[Attrition],Table2[Id_Attrition])</f>
        <v>A002</v>
      </c>
      <c r="C1256" t="s">
        <v>33</v>
      </c>
      <c r="D1256" t="str">
        <f>_xlfn.XLOOKUP(Table1[[#This Row],[BusinessTravel]],Table5[BusinessTravel],Table5[Id_BusinessTravel])</f>
        <v>BS001</v>
      </c>
      <c r="E1256" t="s">
        <v>34</v>
      </c>
      <c r="F1256">
        <v>1313</v>
      </c>
      <c r="G1256" t="str">
        <f>_xlfn.XLOOKUP(Table1[[#This Row],[Department]],Table6[Department],Table6[Id_Departement])</f>
        <v>D001</v>
      </c>
      <c r="H1256" t="s">
        <v>37</v>
      </c>
      <c r="I1256">
        <v>11</v>
      </c>
      <c r="J1256" t="str">
        <f>_xlfn.XLOOKUP(Table1[[#This Row],[Education]],Table8[Education],Table8[Id_Education])</f>
        <v>E004</v>
      </c>
      <c r="K1256">
        <v>4</v>
      </c>
      <c r="L1256" t="str">
        <f>_xlfn.XLOOKUP(Table1[[#This Row],[EducationField]],Table7[EducationField],Table7[Id_EducationField])</f>
        <v>EF004</v>
      </c>
      <c r="M1256" t="s">
        <v>43</v>
      </c>
      <c r="N1256" t="str">
        <f>_xlfn.XLOOKUP(Table1[[#This Row],[EmployeeNumber]],Table4[EmployeeNumber],Table4[Id_Employee])</f>
        <v>EMP01255</v>
      </c>
      <c r="O1256">
        <v>1757</v>
      </c>
      <c r="P1256" t="str">
        <f>_xlfn.XLOOKUP(Table1[[#This Row],[EnvironmentSatisfaction]],Table9[EnvironmentSatisfaction],Table9[Id_EnviromentSatisfaction])</f>
        <v>ES004</v>
      </c>
      <c r="Q1256">
        <v>4</v>
      </c>
      <c r="R1256" t="str">
        <f>_xlfn.XLOOKUP(Table1[[#This Row],[EnvironmentSatisfaction]],Table9[EnvironmentSatisfaction],Table9[Deskripsi])</f>
        <v>Very High</v>
      </c>
      <c r="S1256" t="str">
        <f>_xlfn.XLOOKUP(Table1[[#This Row],[Gender]],Table10[Gender],Table10[Id_Gender])</f>
        <v>G001</v>
      </c>
      <c r="T1256" t="s">
        <v>45</v>
      </c>
      <c r="U1256">
        <v>80</v>
      </c>
      <c r="V1256" t="str">
        <f>_xlfn.XLOOKUP(Table1[[#This Row],[JobInvolvement]],Table11[JobInvolvement],Table11[Id_JobInvolvement])</f>
        <v>JI003</v>
      </c>
      <c r="W1256">
        <v>3</v>
      </c>
      <c r="X1256" t="str">
        <f>_xlfn.XLOOKUP(Table1[[#This Row],[JobLevel]],Table12[JobLevel],Table12[Id_JobLevel])</f>
        <v>JL002</v>
      </c>
      <c r="Y1256">
        <v>2</v>
      </c>
      <c r="Z1256" t="str">
        <f>_xlfn.XLOOKUP(Table1[[#This Row],[JobRole]],Table13[JobRole],Table13[Id_JobRole])</f>
        <v>JR001</v>
      </c>
      <c r="AA1256" t="s">
        <v>47</v>
      </c>
      <c r="AB1256" t="str">
        <f>_xlfn.XLOOKUP(Table1[[#This Row],[JobSatisfaction]],Table14[JobSatisfaction],Table14[Id_JobSatisfaction])</f>
        <v>JS004</v>
      </c>
      <c r="AC1256">
        <v>4</v>
      </c>
      <c r="AD1256" t="str">
        <f>_xlfn.XLOOKUP(Table1[[#This Row],[JobSatisfaction]],Table14[JobSatisfaction],Table14[Deskripsi])</f>
        <v>Very High</v>
      </c>
      <c r="AE1256" t="str">
        <f>_xlfn.XLOOKUP(Table1[[#This Row],[MaritalStatus]],Table15[MaritalStatus],Table15[Id_MaritalStatus])</f>
        <v>MS001</v>
      </c>
      <c r="AF1256" t="s">
        <v>55</v>
      </c>
      <c r="AG1256">
        <v>4507</v>
      </c>
      <c r="AH1256">
        <v>8191</v>
      </c>
      <c r="AI1256">
        <v>3</v>
      </c>
      <c r="AJ1256" t="str">
        <f>_xlfn.XLOOKUP(Table1[[#This Row],[OverTime]],Table16[OverTime],Table16[Id_OverTime])</f>
        <v>OT002</v>
      </c>
      <c r="AK1256" t="s">
        <v>33</v>
      </c>
      <c r="AL1256">
        <v>12</v>
      </c>
      <c r="AM1256" t="str">
        <f>_xlfn.XLOOKUP(Table1[[#This Row],[PerformanceRating]],Table17[PerformanceRating],Table17[Id_PerformanceRating])</f>
        <v>PR003</v>
      </c>
      <c r="AN1256">
        <v>3</v>
      </c>
      <c r="AO1256" t="str">
        <f>_xlfn.XLOOKUP(Table1[[#This Row],[PerformanceRating]],Table17[PerformanceRating],Table17[Deskripsi])</f>
        <v>Excellent</v>
      </c>
      <c r="AP1256" t="str">
        <f>_xlfn.XLOOKUP(Table1[[#This Row],[RelationshipSatisfaction]],Table18[RelationshipSatisfaction],Table18[Id_RelationshipSatisfaction])</f>
        <v>RS003</v>
      </c>
      <c r="AQ1256">
        <v>3</v>
      </c>
      <c r="AR1256" t="str">
        <f>_xlfn.XLOOKUP(Table1[[#This Row],[RelationshipSatisfaction]],Table18[RelationshipSatisfaction],Table18[Deskripsi])</f>
        <v>High</v>
      </c>
      <c r="AS1256" t="str">
        <f>_xlfn.XLOOKUP(Table1[[#This Row],[StockOptionLevel]],Table19[StockOptionLevel],Table19[Id_StockOptionLevel])</f>
        <v>SOL001</v>
      </c>
      <c r="AT1256">
        <v>0</v>
      </c>
      <c r="AU1256" t="str">
        <f>_xlfn.XLOOKUP(Table1[[#This Row],[StockOptionLevel]],Table19[StockOptionLevel],Table19[Deskripsi])</f>
        <v>Non-Eligible</v>
      </c>
      <c r="AV1256">
        <v>8</v>
      </c>
      <c r="AW1256">
        <v>1</v>
      </c>
      <c r="AX1256" t="str">
        <f>_xlfn.XLOOKUP(Table1[[#This Row],[WorkLifeBalance]],Table20[WorkLifeBalance],Table20[Id_WorkLifeBalance])</f>
        <v>WLB004</v>
      </c>
      <c r="AY1256">
        <v>4</v>
      </c>
      <c r="AZ1256" t="str">
        <f>_xlfn.XLOOKUP(Table1[[#This Row],[WorkLifeBalance]],Table20[WorkLifeBalance],Table20[Deskripsi])</f>
        <v>Best</v>
      </c>
      <c r="BA1256">
        <v>5</v>
      </c>
      <c r="BB1256">
        <v>1</v>
      </c>
      <c r="BC1256">
        <v>0</v>
      </c>
      <c r="BD1256">
        <v>4</v>
      </c>
    </row>
    <row r="1257" spans="1:56" x14ac:dyDescent="0.25">
      <c r="A1257">
        <v>33</v>
      </c>
      <c r="B1257" t="str">
        <f>_xlfn.XLOOKUP(Table1[[#This Row],[Attrition]],Table2[Attrition],Table2[Id_Attrition])</f>
        <v>A001</v>
      </c>
      <c r="C1257" t="s">
        <v>32</v>
      </c>
      <c r="D1257" t="str">
        <f>_xlfn.XLOOKUP(Table1[[#This Row],[BusinessTravel]],Table5[BusinessTravel],Table5[Id_BusinessTravel])</f>
        <v>BS001</v>
      </c>
      <c r="E1257" t="s">
        <v>34</v>
      </c>
      <c r="F1257">
        <v>211</v>
      </c>
      <c r="G1257" t="str">
        <f>_xlfn.XLOOKUP(Table1[[#This Row],[Department]],Table6[Department],Table6[Id_Departement])</f>
        <v>D001</v>
      </c>
      <c r="H1257" t="s">
        <v>37</v>
      </c>
      <c r="I1257">
        <v>16</v>
      </c>
      <c r="J1257" t="str">
        <f>_xlfn.XLOOKUP(Table1[[#This Row],[Education]],Table8[Education],Table8[Id_Education])</f>
        <v>E003</v>
      </c>
      <c r="K1257">
        <v>3</v>
      </c>
      <c r="L1257" t="str">
        <f>_xlfn.XLOOKUP(Table1[[#This Row],[EducationField]],Table7[EducationField],Table7[Id_EducationField])</f>
        <v>EF001</v>
      </c>
      <c r="M1257" t="s">
        <v>40</v>
      </c>
      <c r="N1257" t="str">
        <f>_xlfn.XLOOKUP(Table1[[#This Row],[EmployeeNumber]],Table4[EmployeeNumber],Table4[Id_Employee])</f>
        <v>EMP01256</v>
      </c>
      <c r="O1257">
        <v>1758</v>
      </c>
      <c r="P1257" t="str">
        <f>_xlfn.XLOOKUP(Table1[[#This Row],[EnvironmentSatisfaction]],Table9[EnvironmentSatisfaction],Table9[Id_EnviromentSatisfaction])</f>
        <v>ES001</v>
      </c>
      <c r="Q1257">
        <v>1</v>
      </c>
      <c r="R1257" t="str">
        <f>_xlfn.XLOOKUP(Table1[[#This Row],[EnvironmentSatisfaction]],Table9[EnvironmentSatisfaction],Table9[Deskripsi])</f>
        <v>Low</v>
      </c>
      <c r="S1257" t="str">
        <f>_xlfn.XLOOKUP(Table1[[#This Row],[Gender]],Table10[Gender],Table10[Id_Gender])</f>
        <v>G001</v>
      </c>
      <c r="T1257" t="s">
        <v>45</v>
      </c>
      <c r="U1257">
        <v>74</v>
      </c>
      <c r="V1257" t="str">
        <f>_xlfn.XLOOKUP(Table1[[#This Row],[JobInvolvement]],Table11[JobInvolvement],Table11[Id_JobInvolvement])</f>
        <v>JI003</v>
      </c>
      <c r="W1257">
        <v>3</v>
      </c>
      <c r="X1257" t="str">
        <f>_xlfn.XLOOKUP(Table1[[#This Row],[JobLevel]],Table12[JobLevel],Table12[Id_JobLevel])</f>
        <v>JL003</v>
      </c>
      <c r="Y1257">
        <v>3</v>
      </c>
      <c r="Z1257" t="str">
        <f>_xlfn.XLOOKUP(Table1[[#This Row],[JobRole]],Table13[JobRole],Table13[Id_JobRole])</f>
        <v>JR001</v>
      </c>
      <c r="AA1257" t="s">
        <v>47</v>
      </c>
      <c r="AB1257" t="str">
        <f>_xlfn.XLOOKUP(Table1[[#This Row],[JobSatisfaction]],Table14[JobSatisfaction],Table14[Id_JobSatisfaction])</f>
        <v>JS001</v>
      </c>
      <c r="AC1257">
        <v>1</v>
      </c>
      <c r="AD1257" t="str">
        <f>_xlfn.XLOOKUP(Table1[[#This Row],[JobSatisfaction]],Table14[JobSatisfaction],Table14[Deskripsi])</f>
        <v>Low</v>
      </c>
      <c r="AE1257" t="str">
        <f>_xlfn.XLOOKUP(Table1[[#This Row],[MaritalStatus]],Table15[MaritalStatus],Table15[Id_MaritalStatus])</f>
        <v>MS001</v>
      </c>
      <c r="AF1257" t="s">
        <v>55</v>
      </c>
      <c r="AG1257">
        <v>8564</v>
      </c>
      <c r="AH1257">
        <v>10092</v>
      </c>
      <c r="AI1257">
        <v>2</v>
      </c>
      <c r="AJ1257" t="str">
        <f>_xlfn.XLOOKUP(Table1[[#This Row],[OverTime]],Table16[OverTime],Table16[Id_OverTime])</f>
        <v>OT001</v>
      </c>
      <c r="AK1257" t="s">
        <v>32</v>
      </c>
      <c r="AL1257">
        <v>20</v>
      </c>
      <c r="AM1257" t="str">
        <f>_xlfn.XLOOKUP(Table1[[#This Row],[PerformanceRating]],Table17[PerformanceRating],Table17[Id_PerformanceRating])</f>
        <v>PR004</v>
      </c>
      <c r="AN1257">
        <v>4</v>
      </c>
      <c r="AO1257" t="str">
        <f>_xlfn.XLOOKUP(Table1[[#This Row],[PerformanceRating]],Table17[PerformanceRating],Table17[Deskripsi])</f>
        <v>Outstanding</v>
      </c>
      <c r="AP1257" t="str">
        <f>_xlfn.XLOOKUP(Table1[[#This Row],[RelationshipSatisfaction]],Table18[RelationshipSatisfaction],Table18[Id_RelationshipSatisfaction])</f>
        <v>RS003</v>
      </c>
      <c r="AQ1257">
        <v>3</v>
      </c>
      <c r="AR1257" t="str">
        <f>_xlfn.XLOOKUP(Table1[[#This Row],[RelationshipSatisfaction]],Table18[RelationshipSatisfaction],Table18[Deskripsi])</f>
        <v>High</v>
      </c>
      <c r="AS1257" t="str">
        <f>_xlfn.XLOOKUP(Table1[[#This Row],[StockOptionLevel]],Table19[StockOptionLevel],Table19[Id_StockOptionLevel])</f>
        <v>SOL001</v>
      </c>
      <c r="AT1257">
        <v>0</v>
      </c>
      <c r="AU1257" t="str">
        <f>_xlfn.XLOOKUP(Table1[[#This Row],[StockOptionLevel]],Table19[StockOptionLevel],Table19[Deskripsi])</f>
        <v>Non-Eligible</v>
      </c>
      <c r="AV1257">
        <v>11</v>
      </c>
      <c r="AW1257">
        <v>2</v>
      </c>
      <c r="AX1257" t="str">
        <f>_xlfn.XLOOKUP(Table1[[#This Row],[WorkLifeBalance]],Table20[WorkLifeBalance],Table20[Id_WorkLifeBalance])</f>
        <v>WLB003</v>
      </c>
      <c r="AY1257">
        <v>2</v>
      </c>
      <c r="AZ1257" t="str">
        <f>_xlfn.XLOOKUP(Table1[[#This Row],[WorkLifeBalance]],Table20[WorkLifeBalance],Table20[Deskripsi])</f>
        <v>Better</v>
      </c>
      <c r="BA1257">
        <v>0</v>
      </c>
      <c r="BB1257">
        <v>0</v>
      </c>
      <c r="BC1257">
        <v>0</v>
      </c>
      <c r="BD1257">
        <v>0</v>
      </c>
    </row>
    <row r="1258" spans="1:56" x14ac:dyDescent="0.25">
      <c r="A1258">
        <v>38</v>
      </c>
      <c r="B1258" t="str">
        <f>_xlfn.XLOOKUP(Table1[[#This Row],[Attrition]],Table2[Attrition],Table2[Id_Attrition])</f>
        <v>A002</v>
      </c>
      <c r="C1258" t="s">
        <v>33</v>
      </c>
      <c r="D1258" t="str">
        <f>_xlfn.XLOOKUP(Table1[[#This Row],[BusinessTravel]],Table5[BusinessTravel],Table5[Id_BusinessTravel])</f>
        <v>BS002</v>
      </c>
      <c r="E1258" t="s">
        <v>35</v>
      </c>
      <c r="F1258">
        <v>594</v>
      </c>
      <c r="G1258" t="str">
        <f>_xlfn.XLOOKUP(Table1[[#This Row],[Department]],Table6[Department],Table6[Id_Departement])</f>
        <v>D002</v>
      </c>
      <c r="H1258" t="s">
        <v>38</v>
      </c>
      <c r="I1258">
        <v>2</v>
      </c>
      <c r="J1258" t="str">
        <f>_xlfn.XLOOKUP(Table1[[#This Row],[Education]],Table8[Education],Table8[Id_Education])</f>
        <v>E002</v>
      </c>
      <c r="K1258">
        <v>2</v>
      </c>
      <c r="L1258" t="str">
        <f>_xlfn.XLOOKUP(Table1[[#This Row],[EducationField]],Table7[EducationField],Table7[Id_EducationField])</f>
        <v>EF003</v>
      </c>
      <c r="M1258" t="s">
        <v>42</v>
      </c>
      <c r="N1258" t="str">
        <f>_xlfn.XLOOKUP(Table1[[#This Row],[EmployeeNumber]],Table4[EmployeeNumber],Table4[Id_Employee])</f>
        <v>EMP01257</v>
      </c>
      <c r="O1258">
        <v>1760</v>
      </c>
      <c r="P1258" t="str">
        <f>_xlfn.XLOOKUP(Table1[[#This Row],[EnvironmentSatisfaction]],Table9[EnvironmentSatisfaction],Table9[Id_EnviromentSatisfaction])</f>
        <v>ES003</v>
      </c>
      <c r="Q1258">
        <v>3</v>
      </c>
      <c r="R1258" t="str">
        <f>_xlfn.XLOOKUP(Table1[[#This Row],[EnvironmentSatisfaction]],Table9[EnvironmentSatisfaction],Table9[Deskripsi])</f>
        <v>High</v>
      </c>
      <c r="S1258" t="str">
        <f>_xlfn.XLOOKUP(Table1[[#This Row],[Gender]],Table10[Gender],Table10[Id_Gender])</f>
        <v>G001</v>
      </c>
      <c r="T1258" t="s">
        <v>45</v>
      </c>
      <c r="U1258">
        <v>75</v>
      </c>
      <c r="V1258" t="str">
        <f>_xlfn.XLOOKUP(Table1[[#This Row],[JobInvolvement]],Table11[JobInvolvement],Table11[Id_JobInvolvement])</f>
        <v>JI002</v>
      </c>
      <c r="W1258">
        <v>2</v>
      </c>
      <c r="X1258" t="str">
        <f>_xlfn.XLOOKUP(Table1[[#This Row],[JobLevel]],Table12[JobLevel],Table12[Id_JobLevel])</f>
        <v>JL001</v>
      </c>
      <c r="Y1258">
        <v>1</v>
      </c>
      <c r="Z1258" t="str">
        <f>_xlfn.XLOOKUP(Table1[[#This Row],[JobRole]],Table13[JobRole],Table13[Id_JobRole])</f>
        <v>JR003</v>
      </c>
      <c r="AA1258" t="s">
        <v>49</v>
      </c>
      <c r="AB1258" t="str">
        <f>_xlfn.XLOOKUP(Table1[[#This Row],[JobSatisfaction]],Table14[JobSatisfaction],Table14[Id_JobSatisfaction])</f>
        <v>JS002</v>
      </c>
      <c r="AC1258">
        <v>2</v>
      </c>
      <c r="AD1258" t="str">
        <f>_xlfn.XLOOKUP(Table1[[#This Row],[JobSatisfaction]],Table14[JobSatisfaction],Table14[Deskripsi])</f>
        <v>Medium</v>
      </c>
      <c r="AE1258" t="str">
        <f>_xlfn.XLOOKUP(Table1[[#This Row],[MaritalStatus]],Table15[MaritalStatus],Table15[Id_MaritalStatus])</f>
        <v>MS002</v>
      </c>
      <c r="AF1258" t="s">
        <v>56</v>
      </c>
      <c r="AG1258">
        <v>2468</v>
      </c>
      <c r="AH1258">
        <v>15963</v>
      </c>
      <c r="AI1258">
        <v>4</v>
      </c>
      <c r="AJ1258" t="str">
        <f>_xlfn.XLOOKUP(Table1[[#This Row],[OverTime]],Table16[OverTime],Table16[Id_OverTime])</f>
        <v>OT002</v>
      </c>
      <c r="AK1258" t="s">
        <v>33</v>
      </c>
      <c r="AL1258">
        <v>14</v>
      </c>
      <c r="AM1258" t="str">
        <f>_xlfn.XLOOKUP(Table1[[#This Row],[PerformanceRating]],Table17[PerformanceRating],Table17[Id_PerformanceRating])</f>
        <v>PR003</v>
      </c>
      <c r="AN1258">
        <v>3</v>
      </c>
      <c r="AO1258" t="str">
        <f>_xlfn.XLOOKUP(Table1[[#This Row],[PerformanceRating]],Table17[PerformanceRating],Table17[Deskripsi])</f>
        <v>Excellent</v>
      </c>
      <c r="AP1258" t="str">
        <f>_xlfn.XLOOKUP(Table1[[#This Row],[RelationshipSatisfaction]],Table18[RelationshipSatisfaction],Table18[Id_RelationshipSatisfaction])</f>
        <v>RS002</v>
      </c>
      <c r="AQ1258">
        <v>2</v>
      </c>
      <c r="AR1258" t="str">
        <f>_xlfn.XLOOKUP(Table1[[#This Row],[RelationshipSatisfaction]],Table18[RelationshipSatisfaction],Table18[Deskripsi])</f>
        <v>Medium</v>
      </c>
      <c r="AS1258" t="str">
        <f>_xlfn.XLOOKUP(Table1[[#This Row],[StockOptionLevel]],Table19[StockOptionLevel],Table19[Id_StockOptionLevel])</f>
        <v>SOL002</v>
      </c>
      <c r="AT1258">
        <v>1</v>
      </c>
      <c r="AU1258" t="str">
        <f>_xlfn.XLOOKUP(Table1[[#This Row],[StockOptionLevel]],Table19[StockOptionLevel],Table19[Deskripsi])</f>
        <v>Standard</v>
      </c>
      <c r="AV1258">
        <v>9</v>
      </c>
      <c r="AW1258">
        <v>4</v>
      </c>
      <c r="AX1258" t="str">
        <f>_xlfn.XLOOKUP(Table1[[#This Row],[WorkLifeBalance]],Table20[WorkLifeBalance],Table20[Id_WorkLifeBalance])</f>
        <v>WLB003</v>
      </c>
      <c r="AY1258">
        <v>2</v>
      </c>
      <c r="AZ1258" t="str">
        <f>_xlfn.XLOOKUP(Table1[[#This Row],[WorkLifeBalance]],Table20[WorkLifeBalance],Table20[Deskripsi])</f>
        <v>Better</v>
      </c>
      <c r="BA1258">
        <v>6</v>
      </c>
      <c r="BB1258">
        <v>1</v>
      </c>
      <c r="BC1258">
        <v>0</v>
      </c>
      <c r="BD1258">
        <v>5</v>
      </c>
    </row>
    <row r="1259" spans="1:56" x14ac:dyDescent="0.25">
      <c r="A1259">
        <v>31</v>
      </c>
      <c r="B1259" t="str">
        <f>_xlfn.XLOOKUP(Table1[[#This Row],[Attrition]],Table2[Attrition],Table2[Id_Attrition])</f>
        <v>A001</v>
      </c>
      <c r="C1259" t="s">
        <v>32</v>
      </c>
      <c r="D1259" t="str">
        <f>_xlfn.XLOOKUP(Table1[[#This Row],[BusinessTravel]],Table5[BusinessTravel],Table5[Id_BusinessTravel])</f>
        <v>BS001</v>
      </c>
      <c r="E1259" t="s">
        <v>34</v>
      </c>
      <c r="F1259">
        <v>1079</v>
      </c>
      <c r="G1259" t="str">
        <f>_xlfn.XLOOKUP(Table1[[#This Row],[Department]],Table6[Department],Table6[Id_Departement])</f>
        <v>D001</v>
      </c>
      <c r="H1259" t="s">
        <v>37</v>
      </c>
      <c r="I1259">
        <v>16</v>
      </c>
      <c r="J1259" t="str">
        <f>_xlfn.XLOOKUP(Table1[[#This Row],[Education]],Table8[Education],Table8[Id_Education])</f>
        <v>E004</v>
      </c>
      <c r="K1259">
        <v>4</v>
      </c>
      <c r="L1259" t="str">
        <f>_xlfn.XLOOKUP(Table1[[#This Row],[EducationField]],Table7[EducationField],Table7[Id_EducationField])</f>
        <v>EF004</v>
      </c>
      <c r="M1259" t="s">
        <v>43</v>
      </c>
      <c r="N1259" t="str">
        <f>_xlfn.XLOOKUP(Table1[[#This Row],[EmployeeNumber]],Table4[EmployeeNumber],Table4[Id_Employee])</f>
        <v>EMP01258</v>
      </c>
      <c r="O1259">
        <v>1761</v>
      </c>
      <c r="P1259" t="str">
        <f>_xlfn.XLOOKUP(Table1[[#This Row],[EnvironmentSatisfaction]],Table9[EnvironmentSatisfaction],Table9[Id_EnviromentSatisfaction])</f>
        <v>ES001</v>
      </c>
      <c r="Q1259">
        <v>1</v>
      </c>
      <c r="R1259" t="str">
        <f>_xlfn.XLOOKUP(Table1[[#This Row],[EnvironmentSatisfaction]],Table9[EnvironmentSatisfaction],Table9[Deskripsi])</f>
        <v>Low</v>
      </c>
      <c r="S1259" t="str">
        <f>_xlfn.XLOOKUP(Table1[[#This Row],[Gender]],Table10[Gender],Table10[Id_Gender])</f>
        <v>G002</v>
      </c>
      <c r="T1259" t="s">
        <v>46</v>
      </c>
      <c r="U1259">
        <v>70</v>
      </c>
      <c r="V1259" t="str">
        <f>_xlfn.XLOOKUP(Table1[[#This Row],[JobInvolvement]],Table11[JobInvolvement],Table11[Id_JobInvolvement])</f>
        <v>JI003</v>
      </c>
      <c r="W1259">
        <v>3</v>
      </c>
      <c r="X1259" t="str">
        <f>_xlfn.XLOOKUP(Table1[[#This Row],[JobLevel]],Table12[JobLevel],Table12[Id_JobLevel])</f>
        <v>JL003</v>
      </c>
      <c r="Y1259">
        <v>3</v>
      </c>
      <c r="Z1259" t="str">
        <f>_xlfn.XLOOKUP(Table1[[#This Row],[JobRole]],Table13[JobRole],Table13[Id_JobRole])</f>
        <v>JR001</v>
      </c>
      <c r="AA1259" t="s">
        <v>47</v>
      </c>
      <c r="AB1259" t="str">
        <f>_xlfn.XLOOKUP(Table1[[#This Row],[JobSatisfaction]],Table14[JobSatisfaction],Table14[Id_JobSatisfaction])</f>
        <v>JS003</v>
      </c>
      <c r="AC1259">
        <v>3</v>
      </c>
      <c r="AD1259" t="str">
        <f>_xlfn.XLOOKUP(Table1[[#This Row],[JobSatisfaction]],Table14[JobSatisfaction],Table14[Deskripsi])</f>
        <v>High</v>
      </c>
      <c r="AE1259" t="str">
        <f>_xlfn.XLOOKUP(Table1[[#This Row],[MaritalStatus]],Table15[MaritalStatus],Table15[Id_MaritalStatus])</f>
        <v>MS002</v>
      </c>
      <c r="AF1259" t="s">
        <v>56</v>
      </c>
      <c r="AG1259">
        <v>8161</v>
      </c>
      <c r="AH1259">
        <v>19002</v>
      </c>
      <c r="AI1259">
        <v>2</v>
      </c>
      <c r="AJ1259" t="str">
        <f>_xlfn.XLOOKUP(Table1[[#This Row],[OverTime]],Table16[OverTime],Table16[Id_OverTime])</f>
        <v>OT002</v>
      </c>
      <c r="AK1259" t="s">
        <v>33</v>
      </c>
      <c r="AL1259">
        <v>13</v>
      </c>
      <c r="AM1259" t="str">
        <f>_xlfn.XLOOKUP(Table1[[#This Row],[PerformanceRating]],Table17[PerformanceRating],Table17[Id_PerformanceRating])</f>
        <v>PR003</v>
      </c>
      <c r="AN1259">
        <v>3</v>
      </c>
      <c r="AO1259" t="str">
        <f>_xlfn.XLOOKUP(Table1[[#This Row],[PerformanceRating]],Table17[PerformanceRating],Table17[Deskripsi])</f>
        <v>Excellent</v>
      </c>
      <c r="AP1259" t="str">
        <f>_xlfn.XLOOKUP(Table1[[#This Row],[RelationshipSatisfaction]],Table18[RelationshipSatisfaction],Table18[Id_RelationshipSatisfaction])</f>
        <v>RS001</v>
      </c>
      <c r="AQ1259">
        <v>1</v>
      </c>
      <c r="AR1259" t="str">
        <f>_xlfn.XLOOKUP(Table1[[#This Row],[RelationshipSatisfaction]],Table18[RelationshipSatisfaction],Table18[Deskripsi])</f>
        <v>Low</v>
      </c>
      <c r="AS1259" t="str">
        <f>_xlfn.XLOOKUP(Table1[[#This Row],[StockOptionLevel]],Table19[StockOptionLevel],Table19[Id_StockOptionLevel])</f>
        <v>SOL004</v>
      </c>
      <c r="AT1259">
        <v>3</v>
      </c>
      <c r="AU1259" t="str">
        <f>_xlfn.XLOOKUP(Table1[[#This Row],[StockOptionLevel]],Table19[StockOptionLevel],Table19[Deskripsi])</f>
        <v>Senior/Executive</v>
      </c>
      <c r="AV1259">
        <v>10</v>
      </c>
      <c r="AW1259">
        <v>2</v>
      </c>
      <c r="AX1259" t="str">
        <f>_xlfn.XLOOKUP(Table1[[#This Row],[WorkLifeBalance]],Table20[WorkLifeBalance],Table20[Id_WorkLifeBalance])</f>
        <v>WLB002</v>
      </c>
      <c r="AY1259">
        <v>3</v>
      </c>
      <c r="AZ1259" t="str">
        <f>_xlfn.XLOOKUP(Table1[[#This Row],[WorkLifeBalance]],Table20[WorkLifeBalance],Table20[Deskripsi])</f>
        <v>Good</v>
      </c>
      <c r="BA1259">
        <v>1</v>
      </c>
      <c r="BB1259">
        <v>0</v>
      </c>
      <c r="BC1259">
        <v>0</v>
      </c>
      <c r="BD1259">
        <v>0</v>
      </c>
    </row>
    <row r="1260" spans="1:56" x14ac:dyDescent="0.25">
      <c r="A1260">
        <v>29</v>
      </c>
      <c r="B1260" t="str">
        <f>_xlfn.XLOOKUP(Table1[[#This Row],[Attrition]],Table2[Attrition],Table2[Id_Attrition])</f>
        <v>A002</v>
      </c>
      <c r="C1260" t="s">
        <v>33</v>
      </c>
      <c r="D1260" t="str">
        <f>_xlfn.XLOOKUP(Table1[[#This Row],[BusinessTravel]],Table5[BusinessTravel],Table5[Id_BusinessTravel])</f>
        <v>BS001</v>
      </c>
      <c r="E1260" t="s">
        <v>34</v>
      </c>
      <c r="F1260">
        <v>590</v>
      </c>
      <c r="G1260" t="str">
        <f>_xlfn.XLOOKUP(Table1[[#This Row],[Department]],Table6[Department],Table6[Id_Departement])</f>
        <v>D002</v>
      </c>
      <c r="H1260" t="s">
        <v>38</v>
      </c>
      <c r="I1260">
        <v>4</v>
      </c>
      <c r="J1260" t="str">
        <f>_xlfn.XLOOKUP(Table1[[#This Row],[Education]],Table8[Education],Table8[Id_Education])</f>
        <v>E003</v>
      </c>
      <c r="K1260">
        <v>3</v>
      </c>
      <c r="L1260" t="str">
        <f>_xlfn.XLOOKUP(Table1[[#This Row],[EducationField]],Table7[EducationField],Table7[Id_EducationField])</f>
        <v>EF005</v>
      </c>
      <c r="M1260" t="s">
        <v>44</v>
      </c>
      <c r="N1260" t="str">
        <f>_xlfn.XLOOKUP(Table1[[#This Row],[EmployeeNumber]],Table4[EmployeeNumber],Table4[Id_Employee])</f>
        <v>EMP01259</v>
      </c>
      <c r="O1260">
        <v>1762</v>
      </c>
      <c r="P1260" t="str">
        <f>_xlfn.XLOOKUP(Table1[[#This Row],[EnvironmentSatisfaction]],Table9[EnvironmentSatisfaction],Table9[Id_EnviromentSatisfaction])</f>
        <v>ES004</v>
      </c>
      <c r="Q1260">
        <v>4</v>
      </c>
      <c r="R1260" t="str">
        <f>_xlfn.XLOOKUP(Table1[[#This Row],[EnvironmentSatisfaction]],Table9[EnvironmentSatisfaction],Table9[Deskripsi])</f>
        <v>Very High</v>
      </c>
      <c r="S1260" t="str">
        <f>_xlfn.XLOOKUP(Table1[[#This Row],[Gender]],Table10[Gender],Table10[Id_Gender])</f>
        <v>G001</v>
      </c>
      <c r="T1260" t="s">
        <v>45</v>
      </c>
      <c r="U1260">
        <v>91</v>
      </c>
      <c r="V1260" t="str">
        <f>_xlfn.XLOOKUP(Table1[[#This Row],[JobInvolvement]],Table11[JobInvolvement],Table11[Id_JobInvolvement])</f>
        <v>JI002</v>
      </c>
      <c r="W1260">
        <v>2</v>
      </c>
      <c r="X1260" t="str">
        <f>_xlfn.XLOOKUP(Table1[[#This Row],[JobLevel]],Table12[JobLevel],Table12[Id_JobLevel])</f>
        <v>JL001</v>
      </c>
      <c r="Y1260">
        <v>1</v>
      </c>
      <c r="Z1260" t="str">
        <f>_xlfn.XLOOKUP(Table1[[#This Row],[JobRole]],Table13[JobRole],Table13[Id_JobRole])</f>
        <v>JR002</v>
      </c>
      <c r="AA1260" t="s">
        <v>48</v>
      </c>
      <c r="AB1260" t="str">
        <f>_xlfn.XLOOKUP(Table1[[#This Row],[JobSatisfaction]],Table14[JobSatisfaction],Table14[Id_JobSatisfaction])</f>
        <v>JS001</v>
      </c>
      <c r="AC1260">
        <v>1</v>
      </c>
      <c r="AD1260" t="str">
        <f>_xlfn.XLOOKUP(Table1[[#This Row],[JobSatisfaction]],Table14[JobSatisfaction],Table14[Deskripsi])</f>
        <v>Low</v>
      </c>
      <c r="AE1260" t="str">
        <f>_xlfn.XLOOKUP(Table1[[#This Row],[MaritalStatus]],Table15[MaritalStatus],Table15[Id_MaritalStatus])</f>
        <v>MS003</v>
      </c>
      <c r="AF1260" t="s">
        <v>57</v>
      </c>
      <c r="AG1260">
        <v>2109</v>
      </c>
      <c r="AH1260">
        <v>10007</v>
      </c>
      <c r="AI1260">
        <v>1</v>
      </c>
      <c r="AJ1260" t="str">
        <f>_xlfn.XLOOKUP(Table1[[#This Row],[OverTime]],Table16[OverTime],Table16[Id_OverTime])</f>
        <v>OT002</v>
      </c>
      <c r="AK1260" t="s">
        <v>33</v>
      </c>
      <c r="AL1260">
        <v>13</v>
      </c>
      <c r="AM1260" t="str">
        <f>_xlfn.XLOOKUP(Table1[[#This Row],[PerformanceRating]],Table17[PerformanceRating],Table17[Id_PerformanceRating])</f>
        <v>PR003</v>
      </c>
      <c r="AN1260">
        <v>3</v>
      </c>
      <c r="AO1260" t="str">
        <f>_xlfn.XLOOKUP(Table1[[#This Row],[PerformanceRating]],Table17[PerformanceRating],Table17[Deskripsi])</f>
        <v>Excellent</v>
      </c>
      <c r="AP1260" t="str">
        <f>_xlfn.XLOOKUP(Table1[[#This Row],[RelationshipSatisfaction]],Table18[RelationshipSatisfaction],Table18[Id_RelationshipSatisfaction])</f>
        <v>RS003</v>
      </c>
      <c r="AQ1260">
        <v>3</v>
      </c>
      <c r="AR1260" t="str">
        <f>_xlfn.XLOOKUP(Table1[[#This Row],[RelationshipSatisfaction]],Table18[RelationshipSatisfaction],Table18[Deskripsi])</f>
        <v>High</v>
      </c>
      <c r="AS1260" t="str">
        <f>_xlfn.XLOOKUP(Table1[[#This Row],[StockOptionLevel]],Table19[StockOptionLevel],Table19[Id_StockOptionLevel])</f>
        <v>SOL002</v>
      </c>
      <c r="AT1260">
        <v>1</v>
      </c>
      <c r="AU1260" t="str">
        <f>_xlfn.XLOOKUP(Table1[[#This Row],[StockOptionLevel]],Table19[StockOptionLevel],Table19[Deskripsi])</f>
        <v>Standard</v>
      </c>
      <c r="AV1260">
        <v>1</v>
      </c>
      <c r="AW1260">
        <v>2</v>
      </c>
      <c r="AX1260" t="str">
        <f>_xlfn.XLOOKUP(Table1[[#This Row],[WorkLifeBalance]],Table20[WorkLifeBalance],Table20[Id_WorkLifeBalance])</f>
        <v>WLB002</v>
      </c>
      <c r="AY1260">
        <v>3</v>
      </c>
      <c r="AZ1260" t="str">
        <f>_xlfn.XLOOKUP(Table1[[#This Row],[WorkLifeBalance]],Table20[WorkLifeBalance],Table20[Deskripsi])</f>
        <v>Good</v>
      </c>
      <c r="BA1260">
        <v>1</v>
      </c>
      <c r="BB1260">
        <v>0</v>
      </c>
      <c r="BC1260">
        <v>0</v>
      </c>
      <c r="BD1260">
        <v>0</v>
      </c>
    </row>
    <row r="1261" spans="1:56" x14ac:dyDescent="0.25">
      <c r="A1261">
        <v>30</v>
      </c>
      <c r="B1261" t="str">
        <f>_xlfn.XLOOKUP(Table1[[#This Row],[Attrition]],Table2[Attrition],Table2[Id_Attrition])</f>
        <v>A002</v>
      </c>
      <c r="C1261" t="s">
        <v>33</v>
      </c>
      <c r="D1261" t="str">
        <f>_xlfn.XLOOKUP(Table1[[#This Row],[BusinessTravel]],Table5[BusinessTravel],Table5[Id_BusinessTravel])</f>
        <v>BS001</v>
      </c>
      <c r="E1261" t="s">
        <v>34</v>
      </c>
      <c r="F1261">
        <v>305</v>
      </c>
      <c r="G1261" t="str">
        <f>_xlfn.XLOOKUP(Table1[[#This Row],[Department]],Table6[Department],Table6[Id_Departement])</f>
        <v>D002</v>
      </c>
      <c r="H1261" t="s">
        <v>38</v>
      </c>
      <c r="I1261">
        <v>16</v>
      </c>
      <c r="J1261" t="str">
        <f>_xlfn.XLOOKUP(Table1[[#This Row],[Education]],Table8[Education],Table8[Id_Education])</f>
        <v>E003</v>
      </c>
      <c r="K1261">
        <v>3</v>
      </c>
      <c r="L1261" t="str">
        <f>_xlfn.XLOOKUP(Table1[[#This Row],[EducationField]],Table7[EducationField],Table7[Id_EducationField])</f>
        <v>EF001</v>
      </c>
      <c r="M1261" t="s">
        <v>40</v>
      </c>
      <c r="N1261" t="str">
        <f>_xlfn.XLOOKUP(Table1[[#This Row],[EmployeeNumber]],Table4[EmployeeNumber],Table4[Id_Employee])</f>
        <v>EMP01260</v>
      </c>
      <c r="O1261">
        <v>1763</v>
      </c>
      <c r="P1261" t="str">
        <f>_xlfn.XLOOKUP(Table1[[#This Row],[EnvironmentSatisfaction]],Table9[EnvironmentSatisfaction],Table9[Id_EnviromentSatisfaction])</f>
        <v>ES003</v>
      </c>
      <c r="Q1261">
        <v>3</v>
      </c>
      <c r="R1261" t="str">
        <f>_xlfn.XLOOKUP(Table1[[#This Row],[EnvironmentSatisfaction]],Table9[EnvironmentSatisfaction],Table9[Deskripsi])</f>
        <v>High</v>
      </c>
      <c r="S1261" t="str">
        <f>_xlfn.XLOOKUP(Table1[[#This Row],[Gender]],Table10[Gender],Table10[Id_Gender])</f>
        <v>G002</v>
      </c>
      <c r="T1261" t="s">
        <v>46</v>
      </c>
      <c r="U1261">
        <v>58</v>
      </c>
      <c r="V1261" t="str">
        <f>_xlfn.XLOOKUP(Table1[[#This Row],[JobInvolvement]],Table11[JobInvolvement],Table11[Id_JobInvolvement])</f>
        <v>JI004</v>
      </c>
      <c r="W1261">
        <v>4</v>
      </c>
      <c r="X1261" t="str">
        <f>_xlfn.XLOOKUP(Table1[[#This Row],[JobLevel]],Table12[JobLevel],Table12[Id_JobLevel])</f>
        <v>JL002</v>
      </c>
      <c r="Y1261">
        <v>2</v>
      </c>
      <c r="Z1261" t="str">
        <f>_xlfn.XLOOKUP(Table1[[#This Row],[JobRole]],Table13[JobRole],Table13[Id_JobRole])</f>
        <v>JR005</v>
      </c>
      <c r="AA1261" t="s">
        <v>51</v>
      </c>
      <c r="AB1261" t="str">
        <f>_xlfn.XLOOKUP(Table1[[#This Row],[JobSatisfaction]],Table14[JobSatisfaction],Table14[Id_JobSatisfaction])</f>
        <v>JS003</v>
      </c>
      <c r="AC1261">
        <v>3</v>
      </c>
      <c r="AD1261" t="str">
        <f>_xlfn.XLOOKUP(Table1[[#This Row],[JobSatisfaction]],Table14[JobSatisfaction],Table14[Deskripsi])</f>
        <v>High</v>
      </c>
      <c r="AE1261" t="str">
        <f>_xlfn.XLOOKUP(Table1[[#This Row],[MaritalStatus]],Table15[MaritalStatus],Table15[Id_MaritalStatus])</f>
        <v>MS002</v>
      </c>
      <c r="AF1261" t="s">
        <v>56</v>
      </c>
      <c r="AG1261">
        <v>5294</v>
      </c>
      <c r="AH1261">
        <v>9128</v>
      </c>
      <c r="AI1261">
        <v>3</v>
      </c>
      <c r="AJ1261" t="str">
        <f>_xlfn.XLOOKUP(Table1[[#This Row],[OverTime]],Table16[OverTime],Table16[Id_OverTime])</f>
        <v>OT002</v>
      </c>
      <c r="AK1261" t="s">
        <v>33</v>
      </c>
      <c r="AL1261">
        <v>16</v>
      </c>
      <c r="AM1261" t="str">
        <f>_xlfn.XLOOKUP(Table1[[#This Row],[PerformanceRating]],Table17[PerformanceRating],Table17[Id_PerformanceRating])</f>
        <v>PR003</v>
      </c>
      <c r="AN1261">
        <v>3</v>
      </c>
      <c r="AO1261" t="str">
        <f>_xlfn.XLOOKUP(Table1[[#This Row],[PerformanceRating]],Table17[PerformanceRating],Table17[Deskripsi])</f>
        <v>Excellent</v>
      </c>
      <c r="AP1261" t="str">
        <f>_xlfn.XLOOKUP(Table1[[#This Row],[RelationshipSatisfaction]],Table18[RelationshipSatisfaction],Table18[Id_RelationshipSatisfaction])</f>
        <v>RS003</v>
      </c>
      <c r="AQ1261">
        <v>3</v>
      </c>
      <c r="AR1261" t="str">
        <f>_xlfn.XLOOKUP(Table1[[#This Row],[RelationshipSatisfaction]],Table18[RelationshipSatisfaction],Table18[Deskripsi])</f>
        <v>High</v>
      </c>
      <c r="AS1261" t="str">
        <f>_xlfn.XLOOKUP(Table1[[#This Row],[StockOptionLevel]],Table19[StockOptionLevel],Table19[Id_StockOptionLevel])</f>
        <v>SOL002</v>
      </c>
      <c r="AT1261">
        <v>1</v>
      </c>
      <c r="AU1261" t="str">
        <f>_xlfn.XLOOKUP(Table1[[#This Row],[StockOptionLevel]],Table19[StockOptionLevel],Table19[Deskripsi])</f>
        <v>Standard</v>
      </c>
      <c r="AV1261">
        <v>10</v>
      </c>
      <c r="AW1261">
        <v>3</v>
      </c>
      <c r="AX1261" t="str">
        <f>_xlfn.XLOOKUP(Table1[[#This Row],[WorkLifeBalance]],Table20[WorkLifeBalance],Table20[Id_WorkLifeBalance])</f>
        <v>WLB002</v>
      </c>
      <c r="AY1261">
        <v>3</v>
      </c>
      <c r="AZ1261" t="str">
        <f>_xlfn.XLOOKUP(Table1[[#This Row],[WorkLifeBalance]],Table20[WorkLifeBalance],Table20[Deskripsi])</f>
        <v>Good</v>
      </c>
      <c r="BA1261">
        <v>7</v>
      </c>
      <c r="BB1261">
        <v>0</v>
      </c>
      <c r="BC1261">
        <v>1</v>
      </c>
      <c r="BD1261">
        <v>7</v>
      </c>
    </row>
    <row r="1262" spans="1:56" x14ac:dyDescent="0.25">
      <c r="A1262">
        <v>32</v>
      </c>
      <c r="B1262" t="str">
        <f>_xlfn.XLOOKUP(Table1[[#This Row],[Attrition]],Table2[Attrition],Table2[Id_Attrition])</f>
        <v>A002</v>
      </c>
      <c r="C1262" t="s">
        <v>33</v>
      </c>
      <c r="D1262" t="str">
        <f>_xlfn.XLOOKUP(Table1[[#This Row],[BusinessTravel]],Table5[BusinessTravel],Table5[Id_BusinessTravel])</f>
        <v>BS003</v>
      </c>
      <c r="E1262" t="s">
        <v>36</v>
      </c>
      <c r="F1262">
        <v>953</v>
      </c>
      <c r="G1262" t="str">
        <f>_xlfn.XLOOKUP(Table1[[#This Row],[Department]],Table6[Department],Table6[Id_Departement])</f>
        <v>D002</v>
      </c>
      <c r="H1262" t="s">
        <v>38</v>
      </c>
      <c r="I1262">
        <v>5</v>
      </c>
      <c r="J1262" t="str">
        <f>_xlfn.XLOOKUP(Table1[[#This Row],[Education]],Table8[Education],Table8[Id_Education])</f>
        <v>E004</v>
      </c>
      <c r="K1262">
        <v>4</v>
      </c>
      <c r="L1262" t="str">
        <f>_xlfn.XLOOKUP(Table1[[#This Row],[EducationField]],Table7[EducationField],Table7[Id_EducationField])</f>
        <v>EF005</v>
      </c>
      <c r="M1262" t="s">
        <v>44</v>
      </c>
      <c r="N1262" t="str">
        <f>_xlfn.XLOOKUP(Table1[[#This Row],[EmployeeNumber]],Table4[EmployeeNumber],Table4[Id_Employee])</f>
        <v>EMP01261</v>
      </c>
      <c r="O1262">
        <v>1764</v>
      </c>
      <c r="P1262" t="str">
        <f>_xlfn.XLOOKUP(Table1[[#This Row],[EnvironmentSatisfaction]],Table9[EnvironmentSatisfaction],Table9[Id_EnviromentSatisfaction])</f>
        <v>ES002</v>
      </c>
      <c r="Q1262">
        <v>2</v>
      </c>
      <c r="R1262" t="str">
        <f>_xlfn.XLOOKUP(Table1[[#This Row],[EnvironmentSatisfaction]],Table9[EnvironmentSatisfaction],Table9[Deskripsi])</f>
        <v>Medium</v>
      </c>
      <c r="S1262" t="str">
        <f>_xlfn.XLOOKUP(Table1[[#This Row],[Gender]],Table10[Gender],Table10[Id_Gender])</f>
        <v>G002</v>
      </c>
      <c r="T1262" t="s">
        <v>46</v>
      </c>
      <c r="U1262">
        <v>65</v>
      </c>
      <c r="V1262" t="str">
        <f>_xlfn.XLOOKUP(Table1[[#This Row],[JobInvolvement]],Table11[JobInvolvement],Table11[Id_JobInvolvement])</f>
        <v>JI003</v>
      </c>
      <c r="W1262">
        <v>3</v>
      </c>
      <c r="X1262" t="str">
        <f>_xlfn.XLOOKUP(Table1[[#This Row],[JobLevel]],Table12[JobLevel],Table12[Id_JobLevel])</f>
        <v>JL001</v>
      </c>
      <c r="Y1262">
        <v>1</v>
      </c>
      <c r="Z1262" t="str">
        <f>_xlfn.XLOOKUP(Table1[[#This Row],[JobRole]],Table13[JobRole],Table13[Id_JobRole])</f>
        <v>JR002</v>
      </c>
      <c r="AA1262" t="s">
        <v>48</v>
      </c>
      <c r="AB1262" t="str">
        <f>_xlfn.XLOOKUP(Table1[[#This Row],[JobSatisfaction]],Table14[JobSatisfaction],Table14[Id_JobSatisfaction])</f>
        <v>JS002</v>
      </c>
      <c r="AC1262">
        <v>2</v>
      </c>
      <c r="AD1262" t="str">
        <f>_xlfn.XLOOKUP(Table1[[#This Row],[JobSatisfaction]],Table14[JobSatisfaction],Table14[Deskripsi])</f>
        <v>Medium</v>
      </c>
      <c r="AE1262" t="str">
        <f>_xlfn.XLOOKUP(Table1[[#This Row],[MaritalStatus]],Table15[MaritalStatus],Table15[Id_MaritalStatus])</f>
        <v>MS001</v>
      </c>
      <c r="AF1262" t="s">
        <v>55</v>
      </c>
      <c r="AG1262">
        <v>2718</v>
      </c>
      <c r="AH1262">
        <v>17674</v>
      </c>
      <c r="AI1262">
        <v>2</v>
      </c>
      <c r="AJ1262" t="str">
        <f>_xlfn.XLOOKUP(Table1[[#This Row],[OverTime]],Table16[OverTime],Table16[Id_OverTime])</f>
        <v>OT002</v>
      </c>
      <c r="AK1262" t="s">
        <v>33</v>
      </c>
      <c r="AL1262">
        <v>14</v>
      </c>
      <c r="AM1262" t="str">
        <f>_xlfn.XLOOKUP(Table1[[#This Row],[PerformanceRating]],Table17[PerformanceRating],Table17[Id_PerformanceRating])</f>
        <v>PR003</v>
      </c>
      <c r="AN1262">
        <v>3</v>
      </c>
      <c r="AO1262" t="str">
        <f>_xlfn.XLOOKUP(Table1[[#This Row],[PerformanceRating]],Table17[PerformanceRating],Table17[Deskripsi])</f>
        <v>Excellent</v>
      </c>
      <c r="AP1262" t="str">
        <f>_xlfn.XLOOKUP(Table1[[#This Row],[RelationshipSatisfaction]],Table18[RelationshipSatisfaction],Table18[Id_RelationshipSatisfaction])</f>
        <v>RS002</v>
      </c>
      <c r="AQ1262">
        <v>2</v>
      </c>
      <c r="AR1262" t="str">
        <f>_xlfn.XLOOKUP(Table1[[#This Row],[RelationshipSatisfaction]],Table18[RelationshipSatisfaction],Table18[Deskripsi])</f>
        <v>Medium</v>
      </c>
      <c r="AS1262" t="str">
        <f>_xlfn.XLOOKUP(Table1[[#This Row],[StockOptionLevel]],Table19[StockOptionLevel],Table19[Id_StockOptionLevel])</f>
        <v>SOL001</v>
      </c>
      <c r="AT1262">
        <v>0</v>
      </c>
      <c r="AU1262" t="str">
        <f>_xlfn.XLOOKUP(Table1[[#This Row],[StockOptionLevel]],Table19[StockOptionLevel],Table19[Deskripsi])</f>
        <v>Non-Eligible</v>
      </c>
      <c r="AV1262">
        <v>12</v>
      </c>
      <c r="AW1262">
        <v>3</v>
      </c>
      <c r="AX1262" t="str">
        <f>_xlfn.XLOOKUP(Table1[[#This Row],[WorkLifeBalance]],Table20[WorkLifeBalance],Table20[Id_WorkLifeBalance])</f>
        <v>WLB002</v>
      </c>
      <c r="AY1262">
        <v>3</v>
      </c>
      <c r="AZ1262" t="str">
        <f>_xlfn.XLOOKUP(Table1[[#This Row],[WorkLifeBalance]],Table20[WorkLifeBalance],Table20[Deskripsi])</f>
        <v>Good</v>
      </c>
      <c r="BA1262">
        <v>7</v>
      </c>
      <c r="BB1262">
        <v>7</v>
      </c>
      <c r="BC1262">
        <v>0</v>
      </c>
      <c r="BD1262">
        <v>7</v>
      </c>
    </row>
    <row r="1263" spans="1:56" x14ac:dyDescent="0.25">
      <c r="A1263">
        <v>38</v>
      </c>
      <c r="B1263" t="str">
        <f>_xlfn.XLOOKUP(Table1[[#This Row],[Attrition]],Table2[Attrition],Table2[Id_Attrition])</f>
        <v>A002</v>
      </c>
      <c r="C1263" t="s">
        <v>33</v>
      </c>
      <c r="D1263" t="str">
        <f>_xlfn.XLOOKUP(Table1[[#This Row],[BusinessTravel]],Table5[BusinessTravel],Table5[Id_BusinessTravel])</f>
        <v>BS001</v>
      </c>
      <c r="E1263" t="s">
        <v>34</v>
      </c>
      <c r="F1263">
        <v>833</v>
      </c>
      <c r="G1263" t="str">
        <f>_xlfn.XLOOKUP(Table1[[#This Row],[Department]],Table6[Department],Table6[Id_Departement])</f>
        <v>D002</v>
      </c>
      <c r="H1263" t="s">
        <v>38</v>
      </c>
      <c r="I1263">
        <v>18</v>
      </c>
      <c r="J1263" t="str">
        <f>_xlfn.XLOOKUP(Table1[[#This Row],[Education]],Table8[Education],Table8[Id_Education])</f>
        <v>E003</v>
      </c>
      <c r="K1263">
        <v>3</v>
      </c>
      <c r="L1263" t="str">
        <f>_xlfn.XLOOKUP(Table1[[#This Row],[EducationField]],Table7[EducationField],Table7[Id_EducationField])</f>
        <v>EF003</v>
      </c>
      <c r="M1263" t="s">
        <v>42</v>
      </c>
      <c r="N1263" t="str">
        <f>_xlfn.XLOOKUP(Table1[[#This Row],[EmployeeNumber]],Table4[EmployeeNumber],Table4[Id_Employee])</f>
        <v>EMP01262</v>
      </c>
      <c r="O1263">
        <v>1766</v>
      </c>
      <c r="P1263" t="str">
        <f>_xlfn.XLOOKUP(Table1[[#This Row],[EnvironmentSatisfaction]],Table9[EnvironmentSatisfaction],Table9[Id_EnviromentSatisfaction])</f>
        <v>ES002</v>
      </c>
      <c r="Q1263">
        <v>2</v>
      </c>
      <c r="R1263" t="str">
        <f>_xlfn.XLOOKUP(Table1[[#This Row],[EnvironmentSatisfaction]],Table9[EnvironmentSatisfaction],Table9[Deskripsi])</f>
        <v>Medium</v>
      </c>
      <c r="S1263" t="str">
        <f>_xlfn.XLOOKUP(Table1[[#This Row],[Gender]],Table10[Gender],Table10[Id_Gender])</f>
        <v>G002</v>
      </c>
      <c r="T1263" t="s">
        <v>46</v>
      </c>
      <c r="U1263">
        <v>60</v>
      </c>
      <c r="V1263" t="str">
        <f>_xlfn.XLOOKUP(Table1[[#This Row],[JobInvolvement]],Table11[JobInvolvement],Table11[Id_JobInvolvement])</f>
        <v>JI001</v>
      </c>
      <c r="W1263">
        <v>1</v>
      </c>
      <c r="X1263" t="str">
        <f>_xlfn.XLOOKUP(Table1[[#This Row],[JobLevel]],Table12[JobLevel],Table12[Id_JobLevel])</f>
        <v>JL002</v>
      </c>
      <c r="Y1263">
        <v>2</v>
      </c>
      <c r="Z1263" t="str">
        <f>_xlfn.XLOOKUP(Table1[[#This Row],[JobRole]],Table13[JobRole],Table13[Id_JobRole])</f>
        <v>JR005</v>
      </c>
      <c r="AA1263" t="s">
        <v>51</v>
      </c>
      <c r="AB1263" t="str">
        <f>_xlfn.XLOOKUP(Table1[[#This Row],[JobSatisfaction]],Table14[JobSatisfaction],Table14[Id_JobSatisfaction])</f>
        <v>JS004</v>
      </c>
      <c r="AC1263">
        <v>4</v>
      </c>
      <c r="AD1263" t="str">
        <f>_xlfn.XLOOKUP(Table1[[#This Row],[JobSatisfaction]],Table14[JobSatisfaction],Table14[Deskripsi])</f>
        <v>Very High</v>
      </c>
      <c r="AE1263" t="str">
        <f>_xlfn.XLOOKUP(Table1[[#This Row],[MaritalStatus]],Table15[MaritalStatus],Table15[Id_MaritalStatus])</f>
        <v>MS002</v>
      </c>
      <c r="AF1263" t="s">
        <v>56</v>
      </c>
      <c r="AG1263">
        <v>5811</v>
      </c>
      <c r="AH1263">
        <v>24539</v>
      </c>
      <c r="AI1263">
        <v>3</v>
      </c>
      <c r="AJ1263" t="str">
        <f>_xlfn.XLOOKUP(Table1[[#This Row],[OverTime]],Table16[OverTime],Table16[Id_OverTime])</f>
        <v>OT001</v>
      </c>
      <c r="AK1263" t="s">
        <v>32</v>
      </c>
      <c r="AL1263">
        <v>16</v>
      </c>
      <c r="AM1263" t="str">
        <f>_xlfn.XLOOKUP(Table1[[#This Row],[PerformanceRating]],Table17[PerformanceRating],Table17[Id_PerformanceRating])</f>
        <v>PR003</v>
      </c>
      <c r="AN1263">
        <v>3</v>
      </c>
      <c r="AO1263" t="str">
        <f>_xlfn.XLOOKUP(Table1[[#This Row],[PerformanceRating]],Table17[PerformanceRating],Table17[Deskripsi])</f>
        <v>Excellent</v>
      </c>
      <c r="AP1263" t="str">
        <f>_xlfn.XLOOKUP(Table1[[#This Row],[RelationshipSatisfaction]],Table18[RelationshipSatisfaction],Table18[Id_RelationshipSatisfaction])</f>
        <v>RS003</v>
      </c>
      <c r="AQ1263">
        <v>3</v>
      </c>
      <c r="AR1263" t="str">
        <f>_xlfn.XLOOKUP(Table1[[#This Row],[RelationshipSatisfaction]],Table18[RelationshipSatisfaction],Table18[Deskripsi])</f>
        <v>High</v>
      </c>
      <c r="AS1263" t="str">
        <f>_xlfn.XLOOKUP(Table1[[#This Row],[StockOptionLevel]],Table19[StockOptionLevel],Table19[Id_StockOptionLevel])</f>
        <v>SOL002</v>
      </c>
      <c r="AT1263">
        <v>1</v>
      </c>
      <c r="AU1263" t="str">
        <f>_xlfn.XLOOKUP(Table1[[#This Row],[StockOptionLevel]],Table19[StockOptionLevel],Table19[Deskripsi])</f>
        <v>Standard</v>
      </c>
      <c r="AV1263">
        <v>15</v>
      </c>
      <c r="AW1263">
        <v>2</v>
      </c>
      <c r="AX1263" t="str">
        <f>_xlfn.XLOOKUP(Table1[[#This Row],[WorkLifeBalance]],Table20[WorkLifeBalance],Table20[Id_WorkLifeBalance])</f>
        <v>WLB002</v>
      </c>
      <c r="AY1263">
        <v>3</v>
      </c>
      <c r="AZ1263" t="str">
        <f>_xlfn.XLOOKUP(Table1[[#This Row],[WorkLifeBalance]],Table20[WorkLifeBalance],Table20[Deskripsi])</f>
        <v>Good</v>
      </c>
      <c r="BA1263">
        <v>1</v>
      </c>
      <c r="BB1263">
        <v>0</v>
      </c>
      <c r="BC1263">
        <v>1</v>
      </c>
      <c r="BD1263">
        <v>0</v>
      </c>
    </row>
    <row r="1264" spans="1:56" x14ac:dyDescent="0.25">
      <c r="A1264">
        <v>43</v>
      </c>
      <c r="B1264" t="str">
        <f>_xlfn.XLOOKUP(Table1[[#This Row],[Attrition]],Table2[Attrition],Table2[Id_Attrition])</f>
        <v>A001</v>
      </c>
      <c r="C1264" t="s">
        <v>32</v>
      </c>
      <c r="D1264" t="str">
        <f>_xlfn.XLOOKUP(Table1[[#This Row],[BusinessTravel]],Table5[BusinessTravel],Table5[Id_BusinessTravel])</f>
        <v>BS002</v>
      </c>
      <c r="E1264" t="s">
        <v>35</v>
      </c>
      <c r="F1264">
        <v>807</v>
      </c>
      <c r="G1264" t="str">
        <f>_xlfn.XLOOKUP(Table1[[#This Row],[Department]],Table6[Department],Table6[Id_Departement])</f>
        <v>D002</v>
      </c>
      <c r="H1264" t="s">
        <v>38</v>
      </c>
      <c r="I1264">
        <v>17</v>
      </c>
      <c r="J1264" t="str">
        <f>_xlfn.XLOOKUP(Table1[[#This Row],[Education]],Table8[Education],Table8[Id_Education])</f>
        <v>E003</v>
      </c>
      <c r="K1264">
        <v>3</v>
      </c>
      <c r="L1264" t="str">
        <f>_xlfn.XLOOKUP(Table1[[#This Row],[EducationField]],Table7[EducationField],Table7[Id_EducationField])</f>
        <v>EF005</v>
      </c>
      <c r="M1264" t="s">
        <v>44</v>
      </c>
      <c r="N1264" t="str">
        <f>_xlfn.XLOOKUP(Table1[[#This Row],[EmployeeNumber]],Table4[EmployeeNumber],Table4[Id_Employee])</f>
        <v>EMP01263</v>
      </c>
      <c r="O1264">
        <v>1767</v>
      </c>
      <c r="P1264" t="str">
        <f>_xlfn.XLOOKUP(Table1[[#This Row],[EnvironmentSatisfaction]],Table9[EnvironmentSatisfaction],Table9[Id_EnviromentSatisfaction])</f>
        <v>ES003</v>
      </c>
      <c r="Q1264">
        <v>3</v>
      </c>
      <c r="R1264" t="str">
        <f>_xlfn.XLOOKUP(Table1[[#This Row],[EnvironmentSatisfaction]],Table9[EnvironmentSatisfaction],Table9[Deskripsi])</f>
        <v>High</v>
      </c>
      <c r="S1264" t="str">
        <f>_xlfn.XLOOKUP(Table1[[#This Row],[Gender]],Table10[Gender],Table10[Id_Gender])</f>
        <v>G002</v>
      </c>
      <c r="T1264" t="s">
        <v>46</v>
      </c>
      <c r="U1264">
        <v>38</v>
      </c>
      <c r="V1264" t="str">
        <f>_xlfn.XLOOKUP(Table1[[#This Row],[JobInvolvement]],Table11[JobInvolvement],Table11[Id_JobInvolvement])</f>
        <v>JI002</v>
      </c>
      <c r="W1264">
        <v>2</v>
      </c>
      <c r="X1264" t="str">
        <f>_xlfn.XLOOKUP(Table1[[#This Row],[JobLevel]],Table12[JobLevel],Table12[Id_JobLevel])</f>
        <v>JL001</v>
      </c>
      <c r="Y1264">
        <v>1</v>
      </c>
      <c r="Z1264" t="str">
        <f>_xlfn.XLOOKUP(Table1[[#This Row],[JobRole]],Table13[JobRole],Table13[Id_JobRole])</f>
        <v>JR002</v>
      </c>
      <c r="AA1264" t="s">
        <v>48</v>
      </c>
      <c r="AB1264" t="str">
        <f>_xlfn.XLOOKUP(Table1[[#This Row],[JobSatisfaction]],Table14[JobSatisfaction],Table14[Id_JobSatisfaction])</f>
        <v>JS003</v>
      </c>
      <c r="AC1264">
        <v>3</v>
      </c>
      <c r="AD1264" t="str">
        <f>_xlfn.XLOOKUP(Table1[[#This Row],[JobSatisfaction]],Table14[JobSatisfaction],Table14[Deskripsi])</f>
        <v>High</v>
      </c>
      <c r="AE1264" t="str">
        <f>_xlfn.XLOOKUP(Table1[[#This Row],[MaritalStatus]],Table15[MaritalStatus],Table15[Id_MaritalStatus])</f>
        <v>MS002</v>
      </c>
      <c r="AF1264" t="s">
        <v>56</v>
      </c>
      <c r="AG1264">
        <v>2437</v>
      </c>
      <c r="AH1264">
        <v>15587</v>
      </c>
      <c r="AI1264">
        <v>9</v>
      </c>
      <c r="AJ1264" t="str">
        <f>_xlfn.XLOOKUP(Table1[[#This Row],[OverTime]],Table16[OverTime],Table16[Id_OverTime])</f>
        <v>OT001</v>
      </c>
      <c r="AK1264" t="s">
        <v>32</v>
      </c>
      <c r="AL1264">
        <v>16</v>
      </c>
      <c r="AM1264" t="str">
        <f>_xlfn.XLOOKUP(Table1[[#This Row],[PerformanceRating]],Table17[PerformanceRating],Table17[Id_PerformanceRating])</f>
        <v>PR003</v>
      </c>
      <c r="AN1264">
        <v>3</v>
      </c>
      <c r="AO1264" t="str">
        <f>_xlfn.XLOOKUP(Table1[[#This Row],[PerformanceRating]],Table17[PerformanceRating],Table17[Deskripsi])</f>
        <v>Excellent</v>
      </c>
      <c r="AP1264" t="str">
        <f>_xlfn.XLOOKUP(Table1[[#This Row],[RelationshipSatisfaction]],Table18[RelationshipSatisfaction],Table18[Id_RelationshipSatisfaction])</f>
        <v>RS004</v>
      </c>
      <c r="AQ1264">
        <v>4</v>
      </c>
      <c r="AR1264" t="str">
        <f>_xlfn.XLOOKUP(Table1[[#This Row],[RelationshipSatisfaction]],Table18[RelationshipSatisfaction],Table18[Deskripsi])</f>
        <v>Very High</v>
      </c>
      <c r="AS1264" t="str">
        <f>_xlfn.XLOOKUP(Table1[[#This Row],[StockOptionLevel]],Table19[StockOptionLevel],Table19[Id_StockOptionLevel])</f>
        <v>SOL002</v>
      </c>
      <c r="AT1264">
        <v>1</v>
      </c>
      <c r="AU1264" t="str">
        <f>_xlfn.XLOOKUP(Table1[[#This Row],[StockOptionLevel]],Table19[StockOptionLevel],Table19[Deskripsi])</f>
        <v>Standard</v>
      </c>
      <c r="AV1264">
        <v>6</v>
      </c>
      <c r="AW1264">
        <v>4</v>
      </c>
      <c r="AX1264" t="str">
        <f>_xlfn.XLOOKUP(Table1[[#This Row],[WorkLifeBalance]],Table20[WorkLifeBalance],Table20[Id_WorkLifeBalance])</f>
        <v>WLB002</v>
      </c>
      <c r="AY1264">
        <v>3</v>
      </c>
      <c r="AZ1264" t="str">
        <f>_xlfn.XLOOKUP(Table1[[#This Row],[WorkLifeBalance]],Table20[WorkLifeBalance],Table20[Deskripsi])</f>
        <v>Good</v>
      </c>
      <c r="BA1264">
        <v>1</v>
      </c>
      <c r="BB1264">
        <v>0</v>
      </c>
      <c r="BC1264">
        <v>0</v>
      </c>
      <c r="BD1264">
        <v>0</v>
      </c>
    </row>
    <row r="1265" spans="1:56" x14ac:dyDescent="0.25">
      <c r="A1265">
        <v>42</v>
      </c>
      <c r="B1265" t="str">
        <f>_xlfn.XLOOKUP(Table1[[#This Row],[Attrition]],Table2[Attrition],Table2[Id_Attrition])</f>
        <v>A002</v>
      </c>
      <c r="C1265" t="s">
        <v>33</v>
      </c>
      <c r="D1265" t="str">
        <f>_xlfn.XLOOKUP(Table1[[#This Row],[BusinessTravel]],Table5[BusinessTravel],Table5[Id_BusinessTravel])</f>
        <v>BS001</v>
      </c>
      <c r="E1265" t="s">
        <v>34</v>
      </c>
      <c r="F1265">
        <v>855</v>
      </c>
      <c r="G1265" t="str">
        <f>_xlfn.XLOOKUP(Table1[[#This Row],[Department]],Table6[Department],Table6[Id_Departement])</f>
        <v>D002</v>
      </c>
      <c r="H1265" t="s">
        <v>38</v>
      </c>
      <c r="I1265">
        <v>12</v>
      </c>
      <c r="J1265" t="str">
        <f>_xlfn.XLOOKUP(Table1[[#This Row],[Education]],Table8[Education],Table8[Id_Education])</f>
        <v>E003</v>
      </c>
      <c r="K1265">
        <v>3</v>
      </c>
      <c r="L1265" t="str">
        <f>_xlfn.XLOOKUP(Table1[[#This Row],[EducationField]],Table7[EducationField],Table7[Id_EducationField])</f>
        <v>EF003</v>
      </c>
      <c r="M1265" t="s">
        <v>42</v>
      </c>
      <c r="N1265" t="str">
        <f>_xlfn.XLOOKUP(Table1[[#This Row],[EmployeeNumber]],Table4[EmployeeNumber],Table4[Id_Employee])</f>
        <v>EMP01264</v>
      </c>
      <c r="O1265">
        <v>1768</v>
      </c>
      <c r="P1265" t="str">
        <f>_xlfn.XLOOKUP(Table1[[#This Row],[EnvironmentSatisfaction]],Table9[EnvironmentSatisfaction],Table9[Id_EnviromentSatisfaction])</f>
        <v>ES002</v>
      </c>
      <c r="Q1265">
        <v>2</v>
      </c>
      <c r="R1265" t="str">
        <f>_xlfn.XLOOKUP(Table1[[#This Row],[EnvironmentSatisfaction]],Table9[EnvironmentSatisfaction],Table9[Deskripsi])</f>
        <v>Medium</v>
      </c>
      <c r="S1265" t="str">
        <f>_xlfn.XLOOKUP(Table1[[#This Row],[Gender]],Table10[Gender],Table10[Id_Gender])</f>
        <v>G002</v>
      </c>
      <c r="T1265" t="s">
        <v>46</v>
      </c>
      <c r="U1265">
        <v>57</v>
      </c>
      <c r="V1265" t="str">
        <f>_xlfn.XLOOKUP(Table1[[#This Row],[JobInvolvement]],Table11[JobInvolvement],Table11[Id_JobInvolvement])</f>
        <v>JI003</v>
      </c>
      <c r="W1265">
        <v>3</v>
      </c>
      <c r="X1265" t="str">
        <f>_xlfn.XLOOKUP(Table1[[#This Row],[JobLevel]],Table12[JobLevel],Table12[Id_JobLevel])</f>
        <v>JL001</v>
      </c>
      <c r="Y1265">
        <v>1</v>
      </c>
      <c r="Z1265" t="str">
        <f>_xlfn.XLOOKUP(Table1[[#This Row],[JobRole]],Table13[JobRole],Table13[Id_JobRole])</f>
        <v>JR003</v>
      </c>
      <c r="AA1265" t="s">
        <v>49</v>
      </c>
      <c r="AB1265" t="str">
        <f>_xlfn.XLOOKUP(Table1[[#This Row],[JobSatisfaction]],Table14[JobSatisfaction],Table14[Id_JobSatisfaction])</f>
        <v>JS002</v>
      </c>
      <c r="AC1265">
        <v>2</v>
      </c>
      <c r="AD1265" t="str">
        <f>_xlfn.XLOOKUP(Table1[[#This Row],[JobSatisfaction]],Table14[JobSatisfaction],Table14[Deskripsi])</f>
        <v>Medium</v>
      </c>
      <c r="AE1265" t="str">
        <f>_xlfn.XLOOKUP(Table1[[#This Row],[MaritalStatus]],Table15[MaritalStatus],Table15[Id_MaritalStatus])</f>
        <v>MS003</v>
      </c>
      <c r="AF1265" t="s">
        <v>57</v>
      </c>
      <c r="AG1265">
        <v>2766</v>
      </c>
      <c r="AH1265">
        <v>8952</v>
      </c>
      <c r="AI1265">
        <v>8</v>
      </c>
      <c r="AJ1265" t="str">
        <f>_xlfn.XLOOKUP(Table1[[#This Row],[OverTime]],Table16[OverTime],Table16[Id_OverTime])</f>
        <v>OT002</v>
      </c>
      <c r="AK1265" t="s">
        <v>33</v>
      </c>
      <c r="AL1265">
        <v>22</v>
      </c>
      <c r="AM1265" t="str">
        <f>_xlfn.XLOOKUP(Table1[[#This Row],[PerformanceRating]],Table17[PerformanceRating],Table17[Id_PerformanceRating])</f>
        <v>PR004</v>
      </c>
      <c r="AN1265">
        <v>4</v>
      </c>
      <c r="AO1265" t="str">
        <f>_xlfn.XLOOKUP(Table1[[#This Row],[PerformanceRating]],Table17[PerformanceRating],Table17[Deskripsi])</f>
        <v>Outstanding</v>
      </c>
      <c r="AP1265" t="str">
        <f>_xlfn.XLOOKUP(Table1[[#This Row],[RelationshipSatisfaction]],Table18[RelationshipSatisfaction],Table18[Id_RelationshipSatisfaction])</f>
        <v>RS002</v>
      </c>
      <c r="AQ1265">
        <v>2</v>
      </c>
      <c r="AR1265" t="str">
        <f>_xlfn.XLOOKUP(Table1[[#This Row],[RelationshipSatisfaction]],Table18[RelationshipSatisfaction],Table18[Deskripsi])</f>
        <v>Medium</v>
      </c>
      <c r="AS1265" t="str">
        <f>_xlfn.XLOOKUP(Table1[[#This Row],[StockOptionLevel]],Table19[StockOptionLevel],Table19[Id_StockOptionLevel])</f>
        <v>SOL004</v>
      </c>
      <c r="AT1265">
        <v>3</v>
      </c>
      <c r="AU1265" t="str">
        <f>_xlfn.XLOOKUP(Table1[[#This Row],[StockOptionLevel]],Table19[StockOptionLevel],Table19[Deskripsi])</f>
        <v>Senior/Executive</v>
      </c>
      <c r="AV1265">
        <v>7</v>
      </c>
      <c r="AW1265">
        <v>6</v>
      </c>
      <c r="AX1265" t="str">
        <f>_xlfn.XLOOKUP(Table1[[#This Row],[WorkLifeBalance]],Table20[WorkLifeBalance],Table20[Id_WorkLifeBalance])</f>
        <v>WLB003</v>
      </c>
      <c r="AY1265">
        <v>2</v>
      </c>
      <c r="AZ1265" t="str">
        <f>_xlfn.XLOOKUP(Table1[[#This Row],[WorkLifeBalance]],Table20[WorkLifeBalance],Table20[Deskripsi])</f>
        <v>Better</v>
      </c>
      <c r="BA1265">
        <v>5</v>
      </c>
      <c r="BB1265">
        <v>3</v>
      </c>
      <c r="BC1265">
        <v>0</v>
      </c>
      <c r="BD1265">
        <v>4</v>
      </c>
    </row>
    <row r="1266" spans="1:56" x14ac:dyDescent="0.25">
      <c r="A1266">
        <v>55</v>
      </c>
      <c r="B1266" t="str">
        <f>_xlfn.XLOOKUP(Table1[[#This Row],[Attrition]],Table2[Attrition],Table2[Id_Attrition])</f>
        <v>A002</v>
      </c>
      <c r="C1266" t="s">
        <v>33</v>
      </c>
      <c r="D1266" t="str">
        <f>_xlfn.XLOOKUP(Table1[[#This Row],[BusinessTravel]],Table5[BusinessTravel],Table5[Id_BusinessTravel])</f>
        <v>BS001</v>
      </c>
      <c r="E1266" t="s">
        <v>34</v>
      </c>
      <c r="F1266">
        <v>478</v>
      </c>
      <c r="G1266" t="str">
        <f>_xlfn.XLOOKUP(Table1[[#This Row],[Department]],Table6[Department],Table6[Id_Departement])</f>
        <v>D002</v>
      </c>
      <c r="H1266" t="s">
        <v>38</v>
      </c>
      <c r="I1266">
        <v>2</v>
      </c>
      <c r="J1266" t="str">
        <f>_xlfn.XLOOKUP(Table1[[#This Row],[Education]],Table8[Education],Table8[Id_Education])</f>
        <v>E003</v>
      </c>
      <c r="K1266">
        <v>3</v>
      </c>
      <c r="L1266" t="str">
        <f>_xlfn.XLOOKUP(Table1[[#This Row],[EducationField]],Table7[EducationField],Table7[Id_EducationField])</f>
        <v>EF003</v>
      </c>
      <c r="M1266" t="s">
        <v>42</v>
      </c>
      <c r="N1266" t="str">
        <f>_xlfn.XLOOKUP(Table1[[#This Row],[EmployeeNumber]],Table4[EmployeeNumber],Table4[Id_Employee])</f>
        <v>EMP01265</v>
      </c>
      <c r="O1266">
        <v>1770</v>
      </c>
      <c r="P1266" t="str">
        <f>_xlfn.XLOOKUP(Table1[[#This Row],[EnvironmentSatisfaction]],Table9[EnvironmentSatisfaction],Table9[Id_EnviromentSatisfaction])</f>
        <v>ES003</v>
      </c>
      <c r="Q1266">
        <v>3</v>
      </c>
      <c r="R1266" t="str">
        <f>_xlfn.XLOOKUP(Table1[[#This Row],[EnvironmentSatisfaction]],Table9[EnvironmentSatisfaction],Table9[Deskripsi])</f>
        <v>High</v>
      </c>
      <c r="S1266" t="str">
        <f>_xlfn.XLOOKUP(Table1[[#This Row],[Gender]],Table10[Gender],Table10[Id_Gender])</f>
        <v>G002</v>
      </c>
      <c r="T1266" t="s">
        <v>46</v>
      </c>
      <c r="U1266">
        <v>60</v>
      </c>
      <c r="V1266" t="str">
        <f>_xlfn.XLOOKUP(Table1[[#This Row],[JobInvolvement]],Table11[JobInvolvement],Table11[Id_JobInvolvement])</f>
        <v>JI002</v>
      </c>
      <c r="W1266">
        <v>2</v>
      </c>
      <c r="X1266" t="str">
        <f>_xlfn.XLOOKUP(Table1[[#This Row],[JobLevel]],Table12[JobLevel],Table12[Id_JobLevel])</f>
        <v>JL005</v>
      </c>
      <c r="Y1266">
        <v>5</v>
      </c>
      <c r="Z1266" t="str">
        <f>_xlfn.XLOOKUP(Table1[[#This Row],[JobRole]],Table13[JobRole],Table13[Id_JobRole])</f>
        <v>JR008</v>
      </c>
      <c r="AA1266" t="s">
        <v>54</v>
      </c>
      <c r="AB1266" t="str">
        <f>_xlfn.XLOOKUP(Table1[[#This Row],[JobSatisfaction]],Table14[JobSatisfaction],Table14[Id_JobSatisfaction])</f>
        <v>JS001</v>
      </c>
      <c r="AC1266">
        <v>1</v>
      </c>
      <c r="AD1266" t="str">
        <f>_xlfn.XLOOKUP(Table1[[#This Row],[JobSatisfaction]],Table14[JobSatisfaction],Table14[Deskripsi])</f>
        <v>Low</v>
      </c>
      <c r="AE1266" t="str">
        <f>_xlfn.XLOOKUP(Table1[[#This Row],[MaritalStatus]],Table15[MaritalStatus],Table15[Id_MaritalStatus])</f>
        <v>MS002</v>
      </c>
      <c r="AF1266" t="s">
        <v>56</v>
      </c>
      <c r="AG1266">
        <v>19038</v>
      </c>
      <c r="AH1266">
        <v>19805</v>
      </c>
      <c r="AI1266">
        <v>8</v>
      </c>
      <c r="AJ1266" t="str">
        <f>_xlfn.XLOOKUP(Table1[[#This Row],[OverTime]],Table16[OverTime],Table16[Id_OverTime])</f>
        <v>OT002</v>
      </c>
      <c r="AK1266" t="s">
        <v>33</v>
      </c>
      <c r="AL1266">
        <v>12</v>
      </c>
      <c r="AM1266" t="str">
        <f>_xlfn.XLOOKUP(Table1[[#This Row],[PerformanceRating]],Table17[PerformanceRating],Table17[Id_PerformanceRating])</f>
        <v>PR003</v>
      </c>
      <c r="AN1266">
        <v>3</v>
      </c>
      <c r="AO1266" t="str">
        <f>_xlfn.XLOOKUP(Table1[[#This Row],[PerformanceRating]],Table17[PerformanceRating],Table17[Deskripsi])</f>
        <v>Excellent</v>
      </c>
      <c r="AP1266" t="str">
        <f>_xlfn.XLOOKUP(Table1[[#This Row],[RelationshipSatisfaction]],Table18[RelationshipSatisfaction],Table18[Id_RelationshipSatisfaction])</f>
        <v>RS002</v>
      </c>
      <c r="AQ1266">
        <v>2</v>
      </c>
      <c r="AR1266" t="str">
        <f>_xlfn.XLOOKUP(Table1[[#This Row],[RelationshipSatisfaction]],Table18[RelationshipSatisfaction],Table18[Deskripsi])</f>
        <v>Medium</v>
      </c>
      <c r="AS1266" t="str">
        <f>_xlfn.XLOOKUP(Table1[[#This Row],[StockOptionLevel]],Table19[StockOptionLevel],Table19[Id_StockOptionLevel])</f>
        <v>SOL004</v>
      </c>
      <c r="AT1266">
        <v>3</v>
      </c>
      <c r="AU1266" t="str">
        <f>_xlfn.XLOOKUP(Table1[[#This Row],[StockOptionLevel]],Table19[StockOptionLevel],Table19[Deskripsi])</f>
        <v>Senior/Executive</v>
      </c>
      <c r="AV1266">
        <v>34</v>
      </c>
      <c r="AW1266">
        <v>2</v>
      </c>
      <c r="AX1266" t="str">
        <f>_xlfn.XLOOKUP(Table1[[#This Row],[WorkLifeBalance]],Table20[WorkLifeBalance],Table20[Id_WorkLifeBalance])</f>
        <v>WLB002</v>
      </c>
      <c r="AY1266">
        <v>3</v>
      </c>
      <c r="AZ1266" t="str">
        <f>_xlfn.XLOOKUP(Table1[[#This Row],[WorkLifeBalance]],Table20[WorkLifeBalance],Table20[Deskripsi])</f>
        <v>Good</v>
      </c>
      <c r="BA1266">
        <v>1</v>
      </c>
      <c r="BB1266">
        <v>0</v>
      </c>
      <c r="BC1266">
        <v>0</v>
      </c>
      <c r="BD1266">
        <v>0</v>
      </c>
    </row>
    <row r="1267" spans="1:56" x14ac:dyDescent="0.25">
      <c r="A1267">
        <v>33</v>
      </c>
      <c r="B1267" t="str">
        <f>_xlfn.XLOOKUP(Table1[[#This Row],[Attrition]],Table2[Attrition],Table2[Id_Attrition])</f>
        <v>A002</v>
      </c>
      <c r="C1267" t="s">
        <v>33</v>
      </c>
      <c r="D1267" t="str">
        <f>_xlfn.XLOOKUP(Table1[[#This Row],[BusinessTravel]],Table5[BusinessTravel],Table5[Id_BusinessTravel])</f>
        <v>BS003</v>
      </c>
      <c r="E1267" t="s">
        <v>36</v>
      </c>
      <c r="F1267">
        <v>775</v>
      </c>
      <c r="G1267" t="str">
        <f>_xlfn.XLOOKUP(Table1[[#This Row],[Department]],Table6[Department],Table6[Id_Departement])</f>
        <v>D002</v>
      </c>
      <c r="H1267" t="s">
        <v>38</v>
      </c>
      <c r="I1267">
        <v>4</v>
      </c>
      <c r="J1267" t="str">
        <f>_xlfn.XLOOKUP(Table1[[#This Row],[Education]],Table8[Education],Table8[Id_Education])</f>
        <v>E003</v>
      </c>
      <c r="K1267">
        <v>3</v>
      </c>
      <c r="L1267" t="str">
        <f>_xlfn.XLOOKUP(Table1[[#This Row],[EducationField]],Table7[EducationField],Table7[Id_EducationField])</f>
        <v>EF005</v>
      </c>
      <c r="M1267" t="s">
        <v>44</v>
      </c>
      <c r="N1267" t="str">
        <f>_xlfn.XLOOKUP(Table1[[#This Row],[EmployeeNumber]],Table4[EmployeeNumber],Table4[Id_Employee])</f>
        <v>EMP01266</v>
      </c>
      <c r="O1267">
        <v>1771</v>
      </c>
      <c r="P1267" t="str">
        <f>_xlfn.XLOOKUP(Table1[[#This Row],[EnvironmentSatisfaction]],Table9[EnvironmentSatisfaction],Table9[Id_EnviromentSatisfaction])</f>
        <v>ES004</v>
      </c>
      <c r="Q1267">
        <v>4</v>
      </c>
      <c r="R1267" t="str">
        <f>_xlfn.XLOOKUP(Table1[[#This Row],[EnvironmentSatisfaction]],Table9[EnvironmentSatisfaction],Table9[Deskripsi])</f>
        <v>Very High</v>
      </c>
      <c r="S1267" t="str">
        <f>_xlfn.XLOOKUP(Table1[[#This Row],[Gender]],Table10[Gender],Table10[Id_Gender])</f>
        <v>G002</v>
      </c>
      <c r="T1267" t="s">
        <v>46</v>
      </c>
      <c r="U1267">
        <v>90</v>
      </c>
      <c r="V1267" t="str">
        <f>_xlfn.XLOOKUP(Table1[[#This Row],[JobInvolvement]],Table11[JobInvolvement],Table11[Id_JobInvolvement])</f>
        <v>JI003</v>
      </c>
      <c r="W1267">
        <v>3</v>
      </c>
      <c r="X1267" t="str">
        <f>_xlfn.XLOOKUP(Table1[[#This Row],[JobLevel]],Table12[JobLevel],Table12[Id_JobLevel])</f>
        <v>JL002</v>
      </c>
      <c r="Y1267">
        <v>2</v>
      </c>
      <c r="Z1267" t="str">
        <f>_xlfn.XLOOKUP(Table1[[#This Row],[JobRole]],Table13[JobRole],Table13[Id_JobRole])</f>
        <v>JR002</v>
      </c>
      <c r="AA1267" t="s">
        <v>48</v>
      </c>
      <c r="AB1267" t="str">
        <f>_xlfn.XLOOKUP(Table1[[#This Row],[JobSatisfaction]],Table14[JobSatisfaction],Table14[Id_JobSatisfaction])</f>
        <v>JS002</v>
      </c>
      <c r="AC1267">
        <v>2</v>
      </c>
      <c r="AD1267" t="str">
        <f>_xlfn.XLOOKUP(Table1[[#This Row],[JobSatisfaction]],Table14[JobSatisfaction],Table14[Deskripsi])</f>
        <v>Medium</v>
      </c>
      <c r="AE1267" t="str">
        <f>_xlfn.XLOOKUP(Table1[[#This Row],[MaritalStatus]],Table15[MaritalStatus],Table15[Id_MaritalStatus])</f>
        <v>MS003</v>
      </c>
      <c r="AF1267" t="s">
        <v>57</v>
      </c>
      <c r="AG1267">
        <v>3055</v>
      </c>
      <c r="AH1267">
        <v>6194</v>
      </c>
      <c r="AI1267">
        <v>5</v>
      </c>
      <c r="AJ1267" t="str">
        <f>_xlfn.XLOOKUP(Table1[[#This Row],[OverTime]],Table16[OverTime],Table16[Id_OverTime])</f>
        <v>OT002</v>
      </c>
      <c r="AK1267" t="s">
        <v>33</v>
      </c>
      <c r="AL1267">
        <v>15</v>
      </c>
      <c r="AM1267" t="str">
        <f>_xlfn.XLOOKUP(Table1[[#This Row],[PerformanceRating]],Table17[PerformanceRating],Table17[Id_PerformanceRating])</f>
        <v>PR003</v>
      </c>
      <c r="AN1267">
        <v>3</v>
      </c>
      <c r="AO1267" t="str">
        <f>_xlfn.XLOOKUP(Table1[[#This Row],[PerformanceRating]],Table17[PerformanceRating],Table17[Deskripsi])</f>
        <v>Excellent</v>
      </c>
      <c r="AP1267" t="str">
        <f>_xlfn.XLOOKUP(Table1[[#This Row],[RelationshipSatisfaction]],Table18[RelationshipSatisfaction],Table18[Id_RelationshipSatisfaction])</f>
        <v>RS004</v>
      </c>
      <c r="AQ1267">
        <v>4</v>
      </c>
      <c r="AR1267" t="str">
        <f>_xlfn.XLOOKUP(Table1[[#This Row],[RelationshipSatisfaction]],Table18[RelationshipSatisfaction],Table18[Deskripsi])</f>
        <v>Very High</v>
      </c>
      <c r="AS1267" t="str">
        <f>_xlfn.XLOOKUP(Table1[[#This Row],[StockOptionLevel]],Table19[StockOptionLevel],Table19[Id_StockOptionLevel])</f>
        <v>SOL003</v>
      </c>
      <c r="AT1267">
        <v>2</v>
      </c>
      <c r="AU1267" t="str">
        <f>_xlfn.XLOOKUP(Table1[[#This Row],[StockOptionLevel]],Table19[StockOptionLevel],Table19[Deskripsi])</f>
        <v>Intermediate</v>
      </c>
      <c r="AV1267">
        <v>11</v>
      </c>
      <c r="AW1267">
        <v>2</v>
      </c>
      <c r="AX1267" t="str">
        <f>_xlfn.XLOOKUP(Table1[[#This Row],[WorkLifeBalance]],Table20[WorkLifeBalance],Table20[Id_WorkLifeBalance])</f>
        <v>WLB003</v>
      </c>
      <c r="AY1267">
        <v>2</v>
      </c>
      <c r="AZ1267" t="str">
        <f>_xlfn.XLOOKUP(Table1[[#This Row],[WorkLifeBalance]],Table20[WorkLifeBalance],Table20[Deskripsi])</f>
        <v>Better</v>
      </c>
      <c r="BA1267">
        <v>9</v>
      </c>
      <c r="BB1267">
        <v>8</v>
      </c>
      <c r="BC1267">
        <v>1</v>
      </c>
      <c r="BD1267">
        <v>7</v>
      </c>
    </row>
    <row r="1268" spans="1:56" x14ac:dyDescent="0.25">
      <c r="A1268">
        <v>41</v>
      </c>
      <c r="B1268" t="str">
        <f>_xlfn.XLOOKUP(Table1[[#This Row],[Attrition]],Table2[Attrition],Table2[Id_Attrition])</f>
        <v>A002</v>
      </c>
      <c r="C1268" t="s">
        <v>33</v>
      </c>
      <c r="D1268" t="str">
        <f>_xlfn.XLOOKUP(Table1[[#This Row],[BusinessTravel]],Table5[BusinessTravel],Table5[Id_BusinessTravel])</f>
        <v>BS001</v>
      </c>
      <c r="E1268" t="s">
        <v>34</v>
      </c>
      <c r="F1268">
        <v>548</v>
      </c>
      <c r="G1268" t="str">
        <f>_xlfn.XLOOKUP(Table1[[#This Row],[Department]],Table6[Department],Table6[Id_Departement])</f>
        <v>D002</v>
      </c>
      <c r="H1268" t="s">
        <v>38</v>
      </c>
      <c r="I1268">
        <v>9</v>
      </c>
      <c r="J1268" t="str">
        <f>_xlfn.XLOOKUP(Table1[[#This Row],[Education]],Table8[Education],Table8[Id_Education])</f>
        <v>E004</v>
      </c>
      <c r="K1268">
        <v>4</v>
      </c>
      <c r="L1268" t="str">
        <f>_xlfn.XLOOKUP(Table1[[#This Row],[EducationField]],Table7[EducationField],Table7[Id_EducationField])</f>
        <v>EF001</v>
      </c>
      <c r="M1268" t="s">
        <v>40</v>
      </c>
      <c r="N1268" t="str">
        <f>_xlfn.XLOOKUP(Table1[[#This Row],[EmployeeNumber]],Table4[EmployeeNumber],Table4[Id_Employee])</f>
        <v>EMP01267</v>
      </c>
      <c r="O1268">
        <v>1772</v>
      </c>
      <c r="P1268" t="str">
        <f>_xlfn.XLOOKUP(Table1[[#This Row],[EnvironmentSatisfaction]],Table9[EnvironmentSatisfaction],Table9[Id_EnviromentSatisfaction])</f>
        <v>ES003</v>
      </c>
      <c r="Q1268">
        <v>3</v>
      </c>
      <c r="R1268" t="str">
        <f>_xlfn.XLOOKUP(Table1[[#This Row],[EnvironmentSatisfaction]],Table9[EnvironmentSatisfaction],Table9[Deskripsi])</f>
        <v>High</v>
      </c>
      <c r="S1268" t="str">
        <f>_xlfn.XLOOKUP(Table1[[#This Row],[Gender]],Table10[Gender],Table10[Id_Gender])</f>
        <v>G002</v>
      </c>
      <c r="T1268" t="s">
        <v>46</v>
      </c>
      <c r="U1268">
        <v>94</v>
      </c>
      <c r="V1268" t="str">
        <f>_xlfn.XLOOKUP(Table1[[#This Row],[JobInvolvement]],Table11[JobInvolvement],Table11[Id_JobInvolvement])</f>
        <v>JI003</v>
      </c>
      <c r="W1268">
        <v>3</v>
      </c>
      <c r="X1268" t="str">
        <f>_xlfn.XLOOKUP(Table1[[#This Row],[JobLevel]],Table12[JobLevel],Table12[Id_JobLevel])</f>
        <v>JL001</v>
      </c>
      <c r="Y1268">
        <v>1</v>
      </c>
      <c r="Z1268" t="str">
        <f>_xlfn.XLOOKUP(Table1[[#This Row],[JobRole]],Table13[JobRole],Table13[Id_JobRole])</f>
        <v>JR003</v>
      </c>
      <c r="AA1268" t="s">
        <v>49</v>
      </c>
      <c r="AB1268" t="str">
        <f>_xlfn.XLOOKUP(Table1[[#This Row],[JobSatisfaction]],Table14[JobSatisfaction],Table14[Id_JobSatisfaction])</f>
        <v>JS001</v>
      </c>
      <c r="AC1268">
        <v>1</v>
      </c>
      <c r="AD1268" t="str">
        <f>_xlfn.XLOOKUP(Table1[[#This Row],[JobSatisfaction]],Table14[JobSatisfaction],Table14[Deskripsi])</f>
        <v>Low</v>
      </c>
      <c r="AE1268" t="str">
        <f>_xlfn.XLOOKUP(Table1[[#This Row],[MaritalStatus]],Table15[MaritalStatus],Table15[Id_MaritalStatus])</f>
        <v>MS003</v>
      </c>
      <c r="AF1268" t="s">
        <v>57</v>
      </c>
      <c r="AG1268">
        <v>2289</v>
      </c>
      <c r="AH1268">
        <v>20520</v>
      </c>
      <c r="AI1268">
        <v>1</v>
      </c>
      <c r="AJ1268" t="str">
        <f>_xlfn.XLOOKUP(Table1[[#This Row],[OverTime]],Table16[OverTime],Table16[Id_OverTime])</f>
        <v>OT002</v>
      </c>
      <c r="AK1268" t="s">
        <v>33</v>
      </c>
      <c r="AL1268">
        <v>20</v>
      </c>
      <c r="AM1268" t="str">
        <f>_xlfn.XLOOKUP(Table1[[#This Row],[PerformanceRating]],Table17[PerformanceRating],Table17[Id_PerformanceRating])</f>
        <v>PR004</v>
      </c>
      <c r="AN1268">
        <v>4</v>
      </c>
      <c r="AO1268" t="str">
        <f>_xlfn.XLOOKUP(Table1[[#This Row],[PerformanceRating]],Table17[PerformanceRating],Table17[Deskripsi])</f>
        <v>Outstanding</v>
      </c>
      <c r="AP1268" t="str">
        <f>_xlfn.XLOOKUP(Table1[[#This Row],[RelationshipSatisfaction]],Table18[RelationshipSatisfaction],Table18[Id_RelationshipSatisfaction])</f>
        <v>RS002</v>
      </c>
      <c r="AQ1268">
        <v>2</v>
      </c>
      <c r="AR1268" t="str">
        <f>_xlfn.XLOOKUP(Table1[[#This Row],[RelationshipSatisfaction]],Table18[RelationshipSatisfaction],Table18[Deskripsi])</f>
        <v>Medium</v>
      </c>
      <c r="AS1268" t="str">
        <f>_xlfn.XLOOKUP(Table1[[#This Row],[StockOptionLevel]],Table19[StockOptionLevel],Table19[Id_StockOptionLevel])</f>
        <v>SOL003</v>
      </c>
      <c r="AT1268">
        <v>2</v>
      </c>
      <c r="AU1268" t="str">
        <f>_xlfn.XLOOKUP(Table1[[#This Row],[StockOptionLevel]],Table19[StockOptionLevel],Table19[Deskripsi])</f>
        <v>Intermediate</v>
      </c>
      <c r="AV1268">
        <v>5</v>
      </c>
      <c r="AW1268">
        <v>2</v>
      </c>
      <c r="AX1268" t="str">
        <f>_xlfn.XLOOKUP(Table1[[#This Row],[WorkLifeBalance]],Table20[WorkLifeBalance],Table20[Id_WorkLifeBalance])</f>
        <v>WLB002</v>
      </c>
      <c r="AY1268">
        <v>3</v>
      </c>
      <c r="AZ1268" t="str">
        <f>_xlfn.XLOOKUP(Table1[[#This Row],[WorkLifeBalance]],Table20[WorkLifeBalance],Table20[Deskripsi])</f>
        <v>Good</v>
      </c>
      <c r="BA1268">
        <v>5</v>
      </c>
      <c r="BB1268">
        <v>3</v>
      </c>
      <c r="BC1268">
        <v>0</v>
      </c>
      <c r="BD1268">
        <v>4</v>
      </c>
    </row>
    <row r="1269" spans="1:56" x14ac:dyDescent="0.25">
      <c r="A1269">
        <v>34</v>
      </c>
      <c r="B1269" t="str">
        <f>_xlfn.XLOOKUP(Table1[[#This Row],[Attrition]],Table2[Attrition],Table2[Id_Attrition])</f>
        <v>A002</v>
      </c>
      <c r="C1269" t="s">
        <v>33</v>
      </c>
      <c r="D1269" t="str">
        <f>_xlfn.XLOOKUP(Table1[[#This Row],[BusinessTravel]],Table5[BusinessTravel],Table5[Id_BusinessTravel])</f>
        <v>BS003</v>
      </c>
      <c r="E1269" t="s">
        <v>36</v>
      </c>
      <c r="F1269">
        <v>1375</v>
      </c>
      <c r="G1269" t="str">
        <f>_xlfn.XLOOKUP(Table1[[#This Row],[Department]],Table6[Department],Table6[Id_Departement])</f>
        <v>D001</v>
      </c>
      <c r="H1269" t="s">
        <v>37</v>
      </c>
      <c r="I1269">
        <v>10</v>
      </c>
      <c r="J1269" t="str">
        <f>_xlfn.XLOOKUP(Table1[[#This Row],[Education]],Table8[Education],Table8[Id_Education])</f>
        <v>E003</v>
      </c>
      <c r="K1269">
        <v>3</v>
      </c>
      <c r="L1269" t="str">
        <f>_xlfn.XLOOKUP(Table1[[#This Row],[EducationField]],Table7[EducationField],Table7[Id_EducationField])</f>
        <v>EF001</v>
      </c>
      <c r="M1269" t="s">
        <v>40</v>
      </c>
      <c r="N1269" t="str">
        <f>_xlfn.XLOOKUP(Table1[[#This Row],[EmployeeNumber]],Table4[EmployeeNumber],Table4[Id_Employee])</f>
        <v>EMP01268</v>
      </c>
      <c r="O1269">
        <v>1774</v>
      </c>
      <c r="P1269" t="str">
        <f>_xlfn.XLOOKUP(Table1[[#This Row],[EnvironmentSatisfaction]],Table9[EnvironmentSatisfaction],Table9[Id_EnviromentSatisfaction])</f>
        <v>ES004</v>
      </c>
      <c r="Q1269">
        <v>4</v>
      </c>
      <c r="R1269" t="str">
        <f>_xlfn.XLOOKUP(Table1[[#This Row],[EnvironmentSatisfaction]],Table9[EnvironmentSatisfaction],Table9[Deskripsi])</f>
        <v>Very High</v>
      </c>
      <c r="S1269" t="str">
        <f>_xlfn.XLOOKUP(Table1[[#This Row],[Gender]],Table10[Gender],Table10[Id_Gender])</f>
        <v>G002</v>
      </c>
      <c r="T1269" t="s">
        <v>46</v>
      </c>
      <c r="U1269">
        <v>87</v>
      </c>
      <c r="V1269" t="str">
        <f>_xlfn.XLOOKUP(Table1[[#This Row],[JobInvolvement]],Table11[JobInvolvement],Table11[Id_JobInvolvement])</f>
        <v>JI003</v>
      </c>
      <c r="W1269">
        <v>3</v>
      </c>
      <c r="X1269" t="str">
        <f>_xlfn.XLOOKUP(Table1[[#This Row],[JobLevel]],Table12[JobLevel],Table12[Id_JobLevel])</f>
        <v>JL002</v>
      </c>
      <c r="Y1269">
        <v>2</v>
      </c>
      <c r="Z1269" t="str">
        <f>_xlfn.XLOOKUP(Table1[[#This Row],[JobRole]],Table13[JobRole],Table13[Id_JobRole])</f>
        <v>JR001</v>
      </c>
      <c r="AA1269" t="s">
        <v>47</v>
      </c>
      <c r="AB1269" t="str">
        <f>_xlfn.XLOOKUP(Table1[[#This Row],[JobSatisfaction]],Table14[JobSatisfaction],Table14[Id_JobSatisfaction])</f>
        <v>JS003</v>
      </c>
      <c r="AC1269">
        <v>3</v>
      </c>
      <c r="AD1269" t="str">
        <f>_xlfn.XLOOKUP(Table1[[#This Row],[JobSatisfaction]],Table14[JobSatisfaction],Table14[Deskripsi])</f>
        <v>High</v>
      </c>
      <c r="AE1269" t="str">
        <f>_xlfn.XLOOKUP(Table1[[#This Row],[MaritalStatus]],Table15[MaritalStatus],Table15[Id_MaritalStatus])</f>
        <v>MS003</v>
      </c>
      <c r="AF1269" t="s">
        <v>57</v>
      </c>
      <c r="AG1269">
        <v>4001</v>
      </c>
      <c r="AH1269">
        <v>12313</v>
      </c>
      <c r="AI1269">
        <v>1</v>
      </c>
      <c r="AJ1269" t="str">
        <f>_xlfn.XLOOKUP(Table1[[#This Row],[OverTime]],Table16[OverTime],Table16[Id_OverTime])</f>
        <v>OT001</v>
      </c>
      <c r="AK1269" t="s">
        <v>32</v>
      </c>
      <c r="AL1269">
        <v>14</v>
      </c>
      <c r="AM1269" t="str">
        <f>_xlfn.XLOOKUP(Table1[[#This Row],[PerformanceRating]],Table17[PerformanceRating],Table17[Id_PerformanceRating])</f>
        <v>PR003</v>
      </c>
      <c r="AN1269">
        <v>3</v>
      </c>
      <c r="AO1269" t="str">
        <f>_xlfn.XLOOKUP(Table1[[#This Row],[PerformanceRating]],Table17[PerformanceRating],Table17[Deskripsi])</f>
        <v>Excellent</v>
      </c>
      <c r="AP1269" t="str">
        <f>_xlfn.XLOOKUP(Table1[[#This Row],[RelationshipSatisfaction]],Table18[RelationshipSatisfaction],Table18[Id_RelationshipSatisfaction])</f>
        <v>RS003</v>
      </c>
      <c r="AQ1269">
        <v>3</v>
      </c>
      <c r="AR1269" t="str">
        <f>_xlfn.XLOOKUP(Table1[[#This Row],[RelationshipSatisfaction]],Table18[RelationshipSatisfaction],Table18[Deskripsi])</f>
        <v>High</v>
      </c>
      <c r="AS1269" t="str">
        <f>_xlfn.XLOOKUP(Table1[[#This Row],[StockOptionLevel]],Table19[StockOptionLevel],Table19[Id_StockOptionLevel])</f>
        <v>SOL002</v>
      </c>
      <c r="AT1269">
        <v>1</v>
      </c>
      <c r="AU1269" t="str">
        <f>_xlfn.XLOOKUP(Table1[[#This Row],[StockOptionLevel]],Table19[StockOptionLevel],Table19[Deskripsi])</f>
        <v>Standard</v>
      </c>
      <c r="AV1269">
        <v>15</v>
      </c>
      <c r="AW1269">
        <v>3</v>
      </c>
      <c r="AX1269" t="str">
        <f>_xlfn.XLOOKUP(Table1[[#This Row],[WorkLifeBalance]],Table20[WorkLifeBalance],Table20[Id_WorkLifeBalance])</f>
        <v>WLB002</v>
      </c>
      <c r="AY1269">
        <v>3</v>
      </c>
      <c r="AZ1269" t="str">
        <f>_xlfn.XLOOKUP(Table1[[#This Row],[WorkLifeBalance]],Table20[WorkLifeBalance],Table20[Deskripsi])</f>
        <v>Good</v>
      </c>
      <c r="BA1269">
        <v>15</v>
      </c>
      <c r="BB1269">
        <v>14</v>
      </c>
      <c r="BC1269">
        <v>0</v>
      </c>
      <c r="BD1269">
        <v>7</v>
      </c>
    </row>
    <row r="1270" spans="1:56" x14ac:dyDescent="0.25">
      <c r="A1270">
        <v>53</v>
      </c>
      <c r="B1270" t="str">
        <f>_xlfn.XLOOKUP(Table1[[#This Row],[Attrition]],Table2[Attrition],Table2[Id_Attrition])</f>
        <v>A002</v>
      </c>
      <c r="C1270" t="s">
        <v>33</v>
      </c>
      <c r="D1270" t="str">
        <f>_xlfn.XLOOKUP(Table1[[#This Row],[BusinessTravel]],Table5[BusinessTravel],Table5[Id_BusinessTravel])</f>
        <v>BS003</v>
      </c>
      <c r="E1270" t="s">
        <v>36</v>
      </c>
      <c r="F1270">
        <v>661</v>
      </c>
      <c r="G1270" t="str">
        <f>_xlfn.XLOOKUP(Table1[[#This Row],[Department]],Table6[Department],Table6[Id_Departement])</f>
        <v>D002</v>
      </c>
      <c r="H1270" t="s">
        <v>38</v>
      </c>
      <c r="I1270">
        <v>1</v>
      </c>
      <c r="J1270" t="str">
        <f>_xlfn.XLOOKUP(Table1[[#This Row],[Education]],Table8[Education],Table8[Id_Education])</f>
        <v>E004</v>
      </c>
      <c r="K1270">
        <v>4</v>
      </c>
      <c r="L1270" t="str">
        <f>_xlfn.XLOOKUP(Table1[[#This Row],[EducationField]],Table7[EducationField],Table7[Id_EducationField])</f>
        <v>EF003</v>
      </c>
      <c r="M1270" t="s">
        <v>42</v>
      </c>
      <c r="N1270" t="str">
        <f>_xlfn.XLOOKUP(Table1[[#This Row],[EmployeeNumber]],Table4[EmployeeNumber],Table4[Id_Employee])</f>
        <v>EMP01269</v>
      </c>
      <c r="O1270">
        <v>1775</v>
      </c>
      <c r="P1270" t="str">
        <f>_xlfn.XLOOKUP(Table1[[#This Row],[EnvironmentSatisfaction]],Table9[EnvironmentSatisfaction],Table9[Id_EnviromentSatisfaction])</f>
        <v>ES001</v>
      </c>
      <c r="Q1270">
        <v>1</v>
      </c>
      <c r="R1270" t="str">
        <f>_xlfn.XLOOKUP(Table1[[#This Row],[EnvironmentSatisfaction]],Table9[EnvironmentSatisfaction],Table9[Deskripsi])</f>
        <v>Low</v>
      </c>
      <c r="S1270" t="str">
        <f>_xlfn.XLOOKUP(Table1[[#This Row],[Gender]],Table10[Gender],Table10[Id_Gender])</f>
        <v>G001</v>
      </c>
      <c r="T1270" t="s">
        <v>45</v>
      </c>
      <c r="U1270">
        <v>60</v>
      </c>
      <c r="V1270" t="str">
        <f>_xlfn.XLOOKUP(Table1[[#This Row],[JobInvolvement]],Table11[JobInvolvement],Table11[Id_JobInvolvement])</f>
        <v>JI002</v>
      </c>
      <c r="W1270">
        <v>2</v>
      </c>
      <c r="X1270" t="str">
        <f>_xlfn.XLOOKUP(Table1[[#This Row],[JobLevel]],Table12[JobLevel],Table12[Id_JobLevel])</f>
        <v>JL004</v>
      </c>
      <c r="Y1270">
        <v>4</v>
      </c>
      <c r="Z1270" t="str">
        <f>_xlfn.XLOOKUP(Table1[[#This Row],[JobRole]],Table13[JobRole],Table13[Id_JobRole])</f>
        <v>JR004</v>
      </c>
      <c r="AA1270" t="s">
        <v>50</v>
      </c>
      <c r="AB1270" t="str">
        <f>_xlfn.XLOOKUP(Table1[[#This Row],[JobSatisfaction]],Table14[JobSatisfaction],Table14[Id_JobSatisfaction])</f>
        <v>JS003</v>
      </c>
      <c r="AC1270">
        <v>3</v>
      </c>
      <c r="AD1270" t="str">
        <f>_xlfn.XLOOKUP(Table1[[#This Row],[JobSatisfaction]],Table14[JobSatisfaction],Table14[Deskripsi])</f>
        <v>High</v>
      </c>
      <c r="AE1270" t="str">
        <f>_xlfn.XLOOKUP(Table1[[#This Row],[MaritalStatus]],Table15[MaritalStatus],Table15[Id_MaritalStatus])</f>
        <v>MS002</v>
      </c>
      <c r="AF1270" t="s">
        <v>56</v>
      </c>
      <c r="AG1270">
        <v>12965</v>
      </c>
      <c r="AH1270">
        <v>22308</v>
      </c>
      <c r="AI1270">
        <v>4</v>
      </c>
      <c r="AJ1270" t="str">
        <f>_xlfn.XLOOKUP(Table1[[#This Row],[OverTime]],Table16[OverTime],Table16[Id_OverTime])</f>
        <v>OT001</v>
      </c>
      <c r="AK1270" t="s">
        <v>32</v>
      </c>
      <c r="AL1270">
        <v>20</v>
      </c>
      <c r="AM1270" t="str">
        <f>_xlfn.XLOOKUP(Table1[[#This Row],[PerformanceRating]],Table17[PerformanceRating],Table17[Id_PerformanceRating])</f>
        <v>PR004</v>
      </c>
      <c r="AN1270">
        <v>4</v>
      </c>
      <c r="AO1270" t="str">
        <f>_xlfn.XLOOKUP(Table1[[#This Row],[PerformanceRating]],Table17[PerformanceRating],Table17[Deskripsi])</f>
        <v>Outstanding</v>
      </c>
      <c r="AP1270" t="str">
        <f>_xlfn.XLOOKUP(Table1[[#This Row],[RelationshipSatisfaction]],Table18[RelationshipSatisfaction],Table18[Id_RelationshipSatisfaction])</f>
        <v>RS004</v>
      </c>
      <c r="AQ1270">
        <v>4</v>
      </c>
      <c r="AR1270" t="str">
        <f>_xlfn.XLOOKUP(Table1[[#This Row],[RelationshipSatisfaction]],Table18[RelationshipSatisfaction],Table18[Deskripsi])</f>
        <v>Very High</v>
      </c>
      <c r="AS1270" t="str">
        <f>_xlfn.XLOOKUP(Table1[[#This Row],[StockOptionLevel]],Table19[StockOptionLevel],Table19[Id_StockOptionLevel])</f>
        <v>SOL004</v>
      </c>
      <c r="AT1270">
        <v>3</v>
      </c>
      <c r="AU1270" t="str">
        <f>_xlfn.XLOOKUP(Table1[[#This Row],[StockOptionLevel]],Table19[StockOptionLevel],Table19[Deskripsi])</f>
        <v>Senior/Executive</v>
      </c>
      <c r="AV1270">
        <v>27</v>
      </c>
      <c r="AW1270">
        <v>2</v>
      </c>
      <c r="AX1270" t="str">
        <f>_xlfn.XLOOKUP(Table1[[#This Row],[WorkLifeBalance]],Table20[WorkLifeBalance],Table20[Id_WorkLifeBalance])</f>
        <v>WLB003</v>
      </c>
      <c r="AY1270">
        <v>2</v>
      </c>
      <c r="AZ1270" t="str">
        <f>_xlfn.XLOOKUP(Table1[[#This Row],[WorkLifeBalance]],Table20[WorkLifeBalance],Table20[Deskripsi])</f>
        <v>Better</v>
      </c>
      <c r="BA1270">
        <v>3</v>
      </c>
      <c r="BB1270">
        <v>2</v>
      </c>
      <c r="BC1270">
        <v>0</v>
      </c>
      <c r="BD1270">
        <v>2</v>
      </c>
    </row>
    <row r="1271" spans="1:56" x14ac:dyDescent="0.25">
      <c r="A1271">
        <v>43</v>
      </c>
      <c r="B1271" t="str">
        <f>_xlfn.XLOOKUP(Table1[[#This Row],[Attrition]],Table2[Attrition],Table2[Id_Attrition])</f>
        <v>A002</v>
      </c>
      <c r="C1271" t="s">
        <v>33</v>
      </c>
      <c r="D1271" t="str">
        <f>_xlfn.XLOOKUP(Table1[[#This Row],[BusinessTravel]],Table5[BusinessTravel],Table5[Id_BusinessTravel])</f>
        <v>BS001</v>
      </c>
      <c r="E1271" t="s">
        <v>34</v>
      </c>
      <c r="F1271">
        <v>244</v>
      </c>
      <c r="G1271" t="str">
        <f>_xlfn.XLOOKUP(Table1[[#This Row],[Department]],Table6[Department],Table6[Id_Departement])</f>
        <v>D003</v>
      </c>
      <c r="H1271" t="s">
        <v>39</v>
      </c>
      <c r="I1271">
        <v>2</v>
      </c>
      <c r="J1271" t="str">
        <f>_xlfn.XLOOKUP(Table1[[#This Row],[Education]],Table8[Education],Table8[Id_Education])</f>
        <v>E003</v>
      </c>
      <c r="K1271">
        <v>3</v>
      </c>
      <c r="L1271" t="str">
        <f>_xlfn.XLOOKUP(Table1[[#This Row],[EducationField]],Table7[EducationField],Table7[Id_EducationField])</f>
        <v>EF001</v>
      </c>
      <c r="M1271" t="s">
        <v>40</v>
      </c>
      <c r="N1271" t="str">
        <f>_xlfn.XLOOKUP(Table1[[#This Row],[EmployeeNumber]],Table4[EmployeeNumber],Table4[Id_Employee])</f>
        <v>EMP01270</v>
      </c>
      <c r="O1271">
        <v>1778</v>
      </c>
      <c r="P1271" t="str">
        <f>_xlfn.XLOOKUP(Table1[[#This Row],[EnvironmentSatisfaction]],Table9[EnvironmentSatisfaction],Table9[Id_EnviromentSatisfaction])</f>
        <v>ES002</v>
      </c>
      <c r="Q1271">
        <v>2</v>
      </c>
      <c r="R1271" t="str">
        <f>_xlfn.XLOOKUP(Table1[[#This Row],[EnvironmentSatisfaction]],Table9[EnvironmentSatisfaction],Table9[Deskripsi])</f>
        <v>Medium</v>
      </c>
      <c r="S1271" t="str">
        <f>_xlfn.XLOOKUP(Table1[[#This Row],[Gender]],Table10[Gender],Table10[Id_Gender])</f>
        <v>G002</v>
      </c>
      <c r="T1271" t="s">
        <v>46</v>
      </c>
      <c r="U1271">
        <v>97</v>
      </c>
      <c r="V1271" t="str">
        <f>_xlfn.XLOOKUP(Table1[[#This Row],[JobInvolvement]],Table11[JobInvolvement],Table11[Id_JobInvolvement])</f>
        <v>JI003</v>
      </c>
      <c r="W1271">
        <v>3</v>
      </c>
      <c r="X1271" t="str">
        <f>_xlfn.XLOOKUP(Table1[[#This Row],[JobLevel]],Table12[JobLevel],Table12[Id_JobLevel])</f>
        <v>JL001</v>
      </c>
      <c r="Y1271">
        <v>1</v>
      </c>
      <c r="Z1271" t="str">
        <f>_xlfn.XLOOKUP(Table1[[#This Row],[JobRole]],Table13[JobRole],Table13[Id_JobRole])</f>
        <v>JR009</v>
      </c>
      <c r="AA1271" t="s">
        <v>39</v>
      </c>
      <c r="AB1271" t="str">
        <f>_xlfn.XLOOKUP(Table1[[#This Row],[JobSatisfaction]],Table14[JobSatisfaction],Table14[Id_JobSatisfaction])</f>
        <v>JS004</v>
      </c>
      <c r="AC1271">
        <v>4</v>
      </c>
      <c r="AD1271" t="str">
        <f>_xlfn.XLOOKUP(Table1[[#This Row],[JobSatisfaction]],Table14[JobSatisfaction],Table14[Deskripsi])</f>
        <v>Very High</v>
      </c>
      <c r="AE1271" t="str">
        <f>_xlfn.XLOOKUP(Table1[[#This Row],[MaritalStatus]],Table15[MaritalStatus],Table15[Id_MaritalStatus])</f>
        <v>MS001</v>
      </c>
      <c r="AF1271" t="s">
        <v>55</v>
      </c>
      <c r="AG1271">
        <v>3539</v>
      </c>
      <c r="AH1271">
        <v>5033</v>
      </c>
      <c r="AI1271">
        <v>0</v>
      </c>
      <c r="AJ1271" t="str">
        <f>_xlfn.XLOOKUP(Table1[[#This Row],[OverTime]],Table16[OverTime],Table16[Id_OverTime])</f>
        <v>OT002</v>
      </c>
      <c r="AK1271" t="s">
        <v>33</v>
      </c>
      <c r="AL1271">
        <v>13</v>
      </c>
      <c r="AM1271" t="str">
        <f>_xlfn.XLOOKUP(Table1[[#This Row],[PerformanceRating]],Table17[PerformanceRating],Table17[Id_PerformanceRating])</f>
        <v>PR003</v>
      </c>
      <c r="AN1271">
        <v>3</v>
      </c>
      <c r="AO1271" t="str">
        <f>_xlfn.XLOOKUP(Table1[[#This Row],[PerformanceRating]],Table17[PerformanceRating],Table17[Deskripsi])</f>
        <v>Excellent</v>
      </c>
      <c r="AP1271" t="str">
        <f>_xlfn.XLOOKUP(Table1[[#This Row],[RelationshipSatisfaction]],Table18[RelationshipSatisfaction],Table18[Id_RelationshipSatisfaction])</f>
        <v>RS002</v>
      </c>
      <c r="AQ1271">
        <v>2</v>
      </c>
      <c r="AR1271" t="str">
        <f>_xlfn.XLOOKUP(Table1[[#This Row],[RelationshipSatisfaction]],Table18[RelationshipSatisfaction],Table18[Deskripsi])</f>
        <v>Medium</v>
      </c>
      <c r="AS1271" t="str">
        <f>_xlfn.XLOOKUP(Table1[[#This Row],[StockOptionLevel]],Table19[StockOptionLevel],Table19[Id_StockOptionLevel])</f>
        <v>SOL001</v>
      </c>
      <c r="AT1271">
        <v>0</v>
      </c>
      <c r="AU1271" t="str">
        <f>_xlfn.XLOOKUP(Table1[[#This Row],[StockOptionLevel]],Table19[StockOptionLevel],Table19[Deskripsi])</f>
        <v>Non-Eligible</v>
      </c>
      <c r="AV1271">
        <v>10</v>
      </c>
      <c r="AW1271">
        <v>5</v>
      </c>
      <c r="AX1271" t="str">
        <f>_xlfn.XLOOKUP(Table1[[#This Row],[WorkLifeBalance]],Table20[WorkLifeBalance],Table20[Id_WorkLifeBalance])</f>
        <v>WLB002</v>
      </c>
      <c r="AY1271">
        <v>3</v>
      </c>
      <c r="AZ1271" t="str">
        <f>_xlfn.XLOOKUP(Table1[[#This Row],[WorkLifeBalance]],Table20[WorkLifeBalance],Table20[Deskripsi])</f>
        <v>Good</v>
      </c>
      <c r="BA1271">
        <v>9</v>
      </c>
      <c r="BB1271">
        <v>7</v>
      </c>
      <c r="BC1271">
        <v>1</v>
      </c>
      <c r="BD1271">
        <v>8</v>
      </c>
    </row>
    <row r="1272" spans="1:56" x14ac:dyDescent="0.25">
      <c r="A1272">
        <v>34</v>
      </c>
      <c r="B1272" t="str">
        <f>_xlfn.XLOOKUP(Table1[[#This Row],[Attrition]],Table2[Attrition],Table2[Id_Attrition])</f>
        <v>A002</v>
      </c>
      <c r="C1272" t="s">
        <v>33</v>
      </c>
      <c r="D1272" t="str">
        <f>_xlfn.XLOOKUP(Table1[[#This Row],[BusinessTravel]],Table5[BusinessTravel],Table5[Id_BusinessTravel])</f>
        <v>BS001</v>
      </c>
      <c r="E1272" t="s">
        <v>34</v>
      </c>
      <c r="F1272">
        <v>511</v>
      </c>
      <c r="G1272" t="str">
        <f>_xlfn.XLOOKUP(Table1[[#This Row],[Department]],Table6[Department],Table6[Id_Departement])</f>
        <v>D001</v>
      </c>
      <c r="H1272" t="s">
        <v>37</v>
      </c>
      <c r="I1272">
        <v>3</v>
      </c>
      <c r="J1272" t="str">
        <f>_xlfn.XLOOKUP(Table1[[#This Row],[Education]],Table8[Education],Table8[Id_Education])</f>
        <v>E002</v>
      </c>
      <c r="K1272">
        <v>2</v>
      </c>
      <c r="L1272" t="str">
        <f>_xlfn.XLOOKUP(Table1[[#This Row],[EducationField]],Table7[EducationField],Table7[Id_EducationField])</f>
        <v>EF001</v>
      </c>
      <c r="M1272" t="s">
        <v>40</v>
      </c>
      <c r="N1272" t="str">
        <f>_xlfn.XLOOKUP(Table1[[#This Row],[EmployeeNumber]],Table4[EmployeeNumber],Table4[Id_Employee])</f>
        <v>EMP01271</v>
      </c>
      <c r="O1272">
        <v>1779</v>
      </c>
      <c r="P1272" t="str">
        <f>_xlfn.XLOOKUP(Table1[[#This Row],[EnvironmentSatisfaction]],Table9[EnvironmentSatisfaction],Table9[Id_EnviromentSatisfaction])</f>
        <v>ES004</v>
      </c>
      <c r="Q1272">
        <v>4</v>
      </c>
      <c r="R1272" t="str">
        <f>_xlfn.XLOOKUP(Table1[[#This Row],[EnvironmentSatisfaction]],Table9[EnvironmentSatisfaction],Table9[Deskripsi])</f>
        <v>Very High</v>
      </c>
      <c r="S1272" t="str">
        <f>_xlfn.XLOOKUP(Table1[[#This Row],[Gender]],Table10[Gender],Table10[Id_Gender])</f>
        <v>G001</v>
      </c>
      <c r="T1272" t="s">
        <v>45</v>
      </c>
      <c r="U1272">
        <v>32</v>
      </c>
      <c r="V1272" t="str">
        <f>_xlfn.XLOOKUP(Table1[[#This Row],[JobInvolvement]],Table11[JobInvolvement],Table11[Id_JobInvolvement])</f>
        <v>JI001</v>
      </c>
      <c r="W1272">
        <v>1</v>
      </c>
      <c r="X1272" t="str">
        <f>_xlfn.XLOOKUP(Table1[[#This Row],[JobLevel]],Table12[JobLevel],Table12[Id_JobLevel])</f>
        <v>JL002</v>
      </c>
      <c r="Y1272">
        <v>2</v>
      </c>
      <c r="Z1272" t="str">
        <f>_xlfn.XLOOKUP(Table1[[#This Row],[JobRole]],Table13[JobRole],Table13[Id_JobRole])</f>
        <v>JR001</v>
      </c>
      <c r="AA1272" t="s">
        <v>47</v>
      </c>
      <c r="AB1272" t="str">
        <f>_xlfn.XLOOKUP(Table1[[#This Row],[JobSatisfaction]],Table14[JobSatisfaction],Table14[Id_JobSatisfaction])</f>
        <v>JS004</v>
      </c>
      <c r="AC1272">
        <v>4</v>
      </c>
      <c r="AD1272" t="str">
        <f>_xlfn.XLOOKUP(Table1[[#This Row],[JobSatisfaction]],Table14[JobSatisfaction],Table14[Deskripsi])</f>
        <v>Very High</v>
      </c>
      <c r="AE1272" t="str">
        <f>_xlfn.XLOOKUP(Table1[[#This Row],[MaritalStatus]],Table15[MaritalStatus],Table15[Id_MaritalStatus])</f>
        <v>MS001</v>
      </c>
      <c r="AF1272" t="s">
        <v>55</v>
      </c>
      <c r="AG1272">
        <v>6029</v>
      </c>
      <c r="AH1272">
        <v>25353</v>
      </c>
      <c r="AI1272">
        <v>5</v>
      </c>
      <c r="AJ1272" t="str">
        <f>_xlfn.XLOOKUP(Table1[[#This Row],[OverTime]],Table16[OverTime],Table16[Id_OverTime])</f>
        <v>OT002</v>
      </c>
      <c r="AK1272" t="s">
        <v>33</v>
      </c>
      <c r="AL1272">
        <v>12</v>
      </c>
      <c r="AM1272" t="str">
        <f>_xlfn.XLOOKUP(Table1[[#This Row],[PerformanceRating]],Table17[PerformanceRating],Table17[Id_PerformanceRating])</f>
        <v>PR003</v>
      </c>
      <c r="AN1272">
        <v>3</v>
      </c>
      <c r="AO1272" t="str">
        <f>_xlfn.XLOOKUP(Table1[[#This Row],[PerformanceRating]],Table17[PerformanceRating],Table17[Deskripsi])</f>
        <v>Excellent</v>
      </c>
      <c r="AP1272" t="str">
        <f>_xlfn.XLOOKUP(Table1[[#This Row],[RelationshipSatisfaction]],Table18[RelationshipSatisfaction],Table18[Id_RelationshipSatisfaction])</f>
        <v>RS001</v>
      </c>
      <c r="AQ1272">
        <v>1</v>
      </c>
      <c r="AR1272" t="str">
        <f>_xlfn.XLOOKUP(Table1[[#This Row],[RelationshipSatisfaction]],Table18[RelationshipSatisfaction],Table18[Deskripsi])</f>
        <v>Low</v>
      </c>
      <c r="AS1272" t="str">
        <f>_xlfn.XLOOKUP(Table1[[#This Row],[StockOptionLevel]],Table19[StockOptionLevel],Table19[Id_StockOptionLevel])</f>
        <v>SOL001</v>
      </c>
      <c r="AT1272">
        <v>0</v>
      </c>
      <c r="AU1272" t="str">
        <f>_xlfn.XLOOKUP(Table1[[#This Row],[StockOptionLevel]],Table19[StockOptionLevel],Table19[Deskripsi])</f>
        <v>Non-Eligible</v>
      </c>
      <c r="AV1272">
        <v>6</v>
      </c>
      <c r="AW1272">
        <v>3</v>
      </c>
      <c r="AX1272" t="str">
        <f>_xlfn.XLOOKUP(Table1[[#This Row],[WorkLifeBalance]],Table20[WorkLifeBalance],Table20[Id_WorkLifeBalance])</f>
        <v>WLB002</v>
      </c>
      <c r="AY1272">
        <v>3</v>
      </c>
      <c r="AZ1272" t="str">
        <f>_xlfn.XLOOKUP(Table1[[#This Row],[WorkLifeBalance]],Table20[WorkLifeBalance],Table20[Deskripsi])</f>
        <v>Good</v>
      </c>
      <c r="BA1272">
        <v>2</v>
      </c>
      <c r="BB1272">
        <v>2</v>
      </c>
      <c r="BC1272">
        <v>2</v>
      </c>
      <c r="BD1272">
        <v>2</v>
      </c>
    </row>
    <row r="1273" spans="1:56" x14ac:dyDescent="0.25">
      <c r="A1273">
        <v>21</v>
      </c>
      <c r="B1273" t="str">
        <f>_xlfn.XLOOKUP(Table1[[#This Row],[Attrition]],Table2[Attrition],Table2[Id_Attrition])</f>
        <v>A001</v>
      </c>
      <c r="C1273" t="s">
        <v>32</v>
      </c>
      <c r="D1273" t="str">
        <f>_xlfn.XLOOKUP(Table1[[#This Row],[BusinessTravel]],Table5[BusinessTravel],Table5[Id_BusinessTravel])</f>
        <v>BS001</v>
      </c>
      <c r="E1273" t="s">
        <v>34</v>
      </c>
      <c r="F1273">
        <v>337</v>
      </c>
      <c r="G1273" t="str">
        <f>_xlfn.XLOOKUP(Table1[[#This Row],[Department]],Table6[Department],Table6[Id_Departement])</f>
        <v>D001</v>
      </c>
      <c r="H1273" t="s">
        <v>37</v>
      </c>
      <c r="I1273">
        <v>7</v>
      </c>
      <c r="J1273" t="str">
        <f>_xlfn.XLOOKUP(Table1[[#This Row],[Education]],Table8[Education],Table8[Id_Education])</f>
        <v>E001</v>
      </c>
      <c r="K1273">
        <v>1</v>
      </c>
      <c r="L1273" t="str">
        <f>_xlfn.XLOOKUP(Table1[[#This Row],[EducationField]],Table7[EducationField],Table7[Id_EducationField])</f>
        <v>EF004</v>
      </c>
      <c r="M1273" t="s">
        <v>43</v>
      </c>
      <c r="N1273" t="str">
        <f>_xlfn.XLOOKUP(Table1[[#This Row],[EmployeeNumber]],Table4[EmployeeNumber],Table4[Id_Employee])</f>
        <v>EMP01272</v>
      </c>
      <c r="O1273">
        <v>1780</v>
      </c>
      <c r="P1273" t="str">
        <f>_xlfn.XLOOKUP(Table1[[#This Row],[EnvironmentSatisfaction]],Table9[EnvironmentSatisfaction],Table9[Id_EnviromentSatisfaction])</f>
        <v>ES002</v>
      </c>
      <c r="Q1273">
        <v>2</v>
      </c>
      <c r="R1273" t="str">
        <f>_xlfn.XLOOKUP(Table1[[#This Row],[EnvironmentSatisfaction]],Table9[EnvironmentSatisfaction],Table9[Deskripsi])</f>
        <v>Medium</v>
      </c>
      <c r="S1273" t="str">
        <f>_xlfn.XLOOKUP(Table1[[#This Row],[Gender]],Table10[Gender],Table10[Id_Gender])</f>
        <v>G002</v>
      </c>
      <c r="T1273" t="s">
        <v>46</v>
      </c>
      <c r="U1273">
        <v>31</v>
      </c>
      <c r="V1273" t="str">
        <f>_xlfn.XLOOKUP(Table1[[#This Row],[JobInvolvement]],Table11[JobInvolvement],Table11[Id_JobInvolvement])</f>
        <v>JI003</v>
      </c>
      <c r="W1273">
        <v>3</v>
      </c>
      <c r="X1273" t="str">
        <f>_xlfn.XLOOKUP(Table1[[#This Row],[JobLevel]],Table12[JobLevel],Table12[Id_JobLevel])</f>
        <v>JL001</v>
      </c>
      <c r="Y1273">
        <v>1</v>
      </c>
      <c r="Z1273" t="str">
        <f>_xlfn.XLOOKUP(Table1[[#This Row],[JobRole]],Table13[JobRole],Table13[Id_JobRole])</f>
        <v>JR007</v>
      </c>
      <c r="AA1273" t="s">
        <v>53</v>
      </c>
      <c r="AB1273" t="str">
        <f>_xlfn.XLOOKUP(Table1[[#This Row],[JobSatisfaction]],Table14[JobSatisfaction],Table14[Id_JobSatisfaction])</f>
        <v>JS002</v>
      </c>
      <c r="AC1273">
        <v>2</v>
      </c>
      <c r="AD1273" t="str">
        <f>_xlfn.XLOOKUP(Table1[[#This Row],[JobSatisfaction]],Table14[JobSatisfaction],Table14[Deskripsi])</f>
        <v>Medium</v>
      </c>
      <c r="AE1273" t="str">
        <f>_xlfn.XLOOKUP(Table1[[#This Row],[MaritalStatus]],Table15[MaritalStatus],Table15[Id_MaritalStatus])</f>
        <v>MS001</v>
      </c>
      <c r="AF1273" t="s">
        <v>55</v>
      </c>
      <c r="AG1273">
        <v>2679</v>
      </c>
      <c r="AH1273">
        <v>4567</v>
      </c>
      <c r="AI1273">
        <v>1</v>
      </c>
      <c r="AJ1273" t="str">
        <f>_xlfn.XLOOKUP(Table1[[#This Row],[OverTime]],Table16[OverTime],Table16[Id_OverTime])</f>
        <v>OT002</v>
      </c>
      <c r="AK1273" t="s">
        <v>33</v>
      </c>
      <c r="AL1273">
        <v>13</v>
      </c>
      <c r="AM1273" t="str">
        <f>_xlfn.XLOOKUP(Table1[[#This Row],[PerformanceRating]],Table17[PerformanceRating],Table17[Id_PerformanceRating])</f>
        <v>PR003</v>
      </c>
      <c r="AN1273">
        <v>3</v>
      </c>
      <c r="AO1273" t="str">
        <f>_xlfn.XLOOKUP(Table1[[#This Row],[PerformanceRating]],Table17[PerformanceRating],Table17[Deskripsi])</f>
        <v>Excellent</v>
      </c>
      <c r="AP1273" t="str">
        <f>_xlfn.XLOOKUP(Table1[[#This Row],[RelationshipSatisfaction]],Table18[RelationshipSatisfaction],Table18[Id_RelationshipSatisfaction])</f>
        <v>RS002</v>
      </c>
      <c r="AQ1273">
        <v>2</v>
      </c>
      <c r="AR1273" t="str">
        <f>_xlfn.XLOOKUP(Table1[[#This Row],[RelationshipSatisfaction]],Table18[RelationshipSatisfaction],Table18[Deskripsi])</f>
        <v>Medium</v>
      </c>
      <c r="AS1273" t="str">
        <f>_xlfn.XLOOKUP(Table1[[#This Row],[StockOptionLevel]],Table19[StockOptionLevel],Table19[Id_StockOptionLevel])</f>
        <v>SOL001</v>
      </c>
      <c r="AT1273">
        <v>0</v>
      </c>
      <c r="AU1273" t="str">
        <f>_xlfn.XLOOKUP(Table1[[#This Row],[StockOptionLevel]],Table19[StockOptionLevel],Table19[Deskripsi])</f>
        <v>Non-Eligible</v>
      </c>
      <c r="AV1273">
        <v>1</v>
      </c>
      <c r="AW1273">
        <v>3</v>
      </c>
      <c r="AX1273" t="str">
        <f>_xlfn.XLOOKUP(Table1[[#This Row],[WorkLifeBalance]],Table20[WorkLifeBalance],Table20[Id_WorkLifeBalance])</f>
        <v>WLB002</v>
      </c>
      <c r="AY1273">
        <v>3</v>
      </c>
      <c r="AZ1273" t="str">
        <f>_xlfn.XLOOKUP(Table1[[#This Row],[WorkLifeBalance]],Table20[WorkLifeBalance],Table20[Deskripsi])</f>
        <v>Good</v>
      </c>
      <c r="BA1273">
        <v>1</v>
      </c>
      <c r="BB1273">
        <v>0</v>
      </c>
      <c r="BC1273">
        <v>1</v>
      </c>
      <c r="BD1273">
        <v>0</v>
      </c>
    </row>
    <row r="1274" spans="1:56" x14ac:dyDescent="0.25">
      <c r="A1274">
        <v>38</v>
      </c>
      <c r="B1274" t="str">
        <f>_xlfn.XLOOKUP(Table1[[#This Row],[Attrition]],Table2[Attrition],Table2[Id_Attrition])</f>
        <v>A002</v>
      </c>
      <c r="C1274" t="s">
        <v>33</v>
      </c>
      <c r="D1274" t="str">
        <f>_xlfn.XLOOKUP(Table1[[#This Row],[BusinessTravel]],Table5[BusinessTravel],Table5[Id_BusinessTravel])</f>
        <v>BS001</v>
      </c>
      <c r="E1274" t="s">
        <v>34</v>
      </c>
      <c r="F1274">
        <v>1153</v>
      </c>
      <c r="G1274" t="str">
        <f>_xlfn.XLOOKUP(Table1[[#This Row],[Department]],Table6[Department],Table6[Id_Departement])</f>
        <v>D002</v>
      </c>
      <c r="H1274" t="s">
        <v>38</v>
      </c>
      <c r="I1274">
        <v>6</v>
      </c>
      <c r="J1274" t="str">
        <f>_xlfn.XLOOKUP(Table1[[#This Row],[Education]],Table8[Education],Table8[Id_Education])</f>
        <v>E002</v>
      </c>
      <c r="K1274">
        <v>2</v>
      </c>
      <c r="L1274" t="str">
        <f>_xlfn.XLOOKUP(Table1[[#This Row],[EducationField]],Table7[EducationField],Table7[Id_EducationField])</f>
        <v>EF002</v>
      </c>
      <c r="M1274" t="s">
        <v>41</v>
      </c>
      <c r="N1274" t="str">
        <f>_xlfn.XLOOKUP(Table1[[#This Row],[EmployeeNumber]],Table4[EmployeeNumber],Table4[Id_Employee])</f>
        <v>EMP01273</v>
      </c>
      <c r="O1274">
        <v>1782</v>
      </c>
      <c r="P1274" t="str">
        <f>_xlfn.XLOOKUP(Table1[[#This Row],[EnvironmentSatisfaction]],Table9[EnvironmentSatisfaction],Table9[Id_EnviromentSatisfaction])</f>
        <v>ES004</v>
      </c>
      <c r="Q1274">
        <v>4</v>
      </c>
      <c r="R1274" t="str">
        <f>_xlfn.XLOOKUP(Table1[[#This Row],[EnvironmentSatisfaction]],Table9[EnvironmentSatisfaction],Table9[Deskripsi])</f>
        <v>Very High</v>
      </c>
      <c r="S1274" t="str">
        <f>_xlfn.XLOOKUP(Table1[[#This Row],[Gender]],Table10[Gender],Table10[Id_Gender])</f>
        <v>G001</v>
      </c>
      <c r="T1274" t="s">
        <v>45</v>
      </c>
      <c r="U1274">
        <v>40</v>
      </c>
      <c r="V1274" t="str">
        <f>_xlfn.XLOOKUP(Table1[[#This Row],[JobInvolvement]],Table11[JobInvolvement],Table11[Id_JobInvolvement])</f>
        <v>JI002</v>
      </c>
      <c r="W1274">
        <v>2</v>
      </c>
      <c r="X1274" t="str">
        <f>_xlfn.XLOOKUP(Table1[[#This Row],[JobLevel]],Table12[JobLevel],Table12[Id_JobLevel])</f>
        <v>JL001</v>
      </c>
      <c r="Y1274">
        <v>1</v>
      </c>
      <c r="Z1274" t="str">
        <f>_xlfn.XLOOKUP(Table1[[#This Row],[JobRole]],Table13[JobRole],Table13[Id_JobRole])</f>
        <v>JR003</v>
      </c>
      <c r="AA1274" t="s">
        <v>49</v>
      </c>
      <c r="AB1274" t="str">
        <f>_xlfn.XLOOKUP(Table1[[#This Row],[JobSatisfaction]],Table14[JobSatisfaction],Table14[Id_JobSatisfaction])</f>
        <v>JS003</v>
      </c>
      <c r="AC1274">
        <v>3</v>
      </c>
      <c r="AD1274" t="str">
        <f>_xlfn.XLOOKUP(Table1[[#This Row],[JobSatisfaction]],Table14[JobSatisfaction],Table14[Deskripsi])</f>
        <v>High</v>
      </c>
      <c r="AE1274" t="str">
        <f>_xlfn.XLOOKUP(Table1[[#This Row],[MaritalStatus]],Table15[MaritalStatus],Table15[Id_MaritalStatus])</f>
        <v>MS002</v>
      </c>
      <c r="AF1274" t="s">
        <v>56</v>
      </c>
      <c r="AG1274">
        <v>3702</v>
      </c>
      <c r="AH1274">
        <v>16376</v>
      </c>
      <c r="AI1274">
        <v>1</v>
      </c>
      <c r="AJ1274" t="str">
        <f>_xlfn.XLOOKUP(Table1[[#This Row],[OverTime]],Table16[OverTime],Table16[Id_OverTime])</f>
        <v>OT002</v>
      </c>
      <c r="AK1274" t="s">
        <v>33</v>
      </c>
      <c r="AL1274">
        <v>11</v>
      </c>
      <c r="AM1274" t="str">
        <f>_xlfn.XLOOKUP(Table1[[#This Row],[PerformanceRating]],Table17[PerformanceRating],Table17[Id_PerformanceRating])</f>
        <v>PR003</v>
      </c>
      <c r="AN1274">
        <v>3</v>
      </c>
      <c r="AO1274" t="str">
        <f>_xlfn.XLOOKUP(Table1[[#This Row],[PerformanceRating]],Table17[PerformanceRating],Table17[Deskripsi])</f>
        <v>Excellent</v>
      </c>
      <c r="AP1274" t="str">
        <f>_xlfn.XLOOKUP(Table1[[#This Row],[RelationshipSatisfaction]],Table18[RelationshipSatisfaction],Table18[Id_RelationshipSatisfaction])</f>
        <v>RS002</v>
      </c>
      <c r="AQ1274">
        <v>2</v>
      </c>
      <c r="AR1274" t="str">
        <f>_xlfn.XLOOKUP(Table1[[#This Row],[RelationshipSatisfaction]],Table18[RelationshipSatisfaction],Table18[Deskripsi])</f>
        <v>Medium</v>
      </c>
      <c r="AS1274" t="str">
        <f>_xlfn.XLOOKUP(Table1[[#This Row],[StockOptionLevel]],Table19[StockOptionLevel],Table19[Id_StockOptionLevel])</f>
        <v>SOL002</v>
      </c>
      <c r="AT1274">
        <v>1</v>
      </c>
      <c r="AU1274" t="str">
        <f>_xlfn.XLOOKUP(Table1[[#This Row],[StockOptionLevel]],Table19[StockOptionLevel],Table19[Deskripsi])</f>
        <v>Standard</v>
      </c>
      <c r="AV1274">
        <v>5</v>
      </c>
      <c r="AW1274">
        <v>3</v>
      </c>
      <c r="AX1274" t="str">
        <f>_xlfn.XLOOKUP(Table1[[#This Row],[WorkLifeBalance]],Table20[WorkLifeBalance],Table20[Id_WorkLifeBalance])</f>
        <v>WLB002</v>
      </c>
      <c r="AY1274">
        <v>3</v>
      </c>
      <c r="AZ1274" t="str">
        <f>_xlfn.XLOOKUP(Table1[[#This Row],[WorkLifeBalance]],Table20[WorkLifeBalance],Table20[Deskripsi])</f>
        <v>Good</v>
      </c>
      <c r="BA1274">
        <v>5</v>
      </c>
      <c r="BB1274">
        <v>4</v>
      </c>
      <c r="BC1274">
        <v>0</v>
      </c>
      <c r="BD1274">
        <v>4</v>
      </c>
    </row>
    <row r="1275" spans="1:56" x14ac:dyDescent="0.25">
      <c r="A1275">
        <v>22</v>
      </c>
      <c r="B1275" t="str">
        <f>_xlfn.XLOOKUP(Table1[[#This Row],[Attrition]],Table2[Attrition],Table2[Id_Attrition])</f>
        <v>A001</v>
      </c>
      <c r="C1275" t="s">
        <v>32</v>
      </c>
      <c r="D1275" t="str">
        <f>_xlfn.XLOOKUP(Table1[[#This Row],[BusinessTravel]],Table5[BusinessTravel],Table5[Id_BusinessTravel])</f>
        <v>BS001</v>
      </c>
      <c r="E1275" t="s">
        <v>34</v>
      </c>
      <c r="F1275">
        <v>1294</v>
      </c>
      <c r="G1275" t="str">
        <f>_xlfn.XLOOKUP(Table1[[#This Row],[Department]],Table6[Department],Table6[Id_Departement])</f>
        <v>D002</v>
      </c>
      <c r="H1275" t="s">
        <v>38</v>
      </c>
      <c r="I1275">
        <v>8</v>
      </c>
      <c r="J1275" t="str">
        <f>_xlfn.XLOOKUP(Table1[[#This Row],[Education]],Table8[Education],Table8[Id_Education])</f>
        <v>E001</v>
      </c>
      <c r="K1275">
        <v>1</v>
      </c>
      <c r="L1275" t="str">
        <f>_xlfn.XLOOKUP(Table1[[#This Row],[EducationField]],Table7[EducationField],Table7[Id_EducationField])</f>
        <v>EF003</v>
      </c>
      <c r="M1275" t="s">
        <v>42</v>
      </c>
      <c r="N1275" t="str">
        <f>_xlfn.XLOOKUP(Table1[[#This Row],[EmployeeNumber]],Table4[EmployeeNumber],Table4[Id_Employee])</f>
        <v>EMP01274</v>
      </c>
      <c r="O1275">
        <v>1783</v>
      </c>
      <c r="P1275" t="str">
        <f>_xlfn.XLOOKUP(Table1[[#This Row],[EnvironmentSatisfaction]],Table9[EnvironmentSatisfaction],Table9[Id_EnviromentSatisfaction])</f>
        <v>ES003</v>
      </c>
      <c r="Q1275">
        <v>3</v>
      </c>
      <c r="R1275" t="str">
        <f>_xlfn.XLOOKUP(Table1[[#This Row],[EnvironmentSatisfaction]],Table9[EnvironmentSatisfaction],Table9[Deskripsi])</f>
        <v>High</v>
      </c>
      <c r="S1275" t="str">
        <f>_xlfn.XLOOKUP(Table1[[#This Row],[Gender]],Table10[Gender],Table10[Id_Gender])</f>
        <v>G001</v>
      </c>
      <c r="T1275" t="s">
        <v>45</v>
      </c>
      <c r="U1275">
        <v>79</v>
      </c>
      <c r="V1275" t="str">
        <f>_xlfn.XLOOKUP(Table1[[#This Row],[JobInvolvement]],Table11[JobInvolvement],Table11[Id_JobInvolvement])</f>
        <v>JI003</v>
      </c>
      <c r="W1275">
        <v>3</v>
      </c>
      <c r="X1275" t="str">
        <f>_xlfn.XLOOKUP(Table1[[#This Row],[JobLevel]],Table12[JobLevel],Table12[Id_JobLevel])</f>
        <v>JL001</v>
      </c>
      <c r="Y1275">
        <v>1</v>
      </c>
      <c r="Z1275" t="str">
        <f>_xlfn.XLOOKUP(Table1[[#This Row],[JobRole]],Table13[JobRole],Table13[Id_JobRole])</f>
        <v>JR003</v>
      </c>
      <c r="AA1275" t="s">
        <v>49</v>
      </c>
      <c r="AB1275" t="str">
        <f>_xlfn.XLOOKUP(Table1[[#This Row],[JobSatisfaction]],Table14[JobSatisfaction],Table14[Id_JobSatisfaction])</f>
        <v>JS001</v>
      </c>
      <c r="AC1275">
        <v>1</v>
      </c>
      <c r="AD1275" t="str">
        <f>_xlfn.XLOOKUP(Table1[[#This Row],[JobSatisfaction]],Table14[JobSatisfaction],Table14[Deskripsi])</f>
        <v>Low</v>
      </c>
      <c r="AE1275" t="str">
        <f>_xlfn.XLOOKUP(Table1[[#This Row],[MaritalStatus]],Table15[MaritalStatus],Table15[Id_MaritalStatus])</f>
        <v>MS002</v>
      </c>
      <c r="AF1275" t="s">
        <v>56</v>
      </c>
      <c r="AG1275">
        <v>2398</v>
      </c>
      <c r="AH1275">
        <v>15999</v>
      </c>
      <c r="AI1275">
        <v>1</v>
      </c>
      <c r="AJ1275" t="str">
        <f>_xlfn.XLOOKUP(Table1[[#This Row],[OverTime]],Table16[OverTime],Table16[Id_OverTime])</f>
        <v>OT001</v>
      </c>
      <c r="AK1275" t="s">
        <v>32</v>
      </c>
      <c r="AL1275">
        <v>17</v>
      </c>
      <c r="AM1275" t="str">
        <f>_xlfn.XLOOKUP(Table1[[#This Row],[PerformanceRating]],Table17[PerformanceRating],Table17[Id_PerformanceRating])</f>
        <v>PR003</v>
      </c>
      <c r="AN1275">
        <v>3</v>
      </c>
      <c r="AO1275" t="str">
        <f>_xlfn.XLOOKUP(Table1[[#This Row],[PerformanceRating]],Table17[PerformanceRating],Table17[Deskripsi])</f>
        <v>Excellent</v>
      </c>
      <c r="AP1275" t="str">
        <f>_xlfn.XLOOKUP(Table1[[#This Row],[RelationshipSatisfaction]],Table18[RelationshipSatisfaction],Table18[Id_RelationshipSatisfaction])</f>
        <v>RS003</v>
      </c>
      <c r="AQ1275">
        <v>3</v>
      </c>
      <c r="AR1275" t="str">
        <f>_xlfn.XLOOKUP(Table1[[#This Row],[RelationshipSatisfaction]],Table18[RelationshipSatisfaction],Table18[Deskripsi])</f>
        <v>High</v>
      </c>
      <c r="AS1275" t="str">
        <f>_xlfn.XLOOKUP(Table1[[#This Row],[StockOptionLevel]],Table19[StockOptionLevel],Table19[Id_StockOptionLevel])</f>
        <v>SOL001</v>
      </c>
      <c r="AT1275">
        <v>0</v>
      </c>
      <c r="AU1275" t="str">
        <f>_xlfn.XLOOKUP(Table1[[#This Row],[StockOptionLevel]],Table19[StockOptionLevel],Table19[Deskripsi])</f>
        <v>Non-Eligible</v>
      </c>
      <c r="AV1275">
        <v>1</v>
      </c>
      <c r="AW1275">
        <v>6</v>
      </c>
      <c r="AX1275" t="str">
        <f>_xlfn.XLOOKUP(Table1[[#This Row],[WorkLifeBalance]],Table20[WorkLifeBalance],Table20[Id_WorkLifeBalance])</f>
        <v>WLB002</v>
      </c>
      <c r="AY1275">
        <v>3</v>
      </c>
      <c r="AZ1275" t="str">
        <f>_xlfn.XLOOKUP(Table1[[#This Row],[WorkLifeBalance]],Table20[WorkLifeBalance],Table20[Deskripsi])</f>
        <v>Good</v>
      </c>
      <c r="BA1275">
        <v>1</v>
      </c>
      <c r="BB1275">
        <v>0</v>
      </c>
      <c r="BC1275">
        <v>0</v>
      </c>
      <c r="BD1275">
        <v>0</v>
      </c>
    </row>
    <row r="1276" spans="1:56" x14ac:dyDescent="0.25">
      <c r="A1276">
        <v>31</v>
      </c>
      <c r="B1276" t="str">
        <f>_xlfn.XLOOKUP(Table1[[#This Row],[Attrition]],Table2[Attrition],Table2[Id_Attrition])</f>
        <v>A002</v>
      </c>
      <c r="C1276" t="s">
        <v>33</v>
      </c>
      <c r="D1276" t="str">
        <f>_xlfn.XLOOKUP(Table1[[#This Row],[BusinessTravel]],Table5[BusinessTravel],Table5[Id_BusinessTravel])</f>
        <v>BS001</v>
      </c>
      <c r="E1276" t="s">
        <v>34</v>
      </c>
      <c r="F1276">
        <v>196</v>
      </c>
      <c r="G1276" t="str">
        <f>_xlfn.XLOOKUP(Table1[[#This Row],[Department]],Table6[Department],Table6[Id_Departement])</f>
        <v>D001</v>
      </c>
      <c r="H1276" t="s">
        <v>37</v>
      </c>
      <c r="I1276">
        <v>29</v>
      </c>
      <c r="J1276" t="str">
        <f>_xlfn.XLOOKUP(Table1[[#This Row],[Education]],Table8[Education],Table8[Id_Education])</f>
        <v>E004</v>
      </c>
      <c r="K1276">
        <v>4</v>
      </c>
      <c r="L1276" t="str">
        <f>_xlfn.XLOOKUP(Table1[[#This Row],[EducationField]],Table7[EducationField],Table7[Id_EducationField])</f>
        <v>EF004</v>
      </c>
      <c r="M1276" t="s">
        <v>43</v>
      </c>
      <c r="N1276" t="str">
        <f>_xlfn.XLOOKUP(Table1[[#This Row],[EmployeeNumber]],Table4[EmployeeNumber],Table4[Id_Employee])</f>
        <v>EMP01275</v>
      </c>
      <c r="O1276">
        <v>1784</v>
      </c>
      <c r="P1276" t="str">
        <f>_xlfn.XLOOKUP(Table1[[#This Row],[EnvironmentSatisfaction]],Table9[EnvironmentSatisfaction],Table9[Id_EnviromentSatisfaction])</f>
        <v>ES001</v>
      </c>
      <c r="Q1276">
        <v>1</v>
      </c>
      <c r="R1276" t="str">
        <f>_xlfn.XLOOKUP(Table1[[#This Row],[EnvironmentSatisfaction]],Table9[EnvironmentSatisfaction],Table9[Deskripsi])</f>
        <v>Low</v>
      </c>
      <c r="S1276" t="str">
        <f>_xlfn.XLOOKUP(Table1[[#This Row],[Gender]],Table10[Gender],Table10[Id_Gender])</f>
        <v>G001</v>
      </c>
      <c r="T1276" t="s">
        <v>45</v>
      </c>
      <c r="U1276">
        <v>91</v>
      </c>
      <c r="V1276" t="str">
        <f>_xlfn.XLOOKUP(Table1[[#This Row],[JobInvolvement]],Table11[JobInvolvement],Table11[Id_JobInvolvement])</f>
        <v>JI002</v>
      </c>
      <c r="W1276">
        <v>2</v>
      </c>
      <c r="X1276" t="str">
        <f>_xlfn.XLOOKUP(Table1[[#This Row],[JobLevel]],Table12[JobLevel],Table12[Id_JobLevel])</f>
        <v>JL002</v>
      </c>
      <c r="Y1276">
        <v>2</v>
      </c>
      <c r="Z1276" t="str">
        <f>_xlfn.XLOOKUP(Table1[[#This Row],[JobRole]],Table13[JobRole],Table13[Id_JobRole])</f>
        <v>JR001</v>
      </c>
      <c r="AA1276" t="s">
        <v>47</v>
      </c>
      <c r="AB1276" t="str">
        <f>_xlfn.XLOOKUP(Table1[[#This Row],[JobSatisfaction]],Table14[JobSatisfaction],Table14[Id_JobSatisfaction])</f>
        <v>JS004</v>
      </c>
      <c r="AC1276">
        <v>4</v>
      </c>
      <c r="AD1276" t="str">
        <f>_xlfn.XLOOKUP(Table1[[#This Row],[JobSatisfaction]],Table14[JobSatisfaction],Table14[Deskripsi])</f>
        <v>Very High</v>
      </c>
      <c r="AE1276" t="str">
        <f>_xlfn.XLOOKUP(Table1[[#This Row],[MaritalStatus]],Table15[MaritalStatus],Table15[Id_MaritalStatus])</f>
        <v>MS002</v>
      </c>
      <c r="AF1276" t="s">
        <v>56</v>
      </c>
      <c r="AG1276">
        <v>5468</v>
      </c>
      <c r="AH1276">
        <v>13402</v>
      </c>
      <c r="AI1276">
        <v>1</v>
      </c>
      <c r="AJ1276" t="str">
        <f>_xlfn.XLOOKUP(Table1[[#This Row],[OverTime]],Table16[OverTime],Table16[Id_OverTime])</f>
        <v>OT002</v>
      </c>
      <c r="AK1276" t="s">
        <v>33</v>
      </c>
      <c r="AL1276">
        <v>14</v>
      </c>
      <c r="AM1276" t="str">
        <f>_xlfn.XLOOKUP(Table1[[#This Row],[PerformanceRating]],Table17[PerformanceRating],Table17[Id_PerformanceRating])</f>
        <v>PR003</v>
      </c>
      <c r="AN1276">
        <v>3</v>
      </c>
      <c r="AO1276" t="str">
        <f>_xlfn.XLOOKUP(Table1[[#This Row],[PerformanceRating]],Table17[PerformanceRating],Table17[Deskripsi])</f>
        <v>Excellent</v>
      </c>
      <c r="AP1276" t="str">
        <f>_xlfn.XLOOKUP(Table1[[#This Row],[RelationshipSatisfaction]],Table18[RelationshipSatisfaction],Table18[Id_RelationshipSatisfaction])</f>
        <v>RS001</v>
      </c>
      <c r="AQ1276">
        <v>1</v>
      </c>
      <c r="AR1276" t="str">
        <f>_xlfn.XLOOKUP(Table1[[#This Row],[RelationshipSatisfaction]],Table18[RelationshipSatisfaction],Table18[Deskripsi])</f>
        <v>Low</v>
      </c>
      <c r="AS1276" t="str">
        <f>_xlfn.XLOOKUP(Table1[[#This Row],[StockOptionLevel]],Table19[StockOptionLevel],Table19[Id_StockOptionLevel])</f>
        <v>SOL003</v>
      </c>
      <c r="AT1276">
        <v>2</v>
      </c>
      <c r="AU1276" t="str">
        <f>_xlfn.XLOOKUP(Table1[[#This Row],[StockOptionLevel]],Table19[StockOptionLevel],Table19[Deskripsi])</f>
        <v>Intermediate</v>
      </c>
      <c r="AV1276">
        <v>13</v>
      </c>
      <c r="AW1276">
        <v>3</v>
      </c>
      <c r="AX1276" t="str">
        <f>_xlfn.XLOOKUP(Table1[[#This Row],[WorkLifeBalance]],Table20[WorkLifeBalance],Table20[Id_WorkLifeBalance])</f>
        <v>WLB002</v>
      </c>
      <c r="AY1276">
        <v>3</v>
      </c>
      <c r="AZ1276" t="str">
        <f>_xlfn.XLOOKUP(Table1[[#This Row],[WorkLifeBalance]],Table20[WorkLifeBalance],Table20[Deskripsi])</f>
        <v>Good</v>
      </c>
      <c r="BA1276">
        <v>12</v>
      </c>
      <c r="BB1276">
        <v>7</v>
      </c>
      <c r="BC1276">
        <v>5</v>
      </c>
      <c r="BD1276">
        <v>7</v>
      </c>
    </row>
    <row r="1277" spans="1:56" x14ac:dyDescent="0.25">
      <c r="A1277">
        <v>51</v>
      </c>
      <c r="B1277" t="str">
        <f>_xlfn.XLOOKUP(Table1[[#This Row],[Attrition]],Table2[Attrition],Table2[Id_Attrition])</f>
        <v>A002</v>
      </c>
      <c r="C1277" t="s">
        <v>33</v>
      </c>
      <c r="D1277" t="str">
        <f>_xlfn.XLOOKUP(Table1[[#This Row],[BusinessTravel]],Table5[BusinessTravel],Table5[Id_BusinessTravel])</f>
        <v>BS001</v>
      </c>
      <c r="E1277" t="s">
        <v>34</v>
      </c>
      <c r="F1277">
        <v>942</v>
      </c>
      <c r="G1277" t="str">
        <f>_xlfn.XLOOKUP(Table1[[#This Row],[Department]],Table6[Department],Table6[Id_Departement])</f>
        <v>D002</v>
      </c>
      <c r="H1277" t="s">
        <v>38</v>
      </c>
      <c r="I1277">
        <v>3</v>
      </c>
      <c r="J1277" t="str">
        <f>_xlfn.XLOOKUP(Table1[[#This Row],[Education]],Table8[Education],Table8[Id_Education])</f>
        <v>E003</v>
      </c>
      <c r="K1277">
        <v>3</v>
      </c>
      <c r="L1277" t="str">
        <f>_xlfn.XLOOKUP(Table1[[#This Row],[EducationField]],Table7[EducationField],Table7[Id_EducationField])</f>
        <v>EF005</v>
      </c>
      <c r="M1277" t="s">
        <v>44</v>
      </c>
      <c r="N1277" t="str">
        <f>_xlfn.XLOOKUP(Table1[[#This Row],[EmployeeNumber]],Table4[EmployeeNumber],Table4[Id_Employee])</f>
        <v>EMP01276</v>
      </c>
      <c r="O1277">
        <v>1786</v>
      </c>
      <c r="P1277" t="str">
        <f>_xlfn.XLOOKUP(Table1[[#This Row],[EnvironmentSatisfaction]],Table9[EnvironmentSatisfaction],Table9[Id_EnviromentSatisfaction])</f>
        <v>ES001</v>
      </c>
      <c r="Q1277">
        <v>1</v>
      </c>
      <c r="R1277" t="str">
        <f>_xlfn.XLOOKUP(Table1[[#This Row],[EnvironmentSatisfaction]],Table9[EnvironmentSatisfaction],Table9[Deskripsi])</f>
        <v>Low</v>
      </c>
      <c r="S1277" t="str">
        <f>_xlfn.XLOOKUP(Table1[[#This Row],[Gender]],Table10[Gender],Table10[Id_Gender])</f>
        <v>G001</v>
      </c>
      <c r="T1277" t="s">
        <v>45</v>
      </c>
      <c r="U1277">
        <v>53</v>
      </c>
      <c r="V1277" t="str">
        <f>_xlfn.XLOOKUP(Table1[[#This Row],[JobInvolvement]],Table11[JobInvolvement],Table11[Id_JobInvolvement])</f>
        <v>JI003</v>
      </c>
      <c r="W1277">
        <v>3</v>
      </c>
      <c r="X1277" t="str">
        <f>_xlfn.XLOOKUP(Table1[[#This Row],[JobLevel]],Table12[JobLevel],Table12[Id_JobLevel])</f>
        <v>JL003</v>
      </c>
      <c r="Y1277">
        <v>3</v>
      </c>
      <c r="Z1277" t="str">
        <f>_xlfn.XLOOKUP(Table1[[#This Row],[JobRole]],Table13[JobRole],Table13[Id_JobRole])</f>
        <v>JR006</v>
      </c>
      <c r="AA1277" t="s">
        <v>52</v>
      </c>
      <c r="AB1277" t="str">
        <f>_xlfn.XLOOKUP(Table1[[#This Row],[JobSatisfaction]],Table14[JobSatisfaction],Table14[Id_JobSatisfaction])</f>
        <v>JS003</v>
      </c>
      <c r="AC1277">
        <v>3</v>
      </c>
      <c r="AD1277" t="str">
        <f>_xlfn.XLOOKUP(Table1[[#This Row],[JobSatisfaction]],Table14[JobSatisfaction],Table14[Deskripsi])</f>
        <v>High</v>
      </c>
      <c r="AE1277" t="str">
        <f>_xlfn.XLOOKUP(Table1[[#This Row],[MaritalStatus]],Table15[MaritalStatus],Table15[Id_MaritalStatus])</f>
        <v>MS002</v>
      </c>
      <c r="AF1277" t="s">
        <v>56</v>
      </c>
      <c r="AG1277">
        <v>13116</v>
      </c>
      <c r="AH1277">
        <v>22984</v>
      </c>
      <c r="AI1277">
        <v>2</v>
      </c>
      <c r="AJ1277" t="str">
        <f>_xlfn.XLOOKUP(Table1[[#This Row],[OverTime]],Table16[OverTime],Table16[Id_OverTime])</f>
        <v>OT002</v>
      </c>
      <c r="AK1277" t="s">
        <v>33</v>
      </c>
      <c r="AL1277">
        <v>11</v>
      </c>
      <c r="AM1277" t="str">
        <f>_xlfn.XLOOKUP(Table1[[#This Row],[PerformanceRating]],Table17[PerformanceRating],Table17[Id_PerformanceRating])</f>
        <v>PR003</v>
      </c>
      <c r="AN1277">
        <v>3</v>
      </c>
      <c r="AO1277" t="str">
        <f>_xlfn.XLOOKUP(Table1[[#This Row],[PerformanceRating]],Table17[PerformanceRating],Table17[Deskripsi])</f>
        <v>Excellent</v>
      </c>
      <c r="AP1277" t="str">
        <f>_xlfn.XLOOKUP(Table1[[#This Row],[RelationshipSatisfaction]],Table18[RelationshipSatisfaction],Table18[Id_RelationshipSatisfaction])</f>
        <v>RS004</v>
      </c>
      <c r="AQ1277">
        <v>4</v>
      </c>
      <c r="AR1277" t="str">
        <f>_xlfn.XLOOKUP(Table1[[#This Row],[RelationshipSatisfaction]],Table18[RelationshipSatisfaction],Table18[Deskripsi])</f>
        <v>Very High</v>
      </c>
      <c r="AS1277" t="str">
        <f>_xlfn.XLOOKUP(Table1[[#This Row],[StockOptionLevel]],Table19[StockOptionLevel],Table19[Id_StockOptionLevel])</f>
        <v>SOL001</v>
      </c>
      <c r="AT1277">
        <v>0</v>
      </c>
      <c r="AU1277" t="str">
        <f>_xlfn.XLOOKUP(Table1[[#This Row],[StockOptionLevel]],Table19[StockOptionLevel],Table19[Deskripsi])</f>
        <v>Non-Eligible</v>
      </c>
      <c r="AV1277">
        <v>15</v>
      </c>
      <c r="AW1277">
        <v>2</v>
      </c>
      <c r="AX1277" t="str">
        <f>_xlfn.XLOOKUP(Table1[[#This Row],[WorkLifeBalance]],Table20[WorkLifeBalance],Table20[Id_WorkLifeBalance])</f>
        <v>WLB002</v>
      </c>
      <c r="AY1277">
        <v>3</v>
      </c>
      <c r="AZ1277" t="str">
        <f>_xlfn.XLOOKUP(Table1[[#This Row],[WorkLifeBalance]],Table20[WorkLifeBalance],Table20[Deskripsi])</f>
        <v>Good</v>
      </c>
      <c r="BA1277">
        <v>2</v>
      </c>
      <c r="BB1277">
        <v>2</v>
      </c>
      <c r="BC1277">
        <v>2</v>
      </c>
      <c r="BD1277">
        <v>2</v>
      </c>
    </row>
    <row r="1278" spans="1:56" x14ac:dyDescent="0.25">
      <c r="A1278">
        <v>37</v>
      </c>
      <c r="B1278" t="str">
        <f>_xlfn.XLOOKUP(Table1[[#This Row],[Attrition]],Table2[Attrition],Table2[Id_Attrition])</f>
        <v>A002</v>
      </c>
      <c r="C1278" t="s">
        <v>33</v>
      </c>
      <c r="D1278" t="str">
        <f>_xlfn.XLOOKUP(Table1[[#This Row],[BusinessTravel]],Table5[BusinessTravel],Table5[Id_BusinessTravel])</f>
        <v>BS001</v>
      </c>
      <c r="E1278" t="s">
        <v>34</v>
      </c>
      <c r="F1278">
        <v>589</v>
      </c>
      <c r="G1278" t="str">
        <f>_xlfn.XLOOKUP(Table1[[#This Row],[Department]],Table6[Department],Table6[Id_Departement])</f>
        <v>D001</v>
      </c>
      <c r="H1278" t="s">
        <v>37</v>
      </c>
      <c r="I1278">
        <v>9</v>
      </c>
      <c r="J1278" t="str">
        <f>_xlfn.XLOOKUP(Table1[[#This Row],[Education]],Table8[Education],Table8[Id_Education])</f>
        <v>E002</v>
      </c>
      <c r="K1278">
        <v>2</v>
      </c>
      <c r="L1278" t="str">
        <f>_xlfn.XLOOKUP(Table1[[#This Row],[EducationField]],Table7[EducationField],Table7[Id_EducationField])</f>
        <v>EF004</v>
      </c>
      <c r="M1278" t="s">
        <v>43</v>
      </c>
      <c r="N1278" t="str">
        <f>_xlfn.XLOOKUP(Table1[[#This Row],[EmployeeNumber]],Table4[EmployeeNumber],Table4[Id_Employee])</f>
        <v>EMP01277</v>
      </c>
      <c r="O1278">
        <v>1787</v>
      </c>
      <c r="P1278" t="str">
        <f>_xlfn.XLOOKUP(Table1[[#This Row],[EnvironmentSatisfaction]],Table9[EnvironmentSatisfaction],Table9[Id_EnviromentSatisfaction])</f>
        <v>ES002</v>
      </c>
      <c r="Q1278">
        <v>2</v>
      </c>
      <c r="R1278" t="str">
        <f>_xlfn.XLOOKUP(Table1[[#This Row],[EnvironmentSatisfaction]],Table9[EnvironmentSatisfaction],Table9[Deskripsi])</f>
        <v>Medium</v>
      </c>
      <c r="S1278" t="str">
        <f>_xlfn.XLOOKUP(Table1[[#This Row],[Gender]],Table10[Gender],Table10[Id_Gender])</f>
        <v>G002</v>
      </c>
      <c r="T1278" t="s">
        <v>46</v>
      </c>
      <c r="U1278">
        <v>46</v>
      </c>
      <c r="V1278" t="str">
        <f>_xlfn.XLOOKUP(Table1[[#This Row],[JobInvolvement]],Table11[JobInvolvement],Table11[Id_JobInvolvement])</f>
        <v>JI002</v>
      </c>
      <c r="W1278">
        <v>2</v>
      </c>
      <c r="X1278" t="str">
        <f>_xlfn.XLOOKUP(Table1[[#This Row],[JobLevel]],Table12[JobLevel],Table12[Id_JobLevel])</f>
        <v>JL002</v>
      </c>
      <c r="Y1278">
        <v>2</v>
      </c>
      <c r="Z1278" t="str">
        <f>_xlfn.XLOOKUP(Table1[[#This Row],[JobRole]],Table13[JobRole],Table13[Id_JobRole])</f>
        <v>JR001</v>
      </c>
      <c r="AA1278" t="s">
        <v>47</v>
      </c>
      <c r="AB1278" t="str">
        <f>_xlfn.XLOOKUP(Table1[[#This Row],[JobSatisfaction]],Table14[JobSatisfaction],Table14[Id_JobSatisfaction])</f>
        <v>JS002</v>
      </c>
      <c r="AC1278">
        <v>2</v>
      </c>
      <c r="AD1278" t="str">
        <f>_xlfn.XLOOKUP(Table1[[#This Row],[JobSatisfaction]],Table14[JobSatisfaction],Table14[Deskripsi])</f>
        <v>Medium</v>
      </c>
      <c r="AE1278" t="str">
        <f>_xlfn.XLOOKUP(Table1[[#This Row],[MaritalStatus]],Table15[MaritalStatus],Table15[Id_MaritalStatus])</f>
        <v>MS002</v>
      </c>
      <c r="AF1278" t="s">
        <v>56</v>
      </c>
      <c r="AG1278">
        <v>4189</v>
      </c>
      <c r="AH1278">
        <v>8800</v>
      </c>
      <c r="AI1278">
        <v>1</v>
      </c>
      <c r="AJ1278" t="str">
        <f>_xlfn.XLOOKUP(Table1[[#This Row],[OverTime]],Table16[OverTime],Table16[Id_OverTime])</f>
        <v>OT002</v>
      </c>
      <c r="AK1278" t="s">
        <v>33</v>
      </c>
      <c r="AL1278">
        <v>14</v>
      </c>
      <c r="AM1278" t="str">
        <f>_xlfn.XLOOKUP(Table1[[#This Row],[PerformanceRating]],Table17[PerformanceRating],Table17[Id_PerformanceRating])</f>
        <v>PR003</v>
      </c>
      <c r="AN1278">
        <v>3</v>
      </c>
      <c r="AO1278" t="str">
        <f>_xlfn.XLOOKUP(Table1[[#This Row],[PerformanceRating]],Table17[PerformanceRating],Table17[Deskripsi])</f>
        <v>Excellent</v>
      </c>
      <c r="AP1278" t="str">
        <f>_xlfn.XLOOKUP(Table1[[#This Row],[RelationshipSatisfaction]],Table18[RelationshipSatisfaction],Table18[Id_RelationshipSatisfaction])</f>
        <v>RS001</v>
      </c>
      <c r="AQ1278">
        <v>1</v>
      </c>
      <c r="AR1278" t="str">
        <f>_xlfn.XLOOKUP(Table1[[#This Row],[RelationshipSatisfaction]],Table18[RelationshipSatisfaction],Table18[Deskripsi])</f>
        <v>Low</v>
      </c>
      <c r="AS1278" t="str">
        <f>_xlfn.XLOOKUP(Table1[[#This Row],[StockOptionLevel]],Table19[StockOptionLevel],Table19[Id_StockOptionLevel])</f>
        <v>SOL003</v>
      </c>
      <c r="AT1278">
        <v>2</v>
      </c>
      <c r="AU1278" t="str">
        <f>_xlfn.XLOOKUP(Table1[[#This Row],[StockOptionLevel]],Table19[StockOptionLevel],Table19[Deskripsi])</f>
        <v>Intermediate</v>
      </c>
      <c r="AV1278">
        <v>5</v>
      </c>
      <c r="AW1278">
        <v>2</v>
      </c>
      <c r="AX1278" t="str">
        <f>_xlfn.XLOOKUP(Table1[[#This Row],[WorkLifeBalance]],Table20[WorkLifeBalance],Table20[Id_WorkLifeBalance])</f>
        <v>WLB002</v>
      </c>
      <c r="AY1278">
        <v>3</v>
      </c>
      <c r="AZ1278" t="str">
        <f>_xlfn.XLOOKUP(Table1[[#This Row],[WorkLifeBalance]],Table20[WorkLifeBalance],Table20[Deskripsi])</f>
        <v>Good</v>
      </c>
      <c r="BA1278">
        <v>5</v>
      </c>
      <c r="BB1278">
        <v>2</v>
      </c>
      <c r="BC1278">
        <v>0</v>
      </c>
      <c r="BD1278">
        <v>3</v>
      </c>
    </row>
    <row r="1279" spans="1:56" x14ac:dyDescent="0.25">
      <c r="A1279">
        <v>46</v>
      </c>
      <c r="B1279" t="str">
        <f>_xlfn.XLOOKUP(Table1[[#This Row],[Attrition]],Table2[Attrition],Table2[Id_Attrition])</f>
        <v>A002</v>
      </c>
      <c r="C1279" t="s">
        <v>33</v>
      </c>
      <c r="D1279" t="str">
        <f>_xlfn.XLOOKUP(Table1[[#This Row],[BusinessTravel]],Table5[BusinessTravel],Table5[Id_BusinessTravel])</f>
        <v>BS001</v>
      </c>
      <c r="E1279" t="s">
        <v>34</v>
      </c>
      <c r="F1279">
        <v>734</v>
      </c>
      <c r="G1279" t="str">
        <f>_xlfn.XLOOKUP(Table1[[#This Row],[Department]],Table6[Department],Table6[Id_Departement])</f>
        <v>D002</v>
      </c>
      <c r="H1279" t="s">
        <v>38</v>
      </c>
      <c r="I1279">
        <v>2</v>
      </c>
      <c r="J1279" t="str">
        <f>_xlfn.XLOOKUP(Table1[[#This Row],[Education]],Table8[Education],Table8[Id_Education])</f>
        <v>E004</v>
      </c>
      <c r="K1279">
        <v>4</v>
      </c>
      <c r="L1279" t="str">
        <f>_xlfn.XLOOKUP(Table1[[#This Row],[EducationField]],Table7[EducationField],Table7[Id_EducationField])</f>
        <v>EF003</v>
      </c>
      <c r="M1279" t="s">
        <v>42</v>
      </c>
      <c r="N1279" t="str">
        <f>_xlfn.XLOOKUP(Table1[[#This Row],[EmployeeNumber]],Table4[EmployeeNumber],Table4[Id_Employee])</f>
        <v>EMP01278</v>
      </c>
      <c r="O1279">
        <v>1789</v>
      </c>
      <c r="P1279" t="str">
        <f>_xlfn.XLOOKUP(Table1[[#This Row],[EnvironmentSatisfaction]],Table9[EnvironmentSatisfaction],Table9[Id_EnviromentSatisfaction])</f>
        <v>ES003</v>
      </c>
      <c r="Q1279">
        <v>3</v>
      </c>
      <c r="R1279" t="str">
        <f>_xlfn.XLOOKUP(Table1[[#This Row],[EnvironmentSatisfaction]],Table9[EnvironmentSatisfaction],Table9[Deskripsi])</f>
        <v>High</v>
      </c>
      <c r="S1279" t="str">
        <f>_xlfn.XLOOKUP(Table1[[#This Row],[Gender]],Table10[Gender],Table10[Id_Gender])</f>
        <v>G002</v>
      </c>
      <c r="T1279" t="s">
        <v>46</v>
      </c>
      <c r="U1279">
        <v>46</v>
      </c>
      <c r="V1279" t="str">
        <f>_xlfn.XLOOKUP(Table1[[#This Row],[JobInvolvement]],Table11[JobInvolvement],Table11[Id_JobInvolvement])</f>
        <v>JI003</v>
      </c>
      <c r="W1279">
        <v>3</v>
      </c>
      <c r="X1279" t="str">
        <f>_xlfn.XLOOKUP(Table1[[#This Row],[JobLevel]],Table12[JobLevel],Table12[Id_JobLevel])</f>
        <v>JL005</v>
      </c>
      <c r="Y1279">
        <v>5</v>
      </c>
      <c r="Z1279" t="str">
        <f>_xlfn.XLOOKUP(Table1[[#This Row],[JobRole]],Table13[JobRole],Table13[Id_JobRole])</f>
        <v>JR008</v>
      </c>
      <c r="AA1279" t="s">
        <v>54</v>
      </c>
      <c r="AB1279" t="str">
        <f>_xlfn.XLOOKUP(Table1[[#This Row],[JobSatisfaction]],Table14[JobSatisfaction],Table14[Id_JobSatisfaction])</f>
        <v>JS004</v>
      </c>
      <c r="AC1279">
        <v>4</v>
      </c>
      <c r="AD1279" t="str">
        <f>_xlfn.XLOOKUP(Table1[[#This Row],[JobSatisfaction]],Table14[JobSatisfaction],Table14[Deskripsi])</f>
        <v>Very High</v>
      </c>
      <c r="AE1279" t="str">
        <f>_xlfn.XLOOKUP(Table1[[#This Row],[MaritalStatus]],Table15[MaritalStatus],Table15[Id_MaritalStatus])</f>
        <v>MS003</v>
      </c>
      <c r="AF1279" t="s">
        <v>57</v>
      </c>
      <c r="AG1279">
        <v>19328</v>
      </c>
      <c r="AH1279">
        <v>14218</v>
      </c>
      <c r="AI1279">
        <v>7</v>
      </c>
      <c r="AJ1279" t="str">
        <f>_xlfn.XLOOKUP(Table1[[#This Row],[OverTime]],Table16[OverTime],Table16[Id_OverTime])</f>
        <v>OT001</v>
      </c>
      <c r="AK1279" t="s">
        <v>32</v>
      </c>
      <c r="AL1279">
        <v>17</v>
      </c>
      <c r="AM1279" t="str">
        <f>_xlfn.XLOOKUP(Table1[[#This Row],[PerformanceRating]],Table17[PerformanceRating],Table17[Id_PerformanceRating])</f>
        <v>PR003</v>
      </c>
      <c r="AN1279">
        <v>3</v>
      </c>
      <c r="AO1279" t="str">
        <f>_xlfn.XLOOKUP(Table1[[#This Row],[PerformanceRating]],Table17[PerformanceRating],Table17[Deskripsi])</f>
        <v>Excellent</v>
      </c>
      <c r="AP1279" t="str">
        <f>_xlfn.XLOOKUP(Table1[[#This Row],[RelationshipSatisfaction]],Table18[RelationshipSatisfaction],Table18[Id_RelationshipSatisfaction])</f>
        <v>RS003</v>
      </c>
      <c r="AQ1279">
        <v>3</v>
      </c>
      <c r="AR1279" t="str">
        <f>_xlfn.XLOOKUP(Table1[[#This Row],[RelationshipSatisfaction]],Table18[RelationshipSatisfaction],Table18[Deskripsi])</f>
        <v>High</v>
      </c>
      <c r="AS1279" t="str">
        <f>_xlfn.XLOOKUP(Table1[[#This Row],[StockOptionLevel]],Table19[StockOptionLevel],Table19[Id_StockOptionLevel])</f>
        <v>SOL002</v>
      </c>
      <c r="AT1279">
        <v>1</v>
      </c>
      <c r="AU1279" t="str">
        <f>_xlfn.XLOOKUP(Table1[[#This Row],[StockOptionLevel]],Table19[StockOptionLevel],Table19[Deskripsi])</f>
        <v>Standard</v>
      </c>
      <c r="AV1279">
        <v>24</v>
      </c>
      <c r="AW1279">
        <v>3</v>
      </c>
      <c r="AX1279" t="str">
        <f>_xlfn.XLOOKUP(Table1[[#This Row],[WorkLifeBalance]],Table20[WorkLifeBalance],Table20[Id_WorkLifeBalance])</f>
        <v>WLB002</v>
      </c>
      <c r="AY1279">
        <v>3</v>
      </c>
      <c r="AZ1279" t="str">
        <f>_xlfn.XLOOKUP(Table1[[#This Row],[WorkLifeBalance]],Table20[WorkLifeBalance],Table20[Deskripsi])</f>
        <v>Good</v>
      </c>
      <c r="BA1279">
        <v>2</v>
      </c>
      <c r="BB1279">
        <v>1</v>
      </c>
      <c r="BC1279">
        <v>2</v>
      </c>
      <c r="BD1279">
        <v>2</v>
      </c>
    </row>
    <row r="1280" spans="1:56" x14ac:dyDescent="0.25">
      <c r="A1280">
        <v>36</v>
      </c>
      <c r="B1280" t="str">
        <f>_xlfn.XLOOKUP(Table1[[#This Row],[Attrition]],Table2[Attrition],Table2[Id_Attrition])</f>
        <v>A002</v>
      </c>
      <c r="C1280" t="s">
        <v>33</v>
      </c>
      <c r="D1280" t="str">
        <f>_xlfn.XLOOKUP(Table1[[#This Row],[BusinessTravel]],Table5[BusinessTravel],Table5[Id_BusinessTravel])</f>
        <v>BS001</v>
      </c>
      <c r="E1280" t="s">
        <v>34</v>
      </c>
      <c r="F1280">
        <v>1383</v>
      </c>
      <c r="G1280" t="str">
        <f>_xlfn.XLOOKUP(Table1[[#This Row],[Department]],Table6[Department],Table6[Id_Departement])</f>
        <v>D002</v>
      </c>
      <c r="H1280" t="s">
        <v>38</v>
      </c>
      <c r="I1280">
        <v>10</v>
      </c>
      <c r="J1280" t="str">
        <f>_xlfn.XLOOKUP(Table1[[#This Row],[Education]],Table8[Education],Table8[Id_Education])</f>
        <v>E003</v>
      </c>
      <c r="K1280">
        <v>3</v>
      </c>
      <c r="L1280" t="str">
        <f>_xlfn.XLOOKUP(Table1[[#This Row],[EducationField]],Table7[EducationField],Table7[Id_EducationField])</f>
        <v>EF001</v>
      </c>
      <c r="M1280" t="s">
        <v>40</v>
      </c>
      <c r="N1280" t="str">
        <f>_xlfn.XLOOKUP(Table1[[#This Row],[EmployeeNumber]],Table4[EmployeeNumber],Table4[Id_Employee])</f>
        <v>EMP01279</v>
      </c>
      <c r="O1280">
        <v>1790</v>
      </c>
      <c r="P1280" t="str">
        <f>_xlfn.XLOOKUP(Table1[[#This Row],[EnvironmentSatisfaction]],Table9[EnvironmentSatisfaction],Table9[Id_EnviromentSatisfaction])</f>
        <v>ES004</v>
      </c>
      <c r="Q1280">
        <v>4</v>
      </c>
      <c r="R1280" t="str">
        <f>_xlfn.XLOOKUP(Table1[[#This Row],[EnvironmentSatisfaction]],Table9[EnvironmentSatisfaction],Table9[Deskripsi])</f>
        <v>Very High</v>
      </c>
      <c r="S1280" t="str">
        <f>_xlfn.XLOOKUP(Table1[[#This Row],[Gender]],Table10[Gender],Table10[Id_Gender])</f>
        <v>G002</v>
      </c>
      <c r="T1280" t="s">
        <v>46</v>
      </c>
      <c r="U1280">
        <v>90</v>
      </c>
      <c r="V1280" t="str">
        <f>_xlfn.XLOOKUP(Table1[[#This Row],[JobInvolvement]],Table11[JobInvolvement],Table11[Id_JobInvolvement])</f>
        <v>JI003</v>
      </c>
      <c r="W1280">
        <v>3</v>
      </c>
      <c r="X1280" t="str">
        <f>_xlfn.XLOOKUP(Table1[[#This Row],[JobLevel]],Table12[JobLevel],Table12[Id_JobLevel])</f>
        <v>JL003</v>
      </c>
      <c r="Y1280">
        <v>3</v>
      </c>
      <c r="Z1280" t="str">
        <f>_xlfn.XLOOKUP(Table1[[#This Row],[JobRole]],Table13[JobRole],Table13[Id_JobRole])</f>
        <v>JR005</v>
      </c>
      <c r="AA1280" t="s">
        <v>51</v>
      </c>
      <c r="AB1280" t="str">
        <f>_xlfn.XLOOKUP(Table1[[#This Row],[JobSatisfaction]],Table14[JobSatisfaction],Table14[Id_JobSatisfaction])</f>
        <v>JS001</v>
      </c>
      <c r="AC1280">
        <v>1</v>
      </c>
      <c r="AD1280" t="str">
        <f>_xlfn.XLOOKUP(Table1[[#This Row],[JobSatisfaction]],Table14[JobSatisfaction],Table14[Deskripsi])</f>
        <v>Low</v>
      </c>
      <c r="AE1280" t="str">
        <f>_xlfn.XLOOKUP(Table1[[#This Row],[MaritalStatus]],Table15[MaritalStatus],Table15[Id_MaritalStatus])</f>
        <v>MS002</v>
      </c>
      <c r="AF1280" t="s">
        <v>56</v>
      </c>
      <c r="AG1280">
        <v>8321</v>
      </c>
      <c r="AH1280">
        <v>25949</v>
      </c>
      <c r="AI1280">
        <v>7</v>
      </c>
      <c r="AJ1280" t="str">
        <f>_xlfn.XLOOKUP(Table1[[#This Row],[OverTime]],Table16[OverTime],Table16[Id_OverTime])</f>
        <v>OT001</v>
      </c>
      <c r="AK1280" t="s">
        <v>32</v>
      </c>
      <c r="AL1280">
        <v>13</v>
      </c>
      <c r="AM1280" t="str">
        <f>_xlfn.XLOOKUP(Table1[[#This Row],[PerformanceRating]],Table17[PerformanceRating],Table17[Id_PerformanceRating])</f>
        <v>PR003</v>
      </c>
      <c r="AN1280">
        <v>3</v>
      </c>
      <c r="AO1280" t="str">
        <f>_xlfn.XLOOKUP(Table1[[#This Row],[PerformanceRating]],Table17[PerformanceRating],Table17[Deskripsi])</f>
        <v>Excellent</v>
      </c>
      <c r="AP1280" t="str">
        <f>_xlfn.XLOOKUP(Table1[[#This Row],[RelationshipSatisfaction]],Table18[RelationshipSatisfaction],Table18[Id_RelationshipSatisfaction])</f>
        <v>RS004</v>
      </c>
      <c r="AQ1280">
        <v>4</v>
      </c>
      <c r="AR1280" t="str">
        <f>_xlfn.XLOOKUP(Table1[[#This Row],[RelationshipSatisfaction]],Table18[RelationshipSatisfaction],Table18[Deskripsi])</f>
        <v>Very High</v>
      </c>
      <c r="AS1280" t="str">
        <f>_xlfn.XLOOKUP(Table1[[#This Row],[StockOptionLevel]],Table19[StockOptionLevel],Table19[Id_StockOptionLevel])</f>
        <v>SOL002</v>
      </c>
      <c r="AT1280">
        <v>1</v>
      </c>
      <c r="AU1280" t="str">
        <f>_xlfn.XLOOKUP(Table1[[#This Row],[StockOptionLevel]],Table19[StockOptionLevel],Table19[Deskripsi])</f>
        <v>Standard</v>
      </c>
      <c r="AV1280">
        <v>15</v>
      </c>
      <c r="AW1280">
        <v>1</v>
      </c>
      <c r="AX1280" t="str">
        <f>_xlfn.XLOOKUP(Table1[[#This Row],[WorkLifeBalance]],Table20[WorkLifeBalance],Table20[Id_WorkLifeBalance])</f>
        <v>WLB002</v>
      </c>
      <c r="AY1280">
        <v>3</v>
      </c>
      <c r="AZ1280" t="str">
        <f>_xlfn.XLOOKUP(Table1[[#This Row],[WorkLifeBalance]],Table20[WorkLifeBalance],Table20[Deskripsi])</f>
        <v>Good</v>
      </c>
      <c r="BA1280">
        <v>12</v>
      </c>
      <c r="BB1280">
        <v>8</v>
      </c>
      <c r="BC1280">
        <v>5</v>
      </c>
      <c r="BD1280">
        <v>7</v>
      </c>
    </row>
    <row r="1281" spans="1:56" x14ac:dyDescent="0.25">
      <c r="A1281">
        <v>44</v>
      </c>
      <c r="B1281" t="str">
        <f>_xlfn.XLOOKUP(Table1[[#This Row],[Attrition]],Table2[Attrition],Table2[Id_Attrition])</f>
        <v>A001</v>
      </c>
      <c r="C1281" t="s">
        <v>32</v>
      </c>
      <c r="D1281" t="str">
        <f>_xlfn.XLOOKUP(Table1[[#This Row],[BusinessTravel]],Table5[BusinessTravel],Table5[Id_BusinessTravel])</f>
        <v>BS002</v>
      </c>
      <c r="E1281" t="s">
        <v>35</v>
      </c>
      <c r="F1281">
        <v>429</v>
      </c>
      <c r="G1281" t="str">
        <f>_xlfn.XLOOKUP(Table1[[#This Row],[Department]],Table6[Department],Table6[Id_Departement])</f>
        <v>D002</v>
      </c>
      <c r="H1281" t="s">
        <v>38</v>
      </c>
      <c r="I1281">
        <v>1</v>
      </c>
      <c r="J1281" t="str">
        <f>_xlfn.XLOOKUP(Table1[[#This Row],[Education]],Table8[Education],Table8[Id_Education])</f>
        <v>E002</v>
      </c>
      <c r="K1281">
        <v>2</v>
      </c>
      <c r="L1281" t="str">
        <f>_xlfn.XLOOKUP(Table1[[#This Row],[EducationField]],Table7[EducationField],Table7[Id_EducationField])</f>
        <v>EF003</v>
      </c>
      <c r="M1281" t="s">
        <v>42</v>
      </c>
      <c r="N1281" t="str">
        <f>_xlfn.XLOOKUP(Table1[[#This Row],[EmployeeNumber]],Table4[EmployeeNumber],Table4[Id_Employee])</f>
        <v>EMP01280</v>
      </c>
      <c r="O1281">
        <v>1792</v>
      </c>
      <c r="P1281" t="str">
        <f>_xlfn.XLOOKUP(Table1[[#This Row],[EnvironmentSatisfaction]],Table9[EnvironmentSatisfaction],Table9[Id_EnviromentSatisfaction])</f>
        <v>ES003</v>
      </c>
      <c r="Q1281">
        <v>3</v>
      </c>
      <c r="R1281" t="str">
        <f>_xlfn.XLOOKUP(Table1[[#This Row],[EnvironmentSatisfaction]],Table9[EnvironmentSatisfaction],Table9[Deskripsi])</f>
        <v>High</v>
      </c>
      <c r="S1281" t="str">
        <f>_xlfn.XLOOKUP(Table1[[#This Row],[Gender]],Table10[Gender],Table10[Id_Gender])</f>
        <v>G002</v>
      </c>
      <c r="T1281" t="s">
        <v>46</v>
      </c>
      <c r="U1281">
        <v>99</v>
      </c>
      <c r="V1281" t="str">
        <f>_xlfn.XLOOKUP(Table1[[#This Row],[JobInvolvement]],Table11[JobInvolvement],Table11[Id_JobInvolvement])</f>
        <v>JI003</v>
      </c>
      <c r="W1281">
        <v>3</v>
      </c>
      <c r="X1281" t="str">
        <f>_xlfn.XLOOKUP(Table1[[#This Row],[JobLevel]],Table12[JobLevel],Table12[Id_JobLevel])</f>
        <v>JL001</v>
      </c>
      <c r="Y1281">
        <v>1</v>
      </c>
      <c r="Z1281" t="str">
        <f>_xlfn.XLOOKUP(Table1[[#This Row],[JobRole]],Table13[JobRole],Table13[Id_JobRole])</f>
        <v>JR002</v>
      </c>
      <c r="AA1281" t="s">
        <v>48</v>
      </c>
      <c r="AB1281" t="str">
        <f>_xlfn.XLOOKUP(Table1[[#This Row],[JobSatisfaction]],Table14[JobSatisfaction],Table14[Id_JobSatisfaction])</f>
        <v>JS002</v>
      </c>
      <c r="AC1281">
        <v>2</v>
      </c>
      <c r="AD1281" t="str">
        <f>_xlfn.XLOOKUP(Table1[[#This Row],[JobSatisfaction]],Table14[JobSatisfaction],Table14[Deskripsi])</f>
        <v>Medium</v>
      </c>
      <c r="AE1281" t="str">
        <f>_xlfn.XLOOKUP(Table1[[#This Row],[MaritalStatus]],Table15[MaritalStatus],Table15[Id_MaritalStatus])</f>
        <v>MS003</v>
      </c>
      <c r="AF1281" t="s">
        <v>57</v>
      </c>
      <c r="AG1281">
        <v>2342</v>
      </c>
      <c r="AH1281">
        <v>11092</v>
      </c>
      <c r="AI1281">
        <v>1</v>
      </c>
      <c r="AJ1281" t="str">
        <f>_xlfn.XLOOKUP(Table1[[#This Row],[OverTime]],Table16[OverTime],Table16[Id_OverTime])</f>
        <v>OT001</v>
      </c>
      <c r="AK1281" t="s">
        <v>32</v>
      </c>
      <c r="AL1281">
        <v>12</v>
      </c>
      <c r="AM1281" t="str">
        <f>_xlfn.XLOOKUP(Table1[[#This Row],[PerformanceRating]],Table17[PerformanceRating],Table17[Id_PerformanceRating])</f>
        <v>PR003</v>
      </c>
      <c r="AN1281">
        <v>3</v>
      </c>
      <c r="AO1281" t="str">
        <f>_xlfn.XLOOKUP(Table1[[#This Row],[PerformanceRating]],Table17[PerformanceRating],Table17[Deskripsi])</f>
        <v>Excellent</v>
      </c>
      <c r="AP1281" t="str">
        <f>_xlfn.XLOOKUP(Table1[[#This Row],[RelationshipSatisfaction]],Table18[RelationshipSatisfaction],Table18[Id_RelationshipSatisfaction])</f>
        <v>RS003</v>
      </c>
      <c r="AQ1281">
        <v>3</v>
      </c>
      <c r="AR1281" t="str">
        <f>_xlfn.XLOOKUP(Table1[[#This Row],[RelationshipSatisfaction]],Table18[RelationshipSatisfaction],Table18[Deskripsi])</f>
        <v>High</v>
      </c>
      <c r="AS1281" t="str">
        <f>_xlfn.XLOOKUP(Table1[[#This Row],[StockOptionLevel]],Table19[StockOptionLevel],Table19[Id_StockOptionLevel])</f>
        <v>SOL004</v>
      </c>
      <c r="AT1281">
        <v>3</v>
      </c>
      <c r="AU1281" t="str">
        <f>_xlfn.XLOOKUP(Table1[[#This Row],[StockOptionLevel]],Table19[StockOptionLevel],Table19[Deskripsi])</f>
        <v>Senior/Executive</v>
      </c>
      <c r="AV1281">
        <v>6</v>
      </c>
      <c r="AW1281">
        <v>2</v>
      </c>
      <c r="AX1281" t="str">
        <f>_xlfn.XLOOKUP(Table1[[#This Row],[WorkLifeBalance]],Table20[WorkLifeBalance],Table20[Id_WorkLifeBalance])</f>
        <v>WLB003</v>
      </c>
      <c r="AY1281">
        <v>2</v>
      </c>
      <c r="AZ1281" t="str">
        <f>_xlfn.XLOOKUP(Table1[[#This Row],[WorkLifeBalance]],Table20[WorkLifeBalance],Table20[Deskripsi])</f>
        <v>Better</v>
      </c>
      <c r="BA1281">
        <v>5</v>
      </c>
      <c r="BB1281">
        <v>3</v>
      </c>
      <c r="BC1281">
        <v>2</v>
      </c>
      <c r="BD1281">
        <v>3</v>
      </c>
    </row>
    <row r="1282" spans="1:56" x14ac:dyDescent="0.25">
      <c r="A1282">
        <v>37</v>
      </c>
      <c r="B1282" t="str">
        <f>_xlfn.XLOOKUP(Table1[[#This Row],[Attrition]],Table2[Attrition],Table2[Id_Attrition])</f>
        <v>A002</v>
      </c>
      <c r="C1282" t="s">
        <v>33</v>
      </c>
      <c r="D1282" t="str">
        <f>_xlfn.XLOOKUP(Table1[[#This Row],[BusinessTravel]],Table5[BusinessTravel],Table5[Id_BusinessTravel])</f>
        <v>BS001</v>
      </c>
      <c r="E1282" t="s">
        <v>34</v>
      </c>
      <c r="F1282">
        <v>1239</v>
      </c>
      <c r="G1282" t="str">
        <f>_xlfn.XLOOKUP(Table1[[#This Row],[Department]],Table6[Department],Table6[Id_Departement])</f>
        <v>D003</v>
      </c>
      <c r="H1282" t="s">
        <v>39</v>
      </c>
      <c r="I1282">
        <v>8</v>
      </c>
      <c r="J1282" t="str">
        <f>_xlfn.XLOOKUP(Table1[[#This Row],[Education]],Table8[Education],Table8[Id_Education])</f>
        <v>E002</v>
      </c>
      <c r="K1282">
        <v>2</v>
      </c>
      <c r="L1282" t="str">
        <f>_xlfn.XLOOKUP(Table1[[#This Row],[EducationField]],Table7[EducationField],Table7[Id_EducationField])</f>
        <v>EF002</v>
      </c>
      <c r="M1282" t="s">
        <v>41</v>
      </c>
      <c r="N1282" t="str">
        <f>_xlfn.XLOOKUP(Table1[[#This Row],[EmployeeNumber]],Table4[EmployeeNumber],Table4[Id_Employee])</f>
        <v>EMP01281</v>
      </c>
      <c r="O1282">
        <v>1794</v>
      </c>
      <c r="P1282" t="str">
        <f>_xlfn.XLOOKUP(Table1[[#This Row],[EnvironmentSatisfaction]],Table9[EnvironmentSatisfaction],Table9[Id_EnviromentSatisfaction])</f>
        <v>ES003</v>
      </c>
      <c r="Q1282">
        <v>3</v>
      </c>
      <c r="R1282" t="str">
        <f>_xlfn.XLOOKUP(Table1[[#This Row],[EnvironmentSatisfaction]],Table9[EnvironmentSatisfaction],Table9[Deskripsi])</f>
        <v>High</v>
      </c>
      <c r="S1282" t="str">
        <f>_xlfn.XLOOKUP(Table1[[#This Row],[Gender]],Table10[Gender],Table10[Id_Gender])</f>
        <v>G002</v>
      </c>
      <c r="T1282" t="s">
        <v>46</v>
      </c>
      <c r="U1282">
        <v>89</v>
      </c>
      <c r="V1282" t="str">
        <f>_xlfn.XLOOKUP(Table1[[#This Row],[JobInvolvement]],Table11[JobInvolvement],Table11[Id_JobInvolvement])</f>
        <v>JI003</v>
      </c>
      <c r="W1282">
        <v>3</v>
      </c>
      <c r="X1282" t="str">
        <f>_xlfn.XLOOKUP(Table1[[#This Row],[JobLevel]],Table12[JobLevel],Table12[Id_JobLevel])</f>
        <v>JL002</v>
      </c>
      <c r="Y1282">
        <v>2</v>
      </c>
      <c r="Z1282" t="str">
        <f>_xlfn.XLOOKUP(Table1[[#This Row],[JobRole]],Table13[JobRole],Table13[Id_JobRole])</f>
        <v>JR009</v>
      </c>
      <c r="AA1282" t="s">
        <v>39</v>
      </c>
      <c r="AB1282" t="str">
        <f>_xlfn.XLOOKUP(Table1[[#This Row],[JobSatisfaction]],Table14[JobSatisfaction],Table14[Id_JobSatisfaction])</f>
        <v>JS002</v>
      </c>
      <c r="AC1282">
        <v>2</v>
      </c>
      <c r="AD1282" t="str">
        <f>_xlfn.XLOOKUP(Table1[[#This Row],[JobSatisfaction]],Table14[JobSatisfaction],Table14[Deskripsi])</f>
        <v>Medium</v>
      </c>
      <c r="AE1282" t="str">
        <f>_xlfn.XLOOKUP(Table1[[#This Row],[MaritalStatus]],Table15[MaritalStatus],Table15[Id_MaritalStatus])</f>
        <v>MS003</v>
      </c>
      <c r="AF1282" t="s">
        <v>57</v>
      </c>
      <c r="AG1282">
        <v>4071</v>
      </c>
      <c r="AH1282">
        <v>12832</v>
      </c>
      <c r="AI1282">
        <v>2</v>
      </c>
      <c r="AJ1282" t="str">
        <f>_xlfn.XLOOKUP(Table1[[#This Row],[OverTime]],Table16[OverTime],Table16[Id_OverTime])</f>
        <v>OT002</v>
      </c>
      <c r="AK1282" t="s">
        <v>33</v>
      </c>
      <c r="AL1282">
        <v>13</v>
      </c>
      <c r="AM1282" t="str">
        <f>_xlfn.XLOOKUP(Table1[[#This Row],[PerformanceRating]],Table17[PerformanceRating],Table17[Id_PerformanceRating])</f>
        <v>PR003</v>
      </c>
      <c r="AN1282">
        <v>3</v>
      </c>
      <c r="AO1282" t="str">
        <f>_xlfn.XLOOKUP(Table1[[#This Row],[PerformanceRating]],Table17[PerformanceRating],Table17[Deskripsi])</f>
        <v>Excellent</v>
      </c>
      <c r="AP1282" t="str">
        <f>_xlfn.XLOOKUP(Table1[[#This Row],[RelationshipSatisfaction]],Table18[RelationshipSatisfaction],Table18[Id_RelationshipSatisfaction])</f>
        <v>RS003</v>
      </c>
      <c r="AQ1282">
        <v>3</v>
      </c>
      <c r="AR1282" t="str">
        <f>_xlfn.XLOOKUP(Table1[[#This Row],[RelationshipSatisfaction]],Table18[RelationshipSatisfaction],Table18[Deskripsi])</f>
        <v>High</v>
      </c>
      <c r="AS1282" t="str">
        <f>_xlfn.XLOOKUP(Table1[[#This Row],[StockOptionLevel]],Table19[StockOptionLevel],Table19[Id_StockOptionLevel])</f>
        <v>SOL001</v>
      </c>
      <c r="AT1282">
        <v>0</v>
      </c>
      <c r="AU1282" t="str">
        <f>_xlfn.XLOOKUP(Table1[[#This Row],[StockOptionLevel]],Table19[StockOptionLevel],Table19[Deskripsi])</f>
        <v>Non-Eligible</v>
      </c>
      <c r="AV1282">
        <v>19</v>
      </c>
      <c r="AW1282">
        <v>4</v>
      </c>
      <c r="AX1282" t="str">
        <f>_xlfn.XLOOKUP(Table1[[#This Row],[WorkLifeBalance]],Table20[WorkLifeBalance],Table20[Id_WorkLifeBalance])</f>
        <v>WLB003</v>
      </c>
      <c r="AY1282">
        <v>2</v>
      </c>
      <c r="AZ1282" t="str">
        <f>_xlfn.XLOOKUP(Table1[[#This Row],[WorkLifeBalance]],Table20[WorkLifeBalance],Table20[Deskripsi])</f>
        <v>Better</v>
      </c>
      <c r="BA1282">
        <v>10</v>
      </c>
      <c r="BB1282">
        <v>0</v>
      </c>
      <c r="BC1282">
        <v>4</v>
      </c>
      <c r="BD1282">
        <v>7</v>
      </c>
    </row>
    <row r="1283" spans="1:56" x14ac:dyDescent="0.25">
      <c r="A1283">
        <v>35</v>
      </c>
      <c r="B1283" t="str">
        <f>_xlfn.XLOOKUP(Table1[[#This Row],[Attrition]],Table2[Attrition],Table2[Id_Attrition])</f>
        <v>A001</v>
      </c>
      <c r="C1283" t="s">
        <v>32</v>
      </c>
      <c r="D1283" t="str">
        <f>_xlfn.XLOOKUP(Table1[[#This Row],[BusinessTravel]],Table5[BusinessTravel],Table5[Id_BusinessTravel])</f>
        <v>BS001</v>
      </c>
      <c r="E1283" t="s">
        <v>34</v>
      </c>
      <c r="F1283">
        <v>303</v>
      </c>
      <c r="G1283" t="str">
        <f>_xlfn.XLOOKUP(Table1[[#This Row],[Department]],Table6[Department],Table6[Id_Departement])</f>
        <v>D001</v>
      </c>
      <c r="H1283" t="s">
        <v>37</v>
      </c>
      <c r="I1283">
        <v>27</v>
      </c>
      <c r="J1283" t="str">
        <f>_xlfn.XLOOKUP(Table1[[#This Row],[Education]],Table8[Education],Table8[Id_Education])</f>
        <v>E003</v>
      </c>
      <c r="K1283">
        <v>3</v>
      </c>
      <c r="L1283" t="str">
        <f>_xlfn.XLOOKUP(Table1[[#This Row],[EducationField]],Table7[EducationField],Table7[Id_EducationField])</f>
        <v>EF001</v>
      </c>
      <c r="M1283" t="s">
        <v>40</v>
      </c>
      <c r="N1283" t="str">
        <f>_xlfn.XLOOKUP(Table1[[#This Row],[EmployeeNumber]],Table4[EmployeeNumber],Table4[Id_Employee])</f>
        <v>EMP01282</v>
      </c>
      <c r="O1283">
        <v>1797</v>
      </c>
      <c r="P1283" t="str">
        <f>_xlfn.XLOOKUP(Table1[[#This Row],[EnvironmentSatisfaction]],Table9[EnvironmentSatisfaction],Table9[Id_EnviromentSatisfaction])</f>
        <v>ES003</v>
      </c>
      <c r="Q1283">
        <v>3</v>
      </c>
      <c r="R1283" t="str">
        <f>_xlfn.XLOOKUP(Table1[[#This Row],[EnvironmentSatisfaction]],Table9[EnvironmentSatisfaction],Table9[Deskripsi])</f>
        <v>High</v>
      </c>
      <c r="S1283" t="str">
        <f>_xlfn.XLOOKUP(Table1[[#This Row],[Gender]],Table10[Gender],Table10[Id_Gender])</f>
        <v>G002</v>
      </c>
      <c r="T1283" t="s">
        <v>46</v>
      </c>
      <c r="U1283">
        <v>84</v>
      </c>
      <c r="V1283" t="str">
        <f>_xlfn.XLOOKUP(Table1[[#This Row],[JobInvolvement]],Table11[JobInvolvement],Table11[Id_JobInvolvement])</f>
        <v>JI003</v>
      </c>
      <c r="W1283">
        <v>3</v>
      </c>
      <c r="X1283" t="str">
        <f>_xlfn.XLOOKUP(Table1[[#This Row],[JobLevel]],Table12[JobLevel],Table12[Id_JobLevel])</f>
        <v>JL002</v>
      </c>
      <c r="Y1283">
        <v>2</v>
      </c>
      <c r="Z1283" t="str">
        <f>_xlfn.XLOOKUP(Table1[[#This Row],[JobRole]],Table13[JobRole],Table13[Id_JobRole])</f>
        <v>JR001</v>
      </c>
      <c r="AA1283" t="s">
        <v>47</v>
      </c>
      <c r="AB1283" t="str">
        <f>_xlfn.XLOOKUP(Table1[[#This Row],[JobSatisfaction]],Table14[JobSatisfaction],Table14[Id_JobSatisfaction])</f>
        <v>JS004</v>
      </c>
      <c r="AC1283">
        <v>4</v>
      </c>
      <c r="AD1283" t="str">
        <f>_xlfn.XLOOKUP(Table1[[#This Row],[JobSatisfaction]],Table14[JobSatisfaction],Table14[Deskripsi])</f>
        <v>Very High</v>
      </c>
      <c r="AE1283" t="str">
        <f>_xlfn.XLOOKUP(Table1[[#This Row],[MaritalStatus]],Table15[MaritalStatus],Table15[Id_MaritalStatus])</f>
        <v>MS001</v>
      </c>
      <c r="AF1283" t="s">
        <v>55</v>
      </c>
      <c r="AG1283">
        <v>5813</v>
      </c>
      <c r="AH1283">
        <v>13492</v>
      </c>
      <c r="AI1283">
        <v>1</v>
      </c>
      <c r="AJ1283" t="str">
        <f>_xlfn.XLOOKUP(Table1[[#This Row],[OverTime]],Table16[OverTime],Table16[Id_OverTime])</f>
        <v>OT001</v>
      </c>
      <c r="AK1283" t="s">
        <v>32</v>
      </c>
      <c r="AL1283">
        <v>18</v>
      </c>
      <c r="AM1283" t="str">
        <f>_xlfn.XLOOKUP(Table1[[#This Row],[PerformanceRating]],Table17[PerformanceRating],Table17[Id_PerformanceRating])</f>
        <v>PR003</v>
      </c>
      <c r="AN1283">
        <v>3</v>
      </c>
      <c r="AO1283" t="str">
        <f>_xlfn.XLOOKUP(Table1[[#This Row],[PerformanceRating]],Table17[PerformanceRating],Table17[Deskripsi])</f>
        <v>Excellent</v>
      </c>
      <c r="AP1283" t="str">
        <f>_xlfn.XLOOKUP(Table1[[#This Row],[RelationshipSatisfaction]],Table18[RelationshipSatisfaction],Table18[Id_RelationshipSatisfaction])</f>
        <v>RS004</v>
      </c>
      <c r="AQ1283">
        <v>4</v>
      </c>
      <c r="AR1283" t="str">
        <f>_xlfn.XLOOKUP(Table1[[#This Row],[RelationshipSatisfaction]],Table18[RelationshipSatisfaction],Table18[Deskripsi])</f>
        <v>Very High</v>
      </c>
      <c r="AS1283" t="str">
        <f>_xlfn.XLOOKUP(Table1[[#This Row],[StockOptionLevel]],Table19[StockOptionLevel],Table19[Id_StockOptionLevel])</f>
        <v>SOL001</v>
      </c>
      <c r="AT1283">
        <v>0</v>
      </c>
      <c r="AU1283" t="str">
        <f>_xlfn.XLOOKUP(Table1[[#This Row],[StockOptionLevel]],Table19[StockOptionLevel],Table19[Deskripsi])</f>
        <v>Non-Eligible</v>
      </c>
      <c r="AV1283">
        <v>10</v>
      </c>
      <c r="AW1283">
        <v>2</v>
      </c>
      <c r="AX1283" t="str">
        <f>_xlfn.XLOOKUP(Table1[[#This Row],[WorkLifeBalance]],Table20[WorkLifeBalance],Table20[Id_WorkLifeBalance])</f>
        <v>WLB002</v>
      </c>
      <c r="AY1283">
        <v>3</v>
      </c>
      <c r="AZ1283" t="str">
        <f>_xlfn.XLOOKUP(Table1[[#This Row],[WorkLifeBalance]],Table20[WorkLifeBalance],Table20[Deskripsi])</f>
        <v>Good</v>
      </c>
      <c r="BA1283">
        <v>10</v>
      </c>
      <c r="BB1283">
        <v>7</v>
      </c>
      <c r="BC1283">
        <v>7</v>
      </c>
      <c r="BD1283">
        <v>7</v>
      </c>
    </row>
    <row r="1284" spans="1:56" x14ac:dyDescent="0.25">
      <c r="A1284">
        <v>33</v>
      </c>
      <c r="B1284" t="str">
        <f>_xlfn.XLOOKUP(Table1[[#This Row],[Attrition]],Table2[Attrition],Table2[Id_Attrition])</f>
        <v>A002</v>
      </c>
      <c r="C1284" t="s">
        <v>33</v>
      </c>
      <c r="D1284" t="str">
        <f>_xlfn.XLOOKUP(Table1[[#This Row],[BusinessTravel]],Table5[BusinessTravel],Table5[Id_BusinessTravel])</f>
        <v>BS001</v>
      </c>
      <c r="E1284" t="s">
        <v>34</v>
      </c>
      <c r="F1284">
        <v>867</v>
      </c>
      <c r="G1284" t="str">
        <f>_xlfn.XLOOKUP(Table1[[#This Row],[Department]],Table6[Department],Table6[Id_Departement])</f>
        <v>D002</v>
      </c>
      <c r="H1284" t="s">
        <v>38</v>
      </c>
      <c r="I1284">
        <v>8</v>
      </c>
      <c r="J1284" t="str">
        <f>_xlfn.XLOOKUP(Table1[[#This Row],[Education]],Table8[Education],Table8[Id_Education])</f>
        <v>E004</v>
      </c>
      <c r="K1284">
        <v>4</v>
      </c>
      <c r="L1284" t="str">
        <f>_xlfn.XLOOKUP(Table1[[#This Row],[EducationField]],Table7[EducationField],Table7[Id_EducationField])</f>
        <v>EF001</v>
      </c>
      <c r="M1284" t="s">
        <v>40</v>
      </c>
      <c r="N1284" t="str">
        <f>_xlfn.XLOOKUP(Table1[[#This Row],[EmployeeNumber]],Table4[EmployeeNumber],Table4[Id_Employee])</f>
        <v>EMP01283</v>
      </c>
      <c r="O1284">
        <v>1798</v>
      </c>
      <c r="P1284" t="str">
        <f>_xlfn.XLOOKUP(Table1[[#This Row],[EnvironmentSatisfaction]],Table9[EnvironmentSatisfaction],Table9[Id_EnviromentSatisfaction])</f>
        <v>ES004</v>
      </c>
      <c r="Q1284">
        <v>4</v>
      </c>
      <c r="R1284" t="str">
        <f>_xlfn.XLOOKUP(Table1[[#This Row],[EnvironmentSatisfaction]],Table9[EnvironmentSatisfaction],Table9[Deskripsi])</f>
        <v>Very High</v>
      </c>
      <c r="S1284" t="str">
        <f>_xlfn.XLOOKUP(Table1[[#This Row],[Gender]],Table10[Gender],Table10[Id_Gender])</f>
        <v>G002</v>
      </c>
      <c r="T1284" t="s">
        <v>46</v>
      </c>
      <c r="U1284">
        <v>90</v>
      </c>
      <c r="V1284" t="str">
        <f>_xlfn.XLOOKUP(Table1[[#This Row],[JobInvolvement]],Table11[JobInvolvement],Table11[Id_JobInvolvement])</f>
        <v>JI004</v>
      </c>
      <c r="W1284">
        <v>4</v>
      </c>
      <c r="X1284" t="str">
        <f>_xlfn.XLOOKUP(Table1[[#This Row],[JobLevel]],Table12[JobLevel],Table12[Id_JobLevel])</f>
        <v>JL001</v>
      </c>
      <c r="Y1284">
        <v>1</v>
      </c>
      <c r="Z1284" t="str">
        <f>_xlfn.XLOOKUP(Table1[[#This Row],[JobRole]],Table13[JobRole],Table13[Id_JobRole])</f>
        <v>JR002</v>
      </c>
      <c r="AA1284" t="s">
        <v>48</v>
      </c>
      <c r="AB1284" t="str">
        <f>_xlfn.XLOOKUP(Table1[[#This Row],[JobSatisfaction]],Table14[JobSatisfaction],Table14[Id_JobSatisfaction])</f>
        <v>JS001</v>
      </c>
      <c r="AC1284">
        <v>1</v>
      </c>
      <c r="AD1284" t="str">
        <f>_xlfn.XLOOKUP(Table1[[#This Row],[JobSatisfaction]],Table14[JobSatisfaction],Table14[Deskripsi])</f>
        <v>Low</v>
      </c>
      <c r="AE1284" t="str">
        <f>_xlfn.XLOOKUP(Table1[[#This Row],[MaritalStatus]],Table15[MaritalStatus],Table15[Id_MaritalStatus])</f>
        <v>MS002</v>
      </c>
      <c r="AF1284" t="s">
        <v>56</v>
      </c>
      <c r="AG1284">
        <v>3143</v>
      </c>
      <c r="AH1284">
        <v>6076</v>
      </c>
      <c r="AI1284">
        <v>6</v>
      </c>
      <c r="AJ1284" t="str">
        <f>_xlfn.XLOOKUP(Table1[[#This Row],[OverTime]],Table16[OverTime],Table16[Id_OverTime])</f>
        <v>OT002</v>
      </c>
      <c r="AK1284" t="s">
        <v>33</v>
      </c>
      <c r="AL1284">
        <v>19</v>
      </c>
      <c r="AM1284" t="str">
        <f>_xlfn.XLOOKUP(Table1[[#This Row],[PerformanceRating]],Table17[PerformanceRating],Table17[Id_PerformanceRating])</f>
        <v>PR003</v>
      </c>
      <c r="AN1284">
        <v>3</v>
      </c>
      <c r="AO1284" t="str">
        <f>_xlfn.XLOOKUP(Table1[[#This Row],[PerformanceRating]],Table17[PerformanceRating],Table17[Deskripsi])</f>
        <v>Excellent</v>
      </c>
      <c r="AP1284" t="str">
        <f>_xlfn.XLOOKUP(Table1[[#This Row],[RelationshipSatisfaction]],Table18[RelationshipSatisfaction],Table18[Id_RelationshipSatisfaction])</f>
        <v>RS002</v>
      </c>
      <c r="AQ1284">
        <v>2</v>
      </c>
      <c r="AR1284" t="str">
        <f>_xlfn.XLOOKUP(Table1[[#This Row],[RelationshipSatisfaction]],Table18[RelationshipSatisfaction],Table18[Deskripsi])</f>
        <v>Medium</v>
      </c>
      <c r="AS1284" t="str">
        <f>_xlfn.XLOOKUP(Table1[[#This Row],[StockOptionLevel]],Table19[StockOptionLevel],Table19[Id_StockOptionLevel])</f>
        <v>SOL002</v>
      </c>
      <c r="AT1284">
        <v>1</v>
      </c>
      <c r="AU1284" t="str">
        <f>_xlfn.XLOOKUP(Table1[[#This Row],[StockOptionLevel]],Table19[StockOptionLevel],Table19[Deskripsi])</f>
        <v>Standard</v>
      </c>
      <c r="AV1284">
        <v>14</v>
      </c>
      <c r="AW1284">
        <v>1</v>
      </c>
      <c r="AX1284" t="str">
        <f>_xlfn.XLOOKUP(Table1[[#This Row],[WorkLifeBalance]],Table20[WorkLifeBalance],Table20[Id_WorkLifeBalance])</f>
        <v>WLB002</v>
      </c>
      <c r="AY1284">
        <v>3</v>
      </c>
      <c r="AZ1284" t="str">
        <f>_xlfn.XLOOKUP(Table1[[#This Row],[WorkLifeBalance]],Table20[WorkLifeBalance],Table20[Deskripsi])</f>
        <v>Good</v>
      </c>
      <c r="BA1284">
        <v>10</v>
      </c>
      <c r="BB1284">
        <v>8</v>
      </c>
      <c r="BC1284">
        <v>7</v>
      </c>
      <c r="BD1284">
        <v>6</v>
      </c>
    </row>
    <row r="1285" spans="1:56" x14ac:dyDescent="0.25">
      <c r="A1285">
        <v>28</v>
      </c>
      <c r="B1285" t="str">
        <f>_xlfn.XLOOKUP(Table1[[#This Row],[Attrition]],Table2[Attrition],Table2[Id_Attrition])</f>
        <v>A002</v>
      </c>
      <c r="C1285" t="s">
        <v>33</v>
      </c>
      <c r="D1285" t="str">
        <f>_xlfn.XLOOKUP(Table1[[#This Row],[BusinessTravel]],Table5[BusinessTravel],Table5[Id_BusinessTravel])</f>
        <v>BS001</v>
      </c>
      <c r="E1285" t="s">
        <v>34</v>
      </c>
      <c r="F1285">
        <v>1181</v>
      </c>
      <c r="G1285" t="str">
        <f>_xlfn.XLOOKUP(Table1[[#This Row],[Department]],Table6[Department],Table6[Id_Departement])</f>
        <v>D002</v>
      </c>
      <c r="H1285" t="s">
        <v>38</v>
      </c>
      <c r="I1285">
        <v>1</v>
      </c>
      <c r="J1285" t="str">
        <f>_xlfn.XLOOKUP(Table1[[#This Row],[Education]],Table8[Education],Table8[Id_Education])</f>
        <v>E003</v>
      </c>
      <c r="K1285">
        <v>3</v>
      </c>
      <c r="L1285" t="str">
        <f>_xlfn.XLOOKUP(Table1[[#This Row],[EducationField]],Table7[EducationField],Table7[Id_EducationField])</f>
        <v>EF001</v>
      </c>
      <c r="M1285" t="s">
        <v>40</v>
      </c>
      <c r="N1285" t="str">
        <f>_xlfn.XLOOKUP(Table1[[#This Row],[EmployeeNumber]],Table4[EmployeeNumber],Table4[Id_Employee])</f>
        <v>EMP01284</v>
      </c>
      <c r="O1285">
        <v>1799</v>
      </c>
      <c r="P1285" t="str">
        <f>_xlfn.XLOOKUP(Table1[[#This Row],[EnvironmentSatisfaction]],Table9[EnvironmentSatisfaction],Table9[Id_EnviromentSatisfaction])</f>
        <v>ES003</v>
      </c>
      <c r="Q1285">
        <v>3</v>
      </c>
      <c r="R1285" t="str">
        <f>_xlfn.XLOOKUP(Table1[[#This Row],[EnvironmentSatisfaction]],Table9[EnvironmentSatisfaction],Table9[Deskripsi])</f>
        <v>High</v>
      </c>
      <c r="S1285" t="str">
        <f>_xlfn.XLOOKUP(Table1[[#This Row],[Gender]],Table10[Gender],Table10[Id_Gender])</f>
        <v>G002</v>
      </c>
      <c r="T1285" t="s">
        <v>46</v>
      </c>
      <c r="U1285">
        <v>82</v>
      </c>
      <c r="V1285" t="str">
        <f>_xlfn.XLOOKUP(Table1[[#This Row],[JobInvolvement]],Table11[JobInvolvement],Table11[Id_JobInvolvement])</f>
        <v>JI003</v>
      </c>
      <c r="W1285">
        <v>3</v>
      </c>
      <c r="X1285" t="str">
        <f>_xlfn.XLOOKUP(Table1[[#This Row],[JobLevel]],Table12[JobLevel],Table12[Id_JobLevel])</f>
        <v>JL001</v>
      </c>
      <c r="Y1285">
        <v>1</v>
      </c>
      <c r="Z1285" t="str">
        <f>_xlfn.XLOOKUP(Table1[[#This Row],[JobRole]],Table13[JobRole],Table13[Id_JobRole])</f>
        <v>JR002</v>
      </c>
      <c r="AA1285" t="s">
        <v>48</v>
      </c>
      <c r="AB1285" t="str">
        <f>_xlfn.XLOOKUP(Table1[[#This Row],[JobSatisfaction]],Table14[JobSatisfaction],Table14[Id_JobSatisfaction])</f>
        <v>JS004</v>
      </c>
      <c r="AC1285">
        <v>4</v>
      </c>
      <c r="AD1285" t="str">
        <f>_xlfn.XLOOKUP(Table1[[#This Row],[JobSatisfaction]],Table14[JobSatisfaction],Table14[Deskripsi])</f>
        <v>Very High</v>
      </c>
      <c r="AE1285" t="str">
        <f>_xlfn.XLOOKUP(Table1[[#This Row],[MaritalStatus]],Table15[MaritalStatus],Table15[Id_MaritalStatus])</f>
        <v>MS002</v>
      </c>
      <c r="AF1285" t="s">
        <v>56</v>
      </c>
      <c r="AG1285">
        <v>2044</v>
      </c>
      <c r="AH1285">
        <v>5531</v>
      </c>
      <c r="AI1285">
        <v>1</v>
      </c>
      <c r="AJ1285" t="str">
        <f>_xlfn.XLOOKUP(Table1[[#This Row],[OverTime]],Table16[OverTime],Table16[Id_OverTime])</f>
        <v>OT002</v>
      </c>
      <c r="AK1285" t="s">
        <v>33</v>
      </c>
      <c r="AL1285">
        <v>11</v>
      </c>
      <c r="AM1285" t="str">
        <f>_xlfn.XLOOKUP(Table1[[#This Row],[PerformanceRating]],Table17[PerformanceRating],Table17[Id_PerformanceRating])</f>
        <v>PR003</v>
      </c>
      <c r="AN1285">
        <v>3</v>
      </c>
      <c r="AO1285" t="str">
        <f>_xlfn.XLOOKUP(Table1[[#This Row],[PerformanceRating]],Table17[PerformanceRating],Table17[Deskripsi])</f>
        <v>Excellent</v>
      </c>
      <c r="AP1285" t="str">
        <f>_xlfn.XLOOKUP(Table1[[#This Row],[RelationshipSatisfaction]],Table18[RelationshipSatisfaction],Table18[Id_RelationshipSatisfaction])</f>
        <v>RS003</v>
      </c>
      <c r="AQ1285">
        <v>3</v>
      </c>
      <c r="AR1285" t="str">
        <f>_xlfn.XLOOKUP(Table1[[#This Row],[RelationshipSatisfaction]],Table18[RelationshipSatisfaction],Table18[Deskripsi])</f>
        <v>High</v>
      </c>
      <c r="AS1285" t="str">
        <f>_xlfn.XLOOKUP(Table1[[#This Row],[StockOptionLevel]],Table19[StockOptionLevel],Table19[Id_StockOptionLevel])</f>
        <v>SOL002</v>
      </c>
      <c r="AT1285">
        <v>1</v>
      </c>
      <c r="AU1285" t="str">
        <f>_xlfn.XLOOKUP(Table1[[#This Row],[StockOptionLevel]],Table19[StockOptionLevel],Table19[Deskripsi])</f>
        <v>Standard</v>
      </c>
      <c r="AV1285">
        <v>5</v>
      </c>
      <c r="AW1285">
        <v>6</v>
      </c>
      <c r="AX1285" t="str">
        <f>_xlfn.XLOOKUP(Table1[[#This Row],[WorkLifeBalance]],Table20[WorkLifeBalance],Table20[Id_WorkLifeBalance])</f>
        <v>WLB004</v>
      </c>
      <c r="AY1285">
        <v>4</v>
      </c>
      <c r="AZ1285" t="str">
        <f>_xlfn.XLOOKUP(Table1[[#This Row],[WorkLifeBalance]],Table20[WorkLifeBalance],Table20[Deskripsi])</f>
        <v>Best</v>
      </c>
      <c r="BA1285">
        <v>5</v>
      </c>
      <c r="BB1285">
        <v>3</v>
      </c>
      <c r="BC1285">
        <v>0</v>
      </c>
      <c r="BD1285">
        <v>3</v>
      </c>
    </row>
    <row r="1286" spans="1:56" x14ac:dyDescent="0.25">
      <c r="A1286">
        <v>39</v>
      </c>
      <c r="B1286" t="str">
        <f>_xlfn.XLOOKUP(Table1[[#This Row],[Attrition]],Table2[Attrition],Table2[Id_Attrition])</f>
        <v>A002</v>
      </c>
      <c r="C1286" t="s">
        <v>33</v>
      </c>
      <c r="D1286" t="str">
        <f>_xlfn.XLOOKUP(Table1[[#This Row],[BusinessTravel]],Table5[BusinessTravel],Table5[Id_BusinessTravel])</f>
        <v>BS001</v>
      </c>
      <c r="E1286" t="s">
        <v>34</v>
      </c>
      <c r="F1286">
        <v>1253</v>
      </c>
      <c r="G1286" t="str">
        <f>_xlfn.XLOOKUP(Table1[[#This Row],[Department]],Table6[Department],Table6[Id_Departement])</f>
        <v>D002</v>
      </c>
      <c r="H1286" t="s">
        <v>38</v>
      </c>
      <c r="I1286">
        <v>10</v>
      </c>
      <c r="J1286" t="str">
        <f>_xlfn.XLOOKUP(Table1[[#This Row],[Education]],Table8[Education],Table8[Id_Education])</f>
        <v>E001</v>
      </c>
      <c r="K1286">
        <v>1</v>
      </c>
      <c r="L1286" t="str">
        <f>_xlfn.XLOOKUP(Table1[[#This Row],[EducationField]],Table7[EducationField],Table7[Id_EducationField])</f>
        <v>EF003</v>
      </c>
      <c r="M1286" t="s">
        <v>42</v>
      </c>
      <c r="N1286" t="str">
        <f>_xlfn.XLOOKUP(Table1[[#This Row],[EmployeeNumber]],Table4[EmployeeNumber],Table4[Id_Employee])</f>
        <v>EMP01285</v>
      </c>
      <c r="O1286">
        <v>1800</v>
      </c>
      <c r="P1286" t="str">
        <f>_xlfn.XLOOKUP(Table1[[#This Row],[EnvironmentSatisfaction]],Table9[EnvironmentSatisfaction],Table9[Id_EnviromentSatisfaction])</f>
        <v>ES003</v>
      </c>
      <c r="Q1286">
        <v>3</v>
      </c>
      <c r="R1286" t="str">
        <f>_xlfn.XLOOKUP(Table1[[#This Row],[EnvironmentSatisfaction]],Table9[EnvironmentSatisfaction],Table9[Deskripsi])</f>
        <v>High</v>
      </c>
      <c r="S1286" t="str">
        <f>_xlfn.XLOOKUP(Table1[[#This Row],[Gender]],Table10[Gender],Table10[Id_Gender])</f>
        <v>G002</v>
      </c>
      <c r="T1286" t="s">
        <v>46</v>
      </c>
      <c r="U1286">
        <v>65</v>
      </c>
      <c r="V1286" t="str">
        <f>_xlfn.XLOOKUP(Table1[[#This Row],[JobInvolvement]],Table11[JobInvolvement],Table11[Id_JobInvolvement])</f>
        <v>JI003</v>
      </c>
      <c r="W1286">
        <v>3</v>
      </c>
      <c r="X1286" t="str">
        <f>_xlfn.XLOOKUP(Table1[[#This Row],[JobLevel]],Table12[JobLevel],Table12[Id_JobLevel])</f>
        <v>JL003</v>
      </c>
      <c r="Y1286">
        <v>3</v>
      </c>
      <c r="Z1286" t="str">
        <f>_xlfn.XLOOKUP(Table1[[#This Row],[JobRole]],Table13[JobRole],Table13[Id_JobRole])</f>
        <v>JR008</v>
      </c>
      <c r="AA1286" t="s">
        <v>54</v>
      </c>
      <c r="AB1286" t="str">
        <f>_xlfn.XLOOKUP(Table1[[#This Row],[JobSatisfaction]],Table14[JobSatisfaction],Table14[Id_JobSatisfaction])</f>
        <v>JS003</v>
      </c>
      <c r="AC1286">
        <v>3</v>
      </c>
      <c r="AD1286" t="str">
        <f>_xlfn.XLOOKUP(Table1[[#This Row],[JobSatisfaction]],Table14[JobSatisfaction],Table14[Deskripsi])</f>
        <v>High</v>
      </c>
      <c r="AE1286" t="str">
        <f>_xlfn.XLOOKUP(Table1[[#This Row],[MaritalStatus]],Table15[MaritalStatus],Table15[Id_MaritalStatus])</f>
        <v>MS001</v>
      </c>
      <c r="AF1286" t="s">
        <v>55</v>
      </c>
      <c r="AG1286">
        <v>13464</v>
      </c>
      <c r="AH1286">
        <v>7914</v>
      </c>
      <c r="AI1286">
        <v>7</v>
      </c>
      <c r="AJ1286" t="str">
        <f>_xlfn.XLOOKUP(Table1[[#This Row],[OverTime]],Table16[OverTime],Table16[Id_OverTime])</f>
        <v>OT002</v>
      </c>
      <c r="AK1286" t="s">
        <v>33</v>
      </c>
      <c r="AL1286">
        <v>21</v>
      </c>
      <c r="AM1286" t="str">
        <f>_xlfn.XLOOKUP(Table1[[#This Row],[PerformanceRating]],Table17[PerformanceRating],Table17[Id_PerformanceRating])</f>
        <v>PR004</v>
      </c>
      <c r="AN1286">
        <v>4</v>
      </c>
      <c r="AO1286" t="str">
        <f>_xlfn.XLOOKUP(Table1[[#This Row],[PerformanceRating]],Table17[PerformanceRating],Table17[Deskripsi])</f>
        <v>Outstanding</v>
      </c>
      <c r="AP1286" t="str">
        <f>_xlfn.XLOOKUP(Table1[[#This Row],[RelationshipSatisfaction]],Table18[RelationshipSatisfaction],Table18[Id_RelationshipSatisfaction])</f>
        <v>RS003</v>
      </c>
      <c r="AQ1286">
        <v>3</v>
      </c>
      <c r="AR1286" t="str">
        <f>_xlfn.XLOOKUP(Table1[[#This Row],[RelationshipSatisfaction]],Table18[RelationshipSatisfaction],Table18[Deskripsi])</f>
        <v>High</v>
      </c>
      <c r="AS1286" t="str">
        <f>_xlfn.XLOOKUP(Table1[[#This Row],[StockOptionLevel]],Table19[StockOptionLevel],Table19[Id_StockOptionLevel])</f>
        <v>SOL001</v>
      </c>
      <c r="AT1286">
        <v>0</v>
      </c>
      <c r="AU1286" t="str">
        <f>_xlfn.XLOOKUP(Table1[[#This Row],[StockOptionLevel]],Table19[StockOptionLevel],Table19[Deskripsi])</f>
        <v>Non-Eligible</v>
      </c>
      <c r="AV1286">
        <v>9</v>
      </c>
      <c r="AW1286">
        <v>3</v>
      </c>
      <c r="AX1286" t="str">
        <f>_xlfn.XLOOKUP(Table1[[#This Row],[WorkLifeBalance]],Table20[WorkLifeBalance],Table20[Id_WorkLifeBalance])</f>
        <v>WLB002</v>
      </c>
      <c r="AY1286">
        <v>3</v>
      </c>
      <c r="AZ1286" t="str">
        <f>_xlfn.XLOOKUP(Table1[[#This Row],[WorkLifeBalance]],Table20[WorkLifeBalance],Table20[Deskripsi])</f>
        <v>Good</v>
      </c>
      <c r="BA1286">
        <v>4</v>
      </c>
      <c r="BB1286">
        <v>3</v>
      </c>
      <c r="BC1286">
        <v>2</v>
      </c>
      <c r="BD1286">
        <v>2</v>
      </c>
    </row>
    <row r="1287" spans="1:56" x14ac:dyDescent="0.25">
      <c r="A1287">
        <v>46</v>
      </c>
      <c r="B1287" t="str">
        <f>_xlfn.XLOOKUP(Table1[[#This Row],[Attrition]],Table2[Attrition],Table2[Id_Attrition])</f>
        <v>A002</v>
      </c>
      <c r="C1287" t="s">
        <v>33</v>
      </c>
      <c r="D1287" t="str">
        <f>_xlfn.XLOOKUP(Table1[[#This Row],[BusinessTravel]],Table5[BusinessTravel],Table5[Id_BusinessTravel])</f>
        <v>BS003</v>
      </c>
      <c r="E1287" t="s">
        <v>36</v>
      </c>
      <c r="F1287">
        <v>849</v>
      </c>
      <c r="G1287" t="str">
        <f>_xlfn.XLOOKUP(Table1[[#This Row],[Department]],Table6[Department],Table6[Id_Departement])</f>
        <v>D001</v>
      </c>
      <c r="H1287" t="s">
        <v>37</v>
      </c>
      <c r="I1287">
        <v>26</v>
      </c>
      <c r="J1287" t="str">
        <f>_xlfn.XLOOKUP(Table1[[#This Row],[Education]],Table8[Education],Table8[Id_Education])</f>
        <v>E002</v>
      </c>
      <c r="K1287">
        <v>2</v>
      </c>
      <c r="L1287" t="str">
        <f>_xlfn.XLOOKUP(Table1[[#This Row],[EducationField]],Table7[EducationField],Table7[Id_EducationField])</f>
        <v>EF001</v>
      </c>
      <c r="M1287" t="s">
        <v>40</v>
      </c>
      <c r="N1287" t="str">
        <f>_xlfn.XLOOKUP(Table1[[#This Row],[EmployeeNumber]],Table4[EmployeeNumber],Table4[Id_Employee])</f>
        <v>EMP01286</v>
      </c>
      <c r="O1287">
        <v>1801</v>
      </c>
      <c r="P1287" t="str">
        <f>_xlfn.XLOOKUP(Table1[[#This Row],[EnvironmentSatisfaction]],Table9[EnvironmentSatisfaction],Table9[Id_EnviromentSatisfaction])</f>
        <v>ES002</v>
      </c>
      <c r="Q1287">
        <v>2</v>
      </c>
      <c r="R1287" t="str">
        <f>_xlfn.XLOOKUP(Table1[[#This Row],[EnvironmentSatisfaction]],Table9[EnvironmentSatisfaction],Table9[Deskripsi])</f>
        <v>Medium</v>
      </c>
      <c r="S1287" t="str">
        <f>_xlfn.XLOOKUP(Table1[[#This Row],[Gender]],Table10[Gender],Table10[Id_Gender])</f>
        <v>G002</v>
      </c>
      <c r="T1287" t="s">
        <v>46</v>
      </c>
      <c r="U1287">
        <v>98</v>
      </c>
      <c r="V1287" t="str">
        <f>_xlfn.XLOOKUP(Table1[[#This Row],[JobInvolvement]],Table11[JobInvolvement],Table11[Id_JobInvolvement])</f>
        <v>JI002</v>
      </c>
      <c r="W1287">
        <v>2</v>
      </c>
      <c r="X1287" t="str">
        <f>_xlfn.XLOOKUP(Table1[[#This Row],[JobLevel]],Table12[JobLevel],Table12[Id_JobLevel])</f>
        <v>JL002</v>
      </c>
      <c r="Y1287">
        <v>2</v>
      </c>
      <c r="Z1287" t="str">
        <f>_xlfn.XLOOKUP(Table1[[#This Row],[JobRole]],Table13[JobRole],Table13[Id_JobRole])</f>
        <v>JR001</v>
      </c>
      <c r="AA1287" t="s">
        <v>47</v>
      </c>
      <c r="AB1287" t="str">
        <f>_xlfn.XLOOKUP(Table1[[#This Row],[JobSatisfaction]],Table14[JobSatisfaction],Table14[Id_JobSatisfaction])</f>
        <v>JS002</v>
      </c>
      <c r="AC1287">
        <v>2</v>
      </c>
      <c r="AD1287" t="str">
        <f>_xlfn.XLOOKUP(Table1[[#This Row],[JobSatisfaction]],Table14[JobSatisfaction],Table14[Deskripsi])</f>
        <v>Medium</v>
      </c>
      <c r="AE1287" t="str">
        <f>_xlfn.XLOOKUP(Table1[[#This Row],[MaritalStatus]],Table15[MaritalStatus],Table15[Id_MaritalStatus])</f>
        <v>MS001</v>
      </c>
      <c r="AF1287" t="s">
        <v>55</v>
      </c>
      <c r="AG1287">
        <v>7991</v>
      </c>
      <c r="AH1287">
        <v>25166</v>
      </c>
      <c r="AI1287">
        <v>8</v>
      </c>
      <c r="AJ1287" t="str">
        <f>_xlfn.XLOOKUP(Table1[[#This Row],[OverTime]],Table16[OverTime],Table16[Id_OverTime])</f>
        <v>OT002</v>
      </c>
      <c r="AK1287" t="s">
        <v>33</v>
      </c>
      <c r="AL1287">
        <v>15</v>
      </c>
      <c r="AM1287" t="str">
        <f>_xlfn.XLOOKUP(Table1[[#This Row],[PerformanceRating]],Table17[PerformanceRating],Table17[Id_PerformanceRating])</f>
        <v>PR003</v>
      </c>
      <c r="AN1287">
        <v>3</v>
      </c>
      <c r="AO1287" t="str">
        <f>_xlfn.XLOOKUP(Table1[[#This Row],[PerformanceRating]],Table17[PerformanceRating],Table17[Deskripsi])</f>
        <v>Excellent</v>
      </c>
      <c r="AP1287" t="str">
        <f>_xlfn.XLOOKUP(Table1[[#This Row],[RelationshipSatisfaction]],Table18[RelationshipSatisfaction],Table18[Id_RelationshipSatisfaction])</f>
        <v>RS003</v>
      </c>
      <c r="AQ1287">
        <v>3</v>
      </c>
      <c r="AR1287" t="str">
        <f>_xlfn.XLOOKUP(Table1[[#This Row],[RelationshipSatisfaction]],Table18[RelationshipSatisfaction],Table18[Deskripsi])</f>
        <v>High</v>
      </c>
      <c r="AS1287" t="str">
        <f>_xlfn.XLOOKUP(Table1[[#This Row],[StockOptionLevel]],Table19[StockOptionLevel],Table19[Id_StockOptionLevel])</f>
        <v>SOL001</v>
      </c>
      <c r="AT1287">
        <v>0</v>
      </c>
      <c r="AU1287" t="str">
        <f>_xlfn.XLOOKUP(Table1[[#This Row],[StockOptionLevel]],Table19[StockOptionLevel],Table19[Deskripsi])</f>
        <v>Non-Eligible</v>
      </c>
      <c r="AV1287">
        <v>6</v>
      </c>
      <c r="AW1287">
        <v>3</v>
      </c>
      <c r="AX1287" t="str">
        <f>_xlfn.XLOOKUP(Table1[[#This Row],[WorkLifeBalance]],Table20[WorkLifeBalance],Table20[Id_WorkLifeBalance])</f>
        <v>WLB002</v>
      </c>
      <c r="AY1287">
        <v>3</v>
      </c>
      <c r="AZ1287" t="str">
        <f>_xlfn.XLOOKUP(Table1[[#This Row],[WorkLifeBalance]],Table20[WorkLifeBalance],Table20[Deskripsi])</f>
        <v>Good</v>
      </c>
      <c r="BA1287">
        <v>2</v>
      </c>
      <c r="BB1287">
        <v>2</v>
      </c>
      <c r="BC1287">
        <v>2</v>
      </c>
      <c r="BD1287">
        <v>2</v>
      </c>
    </row>
    <row r="1288" spans="1:56" x14ac:dyDescent="0.25">
      <c r="A1288">
        <v>40</v>
      </c>
      <c r="B1288" t="str">
        <f>_xlfn.XLOOKUP(Table1[[#This Row],[Attrition]],Table2[Attrition],Table2[Id_Attrition])</f>
        <v>A002</v>
      </c>
      <c r="C1288" t="s">
        <v>33</v>
      </c>
      <c r="D1288" t="str">
        <f>_xlfn.XLOOKUP(Table1[[#This Row],[BusinessTravel]],Table5[BusinessTravel],Table5[Id_BusinessTravel])</f>
        <v>BS001</v>
      </c>
      <c r="E1288" t="s">
        <v>34</v>
      </c>
      <c r="F1288">
        <v>616</v>
      </c>
      <c r="G1288" t="str">
        <f>_xlfn.XLOOKUP(Table1[[#This Row],[Department]],Table6[Department],Table6[Id_Departement])</f>
        <v>D002</v>
      </c>
      <c r="H1288" t="s">
        <v>38</v>
      </c>
      <c r="I1288">
        <v>2</v>
      </c>
      <c r="J1288" t="str">
        <f>_xlfn.XLOOKUP(Table1[[#This Row],[Education]],Table8[Education],Table8[Id_Education])</f>
        <v>E002</v>
      </c>
      <c r="K1288">
        <v>2</v>
      </c>
      <c r="L1288" t="str">
        <f>_xlfn.XLOOKUP(Table1[[#This Row],[EducationField]],Table7[EducationField],Table7[Id_EducationField])</f>
        <v>EF001</v>
      </c>
      <c r="M1288" t="s">
        <v>40</v>
      </c>
      <c r="N1288" t="str">
        <f>_xlfn.XLOOKUP(Table1[[#This Row],[EmployeeNumber]],Table4[EmployeeNumber],Table4[Id_Employee])</f>
        <v>EMP01287</v>
      </c>
      <c r="O1288">
        <v>1802</v>
      </c>
      <c r="P1288" t="str">
        <f>_xlfn.XLOOKUP(Table1[[#This Row],[EnvironmentSatisfaction]],Table9[EnvironmentSatisfaction],Table9[Id_EnviromentSatisfaction])</f>
        <v>ES003</v>
      </c>
      <c r="Q1288">
        <v>3</v>
      </c>
      <c r="R1288" t="str">
        <f>_xlfn.XLOOKUP(Table1[[#This Row],[EnvironmentSatisfaction]],Table9[EnvironmentSatisfaction],Table9[Deskripsi])</f>
        <v>High</v>
      </c>
      <c r="S1288" t="str">
        <f>_xlfn.XLOOKUP(Table1[[#This Row],[Gender]],Table10[Gender],Table10[Id_Gender])</f>
        <v>G001</v>
      </c>
      <c r="T1288" t="s">
        <v>45</v>
      </c>
      <c r="U1288">
        <v>99</v>
      </c>
      <c r="V1288" t="str">
        <f>_xlfn.XLOOKUP(Table1[[#This Row],[JobInvolvement]],Table11[JobInvolvement],Table11[Id_JobInvolvement])</f>
        <v>JI003</v>
      </c>
      <c r="W1288">
        <v>3</v>
      </c>
      <c r="X1288" t="str">
        <f>_xlfn.XLOOKUP(Table1[[#This Row],[JobLevel]],Table12[JobLevel],Table12[Id_JobLevel])</f>
        <v>JL001</v>
      </c>
      <c r="Y1288">
        <v>1</v>
      </c>
      <c r="Z1288" t="str">
        <f>_xlfn.XLOOKUP(Table1[[#This Row],[JobRole]],Table13[JobRole],Table13[Id_JobRole])</f>
        <v>JR003</v>
      </c>
      <c r="AA1288" t="s">
        <v>49</v>
      </c>
      <c r="AB1288" t="str">
        <f>_xlfn.XLOOKUP(Table1[[#This Row],[JobSatisfaction]],Table14[JobSatisfaction],Table14[Id_JobSatisfaction])</f>
        <v>JS001</v>
      </c>
      <c r="AC1288">
        <v>1</v>
      </c>
      <c r="AD1288" t="str">
        <f>_xlfn.XLOOKUP(Table1[[#This Row],[JobSatisfaction]],Table14[JobSatisfaction],Table14[Deskripsi])</f>
        <v>Low</v>
      </c>
      <c r="AE1288" t="str">
        <f>_xlfn.XLOOKUP(Table1[[#This Row],[MaritalStatus]],Table15[MaritalStatus],Table15[Id_MaritalStatus])</f>
        <v>MS002</v>
      </c>
      <c r="AF1288" t="s">
        <v>56</v>
      </c>
      <c r="AG1288">
        <v>3377</v>
      </c>
      <c r="AH1288">
        <v>25605</v>
      </c>
      <c r="AI1288">
        <v>4</v>
      </c>
      <c r="AJ1288" t="str">
        <f>_xlfn.XLOOKUP(Table1[[#This Row],[OverTime]],Table16[OverTime],Table16[Id_OverTime])</f>
        <v>OT002</v>
      </c>
      <c r="AK1288" t="s">
        <v>33</v>
      </c>
      <c r="AL1288">
        <v>17</v>
      </c>
      <c r="AM1288" t="str">
        <f>_xlfn.XLOOKUP(Table1[[#This Row],[PerformanceRating]],Table17[PerformanceRating],Table17[Id_PerformanceRating])</f>
        <v>PR003</v>
      </c>
      <c r="AN1288">
        <v>3</v>
      </c>
      <c r="AO1288" t="str">
        <f>_xlfn.XLOOKUP(Table1[[#This Row],[PerformanceRating]],Table17[PerformanceRating],Table17[Deskripsi])</f>
        <v>Excellent</v>
      </c>
      <c r="AP1288" t="str">
        <f>_xlfn.XLOOKUP(Table1[[#This Row],[RelationshipSatisfaction]],Table18[RelationshipSatisfaction],Table18[Id_RelationshipSatisfaction])</f>
        <v>RS004</v>
      </c>
      <c r="AQ1288">
        <v>4</v>
      </c>
      <c r="AR1288" t="str">
        <f>_xlfn.XLOOKUP(Table1[[#This Row],[RelationshipSatisfaction]],Table18[RelationshipSatisfaction],Table18[Deskripsi])</f>
        <v>Very High</v>
      </c>
      <c r="AS1288" t="str">
        <f>_xlfn.XLOOKUP(Table1[[#This Row],[StockOptionLevel]],Table19[StockOptionLevel],Table19[Id_StockOptionLevel])</f>
        <v>SOL002</v>
      </c>
      <c r="AT1288">
        <v>1</v>
      </c>
      <c r="AU1288" t="str">
        <f>_xlfn.XLOOKUP(Table1[[#This Row],[StockOptionLevel]],Table19[StockOptionLevel],Table19[Deskripsi])</f>
        <v>Standard</v>
      </c>
      <c r="AV1288">
        <v>7</v>
      </c>
      <c r="AW1288">
        <v>5</v>
      </c>
      <c r="AX1288" t="str">
        <f>_xlfn.XLOOKUP(Table1[[#This Row],[WorkLifeBalance]],Table20[WorkLifeBalance],Table20[Id_WorkLifeBalance])</f>
        <v>WLB003</v>
      </c>
      <c r="AY1288">
        <v>2</v>
      </c>
      <c r="AZ1288" t="str">
        <f>_xlfn.XLOOKUP(Table1[[#This Row],[WorkLifeBalance]],Table20[WorkLifeBalance],Table20[Deskripsi])</f>
        <v>Better</v>
      </c>
      <c r="BA1288">
        <v>4</v>
      </c>
      <c r="BB1288">
        <v>3</v>
      </c>
      <c r="BC1288">
        <v>0</v>
      </c>
      <c r="BD1288">
        <v>2</v>
      </c>
    </row>
    <row r="1289" spans="1:56" x14ac:dyDescent="0.25">
      <c r="A1289">
        <v>42</v>
      </c>
      <c r="B1289" t="str">
        <f>_xlfn.XLOOKUP(Table1[[#This Row],[Attrition]],Table2[Attrition],Table2[Id_Attrition])</f>
        <v>A002</v>
      </c>
      <c r="C1289" t="s">
        <v>33</v>
      </c>
      <c r="D1289" t="str">
        <f>_xlfn.XLOOKUP(Table1[[#This Row],[BusinessTravel]],Table5[BusinessTravel],Table5[Id_BusinessTravel])</f>
        <v>BS001</v>
      </c>
      <c r="E1289" t="s">
        <v>34</v>
      </c>
      <c r="F1289">
        <v>1128</v>
      </c>
      <c r="G1289" t="str">
        <f>_xlfn.XLOOKUP(Table1[[#This Row],[Department]],Table6[Department],Table6[Id_Departement])</f>
        <v>D002</v>
      </c>
      <c r="H1289" t="s">
        <v>38</v>
      </c>
      <c r="I1289">
        <v>13</v>
      </c>
      <c r="J1289" t="str">
        <f>_xlfn.XLOOKUP(Table1[[#This Row],[Education]],Table8[Education],Table8[Id_Education])</f>
        <v>E003</v>
      </c>
      <c r="K1289">
        <v>3</v>
      </c>
      <c r="L1289" t="str">
        <f>_xlfn.XLOOKUP(Table1[[#This Row],[EducationField]],Table7[EducationField],Table7[Id_EducationField])</f>
        <v>EF003</v>
      </c>
      <c r="M1289" t="s">
        <v>42</v>
      </c>
      <c r="N1289" t="str">
        <f>_xlfn.XLOOKUP(Table1[[#This Row],[EmployeeNumber]],Table4[EmployeeNumber],Table4[Id_Employee])</f>
        <v>EMP01288</v>
      </c>
      <c r="O1289">
        <v>1803</v>
      </c>
      <c r="P1289" t="str">
        <f>_xlfn.XLOOKUP(Table1[[#This Row],[EnvironmentSatisfaction]],Table9[EnvironmentSatisfaction],Table9[Id_EnviromentSatisfaction])</f>
        <v>ES002</v>
      </c>
      <c r="Q1289">
        <v>2</v>
      </c>
      <c r="R1289" t="str">
        <f>_xlfn.XLOOKUP(Table1[[#This Row],[EnvironmentSatisfaction]],Table9[EnvironmentSatisfaction],Table9[Deskripsi])</f>
        <v>Medium</v>
      </c>
      <c r="S1289" t="str">
        <f>_xlfn.XLOOKUP(Table1[[#This Row],[Gender]],Table10[Gender],Table10[Id_Gender])</f>
        <v>G002</v>
      </c>
      <c r="T1289" t="s">
        <v>46</v>
      </c>
      <c r="U1289">
        <v>95</v>
      </c>
      <c r="V1289" t="str">
        <f>_xlfn.XLOOKUP(Table1[[#This Row],[JobInvolvement]],Table11[JobInvolvement],Table11[Id_JobInvolvement])</f>
        <v>JI004</v>
      </c>
      <c r="W1289">
        <v>4</v>
      </c>
      <c r="X1289" t="str">
        <f>_xlfn.XLOOKUP(Table1[[#This Row],[JobLevel]],Table12[JobLevel],Table12[Id_JobLevel])</f>
        <v>JL002</v>
      </c>
      <c r="Y1289">
        <v>2</v>
      </c>
      <c r="Z1289" t="str">
        <f>_xlfn.XLOOKUP(Table1[[#This Row],[JobRole]],Table13[JobRole],Table13[Id_JobRole])</f>
        <v>JR005</v>
      </c>
      <c r="AA1289" t="s">
        <v>51</v>
      </c>
      <c r="AB1289" t="str">
        <f>_xlfn.XLOOKUP(Table1[[#This Row],[JobSatisfaction]],Table14[JobSatisfaction],Table14[Id_JobSatisfaction])</f>
        <v>JS001</v>
      </c>
      <c r="AC1289">
        <v>1</v>
      </c>
      <c r="AD1289" t="str">
        <f>_xlfn.XLOOKUP(Table1[[#This Row],[JobSatisfaction]],Table14[JobSatisfaction],Table14[Deskripsi])</f>
        <v>Low</v>
      </c>
      <c r="AE1289" t="str">
        <f>_xlfn.XLOOKUP(Table1[[#This Row],[MaritalStatus]],Table15[MaritalStatus],Table15[Id_MaritalStatus])</f>
        <v>MS002</v>
      </c>
      <c r="AF1289" t="s">
        <v>56</v>
      </c>
      <c r="AG1289">
        <v>5538</v>
      </c>
      <c r="AH1289">
        <v>5696</v>
      </c>
      <c r="AI1289">
        <v>5</v>
      </c>
      <c r="AJ1289" t="str">
        <f>_xlfn.XLOOKUP(Table1[[#This Row],[OverTime]],Table16[OverTime],Table16[Id_OverTime])</f>
        <v>OT002</v>
      </c>
      <c r="AK1289" t="s">
        <v>33</v>
      </c>
      <c r="AL1289">
        <v>18</v>
      </c>
      <c r="AM1289" t="str">
        <f>_xlfn.XLOOKUP(Table1[[#This Row],[PerformanceRating]],Table17[PerformanceRating],Table17[Id_PerformanceRating])</f>
        <v>PR003</v>
      </c>
      <c r="AN1289">
        <v>3</v>
      </c>
      <c r="AO1289" t="str">
        <f>_xlfn.XLOOKUP(Table1[[#This Row],[PerformanceRating]],Table17[PerformanceRating],Table17[Deskripsi])</f>
        <v>Excellent</v>
      </c>
      <c r="AP1289" t="str">
        <f>_xlfn.XLOOKUP(Table1[[#This Row],[RelationshipSatisfaction]],Table18[RelationshipSatisfaction],Table18[Id_RelationshipSatisfaction])</f>
        <v>RS003</v>
      </c>
      <c r="AQ1289">
        <v>3</v>
      </c>
      <c r="AR1289" t="str">
        <f>_xlfn.XLOOKUP(Table1[[#This Row],[RelationshipSatisfaction]],Table18[RelationshipSatisfaction],Table18[Deskripsi])</f>
        <v>High</v>
      </c>
      <c r="AS1289" t="str">
        <f>_xlfn.XLOOKUP(Table1[[#This Row],[StockOptionLevel]],Table19[StockOptionLevel],Table19[Id_StockOptionLevel])</f>
        <v>SOL003</v>
      </c>
      <c r="AT1289">
        <v>2</v>
      </c>
      <c r="AU1289" t="str">
        <f>_xlfn.XLOOKUP(Table1[[#This Row],[StockOptionLevel]],Table19[StockOptionLevel],Table19[Deskripsi])</f>
        <v>Intermediate</v>
      </c>
      <c r="AV1289">
        <v>10</v>
      </c>
      <c r="AW1289">
        <v>2</v>
      </c>
      <c r="AX1289" t="str">
        <f>_xlfn.XLOOKUP(Table1[[#This Row],[WorkLifeBalance]],Table20[WorkLifeBalance],Table20[Id_WorkLifeBalance])</f>
        <v>WLB003</v>
      </c>
      <c r="AY1289">
        <v>2</v>
      </c>
      <c r="AZ1289" t="str">
        <f>_xlfn.XLOOKUP(Table1[[#This Row],[WorkLifeBalance]],Table20[WorkLifeBalance],Table20[Deskripsi])</f>
        <v>Better</v>
      </c>
      <c r="BA1289">
        <v>0</v>
      </c>
      <c r="BB1289">
        <v>0</v>
      </c>
      <c r="BC1289">
        <v>0</v>
      </c>
      <c r="BD1289">
        <v>0</v>
      </c>
    </row>
    <row r="1290" spans="1:56" x14ac:dyDescent="0.25">
      <c r="A1290">
        <v>35</v>
      </c>
      <c r="B1290" t="str">
        <f>_xlfn.XLOOKUP(Table1[[#This Row],[Attrition]],Table2[Attrition],Table2[Id_Attrition])</f>
        <v>A002</v>
      </c>
      <c r="C1290" t="s">
        <v>33</v>
      </c>
      <c r="D1290" t="str">
        <f>_xlfn.XLOOKUP(Table1[[#This Row],[BusinessTravel]],Table5[BusinessTravel],Table5[Id_BusinessTravel])</f>
        <v>BS003</v>
      </c>
      <c r="E1290" t="s">
        <v>36</v>
      </c>
      <c r="F1290">
        <v>1180</v>
      </c>
      <c r="G1290" t="str">
        <f>_xlfn.XLOOKUP(Table1[[#This Row],[Department]],Table6[Department],Table6[Id_Departement])</f>
        <v>D002</v>
      </c>
      <c r="H1290" t="s">
        <v>38</v>
      </c>
      <c r="I1290">
        <v>2</v>
      </c>
      <c r="J1290" t="str">
        <f>_xlfn.XLOOKUP(Table1[[#This Row],[Education]],Table8[Education],Table8[Id_Education])</f>
        <v>E002</v>
      </c>
      <c r="K1290">
        <v>2</v>
      </c>
      <c r="L1290" t="str">
        <f>_xlfn.XLOOKUP(Table1[[#This Row],[EducationField]],Table7[EducationField],Table7[Id_EducationField])</f>
        <v>EF003</v>
      </c>
      <c r="M1290" t="s">
        <v>42</v>
      </c>
      <c r="N1290" t="str">
        <f>_xlfn.XLOOKUP(Table1[[#This Row],[EmployeeNumber]],Table4[EmployeeNumber],Table4[Id_Employee])</f>
        <v>EMP01289</v>
      </c>
      <c r="O1290">
        <v>1804</v>
      </c>
      <c r="P1290" t="str">
        <f>_xlfn.XLOOKUP(Table1[[#This Row],[EnvironmentSatisfaction]],Table9[EnvironmentSatisfaction],Table9[Id_EnviromentSatisfaction])</f>
        <v>ES002</v>
      </c>
      <c r="Q1290">
        <v>2</v>
      </c>
      <c r="R1290" t="str">
        <f>_xlfn.XLOOKUP(Table1[[#This Row],[EnvironmentSatisfaction]],Table9[EnvironmentSatisfaction],Table9[Deskripsi])</f>
        <v>Medium</v>
      </c>
      <c r="S1290" t="str">
        <f>_xlfn.XLOOKUP(Table1[[#This Row],[Gender]],Table10[Gender],Table10[Id_Gender])</f>
        <v>G002</v>
      </c>
      <c r="T1290" t="s">
        <v>46</v>
      </c>
      <c r="U1290">
        <v>90</v>
      </c>
      <c r="V1290" t="str">
        <f>_xlfn.XLOOKUP(Table1[[#This Row],[JobInvolvement]],Table11[JobInvolvement],Table11[Id_JobInvolvement])</f>
        <v>JI003</v>
      </c>
      <c r="W1290">
        <v>3</v>
      </c>
      <c r="X1290" t="str">
        <f>_xlfn.XLOOKUP(Table1[[#This Row],[JobLevel]],Table12[JobLevel],Table12[Id_JobLevel])</f>
        <v>JL002</v>
      </c>
      <c r="Y1290">
        <v>2</v>
      </c>
      <c r="Z1290" t="str">
        <f>_xlfn.XLOOKUP(Table1[[#This Row],[JobRole]],Table13[JobRole],Table13[Id_JobRole])</f>
        <v>JR004</v>
      </c>
      <c r="AA1290" t="s">
        <v>50</v>
      </c>
      <c r="AB1290" t="str">
        <f>_xlfn.XLOOKUP(Table1[[#This Row],[JobSatisfaction]],Table14[JobSatisfaction],Table14[Id_JobSatisfaction])</f>
        <v>JS004</v>
      </c>
      <c r="AC1290">
        <v>4</v>
      </c>
      <c r="AD1290" t="str">
        <f>_xlfn.XLOOKUP(Table1[[#This Row],[JobSatisfaction]],Table14[JobSatisfaction],Table14[Deskripsi])</f>
        <v>Very High</v>
      </c>
      <c r="AE1290" t="str">
        <f>_xlfn.XLOOKUP(Table1[[#This Row],[MaritalStatus]],Table15[MaritalStatus],Table15[Id_MaritalStatus])</f>
        <v>MS003</v>
      </c>
      <c r="AF1290" t="s">
        <v>57</v>
      </c>
      <c r="AG1290">
        <v>5762</v>
      </c>
      <c r="AH1290">
        <v>24442</v>
      </c>
      <c r="AI1290">
        <v>2</v>
      </c>
      <c r="AJ1290" t="str">
        <f>_xlfn.XLOOKUP(Table1[[#This Row],[OverTime]],Table16[OverTime],Table16[Id_OverTime])</f>
        <v>OT002</v>
      </c>
      <c r="AK1290" t="s">
        <v>33</v>
      </c>
      <c r="AL1290">
        <v>14</v>
      </c>
      <c r="AM1290" t="str">
        <f>_xlfn.XLOOKUP(Table1[[#This Row],[PerformanceRating]],Table17[PerformanceRating],Table17[Id_PerformanceRating])</f>
        <v>PR003</v>
      </c>
      <c r="AN1290">
        <v>3</v>
      </c>
      <c r="AO1290" t="str">
        <f>_xlfn.XLOOKUP(Table1[[#This Row],[PerformanceRating]],Table17[PerformanceRating],Table17[Deskripsi])</f>
        <v>Excellent</v>
      </c>
      <c r="AP1290" t="str">
        <f>_xlfn.XLOOKUP(Table1[[#This Row],[RelationshipSatisfaction]],Table18[RelationshipSatisfaction],Table18[Id_RelationshipSatisfaction])</f>
        <v>RS003</v>
      </c>
      <c r="AQ1290">
        <v>3</v>
      </c>
      <c r="AR1290" t="str">
        <f>_xlfn.XLOOKUP(Table1[[#This Row],[RelationshipSatisfaction]],Table18[RelationshipSatisfaction],Table18[Deskripsi])</f>
        <v>High</v>
      </c>
      <c r="AS1290" t="str">
        <f>_xlfn.XLOOKUP(Table1[[#This Row],[StockOptionLevel]],Table19[StockOptionLevel],Table19[Id_StockOptionLevel])</f>
        <v>SOL002</v>
      </c>
      <c r="AT1290">
        <v>1</v>
      </c>
      <c r="AU1290" t="str">
        <f>_xlfn.XLOOKUP(Table1[[#This Row],[StockOptionLevel]],Table19[StockOptionLevel],Table19[Deskripsi])</f>
        <v>Standard</v>
      </c>
      <c r="AV1290">
        <v>15</v>
      </c>
      <c r="AW1290">
        <v>6</v>
      </c>
      <c r="AX1290" t="str">
        <f>_xlfn.XLOOKUP(Table1[[#This Row],[WorkLifeBalance]],Table20[WorkLifeBalance],Table20[Id_WorkLifeBalance])</f>
        <v>WLB002</v>
      </c>
      <c r="AY1290">
        <v>3</v>
      </c>
      <c r="AZ1290" t="str">
        <f>_xlfn.XLOOKUP(Table1[[#This Row],[WorkLifeBalance]],Table20[WorkLifeBalance],Table20[Deskripsi])</f>
        <v>Good</v>
      </c>
      <c r="BA1290">
        <v>7</v>
      </c>
      <c r="BB1290">
        <v>7</v>
      </c>
      <c r="BC1290">
        <v>1</v>
      </c>
      <c r="BD1290">
        <v>7</v>
      </c>
    </row>
    <row r="1291" spans="1:56" x14ac:dyDescent="0.25">
      <c r="A1291">
        <v>38</v>
      </c>
      <c r="B1291" t="str">
        <f>_xlfn.XLOOKUP(Table1[[#This Row],[Attrition]],Table2[Attrition],Table2[Id_Attrition])</f>
        <v>A002</v>
      </c>
      <c r="C1291" t="s">
        <v>33</v>
      </c>
      <c r="D1291" t="str">
        <f>_xlfn.XLOOKUP(Table1[[#This Row],[BusinessTravel]],Table5[BusinessTravel],Table5[Id_BusinessTravel])</f>
        <v>BS003</v>
      </c>
      <c r="E1291" t="s">
        <v>36</v>
      </c>
      <c r="F1291">
        <v>1336</v>
      </c>
      <c r="G1291" t="str">
        <f>_xlfn.XLOOKUP(Table1[[#This Row],[Department]],Table6[Department],Table6[Id_Departement])</f>
        <v>D003</v>
      </c>
      <c r="H1291" t="s">
        <v>39</v>
      </c>
      <c r="I1291">
        <v>2</v>
      </c>
      <c r="J1291" t="str">
        <f>_xlfn.XLOOKUP(Table1[[#This Row],[Education]],Table8[Education],Table8[Id_Education])</f>
        <v>E003</v>
      </c>
      <c r="K1291">
        <v>3</v>
      </c>
      <c r="L1291" t="str">
        <f>_xlfn.XLOOKUP(Table1[[#This Row],[EducationField]],Table7[EducationField],Table7[Id_EducationField])</f>
        <v>EF006</v>
      </c>
      <c r="M1291" t="s">
        <v>39</v>
      </c>
      <c r="N1291" t="str">
        <f>_xlfn.XLOOKUP(Table1[[#This Row],[EmployeeNumber]],Table4[EmployeeNumber],Table4[Id_Employee])</f>
        <v>EMP01290</v>
      </c>
      <c r="O1291">
        <v>1805</v>
      </c>
      <c r="P1291" t="str">
        <f>_xlfn.XLOOKUP(Table1[[#This Row],[EnvironmentSatisfaction]],Table9[EnvironmentSatisfaction],Table9[Id_EnviromentSatisfaction])</f>
        <v>ES001</v>
      </c>
      <c r="Q1291">
        <v>1</v>
      </c>
      <c r="R1291" t="str">
        <f>_xlfn.XLOOKUP(Table1[[#This Row],[EnvironmentSatisfaction]],Table9[EnvironmentSatisfaction],Table9[Deskripsi])</f>
        <v>Low</v>
      </c>
      <c r="S1291" t="str">
        <f>_xlfn.XLOOKUP(Table1[[#This Row],[Gender]],Table10[Gender],Table10[Id_Gender])</f>
        <v>G002</v>
      </c>
      <c r="T1291" t="s">
        <v>46</v>
      </c>
      <c r="U1291">
        <v>100</v>
      </c>
      <c r="V1291" t="str">
        <f>_xlfn.XLOOKUP(Table1[[#This Row],[JobInvolvement]],Table11[JobInvolvement],Table11[Id_JobInvolvement])</f>
        <v>JI003</v>
      </c>
      <c r="W1291">
        <v>3</v>
      </c>
      <c r="X1291" t="str">
        <f>_xlfn.XLOOKUP(Table1[[#This Row],[JobLevel]],Table12[JobLevel],Table12[Id_JobLevel])</f>
        <v>JL001</v>
      </c>
      <c r="Y1291">
        <v>1</v>
      </c>
      <c r="Z1291" t="str">
        <f>_xlfn.XLOOKUP(Table1[[#This Row],[JobRole]],Table13[JobRole],Table13[Id_JobRole])</f>
        <v>JR009</v>
      </c>
      <c r="AA1291" t="s">
        <v>39</v>
      </c>
      <c r="AB1291" t="str">
        <f>_xlfn.XLOOKUP(Table1[[#This Row],[JobSatisfaction]],Table14[JobSatisfaction],Table14[Id_JobSatisfaction])</f>
        <v>JS002</v>
      </c>
      <c r="AC1291">
        <v>2</v>
      </c>
      <c r="AD1291" t="str">
        <f>_xlfn.XLOOKUP(Table1[[#This Row],[JobSatisfaction]],Table14[JobSatisfaction],Table14[Deskripsi])</f>
        <v>Medium</v>
      </c>
      <c r="AE1291" t="str">
        <f>_xlfn.XLOOKUP(Table1[[#This Row],[MaritalStatus]],Table15[MaritalStatus],Table15[Id_MaritalStatus])</f>
        <v>MS003</v>
      </c>
      <c r="AF1291" t="s">
        <v>57</v>
      </c>
      <c r="AG1291">
        <v>2592</v>
      </c>
      <c r="AH1291">
        <v>7129</v>
      </c>
      <c r="AI1291">
        <v>5</v>
      </c>
      <c r="AJ1291" t="str">
        <f>_xlfn.XLOOKUP(Table1[[#This Row],[OverTime]],Table16[OverTime],Table16[Id_OverTime])</f>
        <v>OT002</v>
      </c>
      <c r="AK1291" t="s">
        <v>33</v>
      </c>
      <c r="AL1291">
        <v>13</v>
      </c>
      <c r="AM1291" t="str">
        <f>_xlfn.XLOOKUP(Table1[[#This Row],[PerformanceRating]],Table17[PerformanceRating],Table17[Id_PerformanceRating])</f>
        <v>PR003</v>
      </c>
      <c r="AN1291">
        <v>3</v>
      </c>
      <c r="AO1291" t="str">
        <f>_xlfn.XLOOKUP(Table1[[#This Row],[PerformanceRating]],Table17[PerformanceRating],Table17[Deskripsi])</f>
        <v>Excellent</v>
      </c>
      <c r="AP1291" t="str">
        <f>_xlfn.XLOOKUP(Table1[[#This Row],[RelationshipSatisfaction]],Table18[RelationshipSatisfaction],Table18[Id_RelationshipSatisfaction])</f>
        <v>RS004</v>
      </c>
      <c r="AQ1291">
        <v>4</v>
      </c>
      <c r="AR1291" t="str">
        <f>_xlfn.XLOOKUP(Table1[[#This Row],[RelationshipSatisfaction]],Table18[RelationshipSatisfaction],Table18[Deskripsi])</f>
        <v>Very High</v>
      </c>
      <c r="AS1291" t="str">
        <f>_xlfn.XLOOKUP(Table1[[#This Row],[StockOptionLevel]],Table19[StockOptionLevel],Table19[Id_StockOptionLevel])</f>
        <v>SOL004</v>
      </c>
      <c r="AT1291">
        <v>3</v>
      </c>
      <c r="AU1291" t="str">
        <f>_xlfn.XLOOKUP(Table1[[#This Row],[StockOptionLevel]],Table19[StockOptionLevel],Table19[Deskripsi])</f>
        <v>Senior/Executive</v>
      </c>
      <c r="AV1291">
        <v>13</v>
      </c>
      <c r="AW1291">
        <v>3</v>
      </c>
      <c r="AX1291" t="str">
        <f>_xlfn.XLOOKUP(Table1[[#This Row],[WorkLifeBalance]],Table20[WorkLifeBalance],Table20[Id_WorkLifeBalance])</f>
        <v>WLB002</v>
      </c>
      <c r="AY1291">
        <v>3</v>
      </c>
      <c r="AZ1291" t="str">
        <f>_xlfn.XLOOKUP(Table1[[#This Row],[WorkLifeBalance]],Table20[WorkLifeBalance],Table20[Deskripsi])</f>
        <v>Good</v>
      </c>
      <c r="BA1291">
        <v>11</v>
      </c>
      <c r="BB1291">
        <v>10</v>
      </c>
      <c r="BC1291">
        <v>3</v>
      </c>
      <c r="BD1291">
        <v>8</v>
      </c>
    </row>
    <row r="1292" spans="1:56" x14ac:dyDescent="0.25">
      <c r="A1292">
        <v>34</v>
      </c>
      <c r="B1292" t="str">
        <f>_xlfn.XLOOKUP(Table1[[#This Row],[Attrition]],Table2[Attrition],Table2[Id_Attrition])</f>
        <v>A001</v>
      </c>
      <c r="C1292" t="s">
        <v>32</v>
      </c>
      <c r="D1292" t="str">
        <f>_xlfn.XLOOKUP(Table1[[#This Row],[BusinessTravel]],Table5[BusinessTravel],Table5[Id_BusinessTravel])</f>
        <v>BS002</v>
      </c>
      <c r="E1292" t="s">
        <v>35</v>
      </c>
      <c r="F1292">
        <v>234</v>
      </c>
      <c r="G1292" t="str">
        <f>_xlfn.XLOOKUP(Table1[[#This Row],[Department]],Table6[Department],Table6[Id_Departement])</f>
        <v>D002</v>
      </c>
      <c r="H1292" t="s">
        <v>38</v>
      </c>
      <c r="I1292">
        <v>9</v>
      </c>
      <c r="J1292" t="str">
        <f>_xlfn.XLOOKUP(Table1[[#This Row],[Education]],Table8[Education],Table8[Id_Education])</f>
        <v>E004</v>
      </c>
      <c r="K1292">
        <v>4</v>
      </c>
      <c r="L1292" t="str">
        <f>_xlfn.XLOOKUP(Table1[[#This Row],[EducationField]],Table7[EducationField],Table7[Id_EducationField])</f>
        <v>EF001</v>
      </c>
      <c r="M1292" t="s">
        <v>40</v>
      </c>
      <c r="N1292" t="str">
        <f>_xlfn.XLOOKUP(Table1[[#This Row],[EmployeeNumber]],Table4[EmployeeNumber],Table4[Id_Employee])</f>
        <v>EMP01291</v>
      </c>
      <c r="O1292">
        <v>1807</v>
      </c>
      <c r="P1292" t="str">
        <f>_xlfn.XLOOKUP(Table1[[#This Row],[EnvironmentSatisfaction]],Table9[EnvironmentSatisfaction],Table9[Id_EnviromentSatisfaction])</f>
        <v>ES004</v>
      </c>
      <c r="Q1292">
        <v>4</v>
      </c>
      <c r="R1292" t="str">
        <f>_xlfn.XLOOKUP(Table1[[#This Row],[EnvironmentSatisfaction]],Table9[EnvironmentSatisfaction],Table9[Deskripsi])</f>
        <v>Very High</v>
      </c>
      <c r="S1292" t="str">
        <f>_xlfn.XLOOKUP(Table1[[#This Row],[Gender]],Table10[Gender],Table10[Id_Gender])</f>
        <v>G002</v>
      </c>
      <c r="T1292" t="s">
        <v>46</v>
      </c>
      <c r="U1292">
        <v>93</v>
      </c>
      <c r="V1292" t="str">
        <f>_xlfn.XLOOKUP(Table1[[#This Row],[JobInvolvement]],Table11[JobInvolvement],Table11[Id_JobInvolvement])</f>
        <v>JI003</v>
      </c>
      <c r="W1292">
        <v>3</v>
      </c>
      <c r="X1292" t="str">
        <f>_xlfn.XLOOKUP(Table1[[#This Row],[JobLevel]],Table12[JobLevel],Table12[Id_JobLevel])</f>
        <v>JL002</v>
      </c>
      <c r="Y1292">
        <v>2</v>
      </c>
      <c r="Z1292" t="str">
        <f>_xlfn.XLOOKUP(Table1[[#This Row],[JobRole]],Table13[JobRole],Table13[Id_JobRole])</f>
        <v>JR003</v>
      </c>
      <c r="AA1292" t="s">
        <v>49</v>
      </c>
      <c r="AB1292" t="str">
        <f>_xlfn.XLOOKUP(Table1[[#This Row],[JobSatisfaction]],Table14[JobSatisfaction],Table14[Id_JobSatisfaction])</f>
        <v>JS001</v>
      </c>
      <c r="AC1292">
        <v>1</v>
      </c>
      <c r="AD1292" t="str">
        <f>_xlfn.XLOOKUP(Table1[[#This Row],[JobSatisfaction]],Table14[JobSatisfaction],Table14[Deskripsi])</f>
        <v>Low</v>
      </c>
      <c r="AE1292" t="str">
        <f>_xlfn.XLOOKUP(Table1[[#This Row],[MaritalStatus]],Table15[MaritalStatus],Table15[Id_MaritalStatus])</f>
        <v>MS002</v>
      </c>
      <c r="AF1292" t="s">
        <v>56</v>
      </c>
      <c r="AG1292">
        <v>5346</v>
      </c>
      <c r="AH1292">
        <v>6208</v>
      </c>
      <c r="AI1292">
        <v>4</v>
      </c>
      <c r="AJ1292" t="str">
        <f>_xlfn.XLOOKUP(Table1[[#This Row],[OverTime]],Table16[OverTime],Table16[Id_OverTime])</f>
        <v>OT002</v>
      </c>
      <c r="AK1292" t="s">
        <v>33</v>
      </c>
      <c r="AL1292">
        <v>17</v>
      </c>
      <c r="AM1292" t="str">
        <f>_xlfn.XLOOKUP(Table1[[#This Row],[PerformanceRating]],Table17[PerformanceRating],Table17[Id_PerformanceRating])</f>
        <v>PR003</v>
      </c>
      <c r="AN1292">
        <v>3</v>
      </c>
      <c r="AO1292" t="str">
        <f>_xlfn.XLOOKUP(Table1[[#This Row],[PerformanceRating]],Table17[PerformanceRating],Table17[Deskripsi])</f>
        <v>Excellent</v>
      </c>
      <c r="AP1292" t="str">
        <f>_xlfn.XLOOKUP(Table1[[#This Row],[RelationshipSatisfaction]],Table18[RelationshipSatisfaction],Table18[Id_RelationshipSatisfaction])</f>
        <v>RS003</v>
      </c>
      <c r="AQ1292">
        <v>3</v>
      </c>
      <c r="AR1292" t="str">
        <f>_xlfn.XLOOKUP(Table1[[#This Row],[RelationshipSatisfaction]],Table18[RelationshipSatisfaction],Table18[Deskripsi])</f>
        <v>High</v>
      </c>
      <c r="AS1292" t="str">
        <f>_xlfn.XLOOKUP(Table1[[#This Row],[StockOptionLevel]],Table19[StockOptionLevel],Table19[Id_StockOptionLevel])</f>
        <v>SOL002</v>
      </c>
      <c r="AT1292">
        <v>1</v>
      </c>
      <c r="AU1292" t="str">
        <f>_xlfn.XLOOKUP(Table1[[#This Row],[StockOptionLevel]],Table19[StockOptionLevel],Table19[Deskripsi])</f>
        <v>Standard</v>
      </c>
      <c r="AV1292">
        <v>11</v>
      </c>
      <c r="AW1292">
        <v>3</v>
      </c>
      <c r="AX1292" t="str">
        <f>_xlfn.XLOOKUP(Table1[[#This Row],[WorkLifeBalance]],Table20[WorkLifeBalance],Table20[Id_WorkLifeBalance])</f>
        <v>WLB003</v>
      </c>
      <c r="AY1292">
        <v>2</v>
      </c>
      <c r="AZ1292" t="str">
        <f>_xlfn.XLOOKUP(Table1[[#This Row],[WorkLifeBalance]],Table20[WorkLifeBalance],Table20[Deskripsi])</f>
        <v>Better</v>
      </c>
      <c r="BA1292">
        <v>7</v>
      </c>
      <c r="BB1292">
        <v>1</v>
      </c>
      <c r="BC1292">
        <v>0</v>
      </c>
      <c r="BD1292">
        <v>7</v>
      </c>
    </row>
    <row r="1293" spans="1:56" x14ac:dyDescent="0.25">
      <c r="A1293">
        <v>37</v>
      </c>
      <c r="B1293" t="str">
        <f>_xlfn.XLOOKUP(Table1[[#This Row],[Attrition]],Table2[Attrition],Table2[Id_Attrition])</f>
        <v>A001</v>
      </c>
      <c r="C1293" t="s">
        <v>32</v>
      </c>
      <c r="D1293" t="str">
        <f>_xlfn.XLOOKUP(Table1[[#This Row],[BusinessTravel]],Table5[BusinessTravel],Table5[Id_BusinessTravel])</f>
        <v>BS001</v>
      </c>
      <c r="E1293" t="s">
        <v>34</v>
      </c>
      <c r="F1293">
        <v>370</v>
      </c>
      <c r="G1293" t="str">
        <f>_xlfn.XLOOKUP(Table1[[#This Row],[Department]],Table6[Department],Table6[Id_Departement])</f>
        <v>D002</v>
      </c>
      <c r="H1293" t="s">
        <v>38</v>
      </c>
      <c r="I1293">
        <v>10</v>
      </c>
      <c r="J1293" t="str">
        <f>_xlfn.XLOOKUP(Table1[[#This Row],[Education]],Table8[Education],Table8[Id_Education])</f>
        <v>E004</v>
      </c>
      <c r="K1293">
        <v>4</v>
      </c>
      <c r="L1293" t="str">
        <f>_xlfn.XLOOKUP(Table1[[#This Row],[EducationField]],Table7[EducationField],Table7[Id_EducationField])</f>
        <v>EF003</v>
      </c>
      <c r="M1293" t="s">
        <v>42</v>
      </c>
      <c r="N1293" t="str">
        <f>_xlfn.XLOOKUP(Table1[[#This Row],[EmployeeNumber]],Table4[EmployeeNumber],Table4[Id_Employee])</f>
        <v>EMP01292</v>
      </c>
      <c r="O1293">
        <v>1809</v>
      </c>
      <c r="P1293" t="str">
        <f>_xlfn.XLOOKUP(Table1[[#This Row],[EnvironmentSatisfaction]],Table9[EnvironmentSatisfaction],Table9[Id_EnviromentSatisfaction])</f>
        <v>ES004</v>
      </c>
      <c r="Q1293">
        <v>4</v>
      </c>
      <c r="R1293" t="str">
        <f>_xlfn.XLOOKUP(Table1[[#This Row],[EnvironmentSatisfaction]],Table9[EnvironmentSatisfaction],Table9[Deskripsi])</f>
        <v>Very High</v>
      </c>
      <c r="S1293" t="str">
        <f>_xlfn.XLOOKUP(Table1[[#This Row],[Gender]],Table10[Gender],Table10[Id_Gender])</f>
        <v>G002</v>
      </c>
      <c r="T1293" t="s">
        <v>46</v>
      </c>
      <c r="U1293">
        <v>58</v>
      </c>
      <c r="V1293" t="str">
        <f>_xlfn.XLOOKUP(Table1[[#This Row],[JobInvolvement]],Table11[JobInvolvement],Table11[Id_JobInvolvement])</f>
        <v>JI003</v>
      </c>
      <c r="W1293">
        <v>3</v>
      </c>
      <c r="X1293" t="str">
        <f>_xlfn.XLOOKUP(Table1[[#This Row],[JobLevel]],Table12[JobLevel],Table12[Id_JobLevel])</f>
        <v>JL002</v>
      </c>
      <c r="Y1293">
        <v>2</v>
      </c>
      <c r="Z1293" t="str">
        <f>_xlfn.XLOOKUP(Table1[[#This Row],[JobRole]],Table13[JobRole],Table13[Id_JobRole])</f>
        <v>JR004</v>
      </c>
      <c r="AA1293" t="s">
        <v>50</v>
      </c>
      <c r="AB1293" t="str">
        <f>_xlfn.XLOOKUP(Table1[[#This Row],[JobSatisfaction]],Table14[JobSatisfaction],Table14[Id_JobSatisfaction])</f>
        <v>JS001</v>
      </c>
      <c r="AC1293">
        <v>1</v>
      </c>
      <c r="AD1293" t="str">
        <f>_xlfn.XLOOKUP(Table1[[#This Row],[JobSatisfaction]],Table14[JobSatisfaction],Table14[Deskripsi])</f>
        <v>Low</v>
      </c>
      <c r="AE1293" t="str">
        <f>_xlfn.XLOOKUP(Table1[[#This Row],[MaritalStatus]],Table15[MaritalStatus],Table15[Id_MaritalStatus])</f>
        <v>MS001</v>
      </c>
      <c r="AF1293" t="s">
        <v>55</v>
      </c>
      <c r="AG1293">
        <v>4213</v>
      </c>
      <c r="AH1293">
        <v>4992</v>
      </c>
      <c r="AI1293">
        <v>1</v>
      </c>
      <c r="AJ1293" t="str">
        <f>_xlfn.XLOOKUP(Table1[[#This Row],[OverTime]],Table16[OverTime],Table16[Id_OverTime])</f>
        <v>OT002</v>
      </c>
      <c r="AK1293" t="s">
        <v>33</v>
      </c>
      <c r="AL1293">
        <v>15</v>
      </c>
      <c r="AM1293" t="str">
        <f>_xlfn.XLOOKUP(Table1[[#This Row],[PerformanceRating]],Table17[PerformanceRating],Table17[Id_PerformanceRating])</f>
        <v>PR003</v>
      </c>
      <c r="AN1293">
        <v>3</v>
      </c>
      <c r="AO1293" t="str">
        <f>_xlfn.XLOOKUP(Table1[[#This Row],[PerformanceRating]],Table17[PerformanceRating],Table17[Deskripsi])</f>
        <v>Excellent</v>
      </c>
      <c r="AP1293" t="str">
        <f>_xlfn.XLOOKUP(Table1[[#This Row],[RelationshipSatisfaction]],Table18[RelationshipSatisfaction],Table18[Id_RelationshipSatisfaction])</f>
        <v>RS002</v>
      </c>
      <c r="AQ1293">
        <v>2</v>
      </c>
      <c r="AR1293" t="str">
        <f>_xlfn.XLOOKUP(Table1[[#This Row],[RelationshipSatisfaction]],Table18[RelationshipSatisfaction],Table18[Deskripsi])</f>
        <v>Medium</v>
      </c>
      <c r="AS1293" t="str">
        <f>_xlfn.XLOOKUP(Table1[[#This Row],[StockOptionLevel]],Table19[StockOptionLevel],Table19[Id_StockOptionLevel])</f>
        <v>SOL001</v>
      </c>
      <c r="AT1293">
        <v>0</v>
      </c>
      <c r="AU1293" t="str">
        <f>_xlfn.XLOOKUP(Table1[[#This Row],[StockOptionLevel]],Table19[StockOptionLevel],Table19[Deskripsi])</f>
        <v>Non-Eligible</v>
      </c>
      <c r="AV1293">
        <v>10</v>
      </c>
      <c r="AW1293">
        <v>4</v>
      </c>
      <c r="AX1293" t="str">
        <f>_xlfn.XLOOKUP(Table1[[#This Row],[WorkLifeBalance]],Table20[WorkLifeBalance],Table20[Id_WorkLifeBalance])</f>
        <v>WLB001</v>
      </c>
      <c r="AY1293">
        <v>1</v>
      </c>
      <c r="AZ1293" t="str">
        <f>_xlfn.XLOOKUP(Table1[[#This Row],[WorkLifeBalance]],Table20[WorkLifeBalance],Table20[Deskripsi])</f>
        <v>Bad</v>
      </c>
      <c r="BA1293">
        <v>10</v>
      </c>
      <c r="BB1293">
        <v>3</v>
      </c>
      <c r="BC1293">
        <v>0</v>
      </c>
      <c r="BD1293">
        <v>8</v>
      </c>
    </row>
    <row r="1294" spans="1:56" x14ac:dyDescent="0.25">
      <c r="A1294">
        <v>39</v>
      </c>
      <c r="B1294" t="str">
        <f>_xlfn.XLOOKUP(Table1[[#This Row],[Attrition]],Table2[Attrition],Table2[Id_Attrition])</f>
        <v>A002</v>
      </c>
      <c r="C1294" t="s">
        <v>33</v>
      </c>
      <c r="D1294" t="str">
        <f>_xlfn.XLOOKUP(Table1[[#This Row],[BusinessTravel]],Table5[BusinessTravel],Table5[Id_BusinessTravel])</f>
        <v>BS002</v>
      </c>
      <c r="E1294" t="s">
        <v>35</v>
      </c>
      <c r="F1294">
        <v>766</v>
      </c>
      <c r="G1294" t="str">
        <f>_xlfn.XLOOKUP(Table1[[#This Row],[Department]],Table6[Department],Table6[Id_Departement])</f>
        <v>D001</v>
      </c>
      <c r="H1294" t="s">
        <v>37</v>
      </c>
      <c r="I1294">
        <v>20</v>
      </c>
      <c r="J1294" t="str">
        <f>_xlfn.XLOOKUP(Table1[[#This Row],[Education]],Table8[Education],Table8[Id_Education])</f>
        <v>E003</v>
      </c>
      <c r="K1294">
        <v>3</v>
      </c>
      <c r="L1294" t="str">
        <f>_xlfn.XLOOKUP(Table1[[#This Row],[EducationField]],Table7[EducationField],Table7[Id_EducationField])</f>
        <v>EF001</v>
      </c>
      <c r="M1294" t="s">
        <v>40</v>
      </c>
      <c r="N1294" t="str">
        <f>_xlfn.XLOOKUP(Table1[[#This Row],[EmployeeNumber]],Table4[EmployeeNumber],Table4[Id_Employee])</f>
        <v>EMP01293</v>
      </c>
      <c r="O1294">
        <v>1812</v>
      </c>
      <c r="P1294" t="str">
        <f>_xlfn.XLOOKUP(Table1[[#This Row],[EnvironmentSatisfaction]],Table9[EnvironmentSatisfaction],Table9[Id_EnviromentSatisfaction])</f>
        <v>ES003</v>
      </c>
      <c r="Q1294">
        <v>3</v>
      </c>
      <c r="R1294" t="str">
        <f>_xlfn.XLOOKUP(Table1[[#This Row],[EnvironmentSatisfaction]],Table9[EnvironmentSatisfaction],Table9[Deskripsi])</f>
        <v>High</v>
      </c>
      <c r="S1294" t="str">
        <f>_xlfn.XLOOKUP(Table1[[#This Row],[Gender]],Table10[Gender],Table10[Id_Gender])</f>
        <v>G002</v>
      </c>
      <c r="T1294" t="s">
        <v>46</v>
      </c>
      <c r="U1294">
        <v>83</v>
      </c>
      <c r="V1294" t="str">
        <f>_xlfn.XLOOKUP(Table1[[#This Row],[JobInvolvement]],Table11[JobInvolvement],Table11[Id_JobInvolvement])</f>
        <v>JI003</v>
      </c>
      <c r="W1294">
        <v>3</v>
      </c>
      <c r="X1294" t="str">
        <f>_xlfn.XLOOKUP(Table1[[#This Row],[JobLevel]],Table12[JobLevel],Table12[Id_JobLevel])</f>
        <v>JL002</v>
      </c>
      <c r="Y1294">
        <v>2</v>
      </c>
      <c r="Z1294" t="str">
        <f>_xlfn.XLOOKUP(Table1[[#This Row],[JobRole]],Table13[JobRole],Table13[Id_JobRole])</f>
        <v>JR001</v>
      </c>
      <c r="AA1294" t="s">
        <v>47</v>
      </c>
      <c r="AB1294" t="str">
        <f>_xlfn.XLOOKUP(Table1[[#This Row],[JobSatisfaction]],Table14[JobSatisfaction],Table14[Id_JobSatisfaction])</f>
        <v>JS004</v>
      </c>
      <c r="AC1294">
        <v>4</v>
      </c>
      <c r="AD1294" t="str">
        <f>_xlfn.XLOOKUP(Table1[[#This Row],[JobSatisfaction]],Table14[JobSatisfaction],Table14[Deskripsi])</f>
        <v>Very High</v>
      </c>
      <c r="AE1294" t="str">
        <f>_xlfn.XLOOKUP(Table1[[#This Row],[MaritalStatus]],Table15[MaritalStatus],Table15[Id_MaritalStatus])</f>
        <v>MS003</v>
      </c>
      <c r="AF1294" t="s">
        <v>57</v>
      </c>
      <c r="AG1294">
        <v>4127</v>
      </c>
      <c r="AH1294">
        <v>19188</v>
      </c>
      <c r="AI1294">
        <v>2</v>
      </c>
      <c r="AJ1294" t="str">
        <f>_xlfn.XLOOKUP(Table1[[#This Row],[OverTime]],Table16[OverTime],Table16[Id_OverTime])</f>
        <v>OT002</v>
      </c>
      <c r="AK1294" t="s">
        <v>33</v>
      </c>
      <c r="AL1294">
        <v>18</v>
      </c>
      <c r="AM1294" t="str">
        <f>_xlfn.XLOOKUP(Table1[[#This Row],[PerformanceRating]],Table17[PerformanceRating],Table17[Id_PerformanceRating])</f>
        <v>PR003</v>
      </c>
      <c r="AN1294">
        <v>3</v>
      </c>
      <c r="AO1294" t="str">
        <f>_xlfn.XLOOKUP(Table1[[#This Row],[PerformanceRating]],Table17[PerformanceRating],Table17[Deskripsi])</f>
        <v>Excellent</v>
      </c>
      <c r="AP1294" t="str">
        <f>_xlfn.XLOOKUP(Table1[[#This Row],[RelationshipSatisfaction]],Table18[RelationshipSatisfaction],Table18[Id_RelationshipSatisfaction])</f>
        <v>RS004</v>
      </c>
      <c r="AQ1294">
        <v>4</v>
      </c>
      <c r="AR1294" t="str">
        <f>_xlfn.XLOOKUP(Table1[[#This Row],[RelationshipSatisfaction]],Table18[RelationshipSatisfaction],Table18[Deskripsi])</f>
        <v>Very High</v>
      </c>
      <c r="AS1294" t="str">
        <f>_xlfn.XLOOKUP(Table1[[#This Row],[StockOptionLevel]],Table19[StockOptionLevel],Table19[Id_StockOptionLevel])</f>
        <v>SOL002</v>
      </c>
      <c r="AT1294">
        <v>1</v>
      </c>
      <c r="AU1294" t="str">
        <f>_xlfn.XLOOKUP(Table1[[#This Row],[StockOptionLevel]],Table19[StockOptionLevel],Table19[Deskripsi])</f>
        <v>Standard</v>
      </c>
      <c r="AV1294">
        <v>7</v>
      </c>
      <c r="AW1294">
        <v>6</v>
      </c>
      <c r="AX1294" t="str">
        <f>_xlfn.XLOOKUP(Table1[[#This Row],[WorkLifeBalance]],Table20[WorkLifeBalance],Table20[Id_WorkLifeBalance])</f>
        <v>WLB002</v>
      </c>
      <c r="AY1294">
        <v>3</v>
      </c>
      <c r="AZ1294" t="str">
        <f>_xlfn.XLOOKUP(Table1[[#This Row],[WorkLifeBalance]],Table20[WorkLifeBalance],Table20[Deskripsi])</f>
        <v>Good</v>
      </c>
      <c r="BA1294">
        <v>2</v>
      </c>
      <c r="BB1294">
        <v>1</v>
      </c>
      <c r="BC1294">
        <v>2</v>
      </c>
      <c r="BD1294">
        <v>2</v>
      </c>
    </row>
    <row r="1295" spans="1:56" x14ac:dyDescent="0.25">
      <c r="A1295">
        <v>43</v>
      </c>
      <c r="B1295" t="str">
        <f>_xlfn.XLOOKUP(Table1[[#This Row],[Attrition]],Table2[Attrition],Table2[Id_Attrition])</f>
        <v>A002</v>
      </c>
      <c r="C1295" t="s">
        <v>33</v>
      </c>
      <c r="D1295" t="str">
        <f>_xlfn.XLOOKUP(Table1[[#This Row],[BusinessTravel]],Table5[BusinessTravel],Table5[Id_BusinessTravel])</f>
        <v>BS003</v>
      </c>
      <c r="E1295" t="s">
        <v>36</v>
      </c>
      <c r="F1295">
        <v>343</v>
      </c>
      <c r="G1295" t="str">
        <f>_xlfn.XLOOKUP(Table1[[#This Row],[Department]],Table6[Department],Table6[Id_Departement])</f>
        <v>D002</v>
      </c>
      <c r="H1295" t="s">
        <v>38</v>
      </c>
      <c r="I1295">
        <v>9</v>
      </c>
      <c r="J1295" t="str">
        <f>_xlfn.XLOOKUP(Table1[[#This Row],[Education]],Table8[Education],Table8[Id_Education])</f>
        <v>E003</v>
      </c>
      <c r="K1295">
        <v>3</v>
      </c>
      <c r="L1295" t="str">
        <f>_xlfn.XLOOKUP(Table1[[#This Row],[EducationField]],Table7[EducationField],Table7[Id_EducationField])</f>
        <v>EF001</v>
      </c>
      <c r="M1295" t="s">
        <v>40</v>
      </c>
      <c r="N1295" t="str">
        <f>_xlfn.XLOOKUP(Table1[[#This Row],[EmployeeNumber]],Table4[EmployeeNumber],Table4[Id_Employee])</f>
        <v>EMP01294</v>
      </c>
      <c r="O1295">
        <v>1813</v>
      </c>
      <c r="P1295" t="str">
        <f>_xlfn.XLOOKUP(Table1[[#This Row],[EnvironmentSatisfaction]],Table9[EnvironmentSatisfaction],Table9[Id_EnviromentSatisfaction])</f>
        <v>ES001</v>
      </c>
      <c r="Q1295">
        <v>1</v>
      </c>
      <c r="R1295" t="str">
        <f>_xlfn.XLOOKUP(Table1[[#This Row],[EnvironmentSatisfaction]],Table9[EnvironmentSatisfaction],Table9[Deskripsi])</f>
        <v>Low</v>
      </c>
      <c r="S1295" t="str">
        <f>_xlfn.XLOOKUP(Table1[[#This Row],[Gender]],Table10[Gender],Table10[Id_Gender])</f>
        <v>G002</v>
      </c>
      <c r="T1295" t="s">
        <v>46</v>
      </c>
      <c r="U1295">
        <v>52</v>
      </c>
      <c r="V1295" t="str">
        <f>_xlfn.XLOOKUP(Table1[[#This Row],[JobInvolvement]],Table11[JobInvolvement],Table11[Id_JobInvolvement])</f>
        <v>JI003</v>
      </c>
      <c r="W1295">
        <v>3</v>
      </c>
      <c r="X1295" t="str">
        <f>_xlfn.XLOOKUP(Table1[[#This Row],[JobLevel]],Table12[JobLevel],Table12[Id_JobLevel])</f>
        <v>JL001</v>
      </c>
      <c r="Y1295">
        <v>1</v>
      </c>
      <c r="Z1295" t="str">
        <f>_xlfn.XLOOKUP(Table1[[#This Row],[JobRole]],Table13[JobRole],Table13[Id_JobRole])</f>
        <v>JR002</v>
      </c>
      <c r="AA1295" t="s">
        <v>48</v>
      </c>
      <c r="AB1295" t="str">
        <f>_xlfn.XLOOKUP(Table1[[#This Row],[JobSatisfaction]],Table14[JobSatisfaction],Table14[Id_JobSatisfaction])</f>
        <v>JS003</v>
      </c>
      <c r="AC1295">
        <v>3</v>
      </c>
      <c r="AD1295" t="str">
        <f>_xlfn.XLOOKUP(Table1[[#This Row],[JobSatisfaction]],Table14[JobSatisfaction],Table14[Deskripsi])</f>
        <v>High</v>
      </c>
      <c r="AE1295" t="str">
        <f>_xlfn.XLOOKUP(Table1[[#This Row],[MaritalStatus]],Table15[MaritalStatus],Table15[Id_MaritalStatus])</f>
        <v>MS001</v>
      </c>
      <c r="AF1295" t="s">
        <v>55</v>
      </c>
      <c r="AG1295">
        <v>2438</v>
      </c>
      <c r="AH1295">
        <v>24978</v>
      </c>
      <c r="AI1295">
        <v>4</v>
      </c>
      <c r="AJ1295" t="str">
        <f>_xlfn.XLOOKUP(Table1[[#This Row],[OverTime]],Table16[OverTime],Table16[Id_OverTime])</f>
        <v>OT002</v>
      </c>
      <c r="AK1295" t="s">
        <v>33</v>
      </c>
      <c r="AL1295">
        <v>13</v>
      </c>
      <c r="AM1295" t="str">
        <f>_xlfn.XLOOKUP(Table1[[#This Row],[PerformanceRating]],Table17[PerformanceRating],Table17[Id_PerformanceRating])</f>
        <v>PR003</v>
      </c>
      <c r="AN1295">
        <v>3</v>
      </c>
      <c r="AO1295" t="str">
        <f>_xlfn.XLOOKUP(Table1[[#This Row],[PerformanceRating]],Table17[PerformanceRating],Table17[Deskripsi])</f>
        <v>Excellent</v>
      </c>
      <c r="AP1295" t="str">
        <f>_xlfn.XLOOKUP(Table1[[#This Row],[RelationshipSatisfaction]],Table18[RelationshipSatisfaction],Table18[Id_RelationshipSatisfaction])</f>
        <v>RS003</v>
      </c>
      <c r="AQ1295">
        <v>3</v>
      </c>
      <c r="AR1295" t="str">
        <f>_xlfn.XLOOKUP(Table1[[#This Row],[RelationshipSatisfaction]],Table18[RelationshipSatisfaction],Table18[Deskripsi])</f>
        <v>High</v>
      </c>
      <c r="AS1295" t="str">
        <f>_xlfn.XLOOKUP(Table1[[#This Row],[StockOptionLevel]],Table19[StockOptionLevel],Table19[Id_StockOptionLevel])</f>
        <v>SOL001</v>
      </c>
      <c r="AT1295">
        <v>0</v>
      </c>
      <c r="AU1295" t="str">
        <f>_xlfn.XLOOKUP(Table1[[#This Row],[StockOptionLevel]],Table19[StockOptionLevel],Table19[Deskripsi])</f>
        <v>Non-Eligible</v>
      </c>
      <c r="AV1295">
        <v>7</v>
      </c>
      <c r="AW1295">
        <v>2</v>
      </c>
      <c r="AX1295" t="str">
        <f>_xlfn.XLOOKUP(Table1[[#This Row],[WorkLifeBalance]],Table20[WorkLifeBalance],Table20[Id_WorkLifeBalance])</f>
        <v>WLB003</v>
      </c>
      <c r="AY1295">
        <v>2</v>
      </c>
      <c r="AZ1295" t="str">
        <f>_xlfn.XLOOKUP(Table1[[#This Row],[WorkLifeBalance]],Table20[WorkLifeBalance],Table20[Deskripsi])</f>
        <v>Better</v>
      </c>
      <c r="BA1295">
        <v>3</v>
      </c>
      <c r="BB1295">
        <v>2</v>
      </c>
      <c r="BC1295">
        <v>1</v>
      </c>
      <c r="BD1295">
        <v>2</v>
      </c>
    </row>
    <row r="1296" spans="1:56" x14ac:dyDescent="0.25">
      <c r="A1296">
        <v>41</v>
      </c>
      <c r="B1296" t="str">
        <f>_xlfn.XLOOKUP(Table1[[#This Row],[Attrition]],Table2[Attrition],Table2[Id_Attrition])</f>
        <v>A002</v>
      </c>
      <c r="C1296" t="s">
        <v>33</v>
      </c>
      <c r="D1296" t="str">
        <f>_xlfn.XLOOKUP(Table1[[#This Row],[BusinessTravel]],Table5[BusinessTravel],Table5[Id_BusinessTravel])</f>
        <v>BS001</v>
      </c>
      <c r="E1296" t="s">
        <v>34</v>
      </c>
      <c r="F1296">
        <v>447</v>
      </c>
      <c r="G1296" t="str">
        <f>_xlfn.XLOOKUP(Table1[[#This Row],[Department]],Table6[Department],Table6[Id_Departement])</f>
        <v>D002</v>
      </c>
      <c r="H1296" t="s">
        <v>38</v>
      </c>
      <c r="I1296">
        <v>5</v>
      </c>
      <c r="J1296" t="str">
        <f>_xlfn.XLOOKUP(Table1[[#This Row],[Education]],Table8[Education],Table8[Id_Education])</f>
        <v>E003</v>
      </c>
      <c r="K1296">
        <v>3</v>
      </c>
      <c r="L1296" t="str">
        <f>_xlfn.XLOOKUP(Table1[[#This Row],[EducationField]],Table7[EducationField],Table7[Id_EducationField])</f>
        <v>EF001</v>
      </c>
      <c r="M1296" t="s">
        <v>40</v>
      </c>
      <c r="N1296" t="str">
        <f>_xlfn.XLOOKUP(Table1[[#This Row],[EmployeeNumber]],Table4[EmployeeNumber],Table4[Id_Employee])</f>
        <v>EMP01295</v>
      </c>
      <c r="O1296">
        <v>1814</v>
      </c>
      <c r="P1296" t="str">
        <f>_xlfn.XLOOKUP(Table1[[#This Row],[EnvironmentSatisfaction]],Table9[EnvironmentSatisfaction],Table9[Id_EnviromentSatisfaction])</f>
        <v>ES002</v>
      </c>
      <c r="Q1296">
        <v>2</v>
      </c>
      <c r="R1296" t="str">
        <f>_xlfn.XLOOKUP(Table1[[#This Row],[EnvironmentSatisfaction]],Table9[EnvironmentSatisfaction],Table9[Deskripsi])</f>
        <v>Medium</v>
      </c>
      <c r="S1296" t="str">
        <f>_xlfn.XLOOKUP(Table1[[#This Row],[Gender]],Table10[Gender],Table10[Id_Gender])</f>
        <v>G002</v>
      </c>
      <c r="T1296" t="s">
        <v>46</v>
      </c>
      <c r="U1296">
        <v>85</v>
      </c>
      <c r="V1296" t="str">
        <f>_xlfn.XLOOKUP(Table1[[#This Row],[JobInvolvement]],Table11[JobInvolvement],Table11[Id_JobInvolvement])</f>
        <v>JI004</v>
      </c>
      <c r="W1296">
        <v>4</v>
      </c>
      <c r="X1296" t="str">
        <f>_xlfn.XLOOKUP(Table1[[#This Row],[JobLevel]],Table12[JobLevel],Table12[Id_JobLevel])</f>
        <v>JL002</v>
      </c>
      <c r="Y1296">
        <v>2</v>
      </c>
      <c r="Z1296" t="str">
        <f>_xlfn.XLOOKUP(Table1[[#This Row],[JobRole]],Table13[JobRole],Table13[Id_JobRole])</f>
        <v>JR005</v>
      </c>
      <c r="AA1296" t="s">
        <v>51</v>
      </c>
      <c r="AB1296" t="str">
        <f>_xlfn.XLOOKUP(Table1[[#This Row],[JobSatisfaction]],Table14[JobSatisfaction],Table14[Id_JobSatisfaction])</f>
        <v>JS002</v>
      </c>
      <c r="AC1296">
        <v>2</v>
      </c>
      <c r="AD1296" t="str">
        <f>_xlfn.XLOOKUP(Table1[[#This Row],[JobSatisfaction]],Table14[JobSatisfaction],Table14[Deskripsi])</f>
        <v>Medium</v>
      </c>
      <c r="AE1296" t="str">
        <f>_xlfn.XLOOKUP(Table1[[#This Row],[MaritalStatus]],Table15[MaritalStatus],Table15[Id_MaritalStatus])</f>
        <v>MS001</v>
      </c>
      <c r="AF1296" t="s">
        <v>55</v>
      </c>
      <c r="AG1296">
        <v>6870</v>
      </c>
      <c r="AH1296">
        <v>15530</v>
      </c>
      <c r="AI1296">
        <v>3</v>
      </c>
      <c r="AJ1296" t="str">
        <f>_xlfn.XLOOKUP(Table1[[#This Row],[OverTime]],Table16[OverTime],Table16[Id_OverTime])</f>
        <v>OT002</v>
      </c>
      <c r="AK1296" t="s">
        <v>33</v>
      </c>
      <c r="AL1296">
        <v>12</v>
      </c>
      <c r="AM1296" t="str">
        <f>_xlfn.XLOOKUP(Table1[[#This Row],[PerformanceRating]],Table17[PerformanceRating],Table17[Id_PerformanceRating])</f>
        <v>PR003</v>
      </c>
      <c r="AN1296">
        <v>3</v>
      </c>
      <c r="AO1296" t="str">
        <f>_xlfn.XLOOKUP(Table1[[#This Row],[PerformanceRating]],Table17[PerformanceRating],Table17[Deskripsi])</f>
        <v>Excellent</v>
      </c>
      <c r="AP1296" t="str">
        <f>_xlfn.XLOOKUP(Table1[[#This Row],[RelationshipSatisfaction]],Table18[RelationshipSatisfaction],Table18[Id_RelationshipSatisfaction])</f>
        <v>RS001</v>
      </c>
      <c r="AQ1296">
        <v>1</v>
      </c>
      <c r="AR1296" t="str">
        <f>_xlfn.XLOOKUP(Table1[[#This Row],[RelationshipSatisfaction]],Table18[RelationshipSatisfaction],Table18[Deskripsi])</f>
        <v>Low</v>
      </c>
      <c r="AS1296" t="str">
        <f>_xlfn.XLOOKUP(Table1[[#This Row],[StockOptionLevel]],Table19[StockOptionLevel],Table19[Id_StockOptionLevel])</f>
        <v>SOL001</v>
      </c>
      <c r="AT1296">
        <v>0</v>
      </c>
      <c r="AU1296" t="str">
        <f>_xlfn.XLOOKUP(Table1[[#This Row],[StockOptionLevel]],Table19[StockOptionLevel],Table19[Deskripsi])</f>
        <v>Non-Eligible</v>
      </c>
      <c r="AV1296">
        <v>11</v>
      </c>
      <c r="AW1296">
        <v>3</v>
      </c>
      <c r="AX1296" t="str">
        <f>_xlfn.XLOOKUP(Table1[[#This Row],[WorkLifeBalance]],Table20[WorkLifeBalance],Table20[Id_WorkLifeBalance])</f>
        <v>WLB001</v>
      </c>
      <c r="AY1296">
        <v>1</v>
      </c>
      <c r="AZ1296" t="str">
        <f>_xlfn.XLOOKUP(Table1[[#This Row],[WorkLifeBalance]],Table20[WorkLifeBalance],Table20[Deskripsi])</f>
        <v>Bad</v>
      </c>
      <c r="BA1296">
        <v>3</v>
      </c>
      <c r="BB1296">
        <v>2</v>
      </c>
      <c r="BC1296">
        <v>1</v>
      </c>
      <c r="BD1296">
        <v>2</v>
      </c>
    </row>
    <row r="1297" spans="1:56" x14ac:dyDescent="0.25">
      <c r="A1297">
        <v>41</v>
      </c>
      <c r="B1297" t="str">
        <f>_xlfn.XLOOKUP(Table1[[#This Row],[Attrition]],Table2[Attrition],Table2[Id_Attrition])</f>
        <v>A002</v>
      </c>
      <c r="C1297" t="s">
        <v>33</v>
      </c>
      <c r="D1297" t="str">
        <f>_xlfn.XLOOKUP(Table1[[#This Row],[BusinessTravel]],Table5[BusinessTravel],Table5[Id_BusinessTravel])</f>
        <v>BS001</v>
      </c>
      <c r="E1297" t="s">
        <v>34</v>
      </c>
      <c r="F1297">
        <v>796</v>
      </c>
      <c r="G1297" t="str">
        <f>_xlfn.XLOOKUP(Table1[[#This Row],[Department]],Table6[Department],Table6[Id_Departement])</f>
        <v>D001</v>
      </c>
      <c r="H1297" t="s">
        <v>37</v>
      </c>
      <c r="I1297">
        <v>4</v>
      </c>
      <c r="J1297" t="str">
        <f>_xlfn.XLOOKUP(Table1[[#This Row],[Education]],Table8[Education],Table8[Id_Education])</f>
        <v>E001</v>
      </c>
      <c r="K1297">
        <v>1</v>
      </c>
      <c r="L1297" t="str">
        <f>_xlfn.XLOOKUP(Table1[[#This Row],[EducationField]],Table7[EducationField],Table7[Id_EducationField])</f>
        <v>EF004</v>
      </c>
      <c r="M1297" t="s">
        <v>43</v>
      </c>
      <c r="N1297" t="str">
        <f>_xlfn.XLOOKUP(Table1[[#This Row],[EmployeeNumber]],Table4[EmployeeNumber],Table4[Id_Employee])</f>
        <v>EMP01296</v>
      </c>
      <c r="O1297">
        <v>1815</v>
      </c>
      <c r="P1297" t="str">
        <f>_xlfn.XLOOKUP(Table1[[#This Row],[EnvironmentSatisfaction]],Table9[EnvironmentSatisfaction],Table9[Id_EnviromentSatisfaction])</f>
        <v>ES003</v>
      </c>
      <c r="Q1297">
        <v>3</v>
      </c>
      <c r="R1297" t="str">
        <f>_xlfn.XLOOKUP(Table1[[#This Row],[EnvironmentSatisfaction]],Table9[EnvironmentSatisfaction],Table9[Deskripsi])</f>
        <v>High</v>
      </c>
      <c r="S1297" t="str">
        <f>_xlfn.XLOOKUP(Table1[[#This Row],[Gender]],Table10[Gender],Table10[Id_Gender])</f>
        <v>G001</v>
      </c>
      <c r="T1297" t="s">
        <v>45</v>
      </c>
      <c r="U1297">
        <v>81</v>
      </c>
      <c r="V1297" t="str">
        <f>_xlfn.XLOOKUP(Table1[[#This Row],[JobInvolvement]],Table11[JobInvolvement],Table11[Id_JobInvolvement])</f>
        <v>JI003</v>
      </c>
      <c r="W1297">
        <v>3</v>
      </c>
      <c r="X1297" t="str">
        <f>_xlfn.XLOOKUP(Table1[[#This Row],[JobLevel]],Table12[JobLevel],Table12[Id_JobLevel])</f>
        <v>JL003</v>
      </c>
      <c r="Y1297">
        <v>3</v>
      </c>
      <c r="Z1297" t="str">
        <f>_xlfn.XLOOKUP(Table1[[#This Row],[JobRole]],Table13[JobRole],Table13[Id_JobRole])</f>
        <v>JR001</v>
      </c>
      <c r="AA1297" t="s">
        <v>47</v>
      </c>
      <c r="AB1297" t="str">
        <f>_xlfn.XLOOKUP(Table1[[#This Row],[JobSatisfaction]],Table14[JobSatisfaction],Table14[Id_JobSatisfaction])</f>
        <v>JS003</v>
      </c>
      <c r="AC1297">
        <v>3</v>
      </c>
      <c r="AD1297" t="str">
        <f>_xlfn.XLOOKUP(Table1[[#This Row],[JobSatisfaction]],Table14[JobSatisfaction],Table14[Deskripsi])</f>
        <v>High</v>
      </c>
      <c r="AE1297" t="str">
        <f>_xlfn.XLOOKUP(Table1[[#This Row],[MaritalStatus]],Table15[MaritalStatus],Table15[Id_MaritalStatus])</f>
        <v>MS003</v>
      </c>
      <c r="AF1297" t="s">
        <v>57</v>
      </c>
      <c r="AG1297">
        <v>10447</v>
      </c>
      <c r="AH1297">
        <v>26458</v>
      </c>
      <c r="AI1297">
        <v>0</v>
      </c>
      <c r="AJ1297" t="str">
        <f>_xlfn.XLOOKUP(Table1[[#This Row],[OverTime]],Table16[OverTime],Table16[Id_OverTime])</f>
        <v>OT001</v>
      </c>
      <c r="AK1297" t="s">
        <v>32</v>
      </c>
      <c r="AL1297">
        <v>13</v>
      </c>
      <c r="AM1297" t="str">
        <f>_xlfn.XLOOKUP(Table1[[#This Row],[PerformanceRating]],Table17[PerformanceRating],Table17[Id_PerformanceRating])</f>
        <v>PR003</v>
      </c>
      <c r="AN1297">
        <v>3</v>
      </c>
      <c r="AO1297" t="str">
        <f>_xlfn.XLOOKUP(Table1[[#This Row],[PerformanceRating]],Table17[PerformanceRating],Table17[Deskripsi])</f>
        <v>Excellent</v>
      </c>
      <c r="AP1297" t="str">
        <f>_xlfn.XLOOKUP(Table1[[#This Row],[RelationshipSatisfaction]],Table18[RelationshipSatisfaction],Table18[Id_RelationshipSatisfaction])</f>
        <v>RS004</v>
      </c>
      <c r="AQ1297">
        <v>4</v>
      </c>
      <c r="AR1297" t="str">
        <f>_xlfn.XLOOKUP(Table1[[#This Row],[RelationshipSatisfaction]],Table18[RelationshipSatisfaction],Table18[Deskripsi])</f>
        <v>Very High</v>
      </c>
      <c r="AS1297" t="str">
        <f>_xlfn.XLOOKUP(Table1[[#This Row],[StockOptionLevel]],Table19[StockOptionLevel],Table19[Id_StockOptionLevel])</f>
        <v>SOL002</v>
      </c>
      <c r="AT1297">
        <v>1</v>
      </c>
      <c r="AU1297" t="str">
        <f>_xlfn.XLOOKUP(Table1[[#This Row],[StockOptionLevel]],Table19[StockOptionLevel],Table19[Deskripsi])</f>
        <v>Standard</v>
      </c>
      <c r="AV1297">
        <v>23</v>
      </c>
      <c r="AW1297">
        <v>3</v>
      </c>
      <c r="AX1297" t="str">
        <f>_xlfn.XLOOKUP(Table1[[#This Row],[WorkLifeBalance]],Table20[WorkLifeBalance],Table20[Id_WorkLifeBalance])</f>
        <v>WLB004</v>
      </c>
      <c r="AY1297">
        <v>4</v>
      </c>
      <c r="AZ1297" t="str">
        <f>_xlfn.XLOOKUP(Table1[[#This Row],[WorkLifeBalance]],Table20[WorkLifeBalance],Table20[Deskripsi])</f>
        <v>Best</v>
      </c>
      <c r="BA1297">
        <v>22</v>
      </c>
      <c r="BB1297">
        <v>14</v>
      </c>
      <c r="BC1297">
        <v>13</v>
      </c>
      <c r="BD1297">
        <v>5</v>
      </c>
    </row>
    <row r="1298" spans="1:56" x14ac:dyDescent="0.25">
      <c r="A1298">
        <v>30</v>
      </c>
      <c r="B1298" t="str">
        <f>_xlfn.XLOOKUP(Table1[[#This Row],[Attrition]],Table2[Attrition],Table2[Id_Attrition])</f>
        <v>A002</v>
      </c>
      <c r="C1298" t="s">
        <v>33</v>
      </c>
      <c r="D1298" t="str">
        <f>_xlfn.XLOOKUP(Table1[[#This Row],[BusinessTravel]],Table5[BusinessTravel],Table5[Id_BusinessTravel])</f>
        <v>BS001</v>
      </c>
      <c r="E1298" t="s">
        <v>34</v>
      </c>
      <c r="F1298">
        <v>1092</v>
      </c>
      <c r="G1298" t="str">
        <f>_xlfn.XLOOKUP(Table1[[#This Row],[Department]],Table6[Department],Table6[Id_Departement])</f>
        <v>D002</v>
      </c>
      <c r="H1298" t="s">
        <v>38</v>
      </c>
      <c r="I1298">
        <v>10</v>
      </c>
      <c r="J1298" t="str">
        <f>_xlfn.XLOOKUP(Table1[[#This Row],[Education]],Table8[Education],Table8[Id_Education])</f>
        <v>E003</v>
      </c>
      <c r="K1298">
        <v>3</v>
      </c>
      <c r="L1298" t="str">
        <f>_xlfn.XLOOKUP(Table1[[#This Row],[EducationField]],Table7[EducationField],Table7[Id_EducationField])</f>
        <v>EF003</v>
      </c>
      <c r="M1298" t="s">
        <v>42</v>
      </c>
      <c r="N1298" t="str">
        <f>_xlfn.XLOOKUP(Table1[[#This Row],[EmployeeNumber]],Table4[EmployeeNumber],Table4[Id_Employee])</f>
        <v>EMP01297</v>
      </c>
      <c r="O1298">
        <v>1816</v>
      </c>
      <c r="P1298" t="str">
        <f>_xlfn.XLOOKUP(Table1[[#This Row],[EnvironmentSatisfaction]],Table9[EnvironmentSatisfaction],Table9[Id_EnviromentSatisfaction])</f>
        <v>ES001</v>
      </c>
      <c r="Q1298">
        <v>1</v>
      </c>
      <c r="R1298" t="str">
        <f>_xlfn.XLOOKUP(Table1[[#This Row],[EnvironmentSatisfaction]],Table9[EnvironmentSatisfaction],Table9[Deskripsi])</f>
        <v>Low</v>
      </c>
      <c r="S1298" t="str">
        <f>_xlfn.XLOOKUP(Table1[[#This Row],[Gender]],Table10[Gender],Table10[Id_Gender])</f>
        <v>G001</v>
      </c>
      <c r="T1298" t="s">
        <v>45</v>
      </c>
      <c r="U1298">
        <v>64</v>
      </c>
      <c r="V1298" t="str">
        <f>_xlfn.XLOOKUP(Table1[[#This Row],[JobInvolvement]],Table11[JobInvolvement],Table11[Id_JobInvolvement])</f>
        <v>JI003</v>
      </c>
      <c r="W1298">
        <v>3</v>
      </c>
      <c r="X1298" t="str">
        <f>_xlfn.XLOOKUP(Table1[[#This Row],[JobLevel]],Table12[JobLevel],Table12[Id_JobLevel])</f>
        <v>JL003</v>
      </c>
      <c r="Y1298">
        <v>3</v>
      </c>
      <c r="Z1298" t="str">
        <f>_xlfn.XLOOKUP(Table1[[#This Row],[JobRole]],Table13[JobRole],Table13[Id_JobRole])</f>
        <v>JR004</v>
      </c>
      <c r="AA1298" t="s">
        <v>50</v>
      </c>
      <c r="AB1298" t="str">
        <f>_xlfn.XLOOKUP(Table1[[#This Row],[JobSatisfaction]],Table14[JobSatisfaction],Table14[Id_JobSatisfaction])</f>
        <v>JS003</v>
      </c>
      <c r="AC1298">
        <v>3</v>
      </c>
      <c r="AD1298" t="str">
        <f>_xlfn.XLOOKUP(Table1[[#This Row],[JobSatisfaction]],Table14[JobSatisfaction],Table14[Deskripsi])</f>
        <v>High</v>
      </c>
      <c r="AE1298" t="str">
        <f>_xlfn.XLOOKUP(Table1[[#This Row],[MaritalStatus]],Table15[MaritalStatus],Table15[Id_MaritalStatus])</f>
        <v>MS001</v>
      </c>
      <c r="AF1298" t="s">
        <v>55</v>
      </c>
      <c r="AG1298">
        <v>9667</v>
      </c>
      <c r="AH1298">
        <v>2739</v>
      </c>
      <c r="AI1298">
        <v>9</v>
      </c>
      <c r="AJ1298" t="str">
        <f>_xlfn.XLOOKUP(Table1[[#This Row],[OverTime]],Table16[OverTime],Table16[Id_OverTime])</f>
        <v>OT002</v>
      </c>
      <c r="AK1298" t="s">
        <v>33</v>
      </c>
      <c r="AL1298">
        <v>14</v>
      </c>
      <c r="AM1298" t="str">
        <f>_xlfn.XLOOKUP(Table1[[#This Row],[PerformanceRating]],Table17[PerformanceRating],Table17[Id_PerformanceRating])</f>
        <v>PR003</v>
      </c>
      <c r="AN1298">
        <v>3</v>
      </c>
      <c r="AO1298" t="str">
        <f>_xlfn.XLOOKUP(Table1[[#This Row],[PerformanceRating]],Table17[PerformanceRating],Table17[Deskripsi])</f>
        <v>Excellent</v>
      </c>
      <c r="AP1298" t="str">
        <f>_xlfn.XLOOKUP(Table1[[#This Row],[RelationshipSatisfaction]],Table18[RelationshipSatisfaction],Table18[Id_RelationshipSatisfaction])</f>
        <v>RS002</v>
      </c>
      <c r="AQ1298">
        <v>2</v>
      </c>
      <c r="AR1298" t="str">
        <f>_xlfn.XLOOKUP(Table1[[#This Row],[RelationshipSatisfaction]],Table18[RelationshipSatisfaction],Table18[Deskripsi])</f>
        <v>Medium</v>
      </c>
      <c r="AS1298" t="str">
        <f>_xlfn.XLOOKUP(Table1[[#This Row],[StockOptionLevel]],Table19[StockOptionLevel],Table19[Id_StockOptionLevel])</f>
        <v>SOL001</v>
      </c>
      <c r="AT1298">
        <v>0</v>
      </c>
      <c r="AU1298" t="str">
        <f>_xlfn.XLOOKUP(Table1[[#This Row],[StockOptionLevel]],Table19[StockOptionLevel],Table19[Deskripsi])</f>
        <v>Non-Eligible</v>
      </c>
      <c r="AV1298">
        <v>9</v>
      </c>
      <c r="AW1298">
        <v>3</v>
      </c>
      <c r="AX1298" t="str">
        <f>_xlfn.XLOOKUP(Table1[[#This Row],[WorkLifeBalance]],Table20[WorkLifeBalance],Table20[Id_WorkLifeBalance])</f>
        <v>WLB002</v>
      </c>
      <c r="AY1298">
        <v>3</v>
      </c>
      <c r="AZ1298" t="str">
        <f>_xlfn.XLOOKUP(Table1[[#This Row],[WorkLifeBalance]],Table20[WorkLifeBalance],Table20[Deskripsi])</f>
        <v>Good</v>
      </c>
      <c r="BA1298">
        <v>7</v>
      </c>
      <c r="BB1298">
        <v>7</v>
      </c>
      <c r="BC1298">
        <v>0</v>
      </c>
      <c r="BD1298">
        <v>2</v>
      </c>
    </row>
    <row r="1299" spans="1:56" x14ac:dyDescent="0.25">
      <c r="A1299">
        <v>26</v>
      </c>
      <c r="B1299" t="str">
        <f>_xlfn.XLOOKUP(Table1[[#This Row],[Attrition]],Table2[Attrition],Table2[Id_Attrition])</f>
        <v>A001</v>
      </c>
      <c r="C1299" t="s">
        <v>32</v>
      </c>
      <c r="D1299" t="str">
        <f>_xlfn.XLOOKUP(Table1[[#This Row],[BusinessTravel]],Table5[BusinessTravel],Table5[Id_BusinessTravel])</f>
        <v>BS001</v>
      </c>
      <c r="E1299" t="s">
        <v>34</v>
      </c>
      <c r="F1299">
        <v>920</v>
      </c>
      <c r="G1299" t="str">
        <f>_xlfn.XLOOKUP(Table1[[#This Row],[Department]],Table6[Department],Table6[Id_Departement])</f>
        <v>D003</v>
      </c>
      <c r="H1299" t="s">
        <v>39</v>
      </c>
      <c r="I1299">
        <v>20</v>
      </c>
      <c r="J1299" t="str">
        <f>_xlfn.XLOOKUP(Table1[[#This Row],[Education]],Table8[Education],Table8[Id_Education])</f>
        <v>E002</v>
      </c>
      <c r="K1299">
        <v>2</v>
      </c>
      <c r="L1299" t="str">
        <f>_xlfn.XLOOKUP(Table1[[#This Row],[EducationField]],Table7[EducationField],Table7[Id_EducationField])</f>
        <v>EF003</v>
      </c>
      <c r="M1299" t="s">
        <v>42</v>
      </c>
      <c r="N1299" t="str">
        <f>_xlfn.XLOOKUP(Table1[[#This Row],[EmployeeNumber]],Table4[EmployeeNumber],Table4[Id_Employee])</f>
        <v>EMP01298</v>
      </c>
      <c r="O1299">
        <v>1818</v>
      </c>
      <c r="P1299" t="str">
        <f>_xlfn.XLOOKUP(Table1[[#This Row],[EnvironmentSatisfaction]],Table9[EnvironmentSatisfaction],Table9[Id_EnviromentSatisfaction])</f>
        <v>ES004</v>
      </c>
      <c r="Q1299">
        <v>4</v>
      </c>
      <c r="R1299" t="str">
        <f>_xlfn.XLOOKUP(Table1[[#This Row],[EnvironmentSatisfaction]],Table9[EnvironmentSatisfaction],Table9[Deskripsi])</f>
        <v>Very High</v>
      </c>
      <c r="S1299" t="str">
        <f>_xlfn.XLOOKUP(Table1[[#This Row],[Gender]],Table10[Gender],Table10[Id_Gender])</f>
        <v>G001</v>
      </c>
      <c r="T1299" t="s">
        <v>45</v>
      </c>
      <c r="U1299">
        <v>69</v>
      </c>
      <c r="V1299" t="str">
        <f>_xlfn.XLOOKUP(Table1[[#This Row],[JobInvolvement]],Table11[JobInvolvement],Table11[Id_JobInvolvement])</f>
        <v>JI003</v>
      </c>
      <c r="W1299">
        <v>3</v>
      </c>
      <c r="X1299" t="str">
        <f>_xlfn.XLOOKUP(Table1[[#This Row],[JobLevel]],Table12[JobLevel],Table12[Id_JobLevel])</f>
        <v>JL001</v>
      </c>
      <c r="Y1299">
        <v>1</v>
      </c>
      <c r="Z1299" t="str">
        <f>_xlfn.XLOOKUP(Table1[[#This Row],[JobRole]],Table13[JobRole],Table13[Id_JobRole])</f>
        <v>JR009</v>
      </c>
      <c r="AA1299" t="s">
        <v>39</v>
      </c>
      <c r="AB1299" t="str">
        <f>_xlfn.XLOOKUP(Table1[[#This Row],[JobSatisfaction]],Table14[JobSatisfaction],Table14[Id_JobSatisfaction])</f>
        <v>JS002</v>
      </c>
      <c r="AC1299">
        <v>2</v>
      </c>
      <c r="AD1299" t="str">
        <f>_xlfn.XLOOKUP(Table1[[#This Row],[JobSatisfaction]],Table14[JobSatisfaction],Table14[Deskripsi])</f>
        <v>Medium</v>
      </c>
      <c r="AE1299" t="str">
        <f>_xlfn.XLOOKUP(Table1[[#This Row],[MaritalStatus]],Table15[MaritalStatus],Table15[Id_MaritalStatus])</f>
        <v>MS002</v>
      </c>
      <c r="AF1299" t="s">
        <v>56</v>
      </c>
      <c r="AG1299">
        <v>2148</v>
      </c>
      <c r="AH1299">
        <v>6889</v>
      </c>
      <c r="AI1299">
        <v>0</v>
      </c>
      <c r="AJ1299" t="str">
        <f>_xlfn.XLOOKUP(Table1[[#This Row],[OverTime]],Table16[OverTime],Table16[Id_OverTime])</f>
        <v>OT001</v>
      </c>
      <c r="AK1299" t="s">
        <v>32</v>
      </c>
      <c r="AL1299">
        <v>11</v>
      </c>
      <c r="AM1299" t="str">
        <f>_xlfn.XLOOKUP(Table1[[#This Row],[PerformanceRating]],Table17[PerformanceRating],Table17[Id_PerformanceRating])</f>
        <v>PR003</v>
      </c>
      <c r="AN1299">
        <v>3</v>
      </c>
      <c r="AO1299" t="str">
        <f>_xlfn.XLOOKUP(Table1[[#This Row],[PerformanceRating]],Table17[PerformanceRating],Table17[Deskripsi])</f>
        <v>Excellent</v>
      </c>
      <c r="AP1299" t="str">
        <f>_xlfn.XLOOKUP(Table1[[#This Row],[RelationshipSatisfaction]],Table18[RelationshipSatisfaction],Table18[Id_RelationshipSatisfaction])</f>
        <v>RS003</v>
      </c>
      <c r="AQ1299">
        <v>3</v>
      </c>
      <c r="AR1299" t="str">
        <f>_xlfn.XLOOKUP(Table1[[#This Row],[RelationshipSatisfaction]],Table18[RelationshipSatisfaction],Table18[Deskripsi])</f>
        <v>High</v>
      </c>
      <c r="AS1299" t="str">
        <f>_xlfn.XLOOKUP(Table1[[#This Row],[StockOptionLevel]],Table19[StockOptionLevel],Table19[Id_StockOptionLevel])</f>
        <v>SOL001</v>
      </c>
      <c r="AT1299">
        <v>0</v>
      </c>
      <c r="AU1299" t="str">
        <f>_xlfn.XLOOKUP(Table1[[#This Row],[StockOptionLevel]],Table19[StockOptionLevel],Table19[Deskripsi])</f>
        <v>Non-Eligible</v>
      </c>
      <c r="AV1299">
        <v>6</v>
      </c>
      <c r="AW1299">
        <v>3</v>
      </c>
      <c r="AX1299" t="str">
        <f>_xlfn.XLOOKUP(Table1[[#This Row],[WorkLifeBalance]],Table20[WorkLifeBalance],Table20[Id_WorkLifeBalance])</f>
        <v>WLB002</v>
      </c>
      <c r="AY1299">
        <v>3</v>
      </c>
      <c r="AZ1299" t="str">
        <f>_xlfn.XLOOKUP(Table1[[#This Row],[WorkLifeBalance]],Table20[WorkLifeBalance],Table20[Deskripsi])</f>
        <v>Good</v>
      </c>
      <c r="BA1299">
        <v>5</v>
      </c>
      <c r="BB1299">
        <v>1</v>
      </c>
      <c r="BC1299">
        <v>1</v>
      </c>
      <c r="BD1299">
        <v>4</v>
      </c>
    </row>
    <row r="1300" spans="1:56" x14ac:dyDescent="0.25">
      <c r="A1300">
        <v>46</v>
      </c>
      <c r="B1300" t="str">
        <f>_xlfn.XLOOKUP(Table1[[#This Row],[Attrition]],Table2[Attrition],Table2[Id_Attrition])</f>
        <v>A001</v>
      </c>
      <c r="C1300" t="s">
        <v>32</v>
      </c>
      <c r="D1300" t="str">
        <f>_xlfn.XLOOKUP(Table1[[#This Row],[BusinessTravel]],Table5[BusinessTravel],Table5[Id_BusinessTravel])</f>
        <v>BS001</v>
      </c>
      <c r="E1300" t="s">
        <v>34</v>
      </c>
      <c r="F1300">
        <v>261</v>
      </c>
      <c r="G1300" t="str">
        <f>_xlfn.XLOOKUP(Table1[[#This Row],[Department]],Table6[Department],Table6[Id_Departement])</f>
        <v>D002</v>
      </c>
      <c r="H1300" t="s">
        <v>38</v>
      </c>
      <c r="I1300">
        <v>21</v>
      </c>
      <c r="J1300" t="str">
        <f>_xlfn.XLOOKUP(Table1[[#This Row],[Education]],Table8[Education],Table8[Id_Education])</f>
        <v>E002</v>
      </c>
      <c r="K1300">
        <v>2</v>
      </c>
      <c r="L1300" t="str">
        <f>_xlfn.XLOOKUP(Table1[[#This Row],[EducationField]],Table7[EducationField],Table7[Id_EducationField])</f>
        <v>EF003</v>
      </c>
      <c r="M1300" t="s">
        <v>42</v>
      </c>
      <c r="N1300" t="str">
        <f>_xlfn.XLOOKUP(Table1[[#This Row],[EmployeeNumber]],Table4[EmployeeNumber],Table4[Id_Employee])</f>
        <v>EMP01299</v>
      </c>
      <c r="O1300">
        <v>1821</v>
      </c>
      <c r="P1300" t="str">
        <f>_xlfn.XLOOKUP(Table1[[#This Row],[EnvironmentSatisfaction]],Table9[EnvironmentSatisfaction],Table9[Id_EnviromentSatisfaction])</f>
        <v>ES004</v>
      </c>
      <c r="Q1300">
        <v>4</v>
      </c>
      <c r="R1300" t="str">
        <f>_xlfn.XLOOKUP(Table1[[#This Row],[EnvironmentSatisfaction]],Table9[EnvironmentSatisfaction],Table9[Deskripsi])</f>
        <v>Very High</v>
      </c>
      <c r="S1300" t="str">
        <f>_xlfn.XLOOKUP(Table1[[#This Row],[Gender]],Table10[Gender],Table10[Id_Gender])</f>
        <v>G001</v>
      </c>
      <c r="T1300" t="s">
        <v>45</v>
      </c>
      <c r="U1300">
        <v>66</v>
      </c>
      <c r="V1300" t="str">
        <f>_xlfn.XLOOKUP(Table1[[#This Row],[JobInvolvement]],Table11[JobInvolvement],Table11[Id_JobInvolvement])</f>
        <v>JI003</v>
      </c>
      <c r="W1300">
        <v>3</v>
      </c>
      <c r="X1300" t="str">
        <f>_xlfn.XLOOKUP(Table1[[#This Row],[JobLevel]],Table12[JobLevel],Table12[Id_JobLevel])</f>
        <v>JL002</v>
      </c>
      <c r="Y1300">
        <v>2</v>
      </c>
      <c r="Z1300" t="str">
        <f>_xlfn.XLOOKUP(Table1[[#This Row],[JobRole]],Table13[JobRole],Table13[Id_JobRole])</f>
        <v>JR005</v>
      </c>
      <c r="AA1300" t="s">
        <v>51</v>
      </c>
      <c r="AB1300" t="str">
        <f>_xlfn.XLOOKUP(Table1[[#This Row],[JobSatisfaction]],Table14[JobSatisfaction],Table14[Id_JobSatisfaction])</f>
        <v>JS002</v>
      </c>
      <c r="AC1300">
        <v>2</v>
      </c>
      <c r="AD1300" t="str">
        <f>_xlfn.XLOOKUP(Table1[[#This Row],[JobSatisfaction]],Table14[JobSatisfaction],Table14[Deskripsi])</f>
        <v>Medium</v>
      </c>
      <c r="AE1300" t="str">
        <f>_xlfn.XLOOKUP(Table1[[#This Row],[MaritalStatus]],Table15[MaritalStatus],Table15[Id_MaritalStatus])</f>
        <v>MS002</v>
      </c>
      <c r="AF1300" t="s">
        <v>56</v>
      </c>
      <c r="AG1300">
        <v>8926</v>
      </c>
      <c r="AH1300">
        <v>10842</v>
      </c>
      <c r="AI1300">
        <v>4</v>
      </c>
      <c r="AJ1300" t="str">
        <f>_xlfn.XLOOKUP(Table1[[#This Row],[OverTime]],Table16[OverTime],Table16[Id_OverTime])</f>
        <v>OT002</v>
      </c>
      <c r="AK1300" t="s">
        <v>33</v>
      </c>
      <c r="AL1300">
        <v>22</v>
      </c>
      <c r="AM1300" t="str">
        <f>_xlfn.XLOOKUP(Table1[[#This Row],[PerformanceRating]],Table17[PerformanceRating],Table17[Id_PerformanceRating])</f>
        <v>PR004</v>
      </c>
      <c r="AN1300">
        <v>4</v>
      </c>
      <c r="AO1300" t="str">
        <f>_xlfn.XLOOKUP(Table1[[#This Row],[PerformanceRating]],Table17[PerformanceRating],Table17[Deskripsi])</f>
        <v>Outstanding</v>
      </c>
      <c r="AP1300" t="str">
        <f>_xlfn.XLOOKUP(Table1[[#This Row],[RelationshipSatisfaction]],Table18[RelationshipSatisfaction],Table18[Id_RelationshipSatisfaction])</f>
        <v>RS004</v>
      </c>
      <c r="AQ1300">
        <v>4</v>
      </c>
      <c r="AR1300" t="str">
        <f>_xlfn.XLOOKUP(Table1[[#This Row],[RelationshipSatisfaction]],Table18[RelationshipSatisfaction],Table18[Deskripsi])</f>
        <v>Very High</v>
      </c>
      <c r="AS1300" t="str">
        <f>_xlfn.XLOOKUP(Table1[[#This Row],[StockOptionLevel]],Table19[StockOptionLevel],Table19[Id_StockOptionLevel])</f>
        <v>SOL002</v>
      </c>
      <c r="AT1300">
        <v>1</v>
      </c>
      <c r="AU1300" t="str">
        <f>_xlfn.XLOOKUP(Table1[[#This Row],[StockOptionLevel]],Table19[StockOptionLevel],Table19[Deskripsi])</f>
        <v>Standard</v>
      </c>
      <c r="AV1300">
        <v>13</v>
      </c>
      <c r="AW1300">
        <v>2</v>
      </c>
      <c r="AX1300" t="str">
        <f>_xlfn.XLOOKUP(Table1[[#This Row],[WorkLifeBalance]],Table20[WorkLifeBalance],Table20[Id_WorkLifeBalance])</f>
        <v>WLB004</v>
      </c>
      <c r="AY1300">
        <v>4</v>
      </c>
      <c r="AZ1300" t="str">
        <f>_xlfn.XLOOKUP(Table1[[#This Row],[WorkLifeBalance]],Table20[WorkLifeBalance],Table20[Deskripsi])</f>
        <v>Best</v>
      </c>
      <c r="BA1300">
        <v>9</v>
      </c>
      <c r="BB1300">
        <v>7</v>
      </c>
      <c r="BC1300">
        <v>3</v>
      </c>
      <c r="BD1300">
        <v>7</v>
      </c>
    </row>
    <row r="1301" spans="1:56" x14ac:dyDescent="0.25">
      <c r="A1301">
        <v>40</v>
      </c>
      <c r="B1301" t="str">
        <f>_xlfn.XLOOKUP(Table1[[#This Row],[Attrition]],Table2[Attrition],Table2[Id_Attrition])</f>
        <v>A002</v>
      </c>
      <c r="C1301" t="s">
        <v>33</v>
      </c>
      <c r="D1301" t="str">
        <f>_xlfn.XLOOKUP(Table1[[#This Row],[BusinessTravel]],Table5[BusinessTravel],Table5[Id_BusinessTravel])</f>
        <v>BS001</v>
      </c>
      <c r="E1301" t="s">
        <v>34</v>
      </c>
      <c r="F1301">
        <v>1194</v>
      </c>
      <c r="G1301" t="str">
        <f>_xlfn.XLOOKUP(Table1[[#This Row],[Department]],Table6[Department],Table6[Id_Departement])</f>
        <v>D002</v>
      </c>
      <c r="H1301" t="s">
        <v>38</v>
      </c>
      <c r="I1301">
        <v>1</v>
      </c>
      <c r="J1301" t="str">
        <f>_xlfn.XLOOKUP(Table1[[#This Row],[Education]],Table8[Education],Table8[Id_Education])</f>
        <v>E003</v>
      </c>
      <c r="K1301">
        <v>3</v>
      </c>
      <c r="L1301" t="str">
        <f>_xlfn.XLOOKUP(Table1[[#This Row],[EducationField]],Table7[EducationField],Table7[Id_EducationField])</f>
        <v>EF001</v>
      </c>
      <c r="M1301" t="s">
        <v>40</v>
      </c>
      <c r="N1301" t="str">
        <f>_xlfn.XLOOKUP(Table1[[#This Row],[EmployeeNumber]],Table4[EmployeeNumber],Table4[Id_Employee])</f>
        <v>EMP01300</v>
      </c>
      <c r="O1301">
        <v>1822</v>
      </c>
      <c r="P1301" t="str">
        <f>_xlfn.XLOOKUP(Table1[[#This Row],[EnvironmentSatisfaction]],Table9[EnvironmentSatisfaction],Table9[Id_EnviromentSatisfaction])</f>
        <v>ES003</v>
      </c>
      <c r="Q1301">
        <v>3</v>
      </c>
      <c r="R1301" t="str">
        <f>_xlfn.XLOOKUP(Table1[[#This Row],[EnvironmentSatisfaction]],Table9[EnvironmentSatisfaction],Table9[Deskripsi])</f>
        <v>High</v>
      </c>
      <c r="S1301" t="str">
        <f>_xlfn.XLOOKUP(Table1[[#This Row],[Gender]],Table10[Gender],Table10[Id_Gender])</f>
        <v>G001</v>
      </c>
      <c r="T1301" t="s">
        <v>45</v>
      </c>
      <c r="U1301">
        <v>52</v>
      </c>
      <c r="V1301" t="str">
        <f>_xlfn.XLOOKUP(Table1[[#This Row],[JobInvolvement]],Table11[JobInvolvement],Table11[Id_JobInvolvement])</f>
        <v>JI003</v>
      </c>
      <c r="W1301">
        <v>3</v>
      </c>
      <c r="X1301" t="str">
        <f>_xlfn.XLOOKUP(Table1[[#This Row],[JobLevel]],Table12[JobLevel],Table12[Id_JobLevel])</f>
        <v>JL002</v>
      </c>
      <c r="Y1301">
        <v>2</v>
      </c>
      <c r="Z1301" t="str">
        <f>_xlfn.XLOOKUP(Table1[[#This Row],[JobRole]],Table13[JobRole],Table13[Id_JobRole])</f>
        <v>JR005</v>
      </c>
      <c r="AA1301" t="s">
        <v>51</v>
      </c>
      <c r="AB1301" t="str">
        <f>_xlfn.XLOOKUP(Table1[[#This Row],[JobSatisfaction]],Table14[JobSatisfaction],Table14[Id_JobSatisfaction])</f>
        <v>JS004</v>
      </c>
      <c r="AC1301">
        <v>4</v>
      </c>
      <c r="AD1301" t="str">
        <f>_xlfn.XLOOKUP(Table1[[#This Row],[JobSatisfaction]],Table14[JobSatisfaction],Table14[Deskripsi])</f>
        <v>Very High</v>
      </c>
      <c r="AE1301" t="str">
        <f>_xlfn.XLOOKUP(Table1[[#This Row],[MaritalStatus]],Table15[MaritalStatus],Table15[Id_MaritalStatus])</f>
        <v>MS003</v>
      </c>
      <c r="AF1301" t="s">
        <v>57</v>
      </c>
      <c r="AG1301">
        <v>6513</v>
      </c>
      <c r="AH1301">
        <v>9060</v>
      </c>
      <c r="AI1301">
        <v>4</v>
      </c>
      <c r="AJ1301" t="str">
        <f>_xlfn.XLOOKUP(Table1[[#This Row],[OverTime]],Table16[OverTime],Table16[Id_OverTime])</f>
        <v>OT002</v>
      </c>
      <c r="AK1301" t="s">
        <v>33</v>
      </c>
      <c r="AL1301">
        <v>17</v>
      </c>
      <c r="AM1301" t="str">
        <f>_xlfn.XLOOKUP(Table1[[#This Row],[PerformanceRating]],Table17[PerformanceRating],Table17[Id_PerformanceRating])</f>
        <v>PR003</v>
      </c>
      <c r="AN1301">
        <v>3</v>
      </c>
      <c r="AO1301" t="str">
        <f>_xlfn.XLOOKUP(Table1[[#This Row],[PerformanceRating]],Table17[PerformanceRating],Table17[Deskripsi])</f>
        <v>Excellent</v>
      </c>
      <c r="AP1301" t="str">
        <f>_xlfn.XLOOKUP(Table1[[#This Row],[RelationshipSatisfaction]],Table18[RelationshipSatisfaction],Table18[Id_RelationshipSatisfaction])</f>
        <v>RS004</v>
      </c>
      <c r="AQ1301">
        <v>4</v>
      </c>
      <c r="AR1301" t="str">
        <f>_xlfn.XLOOKUP(Table1[[#This Row],[RelationshipSatisfaction]],Table18[RelationshipSatisfaction],Table18[Deskripsi])</f>
        <v>Very High</v>
      </c>
      <c r="AS1301" t="str">
        <f>_xlfn.XLOOKUP(Table1[[#This Row],[StockOptionLevel]],Table19[StockOptionLevel],Table19[Id_StockOptionLevel])</f>
        <v>SOL002</v>
      </c>
      <c r="AT1301">
        <v>1</v>
      </c>
      <c r="AU1301" t="str">
        <f>_xlfn.XLOOKUP(Table1[[#This Row],[StockOptionLevel]],Table19[StockOptionLevel],Table19[Deskripsi])</f>
        <v>Standard</v>
      </c>
      <c r="AV1301">
        <v>12</v>
      </c>
      <c r="AW1301">
        <v>3</v>
      </c>
      <c r="AX1301" t="str">
        <f>_xlfn.XLOOKUP(Table1[[#This Row],[WorkLifeBalance]],Table20[WorkLifeBalance],Table20[Id_WorkLifeBalance])</f>
        <v>WLB002</v>
      </c>
      <c r="AY1301">
        <v>3</v>
      </c>
      <c r="AZ1301" t="str">
        <f>_xlfn.XLOOKUP(Table1[[#This Row],[WorkLifeBalance]],Table20[WorkLifeBalance],Table20[Deskripsi])</f>
        <v>Good</v>
      </c>
      <c r="BA1301">
        <v>5</v>
      </c>
      <c r="BB1301">
        <v>3</v>
      </c>
      <c r="BC1301">
        <v>0</v>
      </c>
      <c r="BD1301">
        <v>3</v>
      </c>
    </row>
    <row r="1302" spans="1:56" x14ac:dyDescent="0.25">
      <c r="A1302">
        <v>34</v>
      </c>
      <c r="B1302" t="str">
        <f>_xlfn.XLOOKUP(Table1[[#This Row],[Attrition]],Table2[Attrition],Table2[Id_Attrition])</f>
        <v>A002</v>
      </c>
      <c r="C1302" t="s">
        <v>33</v>
      </c>
      <c r="D1302" t="str">
        <f>_xlfn.XLOOKUP(Table1[[#This Row],[BusinessTravel]],Table5[BusinessTravel],Table5[Id_BusinessTravel])</f>
        <v>BS001</v>
      </c>
      <c r="E1302" t="s">
        <v>34</v>
      </c>
      <c r="F1302">
        <v>810</v>
      </c>
      <c r="G1302" t="str">
        <f>_xlfn.XLOOKUP(Table1[[#This Row],[Department]],Table6[Department],Table6[Id_Departement])</f>
        <v>D001</v>
      </c>
      <c r="H1302" t="s">
        <v>37</v>
      </c>
      <c r="I1302">
        <v>8</v>
      </c>
      <c r="J1302" t="str">
        <f>_xlfn.XLOOKUP(Table1[[#This Row],[Education]],Table8[Education],Table8[Id_Education])</f>
        <v>E002</v>
      </c>
      <c r="K1302">
        <v>2</v>
      </c>
      <c r="L1302" t="str">
        <f>_xlfn.XLOOKUP(Table1[[#This Row],[EducationField]],Table7[EducationField],Table7[Id_EducationField])</f>
        <v>EF005</v>
      </c>
      <c r="M1302" t="s">
        <v>44</v>
      </c>
      <c r="N1302" t="str">
        <f>_xlfn.XLOOKUP(Table1[[#This Row],[EmployeeNumber]],Table4[EmployeeNumber],Table4[Id_Employee])</f>
        <v>EMP01301</v>
      </c>
      <c r="O1302">
        <v>1823</v>
      </c>
      <c r="P1302" t="str">
        <f>_xlfn.XLOOKUP(Table1[[#This Row],[EnvironmentSatisfaction]],Table9[EnvironmentSatisfaction],Table9[Id_EnviromentSatisfaction])</f>
        <v>ES002</v>
      </c>
      <c r="Q1302">
        <v>2</v>
      </c>
      <c r="R1302" t="str">
        <f>_xlfn.XLOOKUP(Table1[[#This Row],[EnvironmentSatisfaction]],Table9[EnvironmentSatisfaction],Table9[Deskripsi])</f>
        <v>Medium</v>
      </c>
      <c r="S1302" t="str">
        <f>_xlfn.XLOOKUP(Table1[[#This Row],[Gender]],Table10[Gender],Table10[Id_Gender])</f>
        <v>G002</v>
      </c>
      <c r="T1302" t="s">
        <v>46</v>
      </c>
      <c r="U1302">
        <v>92</v>
      </c>
      <c r="V1302" t="str">
        <f>_xlfn.XLOOKUP(Table1[[#This Row],[JobInvolvement]],Table11[JobInvolvement],Table11[Id_JobInvolvement])</f>
        <v>JI004</v>
      </c>
      <c r="W1302">
        <v>4</v>
      </c>
      <c r="X1302" t="str">
        <f>_xlfn.XLOOKUP(Table1[[#This Row],[JobLevel]],Table12[JobLevel],Table12[Id_JobLevel])</f>
        <v>JL002</v>
      </c>
      <c r="Y1302">
        <v>2</v>
      </c>
      <c r="Z1302" t="str">
        <f>_xlfn.XLOOKUP(Table1[[#This Row],[JobRole]],Table13[JobRole],Table13[Id_JobRole])</f>
        <v>JR001</v>
      </c>
      <c r="AA1302" t="s">
        <v>47</v>
      </c>
      <c r="AB1302" t="str">
        <f>_xlfn.XLOOKUP(Table1[[#This Row],[JobSatisfaction]],Table14[JobSatisfaction],Table14[Id_JobSatisfaction])</f>
        <v>JS003</v>
      </c>
      <c r="AC1302">
        <v>3</v>
      </c>
      <c r="AD1302" t="str">
        <f>_xlfn.XLOOKUP(Table1[[#This Row],[JobSatisfaction]],Table14[JobSatisfaction],Table14[Deskripsi])</f>
        <v>High</v>
      </c>
      <c r="AE1302" t="str">
        <f>_xlfn.XLOOKUP(Table1[[#This Row],[MaritalStatus]],Table15[MaritalStatus],Table15[Id_MaritalStatus])</f>
        <v>MS002</v>
      </c>
      <c r="AF1302" t="s">
        <v>56</v>
      </c>
      <c r="AG1302">
        <v>6799</v>
      </c>
      <c r="AH1302">
        <v>22128</v>
      </c>
      <c r="AI1302">
        <v>1</v>
      </c>
      <c r="AJ1302" t="str">
        <f>_xlfn.XLOOKUP(Table1[[#This Row],[OverTime]],Table16[OverTime],Table16[Id_OverTime])</f>
        <v>OT002</v>
      </c>
      <c r="AK1302" t="s">
        <v>33</v>
      </c>
      <c r="AL1302">
        <v>21</v>
      </c>
      <c r="AM1302" t="str">
        <f>_xlfn.XLOOKUP(Table1[[#This Row],[PerformanceRating]],Table17[PerformanceRating],Table17[Id_PerformanceRating])</f>
        <v>PR004</v>
      </c>
      <c r="AN1302">
        <v>4</v>
      </c>
      <c r="AO1302" t="str">
        <f>_xlfn.XLOOKUP(Table1[[#This Row],[PerformanceRating]],Table17[PerformanceRating],Table17[Deskripsi])</f>
        <v>Outstanding</v>
      </c>
      <c r="AP1302" t="str">
        <f>_xlfn.XLOOKUP(Table1[[#This Row],[RelationshipSatisfaction]],Table18[RelationshipSatisfaction],Table18[Id_RelationshipSatisfaction])</f>
        <v>RS003</v>
      </c>
      <c r="AQ1302">
        <v>3</v>
      </c>
      <c r="AR1302" t="str">
        <f>_xlfn.XLOOKUP(Table1[[#This Row],[RelationshipSatisfaction]],Table18[RelationshipSatisfaction],Table18[Deskripsi])</f>
        <v>High</v>
      </c>
      <c r="AS1302" t="str">
        <f>_xlfn.XLOOKUP(Table1[[#This Row],[StockOptionLevel]],Table19[StockOptionLevel],Table19[Id_StockOptionLevel])</f>
        <v>SOL003</v>
      </c>
      <c r="AT1302">
        <v>2</v>
      </c>
      <c r="AU1302" t="str">
        <f>_xlfn.XLOOKUP(Table1[[#This Row],[StockOptionLevel]],Table19[StockOptionLevel],Table19[Deskripsi])</f>
        <v>Intermediate</v>
      </c>
      <c r="AV1302">
        <v>10</v>
      </c>
      <c r="AW1302">
        <v>5</v>
      </c>
      <c r="AX1302" t="str">
        <f>_xlfn.XLOOKUP(Table1[[#This Row],[WorkLifeBalance]],Table20[WorkLifeBalance],Table20[Id_WorkLifeBalance])</f>
        <v>WLB002</v>
      </c>
      <c r="AY1302">
        <v>3</v>
      </c>
      <c r="AZ1302" t="str">
        <f>_xlfn.XLOOKUP(Table1[[#This Row],[WorkLifeBalance]],Table20[WorkLifeBalance],Table20[Deskripsi])</f>
        <v>Good</v>
      </c>
      <c r="BA1302">
        <v>10</v>
      </c>
      <c r="BB1302">
        <v>8</v>
      </c>
      <c r="BC1302">
        <v>4</v>
      </c>
      <c r="BD1302">
        <v>8</v>
      </c>
    </row>
    <row r="1303" spans="1:56" x14ac:dyDescent="0.25">
      <c r="A1303">
        <v>58</v>
      </c>
      <c r="B1303" t="str">
        <f>_xlfn.XLOOKUP(Table1[[#This Row],[Attrition]],Table2[Attrition],Table2[Id_Attrition])</f>
        <v>A002</v>
      </c>
      <c r="C1303" t="s">
        <v>33</v>
      </c>
      <c r="D1303" t="str">
        <f>_xlfn.XLOOKUP(Table1[[#This Row],[BusinessTravel]],Table5[BusinessTravel],Table5[Id_BusinessTravel])</f>
        <v>BS003</v>
      </c>
      <c r="E1303" t="s">
        <v>36</v>
      </c>
      <c r="F1303">
        <v>350</v>
      </c>
      <c r="G1303" t="str">
        <f>_xlfn.XLOOKUP(Table1[[#This Row],[Department]],Table6[Department],Table6[Id_Departement])</f>
        <v>D001</v>
      </c>
      <c r="H1303" t="s">
        <v>37</v>
      </c>
      <c r="I1303">
        <v>2</v>
      </c>
      <c r="J1303" t="str">
        <f>_xlfn.XLOOKUP(Table1[[#This Row],[Education]],Table8[Education],Table8[Id_Education])</f>
        <v>E003</v>
      </c>
      <c r="K1303">
        <v>3</v>
      </c>
      <c r="L1303" t="str">
        <f>_xlfn.XLOOKUP(Table1[[#This Row],[EducationField]],Table7[EducationField],Table7[Id_EducationField])</f>
        <v>EF003</v>
      </c>
      <c r="M1303" t="s">
        <v>42</v>
      </c>
      <c r="N1303" t="str">
        <f>_xlfn.XLOOKUP(Table1[[#This Row],[EmployeeNumber]],Table4[EmployeeNumber],Table4[Id_Employee])</f>
        <v>EMP01302</v>
      </c>
      <c r="O1303">
        <v>1824</v>
      </c>
      <c r="P1303" t="str">
        <f>_xlfn.XLOOKUP(Table1[[#This Row],[EnvironmentSatisfaction]],Table9[EnvironmentSatisfaction],Table9[Id_EnviromentSatisfaction])</f>
        <v>ES002</v>
      </c>
      <c r="Q1303">
        <v>2</v>
      </c>
      <c r="R1303" t="str">
        <f>_xlfn.XLOOKUP(Table1[[#This Row],[EnvironmentSatisfaction]],Table9[EnvironmentSatisfaction],Table9[Deskripsi])</f>
        <v>Medium</v>
      </c>
      <c r="S1303" t="str">
        <f>_xlfn.XLOOKUP(Table1[[#This Row],[Gender]],Table10[Gender],Table10[Id_Gender])</f>
        <v>G002</v>
      </c>
      <c r="T1303" t="s">
        <v>46</v>
      </c>
      <c r="U1303">
        <v>52</v>
      </c>
      <c r="V1303" t="str">
        <f>_xlfn.XLOOKUP(Table1[[#This Row],[JobInvolvement]],Table11[JobInvolvement],Table11[Id_JobInvolvement])</f>
        <v>JI003</v>
      </c>
      <c r="W1303">
        <v>3</v>
      </c>
      <c r="X1303" t="str">
        <f>_xlfn.XLOOKUP(Table1[[#This Row],[JobLevel]],Table12[JobLevel],Table12[Id_JobLevel])</f>
        <v>JL004</v>
      </c>
      <c r="Y1303">
        <v>4</v>
      </c>
      <c r="Z1303" t="str">
        <f>_xlfn.XLOOKUP(Table1[[#This Row],[JobRole]],Table13[JobRole],Table13[Id_JobRole])</f>
        <v>JR006</v>
      </c>
      <c r="AA1303" t="s">
        <v>52</v>
      </c>
      <c r="AB1303" t="str">
        <f>_xlfn.XLOOKUP(Table1[[#This Row],[JobSatisfaction]],Table14[JobSatisfaction],Table14[Id_JobSatisfaction])</f>
        <v>JS002</v>
      </c>
      <c r="AC1303">
        <v>2</v>
      </c>
      <c r="AD1303" t="str">
        <f>_xlfn.XLOOKUP(Table1[[#This Row],[JobSatisfaction]],Table14[JobSatisfaction],Table14[Deskripsi])</f>
        <v>Medium</v>
      </c>
      <c r="AE1303" t="str">
        <f>_xlfn.XLOOKUP(Table1[[#This Row],[MaritalStatus]],Table15[MaritalStatus],Table15[Id_MaritalStatus])</f>
        <v>MS003</v>
      </c>
      <c r="AF1303" t="s">
        <v>57</v>
      </c>
      <c r="AG1303">
        <v>16291</v>
      </c>
      <c r="AH1303">
        <v>22577</v>
      </c>
      <c r="AI1303">
        <v>4</v>
      </c>
      <c r="AJ1303" t="str">
        <f>_xlfn.XLOOKUP(Table1[[#This Row],[OverTime]],Table16[OverTime],Table16[Id_OverTime])</f>
        <v>OT002</v>
      </c>
      <c r="AK1303" t="s">
        <v>33</v>
      </c>
      <c r="AL1303">
        <v>22</v>
      </c>
      <c r="AM1303" t="str">
        <f>_xlfn.XLOOKUP(Table1[[#This Row],[PerformanceRating]],Table17[PerformanceRating],Table17[Id_PerformanceRating])</f>
        <v>PR004</v>
      </c>
      <c r="AN1303">
        <v>4</v>
      </c>
      <c r="AO1303" t="str">
        <f>_xlfn.XLOOKUP(Table1[[#This Row],[PerformanceRating]],Table17[PerformanceRating],Table17[Deskripsi])</f>
        <v>Outstanding</v>
      </c>
      <c r="AP1303" t="str">
        <f>_xlfn.XLOOKUP(Table1[[#This Row],[RelationshipSatisfaction]],Table18[RelationshipSatisfaction],Table18[Id_RelationshipSatisfaction])</f>
        <v>RS004</v>
      </c>
      <c r="AQ1303">
        <v>4</v>
      </c>
      <c r="AR1303" t="str">
        <f>_xlfn.XLOOKUP(Table1[[#This Row],[RelationshipSatisfaction]],Table18[RelationshipSatisfaction],Table18[Deskripsi])</f>
        <v>Very High</v>
      </c>
      <c r="AS1303" t="str">
        <f>_xlfn.XLOOKUP(Table1[[#This Row],[StockOptionLevel]],Table19[StockOptionLevel],Table19[Id_StockOptionLevel])</f>
        <v>SOL002</v>
      </c>
      <c r="AT1303">
        <v>1</v>
      </c>
      <c r="AU1303" t="str">
        <f>_xlfn.XLOOKUP(Table1[[#This Row],[StockOptionLevel]],Table19[StockOptionLevel],Table19[Deskripsi])</f>
        <v>Standard</v>
      </c>
      <c r="AV1303">
        <v>37</v>
      </c>
      <c r="AW1303">
        <v>0</v>
      </c>
      <c r="AX1303" t="str">
        <f>_xlfn.XLOOKUP(Table1[[#This Row],[WorkLifeBalance]],Table20[WorkLifeBalance],Table20[Id_WorkLifeBalance])</f>
        <v>WLB003</v>
      </c>
      <c r="AY1303">
        <v>2</v>
      </c>
      <c r="AZ1303" t="str">
        <f>_xlfn.XLOOKUP(Table1[[#This Row],[WorkLifeBalance]],Table20[WorkLifeBalance],Table20[Deskripsi])</f>
        <v>Better</v>
      </c>
      <c r="BA1303">
        <v>16</v>
      </c>
      <c r="BB1303">
        <v>9</v>
      </c>
      <c r="BC1303">
        <v>14</v>
      </c>
      <c r="BD1303">
        <v>14</v>
      </c>
    </row>
    <row r="1304" spans="1:56" x14ac:dyDescent="0.25">
      <c r="A1304">
        <v>35</v>
      </c>
      <c r="B1304" t="str">
        <f>_xlfn.XLOOKUP(Table1[[#This Row],[Attrition]],Table2[Attrition],Table2[Id_Attrition])</f>
        <v>A002</v>
      </c>
      <c r="C1304" t="s">
        <v>33</v>
      </c>
      <c r="D1304" t="str">
        <f>_xlfn.XLOOKUP(Table1[[#This Row],[BusinessTravel]],Table5[BusinessTravel],Table5[Id_BusinessTravel])</f>
        <v>BS001</v>
      </c>
      <c r="E1304" t="s">
        <v>34</v>
      </c>
      <c r="F1304">
        <v>185</v>
      </c>
      <c r="G1304" t="str">
        <f>_xlfn.XLOOKUP(Table1[[#This Row],[Department]],Table6[Department],Table6[Id_Departement])</f>
        <v>D002</v>
      </c>
      <c r="H1304" t="s">
        <v>38</v>
      </c>
      <c r="I1304">
        <v>23</v>
      </c>
      <c r="J1304" t="str">
        <f>_xlfn.XLOOKUP(Table1[[#This Row],[Education]],Table8[Education],Table8[Id_Education])</f>
        <v>E004</v>
      </c>
      <c r="K1304">
        <v>4</v>
      </c>
      <c r="L1304" t="str">
        <f>_xlfn.XLOOKUP(Table1[[#This Row],[EducationField]],Table7[EducationField],Table7[Id_EducationField])</f>
        <v>EF003</v>
      </c>
      <c r="M1304" t="s">
        <v>42</v>
      </c>
      <c r="N1304" t="str">
        <f>_xlfn.XLOOKUP(Table1[[#This Row],[EmployeeNumber]],Table4[EmployeeNumber],Table4[Id_Employee])</f>
        <v>EMP01303</v>
      </c>
      <c r="O1304">
        <v>1826</v>
      </c>
      <c r="P1304" t="str">
        <f>_xlfn.XLOOKUP(Table1[[#This Row],[EnvironmentSatisfaction]],Table9[EnvironmentSatisfaction],Table9[Id_EnviromentSatisfaction])</f>
        <v>ES002</v>
      </c>
      <c r="Q1304">
        <v>2</v>
      </c>
      <c r="R1304" t="str">
        <f>_xlfn.XLOOKUP(Table1[[#This Row],[EnvironmentSatisfaction]],Table9[EnvironmentSatisfaction],Table9[Deskripsi])</f>
        <v>Medium</v>
      </c>
      <c r="S1304" t="str">
        <f>_xlfn.XLOOKUP(Table1[[#This Row],[Gender]],Table10[Gender],Table10[Id_Gender])</f>
        <v>G002</v>
      </c>
      <c r="T1304" t="s">
        <v>46</v>
      </c>
      <c r="U1304">
        <v>91</v>
      </c>
      <c r="V1304" t="str">
        <f>_xlfn.XLOOKUP(Table1[[#This Row],[JobInvolvement]],Table11[JobInvolvement],Table11[Id_JobInvolvement])</f>
        <v>JI001</v>
      </c>
      <c r="W1304">
        <v>1</v>
      </c>
      <c r="X1304" t="str">
        <f>_xlfn.XLOOKUP(Table1[[#This Row],[JobLevel]],Table12[JobLevel],Table12[Id_JobLevel])</f>
        <v>JL001</v>
      </c>
      <c r="Y1304">
        <v>1</v>
      </c>
      <c r="Z1304" t="str">
        <f>_xlfn.XLOOKUP(Table1[[#This Row],[JobRole]],Table13[JobRole],Table13[Id_JobRole])</f>
        <v>JR003</v>
      </c>
      <c r="AA1304" t="s">
        <v>49</v>
      </c>
      <c r="AB1304" t="str">
        <f>_xlfn.XLOOKUP(Table1[[#This Row],[JobSatisfaction]],Table14[JobSatisfaction],Table14[Id_JobSatisfaction])</f>
        <v>JS003</v>
      </c>
      <c r="AC1304">
        <v>3</v>
      </c>
      <c r="AD1304" t="str">
        <f>_xlfn.XLOOKUP(Table1[[#This Row],[JobSatisfaction]],Table14[JobSatisfaction],Table14[Deskripsi])</f>
        <v>High</v>
      </c>
      <c r="AE1304" t="str">
        <f>_xlfn.XLOOKUP(Table1[[#This Row],[MaritalStatus]],Table15[MaritalStatus],Table15[Id_MaritalStatus])</f>
        <v>MS002</v>
      </c>
      <c r="AF1304" t="s">
        <v>56</v>
      </c>
      <c r="AG1304">
        <v>2705</v>
      </c>
      <c r="AH1304">
        <v>9696</v>
      </c>
      <c r="AI1304">
        <v>0</v>
      </c>
      <c r="AJ1304" t="str">
        <f>_xlfn.XLOOKUP(Table1[[#This Row],[OverTime]],Table16[OverTime],Table16[Id_OverTime])</f>
        <v>OT002</v>
      </c>
      <c r="AK1304" t="s">
        <v>33</v>
      </c>
      <c r="AL1304">
        <v>16</v>
      </c>
      <c r="AM1304" t="str">
        <f>_xlfn.XLOOKUP(Table1[[#This Row],[PerformanceRating]],Table17[PerformanceRating],Table17[Id_PerformanceRating])</f>
        <v>PR003</v>
      </c>
      <c r="AN1304">
        <v>3</v>
      </c>
      <c r="AO1304" t="str">
        <f>_xlfn.XLOOKUP(Table1[[#This Row],[PerformanceRating]],Table17[PerformanceRating],Table17[Deskripsi])</f>
        <v>Excellent</v>
      </c>
      <c r="AP1304" t="str">
        <f>_xlfn.XLOOKUP(Table1[[#This Row],[RelationshipSatisfaction]],Table18[RelationshipSatisfaction],Table18[Id_RelationshipSatisfaction])</f>
        <v>RS002</v>
      </c>
      <c r="AQ1304">
        <v>2</v>
      </c>
      <c r="AR1304" t="str">
        <f>_xlfn.XLOOKUP(Table1[[#This Row],[RelationshipSatisfaction]],Table18[RelationshipSatisfaction],Table18[Deskripsi])</f>
        <v>Medium</v>
      </c>
      <c r="AS1304" t="str">
        <f>_xlfn.XLOOKUP(Table1[[#This Row],[StockOptionLevel]],Table19[StockOptionLevel],Table19[Id_StockOptionLevel])</f>
        <v>SOL002</v>
      </c>
      <c r="AT1304">
        <v>1</v>
      </c>
      <c r="AU1304" t="str">
        <f>_xlfn.XLOOKUP(Table1[[#This Row],[StockOptionLevel]],Table19[StockOptionLevel],Table19[Deskripsi])</f>
        <v>Standard</v>
      </c>
      <c r="AV1304">
        <v>6</v>
      </c>
      <c r="AW1304">
        <v>2</v>
      </c>
      <c r="AX1304" t="str">
        <f>_xlfn.XLOOKUP(Table1[[#This Row],[WorkLifeBalance]],Table20[WorkLifeBalance],Table20[Id_WorkLifeBalance])</f>
        <v>WLB004</v>
      </c>
      <c r="AY1304">
        <v>4</v>
      </c>
      <c r="AZ1304" t="str">
        <f>_xlfn.XLOOKUP(Table1[[#This Row],[WorkLifeBalance]],Table20[WorkLifeBalance],Table20[Deskripsi])</f>
        <v>Best</v>
      </c>
      <c r="BA1304">
        <v>5</v>
      </c>
      <c r="BB1304">
        <v>4</v>
      </c>
      <c r="BC1304">
        <v>0</v>
      </c>
      <c r="BD1304">
        <v>3</v>
      </c>
    </row>
    <row r="1305" spans="1:56" x14ac:dyDescent="0.25">
      <c r="A1305">
        <v>47</v>
      </c>
      <c r="B1305" t="str">
        <f>_xlfn.XLOOKUP(Table1[[#This Row],[Attrition]],Table2[Attrition],Table2[Id_Attrition])</f>
        <v>A002</v>
      </c>
      <c r="C1305" t="s">
        <v>33</v>
      </c>
      <c r="D1305" t="str">
        <f>_xlfn.XLOOKUP(Table1[[#This Row],[BusinessTravel]],Table5[BusinessTravel],Table5[Id_BusinessTravel])</f>
        <v>BS001</v>
      </c>
      <c r="E1305" t="s">
        <v>34</v>
      </c>
      <c r="F1305">
        <v>1001</v>
      </c>
      <c r="G1305" t="str">
        <f>_xlfn.XLOOKUP(Table1[[#This Row],[Department]],Table6[Department],Table6[Id_Departement])</f>
        <v>D002</v>
      </c>
      <c r="H1305" t="s">
        <v>38</v>
      </c>
      <c r="I1305">
        <v>4</v>
      </c>
      <c r="J1305" t="str">
        <f>_xlfn.XLOOKUP(Table1[[#This Row],[Education]],Table8[Education],Table8[Id_Education])</f>
        <v>E003</v>
      </c>
      <c r="K1305">
        <v>3</v>
      </c>
      <c r="L1305" t="str">
        <f>_xlfn.XLOOKUP(Table1[[#This Row],[EducationField]],Table7[EducationField],Table7[Id_EducationField])</f>
        <v>EF001</v>
      </c>
      <c r="M1305" t="s">
        <v>40</v>
      </c>
      <c r="N1305" t="str">
        <f>_xlfn.XLOOKUP(Table1[[#This Row],[EmployeeNumber]],Table4[EmployeeNumber],Table4[Id_Employee])</f>
        <v>EMP01304</v>
      </c>
      <c r="O1305">
        <v>1827</v>
      </c>
      <c r="P1305" t="str">
        <f>_xlfn.XLOOKUP(Table1[[#This Row],[EnvironmentSatisfaction]],Table9[EnvironmentSatisfaction],Table9[Id_EnviromentSatisfaction])</f>
        <v>ES003</v>
      </c>
      <c r="Q1305">
        <v>3</v>
      </c>
      <c r="R1305" t="str">
        <f>_xlfn.XLOOKUP(Table1[[#This Row],[EnvironmentSatisfaction]],Table9[EnvironmentSatisfaction],Table9[Deskripsi])</f>
        <v>High</v>
      </c>
      <c r="S1305" t="str">
        <f>_xlfn.XLOOKUP(Table1[[#This Row],[Gender]],Table10[Gender],Table10[Id_Gender])</f>
        <v>G001</v>
      </c>
      <c r="T1305" t="s">
        <v>45</v>
      </c>
      <c r="U1305">
        <v>92</v>
      </c>
      <c r="V1305" t="str">
        <f>_xlfn.XLOOKUP(Table1[[#This Row],[JobInvolvement]],Table11[JobInvolvement],Table11[Id_JobInvolvement])</f>
        <v>JI002</v>
      </c>
      <c r="W1305">
        <v>2</v>
      </c>
      <c r="X1305" t="str">
        <f>_xlfn.XLOOKUP(Table1[[#This Row],[JobLevel]],Table12[JobLevel],Table12[Id_JobLevel])</f>
        <v>JL003</v>
      </c>
      <c r="Y1305">
        <v>3</v>
      </c>
      <c r="Z1305" t="str">
        <f>_xlfn.XLOOKUP(Table1[[#This Row],[JobRole]],Table13[JobRole],Table13[Id_JobRole])</f>
        <v>JR004</v>
      </c>
      <c r="AA1305" t="s">
        <v>50</v>
      </c>
      <c r="AB1305" t="str">
        <f>_xlfn.XLOOKUP(Table1[[#This Row],[JobSatisfaction]],Table14[JobSatisfaction],Table14[Id_JobSatisfaction])</f>
        <v>JS002</v>
      </c>
      <c r="AC1305">
        <v>2</v>
      </c>
      <c r="AD1305" t="str">
        <f>_xlfn.XLOOKUP(Table1[[#This Row],[JobSatisfaction]],Table14[JobSatisfaction],Table14[Deskripsi])</f>
        <v>Medium</v>
      </c>
      <c r="AE1305" t="str">
        <f>_xlfn.XLOOKUP(Table1[[#This Row],[MaritalStatus]],Table15[MaritalStatus],Table15[Id_MaritalStatus])</f>
        <v>MS003</v>
      </c>
      <c r="AF1305" t="s">
        <v>57</v>
      </c>
      <c r="AG1305">
        <v>10333</v>
      </c>
      <c r="AH1305">
        <v>19271</v>
      </c>
      <c r="AI1305">
        <v>8</v>
      </c>
      <c r="AJ1305" t="str">
        <f>_xlfn.XLOOKUP(Table1[[#This Row],[OverTime]],Table16[OverTime],Table16[Id_OverTime])</f>
        <v>OT001</v>
      </c>
      <c r="AK1305" t="s">
        <v>32</v>
      </c>
      <c r="AL1305">
        <v>12</v>
      </c>
      <c r="AM1305" t="str">
        <f>_xlfn.XLOOKUP(Table1[[#This Row],[PerformanceRating]],Table17[PerformanceRating],Table17[Id_PerformanceRating])</f>
        <v>PR003</v>
      </c>
      <c r="AN1305">
        <v>3</v>
      </c>
      <c r="AO1305" t="str">
        <f>_xlfn.XLOOKUP(Table1[[#This Row],[PerformanceRating]],Table17[PerformanceRating],Table17[Deskripsi])</f>
        <v>Excellent</v>
      </c>
      <c r="AP1305" t="str">
        <f>_xlfn.XLOOKUP(Table1[[#This Row],[RelationshipSatisfaction]],Table18[RelationshipSatisfaction],Table18[Id_RelationshipSatisfaction])</f>
        <v>RS003</v>
      </c>
      <c r="AQ1305">
        <v>3</v>
      </c>
      <c r="AR1305" t="str">
        <f>_xlfn.XLOOKUP(Table1[[#This Row],[RelationshipSatisfaction]],Table18[RelationshipSatisfaction],Table18[Deskripsi])</f>
        <v>High</v>
      </c>
      <c r="AS1305" t="str">
        <f>_xlfn.XLOOKUP(Table1[[#This Row],[StockOptionLevel]],Table19[StockOptionLevel],Table19[Id_StockOptionLevel])</f>
        <v>SOL002</v>
      </c>
      <c r="AT1305">
        <v>1</v>
      </c>
      <c r="AU1305" t="str">
        <f>_xlfn.XLOOKUP(Table1[[#This Row],[StockOptionLevel]],Table19[StockOptionLevel],Table19[Deskripsi])</f>
        <v>Standard</v>
      </c>
      <c r="AV1305">
        <v>28</v>
      </c>
      <c r="AW1305">
        <v>4</v>
      </c>
      <c r="AX1305" t="str">
        <f>_xlfn.XLOOKUP(Table1[[#This Row],[WorkLifeBalance]],Table20[WorkLifeBalance],Table20[Id_WorkLifeBalance])</f>
        <v>WLB002</v>
      </c>
      <c r="AY1305">
        <v>3</v>
      </c>
      <c r="AZ1305" t="str">
        <f>_xlfn.XLOOKUP(Table1[[#This Row],[WorkLifeBalance]],Table20[WorkLifeBalance],Table20[Deskripsi])</f>
        <v>Good</v>
      </c>
      <c r="BA1305">
        <v>22</v>
      </c>
      <c r="BB1305">
        <v>11</v>
      </c>
      <c r="BC1305">
        <v>14</v>
      </c>
      <c r="BD1305">
        <v>10</v>
      </c>
    </row>
    <row r="1306" spans="1:56" x14ac:dyDescent="0.25">
      <c r="A1306">
        <v>40</v>
      </c>
      <c r="B1306" t="str">
        <f>_xlfn.XLOOKUP(Table1[[#This Row],[Attrition]],Table2[Attrition],Table2[Id_Attrition])</f>
        <v>A002</v>
      </c>
      <c r="C1306" t="s">
        <v>33</v>
      </c>
      <c r="D1306" t="str">
        <f>_xlfn.XLOOKUP(Table1[[#This Row],[BusinessTravel]],Table5[BusinessTravel],Table5[Id_BusinessTravel])</f>
        <v>BS001</v>
      </c>
      <c r="E1306" t="s">
        <v>34</v>
      </c>
      <c r="F1306">
        <v>750</v>
      </c>
      <c r="G1306" t="str">
        <f>_xlfn.XLOOKUP(Table1[[#This Row],[Department]],Table6[Department],Table6[Id_Departement])</f>
        <v>D002</v>
      </c>
      <c r="H1306" t="s">
        <v>38</v>
      </c>
      <c r="I1306">
        <v>12</v>
      </c>
      <c r="J1306" t="str">
        <f>_xlfn.XLOOKUP(Table1[[#This Row],[Education]],Table8[Education],Table8[Id_Education])</f>
        <v>E003</v>
      </c>
      <c r="K1306">
        <v>3</v>
      </c>
      <c r="L1306" t="str">
        <f>_xlfn.XLOOKUP(Table1[[#This Row],[EducationField]],Table7[EducationField],Table7[Id_EducationField])</f>
        <v>EF001</v>
      </c>
      <c r="M1306" t="s">
        <v>40</v>
      </c>
      <c r="N1306" t="str">
        <f>_xlfn.XLOOKUP(Table1[[#This Row],[EmployeeNumber]],Table4[EmployeeNumber],Table4[Id_Employee])</f>
        <v>EMP01305</v>
      </c>
      <c r="O1306">
        <v>1829</v>
      </c>
      <c r="P1306" t="str">
        <f>_xlfn.XLOOKUP(Table1[[#This Row],[EnvironmentSatisfaction]],Table9[EnvironmentSatisfaction],Table9[Id_EnviromentSatisfaction])</f>
        <v>ES002</v>
      </c>
      <c r="Q1306">
        <v>2</v>
      </c>
      <c r="R1306" t="str">
        <f>_xlfn.XLOOKUP(Table1[[#This Row],[EnvironmentSatisfaction]],Table9[EnvironmentSatisfaction],Table9[Deskripsi])</f>
        <v>Medium</v>
      </c>
      <c r="S1306" t="str">
        <f>_xlfn.XLOOKUP(Table1[[#This Row],[Gender]],Table10[Gender],Table10[Id_Gender])</f>
        <v>G001</v>
      </c>
      <c r="T1306" t="s">
        <v>45</v>
      </c>
      <c r="U1306">
        <v>47</v>
      </c>
      <c r="V1306" t="str">
        <f>_xlfn.XLOOKUP(Table1[[#This Row],[JobInvolvement]],Table11[JobInvolvement],Table11[Id_JobInvolvement])</f>
        <v>JI003</v>
      </c>
      <c r="W1306">
        <v>3</v>
      </c>
      <c r="X1306" t="str">
        <f>_xlfn.XLOOKUP(Table1[[#This Row],[JobLevel]],Table12[JobLevel],Table12[Id_JobLevel])</f>
        <v>JL002</v>
      </c>
      <c r="Y1306">
        <v>2</v>
      </c>
      <c r="Z1306" t="str">
        <f>_xlfn.XLOOKUP(Table1[[#This Row],[JobRole]],Table13[JobRole],Table13[Id_JobRole])</f>
        <v>JR005</v>
      </c>
      <c r="AA1306" t="s">
        <v>51</v>
      </c>
      <c r="AB1306" t="str">
        <f>_xlfn.XLOOKUP(Table1[[#This Row],[JobSatisfaction]],Table14[JobSatisfaction],Table14[Id_JobSatisfaction])</f>
        <v>JS001</v>
      </c>
      <c r="AC1306">
        <v>1</v>
      </c>
      <c r="AD1306" t="str">
        <f>_xlfn.XLOOKUP(Table1[[#This Row],[JobSatisfaction]],Table14[JobSatisfaction],Table14[Deskripsi])</f>
        <v>Low</v>
      </c>
      <c r="AE1306" t="str">
        <f>_xlfn.XLOOKUP(Table1[[#This Row],[MaritalStatus]],Table15[MaritalStatus],Table15[Id_MaritalStatus])</f>
        <v>MS003</v>
      </c>
      <c r="AF1306" t="s">
        <v>57</v>
      </c>
      <c r="AG1306">
        <v>4448</v>
      </c>
      <c r="AH1306">
        <v>10748</v>
      </c>
      <c r="AI1306">
        <v>2</v>
      </c>
      <c r="AJ1306" t="str">
        <f>_xlfn.XLOOKUP(Table1[[#This Row],[OverTime]],Table16[OverTime],Table16[Id_OverTime])</f>
        <v>OT002</v>
      </c>
      <c r="AK1306" t="s">
        <v>33</v>
      </c>
      <c r="AL1306">
        <v>12</v>
      </c>
      <c r="AM1306" t="str">
        <f>_xlfn.XLOOKUP(Table1[[#This Row],[PerformanceRating]],Table17[PerformanceRating],Table17[Id_PerformanceRating])</f>
        <v>PR003</v>
      </c>
      <c r="AN1306">
        <v>3</v>
      </c>
      <c r="AO1306" t="str">
        <f>_xlfn.XLOOKUP(Table1[[#This Row],[PerformanceRating]],Table17[PerformanceRating],Table17[Deskripsi])</f>
        <v>Excellent</v>
      </c>
      <c r="AP1306" t="str">
        <f>_xlfn.XLOOKUP(Table1[[#This Row],[RelationshipSatisfaction]],Table18[RelationshipSatisfaction],Table18[Id_RelationshipSatisfaction])</f>
        <v>RS002</v>
      </c>
      <c r="AQ1306">
        <v>2</v>
      </c>
      <c r="AR1306" t="str">
        <f>_xlfn.XLOOKUP(Table1[[#This Row],[RelationshipSatisfaction]],Table18[RelationshipSatisfaction],Table18[Deskripsi])</f>
        <v>Medium</v>
      </c>
      <c r="AS1306" t="str">
        <f>_xlfn.XLOOKUP(Table1[[#This Row],[StockOptionLevel]],Table19[StockOptionLevel],Table19[Id_StockOptionLevel])</f>
        <v>SOL002</v>
      </c>
      <c r="AT1306">
        <v>1</v>
      </c>
      <c r="AU1306" t="str">
        <f>_xlfn.XLOOKUP(Table1[[#This Row],[StockOptionLevel]],Table19[StockOptionLevel],Table19[Deskripsi])</f>
        <v>Standard</v>
      </c>
      <c r="AV1306">
        <v>15</v>
      </c>
      <c r="AW1306">
        <v>3</v>
      </c>
      <c r="AX1306" t="str">
        <f>_xlfn.XLOOKUP(Table1[[#This Row],[WorkLifeBalance]],Table20[WorkLifeBalance],Table20[Id_WorkLifeBalance])</f>
        <v>WLB002</v>
      </c>
      <c r="AY1306">
        <v>3</v>
      </c>
      <c r="AZ1306" t="str">
        <f>_xlfn.XLOOKUP(Table1[[#This Row],[WorkLifeBalance]],Table20[WorkLifeBalance],Table20[Deskripsi])</f>
        <v>Good</v>
      </c>
      <c r="BA1306">
        <v>7</v>
      </c>
      <c r="BB1306">
        <v>4</v>
      </c>
      <c r="BC1306">
        <v>7</v>
      </c>
      <c r="BD1306">
        <v>7</v>
      </c>
    </row>
    <row r="1307" spans="1:56" x14ac:dyDescent="0.25">
      <c r="A1307">
        <v>54</v>
      </c>
      <c r="B1307" t="str">
        <f>_xlfn.XLOOKUP(Table1[[#This Row],[Attrition]],Table2[Attrition],Table2[Id_Attrition])</f>
        <v>A002</v>
      </c>
      <c r="C1307" t="s">
        <v>33</v>
      </c>
      <c r="D1307" t="str">
        <f>_xlfn.XLOOKUP(Table1[[#This Row],[BusinessTravel]],Table5[BusinessTravel],Table5[Id_BusinessTravel])</f>
        <v>BS001</v>
      </c>
      <c r="E1307" t="s">
        <v>34</v>
      </c>
      <c r="F1307">
        <v>431</v>
      </c>
      <c r="G1307" t="str">
        <f>_xlfn.XLOOKUP(Table1[[#This Row],[Department]],Table6[Department],Table6[Id_Departement])</f>
        <v>D002</v>
      </c>
      <c r="H1307" t="s">
        <v>38</v>
      </c>
      <c r="I1307">
        <v>7</v>
      </c>
      <c r="J1307" t="str">
        <f>_xlfn.XLOOKUP(Table1[[#This Row],[Education]],Table8[Education],Table8[Id_Education])</f>
        <v>E004</v>
      </c>
      <c r="K1307">
        <v>4</v>
      </c>
      <c r="L1307" t="str">
        <f>_xlfn.XLOOKUP(Table1[[#This Row],[EducationField]],Table7[EducationField],Table7[Id_EducationField])</f>
        <v>EF003</v>
      </c>
      <c r="M1307" t="s">
        <v>42</v>
      </c>
      <c r="N1307" t="str">
        <f>_xlfn.XLOOKUP(Table1[[#This Row],[EmployeeNumber]],Table4[EmployeeNumber],Table4[Id_Employee])</f>
        <v>EMP01306</v>
      </c>
      <c r="O1307">
        <v>1830</v>
      </c>
      <c r="P1307" t="str">
        <f>_xlfn.XLOOKUP(Table1[[#This Row],[EnvironmentSatisfaction]],Table9[EnvironmentSatisfaction],Table9[Id_EnviromentSatisfaction])</f>
        <v>ES004</v>
      </c>
      <c r="Q1307">
        <v>4</v>
      </c>
      <c r="R1307" t="str">
        <f>_xlfn.XLOOKUP(Table1[[#This Row],[EnvironmentSatisfaction]],Table9[EnvironmentSatisfaction],Table9[Deskripsi])</f>
        <v>Very High</v>
      </c>
      <c r="S1307" t="str">
        <f>_xlfn.XLOOKUP(Table1[[#This Row],[Gender]],Table10[Gender],Table10[Id_Gender])</f>
        <v>G001</v>
      </c>
      <c r="T1307" t="s">
        <v>45</v>
      </c>
      <c r="U1307">
        <v>68</v>
      </c>
      <c r="V1307" t="str">
        <f>_xlfn.XLOOKUP(Table1[[#This Row],[JobInvolvement]],Table11[JobInvolvement],Table11[Id_JobInvolvement])</f>
        <v>JI003</v>
      </c>
      <c r="W1307">
        <v>3</v>
      </c>
      <c r="X1307" t="str">
        <f>_xlfn.XLOOKUP(Table1[[#This Row],[JobLevel]],Table12[JobLevel],Table12[Id_JobLevel])</f>
        <v>JL002</v>
      </c>
      <c r="Y1307">
        <v>2</v>
      </c>
      <c r="Z1307" t="str">
        <f>_xlfn.XLOOKUP(Table1[[#This Row],[JobRole]],Table13[JobRole],Table13[Id_JobRole])</f>
        <v>JR002</v>
      </c>
      <c r="AA1307" t="s">
        <v>48</v>
      </c>
      <c r="AB1307" t="str">
        <f>_xlfn.XLOOKUP(Table1[[#This Row],[JobSatisfaction]],Table14[JobSatisfaction],Table14[Id_JobSatisfaction])</f>
        <v>JS004</v>
      </c>
      <c r="AC1307">
        <v>4</v>
      </c>
      <c r="AD1307" t="str">
        <f>_xlfn.XLOOKUP(Table1[[#This Row],[JobSatisfaction]],Table14[JobSatisfaction],Table14[Deskripsi])</f>
        <v>Very High</v>
      </c>
      <c r="AE1307" t="str">
        <f>_xlfn.XLOOKUP(Table1[[#This Row],[MaritalStatus]],Table15[MaritalStatus],Table15[Id_MaritalStatus])</f>
        <v>MS002</v>
      </c>
      <c r="AF1307" t="s">
        <v>56</v>
      </c>
      <c r="AG1307">
        <v>6854</v>
      </c>
      <c r="AH1307">
        <v>15696</v>
      </c>
      <c r="AI1307">
        <v>4</v>
      </c>
      <c r="AJ1307" t="str">
        <f>_xlfn.XLOOKUP(Table1[[#This Row],[OverTime]],Table16[OverTime],Table16[Id_OverTime])</f>
        <v>OT002</v>
      </c>
      <c r="AK1307" t="s">
        <v>33</v>
      </c>
      <c r="AL1307">
        <v>15</v>
      </c>
      <c r="AM1307" t="str">
        <f>_xlfn.XLOOKUP(Table1[[#This Row],[PerformanceRating]],Table17[PerformanceRating],Table17[Id_PerformanceRating])</f>
        <v>PR003</v>
      </c>
      <c r="AN1307">
        <v>3</v>
      </c>
      <c r="AO1307" t="str">
        <f>_xlfn.XLOOKUP(Table1[[#This Row],[PerformanceRating]],Table17[PerformanceRating],Table17[Deskripsi])</f>
        <v>Excellent</v>
      </c>
      <c r="AP1307" t="str">
        <f>_xlfn.XLOOKUP(Table1[[#This Row],[RelationshipSatisfaction]],Table18[RelationshipSatisfaction],Table18[Id_RelationshipSatisfaction])</f>
        <v>RS002</v>
      </c>
      <c r="AQ1307">
        <v>2</v>
      </c>
      <c r="AR1307" t="str">
        <f>_xlfn.XLOOKUP(Table1[[#This Row],[RelationshipSatisfaction]],Table18[RelationshipSatisfaction],Table18[Deskripsi])</f>
        <v>Medium</v>
      </c>
      <c r="AS1307" t="str">
        <f>_xlfn.XLOOKUP(Table1[[#This Row],[StockOptionLevel]],Table19[StockOptionLevel],Table19[Id_StockOptionLevel])</f>
        <v>SOL002</v>
      </c>
      <c r="AT1307">
        <v>1</v>
      </c>
      <c r="AU1307" t="str">
        <f>_xlfn.XLOOKUP(Table1[[#This Row],[StockOptionLevel]],Table19[StockOptionLevel],Table19[Deskripsi])</f>
        <v>Standard</v>
      </c>
      <c r="AV1307">
        <v>14</v>
      </c>
      <c r="AW1307">
        <v>2</v>
      </c>
      <c r="AX1307" t="str">
        <f>_xlfn.XLOOKUP(Table1[[#This Row],[WorkLifeBalance]],Table20[WorkLifeBalance],Table20[Id_WorkLifeBalance])</f>
        <v>WLB003</v>
      </c>
      <c r="AY1307">
        <v>2</v>
      </c>
      <c r="AZ1307" t="str">
        <f>_xlfn.XLOOKUP(Table1[[#This Row],[WorkLifeBalance]],Table20[WorkLifeBalance],Table20[Deskripsi])</f>
        <v>Better</v>
      </c>
      <c r="BA1307">
        <v>7</v>
      </c>
      <c r="BB1307">
        <v>1</v>
      </c>
      <c r="BC1307">
        <v>1</v>
      </c>
      <c r="BD1307">
        <v>7</v>
      </c>
    </row>
    <row r="1308" spans="1:56" x14ac:dyDescent="0.25">
      <c r="A1308">
        <v>31</v>
      </c>
      <c r="B1308" t="str">
        <f>_xlfn.XLOOKUP(Table1[[#This Row],[Attrition]],Table2[Attrition],Table2[Id_Attrition])</f>
        <v>A002</v>
      </c>
      <c r="C1308" t="s">
        <v>33</v>
      </c>
      <c r="D1308" t="str">
        <f>_xlfn.XLOOKUP(Table1[[#This Row],[BusinessTravel]],Table5[BusinessTravel],Table5[Id_BusinessTravel])</f>
        <v>BS002</v>
      </c>
      <c r="E1308" t="s">
        <v>35</v>
      </c>
      <c r="F1308">
        <v>1125</v>
      </c>
      <c r="G1308" t="str">
        <f>_xlfn.XLOOKUP(Table1[[#This Row],[Department]],Table6[Department],Table6[Id_Departement])</f>
        <v>D001</v>
      </c>
      <c r="H1308" t="s">
        <v>37</v>
      </c>
      <c r="I1308">
        <v>7</v>
      </c>
      <c r="J1308" t="str">
        <f>_xlfn.XLOOKUP(Table1[[#This Row],[Education]],Table8[Education],Table8[Id_Education])</f>
        <v>E004</v>
      </c>
      <c r="K1308">
        <v>4</v>
      </c>
      <c r="L1308" t="str">
        <f>_xlfn.XLOOKUP(Table1[[#This Row],[EducationField]],Table7[EducationField],Table7[Id_EducationField])</f>
        <v>EF004</v>
      </c>
      <c r="M1308" t="s">
        <v>43</v>
      </c>
      <c r="N1308" t="str">
        <f>_xlfn.XLOOKUP(Table1[[#This Row],[EmployeeNumber]],Table4[EmployeeNumber],Table4[Id_Employee])</f>
        <v>EMP01307</v>
      </c>
      <c r="O1308">
        <v>1833</v>
      </c>
      <c r="P1308" t="str">
        <f>_xlfn.XLOOKUP(Table1[[#This Row],[EnvironmentSatisfaction]],Table9[EnvironmentSatisfaction],Table9[Id_EnviromentSatisfaction])</f>
        <v>ES001</v>
      </c>
      <c r="Q1308">
        <v>1</v>
      </c>
      <c r="R1308" t="str">
        <f>_xlfn.XLOOKUP(Table1[[#This Row],[EnvironmentSatisfaction]],Table9[EnvironmentSatisfaction],Table9[Deskripsi])</f>
        <v>Low</v>
      </c>
      <c r="S1308" t="str">
        <f>_xlfn.XLOOKUP(Table1[[#This Row],[Gender]],Table10[Gender],Table10[Id_Gender])</f>
        <v>G001</v>
      </c>
      <c r="T1308" t="s">
        <v>45</v>
      </c>
      <c r="U1308">
        <v>68</v>
      </c>
      <c r="V1308" t="str">
        <f>_xlfn.XLOOKUP(Table1[[#This Row],[JobInvolvement]],Table11[JobInvolvement],Table11[Id_JobInvolvement])</f>
        <v>JI003</v>
      </c>
      <c r="W1308">
        <v>3</v>
      </c>
      <c r="X1308" t="str">
        <f>_xlfn.XLOOKUP(Table1[[#This Row],[JobLevel]],Table12[JobLevel],Table12[Id_JobLevel])</f>
        <v>JL003</v>
      </c>
      <c r="Y1308">
        <v>3</v>
      </c>
      <c r="Z1308" t="str">
        <f>_xlfn.XLOOKUP(Table1[[#This Row],[JobRole]],Table13[JobRole],Table13[Id_JobRole])</f>
        <v>JR001</v>
      </c>
      <c r="AA1308" t="s">
        <v>47</v>
      </c>
      <c r="AB1308" t="str">
        <f>_xlfn.XLOOKUP(Table1[[#This Row],[JobSatisfaction]],Table14[JobSatisfaction],Table14[Id_JobSatisfaction])</f>
        <v>JS001</v>
      </c>
      <c r="AC1308">
        <v>1</v>
      </c>
      <c r="AD1308" t="str">
        <f>_xlfn.XLOOKUP(Table1[[#This Row],[JobSatisfaction]],Table14[JobSatisfaction],Table14[Deskripsi])</f>
        <v>Low</v>
      </c>
      <c r="AE1308" t="str">
        <f>_xlfn.XLOOKUP(Table1[[#This Row],[MaritalStatus]],Table15[MaritalStatus],Table15[Id_MaritalStatus])</f>
        <v>MS002</v>
      </c>
      <c r="AF1308" t="s">
        <v>56</v>
      </c>
      <c r="AG1308">
        <v>9637</v>
      </c>
      <c r="AH1308">
        <v>8277</v>
      </c>
      <c r="AI1308">
        <v>2</v>
      </c>
      <c r="AJ1308" t="str">
        <f>_xlfn.XLOOKUP(Table1[[#This Row],[OverTime]],Table16[OverTime],Table16[Id_OverTime])</f>
        <v>OT002</v>
      </c>
      <c r="AK1308" t="s">
        <v>33</v>
      </c>
      <c r="AL1308">
        <v>14</v>
      </c>
      <c r="AM1308" t="str">
        <f>_xlfn.XLOOKUP(Table1[[#This Row],[PerformanceRating]],Table17[PerformanceRating],Table17[Id_PerformanceRating])</f>
        <v>PR003</v>
      </c>
      <c r="AN1308">
        <v>3</v>
      </c>
      <c r="AO1308" t="str">
        <f>_xlfn.XLOOKUP(Table1[[#This Row],[PerformanceRating]],Table17[PerformanceRating],Table17[Deskripsi])</f>
        <v>Excellent</v>
      </c>
      <c r="AP1308" t="str">
        <f>_xlfn.XLOOKUP(Table1[[#This Row],[RelationshipSatisfaction]],Table18[RelationshipSatisfaction],Table18[Id_RelationshipSatisfaction])</f>
        <v>RS004</v>
      </c>
      <c r="AQ1308">
        <v>4</v>
      </c>
      <c r="AR1308" t="str">
        <f>_xlfn.XLOOKUP(Table1[[#This Row],[RelationshipSatisfaction]],Table18[RelationshipSatisfaction],Table18[Deskripsi])</f>
        <v>Very High</v>
      </c>
      <c r="AS1308" t="str">
        <f>_xlfn.XLOOKUP(Table1[[#This Row],[StockOptionLevel]],Table19[StockOptionLevel],Table19[Id_StockOptionLevel])</f>
        <v>SOL003</v>
      </c>
      <c r="AT1308">
        <v>2</v>
      </c>
      <c r="AU1308" t="str">
        <f>_xlfn.XLOOKUP(Table1[[#This Row],[StockOptionLevel]],Table19[StockOptionLevel],Table19[Deskripsi])</f>
        <v>Intermediate</v>
      </c>
      <c r="AV1308">
        <v>9</v>
      </c>
      <c r="AW1308">
        <v>3</v>
      </c>
      <c r="AX1308" t="str">
        <f>_xlfn.XLOOKUP(Table1[[#This Row],[WorkLifeBalance]],Table20[WorkLifeBalance],Table20[Id_WorkLifeBalance])</f>
        <v>WLB002</v>
      </c>
      <c r="AY1308">
        <v>3</v>
      </c>
      <c r="AZ1308" t="str">
        <f>_xlfn.XLOOKUP(Table1[[#This Row],[WorkLifeBalance]],Table20[WorkLifeBalance],Table20[Deskripsi])</f>
        <v>Good</v>
      </c>
      <c r="BA1308">
        <v>3</v>
      </c>
      <c r="BB1308">
        <v>2</v>
      </c>
      <c r="BC1308">
        <v>2</v>
      </c>
      <c r="BD1308">
        <v>2</v>
      </c>
    </row>
    <row r="1309" spans="1:56" x14ac:dyDescent="0.25">
      <c r="A1309">
        <v>28</v>
      </c>
      <c r="B1309" t="str">
        <f>_xlfn.XLOOKUP(Table1[[#This Row],[Attrition]],Table2[Attrition],Table2[Id_Attrition])</f>
        <v>A002</v>
      </c>
      <c r="C1309" t="s">
        <v>33</v>
      </c>
      <c r="D1309" t="str">
        <f>_xlfn.XLOOKUP(Table1[[#This Row],[BusinessTravel]],Table5[BusinessTravel],Table5[Id_BusinessTravel])</f>
        <v>BS001</v>
      </c>
      <c r="E1309" t="s">
        <v>34</v>
      </c>
      <c r="F1309">
        <v>1217</v>
      </c>
      <c r="G1309" t="str">
        <f>_xlfn.XLOOKUP(Table1[[#This Row],[Department]],Table6[Department],Table6[Id_Departement])</f>
        <v>D002</v>
      </c>
      <c r="H1309" t="s">
        <v>38</v>
      </c>
      <c r="I1309">
        <v>1</v>
      </c>
      <c r="J1309" t="str">
        <f>_xlfn.XLOOKUP(Table1[[#This Row],[Education]],Table8[Education],Table8[Id_Education])</f>
        <v>E003</v>
      </c>
      <c r="K1309">
        <v>3</v>
      </c>
      <c r="L1309" t="str">
        <f>_xlfn.XLOOKUP(Table1[[#This Row],[EducationField]],Table7[EducationField],Table7[Id_EducationField])</f>
        <v>EF003</v>
      </c>
      <c r="M1309" t="s">
        <v>42</v>
      </c>
      <c r="N1309" t="str">
        <f>_xlfn.XLOOKUP(Table1[[#This Row],[EmployeeNumber]],Table4[EmployeeNumber],Table4[Id_Employee])</f>
        <v>EMP01308</v>
      </c>
      <c r="O1309">
        <v>1834</v>
      </c>
      <c r="P1309" t="str">
        <f>_xlfn.XLOOKUP(Table1[[#This Row],[EnvironmentSatisfaction]],Table9[EnvironmentSatisfaction],Table9[Id_EnviromentSatisfaction])</f>
        <v>ES003</v>
      </c>
      <c r="Q1309">
        <v>3</v>
      </c>
      <c r="R1309" t="str">
        <f>_xlfn.XLOOKUP(Table1[[#This Row],[EnvironmentSatisfaction]],Table9[EnvironmentSatisfaction],Table9[Deskripsi])</f>
        <v>High</v>
      </c>
      <c r="S1309" t="str">
        <f>_xlfn.XLOOKUP(Table1[[#This Row],[Gender]],Table10[Gender],Table10[Id_Gender])</f>
        <v>G001</v>
      </c>
      <c r="T1309" t="s">
        <v>45</v>
      </c>
      <c r="U1309">
        <v>67</v>
      </c>
      <c r="V1309" t="str">
        <f>_xlfn.XLOOKUP(Table1[[#This Row],[JobInvolvement]],Table11[JobInvolvement],Table11[Id_JobInvolvement])</f>
        <v>JI003</v>
      </c>
      <c r="W1309">
        <v>3</v>
      </c>
      <c r="X1309" t="str">
        <f>_xlfn.XLOOKUP(Table1[[#This Row],[JobLevel]],Table12[JobLevel],Table12[Id_JobLevel])</f>
        <v>JL001</v>
      </c>
      <c r="Y1309">
        <v>1</v>
      </c>
      <c r="Z1309" t="str">
        <f>_xlfn.XLOOKUP(Table1[[#This Row],[JobRole]],Table13[JobRole],Table13[Id_JobRole])</f>
        <v>JR002</v>
      </c>
      <c r="AA1309" t="s">
        <v>48</v>
      </c>
      <c r="AB1309" t="str">
        <f>_xlfn.XLOOKUP(Table1[[#This Row],[JobSatisfaction]],Table14[JobSatisfaction],Table14[Id_JobSatisfaction])</f>
        <v>JS001</v>
      </c>
      <c r="AC1309">
        <v>1</v>
      </c>
      <c r="AD1309" t="str">
        <f>_xlfn.XLOOKUP(Table1[[#This Row],[JobSatisfaction]],Table14[JobSatisfaction],Table14[Deskripsi])</f>
        <v>Low</v>
      </c>
      <c r="AE1309" t="str">
        <f>_xlfn.XLOOKUP(Table1[[#This Row],[MaritalStatus]],Table15[MaritalStatus],Table15[Id_MaritalStatus])</f>
        <v>MS002</v>
      </c>
      <c r="AF1309" t="s">
        <v>56</v>
      </c>
      <c r="AG1309">
        <v>3591</v>
      </c>
      <c r="AH1309">
        <v>12719</v>
      </c>
      <c r="AI1309">
        <v>1</v>
      </c>
      <c r="AJ1309" t="str">
        <f>_xlfn.XLOOKUP(Table1[[#This Row],[OverTime]],Table16[OverTime],Table16[Id_OverTime])</f>
        <v>OT002</v>
      </c>
      <c r="AK1309" t="s">
        <v>33</v>
      </c>
      <c r="AL1309">
        <v>25</v>
      </c>
      <c r="AM1309" t="str">
        <f>_xlfn.XLOOKUP(Table1[[#This Row],[PerformanceRating]],Table17[PerformanceRating],Table17[Id_PerformanceRating])</f>
        <v>PR004</v>
      </c>
      <c r="AN1309">
        <v>4</v>
      </c>
      <c r="AO1309" t="str">
        <f>_xlfn.XLOOKUP(Table1[[#This Row],[PerformanceRating]],Table17[PerformanceRating],Table17[Deskripsi])</f>
        <v>Outstanding</v>
      </c>
      <c r="AP1309" t="str">
        <f>_xlfn.XLOOKUP(Table1[[#This Row],[RelationshipSatisfaction]],Table18[RelationshipSatisfaction],Table18[Id_RelationshipSatisfaction])</f>
        <v>RS003</v>
      </c>
      <c r="AQ1309">
        <v>3</v>
      </c>
      <c r="AR1309" t="str">
        <f>_xlfn.XLOOKUP(Table1[[#This Row],[RelationshipSatisfaction]],Table18[RelationshipSatisfaction],Table18[Deskripsi])</f>
        <v>High</v>
      </c>
      <c r="AS1309" t="str">
        <f>_xlfn.XLOOKUP(Table1[[#This Row],[StockOptionLevel]],Table19[StockOptionLevel],Table19[Id_StockOptionLevel])</f>
        <v>SOL002</v>
      </c>
      <c r="AT1309">
        <v>1</v>
      </c>
      <c r="AU1309" t="str">
        <f>_xlfn.XLOOKUP(Table1[[#This Row],[StockOptionLevel]],Table19[StockOptionLevel],Table19[Deskripsi])</f>
        <v>Standard</v>
      </c>
      <c r="AV1309">
        <v>3</v>
      </c>
      <c r="AW1309">
        <v>3</v>
      </c>
      <c r="AX1309" t="str">
        <f>_xlfn.XLOOKUP(Table1[[#This Row],[WorkLifeBalance]],Table20[WorkLifeBalance],Table20[Id_WorkLifeBalance])</f>
        <v>WLB002</v>
      </c>
      <c r="AY1309">
        <v>3</v>
      </c>
      <c r="AZ1309" t="str">
        <f>_xlfn.XLOOKUP(Table1[[#This Row],[WorkLifeBalance]],Table20[WorkLifeBalance],Table20[Deskripsi])</f>
        <v>Good</v>
      </c>
      <c r="BA1309">
        <v>3</v>
      </c>
      <c r="BB1309">
        <v>2</v>
      </c>
      <c r="BC1309">
        <v>1</v>
      </c>
      <c r="BD1309">
        <v>2</v>
      </c>
    </row>
    <row r="1310" spans="1:56" x14ac:dyDescent="0.25">
      <c r="A1310">
        <v>38</v>
      </c>
      <c r="B1310" t="str">
        <f>_xlfn.XLOOKUP(Table1[[#This Row],[Attrition]],Table2[Attrition],Table2[Id_Attrition])</f>
        <v>A002</v>
      </c>
      <c r="C1310" t="s">
        <v>33</v>
      </c>
      <c r="D1310" t="str">
        <f>_xlfn.XLOOKUP(Table1[[#This Row],[BusinessTravel]],Table5[BusinessTravel],Table5[Id_BusinessTravel])</f>
        <v>BS001</v>
      </c>
      <c r="E1310" t="s">
        <v>34</v>
      </c>
      <c r="F1310">
        <v>723</v>
      </c>
      <c r="G1310" t="str">
        <f>_xlfn.XLOOKUP(Table1[[#This Row],[Department]],Table6[Department],Table6[Id_Departement])</f>
        <v>D001</v>
      </c>
      <c r="H1310" t="s">
        <v>37</v>
      </c>
      <c r="I1310">
        <v>2</v>
      </c>
      <c r="J1310" t="str">
        <f>_xlfn.XLOOKUP(Table1[[#This Row],[Education]],Table8[Education],Table8[Id_Education])</f>
        <v>E004</v>
      </c>
      <c r="K1310">
        <v>4</v>
      </c>
      <c r="L1310" t="str">
        <f>_xlfn.XLOOKUP(Table1[[#This Row],[EducationField]],Table7[EducationField],Table7[Id_EducationField])</f>
        <v>EF004</v>
      </c>
      <c r="M1310" t="s">
        <v>43</v>
      </c>
      <c r="N1310" t="str">
        <f>_xlfn.XLOOKUP(Table1[[#This Row],[EmployeeNumber]],Table4[EmployeeNumber],Table4[Id_Employee])</f>
        <v>EMP01309</v>
      </c>
      <c r="O1310">
        <v>1835</v>
      </c>
      <c r="P1310" t="str">
        <f>_xlfn.XLOOKUP(Table1[[#This Row],[EnvironmentSatisfaction]],Table9[EnvironmentSatisfaction],Table9[Id_EnviromentSatisfaction])</f>
        <v>ES002</v>
      </c>
      <c r="Q1310">
        <v>2</v>
      </c>
      <c r="R1310" t="str">
        <f>_xlfn.XLOOKUP(Table1[[#This Row],[EnvironmentSatisfaction]],Table9[EnvironmentSatisfaction],Table9[Deskripsi])</f>
        <v>Medium</v>
      </c>
      <c r="S1310" t="str">
        <f>_xlfn.XLOOKUP(Table1[[#This Row],[Gender]],Table10[Gender],Table10[Id_Gender])</f>
        <v>G001</v>
      </c>
      <c r="T1310" t="s">
        <v>45</v>
      </c>
      <c r="U1310">
        <v>77</v>
      </c>
      <c r="V1310" t="str">
        <f>_xlfn.XLOOKUP(Table1[[#This Row],[JobInvolvement]],Table11[JobInvolvement],Table11[Id_JobInvolvement])</f>
        <v>JI001</v>
      </c>
      <c r="W1310">
        <v>1</v>
      </c>
      <c r="X1310" t="str">
        <f>_xlfn.XLOOKUP(Table1[[#This Row],[JobLevel]],Table12[JobLevel],Table12[Id_JobLevel])</f>
        <v>JL002</v>
      </c>
      <c r="Y1310">
        <v>2</v>
      </c>
      <c r="Z1310" t="str">
        <f>_xlfn.XLOOKUP(Table1[[#This Row],[JobRole]],Table13[JobRole],Table13[Id_JobRole])</f>
        <v>JR007</v>
      </c>
      <c r="AA1310" t="s">
        <v>53</v>
      </c>
      <c r="AB1310" t="str">
        <f>_xlfn.XLOOKUP(Table1[[#This Row],[JobSatisfaction]],Table14[JobSatisfaction],Table14[Id_JobSatisfaction])</f>
        <v>JS004</v>
      </c>
      <c r="AC1310">
        <v>4</v>
      </c>
      <c r="AD1310" t="str">
        <f>_xlfn.XLOOKUP(Table1[[#This Row],[JobSatisfaction]],Table14[JobSatisfaction],Table14[Deskripsi])</f>
        <v>Very High</v>
      </c>
      <c r="AE1310" t="str">
        <f>_xlfn.XLOOKUP(Table1[[#This Row],[MaritalStatus]],Table15[MaritalStatus],Table15[Id_MaritalStatus])</f>
        <v>MS002</v>
      </c>
      <c r="AF1310" t="s">
        <v>56</v>
      </c>
      <c r="AG1310">
        <v>5405</v>
      </c>
      <c r="AH1310">
        <v>4244</v>
      </c>
      <c r="AI1310">
        <v>2</v>
      </c>
      <c r="AJ1310" t="str">
        <f>_xlfn.XLOOKUP(Table1[[#This Row],[OverTime]],Table16[OverTime],Table16[Id_OverTime])</f>
        <v>OT001</v>
      </c>
      <c r="AK1310" t="s">
        <v>32</v>
      </c>
      <c r="AL1310">
        <v>20</v>
      </c>
      <c r="AM1310" t="str">
        <f>_xlfn.XLOOKUP(Table1[[#This Row],[PerformanceRating]],Table17[PerformanceRating],Table17[Id_PerformanceRating])</f>
        <v>PR004</v>
      </c>
      <c r="AN1310">
        <v>4</v>
      </c>
      <c r="AO1310" t="str">
        <f>_xlfn.XLOOKUP(Table1[[#This Row],[PerformanceRating]],Table17[PerformanceRating],Table17[Deskripsi])</f>
        <v>Outstanding</v>
      </c>
      <c r="AP1310" t="str">
        <f>_xlfn.XLOOKUP(Table1[[#This Row],[RelationshipSatisfaction]],Table18[RelationshipSatisfaction],Table18[Id_RelationshipSatisfaction])</f>
        <v>RS001</v>
      </c>
      <c r="AQ1310">
        <v>1</v>
      </c>
      <c r="AR1310" t="str">
        <f>_xlfn.XLOOKUP(Table1[[#This Row],[RelationshipSatisfaction]],Table18[RelationshipSatisfaction],Table18[Deskripsi])</f>
        <v>Low</v>
      </c>
      <c r="AS1310" t="str">
        <f>_xlfn.XLOOKUP(Table1[[#This Row],[StockOptionLevel]],Table19[StockOptionLevel],Table19[Id_StockOptionLevel])</f>
        <v>SOL003</v>
      </c>
      <c r="AT1310">
        <v>2</v>
      </c>
      <c r="AU1310" t="str">
        <f>_xlfn.XLOOKUP(Table1[[#This Row],[StockOptionLevel]],Table19[StockOptionLevel],Table19[Deskripsi])</f>
        <v>Intermediate</v>
      </c>
      <c r="AV1310">
        <v>20</v>
      </c>
      <c r="AW1310">
        <v>4</v>
      </c>
      <c r="AX1310" t="str">
        <f>_xlfn.XLOOKUP(Table1[[#This Row],[WorkLifeBalance]],Table20[WorkLifeBalance],Table20[Id_WorkLifeBalance])</f>
        <v>WLB003</v>
      </c>
      <c r="AY1310">
        <v>2</v>
      </c>
      <c r="AZ1310" t="str">
        <f>_xlfn.XLOOKUP(Table1[[#This Row],[WorkLifeBalance]],Table20[WorkLifeBalance],Table20[Deskripsi])</f>
        <v>Better</v>
      </c>
      <c r="BA1310">
        <v>4</v>
      </c>
      <c r="BB1310">
        <v>2</v>
      </c>
      <c r="BC1310">
        <v>0</v>
      </c>
      <c r="BD1310">
        <v>3</v>
      </c>
    </row>
    <row r="1311" spans="1:56" x14ac:dyDescent="0.25">
      <c r="A1311">
        <v>26</v>
      </c>
      <c r="B1311" t="str">
        <f>_xlfn.XLOOKUP(Table1[[#This Row],[Attrition]],Table2[Attrition],Table2[Id_Attrition])</f>
        <v>A002</v>
      </c>
      <c r="C1311" t="s">
        <v>33</v>
      </c>
      <c r="D1311" t="str">
        <f>_xlfn.XLOOKUP(Table1[[#This Row],[BusinessTravel]],Table5[BusinessTravel],Table5[Id_BusinessTravel])</f>
        <v>BS001</v>
      </c>
      <c r="E1311" t="s">
        <v>34</v>
      </c>
      <c r="F1311">
        <v>572</v>
      </c>
      <c r="G1311" t="str">
        <f>_xlfn.XLOOKUP(Table1[[#This Row],[Department]],Table6[Department],Table6[Id_Departement])</f>
        <v>D001</v>
      </c>
      <c r="H1311" t="s">
        <v>37</v>
      </c>
      <c r="I1311">
        <v>10</v>
      </c>
      <c r="J1311" t="str">
        <f>_xlfn.XLOOKUP(Table1[[#This Row],[Education]],Table8[Education],Table8[Id_Education])</f>
        <v>E003</v>
      </c>
      <c r="K1311">
        <v>3</v>
      </c>
      <c r="L1311" t="str">
        <f>_xlfn.XLOOKUP(Table1[[#This Row],[EducationField]],Table7[EducationField],Table7[Id_EducationField])</f>
        <v>EF003</v>
      </c>
      <c r="M1311" t="s">
        <v>42</v>
      </c>
      <c r="N1311" t="str">
        <f>_xlfn.XLOOKUP(Table1[[#This Row],[EmployeeNumber]],Table4[EmployeeNumber],Table4[Id_Employee])</f>
        <v>EMP01310</v>
      </c>
      <c r="O1311">
        <v>1836</v>
      </c>
      <c r="P1311" t="str">
        <f>_xlfn.XLOOKUP(Table1[[#This Row],[EnvironmentSatisfaction]],Table9[EnvironmentSatisfaction],Table9[Id_EnviromentSatisfaction])</f>
        <v>ES003</v>
      </c>
      <c r="Q1311">
        <v>3</v>
      </c>
      <c r="R1311" t="str">
        <f>_xlfn.XLOOKUP(Table1[[#This Row],[EnvironmentSatisfaction]],Table9[EnvironmentSatisfaction],Table9[Deskripsi])</f>
        <v>High</v>
      </c>
      <c r="S1311" t="str">
        <f>_xlfn.XLOOKUP(Table1[[#This Row],[Gender]],Table10[Gender],Table10[Id_Gender])</f>
        <v>G002</v>
      </c>
      <c r="T1311" t="s">
        <v>46</v>
      </c>
      <c r="U1311">
        <v>46</v>
      </c>
      <c r="V1311" t="str">
        <f>_xlfn.XLOOKUP(Table1[[#This Row],[JobInvolvement]],Table11[JobInvolvement],Table11[Id_JobInvolvement])</f>
        <v>JI003</v>
      </c>
      <c r="W1311">
        <v>3</v>
      </c>
      <c r="X1311" t="str">
        <f>_xlfn.XLOOKUP(Table1[[#This Row],[JobLevel]],Table12[JobLevel],Table12[Id_JobLevel])</f>
        <v>JL002</v>
      </c>
      <c r="Y1311">
        <v>2</v>
      </c>
      <c r="Z1311" t="str">
        <f>_xlfn.XLOOKUP(Table1[[#This Row],[JobRole]],Table13[JobRole],Table13[Id_JobRole])</f>
        <v>JR001</v>
      </c>
      <c r="AA1311" t="s">
        <v>47</v>
      </c>
      <c r="AB1311" t="str">
        <f>_xlfn.XLOOKUP(Table1[[#This Row],[JobSatisfaction]],Table14[JobSatisfaction],Table14[Id_JobSatisfaction])</f>
        <v>JS004</v>
      </c>
      <c r="AC1311">
        <v>4</v>
      </c>
      <c r="AD1311" t="str">
        <f>_xlfn.XLOOKUP(Table1[[#This Row],[JobSatisfaction]],Table14[JobSatisfaction],Table14[Deskripsi])</f>
        <v>Very High</v>
      </c>
      <c r="AE1311" t="str">
        <f>_xlfn.XLOOKUP(Table1[[#This Row],[MaritalStatus]],Table15[MaritalStatus],Table15[Id_MaritalStatus])</f>
        <v>MS001</v>
      </c>
      <c r="AF1311" t="s">
        <v>55</v>
      </c>
      <c r="AG1311">
        <v>4684</v>
      </c>
      <c r="AH1311">
        <v>9125</v>
      </c>
      <c r="AI1311">
        <v>1</v>
      </c>
      <c r="AJ1311" t="str">
        <f>_xlfn.XLOOKUP(Table1[[#This Row],[OverTime]],Table16[OverTime],Table16[Id_OverTime])</f>
        <v>OT002</v>
      </c>
      <c r="AK1311" t="s">
        <v>33</v>
      </c>
      <c r="AL1311">
        <v>13</v>
      </c>
      <c r="AM1311" t="str">
        <f>_xlfn.XLOOKUP(Table1[[#This Row],[PerformanceRating]],Table17[PerformanceRating],Table17[Id_PerformanceRating])</f>
        <v>PR003</v>
      </c>
      <c r="AN1311">
        <v>3</v>
      </c>
      <c r="AO1311" t="str">
        <f>_xlfn.XLOOKUP(Table1[[#This Row],[PerformanceRating]],Table17[PerformanceRating],Table17[Deskripsi])</f>
        <v>Excellent</v>
      </c>
      <c r="AP1311" t="str">
        <f>_xlfn.XLOOKUP(Table1[[#This Row],[RelationshipSatisfaction]],Table18[RelationshipSatisfaction],Table18[Id_RelationshipSatisfaction])</f>
        <v>RS001</v>
      </c>
      <c r="AQ1311">
        <v>1</v>
      </c>
      <c r="AR1311" t="str">
        <f>_xlfn.XLOOKUP(Table1[[#This Row],[RelationshipSatisfaction]],Table18[RelationshipSatisfaction],Table18[Deskripsi])</f>
        <v>Low</v>
      </c>
      <c r="AS1311" t="str">
        <f>_xlfn.XLOOKUP(Table1[[#This Row],[StockOptionLevel]],Table19[StockOptionLevel],Table19[Id_StockOptionLevel])</f>
        <v>SOL001</v>
      </c>
      <c r="AT1311">
        <v>0</v>
      </c>
      <c r="AU1311" t="str">
        <f>_xlfn.XLOOKUP(Table1[[#This Row],[StockOptionLevel]],Table19[StockOptionLevel],Table19[Deskripsi])</f>
        <v>Non-Eligible</v>
      </c>
      <c r="AV1311">
        <v>5</v>
      </c>
      <c r="AW1311">
        <v>4</v>
      </c>
      <c r="AX1311" t="str">
        <f>_xlfn.XLOOKUP(Table1[[#This Row],[WorkLifeBalance]],Table20[WorkLifeBalance],Table20[Id_WorkLifeBalance])</f>
        <v>WLB002</v>
      </c>
      <c r="AY1311">
        <v>3</v>
      </c>
      <c r="AZ1311" t="str">
        <f>_xlfn.XLOOKUP(Table1[[#This Row],[WorkLifeBalance]],Table20[WorkLifeBalance],Table20[Deskripsi])</f>
        <v>Good</v>
      </c>
      <c r="BA1311">
        <v>5</v>
      </c>
      <c r="BB1311">
        <v>3</v>
      </c>
      <c r="BC1311">
        <v>1</v>
      </c>
      <c r="BD1311">
        <v>2</v>
      </c>
    </row>
    <row r="1312" spans="1:56" x14ac:dyDescent="0.25">
      <c r="A1312">
        <v>58</v>
      </c>
      <c r="B1312" t="str">
        <f>_xlfn.XLOOKUP(Table1[[#This Row],[Attrition]],Table2[Attrition],Table2[Id_Attrition])</f>
        <v>A002</v>
      </c>
      <c r="C1312" t="s">
        <v>33</v>
      </c>
      <c r="D1312" t="str">
        <f>_xlfn.XLOOKUP(Table1[[#This Row],[BusinessTravel]],Table5[BusinessTravel],Table5[Id_BusinessTravel])</f>
        <v>BS002</v>
      </c>
      <c r="E1312" t="s">
        <v>35</v>
      </c>
      <c r="F1312">
        <v>1216</v>
      </c>
      <c r="G1312" t="str">
        <f>_xlfn.XLOOKUP(Table1[[#This Row],[Department]],Table6[Department],Table6[Id_Departement])</f>
        <v>D002</v>
      </c>
      <c r="H1312" t="s">
        <v>38</v>
      </c>
      <c r="I1312">
        <v>15</v>
      </c>
      <c r="J1312" t="str">
        <f>_xlfn.XLOOKUP(Table1[[#This Row],[Education]],Table8[Education],Table8[Id_Education])</f>
        <v>E004</v>
      </c>
      <c r="K1312">
        <v>4</v>
      </c>
      <c r="L1312" t="str">
        <f>_xlfn.XLOOKUP(Table1[[#This Row],[EducationField]],Table7[EducationField],Table7[Id_EducationField])</f>
        <v>EF001</v>
      </c>
      <c r="M1312" t="s">
        <v>40</v>
      </c>
      <c r="N1312" t="str">
        <f>_xlfn.XLOOKUP(Table1[[#This Row],[EmployeeNumber]],Table4[EmployeeNumber],Table4[Id_Employee])</f>
        <v>EMP01311</v>
      </c>
      <c r="O1312">
        <v>1837</v>
      </c>
      <c r="P1312" t="str">
        <f>_xlfn.XLOOKUP(Table1[[#This Row],[EnvironmentSatisfaction]],Table9[EnvironmentSatisfaction],Table9[Id_EnviromentSatisfaction])</f>
        <v>ES001</v>
      </c>
      <c r="Q1312">
        <v>1</v>
      </c>
      <c r="R1312" t="str">
        <f>_xlfn.XLOOKUP(Table1[[#This Row],[EnvironmentSatisfaction]],Table9[EnvironmentSatisfaction],Table9[Deskripsi])</f>
        <v>Low</v>
      </c>
      <c r="S1312" t="str">
        <f>_xlfn.XLOOKUP(Table1[[#This Row],[Gender]],Table10[Gender],Table10[Id_Gender])</f>
        <v>G002</v>
      </c>
      <c r="T1312" t="s">
        <v>46</v>
      </c>
      <c r="U1312">
        <v>87</v>
      </c>
      <c r="V1312" t="str">
        <f>_xlfn.XLOOKUP(Table1[[#This Row],[JobInvolvement]],Table11[JobInvolvement],Table11[Id_JobInvolvement])</f>
        <v>JI003</v>
      </c>
      <c r="W1312">
        <v>3</v>
      </c>
      <c r="X1312" t="str">
        <f>_xlfn.XLOOKUP(Table1[[#This Row],[JobLevel]],Table12[JobLevel],Table12[Id_JobLevel])</f>
        <v>JL004</v>
      </c>
      <c r="Y1312">
        <v>4</v>
      </c>
      <c r="Z1312" t="str">
        <f>_xlfn.XLOOKUP(Table1[[#This Row],[JobRole]],Table13[JobRole],Table13[Id_JobRole])</f>
        <v>JR008</v>
      </c>
      <c r="AA1312" t="s">
        <v>54</v>
      </c>
      <c r="AB1312" t="str">
        <f>_xlfn.XLOOKUP(Table1[[#This Row],[JobSatisfaction]],Table14[JobSatisfaction],Table14[Id_JobSatisfaction])</f>
        <v>JS003</v>
      </c>
      <c r="AC1312">
        <v>3</v>
      </c>
      <c r="AD1312" t="str">
        <f>_xlfn.XLOOKUP(Table1[[#This Row],[JobSatisfaction]],Table14[JobSatisfaction],Table14[Deskripsi])</f>
        <v>High</v>
      </c>
      <c r="AE1312" t="str">
        <f>_xlfn.XLOOKUP(Table1[[#This Row],[MaritalStatus]],Table15[MaritalStatus],Table15[Id_MaritalStatus])</f>
        <v>MS002</v>
      </c>
      <c r="AF1312" t="s">
        <v>56</v>
      </c>
      <c r="AG1312">
        <v>15787</v>
      </c>
      <c r="AH1312">
        <v>21624</v>
      </c>
      <c r="AI1312">
        <v>2</v>
      </c>
      <c r="AJ1312" t="str">
        <f>_xlfn.XLOOKUP(Table1[[#This Row],[OverTime]],Table16[OverTime],Table16[Id_OverTime])</f>
        <v>OT001</v>
      </c>
      <c r="AK1312" t="s">
        <v>32</v>
      </c>
      <c r="AL1312">
        <v>14</v>
      </c>
      <c r="AM1312" t="str">
        <f>_xlfn.XLOOKUP(Table1[[#This Row],[PerformanceRating]],Table17[PerformanceRating],Table17[Id_PerformanceRating])</f>
        <v>PR003</v>
      </c>
      <c r="AN1312">
        <v>3</v>
      </c>
      <c r="AO1312" t="str">
        <f>_xlfn.XLOOKUP(Table1[[#This Row],[PerformanceRating]],Table17[PerformanceRating],Table17[Deskripsi])</f>
        <v>Excellent</v>
      </c>
      <c r="AP1312" t="str">
        <f>_xlfn.XLOOKUP(Table1[[#This Row],[RelationshipSatisfaction]],Table18[RelationshipSatisfaction],Table18[Id_RelationshipSatisfaction])</f>
        <v>RS002</v>
      </c>
      <c r="AQ1312">
        <v>2</v>
      </c>
      <c r="AR1312" t="str">
        <f>_xlfn.XLOOKUP(Table1[[#This Row],[RelationshipSatisfaction]],Table18[RelationshipSatisfaction],Table18[Deskripsi])</f>
        <v>Medium</v>
      </c>
      <c r="AS1312" t="str">
        <f>_xlfn.XLOOKUP(Table1[[#This Row],[StockOptionLevel]],Table19[StockOptionLevel],Table19[Id_StockOptionLevel])</f>
        <v>SOL001</v>
      </c>
      <c r="AT1312">
        <v>0</v>
      </c>
      <c r="AU1312" t="str">
        <f>_xlfn.XLOOKUP(Table1[[#This Row],[StockOptionLevel]],Table19[StockOptionLevel],Table19[Deskripsi])</f>
        <v>Non-Eligible</v>
      </c>
      <c r="AV1312">
        <v>23</v>
      </c>
      <c r="AW1312">
        <v>3</v>
      </c>
      <c r="AX1312" t="str">
        <f>_xlfn.XLOOKUP(Table1[[#This Row],[WorkLifeBalance]],Table20[WorkLifeBalance],Table20[Id_WorkLifeBalance])</f>
        <v>WLB002</v>
      </c>
      <c r="AY1312">
        <v>3</v>
      </c>
      <c r="AZ1312" t="str">
        <f>_xlfn.XLOOKUP(Table1[[#This Row],[WorkLifeBalance]],Table20[WorkLifeBalance],Table20[Deskripsi])</f>
        <v>Good</v>
      </c>
      <c r="BA1312">
        <v>2</v>
      </c>
      <c r="BB1312">
        <v>2</v>
      </c>
      <c r="BC1312">
        <v>2</v>
      </c>
      <c r="BD1312">
        <v>2</v>
      </c>
    </row>
    <row r="1313" spans="1:56" x14ac:dyDescent="0.25">
      <c r="A1313">
        <v>18</v>
      </c>
      <c r="B1313" t="str">
        <f>_xlfn.XLOOKUP(Table1[[#This Row],[Attrition]],Table2[Attrition],Table2[Id_Attrition])</f>
        <v>A002</v>
      </c>
      <c r="C1313" t="s">
        <v>33</v>
      </c>
      <c r="D1313" t="str">
        <f>_xlfn.XLOOKUP(Table1[[#This Row],[BusinessTravel]],Table5[BusinessTravel],Table5[Id_BusinessTravel])</f>
        <v>BS003</v>
      </c>
      <c r="E1313" t="s">
        <v>36</v>
      </c>
      <c r="F1313">
        <v>1431</v>
      </c>
      <c r="G1313" t="str">
        <f>_xlfn.XLOOKUP(Table1[[#This Row],[Department]],Table6[Department],Table6[Id_Departement])</f>
        <v>D002</v>
      </c>
      <c r="H1313" t="s">
        <v>38</v>
      </c>
      <c r="I1313">
        <v>14</v>
      </c>
      <c r="J1313" t="str">
        <f>_xlfn.XLOOKUP(Table1[[#This Row],[Education]],Table8[Education],Table8[Id_Education])</f>
        <v>E003</v>
      </c>
      <c r="K1313">
        <v>3</v>
      </c>
      <c r="L1313" t="str">
        <f>_xlfn.XLOOKUP(Table1[[#This Row],[EducationField]],Table7[EducationField],Table7[Id_EducationField])</f>
        <v>EF003</v>
      </c>
      <c r="M1313" t="s">
        <v>42</v>
      </c>
      <c r="N1313" t="str">
        <f>_xlfn.XLOOKUP(Table1[[#This Row],[EmployeeNumber]],Table4[EmployeeNumber],Table4[Id_Employee])</f>
        <v>EMP01312</v>
      </c>
      <c r="O1313">
        <v>1839</v>
      </c>
      <c r="P1313" t="str">
        <f>_xlfn.XLOOKUP(Table1[[#This Row],[EnvironmentSatisfaction]],Table9[EnvironmentSatisfaction],Table9[Id_EnviromentSatisfaction])</f>
        <v>ES002</v>
      </c>
      <c r="Q1313">
        <v>2</v>
      </c>
      <c r="R1313" t="str">
        <f>_xlfn.XLOOKUP(Table1[[#This Row],[EnvironmentSatisfaction]],Table9[EnvironmentSatisfaction],Table9[Deskripsi])</f>
        <v>Medium</v>
      </c>
      <c r="S1313" t="str">
        <f>_xlfn.XLOOKUP(Table1[[#This Row],[Gender]],Table10[Gender],Table10[Id_Gender])</f>
        <v>G001</v>
      </c>
      <c r="T1313" t="s">
        <v>45</v>
      </c>
      <c r="U1313">
        <v>33</v>
      </c>
      <c r="V1313" t="str">
        <f>_xlfn.XLOOKUP(Table1[[#This Row],[JobInvolvement]],Table11[JobInvolvement],Table11[Id_JobInvolvement])</f>
        <v>JI003</v>
      </c>
      <c r="W1313">
        <v>3</v>
      </c>
      <c r="X1313" t="str">
        <f>_xlfn.XLOOKUP(Table1[[#This Row],[JobLevel]],Table12[JobLevel],Table12[Id_JobLevel])</f>
        <v>JL001</v>
      </c>
      <c r="Y1313">
        <v>1</v>
      </c>
      <c r="Z1313" t="str">
        <f>_xlfn.XLOOKUP(Table1[[#This Row],[JobRole]],Table13[JobRole],Table13[Id_JobRole])</f>
        <v>JR002</v>
      </c>
      <c r="AA1313" t="s">
        <v>48</v>
      </c>
      <c r="AB1313" t="str">
        <f>_xlfn.XLOOKUP(Table1[[#This Row],[JobSatisfaction]],Table14[JobSatisfaction],Table14[Id_JobSatisfaction])</f>
        <v>JS003</v>
      </c>
      <c r="AC1313">
        <v>3</v>
      </c>
      <c r="AD1313" t="str">
        <f>_xlfn.XLOOKUP(Table1[[#This Row],[JobSatisfaction]],Table14[JobSatisfaction],Table14[Deskripsi])</f>
        <v>High</v>
      </c>
      <c r="AE1313" t="str">
        <f>_xlfn.XLOOKUP(Table1[[#This Row],[MaritalStatus]],Table15[MaritalStatus],Table15[Id_MaritalStatus])</f>
        <v>MS001</v>
      </c>
      <c r="AF1313" t="s">
        <v>55</v>
      </c>
      <c r="AG1313">
        <v>1514</v>
      </c>
      <c r="AH1313">
        <v>8018</v>
      </c>
      <c r="AI1313">
        <v>1</v>
      </c>
      <c r="AJ1313" t="str">
        <f>_xlfn.XLOOKUP(Table1[[#This Row],[OverTime]],Table16[OverTime],Table16[Id_OverTime])</f>
        <v>OT002</v>
      </c>
      <c r="AK1313" t="s">
        <v>33</v>
      </c>
      <c r="AL1313">
        <v>16</v>
      </c>
      <c r="AM1313" t="str">
        <f>_xlfn.XLOOKUP(Table1[[#This Row],[PerformanceRating]],Table17[PerformanceRating],Table17[Id_PerformanceRating])</f>
        <v>PR003</v>
      </c>
      <c r="AN1313">
        <v>3</v>
      </c>
      <c r="AO1313" t="str">
        <f>_xlfn.XLOOKUP(Table1[[#This Row],[PerformanceRating]],Table17[PerformanceRating],Table17[Deskripsi])</f>
        <v>Excellent</v>
      </c>
      <c r="AP1313" t="str">
        <f>_xlfn.XLOOKUP(Table1[[#This Row],[RelationshipSatisfaction]],Table18[RelationshipSatisfaction],Table18[Id_RelationshipSatisfaction])</f>
        <v>RS003</v>
      </c>
      <c r="AQ1313">
        <v>3</v>
      </c>
      <c r="AR1313" t="str">
        <f>_xlfn.XLOOKUP(Table1[[#This Row],[RelationshipSatisfaction]],Table18[RelationshipSatisfaction],Table18[Deskripsi])</f>
        <v>High</v>
      </c>
      <c r="AS1313" t="str">
        <f>_xlfn.XLOOKUP(Table1[[#This Row],[StockOptionLevel]],Table19[StockOptionLevel],Table19[Id_StockOptionLevel])</f>
        <v>SOL001</v>
      </c>
      <c r="AT1313">
        <v>0</v>
      </c>
      <c r="AU1313" t="str">
        <f>_xlfn.XLOOKUP(Table1[[#This Row],[StockOptionLevel]],Table19[StockOptionLevel],Table19[Deskripsi])</f>
        <v>Non-Eligible</v>
      </c>
      <c r="AV1313">
        <v>0</v>
      </c>
      <c r="AW1313">
        <v>4</v>
      </c>
      <c r="AX1313" t="str">
        <f>_xlfn.XLOOKUP(Table1[[#This Row],[WorkLifeBalance]],Table20[WorkLifeBalance],Table20[Id_WorkLifeBalance])</f>
        <v>WLB001</v>
      </c>
      <c r="AY1313">
        <v>1</v>
      </c>
      <c r="AZ1313" t="str">
        <f>_xlfn.XLOOKUP(Table1[[#This Row],[WorkLifeBalance]],Table20[WorkLifeBalance],Table20[Deskripsi])</f>
        <v>Bad</v>
      </c>
      <c r="BA1313">
        <v>0</v>
      </c>
      <c r="BB1313">
        <v>0</v>
      </c>
      <c r="BC1313">
        <v>0</v>
      </c>
      <c r="BD1313">
        <v>0</v>
      </c>
    </row>
    <row r="1314" spans="1:56" x14ac:dyDescent="0.25">
      <c r="A1314">
        <v>31</v>
      </c>
      <c r="B1314" t="str">
        <f>_xlfn.XLOOKUP(Table1[[#This Row],[Attrition]],Table2[Attrition],Table2[Id_Attrition])</f>
        <v>A001</v>
      </c>
      <c r="C1314" t="s">
        <v>32</v>
      </c>
      <c r="D1314" t="str">
        <f>_xlfn.XLOOKUP(Table1[[#This Row],[BusinessTravel]],Table5[BusinessTravel],Table5[Id_BusinessTravel])</f>
        <v>BS001</v>
      </c>
      <c r="E1314" t="s">
        <v>34</v>
      </c>
      <c r="F1314">
        <v>359</v>
      </c>
      <c r="G1314" t="str">
        <f>_xlfn.XLOOKUP(Table1[[#This Row],[Department]],Table6[Department],Table6[Id_Departement])</f>
        <v>D003</v>
      </c>
      <c r="H1314" t="s">
        <v>39</v>
      </c>
      <c r="I1314">
        <v>18</v>
      </c>
      <c r="J1314" t="str">
        <f>_xlfn.XLOOKUP(Table1[[#This Row],[Education]],Table8[Education],Table8[Id_Education])</f>
        <v>E005</v>
      </c>
      <c r="K1314">
        <v>5</v>
      </c>
      <c r="L1314" t="str">
        <f>_xlfn.XLOOKUP(Table1[[#This Row],[EducationField]],Table7[EducationField],Table7[Id_EducationField])</f>
        <v>EF006</v>
      </c>
      <c r="M1314" t="s">
        <v>39</v>
      </c>
      <c r="N1314" t="str">
        <f>_xlfn.XLOOKUP(Table1[[#This Row],[EmployeeNumber]],Table4[EmployeeNumber],Table4[Id_Employee])</f>
        <v>EMP01313</v>
      </c>
      <c r="O1314">
        <v>1842</v>
      </c>
      <c r="P1314" t="str">
        <f>_xlfn.XLOOKUP(Table1[[#This Row],[EnvironmentSatisfaction]],Table9[EnvironmentSatisfaction],Table9[Id_EnviromentSatisfaction])</f>
        <v>ES004</v>
      </c>
      <c r="Q1314">
        <v>4</v>
      </c>
      <c r="R1314" t="str">
        <f>_xlfn.XLOOKUP(Table1[[#This Row],[EnvironmentSatisfaction]],Table9[EnvironmentSatisfaction],Table9[Deskripsi])</f>
        <v>Very High</v>
      </c>
      <c r="S1314" t="str">
        <f>_xlfn.XLOOKUP(Table1[[#This Row],[Gender]],Table10[Gender],Table10[Id_Gender])</f>
        <v>G002</v>
      </c>
      <c r="T1314" t="s">
        <v>46</v>
      </c>
      <c r="U1314">
        <v>89</v>
      </c>
      <c r="V1314" t="str">
        <f>_xlfn.XLOOKUP(Table1[[#This Row],[JobInvolvement]],Table11[JobInvolvement],Table11[Id_JobInvolvement])</f>
        <v>JI004</v>
      </c>
      <c r="W1314">
        <v>4</v>
      </c>
      <c r="X1314" t="str">
        <f>_xlfn.XLOOKUP(Table1[[#This Row],[JobLevel]],Table12[JobLevel],Table12[Id_JobLevel])</f>
        <v>JL001</v>
      </c>
      <c r="Y1314">
        <v>1</v>
      </c>
      <c r="Z1314" t="str">
        <f>_xlfn.XLOOKUP(Table1[[#This Row],[JobRole]],Table13[JobRole],Table13[Id_JobRole])</f>
        <v>JR009</v>
      </c>
      <c r="AA1314" t="s">
        <v>39</v>
      </c>
      <c r="AB1314" t="str">
        <f>_xlfn.XLOOKUP(Table1[[#This Row],[JobSatisfaction]],Table14[JobSatisfaction],Table14[Id_JobSatisfaction])</f>
        <v>JS001</v>
      </c>
      <c r="AC1314">
        <v>1</v>
      </c>
      <c r="AD1314" t="str">
        <f>_xlfn.XLOOKUP(Table1[[#This Row],[JobSatisfaction]],Table14[JobSatisfaction],Table14[Deskripsi])</f>
        <v>Low</v>
      </c>
      <c r="AE1314" t="str">
        <f>_xlfn.XLOOKUP(Table1[[#This Row],[MaritalStatus]],Table15[MaritalStatus],Table15[Id_MaritalStatus])</f>
        <v>MS002</v>
      </c>
      <c r="AF1314" t="s">
        <v>56</v>
      </c>
      <c r="AG1314">
        <v>2956</v>
      </c>
      <c r="AH1314">
        <v>21495</v>
      </c>
      <c r="AI1314">
        <v>0</v>
      </c>
      <c r="AJ1314" t="str">
        <f>_xlfn.XLOOKUP(Table1[[#This Row],[OverTime]],Table16[OverTime],Table16[Id_OverTime])</f>
        <v>OT002</v>
      </c>
      <c r="AK1314" t="s">
        <v>33</v>
      </c>
      <c r="AL1314">
        <v>17</v>
      </c>
      <c r="AM1314" t="str">
        <f>_xlfn.XLOOKUP(Table1[[#This Row],[PerformanceRating]],Table17[PerformanceRating],Table17[Id_PerformanceRating])</f>
        <v>PR003</v>
      </c>
      <c r="AN1314">
        <v>3</v>
      </c>
      <c r="AO1314" t="str">
        <f>_xlfn.XLOOKUP(Table1[[#This Row],[PerformanceRating]],Table17[PerformanceRating],Table17[Deskripsi])</f>
        <v>Excellent</v>
      </c>
      <c r="AP1314" t="str">
        <f>_xlfn.XLOOKUP(Table1[[#This Row],[RelationshipSatisfaction]],Table18[RelationshipSatisfaction],Table18[Id_RelationshipSatisfaction])</f>
        <v>RS003</v>
      </c>
      <c r="AQ1314">
        <v>3</v>
      </c>
      <c r="AR1314" t="str">
        <f>_xlfn.XLOOKUP(Table1[[#This Row],[RelationshipSatisfaction]],Table18[RelationshipSatisfaction],Table18[Deskripsi])</f>
        <v>High</v>
      </c>
      <c r="AS1314" t="str">
        <f>_xlfn.XLOOKUP(Table1[[#This Row],[StockOptionLevel]],Table19[StockOptionLevel],Table19[Id_StockOptionLevel])</f>
        <v>SOL001</v>
      </c>
      <c r="AT1314">
        <v>0</v>
      </c>
      <c r="AU1314" t="str">
        <f>_xlfn.XLOOKUP(Table1[[#This Row],[StockOptionLevel]],Table19[StockOptionLevel],Table19[Deskripsi])</f>
        <v>Non-Eligible</v>
      </c>
      <c r="AV1314">
        <v>2</v>
      </c>
      <c r="AW1314">
        <v>4</v>
      </c>
      <c r="AX1314" t="str">
        <f>_xlfn.XLOOKUP(Table1[[#This Row],[WorkLifeBalance]],Table20[WorkLifeBalance],Table20[Id_WorkLifeBalance])</f>
        <v>WLB002</v>
      </c>
      <c r="AY1314">
        <v>3</v>
      </c>
      <c r="AZ1314" t="str">
        <f>_xlfn.XLOOKUP(Table1[[#This Row],[WorkLifeBalance]],Table20[WorkLifeBalance],Table20[Deskripsi])</f>
        <v>Good</v>
      </c>
      <c r="BA1314">
        <v>1</v>
      </c>
      <c r="BB1314">
        <v>0</v>
      </c>
      <c r="BC1314">
        <v>0</v>
      </c>
      <c r="BD1314">
        <v>0</v>
      </c>
    </row>
    <row r="1315" spans="1:56" x14ac:dyDescent="0.25">
      <c r="A1315">
        <v>29</v>
      </c>
      <c r="B1315" t="str">
        <f>_xlfn.XLOOKUP(Table1[[#This Row],[Attrition]],Table2[Attrition],Table2[Id_Attrition])</f>
        <v>A001</v>
      </c>
      <c r="C1315" t="s">
        <v>32</v>
      </c>
      <c r="D1315" t="str">
        <f>_xlfn.XLOOKUP(Table1[[#This Row],[BusinessTravel]],Table5[BusinessTravel],Table5[Id_BusinessTravel])</f>
        <v>BS001</v>
      </c>
      <c r="E1315" t="s">
        <v>34</v>
      </c>
      <c r="F1315">
        <v>350</v>
      </c>
      <c r="G1315" t="str">
        <f>_xlfn.XLOOKUP(Table1[[#This Row],[Department]],Table6[Department],Table6[Id_Departement])</f>
        <v>D003</v>
      </c>
      <c r="H1315" t="s">
        <v>39</v>
      </c>
      <c r="I1315">
        <v>13</v>
      </c>
      <c r="J1315" t="str">
        <f>_xlfn.XLOOKUP(Table1[[#This Row],[Education]],Table8[Education],Table8[Id_Education])</f>
        <v>E003</v>
      </c>
      <c r="K1315">
        <v>3</v>
      </c>
      <c r="L1315" t="str">
        <f>_xlfn.XLOOKUP(Table1[[#This Row],[EducationField]],Table7[EducationField],Table7[Id_EducationField])</f>
        <v>EF006</v>
      </c>
      <c r="M1315" t="s">
        <v>39</v>
      </c>
      <c r="N1315" t="str">
        <f>_xlfn.XLOOKUP(Table1[[#This Row],[EmployeeNumber]],Table4[EmployeeNumber],Table4[Id_Employee])</f>
        <v>EMP01314</v>
      </c>
      <c r="O1315">
        <v>1844</v>
      </c>
      <c r="P1315" t="str">
        <f>_xlfn.XLOOKUP(Table1[[#This Row],[EnvironmentSatisfaction]],Table9[EnvironmentSatisfaction],Table9[Id_EnviromentSatisfaction])</f>
        <v>ES001</v>
      </c>
      <c r="Q1315">
        <v>1</v>
      </c>
      <c r="R1315" t="str">
        <f>_xlfn.XLOOKUP(Table1[[#This Row],[EnvironmentSatisfaction]],Table9[EnvironmentSatisfaction],Table9[Deskripsi])</f>
        <v>Low</v>
      </c>
      <c r="S1315" t="str">
        <f>_xlfn.XLOOKUP(Table1[[#This Row],[Gender]],Table10[Gender],Table10[Id_Gender])</f>
        <v>G002</v>
      </c>
      <c r="T1315" t="s">
        <v>46</v>
      </c>
      <c r="U1315">
        <v>56</v>
      </c>
      <c r="V1315" t="str">
        <f>_xlfn.XLOOKUP(Table1[[#This Row],[JobInvolvement]],Table11[JobInvolvement],Table11[Id_JobInvolvement])</f>
        <v>JI002</v>
      </c>
      <c r="W1315">
        <v>2</v>
      </c>
      <c r="X1315" t="str">
        <f>_xlfn.XLOOKUP(Table1[[#This Row],[JobLevel]],Table12[JobLevel],Table12[Id_JobLevel])</f>
        <v>JL001</v>
      </c>
      <c r="Y1315">
        <v>1</v>
      </c>
      <c r="Z1315" t="str">
        <f>_xlfn.XLOOKUP(Table1[[#This Row],[JobRole]],Table13[JobRole],Table13[Id_JobRole])</f>
        <v>JR009</v>
      </c>
      <c r="AA1315" t="s">
        <v>39</v>
      </c>
      <c r="AB1315" t="str">
        <f>_xlfn.XLOOKUP(Table1[[#This Row],[JobSatisfaction]],Table14[JobSatisfaction],Table14[Id_JobSatisfaction])</f>
        <v>JS001</v>
      </c>
      <c r="AC1315">
        <v>1</v>
      </c>
      <c r="AD1315" t="str">
        <f>_xlfn.XLOOKUP(Table1[[#This Row],[JobSatisfaction]],Table14[JobSatisfaction],Table14[Deskripsi])</f>
        <v>Low</v>
      </c>
      <c r="AE1315" t="str">
        <f>_xlfn.XLOOKUP(Table1[[#This Row],[MaritalStatus]],Table15[MaritalStatus],Table15[Id_MaritalStatus])</f>
        <v>MS003</v>
      </c>
      <c r="AF1315" t="s">
        <v>57</v>
      </c>
      <c r="AG1315">
        <v>2335</v>
      </c>
      <c r="AH1315">
        <v>3157</v>
      </c>
      <c r="AI1315">
        <v>4</v>
      </c>
      <c r="AJ1315" t="str">
        <f>_xlfn.XLOOKUP(Table1[[#This Row],[OverTime]],Table16[OverTime],Table16[Id_OverTime])</f>
        <v>OT001</v>
      </c>
      <c r="AK1315" t="s">
        <v>32</v>
      </c>
      <c r="AL1315">
        <v>15</v>
      </c>
      <c r="AM1315" t="str">
        <f>_xlfn.XLOOKUP(Table1[[#This Row],[PerformanceRating]],Table17[PerformanceRating],Table17[Id_PerformanceRating])</f>
        <v>PR003</v>
      </c>
      <c r="AN1315">
        <v>3</v>
      </c>
      <c r="AO1315" t="str">
        <f>_xlfn.XLOOKUP(Table1[[#This Row],[PerformanceRating]],Table17[PerformanceRating],Table17[Deskripsi])</f>
        <v>Excellent</v>
      </c>
      <c r="AP1315" t="str">
        <f>_xlfn.XLOOKUP(Table1[[#This Row],[RelationshipSatisfaction]],Table18[RelationshipSatisfaction],Table18[Id_RelationshipSatisfaction])</f>
        <v>RS004</v>
      </c>
      <c r="AQ1315">
        <v>4</v>
      </c>
      <c r="AR1315" t="str">
        <f>_xlfn.XLOOKUP(Table1[[#This Row],[RelationshipSatisfaction]],Table18[RelationshipSatisfaction],Table18[Deskripsi])</f>
        <v>Very High</v>
      </c>
      <c r="AS1315" t="str">
        <f>_xlfn.XLOOKUP(Table1[[#This Row],[StockOptionLevel]],Table19[StockOptionLevel],Table19[Id_StockOptionLevel])</f>
        <v>SOL004</v>
      </c>
      <c r="AT1315">
        <v>3</v>
      </c>
      <c r="AU1315" t="str">
        <f>_xlfn.XLOOKUP(Table1[[#This Row],[StockOptionLevel]],Table19[StockOptionLevel],Table19[Deskripsi])</f>
        <v>Senior/Executive</v>
      </c>
      <c r="AV1315">
        <v>4</v>
      </c>
      <c r="AW1315">
        <v>3</v>
      </c>
      <c r="AX1315" t="str">
        <f>_xlfn.XLOOKUP(Table1[[#This Row],[WorkLifeBalance]],Table20[WorkLifeBalance],Table20[Id_WorkLifeBalance])</f>
        <v>WLB002</v>
      </c>
      <c r="AY1315">
        <v>3</v>
      </c>
      <c r="AZ1315" t="str">
        <f>_xlfn.XLOOKUP(Table1[[#This Row],[WorkLifeBalance]],Table20[WorkLifeBalance],Table20[Deskripsi])</f>
        <v>Good</v>
      </c>
      <c r="BA1315">
        <v>2</v>
      </c>
      <c r="BB1315">
        <v>2</v>
      </c>
      <c r="BC1315">
        <v>2</v>
      </c>
      <c r="BD1315">
        <v>0</v>
      </c>
    </row>
    <row r="1316" spans="1:56" x14ac:dyDescent="0.25">
      <c r="A1316">
        <v>45</v>
      </c>
      <c r="B1316" t="str">
        <f>_xlfn.XLOOKUP(Table1[[#This Row],[Attrition]],Table2[Attrition],Table2[Id_Attrition])</f>
        <v>A002</v>
      </c>
      <c r="C1316" t="s">
        <v>33</v>
      </c>
      <c r="D1316" t="str">
        <f>_xlfn.XLOOKUP(Table1[[#This Row],[BusinessTravel]],Table5[BusinessTravel],Table5[Id_BusinessTravel])</f>
        <v>BS003</v>
      </c>
      <c r="E1316" t="s">
        <v>36</v>
      </c>
      <c r="F1316">
        <v>589</v>
      </c>
      <c r="G1316" t="str">
        <f>_xlfn.XLOOKUP(Table1[[#This Row],[Department]],Table6[Department],Table6[Id_Departement])</f>
        <v>D001</v>
      </c>
      <c r="H1316" t="s">
        <v>37</v>
      </c>
      <c r="I1316">
        <v>2</v>
      </c>
      <c r="J1316" t="str">
        <f>_xlfn.XLOOKUP(Table1[[#This Row],[Education]],Table8[Education],Table8[Id_Education])</f>
        <v>E004</v>
      </c>
      <c r="K1316">
        <v>4</v>
      </c>
      <c r="L1316" t="str">
        <f>_xlfn.XLOOKUP(Table1[[#This Row],[EducationField]],Table7[EducationField],Table7[Id_EducationField])</f>
        <v>EF001</v>
      </c>
      <c r="M1316" t="s">
        <v>40</v>
      </c>
      <c r="N1316" t="str">
        <f>_xlfn.XLOOKUP(Table1[[#This Row],[EmployeeNumber]],Table4[EmployeeNumber],Table4[Id_Employee])</f>
        <v>EMP01315</v>
      </c>
      <c r="O1316">
        <v>1845</v>
      </c>
      <c r="P1316" t="str">
        <f>_xlfn.XLOOKUP(Table1[[#This Row],[EnvironmentSatisfaction]],Table9[EnvironmentSatisfaction],Table9[Id_EnviromentSatisfaction])</f>
        <v>ES003</v>
      </c>
      <c r="Q1316">
        <v>3</v>
      </c>
      <c r="R1316" t="str">
        <f>_xlfn.XLOOKUP(Table1[[#This Row],[EnvironmentSatisfaction]],Table9[EnvironmentSatisfaction],Table9[Deskripsi])</f>
        <v>High</v>
      </c>
      <c r="S1316" t="str">
        <f>_xlfn.XLOOKUP(Table1[[#This Row],[Gender]],Table10[Gender],Table10[Id_Gender])</f>
        <v>G001</v>
      </c>
      <c r="T1316" t="s">
        <v>45</v>
      </c>
      <c r="U1316">
        <v>67</v>
      </c>
      <c r="V1316" t="str">
        <f>_xlfn.XLOOKUP(Table1[[#This Row],[JobInvolvement]],Table11[JobInvolvement],Table11[Id_JobInvolvement])</f>
        <v>JI003</v>
      </c>
      <c r="W1316">
        <v>3</v>
      </c>
      <c r="X1316" t="str">
        <f>_xlfn.XLOOKUP(Table1[[#This Row],[JobLevel]],Table12[JobLevel],Table12[Id_JobLevel])</f>
        <v>JL002</v>
      </c>
      <c r="Y1316">
        <v>2</v>
      </c>
      <c r="Z1316" t="str">
        <f>_xlfn.XLOOKUP(Table1[[#This Row],[JobRole]],Table13[JobRole],Table13[Id_JobRole])</f>
        <v>JR001</v>
      </c>
      <c r="AA1316" t="s">
        <v>47</v>
      </c>
      <c r="AB1316" t="str">
        <f>_xlfn.XLOOKUP(Table1[[#This Row],[JobSatisfaction]],Table14[JobSatisfaction],Table14[Id_JobSatisfaction])</f>
        <v>JS003</v>
      </c>
      <c r="AC1316">
        <v>3</v>
      </c>
      <c r="AD1316" t="str">
        <f>_xlfn.XLOOKUP(Table1[[#This Row],[JobSatisfaction]],Table14[JobSatisfaction],Table14[Deskripsi])</f>
        <v>High</v>
      </c>
      <c r="AE1316" t="str">
        <f>_xlfn.XLOOKUP(Table1[[#This Row],[MaritalStatus]],Table15[MaritalStatus],Table15[Id_MaritalStatus])</f>
        <v>MS002</v>
      </c>
      <c r="AF1316" t="s">
        <v>56</v>
      </c>
      <c r="AG1316">
        <v>5154</v>
      </c>
      <c r="AH1316">
        <v>19665</v>
      </c>
      <c r="AI1316">
        <v>4</v>
      </c>
      <c r="AJ1316" t="str">
        <f>_xlfn.XLOOKUP(Table1[[#This Row],[OverTime]],Table16[OverTime],Table16[Id_OverTime])</f>
        <v>OT002</v>
      </c>
      <c r="AK1316" t="s">
        <v>33</v>
      </c>
      <c r="AL1316">
        <v>22</v>
      </c>
      <c r="AM1316" t="str">
        <f>_xlfn.XLOOKUP(Table1[[#This Row],[PerformanceRating]],Table17[PerformanceRating],Table17[Id_PerformanceRating])</f>
        <v>PR004</v>
      </c>
      <c r="AN1316">
        <v>4</v>
      </c>
      <c r="AO1316" t="str">
        <f>_xlfn.XLOOKUP(Table1[[#This Row],[PerformanceRating]],Table17[PerformanceRating],Table17[Deskripsi])</f>
        <v>Outstanding</v>
      </c>
      <c r="AP1316" t="str">
        <f>_xlfn.XLOOKUP(Table1[[#This Row],[RelationshipSatisfaction]],Table18[RelationshipSatisfaction],Table18[Id_RelationshipSatisfaction])</f>
        <v>RS002</v>
      </c>
      <c r="AQ1316">
        <v>2</v>
      </c>
      <c r="AR1316" t="str">
        <f>_xlfn.XLOOKUP(Table1[[#This Row],[RelationshipSatisfaction]],Table18[RelationshipSatisfaction],Table18[Deskripsi])</f>
        <v>Medium</v>
      </c>
      <c r="AS1316" t="str">
        <f>_xlfn.XLOOKUP(Table1[[#This Row],[StockOptionLevel]],Table19[StockOptionLevel],Table19[Id_StockOptionLevel])</f>
        <v>SOL003</v>
      </c>
      <c r="AT1316">
        <v>2</v>
      </c>
      <c r="AU1316" t="str">
        <f>_xlfn.XLOOKUP(Table1[[#This Row],[StockOptionLevel]],Table19[StockOptionLevel],Table19[Deskripsi])</f>
        <v>Intermediate</v>
      </c>
      <c r="AV1316">
        <v>10</v>
      </c>
      <c r="AW1316">
        <v>3</v>
      </c>
      <c r="AX1316" t="str">
        <f>_xlfn.XLOOKUP(Table1[[#This Row],[WorkLifeBalance]],Table20[WorkLifeBalance],Table20[Id_WorkLifeBalance])</f>
        <v>WLB004</v>
      </c>
      <c r="AY1316">
        <v>4</v>
      </c>
      <c r="AZ1316" t="str">
        <f>_xlfn.XLOOKUP(Table1[[#This Row],[WorkLifeBalance]],Table20[WorkLifeBalance],Table20[Deskripsi])</f>
        <v>Best</v>
      </c>
      <c r="BA1316">
        <v>8</v>
      </c>
      <c r="BB1316">
        <v>7</v>
      </c>
      <c r="BC1316">
        <v>5</v>
      </c>
      <c r="BD1316">
        <v>7</v>
      </c>
    </row>
    <row r="1317" spans="1:56" x14ac:dyDescent="0.25">
      <c r="A1317">
        <v>36</v>
      </c>
      <c r="B1317" t="str">
        <f>_xlfn.XLOOKUP(Table1[[#This Row],[Attrition]],Table2[Attrition],Table2[Id_Attrition])</f>
        <v>A002</v>
      </c>
      <c r="C1317" t="s">
        <v>33</v>
      </c>
      <c r="D1317" t="str">
        <f>_xlfn.XLOOKUP(Table1[[#This Row],[BusinessTravel]],Table5[BusinessTravel],Table5[Id_BusinessTravel])</f>
        <v>BS001</v>
      </c>
      <c r="E1317" t="s">
        <v>34</v>
      </c>
      <c r="F1317">
        <v>430</v>
      </c>
      <c r="G1317" t="str">
        <f>_xlfn.XLOOKUP(Table1[[#This Row],[Department]],Table6[Department],Table6[Id_Departement])</f>
        <v>D002</v>
      </c>
      <c r="H1317" t="s">
        <v>38</v>
      </c>
      <c r="I1317">
        <v>2</v>
      </c>
      <c r="J1317" t="str">
        <f>_xlfn.XLOOKUP(Table1[[#This Row],[Education]],Table8[Education],Table8[Id_Education])</f>
        <v>E004</v>
      </c>
      <c r="K1317">
        <v>4</v>
      </c>
      <c r="L1317" t="str">
        <f>_xlfn.XLOOKUP(Table1[[#This Row],[EducationField]],Table7[EducationField],Table7[Id_EducationField])</f>
        <v>EF002</v>
      </c>
      <c r="M1317" t="s">
        <v>41</v>
      </c>
      <c r="N1317" t="str">
        <f>_xlfn.XLOOKUP(Table1[[#This Row],[EmployeeNumber]],Table4[EmployeeNumber],Table4[Id_Employee])</f>
        <v>EMP01316</v>
      </c>
      <c r="O1317">
        <v>1847</v>
      </c>
      <c r="P1317" t="str">
        <f>_xlfn.XLOOKUP(Table1[[#This Row],[EnvironmentSatisfaction]],Table9[EnvironmentSatisfaction],Table9[Id_EnviromentSatisfaction])</f>
        <v>ES004</v>
      </c>
      <c r="Q1317">
        <v>4</v>
      </c>
      <c r="R1317" t="str">
        <f>_xlfn.XLOOKUP(Table1[[#This Row],[EnvironmentSatisfaction]],Table9[EnvironmentSatisfaction],Table9[Deskripsi])</f>
        <v>Very High</v>
      </c>
      <c r="S1317" t="str">
        <f>_xlfn.XLOOKUP(Table1[[#This Row],[Gender]],Table10[Gender],Table10[Id_Gender])</f>
        <v>G001</v>
      </c>
      <c r="T1317" t="s">
        <v>45</v>
      </c>
      <c r="U1317">
        <v>73</v>
      </c>
      <c r="V1317" t="str">
        <f>_xlfn.XLOOKUP(Table1[[#This Row],[JobInvolvement]],Table11[JobInvolvement],Table11[Id_JobInvolvement])</f>
        <v>JI003</v>
      </c>
      <c r="W1317">
        <v>3</v>
      </c>
      <c r="X1317" t="str">
        <f>_xlfn.XLOOKUP(Table1[[#This Row],[JobLevel]],Table12[JobLevel],Table12[Id_JobLevel])</f>
        <v>JL002</v>
      </c>
      <c r="Y1317">
        <v>2</v>
      </c>
      <c r="Z1317" t="str">
        <f>_xlfn.XLOOKUP(Table1[[#This Row],[JobRole]],Table13[JobRole],Table13[Id_JobRole])</f>
        <v>JR002</v>
      </c>
      <c r="AA1317" t="s">
        <v>48</v>
      </c>
      <c r="AB1317" t="str">
        <f>_xlfn.XLOOKUP(Table1[[#This Row],[JobSatisfaction]],Table14[JobSatisfaction],Table14[Id_JobSatisfaction])</f>
        <v>JS002</v>
      </c>
      <c r="AC1317">
        <v>2</v>
      </c>
      <c r="AD1317" t="str">
        <f>_xlfn.XLOOKUP(Table1[[#This Row],[JobSatisfaction]],Table14[JobSatisfaction],Table14[Deskripsi])</f>
        <v>Medium</v>
      </c>
      <c r="AE1317" t="str">
        <f>_xlfn.XLOOKUP(Table1[[#This Row],[MaritalStatus]],Table15[MaritalStatus],Table15[Id_MaritalStatus])</f>
        <v>MS002</v>
      </c>
      <c r="AF1317" t="s">
        <v>56</v>
      </c>
      <c r="AG1317">
        <v>6962</v>
      </c>
      <c r="AH1317">
        <v>19573</v>
      </c>
      <c r="AI1317">
        <v>4</v>
      </c>
      <c r="AJ1317" t="str">
        <f>_xlfn.XLOOKUP(Table1[[#This Row],[OverTime]],Table16[OverTime],Table16[Id_OverTime])</f>
        <v>OT001</v>
      </c>
      <c r="AK1317" t="s">
        <v>32</v>
      </c>
      <c r="AL1317">
        <v>22</v>
      </c>
      <c r="AM1317" t="str">
        <f>_xlfn.XLOOKUP(Table1[[#This Row],[PerformanceRating]],Table17[PerformanceRating],Table17[Id_PerformanceRating])</f>
        <v>PR004</v>
      </c>
      <c r="AN1317">
        <v>4</v>
      </c>
      <c r="AO1317" t="str">
        <f>_xlfn.XLOOKUP(Table1[[#This Row],[PerformanceRating]],Table17[PerformanceRating],Table17[Deskripsi])</f>
        <v>Outstanding</v>
      </c>
      <c r="AP1317" t="str">
        <f>_xlfn.XLOOKUP(Table1[[#This Row],[RelationshipSatisfaction]],Table18[RelationshipSatisfaction],Table18[Id_RelationshipSatisfaction])</f>
        <v>RS004</v>
      </c>
      <c r="AQ1317">
        <v>4</v>
      </c>
      <c r="AR1317" t="str">
        <f>_xlfn.XLOOKUP(Table1[[#This Row],[RelationshipSatisfaction]],Table18[RelationshipSatisfaction],Table18[Deskripsi])</f>
        <v>Very High</v>
      </c>
      <c r="AS1317" t="str">
        <f>_xlfn.XLOOKUP(Table1[[#This Row],[StockOptionLevel]],Table19[StockOptionLevel],Table19[Id_StockOptionLevel])</f>
        <v>SOL002</v>
      </c>
      <c r="AT1317">
        <v>1</v>
      </c>
      <c r="AU1317" t="str">
        <f>_xlfn.XLOOKUP(Table1[[#This Row],[StockOptionLevel]],Table19[StockOptionLevel],Table19[Deskripsi])</f>
        <v>Standard</v>
      </c>
      <c r="AV1317">
        <v>15</v>
      </c>
      <c r="AW1317">
        <v>2</v>
      </c>
      <c r="AX1317" t="str">
        <f>_xlfn.XLOOKUP(Table1[[#This Row],[WorkLifeBalance]],Table20[WorkLifeBalance],Table20[Id_WorkLifeBalance])</f>
        <v>WLB002</v>
      </c>
      <c r="AY1317">
        <v>3</v>
      </c>
      <c r="AZ1317" t="str">
        <f>_xlfn.XLOOKUP(Table1[[#This Row],[WorkLifeBalance]],Table20[WorkLifeBalance],Table20[Deskripsi])</f>
        <v>Good</v>
      </c>
      <c r="BA1317">
        <v>1</v>
      </c>
      <c r="BB1317">
        <v>0</v>
      </c>
      <c r="BC1317">
        <v>0</v>
      </c>
      <c r="BD1317">
        <v>0</v>
      </c>
    </row>
    <row r="1318" spans="1:56" x14ac:dyDescent="0.25">
      <c r="A1318">
        <v>43</v>
      </c>
      <c r="B1318" t="str">
        <f>_xlfn.XLOOKUP(Table1[[#This Row],[Attrition]],Table2[Attrition],Table2[Id_Attrition])</f>
        <v>A002</v>
      </c>
      <c r="C1318" t="s">
        <v>33</v>
      </c>
      <c r="D1318" t="str">
        <f>_xlfn.XLOOKUP(Table1[[#This Row],[BusinessTravel]],Table5[BusinessTravel],Table5[Id_BusinessTravel])</f>
        <v>BS002</v>
      </c>
      <c r="E1318" t="s">
        <v>35</v>
      </c>
      <c r="F1318">
        <v>1422</v>
      </c>
      <c r="G1318" t="str">
        <f>_xlfn.XLOOKUP(Table1[[#This Row],[Department]],Table6[Department],Table6[Id_Departement])</f>
        <v>D001</v>
      </c>
      <c r="H1318" t="s">
        <v>37</v>
      </c>
      <c r="I1318">
        <v>2</v>
      </c>
      <c r="J1318" t="str">
        <f>_xlfn.XLOOKUP(Table1[[#This Row],[Education]],Table8[Education],Table8[Id_Education])</f>
        <v>E004</v>
      </c>
      <c r="K1318">
        <v>4</v>
      </c>
      <c r="L1318" t="str">
        <f>_xlfn.XLOOKUP(Table1[[#This Row],[EducationField]],Table7[EducationField],Table7[Id_EducationField])</f>
        <v>EF001</v>
      </c>
      <c r="M1318" t="s">
        <v>40</v>
      </c>
      <c r="N1318" t="str">
        <f>_xlfn.XLOOKUP(Table1[[#This Row],[EmployeeNumber]],Table4[EmployeeNumber],Table4[Id_Employee])</f>
        <v>EMP01317</v>
      </c>
      <c r="O1318">
        <v>1849</v>
      </c>
      <c r="P1318" t="str">
        <f>_xlfn.XLOOKUP(Table1[[#This Row],[EnvironmentSatisfaction]],Table9[EnvironmentSatisfaction],Table9[Id_EnviromentSatisfaction])</f>
        <v>ES001</v>
      </c>
      <c r="Q1318">
        <v>1</v>
      </c>
      <c r="R1318" t="str">
        <f>_xlfn.XLOOKUP(Table1[[#This Row],[EnvironmentSatisfaction]],Table9[EnvironmentSatisfaction],Table9[Deskripsi])</f>
        <v>Low</v>
      </c>
      <c r="S1318" t="str">
        <f>_xlfn.XLOOKUP(Table1[[#This Row],[Gender]],Table10[Gender],Table10[Id_Gender])</f>
        <v>G002</v>
      </c>
      <c r="T1318" t="s">
        <v>46</v>
      </c>
      <c r="U1318">
        <v>92</v>
      </c>
      <c r="V1318" t="str">
        <f>_xlfn.XLOOKUP(Table1[[#This Row],[JobInvolvement]],Table11[JobInvolvement],Table11[Id_JobInvolvement])</f>
        <v>JI003</v>
      </c>
      <c r="W1318">
        <v>3</v>
      </c>
      <c r="X1318" t="str">
        <f>_xlfn.XLOOKUP(Table1[[#This Row],[JobLevel]],Table12[JobLevel],Table12[Id_JobLevel])</f>
        <v>JL002</v>
      </c>
      <c r="Y1318">
        <v>2</v>
      </c>
      <c r="Z1318" t="str">
        <f>_xlfn.XLOOKUP(Table1[[#This Row],[JobRole]],Table13[JobRole],Table13[Id_JobRole])</f>
        <v>JR001</v>
      </c>
      <c r="AA1318" t="s">
        <v>47</v>
      </c>
      <c r="AB1318" t="str">
        <f>_xlfn.XLOOKUP(Table1[[#This Row],[JobSatisfaction]],Table14[JobSatisfaction],Table14[Id_JobSatisfaction])</f>
        <v>JS004</v>
      </c>
      <c r="AC1318">
        <v>4</v>
      </c>
      <c r="AD1318" t="str">
        <f>_xlfn.XLOOKUP(Table1[[#This Row],[JobSatisfaction]],Table14[JobSatisfaction],Table14[Deskripsi])</f>
        <v>Very High</v>
      </c>
      <c r="AE1318" t="str">
        <f>_xlfn.XLOOKUP(Table1[[#This Row],[MaritalStatus]],Table15[MaritalStatus],Table15[Id_MaritalStatus])</f>
        <v>MS002</v>
      </c>
      <c r="AF1318" t="s">
        <v>56</v>
      </c>
      <c r="AG1318">
        <v>5675</v>
      </c>
      <c r="AH1318">
        <v>19246</v>
      </c>
      <c r="AI1318">
        <v>1</v>
      </c>
      <c r="AJ1318" t="str">
        <f>_xlfn.XLOOKUP(Table1[[#This Row],[OverTime]],Table16[OverTime],Table16[Id_OverTime])</f>
        <v>OT002</v>
      </c>
      <c r="AK1318" t="s">
        <v>33</v>
      </c>
      <c r="AL1318">
        <v>20</v>
      </c>
      <c r="AM1318" t="str">
        <f>_xlfn.XLOOKUP(Table1[[#This Row],[PerformanceRating]],Table17[PerformanceRating],Table17[Id_PerformanceRating])</f>
        <v>PR004</v>
      </c>
      <c r="AN1318">
        <v>4</v>
      </c>
      <c r="AO1318" t="str">
        <f>_xlfn.XLOOKUP(Table1[[#This Row],[PerformanceRating]],Table17[PerformanceRating],Table17[Deskripsi])</f>
        <v>Outstanding</v>
      </c>
      <c r="AP1318" t="str">
        <f>_xlfn.XLOOKUP(Table1[[#This Row],[RelationshipSatisfaction]],Table18[RelationshipSatisfaction],Table18[Id_RelationshipSatisfaction])</f>
        <v>RS003</v>
      </c>
      <c r="AQ1318">
        <v>3</v>
      </c>
      <c r="AR1318" t="str">
        <f>_xlfn.XLOOKUP(Table1[[#This Row],[RelationshipSatisfaction]],Table18[RelationshipSatisfaction],Table18[Deskripsi])</f>
        <v>High</v>
      </c>
      <c r="AS1318" t="str">
        <f>_xlfn.XLOOKUP(Table1[[#This Row],[StockOptionLevel]],Table19[StockOptionLevel],Table19[Id_StockOptionLevel])</f>
        <v>SOL002</v>
      </c>
      <c r="AT1318">
        <v>1</v>
      </c>
      <c r="AU1318" t="str">
        <f>_xlfn.XLOOKUP(Table1[[#This Row],[StockOptionLevel]],Table19[StockOptionLevel],Table19[Deskripsi])</f>
        <v>Standard</v>
      </c>
      <c r="AV1318">
        <v>7</v>
      </c>
      <c r="AW1318">
        <v>5</v>
      </c>
      <c r="AX1318" t="str">
        <f>_xlfn.XLOOKUP(Table1[[#This Row],[WorkLifeBalance]],Table20[WorkLifeBalance],Table20[Id_WorkLifeBalance])</f>
        <v>WLB002</v>
      </c>
      <c r="AY1318">
        <v>3</v>
      </c>
      <c r="AZ1318" t="str">
        <f>_xlfn.XLOOKUP(Table1[[#This Row],[WorkLifeBalance]],Table20[WorkLifeBalance],Table20[Deskripsi])</f>
        <v>Good</v>
      </c>
      <c r="BA1318">
        <v>7</v>
      </c>
      <c r="BB1318">
        <v>7</v>
      </c>
      <c r="BC1318">
        <v>7</v>
      </c>
      <c r="BD1318">
        <v>7</v>
      </c>
    </row>
    <row r="1319" spans="1:56" x14ac:dyDescent="0.25">
      <c r="A1319">
        <v>27</v>
      </c>
      <c r="B1319" t="str">
        <f>_xlfn.XLOOKUP(Table1[[#This Row],[Attrition]],Table2[Attrition],Table2[Id_Attrition])</f>
        <v>A002</v>
      </c>
      <c r="C1319" t="s">
        <v>33</v>
      </c>
      <c r="D1319" t="str">
        <f>_xlfn.XLOOKUP(Table1[[#This Row],[BusinessTravel]],Table5[BusinessTravel],Table5[Id_BusinessTravel])</f>
        <v>BS002</v>
      </c>
      <c r="E1319" t="s">
        <v>35</v>
      </c>
      <c r="F1319">
        <v>1297</v>
      </c>
      <c r="G1319" t="str">
        <f>_xlfn.XLOOKUP(Table1[[#This Row],[Department]],Table6[Department],Table6[Id_Departement])</f>
        <v>D002</v>
      </c>
      <c r="H1319" t="s">
        <v>38</v>
      </c>
      <c r="I1319">
        <v>5</v>
      </c>
      <c r="J1319" t="str">
        <f>_xlfn.XLOOKUP(Table1[[#This Row],[Education]],Table8[Education],Table8[Id_Education])</f>
        <v>E002</v>
      </c>
      <c r="K1319">
        <v>2</v>
      </c>
      <c r="L1319" t="str">
        <f>_xlfn.XLOOKUP(Table1[[#This Row],[EducationField]],Table7[EducationField],Table7[Id_EducationField])</f>
        <v>EF001</v>
      </c>
      <c r="M1319" t="s">
        <v>40</v>
      </c>
      <c r="N1319" t="str">
        <f>_xlfn.XLOOKUP(Table1[[#This Row],[EmployeeNumber]],Table4[EmployeeNumber],Table4[Id_Employee])</f>
        <v>EMP01318</v>
      </c>
      <c r="O1319">
        <v>1850</v>
      </c>
      <c r="P1319" t="str">
        <f>_xlfn.XLOOKUP(Table1[[#This Row],[EnvironmentSatisfaction]],Table9[EnvironmentSatisfaction],Table9[Id_EnviromentSatisfaction])</f>
        <v>ES004</v>
      </c>
      <c r="Q1319">
        <v>4</v>
      </c>
      <c r="R1319" t="str">
        <f>_xlfn.XLOOKUP(Table1[[#This Row],[EnvironmentSatisfaction]],Table9[EnvironmentSatisfaction],Table9[Deskripsi])</f>
        <v>Very High</v>
      </c>
      <c r="S1319" t="str">
        <f>_xlfn.XLOOKUP(Table1[[#This Row],[Gender]],Table10[Gender],Table10[Id_Gender])</f>
        <v>G001</v>
      </c>
      <c r="T1319" t="s">
        <v>45</v>
      </c>
      <c r="U1319">
        <v>53</v>
      </c>
      <c r="V1319" t="str">
        <f>_xlfn.XLOOKUP(Table1[[#This Row],[JobInvolvement]],Table11[JobInvolvement],Table11[Id_JobInvolvement])</f>
        <v>JI003</v>
      </c>
      <c r="W1319">
        <v>3</v>
      </c>
      <c r="X1319" t="str">
        <f>_xlfn.XLOOKUP(Table1[[#This Row],[JobLevel]],Table12[JobLevel],Table12[Id_JobLevel])</f>
        <v>JL001</v>
      </c>
      <c r="Y1319">
        <v>1</v>
      </c>
      <c r="Z1319" t="str">
        <f>_xlfn.XLOOKUP(Table1[[#This Row],[JobRole]],Table13[JobRole],Table13[Id_JobRole])</f>
        <v>JR003</v>
      </c>
      <c r="AA1319" t="s">
        <v>49</v>
      </c>
      <c r="AB1319" t="str">
        <f>_xlfn.XLOOKUP(Table1[[#This Row],[JobSatisfaction]],Table14[JobSatisfaction],Table14[Id_JobSatisfaction])</f>
        <v>JS004</v>
      </c>
      <c r="AC1319">
        <v>4</v>
      </c>
      <c r="AD1319" t="str">
        <f>_xlfn.XLOOKUP(Table1[[#This Row],[JobSatisfaction]],Table14[JobSatisfaction],Table14[Deskripsi])</f>
        <v>Very High</v>
      </c>
      <c r="AE1319" t="str">
        <f>_xlfn.XLOOKUP(Table1[[#This Row],[MaritalStatus]],Table15[MaritalStatus],Table15[Id_MaritalStatus])</f>
        <v>MS001</v>
      </c>
      <c r="AF1319" t="s">
        <v>55</v>
      </c>
      <c r="AG1319">
        <v>2379</v>
      </c>
      <c r="AH1319">
        <v>19826</v>
      </c>
      <c r="AI1319">
        <v>0</v>
      </c>
      <c r="AJ1319" t="str">
        <f>_xlfn.XLOOKUP(Table1[[#This Row],[OverTime]],Table16[OverTime],Table16[Id_OverTime])</f>
        <v>OT001</v>
      </c>
      <c r="AK1319" t="s">
        <v>32</v>
      </c>
      <c r="AL1319">
        <v>14</v>
      </c>
      <c r="AM1319" t="str">
        <f>_xlfn.XLOOKUP(Table1[[#This Row],[PerformanceRating]],Table17[PerformanceRating],Table17[Id_PerformanceRating])</f>
        <v>PR003</v>
      </c>
      <c r="AN1319">
        <v>3</v>
      </c>
      <c r="AO1319" t="str">
        <f>_xlfn.XLOOKUP(Table1[[#This Row],[PerformanceRating]],Table17[PerformanceRating],Table17[Deskripsi])</f>
        <v>Excellent</v>
      </c>
      <c r="AP1319" t="str">
        <f>_xlfn.XLOOKUP(Table1[[#This Row],[RelationshipSatisfaction]],Table18[RelationshipSatisfaction],Table18[Id_RelationshipSatisfaction])</f>
        <v>RS003</v>
      </c>
      <c r="AQ1319">
        <v>3</v>
      </c>
      <c r="AR1319" t="str">
        <f>_xlfn.XLOOKUP(Table1[[#This Row],[RelationshipSatisfaction]],Table18[RelationshipSatisfaction],Table18[Deskripsi])</f>
        <v>High</v>
      </c>
      <c r="AS1319" t="str">
        <f>_xlfn.XLOOKUP(Table1[[#This Row],[StockOptionLevel]],Table19[StockOptionLevel],Table19[Id_StockOptionLevel])</f>
        <v>SOL001</v>
      </c>
      <c r="AT1319">
        <v>0</v>
      </c>
      <c r="AU1319" t="str">
        <f>_xlfn.XLOOKUP(Table1[[#This Row],[StockOptionLevel]],Table19[StockOptionLevel],Table19[Deskripsi])</f>
        <v>Non-Eligible</v>
      </c>
      <c r="AV1319">
        <v>6</v>
      </c>
      <c r="AW1319">
        <v>3</v>
      </c>
      <c r="AX1319" t="str">
        <f>_xlfn.XLOOKUP(Table1[[#This Row],[WorkLifeBalance]],Table20[WorkLifeBalance],Table20[Id_WorkLifeBalance])</f>
        <v>WLB003</v>
      </c>
      <c r="AY1319">
        <v>2</v>
      </c>
      <c r="AZ1319" t="str">
        <f>_xlfn.XLOOKUP(Table1[[#This Row],[WorkLifeBalance]],Table20[WorkLifeBalance],Table20[Deskripsi])</f>
        <v>Better</v>
      </c>
      <c r="BA1319">
        <v>5</v>
      </c>
      <c r="BB1319">
        <v>4</v>
      </c>
      <c r="BC1319">
        <v>0</v>
      </c>
      <c r="BD1319">
        <v>2</v>
      </c>
    </row>
    <row r="1320" spans="1:56" x14ac:dyDescent="0.25">
      <c r="A1320">
        <v>29</v>
      </c>
      <c r="B1320" t="str">
        <f>_xlfn.XLOOKUP(Table1[[#This Row],[Attrition]],Table2[Attrition],Table2[Id_Attrition])</f>
        <v>A002</v>
      </c>
      <c r="C1320" t="s">
        <v>33</v>
      </c>
      <c r="D1320" t="str">
        <f>_xlfn.XLOOKUP(Table1[[#This Row],[BusinessTravel]],Table5[BusinessTravel],Table5[Id_BusinessTravel])</f>
        <v>BS002</v>
      </c>
      <c r="E1320" t="s">
        <v>35</v>
      </c>
      <c r="F1320">
        <v>574</v>
      </c>
      <c r="G1320" t="str">
        <f>_xlfn.XLOOKUP(Table1[[#This Row],[Department]],Table6[Department],Table6[Id_Departement])</f>
        <v>D002</v>
      </c>
      <c r="H1320" t="s">
        <v>38</v>
      </c>
      <c r="I1320">
        <v>20</v>
      </c>
      <c r="J1320" t="str">
        <f>_xlfn.XLOOKUP(Table1[[#This Row],[Education]],Table8[Education],Table8[Id_Education])</f>
        <v>E001</v>
      </c>
      <c r="K1320">
        <v>1</v>
      </c>
      <c r="L1320" t="str">
        <f>_xlfn.XLOOKUP(Table1[[#This Row],[EducationField]],Table7[EducationField],Table7[Id_EducationField])</f>
        <v>EF003</v>
      </c>
      <c r="M1320" t="s">
        <v>42</v>
      </c>
      <c r="N1320" t="str">
        <f>_xlfn.XLOOKUP(Table1[[#This Row],[EmployeeNumber]],Table4[EmployeeNumber],Table4[Id_Employee])</f>
        <v>EMP01319</v>
      </c>
      <c r="O1320">
        <v>1852</v>
      </c>
      <c r="P1320" t="str">
        <f>_xlfn.XLOOKUP(Table1[[#This Row],[EnvironmentSatisfaction]],Table9[EnvironmentSatisfaction],Table9[Id_EnviromentSatisfaction])</f>
        <v>ES004</v>
      </c>
      <c r="Q1320">
        <v>4</v>
      </c>
      <c r="R1320" t="str">
        <f>_xlfn.XLOOKUP(Table1[[#This Row],[EnvironmentSatisfaction]],Table9[EnvironmentSatisfaction],Table9[Deskripsi])</f>
        <v>Very High</v>
      </c>
      <c r="S1320" t="str">
        <f>_xlfn.XLOOKUP(Table1[[#This Row],[Gender]],Table10[Gender],Table10[Id_Gender])</f>
        <v>G002</v>
      </c>
      <c r="T1320" t="s">
        <v>46</v>
      </c>
      <c r="U1320">
        <v>40</v>
      </c>
      <c r="V1320" t="str">
        <f>_xlfn.XLOOKUP(Table1[[#This Row],[JobInvolvement]],Table11[JobInvolvement],Table11[Id_JobInvolvement])</f>
        <v>JI003</v>
      </c>
      <c r="W1320">
        <v>3</v>
      </c>
      <c r="X1320" t="str">
        <f>_xlfn.XLOOKUP(Table1[[#This Row],[JobLevel]],Table12[JobLevel],Table12[Id_JobLevel])</f>
        <v>JL001</v>
      </c>
      <c r="Y1320">
        <v>1</v>
      </c>
      <c r="Z1320" t="str">
        <f>_xlfn.XLOOKUP(Table1[[#This Row],[JobRole]],Table13[JobRole],Table13[Id_JobRole])</f>
        <v>JR003</v>
      </c>
      <c r="AA1320" t="s">
        <v>49</v>
      </c>
      <c r="AB1320" t="str">
        <f>_xlfn.XLOOKUP(Table1[[#This Row],[JobSatisfaction]],Table14[JobSatisfaction],Table14[Id_JobSatisfaction])</f>
        <v>JS004</v>
      </c>
      <c r="AC1320">
        <v>4</v>
      </c>
      <c r="AD1320" t="str">
        <f>_xlfn.XLOOKUP(Table1[[#This Row],[JobSatisfaction]],Table14[JobSatisfaction],Table14[Deskripsi])</f>
        <v>Very High</v>
      </c>
      <c r="AE1320" t="str">
        <f>_xlfn.XLOOKUP(Table1[[#This Row],[MaritalStatus]],Table15[MaritalStatus],Table15[Id_MaritalStatus])</f>
        <v>MS002</v>
      </c>
      <c r="AF1320" t="s">
        <v>56</v>
      </c>
      <c r="AG1320">
        <v>3812</v>
      </c>
      <c r="AH1320">
        <v>7003</v>
      </c>
      <c r="AI1320">
        <v>1</v>
      </c>
      <c r="AJ1320" t="str">
        <f>_xlfn.XLOOKUP(Table1[[#This Row],[OverTime]],Table16[OverTime],Table16[Id_OverTime])</f>
        <v>OT002</v>
      </c>
      <c r="AK1320" t="s">
        <v>33</v>
      </c>
      <c r="AL1320">
        <v>13</v>
      </c>
      <c r="AM1320" t="str">
        <f>_xlfn.XLOOKUP(Table1[[#This Row],[PerformanceRating]],Table17[PerformanceRating],Table17[Id_PerformanceRating])</f>
        <v>PR003</v>
      </c>
      <c r="AN1320">
        <v>3</v>
      </c>
      <c r="AO1320" t="str">
        <f>_xlfn.XLOOKUP(Table1[[#This Row],[PerformanceRating]],Table17[PerformanceRating],Table17[Deskripsi])</f>
        <v>Excellent</v>
      </c>
      <c r="AP1320" t="str">
        <f>_xlfn.XLOOKUP(Table1[[#This Row],[RelationshipSatisfaction]],Table18[RelationshipSatisfaction],Table18[Id_RelationshipSatisfaction])</f>
        <v>RS002</v>
      </c>
      <c r="AQ1320">
        <v>2</v>
      </c>
      <c r="AR1320" t="str">
        <f>_xlfn.XLOOKUP(Table1[[#This Row],[RelationshipSatisfaction]],Table18[RelationshipSatisfaction],Table18[Deskripsi])</f>
        <v>Medium</v>
      </c>
      <c r="AS1320" t="str">
        <f>_xlfn.XLOOKUP(Table1[[#This Row],[StockOptionLevel]],Table19[StockOptionLevel],Table19[Id_StockOptionLevel])</f>
        <v>SOL001</v>
      </c>
      <c r="AT1320">
        <v>0</v>
      </c>
      <c r="AU1320" t="str">
        <f>_xlfn.XLOOKUP(Table1[[#This Row],[StockOptionLevel]],Table19[StockOptionLevel],Table19[Deskripsi])</f>
        <v>Non-Eligible</v>
      </c>
      <c r="AV1320">
        <v>11</v>
      </c>
      <c r="AW1320">
        <v>3</v>
      </c>
      <c r="AX1320" t="str">
        <f>_xlfn.XLOOKUP(Table1[[#This Row],[WorkLifeBalance]],Table20[WorkLifeBalance],Table20[Id_WorkLifeBalance])</f>
        <v>WLB004</v>
      </c>
      <c r="AY1320">
        <v>4</v>
      </c>
      <c r="AZ1320" t="str">
        <f>_xlfn.XLOOKUP(Table1[[#This Row],[WorkLifeBalance]],Table20[WorkLifeBalance],Table20[Deskripsi])</f>
        <v>Best</v>
      </c>
      <c r="BA1320">
        <v>11</v>
      </c>
      <c r="BB1320">
        <v>8</v>
      </c>
      <c r="BC1320">
        <v>3</v>
      </c>
      <c r="BD1320">
        <v>10</v>
      </c>
    </row>
    <row r="1321" spans="1:56" x14ac:dyDescent="0.25">
      <c r="A1321">
        <v>32</v>
      </c>
      <c r="B1321" t="str">
        <f>_xlfn.XLOOKUP(Table1[[#This Row],[Attrition]],Table2[Attrition],Table2[Id_Attrition])</f>
        <v>A002</v>
      </c>
      <c r="C1321" t="s">
        <v>33</v>
      </c>
      <c r="D1321" t="str">
        <f>_xlfn.XLOOKUP(Table1[[#This Row],[BusinessTravel]],Table5[BusinessTravel],Table5[Id_BusinessTravel])</f>
        <v>BS002</v>
      </c>
      <c r="E1321" t="s">
        <v>35</v>
      </c>
      <c r="F1321">
        <v>1318</v>
      </c>
      <c r="G1321" t="str">
        <f>_xlfn.XLOOKUP(Table1[[#This Row],[Department]],Table6[Department],Table6[Id_Departement])</f>
        <v>D001</v>
      </c>
      <c r="H1321" t="s">
        <v>37</v>
      </c>
      <c r="I1321">
        <v>10</v>
      </c>
      <c r="J1321" t="str">
        <f>_xlfn.XLOOKUP(Table1[[#This Row],[Education]],Table8[Education],Table8[Id_Education])</f>
        <v>E004</v>
      </c>
      <c r="K1321">
        <v>4</v>
      </c>
      <c r="L1321" t="str">
        <f>_xlfn.XLOOKUP(Table1[[#This Row],[EducationField]],Table7[EducationField],Table7[Id_EducationField])</f>
        <v>EF004</v>
      </c>
      <c r="M1321" t="s">
        <v>43</v>
      </c>
      <c r="N1321" t="str">
        <f>_xlfn.XLOOKUP(Table1[[#This Row],[EmployeeNumber]],Table4[EmployeeNumber],Table4[Id_Employee])</f>
        <v>EMP01320</v>
      </c>
      <c r="O1321">
        <v>1853</v>
      </c>
      <c r="P1321" t="str">
        <f>_xlfn.XLOOKUP(Table1[[#This Row],[EnvironmentSatisfaction]],Table9[EnvironmentSatisfaction],Table9[Id_EnviromentSatisfaction])</f>
        <v>ES004</v>
      </c>
      <c r="Q1321">
        <v>4</v>
      </c>
      <c r="R1321" t="str">
        <f>_xlfn.XLOOKUP(Table1[[#This Row],[EnvironmentSatisfaction]],Table9[EnvironmentSatisfaction],Table9[Deskripsi])</f>
        <v>Very High</v>
      </c>
      <c r="S1321" t="str">
        <f>_xlfn.XLOOKUP(Table1[[#This Row],[Gender]],Table10[Gender],Table10[Id_Gender])</f>
        <v>G002</v>
      </c>
      <c r="T1321" t="s">
        <v>46</v>
      </c>
      <c r="U1321">
        <v>79</v>
      </c>
      <c r="V1321" t="str">
        <f>_xlfn.XLOOKUP(Table1[[#This Row],[JobInvolvement]],Table11[JobInvolvement],Table11[Id_JobInvolvement])</f>
        <v>JI003</v>
      </c>
      <c r="W1321">
        <v>3</v>
      </c>
      <c r="X1321" t="str">
        <f>_xlfn.XLOOKUP(Table1[[#This Row],[JobLevel]],Table12[JobLevel],Table12[Id_JobLevel])</f>
        <v>JL002</v>
      </c>
      <c r="Y1321">
        <v>2</v>
      </c>
      <c r="Z1321" t="str">
        <f>_xlfn.XLOOKUP(Table1[[#This Row],[JobRole]],Table13[JobRole],Table13[Id_JobRole])</f>
        <v>JR001</v>
      </c>
      <c r="AA1321" t="s">
        <v>47</v>
      </c>
      <c r="AB1321" t="str">
        <f>_xlfn.XLOOKUP(Table1[[#This Row],[JobSatisfaction]],Table14[JobSatisfaction],Table14[Id_JobSatisfaction])</f>
        <v>JS004</v>
      </c>
      <c r="AC1321">
        <v>4</v>
      </c>
      <c r="AD1321" t="str">
        <f>_xlfn.XLOOKUP(Table1[[#This Row],[JobSatisfaction]],Table14[JobSatisfaction],Table14[Deskripsi])</f>
        <v>Very High</v>
      </c>
      <c r="AE1321" t="str">
        <f>_xlfn.XLOOKUP(Table1[[#This Row],[MaritalStatus]],Table15[MaritalStatus],Table15[Id_MaritalStatus])</f>
        <v>MS001</v>
      </c>
      <c r="AF1321" t="s">
        <v>55</v>
      </c>
      <c r="AG1321">
        <v>4648</v>
      </c>
      <c r="AH1321">
        <v>26075</v>
      </c>
      <c r="AI1321">
        <v>8</v>
      </c>
      <c r="AJ1321" t="str">
        <f>_xlfn.XLOOKUP(Table1[[#This Row],[OverTime]],Table16[OverTime],Table16[Id_OverTime])</f>
        <v>OT002</v>
      </c>
      <c r="AK1321" t="s">
        <v>33</v>
      </c>
      <c r="AL1321">
        <v>13</v>
      </c>
      <c r="AM1321" t="str">
        <f>_xlfn.XLOOKUP(Table1[[#This Row],[PerformanceRating]],Table17[PerformanceRating],Table17[Id_PerformanceRating])</f>
        <v>PR003</v>
      </c>
      <c r="AN1321">
        <v>3</v>
      </c>
      <c r="AO1321" t="str">
        <f>_xlfn.XLOOKUP(Table1[[#This Row],[PerformanceRating]],Table17[PerformanceRating],Table17[Deskripsi])</f>
        <v>Excellent</v>
      </c>
      <c r="AP1321" t="str">
        <f>_xlfn.XLOOKUP(Table1[[#This Row],[RelationshipSatisfaction]],Table18[RelationshipSatisfaction],Table18[Id_RelationshipSatisfaction])</f>
        <v>RS003</v>
      </c>
      <c r="AQ1321">
        <v>3</v>
      </c>
      <c r="AR1321" t="str">
        <f>_xlfn.XLOOKUP(Table1[[#This Row],[RelationshipSatisfaction]],Table18[RelationshipSatisfaction],Table18[Deskripsi])</f>
        <v>High</v>
      </c>
      <c r="AS1321" t="str">
        <f>_xlfn.XLOOKUP(Table1[[#This Row],[StockOptionLevel]],Table19[StockOptionLevel],Table19[Id_StockOptionLevel])</f>
        <v>SOL001</v>
      </c>
      <c r="AT1321">
        <v>0</v>
      </c>
      <c r="AU1321" t="str">
        <f>_xlfn.XLOOKUP(Table1[[#This Row],[StockOptionLevel]],Table19[StockOptionLevel],Table19[Deskripsi])</f>
        <v>Non-Eligible</v>
      </c>
      <c r="AV1321">
        <v>4</v>
      </c>
      <c r="AW1321">
        <v>2</v>
      </c>
      <c r="AX1321" t="str">
        <f>_xlfn.XLOOKUP(Table1[[#This Row],[WorkLifeBalance]],Table20[WorkLifeBalance],Table20[Id_WorkLifeBalance])</f>
        <v>WLB004</v>
      </c>
      <c r="AY1321">
        <v>4</v>
      </c>
      <c r="AZ1321" t="str">
        <f>_xlfn.XLOOKUP(Table1[[#This Row],[WorkLifeBalance]],Table20[WorkLifeBalance],Table20[Deskripsi])</f>
        <v>Best</v>
      </c>
      <c r="BA1321">
        <v>0</v>
      </c>
      <c r="BB1321">
        <v>0</v>
      </c>
      <c r="BC1321">
        <v>0</v>
      </c>
      <c r="BD1321">
        <v>0</v>
      </c>
    </row>
    <row r="1322" spans="1:56" x14ac:dyDescent="0.25">
      <c r="A1322">
        <v>42</v>
      </c>
      <c r="B1322" t="str">
        <f>_xlfn.XLOOKUP(Table1[[#This Row],[Attrition]],Table2[Attrition],Table2[Id_Attrition])</f>
        <v>A002</v>
      </c>
      <c r="C1322" t="s">
        <v>33</v>
      </c>
      <c r="D1322" t="str">
        <f>_xlfn.XLOOKUP(Table1[[#This Row],[BusinessTravel]],Table5[BusinessTravel],Table5[Id_BusinessTravel])</f>
        <v>BS003</v>
      </c>
      <c r="E1322" t="s">
        <v>36</v>
      </c>
      <c r="F1322">
        <v>355</v>
      </c>
      <c r="G1322" t="str">
        <f>_xlfn.XLOOKUP(Table1[[#This Row],[Department]],Table6[Department],Table6[Id_Departement])</f>
        <v>D002</v>
      </c>
      <c r="H1322" t="s">
        <v>38</v>
      </c>
      <c r="I1322">
        <v>10</v>
      </c>
      <c r="J1322" t="str">
        <f>_xlfn.XLOOKUP(Table1[[#This Row],[Education]],Table8[Education],Table8[Id_Education])</f>
        <v>E004</v>
      </c>
      <c r="K1322">
        <v>4</v>
      </c>
      <c r="L1322" t="str">
        <f>_xlfn.XLOOKUP(Table1[[#This Row],[EducationField]],Table7[EducationField],Table7[Id_EducationField])</f>
        <v>EF005</v>
      </c>
      <c r="M1322" t="s">
        <v>44</v>
      </c>
      <c r="N1322" t="str">
        <f>_xlfn.XLOOKUP(Table1[[#This Row],[EmployeeNumber]],Table4[EmployeeNumber],Table4[Id_Employee])</f>
        <v>EMP01321</v>
      </c>
      <c r="O1322">
        <v>1854</v>
      </c>
      <c r="P1322" t="str">
        <f>_xlfn.XLOOKUP(Table1[[#This Row],[EnvironmentSatisfaction]],Table9[EnvironmentSatisfaction],Table9[Id_EnviromentSatisfaction])</f>
        <v>ES003</v>
      </c>
      <c r="Q1322">
        <v>3</v>
      </c>
      <c r="R1322" t="str">
        <f>_xlfn.XLOOKUP(Table1[[#This Row],[EnvironmentSatisfaction]],Table9[EnvironmentSatisfaction],Table9[Deskripsi])</f>
        <v>High</v>
      </c>
      <c r="S1322" t="str">
        <f>_xlfn.XLOOKUP(Table1[[#This Row],[Gender]],Table10[Gender],Table10[Id_Gender])</f>
        <v>G002</v>
      </c>
      <c r="T1322" t="s">
        <v>46</v>
      </c>
      <c r="U1322">
        <v>38</v>
      </c>
      <c r="V1322" t="str">
        <f>_xlfn.XLOOKUP(Table1[[#This Row],[JobInvolvement]],Table11[JobInvolvement],Table11[Id_JobInvolvement])</f>
        <v>JI003</v>
      </c>
      <c r="W1322">
        <v>3</v>
      </c>
      <c r="X1322" t="str">
        <f>_xlfn.XLOOKUP(Table1[[#This Row],[JobLevel]],Table12[JobLevel],Table12[Id_JobLevel])</f>
        <v>JL001</v>
      </c>
      <c r="Y1322">
        <v>1</v>
      </c>
      <c r="Z1322" t="str">
        <f>_xlfn.XLOOKUP(Table1[[#This Row],[JobRole]],Table13[JobRole],Table13[Id_JobRole])</f>
        <v>JR002</v>
      </c>
      <c r="AA1322" t="s">
        <v>48</v>
      </c>
      <c r="AB1322" t="str">
        <f>_xlfn.XLOOKUP(Table1[[#This Row],[JobSatisfaction]],Table14[JobSatisfaction],Table14[Id_JobSatisfaction])</f>
        <v>JS003</v>
      </c>
      <c r="AC1322">
        <v>3</v>
      </c>
      <c r="AD1322" t="str">
        <f>_xlfn.XLOOKUP(Table1[[#This Row],[JobSatisfaction]],Table14[JobSatisfaction],Table14[Deskripsi])</f>
        <v>High</v>
      </c>
      <c r="AE1322" t="str">
        <f>_xlfn.XLOOKUP(Table1[[#This Row],[MaritalStatus]],Table15[MaritalStatus],Table15[Id_MaritalStatus])</f>
        <v>MS002</v>
      </c>
      <c r="AF1322" t="s">
        <v>56</v>
      </c>
      <c r="AG1322">
        <v>2936</v>
      </c>
      <c r="AH1322">
        <v>6161</v>
      </c>
      <c r="AI1322">
        <v>3</v>
      </c>
      <c r="AJ1322" t="str">
        <f>_xlfn.XLOOKUP(Table1[[#This Row],[OverTime]],Table16[OverTime],Table16[Id_OverTime])</f>
        <v>OT002</v>
      </c>
      <c r="AK1322" t="s">
        <v>33</v>
      </c>
      <c r="AL1322">
        <v>22</v>
      </c>
      <c r="AM1322" t="str">
        <f>_xlfn.XLOOKUP(Table1[[#This Row],[PerformanceRating]],Table17[PerformanceRating],Table17[Id_PerformanceRating])</f>
        <v>PR004</v>
      </c>
      <c r="AN1322">
        <v>4</v>
      </c>
      <c r="AO1322" t="str">
        <f>_xlfn.XLOOKUP(Table1[[#This Row],[PerformanceRating]],Table17[PerformanceRating],Table17[Deskripsi])</f>
        <v>Outstanding</v>
      </c>
      <c r="AP1322" t="str">
        <f>_xlfn.XLOOKUP(Table1[[#This Row],[RelationshipSatisfaction]],Table18[RelationshipSatisfaction],Table18[Id_RelationshipSatisfaction])</f>
        <v>RS002</v>
      </c>
      <c r="AQ1322">
        <v>2</v>
      </c>
      <c r="AR1322" t="str">
        <f>_xlfn.XLOOKUP(Table1[[#This Row],[RelationshipSatisfaction]],Table18[RelationshipSatisfaction],Table18[Deskripsi])</f>
        <v>Medium</v>
      </c>
      <c r="AS1322" t="str">
        <f>_xlfn.XLOOKUP(Table1[[#This Row],[StockOptionLevel]],Table19[StockOptionLevel],Table19[Id_StockOptionLevel])</f>
        <v>SOL003</v>
      </c>
      <c r="AT1322">
        <v>2</v>
      </c>
      <c r="AU1322" t="str">
        <f>_xlfn.XLOOKUP(Table1[[#This Row],[StockOptionLevel]],Table19[StockOptionLevel],Table19[Deskripsi])</f>
        <v>Intermediate</v>
      </c>
      <c r="AV1322">
        <v>10</v>
      </c>
      <c r="AW1322">
        <v>1</v>
      </c>
      <c r="AX1322" t="str">
        <f>_xlfn.XLOOKUP(Table1[[#This Row],[WorkLifeBalance]],Table20[WorkLifeBalance],Table20[Id_WorkLifeBalance])</f>
        <v>WLB003</v>
      </c>
      <c r="AY1322">
        <v>2</v>
      </c>
      <c r="AZ1322" t="str">
        <f>_xlfn.XLOOKUP(Table1[[#This Row],[WorkLifeBalance]],Table20[WorkLifeBalance],Table20[Deskripsi])</f>
        <v>Better</v>
      </c>
      <c r="BA1322">
        <v>6</v>
      </c>
      <c r="BB1322">
        <v>3</v>
      </c>
      <c r="BC1322">
        <v>3</v>
      </c>
      <c r="BD1322">
        <v>3</v>
      </c>
    </row>
    <row r="1323" spans="1:56" x14ac:dyDescent="0.25">
      <c r="A1323">
        <v>47</v>
      </c>
      <c r="B1323" t="str">
        <f>_xlfn.XLOOKUP(Table1[[#This Row],[Attrition]],Table2[Attrition],Table2[Id_Attrition])</f>
        <v>A002</v>
      </c>
      <c r="C1323" t="s">
        <v>33</v>
      </c>
      <c r="D1323" t="str">
        <f>_xlfn.XLOOKUP(Table1[[#This Row],[BusinessTravel]],Table5[BusinessTravel],Table5[Id_BusinessTravel])</f>
        <v>BS001</v>
      </c>
      <c r="E1323" t="s">
        <v>34</v>
      </c>
      <c r="F1323">
        <v>207</v>
      </c>
      <c r="G1323" t="str">
        <f>_xlfn.XLOOKUP(Table1[[#This Row],[Department]],Table6[Department],Table6[Id_Departement])</f>
        <v>D002</v>
      </c>
      <c r="H1323" t="s">
        <v>38</v>
      </c>
      <c r="I1323">
        <v>9</v>
      </c>
      <c r="J1323" t="str">
        <f>_xlfn.XLOOKUP(Table1[[#This Row],[Education]],Table8[Education],Table8[Id_Education])</f>
        <v>E004</v>
      </c>
      <c r="K1323">
        <v>4</v>
      </c>
      <c r="L1323" t="str">
        <f>_xlfn.XLOOKUP(Table1[[#This Row],[EducationField]],Table7[EducationField],Table7[Id_EducationField])</f>
        <v>EF001</v>
      </c>
      <c r="M1323" t="s">
        <v>40</v>
      </c>
      <c r="N1323" t="str">
        <f>_xlfn.XLOOKUP(Table1[[#This Row],[EmployeeNumber]],Table4[EmployeeNumber],Table4[Id_Employee])</f>
        <v>EMP01322</v>
      </c>
      <c r="O1323">
        <v>1856</v>
      </c>
      <c r="P1323" t="str">
        <f>_xlfn.XLOOKUP(Table1[[#This Row],[EnvironmentSatisfaction]],Table9[EnvironmentSatisfaction],Table9[Id_EnviromentSatisfaction])</f>
        <v>ES002</v>
      </c>
      <c r="Q1323">
        <v>2</v>
      </c>
      <c r="R1323" t="str">
        <f>_xlfn.XLOOKUP(Table1[[#This Row],[EnvironmentSatisfaction]],Table9[EnvironmentSatisfaction],Table9[Deskripsi])</f>
        <v>Medium</v>
      </c>
      <c r="S1323" t="str">
        <f>_xlfn.XLOOKUP(Table1[[#This Row],[Gender]],Table10[Gender],Table10[Id_Gender])</f>
        <v>G001</v>
      </c>
      <c r="T1323" t="s">
        <v>45</v>
      </c>
      <c r="U1323">
        <v>64</v>
      </c>
      <c r="V1323" t="str">
        <f>_xlfn.XLOOKUP(Table1[[#This Row],[JobInvolvement]],Table11[JobInvolvement],Table11[Id_JobInvolvement])</f>
        <v>JI003</v>
      </c>
      <c r="W1323">
        <v>3</v>
      </c>
      <c r="X1323" t="str">
        <f>_xlfn.XLOOKUP(Table1[[#This Row],[JobLevel]],Table12[JobLevel],Table12[Id_JobLevel])</f>
        <v>JL001</v>
      </c>
      <c r="Y1323">
        <v>1</v>
      </c>
      <c r="Z1323" t="str">
        <f>_xlfn.XLOOKUP(Table1[[#This Row],[JobRole]],Table13[JobRole],Table13[Id_JobRole])</f>
        <v>JR003</v>
      </c>
      <c r="AA1323" t="s">
        <v>49</v>
      </c>
      <c r="AB1323" t="str">
        <f>_xlfn.XLOOKUP(Table1[[#This Row],[JobSatisfaction]],Table14[JobSatisfaction],Table14[Id_JobSatisfaction])</f>
        <v>JS003</v>
      </c>
      <c r="AC1323">
        <v>3</v>
      </c>
      <c r="AD1323" t="str">
        <f>_xlfn.XLOOKUP(Table1[[#This Row],[JobSatisfaction]],Table14[JobSatisfaction],Table14[Deskripsi])</f>
        <v>High</v>
      </c>
      <c r="AE1323" t="str">
        <f>_xlfn.XLOOKUP(Table1[[#This Row],[MaritalStatus]],Table15[MaritalStatus],Table15[Id_MaritalStatus])</f>
        <v>MS001</v>
      </c>
      <c r="AF1323" t="s">
        <v>55</v>
      </c>
      <c r="AG1323">
        <v>2105</v>
      </c>
      <c r="AH1323">
        <v>5411</v>
      </c>
      <c r="AI1323">
        <v>4</v>
      </c>
      <c r="AJ1323" t="str">
        <f>_xlfn.XLOOKUP(Table1[[#This Row],[OverTime]],Table16[OverTime],Table16[Id_OverTime])</f>
        <v>OT002</v>
      </c>
      <c r="AK1323" t="s">
        <v>33</v>
      </c>
      <c r="AL1323">
        <v>12</v>
      </c>
      <c r="AM1323" t="str">
        <f>_xlfn.XLOOKUP(Table1[[#This Row],[PerformanceRating]],Table17[PerformanceRating],Table17[Id_PerformanceRating])</f>
        <v>PR003</v>
      </c>
      <c r="AN1323">
        <v>3</v>
      </c>
      <c r="AO1323" t="str">
        <f>_xlfn.XLOOKUP(Table1[[#This Row],[PerformanceRating]],Table17[PerformanceRating],Table17[Deskripsi])</f>
        <v>Excellent</v>
      </c>
      <c r="AP1323" t="str">
        <f>_xlfn.XLOOKUP(Table1[[#This Row],[RelationshipSatisfaction]],Table18[RelationshipSatisfaction],Table18[Id_RelationshipSatisfaction])</f>
        <v>RS003</v>
      </c>
      <c r="AQ1323">
        <v>3</v>
      </c>
      <c r="AR1323" t="str">
        <f>_xlfn.XLOOKUP(Table1[[#This Row],[RelationshipSatisfaction]],Table18[RelationshipSatisfaction],Table18[Deskripsi])</f>
        <v>High</v>
      </c>
      <c r="AS1323" t="str">
        <f>_xlfn.XLOOKUP(Table1[[#This Row],[StockOptionLevel]],Table19[StockOptionLevel],Table19[Id_StockOptionLevel])</f>
        <v>SOL001</v>
      </c>
      <c r="AT1323">
        <v>0</v>
      </c>
      <c r="AU1323" t="str">
        <f>_xlfn.XLOOKUP(Table1[[#This Row],[StockOptionLevel]],Table19[StockOptionLevel],Table19[Deskripsi])</f>
        <v>Non-Eligible</v>
      </c>
      <c r="AV1323">
        <v>7</v>
      </c>
      <c r="AW1323">
        <v>2</v>
      </c>
      <c r="AX1323" t="str">
        <f>_xlfn.XLOOKUP(Table1[[#This Row],[WorkLifeBalance]],Table20[WorkLifeBalance],Table20[Id_WorkLifeBalance])</f>
        <v>WLB002</v>
      </c>
      <c r="AY1323">
        <v>3</v>
      </c>
      <c r="AZ1323" t="str">
        <f>_xlfn.XLOOKUP(Table1[[#This Row],[WorkLifeBalance]],Table20[WorkLifeBalance],Table20[Deskripsi])</f>
        <v>Good</v>
      </c>
      <c r="BA1323">
        <v>2</v>
      </c>
      <c r="BB1323">
        <v>2</v>
      </c>
      <c r="BC1323">
        <v>2</v>
      </c>
      <c r="BD1323">
        <v>0</v>
      </c>
    </row>
    <row r="1324" spans="1:56" x14ac:dyDescent="0.25">
      <c r="A1324">
        <v>46</v>
      </c>
      <c r="B1324" t="str">
        <f>_xlfn.XLOOKUP(Table1[[#This Row],[Attrition]],Table2[Attrition],Table2[Id_Attrition])</f>
        <v>A002</v>
      </c>
      <c r="C1324" t="s">
        <v>33</v>
      </c>
      <c r="D1324" t="str">
        <f>_xlfn.XLOOKUP(Table1[[#This Row],[BusinessTravel]],Table5[BusinessTravel],Table5[Id_BusinessTravel])</f>
        <v>BS001</v>
      </c>
      <c r="E1324" t="s">
        <v>34</v>
      </c>
      <c r="F1324">
        <v>706</v>
      </c>
      <c r="G1324" t="str">
        <f>_xlfn.XLOOKUP(Table1[[#This Row],[Department]],Table6[Department],Table6[Id_Departement])</f>
        <v>D002</v>
      </c>
      <c r="H1324" t="s">
        <v>38</v>
      </c>
      <c r="I1324">
        <v>2</v>
      </c>
      <c r="J1324" t="str">
        <f>_xlfn.XLOOKUP(Table1[[#This Row],[Education]],Table8[Education],Table8[Id_Education])</f>
        <v>E002</v>
      </c>
      <c r="K1324">
        <v>2</v>
      </c>
      <c r="L1324" t="str">
        <f>_xlfn.XLOOKUP(Table1[[#This Row],[EducationField]],Table7[EducationField],Table7[Id_EducationField])</f>
        <v>EF001</v>
      </c>
      <c r="M1324" t="s">
        <v>40</v>
      </c>
      <c r="N1324" t="str">
        <f>_xlfn.XLOOKUP(Table1[[#This Row],[EmployeeNumber]],Table4[EmployeeNumber],Table4[Id_Employee])</f>
        <v>EMP01323</v>
      </c>
      <c r="O1324">
        <v>1857</v>
      </c>
      <c r="P1324" t="str">
        <f>_xlfn.XLOOKUP(Table1[[#This Row],[EnvironmentSatisfaction]],Table9[EnvironmentSatisfaction],Table9[Id_EnviromentSatisfaction])</f>
        <v>ES004</v>
      </c>
      <c r="Q1324">
        <v>4</v>
      </c>
      <c r="R1324" t="str">
        <f>_xlfn.XLOOKUP(Table1[[#This Row],[EnvironmentSatisfaction]],Table9[EnvironmentSatisfaction],Table9[Deskripsi])</f>
        <v>Very High</v>
      </c>
      <c r="S1324" t="str">
        <f>_xlfn.XLOOKUP(Table1[[#This Row],[Gender]],Table10[Gender],Table10[Id_Gender])</f>
        <v>G002</v>
      </c>
      <c r="T1324" t="s">
        <v>46</v>
      </c>
      <c r="U1324">
        <v>82</v>
      </c>
      <c r="V1324" t="str">
        <f>_xlfn.XLOOKUP(Table1[[#This Row],[JobInvolvement]],Table11[JobInvolvement],Table11[Id_JobInvolvement])</f>
        <v>JI003</v>
      </c>
      <c r="W1324">
        <v>3</v>
      </c>
      <c r="X1324" t="str">
        <f>_xlfn.XLOOKUP(Table1[[#This Row],[JobLevel]],Table12[JobLevel],Table12[Id_JobLevel])</f>
        <v>JL003</v>
      </c>
      <c r="Y1324">
        <v>3</v>
      </c>
      <c r="Z1324" t="str">
        <f>_xlfn.XLOOKUP(Table1[[#This Row],[JobRole]],Table13[JobRole],Table13[Id_JobRole])</f>
        <v>JR004</v>
      </c>
      <c r="AA1324" t="s">
        <v>50</v>
      </c>
      <c r="AB1324" t="str">
        <f>_xlfn.XLOOKUP(Table1[[#This Row],[JobSatisfaction]],Table14[JobSatisfaction],Table14[Id_JobSatisfaction])</f>
        <v>JS004</v>
      </c>
      <c r="AC1324">
        <v>4</v>
      </c>
      <c r="AD1324" t="str">
        <f>_xlfn.XLOOKUP(Table1[[#This Row],[JobSatisfaction]],Table14[JobSatisfaction],Table14[Deskripsi])</f>
        <v>Very High</v>
      </c>
      <c r="AE1324" t="str">
        <f>_xlfn.XLOOKUP(Table1[[#This Row],[MaritalStatus]],Table15[MaritalStatus],Table15[Id_MaritalStatus])</f>
        <v>MS003</v>
      </c>
      <c r="AF1324" t="s">
        <v>57</v>
      </c>
      <c r="AG1324">
        <v>8578</v>
      </c>
      <c r="AH1324">
        <v>19989</v>
      </c>
      <c r="AI1324">
        <v>3</v>
      </c>
      <c r="AJ1324" t="str">
        <f>_xlfn.XLOOKUP(Table1[[#This Row],[OverTime]],Table16[OverTime],Table16[Id_OverTime])</f>
        <v>OT002</v>
      </c>
      <c r="AK1324" t="s">
        <v>33</v>
      </c>
      <c r="AL1324">
        <v>14</v>
      </c>
      <c r="AM1324" t="str">
        <f>_xlfn.XLOOKUP(Table1[[#This Row],[PerformanceRating]],Table17[PerformanceRating],Table17[Id_PerformanceRating])</f>
        <v>PR003</v>
      </c>
      <c r="AN1324">
        <v>3</v>
      </c>
      <c r="AO1324" t="str">
        <f>_xlfn.XLOOKUP(Table1[[#This Row],[PerformanceRating]],Table17[PerformanceRating],Table17[Deskripsi])</f>
        <v>Excellent</v>
      </c>
      <c r="AP1324" t="str">
        <f>_xlfn.XLOOKUP(Table1[[#This Row],[RelationshipSatisfaction]],Table18[RelationshipSatisfaction],Table18[Id_RelationshipSatisfaction])</f>
        <v>RS003</v>
      </c>
      <c r="AQ1324">
        <v>3</v>
      </c>
      <c r="AR1324" t="str">
        <f>_xlfn.XLOOKUP(Table1[[#This Row],[RelationshipSatisfaction]],Table18[RelationshipSatisfaction],Table18[Deskripsi])</f>
        <v>High</v>
      </c>
      <c r="AS1324" t="str">
        <f>_xlfn.XLOOKUP(Table1[[#This Row],[StockOptionLevel]],Table19[StockOptionLevel],Table19[Id_StockOptionLevel])</f>
        <v>SOL002</v>
      </c>
      <c r="AT1324">
        <v>1</v>
      </c>
      <c r="AU1324" t="str">
        <f>_xlfn.XLOOKUP(Table1[[#This Row],[StockOptionLevel]],Table19[StockOptionLevel],Table19[Deskripsi])</f>
        <v>Standard</v>
      </c>
      <c r="AV1324">
        <v>12</v>
      </c>
      <c r="AW1324">
        <v>4</v>
      </c>
      <c r="AX1324" t="str">
        <f>_xlfn.XLOOKUP(Table1[[#This Row],[WorkLifeBalance]],Table20[WorkLifeBalance],Table20[Id_WorkLifeBalance])</f>
        <v>WLB003</v>
      </c>
      <c r="AY1324">
        <v>2</v>
      </c>
      <c r="AZ1324" t="str">
        <f>_xlfn.XLOOKUP(Table1[[#This Row],[WorkLifeBalance]],Table20[WorkLifeBalance],Table20[Deskripsi])</f>
        <v>Better</v>
      </c>
      <c r="BA1324">
        <v>9</v>
      </c>
      <c r="BB1324">
        <v>8</v>
      </c>
      <c r="BC1324">
        <v>4</v>
      </c>
      <c r="BD1324">
        <v>7</v>
      </c>
    </row>
    <row r="1325" spans="1:56" x14ac:dyDescent="0.25">
      <c r="A1325">
        <v>28</v>
      </c>
      <c r="B1325" t="str">
        <f>_xlfn.XLOOKUP(Table1[[#This Row],[Attrition]],Table2[Attrition],Table2[Id_Attrition])</f>
        <v>A002</v>
      </c>
      <c r="C1325" t="s">
        <v>33</v>
      </c>
      <c r="D1325" t="str">
        <f>_xlfn.XLOOKUP(Table1[[#This Row],[BusinessTravel]],Table5[BusinessTravel],Table5[Id_BusinessTravel])</f>
        <v>BS003</v>
      </c>
      <c r="E1325" t="s">
        <v>36</v>
      </c>
      <c r="F1325">
        <v>280</v>
      </c>
      <c r="G1325" t="str">
        <f>_xlfn.XLOOKUP(Table1[[#This Row],[Department]],Table6[Department],Table6[Id_Departement])</f>
        <v>D003</v>
      </c>
      <c r="H1325" t="s">
        <v>39</v>
      </c>
      <c r="I1325">
        <v>1</v>
      </c>
      <c r="J1325" t="str">
        <f>_xlfn.XLOOKUP(Table1[[#This Row],[Education]],Table8[Education],Table8[Id_Education])</f>
        <v>E002</v>
      </c>
      <c r="K1325">
        <v>2</v>
      </c>
      <c r="L1325" t="str">
        <f>_xlfn.XLOOKUP(Table1[[#This Row],[EducationField]],Table7[EducationField],Table7[Id_EducationField])</f>
        <v>EF001</v>
      </c>
      <c r="M1325" t="s">
        <v>40</v>
      </c>
      <c r="N1325" t="str">
        <f>_xlfn.XLOOKUP(Table1[[#This Row],[EmployeeNumber]],Table4[EmployeeNumber],Table4[Id_Employee])</f>
        <v>EMP01324</v>
      </c>
      <c r="O1325">
        <v>1858</v>
      </c>
      <c r="P1325" t="str">
        <f>_xlfn.XLOOKUP(Table1[[#This Row],[EnvironmentSatisfaction]],Table9[EnvironmentSatisfaction],Table9[Id_EnviromentSatisfaction])</f>
        <v>ES003</v>
      </c>
      <c r="Q1325">
        <v>3</v>
      </c>
      <c r="R1325" t="str">
        <f>_xlfn.XLOOKUP(Table1[[#This Row],[EnvironmentSatisfaction]],Table9[EnvironmentSatisfaction],Table9[Deskripsi])</f>
        <v>High</v>
      </c>
      <c r="S1325" t="str">
        <f>_xlfn.XLOOKUP(Table1[[#This Row],[Gender]],Table10[Gender],Table10[Id_Gender])</f>
        <v>G002</v>
      </c>
      <c r="T1325" t="s">
        <v>46</v>
      </c>
      <c r="U1325">
        <v>43</v>
      </c>
      <c r="V1325" t="str">
        <f>_xlfn.XLOOKUP(Table1[[#This Row],[JobInvolvement]],Table11[JobInvolvement],Table11[Id_JobInvolvement])</f>
        <v>JI003</v>
      </c>
      <c r="W1325">
        <v>3</v>
      </c>
      <c r="X1325" t="str">
        <f>_xlfn.XLOOKUP(Table1[[#This Row],[JobLevel]],Table12[JobLevel],Table12[Id_JobLevel])</f>
        <v>JL001</v>
      </c>
      <c r="Y1325">
        <v>1</v>
      </c>
      <c r="Z1325" t="str">
        <f>_xlfn.XLOOKUP(Table1[[#This Row],[JobRole]],Table13[JobRole],Table13[Id_JobRole])</f>
        <v>JR009</v>
      </c>
      <c r="AA1325" t="s">
        <v>39</v>
      </c>
      <c r="AB1325" t="str">
        <f>_xlfn.XLOOKUP(Table1[[#This Row],[JobSatisfaction]],Table14[JobSatisfaction],Table14[Id_JobSatisfaction])</f>
        <v>JS004</v>
      </c>
      <c r="AC1325">
        <v>4</v>
      </c>
      <c r="AD1325" t="str">
        <f>_xlfn.XLOOKUP(Table1[[#This Row],[JobSatisfaction]],Table14[JobSatisfaction],Table14[Deskripsi])</f>
        <v>Very High</v>
      </c>
      <c r="AE1325" t="str">
        <f>_xlfn.XLOOKUP(Table1[[#This Row],[MaritalStatus]],Table15[MaritalStatus],Table15[Id_MaritalStatus])</f>
        <v>MS003</v>
      </c>
      <c r="AF1325" t="s">
        <v>57</v>
      </c>
      <c r="AG1325">
        <v>2706</v>
      </c>
      <c r="AH1325">
        <v>10494</v>
      </c>
      <c r="AI1325">
        <v>1</v>
      </c>
      <c r="AJ1325" t="str">
        <f>_xlfn.XLOOKUP(Table1[[#This Row],[OverTime]],Table16[OverTime],Table16[Id_OverTime])</f>
        <v>OT002</v>
      </c>
      <c r="AK1325" t="s">
        <v>33</v>
      </c>
      <c r="AL1325">
        <v>15</v>
      </c>
      <c r="AM1325" t="str">
        <f>_xlfn.XLOOKUP(Table1[[#This Row],[PerformanceRating]],Table17[PerformanceRating],Table17[Id_PerformanceRating])</f>
        <v>PR003</v>
      </c>
      <c r="AN1325">
        <v>3</v>
      </c>
      <c r="AO1325" t="str">
        <f>_xlfn.XLOOKUP(Table1[[#This Row],[PerformanceRating]],Table17[PerformanceRating],Table17[Deskripsi])</f>
        <v>Excellent</v>
      </c>
      <c r="AP1325" t="str">
        <f>_xlfn.XLOOKUP(Table1[[#This Row],[RelationshipSatisfaction]],Table18[RelationshipSatisfaction],Table18[Id_RelationshipSatisfaction])</f>
        <v>RS002</v>
      </c>
      <c r="AQ1325">
        <v>2</v>
      </c>
      <c r="AR1325" t="str">
        <f>_xlfn.XLOOKUP(Table1[[#This Row],[RelationshipSatisfaction]],Table18[RelationshipSatisfaction],Table18[Deskripsi])</f>
        <v>Medium</v>
      </c>
      <c r="AS1325" t="str">
        <f>_xlfn.XLOOKUP(Table1[[#This Row],[StockOptionLevel]],Table19[StockOptionLevel],Table19[Id_StockOptionLevel])</f>
        <v>SOL002</v>
      </c>
      <c r="AT1325">
        <v>1</v>
      </c>
      <c r="AU1325" t="str">
        <f>_xlfn.XLOOKUP(Table1[[#This Row],[StockOptionLevel]],Table19[StockOptionLevel],Table19[Deskripsi])</f>
        <v>Standard</v>
      </c>
      <c r="AV1325">
        <v>3</v>
      </c>
      <c r="AW1325">
        <v>2</v>
      </c>
      <c r="AX1325" t="str">
        <f>_xlfn.XLOOKUP(Table1[[#This Row],[WorkLifeBalance]],Table20[WorkLifeBalance],Table20[Id_WorkLifeBalance])</f>
        <v>WLB002</v>
      </c>
      <c r="AY1325">
        <v>3</v>
      </c>
      <c r="AZ1325" t="str">
        <f>_xlfn.XLOOKUP(Table1[[#This Row],[WorkLifeBalance]],Table20[WorkLifeBalance],Table20[Deskripsi])</f>
        <v>Good</v>
      </c>
      <c r="BA1325">
        <v>3</v>
      </c>
      <c r="BB1325">
        <v>2</v>
      </c>
      <c r="BC1325">
        <v>2</v>
      </c>
      <c r="BD1325">
        <v>2</v>
      </c>
    </row>
    <row r="1326" spans="1:56" x14ac:dyDescent="0.25">
      <c r="A1326">
        <v>29</v>
      </c>
      <c r="B1326" t="str">
        <f>_xlfn.XLOOKUP(Table1[[#This Row],[Attrition]],Table2[Attrition],Table2[Id_Attrition])</f>
        <v>A002</v>
      </c>
      <c r="C1326" t="s">
        <v>33</v>
      </c>
      <c r="D1326" t="str">
        <f>_xlfn.XLOOKUP(Table1[[#This Row],[BusinessTravel]],Table5[BusinessTravel],Table5[Id_BusinessTravel])</f>
        <v>BS001</v>
      </c>
      <c r="E1326" t="s">
        <v>34</v>
      </c>
      <c r="F1326">
        <v>726</v>
      </c>
      <c r="G1326" t="str">
        <f>_xlfn.XLOOKUP(Table1[[#This Row],[Department]],Table6[Department],Table6[Id_Departement])</f>
        <v>D002</v>
      </c>
      <c r="H1326" t="s">
        <v>38</v>
      </c>
      <c r="I1326">
        <v>29</v>
      </c>
      <c r="J1326" t="str">
        <f>_xlfn.XLOOKUP(Table1[[#This Row],[Education]],Table8[Education],Table8[Id_Education])</f>
        <v>E001</v>
      </c>
      <c r="K1326">
        <v>1</v>
      </c>
      <c r="L1326" t="str">
        <f>_xlfn.XLOOKUP(Table1[[#This Row],[EducationField]],Table7[EducationField],Table7[Id_EducationField])</f>
        <v>EF001</v>
      </c>
      <c r="M1326" t="s">
        <v>40</v>
      </c>
      <c r="N1326" t="str">
        <f>_xlfn.XLOOKUP(Table1[[#This Row],[EmployeeNumber]],Table4[EmployeeNumber],Table4[Id_Employee])</f>
        <v>EMP01325</v>
      </c>
      <c r="O1326">
        <v>1859</v>
      </c>
      <c r="P1326" t="str">
        <f>_xlfn.XLOOKUP(Table1[[#This Row],[EnvironmentSatisfaction]],Table9[EnvironmentSatisfaction],Table9[Id_EnviromentSatisfaction])</f>
        <v>ES004</v>
      </c>
      <c r="Q1326">
        <v>4</v>
      </c>
      <c r="R1326" t="str">
        <f>_xlfn.XLOOKUP(Table1[[#This Row],[EnvironmentSatisfaction]],Table9[EnvironmentSatisfaction],Table9[Deskripsi])</f>
        <v>Very High</v>
      </c>
      <c r="S1326" t="str">
        <f>_xlfn.XLOOKUP(Table1[[#This Row],[Gender]],Table10[Gender],Table10[Id_Gender])</f>
        <v>G002</v>
      </c>
      <c r="T1326" t="s">
        <v>46</v>
      </c>
      <c r="U1326">
        <v>93</v>
      </c>
      <c r="V1326" t="str">
        <f>_xlfn.XLOOKUP(Table1[[#This Row],[JobInvolvement]],Table11[JobInvolvement],Table11[Id_JobInvolvement])</f>
        <v>JI001</v>
      </c>
      <c r="W1326">
        <v>1</v>
      </c>
      <c r="X1326" t="str">
        <f>_xlfn.XLOOKUP(Table1[[#This Row],[JobLevel]],Table12[JobLevel],Table12[Id_JobLevel])</f>
        <v>JL002</v>
      </c>
      <c r="Y1326">
        <v>2</v>
      </c>
      <c r="Z1326" t="str">
        <f>_xlfn.XLOOKUP(Table1[[#This Row],[JobRole]],Table13[JobRole],Table13[Id_JobRole])</f>
        <v>JR005</v>
      </c>
      <c r="AA1326" t="s">
        <v>51</v>
      </c>
      <c r="AB1326" t="str">
        <f>_xlfn.XLOOKUP(Table1[[#This Row],[JobSatisfaction]],Table14[JobSatisfaction],Table14[Id_JobSatisfaction])</f>
        <v>JS003</v>
      </c>
      <c r="AC1326">
        <v>3</v>
      </c>
      <c r="AD1326" t="str">
        <f>_xlfn.XLOOKUP(Table1[[#This Row],[JobSatisfaction]],Table14[JobSatisfaction],Table14[Deskripsi])</f>
        <v>High</v>
      </c>
      <c r="AE1326" t="str">
        <f>_xlfn.XLOOKUP(Table1[[#This Row],[MaritalStatus]],Table15[MaritalStatus],Table15[Id_MaritalStatus])</f>
        <v>MS003</v>
      </c>
      <c r="AF1326" t="s">
        <v>57</v>
      </c>
      <c r="AG1326">
        <v>6384</v>
      </c>
      <c r="AH1326">
        <v>21143</v>
      </c>
      <c r="AI1326">
        <v>8</v>
      </c>
      <c r="AJ1326" t="str">
        <f>_xlfn.XLOOKUP(Table1[[#This Row],[OverTime]],Table16[OverTime],Table16[Id_OverTime])</f>
        <v>OT002</v>
      </c>
      <c r="AK1326" t="s">
        <v>33</v>
      </c>
      <c r="AL1326">
        <v>17</v>
      </c>
      <c r="AM1326" t="str">
        <f>_xlfn.XLOOKUP(Table1[[#This Row],[PerformanceRating]],Table17[PerformanceRating],Table17[Id_PerformanceRating])</f>
        <v>PR003</v>
      </c>
      <c r="AN1326">
        <v>3</v>
      </c>
      <c r="AO1326" t="str">
        <f>_xlfn.XLOOKUP(Table1[[#This Row],[PerformanceRating]],Table17[PerformanceRating],Table17[Deskripsi])</f>
        <v>Excellent</v>
      </c>
      <c r="AP1326" t="str">
        <f>_xlfn.XLOOKUP(Table1[[#This Row],[RelationshipSatisfaction]],Table18[RelationshipSatisfaction],Table18[Id_RelationshipSatisfaction])</f>
        <v>RS004</v>
      </c>
      <c r="AQ1326">
        <v>4</v>
      </c>
      <c r="AR1326" t="str">
        <f>_xlfn.XLOOKUP(Table1[[#This Row],[RelationshipSatisfaction]],Table18[RelationshipSatisfaction],Table18[Deskripsi])</f>
        <v>Very High</v>
      </c>
      <c r="AS1326" t="str">
        <f>_xlfn.XLOOKUP(Table1[[#This Row],[StockOptionLevel]],Table19[StockOptionLevel],Table19[Id_StockOptionLevel])</f>
        <v>SOL003</v>
      </c>
      <c r="AT1326">
        <v>2</v>
      </c>
      <c r="AU1326" t="str">
        <f>_xlfn.XLOOKUP(Table1[[#This Row],[StockOptionLevel]],Table19[StockOptionLevel],Table19[Deskripsi])</f>
        <v>Intermediate</v>
      </c>
      <c r="AV1326">
        <v>11</v>
      </c>
      <c r="AW1326">
        <v>3</v>
      </c>
      <c r="AX1326" t="str">
        <f>_xlfn.XLOOKUP(Table1[[#This Row],[WorkLifeBalance]],Table20[WorkLifeBalance],Table20[Id_WorkLifeBalance])</f>
        <v>WLB002</v>
      </c>
      <c r="AY1326">
        <v>3</v>
      </c>
      <c r="AZ1326" t="str">
        <f>_xlfn.XLOOKUP(Table1[[#This Row],[WorkLifeBalance]],Table20[WorkLifeBalance],Table20[Deskripsi])</f>
        <v>Good</v>
      </c>
      <c r="BA1326">
        <v>7</v>
      </c>
      <c r="BB1326">
        <v>0</v>
      </c>
      <c r="BC1326">
        <v>1</v>
      </c>
      <c r="BD1326">
        <v>6</v>
      </c>
    </row>
    <row r="1327" spans="1:56" x14ac:dyDescent="0.25">
      <c r="A1327">
        <v>42</v>
      </c>
      <c r="B1327" t="str">
        <f>_xlfn.XLOOKUP(Table1[[#This Row],[Attrition]],Table2[Attrition],Table2[Id_Attrition])</f>
        <v>A002</v>
      </c>
      <c r="C1327" t="s">
        <v>33</v>
      </c>
      <c r="D1327" t="str">
        <f>_xlfn.XLOOKUP(Table1[[#This Row],[BusinessTravel]],Table5[BusinessTravel],Table5[Id_BusinessTravel])</f>
        <v>BS001</v>
      </c>
      <c r="E1327" t="s">
        <v>34</v>
      </c>
      <c r="F1327">
        <v>1142</v>
      </c>
      <c r="G1327" t="str">
        <f>_xlfn.XLOOKUP(Table1[[#This Row],[Department]],Table6[Department],Table6[Id_Departement])</f>
        <v>D002</v>
      </c>
      <c r="H1327" t="s">
        <v>38</v>
      </c>
      <c r="I1327">
        <v>8</v>
      </c>
      <c r="J1327" t="str">
        <f>_xlfn.XLOOKUP(Table1[[#This Row],[Education]],Table8[Education],Table8[Id_Education])</f>
        <v>E003</v>
      </c>
      <c r="K1327">
        <v>3</v>
      </c>
      <c r="L1327" t="str">
        <f>_xlfn.XLOOKUP(Table1[[#This Row],[EducationField]],Table7[EducationField],Table7[Id_EducationField])</f>
        <v>EF001</v>
      </c>
      <c r="M1327" t="s">
        <v>40</v>
      </c>
      <c r="N1327" t="str">
        <f>_xlfn.XLOOKUP(Table1[[#This Row],[EmployeeNumber]],Table4[EmployeeNumber],Table4[Id_Employee])</f>
        <v>EMP01326</v>
      </c>
      <c r="O1327">
        <v>1860</v>
      </c>
      <c r="P1327" t="str">
        <f>_xlfn.XLOOKUP(Table1[[#This Row],[EnvironmentSatisfaction]],Table9[EnvironmentSatisfaction],Table9[Id_EnviromentSatisfaction])</f>
        <v>ES004</v>
      </c>
      <c r="Q1327">
        <v>4</v>
      </c>
      <c r="R1327" t="str">
        <f>_xlfn.XLOOKUP(Table1[[#This Row],[EnvironmentSatisfaction]],Table9[EnvironmentSatisfaction],Table9[Deskripsi])</f>
        <v>Very High</v>
      </c>
      <c r="S1327" t="str">
        <f>_xlfn.XLOOKUP(Table1[[#This Row],[Gender]],Table10[Gender],Table10[Id_Gender])</f>
        <v>G002</v>
      </c>
      <c r="T1327" t="s">
        <v>46</v>
      </c>
      <c r="U1327">
        <v>81</v>
      </c>
      <c r="V1327" t="str">
        <f>_xlfn.XLOOKUP(Table1[[#This Row],[JobInvolvement]],Table11[JobInvolvement],Table11[Id_JobInvolvement])</f>
        <v>JI003</v>
      </c>
      <c r="W1327">
        <v>3</v>
      </c>
      <c r="X1327" t="str">
        <f>_xlfn.XLOOKUP(Table1[[#This Row],[JobLevel]],Table12[JobLevel],Table12[Id_JobLevel])</f>
        <v>JL001</v>
      </c>
      <c r="Y1327">
        <v>1</v>
      </c>
      <c r="Z1327" t="str">
        <f>_xlfn.XLOOKUP(Table1[[#This Row],[JobRole]],Table13[JobRole],Table13[Id_JobRole])</f>
        <v>JR003</v>
      </c>
      <c r="AA1327" t="s">
        <v>49</v>
      </c>
      <c r="AB1327" t="str">
        <f>_xlfn.XLOOKUP(Table1[[#This Row],[JobSatisfaction]],Table14[JobSatisfaction],Table14[Id_JobSatisfaction])</f>
        <v>JS003</v>
      </c>
      <c r="AC1327">
        <v>3</v>
      </c>
      <c r="AD1327" t="str">
        <f>_xlfn.XLOOKUP(Table1[[#This Row],[JobSatisfaction]],Table14[JobSatisfaction],Table14[Deskripsi])</f>
        <v>High</v>
      </c>
      <c r="AE1327" t="str">
        <f>_xlfn.XLOOKUP(Table1[[#This Row],[MaritalStatus]],Table15[MaritalStatus],Table15[Id_MaritalStatus])</f>
        <v>MS001</v>
      </c>
      <c r="AF1327" t="s">
        <v>55</v>
      </c>
      <c r="AG1327">
        <v>3968</v>
      </c>
      <c r="AH1327">
        <v>13624</v>
      </c>
      <c r="AI1327">
        <v>4</v>
      </c>
      <c r="AJ1327" t="str">
        <f>_xlfn.XLOOKUP(Table1[[#This Row],[OverTime]],Table16[OverTime],Table16[Id_OverTime])</f>
        <v>OT002</v>
      </c>
      <c r="AK1327" t="s">
        <v>33</v>
      </c>
      <c r="AL1327">
        <v>13</v>
      </c>
      <c r="AM1327" t="str">
        <f>_xlfn.XLOOKUP(Table1[[#This Row],[PerformanceRating]],Table17[PerformanceRating],Table17[Id_PerformanceRating])</f>
        <v>PR003</v>
      </c>
      <c r="AN1327">
        <v>3</v>
      </c>
      <c r="AO1327" t="str">
        <f>_xlfn.XLOOKUP(Table1[[#This Row],[PerformanceRating]],Table17[PerformanceRating],Table17[Deskripsi])</f>
        <v>Excellent</v>
      </c>
      <c r="AP1327" t="str">
        <f>_xlfn.XLOOKUP(Table1[[#This Row],[RelationshipSatisfaction]],Table18[RelationshipSatisfaction],Table18[Id_RelationshipSatisfaction])</f>
        <v>RS004</v>
      </c>
      <c r="AQ1327">
        <v>4</v>
      </c>
      <c r="AR1327" t="str">
        <f>_xlfn.XLOOKUP(Table1[[#This Row],[RelationshipSatisfaction]],Table18[RelationshipSatisfaction],Table18[Deskripsi])</f>
        <v>Very High</v>
      </c>
      <c r="AS1327" t="str">
        <f>_xlfn.XLOOKUP(Table1[[#This Row],[StockOptionLevel]],Table19[StockOptionLevel],Table19[Id_StockOptionLevel])</f>
        <v>SOL001</v>
      </c>
      <c r="AT1327">
        <v>0</v>
      </c>
      <c r="AU1327" t="str">
        <f>_xlfn.XLOOKUP(Table1[[#This Row],[StockOptionLevel]],Table19[StockOptionLevel],Table19[Deskripsi])</f>
        <v>Non-Eligible</v>
      </c>
      <c r="AV1327">
        <v>8</v>
      </c>
      <c r="AW1327">
        <v>3</v>
      </c>
      <c r="AX1327" t="str">
        <f>_xlfn.XLOOKUP(Table1[[#This Row],[WorkLifeBalance]],Table20[WorkLifeBalance],Table20[Id_WorkLifeBalance])</f>
        <v>WLB002</v>
      </c>
      <c r="AY1327">
        <v>3</v>
      </c>
      <c r="AZ1327" t="str">
        <f>_xlfn.XLOOKUP(Table1[[#This Row],[WorkLifeBalance]],Table20[WorkLifeBalance],Table20[Deskripsi])</f>
        <v>Good</v>
      </c>
      <c r="BA1327">
        <v>0</v>
      </c>
      <c r="BB1327">
        <v>0</v>
      </c>
      <c r="BC1327">
        <v>0</v>
      </c>
      <c r="BD1327">
        <v>0</v>
      </c>
    </row>
    <row r="1328" spans="1:56" x14ac:dyDescent="0.25">
      <c r="A1328">
        <v>32</v>
      </c>
      <c r="B1328" t="str">
        <f>_xlfn.XLOOKUP(Table1[[#This Row],[Attrition]],Table2[Attrition],Table2[Id_Attrition])</f>
        <v>A001</v>
      </c>
      <c r="C1328" t="s">
        <v>32</v>
      </c>
      <c r="D1328" t="str">
        <f>_xlfn.XLOOKUP(Table1[[#This Row],[BusinessTravel]],Table5[BusinessTravel],Table5[Id_BusinessTravel])</f>
        <v>BS001</v>
      </c>
      <c r="E1328" t="s">
        <v>34</v>
      </c>
      <c r="F1328">
        <v>414</v>
      </c>
      <c r="G1328" t="str">
        <f>_xlfn.XLOOKUP(Table1[[#This Row],[Department]],Table6[Department],Table6[Id_Departement])</f>
        <v>D001</v>
      </c>
      <c r="H1328" t="s">
        <v>37</v>
      </c>
      <c r="I1328">
        <v>2</v>
      </c>
      <c r="J1328" t="str">
        <f>_xlfn.XLOOKUP(Table1[[#This Row],[Education]],Table8[Education],Table8[Id_Education])</f>
        <v>E004</v>
      </c>
      <c r="K1328">
        <v>4</v>
      </c>
      <c r="L1328" t="str">
        <f>_xlfn.XLOOKUP(Table1[[#This Row],[EducationField]],Table7[EducationField],Table7[Id_EducationField])</f>
        <v>EF004</v>
      </c>
      <c r="M1328" t="s">
        <v>43</v>
      </c>
      <c r="N1328" t="str">
        <f>_xlfn.XLOOKUP(Table1[[#This Row],[EmployeeNumber]],Table4[EmployeeNumber],Table4[Id_Employee])</f>
        <v>EMP01327</v>
      </c>
      <c r="O1328">
        <v>1862</v>
      </c>
      <c r="P1328" t="str">
        <f>_xlfn.XLOOKUP(Table1[[#This Row],[EnvironmentSatisfaction]],Table9[EnvironmentSatisfaction],Table9[Id_EnviromentSatisfaction])</f>
        <v>ES003</v>
      </c>
      <c r="Q1328">
        <v>3</v>
      </c>
      <c r="R1328" t="str">
        <f>_xlfn.XLOOKUP(Table1[[#This Row],[EnvironmentSatisfaction]],Table9[EnvironmentSatisfaction],Table9[Deskripsi])</f>
        <v>High</v>
      </c>
      <c r="S1328" t="str">
        <f>_xlfn.XLOOKUP(Table1[[#This Row],[Gender]],Table10[Gender],Table10[Id_Gender])</f>
        <v>G002</v>
      </c>
      <c r="T1328" t="s">
        <v>46</v>
      </c>
      <c r="U1328">
        <v>82</v>
      </c>
      <c r="V1328" t="str">
        <f>_xlfn.XLOOKUP(Table1[[#This Row],[JobInvolvement]],Table11[JobInvolvement],Table11[Id_JobInvolvement])</f>
        <v>JI002</v>
      </c>
      <c r="W1328">
        <v>2</v>
      </c>
      <c r="X1328" t="str">
        <f>_xlfn.XLOOKUP(Table1[[#This Row],[JobLevel]],Table12[JobLevel],Table12[Id_JobLevel])</f>
        <v>JL002</v>
      </c>
      <c r="Y1328">
        <v>2</v>
      </c>
      <c r="Z1328" t="str">
        <f>_xlfn.XLOOKUP(Table1[[#This Row],[JobRole]],Table13[JobRole],Table13[Id_JobRole])</f>
        <v>JR001</v>
      </c>
      <c r="AA1328" t="s">
        <v>47</v>
      </c>
      <c r="AB1328" t="str">
        <f>_xlfn.XLOOKUP(Table1[[#This Row],[JobSatisfaction]],Table14[JobSatisfaction],Table14[Id_JobSatisfaction])</f>
        <v>JS002</v>
      </c>
      <c r="AC1328">
        <v>2</v>
      </c>
      <c r="AD1328" t="str">
        <f>_xlfn.XLOOKUP(Table1[[#This Row],[JobSatisfaction]],Table14[JobSatisfaction],Table14[Deskripsi])</f>
        <v>Medium</v>
      </c>
      <c r="AE1328" t="str">
        <f>_xlfn.XLOOKUP(Table1[[#This Row],[MaritalStatus]],Table15[MaritalStatus],Table15[Id_MaritalStatus])</f>
        <v>MS001</v>
      </c>
      <c r="AF1328" t="s">
        <v>55</v>
      </c>
      <c r="AG1328">
        <v>9907</v>
      </c>
      <c r="AH1328">
        <v>26186</v>
      </c>
      <c r="AI1328">
        <v>7</v>
      </c>
      <c r="AJ1328" t="str">
        <f>_xlfn.XLOOKUP(Table1[[#This Row],[OverTime]],Table16[OverTime],Table16[Id_OverTime])</f>
        <v>OT001</v>
      </c>
      <c r="AK1328" t="s">
        <v>32</v>
      </c>
      <c r="AL1328">
        <v>12</v>
      </c>
      <c r="AM1328" t="str">
        <f>_xlfn.XLOOKUP(Table1[[#This Row],[PerformanceRating]],Table17[PerformanceRating],Table17[Id_PerformanceRating])</f>
        <v>PR003</v>
      </c>
      <c r="AN1328">
        <v>3</v>
      </c>
      <c r="AO1328" t="str">
        <f>_xlfn.XLOOKUP(Table1[[#This Row],[PerformanceRating]],Table17[PerformanceRating],Table17[Deskripsi])</f>
        <v>Excellent</v>
      </c>
      <c r="AP1328" t="str">
        <f>_xlfn.XLOOKUP(Table1[[#This Row],[RelationshipSatisfaction]],Table18[RelationshipSatisfaction],Table18[Id_RelationshipSatisfaction])</f>
        <v>RS003</v>
      </c>
      <c r="AQ1328">
        <v>3</v>
      </c>
      <c r="AR1328" t="str">
        <f>_xlfn.XLOOKUP(Table1[[#This Row],[RelationshipSatisfaction]],Table18[RelationshipSatisfaction],Table18[Deskripsi])</f>
        <v>High</v>
      </c>
      <c r="AS1328" t="str">
        <f>_xlfn.XLOOKUP(Table1[[#This Row],[StockOptionLevel]],Table19[StockOptionLevel],Table19[Id_StockOptionLevel])</f>
        <v>SOL001</v>
      </c>
      <c r="AT1328">
        <v>0</v>
      </c>
      <c r="AU1328" t="str">
        <f>_xlfn.XLOOKUP(Table1[[#This Row],[StockOptionLevel]],Table19[StockOptionLevel],Table19[Deskripsi])</f>
        <v>Non-Eligible</v>
      </c>
      <c r="AV1328">
        <v>7</v>
      </c>
      <c r="AW1328">
        <v>3</v>
      </c>
      <c r="AX1328" t="str">
        <f>_xlfn.XLOOKUP(Table1[[#This Row],[WorkLifeBalance]],Table20[WorkLifeBalance],Table20[Id_WorkLifeBalance])</f>
        <v>WLB003</v>
      </c>
      <c r="AY1328">
        <v>2</v>
      </c>
      <c r="AZ1328" t="str">
        <f>_xlfn.XLOOKUP(Table1[[#This Row],[WorkLifeBalance]],Table20[WorkLifeBalance],Table20[Deskripsi])</f>
        <v>Better</v>
      </c>
      <c r="BA1328">
        <v>2</v>
      </c>
      <c r="BB1328">
        <v>2</v>
      </c>
      <c r="BC1328">
        <v>2</v>
      </c>
      <c r="BD1328">
        <v>2</v>
      </c>
    </row>
    <row r="1329" spans="1:56" x14ac:dyDescent="0.25">
      <c r="A1329">
        <v>46</v>
      </c>
      <c r="B1329" t="str">
        <f>_xlfn.XLOOKUP(Table1[[#This Row],[Attrition]],Table2[Attrition],Table2[Id_Attrition])</f>
        <v>A002</v>
      </c>
      <c r="C1329" t="s">
        <v>33</v>
      </c>
      <c r="D1329" t="str">
        <f>_xlfn.XLOOKUP(Table1[[#This Row],[BusinessTravel]],Table5[BusinessTravel],Table5[Id_BusinessTravel])</f>
        <v>BS001</v>
      </c>
      <c r="E1329" t="s">
        <v>34</v>
      </c>
      <c r="F1329">
        <v>1319</v>
      </c>
      <c r="G1329" t="str">
        <f>_xlfn.XLOOKUP(Table1[[#This Row],[Department]],Table6[Department],Table6[Id_Departement])</f>
        <v>D001</v>
      </c>
      <c r="H1329" t="s">
        <v>37</v>
      </c>
      <c r="I1329">
        <v>3</v>
      </c>
      <c r="J1329" t="str">
        <f>_xlfn.XLOOKUP(Table1[[#This Row],[Education]],Table8[Education],Table8[Id_Education])</f>
        <v>E003</v>
      </c>
      <c r="K1329">
        <v>3</v>
      </c>
      <c r="L1329" t="str">
        <f>_xlfn.XLOOKUP(Table1[[#This Row],[EducationField]],Table7[EducationField],Table7[Id_EducationField])</f>
        <v>EF005</v>
      </c>
      <c r="M1329" t="s">
        <v>44</v>
      </c>
      <c r="N1329" t="str">
        <f>_xlfn.XLOOKUP(Table1[[#This Row],[EmployeeNumber]],Table4[EmployeeNumber],Table4[Id_Employee])</f>
        <v>EMP01328</v>
      </c>
      <c r="O1329">
        <v>1863</v>
      </c>
      <c r="P1329" t="str">
        <f>_xlfn.XLOOKUP(Table1[[#This Row],[EnvironmentSatisfaction]],Table9[EnvironmentSatisfaction],Table9[Id_EnviromentSatisfaction])</f>
        <v>ES001</v>
      </c>
      <c r="Q1329">
        <v>1</v>
      </c>
      <c r="R1329" t="str">
        <f>_xlfn.XLOOKUP(Table1[[#This Row],[EnvironmentSatisfaction]],Table9[EnvironmentSatisfaction],Table9[Deskripsi])</f>
        <v>Low</v>
      </c>
      <c r="S1329" t="str">
        <f>_xlfn.XLOOKUP(Table1[[#This Row],[Gender]],Table10[Gender],Table10[Id_Gender])</f>
        <v>G001</v>
      </c>
      <c r="T1329" t="s">
        <v>45</v>
      </c>
      <c r="U1329">
        <v>45</v>
      </c>
      <c r="V1329" t="str">
        <f>_xlfn.XLOOKUP(Table1[[#This Row],[JobInvolvement]],Table11[JobInvolvement],Table11[Id_JobInvolvement])</f>
        <v>JI004</v>
      </c>
      <c r="W1329">
        <v>4</v>
      </c>
      <c r="X1329" t="str">
        <f>_xlfn.XLOOKUP(Table1[[#This Row],[JobLevel]],Table12[JobLevel],Table12[Id_JobLevel])</f>
        <v>JL004</v>
      </c>
      <c r="Y1329">
        <v>4</v>
      </c>
      <c r="Z1329" t="str">
        <f>_xlfn.XLOOKUP(Table1[[#This Row],[JobRole]],Table13[JobRole],Table13[Id_JobRole])</f>
        <v>JR001</v>
      </c>
      <c r="AA1329" t="s">
        <v>47</v>
      </c>
      <c r="AB1329" t="str">
        <f>_xlfn.XLOOKUP(Table1[[#This Row],[JobSatisfaction]],Table14[JobSatisfaction],Table14[Id_JobSatisfaction])</f>
        <v>JS001</v>
      </c>
      <c r="AC1329">
        <v>1</v>
      </c>
      <c r="AD1329" t="str">
        <f>_xlfn.XLOOKUP(Table1[[#This Row],[JobSatisfaction]],Table14[JobSatisfaction],Table14[Deskripsi])</f>
        <v>Low</v>
      </c>
      <c r="AE1329" t="str">
        <f>_xlfn.XLOOKUP(Table1[[#This Row],[MaritalStatus]],Table15[MaritalStatus],Table15[Id_MaritalStatus])</f>
        <v>MS003</v>
      </c>
      <c r="AF1329" t="s">
        <v>57</v>
      </c>
      <c r="AG1329">
        <v>13225</v>
      </c>
      <c r="AH1329">
        <v>7739</v>
      </c>
      <c r="AI1329">
        <v>2</v>
      </c>
      <c r="AJ1329" t="str">
        <f>_xlfn.XLOOKUP(Table1[[#This Row],[OverTime]],Table16[OverTime],Table16[Id_OverTime])</f>
        <v>OT002</v>
      </c>
      <c r="AK1329" t="s">
        <v>33</v>
      </c>
      <c r="AL1329">
        <v>12</v>
      </c>
      <c r="AM1329" t="str">
        <f>_xlfn.XLOOKUP(Table1[[#This Row],[PerformanceRating]],Table17[PerformanceRating],Table17[Id_PerformanceRating])</f>
        <v>PR003</v>
      </c>
      <c r="AN1329">
        <v>3</v>
      </c>
      <c r="AO1329" t="str">
        <f>_xlfn.XLOOKUP(Table1[[#This Row],[PerformanceRating]],Table17[PerformanceRating],Table17[Deskripsi])</f>
        <v>Excellent</v>
      </c>
      <c r="AP1329" t="str">
        <f>_xlfn.XLOOKUP(Table1[[#This Row],[RelationshipSatisfaction]],Table18[RelationshipSatisfaction],Table18[Id_RelationshipSatisfaction])</f>
        <v>RS004</v>
      </c>
      <c r="AQ1329">
        <v>4</v>
      </c>
      <c r="AR1329" t="str">
        <f>_xlfn.XLOOKUP(Table1[[#This Row],[RelationshipSatisfaction]],Table18[RelationshipSatisfaction],Table18[Deskripsi])</f>
        <v>Very High</v>
      </c>
      <c r="AS1329" t="str">
        <f>_xlfn.XLOOKUP(Table1[[#This Row],[StockOptionLevel]],Table19[StockOptionLevel],Table19[Id_StockOptionLevel])</f>
        <v>SOL002</v>
      </c>
      <c r="AT1329">
        <v>1</v>
      </c>
      <c r="AU1329" t="str">
        <f>_xlfn.XLOOKUP(Table1[[#This Row],[StockOptionLevel]],Table19[StockOptionLevel],Table19[Deskripsi])</f>
        <v>Standard</v>
      </c>
      <c r="AV1329">
        <v>25</v>
      </c>
      <c r="AW1329">
        <v>5</v>
      </c>
      <c r="AX1329" t="str">
        <f>_xlfn.XLOOKUP(Table1[[#This Row],[WorkLifeBalance]],Table20[WorkLifeBalance],Table20[Id_WorkLifeBalance])</f>
        <v>WLB002</v>
      </c>
      <c r="AY1329">
        <v>3</v>
      </c>
      <c r="AZ1329" t="str">
        <f>_xlfn.XLOOKUP(Table1[[#This Row],[WorkLifeBalance]],Table20[WorkLifeBalance],Table20[Deskripsi])</f>
        <v>Good</v>
      </c>
      <c r="BA1329">
        <v>19</v>
      </c>
      <c r="BB1329">
        <v>17</v>
      </c>
      <c r="BC1329">
        <v>2</v>
      </c>
      <c r="BD1329">
        <v>8</v>
      </c>
    </row>
    <row r="1330" spans="1:56" x14ac:dyDescent="0.25">
      <c r="A1330">
        <v>27</v>
      </c>
      <c r="B1330" t="str">
        <f>_xlfn.XLOOKUP(Table1[[#This Row],[Attrition]],Table2[Attrition],Table2[Id_Attrition])</f>
        <v>A002</v>
      </c>
      <c r="C1330" t="s">
        <v>33</v>
      </c>
      <c r="D1330" t="str">
        <f>_xlfn.XLOOKUP(Table1[[#This Row],[BusinessTravel]],Table5[BusinessTravel],Table5[Id_BusinessTravel])</f>
        <v>BS001</v>
      </c>
      <c r="E1330" t="s">
        <v>34</v>
      </c>
      <c r="F1330">
        <v>728</v>
      </c>
      <c r="G1330" t="str">
        <f>_xlfn.XLOOKUP(Table1[[#This Row],[Department]],Table6[Department],Table6[Id_Departement])</f>
        <v>D001</v>
      </c>
      <c r="H1330" t="s">
        <v>37</v>
      </c>
      <c r="I1330">
        <v>23</v>
      </c>
      <c r="J1330" t="str">
        <f>_xlfn.XLOOKUP(Table1[[#This Row],[Education]],Table8[Education],Table8[Id_Education])</f>
        <v>E001</v>
      </c>
      <c r="K1330">
        <v>1</v>
      </c>
      <c r="L1330" t="str">
        <f>_xlfn.XLOOKUP(Table1[[#This Row],[EducationField]],Table7[EducationField],Table7[Id_EducationField])</f>
        <v>EF003</v>
      </c>
      <c r="M1330" t="s">
        <v>42</v>
      </c>
      <c r="N1330" t="str">
        <f>_xlfn.XLOOKUP(Table1[[#This Row],[EmployeeNumber]],Table4[EmployeeNumber],Table4[Id_Employee])</f>
        <v>EMP01329</v>
      </c>
      <c r="O1330">
        <v>1864</v>
      </c>
      <c r="P1330" t="str">
        <f>_xlfn.XLOOKUP(Table1[[#This Row],[EnvironmentSatisfaction]],Table9[EnvironmentSatisfaction],Table9[Id_EnviromentSatisfaction])</f>
        <v>ES002</v>
      </c>
      <c r="Q1330">
        <v>2</v>
      </c>
      <c r="R1330" t="str">
        <f>_xlfn.XLOOKUP(Table1[[#This Row],[EnvironmentSatisfaction]],Table9[EnvironmentSatisfaction],Table9[Deskripsi])</f>
        <v>Medium</v>
      </c>
      <c r="S1330" t="str">
        <f>_xlfn.XLOOKUP(Table1[[#This Row],[Gender]],Table10[Gender],Table10[Id_Gender])</f>
        <v>G001</v>
      </c>
      <c r="T1330" t="s">
        <v>45</v>
      </c>
      <c r="U1330">
        <v>36</v>
      </c>
      <c r="V1330" t="str">
        <f>_xlfn.XLOOKUP(Table1[[#This Row],[JobInvolvement]],Table11[JobInvolvement],Table11[Id_JobInvolvement])</f>
        <v>JI002</v>
      </c>
      <c r="W1330">
        <v>2</v>
      </c>
      <c r="X1330" t="str">
        <f>_xlfn.XLOOKUP(Table1[[#This Row],[JobLevel]],Table12[JobLevel],Table12[Id_JobLevel])</f>
        <v>JL002</v>
      </c>
      <c r="Y1330">
        <v>2</v>
      </c>
      <c r="Z1330" t="str">
        <f>_xlfn.XLOOKUP(Table1[[#This Row],[JobRole]],Table13[JobRole],Table13[Id_JobRole])</f>
        <v>JR007</v>
      </c>
      <c r="AA1330" t="s">
        <v>53</v>
      </c>
      <c r="AB1330" t="str">
        <f>_xlfn.XLOOKUP(Table1[[#This Row],[JobSatisfaction]],Table14[JobSatisfaction],Table14[Id_JobSatisfaction])</f>
        <v>JS003</v>
      </c>
      <c r="AC1330">
        <v>3</v>
      </c>
      <c r="AD1330" t="str">
        <f>_xlfn.XLOOKUP(Table1[[#This Row],[JobSatisfaction]],Table14[JobSatisfaction],Table14[Deskripsi])</f>
        <v>High</v>
      </c>
      <c r="AE1330" t="str">
        <f>_xlfn.XLOOKUP(Table1[[#This Row],[MaritalStatus]],Table15[MaritalStatus],Table15[Id_MaritalStatus])</f>
        <v>MS002</v>
      </c>
      <c r="AF1330" t="s">
        <v>56</v>
      </c>
      <c r="AG1330">
        <v>3540</v>
      </c>
      <c r="AH1330">
        <v>7018</v>
      </c>
      <c r="AI1330">
        <v>1</v>
      </c>
      <c r="AJ1330" t="str">
        <f>_xlfn.XLOOKUP(Table1[[#This Row],[OverTime]],Table16[OverTime],Table16[Id_OverTime])</f>
        <v>OT002</v>
      </c>
      <c r="AK1330" t="s">
        <v>33</v>
      </c>
      <c r="AL1330">
        <v>21</v>
      </c>
      <c r="AM1330" t="str">
        <f>_xlfn.XLOOKUP(Table1[[#This Row],[PerformanceRating]],Table17[PerformanceRating],Table17[Id_PerformanceRating])</f>
        <v>PR004</v>
      </c>
      <c r="AN1330">
        <v>4</v>
      </c>
      <c r="AO1330" t="str">
        <f>_xlfn.XLOOKUP(Table1[[#This Row],[PerformanceRating]],Table17[PerformanceRating],Table17[Deskripsi])</f>
        <v>Outstanding</v>
      </c>
      <c r="AP1330" t="str">
        <f>_xlfn.XLOOKUP(Table1[[#This Row],[RelationshipSatisfaction]],Table18[RelationshipSatisfaction],Table18[Id_RelationshipSatisfaction])</f>
        <v>RS004</v>
      </c>
      <c r="AQ1330">
        <v>4</v>
      </c>
      <c r="AR1330" t="str">
        <f>_xlfn.XLOOKUP(Table1[[#This Row],[RelationshipSatisfaction]],Table18[RelationshipSatisfaction],Table18[Deskripsi])</f>
        <v>Very High</v>
      </c>
      <c r="AS1330" t="str">
        <f>_xlfn.XLOOKUP(Table1[[#This Row],[StockOptionLevel]],Table19[StockOptionLevel],Table19[Id_StockOptionLevel])</f>
        <v>SOL002</v>
      </c>
      <c r="AT1330">
        <v>1</v>
      </c>
      <c r="AU1330" t="str">
        <f>_xlfn.XLOOKUP(Table1[[#This Row],[StockOptionLevel]],Table19[StockOptionLevel],Table19[Deskripsi])</f>
        <v>Standard</v>
      </c>
      <c r="AV1330">
        <v>9</v>
      </c>
      <c r="AW1330">
        <v>5</v>
      </c>
      <c r="AX1330" t="str">
        <f>_xlfn.XLOOKUP(Table1[[#This Row],[WorkLifeBalance]],Table20[WorkLifeBalance],Table20[Id_WorkLifeBalance])</f>
        <v>WLB002</v>
      </c>
      <c r="AY1330">
        <v>3</v>
      </c>
      <c r="AZ1330" t="str">
        <f>_xlfn.XLOOKUP(Table1[[#This Row],[WorkLifeBalance]],Table20[WorkLifeBalance],Table20[Deskripsi])</f>
        <v>Good</v>
      </c>
      <c r="BA1330">
        <v>9</v>
      </c>
      <c r="BB1330">
        <v>8</v>
      </c>
      <c r="BC1330">
        <v>5</v>
      </c>
      <c r="BD1330">
        <v>8</v>
      </c>
    </row>
    <row r="1331" spans="1:56" x14ac:dyDescent="0.25">
      <c r="A1331">
        <v>29</v>
      </c>
      <c r="B1331" t="str">
        <f>_xlfn.XLOOKUP(Table1[[#This Row],[Attrition]],Table2[Attrition],Table2[Id_Attrition])</f>
        <v>A002</v>
      </c>
      <c r="C1331" t="s">
        <v>33</v>
      </c>
      <c r="D1331" t="str">
        <f>_xlfn.XLOOKUP(Table1[[#This Row],[BusinessTravel]],Table5[BusinessTravel],Table5[Id_BusinessTravel])</f>
        <v>BS001</v>
      </c>
      <c r="E1331" t="s">
        <v>34</v>
      </c>
      <c r="F1331">
        <v>352</v>
      </c>
      <c r="G1331" t="str">
        <f>_xlfn.XLOOKUP(Table1[[#This Row],[Department]],Table6[Department],Table6[Id_Departement])</f>
        <v>D003</v>
      </c>
      <c r="H1331" t="s">
        <v>39</v>
      </c>
      <c r="I1331">
        <v>6</v>
      </c>
      <c r="J1331" t="str">
        <f>_xlfn.XLOOKUP(Table1[[#This Row],[Education]],Table8[Education],Table8[Id_Education])</f>
        <v>E001</v>
      </c>
      <c r="K1331">
        <v>1</v>
      </c>
      <c r="L1331" t="str">
        <f>_xlfn.XLOOKUP(Table1[[#This Row],[EducationField]],Table7[EducationField],Table7[Id_EducationField])</f>
        <v>EF003</v>
      </c>
      <c r="M1331" t="s">
        <v>42</v>
      </c>
      <c r="N1331" t="str">
        <f>_xlfn.XLOOKUP(Table1[[#This Row],[EmployeeNumber]],Table4[EmployeeNumber],Table4[Id_Employee])</f>
        <v>EMP01330</v>
      </c>
      <c r="O1331">
        <v>1865</v>
      </c>
      <c r="P1331" t="str">
        <f>_xlfn.XLOOKUP(Table1[[#This Row],[EnvironmentSatisfaction]],Table9[EnvironmentSatisfaction],Table9[Id_EnviromentSatisfaction])</f>
        <v>ES004</v>
      </c>
      <c r="Q1331">
        <v>4</v>
      </c>
      <c r="R1331" t="str">
        <f>_xlfn.XLOOKUP(Table1[[#This Row],[EnvironmentSatisfaction]],Table9[EnvironmentSatisfaction],Table9[Deskripsi])</f>
        <v>Very High</v>
      </c>
      <c r="S1331" t="str">
        <f>_xlfn.XLOOKUP(Table1[[#This Row],[Gender]],Table10[Gender],Table10[Id_Gender])</f>
        <v>G002</v>
      </c>
      <c r="T1331" t="s">
        <v>46</v>
      </c>
      <c r="U1331">
        <v>87</v>
      </c>
      <c r="V1331" t="str">
        <f>_xlfn.XLOOKUP(Table1[[#This Row],[JobInvolvement]],Table11[JobInvolvement],Table11[Id_JobInvolvement])</f>
        <v>JI002</v>
      </c>
      <c r="W1331">
        <v>2</v>
      </c>
      <c r="X1331" t="str">
        <f>_xlfn.XLOOKUP(Table1[[#This Row],[JobLevel]],Table12[JobLevel],Table12[Id_JobLevel])</f>
        <v>JL001</v>
      </c>
      <c r="Y1331">
        <v>1</v>
      </c>
      <c r="Z1331" t="str">
        <f>_xlfn.XLOOKUP(Table1[[#This Row],[JobRole]],Table13[JobRole],Table13[Id_JobRole])</f>
        <v>JR009</v>
      </c>
      <c r="AA1331" t="s">
        <v>39</v>
      </c>
      <c r="AB1331" t="str">
        <f>_xlfn.XLOOKUP(Table1[[#This Row],[JobSatisfaction]],Table14[JobSatisfaction],Table14[Id_JobSatisfaction])</f>
        <v>JS002</v>
      </c>
      <c r="AC1331">
        <v>2</v>
      </c>
      <c r="AD1331" t="str">
        <f>_xlfn.XLOOKUP(Table1[[#This Row],[JobSatisfaction]],Table14[JobSatisfaction],Table14[Deskripsi])</f>
        <v>Medium</v>
      </c>
      <c r="AE1331" t="str">
        <f>_xlfn.XLOOKUP(Table1[[#This Row],[MaritalStatus]],Table15[MaritalStatus],Table15[Id_MaritalStatus])</f>
        <v>MS002</v>
      </c>
      <c r="AF1331" t="s">
        <v>56</v>
      </c>
      <c r="AG1331">
        <v>2804</v>
      </c>
      <c r="AH1331">
        <v>15434</v>
      </c>
      <c r="AI1331">
        <v>1</v>
      </c>
      <c r="AJ1331" t="str">
        <f>_xlfn.XLOOKUP(Table1[[#This Row],[OverTime]],Table16[OverTime],Table16[Id_OverTime])</f>
        <v>OT002</v>
      </c>
      <c r="AK1331" t="s">
        <v>33</v>
      </c>
      <c r="AL1331">
        <v>11</v>
      </c>
      <c r="AM1331" t="str">
        <f>_xlfn.XLOOKUP(Table1[[#This Row],[PerformanceRating]],Table17[PerformanceRating],Table17[Id_PerformanceRating])</f>
        <v>PR003</v>
      </c>
      <c r="AN1331">
        <v>3</v>
      </c>
      <c r="AO1331" t="str">
        <f>_xlfn.XLOOKUP(Table1[[#This Row],[PerformanceRating]],Table17[PerformanceRating],Table17[Deskripsi])</f>
        <v>Excellent</v>
      </c>
      <c r="AP1331" t="str">
        <f>_xlfn.XLOOKUP(Table1[[#This Row],[RelationshipSatisfaction]],Table18[RelationshipSatisfaction],Table18[Id_RelationshipSatisfaction])</f>
        <v>RS004</v>
      </c>
      <c r="AQ1331">
        <v>4</v>
      </c>
      <c r="AR1331" t="str">
        <f>_xlfn.XLOOKUP(Table1[[#This Row],[RelationshipSatisfaction]],Table18[RelationshipSatisfaction],Table18[Deskripsi])</f>
        <v>Very High</v>
      </c>
      <c r="AS1331" t="str">
        <f>_xlfn.XLOOKUP(Table1[[#This Row],[StockOptionLevel]],Table19[StockOptionLevel],Table19[Id_StockOptionLevel])</f>
        <v>SOL001</v>
      </c>
      <c r="AT1331">
        <v>0</v>
      </c>
      <c r="AU1331" t="str">
        <f>_xlfn.XLOOKUP(Table1[[#This Row],[StockOptionLevel]],Table19[StockOptionLevel],Table19[Deskripsi])</f>
        <v>Non-Eligible</v>
      </c>
      <c r="AV1331">
        <v>1</v>
      </c>
      <c r="AW1331">
        <v>3</v>
      </c>
      <c r="AX1331" t="str">
        <f>_xlfn.XLOOKUP(Table1[[#This Row],[WorkLifeBalance]],Table20[WorkLifeBalance],Table20[Id_WorkLifeBalance])</f>
        <v>WLB002</v>
      </c>
      <c r="AY1331">
        <v>3</v>
      </c>
      <c r="AZ1331" t="str">
        <f>_xlfn.XLOOKUP(Table1[[#This Row],[WorkLifeBalance]],Table20[WorkLifeBalance],Table20[Deskripsi])</f>
        <v>Good</v>
      </c>
      <c r="BA1331">
        <v>1</v>
      </c>
      <c r="BB1331">
        <v>0</v>
      </c>
      <c r="BC1331">
        <v>0</v>
      </c>
      <c r="BD1331">
        <v>0</v>
      </c>
    </row>
    <row r="1332" spans="1:56" x14ac:dyDescent="0.25">
      <c r="A1332">
        <v>43</v>
      </c>
      <c r="B1332" t="str">
        <f>_xlfn.XLOOKUP(Table1[[#This Row],[Attrition]],Table2[Attrition],Table2[Id_Attrition])</f>
        <v>A002</v>
      </c>
      <c r="C1332" t="s">
        <v>33</v>
      </c>
      <c r="D1332" t="str">
        <f>_xlfn.XLOOKUP(Table1[[#This Row],[BusinessTravel]],Table5[BusinessTravel],Table5[Id_BusinessTravel])</f>
        <v>BS001</v>
      </c>
      <c r="E1332" t="s">
        <v>34</v>
      </c>
      <c r="F1332">
        <v>823</v>
      </c>
      <c r="G1332" t="str">
        <f>_xlfn.XLOOKUP(Table1[[#This Row],[Department]],Table6[Department],Table6[Id_Departement])</f>
        <v>D002</v>
      </c>
      <c r="H1332" t="s">
        <v>38</v>
      </c>
      <c r="I1332">
        <v>6</v>
      </c>
      <c r="J1332" t="str">
        <f>_xlfn.XLOOKUP(Table1[[#This Row],[Education]],Table8[Education],Table8[Id_Education])</f>
        <v>E003</v>
      </c>
      <c r="K1332">
        <v>3</v>
      </c>
      <c r="L1332" t="str">
        <f>_xlfn.XLOOKUP(Table1[[#This Row],[EducationField]],Table7[EducationField],Table7[Id_EducationField])</f>
        <v>EF003</v>
      </c>
      <c r="M1332" t="s">
        <v>42</v>
      </c>
      <c r="N1332" t="str">
        <f>_xlfn.XLOOKUP(Table1[[#This Row],[EmployeeNumber]],Table4[EmployeeNumber],Table4[Id_Employee])</f>
        <v>EMP01331</v>
      </c>
      <c r="O1332">
        <v>1866</v>
      </c>
      <c r="P1332" t="str">
        <f>_xlfn.XLOOKUP(Table1[[#This Row],[EnvironmentSatisfaction]],Table9[EnvironmentSatisfaction],Table9[Id_EnviromentSatisfaction])</f>
        <v>ES001</v>
      </c>
      <c r="Q1332">
        <v>1</v>
      </c>
      <c r="R1332" t="str">
        <f>_xlfn.XLOOKUP(Table1[[#This Row],[EnvironmentSatisfaction]],Table9[EnvironmentSatisfaction],Table9[Deskripsi])</f>
        <v>Low</v>
      </c>
      <c r="S1332" t="str">
        <f>_xlfn.XLOOKUP(Table1[[#This Row],[Gender]],Table10[Gender],Table10[Id_Gender])</f>
        <v>G001</v>
      </c>
      <c r="T1332" t="s">
        <v>45</v>
      </c>
      <c r="U1332">
        <v>81</v>
      </c>
      <c r="V1332" t="str">
        <f>_xlfn.XLOOKUP(Table1[[#This Row],[JobInvolvement]],Table11[JobInvolvement],Table11[Id_JobInvolvement])</f>
        <v>JI002</v>
      </c>
      <c r="W1332">
        <v>2</v>
      </c>
      <c r="X1332" t="str">
        <f>_xlfn.XLOOKUP(Table1[[#This Row],[JobLevel]],Table12[JobLevel],Table12[Id_JobLevel])</f>
        <v>JL005</v>
      </c>
      <c r="Y1332">
        <v>5</v>
      </c>
      <c r="Z1332" t="str">
        <f>_xlfn.XLOOKUP(Table1[[#This Row],[JobRole]],Table13[JobRole],Table13[Id_JobRole])</f>
        <v>JR006</v>
      </c>
      <c r="AA1332" t="s">
        <v>52</v>
      </c>
      <c r="AB1332" t="str">
        <f>_xlfn.XLOOKUP(Table1[[#This Row],[JobSatisfaction]],Table14[JobSatisfaction],Table14[Id_JobSatisfaction])</f>
        <v>JS003</v>
      </c>
      <c r="AC1332">
        <v>3</v>
      </c>
      <c r="AD1332" t="str">
        <f>_xlfn.XLOOKUP(Table1[[#This Row],[JobSatisfaction]],Table14[JobSatisfaction],Table14[Deskripsi])</f>
        <v>High</v>
      </c>
      <c r="AE1332" t="str">
        <f>_xlfn.XLOOKUP(Table1[[#This Row],[MaritalStatus]],Table15[MaritalStatus],Table15[Id_MaritalStatus])</f>
        <v>MS002</v>
      </c>
      <c r="AF1332" t="s">
        <v>56</v>
      </c>
      <c r="AG1332">
        <v>19392</v>
      </c>
      <c r="AH1332">
        <v>22539</v>
      </c>
      <c r="AI1332">
        <v>7</v>
      </c>
      <c r="AJ1332" t="str">
        <f>_xlfn.XLOOKUP(Table1[[#This Row],[OverTime]],Table16[OverTime],Table16[Id_OverTime])</f>
        <v>OT002</v>
      </c>
      <c r="AK1332" t="s">
        <v>33</v>
      </c>
      <c r="AL1332">
        <v>13</v>
      </c>
      <c r="AM1332" t="str">
        <f>_xlfn.XLOOKUP(Table1[[#This Row],[PerformanceRating]],Table17[PerformanceRating],Table17[Id_PerformanceRating])</f>
        <v>PR003</v>
      </c>
      <c r="AN1332">
        <v>3</v>
      </c>
      <c r="AO1332" t="str">
        <f>_xlfn.XLOOKUP(Table1[[#This Row],[PerformanceRating]],Table17[PerformanceRating],Table17[Deskripsi])</f>
        <v>Excellent</v>
      </c>
      <c r="AP1332" t="str">
        <f>_xlfn.XLOOKUP(Table1[[#This Row],[RelationshipSatisfaction]],Table18[RelationshipSatisfaction],Table18[Id_RelationshipSatisfaction])</f>
        <v>RS004</v>
      </c>
      <c r="AQ1332">
        <v>4</v>
      </c>
      <c r="AR1332" t="str">
        <f>_xlfn.XLOOKUP(Table1[[#This Row],[RelationshipSatisfaction]],Table18[RelationshipSatisfaction],Table18[Deskripsi])</f>
        <v>Very High</v>
      </c>
      <c r="AS1332" t="str">
        <f>_xlfn.XLOOKUP(Table1[[#This Row],[StockOptionLevel]],Table19[StockOptionLevel],Table19[Id_StockOptionLevel])</f>
        <v>SOL001</v>
      </c>
      <c r="AT1332">
        <v>0</v>
      </c>
      <c r="AU1332" t="str">
        <f>_xlfn.XLOOKUP(Table1[[#This Row],[StockOptionLevel]],Table19[StockOptionLevel],Table19[Deskripsi])</f>
        <v>Non-Eligible</v>
      </c>
      <c r="AV1332">
        <v>21</v>
      </c>
      <c r="AW1332">
        <v>2</v>
      </c>
      <c r="AX1332" t="str">
        <f>_xlfn.XLOOKUP(Table1[[#This Row],[WorkLifeBalance]],Table20[WorkLifeBalance],Table20[Id_WorkLifeBalance])</f>
        <v>WLB002</v>
      </c>
      <c r="AY1332">
        <v>3</v>
      </c>
      <c r="AZ1332" t="str">
        <f>_xlfn.XLOOKUP(Table1[[#This Row],[WorkLifeBalance]],Table20[WorkLifeBalance],Table20[Deskripsi])</f>
        <v>Good</v>
      </c>
      <c r="BA1332">
        <v>16</v>
      </c>
      <c r="BB1332">
        <v>12</v>
      </c>
      <c r="BC1332">
        <v>6</v>
      </c>
      <c r="BD1332">
        <v>14</v>
      </c>
    </row>
    <row r="1333" spans="1:56" x14ac:dyDescent="0.25">
      <c r="A1333">
        <v>48</v>
      </c>
      <c r="B1333" t="str">
        <f>_xlfn.XLOOKUP(Table1[[#This Row],[Attrition]],Table2[Attrition],Table2[Id_Attrition])</f>
        <v>A002</v>
      </c>
      <c r="C1333" t="s">
        <v>33</v>
      </c>
      <c r="D1333" t="str">
        <f>_xlfn.XLOOKUP(Table1[[#This Row],[BusinessTravel]],Table5[BusinessTravel],Table5[Id_BusinessTravel])</f>
        <v>BS001</v>
      </c>
      <c r="E1333" t="s">
        <v>34</v>
      </c>
      <c r="F1333">
        <v>1224</v>
      </c>
      <c r="G1333" t="str">
        <f>_xlfn.XLOOKUP(Table1[[#This Row],[Department]],Table6[Department],Table6[Id_Departement])</f>
        <v>D002</v>
      </c>
      <c r="H1333" t="s">
        <v>38</v>
      </c>
      <c r="I1333">
        <v>10</v>
      </c>
      <c r="J1333" t="str">
        <f>_xlfn.XLOOKUP(Table1[[#This Row],[Education]],Table8[Education],Table8[Id_Education])</f>
        <v>E003</v>
      </c>
      <c r="K1333">
        <v>3</v>
      </c>
      <c r="L1333" t="str">
        <f>_xlfn.XLOOKUP(Table1[[#This Row],[EducationField]],Table7[EducationField],Table7[Id_EducationField])</f>
        <v>EF001</v>
      </c>
      <c r="M1333" t="s">
        <v>40</v>
      </c>
      <c r="N1333" t="str">
        <f>_xlfn.XLOOKUP(Table1[[#This Row],[EmployeeNumber]],Table4[EmployeeNumber],Table4[Id_Employee])</f>
        <v>EMP01332</v>
      </c>
      <c r="O1333">
        <v>1867</v>
      </c>
      <c r="P1333" t="str">
        <f>_xlfn.XLOOKUP(Table1[[#This Row],[EnvironmentSatisfaction]],Table9[EnvironmentSatisfaction],Table9[Id_EnviromentSatisfaction])</f>
        <v>ES004</v>
      </c>
      <c r="Q1333">
        <v>4</v>
      </c>
      <c r="R1333" t="str">
        <f>_xlfn.XLOOKUP(Table1[[#This Row],[EnvironmentSatisfaction]],Table9[EnvironmentSatisfaction],Table9[Deskripsi])</f>
        <v>Very High</v>
      </c>
      <c r="S1333" t="str">
        <f>_xlfn.XLOOKUP(Table1[[#This Row],[Gender]],Table10[Gender],Table10[Id_Gender])</f>
        <v>G002</v>
      </c>
      <c r="T1333" t="s">
        <v>46</v>
      </c>
      <c r="U1333">
        <v>91</v>
      </c>
      <c r="V1333" t="str">
        <f>_xlfn.XLOOKUP(Table1[[#This Row],[JobInvolvement]],Table11[JobInvolvement],Table11[Id_JobInvolvement])</f>
        <v>JI002</v>
      </c>
      <c r="W1333">
        <v>2</v>
      </c>
      <c r="X1333" t="str">
        <f>_xlfn.XLOOKUP(Table1[[#This Row],[JobLevel]],Table12[JobLevel],Table12[Id_JobLevel])</f>
        <v>JL005</v>
      </c>
      <c r="Y1333">
        <v>5</v>
      </c>
      <c r="Z1333" t="str">
        <f>_xlfn.XLOOKUP(Table1[[#This Row],[JobRole]],Table13[JobRole],Table13[Id_JobRole])</f>
        <v>JR008</v>
      </c>
      <c r="AA1333" t="s">
        <v>54</v>
      </c>
      <c r="AB1333" t="str">
        <f>_xlfn.XLOOKUP(Table1[[#This Row],[JobSatisfaction]],Table14[JobSatisfaction],Table14[Id_JobSatisfaction])</f>
        <v>JS002</v>
      </c>
      <c r="AC1333">
        <v>2</v>
      </c>
      <c r="AD1333" t="str">
        <f>_xlfn.XLOOKUP(Table1[[#This Row],[JobSatisfaction]],Table14[JobSatisfaction],Table14[Deskripsi])</f>
        <v>Medium</v>
      </c>
      <c r="AE1333" t="str">
        <f>_xlfn.XLOOKUP(Table1[[#This Row],[MaritalStatus]],Table15[MaritalStatus],Table15[Id_MaritalStatus])</f>
        <v>MS002</v>
      </c>
      <c r="AF1333" t="s">
        <v>56</v>
      </c>
      <c r="AG1333">
        <v>19665</v>
      </c>
      <c r="AH1333">
        <v>13583</v>
      </c>
      <c r="AI1333">
        <v>4</v>
      </c>
      <c r="AJ1333" t="str">
        <f>_xlfn.XLOOKUP(Table1[[#This Row],[OverTime]],Table16[OverTime],Table16[Id_OverTime])</f>
        <v>OT002</v>
      </c>
      <c r="AK1333" t="s">
        <v>33</v>
      </c>
      <c r="AL1333">
        <v>12</v>
      </c>
      <c r="AM1333" t="str">
        <f>_xlfn.XLOOKUP(Table1[[#This Row],[PerformanceRating]],Table17[PerformanceRating],Table17[Id_PerformanceRating])</f>
        <v>PR003</v>
      </c>
      <c r="AN1333">
        <v>3</v>
      </c>
      <c r="AO1333" t="str">
        <f>_xlfn.XLOOKUP(Table1[[#This Row],[PerformanceRating]],Table17[PerformanceRating],Table17[Deskripsi])</f>
        <v>Excellent</v>
      </c>
      <c r="AP1333" t="str">
        <f>_xlfn.XLOOKUP(Table1[[#This Row],[RelationshipSatisfaction]],Table18[RelationshipSatisfaction],Table18[Id_RelationshipSatisfaction])</f>
        <v>RS004</v>
      </c>
      <c r="AQ1333">
        <v>4</v>
      </c>
      <c r="AR1333" t="str">
        <f>_xlfn.XLOOKUP(Table1[[#This Row],[RelationshipSatisfaction]],Table18[RelationshipSatisfaction],Table18[Deskripsi])</f>
        <v>Very High</v>
      </c>
      <c r="AS1333" t="str">
        <f>_xlfn.XLOOKUP(Table1[[#This Row],[StockOptionLevel]],Table19[StockOptionLevel],Table19[Id_StockOptionLevel])</f>
        <v>SOL001</v>
      </c>
      <c r="AT1333">
        <v>0</v>
      </c>
      <c r="AU1333" t="str">
        <f>_xlfn.XLOOKUP(Table1[[#This Row],[StockOptionLevel]],Table19[StockOptionLevel],Table19[Deskripsi])</f>
        <v>Non-Eligible</v>
      </c>
      <c r="AV1333">
        <v>29</v>
      </c>
      <c r="AW1333">
        <v>3</v>
      </c>
      <c r="AX1333" t="str">
        <f>_xlfn.XLOOKUP(Table1[[#This Row],[WorkLifeBalance]],Table20[WorkLifeBalance],Table20[Id_WorkLifeBalance])</f>
        <v>WLB002</v>
      </c>
      <c r="AY1333">
        <v>3</v>
      </c>
      <c r="AZ1333" t="str">
        <f>_xlfn.XLOOKUP(Table1[[#This Row],[WorkLifeBalance]],Table20[WorkLifeBalance],Table20[Deskripsi])</f>
        <v>Good</v>
      </c>
      <c r="BA1333">
        <v>22</v>
      </c>
      <c r="BB1333">
        <v>10</v>
      </c>
      <c r="BC1333">
        <v>12</v>
      </c>
      <c r="BD1333">
        <v>9</v>
      </c>
    </row>
    <row r="1334" spans="1:56" x14ac:dyDescent="0.25">
      <c r="A1334">
        <v>29</v>
      </c>
      <c r="B1334" t="str">
        <f>_xlfn.XLOOKUP(Table1[[#This Row],[Attrition]],Table2[Attrition],Table2[Id_Attrition])</f>
        <v>A001</v>
      </c>
      <c r="C1334" t="s">
        <v>32</v>
      </c>
      <c r="D1334" t="str">
        <f>_xlfn.XLOOKUP(Table1[[#This Row],[BusinessTravel]],Table5[BusinessTravel],Table5[Id_BusinessTravel])</f>
        <v>BS002</v>
      </c>
      <c r="E1334" t="s">
        <v>35</v>
      </c>
      <c r="F1334">
        <v>459</v>
      </c>
      <c r="G1334" t="str">
        <f>_xlfn.XLOOKUP(Table1[[#This Row],[Department]],Table6[Department],Table6[Id_Departement])</f>
        <v>D002</v>
      </c>
      <c r="H1334" t="s">
        <v>38</v>
      </c>
      <c r="I1334">
        <v>24</v>
      </c>
      <c r="J1334" t="str">
        <f>_xlfn.XLOOKUP(Table1[[#This Row],[Education]],Table8[Education],Table8[Id_Education])</f>
        <v>E002</v>
      </c>
      <c r="K1334">
        <v>2</v>
      </c>
      <c r="L1334" t="str">
        <f>_xlfn.XLOOKUP(Table1[[#This Row],[EducationField]],Table7[EducationField],Table7[Id_EducationField])</f>
        <v>EF001</v>
      </c>
      <c r="M1334" t="s">
        <v>40</v>
      </c>
      <c r="N1334" t="str">
        <f>_xlfn.XLOOKUP(Table1[[#This Row],[EmployeeNumber]],Table4[EmployeeNumber],Table4[Id_Employee])</f>
        <v>EMP01333</v>
      </c>
      <c r="O1334">
        <v>1868</v>
      </c>
      <c r="P1334" t="str">
        <f>_xlfn.XLOOKUP(Table1[[#This Row],[EnvironmentSatisfaction]],Table9[EnvironmentSatisfaction],Table9[Id_EnviromentSatisfaction])</f>
        <v>ES004</v>
      </c>
      <c r="Q1334">
        <v>4</v>
      </c>
      <c r="R1334" t="str">
        <f>_xlfn.XLOOKUP(Table1[[#This Row],[EnvironmentSatisfaction]],Table9[EnvironmentSatisfaction],Table9[Deskripsi])</f>
        <v>Very High</v>
      </c>
      <c r="S1334" t="str">
        <f>_xlfn.XLOOKUP(Table1[[#This Row],[Gender]],Table10[Gender],Table10[Id_Gender])</f>
        <v>G002</v>
      </c>
      <c r="T1334" t="s">
        <v>46</v>
      </c>
      <c r="U1334">
        <v>73</v>
      </c>
      <c r="V1334" t="str">
        <f>_xlfn.XLOOKUP(Table1[[#This Row],[JobInvolvement]],Table11[JobInvolvement],Table11[Id_JobInvolvement])</f>
        <v>JI002</v>
      </c>
      <c r="W1334">
        <v>2</v>
      </c>
      <c r="X1334" t="str">
        <f>_xlfn.XLOOKUP(Table1[[#This Row],[JobLevel]],Table12[JobLevel],Table12[Id_JobLevel])</f>
        <v>JL001</v>
      </c>
      <c r="Y1334">
        <v>1</v>
      </c>
      <c r="Z1334" t="str">
        <f>_xlfn.XLOOKUP(Table1[[#This Row],[JobRole]],Table13[JobRole],Table13[Id_JobRole])</f>
        <v>JR002</v>
      </c>
      <c r="AA1334" t="s">
        <v>48</v>
      </c>
      <c r="AB1334" t="str">
        <f>_xlfn.XLOOKUP(Table1[[#This Row],[JobSatisfaction]],Table14[JobSatisfaction],Table14[Id_JobSatisfaction])</f>
        <v>JS004</v>
      </c>
      <c r="AC1334">
        <v>4</v>
      </c>
      <c r="AD1334" t="str">
        <f>_xlfn.XLOOKUP(Table1[[#This Row],[JobSatisfaction]],Table14[JobSatisfaction],Table14[Deskripsi])</f>
        <v>Very High</v>
      </c>
      <c r="AE1334" t="str">
        <f>_xlfn.XLOOKUP(Table1[[#This Row],[MaritalStatus]],Table15[MaritalStatus],Table15[Id_MaritalStatus])</f>
        <v>MS001</v>
      </c>
      <c r="AF1334" t="s">
        <v>55</v>
      </c>
      <c r="AG1334">
        <v>2439</v>
      </c>
      <c r="AH1334">
        <v>14753</v>
      </c>
      <c r="AI1334">
        <v>1</v>
      </c>
      <c r="AJ1334" t="str">
        <f>_xlfn.XLOOKUP(Table1[[#This Row],[OverTime]],Table16[OverTime],Table16[Id_OverTime])</f>
        <v>OT001</v>
      </c>
      <c r="AK1334" t="s">
        <v>32</v>
      </c>
      <c r="AL1334">
        <v>24</v>
      </c>
      <c r="AM1334" t="str">
        <f>_xlfn.XLOOKUP(Table1[[#This Row],[PerformanceRating]],Table17[PerformanceRating],Table17[Id_PerformanceRating])</f>
        <v>PR004</v>
      </c>
      <c r="AN1334">
        <v>4</v>
      </c>
      <c r="AO1334" t="str">
        <f>_xlfn.XLOOKUP(Table1[[#This Row],[PerformanceRating]],Table17[PerformanceRating],Table17[Deskripsi])</f>
        <v>Outstanding</v>
      </c>
      <c r="AP1334" t="str">
        <f>_xlfn.XLOOKUP(Table1[[#This Row],[RelationshipSatisfaction]],Table18[RelationshipSatisfaction],Table18[Id_RelationshipSatisfaction])</f>
        <v>RS002</v>
      </c>
      <c r="AQ1334">
        <v>2</v>
      </c>
      <c r="AR1334" t="str">
        <f>_xlfn.XLOOKUP(Table1[[#This Row],[RelationshipSatisfaction]],Table18[RelationshipSatisfaction],Table18[Deskripsi])</f>
        <v>Medium</v>
      </c>
      <c r="AS1334" t="str">
        <f>_xlfn.XLOOKUP(Table1[[#This Row],[StockOptionLevel]],Table19[StockOptionLevel],Table19[Id_StockOptionLevel])</f>
        <v>SOL001</v>
      </c>
      <c r="AT1334">
        <v>0</v>
      </c>
      <c r="AU1334" t="str">
        <f>_xlfn.XLOOKUP(Table1[[#This Row],[StockOptionLevel]],Table19[StockOptionLevel],Table19[Deskripsi])</f>
        <v>Non-Eligible</v>
      </c>
      <c r="AV1334">
        <v>1</v>
      </c>
      <c r="AW1334">
        <v>3</v>
      </c>
      <c r="AX1334" t="str">
        <f>_xlfn.XLOOKUP(Table1[[#This Row],[WorkLifeBalance]],Table20[WorkLifeBalance],Table20[Id_WorkLifeBalance])</f>
        <v>WLB003</v>
      </c>
      <c r="AY1334">
        <v>2</v>
      </c>
      <c r="AZ1334" t="str">
        <f>_xlfn.XLOOKUP(Table1[[#This Row],[WorkLifeBalance]],Table20[WorkLifeBalance],Table20[Deskripsi])</f>
        <v>Better</v>
      </c>
      <c r="BA1334">
        <v>1</v>
      </c>
      <c r="BB1334">
        <v>0</v>
      </c>
      <c r="BC1334">
        <v>1</v>
      </c>
      <c r="BD1334">
        <v>0</v>
      </c>
    </row>
    <row r="1335" spans="1:56" x14ac:dyDescent="0.25">
      <c r="A1335">
        <v>46</v>
      </c>
      <c r="B1335" t="str">
        <f>_xlfn.XLOOKUP(Table1[[#This Row],[Attrition]],Table2[Attrition],Table2[Id_Attrition])</f>
        <v>A001</v>
      </c>
      <c r="C1335" t="s">
        <v>32</v>
      </c>
      <c r="D1335" t="str">
        <f>_xlfn.XLOOKUP(Table1[[#This Row],[BusinessTravel]],Table5[BusinessTravel],Table5[Id_BusinessTravel])</f>
        <v>BS001</v>
      </c>
      <c r="E1335" t="s">
        <v>34</v>
      </c>
      <c r="F1335">
        <v>1254</v>
      </c>
      <c r="G1335" t="str">
        <f>_xlfn.XLOOKUP(Table1[[#This Row],[Department]],Table6[Department],Table6[Id_Departement])</f>
        <v>D001</v>
      </c>
      <c r="H1335" t="s">
        <v>37</v>
      </c>
      <c r="I1335">
        <v>10</v>
      </c>
      <c r="J1335" t="str">
        <f>_xlfn.XLOOKUP(Table1[[#This Row],[Education]],Table8[Education],Table8[Id_Education])</f>
        <v>E003</v>
      </c>
      <c r="K1335">
        <v>3</v>
      </c>
      <c r="L1335" t="str">
        <f>_xlfn.XLOOKUP(Table1[[#This Row],[EducationField]],Table7[EducationField],Table7[Id_EducationField])</f>
        <v>EF001</v>
      </c>
      <c r="M1335" t="s">
        <v>40</v>
      </c>
      <c r="N1335" t="str">
        <f>_xlfn.XLOOKUP(Table1[[#This Row],[EmployeeNumber]],Table4[EmployeeNumber],Table4[Id_Employee])</f>
        <v>EMP01334</v>
      </c>
      <c r="O1335">
        <v>1869</v>
      </c>
      <c r="P1335" t="str">
        <f>_xlfn.XLOOKUP(Table1[[#This Row],[EnvironmentSatisfaction]],Table9[EnvironmentSatisfaction],Table9[Id_EnviromentSatisfaction])</f>
        <v>ES003</v>
      </c>
      <c r="Q1335">
        <v>3</v>
      </c>
      <c r="R1335" t="str">
        <f>_xlfn.XLOOKUP(Table1[[#This Row],[EnvironmentSatisfaction]],Table9[EnvironmentSatisfaction],Table9[Deskripsi])</f>
        <v>High</v>
      </c>
      <c r="S1335" t="str">
        <f>_xlfn.XLOOKUP(Table1[[#This Row],[Gender]],Table10[Gender],Table10[Id_Gender])</f>
        <v>G001</v>
      </c>
      <c r="T1335" t="s">
        <v>45</v>
      </c>
      <c r="U1335">
        <v>64</v>
      </c>
      <c r="V1335" t="str">
        <f>_xlfn.XLOOKUP(Table1[[#This Row],[JobInvolvement]],Table11[JobInvolvement],Table11[Id_JobInvolvement])</f>
        <v>JI003</v>
      </c>
      <c r="W1335">
        <v>3</v>
      </c>
      <c r="X1335" t="str">
        <f>_xlfn.XLOOKUP(Table1[[#This Row],[JobLevel]],Table12[JobLevel],Table12[Id_JobLevel])</f>
        <v>JL003</v>
      </c>
      <c r="Y1335">
        <v>3</v>
      </c>
      <c r="Z1335" t="str">
        <f>_xlfn.XLOOKUP(Table1[[#This Row],[JobRole]],Table13[JobRole],Table13[Id_JobRole])</f>
        <v>JR001</v>
      </c>
      <c r="AA1335" t="s">
        <v>47</v>
      </c>
      <c r="AB1335" t="str">
        <f>_xlfn.XLOOKUP(Table1[[#This Row],[JobSatisfaction]],Table14[JobSatisfaction],Table14[Id_JobSatisfaction])</f>
        <v>JS002</v>
      </c>
      <c r="AC1335">
        <v>2</v>
      </c>
      <c r="AD1335" t="str">
        <f>_xlfn.XLOOKUP(Table1[[#This Row],[JobSatisfaction]],Table14[JobSatisfaction],Table14[Deskripsi])</f>
        <v>Medium</v>
      </c>
      <c r="AE1335" t="str">
        <f>_xlfn.XLOOKUP(Table1[[#This Row],[MaritalStatus]],Table15[MaritalStatus],Table15[Id_MaritalStatus])</f>
        <v>MS002</v>
      </c>
      <c r="AF1335" t="s">
        <v>56</v>
      </c>
      <c r="AG1335">
        <v>7314</v>
      </c>
      <c r="AH1335">
        <v>14011</v>
      </c>
      <c r="AI1335">
        <v>5</v>
      </c>
      <c r="AJ1335" t="str">
        <f>_xlfn.XLOOKUP(Table1[[#This Row],[OverTime]],Table16[OverTime],Table16[Id_OverTime])</f>
        <v>OT002</v>
      </c>
      <c r="AK1335" t="s">
        <v>33</v>
      </c>
      <c r="AL1335">
        <v>21</v>
      </c>
      <c r="AM1335" t="str">
        <f>_xlfn.XLOOKUP(Table1[[#This Row],[PerformanceRating]],Table17[PerformanceRating],Table17[Id_PerformanceRating])</f>
        <v>PR004</v>
      </c>
      <c r="AN1335">
        <v>4</v>
      </c>
      <c r="AO1335" t="str">
        <f>_xlfn.XLOOKUP(Table1[[#This Row],[PerformanceRating]],Table17[PerformanceRating],Table17[Deskripsi])</f>
        <v>Outstanding</v>
      </c>
      <c r="AP1335" t="str">
        <f>_xlfn.XLOOKUP(Table1[[#This Row],[RelationshipSatisfaction]],Table18[RelationshipSatisfaction],Table18[Id_RelationshipSatisfaction])</f>
        <v>RS003</v>
      </c>
      <c r="AQ1335">
        <v>3</v>
      </c>
      <c r="AR1335" t="str">
        <f>_xlfn.XLOOKUP(Table1[[#This Row],[RelationshipSatisfaction]],Table18[RelationshipSatisfaction],Table18[Deskripsi])</f>
        <v>High</v>
      </c>
      <c r="AS1335" t="str">
        <f>_xlfn.XLOOKUP(Table1[[#This Row],[StockOptionLevel]],Table19[StockOptionLevel],Table19[Id_StockOptionLevel])</f>
        <v>SOL004</v>
      </c>
      <c r="AT1335">
        <v>3</v>
      </c>
      <c r="AU1335" t="str">
        <f>_xlfn.XLOOKUP(Table1[[#This Row],[StockOptionLevel]],Table19[StockOptionLevel],Table19[Deskripsi])</f>
        <v>Senior/Executive</v>
      </c>
      <c r="AV1335">
        <v>14</v>
      </c>
      <c r="AW1335">
        <v>2</v>
      </c>
      <c r="AX1335" t="str">
        <f>_xlfn.XLOOKUP(Table1[[#This Row],[WorkLifeBalance]],Table20[WorkLifeBalance],Table20[Id_WorkLifeBalance])</f>
        <v>WLB002</v>
      </c>
      <c r="AY1335">
        <v>3</v>
      </c>
      <c r="AZ1335" t="str">
        <f>_xlfn.XLOOKUP(Table1[[#This Row],[WorkLifeBalance]],Table20[WorkLifeBalance],Table20[Deskripsi])</f>
        <v>Good</v>
      </c>
      <c r="BA1335">
        <v>8</v>
      </c>
      <c r="BB1335">
        <v>7</v>
      </c>
      <c r="BC1335">
        <v>0</v>
      </c>
      <c r="BD1335">
        <v>7</v>
      </c>
    </row>
    <row r="1336" spans="1:56" x14ac:dyDescent="0.25">
      <c r="A1336">
        <v>27</v>
      </c>
      <c r="B1336" t="str">
        <f>_xlfn.XLOOKUP(Table1[[#This Row],[Attrition]],Table2[Attrition],Table2[Id_Attrition])</f>
        <v>A002</v>
      </c>
      <c r="C1336" t="s">
        <v>33</v>
      </c>
      <c r="D1336" t="str">
        <f>_xlfn.XLOOKUP(Table1[[#This Row],[BusinessTravel]],Table5[BusinessTravel],Table5[Id_BusinessTravel])</f>
        <v>BS002</v>
      </c>
      <c r="E1336" t="s">
        <v>35</v>
      </c>
      <c r="F1336">
        <v>1131</v>
      </c>
      <c r="G1336" t="str">
        <f>_xlfn.XLOOKUP(Table1[[#This Row],[Department]],Table6[Department],Table6[Id_Departement])</f>
        <v>D002</v>
      </c>
      <c r="H1336" t="s">
        <v>38</v>
      </c>
      <c r="I1336">
        <v>15</v>
      </c>
      <c r="J1336" t="str">
        <f>_xlfn.XLOOKUP(Table1[[#This Row],[Education]],Table8[Education],Table8[Id_Education])</f>
        <v>E003</v>
      </c>
      <c r="K1336">
        <v>3</v>
      </c>
      <c r="L1336" t="str">
        <f>_xlfn.XLOOKUP(Table1[[#This Row],[EducationField]],Table7[EducationField],Table7[Id_EducationField])</f>
        <v>EF001</v>
      </c>
      <c r="M1336" t="s">
        <v>40</v>
      </c>
      <c r="N1336" t="str">
        <f>_xlfn.XLOOKUP(Table1[[#This Row],[EmployeeNumber]],Table4[EmployeeNumber],Table4[Id_Employee])</f>
        <v>EMP01335</v>
      </c>
      <c r="O1336">
        <v>1870</v>
      </c>
      <c r="P1336" t="str">
        <f>_xlfn.XLOOKUP(Table1[[#This Row],[EnvironmentSatisfaction]],Table9[EnvironmentSatisfaction],Table9[Id_EnviromentSatisfaction])</f>
        <v>ES004</v>
      </c>
      <c r="Q1336">
        <v>4</v>
      </c>
      <c r="R1336" t="str">
        <f>_xlfn.XLOOKUP(Table1[[#This Row],[EnvironmentSatisfaction]],Table9[EnvironmentSatisfaction],Table9[Deskripsi])</f>
        <v>Very High</v>
      </c>
      <c r="S1336" t="str">
        <f>_xlfn.XLOOKUP(Table1[[#This Row],[Gender]],Table10[Gender],Table10[Id_Gender])</f>
        <v>G001</v>
      </c>
      <c r="T1336" t="s">
        <v>45</v>
      </c>
      <c r="U1336">
        <v>77</v>
      </c>
      <c r="V1336" t="str">
        <f>_xlfn.XLOOKUP(Table1[[#This Row],[JobInvolvement]],Table11[JobInvolvement],Table11[Id_JobInvolvement])</f>
        <v>JI002</v>
      </c>
      <c r="W1336">
        <v>2</v>
      </c>
      <c r="X1336" t="str">
        <f>_xlfn.XLOOKUP(Table1[[#This Row],[JobLevel]],Table12[JobLevel],Table12[Id_JobLevel])</f>
        <v>JL001</v>
      </c>
      <c r="Y1336">
        <v>1</v>
      </c>
      <c r="Z1336" t="str">
        <f>_xlfn.XLOOKUP(Table1[[#This Row],[JobRole]],Table13[JobRole],Table13[Id_JobRole])</f>
        <v>JR002</v>
      </c>
      <c r="AA1336" t="s">
        <v>48</v>
      </c>
      <c r="AB1336" t="str">
        <f>_xlfn.XLOOKUP(Table1[[#This Row],[JobSatisfaction]],Table14[JobSatisfaction],Table14[Id_JobSatisfaction])</f>
        <v>JS001</v>
      </c>
      <c r="AC1336">
        <v>1</v>
      </c>
      <c r="AD1336" t="str">
        <f>_xlfn.XLOOKUP(Table1[[#This Row],[JobSatisfaction]],Table14[JobSatisfaction],Table14[Deskripsi])</f>
        <v>Low</v>
      </c>
      <c r="AE1336" t="str">
        <f>_xlfn.XLOOKUP(Table1[[#This Row],[MaritalStatus]],Table15[MaritalStatus],Table15[Id_MaritalStatus])</f>
        <v>MS002</v>
      </c>
      <c r="AF1336" t="s">
        <v>56</v>
      </c>
      <c r="AG1336">
        <v>4774</v>
      </c>
      <c r="AH1336">
        <v>23844</v>
      </c>
      <c r="AI1336">
        <v>0</v>
      </c>
      <c r="AJ1336" t="str">
        <f>_xlfn.XLOOKUP(Table1[[#This Row],[OverTime]],Table16[OverTime],Table16[Id_OverTime])</f>
        <v>OT002</v>
      </c>
      <c r="AK1336" t="s">
        <v>33</v>
      </c>
      <c r="AL1336">
        <v>19</v>
      </c>
      <c r="AM1336" t="str">
        <f>_xlfn.XLOOKUP(Table1[[#This Row],[PerformanceRating]],Table17[PerformanceRating],Table17[Id_PerformanceRating])</f>
        <v>PR003</v>
      </c>
      <c r="AN1336">
        <v>3</v>
      </c>
      <c r="AO1336" t="str">
        <f>_xlfn.XLOOKUP(Table1[[#This Row],[PerformanceRating]],Table17[PerformanceRating],Table17[Deskripsi])</f>
        <v>Excellent</v>
      </c>
      <c r="AP1336" t="str">
        <f>_xlfn.XLOOKUP(Table1[[#This Row],[RelationshipSatisfaction]],Table18[RelationshipSatisfaction],Table18[Id_RelationshipSatisfaction])</f>
        <v>RS004</v>
      </c>
      <c r="AQ1336">
        <v>4</v>
      </c>
      <c r="AR1336" t="str">
        <f>_xlfn.XLOOKUP(Table1[[#This Row],[RelationshipSatisfaction]],Table18[RelationshipSatisfaction],Table18[Deskripsi])</f>
        <v>Very High</v>
      </c>
      <c r="AS1336" t="str">
        <f>_xlfn.XLOOKUP(Table1[[#This Row],[StockOptionLevel]],Table19[StockOptionLevel],Table19[Id_StockOptionLevel])</f>
        <v>SOL002</v>
      </c>
      <c r="AT1336">
        <v>1</v>
      </c>
      <c r="AU1336" t="str">
        <f>_xlfn.XLOOKUP(Table1[[#This Row],[StockOptionLevel]],Table19[StockOptionLevel],Table19[Deskripsi])</f>
        <v>Standard</v>
      </c>
      <c r="AV1336">
        <v>8</v>
      </c>
      <c r="AW1336">
        <v>2</v>
      </c>
      <c r="AX1336" t="str">
        <f>_xlfn.XLOOKUP(Table1[[#This Row],[WorkLifeBalance]],Table20[WorkLifeBalance],Table20[Id_WorkLifeBalance])</f>
        <v>WLB003</v>
      </c>
      <c r="AY1336">
        <v>2</v>
      </c>
      <c r="AZ1336" t="str">
        <f>_xlfn.XLOOKUP(Table1[[#This Row],[WorkLifeBalance]],Table20[WorkLifeBalance],Table20[Deskripsi])</f>
        <v>Better</v>
      </c>
      <c r="BA1336">
        <v>7</v>
      </c>
      <c r="BB1336">
        <v>6</v>
      </c>
      <c r="BC1336">
        <v>7</v>
      </c>
      <c r="BD1336">
        <v>3</v>
      </c>
    </row>
    <row r="1337" spans="1:56" x14ac:dyDescent="0.25">
      <c r="A1337">
        <v>39</v>
      </c>
      <c r="B1337" t="str">
        <f>_xlfn.XLOOKUP(Table1[[#This Row],[Attrition]],Table2[Attrition],Table2[Id_Attrition])</f>
        <v>A002</v>
      </c>
      <c r="C1337" t="s">
        <v>33</v>
      </c>
      <c r="D1337" t="str">
        <f>_xlfn.XLOOKUP(Table1[[#This Row],[BusinessTravel]],Table5[BusinessTravel],Table5[Id_BusinessTravel])</f>
        <v>BS001</v>
      </c>
      <c r="E1337" t="s">
        <v>34</v>
      </c>
      <c r="F1337">
        <v>835</v>
      </c>
      <c r="G1337" t="str">
        <f>_xlfn.XLOOKUP(Table1[[#This Row],[Department]],Table6[Department],Table6[Id_Departement])</f>
        <v>D002</v>
      </c>
      <c r="H1337" t="s">
        <v>38</v>
      </c>
      <c r="I1337">
        <v>19</v>
      </c>
      <c r="J1337" t="str">
        <f>_xlfn.XLOOKUP(Table1[[#This Row],[Education]],Table8[Education],Table8[Id_Education])</f>
        <v>E004</v>
      </c>
      <c r="K1337">
        <v>4</v>
      </c>
      <c r="L1337" t="str">
        <f>_xlfn.XLOOKUP(Table1[[#This Row],[EducationField]],Table7[EducationField],Table7[Id_EducationField])</f>
        <v>EF002</v>
      </c>
      <c r="M1337" t="s">
        <v>41</v>
      </c>
      <c r="N1337" t="str">
        <f>_xlfn.XLOOKUP(Table1[[#This Row],[EmployeeNumber]],Table4[EmployeeNumber],Table4[Id_Employee])</f>
        <v>EMP01336</v>
      </c>
      <c r="O1337">
        <v>1871</v>
      </c>
      <c r="P1337" t="str">
        <f>_xlfn.XLOOKUP(Table1[[#This Row],[EnvironmentSatisfaction]],Table9[EnvironmentSatisfaction],Table9[Id_EnviromentSatisfaction])</f>
        <v>ES004</v>
      </c>
      <c r="Q1337">
        <v>4</v>
      </c>
      <c r="R1337" t="str">
        <f>_xlfn.XLOOKUP(Table1[[#This Row],[EnvironmentSatisfaction]],Table9[EnvironmentSatisfaction],Table9[Deskripsi])</f>
        <v>Very High</v>
      </c>
      <c r="S1337" t="str">
        <f>_xlfn.XLOOKUP(Table1[[#This Row],[Gender]],Table10[Gender],Table10[Id_Gender])</f>
        <v>G002</v>
      </c>
      <c r="T1337" t="s">
        <v>46</v>
      </c>
      <c r="U1337">
        <v>41</v>
      </c>
      <c r="V1337" t="str">
        <f>_xlfn.XLOOKUP(Table1[[#This Row],[JobInvolvement]],Table11[JobInvolvement],Table11[Id_JobInvolvement])</f>
        <v>JI003</v>
      </c>
      <c r="W1337">
        <v>3</v>
      </c>
      <c r="X1337" t="str">
        <f>_xlfn.XLOOKUP(Table1[[#This Row],[JobLevel]],Table12[JobLevel],Table12[Id_JobLevel])</f>
        <v>JL002</v>
      </c>
      <c r="Y1337">
        <v>2</v>
      </c>
      <c r="Z1337" t="str">
        <f>_xlfn.XLOOKUP(Table1[[#This Row],[JobRole]],Table13[JobRole],Table13[Id_JobRole])</f>
        <v>JR002</v>
      </c>
      <c r="AA1337" t="s">
        <v>48</v>
      </c>
      <c r="AB1337" t="str">
        <f>_xlfn.XLOOKUP(Table1[[#This Row],[JobSatisfaction]],Table14[JobSatisfaction],Table14[Id_JobSatisfaction])</f>
        <v>JS004</v>
      </c>
      <c r="AC1337">
        <v>4</v>
      </c>
      <c r="AD1337" t="str">
        <f>_xlfn.XLOOKUP(Table1[[#This Row],[JobSatisfaction]],Table14[JobSatisfaction],Table14[Deskripsi])</f>
        <v>Very High</v>
      </c>
      <c r="AE1337" t="str">
        <f>_xlfn.XLOOKUP(Table1[[#This Row],[MaritalStatus]],Table15[MaritalStatus],Table15[Id_MaritalStatus])</f>
        <v>MS003</v>
      </c>
      <c r="AF1337" t="s">
        <v>57</v>
      </c>
      <c r="AG1337">
        <v>3902</v>
      </c>
      <c r="AH1337">
        <v>5141</v>
      </c>
      <c r="AI1337">
        <v>8</v>
      </c>
      <c r="AJ1337" t="str">
        <f>_xlfn.XLOOKUP(Table1[[#This Row],[OverTime]],Table16[OverTime],Table16[Id_OverTime])</f>
        <v>OT002</v>
      </c>
      <c r="AK1337" t="s">
        <v>33</v>
      </c>
      <c r="AL1337">
        <v>14</v>
      </c>
      <c r="AM1337" t="str">
        <f>_xlfn.XLOOKUP(Table1[[#This Row],[PerformanceRating]],Table17[PerformanceRating],Table17[Id_PerformanceRating])</f>
        <v>PR003</v>
      </c>
      <c r="AN1337">
        <v>3</v>
      </c>
      <c r="AO1337" t="str">
        <f>_xlfn.XLOOKUP(Table1[[#This Row],[PerformanceRating]],Table17[PerformanceRating],Table17[Deskripsi])</f>
        <v>Excellent</v>
      </c>
      <c r="AP1337" t="str">
        <f>_xlfn.XLOOKUP(Table1[[#This Row],[RelationshipSatisfaction]],Table18[RelationshipSatisfaction],Table18[Id_RelationshipSatisfaction])</f>
        <v>RS002</v>
      </c>
      <c r="AQ1337">
        <v>2</v>
      </c>
      <c r="AR1337" t="str">
        <f>_xlfn.XLOOKUP(Table1[[#This Row],[RelationshipSatisfaction]],Table18[RelationshipSatisfaction],Table18[Deskripsi])</f>
        <v>Medium</v>
      </c>
      <c r="AS1337" t="str">
        <f>_xlfn.XLOOKUP(Table1[[#This Row],[StockOptionLevel]],Table19[StockOptionLevel],Table19[Id_StockOptionLevel])</f>
        <v>SOL004</v>
      </c>
      <c r="AT1337">
        <v>3</v>
      </c>
      <c r="AU1337" t="str">
        <f>_xlfn.XLOOKUP(Table1[[#This Row],[StockOptionLevel]],Table19[StockOptionLevel],Table19[Deskripsi])</f>
        <v>Senior/Executive</v>
      </c>
      <c r="AV1337">
        <v>7</v>
      </c>
      <c r="AW1337">
        <v>2</v>
      </c>
      <c r="AX1337" t="str">
        <f>_xlfn.XLOOKUP(Table1[[#This Row],[WorkLifeBalance]],Table20[WorkLifeBalance],Table20[Id_WorkLifeBalance])</f>
        <v>WLB002</v>
      </c>
      <c r="AY1337">
        <v>3</v>
      </c>
      <c r="AZ1337" t="str">
        <f>_xlfn.XLOOKUP(Table1[[#This Row],[WorkLifeBalance]],Table20[WorkLifeBalance],Table20[Deskripsi])</f>
        <v>Good</v>
      </c>
      <c r="BA1337">
        <v>2</v>
      </c>
      <c r="BB1337">
        <v>2</v>
      </c>
      <c r="BC1337">
        <v>2</v>
      </c>
      <c r="BD1337">
        <v>2</v>
      </c>
    </row>
    <row r="1338" spans="1:56" x14ac:dyDescent="0.25">
      <c r="A1338">
        <v>55</v>
      </c>
      <c r="B1338" t="str">
        <f>_xlfn.XLOOKUP(Table1[[#This Row],[Attrition]],Table2[Attrition],Table2[Id_Attrition])</f>
        <v>A002</v>
      </c>
      <c r="C1338" t="s">
        <v>33</v>
      </c>
      <c r="D1338" t="str">
        <f>_xlfn.XLOOKUP(Table1[[#This Row],[BusinessTravel]],Table5[BusinessTravel],Table5[Id_BusinessTravel])</f>
        <v>BS001</v>
      </c>
      <c r="E1338" t="s">
        <v>34</v>
      </c>
      <c r="F1338">
        <v>836</v>
      </c>
      <c r="G1338" t="str">
        <f>_xlfn.XLOOKUP(Table1[[#This Row],[Department]],Table6[Department],Table6[Id_Departement])</f>
        <v>D002</v>
      </c>
      <c r="H1338" t="s">
        <v>38</v>
      </c>
      <c r="I1338">
        <v>2</v>
      </c>
      <c r="J1338" t="str">
        <f>_xlfn.XLOOKUP(Table1[[#This Row],[Education]],Table8[Education],Table8[Id_Education])</f>
        <v>E004</v>
      </c>
      <c r="K1338">
        <v>4</v>
      </c>
      <c r="L1338" t="str">
        <f>_xlfn.XLOOKUP(Table1[[#This Row],[EducationField]],Table7[EducationField],Table7[Id_EducationField])</f>
        <v>EF005</v>
      </c>
      <c r="M1338" t="s">
        <v>44</v>
      </c>
      <c r="N1338" t="str">
        <f>_xlfn.XLOOKUP(Table1[[#This Row],[EmployeeNumber]],Table4[EmployeeNumber],Table4[Id_Employee])</f>
        <v>EMP01337</v>
      </c>
      <c r="O1338">
        <v>1873</v>
      </c>
      <c r="P1338" t="str">
        <f>_xlfn.XLOOKUP(Table1[[#This Row],[EnvironmentSatisfaction]],Table9[EnvironmentSatisfaction],Table9[Id_EnviromentSatisfaction])</f>
        <v>ES002</v>
      </c>
      <c r="Q1338">
        <v>2</v>
      </c>
      <c r="R1338" t="str">
        <f>_xlfn.XLOOKUP(Table1[[#This Row],[EnvironmentSatisfaction]],Table9[EnvironmentSatisfaction],Table9[Deskripsi])</f>
        <v>Medium</v>
      </c>
      <c r="S1338" t="str">
        <f>_xlfn.XLOOKUP(Table1[[#This Row],[Gender]],Table10[Gender],Table10[Id_Gender])</f>
        <v>G002</v>
      </c>
      <c r="T1338" t="s">
        <v>46</v>
      </c>
      <c r="U1338">
        <v>98</v>
      </c>
      <c r="V1338" t="str">
        <f>_xlfn.XLOOKUP(Table1[[#This Row],[JobInvolvement]],Table11[JobInvolvement],Table11[Id_JobInvolvement])</f>
        <v>JI002</v>
      </c>
      <c r="W1338">
        <v>2</v>
      </c>
      <c r="X1338" t="str">
        <f>_xlfn.XLOOKUP(Table1[[#This Row],[JobLevel]],Table12[JobLevel],Table12[Id_JobLevel])</f>
        <v>JL001</v>
      </c>
      <c r="Y1338">
        <v>1</v>
      </c>
      <c r="Z1338" t="str">
        <f>_xlfn.XLOOKUP(Table1[[#This Row],[JobRole]],Table13[JobRole],Table13[Id_JobRole])</f>
        <v>JR002</v>
      </c>
      <c r="AA1338" t="s">
        <v>48</v>
      </c>
      <c r="AB1338" t="str">
        <f>_xlfn.XLOOKUP(Table1[[#This Row],[JobSatisfaction]],Table14[JobSatisfaction],Table14[Id_JobSatisfaction])</f>
        <v>JS004</v>
      </c>
      <c r="AC1338">
        <v>4</v>
      </c>
      <c r="AD1338" t="str">
        <f>_xlfn.XLOOKUP(Table1[[#This Row],[JobSatisfaction]],Table14[JobSatisfaction],Table14[Deskripsi])</f>
        <v>Very High</v>
      </c>
      <c r="AE1338" t="str">
        <f>_xlfn.XLOOKUP(Table1[[#This Row],[MaritalStatus]],Table15[MaritalStatus],Table15[Id_MaritalStatus])</f>
        <v>MS002</v>
      </c>
      <c r="AF1338" t="s">
        <v>56</v>
      </c>
      <c r="AG1338">
        <v>2662</v>
      </c>
      <c r="AH1338">
        <v>7975</v>
      </c>
      <c r="AI1338">
        <v>8</v>
      </c>
      <c r="AJ1338" t="str">
        <f>_xlfn.XLOOKUP(Table1[[#This Row],[OverTime]],Table16[OverTime],Table16[Id_OverTime])</f>
        <v>OT002</v>
      </c>
      <c r="AK1338" t="s">
        <v>33</v>
      </c>
      <c r="AL1338">
        <v>20</v>
      </c>
      <c r="AM1338" t="str">
        <f>_xlfn.XLOOKUP(Table1[[#This Row],[PerformanceRating]],Table17[PerformanceRating],Table17[Id_PerformanceRating])</f>
        <v>PR004</v>
      </c>
      <c r="AN1338">
        <v>4</v>
      </c>
      <c r="AO1338" t="str">
        <f>_xlfn.XLOOKUP(Table1[[#This Row],[PerformanceRating]],Table17[PerformanceRating],Table17[Deskripsi])</f>
        <v>Outstanding</v>
      </c>
      <c r="AP1338" t="str">
        <f>_xlfn.XLOOKUP(Table1[[#This Row],[RelationshipSatisfaction]],Table18[RelationshipSatisfaction],Table18[Id_RelationshipSatisfaction])</f>
        <v>RS002</v>
      </c>
      <c r="AQ1338">
        <v>2</v>
      </c>
      <c r="AR1338" t="str">
        <f>_xlfn.XLOOKUP(Table1[[#This Row],[RelationshipSatisfaction]],Table18[RelationshipSatisfaction],Table18[Deskripsi])</f>
        <v>Medium</v>
      </c>
      <c r="AS1338" t="str">
        <f>_xlfn.XLOOKUP(Table1[[#This Row],[StockOptionLevel]],Table19[StockOptionLevel],Table19[Id_StockOptionLevel])</f>
        <v>SOL002</v>
      </c>
      <c r="AT1338">
        <v>1</v>
      </c>
      <c r="AU1338" t="str">
        <f>_xlfn.XLOOKUP(Table1[[#This Row],[StockOptionLevel]],Table19[StockOptionLevel],Table19[Deskripsi])</f>
        <v>Standard</v>
      </c>
      <c r="AV1338">
        <v>19</v>
      </c>
      <c r="AW1338">
        <v>2</v>
      </c>
      <c r="AX1338" t="str">
        <f>_xlfn.XLOOKUP(Table1[[#This Row],[WorkLifeBalance]],Table20[WorkLifeBalance],Table20[Id_WorkLifeBalance])</f>
        <v>WLB004</v>
      </c>
      <c r="AY1338">
        <v>4</v>
      </c>
      <c r="AZ1338" t="str">
        <f>_xlfn.XLOOKUP(Table1[[#This Row],[WorkLifeBalance]],Table20[WorkLifeBalance],Table20[Deskripsi])</f>
        <v>Best</v>
      </c>
      <c r="BA1338">
        <v>5</v>
      </c>
      <c r="BB1338">
        <v>2</v>
      </c>
      <c r="BC1338">
        <v>0</v>
      </c>
      <c r="BD1338">
        <v>4</v>
      </c>
    </row>
    <row r="1339" spans="1:56" x14ac:dyDescent="0.25">
      <c r="A1339">
        <v>28</v>
      </c>
      <c r="B1339" t="str">
        <f>_xlfn.XLOOKUP(Table1[[#This Row],[Attrition]],Table2[Attrition],Table2[Id_Attrition])</f>
        <v>A002</v>
      </c>
      <c r="C1339" t="s">
        <v>33</v>
      </c>
      <c r="D1339" t="str">
        <f>_xlfn.XLOOKUP(Table1[[#This Row],[BusinessTravel]],Table5[BusinessTravel],Table5[Id_BusinessTravel])</f>
        <v>BS001</v>
      </c>
      <c r="E1339" t="s">
        <v>34</v>
      </c>
      <c r="F1339">
        <v>1172</v>
      </c>
      <c r="G1339" t="str">
        <f>_xlfn.XLOOKUP(Table1[[#This Row],[Department]],Table6[Department],Table6[Id_Departement])</f>
        <v>D001</v>
      </c>
      <c r="H1339" t="s">
        <v>37</v>
      </c>
      <c r="I1339">
        <v>3</v>
      </c>
      <c r="J1339" t="str">
        <f>_xlfn.XLOOKUP(Table1[[#This Row],[Education]],Table8[Education],Table8[Id_Education])</f>
        <v>E003</v>
      </c>
      <c r="K1339">
        <v>3</v>
      </c>
      <c r="L1339" t="str">
        <f>_xlfn.XLOOKUP(Table1[[#This Row],[EducationField]],Table7[EducationField],Table7[Id_EducationField])</f>
        <v>EF003</v>
      </c>
      <c r="M1339" t="s">
        <v>42</v>
      </c>
      <c r="N1339" t="str">
        <f>_xlfn.XLOOKUP(Table1[[#This Row],[EmployeeNumber]],Table4[EmployeeNumber],Table4[Id_Employee])</f>
        <v>EMP01338</v>
      </c>
      <c r="O1339">
        <v>1875</v>
      </c>
      <c r="P1339" t="str">
        <f>_xlfn.XLOOKUP(Table1[[#This Row],[EnvironmentSatisfaction]],Table9[EnvironmentSatisfaction],Table9[Id_EnviromentSatisfaction])</f>
        <v>ES002</v>
      </c>
      <c r="Q1339">
        <v>2</v>
      </c>
      <c r="R1339" t="str">
        <f>_xlfn.XLOOKUP(Table1[[#This Row],[EnvironmentSatisfaction]],Table9[EnvironmentSatisfaction],Table9[Deskripsi])</f>
        <v>Medium</v>
      </c>
      <c r="S1339" t="str">
        <f>_xlfn.XLOOKUP(Table1[[#This Row],[Gender]],Table10[Gender],Table10[Id_Gender])</f>
        <v>G001</v>
      </c>
      <c r="T1339" t="s">
        <v>45</v>
      </c>
      <c r="U1339">
        <v>78</v>
      </c>
      <c r="V1339" t="str">
        <f>_xlfn.XLOOKUP(Table1[[#This Row],[JobInvolvement]],Table11[JobInvolvement],Table11[Id_JobInvolvement])</f>
        <v>JI003</v>
      </c>
      <c r="W1339">
        <v>3</v>
      </c>
      <c r="X1339" t="str">
        <f>_xlfn.XLOOKUP(Table1[[#This Row],[JobLevel]],Table12[JobLevel],Table12[Id_JobLevel])</f>
        <v>JL001</v>
      </c>
      <c r="Y1339">
        <v>1</v>
      </c>
      <c r="Z1339" t="str">
        <f>_xlfn.XLOOKUP(Table1[[#This Row],[JobRole]],Table13[JobRole],Table13[Id_JobRole])</f>
        <v>JR007</v>
      </c>
      <c r="AA1339" t="s">
        <v>53</v>
      </c>
      <c r="AB1339" t="str">
        <f>_xlfn.XLOOKUP(Table1[[#This Row],[JobSatisfaction]],Table14[JobSatisfaction],Table14[Id_JobSatisfaction])</f>
        <v>JS002</v>
      </c>
      <c r="AC1339">
        <v>2</v>
      </c>
      <c r="AD1339" t="str">
        <f>_xlfn.XLOOKUP(Table1[[#This Row],[JobSatisfaction]],Table14[JobSatisfaction],Table14[Deskripsi])</f>
        <v>Medium</v>
      </c>
      <c r="AE1339" t="str">
        <f>_xlfn.XLOOKUP(Table1[[#This Row],[MaritalStatus]],Table15[MaritalStatus],Table15[Id_MaritalStatus])</f>
        <v>MS002</v>
      </c>
      <c r="AF1339" t="s">
        <v>56</v>
      </c>
      <c r="AG1339">
        <v>2856</v>
      </c>
      <c r="AH1339">
        <v>3692</v>
      </c>
      <c r="AI1339">
        <v>1</v>
      </c>
      <c r="AJ1339" t="str">
        <f>_xlfn.XLOOKUP(Table1[[#This Row],[OverTime]],Table16[OverTime],Table16[Id_OverTime])</f>
        <v>OT002</v>
      </c>
      <c r="AK1339" t="s">
        <v>33</v>
      </c>
      <c r="AL1339">
        <v>19</v>
      </c>
      <c r="AM1339" t="str">
        <f>_xlfn.XLOOKUP(Table1[[#This Row],[PerformanceRating]],Table17[PerformanceRating],Table17[Id_PerformanceRating])</f>
        <v>PR003</v>
      </c>
      <c r="AN1339">
        <v>3</v>
      </c>
      <c r="AO1339" t="str">
        <f>_xlfn.XLOOKUP(Table1[[#This Row],[PerformanceRating]],Table17[PerformanceRating],Table17[Deskripsi])</f>
        <v>Excellent</v>
      </c>
      <c r="AP1339" t="str">
        <f>_xlfn.XLOOKUP(Table1[[#This Row],[RelationshipSatisfaction]],Table18[RelationshipSatisfaction],Table18[Id_RelationshipSatisfaction])</f>
        <v>RS004</v>
      </c>
      <c r="AQ1339">
        <v>4</v>
      </c>
      <c r="AR1339" t="str">
        <f>_xlfn.XLOOKUP(Table1[[#This Row],[RelationshipSatisfaction]],Table18[RelationshipSatisfaction],Table18[Deskripsi])</f>
        <v>Very High</v>
      </c>
      <c r="AS1339" t="str">
        <f>_xlfn.XLOOKUP(Table1[[#This Row],[StockOptionLevel]],Table19[StockOptionLevel],Table19[Id_StockOptionLevel])</f>
        <v>SOL002</v>
      </c>
      <c r="AT1339">
        <v>1</v>
      </c>
      <c r="AU1339" t="str">
        <f>_xlfn.XLOOKUP(Table1[[#This Row],[StockOptionLevel]],Table19[StockOptionLevel],Table19[Deskripsi])</f>
        <v>Standard</v>
      </c>
      <c r="AV1339">
        <v>1</v>
      </c>
      <c r="AW1339">
        <v>3</v>
      </c>
      <c r="AX1339" t="str">
        <f>_xlfn.XLOOKUP(Table1[[#This Row],[WorkLifeBalance]],Table20[WorkLifeBalance],Table20[Id_WorkLifeBalance])</f>
        <v>WLB002</v>
      </c>
      <c r="AY1339">
        <v>3</v>
      </c>
      <c r="AZ1339" t="str">
        <f>_xlfn.XLOOKUP(Table1[[#This Row],[WorkLifeBalance]],Table20[WorkLifeBalance],Table20[Deskripsi])</f>
        <v>Good</v>
      </c>
      <c r="BA1339">
        <v>1</v>
      </c>
      <c r="BB1339">
        <v>0</v>
      </c>
      <c r="BC1339">
        <v>0</v>
      </c>
      <c r="BD1339">
        <v>0</v>
      </c>
    </row>
    <row r="1340" spans="1:56" x14ac:dyDescent="0.25">
      <c r="A1340">
        <v>30</v>
      </c>
      <c r="B1340" t="str">
        <f>_xlfn.XLOOKUP(Table1[[#This Row],[Attrition]],Table2[Attrition],Table2[Id_Attrition])</f>
        <v>A001</v>
      </c>
      <c r="C1340" t="s">
        <v>32</v>
      </c>
      <c r="D1340" t="str">
        <f>_xlfn.XLOOKUP(Table1[[#This Row],[BusinessTravel]],Table5[BusinessTravel],Table5[Id_BusinessTravel])</f>
        <v>BS001</v>
      </c>
      <c r="E1340" t="s">
        <v>34</v>
      </c>
      <c r="F1340">
        <v>945</v>
      </c>
      <c r="G1340" t="str">
        <f>_xlfn.XLOOKUP(Table1[[#This Row],[Department]],Table6[Department],Table6[Id_Departement])</f>
        <v>D001</v>
      </c>
      <c r="H1340" t="s">
        <v>37</v>
      </c>
      <c r="I1340">
        <v>9</v>
      </c>
      <c r="J1340" t="str">
        <f>_xlfn.XLOOKUP(Table1[[#This Row],[Education]],Table8[Education],Table8[Id_Education])</f>
        <v>E003</v>
      </c>
      <c r="K1340">
        <v>3</v>
      </c>
      <c r="L1340" t="str">
        <f>_xlfn.XLOOKUP(Table1[[#This Row],[EducationField]],Table7[EducationField],Table7[Id_EducationField])</f>
        <v>EF003</v>
      </c>
      <c r="M1340" t="s">
        <v>42</v>
      </c>
      <c r="N1340" t="str">
        <f>_xlfn.XLOOKUP(Table1[[#This Row],[EmployeeNumber]],Table4[EmployeeNumber],Table4[Id_Employee])</f>
        <v>EMP01339</v>
      </c>
      <c r="O1340">
        <v>1876</v>
      </c>
      <c r="P1340" t="str">
        <f>_xlfn.XLOOKUP(Table1[[#This Row],[EnvironmentSatisfaction]],Table9[EnvironmentSatisfaction],Table9[Id_EnviromentSatisfaction])</f>
        <v>ES002</v>
      </c>
      <c r="Q1340">
        <v>2</v>
      </c>
      <c r="R1340" t="str">
        <f>_xlfn.XLOOKUP(Table1[[#This Row],[EnvironmentSatisfaction]],Table9[EnvironmentSatisfaction],Table9[Deskripsi])</f>
        <v>Medium</v>
      </c>
      <c r="S1340" t="str">
        <f>_xlfn.XLOOKUP(Table1[[#This Row],[Gender]],Table10[Gender],Table10[Id_Gender])</f>
        <v>G002</v>
      </c>
      <c r="T1340" t="s">
        <v>46</v>
      </c>
      <c r="U1340">
        <v>89</v>
      </c>
      <c r="V1340" t="str">
        <f>_xlfn.XLOOKUP(Table1[[#This Row],[JobInvolvement]],Table11[JobInvolvement],Table11[Id_JobInvolvement])</f>
        <v>JI003</v>
      </c>
      <c r="W1340">
        <v>3</v>
      </c>
      <c r="X1340" t="str">
        <f>_xlfn.XLOOKUP(Table1[[#This Row],[JobLevel]],Table12[JobLevel],Table12[Id_JobLevel])</f>
        <v>JL001</v>
      </c>
      <c r="Y1340">
        <v>1</v>
      </c>
      <c r="Z1340" t="str">
        <f>_xlfn.XLOOKUP(Table1[[#This Row],[JobRole]],Table13[JobRole],Table13[Id_JobRole])</f>
        <v>JR007</v>
      </c>
      <c r="AA1340" t="s">
        <v>53</v>
      </c>
      <c r="AB1340" t="str">
        <f>_xlfn.XLOOKUP(Table1[[#This Row],[JobSatisfaction]],Table14[JobSatisfaction],Table14[Id_JobSatisfaction])</f>
        <v>JS004</v>
      </c>
      <c r="AC1340">
        <v>4</v>
      </c>
      <c r="AD1340" t="str">
        <f>_xlfn.XLOOKUP(Table1[[#This Row],[JobSatisfaction]],Table14[JobSatisfaction],Table14[Deskripsi])</f>
        <v>Very High</v>
      </c>
      <c r="AE1340" t="str">
        <f>_xlfn.XLOOKUP(Table1[[#This Row],[MaritalStatus]],Table15[MaritalStatus],Table15[Id_MaritalStatus])</f>
        <v>MS001</v>
      </c>
      <c r="AF1340" t="s">
        <v>55</v>
      </c>
      <c r="AG1340">
        <v>1081</v>
      </c>
      <c r="AH1340">
        <v>16019</v>
      </c>
      <c r="AI1340">
        <v>1</v>
      </c>
      <c r="AJ1340" t="str">
        <f>_xlfn.XLOOKUP(Table1[[#This Row],[OverTime]],Table16[OverTime],Table16[Id_OverTime])</f>
        <v>OT002</v>
      </c>
      <c r="AK1340" t="s">
        <v>33</v>
      </c>
      <c r="AL1340">
        <v>13</v>
      </c>
      <c r="AM1340" t="str">
        <f>_xlfn.XLOOKUP(Table1[[#This Row],[PerformanceRating]],Table17[PerformanceRating],Table17[Id_PerformanceRating])</f>
        <v>PR003</v>
      </c>
      <c r="AN1340">
        <v>3</v>
      </c>
      <c r="AO1340" t="str">
        <f>_xlfn.XLOOKUP(Table1[[#This Row],[PerformanceRating]],Table17[PerformanceRating],Table17[Deskripsi])</f>
        <v>Excellent</v>
      </c>
      <c r="AP1340" t="str">
        <f>_xlfn.XLOOKUP(Table1[[#This Row],[RelationshipSatisfaction]],Table18[RelationshipSatisfaction],Table18[Id_RelationshipSatisfaction])</f>
        <v>RS003</v>
      </c>
      <c r="AQ1340">
        <v>3</v>
      </c>
      <c r="AR1340" t="str">
        <f>_xlfn.XLOOKUP(Table1[[#This Row],[RelationshipSatisfaction]],Table18[RelationshipSatisfaction],Table18[Deskripsi])</f>
        <v>High</v>
      </c>
      <c r="AS1340" t="str">
        <f>_xlfn.XLOOKUP(Table1[[#This Row],[StockOptionLevel]],Table19[StockOptionLevel],Table19[Id_StockOptionLevel])</f>
        <v>SOL001</v>
      </c>
      <c r="AT1340">
        <v>0</v>
      </c>
      <c r="AU1340" t="str">
        <f>_xlfn.XLOOKUP(Table1[[#This Row],[StockOptionLevel]],Table19[StockOptionLevel],Table19[Deskripsi])</f>
        <v>Non-Eligible</v>
      </c>
      <c r="AV1340">
        <v>1</v>
      </c>
      <c r="AW1340">
        <v>3</v>
      </c>
      <c r="AX1340" t="str">
        <f>_xlfn.XLOOKUP(Table1[[#This Row],[WorkLifeBalance]],Table20[WorkLifeBalance],Table20[Id_WorkLifeBalance])</f>
        <v>WLB003</v>
      </c>
      <c r="AY1340">
        <v>2</v>
      </c>
      <c r="AZ1340" t="str">
        <f>_xlfn.XLOOKUP(Table1[[#This Row],[WorkLifeBalance]],Table20[WorkLifeBalance],Table20[Deskripsi])</f>
        <v>Better</v>
      </c>
      <c r="BA1340">
        <v>1</v>
      </c>
      <c r="BB1340">
        <v>0</v>
      </c>
      <c r="BC1340">
        <v>0</v>
      </c>
      <c r="BD1340">
        <v>0</v>
      </c>
    </row>
    <row r="1341" spans="1:56" x14ac:dyDescent="0.25">
      <c r="A1341">
        <v>22</v>
      </c>
      <c r="B1341" t="str">
        <f>_xlfn.XLOOKUP(Table1[[#This Row],[Attrition]],Table2[Attrition],Table2[Id_Attrition])</f>
        <v>A001</v>
      </c>
      <c r="C1341" t="s">
        <v>32</v>
      </c>
      <c r="D1341" t="str">
        <f>_xlfn.XLOOKUP(Table1[[#This Row],[BusinessTravel]],Table5[BusinessTravel],Table5[Id_BusinessTravel])</f>
        <v>BS001</v>
      </c>
      <c r="E1341" t="s">
        <v>34</v>
      </c>
      <c r="F1341">
        <v>391</v>
      </c>
      <c r="G1341" t="str">
        <f>_xlfn.XLOOKUP(Table1[[#This Row],[Department]],Table6[Department],Table6[Id_Departement])</f>
        <v>D002</v>
      </c>
      <c r="H1341" t="s">
        <v>38</v>
      </c>
      <c r="I1341">
        <v>7</v>
      </c>
      <c r="J1341" t="str">
        <f>_xlfn.XLOOKUP(Table1[[#This Row],[Education]],Table8[Education],Table8[Id_Education])</f>
        <v>E001</v>
      </c>
      <c r="K1341">
        <v>1</v>
      </c>
      <c r="L1341" t="str">
        <f>_xlfn.XLOOKUP(Table1[[#This Row],[EducationField]],Table7[EducationField],Table7[Id_EducationField])</f>
        <v>EF001</v>
      </c>
      <c r="M1341" t="s">
        <v>40</v>
      </c>
      <c r="N1341" t="str">
        <f>_xlfn.XLOOKUP(Table1[[#This Row],[EmployeeNumber]],Table4[EmployeeNumber],Table4[Id_Employee])</f>
        <v>EMP01340</v>
      </c>
      <c r="O1341">
        <v>1878</v>
      </c>
      <c r="P1341" t="str">
        <f>_xlfn.XLOOKUP(Table1[[#This Row],[EnvironmentSatisfaction]],Table9[EnvironmentSatisfaction],Table9[Id_EnviromentSatisfaction])</f>
        <v>ES004</v>
      </c>
      <c r="Q1341">
        <v>4</v>
      </c>
      <c r="R1341" t="str">
        <f>_xlfn.XLOOKUP(Table1[[#This Row],[EnvironmentSatisfaction]],Table9[EnvironmentSatisfaction],Table9[Deskripsi])</f>
        <v>Very High</v>
      </c>
      <c r="S1341" t="str">
        <f>_xlfn.XLOOKUP(Table1[[#This Row],[Gender]],Table10[Gender],Table10[Id_Gender])</f>
        <v>G002</v>
      </c>
      <c r="T1341" t="s">
        <v>46</v>
      </c>
      <c r="U1341">
        <v>75</v>
      </c>
      <c r="V1341" t="str">
        <f>_xlfn.XLOOKUP(Table1[[#This Row],[JobInvolvement]],Table11[JobInvolvement],Table11[Id_JobInvolvement])</f>
        <v>JI003</v>
      </c>
      <c r="W1341">
        <v>3</v>
      </c>
      <c r="X1341" t="str">
        <f>_xlfn.XLOOKUP(Table1[[#This Row],[JobLevel]],Table12[JobLevel],Table12[Id_JobLevel])</f>
        <v>JL001</v>
      </c>
      <c r="Y1341">
        <v>1</v>
      </c>
      <c r="Z1341" t="str">
        <f>_xlfn.XLOOKUP(Table1[[#This Row],[JobRole]],Table13[JobRole],Table13[Id_JobRole])</f>
        <v>JR002</v>
      </c>
      <c r="AA1341" t="s">
        <v>48</v>
      </c>
      <c r="AB1341" t="str">
        <f>_xlfn.XLOOKUP(Table1[[#This Row],[JobSatisfaction]],Table14[JobSatisfaction],Table14[Id_JobSatisfaction])</f>
        <v>JS002</v>
      </c>
      <c r="AC1341">
        <v>2</v>
      </c>
      <c r="AD1341" t="str">
        <f>_xlfn.XLOOKUP(Table1[[#This Row],[JobSatisfaction]],Table14[JobSatisfaction],Table14[Deskripsi])</f>
        <v>Medium</v>
      </c>
      <c r="AE1341" t="str">
        <f>_xlfn.XLOOKUP(Table1[[#This Row],[MaritalStatus]],Table15[MaritalStatus],Table15[Id_MaritalStatus])</f>
        <v>MS001</v>
      </c>
      <c r="AF1341" t="s">
        <v>55</v>
      </c>
      <c r="AG1341">
        <v>2472</v>
      </c>
      <c r="AH1341">
        <v>26092</v>
      </c>
      <c r="AI1341">
        <v>1</v>
      </c>
      <c r="AJ1341" t="str">
        <f>_xlfn.XLOOKUP(Table1[[#This Row],[OverTime]],Table16[OverTime],Table16[Id_OverTime])</f>
        <v>OT001</v>
      </c>
      <c r="AK1341" t="s">
        <v>32</v>
      </c>
      <c r="AL1341">
        <v>23</v>
      </c>
      <c r="AM1341" t="str">
        <f>_xlfn.XLOOKUP(Table1[[#This Row],[PerformanceRating]],Table17[PerformanceRating],Table17[Id_PerformanceRating])</f>
        <v>PR004</v>
      </c>
      <c r="AN1341">
        <v>4</v>
      </c>
      <c r="AO1341" t="str">
        <f>_xlfn.XLOOKUP(Table1[[#This Row],[PerformanceRating]],Table17[PerformanceRating],Table17[Deskripsi])</f>
        <v>Outstanding</v>
      </c>
      <c r="AP1341" t="str">
        <f>_xlfn.XLOOKUP(Table1[[#This Row],[RelationshipSatisfaction]],Table18[RelationshipSatisfaction],Table18[Id_RelationshipSatisfaction])</f>
        <v>RS001</v>
      </c>
      <c r="AQ1341">
        <v>1</v>
      </c>
      <c r="AR1341" t="str">
        <f>_xlfn.XLOOKUP(Table1[[#This Row],[RelationshipSatisfaction]],Table18[RelationshipSatisfaction],Table18[Deskripsi])</f>
        <v>Low</v>
      </c>
      <c r="AS1341" t="str">
        <f>_xlfn.XLOOKUP(Table1[[#This Row],[StockOptionLevel]],Table19[StockOptionLevel],Table19[Id_StockOptionLevel])</f>
        <v>SOL001</v>
      </c>
      <c r="AT1341">
        <v>0</v>
      </c>
      <c r="AU1341" t="str">
        <f>_xlfn.XLOOKUP(Table1[[#This Row],[StockOptionLevel]],Table19[StockOptionLevel],Table19[Deskripsi])</f>
        <v>Non-Eligible</v>
      </c>
      <c r="AV1341">
        <v>1</v>
      </c>
      <c r="AW1341">
        <v>2</v>
      </c>
      <c r="AX1341" t="str">
        <f>_xlfn.XLOOKUP(Table1[[#This Row],[WorkLifeBalance]],Table20[WorkLifeBalance],Table20[Id_WorkLifeBalance])</f>
        <v>WLB002</v>
      </c>
      <c r="AY1341">
        <v>3</v>
      </c>
      <c r="AZ1341" t="str">
        <f>_xlfn.XLOOKUP(Table1[[#This Row],[WorkLifeBalance]],Table20[WorkLifeBalance],Table20[Deskripsi])</f>
        <v>Good</v>
      </c>
      <c r="BA1341">
        <v>1</v>
      </c>
      <c r="BB1341">
        <v>0</v>
      </c>
      <c r="BC1341">
        <v>0</v>
      </c>
      <c r="BD1341">
        <v>0</v>
      </c>
    </row>
    <row r="1342" spans="1:56" x14ac:dyDescent="0.25">
      <c r="A1342">
        <v>36</v>
      </c>
      <c r="B1342" t="str">
        <f>_xlfn.XLOOKUP(Table1[[#This Row],[Attrition]],Table2[Attrition],Table2[Id_Attrition])</f>
        <v>A002</v>
      </c>
      <c r="C1342" t="s">
        <v>33</v>
      </c>
      <c r="D1342" t="str">
        <f>_xlfn.XLOOKUP(Table1[[#This Row],[BusinessTravel]],Table5[BusinessTravel],Table5[Id_BusinessTravel])</f>
        <v>BS001</v>
      </c>
      <c r="E1342" t="s">
        <v>34</v>
      </c>
      <c r="F1342">
        <v>1266</v>
      </c>
      <c r="G1342" t="str">
        <f>_xlfn.XLOOKUP(Table1[[#This Row],[Department]],Table6[Department],Table6[Id_Departement])</f>
        <v>D001</v>
      </c>
      <c r="H1342" t="s">
        <v>37</v>
      </c>
      <c r="I1342">
        <v>10</v>
      </c>
      <c r="J1342" t="str">
        <f>_xlfn.XLOOKUP(Table1[[#This Row],[Education]],Table8[Education],Table8[Id_Education])</f>
        <v>E004</v>
      </c>
      <c r="K1342">
        <v>4</v>
      </c>
      <c r="L1342" t="str">
        <f>_xlfn.XLOOKUP(Table1[[#This Row],[EducationField]],Table7[EducationField],Table7[Id_EducationField])</f>
        <v>EF005</v>
      </c>
      <c r="M1342" t="s">
        <v>44</v>
      </c>
      <c r="N1342" t="str">
        <f>_xlfn.XLOOKUP(Table1[[#This Row],[EmployeeNumber]],Table4[EmployeeNumber],Table4[Id_Employee])</f>
        <v>EMP01341</v>
      </c>
      <c r="O1342">
        <v>1880</v>
      </c>
      <c r="P1342" t="str">
        <f>_xlfn.XLOOKUP(Table1[[#This Row],[EnvironmentSatisfaction]],Table9[EnvironmentSatisfaction],Table9[Id_EnviromentSatisfaction])</f>
        <v>ES002</v>
      </c>
      <c r="Q1342">
        <v>2</v>
      </c>
      <c r="R1342" t="str">
        <f>_xlfn.XLOOKUP(Table1[[#This Row],[EnvironmentSatisfaction]],Table9[EnvironmentSatisfaction],Table9[Deskripsi])</f>
        <v>Medium</v>
      </c>
      <c r="S1342" t="str">
        <f>_xlfn.XLOOKUP(Table1[[#This Row],[Gender]],Table10[Gender],Table10[Id_Gender])</f>
        <v>G001</v>
      </c>
      <c r="T1342" t="s">
        <v>45</v>
      </c>
      <c r="U1342">
        <v>63</v>
      </c>
      <c r="V1342" t="str">
        <f>_xlfn.XLOOKUP(Table1[[#This Row],[JobInvolvement]],Table11[JobInvolvement],Table11[Id_JobInvolvement])</f>
        <v>JI002</v>
      </c>
      <c r="W1342">
        <v>2</v>
      </c>
      <c r="X1342" t="str">
        <f>_xlfn.XLOOKUP(Table1[[#This Row],[JobLevel]],Table12[JobLevel],Table12[Id_JobLevel])</f>
        <v>JL002</v>
      </c>
      <c r="Y1342">
        <v>2</v>
      </c>
      <c r="Z1342" t="str">
        <f>_xlfn.XLOOKUP(Table1[[#This Row],[JobRole]],Table13[JobRole],Table13[Id_JobRole])</f>
        <v>JR001</v>
      </c>
      <c r="AA1342" t="s">
        <v>47</v>
      </c>
      <c r="AB1342" t="str">
        <f>_xlfn.XLOOKUP(Table1[[#This Row],[JobSatisfaction]],Table14[JobSatisfaction],Table14[Id_JobSatisfaction])</f>
        <v>JS003</v>
      </c>
      <c r="AC1342">
        <v>3</v>
      </c>
      <c r="AD1342" t="str">
        <f>_xlfn.XLOOKUP(Table1[[#This Row],[JobSatisfaction]],Table14[JobSatisfaction],Table14[Deskripsi])</f>
        <v>High</v>
      </c>
      <c r="AE1342" t="str">
        <f>_xlfn.XLOOKUP(Table1[[#This Row],[MaritalStatus]],Table15[MaritalStatus],Table15[Id_MaritalStatus])</f>
        <v>MS002</v>
      </c>
      <c r="AF1342" t="s">
        <v>56</v>
      </c>
      <c r="AG1342">
        <v>5673</v>
      </c>
      <c r="AH1342">
        <v>6060</v>
      </c>
      <c r="AI1342">
        <v>1</v>
      </c>
      <c r="AJ1342" t="str">
        <f>_xlfn.XLOOKUP(Table1[[#This Row],[OverTime]],Table16[OverTime],Table16[Id_OverTime])</f>
        <v>OT001</v>
      </c>
      <c r="AK1342" t="s">
        <v>32</v>
      </c>
      <c r="AL1342">
        <v>13</v>
      </c>
      <c r="AM1342" t="str">
        <f>_xlfn.XLOOKUP(Table1[[#This Row],[PerformanceRating]],Table17[PerformanceRating],Table17[Id_PerformanceRating])</f>
        <v>PR003</v>
      </c>
      <c r="AN1342">
        <v>3</v>
      </c>
      <c r="AO1342" t="str">
        <f>_xlfn.XLOOKUP(Table1[[#This Row],[PerformanceRating]],Table17[PerformanceRating],Table17[Deskripsi])</f>
        <v>Excellent</v>
      </c>
      <c r="AP1342" t="str">
        <f>_xlfn.XLOOKUP(Table1[[#This Row],[RelationshipSatisfaction]],Table18[RelationshipSatisfaction],Table18[Id_RelationshipSatisfaction])</f>
        <v>RS001</v>
      </c>
      <c r="AQ1342">
        <v>1</v>
      </c>
      <c r="AR1342" t="str">
        <f>_xlfn.XLOOKUP(Table1[[#This Row],[RelationshipSatisfaction]],Table18[RelationshipSatisfaction],Table18[Deskripsi])</f>
        <v>Low</v>
      </c>
      <c r="AS1342" t="str">
        <f>_xlfn.XLOOKUP(Table1[[#This Row],[StockOptionLevel]],Table19[StockOptionLevel],Table19[Id_StockOptionLevel])</f>
        <v>SOL002</v>
      </c>
      <c r="AT1342">
        <v>1</v>
      </c>
      <c r="AU1342" t="str">
        <f>_xlfn.XLOOKUP(Table1[[#This Row],[StockOptionLevel]],Table19[StockOptionLevel],Table19[Deskripsi])</f>
        <v>Standard</v>
      </c>
      <c r="AV1342">
        <v>10</v>
      </c>
      <c r="AW1342">
        <v>4</v>
      </c>
      <c r="AX1342" t="str">
        <f>_xlfn.XLOOKUP(Table1[[#This Row],[WorkLifeBalance]],Table20[WorkLifeBalance],Table20[Id_WorkLifeBalance])</f>
        <v>WLB002</v>
      </c>
      <c r="AY1342">
        <v>3</v>
      </c>
      <c r="AZ1342" t="str">
        <f>_xlfn.XLOOKUP(Table1[[#This Row],[WorkLifeBalance]],Table20[WorkLifeBalance],Table20[Deskripsi])</f>
        <v>Good</v>
      </c>
      <c r="BA1342">
        <v>10</v>
      </c>
      <c r="BB1342">
        <v>9</v>
      </c>
      <c r="BC1342">
        <v>1</v>
      </c>
      <c r="BD1342">
        <v>7</v>
      </c>
    </row>
    <row r="1343" spans="1:56" x14ac:dyDescent="0.25">
      <c r="A1343">
        <v>31</v>
      </c>
      <c r="B1343" t="str">
        <f>_xlfn.XLOOKUP(Table1[[#This Row],[Attrition]],Table2[Attrition],Table2[Id_Attrition])</f>
        <v>A002</v>
      </c>
      <c r="C1343" t="s">
        <v>33</v>
      </c>
      <c r="D1343" t="str">
        <f>_xlfn.XLOOKUP(Table1[[#This Row],[BusinessTravel]],Table5[BusinessTravel],Table5[Id_BusinessTravel])</f>
        <v>BS001</v>
      </c>
      <c r="E1343" t="s">
        <v>34</v>
      </c>
      <c r="F1343">
        <v>311</v>
      </c>
      <c r="G1343" t="str">
        <f>_xlfn.XLOOKUP(Table1[[#This Row],[Department]],Table6[Department],Table6[Id_Departement])</f>
        <v>D002</v>
      </c>
      <c r="H1343" t="s">
        <v>38</v>
      </c>
      <c r="I1343">
        <v>20</v>
      </c>
      <c r="J1343" t="str">
        <f>_xlfn.XLOOKUP(Table1[[#This Row],[Education]],Table8[Education],Table8[Id_Education])</f>
        <v>E003</v>
      </c>
      <c r="K1343">
        <v>3</v>
      </c>
      <c r="L1343" t="str">
        <f>_xlfn.XLOOKUP(Table1[[#This Row],[EducationField]],Table7[EducationField],Table7[Id_EducationField])</f>
        <v>EF001</v>
      </c>
      <c r="M1343" t="s">
        <v>40</v>
      </c>
      <c r="N1343" t="str">
        <f>_xlfn.XLOOKUP(Table1[[#This Row],[EmployeeNumber]],Table4[EmployeeNumber],Table4[Id_Employee])</f>
        <v>EMP01342</v>
      </c>
      <c r="O1343">
        <v>1881</v>
      </c>
      <c r="P1343" t="str">
        <f>_xlfn.XLOOKUP(Table1[[#This Row],[EnvironmentSatisfaction]],Table9[EnvironmentSatisfaction],Table9[Id_EnviromentSatisfaction])</f>
        <v>ES002</v>
      </c>
      <c r="Q1343">
        <v>2</v>
      </c>
      <c r="R1343" t="str">
        <f>_xlfn.XLOOKUP(Table1[[#This Row],[EnvironmentSatisfaction]],Table9[EnvironmentSatisfaction],Table9[Deskripsi])</f>
        <v>Medium</v>
      </c>
      <c r="S1343" t="str">
        <f>_xlfn.XLOOKUP(Table1[[#This Row],[Gender]],Table10[Gender],Table10[Id_Gender])</f>
        <v>G002</v>
      </c>
      <c r="T1343" t="s">
        <v>46</v>
      </c>
      <c r="U1343">
        <v>89</v>
      </c>
      <c r="V1343" t="str">
        <f>_xlfn.XLOOKUP(Table1[[#This Row],[JobInvolvement]],Table11[JobInvolvement],Table11[Id_JobInvolvement])</f>
        <v>JI003</v>
      </c>
      <c r="W1343">
        <v>3</v>
      </c>
      <c r="X1343" t="str">
        <f>_xlfn.XLOOKUP(Table1[[#This Row],[JobLevel]],Table12[JobLevel],Table12[Id_JobLevel])</f>
        <v>JL002</v>
      </c>
      <c r="Y1343">
        <v>2</v>
      </c>
      <c r="Z1343" t="str">
        <f>_xlfn.XLOOKUP(Table1[[#This Row],[JobRole]],Table13[JobRole],Table13[Id_JobRole])</f>
        <v>JR003</v>
      </c>
      <c r="AA1343" t="s">
        <v>49</v>
      </c>
      <c r="AB1343" t="str">
        <f>_xlfn.XLOOKUP(Table1[[#This Row],[JobSatisfaction]],Table14[JobSatisfaction],Table14[Id_JobSatisfaction])</f>
        <v>JS003</v>
      </c>
      <c r="AC1343">
        <v>3</v>
      </c>
      <c r="AD1343" t="str">
        <f>_xlfn.XLOOKUP(Table1[[#This Row],[JobSatisfaction]],Table14[JobSatisfaction],Table14[Deskripsi])</f>
        <v>High</v>
      </c>
      <c r="AE1343" t="str">
        <f>_xlfn.XLOOKUP(Table1[[#This Row],[MaritalStatus]],Table15[MaritalStatus],Table15[Id_MaritalStatus])</f>
        <v>MS003</v>
      </c>
      <c r="AF1343" t="s">
        <v>57</v>
      </c>
      <c r="AG1343">
        <v>4197</v>
      </c>
      <c r="AH1343">
        <v>18624</v>
      </c>
      <c r="AI1343">
        <v>1</v>
      </c>
      <c r="AJ1343" t="str">
        <f>_xlfn.XLOOKUP(Table1[[#This Row],[OverTime]],Table16[OverTime],Table16[Id_OverTime])</f>
        <v>OT002</v>
      </c>
      <c r="AK1343" t="s">
        <v>33</v>
      </c>
      <c r="AL1343">
        <v>11</v>
      </c>
      <c r="AM1343" t="str">
        <f>_xlfn.XLOOKUP(Table1[[#This Row],[PerformanceRating]],Table17[PerformanceRating],Table17[Id_PerformanceRating])</f>
        <v>PR003</v>
      </c>
      <c r="AN1343">
        <v>3</v>
      </c>
      <c r="AO1343" t="str">
        <f>_xlfn.XLOOKUP(Table1[[#This Row],[PerformanceRating]],Table17[PerformanceRating],Table17[Deskripsi])</f>
        <v>Excellent</v>
      </c>
      <c r="AP1343" t="str">
        <f>_xlfn.XLOOKUP(Table1[[#This Row],[RelationshipSatisfaction]],Table18[RelationshipSatisfaction],Table18[Id_RelationshipSatisfaction])</f>
        <v>RS001</v>
      </c>
      <c r="AQ1343">
        <v>1</v>
      </c>
      <c r="AR1343" t="str">
        <f>_xlfn.XLOOKUP(Table1[[#This Row],[RelationshipSatisfaction]],Table18[RelationshipSatisfaction],Table18[Deskripsi])</f>
        <v>Low</v>
      </c>
      <c r="AS1343" t="str">
        <f>_xlfn.XLOOKUP(Table1[[#This Row],[StockOptionLevel]],Table19[StockOptionLevel],Table19[Id_StockOptionLevel])</f>
        <v>SOL002</v>
      </c>
      <c r="AT1343">
        <v>1</v>
      </c>
      <c r="AU1343" t="str">
        <f>_xlfn.XLOOKUP(Table1[[#This Row],[StockOptionLevel]],Table19[StockOptionLevel],Table19[Deskripsi])</f>
        <v>Standard</v>
      </c>
      <c r="AV1343">
        <v>10</v>
      </c>
      <c r="AW1343">
        <v>2</v>
      </c>
      <c r="AX1343" t="str">
        <f>_xlfn.XLOOKUP(Table1[[#This Row],[WorkLifeBalance]],Table20[WorkLifeBalance],Table20[Id_WorkLifeBalance])</f>
        <v>WLB002</v>
      </c>
      <c r="AY1343">
        <v>3</v>
      </c>
      <c r="AZ1343" t="str">
        <f>_xlfn.XLOOKUP(Table1[[#This Row],[WorkLifeBalance]],Table20[WorkLifeBalance],Table20[Deskripsi])</f>
        <v>Good</v>
      </c>
      <c r="BA1343">
        <v>10</v>
      </c>
      <c r="BB1343">
        <v>8</v>
      </c>
      <c r="BC1343">
        <v>0</v>
      </c>
      <c r="BD1343">
        <v>2</v>
      </c>
    </row>
    <row r="1344" spans="1:56" x14ac:dyDescent="0.25">
      <c r="A1344">
        <v>34</v>
      </c>
      <c r="B1344" t="str">
        <f>_xlfn.XLOOKUP(Table1[[#This Row],[Attrition]],Table2[Attrition],Table2[Id_Attrition])</f>
        <v>A002</v>
      </c>
      <c r="C1344" t="s">
        <v>33</v>
      </c>
      <c r="D1344" t="str">
        <f>_xlfn.XLOOKUP(Table1[[#This Row],[BusinessTravel]],Table5[BusinessTravel],Table5[Id_BusinessTravel])</f>
        <v>BS001</v>
      </c>
      <c r="E1344" t="s">
        <v>34</v>
      </c>
      <c r="F1344">
        <v>1480</v>
      </c>
      <c r="G1344" t="str">
        <f>_xlfn.XLOOKUP(Table1[[#This Row],[Department]],Table6[Department],Table6[Id_Departement])</f>
        <v>D001</v>
      </c>
      <c r="H1344" t="s">
        <v>37</v>
      </c>
      <c r="I1344">
        <v>4</v>
      </c>
      <c r="J1344" t="str">
        <f>_xlfn.XLOOKUP(Table1[[#This Row],[Education]],Table8[Education],Table8[Id_Education])</f>
        <v>E003</v>
      </c>
      <c r="K1344">
        <v>3</v>
      </c>
      <c r="L1344" t="str">
        <f>_xlfn.XLOOKUP(Table1[[#This Row],[EducationField]],Table7[EducationField],Table7[Id_EducationField])</f>
        <v>EF001</v>
      </c>
      <c r="M1344" t="s">
        <v>40</v>
      </c>
      <c r="N1344" t="str">
        <f>_xlfn.XLOOKUP(Table1[[#This Row],[EmployeeNumber]],Table4[EmployeeNumber],Table4[Id_Employee])</f>
        <v>EMP01343</v>
      </c>
      <c r="O1344">
        <v>1882</v>
      </c>
      <c r="P1344" t="str">
        <f>_xlfn.XLOOKUP(Table1[[#This Row],[EnvironmentSatisfaction]],Table9[EnvironmentSatisfaction],Table9[Id_EnviromentSatisfaction])</f>
        <v>ES003</v>
      </c>
      <c r="Q1344">
        <v>3</v>
      </c>
      <c r="R1344" t="str">
        <f>_xlfn.XLOOKUP(Table1[[#This Row],[EnvironmentSatisfaction]],Table9[EnvironmentSatisfaction],Table9[Deskripsi])</f>
        <v>High</v>
      </c>
      <c r="S1344" t="str">
        <f>_xlfn.XLOOKUP(Table1[[#This Row],[Gender]],Table10[Gender],Table10[Id_Gender])</f>
        <v>G002</v>
      </c>
      <c r="T1344" t="s">
        <v>46</v>
      </c>
      <c r="U1344">
        <v>64</v>
      </c>
      <c r="V1344" t="str">
        <f>_xlfn.XLOOKUP(Table1[[#This Row],[JobInvolvement]],Table11[JobInvolvement],Table11[Id_JobInvolvement])</f>
        <v>JI003</v>
      </c>
      <c r="W1344">
        <v>3</v>
      </c>
      <c r="X1344" t="str">
        <f>_xlfn.XLOOKUP(Table1[[#This Row],[JobLevel]],Table12[JobLevel],Table12[Id_JobLevel])</f>
        <v>JL003</v>
      </c>
      <c r="Y1344">
        <v>3</v>
      </c>
      <c r="Z1344" t="str">
        <f>_xlfn.XLOOKUP(Table1[[#This Row],[JobRole]],Table13[JobRole],Table13[Id_JobRole])</f>
        <v>JR001</v>
      </c>
      <c r="AA1344" t="s">
        <v>47</v>
      </c>
      <c r="AB1344" t="str">
        <f>_xlfn.XLOOKUP(Table1[[#This Row],[JobSatisfaction]],Table14[JobSatisfaction],Table14[Id_JobSatisfaction])</f>
        <v>JS004</v>
      </c>
      <c r="AC1344">
        <v>4</v>
      </c>
      <c r="AD1344" t="str">
        <f>_xlfn.XLOOKUP(Table1[[#This Row],[JobSatisfaction]],Table14[JobSatisfaction],Table14[Deskripsi])</f>
        <v>Very High</v>
      </c>
      <c r="AE1344" t="str">
        <f>_xlfn.XLOOKUP(Table1[[#This Row],[MaritalStatus]],Table15[MaritalStatus],Table15[Id_MaritalStatus])</f>
        <v>MS002</v>
      </c>
      <c r="AF1344" t="s">
        <v>56</v>
      </c>
      <c r="AG1344">
        <v>9713</v>
      </c>
      <c r="AH1344">
        <v>24444</v>
      </c>
      <c r="AI1344">
        <v>2</v>
      </c>
      <c r="AJ1344" t="str">
        <f>_xlfn.XLOOKUP(Table1[[#This Row],[OverTime]],Table16[OverTime],Table16[Id_OverTime])</f>
        <v>OT001</v>
      </c>
      <c r="AK1344" t="s">
        <v>32</v>
      </c>
      <c r="AL1344">
        <v>13</v>
      </c>
      <c r="AM1344" t="str">
        <f>_xlfn.XLOOKUP(Table1[[#This Row],[PerformanceRating]],Table17[PerformanceRating],Table17[Id_PerformanceRating])</f>
        <v>PR003</v>
      </c>
      <c r="AN1344">
        <v>3</v>
      </c>
      <c r="AO1344" t="str">
        <f>_xlfn.XLOOKUP(Table1[[#This Row],[PerformanceRating]],Table17[PerformanceRating],Table17[Deskripsi])</f>
        <v>Excellent</v>
      </c>
      <c r="AP1344" t="str">
        <f>_xlfn.XLOOKUP(Table1[[#This Row],[RelationshipSatisfaction]],Table18[RelationshipSatisfaction],Table18[Id_RelationshipSatisfaction])</f>
        <v>RS004</v>
      </c>
      <c r="AQ1344">
        <v>4</v>
      </c>
      <c r="AR1344" t="str">
        <f>_xlfn.XLOOKUP(Table1[[#This Row],[RelationshipSatisfaction]],Table18[RelationshipSatisfaction],Table18[Deskripsi])</f>
        <v>Very High</v>
      </c>
      <c r="AS1344" t="str">
        <f>_xlfn.XLOOKUP(Table1[[#This Row],[StockOptionLevel]],Table19[StockOptionLevel],Table19[Id_StockOptionLevel])</f>
        <v>SOL004</v>
      </c>
      <c r="AT1344">
        <v>3</v>
      </c>
      <c r="AU1344" t="str">
        <f>_xlfn.XLOOKUP(Table1[[#This Row],[StockOptionLevel]],Table19[StockOptionLevel],Table19[Deskripsi])</f>
        <v>Senior/Executive</v>
      </c>
      <c r="AV1344">
        <v>9</v>
      </c>
      <c r="AW1344">
        <v>3</v>
      </c>
      <c r="AX1344" t="str">
        <f>_xlfn.XLOOKUP(Table1[[#This Row],[WorkLifeBalance]],Table20[WorkLifeBalance],Table20[Id_WorkLifeBalance])</f>
        <v>WLB002</v>
      </c>
      <c r="AY1344">
        <v>3</v>
      </c>
      <c r="AZ1344" t="str">
        <f>_xlfn.XLOOKUP(Table1[[#This Row],[WorkLifeBalance]],Table20[WorkLifeBalance],Table20[Deskripsi])</f>
        <v>Good</v>
      </c>
      <c r="BA1344">
        <v>5</v>
      </c>
      <c r="BB1344">
        <v>3</v>
      </c>
      <c r="BC1344">
        <v>1</v>
      </c>
      <c r="BD1344">
        <v>0</v>
      </c>
    </row>
    <row r="1345" spans="1:56" x14ac:dyDescent="0.25">
      <c r="A1345">
        <v>29</v>
      </c>
      <c r="B1345" t="str">
        <f>_xlfn.XLOOKUP(Table1[[#This Row],[Attrition]],Table2[Attrition],Table2[Id_Attrition])</f>
        <v>A002</v>
      </c>
      <c r="C1345" t="s">
        <v>33</v>
      </c>
      <c r="D1345" t="str">
        <f>_xlfn.XLOOKUP(Table1[[#This Row],[BusinessTravel]],Table5[BusinessTravel],Table5[Id_BusinessTravel])</f>
        <v>BS001</v>
      </c>
      <c r="E1345" t="s">
        <v>34</v>
      </c>
      <c r="F1345">
        <v>592</v>
      </c>
      <c r="G1345" t="str">
        <f>_xlfn.XLOOKUP(Table1[[#This Row],[Department]],Table6[Department],Table6[Id_Departement])</f>
        <v>D002</v>
      </c>
      <c r="H1345" t="s">
        <v>38</v>
      </c>
      <c r="I1345">
        <v>7</v>
      </c>
      <c r="J1345" t="str">
        <f>_xlfn.XLOOKUP(Table1[[#This Row],[Education]],Table8[Education],Table8[Id_Education])</f>
        <v>E003</v>
      </c>
      <c r="K1345">
        <v>3</v>
      </c>
      <c r="L1345" t="str">
        <f>_xlfn.XLOOKUP(Table1[[#This Row],[EducationField]],Table7[EducationField],Table7[Id_EducationField])</f>
        <v>EF001</v>
      </c>
      <c r="M1345" t="s">
        <v>40</v>
      </c>
      <c r="N1345" t="str">
        <f>_xlfn.XLOOKUP(Table1[[#This Row],[EmployeeNumber]],Table4[EmployeeNumber],Table4[Id_Employee])</f>
        <v>EMP01344</v>
      </c>
      <c r="O1345">
        <v>1883</v>
      </c>
      <c r="P1345" t="str">
        <f>_xlfn.XLOOKUP(Table1[[#This Row],[EnvironmentSatisfaction]],Table9[EnvironmentSatisfaction],Table9[Id_EnviromentSatisfaction])</f>
        <v>ES004</v>
      </c>
      <c r="Q1345">
        <v>4</v>
      </c>
      <c r="R1345" t="str">
        <f>_xlfn.XLOOKUP(Table1[[#This Row],[EnvironmentSatisfaction]],Table9[EnvironmentSatisfaction],Table9[Deskripsi])</f>
        <v>Very High</v>
      </c>
      <c r="S1345" t="str">
        <f>_xlfn.XLOOKUP(Table1[[#This Row],[Gender]],Table10[Gender],Table10[Id_Gender])</f>
        <v>G002</v>
      </c>
      <c r="T1345" t="s">
        <v>46</v>
      </c>
      <c r="U1345">
        <v>59</v>
      </c>
      <c r="V1345" t="str">
        <f>_xlfn.XLOOKUP(Table1[[#This Row],[JobInvolvement]],Table11[JobInvolvement],Table11[Id_JobInvolvement])</f>
        <v>JI003</v>
      </c>
      <c r="W1345">
        <v>3</v>
      </c>
      <c r="X1345" t="str">
        <f>_xlfn.XLOOKUP(Table1[[#This Row],[JobLevel]],Table12[JobLevel],Table12[Id_JobLevel])</f>
        <v>JL001</v>
      </c>
      <c r="Y1345">
        <v>1</v>
      </c>
      <c r="Z1345" t="str">
        <f>_xlfn.XLOOKUP(Table1[[#This Row],[JobRole]],Table13[JobRole],Table13[Id_JobRole])</f>
        <v>JR003</v>
      </c>
      <c r="AA1345" t="s">
        <v>49</v>
      </c>
      <c r="AB1345" t="str">
        <f>_xlfn.XLOOKUP(Table1[[#This Row],[JobSatisfaction]],Table14[JobSatisfaction],Table14[Id_JobSatisfaction])</f>
        <v>JS001</v>
      </c>
      <c r="AC1345">
        <v>1</v>
      </c>
      <c r="AD1345" t="str">
        <f>_xlfn.XLOOKUP(Table1[[#This Row],[JobSatisfaction]],Table14[JobSatisfaction],Table14[Deskripsi])</f>
        <v>Low</v>
      </c>
      <c r="AE1345" t="str">
        <f>_xlfn.XLOOKUP(Table1[[#This Row],[MaritalStatus]],Table15[MaritalStatus],Table15[Id_MaritalStatus])</f>
        <v>MS001</v>
      </c>
      <c r="AF1345" t="s">
        <v>55</v>
      </c>
      <c r="AG1345">
        <v>2062</v>
      </c>
      <c r="AH1345">
        <v>19384</v>
      </c>
      <c r="AI1345">
        <v>3</v>
      </c>
      <c r="AJ1345" t="str">
        <f>_xlfn.XLOOKUP(Table1[[#This Row],[OverTime]],Table16[OverTime],Table16[Id_OverTime])</f>
        <v>OT002</v>
      </c>
      <c r="AK1345" t="s">
        <v>33</v>
      </c>
      <c r="AL1345">
        <v>14</v>
      </c>
      <c r="AM1345" t="str">
        <f>_xlfn.XLOOKUP(Table1[[#This Row],[PerformanceRating]],Table17[PerformanceRating],Table17[Id_PerformanceRating])</f>
        <v>PR003</v>
      </c>
      <c r="AN1345">
        <v>3</v>
      </c>
      <c r="AO1345" t="str">
        <f>_xlfn.XLOOKUP(Table1[[#This Row],[PerformanceRating]],Table17[PerformanceRating],Table17[Deskripsi])</f>
        <v>Excellent</v>
      </c>
      <c r="AP1345" t="str">
        <f>_xlfn.XLOOKUP(Table1[[#This Row],[RelationshipSatisfaction]],Table18[RelationshipSatisfaction],Table18[Id_RelationshipSatisfaction])</f>
        <v>RS002</v>
      </c>
      <c r="AQ1345">
        <v>2</v>
      </c>
      <c r="AR1345" t="str">
        <f>_xlfn.XLOOKUP(Table1[[#This Row],[RelationshipSatisfaction]],Table18[RelationshipSatisfaction],Table18[Deskripsi])</f>
        <v>Medium</v>
      </c>
      <c r="AS1345" t="str">
        <f>_xlfn.XLOOKUP(Table1[[#This Row],[StockOptionLevel]],Table19[StockOptionLevel],Table19[Id_StockOptionLevel])</f>
        <v>SOL001</v>
      </c>
      <c r="AT1345">
        <v>0</v>
      </c>
      <c r="AU1345" t="str">
        <f>_xlfn.XLOOKUP(Table1[[#This Row],[StockOptionLevel]],Table19[StockOptionLevel],Table19[Deskripsi])</f>
        <v>Non-Eligible</v>
      </c>
      <c r="AV1345">
        <v>11</v>
      </c>
      <c r="AW1345">
        <v>2</v>
      </c>
      <c r="AX1345" t="str">
        <f>_xlfn.XLOOKUP(Table1[[#This Row],[WorkLifeBalance]],Table20[WorkLifeBalance],Table20[Id_WorkLifeBalance])</f>
        <v>WLB002</v>
      </c>
      <c r="AY1345">
        <v>3</v>
      </c>
      <c r="AZ1345" t="str">
        <f>_xlfn.XLOOKUP(Table1[[#This Row],[WorkLifeBalance]],Table20[WorkLifeBalance],Table20[Deskripsi])</f>
        <v>Good</v>
      </c>
      <c r="BA1345">
        <v>3</v>
      </c>
      <c r="BB1345">
        <v>2</v>
      </c>
      <c r="BC1345">
        <v>1</v>
      </c>
      <c r="BD1345">
        <v>2</v>
      </c>
    </row>
    <row r="1346" spans="1:56" x14ac:dyDescent="0.25">
      <c r="A1346">
        <v>37</v>
      </c>
      <c r="B1346" t="str">
        <f>_xlfn.XLOOKUP(Table1[[#This Row],[Attrition]],Table2[Attrition],Table2[Id_Attrition])</f>
        <v>A002</v>
      </c>
      <c r="C1346" t="s">
        <v>33</v>
      </c>
      <c r="D1346" t="str">
        <f>_xlfn.XLOOKUP(Table1[[#This Row],[BusinessTravel]],Table5[BusinessTravel],Table5[Id_BusinessTravel])</f>
        <v>BS001</v>
      </c>
      <c r="E1346" t="s">
        <v>34</v>
      </c>
      <c r="F1346">
        <v>783</v>
      </c>
      <c r="G1346" t="str">
        <f>_xlfn.XLOOKUP(Table1[[#This Row],[Department]],Table6[Department],Table6[Id_Departement])</f>
        <v>D002</v>
      </c>
      <c r="H1346" t="s">
        <v>38</v>
      </c>
      <c r="I1346">
        <v>7</v>
      </c>
      <c r="J1346" t="str">
        <f>_xlfn.XLOOKUP(Table1[[#This Row],[Education]],Table8[Education],Table8[Id_Education])</f>
        <v>E004</v>
      </c>
      <c r="K1346">
        <v>4</v>
      </c>
      <c r="L1346" t="str">
        <f>_xlfn.XLOOKUP(Table1[[#This Row],[EducationField]],Table7[EducationField],Table7[Id_EducationField])</f>
        <v>EF003</v>
      </c>
      <c r="M1346" t="s">
        <v>42</v>
      </c>
      <c r="N1346" t="str">
        <f>_xlfn.XLOOKUP(Table1[[#This Row],[EmployeeNumber]],Table4[EmployeeNumber],Table4[Id_Employee])</f>
        <v>EMP01345</v>
      </c>
      <c r="O1346">
        <v>1885</v>
      </c>
      <c r="P1346" t="str">
        <f>_xlfn.XLOOKUP(Table1[[#This Row],[EnvironmentSatisfaction]],Table9[EnvironmentSatisfaction],Table9[Id_EnviromentSatisfaction])</f>
        <v>ES004</v>
      </c>
      <c r="Q1346">
        <v>4</v>
      </c>
      <c r="R1346" t="str">
        <f>_xlfn.XLOOKUP(Table1[[#This Row],[EnvironmentSatisfaction]],Table9[EnvironmentSatisfaction],Table9[Deskripsi])</f>
        <v>Very High</v>
      </c>
      <c r="S1346" t="str">
        <f>_xlfn.XLOOKUP(Table1[[#This Row],[Gender]],Table10[Gender],Table10[Id_Gender])</f>
        <v>G002</v>
      </c>
      <c r="T1346" t="s">
        <v>46</v>
      </c>
      <c r="U1346">
        <v>78</v>
      </c>
      <c r="V1346" t="str">
        <f>_xlfn.XLOOKUP(Table1[[#This Row],[JobInvolvement]],Table11[JobInvolvement],Table11[Id_JobInvolvement])</f>
        <v>JI003</v>
      </c>
      <c r="W1346">
        <v>3</v>
      </c>
      <c r="X1346" t="str">
        <f>_xlfn.XLOOKUP(Table1[[#This Row],[JobLevel]],Table12[JobLevel],Table12[Id_JobLevel])</f>
        <v>JL002</v>
      </c>
      <c r="Y1346">
        <v>2</v>
      </c>
      <c r="Z1346" t="str">
        <f>_xlfn.XLOOKUP(Table1[[#This Row],[JobRole]],Table13[JobRole],Table13[Id_JobRole])</f>
        <v>JR002</v>
      </c>
      <c r="AA1346" t="s">
        <v>48</v>
      </c>
      <c r="AB1346" t="str">
        <f>_xlfn.XLOOKUP(Table1[[#This Row],[JobSatisfaction]],Table14[JobSatisfaction],Table14[Id_JobSatisfaction])</f>
        <v>JS001</v>
      </c>
      <c r="AC1346">
        <v>1</v>
      </c>
      <c r="AD1346" t="str">
        <f>_xlfn.XLOOKUP(Table1[[#This Row],[JobSatisfaction]],Table14[JobSatisfaction],Table14[Deskripsi])</f>
        <v>Low</v>
      </c>
      <c r="AE1346" t="str">
        <f>_xlfn.XLOOKUP(Table1[[#This Row],[MaritalStatus]],Table15[MaritalStatus],Table15[Id_MaritalStatus])</f>
        <v>MS002</v>
      </c>
      <c r="AF1346" t="s">
        <v>56</v>
      </c>
      <c r="AG1346">
        <v>4284</v>
      </c>
      <c r="AH1346">
        <v>13588</v>
      </c>
      <c r="AI1346">
        <v>5</v>
      </c>
      <c r="AJ1346" t="str">
        <f>_xlfn.XLOOKUP(Table1[[#This Row],[OverTime]],Table16[OverTime],Table16[Id_OverTime])</f>
        <v>OT001</v>
      </c>
      <c r="AK1346" t="s">
        <v>32</v>
      </c>
      <c r="AL1346">
        <v>22</v>
      </c>
      <c r="AM1346" t="str">
        <f>_xlfn.XLOOKUP(Table1[[#This Row],[PerformanceRating]],Table17[PerformanceRating],Table17[Id_PerformanceRating])</f>
        <v>PR004</v>
      </c>
      <c r="AN1346">
        <v>4</v>
      </c>
      <c r="AO1346" t="str">
        <f>_xlfn.XLOOKUP(Table1[[#This Row],[PerformanceRating]],Table17[PerformanceRating],Table17[Deskripsi])</f>
        <v>Outstanding</v>
      </c>
      <c r="AP1346" t="str">
        <f>_xlfn.XLOOKUP(Table1[[#This Row],[RelationshipSatisfaction]],Table18[RelationshipSatisfaction],Table18[Id_RelationshipSatisfaction])</f>
        <v>RS003</v>
      </c>
      <c r="AQ1346">
        <v>3</v>
      </c>
      <c r="AR1346" t="str">
        <f>_xlfn.XLOOKUP(Table1[[#This Row],[RelationshipSatisfaction]],Table18[RelationshipSatisfaction],Table18[Deskripsi])</f>
        <v>High</v>
      </c>
      <c r="AS1346" t="str">
        <f>_xlfn.XLOOKUP(Table1[[#This Row],[StockOptionLevel]],Table19[StockOptionLevel],Table19[Id_StockOptionLevel])</f>
        <v>SOL002</v>
      </c>
      <c r="AT1346">
        <v>1</v>
      </c>
      <c r="AU1346" t="str">
        <f>_xlfn.XLOOKUP(Table1[[#This Row],[StockOptionLevel]],Table19[StockOptionLevel],Table19[Deskripsi])</f>
        <v>Standard</v>
      </c>
      <c r="AV1346">
        <v>16</v>
      </c>
      <c r="AW1346">
        <v>2</v>
      </c>
      <c r="AX1346" t="str">
        <f>_xlfn.XLOOKUP(Table1[[#This Row],[WorkLifeBalance]],Table20[WorkLifeBalance],Table20[Id_WorkLifeBalance])</f>
        <v>WLB002</v>
      </c>
      <c r="AY1346">
        <v>3</v>
      </c>
      <c r="AZ1346" t="str">
        <f>_xlfn.XLOOKUP(Table1[[#This Row],[WorkLifeBalance]],Table20[WorkLifeBalance],Table20[Deskripsi])</f>
        <v>Good</v>
      </c>
      <c r="BA1346">
        <v>5</v>
      </c>
      <c r="BB1346">
        <v>3</v>
      </c>
      <c r="BC1346">
        <v>0</v>
      </c>
      <c r="BD1346">
        <v>4</v>
      </c>
    </row>
    <row r="1347" spans="1:56" x14ac:dyDescent="0.25">
      <c r="A1347">
        <v>35</v>
      </c>
      <c r="B1347" t="str">
        <f>_xlfn.XLOOKUP(Table1[[#This Row],[Attrition]],Table2[Attrition],Table2[Id_Attrition])</f>
        <v>A002</v>
      </c>
      <c r="C1347" t="s">
        <v>33</v>
      </c>
      <c r="D1347" t="str">
        <f>_xlfn.XLOOKUP(Table1[[#This Row],[BusinessTravel]],Table5[BusinessTravel],Table5[Id_BusinessTravel])</f>
        <v>BS001</v>
      </c>
      <c r="E1347" t="s">
        <v>34</v>
      </c>
      <c r="F1347">
        <v>219</v>
      </c>
      <c r="G1347" t="str">
        <f>_xlfn.XLOOKUP(Table1[[#This Row],[Department]],Table6[Department],Table6[Id_Departement])</f>
        <v>D002</v>
      </c>
      <c r="H1347" t="s">
        <v>38</v>
      </c>
      <c r="I1347">
        <v>16</v>
      </c>
      <c r="J1347" t="str">
        <f>_xlfn.XLOOKUP(Table1[[#This Row],[Education]],Table8[Education],Table8[Id_Education])</f>
        <v>E002</v>
      </c>
      <c r="K1347">
        <v>2</v>
      </c>
      <c r="L1347" t="str">
        <f>_xlfn.XLOOKUP(Table1[[#This Row],[EducationField]],Table7[EducationField],Table7[Id_EducationField])</f>
        <v>EF002</v>
      </c>
      <c r="M1347" t="s">
        <v>41</v>
      </c>
      <c r="N1347" t="str">
        <f>_xlfn.XLOOKUP(Table1[[#This Row],[EmployeeNumber]],Table4[EmployeeNumber],Table4[Id_Employee])</f>
        <v>EMP01346</v>
      </c>
      <c r="O1347">
        <v>1886</v>
      </c>
      <c r="P1347" t="str">
        <f>_xlfn.XLOOKUP(Table1[[#This Row],[EnvironmentSatisfaction]],Table9[EnvironmentSatisfaction],Table9[Id_EnviromentSatisfaction])</f>
        <v>ES004</v>
      </c>
      <c r="Q1347">
        <v>4</v>
      </c>
      <c r="R1347" t="str">
        <f>_xlfn.XLOOKUP(Table1[[#This Row],[EnvironmentSatisfaction]],Table9[EnvironmentSatisfaction],Table9[Deskripsi])</f>
        <v>Very High</v>
      </c>
      <c r="S1347" t="str">
        <f>_xlfn.XLOOKUP(Table1[[#This Row],[Gender]],Table10[Gender],Table10[Id_Gender])</f>
        <v>G001</v>
      </c>
      <c r="T1347" t="s">
        <v>45</v>
      </c>
      <c r="U1347">
        <v>44</v>
      </c>
      <c r="V1347" t="str">
        <f>_xlfn.XLOOKUP(Table1[[#This Row],[JobInvolvement]],Table11[JobInvolvement],Table11[Id_JobInvolvement])</f>
        <v>JI002</v>
      </c>
      <c r="W1347">
        <v>2</v>
      </c>
      <c r="X1347" t="str">
        <f>_xlfn.XLOOKUP(Table1[[#This Row],[JobLevel]],Table12[JobLevel],Table12[Id_JobLevel])</f>
        <v>JL002</v>
      </c>
      <c r="Y1347">
        <v>2</v>
      </c>
      <c r="Z1347" t="str">
        <f>_xlfn.XLOOKUP(Table1[[#This Row],[JobRole]],Table13[JobRole],Table13[Id_JobRole])</f>
        <v>JR004</v>
      </c>
      <c r="AA1347" t="s">
        <v>50</v>
      </c>
      <c r="AB1347" t="str">
        <f>_xlfn.XLOOKUP(Table1[[#This Row],[JobSatisfaction]],Table14[JobSatisfaction],Table14[Id_JobSatisfaction])</f>
        <v>JS002</v>
      </c>
      <c r="AC1347">
        <v>2</v>
      </c>
      <c r="AD1347" t="str">
        <f>_xlfn.XLOOKUP(Table1[[#This Row],[JobSatisfaction]],Table14[JobSatisfaction],Table14[Deskripsi])</f>
        <v>Medium</v>
      </c>
      <c r="AE1347" t="str">
        <f>_xlfn.XLOOKUP(Table1[[#This Row],[MaritalStatus]],Table15[MaritalStatus],Table15[Id_MaritalStatus])</f>
        <v>MS002</v>
      </c>
      <c r="AF1347" t="s">
        <v>56</v>
      </c>
      <c r="AG1347">
        <v>4788</v>
      </c>
      <c r="AH1347">
        <v>25388</v>
      </c>
      <c r="AI1347">
        <v>0</v>
      </c>
      <c r="AJ1347" t="str">
        <f>_xlfn.XLOOKUP(Table1[[#This Row],[OverTime]],Table16[OverTime],Table16[Id_OverTime])</f>
        <v>OT001</v>
      </c>
      <c r="AK1347" t="s">
        <v>32</v>
      </c>
      <c r="AL1347">
        <v>11</v>
      </c>
      <c r="AM1347" t="str">
        <f>_xlfn.XLOOKUP(Table1[[#This Row],[PerformanceRating]],Table17[PerformanceRating],Table17[Id_PerformanceRating])</f>
        <v>PR003</v>
      </c>
      <c r="AN1347">
        <v>3</v>
      </c>
      <c r="AO1347" t="str">
        <f>_xlfn.XLOOKUP(Table1[[#This Row],[PerformanceRating]],Table17[PerformanceRating],Table17[Deskripsi])</f>
        <v>Excellent</v>
      </c>
      <c r="AP1347" t="str">
        <f>_xlfn.XLOOKUP(Table1[[#This Row],[RelationshipSatisfaction]],Table18[RelationshipSatisfaction],Table18[Id_RelationshipSatisfaction])</f>
        <v>RS004</v>
      </c>
      <c r="AQ1347">
        <v>4</v>
      </c>
      <c r="AR1347" t="str">
        <f>_xlfn.XLOOKUP(Table1[[#This Row],[RelationshipSatisfaction]],Table18[RelationshipSatisfaction],Table18[Deskripsi])</f>
        <v>Very High</v>
      </c>
      <c r="AS1347" t="str">
        <f>_xlfn.XLOOKUP(Table1[[#This Row],[StockOptionLevel]],Table19[StockOptionLevel],Table19[Id_StockOptionLevel])</f>
        <v>SOL001</v>
      </c>
      <c r="AT1347">
        <v>0</v>
      </c>
      <c r="AU1347" t="str">
        <f>_xlfn.XLOOKUP(Table1[[#This Row],[StockOptionLevel]],Table19[StockOptionLevel],Table19[Deskripsi])</f>
        <v>Non-Eligible</v>
      </c>
      <c r="AV1347">
        <v>4</v>
      </c>
      <c r="AW1347">
        <v>2</v>
      </c>
      <c r="AX1347" t="str">
        <f>_xlfn.XLOOKUP(Table1[[#This Row],[WorkLifeBalance]],Table20[WorkLifeBalance],Table20[Id_WorkLifeBalance])</f>
        <v>WLB002</v>
      </c>
      <c r="AY1347">
        <v>3</v>
      </c>
      <c r="AZ1347" t="str">
        <f>_xlfn.XLOOKUP(Table1[[#This Row],[WorkLifeBalance]],Table20[WorkLifeBalance],Table20[Deskripsi])</f>
        <v>Good</v>
      </c>
      <c r="BA1347">
        <v>3</v>
      </c>
      <c r="BB1347">
        <v>2</v>
      </c>
      <c r="BC1347">
        <v>0</v>
      </c>
      <c r="BD1347">
        <v>2</v>
      </c>
    </row>
    <row r="1348" spans="1:56" x14ac:dyDescent="0.25">
      <c r="A1348">
        <v>45</v>
      </c>
      <c r="B1348" t="str">
        <f>_xlfn.XLOOKUP(Table1[[#This Row],[Attrition]],Table2[Attrition],Table2[Id_Attrition])</f>
        <v>A002</v>
      </c>
      <c r="C1348" t="s">
        <v>33</v>
      </c>
      <c r="D1348" t="str">
        <f>_xlfn.XLOOKUP(Table1[[#This Row],[BusinessTravel]],Table5[BusinessTravel],Table5[Id_BusinessTravel])</f>
        <v>BS001</v>
      </c>
      <c r="E1348" t="s">
        <v>34</v>
      </c>
      <c r="F1348">
        <v>556</v>
      </c>
      <c r="G1348" t="str">
        <f>_xlfn.XLOOKUP(Table1[[#This Row],[Department]],Table6[Department],Table6[Id_Departement])</f>
        <v>D002</v>
      </c>
      <c r="H1348" t="s">
        <v>38</v>
      </c>
      <c r="I1348">
        <v>25</v>
      </c>
      <c r="J1348" t="str">
        <f>_xlfn.XLOOKUP(Table1[[#This Row],[Education]],Table8[Education],Table8[Id_Education])</f>
        <v>E002</v>
      </c>
      <c r="K1348">
        <v>2</v>
      </c>
      <c r="L1348" t="str">
        <f>_xlfn.XLOOKUP(Table1[[#This Row],[EducationField]],Table7[EducationField],Table7[Id_EducationField])</f>
        <v>EF001</v>
      </c>
      <c r="M1348" t="s">
        <v>40</v>
      </c>
      <c r="N1348" t="str">
        <f>_xlfn.XLOOKUP(Table1[[#This Row],[EmployeeNumber]],Table4[EmployeeNumber],Table4[Id_Employee])</f>
        <v>EMP01347</v>
      </c>
      <c r="O1348">
        <v>1888</v>
      </c>
      <c r="P1348" t="str">
        <f>_xlfn.XLOOKUP(Table1[[#This Row],[EnvironmentSatisfaction]],Table9[EnvironmentSatisfaction],Table9[Id_EnviromentSatisfaction])</f>
        <v>ES002</v>
      </c>
      <c r="Q1348">
        <v>2</v>
      </c>
      <c r="R1348" t="str">
        <f>_xlfn.XLOOKUP(Table1[[#This Row],[EnvironmentSatisfaction]],Table9[EnvironmentSatisfaction],Table9[Deskripsi])</f>
        <v>Medium</v>
      </c>
      <c r="S1348" t="str">
        <f>_xlfn.XLOOKUP(Table1[[#This Row],[Gender]],Table10[Gender],Table10[Id_Gender])</f>
        <v>G001</v>
      </c>
      <c r="T1348" t="s">
        <v>45</v>
      </c>
      <c r="U1348">
        <v>93</v>
      </c>
      <c r="V1348" t="str">
        <f>_xlfn.XLOOKUP(Table1[[#This Row],[JobInvolvement]],Table11[JobInvolvement],Table11[Id_JobInvolvement])</f>
        <v>JI002</v>
      </c>
      <c r="W1348">
        <v>2</v>
      </c>
      <c r="X1348" t="str">
        <f>_xlfn.XLOOKUP(Table1[[#This Row],[JobLevel]],Table12[JobLevel],Table12[Id_JobLevel])</f>
        <v>JL002</v>
      </c>
      <c r="Y1348">
        <v>2</v>
      </c>
      <c r="Z1348" t="str">
        <f>_xlfn.XLOOKUP(Table1[[#This Row],[JobRole]],Table13[JobRole],Table13[Id_JobRole])</f>
        <v>JR004</v>
      </c>
      <c r="AA1348" t="s">
        <v>50</v>
      </c>
      <c r="AB1348" t="str">
        <f>_xlfn.XLOOKUP(Table1[[#This Row],[JobSatisfaction]],Table14[JobSatisfaction],Table14[Id_JobSatisfaction])</f>
        <v>JS004</v>
      </c>
      <c r="AC1348">
        <v>4</v>
      </c>
      <c r="AD1348" t="str">
        <f>_xlfn.XLOOKUP(Table1[[#This Row],[JobSatisfaction]],Table14[JobSatisfaction],Table14[Deskripsi])</f>
        <v>Very High</v>
      </c>
      <c r="AE1348" t="str">
        <f>_xlfn.XLOOKUP(Table1[[#This Row],[MaritalStatus]],Table15[MaritalStatus],Table15[Id_MaritalStatus])</f>
        <v>MS002</v>
      </c>
      <c r="AF1348" t="s">
        <v>56</v>
      </c>
      <c r="AG1348">
        <v>5906</v>
      </c>
      <c r="AH1348">
        <v>23888</v>
      </c>
      <c r="AI1348">
        <v>0</v>
      </c>
      <c r="AJ1348" t="str">
        <f>_xlfn.XLOOKUP(Table1[[#This Row],[OverTime]],Table16[OverTime],Table16[Id_OverTime])</f>
        <v>OT002</v>
      </c>
      <c r="AK1348" t="s">
        <v>33</v>
      </c>
      <c r="AL1348">
        <v>13</v>
      </c>
      <c r="AM1348" t="str">
        <f>_xlfn.XLOOKUP(Table1[[#This Row],[PerformanceRating]],Table17[PerformanceRating],Table17[Id_PerformanceRating])</f>
        <v>PR003</v>
      </c>
      <c r="AN1348">
        <v>3</v>
      </c>
      <c r="AO1348" t="str">
        <f>_xlfn.XLOOKUP(Table1[[#This Row],[PerformanceRating]],Table17[PerformanceRating],Table17[Deskripsi])</f>
        <v>Excellent</v>
      </c>
      <c r="AP1348" t="str">
        <f>_xlfn.XLOOKUP(Table1[[#This Row],[RelationshipSatisfaction]],Table18[RelationshipSatisfaction],Table18[Id_RelationshipSatisfaction])</f>
        <v>RS004</v>
      </c>
      <c r="AQ1348">
        <v>4</v>
      </c>
      <c r="AR1348" t="str">
        <f>_xlfn.XLOOKUP(Table1[[#This Row],[RelationshipSatisfaction]],Table18[RelationshipSatisfaction],Table18[Deskripsi])</f>
        <v>Very High</v>
      </c>
      <c r="AS1348" t="str">
        <f>_xlfn.XLOOKUP(Table1[[#This Row],[StockOptionLevel]],Table19[StockOptionLevel],Table19[Id_StockOptionLevel])</f>
        <v>SOL003</v>
      </c>
      <c r="AT1348">
        <v>2</v>
      </c>
      <c r="AU1348" t="str">
        <f>_xlfn.XLOOKUP(Table1[[#This Row],[StockOptionLevel]],Table19[StockOptionLevel],Table19[Deskripsi])</f>
        <v>Intermediate</v>
      </c>
      <c r="AV1348">
        <v>10</v>
      </c>
      <c r="AW1348">
        <v>2</v>
      </c>
      <c r="AX1348" t="str">
        <f>_xlfn.XLOOKUP(Table1[[#This Row],[WorkLifeBalance]],Table20[WorkLifeBalance],Table20[Id_WorkLifeBalance])</f>
        <v>WLB003</v>
      </c>
      <c r="AY1348">
        <v>2</v>
      </c>
      <c r="AZ1348" t="str">
        <f>_xlfn.XLOOKUP(Table1[[#This Row],[WorkLifeBalance]],Table20[WorkLifeBalance],Table20[Deskripsi])</f>
        <v>Better</v>
      </c>
      <c r="BA1348">
        <v>9</v>
      </c>
      <c r="BB1348">
        <v>8</v>
      </c>
      <c r="BC1348">
        <v>3</v>
      </c>
      <c r="BD1348">
        <v>8</v>
      </c>
    </row>
    <row r="1349" spans="1:56" x14ac:dyDescent="0.25">
      <c r="A1349">
        <v>36</v>
      </c>
      <c r="B1349" t="str">
        <f>_xlfn.XLOOKUP(Table1[[#This Row],[Attrition]],Table2[Attrition],Table2[Id_Attrition])</f>
        <v>A002</v>
      </c>
      <c r="C1349" t="s">
        <v>33</v>
      </c>
      <c r="D1349" t="str">
        <f>_xlfn.XLOOKUP(Table1[[#This Row],[BusinessTravel]],Table5[BusinessTravel],Table5[Id_BusinessTravel])</f>
        <v>BS002</v>
      </c>
      <c r="E1349" t="s">
        <v>35</v>
      </c>
      <c r="F1349">
        <v>1213</v>
      </c>
      <c r="G1349" t="str">
        <f>_xlfn.XLOOKUP(Table1[[#This Row],[Department]],Table6[Department],Table6[Id_Departement])</f>
        <v>D003</v>
      </c>
      <c r="H1349" t="s">
        <v>39</v>
      </c>
      <c r="I1349">
        <v>2</v>
      </c>
      <c r="J1349" t="str">
        <f>_xlfn.XLOOKUP(Table1[[#This Row],[Education]],Table8[Education],Table8[Id_Education])</f>
        <v>E001</v>
      </c>
      <c r="K1349">
        <v>1</v>
      </c>
      <c r="L1349" t="str">
        <f>_xlfn.XLOOKUP(Table1[[#This Row],[EducationField]],Table7[EducationField],Table7[Id_EducationField])</f>
        <v>EF006</v>
      </c>
      <c r="M1349" t="s">
        <v>39</v>
      </c>
      <c r="N1349" t="str">
        <f>_xlfn.XLOOKUP(Table1[[#This Row],[EmployeeNumber]],Table4[EmployeeNumber],Table4[Id_Employee])</f>
        <v>EMP01348</v>
      </c>
      <c r="O1349">
        <v>1890</v>
      </c>
      <c r="P1349" t="str">
        <f>_xlfn.XLOOKUP(Table1[[#This Row],[EnvironmentSatisfaction]],Table9[EnvironmentSatisfaction],Table9[Id_EnviromentSatisfaction])</f>
        <v>ES002</v>
      </c>
      <c r="Q1349">
        <v>2</v>
      </c>
      <c r="R1349" t="str">
        <f>_xlfn.XLOOKUP(Table1[[#This Row],[EnvironmentSatisfaction]],Table9[EnvironmentSatisfaction],Table9[Deskripsi])</f>
        <v>Medium</v>
      </c>
      <c r="S1349" t="str">
        <f>_xlfn.XLOOKUP(Table1[[#This Row],[Gender]],Table10[Gender],Table10[Id_Gender])</f>
        <v>G002</v>
      </c>
      <c r="T1349" t="s">
        <v>46</v>
      </c>
      <c r="U1349">
        <v>94</v>
      </c>
      <c r="V1349" t="str">
        <f>_xlfn.XLOOKUP(Table1[[#This Row],[JobInvolvement]],Table11[JobInvolvement],Table11[Id_JobInvolvement])</f>
        <v>JI002</v>
      </c>
      <c r="W1349">
        <v>2</v>
      </c>
      <c r="X1349" t="str">
        <f>_xlfn.XLOOKUP(Table1[[#This Row],[JobLevel]],Table12[JobLevel],Table12[Id_JobLevel])</f>
        <v>JL002</v>
      </c>
      <c r="Y1349">
        <v>2</v>
      </c>
      <c r="Z1349" t="str">
        <f>_xlfn.XLOOKUP(Table1[[#This Row],[JobRole]],Table13[JobRole],Table13[Id_JobRole])</f>
        <v>JR009</v>
      </c>
      <c r="AA1349" t="s">
        <v>39</v>
      </c>
      <c r="AB1349" t="str">
        <f>_xlfn.XLOOKUP(Table1[[#This Row],[JobSatisfaction]],Table14[JobSatisfaction],Table14[Id_JobSatisfaction])</f>
        <v>JS004</v>
      </c>
      <c r="AC1349">
        <v>4</v>
      </c>
      <c r="AD1349" t="str">
        <f>_xlfn.XLOOKUP(Table1[[#This Row],[JobSatisfaction]],Table14[JobSatisfaction],Table14[Deskripsi])</f>
        <v>Very High</v>
      </c>
      <c r="AE1349" t="str">
        <f>_xlfn.XLOOKUP(Table1[[#This Row],[MaritalStatus]],Table15[MaritalStatus],Table15[Id_MaritalStatus])</f>
        <v>MS001</v>
      </c>
      <c r="AF1349" t="s">
        <v>55</v>
      </c>
      <c r="AG1349">
        <v>3886</v>
      </c>
      <c r="AH1349">
        <v>4223</v>
      </c>
      <c r="AI1349">
        <v>1</v>
      </c>
      <c r="AJ1349" t="str">
        <f>_xlfn.XLOOKUP(Table1[[#This Row],[OverTime]],Table16[OverTime],Table16[Id_OverTime])</f>
        <v>OT002</v>
      </c>
      <c r="AK1349" t="s">
        <v>33</v>
      </c>
      <c r="AL1349">
        <v>21</v>
      </c>
      <c r="AM1349" t="str">
        <f>_xlfn.XLOOKUP(Table1[[#This Row],[PerformanceRating]],Table17[PerformanceRating],Table17[Id_PerformanceRating])</f>
        <v>PR004</v>
      </c>
      <c r="AN1349">
        <v>4</v>
      </c>
      <c r="AO1349" t="str">
        <f>_xlfn.XLOOKUP(Table1[[#This Row],[PerformanceRating]],Table17[PerformanceRating],Table17[Deskripsi])</f>
        <v>Outstanding</v>
      </c>
      <c r="AP1349" t="str">
        <f>_xlfn.XLOOKUP(Table1[[#This Row],[RelationshipSatisfaction]],Table18[RelationshipSatisfaction],Table18[Id_RelationshipSatisfaction])</f>
        <v>RS004</v>
      </c>
      <c r="AQ1349">
        <v>4</v>
      </c>
      <c r="AR1349" t="str">
        <f>_xlfn.XLOOKUP(Table1[[#This Row],[RelationshipSatisfaction]],Table18[RelationshipSatisfaction],Table18[Deskripsi])</f>
        <v>Very High</v>
      </c>
      <c r="AS1349" t="str">
        <f>_xlfn.XLOOKUP(Table1[[#This Row],[StockOptionLevel]],Table19[StockOptionLevel],Table19[Id_StockOptionLevel])</f>
        <v>SOL001</v>
      </c>
      <c r="AT1349">
        <v>0</v>
      </c>
      <c r="AU1349" t="str">
        <f>_xlfn.XLOOKUP(Table1[[#This Row],[StockOptionLevel]],Table19[StockOptionLevel],Table19[Deskripsi])</f>
        <v>Non-Eligible</v>
      </c>
      <c r="AV1349">
        <v>10</v>
      </c>
      <c r="AW1349">
        <v>2</v>
      </c>
      <c r="AX1349" t="str">
        <f>_xlfn.XLOOKUP(Table1[[#This Row],[WorkLifeBalance]],Table20[WorkLifeBalance],Table20[Id_WorkLifeBalance])</f>
        <v>WLB003</v>
      </c>
      <c r="AY1349">
        <v>2</v>
      </c>
      <c r="AZ1349" t="str">
        <f>_xlfn.XLOOKUP(Table1[[#This Row],[WorkLifeBalance]],Table20[WorkLifeBalance],Table20[Deskripsi])</f>
        <v>Better</v>
      </c>
      <c r="BA1349">
        <v>10</v>
      </c>
      <c r="BB1349">
        <v>1</v>
      </c>
      <c r="BC1349">
        <v>0</v>
      </c>
      <c r="BD1349">
        <v>8</v>
      </c>
    </row>
    <row r="1350" spans="1:56" x14ac:dyDescent="0.25">
      <c r="A1350">
        <v>40</v>
      </c>
      <c r="B1350" t="str">
        <f>_xlfn.XLOOKUP(Table1[[#This Row],[Attrition]],Table2[Attrition],Table2[Id_Attrition])</f>
        <v>A002</v>
      </c>
      <c r="C1350" t="s">
        <v>33</v>
      </c>
      <c r="D1350" t="str">
        <f>_xlfn.XLOOKUP(Table1[[#This Row],[BusinessTravel]],Table5[BusinessTravel],Table5[Id_BusinessTravel])</f>
        <v>BS001</v>
      </c>
      <c r="E1350" t="s">
        <v>34</v>
      </c>
      <c r="F1350">
        <v>1137</v>
      </c>
      <c r="G1350" t="str">
        <f>_xlfn.XLOOKUP(Table1[[#This Row],[Department]],Table6[Department],Table6[Id_Departement])</f>
        <v>D002</v>
      </c>
      <c r="H1350" t="s">
        <v>38</v>
      </c>
      <c r="I1350">
        <v>1</v>
      </c>
      <c r="J1350" t="str">
        <f>_xlfn.XLOOKUP(Table1[[#This Row],[Education]],Table8[Education],Table8[Id_Education])</f>
        <v>E004</v>
      </c>
      <c r="K1350">
        <v>4</v>
      </c>
      <c r="L1350" t="str">
        <f>_xlfn.XLOOKUP(Table1[[#This Row],[EducationField]],Table7[EducationField],Table7[Id_EducationField])</f>
        <v>EF001</v>
      </c>
      <c r="M1350" t="s">
        <v>40</v>
      </c>
      <c r="N1350" t="str">
        <f>_xlfn.XLOOKUP(Table1[[#This Row],[EmployeeNumber]],Table4[EmployeeNumber],Table4[Id_Employee])</f>
        <v>EMP01349</v>
      </c>
      <c r="O1350">
        <v>1892</v>
      </c>
      <c r="P1350" t="str">
        <f>_xlfn.XLOOKUP(Table1[[#This Row],[EnvironmentSatisfaction]],Table9[EnvironmentSatisfaction],Table9[Id_EnviromentSatisfaction])</f>
        <v>ES001</v>
      </c>
      <c r="Q1350">
        <v>1</v>
      </c>
      <c r="R1350" t="str">
        <f>_xlfn.XLOOKUP(Table1[[#This Row],[EnvironmentSatisfaction]],Table9[EnvironmentSatisfaction],Table9[Deskripsi])</f>
        <v>Low</v>
      </c>
      <c r="S1350" t="str">
        <f>_xlfn.XLOOKUP(Table1[[#This Row],[Gender]],Table10[Gender],Table10[Id_Gender])</f>
        <v>G002</v>
      </c>
      <c r="T1350" t="s">
        <v>46</v>
      </c>
      <c r="U1350">
        <v>98</v>
      </c>
      <c r="V1350" t="str">
        <f>_xlfn.XLOOKUP(Table1[[#This Row],[JobInvolvement]],Table11[JobInvolvement],Table11[Id_JobInvolvement])</f>
        <v>JI003</v>
      </c>
      <c r="W1350">
        <v>3</v>
      </c>
      <c r="X1350" t="str">
        <f>_xlfn.XLOOKUP(Table1[[#This Row],[JobLevel]],Table12[JobLevel],Table12[Id_JobLevel])</f>
        <v>JL004</v>
      </c>
      <c r="Y1350">
        <v>4</v>
      </c>
      <c r="Z1350" t="str">
        <f>_xlfn.XLOOKUP(Table1[[#This Row],[JobRole]],Table13[JobRole],Table13[Id_JobRole])</f>
        <v>JR006</v>
      </c>
      <c r="AA1350" t="s">
        <v>52</v>
      </c>
      <c r="AB1350" t="str">
        <f>_xlfn.XLOOKUP(Table1[[#This Row],[JobSatisfaction]],Table14[JobSatisfaction],Table14[Id_JobSatisfaction])</f>
        <v>JS001</v>
      </c>
      <c r="AC1350">
        <v>1</v>
      </c>
      <c r="AD1350" t="str">
        <f>_xlfn.XLOOKUP(Table1[[#This Row],[JobSatisfaction]],Table14[JobSatisfaction],Table14[Deskripsi])</f>
        <v>Low</v>
      </c>
      <c r="AE1350" t="str">
        <f>_xlfn.XLOOKUP(Table1[[#This Row],[MaritalStatus]],Table15[MaritalStatus],Table15[Id_MaritalStatus])</f>
        <v>MS003</v>
      </c>
      <c r="AF1350" t="s">
        <v>57</v>
      </c>
      <c r="AG1350">
        <v>16823</v>
      </c>
      <c r="AH1350">
        <v>18991</v>
      </c>
      <c r="AI1350">
        <v>2</v>
      </c>
      <c r="AJ1350" t="str">
        <f>_xlfn.XLOOKUP(Table1[[#This Row],[OverTime]],Table16[OverTime],Table16[Id_OverTime])</f>
        <v>OT002</v>
      </c>
      <c r="AK1350" t="s">
        <v>33</v>
      </c>
      <c r="AL1350">
        <v>11</v>
      </c>
      <c r="AM1350" t="str">
        <f>_xlfn.XLOOKUP(Table1[[#This Row],[PerformanceRating]],Table17[PerformanceRating],Table17[Id_PerformanceRating])</f>
        <v>PR003</v>
      </c>
      <c r="AN1350">
        <v>3</v>
      </c>
      <c r="AO1350" t="str">
        <f>_xlfn.XLOOKUP(Table1[[#This Row],[PerformanceRating]],Table17[PerformanceRating],Table17[Deskripsi])</f>
        <v>Excellent</v>
      </c>
      <c r="AP1350" t="str">
        <f>_xlfn.XLOOKUP(Table1[[#This Row],[RelationshipSatisfaction]],Table18[RelationshipSatisfaction],Table18[Id_RelationshipSatisfaction])</f>
        <v>RS001</v>
      </c>
      <c r="AQ1350">
        <v>1</v>
      </c>
      <c r="AR1350" t="str">
        <f>_xlfn.XLOOKUP(Table1[[#This Row],[RelationshipSatisfaction]],Table18[RelationshipSatisfaction],Table18[Deskripsi])</f>
        <v>Low</v>
      </c>
      <c r="AS1350" t="str">
        <f>_xlfn.XLOOKUP(Table1[[#This Row],[StockOptionLevel]],Table19[StockOptionLevel],Table19[Id_StockOptionLevel])</f>
        <v>SOL002</v>
      </c>
      <c r="AT1350">
        <v>1</v>
      </c>
      <c r="AU1350" t="str">
        <f>_xlfn.XLOOKUP(Table1[[#This Row],[StockOptionLevel]],Table19[StockOptionLevel],Table19[Deskripsi])</f>
        <v>Standard</v>
      </c>
      <c r="AV1350">
        <v>22</v>
      </c>
      <c r="AW1350">
        <v>3</v>
      </c>
      <c r="AX1350" t="str">
        <f>_xlfn.XLOOKUP(Table1[[#This Row],[WorkLifeBalance]],Table20[WorkLifeBalance],Table20[Id_WorkLifeBalance])</f>
        <v>WLB002</v>
      </c>
      <c r="AY1350">
        <v>3</v>
      </c>
      <c r="AZ1350" t="str">
        <f>_xlfn.XLOOKUP(Table1[[#This Row],[WorkLifeBalance]],Table20[WorkLifeBalance],Table20[Deskripsi])</f>
        <v>Good</v>
      </c>
      <c r="BA1350">
        <v>19</v>
      </c>
      <c r="BB1350">
        <v>7</v>
      </c>
      <c r="BC1350">
        <v>11</v>
      </c>
      <c r="BD1350">
        <v>16</v>
      </c>
    </row>
    <row r="1351" spans="1:56" x14ac:dyDescent="0.25">
      <c r="A1351">
        <v>26</v>
      </c>
      <c r="B1351" t="str">
        <f>_xlfn.XLOOKUP(Table1[[#This Row],[Attrition]],Table2[Attrition],Table2[Id_Attrition])</f>
        <v>A002</v>
      </c>
      <c r="C1351" t="s">
        <v>33</v>
      </c>
      <c r="D1351" t="str">
        <f>_xlfn.XLOOKUP(Table1[[#This Row],[BusinessTravel]],Table5[BusinessTravel],Table5[Id_BusinessTravel])</f>
        <v>BS001</v>
      </c>
      <c r="E1351" t="s">
        <v>34</v>
      </c>
      <c r="F1351">
        <v>482</v>
      </c>
      <c r="G1351" t="str">
        <f>_xlfn.XLOOKUP(Table1[[#This Row],[Department]],Table6[Department],Table6[Id_Departement])</f>
        <v>D002</v>
      </c>
      <c r="H1351" t="s">
        <v>38</v>
      </c>
      <c r="I1351">
        <v>1</v>
      </c>
      <c r="J1351" t="str">
        <f>_xlfn.XLOOKUP(Table1[[#This Row],[Education]],Table8[Education],Table8[Id_Education])</f>
        <v>E002</v>
      </c>
      <c r="K1351">
        <v>2</v>
      </c>
      <c r="L1351" t="str">
        <f>_xlfn.XLOOKUP(Table1[[#This Row],[EducationField]],Table7[EducationField],Table7[Id_EducationField])</f>
        <v>EF001</v>
      </c>
      <c r="M1351" t="s">
        <v>40</v>
      </c>
      <c r="N1351" t="str">
        <f>_xlfn.XLOOKUP(Table1[[#This Row],[EmployeeNumber]],Table4[EmployeeNumber],Table4[Id_Employee])</f>
        <v>EMP01350</v>
      </c>
      <c r="O1351">
        <v>1893</v>
      </c>
      <c r="P1351" t="str">
        <f>_xlfn.XLOOKUP(Table1[[#This Row],[EnvironmentSatisfaction]],Table9[EnvironmentSatisfaction],Table9[Id_EnviromentSatisfaction])</f>
        <v>ES002</v>
      </c>
      <c r="Q1351">
        <v>2</v>
      </c>
      <c r="R1351" t="str">
        <f>_xlfn.XLOOKUP(Table1[[#This Row],[EnvironmentSatisfaction]],Table9[EnvironmentSatisfaction],Table9[Deskripsi])</f>
        <v>Medium</v>
      </c>
      <c r="S1351" t="str">
        <f>_xlfn.XLOOKUP(Table1[[#This Row],[Gender]],Table10[Gender],Table10[Id_Gender])</f>
        <v>G001</v>
      </c>
      <c r="T1351" t="s">
        <v>45</v>
      </c>
      <c r="U1351">
        <v>90</v>
      </c>
      <c r="V1351" t="str">
        <f>_xlfn.XLOOKUP(Table1[[#This Row],[JobInvolvement]],Table11[JobInvolvement],Table11[Id_JobInvolvement])</f>
        <v>JI002</v>
      </c>
      <c r="W1351">
        <v>2</v>
      </c>
      <c r="X1351" t="str">
        <f>_xlfn.XLOOKUP(Table1[[#This Row],[JobLevel]],Table12[JobLevel],Table12[Id_JobLevel])</f>
        <v>JL001</v>
      </c>
      <c r="Y1351">
        <v>1</v>
      </c>
      <c r="Z1351" t="str">
        <f>_xlfn.XLOOKUP(Table1[[#This Row],[JobRole]],Table13[JobRole],Table13[Id_JobRole])</f>
        <v>JR002</v>
      </c>
      <c r="AA1351" t="s">
        <v>48</v>
      </c>
      <c r="AB1351" t="str">
        <f>_xlfn.XLOOKUP(Table1[[#This Row],[JobSatisfaction]],Table14[JobSatisfaction],Table14[Id_JobSatisfaction])</f>
        <v>JS003</v>
      </c>
      <c r="AC1351">
        <v>3</v>
      </c>
      <c r="AD1351" t="str">
        <f>_xlfn.XLOOKUP(Table1[[#This Row],[JobSatisfaction]],Table14[JobSatisfaction],Table14[Deskripsi])</f>
        <v>High</v>
      </c>
      <c r="AE1351" t="str">
        <f>_xlfn.XLOOKUP(Table1[[#This Row],[MaritalStatus]],Table15[MaritalStatus],Table15[Id_MaritalStatus])</f>
        <v>MS002</v>
      </c>
      <c r="AF1351" t="s">
        <v>56</v>
      </c>
      <c r="AG1351">
        <v>2933</v>
      </c>
      <c r="AH1351">
        <v>14908</v>
      </c>
      <c r="AI1351">
        <v>1</v>
      </c>
      <c r="AJ1351" t="str">
        <f>_xlfn.XLOOKUP(Table1[[#This Row],[OverTime]],Table16[OverTime],Table16[Id_OverTime])</f>
        <v>OT001</v>
      </c>
      <c r="AK1351" t="s">
        <v>32</v>
      </c>
      <c r="AL1351">
        <v>13</v>
      </c>
      <c r="AM1351" t="str">
        <f>_xlfn.XLOOKUP(Table1[[#This Row],[PerformanceRating]],Table17[PerformanceRating],Table17[Id_PerformanceRating])</f>
        <v>PR003</v>
      </c>
      <c r="AN1351">
        <v>3</v>
      </c>
      <c r="AO1351" t="str">
        <f>_xlfn.XLOOKUP(Table1[[#This Row],[PerformanceRating]],Table17[PerformanceRating],Table17[Deskripsi])</f>
        <v>Excellent</v>
      </c>
      <c r="AP1351" t="str">
        <f>_xlfn.XLOOKUP(Table1[[#This Row],[RelationshipSatisfaction]],Table18[RelationshipSatisfaction],Table18[Id_RelationshipSatisfaction])</f>
        <v>RS003</v>
      </c>
      <c r="AQ1351">
        <v>3</v>
      </c>
      <c r="AR1351" t="str">
        <f>_xlfn.XLOOKUP(Table1[[#This Row],[RelationshipSatisfaction]],Table18[RelationshipSatisfaction],Table18[Deskripsi])</f>
        <v>High</v>
      </c>
      <c r="AS1351" t="str">
        <f>_xlfn.XLOOKUP(Table1[[#This Row],[StockOptionLevel]],Table19[StockOptionLevel],Table19[Id_StockOptionLevel])</f>
        <v>SOL002</v>
      </c>
      <c r="AT1351">
        <v>1</v>
      </c>
      <c r="AU1351" t="str">
        <f>_xlfn.XLOOKUP(Table1[[#This Row],[StockOptionLevel]],Table19[StockOptionLevel],Table19[Deskripsi])</f>
        <v>Standard</v>
      </c>
      <c r="AV1351">
        <v>1</v>
      </c>
      <c r="AW1351">
        <v>3</v>
      </c>
      <c r="AX1351" t="str">
        <f>_xlfn.XLOOKUP(Table1[[#This Row],[WorkLifeBalance]],Table20[WorkLifeBalance],Table20[Id_WorkLifeBalance])</f>
        <v>WLB003</v>
      </c>
      <c r="AY1351">
        <v>2</v>
      </c>
      <c r="AZ1351" t="str">
        <f>_xlfn.XLOOKUP(Table1[[#This Row],[WorkLifeBalance]],Table20[WorkLifeBalance],Table20[Deskripsi])</f>
        <v>Better</v>
      </c>
      <c r="BA1351">
        <v>1</v>
      </c>
      <c r="BB1351">
        <v>0</v>
      </c>
      <c r="BC1351">
        <v>1</v>
      </c>
      <c r="BD1351">
        <v>0</v>
      </c>
    </row>
    <row r="1352" spans="1:56" x14ac:dyDescent="0.25">
      <c r="A1352">
        <v>27</v>
      </c>
      <c r="B1352" t="str">
        <f>_xlfn.XLOOKUP(Table1[[#This Row],[Attrition]],Table2[Attrition],Table2[Id_Attrition])</f>
        <v>A002</v>
      </c>
      <c r="C1352" t="s">
        <v>33</v>
      </c>
      <c r="D1352" t="str">
        <f>_xlfn.XLOOKUP(Table1[[#This Row],[BusinessTravel]],Table5[BusinessTravel],Table5[Id_BusinessTravel])</f>
        <v>BS001</v>
      </c>
      <c r="E1352" t="s">
        <v>34</v>
      </c>
      <c r="F1352">
        <v>511</v>
      </c>
      <c r="G1352" t="str">
        <f>_xlfn.XLOOKUP(Table1[[#This Row],[Department]],Table6[Department],Table6[Id_Departement])</f>
        <v>D001</v>
      </c>
      <c r="H1352" t="s">
        <v>37</v>
      </c>
      <c r="I1352">
        <v>2</v>
      </c>
      <c r="J1352" t="str">
        <f>_xlfn.XLOOKUP(Table1[[#This Row],[Education]],Table8[Education],Table8[Id_Education])</f>
        <v>E002</v>
      </c>
      <c r="K1352">
        <v>2</v>
      </c>
      <c r="L1352" t="str">
        <f>_xlfn.XLOOKUP(Table1[[#This Row],[EducationField]],Table7[EducationField],Table7[Id_EducationField])</f>
        <v>EF003</v>
      </c>
      <c r="M1352" t="s">
        <v>42</v>
      </c>
      <c r="N1352" t="str">
        <f>_xlfn.XLOOKUP(Table1[[#This Row],[EmployeeNumber]],Table4[EmployeeNumber],Table4[Id_Employee])</f>
        <v>EMP01351</v>
      </c>
      <c r="O1352">
        <v>1898</v>
      </c>
      <c r="P1352" t="str">
        <f>_xlfn.XLOOKUP(Table1[[#This Row],[EnvironmentSatisfaction]],Table9[EnvironmentSatisfaction],Table9[Id_EnviromentSatisfaction])</f>
        <v>ES001</v>
      </c>
      <c r="Q1352">
        <v>1</v>
      </c>
      <c r="R1352" t="str">
        <f>_xlfn.XLOOKUP(Table1[[#This Row],[EnvironmentSatisfaction]],Table9[EnvironmentSatisfaction],Table9[Deskripsi])</f>
        <v>Low</v>
      </c>
      <c r="S1352" t="str">
        <f>_xlfn.XLOOKUP(Table1[[#This Row],[Gender]],Table10[Gender],Table10[Id_Gender])</f>
        <v>G001</v>
      </c>
      <c r="T1352" t="s">
        <v>45</v>
      </c>
      <c r="U1352">
        <v>89</v>
      </c>
      <c r="V1352" t="str">
        <f>_xlfn.XLOOKUP(Table1[[#This Row],[JobInvolvement]],Table11[JobInvolvement],Table11[Id_JobInvolvement])</f>
        <v>JI004</v>
      </c>
      <c r="W1352">
        <v>4</v>
      </c>
      <c r="X1352" t="str">
        <f>_xlfn.XLOOKUP(Table1[[#This Row],[JobLevel]],Table12[JobLevel],Table12[Id_JobLevel])</f>
        <v>JL002</v>
      </c>
      <c r="Y1352">
        <v>2</v>
      </c>
      <c r="Z1352" t="str">
        <f>_xlfn.XLOOKUP(Table1[[#This Row],[JobRole]],Table13[JobRole],Table13[Id_JobRole])</f>
        <v>JR001</v>
      </c>
      <c r="AA1352" t="s">
        <v>47</v>
      </c>
      <c r="AB1352" t="str">
        <f>_xlfn.XLOOKUP(Table1[[#This Row],[JobSatisfaction]],Table14[JobSatisfaction],Table14[Id_JobSatisfaction])</f>
        <v>JS003</v>
      </c>
      <c r="AC1352">
        <v>3</v>
      </c>
      <c r="AD1352" t="str">
        <f>_xlfn.XLOOKUP(Table1[[#This Row],[JobSatisfaction]],Table14[JobSatisfaction],Table14[Deskripsi])</f>
        <v>High</v>
      </c>
      <c r="AE1352" t="str">
        <f>_xlfn.XLOOKUP(Table1[[#This Row],[MaritalStatus]],Table15[MaritalStatus],Table15[Id_MaritalStatus])</f>
        <v>MS001</v>
      </c>
      <c r="AF1352" t="s">
        <v>55</v>
      </c>
      <c r="AG1352">
        <v>6500</v>
      </c>
      <c r="AH1352">
        <v>26997</v>
      </c>
      <c r="AI1352">
        <v>0</v>
      </c>
      <c r="AJ1352" t="str">
        <f>_xlfn.XLOOKUP(Table1[[#This Row],[OverTime]],Table16[OverTime],Table16[Id_OverTime])</f>
        <v>OT002</v>
      </c>
      <c r="AK1352" t="s">
        <v>33</v>
      </c>
      <c r="AL1352">
        <v>14</v>
      </c>
      <c r="AM1352" t="str">
        <f>_xlfn.XLOOKUP(Table1[[#This Row],[PerformanceRating]],Table17[PerformanceRating],Table17[Id_PerformanceRating])</f>
        <v>PR003</v>
      </c>
      <c r="AN1352">
        <v>3</v>
      </c>
      <c r="AO1352" t="str">
        <f>_xlfn.XLOOKUP(Table1[[#This Row],[PerformanceRating]],Table17[PerformanceRating],Table17[Deskripsi])</f>
        <v>Excellent</v>
      </c>
      <c r="AP1352" t="str">
        <f>_xlfn.XLOOKUP(Table1[[#This Row],[RelationshipSatisfaction]],Table18[RelationshipSatisfaction],Table18[Id_RelationshipSatisfaction])</f>
        <v>RS002</v>
      </c>
      <c r="AQ1352">
        <v>2</v>
      </c>
      <c r="AR1352" t="str">
        <f>_xlfn.XLOOKUP(Table1[[#This Row],[RelationshipSatisfaction]],Table18[RelationshipSatisfaction],Table18[Deskripsi])</f>
        <v>Medium</v>
      </c>
      <c r="AS1352" t="str">
        <f>_xlfn.XLOOKUP(Table1[[#This Row],[StockOptionLevel]],Table19[StockOptionLevel],Table19[Id_StockOptionLevel])</f>
        <v>SOL001</v>
      </c>
      <c r="AT1352">
        <v>0</v>
      </c>
      <c r="AU1352" t="str">
        <f>_xlfn.XLOOKUP(Table1[[#This Row],[StockOptionLevel]],Table19[StockOptionLevel],Table19[Deskripsi])</f>
        <v>Non-Eligible</v>
      </c>
      <c r="AV1352">
        <v>9</v>
      </c>
      <c r="AW1352">
        <v>5</v>
      </c>
      <c r="AX1352" t="str">
        <f>_xlfn.XLOOKUP(Table1[[#This Row],[WorkLifeBalance]],Table20[WorkLifeBalance],Table20[Id_WorkLifeBalance])</f>
        <v>WLB003</v>
      </c>
      <c r="AY1352">
        <v>2</v>
      </c>
      <c r="AZ1352" t="str">
        <f>_xlfn.XLOOKUP(Table1[[#This Row],[WorkLifeBalance]],Table20[WorkLifeBalance],Table20[Deskripsi])</f>
        <v>Better</v>
      </c>
      <c r="BA1352">
        <v>8</v>
      </c>
      <c r="BB1352">
        <v>7</v>
      </c>
      <c r="BC1352">
        <v>0</v>
      </c>
      <c r="BD1352">
        <v>7</v>
      </c>
    </row>
    <row r="1353" spans="1:56" x14ac:dyDescent="0.25">
      <c r="A1353">
        <v>48</v>
      </c>
      <c r="B1353" t="str">
        <f>_xlfn.XLOOKUP(Table1[[#This Row],[Attrition]],Table2[Attrition],Table2[Id_Attrition])</f>
        <v>A002</v>
      </c>
      <c r="C1353" t="s">
        <v>33</v>
      </c>
      <c r="D1353" t="str">
        <f>_xlfn.XLOOKUP(Table1[[#This Row],[BusinessTravel]],Table5[BusinessTravel],Table5[Id_BusinessTravel])</f>
        <v>BS002</v>
      </c>
      <c r="E1353" t="s">
        <v>35</v>
      </c>
      <c r="F1353">
        <v>117</v>
      </c>
      <c r="G1353" t="str">
        <f>_xlfn.XLOOKUP(Table1[[#This Row],[Department]],Table6[Department],Table6[Id_Departement])</f>
        <v>D002</v>
      </c>
      <c r="H1353" t="s">
        <v>38</v>
      </c>
      <c r="I1353">
        <v>22</v>
      </c>
      <c r="J1353" t="str">
        <f>_xlfn.XLOOKUP(Table1[[#This Row],[Education]],Table8[Education],Table8[Id_Education])</f>
        <v>E003</v>
      </c>
      <c r="K1353">
        <v>3</v>
      </c>
      <c r="L1353" t="str">
        <f>_xlfn.XLOOKUP(Table1[[#This Row],[EducationField]],Table7[EducationField],Table7[Id_EducationField])</f>
        <v>EF003</v>
      </c>
      <c r="M1353" t="s">
        <v>42</v>
      </c>
      <c r="N1353" t="str">
        <f>_xlfn.XLOOKUP(Table1[[#This Row],[EmployeeNumber]],Table4[EmployeeNumber],Table4[Id_Employee])</f>
        <v>EMP01352</v>
      </c>
      <c r="O1353">
        <v>1900</v>
      </c>
      <c r="P1353" t="str">
        <f>_xlfn.XLOOKUP(Table1[[#This Row],[EnvironmentSatisfaction]],Table9[EnvironmentSatisfaction],Table9[Id_EnviromentSatisfaction])</f>
        <v>ES004</v>
      </c>
      <c r="Q1353">
        <v>4</v>
      </c>
      <c r="R1353" t="str">
        <f>_xlfn.XLOOKUP(Table1[[#This Row],[EnvironmentSatisfaction]],Table9[EnvironmentSatisfaction],Table9[Deskripsi])</f>
        <v>Very High</v>
      </c>
      <c r="S1353" t="str">
        <f>_xlfn.XLOOKUP(Table1[[#This Row],[Gender]],Table10[Gender],Table10[Id_Gender])</f>
        <v>G001</v>
      </c>
      <c r="T1353" t="s">
        <v>45</v>
      </c>
      <c r="U1353">
        <v>58</v>
      </c>
      <c r="V1353" t="str">
        <f>_xlfn.XLOOKUP(Table1[[#This Row],[JobInvolvement]],Table11[JobInvolvement],Table11[Id_JobInvolvement])</f>
        <v>JI003</v>
      </c>
      <c r="W1353">
        <v>3</v>
      </c>
      <c r="X1353" t="str">
        <f>_xlfn.XLOOKUP(Table1[[#This Row],[JobLevel]],Table12[JobLevel],Table12[Id_JobLevel])</f>
        <v>JL004</v>
      </c>
      <c r="Y1353">
        <v>4</v>
      </c>
      <c r="Z1353" t="str">
        <f>_xlfn.XLOOKUP(Table1[[#This Row],[JobRole]],Table13[JobRole],Table13[Id_JobRole])</f>
        <v>JR006</v>
      </c>
      <c r="AA1353" t="s">
        <v>52</v>
      </c>
      <c r="AB1353" t="str">
        <f>_xlfn.XLOOKUP(Table1[[#This Row],[JobSatisfaction]],Table14[JobSatisfaction],Table14[Id_JobSatisfaction])</f>
        <v>JS004</v>
      </c>
      <c r="AC1353">
        <v>4</v>
      </c>
      <c r="AD1353" t="str">
        <f>_xlfn.XLOOKUP(Table1[[#This Row],[JobSatisfaction]],Table14[JobSatisfaction],Table14[Deskripsi])</f>
        <v>Very High</v>
      </c>
      <c r="AE1353" t="str">
        <f>_xlfn.XLOOKUP(Table1[[#This Row],[MaritalStatus]],Table15[MaritalStatus],Table15[Id_MaritalStatus])</f>
        <v>MS003</v>
      </c>
      <c r="AF1353" t="s">
        <v>57</v>
      </c>
      <c r="AG1353">
        <v>17174</v>
      </c>
      <c r="AH1353">
        <v>2437</v>
      </c>
      <c r="AI1353">
        <v>3</v>
      </c>
      <c r="AJ1353" t="str">
        <f>_xlfn.XLOOKUP(Table1[[#This Row],[OverTime]],Table16[OverTime],Table16[Id_OverTime])</f>
        <v>OT002</v>
      </c>
      <c r="AK1353" t="s">
        <v>33</v>
      </c>
      <c r="AL1353">
        <v>11</v>
      </c>
      <c r="AM1353" t="str">
        <f>_xlfn.XLOOKUP(Table1[[#This Row],[PerformanceRating]],Table17[PerformanceRating],Table17[Id_PerformanceRating])</f>
        <v>PR003</v>
      </c>
      <c r="AN1353">
        <v>3</v>
      </c>
      <c r="AO1353" t="str">
        <f>_xlfn.XLOOKUP(Table1[[#This Row],[PerformanceRating]],Table17[PerformanceRating],Table17[Deskripsi])</f>
        <v>Excellent</v>
      </c>
      <c r="AP1353" t="str">
        <f>_xlfn.XLOOKUP(Table1[[#This Row],[RelationshipSatisfaction]],Table18[RelationshipSatisfaction],Table18[Id_RelationshipSatisfaction])</f>
        <v>RS002</v>
      </c>
      <c r="AQ1353">
        <v>2</v>
      </c>
      <c r="AR1353" t="str">
        <f>_xlfn.XLOOKUP(Table1[[#This Row],[RelationshipSatisfaction]],Table18[RelationshipSatisfaction],Table18[Deskripsi])</f>
        <v>Medium</v>
      </c>
      <c r="AS1353" t="str">
        <f>_xlfn.XLOOKUP(Table1[[#This Row],[StockOptionLevel]],Table19[StockOptionLevel],Table19[Id_StockOptionLevel])</f>
        <v>SOL002</v>
      </c>
      <c r="AT1353">
        <v>1</v>
      </c>
      <c r="AU1353" t="str">
        <f>_xlfn.XLOOKUP(Table1[[#This Row],[StockOptionLevel]],Table19[StockOptionLevel],Table19[Deskripsi])</f>
        <v>Standard</v>
      </c>
      <c r="AV1353">
        <v>24</v>
      </c>
      <c r="AW1353">
        <v>3</v>
      </c>
      <c r="AX1353" t="str">
        <f>_xlfn.XLOOKUP(Table1[[#This Row],[WorkLifeBalance]],Table20[WorkLifeBalance],Table20[Id_WorkLifeBalance])</f>
        <v>WLB002</v>
      </c>
      <c r="AY1353">
        <v>3</v>
      </c>
      <c r="AZ1353" t="str">
        <f>_xlfn.XLOOKUP(Table1[[#This Row],[WorkLifeBalance]],Table20[WorkLifeBalance],Table20[Deskripsi])</f>
        <v>Good</v>
      </c>
      <c r="BA1353">
        <v>22</v>
      </c>
      <c r="BB1353">
        <v>17</v>
      </c>
      <c r="BC1353">
        <v>4</v>
      </c>
      <c r="BD1353">
        <v>7</v>
      </c>
    </row>
    <row r="1354" spans="1:56" x14ac:dyDescent="0.25">
      <c r="A1354">
        <v>44</v>
      </c>
      <c r="B1354" t="str">
        <f>_xlfn.XLOOKUP(Table1[[#This Row],[Attrition]],Table2[Attrition],Table2[Id_Attrition])</f>
        <v>A002</v>
      </c>
      <c r="C1354" t="s">
        <v>33</v>
      </c>
      <c r="D1354" t="str">
        <f>_xlfn.XLOOKUP(Table1[[#This Row],[BusinessTravel]],Table5[BusinessTravel],Table5[Id_BusinessTravel])</f>
        <v>BS001</v>
      </c>
      <c r="E1354" t="s">
        <v>34</v>
      </c>
      <c r="F1354">
        <v>170</v>
      </c>
      <c r="G1354" t="str">
        <f>_xlfn.XLOOKUP(Table1[[#This Row],[Department]],Table6[Department],Table6[Id_Departement])</f>
        <v>D002</v>
      </c>
      <c r="H1354" t="s">
        <v>38</v>
      </c>
      <c r="I1354">
        <v>1</v>
      </c>
      <c r="J1354" t="str">
        <f>_xlfn.XLOOKUP(Table1[[#This Row],[Education]],Table8[Education],Table8[Id_Education])</f>
        <v>E004</v>
      </c>
      <c r="K1354">
        <v>4</v>
      </c>
      <c r="L1354" t="str">
        <f>_xlfn.XLOOKUP(Table1[[#This Row],[EducationField]],Table7[EducationField],Table7[Id_EducationField])</f>
        <v>EF001</v>
      </c>
      <c r="M1354" t="s">
        <v>40</v>
      </c>
      <c r="N1354" t="str">
        <f>_xlfn.XLOOKUP(Table1[[#This Row],[EmployeeNumber]],Table4[EmployeeNumber],Table4[Id_Employee])</f>
        <v>EMP01353</v>
      </c>
      <c r="O1354">
        <v>1903</v>
      </c>
      <c r="P1354" t="str">
        <f>_xlfn.XLOOKUP(Table1[[#This Row],[EnvironmentSatisfaction]],Table9[EnvironmentSatisfaction],Table9[Id_EnviromentSatisfaction])</f>
        <v>ES002</v>
      </c>
      <c r="Q1354">
        <v>2</v>
      </c>
      <c r="R1354" t="str">
        <f>_xlfn.XLOOKUP(Table1[[#This Row],[EnvironmentSatisfaction]],Table9[EnvironmentSatisfaction],Table9[Deskripsi])</f>
        <v>Medium</v>
      </c>
      <c r="S1354" t="str">
        <f>_xlfn.XLOOKUP(Table1[[#This Row],[Gender]],Table10[Gender],Table10[Id_Gender])</f>
        <v>G002</v>
      </c>
      <c r="T1354" t="s">
        <v>46</v>
      </c>
      <c r="U1354">
        <v>78</v>
      </c>
      <c r="V1354" t="str">
        <f>_xlfn.XLOOKUP(Table1[[#This Row],[JobInvolvement]],Table11[JobInvolvement],Table11[Id_JobInvolvement])</f>
        <v>JI004</v>
      </c>
      <c r="W1354">
        <v>4</v>
      </c>
      <c r="X1354" t="str">
        <f>_xlfn.XLOOKUP(Table1[[#This Row],[JobLevel]],Table12[JobLevel],Table12[Id_JobLevel])</f>
        <v>JL002</v>
      </c>
      <c r="Y1354">
        <v>2</v>
      </c>
      <c r="Z1354" t="str">
        <f>_xlfn.XLOOKUP(Table1[[#This Row],[JobRole]],Table13[JobRole],Table13[Id_JobRole])</f>
        <v>JR005</v>
      </c>
      <c r="AA1354" t="s">
        <v>51</v>
      </c>
      <c r="AB1354" t="str">
        <f>_xlfn.XLOOKUP(Table1[[#This Row],[JobSatisfaction]],Table14[JobSatisfaction],Table14[Id_JobSatisfaction])</f>
        <v>JS001</v>
      </c>
      <c r="AC1354">
        <v>1</v>
      </c>
      <c r="AD1354" t="str">
        <f>_xlfn.XLOOKUP(Table1[[#This Row],[JobSatisfaction]],Table14[JobSatisfaction],Table14[Deskripsi])</f>
        <v>Low</v>
      </c>
      <c r="AE1354" t="str">
        <f>_xlfn.XLOOKUP(Table1[[#This Row],[MaritalStatus]],Table15[MaritalStatus],Table15[Id_MaritalStatus])</f>
        <v>MS002</v>
      </c>
      <c r="AF1354" t="s">
        <v>56</v>
      </c>
      <c r="AG1354">
        <v>5033</v>
      </c>
      <c r="AH1354">
        <v>9364</v>
      </c>
      <c r="AI1354">
        <v>2</v>
      </c>
      <c r="AJ1354" t="str">
        <f>_xlfn.XLOOKUP(Table1[[#This Row],[OverTime]],Table16[OverTime],Table16[Id_OverTime])</f>
        <v>OT002</v>
      </c>
      <c r="AK1354" t="s">
        <v>33</v>
      </c>
      <c r="AL1354">
        <v>15</v>
      </c>
      <c r="AM1354" t="str">
        <f>_xlfn.XLOOKUP(Table1[[#This Row],[PerformanceRating]],Table17[PerformanceRating],Table17[Id_PerformanceRating])</f>
        <v>PR003</v>
      </c>
      <c r="AN1354">
        <v>3</v>
      </c>
      <c r="AO1354" t="str">
        <f>_xlfn.XLOOKUP(Table1[[#This Row],[PerformanceRating]],Table17[PerformanceRating],Table17[Deskripsi])</f>
        <v>Excellent</v>
      </c>
      <c r="AP1354" t="str">
        <f>_xlfn.XLOOKUP(Table1[[#This Row],[RelationshipSatisfaction]],Table18[RelationshipSatisfaction],Table18[Id_RelationshipSatisfaction])</f>
        <v>RS004</v>
      </c>
      <c r="AQ1354">
        <v>4</v>
      </c>
      <c r="AR1354" t="str">
        <f>_xlfn.XLOOKUP(Table1[[#This Row],[RelationshipSatisfaction]],Table18[RelationshipSatisfaction],Table18[Deskripsi])</f>
        <v>Very High</v>
      </c>
      <c r="AS1354" t="str">
        <f>_xlfn.XLOOKUP(Table1[[#This Row],[StockOptionLevel]],Table19[StockOptionLevel],Table19[Id_StockOptionLevel])</f>
        <v>SOL002</v>
      </c>
      <c r="AT1354">
        <v>1</v>
      </c>
      <c r="AU1354" t="str">
        <f>_xlfn.XLOOKUP(Table1[[#This Row],[StockOptionLevel]],Table19[StockOptionLevel],Table19[Deskripsi])</f>
        <v>Standard</v>
      </c>
      <c r="AV1354">
        <v>10</v>
      </c>
      <c r="AW1354">
        <v>5</v>
      </c>
      <c r="AX1354" t="str">
        <f>_xlfn.XLOOKUP(Table1[[#This Row],[WorkLifeBalance]],Table20[WorkLifeBalance],Table20[Id_WorkLifeBalance])</f>
        <v>WLB002</v>
      </c>
      <c r="AY1354">
        <v>3</v>
      </c>
      <c r="AZ1354" t="str">
        <f>_xlfn.XLOOKUP(Table1[[#This Row],[WorkLifeBalance]],Table20[WorkLifeBalance],Table20[Deskripsi])</f>
        <v>Good</v>
      </c>
      <c r="BA1354">
        <v>2</v>
      </c>
      <c r="BB1354">
        <v>0</v>
      </c>
      <c r="BC1354">
        <v>2</v>
      </c>
      <c r="BD1354">
        <v>2</v>
      </c>
    </row>
    <row r="1355" spans="1:56" x14ac:dyDescent="0.25">
      <c r="A1355">
        <v>34</v>
      </c>
      <c r="B1355" t="str">
        <f>_xlfn.XLOOKUP(Table1[[#This Row],[Attrition]],Table2[Attrition],Table2[Id_Attrition])</f>
        <v>A001</v>
      </c>
      <c r="C1355" t="s">
        <v>32</v>
      </c>
      <c r="D1355" t="str">
        <f>_xlfn.XLOOKUP(Table1[[#This Row],[BusinessTravel]],Table5[BusinessTravel],Table5[Id_BusinessTravel])</f>
        <v>BS003</v>
      </c>
      <c r="E1355" t="s">
        <v>36</v>
      </c>
      <c r="F1355">
        <v>967</v>
      </c>
      <c r="G1355" t="str">
        <f>_xlfn.XLOOKUP(Table1[[#This Row],[Department]],Table6[Department],Table6[Id_Departement])</f>
        <v>D002</v>
      </c>
      <c r="H1355" t="s">
        <v>38</v>
      </c>
      <c r="I1355">
        <v>16</v>
      </c>
      <c r="J1355" t="str">
        <f>_xlfn.XLOOKUP(Table1[[#This Row],[Education]],Table8[Education],Table8[Id_Education])</f>
        <v>E004</v>
      </c>
      <c r="K1355">
        <v>4</v>
      </c>
      <c r="L1355" t="str">
        <f>_xlfn.XLOOKUP(Table1[[#This Row],[EducationField]],Table7[EducationField],Table7[Id_EducationField])</f>
        <v>EF005</v>
      </c>
      <c r="M1355" t="s">
        <v>44</v>
      </c>
      <c r="N1355" t="str">
        <f>_xlfn.XLOOKUP(Table1[[#This Row],[EmployeeNumber]],Table4[EmployeeNumber],Table4[Id_Employee])</f>
        <v>EMP01354</v>
      </c>
      <c r="O1355">
        <v>1905</v>
      </c>
      <c r="P1355" t="str">
        <f>_xlfn.XLOOKUP(Table1[[#This Row],[EnvironmentSatisfaction]],Table9[EnvironmentSatisfaction],Table9[Id_EnviromentSatisfaction])</f>
        <v>ES004</v>
      </c>
      <c r="Q1355">
        <v>4</v>
      </c>
      <c r="R1355" t="str">
        <f>_xlfn.XLOOKUP(Table1[[#This Row],[EnvironmentSatisfaction]],Table9[EnvironmentSatisfaction],Table9[Deskripsi])</f>
        <v>Very High</v>
      </c>
      <c r="S1355" t="str">
        <f>_xlfn.XLOOKUP(Table1[[#This Row],[Gender]],Table10[Gender],Table10[Id_Gender])</f>
        <v>G002</v>
      </c>
      <c r="T1355" t="s">
        <v>46</v>
      </c>
      <c r="U1355">
        <v>85</v>
      </c>
      <c r="V1355" t="str">
        <f>_xlfn.XLOOKUP(Table1[[#This Row],[JobInvolvement]],Table11[JobInvolvement],Table11[Id_JobInvolvement])</f>
        <v>JI001</v>
      </c>
      <c r="W1355">
        <v>1</v>
      </c>
      <c r="X1355" t="str">
        <f>_xlfn.XLOOKUP(Table1[[#This Row],[JobLevel]],Table12[JobLevel],Table12[Id_JobLevel])</f>
        <v>JL001</v>
      </c>
      <c r="Y1355">
        <v>1</v>
      </c>
      <c r="Z1355" t="str">
        <f>_xlfn.XLOOKUP(Table1[[#This Row],[JobRole]],Table13[JobRole],Table13[Id_JobRole])</f>
        <v>JR002</v>
      </c>
      <c r="AA1355" t="s">
        <v>48</v>
      </c>
      <c r="AB1355" t="str">
        <f>_xlfn.XLOOKUP(Table1[[#This Row],[JobSatisfaction]],Table14[JobSatisfaction],Table14[Id_JobSatisfaction])</f>
        <v>JS001</v>
      </c>
      <c r="AC1355">
        <v>1</v>
      </c>
      <c r="AD1355" t="str">
        <f>_xlfn.XLOOKUP(Table1[[#This Row],[JobSatisfaction]],Table14[JobSatisfaction],Table14[Deskripsi])</f>
        <v>Low</v>
      </c>
      <c r="AE1355" t="str">
        <f>_xlfn.XLOOKUP(Table1[[#This Row],[MaritalStatus]],Table15[MaritalStatus],Table15[Id_MaritalStatus])</f>
        <v>MS002</v>
      </c>
      <c r="AF1355" t="s">
        <v>56</v>
      </c>
      <c r="AG1355">
        <v>2307</v>
      </c>
      <c r="AH1355">
        <v>14460</v>
      </c>
      <c r="AI1355">
        <v>1</v>
      </c>
      <c r="AJ1355" t="str">
        <f>_xlfn.XLOOKUP(Table1[[#This Row],[OverTime]],Table16[OverTime],Table16[Id_OverTime])</f>
        <v>OT001</v>
      </c>
      <c r="AK1355" t="s">
        <v>32</v>
      </c>
      <c r="AL1355">
        <v>23</v>
      </c>
      <c r="AM1355" t="str">
        <f>_xlfn.XLOOKUP(Table1[[#This Row],[PerformanceRating]],Table17[PerformanceRating],Table17[Id_PerformanceRating])</f>
        <v>PR004</v>
      </c>
      <c r="AN1355">
        <v>4</v>
      </c>
      <c r="AO1355" t="str">
        <f>_xlfn.XLOOKUP(Table1[[#This Row],[PerformanceRating]],Table17[PerformanceRating],Table17[Deskripsi])</f>
        <v>Outstanding</v>
      </c>
      <c r="AP1355" t="str">
        <f>_xlfn.XLOOKUP(Table1[[#This Row],[RelationshipSatisfaction]],Table18[RelationshipSatisfaction],Table18[Id_RelationshipSatisfaction])</f>
        <v>RS002</v>
      </c>
      <c r="AQ1355">
        <v>2</v>
      </c>
      <c r="AR1355" t="str">
        <f>_xlfn.XLOOKUP(Table1[[#This Row],[RelationshipSatisfaction]],Table18[RelationshipSatisfaction],Table18[Deskripsi])</f>
        <v>Medium</v>
      </c>
      <c r="AS1355" t="str">
        <f>_xlfn.XLOOKUP(Table1[[#This Row],[StockOptionLevel]],Table19[StockOptionLevel],Table19[Id_StockOptionLevel])</f>
        <v>SOL002</v>
      </c>
      <c r="AT1355">
        <v>1</v>
      </c>
      <c r="AU1355" t="str">
        <f>_xlfn.XLOOKUP(Table1[[#This Row],[StockOptionLevel]],Table19[StockOptionLevel],Table19[Deskripsi])</f>
        <v>Standard</v>
      </c>
      <c r="AV1355">
        <v>5</v>
      </c>
      <c r="AW1355">
        <v>2</v>
      </c>
      <c r="AX1355" t="str">
        <f>_xlfn.XLOOKUP(Table1[[#This Row],[WorkLifeBalance]],Table20[WorkLifeBalance],Table20[Id_WorkLifeBalance])</f>
        <v>WLB002</v>
      </c>
      <c r="AY1355">
        <v>3</v>
      </c>
      <c r="AZ1355" t="str">
        <f>_xlfn.XLOOKUP(Table1[[#This Row],[WorkLifeBalance]],Table20[WorkLifeBalance],Table20[Deskripsi])</f>
        <v>Good</v>
      </c>
      <c r="BA1355">
        <v>5</v>
      </c>
      <c r="BB1355">
        <v>2</v>
      </c>
      <c r="BC1355">
        <v>3</v>
      </c>
      <c r="BD1355">
        <v>0</v>
      </c>
    </row>
    <row r="1356" spans="1:56" x14ac:dyDescent="0.25">
      <c r="A1356">
        <v>56</v>
      </c>
      <c r="B1356" t="str">
        <f>_xlfn.XLOOKUP(Table1[[#This Row],[Attrition]],Table2[Attrition],Table2[Id_Attrition])</f>
        <v>A001</v>
      </c>
      <c r="C1356" t="s">
        <v>32</v>
      </c>
      <c r="D1356" t="str">
        <f>_xlfn.XLOOKUP(Table1[[#This Row],[BusinessTravel]],Table5[BusinessTravel],Table5[Id_BusinessTravel])</f>
        <v>BS001</v>
      </c>
      <c r="E1356" t="s">
        <v>34</v>
      </c>
      <c r="F1356">
        <v>1162</v>
      </c>
      <c r="G1356" t="str">
        <f>_xlfn.XLOOKUP(Table1[[#This Row],[Department]],Table6[Department],Table6[Id_Departement])</f>
        <v>D002</v>
      </c>
      <c r="H1356" t="s">
        <v>38</v>
      </c>
      <c r="I1356">
        <v>24</v>
      </c>
      <c r="J1356" t="str">
        <f>_xlfn.XLOOKUP(Table1[[#This Row],[Education]],Table8[Education],Table8[Id_Education])</f>
        <v>E002</v>
      </c>
      <c r="K1356">
        <v>2</v>
      </c>
      <c r="L1356" t="str">
        <f>_xlfn.XLOOKUP(Table1[[#This Row],[EducationField]],Table7[EducationField],Table7[Id_EducationField])</f>
        <v>EF001</v>
      </c>
      <c r="M1356" t="s">
        <v>40</v>
      </c>
      <c r="N1356" t="str">
        <f>_xlfn.XLOOKUP(Table1[[#This Row],[EmployeeNumber]],Table4[EmployeeNumber],Table4[Id_Employee])</f>
        <v>EMP01355</v>
      </c>
      <c r="O1356">
        <v>1907</v>
      </c>
      <c r="P1356" t="str">
        <f>_xlfn.XLOOKUP(Table1[[#This Row],[EnvironmentSatisfaction]],Table9[EnvironmentSatisfaction],Table9[Id_EnviromentSatisfaction])</f>
        <v>ES001</v>
      </c>
      <c r="Q1356">
        <v>1</v>
      </c>
      <c r="R1356" t="str">
        <f>_xlfn.XLOOKUP(Table1[[#This Row],[EnvironmentSatisfaction]],Table9[EnvironmentSatisfaction],Table9[Deskripsi])</f>
        <v>Low</v>
      </c>
      <c r="S1356" t="str">
        <f>_xlfn.XLOOKUP(Table1[[#This Row],[Gender]],Table10[Gender],Table10[Id_Gender])</f>
        <v>G002</v>
      </c>
      <c r="T1356" t="s">
        <v>46</v>
      </c>
      <c r="U1356">
        <v>97</v>
      </c>
      <c r="V1356" t="str">
        <f>_xlfn.XLOOKUP(Table1[[#This Row],[JobInvolvement]],Table11[JobInvolvement],Table11[Id_JobInvolvement])</f>
        <v>JI003</v>
      </c>
      <c r="W1356">
        <v>3</v>
      </c>
      <c r="X1356" t="str">
        <f>_xlfn.XLOOKUP(Table1[[#This Row],[JobLevel]],Table12[JobLevel],Table12[Id_JobLevel])</f>
        <v>JL001</v>
      </c>
      <c r="Y1356">
        <v>1</v>
      </c>
      <c r="Z1356" t="str">
        <f>_xlfn.XLOOKUP(Table1[[#This Row],[JobRole]],Table13[JobRole],Table13[Id_JobRole])</f>
        <v>JR003</v>
      </c>
      <c r="AA1356" t="s">
        <v>49</v>
      </c>
      <c r="AB1356" t="str">
        <f>_xlfn.XLOOKUP(Table1[[#This Row],[JobSatisfaction]],Table14[JobSatisfaction],Table14[Id_JobSatisfaction])</f>
        <v>JS004</v>
      </c>
      <c r="AC1356">
        <v>4</v>
      </c>
      <c r="AD1356" t="str">
        <f>_xlfn.XLOOKUP(Table1[[#This Row],[JobSatisfaction]],Table14[JobSatisfaction],Table14[Deskripsi])</f>
        <v>Very High</v>
      </c>
      <c r="AE1356" t="str">
        <f>_xlfn.XLOOKUP(Table1[[#This Row],[MaritalStatus]],Table15[MaritalStatus],Table15[Id_MaritalStatus])</f>
        <v>MS001</v>
      </c>
      <c r="AF1356" t="s">
        <v>55</v>
      </c>
      <c r="AG1356">
        <v>2587</v>
      </c>
      <c r="AH1356">
        <v>10261</v>
      </c>
      <c r="AI1356">
        <v>1</v>
      </c>
      <c r="AJ1356" t="str">
        <f>_xlfn.XLOOKUP(Table1[[#This Row],[OverTime]],Table16[OverTime],Table16[Id_OverTime])</f>
        <v>OT002</v>
      </c>
      <c r="AK1356" t="s">
        <v>33</v>
      </c>
      <c r="AL1356">
        <v>16</v>
      </c>
      <c r="AM1356" t="str">
        <f>_xlfn.XLOOKUP(Table1[[#This Row],[PerformanceRating]],Table17[PerformanceRating],Table17[Id_PerformanceRating])</f>
        <v>PR003</v>
      </c>
      <c r="AN1356">
        <v>3</v>
      </c>
      <c r="AO1356" t="str">
        <f>_xlfn.XLOOKUP(Table1[[#This Row],[PerformanceRating]],Table17[PerformanceRating],Table17[Deskripsi])</f>
        <v>Excellent</v>
      </c>
      <c r="AP1356" t="str">
        <f>_xlfn.XLOOKUP(Table1[[#This Row],[RelationshipSatisfaction]],Table18[RelationshipSatisfaction],Table18[Id_RelationshipSatisfaction])</f>
        <v>RS004</v>
      </c>
      <c r="AQ1356">
        <v>4</v>
      </c>
      <c r="AR1356" t="str">
        <f>_xlfn.XLOOKUP(Table1[[#This Row],[RelationshipSatisfaction]],Table18[RelationshipSatisfaction],Table18[Deskripsi])</f>
        <v>Very High</v>
      </c>
      <c r="AS1356" t="str">
        <f>_xlfn.XLOOKUP(Table1[[#This Row],[StockOptionLevel]],Table19[StockOptionLevel],Table19[Id_StockOptionLevel])</f>
        <v>SOL001</v>
      </c>
      <c r="AT1356">
        <v>0</v>
      </c>
      <c r="AU1356" t="str">
        <f>_xlfn.XLOOKUP(Table1[[#This Row],[StockOptionLevel]],Table19[StockOptionLevel],Table19[Deskripsi])</f>
        <v>Non-Eligible</v>
      </c>
      <c r="AV1356">
        <v>5</v>
      </c>
      <c r="AW1356">
        <v>3</v>
      </c>
      <c r="AX1356" t="str">
        <f>_xlfn.XLOOKUP(Table1[[#This Row],[WorkLifeBalance]],Table20[WorkLifeBalance],Table20[Id_WorkLifeBalance])</f>
        <v>WLB002</v>
      </c>
      <c r="AY1356">
        <v>3</v>
      </c>
      <c r="AZ1356" t="str">
        <f>_xlfn.XLOOKUP(Table1[[#This Row],[WorkLifeBalance]],Table20[WorkLifeBalance],Table20[Deskripsi])</f>
        <v>Good</v>
      </c>
      <c r="BA1356">
        <v>4</v>
      </c>
      <c r="BB1356">
        <v>2</v>
      </c>
      <c r="BC1356">
        <v>1</v>
      </c>
      <c r="BD1356">
        <v>0</v>
      </c>
    </row>
    <row r="1357" spans="1:56" x14ac:dyDescent="0.25">
      <c r="A1357">
        <v>36</v>
      </c>
      <c r="B1357" t="str">
        <f>_xlfn.XLOOKUP(Table1[[#This Row],[Attrition]],Table2[Attrition],Table2[Id_Attrition])</f>
        <v>A002</v>
      </c>
      <c r="C1357" t="s">
        <v>33</v>
      </c>
      <c r="D1357" t="str">
        <f>_xlfn.XLOOKUP(Table1[[#This Row],[BusinessTravel]],Table5[BusinessTravel],Table5[Id_BusinessTravel])</f>
        <v>BS001</v>
      </c>
      <c r="E1357" t="s">
        <v>34</v>
      </c>
      <c r="F1357">
        <v>335</v>
      </c>
      <c r="G1357" t="str">
        <f>_xlfn.XLOOKUP(Table1[[#This Row],[Department]],Table6[Department],Table6[Id_Departement])</f>
        <v>D001</v>
      </c>
      <c r="H1357" t="s">
        <v>37</v>
      </c>
      <c r="I1357">
        <v>17</v>
      </c>
      <c r="J1357" t="str">
        <f>_xlfn.XLOOKUP(Table1[[#This Row],[Education]],Table8[Education],Table8[Id_Education])</f>
        <v>E002</v>
      </c>
      <c r="K1357">
        <v>2</v>
      </c>
      <c r="L1357" t="str">
        <f>_xlfn.XLOOKUP(Table1[[#This Row],[EducationField]],Table7[EducationField],Table7[Id_EducationField])</f>
        <v>EF004</v>
      </c>
      <c r="M1357" t="s">
        <v>43</v>
      </c>
      <c r="N1357" t="str">
        <f>_xlfn.XLOOKUP(Table1[[#This Row],[EmployeeNumber]],Table4[EmployeeNumber],Table4[Id_Employee])</f>
        <v>EMP01356</v>
      </c>
      <c r="O1357">
        <v>1908</v>
      </c>
      <c r="P1357" t="str">
        <f>_xlfn.XLOOKUP(Table1[[#This Row],[EnvironmentSatisfaction]],Table9[EnvironmentSatisfaction],Table9[Id_EnviromentSatisfaction])</f>
        <v>ES003</v>
      </c>
      <c r="Q1357">
        <v>3</v>
      </c>
      <c r="R1357" t="str">
        <f>_xlfn.XLOOKUP(Table1[[#This Row],[EnvironmentSatisfaction]],Table9[EnvironmentSatisfaction],Table9[Deskripsi])</f>
        <v>High</v>
      </c>
      <c r="S1357" t="str">
        <f>_xlfn.XLOOKUP(Table1[[#This Row],[Gender]],Table10[Gender],Table10[Id_Gender])</f>
        <v>G002</v>
      </c>
      <c r="T1357" t="s">
        <v>46</v>
      </c>
      <c r="U1357">
        <v>33</v>
      </c>
      <c r="V1357" t="str">
        <f>_xlfn.XLOOKUP(Table1[[#This Row],[JobInvolvement]],Table11[JobInvolvement],Table11[Id_JobInvolvement])</f>
        <v>JI002</v>
      </c>
      <c r="W1357">
        <v>2</v>
      </c>
      <c r="X1357" t="str">
        <f>_xlfn.XLOOKUP(Table1[[#This Row],[JobLevel]],Table12[JobLevel],Table12[Id_JobLevel])</f>
        <v>JL002</v>
      </c>
      <c r="Y1357">
        <v>2</v>
      </c>
      <c r="Z1357" t="str">
        <f>_xlfn.XLOOKUP(Table1[[#This Row],[JobRole]],Table13[JobRole],Table13[Id_JobRole])</f>
        <v>JR001</v>
      </c>
      <c r="AA1357" t="s">
        <v>47</v>
      </c>
      <c r="AB1357" t="str">
        <f>_xlfn.XLOOKUP(Table1[[#This Row],[JobSatisfaction]],Table14[JobSatisfaction],Table14[Id_JobSatisfaction])</f>
        <v>JS002</v>
      </c>
      <c r="AC1357">
        <v>2</v>
      </c>
      <c r="AD1357" t="str">
        <f>_xlfn.XLOOKUP(Table1[[#This Row],[JobSatisfaction]],Table14[JobSatisfaction],Table14[Deskripsi])</f>
        <v>Medium</v>
      </c>
      <c r="AE1357" t="str">
        <f>_xlfn.XLOOKUP(Table1[[#This Row],[MaritalStatus]],Table15[MaritalStatus],Table15[Id_MaritalStatus])</f>
        <v>MS002</v>
      </c>
      <c r="AF1357" t="s">
        <v>56</v>
      </c>
      <c r="AG1357">
        <v>5507</v>
      </c>
      <c r="AH1357">
        <v>16822</v>
      </c>
      <c r="AI1357">
        <v>2</v>
      </c>
      <c r="AJ1357" t="str">
        <f>_xlfn.XLOOKUP(Table1[[#This Row],[OverTime]],Table16[OverTime],Table16[Id_OverTime])</f>
        <v>OT002</v>
      </c>
      <c r="AK1357" t="s">
        <v>33</v>
      </c>
      <c r="AL1357">
        <v>16</v>
      </c>
      <c r="AM1357" t="str">
        <f>_xlfn.XLOOKUP(Table1[[#This Row],[PerformanceRating]],Table17[PerformanceRating],Table17[Id_PerformanceRating])</f>
        <v>PR003</v>
      </c>
      <c r="AN1357">
        <v>3</v>
      </c>
      <c r="AO1357" t="str">
        <f>_xlfn.XLOOKUP(Table1[[#This Row],[PerformanceRating]],Table17[PerformanceRating],Table17[Deskripsi])</f>
        <v>Excellent</v>
      </c>
      <c r="AP1357" t="str">
        <f>_xlfn.XLOOKUP(Table1[[#This Row],[RelationshipSatisfaction]],Table18[RelationshipSatisfaction],Table18[Id_RelationshipSatisfaction])</f>
        <v>RS003</v>
      </c>
      <c r="AQ1357">
        <v>3</v>
      </c>
      <c r="AR1357" t="str">
        <f>_xlfn.XLOOKUP(Table1[[#This Row],[RelationshipSatisfaction]],Table18[RelationshipSatisfaction],Table18[Deskripsi])</f>
        <v>High</v>
      </c>
      <c r="AS1357" t="str">
        <f>_xlfn.XLOOKUP(Table1[[#This Row],[StockOptionLevel]],Table19[StockOptionLevel],Table19[Id_StockOptionLevel])</f>
        <v>SOL003</v>
      </c>
      <c r="AT1357">
        <v>2</v>
      </c>
      <c r="AU1357" t="str">
        <f>_xlfn.XLOOKUP(Table1[[#This Row],[StockOptionLevel]],Table19[StockOptionLevel],Table19[Deskripsi])</f>
        <v>Intermediate</v>
      </c>
      <c r="AV1357">
        <v>12</v>
      </c>
      <c r="AW1357">
        <v>1</v>
      </c>
      <c r="AX1357" t="str">
        <f>_xlfn.XLOOKUP(Table1[[#This Row],[WorkLifeBalance]],Table20[WorkLifeBalance],Table20[Id_WorkLifeBalance])</f>
        <v>WLB001</v>
      </c>
      <c r="AY1357">
        <v>1</v>
      </c>
      <c r="AZ1357" t="str">
        <f>_xlfn.XLOOKUP(Table1[[#This Row],[WorkLifeBalance]],Table20[WorkLifeBalance],Table20[Deskripsi])</f>
        <v>Bad</v>
      </c>
      <c r="BA1357">
        <v>4</v>
      </c>
      <c r="BB1357">
        <v>2</v>
      </c>
      <c r="BC1357">
        <v>1</v>
      </c>
      <c r="BD1357">
        <v>3</v>
      </c>
    </row>
    <row r="1358" spans="1:56" x14ac:dyDescent="0.25">
      <c r="A1358">
        <v>41</v>
      </c>
      <c r="B1358" t="str">
        <f>_xlfn.XLOOKUP(Table1[[#This Row],[Attrition]],Table2[Attrition],Table2[Id_Attrition])</f>
        <v>A002</v>
      </c>
      <c r="C1358" t="s">
        <v>33</v>
      </c>
      <c r="D1358" t="str">
        <f>_xlfn.XLOOKUP(Table1[[#This Row],[BusinessTravel]],Table5[BusinessTravel],Table5[Id_BusinessTravel])</f>
        <v>BS001</v>
      </c>
      <c r="E1358" t="s">
        <v>34</v>
      </c>
      <c r="F1358">
        <v>337</v>
      </c>
      <c r="G1358" t="str">
        <f>_xlfn.XLOOKUP(Table1[[#This Row],[Department]],Table6[Department],Table6[Id_Departement])</f>
        <v>D001</v>
      </c>
      <c r="H1358" t="s">
        <v>37</v>
      </c>
      <c r="I1358">
        <v>8</v>
      </c>
      <c r="J1358" t="str">
        <f>_xlfn.XLOOKUP(Table1[[#This Row],[Education]],Table8[Education],Table8[Id_Education])</f>
        <v>E003</v>
      </c>
      <c r="K1358">
        <v>3</v>
      </c>
      <c r="L1358" t="str">
        <f>_xlfn.XLOOKUP(Table1[[#This Row],[EducationField]],Table7[EducationField],Table7[Id_EducationField])</f>
        <v>EF004</v>
      </c>
      <c r="M1358" t="s">
        <v>43</v>
      </c>
      <c r="N1358" t="str">
        <f>_xlfn.XLOOKUP(Table1[[#This Row],[EmployeeNumber]],Table4[EmployeeNumber],Table4[Id_Employee])</f>
        <v>EMP01357</v>
      </c>
      <c r="O1358">
        <v>1909</v>
      </c>
      <c r="P1358" t="str">
        <f>_xlfn.XLOOKUP(Table1[[#This Row],[EnvironmentSatisfaction]],Table9[EnvironmentSatisfaction],Table9[Id_EnviromentSatisfaction])</f>
        <v>ES003</v>
      </c>
      <c r="Q1358">
        <v>3</v>
      </c>
      <c r="R1358" t="str">
        <f>_xlfn.XLOOKUP(Table1[[#This Row],[EnvironmentSatisfaction]],Table9[EnvironmentSatisfaction],Table9[Deskripsi])</f>
        <v>High</v>
      </c>
      <c r="S1358" t="str">
        <f>_xlfn.XLOOKUP(Table1[[#This Row],[Gender]],Table10[Gender],Table10[Id_Gender])</f>
        <v>G001</v>
      </c>
      <c r="T1358" t="s">
        <v>45</v>
      </c>
      <c r="U1358">
        <v>54</v>
      </c>
      <c r="V1358" t="str">
        <f>_xlfn.XLOOKUP(Table1[[#This Row],[JobInvolvement]],Table11[JobInvolvement],Table11[Id_JobInvolvement])</f>
        <v>JI003</v>
      </c>
      <c r="W1358">
        <v>3</v>
      </c>
      <c r="X1358" t="str">
        <f>_xlfn.XLOOKUP(Table1[[#This Row],[JobLevel]],Table12[JobLevel],Table12[Id_JobLevel])</f>
        <v>JL002</v>
      </c>
      <c r="Y1358">
        <v>2</v>
      </c>
      <c r="Z1358" t="str">
        <f>_xlfn.XLOOKUP(Table1[[#This Row],[JobRole]],Table13[JobRole],Table13[Id_JobRole])</f>
        <v>JR001</v>
      </c>
      <c r="AA1358" t="s">
        <v>47</v>
      </c>
      <c r="AB1358" t="str">
        <f>_xlfn.XLOOKUP(Table1[[#This Row],[JobSatisfaction]],Table14[JobSatisfaction],Table14[Id_JobSatisfaction])</f>
        <v>JS002</v>
      </c>
      <c r="AC1358">
        <v>2</v>
      </c>
      <c r="AD1358" t="str">
        <f>_xlfn.XLOOKUP(Table1[[#This Row],[JobSatisfaction]],Table14[JobSatisfaction],Table14[Deskripsi])</f>
        <v>Medium</v>
      </c>
      <c r="AE1358" t="str">
        <f>_xlfn.XLOOKUP(Table1[[#This Row],[MaritalStatus]],Table15[MaritalStatus],Table15[Id_MaritalStatus])</f>
        <v>MS002</v>
      </c>
      <c r="AF1358" t="s">
        <v>56</v>
      </c>
      <c r="AG1358">
        <v>4393</v>
      </c>
      <c r="AH1358">
        <v>26841</v>
      </c>
      <c r="AI1358">
        <v>5</v>
      </c>
      <c r="AJ1358" t="str">
        <f>_xlfn.XLOOKUP(Table1[[#This Row],[OverTime]],Table16[OverTime],Table16[Id_OverTime])</f>
        <v>OT002</v>
      </c>
      <c r="AK1358" t="s">
        <v>33</v>
      </c>
      <c r="AL1358">
        <v>21</v>
      </c>
      <c r="AM1358" t="str">
        <f>_xlfn.XLOOKUP(Table1[[#This Row],[PerformanceRating]],Table17[PerformanceRating],Table17[Id_PerformanceRating])</f>
        <v>PR004</v>
      </c>
      <c r="AN1358">
        <v>4</v>
      </c>
      <c r="AO1358" t="str">
        <f>_xlfn.XLOOKUP(Table1[[#This Row],[PerformanceRating]],Table17[PerformanceRating],Table17[Deskripsi])</f>
        <v>Outstanding</v>
      </c>
      <c r="AP1358" t="str">
        <f>_xlfn.XLOOKUP(Table1[[#This Row],[RelationshipSatisfaction]],Table18[RelationshipSatisfaction],Table18[Id_RelationshipSatisfaction])</f>
        <v>RS003</v>
      </c>
      <c r="AQ1358">
        <v>3</v>
      </c>
      <c r="AR1358" t="str">
        <f>_xlfn.XLOOKUP(Table1[[#This Row],[RelationshipSatisfaction]],Table18[RelationshipSatisfaction],Table18[Deskripsi])</f>
        <v>High</v>
      </c>
      <c r="AS1358" t="str">
        <f>_xlfn.XLOOKUP(Table1[[#This Row],[StockOptionLevel]],Table19[StockOptionLevel],Table19[Id_StockOptionLevel])</f>
        <v>SOL002</v>
      </c>
      <c r="AT1358">
        <v>1</v>
      </c>
      <c r="AU1358" t="str">
        <f>_xlfn.XLOOKUP(Table1[[#This Row],[StockOptionLevel]],Table19[StockOptionLevel],Table19[Deskripsi])</f>
        <v>Standard</v>
      </c>
      <c r="AV1358">
        <v>14</v>
      </c>
      <c r="AW1358">
        <v>3</v>
      </c>
      <c r="AX1358" t="str">
        <f>_xlfn.XLOOKUP(Table1[[#This Row],[WorkLifeBalance]],Table20[WorkLifeBalance],Table20[Id_WorkLifeBalance])</f>
        <v>WLB002</v>
      </c>
      <c r="AY1358">
        <v>3</v>
      </c>
      <c r="AZ1358" t="str">
        <f>_xlfn.XLOOKUP(Table1[[#This Row],[WorkLifeBalance]],Table20[WorkLifeBalance],Table20[Deskripsi])</f>
        <v>Good</v>
      </c>
      <c r="BA1358">
        <v>5</v>
      </c>
      <c r="BB1358">
        <v>4</v>
      </c>
      <c r="BC1358">
        <v>1</v>
      </c>
      <c r="BD1358">
        <v>4</v>
      </c>
    </row>
    <row r="1359" spans="1:56" x14ac:dyDescent="0.25">
      <c r="A1359">
        <v>42</v>
      </c>
      <c r="B1359" t="str">
        <f>_xlfn.XLOOKUP(Table1[[#This Row],[Attrition]],Table2[Attrition],Table2[Id_Attrition])</f>
        <v>A002</v>
      </c>
      <c r="C1359" t="s">
        <v>33</v>
      </c>
      <c r="D1359" t="str">
        <f>_xlfn.XLOOKUP(Table1[[#This Row],[BusinessTravel]],Table5[BusinessTravel],Table5[Id_BusinessTravel])</f>
        <v>BS001</v>
      </c>
      <c r="E1359" t="s">
        <v>34</v>
      </c>
      <c r="F1359">
        <v>1396</v>
      </c>
      <c r="G1359" t="str">
        <f>_xlfn.XLOOKUP(Table1[[#This Row],[Department]],Table6[Department],Table6[Id_Departement])</f>
        <v>D002</v>
      </c>
      <c r="H1359" t="s">
        <v>38</v>
      </c>
      <c r="I1359">
        <v>6</v>
      </c>
      <c r="J1359" t="str">
        <f>_xlfn.XLOOKUP(Table1[[#This Row],[Education]],Table8[Education],Table8[Id_Education])</f>
        <v>E003</v>
      </c>
      <c r="K1359">
        <v>3</v>
      </c>
      <c r="L1359" t="str">
        <f>_xlfn.XLOOKUP(Table1[[#This Row],[EducationField]],Table7[EducationField],Table7[Id_EducationField])</f>
        <v>EF003</v>
      </c>
      <c r="M1359" t="s">
        <v>42</v>
      </c>
      <c r="N1359" t="str">
        <f>_xlfn.XLOOKUP(Table1[[#This Row],[EmployeeNumber]],Table4[EmployeeNumber],Table4[Id_Employee])</f>
        <v>EMP01358</v>
      </c>
      <c r="O1359">
        <v>1911</v>
      </c>
      <c r="P1359" t="str">
        <f>_xlfn.XLOOKUP(Table1[[#This Row],[EnvironmentSatisfaction]],Table9[EnvironmentSatisfaction],Table9[Id_EnviromentSatisfaction])</f>
        <v>ES003</v>
      </c>
      <c r="Q1359">
        <v>3</v>
      </c>
      <c r="R1359" t="str">
        <f>_xlfn.XLOOKUP(Table1[[#This Row],[EnvironmentSatisfaction]],Table9[EnvironmentSatisfaction],Table9[Deskripsi])</f>
        <v>High</v>
      </c>
      <c r="S1359" t="str">
        <f>_xlfn.XLOOKUP(Table1[[#This Row],[Gender]],Table10[Gender],Table10[Id_Gender])</f>
        <v>G002</v>
      </c>
      <c r="T1359" t="s">
        <v>46</v>
      </c>
      <c r="U1359">
        <v>83</v>
      </c>
      <c r="V1359" t="str">
        <f>_xlfn.XLOOKUP(Table1[[#This Row],[JobInvolvement]],Table11[JobInvolvement],Table11[Id_JobInvolvement])</f>
        <v>JI003</v>
      </c>
      <c r="W1359">
        <v>3</v>
      </c>
      <c r="X1359" t="str">
        <f>_xlfn.XLOOKUP(Table1[[#This Row],[JobLevel]],Table12[JobLevel],Table12[Id_JobLevel])</f>
        <v>JL003</v>
      </c>
      <c r="Y1359">
        <v>3</v>
      </c>
      <c r="Z1359" t="str">
        <f>_xlfn.XLOOKUP(Table1[[#This Row],[JobRole]],Table13[JobRole],Table13[Id_JobRole])</f>
        <v>JR008</v>
      </c>
      <c r="AA1359" t="s">
        <v>54</v>
      </c>
      <c r="AB1359" t="str">
        <f>_xlfn.XLOOKUP(Table1[[#This Row],[JobSatisfaction]],Table14[JobSatisfaction],Table14[Id_JobSatisfaction])</f>
        <v>JS001</v>
      </c>
      <c r="AC1359">
        <v>1</v>
      </c>
      <c r="AD1359" t="str">
        <f>_xlfn.XLOOKUP(Table1[[#This Row],[JobSatisfaction]],Table14[JobSatisfaction],Table14[Deskripsi])</f>
        <v>Low</v>
      </c>
      <c r="AE1359" t="str">
        <f>_xlfn.XLOOKUP(Table1[[#This Row],[MaritalStatus]],Table15[MaritalStatus],Table15[Id_MaritalStatus])</f>
        <v>MS002</v>
      </c>
      <c r="AF1359" t="s">
        <v>56</v>
      </c>
      <c r="AG1359">
        <v>13348</v>
      </c>
      <c r="AH1359">
        <v>14842</v>
      </c>
      <c r="AI1359">
        <v>9</v>
      </c>
      <c r="AJ1359" t="str">
        <f>_xlfn.XLOOKUP(Table1[[#This Row],[OverTime]],Table16[OverTime],Table16[Id_OverTime])</f>
        <v>OT002</v>
      </c>
      <c r="AK1359" t="s">
        <v>33</v>
      </c>
      <c r="AL1359">
        <v>13</v>
      </c>
      <c r="AM1359" t="str">
        <f>_xlfn.XLOOKUP(Table1[[#This Row],[PerformanceRating]],Table17[PerformanceRating],Table17[Id_PerformanceRating])</f>
        <v>PR003</v>
      </c>
      <c r="AN1359">
        <v>3</v>
      </c>
      <c r="AO1359" t="str">
        <f>_xlfn.XLOOKUP(Table1[[#This Row],[PerformanceRating]],Table17[PerformanceRating],Table17[Deskripsi])</f>
        <v>Excellent</v>
      </c>
      <c r="AP1359" t="str">
        <f>_xlfn.XLOOKUP(Table1[[#This Row],[RelationshipSatisfaction]],Table18[RelationshipSatisfaction],Table18[Id_RelationshipSatisfaction])</f>
        <v>RS002</v>
      </c>
      <c r="AQ1359">
        <v>2</v>
      </c>
      <c r="AR1359" t="str">
        <f>_xlfn.XLOOKUP(Table1[[#This Row],[RelationshipSatisfaction]],Table18[RelationshipSatisfaction],Table18[Deskripsi])</f>
        <v>Medium</v>
      </c>
      <c r="AS1359" t="str">
        <f>_xlfn.XLOOKUP(Table1[[#This Row],[StockOptionLevel]],Table19[StockOptionLevel],Table19[Id_StockOptionLevel])</f>
        <v>SOL002</v>
      </c>
      <c r="AT1359">
        <v>1</v>
      </c>
      <c r="AU1359" t="str">
        <f>_xlfn.XLOOKUP(Table1[[#This Row],[StockOptionLevel]],Table19[StockOptionLevel],Table19[Deskripsi])</f>
        <v>Standard</v>
      </c>
      <c r="AV1359">
        <v>18</v>
      </c>
      <c r="AW1359">
        <v>3</v>
      </c>
      <c r="AX1359" t="str">
        <f>_xlfn.XLOOKUP(Table1[[#This Row],[WorkLifeBalance]],Table20[WorkLifeBalance],Table20[Id_WorkLifeBalance])</f>
        <v>WLB004</v>
      </c>
      <c r="AY1359">
        <v>4</v>
      </c>
      <c r="AZ1359" t="str">
        <f>_xlfn.XLOOKUP(Table1[[#This Row],[WorkLifeBalance]],Table20[WorkLifeBalance],Table20[Deskripsi])</f>
        <v>Best</v>
      </c>
      <c r="BA1359">
        <v>13</v>
      </c>
      <c r="BB1359">
        <v>7</v>
      </c>
      <c r="BC1359">
        <v>5</v>
      </c>
      <c r="BD1359">
        <v>7</v>
      </c>
    </row>
    <row r="1360" spans="1:56" x14ac:dyDescent="0.25">
      <c r="A1360">
        <v>31</v>
      </c>
      <c r="B1360" t="str">
        <f>_xlfn.XLOOKUP(Table1[[#This Row],[Attrition]],Table2[Attrition],Table2[Id_Attrition])</f>
        <v>A002</v>
      </c>
      <c r="C1360" t="s">
        <v>33</v>
      </c>
      <c r="D1360" t="str">
        <f>_xlfn.XLOOKUP(Table1[[#This Row],[BusinessTravel]],Table5[BusinessTravel],Table5[Id_BusinessTravel])</f>
        <v>BS001</v>
      </c>
      <c r="E1360" t="s">
        <v>34</v>
      </c>
      <c r="F1360">
        <v>1079</v>
      </c>
      <c r="G1360" t="str">
        <f>_xlfn.XLOOKUP(Table1[[#This Row],[Department]],Table6[Department],Table6[Id_Departement])</f>
        <v>D001</v>
      </c>
      <c r="H1360" t="s">
        <v>37</v>
      </c>
      <c r="I1360">
        <v>10</v>
      </c>
      <c r="J1360" t="str">
        <f>_xlfn.XLOOKUP(Table1[[#This Row],[Education]],Table8[Education],Table8[Id_Education])</f>
        <v>E002</v>
      </c>
      <c r="K1360">
        <v>2</v>
      </c>
      <c r="L1360" t="str">
        <f>_xlfn.XLOOKUP(Table1[[#This Row],[EducationField]],Table7[EducationField],Table7[Id_EducationField])</f>
        <v>EF003</v>
      </c>
      <c r="M1360" t="s">
        <v>42</v>
      </c>
      <c r="N1360" t="str">
        <f>_xlfn.XLOOKUP(Table1[[#This Row],[EmployeeNumber]],Table4[EmployeeNumber],Table4[Id_Employee])</f>
        <v>EMP01359</v>
      </c>
      <c r="O1360">
        <v>1912</v>
      </c>
      <c r="P1360" t="str">
        <f>_xlfn.XLOOKUP(Table1[[#This Row],[EnvironmentSatisfaction]],Table9[EnvironmentSatisfaction],Table9[Id_EnviromentSatisfaction])</f>
        <v>ES003</v>
      </c>
      <c r="Q1360">
        <v>3</v>
      </c>
      <c r="R1360" t="str">
        <f>_xlfn.XLOOKUP(Table1[[#This Row],[EnvironmentSatisfaction]],Table9[EnvironmentSatisfaction],Table9[Deskripsi])</f>
        <v>High</v>
      </c>
      <c r="S1360" t="str">
        <f>_xlfn.XLOOKUP(Table1[[#This Row],[Gender]],Table10[Gender],Table10[Id_Gender])</f>
        <v>G001</v>
      </c>
      <c r="T1360" t="s">
        <v>45</v>
      </c>
      <c r="U1360">
        <v>86</v>
      </c>
      <c r="V1360" t="str">
        <f>_xlfn.XLOOKUP(Table1[[#This Row],[JobInvolvement]],Table11[JobInvolvement],Table11[Id_JobInvolvement])</f>
        <v>JI003</v>
      </c>
      <c r="W1360">
        <v>3</v>
      </c>
      <c r="X1360" t="str">
        <f>_xlfn.XLOOKUP(Table1[[#This Row],[JobLevel]],Table12[JobLevel],Table12[Id_JobLevel])</f>
        <v>JL002</v>
      </c>
      <c r="Y1360">
        <v>2</v>
      </c>
      <c r="Z1360" t="str">
        <f>_xlfn.XLOOKUP(Table1[[#This Row],[JobRole]],Table13[JobRole],Table13[Id_JobRole])</f>
        <v>JR001</v>
      </c>
      <c r="AA1360" t="s">
        <v>47</v>
      </c>
      <c r="AB1360" t="str">
        <f>_xlfn.XLOOKUP(Table1[[#This Row],[JobSatisfaction]],Table14[JobSatisfaction],Table14[Id_JobSatisfaction])</f>
        <v>JS004</v>
      </c>
      <c r="AC1360">
        <v>4</v>
      </c>
      <c r="AD1360" t="str">
        <f>_xlfn.XLOOKUP(Table1[[#This Row],[JobSatisfaction]],Table14[JobSatisfaction],Table14[Deskripsi])</f>
        <v>Very High</v>
      </c>
      <c r="AE1360" t="str">
        <f>_xlfn.XLOOKUP(Table1[[#This Row],[MaritalStatus]],Table15[MaritalStatus],Table15[Id_MaritalStatus])</f>
        <v>MS003</v>
      </c>
      <c r="AF1360" t="s">
        <v>57</v>
      </c>
      <c r="AG1360">
        <v>6583</v>
      </c>
      <c r="AH1360">
        <v>20115</v>
      </c>
      <c r="AI1360">
        <v>2</v>
      </c>
      <c r="AJ1360" t="str">
        <f>_xlfn.XLOOKUP(Table1[[#This Row],[OverTime]],Table16[OverTime],Table16[Id_OverTime])</f>
        <v>OT001</v>
      </c>
      <c r="AK1360" t="s">
        <v>32</v>
      </c>
      <c r="AL1360">
        <v>11</v>
      </c>
      <c r="AM1360" t="str">
        <f>_xlfn.XLOOKUP(Table1[[#This Row],[PerformanceRating]],Table17[PerformanceRating],Table17[Id_PerformanceRating])</f>
        <v>PR003</v>
      </c>
      <c r="AN1360">
        <v>3</v>
      </c>
      <c r="AO1360" t="str">
        <f>_xlfn.XLOOKUP(Table1[[#This Row],[PerformanceRating]],Table17[PerformanceRating],Table17[Deskripsi])</f>
        <v>Excellent</v>
      </c>
      <c r="AP1360" t="str">
        <f>_xlfn.XLOOKUP(Table1[[#This Row],[RelationshipSatisfaction]],Table18[RelationshipSatisfaction],Table18[Id_RelationshipSatisfaction])</f>
        <v>RS004</v>
      </c>
      <c r="AQ1360">
        <v>4</v>
      </c>
      <c r="AR1360" t="str">
        <f>_xlfn.XLOOKUP(Table1[[#This Row],[RelationshipSatisfaction]],Table18[RelationshipSatisfaction],Table18[Deskripsi])</f>
        <v>Very High</v>
      </c>
      <c r="AS1360" t="str">
        <f>_xlfn.XLOOKUP(Table1[[#This Row],[StockOptionLevel]],Table19[StockOptionLevel],Table19[Id_StockOptionLevel])</f>
        <v>SOL002</v>
      </c>
      <c r="AT1360">
        <v>1</v>
      </c>
      <c r="AU1360" t="str">
        <f>_xlfn.XLOOKUP(Table1[[#This Row],[StockOptionLevel]],Table19[StockOptionLevel],Table19[Deskripsi])</f>
        <v>Standard</v>
      </c>
      <c r="AV1360">
        <v>8</v>
      </c>
      <c r="AW1360">
        <v>2</v>
      </c>
      <c r="AX1360" t="str">
        <f>_xlfn.XLOOKUP(Table1[[#This Row],[WorkLifeBalance]],Table20[WorkLifeBalance],Table20[Id_WorkLifeBalance])</f>
        <v>WLB002</v>
      </c>
      <c r="AY1360">
        <v>3</v>
      </c>
      <c r="AZ1360" t="str">
        <f>_xlfn.XLOOKUP(Table1[[#This Row],[WorkLifeBalance]],Table20[WorkLifeBalance],Table20[Deskripsi])</f>
        <v>Good</v>
      </c>
      <c r="BA1360">
        <v>5</v>
      </c>
      <c r="BB1360">
        <v>2</v>
      </c>
      <c r="BC1360">
        <v>1</v>
      </c>
      <c r="BD1360">
        <v>4</v>
      </c>
    </row>
    <row r="1361" spans="1:56" x14ac:dyDescent="0.25">
      <c r="A1361">
        <v>34</v>
      </c>
      <c r="B1361" t="str">
        <f>_xlfn.XLOOKUP(Table1[[#This Row],[Attrition]],Table2[Attrition],Table2[Id_Attrition])</f>
        <v>A002</v>
      </c>
      <c r="C1361" t="s">
        <v>33</v>
      </c>
      <c r="D1361" t="str">
        <f>_xlfn.XLOOKUP(Table1[[#This Row],[BusinessTravel]],Table5[BusinessTravel],Table5[Id_BusinessTravel])</f>
        <v>BS001</v>
      </c>
      <c r="E1361" t="s">
        <v>34</v>
      </c>
      <c r="F1361">
        <v>735</v>
      </c>
      <c r="G1361" t="str">
        <f>_xlfn.XLOOKUP(Table1[[#This Row],[Department]],Table6[Department],Table6[Id_Departement])</f>
        <v>D001</v>
      </c>
      <c r="H1361" t="s">
        <v>37</v>
      </c>
      <c r="I1361">
        <v>3</v>
      </c>
      <c r="J1361" t="str">
        <f>_xlfn.XLOOKUP(Table1[[#This Row],[Education]],Table8[Education],Table8[Id_Education])</f>
        <v>E001</v>
      </c>
      <c r="K1361">
        <v>1</v>
      </c>
      <c r="L1361" t="str">
        <f>_xlfn.XLOOKUP(Table1[[#This Row],[EducationField]],Table7[EducationField],Table7[Id_EducationField])</f>
        <v>EF003</v>
      </c>
      <c r="M1361" t="s">
        <v>42</v>
      </c>
      <c r="N1361" t="str">
        <f>_xlfn.XLOOKUP(Table1[[#This Row],[EmployeeNumber]],Table4[EmployeeNumber],Table4[Id_Employee])</f>
        <v>EMP01360</v>
      </c>
      <c r="O1361">
        <v>1915</v>
      </c>
      <c r="P1361" t="str">
        <f>_xlfn.XLOOKUP(Table1[[#This Row],[EnvironmentSatisfaction]],Table9[EnvironmentSatisfaction],Table9[Id_EnviromentSatisfaction])</f>
        <v>ES004</v>
      </c>
      <c r="Q1361">
        <v>4</v>
      </c>
      <c r="R1361" t="str">
        <f>_xlfn.XLOOKUP(Table1[[#This Row],[EnvironmentSatisfaction]],Table9[EnvironmentSatisfaction],Table9[Deskripsi])</f>
        <v>Very High</v>
      </c>
      <c r="S1361" t="str">
        <f>_xlfn.XLOOKUP(Table1[[#This Row],[Gender]],Table10[Gender],Table10[Id_Gender])</f>
        <v>G001</v>
      </c>
      <c r="T1361" t="s">
        <v>45</v>
      </c>
      <c r="U1361">
        <v>75</v>
      </c>
      <c r="V1361" t="str">
        <f>_xlfn.XLOOKUP(Table1[[#This Row],[JobInvolvement]],Table11[JobInvolvement],Table11[Id_JobInvolvement])</f>
        <v>JI002</v>
      </c>
      <c r="W1361">
        <v>2</v>
      </c>
      <c r="X1361" t="str">
        <f>_xlfn.XLOOKUP(Table1[[#This Row],[JobLevel]],Table12[JobLevel],Table12[Id_JobLevel])</f>
        <v>JL002</v>
      </c>
      <c r="Y1361">
        <v>2</v>
      </c>
      <c r="Z1361" t="str">
        <f>_xlfn.XLOOKUP(Table1[[#This Row],[JobRole]],Table13[JobRole],Table13[Id_JobRole])</f>
        <v>JR001</v>
      </c>
      <c r="AA1361" t="s">
        <v>47</v>
      </c>
      <c r="AB1361" t="str">
        <f>_xlfn.XLOOKUP(Table1[[#This Row],[JobSatisfaction]],Table14[JobSatisfaction],Table14[Id_JobSatisfaction])</f>
        <v>JS004</v>
      </c>
      <c r="AC1361">
        <v>4</v>
      </c>
      <c r="AD1361" t="str">
        <f>_xlfn.XLOOKUP(Table1[[#This Row],[JobSatisfaction]],Table14[JobSatisfaction],Table14[Deskripsi])</f>
        <v>Very High</v>
      </c>
      <c r="AE1361" t="str">
        <f>_xlfn.XLOOKUP(Table1[[#This Row],[MaritalStatus]],Table15[MaritalStatus],Table15[Id_MaritalStatus])</f>
        <v>MS002</v>
      </c>
      <c r="AF1361" t="s">
        <v>56</v>
      </c>
      <c r="AG1361">
        <v>8103</v>
      </c>
      <c r="AH1361">
        <v>16495</v>
      </c>
      <c r="AI1361">
        <v>3</v>
      </c>
      <c r="AJ1361" t="str">
        <f>_xlfn.XLOOKUP(Table1[[#This Row],[OverTime]],Table16[OverTime],Table16[Id_OverTime])</f>
        <v>OT001</v>
      </c>
      <c r="AK1361" t="s">
        <v>32</v>
      </c>
      <c r="AL1361">
        <v>12</v>
      </c>
      <c r="AM1361" t="str">
        <f>_xlfn.XLOOKUP(Table1[[#This Row],[PerformanceRating]],Table17[PerformanceRating],Table17[Id_PerformanceRating])</f>
        <v>PR003</v>
      </c>
      <c r="AN1361">
        <v>3</v>
      </c>
      <c r="AO1361" t="str">
        <f>_xlfn.XLOOKUP(Table1[[#This Row],[PerformanceRating]],Table17[PerformanceRating],Table17[Deskripsi])</f>
        <v>Excellent</v>
      </c>
      <c r="AP1361" t="str">
        <f>_xlfn.XLOOKUP(Table1[[#This Row],[RelationshipSatisfaction]],Table18[RelationshipSatisfaction],Table18[Id_RelationshipSatisfaction])</f>
        <v>RS003</v>
      </c>
      <c r="AQ1361">
        <v>3</v>
      </c>
      <c r="AR1361" t="str">
        <f>_xlfn.XLOOKUP(Table1[[#This Row],[RelationshipSatisfaction]],Table18[RelationshipSatisfaction],Table18[Deskripsi])</f>
        <v>High</v>
      </c>
      <c r="AS1361" t="str">
        <f>_xlfn.XLOOKUP(Table1[[#This Row],[StockOptionLevel]],Table19[StockOptionLevel],Table19[Id_StockOptionLevel])</f>
        <v>SOL001</v>
      </c>
      <c r="AT1361">
        <v>0</v>
      </c>
      <c r="AU1361" t="str">
        <f>_xlfn.XLOOKUP(Table1[[#This Row],[StockOptionLevel]],Table19[StockOptionLevel],Table19[Deskripsi])</f>
        <v>Non-Eligible</v>
      </c>
      <c r="AV1361">
        <v>9</v>
      </c>
      <c r="AW1361">
        <v>3</v>
      </c>
      <c r="AX1361" t="str">
        <f>_xlfn.XLOOKUP(Table1[[#This Row],[WorkLifeBalance]],Table20[WorkLifeBalance],Table20[Id_WorkLifeBalance])</f>
        <v>WLB003</v>
      </c>
      <c r="AY1361">
        <v>2</v>
      </c>
      <c r="AZ1361" t="str">
        <f>_xlfn.XLOOKUP(Table1[[#This Row],[WorkLifeBalance]],Table20[WorkLifeBalance],Table20[Deskripsi])</f>
        <v>Better</v>
      </c>
      <c r="BA1361">
        <v>4</v>
      </c>
      <c r="BB1361">
        <v>2</v>
      </c>
      <c r="BC1361">
        <v>0</v>
      </c>
      <c r="BD1361">
        <v>1</v>
      </c>
    </row>
    <row r="1362" spans="1:56" x14ac:dyDescent="0.25">
      <c r="A1362">
        <v>31</v>
      </c>
      <c r="B1362" t="str">
        <f>_xlfn.XLOOKUP(Table1[[#This Row],[Attrition]],Table2[Attrition],Table2[Id_Attrition])</f>
        <v>A002</v>
      </c>
      <c r="C1362" t="s">
        <v>33</v>
      </c>
      <c r="D1362" t="str">
        <f>_xlfn.XLOOKUP(Table1[[#This Row],[BusinessTravel]],Table5[BusinessTravel],Table5[Id_BusinessTravel])</f>
        <v>BS001</v>
      </c>
      <c r="E1362" t="s">
        <v>34</v>
      </c>
      <c r="F1362">
        <v>471</v>
      </c>
      <c r="G1362" t="str">
        <f>_xlfn.XLOOKUP(Table1[[#This Row],[Department]],Table6[Department],Table6[Id_Departement])</f>
        <v>D002</v>
      </c>
      <c r="H1362" t="s">
        <v>38</v>
      </c>
      <c r="I1362">
        <v>4</v>
      </c>
      <c r="J1362" t="str">
        <f>_xlfn.XLOOKUP(Table1[[#This Row],[Education]],Table8[Education],Table8[Id_Education])</f>
        <v>E003</v>
      </c>
      <c r="K1362">
        <v>3</v>
      </c>
      <c r="L1362" t="str">
        <f>_xlfn.XLOOKUP(Table1[[#This Row],[EducationField]],Table7[EducationField],Table7[Id_EducationField])</f>
        <v>EF003</v>
      </c>
      <c r="M1362" t="s">
        <v>42</v>
      </c>
      <c r="N1362" t="str">
        <f>_xlfn.XLOOKUP(Table1[[#This Row],[EmployeeNumber]],Table4[EmployeeNumber],Table4[Id_Employee])</f>
        <v>EMP01361</v>
      </c>
      <c r="O1362">
        <v>1916</v>
      </c>
      <c r="P1362" t="str">
        <f>_xlfn.XLOOKUP(Table1[[#This Row],[EnvironmentSatisfaction]],Table9[EnvironmentSatisfaction],Table9[Id_EnviromentSatisfaction])</f>
        <v>ES001</v>
      </c>
      <c r="Q1362">
        <v>1</v>
      </c>
      <c r="R1362" t="str">
        <f>_xlfn.XLOOKUP(Table1[[#This Row],[EnvironmentSatisfaction]],Table9[EnvironmentSatisfaction],Table9[Deskripsi])</f>
        <v>Low</v>
      </c>
      <c r="S1362" t="str">
        <f>_xlfn.XLOOKUP(Table1[[#This Row],[Gender]],Table10[Gender],Table10[Id_Gender])</f>
        <v>G001</v>
      </c>
      <c r="T1362" t="s">
        <v>45</v>
      </c>
      <c r="U1362">
        <v>62</v>
      </c>
      <c r="V1362" t="str">
        <f>_xlfn.XLOOKUP(Table1[[#This Row],[JobInvolvement]],Table11[JobInvolvement],Table11[Id_JobInvolvement])</f>
        <v>JI004</v>
      </c>
      <c r="W1362">
        <v>4</v>
      </c>
      <c r="X1362" t="str">
        <f>_xlfn.XLOOKUP(Table1[[#This Row],[JobLevel]],Table12[JobLevel],Table12[Id_JobLevel])</f>
        <v>JL001</v>
      </c>
      <c r="Y1362">
        <v>1</v>
      </c>
      <c r="Z1362" t="str">
        <f>_xlfn.XLOOKUP(Table1[[#This Row],[JobRole]],Table13[JobRole],Table13[Id_JobRole])</f>
        <v>JR003</v>
      </c>
      <c r="AA1362" t="s">
        <v>49</v>
      </c>
      <c r="AB1362" t="str">
        <f>_xlfn.XLOOKUP(Table1[[#This Row],[JobSatisfaction]],Table14[JobSatisfaction],Table14[Id_JobSatisfaction])</f>
        <v>JS003</v>
      </c>
      <c r="AC1362">
        <v>3</v>
      </c>
      <c r="AD1362" t="str">
        <f>_xlfn.XLOOKUP(Table1[[#This Row],[JobSatisfaction]],Table14[JobSatisfaction],Table14[Deskripsi])</f>
        <v>High</v>
      </c>
      <c r="AE1362" t="str">
        <f>_xlfn.XLOOKUP(Table1[[#This Row],[MaritalStatus]],Table15[MaritalStatus],Table15[Id_MaritalStatus])</f>
        <v>MS003</v>
      </c>
      <c r="AF1362" t="s">
        <v>57</v>
      </c>
      <c r="AG1362">
        <v>3978</v>
      </c>
      <c r="AH1362">
        <v>16031</v>
      </c>
      <c r="AI1362">
        <v>8</v>
      </c>
      <c r="AJ1362" t="str">
        <f>_xlfn.XLOOKUP(Table1[[#This Row],[OverTime]],Table16[OverTime],Table16[Id_OverTime])</f>
        <v>OT002</v>
      </c>
      <c r="AK1362" t="s">
        <v>33</v>
      </c>
      <c r="AL1362">
        <v>12</v>
      </c>
      <c r="AM1362" t="str">
        <f>_xlfn.XLOOKUP(Table1[[#This Row],[PerformanceRating]],Table17[PerformanceRating],Table17[Id_PerformanceRating])</f>
        <v>PR003</v>
      </c>
      <c r="AN1362">
        <v>3</v>
      </c>
      <c r="AO1362" t="str">
        <f>_xlfn.XLOOKUP(Table1[[#This Row],[PerformanceRating]],Table17[PerformanceRating],Table17[Deskripsi])</f>
        <v>Excellent</v>
      </c>
      <c r="AP1362" t="str">
        <f>_xlfn.XLOOKUP(Table1[[#This Row],[RelationshipSatisfaction]],Table18[RelationshipSatisfaction],Table18[Id_RelationshipSatisfaction])</f>
        <v>RS002</v>
      </c>
      <c r="AQ1362">
        <v>2</v>
      </c>
      <c r="AR1362" t="str">
        <f>_xlfn.XLOOKUP(Table1[[#This Row],[RelationshipSatisfaction]],Table18[RelationshipSatisfaction],Table18[Deskripsi])</f>
        <v>Medium</v>
      </c>
      <c r="AS1362" t="str">
        <f>_xlfn.XLOOKUP(Table1[[#This Row],[StockOptionLevel]],Table19[StockOptionLevel],Table19[Id_StockOptionLevel])</f>
        <v>SOL002</v>
      </c>
      <c r="AT1362">
        <v>1</v>
      </c>
      <c r="AU1362" t="str">
        <f>_xlfn.XLOOKUP(Table1[[#This Row],[StockOptionLevel]],Table19[StockOptionLevel],Table19[Deskripsi])</f>
        <v>Standard</v>
      </c>
      <c r="AV1362">
        <v>4</v>
      </c>
      <c r="AW1362">
        <v>0</v>
      </c>
      <c r="AX1362" t="str">
        <f>_xlfn.XLOOKUP(Table1[[#This Row],[WorkLifeBalance]],Table20[WorkLifeBalance],Table20[Id_WorkLifeBalance])</f>
        <v>WLB003</v>
      </c>
      <c r="AY1362">
        <v>2</v>
      </c>
      <c r="AZ1362" t="str">
        <f>_xlfn.XLOOKUP(Table1[[#This Row],[WorkLifeBalance]],Table20[WorkLifeBalance],Table20[Deskripsi])</f>
        <v>Better</v>
      </c>
      <c r="BA1362">
        <v>2</v>
      </c>
      <c r="BB1362">
        <v>2</v>
      </c>
      <c r="BC1362">
        <v>2</v>
      </c>
      <c r="BD1362">
        <v>2</v>
      </c>
    </row>
    <row r="1363" spans="1:56" x14ac:dyDescent="0.25">
      <c r="A1363">
        <v>26</v>
      </c>
      <c r="B1363" t="str">
        <f>_xlfn.XLOOKUP(Table1[[#This Row],[Attrition]],Table2[Attrition],Table2[Id_Attrition])</f>
        <v>A002</v>
      </c>
      <c r="C1363" t="s">
        <v>33</v>
      </c>
      <c r="D1363" t="str">
        <f>_xlfn.XLOOKUP(Table1[[#This Row],[BusinessTravel]],Table5[BusinessTravel],Table5[Id_BusinessTravel])</f>
        <v>BS002</v>
      </c>
      <c r="E1363" t="s">
        <v>35</v>
      </c>
      <c r="F1363">
        <v>1096</v>
      </c>
      <c r="G1363" t="str">
        <f>_xlfn.XLOOKUP(Table1[[#This Row],[Department]],Table6[Department],Table6[Id_Departement])</f>
        <v>D002</v>
      </c>
      <c r="H1363" t="s">
        <v>38</v>
      </c>
      <c r="I1363">
        <v>6</v>
      </c>
      <c r="J1363" t="str">
        <f>_xlfn.XLOOKUP(Table1[[#This Row],[Education]],Table8[Education],Table8[Id_Education])</f>
        <v>E003</v>
      </c>
      <c r="K1363">
        <v>3</v>
      </c>
      <c r="L1363" t="str">
        <f>_xlfn.XLOOKUP(Table1[[#This Row],[EducationField]],Table7[EducationField],Table7[Id_EducationField])</f>
        <v>EF002</v>
      </c>
      <c r="M1363" t="s">
        <v>41</v>
      </c>
      <c r="N1363" t="str">
        <f>_xlfn.XLOOKUP(Table1[[#This Row],[EmployeeNumber]],Table4[EmployeeNumber],Table4[Id_Employee])</f>
        <v>EMP01362</v>
      </c>
      <c r="O1363">
        <v>1918</v>
      </c>
      <c r="P1363" t="str">
        <f>_xlfn.XLOOKUP(Table1[[#This Row],[EnvironmentSatisfaction]],Table9[EnvironmentSatisfaction],Table9[Id_EnviromentSatisfaction])</f>
        <v>ES003</v>
      </c>
      <c r="Q1363">
        <v>3</v>
      </c>
      <c r="R1363" t="str">
        <f>_xlfn.XLOOKUP(Table1[[#This Row],[EnvironmentSatisfaction]],Table9[EnvironmentSatisfaction],Table9[Deskripsi])</f>
        <v>High</v>
      </c>
      <c r="S1363" t="str">
        <f>_xlfn.XLOOKUP(Table1[[#This Row],[Gender]],Table10[Gender],Table10[Id_Gender])</f>
        <v>G002</v>
      </c>
      <c r="T1363" t="s">
        <v>46</v>
      </c>
      <c r="U1363">
        <v>61</v>
      </c>
      <c r="V1363" t="str">
        <f>_xlfn.XLOOKUP(Table1[[#This Row],[JobInvolvement]],Table11[JobInvolvement],Table11[Id_JobInvolvement])</f>
        <v>JI004</v>
      </c>
      <c r="W1363">
        <v>4</v>
      </c>
      <c r="X1363" t="str">
        <f>_xlfn.XLOOKUP(Table1[[#This Row],[JobLevel]],Table12[JobLevel],Table12[Id_JobLevel])</f>
        <v>JL001</v>
      </c>
      <c r="Y1363">
        <v>1</v>
      </c>
      <c r="Z1363" t="str">
        <f>_xlfn.XLOOKUP(Table1[[#This Row],[JobRole]],Table13[JobRole],Table13[Id_JobRole])</f>
        <v>JR003</v>
      </c>
      <c r="AA1363" t="s">
        <v>49</v>
      </c>
      <c r="AB1363" t="str">
        <f>_xlfn.XLOOKUP(Table1[[#This Row],[JobSatisfaction]],Table14[JobSatisfaction],Table14[Id_JobSatisfaction])</f>
        <v>JS004</v>
      </c>
      <c r="AC1363">
        <v>4</v>
      </c>
      <c r="AD1363" t="str">
        <f>_xlfn.XLOOKUP(Table1[[#This Row],[JobSatisfaction]],Table14[JobSatisfaction],Table14[Deskripsi])</f>
        <v>Very High</v>
      </c>
      <c r="AE1363" t="str">
        <f>_xlfn.XLOOKUP(Table1[[#This Row],[MaritalStatus]],Table15[MaritalStatus],Table15[Id_MaritalStatus])</f>
        <v>MS002</v>
      </c>
      <c r="AF1363" t="s">
        <v>56</v>
      </c>
      <c r="AG1363">
        <v>2544</v>
      </c>
      <c r="AH1363">
        <v>7102</v>
      </c>
      <c r="AI1363">
        <v>0</v>
      </c>
      <c r="AJ1363" t="str">
        <f>_xlfn.XLOOKUP(Table1[[#This Row],[OverTime]],Table16[OverTime],Table16[Id_OverTime])</f>
        <v>OT002</v>
      </c>
      <c r="AK1363" t="s">
        <v>33</v>
      </c>
      <c r="AL1363">
        <v>18</v>
      </c>
      <c r="AM1363" t="str">
        <f>_xlfn.XLOOKUP(Table1[[#This Row],[PerformanceRating]],Table17[PerformanceRating],Table17[Id_PerformanceRating])</f>
        <v>PR003</v>
      </c>
      <c r="AN1363">
        <v>3</v>
      </c>
      <c r="AO1363" t="str">
        <f>_xlfn.XLOOKUP(Table1[[#This Row],[PerformanceRating]],Table17[PerformanceRating],Table17[Deskripsi])</f>
        <v>Excellent</v>
      </c>
      <c r="AP1363" t="str">
        <f>_xlfn.XLOOKUP(Table1[[#This Row],[RelationshipSatisfaction]],Table18[RelationshipSatisfaction],Table18[Id_RelationshipSatisfaction])</f>
        <v>RS001</v>
      </c>
      <c r="AQ1363">
        <v>1</v>
      </c>
      <c r="AR1363" t="str">
        <f>_xlfn.XLOOKUP(Table1[[#This Row],[RelationshipSatisfaction]],Table18[RelationshipSatisfaction],Table18[Deskripsi])</f>
        <v>Low</v>
      </c>
      <c r="AS1363" t="str">
        <f>_xlfn.XLOOKUP(Table1[[#This Row],[StockOptionLevel]],Table19[StockOptionLevel],Table19[Id_StockOptionLevel])</f>
        <v>SOL002</v>
      </c>
      <c r="AT1363">
        <v>1</v>
      </c>
      <c r="AU1363" t="str">
        <f>_xlfn.XLOOKUP(Table1[[#This Row],[StockOptionLevel]],Table19[StockOptionLevel],Table19[Deskripsi])</f>
        <v>Standard</v>
      </c>
      <c r="AV1363">
        <v>8</v>
      </c>
      <c r="AW1363">
        <v>3</v>
      </c>
      <c r="AX1363" t="str">
        <f>_xlfn.XLOOKUP(Table1[[#This Row],[WorkLifeBalance]],Table20[WorkLifeBalance],Table20[Id_WorkLifeBalance])</f>
        <v>WLB002</v>
      </c>
      <c r="AY1363">
        <v>3</v>
      </c>
      <c r="AZ1363" t="str">
        <f>_xlfn.XLOOKUP(Table1[[#This Row],[WorkLifeBalance]],Table20[WorkLifeBalance],Table20[Deskripsi])</f>
        <v>Good</v>
      </c>
      <c r="BA1363">
        <v>7</v>
      </c>
      <c r="BB1363">
        <v>7</v>
      </c>
      <c r="BC1363">
        <v>7</v>
      </c>
      <c r="BD1363">
        <v>7</v>
      </c>
    </row>
    <row r="1364" spans="1:56" x14ac:dyDescent="0.25">
      <c r="A1364">
        <v>45</v>
      </c>
      <c r="B1364" t="str">
        <f>_xlfn.XLOOKUP(Table1[[#This Row],[Attrition]],Table2[Attrition],Table2[Id_Attrition])</f>
        <v>A002</v>
      </c>
      <c r="C1364" t="s">
        <v>33</v>
      </c>
      <c r="D1364" t="str">
        <f>_xlfn.XLOOKUP(Table1[[#This Row],[BusinessTravel]],Table5[BusinessTravel],Table5[Id_BusinessTravel])</f>
        <v>BS002</v>
      </c>
      <c r="E1364" t="s">
        <v>35</v>
      </c>
      <c r="F1364">
        <v>1297</v>
      </c>
      <c r="G1364" t="str">
        <f>_xlfn.XLOOKUP(Table1[[#This Row],[Department]],Table6[Department],Table6[Id_Departement])</f>
        <v>D002</v>
      </c>
      <c r="H1364" t="s">
        <v>38</v>
      </c>
      <c r="I1364">
        <v>1</v>
      </c>
      <c r="J1364" t="str">
        <f>_xlfn.XLOOKUP(Table1[[#This Row],[Education]],Table8[Education],Table8[Id_Education])</f>
        <v>E004</v>
      </c>
      <c r="K1364">
        <v>4</v>
      </c>
      <c r="L1364" t="str">
        <f>_xlfn.XLOOKUP(Table1[[#This Row],[EducationField]],Table7[EducationField],Table7[Id_EducationField])</f>
        <v>EF003</v>
      </c>
      <c r="M1364" t="s">
        <v>42</v>
      </c>
      <c r="N1364" t="str">
        <f>_xlfn.XLOOKUP(Table1[[#This Row],[EmployeeNumber]],Table4[EmployeeNumber],Table4[Id_Employee])</f>
        <v>EMP01363</v>
      </c>
      <c r="O1364">
        <v>1922</v>
      </c>
      <c r="P1364" t="str">
        <f>_xlfn.XLOOKUP(Table1[[#This Row],[EnvironmentSatisfaction]],Table9[EnvironmentSatisfaction],Table9[Id_EnviromentSatisfaction])</f>
        <v>ES002</v>
      </c>
      <c r="Q1364">
        <v>2</v>
      </c>
      <c r="R1364" t="str">
        <f>_xlfn.XLOOKUP(Table1[[#This Row],[EnvironmentSatisfaction]],Table9[EnvironmentSatisfaction],Table9[Deskripsi])</f>
        <v>Medium</v>
      </c>
      <c r="S1364" t="str">
        <f>_xlfn.XLOOKUP(Table1[[#This Row],[Gender]],Table10[Gender],Table10[Id_Gender])</f>
        <v>G002</v>
      </c>
      <c r="T1364" t="s">
        <v>46</v>
      </c>
      <c r="U1364">
        <v>44</v>
      </c>
      <c r="V1364" t="str">
        <f>_xlfn.XLOOKUP(Table1[[#This Row],[JobInvolvement]],Table11[JobInvolvement],Table11[Id_JobInvolvement])</f>
        <v>JI003</v>
      </c>
      <c r="W1364">
        <v>3</v>
      </c>
      <c r="X1364" t="str">
        <f>_xlfn.XLOOKUP(Table1[[#This Row],[JobLevel]],Table12[JobLevel],Table12[Id_JobLevel])</f>
        <v>JL002</v>
      </c>
      <c r="Y1364">
        <v>2</v>
      </c>
      <c r="Z1364" t="str">
        <f>_xlfn.XLOOKUP(Table1[[#This Row],[JobRole]],Table13[JobRole],Table13[Id_JobRole])</f>
        <v>JR005</v>
      </c>
      <c r="AA1364" t="s">
        <v>51</v>
      </c>
      <c r="AB1364" t="str">
        <f>_xlfn.XLOOKUP(Table1[[#This Row],[JobSatisfaction]],Table14[JobSatisfaction],Table14[Id_JobSatisfaction])</f>
        <v>JS003</v>
      </c>
      <c r="AC1364">
        <v>3</v>
      </c>
      <c r="AD1364" t="str">
        <f>_xlfn.XLOOKUP(Table1[[#This Row],[JobSatisfaction]],Table14[JobSatisfaction],Table14[Deskripsi])</f>
        <v>High</v>
      </c>
      <c r="AE1364" t="str">
        <f>_xlfn.XLOOKUP(Table1[[#This Row],[MaritalStatus]],Table15[MaritalStatus],Table15[Id_MaritalStatus])</f>
        <v>MS001</v>
      </c>
      <c r="AF1364" t="s">
        <v>55</v>
      </c>
      <c r="AG1364">
        <v>5399</v>
      </c>
      <c r="AH1364">
        <v>14511</v>
      </c>
      <c r="AI1364">
        <v>4</v>
      </c>
      <c r="AJ1364" t="str">
        <f>_xlfn.XLOOKUP(Table1[[#This Row],[OverTime]],Table16[OverTime],Table16[Id_OverTime])</f>
        <v>OT002</v>
      </c>
      <c r="AK1364" t="s">
        <v>33</v>
      </c>
      <c r="AL1364">
        <v>12</v>
      </c>
      <c r="AM1364" t="str">
        <f>_xlfn.XLOOKUP(Table1[[#This Row],[PerformanceRating]],Table17[PerformanceRating],Table17[Id_PerformanceRating])</f>
        <v>PR003</v>
      </c>
      <c r="AN1364">
        <v>3</v>
      </c>
      <c r="AO1364" t="str">
        <f>_xlfn.XLOOKUP(Table1[[#This Row],[PerformanceRating]],Table17[PerformanceRating],Table17[Deskripsi])</f>
        <v>Excellent</v>
      </c>
      <c r="AP1364" t="str">
        <f>_xlfn.XLOOKUP(Table1[[#This Row],[RelationshipSatisfaction]],Table18[RelationshipSatisfaction],Table18[Id_RelationshipSatisfaction])</f>
        <v>RS003</v>
      </c>
      <c r="AQ1364">
        <v>3</v>
      </c>
      <c r="AR1364" t="str">
        <f>_xlfn.XLOOKUP(Table1[[#This Row],[RelationshipSatisfaction]],Table18[RelationshipSatisfaction],Table18[Deskripsi])</f>
        <v>High</v>
      </c>
      <c r="AS1364" t="str">
        <f>_xlfn.XLOOKUP(Table1[[#This Row],[StockOptionLevel]],Table19[StockOptionLevel],Table19[Id_StockOptionLevel])</f>
        <v>SOL001</v>
      </c>
      <c r="AT1364">
        <v>0</v>
      </c>
      <c r="AU1364" t="str">
        <f>_xlfn.XLOOKUP(Table1[[#This Row],[StockOptionLevel]],Table19[StockOptionLevel],Table19[Deskripsi])</f>
        <v>Non-Eligible</v>
      </c>
      <c r="AV1364">
        <v>12</v>
      </c>
      <c r="AW1364">
        <v>3</v>
      </c>
      <c r="AX1364" t="str">
        <f>_xlfn.XLOOKUP(Table1[[#This Row],[WorkLifeBalance]],Table20[WorkLifeBalance],Table20[Id_WorkLifeBalance])</f>
        <v>WLB002</v>
      </c>
      <c r="AY1364">
        <v>3</v>
      </c>
      <c r="AZ1364" t="str">
        <f>_xlfn.XLOOKUP(Table1[[#This Row],[WorkLifeBalance]],Table20[WorkLifeBalance],Table20[Deskripsi])</f>
        <v>Good</v>
      </c>
      <c r="BA1364">
        <v>4</v>
      </c>
      <c r="BB1364">
        <v>2</v>
      </c>
      <c r="BC1364">
        <v>0</v>
      </c>
      <c r="BD1364">
        <v>3</v>
      </c>
    </row>
    <row r="1365" spans="1:56" x14ac:dyDescent="0.25">
      <c r="A1365">
        <v>33</v>
      </c>
      <c r="B1365" t="str">
        <f>_xlfn.XLOOKUP(Table1[[#This Row],[Attrition]],Table2[Attrition],Table2[Id_Attrition])</f>
        <v>A002</v>
      </c>
      <c r="C1365" t="s">
        <v>33</v>
      </c>
      <c r="D1365" t="str">
        <f>_xlfn.XLOOKUP(Table1[[#This Row],[BusinessTravel]],Table5[BusinessTravel],Table5[Id_BusinessTravel])</f>
        <v>BS001</v>
      </c>
      <c r="E1365" t="s">
        <v>34</v>
      </c>
      <c r="F1365">
        <v>217</v>
      </c>
      <c r="G1365" t="str">
        <f>_xlfn.XLOOKUP(Table1[[#This Row],[Department]],Table6[Department],Table6[Id_Departement])</f>
        <v>D001</v>
      </c>
      <c r="H1365" t="s">
        <v>37</v>
      </c>
      <c r="I1365">
        <v>10</v>
      </c>
      <c r="J1365" t="str">
        <f>_xlfn.XLOOKUP(Table1[[#This Row],[Education]],Table8[Education],Table8[Id_Education])</f>
        <v>E004</v>
      </c>
      <c r="K1365">
        <v>4</v>
      </c>
      <c r="L1365" t="str">
        <f>_xlfn.XLOOKUP(Table1[[#This Row],[EducationField]],Table7[EducationField],Table7[Id_EducationField])</f>
        <v>EF004</v>
      </c>
      <c r="M1365" t="s">
        <v>43</v>
      </c>
      <c r="N1365" t="str">
        <f>_xlfn.XLOOKUP(Table1[[#This Row],[EmployeeNumber]],Table4[EmployeeNumber],Table4[Id_Employee])</f>
        <v>EMP01364</v>
      </c>
      <c r="O1365">
        <v>1924</v>
      </c>
      <c r="P1365" t="str">
        <f>_xlfn.XLOOKUP(Table1[[#This Row],[EnvironmentSatisfaction]],Table9[EnvironmentSatisfaction],Table9[Id_EnviromentSatisfaction])</f>
        <v>ES002</v>
      </c>
      <c r="Q1365">
        <v>2</v>
      </c>
      <c r="R1365" t="str">
        <f>_xlfn.XLOOKUP(Table1[[#This Row],[EnvironmentSatisfaction]],Table9[EnvironmentSatisfaction],Table9[Deskripsi])</f>
        <v>Medium</v>
      </c>
      <c r="S1365" t="str">
        <f>_xlfn.XLOOKUP(Table1[[#This Row],[Gender]],Table10[Gender],Table10[Id_Gender])</f>
        <v>G002</v>
      </c>
      <c r="T1365" t="s">
        <v>46</v>
      </c>
      <c r="U1365">
        <v>43</v>
      </c>
      <c r="V1365" t="str">
        <f>_xlfn.XLOOKUP(Table1[[#This Row],[JobInvolvement]],Table11[JobInvolvement],Table11[Id_JobInvolvement])</f>
        <v>JI003</v>
      </c>
      <c r="W1365">
        <v>3</v>
      </c>
      <c r="X1365" t="str">
        <f>_xlfn.XLOOKUP(Table1[[#This Row],[JobLevel]],Table12[JobLevel],Table12[Id_JobLevel])</f>
        <v>JL002</v>
      </c>
      <c r="Y1365">
        <v>2</v>
      </c>
      <c r="Z1365" t="str">
        <f>_xlfn.XLOOKUP(Table1[[#This Row],[JobRole]],Table13[JobRole],Table13[Id_JobRole])</f>
        <v>JR001</v>
      </c>
      <c r="AA1365" t="s">
        <v>47</v>
      </c>
      <c r="AB1365" t="str">
        <f>_xlfn.XLOOKUP(Table1[[#This Row],[JobSatisfaction]],Table14[JobSatisfaction],Table14[Id_JobSatisfaction])</f>
        <v>JS003</v>
      </c>
      <c r="AC1365">
        <v>3</v>
      </c>
      <c r="AD1365" t="str">
        <f>_xlfn.XLOOKUP(Table1[[#This Row],[JobSatisfaction]],Table14[JobSatisfaction],Table14[Deskripsi])</f>
        <v>High</v>
      </c>
      <c r="AE1365" t="str">
        <f>_xlfn.XLOOKUP(Table1[[#This Row],[MaritalStatus]],Table15[MaritalStatus],Table15[Id_MaritalStatus])</f>
        <v>MS001</v>
      </c>
      <c r="AF1365" t="s">
        <v>55</v>
      </c>
      <c r="AG1365">
        <v>5487</v>
      </c>
      <c r="AH1365">
        <v>10410</v>
      </c>
      <c r="AI1365">
        <v>1</v>
      </c>
      <c r="AJ1365" t="str">
        <f>_xlfn.XLOOKUP(Table1[[#This Row],[OverTime]],Table16[OverTime],Table16[Id_OverTime])</f>
        <v>OT002</v>
      </c>
      <c r="AK1365" t="s">
        <v>33</v>
      </c>
      <c r="AL1365">
        <v>14</v>
      </c>
      <c r="AM1365" t="str">
        <f>_xlfn.XLOOKUP(Table1[[#This Row],[PerformanceRating]],Table17[PerformanceRating],Table17[Id_PerformanceRating])</f>
        <v>PR003</v>
      </c>
      <c r="AN1365">
        <v>3</v>
      </c>
      <c r="AO1365" t="str">
        <f>_xlfn.XLOOKUP(Table1[[#This Row],[PerformanceRating]],Table17[PerformanceRating],Table17[Deskripsi])</f>
        <v>Excellent</v>
      </c>
      <c r="AP1365" t="str">
        <f>_xlfn.XLOOKUP(Table1[[#This Row],[RelationshipSatisfaction]],Table18[RelationshipSatisfaction],Table18[Id_RelationshipSatisfaction])</f>
        <v>RS002</v>
      </c>
      <c r="AQ1365">
        <v>2</v>
      </c>
      <c r="AR1365" t="str">
        <f>_xlfn.XLOOKUP(Table1[[#This Row],[RelationshipSatisfaction]],Table18[RelationshipSatisfaction],Table18[Deskripsi])</f>
        <v>Medium</v>
      </c>
      <c r="AS1365" t="str">
        <f>_xlfn.XLOOKUP(Table1[[#This Row],[StockOptionLevel]],Table19[StockOptionLevel],Table19[Id_StockOptionLevel])</f>
        <v>SOL001</v>
      </c>
      <c r="AT1365">
        <v>0</v>
      </c>
      <c r="AU1365" t="str">
        <f>_xlfn.XLOOKUP(Table1[[#This Row],[StockOptionLevel]],Table19[StockOptionLevel],Table19[Deskripsi])</f>
        <v>Non-Eligible</v>
      </c>
      <c r="AV1365">
        <v>10</v>
      </c>
      <c r="AW1365">
        <v>2</v>
      </c>
      <c r="AX1365" t="str">
        <f>_xlfn.XLOOKUP(Table1[[#This Row],[WorkLifeBalance]],Table20[WorkLifeBalance],Table20[Id_WorkLifeBalance])</f>
        <v>WLB003</v>
      </c>
      <c r="AY1365">
        <v>2</v>
      </c>
      <c r="AZ1365" t="str">
        <f>_xlfn.XLOOKUP(Table1[[#This Row],[WorkLifeBalance]],Table20[WorkLifeBalance],Table20[Deskripsi])</f>
        <v>Better</v>
      </c>
      <c r="BA1365">
        <v>10</v>
      </c>
      <c r="BB1365">
        <v>4</v>
      </c>
      <c r="BC1365">
        <v>0</v>
      </c>
      <c r="BD1365">
        <v>9</v>
      </c>
    </row>
    <row r="1366" spans="1:56" x14ac:dyDescent="0.25">
      <c r="A1366">
        <v>28</v>
      </c>
      <c r="B1366" t="str">
        <f>_xlfn.XLOOKUP(Table1[[#This Row],[Attrition]],Table2[Attrition],Table2[Id_Attrition])</f>
        <v>A002</v>
      </c>
      <c r="C1366" t="s">
        <v>33</v>
      </c>
      <c r="D1366" t="str">
        <f>_xlfn.XLOOKUP(Table1[[#This Row],[BusinessTravel]],Table5[BusinessTravel],Table5[Id_BusinessTravel])</f>
        <v>BS002</v>
      </c>
      <c r="E1366" t="s">
        <v>35</v>
      </c>
      <c r="F1366">
        <v>783</v>
      </c>
      <c r="G1366" t="str">
        <f>_xlfn.XLOOKUP(Table1[[#This Row],[Department]],Table6[Department],Table6[Id_Departement])</f>
        <v>D001</v>
      </c>
      <c r="H1366" t="s">
        <v>37</v>
      </c>
      <c r="I1366">
        <v>1</v>
      </c>
      <c r="J1366" t="str">
        <f>_xlfn.XLOOKUP(Table1[[#This Row],[Education]],Table8[Education],Table8[Id_Education])</f>
        <v>E002</v>
      </c>
      <c r="K1366">
        <v>2</v>
      </c>
      <c r="L1366" t="str">
        <f>_xlfn.XLOOKUP(Table1[[#This Row],[EducationField]],Table7[EducationField],Table7[Id_EducationField])</f>
        <v>EF001</v>
      </c>
      <c r="M1366" t="s">
        <v>40</v>
      </c>
      <c r="N1366" t="str">
        <f>_xlfn.XLOOKUP(Table1[[#This Row],[EmployeeNumber]],Table4[EmployeeNumber],Table4[Id_Employee])</f>
        <v>EMP01365</v>
      </c>
      <c r="O1366">
        <v>1927</v>
      </c>
      <c r="P1366" t="str">
        <f>_xlfn.XLOOKUP(Table1[[#This Row],[EnvironmentSatisfaction]],Table9[EnvironmentSatisfaction],Table9[Id_EnviromentSatisfaction])</f>
        <v>ES003</v>
      </c>
      <c r="Q1366">
        <v>3</v>
      </c>
      <c r="R1366" t="str">
        <f>_xlfn.XLOOKUP(Table1[[#This Row],[EnvironmentSatisfaction]],Table9[EnvironmentSatisfaction],Table9[Deskripsi])</f>
        <v>High</v>
      </c>
      <c r="S1366" t="str">
        <f>_xlfn.XLOOKUP(Table1[[#This Row],[Gender]],Table10[Gender],Table10[Id_Gender])</f>
        <v>G002</v>
      </c>
      <c r="T1366" t="s">
        <v>46</v>
      </c>
      <c r="U1366">
        <v>42</v>
      </c>
      <c r="V1366" t="str">
        <f>_xlfn.XLOOKUP(Table1[[#This Row],[JobInvolvement]],Table11[JobInvolvement],Table11[Id_JobInvolvement])</f>
        <v>JI002</v>
      </c>
      <c r="W1366">
        <v>2</v>
      </c>
      <c r="X1366" t="str">
        <f>_xlfn.XLOOKUP(Table1[[#This Row],[JobLevel]],Table12[JobLevel],Table12[Id_JobLevel])</f>
        <v>JL002</v>
      </c>
      <c r="Y1366">
        <v>2</v>
      </c>
      <c r="Z1366" t="str">
        <f>_xlfn.XLOOKUP(Table1[[#This Row],[JobRole]],Table13[JobRole],Table13[Id_JobRole])</f>
        <v>JR001</v>
      </c>
      <c r="AA1366" t="s">
        <v>47</v>
      </c>
      <c r="AB1366" t="str">
        <f>_xlfn.XLOOKUP(Table1[[#This Row],[JobSatisfaction]],Table14[JobSatisfaction],Table14[Id_JobSatisfaction])</f>
        <v>JS004</v>
      </c>
      <c r="AC1366">
        <v>4</v>
      </c>
      <c r="AD1366" t="str">
        <f>_xlfn.XLOOKUP(Table1[[#This Row],[JobSatisfaction]],Table14[JobSatisfaction],Table14[Deskripsi])</f>
        <v>Very High</v>
      </c>
      <c r="AE1366" t="str">
        <f>_xlfn.XLOOKUP(Table1[[#This Row],[MaritalStatus]],Table15[MaritalStatus],Table15[Id_MaritalStatus])</f>
        <v>MS002</v>
      </c>
      <c r="AF1366" t="s">
        <v>56</v>
      </c>
      <c r="AG1366">
        <v>6834</v>
      </c>
      <c r="AH1366">
        <v>19255</v>
      </c>
      <c r="AI1366">
        <v>1</v>
      </c>
      <c r="AJ1366" t="str">
        <f>_xlfn.XLOOKUP(Table1[[#This Row],[OverTime]],Table16[OverTime],Table16[Id_OverTime])</f>
        <v>OT001</v>
      </c>
      <c r="AK1366" t="s">
        <v>32</v>
      </c>
      <c r="AL1366">
        <v>12</v>
      </c>
      <c r="AM1366" t="str">
        <f>_xlfn.XLOOKUP(Table1[[#This Row],[PerformanceRating]],Table17[PerformanceRating],Table17[Id_PerformanceRating])</f>
        <v>PR003</v>
      </c>
      <c r="AN1366">
        <v>3</v>
      </c>
      <c r="AO1366" t="str">
        <f>_xlfn.XLOOKUP(Table1[[#This Row],[PerformanceRating]],Table17[PerformanceRating],Table17[Deskripsi])</f>
        <v>Excellent</v>
      </c>
      <c r="AP1366" t="str">
        <f>_xlfn.XLOOKUP(Table1[[#This Row],[RelationshipSatisfaction]],Table18[RelationshipSatisfaction],Table18[Id_RelationshipSatisfaction])</f>
        <v>RS003</v>
      </c>
      <c r="AQ1366">
        <v>3</v>
      </c>
      <c r="AR1366" t="str">
        <f>_xlfn.XLOOKUP(Table1[[#This Row],[RelationshipSatisfaction]],Table18[RelationshipSatisfaction],Table18[Deskripsi])</f>
        <v>High</v>
      </c>
      <c r="AS1366" t="str">
        <f>_xlfn.XLOOKUP(Table1[[#This Row],[StockOptionLevel]],Table19[StockOptionLevel],Table19[Id_StockOptionLevel])</f>
        <v>SOL002</v>
      </c>
      <c r="AT1366">
        <v>1</v>
      </c>
      <c r="AU1366" t="str">
        <f>_xlfn.XLOOKUP(Table1[[#This Row],[StockOptionLevel]],Table19[StockOptionLevel],Table19[Deskripsi])</f>
        <v>Standard</v>
      </c>
      <c r="AV1366">
        <v>7</v>
      </c>
      <c r="AW1366">
        <v>2</v>
      </c>
      <c r="AX1366" t="str">
        <f>_xlfn.XLOOKUP(Table1[[#This Row],[WorkLifeBalance]],Table20[WorkLifeBalance],Table20[Id_WorkLifeBalance])</f>
        <v>WLB002</v>
      </c>
      <c r="AY1366">
        <v>3</v>
      </c>
      <c r="AZ1366" t="str">
        <f>_xlfn.XLOOKUP(Table1[[#This Row],[WorkLifeBalance]],Table20[WorkLifeBalance],Table20[Deskripsi])</f>
        <v>Good</v>
      </c>
      <c r="BA1366">
        <v>7</v>
      </c>
      <c r="BB1366">
        <v>7</v>
      </c>
      <c r="BC1366">
        <v>0</v>
      </c>
      <c r="BD1366">
        <v>7</v>
      </c>
    </row>
    <row r="1367" spans="1:56" x14ac:dyDescent="0.25">
      <c r="A1367">
        <v>29</v>
      </c>
      <c r="B1367" t="str">
        <f>_xlfn.XLOOKUP(Table1[[#This Row],[Attrition]],Table2[Attrition],Table2[Id_Attrition])</f>
        <v>A001</v>
      </c>
      <c r="C1367" t="s">
        <v>32</v>
      </c>
      <c r="D1367" t="str">
        <f>_xlfn.XLOOKUP(Table1[[#This Row],[BusinessTravel]],Table5[BusinessTravel],Table5[Id_BusinessTravel])</f>
        <v>BS002</v>
      </c>
      <c r="E1367" t="s">
        <v>35</v>
      </c>
      <c r="F1367">
        <v>746</v>
      </c>
      <c r="G1367" t="str">
        <f>_xlfn.XLOOKUP(Table1[[#This Row],[Department]],Table6[Department],Table6[Id_Departement])</f>
        <v>D001</v>
      </c>
      <c r="H1367" t="s">
        <v>37</v>
      </c>
      <c r="I1367">
        <v>24</v>
      </c>
      <c r="J1367" t="str">
        <f>_xlfn.XLOOKUP(Table1[[#This Row],[Education]],Table8[Education],Table8[Id_Education])</f>
        <v>E003</v>
      </c>
      <c r="K1367">
        <v>3</v>
      </c>
      <c r="L1367" t="str">
        <f>_xlfn.XLOOKUP(Table1[[#This Row],[EducationField]],Table7[EducationField],Table7[Id_EducationField])</f>
        <v>EF005</v>
      </c>
      <c r="M1367" t="s">
        <v>44</v>
      </c>
      <c r="N1367" t="str">
        <f>_xlfn.XLOOKUP(Table1[[#This Row],[EmployeeNumber]],Table4[EmployeeNumber],Table4[Id_Employee])</f>
        <v>EMP01366</v>
      </c>
      <c r="O1367">
        <v>1928</v>
      </c>
      <c r="P1367" t="str">
        <f>_xlfn.XLOOKUP(Table1[[#This Row],[EnvironmentSatisfaction]],Table9[EnvironmentSatisfaction],Table9[Id_EnviromentSatisfaction])</f>
        <v>ES003</v>
      </c>
      <c r="Q1367">
        <v>3</v>
      </c>
      <c r="R1367" t="str">
        <f>_xlfn.XLOOKUP(Table1[[#This Row],[EnvironmentSatisfaction]],Table9[EnvironmentSatisfaction],Table9[Deskripsi])</f>
        <v>High</v>
      </c>
      <c r="S1367" t="str">
        <f>_xlfn.XLOOKUP(Table1[[#This Row],[Gender]],Table10[Gender],Table10[Id_Gender])</f>
        <v>G002</v>
      </c>
      <c r="T1367" t="s">
        <v>46</v>
      </c>
      <c r="U1367">
        <v>45</v>
      </c>
      <c r="V1367" t="str">
        <f>_xlfn.XLOOKUP(Table1[[#This Row],[JobInvolvement]],Table11[JobInvolvement],Table11[Id_JobInvolvement])</f>
        <v>JI004</v>
      </c>
      <c r="W1367">
        <v>4</v>
      </c>
      <c r="X1367" t="str">
        <f>_xlfn.XLOOKUP(Table1[[#This Row],[JobLevel]],Table12[JobLevel],Table12[Id_JobLevel])</f>
        <v>JL001</v>
      </c>
      <c r="Y1367">
        <v>1</v>
      </c>
      <c r="Z1367" t="str">
        <f>_xlfn.XLOOKUP(Table1[[#This Row],[JobRole]],Table13[JobRole],Table13[Id_JobRole])</f>
        <v>JR007</v>
      </c>
      <c r="AA1367" t="s">
        <v>53</v>
      </c>
      <c r="AB1367" t="str">
        <f>_xlfn.XLOOKUP(Table1[[#This Row],[JobSatisfaction]],Table14[JobSatisfaction],Table14[Id_JobSatisfaction])</f>
        <v>JS001</v>
      </c>
      <c r="AC1367">
        <v>1</v>
      </c>
      <c r="AD1367" t="str">
        <f>_xlfn.XLOOKUP(Table1[[#This Row],[JobSatisfaction]],Table14[JobSatisfaction],Table14[Deskripsi])</f>
        <v>Low</v>
      </c>
      <c r="AE1367" t="str">
        <f>_xlfn.XLOOKUP(Table1[[#This Row],[MaritalStatus]],Table15[MaritalStatus],Table15[Id_MaritalStatus])</f>
        <v>MS001</v>
      </c>
      <c r="AF1367" t="s">
        <v>55</v>
      </c>
      <c r="AG1367">
        <v>1091</v>
      </c>
      <c r="AH1367">
        <v>10642</v>
      </c>
      <c r="AI1367">
        <v>1</v>
      </c>
      <c r="AJ1367" t="str">
        <f>_xlfn.XLOOKUP(Table1[[#This Row],[OverTime]],Table16[OverTime],Table16[Id_OverTime])</f>
        <v>OT002</v>
      </c>
      <c r="AK1367" t="s">
        <v>33</v>
      </c>
      <c r="AL1367">
        <v>17</v>
      </c>
      <c r="AM1367" t="str">
        <f>_xlfn.XLOOKUP(Table1[[#This Row],[PerformanceRating]],Table17[PerformanceRating],Table17[Id_PerformanceRating])</f>
        <v>PR003</v>
      </c>
      <c r="AN1367">
        <v>3</v>
      </c>
      <c r="AO1367" t="str">
        <f>_xlfn.XLOOKUP(Table1[[#This Row],[PerformanceRating]],Table17[PerformanceRating],Table17[Deskripsi])</f>
        <v>Excellent</v>
      </c>
      <c r="AP1367" t="str">
        <f>_xlfn.XLOOKUP(Table1[[#This Row],[RelationshipSatisfaction]],Table18[RelationshipSatisfaction],Table18[Id_RelationshipSatisfaction])</f>
        <v>RS004</v>
      </c>
      <c r="AQ1367">
        <v>4</v>
      </c>
      <c r="AR1367" t="str">
        <f>_xlfn.XLOOKUP(Table1[[#This Row],[RelationshipSatisfaction]],Table18[RelationshipSatisfaction],Table18[Deskripsi])</f>
        <v>Very High</v>
      </c>
      <c r="AS1367" t="str">
        <f>_xlfn.XLOOKUP(Table1[[#This Row],[StockOptionLevel]],Table19[StockOptionLevel],Table19[Id_StockOptionLevel])</f>
        <v>SOL001</v>
      </c>
      <c r="AT1367">
        <v>0</v>
      </c>
      <c r="AU1367" t="str">
        <f>_xlfn.XLOOKUP(Table1[[#This Row],[StockOptionLevel]],Table19[StockOptionLevel],Table19[Deskripsi])</f>
        <v>Non-Eligible</v>
      </c>
      <c r="AV1367">
        <v>1</v>
      </c>
      <c r="AW1367">
        <v>3</v>
      </c>
      <c r="AX1367" t="str">
        <f>_xlfn.XLOOKUP(Table1[[#This Row],[WorkLifeBalance]],Table20[WorkLifeBalance],Table20[Id_WorkLifeBalance])</f>
        <v>WLB002</v>
      </c>
      <c r="AY1367">
        <v>3</v>
      </c>
      <c r="AZ1367" t="str">
        <f>_xlfn.XLOOKUP(Table1[[#This Row],[WorkLifeBalance]],Table20[WorkLifeBalance],Table20[Deskripsi])</f>
        <v>Good</v>
      </c>
      <c r="BA1367">
        <v>1</v>
      </c>
      <c r="BB1367">
        <v>0</v>
      </c>
      <c r="BC1367">
        <v>0</v>
      </c>
      <c r="BD1367">
        <v>0</v>
      </c>
    </row>
    <row r="1368" spans="1:56" x14ac:dyDescent="0.25">
      <c r="A1368">
        <v>39</v>
      </c>
      <c r="B1368" t="str">
        <f>_xlfn.XLOOKUP(Table1[[#This Row],[Attrition]],Table2[Attrition],Table2[Id_Attrition])</f>
        <v>A002</v>
      </c>
      <c r="C1368" t="s">
        <v>33</v>
      </c>
      <c r="D1368" t="str">
        <f>_xlfn.XLOOKUP(Table1[[#This Row],[BusinessTravel]],Table5[BusinessTravel],Table5[Id_BusinessTravel])</f>
        <v>BS003</v>
      </c>
      <c r="E1368" t="s">
        <v>36</v>
      </c>
      <c r="F1368">
        <v>1251</v>
      </c>
      <c r="G1368" t="str">
        <f>_xlfn.XLOOKUP(Table1[[#This Row],[Department]],Table6[Department],Table6[Id_Departement])</f>
        <v>D001</v>
      </c>
      <c r="H1368" t="s">
        <v>37</v>
      </c>
      <c r="I1368">
        <v>21</v>
      </c>
      <c r="J1368" t="str">
        <f>_xlfn.XLOOKUP(Table1[[#This Row],[Education]],Table8[Education],Table8[Id_Education])</f>
        <v>E004</v>
      </c>
      <c r="K1368">
        <v>4</v>
      </c>
      <c r="L1368" t="str">
        <f>_xlfn.XLOOKUP(Table1[[#This Row],[EducationField]],Table7[EducationField],Table7[Id_EducationField])</f>
        <v>EF001</v>
      </c>
      <c r="M1368" t="s">
        <v>40</v>
      </c>
      <c r="N1368" t="str">
        <f>_xlfn.XLOOKUP(Table1[[#This Row],[EmployeeNumber]],Table4[EmployeeNumber],Table4[Id_Employee])</f>
        <v>EMP01367</v>
      </c>
      <c r="O1368">
        <v>1929</v>
      </c>
      <c r="P1368" t="str">
        <f>_xlfn.XLOOKUP(Table1[[#This Row],[EnvironmentSatisfaction]],Table9[EnvironmentSatisfaction],Table9[Id_EnviromentSatisfaction])</f>
        <v>ES001</v>
      </c>
      <c r="Q1368">
        <v>1</v>
      </c>
      <c r="R1368" t="str">
        <f>_xlfn.XLOOKUP(Table1[[#This Row],[EnvironmentSatisfaction]],Table9[EnvironmentSatisfaction],Table9[Deskripsi])</f>
        <v>Low</v>
      </c>
      <c r="S1368" t="str">
        <f>_xlfn.XLOOKUP(Table1[[#This Row],[Gender]],Table10[Gender],Table10[Id_Gender])</f>
        <v>G001</v>
      </c>
      <c r="T1368" t="s">
        <v>45</v>
      </c>
      <c r="U1368">
        <v>32</v>
      </c>
      <c r="V1368" t="str">
        <f>_xlfn.XLOOKUP(Table1[[#This Row],[JobInvolvement]],Table11[JobInvolvement],Table11[Id_JobInvolvement])</f>
        <v>JI001</v>
      </c>
      <c r="W1368">
        <v>1</v>
      </c>
      <c r="X1368" t="str">
        <f>_xlfn.XLOOKUP(Table1[[#This Row],[JobLevel]],Table12[JobLevel],Table12[Id_JobLevel])</f>
        <v>JL002</v>
      </c>
      <c r="Y1368">
        <v>2</v>
      </c>
      <c r="Z1368" t="str">
        <f>_xlfn.XLOOKUP(Table1[[#This Row],[JobRole]],Table13[JobRole],Table13[Id_JobRole])</f>
        <v>JR001</v>
      </c>
      <c r="AA1368" t="s">
        <v>47</v>
      </c>
      <c r="AB1368" t="str">
        <f>_xlfn.XLOOKUP(Table1[[#This Row],[JobSatisfaction]],Table14[JobSatisfaction],Table14[Id_JobSatisfaction])</f>
        <v>JS003</v>
      </c>
      <c r="AC1368">
        <v>3</v>
      </c>
      <c r="AD1368" t="str">
        <f>_xlfn.XLOOKUP(Table1[[#This Row],[JobSatisfaction]],Table14[JobSatisfaction],Table14[Deskripsi])</f>
        <v>High</v>
      </c>
      <c r="AE1368" t="str">
        <f>_xlfn.XLOOKUP(Table1[[#This Row],[MaritalStatus]],Table15[MaritalStatus],Table15[Id_MaritalStatus])</f>
        <v>MS002</v>
      </c>
      <c r="AF1368" t="s">
        <v>56</v>
      </c>
      <c r="AG1368">
        <v>5736</v>
      </c>
      <c r="AH1368">
        <v>3987</v>
      </c>
      <c r="AI1368">
        <v>6</v>
      </c>
      <c r="AJ1368" t="str">
        <f>_xlfn.XLOOKUP(Table1[[#This Row],[OverTime]],Table16[OverTime],Table16[Id_OverTime])</f>
        <v>OT002</v>
      </c>
      <c r="AK1368" t="s">
        <v>33</v>
      </c>
      <c r="AL1368">
        <v>19</v>
      </c>
      <c r="AM1368" t="str">
        <f>_xlfn.XLOOKUP(Table1[[#This Row],[PerformanceRating]],Table17[PerformanceRating],Table17[Id_PerformanceRating])</f>
        <v>PR003</v>
      </c>
      <c r="AN1368">
        <v>3</v>
      </c>
      <c r="AO1368" t="str">
        <f>_xlfn.XLOOKUP(Table1[[#This Row],[PerformanceRating]],Table17[PerformanceRating],Table17[Deskripsi])</f>
        <v>Excellent</v>
      </c>
      <c r="AP1368" t="str">
        <f>_xlfn.XLOOKUP(Table1[[#This Row],[RelationshipSatisfaction]],Table18[RelationshipSatisfaction],Table18[Id_RelationshipSatisfaction])</f>
        <v>RS003</v>
      </c>
      <c r="AQ1368">
        <v>3</v>
      </c>
      <c r="AR1368" t="str">
        <f>_xlfn.XLOOKUP(Table1[[#This Row],[RelationshipSatisfaction]],Table18[RelationshipSatisfaction],Table18[Deskripsi])</f>
        <v>High</v>
      </c>
      <c r="AS1368" t="str">
        <f>_xlfn.XLOOKUP(Table1[[#This Row],[StockOptionLevel]],Table19[StockOptionLevel],Table19[Id_StockOptionLevel])</f>
        <v>SOL002</v>
      </c>
      <c r="AT1368">
        <v>1</v>
      </c>
      <c r="AU1368" t="str">
        <f>_xlfn.XLOOKUP(Table1[[#This Row],[StockOptionLevel]],Table19[StockOptionLevel],Table19[Deskripsi])</f>
        <v>Standard</v>
      </c>
      <c r="AV1368">
        <v>10</v>
      </c>
      <c r="AW1368">
        <v>1</v>
      </c>
      <c r="AX1368" t="str">
        <f>_xlfn.XLOOKUP(Table1[[#This Row],[WorkLifeBalance]],Table20[WorkLifeBalance],Table20[Id_WorkLifeBalance])</f>
        <v>WLB002</v>
      </c>
      <c r="AY1368">
        <v>3</v>
      </c>
      <c r="AZ1368" t="str">
        <f>_xlfn.XLOOKUP(Table1[[#This Row],[WorkLifeBalance]],Table20[WorkLifeBalance],Table20[Deskripsi])</f>
        <v>Good</v>
      </c>
      <c r="BA1368">
        <v>3</v>
      </c>
      <c r="BB1368">
        <v>2</v>
      </c>
      <c r="BC1368">
        <v>1</v>
      </c>
      <c r="BD1368">
        <v>2</v>
      </c>
    </row>
    <row r="1369" spans="1:56" x14ac:dyDescent="0.25">
      <c r="A1369">
        <v>27</v>
      </c>
      <c r="B1369" t="str">
        <f>_xlfn.XLOOKUP(Table1[[#This Row],[Attrition]],Table2[Attrition],Table2[Id_Attrition])</f>
        <v>A002</v>
      </c>
      <c r="C1369" t="s">
        <v>33</v>
      </c>
      <c r="D1369" t="str">
        <f>_xlfn.XLOOKUP(Table1[[#This Row],[BusinessTravel]],Table5[BusinessTravel],Table5[Id_BusinessTravel])</f>
        <v>BS001</v>
      </c>
      <c r="E1369" t="s">
        <v>34</v>
      </c>
      <c r="F1369">
        <v>1354</v>
      </c>
      <c r="G1369" t="str">
        <f>_xlfn.XLOOKUP(Table1[[#This Row],[Department]],Table6[Department],Table6[Id_Departement])</f>
        <v>D002</v>
      </c>
      <c r="H1369" t="s">
        <v>38</v>
      </c>
      <c r="I1369">
        <v>2</v>
      </c>
      <c r="J1369" t="str">
        <f>_xlfn.XLOOKUP(Table1[[#This Row],[Education]],Table8[Education],Table8[Id_Education])</f>
        <v>E004</v>
      </c>
      <c r="K1369">
        <v>4</v>
      </c>
      <c r="L1369" t="str">
        <f>_xlfn.XLOOKUP(Table1[[#This Row],[EducationField]],Table7[EducationField],Table7[Id_EducationField])</f>
        <v>EF005</v>
      </c>
      <c r="M1369" t="s">
        <v>44</v>
      </c>
      <c r="N1369" t="str">
        <f>_xlfn.XLOOKUP(Table1[[#This Row],[EmployeeNumber]],Table4[EmployeeNumber],Table4[Id_Employee])</f>
        <v>EMP01368</v>
      </c>
      <c r="O1369">
        <v>1931</v>
      </c>
      <c r="P1369" t="str">
        <f>_xlfn.XLOOKUP(Table1[[#This Row],[EnvironmentSatisfaction]],Table9[EnvironmentSatisfaction],Table9[Id_EnviromentSatisfaction])</f>
        <v>ES002</v>
      </c>
      <c r="Q1369">
        <v>2</v>
      </c>
      <c r="R1369" t="str">
        <f>_xlfn.XLOOKUP(Table1[[#This Row],[EnvironmentSatisfaction]],Table9[EnvironmentSatisfaction],Table9[Deskripsi])</f>
        <v>Medium</v>
      </c>
      <c r="S1369" t="str">
        <f>_xlfn.XLOOKUP(Table1[[#This Row],[Gender]],Table10[Gender],Table10[Id_Gender])</f>
        <v>G002</v>
      </c>
      <c r="T1369" t="s">
        <v>46</v>
      </c>
      <c r="U1369">
        <v>41</v>
      </c>
      <c r="V1369" t="str">
        <f>_xlfn.XLOOKUP(Table1[[#This Row],[JobInvolvement]],Table11[JobInvolvement],Table11[Id_JobInvolvement])</f>
        <v>JI003</v>
      </c>
      <c r="W1369">
        <v>3</v>
      </c>
      <c r="X1369" t="str">
        <f>_xlfn.XLOOKUP(Table1[[#This Row],[JobLevel]],Table12[JobLevel],Table12[Id_JobLevel])</f>
        <v>JL001</v>
      </c>
      <c r="Y1369">
        <v>1</v>
      </c>
      <c r="Z1369" t="str">
        <f>_xlfn.XLOOKUP(Table1[[#This Row],[JobRole]],Table13[JobRole],Table13[Id_JobRole])</f>
        <v>JR002</v>
      </c>
      <c r="AA1369" t="s">
        <v>48</v>
      </c>
      <c r="AB1369" t="str">
        <f>_xlfn.XLOOKUP(Table1[[#This Row],[JobSatisfaction]],Table14[JobSatisfaction],Table14[Id_JobSatisfaction])</f>
        <v>JS002</v>
      </c>
      <c r="AC1369">
        <v>2</v>
      </c>
      <c r="AD1369" t="str">
        <f>_xlfn.XLOOKUP(Table1[[#This Row],[JobSatisfaction]],Table14[JobSatisfaction],Table14[Deskripsi])</f>
        <v>Medium</v>
      </c>
      <c r="AE1369" t="str">
        <f>_xlfn.XLOOKUP(Table1[[#This Row],[MaritalStatus]],Table15[MaritalStatus],Table15[Id_MaritalStatus])</f>
        <v>MS002</v>
      </c>
      <c r="AF1369" t="s">
        <v>56</v>
      </c>
      <c r="AG1369">
        <v>2226</v>
      </c>
      <c r="AH1369">
        <v>6073</v>
      </c>
      <c r="AI1369">
        <v>1</v>
      </c>
      <c r="AJ1369" t="str">
        <f>_xlfn.XLOOKUP(Table1[[#This Row],[OverTime]],Table16[OverTime],Table16[Id_OverTime])</f>
        <v>OT002</v>
      </c>
      <c r="AK1369" t="s">
        <v>33</v>
      </c>
      <c r="AL1369">
        <v>11</v>
      </c>
      <c r="AM1369" t="str">
        <f>_xlfn.XLOOKUP(Table1[[#This Row],[PerformanceRating]],Table17[PerformanceRating],Table17[Id_PerformanceRating])</f>
        <v>PR003</v>
      </c>
      <c r="AN1369">
        <v>3</v>
      </c>
      <c r="AO1369" t="str">
        <f>_xlfn.XLOOKUP(Table1[[#This Row],[PerformanceRating]],Table17[PerformanceRating],Table17[Deskripsi])</f>
        <v>Excellent</v>
      </c>
      <c r="AP1369" t="str">
        <f>_xlfn.XLOOKUP(Table1[[#This Row],[RelationshipSatisfaction]],Table18[RelationshipSatisfaction],Table18[Id_RelationshipSatisfaction])</f>
        <v>RS003</v>
      </c>
      <c r="AQ1369">
        <v>3</v>
      </c>
      <c r="AR1369" t="str">
        <f>_xlfn.XLOOKUP(Table1[[#This Row],[RelationshipSatisfaction]],Table18[RelationshipSatisfaction],Table18[Deskripsi])</f>
        <v>High</v>
      </c>
      <c r="AS1369" t="str">
        <f>_xlfn.XLOOKUP(Table1[[#This Row],[StockOptionLevel]],Table19[StockOptionLevel],Table19[Id_StockOptionLevel])</f>
        <v>SOL002</v>
      </c>
      <c r="AT1369">
        <v>1</v>
      </c>
      <c r="AU1369" t="str">
        <f>_xlfn.XLOOKUP(Table1[[#This Row],[StockOptionLevel]],Table19[StockOptionLevel],Table19[Deskripsi])</f>
        <v>Standard</v>
      </c>
      <c r="AV1369">
        <v>6</v>
      </c>
      <c r="AW1369">
        <v>3</v>
      </c>
      <c r="AX1369" t="str">
        <f>_xlfn.XLOOKUP(Table1[[#This Row],[WorkLifeBalance]],Table20[WorkLifeBalance],Table20[Id_WorkLifeBalance])</f>
        <v>WLB003</v>
      </c>
      <c r="AY1369">
        <v>2</v>
      </c>
      <c r="AZ1369" t="str">
        <f>_xlfn.XLOOKUP(Table1[[#This Row],[WorkLifeBalance]],Table20[WorkLifeBalance],Table20[Deskripsi])</f>
        <v>Better</v>
      </c>
      <c r="BA1369">
        <v>5</v>
      </c>
      <c r="BB1369">
        <v>3</v>
      </c>
      <c r="BC1369">
        <v>1</v>
      </c>
      <c r="BD1369">
        <v>2</v>
      </c>
    </row>
    <row r="1370" spans="1:56" x14ac:dyDescent="0.25">
      <c r="A1370">
        <v>34</v>
      </c>
      <c r="B1370" t="str">
        <f>_xlfn.XLOOKUP(Table1[[#This Row],[Attrition]],Table2[Attrition],Table2[Id_Attrition])</f>
        <v>A002</v>
      </c>
      <c r="C1370" t="s">
        <v>33</v>
      </c>
      <c r="D1370" t="str">
        <f>_xlfn.XLOOKUP(Table1[[#This Row],[BusinessTravel]],Table5[BusinessTravel],Table5[Id_BusinessTravel])</f>
        <v>BS002</v>
      </c>
      <c r="E1370" t="s">
        <v>35</v>
      </c>
      <c r="F1370">
        <v>735</v>
      </c>
      <c r="G1370" t="str">
        <f>_xlfn.XLOOKUP(Table1[[#This Row],[Department]],Table6[Department],Table6[Id_Departement])</f>
        <v>D002</v>
      </c>
      <c r="H1370" t="s">
        <v>38</v>
      </c>
      <c r="I1370">
        <v>22</v>
      </c>
      <c r="J1370" t="str">
        <f>_xlfn.XLOOKUP(Table1[[#This Row],[Education]],Table8[Education],Table8[Id_Education])</f>
        <v>E004</v>
      </c>
      <c r="K1370">
        <v>4</v>
      </c>
      <c r="L1370" t="str">
        <f>_xlfn.XLOOKUP(Table1[[#This Row],[EducationField]],Table7[EducationField],Table7[Id_EducationField])</f>
        <v>EF002</v>
      </c>
      <c r="M1370" t="s">
        <v>41</v>
      </c>
      <c r="N1370" t="str">
        <f>_xlfn.XLOOKUP(Table1[[#This Row],[EmployeeNumber]],Table4[EmployeeNumber],Table4[Id_Employee])</f>
        <v>EMP01369</v>
      </c>
      <c r="O1370">
        <v>1932</v>
      </c>
      <c r="P1370" t="str">
        <f>_xlfn.XLOOKUP(Table1[[#This Row],[EnvironmentSatisfaction]],Table9[EnvironmentSatisfaction],Table9[Id_EnviromentSatisfaction])</f>
        <v>ES003</v>
      </c>
      <c r="Q1370">
        <v>3</v>
      </c>
      <c r="R1370" t="str">
        <f>_xlfn.XLOOKUP(Table1[[#This Row],[EnvironmentSatisfaction]],Table9[EnvironmentSatisfaction],Table9[Deskripsi])</f>
        <v>High</v>
      </c>
      <c r="S1370" t="str">
        <f>_xlfn.XLOOKUP(Table1[[#This Row],[Gender]],Table10[Gender],Table10[Id_Gender])</f>
        <v>G002</v>
      </c>
      <c r="T1370" t="s">
        <v>46</v>
      </c>
      <c r="U1370">
        <v>86</v>
      </c>
      <c r="V1370" t="str">
        <f>_xlfn.XLOOKUP(Table1[[#This Row],[JobInvolvement]],Table11[JobInvolvement],Table11[Id_JobInvolvement])</f>
        <v>JI002</v>
      </c>
      <c r="W1370">
        <v>2</v>
      </c>
      <c r="X1370" t="str">
        <f>_xlfn.XLOOKUP(Table1[[#This Row],[JobLevel]],Table12[JobLevel],Table12[Id_JobLevel])</f>
        <v>JL002</v>
      </c>
      <c r="Y1370">
        <v>2</v>
      </c>
      <c r="Z1370" t="str">
        <f>_xlfn.XLOOKUP(Table1[[#This Row],[JobRole]],Table13[JobRole],Table13[Id_JobRole])</f>
        <v>JR002</v>
      </c>
      <c r="AA1370" t="s">
        <v>48</v>
      </c>
      <c r="AB1370" t="str">
        <f>_xlfn.XLOOKUP(Table1[[#This Row],[JobSatisfaction]],Table14[JobSatisfaction],Table14[Id_JobSatisfaction])</f>
        <v>JS004</v>
      </c>
      <c r="AC1370">
        <v>4</v>
      </c>
      <c r="AD1370" t="str">
        <f>_xlfn.XLOOKUP(Table1[[#This Row],[JobSatisfaction]],Table14[JobSatisfaction],Table14[Deskripsi])</f>
        <v>Very High</v>
      </c>
      <c r="AE1370" t="str">
        <f>_xlfn.XLOOKUP(Table1[[#This Row],[MaritalStatus]],Table15[MaritalStatus],Table15[Id_MaritalStatus])</f>
        <v>MS002</v>
      </c>
      <c r="AF1370" t="s">
        <v>56</v>
      </c>
      <c r="AG1370">
        <v>5747</v>
      </c>
      <c r="AH1370">
        <v>26496</v>
      </c>
      <c r="AI1370">
        <v>1</v>
      </c>
      <c r="AJ1370" t="str">
        <f>_xlfn.XLOOKUP(Table1[[#This Row],[OverTime]],Table16[OverTime],Table16[Id_OverTime])</f>
        <v>OT001</v>
      </c>
      <c r="AK1370" t="s">
        <v>32</v>
      </c>
      <c r="AL1370">
        <v>15</v>
      </c>
      <c r="AM1370" t="str">
        <f>_xlfn.XLOOKUP(Table1[[#This Row],[PerformanceRating]],Table17[PerformanceRating],Table17[Id_PerformanceRating])</f>
        <v>PR003</v>
      </c>
      <c r="AN1370">
        <v>3</v>
      </c>
      <c r="AO1370" t="str">
        <f>_xlfn.XLOOKUP(Table1[[#This Row],[PerformanceRating]],Table17[PerformanceRating],Table17[Deskripsi])</f>
        <v>Excellent</v>
      </c>
      <c r="AP1370" t="str">
        <f>_xlfn.XLOOKUP(Table1[[#This Row],[RelationshipSatisfaction]],Table18[RelationshipSatisfaction],Table18[Id_RelationshipSatisfaction])</f>
        <v>RS002</v>
      </c>
      <c r="AQ1370">
        <v>2</v>
      </c>
      <c r="AR1370" t="str">
        <f>_xlfn.XLOOKUP(Table1[[#This Row],[RelationshipSatisfaction]],Table18[RelationshipSatisfaction],Table18[Deskripsi])</f>
        <v>Medium</v>
      </c>
      <c r="AS1370" t="str">
        <f>_xlfn.XLOOKUP(Table1[[#This Row],[StockOptionLevel]],Table19[StockOptionLevel],Table19[Id_StockOptionLevel])</f>
        <v>SOL001</v>
      </c>
      <c r="AT1370">
        <v>0</v>
      </c>
      <c r="AU1370" t="str">
        <f>_xlfn.XLOOKUP(Table1[[#This Row],[StockOptionLevel]],Table19[StockOptionLevel],Table19[Deskripsi])</f>
        <v>Non-Eligible</v>
      </c>
      <c r="AV1370">
        <v>16</v>
      </c>
      <c r="AW1370">
        <v>3</v>
      </c>
      <c r="AX1370" t="str">
        <f>_xlfn.XLOOKUP(Table1[[#This Row],[WorkLifeBalance]],Table20[WorkLifeBalance],Table20[Id_WorkLifeBalance])</f>
        <v>WLB002</v>
      </c>
      <c r="AY1370">
        <v>3</v>
      </c>
      <c r="AZ1370" t="str">
        <f>_xlfn.XLOOKUP(Table1[[#This Row],[WorkLifeBalance]],Table20[WorkLifeBalance],Table20[Deskripsi])</f>
        <v>Good</v>
      </c>
      <c r="BA1370">
        <v>15</v>
      </c>
      <c r="BB1370">
        <v>10</v>
      </c>
      <c r="BC1370">
        <v>6</v>
      </c>
      <c r="BD1370">
        <v>11</v>
      </c>
    </row>
    <row r="1371" spans="1:56" x14ac:dyDescent="0.25">
      <c r="A1371">
        <v>28</v>
      </c>
      <c r="B1371" t="str">
        <f>_xlfn.XLOOKUP(Table1[[#This Row],[Attrition]],Table2[Attrition],Table2[Id_Attrition])</f>
        <v>A001</v>
      </c>
      <c r="C1371" t="s">
        <v>32</v>
      </c>
      <c r="D1371" t="str">
        <f>_xlfn.XLOOKUP(Table1[[#This Row],[BusinessTravel]],Table5[BusinessTravel],Table5[Id_BusinessTravel])</f>
        <v>BS001</v>
      </c>
      <c r="E1371" t="s">
        <v>34</v>
      </c>
      <c r="F1371">
        <v>1475</v>
      </c>
      <c r="G1371" t="str">
        <f>_xlfn.XLOOKUP(Table1[[#This Row],[Department]],Table6[Department],Table6[Id_Departement])</f>
        <v>D001</v>
      </c>
      <c r="H1371" t="s">
        <v>37</v>
      </c>
      <c r="I1371">
        <v>13</v>
      </c>
      <c r="J1371" t="str">
        <f>_xlfn.XLOOKUP(Table1[[#This Row],[Education]],Table8[Education],Table8[Id_Education])</f>
        <v>E002</v>
      </c>
      <c r="K1371">
        <v>2</v>
      </c>
      <c r="L1371" t="str">
        <f>_xlfn.XLOOKUP(Table1[[#This Row],[EducationField]],Table7[EducationField],Table7[Id_EducationField])</f>
        <v>EF004</v>
      </c>
      <c r="M1371" t="s">
        <v>43</v>
      </c>
      <c r="N1371" t="str">
        <f>_xlfn.XLOOKUP(Table1[[#This Row],[EmployeeNumber]],Table4[EmployeeNumber],Table4[Id_Employee])</f>
        <v>EMP01370</v>
      </c>
      <c r="O1371">
        <v>1933</v>
      </c>
      <c r="P1371" t="str">
        <f>_xlfn.XLOOKUP(Table1[[#This Row],[EnvironmentSatisfaction]],Table9[EnvironmentSatisfaction],Table9[Id_EnviromentSatisfaction])</f>
        <v>ES004</v>
      </c>
      <c r="Q1371">
        <v>4</v>
      </c>
      <c r="R1371" t="str">
        <f>_xlfn.XLOOKUP(Table1[[#This Row],[EnvironmentSatisfaction]],Table9[EnvironmentSatisfaction],Table9[Deskripsi])</f>
        <v>Very High</v>
      </c>
      <c r="S1371" t="str">
        <f>_xlfn.XLOOKUP(Table1[[#This Row],[Gender]],Table10[Gender],Table10[Id_Gender])</f>
        <v>G001</v>
      </c>
      <c r="T1371" t="s">
        <v>45</v>
      </c>
      <c r="U1371">
        <v>84</v>
      </c>
      <c r="V1371" t="str">
        <f>_xlfn.XLOOKUP(Table1[[#This Row],[JobInvolvement]],Table11[JobInvolvement],Table11[Id_JobInvolvement])</f>
        <v>JI003</v>
      </c>
      <c r="W1371">
        <v>3</v>
      </c>
      <c r="X1371" t="str">
        <f>_xlfn.XLOOKUP(Table1[[#This Row],[JobLevel]],Table12[JobLevel],Table12[Id_JobLevel])</f>
        <v>JL002</v>
      </c>
      <c r="Y1371">
        <v>2</v>
      </c>
      <c r="Z1371" t="str">
        <f>_xlfn.XLOOKUP(Table1[[#This Row],[JobRole]],Table13[JobRole],Table13[Id_JobRole])</f>
        <v>JR001</v>
      </c>
      <c r="AA1371" t="s">
        <v>47</v>
      </c>
      <c r="AB1371" t="str">
        <f>_xlfn.XLOOKUP(Table1[[#This Row],[JobSatisfaction]],Table14[JobSatisfaction],Table14[Id_JobSatisfaction])</f>
        <v>JS003</v>
      </c>
      <c r="AC1371">
        <v>3</v>
      </c>
      <c r="AD1371" t="str">
        <f>_xlfn.XLOOKUP(Table1[[#This Row],[JobSatisfaction]],Table14[JobSatisfaction],Table14[Deskripsi])</f>
        <v>High</v>
      </c>
      <c r="AE1371" t="str">
        <f>_xlfn.XLOOKUP(Table1[[#This Row],[MaritalStatus]],Table15[MaritalStatus],Table15[Id_MaritalStatus])</f>
        <v>MS001</v>
      </c>
      <c r="AF1371" t="s">
        <v>55</v>
      </c>
      <c r="AG1371">
        <v>9854</v>
      </c>
      <c r="AH1371">
        <v>23352</v>
      </c>
      <c r="AI1371">
        <v>3</v>
      </c>
      <c r="AJ1371" t="str">
        <f>_xlfn.XLOOKUP(Table1[[#This Row],[OverTime]],Table16[OverTime],Table16[Id_OverTime])</f>
        <v>OT001</v>
      </c>
      <c r="AK1371" t="s">
        <v>32</v>
      </c>
      <c r="AL1371">
        <v>11</v>
      </c>
      <c r="AM1371" t="str">
        <f>_xlfn.XLOOKUP(Table1[[#This Row],[PerformanceRating]],Table17[PerformanceRating],Table17[Id_PerformanceRating])</f>
        <v>PR003</v>
      </c>
      <c r="AN1371">
        <v>3</v>
      </c>
      <c r="AO1371" t="str">
        <f>_xlfn.XLOOKUP(Table1[[#This Row],[PerformanceRating]],Table17[PerformanceRating],Table17[Deskripsi])</f>
        <v>Excellent</v>
      </c>
      <c r="AP1371" t="str">
        <f>_xlfn.XLOOKUP(Table1[[#This Row],[RelationshipSatisfaction]],Table18[RelationshipSatisfaction],Table18[Id_RelationshipSatisfaction])</f>
        <v>RS004</v>
      </c>
      <c r="AQ1371">
        <v>4</v>
      </c>
      <c r="AR1371" t="str">
        <f>_xlfn.XLOOKUP(Table1[[#This Row],[RelationshipSatisfaction]],Table18[RelationshipSatisfaction],Table18[Deskripsi])</f>
        <v>Very High</v>
      </c>
      <c r="AS1371" t="str">
        <f>_xlfn.XLOOKUP(Table1[[#This Row],[StockOptionLevel]],Table19[StockOptionLevel],Table19[Id_StockOptionLevel])</f>
        <v>SOL001</v>
      </c>
      <c r="AT1371">
        <v>0</v>
      </c>
      <c r="AU1371" t="str">
        <f>_xlfn.XLOOKUP(Table1[[#This Row],[StockOptionLevel]],Table19[StockOptionLevel],Table19[Deskripsi])</f>
        <v>Non-Eligible</v>
      </c>
      <c r="AV1371">
        <v>6</v>
      </c>
      <c r="AW1371">
        <v>0</v>
      </c>
      <c r="AX1371" t="str">
        <f>_xlfn.XLOOKUP(Table1[[#This Row],[WorkLifeBalance]],Table20[WorkLifeBalance],Table20[Id_WorkLifeBalance])</f>
        <v>WLB002</v>
      </c>
      <c r="AY1371">
        <v>3</v>
      </c>
      <c r="AZ1371" t="str">
        <f>_xlfn.XLOOKUP(Table1[[#This Row],[WorkLifeBalance]],Table20[WorkLifeBalance],Table20[Deskripsi])</f>
        <v>Good</v>
      </c>
      <c r="BA1371">
        <v>2</v>
      </c>
      <c r="BB1371">
        <v>0</v>
      </c>
      <c r="BC1371">
        <v>2</v>
      </c>
      <c r="BD1371">
        <v>2</v>
      </c>
    </row>
    <row r="1372" spans="1:56" x14ac:dyDescent="0.25">
      <c r="A1372">
        <v>47</v>
      </c>
      <c r="B1372" t="str">
        <f>_xlfn.XLOOKUP(Table1[[#This Row],[Attrition]],Table2[Attrition],Table2[Id_Attrition])</f>
        <v>A002</v>
      </c>
      <c r="C1372" t="s">
        <v>33</v>
      </c>
      <c r="D1372" t="str">
        <f>_xlfn.XLOOKUP(Table1[[#This Row],[BusinessTravel]],Table5[BusinessTravel],Table5[Id_BusinessTravel])</f>
        <v>BS003</v>
      </c>
      <c r="E1372" t="s">
        <v>36</v>
      </c>
      <c r="F1372">
        <v>1169</v>
      </c>
      <c r="G1372" t="str">
        <f>_xlfn.XLOOKUP(Table1[[#This Row],[Department]],Table6[Department],Table6[Id_Departement])</f>
        <v>D002</v>
      </c>
      <c r="H1372" t="s">
        <v>38</v>
      </c>
      <c r="I1372">
        <v>14</v>
      </c>
      <c r="J1372" t="str">
        <f>_xlfn.XLOOKUP(Table1[[#This Row],[Education]],Table8[Education],Table8[Id_Education])</f>
        <v>E004</v>
      </c>
      <c r="K1372">
        <v>4</v>
      </c>
      <c r="L1372" t="str">
        <f>_xlfn.XLOOKUP(Table1[[#This Row],[EducationField]],Table7[EducationField],Table7[Id_EducationField])</f>
        <v>EF005</v>
      </c>
      <c r="M1372" t="s">
        <v>44</v>
      </c>
      <c r="N1372" t="str">
        <f>_xlfn.XLOOKUP(Table1[[#This Row],[EmployeeNumber]],Table4[EmployeeNumber],Table4[Id_Employee])</f>
        <v>EMP01371</v>
      </c>
      <c r="O1372">
        <v>1934</v>
      </c>
      <c r="P1372" t="str">
        <f>_xlfn.XLOOKUP(Table1[[#This Row],[EnvironmentSatisfaction]],Table9[EnvironmentSatisfaction],Table9[Id_EnviromentSatisfaction])</f>
        <v>ES003</v>
      </c>
      <c r="Q1372">
        <v>3</v>
      </c>
      <c r="R1372" t="str">
        <f>_xlfn.XLOOKUP(Table1[[#This Row],[EnvironmentSatisfaction]],Table9[EnvironmentSatisfaction],Table9[Deskripsi])</f>
        <v>High</v>
      </c>
      <c r="S1372" t="str">
        <f>_xlfn.XLOOKUP(Table1[[#This Row],[Gender]],Table10[Gender],Table10[Id_Gender])</f>
        <v>G002</v>
      </c>
      <c r="T1372" t="s">
        <v>46</v>
      </c>
      <c r="U1372">
        <v>64</v>
      </c>
      <c r="V1372" t="str">
        <f>_xlfn.XLOOKUP(Table1[[#This Row],[JobInvolvement]],Table11[JobInvolvement],Table11[Id_JobInvolvement])</f>
        <v>JI003</v>
      </c>
      <c r="W1372">
        <v>3</v>
      </c>
      <c r="X1372" t="str">
        <f>_xlfn.XLOOKUP(Table1[[#This Row],[JobLevel]],Table12[JobLevel],Table12[Id_JobLevel])</f>
        <v>JL002</v>
      </c>
      <c r="Y1372">
        <v>2</v>
      </c>
      <c r="Z1372" t="str">
        <f>_xlfn.XLOOKUP(Table1[[#This Row],[JobRole]],Table13[JobRole],Table13[Id_JobRole])</f>
        <v>JR002</v>
      </c>
      <c r="AA1372" t="s">
        <v>48</v>
      </c>
      <c r="AB1372" t="str">
        <f>_xlfn.XLOOKUP(Table1[[#This Row],[JobSatisfaction]],Table14[JobSatisfaction],Table14[Id_JobSatisfaction])</f>
        <v>JS002</v>
      </c>
      <c r="AC1372">
        <v>2</v>
      </c>
      <c r="AD1372" t="str">
        <f>_xlfn.XLOOKUP(Table1[[#This Row],[JobSatisfaction]],Table14[JobSatisfaction],Table14[Deskripsi])</f>
        <v>Medium</v>
      </c>
      <c r="AE1372" t="str">
        <f>_xlfn.XLOOKUP(Table1[[#This Row],[MaritalStatus]],Table15[MaritalStatus],Table15[Id_MaritalStatus])</f>
        <v>MS002</v>
      </c>
      <c r="AF1372" t="s">
        <v>56</v>
      </c>
      <c r="AG1372">
        <v>5467</v>
      </c>
      <c r="AH1372">
        <v>2125</v>
      </c>
      <c r="AI1372">
        <v>8</v>
      </c>
      <c r="AJ1372" t="str">
        <f>_xlfn.XLOOKUP(Table1[[#This Row],[OverTime]],Table16[OverTime],Table16[Id_OverTime])</f>
        <v>OT002</v>
      </c>
      <c r="AK1372" t="s">
        <v>33</v>
      </c>
      <c r="AL1372">
        <v>18</v>
      </c>
      <c r="AM1372" t="str">
        <f>_xlfn.XLOOKUP(Table1[[#This Row],[PerformanceRating]],Table17[PerformanceRating],Table17[Id_PerformanceRating])</f>
        <v>PR003</v>
      </c>
      <c r="AN1372">
        <v>3</v>
      </c>
      <c r="AO1372" t="str">
        <f>_xlfn.XLOOKUP(Table1[[#This Row],[PerformanceRating]],Table17[PerformanceRating],Table17[Deskripsi])</f>
        <v>Excellent</v>
      </c>
      <c r="AP1372" t="str">
        <f>_xlfn.XLOOKUP(Table1[[#This Row],[RelationshipSatisfaction]],Table18[RelationshipSatisfaction],Table18[Id_RelationshipSatisfaction])</f>
        <v>RS003</v>
      </c>
      <c r="AQ1372">
        <v>3</v>
      </c>
      <c r="AR1372" t="str">
        <f>_xlfn.XLOOKUP(Table1[[#This Row],[RelationshipSatisfaction]],Table18[RelationshipSatisfaction],Table18[Deskripsi])</f>
        <v>High</v>
      </c>
      <c r="AS1372" t="str">
        <f>_xlfn.XLOOKUP(Table1[[#This Row],[StockOptionLevel]],Table19[StockOptionLevel],Table19[Id_StockOptionLevel])</f>
        <v>SOL002</v>
      </c>
      <c r="AT1372">
        <v>1</v>
      </c>
      <c r="AU1372" t="str">
        <f>_xlfn.XLOOKUP(Table1[[#This Row],[StockOptionLevel]],Table19[StockOptionLevel],Table19[Deskripsi])</f>
        <v>Standard</v>
      </c>
      <c r="AV1372">
        <v>16</v>
      </c>
      <c r="AW1372">
        <v>4</v>
      </c>
      <c r="AX1372" t="str">
        <f>_xlfn.XLOOKUP(Table1[[#This Row],[WorkLifeBalance]],Table20[WorkLifeBalance],Table20[Id_WorkLifeBalance])</f>
        <v>WLB004</v>
      </c>
      <c r="AY1372">
        <v>4</v>
      </c>
      <c r="AZ1372" t="str">
        <f>_xlfn.XLOOKUP(Table1[[#This Row],[WorkLifeBalance]],Table20[WorkLifeBalance],Table20[Deskripsi])</f>
        <v>Best</v>
      </c>
      <c r="BA1372">
        <v>8</v>
      </c>
      <c r="BB1372">
        <v>7</v>
      </c>
      <c r="BC1372">
        <v>1</v>
      </c>
      <c r="BD1372">
        <v>7</v>
      </c>
    </row>
    <row r="1373" spans="1:56" x14ac:dyDescent="0.25">
      <c r="A1373">
        <v>56</v>
      </c>
      <c r="B1373" t="str">
        <f>_xlfn.XLOOKUP(Table1[[#This Row],[Attrition]],Table2[Attrition],Table2[Id_Attrition])</f>
        <v>A002</v>
      </c>
      <c r="C1373" t="s">
        <v>33</v>
      </c>
      <c r="D1373" t="str">
        <f>_xlfn.XLOOKUP(Table1[[#This Row],[BusinessTravel]],Table5[BusinessTravel],Table5[Id_BusinessTravel])</f>
        <v>BS001</v>
      </c>
      <c r="E1373" t="s">
        <v>34</v>
      </c>
      <c r="F1373">
        <v>1443</v>
      </c>
      <c r="G1373" t="str">
        <f>_xlfn.XLOOKUP(Table1[[#This Row],[Department]],Table6[Department],Table6[Id_Departement])</f>
        <v>D001</v>
      </c>
      <c r="H1373" t="s">
        <v>37</v>
      </c>
      <c r="I1373">
        <v>11</v>
      </c>
      <c r="J1373" t="str">
        <f>_xlfn.XLOOKUP(Table1[[#This Row],[Education]],Table8[Education],Table8[Id_Education])</f>
        <v>E005</v>
      </c>
      <c r="K1373">
        <v>5</v>
      </c>
      <c r="L1373" t="str">
        <f>_xlfn.XLOOKUP(Table1[[#This Row],[EducationField]],Table7[EducationField],Table7[Id_EducationField])</f>
        <v>EF004</v>
      </c>
      <c r="M1373" t="s">
        <v>43</v>
      </c>
      <c r="N1373" t="str">
        <f>_xlfn.XLOOKUP(Table1[[#This Row],[EmployeeNumber]],Table4[EmployeeNumber],Table4[Id_Employee])</f>
        <v>EMP01372</v>
      </c>
      <c r="O1373">
        <v>1935</v>
      </c>
      <c r="P1373" t="str">
        <f>_xlfn.XLOOKUP(Table1[[#This Row],[EnvironmentSatisfaction]],Table9[EnvironmentSatisfaction],Table9[Id_EnviromentSatisfaction])</f>
        <v>ES004</v>
      </c>
      <c r="Q1373">
        <v>4</v>
      </c>
      <c r="R1373" t="str">
        <f>_xlfn.XLOOKUP(Table1[[#This Row],[EnvironmentSatisfaction]],Table9[EnvironmentSatisfaction],Table9[Deskripsi])</f>
        <v>Very High</v>
      </c>
      <c r="S1373" t="str">
        <f>_xlfn.XLOOKUP(Table1[[#This Row],[Gender]],Table10[Gender],Table10[Id_Gender])</f>
        <v>G001</v>
      </c>
      <c r="T1373" t="s">
        <v>45</v>
      </c>
      <c r="U1373">
        <v>89</v>
      </c>
      <c r="V1373" t="str">
        <f>_xlfn.XLOOKUP(Table1[[#This Row],[JobInvolvement]],Table11[JobInvolvement],Table11[Id_JobInvolvement])</f>
        <v>JI002</v>
      </c>
      <c r="W1373">
        <v>2</v>
      </c>
      <c r="X1373" t="str">
        <f>_xlfn.XLOOKUP(Table1[[#This Row],[JobLevel]],Table12[JobLevel],Table12[Id_JobLevel])</f>
        <v>JL002</v>
      </c>
      <c r="Y1373">
        <v>2</v>
      </c>
      <c r="Z1373" t="str">
        <f>_xlfn.XLOOKUP(Table1[[#This Row],[JobRole]],Table13[JobRole],Table13[Id_JobRole])</f>
        <v>JR001</v>
      </c>
      <c r="AA1373" t="s">
        <v>47</v>
      </c>
      <c r="AB1373" t="str">
        <f>_xlfn.XLOOKUP(Table1[[#This Row],[JobSatisfaction]],Table14[JobSatisfaction],Table14[Id_JobSatisfaction])</f>
        <v>JS001</v>
      </c>
      <c r="AC1373">
        <v>1</v>
      </c>
      <c r="AD1373" t="str">
        <f>_xlfn.XLOOKUP(Table1[[#This Row],[JobSatisfaction]],Table14[JobSatisfaction],Table14[Deskripsi])</f>
        <v>Low</v>
      </c>
      <c r="AE1373" t="str">
        <f>_xlfn.XLOOKUP(Table1[[#This Row],[MaritalStatus]],Table15[MaritalStatus],Table15[Id_MaritalStatus])</f>
        <v>MS002</v>
      </c>
      <c r="AF1373" t="s">
        <v>56</v>
      </c>
      <c r="AG1373">
        <v>5380</v>
      </c>
      <c r="AH1373">
        <v>20328</v>
      </c>
      <c r="AI1373">
        <v>4</v>
      </c>
      <c r="AJ1373" t="str">
        <f>_xlfn.XLOOKUP(Table1[[#This Row],[OverTime]],Table16[OverTime],Table16[Id_OverTime])</f>
        <v>OT002</v>
      </c>
      <c r="AK1373" t="s">
        <v>33</v>
      </c>
      <c r="AL1373">
        <v>16</v>
      </c>
      <c r="AM1373" t="str">
        <f>_xlfn.XLOOKUP(Table1[[#This Row],[PerformanceRating]],Table17[PerformanceRating],Table17[Id_PerformanceRating])</f>
        <v>PR003</v>
      </c>
      <c r="AN1373">
        <v>3</v>
      </c>
      <c r="AO1373" t="str">
        <f>_xlfn.XLOOKUP(Table1[[#This Row],[PerformanceRating]],Table17[PerformanceRating],Table17[Deskripsi])</f>
        <v>Excellent</v>
      </c>
      <c r="AP1373" t="str">
        <f>_xlfn.XLOOKUP(Table1[[#This Row],[RelationshipSatisfaction]],Table18[RelationshipSatisfaction],Table18[Id_RelationshipSatisfaction])</f>
        <v>RS003</v>
      </c>
      <c r="AQ1373">
        <v>3</v>
      </c>
      <c r="AR1373" t="str">
        <f>_xlfn.XLOOKUP(Table1[[#This Row],[RelationshipSatisfaction]],Table18[RelationshipSatisfaction],Table18[Deskripsi])</f>
        <v>High</v>
      </c>
      <c r="AS1373" t="str">
        <f>_xlfn.XLOOKUP(Table1[[#This Row],[StockOptionLevel]],Table19[StockOptionLevel],Table19[Id_StockOptionLevel])</f>
        <v>SOL002</v>
      </c>
      <c r="AT1373">
        <v>1</v>
      </c>
      <c r="AU1373" t="str">
        <f>_xlfn.XLOOKUP(Table1[[#This Row],[StockOptionLevel]],Table19[StockOptionLevel],Table19[Deskripsi])</f>
        <v>Standard</v>
      </c>
      <c r="AV1373">
        <v>6</v>
      </c>
      <c r="AW1373">
        <v>3</v>
      </c>
      <c r="AX1373" t="str">
        <f>_xlfn.XLOOKUP(Table1[[#This Row],[WorkLifeBalance]],Table20[WorkLifeBalance],Table20[Id_WorkLifeBalance])</f>
        <v>WLB002</v>
      </c>
      <c r="AY1373">
        <v>3</v>
      </c>
      <c r="AZ1373" t="str">
        <f>_xlfn.XLOOKUP(Table1[[#This Row],[WorkLifeBalance]],Table20[WorkLifeBalance],Table20[Deskripsi])</f>
        <v>Good</v>
      </c>
      <c r="BA1373">
        <v>0</v>
      </c>
      <c r="BB1373">
        <v>0</v>
      </c>
      <c r="BC1373">
        <v>0</v>
      </c>
      <c r="BD1373">
        <v>0</v>
      </c>
    </row>
    <row r="1374" spans="1:56" x14ac:dyDescent="0.25">
      <c r="A1374">
        <v>39</v>
      </c>
      <c r="B1374" t="str">
        <f>_xlfn.XLOOKUP(Table1[[#This Row],[Attrition]],Table2[Attrition],Table2[Id_Attrition])</f>
        <v>A002</v>
      </c>
      <c r="C1374" t="s">
        <v>33</v>
      </c>
      <c r="D1374" t="str">
        <f>_xlfn.XLOOKUP(Table1[[#This Row],[BusinessTravel]],Table5[BusinessTravel],Table5[Id_BusinessTravel])</f>
        <v>BS001</v>
      </c>
      <c r="E1374" t="s">
        <v>34</v>
      </c>
      <c r="F1374">
        <v>867</v>
      </c>
      <c r="G1374" t="str">
        <f>_xlfn.XLOOKUP(Table1[[#This Row],[Department]],Table6[Department],Table6[Id_Departement])</f>
        <v>D002</v>
      </c>
      <c r="H1374" t="s">
        <v>38</v>
      </c>
      <c r="I1374">
        <v>9</v>
      </c>
      <c r="J1374" t="str">
        <f>_xlfn.XLOOKUP(Table1[[#This Row],[Education]],Table8[Education],Table8[Id_Education])</f>
        <v>E002</v>
      </c>
      <c r="K1374">
        <v>2</v>
      </c>
      <c r="L1374" t="str">
        <f>_xlfn.XLOOKUP(Table1[[#This Row],[EducationField]],Table7[EducationField],Table7[Id_EducationField])</f>
        <v>EF003</v>
      </c>
      <c r="M1374" t="s">
        <v>42</v>
      </c>
      <c r="N1374" t="str">
        <f>_xlfn.XLOOKUP(Table1[[#This Row],[EmployeeNumber]],Table4[EmployeeNumber],Table4[Id_Employee])</f>
        <v>EMP01373</v>
      </c>
      <c r="O1374">
        <v>1936</v>
      </c>
      <c r="P1374" t="str">
        <f>_xlfn.XLOOKUP(Table1[[#This Row],[EnvironmentSatisfaction]],Table9[EnvironmentSatisfaction],Table9[Id_EnviromentSatisfaction])</f>
        <v>ES001</v>
      </c>
      <c r="Q1374">
        <v>1</v>
      </c>
      <c r="R1374" t="str">
        <f>_xlfn.XLOOKUP(Table1[[#This Row],[EnvironmentSatisfaction]],Table9[EnvironmentSatisfaction],Table9[Deskripsi])</f>
        <v>Low</v>
      </c>
      <c r="S1374" t="str">
        <f>_xlfn.XLOOKUP(Table1[[#This Row],[Gender]],Table10[Gender],Table10[Id_Gender])</f>
        <v>G002</v>
      </c>
      <c r="T1374" t="s">
        <v>46</v>
      </c>
      <c r="U1374">
        <v>87</v>
      </c>
      <c r="V1374" t="str">
        <f>_xlfn.XLOOKUP(Table1[[#This Row],[JobInvolvement]],Table11[JobInvolvement],Table11[Id_JobInvolvement])</f>
        <v>JI003</v>
      </c>
      <c r="W1374">
        <v>3</v>
      </c>
      <c r="X1374" t="str">
        <f>_xlfn.XLOOKUP(Table1[[#This Row],[JobLevel]],Table12[JobLevel],Table12[Id_JobLevel])</f>
        <v>JL002</v>
      </c>
      <c r="Y1374">
        <v>2</v>
      </c>
      <c r="Z1374" t="str">
        <f>_xlfn.XLOOKUP(Table1[[#This Row],[JobRole]],Table13[JobRole],Table13[Id_JobRole])</f>
        <v>JR004</v>
      </c>
      <c r="AA1374" t="s">
        <v>50</v>
      </c>
      <c r="AB1374" t="str">
        <f>_xlfn.XLOOKUP(Table1[[#This Row],[JobSatisfaction]],Table14[JobSatisfaction],Table14[Id_JobSatisfaction])</f>
        <v>JS001</v>
      </c>
      <c r="AC1374">
        <v>1</v>
      </c>
      <c r="AD1374" t="str">
        <f>_xlfn.XLOOKUP(Table1[[#This Row],[JobSatisfaction]],Table14[JobSatisfaction],Table14[Deskripsi])</f>
        <v>Low</v>
      </c>
      <c r="AE1374" t="str">
        <f>_xlfn.XLOOKUP(Table1[[#This Row],[MaritalStatus]],Table15[MaritalStatus],Table15[Id_MaritalStatus])</f>
        <v>MS002</v>
      </c>
      <c r="AF1374" t="s">
        <v>56</v>
      </c>
      <c r="AG1374">
        <v>5151</v>
      </c>
      <c r="AH1374">
        <v>12315</v>
      </c>
      <c r="AI1374">
        <v>1</v>
      </c>
      <c r="AJ1374" t="str">
        <f>_xlfn.XLOOKUP(Table1[[#This Row],[OverTime]],Table16[OverTime],Table16[Id_OverTime])</f>
        <v>OT002</v>
      </c>
      <c r="AK1374" t="s">
        <v>33</v>
      </c>
      <c r="AL1374">
        <v>25</v>
      </c>
      <c r="AM1374" t="str">
        <f>_xlfn.XLOOKUP(Table1[[#This Row],[PerformanceRating]],Table17[PerformanceRating],Table17[Id_PerformanceRating])</f>
        <v>PR004</v>
      </c>
      <c r="AN1374">
        <v>4</v>
      </c>
      <c r="AO1374" t="str">
        <f>_xlfn.XLOOKUP(Table1[[#This Row],[PerformanceRating]],Table17[PerformanceRating],Table17[Deskripsi])</f>
        <v>Outstanding</v>
      </c>
      <c r="AP1374" t="str">
        <f>_xlfn.XLOOKUP(Table1[[#This Row],[RelationshipSatisfaction]],Table18[RelationshipSatisfaction],Table18[Id_RelationshipSatisfaction])</f>
        <v>RS004</v>
      </c>
      <c r="AQ1374">
        <v>4</v>
      </c>
      <c r="AR1374" t="str">
        <f>_xlfn.XLOOKUP(Table1[[#This Row],[RelationshipSatisfaction]],Table18[RelationshipSatisfaction],Table18[Deskripsi])</f>
        <v>Very High</v>
      </c>
      <c r="AS1374" t="str">
        <f>_xlfn.XLOOKUP(Table1[[#This Row],[StockOptionLevel]],Table19[StockOptionLevel],Table19[Id_StockOptionLevel])</f>
        <v>SOL002</v>
      </c>
      <c r="AT1374">
        <v>1</v>
      </c>
      <c r="AU1374" t="str">
        <f>_xlfn.XLOOKUP(Table1[[#This Row],[StockOptionLevel]],Table19[StockOptionLevel],Table19[Deskripsi])</f>
        <v>Standard</v>
      </c>
      <c r="AV1374">
        <v>10</v>
      </c>
      <c r="AW1374">
        <v>3</v>
      </c>
      <c r="AX1374" t="str">
        <f>_xlfn.XLOOKUP(Table1[[#This Row],[WorkLifeBalance]],Table20[WorkLifeBalance],Table20[Id_WorkLifeBalance])</f>
        <v>WLB002</v>
      </c>
      <c r="AY1374">
        <v>3</v>
      </c>
      <c r="AZ1374" t="str">
        <f>_xlfn.XLOOKUP(Table1[[#This Row],[WorkLifeBalance]],Table20[WorkLifeBalance],Table20[Deskripsi])</f>
        <v>Good</v>
      </c>
      <c r="BA1374">
        <v>10</v>
      </c>
      <c r="BB1374">
        <v>0</v>
      </c>
      <c r="BC1374">
        <v>7</v>
      </c>
      <c r="BD1374">
        <v>9</v>
      </c>
    </row>
    <row r="1375" spans="1:56" x14ac:dyDescent="0.25">
      <c r="A1375">
        <v>38</v>
      </c>
      <c r="B1375" t="str">
        <f>_xlfn.XLOOKUP(Table1[[#This Row],[Attrition]],Table2[Attrition],Table2[Id_Attrition])</f>
        <v>A002</v>
      </c>
      <c r="C1375" t="s">
        <v>33</v>
      </c>
      <c r="D1375" t="str">
        <f>_xlfn.XLOOKUP(Table1[[#This Row],[BusinessTravel]],Table5[BusinessTravel],Table5[Id_BusinessTravel])</f>
        <v>BS002</v>
      </c>
      <c r="E1375" t="s">
        <v>35</v>
      </c>
      <c r="F1375">
        <v>1394</v>
      </c>
      <c r="G1375" t="str">
        <f>_xlfn.XLOOKUP(Table1[[#This Row],[Department]],Table6[Department],Table6[Id_Departement])</f>
        <v>D002</v>
      </c>
      <c r="H1375" t="s">
        <v>38</v>
      </c>
      <c r="I1375">
        <v>8</v>
      </c>
      <c r="J1375" t="str">
        <f>_xlfn.XLOOKUP(Table1[[#This Row],[Education]],Table8[Education],Table8[Id_Education])</f>
        <v>E003</v>
      </c>
      <c r="K1375">
        <v>3</v>
      </c>
      <c r="L1375" t="str">
        <f>_xlfn.XLOOKUP(Table1[[#This Row],[EducationField]],Table7[EducationField],Table7[Id_EducationField])</f>
        <v>EF003</v>
      </c>
      <c r="M1375" t="s">
        <v>42</v>
      </c>
      <c r="N1375" t="str">
        <f>_xlfn.XLOOKUP(Table1[[#This Row],[EmployeeNumber]],Table4[EmployeeNumber],Table4[Id_Employee])</f>
        <v>EMP01374</v>
      </c>
      <c r="O1375">
        <v>1937</v>
      </c>
      <c r="P1375" t="str">
        <f>_xlfn.XLOOKUP(Table1[[#This Row],[EnvironmentSatisfaction]],Table9[EnvironmentSatisfaction],Table9[Id_EnviromentSatisfaction])</f>
        <v>ES004</v>
      </c>
      <c r="Q1375">
        <v>4</v>
      </c>
      <c r="R1375" t="str">
        <f>_xlfn.XLOOKUP(Table1[[#This Row],[EnvironmentSatisfaction]],Table9[EnvironmentSatisfaction],Table9[Deskripsi])</f>
        <v>Very High</v>
      </c>
      <c r="S1375" t="str">
        <f>_xlfn.XLOOKUP(Table1[[#This Row],[Gender]],Table10[Gender],Table10[Id_Gender])</f>
        <v>G001</v>
      </c>
      <c r="T1375" t="s">
        <v>45</v>
      </c>
      <c r="U1375">
        <v>58</v>
      </c>
      <c r="V1375" t="str">
        <f>_xlfn.XLOOKUP(Table1[[#This Row],[JobInvolvement]],Table11[JobInvolvement],Table11[Id_JobInvolvement])</f>
        <v>JI002</v>
      </c>
      <c r="W1375">
        <v>2</v>
      </c>
      <c r="X1375" t="str">
        <f>_xlfn.XLOOKUP(Table1[[#This Row],[JobLevel]],Table12[JobLevel],Table12[Id_JobLevel])</f>
        <v>JL002</v>
      </c>
      <c r="Y1375">
        <v>2</v>
      </c>
      <c r="Z1375" t="str">
        <f>_xlfn.XLOOKUP(Table1[[#This Row],[JobRole]],Table13[JobRole],Table13[Id_JobRole])</f>
        <v>JR002</v>
      </c>
      <c r="AA1375" t="s">
        <v>48</v>
      </c>
      <c r="AB1375" t="str">
        <f>_xlfn.XLOOKUP(Table1[[#This Row],[JobSatisfaction]],Table14[JobSatisfaction],Table14[Id_JobSatisfaction])</f>
        <v>JS002</v>
      </c>
      <c r="AC1375">
        <v>2</v>
      </c>
      <c r="AD1375" t="str">
        <f>_xlfn.XLOOKUP(Table1[[#This Row],[JobSatisfaction]],Table14[JobSatisfaction],Table14[Deskripsi])</f>
        <v>Medium</v>
      </c>
      <c r="AE1375" t="str">
        <f>_xlfn.XLOOKUP(Table1[[#This Row],[MaritalStatus]],Table15[MaritalStatus],Table15[Id_MaritalStatus])</f>
        <v>MS003</v>
      </c>
      <c r="AF1375" t="s">
        <v>57</v>
      </c>
      <c r="AG1375">
        <v>2133</v>
      </c>
      <c r="AH1375">
        <v>18115</v>
      </c>
      <c r="AI1375">
        <v>1</v>
      </c>
      <c r="AJ1375" t="str">
        <f>_xlfn.XLOOKUP(Table1[[#This Row],[OverTime]],Table16[OverTime],Table16[Id_OverTime])</f>
        <v>OT001</v>
      </c>
      <c r="AK1375" t="s">
        <v>32</v>
      </c>
      <c r="AL1375">
        <v>16</v>
      </c>
      <c r="AM1375" t="str">
        <f>_xlfn.XLOOKUP(Table1[[#This Row],[PerformanceRating]],Table17[PerformanceRating],Table17[Id_PerformanceRating])</f>
        <v>PR003</v>
      </c>
      <c r="AN1375">
        <v>3</v>
      </c>
      <c r="AO1375" t="str">
        <f>_xlfn.XLOOKUP(Table1[[#This Row],[PerformanceRating]],Table17[PerformanceRating],Table17[Deskripsi])</f>
        <v>Excellent</v>
      </c>
      <c r="AP1375" t="str">
        <f>_xlfn.XLOOKUP(Table1[[#This Row],[RelationshipSatisfaction]],Table18[RelationshipSatisfaction],Table18[Id_RelationshipSatisfaction])</f>
        <v>RS003</v>
      </c>
      <c r="AQ1375">
        <v>3</v>
      </c>
      <c r="AR1375" t="str">
        <f>_xlfn.XLOOKUP(Table1[[#This Row],[RelationshipSatisfaction]],Table18[RelationshipSatisfaction],Table18[Deskripsi])</f>
        <v>High</v>
      </c>
      <c r="AS1375" t="str">
        <f>_xlfn.XLOOKUP(Table1[[#This Row],[StockOptionLevel]],Table19[StockOptionLevel],Table19[Id_StockOptionLevel])</f>
        <v>SOL002</v>
      </c>
      <c r="AT1375">
        <v>1</v>
      </c>
      <c r="AU1375" t="str">
        <f>_xlfn.XLOOKUP(Table1[[#This Row],[StockOptionLevel]],Table19[StockOptionLevel],Table19[Deskripsi])</f>
        <v>Standard</v>
      </c>
      <c r="AV1375">
        <v>20</v>
      </c>
      <c r="AW1375">
        <v>3</v>
      </c>
      <c r="AX1375" t="str">
        <f>_xlfn.XLOOKUP(Table1[[#This Row],[WorkLifeBalance]],Table20[WorkLifeBalance],Table20[Id_WorkLifeBalance])</f>
        <v>WLB002</v>
      </c>
      <c r="AY1375">
        <v>3</v>
      </c>
      <c r="AZ1375" t="str">
        <f>_xlfn.XLOOKUP(Table1[[#This Row],[WorkLifeBalance]],Table20[WorkLifeBalance],Table20[Deskripsi])</f>
        <v>Good</v>
      </c>
      <c r="BA1375">
        <v>20</v>
      </c>
      <c r="BB1375">
        <v>11</v>
      </c>
      <c r="BC1375">
        <v>0</v>
      </c>
      <c r="BD1375">
        <v>7</v>
      </c>
    </row>
    <row r="1376" spans="1:56" x14ac:dyDescent="0.25">
      <c r="A1376">
        <v>58</v>
      </c>
      <c r="B1376" t="str">
        <f>_xlfn.XLOOKUP(Table1[[#This Row],[Attrition]],Table2[Attrition],Table2[Id_Attrition])</f>
        <v>A002</v>
      </c>
      <c r="C1376" t="s">
        <v>33</v>
      </c>
      <c r="D1376" t="str">
        <f>_xlfn.XLOOKUP(Table1[[#This Row],[BusinessTravel]],Table5[BusinessTravel],Table5[Id_BusinessTravel])</f>
        <v>BS001</v>
      </c>
      <c r="E1376" t="s">
        <v>34</v>
      </c>
      <c r="F1376">
        <v>605</v>
      </c>
      <c r="G1376" t="str">
        <f>_xlfn.XLOOKUP(Table1[[#This Row],[Department]],Table6[Department],Table6[Id_Departement])</f>
        <v>D001</v>
      </c>
      <c r="H1376" t="s">
        <v>37</v>
      </c>
      <c r="I1376">
        <v>21</v>
      </c>
      <c r="J1376" t="str">
        <f>_xlfn.XLOOKUP(Table1[[#This Row],[Education]],Table8[Education],Table8[Id_Education])</f>
        <v>E003</v>
      </c>
      <c r="K1376">
        <v>3</v>
      </c>
      <c r="L1376" t="str">
        <f>_xlfn.XLOOKUP(Table1[[#This Row],[EducationField]],Table7[EducationField],Table7[Id_EducationField])</f>
        <v>EF001</v>
      </c>
      <c r="M1376" t="s">
        <v>40</v>
      </c>
      <c r="N1376" t="str">
        <f>_xlfn.XLOOKUP(Table1[[#This Row],[EmployeeNumber]],Table4[EmployeeNumber],Table4[Id_Employee])</f>
        <v>EMP01375</v>
      </c>
      <c r="O1376">
        <v>1938</v>
      </c>
      <c r="P1376" t="str">
        <f>_xlfn.XLOOKUP(Table1[[#This Row],[EnvironmentSatisfaction]],Table9[EnvironmentSatisfaction],Table9[Id_EnviromentSatisfaction])</f>
        <v>ES004</v>
      </c>
      <c r="Q1376">
        <v>4</v>
      </c>
      <c r="R1376" t="str">
        <f>_xlfn.XLOOKUP(Table1[[#This Row],[EnvironmentSatisfaction]],Table9[EnvironmentSatisfaction],Table9[Deskripsi])</f>
        <v>Very High</v>
      </c>
      <c r="S1376" t="str">
        <f>_xlfn.XLOOKUP(Table1[[#This Row],[Gender]],Table10[Gender],Table10[Id_Gender])</f>
        <v>G001</v>
      </c>
      <c r="T1376" t="s">
        <v>45</v>
      </c>
      <c r="U1376">
        <v>72</v>
      </c>
      <c r="V1376" t="str">
        <f>_xlfn.XLOOKUP(Table1[[#This Row],[JobInvolvement]],Table11[JobInvolvement],Table11[Id_JobInvolvement])</f>
        <v>JI003</v>
      </c>
      <c r="W1376">
        <v>3</v>
      </c>
      <c r="X1376" t="str">
        <f>_xlfn.XLOOKUP(Table1[[#This Row],[JobLevel]],Table12[JobLevel],Table12[Id_JobLevel])</f>
        <v>JL004</v>
      </c>
      <c r="Y1376">
        <v>4</v>
      </c>
      <c r="Z1376" t="str">
        <f>_xlfn.XLOOKUP(Table1[[#This Row],[JobRole]],Table13[JobRole],Table13[Id_JobRole])</f>
        <v>JR006</v>
      </c>
      <c r="AA1376" t="s">
        <v>52</v>
      </c>
      <c r="AB1376" t="str">
        <f>_xlfn.XLOOKUP(Table1[[#This Row],[JobSatisfaction]],Table14[JobSatisfaction],Table14[Id_JobSatisfaction])</f>
        <v>JS004</v>
      </c>
      <c r="AC1376">
        <v>4</v>
      </c>
      <c r="AD1376" t="str">
        <f>_xlfn.XLOOKUP(Table1[[#This Row],[JobSatisfaction]],Table14[JobSatisfaction],Table14[Deskripsi])</f>
        <v>Very High</v>
      </c>
      <c r="AE1376" t="str">
        <f>_xlfn.XLOOKUP(Table1[[#This Row],[MaritalStatus]],Table15[MaritalStatus],Table15[Id_MaritalStatus])</f>
        <v>MS002</v>
      </c>
      <c r="AF1376" t="s">
        <v>56</v>
      </c>
      <c r="AG1376">
        <v>17875</v>
      </c>
      <c r="AH1376">
        <v>11761</v>
      </c>
      <c r="AI1376">
        <v>4</v>
      </c>
      <c r="AJ1376" t="str">
        <f>_xlfn.XLOOKUP(Table1[[#This Row],[OverTime]],Table16[OverTime],Table16[Id_OverTime])</f>
        <v>OT001</v>
      </c>
      <c r="AK1376" t="s">
        <v>32</v>
      </c>
      <c r="AL1376">
        <v>13</v>
      </c>
      <c r="AM1376" t="str">
        <f>_xlfn.XLOOKUP(Table1[[#This Row],[PerformanceRating]],Table17[PerformanceRating],Table17[Id_PerformanceRating])</f>
        <v>PR003</v>
      </c>
      <c r="AN1376">
        <v>3</v>
      </c>
      <c r="AO1376" t="str">
        <f>_xlfn.XLOOKUP(Table1[[#This Row],[PerformanceRating]],Table17[PerformanceRating],Table17[Deskripsi])</f>
        <v>Excellent</v>
      </c>
      <c r="AP1376" t="str">
        <f>_xlfn.XLOOKUP(Table1[[#This Row],[RelationshipSatisfaction]],Table18[RelationshipSatisfaction],Table18[Id_RelationshipSatisfaction])</f>
        <v>RS003</v>
      </c>
      <c r="AQ1376">
        <v>3</v>
      </c>
      <c r="AR1376" t="str">
        <f>_xlfn.XLOOKUP(Table1[[#This Row],[RelationshipSatisfaction]],Table18[RelationshipSatisfaction],Table18[Deskripsi])</f>
        <v>High</v>
      </c>
      <c r="AS1376" t="str">
        <f>_xlfn.XLOOKUP(Table1[[#This Row],[StockOptionLevel]],Table19[StockOptionLevel],Table19[Id_StockOptionLevel])</f>
        <v>SOL002</v>
      </c>
      <c r="AT1376">
        <v>1</v>
      </c>
      <c r="AU1376" t="str">
        <f>_xlfn.XLOOKUP(Table1[[#This Row],[StockOptionLevel]],Table19[StockOptionLevel],Table19[Deskripsi])</f>
        <v>Standard</v>
      </c>
      <c r="AV1376">
        <v>29</v>
      </c>
      <c r="AW1376">
        <v>2</v>
      </c>
      <c r="AX1376" t="str">
        <f>_xlfn.XLOOKUP(Table1[[#This Row],[WorkLifeBalance]],Table20[WorkLifeBalance],Table20[Id_WorkLifeBalance])</f>
        <v>WLB003</v>
      </c>
      <c r="AY1376">
        <v>2</v>
      </c>
      <c r="AZ1376" t="str">
        <f>_xlfn.XLOOKUP(Table1[[#This Row],[WorkLifeBalance]],Table20[WorkLifeBalance],Table20[Deskripsi])</f>
        <v>Better</v>
      </c>
      <c r="BA1376">
        <v>1</v>
      </c>
      <c r="BB1376">
        <v>0</v>
      </c>
      <c r="BC1376">
        <v>0</v>
      </c>
      <c r="BD1376">
        <v>0</v>
      </c>
    </row>
    <row r="1377" spans="1:56" x14ac:dyDescent="0.25">
      <c r="A1377">
        <v>32</v>
      </c>
      <c r="B1377" t="str">
        <f>_xlfn.XLOOKUP(Table1[[#This Row],[Attrition]],Table2[Attrition],Table2[Id_Attrition])</f>
        <v>A001</v>
      </c>
      <c r="C1377" t="s">
        <v>32</v>
      </c>
      <c r="D1377" t="str">
        <f>_xlfn.XLOOKUP(Table1[[#This Row],[BusinessTravel]],Table5[BusinessTravel],Table5[Id_BusinessTravel])</f>
        <v>BS002</v>
      </c>
      <c r="E1377" t="s">
        <v>35</v>
      </c>
      <c r="F1377">
        <v>238</v>
      </c>
      <c r="G1377" t="str">
        <f>_xlfn.XLOOKUP(Table1[[#This Row],[Department]],Table6[Department],Table6[Id_Departement])</f>
        <v>D002</v>
      </c>
      <c r="H1377" t="s">
        <v>38</v>
      </c>
      <c r="I1377">
        <v>5</v>
      </c>
      <c r="J1377" t="str">
        <f>_xlfn.XLOOKUP(Table1[[#This Row],[Education]],Table8[Education],Table8[Id_Education])</f>
        <v>E002</v>
      </c>
      <c r="K1377">
        <v>2</v>
      </c>
      <c r="L1377" t="str">
        <f>_xlfn.XLOOKUP(Table1[[#This Row],[EducationField]],Table7[EducationField],Table7[Id_EducationField])</f>
        <v>EF001</v>
      </c>
      <c r="M1377" t="s">
        <v>40</v>
      </c>
      <c r="N1377" t="str">
        <f>_xlfn.XLOOKUP(Table1[[#This Row],[EmployeeNumber]],Table4[EmployeeNumber],Table4[Id_Employee])</f>
        <v>EMP01376</v>
      </c>
      <c r="O1377">
        <v>1939</v>
      </c>
      <c r="P1377" t="str">
        <f>_xlfn.XLOOKUP(Table1[[#This Row],[EnvironmentSatisfaction]],Table9[EnvironmentSatisfaction],Table9[Id_EnviromentSatisfaction])</f>
        <v>ES001</v>
      </c>
      <c r="Q1377">
        <v>1</v>
      </c>
      <c r="R1377" t="str">
        <f>_xlfn.XLOOKUP(Table1[[#This Row],[EnvironmentSatisfaction]],Table9[EnvironmentSatisfaction],Table9[Deskripsi])</f>
        <v>Low</v>
      </c>
      <c r="S1377" t="str">
        <f>_xlfn.XLOOKUP(Table1[[#This Row],[Gender]],Table10[Gender],Table10[Id_Gender])</f>
        <v>G001</v>
      </c>
      <c r="T1377" t="s">
        <v>45</v>
      </c>
      <c r="U1377">
        <v>47</v>
      </c>
      <c r="V1377" t="str">
        <f>_xlfn.XLOOKUP(Table1[[#This Row],[JobInvolvement]],Table11[JobInvolvement],Table11[Id_JobInvolvement])</f>
        <v>JI004</v>
      </c>
      <c r="W1377">
        <v>4</v>
      </c>
      <c r="X1377" t="str">
        <f>_xlfn.XLOOKUP(Table1[[#This Row],[JobLevel]],Table12[JobLevel],Table12[Id_JobLevel])</f>
        <v>JL001</v>
      </c>
      <c r="Y1377">
        <v>1</v>
      </c>
      <c r="Z1377" t="str">
        <f>_xlfn.XLOOKUP(Table1[[#This Row],[JobRole]],Table13[JobRole],Table13[Id_JobRole])</f>
        <v>JR002</v>
      </c>
      <c r="AA1377" t="s">
        <v>48</v>
      </c>
      <c r="AB1377" t="str">
        <f>_xlfn.XLOOKUP(Table1[[#This Row],[JobSatisfaction]],Table14[JobSatisfaction],Table14[Id_JobSatisfaction])</f>
        <v>JS003</v>
      </c>
      <c r="AC1377">
        <v>3</v>
      </c>
      <c r="AD1377" t="str">
        <f>_xlfn.XLOOKUP(Table1[[#This Row],[JobSatisfaction]],Table14[JobSatisfaction],Table14[Deskripsi])</f>
        <v>High</v>
      </c>
      <c r="AE1377" t="str">
        <f>_xlfn.XLOOKUP(Table1[[#This Row],[MaritalStatus]],Table15[MaritalStatus],Table15[Id_MaritalStatus])</f>
        <v>MS001</v>
      </c>
      <c r="AF1377" t="s">
        <v>55</v>
      </c>
      <c r="AG1377">
        <v>2432</v>
      </c>
      <c r="AH1377">
        <v>15318</v>
      </c>
      <c r="AI1377">
        <v>3</v>
      </c>
      <c r="AJ1377" t="str">
        <f>_xlfn.XLOOKUP(Table1[[#This Row],[OverTime]],Table16[OverTime],Table16[Id_OverTime])</f>
        <v>OT001</v>
      </c>
      <c r="AK1377" t="s">
        <v>32</v>
      </c>
      <c r="AL1377">
        <v>14</v>
      </c>
      <c r="AM1377" t="str">
        <f>_xlfn.XLOOKUP(Table1[[#This Row],[PerformanceRating]],Table17[PerformanceRating],Table17[Id_PerformanceRating])</f>
        <v>PR003</v>
      </c>
      <c r="AN1377">
        <v>3</v>
      </c>
      <c r="AO1377" t="str">
        <f>_xlfn.XLOOKUP(Table1[[#This Row],[PerformanceRating]],Table17[PerformanceRating],Table17[Deskripsi])</f>
        <v>Excellent</v>
      </c>
      <c r="AP1377" t="str">
        <f>_xlfn.XLOOKUP(Table1[[#This Row],[RelationshipSatisfaction]],Table18[RelationshipSatisfaction],Table18[Id_RelationshipSatisfaction])</f>
        <v>RS001</v>
      </c>
      <c r="AQ1377">
        <v>1</v>
      </c>
      <c r="AR1377" t="str">
        <f>_xlfn.XLOOKUP(Table1[[#This Row],[RelationshipSatisfaction]],Table18[RelationshipSatisfaction],Table18[Deskripsi])</f>
        <v>Low</v>
      </c>
      <c r="AS1377" t="str">
        <f>_xlfn.XLOOKUP(Table1[[#This Row],[StockOptionLevel]],Table19[StockOptionLevel],Table19[Id_StockOptionLevel])</f>
        <v>SOL001</v>
      </c>
      <c r="AT1377">
        <v>0</v>
      </c>
      <c r="AU1377" t="str">
        <f>_xlfn.XLOOKUP(Table1[[#This Row],[StockOptionLevel]],Table19[StockOptionLevel],Table19[Deskripsi])</f>
        <v>Non-Eligible</v>
      </c>
      <c r="AV1377">
        <v>8</v>
      </c>
      <c r="AW1377">
        <v>2</v>
      </c>
      <c r="AX1377" t="str">
        <f>_xlfn.XLOOKUP(Table1[[#This Row],[WorkLifeBalance]],Table20[WorkLifeBalance],Table20[Id_WorkLifeBalance])</f>
        <v>WLB002</v>
      </c>
      <c r="AY1377">
        <v>3</v>
      </c>
      <c r="AZ1377" t="str">
        <f>_xlfn.XLOOKUP(Table1[[#This Row],[WorkLifeBalance]],Table20[WorkLifeBalance],Table20[Deskripsi])</f>
        <v>Good</v>
      </c>
      <c r="BA1377">
        <v>4</v>
      </c>
      <c r="BB1377">
        <v>1</v>
      </c>
      <c r="BC1377">
        <v>0</v>
      </c>
      <c r="BD1377">
        <v>3</v>
      </c>
    </row>
    <row r="1378" spans="1:56" x14ac:dyDescent="0.25">
      <c r="A1378">
        <v>38</v>
      </c>
      <c r="B1378" t="str">
        <f>_xlfn.XLOOKUP(Table1[[#This Row],[Attrition]],Table2[Attrition],Table2[Id_Attrition])</f>
        <v>A002</v>
      </c>
      <c r="C1378" t="s">
        <v>33</v>
      </c>
      <c r="D1378" t="str">
        <f>_xlfn.XLOOKUP(Table1[[#This Row],[BusinessTravel]],Table5[BusinessTravel],Table5[Id_BusinessTravel])</f>
        <v>BS001</v>
      </c>
      <c r="E1378" t="s">
        <v>34</v>
      </c>
      <c r="F1378">
        <v>1206</v>
      </c>
      <c r="G1378" t="str">
        <f>_xlfn.XLOOKUP(Table1[[#This Row],[Department]],Table6[Department],Table6[Id_Departement])</f>
        <v>D002</v>
      </c>
      <c r="H1378" t="s">
        <v>38</v>
      </c>
      <c r="I1378">
        <v>9</v>
      </c>
      <c r="J1378" t="str">
        <f>_xlfn.XLOOKUP(Table1[[#This Row],[Education]],Table8[Education],Table8[Id_Education])</f>
        <v>E002</v>
      </c>
      <c r="K1378">
        <v>2</v>
      </c>
      <c r="L1378" t="str">
        <f>_xlfn.XLOOKUP(Table1[[#This Row],[EducationField]],Table7[EducationField],Table7[Id_EducationField])</f>
        <v>EF001</v>
      </c>
      <c r="M1378" t="s">
        <v>40</v>
      </c>
      <c r="N1378" t="str">
        <f>_xlfn.XLOOKUP(Table1[[#This Row],[EmployeeNumber]],Table4[EmployeeNumber],Table4[Id_Employee])</f>
        <v>EMP01377</v>
      </c>
      <c r="O1378">
        <v>1940</v>
      </c>
      <c r="P1378" t="str">
        <f>_xlfn.XLOOKUP(Table1[[#This Row],[EnvironmentSatisfaction]],Table9[EnvironmentSatisfaction],Table9[Id_EnviromentSatisfaction])</f>
        <v>ES002</v>
      </c>
      <c r="Q1378">
        <v>2</v>
      </c>
      <c r="R1378" t="str">
        <f>_xlfn.XLOOKUP(Table1[[#This Row],[EnvironmentSatisfaction]],Table9[EnvironmentSatisfaction],Table9[Deskripsi])</f>
        <v>Medium</v>
      </c>
      <c r="S1378" t="str">
        <f>_xlfn.XLOOKUP(Table1[[#This Row],[Gender]],Table10[Gender],Table10[Id_Gender])</f>
        <v>G002</v>
      </c>
      <c r="T1378" t="s">
        <v>46</v>
      </c>
      <c r="U1378">
        <v>71</v>
      </c>
      <c r="V1378" t="str">
        <f>_xlfn.XLOOKUP(Table1[[#This Row],[JobInvolvement]],Table11[JobInvolvement],Table11[Id_JobInvolvement])</f>
        <v>JI003</v>
      </c>
      <c r="W1378">
        <v>3</v>
      </c>
      <c r="X1378" t="str">
        <f>_xlfn.XLOOKUP(Table1[[#This Row],[JobLevel]],Table12[JobLevel],Table12[Id_JobLevel])</f>
        <v>JL001</v>
      </c>
      <c r="Y1378">
        <v>1</v>
      </c>
      <c r="Z1378" t="str">
        <f>_xlfn.XLOOKUP(Table1[[#This Row],[JobRole]],Table13[JobRole],Table13[Id_JobRole])</f>
        <v>JR002</v>
      </c>
      <c r="AA1378" t="s">
        <v>48</v>
      </c>
      <c r="AB1378" t="str">
        <f>_xlfn.XLOOKUP(Table1[[#This Row],[JobSatisfaction]],Table14[JobSatisfaction],Table14[Id_JobSatisfaction])</f>
        <v>JS004</v>
      </c>
      <c r="AC1378">
        <v>4</v>
      </c>
      <c r="AD1378" t="str">
        <f>_xlfn.XLOOKUP(Table1[[#This Row],[JobSatisfaction]],Table14[JobSatisfaction],Table14[Deskripsi])</f>
        <v>Very High</v>
      </c>
      <c r="AE1378" t="str">
        <f>_xlfn.XLOOKUP(Table1[[#This Row],[MaritalStatus]],Table15[MaritalStatus],Table15[Id_MaritalStatus])</f>
        <v>MS003</v>
      </c>
      <c r="AF1378" t="s">
        <v>57</v>
      </c>
      <c r="AG1378">
        <v>4771</v>
      </c>
      <c r="AH1378">
        <v>14293</v>
      </c>
      <c r="AI1378">
        <v>2</v>
      </c>
      <c r="AJ1378" t="str">
        <f>_xlfn.XLOOKUP(Table1[[#This Row],[OverTime]],Table16[OverTime],Table16[Id_OverTime])</f>
        <v>OT002</v>
      </c>
      <c r="AK1378" t="s">
        <v>33</v>
      </c>
      <c r="AL1378">
        <v>19</v>
      </c>
      <c r="AM1378" t="str">
        <f>_xlfn.XLOOKUP(Table1[[#This Row],[PerformanceRating]],Table17[PerformanceRating],Table17[Id_PerformanceRating])</f>
        <v>PR003</v>
      </c>
      <c r="AN1378">
        <v>3</v>
      </c>
      <c r="AO1378" t="str">
        <f>_xlfn.XLOOKUP(Table1[[#This Row],[PerformanceRating]],Table17[PerformanceRating],Table17[Deskripsi])</f>
        <v>Excellent</v>
      </c>
      <c r="AP1378" t="str">
        <f>_xlfn.XLOOKUP(Table1[[#This Row],[RelationshipSatisfaction]],Table18[RelationshipSatisfaction],Table18[Id_RelationshipSatisfaction])</f>
        <v>RS004</v>
      </c>
      <c r="AQ1378">
        <v>4</v>
      </c>
      <c r="AR1378" t="str">
        <f>_xlfn.XLOOKUP(Table1[[#This Row],[RelationshipSatisfaction]],Table18[RelationshipSatisfaction],Table18[Deskripsi])</f>
        <v>Very High</v>
      </c>
      <c r="AS1378" t="str">
        <f>_xlfn.XLOOKUP(Table1[[#This Row],[StockOptionLevel]],Table19[StockOptionLevel],Table19[Id_StockOptionLevel])</f>
        <v>SOL003</v>
      </c>
      <c r="AT1378">
        <v>2</v>
      </c>
      <c r="AU1378" t="str">
        <f>_xlfn.XLOOKUP(Table1[[#This Row],[StockOptionLevel]],Table19[StockOptionLevel],Table19[Deskripsi])</f>
        <v>Intermediate</v>
      </c>
      <c r="AV1378">
        <v>10</v>
      </c>
      <c r="AW1378">
        <v>0</v>
      </c>
      <c r="AX1378" t="str">
        <f>_xlfn.XLOOKUP(Table1[[#This Row],[WorkLifeBalance]],Table20[WorkLifeBalance],Table20[Id_WorkLifeBalance])</f>
        <v>WLB004</v>
      </c>
      <c r="AY1378">
        <v>4</v>
      </c>
      <c r="AZ1378" t="str">
        <f>_xlfn.XLOOKUP(Table1[[#This Row],[WorkLifeBalance]],Table20[WorkLifeBalance],Table20[Deskripsi])</f>
        <v>Best</v>
      </c>
      <c r="BA1378">
        <v>5</v>
      </c>
      <c r="BB1378">
        <v>2</v>
      </c>
      <c r="BC1378">
        <v>0</v>
      </c>
      <c r="BD1378">
        <v>3</v>
      </c>
    </row>
    <row r="1379" spans="1:56" x14ac:dyDescent="0.25">
      <c r="A1379">
        <v>49</v>
      </c>
      <c r="B1379" t="str">
        <f>_xlfn.XLOOKUP(Table1[[#This Row],[Attrition]],Table2[Attrition],Table2[Id_Attrition])</f>
        <v>A002</v>
      </c>
      <c r="C1379" t="s">
        <v>33</v>
      </c>
      <c r="D1379" t="str">
        <f>_xlfn.XLOOKUP(Table1[[#This Row],[BusinessTravel]],Table5[BusinessTravel],Table5[Id_BusinessTravel])</f>
        <v>BS002</v>
      </c>
      <c r="E1379" t="s">
        <v>35</v>
      </c>
      <c r="F1379">
        <v>1064</v>
      </c>
      <c r="G1379" t="str">
        <f>_xlfn.XLOOKUP(Table1[[#This Row],[Department]],Table6[Department],Table6[Id_Departement])</f>
        <v>D002</v>
      </c>
      <c r="H1379" t="s">
        <v>38</v>
      </c>
      <c r="I1379">
        <v>2</v>
      </c>
      <c r="J1379" t="str">
        <f>_xlfn.XLOOKUP(Table1[[#This Row],[Education]],Table8[Education],Table8[Id_Education])</f>
        <v>E001</v>
      </c>
      <c r="K1379">
        <v>1</v>
      </c>
      <c r="L1379" t="str">
        <f>_xlfn.XLOOKUP(Table1[[#This Row],[EducationField]],Table7[EducationField],Table7[Id_EducationField])</f>
        <v>EF001</v>
      </c>
      <c r="M1379" t="s">
        <v>40</v>
      </c>
      <c r="N1379" t="str">
        <f>_xlfn.XLOOKUP(Table1[[#This Row],[EmployeeNumber]],Table4[EmployeeNumber],Table4[Id_Employee])</f>
        <v>EMP01378</v>
      </c>
      <c r="O1379">
        <v>1941</v>
      </c>
      <c r="P1379" t="str">
        <f>_xlfn.XLOOKUP(Table1[[#This Row],[EnvironmentSatisfaction]],Table9[EnvironmentSatisfaction],Table9[Id_EnviromentSatisfaction])</f>
        <v>ES002</v>
      </c>
      <c r="Q1379">
        <v>2</v>
      </c>
      <c r="R1379" t="str">
        <f>_xlfn.XLOOKUP(Table1[[#This Row],[EnvironmentSatisfaction]],Table9[EnvironmentSatisfaction],Table9[Deskripsi])</f>
        <v>Medium</v>
      </c>
      <c r="S1379" t="str">
        <f>_xlfn.XLOOKUP(Table1[[#This Row],[Gender]],Table10[Gender],Table10[Id_Gender])</f>
        <v>G002</v>
      </c>
      <c r="T1379" t="s">
        <v>46</v>
      </c>
      <c r="U1379">
        <v>42</v>
      </c>
      <c r="V1379" t="str">
        <f>_xlfn.XLOOKUP(Table1[[#This Row],[JobInvolvement]],Table11[JobInvolvement],Table11[Id_JobInvolvement])</f>
        <v>JI003</v>
      </c>
      <c r="W1379">
        <v>3</v>
      </c>
      <c r="X1379" t="str">
        <f>_xlfn.XLOOKUP(Table1[[#This Row],[JobLevel]],Table12[JobLevel],Table12[Id_JobLevel])</f>
        <v>JL005</v>
      </c>
      <c r="Y1379">
        <v>5</v>
      </c>
      <c r="Z1379" t="str">
        <f>_xlfn.XLOOKUP(Table1[[#This Row],[JobRole]],Table13[JobRole],Table13[Id_JobRole])</f>
        <v>JR008</v>
      </c>
      <c r="AA1379" t="s">
        <v>54</v>
      </c>
      <c r="AB1379" t="str">
        <f>_xlfn.XLOOKUP(Table1[[#This Row],[JobSatisfaction]],Table14[JobSatisfaction],Table14[Id_JobSatisfaction])</f>
        <v>JS004</v>
      </c>
      <c r="AC1379">
        <v>4</v>
      </c>
      <c r="AD1379" t="str">
        <f>_xlfn.XLOOKUP(Table1[[#This Row],[JobSatisfaction]],Table14[JobSatisfaction],Table14[Deskripsi])</f>
        <v>Very High</v>
      </c>
      <c r="AE1379" t="str">
        <f>_xlfn.XLOOKUP(Table1[[#This Row],[MaritalStatus]],Table15[MaritalStatus],Table15[Id_MaritalStatus])</f>
        <v>MS002</v>
      </c>
      <c r="AF1379" t="s">
        <v>56</v>
      </c>
      <c r="AG1379">
        <v>19161</v>
      </c>
      <c r="AH1379">
        <v>13738</v>
      </c>
      <c r="AI1379">
        <v>3</v>
      </c>
      <c r="AJ1379" t="str">
        <f>_xlfn.XLOOKUP(Table1[[#This Row],[OverTime]],Table16[OverTime],Table16[Id_OverTime])</f>
        <v>OT002</v>
      </c>
      <c r="AK1379" t="s">
        <v>33</v>
      </c>
      <c r="AL1379">
        <v>15</v>
      </c>
      <c r="AM1379" t="str">
        <f>_xlfn.XLOOKUP(Table1[[#This Row],[PerformanceRating]],Table17[PerformanceRating],Table17[Id_PerformanceRating])</f>
        <v>PR003</v>
      </c>
      <c r="AN1379">
        <v>3</v>
      </c>
      <c r="AO1379" t="str">
        <f>_xlfn.XLOOKUP(Table1[[#This Row],[PerformanceRating]],Table17[PerformanceRating],Table17[Deskripsi])</f>
        <v>Excellent</v>
      </c>
      <c r="AP1379" t="str">
        <f>_xlfn.XLOOKUP(Table1[[#This Row],[RelationshipSatisfaction]],Table18[RelationshipSatisfaction],Table18[Id_RelationshipSatisfaction])</f>
        <v>RS004</v>
      </c>
      <c r="AQ1379">
        <v>4</v>
      </c>
      <c r="AR1379" t="str">
        <f>_xlfn.XLOOKUP(Table1[[#This Row],[RelationshipSatisfaction]],Table18[RelationshipSatisfaction],Table18[Deskripsi])</f>
        <v>Very High</v>
      </c>
      <c r="AS1379" t="str">
        <f>_xlfn.XLOOKUP(Table1[[#This Row],[StockOptionLevel]],Table19[StockOptionLevel],Table19[Id_StockOptionLevel])</f>
        <v>SOL001</v>
      </c>
      <c r="AT1379">
        <v>0</v>
      </c>
      <c r="AU1379" t="str">
        <f>_xlfn.XLOOKUP(Table1[[#This Row],[StockOptionLevel]],Table19[StockOptionLevel],Table19[Deskripsi])</f>
        <v>Non-Eligible</v>
      </c>
      <c r="AV1379">
        <v>28</v>
      </c>
      <c r="AW1379">
        <v>3</v>
      </c>
      <c r="AX1379" t="str">
        <f>_xlfn.XLOOKUP(Table1[[#This Row],[WorkLifeBalance]],Table20[WorkLifeBalance],Table20[Id_WorkLifeBalance])</f>
        <v>WLB002</v>
      </c>
      <c r="AY1379">
        <v>3</v>
      </c>
      <c r="AZ1379" t="str">
        <f>_xlfn.XLOOKUP(Table1[[#This Row],[WorkLifeBalance]],Table20[WorkLifeBalance],Table20[Deskripsi])</f>
        <v>Good</v>
      </c>
      <c r="BA1379">
        <v>5</v>
      </c>
      <c r="BB1379">
        <v>4</v>
      </c>
      <c r="BC1379">
        <v>4</v>
      </c>
      <c r="BD1379">
        <v>3</v>
      </c>
    </row>
    <row r="1380" spans="1:56" x14ac:dyDescent="0.25">
      <c r="A1380">
        <v>42</v>
      </c>
      <c r="B1380" t="str">
        <f>_xlfn.XLOOKUP(Table1[[#This Row],[Attrition]],Table2[Attrition],Table2[Id_Attrition])</f>
        <v>A002</v>
      </c>
      <c r="C1380" t="s">
        <v>33</v>
      </c>
      <c r="D1380" t="str">
        <f>_xlfn.XLOOKUP(Table1[[#This Row],[BusinessTravel]],Table5[BusinessTravel],Table5[Id_BusinessTravel])</f>
        <v>BS001</v>
      </c>
      <c r="E1380" t="s">
        <v>34</v>
      </c>
      <c r="F1380">
        <v>419</v>
      </c>
      <c r="G1380" t="str">
        <f>_xlfn.XLOOKUP(Table1[[#This Row],[Department]],Table6[Department],Table6[Id_Departement])</f>
        <v>D001</v>
      </c>
      <c r="H1380" t="s">
        <v>37</v>
      </c>
      <c r="I1380">
        <v>12</v>
      </c>
      <c r="J1380" t="str">
        <f>_xlfn.XLOOKUP(Table1[[#This Row],[Education]],Table8[Education],Table8[Id_Education])</f>
        <v>E004</v>
      </c>
      <c r="K1380">
        <v>4</v>
      </c>
      <c r="L1380" t="str">
        <f>_xlfn.XLOOKUP(Table1[[#This Row],[EducationField]],Table7[EducationField],Table7[Id_EducationField])</f>
        <v>EF004</v>
      </c>
      <c r="M1380" t="s">
        <v>43</v>
      </c>
      <c r="N1380" t="str">
        <f>_xlfn.XLOOKUP(Table1[[#This Row],[EmployeeNumber]],Table4[EmployeeNumber],Table4[Id_Employee])</f>
        <v>EMP01379</v>
      </c>
      <c r="O1380">
        <v>1943</v>
      </c>
      <c r="P1380" t="str">
        <f>_xlfn.XLOOKUP(Table1[[#This Row],[EnvironmentSatisfaction]],Table9[EnvironmentSatisfaction],Table9[Id_EnviromentSatisfaction])</f>
        <v>ES002</v>
      </c>
      <c r="Q1380">
        <v>2</v>
      </c>
      <c r="R1380" t="str">
        <f>_xlfn.XLOOKUP(Table1[[#This Row],[EnvironmentSatisfaction]],Table9[EnvironmentSatisfaction],Table9[Deskripsi])</f>
        <v>Medium</v>
      </c>
      <c r="S1380" t="str">
        <f>_xlfn.XLOOKUP(Table1[[#This Row],[Gender]],Table10[Gender],Table10[Id_Gender])</f>
        <v>G002</v>
      </c>
      <c r="T1380" t="s">
        <v>46</v>
      </c>
      <c r="U1380">
        <v>77</v>
      </c>
      <c r="V1380" t="str">
        <f>_xlfn.XLOOKUP(Table1[[#This Row],[JobInvolvement]],Table11[JobInvolvement],Table11[Id_JobInvolvement])</f>
        <v>JI003</v>
      </c>
      <c r="W1380">
        <v>3</v>
      </c>
      <c r="X1380" t="str">
        <f>_xlfn.XLOOKUP(Table1[[#This Row],[JobLevel]],Table12[JobLevel],Table12[Id_JobLevel])</f>
        <v>JL002</v>
      </c>
      <c r="Y1380">
        <v>2</v>
      </c>
      <c r="Z1380" t="str">
        <f>_xlfn.XLOOKUP(Table1[[#This Row],[JobRole]],Table13[JobRole],Table13[Id_JobRole])</f>
        <v>JR001</v>
      </c>
      <c r="AA1380" t="s">
        <v>47</v>
      </c>
      <c r="AB1380" t="str">
        <f>_xlfn.XLOOKUP(Table1[[#This Row],[JobSatisfaction]],Table14[JobSatisfaction],Table14[Id_JobSatisfaction])</f>
        <v>JS004</v>
      </c>
      <c r="AC1380">
        <v>4</v>
      </c>
      <c r="AD1380" t="str">
        <f>_xlfn.XLOOKUP(Table1[[#This Row],[JobSatisfaction]],Table14[JobSatisfaction],Table14[Deskripsi])</f>
        <v>Very High</v>
      </c>
      <c r="AE1380" t="str">
        <f>_xlfn.XLOOKUP(Table1[[#This Row],[MaritalStatus]],Table15[MaritalStatus],Table15[Id_MaritalStatus])</f>
        <v>MS003</v>
      </c>
      <c r="AF1380" t="s">
        <v>57</v>
      </c>
      <c r="AG1380">
        <v>5087</v>
      </c>
      <c r="AH1380">
        <v>2900</v>
      </c>
      <c r="AI1380">
        <v>3</v>
      </c>
      <c r="AJ1380" t="str">
        <f>_xlfn.XLOOKUP(Table1[[#This Row],[OverTime]],Table16[OverTime],Table16[Id_OverTime])</f>
        <v>OT001</v>
      </c>
      <c r="AK1380" t="s">
        <v>32</v>
      </c>
      <c r="AL1380">
        <v>12</v>
      </c>
      <c r="AM1380" t="str">
        <f>_xlfn.XLOOKUP(Table1[[#This Row],[PerformanceRating]],Table17[PerformanceRating],Table17[Id_PerformanceRating])</f>
        <v>PR003</v>
      </c>
      <c r="AN1380">
        <v>3</v>
      </c>
      <c r="AO1380" t="str">
        <f>_xlfn.XLOOKUP(Table1[[#This Row],[PerformanceRating]],Table17[PerformanceRating],Table17[Deskripsi])</f>
        <v>Excellent</v>
      </c>
      <c r="AP1380" t="str">
        <f>_xlfn.XLOOKUP(Table1[[#This Row],[RelationshipSatisfaction]],Table18[RelationshipSatisfaction],Table18[Id_RelationshipSatisfaction])</f>
        <v>RS003</v>
      </c>
      <c r="AQ1380">
        <v>3</v>
      </c>
      <c r="AR1380" t="str">
        <f>_xlfn.XLOOKUP(Table1[[#This Row],[RelationshipSatisfaction]],Table18[RelationshipSatisfaction],Table18[Deskripsi])</f>
        <v>High</v>
      </c>
      <c r="AS1380" t="str">
        <f>_xlfn.XLOOKUP(Table1[[#This Row],[StockOptionLevel]],Table19[StockOptionLevel],Table19[Id_StockOptionLevel])</f>
        <v>SOL003</v>
      </c>
      <c r="AT1380">
        <v>2</v>
      </c>
      <c r="AU1380" t="str">
        <f>_xlfn.XLOOKUP(Table1[[#This Row],[StockOptionLevel]],Table19[StockOptionLevel],Table19[Deskripsi])</f>
        <v>Intermediate</v>
      </c>
      <c r="AV1380">
        <v>14</v>
      </c>
      <c r="AW1380">
        <v>4</v>
      </c>
      <c r="AX1380" t="str">
        <f>_xlfn.XLOOKUP(Table1[[#This Row],[WorkLifeBalance]],Table20[WorkLifeBalance],Table20[Id_WorkLifeBalance])</f>
        <v>WLB002</v>
      </c>
      <c r="AY1380">
        <v>3</v>
      </c>
      <c r="AZ1380" t="str">
        <f>_xlfn.XLOOKUP(Table1[[#This Row],[WorkLifeBalance]],Table20[WorkLifeBalance],Table20[Deskripsi])</f>
        <v>Good</v>
      </c>
      <c r="BA1380">
        <v>0</v>
      </c>
      <c r="BB1380">
        <v>0</v>
      </c>
      <c r="BC1380">
        <v>0</v>
      </c>
      <c r="BD1380">
        <v>0</v>
      </c>
    </row>
    <row r="1381" spans="1:56" x14ac:dyDescent="0.25">
      <c r="A1381">
        <v>27</v>
      </c>
      <c r="B1381" t="str">
        <f>_xlfn.XLOOKUP(Table1[[#This Row],[Attrition]],Table2[Attrition],Table2[Id_Attrition])</f>
        <v>A001</v>
      </c>
      <c r="C1381" t="s">
        <v>32</v>
      </c>
      <c r="D1381" t="str">
        <f>_xlfn.XLOOKUP(Table1[[#This Row],[BusinessTravel]],Table5[BusinessTravel],Table5[Id_BusinessTravel])</f>
        <v>BS002</v>
      </c>
      <c r="E1381" t="s">
        <v>35</v>
      </c>
      <c r="F1381">
        <v>1337</v>
      </c>
      <c r="G1381" t="str">
        <f>_xlfn.XLOOKUP(Table1[[#This Row],[Department]],Table6[Department],Table6[Id_Departement])</f>
        <v>D003</v>
      </c>
      <c r="H1381" t="s">
        <v>39</v>
      </c>
      <c r="I1381">
        <v>22</v>
      </c>
      <c r="J1381" t="str">
        <f>_xlfn.XLOOKUP(Table1[[#This Row],[Education]],Table8[Education],Table8[Id_Education])</f>
        <v>E003</v>
      </c>
      <c r="K1381">
        <v>3</v>
      </c>
      <c r="L1381" t="str">
        <f>_xlfn.XLOOKUP(Table1[[#This Row],[EducationField]],Table7[EducationField],Table7[Id_EducationField])</f>
        <v>EF006</v>
      </c>
      <c r="M1381" t="s">
        <v>39</v>
      </c>
      <c r="N1381" t="str">
        <f>_xlfn.XLOOKUP(Table1[[#This Row],[EmployeeNumber]],Table4[EmployeeNumber],Table4[Id_Employee])</f>
        <v>EMP01380</v>
      </c>
      <c r="O1381">
        <v>1944</v>
      </c>
      <c r="P1381" t="str">
        <f>_xlfn.XLOOKUP(Table1[[#This Row],[EnvironmentSatisfaction]],Table9[EnvironmentSatisfaction],Table9[Id_EnviromentSatisfaction])</f>
        <v>ES001</v>
      </c>
      <c r="Q1381">
        <v>1</v>
      </c>
      <c r="R1381" t="str">
        <f>_xlfn.XLOOKUP(Table1[[#This Row],[EnvironmentSatisfaction]],Table9[EnvironmentSatisfaction],Table9[Deskripsi])</f>
        <v>Low</v>
      </c>
      <c r="S1381" t="str">
        <f>_xlfn.XLOOKUP(Table1[[#This Row],[Gender]],Table10[Gender],Table10[Id_Gender])</f>
        <v>G001</v>
      </c>
      <c r="T1381" t="s">
        <v>45</v>
      </c>
      <c r="U1381">
        <v>58</v>
      </c>
      <c r="V1381" t="str">
        <f>_xlfn.XLOOKUP(Table1[[#This Row],[JobInvolvement]],Table11[JobInvolvement],Table11[Id_JobInvolvement])</f>
        <v>JI002</v>
      </c>
      <c r="W1381">
        <v>2</v>
      </c>
      <c r="X1381" t="str">
        <f>_xlfn.XLOOKUP(Table1[[#This Row],[JobLevel]],Table12[JobLevel],Table12[Id_JobLevel])</f>
        <v>JL001</v>
      </c>
      <c r="Y1381">
        <v>1</v>
      </c>
      <c r="Z1381" t="str">
        <f>_xlfn.XLOOKUP(Table1[[#This Row],[JobRole]],Table13[JobRole],Table13[Id_JobRole])</f>
        <v>JR009</v>
      </c>
      <c r="AA1381" t="s">
        <v>39</v>
      </c>
      <c r="AB1381" t="str">
        <f>_xlfn.XLOOKUP(Table1[[#This Row],[JobSatisfaction]],Table14[JobSatisfaction],Table14[Id_JobSatisfaction])</f>
        <v>JS002</v>
      </c>
      <c r="AC1381">
        <v>2</v>
      </c>
      <c r="AD1381" t="str">
        <f>_xlfn.XLOOKUP(Table1[[#This Row],[JobSatisfaction]],Table14[JobSatisfaction],Table14[Deskripsi])</f>
        <v>Medium</v>
      </c>
      <c r="AE1381" t="str">
        <f>_xlfn.XLOOKUP(Table1[[#This Row],[MaritalStatus]],Table15[MaritalStatus],Table15[Id_MaritalStatus])</f>
        <v>MS002</v>
      </c>
      <c r="AF1381" t="s">
        <v>56</v>
      </c>
      <c r="AG1381">
        <v>2863</v>
      </c>
      <c r="AH1381">
        <v>19555</v>
      </c>
      <c r="AI1381">
        <v>1</v>
      </c>
      <c r="AJ1381" t="str">
        <f>_xlfn.XLOOKUP(Table1[[#This Row],[OverTime]],Table16[OverTime],Table16[Id_OverTime])</f>
        <v>OT002</v>
      </c>
      <c r="AK1381" t="s">
        <v>33</v>
      </c>
      <c r="AL1381">
        <v>12</v>
      </c>
      <c r="AM1381" t="str">
        <f>_xlfn.XLOOKUP(Table1[[#This Row],[PerformanceRating]],Table17[PerformanceRating],Table17[Id_PerformanceRating])</f>
        <v>PR003</v>
      </c>
      <c r="AN1381">
        <v>3</v>
      </c>
      <c r="AO1381" t="str">
        <f>_xlfn.XLOOKUP(Table1[[#This Row],[PerformanceRating]],Table17[PerformanceRating],Table17[Deskripsi])</f>
        <v>Excellent</v>
      </c>
      <c r="AP1381" t="str">
        <f>_xlfn.XLOOKUP(Table1[[#This Row],[RelationshipSatisfaction]],Table18[RelationshipSatisfaction],Table18[Id_RelationshipSatisfaction])</f>
        <v>RS001</v>
      </c>
      <c r="AQ1381">
        <v>1</v>
      </c>
      <c r="AR1381" t="str">
        <f>_xlfn.XLOOKUP(Table1[[#This Row],[RelationshipSatisfaction]],Table18[RelationshipSatisfaction],Table18[Deskripsi])</f>
        <v>Low</v>
      </c>
      <c r="AS1381" t="str">
        <f>_xlfn.XLOOKUP(Table1[[#This Row],[StockOptionLevel]],Table19[StockOptionLevel],Table19[Id_StockOptionLevel])</f>
        <v>SOL001</v>
      </c>
      <c r="AT1381">
        <v>0</v>
      </c>
      <c r="AU1381" t="str">
        <f>_xlfn.XLOOKUP(Table1[[#This Row],[StockOptionLevel]],Table19[StockOptionLevel],Table19[Deskripsi])</f>
        <v>Non-Eligible</v>
      </c>
      <c r="AV1381">
        <v>1</v>
      </c>
      <c r="AW1381">
        <v>2</v>
      </c>
      <c r="AX1381" t="str">
        <f>_xlfn.XLOOKUP(Table1[[#This Row],[WorkLifeBalance]],Table20[WorkLifeBalance],Table20[Id_WorkLifeBalance])</f>
        <v>WLB002</v>
      </c>
      <c r="AY1381">
        <v>3</v>
      </c>
      <c r="AZ1381" t="str">
        <f>_xlfn.XLOOKUP(Table1[[#This Row],[WorkLifeBalance]],Table20[WorkLifeBalance],Table20[Deskripsi])</f>
        <v>Good</v>
      </c>
      <c r="BA1381">
        <v>1</v>
      </c>
      <c r="BB1381">
        <v>0</v>
      </c>
      <c r="BC1381">
        <v>0</v>
      </c>
      <c r="BD1381">
        <v>0</v>
      </c>
    </row>
    <row r="1382" spans="1:56" x14ac:dyDescent="0.25">
      <c r="A1382">
        <v>35</v>
      </c>
      <c r="B1382" t="str">
        <f>_xlfn.XLOOKUP(Table1[[#This Row],[Attrition]],Table2[Attrition],Table2[Id_Attrition])</f>
        <v>A002</v>
      </c>
      <c r="C1382" t="s">
        <v>33</v>
      </c>
      <c r="D1382" t="str">
        <f>_xlfn.XLOOKUP(Table1[[#This Row],[BusinessTravel]],Table5[BusinessTravel],Table5[Id_BusinessTravel])</f>
        <v>BS001</v>
      </c>
      <c r="E1382" t="s">
        <v>34</v>
      </c>
      <c r="F1382">
        <v>682</v>
      </c>
      <c r="G1382" t="str">
        <f>_xlfn.XLOOKUP(Table1[[#This Row],[Department]],Table6[Department],Table6[Id_Departement])</f>
        <v>D001</v>
      </c>
      <c r="H1382" t="s">
        <v>37</v>
      </c>
      <c r="I1382">
        <v>18</v>
      </c>
      <c r="J1382" t="str">
        <f>_xlfn.XLOOKUP(Table1[[#This Row],[Education]],Table8[Education],Table8[Id_Education])</f>
        <v>E004</v>
      </c>
      <c r="K1382">
        <v>4</v>
      </c>
      <c r="L1382" t="str">
        <f>_xlfn.XLOOKUP(Table1[[#This Row],[EducationField]],Table7[EducationField],Table7[Id_EducationField])</f>
        <v>EF003</v>
      </c>
      <c r="M1382" t="s">
        <v>42</v>
      </c>
      <c r="N1382" t="str">
        <f>_xlfn.XLOOKUP(Table1[[#This Row],[EmployeeNumber]],Table4[EmployeeNumber],Table4[Id_Employee])</f>
        <v>EMP01381</v>
      </c>
      <c r="O1382">
        <v>1945</v>
      </c>
      <c r="P1382" t="str">
        <f>_xlfn.XLOOKUP(Table1[[#This Row],[EnvironmentSatisfaction]],Table9[EnvironmentSatisfaction],Table9[Id_EnviromentSatisfaction])</f>
        <v>ES002</v>
      </c>
      <c r="Q1382">
        <v>2</v>
      </c>
      <c r="R1382" t="str">
        <f>_xlfn.XLOOKUP(Table1[[#This Row],[EnvironmentSatisfaction]],Table9[EnvironmentSatisfaction],Table9[Deskripsi])</f>
        <v>Medium</v>
      </c>
      <c r="S1382" t="str">
        <f>_xlfn.XLOOKUP(Table1[[#This Row],[Gender]],Table10[Gender],Table10[Id_Gender])</f>
        <v>G002</v>
      </c>
      <c r="T1382" t="s">
        <v>46</v>
      </c>
      <c r="U1382">
        <v>71</v>
      </c>
      <c r="V1382" t="str">
        <f>_xlfn.XLOOKUP(Table1[[#This Row],[JobInvolvement]],Table11[JobInvolvement],Table11[Id_JobInvolvement])</f>
        <v>JI003</v>
      </c>
      <c r="W1382">
        <v>3</v>
      </c>
      <c r="X1382" t="str">
        <f>_xlfn.XLOOKUP(Table1[[#This Row],[JobLevel]],Table12[JobLevel],Table12[Id_JobLevel])</f>
        <v>JL002</v>
      </c>
      <c r="Y1382">
        <v>2</v>
      </c>
      <c r="Z1382" t="str">
        <f>_xlfn.XLOOKUP(Table1[[#This Row],[JobRole]],Table13[JobRole],Table13[Id_JobRole])</f>
        <v>JR001</v>
      </c>
      <c r="AA1382" t="s">
        <v>47</v>
      </c>
      <c r="AB1382" t="str">
        <f>_xlfn.XLOOKUP(Table1[[#This Row],[JobSatisfaction]],Table14[JobSatisfaction],Table14[Id_JobSatisfaction])</f>
        <v>JS001</v>
      </c>
      <c r="AC1382">
        <v>1</v>
      </c>
      <c r="AD1382" t="str">
        <f>_xlfn.XLOOKUP(Table1[[#This Row],[JobSatisfaction]],Table14[JobSatisfaction],Table14[Deskripsi])</f>
        <v>Low</v>
      </c>
      <c r="AE1382" t="str">
        <f>_xlfn.XLOOKUP(Table1[[#This Row],[MaritalStatus]],Table15[MaritalStatus],Table15[Id_MaritalStatus])</f>
        <v>MS002</v>
      </c>
      <c r="AF1382" t="s">
        <v>56</v>
      </c>
      <c r="AG1382">
        <v>5561</v>
      </c>
      <c r="AH1382">
        <v>15975</v>
      </c>
      <c r="AI1382">
        <v>0</v>
      </c>
      <c r="AJ1382" t="str">
        <f>_xlfn.XLOOKUP(Table1[[#This Row],[OverTime]],Table16[OverTime],Table16[Id_OverTime])</f>
        <v>OT002</v>
      </c>
      <c r="AK1382" t="s">
        <v>33</v>
      </c>
      <c r="AL1382">
        <v>16</v>
      </c>
      <c r="AM1382" t="str">
        <f>_xlfn.XLOOKUP(Table1[[#This Row],[PerformanceRating]],Table17[PerformanceRating],Table17[Id_PerformanceRating])</f>
        <v>PR003</v>
      </c>
      <c r="AN1382">
        <v>3</v>
      </c>
      <c r="AO1382" t="str">
        <f>_xlfn.XLOOKUP(Table1[[#This Row],[PerformanceRating]],Table17[PerformanceRating],Table17[Deskripsi])</f>
        <v>Excellent</v>
      </c>
      <c r="AP1382" t="str">
        <f>_xlfn.XLOOKUP(Table1[[#This Row],[RelationshipSatisfaction]],Table18[RelationshipSatisfaction],Table18[Id_RelationshipSatisfaction])</f>
        <v>RS004</v>
      </c>
      <c r="AQ1382">
        <v>4</v>
      </c>
      <c r="AR1382" t="str">
        <f>_xlfn.XLOOKUP(Table1[[#This Row],[RelationshipSatisfaction]],Table18[RelationshipSatisfaction],Table18[Deskripsi])</f>
        <v>Very High</v>
      </c>
      <c r="AS1382" t="str">
        <f>_xlfn.XLOOKUP(Table1[[#This Row],[StockOptionLevel]],Table19[StockOptionLevel],Table19[Id_StockOptionLevel])</f>
        <v>SOL002</v>
      </c>
      <c r="AT1382">
        <v>1</v>
      </c>
      <c r="AU1382" t="str">
        <f>_xlfn.XLOOKUP(Table1[[#This Row],[StockOptionLevel]],Table19[StockOptionLevel],Table19[Deskripsi])</f>
        <v>Standard</v>
      </c>
      <c r="AV1382">
        <v>6</v>
      </c>
      <c r="AW1382">
        <v>2</v>
      </c>
      <c r="AX1382" t="str">
        <f>_xlfn.XLOOKUP(Table1[[#This Row],[WorkLifeBalance]],Table20[WorkLifeBalance],Table20[Id_WorkLifeBalance])</f>
        <v>WLB001</v>
      </c>
      <c r="AY1382">
        <v>1</v>
      </c>
      <c r="AZ1382" t="str">
        <f>_xlfn.XLOOKUP(Table1[[#This Row],[WorkLifeBalance]],Table20[WorkLifeBalance],Table20[Deskripsi])</f>
        <v>Bad</v>
      </c>
      <c r="BA1382">
        <v>5</v>
      </c>
      <c r="BB1382">
        <v>3</v>
      </c>
      <c r="BC1382">
        <v>0</v>
      </c>
      <c r="BD1382">
        <v>4</v>
      </c>
    </row>
    <row r="1383" spans="1:56" x14ac:dyDescent="0.25">
      <c r="A1383">
        <v>28</v>
      </c>
      <c r="B1383" t="str">
        <f>_xlfn.XLOOKUP(Table1[[#This Row],[Attrition]],Table2[Attrition],Table2[Id_Attrition])</f>
        <v>A002</v>
      </c>
      <c r="C1383" t="s">
        <v>33</v>
      </c>
      <c r="D1383" t="str">
        <f>_xlfn.XLOOKUP(Table1[[#This Row],[BusinessTravel]],Table5[BusinessTravel],Table5[Id_BusinessTravel])</f>
        <v>BS003</v>
      </c>
      <c r="E1383" t="s">
        <v>36</v>
      </c>
      <c r="F1383">
        <v>1103</v>
      </c>
      <c r="G1383" t="str">
        <f>_xlfn.XLOOKUP(Table1[[#This Row],[Department]],Table6[Department],Table6[Id_Departement])</f>
        <v>D002</v>
      </c>
      <c r="H1383" t="s">
        <v>38</v>
      </c>
      <c r="I1383">
        <v>16</v>
      </c>
      <c r="J1383" t="str">
        <f>_xlfn.XLOOKUP(Table1[[#This Row],[Education]],Table8[Education],Table8[Id_Education])</f>
        <v>E003</v>
      </c>
      <c r="K1383">
        <v>3</v>
      </c>
      <c r="L1383" t="str">
        <f>_xlfn.XLOOKUP(Table1[[#This Row],[EducationField]],Table7[EducationField],Table7[Id_EducationField])</f>
        <v>EF003</v>
      </c>
      <c r="M1383" t="s">
        <v>42</v>
      </c>
      <c r="N1383" t="str">
        <f>_xlfn.XLOOKUP(Table1[[#This Row],[EmployeeNumber]],Table4[EmployeeNumber],Table4[Id_Employee])</f>
        <v>EMP01382</v>
      </c>
      <c r="O1383">
        <v>1947</v>
      </c>
      <c r="P1383" t="str">
        <f>_xlfn.XLOOKUP(Table1[[#This Row],[EnvironmentSatisfaction]],Table9[EnvironmentSatisfaction],Table9[Id_EnviromentSatisfaction])</f>
        <v>ES003</v>
      </c>
      <c r="Q1383">
        <v>3</v>
      </c>
      <c r="R1383" t="str">
        <f>_xlfn.XLOOKUP(Table1[[#This Row],[EnvironmentSatisfaction]],Table9[EnvironmentSatisfaction],Table9[Deskripsi])</f>
        <v>High</v>
      </c>
      <c r="S1383" t="str">
        <f>_xlfn.XLOOKUP(Table1[[#This Row],[Gender]],Table10[Gender],Table10[Id_Gender])</f>
        <v>G002</v>
      </c>
      <c r="T1383" t="s">
        <v>46</v>
      </c>
      <c r="U1383">
        <v>49</v>
      </c>
      <c r="V1383" t="str">
        <f>_xlfn.XLOOKUP(Table1[[#This Row],[JobInvolvement]],Table11[JobInvolvement],Table11[Id_JobInvolvement])</f>
        <v>JI003</v>
      </c>
      <c r="W1383">
        <v>3</v>
      </c>
      <c r="X1383" t="str">
        <f>_xlfn.XLOOKUP(Table1[[#This Row],[JobLevel]],Table12[JobLevel],Table12[Id_JobLevel])</f>
        <v>JL001</v>
      </c>
      <c r="Y1383">
        <v>1</v>
      </c>
      <c r="Z1383" t="str">
        <f>_xlfn.XLOOKUP(Table1[[#This Row],[JobRole]],Table13[JobRole],Table13[Id_JobRole])</f>
        <v>JR002</v>
      </c>
      <c r="AA1383" t="s">
        <v>48</v>
      </c>
      <c r="AB1383" t="str">
        <f>_xlfn.XLOOKUP(Table1[[#This Row],[JobSatisfaction]],Table14[JobSatisfaction],Table14[Id_JobSatisfaction])</f>
        <v>JS003</v>
      </c>
      <c r="AC1383">
        <v>3</v>
      </c>
      <c r="AD1383" t="str">
        <f>_xlfn.XLOOKUP(Table1[[#This Row],[JobSatisfaction]],Table14[JobSatisfaction],Table14[Deskripsi])</f>
        <v>High</v>
      </c>
      <c r="AE1383" t="str">
        <f>_xlfn.XLOOKUP(Table1[[#This Row],[MaritalStatus]],Table15[MaritalStatus],Table15[Id_MaritalStatus])</f>
        <v>MS001</v>
      </c>
      <c r="AF1383" t="s">
        <v>55</v>
      </c>
      <c r="AG1383">
        <v>2144</v>
      </c>
      <c r="AH1383">
        <v>2122</v>
      </c>
      <c r="AI1383">
        <v>1</v>
      </c>
      <c r="AJ1383" t="str">
        <f>_xlfn.XLOOKUP(Table1[[#This Row],[OverTime]],Table16[OverTime],Table16[Id_OverTime])</f>
        <v>OT002</v>
      </c>
      <c r="AK1383" t="s">
        <v>33</v>
      </c>
      <c r="AL1383">
        <v>14</v>
      </c>
      <c r="AM1383" t="str">
        <f>_xlfn.XLOOKUP(Table1[[#This Row],[PerformanceRating]],Table17[PerformanceRating],Table17[Id_PerformanceRating])</f>
        <v>PR003</v>
      </c>
      <c r="AN1383">
        <v>3</v>
      </c>
      <c r="AO1383" t="str">
        <f>_xlfn.XLOOKUP(Table1[[#This Row],[PerformanceRating]],Table17[PerformanceRating],Table17[Deskripsi])</f>
        <v>Excellent</v>
      </c>
      <c r="AP1383" t="str">
        <f>_xlfn.XLOOKUP(Table1[[#This Row],[RelationshipSatisfaction]],Table18[RelationshipSatisfaction],Table18[Id_RelationshipSatisfaction])</f>
        <v>RS003</v>
      </c>
      <c r="AQ1383">
        <v>3</v>
      </c>
      <c r="AR1383" t="str">
        <f>_xlfn.XLOOKUP(Table1[[#This Row],[RelationshipSatisfaction]],Table18[RelationshipSatisfaction],Table18[Deskripsi])</f>
        <v>High</v>
      </c>
      <c r="AS1383" t="str">
        <f>_xlfn.XLOOKUP(Table1[[#This Row],[StockOptionLevel]],Table19[StockOptionLevel],Table19[Id_StockOptionLevel])</f>
        <v>SOL001</v>
      </c>
      <c r="AT1383">
        <v>0</v>
      </c>
      <c r="AU1383" t="str">
        <f>_xlfn.XLOOKUP(Table1[[#This Row],[StockOptionLevel]],Table19[StockOptionLevel],Table19[Deskripsi])</f>
        <v>Non-Eligible</v>
      </c>
      <c r="AV1383">
        <v>5</v>
      </c>
      <c r="AW1383">
        <v>3</v>
      </c>
      <c r="AX1383" t="str">
        <f>_xlfn.XLOOKUP(Table1[[#This Row],[WorkLifeBalance]],Table20[WorkLifeBalance],Table20[Id_WorkLifeBalance])</f>
        <v>WLB003</v>
      </c>
      <c r="AY1383">
        <v>2</v>
      </c>
      <c r="AZ1383" t="str">
        <f>_xlfn.XLOOKUP(Table1[[#This Row],[WorkLifeBalance]],Table20[WorkLifeBalance],Table20[Deskripsi])</f>
        <v>Better</v>
      </c>
      <c r="BA1383">
        <v>5</v>
      </c>
      <c r="BB1383">
        <v>3</v>
      </c>
      <c r="BC1383">
        <v>1</v>
      </c>
      <c r="BD1383">
        <v>4</v>
      </c>
    </row>
    <row r="1384" spans="1:56" x14ac:dyDescent="0.25">
      <c r="A1384">
        <v>31</v>
      </c>
      <c r="B1384" t="str">
        <f>_xlfn.XLOOKUP(Table1[[#This Row],[Attrition]],Table2[Attrition],Table2[Id_Attrition])</f>
        <v>A002</v>
      </c>
      <c r="C1384" t="s">
        <v>33</v>
      </c>
      <c r="D1384" t="str">
        <f>_xlfn.XLOOKUP(Table1[[#This Row],[BusinessTravel]],Table5[BusinessTravel],Table5[Id_BusinessTravel])</f>
        <v>BS003</v>
      </c>
      <c r="E1384" t="s">
        <v>36</v>
      </c>
      <c r="F1384">
        <v>976</v>
      </c>
      <c r="G1384" t="str">
        <f>_xlfn.XLOOKUP(Table1[[#This Row],[Department]],Table6[Department],Table6[Id_Departement])</f>
        <v>D002</v>
      </c>
      <c r="H1384" t="s">
        <v>38</v>
      </c>
      <c r="I1384">
        <v>3</v>
      </c>
      <c r="J1384" t="str">
        <f>_xlfn.XLOOKUP(Table1[[#This Row],[Education]],Table8[Education],Table8[Id_Education])</f>
        <v>E002</v>
      </c>
      <c r="K1384">
        <v>2</v>
      </c>
      <c r="L1384" t="str">
        <f>_xlfn.XLOOKUP(Table1[[#This Row],[EducationField]],Table7[EducationField],Table7[Id_EducationField])</f>
        <v>EF003</v>
      </c>
      <c r="M1384" t="s">
        <v>42</v>
      </c>
      <c r="N1384" t="str">
        <f>_xlfn.XLOOKUP(Table1[[#This Row],[EmployeeNumber]],Table4[EmployeeNumber],Table4[Id_Employee])</f>
        <v>EMP01383</v>
      </c>
      <c r="O1384">
        <v>1948</v>
      </c>
      <c r="P1384" t="str">
        <f>_xlfn.XLOOKUP(Table1[[#This Row],[EnvironmentSatisfaction]],Table9[EnvironmentSatisfaction],Table9[Id_EnviromentSatisfaction])</f>
        <v>ES003</v>
      </c>
      <c r="Q1384">
        <v>3</v>
      </c>
      <c r="R1384" t="str">
        <f>_xlfn.XLOOKUP(Table1[[#This Row],[EnvironmentSatisfaction]],Table9[EnvironmentSatisfaction],Table9[Deskripsi])</f>
        <v>High</v>
      </c>
      <c r="S1384" t="str">
        <f>_xlfn.XLOOKUP(Table1[[#This Row],[Gender]],Table10[Gender],Table10[Id_Gender])</f>
        <v>G002</v>
      </c>
      <c r="T1384" t="s">
        <v>46</v>
      </c>
      <c r="U1384">
        <v>48</v>
      </c>
      <c r="V1384" t="str">
        <f>_xlfn.XLOOKUP(Table1[[#This Row],[JobInvolvement]],Table11[JobInvolvement],Table11[Id_JobInvolvement])</f>
        <v>JI003</v>
      </c>
      <c r="W1384">
        <v>3</v>
      </c>
      <c r="X1384" t="str">
        <f>_xlfn.XLOOKUP(Table1[[#This Row],[JobLevel]],Table12[JobLevel],Table12[Id_JobLevel])</f>
        <v>JL001</v>
      </c>
      <c r="Y1384">
        <v>1</v>
      </c>
      <c r="Z1384" t="str">
        <f>_xlfn.XLOOKUP(Table1[[#This Row],[JobRole]],Table13[JobRole],Table13[Id_JobRole])</f>
        <v>JR002</v>
      </c>
      <c r="AA1384" t="s">
        <v>48</v>
      </c>
      <c r="AB1384" t="str">
        <f>_xlfn.XLOOKUP(Table1[[#This Row],[JobSatisfaction]],Table14[JobSatisfaction],Table14[Id_JobSatisfaction])</f>
        <v>JS001</v>
      </c>
      <c r="AC1384">
        <v>1</v>
      </c>
      <c r="AD1384" t="str">
        <f>_xlfn.XLOOKUP(Table1[[#This Row],[JobSatisfaction]],Table14[JobSatisfaction],Table14[Deskripsi])</f>
        <v>Low</v>
      </c>
      <c r="AE1384" t="str">
        <f>_xlfn.XLOOKUP(Table1[[#This Row],[MaritalStatus]],Table15[MaritalStatus],Table15[Id_MaritalStatus])</f>
        <v>MS003</v>
      </c>
      <c r="AF1384" t="s">
        <v>57</v>
      </c>
      <c r="AG1384">
        <v>3065</v>
      </c>
      <c r="AH1384">
        <v>3995</v>
      </c>
      <c r="AI1384">
        <v>1</v>
      </c>
      <c r="AJ1384" t="str">
        <f>_xlfn.XLOOKUP(Table1[[#This Row],[OverTime]],Table16[OverTime],Table16[Id_OverTime])</f>
        <v>OT001</v>
      </c>
      <c r="AK1384" t="s">
        <v>32</v>
      </c>
      <c r="AL1384">
        <v>13</v>
      </c>
      <c r="AM1384" t="str">
        <f>_xlfn.XLOOKUP(Table1[[#This Row],[PerformanceRating]],Table17[PerformanceRating],Table17[Id_PerformanceRating])</f>
        <v>PR003</v>
      </c>
      <c r="AN1384">
        <v>3</v>
      </c>
      <c r="AO1384" t="str">
        <f>_xlfn.XLOOKUP(Table1[[#This Row],[PerformanceRating]],Table17[PerformanceRating],Table17[Deskripsi])</f>
        <v>Excellent</v>
      </c>
      <c r="AP1384" t="str">
        <f>_xlfn.XLOOKUP(Table1[[#This Row],[RelationshipSatisfaction]],Table18[RelationshipSatisfaction],Table18[Id_RelationshipSatisfaction])</f>
        <v>RS004</v>
      </c>
      <c r="AQ1384">
        <v>4</v>
      </c>
      <c r="AR1384" t="str">
        <f>_xlfn.XLOOKUP(Table1[[#This Row],[RelationshipSatisfaction]],Table18[RelationshipSatisfaction],Table18[Deskripsi])</f>
        <v>Very High</v>
      </c>
      <c r="AS1384" t="str">
        <f>_xlfn.XLOOKUP(Table1[[#This Row],[StockOptionLevel]],Table19[StockOptionLevel],Table19[Id_StockOptionLevel])</f>
        <v>SOL002</v>
      </c>
      <c r="AT1384">
        <v>1</v>
      </c>
      <c r="AU1384" t="str">
        <f>_xlfn.XLOOKUP(Table1[[#This Row],[StockOptionLevel]],Table19[StockOptionLevel],Table19[Deskripsi])</f>
        <v>Standard</v>
      </c>
      <c r="AV1384">
        <v>4</v>
      </c>
      <c r="AW1384">
        <v>3</v>
      </c>
      <c r="AX1384" t="str">
        <f>_xlfn.XLOOKUP(Table1[[#This Row],[WorkLifeBalance]],Table20[WorkLifeBalance],Table20[Id_WorkLifeBalance])</f>
        <v>WLB004</v>
      </c>
      <c r="AY1384">
        <v>4</v>
      </c>
      <c r="AZ1384" t="str">
        <f>_xlfn.XLOOKUP(Table1[[#This Row],[WorkLifeBalance]],Table20[WorkLifeBalance],Table20[Deskripsi])</f>
        <v>Best</v>
      </c>
      <c r="BA1384">
        <v>4</v>
      </c>
      <c r="BB1384">
        <v>2</v>
      </c>
      <c r="BC1384">
        <v>2</v>
      </c>
      <c r="BD1384">
        <v>3</v>
      </c>
    </row>
    <row r="1385" spans="1:56" x14ac:dyDescent="0.25">
      <c r="A1385">
        <v>36</v>
      </c>
      <c r="B1385" t="str">
        <f>_xlfn.XLOOKUP(Table1[[#This Row],[Attrition]],Table2[Attrition],Table2[Id_Attrition])</f>
        <v>A002</v>
      </c>
      <c r="C1385" t="s">
        <v>33</v>
      </c>
      <c r="D1385" t="str">
        <f>_xlfn.XLOOKUP(Table1[[#This Row],[BusinessTravel]],Table5[BusinessTravel],Table5[Id_BusinessTravel])</f>
        <v>BS003</v>
      </c>
      <c r="E1385" t="s">
        <v>36</v>
      </c>
      <c r="F1385">
        <v>1351</v>
      </c>
      <c r="G1385" t="str">
        <f>_xlfn.XLOOKUP(Table1[[#This Row],[Department]],Table6[Department],Table6[Id_Departement])</f>
        <v>D002</v>
      </c>
      <c r="H1385" t="s">
        <v>38</v>
      </c>
      <c r="I1385">
        <v>9</v>
      </c>
      <c r="J1385" t="str">
        <f>_xlfn.XLOOKUP(Table1[[#This Row],[Education]],Table8[Education],Table8[Id_Education])</f>
        <v>E004</v>
      </c>
      <c r="K1385">
        <v>4</v>
      </c>
      <c r="L1385" t="str">
        <f>_xlfn.XLOOKUP(Table1[[#This Row],[EducationField]],Table7[EducationField],Table7[Id_EducationField])</f>
        <v>EF001</v>
      </c>
      <c r="M1385" t="s">
        <v>40</v>
      </c>
      <c r="N1385" t="str">
        <f>_xlfn.XLOOKUP(Table1[[#This Row],[EmployeeNumber]],Table4[EmployeeNumber],Table4[Id_Employee])</f>
        <v>EMP01384</v>
      </c>
      <c r="O1385">
        <v>1949</v>
      </c>
      <c r="P1385" t="str">
        <f>_xlfn.XLOOKUP(Table1[[#This Row],[EnvironmentSatisfaction]],Table9[EnvironmentSatisfaction],Table9[Id_EnviromentSatisfaction])</f>
        <v>ES001</v>
      </c>
      <c r="Q1385">
        <v>1</v>
      </c>
      <c r="R1385" t="str">
        <f>_xlfn.XLOOKUP(Table1[[#This Row],[EnvironmentSatisfaction]],Table9[EnvironmentSatisfaction],Table9[Deskripsi])</f>
        <v>Low</v>
      </c>
      <c r="S1385" t="str">
        <f>_xlfn.XLOOKUP(Table1[[#This Row],[Gender]],Table10[Gender],Table10[Id_Gender])</f>
        <v>G002</v>
      </c>
      <c r="T1385" t="s">
        <v>46</v>
      </c>
      <c r="U1385">
        <v>66</v>
      </c>
      <c r="V1385" t="str">
        <f>_xlfn.XLOOKUP(Table1[[#This Row],[JobInvolvement]],Table11[JobInvolvement],Table11[Id_JobInvolvement])</f>
        <v>JI004</v>
      </c>
      <c r="W1385">
        <v>4</v>
      </c>
      <c r="X1385" t="str">
        <f>_xlfn.XLOOKUP(Table1[[#This Row],[JobLevel]],Table12[JobLevel],Table12[Id_JobLevel])</f>
        <v>JL001</v>
      </c>
      <c r="Y1385">
        <v>1</v>
      </c>
      <c r="Z1385" t="str">
        <f>_xlfn.XLOOKUP(Table1[[#This Row],[JobRole]],Table13[JobRole],Table13[Id_JobRole])</f>
        <v>JR003</v>
      </c>
      <c r="AA1385" t="s">
        <v>49</v>
      </c>
      <c r="AB1385" t="str">
        <f>_xlfn.XLOOKUP(Table1[[#This Row],[JobSatisfaction]],Table14[JobSatisfaction],Table14[Id_JobSatisfaction])</f>
        <v>JS002</v>
      </c>
      <c r="AC1385">
        <v>2</v>
      </c>
      <c r="AD1385" t="str">
        <f>_xlfn.XLOOKUP(Table1[[#This Row],[JobSatisfaction]],Table14[JobSatisfaction],Table14[Deskripsi])</f>
        <v>Medium</v>
      </c>
      <c r="AE1385" t="str">
        <f>_xlfn.XLOOKUP(Table1[[#This Row],[MaritalStatus]],Table15[MaritalStatus],Table15[Id_MaritalStatus])</f>
        <v>MS002</v>
      </c>
      <c r="AF1385" t="s">
        <v>56</v>
      </c>
      <c r="AG1385">
        <v>2810</v>
      </c>
      <c r="AH1385">
        <v>9238</v>
      </c>
      <c r="AI1385">
        <v>1</v>
      </c>
      <c r="AJ1385" t="str">
        <f>_xlfn.XLOOKUP(Table1[[#This Row],[OverTime]],Table16[OverTime],Table16[Id_OverTime])</f>
        <v>OT002</v>
      </c>
      <c r="AK1385" t="s">
        <v>33</v>
      </c>
      <c r="AL1385">
        <v>22</v>
      </c>
      <c r="AM1385" t="str">
        <f>_xlfn.XLOOKUP(Table1[[#This Row],[PerformanceRating]],Table17[PerformanceRating],Table17[Id_PerformanceRating])</f>
        <v>PR004</v>
      </c>
      <c r="AN1385">
        <v>4</v>
      </c>
      <c r="AO1385" t="str">
        <f>_xlfn.XLOOKUP(Table1[[#This Row],[PerformanceRating]],Table17[PerformanceRating],Table17[Deskripsi])</f>
        <v>Outstanding</v>
      </c>
      <c r="AP1385" t="str">
        <f>_xlfn.XLOOKUP(Table1[[#This Row],[RelationshipSatisfaction]],Table18[RelationshipSatisfaction],Table18[Id_RelationshipSatisfaction])</f>
        <v>RS002</v>
      </c>
      <c r="AQ1385">
        <v>2</v>
      </c>
      <c r="AR1385" t="str">
        <f>_xlfn.XLOOKUP(Table1[[#This Row],[RelationshipSatisfaction]],Table18[RelationshipSatisfaction],Table18[Deskripsi])</f>
        <v>Medium</v>
      </c>
      <c r="AS1385" t="str">
        <f>_xlfn.XLOOKUP(Table1[[#This Row],[StockOptionLevel]],Table19[StockOptionLevel],Table19[Id_StockOptionLevel])</f>
        <v>SOL001</v>
      </c>
      <c r="AT1385">
        <v>0</v>
      </c>
      <c r="AU1385" t="str">
        <f>_xlfn.XLOOKUP(Table1[[#This Row],[StockOptionLevel]],Table19[StockOptionLevel],Table19[Deskripsi])</f>
        <v>Non-Eligible</v>
      </c>
      <c r="AV1385">
        <v>5</v>
      </c>
      <c r="AW1385">
        <v>3</v>
      </c>
      <c r="AX1385" t="str">
        <f>_xlfn.XLOOKUP(Table1[[#This Row],[WorkLifeBalance]],Table20[WorkLifeBalance],Table20[Id_WorkLifeBalance])</f>
        <v>WLB002</v>
      </c>
      <c r="AY1385">
        <v>3</v>
      </c>
      <c r="AZ1385" t="str">
        <f>_xlfn.XLOOKUP(Table1[[#This Row],[WorkLifeBalance]],Table20[WorkLifeBalance],Table20[Deskripsi])</f>
        <v>Good</v>
      </c>
      <c r="BA1385">
        <v>5</v>
      </c>
      <c r="BB1385">
        <v>4</v>
      </c>
      <c r="BC1385">
        <v>0</v>
      </c>
      <c r="BD1385">
        <v>2</v>
      </c>
    </row>
    <row r="1386" spans="1:56" x14ac:dyDescent="0.25">
      <c r="A1386">
        <v>34</v>
      </c>
      <c r="B1386" t="str">
        <f>_xlfn.XLOOKUP(Table1[[#This Row],[Attrition]],Table2[Attrition],Table2[Id_Attrition])</f>
        <v>A002</v>
      </c>
      <c r="C1386" t="s">
        <v>33</v>
      </c>
      <c r="D1386" t="str">
        <f>_xlfn.XLOOKUP(Table1[[#This Row],[BusinessTravel]],Table5[BusinessTravel],Table5[Id_BusinessTravel])</f>
        <v>BS001</v>
      </c>
      <c r="E1386" t="s">
        <v>34</v>
      </c>
      <c r="F1386">
        <v>937</v>
      </c>
      <c r="G1386" t="str">
        <f>_xlfn.XLOOKUP(Table1[[#This Row],[Department]],Table6[Department],Table6[Id_Departement])</f>
        <v>D001</v>
      </c>
      <c r="H1386" t="s">
        <v>37</v>
      </c>
      <c r="I1386">
        <v>1</v>
      </c>
      <c r="J1386" t="str">
        <f>_xlfn.XLOOKUP(Table1[[#This Row],[Education]],Table8[Education],Table8[Id_Education])</f>
        <v>E003</v>
      </c>
      <c r="K1386">
        <v>3</v>
      </c>
      <c r="L1386" t="str">
        <f>_xlfn.XLOOKUP(Table1[[#This Row],[EducationField]],Table7[EducationField],Table7[Id_EducationField])</f>
        <v>EF004</v>
      </c>
      <c r="M1386" t="s">
        <v>43</v>
      </c>
      <c r="N1386" t="str">
        <f>_xlfn.XLOOKUP(Table1[[#This Row],[EmployeeNumber]],Table4[EmployeeNumber],Table4[Id_Employee])</f>
        <v>EMP01385</v>
      </c>
      <c r="O1386">
        <v>1950</v>
      </c>
      <c r="P1386" t="str">
        <f>_xlfn.XLOOKUP(Table1[[#This Row],[EnvironmentSatisfaction]],Table9[EnvironmentSatisfaction],Table9[Id_EnviromentSatisfaction])</f>
        <v>ES001</v>
      </c>
      <c r="Q1386">
        <v>1</v>
      </c>
      <c r="R1386" t="str">
        <f>_xlfn.XLOOKUP(Table1[[#This Row],[EnvironmentSatisfaction]],Table9[EnvironmentSatisfaction],Table9[Deskripsi])</f>
        <v>Low</v>
      </c>
      <c r="S1386" t="str">
        <f>_xlfn.XLOOKUP(Table1[[#This Row],[Gender]],Table10[Gender],Table10[Id_Gender])</f>
        <v>G002</v>
      </c>
      <c r="T1386" t="s">
        <v>46</v>
      </c>
      <c r="U1386">
        <v>32</v>
      </c>
      <c r="V1386" t="str">
        <f>_xlfn.XLOOKUP(Table1[[#This Row],[JobInvolvement]],Table11[JobInvolvement],Table11[Id_JobInvolvement])</f>
        <v>JI003</v>
      </c>
      <c r="W1386">
        <v>3</v>
      </c>
      <c r="X1386" t="str">
        <f>_xlfn.XLOOKUP(Table1[[#This Row],[JobLevel]],Table12[JobLevel],Table12[Id_JobLevel])</f>
        <v>JL003</v>
      </c>
      <c r="Y1386">
        <v>3</v>
      </c>
      <c r="Z1386" t="str">
        <f>_xlfn.XLOOKUP(Table1[[#This Row],[JobRole]],Table13[JobRole],Table13[Id_JobRole])</f>
        <v>JR001</v>
      </c>
      <c r="AA1386" t="s">
        <v>47</v>
      </c>
      <c r="AB1386" t="str">
        <f>_xlfn.XLOOKUP(Table1[[#This Row],[JobSatisfaction]],Table14[JobSatisfaction],Table14[Id_JobSatisfaction])</f>
        <v>JS004</v>
      </c>
      <c r="AC1386">
        <v>4</v>
      </c>
      <c r="AD1386" t="str">
        <f>_xlfn.XLOOKUP(Table1[[#This Row],[JobSatisfaction]],Table14[JobSatisfaction],Table14[Deskripsi])</f>
        <v>Very High</v>
      </c>
      <c r="AE1386" t="str">
        <f>_xlfn.XLOOKUP(Table1[[#This Row],[MaritalStatus]],Table15[MaritalStatus],Table15[Id_MaritalStatus])</f>
        <v>MS001</v>
      </c>
      <c r="AF1386" t="s">
        <v>55</v>
      </c>
      <c r="AG1386">
        <v>9888</v>
      </c>
      <c r="AH1386">
        <v>6770</v>
      </c>
      <c r="AI1386">
        <v>1</v>
      </c>
      <c r="AJ1386" t="str">
        <f>_xlfn.XLOOKUP(Table1[[#This Row],[OverTime]],Table16[OverTime],Table16[Id_OverTime])</f>
        <v>OT002</v>
      </c>
      <c r="AK1386" t="s">
        <v>33</v>
      </c>
      <c r="AL1386">
        <v>21</v>
      </c>
      <c r="AM1386" t="str">
        <f>_xlfn.XLOOKUP(Table1[[#This Row],[PerformanceRating]],Table17[PerformanceRating],Table17[Id_PerformanceRating])</f>
        <v>PR004</v>
      </c>
      <c r="AN1386">
        <v>4</v>
      </c>
      <c r="AO1386" t="str">
        <f>_xlfn.XLOOKUP(Table1[[#This Row],[PerformanceRating]],Table17[PerformanceRating],Table17[Deskripsi])</f>
        <v>Outstanding</v>
      </c>
      <c r="AP1386" t="str">
        <f>_xlfn.XLOOKUP(Table1[[#This Row],[RelationshipSatisfaction]],Table18[RelationshipSatisfaction],Table18[Id_RelationshipSatisfaction])</f>
        <v>RS001</v>
      </c>
      <c r="AQ1386">
        <v>1</v>
      </c>
      <c r="AR1386" t="str">
        <f>_xlfn.XLOOKUP(Table1[[#This Row],[RelationshipSatisfaction]],Table18[RelationshipSatisfaction],Table18[Deskripsi])</f>
        <v>Low</v>
      </c>
      <c r="AS1386" t="str">
        <f>_xlfn.XLOOKUP(Table1[[#This Row],[StockOptionLevel]],Table19[StockOptionLevel],Table19[Id_StockOptionLevel])</f>
        <v>SOL001</v>
      </c>
      <c r="AT1386">
        <v>0</v>
      </c>
      <c r="AU1386" t="str">
        <f>_xlfn.XLOOKUP(Table1[[#This Row],[StockOptionLevel]],Table19[StockOptionLevel],Table19[Deskripsi])</f>
        <v>Non-Eligible</v>
      </c>
      <c r="AV1386">
        <v>14</v>
      </c>
      <c r="AW1386">
        <v>3</v>
      </c>
      <c r="AX1386" t="str">
        <f>_xlfn.XLOOKUP(Table1[[#This Row],[WorkLifeBalance]],Table20[WorkLifeBalance],Table20[Id_WorkLifeBalance])</f>
        <v>WLB003</v>
      </c>
      <c r="AY1386">
        <v>2</v>
      </c>
      <c r="AZ1386" t="str">
        <f>_xlfn.XLOOKUP(Table1[[#This Row],[WorkLifeBalance]],Table20[WorkLifeBalance],Table20[Deskripsi])</f>
        <v>Better</v>
      </c>
      <c r="BA1386">
        <v>14</v>
      </c>
      <c r="BB1386">
        <v>8</v>
      </c>
      <c r="BC1386">
        <v>2</v>
      </c>
      <c r="BD1386">
        <v>1</v>
      </c>
    </row>
    <row r="1387" spans="1:56" x14ac:dyDescent="0.25">
      <c r="A1387">
        <v>34</v>
      </c>
      <c r="B1387" t="str">
        <f>_xlfn.XLOOKUP(Table1[[#This Row],[Attrition]],Table2[Attrition],Table2[Id_Attrition])</f>
        <v>A002</v>
      </c>
      <c r="C1387" t="s">
        <v>33</v>
      </c>
      <c r="D1387" t="str">
        <f>_xlfn.XLOOKUP(Table1[[#This Row],[BusinessTravel]],Table5[BusinessTravel],Table5[Id_BusinessTravel])</f>
        <v>BS001</v>
      </c>
      <c r="E1387" t="s">
        <v>34</v>
      </c>
      <c r="F1387">
        <v>1239</v>
      </c>
      <c r="G1387" t="str">
        <f>_xlfn.XLOOKUP(Table1[[#This Row],[Department]],Table6[Department],Table6[Id_Departement])</f>
        <v>D001</v>
      </c>
      <c r="H1387" t="s">
        <v>37</v>
      </c>
      <c r="I1387">
        <v>13</v>
      </c>
      <c r="J1387" t="str">
        <f>_xlfn.XLOOKUP(Table1[[#This Row],[Education]],Table8[Education],Table8[Id_Education])</f>
        <v>E004</v>
      </c>
      <c r="K1387">
        <v>4</v>
      </c>
      <c r="L1387" t="str">
        <f>_xlfn.XLOOKUP(Table1[[#This Row],[EducationField]],Table7[EducationField],Table7[Id_EducationField])</f>
        <v>EF003</v>
      </c>
      <c r="M1387" t="s">
        <v>42</v>
      </c>
      <c r="N1387" t="str">
        <f>_xlfn.XLOOKUP(Table1[[#This Row],[EmployeeNumber]],Table4[EmployeeNumber],Table4[Id_Employee])</f>
        <v>EMP01386</v>
      </c>
      <c r="O1387">
        <v>1951</v>
      </c>
      <c r="P1387" t="str">
        <f>_xlfn.XLOOKUP(Table1[[#This Row],[EnvironmentSatisfaction]],Table9[EnvironmentSatisfaction],Table9[Id_EnviromentSatisfaction])</f>
        <v>ES004</v>
      </c>
      <c r="Q1387">
        <v>4</v>
      </c>
      <c r="R1387" t="str">
        <f>_xlfn.XLOOKUP(Table1[[#This Row],[EnvironmentSatisfaction]],Table9[EnvironmentSatisfaction],Table9[Deskripsi])</f>
        <v>Very High</v>
      </c>
      <c r="S1387" t="str">
        <f>_xlfn.XLOOKUP(Table1[[#This Row],[Gender]],Table10[Gender],Table10[Id_Gender])</f>
        <v>G002</v>
      </c>
      <c r="T1387" t="s">
        <v>46</v>
      </c>
      <c r="U1387">
        <v>39</v>
      </c>
      <c r="V1387" t="str">
        <f>_xlfn.XLOOKUP(Table1[[#This Row],[JobInvolvement]],Table11[JobInvolvement],Table11[Id_JobInvolvement])</f>
        <v>JI003</v>
      </c>
      <c r="W1387">
        <v>3</v>
      </c>
      <c r="X1387" t="str">
        <f>_xlfn.XLOOKUP(Table1[[#This Row],[JobLevel]],Table12[JobLevel],Table12[Id_JobLevel])</f>
        <v>JL003</v>
      </c>
      <c r="Y1387">
        <v>3</v>
      </c>
      <c r="Z1387" t="str">
        <f>_xlfn.XLOOKUP(Table1[[#This Row],[JobRole]],Table13[JobRole],Table13[Id_JobRole])</f>
        <v>JR001</v>
      </c>
      <c r="AA1387" t="s">
        <v>47</v>
      </c>
      <c r="AB1387" t="str">
        <f>_xlfn.XLOOKUP(Table1[[#This Row],[JobSatisfaction]],Table14[JobSatisfaction],Table14[Id_JobSatisfaction])</f>
        <v>JS003</v>
      </c>
      <c r="AC1387">
        <v>3</v>
      </c>
      <c r="AD1387" t="str">
        <f>_xlfn.XLOOKUP(Table1[[#This Row],[JobSatisfaction]],Table14[JobSatisfaction],Table14[Deskripsi])</f>
        <v>High</v>
      </c>
      <c r="AE1387" t="str">
        <f>_xlfn.XLOOKUP(Table1[[#This Row],[MaritalStatus]],Table15[MaritalStatus],Table15[Id_MaritalStatus])</f>
        <v>MS003</v>
      </c>
      <c r="AF1387" t="s">
        <v>57</v>
      </c>
      <c r="AG1387">
        <v>8628</v>
      </c>
      <c r="AH1387">
        <v>22914</v>
      </c>
      <c r="AI1387">
        <v>1</v>
      </c>
      <c r="AJ1387" t="str">
        <f>_xlfn.XLOOKUP(Table1[[#This Row],[OverTime]],Table16[OverTime],Table16[Id_OverTime])</f>
        <v>OT002</v>
      </c>
      <c r="AK1387" t="s">
        <v>33</v>
      </c>
      <c r="AL1387">
        <v>18</v>
      </c>
      <c r="AM1387" t="str">
        <f>_xlfn.XLOOKUP(Table1[[#This Row],[PerformanceRating]],Table17[PerformanceRating],Table17[Id_PerformanceRating])</f>
        <v>PR003</v>
      </c>
      <c r="AN1387">
        <v>3</v>
      </c>
      <c r="AO1387" t="str">
        <f>_xlfn.XLOOKUP(Table1[[#This Row],[PerformanceRating]],Table17[PerformanceRating],Table17[Deskripsi])</f>
        <v>Excellent</v>
      </c>
      <c r="AP1387" t="str">
        <f>_xlfn.XLOOKUP(Table1[[#This Row],[RelationshipSatisfaction]],Table18[RelationshipSatisfaction],Table18[Id_RelationshipSatisfaction])</f>
        <v>RS003</v>
      </c>
      <c r="AQ1387">
        <v>3</v>
      </c>
      <c r="AR1387" t="str">
        <f>_xlfn.XLOOKUP(Table1[[#This Row],[RelationshipSatisfaction]],Table18[RelationshipSatisfaction],Table18[Deskripsi])</f>
        <v>High</v>
      </c>
      <c r="AS1387" t="str">
        <f>_xlfn.XLOOKUP(Table1[[#This Row],[StockOptionLevel]],Table19[StockOptionLevel],Table19[Id_StockOptionLevel])</f>
        <v>SOL002</v>
      </c>
      <c r="AT1387">
        <v>1</v>
      </c>
      <c r="AU1387" t="str">
        <f>_xlfn.XLOOKUP(Table1[[#This Row],[StockOptionLevel]],Table19[StockOptionLevel],Table19[Deskripsi])</f>
        <v>Standard</v>
      </c>
      <c r="AV1387">
        <v>9</v>
      </c>
      <c r="AW1387">
        <v>2</v>
      </c>
      <c r="AX1387" t="str">
        <f>_xlfn.XLOOKUP(Table1[[#This Row],[WorkLifeBalance]],Table20[WorkLifeBalance],Table20[Id_WorkLifeBalance])</f>
        <v>WLB003</v>
      </c>
      <c r="AY1387">
        <v>2</v>
      </c>
      <c r="AZ1387" t="str">
        <f>_xlfn.XLOOKUP(Table1[[#This Row],[WorkLifeBalance]],Table20[WorkLifeBalance],Table20[Deskripsi])</f>
        <v>Better</v>
      </c>
      <c r="BA1387">
        <v>8</v>
      </c>
      <c r="BB1387">
        <v>7</v>
      </c>
      <c r="BC1387">
        <v>1</v>
      </c>
      <c r="BD1387">
        <v>1</v>
      </c>
    </row>
    <row r="1388" spans="1:56" x14ac:dyDescent="0.25">
      <c r="A1388">
        <v>26</v>
      </c>
      <c r="B1388" t="str">
        <f>_xlfn.XLOOKUP(Table1[[#This Row],[Attrition]],Table2[Attrition],Table2[Id_Attrition])</f>
        <v>A002</v>
      </c>
      <c r="C1388" t="s">
        <v>33</v>
      </c>
      <c r="D1388" t="str">
        <f>_xlfn.XLOOKUP(Table1[[#This Row],[BusinessTravel]],Table5[BusinessTravel],Table5[Id_BusinessTravel])</f>
        <v>BS001</v>
      </c>
      <c r="E1388" t="s">
        <v>34</v>
      </c>
      <c r="F1388">
        <v>157</v>
      </c>
      <c r="G1388" t="str">
        <f>_xlfn.XLOOKUP(Table1[[#This Row],[Department]],Table6[Department],Table6[Id_Departement])</f>
        <v>D002</v>
      </c>
      <c r="H1388" t="s">
        <v>38</v>
      </c>
      <c r="I1388">
        <v>1</v>
      </c>
      <c r="J1388" t="str">
        <f>_xlfn.XLOOKUP(Table1[[#This Row],[Education]],Table8[Education],Table8[Id_Education])</f>
        <v>E003</v>
      </c>
      <c r="K1388">
        <v>3</v>
      </c>
      <c r="L1388" t="str">
        <f>_xlfn.XLOOKUP(Table1[[#This Row],[EducationField]],Table7[EducationField],Table7[Id_EducationField])</f>
        <v>EF003</v>
      </c>
      <c r="M1388" t="s">
        <v>42</v>
      </c>
      <c r="N1388" t="str">
        <f>_xlfn.XLOOKUP(Table1[[#This Row],[EmployeeNumber]],Table4[EmployeeNumber],Table4[Id_Employee])</f>
        <v>EMP01387</v>
      </c>
      <c r="O1388">
        <v>1952</v>
      </c>
      <c r="P1388" t="str">
        <f>_xlfn.XLOOKUP(Table1[[#This Row],[EnvironmentSatisfaction]],Table9[EnvironmentSatisfaction],Table9[Id_EnviromentSatisfaction])</f>
        <v>ES003</v>
      </c>
      <c r="Q1388">
        <v>3</v>
      </c>
      <c r="R1388" t="str">
        <f>_xlfn.XLOOKUP(Table1[[#This Row],[EnvironmentSatisfaction]],Table9[EnvironmentSatisfaction],Table9[Deskripsi])</f>
        <v>High</v>
      </c>
      <c r="S1388" t="str">
        <f>_xlfn.XLOOKUP(Table1[[#This Row],[Gender]],Table10[Gender],Table10[Id_Gender])</f>
        <v>G002</v>
      </c>
      <c r="T1388" t="s">
        <v>46</v>
      </c>
      <c r="U1388">
        <v>95</v>
      </c>
      <c r="V1388" t="str">
        <f>_xlfn.XLOOKUP(Table1[[#This Row],[JobInvolvement]],Table11[JobInvolvement],Table11[Id_JobInvolvement])</f>
        <v>JI003</v>
      </c>
      <c r="W1388">
        <v>3</v>
      </c>
      <c r="X1388" t="str">
        <f>_xlfn.XLOOKUP(Table1[[#This Row],[JobLevel]],Table12[JobLevel],Table12[Id_JobLevel])</f>
        <v>JL001</v>
      </c>
      <c r="Y1388">
        <v>1</v>
      </c>
      <c r="Z1388" t="str">
        <f>_xlfn.XLOOKUP(Table1[[#This Row],[JobRole]],Table13[JobRole],Table13[Id_JobRole])</f>
        <v>JR003</v>
      </c>
      <c r="AA1388" t="s">
        <v>49</v>
      </c>
      <c r="AB1388" t="str">
        <f>_xlfn.XLOOKUP(Table1[[#This Row],[JobSatisfaction]],Table14[JobSatisfaction],Table14[Id_JobSatisfaction])</f>
        <v>JS001</v>
      </c>
      <c r="AC1388">
        <v>1</v>
      </c>
      <c r="AD1388" t="str">
        <f>_xlfn.XLOOKUP(Table1[[#This Row],[JobSatisfaction]],Table14[JobSatisfaction],Table14[Deskripsi])</f>
        <v>Low</v>
      </c>
      <c r="AE1388" t="str">
        <f>_xlfn.XLOOKUP(Table1[[#This Row],[MaritalStatus]],Table15[MaritalStatus],Table15[Id_MaritalStatus])</f>
        <v>MS001</v>
      </c>
      <c r="AF1388" t="s">
        <v>55</v>
      </c>
      <c r="AG1388">
        <v>2867</v>
      </c>
      <c r="AH1388">
        <v>20006</v>
      </c>
      <c r="AI1388">
        <v>0</v>
      </c>
      <c r="AJ1388" t="str">
        <f>_xlfn.XLOOKUP(Table1[[#This Row],[OverTime]],Table16[OverTime],Table16[Id_OverTime])</f>
        <v>OT002</v>
      </c>
      <c r="AK1388" t="s">
        <v>33</v>
      </c>
      <c r="AL1388">
        <v>13</v>
      </c>
      <c r="AM1388" t="str">
        <f>_xlfn.XLOOKUP(Table1[[#This Row],[PerformanceRating]],Table17[PerformanceRating],Table17[Id_PerformanceRating])</f>
        <v>PR003</v>
      </c>
      <c r="AN1388">
        <v>3</v>
      </c>
      <c r="AO1388" t="str">
        <f>_xlfn.XLOOKUP(Table1[[#This Row],[PerformanceRating]],Table17[PerformanceRating],Table17[Deskripsi])</f>
        <v>Excellent</v>
      </c>
      <c r="AP1388" t="str">
        <f>_xlfn.XLOOKUP(Table1[[#This Row],[RelationshipSatisfaction]],Table18[RelationshipSatisfaction],Table18[Id_RelationshipSatisfaction])</f>
        <v>RS004</v>
      </c>
      <c r="AQ1388">
        <v>4</v>
      </c>
      <c r="AR1388" t="str">
        <f>_xlfn.XLOOKUP(Table1[[#This Row],[RelationshipSatisfaction]],Table18[RelationshipSatisfaction],Table18[Deskripsi])</f>
        <v>Very High</v>
      </c>
      <c r="AS1388" t="str">
        <f>_xlfn.XLOOKUP(Table1[[#This Row],[StockOptionLevel]],Table19[StockOptionLevel],Table19[Id_StockOptionLevel])</f>
        <v>SOL001</v>
      </c>
      <c r="AT1388">
        <v>0</v>
      </c>
      <c r="AU1388" t="str">
        <f>_xlfn.XLOOKUP(Table1[[#This Row],[StockOptionLevel]],Table19[StockOptionLevel],Table19[Deskripsi])</f>
        <v>Non-Eligible</v>
      </c>
      <c r="AV1388">
        <v>8</v>
      </c>
      <c r="AW1388">
        <v>6</v>
      </c>
      <c r="AX1388" t="str">
        <f>_xlfn.XLOOKUP(Table1[[#This Row],[WorkLifeBalance]],Table20[WorkLifeBalance],Table20[Id_WorkLifeBalance])</f>
        <v>WLB003</v>
      </c>
      <c r="AY1388">
        <v>2</v>
      </c>
      <c r="AZ1388" t="str">
        <f>_xlfn.XLOOKUP(Table1[[#This Row],[WorkLifeBalance]],Table20[WorkLifeBalance],Table20[Deskripsi])</f>
        <v>Better</v>
      </c>
      <c r="BA1388">
        <v>7</v>
      </c>
      <c r="BB1388">
        <v>7</v>
      </c>
      <c r="BC1388">
        <v>7</v>
      </c>
      <c r="BD1388">
        <v>6</v>
      </c>
    </row>
    <row r="1389" spans="1:56" x14ac:dyDescent="0.25">
      <c r="A1389">
        <v>29</v>
      </c>
      <c r="B1389" t="str">
        <f>_xlfn.XLOOKUP(Table1[[#This Row],[Attrition]],Table2[Attrition],Table2[Id_Attrition])</f>
        <v>A002</v>
      </c>
      <c r="C1389" t="s">
        <v>33</v>
      </c>
      <c r="D1389" t="str">
        <f>_xlfn.XLOOKUP(Table1[[#This Row],[BusinessTravel]],Table5[BusinessTravel],Table5[Id_BusinessTravel])</f>
        <v>BS001</v>
      </c>
      <c r="E1389" t="s">
        <v>34</v>
      </c>
      <c r="F1389">
        <v>136</v>
      </c>
      <c r="G1389" t="str">
        <f>_xlfn.XLOOKUP(Table1[[#This Row],[Department]],Table6[Department],Table6[Id_Departement])</f>
        <v>D002</v>
      </c>
      <c r="H1389" t="s">
        <v>38</v>
      </c>
      <c r="I1389">
        <v>1</v>
      </c>
      <c r="J1389" t="str">
        <f>_xlfn.XLOOKUP(Table1[[#This Row],[Education]],Table8[Education],Table8[Id_Education])</f>
        <v>E003</v>
      </c>
      <c r="K1389">
        <v>3</v>
      </c>
      <c r="L1389" t="str">
        <f>_xlfn.XLOOKUP(Table1[[#This Row],[EducationField]],Table7[EducationField],Table7[Id_EducationField])</f>
        <v>EF001</v>
      </c>
      <c r="M1389" t="s">
        <v>40</v>
      </c>
      <c r="N1389" t="str">
        <f>_xlfn.XLOOKUP(Table1[[#This Row],[EmployeeNumber]],Table4[EmployeeNumber],Table4[Id_Employee])</f>
        <v>EMP01388</v>
      </c>
      <c r="O1389">
        <v>1954</v>
      </c>
      <c r="P1389" t="str">
        <f>_xlfn.XLOOKUP(Table1[[#This Row],[EnvironmentSatisfaction]],Table9[EnvironmentSatisfaction],Table9[Id_EnviromentSatisfaction])</f>
        <v>ES001</v>
      </c>
      <c r="Q1389">
        <v>1</v>
      </c>
      <c r="R1389" t="str">
        <f>_xlfn.XLOOKUP(Table1[[#This Row],[EnvironmentSatisfaction]],Table9[EnvironmentSatisfaction],Table9[Deskripsi])</f>
        <v>Low</v>
      </c>
      <c r="S1389" t="str">
        <f>_xlfn.XLOOKUP(Table1[[#This Row],[Gender]],Table10[Gender],Table10[Id_Gender])</f>
        <v>G002</v>
      </c>
      <c r="T1389" t="s">
        <v>46</v>
      </c>
      <c r="U1389">
        <v>89</v>
      </c>
      <c r="V1389" t="str">
        <f>_xlfn.XLOOKUP(Table1[[#This Row],[JobInvolvement]],Table11[JobInvolvement],Table11[Id_JobInvolvement])</f>
        <v>JI003</v>
      </c>
      <c r="W1389">
        <v>3</v>
      </c>
      <c r="X1389" t="str">
        <f>_xlfn.XLOOKUP(Table1[[#This Row],[JobLevel]],Table12[JobLevel],Table12[Id_JobLevel])</f>
        <v>JL002</v>
      </c>
      <c r="Y1389">
        <v>2</v>
      </c>
      <c r="Z1389" t="str">
        <f>_xlfn.XLOOKUP(Table1[[#This Row],[JobRole]],Table13[JobRole],Table13[Id_JobRole])</f>
        <v>JR005</v>
      </c>
      <c r="AA1389" t="s">
        <v>51</v>
      </c>
      <c r="AB1389" t="str">
        <f>_xlfn.XLOOKUP(Table1[[#This Row],[JobSatisfaction]],Table14[JobSatisfaction],Table14[Id_JobSatisfaction])</f>
        <v>JS001</v>
      </c>
      <c r="AC1389">
        <v>1</v>
      </c>
      <c r="AD1389" t="str">
        <f>_xlfn.XLOOKUP(Table1[[#This Row],[JobSatisfaction]],Table14[JobSatisfaction],Table14[Deskripsi])</f>
        <v>Low</v>
      </c>
      <c r="AE1389" t="str">
        <f>_xlfn.XLOOKUP(Table1[[#This Row],[MaritalStatus]],Table15[MaritalStatus],Table15[Id_MaritalStatus])</f>
        <v>MS002</v>
      </c>
      <c r="AF1389" t="s">
        <v>56</v>
      </c>
      <c r="AG1389">
        <v>5373</v>
      </c>
      <c r="AH1389">
        <v>6225</v>
      </c>
      <c r="AI1389">
        <v>0</v>
      </c>
      <c r="AJ1389" t="str">
        <f>_xlfn.XLOOKUP(Table1[[#This Row],[OverTime]],Table16[OverTime],Table16[Id_OverTime])</f>
        <v>OT002</v>
      </c>
      <c r="AK1389" t="s">
        <v>33</v>
      </c>
      <c r="AL1389">
        <v>12</v>
      </c>
      <c r="AM1389" t="str">
        <f>_xlfn.XLOOKUP(Table1[[#This Row],[PerformanceRating]],Table17[PerformanceRating],Table17[Id_PerformanceRating])</f>
        <v>PR003</v>
      </c>
      <c r="AN1389">
        <v>3</v>
      </c>
      <c r="AO1389" t="str">
        <f>_xlfn.XLOOKUP(Table1[[#This Row],[PerformanceRating]],Table17[PerformanceRating],Table17[Deskripsi])</f>
        <v>Excellent</v>
      </c>
      <c r="AP1389" t="str">
        <f>_xlfn.XLOOKUP(Table1[[#This Row],[RelationshipSatisfaction]],Table18[RelationshipSatisfaction],Table18[Id_RelationshipSatisfaction])</f>
        <v>RS001</v>
      </c>
      <c r="AQ1389">
        <v>1</v>
      </c>
      <c r="AR1389" t="str">
        <f>_xlfn.XLOOKUP(Table1[[#This Row],[RelationshipSatisfaction]],Table18[RelationshipSatisfaction],Table18[Deskripsi])</f>
        <v>Low</v>
      </c>
      <c r="AS1389" t="str">
        <f>_xlfn.XLOOKUP(Table1[[#This Row],[StockOptionLevel]],Table19[StockOptionLevel],Table19[Id_StockOptionLevel])</f>
        <v>SOL002</v>
      </c>
      <c r="AT1389">
        <v>1</v>
      </c>
      <c r="AU1389" t="str">
        <f>_xlfn.XLOOKUP(Table1[[#This Row],[StockOptionLevel]],Table19[StockOptionLevel],Table19[Deskripsi])</f>
        <v>Standard</v>
      </c>
      <c r="AV1389">
        <v>6</v>
      </c>
      <c r="AW1389">
        <v>5</v>
      </c>
      <c r="AX1389" t="str">
        <f>_xlfn.XLOOKUP(Table1[[#This Row],[WorkLifeBalance]],Table20[WorkLifeBalance],Table20[Id_WorkLifeBalance])</f>
        <v>WLB003</v>
      </c>
      <c r="AY1389">
        <v>2</v>
      </c>
      <c r="AZ1389" t="str">
        <f>_xlfn.XLOOKUP(Table1[[#This Row],[WorkLifeBalance]],Table20[WorkLifeBalance],Table20[Deskripsi])</f>
        <v>Better</v>
      </c>
      <c r="BA1389">
        <v>5</v>
      </c>
      <c r="BB1389">
        <v>3</v>
      </c>
      <c r="BC1389">
        <v>0</v>
      </c>
      <c r="BD1389">
        <v>2</v>
      </c>
    </row>
    <row r="1390" spans="1:56" x14ac:dyDescent="0.25">
      <c r="A1390">
        <v>32</v>
      </c>
      <c r="B1390" t="str">
        <f>_xlfn.XLOOKUP(Table1[[#This Row],[Attrition]],Table2[Attrition],Table2[Id_Attrition])</f>
        <v>A002</v>
      </c>
      <c r="C1390" t="s">
        <v>33</v>
      </c>
      <c r="D1390" t="str">
        <f>_xlfn.XLOOKUP(Table1[[#This Row],[BusinessTravel]],Table5[BusinessTravel],Table5[Id_BusinessTravel])</f>
        <v>BS003</v>
      </c>
      <c r="E1390" t="s">
        <v>36</v>
      </c>
      <c r="F1390">
        <v>1146</v>
      </c>
      <c r="G1390" t="str">
        <f>_xlfn.XLOOKUP(Table1[[#This Row],[Department]],Table6[Department],Table6[Id_Departement])</f>
        <v>D002</v>
      </c>
      <c r="H1390" t="s">
        <v>38</v>
      </c>
      <c r="I1390">
        <v>15</v>
      </c>
      <c r="J1390" t="str">
        <f>_xlfn.XLOOKUP(Table1[[#This Row],[Education]],Table8[Education],Table8[Id_Education])</f>
        <v>E004</v>
      </c>
      <c r="K1390">
        <v>4</v>
      </c>
      <c r="L1390" t="str">
        <f>_xlfn.XLOOKUP(Table1[[#This Row],[EducationField]],Table7[EducationField],Table7[Id_EducationField])</f>
        <v>EF003</v>
      </c>
      <c r="M1390" t="s">
        <v>42</v>
      </c>
      <c r="N1390" t="str">
        <f>_xlfn.XLOOKUP(Table1[[#This Row],[EmployeeNumber]],Table4[EmployeeNumber],Table4[Id_Employee])</f>
        <v>EMP01389</v>
      </c>
      <c r="O1390">
        <v>1955</v>
      </c>
      <c r="P1390" t="str">
        <f>_xlfn.XLOOKUP(Table1[[#This Row],[EnvironmentSatisfaction]],Table9[EnvironmentSatisfaction],Table9[Id_EnviromentSatisfaction])</f>
        <v>ES003</v>
      </c>
      <c r="Q1390">
        <v>3</v>
      </c>
      <c r="R1390" t="str">
        <f>_xlfn.XLOOKUP(Table1[[#This Row],[EnvironmentSatisfaction]],Table9[EnvironmentSatisfaction],Table9[Deskripsi])</f>
        <v>High</v>
      </c>
      <c r="S1390" t="str">
        <f>_xlfn.XLOOKUP(Table1[[#This Row],[Gender]],Table10[Gender],Table10[Id_Gender])</f>
        <v>G001</v>
      </c>
      <c r="T1390" t="s">
        <v>45</v>
      </c>
      <c r="U1390">
        <v>34</v>
      </c>
      <c r="V1390" t="str">
        <f>_xlfn.XLOOKUP(Table1[[#This Row],[JobInvolvement]],Table11[JobInvolvement],Table11[Id_JobInvolvement])</f>
        <v>JI003</v>
      </c>
      <c r="W1390">
        <v>3</v>
      </c>
      <c r="X1390" t="str">
        <f>_xlfn.XLOOKUP(Table1[[#This Row],[JobLevel]],Table12[JobLevel],Table12[Id_JobLevel])</f>
        <v>JL002</v>
      </c>
      <c r="Y1390">
        <v>2</v>
      </c>
      <c r="Z1390" t="str">
        <f>_xlfn.XLOOKUP(Table1[[#This Row],[JobRole]],Table13[JobRole],Table13[Id_JobRole])</f>
        <v>JR005</v>
      </c>
      <c r="AA1390" t="s">
        <v>51</v>
      </c>
      <c r="AB1390" t="str">
        <f>_xlfn.XLOOKUP(Table1[[#This Row],[JobSatisfaction]],Table14[JobSatisfaction],Table14[Id_JobSatisfaction])</f>
        <v>JS004</v>
      </c>
      <c r="AC1390">
        <v>4</v>
      </c>
      <c r="AD1390" t="str">
        <f>_xlfn.XLOOKUP(Table1[[#This Row],[JobSatisfaction]],Table14[JobSatisfaction],Table14[Deskripsi])</f>
        <v>Very High</v>
      </c>
      <c r="AE1390" t="str">
        <f>_xlfn.XLOOKUP(Table1[[#This Row],[MaritalStatus]],Table15[MaritalStatus],Table15[Id_MaritalStatus])</f>
        <v>MS003</v>
      </c>
      <c r="AF1390" t="s">
        <v>57</v>
      </c>
      <c r="AG1390">
        <v>6667</v>
      </c>
      <c r="AH1390">
        <v>16542</v>
      </c>
      <c r="AI1390">
        <v>5</v>
      </c>
      <c r="AJ1390" t="str">
        <f>_xlfn.XLOOKUP(Table1[[#This Row],[OverTime]],Table16[OverTime],Table16[Id_OverTime])</f>
        <v>OT002</v>
      </c>
      <c r="AK1390" t="s">
        <v>33</v>
      </c>
      <c r="AL1390">
        <v>18</v>
      </c>
      <c r="AM1390" t="str">
        <f>_xlfn.XLOOKUP(Table1[[#This Row],[PerformanceRating]],Table17[PerformanceRating],Table17[Id_PerformanceRating])</f>
        <v>PR003</v>
      </c>
      <c r="AN1390">
        <v>3</v>
      </c>
      <c r="AO1390" t="str">
        <f>_xlfn.XLOOKUP(Table1[[#This Row],[PerformanceRating]],Table17[PerformanceRating],Table17[Deskripsi])</f>
        <v>Excellent</v>
      </c>
      <c r="AP1390" t="str">
        <f>_xlfn.XLOOKUP(Table1[[#This Row],[RelationshipSatisfaction]],Table18[RelationshipSatisfaction],Table18[Id_RelationshipSatisfaction])</f>
        <v>RS002</v>
      </c>
      <c r="AQ1390">
        <v>2</v>
      </c>
      <c r="AR1390" t="str">
        <f>_xlfn.XLOOKUP(Table1[[#This Row],[RelationshipSatisfaction]],Table18[RelationshipSatisfaction],Table18[Deskripsi])</f>
        <v>Medium</v>
      </c>
      <c r="AS1390" t="str">
        <f>_xlfn.XLOOKUP(Table1[[#This Row],[StockOptionLevel]],Table19[StockOptionLevel],Table19[Id_StockOptionLevel])</f>
        <v>SOL002</v>
      </c>
      <c r="AT1390">
        <v>1</v>
      </c>
      <c r="AU1390" t="str">
        <f>_xlfn.XLOOKUP(Table1[[#This Row],[StockOptionLevel]],Table19[StockOptionLevel],Table19[Deskripsi])</f>
        <v>Standard</v>
      </c>
      <c r="AV1390">
        <v>9</v>
      </c>
      <c r="AW1390">
        <v>6</v>
      </c>
      <c r="AX1390" t="str">
        <f>_xlfn.XLOOKUP(Table1[[#This Row],[WorkLifeBalance]],Table20[WorkLifeBalance],Table20[Id_WorkLifeBalance])</f>
        <v>WLB002</v>
      </c>
      <c r="AY1390">
        <v>3</v>
      </c>
      <c r="AZ1390" t="str">
        <f>_xlfn.XLOOKUP(Table1[[#This Row],[WorkLifeBalance]],Table20[WorkLifeBalance],Table20[Deskripsi])</f>
        <v>Good</v>
      </c>
      <c r="BA1390">
        <v>5</v>
      </c>
      <c r="BB1390">
        <v>1</v>
      </c>
      <c r="BC1390">
        <v>1</v>
      </c>
      <c r="BD1390">
        <v>2</v>
      </c>
    </row>
    <row r="1391" spans="1:56" x14ac:dyDescent="0.25">
      <c r="A1391">
        <v>31</v>
      </c>
      <c r="B1391" t="str">
        <f>_xlfn.XLOOKUP(Table1[[#This Row],[Attrition]],Table2[Attrition],Table2[Id_Attrition])</f>
        <v>A002</v>
      </c>
      <c r="C1391" t="s">
        <v>33</v>
      </c>
      <c r="D1391" t="str">
        <f>_xlfn.XLOOKUP(Table1[[#This Row],[BusinessTravel]],Table5[BusinessTravel],Table5[Id_BusinessTravel])</f>
        <v>BS002</v>
      </c>
      <c r="E1391" t="s">
        <v>35</v>
      </c>
      <c r="F1391">
        <v>1125</v>
      </c>
      <c r="G1391" t="str">
        <f>_xlfn.XLOOKUP(Table1[[#This Row],[Department]],Table6[Department],Table6[Id_Departement])</f>
        <v>D002</v>
      </c>
      <c r="H1391" t="s">
        <v>38</v>
      </c>
      <c r="I1391">
        <v>1</v>
      </c>
      <c r="J1391" t="str">
        <f>_xlfn.XLOOKUP(Table1[[#This Row],[Education]],Table8[Education],Table8[Id_Education])</f>
        <v>E003</v>
      </c>
      <c r="K1391">
        <v>3</v>
      </c>
      <c r="L1391" t="str">
        <f>_xlfn.XLOOKUP(Table1[[#This Row],[EducationField]],Table7[EducationField],Table7[Id_EducationField])</f>
        <v>EF001</v>
      </c>
      <c r="M1391" t="s">
        <v>40</v>
      </c>
      <c r="N1391" t="str">
        <f>_xlfn.XLOOKUP(Table1[[#This Row],[EmployeeNumber]],Table4[EmployeeNumber],Table4[Id_Employee])</f>
        <v>EMP01390</v>
      </c>
      <c r="O1391">
        <v>1956</v>
      </c>
      <c r="P1391" t="str">
        <f>_xlfn.XLOOKUP(Table1[[#This Row],[EnvironmentSatisfaction]],Table9[EnvironmentSatisfaction],Table9[Id_EnviromentSatisfaction])</f>
        <v>ES004</v>
      </c>
      <c r="Q1391">
        <v>4</v>
      </c>
      <c r="R1391" t="str">
        <f>_xlfn.XLOOKUP(Table1[[#This Row],[EnvironmentSatisfaction]],Table9[EnvironmentSatisfaction],Table9[Deskripsi])</f>
        <v>Very High</v>
      </c>
      <c r="S1391" t="str">
        <f>_xlfn.XLOOKUP(Table1[[#This Row],[Gender]],Table10[Gender],Table10[Id_Gender])</f>
        <v>G002</v>
      </c>
      <c r="T1391" t="s">
        <v>46</v>
      </c>
      <c r="U1391">
        <v>48</v>
      </c>
      <c r="V1391" t="str">
        <f>_xlfn.XLOOKUP(Table1[[#This Row],[JobInvolvement]],Table11[JobInvolvement],Table11[Id_JobInvolvement])</f>
        <v>JI001</v>
      </c>
      <c r="W1391">
        <v>1</v>
      </c>
      <c r="X1391" t="str">
        <f>_xlfn.XLOOKUP(Table1[[#This Row],[JobLevel]],Table12[JobLevel],Table12[Id_JobLevel])</f>
        <v>JL002</v>
      </c>
      <c r="Y1391">
        <v>2</v>
      </c>
      <c r="Z1391" t="str">
        <f>_xlfn.XLOOKUP(Table1[[#This Row],[JobRole]],Table13[JobRole],Table13[Id_JobRole])</f>
        <v>JR002</v>
      </c>
      <c r="AA1391" t="s">
        <v>48</v>
      </c>
      <c r="AB1391" t="str">
        <f>_xlfn.XLOOKUP(Table1[[#This Row],[JobSatisfaction]],Table14[JobSatisfaction],Table14[Id_JobSatisfaction])</f>
        <v>JS001</v>
      </c>
      <c r="AC1391">
        <v>1</v>
      </c>
      <c r="AD1391" t="str">
        <f>_xlfn.XLOOKUP(Table1[[#This Row],[JobSatisfaction]],Table14[JobSatisfaction],Table14[Deskripsi])</f>
        <v>Low</v>
      </c>
      <c r="AE1391" t="str">
        <f>_xlfn.XLOOKUP(Table1[[#This Row],[MaritalStatus]],Table15[MaritalStatus],Table15[Id_MaritalStatus])</f>
        <v>MS002</v>
      </c>
      <c r="AF1391" t="s">
        <v>56</v>
      </c>
      <c r="AG1391">
        <v>5003</v>
      </c>
      <c r="AH1391">
        <v>5771</v>
      </c>
      <c r="AI1391">
        <v>1</v>
      </c>
      <c r="AJ1391" t="str">
        <f>_xlfn.XLOOKUP(Table1[[#This Row],[OverTime]],Table16[OverTime],Table16[Id_OverTime])</f>
        <v>OT002</v>
      </c>
      <c r="AK1391" t="s">
        <v>33</v>
      </c>
      <c r="AL1391">
        <v>21</v>
      </c>
      <c r="AM1391" t="str">
        <f>_xlfn.XLOOKUP(Table1[[#This Row],[PerformanceRating]],Table17[PerformanceRating],Table17[Id_PerformanceRating])</f>
        <v>PR004</v>
      </c>
      <c r="AN1391">
        <v>4</v>
      </c>
      <c r="AO1391" t="str">
        <f>_xlfn.XLOOKUP(Table1[[#This Row],[PerformanceRating]],Table17[PerformanceRating],Table17[Deskripsi])</f>
        <v>Outstanding</v>
      </c>
      <c r="AP1391" t="str">
        <f>_xlfn.XLOOKUP(Table1[[#This Row],[RelationshipSatisfaction]],Table18[RelationshipSatisfaction],Table18[Id_RelationshipSatisfaction])</f>
        <v>RS002</v>
      </c>
      <c r="AQ1391">
        <v>2</v>
      </c>
      <c r="AR1391" t="str">
        <f>_xlfn.XLOOKUP(Table1[[#This Row],[RelationshipSatisfaction]],Table18[RelationshipSatisfaction],Table18[Deskripsi])</f>
        <v>Medium</v>
      </c>
      <c r="AS1391" t="str">
        <f>_xlfn.XLOOKUP(Table1[[#This Row],[StockOptionLevel]],Table19[StockOptionLevel],Table19[Id_StockOptionLevel])</f>
        <v>SOL001</v>
      </c>
      <c r="AT1391">
        <v>0</v>
      </c>
      <c r="AU1391" t="str">
        <f>_xlfn.XLOOKUP(Table1[[#This Row],[StockOptionLevel]],Table19[StockOptionLevel],Table19[Deskripsi])</f>
        <v>Non-Eligible</v>
      </c>
      <c r="AV1391">
        <v>10</v>
      </c>
      <c r="AW1391">
        <v>6</v>
      </c>
      <c r="AX1391" t="str">
        <f>_xlfn.XLOOKUP(Table1[[#This Row],[WorkLifeBalance]],Table20[WorkLifeBalance],Table20[Id_WorkLifeBalance])</f>
        <v>WLB002</v>
      </c>
      <c r="AY1391">
        <v>3</v>
      </c>
      <c r="AZ1391" t="str">
        <f>_xlfn.XLOOKUP(Table1[[#This Row],[WorkLifeBalance]],Table20[WorkLifeBalance],Table20[Deskripsi])</f>
        <v>Good</v>
      </c>
      <c r="BA1391">
        <v>10</v>
      </c>
      <c r="BB1391">
        <v>8</v>
      </c>
      <c r="BC1391">
        <v>8</v>
      </c>
      <c r="BD1391">
        <v>7</v>
      </c>
    </row>
    <row r="1392" spans="1:56" x14ac:dyDescent="0.25">
      <c r="A1392">
        <v>28</v>
      </c>
      <c r="B1392" t="str">
        <f>_xlfn.XLOOKUP(Table1[[#This Row],[Attrition]],Table2[Attrition],Table2[Id_Attrition])</f>
        <v>A001</v>
      </c>
      <c r="C1392" t="s">
        <v>32</v>
      </c>
      <c r="D1392" t="str">
        <f>_xlfn.XLOOKUP(Table1[[#This Row],[BusinessTravel]],Table5[BusinessTravel],Table5[Id_BusinessTravel])</f>
        <v>BS001</v>
      </c>
      <c r="E1392" t="s">
        <v>34</v>
      </c>
      <c r="F1392">
        <v>1404</v>
      </c>
      <c r="G1392" t="str">
        <f>_xlfn.XLOOKUP(Table1[[#This Row],[Department]],Table6[Department],Table6[Id_Departement])</f>
        <v>D002</v>
      </c>
      <c r="H1392" t="s">
        <v>38</v>
      </c>
      <c r="I1392">
        <v>17</v>
      </c>
      <c r="J1392" t="str">
        <f>_xlfn.XLOOKUP(Table1[[#This Row],[Education]],Table8[Education],Table8[Id_Education])</f>
        <v>E003</v>
      </c>
      <c r="K1392">
        <v>3</v>
      </c>
      <c r="L1392" t="str">
        <f>_xlfn.XLOOKUP(Table1[[#This Row],[EducationField]],Table7[EducationField],Table7[Id_EducationField])</f>
        <v>EF005</v>
      </c>
      <c r="M1392" t="s">
        <v>44</v>
      </c>
      <c r="N1392" t="str">
        <f>_xlfn.XLOOKUP(Table1[[#This Row],[EmployeeNumber]],Table4[EmployeeNumber],Table4[Id_Employee])</f>
        <v>EMP01391</v>
      </c>
      <c r="O1392">
        <v>1960</v>
      </c>
      <c r="P1392" t="str">
        <f>_xlfn.XLOOKUP(Table1[[#This Row],[EnvironmentSatisfaction]],Table9[EnvironmentSatisfaction],Table9[Id_EnviromentSatisfaction])</f>
        <v>ES003</v>
      </c>
      <c r="Q1392">
        <v>3</v>
      </c>
      <c r="R1392" t="str">
        <f>_xlfn.XLOOKUP(Table1[[#This Row],[EnvironmentSatisfaction]],Table9[EnvironmentSatisfaction],Table9[Deskripsi])</f>
        <v>High</v>
      </c>
      <c r="S1392" t="str">
        <f>_xlfn.XLOOKUP(Table1[[#This Row],[Gender]],Table10[Gender],Table10[Id_Gender])</f>
        <v>G002</v>
      </c>
      <c r="T1392" t="s">
        <v>46</v>
      </c>
      <c r="U1392">
        <v>32</v>
      </c>
      <c r="V1392" t="str">
        <f>_xlfn.XLOOKUP(Table1[[#This Row],[JobInvolvement]],Table11[JobInvolvement],Table11[Id_JobInvolvement])</f>
        <v>JI002</v>
      </c>
      <c r="W1392">
        <v>2</v>
      </c>
      <c r="X1392" t="str">
        <f>_xlfn.XLOOKUP(Table1[[#This Row],[JobLevel]],Table12[JobLevel],Table12[Id_JobLevel])</f>
        <v>JL001</v>
      </c>
      <c r="Y1392">
        <v>1</v>
      </c>
      <c r="Z1392" t="str">
        <f>_xlfn.XLOOKUP(Table1[[#This Row],[JobRole]],Table13[JobRole],Table13[Id_JobRole])</f>
        <v>JR003</v>
      </c>
      <c r="AA1392" t="s">
        <v>49</v>
      </c>
      <c r="AB1392" t="str">
        <f>_xlfn.XLOOKUP(Table1[[#This Row],[JobSatisfaction]],Table14[JobSatisfaction],Table14[Id_JobSatisfaction])</f>
        <v>JS004</v>
      </c>
      <c r="AC1392">
        <v>4</v>
      </c>
      <c r="AD1392" t="str">
        <f>_xlfn.XLOOKUP(Table1[[#This Row],[JobSatisfaction]],Table14[JobSatisfaction],Table14[Deskripsi])</f>
        <v>Very High</v>
      </c>
      <c r="AE1392" t="str">
        <f>_xlfn.XLOOKUP(Table1[[#This Row],[MaritalStatus]],Table15[MaritalStatus],Table15[Id_MaritalStatus])</f>
        <v>MS003</v>
      </c>
      <c r="AF1392" t="s">
        <v>57</v>
      </c>
      <c r="AG1392">
        <v>2367</v>
      </c>
      <c r="AH1392">
        <v>18779</v>
      </c>
      <c r="AI1392">
        <v>5</v>
      </c>
      <c r="AJ1392" t="str">
        <f>_xlfn.XLOOKUP(Table1[[#This Row],[OverTime]],Table16[OverTime],Table16[Id_OverTime])</f>
        <v>OT002</v>
      </c>
      <c r="AK1392" t="s">
        <v>33</v>
      </c>
      <c r="AL1392">
        <v>12</v>
      </c>
      <c r="AM1392" t="str">
        <f>_xlfn.XLOOKUP(Table1[[#This Row],[PerformanceRating]],Table17[PerformanceRating],Table17[Id_PerformanceRating])</f>
        <v>PR003</v>
      </c>
      <c r="AN1392">
        <v>3</v>
      </c>
      <c r="AO1392" t="str">
        <f>_xlfn.XLOOKUP(Table1[[#This Row],[PerformanceRating]],Table17[PerformanceRating],Table17[Deskripsi])</f>
        <v>Excellent</v>
      </c>
      <c r="AP1392" t="str">
        <f>_xlfn.XLOOKUP(Table1[[#This Row],[RelationshipSatisfaction]],Table18[RelationshipSatisfaction],Table18[Id_RelationshipSatisfaction])</f>
        <v>RS001</v>
      </c>
      <c r="AQ1392">
        <v>1</v>
      </c>
      <c r="AR1392" t="str">
        <f>_xlfn.XLOOKUP(Table1[[#This Row],[RelationshipSatisfaction]],Table18[RelationshipSatisfaction],Table18[Deskripsi])</f>
        <v>Low</v>
      </c>
      <c r="AS1392" t="str">
        <f>_xlfn.XLOOKUP(Table1[[#This Row],[StockOptionLevel]],Table19[StockOptionLevel],Table19[Id_StockOptionLevel])</f>
        <v>SOL002</v>
      </c>
      <c r="AT1392">
        <v>1</v>
      </c>
      <c r="AU1392" t="str">
        <f>_xlfn.XLOOKUP(Table1[[#This Row],[StockOptionLevel]],Table19[StockOptionLevel],Table19[Deskripsi])</f>
        <v>Standard</v>
      </c>
      <c r="AV1392">
        <v>6</v>
      </c>
      <c r="AW1392">
        <v>2</v>
      </c>
      <c r="AX1392" t="str">
        <f>_xlfn.XLOOKUP(Table1[[#This Row],[WorkLifeBalance]],Table20[WorkLifeBalance],Table20[Id_WorkLifeBalance])</f>
        <v>WLB003</v>
      </c>
      <c r="AY1392">
        <v>2</v>
      </c>
      <c r="AZ1392" t="str">
        <f>_xlfn.XLOOKUP(Table1[[#This Row],[WorkLifeBalance]],Table20[WorkLifeBalance],Table20[Deskripsi])</f>
        <v>Better</v>
      </c>
      <c r="BA1392">
        <v>4</v>
      </c>
      <c r="BB1392">
        <v>1</v>
      </c>
      <c r="BC1392">
        <v>0</v>
      </c>
      <c r="BD1392">
        <v>3</v>
      </c>
    </row>
    <row r="1393" spans="1:56" x14ac:dyDescent="0.25">
      <c r="A1393">
        <v>38</v>
      </c>
      <c r="B1393" t="str">
        <f>_xlfn.XLOOKUP(Table1[[#This Row],[Attrition]],Table2[Attrition],Table2[Id_Attrition])</f>
        <v>A002</v>
      </c>
      <c r="C1393" t="s">
        <v>33</v>
      </c>
      <c r="D1393" t="str">
        <f>_xlfn.XLOOKUP(Table1[[#This Row],[BusinessTravel]],Table5[BusinessTravel],Table5[Id_BusinessTravel])</f>
        <v>BS001</v>
      </c>
      <c r="E1393" t="s">
        <v>34</v>
      </c>
      <c r="F1393">
        <v>1404</v>
      </c>
      <c r="G1393" t="str">
        <f>_xlfn.XLOOKUP(Table1[[#This Row],[Department]],Table6[Department],Table6[Id_Departement])</f>
        <v>D001</v>
      </c>
      <c r="H1393" t="s">
        <v>37</v>
      </c>
      <c r="I1393">
        <v>1</v>
      </c>
      <c r="J1393" t="str">
        <f>_xlfn.XLOOKUP(Table1[[#This Row],[Education]],Table8[Education],Table8[Id_Education])</f>
        <v>E003</v>
      </c>
      <c r="K1393">
        <v>3</v>
      </c>
      <c r="L1393" t="str">
        <f>_xlfn.XLOOKUP(Table1[[#This Row],[EducationField]],Table7[EducationField],Table7[Id_EducationField])</f>
        <v>EF001</v>
      </c>
      <c r="M1393" t="s">
        <v>40</v>
      </c>
      <c r="N1393" t="str">
        <f>_xlfn.XLOOKUP(Table1[[#This Row],[EmployeeNumber]],Table4[EmployeeNumber],Table4[Id_Employee])</f>
        <v>EMP01392</v>
      </c>
      <c r="O1393">
        <v>1961</v>
      </c>
      <c r="P1393" t="str">
        <f>_xlfn.XLOOKUP(Table1[[#This Row],[EnvironmentSatisfaction]],Table9[EnvironmentSatisfaction],Table9[Id_EnviromentSatisfaction])</f>
        <v>ES001</v>
      </c>
      <c r="Q1393">
        <v>1</v>
      </c>
      <c r="R1393" t="str">
        <f>_xlfn.XLOOKUP(Table1[[#This Row],[EnvironmentSatisfaction]],Table9[EnvironmentSatisfaction],Table9[Deskripsi])</f>
        <v>Low</v>
      </c>
      <c r="S1393" t="str">
        <f>_xlfn.XLOOKUP(Table1[[#This Row],[Gender]],Table10[Gender],Table10[Id_Gender])</f>
        <v>G002</v>
      </c>
      <c r="T1393" t="s">
        <v>46</v>
      </c>
      <c r="U1393">
        <v>59</v>
      </c>
      <c r="V1393" t="str">
        <f>_xlfn.XLOOKUP(Table1[[#This Row],[JobInvolvement]],Table11[JobInvolvement],Table11[Id_JobInvolvement])</f>
        <v>JI002</v>
      </c>
      <c r="W1393">
        <v>2</v>
      </c>
      <c r="X1393" t="str">
        <f>_xlfn.XLOOKUP(Table1[[#This Row],[JobLevel]],Table12[JobLevel],Table12[Id_JobLevel])</f>
        <v>JL001</v>
      </c>
      <c r="Y1393">
        <v>1</v>
      </c>
      <c r="Z1393" t="str">
        <f>_xlfn.XLOOKUP(Table1[[#This Row],[JobRole]],Table13[JobRole],Table13[Id_JobRole])</f>
        <v>JR007</v>
      </c>
      <c r="AA1393" t="s">
        <v>53</v>
      </c>
      <c r="AB1393" t="str">
        <f>_xlfn.XLOOKUP(Table1[[#This Row],[JobSatisfaction]],Table14[JobSatisfaction],Table14[Id_JobSatisfaction])</f>
        <v>JS001</v>
      </c>
      <c r="AC1393">
        <v>1</v>
      </c>
      <c r="AD1393" t="str">
        <f>_xlfn.XLOOKUP(Table1[[#This Row],[JobSatisfaction]],Table14[JobSatisfaction],Table14[Deskripsi])</f>
        <v>Low</v>
      </c>
      <c r="AE1393" t="str">
        <f>_xlfn.XLOOKUP(Table1[[#This Row],[MaritalStatus]],Table15[MaritalStatus],Table15[Id_MaritalStatus])</f>
        <v>MS001</v>
      </c>
      <c r="AF1393" t="s">
        <v>55</v>
      </c>
      <c r="AG1393">
        <v>2858</v>
      </c>
      <c r="AH1393">
        <v>11473</v>
      </c>
      <c r="AI1393">
        <v>4</v>
      </c>
      <c r="AJ1393" t="str">
        <f>_xlfn.XLOOKUP(Table1[[#This Row],[OverTime]],Table16[OverTime],Table16[Id_OverTime])</f>
        <v>OT002</v>
      </c>
      <c r="AK1393" t="s">
        <v>33</v>
      </c>
      <c r="AL1393">
        <v>14</v>
      </c>
      <c r="AM1393" t="str">
        <f>_xlfn.XLOOKUP(Table1[[#This Row],[PerformanceRating]],Table17[PerformanceRating],Table17[Id_PerformanceRating])</f>
        <v>PR003</v>
      </c>
      <c r="AN1393">
        <v>3</v>
      </c>
      <c r="AO1393" t="str">
        <f>_xlfn.XLOOKUP(Table1[[#This Row],[PerformanceRating]],Table17[PerformanceRating],Table17[Deskripsi])</f>
        <v>Excellent</v>
      </c>
      <c r="AP1393" t="str">
        <f>_xlfn.XLOOKUP(Table1[[#This Row],[RelationshipSatisfaction]],Table18[RelationshipSatisfaction],Table18[Id_RelationshipSatisfaction])</f>
        <v>RS001</v>
      </c>
      <c r="AQ1393">
        <v>1</v>
      </c>
      <c r="AR1393" t="str">
        <f>_xlfn.XLOOKUP(Table1[[#This Row],[RelationshipSatisfaction]],Table18[RelationshipSatisfaction],Table18[Deskripsi])</f>
        <v>Low</v>
      </c>
      <c r="AS1393" t="str">
        <f>_xlfn.XLOOKUP(Table1[[#This Row],[StockOptionLevel]],Table19[StockOptionLevel],Table19[Id_StockOptionLevel])</f>
        <v>SOL001</v>
      </c>
      <c r="AT1393">
        <v>0</v>
      </c>
      <c r="AU1393" t="str">
        <f>_xlfn.XLOOKUP(Table1[[#This Row],[StockOptionLevel]],Table19[StockOptionLevel],Table19[Deskripsi])</f>
        <v>Non-Eligible</v>
      </c>
      <c r="AV1393">
        <v>20</v>
      </c>
      <c r="AW1393">
        <v>3</v>
      </c>
      <c r="AX1393" t="str">
        <f>_xlfn.XLOOKUP(Table1[[#This Row],[WorkLifeBalance]],Table20[WorkLifeBalance],Table20[Id_WorkLifeBalance])</f>
        <v>WLB003</v>
      </c>
      <c r="AY1393">
        <v>2</v>
      </c>
      <c r="AZ1393" t="str">
        <f>_xlfn.XLOOKUP(Table1[[#This Row],[WorkLifeBalance]],Table20[WorkLifeBalance],Table20[Deskripsi])</f>
        <v>Better</v>
      </c>
      <c r="BA1393">
        <v>1</v>
      </c>
      <c r="BB1393">
        <v>0</v>
      </c>
      <c r="BC1393">
        <v>0</v>
      </c>
      <c r="BD1393">
        <v>0</v>
      </c>
    </row>
    <row r="1394" spans="1:56" x14ac:dyDescent="0.25">
      <c r="A1394">
        <v>35</v>
      </c>
      <c r="B1394" t="str">
        <f>_xlfn.XLOOKUP(Table1[[#This Row],[Attrition]],Table2[Attrition],Table2[Id_Attrition])</f>
        <v>A002</v>
      </c>
      <c r="C1394" t="s">
        <v>33</v>
      </c>
      <c r="D1394" t="str">
        <f>_xlfn.XLOOKUP(Table1[[#This Row],[BusinessTravel]],Table5[BusinessTravel],Table5[Id_BusinessTravel])</f>
        <v>BS001</v>
      </c>
      <c r="E1394" t="s">
        <v>34</v>
      </c>
      <c r="F1394">
        <v>1224</v>
      </c>
      <c r="G1394" t="str">
        <f>_xlfn.XLOOKUP(Table1[[#This Row],[Department]],Table6[Department],Table6[Id_Departement])</f>
        <v>D001</v>
      </c>
      <c r="H1394" t="s">
        <v>37</v>
      </c>
      <c r="I1394">
        <v>7</v>
      </c>
      <c r="J1394" t="str">
        <f>_xlfn.XLOOKUP(Table1[[#This Row],[Education]],Table8[Education],Table8[Id_Education])</f>
        <v>E004</v>
      </c>
      <c r="K1394">
        <v>4</v>
      </c>
      <c r="L1394" t="str">
        <f>_xlfn.XLOOKUP(Table1[[#This Row],[EducationField]],Table7[EducationField],Table7[Id_EducationField])</f>
        <v>EF001</v>
      </c>
      <c r="M1394" t="s">
        <v>40</v>
      </c>
      <c r="N1394" t="str">
        <f>_xlfn.XLOOKUP(Table1[[#This Row],[EmployeeNumber]],Table4[EmployeeNumber],Table4[Id_Employee])</f>
        <v>EMP01393</v>
      </c>
      <c r="O1394">
        <v>1962</v>
      </c>
      <c r="P1394" t="str">
        <f>_xlfn.XLOOKUP(Table1[[#This Row],[EnvironmentSatisfaction]],Table9[EnvironmentSatisfaction],Table9[Id_EnviromentSatisfaction])</f>
        <v>ES003</v>
      </c>
      <c r="Q1394">
        <v>3</v>
      </c>
      <c r="R1394" t="str">
        <f>_xlfn.XLOOKUP(Table1[[#This Row],[EnvironmentSatisfaction]],Table9[EnvironmentSatisfaction],Table9[Deskripsi])</f>
        <v>High</v>
      </c>
      <c r="S1394" t="str">
        <f>_xlfn.XLOOKUP(Table1[[#This Row],[Gender]],Table10[Gender],Table10[Id_Gender])</f>
        <v>G001</v>
      </c>
      <c r="T1394" t="s">
        <v>45</v>
      </c>
      <c r="U1394">
        <v>55</v>
      </c>
      <c r="V1394" t="str">
        <f>_xlfn.XLOOKUP(Table1[[#This Row],[JobInvolvement]],Table11[JobInvolvement],Table11[Id_JobInvolvement])</f>
        <v>JI003</v>
      </c>
      <c r="W1394">
        <v>3</v>
      </c>
      <c r="X1394" t="str">
        <f>_xlfn.XLOOKUP(Table1[[#This Row],[JobLevel]],Table12[JobLevel],Table12[Id_JobLevel])</f>
        <v>JL002</v>
      </c>
      <c r="Y1394">
        <v>2</v>
      </c>
      <c r="Z1394" t="str">
        <f>_xlfn.XLOOKUP(Table1[[#This Row],[JobRole]],Table13[JobRole],Table13[Id_JobRole])</f>
        <v>JR001</v>
      </c>
      <c r="AA1394" t="s">
        <v>47</v>
      </c>
      <c r="AB1394" t="str">
        <f>_xlfn.XLOOKUP(Table1[[#This Row],[JobSatisfaction]],Table14[JobSatisfaction],Table14[Id_JobSatisfaction])</f>
        <v>JS004</v>
      </c>
      <c r="AC1394">
        <v>4</v>
      </c>
      <c r="AD1394" t="str">
        <f>_xlfn.XLOOKUP(Table1[[#This Row],[JobSatisfaction]],Table14[JobSatisfaction],Table14[Deskripsi])</f>
        <v>Very High</v>
      </c>
      <c r="AE1394" t="str">
        <f>_xlfn.XLOOKUP(Table1[[#This Row],[MaritalStatus]],Table15[MaritalStatus],Table15[Id_MaritalStatus])</f>
        <v>MS002</v>
      </c>
      <c r="AF1394" t="s">
        <v>56</v>
      </c>
      <c r="AG1394">
        <v>5204</v>
      </c>
      <c r="AH1394">
        <v>13586</v>
      </c>
      <c r="AI1394">
        <v>1</v>
      </c>
      <c r="AJ1394" t="str">
        <f>_xlfn.XLOOKUP(Table1[[#This Row],[OverTime]],Table16[OverTime],Table16[Id_OverTime])</f>
        <v>OT001</v>
      </c>
      <c r="AK1394" t="s">
        <v>32</v>
      </c>
      <c r="AL1394">
        <v>11</v>
      </c>
      <c r="AM1394" t="str">
        <f>_xlfn.XLOOKUP(Table1[[#This Row],[PerformanceRating]],Table17[PerformanceRating],Table17[Id_PerformanceRating])</f>
        <v>PR003</v>
      </c>
      <c r="AN1394">
        <v>3</v>
      </c>
      <c r="AO1394" t="str">
        <f>_xlfn.XLOOKUP(Table1[[#This Row],[PerformanceRating]],Table17[PerformanceRating],Table17[Deskripsi])</f>
        <v>Excellent</v>
      </c>
      <c r="AP1394" t="str">
        <f>_xlfn.XLOOKUP(Table1[[#This Row],[RelationshipSatisfaction]],Table18[RelationshipSatisfaction],Table18[Id_RelationshipSatisfaction])</f>
        <v>RS004</v>
      </c>
      <c r="AQ1394">
        <v>4</v>
      </c>
      <c r="AR1394" t="str">
        <f>_xlfn.XLOOKUP(Table1[[#This Row],[RelationshipSatisfaction]],Table18[RelationshipSatisfaction],Table18[Deskripsi])</f>
        <v>Very High</v>
      </c>
      <c r="AS1394" t="str">
        <f>_xlfn.XLOOKUP(Table1[[#This Row],[StockOptionLevel]],Table19[StockOptionLevel],Table19[Id_StockOptionLevel])</f>
        <v>SOL001</v>
      </c>
      <c r="AT1394">
        <v>0</v>
      </c>
      <c r="AU1394" t="str">
        <f>_xlfn.XLOOKUP(Table1[[#This Row],[StockOptionLevel]],Table19[StockOptionLevel],Table19[Deskripsi])</f>
        <v>Non-Eligible</v>
      </c>
      <c r="AV1394">
        <v>10</v>
      </c>
      <c r="AW1394">
        <v>2</v>
      </c>
      <c r="AX1394" t="str">
        <f>_xlfn.XLOOKUP(Table1[[#This Row],[WorkLifeBalance]],Table20[WorkLifeBalance],Table20[Id_WorkLifeBalance])</f>
        <v>WLB002</v>
      </c>
      <c r="AY1394">
        <v>3</v>
      </c>
      <c r="AZ1394" t="str">
        <f>_xlfn.XLOOKUP(Table1[[#This Row],[WorkLifeBalance]],Table20[WorkLifeBalance],Table20[Deskripsi])</f>
        <v>Good</v>
      </c>
      <c r="BA1394">
        <v>10</v>
      </c>
      <c r="BB1394">
        <v>8</v>
      </c>
      <c r="BC1394">
        <v>0</v>
      </c>
      <c r="BD1394">
        <v>9</v>
      </c>
    </row>
    <row r="1395" spans="1:56" x14ac:dyDescent="0.25">
      <c r="A1395">
        <v>27</v>
      </c>
      <c r="B1395" t="str">
        <f>_xlfn.XLOOKUP(Table1[[#This Row],[Attrition]],Table2[Attrition],Table2[Id_Attrition])</f>
        <v>A002</v>
      </c>
      <c r="C1395" t="s">
        <v>33</v>
      </c>
      <c r="D1395" t="str">
        <f>_xlfn.XLOOKUP(Table1[[#This Row],[BusinessTravel]],Table5[BusinessTravel],Table5[Id_BusinessTravel])</f>
        <v>BS001</v>
      </c>
      <c r="E1395" t="s">
        <v>34</v>
      </c>
      <c r="F1395">
        <v>954</v>
      </c>
      <c r="G1395" t="str">
        <f>_xlfn.XLOOKUP(Table1[[#This Row],[Department]],Table6[Department],Table6[Id_Departement])</f>
        <v>D001</v>
      </c>
      <c r="H1395" t="s">
        <v>37</v>
      </c>
      <c r="I1395">
        <v>9</v>
      </c>
      <c r="J1395" t="str">
        <f>_xlfn.XLOOKUP(Table1[[#This Row],[Education]],Table8[Education],Table8[Id_Education])</f>
        <v>E003</v>
      </c>
      <c r="K1395">
        <v>3</v>
      </c>
      <c r="L1395" t="str">
        <f>_xlfn.XLOOKUP(Table1[[#This Row],[EducationField]],Table7[EducationField],Table7[Id_EducationField])</f>
        <v>EF004</v>
      </c>
      <c r="M1395" t="s">
        <v>43</v>
      </c>
      <c r="N1395" t="str">
        <f>_xlfn.XLOOKUP(Table1[[#This Row],[EmployeeNumber]],Table4[EmployeeNumber],Table4[Id_Employee])</f>
        <v>EMP01394</v>
      </c>
      <c r="O1395">
        <v>1965</v>
      </c>
      <c r="P1395" t="str">
        <f>_xlfn.XLOOKUP(Table1[[#This Row],[EnvironmentSatisfaction]],Table9[EnvironmentSatisfaction],Table9[Id_EnviromentSatisfaction])</f>
        <v>ES004</v>
      </c>
      <c r="Q1395">
        <v>4</v>
      </c>
      <c r="R1395" t="str">
        <f>_xlfn.XLOOKUP(Table1[[#This Row],[EnvironmentSatisfaction]],Table9[EnvironmentSatisfaction],Table9[Deskripsi])</f>
        <v>Very High</v>
      </c>
      <c r="S1395" t="str">
        <f>_xlfn.XLOOKUP(Table1[[#This Row],[Gender]],Table10[Gender],Table10[Id_Gender])</f>
        <v>G002</v>
      </c>
      <c r="T1395" t="s">
        <v>46</v>
      </c>
      <c r="U1395">
        <v>44</v>
      </c>
      <c r="V1395" t="str">
        <f>_xlfn.XLOOKUP(Table1[[#This Row],[JobInvolvement]],Table11[JobInvolvement],Table11[Id_JobInvolvement])</f>
        <v>JI003</v>
      </c>
      <c r="W1395">
        <v>3</v>
      </c>
      <c r="X1395" t="str">
        <f>_xlfn.XLOOKUP(Table1[[#This Row],[JobLevel]],Table12[JobLevel],Table12[Id_JobLevel])</f>
        <v>JL002</v>
      </c>
      <c r="Y1395">
        <v>2</v>
      </c>
      <c r="Z1395" t="str">
        <f>_xlfn.XLOOKUP(Table1[[#This Row],[JobRole]],Table13[JobRole],Table13[Id_JobRole])</f>
        <v>JR001</v>
      </c>
      <c r="AA1395" t="s">
        <v>47</v>
      </c>
      <c r="AB1395" t="str">
        <f>_xlfn.XLOOKUP(Table1[[#This Row],[JobSatisfaction]],Table14[JobSatisfaction],Table14[Id_JobSatisfaction])</f>
        <v>JS004</v>
      </c>
      <c r="AC1395">
        <v>4</v>
      </c>
      <c r="AD1395" t="str">
        <f>_xlfn.XLOOKUP(Table1[[#This Row],[JobSatisfaction]],Table14[JobSatisfaction],Table14[Deskripsi])</f>
        <v>Very High</v>
      </c>
      <c r="AE1395" t="str">
        <f>_xlfn.XLOOKUP(Table1[[#This Row],[MaritalStatus]],Table15[MaritalStatus],Table15[Id_MaritalStatus])</f>
        <v>MS001</v>
      </c>
      <c r="AF1395" t="s">
        <v>55</v>
      </c>
      <c r="AG1395">
        <v>4105</v>
      </c>
      <c r="AH1395">
        <v>5099</v>
      </c>
      <c r="AI1395">
        <v>1</v>
      </c>
      <c r="AJ1395" t="str">
        <f>_xlfn.XLOOKUP(Table1[[#This Row],[OverTime]],Table16[OverTime],Table16[Id_OverTime])</f>
        <v>OT002</v>
      </c>
      <c r="AK1395" t="s">
        <v>33</v>
      </c>
      <c r="AL1395">
        <v>14</v>
      </c>
      <c r="AM1395" t="str">
        <f>_xlfn.XLOOKUP(Table1[[#This Row],[PerformanceRating]],Table17[PerformanceRating],Table17[Id_PerformanceRating])</f>
        <v>PR003</v>
      </c>
      <c r="AN1395">
        <v>3</v>
      </c>
      <c r="AO1395" t="str">
        <f>_xlfn.XLOOKUP(Table1[[#This Row],[PerformanceRating]],Table17[PerformanceRating],Table17[Deskripsi])</f>
        <v>Excellent</v>
      </c>
      <c r="AP1395" t="str">
        <f>_xlfn.XLOOKUP(Table1[[#This Row],[RelationshipSatisfaction]],Table18[RelationshipSatisfaction],Table18[Id_RelationshipSatisfaction])</f>
        <v>RS001</v>
      </c>
      <c r="AQ1395">
        <v>1</v>
      </c>
      <c r="AR1395" t="str">
        <f>_xlfn.XLOOKUP(Table1[[#This Row],[RelationshipSatisfaction]],Table18[RelationshipSatisfaction],Table18[Deskripsi])</f>
        <v>Low</v>
      </c>
      <c r="AS1395" t="str">
        <f>_xlfn.XLOOKUP(Table1[[#This Row],[StockOptionLevel]],Table19[StockOptionLevel],Table19[Id_StockOptionLevel])</f>
        <v>SOL001</v>
      </c>
      <c r="AT1395">
        <v>0</v>
      </c>
      <c r="AU1395" t="str">
        <f>_xlfn.XLOOKUP(Table1[[#This Row],[StockOptionLevel]],Table19[StockOptionLevel],Table19[Deskripsi])</f>
        <v>Non-Eligible</v>
      </c>
      <c r="AV1395">
        <v>7</v>
      </c>
      <c r="AW1395">
        <v>5</v>
      </c>
      <c r="AX1395" t="str">
        <f>_xlfn.XLOOKUP(Table1[[#This Row],[WorkLifeBalance]],Table20[WorkLifeBalance],Table20[Id_WorkLifeBalance])</f>
        <v>WLB002</v>
      </c>
      <c r="AY1395">
        <v>3</v>
      </c>
      <c r="AZ1395" t="str">
        <f>_xlfn.XLOOKUP(Table1[[#This Row],[WorkLifeBalance]],Table20[WorkLifeBalance],Table20[Deskripsi])</f>
        <v>Good</v>
      </c>
      <c r="BA1395">
        <v>7</v>
      </c>
      <c r="BB1395">
        <v>7</v>
      </c>
      <c r="BC1395">
        <v>0</v>
      </c>
      <c r="BD1395">
        <v>7</v>
      </c>
    </row>
    <row r="1396" spans="1:56" x14ac:dyDescent="0.25">
      <c r="A1396">
        <v>32</v>
      </c>
      <c r="B1396" t="str">
        <f>_xlfn.XLOOKUP(Table1[[#This Row],[Attrition]],Table2[Attrition],Table2[Id_Attrition])</f>
        <v>A002</v>
      </c>
      <c r="C1396" t="s">
        <v>33</v>
      </c>
      <c r="D1396" t="str">
        <f>_xlfn.XLOOKUP(Table1[[#This Row],[BusinessTravel]],Table5[BusinessTravel],Table5[Id_BusinessTravel])</f>
        <v>BS001</v>
      </c>
      <c r="E1396" t="s">
        <v>34</v>
      </c>
      <c r="F1396">
        <v>1373</v>
      </c>
      <c r="G1396" t="str">
        <f>_xlfn.XLOOKUP(Table1[[#This Row],[Department]],Table6[Department],Table6[Id_Departement])</f>
        <v>D002</v>
      </c>
      <c r="H1396" t="s">
        <v>38</v>
      </c>
      <c r="I1396">
        <v>5</v>
      </c>
      <c r="J1396" t="str">
        <f>_xlfn.XLOOKUP(Table1[[#This Row],[Education]],Table8[Education],Table8[Id_Education])</f>
        <v>E004</v>
      </c>
      <c r="K1396">
        <v>4</v>
      </c>
      <c r="L1396" t="str">
        <f>_xlfn.XLOOKUP(Table1[[#This Row],[EducationField]],Table7[EducationField],Table7[Id_EducationField])</f>
        <v>EF001</v>
      </c>
      <c r="M1396" t="s">
        <v>40</v>
      </c>
      <c r="N1396" t="str">
        <f>_xlfn.XLOOKUP(Table1[[#This Row],[EmployeeNumber]],Table4[EmployeeNumber],Table4[Id_Employee])</f>
        <v>EMP01395</v>
      </c>
      <c r="O1396">
        <v>1966</v>
      </c>
      <c r="P1396" t="str">
        <f>_xlfn.XLOOKUP(Table1[[#This Row],[EnvironmentSatisfaction]],Table9[EnvironmentSatisfaction],Table9[Id_EnviromentSatisfaction])</f>
        <v>ES004</v>
      </c>
      <c r="Q1396">
        <v>4</v>
      </c>
      <c r="R1396" t="str">
        <f>_xlfn.XLOOKUP(Table1[[#This Row],[EnvironmentSatisfaction]],Table9[EnvironmentSatisfaction],Table9[Deskripsi])</f>
        <v>Very High</v>
      </c>
      <c r="S1396" t="str">
        <f>_xlfn.XLOOKUP(Table1[[#This Row],[Gender]],Table10[Gender],Table10[Id_Gender])</f>
        <v>G002</v>
      </c>
      <c r="T1396" t="s">
        <v>46</v>
      </c>
      <c r="U1396">
        <v>56</v>
      </c>
      <c r="V1396" t="str">
        <f>_xlfn.XLOOKUP(Table1[[#This Row],[JobInvolvement]],Table11[JobInvolvement],Table11[Id_JobInvolvement])</f>
        <v>JI002</v>
      </c>
      <c r="W1396">
        <v>2</v>
      </c>
      <c r="X1396" t="str">
        <f>_xlfn.XLOOKUP(Table1[[#This Row],[JobLevel]],Table12[JobLevel],Table12[Id_JobLevel])</f>
        <v>JL002</v>
      </c>
      <c r="Y1396">
        <v>2</v>
      </c>
      <c r="Z1396" t="str">
        <f>_xlfn.XLOOKUP(Table1[[#This Row],[JobRole]],Table13[JobRole],Table13[Id_JobRole])</f>
        <v>JR004</v>
      </c>
      <c r="AA1396" t="s">
        <v>50</v>
      </c>
      <c r="AB1396" t="str">
        <f>_xlfn.XLOOKUP(Table1[[#This Row],[JobSatisfaction]],Table14[JobSatisfaction],Table14[Id_JobSatisfaction])</f>
        <v>JS004</v>
      </c>
      <c r="AC1396">
        <v>4</v>
      </c>
      <c r="AD1396" t="str">
        <f>_xlfn.XLOOKUP(Table1[[#This Row],[JobSatisfaction]],Table14[JobSatisfaction],Table14[Deskripsi])</f>
        <v>Very High</v>
      </c>
      <c r="AE1396" t="str">
        <f>_xlfn.XLOOKUP(Table1[[#This Row],[MaritalStatus]],Table15[MaritalStatus],Table15[Id_MaritalStatus])</f>
        <v>MS001</v>
      </c>
      <c r="AF1396" t="s">
        <v>55</v>
      </c>
      <c r="AG1396">
        <v>9679</v>
      </c>
      <c r="AH1396">
        <v>10138</v>
      </c>
      <c r="AI1396">
        <v>8</v>
      </c>
      <c r="AJ1396" t="str">
        <f>_xlfn.XLOOKUP(Table1[[#This Row],[OverTime]],Table16[OverTime],Table16[Id_OverTime])</f>
        <v>OT002</v>
      </c>
      <c r="AK1396" t="s">
        <v>33</v>
      </c>
      <c r="AL1396">
        <v>24</v>
      </c>
      <c r="AM1396" t="str">
        <f>_xlfn.XLOOKUP(Table1[[#This Row],[PerformanceRating]],Table17[PerformanceRating],Table17[Id_PerformanceRating])</f>
        <v>PR004</v>
      </c>
      <c r="AN1396">
        <v>4</v>
      </c>
      <c r="AO1396" t="str">
        <f>_xlfn.XLOOKUP(Table1[[#This Row],[PerformanceRating]],Table17[PerformanceRating],Table17[Deskripsi])</f>
        <v>Outstanding</v>
      </c>
      <c r="AP1396" t="str">
        <f>_xlfn.XLOOKUP(Table1[[#This Row],[RelationshipSatisfaction]],Table18[RelationshipSatisfaction],Table18[Id_RelationshipSatisfaction])</f>
        <v>RS002</v>
      </c>
      <c r="AQ1396">
        <v>2</v>
      </c>
      <c r="AR1396" t="str">
        <f>_xlfn.XLOOKUP(Table1[[#This Row],[RelationshipSatisfaction]],Table18[RelationshipSatisfaction],Table18[Deskripsi])</f>
        <v>Medium</v>
      </c>
      <c r="AS1396" t="str">
        <f>_xlfn.XLOOKUP(Table1[[#This Row],[StockOptionLevel]],Table19[StockOptionLevel],Table19[Id_StockOptionLevel])</f>
        <v>SOL001</v>
      </c>
      <c r="AT1396">
        <v>0</v>
      </c>
      <c r="AU1396" t="str">
        <f>_xlfn.XLOOKUP(Table1[[#This Row],[StockOptionLevel]],Table19[StockOptionLevel],Table19[Deskripsi])</f>
        <v>Non-Eligible</v>
      </c>
      <c r="AV1396">
        <v>8</v>
      </c>
      <c r="AW1396">
        <v>1</v>
      </c>
      <c r="AX1396" t="str">
        <f>_xlfn.XLOOKUP(Table1[[#This Row],[WorkLifeBalance]],Table20[WorkLifeBalance],Table20[Id_WorkLifeBalance])</f>
        <v>WLB002</v>
      </c>
      <c r="AY1396">
        <v>3</v>
      </c>
      <c r="AZ1396" t="str">
        <f>_xlfn.XLOOKUP(Table1[[#This Row],[WorkLifeBalance]],Table20[WorkLifeBalance],Table20[Deskripsi])</f>
        <v>Good</v>
      </c>
      <c r="BA1396">
        <v>1</v>
      </c>
      <c r="BB1396">
        <v>0</v>
      </c>
      <c r="BC1396">
        <v>0</v>
      </c>
      <c r="BD1396">
        <v>0</v>
      </c>
    </row>
    <row r="1397" spans="1:56" x14ac:dyDescent="0.25">
      <c r="A1397">
        <v>31</v>
      </c>
      <c r="B1397" t="str">
        <f>_xlfn.XLOOKUP(Table1[[#This Row],[Attrition]],Table2[Attrition],Table2[Id_Attrition])</f>
        <v>A001</v>
      </c>
      <c r="C1397" t="s">
        <v>32</v>
      </c>
      <c r="D1397" t="str">
        <f>_xlfn.XLOOKUP(Table1[[#This Row],[BusinessTravel]],Table5[BusinessTravel],Table5[Id_BusinessTravel])</f>
        <v>BS002</v>
      </c>
      <c r="E1397" t="s">
        <v>35</v>
      </c>
      <c r="F1397">
        <v>754</v>
      </c>
      <c r="G1397" t="str">
        <f>_xlfn.XLOOKUP(Table1[[#This Row],[Department]],Table6[Department],Table6[Id_Departement])</f>
        <v>D001</v>
      </c>
      <c r="H1397" t="s">
        <v>37</v>
      </c>
      <c r="I1397">
        <v>26</v>
      </c>
      <c r="J1397" t="str">
        <f>_xlfn.XLOOKUP(Table1[[#This Row],[Education]],Table8[Education],Table8[Id_Education])</f>
        <v>E004</v>
      </c>
      <c r="K1397">
        <v>4</v>
      </c>
      <c r="L1397" t="str">
        <f>_xlfn.XLOOKUP(Table1[[#This Row],[EducationField]],Table7[EducationField],Table7[Id_EducationField])</f>
        <v>EF004</v>
      </c>
      <c r="M1397" t="s">
        <v>43</v>
      </c>
      <c r="N1397" t="str">
        <f>_xlfn.XLOOKUP(Table1[[#This Row],[EmployeeNumber]],Table4[EmployeeNumber],Table4[Id_Employee])</f>
        <v>EMP01396</v>
      </c>
      <c r="O1397">
        <v>1967</v>
      </c>
      <c r="P1397" t="str">
        <f>_xlfn.XLOOKUP(Table1[[#This Row],[EnvironmentSatisfaction]],Table9[EnvironmentSatisfaction],Table9[Id_EnviromentSatisfaction])</f>
        <v>ES001</v>
      </c>
      <c r="Q1397">
        <v>1</v>
      </c>
      <c r="R1397" t="str">
        <f>_xlfn.XLOOKUP(Table1[[#This Row],[EnvironmentSatisfaction]],Table9[EnvironmentSatisfaction],Table9[Deskripsi])</f>
        <v>Low</v>
      </c>
      <c r="S1397" t="str">
        <f>_xlfn.XLOOKUP(Table1[[#This Row],[Gender]],Table10[Gender],Table10[Id_Gender])</f>
        <v>G002</v>
      </c>
      <c r="T1397" t="s">
        <v>46</v>
      </c>
      <c r="U1397">
        <v>63</v>
      </c>
      <c r="V1397" t="str">
        <f>_xlfn.XLOOKUP(Table1[[#This Row],[JobInvolvement]],Table11[JobInvolvement],Table11[Id_JobInvolvement])</f>
        <v>JI003</v>
      </c>
      <c r="W1397">
        <v>3</v>
      </c>
      <c r="X1397" t="str">
        <f>_xlfn.XLOOKUP(Table1[[#This Row],[JobLevel]],Table12[JobLevel],Table12[Id_JobLevel])</f>
        <v>JL002</v>
      </c>
      <c r="Y1397">
        <v>2</v>
      </c>
      <c r="Z1397" t="str">
        <f>_xlfn.XLOOKUP(Table1[[#This Row],[JobRole]],Table13[JobRole],Table13[Id_JobRole])</f>
        <v>JR001</v>
      </c>
      <c r="AA1397" t="s">
        <v>47</v>
      </c>
      <c r="AB1397" t="str">
        <f>_xlfn.XLOOKUP(Table1[[#This Row],[JobSatisfaction]],Table14[JobSatisfaction],Table14[Id_JobSatisfaction])</f>
        <v>JS004</v>
      </c>
      <c r="AC1397">
        <v>4</v>
      </c>
      <c r="AD1397" t="str">
        <f>_xlfn.XLOOKUP(Table1[[#This Row],[JobSatisfaction]],Table14[JobSatisfaction],Table14[Deskripsi])</f>
        <v>Very High</v>
      </c>
      <c r="AE1397" t="str">
        <f>_xlfn.XLOOKUP(Table1[[#This Row],[MaritalStatus]],Table15[MaritalStatus],Table15[Id_MaritalStatus])</f>
        <v>MS002</v>
      </c>
      <c r="AF1397" t="s">
        <v>56</v>
      </c>
      <c r="AG1397">
        <v>5617</v>
      </c>
      <c r="AH1397">
        <v>21075</v>
      </c>
      <c r="AI1397">
        <v>1</v>
      </c>
      <c r="AJ1397" t="str">
        <f>_xlfn.XLOOKUP(Table1[[#This Row],[OverTime]],Table16[OverTime],Table16[Id_OverTime])</f>
        <v>OT001</v>
      </c>
      <c r="AK1397" t="s">
        <v>32</v>
      </c>
      <c r="AL1397">
        <v>11</v>
      </c>
      <c r="AM1397" t="str">
        <f>_xlfn.XLOOKUP(Table1[[#This Row],[PerformanceRating]],Table17[PerformanceRating],Table17[Id_PerformanceRating])</f>
        <v>PR003</v>
      </c>
      <c r="AN1397">
        <v>3</v>
      </c>
      <c r="AO1397" t="str">
        <f>_xlfn.XLOOKUP(Table1[[#This Row],[PerformanceRating]],Table17[PerformanceRating],Table17[Deskripsi])</f>
        <v>Excellent</v>
      </c>
      <c r="AP1397" t="str">
        <f>_xlfn.XLOOKUP(Table1[[#This Row],[RelationshipSatisfaction]],Table18[RelationshipSatisfaction],Table18[Id_RelationshipSatisfaction])</f>
        <v>RS003</v>
      </c>
      <c r="AQ1397">
        <v>3</v>
      </c>
      <c r="AR1397" t="str">
        <f>_xlfn.XLOOKUP(Table1[[#This Row],[RelationshipSatisfaction]],Table18[RelationshipSatisfaction],Table18[Deskripsi])</f>
        <v>High</v>
      </c>
      <c r="AS1397" t="str">
        <f>_xlfn.XLOOKUP(Table1[[#This Row],[StockOptionLevel]],Table19[StockOptionLevel],Table19[Id_StockOptionLevel])</f>
        <v>SOL001</v>
      </c>
      <c r="AT1397">
        <v>0</v>
      </c>
      <c r="AU1397" t="str">
        <f>_xlfn.XLOOKUP(Table1[[#This Row],[StockOptionLevel]],Table19[StockOptionLevel],Table19[Deskripsi])</f>
        <v>Non-Eligible</v>
      </c>
      <c r="AV1397">
        <v>10</v>
      </c>
      <c r="AW1397">
        <v>4</v>
      </c>
      <c r="AX1397" t="str">
        <f>_xlfn.XLOOKUP(Table1[[#This Row],[WorkLifeBalance]],Table20[WorkLifeBalance],Table20[Id_WorkLifeBalance])</f>
        <v>WLB002</v>
      </c>
      <c r="AY1397">
        <v>3</v>
      </c>
      <c r="AZ1397" t="str">
        <f>_xlfn.XLOOKUP(Table1[[#This Row],[WorkLifeBalance]],Table20[WorkLifeBalance],Table20[Deskripsi])</f>
        <v>Good</v>
      </c>
      <c r="BA1397">
        <v>10</v>
      </c>
      <c r="BB1397">
        <v>7</v>
      </c>
      <c r="BC1397">
        <v>0</v>
      </c>
      <c r="BD1397">
        <v>8</v>
      </c>
    </row>
    <row r="1398" spans="1:56" x14ac:dyDescent="0.25">
      <c r="A1398">
        <v>53</v>
      </c>
      <c r="B1398" t="str">
        <f>_xlfn.XLOOKUP(Table1[[#This Row],[Attrition]],Table2[Attrition],Table2[Id_Attrition])</f>
        <v>A001</v>
      </c>
      <c r="C1398" t="s">
        <v>32</v>
      </c>
      <c r="D1398" t="str">
        <f>_xlfn.XLOOKUP(Table1[[#This Row],[BusinessTravel]],Table5[BusinessTravel],Table5[Id_BusinessTravel])</f>
        <v>BS001</v>
      </c>
      <c r="E1398" t="s">
        <v>34</v>
      </c>
      <c r="F1398">
        <v>1168</v>
      </c>
      <c r="G1398" t="str">
        <f>_xlfn.XLOOKUP(Table1[[#This Row],[Department]],Table6[Department],Table6[Id_Departement])</f>
        <v>D001</v>
      </c>
      <c r="H1398" t="s">
        <v>37</v>
      </c>
      <c r="I1398">
        <v>24</v>
      </c>
      <c r="J1398" t="str">
        <f>_xlfn.XLOOKUP(Table1[[#This Row],[Education]],Table8[Education],Table8[Id_Education])</f>
        <v>E004</v>
      </c>
      <c r="K1398">
        <v>4</v>
      </c>
      <c r="L1398" t="str">
        <f>_xlfn.XLOOKUP(Table1[[#This Row],[EducationField]],Table7[EducationField],Table7[Id_EducationField])</f>
        <v>EF001</v>
      </c>
      <c r="M1398" t="s">
        <v>40</v>
      </c>
      <c r="N1398" t="str">
        <f>_xlfn.XLOOKUP(Table1[[#This Row],[EmployeeNumber]],Table4[EmployeeNumber],Table4[Id_Employee])</f>
        <v>EMP01397</v>
      </c>
      <c r="O1398">
        <v>1968</v>
      </c>
      <c r="P1398" t="str">
        <f>_xlfn.XLOOKUP(Table1[[#This Row],[EnvironmentSatisfaction]],Table9[EnvironmentSatisfaction],Table9[Id_EnviromentSatisfaction])</f>
        <v>ES001</v>
      </c>
      <c r="Q1398">
        <v>1</v>
      </c>
      <c r="R1398" t="str">
        <f>_xlfn.XLOOKUP(Table1[[#This Row],[EnvironmentSatisfaction]],Table9[EnvironmentSatisfaction],Table9[Deskripsi])</f>
        <v>Low</v>
      </c>
      <c r="S1398" t="str">
        <f>_xlfn.XLOOKUP(Table1[[#This Row],[Gender]],Table10[Gender],Table10[Id_Gender])</f>
        <v>G002</v>
      </c>
      <c r="T1398" t="s">
        <v>46</v>
      </c>
      <c r="U1398">
        <v>66</v>
      </c>
      <c r="V1398" t="str">
        <f>_xlfn.XLOOKUP(Table1[[#This Row],[JobInvolvement]],Table11[JobInvolvement],Table11[Id_JobInvolvement])</f>
        <v>JI003</v>
      </c>
      <c r="W1398">
        <v>3</v>
      </c>
      <c r="X1398" t="str">
        <f>_xlfn.XLOOKUP(Table1[[#This Row],[JobLevel]],Table12[JobLevel],Table12[Id_JobLevel])</f>
        <v>JL003</v>
      </c>
      <c r="Y1398">
        <v>3</v>
      </c>
      <c r="Z1398" t="str">
        <f>_xlfn.XLOOKUP(Table1[[#This Row],[JobRole]],Table13[JobRole],Table13[Id_JobRole])</f>
        <v>JR001</v>
      </c>
      <c r="AA1398" t="s">
        <v>47</v>
      </c>
      <c r="AB1398" t="str">
        <f>_xlfn.XLOOKUP(Table1[[#This Row],[JobSatisfaction]],Table14[JobSatisfaction],Table14[Id_JobSatisfaction])</f>
        <v>JS001</v>
      </c>
      <c r="AC1398">
        <v>1</v>
      </c>
      <c r="AD1398" t="str">
        <f>_xlfn.XLOOKUP(Table1[[#This Row],[JobSatisfaction]],Table14[JobSatisfaction],Table14[Deskripsi])</f>
        <v>Low</v>
      </c>
      <c r="AE1398" t="str">
        <f>_xlfn.XLOOKUP(Table1[[#This Row],[MaritalStatus]],Table15[MaritalStatus],Table15[Id_MaritalStatus])</f>
        <v>MS001</v>
      </c>
      <c r="AF1398" t="s">
        <v>55</v>
      </c>
      <c r="AG1398">
        <v>10448</v>
      </c>
      <c r="AH1398">
        <v>5843</v>
      </c>
      <c r="AI1398">
        <v>6</v>
      </c>
      <c r="AJ1398" t="str">
        <f>_xlfn.XLOOKUP(Table1[[#This Row],[OverTime]],Table16[OverTime],Table16[Id_OverTime])</f>
        <v>OT001</v>
      </c>
      <c r="AK1398" t="s">
        <v>32</v>
      </c>
      <c r="AL1398">
        <v>13</v>
      </c>
      <c r="AM1398" t="str">
        <f>_xlfn.XLOOKUP(Table1[[#This Row],[PerformanceRating]],Table17[PerformanceRating],Table17[Id_PerformanceRating])</f>
        <v>PR003</v>
      </c>
      <c r="AN1398">
        <v>3</v>
      </c>
      <c r="AO1398" t="str">
        <f>_xlfn.XLOOKUP(Table1[[#This Row],[PerformanceRating]],Table17[PerformanceRating],Table17[Deskripsi])</f>
        <v>Excellent</v>
      </c>
      <c r="AP1398" t="str">
        <f>_xlfn.XLOOKUP(Table1[[#This Row],[RelationshipSatisfaction]],Table18[RelationshipSatisfaction],Table18[Id_RelationshipSatisfaction])</f>
        <v>RS002</v>
      </c>
      <c r="AQ1398">
        <v>2</v>
      </c>
      <c r="AR1398" t="str">
        <f>_xlfn.XLOOKUP(Table1[[#This Row],[RelationshipSatisfaction]],Table18[RelationshipSatisfaction],Table18[Deskripsi])</f>
        <v>Medium</v>
      </c>
      <c r="AS1398" t="str">
        <f>_xlfn.XLOOKUP(Table1[[#This Row],[StockOptionLevel]],Table19[StockOptionLevel],Table19[Id_StockOptionLevel])</f>
        <v>SOL001</v>
      </c>
      <c r="AT1398">
        <v>0</v>
      </c>
      <c r="AU1398" t="str">
        <f>_xlfn.XLOOKUP(Table1[[#This Row],[StockOptionLevel]],Table19[StockOptionLevel],Table19[Deskripsi])</f>
        <v>Non-Eligible</v>
      </c>
      <c r="AV1398">
        <v>15</v>
      </c>
      <c r="AW1398">
        <v>2</v>
      </c>
      <c r="AX1398" t="str">
        <f>_xlfn.XLOOKUP(Table1[[#This Row],[WorkLifeBalance]],Table20[WorkLifeBalance],Table20[Id_WorkLifeBalance])</f>
        <v>WLB003</v>
      </c>
      <c r="AY1398">
        <v>2</v>
      </c>
      <c r="AZ1398" t="str">
        <f>_xlfn.XLOOKUP(Table1[[#This Row],[WorkLifeBalance]],Table20[WorkLifeBalance],Table20[Deskripsi])</f>
        <v>Better</v>
      </c>
      <c r="BA1398">
        <v>2</v>
      </c>
      <c r="BB1398">
        <v>2</v>
      </c>
      <c r="BC1398">
        <v>2</v>
      </c>
      <c r="BD1398">
        <v>2</v>
      </c>
    </row>
    <row r="1399" spans="1:56" x14ac:dyDescent="0.25">
      <c r="A1399">
        <v>54</v>
      </c>
      <c r="B1399" t="str">
        <f>_xlfn.XLOOKUP(Table1[[#This Row],[Attrition]],Table2[Attrition],Table2[Id_Attrition])</f>
        <v>A002</v>
      </c>
      <c r="C1399" t="s">
        <v>33</v>
      </c>
      <c r="D1399" t="str">
        <f>_xlfn.XLOOKUP(Table1[[#This Row],[BusinessTravel]],Table5[BusinessTravel],Table5[Id_BusinessTravel])</f>
        <v>BS001</v>
      </c>
      <c r="E1399" t="s">
        <v>34</v>
      </c>
      <c r="F1399">
        <v>155</v>
      </c>
      <c r="G1399" t="str">
        <f>_xlfn.XLOOKUP(Table1[[#This Row],[Department]],Table6[Department],Table6[Id_Departement])</f>
        <v>D002</v>
      </c>
      <c r="H1399" t="s">
        <v>38</v>
      </c>
      <c r="I1399">
        <v>9</v>
      </c>
      <c r="J1399" t="str">
        <f>_xlfn.XLOOKUP(Table1[[#This Row],[Education]],Table8[Education],Table8[Id_Education])</f>
        <v>E002</v>
      </c>
      <c r="K1399">
        <v>2</v>
      </c>
      <c r="L1399" t="str">
        <f>_xlfn.XLOOKUP(Table1[[#This Row],[EducationField]],Table7[EducationField],Table7[Id_EducationField])</f>
        <v>EF001</v>
      </c>
      <c r="M1399" t="s">
        <v>40</v>
      </c>
      <c r="N1399" t="str">
        <f>_xlfn.XLOOKUP(Table1[[#This Row],[EmployeeNumber]],Table4[EmployeeNumber],Table4[Id_Employee])</f>
        <v>EMP01398</v>
      </c>
      <c r="O1399">
        <v>1969</v>
      </c>
      <c r="P1399" t="str">
        <f>_xlfn.XLOOKUP(Table1[[#This Row],[EnvironmentSatisfaction]],Table9[EnvironmentSatisfaction],Table9[Id_EnviromentSatisfaction])</f>
        <v>ES001</v>
      </c>
      <c r="Q1399">
        <v>1</v>
      </c>
      <c r="R1399" t="str">
        <f>_xlfn.XLOOKUP(Table1[[#This Row],[EnvironmentSatisfaction]],Table9[EnvironmentSatisfaction],Table9[Deskripsi])</f>
        <v>Low</v>
      </c>
      <c r="S1399" t="str">
        <f>_xlfn.XLOOKUP(Table1[[#This Row],[Gender]],Table10[Gender],Table10[Id_Gender])</f>
        <v>G001</v>
      </c>
      <c r="T1399" t="s">
        <v>45</v>
      </c>
      <c r="U1399">
        <v>67</v>
      </c>
      <c r="V1399" t="str">
        <f>_xlfn.XLOOKUP(Table1[[#This Row],[JobInvolvement]],Table11[JobInvolvement],Table11[Id_JobInvolvement])</f>
        <v>JI003</v>
      </c>
      <c r="W1399">
        <v>3</v>
      </c>
      <c r="X1399" t="str">
        <f>_xlfn.XLOOKUP(Table1[[#This Row],[JobLevel]],Table12[JobLevel],Table12[Id_JobLevel])</f>
        <v>JL002</v>
      </c>
      <c r="Y1399">
        <v>2</v>
      </c>
      <c r="Z1399" t="str">
        <f>_xlfn.XLOOKUP(Table1[[#This Row],[JobRole]],Table13[JobRole],Table13[Id_JobRole])</f>
        <v>JR002</v>
      </c>
      <c r="AA1399" t="s">
        <v>48</v>
      </c>
      <c r="AB1399" t="str">
        <f>_xlfn.XLOOKUP(Table1[[#This Row],[JobSatisfaction]],Table14[JobSatisfaction],Table14[Id_JobSatisfaction])</f>
        <v>JS003</v>
      </c>
      <c r="AC1399">
        <v>3</v>
      </c>
      <c r="AD1399" t="str">
        <f>_xlfn.XLOOKUP(Table1[[#This Row],[JobSatisfaction]],Table14[JobSatisfaction],Table14[Deskripsi])</f>
        <v>High</v>
      </c>
      <c r="AE1399" t="str">
        <f>_xlfn.XLOOKUP(Table1[[#This Row],[MaritalStatus]],Table15[MaritalStatus],Table15[Id_MaritalStatus])</f>
        <v>MS002</v>
      </c>
      <c r="AF1399" t="s">
        <v>56</v>
      </c>
      <c r="AG1399">
        <v>2897</v>
      </c>
      <c r="AH1399">
        <v>22474</v>
      </c>
      <c r="AI1399">
        <v>3</v>
      </c>
      <c r="AJ1399" t="str">
        <f>_xlfn.XLOOKUP(Table1[[#This Row],[OverTime]],Table16[OverTime],Table16[Id_OverTime])</f>
        <v>OT002</v>
      </c>
      <c r="AK1399" t="s">
        <v>33</v>
      </c>
      <c r="AL1399">
        <v>11</v>
      </c>
      <c r="AM1399" t="str">
        <f>_xlfn.XLOOKUP(Table1[[#This Row],[PerformanceRating]],Table17[PerformanceRating],Table17[Id_PerformanceRating])</f>
        <v>PR003</v>
      </c>
      <c r="AN1399">
        <v>3</v>
      </c>
      <c r="AO1399" t="str">
        <f>_xlfn.XLOOKUP(Table1[[#This Row],[PerformanceRating]],Table17[PerformanceRating],Table17[Deskripsi])</f>
        <v>Excellent</v>
      </c>
      <c r="AP1399" t="str">
        <f>_xlfn.XLOOKUP(Table1[[#This Row],[RelationshipSatisfaction]],Table18[RelationshipSatisfaction],Table18[Id_RelationshipSatisfaction])</f>
        <v>RS003</v>
      </c>
      <c r="AQ1399">
        <v>3</v>
      </c>
      <c r="AR1399" t="str">
        <f>_xlfn.XLOOKUP(Table1[[#This Row],[RelationshipSatisfaction]],Table18[RelationshipSatisfaction],Table18[Deskripsi])</f>
        <v>High</v>
      </c>
      <c r="AS1399" t="str">
        <f>_xlfn.XLOOKUP(Table1[[#This Row],[StockOptionLevel]],Table19[StockOptionLevel],Table19[Id_StockOptionLevel])</f>
        <v>SOL003</v>
      </c>
      <c r="AT1399">
        <v>2</v>
      </c>
      <c r="AU1399" t="str">
        <f>_xlfn.XLOOKUP(Table1[[#This Row],[StockOptionLevel]],Table19[StockOptionLevel],Table19[Deskripsi])</f>
        <v>Intermediate</v>
      </c>
      <c r="AV1399">
        <v>9</v>
      </c>
      <c r="AW1399">
        <v>6</v>
      </c>
      <c r="AX1399" t="str">
        <f>_xlfn.XLOOKUP(Table1[[#This Row],[WorkLifeBalance]],Table20[WorkLifeBalance],Table20[Id_WorkLifeBalance])</f>
        <v>WLB003</v>
      </c>
      <c r="AY1399">
        <v>2</v>
      </c>
      <c r="AZ1399" t="str">
        <f>_xlfn.XLOOKUP(Table1[[#This Row],[WorkLifeBalance]],Table20[WorkLifeBalance],Table20[Deskripsi])</f>
        <v>Better</v>
      </c>
      <c r="BA1399">
        <v>4</v>
      </c>
      <c r="BB1399">
        <v>3</v>
      </c>
      <c r="BC1399">
        <v>2</v>
      </c>
      <c r="BD1399">
        <v>3</v>
      </c>
    </row>
    <row r="1400" spans="1:56" x14ac:dyDescent="0.25">
      <c r="A1400">
        <v>33</v>
      </c>
      <c r="B1400" t="str">
        <f>_xlfn.XLOOKUP(Table1[[#This Row],[Attrition]],Table2[Attrition],Table2[Id_Attrition])</f>
        <v>A002</v>
      </c>
      <c r="C1400" t="s">
        <v>33</v>
      </c>
      <c r="D1400" t="str">
        <f>_xlfn.XLOOKUP(Table1[[#This Row],[BusinessTravel]],Table5[BusinessTravel],Table5[Id_BusinessTravel])</f>
        <v>BS002</v>
      </c>
      <c r="E1400" t="s">
        <v>35</v>
      </c>
      <c r="F1400">
        <v>1303</v>
      </c>
      <c r="G1400" t="str">
        <f>_xlfn.XLOOKUP(Table1[[#This Row],[Department]],Table6[Department],Table6[Id_Departement])</f>
        <v>D002</v>
      </c>
      <c r="H1400" t="s">
        <v>38</v>
      </c>
      <c r="I1400">
        <v>7</v>
      </c>
      <c r="J1400" t="str">
        <f>_xlfn.XLOOKUP(Table1[[#This Row],[Education]],Table8[Education],Table8[Id_Education])</f>
        <v>E002</v>
      </c>
      <c r="K1400">
        <v>2</v>
      </c>
      <c r="L1400" t="str">
        <f>_xlfn.XLOOKUP(Table1[[#This Row],[EducationField]],Table7[EducationField],Table7[Id_EducationField])</f>
        <v>EF001</v>
      </c>
      <c r="M1400" t="s">
        <v>40</v>
      </c>
      <c r="N1400" t="str">
        <f>_xlfn.XLOOKUP(Table1[[#This Row],[EmployeeNumber]],Table4[EmployeeNumber],Table4[Id_Employee])</f>
        <v>EMP01399</v>
      </c>
      <c r="O1400">
        <v>1970</v>
      </c>
      <c r="P1400" t="str">
        <f>_xlfn.XLOOKUP(Table1[[#This Row],[EnvironmentSatisfaction]],Table9[EnvironmentSatisfaction],Table9[Id_EnviromentSatisfaction])</f>
        <v>ES004</v>
      </c>
      <c r="Q1400">
        <v>4</v>
      </c>
      <c r="R1400" t="str">
        <f>_xlfn.XLOOKUP(Table1[[#This Row],[EnvironmentSatisfaction]],Table9[EnvironmentSatisfaction],Table9[Deskripsi])</f>
        <v>Very High</v>
      </c>
      <c r="S1400" t="str">
        <f>_xlfn.XLOOKUP(Table1[[#This Row],[Gender]],Table10[Gender],Table10[Id_Gender])</f>
        <v>G002</v>
      </c>
      <c r="T1400" t="s">
        <v>46</v>
      </c>
      <c r="U1400">
        <v>36</v>
      </c>
      <c r="V1400" t="str">
        <f>_xlfn.XLOOKUP(Table1[[#This Row],[JobInvolvement]],Table11[JobInvolvement],Table11[Id_JobInvolvement])</f>
        <v>JI003</v>
      </c>
      <c r="W1400">
        <v>3</v>
      </c>
      <c r="X1400" t="str">
        <f>_xlfn.XLOOKUP(Table1[[#This Row],[JobLevel]],Table12[JobLevel],Table12[Id_JobLevel])</f>
        <v>JL002</v>
      </c>
      <c r="Y1400">
        <v>2</v>
      </c>
      <c r="Z1400" t="str">
        <f>_xlfn.XLOOKUP(Table1[[#This Row],[JobRole]],Table13[JobRole],Table13[Id_JobRole])</f>
        <v>JR005</v>
      </c>
      <c r="AA1400" t="s">
        <v>51</v>
      </c>
      <c r="AB1400" t="str">
        <f>_xlfn.XLOOKUP(Table1[[#This Row],[JobSatisfaction]],Table14[JobSatisfaction],Table14[Id_JobSatisfaction])</f>
        <v>JS003</v>
      </c>
      <c r="AC1400">
        <v>3</v>
      </c>
      <c r="AD1400" t="str">
        <f>_xlfn.XLOOKUP(Table1[[#This Row],[JobSatisfaction]],Table14[JobSatisfaction],Table14[Deskripsi])</f>
        <v>High</v>
      </c>
      <c r="AE1400" t="str">
        <f>_xlfn.XLOOKUP(Table1[[#This Row],[MaritalStatus]],Table15[MaritalStatus],Table15[Id_MaritalStatus])</f>
        <v>MS003</v>
      </c>
      <c r="AF1400" t="s">
        <v>57</v>
      </c>
      <c r="AG1400">
        <v>5968</v>
      </c>
      <c r="AH1400">
        <v>18079</v>
      </c>
      <c r="AI1400">
        <v>1</v>
      </c>
      <c r="AJ1400" t="str">
        <f>_xlfn.XLOOKUP(Table1[[#This Row],[OverTime]],Table16[OverTime],Table16[Id_OverTime])</f>
        <v>OT002</v>
      </c>
      <c r="AK1400" t="s">
        <v>33</v>
      </c>
      <c r="AL1400">
        <v>20</v>
      </c>
      <c r="AM1400" t="str">
        <f>_xlfn.XLOOKUP(Table1[[#This Row],[PerformanceRating]],Table17[PerformanceRating],Table17[Id_PerformanceRating])</f>
        <v>PR004</v>
      </c>
      <c r="AN1400">
        <v>4</v>
      </c>
      <c r="AO1400" t="str">
        <f>_xlfn.XLOOKUP(Table1[[#This Row],[PerformanceRating]],Table17[PerformanceRating],Table17[Deskripsi])</f>
        <v>Outstanding</v>
      </c>
      <c r="AP1400" t="str">
        <f>_xlfn.XLOOKUP(Table1[[#This Row],[RelationshipSatisfaction]],Table18[RelationshipSatisfaction],Table18[Id_RelationshipSatisfaction])</f>
        <v>RS003</v>
      </c>
      <c r="AQ1400">
        <v>3</v>
      </c>
      <c r="AR1400" t="str">
        <f>_xlfn.XLOOKUP(Table1[[#This Row],[RelationshipSatisfaction]],Table18[RelationshipSatisfaction],Table18[Deskripsi])</f>
        <v>High</v>
      </c>
      <c r="AS1400" t="str">
        <f>_xlfn.XLOOKUP(Table1[[#This Row],[StockOptionLevel]],Table19[StockOptionLevel],Table19[Id_StockOptionLevel])</f>
        <v>SOL004</v>
      </c>
      <c r="AT1400">
        <v>3</v>
      </c>
      <c r="AU1400" t="str">
        <f>_xlfn.XLOOKUP(Table1[[#This Row],[StockOptionLevel]],Table19[StockOptionLevel],Table19[Deskripsi])</f>
        <v>Senior/Executive</v>
      </c>
      <c r="AV1400">
        <v>9</v>
      </c>
      <c r="AW1400">
        <v>2</v>
      </c>
      <c r="AX1400" t="str">
        <f>_xlfn.XLOOKUP(Table1[[#This Row],[WorkLifeBalance]],Table20[WorkLifeBalance],Table20[Id_WorkLifeBalance])</f>
        <v>WLB002</v>
      </c>
      <c r="AY1400">
        <v>3</v>
      </c>
      <c r="AZ1400" t="str">
        <f>_xlfn.XLOOKUP(Table1[[#This Row],[WorkLifeBalance]],Table20[WorkLifeBalance],Table20[Deskripsi])</f>
        <v>Good</v>
      </c>
      <c r="BA1400">
        <v>9</v>
      </c>
      <c r="BB1400">
        <v>7</v>
      </c>
      <c r="BC1400">
        <v>2</v>
      </c>
      <c r="BD1400">
        <v>8</v>
      </c>
    </row>
    <row r="1401" spans="1:56" x14ac:dyDescent="0.25">
      <c r="A1401">
        <v>43</v>
      </c>
      <c r="B1401" t="str">
        <f>_xlfn.XLOOKUP(Table1[[#This Row],[Attrition]],Table2[Attrition],Table2[Id_Attrition])</f>
        <v>A002</v>
      </c>
      <c r="C1401" t="s">
        <v>33</v>
      </c>
      <c r="D1401" t="str">
        <f>_xlfn.XLOOKUP(Table1[[#This Row],[BusinessTravel]],Table5[BusinessTravel],Table5[Id_BusinessTravel])</f>
        <v>BS001</v>
      </c>
      <c r="E1401" t="s">
        <v>34</v>
      </c>
      <c r="F1401">
        <v>574</v>
      </c>
      <c r="G1401" t="str">
        <f>_xlfn.XLOOKUP(Table1[[#This Row],[Department]],Table6[Department],Table6[Id_Departement])</f>
        <v>D002</v>
      </c>
      <c r="H1401" t="s">
        <v>38</v>
      </c>
      <c r="I1401">
        <v>11</v>
      </c>
      <c r="J1401" t="str">
        <f>_xlfn.XLOOKUP(Table1[[#This Row],[Education]],Table8[Education],Table8[Id_Education])</f>
        <v>E003</v>
      </c>
      <c r="K1401">
        <v>3</v>
      </c>
      <c r="L1401" t="str">
        <f>_xlfn.XLOOKUP(Table1[[#This Row],[EducationField]],Table7[EducationField],Table7[Id_EducationField])</f>
        <v>EF001</v>
      </c>
      <c r="M1401" t="s">
        <v>40</v>
      </c>
      <c r="N1401" t="str">
        <f>_xlfn.XLOOKUP(Table1[[#This Row],[EmployeeNumber]],Table4[EmployeeNumber],Table4[Id_Employee])</f>
        <v>EMP01400</v>
      </c>
      <c r="O1401">
        <v>1971</v>
      </c>
      <c r="P1401" t="str">
        <f>_xlfn.XLOOKUP(Table1[[#This Row],[EnvironmentSatisfaction]],Table9[EnvironmentSatisfaction],Table9[Id_EnviromentSatisfaction])</f>
        <v>ES001</v>
      </c>
      <c r="Q1401">
        <v>1</v>
      </c>
      <c r="R1401" t="str">
        <f>_xlfn.XLOOKUP(Table1[[#This Row],[EnvironmentSatisfaction]],Table9[EnvironmentSatisfaction],Table9[Deskripsi])</f>
        <v>Low</v>
      </c>
      <c r="S1401" t="str">
        <f>_xlfn.XLOOKUP(Table1[[#This Row],[Gender]],Table10[Gender],Table10[Id_Gender])</f>
        <v>G002</v>
      </c>
      <c r="T1401" t="s">
        <v>46</v>
      </c>
      <c r="U1401">
        <v>30</v>
      </c>
      <c r="V1401" t="str">
        <f>_xlfn.XLOOKUP(Table1[[#This Row],[JobInvolvement]],Table11[JobInvolvement],Table11[Id_JobInvolvement])</f>
        <v>JI003</v>
      </c>
      <c r="W1401">
        <v>3</v>
      </c>
      <c r="X1401" t="str">
        <f>_xlfn.XLOOKUP(Table1[[#This Row],[JobLevel]],Table12[JobLevel],Table12[Id_JobLevel])</f>
        <v>JL003</v>
      </c>
      <c r="Y1401">
        <v>3</v>
      </c>
      <c r="Z1401" t="str">
        <f>_xlfn.XLOOKUP(Table1[[#This Row],[JobRole]],Table13[JobRole],Table13[Id_JobRole])</f>
        <v>JR005</v>
      </c>
      <c r="AA1401" t="s">
        <v>51</v>
      </c>
      <c r="AB1401" t="str">
        <f>_xlfn.XLOOKUP(Table1[[#This Row],[JobSatisfaction]],Table14[JobSatisfaction],Table14[Id_JobSatisfaction])</f>
        <v>JS003</v>
      </c>
      <c r="AC1401">
        <v>3</v>
      </c>
      <c r="AD1401" t="str">
        <f>_xlfn.XLOOKUP(Table1[[#This Row],[JobSatisfaction]],Table14[JobSatisfaction],Table14[Deskripsi])</f>
        <v>High</v>
      </c>
      <c r="AE1401" t="str">
        <f>_xlfn.XLOOKUP(Table1[[#This Row],[MaritalStatus]],Table15[MaritalStatus],Table15[Id_MaritalStatus])</f>
        <v>MS002</v>
      </c>
      <c r="AF1401" t="s">
        <v>56</v>
      </c>
      <c r="AG1401">
        <v>7510</v>
      </c>
      <c r="AH1401">
        <v>16873</v>
      </c>
      <c r="AI1401">
        <v>1</v>
      </c>
      <c r="AJ1401" t="str">
        <f>_xlfn.XLOOKUP(Table1[[#This Row],[OverTime]],Table16[OverTime],Table16[Id_OverTime])</f>
        <v>OT002</v>
      </c>
      <c r="AK1401" t="s">
        <v>33</v>
      </c>
      <c r="AL1401">
        <v>17</v>
      </c>
      <c r="AM1401" t="str">
        <f>_xlfn.XLOOKUP(Table1[[#This Row],[PerformanceRating]],Table17[PerformanceRating],Table17[Id_PerformanceRating])</f>
        <v>PR003</v>
      </c>
      <c r="AN1401">
        <v>3</v>
      </c>
      <c r="AO1401" t="str">
        <f>_xlfn.XLOOKUP(Table1[[#This Row],[PerformanceRating]],Table17[PerformanceRating],Table17[Deskripsi])</f>
        <v>Excellent</v>
      </c>
      <c r="AP1401" t="str">
        <f>_xlfn.XLOOKUP(Table1[[#This Row],[RelationshipSatisfaction]],Table18[RelationshipSatisfaction],Table18[Id_RelationshipSatisfaction])</f>
        <v>RS002</v>
      </c>
      <c r="AQ1401">
        <v>2</v>
      </c>
      <c r="AR1401" t="str">
        <f>_xlfn.XLOOKUP(Table1[[#This Row],[RelationshipSatisfaction]],Table18[RelationshipSatisfaction],Table18[Deskripsi])</f>
        <v>Medium</v>
      </c>
      <c r="AS1401" t="str">
        <f>_xlfn.XLOOKUP(Table1[[#This Row],[StockOptionLevel]],Table19[StockOptionLevel],Table19[Id_StockOptionLevel])</f>
        <v>SOL002</v>
      </c>
      <c r="AT1401">
        <v>1</v>
      </c>
      <c r="AU1401" t="str">
        <f>_xlfn.XLOOKUP(Table1[[#This Row],[StockOptionLevel]],Table19[StockOptionLevel],Table19[Deskripsi])</f>
        <v>Standard</v>
      </c>
      <c r="AV1401">
        <v>10</v>
      </c>
      <c r="AW1401">
        <v>1</v>
      </c>
      <c r="AX1401" t="str">
        <f>_xlfn.XLOOKUP(Table1[[#This Row],[WorkLifeBalance]],Table20[WorkLifeBalance],Table20[Id_WorkLifeBalance])</f>
        <v>WLB002</v>
      </c>
      <c r="AY1401">
        <v>3</v>
      </c>
      <c r="AZ1401" t="str">
        <f>_xlfn.XLOOKUP(Table1[[#This Row],[WorkLifeBalance]],Table20[WorkLifeBalance],Table20[Deskripsi])</f>
        <v>Good</v>
      </c>
      <c r="BA1401">
        <v>10</v>
      </c>
      <c r="BB1401">
        <v>9</v>
      </c>
      <c r="BC1401">
        <v>0</v>
      </c>
      <c r="BD1401">
        <v>9</v>
      </c>
    </row>
    <row r="1402" spans="1:56" x14ac:dyDescent="0.25">
      <c r="A1402">
        <v>38</v>
      </c>
      <c r="B1402" t="str">
        <f>_xlfn.XLOOKUP(Table1[[#This Row],[Attrition]],Table2[Attrition],Table2[Id_Attrition])</f>
        <v>A002</v>
      </c>
      <c r="C1402" t="s">
        <v>33</v>
      </c>
      <c r="D1402" t="str">
        <f>_xlfn.XLOOKUP(Table1[[#This Row],[BusinessTravel]],Table5[BusinessTravel],Table5[Id_BusinessTravel])</f>
        <v>BS002</v>
      </c>
      <c r="E1402" t="s">
        <v>35</v>
      </c>
      <c r="F1402">
        <v>1444</v>
      </c>
      <c r="G1402" t="str">
        <f>_xlfn.XLOOKUP(Table1[[#This Row],[Department]],Table6[Department],Table6[Id_Departement])</f>
        <v>D003</v>
      </c>
      <c r="H1402" t="s">
        <v>39</v>
      </c>
      <c r="I1402">
        <v>1</v>
      </c>
      <c r="J1402" t="str">
        <f>_xlfn.XLOOKUP(Table1[[#This Row],[Education]],Table8[Education],Table8[Id_Education])</f>
        <v>E004</v>
      </c>
      <c r="K1402">
        <v>4</v>
      </c>
      <c r="L1402" t="str">
        <f>_xlfn.XLOOKUP(Table1[[#This Row],[EducationField]],Table7[EducationField],Table7[Id_EducationField])</f>
        <v>EF002</v>
      </c>
      <c r="M1402" t="s">
        <v>41</v>
      </c>
      <c r="N1402" t="str">
        <f>_xlfn.XLOOKUP(Table1[[#This Row],[EmployeeNumber]],Table4[EmployeeNumber],Table4[Id_Employee])</f>
        <v>EMP01401</v>
      </c>
      <c r="O1402">
        <v>1972</v>
      </c>
      <c r="P1402" t="str">
        <f>_xlfn.XLOOKUP(Table1[[#This Row],[EnvironmentSatisfaction]],Table9[EnvironmentSatisfaction],Table9[Id_EnviromentSatisfaction])</f>
        <v>ES004</v>
      </c>
      <c r="Q1402">
        <v>4</v>
      </c>
      <c r="R1402" t="str">
        <f>_xlfn.XLOOKUP(Table1[[#This Row],[EnvironmentSatisfaction]],Table9[EnvironmentSatisfaction],Table9[Deskripsi])</f>
        <v>Very High</v>
      </c>
      <c r="S1402" t="str">
        <f>_xlfn.XLOOKUP(Table1[[#This Row],[Gender]],Table10[Gender],Table10[Id_Gender])</f>
        <v>G002</v>
      </c>
      <c r="T1402" t="s">
        <v>46</v>
      </c>
      <c r="U1402">
        <v>88</v>
      </c>
      <c r="V1402" t="str">
        <f>_xlfn.XLOOKUP(Table1[[#This Row],[JobInvolvement]],Table11[JobInvolvement],Table11[Id_JobInvolvement])</f>
        <v>JI003</v>
      </c>
      <c r="W1402">
        <v>3</v>
      </c>
      <c r="X1402" t="str">
        <f>_xlfn.XLOOKUP(Table1[[#This Row],[JobLevel]],Table12[JobLevel],Table12[Id_JobLevel])</f>
        <v>JL001</v>
      </c>
      <c r="Y1402">
        <v>1</v>
      </c>
      <c r="Z1402" t="str">
        <f>_xlfn.XLOOKUP(Table1[[#This Row],[JobRole]],Table13[JobRole],Table13[Id_JobRole])</f>
        <v>JR009</v>
      </c>
      <c r="AA1402" t="s">
        <v>39</v>
      </c>
      <c r="AB1402" t="str">
        <f>_xlfn.XLOOKUP(Table1[[#This Row],[JobSatisfaction]],Table14[JobSatisfaction],Table14[Id_JobSatisfaction])</f>
        <v>JS002</v>
      </c>
      <c r="AC1402">
        <v>2</v>
      </c>
      <c r="AD1402" t="str">
        <f>_xlfn.XLOOKUP(Table1[[#This Row],[JobSatisfaction]],Table14[JobSatisfaction],Table14[Deskripsi])</f>
        <v>Medium</v>
      </c>
      <c r="AE1402" t="str">
        <f>_xlfn.XLOOKUP(Table1[[#This Row],[MaritalStatus]],Table15[MaritalStatus],Table15[Id_MaritalStatus])</f>
        <v>MS002</v>
      </c>
      <c r="AF1402" t="s">
        <v>56</v>
      </c>
      <c r="AG1402">
        <v>2991</v>
      </c>
      <c r="AH1402">
        <v>5224</v>
      </c>
      <c r="AI1402">
        <v>0</v>
      </c>
      <c r="AJ1402" t="str">
        <f>_xlfn.XLOOKUP(Table1[[#This Row],[OverTime]],Table16[OverTime],Table16[Id_OverTime])</f>
        <v>OT001</v>
      </c>
      <c r="AK1402" t="s">
        <v>32</v>
      </c>
      <c r="AL1402">
        <v>11</v>
      </c>
      <c r="AM1402" t="str">
        <f>_xlfn.XLOOKUP(Table1[[#This Row],[PerformanceRating]],Table17[PerformanceRating],Table17[Id_PerformanceRating])</f>
        <v>PR003</v>
      </c>
      <c r="AN1402">
        <v>3</v>
      </c>
      <c r="AO1402" t="str">
        <f>_xlfn.XLOOKUP(Table1[[#This Row],[PerformanceRating]],Table17[PerformanceRating],Table17[Deskripsi])</f>
        <v>Excellent</v>
      </c>
      <c r="AP1402" t="str">
        <f>_xlfn.XLOOKUP(Table1[[#This Row],[RelationshipSatisfaction]],Table18[RelationshipSatisfaction],Table18[Id_RelationshipSatisfaction])</f>
        <v>RS002</v>
      </c>
      <c r="AQ1402">
        <v>2</v>
      </c>
      <c r="AR1402" t="str">
        <f>_xlfn.XLOOKUP(Table1[[#This Row],[RelationshipSatisfaction]],Table18[RelationshipSatisfaction],Table18[Deskripsi])</f>
        <v>Medium</v>
      </c>
      <c r="AS1402" t="str">
        <f>_xlfn.XLOOKUP(Table1[[#This Row],[StockOptionLevel]],Table19[StockOptionLevel],Table19[Id_StockOptionLevel])</f>
        <v>SOL002</v>
      </c>
      <c r="AT1402">
        <v>1</v>
      </c>
      <c r="AU1402" t="str">
        <f>_xlfn.XLOOKUP(Table1[[#This Row],[StockOptionLevel]],Table19[StockOptionLevel],Table19[Deskripsi])</f>
        <v>Standard</v>
      </c>
      <c r="AV1402">
        <v>7</v>
      </c>
      <c r="AW1402">
        <v>2</v>
      </c>
      <c r="AX1402" t="str">
        <f>_xlfn.XLOOKUP(Table1[[#This Row],[WorkLifeBalance]],Table20[WorkLifeBalance],Table20[Id_WorkLifeBalance])</f>
        <v>WLB002</v>
      </c>
      <c r="AY1402">
        <v>3</v>
      </c>
      <c r="AZ1402" t="str">
        <f>_xlfn.XLOOKUP(Table1[[#This Row],[WorkLifeBalance]],Table20[WorkLifeBalance],Table20[Deskripsi])</f>
        <v>Good</v>
      </c>
      <c r="BA1402">
        <v>6</v>
      </c>
      <c r="BB1402">
        <v>2</v>
      </c>
      <c r="BC1402">
        <v>1</v>
      </c>
      <c r="BD1402">
        <v>2</v>
      </c>
    </row>
    <row r="1403" spans="1:56" x14ac:dyDescent="0.25">
      <c r="A1403">
        <v>55</v>
      </c>
      <c r="B1403" t="str">
        <f>_xlfn.XLOOKUP(Table1[[#This Row],[Attrition]],Table2[Attrition],Table2[Id_Attrition])</f>
        <v>A002</v>
      </c>
      <c r="C1403" t="s">
        <v>33</v>
      </c>
      <c r="D1403" t="str">
        <f>_xlfn.XLOOKUP(Table1[[#This Row],[BusinessTravel]],Table5[BusinessTravel],Table5[Id_BusinessTravel])</f>
        <v>BS001</v>
      </c>
      <c r="E1403" t="s">
        <v>34</v>
      </c>
      <c r="F1403">
        <v>189</v>
      </c>
      <c r="G1403" t="str">
        <f>_xlfn.XLOOKUP(Table1[[#This Row],[Department]],Table6[Department],Table6[Id_Departement])</f>
        <v>D003</v>
      </c>
      <c r="H1403" t="s">
        <v>39</v>
      </c>
      <c r="I1403">
        <v>26</v>
      </c>
      <c r="J1403" t="str">
        <f>_xlfn.XLOOKUP(Table1[[#This Row],[Education]],Table8[Education],Table8[Id_Education])</f>
        <v>E004</v>
      </c>
      <c r="K1403">
        <v>4</v>
      </c>
      <c r="L1403" t="str">
        <f>_xlfn.XLOOKUP(Table1[[#This Row],[EducationField]],Table7[EducationField],Table7[Id_EducationField])</f>
        <v>EF006</v>
      </c>
      <c r="M1403" t="s">
        <v>39</v>
      </c>
      <c r="N1403" t="str">
        <f>_xlfn.XLOOKUP(Table1[[#This Row],[EmployeeNumber]],Table4[EmployeeNumber],Table4[Id_Employee])</f>
        <v>EMP01402</v>
      </c>
      <c r="O1403">
        <v>1973</v>
      </c>
      <c r="P1403" t="str">
        <f>_xlfn.XLOOKUP(Table1[[#This Row],[EnvironmentSatisfaction]],Table9[EnvironmentSatisfaction],Table9[Id_EnviromentSatisfaction])</f>
        <v>ES003</v>
      </c>
      <c r="Q1403">
        <v>3</v>
      </c>
      <c r="R1403" t="str">
        <f>_xlfn.XLOOKUP(Table1[[#This Row],[EnvironmentSatisfaction]],Table9[EnvironmentSatisfaction],Table9[Deskripsi])</f>
        <v>High</v>
      </c>
      <c r="S1403" t="str">
        <f>_xlfn.XLOOKUP(Table1[[#This Row],[Gender]],Table10[Gender],Table10[Id_Gender])</f>
        <v>G002</v>
      </c>
      <c r="T1403" t="s">
        <v>46</v>
      </c>
      <c r="U1403">
        <v>71</v>
      </c>
      <c r="V1403" t="str">
        <f>_xlfn.XLOOKUP(Table1[[#This Row],[JobInvolvement]],Table11[JobInvolvement],Table11[Id_JobInvolvement])</f>
        <v>JI004</v>
      </c>
      <c r="W1403">
        <v>4</v>
      </c>
      <c r="X1403" t="str">
        <f>_xlfn.XLOOKUP(Table1[[#This Row],[JobLevel]],Table12[JobLevel],Table12[Id_JobLevel])</f>
        <v>JL005</v>
      </c>
      <c r="Y1403">
        <v>5</v>
      </c>
      <c r="Z1403" t="str">
        <f>_xlfn.XLOOKUP(Table1[[#This Row],[JobRole]],Table13[JobRole],Table13[Id_JobRole])</f>
        <v>JR006</v>
      </c>
      <c r="AA1403" t="s">
        <v>52</v>
      </c>
      <c r="AB1403" t="str">
        <f>_xlfn.XLOOKUP(Table1[[#This Row],[JobSatisfaction]],Table14[JobSatisfaction],Table14[Id_JobSatisfaction])</f>
        <v>JS002</v>
      </c>
      <c r="AC1403">
        <v>2</v>
      </c>
      <c r="AD1403" t="str">
        <f>_xlfn.XLOOKUP(Table1[[#This Row],[JobSatisfaction]],Table14[JobSatisfaction],Table14[Deskripsi])</f>
        <v>Medium</v>
      </c>
      <c r="AE1403" t="str">
        <f>_xlfn.XLOOKUP(Table1[[#This Row],[MaritalStatus]],Table15[MaritalStatus],Table15[Id_MaritalStatus])</f>
        <v>MS002</v>
      </c>
      <c r="AF1403" t="s">
        <v>56</v>
      </c>
      <c r="AG1403">
        <v>19636</v>
      </c>
      <c r="AH1403">
        <v>25811</v>
      </c>
      <c r="AI1403">
        <v>4</v>
      </c>
      <c r="AJ1403" t="str">
        <f>_xlfn.XLOOKUP(Table1[[#This Row],[OverTime]],Table16[OverTime],Table16[Id_OverTime])</f>
        <v>OT001</v>
      </c>
      <c r="AK1403" t="s">
        <v>32</v>
      </c>
      <c r="AL1403">
        <v>18</v>
      </c>
      <c r="AM1403" t="str">
        <f>_xlfn.XLOOKUP(Table1[[#This Row],[PerformanceRating]],Table17[PerformanceRating],Table17[Id_PerformanceRating])</f>
        <v>PR003</v>
      </c>
      <c r="AN1403">
        <v>3</v>
      </c>
      <c r="AO1403" t="str">
        <f>_xlfn.XLOOKUP(Table1[[#This Row],[PerformanceRating]],Table17[PerformanceRating],Table17[Deskripsi])</f>
        <v>Excellent</v>
      </c>
      <c r="AP1403" t="str">
        <f>_xlfn.XLOOKUP(Table1[[#This Row],[RelationshipSatisfaction]],Table18[RelationshipSatisfaction],Table18[Id_RelationshipSatisfaction])</f>
        <v>RS001</v>
      </c>
      <c r="AQ1403">
        <v>1</v>
      </c>
      <c r="AR1403" t="str">
        <f>_xlfn.XLOOKUP(Table1[[#This Row],[RelationshipSatisfaction]],Table18[RelationshipSatisfaction],Table18[Deskripsi])</f>
        <v>Low</v>
      </c>
      <c r="AS1403" t="str">
        <f>_xlfn.XLOOKUP(Table1[[#This Row],[StockOptionLevel]],Table19[StockOptionLevel],Table19[Id_StockOptionLevel])</f>
        <v>SOL002</v>
      </c>
      <c r="AT1403">
        <v>1</v>
      </c>
      <c r="AU1403" t="str">
        <f>_xlfn.XLOOKUP(Table1[[#This Row],[StockOptionLevel]],Table19[StockOptionLevel],Table19[Deskripsi])</f>
        <v>Standard</v>
      </c>
      <c r="AV1403">
        <v>35</v>
      </c>
      <c r="AW1403">
        <v>0</v>
      </c>
      <c r="AX1403" t="str">
        <f>_xlfn.XLOOKUP(Table1[[#This Row],[WorkLifeBalance]],Table20[WorkLifeBalance],Table20[Id_WorkLifeBalance])</f>
        <v>WLB002</v>
      </c>
      <c r="AY1403">
        <v>3</v>
      </c>
      <c r="AZ1403" t="str">
        <f>_xlfn.XLOOKUP(Table1[[#This Row],[WorkLifeBalance]],Table20[WorkLifeBalance],Table20[Deskripsi])</f>
        <v>Good</v>
      </c>
      <c r="BA1403">
        <v>10</v>
      </c>
      <c r="BB1403">
        <v>9</v>
      </c>
      <c r="BC1403">
        <v>1</v>
      </c>
      <c r="BD1403">
        <v>4</v>
      </c>
    </row>
    <row r="1404" spans="1:56" x14ac:dyDescent="0.25">
      <c r="A1404">
        <v>31</v>
      </c>
      <c r="B1404" t="str">
        <f>_xlfn.XLOOKUP(Table1[[#This Row],[Attrition]],Table2[Attrition],Table2[Id_Attrition])</f>
        <v>A002</v>
      </c>
      <c r="C1404" t="s">
        <v>33</v>
      </c>
      <c r="D1404" t="str">
        <f>_xlfn.XLOOKUP(Table1[[#This Row],[BusinessTravel]],Table5[BusinessTravel],Table5[Id_BusinessTravel])</f>
        <v>BS001</v>
      </c>
      <c r="E1404" t="s">
        <v>34</v>
      </c>
      <c r="F1404">
        <v>1276</v>
      </c>
      <c r="G1404" t="str">
        <f>_xlfn.XLOOKUP(Table1[[#This Row],[Department]],Table6[Department],Table6[Id_Departement])</f>
        <v>D002</v>
      </c>
      <c r="H1404" t="s">
        <v>38</v>
      </c>
      <c r="I1404">
        <v>2</v>
      </c>
      <c r="J1404" t="str">
        <f>_xlfn.XLOOKUP(Table1[[#This Row],[Education]],Table8[Education],Table8[Id_Education])</f>
        <v>E001</v>
      </c>
      <c r="K1404">
        <v>1</v>
      </c>
      <c r="L1404" t="str">
        <f>_xlfn.XLOOKUP(Table1[[#This Row],[EducationField]],Table7[EducationField],Table7[Id_EducationField])</f>
        <v>EF003</v>
      </c>
      <c r="M1404" t="s">
        <v>42</v>
      </c>
      <c r="N1404" t="str">
        <f>_xlfn.XLOOKUP(Table1[[#This Row],[EmployeeNumber]],Table4[EmployeeNumber],Table4[Id_Employee])</f>
        <v>EMP01403</v>
      </c>
      <c r="O1404">
        <v>1974</v>
      </c>
      <c r="P1404" t="str">
        <f>_xlfn.XLOOKUP(Table1[[#This Row],[EnvironmentSatisfaction]],Table9[EnvironmentSatisfaction],Table9[Id_EnviromentSatisfaction])</f>
        <v>ES004</v>
      </c>
      <c r="Q1404">
        <v>4</v>
      </c>
      <c r="R1404" t="str">
        <f>_xlfn.XLOOKUP(Table1[[#This Row],[EnvironmentSatisfaction]],Table9[EnvironmentSatisfaction],Table9[Deskripsi])</f>
        <v>Very High</v>
      </c>
      <c r="S1404" t="str">
        <f>_xlfn.XLOOKUP(Table1[[#This Row],[Gender]],Table10[Gender],Table10[Id_Gender])</f>
        <v>G001</v>
      </c>
      <c r="T1404" t="s">
        <v>45</v>
      </c>
      <c r="U1404">
        <v>59</v>
      </c>
      <c r="V1404" t="str">
        <f>_xlfn.XLOOKUP(Table1[[#This Row],[JobInvolvement]],Table11[JobInvolvement],Table11[Id_JobInvolvement])</f>
        <v>JI001</v>
      </c>
      <c r="W1404">
        <v>1</v>
      </c>
      <c r="X1404" t="str">
        <f>_xlfn.XLOOKUP(Table1[[#This Row],[JobLevel]],Table12[JobLevel],Table12[Id_JobLevel])</f>
        <v>JL001</v>
      </c>
      <c r="Y1404">
        <v>1</v>
      </c>
      <c r="Z1404" t="str">
        <f>_xlfn.XLOOKUP(Table1[[#This Row],[JobRole]],Table13[JobRole],Table13[Id_JobRole])</f>
        <v>JR003</v>
      </c>
      <c r="AA1404" t="s">
        <v>49</v>
      </c>
      <c r="AB1404" t="str">
        <f>_xlfn.XLOOKUP(Table1[[#This Row],[JobSatisfaction]],Table14[JobSatisfaction],Table14[Id_JobSatisfaction])</f>
        <v>JS004</v>
      </c>
      <c r="AC1404">
        <v>4</v>
      </c>
      <c r="AD1404" t="str">
        <f>_xlfn.XLOOKUP(Table1[[#This Row],[JobSatisfaction]],Table14[JobSatisfaction],Table14[Deskripsi])</f>
        <v>Very High</v>
      </c>
      <c r="AE1404" t="str">
        <f>_xlfn.XLOOKUP(Table1[[#This Row],[MaritalStatus]],Table15[MaritalStatus],Table15[Id_MaritalStatus])</f>
        <v>MS003</v>
      </c>
      <c r="AF1404" t="s">
        <v>57</v>
      </c>
      <c r="AG1404">
        <v>1129</v>
      </c>
      <c r="AH1404">
        <v>17536</v>
      </c>
      <c r="AI1404">
        <v>1</v>
      </c>
      <c r="AJ1404" t="str">
        <f>_xlfn.XLOOKUP(Table1[[#This Row],[OverTime]],Table16[OverTime],Table16[Id_OverTime])</f>
        <v>OT001</v>
      </c>
      <c r="AK1404" t="s">
        <v>32</v>
      </c>
      <c r="AL1404">
        <v>11</v>
      </c>
      <c r="AM1404" t="str">
        <f>_xlfn.XLOOKUP(Table1[[#This Row],[PerformanceRating]],Table17[PerformanceRating],Table17[Id_PerformanceRating])</f>
        <v>PR003</v>
      </c>
      <c r="AN1404">
        <v>3</v>
      </c>
      <c r="AO1404" t="str">
        <f>_xlfn.XLOOKUP(Table1[[#This Row],[PerformanceRating]],Table17[PerformanceRating],Table17[Deskripsi])</f>
        <v>Excellent</v>
      </c>
      <c r="AP1404" t="str">
        <f>_xlfn.XLOOKUP(Table1[[#This Row],[RelationshipSatisfaction]],Table18[RelationshipSatisfaction],Table18[Id_RelationshipSatisfaction])</f>
        <v>RS003</v>
      </c>
      <c r="AQ1404">
        <v>3</v>
      </c>
      <c r="AR1404" t="str">
        <f>_xlfn.XLOOKUP(Table1[[#This Row],[RelationshipSatisfaction]],Table18[RelationshipSatisfaction],Table18[Deskripsi])</f>
        <v>High</v>
      </c>
      <c r="AS1404" t="str">
        <f>_xlfn.XLOOKUP(Table1[[#This Row],[StockOptionLevel]],Table19[StockOptionLevel],Table19[Id_StockOptionLevel])</f>
        <v>SOL004</v>
      </c>
      <c r="AT1404">
        <v>3</v>
      </c>
      <c r="AU1404" t="str">
        <f>_xlfn.XLOOKUP(Table1[[#This Row],[StockOptionLevel]],Table19[StockOptionLevel],Table19[Deskripsi])</f>
        <v>Senior/Executive</v>
      </c>
      <c r="AV1404">
        <v>1</v>
      </c>
      <c r="AW1404">
        <v>4</v>
      </c>
      <c r="AX1404" t="str">
        <f>_xlfn.XLOOKUP(Table1[[#This Row],[WorkLifeBalance]],Table20[WorkLifeBalance],Table20[Id_WorkLifeBalance])</f>
        <v>WLB002</v>
      </c>
      <c r="AY1404">
        <v>3</v>
      </c>
      <c r="AZ1404" t="str">
        <f>_xlfn.XLOOKUP(Table1[[#This Row],[WorkLifeBalance]],Table20[WorkLifeBalance],Table20[Deskripsi])</f>
        <v>Good</v>
      </c>
      <c r="BA1404">
        <v>1</v>
      </c>
      <c r="BB1404">
        <v>0</v>
      </c>
      <c r="BC1404">
        <v>0</v>
      </c>
      <c r="BD1404">
        <v>0</v>
      </c>
    </row>
    <row r="1405" spans="1:56" x14ac:dyDescent="0.25">
      <c r="A1405">
        <v>39</v>
      </c>
      <c r="B1405" t="str">
        <f>_xlfn.XLOOKUP(Table1[[#This Row],[Attrition]],Table2[Attrition],Table2[Id_Attrition])</f>
        <v>A002</v>
      </c>
      <c r="C1405" t="s">
        <v>33</v>
      </c>
      <c r="D1405" t="str">
        <f>_xlfn.XLOOKUP(Table1[[#This Row],[BusinessTravel]],Table5[BusinessTravel],Table5[Id_BusinessTravel])</f>
        <v>BS001</v>
      </c>
      <c r="E1405" t="s">
        <v>34</v>
      </c>
      <c r="F1405">
        <v>119</v>
      </c>
      <c r="G1405" t="str">
        <f>_xlfn.XLOOKUP(Table1[[#This Row],[Department]],Table6[Department],Table6[Id_Departement])</f>
        <v>D001</v>
      </c>
      <c r="H1405" t="s">
        <v>37</v>
      </c>
      <c r="I1405">
        <v>15</v>
      </c>
      <c r="J1405" t="str">
        <f>_xlfn.XLOOKUP(Table1[[#This Row],[Education]],Table8[Education],Table8[Id_Education])</f>
        <v>E004</v>
      </c>
      <c r="K1405">
        <v>4</v>
      </c>
      <c r="L1405" t="str">
        <f>_xlfn.XLOOKUP(Table1[[#This Row],[EducationField]],Table7[EducationField],Table7[Id_EducationField])</f>
        <v>EF004</v>
      </c>
      <c r="M1405" t="s">
        <v>43</v>
      </c>
      <c r="N1405" t="str">
        <f>_xlfn.XLOOKUP(Table1[[#This Row],[EmployeeNumber]],Table4[EmployeeNumber],Table4[Id_Employee])</f>
        <v>EMP01404</v>
      </c>
      <c r="O1405">
        <v>1975</v>
      </c>
      <c r="P1405" t="str">
        <f>_xlfn.XLOOKUP(Table1[[#This Row],[EnvironmentSatisfaction]],Table9[EnvironmentSatisfaction],Table9[Id_EnviromentSatisfaction])</f>
        <v>ES002</v>
      </c>
      <c r="Q1405">
        <v>2</v>
      </c>
      <c r="R1405" t="str">
        <f>_xlfn.XLOOKUP(Table1[[#This Row],[EnvironmentSatisfaction]],Table9[EnvironmentSatisfaction],Table9[Deskripsi])</f>
        <v>Medium</v>
      </c>
      <c r="S1405" t="str">
        <f>_xlfn.XLOOKUP(Table1[[#This Row],[Gender]],Table10[Gender],Table10[Id_Gender])</f>
        <v>G002</v>
      </c>
      <c r="T1405" t="s">
        <v>46</v>
      </c>
      <c r="U1405">
        <v>77</v>
      </c>
      <c r="V1405" t="str">
        <f>_xlfn.XLOOKUP(Table1[[#This Row],[JobInvolvement]],Table11[JobInvolvement],Table11[Id_JobInvolvement])</f>
        <v>JI003</v>
      </c>
      <c r="W1405">
        <v>3</v>
      </c>
      <c r="X1405" t="str">
        <f>_xlfn.XLOOKUP(Table1[[#This Row],[JobLevel]],Table12[JobLevel],Table12[Id_JobLevel])</f>
        <v>JL004</v>
      </c>
      <c r="Y1405">
        <v>4</v>
      </c>
      <c r="Z1405" t="str">
        <f>_xlfn.XLOOKUP(Table1[[#This Row],[JobRole]],Table13[JobRole],Table13[Id_JobRole])</f>
        <v>JR001</v>
      </c>
      <c r="AA1405" t="s">
        <v>47</v>
      </c>
      <c r="AB1405" t="str">
        <f>_xlfn.XLOOKUP(Table1[[#This Row],[JobSatisfaction]],Table14[JobSatisfaction],Table14[Id_JobSatisfaction])</f>
        <v>JS001</v>
      </c>
      <c r="AC1405">
        <v>1</v>
      </c>
      <c r="AD1405" t="str">
        <f>_xlfn.XLOOKUP(Table1[[#This Row],[JobSatisfaction]],Table14[JobSatisfaction],Table14[Deskripsi])</f>
        <v>Low</v>
      </c>
      <c r="AE1405" t="str">
        <f>_xlfn.XLOOKUP(Table1[[#This Row],[MaritalStatus]],Table15[MaritalStatus],Table15[Id_MaritalStatus])</f>
        <v>MS001</v>
      </c>
      <c r="AF1405" t="s">
        <v>55</v>
      </c>
      <c r="AG1405">
        <v>13341</v>
      </c>
      <c r="AH1405">
        <v>25098</v>
      </c>
      <c r="AI1405">
        <v>0</v>
      </c>
      <c r="AJ1405" t="str">
        <f>_xlfn.XLOOKUP(Table1[[#This Row],[OverTime]],Table16[OverTime],Table16[Id_OverTime])</f>
        <v>OT002</v>
      </c>
      <c r="AK1405" t="s">
        <v>33</v>
      </c>
      <c r="AL1405">
        <v>12</v>
      </c>
      <c r="AM1405" t="str">
        <f>_xlfn.XLOOKUP(Table1[[#This Row],[PerformanceRating]],Table17[PerformanceRating],Table17[Id_PerformanceRating])</f>
        <v>PR003</v>
      </c>
      <c r="AN1405">
        <v>3</v>
      </c>
      <c r="AO1405" t="str">
        <f>_xlfn.XLOOKUP(Table1[[#This Row],[PerformanceRating]],Table17[PerformanceRating],Table17[Deskripsi])</f>
        <v>Excellent</v>
      </c>
      <c r="AP1405" t="str">
        <f>_xlfn.XLOOKUP(Table1[[#This Row],[RelationshipSatisfaction]],Table18[RelationshipSatisfaction],Table18[Id_RelationshipSatisfaction])</f>
        <v>RS001</v>
      </c>
      <c r="AQ1405">
        <v>1</v>
      </c>
      <c r="AR1405" t="str">
        <f>_xlfn.XLOOKUP(Table1[[#This Row],[RelationshipSatisfaction]],Table18[RelationshipSatisfaction],Table18[Deskripsi])</f>
        <v>Low</v>
      </c>
      <c r="AS1405" t="str">
        <f>_xlfn.XLOOKUP(Table1[[#This Row],[StockOptionLevel]],Table19[StockOptionLevel],Table19[Id_StockOptionLevel])</f>
        <v>SOL001</v>
      </c>
      <c r="AT1405">
        <v>0</v>
      </c>
      <c r="AU1405" t="str">
        <f>_xlfn.XLOOKUP(Table1[[#This Row],[StockOptionLevel]],Table19[StockOptionLevel],Table19[Deskripsi])</f>
        <v>Non-Eligible</v>
      </c>
      <c r="AV1405">
        <v>21</v>
      </c>
      <c r="AW1405">
        <v>3</v>
      </c>
      <c r="AX1405" t="str">
        <f>_xlfn.XLOOKUP(Table1[[#This Row],[WorkLifeBalance]],Table20[WorkLifeBalance],Table20[Id_WorkLifeBalance])</f>
        <v>WLB002</v>
      </c>
      <c r="AY1405">
        <v>3</v>
      </c>
      <c r="AZ1405" t="str">
        <f>_xlfn.XLOOKUP(Table1[[#This Row],[WorkLifeBalance]],Table20[WorkLifeBalance],Table20[Deskripsi])</f>
        <v>Good</v>
      </c>
      <c r="BA1405">
        <v>20</v>
      </c>
      <c r="BB1405">
        <v>8</v>
      </c>
      <c r="BC1405">
        <v>11</v>
      </c>
      <c r="BD1405">
        <v>10</v>
      </c>
    </row>
    <row r="1406" spans="1:56" x14ac:dyDescent="0.25">
      <c r="A1406">
        <v>42</v>
      </c>
      <c r="B1406" t="str">
        <f>_xlfn.XLOOKUP(Table1[[#This Row],[Attrition]],Table2[Attrition],Table2[Id_Attrition])</f>
        <v>A002</v>
      </c>
      <c r="C1406" t="s">
        <v>33</v>
      </c>
      <c r="D1406" t="str">
        <f>_xlfn.XLOOKUP(Table1[[#This Row],[BusinessTravel]],Table5[BusinessTravel],Table5[Id_BusinessTravel])</f>
        <v>BS003</v>
      </c>
      <c r="E1406" t="s">
        <v>36</v>
      </c>
      <c r="F1406">
        <v>335</v>
      </c>
      <c r="G1406" t="str">
        <f>_xlfn.XLOOKUP(Table1[[#This Row],[Department]],Table6[Department],Table6[Id_Departement])</f>
        <v>D002</v>
      </c>
      <c r="H1406" t="s">
        <v>38</v>
      </c>
      <c r="I1406">
        <v>23</v>
      </c>
      <c r="J1406" t="str">
        <f>_xlfn.XLOOKUP(Table1[[#This Row],[Education]],Table8[Education],Table8[Id_Education])</f>
        <v>E002</v>
      </c>
      <c r="K1406">
        <v>2</v>
      </c>
      <c r="L1406" t="str">
        <f>_xlfn.XLOOKUP(Table1[[#This Row],[EducationField]],Table7[EducationField],Table7[Id_EducationField])</f>
        <v>EF001</v>
      </c>
      <c r="M1406" t="s">
        <v>40</v>
      </c>
      <c r="N1406" t="str">
        <f>_xlfn.XLOOKUP(Table1[[#This Row],[EmployeeNumber]],Table4[EmployeeNumber],Table4[Id_Employee])</f>
        <v>EMP01405</v>
      </c>
      <c r="O1406">
        <v>1976</v>
      </c>
      <c r="P1406" t="str">
        <f>_xlfn.XLOOKUP(Table1[[#This Row],[EnvironmentSatisfaction]],Table9[EnvironmentSatisfaction],Table9[Id_EnviromentSatisfaction])</f>
        <v>ES004</v>
      </c>
      <c r="Q1406">
        <v>4</v>
      </c>
      <c r="R1406" t="str">
        <f>_xlfn.XLOOKUP(Table1[[#This Row],[EnvironmentSatisfaction]],Table9[EnvironmentSatisfaction],Table9[Deskripsi])</f>
        <v>Very High</v>
      </c>
      <c r="S1406" t="str">
        <f>_xlfn.XLOOKUP(Table1[[#This Row],[Gender]],Table10[Gender],Table10[Id_Gender])</f>
        <v>G002</v>
      </c>
      <c r="T1406" t="s">
        <v>46</v>
      </c>
      <c r="U1406">
        <v>37</v>
      </c>
      <c r="V1406" t="str">
        <f>_xlfn.XLOOKUP(Table1[[#This Row],[JobInvolvement]],Table11[JobInvolvement],Table11[Id_JobInvolvement])</f>
        <v>JI002</v>
      </c>
      <c r="W1406">
        <v>2</v>
      </c>
      <c r="X1406" t="str">
        <f>_xlfn.XLOOKUP(Table1[[#This Row],[JobLevel]],Table12[JobLevel],Table12[Id_JobLevel])</f>
        <v>JL002</v>
      </c>
      <c r="Y1406">
        <v>2</v>
      </c>
      <c r="Z1406" t="str">
        <f>_xlfn.XLOOKUP(Table1[[#This Row],[JobRole]],Table13[JobRole],Table13[Id_JobRole])</f>
        <v>JR002</v>
      </c>
      <c r="AA1406" t="s">
        <v>48</v>
      </c>
      <c r="AB1406" t="str">
        <f>_xlfn.XLOOKUP(Table1[[#This Row],[JobSatisfaction]],Table14[JobSatisfaction],Table14[Id_JobSatisfaction])</f>
        <v>JS003</v>
      </c>
      <c r="AC1406">
        <v>3</v>
      </c>
      <c r="AD1406" t="str">
        <f>_xlfn.XLOOKUP(Table1[[#This Row],[JobSatisfaction]],Table14[JobSatisfaction],Table14[Deskripsi])</f>
        <v>High</v>
      </c>
      <c r="AE1406" t="str">
        <f>_xlfn.XLOOKUP(Table1[[#This Row],[MaritalStatus]],Table15[MaritalStatus],Table15[Id_MaritalStatus])</f>
        <v>MS001</v>
      </c>
      <c r="AF1406" t="s">
        <v>55</v>
      </c>
      <c r="AG1406">
        <v>4332</v>
      </c>
      <c r="AH1406">
        <v>14811</v>
      </c>
      <c r="AI1406">
        <v>1</v>
      </c>
      <c r="AJ1406" t="str">
        <f>_xlfn.XLOOKUP(Table1[[#This Row],[OverTime]],Table16[OverTime],Table16[Id_OverTime])</f>
        <v>OT002</v>
      </c>
      <c r="AK1406" t="s">
        <v>33</v>
      </c>
      <c r="AL1406">
        <v>12</v>
      </c>
      <c r="AM1406" t="str">
        <f>_xlfn.XLOOKUP(Table1[[#This Row],[PerformanceRating]],Table17[PerformanceRating],Table17[Id_PerformanceRating])</f>
        <v>PR003</v>
      </c>
      <c r="AN1406">
        <v>3</v>
      </c>
      <c r="AO1406" t="str">
        <f>_xlfn.XLOOKUP(Table1[[#This Row],[PerformanceRating]],Table17[PerformanceRating],Table17[Deskripsi])</f>
        <v>Excellent</v>
      </c>
      <c r="AP1406" t="str">
        <f>_xlfn.XLOOKUP(Table1[[#This Row],[RelationshipSatisfaction]],Table18[RelationshipSatisfaction],Table18[Id_RelationshipSatisfaction])</f>
        <v>RS004</v>
      </c>
      <c r="AQ1406">
        <v>4</v>
      </c>
      <c r="AR1406" t="str">
        <f>_xlfn.XLOOKUP(Table1[[#This Row],[RelationshipSatisfaction]],Table18[RelationshipSatisfaction],Table18[Deskripsi])</f>
        <v>Very High</v>
      </c>
      <c r="AS1406" t="str">
        <f>_xlfn.XLOOKUP(Table1[[#This Row],[StockOptionLevel]],Table19[StockOptionLevel],Table19[Id_StockOptionLevel])</f>
        <v>SOL001</v>
      </c>
      <c r="AT1406">
        <v>0</v>
      </c>
      <c r="AU1406" t="str">
        <f>_xlfn.XLOOKUP(Table1[[#This Row],[StockOptionLevel]],Table19[StockOptionLevel],Table19[Deskripsi])</f>
        <v>Non-Eligible</v>
      </c>
      <c r="AV1406">
        <v>20</v>
      </c>
      <c r="AW1406">
        <v>2</v>
      </c>
      <c r="AX1406" t="str">
        <f>_xlfn.XLOOKUP(Table1[[#This Row],[WorkLifeBalance]],Table20[WorkLifeBalance],Table20[Id_WorkLifeBalance])</f>
        <v>WLB002</v>
      </c>
      <c r="AY1406">
        <v>3</v>
      </c>
      <c r="AZ1406" t="str">
        <f>_xlfn.XLOOKUP(Table1[[#This Row],[WorkLifeBalance]],Table20[WorkLifeBalance],Table20[Deskripsi])</f>
        <v>Good</v>
      </c>
      <c r="BA1406">
        <v>20</v>
      </c>
      <c r="BB1406">
        <v>9</v>
      </c>
      <c r="BC1406">
        <v>3</v>
      </c>
      <c r="BD1406">
        <v>7</v>
      </c>
    </row>
    <row r="1407" spans="1:56" x14ac:dyDescent="0.25">
      <c r="A1407">
        <v>31</v>
      </c>
      <c r="B1407" t="str">
        <f>_xlfn.XLOOKUP(Table1[[#This Row],[Attrition]],Table2[Attrition],Table2[Id_Attrition])</f>
        <v>A002</v>
      </c>
      <c r="C1407" t="s">
        <v>33</v>
      </c>
      <c r="D1407" t="str">
        <f>_xlfn.XLOOKUP(Table1[[#This Row],[BusinessTravel]],Table5[BusinessTravel],Table5[Id_BusinessTravel])</f>
        <v>BS003</v>
      </c>
      <c r="E1407" t="s">
        <v>36</v>
      </c>
      <c r="F1407">
        <v>697</v>
      </c>
      <c r="G1407" t="str">
        <f>_xlfn.XLOOKUP(Table1[[#This Row],[Department]],Table6[Department],Table6[Id_Departement])</f>
        <v>D002</v>
      </c>
      <c r="H1407" t="s">
        <v>38</v>
      </c>
      <c r="I1407">
        <v>10</v>
      </c>
      <c r="J1407" t="str">
        <f>_xlfn.XLOOKUP(Table1[[#This Row],[Education]],Table8[Education],Table8[Id_Education])</f>
        <v>E003</v>
      </c>
      <c r="K1407">
        <v>3</v>
      </c>
      <c r="L1407" t="str">
        <f>_xlfn.XLOOKUP(Table1[[#This Row],[EducationField]],Table7[EducationField],Table7[Id_EducationField])</f>
        <v>EF003</v>
      </c>
      <c r="M1407" t="s">
        <v>42</v>
      </c>
      <c r="N1407" t="str">
        <f>_xlfn.XLOOKUP(Table1[[#This Row],[EmployeeNumber]],Table4[EmployeeNumber],Table4[Id_Employee])</f>
        <v>EMP01406</v>
      </c>
      <c r="O1407">
        <v>1979</v>
      </c>
      <c r="P1407" t="str">
        <f>_xlfn.XLOOKUP(Table1[[#This Row],[EnvironmentSatisfaction]],Table9[EnvironmentSatisfaction],Table9[Id_EnviromentSatisfaction])</f>
        <v>ES003</v>
      </c>
      <c r="Q1407">
        <v>3</v>
      </c>
      <c r="R1407" t="str">
        <f>_xlfn.XLOOKUP(Table1[[#This Row],[EnvironmentSatisfaction]],Table9[EnvironmentSatisfaction],Table9[Deskripsi])</f>
        <v>High</v>
      </c>
      <c r="S1407" t="str">
        <f>_xlfn.XLOOKUP(Table1[[#This Row],[Gender]],Table10[Gender],Table10[Id_Gender])</f>
        <v>G001</v>
      </c>
      <c r="T1407" t="s">
        <v>45</v>
      </c>
      <c r="U1407">
        <v>40</v>
      </c>
      <c r="V1407" t="str">
        <f>_xlfn.XLOOKUP(Table1[[#This Row],[JobInvolvement]],Table11[JobInvolvement],Table11[Id_JobInvolvement])</f>
        <v>JI003</v>
      </c>
      <c r="W1407">
        <v>3</v>
      </c>
      <c r="X1407" t="str">
        <f>_xlfn.XLOOKUP(Table1[[#This Row],[JobLevel]],Table12[JobLevel],Table12[Id_JobLevel])</f>
        <v>JL003</v>
      </c>
      <c r="Y1407">
        <v>3</v>
      </c>
      <c r="Z1407" t="str">
        <f>_xlfn.XLOOKUP(Table1[[#This Row],[JobRole]],Table13[JobRole],Table13[Id_JobRole])</f>
        <v>JR008</v>
      </c>
      <c r="AA1407" t="s">
        <v>54</v>
      </c>
      <c r="AB1407" t="str">
        <f>_xlfn.XLOOKUP(Table1[[#This Row],[JobSatisfaction]],Table14[JobSatisfaction],Table14[Id_JobSatisfaction])</f>
        <v>JS003</v>
      </c>
      <c r="AC1407">
        <v>3</v>
      </c>
      <c r="AD1407" t="str">
        <f>_xlfn.XLOOKUP(Table1[[#This Row],[JobSatisfaction]],Table14[JobSatisfaction],Table14[Deskripsi])</f>
        <v>High</v>
      </c>
      <c r="AE1407" t="str">
        <f>_xlfn.XLOOKUP(Table1[[#This Row],[MaritalStatus]],Table15[MaritalStatus],Table15[Id_MaritalStatus])</f>
        <v>MS002</v>
      </c>
      <c r="AF1407" t="s">
        <v>56</v>
      </c>
      <c r="AG1407">
        <v>11031</v>
      </c>
      <c r="AH1407">
        <v>26862</v>
      </c>
      <c r="AI1407">
        <v>4</v>
      </c>
      <c r="AJ1407" t="str">
        <f>_xlfn.XLOOKUP(Table1[[#This Row],[OverTime]],Table16[OverTime],Table16[Id_OverTime])</f>
        <v>OT002</v>
      </c>
      <c r="AK1407" t="s">
        <v>33</v>
      </c>
      <c r="AL1407">
        <v>20</v>
      </c>
      <c r="AM1407" t="str">
        <f>_xlfn.XLOOKUP(Table1[[#This Row],[PerformanceRating]],Table17[PerformanceRating],Table17[Id_PerformanceRating])</f>
        <v>PR004</v>
      </c>
      <c r="AN1407">
        <v>4</v>
      </c>
      <c r="AO1407" t="str">
        <f>_xlfn.XLOOKUP(Table1[[#This Row],[PerformanceRating]],Table17[PerformanceRating],Table17[Deskripsi])</f>
        <v>Outstanding</v>
      </c>
      <c r="AP1407" t="str">
        <f>_xlfn.XLOOKUP(Table1[[#This Row],[RelationshipSatisfaction]],Table18[RelationshipSatisfaction],Table18[Id_RelationshipSatisfaction])</f>
        <v>RS003</v>
      </c>
      <c r="AQ1407">
        <v>3</v>
      </c>
      <c r="AR1407" t="str">
        <f>_xlfn.XLOOKUP(Table1[[#This Row],[RelationshipSatisfaction]],Table18[RelationshipSatisfaction],Table18[Deskripsi])</f>
        <v>High</v>
      </c>
      <c r="AS1407" t="str">
        <f>_xlfn.XLOOKUP(Table1[[#This Row],[StockOptionLevel]],Table19[StockOptionLevel],Table19[Id_StockOptionLevel])</f>
        <v>SOL002</v>
      </c>
      <c r="AT1407">
        <v>1</v>
      </c>
      <c r="AU1407" t="str">
        <f>_xlfn.XLOOKUP(Table1[[#This Row],[StockOptionLevel]],Table19[StockOptionLevel],Table19[Deskripsi])</f>
        <v>Standard</v>
      </c>
      <c r="AV1407">
        <v>13</v>
      </c>
      <c r="AW1407">
        <v>2</v>
      </c>
      <c r="AX1407" t="str">
        <f>_xlfn.XLOOKUP(Table1[[#This Row],[WorkLifeBalance]],Table20[WorkLifeBalance],Table20[Id_WorkLifeBalance])</f>
        <v>WLB004</v>
      </c>
      <c r="AY1407">
        <v>4</v>
      </c>
      <c r="AZ1407" t="str">
        <f>_xlfn.XLOOKUP(Table1[[#This Row],[WorkLifeBalance]],Table20[WorkLifeBalance],Table20[Deskripsi])</f>
        <v>Best</v>
      </c>
      <c r="BA1407">
        <v>11</v>
      </c>
      <c r="BB1407">
        <v>7</v>
      </c>
      <c r="BC1407">
        <v>4</v>
      </c>
      <c r="BD1407">
        <v>8</v>
      </c>
    </row>
    <row r="1408" spans="1:56" x14ac:dyDescent="0.25">
      <c r="A1408">
        <v>54</v>
      </c>
      <c r="B1408" t="str">
        <f>_xlfn.XLOOKUP(Table1[[#This Row],[Attrition]],Table2[Attrition],Table2[Id_Attrition])</f>
        <v>A002</v>
      </c>
      <c r="C1408" t="s">
        <v>33</v>
      </c>
      <c r="D1408" t="str">
        <f>_xlfn.XLOOKUP(Table1[[#This Row],[BusinessTravel]],Table5[BusinessTravel],Table5[Id_BusinessTravel])</f>
        <v>BS001</v>
      </c>
      <c r="E1408" t="s">
        <v>34</v>
      </c>
      <c r="F1408">
        <v>157</v>
      </c>
      <c r="G1408" t="str">
        <f>_xlfn.XLOOKUP(Table1[[#This Row],[Department]],Table6[Department],Table6[Id_Departement])</f>
        <v>D002</v>
      </c>
      <c r="H1408" t="s">
        <v>38</v>
      </c>
      <c r="I1408">
        <v>10</v>
      </c>
      <c r="J1408" t="str">
        <f>_xlfn.XLOOKUP(Table1[[#This Row],[Education]],Table8[Education],Table8[Id_Education])</f>
        <v>E003</v>
      </c>
      <c r="K1408">
        <v>3</v>
      </c>
      <c r="L1408" t="str">
        <f>_xlfn.XLOOKUP(Table1[[#This Row],[EducationField]],Table7[EducationField],Table7[Id_EducationField])</f>
        <v>EF003</v>
      </c>
      <c r="M1408" t="s">
        <v>42</v>
      </c>
      <c r="N1408" t="str">
        <f>_xlfn.XLOOKUP(Table1[[#This Row],[EmployeeNumber]],Table4[EmployeeNumber],Table4[Id_Employee])</f>
        <v>EMP01407</v>
      </c>
      <c r="O1408">
        <v>1980</v>
      </c>
      <c r="P1408" t="str">
        <f>_xlfn.XLOOKUP(Table1[[#This Row],[EnvironmentSatisfaction]],Table9[EnvironmentSatisfaction],Table9[Id_EnviromentSatisfaction])</f>
        <v>ES003</v>
      </c>
      <c r="Q1408">
        <v>3</v>
      </c>
      <c r="R1408" t="str">
        <f>_xlfn.XLOOKUP(Table1[[#This Row],[EnvironmentSatisfaction]],Table9[EnvironmentSatisfaction],Table9[Deskripsi])</f>
        <v>High</v>
      </c>
      <c r="S1408" t="str">
        <f>_xlfn.XLOOKUP(Table1[[#This Row],[Gender]],Table10[Gender],Table10[Id_Gender])</f>
        <v>G001</v>
      </c>
      <c r="T1408" t="s">
        <v>45</v>
      </c>
      <c r="U1408">
        <v>77</v>
      </c>
      <c r="V1408" t="str">
        <f>_xlfn.XLOOKUP(Table1[[#This Row],[JobInvolvement]],Table11[JobInvolvement],Table11[Id_JobInvolvement])</f>
        <v>JI003</v>
      </c>
      <c r="W1408">
        <v>3</v>
      </c>
      <c r="X1408" t="str">
        <f>_xlfn.XLOOKUP(Table1[[#This Row],[JobLevel]],Table12[JobLevel],Table12[Id_JobLevel])</f>
        <v>JL002</v>
      </c>
      <c r="Y1408">
        <v>2</v>
      </c>
      <c r="Z1408" t="str">
        <f>_xlfn.XLOOKUP(Table1[[#This Row],[JobRole]],Table13[JobRole],Table13[Id_JobRole])</f>
        <v>JR004</v>
      </c>
      <c r="AA1408" t="s">
        <v>50</v>
      </c>
      <c r="AB1408" t="str">
        <f>_xlfn.XLOOKUP(Table1[[#This Row],[JobSatisfaction]],Table14[JobSatisfaction],Table14[Id_JobSatisfaction])</f>
        <v>JS001</v>
      </c>
      <c r="AC1408">
        <v>1</v>
      </c>
      <c r="AD1408" t="str">
        <f>_xlfn.XLOOKUP(Table1[[#This Row],[JobSatisfaction]],Table14[JobSatisfaction],Table14[Deskripsi])</f>
        <v>Low</v>
      </c>
      <c r="AE1408" t="str">
        <f>_xlfn.XLOOKUP(Table1[[#This Row],[MaritalStatus]],Table15[MaritalStatus],Table15[Id_MaritalStatus])</f>
        <v>MS001</v>
      </c>
      <c r="AF1408" t="s">
        <v>55</v>
      </c>
      <c r="AG1408">
        <v>4440</v>
      </c>
      <c r="AH1408">
        <v>25198</v>
      </c>
      <c r="AI1408">
        <v>6</v>
      </c>
      <c r="AJ1408" t="str">
        <f>_xlfn.XLOOKUP(Table1[[#This Row],[OverTime]],Table16[OverTime],Table16[Id_OverTime])</f>
        <v>OT001</v>
      </c>
      <c r="AK1408" t="s">
        <v>32</v>
      </c>
      <c r="AL1408">
        <v>19</v>
      </c>
      <c r="AM1408" t="str">
        <f>_xlfn.XLOOKUP(Table1[[#This Row],[PerformanceRating]],Table17[PerformanceRating],Table17[Id_PerformanceRating])</f>
        <v>PR003</v>
      </c>
      <c r="AN1408">
        <v>3</v>
      </c>
      <c r="AO1408" t="str">
        <f>_xlfn.XLOOKUP(Table1[[#This Row],[PerformanceRating]],Table17[PerformanceRating],Table17[Deskripsi])</f>
        <v>Excellent</v>
      </c>
      <c r="AP1408" t="str">
        <f>_xlfn.XLOOKUP(Table1[[#This Row],[RelationshipSatisfaction]],Table18[RelationshipSatisfaction],Table18[Id_RelationshipSatisfaction])</f>
        <v>RS004</v>
      </c>
      <c r="AQ1408">
        <v>4</v>
      </c>
      <c r="AR1408" t="str">
        <f>_xlfn.XLOOKUP(Table1[[#This Row],[RelationshipSatisfaction]],Table18[RelationshipSatisfaction],Table18[Deskripsi])</f>
        <v>Very High</v>
      </c>
      <c r="AS1408" t="str">
        <f>_xlfn.XLOOKUP(Table1[[#This Row],[StockOptionLevel]],Table19[StockOptionLevel],Table19[Id_StockOptionLevel])</f>
        <v>SOL001</v>
      </c>
      <c r="AT1408">
        <v>0</v>
      </c>
      <c r="AU1408" t="str">
        <f>_xlfn.XLOOKUP(Table1[[#This Row],[StockOptionLevel]],Table19[StockOptionLevel],Table19[Deskripsi])</f>
        <v>Non-Eligible</v>
      </c>
      <c r="AV1408">
        <v>9</v>
      </c>
      <c r="AW1408">
        <v>3</v>
      </c>
      <c r="AX1408" t="str">
        <f>_xlfn.XLOOKUP(Table1[[#This Row],[WorkLifeBalance]],Table20[WorkLifeBalance],Table20[Id_WorkLifeBalance])</f>
        <v>WLB002</v>
      </c>
      <c r="AY1408">
        <v>3</v>
      </c>
      <c r="AZ1408" t="str">
        <f>_xlfn.XLOOKUP(Table1[[#This Row],[WorkLifeBalance]],Table20[WorkLifeBalance],Table20[Deskripsi])</f>
        <v>Good</v>
      </c>
      <c r="BA1408">
        <v>5</v>
      </c>
      <c r="BB1408">
        <v>2</v>
      </c>
      <c r="BC1408">
        <v>1</v>
      </c>
      <c r="BD1408">
        <v>4</v>
      </c>
    </row>
    <row r="1409" spans="1:56" x14ac:dyDescent="0.25">
      <c r="A1409">
        <v>24</v>
      </c>
      <c r="B1409" t="str">
        <f>_xlfn.XLOOKUP(Table1[[#This Row],[Attrition]],Table2[Attrition],Table2[Id_Attrition])</f>
        <v>A002</v>
      </c>
      <c r="C1409" t="s">
        <v>33</v>
      </c>
      <c r="D1409" t="str">
        <f>_xlfn.XLOOKUP(Table1[[#This Row],[BusinessTravel]],Table5[BusinessTravel],Table5[Id_BusinessTravel])</f>
        <v>BS001</v>
      </c>
      <c r="E1409" t="s">
        <v>34</v>
      </c>
      <c r="F1409">
        <v>771</v>
      </c>
      <c r="G1409" t="str">
        <f>_xlfn.XLOOKUP(Table1[[#This Row],[Department]],Table6[Department],Table6[Id_Departement])</f>
        <v>D002</v>
      </c>
      <c r="H1409" t="s">
        <v>38</v>
      </c>
      <c r="I1409">
        <v>1</v>
      </c>
      <c r="J1409" t="str">
        <f>_xlfn.XLOOKUP(Table1[[#This Row],[Education]],Table8[Education],Table8[Id_Education])</f>
        <v>E002</v>
      </c>
      <c r="K1409">
        <v>2</v>
      </c>
      <c r="L1409" t="str">
        <f>_xlfn.XLOOKUP(Table1[[#This Row],[EducationField]],Table7[EducationField],Table7[Id_EducationField])</f>
        <v>EF001</v>
      </c>
      <c r="M1409" t="s">
        <v>40</v>
      </c>
      <c r="N1409" t="str">
        <f>_xlfn.XLOOKUP(Table1[[#This Row],[EmployeeNumber]],Table4[EmployeeNumber],Table4[Id_Employee])</f>
        <v>EMP01408</v>
      </c>
      <c r="O1409">
        <v>1981</v>
      </c>
      <c r="P1409" t="str">
        <f>_xlfn.XLOOKUP(Table1[[#This Row],[EnvironmentSatisfaction]],Table9[EnvironmentSatisfaction],Table9[Id_EnviromentSatisfaction])</f>
        <v>ES002</v>
      </c>
      <c r="Q1409">
        <v>2</v>
      </c>
      <c r="R1409" t="str">
        <f>_xlfn.XLOOKUP(Table1[[#This Row],[EnvironmentSatisfaction]],Table9[EnvironmentSatisfaction],Table9[Deskripsi])</f>
        <v>Medium</v>
      </c>
      <c r="S1409" t="str">
        <f>_xlfn.XLOOKUP(Table1[[#This Row],[Gender]],Table10[Gender],Table10[Id_Gender])</f>
        <v>G002</v>
      </c>
      <c r="T1409" t="s">
        <v>46</v>
      </c>
      <c r="U1409">
        <v>45</v>
      </c>
      <c r="V1409" t="str">
        <f>_xlfn.XLOOKUP(Table1[[#This Row],[JobInvolvement]],Table11[JobInvolvement],Table11[Id_JobInvolvement])</f>
        <v>JI002</v>
      </c>
      <c r="W1409">
        <v>2</v>
      </c>
      <c r="X1409" t="str">
        <f>_xlfn.XLOOKUP(Table1[[#This Row],[JobLevel]],Table12[JobLevel],Table12[Id_JobLevel])</f>
        <v>JL002</v>
      </c>
      <c r="Y1409">
        <v>2</v>
      </c>
      <c r="Z1409" t="str">
        <f>_xlfn.XLOOKUP(Table1[[#This Row],[JobRole]],Table13[JobRole],Table13[Id_JobRole])</f>
        <v>JR005</v>
      </c>
      <c r="AA1409" t="s">
        <v>51</v>
      </c>
      <c r="AB1409" t="str">
        <f>_xlfn.XLOOKUP(Table1[[#This Row],[JobSatisfaction]],Table14[JobSatisfaction],Table14[Id_JobSatisfaction])</f>
        <v>JS003</v>
      </c>
      <c r="AC1409">
        <v>3</v>
      </c>
      <c r="AD1409" t="str">
        <f>_xlfn.XLOOKUP(Table1[[#This Row],[JobSatisfaction]],Table14[JobSatisfaction],Table14[Deskripsi])</f>
        <v>High</v>
      </c>
      <c r="AE1409" t="str">
        <f>_xlfn.XLOOKUP(Table1[[#This Row],[MaritalStatus]],Table15[MaritalStatus],Table15[Id_MaritalStatus])</f>
        <v>MS001</v>
      </c>
      <c r="AF1409" t="s">
        <v>55</v>
      </c>
      <c r="AG1409">
        <v>4617</v>
      </c>
      <c r="AH1409">
        <v>14120</v>
      </c>
      <c r="AI1409">
        <v>1</v>
      </c>
      <c r="AJ1409" t="str">
        <f>_xlfn.XLOOKUP(Table1[[#This Row],[OverTime]],Table16[OverTime],Table16[Id_OverTime])</f>
        <v>OT002</v>
      </c>
      <c r="AK1409" t="s">
        <v>33</v>
      </c>
      <c r="AL1409">
        <v>12</v>
      </c>
      <c r="AM1409" t="str">
        <f>_xlfn.XLOOKUP(Table1[[#This Row],[PerformanceRating]],Table17[PerformanceRating],Table17[Id_PerformanceRating])</f>
        <v>PR003</v>
      </c>
      <c r="AN1409">
        <v>3</v>
      </c>
      <c r="AO1409" t="str">
        <f>_xlfn.XLOOKUP(Table1[[#This Row],[PerformanceRating]],Table17[PerformanceRating],Table17[Deskripsi])</f>
        <v>Excellent</v>
      </c>
      <c r="AP1409" t="str">
        <f>_xlfn.XLOOKUP(Table1[[#This Row],[RelationshipSatisfaction]],Table18[RelationshipSatisfaction],Table18[Id_RelationshipSatisfaction])</f>
        <v>RS002</v>
      </c>
      <c r="AQ1409">
        <v>2</v>
      </c>
      <c r="AR1409" t="str">
        <f>_xlfn.XLOOKUP(Table1[[#This Row],[RelationshipSatisfaction]],Table18[RelationshipSatisfaction],Table18[Deskripsi])</f>
        <v>Medium</v>
      </c>
      <c r="AS1409" t="str">
        <f>_xlfn.XLOOKUP(Table1[[#This Row],[StockOptionLevel]],Table19[StockOptionLevel],Table19[Id_StockOptionLevel])</f>
        <v>SOL001</v>
      </c>
      <c r="AT1409">
        <v>0</v>
      </c>
      <c r="AU1409" t="str">
        <f>_xlfn.XLOOKUP(Table1[[#This Row],[StockOptionLevel]],Table19[StockOptionLevel],Table19[Deskripsi])</f>
        <v>Non-Eligible</v>
      </c>
      <c r="AV1409">
        <v>4</v>
      </c>
      <c r="AW1409">
        <v>2</v>
      </c>
      <c r="AX1409" t="str">
        <f>_xlfn.XLOOKUP(Table1[[#This Row],[WorkLifeBalance]],Table20[WorkLifeBalance],Table20[Id_WorkLifeBalance])</f>
        <v>WLB003</v>
      </c>
      <c r="AY1409">
        <v>2</v>
      </c>
      <c r="AZ1409" t="str">
        <f>_xlfn.XLOOKUP(Table1[[#This Row],[WorkLifeBalance]],Table20[WorkLifeBalance],Table20[Deskripsi])</f>
        <v>Better</v>
      </c>
      <c r="BA1409">
        <v>4</v>
      </c>
      <c r="BB1409">
        <v>3</v>
      </c>
      <c r="BC1409">
        <v>1</v>
      </c>
      <c r="BD1409">
        <v>2</v>
      </c>
    </row>
    <row r="1410" spans="1:56" x14ac:dyDescent="0.25">
      <c r="A1410">
        <v>23</v>
      </c>
      <c r="B1410" t="str">
        <f>_xlfn.XLOOKUP(Table1[[#This Row],[Attrition]],Table2[Attrition],Table2[Id_Attrition])</f>
        <v>A002</v>
      </c>
      <c r="C1410" t="s">
        <v>33</v>
      </c>
      <c r="D1410" t="str">
        <f>_xlfn.XLOOKUP(Table1[[#This Row],[BusinessTravel]],Table5[BusinessTravel],Table5[Id_BusinessTravel])</f>
        <v>BS001</v>
      </c>
      <c r="E1410" t="s">
        <v>34</v>
      </c>
      <c r="F1410">
        <v>571</v>
      </c>
      <c r="G1410" t="str">
        <f>_xlfn.XLOOKUP(Table1[[#This Row],[Department]],Table6[Department],Table6[Id_Departement])</f>
        <v>D002</v>
      </c>
      <c r="H1410" t="s">
        <v>38</v>
      </c>
      <c r="I1410">
        <v>12</v>
      </c>
      <c r="J1410" t="str">
        <f>_xlfn.XLOOKUP(Table1[[#This Row],[Education]],Table8[Education],Table8[Id_Education])</f>
        <v>E002</v>
      </c>
      <c r="K1410">
        <v>2</v>
      </c>
      <c r="L1410" t="str">
        <f>_xlfn.XLOOKUP(Table1[[#This Row],[EducationField]],Table7[EducationField],Table7[Id_EducationField])</f>
        <v>EF002</v>
      </c>
      <c r="M1410" t="s">
        <v>41</v>
      </c>
      <c r="N1410" t="str">
        <f>_xlfn.XLOOKUP(Table1[[#This Row],[EmployeeNumber]],Table4[EmployeeNumber],Table4[Id_Employee])</f>
        <v>EMP01409</v>
      </c>
      <c r="O1410">
        <v>1982</v>
      </c>
      <c r="P1410" t="str">
        <f>_xlfn.XLOOKUP(Table1[[#This Row],[EnvironmentSatisfaction]],Table9[EnvironmentSatisfaction],Table9[Id_EnviromentSatisfaction])</f>
        <v>ES004</v>
      </c>
      <c r="Q1410">
        <v>4</v>
      </c>
      <c r="R1410" t="str">
        <f>_xlfn.XLOOKUP(Table1[[#This Row],[EnvironmentSatisfaction]],Table9[EnvironmentSatisfaction],Table9[Deskripsi])</f>
        <v>Very High</v>
      </c>
      <c r="S1410" t="str">
        <f>_xlfn.XLOOKUP(Table1[[#This Row],[Gender]],Table10[Gender],Table10[Id_Gender])</f>
        <v>G002</v>
      </c>
      <c r="T1410" t="s">
        <v>46</v>
      </c>
      <c r="U1410">
        <v>78</v>
      </c>
      <c r="V1410" t="str">
        <f>_xlfn.XLOOKUP(Table1[[#This Row],[JobInvolvement]],Table11[JobInvolvement],Table11[Id_JobInvolvement])</f>
        <v>JI003</v>
      </c>
      <c r="W1410">
        <v>3</v>
      </c>
      <c r="X1410" t="str">
        <f>_xlfn.XLOOKUP(Table1[[#This Row],[JobLevel]],Table12[JobLevel],Table12[Id_JobLevel])</f>
        <v>JL001</v>
      </c>
      <c r="Y1410">
        <v>1</v>
      </c>
      <c r="Z1410" t="str">
        <f>_xlfn.XLOOKUP(Table1[[#This Row],[JobRole]],Table13[JobRole],Table13[Id_JobRole])</f>
        <v>JR003</v>
      </c>
      <c r="AA1410" t="s">
        <v>49</v>
      </c>
      <c r="AB1410" t="str">
        <f>_xlfn.XLOOKUP(Table1[[#This Row],[JobSatisfaction]],Table14[JobSatisfaction],Table14[Id_JobSatisfaction])</f>
        <v>JS004</v>
      </c>
      <c r="AC1410">
        <v>4</v>
      </c>
      <c r="AD1410" t="str">
        <f>_xlfn.XLOOKUP(Table1[[#This Row],[JobSatisfaction]],Table14[JobSatisfaction],Table14[Deskripsi])</f>
        <v>Very High</v>
      </c>
      <c r="AE1410" t="str">
        <f>_xlfn.XLOOKUP(Table1[[#This Row],[MaritalStatus]],Table15[MaritalStatus],Table15[Id_MaritalStatus])</f>
        <v>MS001</v>
      </c>
      <c r="AF1410" t="s">
        <v>55</v>
      </c>
      <c r="AG1410">
        <v>2647</v>
      </c>
      <c r="AH1410">
        <v>13672</v>
      </c>
      <c r="AI1410">
        <v>1</v>
      </c>
      <c r="AJ1410" t="str">
        <f>_xlfn.XLOOKUP(Table1[[#This Row],[OverTime]],Table16[OverTime],Table16[Id_OverTime])</f>
        <v>OT002</v>
      </c>
      <c r="AK1410" t="s">
        <v>33</v>
      </c>
      <c r="AL1410">
        <v>13</v>
      </c>
      <c r="AM1410" t="str">
        <f>_xlfn.XLOOKUP(Table1[[#This Row],[PerformanceRating]],Table17[PerformanceRating],Table17[Id_PerformanceRating])</f>
        <v>PR003</v>
      </c>
      <c r="AN1410">
        <v>3</v>
      </c>
      <c r="AO1410" t="str">
        <f>_xlfn.XLOOKUP(Table1[[#This Row],[PerformanceRating]],Table17[PerformanceRating],Table17[Deskripsi])</f>
        <v>Excellent</v>
      </c>
      <c r="AP1410" t="str">
        <f>_xlfn.XLOOKUP(Table1[[#This Row],[RelationshipSatisfaction]],Table18[RelationshipSatisfaction],Table18[Id_RelationshipSatisfaction])</f>
        <v>RS003</v>
      </c>
      <c r="AQ1410">
        <v>3</v>
      </c>
      <c r="AR1410" t="str">
        <f>_xlfn.XLOOKUP(Table1[[#This Row],[RelationshipSatisfaction]],Table18[RelationshipSatisfaction],Table18[Deskripsi])</f>
        <v>High</v>
      </c>
      <c r="AS1410" t="str">
        <f>_xlfn.XLOOKUP(Table1[[#This Row],[StockOptionLevel]],Table19[StockOptionLevel],Table19[Id_StockOptionLevel])</f>
        <v>SOL001</v>
      </c>
      <c r="AT1410">
        <v>0</v>
      </c>
      <c r="AU1410" t="str">
        <f>_xlfn.XLOOKUP(Table1[[#This Row],[StockOptionLevel]],Table19[StockOptionLevel],Table19[Deskripsi])</f>
        <v>Non-Eligible</v>
      </c>
      <c r="AV1410">
        <v>5</v>
      </c>
      <c r="AW1410">
        <v>6</v>
      </c>
      <c r="AX1410" t="str">
        <f>_xlfn.XLOOKUP(Table1[[#This Row],[WorkLifeBalance]],Table20[WorkLifeBalance],Table20[Id_WorkLifeBalance])</f>
        <v>WLB004</v>
      </c>
      <c r="AY1410">
        <v>4</v>
      </c>
      <c r="AZ1410" t="str">
        <f>_xlfn.XLOOKUP(Table1[[#This Row],[WorkLifeBalance]],Table20[WorkLifeBalance],Table20[Deskripsi])</f>
        <v>Best</v>
      </c>
      <c r="BA1410">
        <v>5</v>
      </c>
      <c r="BB1410">
        <v>2</v>
      </c>
      <c r="BC1410">
        <v>1</v>
      </c>
      <c r="BD1410">
        <v>4</v>
      </c>
    </row>
    <row r="1411" spans="1:56" x14ac:dyDescent="0.25">
      <c r="A1411">
        <v>40</v>
      </c>
      <c r="B1411" t="str">
        <f>_xlfn.XLOOKUP(Table1[[#This Row],[Attrition]],Table2[Attrition],Table2[Id_Attrition])</f>
        <v>A002</v>
      </c>
      <c r="C1411" t="s">
        <v>33</v>
      </c>
      <c r="D1411" t="str">
        <f>_xlfn.XLOOKUP(Table1[[#This Row],[BusinessTravel]],Table5[BusinessTravel],Table5[Id_BusinessTravel])</f>
        <v>BS002</v>
      </c>
      <c r="E1411" t="s">
        <v>35</v>
      </c>
      <c r="F1411">
        <v>692</v>
      </c>
      <c r="G1411" t="str">
        <f>_xlfn.XLOOKUP(Table1[[#This Row],[Department]],Table6[Department],Table6[Id_Departement])</f>
        <v>D002</v>
      </c>
      <c r="H1411" t="s">
        <v>38</v>
      </c>
      <c r="I1411">
        <v>11</v>
      </c>
      <c r="J1411" t="str">
        <f>_xlfn.XLOOKUP(Table1[[#This Row],[Education]],Table8[Education],Table8[Id_Education])</f>
        <v>E003</v>
      </c>
      <c r="K1411">
        <v>3</v>
      </c>
      <c r="L1411" t="str">
        <f>_xlfn.XLOOKUP(Table1[[#This Row],[EducationField]],Table7[EducationField],Table7[Id_EducationField])</f>
        <v>EF005</v>
      </c>
      <c r="M1411" t="s">
        <v>44</v>
      </c>
      <c r="N1411" t="str">
        <f>_xlfn.XLOOKUP(Table1[[#This Row],[EmployeeNumber]],Table4[EmployeeNumber],Table4[Id_Employee])</f>
        <v>EMP01410</v>
      </c>
      <c r="O1411">
        <v>1985</v>
      </c>
      <c r="P1411" t="str">
        <f>_xlfn.XLOOKUP(Table1[[#This Row],[EnvironmentSatisfaction]],Table9[EnvironmentSatisfaction],Table9[Id_EnviromentSatisfaction])</f>
        <v>ES004</v>
      </c>
      <c r="Q1411">
        <v>4</v>
      </c>
      <c r="R1411" t="str">
        <f>_xlfn.XLOOKUP(Table1[[#This Row],[EnvironmentSatisfaction]],Table9[EnvironmentSatisfaction],Table9[Deskripsi])</f>
        <v>Very High</v>
      </c>
      <c r="S1411" t="str">
        <f>_xlfn.XLOOKUP(Table1[[#This Row],[Gender]],Table10[Gender],Table10[Id_Gender])</f>
        <v>G001</v>
      </c>
      <c r="T1411" t="s">
        <v>45</v>
      </c>
      <c r="U1411">
        <v>73</v>
      </c>
      <c r="V1411" t="str">
        <f>_xlfn.XLOOKUP(Table1[[#This Row],[JobInvolvement]],Table11[JobInvolvement],Table11[Id_JobInvolvement])</f>
        <v>JI003</v>
      </c>
      <c r="W1411">
        <v>3</v>
      </c>
      <c r="X1411" t="str">
        <f>_xlfn.XLOOKUP(Table1[[#This Row],[JobLevel]],Table12[JobLevel],Table12[Id_JobLevel])</f>
        <v>JL002</v>
      </c>
      <c r="Y1411">
        <v>2</v>
      </c>
      <c r="Z1411" t="str">
        <f>_xlfn.XLOOKUP(Table1[[#This Row],[JobRole]],Table13[JobRole],Table13[Id_JobRole])</f>
        <v>JR003</v>
      </c>
      <c r="AA1411" t="s">
        <v>49</v>
      </c>
      <c r="AB1411" t="str">
        <f>_xlfn.XLOOKUP(Table1[[#This Row],[JobSatisfaction]],Table14[JobSatisfaction],Table14[Id_JobSatisfaction])</f>
        <v>JS003</v>
      </c>
      <c r="AC1411">
        <v>3</v>
      </c>
      <c r="AD1411" t="str">
        <f>_xlfn.XLOOKUP(Table1[[#This Row],[JobSatisfaction]],Table14[JobSatisfaction],Table14[Deskripsi])</f>
        <v>High</v>
      </c>
      <c r="AE1411" t="str">
        <f>_xlfn.XLOOKUP(Table1[[#This Row],[MaritalStatus]],Table15[MaritalStatus],Table15[Id_MaritalStatus])</f>
        <v>MS002</v>
      </c>
      <c r="AF1411" t="s">
        <v>56</v>
      </c>
      <c r="AG1411">
        <v>6323</v>
      </c>
      <c r="AH1411">
        <v>26849</v>
      </c>
      <c r="AI1411">
        <v>1</v>
      </c>
      <c r="AJ1411" t="str">
        <f>_xlfn.XLOOKUP(Table1[[#This Row],[OverTime]],Table16[OverTime],Table16[Id_OverTime])</f>
        <v>OT002</v>
      </c>
      <c r="AK1411" t="s">
        <v>33</v>
      </c>
      <c r="AL1411">
        <v>11</v>
      </c>
      <c r="AM1411" t="str">
        <f>_xlfn.XLOOKUP(Table1[[#This Row],[PerformanceRating]],Table17[PerformanceRating],Table17[Id_PerformanceRating])</f>
        <v>PR003</v>
      </c>
      <c r="AN1411">
        <v>3</v>
      </c>
      <c r="AO1411" t="str">
        <f>_xlfn.XLOOKUP(Table1[[#This Row],[PerformanceRating]],Table17[PerformanceRating],Table17[Deskripsi])</f>
        <v>Excellent</v>
      </c>
      <c r="AP1411" t="str">
        <f>_xlfn.XLOOKUP(Table1[[#This Row],[RelationshipSatisfaction]],Table18[RelationshipSatisfaction],Table18[Id_RelationshipSatisfaction])</f>
        <v>RS001</v>
      </c>
      <c r="AQ1411">
        <v>1</v>
      </c>
      <c r="AR1411" t="str">
        <f>_xlfn.XLOOKUP(Table1[[#This Row],[RelationshipSatisfaction]],Table18[RelationshipSatisfaction],Table18[Deskripsi])</f>
        <v>Low</v>
      </c>
      <c r="AS1411" t="str">
        <f>_xlfn.XLOOKUP(Table1[[#This Row],[StockOptionLevel]],Table19[StockOptionLevel],Table19[Id_StockOptionLevel])</f>
        <v>SOL002</v>
      </c>
      <c r="AT1411">
        <v>1</v>
      </c>
      <c r="AU1411" t="str">
        <f>_xlfn.XLOOKUP(Table1[[#This Row],[StockOptionLevel]],Table19[StockOptionLevel],Table19[Deskripsi])</f>
        <v>Standard</v>
      </c>
      <c r="AV1411">
        <v>10</v>
      </c>
      <c r="AW1411">
        <v>2</v>
      </c>
      <c r="AX1411" t="str">
        <f>_xlfn.XLOOKUP(Table1[[#This Row],[WorkLifeBalance]],Table20[WorkLifeBalance],Table20[Id_WorkLifeBalance])</f>
        <v>WLB004</v>
      </c>
      <c r="AY1411">
        <v>4</v>
      </c>
      <c r="AZ1411" t="str">
        <f>_xlfn.XLOOKUP(Table1[[#This Row],[WorkLifeBalance]],Table20[WorkLifeBalance],Table20[Deskripsi])</f>
        <v>Best</v>
      </c>
      <c r="BA1411">
        <v>10</v>
      </c>
      <c r="BB1411">
        <v>9</v>
      </c>
      <c r="BC1411">
        <v>9</v>
      </c>
      <c r="BD1411">
        <v>4</v>
      </c>
    </row>
    <row r="1412" spans="1:56" x14ac:dyDescent="0.25">
      <c r="A1412">
        <v>40</v>
      </c>
      <c r="B1412" t="str">
        <f>_xlfn.XLOOKUP(Table1[[#This Row],[Attrition]],Table2[Attrition],Table2[Id_Attrition])</f>
        <v>A002</v>
      </c>
      <c r="C1412" t="s">
        <v>33</v>
      </c>
      <c r="D1412" t="str">
        <f>_xlfn.XLOOKUP(Table1[[#This Row],[BusinessTravel]],Table5[BusinessTravel],Table5[Id_BusinessTravel])</f>
        <v>BS001</v>
      </c>
      <c r="E1412" t="s">
        <v>34</v>
      </c>
      <c r="F1412">
        <v>444</v>
      </c>
      <c r="G1412" t="str">
        <f>_xlfn.XLOOKUP(Table1[[#This Row],[Department]],Table6[Department],Table6[Id_Departement])</f>
        <v>D001</v>
      </c>
      <c r="H1412" t="s">
        <v>37</v>
      </c>
      <c r="I1412">
        <v>2</v>
      </c>
      <c r="J1412" t="str">
        <f>_xlfn.XLOOKUP(Table1[[#This Row],[Education]],Table8[Education],Table8[Id_Education])</f>
        <v>E002</v>
      </c>
      <c r="K1412">
        <v>2</v>
      </c>
      <c r="L1412" t="str">
        <f>_xlfn.XLOOKUP(Table1[[#This Row],[EducationField]],Table7[EducationField],Table7[Id_EducationField])</f>
        <v>EF004</v>
      </c>
      <c r="M1412" t="s">
        <v>43</v>
      </c>
      <c r="N1412" t="str">
        <f>_xlfn.XLOOKUP(Table1[[#This Row],[EmployeeNumber]],Table4[EmployeeNumber],Table4[Id_Employee])</f>
        <v>EMP01411</v>
      </c>
      <c r="O1412">
        <v>1986</v>
      </c>
      <c r="P1412" t="str">
        <f>_xlfn.XLOOKUP(Table1[[#This Row],[EnvironmentSatisfaction]],Table9[EnvironmentSatisfaction],Table9[Id_EnviromentSatisfaction])</f>
        <v>ES002</v>
      </c>
      <c r="Q1412">
        <v>2</v>
      </c>
      <c r="R1412" t="str">
        <f>_xlfn.XLOOKUP(Table1[[#This Row],[EnvironmentSatisfaction]],Table9[EnvironmentSatisfaction],Table9[Deskripsi])</f>
        <v>Medium</v>
      </c>
      <c r="S1412" t="str">
        <f>_xlfn.XLOOKUP(Table1[[#This Row],[Gender]],Table10[Gender],Table10[Id_Gender])</f>
        <v>G001</v>
      </c>
      <c r="T1412" t="s">
        <v>45</v>
      </c>
      <c r="U1412">
        <v>92</v>
      </c>
      <c r="V1412" t="str">
        <f>_xlfn.XLOOKUP(Table1[[#This Row],[JobInvolvement]],Table11[JobInvolvement],Table11[Id_JobInvolvement])</f>
        <v>JI003</v>
      </c>
      <c r="W1412">
        <v>3</v>
      </c>
      <c r="X1412" t="str">
        <f>_xlfn.XLOOKUP(Table1[[#This Row],[JobLevel]],Table12[JobLevel],Table12[Id_JobLevel])</f>
        <v>JL002</v>
      </c>
      <c r="Y1412">
        <v>2</v>
      </c>
      <c r="Z1412" t="str">
        <f>_xlfn.XLOOKUP(Table1[[#This Row],[JobRole]],Table13[JobRole],Table13[Id_JobRole])</f>
        <v>JR001</v>
      </c>
      <c r="AA1412" t="s">
        <v>47</v>
      </c>
      <c r="AB1412" t="str">
        <f>_xlfn.XLOOKUP(Table1[[#This Row],[JobSatisfaction]],Table14[JobSatisfaction],Table14[Id_JobSatisfaction])</f>
        <v>JS002</v>
      </c>
      <c r="AC1412">
        <v>2</v>
      </c>
      <c r="AD1412" t="str">
        <f>_xlfn.XLOOKUP(Table1[[#This Row],[JobSatisfaction]],Table14[JobSatisfaction],Table14[Deskripsi])</f>
        <v>Medium</v>
      </c>
      <c r="AE1412" t="str">
        <f>_xlfn.XLOOKUP(Table1[[#This Row],[MaritalStatus]],Table15[MaritalStatus],Table15[Id_MaritalStatus])</f>
        <v>MS002</v>
      </c>
      <c r="AF1412" t="s">
        <v>56</v>
      </c>
      <c r="AG1412">
        <v>5677</v>
      </c>
      <c r="AH1412">
        <v>4258</v>
      </c>
      <c r="AI1412">
        <v>3</v>
      </c>
      <c r="AJ1412" t="str">
        <f>_xlfn.XLOOKUP(Table1[[#This Row],[OverTime]],Table16[OverTime],Table16[Id_OverTime])</f>
        <v>OT002</v>
      </c>
      <c r="AK1412" t="s">
        <v>33</v>
      </c>
      <c r="AL1412">
        <v>14</v>
      </c>
      <c r="AM1412" t="str">
        <f>_xlfn.XLOOKUP(Table1[[#This Row],[PerformanceRating]],Table17[PerformanceRating],Table17[Id_PerformanceRating])</f>
        <v>PR003</v>
      </c>
      <c r="AN1412">
        <v>3</v>
      </c>
      <c r="AO1412" t="str">
        <f>_xlfn.XLOOKUP(Table1[[#This Row],[PerformanceRating]],Table17[PerformanceRating],Table17[Deskripsi])</f>
        <v>Excellent</v>
      </c>
      <c r="AP1412" t="str">
        <f>_xlfn.XLOOKUP(Table1[[#This Row],[RelationshipSatisfaction]],Table18[RelationshipSatisfaction],Table18[Id_RelationshipSatisfaction])</f>
        <v>RS003</v>
      </c>
      <c r="AQ1412">
        <v>3</v>
      </c>
      <c r="AR1412" t="str">
        <f>_xlfn.XLOOKUP(Table1[[#This Row],[RelationshipSatisfaction]],Table18[RelationshipSatisfaction],Table18[Deskripsi])</f>
        <v>High</v>
      </c>
      <c r="AS1412" t="str">
        <f>_xlfn.XLOOKUP(Table1[[#This Row],[StockOptionLevel]],Table19[StockOptionLevel],Table19[Id_StockOptionLevel])</f>
        <v>SOL002</v>
      </c>
      <c r="AT1412">
        <v>1</v>
      </c>
      <c r="AU1412" t="str">
        <f>_xlfn.XLOOKUP(Table1[[#This Row],[StockOptionLevel]],Table19[StockOptionLevel],Table19[Deskripsi])</f>
        <v>Standard</v>
      </c>
      <c r="AV1412">
        <v>15</v>
      </c>
      <c r="AW1412">
        <v>4</v>
      </c>
      <c r="AX1412" t="str">
        <f>_xlfn.XLOOKUP(Table1[[#This Row],[WorkLifeBalance]],Table20[WorkLifeBalance],Table20[Id_WorkLifeBalance])</f>
        <v>WLB002</v>
      </c>
      <c r="AY1412">
        <v>3</v>
      </c>
      <c r="AZ1412" t="str">
        <f>_xlfn.XLOOKUP(Table1[[#This Row],[WorkLifeBalance]],Table20[WorkLifeBalance],Table20[Deskripsi])</f>
        <v>Good</v>
      </c>
      <c r="BA1412">
        <v>11</v>
      </c>
      <c r="BB1412">
        <v>8</v>
      </c>
      <c r="BC1412">
        <v>5</v>
      </c>
      <c r="BD1412">
        <v>10</v>
      </c>
    </row>
    <row r="1413" spans="1:56" x14ac:dyDescent="0.25">
      <c r="A1413">
        <v>25</v>
      </c>
      <c r="B1413" t="str">
        <f>_xlfn.XLOOKUP(Table1[[#This Row],[Attrition]],Table2[Attrition],Table2[Id_Attrition])</f>
        <v>A002</v>
      </c>
      <c r="C1413" t="s">
        <v>33</v>
      </c>
      <c r="D1413" t="str">
        <f>_xlfn.XLOOKUP(Table1[[#This Row],[BusinessTravel]],Table5[BusinessTravel],Table5[Id_BusinessTravel])</f>
        <v>BS001</v>
      </c>
      <c r="E1413" t="s">
        <v>34</v>
      </c>
      <c r="F1413">
        <v>309</v>
      </c>
      <c r="G1413" t="str">
        <f>_xlfn.XLOOKUP(Table1[[#This Row],[Department]],Table6[Department],Table6[Id_Departement])</f>
        <v>D003</v>
      </c>
      <c r="H1413" t="s">
        <v>39</v>
      </c>
      <c r="I1413">
        <v>2</v>
      </c>
      <c r="J1413" t="str">
        <f>_xlfn.XLOOKUP(Table1[[#This Row],[Education]],Table8[Education],Table8[Id_Education])</f>
        <v>E003</v>
      </c>
      <c r="K1413">
        <v>3</v>
      </c>
      <c r="L1413" t="str">
        <f>_xlfn.XLOOKUP(Table1[[#This Row],[EducationField]],Table7[EducationField],Table7[Id_EducationField])</f>
        <v>EF006</v>
      </c>
      <c r="M1413" t="s">
        <v>39</v>
      </c>
      <c r="N1413" t="str">
        <f>_xlfn.XLOOKUP(Table1[[#This Row],[EmployeeNumber]],Table4[EmployeeNumber],Table4[Id_Employee])</f>
        <v>EMP01412</v>
      </c>
      <c r="O1413">
        <v>1987</v>
      </c>
      <c r="P1413" t="str">
        <f>_xlfn.XLOOKUP(Table1[[#This Row],[EnvironmentSatisfaction]],Table9[EnvironmentSatisfaction],Table9[Id_EnviromentSatisfaction])</f>
        <v>ES003</v>
      </c>
      <c r="Q1413">
        <v>3</v>
      </c>
      <c r="R1413" t="str">
        <f>_xlfn.XLOOKUP(Table1[[#This Row],[EnvironmentSatisfaction]],Table9[EnvironmentSatisfaction],Table9[Deskripsi])</f>
        <v>High</v>
      </c>
      <c r="S1413" t="str">
        <f>_xlfn.XLOOKUP(Table1[[#This Row],[Gender]],Table10[Gender],Table10[Id_Gender])</f>
        <v>G001</v>
      </c>
      <c r="T1413" t="s">
        <v>45</v>
      </c>
      <c r="U1413">
        <v>82</v>
      </c>
      <c r="V1413" t="str">
        <f>_xlfn.XLOOKUP(Table1[[#This Row],[JobInvolvement]],Table11[JobInvolvement],Table11[Id_JobInvolvement])</f>
        <v>JI003</v>
      </c>
      <c r="W1413">
        <v>3</v>
      </c>
      <c r="X1413" t="str">
        <f>_xlfn.XLOOKUP(Table1[[#This Row],[JobLevel]],Table12[JobLevel],Table12[Id_JobLevel])</f>
        <v>JL001</v>
      </c>
      <c r="Y1413">
        <v>1</v>
      </c>
      <c r="Z1413" t="str">
        <f>_xlfn.XLOOKUP(Table1[[#This Row],[JobRole]],Table13[JobRole],Table13[Id_JobRole])</f>
        <v>JR009</v>
      </c>
      <c r="AA1413" t="s">
        <v>39</v>
      </c>
      <c r="AB1413" t="str">
        <f>_xlfn.XLOOKUP(Table1[[#This Row],[JobSatisfaction]],Table14[JobSatisfaction],Table14[Id_JobSatisfaction])</f>
        <v>JS002</v>
      </c>
      <c r="AC1413">
        <v>2</v>
      </c>
      <c r="AD1413" t="str">
        <f>_xlfn.XLOOKUP(Table1[[#This Row],[JobSatisfaction]],Table14[JobSatisfaction],Table14[Deskripsi])</f>
        <v>Medium</v>
      </c>
      <c r="AE1413" t="str">
        <f>_xlfn.XLOOKUP(Table1[[#This Row],[MaritalStatus]],Table15[MaritalStatus],Table15[Id_MaritalStatus])</f>
        <v>MS002</v>
      </c>
      <c r="AF1413" t="s">
        <v>56</v>
      </c>
      <c r="AG1413">
        <v>2187</v>
      </c>
      <c r="AH1413">
        <v>19655</v>
      </c>
      <c r="AI1413">
        <v>4</v>
      </c>
      <c r="AJ1413" t="str">
        <f>_xlfn.XLOOKUP(Table1[[#This Row],[OverTime]],Table16[OverTime],Table16[Id_OverTime])</f>
        <v>OT002</v>
      </c>
      <c r="AK1413" t="s">
        <v>33</v>
      </c>
      <c r="AL1413">
        <v>14</v>
      </c>
      <c r="AM1413" t="str">
        <f>_xlfn.XLOOKUP(Table1[[#This Row],[PerformanceRating]],Table17[PerformanceRating],Table17[Id_PerformanceRating])</f>
        <v>PR003</v>
      </c>
      <c r="AN1413">
        <v>3</v>
      </c>
      <c r="AO1413" t="str">
        <f>_xlfn.XLOOKUP(Table1[[#This Row],[PerformanceRating]],Table17[PerformanceRating],Table17[Deskripsi])</f>
        <v>Excellent</v>
      </c>
      <c r="AP1413" t="str">
        <f>_xlfn.XLOOKUP(Table1[[#This Row],[RelationshipSatisfaction]],Table18[RelationshipSatisfaction],Table18[Id_RelationshipSatisfaction])</f>
        <v>RS003</v>
      </c>
      <c r="AQ1413">
        <v>3</v>
      </c>
      <c r="AR1413" t="str">
        <f>_xlfn.XLOOKUP(Table1[[#This Row],[RelationshipSatisfaction]],Table18[RelationshipSatisfaction],Table18[Deskripsi])</f>
        <v>High</v>
      </c>
      <c r="AS1413" t="str">
        <f>_xlfn.XLOOKUP(Table1[[#This Row],[StockOptionLevel]],Table19[StockOptionLevel],Table19[Id_StockOptionLevel])</f>
        <v>SOL001</v>
      </c>
      <c r="AT1413">
        <v>0</v>
      </c>
      <c r="AU1413" t="str">
        <f>_xlfn.XLOOKUP(Table1[[#This Row],[StockOptionLevel]],Table19[StockOptionLevel],Table19[Deskripsi])</f>
        <v>Non-Eligible</v>
      </c>
      <c r="AV1413">
        <v>6</v>
      </c>
      <c r="AW1413">
        <v>3</v>
      </c>
      <c r="AX1413" t="str">
        <f>_xlfn.XLOOKUP(Table1[[#This Row],[WorkLifeBalance]],Table20[WorkLifeBalance],Table20[Id_WorkLifeBalance])</f>
        <v>WLB002</v>
      </c>
      <c r="AY1413">
        <v>3</v>
      </c>
      <c r="AZ1413" t="str">
        <f>_xlfn.XLOOKUP(Table1[[#This Row],[WorkLifeBalance]],Table20[WorkLifeBalance],Table20[Deskripsi])</f>
        <v>Good</v>
      </c>
      <c r="BA1413">
        <v>2</v>
      </c>
      <c r="BB1413">
        <v>0</v>
      </c>
      <c r="BC1413">
        <v>1</v>
      </c>
      <c r="BD1413">
        <v>2</v>
      </c>
    </row>
    <row r="1414" spans="1:56" x14ac:dyDescent="0.25">
      <c r="A1414">
        <v>30</v>
      </c>
      <c r="B1414" t="str">
        <f>_xlfn.XLOOKUP(Table1[[#This Row],[Attrition]],Table2[Attrition],Table2[Id_Attrition])</f>
        <v>A002</v>
      </c>
      <c r="C1414" t="s">
        <v>33</v>
      </c>
      <c r="D1414" t="str">
        <f>_xlfn.XLOOKUP(Table1[[#This Row],[BusinessTravel]],Table5[BusinessTravel],Table5[Id_BusinessTravel])</f>
        <v>BS001</v>
      </c>
      <c r="E1414" t="s">
        <v>34</v>
      </c>
      <c r="F1414">
        <v>911</v>
      </c>
      <c r="G1414" t="str">
        <f>_xlfn.XLOOKUP(Table1[[#This Row],[Department]],Table6[Department],Table6[Id_Departement])</f>
        <v>D002</v>
      </c>
      <c r="H1414" t="s">
        <v>38</v>
      </c>
      <c r="I1414">
        <v>1</v>
      </c>
      <c r="J1414" t="str">
        <f>_xlfn.XLOOKUP(Table1[[#This Row],[Education]],Table8[Education],Table8[Id_Education])</f>
        <v>E002</v>
      </c>
      <c r="K1414">
        <v>2</v>
      </c>
      <c r="L1414" t="str">
        <f>_xlfn.XLOOKUP(Table1[[#This Row],[EducationField]],Table7[EducationField],Table7[Id_EducationField])</f>
        <v>EF003</v>
      </c>
      <c r="M1414" t="s">
        <v>42</v>
      </c>
      <c r="N1414" t="str">
        <f>_xlfn.XLOOKUP(Table1[[#This Row],[EmployeeNumber]],Table4[EmployeeNumber],Table4[Id_Employee])</f>
        <v>EMP01413</v>
      </c>
      <c r="O1414">
        <v>1989</v>
      </c>
      <c r="P1414" t="str">
        <f>_xlfn.XLOOKUP(Table1[[#This Row],[EnvironmentSatisfaction]],Table9[EnvironmentSatisfaction],Table9[Id_EnviromentSatisfaction])</f>
        <v>ES004</v>
      </c>
      <c r="Q1414">
        <v>4</v>
      </c>
      <c r="R1414" t="str">
        <f>_xlfn.XLOOKUP(Table1[[#This Row],[EnvironmentSatisfaction]],Table9[EnvironmentSatisfaction],Table9[Deskripsi])</f>
        <v>Very High</v>
      </c>
      <c r="S1414" t="str">
        <f>_xlfn.XLOOKUP(Table1[[#This Row],[Gender]],Table10[Gender],Table10[Id_Gender])</f>
        <v>G002</v>
      </c>
      <c r="T1414" t="s">
        <v>46</v>
      </c>
      <c r="U1414">
        <v>76</v>
      </c>
      <c r="V1414" t="str">
        <f>_xlfn.XLOOKUP(Table1[[#This Row],[JobInvolvement]],Table11[JobInvolvement],Table11[Id_JobInvolvement])</f>
        <v>JI003</v>
      </c>
      <c r="W1414">
        <v>3</v>
      </c>
      <c r="X1414" t="str">
        <f>_xlfn.XLOOKUP(Table1[[#This Row],[JobLevel]],Table12[JobLevel],Table12[Id_JobLevel])</f>
        <v>JL001</v>
      </c>
      <c r="Y1414">
        <v>1</v>
      </c>
      <c r="Z1414" t="str">
        <f>_xlfn.XLOOKUP(Table1[[#This Row],[JobRole]],Table13[JobRole],Table13[Id_JobRole])</f>
        <v>JR003</v>
      </c>
      <c r="AA1414" t="s">
        <v>49</v>
      </c>
      <c r="AB1414" t="str">
        <f>_xlfn.XLOOKUP(Table1[[#This Row],[JobSatisfaction]],Table14[JobSatisfaction],Table14[Id_JobSatisfaction])</f>
        <v>JS002</v>
      </c>
      <c r="AC1414">
        <v>2</v>
      </c>
      <c r="AD1414" t="str">
        <f>_xlfn.XLOOKUP(Table1[[#This Row],[JobSatisfaction]],Table14[JobSatisfaction],Table14[Deskripsi])</f>
        <v>Medium</v>
      </c>
      <c r="AE1414" t="str">
        <f>_xlfn.XLOOKUP(Table1[[#This Row],[MaritalStatus]],Table15[MaritalStatus],Table15[Id_MaritalStatus])</f>
        <v>MS002</v>
      </c>
      <c r="AF1414" t="s">
        <v>56</v>
      </c>
      <c r="AG1414">
        <v>3748</v>
      </c>
      <c r="AH1414">
        <v>4077</v>
      </c>
      <c r="AI1414">
        <v>1</v>
      </c>
      <c r="AJ1414" t="str">
        <f>_xlfn.XLOOKUP(Table1[[#This Row],[OverTime]],Table16[OverTime],Table16[Id_OverTime])</f>
        <v>OT002</v>
      </c>
      <c r="AK1414" t="s">
        <v>33</v>
      </c>
      <c r="AL1414">
        <v>13</v>
      </c>
      <c r="AM1414" t="str">
        <f>_xlfn.XLOOKUP(Table1[[#This Row],[PerformanceRating]],Table17[PerformanceRating],Table17[Id_PerformanceRating])</f>
        <v>PR003</v>
      </c>
      <c r="AN1414">
        <v>3</v>
      </c>
      <c r="AO1414" t="str">
        <f>_xlfn.XLOOKUP(Table1[[#This Row],[PerformanceRating]],Table17[PerformanceRating],Table17[Deskripsi])</f>
        <v>Excellent</v>
      </c>
      <c r="AP1414" t="str">
        <f>_xlfn.XLOOKUP(Table1[[#This Row],[RelationshipSatisfaction]],Table18[RelationshipSatisfaction],Table18[Id_RelationshipSatisfaction])</f>
        <v>RS003</v>
      </c>
      <c r="AQ1414">
        <v>3</v>
      </c>
      <c r="AR1414" t="str">
        <f>_xlfn.XLOOKUP(Table1[[#This Row],[RelationshipSatisfaction]],Table18[RelationshipSatisfaction],Table18[Deskripsi])</f>
        <v>High</v>
      </c>
      <c r="AS1414" t="str">
        <f>_xlfn.XLOOKUP(Table1[[#This Row],[StockOptionLevel]],Table19[StockOptionLevel],Table19[Id_StockOptionLevel])</f>
        <v>SOL001</v>
      </c>
      <c r="AT1414">
        <v>0</v>
      </c>
      <c r="AU1414" t="str">
        <f>_xlfn.XLOOKUP(Table1[[#This Row],[StockOptionLevel]],Table19[StockOptionLevel],Table19[Deskripsi])</f>
        <v>Non-Eligible</v>
      </c>
      <c r="AV1414">
        <v>12</v>
      </c>
      <c r="AW1414">
        <v>6</v>
      </c>
      <c r="AX1414" t="str">
        <f>_xlfn.XLOOKUP(Table1[[#This Row],[WorkLifeBalance]],Table20[WorkLifeBalance],Table20[Id_WorkLifeBalance])</f>
        <v>WLB003</v>
      </c>
      <c r="AY1414">
        <v>2</v>
      </c>
      <c r="AZ1414" t="str">
        <f>_xlfn.XLOOKUP(Table1[[#This Row],[WorkLifeBalance]],Table20[WorkLifeBalance],Table20[Deskripsi])</f>
        <v>Better</v>
      </c>
      <c r="BA1414">
        <v>12</v>
      </c>
      <c r="BB1414">
        <v>8</v>
      </c>
      <c r="BC1414">
        <v>1</v>
      </c>
      <c r="BD1414">
        <v>7</v>
      </c>
    </row>
    <row r="1415" spans="1:56" x14ac:dyDescent="0.25">
      <c r="A1415">
        <v>25</v>
      </c>
      <c r="B1415" t="str">
        <f>_xlfn.XLOOKUP(Table1[[#This Row],[Attrition]],Table2[Attrition],Table2[Id_Attrition])</f>
        <v>A002</v>
      </c>
      <c r="C1415" t="s">
        <v>33</v>
      </c>
      <c r="D1415" t="str">
        <f>_xlfn.XLOOKUP(Table1[[#This Row],[BusinessTravel]],Table5[BusinessTravel],Table5[Id_BusinessTravel])</f>
        <v>BS001</v>
      </c>
      <c r="E1415" t="s">
        <v>34</v>
      </c>
      <c r="F1415">
        <v>977</v>
      </c>
      <c r="G1415" t="str">
        <f>_xlfn.XLOOKUP(Table1[[#This Row],[Department]],Table6[Department],Table6[Id_Departement])</f>
        <v>D002</v>
      </c>
      <c r="H1415" t="s">
        <v>38</v>
      </c>
      <c r="I1415">
        <v>2</v>
      </c>
      <c r="J1415" t="str">
        <f>_xlfn.XLOOKUP(Table1[[#This Row],[Education]],Table8[Education],Table8[Id_Education])</f>
        <v>E001</v>
      </c>
      <c r="K1415">
        <v>1</v>
      </c>
      <c r="L1415" t="str">
        <f>_xlfn.XLOOKUP(Table1[[#This Row],[EducationField]],Table7[EducationField],Table7[Id_EducationField])</f>
        <v>EF002</v>
      </c>
      <c r="M1415" t="s">
        <v>41</v>
      </c>
      <c r="N1415" t="str">
        <f>_xlfn.XLOOKUP(Table1[[#This Row],[EmployeeNumber]],Table4[EmployeeNumber],Table4[Id_Employee])</f>
        <v>EMP01414</v>
      </c>
      <c r="O1415">
        <v>1992</v>
      </c>
      <c r="P1415" t="str">
        <f>_xlfn.XLOOKUP(Table1[[#This Row],[EnvironmentSatisfaction]],Table9[EnvironmentSatisfaction],Table9[Id_EnviromentSatisfaction])</f>
        <v>ES004</v>
      </c>
      <c r="Q1415">
        <v>4</v>
      </c>
      <c r="R1415" t="str">
        <f>_xlfn.XLOOKUP(Table1[[#This Row],[EnvironmentSatisfaction]],Table9[EnvironmentSatisfaction],Table9[Deskripsi])</f>
        <v>Very High</v>
      </c>
      <c r="S1415" t="str">
        <f>_xlfn.XLOOKUP(Table1[[#This Row],[Gender]],Table10[Gender],Table10[Id_Gender])</f>
        <v>G002</v>
      </c>
      <c r="T1415" t="s">
        <v>46</v>
      </c>
      <c r="U1415">
        <v>57</v>
      </c>
      <c r="V1415" t="str">
        <f>_xlfn.XLOOKUP(Table1[[#This Row],[JobInvolvement]],Table11[JobInvolvement],Table11[Id_JobInvolvement])</f>
        <v>JI003</v>
      </c>
      <c r="W1415">
        <v>3</v>
      </c>
      <c r="X1415" t="str">
        <f>_xlfn.XLOOKUP(Table1[[#This Row],[JobLevel]],Table12[JobLevel],Table12[Id_JobLevel])</f>
        <v>JL001</v>
      </c>
      <c r="Y1415">
        <v>1</v>
      </c>
      <c r="Z1415" t="str">
        <f>_xlfn.XLOOKUP(Table1[[#This Row],[JobRole]],Table13[JobRole],Table13[Id_JobRole])</f>
        <v>JR003</v>
      </c>
      <c r="AA1415" t="s">
        <v>49</v>
      </c>
      <c r="AB1415" t="str">
        <f>_xlfn.XLOOKUP(Table1[[#This Row],[JobSatisfaction]],Table14[JobSatisfaction],Table14[Id_JobSatisfaction])</f>
        <v>JS003</v>
      </c>
      <c r="AC1415">
        <v>3</v>
      </c>
      <c r="AD1415" t="str">
        <f>_xlfn.XLOOKUP(Table1[[#This Row],[JobSatisfaction]],Table14[JobSatisfaction],Table14[Deskripsi])</f>
        <v>High</v>
      </c>
      <c r="AE1415" t="str">
        <f>_xlfn.XLOOKUP(Table1[[#This Row],[MaritalStatus]],Table15[MaritalStatus],Table15[Id_MaritalStatus])</f>
        <v>MS003</v>
      </c>
      <c r="AF1415" t="s">
        <v>57</v>
      </c>
      <c r="AG1415">
        <v>3977</v>
      </c>
      <c r="AH1415">
        <v>7298</v>
      </c>
      <c r="AI1415">
        <v>6</v>
      </c>
      <c r="AJ1415" t="str">
        <f>_xlfn.XLOOKUP(Table1[[#This Row],[OverTime]],Table16[OverTime],Table16[Id_OverTime])</f>
        <v>OT001</v>
      </c>
      <c r="AK1415" t="s">
        <v>32</v>
      </c>
      <c r="AL1415">
        <v>19</v>
      </c>
      <c r="AM1415" t="str">
        <f>_xlfn.XLOOKUP(Table1[[#This Row],[PerformanceRating]],Table17[PerformanceRating],Table17[Id_PerformanceRating])</f>
        <v>PR003</v>
      </c>
      <c r="AN1415">
        <v>3</v>
      </c>
      <c r="AO1415" t="str">
        <f>_xlfn.XLOOKUP(Table1[[#This Row],[PerformanceRating]],Table17[PerformanceRating],Table17[Deskripsi])</f>
        <v>Excellent</v>
      </c>
      <c r="AP1415" t="str">
        <f>_xlfn.XLOOKUP(Table1[[#This Row],[RelationshipSatisfaction]],Table18[RelationshipSatisfaction],Table18[Id_RelationshipSatisfaction])</f>
        <v>RS003</v>
      </c>
      <c r="AQ1415">
        <v>3</v>
      </c>
      <c r="AR1415" t="str">
        <f>_xlfn.XLOOKUP(Table1[[#This Row],[RelationshipSatisfaction]],Table18[RelationshipSatisfaction],Table18[Deskripsi])</f>
        <v>High</v>
      </c>
      <c r="AS1415" t="str">
        <f>_xlfn.XLOOKUP(Table1[[#This Row],[StockOptionLevel]],Table19[StockOptionLevel],Table19[Id_StockOptionLevel])</f>
        <v>SOL002</v>
      </c>
      <c r="AT1415">
        <v>1</v>
      </c>
      <c r="AU1415" t="str">
        <f>_xlfn.XLOOKUP(Table1[[#This Row],[StockOptionLevel]],Table19[StockOptionLevel],Table19[Deskripsi])</f>
        <v>Standard</v>
      </c>
      <c r="AV1415">
        <v>7</v>
      </c>
      <c r="AW1415">
        <v>2</v>
      </c>
      <c r="AX1415" t="str">
        <f>_xlfn.XLOOKUP(Table1[[#This Row],[WorkLifeBalance]],Table20[WorkLifeBalance],Table20[Id_WorkLifeBalance])</f>
        <v>WLB003</v>
      </c>
      <c r="AY1415">
        <v>2</v>
      </c>
      <c r="AZ1415" t="str">
        <f>_xlfn.XLOOKUP(Table1[[#This Row],[WorkLifeBalance]],Table20[WorkLifeBalance],Table20[Deskripsi])</f>
        <v>Better</v>
      </c>
      <c r="BA1415">
        <v>2</v>
      </c>
      <c r="BB1415">
        <v>2</v>
      </c>
      <c r="BC1415">
        <v>0</v>
      </c>
      <c r="BD1415">
        <v>2</v>
      </c>
    </row>
    <row r="1416" spans="1:56" x14ac:dyDescent="0.25">
      <c r="A1416">
        <v>47</v>
      </c>
      <c r="B1416" t="str">
        <f>_xlfn.XLOOKUP(Table1[[#This Row],[Attrition]],Table2[Attrition],Table2[Id_Attrition])</f>
        <v>A002</v>
      </c>
      <c r="C1416" t="s">
        <v>33</v>
      </c>
      <c r="D1416" t="str">
        <f>_xlfn.XLOOKUP(Table1[[#This Row],[BusinessTravel]],Table5[BusinessTravel],Table5[Id_BusinessTravel])</f>
        <v>BS001</v>
      </c>
      <c r="E1416" t="s">
        <v>34</v>
      </c>
      <c r="F1416">
        <v>1180</v>
      </c>
      <c r="G1416" t="str">
        <f>_xlfn.XLOOKUP(Table1[[#This Row],[Department]],Table6[Department],Table6[Id_Departement])</f>
        <v>D002</v>
      </c>
      <c r="H1416" t="s">
        <v>38</v>
      </c>
      <c r="I1416">
        <v>25</v>
      </c>
      <c r="J1416" t="str">
        <f>_xlfn.XLOOKUP(Table1[[#This Row],[Education]],Table8[Education],Table8[Id_Education])</f>
        <v>E003</v>
      </c>
      <c r="K1416">
        <v>3</v>
      </c>
      <c r="L1416" t="str">
        <f>_xlfn.XLOOKUP(Table1[[#This Row],[EducationField]],Table7[EducationField],Table7[Id_EducationField])</f>
        <v>EF003</v>
      </c>
      <c r="M1416" t="s">
        <v>42</v>
      </c>
      <c r="N1416" t="str">
        <f>_xlfn.XLOOKUP(Table1[[#This Row],[EmployeeNumber]],Table4[EmployeeNumber],Table4[Id_Employee])</f>
        <v>EMP01415</v>
      </c>
      <c r="O1416">
        <v>1993</v>
      </c>
      <c r="P1416" t="str">
        <f>_xlfn.XLOOKUP(Table1[[#This Row],[EnvironmentSatisfaction]],Table9[EnvironmentSatisfaction],Table9[Id_EnviromentSatisfaction])</f>
        <v>ES001</v>
      </c>
      <c r="Q1416">
        <v>1</v>
      </c>
      <c r="R1416" t="str">
        <f>_xlfn.XLOOKUP(Table1[[#This Row],[EnvironmentSatisfaction]],Table9[EnvironmentSatisfaction],Table9[Deskripsi])</f>
        <v>Low</v>
      </c>
      <c r="S1416" t="str">
        <f>_xlfn.XLOOKUP(Table1[[#This Row],[Gender]],Table10[Gender],Table10[Id_Gender])</f>
        <v>G002</v>
      </c>
      <c r="T1416" t="s">
        <v>46</v>
      </c>
      <c r="U1416">
        <v>84</v>
      </c>
      <c r="V1416" t="str">
        <f>_xlfn.XLOOKUP(Table1[[#This Row],[JobInvolvement]],Table11[JobInvolvement],Table11[Id_JobInvolvement])</f>
        <v>JI003</v>
      </c>
      <c r="W1416">
        <v>3</v>
      </c>
      <c r="X1416" t="str">
        <f>_xlfn.XLOOKUP(Table1[[#This Row],[JobLevel]],Table12[JobLevel],Table12[Id_JobLevel])</f>
        <v>JL003</v>
      </c>
      <c r="Y1416">
        <v>3</v>
      </c>
      <c r="Z1416" t="str">
        <f>_xlfn.XLOOKUP(Table1[[#This Row],[JobRole]],Table13[JobRole],Table13[Id_JobRole])</f>
        <v>JR005</v>
      </c>
      <c r="AA1416" t="s">
        <v>51</v>
      </c>
      <c r="AB1416" t="str">
        <f>_xlfn.XLOOKUP(Table1[[#This Row],[JobSatisfaction]],Table14[JobSatisfaction],Table14[Id_JobSatisfaction])</f>
        <v>JS003</v>
      </c>
      <c r="AC1416">
        <v>3</v>
      </c>
      <c r="AD1416" t="str">
        <f>_xlfn.XLOOKUP(Table1[[#This Row],[JobSatisfaction]],Table14[JobSatisfaction],Table14[Deskripsi])</f>
        <v>High</v>
      </c>
      <c r="AE1416" t="str">
        <f>_xlfn.XLOOKUP(Table1[[#This Row],[MaritalStatus]],Table15[MaritalStatus],Table15[Id_MaritalStatus])</f>
        <v>MS001</v>
      </c>
      <c r="AF1416" t="s">
        <v>55</v>
      </c>
      <c r="AG1416">
        <v>8633</v>
      </c>
      <c r="AH1416">
        <v>13084</v>
      </c>
      <c r="AI1416">
        <v>2</v>
      </c>
      <c r="AJ1416" t="str">
        <f>_xlfn.XLOOKUP(Table1[[#This Row],[OverTime]],Table16[OverTime],Table16[Id_OverTime])</f>
        <v>OT002</v>
      </c>
      <c r="AK1416" t="s">
        <v>33</v>
      </c>
      <c r="AL1416">
        <v>23</v>
      </c>
      <c r="AM1416" t="str">
        <f>_xlfn.XLOOKUP(Table1[[#This Row],[PerformanceRating]],Table17[PerformanceRating],Table17[Id_PerformanceRating])</f>
        <v>PR004</v>
      </c>
      <c r="AN1416">
        <v>4</v>
      </c>
      <c r="AO1416" t="str">
        <f>_xlfn.XLOOKUP(Table1[[#This Row],[PerformanceRating]],Table17[PerformanceRating],Table17[Deskripsi])</f>
        <v>Outstanding</v>
      </c>
      <c r="AP1416" t="str">
        <f>_xlfn.XLOOKUP(Table1[[#This Row],[RelationshipSatisfaction]],Table18[RelationshipSatisfaction],Table18[Id_RelationshipSatisfaction])</f>
        <v>RS002</v>
      </c>
      <c r="AQ1416">
        <v>2</v>
      </c>
      <c r="AR1416" t="str">
        <f>_xlfn.XLOOKUP(Table1[[#This Row],[RelationshipSatisfaction]],Table18[RelationshipSatisfaction],Table18[Deskripsi])</f>
        <v>Medium</v>
      </c>
      <c r="AS1416" t="str">
        <f>_xlfn.XLOOKUP(Table1[[#This Row],[StockOptionLevel]],Table19[StockOptionLevel],Table19[Id_StockOptionLevel])</f>
        <v>SOL001</v>
      </c>
      <c r="AT1416">
        <v>0</v>
      </c>
      <c r="AU1416" t="str">
        <f>_xlfn.XLOOKUP(Table1[[#This Row],[StockOptionLevel]],Table19[StockOptionLevel],Table19[Deskripsi])</f>
        <v>Non-Eligible</v>
      </c>
      <c r="AV1416">
        <v>25</v>
      </c>
      <c r="AW1416">
        <v>3</v>
      </c>
      <c r="AX1416" t="str">
        <f>_xlfn.XLOOKUP(Table1[[#This Row],[WorkLifeBalance]],Table20[WorkLifeBalance],Table20[Id_WorkLifeBalance])</f>
        <v>WLB002</v>
      </c>
      <c r="AY1416">
        <v>3</v>
      </c>
      <c r="AZ1416" t="str">
        <f>_xlfn.XLOOKUP(Table1[[#This Row],[WorkLifeBalance]],Table20[WorkLifeBalance],Table20[Deskripsi])</f>
        <v>Good</v>
      </c>
      <c r="BA1416">
        <v>17</v>
      </c>
      <c r="BB1416">
        <v>14</v>
      </c>
      <c r="BC1416">
        <v>12</v>
      </c>
      <c r="BD1416">
        <v>11</v>
      </c>
    </row>
    <row r="1417" spans="1:56" x14ac:dyDescent="0.25">
      <c r="A1417">
        <v>33</v>
      </c>
      <c r="B1417" t="str">
        <f>_xlfn.XLOOKUP(Table1[[#This Row],[Attrition]],Table2[Attrition],Table2[Id_Attrition])</f>
        <v>A002</v>
      </c>
      <c r="C1417" t="s">
        <v>33</v>
      </c>
      <c r="D1417" t="str">
        <f>_xlfn.XLOOKUP(Table1[[#This Row],[BusinessTravel]],Table5[BusinessTravel],Table5[Id_BusinessTravel])</f>
        <v>BS003</v>
      </c>
      <c r="E1417" t="s">
        <v>36</v>
      </c>
      <c r="F1417">
        <v>1313</v>
      </c>
      <c r="G1417" t="str">
        <f>_xlfn.XLOOKUP(Table1[[#This Row],[Department]],Table6[Department],Table6[Id_Departement])</f>
        <v>D002</v>
      </c>
      <c r="H1417" t="s">
        <v>38</v>
      </c>
      <c r="I1417">
        <v>1</v>
      </c>
      <c r="J1417" t="str">
        <f>_xlfn.XLOOKUP(Table1[[#This Row],[Education]],Table8[Education],Table8[Id_Education])</f>
        <v>E002</v>
      </c>
      <c r="K1417">
        <v>2</v>
      </c>
      <c r="L1417" t="str">
        <f>_xlfn.XLOOKUP(Table1[[#This Row],[EducationField]],Table7[EducationField],Table7[Id_EducationField])</f>
        <v>EF003</v>
      </c>
      <c r="M1417" t="s">
        <v>42</v>
      </c>
      <c r="N1417" t="str">
        <f>_xlfn.XLOOKUP(Table1[[#This Row],[EmployeeNumber]],Table4[EmployeeNumber],Table4[Id_Employee])</f>
        <v>EMP01416</v>
      </c>
      <c r="O1417">
        <v>1994</v>
      </c>
      <c r="P1417" t="str">
        <f>_xlfn.XLOOKUP(Table1[[#This Row],[EnvironmentSatisfaction]],Table9[EnvironmentSatisfaction],Table9[Id_EnviromentSatisfaction])</f>
        <v>ES002</v>
      </c>
      <c r="Q1417">
        <v>2</v>
      </c>
      <c r="R1417" t="str">
        <f>_xlfn.XLOOKUP(Table1[[#This Row],[EnvironmentSatisfaction]],Table9[EnvironmentSatisfaction],Table9[Deskripsi])</f>
        <v>Medium</v>
      </c>
      <c r="S1417" t="str">
        <f>_xlfn.XLOOKUP(Table1[[#This Row],[Gender]],Table10[Gender],Table10[Id_Gender])</f>
        <v>G002</v>
      </c>
      <c r="T1417" t="s">
        <v>46</v>
      </c>
      <c r="U1417">
        <v>59</v>
      </c>
      <c r="V1417" t="str">
        <f>_xlfn.XLOOKUP(Table1[[#This Row],[JobInvolvement]],Table11[JobInvolvement],Table11[Id_JobInvolvement])</f>
        <v>JI002</v>
      </c>
      <c r="W1417">
        <v>2</v>
      </c>
      <c r="X1417" t="str">
        <f>_xlfn.XLOOKUP(Table1[[#This Row],[JobLevel]],Table12[JobLevel],Table12[Id_JobLevel])</f>
        <v>JL001</v>
      </c>
      <c r="Y1417">
        <v>1</v>
      </c>
      <c r="Z1417" t="str">
        <f>_xlfn.XLOOKUP(Table1[[#This Row],[JobRole]],Table13[JobRole],Table13[Id_JobRole])</f>
        <v>JR003</v>
      </c>
      <c r="AA1417" t="s">
        <v>49</v>
      </c>
      <c r="AB1417" t="str">
        <f>_xlfn.XLOOKUP(Table1[[#This Row],[JobSatisfaction]],Table14[JobSatisfaction],Table14[Id_JobSatisfaction])</f>
        <v>JS003</v>
      </c>
      <c r="AC1417">
        <v>3</v>
      </c>
      <c r="AD1417" t="str">
        <f>_xlfn.XLOOKUP(Table1[[#This Row],[JobSatisfaction]],Table14[JobSatisfaction],Table14[Deskripsi])</f>
        <v>High</v>
      </c>
      <c r="AE1417" t="str">
        <f>_xlfn.XLOOKUP(Table1[[#This Row],[MaritalStatus]],Table15[MaritalStatus],Table15[Id_MaritalStatus])</f>
        <v>MS003</v>
      </c>
      <c r="AF1417" t="s">
        <v>57</v>
      </c>
      <c r="AG1417">
        <v>2008</v>
      </c>
      <c r="AH1417">
        <v>20439</v>
      </c>
      <c r="AI1417">
        <v>1</v>
      </c>
      <c r="AJ1417" t="str">
        <f>_xlfn.XLOOKUP(Table1[[#This Row],[OverTime]],Table16[OverTime],Table16[Id_OverTime])</f>
        <v>OT002</v>
      </c>
      <c r="AK1417" t="s">
        <v>33</v>
      </c>
      <c r="AL1417">
        <v>12</v>
      </c>
      <c r="AM1417" t="str">
        <f>_xlfn.XLOOKUP(Table1[[#This Row],[PerformanceRating]],Table17[PerformanceRating],Table17[Id_PerformanceRating])</f>
        <v>PR003</v>
      </c>
      <c r="AN1417">
        <v>3</v>
      </c>
      <c r="AO1417" t="str">
        <f>_xlfn.XLOOKUP(Table1[[#This Row],[PerformanceRating]],Table17[PerformanceRating],Table17[Deskripsi])</f>
        <v>Excellent</v>
      </c>
      <c r="AP1417" t="str">
        <f>_xlfn.XLOOKUP(Table1[[#This Row],[RelationshipSatisfaction]],Table18[RelationshipSatisfaction],Table18[Id_RelationshipSatisfaction])</f>
        <v>RS003</v>
      </c>
      <c r="AQ1417">
        <v>3</v>
      </c>
      <c r="AR1417" t="str">
        <f>_xlfn.XLOOKUP(Table1[[#This Row],[RelationshipSatisfaction]],Table18[RelationshipSatisfaction],Table18[Deskripsi])</f>
        <v>High</v>
      </c>
      <c r="AS1417" t="str">
        <f>_xlfn.XLOOKUP(Table1[[#This Row],[StockOptionLevel]],Table19[StockOptionLevel],Table19[Id_StockOptionLevel])</f>
        <v>SOL004</v>
      </c>
      <c r="AT1417">
        <v>3</v>
      </c>
      <c r="AU1417" t="str">
        <f>_xlfn.XLOOKUP(Table1[[#This Row],[StockOptionLevel]],Table19[StockOptionLevel],Table19[Deskripsi])</f>
        <v>Senior/Executive</v>
      </c>
      <c r="AV1417">
        <v>1</v>
      </c>
      <c r="AW1417">
        <v>2</v>
      </c>
      <c r="AX1417" t="str">
        <f>_xlfn.XLOOKUP(Table1[[#This Row],[WorkLifeBalance]],Table20[WorkLifeBalance],Table20[Id_WorkLifeBalance])</f>
        <v>WLB003</v>
      </c>
      <c r="AY1417">
        <v>2</v>
      </c>
      <c r="AZ1417" t="str">
        <f>_xlfn.XLOOKUP(Table1[[#This Row],[WorkLifeBalance]],Table20[WorkLifeBalance],Table20[Deskripsi])</f>
        <v>Better</v>
      </c>
      <c r="BA1417">
        <v>1</v>
      </c>
      <c r="BB1417">
        <v>1</v>
      </c>
      <c r="BC1417">
        <v>0</v>
      </c>
      <c r="BD1417">
        <v>0</v>
      </c>
    </row>
    <row r="1418" spans="1:56" x14ac:dyDescent="0.25">
      <c r="A1418">
        <v>38</v>
      </c>
      <c r="B1418" t="str">
        <f>_xlfn.XLOOKUP(Table1[[#This Row],[Attrition]],Table2[Attrition],Table2[Id_Attrition])</f>
        <v>A002</v>
      </c>
      <c r="C1418" t="s">
        <v>33</v>
      </c>
      <c r="D1418" t="str">
        <f>_xlfn.XLOOKUP(Table1[[#This Row],[BusinessTravel]],Table5[BusinessTravel],Table5[Id_BusinessTravel])</f>
        <v>BS001</v>
      </c>
      <c r="E1418" t="s">
        <v>34</v>
      </c>
      <c r="F1418">
        <v>1321</v>
      </c>
      <c r="G1418" t="str">
        <f>_xlfn.XLOOKUP(Table1[[#This Row],[Department]],Table6[Department],Table6[Id_Departement])</f>
        <v>D001</v>
      </c>
      <c r="H1418" t="s">
        <v>37</v>
      </c>
      <c r="I1418">
        <v>1</v>
      </c>
      <c r="J1418" t="str">
        <f>_xlfn.XLOOKUP(Table1[[#This Row],[Education]],Table8[Education],Table8[Id_Education])</f>
        <v>E004</v>
      </c>
      <c r="K1418">
        <v>4</v>
      </c>
      <c r="L1418" t="str">
        <f>_xlfn.XLOOKUP(Table1[[#This Row],[EducationField]],Table7[EducationField],Table7[Id_EducationField])</f>
        <v>EF001</v>
      </c>
      <c r="M1418" t="s">
        <v>40</v>
      </c>
      <c r="N1418" t="str">
        <f>_xlfn.XLOOKUP(Table1[[#This Row],[EmployeeNumber]],Table4[EmployeeNumber],Table4[Id_Employee])</f>
        <v>EMP01417</v>
      </c>
      <c r="O1418">
        <v>1995</v>
      </c>
      <c r="P1418" t="str">
        <f>_xlfn.XLOOKUP(Table1[[#This Row],[EnvironmentSatisfaction]],Table9[EnvironmentSatisfaction],Table9[Id_EnviromentSatisfaction])</f>
        <v>ES004</v>
      </c>
      <c r="Q1418">
        <v>4</v>
      </c>
      <c r="R1418" t="str">
        <f>_xlfn.XLOOKUP(Table1[[#This Row],[EnvironmentSatisfaction]],Table9[EnvironmentSatisfaction],Table9[Deskripsi])</f>
        <v>Very High</v>
      </c>
      <c r="S1418" t="str">
        <f>_xlfn.XLOOKUP(Table1[[#This Row],[Gender]],Table10[Gender],Table10[Id_Gender])</f>
        <v>G002</v>
      </c>
      <c r="T1418" t="s">
        <v>46</v>
      </c>
      <c r="U1418">
        <v>86</v>
      </c>
      <c r="V1418" t="str">
        <f>_xlfn.XLOOKUP(Table1[[#This Row],[JobInvolvement]],Table11[JobInvolvement],Table11[Id_JobInvolvement])</f>
        <v>JI003</v>
      </c>
      <c r="W1418">
        <v>3</v>
      </c>
      <c r="X1418" t="str">
        <f>_xlfn.XLOOKUP(Table1[[#This Row],[JobLevel]],Table12[JobLevel],Table12[Id_JobLevel])</f>
        <v>JL002</v>
      </c>
      <c r="Y1418">
        <v>2</v>
      </c>
      <c r="Z1418" t="str">
        <f>_xlfn.XLOOKUP(Table1[[#This Row],[JobRole]],Table13[JobRole],Table13[Id_JobRole])</f>
        <v>JR001</v>
      </c>
      <c r="AA1418" t="s">
        <v>47</v>
      </c>
      <c r="AB1418" t="str">
        <f>_xlfn.XLOOKUP(Table1[[#This Row],[JobSatisfaction]],Table14[JobSatisfaction],Table14[Id_JobSatisfaction])</f>
        <v>JS002</v>
      </c>
      <c r="AC1418">
        <v>2</v>
      </c>
      <c r="AD1418" t="str">
        <f>_xlfn.XLOOKUP(Table1[[#This Row],[JobSatisfaction]],Table14[JobSatisfaction],Table14[Deskripsi])</f>
        <v>Medium</v>
      </c>
      <c r="AE1418" t="str">
        <f>_xlfn.XLOOKUP(Table1[[#This Row],[MaritalStatus]],Table15[MaritalStatus],Table15[Id_MaritalStatus])</f>
        <v>MS002</v>
      </c>
      <c r="AF1418" t="s">
        <v>56</v>
      </c>
      <c r="AG1418">
        <v>4440</v>
      </c>
      <c r="AH1418">
        <v>7636</v>
      </c>
      <c r="AI1418">
        <v>0</v>
      </c>
      <c r="AJ1418" t="str">
        <f>_xlfn.XLOOKUP(Table1[[#This Row],[OverTime]],Table16[OverTime],Table16[Id_OverTime])</f>
        <v>OT002</v>
      </c>
      <c r="AK1418" t="s">
        <v>33</v>
      </c>
      <c r="AL1418">
        <v>15</v>
      </c>
      <c r="AM1418" t="str">
        <f>_xlfn.XLOOKUP(Table1[[#This Row],[PerformanceRating]],Table17[PerformanceRating],Table17[Id_PerformanceRating])</f>
        <v>PR003</v>
      </c>
      <c r="AN1418">
        <v>3</v>
      </c>
      <c r="AO1418" t="str">
        <f>_xlfn.XLOOKUP(Table1[[#This Row],[PerformanceRating]],Table17[PerformanceRating],Table17[Deskripsi])</f>
        <v>Excellent</v>
      </c>
      <c r="AP1418" t="str">
        <f>_xlfn.XLOOKUP(Table1[[#This Row],[RelationshipSatisfaction]],Table18[RelationshipSatisfaction],Table18[Id_RelationshipSatisfaction])</f>
        <v>RS001</v>
      </c>
      <c r="AQ1418">
        <v>1</v>
      </c>
      <c r="AR1418" t="str">
        <f>_xlfn.XLOOKUP(Table1[[#This Row],[RelationshipSatisfaction]],Table18[RelationshipSatisfaction],Table18[Deskripsi])</f>
        <v>Low</v>
      </c>
      <c r="AS1418" t="str">
        <f>_xlfn.XLOOKUP(Table1[[#This Row],[StockOptionLevel]],Table19[StockOptionLevel],Table19[Id_StockOptionLevel])</f>
        <v>SOL003</v>
      </c>
      <c r="AT1418">
        <v>2</v>
      </c>
      <c r="AU1418" t="str">
        <f>_xlfn.XLOOKUP(Table1[[#This Row],[StockOptionLevel]],Table19[StockOptionLevel],Table19[Deskripsi])</f>
        <v>Intermediate</v>
      </c>
      <c r="AV1418">
        <v>16</v>
      </c>
      <c r="AW1418">
        <v>3</v>
      </c>
      <c r="AX1418" t="str">
        <f>_xlfn.XLOOKUP(Table1[[#This Row],[WorkLifeBalance]],Table20[WorkLifeBalance],Table20[Id_WorkLifeBalance])</f>
        <v>WLB002</v>
      </c>
      <c r="AY1418">
        <v>3</v>
      </c>
      <c r="AZ1418" t="str">
        <f>_xlfn.XLOOKUP(Table1[[#This Row],[WorkLifeBalance]],Table20[WorkLifeBalance],Table20[Deskripsi])</f>
        <v>Good</v>
      </c>
      <c r="BA1418">
        <v>15</v>
      </c>
      <c r="BB1418">
        <v>13</v>
      </c>
      <c r="BC1418">
        <v>5</v>
      </c>
      <c r="BD1418">
        <v>8</v>
      </c>
    </row>
    <row r="1419" spans="1:56" x14ac:dyDescent="0.25">
      <c r="A1419">
        <v>31</v>
      </c>
      <c r="B1419" t="str">
        <f>_xlfn.XLOOKUP(Table1[[#This Row],[Attrition]],Table2[Attrition],Table2[Id_Attrition])</f>
        <v>A002</v>
      </c>
      <c r="C1419" t="s">
        <v>33</v>
      </c>
      <c r="D1419" t="str">
        <f>_xlfn.XLOOKUP(Table1[[#This Row],[BusinessTravel]],Table5[BusinessTravel],Table5[Id_BusinessTravel])</f>
        <v>BS001</v>
      </c>
      <c r="E1419" t="s">
        <v>34</v>
      </c>
      <c r="F1419">
        <v>1154</v>
      </c>
      <c r="G1419" t="str">
        <f>_xlfn.XLOOKUP(Table1[[#This Row],[Department]],Table6[Department],Table6[Id_Departement])</f>
        <v>D001</v>
      </c>
      <c r="H1419" t="s">
        <v>37</v>
      </c>
      <c r="I1419">
        <v>2</v>
      </c>
      <c r="J1419" t="str">
        <f>_xlfn.XLOOKUP(Table1[[#This Row],[Education]],Table8[Education],Table8[Id_Education])</f>
        <v>E002</v>
      </c>
      <c r="K1419">
        <v>2</v>
      </c>
      <c r="L1419" t="str">
        <f>_xlfn.XLOOKUP(Table1[[#This Row],[EducationField]],Table7[EducationField],Table7[Id_EducationField])</f>
        <v>EF001</v>
      </c>
      <c r="M1419" t="s">
        <v>40</v>
      </c>
      <c r="N1419" t="str">
        <f>_xlfn.XLOOKUP(Table1[[#This Row],[EmployeeNumber]],Table4[EmployeeNumber],Table4[Id_Employee])</f>
        <v>EMP01418</v>
      </c>
      <c r="O1419">
        <v>1996</v>
      </c>
      <c r="P1419" t="str">
        <f>_xlfn.XLOOKUP(Table1[[#This Row],[EnvironmentSatisfaction]],Table9[EnvironmentSatisfaction],Table9[Id_EnviromentSatisfaction])</f>
        <v>ES001</v>
      </c>
      <c r="Q1419">
        <v>1</v>
      </c>
      <c r="R1419" t="str">
        <f>_xlfn.XLOOKUP(Table1[[#This Row],[EnvironmentSatisfaction]],Table9[EnvironmentSatisfaction],Table9[Deskripsi])</f>
        <v>Low</v>
      </c>
      <c r="S1419" t="str">
        <f>_xlfn.XLOOKUP(Table1[[#This Row],[Gender]],Table10[Gender],Table10[Id_Gender])</f>
        <v>G002</v>
      </c>
      <c r="T1419" t="s">
        <v>46</v>
      </c>
      <c r="U1419">
        <v>54</v>
      </c>
      <c r="V1419" t="str">
        <f>_xlfn.XLOOKUP(Table1[[#This Row],[JobInvolvement]],Table11[JobInvolvement],Table11[Id_JobInvolvement])</f>
        <v>JI003</v>
      </c>
      <c r="W1419">
        <v>3</v>
      </c>
      <c r="X1419" t="str">
        <f>_xlfn.XLOOKUP(Table1[[#This Row],[JobLevel]],Table12[JobLevel],Table12[Id_JobLevel])</f>
        <v>JL001</v>
      </c>
      <c r="Y1419">
        <v>1</v>
      </c>
      <c r="Z1419" t="str">
        <f>_xlfn.XLOOKUP(Table1[[#This Row],[JobRole]],Table13[JobRole],Table13[Id_JobRole])</f>
        <v>JR007</v>
      </c>
      <c r="AA1419" t="s">
        <v>53</v>
      </c>
      <c r="AB1419" t="str">
        <f>_xlfn.XLOOKUP(Table1[[#This Row],[JobSatisfaction]],Table14[JobSatisfaction],Table14[Id_JobSatisfaction])</f>
        <v>JS003</v>
      </c>
      <c r="AC1419">
        <v>3</v>
      </c>
      <c r="AD1419" t="str">
        <f>_xlfn.XLOOKUP(Table1[[#This Row],[JobSatisfaction]],Table14[JobSatisfaction],Table14[Deskripsi])</f>
        <v>High</v>
      </c>
      <c r="AE1419" t="str">
        <f>_xlfn.XLOOKUP(Table1[[#This Row],[MaritalStatus]],Table15[MaritalStatus],Table15[Id_MaritalStatus])</f>
        <v>MS002</v>
      </c>
      <c r="AF1419" t="s">
        <v>56</v>
      </c>
      <c r="AG1419">
        <v>3067</v>
      </c>
      <c r="AH1419">
        <v>6393</v>
      </c>
      <c r="AI1419">
        <v>0</v>
      </c>
      <c r="AJ1419" t="str">
        <f>_xlfn.XLOOKUP(Table1[[#This Row],[OverTime]],Table16[OverTime],Table16[Id_OverTime])</f>
        <v>OT002</v>
      </c>
      <c r="AK1419" t="s">
        <v>33</v>
      </c>
      <c r="AL1419">
        <v>19</v>
      </c>
      <c r="AM1419" t="str">
        <f>_xlfn.XLOOKUP(Table1[[#This Row],[PerformanceRating]],Table17[PerformanceRating],Table17[Id_PerformanceRating])</f>
        <v>PR003</v>
      </c>
      <c r="AN1419">
        <v>3</v>
      </c>
      <c r="AO1419" t="str">
        <f>_xlfn.XLOOKUP(Table1[[#This Row],[PerformanceRating]],Table17[PerformanceRating],Table17[Deskripsi])</f>
        <v>Excellent</v>
      </c>
      <c r="AP1419" t="str">
        <f>_xlfn.XLOOKUP(Table1[[#This Row],[RelationshipSatisfaction]],Table18[RelationshipSatisfaction],Table18[Id_RelationshipSatisfaction])</f>
        <v>RS003</v>
      </c>
      <c r="AQ1419">
        <v>3</v>
      </c>
      <c r="AR1419" t="str">
        <f>_xlfn.XLOOKUP(Table1[[#This Row],[RelationshipSatisfaction]],Table18[RelationshipSatisfaction],Table18[Deskripsi])</f>
        <v>High</v>
      </c>
      <c r="AS1419" t="str">
        <f>_xlfn.XLOOKUP(Table1[[#This Row],[StockOptionLevel]],Table19[StockOptionLevel],Table19[Id_StockOptionLevel])</f>
        <v>SOL002</v>
      </c>
      <c r="AT1419">
        <v>1</v>
      </c>
      <c r="AU1419" t="str">
        <f>_xlfn.XLOOKUP(Table1[[#This Row],[StockOptionLevel]],Table19[StockOptionLevel],Table19[Deskripsi])</f>
        <v>Standard</v>
      </c>
      <c r="AV1419">
        <v>3</v>
      </c>
      <c r="AW1419">
        <v>1</v>
      </c>
      <c r="AX1419" t="str">
        <f>_xlfn.XLOOKUP(Table1[[#This Row],[WorkLifeBalance]],Table20[WorkLifeBalance],Table20[Id_WorkLifeBalance])</f>
        <v>WLB002</v>
      </c>
      <c r="AY1419">
        <v>3</v>
      </c>
      <c r="AZ1419" t="str">
        <f>_xlfn.XLOOKUP(Table1[[#This Row],[WorkLifeBalance]],Table20[WorkLifeBalance],Table20[Deskripsi])</f>
        <v>Good</v>
      </c>
      <c r="BA1419">
        <v>2</v>
      </c>
      <c r="BB1419">
        <v>2</v>
      </c>
      <c r="BC1419">
        <v>1</v>
      </c>
      <c r="BD1419">
        <v>2</v>
      </c>
    </row>
    <row r="1420" spans="1:56" x14ac:dyDescent="0.25">
      <c r="A1420">
        <v>38</v>
      </c>
      <c r="B1420" t="str">
        <f>_xlfn.XLOOKUP(Table1[[#This Row],[Attrition]],Table2[Attrition],Table2[Id_Attrition])</f>
        <v>A002</v>
      </c>
      <c r="C1420" t="s">
        <v>33</v>
      </c>
      <c r="D1420" t="str">
        <f>_xlfn.XLOOKUP(Table1[[#This Row],[BusinessTravel]],Table5[BusinessTravel],Table5[Id_BusinessTravel])</f>
        <v>BS002</v>
      </c>
      <c r="E1420" t="s">
        <v>35</v>
      </c>
      <c r="F1420">
        <v>508</v>
      </c>
      <c r="G1420" t="str">
        <f>_xlfn.XLOOKUP(Table1[[#This Row],[Department]],Table6[Department],Table6[Id_Departement])</f>
        <v>D002</v>
      </c>
      <c r="H1420" t="s">
        <v>38</v>
      </c>
      <c r="I1420">
        <v>6</v>
      </c>
      <c r="J1420" t="str">
        <f>_xlfn.XLOOKUP(Table1[[#This Row],[Education]],Table8[Education],Table8[Id_Education])</f>
        <v>E004</v>
      </c>
      <c r="K1420">
        <v>4</v>
      </c>
      <c r="L1420" t="str">
        <f>_xlfn.XLOOKUP(Table1[[#This Row],[EducationField]],Table7[EducationField],Table7[Id_EducationField])</f>
        <v>EF001</v>
      </c>
      <c r="M1420" t="s">
        <v>40</v>
      </c>
      <c r="N1420" t="str">
        <f>_xlfn.XLOOKUP(Table1[[#This Row],[EmployeeNumber]],Table4[EmployeeNumber],Table4[Id_Employee])</f>
        <v>EMP01419</v>
      </c>
      <c r="O1420">
        <v>1997</v>
      </c>
      <c r="P1420" t="str">
        <f>_xlfn.XLOOKUP(Table1[[#This Row],[EnvironmentSatisfaction]],Table9[EnvironmentSatisfaction],Table9[Id_EnviromentSatisfaction])</f>
        <v>ES001</v>
      </c>
      <c r="Q1420">
        <v>1</v>
      </c>
      <c r="R1420" t="str">
        <f>_xlfn.XLOOKUP(Table1[[#This Row],[EnvironmentSatisfaction]],Table9[EnvironmentSatisfaction],Table9[Deskripsi])</f>
        <v>Low</v>
      </c>
      <c r="S1420" t="str">
        <f>_xlfn.XLOOKUP(Table1[[#This Row],[Gender]],Table10[Gender],Table10[Id_Gender])</f>
        <v>G002</v>
      </c>
      <c r="T1420" t="s">
        <v>46</v>
      </c>
      <c r="U1420">
        <v>72</v>
      </c>
      <c r="V1420" t="str">
        <f>_xlfn.XLOOKUP(Table1[[#This Row],[JobInvolvement]],Table11[JobInvolvement],Table11[Id_JobInvolvement])</f>
        <v>JI002</v>
      </c>
      <c r="W1420">
        <v>2</v>
      </c>
      <c r="X1420" t="str">
        <f>_xlfn.XLOOKUP(Table1[[#This Row],[JobLevel]],Table12[JobLevel],Table12[Id_JobLevel])</f>
        <v>JL002</v>
      </c>
      <c r="Y1420">
        <v>2</v>
      </c>
      <c r="Z1420" t="str">
        <f>_xlfn.XLOOKUP(Table1[[#This Row],[JobRole]],Table13[JobRole],Table13[Id_JobRole])</f>
        <v>JR004</v>
      </c>
      <c r="AA1420" t="s">
        <v>50</v>
      </c>
      <c r="AB1420" t="str">
        <f>_xlfn.XLOOKUP(Table1[[#This Row],[JobSatisfaction]],Table14[JobSatisfaction],Table14[Id_JobSatisfaction])</f>
        <v>JS003</v>
      </c>
      <c r="AC1420">
        <v>3</v>
      </c>
      <c r="AD1420" t="str">
        <f>_xlfn.XLOOKUP(Table1[[#This Row],[JobSatisfaction]],Table14[JobSatisfaction],Table14[Deskripsi])</f>
        <v>High</v>
      </c>
      <c r="AE1420" t="str">
        <f>_xlfn.XLOOKUP(Table1[[#This Row],[MaritalStatus]],Table15[MaritalStatus],Table15[Id_MaritalStatus])</f>
        <v>MS002</v>
      </c>
      <c r="AF1420" t="s">
        <v>56</v>
      </c>
      <c r="AG1420">
        <v>5321</v>
      </c>
      <c r="AH1420">
        <v>14284</v>
      </c>
      <c r="AI1420">
        <v>2</v>
      </c>
      <c r="AJ1420" t="str">
        <f>_xlfn.XLOOKUP(Table1[[#This Row],[OverTime]],Table16[OverTime],Table16[Id_OverTime])</f>
        <v>OT002</v>
      </c>
      <c r="AK1420" t="s">
        <v>33</v>
      </c>
      <c r="AL1420">
        <v>11</v>
      </c>
      <c r="AM1420" t="str">
        <f>_xlfn.XLOOKUP(Table1[[#This Row],[PerformanceRating]],Table17[PerformanceRating],Table17[Id_PerformanceRating])</f>
        <v>PR003</v>
      </c>
      <c r="AN1420">
        <v>3</v>
      </c>
      <c r="AO1420" t="str">
        <f>_xlfn.XLOOKUP(Table1[[#This Row],[PerformanceRating]],Table17[PerformanceRating],Table17[Deskripsi])</f>
        <v>Excellent</v>
      </c>
      <c r="AP1420" t="str">
        <f>_xlfn.XLOOKUP(Table1[[#This Row],[RelationshipSatisfaction]],Table18[RelationshipSatisfaction],Table18[Id_RelationshipSatisfaction])</f>
        <v>RS004</v>
      </c>
      <c r="AQ1420">
        <v>4</v>
      </c>
      <c r="AR1420" t="str">
        <f>_xlfn.XLOOKUP(Table1[[#This Row],[RelationshipSatisfaction]],Table18[RelationshipSatisfaction],Table18[Deskripsi])</f>
        <v>Very High</v>
      </c>
      <c r="AS1420" t="str">
        <f>_xlfn.XLOOKUP(Table1[[#This Row],[StockOptionLevel]],Table19[StockOptionLevel],Table19[Id_StockOptionLevel])</f>
        <v>SOL002</v>
      </c>
      <c r="AT1420">
        <v>1</v>
      </c>
      <c r="AU1420" t="str">
        <f>_xlfn.XLOOKUP(Table1[[#This Row],[StockOptionLevel]],Table19[StockOptionLevel],Table19[Deskripsi])</f>
        <v>Standard</v>
      </c>
      <c r="AV1420">
        <v>10</v>
      </c>
      <c r="AW1420">
        <v>1</v>
      </c>
      <c r="AX1420" t="str">
        <f>_xlfn.XLOOKUP(Table1[[#This Row],[WorkLifeBalance]],Table20[WorkLifeBalance],Table20[Id_WorkLifeBalance])</f>
        <v>WLB002</v>
      </c>
      <c r="AY1420">
        <v>3</v>
      </c>
      <c r="AZ1420" t="str">
        <f>_xlfn.XLOOKUP(Table1[[#This Row],[WorkLifeBalance]],Table20[WorkLifeBalance],Table20[Deskripsi])</f>
        <v>Good</v>
      </c>
      <c r="BA1420">
        <v>8</v>
      </c>
      <c r="BB1420">
        <v>3</v>
      </c>
      <c r="BC1420">
        <v>7</v>
      </c>
      <c r="BD1420">
        <v>7</v>
      </c>
    </row>
    <row r="1421" spans="1:56" x14ac:dyDescent="0.25">
      <c r="A1421">
        <v>42</v>
      </c>
      <c r="B1421" t="str">
        <f>_xlfn.XLOOKUP(Table1[[#This Row],[Attrition]],Table2[Attrition],Table2[Id_Attrition])</f>
        <v>A002</v>
      </c>
      <c r="C1421" t="s">
        <v>33</v>
      </c>
      <c r="D1421" t="str">
        <f>_xlfn.XLOOKUP(Table1[[#This Row],[BusinessTravel]],Table5[BusinessTravel],Table5[Id_BusinessTravel])</f>
        <v>BS001</v>
      </c>
      <c r="E1421" t="s">
        <v>34</v>
      </c>
      <c r="F1421">
        <v>557</v>
      </c>
      <c r="G1421" t="str">
        <f>_xlfn.XLOOKUP(Table1[[#This Row],[Department]],Table6[Department],Table6[Id_Departement])</f>
        <v>D002</v>
      </c>
      <c r="H1421" t="s">
        <v>38</v>
      </c>
      <c r="I1421">
        <v>18</v>
      </c>
      <c r="J1421" t="str">
        <f>_xlfn.XLOOKUP(Table1[[#This Row],[Education]],Table8[Education],Table8[Id_Education])</f>
        <v>E004</v>
      </c>
      <c r="K1421">
        <v>4</v>
      </c>
      <c r="L1421" t="str">
        <f>_xlfn.XLOOKUP(Table1[[#This Row],[EducationField]],Table7[EducationField],Table7[Id_EducationField])</f>
        <v>EF001</v>
      </c>
      <c r="M1421" t="s">
        <v>40</v>
      </c>
      <c r="N1421" t="str">
        <f>_xlfn.XLOOKUP(Table1[[#This Row],[EmployeeNumber]],Table4[EmployeeNumber],Table4[Id_Employee])</f>
        <v>EMP01420</v>
      </c>
      <c r="O1421">
        <v>1998</v>
      </c>
      <c r="P1421" t="str">
        <f>_xlfn.XLOOKUP(Table1[[#This Row],[EnvironmentSatisfaction]],Table9[EnvironmentSatisfaction],Table9[Id_EnviromentSatisfaction])</f>
        <v>ES004</v>
      </c>
      <c r="Q1421">
        <v>4</v>
      </c>
      <c r="R1421" t="str">
        <f>_xlfn.XLOOKUP(Table1[[#This Row],[EnvironmentSatisfaction]],Table9[EnvironmentSatisfaction],Table9[Deskripsi])</f>
        <v>Very High</v>
      </c>
      <c r="S1421" t="str">
        <f>_xlfn.XLOOKUP(Table1[[#This Row],[Gender]],Table10[Gender],Table10[Id_Gender])</f>
        <v>G002</v>
      </c>
      <c r="T1421" t="s">
        <v>46</v>
      </c>
      <c r="U1421">
        <v>35</v>
      </c>
      <c r="V1421" t="str">
        <f>_xlfn.XLOOKUP(Table1[[#This Row],[JobInvolvement]],Table11[JobInvolvement],Table11[Id_JobInvolvement])</f>
        <v>JI003</v>
      </c>
      <c r="W1421">
        <v>3</v>
      </c>
      <c r="X1421" t="str">
        <f>_xlfn.XLOOKUP(Table1[[#This Row],[JobLevel]],Table12[JobLevel],Table12[Id_JobLevel])</f>
        <v>JL002</v>
      </c>
      <c r="Y1421">
        <v>2</v>
      </c>
      <c r="Z1421" t="str">
        <f>_xlfn.XLOOKUP(Table1[[#This Row],[JobRole]],Table13[JobRole],Table13[Id_JobRole])</f>
        <v>JR002</v>
      </c>
      <c r="AA1421" t="s">
        <v>48</v>
      </c>
      <c r="AB1421" t="str">
        <f>_xlfn.XLOOKUP(Table1[[#This Row],[JobSatisfaction]],Table14[JobSatisfaction],Table14[Id_JobSatisfaction])</f>
        <v>JS001</v>
      </c>
      <c r="AC1421">
        <v>1</v>
      </c>
      <c r="AD1421" t="str">
        <f>_xlfn.XLOOKUP(Table1[[#This Row],[JobSatisfaction]],Table14[JobSatisfaction],Table14[Deskripsi])</f>
        <v>Low</v>
      </c>
      <c r="AE1421" t="str">
        <f>_xlfn.XLOOKUP(Table1[[#This Row],[MaritalStatus]],Table15[MaritalStatus],Table15[Id_MaritalStatus])</f>
        <v>MS003</v>
      </c>
      <c r="AF1421" t="s">
        <v>57</v>
      </c>
      <c r="AG1421">
        <v>5410</v>
      </c>
      <c r="AH1421">
        <v>11189</v>
      </c>
      <c r="AI1421">
        <v>6</v>
      </c>
      <c r="AJ1421" t="str">
        <f>_xlfn.XLOOKUP(Table1[[#This Row],[OverTime]],Table16[OverTime],Table16[Id_OverTime])</f>
        <v>OT001</v>
      </c>
      <c r="AK1421" t="s">
        <v>32</v>
      </c>
      <c r="AL1421">
        <v>17</v>
      </c>
      <c r="AM1421" t="str">
        <f>_xlfn.XLOOKUP(Table1[[#This Row],[PerformanceRating]],Table17[PerformanceRating],Table17[Id_PerformanceRating])</f>
        <v>PR003</v>
      </c>
      <c r="AN1421">
        <v>3</v>
      </c>
      <c r="AO1421" t="str">
        <f>_xlfn.XLOOKUP(Table1[[#This Row],[PerformanceRating]],Table17[PerformanceRating],Table17[Deskripsi])</f>
        <v>Excellent</v>
      </c>
      <c r="AP1421" t="str">
        <f>_xlfn.XLOOKUP(Table1[[#This Row],[RelationshipSatisfaction]],Table18[RelationshipSatisfaction],Table18[Id_RelationshipSatisfaction])</f>
        <v>RS003</v>
      </c>
      <c r="AQ1421">
        <v>3</v>
      </c>
      <c r="AR1421" t="str">
        <f>_xlfn.XLOOKUP(Table1[[#This Row],[RelationshipSatisfaction]],Table18[RelationshipSatisfaction],Table18[Deskripsi])</f>
        <v>High</v>
      </c>
      <c r="AS1421" t="str">
        <f>_xlfn.XLOOKUP(Table1[[#This Row],[StockOptionLevel]],Table19[StockOptionLevel],Table19[Id_StockOptionLevel])</f>
        <v>SOL002</v>
      </c>
      <c r="AT1421">
        <v>1</v>
      </c>
      <c r="AU1421" t="str">
        <f>_xlfn.XLOOKUP(Table1[[#This Row],[StockOptionLevel]],Table19[StockOptionLevel],Table19[Deskripsi])</f>
        <v>Standard</v>
      </c>
      <c r="AV1421">
        <v>9</v>
      </c>
      <c r="AW1421">
        <v>3</v>
      </c>
      <c r="AX1421" t="str">
        <f>_xlfn.XLOOKUP(Table1[[#This Row],[WorkLifeBalance]],Table20[WorkLifeBalance],Table20[Id_WorkLifeBalance])</f>
        <v>WLB003</v>
      </c>
      <c r="AY1421">
        <v>2</v>
      </c>
      <c r="AZ1421" t="str">
        <f>_xlfn.XLOOKUP(Table1[[#This Row],[WorkLifeBalance]],Table20[WorkLifeBalance],Table20[Deskripsi])</f>
        <v>Better</v>
      </c>
      <c r="BA1421">
        <v>4</v>
      </c>
      <c r="BB1421">
        <v>3</v>
      </c>
      <c r="BC1421">
        <v>1</v>
      </c>
      <c r="BD1421">
        <v>2</v>
      </c>
    </row>
    <row r="1422" spans="1:56" x14ac:dyDescent="0.25">
      <c r="A1422">
        <v>41</v>
      </c>
      <c r="B1422" t="str">
        <f>_xlfn.XLOOKUP(Table1[[#This Row],[Attrition]],Table2[Attrition],Table2[Id_Attrition])</f>
        <v>A002</v>
      </c>
      <c r="C1422" t="s">
        <v>33</v>
      </c>
      <c r="D1422" t="str">
        <f>_xlfn.XLOOKUP(Table1[[#This Row],[BusinessTravel]],Table5[BusinessTravel],Table5[Id_BusinessTravel])</f>
        <v>BS001</v>
      </c>
      <c r="E1422" t="s">
        <v>34</v>
      </c>
      <c r="F1422">
        <v>642</v>
      </c>
      <c r="G1422" t="str">
        <f>_xlfn.XLOOKUP(Table1[[#This Row],[Department]],Table6[Department],Table6[Id_Departement])</f>
        <v>D002</v>
      </c>
      <c r="H1422" t="s">
        <v>38</v>
      </c>
      <c r="I1422">
        <v>1</v>
      </c>
      <c r="J1422" t="str">
        <f>_xlfn.XLOOKUP(Table1[[#This Row],[Education]],Table8[Education],Table8[Id_Education])</f>
        <v>E003</v>
      </c>
      <c r="K1422">
        <v>3</v>
      </c>
      <c r="L1422" t="str">
        <f>_xlfn.XLOOKUP(Table1[[#This Row],[EducationField]],Table7[EducationField],Table7[Id_EducationField])</f>
        <v>EF001</v>
      </c>
      <c r="M1422" t="s">
        <v>40</v>
      </c>
      <c r="N1422" t="str">
        <f>_xlfn.XLOOKUP(Table1[[#This Row],[EmployeeNumber]],Table4[EmployeeNumber],Table4[Id_Employee])</f>
        <v>EMP01421</v>
      </c>
      <c r="O1422">
        <v>1999</v>
      </c>
      <c r="P1422" t="str">
        <f>_xlfn.XLOOKUP(Table1[[#This Row],[EnvironmentSatisfaction]],Table9[EnvironmentSatisfaction],Table9[Id_EnviromentSatisfaction])</f>
        <v>ES004</v>
      </c>
      <c r="Q1422">
        <v>4</v>
      </c>
      <c r="R1422" t="str">
        <f>_xlfn.XLOOKUP(Table1[[#This Row],[EnvironmentSatisfaction]],Table9[EnvironmentSatisfaction],Table9[Deskripsi])</f>
        <v>Very High</v>
      </c>
      <c r="S1422" t="str">
        <f>_xlfn.XLOOKUP(Table1[[#This Row],[Gender]],Table10[Gender],Table10[Id_Gender])</f>
        <v>G002</v>
      </c>
      <c r="T1422" t="s">
        <v>46</v>
      </c>
      <c r="U1422">
        <v>76</v>
      </c>
      <c r="V1422" t="str">
        <f>_xlfn.XLOOKUP(Table1[[#This Row],[JobInvolvement]],Table11[JobInvolvement],Table11[Id_JobInvolvement])</f>
        <v>JI003</v>
      </c>
      <c r="W1422">
        <v>3</v>
      </c>
      <c r="X1422" t="str">
        <f>_xlfn.XLOOKUP(Table1[[#This Row],[JobLevel]],Table12[JobLevel],Table12[Id_JobLevel])</f>
        <v>JL001</v>
      </c>
      <c r="Y1422">
        <v>1</v>
      </c>
      <c r="Z1422" t="str">
        <f>_xlfn.XLOOKUP(Table1[[#This Row],[JobRole]],Table13[JobRole],Table13[Id_JobRole])</f>
        <v>JR002</v>
      </c>
      <c r="AA1422" t="s">
        <v>48</v>
      </c>
      <c r="AB1422" t="str">
        <f>_xlfn.XLOOKUP(Table1[[#This Row],[JobSatisfaction]],Table14[JobSatisfaction],Table14[Id_JobSatisfaction])</f>
        <v>JS004</v>
      </c>
      <c r="AC1422">
        <v>4</v>
      </c>
      <c r="AD1422" t="str">
        <f>_xlfn.XLOOKUP(Table1[[#This Row],[JobSatisfaction]],Table14[JobSatisfaction],Table14[Deskripsi])</f>
        <v>Very High</v>
      </c>
      <c r="AE1422" t="str">
        <f>_xlfn.XLOOKUP(Table1[[#This Row],[MaritalStatus]],Table15[MaritalStatus],Table15[Id_MaritalStatus])</f>
        <v>MS002</v>
      </c>
      <c r="AF1422" t="s">
        <v>56</v>
      </c>
      <c r="AG1422">
        <v>2782</v>
      </c>
      <c r="AH1422">
        <v>21412</v>
      </c>
      <c r="AI1422">
        <v>3</v>
      </c>
      <c r="AJ1422" t="str">
        <f>_xlfn.XLOOKUP(Table1[[#This Row],[OverTime]],Table16[OverTime],Table16[Id_OverTime])</f>
        <v>OT002</v>
      </c>
      <c r="AK1422" t="s">
        <v>33</v>
      </c>
      <c r="AL1422">
        <v>22</v>
      </c>
      <c r="AM1422" t="str">
        <f>_xlfn.XLOOKUP(Table1[[#This Row],[PerformanceRating]],Table17[PerformanceRating],Table17[Id_PerformanceRating])</f>
        <v>PR004</v>
      </c>
      <c r="AN1422">
        <v>4</v>
      </c>
      <c r="AO1422" t="str">
        <f>_xlfn.XLOOKUP(Table1[[#This Row],[PerformanceRating]],Table17[PerformanceRating],Table17[Deskripsi])</f>
        <v>Outstanding</v>
      </c>
      <c r="AP1422" t="str">
        <f>_xlfn.XLOOKUP(Table1[[#This Row],[RelationshipSatisfaction]],Table18[RelationshipSatisfaction],Table18[Id_RelationshipSatisfaction])</f>
        <v>RS001</v>
      </c>
      <c r="AQ1422">
        <v>1</v>
      </c>
      <c r="AR1422" t="str">
        <f>_xlfn.XLOOKUP(Table1[[#This Row],[RelationshipSatisfaction]],Table18[RelationshipSatisfaction],Table18[Deskripsi])</f>
        <v>Low</v>
      </c>
      <c r="AS1422" t="str">
        <f>_xlfn.XLOOKUP(Table1[[#This Row],[StockOptionLevel]],Table19[StockOptionLevel],Table19[Id_StockOptionLevel])</f>
        <v>SOL002</v>
      </c>
      <c r="AT1422">
        <v>1</v>
      </c>
      <c r="AU1422" t="str">
        <f>_xlfn.XLOOKUP(Table1[[#This Row],[StockOptionLevel]],Table19[StockOptionLevel],Table19[Deskripsi])</f>
        <v>Standard</v>
      </c>
      <c r="AV1422">
        <v>12</v>
      </c>
      <c r="AW1422">
        <v>3</v>
      </c>
      <c r="AX1422" t="str">
        <f>_xlfn.XLOOKUP(Table1[[#This Row],[WorkLifeBalance]],Table20[WorkLifeBalance],Table20[Id_WorkLifeBalance])</f>
        <v>WLB002</v>
      </c>
      <c r="AY1422">
        <v>3</v>
      </c>
      <c r="AZ1422" t="str">
        <f>_xlfn.XLOOKUP(Table1[[#This Row],[WorkLifeBalance]],Table20[WorkLifeBalance],Table20[Deskripsi])</f>
        <v>Good</v>
      </c>
      <c r="BA1422">
        <v>5</v>
      </c>
      <c r="BB1422">
        <v>3</v>
      </c>
      <c r="BC1422">
        <v>1</v>
      </c>
      <c r="BD1422">
        <v>0</v>
      </c>
    </row>
    <row r="1423" spans="1:56" x14ac:dyDescent="0.25">
      <c r="A1423">
        <v>47</v>
      </c>
      <c r="B1423" t="str">
        <f>_xlfn.XLOOKUP(Table1[[#This Row],[Attrition]],Table2[Attrition],Table2[Id_Attrition])</f>
        <v>A002</v>
      </c>
      <c r="C1423" t="s">
        <v>33</v>
      </c>
      <c r="D1423" t="str">
        <f>_xlfn.XLOOKUP(Table1[[#This Row],[BusinessTravel]],Table5[BusinessTravel],Table5[Id_BusinessTravel])</f>
        <v>BS003</v>
      </c>
      <c r="E1423" t="s">
        <v>36</v>
      </c>
      <c r="F1423">
        <v>1162</v>
      </c>
      <c r="G1423" t="str">
        <f>_xlfn.XLOOKUP(Table1[[#This Row],[Department]],Table6[Department],Table6[Id_Departement])</f>
        <v>D002</v>
      </c>
      <c r="H1423" t="s">
        <v>38</v>
      </c>
      <c r="I1423">
        <v>1</v>
      </c>
      <c r="J1423" t="str">
        <f>_xlfn.XLOOKUP(Table1[[#This Row],[Education]],Table8[Education],Table8[Id_Education])</f>
        <v>E001</v>
      </c>
      <c r="K1423">
        <v>1</v>
      </c>
      <c r="L1423" t="str">
        <f>_xlfn.XLOOKUP(Table1[[#This Row],[EducationField]],Table7[EducationField],Table7[Id_EducationField])</f>
        <v>EF003</v>
      </c>
      <c r="M1423" t="s">
        <v>42</v>
      </c>
      <c r="N1423" t="str">
        <f>_xlfn.XLOOKUP(Table1[[#This Row],[EmployeeNumber]],Table4[EmployeeNumber],Table4[Id_Employee])</f>
        <v>EMP01422</v>
      </c>
      <c r="O1423">
        <v>2000</v>
      </c>
      <c r="P1423" t="str">
        <f>_xlfn.XLOOKUP(Table1[[#This Row],[EnvironmentSatisfaction]],Table9[EnvironmentSatisfaction],Table9[Id_EnviromentSatisfaction])</f>
        <v>ES003</v>
      </c>
      <c r="Q1423">
        <v>3</v>
      </c>
      <c r="R1423" t="str">
        <f>_xlfn.XLOOKUP(Table1[[#This Row],[EnvironmentSatisfaction]],Table9[EnvironmentSatisfaction],Table9[Deskripsi])</f>
        <v>High</v>
      </c>
      <c r="S1423" t="str">
        <f>_xlfn.XLOOKUP(Table1[[#This Row],[Gender]],Table10[Gender],Table10[Id_Gender])</f>
        <v>G001</v>
      </c>
      <c r="T1423" t="s">
        <v>45</v>
      </c>
      <c r="U1423">
        <v>98</v>
      </c>
      <c r="V1423" t="str">
        <f>_xlfn.XLOOKUP(Table1[[#This Row],[JobInvolvement]],Table11[JobInvolvement],Table11[Id_JobInvolvement])</f>
        <v>JI003</v>
      </c>
      <c r="W1423">
        <v>3</v>
      </c>
      <c r="X1423" t="str">
        <f>_xlfn.XLOOKUP(Table1[[#This Row],[JobLevel]],Table12[JobLevel],Table12[Id_JobLevel])</f>
        <v>JL003</v>
      </c>
      <c r="Y1423">
        <v>3</v>
      </c>
      <c r="Z1423" t="str">
        <f>_xlfn.XLOOKUP(Table1[[#This Row],[JobRole]],Table13[JobRole],Table13[Id_JobRole])</f>
        <v>JR008</v>
      </c>
      <c r="AA1423" t="s">
        <v>54</v>
      </c>
      <c r="AB1423" t="str">
        <f>_xlfn.XLOOKUP(Table1[[#This Row],[JobSatisfaction]],Table14[JobSatisfaction],Table14[Id_JobSatisfaction])</f>
        <v>JS002</v>
      </c>
      <c r="AC1423">
        <v>2</v>
      </c>
      <c r="AD1423" t="str">
        <f>_xlfn.XLOOKUP(Table1[[#This Row],[JobSatisfaction]],Table14[JobSatisfaction],Table14[Deskripsi])</f>
        <v>Medium</v>
      </c>
      <c r="AE1423" t="str">
        <f>_xlfn.XLOOKUP(Table1[[#This Row],[MaritalStatus]],Table15[MaritalStatus],Table15[Id_MaritalStatus])</f>
        <v>MS002</v>
      </c>
      <c r="AF1423" t="s">
        <v>56</v>
      </c>
      <c r="AG1423">
        <v>11957</v>
      </c>
      <c r="AH1423">
        <v>17231</v>
      </c>
      <c r="AI1423">
        <v>0</v>
      </c>
      <c r="AJ1423" t="str">
        <f>_xlfn.XLOOKUP(Table1[[#This Row],[OverTime]],Table16[OverTime],Table16[Id_OverTime])</f>
        <v>OT002</v>
      </c>
      <c r="AK1423" t="s">
        <v>33</v>
      </c>
      <c r="AL1423">
        <v>18</v>
      </c>
      <c r="AM1423" t="str">
        <f>_xlfn.XLOOKUP(Table1[[#This Row],[PerformanceRating]],Table17[PerformanceRating],Table17[Id_PerformanceRating])</f>
        <v>PR003</v>
      </c>
      <c r="AN1423">
        <v>3</v>
      </c>
      <c r="AO1423" t="str">
        <f>_xlfn.XLOOKUP(Table1[[#This Row],[PerformanceRating]],Table17[PerformanceRating],Table17[Deskripsi])</f>
        <v>Excellent</v>
      </c>
      <c r="AP1423" t="str">
        <f>_xlfn.XLOOKUP(Table1[[#This Row],[RelationshipSatisfaction]],Table18[RelationshipSatisfaction],Table18[Id_RelationshipSatisfaction])</f>
        <v>RS001</v>
      </c>
      <c r="AQ1423">
        <v>1</v>
      </c>
      <c r="AR1423" t="str">
        <f>_xlfn.XLOOKUP(Table1[[#This Row],[RelationshipSatisfaction]],Table18[RelationshipSatisfaction],Table18[Deskripsi])</f>
        <v>Low</v>
      </c>
      <c r="AS1423" t="str">
        <f>_xlfn.XLOOKUP(Table1[[#This Row],[StockOptionLevel]],Table19[StockOptionLevel],Table19[Id_StockOptionLevel])</f>
        <v>SOL003</v>
      </c>
      <c r="AT1423">
        <v>2</v>
      </c>
      <c r="AU1423" t="str">
        <f>_xlfn.XLOOKUP(Table1[[#This Row],[StockOptionLevel]],Table19[StockOptionLevel],Table19[Deskripsi])</f>
        <v>Intermediate</v>
      </c>
      <c r="AV1423">
        <v>14</v>
      </c>
      <c r="AW1423">
        <v>3</v>
      </c>
      <c r="AX1423" t="str">
        <f>_xlfn.XLOOKUP(Table1[[#This Row],[WorkLifeBalance]],Table20[WorkLifeBalance],Table20[Id_WorkLifeBalance])</f>
        <v>WLB001</v>
      </c>
      <c r="AY1423">
        <v>1</v>
      </c>
      <c r="AZ1423" t="str">
        <f>_xlfn.XLOOKUP(Table1[[#This Row],[WorkLifeBalance]],Table20[WorkLifeBalance],Table20[Deskripsi])</f>
        <v>Bad</v>
      </c>
      <c r="BA1423">
        <v>13</v>
      </c>
      <c r="BB1423">
        <v>8</v>
      </c>
      <c r="BC1423">
        <v>5</v>
      </c>
      <c r="BD1423">
        <v>12</v>
      </c>
    </row>
    <row r="1424" spans="1:56" x14ac:dyDescent="0.25">
      <c r="A1424">
        <v>35</v>
      </c>
      <c r="B1424" t="str">
        <f>_xlfn.XLOOKUP(Table1[[#This Row],[Attrition]],Table2[Attrition],Table2[Id_Attrition])</f>
        <v>A002</v>
      </c>
      <c r="C1424" t="s">
        <v>33</v>
      </c>
      <c r="D1424" t="str">
        <f>_xlfn.XLOOKUP(Table1[[#This Row],[BusinessTravel]],Table5[BusinessTravel],Table5[Id_BusinessTravel])</f>
        <v>BS001</v>
      </c>
      <c r="E1424" t="s">
        <v>34</v>
      </c>
      <c r="F1424">
        <v>1490</v>
      </c>
      <c r="G1424" t="str">
        <f>_xlfn.XLOOKUP(Table1[[#This Row],[Department]],Table6[Department],Table6[Id_Departement])</f>
        <v>D002</v>
      </c>
      <c r="H1424" t="s">
        <v>38</v>
      </c>
      <c r="I1424">
        <v>11</v>
      </c>
      <c r="J1424" t="str">
        <f>_xlfn.XLOOKUP(Table1[[#This Row],[Education]],Table8[Education],Table8[Id_Education])</f>
        <v>E004</v>
      </c>
      <c r="K1424">
        <v>4</v>
      </c>
      <c r="L1424" t="str">
        <f>_xlfn.XLOOKUP(Table1[[#This Row],[EducationField]],Table7[EducationField],Table7[Id_EducationField])</f>
        <v>EF003</v>
      </c>
      <c r="M1424" t="s">
        <v>42</v>
      </c>
      <c r="N1424" t="str">
        <f>_xlfn.XLOOKUP(Table1[[#This Row],[EmployeeNumber]],Table4[EmployeeNumber],Table4[Id_Employee])</f>
        <v>EMP01423</v>
      </c>
      <c r="O1424">
        <v>2003</v>
      </c>
      <c r="P1424" t="str">
        <f>_xlfn.XLOOKUP(Table1[[#This Row],[EnvironmentSatisfaction]],Table9[EnvironmentSatisfaction],Table9[Id_EnviromentSatisfaction])</f>
        <v>ES004</v>
      </c>
      <c r="Q1424">
        <v>4</v>
      </c>
      <c r="R1424" t="str">
        <f>_xlfn.XLOOKUP(Table1[[#This Row],[EnvironmentSatisfaction]],Table9[EnvironmentSatisfaction],Table9[Deskripsi])</f>
        <v>Very High</v>
      </c>
      <c r="S1424" t="str">
        <f>_xlfn.XLOOKUP(Table1[[#This Row],[Gender]],Table10[Gender],Table10[Id_Gender])</f>
        <v>G002</v>
      </c>
      <c r="T1424" t="s">
        <v>46</v>
      </c>
      <c r="U1424">
        <v>43</v>
      </c>
      <c r="V1424" t="str">
        <f>_xlfn.XLOOKUP(Table1[[#This Row],[JobInvolvement]],Table11[JobInvolvement],Table11[Id_JobInvolvement])</f>
        <v>JI003</v>
      </c>
      <c r="W1424">
        <v>3</v>
      </c>
      <c r="X1424" t="str">
        <f>_xlfn.XLOOKUP(Table1[[#This Row],[JobLevel]],Table12[JobLevel],Table12[Id_JobLevel])</f>
        <v>JL001</v>
      </c>
      <c r="Y1424">
        <v>1</v>
      </c>
      <c r="Z1424" t="str">
        <f>_xlfn.XLOOKUP(Table1[[#This Row],[JobRole]],Table13[JobRole],Table13[Id_JobRole])</f>
        <v>JR003</v>
      </c>
      <c r="AA1424" t="s">
        <v>49</v>
      </c>
      <c r="AB1424" t="str">
        <f>_xlfn.XLOOKUP(Table1[[#This Row],[JobSatisfaction]],Table14[JobSatisfaction],Table14[Id_JobSatisfaction])</f>
        <v>JS003</v>
      </c>
      <c r="AC1424">
        <v>3</v>
      </c>
      <c r="AD1424" t="str">
        <f>_xlfn.XLOOKUP(Table1[[#This Row],[JobSatisfaction]],Table14[JobSatisfaction],Table14[Deskripsi])</f>
        <v>High</v>
      </c>
      <c r="AE1424" t="str">
        <f>_xlfn.XLOOKUP(Table1[[#This Row],[MaritalStatus]],Table15[MaritalStatus],Table15[Id_MaritalStatus])</f>
        <v>MS002</v>
      </c>
      <c r="AF1424" t="s">
        <v>56</v>
      </c>
      <c r="AG1424">
        <v>2660</v>
      </c>
      <c r="AH1424">
        <v>20232</v>
      </c>
      <c r="AI1424">
        <v>7</v>
      </c>
      <c r="AJ1424" t="str">
        <f>_xlfn.XLOOKUP(Table1[[#This Row],[OverTime]],Table16[OverTime],Table16[Id_OverTime])</f>
        <v>OT001</v>
      </c>
      <c r="AK1424" t="s">
        <v>32</v>
      </c>
      <c r="AL1424">
        <v>11</v>
      </c>
      <c r="AM1424" t="str">
        <f>_xlfn.XLOOKUP(Table1[[#This Row],[PerformanceRating]],Table17[PerformanceRating],Table17[Id_PerformanceRating])</f>
        <v>PR003</v>
      </c>
      <c r="AN1424">
        <v>3</v>
      </c>
      <c r="AO1424" t="str">
        <f>_xlfn.XLOOKUP(Table1[[#This Row],[PerformanceRating]],Table17[PerformanceRating],Table17[Deskripsi])</f>
        <v>Excellent</v>
      </c>
      <c r="AP1424" t="str">
        <f>_xlfn.XLOOKUP(Table1[[#This Row],[RelationshipSatisfaction]],Table18[RelationshipSatisfaction],Table18[Id_RelationshipSatisfaction])</f>
        <v>RS003</v>
      </c>
      <c r="AQ1424">
        <v>3</v>
      </c>
      <c r="AR1424" t="str">
        <f>_xlfn.XLOOKUP(Table1[[#This Row],[RelationshipSatisfaction]],Table18[RelationshipSatisfaction],Table18[Deskripsi])</f>
        <v>High</v>
      </c>
      <c r="AS1424" t="str">
        <f>_xlfn.XLOOKUP(Table1[[#This Row],[StockOptionLevel]],Table19[StockOptionLevel],Table19[Id_StockOptionLevel])</f>
        <v>SOL002</v>
      </c>
      <c r="AT1424">
        <v>1</v>
      </c>
      <c r="AU1424" t="str">
        <f>_xlfn.XLOOKUP(Table1[[#This Row],[StockOptionLevel]],Table19[StockOptionLevel],Table19[Deskripsi])</f>
        <v>Standard</v>
      </c>
      <c r="AV1424">
        <v>5</v>
      </c>
      <c r="AW1424">
        <v>3</v>
      </c>
      <c r="AX1424" t="str">
        <f>_xlfn.XLOOKUP(Table1[[#This Row],[WorkLifeBalance]],Table20[WorkLifeBalance],Table20[Id_WorkLifeBalance])</f>
        <v>WLB002</v>
      </c>
      <c r="AY1424">
        <v>3</v>
      </c>
      <c r="AZ1424" t="str">
        <f>_xlfn.XLOOKUP(Table1[[#This Row],[WorkLifeBalance]],Table20[WorkLifeBalance],Table20[Deskripsi])</f>
        <v>Good</v>
      </c>
      <c r="BA1424">
        <v>2</v>
      </c>
      <c r="BB1424">
        <v>2</v>
      </c>
      <c r="BC1424">
        <v>2</v>
      </c>
      <c r="BD1424">
        <v>2</v>
      </c>
    </row>
    <row r="1425" spans="1:56" x14ac:dyDescent="0.25">
      <c r="A1425">
        <v>22</v>
      </c>
      <c r="B1425" t="str">
        <f>_xlfn.XLOOKUP(Table1[[#This Row],[Attrition]],Table2[Attrition],Table2[Id_Attrition])</f>
        <v>A002</v>
      </c>
      <c r="C1425" t="s">
        <v>33</v>
      </c>
      <c r="D1425" t="str">
        <f>_xlfn.XLOOKUP(Table1[[#This Row],[BusinessTravel]],Table5[BusinessTravel],Table5[Id_BusinessTravel])</f>
        <v>BS001</v>
      </c>
      <c r="E1425" t="s">
        <v>34</v>
      </c>
      <c r="F1425">
        <v>581</v>
      </c>
      <c r="G1425" t="str">
        <f>_xlfn.XLOOKUP(Table1[[#This Row],[Department]],Table6[Department],Table6[Id_Departement])</f>
        <v>D002</v>
      </c>
      <c r="H1425" t="s">
        <v>38</v>
      </c>
      <c r="I1425">
        <v>1</v>
      </c>
      <c r="J1425" t="str">
        <f>_xlfn.XLOOKUP(Table1[[#This Row],[Education]],Table8[Education],Table8[Id_Education])</f>
        <v>E002</v>
      </c>
      <c r="K1425">
        <v>2</v>
      </c>
      <c r="L1425" t="str">
        <f>_xlfn.XLOOKUP(Table1[[#This Row],[EducationField]],Table7[EducationField],Table7[Id_EducationField])</f>
        <v>EF001</v>
      </c>
      <c r="M1425" t="s">
        <v>40</v>
      </c>
      <c r="N1425" t="str">
        <f>_xlfn.XLOOKUP(Table1[[#This Row],[EmployeeNumber]],Table4[EmployeeNumber],Table4[Id_Employee])</f>
        <v>EMP01424</v>
      </c>
      <c r="O1425">
        <v>2007</v>
      </c>
      <c r="P1425" t="str">
        <f>_xlfn.XLOOKUP(Table1[[#This Row],[EnvironmentSatisfaction]],Table9[EnvironmentSatisfaction],Table9[Id_EnviromentSatisfaction])</f>
        <v>ES004</v>
      </c>
      <c r="Q1425">
        <v>4</v>
      </c>
      <c r="R1425" t="str">
        <f>_xlfn.XLOOKUP(Table1[[#This Row],[EnvironmentSatisfaction]],Table9[EnvironmentSatisfaction],Table9[Deskripsi])</f>
        <v>Very High</v>
      </c>
      <c r="S1425" t="str">
        <f>_xlfn.XLOOKUP(Table1[[#This Row],[Gender]],Table10[Gender],Table10[Id_Gender])</f>
        <v>G002</v>
      </c>
      <c r="T1425" t="s">
        <v>46</v>
      </c>
      <c r="U1425">
        <v>63</v>
      </c>
      <c r="V1425" t="str">
        <f>_xlfn.XLOOKUP(Table1[[#This Row],[JobInvolvement]],Table11[JobInvolvement],Table11[Id_JobInvolvement])</f>
        <v>JI003</v>
      </c>
      <c r="W1425">
        <v>3</v>
      </c>
      <c r="X1425" t="str">
        <f>_xlfn.XLOOKUP(Table1[[#This Row],[JobLevel]],Table12[JobLevel],Table12[Id_JobLevel])</f>
        <v>JL001</v>
      </c>
      <c r="Y1425">
        <v>1</v>
      </c>
      <c r="Z1425" t="str">
        <f>_xlfn.XLOOKUP(Table1[[#This Row],[JobRole]],Table13[JobRole],Table13[Id_JobRole])</f>
        <v>JR002</v>
      </c>
      <c r="AA1425" t="s">
        <v>48</v>
      </c>
      <c r="AB1425" t="str">
        <f>_xlfn.XLOOKUP(Table1[[#This Row],[JobSatisfaction]],Table14[JobSatisfaction],Table14[Id_JobSatisfaction])</f>
        <v>JS003</v>
      </c>
      <c r="AC1425">
        <v>3</v>
      </c>
      <c r="AD1425" t="str">
        <f>_xlfn.XLOOKUP(Table1[[#This Row],[JobSatisfaction]],Table14[JobSatisfaction],Table14[Deskripsi])</f>
        <v>High</v>
      </c>
      <c r="AE1425" t="str">
        <f>_xlfn.XLOOKUP(Table1[[#This Row],[MaritalStatus]],Table15[MaritalStatus],Table15[Id_MaritalStatus])</f>
        <v>MS001</v>
      </c>
      <c r="AF1425" t="s">
        <v>55</v>
      </c>
      <c r="AG1425">
        <v>3375</v>
      </c>
      <c r="AH1425">
        <v>17624</v>
      </c>
      <c r="AI1425">
        <v>0</v>
      </c>
      <c r="AJ1425" t="str">
        <f>_xlfn.XLOOKUP(Table1[[#This Row],[OverTime]],Table16[OverTime],Table16[Id_OverTime])</f>
        <v>OT002</v>
      </c>
      <c r="AK1425" t="s">
        <v>33</v>
      </c>
      <c r="AL1425">
        <v>12</v>
      </c>
      <c r="AM1425" t="str">
        <f>_xlfn.XLOOKUP(Table1[[#This Row],[PerformanceRating]],Table17[PerformanceRating],Table17[Id_PerformanceRating])</f>
        <v>PR003</v>
      </c>
      <c r="AN1425">
        <v>3</v>
      </c>
      <c r="AO1425" t="str">
        <f>_xlfn.XLOOKUP(Table1[[#This Row],[PerformanceRating]],Table17[PerformanceRating],Table17[Deskripsi])</f>
        <v>Excellent</v>
      </c>
      <c r="AP1425" t="str">
        <f>_xlfn.XLOOKUP(Table1[[#This Row],[RelationshipSatisfaction]],Table18[RelationshipSatisfaction],Table18[Id_RelationshipSatisfaction])</f>
        <v>RS004</v>
      </c>
      <c r="AQ1425">
        <v>4</v>
      </c>
      <c r="AR1425" t="str">
        <f>_xlfn.XLOOKUP(Table1[[#This Row],[RelationshipSatisfaction]],Table18[RelationshipSatisfaction],Table18[Deskripsi])</f>
        <v>Very High</v>
      </c>
      <c r="AS1425" t="str">
        <f>_xlfn.XLOOKUP(Table1[[#This Row],[StockOptionLevel]],Table19[StockOptionLevel],Table19[Id_StockOptionLevel])</f>
        <v>SOL001</v>
      </c>
      <c r="AT1425">
        <v>0</v>
      </c>
      <c r="AU1425" t="str">
        <f>_xlfn.XLOOKUP(Table1[[#This Row],[StockOptionLevel]],Table19[StockOptionLevel],Table19[Deskripsi])</f>
        <v>Non-Eligible</v>
      </c>
      <c r="AV1425">
        <v>4</v>
      </c>
      <c r="AW1425">
        <v>2</v>
      </c>
      <c r="AX1425" t="str">
        <f>_xlfn.XLOOKUP(Table1[[#This Row],[WorkLifeBalance]],Table20[WorkLifeBalance],Table20[Id_WorkLifeBalance])</f>
        <v>WLB004</v>
      </c>
      <c r="AY1425">
        <v>4</v>
      </c>
      <c r="AZ1425" t="str">
        <f>_xlfn.XLOOKUP(Table1[[#This Row],[WorkLifeBalance]],Table20[WorkLifeBalance],Table20[Deskripsi])</f>
        <v>Best</v>
      </c>
      <c r="BA1425">
        <v>3</v>
      </c>
      <c r="BB1425">
        <v>2</v>
      </c>
      <c r="BC1425">
        <v>1</v>
      </c>
      <c r="BD1425">
        <v>2</v>
      </c>
    </row>
    <row r="1426" spans="1:56" x14ac:dyDescent="0.25">
      <c r="A1426">
        <v>35</v>
      </c>
      <c r="B1426" t="str">
        <f>_xlfn.XLOOKUP(Table1[[#This Row],[Attrition]],Table2[Attrition],Table2[Id_Attrition])</f>
        <v>A002</v>
      </c>
      <c r="C1426" t="s">
        <v>33</v>
      </c>
      <c r="D1426" t="str">
        <f>_xlfn.XLOOKUP(Table1[[#This Row],[BusinessTravel]],Table5[BusinessTravel],Table5[Id_BusinessTravel])</f>
        <v>BS001</v>
      </c>
      <c r="E1426" t="s">
        <v>34</v>
      </c>
      <c r="F1426">
        <v>1395</v>
      </c>
      <c r="G1426" t="str">
        <f>_xlfn.XLOOKUP(Table1[[#This Row],[Department]],Table6[Department],Table6[Id_Departement])</f>
        <v>D002</v>
      </c>
      <c r="H1426" t="s">
        <v>38</v>
      </c>
      <c r="I1426">
        <v>9</v>
      </c>
      <c r="J1426" t="str">
        <f>_xlfn.XLOOKUP(Table1[[#This Row],[Education]],Table8[Education],Table8[Id_Education])</f>
        <v>E004</v>
      </c>
      <c r="K1426">
        <v>4</v>
      </c>
      <c r="L1426" t="str">
        <f>_xlfn.XLOOKUP(Table1[[#This Row],[EducationField]],Table7[EducationField],Table7[Id_EducationField])</f>
        <v>EF003</v>
      </c>
      <c r="M1426" t="s">
        <v>42</v>
      </c>
      <c r="N1426" t="str">
        <f>_xlfn.XLOOKUP(Table1[[#This Row],[EmployeeNumber]],Table4[EmployeeNumber],Table4[Id_Employee])</f>
        <v>EMP01425</v>
      </c>
      <c r="O1426">
        <v>2008</v>
      </c>
      <c r="P1426" t="str">
        <f>_xlfn.XLOOKUP(Table1[[#This Row],[EnvironmentSatisfaction]],Table9[EnvironmentSatisfaction],Table9[Id_EnviromentSatisfaction])</f>
        <v>ES002</v>
      </c>
      <c r="Q1426">
        <v>2</v>
      </c>
      <c r="R1426" t="str">
        <f>_xlfn.XLOOKUP(Table1[[#This Row],[EnvironmentSatisfaction]],Table9[EnvironmentSatisfaction],Table9[Deskripsi])</f>
        <v>Medium</v>
      </c>
      <c r="S1426" t="str">
        <f>_xlfn.XLOOKUP(Table1[[#This Row],[Gender]],Table10[Gender],Table10[Id_Gender])</f>
        <v>G002</v>
      </c>
      <c r="T1426" t="s">
        <v>46</v>
      </c>
      <c r="U1426">
        <v>48</v>
      </c>
      <c r="V1426" t="str">
        <f>_xlfn.XLOOKUP(Table1[[#This Row],[JobInvolvement]],Table11[JobInvolvement],Table11[Id_JobInvolvement])</f>
        <v>JI003</v>
      </c>
      <c r="W1426">
        <v>3</v>
      </c>
      <c r="X1426" t="str">
        <f>_xlfn.XLOOKUP(Table1[[#This Row],[JobLevel]],Table12[JobLevel],Table12[Id_JobLevel])</f>
        <v>JL002</v>
      </c>
      <c r="Y1426">
        <v>2</v>
      </c>
      <c r="Z1426" t="str">
        <f>_xlfn.XLOOKUP(Table1[[#This Row],[JobRole]],Table13[JobRole],Table13[Id_JobRole])</f>
        <v>JR002</v>
      </c>
      <c r="AA1426" t="s">
        <v>48</v>
      </c>
      <c r="AB1426" t="str">
        <f>_xlfn.XLOOKUP(Table1[[#This Row],[JobSatisfaction]],Table14[JobSatisfaction],Table14[Id_JobSatisfaction])</f>
        <v>JS003</v>
      </c>
      <c r="AC1426">
        <v>3</v>
      </c>
      <c r="AD1426" t="str">
        <f>_xlfn.XLOOKUP(Table1[[#This Row],[JobSatisfaction]],Table14[JobSatisfaction],Table14[Deskripsi])</f>
        <v>High</v>
      </c>
      <c r="AE1426" t="str">
        <f>_xlfn.XLOOKUP(Table1[[#This Row],[MaritalStatus]],Table15[MaritalStatus],Table15[Id_MaritalStatus])</f>
        <v>MS001</v>
      </c>
      <c r="AF1426" t="s">
        <v>55</v>
      </c>
      <c r="AG1426">
        <v>5098</v>
      </c>
      <c r="AH1426">
        <v>18698</v>
      </c>
      <c r="AI1426">
        <v>1</v>
      </c>
      <c r="AJ1426" t="str">
        <f>_xlfn.XLOOKUP(Table1[[#This Row],[OverTime]],Table16[OverTime],Table16[Id_OverTime])</f>
        <v>OT002</v>
      </c>
      <c r="AK1426" t="s">
        <v>33</v>
      </c>
      <c r="AL1426">
        <v>19</v>
      </c>
      <c r="AM1426" t="str">
        <f>_xlfn.XLOOKUP(Table1[[#This Row],[PerformanceRating]],Table17[PerformanceRating],Table17[Id_PerformanceRating])</f>
        <v>PR003</v>
      </c>
      <c r="AN1426">
        <v>3</v>
      </c>
      <c r="AO1426" t="str">
        <f>_xlfn.XLOOKUP(Table1[[#This Row],[PerformanceRating]],Table17[PerformanceRating],Table17[Deskripsi])</f>
        <v>Excellent</v>
      </c>
      <c r="AP1426" t="str">
        <f>_xlfn.XLOOKUP(Table1[[#This Row],[RelationshipSatisfaction]],Table18[RelationshipSatisfaction],Table18[Id_RelationshipSatisfaction])</f>
        <v>RS002</v>
      </c>
      <c r="AQ1426">
        <v>2</v>
      </c>
      <c r="AR1426" t="str">
        <f>_xlfn.XLOOKUP(Table1[[#This Row],[RelationshipSatisfaction]],Table18[RelationshipSatisfaction],Table18[Deskripsi])</f>
        <v>Medium</v>
      </c>
      <c r="AS1426" t="str">
        <f>_xlfn.XLOOKUP(Table1[[#This Row],[StockOptionLevel]],Table19[StockOptionLevel],Table19[Id_StockOptionLevel])</f>
        <v>SOL001</v>
      </c>
      <c r="AT1426">
        <v>0</v>
      </c>
      <c r="AU1426" t="str">
        <f>_xlfn.XLOOKUP(Table1[[#This Row],[StockOptionLevel]],Table19[StockOptionLevel],Table19[Deskripsi])</f>
        <v>Non-Eligible</v>
      </c>
      <c r="AV1426">
        <v>10</v>
      </c>
      <c r="AW1426">
        <v>5</v>
      </c>
      <c r="AX1426" t="str">
        <f>_xlfn.XLOOKUP(Table1[[#This Row],[WorkLifeBalance]],Table20[WorkLifeBalance],Table20[Id_WorkLifeBalance])</f>
        <v>WLB002</v>
      </c>
      <c r="AY1426">
        <v>3</v>
      </c>
      <c r="AZ1426" t="str">
        <f>_xlfn.XLOOKUP(Table1[[#This Row],[WorkLifeBalance]],Table20[WorkLifeBalance],Table20[Deskripsi])</f>
        <v>Good</v>
      </c>
      <c r="BA1426">
        <v>10</v>
      </c>
      <c r="BB1426">
        <v>7</v>
      </c>
      <c r="BC1426">
        <v>0</v>
      </c>
      <c r="BD1426">
        <v>8</v>
      </c>
    </row>
    <row r="1427" spans="1:56" x14ac:dyDescent="0.25">
      <c r="A1427">
        <v>33</v>
      </c>
      <c r="B1427" t="str">
        <f>_xlfn.XLOOKUP(Table1[[#This Row],[Attrition]],Table2[Attrition],Table2[Id_Attrition])</f>
        <v>A002</v>
      </c>
      <c r="C1427" t="s">
        <v>33</v>
      </c>
      <c r="D1427" t="str">
        <f>_xlfn.XLOOKUP(Table1[[#This Row],[BusinessTravel]],Table5[BusinessTravel],Table5[Id_BusinessTravel])</f>
        <v>BS001</v>
      </c>
      <c r="E1427" t="s">
        <v>34</v>
      </c>
      <c r="F1427">
        <v>501</v>
      </c>
      <c r="G1427" t="str">
        <f>_xlfn.XLOOKUP(Table1[[#This Row],[Department]],Table6[Department],Table6[Id_Departement])</f>
        <v>D002</v>
      </c>
      <c r="H1427" t="s">
        <v>38</v>
      </c>
      <c r="I1427">
        <v>15</v>
      </c>
      <c r="J1427" t="str">
        <f>_xlfn.XLOOKUP(Table1[[#This Row],[Education]],Table8[Education],Table8[Id_Education])</f>
        <v>E002</v>
      </c>
      <c r="K1427">
        <v>2</v>
      </c>
      <c r="L1427" t="str">
        <f>_xlfn.XLOOKUP(Table1[[#This Row],[EducationField]],Table7[EducationField],Table7[Id_EducationField])</f>
        <v>EF003</v>
      </c>
      <c r="M1427" t="s">
        <v>42</v>
      </c>
      <c r="N1427" t="str">
        <f>_xlfn.XLOOKUP(Table1[[#This Row],[EmployeeNumber]],Table4[EmployeeNumber],Table4[Id_Employee])</f>
        <v>EMP01426</v>
      </c>
      <c r="O1427">
        <v>2009</v>
      </c>
      <c r="P1427" t="str">
        <f>_xlfn.XLOOKUP(Table1[[#This Row],[EnvironmentSatisfaction]],Table9[EnvironmentSatisfaction],Table9[Id_EnviromentSatisfaction])</f>
        <v>ES002</v>
      </c>
      <c r="Q1427">
        <v>2</v>
      </c>
      <c r="R1427" t="str">
        <f>_xlfn.XLOOKUP(Table1[[#This Row],[EnvironmentSatisfaction]],Table9[EnvironmentSatisfaction],Table9[Deskripsi])</f>
        <v>Medium</v>
      </c>
      <c r="S1427" t="str">
        <f>_xlfn.XLOOKUP(Table1[[#This Row],[Gender]],Table10[Gender],Table10[Id_Gender])</f>
        <v>G001</v>
      </c>
      <c r="T1427" t="s">
        <v>45</v>
      </c>
      <c r="U1427">
        <v>95</v>
      </c>
      <c r="V1427" t="str">
        <f>_xlfn.XLOOKUP(Table1[[#This Row],[JobInvolvement]],Table11[JobInvolvement],Table11[Id_JobInvolvement])</f>
        <v>JI003</v>
      </c>
      <c r="W1427">
        <v>3</v>
      </c>
      <c r="X1427" t="str">
        <f>_xlfn.XLOOKUP(Table1[[#This Row],[JobLevel]],Table12[JobLevel],Table12[Id_JobLevel])</f>
        <v>JL002</v>
      </c>
      <c r="Y1427">
        <v>2</v>
      </c>
      <c r="Z1427" t="str">
        <f>_xlfn.XLOOKUP(Table1[[#This Row],[JobRole]],Table13[JobRole],Table13[Id_JobRole])</f>
        <v>JR005</v>
      </c>
      <c r="AA1427" t="s">
        <v>51</v>
      </c>
      <c r="AB1427" t="str">
        <f>_xlfn.XLOOKUP(Table1[[#This Row],[JobSatisfaction]],Table14[JobSatisfaction],Table14[Id_JobSatisfaction])</f>
        <v>JS004</v>
      </c>
      <c r="AC1427">
        <v>4</v>
      </c>
      <c r="AD1427" t="str">
        <f>_xlfn.XLOOKUP(Table1[[#This Row],[JobSatisfaction]],Table14[JobSatisfaction],Table14[Deskripsi])</f>
        <v>Very High</v>
      </c>
      <c r="AE1427" t="str">
        <f>_xlfn.XLOOKUP(Table1[[#This Row],[MaritalStatus]],Table15[MaritalStatus],Table15[Id_MaritalStatus])</f>
        <v>MS002</v>
      </c>
      <c r="AF1427" t="s">
        <v>56</v>
      </c>
      <c r="AG1427">
        <v>4878</v>
      </c>
      <c r="AH1427">
        <v>21653</v>
      </c>
      <c r="AI1427">
        <v>0</v>
      </c>
      <c r="AJ1427" t="str">
        <f>_xlfn.XLOOKUP(Table1[[#This Row],[OverTime]],Table16[OverTime],Table16[Id_OverTime])</f>
        <v>OT001</v>
      </c>
      <c r="AK1427" t="s">
        <v>32</v>
      </c>
      <c r="AL1427">
        <v>13</v>
      </c>
      <c r="AM1427" t="str">
        <f>_xlfn.XLOOKUP(Table1[[#This Row],[PerformanceRating]],Table17[PerformanceRating],Table17[Id_PerformanceRating])</f>
        <v>PR003</v>
      </c>
      <c r="AN1427">
        <v>3</v>
      </c>
      <c r="AO1427" t="str">
        <f>_xlfn.XLOOKUP(Table1[[#This Row],[PerformanceRating]],Table17[PerformanceRating],Table17[Deskripsi])</f>
        <v>Excellent</v>
      </c>
      <c r="AP1427" t="str">
        <f>_xlfn.XLOOKUP(Table1[[#This Row],[RelationshipSatisfaction]],Table18[RelationshipSatisfaction],Table18[Id_RelationshipSatisfaction])</f>
        <v>RS001</v>
      </c>
      <c r="AQ1427">
        <v>1</v>
      </c>
      <c r="AR1427" t="str">
        <f>_xlfn.XLOOKUP(Table1[[#This Row],[RelationshipSatisfaction]],Table18[RelationshipSatisfaction],Table18[Deskripsi])</f>
        <v>Low</v>
      </c>
      <c r="AS1427" t="str">
        <f>_xlfn.XLOOKUP(Table1[[#This Row],[StockOptionLevel]],Table19[StockOptionLevel],Table19[Id_StockOptionLevel])</f>
        <v>SOL002</v>
      </c>
      <c r="AT1427">
        <v>1</v>
      </c>
      <c r="AU1427" t="str">
        <f>_xlfn.XLOOKUP(Table1[[#This Row],[StockOptionLevel]],Table19[StockOptionLevel],Table19[Deskripsi])</f>
        <v>Standard</v>
      </c>
      <c r="AV1427">
        <v>10</v>
      </c>
      <c r="AW1427">
        <v>6</v>
      </c>
      <c r="AX1427" t="str">
        <f>_xlfn.XLOOKUP(Table1[[#This Row],[WorkLifeBalance]],Table20[WorkLifeBalance],Table20[Id_WorkLifeBalance])</f>
        <v>WLB002</v>
      </c>
      <c r="AY1427">
        <v>3</v>
      </c>
      <c r="AZ1427" t="str">
        <f>_xlfn.XLOOKUP(Table1[[#This Row],[WorkLifeBalance]],Table20[WorkLifeBalance],Table20[Deskripsi])</f>
        <v>Good</v>
      </c>
      <c r="BA1427">
        <v>9</v>
      </c>
      <c r="BB1427">
        <v>7</v>
      </c>
      <c r="BC1427">
        <v>8</v>
      </c>
      <c r="BD1427">
        <v>1</v>
      </c>
    </row>
    <row r="1428" spans="1:56" x14ac:dyDescent="0.25">
      <c r="A1428">
        <v>32</v>
      </c>
      <c r="B1428" t="str">
        <f>_xlfn.XLOOKUP(Table1[[#This Row],[Attrition]],Table2[Attrition],Table2[Id_Attrition])</f>
        <v>A002</v>
      </c>
      <c r="C1428" t="s">
        <v>33</v>
      </c>
      <c r="D1428" t="str">
        <f>_xlfn.XLOOKUP(Table1[[#This Row],[BusinessTravel]],Table5[BusinessTravel],Table5[Id_BusinessTravel])</f>
        <v>BS001</v>
      </c>
      <c r="E1428" t="s">
        <v>34</v>
      </c>
      <c r="F1428">
        <v>267</v>
      </c>
      <c r="G1428" t="str">
        <f>_xlfn.XLOOKUP(Table1[[#This Row],[Department]],Table6[Department],Table6[Id_Departement])</f>
        <v>D002</v>
      </c>
      <c r="H1428" t="s">
        <v>38</v>
      </c>
      <c r="I1428">
        <v>29</v>
      </c>
      <c r="J1428" t="str">
        <f>_xlfn.XLOOKUP(Table1[[#This Row],[Education]],Table8[Education],Table8[Id_Education])</f>
        <v>E004</v>
      </c>
      <c r="K1428">
        <v>4</v>
      </c>
      <c r="L1428" t="str">
        <f>_xlfn.XLOOKUP(Table1[[#This Row],[EducationField]],Table7[EducationField],Table7[Id_EducationField])</f>
        <v>EF001</v>
      </c>
      <c r="M1428" t="s">
        <v>40</v>
      </c>
      <c r="N1428" t="str">
        <f>_xlfn.XLOOKUP(Table1[[#This Row],[EmployeeNumber]],Table4[EmployeeNumber],Table4[Id_Employee])</f>
        <v>EMP01427</v>
      </c>
      <c r="O1428">
        <v>2010</v>
      </c>
      <c r="P1428" t="str">
        <f>_xlfn.XLOOKUP(Table1[[#This Row],[EnvironmentSatisfaction]],Table9[EnvironmentSatisfaction],Table9[Id_EnviromentSatisfaction])</f>
        <v>ES003</v>
      </c>
      <c r="Q1428">
        <v>3</v>
      </c>
      <c r="R1428" t="str">
        <f>_xlfn.XLOOKUP(Table1[[#This Row],[EnvironmentSatisfaction]],Table9[EnvironmentSatisfaction],Table9[Deskripsi])</f>
        <v>High</v>
      </c>
      <c r="S1428" t="str">
        <f>_xlfn.XLOOKUP(Table1[[#This Row],[Gender]],Table10[Gender],Table10[Id_Gender])</f>
        <v>G001</v>
      </c>
      <c r="T1428" t="s">
        <v>45</v>
      </c>
      <c r="U1428">
        <v>49</v>
      </c>
      <c r="V1428" t="str">
        <f>_xlfn.XLOOKUP(Table1[[#This Row],[JobInvolvement]],Table11[JobInvolvement],Table11[Id_JobInvolvement])</f>
        <v>JI002</v>
      </c>
      <c r="W1428">
        <v>2</v>
      </c>
      <c r="X1428" t="str">
        <f>_xlfn.XLOOKUP(Table1[[#This Row],[JobLevel]],Table12[JobLevel],Table12[Id_JobLevel])</f>
        <v>JL001</v>
      </c>
      <c r="Y1428">
        <v>1</v>
      </c>
      <c r="Z1428" t="str">
        <f>_xlfn.XLOOKUP(Table1[[#This Row],[JobRole]],Table13[JobRole],Table13[Id_JobRole])</f>
        <v>JR003</v>
      </c>
      <c r="AA1428" t="s">
        <v>49</v>
      </c>
      <c r="AB1428" t="str">
        <f>_xlfn.XLOOKUP(Table1[[#This Row],[JobSatisfaction]],Table14[JobSatisfaction],Table14[Id_JobSatisfaction])</f>
        <v>JS002</v>
      </c>
      <c r="AC1428">
        <v>2</v>
      </c>
      <c r="AD1428" t="str">
        <f>_xlfn.XLOOKUP(Table1[[#This Row],[JobSatisfaction]],Table14[JobSatisfaction],Table14[Deskripsi])</f>
        <v>Medium</v>
      </c>
      <c r="AE1428" t="str">
        <f>_xlfn.XLOOKUP(Table1[[#This Row],[MaritalStatus]],Table15[MaritalStatus],Table15[Id_MaritalStatus])</f>
        <v>MS001</v>
      </c>
      <c r="AF1428" t="s">
        <v>55</v>
      </c>
      <c r="AG1428">
        <v>2837</v>
      </c>
      <c r="AH1428">
        <v>15919</v>
      </c>
      <c r="AI1428">
        <v>1</v>
      </c>
      <c r="AJ1428" t="str">
        <f>_xlfn.XLOOKUP(Table1[[#This Row],[OverTime]],Table16[OverTime],Table16[Id_OverTime])</f>
        <v>OT002</v>
      </c>
      <c r="AK1428" t="s">
        <v>33</v>
      </c>
      <c r="AL1428">
        <v>13</v>
      </c>
      <c r="AM1428" t="str">
        <f>_xlfn.XLOOKUP(Table1[[#This Row],[PerformanceRating]],Table17[PerformanceRating],Table17[Id_PerformanceRating])</f>
        <v>PR003</v>
      </c>
      <c r="AN1428">
        <v>3</v>
      </c>
      <c r="AO1428" t="str">
        <f>_xlfn.XLOOKUP(Table1[[#This Row],[PerformanceRating]],Table17[PerformanceRating],Table17[Deskripsi])</f>
        <v>Excellent</v>
      </c>
      <c r="AP1428" t="str">
        <f>_xlfn.XLOOKUP(Table1[[#This Row],[RelationshipSatisfaction]],Table18[RelationshipSatisfaction],Table18[Id_RelationshipSatisfaction])</f>
        <v>RS003</v>
      </c>
      <c r="AQ1428">
        <v>3</v>
      </c>
      <c r="AR1428" t="str">
        <f>_xlfn.XLOOKUP(Table1[[#This Row],[RelationshipSatisfaction]],Table18[RelationshipSatisfaction],Table18[Deskripsi])</f>
        <v>High</v>
      </c>
      <c r="AS1428" t="str">
        <f>_xlfn.XLOOKUP(Table1[[#This Row],[StockOptionLevel]],Table19[StockOptionLevel],Table19[Id_StockOptionLevel])</f>
        <v>SOL001</v>
      </c>
      <c r="AT1428">
        <v>0</v>
      </c>
      <c r="AU1428" t="str">
        <f>_xlfn.XLOOKUP(Table1[[#This Row],[StockOptionLevel]],Table19[StockOptionLevel],Table19[Deskripsi])</f>
        <v>Non-Eligible</v>
      </c>
      <c r="AV1428">
        <v>6</v>
      </c>
      <c r="AW1428">
        <v>3</v>
      </c>
      <c r="AX1428" t="str">
        <f>_xlfn.XLOOKUP(Table1[[#This Row],[WorkLifeBalance]],Table20[WorkLifeBalance],Table20[Id_WorkLifeBalance])</f>
        <v>WLB002</v>
      </c>
      <c r="AY1428">
        <v>3</v>
      </c>
      <c r="AZ1428" t="str">
        <f>_xlfn.XLOOKUP(Table1[[#This Row],[WorkLifeBalance]],Table20[WorkLifeBalance],Table20[Deskripsi])</f>
        <v>Good</v>
      </c>
      <c r="BA1428">
        <v>6</v>
      </c>
      <c r="BB1428">
        <v>2</v>
      </c>
      <c r="BC1428">
        <v>4</v>
      </c>
      <c r="BD1428">
        <v>1</v>
      </c>
    </row>
    <row r="1429" spans="1:56" x14ac:dyDescent="0.25">
      <c r="A1429">
        <v>40</v>
      </c>
      <c r="B1429" t="str">
        <f>_xlfn.XLOOKUP(Table1[[#This Row],[Attrition]],Table2[Attrition],Table2[Id_Attrition])</f>
        <v>A002</v>
      </c>
      <c r="C1429" t="s">
        <v>33</v>
      </c>
      <c r="D1429" t="str">
        <f>_xlfn.XLOOKUP(Table1[[#This Row],[BusinessTravel]],Table5[BusinessTravel],Table5[Id_BusinessTravel])</f>
        <v>BS001</v>
      </c>
      <c r="E1429" t="s">
        <v>34</v>
      </c>
      <c r="F1429">
        <v>543</v>
      </c>
      <c r="G1429" t="str">
        <f>_xlfn.XLOOKUP(Table1[[#This Row],[Department]],Table6[Department],Table6[Id_Departement])</f>
        <v>D002</v>
      </c>
      <c r="H1429" t="s">
        <v>38</v>
      </c>
      <c r="I1429">
        <v>1</v>
      </c>
      <c r="J1429" t="str">
        <f>_xlfn.XLOOKUP(Table1[[#This Row],[Education]],Table8[Education],Table8[Id_Education])</f>
        <v>E004</v>
      </c>
      <c r="K1429">
        <v>4</v>
      </c>
      <c r="L1429" t="str">
        <f>_xlfn.XLOOKUP(Table1[[#This Row],[EducationField]],Table7[EducationField],Table7[Id_EducationField])</f>
        <v>EF001</v>
      </c>
      <c r="M1429" t="s">
        <v>40</v>
      </c>
      <c r="N1429" t="str">
        <f>_xlfn.XLOOKUP(Table1[[#This Row],[EmployeeNumber]],Table4[EmployeeNumber],Table4[Id_Employee])</f>
        <v>EMP01428</v>
      </c>
      <c r="O1429">
        <v>2012</v>
      </c>
      <c r="P1429" t="str">
        <f>_xlfn.XLOOKUP(Table1[[#This Row],[EnvironmentSatisfaction]],Table9[EnvironmentSatisfaction],Table9[Id_EnviromentSatisfaction])</f>
        <v>ES001</v>
      </c>
      <c r="Q1429">
        <v>1</v>
      </c>
      <c r="R1429" t="str">
        <f>_xlfn.XLOOKUP(Table1[[#This Row],[EnvironmentSatisfaction]],Table9[EnvironmentSatisfaction],Table9[Deskripsi])</f>
        <v>Low</v>
      </c>
      <c r="S1429" t="str">
        <f>_xlfn.XLOOKUP(Table1[[#This Row],[Gender]],Table10[Gender],Table10[Id_Gender])</f>
        <v>G002</v>
      </c>
      <c r="T1429" t="s">
        <v>46</v>
      </c>
      <c r="U1429">
        <v>83</v>
      </c>
      <c r="V1429" t="str">
        <f>_xlfn.XLOOKUP(Table1[[#This Row],[JobInvolvement]],Table11[JobInvolvement],Table11[Id_JobInvolvement])</f>
        <v>JI003</v>
      </c>
      <c r="W1429">
        <v>3</v>
      </c>
      <c r="X1429" t="str">
        <f>_xlfn.XLOOKUP(Table1[[#This Row],[JobLevel]],Table12[JobLevel],Table12[Id_JobLevel])</f>
        <v>JL001</v>
      </c>
      <c r="Y1429">
        <v>1</v>
      </c>
      <c r="Z1429" t="str">
        <f>_xlfn.XLOOKUP(Table1[[#This Row],[JobRole]],Table13[JobRole],Table13[Id_JobRole])</f>
        <v>JR003</v>
      </c>
      <c r="AA1429" t="s">
        <v>49</v>
      </c>
      <c r="AB1429" t="str">
        <f>_xlfn.XLOOKUP(Table1[[#This Row],[JobSatisfaction]],Table14[JobSatisfaction],Table14[Id_JobSatisfaction])</f>
        <v>JS004</v>
      </c>
      <c r="AC1429">
        <v>4</v>
      </c>
      <c r="AD1429" t="str">
        <f>_xlfn.XLOOKUP(Table1[[#This Row],[JobSatisfaction]],Table14[JobSatisfaction],Table14[Deskripsi])</f>
        <v>Very High</v>
      </c>
      <c r="AE1429" t="str">
        <f>_xlfn.XLOOKUP(Table1[[#This Row],[MaritalStatus]],Table15[MaritalStatus],Table15[Id_MaritalStatus])</f>
        <v>MS002</v>
      </c>
      <c r="AF1429" t="s">
        <v>56</v>
      </c>
      <c r="AG1429">
        <v>2406</v>
      </c>
      <c r="AH1429">
        <v>4060</v>
      </c>
      <c r="AI1429">
        <v>8</v>
      </c>
      <c r="AJ1429" t="str">
        <f>_xlfn.XLOOKUP(Table1[[#This Row],[OverTime]],Table16[OverTime],Table16[Id_OverTime])</f>
        <v>OT002</v>
      </c>
      <c r="AK1429" t="s">
        <v>33</v>
      </c>
      <c r="AL1429">
        <v>19</v>
      </c>
      <c r="AM1429" t="str">
        <f>_xlfn.XLOOKUP(Table1[[#This Row],[PerformanceRating]],Table17[PerformanceRating],Table17[Id_PerformanceRating])</f>
        <v>PR003</v>
      </c>
      <c r="AN1429">
        <v>3</v>
      </c>
      <c r="AO1429" t="str">
        <f>_xlfn.XLOOKUP(Table1[[#This Row],[PerformanceRating]],Table17[PerformanceRating],Table17[Deskripsi])</f>
        <v>Excellent</v>
      </c>
      <c r="AP1429" t="str">
        <f>_xlfn.XLOOKUP(Table1[[#This Row],[RelationshipSatisfaction]],Table18[RelationshipSatisfaction],Table18[Id_RelationshipSatisfaction])</f>
        <v>RS003</v>
      </c>
      <c r="AQ1429">
        <v>3</v>
      </c>
      <c r="AR1429" t="str">
        <f>_xlfn.XLOOKUP(Table1[[#This Row],[RelationshipSatisfaction]],Table18[RelationshipSatisfaction],Table18[Deskripsi])</f>
        <v>High</v>
      </c>
      <c r="AS1429" t="str">
        <f>_xlfn.XLOOKUP(Table1[[#This Row],[StockOptionLevel]],Table19[StockOptionLevel],Table19[Id_StockOptionLevel])</f>
        <v>SOL003</v>
      </c>
      <c r="AT1429">
        <v>2</v>
      </c>
      <c r="AU1429" t="str">
        <f>_xlfn.XLOOKUP(Table1[[#This Row],[StockOptionLevel]],Table19[StockOptionLevel],Table19[Deskripsi])</f>
        <v>Intermediate</v>
      </c>
      <c r="AV1429">
        <v>8</v>
      </c>
      <c r="AW1429">
        <v>3</v>
      </c>
      <c r="AX1429" t="str">
        <f>_xlfn.XLOOKUP(Table1[[#This Row],[WorkLifeBalance]],Table20[WorkLifeBalance],Table20[Id_WorkLifeBalance])</f>
        <v>WLB003</v>
      </c>
      <c r="AY1429">
        <v>2</v>
      </c>
      <c r="AZ1429" t="str">
        <f>_xlfn.XLOOKUP(Table1[[#This Row],[WorkLifeBalance]],Table20[WorkLifeBalance],Table20[Deskripsi])</f>
        <v>Better</v>
      </c>
      <c r="BA1429">
        <v>1</v>
      </c>
      <c r="BB1429">
        <v>0</v>
      </c>
      <c r="BC1429">
        <v>0</v>
      </c>
      <c r="BD1429">
        <v>0</v>
      </c>
    </row>
    <row r="1430" spans="1:56" x14ac:dyDescent="0.25">
      <c r="A1430">
        <v>32</v>
      </c>
      <c r="B1430" t="str">
        <f>_xlfn.XLOOKUP(Table1[[#This Row],[Attrition]],Table2[Attrition],Table2[Id_Attrition])</f>
        <v>A002</v>
      </c>
      <c r="C1430" t="s">
        <v>33</v>
      </c>
      <c r="D1430" t="str">
        <f>_xlfn.XLOOKUP(Table1[[#This Row],[BusinessTravel]],Table5[BusinessTravel],Table5[Id_BusinessTravel])</f>
        <v>BS001</v>
      </c>
      <c r="E1430" t="s">
        <v>34</v>
      </c>
      <c r="F1430">
        <v>234</v>
      </c>
      <c r="G1430" t="str">
        <f>_xlfn.XLOOKUP(Table1[[#This Row],[Department]],Table6[Department],Table6[Id_Departement])</f>
        <v>D001</v>
      </c>
      <c r="H1430" t="s">
        <v>37</v>
      </c>
      <c r="I1430">
        <v>1</v>
      </c>
      <c r="J1430" t="str">
        <f>_xlfn.XLOOKUP(Table1[[#This Row],[Education]],Table8[Education],Table8[Id_Education])</f>
        <v>E004</v>
      </c>
      <c r="K1430">
        <v>4</v>
      </c>
      <c r="L1430" t="str">
        <f>_xlfn.XLOOKUP(Table1[[#This Row],[EducationField]],Table7[EducationField],Table7[Id_EducationField])</f>
        <v>EF003</v>
      </c>
      <c r="M1430" t="s">
        <v>42</v>
      </c>
      <c r="N1430" t="str">
        <f>_xlfn.XLOOKUP(Table1[[#This Row],[EmployeeNumber]],Table4[EmployeeNumber],Table4[Id_Employee])</f>
        <v>EMP01429</v>
      </c>
      <c r="O1430">
        <v>2013</v>
      </c>
      <c r="P1430" t="str">
        <f>_xlfn.XLOOKUP(Table1[[#This Row],[EnvironmentSatisfaction]],Table9[EnvironmentSatisfaction],Table9[Id_EnviromentSatisfaction])</f>
        <v>ES002</v>
      </c>
      <c r="Q1430">
        <v>2</v>
      </c>
      <c r="R1430" t="str">
        <f>_xlfn.XLOOKUP(Table1[[#This Row],[EnvironmentSatisfaction]],Table9[EnvironmentSatisfaction],Table9[Deskripsi])</f>
        <v>Medium</v>
      </c>
      <c r="S1430" t="str">
        <f>_xlfn.XLOOKUP(Table1[[#This Row],[Gender]],Table10[Gender],Table10[Id_Gender])</f>
        <v>G002</v>
      </c>
      <c r="T1430" t="s">
        <v>46</v>
      </c>
      <c r="U1430">
        <v>68</v>
      </c>
      <c r="V1430" t="str">
        <f>_xlfn.XLOOKUP(Table1[[#This Row],[JobInvolvement]],Table11[JobInvolvement],Table11[Id_JobInvolvement])</f>
        <v>JI002</v>
      </c>
      <c r="W1430">
        <v>2</v>
      </c>
      <c r="X1430" t="str">
        <f>_xlfn.XLOOKUP(Table1[[#This Row],[JobLevel]],Table12[JobLevel],Table12[Id_JobLevel])</f>
        <v>JL001</v>
      </c>
      <c r="Y1430">
        <v>1</v>
      </c>
      <c r="Z1430" t="str">
        <f>_xlfn.XLOOKUP(Table1[[#This Row],[JobRole]],Table13[JobRole],Table13[Id_JobRole])</f>
        <v>JR007</v>
      </c>
      <c r="AA1430" t="s">
        <v>53</v>
      </c>
      <c r="AB1430" t="str">
        <f>_xlfn.XLOOKUP(Table1[[#This Row],[JobSatisfaction]],Table14[JobSatisfaction],Table14[Id_JobSatisfaction])</f>
        <v>JS002</v>
      </c>
      <c r="AC1430">
        <v>2</v>
      </c>
      <c r="AD1430" t="str">
        <f>_xlfn.XLOOKUP(Table1[[#This Row],[JobSatisfaction]],Table14[JobSatisfaction],Table14[Deskripsi])</f>
        <v>Medium</v>
      </c>
      <c r="AE1430" t="str">
        <f>_xlfn.XLOOKUP(Table1[[#This Row],[MaritalStatus]],Table15[MaritalStatus],Table15[Id_MaritalStatus])</f>
        <v>MS002</v>
      </c>
      <c r="AF1430" t="s">
        <v>56</v>
      </c>
      <c r="AG1430">
        <v>2269</v>
      </c>
      <c r="AH1430">
        <v>18024</v>
      </c>
      <c r="AI1430">
        <v>0</v>
      </c>
      <c r="AJ1430" t="str">
        <f>_xlfn.XLOOKUP(Table1[[#This Row],[OverTime]],Table16[OverTime],Table16[Id_OverTime])</f>
        <v>OT002</v>
      </c>
      <c r="AK1430" t="s">
        <v>33</v>
      </c>
      <c r="AL1430">
        <v>14</v>
      </c>
      <c r="AM1430" t="str">
        <f>_xlfn.XLOOKUP(Table1[[#This Row],[PerformanceRating]],Table17[PerformanceRating],Table17[Id_PerformanceRating])</f>
        <v>PR003</v>
      </c>
      <c r="AN1430">
        <v>3</v>
      </c>
      <c r="AO1430" t="str">
        <f>_xlfn.XLOOKUP(Table1[[#This Row],[PerformanceRating]],Table17[PerformanceRating],Table17[Deskripsi])</f>
        <v>Excellent</v>
      </c>
      <c r="AP1430" t="str">
        <f>_xlfn.XLOOKUP(Table1[[#This Row],[RelationshipSatisfaction]],Table18[RelationshipSatisfaction],Table18[Id_RelationshipSatisfaction])</f>
        <v>RS002</v>
      </c>
      <c r="AQ1430">
        <v>2</v>
      </c>
      <c r="AR1430" t="str">
        <f>_xlfn.XLOOKUP(Table1[[#This Row],[RelationshipSatisfaction]],Table18[RelationshipSatisfaction],Table18[Deskripsi])</f>
        <v>Medium</v>
      </c>
      <c r="AS1430" t="str">
        <f>_xlfn.XLOOKUP(Table1[[#This Row],[StockOptionLevel]],Table19[StockOptionLevel],Table19[Id_StockOptionLevel])</f>
        <v>SOL002</v>
      </c>
      <c r="AT1430">
        <v>1</v>
      </c>
      <c r="AU1430" t="str">
        <f>_xlfn.XLOOKUP(Table1[[#This Row],[StockOptionLevel]],Table19[StockOptionLevel],Table19[Deskripsi])</f>
        <v>Standard</v>
      </c>
      <c r="AV1430">
        <v>3</v>
      </c>
      <c r="AW1430">
        <v>2</v>
      </c>
      <c r="AX1430" t="str">
        <f>_xlfn.XLOOKUP(Table1[[#This Row],[WorkLifeBalance]],Table20[WorkLifeBalance],Table20[Id_WorkLifeBalance])</f>
        <v>WLB002</v>
      </c>
      <c r="AY1430">
        <v>3</v>
      </c>
      <c r="AZ1430" t="str">
        <f>_xlfn.XLOOKUP(Table1[[#This Row],[WorkLifeBalance]],Table20[WorkLifeBalance],Table20[Deskripsi])</f>
        <v>Good</v>
      </c>
      <c r="BA1430">
        <v>2</v>
      </c>
      <c r="BB1430">
        <v>2</v>
      </c>
      <c r="BC1430">
        <v>2</v>
      </c>
      <c r="BD1430">
        <v>2</v>
      </c>
    </row>
    <row r="1431" spans="1:56" x14ac:dyDescent="0.25">
      <c r="A1431">
        <v>39</v>
      </c>
      <c r="B1431" t="str">
        <f>_xlfn.XLOOKUP(Table1[[#This Row],[Attrition]],Table2[Attrition],Table2[Id_Attrition])</f>
        <v>A002</v>
      </c>
      <c r="C1431" t="s">
        <v>33</v>
      </c>
      <c r="D1431" t="str">
        <f>_xlfn.XLOOKUP(Table1[[#This Row],[BusinessTravel]],Table5[BusinessTravel],Table5[Id_BusinessTravel])</f>
        <v>BS001</v>
      </c>
      <c r="E1431" t="s">
        <v>34</v>
      </c>
      <c r="F1431">
        <v>116</v>
      </c>
      <c r="G1431" t="str">
        <f>_xlfn.XLOOKUP(Table1[[#This Row],[Department]],Table6[Department],Table6[Id_Departement])</f>
        <v>D002</v>
      </c>
      <c r="H1431" t="s">
        <v>38</v>
      </c>
      <c r="I1431">
        <v>24</v>
      </c>
      <c r="J1431" t="str">
        <f>_xlfn.XLOOKUP(Table1[[#This Row],[Education]],Table8[Education],Table8[Id_Education])</f>
        <v>E001</v>
      </c>
      <c r="K1431">
        <v>1</v>
      </c>
      <c r="L1431" t="str">
        <f>_xlfn.XLOOKUP(Table1[[#This Row],[EducationField]],Table7[EducationField],Table7[Id_EducationField])</f>
        <v>EF001</v>
      </c>
      <c r="M1431" t="s">
        <v>40</v>
      </c>
      <c r="N1431" t="str">
        <f>_xlfn.XLOOKUP(Table1[[#This Row],[EmployeeNumber]],Table4[EmployeeNumber],Table4[Id_Employee])</f>
        <v>EMP01430</v>
      </c>
      <c r="O1431">
        <v>2014</v>
      </c>
      <c r="P1431" t="str">
        <f>_xlfn.XLOOKUP(Table1[[#This Row],[EnvironmentSatisfaction]],Table9[EnvironmentSatisfaction],Table9[Id_EnviromentSatisfaction])</f>
        <v>ES001</v>
      </c>
      <c r="Q1431">
        <v>1</v>
      </c>
      <c r="R1431" t="str">
        <f>_xlfn.XLOOKUP(Table1[[#This Row],[EnvironmentSatisfaction]],Table9[EnvironmentSatisfaction],Table9[Deskripsi])</f>
        <v>Low</v>
      </c>
      <c r="S1431" t="str">
        <f>_xlfn.XLOOKUP(Table1[[#This Row],[Gender]],Table10[Gender],Table10[Id_Gender])</f>
        <v>G002</v>
      </c>
      <c r="T1431" t="s">
        <v>46</v>
      </c>
      <c r="U1431">
        <v>52</v>
      </c>
      <c r="V1431" t="str">
        <f>_xlfn.XLOOKUP(Table1[[#This Row],[JobInvolvement]],Table11[JobInvolvement],Table11[Id_JobInvolvement])</f>
        <v>JI003</v>
      </c>
      <c r="W1431">
        <v>3</v>
      </c>
      <c r="X1431" t="str">
        <f>_xlfn.XLOOKUP(Table1[[#This Row],[JobLevel]],Table12[JobLevel],Table12[Id_JobLevel])</f>
        <v>JL002</v>
      </c>
      <c r="Y1431">
        <v>2</v>
      </c>
      <c r="Z1431" t="str">
        <f>_xlfn.XLOOKUP(Table1[[#This Row],[JobRole]],Table13[JobRole],Table13[Id_JobRole])</f>
        <v>JR002</v>
      </c>
      <c r="AA1431" t="s">
        <v>48</v>
      </c>
      <c r="AB1431" t="str">
        <f>_xlfn.XLOOKUP(Table1[[#This Row],[JobSatisfaction]],Table14[JobSatisfaction],Table14[Id_JobSatisfaction])</f>
        <v>JS004</v>
      </c>
      <c r="AC1431">
        <v>4</v>
      </c>
      <c r="AD1431" t="str">
        <f>_xlfn.XLOOKUP(Table1[[#This Row],[JobSatisfaction]],Table14[JobSatisfaction],Table14[Deskripsi])</f>
        <v>Very High</v>
      </c>
      <c r="AE1431" t="str">
        <f>_xlfn.XLOOKUP(Table1[[#This Row],[MaritalStatus]],Table15[MaritalStatus],Table15[Id_MaritalStatus])</f>
        <v>MS001</v>
      </c>
      <c r="AF1431" t="s">
        <v>55</v>
      </c>
      <c r="AG1431">
        <v>4108</v>
      </c>
      <c r="AH1431">
        <v>5340</v>
      </c>
      <c r="AI1431">
        <v>7</v>
      </c>
      <c r="AJ1431" t="str">
        <f>_xlfn.XLOOKUP(Table1[[#This Row],[OverTime]],Table16[OverTime],Table16[Id_OverTime])</f>
        <v>OT002</v>
      </c>
      <c r="AK1431" t="s">
        <v>33</v>
      </c>
      <c r="AL1431">
        <v>13</v>
      </c>
      <c r="AM1431" t="str">
        <f>_xlfn.XLOOKUP(Table1[[#This Row],[PerformanceRating]],Table17[PerformanceRating],Table17[Id_PerformanceRating])</f>
        <v>PR003</v>
      </c>
      <c r="AN1431">
        <v>3</v>
      </c>
      <c r="AO1431" t="str">
        <f>_xlfn.XLOOKUP(Table1[[#This Row],[PerformanceRating]],Table17[PerformanceRating],Table17[Deskripsi])</f>
        <v>Excellent</v>
      </c>
      <c r="AP1431" t="str">
        <f>_xlfn.XLOOKUP(Table1[[#This Row],[RelationshipSatisfaction]],Table18[RelationshipSatisfaction],Table18[Id_RelationshipSatisfaction])</f>
        <v>RS001</v>
      </c>
      <c r="AQ1431">
        <v>1</v>
      </c>
      <c r="AR1431" t="str">
        <f>_xlfn.XLOOKUP(Table1[[#This Row],[RelationshipSatisfaction]],Table18[RelationshipSatisfaction],Table18[Deskripsi])</f>
        <v>Low</v>
      </c>
      <c r="AS1431" t="str">
        <f>_xlfn.XLOOKUP(Table1[[#This Row],[StockOptionLevel]],Table19[StockOptionLevel],Table19[Id_StockOptionLevel])</f>
        <v>SOL001</v>
      </c>
      <c r="AT1431">
        <v>0</v>
      </c>
      <c r="AU1431" t="str">
        <f>_xlfn.XLOOKUP(Table1[[#This Row],[StockOptionLevel]],Table19[StockOptionLevel],Table19[Deskripsi])</f>
        <v>Non-Eligible</v>
      </c>
      <c r="AV1431">
        <v>18</v>
      </c>
      <c r="AW1431">
        <v>2</v>
      </c>
      <c r="AX1431" t="str">
        <f>_xlfn.XLOOKUP(Table1[[#This Row],[WorkLifeBalance]],Table20[WorkLifeBalance],Table20[Id_WorkLifeBalance])</f>
        <v>WLB002</v>
      </c>
      <c r="AY1431">
        <v>3</v>
      </c>
      <c r="AZ1431" t="str">
        <f>_xlfn.XLOOKUP(Table1[[#This Row],[WorkLifeBalance]],Table20[WorkLifeBalance],Table20[Deskripsi])</f>
        <v>Good</v>
      </c>
      <c r="BA1431">
        <v>7</v>
      </c>
      <c r="BB1431">
        <v>7</v>
      </c>
      <c r="BC1431">
        <v>1</v>
      </c>
      <c r="BD1431">
        <v>7</v>
      </c>
    </row>
    <row r="1432" spans="1:56" x14ac:dyDescent="0.25">
      <c r="A1432">
        <v>38</v>
      </c>
      <c r="B1432" t="str">
        <f>_xlfn.XLOOKUP(Table1[[#This Row],[Attrition]],Table2[Attrition],Table2[Id_Attrition])</f>
        <v>A002</v>
      </c>
      <c r="C1432" t="s">
        <v>33</v>
      </c>
      <c r="D1432" t="str">
        <f>_xlfn.XLOOKUP(Table1[[#This Row],[BusinessTravel]],Table5[BusinessTravel],Table5[Id_BusinessTravel])</f>
        <v>BS001</v>
      </c>
      <c r="E1432" t="s">
        <v>34</v>
      </c>
      <c r="F1432">
        <v>201</v>
      </c>
      <c r="G1432" t="str">
        <f>_xlfn.XLOOKUP(Table1[[#This Row],[Department]],Table6[Department],Table6[Id_Departement])</f>
        <v>D002</v>
      </c>
      <c r="H1432" t="s">
        <v>38</v>
      </c>
      <c r="I1432">
        <v>10</v>
      </c>
      <c r="J1432" t="str">
        <f>_xlfn.XLOOKUP(Table1[[#This Row],[Education]],Table8[Education],Table8[Id_Education])</f>
        <v>E003</v>
      </c>
      <c r="K1432">
        <v>3</v>
      </c>
      <c r="L1432" t="str">
        <f>_xlfn.XLOOKUP(Table1[[#This Row],[EducationField]],Table7[EducationField],Table7[Id_EducationField])</f>
        <v>EF003</v>
      </c>
      <c r="M1432" t="s">
        <v>42</v>
      </c>
      <c r="N1432" t="str">
        <f>_xlfn.XLOOKUP(Table1[[#This Row],[EmployeeNumber]],Table4[EmployeeNumber],Table4[Id_Employee])</f>
        <v>EMP01431</v>
      </c>
      <c r="O1432">
        <v>2015</v>
      </c>
      <c r="P1432" t="str">
        <f>_xlfn.XLOOKUP(Table1[[#This Row],[EnvironmentSatisfaction]],Table9[EnvironmentSatisfaction],Table9[Id_EnviromentSatisfaction])</f>
        <v>ES002</v>
      </c>
      <c r="Q1432">
        <v>2</v>
      </c>
      <c r="R1432" t="str">
        <f>_xlfn.XLOOKUP(Table1[[#This Row],[EnvironmentSatisfaction]],Table9[EnvironmentSatisfaction],Table9[Deskripsi])</f>
        <v>Medium</v>
      </c>
      <c r="S1432" t="str">
        <f>_xlfn.XLOOKUP(Table1[[#This Row],[Gender]],Table10[Gender],Table10[Id_Gender])</f>
        <v>G001</v>
      </c>
      <c r="T1432" t="s">
        <v>45</v>
      </c>
      <c r="U1432">
        <v>99</v>
      </c>
      <c r="V1432" t="str">
        <f>_xlfn.XLOOKUP(Table1[[#This Row],[JobInvolvement]],Table11[JobInvolvement],Table11[Id_JobInvolvement])</f>
        <v>JI001</v>
      </c>
      <c r="W1432">
        <v>1</v>
      </c>
      <c r="X1432" t="str">
        <f>_xlfn.XLOOKUP(Table1[[#This Row],[JobLevel]],Table12[JobLevel],Table12[Id_JobLevel])</f>
        <v>JL003</v>
      </c>
      <c r="Y1432">
        <v>3</v>
      </c>
      <c r="Z1432" t="str">
        <f>_xlfn.XLOOKUP(Table1[[#This Row],[JobRole]],Table13[JobRole],Table13[Id_JobRole])</f>
        <v>JR008</v>
      </c>
      <c r="AA1432" t="s">
        <v>54</v>
      </c>
      <c r="AB1432" t="str">
        <f>_xlfn.XLOOKUP(Table1[[#This Row],[JobSatisfaction]],Table14[JobSatisfaction],Table14[Id_JobSatisfaction])</f>
        <v>JS003</v>
      </c>
      <c r="AC1432">
        <v>3</v>
      </c>
      <c r="AD1432" t="str">
        <f>_xlfn.XLOOKUP(Table1[[#This Row],[JobSatisfaction]],Table14[JobSatisfaction],Table14[Deskripsi])</f>
        <v>High</v>
      </c>
      <c r="AE1432" t="str">
        <f>_xlfn.XLOOKUP(Table1[[#This Row],[MaritalStatus]],Table15[MaritalStatus],Table15[Id_MaritalStatus])</f>
        <v>MS002</v>
      </c>
      <c r="AF1432" t="s">
        <v>56</v>
      </c>
      <c r="AG1432">
        <v>13206</v>
      </c>
      <c r="AH1432">
        <v>3376</v>
      </c>
      <c r="AI1432">
        <v>3</v>
      </c>
      <c r="AJ1432" t="str">
        <f>_xlfn.XLOOKUP(Table1[[#This Row],[OverTime]],Table16[OverTime],Table16[Id_OverTime])</f>
        <v>OT002</v>
      </c>
      <c r="AK1432" t="s">
        <v>33</v>
      </c>
      <c r="AL1432">
        <v>12</v>
      </c>
      <c r="AM1432" t="str">
        <f>_xlfn.XLOOKUP(Table1[[#This Row],[PerformanceRating]],Table17[PerformanceRating],Table17[Id_PerformanceRating])</f>
        <v>PR003</v>
      </c>
      <c r="AN1432">
        <v>3</v>
      </c>
      <c r="AO1432" t="str">
        <f>_xlfn.XLOOKUP(Table1[[#This Row],[PerformanceRating]],Table17[PerformanceRating],Table17[Deskripsi])</f>
        <v>Excellent</v>
      </c>
      <c r="AP1432" t="str">
        <f>_xlfn.XLOOKUP(Table1[[#This Row],[RelationshipSatisfaction]],Table18[RelationshipSatisfaction],Table18[Id_RelationshipSatisfaction])</f>
        <v>RS001</v>
      </c>
      <c r="AQ1432">
        <v>1</v>
      </c>
      <c r="AR1432" t="str">
        <f>_xlfn.XLOOKUP(Table1[[#This Row],[RelationshipSatisfaction]],Table18[RelationshipSatisfaction],Table18[Deskripsi])</f>
        <v>Low</v>
      </c>
      <c r="AS1432" t="str">
        <f>_xlfn.XLOOKUP(Table1[[#This Row],[StockOptionLevel]],Table19[StockOptionLevel],Table19[Id_StockOptionLevel])</f>
        <v>SOL002</v>
      </c>
      <c r="AT1432">
        <v>1</v>
      </c>
      <c r="AU1432" t="str">
        <f>_xlfn.XLOOKUP(Table1[[#This Row],[StockOptionLevel]],Table19[StockOptionLevel],Table19[Deskripsi])</f>
        <v>Standard</v>
      </c>
      <c r="AV1432">
        <v>20</v>
      </c>
      <c r="AW1432">
        <v>3</v>
      </c>
      <c r="AX1432" t="str">
        <f>_xlfn.XLOOKUP(Table1[[#This Row],[WorkLifeBalance]],Table20[WorkLifeBalance],Table20[Id_WorkLifeBalance])</f>
        <v>WLB002</v>
      </c>
      <c r="AY1432">
        <v>3</v>
      </c>
      <c r="AZ1432" t="str">
        <f>_xlfn.XLOOKUP(Table1[[#This Row],[WorkLifeBalance]],Table20[WorkLifeBalance],Table20[Deskripsi])</f>
        <v>Good</v>
      </c>
      <c r="BA1432">
        <v>18</v>
      </c>
      <c r="BB1432">
        <v>16</v>
      </c>
      <c r="BC1432">
        <v>1</v>
      </c>
      <c r="BD1432">
        <v>11</v>
      </c>
    </row>
    <row r="1433" spans="1:56" x14ac:dyDescent="0.25">
      <c r="A1433">
        <v>32</v>
      </c>
      <c r="B1433" t="str">
        <f>_xlfn.XLOOKUP(Table1[[#This Row],[Attrition]],Table2[Attrition],Table2[Id_Attrition])</f>
        <v>A002</v>
      </c>
      <c r="C1433" t="s">
        <v>33</v>
      </c>
      <c r="D1433" t="str">
        <f>_xlfn.XLOOKUP(Table1[[#This Row],[BusinessTravel]],Table5[BusinessTravel],Table5[Id_BusinessTravel])</f>
        <v>BS001</v>
      </c>
      <c r="E1433" t="s">
        <v>34</v>
      </c>
      <c r="F1433">
        <v>801</v>
      </c>
      <c r="G1433" t="str">
        <f>_xlfn.XLOOKUP(Table1[[#This Row],[Department]],Table6[Department],Table6[Id_Departement])</f>
        <v>D001</v>
      </c>
      <c r="H1433" t="s">
        <v>37</v>
      </c>
      <c r="I1433">
        <v>1</v>
      </c>
      <c r="J1433" t="str">
        <f>_xlfn.XLOOKUP(Table1[[#This Row],[Education]],Table8[Education],Table8[Id_Education])</f>
        <v>E004</v>
      </c>
      <c r="K1433">
        <v>4</v>
      </c>
      <c r="L1433" t="str">
        <f>_xlfn.XLOOKUP(Table1[[#This Row],[EducationField]],Table7[EducationField],Table7[Id_EducationField])</f>
        <v>EF004</v>
      </c>
      <c r="M1433" t="s">
        <v>43</v>
      </c>
      <c r="N1433" t="str">
        <f>_xlfn.XLOOKUP(Table1[[#This Row],[EmployeeNumber]],Table4[EmployeeNumber],Table4[Id_Employee])</f>
        <v>EMP01432</v>
      </c>
      <c r="O1433">
        <v>2016</v>
      </c>
      <c r="P1433" t="str">
        <f>_xlfn.XLOOKUP(Table1[[#This Row],[EnvironmentSatisfaction]],Table9[EnvironmentSatisfaction],Table9[Id_EnviromentSatisfaction])</f>
        <v>ES003</v>
      </c>
      <c r="Q1433">
        <v>3</v>
      </c>
      <c r="R1433" t="str">
        <f>_xlfn.XLOOKUP(Table1[[#This Row],[EnvironmentSatisfaction]],Table9[EnvironmentSatisfaction],Table9[Deskripsi])</f>
        <v>High</v>
      </c>
      <c r="S1433" t="str">
        <f>_xlfn.XLOOKUP(Table1[[#This Row],[Gender]],Table10[Gender],Table10[Id_Gender])</f>
        <v>G001</v>
      </c>
      <c r="T1433" t="s">
        <v>45</v>
      </c>
      <c r="U1433">
        <v>48</v>
      </c>
      <c r="V1433" t="str">
        <f>_xlfn.XLOOKUP(Table1[[#This Row],[JobInvolvement]],Table11[JobInvolvement],Table11[Id_JobInvolvement])</f>
        <v>JI003</v>
      </c>
      <c r="W1433">
        <v>3</v>
      </c>
      <c r="X1433" t="str">
        <f>_xlfn.XLOOKUP(Table1[[#This Row],[JobLevel]],Table12[JobLevel],Table12[Id_JobLevel])</f>
        <v>JL003</v>
      </c>
      <c r="Y1433">
        <v>3</v>
      </c>
      <c r="Z1433" t="str">
        <f>_xlfn.XLOOKUP(Table1[[#This Row],[JobRole]],Table13[JobRole],Table13[Id_JobRole])</f>
        <v>JR001</v>
      </c>
      <c r="AA1433" t="s">
        <v>47</v>
      </c>
      <c r="AB1433" t="str">
        <f>_xlfn.XLOOKUP(Table1[[#This Row],[JobSatisfaction]],Table14[JobSatisfaction],Table14[Id_JobSatisfaction])</f>
        <v>JS004</v>
      </c>
      <c r="AC1433">
        <v>4</v>
      </c>
      <c r="AD1433" t="str">
        <f>_xlfn.XLOOKUP(Table1[[#This Row],[JobSatisfaction]],Table14[JobSatisfaction],Table14[Deskripsi])</f>
        <v>Very High</v>
      </c>
      <c r="AE1433" t="str">
        <f>_xlfn.XLOOKUP(Table1[[#This Row],[MaritalStatus]],Table15[MaritalStatus],Table15[Id_MaritalStatus])</f>
        <v>MS002</v>
      </c>
      <c r="AF1433" t="s">
        <v>56</v>
      </c>
      <c r="AG1433">
        <v>10422</v>
      </c>
      <c r="AH1433">
        <v>24032</v>
      </c>
      <c r="AI1433">
        <v>1</v>
      </c>
      <c r="AJ1433" t="str">
        <f>_xlfn.XLOOKUP(Table1[[#This Row],[OverTime]],Table16[OverTime],Table16[Id_OverTime])</f>
        <v>OT002</v>
      </c>
      <c r="AK1433" t="s">
        <v>33</v>
      </c>
      <c r="AL1433">
        <v>19</v>
      </c>
      <c r="AM1433" t="str">
        <f>_xlfn.XLOOKUP(Table1[[#This Row],[PerformanceRating]],Table17[PerformanceRating],Table17[Id_PerformanceRating])</f>
        <v>PR003</v>
      </c>
      <c r="AN1433">
        <v>3</v>
      </c>
      <c r="AO1433" t="str">
        <f>_xlfn.XLOOKUP(Table1[[#This Row],[PerformanceRating]],Table17[PerformanceRating],Table17[Deskripsi])</f>
        <v>Excellent</v>
      </c>
      <c r="AP1433" t="str">
        <f>_xlfn.XLOOKUP(Table1[[#This Row],[RelationshipSatisfaction]],Table18[RelationshipSatisfaction],Table18[Id_RelationshipSatisfaction])</f>
        <v>RS003</v>
      </c>
      <c r="AQ1433">
        <v>3</v>
      </c>
      <c r="AR1433" t="str">
        <f>_xlfn.XLOOKUP(Table1[[#This Row],[RelationshipSatisfaction]],Table18[RelationshipSatisfaction],Table18[Deskripsi])</f>
        <v>High</v>
      </c>
      <c r="AS1433" t="str">
        <f>_xlfn.XLOOKUP(Table1[[#This Row],[StockOptionLevel]],Table19[StockOptionLevel],Table19[Id_StockOptionLevel])</f>
        <v>SOL003</v>
      </c>
      <c r="AT1433">
        <v>2</v>
      </c>
      <c r="AU1433" t="str">
        <f>_xlfn.XLOOKUP(Table1[[#This Row],[StockOptionLevel]],Table19[StockOptionLevel],Table19[Deskripsi])</f>
        <v>Intermediate</v>
      </c>
      <c r="AV1433">
        <v>14</v>
      </c>
      <c r="AW1433">
        <v>3</v>
      </c>
      <c r="AX1433" t="str">
        <f>_xlfn.XLOOKUP(Table1[[#This Row],[WorkLifeBalance]],Table20[WorkLifeBalance],Table20[Id_WorkLifeBalance])</f>
        <v>WLB002</v>
      </c>
      <c r="AY1433">
        <v>3</v>
      </c>
      <c r="AZ1433" t="str">
        <f>_xlfn.XLOOKUP(Table1[[#This Row],[WorkLifeBalance]],Table20[WorkLifeBalance],Table20[Deskripsi])</f>
        <v>Good</v>
      </c>
      <c r="BA1433">
        <v>14</v>
      </c>
      <c r="BB1433">
        <v>10</v>
      </c>
      <c r="BC1433">
        <v>5</v>
      </c>
      <c r="BD1433">
        <v>7</v>
      </c>
    </row>
    <row r="1434" spans="1:56" x14ac:dyDescent="0.25">
      <c r="A1434">
        <v>37</v>
      </c>
      <c r="B1434" t="str">
        <f>_xlfn.XLOOKUP(Table1[[#This Row],[Attrition]],Table2[Attrition],Table2[Id_Attrition])</f>
        <v>A002</v>
      </c>
      <c r="C1434" t="s">
        <v>33</v>
      </c>
      <c r="D1434" t="str">
        <f>_xlfn.XLOOKUP(Table1[[#This Row],[BusinessTravel]],Table5[BusinessTravel],Table5[Id_BusinessTravel])</f>
        <v>BS001</v>
      </c>
      <c r="E1434" t="s">
        <v>34</v>
      </c>
      <c r="F1434">
        <v>161</v>
      </c>
      <c r="G1434" t="str">
        <f>_xlfn.XLOOKUP(Table1[[#This Row],[Department]],Table6[Department],Table6[Id_Departement])</f>
        <v>D002</v>
      </c>
      <c r="H1434" t="s">
        <v>38</v>
      </c>
      <c r="I1434">
        <v>10</v>
      </c>
      <c r="J1434" t="str">
        <f>_xlfn.XLOOKUP(Table1[[#This Row],[Education]],Table8[Education],Table8[Id_Education])</f>
        <v>E003</v>
      </c>
      <c r="K1434">
        <v>3</v>
      </c>
      <c r="L1434" t="str">
        <f>_xlfn.XLOOKUP(Table1[[#This Row],[EducationField]],Table7[EducationField],Table7[Id_EducationField])</f>
        <v>EF001</v>
      </c>
      <c r="M1434" t="s">
        <v>40</v>
      </c>
      <c r="N1434" t="str">
        <f>_xlfn.XLOOKUP(Table1[[#This Row],[EmployeeNumber]],Table4[EmployeeNumber],Table4[Id_Employee])</f>
        <v>EMP01433</v>
      </c>
      <c r="O1434">
        <v>2017</v>
      </c>
      <c r="P1434" t="str">
        <f>_xlfn.XLOOKUP(Table1[[#This Row],[EnvironmentSatisfaction]],Table9[EnvironmentSatisfaction],Table9[Id_EnviromentSatisfaction])</f>
        <v>ES003</v>
      </c>
      <c r="Q1434">
        <v>3</v>
      </c>
      <c r="R1434" t="str">
        <f>_xlfn.XLOOKUP(Table1[[#This Row],[EnvironmentSatisfaction]],Table9[EnvironmentSatisfaction],Table9[Deskripsi])</f>
        <v>High</v>
      </c>
      <c r="S1434" t="str">
        <f>_xlfn.XLOOKUP(Table1[[#This Row],[Gender]],Table10[Gender],Table10[Id_Gender])</f>
        <v>G001</v>
      </c>
      <c r="T1434" t="s">
        <v>45</v>
      </c>
      <c r="U1434">
        <v>42</v>
      </c>
      <c r="V1434" t="str">
        <f>_xlfn.XLOOKUP(Table1[[#This Row],[JobInvolvement]],Table11[JobInvolvement],Table11[Id_JobInvolvement])</f>
        <v>JI004</v>
      </c>
      <c r="W1434">
        <v>4</v>
      </c>
      <c r="X1434" t="str">
        <f>_xlfn.XLOOKUP(Table1[[#This Row],[JobLevel]],Table12[JobLevel],Table12[Id_JobLevel])</f>
        <v>JL003</v>
      </c>
      <c r="Y1434">
        <v>3</v>
      </c>
      <c r="Z1434" t="str">
        <f>_xlfn.XLOOKUP(Table1[[#This Row],[JobRole]],Table13[JobRole],Table13[Id_JobRole])</f>
        <v>JR008</v>
      </c>
      <c r="AA1434" t="s">
        <v>54</v>
      </c>
      <c r="AB1434" t="str">
        <f>_xlfn.XLOOKUP(Table1[[#This Row],[JobSatisfaction]],Table14[JobSatisfaction],Table14[Id_JobSatisfaction])</f>
        <v>JS004</v>
      </c>
      <c r="AC1434">
        <v>4</v>
      </c>
      <c r="AD1434" t="str">
        <f>_xlfn.XLOOKUP(Table1[[#This Row],[JobSatisfaction]],Table14[JobSatisfaction],Table14[Deskripsi])</f>
        <v>Very High</v>
      </c>
      <c r="AE1434" t="str">
        <f>_xlfn.XLOOKUP(Table1[[#This Row],[MaritalStatus]],Table15[MaritalStatus],Table15[Id_MaritalStatus])</f>
        <v>MS002</v>
      </c>
      <c r="AF1434" t="s">
        <v>56</v>
      </c>
      <c r="AG1434">
        <v>13744</v>
      </c>
      <c r="AH1434">
        <v>15471</v>
      </c>
      <c r="AI1434">
        <v>1</v>
      </c>
      <c r="AJ1434" t="str">
        <f>_xlfn.XLOOKUP(Table1[[#This Row],[OverTime]],Table16[OverTime],Table16[Id_OverTime])</f>
        <v>OT001</v>
      </c>
      <c r="AK1434" t="s">
        <v>32</v>
      </c>
      <c r="AL1434">
        <v>25</v>
      </c>
      <c r="AM1434" t="str">
        <f>_xlfn.XLOOKUP(Table1[[#This Row],[PerformanceRating]],Table17[PerformanceRating],Table17[Id_PerformanceRating])</f>
        <v>PR004</v>
      </c>
      <c r="AN1434">
        <v>4</v>
      </c>
      <c r="AO1434" t="str">
        <f>_xlfn.XLOOKUP(Table1[[#This Row],[PerformanceRating]],Table17[PerformanceRating],Table17[Deskripsi])</f>
        <v>Outstanding</v>
      </c>
      <c r="AP1434" t="str">
        <f>_xlfn.XLOOKUP(Table1[[#This Row],[RelationshipSatisfaction]],Table18[RelationshipSatisfaction],Table18[Id_RelationshipSatisfaction])</f>
        <v>RS001</v>
      </c>
      <c r="AQ1434">
        <v>1</v>
      </c>
      <c r="AR1434" t="str">
        <f>_xlfn.XLOOKUP(Table1[[#This Row],[RelationshipSatisfaction]],Table18[RelationshipSatisfaction],Table18[Deskripsi])</f>
        <v>Low</v>
      </c>
      <c r="AS1434" t="str">
        <f>_xlfn.XLOOKUP(Table1[[#This Row],[StockOptionLevel]],Table19[StockOptionLevel],Table19[Id_StockOptionLevel])</f>
        <v>SOL002</v>
      </c>
      <c r="AT1434">
        <v>1</v>
      </c>
      <c r="AU1434" t="str">
        <f>_xlfn.XLOOKUP(Table1[[#This Row],[StockOptionLevel]],Table19[StockOptionLevel],Table19[Deskripsi])</f>
        <v>Standard</v>
      </c>
      <c r="AV1434">
        <v>16</v>
      </c>
      <c r="AW1434">
        <v>2</v>
      </c>
      <c r="AX1434" t="str">
        <f>_xlfn.XLOOKUP(Table1[[#This Row],[WorkLifeBalance]],Table20[WorkLifeBalance],Table20[Id_WorkLifeBalance])</f>
        <v>WLB002</v>
      </c>
      <c r="AY1434">
        <v>3</v>
      </c>
      <c r="AZ1434" t="str">
        <f>_xlfn.XLOOKUP(Table1[[#This Row],[WorkLifeBalance]],Table20[WorkLifeBalance],Table20[Deskripsi])</f>
        <v>Good</v>
      </c>
      <c r="BA1434">
        <v>16</v>
      </c>
      <c r="BB1434">
        <v>11</v>
      </c>
      <c r="BC1434">
        <v>6</v>
      </c>
      <c r="BD1434">
        <v>8</v>
      </c>
    </row>
    <row r="1435" spans="1:56" x14ac:dyDescent="0.25">
      <c r="A1435">
        <v>25</v>
      </c>
      <c r="B1435" t="str">
        <f>_xlfn.XLOOKUP(Table1[[#This Row],[Attrition]],Table2[Attrition],Table2[Id_Attrition])</f>
        <v>A002</v>
      </c>
      <c r="C1435" t="s">
        <v>33</v>
      </c>
      <c r="D1435" t="str">
        <f>_xlfn.XLOOKUP(Table1[[#This Row],[BusinessTravel]],Table5[BusinessTravel],Table5[Id_BusinessTravel])</f>
        <v>BS001</v>
      </c>
      <c r="E1435" t="s">
        <v>34</v>
      </c>
      <c r="F1435">
        <v>1382</v>
      </c>
      <c r="G1435" t="str">
        <f>_xlfn.XLOOKUP(Table1[[#This Row],[Department]],Table6[Department],Table6[Id_Departement])</f>
        <v>D001</v>
      </c>
      <c r="H1435" t="s">
        <v>37</v>
      </c>
      <c r="I1435">
        <v>8</v>
      </c>
      <c r="J1435" t="str">
        <f>_xlfn.XLOOKUP(Table1[[#This Row],[Education]],Table8[Education],Table8[Id_Education])</f>
        <v>E002</v>
      </c>
      <c r="K1435">
        <v>2</v>
      </c>
      <c r="L1435" t="str">
        <f>_xlfn.XLOOKUP(Table1[[#This Row],[EducationField]],Table7[EducationField],Table7[Id_EducationField])</f>
        <v>EF002</v>
      </c>
      <c r="M1435" t="s">
        <v>41</v>
      </c>
      <c r="N1435" t="str">
        <f>_xlfn.XLOOKUP(Table1[[#This Row],[EmployeeNumber]],Table4[EmployeeNumber],Table4[Id_Employee])</f>
        <v>EMP01434</v>
      </c>
      <c r="O1435">
        <v>2018</v>
      </c>
      <c r="P1435" t="str">
        <f>_xlfn.XLOOKUP(Table1[[#This Row],[EnvironmentSatisfaction]],Table9[EnvironmentSatisfaction],Table9[Id_EnviromentSatisfaction])</f>
        <v>ES001</v>
      </c>
      <c r="Q1435">
        <v>1</v>
      </c>
      <c r="R1435" t="str">
        <f>_xlfn.XLOOKUP(Table1[[#This Row],[EnvironmentSatisfaction]],Table9[EnvironmentSatisfaction],Table9[Deskripsi])</f>
        <v>Low</v>
      </c>
      <c r="S1435" t="str">
        <f>_xlfn.XLOOKUP(Table1[[#This Row],[Gender]],Table10[Gender],Table10[Id_Gender])</f>
        <v>G001</v>
      </c>
      <c r="T1435" t="s">
        <v>45</v>
      </c>
      <c r="U1435">
        <v>85</v>
      </c>
      <c r="V1435" t="str">
        <f>_xlfn.XLOOKUP(Table1[[#This Row],[JobInvolvement]],Table11[JobInvolvement],Table11[Id_JobInvolvement])</f>
        <v>JI003</v>
      </c>
      <c r="W1435">
        <v>3</v>
      </c>
      <c r="X1435" t="str">
        <f>_xlfn.XLOOKUP(Table1[[#This Row],[JobLevel]],Table12[JobLevel],Table12[Id_JobLevel])</f>
        <v>JL002</v>
      </c>
      <c r="Y1435">
        <v>2</v>
      </c>
      <c r="Z1435" t="str">
        <f>_xlfn.XLOOKUP(Table1[[#This Row],[JobRole]],Table13[JobRole],Table13[Id_JobRole])</f>
        <v>JR001</v>
      </c>
      <c r="AA1435" t="s">
        <v>47</v>
      </c>
      <c r="AB1435" t="str">
        <f>_xlfn.XLOOKUP(Table1[[#This Row],[JobSatisfaction]],Table14[JobSatisfaction],Table14[Id_JobSatisfaction])</f>
        <v>JS003</v>
      </c>
      <c r="AC1435">
        <v>3</v>
      </c>
      <c r="AD1435" t="str">
        <f>_xlfn.XLOOKUP(Table1[[#This Row],[JobSatisfaction]],Table14[JobSatisfaction],Table14[Deskripsi])</f>
        <v>High</v>
      </c>
      <c r="AE1435" t="str">
        <f>_xlfn.XLOOKUP(Table1[[#This Row],[MaritalStatus]],Table15[MaritalStatus],Table15[Id_MaritalStatus])</f>
        <v>MS003</v>
      </c>
      <c r="AF1435" t="s">
        <v>57</v>
      </c>
      <c r="AG1435">
        <v>4907</v>
      </c>
      <c r="AH1435">
        <v>13684</v>
      </c>
      <c r="AI1435">
        <v>0</v>
      </c>
      <c r="AJ1435" t="str">
        <f>_xlfn.XLOOKUP(Table1[[#This Row],[OverTime]],Table16[OverTime],Table16[Id_OverTime])</f>
        <v>OT001</v>
      </c>
      <c r="AK1435" t="s">
        <v>32</v>
      </c>
      <c r="AL1435">
        <v>22</v>
      </c>
      <c r="AM1435" t="str">
        <f>_xlfn.XLOOKUP(Table1[[#This Row],[PerformanceRating]],Table17[PerformanceRating],Table17[Id_PerformanceRating])</f>
        <v>PR004</v>
      </c>
      <c r="AN1435">
        <v>4</v>
      </c>
      <c r="AO1435" t="str">
        <f>_xlfn.XLOOKUP(Table1[[#This Row],[PerformanceRating]],Table17[PerformanceRating],Table17[Deskripsi])</f>
        <v>Outstanding</v>
      </c>
      <c r="AP1435" t="str">
        <f>_xlfn.XLOOKUP(Table1[[#This Row],[RelationshipSatisfaction]],Table18[RelationshipSatisfaction],Table18[Id_RelationshipSatisfaction])</f>
        <v>RS002</v>
      </c>
      <c r="AQ1435">
        <v>2</v>
      </c>
      <c r="AR1435" t="str">
        <f>_xlfn.XLOOKUP(Table1[[#This Row],[RelationshipSatisfaction]],Table18[RelationshipSatisfaction],Table18[Deskripsi])</f>
        <v>Medium</v>
      </c>
      <c r="AS1435" t="str">
        <f>_xlfn.XLOOKUP(Table1[[#This Row],[StockOptionLevel]],Table19[StockOptionLevel],Table19[Id_StockOptionLevel])</f>
        <v>SOL002</v>
      </c>
      <c r="AT1435">
        <v>1</v>
      </c>
      <c r="AU1435" t="str">
        <f>_xlfn.XLOOKUP(Table1[[#This Row],[StockOptionLevel]],Table19[StockOptionLevel],Table19[Deskripsi])</f>
        <v>Standard</v>
      </c>
      <c r="AV1435">
        <v>6</v>
      </c>
      <c r="AW1435">
        <v>3</v>
      </c>
      <c r="AX1435" t="str">
        <f>_xlfn.XLOOKUP(Table1[[#This Row],[WorkLifeBalance]],Table20[WorkLifeBalance],Table20[Id_WorkLifeBalance])</f>
        <v>WLB003</v>
      </c>
      <c r="AY1435">
        <v>2</v>
      </c>
      <c r="AZ1435" t="str">
        <f>_xlfn.XLOOKUP(Table1[[#This Row],[WorkLifeBalance]],Table20[WorkLifeBalance],Table20[Deskripsi])</f>
        <v>Better</v>
      </c>
      <c r="BA1435">
        <v>5</v>
      </c>
      <c r="BB1435">
        <v>3</v>
      </c>
      <c r="BC1435">
        <v>0</v>
      </c>
      <c r="BD1435">
        <v>4</v>
      </c>
    </row>
    <row r="1436" spans="1:56" x14ac:dyDescent="0.25">
      <c r="A1436">
        <v>52</v>
      </c>
      <c r="B1436" t="str">
        <f>_xlfn.XLOOKUP(Table1[[#This Row],[Attrition]],Table2[Attrition],Table2[Id_Attrition])</f>
        <v>A002</v>
      </c>
      <c r="C1436" t="s">
        <v>33</v>
      </c>
      <c r="D1436" t="str">
        <f>_xlfn.XLOOKUP(Table1[[#This Row],[BusinessTravel]],Table5[BusinessTravel],Table5[Id_BusinessTravel])</f>
        <v>BS003</v>
      </c>
      <c r="E1436" t="s">
        <v>36</v>
      </c>
      <c r="F1436">
        <v>585</v>
      </c>
      <c r="G1436" t="str">
        <f>_xlfn.XLOOKUP(Table1[[#This Row],[Department]],Table6[Department],Table6[Id_Departement])</f>
        <v>D001</v>
      </c>
      <c r="H1436" t="s">
        <v>37</v>
      </c>
      <c r="I1436">
        <v>29</v>
      </c>
      <c r="J1436" t="str">
        <f>_xlfn.XLOOKUP(Table1[[#This Row],[Education]],Table8[Education],Table8[Id_Education])</f>
        <v>E004</v>
      </c>
      <c r="K1436">
        <v>4</v>
      </c>
      <c r="L1436" t="str">
        <f>_xlfn.XLOOKUP(Table1[[#This Row],[EducationField]],Table7[EducationField],Table7[Id_EducationField])</f>
        <v>EF001</v>
      </c>
      <c r="M1436" t="s">
        <v>40</v>
      </c>
      <c r="N1436" t="str">
        <f>_xlfn.XLOOKUP(Table1[[#This Row],[EmployeeNumber]],Table4[EmployeeNumber],Table4[Id_Employee])</f>
        <v>EMP01435</v>
      </c>
      <c r="O1436">
        <v>2019</v>
      </c>
      <c r="P1436" t="str">
        <f>_xlfn.XLOOKUP(Table1[[#This Row],[EnvironmentSatisfaction]],Table9[EnvironmentSatisfaction],Table9[Id_EnviromentSatisfaction])</f>
        <v>ES001</v>
      </c>
      <c r="Q1436">
        <v>1</v>
      </c>
      <c r="R1436" t="str">
        <f>_xlfn.XLOOKUP(Table1[[#This Row],[EnvironmentSatisfaction]],Table9[EnvironmentSatisfaction],Table9[Deskripsi])</f>
        <v>Low</v>
      </c>
      <c r="S1436" t="str">
        <f>_xlfn.XLOOKUP(Table1[[#This Row],[Gender]],Table10[Gender],Table10[Id_Gender])</f>
        <v>G002</v>
      </c>
      <c r="T1436" t="s">
        <v>46</v>
      </c>
      <c r="U1436">
        <v>40</v>
      </c>
      <c r="V1436" t="str">
        <f>_xlfn.XLOOKUP(Table1[[#This Row],[JobInvolvement]],Table11[JobInvolvement],Table11[Id_JobInvolvement])</f>
        <v>JI003</v>
      </c>
      <c r="W1436">
        <v>3</v>
      </c>
      <c r="X1436" t="str">
        <f>_xlfn.XLOOKUP(Table1[[#This Row],[JobLevel]],Table12[JobLevel],Table12[Id_JobLevel])</f>
        <v>JL001</v>
      </c>
      <c r="Y1436">
        <v>1</v>
      </c>
      <c r="Z1436" t="str">
        <f>_xlfn.XLOOKUP(Table1[[#This Row],[JobRole]],Table13[JobRole],Table13[Id_JobRole])</f>
        <v>JR007</v>
      </c>
      <c r="AA1436" t="s">
        <v>53</v>
      </c>
      <c r="AB1436" t="str">
        <f>_xlfn.XLOOKUP(Table1[[#This Row],[JobSatisfaction]],Table14[JobSatisfaction],Table14[Id_JobSatisfaction])</f>
        <v>JS004</v>
      </c>
      <c r="AC1436">
        <v>4</v>
      </c>
      <c r="AD1436" t="str">
        <f>_xlfn.XLOOKUP(Table1[[#This Row],[JobSatisfaction]],Table14[JobSatisfaction],Table14[Deskripsi])</f>
        <v>Very High</v>
      </c>
      <c r="AE1436" t="str">
        <f>_xlfn.XLOOKUP(Table1[[#This Row],[MaritalStatus]],Table15[MaritalStatus],Table15[Id_MaritalStatus])</f>
        <v>MS003</v>
      </c>
      <c r="AF1436" t="s">
        <v>57</v>
      </c>
      <c r="AG1436">
        <v>3482</v>
      </c>
      <c r="AH1436">
        <v>19788</v>
      </c>
      <c r="AI1436">
        <v>2</v>
      </c>
      <c r="AJ1436" t="str">
        <f>_xlfn.XLOOKUP(Table1[[#This Row],[OverTime]],Table16[OverTime],Table16[Id_OverTime])</f>
        <v>OT002</v>
      </c>
      <c r="AK1436" t="s">
        <v>33</v>
      </c>
      <c r="AL1436">
        <v>15</v>
      </c>
      <c r="AM1436" t="str">
        <f>_xlfn.XLOOKUP(Table1[[#This Row],[PerformanceRating]],Table17[PerformanceRating],Table17[Id_PerformanceRating])</f>
        <v>PR003</v>
      </c>
      <c r="AN1436">
        <v>3</v>
      </c>
      <c r="AO1436" t="str">
        <f>_xlfn.XLOOKUP(Table1[[#This Row],[PerformanceRating]],Table17[PerformanceRating],Table17[Deskripsi])</f>
        <v>Excellent</v>
      </c>
      <c r="AP1436" t="str">
        <f>_xlfn.XLOOKUP(Table1[[#This Row],[RelationshipSatisfaction]],Table18[RelationshipSatisfaction],Table18[Id_RelationshipSatisfaction])</f>
        <v>RS002</v>
      </c>
      <c r="AQ1436">
        <v>2</v>
      </c>
      <c r="AR1436" t="str">
        <f>_xlfn.XLOOKUP(Table1[[#This Row],[RelationshipSatisfaction]],Table18[RelationshipSatisfaction],Table18[Deskripsi])</f>
        <v>Medium</v>
      </c>
      <c r="AS1436" t="str">
        <f>_xlfn.XLOOKUP(Table1[[#This Row],[StockOptionLevel]],Table19[StockOptionLevel],Table19[Id_StockOptionLevel])</f>
        <v>SOL003</v>
      </c>
      <c r="AT1436">
        <v>2</v>
      </c>
      <c r="AU1436" t="str">
        <f>_xlfn.XLOOKUP(Table1[[#This Row],[StockOptionLevel]],Table19[StockOptionLevel],Table19[Deskripsi])</f>
        <v>Intermediate</v>
      </c>
      <c r="AV1436">
        <v>16</v>
      </c>
      <c r="AW1436">
        <v>3</v>
      </c>
      <c r="AX1436" t="str">
        <f>_xlfn.XLOOKUP(Table1[[#This Row],[WorkLifeBalance]],Table20[WorkLifeBalance],Table20[Id_WorkLifeBalance])</f>
        <v>WLB003</v>
      </c>
      <c r="AY1436">
        <v>2</v>
      </c>
      <c r="AZ1436" t="str">
        <f>_xlfn.XLOOKUP(Table1[[#This Row],[WorkLifeBalance]],Table20[WorkLifeBalance],Table20[Deskripsi])</f>
        <v>Better</v>
      </c>
      <c r="BA1436">
        <v>9</v>
      </c>
      <c r="BB1436">
        <v>8</v>
      </c>
      <c r="BC1436">
        <v>0</v>
      </c>
      <c r="BD1436">
        <v>0</v>
      </c>
    </row>
    <row r="1437" spans="1:56" x14ac:dyDescent="0.25">
      <c r="A1437">
        <v>44</v>
      </c>
      <c r="B1437" t="str">
        <f>_xlfn.XLOOKUP(Table1[[#This Row],[Attrition]],Table2[Attrition],Table2[Id_Attrition])</f>
        <v>A002</v>
      </c>
      <c r="C1437" t="s">
        <v>33</v>
      </c>
      <c r="D1437" t="str">
        <f>_xlfn.XLOOKUP(Table1[[#This Row],[BusinessTravel]],Table5[BusinessTravel],Table5[Id_BusinessTravel])</f>
        <v>BS001</v>
      </c>
      <c r="E1437" t="s">
        <v>34</v>
      </c>
      <c r="F1437">
        <v>1037</v>
      </c>
      <c r="G1437" t="str">
        <f>_xlfn.XLOOKUP(Table1[[#This Row],[Department]],Table6[Department],Table6[Id_Departement])</f>
        <v>D002</v>
      </c>
      <c r="H1437" t="s">
        <v>38</v>
      </c>
      <c r="I1437">
        <v>1</v>
      </c>
      <c r="J1437" t="str">
        <f>_xlfn.XLOOKUP(Table1[[#This Row],[Education]],Table8[Education],Table8[Id_Education])</f>
        <v>E003</v>
      </c>
      <c r="K1437">
        <v>3</v>
      </c>
      <c r="L1437" t="str">
        <f>_xlfn.XLOOKUP(Table1[[#This Row],[EducationField]],Table7[EducationField],Table7[Id_EducationField])</f>
        <v>EF003</v>
      </c>
      <c r="M1437" t="s">
        <v>42</v>
      </c>
      <c r="N1437" t="str">
        <f>_xlfn.XLOOKUP(Table1[[#This Row],[EmployeeNumber]],Table4[EmployeeNumber],Table4[Id_Employee])</f>
        <v>EMP01436</v>
      </c>
      <c r="O1437">
        <v>2020</v>
      </c>
      <c r="P1437" t="str">
        <f>_xlfn.XLOOKUP(Table1[[#This Row],[EnvironmentSatisfaction]],Table9[EnvironmentSatisfaction],Table9[Id_EnviromentSatisfaction])</f>
        <v>ES002</v>
      </c>
      <c r="Q1437">
        <v>2</v>
      </c>
      <c r="R1437" t="str">
        <f>_xlfn.XLOOKUP(Table1[[#This Row],[EnvironmentSatisfaction]],Table9[EnvironmentSatisfaction],Table9[Deskripsi])</f>
        <v>Medium</v>
      </c>
      <c r="S1437" t="str">
        <f>_xlfn.XLOOKUP(Table1[[#This Row],[Gender]],Table10[Gender],Table10[Id_Gender])</f>
        <v>G002</v>
      </c>
      <c r="T1437" t="s">
        <v>46</v>
      </c>
      <c r="U1437">
        <v>42</v>
      </c>
      <c r="V1437" t="str">
        <f>_xlfn.XLOOKUP(Table1[[#This Row],[JobInvolvement]],Table11[JobInvolvement],Table11[Id_JobInvolvement])</f>
        <v>JI003</v>
      </c>
      <c r="W1437">
        <v>3</v>
      </c>
      <c r="X1437" t="str">
        <f>_xlfn.XLOOKUP(Table1[[#This Row],[JobLevel]],Table12[JobLevel],Table12[Id_JobLevel])</f>
        <v>JL001</v>
      </c>
      <c r="Y1437">
        <v>1</v>
      </c>
      <c r="Z1437" t="str">
        <f>_xlfn.XLOOKUP(Table1[[#This Row],[JobRole]],Table13[JobRole],Table13[Id_JobRole])</f>
        <v>JR002</v>
      </c>
      <c r="AA1437" t="s">
        <v>48</v>
      </c>
      <c r="AB1437" t="str">
        <f>_xlfn.XLOOKUP(Table1[[#This Row],[JobSatisfaction]],Table14[JobSatisfaction],Table14[Id_JobSatisfaction])</f>
        <v>JS004</v>
      </c>
      <c r="AC1437">
        <v>4</v>
      </c>
      <c r="AD1437" t="str">
        <f>_xlfn.XLOOKUP(Table1[[#This Row],[JobSatisfaction]],Table14[JobSatisfaction],Table14[Deskripsi])</f>
        <v>Very High</v>
      </c>
      <c r="AE1437" t="str">
        <f>_xlfn.XLOOKUP(Table1[[#This Row],[MaritalStatus]],Table15[MaritalStatus],Table15[Id_MaritalStatus])</f>
        <v>MS001</v>
      </c>
      <c r="AF1437" t="s">
        <v>55</v>
      </c>
      <c r="AG1437">
        <v>2436</v>
      </c>
      <c r="AH1437">
        <v>13422</v>
      </c>
      <c r="AI1437">
        <v>6</v>
      </c>
      <c r="AJ1437" t="str">
        <f>_xlfn.XLOOKUP(Table1[[#This Row],[OverTime]],Table16[OverTime],Table16[Id_OverTime])</f>
        <v>OT001</v>
      </c>
      <c r="AK1437" t="s">
        <v>32</v>
      </c>
      <c r="AL1437">
        <v>12</v>
      </c>
      <c r="AM1437" t="str">
        <f>_xlfn.XLOOKUP(Table1[[#This Row],[PerformanceRating]],Table17[PerformanceRating],Table17[Id_PerformanceRating])</f>
        <v>PR003</v>
      </c>
      <c r="AN1437">
        <v>3</v>
      </c>
      <c r="AO1437" t="str">
        <f>_xlfn.XLOOKUP(Table1[[#This Row],[PerformanceRating]],Table17[PerformanceRating],Table17[Deskripsi])</f>
        <v>Excellent</v>
      </c>
      <c r="AP1437" t="str">
        <f>_xlfn.XLOOKUP(Table1[[#This Row],[RelationshipSatisfaction]],Table18[RelationshipSatisfaction],Table18[Id_RelationshipSatisfaction])</f>
        <v>RS003</v>
      </c>
      <c r="AQ1437">
        <v>3</v>
      </c>
      <c r="AR1437" t="str">
        <f>_xlfn.XLOOKUP(Table1[[#This Row],[RelationshipSatisfaction]],Table18[RelationshipSatisfaction],Table18[Deskripsi])</f>
        <v>High</v>
      </c>
      <c r="AS1437" t="str">
        <f>_xlfn.XLOOKUP(Table1[[#This Row],[StockOptionLevel]],Table19[StockOptionLevel],Table19[Id_StockOptionLevel])</f>
        <v>SOL001</v>
      </c>
      <c r="AT1437">
        <v>0</v>
      </c>
      <c r="AU1437" t="str">
        <f>_xlfn.XLOOKUP(Table1[[#This Row],[StockOptionLevel]],Table19[StockOptionLevel],Table19[Deskripsi])</f>
        <v>Non-Eligible</v>
      </c>
      <c r="AV1437">
        <v>6</v>
      </c>
      <c r="AW1437">
        <v>2</v>
      </c>
      <c r="AX1437" t="str">
        <f>_xlfn.XLOOKUP(Table1[[#This Row],[WorkLifeBalance]],Table20[WorkLifeBalance],Table20[Id_WorkLifeBalance])</f>
        <v>WLB002</v>
      </c>
      <c r="AY1437">
        <v>3</v>
      </c>
      <c r="AZ1437" t="str">
        <f>_xlfn.XLOOKUP(Table1[[#This Row],[WorkLifeBalance]],Table20[WorkLifeBalance],Table20[Deskripsi])</f>
        <v>Good</v>
      </c>
      <c r="BA1437">
        <v>4</v>
      </c>
      <c r="BB1437">
        <v>3</v>
      </c>
      <c r="BC1437">
        <v>1</v>
      </c>
      <c r="BD1437">
        <v>2</v>
      </c>
    </row>
    <row r="1438" spans="1:56" x14ac:dyDescent="0.25">
      <c r="A1438">
        <v>21</v>
      </c>
      <c r="B1438" t="str">
        <f>_xlfn.XLOOKUP(Table1[[#This Row],[Attrition]],Table2[Attrition],Table2[Id_Attrition])</f>
        <v>A002</v>
      </c>
      <c r="C1438" t="s">
        <v>33</v>
      </c>
      <c r="D1438" t="str">
        <f>_xlfn.XLOOKUP(Table1[[#This Row],[BusinessTravel]],Table5[BusinessTravel],Table5[Id_BusinessTravel])</f>
        <v>BS001</v>
      </c>
      <c r="E1438" t="s">
        <v>34</v>
      </c>
      <c r="F1438">
        <v>501</v>
      </c>
      <c r="G1438" t="str">
        <f>_xlfn.XLOOKUP(Table1[[#This Row],[Department]],Table6[Department],Table6[Id_Departement])</f>
        <v>D001</v>
      </c>
      <c r="H1438" t="s">
        <v>37</v>
      </c>
      <c r="I1438">
        <v>5</v>
      </c>
      <c r="J1438" t="str">
        <f>_xlfn.XLOOKUP(Table1[[#This Row],[Education]],Table8[Education],Table8[Id_Education])</f>
        <v>E001</v>
      </c>
      <c r="K1438">
        <v>1</v>
      </c>
      <c r="L1438" t="str">
        <f>_xlfn.XLOOKUP(Table1[[#This Row],[EducationField]],Table7[EducationField],Table7[Id_EducationField])</f>
        <v>EF003</v>
      </c>
      <c r="M1438" t="s">
        <v>42</v>
      </c>
      <c r="N1438" t="str">
        <f>_xlfn.XLOOKUP(Table1[[#This Row],[EmployeeNumber]],Table4[EmployeeNumber],Table4[Id_Employee])</f>
        <v>EMP01437</v>
      </c>
      <c r="O1438">
        <v>2021</v>
      </c>
      <c r="P1438" t="str">
        <f>_xlfn.XLOOKUP(Table1[[#This Row],[EnvironmentSatisfaction]],Table9[EnvironmentSatisfaction],Table9[Id_EnviromentSatisfaction])</f>
        <v>ES003</v>
      </c>
      <c r="Q1438">
        <v>3</v>
      </c>
      <c r="R1438" t="str">
        <f>_xlfn.XLOOKUP(Table1[[#This Row],[EnvironmentSatisfaction]],Table9[EnvironmentSatisfaction],Table9[Deskripsi])</f>
        <v>High</v>
      </c>
      <c r="S1438" t="str">
        <f>_xlfn.XLOOKUP(Table1[[#This Row],[Gender]],Table10[Gender],Table10[Id_Gender])</f>
        <v>G002</v>
      </c>
      <c r="T1438" t="s">
        <v>46</v>
      </c>
      <c r="U1438">
        <v>58</v>
      </c>
      <c r="V1438" t="str">
        <f>_xlfn.XLOOKUP(Table1[[#This Row],[JobInvolvement]],Table11[JobInvolvement],Table11[Id_JobInvolvement])</f>
        <v>JI003</v>
      </c>
      <c r="W1438">
        <v>3</v>
      </c>
      <c r="X1438" t="str">
        <f>_xlfn.XLOOKUP(Table1[[#This Row],[JobLevel]],Table12[JobLevel],Table12[Id_JobLevel])</f>
        <v>JL001</v>
      </c>
      <c r="Y1438">
        <v>1</v>
      </c>
      <c r="Z1438" t="str">
        <f>_xlfn.XLOOKUP(Table1[[#This Row],[JobRole]],Table13[JobRole],Table13[Id_JobRole])</f>
        <v>JR007</v>
      </c>
      <c r="AA1438" t="s">
        <v>53</v>
      </c>
      <c r="AB1438" t="str">
        <f>_xlfn.XLOOKUP(Table1[[#This Row],[JobSatisfaction]],Table14[JobSatisfaction],Table14[Id_JobSatisfaction])</f>
        <v>JS001</v>
      </c>
      <c r="AC1438">
        <v>1</v>
      </c>
      <c r="AD1438" t="str">
        <f>_xlfn.XLOOKUP(Table1[[#This Row],[JobSatisfaction]],Table14[JobSatisfaction],Table14[Deskripsi])</f>
        <v>Low</v>
      </c>
      <c r="AE1438" t="str">
        <f>_xlfn.XLOOKUP(Table1[[#This Row],[MaritalStatus]],Table15[MaritalStatus],Table15[Id_MaritalStatus])</f>
        <v>MS001</v>
      </c>
      <c r="AF1438" t="s">
        <v>55</v>
      </c>
      <c r="AG1438">
        <v>2380</v>
      </c>
      <c r="AH1438">
        <v>25479</v>
      </c>
      <c r="AI1438">
        <v>1</v>
      </c>
      <c r="AJ1438" t="str">
        <f>_xlfn.XLOOKUP(Table1[[#This Row],[OverTime]],Table16[OverTime],Table16[Id_OverTime])</f>
        <v>OT001</v>
      </c>
      <c r="AK1438" t="s">
        <v>32</v>
      </c>
      <c r="AL1438">
        <v>11</v>
      </c>
      <c r="AM1438" t="str">
        <f>_xlfn.XLOOKUP(Table1[[#This Row],[PerformanceRating]],Table17[PerformanceRating],Table17[Id_PerformanceRating])</f>
        <v>PR003</v>
      </c>
      <c r="AN1438">
        <v>3</v>
      </c>
      <c r="AO1438" t="str">
        <f>_xlfn.XLOOKUP(Table1[[#This Row],[PerformanceRating]],Table17[PerformanceRating],Table17[Deskripsi])</f>
        <v>Excellent</v>
      </c>
      <c r="AP1438" t="str">
        <f>_xlfn.XLOOKUP(Table1[[#This Row],[RelationshipSatisfaction]],Table18[RelationshipSatisfaction],Table18[Id_RelationshipSatisfaction])</f>
        <v>RS004</v>
      </c>
      <c r="AQ1438">
        <v>4</v>
      </c>
      <c r="AR1438" t="str">
        <f>_xlfn.XLOOKUP(Table1[[#This Row],[RelationshipSatisfaction]],Table18[RelationshipSatisfaction],Table18[Deskripsi])</f>
        <v>Very High</v>
      </c>
      <c r="AS1438" t="str">
        <f>_xlfn.XLOOKUP(Table1[[#This Row],[StockOptionLevel]],Table19[StockOptionLevel],Table19[Id_StockOptionLevel])</f>
        <v>SOL001</v>
      </c>
      <c r="AT1438">
        <v>0</v>
      </c>
      <c r="AU1438" t="str">
        <f>_xlfn.XLOOKUP(Table1[[#This Row],[StockOptionLevel]],Table19[StockOptionLevel],Table19[Deskripsi])</f>
        <v>Non-Eligible</v>
      </c>
      <c r="AV1438">
        <v>2</v>
      </c>
      <c r="AW1438">
        <v>6</v>
      </c>
      <c r="AX1438" t="str">
        <f>_xlfn.XLOOKUP(Table1[[#This Row],[WorkLifeBalance]],Table20[WorkLifeBalance],Table20[Id_WorkLifeBalance])</f>
        <v>WLB002</v>
      </c>
      <c r="AY1438">
        <v>3</v>
      </c>
      <c r="AZ1438" t="str">
        <f>_xlfn.XLOOKUP(Table1[[#This Row],[WorkLifeBalance]],Table20[WorkLifeBalance],Table20[Deskripsi])</f>
        <v>Good</v>
      </c>
      <c r="BA1438">
        <v>2</v>
      </c>
      <c r="BB1438">
        <v>2</v>
      </c>
      <c r="BC1438">
        <v>1</v>
      </c>
      <c r="BD1438">
        <v>2</v>
      </c>
    </row>
    <row r="1439" spans="1:56" x14ac:dyDescent="0.25">
      <c r="A1439">
        <v>39</v>
      </c>
      <c r="B1439" t="str">
        <f>_xlfn.XLOOKUP(Table1[[#This Row],[Attrition]],Table2[Attrition],Table2[Id_Attrition])</f>
        <v>A002</v>
      </c>
      <c r="C1439" t="s">
        <v>33</v>
      </c>
      <c r="D1439" t="str">
        <f>_xlfn.XLOOKUP(Table1[[#This Row],[BusinessTravel]],Table5[BusinessTravel],Table5[Id_BusinessTravel])</f>
        <v>BS003</v>
      </c>
      <c r="E1439" t="s">
        <v>36</v>
      </c>
      <c r="F1439">
        <v>105</v>
      </c>
      <c r="G1439" t="str">
        <f>_xlfn.XLOOKUP(Table1[[#This Row],[Department]],Table6[Department],Table6[Id_Departement])</f>
        <v>D002</v>
      </c>
      <c r="H1439" t="s">
        <v>38</v>
      </c>
      <c r="I1439">
        <v>9</v>
      </c>
      <c r="J1439" t="str">
        <f>_xlfn.XLOOKUP(Table1[[#This Row],[Education]],Table8[Education],Table8[Id_Education])</f>
        <v>E003</v>
      </c>
      <c r="K1439">
        <v>3</v>
      </c>
      <c r="L1439" t="str">
        <f>_xlfn.XLOOKUP(Table1[[#This Row],[EducationField]],Table7[EducationField],Table7[Id_EducationField])</f>
        <v>EF001</v>
      </c>
      <c r="M1439" t="s">
        <v>40</v>
      </c>
      <c r="N1439" t="str">
        <f>_xlfn.XLOOKUP(Table1[[#This Row],[EmployeeNumber]],Table4[EmployeeNumber],Table4[Id_Employee])</f>
        <v>EMP01438</v>
      </c>
      <c r="O1439">
        <v>2022</v>
      </c>
      <c r="P1439" t="str">
        <f>_xlfn.XLOOKUP(Table1[[#This Row],[EnvironmentSatisfaction]],Table9[EnvironmentSatisfaction],Table9[Id_EnviromentSatisfaction])</f>
        <v>ES004</v>
      </c>
      <c r="Q1439">
        <v>4</v>
      </c>
      <c r="R1439" t="str">
        <f>_xlfn.XLOOKUP(Table1[[#This Row],[EnvironmentSatisfaction]],Table9[EnvironmentSatisfaction],Table9[Deskripsi])</f>
        <v>Very High</v>
      </c>
      <c r="S1439" t="str">
        <f>_xlfn.XLOOKUP(Table1[[#This Row],[Gender]],Table10[Gender],Table10[Id_Gender])</f>
        <v>G002</v>
      </c>
      <c r="T1439" t="s">
        <v>46</v>
      </c>
      <c r="U1439">
        <v>87</v>
      </c>
      <c r="V1439" t="str">
        <f>_xlfn.XLOOKUP(Table1[[#This Row],[JobInvolvement]],Table11[JobInvolvement],Table11[Id_JobInvolvement])</f>
        <v>JI003</v>
      </c>
      <c r="W1439">
        <v>3</v>
      </c>
      <c r="X1439" t="str">
        <f>_xlfn.XLOOKUP(Table1[[#This Row],[JobLevel]],Table12[JobLevel],Table12[Id_JobLevel])</f>
        <v>JL005</v>
      </c>
      <c r="Y1439">
        <v>5</v>
      </c>
      <c r="Z1439" t="str">
        <f>_xlfn.XLOOKUP(Table1[[#This Row],[JobRole]],Table13[JobRole],Table13[Id_JobRole])</f>
        <v>JR006</v>
      </c>
      <c r="AA1439" t="s">
        <v>52</v>
      </c>
      <c r="AB1439" t="str">
        <f>_xlfn.XLOOKUP(Table1[[#This Row],[JobSatisfaction]],Table14[JobSatisfaction],Table14[Id_JobSatisfaction])</f>
        <v>JS004</v>
      </c>
      <c r="AC1439">
        <v>4</v>
      </c>
      <c r="AD1439" t="str">
        <f>_xlfn.XLOOKUP(Table1[[#This Row],[JobSatisfaction]],Table14[JobSatisfaction],Table14[Deskripsi])</f>
        <v>Very High</v>
      </c>
      <c r="AE1439" t="str">
        <f>_xlfn.XLOOKUP(Table1[[#This Row],[MaritalStatus]],Table15[MaritalStatus],Table15[Id_MaritalStatus])</f>
        <v>MS001</v>
      </c>
      <c r="AF1439" t="s">
        <v>55</v>
      </c>
      <c r="AG1439">
        <v>19431</v>
      </c>
      <c r="AH1439">
        <v>15302</v>
      </c>
      <c r="AI1439">
        <v>2</v>
      </c>
      <c r="AJ1439" t="str">
        <f>_xlfn.XLOOKUP(Table1[[#This Row],[OverTime]],Table16[OverTime],Table16[Id_OverTime])</f>
        <v>OT002</v>
      </c>
      <c r="AK1439" t="s">
        <v>33</v>
      </c>
      <c r="AL1439">
        <v>13</v>
      </c>
      <c r="AM1439" t="str">
        <f>_xlfn.XLOOKUP(Table1[[#This Row],[PerformanceRating]],Table17[PerformanceRating],Table17[Id_PerformanceRating])</f>
        <v>PR003</v>
      </c>
      <c r="AN1439">
        <v>3</v>
      </c>
      <c r="AO1439" t="str">
        <f>_xlfn.XLOOKUP(Table1[[#This Row],[PerformanceRating]],Table17[PerformanceRating],Table17[Deskripsi])</f>
        <v>Excellent</v>
      </c>
      <c r="AP1439" t="str">
        <f>_xlfn.XLOOKUP(Table1[[#This Row],[RelationshipSatisfaction]],Table18[RelationshipSatisfaction],Table18[Id_RelationshipSatisfaction])</f>
        <v>RS003</v>
      </c>
      <c r="AQ1439">
        <v>3</v>
      </c>
      <c r="AR1439" t="str">
        <f>_xlfn.XLOOKUP(Table1[[#This Row],[RelationshipSatisfaction]],Table18[RelationshipSatisfaction],Table18[Deskripsi])</f>
        <v>High</v>
      </c>
      <c r="AS1439" t="str">
        <f>_xlfn.XLOOKUP(Table1[[#This Row],[StockOptionLevel]],Table19[StockOptionLevel],Table19[Id_StockOptionLevel])</f>
        <v>SOL001</v>
      </c>
      <c r="AT1439">
        <v>0</v>
      </c>
      <c r="AU1439" t="str">
        <f>_xlfn.XLOOKUP(Table1[[#This Row],[StockOptionLevel]],Table19[StockOptionLevel],Table19[Deskripsi])</f>
        <v>Non-Eligible</v>
      </c>
      <c r="AV1439">
        <v>21</v>
      </c>
      <c r="AW1439">
        <v>3</v>
      </c>
      <c r="AX1439" t="str">
        <f>_xlfn.XLOOKUP(Table1[[#This Row],[WorkLifeBalance]],Table20[WorkLifeBalance],Table20[Id_WorkLifeBalance])</f>
        <v>WLB003</v>
      </c>
      <c r="AY1439">
        <v>2</v>
      </c>
      <c r="AZ1439" t="str">
        <f>_xlfn.XLOOKUP(Table1[[#This Row],[WorkLifeBalance]],Table20[WorkLifeBalance],Table20[Deskripsi])</f>
        <v>Better</v>
      </c>
      <c r="BA1439">
        <v>6</v>
      </c>
      <c r="BB1439">
        <v>0</v>
      </c>
      <c r="BC1439">
        <v>1</v>
      </c>
      <c r="BD1439">
        <v>3</v>
      </c>
    </row>
    <row r="1440" spans="1:56" x14ac:dyDescent="0.25">
      <c r="A1440">
        <v>23</v>
      </c>
      <c r="B1440" t="str">
        <f>_xlfn.XLOOKUP(Table1[[#This Row],[Attrition]],Table2[Attrition],Table2[Id_Attrition])</f>
        <v>A001</v>
      </c>
      <c r="C1440" t="s">
        <v>32</v>
      </c>
      <c r="D1440" t="str">
        <f>_xlfn.XLOOKUP(Table1[[#This Row],[BusinessTravel]],Table5[BusinessTravel],Table5[Id_BusinessTravel])</f>
        <v>BS002</v>
      </c>
      <c r="E1440" t="s">
        <v>35</v>
      </c>
      <c r="F1440">
        <v>638</v>
      </c>
      <c r="G1440" t="str">
        <f>_xlfn.XLOOKUP(Table1[[#This Row],[Department]],Table6[Department],Table6[Id_Departement])</f>
        <v>D001</v>
      </c>
      <c r="H1440" t="s">
        <v>37</v>
      </c>
      <c r="I1440">
        <v>9</v>
      </c>
      <c r="J1440" t="str">
        <f>_xlfn.XLOOKUP(Table1[[#This Row],[Education]],Table8[Education],Table8[Id_Education])</f>
        <v>E003</v>
      </c>
      <c r="K1440">
        <v>3</v>
      </c>
      <c r="L1440" t="str">
        <f>_xlfn.XLOOKUP(Table1[[#This Row],[EducationField]],Table7[EducationField],Table7[Id_EducationField])</f>
        <v>EF004</v>
      </c>
      <c r="M1440" t="s">
        <v>43</v>
      </c>
      <c r="N1440" t="str">
        <f>_xlfn.XLOOKUP(Table1[[#This Row],[EmployeeNumber]],Table4[EmployeeNumber],Table4[Id_Employee])</f>
        <v>EMP01439</v>
      </c>
      <c r="O1440">
        <v>2023</v>
      </c>
      <c r="P1440" t="str">
        <f>_xlfn.XLOOKUP(Table1[[#This Row],[EnvironmentSatisfaction]],Table9[EnvironmentSatisfaction],Table9[Id_EnviromentSatisfaction])</f>
        <v>ES004</v>
      </c>
      <c r="Q1440">
        <v>4</v>
      </c>
      <c r="R1440" t="str">
        <f>_xlfn.XLOOKUP(Table1[[#This Row],[EnvironmentSatisfaction]],Table9[EnvironmentSatisfaction],Table9[Deskripsi])</f>
        <v>Very High</v>
      </c>
      <c r="S1440" t="str">
        <f>_xlfn.XLOOKUP(Table1[[#This Row],[Gender]],Table10[Gender],Table10[Id_Gender])</f>
        <v>G002</v>
      </c>
      <c r="T1440" t="s">
        <v>46</v>
      </c>
      <c r="U1440">
        <v>33</v>
      </c>
      <c r="V1440" t="str">
        <f>_xlfn.XLOOKUP(Table1[[#This Row],[JobInvolvement]],Table11[JobInvolvement],Table11[Id_JobInvolvement])</f>
        <v>JI003</v>
      </c>
      <c r="W1440">
        <v>3</v>
      </c>
      <c r="X1440" t="str">
        <f>_xlfn.XLOOKUP(Table1[[#This Row],[JobLevel]],Table12[JobLevel],Table12[Id_JobLevel])</f>
        <v>JL001</v>
      </c>
      <c r="Y1440">
        <v>1</v>
      </c>
      <c r="Z1440" t="str">
        <f>_xlfn.XLOOKUP(Table1[[#This Row],[JobRole]],Table13[JobRole],Table13[Id_JobRole])</f>
        <v>JR007</v>
      </c>
      <c r="AA1440" t="s">
        <v>53</v>
      </c>
      <c r="AB1440" t="str">
        <f>_xlfn.XLOOKUP(Table1[[#This Row],[JobSatisfaction]],Table14[JobSatisfaction],Table14[Id_JobSatisfaction])</f>
        <v>JS001</v>
      </c>
      <c r="AC1440">
        <v>1</v>
      </c>
      <c r="AD1440" t="str">
        <f>_xlfn.XLOOKUP(Table1[[#This Row],[JobSatisfaction]],Table14[JobSatisfaction],Table14[Deskripsi])</f>
        <v>Low</v>
      </c>
      <c r="AE1440" t="str">
        <f>_xlfn.XLOOKUP(Table1[[#This Row],[MaritalStatus]],Table15[MaritalStatus],Table15[Id_MaritalStatus])</f>
        <v>MS002</v>
      </c>
      <c r="AF1440" t="s">
        <v>56</v>
      </c>
      <c r="AG1440">
        <v>1790</v>
      </c>
      <c r="AH1440">
        <v>26956</v>
      </c>
      <c r="AI1440">
        <v>1</v>
      </c>
      <c r="AJ1440" t="str">
        <f>_xlfn.XLOOKUP(Table1[[#This Row],[OverTime]],Table16[OverTime],Table16[Id_OverTime])</f>
        <v>OT002</v>
      </c>
      <c r="AK1440" t="s">
        <v>33</v>
      </c>
      <c r="AL1440">
        <v>19</v>
      </c>
      <c r="AM1440" t="str">
        <f>_xlfn.XLOOKUP(Table1[[#This Row],[PerformanceRating]],Table17[PerformanceRating],Table17[Id_PerformanceRating])</f>
        <v>PR003</v>
      </c>
      <c r="AN1440">
        <v>3</v>
      </c>
      <c r="AO1440" t="str">
        <f>_xlfn.XLOOKUP(Table1[[#This Row],[PerformanceRating]],Table17[PerformanceRating],Table17[Deskripsi])</f>
        <v>Excellent</v>
      </c>
      <c r="AP1440" t="str">
        <f>_xlfn.XLOOKUP(Table1[[#This Row],[RelationshipSatisfaction]],Table18[RelationshipSatisfaction],Table18[Id_RelationshipSatisfaction])</f>
        <v>RS001</v>
      </c>
      <c r="AQ1440">
        <v>1</v>
      </c>
      <c r="AR1440" t="str">
        <f>_xlfn.XLOOKUP(Table1[[#This Row],[RelationshipSatisfaction]],Table18[RelationshipSatisfaction],Table18[Deskripsi])</f>
        <v>Low</v>
      </c>
      <c r="AS1440" t="str">
        <f>_xlfn.XLOOKUP(Table1[[#This Row],[StockOptionLevel]],Table19[StockOptionLevel],Table19[Id_StockOptionLevel])</f>
        <v>SOL002</v>
      </c>
      <c r="AT1440">
        <v>1</v>
      </c>
      <c r="AU1440" t="str">
        <f>_xlfn.XLOOKUP(Table1[[#This Row],[StockOptionLevel]],Table19[StockOptionLevel],Table19[Deskripsi])</f>
        <v>Standard</v>
      </c>
      <c r="AV1440">
        <v>1</v>
      </c>
      <c r="AW1440">
        <v>3</v>
      </c>
      <c r="AX1440" t="str">
        <f>_xlfn.XLOOKUP(Table1[[#This Row],[WorkLifeBalance]],Table20[WorkLifeBalance],Table20[Id_WorkLifeBalance])</f>
        <v>WLB003</v>
      </c>
      <c r="AY1440">
        <v>2</v>
      </c>
      <c r="AZ1440" t="str">
        <f>_xlfn.XLOOKUP(Table1[[#This Row],[WorkLifeBalance]],Table20[WorkLifeBalance],Table20[Deskripsi])</f>
        <v>Better</v>
      </c>
      <c r="BA1440">
        <v>1</v>
      </c>
      <c r="BB1440">
        <v>0</v>
      </c>
      <c r="BC1440">
        <v>1</v>
      </c>
      <c r="BD1440">
        <v>0</v>
      </c>
    </row>
    <row r="1441" spans="1:56" x14ac:dyDescent="0.25">
      <c r="A1441">
        <v>36</v>
      </c>
      <c r="B1441" t="str">
        <f>_xlfn.XLOOKUP(Table1[[#This Row],[Attrition]],Table2[Attrition],Table2[Id_Attrition])</f>
        <v>A002</v>
      </c>
      <c r="C1441" t="s">
        <v>33</v>
      </c>
      <c r="D1441" t="str">
        <f>_xlfn.XLOOKUP(Table1[[#This Row],[BusinessTravel]],Table5[BusinessTravel],Table5[Id_BusinessTravel])</f>
        <v>BS001</v>
      </c>
      <c r="E1441" t="s">
        <v>34</v>
      </c>
      <c r="F1441">
        <v>557</v>
      </c>
      <c r="G1441" t="str">
        <f>_xlfn.XLOOKUP(Table1[[#This Row],[Department]],Table6[Department],Table6[Id_Departement])</f>
        <v>D001</v>
      </c>
      <c r="H1441" t="s">
        <v>37</v>
      </c>
      <c r="I1441">
        <v>3</v>
      </c>
      <c r="J1441" t="str">
        <f>_xlfn.XLOOKUP(Table1[[#This Row],[Education]],Table8[Education],Table8[Id_Education])</f>
        <v>E003</v>
      </c>
      <c r="K1441">
        <v>3</v>
      </c>
      <c r="L1441" t="str">
        <f>_xlfn.XLOOKUP(Table1[[#This Row],[EducationField]],Table7[EducationField],Table7[Id_EducationField])</f>
        <v>EF003</v>
      </c>
      <c r="M1441" t="s">
        <v>42</v>
      </c>
      <c r="N1441" t="str">
        <f>_xlfn.XLOOKUP(Table1[[#This Row],[EmployeeNumber]],Table4[EmployeeNumber],Table4[Id_Employee])</f>
        <v>EMP01440</v>
      </c>
      <c r="O1441">
        <v>2024</v>
      </c>
      <c r="P1441" t="str">
        <f>_xlfn.XLOOKUP(Table1[[#This Row],[EnvironmentSatisfaction]],Table9[EnvironmentSatisfaction],Table9[Id_EnviromentSatisfaction])</f>
        <v>ES001</v>
      </c>
      <c r="Q1441">
        <v>1</v>
      </c>
      <c r="R1441" t="str">
        <f>_xlfn.XLOOKUP(Table1[[#This Row],[EnvironmentSatisfaction]],Table9[EnvironmentSatisfaction],Table9[Deskripsi])</f>
        <v>Low</v>
      </c>
      <c r="S1441" t="str">
        <f>_xlfn.XLOOKUP(Table1[[#This Row],[Gender]],Table10[Gender],Table10[Id_Gender])</f>
        <v>G001</v>
      </c>
      <c r="T1441" t="s">
        <v>45</v>
      </c>
      <c r="U1441">
        <v>94</v>
      </c>
      <c r="V1441" t="str">
        <f>_xlfn.XLOOKUP(Table1[[#This Row],[JobInvolvement]],Table11[JobInvolvement],Table11[Id_JobInvolvement])</f>
        <v>JI002</v>
      </c>
      <c r="W1441">
        <v>2</v>
      </c>
      <c r="X1441" t="str">
        <f>_xlfn.XLOOKUP(Table1[[#This Row],[JobLevel]],Table12[JobLevel],Table12[Id_JobLevel])</f>
        <v>JL003</v>
      </c>
      <c r="Y1441">
        <v>3</v>
      </c>
      <c r="Z1441" t="str">
        <f>_xlfn.XLOOKUP(Table1[[#This Row],[JobRole]],Table13[JobRole],Table13[Id_JobRole])</f>
        <v>JR001</v>
      </c>
      <c r="AA1441" t="s">
        <v>47</v>
      </c>
      <c r="AB1441" t="str">
        <f>_xlfn.XLOOKUP(Table1[[#This Row],[JobSatisfaction]],Table14[JobSatisfaction],Table14[Id_JobSatisfaction])</f>
        <v>JS004</v>
      </c>
      <c r="AC1441">
        <v>4</v>
      </c>
      <c r="AD1441" t="str">
        <f>_xlfn.XLOOKUP(Table1[[#This Row],[JobSatisfaction]],Table14[JobSatisfaction],Table14[Deskripsi])</f>
        <v>Very High</v>
      </c>
      <c r="AE1441" t="str">
        <f>_xlfn.XLOOKUP(Table1[[#This Row],[MaritalStatus]],Table15[MaritalStatus],Table15[Id_MaritalStatus])</f>
        <v>MS002</v>
      </c>
      <c r="AF1441" t="s">
        <v>56</v>
      </c>
      <c r="AG1441">
        <v>7644</v>
      </c>
      <c r="AH1441">
        <v>12695</v>
      </c>
      <c r="AI1441">
        <v>0</v>
      </c>
      <c r="AJ1441" t="str">
        <f>_xlfn.XLOOKUP(Table1[[#This Row],[OverTime]],Table16[OverTime],Table16[Id_OverTime])</f>
        <v>OT002</v>
      </c>
      <c r="AK1441" t="s">
        <v>33</v>
      </c>
      <c r="AL1441">
        <v>19</v>
      </c>
      <c r="AM1441" t="str">
        <f>_xlfn.XLOOKUP(Table1[[#This Row],[PerformanceRating]],Table17[PerformanceRating],Table17[Id_PerformanceRating])</f>
        <v>PR003</v>
      </c>
      <c r="AN1441">
        <v>3</v>
      </c>
      <c r="AO1441" t="str">
        <f>_xlfn.XLOOKUP(Table1[[#This Row],[PerformanceRating]],Table17[PerformanceRating],Table17[Deskripsi])</f>
        <v>Excellent</v>
      </c>
      <c r="AP1441" t="str">
        <f>_xlfn.XLOOKUP(Table1[[#This Row],[RelationshipSatisfaction]],Table18[RelationshipSatisfaction],Table18[Id_RelationshipSatisfaction])</f>
        <v>RS003</v>
      </c>
      <c r="AQ1441">
        <v>3</v>
      </c>
      <c r="AR1441" t="str">
        <f>_xlfn.XLOOKUP(Table1[[#This Row],[RelationshipSatisfaction]],Table18[RelationshipSatisfaction],Table18[Deskripsi])</f>
        <v>High</v>
      </c>
      <c r="AS1441" t="str">
        <f>_xlfn.XLOOKUP(Table1[[#This Row],[StockOptionLevel]],Table19[StockOptionLevel],Table19[Id_StockOptionLevel])</f>
        <v>SOL003</v>
      </c>
      <c r="AT1441">
        <v>2</v>
      </c>
      <c r="AU1441" t="str">
        <f>_xlfn.XLOOKUP(Table1[[#This Row],[StockOptionLevel]],Table19[StockOptionLevel],Table19[Deskripsi])</f>
        <v>Intermediate</v>
      </c>
      <c r="AV1441">
        <v>10</v>
      </c>
      <c r="AW1441">
        <v>2</v>
      </c>
      <c r="AX1441" t="str">
        <f>_xlfn.XLOOKUP(Table1[[#This Row],[WorkLifeBalance]],Table20[WorkLifeBalance],Table20[Id_WorkLifeBalance])</f>
        <v>WLB002</v>
      </c>
      <c r="AY1441">
        <v>3</v>
      </c>
      <c r="AZ1441" t="str">
        <f>_xlfn.XLOOKUP(Table1[[#This Row],[WorkLifeBalance]],Table20[WorkLifeBalance],Table20[Deskripsi])</f>
        <v>Good</v>
      </c>
      <c r="BA1441">
        <v>9</v>
      </c>
      <c r="BB1441">
        <v>7</v>
      </c>
      <c r="BC1441">
        <v>3</v>
      </c>
      <c r="BD1441">
        <v>4</v>
      </c>
    </row>
    <row r="1442" spans="1:56" x14ac:dyDescent="0.25">
      <c r="A1442">
        <v>36</v>
      </c>
      <c r="B1442" t="str">
        <f>_xlfn.XLOOKUP(Table1[[#This Row],[Attrition]],Table2[Attrition],Table2[Id_Attrition])</f>
        <v>A002</v>
      </c>
      <c r="C1442" t="s">
        <v>33</v>
      </c>
      <c r="D1442" t="str">
        <f>_xlfn.XLOOKUP(Table1[[#This Row],[BusinessTravel]],Table5[BusinessTravel],Table5[Id_BusinessTravel])</f>
        <v>BS002</v>
      </c>
      <c r="E1442" t="s">
        <v>35</v>
      </c>
      <c r="F1442">
        <v>688</v>
      </c>
      <c r="G1442" t="str">
        <f>_xlfn.XLOOKUP(Table1[[#This Row],[Department]],Table6[Department],Table6[Id_Departement])</f>
        <v>D002</v>
      </c>
      <c r="H1442" t="s">
        <v>38</v>
      </c>
      <c r="I1442">
        <v>4</v>
      </c>
      <c r="J1442" t="str">
        <f>_xlfn.XLOOKUP(Table1[[#This Row],[Education]],Table8[Education],Table8[Id_Education])</f>
        <v>E002</v>
      </c>
      <c r="K1442">
        <v>2</v>
      </c>
      <c r="L1442" t="str">
        <f>_xlfn.XLOOKUP(Table1[[#This Row],[EducationField]],Table7[EducationField],Table7[Id_EducationField])</f>
        <v>EF001</v>
      </c>
      <c r="M1442" t="s">
        <v>40</v>
      </c>
      <c r="N1442" t="str">
        <f>_xlfn.XLOOKUP(Table1[[#This Row],[EmployeeNumber]],Table4[EmployeeNumber],Table4[Id_Employee])</f>
        <v>EMP01441</v>
      </c>
      <c r="O1442">
        <v>2025</v>
      </c>
      <c r="P1442" t="str">
        <f>_xlfn.XLOOKUP(Table1[[#This Row],[EnvironmentSatisfaction]],Table9[EnvironmentSatisfaction],Table9[Id_EnviromentSatisfaction])</f>
        <v>ES004</v>
      </c>
      <c r="Q1442">
        <v>4</v>
      </c>
      <c r="R1442" t="str">
        <f>_xlfn.XLOOKUP(Table1[[#This Row],[EnvironmentSatisfaction]],Table9[EnvironmentSatisfaction],Table9[Deskripsi])</f>
        <v>Very High</v>
      </c>
      <c r="S1442" t="str">
        <f>_xlfn.XLOOKUP(Table1[[#This Row],[Gender]],Table10[Gender],Table10[Id_Gender])</f>
        <v>G001</v>
      </c>
      <c r="T1442" t="s">
        <v>45</v>
      </c>
      <c r="U1442">
        <v>97</v>
      </c>
      <c r="V1442" t="str">
        <f>_xlfn.XLOOKUP(Table1[[#This Row],[JobInvolvement]],Table11[JobInvolvement],Table11[Id_JobInvolvement])</f>
        <v>JI003</v>
      </c>
      <c r="W1442">
        <v>3</v>
      </c>
      <c r="X1442" t="str">
        <f>_xlfn.XLOOKUP(Table1[[#This Row],[JobLevel]],Table12[JobLevel],Table12[Id_JobLevel])</f>
        <v>JL002</v>
      </c>
      <c r="Y1442">
        <v>2</v>
      </c>
      <c r="Z1442" t="str">
        <f>_xlfn.XLOOKUP(Table1[[#This Row],[JobRole]],Table13[JobRole],Table13[Id_JobRole])</f>
        <v>JR004</v>
      </c>
      <c r="AA1442" t="s">
        <v>50</v>
      </c>
      <c r="AB1442" t="str">
        <f>_xlfn.XLOOKUP(Table1[[#This Row],[JobSatisfaction]],Table14[JobSatisfaction],Table14[Id_JobSatisfaction])</f>
        <v>JS002</v>
      </c>
      <c r="AC1442">
        <v>2</v>
      </c>
      <c r="AD1442" t="str">
        <f>_xlfn.XLOOKUP(Table1[[#This Row],[JobSatisfaction]],Table14[JobSatisfaction],Table14[Deskripsi])</f>
        <v>Medium</v>
      </c>
      <c r="AE1442" t="str">
        <f>_xlfn.XLOOKUP(Table1[[#This Row],[MaritalStatus]],Table15[MaritalStatus],Table15[Id_MaritalStatus])</f>
        <v>MS003</v>
      </c>
      <c r="AF1442" t="s">
        <v>57</v>
      </c>
      <c r="AG1442">
        <v>5131</v>
      </c>
      <c r="AH1442">
        <v>9192</v>
      </c>
      <c r="AI1442">
        <v>7</v>
      </c>
      <c r="AJ1442" t="str">
        <f>_xlfn.XLOOKUP(Table1[[#This Row],[OverTime]],Table16[OverTime],Table16[Id_OverTime])</f>
        <v>OT002</v>
      </c>
      <c r="AK1442" t="s">
        <v>33</v>
      </c>
      <c r="AL1442">
        <v>13</v>
      </c>
      <c r="AM1442" t="str">
        <f>_xlfn.XLOOKUP(Table1[[#This Row],[PerformanceRating]],Table17[PerformanceRating],Table17[Id_PerformanceRating])</f>
        <v>PR003</v>
      </c>
      <c r="AN1442">
        <v>3</v>
      </c>
      <c r="AO1442" t="str">
        <f>_xlfn.XLOOKUP(Table1[[#This Row],[PerformanceRating]],Table17[PerformanceRating],Table17[Deskripsi])</f>
        <v>Excellent</v>
      </c>
      <c r="AP1442" t="str">
        <f>_xlfn.XLOOKUP(Table1[[#This Row],[RelationshipSatisfaction]],Table18[RelationshipSatisfaction],Table18[Id_RelationshipSatisfaction])</f>
        <v>RS002</v>
      </c>
      <c r="AQ1442">
        <v>2</v>
      </c>
      <c r="AR1442" t="str">
        <f>_xlfn.XLOOKUP(Table1[[#This Row],[RelationshipSatisfaction]],Table18[RelationshipSatisfaction],Table18[Deskripsi])</f>
        <v>Medium</v>
      </c>
      <c r="AS1442" t="str">
        <f>_xlfn.XLOOKUP(Table1[[#This Row],[StockOptionLevel]],Table19[StockOptionLevel],Table19[Id_StockOptionLevel])</f>
        <v>SOL004</v>
      </c>
      <c r="AT1442">
        <v>3</v>
      </c>
      <c r="AU1442" t="str">
        <f>_xlfn.XLOOKUP(Table1[[#This Row],[StockOptionLevel]],Table19[StockOptionLevel],Table19[Deskripsi])</f>
        <v>Senior/Executive</v>
      </c>
      <c r="AV1442">
        <v>18</v>
      </c>
      <c r="AW1442">
        <v>3</v>
      </c>
      <c r="AX1442" t="str">
        <f>_xlfn.XLOOKUP(Table1[[#This Row],[WorkLifeBalance]],Table20[WorkLifeBalance],Table20[Id_WorkLifeBalance])</f>
        <v>WLB002</v>
      </c>
      <c r="AY1442">
        <v>3</v>
      </c>
      <c r="AZ1442" t="str">
        <f>_xlfn.XLOOKUP(Table1[[#This Row],[WorkLifeBalance]],Table20[WorkLifeBalance],Table20[Deskripsi])</f>
        <v>Good</v>
      </c>
      <c r="BA1442">
        <v>4</v>
      </c>
      <c r="BB1442">
        <v>2</v>
      </c>
      <c r="BC1442">
        <v>0</v>
      </c>
      <c r="BD1442">
        <v>2</v>
      </c>
    </row>
    <row r="1443" spans="1:56" x14ac:dyDescent="0.25">
      <c r="A1443">
        <v>56</v>
      </c>
      <c r="B1443" t="str">
        <f>_xlfn.XLOOKUP(Table1[[#This Row],[Attrition]],Table2[Attrition],Table2[Id_Attrition])</f>
        <v>A002</v>
      </c>
      <c r="C1443" t="s">
        <v>33</v>
      </c>
      <c r="D1443" t="str">
        <f>_xlfn.XLOOKUP(Table1[[#This Row],[BusinessTravel]],Table5[BusinessTravel],Table5[Id_BusinessTravel])</f>
        <v>BS003</v>
      </c>
      <c r="E1443" t="s">
        <v>36</v>
      </c>
      <c r="F1443">
        <v>667</v>
      </c>
      <c r="G1443" t="str">
        <f>_xlfn.XLOOKUP(Table1[[#This Row],[Department]],Table6[Department],Table6[Id_Departement])</f>
        <v>D002</v>
      </c>
      <c r="H1443" t="s">
        <v>38</v>
      </c>
      <c r="I1443">
        <v>1</v>
      </c>
      <c r="J1443" t="str">
        <f>_xlfn.XLOOKUP(Table1[[#This Row],[Education]],Table8[Education],Table8[Id_Education])</f>
        <v>E004</v>
      </c>
      <c r="K1443">
        <v>4</v>
      </c>
      <c r="L1443" t="str">
        <f>_xlfn.XLOOKUP(Table1[[#This Row],[EducationField]],Table7[EducationField],Table7[Id_EducationField])</f>
        <v>EF001</v>
      </c>
      <c r="M1443" t="s">
        <v>40</v>
      </c>
      <c r="N1443" t="str">
        <f>_xlfn.XLOOKUP(Table1[[#This Row],[EmployeeNumber]],Table4[EmployeeNumber],Table4[Id_Employee])</f>
        <v>EMP01442</v>
      </c>
      <c r="O1443">
        <v>2026</v>
      </c>
      <c r="P1443" t="str">
        <f>_xlfn.XLOOKUP(Table1[[#This Row],[EnvironmentSatisfaction]],Table9[EnvironmentSatisfaction],Table9[Id_EnviromentSatisfaction])</f>
        <v>ES003</v>
      </c>
      <c r="Q1443">
        <v>3</v>
      </c>
      <c r="R1443" t="str">
        <f>_xlfn.XLOOKUP(Table1[[#This Row],[EnvironmentSatisfaction]],Table9[EnvironmentSatisfaction],Table9[Deskripsi])</f>
        <v>High</v>
      </c>
      <c r="S1443" t="str">
        <f>_xlfn.XLOOKUP(Table1[[#This Row],[Gender]],Table10[Gender],Table10[Id_Gender])</f>
        <v>G002</v>
      </c>
      <c r="T1443" t="s">
        <v>46</v>
      </c>
      <c r="U1443">
        <v>57</v>
      </c>
      <c r="V1443" t="str">
        <f>_xlfn.XLOOKUP(Table1[[#This Row],[JobInvolvement]],Table11[JobInvolvement],Table11[Id_JobInvolvement])</f>
        <v>JI003</v>
      </c>
      <c r="W1443">
        <v>3</v>
      </c>
      <c r="X1443" t="str">
        <f>_xlfn.XLOOKUP(Table1[[#This Row],[JobLevel]],Table12[JobLevel],Table12[Id_JobLevel])</f>
        <v>JL002</v>
      </c>
      <c r="Y1443">
        <v>2</v>
      </c>
      <c r="Z1443" t="str">
        <f>_xlfn.XLOOKUP(Table1[[#This Row],[JobRole]],Table13[JobRole],Table13[Id_JobRole])</f>
        <v>JR005</v>
      </c>
      <c r="AA1443" t="s">
        <v>51</v>
      </c>
      <c r="AB1443" t="str">
        <f>_xlfn.XLOOKUP(Table1[[#This Row],[JobSatisfaction]],Table14[JobSatisfaction],Table14[Id_JobSatisfaction])</f>
        <v>JS003</v>
      </c>
      <c r="AC1443">
        <v>3</v>
      </c>
      <c r="AD1443" t="str">
        <f>_xlfn.XLOOKUP(Table1[[#This Row],[JobSatisfaction]],Table14[JobSatisfaction],Table14[Deskripsi])</f>
        <v>High</v>
      </c>
      <c r="AE1443" t="str">
        <f>_xlfn.XLOOKUP(Table1[[#This Row],[MaritalStatus]],Table15[MaritalStatus],Table15[Id_MaritalStatus])</f>
        <v>MS003</v>
      </c>
      <c r="AF1443" t="s">
        <v>57</v>
      </c>
      <c r="AG1443">
        <v>6306</v>
      </c>
      <c r="AH1443">
        <v>26236</v>
      </c>
      <c r="AI1443">
        <v>1</v>
      </c>
      <c r="AJ1443" t="str">
        <f>_xlfn.XLOOKUP(Table1[[#This Row],[OverTime]],Table16[OverTime],Table16[Id_OverTime])</f>
        <v>OT002</v>
      </c>
      <c r="AK1443" t="s">
        <v>33</v>
      </c>
      <c r="AL1443">
        <v>21</v>
      </c>
      <c r="AM1443" t="str">
        <f>_xlfn.XLOOKUP(Table1[[#This Row],[PerformanceRating]],Table17[PerformanceRating],Table17[Id_PerformanceRating])</f>
        <v>PR004</v>
      </c>
      <c r="AN1443">
        <v>4</v>
      </c>
      <c r="AO1443" t="str">
        <f>_xlfn.XLOOKUP(Table1[[#This Row],[PerformanceRating]],Table17[PerformanceRating],Table17[Deskripsi])</f>
        <v>Outstanding</v>
      </c>
      <c r="AP1443" t="str">
        <f>_xlfn.XLOOKUP(Table1[[#This Row],[RelationshipSatisfaction]],Table18[RelationshipSatisfaction],Table18[Id_RelationshipSatisfaction])</f>
        <v>RS001</v>
      </c>
      <c r="AQ1443">
        <v>1</v>
      </c>
      <c r="AR1443" t="str">
        <f>_xlfn.XLOOKUP(Table1[[#This Row],[RelationshipSatisfaction]],Table18[RelationshipSatisfaction],Table18[Deskripsi])</f>
        <v>Low</v>
      </c>
      <c r="AS1443" t="str">
        <f>_xlfn.XLOOKUP(Table1[[#This Row],[StockOptionLevel]],Table19[StockOptionLevel],Table19[Id_StockOptionLevel])</f>
        <v>SOL002</v>
      </c>
      <c r="AT1443">
        <v>1</v>
      </c>
      <c r="AU1443" t="str">
        <f>_xlfn.XLOOKUP(Table1[[#This Row],[StockOptionLevel]],Table19[StockOptionLevel],Table19[Deskripsi])</f>
        <v>Standard</v>
      </c>
      <c r="AV1443">
        <v>13</v>
      </c>
      <c r="AW1443">
        <v>2</v>
      </c>
      <c r="AX1443" t="str">
        <f>_xlfn.XLOOKUP(Table1[[#This Row],[WorkLifeBalance]],Table20[WorkLifeBalance],Table20[Id_WorkLifeBalance])</f>
        <v>WLB003</v>
      </c>
      <c r="AY1443">
        <v>2</v>
      </c>
      <c r="AZ1443" t="str">
        <f>_xlfn.XLOOKUP(Table1[[#This Row],[WorkLifeBalance]],Table20[WorkLifeBalance],Table20[Deskripsi])</f>
        <v>Better</v>
      </c>
      <c r="BA1443">
        <v>13</v>
      </c>
      <c r="BB1443">
        <v>12</v>
      </c>
      <c r="BC1443">
        <v>1</v>
      </c>
      <c r="BD1443">
        <v>9</v>
      </c>
    </row>
    <row r="1444" spans="1:56" x14ac:dyDescent="0.25">
      <c r="A1444">
        <v>29</v>
      </c>
      <c r="B1444" t="str">
        <f>_xlfn.XLOOKUP(Table1[[#This Row],[Attrition]],Table2[Attrition],Table2[Id_Attrition])</f>
        <v>A001</v>
      </c>
      <c r="C1444" t="s">
        <v>32</v>
      </c>
      <c r="D1444" t="str">
        <f>_xlfn.XLOOKUP(Table1[[#This Row],[BusinessTravel]],Table5[BusinessTravel],Table5[Id_BusinessTravel])</f>
        <v>BS001</v>
      </c>
      <c r="E1444" t="s">
        <v>34</v>
      </c>
      <c r="F1444">
        <v>1092</v>
      </c>
      <c r="G1444" t="str">
        <f>_xlfn.XLOOKUP(Table1[[#This Row],[Department]],Table6[Department],Table6[Id_Departement])</f>
        <v>D002</v>
      </c>
      <c r="H1444" t="s">
        <v>38</v>
      </c>
      <c r="I1444">
        <v>1</v>
      </c>
      <c r="J1444" t="str">
        <f>_xlfn.XLOOKUP(Table1[[#This Row],[Education]],Table8[Education],Table8[Id_Education])</f>
        <v>E004</v>
      </c>
      <c r="K1444">
        <v>4</v>
      </c>
      <c r="L1444" t="str">
        <f>_xlfn.XLOOKUP(Table1[[#This Row],[EducationField]],Table7[EducationField],Table7[Id_EducationField])</f>
        <v>EF003</v>
      </c>
      <c r="M1444" t="s">
        <v>42</v>
      </c>
      <c r="N1444" t="str">
        <f>_xlfn.XLOOKUP(Table1[[#This Row],[EmployeeNumber]],Table4[EmployeeNumber],Table4[Id_Employee])</f>
        <v>EMP01443</v>
      </c>
      <c r="O1444">
        <v>2027</v>
      </c>
      <c r="P1444" t="str">
        <f>_xlfn.XLOOKUP(Table1[[#This Row],[EnvironmentSatisfaction]],Table9[EnvironmentSatisfaction],Table9[Id_EnviromentSatisfaction])</f>
        <v>ES001</v>
      </c>
      <c r="Q1444">
        <v>1</v>
      </c>
      <c r="R1444" t="str">
        <f>_xlfn.XLOOKUP(Table1[[#This Row],[EnvironmentSatisfaction]],Table9[EnvironmentSatisfaction],Table9[Deskripsi])</f>
        <v>Low</v>
      </c>
      <c r="S1444" t="str">
        <f>_xlfn.XLOOKUP(Table1[[#This Row],[Gender]],Table10[Gender],Table10[Id_Gender])</f>
        <v>G002</v>
      </c>
      <c r="T1444" t="s">
        <v>46</v>
      </c>
      <c r="U1444">
        <v>36</v>
      </c>
      <c r="V1444" t="str">
        <f>_xlfn.XLOOKUP(Table1[[#This Row],[JobInvolvement]],Table11[JobInvolvement],Table11[Id_JobInvolvement])</f>
        <v>JI003</v>
      </c>
      <c r="W1444">
        <v>3</v>
      </c>
      <c r="X1444" t="str">
        <f>_xlfn.XLOOKUP(Table1[[#This Row],[JobLevel]],Table12[JobLevel],Table12[Id_JobLevel])</f>
        <v>JL001</v>
      </c>
      <c r="Y1444">
        <v>1</v>
      </c>
      <c r="Z1444" t="str">
        <f>_xlfn.XLOOKUP(Table1[[#This Row],[JobRole]],Table13[JobRole],Table13[Id_JobRole])</f>
        <v>JR002</v>
      </c>
      <c r="AA1444" t="s">
        <v>48</v>
      </c>
      <c r="AB1444" t="str">
        <f>_xlfn.XLOOKUP(Table1[[#This Row],[JobSatisfaction]],Table14[JobSatisfaction],Table14[Id_JobSatisfaction])</f>
        <v>JS004</v>
      </c>
      <c r="AC1444">
        <v>4</v>
      </c>
      <c r="AD1444" t="str">
        <f>_xlfn.XLOOKUP(Table1[[#This Row],[JobSatisfaction]],Table14[JobSatisfaction],Table14[Deskripsi])</f>
        <v>Very High</v>
      </c>
      <c r="AE1444" t="str">
        <f>_xlfn.XLOOKUP(Table1[[#This Row],[MaritalStatus]],Table15[MaritalStatus],Table15[Id_MaritalStatus])</f>
        <v>MS002</v>
      </c>
      <c r="AF1444" t="s">
        <v>56</v>
      </c>
      <c r="AG1444">
        <v>4787</v>
      </c>
      <c r="AH1444">
        <v>26124</v>
      </c>
      <c r="AI1444">
        <v>9</v>
      </c>
      <c r="AJ1444" t="str">
        <f>_xlfn.XLOOKUP(Table1[[#This Row],[OverTime]],Table16[OverTime],Table16[Id_OverTime])</f>
        <v>OT001</v>
      </c>
      <c r="AK1444" t="s">
        <v>32</v>
      </c>
      <c r="AL1444">
        <v>14</v>
      </c>
      <c r="AM1444" t="str">
        <f>_xlfn.XLOOKUP(Table1[[#This Row],[PerformanceRating]],Table17[PerformanceRating],Table17[Id_PerformanceRating])</f>
        <v>PR003</v>
      </c>
      <c r="AN1444">
        <v>3</v>
      </c>
      <c r="AO1444" t="str">
        <f>_xlfn.XLOOKUP(Table1[[#This Row],[PerformanceRating]],Table17[PerformanceRating],Table17[Deskripsi])</f>
        <v>Excellent</v>
      </c>
      <c r="AP1444" t="str">
        <f>_xlfn.XLOOKUP(Table1[[#This Row],[RelationshipSatisfaction]],Table18[RelationshipSatisfaction],Table18[Id_RelationshipSatisfaction])</f>
        <v>RS002</v>
      </c>
      <c r="AQ1444">
        <v>2</v>
      </c>
      <c r="AR1444" t="str">
        <f>_xlfn.XLOOKUP(Table1[[#This Row],[RelationshipSatisfaction]],Table18[RelationshipSatisfaction],Table18[Deskripsi])</f>
        <v>Medium</v>
      </c>
      <c r="AS1444" t="str">
        <f>_xlfn.XLOOKUP(Table1[[#This Row],[StockOptionLevel]],Table19[StockOptionLevel],Table19[Id_StockOptionLevel])</f>
        <v>SOL004</v>
      </c>
      <c r="AT1444">
        <v>3</v>
      </c>
      <c r="AU1444" t="str">
        <f>_xlfn.XLOOKUP(Table1[[#This Row],[StockOptionLevel]],Table19[StockOptionLevel],Table19[Deskripsi])</f>
        <v>Senior/Executive</v>
      </c>
      <c r="AV1444">
        <v>4</v>
      </c>
      <c r="AW1444">
        <v>3</v>
      </c>
      <c r="AX1444" t="str">
        <f>_xlfn.XLOOKUP(Table1[[#This Row],[WorkLifeBalance]],Table20[WorkLifeBalance],Table20[Id_WorkLifeBalance])</f>
        <v>WLB004</v>
      </c>
      <c r="AY1444">
        <v>4</v>
      </c>
      <c r="AZ1444" t="str">
        <f>_xlfn.XLOOKUP(Table1[[#This Row],[WorkLifeBalance]],Table20[WorkLifeBalance],Table20[Deskripsi])</f>
        <v>Best</v>
      </c>
      <c r="BA1444">
        <v>2</v>
      </c>
      <c r="BB1444">
        <v>2</v>
      </c>
      <c r="BC1444">
        <v>2</v>
      </c>
      <c r="BD1444">
        <v>2</v>
      </c>
    </row>
    <row r="1445" spans="1:56" x14ac:dyDescent="0.25">
      <c r="A1445">
        <v>42</v>
      </c>
      <c r="B1445" t="str">
        <f>_xlfn.XLOOKUP(Table1[[#This Row],[Attrition]],Table2[Attrition],Table2[Id_Attrition])</f>
        <v>A002</v>
      </c>
      <c r="C1445" t="s">
        <v>33</v>
      </c>
      <c r="D1445" t="str">
        <f>_xlfn.XLOOKUP(Table1[[#This Row],[BusinessTravel]],Table5[BusinessTravel],Table5[Id_BusinessTravel])</f>
        <v>BS001</v>
      </c>
      <c r="E1445" t="s">
        <v>34</v>
      </c>
      <c r="F1445">
        <v>300</v>
      </c>
      <c r="G1445" t="str">
        <f>_xlfn.XLOOKUP(Table1[[#This Row],[Department]],Table6[Department],Table6[Id_Departement])</f>
        <v>D002</v>
      </c>
      <c r="H1445" t="s">
        <v>38</v>
      </c>
      <c r="I1445">
        <v>2</v>
      </c>
      <c r="J1445" t="str">
        <f>_xlfn.XLOOKUP(Table1[[#This Row],[Education]],Table8[Education],Table8[Id_Education])</f>
        <v>E003</v>
      </c>
      <c r="K1445">
        <v>3</v>
      </c>
      <c r="L1445" t="str">
        <f>_xlfn.XLOOKUP(Table1[[#This Row],[EducationField]],Table7[EducationField],Table7[Id_EducationField])</f>
        <v>EF001</v>
      </c>
      <c r="M1445" t="s">
        <v>40</v>
      </c>
      <c r="N1445" t="str">
        <f>_xlfn.XLOOKUP(Table1[[#This Row],[EmployeeNumber]],Table4[EmployeeNumber],Table4[Id_Employee])</f>
        <v>EMP01444</v>
      </c>
      <c r="O1445">
        <v>2031</v>
      </c>
      <c r="P1445" t="str">
        <f>_xlfn.XLOOKUP(Table1[[#This Row],[EnvironmentSatisfaction]],Table9[EnvironmentSatisfaction],Table9[Id_EnviromentSatisfaction])</f>
        <v>ES001</v>
      </c>
      <c r="Q1445">
        <v>1</v>
      </c>
      <c r="R1445" t="str">
        <f>_xlfn.XLOOKUP(Table1[[#This Row],[EnvironmentSatisfaction]],Table9[EnvironmentSatisfaction],Table9[Deskripsi])</f>
        <v>Low</v>
      </c>
      <c r="S1445" t="str">
        <f>_xlfn.XLOOKUP(Table1[[#This Row],[Gender]],Table10[Gender],Table10[Id_Gender])</f>
        <v>G002</v>
      </c>
      <c r="T1445" t="s">
        <v>46</v>
      </c>
      <c r="U1445">
        <v>56</v>
      </c>
      <c r="V1445" t="str">
        <f>_xlfn.XLOOKUP(Table1[[#This Row],[JobInvolvement]],Table11[JobInvolvement],Table11[Id_JobInvolvement])</f>
        <v>JI003</v>
      </c>
      <c r="W1445">
        <v>3</v>
      </c>
      <c r="X1445" t="str">
        <f>_xlfn.XLOOKUP(Table1[[#This Row],[JobLevel]],Table12[JobLevel],Table12[Id_JobLevel])</f>
        <v>JL005</v>
      </c>
      <c r="Y1445">
        <v>5</v>
      </c>
      <c r="Z1445" t="str">
        <f>_xlfn.XLOOKUP(Table1[[#This Row],[JobRole]],Table13[JobRole],Table13[Id_JobRole])</f>
        <v>JR006</v>
      </c>
      <c r="AA1445" t="s">
        <v>52</v>
      </c>
      <c r="AB1445" t="str">
        <f>_xlfn.XLOOKUP(Table1[[#This Row],[JobSatisfaction]],Table14[JobSatisfaction],Table14[Id_JobSatisfaction])</f>
        <v>JS003</v>
      </c>
      <c r="AC1445">
        <v>3</v>
      </c>
      <c r="AD1445" t="str">
        <f>_xlfn.XLOOKUP(Table1[[#This Row],[JobSatisfaction]],Table14[JobSatisfaction],Table14[Deskripsi])</f>
        <v>High</v>
      </c>
      <c r="AE1445" t="str">
        <f>_xlfn.XLOOKUP(Table1[[#This Row],[MaritalStatus]],Table15[MaritalStatus],Table15[Id_MaritalStatus])</f>
        <v>MS002</v>
      </c>
      <c r="AF1445" t="s">
        <v>56</v>
      </c>
      <c r="AG1445">
        <v>18880</v>
      </c>
      <c r="AH1445">
        <v>17312</v>
      </c>
      <c r="AI1445">
        <v>5</v>
      </c>
      <c r="AJ1445" t="str">
        <f>_xlfn.XLOOKUP(Table1[[#This Row],[OverTime]],Table16[OverTime],Table16[Id_OverTime])</f>
        <v>OT002</v>
      </c>
      <c r="AK1445" t="s">
        <v>33</v>
      </c>
      <c r="AL1445">
        <v>11</v>
      </c>
      <c r="AM1445" t="str">
        <f>_xlfn.XLOOKUP(Table1[[#This Row],[PerformanceRating]],Table17[PerformanceRating],Table17[Id_PerformanceRating])</f>
        <v>PR003</v>
      </c>
      <c r="AN1445">
        <v>3</v>
      </c>
      <c r="AO1445" t="str">
        <f>_xlfn.XLOOKUP(Table1[[#This Row],[PerformanceRating]],Table17[PerformanceRating],Table17[Deskripsi])</f>
        <v>Excellent</v>
      </c>
      <c r="AP1445" t="str">
        <f>_xlfn.XLOOKUP(Table1[[#This Row],[RelationshipSatisfaction]],Table18[RelationshipSatisfaction],Table18[Id_RelationshipSatisfaction])</f>
        <v>RS001</v>
      </c>
      <c r="AQ1445">
        <v>1</v>
      </c>
      <c r="AR1445" t="str">
        <f>_xlfn.XLOOKUP(Table1[[#This Row],[RelationshipSatisfaction]],Table18[RelationshipSatisfaction],Table18[Deskripsi])</f>
        <v>Low</v>
      </c>
      <c r="AS1445" t="str">
        <f>_xlfn.XLOOKUP(Table1[[#This Row],[StockOptionLevel]],Table19[StockOptionLevel],Table19[Id_StockOptionLevel])</f>
        <v>SOL001</v>
      </c>
      <c r="AT1445">
        <v>0</v>
      </c>
      <c r="AU1445" t="str">
        <f>_xlfn.XLOOKUP(Table1[[#This Row],[StockOptionLevel]],Table19[StockOptionLevel],Table19[Deskripsi])</f>
        <v>Non-Eligible</v>
      </c>
      <c r="AV1445">
        <v>24</v>
      </c>
      <c r="AW1445">
        <v>2</v>
      </c>
      <c r="AX1445" t="str">
        <f>_xlfn.XLOOKUP(Table1[[#This Row],[WorkLifeBalance]],Table20[WorkLifeBalance],Table20[Id_WorkLifeBalance])</f>
        <v>WLB003</v>
      </c>
      <c r="AY1445">
        <v>2</v>
      </c>
      <c r="AZ1445" t="str">
        <f>_xlfn.XLOOKUP(Table1[[#This Row],[WorkLifeBalance]],Table20[WorkLifeBalance],Table20[Deskripsi])</f>
        <v>Better</v>
      </c>
      <c r="BA1445">
        <v>22</v>
      </c>
      <c r="BB1445">
        <v>6</v>
      </c>
      <c r="BC1445">
        <v>4</v>
      </c>
      <c r="BD1445">
        <v>14</v>
      </c>
    </row>
    <row r="1446" spans="1:56" x14ac:dyDescent="0.25">
      <c r="A1446">
        <v>56</v>
      </c>
      <c r="B1446" t="str">
        <f>_xlfn.XLOOKUP(Table1[[#This Row],[Attrition]],Table2[Attrition],Table2[Id_Attrition])</f>
        <v>A001</v>
      </c>
      <c r="C1446" t="s">
        <v>32</v>
      </c>
      <c r="D1446" t="str">
        <f>_xlfn.XLOOKUP(Table1[[#This Row],[BusinessTravel]],Table5[BusinessTravel],Table5[Id_BusinessTravel])</f>
        <v>BS001</v>
      </c>
      <c r="E1446" t="s">
        <v>34</v>
      </c>
      <c r="F1446">
        <v>310</v>
      </c>
      <c r="G1446" t="str">
        <f>_xlfn.XLOOKUP(Table1[[#This Row],[Department]],Table6[Department],Table6[Id_Departement])</f>
        <v>D002</v>
      </c>
      <c r="H1446" t="s">
        <v>38</v>
      </c>
      <c r="I1446">
        <v>7</v>
      </c>
      <c r="J1446" t="str">
        <f>_xlfn.XLOOKUP(Table1[[#This Row],[Education]],Table8[Education],Table8[Id_Education])</f>
        <v>E002</v>
      </c>
      <c r="K1446">
        <v>2</v>
      </c>
      <c r="L1446" t="str">
        <f>_xlfn.XLOOKUP(Table1[[#This Row],[EducationField]],Table7[EducationField],Table7[Id_EducationField])</f>
        <v>EF005</v>
      </c>
      <c r="M1446" t="s">
        <v>44</v>
      </c>
      <c r="N1446" t="str">
        <f>_xlfn.XLOOKUP(Table1[[#This Row],[EmployeeNumber]],Table4[EmployeeNumber],Table4[Id_Employee])</f>
        <v>EMP01445</v>
      </c>
      <c r="O1446">
        <v>2032</v>
      </c>
      <c r="P1446" t="str">
        <f>_xlfn.XLOOKUP(Table1[[#This Row],[EnvironmentSatisfaction]],Table9[EnvironmentSatisfaction],Table9[Id_EnviromentSatisfaction])</f>
        <v>ES004</v>
      </c>
      <c r="Q1446">
        <v>4</v>
      </c>
      <c r="R1446" t="str">
        <f>_xlfn.XLOOKUP(Table1[[#This Row],[EnvironmentSatisfaction]],Table9[EnvironmentSatisfaction],Table9[Deskripsi])</f>
        <v>Very High</v>
      </c>
      <c r="S1446" t="str">
        <f>_xlfn.XLOOKUP(Table1[[#This Row],[Gender]],Table10[Gender],Table10[Id_Gender])</f>
        <v>G002</v>
      </c>
      <c r="T1446" t="s">
        <v>46</v>
      </c>
      <c r="U1446">
        <v>72</v>
      </c>
      <c r="V1446" t="str">
        <f>_xlfn.XLOOKUP(Table1[[#This Row],[JobInvolvement]],Table11[JobInvolvement],Table11[Id_JobInvolvement])</f>
        <v>JI003</v>
      </c>
      <c r="W1446">
        <v>3</v>
      </c>
      <c r="X1446" t="str">
        <f>_xlfn.XLOOKUP(Table1[[#This Row],[JobLevel]],Table12[JobLevel],Table12[Id_JobLevel])</f>
        <v>JL001</v>
      </c>
      <c r="Y1446">
        <v>1</v>
      </c>
      <c r="Z1446" t="str">
        <f>_xlfn.XLOOKUP(Table1[[#This Row],[JobRole]],Table13[JobRole],Table13[Id_JobRole])</f>
        <v>JR003</v>
      </c>
      <c r="AA1446" t="s">
        <v>49</v>
      </c>
      <c r="AB1446" t="str">
        <f>_xlfn.XLOOKUP(Table1[[#This Row],[JobSatisfaction]],Table14[JobSatisfaction],Table14[Id_JobSatisfaction])</f>
        <v>JS003</v>
      </c>
      <c r="AC1446">
        <v>3</v>
      </c>
      <c r="AD1446" t="str">
        <f>_xlfn.XLOOKUP(Table1[[#This Row],[JobSatisfaction]],Table14[JobSatisfaction],Table14[Deskripsi])</f>
        <v>High</v>
      </c>
      <c r="AE1446" t="str">
        <f>_xlfn.XLOOKUP(Table1[[#This Row],[MaritalStatus]],Table15[MaritalStatus],Table15[Id_MaritalStatus])</f>
        <v>MS002</v>
      </c>
      <c r="AF1446" t="s">
        <v>56</v>
      </c>
      <c r="AG1446">
        <v>2339</v>
      </c>
      <c r="AH1446">
        <v>3666</v>
      </c>
      <c r="AI1446">
        <v>8</v>
      </c>
      <c r="AJ1446" t="str">
        <f>_xlfn.XLOOKUP(Table1[[#This Row],[OverTime]],Table16[OverTime],Table16[Id_OverTime])</f>
        <v>OT002</v>
      </c>
      <c r="AK1446" t="s">
        <v>33</v>
      </c>
      <c r="AL1446">
        <v>11</v>
      </c>
      <c r="AM1446" t="str">
        <f>_xlfn.XLOOKUP(Table1[[#This Row],[PerformanceRating]],Table17[PerformanceRating],Table17[Id_PerformanceRating])</f>
        <v>PR003</v>
      </c>
      <c r="AN1446">
        <v>3</v>
      </c>
      <c r="AO1446" t="str">
        <f>_xlfn.XLOOKUP(Table1[[#This Row],[PerformanceRating]],Table17[PerformanceRating],Table17[Deskripsi])</f>
        <v>Excellent</v>
      </c>
      <c r="AP1446" t="str">
        <f>_xlfn.XLOOKUP(Table1[[#This Row],[RelationshipSatisfaction]],Table18[RelationshipSatisfaction],Table18[Id_RelationshipSatisfaction])</f>
        <v>RS004</v>
      </c>
      <c r="AQ1446">
        <v>4</v>
      </c>
      <c r="AR1446" t="str">
        <f>_xlfn.XLOOKUP(Table1[[#This Row],[RelationshipSatisfaction]],Table18[RelationshipSatisfaction],Table18[Deskripsi])</f>
        <v>Very High</v>
      </c>
      <c r="AS1446" t="str">
        <f>_xlfn.XLOOKUP(Table1[[#This Row],[StockOptionLevel]],Table19[StockOptionLevel],Table19[Id_StockOptionLevel])</f>
        <v>SOL002</v>
      </c>
      <c r="AT1446">
        <v>1</v>
      </c>
      <c r="AU1446" t="str">
        <f>_xlfn.XLOOKUP(Table1[[#This Row],[StockOptionLevel]],Table19[StockOptionLevel],Table19[Deskripsi])</f>
        <v>Standard</v>
      </c>
      <c r="AV1446">
        <v>14</v>
      </c>
      <c r="AW1446">
        <v>4</v>
      </c>
      <c r="AX1446" t="str">
        <f>_xlfn.XLOOKUP(Table1[[#This Row],[WorkLifeBalance]],Table20[WorkLifeBalance],Table20[Id_WorkLifeBalance])</f>
        <v>WLB001</v>
      </c>
      <c r="AY1446">
        <v>1</v>
      </c>
      <c r="AZ1446" t="str">
        <f>_xlfn.XLOOKUP(Table1[[#This Row],[WorkLifeBalance]],Table20[WorkLifeBalance],Table20[Deskripsi])</f>
        <v>Bad</v>
      </c>
      <c r="BA1446">
        <v>10</v>
      </c>
      <c r="BB1446">
        <v>9</v>
      </c>
      <c r="BC1446">
        <v>9</v>
      </c>
      <c r="BD1446">
        <v>8</v>
      </c>
    </row>
    <row r="1447" spans="1:56" x14ac:dyDescent="0.25">
      <c r="A1447">
        <v>41</v>
      </c>
      <c r="B1447" t="str">
        <f>_xlfn.XLOOKUP(Table1[[#This Row],[Attrition]],Table2[Attrition],Table2[Id_Attrition])</f>
        <v>A002</v>
      </c>
      <c r="C1447" t="s">
        <v>33</v>
      </c>
      <c r="D1447" t="str">
        <f>_xlfn.XLOOKUP(Table1[[#This Row],[BusinessTravel]],Table5[BusinessTravel],Table5[Id_BusinessTravel])</f>
        <v>BS001</v>
      </c>
      <c r="E1447" t="s">
        <v>34</v>
      </c>
      <c r="F1447">
        <v>582</v>
      </c>
      <c r="G1447" t="str">
        <f>_xlfn.XLOOKUP(Table1[[#This Row],[Department]],Table6[Department],Table6[Id_Departement])</f>
        <v>D002</v>
      </c>
      <c r="H1447" t="s">
        <v>38</v>
      </c>
      <c r="I1447">
        <v>28</v>
      </c>
      <c r="J1447" t="str">
        <f>_xlfn.XLOOKUP(Table1[[#This Row],[Education]],Table8[Education],Table8[Id_Education])</f>
        <v>E004</v>
      </c>
      <c r="K1447">
        <v>4</v>
      </c>
      <c r="L1447" t="str">
        <f>_xlfn.XLOOKUP(Table1[[#This Row],[EducationField]],Table7[EducationField],Table7[Id_EducationField])</f>
        <v>EF001</v>
      </c>
      <c r="M1447" t="s">
        <v>40</v>
      </c>
      <c r="N1447" t="str">
        <f>_xlfn.XLOOKUP(Table1[[#This Row],[EmployeeNumber]],Table4[EmployeeNumber],Table4[Id_Employee])</f>
        <v>EMP01446</v>
      </c>
      <c r="O1447">
        <v>2034</v>
      </c>
      <c r="P1447" t="str">
        <f>_xlfn.XLOOKUP(Table1[[#This Row],[EnvironmentSatisfaction]],Table9[EnvironmentSatisfaction],Table9[Id_EnviromentSatisfaction])</f>
        <v>ES001</v>
      </c>
      <c r="Q1447">
        <v>1</v>
      </c>
      <c r="R1447" t="str">
        <f>_xlfn.XLOOKUP(Table1[[#This Row],[EnvironmentSatisfaction]],Table9[EnvironmentSatisfaction],Table9[Deskripsi])</f>
        <v>Low</v>
      </c>
      <c r="S1447" t="str">
        <f>_xlfn.XLOOKUP(Table1[[#This Row],[Gender]],Table10[Gender],Table10[Id_Gender])</f>
        <v>G001</v>
      </c>
      <c r="T1447" t="s">
        <v>45</v>
      </c>
      <c r="U1447">
        <v>60</v>
      </c>
      <c r="V1447" t="str">
        <f>_xlfn.XLOOKUP(Table1[[#This Row],[JobInvolvement]],Table11[JobInvolvement],Table11[Id_JobInvolvement])</f>
        <v>JI002</v>
      </c>
      <c r="W1447">
        <v>2</v>
      </c>
      <c r="X1447" t="str">
        <f>_xlfn.XLOOKUP(Table1[[#This Row],[JobLevel]],Table12[JobLevel],Table12[Id_JobLevel])</f>
        <v>JL004</v>
      </c>
      <c r="Y1447">
        <v>4</v>
      </c>
      <c r="Z1447" t="str">
        <f>_xlfn.XLOOKUP(Table1[[#This Row],[JobRole]],Table13[JobRole],Table13[Id_JobRole])</f>
        <v>JR004</v>
      </c>
      <c r="AA1447" t="s">
        <v>50</v>
      </c>
      <c r="AB1447" t="str">
        <f>_xlfn.XLOOKUP(Table1[[#This Row],[JobSatisfaction]],Table14[JobSatisfaction],Table14[Id_JobSatisfaction])</f>
        <v>JS002</v>
      </c>
      <c r="AC1447">
        <v>2</v>
      </c>
      <c r="AD1447" t="str">
        <f>_xlfn.XLOOKUP(Table1[[#This Row],[JobSatisfaction]],Table14[JobSatisfaction],Table14[Deskripsi])</f>
        <v>Medium</v>
      </c>
      <c r="AE1447" t="str">
        <f>_xlfn.XLOOKUP(Table1[[#This Row],[MaritalStatus]],Table15[MaritalStatus],Table15[Id_MaritalStatus])</f>
        <v>MS002</v>
      </c>
      <c r="AF1447" t="s">
        <v>56</v>
      </c>
      <c r="AG1447">
        <v>13570</v>
      </c>
      <c r="AH1447">
        <v>5640</v>
      </c>
      <c r="AI1447">
        <v>0</v>
      </c>
      <c r="AJ1447" t="str">
        <f>_xlfn.XLOOKUP(Table1[[#This Row],[OverTime]],Table16[OverTime],Table16[Id_OverTime])</f>
        <v>OT002</v>
      </c>
      <c r="AK1447" t="s">
        <v>33</v>
      </c>
      <c r="AL1447">
        <v>23</v>
      </c>
      <c r="AM1447" t="str">
        <f>_xlfn.XLOOKUP(Table1[[#This Row],[PerformanceRating]],Table17[PerformanceRating],Table17[Id_PerformanceRating])</f>
        <v>PR004</v>
      </c>
      <c r="AN1447">
        <v>4</v>
      </c>
      <c r="AO1447" t="str">
        <f>_xlfn.XLOOKUP(Table1[[#This Row],[PerformanceRating]],Table17[PerformanceRating],Table17[Deskripsi])</f>
        <v>Outstanding</v>
      </c>
      <c r="AP1447" t="str">
        <f>_xlfn.XLOOKUP(Table1[[#This Row],[RelationshipSatisfaction]],Table18[RelationshipSatisfaction],Table18[Id_RelationshipSatisfaction])</f>
        <v>RS003</v>
      </c>
      <c r="AQ1447">
        <v>3</v>
      </c>
      <c r="AR1447" t="str">
        <f>_xlfn.XLOOKUP(Table1[[#This Row],[RelationshipSatisfaction]],Table18[RelationshipSatisfaction],Table18[Deskripsi])</f>
        <v>High</v>
      </c>
      <c r="AS1447" t="str">
        <f>_xlfn.XLOOKUP(Table1[[#This Row],[StockOptionLevel]],Table19[StockOptionLevel],Table19[Id_StockOptionLevel])</f>
        <v>SOL002</v>
      </c>
      <c r="AT1447">
        <v>1</v>
      </c>
      <c r="AU1447" t="str">
        <f>_xlfn.XLOOKUP(Table1[[#This Row],[StockOptionLevel]],Table19[StockOptionLevel],Table19[Deskripsi])</f>
        <v>Standard</v>
      </c>
      <c r="AV1447">
        <v>21</v>
      </c>
      <c r="AW1447">
        <v>3</v>
      </c>
      <c r="AX1447" t="str">
        <f>_xlfn.XLOOKUP(Table1[[#This Row],[WorkLifeBalance]],Table20[WorkLifeBalance],Table20[Id_WorkLifeBalance])</f>
        <v>WLB002</v>
      </c>
      <c r="AY1447">
        <v>3</v>
      </c>
      <c r="AZ1447" t="str">
        <f>_xlfn.XLOOKUP(Table1[[#This Row],[WorkLifeBalance]],Table20[WorkLifeBalance],Table20[Deskripsi])</f>
        <v>Good</v>
      </c>
      <c r="BA1447">
        <v>20</v>
      </c>
      <c r="BB1447">
        <v>7</v>
      </c>
      <c r="BC1447">
        <v>0</v>
      </c>
      <c r="BD1447">
        <v>10</v>
      </c>
    </row>
    <row r="1448" spans="1:56" x14ac:dyDescent="0.25">
      <c r="A1448">
        <v>34</v>
      </c>
      <c r="B1448" t="str">
        <f>_xlfn.XLOOKUP(Table1[[#This Row],[Attrition]],Table2[Attrition],Table2[Id_Attrition])</f>
        <v>A002</v>
      </c>
      <c r="C1448" t="s">
        <v>33</v>
      </c>
      <c r="D1448" t="str">
        <f>_xlfn.XLOOKUP(Table1[[#This Row],[BusinessTravel]],Table5[BusinessTravel],Table5[Id_BusinessTravel])</f>
        <v>BS001</v>
      </c>
      <c r="E1448" t="s">
        <v>34</v>
      </c>
      <c r="F1448">
        <v>704</v>
      </c>
      <c r="G1448" t="str">
        <f>_xlfn.XLOOKUP(Table1[[#This Row],[Department]],Table6[Department],Table6[Id_Departement])</f>
        <v>D001</v>
      </c>
      <c r="H1448" t="s">
        <v>37</v>
      </c>
      <c r="I1448">
        <v>28</v>
      </c>
      <c r="J1448" t="str">
        <f>_xlfn.XLOOKUP(Table1[[#This Row],[Education]],Table8[Education],Table8[Id_Education])</f>
        <v>E003</v>
      </c>
      <c r="K1448">
        <v>3</v>
      </c>
      <c r="L1448" t="str">
        <f>_xlfn.XLOOKUP(Table1[[#This Row],[EducationField]],Table7[EducationField],Table7[Id_EducationField])</f>
        <v>EF004</v>
      </c>
      <c r="M1448" t="s">
        <v>43</v>
      </c>
      <c r="N1448" t="str">
        <f>_xlfn.XLOOKUP(Table1[[#This Row],[EmployeeNumber]],Table4[EmployeeNumber],Table4[Id_Employee])</f>
        <v>EMP01447</v>
      </c>
      <c r="O1448">
        <v>2035</v>
      </c>
      <c r="P1448" t="str">
        <f>_xlfn.XLOOKUP(Table1[[#This Row],[EnvironmentSatisfaction]],Table9[EnvironmentSatisfaction],Table9[Id_EnviromentSatisfaction])</f>
        <v>ES004</v>
      </c>
      <c r="Q1448">
        <v>4</v>
      </c>
      <c r="R1448" t="str">
        <f>_xlfn.XLOOKUP(Table1[[#This Row],[EnvironmentSatisfaction]],Table9[EnvironmentSatisfaction],Table9[Deskripsi])</f>
        <v>Very High</v>
      </c>
      <c r="S1448" t="str">
        <f>_xlfn.XLOOKUP(Table1[[#This Row],[Gender]],Table10[Gender],Table10[Id_Gender])</f>
        <v>G001</v>
      </c>
      <c r="T1448" t="s">
        <v>45</v>
      </c>
      <c r="U1448">
        <v>95</v>
      </c>
      <c r="V1448" t="str">
        <f>_xlfn.XLOOKUP(Table1[[#This Row],[JobInvolvement]],Table11[JobInvolvement],Table11[Id_JobInvolvement])</f>
        <v>JI002</v>
      </c>
      <c r="W1448">
        <v>2</v>
      </c>
      <c r="X1448" t="str">
        <f>_xlfn.XLOOKUP(Table1[[#This Row],[JobLevel]],Table12[JobLevel],Table12[Id_JobLevel])</f>
        <v>JL002</v>
      </c>
      <c r="Y1448">
        <v>2</v>
      </c>
      <c r="Z1448" t="str">
        <f>_xlfn.XLOOKUP(Table1[[#This Row],[JobRole]],Table13[JobRole],Table13[Id_JobRole])</f>
        <v>JR001</v>
      </c>
      <c r="AA1448" t="s">
        <v>47</v>
      </c>
      <c r="AB1448" t="str">
        <f>_xlfn.XLOOKUP(Table1[[#This Row],[JobSatisfaction]],Table14[JobSatisfaction],Table14[Id_JobSatisfaction])</f>
        <v>JS003</v>
      </c>
      <c r="AC1448">
        <v>3</v>
      </c>
      <c r="AD1448" t="str">
        <f>_xlfn.XLOOKUP(Table1[[#This Row],[JobSatisfaction]],Table14[JobSatisfaction],Table14[Deskripsi])</f>
        <v>High</v>
      </c>
      <c r="AE1448" t="str">
        <f>_xlfn.XLOOKUP(Table1[[#This Row],[MaritalStatus]],Table15[MaritalStatus],Table15[Id_MaritalStatus])</f>
        <v>MS002</v>
      </c>
      <c r="AF1448" t="s">
        <v>56</v>
      </c>
      <c r="AG1448">
        <v>6712</v>
      </c>
      <c r="AH1448">
        <v>8978</v>
      </c>
      <c r="AI1448">
        <v>1</v>
      </c>
      <c r="AJ1448" t="str">
        <f>_xlfn.XLOOKUP(Table1[[#This Row],[OverTime]],Table16[OverTime],Table16[Id_OverTime])</f>
        <v>OT002</v>
      </c>
      <c r="AK1448" t="s">
        <v>33</v>
      </c>
      <c r="AL1448">
        <v>21</v>
      </c>
      <c r="AM1448" t="str">
        <f>_xlfn.XLOOKUP(Table1[[#This Row],[PerformanceRating]],Table17[PerformanceRating],Table17[Id_PerformanceRating])</f>
        <v>PR004</v>
      </c>
      <c r="AN1448">
        <v>4</v>
      </c>
      <c r="AO1448" t="str">
        <f>_xlfn.XLOOKUP(Table1[[#This Row],[PerformanceRating]],Table17[PerformanceRating],Table17[Deskripsi])</f>
        <v>Outstanding</v>
      </c>
      <c r="AP1448" t="str">
        <f>_xlfn.XLOOKUP(Table1[[#This Row],[RelationshipSatisfaction]],Table18[RelationshipSatisfaction],Table18[Id_RelationshipSatisfaction])</f>
        <v>RS004</v>
      </c>
      <c r="AQ1448">
        <v>4</v>
      </c>
      <c r="AR1448" t="str">
        <f>_xlfn.XLOOKUP(Table1[[#This Row],[RelationshipSatisfaction]],Table18[RelationshipSatisfaction],Table18[Deskripsi])</f>
        <v>Very High</v>
      </c>
      <c r="AS1448" t="str">
        <f>_xlfn.XLOOKUP(Table1[[#This Row],[StockOptionLevel]],Table19[StockOptionLevel],Table19[Id_StockOptionLevel])</f>
        <v>SOL003</v>
      </c>
      <c r="AT1448">
        <v>2</v>
      </c>
      <c r="AU1448" t="str">
        <f>_xlfn.XLOOKUP(Table1[[#This Row],[StockOptionLevel]],Table19[StockOptionLevel],Table19[Deskripsi])</f>
        <v>Intermediate</v>
      </c>
      <c r="AV1448">
        <v>8</v>
      </c>
      <c r="AW1448">
        <v>2</v>
      </c>
      <c r="AX1448" t="str">
        <f>_xlfn.XLOOKUP(Table1[[#This Row],[WorkLifeBalance]],Table20[WorkLifeBalance],Table20[Id_WorkLifeBalance])</f>
        <v>WLB002</v>
      </c>
      <c r="AY1448">
        <v>3</v>
      </c>
      <c r="AZ1448" t="str">
        <f>_xlfn.XLOOKUP(Table1[[#This Row],[WorkLifeBalance]],Table20[WorkLifeBalance],Table20[Deskripsi])</f>
        <v>Good</v>
      </c>
      <c r="BA1448">
        <v>8</v>
      </c>
      <c r="BB1448">
        <v>7</v>
      </c>
      <c r="BC1448">
        <v>1</v>
      </c>
      <c r="BD1448">
        <v>7</v>
      </c>
    </row>
    <row r="1449" spans="1:56" x14ac:dyDescent="0.25">
      <c r="A1449">
        <v>36</v>
      </c>
      <c r="B1449" t="str">
        <f>_xlfn.XLOOKUP(Table1[[#This Row],[Attrition]],Table2[Attrition],Table2[Id_Attrition])</f>
        <v>A002</v>
      </c>
      <c r="C1449" t="s">
        <v>33</v>
      </c>
      <c r="D1449" t="str">
        <f>_xlfn.XLOOKUP(Table1[[#This Row],[BusinessTravel]],Table5[BusinessTravel],Table5[Id_BusinessTravel])</f>
        <v>BS003</v>
      </c>
      <c r="E1449" t="s">
        <v>36</v>
      </c>
      <c r="F1449">
        <v>301</v>
      </c>
      <c r="G1449" t="str">
        <f>_xlfn.XLOOKUP(Table1[[#This Row],[Department]],Table6[Department],Table6[Id_Departement])</f>
        <v>D001</v>
      </c>
      <c r="H1449" t="s">
        <v>37</v>
      </c>
      <c r="I1449">
        <v>15</v>
      </c>
      <c r="J1449" t="str">
        <f>_xlfn.XLOOKUP(Table1[[#This Row],[Education]],Table8[Education],Table8[Id_Education])</f>
        <v>E004</v>
      </c>
      <c r="K1449">
        <v>4</v>
      </c>
      <c r="L1449" t="str">
        <f>_xlfn.XLOOKUP(Table1[[#This Row],[EducationField]],Table7[EducationField],Table7[Id_EducationField])</f>
        <v>EF004</v>
      </c>
      <c r="M1449" t="s">
        <v>43</v>
      </c>
      <c r="N1449" t="str">
        <f>_xlfn.XLOOKUP(Table1[[#This Row],[EmployeeNumber]],Table4[EmployeeNumber],Table4[Id_Employee])</f>
        <v>EMP01448</v>
      </c>
      <c r="O1449">
        <v>2036</v>
      </c>
      <c r="P1449" t="str">
        <f>_xlfn.XLOOKUP(Table1[[#This Row],[EnvironmentSatisfaction]],Table9[EnvironmentSatisfaction],Table9[Id_EnviromentSatisfaction])</f>
        <v>ES004</v>
      </c>
      <c r="Q1449">
        <v>4</v>
      </c>
      <c r="R1449" t="str">
        <f>_xlfn.XLOOKUP(Table1[[#This Row],[EnvironmentSatisfaction]],Table9[EnvironmentSatisfaction],Table9[Deskripsi])</f>
        <v>Very High</v>
      </c>
      <c r="S1449" t="str">
        <f>_xlfn.XLOOKUP(Table1[[#This Row],[Gender]],Table10[Gender],Table10[Id_Gender])</f>
        <v>G002</v>
      </c>
      <c r="T1449" t="s">
        <v>46</v>
      </c>
      <c r="U1449">
        <v>88</v>
      </c>
      <c r="V1449" t="str">
        <f>_xlfn.XLOOKUP(Table1[[#This Row],[JobInvolvement]],Table11[JobInvolvement],Table11[Id_JobInvolvement])</f>
        <v>JI001</v>
      </c>
      <c r="W1449">
        <v>1</v>
      </c>
      <c r="X1449" t="str">
        <f>_xlfn.XLOOKUP(Table1[[#This Row],[JobLevel]],Table12[JobLevel],Table12[Id_JobLevel])</f>
        <v>JL002</v>
      </c>
      <c r="Y1449">
        <v>2</v>
      </c>
      <c r="Z1449" t="str">
        <f>_xlfn.XLOOKUP(Table1[[#This Row],[JobRole]],Table13[JobRole],Table13[Id_JobRole])</f>
        <v>JR001</v>
      </c>
      <c r="AA1449" t="s">
        <v>47</v>
      </c>
      <c r="AB1449" t="str">
        <f>_xlfn.XLOOKUP(Table1[[#This Row],[JobSatisfaction]],Table14[JobSatisfaction],Table14[Id_JobSatisfaction])</f>
        <v>JS004</v>
      </c>
      <c r="AC1449">
        <v>4</v>
      </c>
      <c r="AD1449" t="str">
        <f>_xlfn.XLOOKUP(Table1[[#This Row],[JobSatisfaction]],Table14[JobSatisfaction],Table14[Deskripsi])</f>
        <v>Very High</v>
      </c>
      <c r="AE1449" t="str">
        <f>_xlfn.XLOOKUP(Table1[[#This Row],[MaritalStatus]],Table15[MaritalStatus],Table15[Id_MaritalStatus])</f>
        <v>MS003</v>
      </c>
      <c r="AF1449" t="s">
        <v>57</v>
      </c>
      <c r="AG1449">
        <v>5406</v>
      </c>
      <c r="AH1449">
        <v>10436</v>
      </c>
      <c r="AI1449">
        <v>1</v>
      </c>
      <c r="AJ1449" t="str">
        <f>_xlfn.XLOOKUP(Table1[[#This Row],[OverTime]],Table16[OverTime],Table16[Id_OverTime])</f>
        <v>OT002</v>
      </c>
      <c r="AK1449" t="s">
        <v>33</v>
      </c>
      <c r="AL1449">
        <v>24</v>
      </c>
      <c r="AM1449" t="str">
        <f>_xlfn.XLOOKUP(Table1[[#This Row],[PerformanceRating]],Table17[PerformanceRating],Table17[Id_PerformanceRating])</f>
        <v>PR004</v>
      </c>
      <c r="AN1449">
        <v>4</v>
      </c>
      <c r="AO1449" t="str">
        <f>_xlfn.XLOOKUP(Table1[[#This Row],[PerformanceRating]],Table17[PerformanceRating],Table17[Deskripsi])</f>
        <v>Outstanding</v>
      </c>
      <c r="AP1449" t="str">
        <f>_xlfn.XLOOKUP(Table1[[#This Row],[RelationshipSatisfaction]],Table18[RelationshipSatisfaction],Table18[Id_RelationshipSatisfaction])</f>
        <v>RS001</v>
      </c>
      <c r="AQ1449">
        <v>1</v>
      </c>
      <c r="AR1449" t="str">
        <f>_xlfn.XLOOKUP(Table1[[#This Row],[RelationshipSatisfaction]],Table18[RelationshipSatisfaction],Table18[Deskripsi])</f>
        <v>Low</v>
      </c>
      <c r="AS1449" t="str">
        <f>_xlfn.XLOOKUP(Table1[[#This Row],[StockOptionLevel]],Table19[StockOptionLevel],Table19[Id_StockOptionLevel])</f>
        <v>SOL002</v>
      </c>
      <c r="AT1449">
        <v>1</v>
      </c>
      <c r="AU1449" t="str">
        <f>_xlfn.XLOOKUP(Table1[[#This Row],[StockOptionLevel]],Table19[StockOptionLevel],Table19[Deskripsi])</f>
        <v>Standard</v>
      </c>
      <c r="AV1449">
        <v>15</v>
      </c>
      <c r="AW1449">
        <v>4</v>
      </c>
      <c r="AX1449" t="str">
        <f>_xlfn.XLOOKUP(Table1[[#This Row],[WorkLifeBalance]],Table20[WorkLifeBalance],Table20[Id_WorkLifeBalance])</f>
        <v>WLB003</v>
      </c>
      <c r="AY1449">
        <v>2</v>
      </c>
      <c r="AZ1449" t="str">
        <f>_xlfn.XLOOKUP(Table1[[#This Row],[WorkLifeBalance]],Table20[WorkLifeBalance],Table20[Deskripsi])</f>
        <v>Better</v>
      </c>
      <c r="BA1449">
        <v>15</v>
      </c>
      <c r="BB1449">
        <v>12</v>
      </c>
      <c r="BC1449">
        <v>11</v>
      </c>
      <c r="BD1449">
        <v>11</v>
      </c>
    </row>
    <row r="1450" spans="1:56" x14ac:dyDescent="0.25">
      <c r="A1450">
        <v>41</v>
      </c>
      <c r="B1450" t="str">
        <f>_xlfn.XLOOKUP(Table1[[#This Row],[Attrition]],Table2[Attrition],Table2[Id_Attrition])</f>
        <v>A002</v>
      </c>
      <c r="C1450" t="s">
        <v>33</v>
      </c>
      <c r="D1450" t="str">
        <f>_xlfn.XLOOKUP(Table1[[#This Row],[BusinessTravel]],Table5[BusinessTravel],Table5[Id_BusinessTravel])</f>
        <v>BS001</v>
      </c>
      <c r="E1450" t="s">
        <v>34</v>
      </c>
      <c r="F1450">
        <v>930</v>
      </c>
      <c r="G1450" t="str">
        <f>_xlfn.XLOOKUP(Table1[[#This Row],[Department]],Table6[Department],Table6[Id_Departement])</f>
        <v>D001</v>
      </c>
      <c r="H1450" t="s">
        <v>37</v>
      </c>
      <c r="I1450">
        <v>3</v>
      </c>
      <c r="J1450" t="str">
        <f>_xlfn.XLOOKUP(Table1[[#This Row],[Education]],Table8[Education],Table8[Id_Education])</f>
        <v>E003</v>
      </c>
      <c r="K1450">
        <v>3</v>
      </c>
      <c r="L1450" t="str">
        <f>_xlfn.XLOOKUP(Table1[[#This Row],[EducationField]],Table7[EducationField],Table7[Id_EducationField])</f>
        <v>EF001</v>
      </c>
      <c r="M1450" t="s">
        <v>40</v>
      </c>
      <c r="N1450" t="str">
        <f>_xlfn.XLOOKUP(Table1[[#This Row],[EmployeeNumber]],Table4[EmployeeNumber],Table4[Id_Employee])</f>
        <v>EMP01449</v>
      </c>
      <c r="O1450">
        <v>2037</v>
      </c>
      <c r="P1450" t="str">
        <f>_xlfn.XLOOKUP(Table1[[#This Row],[EnvironmentSatisfaction]],Table9[EnvironmentSatisfaction],Table9[Id_EnviromentSatisfaction])</f>
        <v>ES003</v>
      </c>
      <c r="Q1450">
        <v>3</v>
      </c>
      <c r="R1450" t="str">
        <f>_xlfn.XLOOKUP(Table1[[#This Row],[EnvironmentSatisfaction]],Table9[EnvironmentSatisfaction],Table9[Deskripsi])</f>
        <v>High</v>
      </c>
      <c r="S1450" t="str">
        <f>_xlfn.XLOOKUP(Table1[[#This Row],[Gender]],Table10[Gender],Table10[Id_Gender])</f>
        <v>G002</v>
      </c>
      <c r="T1450" t="s">
        <v>46</v>
      </c>
      <c r="U1450">
        <v>57</v>
      </c>
      <c r="V1450" t="str">
        <f>_xlfn.XLOOKUP(Table1[[#This Row],[JobInvolvement]],Table11[JobInvolvement],Table11[Id_JobInvolvement])</f>
        <v>JI002</v>
      </c>
      <c r="W1450">
        <v>2</v>
      </c>
      <c r="X1450" t="str">
        <f>_xlfn.XLOOKUP(Table1[[#This Row],[JobLevel]],Table12[JobLevel],Table12[Id_JobLevel])</f>
        <v>JL002</v>
      </c>
      <c r="Y1450">
        <v>2</v>
      </c>
      <c r="Z1450" t="str">
        <f>_xlfn.XLOOKUP(Table1[[#This Row],[JobRole]],Table13[JobRole],Table13[Id_JobRole])</f>
        <v>JR001</v>
      </c>
      <c r="AA1450" t="s">
        <v>47</v>
      </c>
      <c r="AB1450" t="str">
        <f>_xlfn.XLOOKUP(Table1[[#This Row],[JobSatisfaction]],Table14[JobSatisfaction],Table14[Id_JobSatisfaction])</f>
        <v>JS002</v>
      </c>
      <c r="AC1450">
        <v>2</v>
      </c>
      <c r="AD1450" t="str">
        <f>_xlfn.XLOOKUP(Table1[[#This Row],[JobSatisfaction]],Table14[JobSatisfaction],Table14[Deskripsi])</f>
        <v>Medium</v>
      </c>
      <c r="AE1450" t="str">
        <f>_xlfn.XLOOKUP(Table1[[#This Row],[MaritalStatus]],Table15[MaritalStatus],Table15[Id_MaritalStatus])</f>
        <v>MS003</v>
      </c>
      <c r="AF1450" t="s">
        <v>57</v>
      </c>
      <c r="AG1450">
        <v>8938</v>
      </c>
      <c r="AH1450">
        <v>12227</v>
      </c>
      <c r="AI1450">
        <v>2</v>
      </c>
      <c r="AJ1450" t="str">
        <f>_xlfn.XLOOKUP(Table1[[#This Row],[OverTime]],Table16[OverTime],Table16[Id_OverTime])</f>
        <v>OT002</v>
      </c>
      <c r="AK1450" t="s">
        <v>33</v>
      </c>
      <c r="AL1450">
        <v>11</v>
      </c>
      <c r="AM1450" t="str">
        <f>_xlfn.XLOOKUP(Table1[[#This Row],[PerformanceRating]],Table17[PerformanceRating],Table17[Id_PerformanceRating])</f>
        <v>PR003</v>
      </c>
      <c r="AN1450">
        <v>3</v>
      </c>
      <c r="AO1450" t="str">
        <f>_xlfn.XLOOKUP(Table1[[#This Row],[PerformanceRating]],Table17[PerformanceRating],Table17[Deskripsi])</f>
        <v>Excellent</v>
      </c>
      <c r="AP1450" t="str">
        <f>_xlfn.XLOOKUP(Table1[[#This Row],[RelationshipSatisfaction]],Table18[RelationshipSatisfaction],Table18[Id_RelationshipSatisfaction])</f>
        <v>RS003</v>
      </c>
      <c r="AQ1450">
        <v>3</v>
      </c>
      <c r="AR1450" t="str">
        <f>_xlfn.XLOOKUP(Table1[[#This Row],[RelationshipSatisfaction]],Table18[RelationshipSatisfaction],Table18[Deskripsi])</f>
        <v>High</v>
      </c>
      <c r="AS1450" t="str">
        <f>_xlfn.XLOOKUP(Table1[[#This Row],[StockOptionLevel]],Table19[StockOptionLevel],Table19[Id_StockOptionLevel])</f>
        <v>SOL002</v>
      </c>
      <c r="AT1450">
        <v>1</v>
      </c>
      <c r="AU1450" t="str">
        <f>_xlfn.XLOOKUP(Table1[[#This Row],[StockOptionLevel]],Table19[StockOptionLevel],Table19[Deskripsi])</f>
        <v>Standard</v>
      </c>
      <c r="AV1450">
        <v>14</v>
      </c>
      <c r="AW1450">
        <v>5</v>
      </c>
      <c r="AX1450" t="str">
        <f>_xlfn.XLOOKUP(Table1[[#This Row],[WorkLifeBalance]],Table20[WorkLifeBalance],Table20[Id_WorkLifeBalance])</f>
        <v>WLB002</v>
      </c>
      <c r="AY1450">
        <v>3</v>
      </c>
      <c r="AZ1450" t="str">
        <f>_xlfn.XLOOKUP(Table1[[#This Row],[WorkLifeBalance]],Table20[WorkLifeBalance],Table20[Deskripsi])</f>
        <v>Good</v>
      </c>
      <c r="BA1450">
        <v>5</v>
      </c>
      <c r="BB1450">
        <v>4</v>
      </c>
      <c r="BC1450">
        <v>0</v>
      </c>
      <c r="BD1450">
        <v>4</v>
      </c>
    </row>
    <row r="1451" spans="1:56" x14ac:dyDescent="0.25">
      <c r="A1451">
        <v>32</v>
      </c>
      <c r="B1451" t="str">
        <f>_xlfn.XLOOKUP(Table1[[#This Row],[Attrition]],Table2[Attrition],Table2[Id_Attrition])</f>
        <v>A002</v>
      </c>
      <c r="C1451" t="s">
        <v>33</v>
      </c>
      <c r="D1451" t="str">
        <f>_xlfn.XLOOKUP(Table1[[#This Row],[BusinessTravel]],Table5[BusinessTravel],Table5[Id_BusinessTravel])</f>
        <v>BS001</v>
      </c>
      <c r="E1451" t="s">
        <v>34</v>
      </c>
      <c r="F1451">
        <v>529</v>
      </c>
      <c r="G1451" t="str">
        <f>_xlfn.XLOOKUP(Table1[[#This Row],[Department]],Table6[Department],Table6[Id_Departement])</f>
        <v>D002</v>
      </c>
      <c r="H1451" t="s">
        <v>38</v>
      </c>
      <c r="I1451">
        <v>2</v>
      </c>
      <c r="J1451" t="str">
        <f>_xlfn.XLOOKUP(Table1[[#This Row],[Education]],Table8[Education],Table8[Id_Education])</f>
        <v>E003</v>
      </c>
      <c r="K1451">
        <v>3</v>
      </c>
      <c r="L1451" t="str">
        <f>_xlfn.XLOOKUP(Table1[[#This Row],[EducationField]],Table7[EducationField],Table7[Id_EducationField])</f>
        <v>EF005</v>
      </c>
      <c r="M1451" t="s">
        <v>44</v>
      </c>
      <c r="N1451" t="str">
        <f>_xlfn.XLOOKUP(Table1[[#This Row],[EmployeeNumber]],Table4[EmployeeNumber],Table4[Id_Employee])</f>
        <v>EMP01450</v>
      </c>
      <c r="O1451">
        <v>2038</v>
      </c>
      <c r="P1451" t="str">
        <f>_xlfn.XLOOKUP(Table1[[#This Row],[EnvironmentSatisfaction]],Table9[EnvironmentSatisfaction],Table9[Id_EnviromentSatisfaction])</f>
        <v>ES004</v>
      </c>
      <c r="Q1451">
        <v>4</v>
      </c>
      <c r="R1451" t="str">
        <f>_xlfn.XLOOKUP(Table1[[#This Row],[EnvironmentSatisfaction]],Table9[EnvironmentSatisfaction],Table9[Deskripsi])</f>
        <v>Very High</v>
      </c>
      <c r="S1451" t="str">
        <f>_xlfn.XLOOKUP(Table1[[#This Row],[Gender]],Table10[Gender],Table10[Id_Gender])</f>
        <v>G002</v>
      </c>
      <c r="T1451" t="s">
        <v>46</v>
      </c>
      <c r="U1451">
        <v>78</v>
      </c>
      <c r="V1451" t="str">
        <f>_xlfn.XLOOKUP(Table1[[#This Row],[JobInvolvement]],Table11[JobInvolvement],Table11[Id_JobInvolvement])</f>
        <v>JI003</v>
      </c>
      <c r="W1451">
        <v>3</v>
      </c>
      <c r="X1451" t="str">
        <f>_xlfn.XLOOKUP(Table1[[#This Row],[JobLevel]],Table12[JobLevel],Table12[Id_JobLevel])</f>
        <v>JL001</v>
      </c>
      <c r="Y1451">
        <v>1</v>
      </c>
      <c r="Z1451" t="str">
        <f>_xlfn.XLOOKUP(Table1[[#This Row],[JobRole]],Table13[JobRole],Table13[Id_JobRole])</f>
        <v>JR002</v>
      </c>
      <c r="AA1451" t="s">
        <v>48</v>
      </c>
      <c r="AB1451" t="str">
        <f>_xlfn.XLOOKUP(Table1[[#This Row],[JobSatisfaction]],Table14[JobSatisfaction],Table14[Id_JobSatisfaction])</f>
        <v>JS001</v>
      </c>
      <c r="AC1451">
        <v>1</v>
      </c>
      <c r="AD1451" t="str">
        <f>_xlfn.XLOOKUP(Table1[[#This Row],[JobSatisfaction]],Table14[JobSatisfaction],Table14[Deskripsi])</f>
        <v>Low</v>
      </c>
      <c r="AE1451" t="str">
        <f>_xlfn.XLOOKUP(Table1[[#This Row],[MaritalStatus]],Table15[MaritalStatus],Table15[Id_MaritalStatus])</f>
        <v>MS001</v>
      </c>
      <c r="AF1451" t="s">
        <v>55</v>
      </c>
      <c r="AG1451">
        <v>2439</v>
      </c>
      <c r="AH1451">
        <v>11288</v>
      </c>
      <c r="AI1451">
        <v>1</v>
      </c>
      <c r="AJ1451" t="str">
        <f>_xlfn.XLOOKUP(Table1[[#This Row],[OverTime]],Table16[OverTime],Table16[Id_OverTime])</f>
        <v>OT002</v>
      </c>
      <c r="AK1451" t="s">
        <v>33</v>
      </c>
      <c r="AL1451">
        <v>14</v>
      </c>
      <c r="AM1451" t="str">
        <f>_xlfn.XLOOKUP(Table1[[#This Row],[PerformanceRating]],Table17[PerformanceRating],Table17[Id_PerformanceRating])</f>
        <v>PR003</v>
      </c>
      <c r="AN1451">
        <v>3</v>
      </c>
      <c r="AO1451" t="str">
        <f>_xlfn.XLOOKUP(Table1[[#This Row],[PerformanceRating]],Table17[PerformanceRating],Table17[Deskripsi])</f>
        <v>Excellent</v>
      </c>
      <c r="AP1451" t="str">
        <f>_xlfn.XLOOKUP(Table1[[#This Row],[RelationshipSatisfaction]],Table18[RelationshipSatisfaction],Table18[Id_RelationshipSatisfaction])</f>
        <v>RS004</v>
      </c>
      <c r="AQ1451">
        <v>4</v>
      </c>
      <c r="AR1451" t="str">
        <f>_xlfn.XLOOKUP(Table1[[#This Row],[RelationshipSatisfaction]],Table18[RelationshipSatisfaction],Table18[Deskripsi])</f>
        <v>Very High</v>
      </c>
      <c r="AS1451" t="str">
        <f>_xlfn.XLOOKUP(Table1[[#This Row],[StockOptionLevel]],Table19[StockOptionLevel],Table19[Id_StockOptionLevel])</f>
        <v>SOL001</v>
      </c>
      <c r="AT1451">
        <v>0</v>
      </c>
      <c r="AU1451" t="str">
        <f>_xlfn.XLOOKUP(Table1[[#This Row],[StockOptionLevel]],Table19[StockOptionLevel],Table19[Deskripsi])</f>
        <v>Non-Eligible</v>
      </c>
      <c r="AV1451">
        <v>4</v>
      </c>
      <c r="AW1451">
        <v>4</v>
      </c>
      <c r="AX1451" t="str">
        <f>_xlfn.XLOOKUP(Table1[[#This Row],[WorkLifeBalance]],Table20[WorkLifeBalance],Table20[Id_WorkLifeBalance])</f>
        <v>WLB002</v>
      </c>
      <c r="AY1451">
        <v>3</v>
      </c>
      <c r="AZ1451" t="str">
        <f>_xlfn.XLOOKUP(Table1[[#This Row],[WorkLifeBalance]],Table20[WorkLifeBalance],Table20[Deskripsi])</f>
        <v>Good</v>
      </c>
      <c r="BA1451">
        <v>4</v>
      </c>
      <c r="BB1451">
        <v>2</v>
      </c>
      <c r="BC1451">
        <v>1</v>
      </c>
      <c r="BD1451">
        <v>2</v>
      </c>
    </row>
    <row r="1452" spans="1:56" x14ac:dyDescent="0.25">
      <c r="A1452">
        <v>35</v>
      </c>
      <c r="B1452" t="str">
        <f>_xlfn.XLOOKUP(Table1[[#This Row],[Attrition]],Table2[Attrition],Table2[Id_Attrition])</f>
        <v>A002</v>
      </c>
      <c r="C1452" t="s">
        <v>33</v>
      </c>
      <c r="D1452" t="str">
        <f>_xlfn.XLOOKUP(Table1[[#This Row],[BusinessTravel]],Table5[BusinessTravel],Table5[Id_BusinessTravel])</f>
        <v>BS001</v>
      </c>
      <c r="E1452" t="s">
        <v>34</v>
      </c>
      <c r="F1452">
        <v>1146</v>
      </c>
      <c r="G1452" t="str">
        <f>_xlfn.XLOOKUP(Table1[[#This Row],[Department]],Table6[Department],Table6[Id_Departement])</f>
        <v>D003</v>
      </c>
      <c r="H1452" t="s">
        <v>39</v>
      </c>
      <c r="I1452">
        <v>26</v>
      </c>
      <c r="J1452" t="str">
        <f>_xlfn.XLOOKUP(Table1[[#This Row],[Education]],Table8[Education],Table8[Id_Education])</f>
        <v>E004</v>
      </c>
      <c r="K1452">
        <v>4</v>
      </c>
      <c r="L1452" t="str">
        <f>_xlfn.XLOOKUP(Table1[[#This Row],[EducationField]],Table7[EducationField],Table7[Id_EducationField])</f>
        <v>EF001</v>
      </c>
      <c r="M1452" t="s">
        <v>40</v>
      </c>
      <c r="N1452" t="str">
        <f>_xlfn.XLOOKUP(Table1[[#This Row],[EmployeeNumber]],Table4[EmployeeNumber],Table4[Id_Employee])</f>
        <v>EMP01451</v>
      </c>
      <c r="O1452">
        <v>2040</v>
      </c>
      <c r="P1452" t="str">
        <f>_xlfn.XLOOKUP(Table1[[#This Row],[EnvironmentSatisfaction]],Table9[EnvironmentSatisfaction],Table9[Id_EnviromentSatisfaction])</f>
        <v>ES003</v>
      </c>
      <c r="Q1452">
        <v>3</v>
      </c>
      <c r="R1452" t="str">
        <f>_xlfn.XLOOKUP(Table1[[#This Row],[EnvironmentSatisfaction]],Table9[EnvironmentSatisfaction],Table9[Deskripsi])</f>
        <v>High</v>
      </c>
      <c r="S1452" t="str">
        <f>_xlfn.XLOOKUP(Table1[[#This Row],[Gender]],Table10[Gender],Table10[Id_Gender])</f>
        <v>G001</v>
      </c>
      <c r="T1452" t="s">
        <v>45</v>
      </c>
      <c r="U1452">
        <v>31</v>
      </c>
      <c r="V1452" t="str">
        <f>_xlfn.XLOOKUP(Table1[[#This Row],[JobInvolvement]],Table11[JobInvolvement],Table11[Id_JobInvolvement])</f>
        <v>JI003</v>
      </c>
      <c r="W1452">
        <v>3</v>
      </c>
      <c r="X1452" t="str">
        <f>_xlfn.XLOOKUP(Table1[[#This Row],[JobLevel]],Table12[JobLevel],Table12[Id_JobLevel])</f>
        <v>JL003</v>
      </c>
      <c r="Y1452">
        <v>3</v>
      </c>
      <c r="Z1452" t="str">
        <f>_xlfn.XLOOKUP(Table1[[#This Row],[JobRole]],Table13[JobRole],Table13[Id_JobRole])</f>
        <v>JR009</v>
      </c>
      <c r="AA1452" t="s">
        <v>39</v>
      </c>
      <c r="AB1452" t="str">
        <f>_xlfn.XLOOKUP(Table1[[#This Row],[JobSatisfaction]],Table14[JobSatisfaction],Table14[Id_JobSatisfaction])</f>
        <v>JS004</v>
      </c>
      <c r="AC1452">
        <v>4</v>
      </c>
      <c r="AD1452" t="str">
        <f>_xlfn.XLOOKUP(Table1[[#This Row],[JobSatisfaction]],Table14[JobSatisfaction],Table14[Deskripsi])</f>
        <v>Very High</v>
      </c>
      <c r="AE1452" t="str">
        <f>_xlfn.XLOOKUP(Table1[[#This Row],[MaritalStatus]],Table15[MaritalStatus],Table15[Id_MaritalStatus])</f>
        <v>MS001</v>
      </c>
      <c r="AF1452" t="s">
        <v>55</v>
      </c>
      <c r="AG1452">
        <v>8837</v>
      </c>
      <c r="AH1452">
        <v>16642</v>
      </c>
      <c r="AI1452">
        <v>1</v>
      </c>
      <c r="AJ1452" t="str">
        <f>_xlfn.XLOOKUP(Table1[[#This Row],[OverTime]],Table16[OverTime],Table16[Id_OverTime])</f>
        <v>OT001</v>
      </c>
      <c r="AK1452" t="s">
        <v>32</v>
      </c>
      <c r="AL1452">
        <v>16</v>
      </c>
      <c r="AM1452" t="str">
        <f>_xlfn.XLOOKUP(Table1[[#This Row],[PerformanceRating]],Table17[PerformanceRating],Table17[Id_PerformanceRating])</f>
        <v>PR003</v>
      </c>
      <c r="AN1452">
        <v>3</v>
      </c>
      <c r="AO1452" t="str">
        <f>_xlfn.XLOOKUP(Table1[[#This Row],[PerformanceRating]],Table17[PerformanceRating],Table17[Deskripsi])</f>
        <v>Excellent</v>
      </c>
      <c r="AP1452" t="str">
        <f>_xlfn.XLOOKUP(Table1[[#This Row],[RelationshipSatisfaction]],Table18[RelationshipSatisfaction],Table18[Id_RelationshipSatisfaction])</f>
        <v>RS003</v>
      </c>
      <c r="AQ1452">
        <v>3</v>
      </c>
      <c r="AR1452" t="str">
        <f>_xlfn.XLOOKUP(Table1[[#This Row],[RelationshipSatisfaction]],Table18[RelationshipSatisfaction],Table18[Deskripsi])</f>
        <v>High</v>
      </c>
      <c r="AS1452" t="str">
        <f>_xlfn.XLOOKUP(Table1[[#This Row],[StockOptionLevel]],Table19[StockOptionLevel],Table19[Id_StockOptionLevel])</f>
        <v>SOL001</v>
      </c>
      <c r="AT1452">
        <v>0</v>
      </c>
      <c r="AU1452" t="str">
        <f>_xlfn.XLOOKUP(Table1[[#This Row],[StockOptionLevel]],Table19[StockOptionLevel],Table19[Deskripsi])</f>
        <v>Non-Eligible</v>
      </c>
      <c r="AV1452">
        <v>9</v>
      </c>
      <c r="AW1452">
        <v>2</v>
      </c>
      <c r="AX1452" t="str">
        <f>_xlfn.XLOOKUP(Table1[[#This Row],[WorkLifeBalance]],Table20[WorkLifeBalance],Table20[Id_WorkLifeBalance])</f>
        <v>WLB002</v>
      </c>
      <c r="AY1452">
        <v>3</v>
      </c>
      <c r="AZ1452" t="str">
        <f>_xlfn.XLOOKUP(Table1[[#This Row],[WorkLifeBalance]],Table20[WorkLifeBalance],Table20[Deskripsi])</f>
        <v>Good</v>
      </c>
      <c r="BA1452">
        <v>9</v>
      </c>
      <c r="BB1452">
        <v>0</v>
      </c>
      <c r="BC1452">
        <v>1</v>
      </c>
      <c r="BD1452">
        <v>7</v>
      </c>
    </row>
    <row r="1453" spans="1:56" x14ac:dyDescent="0.25">
      <c r="A1453">
        <v>38</v>
      </c>
      <c r="B1453" t="str">
        <f>_xlfn.XLOOKUP(Table1[[#This Row],[Attrition]],Table2[Attrition],Table2[Id_Attrition])</f>
        <v>A002</v>
      </c>
      <c r="C1453" t="s">
        <v>33</v>
      </c>
      <c r="D1453" t="str">
        <f>_xlfn.XLOOKUP(Table1[[#This Row],[BusinessTravel]],Table5[BusinessTravel],Table5[Id_BusinessTravel])</f>
        <v>BS001</v>
      </c>
      <c r="E1453" t="s">
        <v>34</v>
      </c>
      <c r="F1453">
        <v>345</v>
      </c>
      <c r="G1453" t="str">
        <f>_xlfn.XLOOKUP(Table1[[#This Row],[Department]],Table6[Department],Table6[Id_Departement])</f>
        <v>D001</v>
      </c>
      <c r="H1453" t="s">
        <v>37</v>
      </c>
      <c r="I1453">
        <v>10</v>
      </c>
      <c r="J1453" t="str">
        <f>_xlfn.XLOOKUP(Table1[[#This Row],[Education]],Table8[Education],Table8[Id_Education])</f>
        <v>E002</v>
      </c>
      <c r="K1453">
        <v>2</v>
      </c>
      <c r="L1453" t="str">
        <f>_xlfn.XLOOKUP(Table1[[#This Row],[EducationField]],Table7[EducationField],Table7[Id_EducationField])</f>
        <v>EF001</v>
      </c>
      <c r="M1453" t="s">
        <v>40</v>
      </c>
      <c r="N1453" t="str">
        <f>_xlfn.XLOOKUP(Table1[[#This Row],[EmployeeNumber]],Table4[EmployeeNumber],Table4[Id_Employee])</f>
        <v>EMP01452</v>
      </c>
      <c r="O1453">
        <v>2041</v>
      </c>
      <c r="P1453" t="str">
        <f>_xlfn.XLOOKUP(Table1[[#This Row],[EnvironmentSatisfaction]],Table9[EnvironmentSatisfaction],Table9[Id_EnviromentSatisfaction])</f>
        <v>ES001</v>
      </c>
      <c r="Q1453">
        <v>1</v>
      </c>
      <c r="R1453" t="str">
        <f>_xlfn.XLOOKUP(Table1[[#This Row],[EnvironmentSatisfaction]],Table9[EnvironmentSatisfaction],Table9[Deskripsi])</f>
        <v>Low</v>
      </c>
      <c r="S1453" t="str">
        <f>_xlfn.XLOOKUP(Table1[[#This Row],[Gender]],Table10[Gender],Table10[Id_Gender])</f>
        <v>G001</v>
      </c>
      <c r="T1453" t="s">
        <v>45</v>
      </c>
      <c r="U1453">
        <v>100</v>
      </c>
      <c r="V1453" t="str">
        <f>_xlfn.XLOOKUP(Table1[[#This Row],[JobInvolvement]],Table11[JobInvolvement],Table11[Id_JobInvolvement])</f>
        <v>JI003</v>
      </c>
      <c r="W1453">
        <v>3</v>
      </c>
      <c r="X1453" t="str">
        <f>_xlfn.XLOOKUP(Table1[[#This Row],[JobLevel]],Table12[JobLevel],Table12[Id_JobLevel])</f>
        <v>JL002</v>
      </c>
      <c r="Y1453">
        <v>2</v>
      </c>
      <c r="Z1453" t="str">
        <f>_xlfn.XLOOKUP(Table1[[#This Row],[JobRole]],Table13[JobRole],Table13[Id_JobRole])</f>
        <v>JR001</v>
      </c>
      <c r="AA1453" t="s">
        <v>47</v>
      </c>
      <c r="AB1453" t="str">
        <f>_xlfn.XLOOKUP(Table1[[#This Row],[JobSatisfaction]],Table14[JobSatisfaction],Table14[Id_JobSatisfaction])</f>
        <v>JS004</v>
      </c>
      <c r="AC1453">
        <v>4</v>
      </c>
      <c r="AD1453" t="str">
        <f>_xlfn.XLOOKUP(Table1[[#This Row],[JobSatisfaction]],Table14[JobSatisfaction],Table14[Deskripsi])</f>
        <v>Very High</v>
      </c>
      <c r="AE1453" t="str">
        <f>_xlfn.XLOOKUP(Table1[[#This Row],[MaritalStatus]],Table15[MaritalStatus],Table15[Id_MaritalStatus])</f>
        <v>MS002</v>
      </c>
      <c r="AF1453" t="s">
        <v>56</v>
      </c>
      <c r="AG1453">
        <v>5343</v>
      </c>
      <c r="AH1453">
        <v>5982</v>
      </c>
      <c r="AI1453">
        <v>1</v>
      </c>
      <c r="AJ1453" t="str">
        <f>_xlfn.XLOOKUP(Table1[[#This Row],[OverTime]],Table16[OverTime],Table16[Id_OverTime])</f>
        <v>OT002</v>
      </c>
      <c r="AK1453" t="s">
        <v>33</v>
      </c>
      <c r="AL1453">
        <v>11</v>
      </c>
      <c r="AM1453" t="str">
        <f>_xlfn.XLOOKUP(Table1[[#This Row],[PerformanceRating]],Table17[PerformanceRating],Table17[Id_PerformanceRating])</f>
        <v>PR003</v>
      </c>
      <c r="AN1453">
        <v>3</v>
      </c>
      <c r="AO1453" t="str">
        <f>_xlfn.XLOOKUP(Table1[[#This Row],[PerformanceRating]],Table17[PerformanceRating],Table17[Deskripsi])</f>
        <v>Excellent</v>
      </c>
      <c r="AP1453" t="str">
        <f>_xlfn.XLOOKUP(Table1[[#This Row],[RelationshipSatisfaction]],Table18[RelationshipSatisfaction],Table18[Id_RelationshipSatisfaction])</f>
        <v>RS003</v>
      </c>
      <c r="AQ1453">
        <v>3</v>
      </c>
      <c r="AR1453" t="str">
        <f>_xlfn.XLOOKUP(Table1[[#This Row],[RelationshipSatisfaction]],Table18[RelationshipSatisfaction],Table18[Deskripsi])</f>
        <v>High</v>
      </c>
      <c r="AS1453" t="str">
        <f>_xlfn.XLOOKUP(Table1[[#This Row],[StockOptionLevel]],Table19[StockOptionLevel],Table19[Id_StockOptionLevel])</f>
        <v>SOL002</v>
      </c>
      <c r="AT1453">
        <v>1</v>
      </c>
      <c r="AU1453" t="str">
        <f>_xlfn.XLOOKUP(Table1[[#This Row],[StockOptionLevel]],Table19[StockOptionLevel],Table19[Deskripsi])</f>
        <v>Standard</v>
      </c>
      <c r="AV1453">
        <v>10</v>
      </c>
      <c r="AW1453">
        <v>1</v>
      </c>
      <c r="AX1453" t="str">
        <f>_xlfn.XLOOKUP(Table1[[#This Row],[WorkLifeBalance]],Table20[WorkLifeBalance],Table20[Id_WorkLifeBalance])</f>
        <v>WLB002</v>
      </c>
      <c r="AY1453">
        <v>3</v>
      </c>
      <c r="AZ1453" t="str">
        <f>_xlfn.XLOOKUP(Table1[[#This Row],[WorkLifeBalance]],Table20[WorkLifeBalance],Table20[Deskripsi])</f>
        <v>Good</v>
      </c>
      <c r="BA1453">
        <v>10</v>
      </c>
      <c r="BB1453">
        <v>7</v>
      </c>
      <c r="BC1453">
        <v>1</v>
      </c>
      <c r="BD1453">
        <v>9</v>
      </c>
    </row>
    <row r="1454" spans="1:56" x14ac:dyDescent="0.25">
      <c r="A1454">
        <v>50</v>
      </c>
      <c r="B1454" t="str">
        <f>_xlfn.XLOOKUP(Table1[[#This Row],[Attrition]],Table2[Attrition],Table2[Id_Attrition])</f>
        <v>A001</v>
      </c>
      <c r="C1454" t="s">
        <v>32</v>
      </c>
      <c r="D1454" t="str">
        <f>_xlfn.XLOOKUP(Table1[[#This Row],[BusinessTravel]],Table5[BusinessTravel],Table5[Id_BusinessTravel])</f>
        <v>BS002</v>
      </c>
      <c r="E1454" t="s">
        <v>35</v>
      </c>
      <c r="F1454">
        <v>878</v>
      </c>
      <c r="G1454" t="str">
        <f>_xlfn.XLOOKUP(Table1[[#This Row],[Department]],Table6[Department],Table6[Id_Departement])</f>
        <v>D001</v>
      </c>
      <c r="H1454" t="s">
        <v>37</v>
      </c>
      <c r="I1454">
        <v>1</v>
      </c>
      <c r="J1454" t="str">
        <f>_xlfn.XLOOKUP(Table1[[#This Row],[Education]],Table8[Education],Table8[Id_Education])</f>
        <v>E004</v>
      </c>
      <c r="K1454">
        <v>4</v>
      </c>
      <c r="L1454" t="str">
        <f>_xlfn.XLOOKUP(Table1[[#This Row],[EducationField]],Table7[EducationField],Table7[Id_EducationField])</f>
        <v>EF001</v>
      </c>
      <c r="M1454" t="s">
        <v>40</v>
      </c>
      <c r="N1454" t="str">
        <f>_xlfn.XLOOKUP(Table1[[#This Row],[EmployeeNumber]],Table4[EmployeeNumber],Table4[Id_Employee])</f>
        <v>EMP01453</v>
      </c>
      <c r="O1454">
        <v>2044</v>
      </c>
      <c r="P1454" t="str">
        <f>_xlfn.XLOOKUP(Table1[[#This Row],[EnvironmentSatisfaction]],Table9[EnvironmentSatisfaction],Table9[Id_EnviromentSatisfaction])</f>
        <v>ES002</v>
      </c>
      <c r="Q1454">
        <v>2</v>
      </c>
      <c r="R1454" t="str">
        <f>_xlfn.XLOOKUP(Table1[[#This Row],[EnvironmentSatisfaction]],Table9[EnvironmentSatisfaction],Table9[Deskripsi])</f>
        <v>Medium</v>
      </c>
      <c r="S1454" t="str">
        <f>_xlfn.XLOOKUP(Table1[[#This Row],[Gender]],Table10[Gender],Table10[Id_Gender])</f>
        <v>G002</v>
      </c>
      <c r="T1454" t="s">
        <v>46</v>
      </c>
      <c r="U1454">
        <v>94</v>
      </c>
      <c r="V1454" t="str">
        <f>_xlfn.XLOOKUP(Table1[[#This Row],[JobInvolvement]],Table11[JobInvolvement],Table11[Id_JobInvolvement])</f>
        <v>JI003</v>
      </c>
      <c r="W1454">
        <v>3</v>
      </c>
      <c r="X1454" t="str">
        <f>_xlfn.XLOOKUP(Table1[[#This Row],[JobLevel]],Table12[JobLevel],Table12[Id_JobLevel])</f>
        <v>JL002</v>
      </c>
      <c r="Y1454">
        <v>2</v>
      </c>
      <c r="Z1454" t="str">
        <f>_xlfn.XLOOKUP(Table1[[#This Row],[JobRole]],Table13[JobRole],Table13[Id_JobRole])</f>
        <v>JR001</v>
      </c>
      <c r="AA1454" t="s">
        <v>47</v>
      </c>
      <c r="AB1454" t="str">
        <f>_xlfn.XLOOKUP(Table1[[#This Row],[JobSatisfaction]],Table14[JobSatisfaction],Table14[Id_JobSatisfaction])</f>
        <v>JS003</v>
      </c>
      <c r="AC1454">
        <v>3</v>
      </c>
      <c r="AD1454" t="str">
        <f>_xlfn.XLOOKUP(Table1[[#This Row],[JobSatisfaction]],Table14[JobSatisfaction],Table14[Deskripsi])</f>
        <v>High</v>
      </c>
      <c r="AE1454" t="str">
        <f>_xlfn.XLOOKUP(Table1[[#This Row],[MaritalStatus]],Table15[MaritalStatus],Table15[Id_MaritalStatus])</f>
        <v>MS003</v>
      </c>
      <c r="AF1454" t="s">
        <v>57</v>
      </c>
      <c r="AG1454">
        <v>6728</v>
      </c>
      <c r="AH1454">
        <v>14255</v>
      </c>
      <c r="AI1454">
        <v>7</v>
      </c>
      <c r="AJ1454" t="str">
        <f>_xlfn.XLOOKUP(Table1[[#This Row],[OverTime]],Table16[OverTime],Table16[Id_OverTime])</f>
        <v>OT002</v>
      </c>
      <c r="AK1454" t="s">
        <v>33</v>
      </c>
      <c r="AL1454">
        <v>12</v>
      </c>
      <c r="AM1454" t="str">
        <f>_xlfn.XLOOKUP(Table1[[#This Row],[PerformanceRating]],Table17[PerformanceRating],Table17[Id_PerformanceRating])</f>
        <v>PR003</v>
      </c>
      <c r="AN1454">
        <v>3</v>
      </c>
      <c r="AO1454" t="str">
        <f>_xlfn.XLOOKUP(Table1[[#This Row],[PerformanceRating]],Table17[PerformanceRating],Table17[Deskripsi])</f>
        <v>Excellent</v>
      </c>
      <c r="AP1454" t="str">
        <f>_xlfn.XLOOKUP(Table1[[#This Row],[RelationshipSatisfaction]],Table18[RelationshipSatisfaction],Table18[Id_RelationshipSatisfaction])</f>
        <v>RS004</v>
      </c>
      <c r="AQ1454">
        <v>4</v>
      </c>
      <c r="AR1454" t="str">
        <f>_xlfn.XLOOKUP(Table1[[#This Row],[RelationshipSatisfaction]],Table18[RelationshipSatisfaction],Table18[Deskripsi])</f>
        <v>Very High</v>
      </c>
      <c r="AS1454" t="str">
        <f>_xlfn.XLOOKUP(Table1[[#This Row],[StockOptionLevel]],Table19[StockOptionLevel],Table19[Id_StockOptionLevel])</f>
        <v>SOL003</v>
      </c>
      <c r="AT1454">
        <v>2</v>
      </c>
      <c r="AU1454" t="str">
        <f>_xlfn.XLOOKUP(Table1[[#This Row],[StockOptionLevel]],Table19[StockOptionLevel],Table19[Deskripsi])</f>
        <v>Intermediate</v>
      </c>
      <c r="AV1454">
        <v>12</v>
      </c>
      <c r="AW1454">
        <v>3</v>
      </c>
      <c r="AX1454" t="str">
        <f>_xlfn.XLOOKUP(Table1[[#This Row],[WorkLifeBalance]],Table20[WorkLifeBalance],Table20[Id_WorkLifeBalance])</f>
        <v>WLB002</v>
      </c>
      <c r="AY1454">
        <v>3</v>
      </c>
      <c r="AZ1454" t="str">
        <f>_xlfn.XLOOKUP(Table1[[#This Row],[WorkLifeBalance]],Table20[WorkLifeBalance],Table20[Deskripsi])</f>
        <v>Good</v>
      </c>
      <c r="BA1454">
        <v>6</v>
      </c>
      <c r="BB1454">
        <v>3</v>
      </c>
      <c r="BC1454">
        <v>0</v>
      </c>
      <c r="BD1454">
        <v>1</v>
      </c>
    </row>
    <row r="1455" spans="1:56" x14ac:dyDescent="0.25">
      <c r="A1455">
        <v>36</v>
      </c>
      <c r="B1455" t="str">
        <f>_xlfn.XLOOKUP(Table1[[#This Row],[Attrition]],Table2[Attrition],Table2[Id_Attrition])</f>
        <v>A002</v>
      </c>
      <c r="C1455" t="s">
        <v>33</v>
      </c>
      <c r="D1455" t="str">
        <f>_xlfn.XLOOKUP(Table1[[#This Row],[BusinessTravel]],Table5[BusinessTravel],Table5[Id_BusinessTravel])</f>
        <v>BS001</v>
      </c>
      <c r="E1455" t="s">
        <v>34</v>
      </c>
      <c r="F1455">
        <v>1120</v>
      </c>
      <c r="G1455" t="str">
        <f>_xlfn.XLOOKUP(Table1[[#This Row],[Department]],Table6[Department],Table6[Id_Departement])</f>
        <v>D001</v>
      </c>
      <c r="H1455" t="s">
        <v>37</v>
      </c>
      <c r="I1455">
        <v>11</v>
      </c>
      <c r="J1455" t="str">
        <f>_xlfn.XLOOKUP(Table1[[#This Row],[Education]],Table8[Education],Table8[Id_Education])</f>
        <v>E004</v>
      </c>
      <c r="K1455">
        <v>4</v>
      </c>
      <c r="L1455" t="str">
        <f>_xlfn.XLOOKUP(Table1[[#This Row],[EducationField]],Table7[EducationField],Table7[Id_EducationField])</f>
        <v>EF004</v>
      </c>
      <c r="M1455" t="s">
        <v>43</v>
      </c>
      <c r="N1455" t="str">
        <f>_xlfn.XLOOKUP(Table1[[#This Row],[EmployeeNumber]],Table4[EmployeeNumber],Table4[Id_Employee])</f>
        <v>EMP01454</v>
      </c>
      <c r="O1455">
        <v>2045</v>
      </c>
      <c r="P1455" t="str">
        <f>_xlfn.XLOOKUP(Table1[[#This Row],[EnvironmentSatisfaction]],Table9[EnvironmentSatisfaction],Table9[Id_EnviromentSatisfaction])</f>
        <v>ES002</v>
      </c>
      <c r="Q1455">
        <v>2</v>
      </c>
      <c r="R1455" t="str">
        <f>_xlfn.XLOOKUP(Table1[[#This Row],[EnvironmentSatisfaction]],Table9[EnvironmentSatisfaction],Table9[Deskripsi])</f>
        <v>Medium</v>
      </c>
      <c r="S1455" t="str">
        <f>_xlfn.XLOOKUP(Table1[[#This Row],[Gender]],Table10[Gender],Table10[Id_Gender])</f>
        <v>G001</v>
      </c>
      <c r="T1455" t="s">
        <v>45</v>
      </c>
      <c r="U1455">
        <v>100</v>
      </c>
      <c r="V1455" t="str">
        <f>_xlfn.XLOOKUP(Table1[[#This Row],[JobInvolvement]],Table11[JobInvolvement],Table11[Id_JobInvolvement])</f>
        <v>JI002</v>
      </c>
      <c r="W1455">
        <v>2</v>
      </c>
      <c r="X1455" t="str">
        <f>_xlfn.XLOOKUP(Table1[[#This Row],[JobLevel]],Table12[JobLevel],Table12[Id_JobLevel])</f>
        <v>JL002</v>
      </c>
      <c r="Y1455">
        <v>2</v>
      </c>
      <c r="Z1455" t="str">
        <f>_xlfn.XLOOKUP(Table1[[#This Row],[JobRole]],Table13[JobRole],Table13[Id_JobRole])</f>
        <v>JR001</v>
      </c>
      <c r="AA1455" t="s">
        <v>47</v>
      </c>
      <c r="AB1455" t="str">
        <f>_xlfn.XLOOKUP(Table1[[#This Row],[JobSatisfaction]],Table14[JobSatisfaction],Table14[Id_JobSatisfaction])</f>
        <v>JS004</v>
      </c>
      <c r="AC1455">
        <v>4</v>
      </c>
      <c r="AD1455" t="str">
        <f>_xlfn.XLOOKUP(Table1[[#This Row],[JobSatisfaction]],Table14[JobSatisfaction],Table14[Deskripsi])</f>
        <v>Very High</v>
      </c>
      <c r="AE1455" t="str">
        <f>_xlfn.XLOOKUP(Table1[[#This Row],[MaritalStatus]],Table15[MaritalStatus],Table15[Id_MaritalStatus])</f>
        <v>MS002</v>
      </c>
      <c r="AF1455" t="s">
        <v>56</v>
      </c>
      <c r="AG1455">
        <v>6652</v>
      </c>
      <c r="AH1455">
        <v>14369</v>
      </c>
      <c r="AI1455">
        <v>4</v>
      </c>
      <c r="AJ1455" t="str">
        <f>_xlfn.XLOOKUP(Table1[[#This Row],[OverTime]],Table16[OverTime],Table16[Id_OverTime])</f>
        <v>OT002</v>
      </c>
      <c r="AK1455" t="s">
        <v>33</v>
      </c>
      <c r="AL1455">
        <v>13</v>
      </c>
      <c r="AM1455" t="str">
        <f>_xlfn.XLOOKUP(Table1[[#This Row],[PerformanceRating]],Table17[PerformanceRating],Table17[Id_PerformanceRating])</f>
        <v>PR003</v>
      </c>
      <c r="AN1455">
        <v>3</v>
      </c>
      <c r="AO1455" t="str">
        <f>_xlfn.XLOOKUP(Table1[[#This Row],[PerformanceRating]],Table17[PerformanceRating],Table17[Deskripsi])</f>
        <v>Excellent</v>
      </c>
      <c r="AP1455" t="str">
        <f>_xlfn.XLOOKUP(Table1[[#This Row],[RelationshipSatisfaction]],Table18[RelationshipSatisfaction],Table18[Id_RelationshipSatisfaction])</f>
        <v>RS001</v>
      </c>
      <c r="AQ1455">
        <v>1</v>
      </c>
      <c r="AR1455" t="str">
        <f>_xlfn.XLOOKUP(Table1[[#This Row],[RelationshipSatisfaction]],Table18[RelationshipSatisfaction],Table18[Deskripsi])</f>
        <v>Low</v>
      </c>
      <c r="AS1455" t="str">
        <f>_xlfn.XLOOKUP(Table1[[#This Row],[StockOptionLevel]],Table19[StockOptionLevel],Table19[Id_StockOptionLevel])</f>
        <v>SOL002</v>
      </c>
      <c r="AT1455">
        <v>1</v>
      </c>
      <c r="AU1455" t="str">
        <f>_xlfn.XLOOKUP(Table1[[#This Row],[StockOptionLevel]],Table19[StockOptionLevel],Table19[Deskripsi])</f>
        <v>Standard</v>
      </c>
      <c r="AV1455">
        <v>8</v>
      </c>
      <c r="AW1455">
        <v>2</v>
      </c>
      <c r="AX1455" t="str">
        <f>_xlfn.XLOOKUP(Table1[[#This Row],[WorkLifeBalance]],Table20[WorkLifeBalance],Table20[Id_WorkLifeBalance])</f>
        <v>WLB003</v>
      </c>
      <c r="AY1455">
        <v>2</v>
      </c>
      <c r="AZ1455" t="str">
        <f>_xlfn.XLOOKUP(Table1[[#This Row],[WorkLifeBalance]],Table20[WorkLifeBalance],Table20[Deskripsi])</f>
        <v>Better</v>
      </c>
      <c r="BA1455">
        <v>6</v>
      </c>
      <c r="BB1455">
        <v>3</v>
      </c>
      <c r="BC1455">
        <v>0</v>
      </c>
      <c r="BD1455">
        <v>0</v>
      </c>
    </row>
    <row r="1456" spans="1:56" x14ac:dyDescent="0.25">
      <c r="A1456">
        <v>45</v>
      </c>
      <c r="B1456" t="str">
        <f>_xlfn.XLOOKUP(Table1[[#This Row],[Attrition]],Table2[Attrition],Table2[Id_Attrition])</f>
        <v>A002</v>
      </c>
      <c r="C1456" t="s">
        <v>33</v>
      </c>
      <c r="D1456" t="str">
        <f>_xlfn.XLOOKUP(Table1[[#This Row],[BusinessTravel]],Table5[BusinessTravel],Table5[Id_BusinessTravel])</f>
        <v>BS001</v>
      </c>
      <c r="E1456" t="s">
        <v>34</v>
      </c>
      <c r="F1456">
        <v>374</v>
      </c>
      <c r="G1456" t="str">
        <f>_xlfn.XLOOKUP(Table1[[#This Row],[Department]],Table6[Department],Table6[Id_Departement])</f>
        <v>D001</v>
      </c>
      <c r="H1456" t="s">
        <v>37</v>
      </c>
      <c r="I1456">
        <v>20</v>
      </c>
      <c r="J1456" t="str">
        <f>_xlfn.XLOOKUP(Table1[[#This Row],[Education]],Table8[Education],Table8[Id_Education])</f>
        <v>E003</v>
      </c>
      <c r="K1456">
        <v>3</v>
      </c>
      <c r="L1456" t="str">
        <f>_xlfn.XLOOKUP(Table1[[#This Row],[EducationField]],Table7[EducationField],Table7[Id_EducationField])</f>
        <v>EF001</v>
      </c>
      <c r="M1456" t="s">
        <v>40</v>
      </c>
      <c r="N1456" t="str">
        <f>_xlfn.XLOOKUP(Table1[[#This Row],[EmployeeNumber]],Table4[EmployeeNumber],Table4[Id_Employee])</f>
        <v>EMP01455</v>
      </c>
      <c r="O1456">
        <v>2046</v>
      </c>
      <c r="P1456" t="str">
        <f>_xlfn.XLOOKUP(Table1[[#This Row],[EnvironmentSatisfaction]],Table9[EnvironmentSatisfaction],Table9[Id_EnviromentSatisfaction])</f>
        <v>ES004</v>
      </c>
      <c r="Q1456">
        <v>4</v>
      </c>
      <c r="R1456" t="str">
        <f>_xlfn.XLOOKUP(Table1[[#This Row],[EnvironmentSatisfaction]],Table9[EnvironmentSatisfaction],Table9[Deskripsi])</f>
        <v>Very High</v>
      </c>
      <c r="S1456" t="str">
        <f>_xlfn.XLOOKUP(Table1[[#This Row],[Gender]],Table10[Gender],Table10[Id_Gender])</f>
        <v>G001</v>
      </c>
      <c r="T1456" t="s">
        <v>45</v>
      </c>
      <c r="U1456">
        <v>50</v>
      </c>
      <c r="V1456" t="str">
        <f>_xlfn.XLOOKUP(Table1[[#This Row],[JobInvolvement]],Table11[JobInvolvement],Table11[Id_JobInvolvement])</f>
        <v>JI003</v>
      </c>
      <c r="W1456">
        <v>3</v>
      </c>
      <c r="X1456" t="str">
        <f>_xlfn.XLOOKUP(Table1[[#This Row],[JobLevel]],Table12[JobLevel],Table12[Id_JobLevel])</f>
        <v>JL002</v>
      </c>
      <c r="Y1456">
        <v>2</v>
      </c>
      <c r="Z1456" t="str">
        <f>_xlfn.XLOOKUP(Table1[[#This Row],[JobRole]],Table13[JobRole],Table13[Id_JobRole])</f>
        <v>JR001</v>
      </c>
      <c r="AA1456" t="s">
        <v>47</v>
      </c>
      <c r="AB1456" t="str">
        <f>_xlfn.XLOOKUP(Table1[[#This Row],[JobSatisfaction]],Table14[JobSatisfaction],Table14[Id_JobSatisfaction])</f>
        <v>JS003</v>
      </c>
      <c r="AC1456">
        <v>3</v>
      </c>
      <c r="AD1456" t="str">
        <f>_xlfn.XLOOKUP(Table1[[#This Row],[JobSatisfaction]],Table14[JobSatisfaction],Table14[Deskripsi])</f>
        <v>High</v>
      </c>
      <c r="AE1456" t="str">
        <f>_xlfn.XLOOKUP(Table1[[#This Row],[MaritalStatus]],Table15[MaritalStatus],Table15[Id_MaritalStatus])</f>
        <v>MS001</v>
      </c>
      <c r="AF1456" t="s">
        <v>55</v>
      </c>
      <c r="AG1456">
        <v>4850</v>
      </c>
      <c r="AH1456">
        <v>23333</v>
      </c>
      <c r="AI1456">
        <v>8</v>
      </c>
      <c r="AJ1456" t="str">
        <f>_xlfn.XLOOKUP(Table1[[#This Row],[OverTime]],Table16[OverTime],Table16[Id_OverTime])</f>
        <v>OT002</v>
      </c>
      <c r="AK1456" t="s">
        <v>33</v>
      </c>
      <c r="AL1456">
        <v>15</v>
      </c>
      <c r="AM1456" t="str">
        <f>_xlfn.XLOOKUP(Table1[[#This Row],[PerformanceRating]],Table17[PerformanceRating],Table17[Id_PerformanceRating])</f>
        <v>PR003</v>
      </c>
      <c r="AN1456">
        <v>3</v>
      </c>
      <c r="AO1456" t="str">
        <f>_xlfn.XLOOKUP(Table1[[#This Row],[PerformanceRating]],Table17[PerformanceRating],Table17[Deskripsi])</f>
        <v>Excellent</v>
      </c>
      <c r="AP1456" t="str">
        <f>_xlfn.XLOOKUP(Table1[[#This Row],[RelationshipSatisfaction]],Table18[RelationshipSatisfaction],Table18[Id_RelationshipSatisfaction])</f>
        <v>RS003</v>
      </c>
      <c r="AQ1456">
        <v>3</v>
      </c>
      <c r="AR1456" t="str">
        <f>_xlfn.XLOOKUP(Table1[[#This Row],[RelationshipSatisfaction]],Table18[RelationshipSatisfaction],Table18[Deskripsi])</f>
        <v>High</v>
      </c>
      <c r="AS1456" t="str">
        <f>_xlfn.XLOOKUP(Table1[[#This Row],[StockOptionLevel]],Table19[StockOptionLevel],Table19[Id_StockOptionLevel])</f>
        <v>SOL001</v>
      </c>
      <c r="AT1456">
        <v>0</v>
      </c>
      <c r="AU1456" t="str">
        <f>_xlfn.XLOOKUP(Table1[[#This Row],[StockOptionLevel]],Table19[StockOptionLevel],Table19[Deskripsi])</f>
        <v>Non-Eligible</v>
      </c>
      <c r="AV1456">
        <v>8</v>
      </c>
      <c r="AW1456">
        <v>3</v>
      </c>
      <c r="AX1456" t="str">
        <f>_xlfn.XLOOKUP(Table1[[#This Row],[WorkLifeBalance]],Table20[WorkLifeBalance],Table20[Id_WorkLifeBalance])</f>
        <v>WLB002</v>
      </c>
      <c r="AY1456">
        <v>3</v>
      </c>
      <c r="AZ1456" t="str">
        <f>_xlfn.XLOOKUP(Table1[[#This Row],[WorkLifeBalance]],Table20[WorkLifeBalance],Table20[Deskripsi])</f>
        <v>Good</v>
      </c>
      <c r="BA1456">
        <v>5</v>
      </c>
      <c r="BB1456">
        <v>3</v>
      </c>
      <c r="BC1456">
        <v>0</v>
      </c>
      <c r="BD1456">
        <v>1</v>
      </c>
    </row>
    <row r="1457" spans="1:56" x14ac:dyDescent="0.25">
      <c r="A1457">
        <v>40</v>
      </c>
      <c r="B1457" t="str">
        <f>_xlfn.XLOOKUP(Table1[[#This Row],[Attrition]],Table2[Attrition],Table2[Id_Attrition])</f>
        <v>A002</v>
      </c>
      <c r="C1457" t="s">
        <v>33</v>
      </c>
      <c r="D1457" t="str">
        <f>_xlfn.XLOOKUP(Table1[[#This Row],[BusinessTravel]],Table5[BusinessTravel],Table5[Id_BusinessTravel])</f>
        <v>BS001</v>
      </c>
      <c r="E1457" t="s">
        <v>34</v>
      </c>
      <c r="F1457">
        <v>1322</v>
      </c>
      <c r="G1457" t="str">
        <f>_xlfn.XLOOKUP(Table1[[#This Row],[Department]],Table6[Department],Table6[Id_Departement])</f>
        <v>D002</v>
      </c>
      <c r="H1457" t="s">
        <v>38</v>
      </c>
      <c r="I1457">
        <v>2</v>
      </c>
      <c r="J1457" t="str">
        <f>_xlfn.XLOOKUP(Table1[[#This Row],[Education]],Table8[Education],Table8[Id_Education])</f>
        <v>E004</v>
      </c>
      <c r="K1457">
        <v>4</v>
      </c>
      <c r="L1457" t="str">
        <f>_xlfn.XLOOKUP(Table1[[#This Row],[EducationField]],Table7[EducationField],Table7[Id_EducationField])</f>
        <v>EF001</v>
      </c>
      <c r="M1457" t="s">
        <v>40</v>
      </c>
      <c r="N1457" t="str">
        <f>_xlfn.XLOOKUP(Table1[[#This Row],[EmployeeNumber]],Table4[EmployeeNumber],Table4[Id_Employee])</f>
        <v>EMP01456</v>
      </c>
      <c r="O1457">
        <v>2048</v>
      </c>
      <c r="P1457" t="str">
        <f>_xlfn.XLOOKUP(Table1[[#This Row],[EnvironmentSatisfaction]],Table9[EnvironmentSatisfaction],Table9[Id_EnviromentSatisfaction])</f>
        <v>ES003</v>
      </c>
      <c r="Q1457">
        <v>3</v>
      </c>
      <c r="R1457" t="str">
        <f>_xlfn.XLOOKUP(Table1[[#This Row],[EnvironmentSatisfaction]],Table9[EnvironmentSatisfaction],Table9[Deskripsi])</f>
        <v>High</v>
      </c>
      <c r="S1457" t="str">
        <f>_xlfn.XLOOKUP(Table1[[#This Row],[Gender]],Table10[Gender],Table10[Id_Gender])</f>
        <v>G002</v>
      </c>
      <c r="T1457" t="s">
        <v>46</v>
      </c>
      <c r="U1457">
        <v>52</v>
      </c>
      <c r="V1457" t="str">
        <f>_xlfn.XLOOKUP(Table1[[#This Row],[JobInvolvement]],Table11[JobInvolvement],Table11[Id_JobInvolvement])</f>
        <v>JI002</v>
      </c>
      <c r="W1457">
        <v>2</v>
      </c>
      <c r="X1457" t="str">
        <f>_xlfn.XLOOKUP(Table1[[#This Row],[JobLevel]],Table12[JobLevel],Table12[Id_JobLevel])</f>
        <v>JL001</v>
      </c>
      <c r="Y1457">
        <v>1</v>
      </c>
      <c r="Z1457" t="str">
        <f>_xlfn.XLOOKUP(Table1[[#This Row],[JobRole]],Table13[JobRole],Table13[Id_JobRole])</f>
        <v>JR002</v>
      </c>
      <c r="AA1457" t="s">
        <v>48</v>
      </c>
      <c r="AB1457" t="str">
        <f>_xlfn.XLOOKUP(Table1[[#This Row],[JobSatisfaction]],Table14[JobSatisfaction],Table14[Id_JobSatisfaction])</f>
        <v>JS003</v>
      </c>
      <c r="AC1457">
        <v>3</v>
      </c>
      <c r="AD1457" t="str">
        <f>_xlfn.XLOOKUP(Table1[[#This Row],[JobSatisfaction]],Table14[JobSatisfaction],Table14[Deskripsi])</f>
        <v>High</v>
      </c>
      <c r="AE1457" t="str">
        <f>_xlfn.XLOOKUP(Table1[[#This Row],[MaritalStatus]],Table15[MaritalStatus],Table15[Id_MaritalStatus])</f>
        <v>MS001</v>
      </c>
      <c r="AF1457" t="s">
        <v>55</v>
      </c>
      <c r="AG1457">
        <v>2809</v>
      </c>
      <c r="AH1457">
        <v>2725</v>
      </c>
      <c r="AI1457">
        <v>2</v>
      </c>
      <c r="AJ1457" t="str">
        <f>_xlfn.XLOOKUP(Table1[[#This Row],[OverTime]],Table16[OverTime],Table16[Id_OverTime])</f>
        <v>OT002</v>
      </c>
      <c r="AK1457" t="s">
        <v>33</v>
      </c>
      <c r="AL1457">
        <v>14</v>
      </c>
      <c r="AM1457" t="str">
        <f>_xlfn.XLOOKUP(Table1[[#This Row],[PerformanceRating]],Table17[PerformanceRating],Table17[Id_PerformanceRating])</f>
        <v>PR003</v>
      </c>
      <c r="AN1457">
        <v>3</v>
      </c>
      <c r="AO1457" t="str">
        <f>_xlfn.XLOOKUP(Table1[[#This Row],[PerformanceRating]],Table17[PerformanceRating],Table17[Deskripsi])</f>
        <v>Excellent</v>
      </c>
      <c r="AP1457" t="str">
        <f>_xlfn.XLOOKUP(Table1[[#This Row],[RelationshipSatisfaction]],Table18[RelationshipSatisfaction],Table18[Id_RelationshipSatisfaction])</f>
        <v>RS004</v>
      </c>
      <c r="AQ1457">
        <v>4</v>
      </c>
      <c r="AR1457" t="str">
        <f>_xlfn.XLOOKUP(Table1[[#This Row],[RelationshipSatisfaction]],Table18[RelationshipSatisfaction],Table18[Deskripsi])</f>
        <v>Very High</v>
      </c>
      <c r="AS1457" t="str">
        <f>_xlfn.XLOOKUP(Table1[[#This Row],[StockOptionLevel]],Table19[StockOptionLevel],Table19[Id_StockOptionLevel])</f>
        <v>SOL001</v>
      </c>
      <c r="AT1457">
        <v>0</v>
      </c>
      <c r="AU1457" t="str">
        <f>_xlfn.XLOOKUP(Table1[[#This Row],[StockOptionLevel]],Table19[StockOptionLevel],Table19[Deskripsi])</f>
        <v>Non-Eligible</v>
      </c>
      <c r="AV1457">
        <v>8</v>
      </c>
      <c r="AW1457">
        <v>2</v>
      </c>
      <c r="AX1457" t="str">
        <f>_xlfn.XLOOKUP(Table1[[#This Row],[WorkLifeBalance]],Table20[WorkLifeBalance],Table20[Id_WorkLifeBalance])</f>
        <v>WLB002</v>
      </c>
      <c r="AY1457">
        <v>3</v>
      </c>
      <c r="AZ1457" t="str">
        <f>_xlfn.XLOOKUP(Table1[[#This Row],[WorkLifeBalance]],Table20[WorkLifeBalance],Table20[Deskripsi])</f>
        <v>Good</v>
      </c>
      <c r="BA1457">
        <v>2</v>
      </c>
      <c r="BB1457">
        <v>2</v>
      </c>
      <c r="BC1457">
        <v>2</v>
      </c>
      <c r="BD1457">
        <v>2</v>
      </c>
    </row>
    <row r="1458" spans="1:56" x14ac:dyDescent="0.25">
      <c r="A1458">
        <v>35</v>
      </c>
      <c r="B1458" t="str">
        <f>_xlfn.XLOOKUP(Table1[[#This Row],[Attrition]],Table2[Attrition],Table2[Id_Attrition])</f>
        <v>A002</v>
      </c>
      <c r="C1458" t="s">
        <v>33</v>
      </c>
      <c r="D1458" t="str">
        <f>_xlfn.XLOOKUP(Table1[[#This Row],[BusinessTravel]],Table5[BusinessTravel],Table5[Id_BusinessTravel])</f>
        <v>BS002</v>
      </c>
      <c r="E1458" t="s">
        <v>35</v>
      </c>
      <c r="F1458">
        <v>1199</v>
      </c>
      <c r="G1458" t="str">
        <f>_xlfn.XLOOKUP(Table1[[#This Row],[Department]],Table6[Department],Table6[Id_Departement])</f>
        <v>D002</v>
      </c>
      <c r="H1458" t="s">
        <v>38</v>
      </c>
      <c r="I1458">
        <v>18</v>
      </c>
      <c r="J1458" t="str">
        <f>_xlfn.XLOOKUP(Table1[[#This Row],[Education]],Table8[Education],Table8[Id_Education])</f>
        <v>E004</v>
      </c>
      <c r="K1458">
        <v>4</v>
      </c>
      <c r="L1458" t="str">
        <f>_xlfn.XLOOKUP(Table1[[#This Row],[EducationField]],Table7[EducationField],Table7[Id_EducationField])</f>
        <v>EF001</v>
      </c>
      <c r="M1458" t="s">
        <v>40</v>
      </c>
      <c r="N1458" t="str">
        <f>_xlfn.XLOOKUP(Table1[[#This Row],[EmployeeNumber]],Table4[EmployeeNumber],Table4[Id_Employee])</f>
        <v>EMP01457</v>
      </c>
      <c r="O1458">
        <v>2049</v>
      </c>
      <c r="P1458" t="str">
        <f>_xlfn.XLOOKUP(Table1[[#This Row],[EnvironmentSatisfaction]],Table9[EnvironmentSatisfaction],Table9[Id_EnviromentSatisfaction])</f>
        <v>ES003</v>
      </c>
      <c r="Q1458">
        <v>3</v>
      </c>
      <c r="R1458" t="str">
        <f>_xlfn.XLOOKUP(Table1[[#This Row],[EnvironmentSatisfaction]],Table9[EnvironmentSatisfaction],Table9[Deskripsi])</f>
        <v>High</v>
      </c>
      <c r="S1458" t="str">
        <f>_xlfn.XLOOKUP(Table1[[#This Row],[Gender]],Table10[Gender],Table10[Id_Gender])</f>
        <v>G002</v>
      </c>
      <c r="T1458" t="s">
        <v>46</v>
      </c>
      <c r="U1458">
        <v>80</v>
      </c>
      <c r="V1458" t="str">
        <f>_xlfn.XLOOKUP(Table1[[#This Row],[JobInvolvement]],Table11[JobInvolvement],Table11[Id_JobInvolvement])</f>
        <v>JI003</v>
      </c>
      <c r="W1458">
        <v>3</v>
      </c>
      <c r="X1458" t="str">
        <f>_xlfn.XLOOKUP(Table1[[#This Row],[JobLevel]],Table12[JobLevel],Table12[Id_JobLevel])</f>
        <v>JL002</v>
      </c>
      <c r="Y1458">
        <v>2</v>
      </c>
      <c r="Z1458" t="str">
        <f>_xlfn.XLOOKUP(Table1[[#This Row],[JobRole]],Table13[JobRole],Table13[Id_JobRole])</f>
        <v>JR005</v>
      </c>
      <c r="AA1458" t="s">
        <v>51</v>
      </c>
      <c r="AB1458" t="str">
        <f>_xlfn.XLOOKUP(Table1[[#This Row],[JobSatisfaction]],Table14[JobSatisfaction],Table14[Id_JobSatisfaction])</f>
        <v>JS003</v>
      </c>
      <c r="AC1458">
        <v>3</v>
      </c>
      <c r="AD1458" t="str">
        <f>_xlfn.XLOOKUP(Table1[[#This Row],[JobSatisfaction]],Table14[JobSatisfaction],Table14[Deskripsi])</f>
        <v>High</v>
      </c>
      <c r="AE1458" t="str">
        <f>_xlfn.XLOOKUP(Table1[[#This Row],[MaritalStatus]],Table15[MaritalStatus],Table15[Id_MaritalStatus])</f>
        <v>MS002</v>
      </c>
      <c r="AF1458" t="s">
        <v>56</v>
      </c>
      <c r="AG1458">
        <v>5689</v>
      </c>
      <c r="AH1458">
        <v>24594</v>
      </c>
      <c r="AI1458">
        <v>1</v>
      </c>
      <c r="AJ1458" t="str">
        <f>_xlfn.XLOOKUP(Table1[[#This Row],[OverTime]],Table16[OverTime],Table16[Id_OverTime])</f>
        <v>OT001</v>
      </c>
      <c r="AK1458" t="s">
        <v>32</v>
      </c>
      <c r="AL1458">
        <v>14</v>
      </c>
      <c r="AM1458" t="str">
        <f>_xlfn.XLOOKUP(Table1[[#This Row],[PerformanceRating]],Table17[PerformanceRating],Table17[Id_PerformanceRating])</f>
        <v>PR003</v>
      </c>
      <c r="AN1458">
        <v>3</v>
      </c>
      <c r="AO1458" t="str">
        <f>_xlfn.XLOOKUP(Table1[[#This Row],[PerformanceRating]],Table17[PerformanceRating],Table17[Deskripsi])</f>
        <v>Excellent</v>
      </c>
      <c r="AP1458" t="str">
        <f>_xlfn.XLOOKUP(Table1[[#This Row],[RelationshipSatisfaction]],Table18[RelationshipSatisfaction],Table18[Id_RelationshipSatisfaction])</f>
        <v>RS004</v>
      </c>
      <c r="AQ1458">
        <v>4</v>
      </c>
      <c r="AR1458" t="str">
        <f>_xlfn.XLOOKUP(Table1[[#This Row],[RelationshipSatisfaction]],Table18[RelationshipSatisfaction],Table18[Deskripsi])</f>
        <v>Very High</v>
      </c>
      <c r="AS1458" t="str">
        <f>_xlfn.XLOOKUP(Table1[[#This Row],[StockOptionLevel]],Table19[StockOptionLevel],Table19[Id_StockOptionLevel])</f>
        <v>SOL003</v>
      </c>
      <c r="AT1458">
        <v>2</v>
      </c>
      <c r="AU1458" t="str">
        <f>_xlfn.XLOOKUP(Table1[[#This Row],[StockOptionLevel]],Table19[StockOptionLevel],Table19[Deskripsi])</f>
        <v>Intermediate</v>
      </c>
      <c r="AV1458">
        <v>10</v>
      </c>
      <c r="AW1458">
        <v>2</v>
      </c>
      <c r="AX1458" t="str">
        <f>_xlfn.XLOOKUP(Table1[[#This Row],[WorkLifeBalance]],Table20[WorkLifeBalance],Table20[Id_WorkLifeBalance])</f>
        <v>WLB004</v>
      </c>
      <c r="AY1458">
        <v>4</v>
      </c>
      <c r="AZ1458" t="str">
        <f>_xlfn.XLOOKUP(Table1[[#This Row],[WorkLifeBalance]],Table20[WorkLifeBalance],Table20[Deskripsi])</f>
        <v>Best</v>
      </c>
      <c r="BA1458">
        <v>10</v>
      </c>
      <c r="BB1458">
        <v>2</v>
      </c>
      <c r="BC1458">
        <v>0</v>
      </c>
      <c r="BD1458">
        <v>2</v>
      </c>
    </row>
    <row r="1459" spans="1:56" x14ac:dyDescent="0.25">
      <c r="A1459">
        <v>40</v>
      </c>
      <c r="B1459" t="str">
        <f>_xlfn.XLOOKUP(Table1[[#This Row],[Attrition]],Table2[Attrition],Table2[Id_Attrition])</f>
        <v>A002</v>
      </c>
      <c r="C1459" t="s">
        <v>33</v>
      </c>
      <c r="D1459" t="str">
        <f>_xlfn.XLOOKUP(Table1[[#This Row],[BusinessTravel]],Table5[BusinessTravel],Table5[Id_BusinessTravel])</f>
        <v>BS001</v>
      </c>
      <c r="E1459" t="s">
        <v>34</v>
      </c>
      <c r="F1459">
        <v>1194</v>
      </c>
      <c r="G1459" t="str">
        <f>_xlfn.XLOOKUP(Table1[[#This Row],[Department]],Table6[Department],Table6[Id_Departement])</f>
        <v>D002</v>
      </c>
      <c r="H1459" t="s">
        <v>38</v>
      </c>
      <c r="I1459">
        <v>2</v>
      </c>
      <c r="J1459" t="str">
        <f>_xlfn.XLOOKUP(Table1[[#This Row],[Education]],Table8[Education],Table8[Id_Education])</f>
        <v>E004</v>
      </c>
      <c r="K1459">
        <v>4</v>
      </c>
      <c r="L1459" t="str">
        <f>_xlfn.XLOOKUP(Table1[[#This Row],[EducationField]],Table7[EducationField],Table7[Id_EducationField])</f>
        <v>EF003</v>
      </c>
      <c r="M1459" t="s">
        <v>42</v>
      </c>
      <c r="N1459" t="str">
        <f>_xlfn.XLOOKUP(Table1[[#This Row],[EmployeeNumber]],Table4[EmployeeNumber],Table4[Id_Employee])</f>
        <v>EMP01458</v>
      </c>
      <c r="O1459">
        <v>2051</v>
      </c>
      <c r="P1459" t="str">
        <f>_xlfn.XLOOKUP(Table1[[#This Row],[EnvironmentSatisfaction]],Table9[EnvironmentSatisfaction],Table9[Id_EnviromentSatisfaction])</f>
        <v>ES003</v>
      </c>
      <c r="Q1459">
        <v>3</v>
      </c>
      <c r="R1459" t="str">
        <f>_xlfn.XLOOKUP(Table1[[#This Row],[EnvironmentSatisfaction]],Table9[EnvironmentSatisfaction],Table9[Deskripsi])</f>
        <v>High</v>
      </c>
      <c r="S1459" t="str">
        <f>_xlfn.XLOOKUP(Table1[[#This Row],[Gender]],Table10[Gender],Table10[Id_Gender])</f>
        <v>G001</v>
      </c>
      <c r="T1459" t="s">
        <v>45</v>
      </c>
      <c r="U1459">
        <v>98</v>
      </c>
      <c r="V1459" t="str">
        <f>_xlfn.XLOOKUP(Table1[[#This Row],[JobInvolvement]],Table11[JobInvolvement],Table11[Id_JobInvolvement])</f>
        <v>JI003</v>
      </c>
      <c r="W1459">
        <v>3</v>
      </c>
      <c r="X1459" t="str">
        <f>_xlfn.XLOOKUP(Table1[[#This Row],[JobLevel]],Table12[JobLevel],Table12[Id_JobLevel])</f>
        <v>JL001</v>
      </c>
      <c r="Y1459">
        <v>1</v>
      </c>
      <c r="Z1459" t="str">
        <f>_xlfn.XLOOKUP(Table1[[#This Row],[JobRole]],Table13[JobRole],Table13[Id_JobRole])</f>
        <v>JR002</v>
      </c>
      <c r="AA1459" t="s">
        <v>48</v>
      </c>
      <c r="AB1459" t="str">
        <f>_xlfn.XLOOKUP(Table1[[#This Row],[JobSatisfaction]],Table14[JobSatisfaction],Table14[Id_JobSatisfaction])</f>
        <v>JS003</v>
      </c>
      <c r="AC1459">
        <v>3</v>
      </c>
      <c r="AD1459" t="str">
        <f>_xlfn.XLOOKUP(Table1[[#This Row],[JobSatisfaction]],Table14[JobSatisfaction],Table14[Deskripsi])</f>
        <v>High</v>
      </c>
      <c r="AE1459" t="str">
        <f>_xlfn.XLOOKUP(Table1[[#This Row],[MaritalStatus]],Table15[MaritalStatus],Table15[Id_MaritalStatus])</f>
        <v>MS002</v>
      </c>
      <c r="AF1459" t="s">
        <v>56</v>
      </c>
      <c r="AG1459">
        <v>2001</v>
      </c>
      <c r="AH1459">
        <v>12549</v>
      </c>
      <c r="AI1459">
        <v>2</v>
      </c>
      <c r="AJ1459" t="str">
        <f>_xlfn.XLOOKUP(Table1[[#This Row],[OverTime]],Table16[OverTime],Table16[Id_OverTime])</f>
        <v>OT002</v>
      </c>
      <c r="AK1459" t="s">
        <v>33</v>
      </c>
      <c r="AL1459">
        <v>14</v>
      </c>
      <c r="AM1459" t="str">
        <f>_xlfn.XLOOKUP(Table1[[#This Row],[PerformanceRating]],Table17[PerformanceRating],Table17[Id_PerformanceRating])</f>
        <v>PR003</v>
      </c>
      <c r="AN1459">
        <v>3</v>
      </c>
      <c r="AO1459" t="str">
        <f>_xlfn.XLOOKUP(Table1[[#This Row],[PerformanceRating]],Table17[PerformanceRating],Table17[Deskripsi])</f>
        <v>Excellent</v>
      </c>
      <c r="AP1459" t="str">
        <f>_xlfn.XLOOKUP(Table1[[#This Row],[RelationshipSatisfaction]],Table18[RelationshipSatisfaction],Table18[Id_RelationshipSatisfaction])</f>
        <v>RS002</v>
      </c>
      <c r="AQ1459">
        <v>2</v>
      </c>
      <c r="AR1459" t="str">
        <f>_xlfn.XLOOKUP(Table1[[#This Row],[RelationshipSatisfaction]],Table18[RelationshipSatisfaction],Table18[Deskripsi])</f>
        <v>Medium</v>
      </c>
      <c r="AS1459" t="str">
        <f>_xlfn.XLOOKUP(Table1[[#This Row],[StockOptionLevel]],Table19[StockOptionLevel],Table19[Id_StockOptionLevel])</f>
        <v>SOL004</v>
      </c>
      <c r="AT1459">
        <v>3</v>
      </c>
      <c r="AU1459" t="str">
        <f>_xlfn.XLOOKUP(Table1[[#This Row],[StockOptionLevel]],Table19[StockOptionLevel],Table19[Deskripsi])</f>
        <v>Senior/Executive</v>
      </c>
      <c r="AV1459">
        <v>20</v>
      </c>
      <c r="AW1459">
        <v>2</v>
      </c>
      <c r="AX1459" t="str">
        <f>_xlfn.XLOOKUP(Table1[[#This Row],[WorkLifeBalance]],Table20[WorkLifeBalance],Table20[Id_WorkLifeBalance])</f>
        <v>WLB002</v>
      </c>
      <c r="AY1459">
        <v>3</v>
      </c>
      <c r="AZ1459" t="str">
        <f>_xlfn.XLOOKUP(Table1[[#This Row],[WorkLifeBalance]],Table20[WorkLifeBalance],Table20[Deskripsi])</f>
        <v>Good</v>
      </c>
      <c r="BA1459">
        <v>5</v>
      </c>
      <c r="BB1459">
        <v>3</v>
      </c>
      <c r="BC1459">
        <v>0</v>
      </c>
      <c r="BD1459">
        <v>2</v>
      </c>
    </row>
    <row r="1460" spans="1:56" x14ac:dyDescent="0.25">
      <c r="A1460">
        <v>35</v>
      </c>
      <c r="B1460" t="str">
        <f>_xlfn.XLOOKUP(Table1[[#This Row],[Attrition]],Table2[Attrition],Table2[Id_Attrition])</f>
        <v>A002</v>
      </c>
      <c r="C1460" t="s">
        <v>33</v>
      </c>
      <c r="D1460" t="str">
        <f>_xlfn.XLOOKUP(Table1[[#This Row],[BusinessTravel]],Table5[BusinessTravel],Table5[Id_BusinessTravel])</f>
        <v>BS001</v>
      </c>
      <c r="E1460" t="s">
        <v>34</v>
      </c>
      <c r="F1460">
        <v>287</v>
      </c>
      <c r="G1460" t="str">
        <f>_xlfn.XLOOKUP(Table1[[#This Row],[Department]],Table6[Department],Table6[Id_Departement])</f>
        <v>D002</v>
      </c>
      <c r="H1460" t="s">
        <v>38</v>
      </c>
      <c r="I1460">
        <v>1</v>
      </c>
      <c r="J1460" t="str">
        <f>_xlfn.XLOOKUP(Table1[[#This Row],[Education]],Table8[Education],Table8[Id_Education])</f>
        <v>E004</v>
      </c>
      <c r="K1460">
        <v>4</v>
      </c>
      <c r="L1460" t="str">
        <f>_xlfn.XLOOKUP(Table1[[#This Row],[EducationField]],Table7[EducationField],Table7[Id_EducationField])</f>
        <v>EF001</v>
      </c>
      <c r="M1460" t="s">
        <v>40</v>
      </c>
      <c r="N1460" t="str">
        <f>_xlfn.XLOOKUP(Table1[[#This Row],[EmployeeNumber]],Table4[EmployeeNumber],Table4[Id_Employee])</f>
        <v>EMP01459</v>
      </c>
      <c r="O1460">
        <v>2052</v>
      </c>
      <c r="P1460" t="str">
        <f>_xlfn.XLOOKUP(Table1[[#This Row],[EnvironmentSatisfaction]],Table9[EnvironmentSatisfaction],Table9[Id_EnviromentSatisfaction])</f>
        <v>ES003</v>
      </c>
      <c r="Q1460">
        <v>3</v>
      </c>
      <c r="R1460" t="str">
        <f>_xlfn.XLOOKUP(Table1[[#This Row],[EnvironmentSatisfaction]],Table9[EnvironmentSatisfaction],Table9[Deskripsi])</f>
        <v>High</v>
      </c>
      <c r="S1460" t="str">
        <f>_xlfn.XLOOKUP(Table1[[#This Row],[Gender]],Table10[Gender],Table10[Id_Gender])</f>
        <v>G001</v>
      </c>
      <c r="T1460" t="s">
        <v>45</v>
      </c>
      <c r="U1460">
        <v>62</v>
      </c>
      <c r="V1460" t="str">
        <f>_xlfn.XLOOKUP(Table1[[#This Row],[JobInvolvement]],Table11[JobInvolvement],Table11[Id_JobInvolvement])</f>
        <v>JI001</v>
      </c>
      <c r="W1460">
        <v>1</v>
      </c>
      <c r="X1460" t="str">
        <f>_xlfn.XLOOKUP(Table1[[#This Row],[JobLevel]],Table12[JobLevel],Table12[Id_JobLevel])</f>
        <v>JL001</v>
      </c>
      <c r="Y1460">
        <v>1</v>
      </c>
      <c r="Z1460" t="str">
        <f>_xlfn.XLOOKUP(Table1[[#This Row],[JobRole]],Table13[JobRole],Table13[Id_JobRole])</f>
        <v>JR002</v>
      </c>
      <c r="AA1460" t="s">
        <v>48</v>
      </c>
      <c r="AB1460" t="str">
        <f>_xlfn.XLOOKUP(Table1[[#This Row],[JobSatisfaction]],Table14[JobSatisfaction],Table14[Id_JobSatisfaction])</f>
        <v>JS004</v>
      </c>
      <c r="AC1460">
        <v>4</v>
      </c>
      <c r="AD1460" t="str">
        <f>_xlfn.XLOOKUP(Table1[[#This Row],[JobSatisfaction]],Table14[JobSatisfaction],Table14[Deskripsi])</f>
        <v>Very High</v>
      </c>
      <c r="AE1460" t="str">
        <f>_xlfn.XLOOKUP(Table1[[#This Row],[MaritalStatus]],Table15[MaritalStatus],Table15[Id_MaritalStatus])</f>
        <v>MS002</v>
      </c>
      <c r="AF1460" t="s">
        <v>56</v>
      </c>
      <c r="AG1460">
        <v>2977</v>
      </c>
      <c r="AH1460">
        <v>8952</v>
      </c>
      <c r="AI1460">
        <v>1</v>
      </c>
      <c r="AJ1460" t="str">
        <f>_xlfn.XLOOKUP(Table1[[#This Row],[OverTime]],Table16[OverTime],Table16[Id_OverTime])</f>
        <v>OT002</v>
      </c>
      <c r="AK1460" t="s">
        <v>33</v>
      </c>
      <c r="AL1460">
        <v>12</v>
      </c>
      <c r="AM1460" t="str">
        <f>_xlfn.XLOOKUP(Table1[[#This Row],[PerformanceRating]],Table17[PerformanceRating],Table17[Id_PerformanceRating])</f>
        <v>PR003</v>
      </c>
      <c r="AN1460">
        <v>3</v>
      </c>
      <c r="AO1460" t="str">
        <f>_xlfn.XLOOKUP(Table1[[#This Row],[PerformanceRating]],Table17[PerformanceRating],Table17[Deskripsi])</f>
        <v>Excellent</v>
      </c>
      <c r="AP1460" t="str">
        <f>_xlfn.XLOOKUP(Table1[[#This Row],[RelationshipSatisfaction]],Table18[RelationshipSatisfaction],Table18[Id_RelationshipSatisfaction])</f>
        <v>RS004</v>
      </c>
      <c r="AQ1460">
        <v>4</v>
      </c>
      <c r="AR1460" t="str">
        <f>_xlfn.XLOOKUP(Table1[[#This Row],[RelationshipSatisfaction]],Table18[RelationshipSatisfaction],Table18[Deskripsi])</f>
        <v>Very High</v>
      </c>
      <c r="AS1460" t="str">
        <f>_xlfn.XLOOKUP(Table1[[#This Row],[StockOptionLevel]],Table19[StockOptionLevel],Table19[Id_StockOptionLevel])</f>
        <v>SOL002</v>
      </c>
      <c r="AT1460">
        <v>1</v>
      </c>
      <c r="AU1460" t="str">
        <f>_xlfn.XLOOKUP(Table1[[#This Row],[StockOptionLevel]],Table19[StockOptionLevel],Table19[Deskripsi])</f>
        <v>Standard</v>
      </c>
      <c r="AV1460">
        <v>4</v>
      </c>
      <c r="AW1460">
        <v>5</v>
      </c>
      <c r="AX1460" t="str">
        <f>_xlfn.XLOOKUP(Table1[[#This Row],[WorkLifeBalance]],Table20[WorkLifeBalance],Table20[Id_WorkLifeBalance])</f>
        <v>WLB002</v>
      </c>
      <c r="AY1460">
        <v>3</v>
      </c>
      <c r="AZ1460" t="str">
        <f>_xlfn.XLOOKUP(Table1[[#This Row],[WorkLifeBalance]],Table20[WorkLifeBalance],Table20[Deskripsi])</f>
        <v>Good</v>
      </c>
      <c r="BA1460">
        <v>4</v>
      </c>
      <c r="BB1460">
        <v>3</v>
      </c>
      <c r="BC1460">
        <v>1</v>
      </c>
      <c r="BD1460">
        <v>1</v>
      </c>
    </row>
    <row r="1461" spans="1:56" x14ac:dyDescent="0.25">
      <c r="A1461">
        <v>29</v>
      </c>
      <c r="B1461" t="str">
        <f>_xlfn.XLOOKUP(Table1[[#This Row],[Attrition]],Table2[Attrition],Table2[Id_Attrition])</f>
        <v>A002</v>
      </c>
      <c r="C1461" t="s">
        <v>33</v>
      </c>
      <c r="D1461" t="str">
        <f>_xlfn.XLOOKUP(Table1[[#This Row],[BusinessTravel]],Table5[BusinessTravel],Table5[Id_BusinessTravel])</f>
        <v>BS001</v>
      </c>
      <c r="E1461" t="s">
        <v>34</v>
      </c>
      <c r="F1461">
        <v>1378</v>
      </c>
      <c r="G1461" t="str">
        <f>_xlfn.XLOOKUP(Table1[[#This Row],[Department]],Table6[Department],Table6[Id_Departement])</f>
        <v>D002</v>
      </c>
      <c r="H1461" t="s">
        <v>38</v>
      </c>
      <c r="I1461">
        <v>13</v>
      </c>
      <c r="J1461" t="str">
        <f>_xlfn.XLOOKUP(Table1[[#This Row],[Education]],Table8[Education],Table8[Id_Education])</f>
        <v>E002</v>
      </c>
      <c r="K1461">
        <v>2</v>
      </c>
      <c r="L1461" t="str">
        <f>_xlfn.XLOOKUP(Table1[[#This Row],[EducationField]],Table7[EducationField],Table7[Id_EducationField])</f>
        <v>EF002</v>
      </c>
      <c r="M1461" t="s">
        <v>41</v>
      </c>
      <c r="N1461" t="str">
        <f>_xlfn.XLOOKUP(Table1[[#This Row],[EmployeeNumber]],Table4[EmployeeNumber],Table4[Id_Employee])</f>
        <v>EMP01460</v>
      </c>
      <c r="O1461">
        <v>2053</v>
      </c>
      <c r="P1461" t="str">
        <f>_xlfn.XLOOKUP(Table1[[#This Row],[EnvironmentSatisfaction]],Table9[EnvironmentSatisfaction],Table9[Id_EnviromentSatisfaction])</f>
        <v>ES004</v>
      </c>
      <c r="Q1461">
        <v>4</v>
      </c>
      <c r="R1461" t="str">
        <f>_xlfn.XLOOKUP(Table1[[#This Row],[EnvironmentSatisfaction]],Table9[EnvironmentSatisfaction],Table9[Deskripsi])</f>
        <v>Very High</v>
      </c>
      <c r="S1461" t="str">
        <f>_xlfn.XLOOKUP(Table1[[#This Row],[Gender]],Table10[Gender],Table10[Id_Gender])</f>
        <v>G002</v>
      </c>
      <c r="T1461" t="s">
        <v>46</v>
      </c>
      <c r="U1461">
        <v>46</v>
      </c>
      <c r="V1461" t="str">
        <f>_xlfn.XLOOKUP(Table1[[#This Row],[JobInvolvement]],Table11[JobInvolvement],Table11[Id_JobInvolvement])</f>
        <v>JI002</v>
      </c>
      <c r="W1461">
        <v>2</v>
      </c>
      <c r="X1461" t="str">
        <f>_xlfn.XLOOKUP(Table1[[#This Row],[JobLevel]],Table12[JobLevel],Table12[Id_JobLevel])</f>
        <v>JL002</v>
      </c>
      <c r="Y1461">
        <v>2</v>
      </c>
      <c r="Z1461" t="str">
        <f>_xlfn.XLOOKUP(Table1[[#This Row],[JobRole]],Table13[JobRole],Table13[Id_JobRole])</f>
        <v>JR003</v>
      </c>
      <c r="AA1461" t="s">
        <v>49</v>
      </c>
      <c r="AB1461" t="str">
        <f>_xlfn.XLOOKUP(Table1[[#This Row],[JobSatisfaction]],Table14[JobSatisfaction],Table14[Id_JobSatisfaction])</f>
        <v>JS002</v>
      </c>
      <c r="AC1461">
        <v>2</v>
      </c>
      <c r="AD1461" t="str">
        <f>_xlfn.XLOOKUP(Table1[[#This Row],[JobSatisfaction]],Table14[JobSatisfaction],Table14[Deskripsi])</f>
        <v>Medium</v>
      </c>
      <c r="AE1461" t="str">
        <f>_xlfn.XLOOKUP(Table1[[#This Row],[MaritalStatus]],Table15[MaritalStatus],Table15[Id_MaritalStatus])</f>
        <v>MS002</v>
      </c>
      <c r="AF1461" t="s">
        <v>56</v>
      </c>
      <c r="AG1461">
        <v>4025</v>
      </c>
      <c r="AH1461">
        <v>23679</v>
      </c>
      <c r="AI1461">
        <v>4</v>
      </c>
      <c r="AJ1461" t="str">
        <f>_xlfn.XLOOKUP(Table1[[#This Row],[OverTime]],Table16[OverTime],Table16[Id_OverTime])</f>
        <v>OT001</v>
      </c>
      <c r="AK1461" t="s">
        <v>32</v>
      </c>
      <c r="AL1461">
        <v>13</v>
      </c>
      <c r="AM1461" t="str">
        <f>_xlfn.XLOOKUP(Table1[[#This Row],[PerformanceRating]],Table17[PerformanceRating],Table17[Id_PerformanceRating])</f>
        <v>PR003</v>
      </c>
      <c r="AN1461">
        <v>3</v>
      </c>
      <c r="AO1461" t="str">
        <f>_xlfn.XLOOKUP(Table1[[#This Row],[PerformanceRating]],Table17[PerformanceRating],Table17[Deskripsi])</f>
        <v>Excellent</v>
      </c>
      <c r="AP1461" t="str">
        <f>_xlfn.XLOOKUP(Table1[[#This Row],[RelationshipSatisfaction]],Table18[RelationshipSatisfaction],Table18[Id_RelationshipSatisfaction])</f>
        <v>RS001</v>
      </c>
      <c r="AQ1461">
        <v>1</v>
      </c>
      <c r="AR1461" t="str">
        <f>_xlfn.XLOOKUP(Table1[[#This Row],[RelationshipSatisfaction]],Table18[RelationshipSatisfaction],Table18[Deskripsi])</f>
        <v>Low</v>
      </c>
      <c r="AS1461" t="str">
        <f>_xlfn.XLOOKUP(Table1[[#This Row],[StockOptionLevel]],Table19[StockOptionLevel],Table19[Id_StockOptionLevel])</f>
        <v>SOL002</v>
      </c>
      <c r="AT1461">
        <v>1</v>
      </c>
      <c r="AU1461" t="str">
        <f>_xlfn.XLOOKUP(Table1[[#This Row],[StockOptionLevel]],Table19[StockOptionLevel],Table19[Deskripsi])</f>
        <v>Standard</v>
      </c>
      <c r="AV1461">
        <v>10</v>
      </c>
      <c r="AW1461">
        <v>2</v>
      </c>
      <c r="AX1461" t="str">
        <f>_xlfn.XLOOKUP(Table1[[#This Row],[WorkLifeBalance]],Table20[WorkLifeBalance],Table20[Id_WorkLifeBalance])</f>
        <v>WLB002</v>
      </c>
      <c r="AY1461">
        <v>3</v>
      </c>
      <c r="AZ1461" t="str">
        <f>_xlfn.XLOOKUP(Table1[[#This Row],[WorkLifeBalance]],Table20[WorkLifeBalance],Table20[Deskripsi])</f>
        <v>Good</v>
      </c>
      <c r="BA1461">
        <v>4</v>
      </c>
      <c r="BB1461">
        <v>3</v>
      </c>
      <c r="BC1461">
        <v>0</v>
      </c>
      <c r="BD1461">
        <v>3</v>
      </c>
    </row>
    <row r="1462" spans="1:56" x14ac:dyDescent="0.25">
      <c r="A1462">
        <v>29</v>
      </c>
      <c r="B1462" t="str">
        <f>_xlfn.XLOOKUP(Table1[[#This Row],[Attrition]],Table2[Attrition],Table2[Id_Attrition])</f>
        <v>A002</v>
      </c>
      <c r="C1462" t="s">
        <v>33</v>
      </c>
      <c r="D1462" t="str">
        <f>_xlfn.XLOOKUP(Table1[[#This Row],[BusinessTravel]],Table5[BusinessTravel],Table5[Id_BusinessTravel])</f>
        <v>BS001</v>
      </c>
      <c r="E1462" t="s">
        <v>34</v>
      </c>
      <c r="F1462">
        <v>468</v>
      </c>
      <c r="G1462" t="str">
        <f>_xlfn.XLOOKUP(Table1[[#This Row],[Department]],Table6[Department],Table6[Id_Departement])</f>
        <v>D002</v>
      </c>
      <c r="H1462" t="s">
        <v>38</v>
      </c>
      <c r="I1462">
        <v>28</v>
      </c>
      <c r="J1462" t="str">
        <f>_xlfn.XLOOKUP(Table1[[#This Row],[Education]],Table8[Education],Table8[Id_Education])</f>
        <v>E004</v>
      </c>
      <c r="K1462">
        <v>4</v>
      </c>
      <c r="L1462" t="str">
        <f>_xlfn.XLOOKUP(Table1[[#This Row],[EducationField]],Table7[EducationField],Table7[Id_EducationField])</f>
        <v>EF003</v>
      </c>
      <c r="M1462" t="s">
        <v>42</v>
      </c>
      <c r="N1462" t="str">
        <f>_xlfn.XLOOKUP(Table1[[#This Row],[EmployeeNumber]],Table4[EmployeeNumber],Table4[Id_Employee])</f>
        <v>EMP01461</v>
      </c>
      <c r="O1462">
        <v>2054</v>
      </c>
      <c r="P1462" t="str">
        <f>_xlfn.XLOOKUP(Table1[[#This Row],[EnvironmentSatisfaction]],Table9[EnvironmentSatisfaction],Table9[Id_EnviromentSatisfaction])</f>
        <v>ES004</v>
      </c>
      <c r="Q1462">
        <v>4</v>
      </c>
      <c r="R1462" t="str">
        <f>_xlfn.XLOOKUP(Table1[[#This Row],[EnvironmentSatisfaction]],Table9[EnvironmentSatisfaction],Table9[Deskripsi])</f>
        <v>Very High</v>
      </c>
      <c r="S1462" t="str">
        <f>_xlfn.XLOOKUP(Table1[[#This Row],[Gender]],Table10[Gender],Table10[Id_Gender])</f>
        <v>G001</v>
      </c>
      <c r="T1462" t="s">
        <v>45</v>
      </c>
      <c r="U1462">
        <v>73</v>
      </c>
      <c r="V1462" t="str">
        <f>_xlfn.XLOOKUP(Table1[[#This Row],[JobInvolvement]],Table11[JobInvolvement],Table11[Id_JobInvolvement])</f>
        <v>JI002</v>
      </c>
      <c r="W1462">
        <v>2</v>
      </c>
      <c r="X1462" t="str">
        <f>_xlfn.XLOOKUP(Table1[[#This Row],[JobLevel]],Table12[JobLevel],Table12[Id_JobLevel])</f>
        <v>JL001</v>
      </c>
      <c r="Y1462">
        <v>1</v>
      </c>
      <c r="Z1462" t="str">
        <f>_xlfn.XLOOKUP(Table1[[#This Row],[JobRole]],Table13[JobRole],Table13[Id_JobRole])</f>
        <v>JR002</v>
      </c>
      <c r="AA1462" t="s">
        <v>48</v>
      </c>
      <c r="AB1462" t="str">
        <f>_xlfn.XLOOKUP(Table1[[#This Row],[JobSatisfaction]],Table14[JobSatisfaction],Table14[Id_JobSatisfaction])</f>
        <v>JS001</v>
      </c>
      <c r="AC1462">
        <v>1</v>
      </c>
      <c r="AD1462" t="str">
        <f>_xlfn.XLOOKUP(Table1[[#This Row],[JobSatisfaction]],Table14[JobSatisfaction],Table14[Deskripsi])</f>
        <v>Low</v>
      </c>
      <c r="AE1462" t="str">
        <f>_xlfn.XLOOKUP(Table1[[#This Row],[MaritalStatus]],Table15[MaritalStatus],Table15[Id_MaritalStatus])</f>
        <v>MS001</v>
      </c>
      <c r="AF1462" t="s">
        <v>55</v>
      </c>
      <c r="AG1462">
        <v>3785</v>
      </c>
      <c r="AH1462">
        <v>8489</v>
      </c>
      <c r="AI1462">
        <v>1</v>
      </c>
      <c r="AJ1462" t="str">
        <f>_xlfn.XLOOKUP(Table1[[#This Row],[OverTime]],Table16[OverTime],Table16[Id_OverTime])</f>
        <v>OT002</v>
      </c>
      <c r="AK1462" t="s">
        <v>33</v>
      </c>
      <c r="AL1462">
        <v>14</v>
      </c>
      <c r="AM1462" t="str">
        <f>_xlfn.XLOOKUP(Table1[[#This Row],[PerformanceRating]],Table17[PerformanceRating],Table17[Id_PerformanceRating])</f>
        <v>PR003</v>
      </c>
      <c r="AN1462">
        <v>3</v>
      </c>
      <c r="AO1462" t="str">
        <f>_xlfn.XLOOKUP(Table1[[#This Row],[PerformanceRating]],Table17[PerformanceRating],Table17[Deskripsi])</f>
        <v>Excellent</v>
      </c>
      <c r="AP1462" t="str">
        <f>_xlfn.XLOOKUP(Table1[[#This Row],[RelationshipSatisfaction]],Table18[RelationshipSatisfaction],Table18[Id_RelationshipSatisfaction])</f>
        <v>RS002</v>
      </c>
      <c r="AQ1462">
        <v>2</v>
      </c>
      <c r="AR1462" t="str">
        <f>_xlfn.XLOOKUP(Table1[[#This Row],[RelationshipSatisfaction]],Table18[RelationshipSatisfaction],Table18[Deskripsi])</f>
        <v>Medium</v>
      </c>
      <c r="AS1462" t="str">
        <f>_xlfn.XLOOKUP(Table1[[#This Row],[StockOptionLevel]],Table19[StockOptionLevel],Table19[Id_StockOptionLevel])</f>
        <v>SOL001</v>
      </c>
      <c r="AT1462">
        <v>0</v>
      </c>
      <c r="AU1462" t="str">
        <f>_xlfn.XLOOKUP(Table1[[#This Row],[StockOptionLevel]],Table19[StockOptionLevel],Table19[Deskripsi])</f>
        <v>Non-Eligible</v>
      </c>
      <c r="AV1462">
        <v>5</v>
      </c>
      <c r="AW1462">
        <v>3</v>
      </c>
      <c r="AX1462" t="str">
        <f>_xlfn.XLOOKUP(Table1[[#This Row],[WorkLifeBalance]],Table20[WorkLifeBalance],Table20[Id_WorkLifeBalance])</f>
        <v>WLB001</v>
      </c>
      <c r="AY1462">
        <v>1</v>
      </c>
      <c r="AZ1462" t="str">
        <f>_xlfn.XLOOKUP(Table1[[#This Row],[WorkLifeBalance]],Table20[WorkLifeBalance],Table20[Deskripsi])</f>
        <v>Bad</v>
      </c>
      <c r="BA1462">
        <v>5</v>
      </c>
      <c r="BB1462">
        <v>4</v>
      </c>
      <c r="BC1462">
        <v>0</v>
      </c>
      <c r="BD1462">
        <v>4</v>
      </c>
    </row>
    <row r="1463" spans="1:56" x14ac:dyDescent="0.25">
      <c r="A1463">
        <v>50</v>
      </c>
      <c r="B1463" t="str">
        <f>_xlfn.XLOOKUP(Table1[[#This Row],[Attrition]],Table2[Attrition],Table2[Id_Attrition])</f>
        <v>A001</v>
      </c>
      <c r="C1463" t="s">
        <v>32</v>
      </c>
      <c r="D1463" t="str">
        <f>_xlfn.XLOOKUP(Table1[[#This Row],[BusinessTravel]],Table5[BusinessTravel],Table5[Id_BusinessTravel])</f>
        <v>BS001</v>
      </c>
      <c r="E1463" t="s">
        <v>34</v>
      </c>
      <c r="F1463">
        <v>410</v>
      </c>
      <c r="G1463" t="str">
        <f>_xlfn.XLOOKUP(Table1[[#This Row],[Department]],Table6[Department],Table6[Id_Departement])</f>
        <v>D001</v>
      </c>
      <c r="H1463" t="s">
        <v>37</v>
      </c>
      <c r="I1463">
        <v>28</v>
      </c>
      <c r="J1463" t="str">
        <f>_xlfn.XLOOKUP(Table1[[#This Row],[Education]],Table8[Education],Table8[Id_Education])</f>
        <v>E003</v>
      </c>
      <c r="K1463">
        <v>3</v>
      </c>
      <c r="L1463" t="str">
        <f>_xlfn.XLOOKUP(Table1[[#This Row],[EducationField]],Table7[EducationField],Table7[Id_EducationField])</f>
        <v>EF004</v>
      </c>
      <c r="M1463" t="s">
        <v>43</v>
      </c>
      <c r="N1463" t="str">
        <f>_xlfn.XLOOKUP(Table1[[#This Row],[EmployeeNumber]],Table4[EmployeeNumber],Table4[Id_Employee])</f>
        <v>EMP01462</v>
      </c>
      <c r="O1463">
        <v>2055</v>
      </c>
      <c r="P1463" t="str">
        <f>_xlfn.XLOOKUP(Table1[[#This Row],[EnvironmentSatisfaction]],Table9[EnvironmentSatisfaction],Table9[Id_EnviromentSatisfaction])</f>
        <v>ES004</v>
      </c>
      <c r="Q1463">
        <v>4</v>
      </c>
      <c r="R1463" t="str">
        <f>_xlfn.XLOOKUP(Table1[[#This Row],[EnvironmentSatisfaction]],Table9[EnvironmentSatisfaction],Table9[Deskripsi])</f>
        <v>Very High</v>
      </c>
      <c r="S1463" t="str">
        <f>_xlfn.XLOOKUP(Table1[[#This Row],[Gender]],Table10[Gender],Table10[Id_Gender])</f>
        <v>G002</v>
      </c>
      <c r="T1463" t="s">
        <v>46</v>
      </c>
      <c r="U1463">
        <v>39</v>
      </c>
      <c r="V1463" t="str">
        <f>_xlfn.XLOOKUP(Table1[[#This Row],[JobInvolvement]],Table11[JobInvolvement],Table11[Id_JobInvolvement])</f>
        <v>JI002</v>
      </c>
      <c r="W1463">
        <v>2</v>
      </c>
      <c r="X1463" t="str">
        <f>_xlfn.XLOOKUP(Table1[[#This Row],[JobLevel]],Table12[JobLevel],Table12[Id_JobLevel])</f>
        <v>JL003</v>
      </c>
      <c r="Y1463">
        <v>3</v>
      </c>
      <c r="Z1463" t="str">
        <f>_xlfn.XLOOKUP(Table1[[#This Row],[JobRole]],Table13[JobRole],Table13[Id_JobRole])</f>
        <v>JR001</v>
      </c>
      <c r="AA1463" t="s">
        <v>47</v>
      </c>
      <c r="AB1463" t="str">
        <f>_xlfn.XLOOKUP(Table1[[#This Row],[JobSatisfaction]],Table14[JobSatisfaction],Table14[Id_JobSatisfaction])</f>
        <v>JS001</v>
      </c>
      <c r="AC1463">
        <v>1</v>
      </c>
      <c r="AD1463" t="str">
        <f>_xlfn.XLOOKUP(Table1[[#This Row],[JobSatisfaction]],Table14[JobSatisfaction],Table14[Deskripsi])</f>
        <v>Low</v>
      </c>
      <c r="AE1463" t="str">
        <f>_xlfn.XLOOKUP(Table1[[#This Row],[MaritalStatus]],Table15[MaritalStatus],Table15[Id_MaritalStatus])</f>
        <v>MS003</v>
      </c>
      <c r="AF1463" t="s">
        <v>57</v>
      </c>
      <c r="AG1463">
        <v>10854</v>
      </c>
      <c r="AH1463">
        <v>16586</v>
      </c>
      <c r="AI1463">
        <v>4</v>
      </c>
      <c r="AJ1463" t="str">
        <f>_xlfn.XLOOKUP(Table1[[#This Row],[OverTime]],Table16[OverTime],Table16[Id_OverTime])</f>
        <v>OT001</v>
      </c>
      <c r="AK1463" t="s">
        <v>32</v>
      </c>
      <c r="AL1463">
        <v>13</v>
      </c>
      <c r="AM1463" t="str">
        <f>_xlfn.XLOOKUP(Table1[[#This Row],[PerformanceRating]],Table17[PerformanceRating],Table17[Id_PerformanceRating])</f>
        <v>PR003</v>
      </c>
      <c r="AN1463">
        <v>3</v>
      </c>
      <c r="AO1463" t="str">
        <f>_xlfn.XLOOKUP(Table1[[#This Row],[PerformanceRating]],Table17[PerformanceRating],Table17[Deskripsi])</f>
        <v>Excellent</v>
      </c>
      <c r="AP1463" t="str">
        <f>_xlfn.XLOOKUP(Table1[[#This Row],[RelationshipSatisfaction]],Table18[RelationshipSatisfaction],Table18[Id_RelationshipSatisfaction])</f>
        <v>RS002</v>
      </c>
      <c r="AQ1463">
        <v>2</v>
      </c>
      <c r="AR1463" t="str">
        <f>_xlfn.XLOOKUP(Table1[[#This Row],[RelationshipSatisfaction]],Table18[RelationshipSatisfaction],Table18[Deskripsi])</f>
        <v>Medium</v>
      </c>
      <c r="AS1463" t="str">
        <f>_xlfn.XLOOKUP(Table1[[#This Row],[StockOptionLevel]],Table19[StockOptionLevel],Table19[Id_StockOptionLevel])</f>
        <v>SOL002</v>
      </c>
      <c r="AT1463">
        <v>1</v>
      </c>
      <c r="AU1463" t="str">
        <f>_xlfn.XLOOKUP(Table1[[#This Row],[StockOptionLevel]],Table19[StockOptionLevel],Table19[Deskripsi])</f>
        <v>Standard</v>
      </c>
      <c r="AV1463">
        <v>20</v>
      </c>
      <c r="AW1463">
        <v>3</v>
      </c>
      <c r="AX1463" t="str">
        <f>_xlfn.XLOOKUP(Table1[[#This Row],[WorkLifeBalance]],Table20[WorkLifeBalance],Table20[Id_WorkLifeBalance])</f>
        <v>WLB002</v>
      </c>
      <c r="AY1463">
        <v>3</v>
      </c>
      <c r="AZ1463" t="str">
        <f>_xlfn.XLOOKUP(Table1[[#This Row],[WorkLifeBalance]],Table20[WorkLifeBalance],Table20[Deskripsi])</f>
        <v>Good</v>
      </c>
      <c r="BA1463">
        <v>3</v>
      </c>
      <c r="BB1463">
        <v>2</v>
      </c>
      <c r="BC1463">
        <v>2</v>
      </c>
      <c r="BD1463">
        <v>0</v>
      </c>
    </row>
    <row r="1464" spans="1:56" x14ac:dyDescent="0.25">
      <c r="A1464">
        <v>39</v>
      </c>
      <c r="B1464" t="str">
        <f>_xlfn.XLOOKUP(Table1[[#This Row],[Attrition]],Table2[Attrition],Table2[Id_Attrition])</f>
        <v>A002</v>
      </c>
      <c r="C1464" t="s">
        <v>33</v>
      </c>
      <c r="D1464" t="str">
        <f>_xlfn.XLOOKUP(Table1[[#This Row],[BusinessTravel]],Table5[BusinessTravel],Table5[Id_BusinessTravel])</f>
        <v>BS001</v>
      </c>
      <c r="E1464" t="s">
        <v>34</v>
      </c>
      <c r="F1464">
        <v>722</v>
      </c>
      <c r="G1464" t="str">
        <f>_xlfn.XLOOKUP(Table1[[#This Row],[Department]],Table6[Department],Table6[Id_Departement])</f>
        <v>D001</v>
      </c>
      <c r="H1464" t="s">
        <v>37</v>
      </c>
      <c r="I1464">
        <v>24</v>
      </c>
      <c r="J1464" t="str">
        <f>_xlfn.XLOOKUP(Table1[[#This Row],[Education]],Table8[Education],Table8[Id_Education])</f>
        <v>E001</v>
      </c>
      <c r="K1464">
        <v>1</v>
      </c>
      <c r="L1464" t="str">
        <f>_xlfn.XLOOKUP(Table1[[#This Row],[EducationField]],Table7[EducationField],Table7[Id_EducationField])</f>
        <v>EF004</v>
      </c>
      <c r="M1464" t="s">
        <v>43</v>
      </c>
      <c r="N1464" t="str">
        <f>_xlfn.XLOOKUP(Table1[[#This Row],[EmployeeNumber]],Table4[EmployeeNumber],Table4[Id_Employee])</f>
        <v>EMP01463</v>
      </c>
      <c r="O1464">
        <v>2056</v>
      </c>
      <c r="P1464" t="str">
        <f>_xlfn.XLOOKUP(Table1[[#This Row],[EnvironmentSatisfaction]],Table9[EnvironmentSatisfaction],Table9[Id_EnviromentSatisfaction])</f>
        <v>ES002</v>
      </c>
      <c r="Q1464">
        <v>2</v>
      </c>
      <c r="R1464" t="str">
        <f>_xlfn.XLOOKUP(Table1[[#This Row],[EnvironmentSatisfaction]],Table9[EnvironmentSatisfaction],Table9[Deskripsi])</f>
        <v>Medium</v>
      </c>
      <c r="S1464" t="str">
        <f>_xlfn.XLOOKUP(Table1[[#This Row],[Gender]],Table10[Gender],Table10[Id_Gender])</f>
        <v>G001</v>
      </c>
      <c r="T1464" t="s">
        <v>45</v>
      </c>
      <c r="U1464">
        <v>60</v>
      </c>
      <c r="V1464" t="str">
        <f>_xlfn.XLOOKUP(Table1[[#This Row],[JobInvolvement]],Table11[JobInvolvement],Table11[Id_JobInvolvement])</f>
        <v>JI002</v>
      </c>
      <c r="W1464">
        <v>2</v>
      </c>
      <c r="X1464" t="str">
        <f>_xlfn.XLOOKUP(Table1[[#This Row],[JobLevel]],Table12[JobLevel],Table12[Id_JobLevel])</f>
        <v>JL004</v>
      </c>
      <c r="Y1464">
        <v>4</v>
      </c>
      <c r="Z1464" t="str">
        <f>_xlfn.XLOOKUP(Table1[[#This Row],[JobRole]],Table13[JobRole],Table13[Id_JobRole])</f>
        <v>JR001</v>
      </c>
      <c r="AA1464" t="s">
        <v>47</v>
      </c>
      <c r="AB1464" t="str">
        <f>_xlfn.XLOOKUP(Table1[[#This Row],[JobSatisfaction]],Table14[JobSatisfaction],Table14[Id_JobSatisfaction])</f>
        <v>JS004</v>
      </c>
      <c r="AC1464">
        <v>4</v>
      </c>
      <c r="AD1464" t="str">
        <f>_xlfn.XLOOKUP(Table1[[#This Row],[JobSatisfaction]],Table14[JobSatisfaction],Table14[Deskripsi])</f>
        <v>Very High</v>
      </c>
      <c r="AE1464" t="str">
        <f>_xlfn.XLOOKUP(Table1[[#This Row],[MaritalStatus]],Table15[MaritalStatus],Table15[Id_MaritalStatus])</f>
        <v>MS002</v>
      </c>
      <c r="AF1464" t="s">
        <v>56</v>
      </c>
      <c r="AG1464">
        <v>12031</v>
      </c>
      <c r="AH1464">
        <v>8828</v>
      </c>
      <c r="AI1464">
        <v>0</v>
      </c>
      <c r="AJ1464" t="str">
        <f>_xlfn.XLOOKUP(Table1[[#This Row],[OverTime]],Table16[OverTime],Table16[Id_OverTime])</f>
        <v>OT002</v>
      </c>
      <c r="AK1464" t="s">
        <v>33</v>
      </c>
      <c r="AL1464">
        <v>11</v>
      </c>
      <c r="AM1464" t="str">
        <f>_xlfn.XLOOKUP(Table1[[#This Row],[PerformanceRating]],Table17[PerformanceRating],Table17[Id_PerformanceRating])</f>
        <v>PR003</v>
      </c>
      <c r="AN1464">
        <v>3</v>
      </c>
      <c r="AO1464" t="str">
        <f>_xlfn.XLOOKUP(Table1[[#This Row],[PerformanceRating]],Table17[PerformanceRating],Table17[Deskripsi])</f>
        <v>Excellent</v>
      </c>
      <c r="AP1464" t="str">
        <f>_xlfn.XLOOKUP(Table1[[#This Row],[RelationshipSatisfaction]],Table18[RelationshipSatisfaction],Table18[Id_RelationshipSatisfaction])</f>
        <v>RS001</v>
      </c>
      <c r="AQ1464">
        <v>1</v>
      </c>
      <c r="AR1464" t="str">
        <f>_xlfn.XLOOKUP(Table1[[#This Row],[RelationshipSatisfaction]],Table18[RelationshipSatisfaction],Table18[Deskripsi])</f>
        <v>Low</v>
      </c>
      <c r="AS1464" t="str">
        <f>_xlfn.XLOOKUP(Table1[[#This Row],[StockOptionLevel]],Table19[StockOptionLevel],Table19[Id_StockOptionLevel])</f>
        <v>SOL002</v>
      </c>
      <c r="AT1464">
        <v>1</v>
      </c>
      <c r="AU1464" t="str">
        <f>_xlfn.XLOOKUP(Table1[[#This Row],[StockOptionLevel]],Table19[StockOptionLevel],Table19[Deskripsi])</f>
        <v>Standard</v>
      </c>
      <c r="AV1464">
        <v>21</v>
      </c>
      <c r="AW1464">
        <v>2</v>
      </c>
      <c r="AX1464" t="str">
        <f>_xlfn.XLOOKUP(Table1[[#This Row],[WorkLifeBalance]],Table20[WorkLifeBalance],Table20[Id_WorkLifeBalance])</f>
        <v>WLB003</v>
      </c>
      <c r="AY1464">
        <v>2</v>
      </c>
      <c r="AZ1464" t="str">
        <f>_xlfn.XLOOKUP(Table1[[#This Row],[WorkLifeBalance]],Table20[WorkLifeBalance],Table20[Deskripsi])</f>
        <v>Better</v>
      </c>
      <c r="BA1464">
        <v>20</v>
      </c>
      <c r="BB1464">
        <v>9</v>
      </c>
      <c r="BC1464">
        <v>9</v>
      </c>
      <c r="BD1464">
        <v>6</v>
      </c>
    </row>
    <row r="1465" spans="1:56" x14ac:dyDescent="0.25">
      <c r="A1465">
        <v>31</v>
      </c>
      <c r="B1465" t="str">
        <f>_xlfn.XLOOKUP(Table1[[#This Row],[Attrition]],Table2[Attrition],Table2[Id_Attrition])</f>
        <v>A002</v>
      </c>
      <c r="C1465" t="s">
        <v>33</v>
      </c>
      <c r="D1465" t="str">
        <f>_xlfn.XLOOKUP(Table1[[#This Row],[BusinessTravel]],Table5[BusinessTravel],Table5[Id_BusinessTravel])</f>
        <v>BS003</v>
      </c>
      <c r="E1465" t="s">
        <v>36</v>
      </c>
      <c r="F1465">
        <v>325</v>
      </c>
      <c r="G1465" t="str">
        <f>_xlfn.XLOOKUP(Table1[[#This Row],[Department]],Table6[Department],Table6[Id_Departement])</f>
        <v>D002</v>
      </c>
      <c r="H1465" t="s">
        <v>38</v>
      </c>
      <c r="I1465">
        <v>5</v>
      </c>
      <c r="J1465" t="str">
        <f>_xlfn.XLOOKUP(Table1[[#This Row],[Education]],Table8[Education],Table8[Id_Education])</f>
        <v>E003</v>
      </c>
      <c r="K1465">
        <v>3</v>
      </c>
      <c r="L1465" t="str">
        <f>_xlfn.XLOOKUP(Table1[[#This Row],[EducationField]],Table7[EducationField],Table7[Id_EducationField])</f>
        <v>EF003</v>
      </c>
      <c r="M1465" t="s">
        <v>42</v>
      </c>
      <c r="N1465" t="str">
        <f>_xlfn.XLOOKUP(Table1[[#This Row],[EmployeeNumber]],Table4[EmployeeNumber],Table4[Id_Employee])</f>
        <v>EMP01464</v>
      </c>
      <c r="O1465">
        <v>2057</v>
      </c>
      <c r="P1465" t="str">
        <f>_xlfn.XLOOKUP(Table1[[#This Row],[EnvironmentSatisfaction]],Table9[EnvironmentSatisfaction],Table9[Id_EnviromentSatisfaction])</f>
        <v>ES002</v>
      </c>
      <c r="Q1465">
        <v>2</v>
      </c>
      <c r="R1465" t="str">
        <f>_xlfn.XLOOKUP(Table1[[#This Row],[EnvironmentSatisfaction]],Table9[EnvironmentSatisfaction],Table9[Deskripsi])</f>
        <v>Medium</v>
      </c>
      <c r="S1465" t="str">
        <f>_xlfn.XLOOKUP(Table1[[#This Row],[Gender]],Table10[Gender],Table10[Id_Gender])</f>
        <v>G002</v>
      </c>
      <c r="T1465" t="s">
        <v>46</v>
      </c>
      <c r="U1465">
        <v>74</v>
      </c>
      <c r="V1465" t="str">
        <f>_xlfn.XLOOKUP(Table1[[#This Row],[JobInvolvement]],Table11[JobInvolvement],Table11[Id_JobInvolvement])</f>
        <v>JI003</v>
      </c>
      <c r="W1465">
        <v>3</v>
      </c>
      <c r="X1465" t="str">
        <f>_xlfn.XLOOKUP(Table1[[#This Row],[JobLevel]],Table12[JobLevel],Table12[Id_JobLevel])</f>
        <v>JL002</v>
      </c>
      <c r="Y1465">
        <v>2</v>
      </c>
      <c r="Z1465" t="str">
        <f>_xlfn.XLOOKUP(Table1[[#This Row],[JobRole]],Table13[JobRole],Table13[Id_JobRole])</f>
        <v>JR004</v>
      </c>
      <c r="AA1465" t="s">
        <v>50</v>
      </c>
      <c r="AB1465" t="str">
        <f>_xlfn.XLOOKUP(Table1[[#This Row],[JobSatisfaction]],Table14[JobSatisfaction],Table14[Id_JobSatisfaction])</f>
        <v>JS001</v>
      </c>
      <c r="AC1465">
        <v>1</v>
      </c>
      <c r="AD1465" t="str">
        <f>_xlfn.XLOOKUP(Table1[[#This Row],[JobSatisfaction]],Table14[JobSatisfaction],Table14[Deskripsi])</f>
        <v>Low</v>
      </c>
      <c r="AE1465" t="str">
        <f>_xlfn.XLOOKUP(Table1[[#This Row],[MaritalStatus]],Table15[MaritalStatus],Table15[Id_MaritalStatus])</f>
        <v>MS001</v>
      </c>
      <c r="AF1465" t="s">
        <v>55</v>
      </c>
      <c r="AG1465">
        <v>9936</v>
      </c>
      <c r="AH1465">
        <v>3787</v>
      </c>
      <c r="AI1465">
        <v>0</v>
      </c>
      <c r="AJ1465" t="str">
        <f>_xlfn.XLOOKUP(Table1[[#This Row],[OverTime]],Table16[OverTime],Table16[Id_OverTime])</f>
        <v>OT002</v>
      </c>
      <c r="AK1465" t="s">
        <v>33</v>
      </c>
      <c r="AL1465">
        <v>19</v>
      </c>
      <c r="AM1465" t="str">
        <f>_xlfn.XLOOKUP(Table1[[#This Row],[PerformanceRating]],Table17[PerformanceRating],Table17[Id_PerformanceRating])</f>
        <v>PR003</v>
      </c>
      <c r="AN1465">
        <v>3</v>
      </c>
      <c r="AO1465" t="str">
        <f>_xlfn.XLOOKUP(Table1[[#This Row],[PerformanceRating]],Table17[PerformanceRating],Table17[Deskripsi])</f>
        <v>Excellent</v>
      </c>
      <c r="AP1465" t="str">
        <f>_xlfn.XLOOKUP(Table1[[#This Row],[RelationshipSatisfaction]],Table18[RelationshipSatisfaction],Table18[Id_RelationshipSatisfaction])</f>
        <v>RS002</v>
      </c>
      <c r="AQ1465">
        <v>2</v>
      </c>
      <c r="AR1465" t="str">
        <f>_xlfn.XLOOKUP(Table1[[#This Row],[RelationshipSatisfaction]],Table18[RelationshipSatisfaction],Table18[Deskripsi])</f>
        <v>Medium</v>
      </c>
      <c r="AS1465" t="str">
        <f>_xlfn.XLOOKUP(Table1[[#This Row],[StockOptionLevel]],Table19[StockOptionLevel],Table19[Id_StockOptionLevel])</f>
        <v>SOL001</v>
      </c>
      <c r="AT1465">
        <v>0</v>
      </c>
      <c r="AU1465" t="str">
        <f>_xlfn.XLOOKUP(Table1[[#This Row],[StockOptionLevel]],Table19[StockOptionLevel],Table19[Deskripsi])</f>
        <v>Non-Eligible</v>
      </c>
      <c r="AV1465">
        <v>10</v>
      </c>
      <c r="AW1465">
        <v>2</v>
      </c>
      <c r="AX1465" t="str">
        <f>_xlfn.XLOOKUP(Table1[[#This Row],[WorkLifeBalance]],Table20[WorkLifeBalance],Table20[Id_WorkLifeBalance])</f>
        <v>WLB002</v>
      </c>
      <c r="AY1465">
        <v>3</v>
      </c>
      <c r="AZ1465" t="str">
        <f>_xlfn.XLOOKUP(Table1[[#This Row],[WorkLifeBalance]],Table20[WorkLifeBalance],Table20[Deskripsi])</f>
        <v>Good</v>
      </c>
      <c r="BA1465">
        <v>9</v>
      </c>
      <c r="BB1465">
        <v>4</v>
      </c>
      <c r="BC1465">
        <v>1</v>
      </c>
      <c r="BD1465">
        <v>7</v>
      </c>
    </row>
    <row r="1466" spans="1:56" x14ac:dyDescent="0.25">
      <c r="A1466">
        <v>26</v>
      </c>
      <c r="B1466" t="str">
        <f>_xlfn.XLOOKUP(Table1[[#This Row],[Attrition]],Table2[Attrition],Table2[Id_Attrition])</f>
        <v>A002</v>
      </c>
      <c r="C1466" t="s">
        <v>33</v>
      </c>
      <c r="D1466" t="str">
        <f>_xlfn.XLOOKUP(Table1[[#This Row],[BusinessTravel]],Table5[BusinessTravel],Table5[Id_BusinessTravel])</f>
        <v>BS001</v>
      </c>
      <c r="E1466" t="s">
        <v>34</v>
      </c>
      <c r="F1466">
        <v>1167</v>
      </c>
      <c r="G1466" t="str">
        <f>_xlfn.XLOOKUP(Table1[[#This Row],[Department]],Table6[Department],Table6[Id_Departement])</f>
        <v>D001</v>
      </c>
      <c r="H1466" t="s">
        <v>37</v>
      </c>
      <c r="I1466">
        <v>5</v>
      </c>
      <c r="J1466" t="str">
        <f>_xlfn.XLOOKUP(Table1[[#This Row],[Education]],Table8[Education],Table8[Id_Education])</f>
        <v>E003</v>
      </c>
      <c r="K1466">
        <v>3</v>
      </c>
      <c r="L1466" t="str">
        <f>_xlfn.XLOOKUP(Table1[[#This Row],[EducationField]],Table7[EducationField],Table7[Id_EducationField])</f>
        <v>EF002</v>
      </c>
      <c r="M1466" t="s">
        <v>41</v>
      </c>
      <c r="N1466" t="str">
        <f>_xlfn.XLOOKUP(Table1[[#This Row],[EmployeeNumber]],Table4[EmployeeNumber],Table4[Id_Employee])</f>
        <v>EMP01465</v>
      </c>
      <c r="O1466">
        <v>2060</v>
      </c>
      <c r="P1466" t="str">
        <f>_xlfn.XLOOKUP(Table1[[#This Row],[EnvironmentSatisfaction]],Table9[EnvironmentSatisfaction],Table9[Id_EnviromentSatisfaction])</f>
        <v>ES004</v>
      </c>
      <c r="Q1466">
        <v>4</v>
      </c>
      <c r="R1466" t="str">
        <f>_xlfn.XLOOKUP(Table1[[#This Row],[EnvironmentSatisfaction]],Table9[EnvironmentSatisfaction],Table9[Deskripsi])</f>
        <v>Very High</v>
      </c>
      <c r="S1466" t="str">
        <f>_xlfn.XLOOKUP(Table1[[#This Row],[Gender]],Table10[Gender],Table10[Id_Gender])</f>
        <v>G001</v>
      </c>
      <c r="T1466" t="s">
        <v>45</v>
      </c>
      <c r="U1466">
        <v>30</v>
      </c>
      <c r="V1466" t="str">
        <f>_xlfn.XLOOKUP(Table1[[#This Row],[JobInvolvement]],Table11[JobInvolvement],Table11[Id_JobInvolvement])</f>
        <v>JI002</v>
      </c>
      <c r="W1466">
        <v>2</v>
      </c>
      <c r="X1466" t="str">
        <f>_xlfn.XLOOKUP(Table1[[#This Row],[JobLevel]],Table12[JobLevel],Table12[Id_JobLevel])</f>
        <v>JL001</v>
      </c>
      <c r="Y1466">
        <v>1</v>
      </c>
      <c r="Z1466" t="str">
        <f>_xlfn.XLOOKUP(Table1[[#This Row],[JobRole]],Table13[JobRole],Table13[Id_JobRole])</f>
        <v>JR007</v>
      </c>
      <c r="AA1466" t="s">
        <v>53</v>
      </c>
      <c r="AB1466" t="str">
        <f>_xlfn.XLOOKUP(Table1[[#This Row],[JobSatisfaction]],Table14[JobSatisfaction],Table14[Id_JobSatisfaction])</f>
        <v>JS003</v>
      </c>
      <c r="AC1466">
        <v>3</v>
      </c>
      <c r="AD1466" t="str">
        <f>_xlfn.XLOOKUP(Table1[[#This Row],[JobSatisfaction]],Table14[JobSatisfaction],Table14[Deskripsi])</f>
        <v>High</v>
      </c>
      <c r="AE1466" t="str">
        <f>_xlfn.XLOOKUP(Table1[[#This Row],[MaritalStatus]],Table15[MaritalStatus],Table15[Id_MaritalStatus])</f>
        <v>MS001</v>
      </c>
      <c r="AF1466" t="s">
        <v>55</v>
      </c>
      <c r="AG1466">
        <v>2966</v>
      </c>
      <c r="AH1466">
        <v>21378</v>
      </c>
      <c r="AI1466">
        <v>0</v>
      </c>
      <c r="AJ1466" t="str">
        <f>_xlfn.XLOOKUP(Table1[[#This Row],[OverTime]],Table16[OverTime],Table16[Id_OverTime])</f>
        <v>OT002</v>
      </c>
      <c r="AK1466" t="s">
        <v>33</v>
      </c>
      <c r="AL1466">
        <v>18</v>
      </c>
      <c r="AM1466" t="str">
        <f>_xlfn.XLOOKUP(Table1[[#This Row],[PerformanceRating]],Table17[PerformanceRating],Table17[Id_PerformanceRating])</f>
        <v>PR003</v>
      </c>
      <c r="AN1466">
        <v>3</v>
      </c>
      <c r="AO1466" t="str">
        <f>_xlfn.XLOOKUP(Table1[[#This Row],[PerformanceRating]],Table17[PerformanceRating],Table17[Deskripsi])</f>
        <v>Excellent</v>
      </c>
      <c r="AP1466" t="str">
        <f>_xlfn.XLOOKUP(Table1[[#This Row],[RelationshipSatisfaction]],Table18[RelationshipSatisfaction],Table18[Id_RelationshipSatisfaction])</f>
        <v>RS004</v>
      </c>
      <c r="AQ1466">
        <v>4</v>
      </c>
      <c r="AR1466" t="str">
        <f>_xlfn.XLOOKUP(Table1[[#This Row],[RelationshipSatisfaction]],Table18[RelationshipSatisfaction],Table18[Deskripsi])</f>
        <v>Very High</v>
      </c>
      <c r="AS1466" t="str">
        <f>_xlfn.XLOOKUP(Table1[[#This Row],[StockOptionLevel]],Table19[StockOptionLevel],Table19[Id_StockOptionLevel])</f>
        <v>SOL001</v>
      </c>
      <c r="AT1466">
        <v>0</v>
      </c>
      <c r="AU1466" t="str">
        <f>_xlfn.XLOOKUP(Table1[[#This Row],[StockOptionLevel]],Table19[StockOptionLevel],Table19[Deskripsi])</f>
        <v>Non-Eligible</v>
      </c>
      <c r="AV1466">
        <v>5</v>
      </c>
      <c r="AW1466">
        <v>2</v>
      </c>
      <c r="AX1466" t="str">
        <f>_xlfn.XLOOKUP(Table1[[#This Row],[WorkLifeBalance]],Table20[WorkLifeBalance],Table20[Id_WorkLifeBalance])</f>
        <v>WLB002</v>
      </c>
      <c r="AY1466">
        <v>3</v>
      </c>
      <c r="AZ1466" t="str">
        <f>_xlfn.XLOOKUP(Table1[[#This Row],[WorkLifeBalance]],Table20[WorkLifeBalance],Table20[Deskripsi])</f>
        <v>Good</v>
      </c>
      <c r="BA1466">
        <v>4</v>
      </c>
      <c r="BB1466">
        <v>2</v>
      </c>
      <c r="BC1466">
        <v>0</v>
      </c>
      <c r="BD1466">
        <v>0</v>
      </c>
    </row>
    <row r="1467" spans="1:56" x14ac:dyDescent="0.25">
      <c r="A1467">
        <v>36</v>
      </c>
      <c r="B1467" t="str">
        <f>_xlfn.XLOOKUP(Table1[[#This Row],[Attrition]],Table2[Attrition],Table2[Id_Attrition])</f>
        <v>A002</v>
      </c>
      <c r="C1467" t="s">
        <v>33</v>
      </c>
      <c r="D1467" t="str">
        <f>_xlfn.XLOOKUP(Table1[[#This Row],[BusinessTravel]],Table5[BusinessTravel],Table5[Id_BusinessTravel])</f>
        <v>BS002</v>
      </c>
      <c r="E1467" t="s">
        <v>35</v>
      </c>
      <c r="F1467">
        <v>884</v>
      </c>
      <c r="G1467" t="str">
        <f>_xlfn.XLOOKUP(Table1[[#This Row],[Department]],Table6[Department],Table6[Id_Departement])</f>
        <v>D002</v>
      </c>
      <c r="H1467" t="s">
        <v>38</v>
      </c>
      <c r="I1467">
        <v>23</v>
      </c>
      <c r="J1467" t="str">
        <f>_xlfn.XLOOKUP(Table1[[#This Row],[Education]],Table8[Education],Table8[Id_Education])</f>
        <v>E002</v>
      </c>
      <c r="K1467">
        <v>2</v>
      </c>
      <c r="L1467" t="str">
        <f>_xlfn.XLOOKUP(Table1[[#This Row],[EducationField]],Table7[EducationField],Table7[Id_EducationField])</f>
        <v>EF003</v>
      </c>
      <c r="M1467" t="s">
        <v>42</v>
      </c>
      <c r="N1467" t="str">
        <f>_xlfn.XLOOKUP(Table1[[#This Row],[EmployeeNumber]],Table4[EmployeeNumber],Table4[Id_Employee])</f>
        <v>EMP01466</v>
      </c>
      <c r="O1467">
        <v>2061</v>
      </c>
      <c r="P1467" t="str">
        <f>_xlfn.XLOOKUP(Table1[[#This Row],[EnvironmentSatisfaction]],Table9[EnvironmentSatisfaction],Table9[Id_EnviromentSatisfaction])</f>
        <v>ES003</v>
      </c>
      <c r="Q1467">
        <v>3</v>
      </c>
      <c r="R1467" t="str">
        <f>_xlfn.XLOOKUP(Table1[[#This Row],[EnvironmentSatisfaction]],Table9[EnvironmentSatisfaction],Table9[Deskripsi])</f>
        <v>High</v>
      </c>
      <c r="S1467" t="str">
        <f>_xlfn.XLOOKUP(Table1[[#This Row],[Gender]],Table10[Gender],Table10[Id_Gender])</f>
        <v>G002</v>
      </c>
      <c r="T1467" t="s">
        <v>46</v>
      </c>
      <c r="U1467">
        <v>41</v>
      </c>
      <c r="V1467" t="str">
        <f>_xlfn.XLOOKUP(Table1[[#This Row],[JobInvolvement]],Table11[JobInvolvement],Table11[Id_JobInvolvement])</f>
        <v>JI004</v>
      </c>
      <c r="W1467">
        <v>4</v>
      </c>
      <c r="X1467" t="str">
        <f>_xlfn.XLOOKUP(Table1[[#This Row],[JobLevel]],Table12[JobLevel],Table12[Id_JobLevel])</f>
        <v>JL002</v>
      </c>
      <c r="Y1467">
        <v>2</v>
      </c>
      <c r="Z1467" t="str">
        <f>_xlfn.XLOOKUP(Table1[[#This Row],[JobRole]],Table13[JobRole],Table13[Id_JobRole])</f>
        <v>JR003</v>
      </c>
      <c r="AA1467" t="s">
        <v>49</v>
      </c>
      <c r="AB1467" t="str">
        <f>_xlfn.XLOOKUP(Table1[[#This Row],[JobSatisfaction]],Table14[JobSatisfaction],Table14[Id_JobSatisfaction])</f>
        <v>JS004</v>
      </c>
      <c r="AC1467">
        <v>4</v>
      </c>
      <c r="AD1467" t="str">
        <f>_xlfn.XLOOKUP(Table1[[#This Row],[JobSatisfaction]],Table14[JobSatisfaction],Table14[Deskripsi])</f>
        <v>Very High</v>
      </c>
      <c r="AE1467" t="str">
        <f>_xlfn.XLOOKUP(Table1[[#This Row],[MaritalStatus]],Table15[MaritalStatus],Table15[Id_MaritalStatus])</f>
        <v>MS002</v>
      </c>
      <c r="AF1467" t="s">
        <v>56</v>
      </c>
      <c r="AG1467">
        <v>2571</v>
      </c>
      <c r="AH1467">
        <v>12290</v>
      </c>
      <c r="AI1467">
        <v>4</v>
      </c>
      <c r="AJ1467" t="str">
        <f>_xlfn.XLOOKUP(Table1[[#This Row],[OverTime]],Table16[OverTime],Table16[Id_OverTime])</f>
        <v>OT002</v>
      </c>
      <c r="AK1467" t="s">
        <v>33</v>
      </c>
      <c r="AL1467">
        <v>17</v>
      </c>
      <c r="AM1467" t="str">
        <f>_xlfn.XLOOKUP(Table1[[#This Row],[PerformanceRating]],Table17[PerformanceRating],Table17[Id_PerformanceRating])</f>
        <v>PR003</v>
      </c>
      <c r="AN1467">
        <v>3</v>
      </c>
      <c r="AO1467" t="str">
        <f>_xlfn.XLOOKUP(Table1[[#This Row],[PerformanceRating]],Table17[PerformanceRating],Table17[Deskripsi])</f>
        <v>Excellent</v>
      </c>
      <c r="AP1467" t="str">
        <f>_xlfn.XLOOKUP(Table1[[#This Row],[RelationshipSatisfaction]],Table18[RelationshipSatisfaction],Table18[Id_RelationshipSatisfaction])</f>
        <v>RS003</v>
      </c>
      <c r="AQ1467">
        <v>3</v>
      </c>
      <c r="AR1467" t="str">
        <f>_xlfn.XLOOKUP(Table1[[#This Row],[RelationshipSatisfaction]],Table18[RelationshipSatisfaction],Table18[Deskripsi])</f>
        <v>High</v>
      </c>
      <c r="AS1467" t="str">
        <f>_xlfn.XLOOKUP(Table1[[#This Row],[StockOptionLevel]],Table19[StockOptionLevel],Table19[Id_StockOptionLevel])</f>
        <v>SOL002</v>
      </c>
      <c r="AT1467">
        <v>1</v>
      </c>
      <c r="AU1467" t="str">
        <f>_xlfn.XLOOKUP(Table1[[#This Row],[StockOptionLevel]],Table19[StockOptionLevel],Table19[Deskripsi])</f>
        <v>Standard</v>
      </c>
      <c r="AV1467">
        <v>17</v>
      </c>
      <c r="AW1467">
        <v>3</v>
      </c>
      <c r="AX1467" t="str">
        <f>_xlfn.XLOOKUP(Table1[[#This Row],[WorkLifeBalance]],Table20[WorkLifeBalance],Table20[Id_WorkLifeBalance])</f>
        <v>WLB002</v>
      </c>
      <c r="AY1467">
        <v>3</v>
      </c>
      <c r="AZ1467" t="str">
        <f>_xlfn.XLOOKUP(Table1[[#This Row],[WorkLifeBalance]],Table20[WorkLifeBalance],Table20[Deskripsi])</f>
        <v>Good</v>
      </c>
      <c r="BA1467">
        <v>5</v>
      </c>
      <c r="BB1467">
        <v>2</v>
      </c>
      <c r="BC1467">
        <v>0</v>
      </c>
      <c r="BD1467">
        <v>3</v>
      </c>
    </row>
    <row r="1468" spans="1:56" x14ac:dyDescent="0.25">
      <c r="A1468">
        <v>39</v>
      </c>
      <c r="B1468" t="str">
        <f>_xlfn.XLOOKUP(Table1[[#This Row],[Attrition]],Table2[Attrition],Table2[Id_Attrition])</f>
        <v>A002</v>
      </c>
      <c r="C1468" t="s">
        <v>33</v>
      </c>
      <c r="D1468" t="str">
        <f>_xlfn.XLOOKUP(Table1[[#This Row],[BusinessTravel]],Table5[BusinessTravel],Table5[Id_BusinessTravel])</f>
        <v>BS001</v>
      </c>
      <c r="E1468" t="s">
        <v>34</v>
      </c>
      <c r="F1468">
        <v>613</v>
      </c>
      <c r="G1468" t="str">
        <f>_xlfn.XLOOKUP(Table1[[#This Row],[Department]],Table6[Department],Table6[Id_Departement])</f>
        <v>D002</v>
      </c>
      <c r="H1468" t="s">
        <v>38</v>
      </c>
      <c r="I1468">
        <v>6</v>
      </c>
      <c r="J1468" t="str">
        <f>_xlfn.XLOOKUP(Table1[[#This Row],[Education]],Table8[Education],Table8[Id_Education])</f>
        <v>E001</v>
      </c>
      <c r="K1468">
        <v>1</v>
      </c>
      <c r="L1468" t="str">
        <f>_xlfn.XLOOKUP(Table1[[#This Row],[EducationField]],Table7[EducationField],Table7[Id_EducationField])</f>
        <v>EF003</v>
      </c>
      <c r="M1468" t="s">
        <v>42</v>
      </c>
      <c r="N1468" t="str">
        <f>_xlfn.XLOOKUP(Table1[[#This Row],[EmployeeNumber]],Table4[EmployeeNumber],Table4[Id_Employee])</f>
        <v>EMP01467</v>
      </c>
      <c r="O1468">
        <v>2062</v>
      </c>
      <c r="P1468" t="str">
        <f>_xlfn.XLOOKUP(Table1[[#This Row],[EnvironmentSatisfaction]],Table9[EnvironmentSatisfaction],Table9[Id_EnviromentSatisfaction])</f>
        <v>ES004</v>
      </c>
      <c r="Q1468">
        <v>4</v>
      </c>
      <c r="R1468" t="str">
        <f>_xlfn.XLOOKUP(Table1[[#This Row],[EnvironmentSatisfaction]],Table9[EnvironmentSatisfaction],Table9[Deskripsi])</f>
        <v>Very High</v>
      </c>
      <c r="S1468" t="str">
        <f>_xlfn.XLOOKUP(Table1[[#This Row],[Gender]],Table10[Gender],Table10[Id_Gender])</f>
        <v>G002</v>
      </c>
      <c r="T1468" t="s">
        <v>46</v>
      </c>
      <c r="U1468">
        <v>42</v>
      </c>
      <c r="V1468" t="str">
        <f>_xlfn.XLOOKUP(Table1[[#This Row],[JobInvolvement]],Table11[JobInvolvement],Table11[Id_JobInvolvement])</f>
        <v>JI002</v>
      </c>
      <c r="W1468">
        <v>2</v>
      </c>
      <c r="X1468" t="str">
        <f>_xlfn.XLOOKUP(Table1[[#This Row],[JobLevel]],Table12[JobLevel],Table12[Id_JobLevel])</f>
        <v>JL003</v>
      </c>
      <c r="Y1468">
        <v>3</v>
      </c>
      <c r="Z1468" t="str">
        <f>_xlfn.XLOOKUP(Table1[[#This Row],[JobRole]],Table13[JobRole],Table13[Id_JobRole])</f>
        <v>JR005</v>
      </c>
      <c r="AA1468" t="s">
        <v>51</v>
      </c>
      <c r="AB1468" t="str">
        <f>_xlfn.XLOOKUP(Table1[[#This Row],[JobSatisfaction]],Table14[JobSatisfaction],Table14[Id_JobSatisfaction])</f>
        <v>JS001</v>
      </c>
      <c r="AC1468">
        <v>1</v>
      </c>
      <c r="AD1468" t="str">
        <f>_xlfn.XLOOKUP(Table1[[#This Row],[JobSatisfaction]],Table14[JobSatisfaction],Table14[Deskripsi])</f>
        <v>Low</v>
      </c>
      <c r="AE1468" t="str">
        <f>_xlfn.XLOOKUP(Table1[[#This Row],[MaritalStatus]],Table15[MaritalStatus],Table15[Id_MaritalStatus])</f>
        <v>MS002</v>
      </c>
      <c r="AF1468" t="s">
        <v>56</v>
      </c>
      <c r="AG1468">
        <v>9991</v>
      </c>
      <c r="AH1468">
        <v>21457</v>
      </c>
      <c r="AI1468">
        <v>4</v>
      </c>
      <c r="AJ1468" t="str">
        <f>_xlfn.XLOOKUP(Table1[[#This Row],[OverTime]],Table16[OverTime],Table16[Id_OverTime])</f>
        <v>OT002</v>
      </c>
      <c r="AK1468" t="s">
        <v>33</v>
      </c>
      <c r="AL1468">
        <v>15</v>
      </c>
      <c r="AM1468" t="str">
        <f>_xlfn.XLOOKUP(Table1[[#This Row],[PerformanceRating]],Table17[PerformanceRating],Table17[Id_PerformanceRating])</f>
        <v>PR003</v>
      </c>
      <c r="AN1468">
        <v>3</v>
      </c>
      <c r="AO1468" t="str">
        <f>_xlfn.XLOOKUP(Table1[[#This Row],[PerformanceRating]],Table17[PerformanceRating],Table17[Deskripsi])</f>
        <v>Excellent</v>
      </c>
      <c r="AP1468" t="str">
        <f>_xlfn.XLOOKUP(Table1[[#This Row],[RelationshipSatisfaction]],Table18[RelationshipSatisfaction],Table18[Id_RelationshipSatisfaction])</f>
        <v>RS001</v>
      </c>
      <c r="AQ1468">
        <v>1</v>
      </c>
      <c r="AR1468" t="str">
        <f>_xlfn.XLOOKUP(Table1[[#This Row],[RelationshipSatisfaction]],Table18[RelationshipSatisfaction],Table18[Deskripsi])</f>
        <v>Low</v>
      </c>
      <c r="AS1468" t="str">
        <f>_xlfn.XLOOKUP(Table1[[#This Row],[StockOptionLevel]],Table19[StockOptionLevel],Table19[Id_StockOptionLevel])</f>
        <v>SOL002</v>
      </c>
      <c r="AT1468">
        <v>1</v>
      </c>
      <c r="AU1468" t="str">
        <f>_xlfn.XLOOKUP(Table1[[#This Row],[StockOptionLevel]],Table19[StockOptionLevel],Table19[Deskripsi])</f>
        <v>Standard</v>
      </c>
      <c r="AV1468">
        <v>9</v>
      </c>
      <c r="AW1468">
        <v>5</v>
      </c>
      <c r="AX1468" t="str">
        <f>_xlfn.XLOOKUP(Table1[[#This Row],[WorkLifeBalance]],Table20[WorkLifeBalance],Table20[Id_WorkLifeBalance])</f>
        <v>WLB002</v>
      </c>
      <c r="AY1468">
        <v>3</v>
      </c>
      <c r="AZ1468" t="str">
        <f>_xlfn.XLOOKUP(Table1[[#This Row],[WorkLifeBalance]],Table20[WorkLifeBalance],Table20[Deskripsi])</f>
        <v>Good</v>
      </c>
      <c r="BA1468">
        <v>7</v>
      </c>
      <c r="BB1468">
        <v>7</v>
      </c>
      <c r="BC1468">
        <v>1</v>
      </c>
      <c r="BD1468">
        <v>7</v>
      </c>
    </row>
    <row r="1469" spans="1:56" x14ac:dyDescent="0.25">
      <c r="A1469">
        <v>27</v>
      </c>
      <c r="B1469" t="str">
        <f>_xlfn.XLOOKUP(Table1[[#This Row],[Attrition]],Table2[Attrition],Table2[Id_Attrition])</f>
        <v>A002</v>
      </c>
      <c r="C1469" t="s">
        <v>33</v>
      </c>
      <c r="D1469" t="str">
        <f>_xlfn.XLOOKUP(Table1[[#This Row],[BusinessTravel]],Table5[BusinessTravel],Table5[Id_BusinessTravel])</f>
        <v>BS001</v>
      </c>
      <c r="E1469" t="s">
        <v>34</v>
      </c>
      <c r="F1469">
        <v>155</v>
      </c>
      <c r="G1469" t="str">
        <f>_xlfn.XLOOKUP(Table1[[#This Row],[Department]],Table6[Department],Table6[Id_Departement])</f>
        <v>D002</v>
      </c>
      <c r="H1469" t="s">
        <v>38</v>
      </c>
      <c r="I1469">
        <v>4</v>
      </c>
      <c r="J1469" t="str">
        <f>_xlfn.XLOOKUP(Table1[[#This Row],[Education]],Table8[Education],Table8[Id_Education])</f>
        <v>E003</v>
      </c>
      <c r="K1469">
        <v>3</v>
      </c>
      <c r="L1469" t="str">
        <f>_xlfn.XLOOKUP(Table1[[#This Row],[EducationField]],Table7[EducationField],Table7[Id_EducationField])</f>
        <v>EF001</v>
      </c>
      <c r="M1469" t="s">
        <v>40</v>
      </c>
      <c r="N1469" t="str">
        <f>_xlfn.XLOOKUP(Table1[[#This Row],[EmployeeNumber]],Table4[EmployeeNumber],Table4[Id_Employee])</f>
        <v>EMP01468</v>
      </c>
      <c r="O1469">
        <v>2064</v>
      </c>
      <c r="P1469" t="str">
        <f>_xlfn.XLOOKUP(Table1[[#This Row],[EnvironmentSatisfaction]],Table9[EnvironmentSatisfaction],Table9[Id_EnviromentSatisfaction])</f>
        <v>ES002</v>
      </c>
      <c r="Q1469">
        <v>2</v>
      </c>
      <c r="R1469" t="str">
        <f>_xlfn.XLOOKUP(Table1[[#This Row],[EnvironmentSatisfaction]],Table9[EnvironmentSatisfaction],Table9[Deskripsi])</f>
        <v>Medium</v>
      </c>
      <c r="S1469" t="str">
        <f>_xlfn.XLOOKUP(Table1[[#This Row],[Gender]],Table10[Gender],Table10[Id_Gender])</f>
        <v>G002</v>
      </c>
      <c r="T1469" t="s">
        <v>46</v>
      </c>
      <c r="U1469">
        <v>87</v>
      </c>
      <c r="V1469" t="str">
        <f>_xlfn.XLOOKUP(Table1[[#This Row],[JobInvolvement]],Table11[JobInvolvement],Table11[Id_JobInvolvement])</f>
        <v>JI004</v>
      </c>
      <c r="W1469">
        <v>4</v>
      </c>
      <c r="X1469" t="str">
        <f>_xlfn.XLOOKUP(Table1[[#This Row],[JobLevel]],Table12[JobLevel],Table12[Id_JobLevel])</f>
        <v>JL002</v>
      </c>
      <c r="Y1469">
        <v>2</v>
      </c>
      <c r="Z1469" t="str">
        <f>_xlfn.XLOOKUP(Table1[[#This Row],[JobRole]],Table13[JobRole],Table13[Id_JobRole])</f>
        <v>JR004</v>
      </c>
      <c r="AA1469" t="s">
        <v>50</v>
      </c>
      <c r="AB1469" t="str">
        <f>_xlfn.XLOOKUP(Table1[[#This Row],[JobSatisfaction]],Table14[JobSatisfaction],Table14[Id_JobSatisfaction])</f>
        <v>JS002</v>
      </c>
      <c r="AC1469">
        <v>2</v>
      </c>
      <c r="AD1469" t="str">
        <f>_xlfn.XLOOKUP(Table1[[#This Row],[JobSatisfaction]],Table14[JobSatisfaction],Table14[Deskripsi])</f>
        <v>Medium</v>
      </c>
      <c r="AE1469" t="str">
        <f>_xlfn.XLOOKUP(Table1[[#This Row],[MaritalStatus]],Table15[MaritalStatus],Table15[Id_MaritalStatus])</f>
        <v>MS002</v>
      </c>
      <c r="AF1469" t="s">
        <v>56</v>
      </c>
      <c r="AG1469">
        <v>6142</v>
      </c>
      <c r="AH1469">
        <v>5174</v>
      </c>
      <c r="AI1469">
        <v>1</v>
      </c>
      <c r="AJ1469" t="str">
        <f>_xlfn.XLOOKUP(Table1[[#This Row],[OverTime]],Table16[OverTime],Table16[Id_OverTime])</f>
        <v>OT001</v>
      </c>
      <c r="AK1469" t="s">
        <v>32</v>
      </c>
      <c r="AL1469">
        <v>20</v>
      </c>
      <c r="AM1469" t="str">
        <f>_xlfn.XLOOKUP(Table1[[#This Row],[PerformanceRating]],Table17[PerformanceRating],Table17[Id_PerformanceRating])</f>
        <v>PR004</v>
      </c>
      <c r="AN1469">
        <v>4</v>
      </c>
      <c r="AO1469" t="str">
        <f>_xlfn.XLOOKUP(Table1[[#This Row],[PerformanceRating]],Table17[PerformanceRating],Table17[Deskripsi])</f>
        <v>Outstanding</v>
      </c>
      <c r="AP1469" t="str">
        <f>_xlfn.XLOOKUP(Table1[[#This Row],[RelationshipSatisfaction]],Table18[RelationshipSatisfaction],Table18[Id_RelationshipSatisfaction])</f>
        <v>RS002</v>
      </c>
      <c r="AQ1469">
        <v>2</v>
      </c>
      <c r="AR1469" t="str">
        <f>_xlfn.XLOOKUP(Table1[[#This Row],[RelationshipSatisfaction]],Table18[RelationshipSatisfaction],Table18[Deskripsi])</f>
        <v>Medium</v>
      </c>
      <c r="AS1469" t="str">
        <f>_xlfn.XLOOKUP(Table1[[#This Row],[StockOptionLevel]],Table19[StockOptionLevel],Table19[Id_StockOptionLevel])</f>
        <v>SOL002</v>
      </c>
      <c r="AT1469">
        <v>1</v>
      </c>
      <c r="AU1469" t="str">
        <f>_xlfn.XLOOKUP(Table1[[#This Row],[StockOptionLevel]],Table19[StockOptionLevel],Table19[Deskripsi])</f>
        <v>Standard</v>
      </c>
      <c r="AV1469">
        <v>6</v>
      </c>
      <c r="AW1469">
        <v>0</v>
      </c>
      <c r="AX1469" t="str">
        <f>_xlfn.XLOOKUP(Table1[[#This Row],[WorkLifeBalance]],Table20[WorkLifeBalance],Table20[Id_WorkLifeBalance])</f>
        <v>WLB002</v>
      </c>
      <c r="AY1469">
        <v>3</v>
      </c>
      <c r="AZ1469" t="str">
        <f>_xlfn.XLOOKUP(Table1[[#This Row],[WorkLifeBalance]],Table20[WorkLifeBalance],Table20[Deskripsi])</f>
        <v>Good</v>
      </c>
      <c r="BA1469">
        <v>6</v>
      </c>
      <c r="BB1469">
        <v>2</v>
      </c>
      <c r="BC1469">
        <v>0</v>
      </c>
      <c r="BD1469">
        <v>3</v>
      </c>
    </row>
    <row r="1470" spans="1:56" x14ac:dyDescent="0.25">
      <c r="A1470">
        <v>49</v>
      </c>
      <c r="B1470" t="str">
        <f>_xlfn.XLOOKUP(Table1[[#This Row],[Attrition]],Table2[Attrition],Table2[Id_Attrition])</f>
        <v>A002</v>
      </c>
      <c r="C1470" t="s">
        <v>33</v>
      </c>
      <c r="D1470" t="str">
        <f>_xlfn.XLOOKUP(Table1[[#This Row],[BusinessTravel]],Table5[BusinessTravel],Table5[Id_BusinessTravel])</f>
        <v>BS002</v>
      </c>
      <c r="E1470" t="s">
        <v>35</v>
      </c>
      <c r="F1470">
        <v>1023</v>
      </c>
      <c r="G1470" t="str">
        <f>_xlfn.XLOOKUP(Table1[[#This Row],[Department]],Table6[Department],Table6[Id_Departement])</f>
        <v>D001</v>
      </c>
      <c r="H1470" t="s">
        <v>37</v>
      </c>
      <c r="I1470">
        <v>2</v>
      </c>
      <c r="J1470" t="str">
        <f>_xlfn.XLOOKUP(Table1[[#This Row],[Education]],Table8[Education],Table8[Id_Education])</f>
        <v>E003</v>
      </c>
      <c r="K1470">
        <v>3</v>
      </c>
      <c r="L1470" t="str">
        <f>_xlfn.XLOOKUP(Table1[[#This Row],[EducationField]],Table7[EducationField],Table7[Id_EducationField])</f>
        <v>EF003</v>
      </c>
      <c r="M1470" t="s">
        <v>42</v>
      </c>
      <c r="N1470" t="str">
        <f>_xlfn.XLOOKUP(Table1[[#This Row],[EmployeeNumber]],Table4[EmployeeNumber],Table4[Id_Employee])</f>
        <v>EMP01469</v>
      </c>
      <c r="O1470">
        <v>2065</v>
      </c>
      <c r="P1470" t="str">
        <f>_xlfn.XLOOKUP(Table1[[#This Row],[EnvironmentSatisfaction]],Table9[EnvironmentSatisfaction],Table9[Id_EnviromentSatisfaction])</f>
        <v>ES004</v>
      </c>
      <c r="Q1470">
        <v>4</v>
      </c>
      <c r="R1470" t="str">
        <f>_xlfn.XLOOKUP(Table1[[#This Row],[EnvironmentSatisfaction]],Table9[EnvironmentSatisfaction],Table9[Deskripsi])</f>
        <v>Very High</v>
      </c>
      <c r="S1470" t="str">
        <f>_xlfn.XLOOKUP(Table1[[#This Row],[Gender]],Table10[Gender],Table10[Id_Gender])</f>
        <v>G002</v>
      </c>
      <c r="T1470" t="s">
        <v>46</v>
      </c>
      <c r="U1470">
        <v>63</v>
      </c>
      <c r="V1470" t="str">
        <f>_xlfn.XLOOKUP(Table1[[#This Row],[JobInvolvement]],Table11[JobInvolvement],Table11[Id_JobInvolvement])</f>
        <v>JI002</v>
      </c>
      <c r="W1470">
        <v>2</v>
      </c>
      <c r="X1470" t="str">
        <f>_xlfn.XLOOKUP(Table1[[#This Row],[JobLevel]],Table12[JobLevel],Table12[Id_JobLevel])</f>
        <v>JL002</v>
      </c>
      <c r="Y1470">
        <v>2</v>
      </c>
      <c r="Z1470" t="str">
        <f>_xlfn.XLOOKUP(Table1[[#This Row],[JobRole]],Table13[JobRole],Table13[Id_JobRole])</f>
        <v>JR001</v>
      </c>
      <c r="AA1470" t="s">
        <v>47</v>
      </c>
      <c r="AB1470" t="str">
        <f>_xlfn.XLOOKUP(Table1[[#This Row],[JobSatisfaction]],Table14[JobSatisfaction],Table14[Id_JobSatisfaction])</f>
        <v>JS002</v>
      </c>
      <c r="AC1470">
        <v>2</v>
      </c>
      <c r="AD1470" t="str">
        <f>_xlfn.XLOOKUP(Table1[[#This Row],[JobSatisfaction]],Table14[JobSatisfaction],Table14[Deskripsi])</f>
        <v>Medium</v>
      </c>
      <c r="AE1470" t="str">
        <f>_xlfn.XLOOKUP(Table1[[#This Row],[MaritalStatus]],Table15[MaritalStatus],Table15[Id_MaritalStatus])</f>
        <v>MS002</v>
      </c>
      <c r="AF1470" t="s">
        <v>56</v>
      </c>
      <c r="AG1470">
        <v>5390</v>
      </c>
      <c r="AH1470">
        <v>13243</v>
      </c>
      <c r="AI1470">
        <v>2</v>
      </c>
      <c r="AJ1470" t="str">
        <f>_xlfn.XLOOKUP(Table1[[#This Row],[OverTime]],Table16[OverTime],Table16[Id_OverTime])</f>
        <v>OT002</v>
      </c>
      <c r="AK1470" t="s">
        <v>33</v>
      </c>
      <c r="AL1470">
        <v>14</v>
      </c>
      <c r="AM1470" t="str">
        <f>_xlfn.XLOOKUP(Table1[[#This Row],[PerformanceRating]],Table17[PerformanceRating],Table17[Id_PerformanceRating])</f>
        <v>PR003</v>
      </c>
      <c r="AN1470">
        <v>3</v>
      </c>
      <c r="AO1470" t="str">
        <f>_xlfn.XLOOKUP(Table1[[#This Row],[PerformanceRating]],Table17[PerformanceRating],Table17[Deskripsi])</f>
        <v>Excellent</v>
      </c>
      <c r="AP1470" t="str">
        <f>_xlfn.XLOOKUP(Table1[[#This Row],[RelationshipSatisfaction]],Table18[RelationshipSatisfaction],Table18[Id_RelationshipSatisfaction])</f>
        <v>RS004</v>
      </c>
      <c r="AQ1470">
        <v>4</v>
      </c>
      <c r="AR1470" t="str">
        <f>_xlfn.XLOOKUP(Table1[[#This Row],[RelationshipSatisfaction]],Table18[RelationshipSatisfaction],Table18[Deskripsi])</f>
        <v>Very High</v>
      </c>
      <c r="AS1470" t="str">
        <f>_xlfn.XLOOKUP(Table1[[#This Row],[StockOptionLevel]],Table19[StockOptionLevel],Table19[Id_StockOptionLevel])</f>
        <v>SOL001</v>
      </c>
      <c r="AT1470">
        <v>0</v>
      </c>
      <c r="AU1470" t="str">
        <f>_xlfn.XLOOKUP(Table1[[#This Row],[StockOptionLevel]],Table19[StockOptionLevel],Table19[Deskripsi])</f>
        <v>Non-Eligible</v>
      </c>
      <c r="AV1470">
        <v>17</v>
      </c>
      <c r="AW1470">
        <v>3</v>
      </c>
      <c r="AX1470" t="str">
        <f>_xlfn.XLOOKUP(Table1[[#This Row],[WorkLifeBalance]],Table20[WorkLifeBalance],Table20[Id_WorkLifeBalance])</f>
        <v>WLB003</v>
      </c>
      <c r="AY1470">
        <v>2</v>
      </c>
      <c r="AZ1470" t="str">
        <f>_xlfn.XLOOKUP(Table1[[#This Row],[WorkLifeBalance]],Table20[WorkLifeBalance],Table20[Deskripsi])</f>
        <v>Better</v>
      </c>
      <c r="BA1470">
        <v>9</v>
      </c>
      <c r="BB1470">
        <v>6</v>
      </c>
      <c r="BC1470">
        <v>0</v>
      </c>
      <c r="BD1470">
        <v>8</v>
      </c>
    </row>
    <row r="1471" spans="1:56" x14ac:dyDescent="0.25">
      <c r="A1471">
        <v>34</v>
      </c>
      <c r="B1471" t="str">
        <f>_xlfn.XLOOKUP(Table1[[#This Row],[Attrition]],Table2[Attrition],Table2[Id_Attrition])</f>
        <v>A002</v>
      </c>
      <c r="C1471" t="s">
        <v>33</v>
      </c>
      <c r="D1471" t="str">
        <f>_xlfn.XLOOKUP(Table1[[#This Row],[BusinessTravel]],Table5[BusinessTravel],Table5[Id_BusinessTravel])</f>
        <v>BS001</v>
      </c>
      <c r="E1471" t="s">
        <v>34</v>
      </c>
      <c r="F1471">
        <v>628</v>
      </c>
      <c r="G1471" t="str">
        <f>_xlfn.XLOOKUP(Table1[[#This Row],[Department]],Table6[Department],Table6[Id_Departement])</f>
        <v>D002</v>
      </c>
      <c r="H1471" t="s">
        <v>38</v>
      </c>
      <c r="I1471">
        <v>8</v>
      </c>
      <c r="J1471" t="str">
        <f>_xlfn.XLOOKUP(Table1[[#This Row],[Education]],Table8[Education],Table8[Id_Education])</f>
        <v>E003</v>
      </c>
      <c r="K1471">
        <v>3</v>
      </c>
      <c r="L1471" t="str">
        <f>_xlfn.XLOOKUP(Table1[[#This Row],[EducationField]],Table7[EducationField],Table7[Id_EducationField])</f>
        <v>EF003</v>
      </c>
      <c r="M1471" t="s">
        <v>42</v>
      </c>
      <c r="N1471" t="str">
        <f>_xlfn.XLOOKUP(Table1[[#This Row],[EmployeeNumber]],Table4[EmployeeNumber],Table4[Id_Employee])</f>
        <v>EMP01470</v>
      </c>
      <c r="O1471">
        <v>2068</v>
      </c>
      <c r="P1471" t="str">
        <f>_xlfn.XLOOKUP(Table1[[#This Row],[EnvironmentSatisfaction]],Table9[EnvironmentSatisfaction],Table9[Id_EnviromentSatisfaction])</f>
        <v>ES002</v>
      </c>
      <c r="Q1471">
        <v>2</v>
      </c>
      <c r="R1471" t="str">
        <f>_xlfn.XLOOKUP(Table1[[#This Row],[EnvironmentSatisfaction]],Table9[EnvironmentSatisfaction],Table9[Deskripsi])</f>
        <v>Medium</v>
      </c>
      <c r="S1471" t="str">
        <f>_xlfn.XLOOKUP(Table1[[#This Row],[Gender]],Table10[Gender],Table10[Id_Gender])</f>
        <v>G002</v>
      </c>
      <c r="T1471" t="s">
        <v>46</v>
      </c>
      <c r="U1471">
        <v>82</v>
      </c>
      <c r="V1471" t="str">
        <f>_xlfn.XLOOKUP(Table1[[#This Row],[JobInvolvement]],Table11[JobInvolvement],Table11[Id_JobInvolvement])</f>
        <v>JI004</v>
      </c>
      <c r="W1471">
        <v>4</v>
      </c>
      <c r="X1471" t="str">
        <f>_xlfn.XLOOKUP(Table1[[#This Row],[JobLevel]],Table12[JobLevel],Table12[Id_JobLevel])</f>
        <v>JL002</v>
      </c>
      <c r="Y1471">
        <v>2</v>
      </c>
      <c r="Z1471" t="str">
        <f>_xlfn.XLOOKUP(Table1[[#This Row],[JobRole]],Table13[JobRole],Table13[Id_JobRole])</f>
        <v>JR003</v>
      </c>
      <c r="AA1471" t="s">
        <v>49</v>
      </c>
      <c r="AB1471" t="str">
        <f>_xlfn.XLOOKUP(Table1[[#This Row],[JobSatisfaction]],Table14[JobSatisfaction],Table14[Id_JobSatisfaction])</f>
        <v>JS003</v>
      </c>
      <c r="AC1471">
        <v>3</v>
      </c>
      <c r="AD1471" t="str">
        <f>_xlfn.XLOOKUP(Table1[[#This Row],[JobSatisfaction]],Table14[JobSatisfaction],Table14[Deskripsi])</f>
        <v>High</v>
      </c>
      <c r="AE1471" t="str">
        <f>_xlfn.XLOOKUP(Table1[[#This Row],[MaritalStatus]],Table15[MaritalStatus],Table15[Id_MaritalStatus])</f>
        <v>MS002</v>
      </c>
      <c r="AF1471" t="s">
        <v>56</v>
      </c>
      <c r="AG1471">
        <v>4404</v>
      </c>
      <c r="AH1471">
        <v>10228</v>
      </c>
      <c r="AI1471">
        <v>2</v>
      </c>
      <c r="AJ1471" t="str">
        <f>_xlfn.XLOOKUP(Table1[[#This Row],[OverTime]],Table16[OverTime],Table16[Id_OverTime])</f>
        <v>OT002</v>
      </c>
      <c r="AK1471" t="s">
        <v>33</v>
      </c>
      <c r="AL1471">
        <v>12</v>
      </c>
      <c r="AM1471" t="str">
        <f>_xlfn.XLOOKUP(Table1[[#This Row],[PerformanceRating]],Table17[PerformanceRating],Table17[Id_PerformanceRating])</f>
        <v>PR003</v>
      </c>
      <c r="AN1471">
        <v>3</v>
      </c>
      <c r="AO1471" t="str">
        <f>_xlfn.XLOOKUP(Table1[[#This Row],[PerformanceRating]],Table17[PerformanceRating],Table17[Deskripsi])</f>
        <v>Excellent</v>
      </c>
      <c r="AP1471" t="str">
        <f>_xlfn.XLOOKUP(Table1[[#This Row],[RelationshipSatisfaction]],Table18[RelationshipSatisfaction],Table18[Id_RelationshipSatisfaction])</f>
        <v>RS001</v>
      </c>
      <c r="AQ1471">
        <v>1</v>
      </c>
      <c r="AR1471" t="str">
        <f>_xlfn.XLOOKUP(Table1[[#This Row],[RelationshipSatisfaction]],Table18[RelationshipSatisfaction],Table18[Deskripsi])</f>
        <v>Low</v>
      </c>
      <c r="AS1471" t="str">
        <f>_xlfn.XLOOKUP(Table1[[#This Row],[StockOptionLevel]],Table19[StockOptionLevel],Table19[Id_StockOptionLevel])</f>
        <v>SOL001</v>
      </c>
      <c r="AT1471">
        <v>0</v>
      </c>
      <c r="AU1471" t="str">
        <f>_xlfn.XLOOKUP(Table1[[#This Row],[StockOptionLevel]],Table19[StockOptionLevel],Table19[Deskripsi])</f>
        <v>Non-Eligible</v>
      </c>
      <c r="AV1471">
        <v>6</v>
      </c>
      <c r="AW1471">
        <v>3</v>
      </c>
      <c r="AX1471" t="str">
        <f>_xlfn.XLOOKUP(Table1[[#This Row],[WorkLifeBalance]],Table20[WorkLifeBalance],Table20[Id_WorkLifeBalance])</f>
        <v>WLB004</v>
      </c>
      <c r="AY1471">
        <v>4</v>
      </c>
      <c r="AZ1471" t="str">
        <f>_xlfn.XLOOKUP(Table1[[#This Row],[WorkLifeBalance]],Table20[WorkLifeBalance],Table20[Deskripsi])</f>
        <v>Best</v>
      </c>
      <c r="BA1471">
        <v>4</v>
      </c>
      <c r="BB1471">
        <v>3</v>
      </c>
      <c r="BC1471">
        <v>1</v>
      </c>
      <c r="BD1471">
        <v>2</v>
      </c>
    </row>
  </sheetData>
  <conditionalFormatting sqref="O1:O1048576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0D6C-ED39-4757-8FE9-0EB3F005101C}">
  <dimension ref="A1:AF1471"/>
  <sheetViews>
    <sheetView topLeftCell="AA1" workbookViewId="0">
      <selection sqref="A1:AF1"/>
    </sheetView>
  </sheetViews>
  <sheetFormatPr defaultRowHeight="15" x14ac:dyDescent="0.25"/>
  <cols>
    <col min="1" max="1" width="14.7109375" customWidth="1"/>
    <col min="3" max="3" width="11.5703125" customWidth="1"/>
    <col min="4" max="4" width="20.5703125" customWidth="1"/>
    <col min="5" max="5" width="13" customWidth="1"/>
    <col min="6" max="6" width="17.28515625" customWidth="1"/>
    <col min="7" max="7" width="14.7109375" customWidth="1"/>
    <col min="8" max="8" width="24.42578125" customWidth="1"/>
    <col min="9" max="9" width="19.28515625" customWidth="1"/>
    <col min="10" max="10" width="20" customWidth="1"/>
    <col min="11" max="11" width="23" customWidth="1"/>
    <col min="12" max="12" width="18.28515625" customWidth="1"/>
    <col min="13" max="13" width="20.42578125" customWidth="1"/>
    <col min="14" max="14" width="25.5703125" customWidth="1"/>
    <col min="15" max="15" width="24" customWidth="1"/>
    <col min="16" max="16" width="13.42578125" customWidth="1"/>
    <col min="17" max="17" width="19" customWidth="1"/>
    <col min="18" max="18" width="17.7109375" customWidth="1"/>
    <col min="19" max="19" width="14.5703125" customWidth="1"/>
    <col min="20" max="20" width="19" customWidth="1"/>
    <col min="21" max="21" width="26.42578125" customWidth="1"/>
    <col min="22" max="22" width="12.5703125" customWidth="1"/>
    <col min="23" max="23" width="20.140625" customWidth="1"/>
    <col min="24" max="24" width="13.5703125" customWidth="1"/>
    <col min="25" max="25" width="12.85546875" customWidth="1"/>
    <col min="26" max="26" width="19.140625" customWidth="1"/>
    <col min="27" max="27" width="17.7109375" customWidth="1"/>
    <col min="28" max="28" width="14.5703125" customWidth="1"/>
    <col min="29" max="29" width="22.85546875" customWidth="1"/>
    <col min="30" max="30" width="27.28515625" customWidth="1"/>
    <col min="31" max="31" width="21.42578125" customWidth="1"/>
    <col min="32" max="32" width="20.85546875" customWidth="1"/>
  </cols>
  <sheetData>
    <row r="1" spans="1:32" x14ac:dyDescent="0.25">
      <c r="A1" t="s">
        <v>1529</v>
      </c>
      <c r="B1" t="s">
        <v>0</v>
      </c>
      <c r="C1" t="s">
        <v>3</v>
      </c>
      <c r="D1" t="s">
        <v>5</v>
      </c>
      <c r="E1" t="s">
        <v>11</v>
      </c>
      <c r="F1" t="s">
        <v>17</v>
      </c>
      <c r="G1" t="s">
        <v>18</v>
      </c>
      <c r="H1" t="s">
        <v>19</v>
      </c>
      <c r="I1" t="s">
        <v>21</v>
      </c>
      <c r="J1" t="s">
        <v>25</v>
      </c>
      <c r="K1" s="4" t="s">
        <v>26</v>
      </c>
      <c r="L1" t="s">
        <v>28</v>
      </c>
      <c r="M1" t="s">
        <v>29</v>
      </c>
      <c r="N1" t="s">
        <v>30</v>
      </c>
      <c r="O1" t="s">
        <v>31</v>
      </c>
      <c r="P1" t="s">
        <v>1629</v>
      </c>
      <c r="Q1" t="s">
        <v>58</v>
      </c>
      <c r="R1" t="s">
        <v>1530</v>
      </c>
      <c r="S1" t="s">
        <v>1531</v>
      </c>
      <c r="T1" t="s">
        <v>1537</v>
      </c>
      <c r="U1" t="s">
        <v>1544</v>
      </c>
      <c r="V1" t="s">
        <v>1557</v>
      </c>
      <c r="W1" t="s">
        <v>1560</v>
      </c>
      <c r="X1" t="s">
        <v>1574</v>
      </c>
      <c r="Y1" t="s">
        <v>1580</v>
      </c>
      <c r="Z1" t="s">
        <v>1590</v>
      </c>
      <c r="AA1" t="s">
        <v>1595</v>
      </c>
      <c r="AB1" t="s">
        <v>1599</v>
      </c>
      <c r="AC1" t="s">
        <v>1602</v>
      </c>
      <c r="AD1" t="s">
        <v>1603</v>
      </c>
      <c r="AE1" t="s">
        <v>1615</v>
      </c>
      <c r="AF1" t="s">
        <v>1624</v>
      </c>
    </row>
    <row r="2" spans="1:32" x14ac:dyDescent="0.25">
      <c r="A2" t="s">
        <v>59</v>
      </c>
      <c r="B2">
        <v>41</v>
      </c>
      <c r="C2">
        <v>1102</v>
      </c>
      <c r="D2">
        <v>1</v>
      </c>
      <c r="E2">
        <v>94</v>
      </c>
      <c r="F2">
        <v>5993</v>
      </c>
      <c r="G2">
        <v>19479</v>
      </c>
      <c r="H2">
        <v>8</v>
      </c>
      <c r="I2">
        <v>11</v>
      </c>
      <c r="J2">
        <v>8</v>
      </c>
      <c r="K2">
        <v>0</v>
      </c>
      <c r="L2">
        <v>6</v>
      </c>
      <c r="M2">
        <v>4</v>
      </c>
      <c r="N2">
        <v>0</v>
      </c>
      <c r="O2">
        <v>5</v>
      </c>
      <c r="P2" t="s">
        <v>1555</v>
      </c>
      <c r="Q2" t="s">
        <v>1552</v>
      </c>
      <c r="R2" t="s">
        <v>1549</v>
      </c>
      <c r="S2" t="s">
        <v>1533</v>
      </c>
      <c r="T2" t="s">
        <v>1538</v>
      </c>
      <c r="U2" t="s">
        <v>1546</v>
      </c>
      <c r="V2" t="s">
        <v>1558</v>
      </c>
      <c r="W2" t="s">
        <v>1563</v>
      </c>
      <c r="X2" t="s">
        <v>1576</v>
      </c>
      <c r="Y2" t="s">
        <v>1581</v>
      </c>
      <c r="Z2" t="s">
        <v>1594</v>
      </c>
      <c r="AA2" t="s">
        <v>1596</v>
      </c>
      <c r="AB2" t="s">
        <v>1600</v>
      </c>
      <c r="AC2" t="s">
        <v>1610</v>
      </c>
      <c r="AD2" t="s">
        <v>1604</v>
      </c>
      <c r="AE2" t="s">
        <v>1616</v>
      </c>
      <c r="AF2" t="s">
        <v>1625</v>
      </c>
    </row>
    <row r="3" spans="1:32" x14ac:dyDescent="0.25">
      <c r="A3" t="s">
        <v>60</v>
      </c>
      <c r="B3">
        <v>49</v>
      </c>
      <c r="C3">
        <v>279</v>
      </c>
      <c r="D3">
        <v>8</v>
      </c>
      <c r="E3">
        <v>61</v>
      </c>
      <c r="F3">
        <v>5130</v>
      </c>
      <c r="G3">
        <v>24907</v>
      </c>
      <c r="H3">
        <v>1</v>
      </c>
      <c r="I3">
        <v>23</v>
      </c>
      <c r="J3">
        <v>10</v>
      </c>
      <c r="K3">
        <v>3</v>
      </c>
      <c r="L3">
        <v>10</v>
      </c>
      <c r="M3">
        <v>7</v>
      </c>
      <c r="N3">
        <v>1</v>
      </c>
      <c r="O3">
        <v>7</v>
      </c>
      <c r="P3" t="s">
        <v>1556</v>
      </c>
      <c r="Q3" t="s">
        <v>1553</v>
      </c>
      <c r="R3" t="s">
        <v>1550</v>
      </c>
      <c r="S3" t="s">
        <v>1532</v>
      </c>
      <c r="T3" t="s">
        <v>1538</v>
      </c>
      <c r="U3" t="s">
        <v>1547</v>
      </c>
      <c r="V3" t="s">
        <v>1559</v>
      </c>
      <c r="W3" t="s">
        <v>1562</v>
      </c>
      <c r="X3" t="s">
        <v>1576</v>
      </c>
      <c r="Y3" t="s">
        <v>1582</v>
      </c>
      <c r="Z3" t="s">
        <v>1592</v>
      </c>
      <c r="AA3" t="s">
        <v>1597</v>
      </c>
      <c r="AB3" t="s">
        <v>1601</v>
      </c>
      <c r="AC3" t="s">
        <v>1611</v>
      </c>
      <c r="AD3" t="s">
        <v>1607</v>
      </c>
      <c r="AE3" t="s">
        <v>1617</v>
      </c>
      <c r="AF3" t="s">
        <v>1627</v>
      </c>
    </row>
    <row r="4" spans="1:32" x14ac:dyDescent="0.25">
      <c r="A4" t="s">
        <v>61</v>
      </c>
      <c r="B4">
        <v>37</v>
      </c>
      <c r="C4">
        <v>1373</v>
      </c>
      <c r="D4">
        <v>2</v>
      </c>
      <c r="E4">
        <v>92</v>
      </c>
      <c r="F4">
        <v>2090</v>
      </c>
      <c r="G4">
        <v>2396</v>
      </c>
      <c r="H4">
        <v>6</v>
      </c>
      <c r="I4">
        <v>15</v>
      </c>
      <c r="J4">
        <v>7</v>
      </c>
      <c r="K4">
        <v>3</v>
      </c>
      <c r="L4">
        <v>0</v>
      </c>
      <c r="M4">
        <v>0</v>
      </c>
      <c r="N4">
        <v>0</v>
      </c>
      <c r="O4">
        <v>0</v>
      </c>
      <c r="P4" t="s">
        <v>1555</v>
      </c>
      <c r="Q4" t="s">
        <v>1552</v>
      </c>
      <c r="R4" t="s">
        <v>1550</v>
      </c>
      <c r="S4" t="s">
        <v>1533</v>
      </c>
      <c r="T4" t="s">
        <v>1539</v>
      </c>
      <c r="U4" t="s">
        <v>1548</v>
      </c>
      <c r="V4" t="s">
        <v>1559</v>
      </c>
      <c r="W4" t="s">
        <v>1562</v>
      </c>
      <c r="X4" t="s">
        <v>1575</v>
      </c>
      <c r="Y4" t="s">
        <v>1583</v>
      </c>
      <c r="Z4" t="s">
        <v>1593</v>
      </c>
      <c r="AA4" t="s">
        <v>1596</v>
      </c>
      <c r="AB4" t="s">
        <v>1600</v>
      </c>
      <c r="AC4" t="s">
        <v>1610</v>
      </c>
      <c r="AD4" t="s">
        <v>1605</v>
      </c>
      <c r="AE4" t="s">
        <v>1616</v>
      </c>
      <c r="AF4" t="s">
        <v>1627</v>
      </c>
    </row>
    <row r="5" spans="1:32" x14ac:dyDescent="0.25">
      <c r="A5" t="s">
        <v>62</v>
      </c>
      <c r="B5">
        <v>33</v>
      </c>
      <c r="C5">
        <v>1392</v>
      </c>
      <c r="D5">
        <v>3</v>
      </c>
      <c r="E5">
        <v>56</v>
      </c>
      <c r="F5">
        <v>2909</v>
      </c>
      <c r="G5">
        <v>23159</v>
      </c>
      <c r="H5">
        <v>1</v>
      </c>
      <c r="I5">
        <v>11</v>
      </c>
      <c r="J5">
        <v>8</v>
      </c>
      <c r="K5">
        <v>3</v>
      </c>
      <c r="L5">
        <v>8</v>
      </c>
      <c r="M5">
        <v>7</v>
      </c>
      <c r="N5">
        <v>3</v>
      </c>
      <c r="O5">
        <v>0</v>
      </c>
      <c r="P5" t="s">
        <v>1556</v>
      </c>
      <c r="Q5" t="s">
        <v>1553</v>
      </c>
      <c r="R5" t="s">
        <v>1550</v>
      </c>
      <c r="S5" t="s">
        <v>1535</v>
      </c>
      <c r="T5" t="s">
        <v>1538</v>
      </c>
      <c r="U5" t="s">
        <v>1548</v>
      </c>
      <c r="V5" t="s">
        <v>1558</v>
      </c>
      <c r="W5" t="s">
        <v>1563</v>
      </c>
      <c r="X5" t="s">
        <v>1575</v>
      </c>
      <c r="Y5" t="s">
        <v>1582</v>
      </c>
      <c r="Z5" t="s">
        <v>1593</v>
      </c>
      <c r="AA5" t="s">
        <v>1597</v>
      </c>
      <c r="AB5" t="s">
        <v>1600</v>
      </c>
      <c r="AC5" t="s">
        <v>1610</v>
      </c>
      <c r="AD5" t="s">
        <v>1606</v>
      </c>
      <c r="AE5" t="s">
        <v>1616</v>
      </c>
      <c r="AF5" t="s">
        <v>1627</v>
      </c>
    </row>
    <row r="6" spans="1:32" x14ac:dyDescent="0.25">
      <c r="A6" t="s">
        <v>63</v>
      </c>
      <c r="B6">
        <v>27</v>
      </c>
      <c r="C6">
        <v>591</v>
      </c>
      <c r="D6">
        <v>2</v>
      </c>
      <c r="E6">
        <v>40</v>
      </c>
      <c r="F6">
        <v>3468</v>
      </c>
      <c r="G6">
        <v>16632</v>
      </c>
      <c r="H6">
        <v>9</v>
      </c>
      <c r="I6">
        <v>12</v>
      </c>
      <c r="J6">
        <v>6</v>
      </c>
      <c r="K6">
        <v>3</v>
      </c>
      <c r="L6">
        <v>2</v>
      </c>
      <c r="M6">
        <v>2</v>
      </c>
      <c r="N6">
        <v>2</v>
      </c>
      <c r="O6">
        <v>2</v>
      </c>
      <c r="P6" t="s">
        <v>1556</v>
      </c>
      <c r="Q6" t="s">
        <v>1552</v>
      </c>
      <c r="R6" t="s">
        <v>1550</v>
      </c>
      <c r="S6" t="s">
        <v>1532</v>
      </c>
      <c r="T6" t="s">
        <v>1540</v>
      </c>
      <c r="U6" t="s">
        <v>1545</v>
      </c>
      <c r="V6" t="s">
        <v>1559</v>
      </c>
      <c r="W6" t="s">
        <v>1563</v>
      </c>
      <c r="X6" t="s">
        <v>1575</v>
      </c>
      <c r="Y6" t="s">
        <v>1583</v>
      </c>
      <c r="Z6" t="s">
        <v>1592</v>
      </c>
      <c r="AA6" t="s">
        <v>1597</v>
      </c>
      <c r="AB6" t="s">
        <v>1601</v>
      </c>
      <c r="AC6" t="s">
        <v>1610</v>
      </c>
      <c r="AD6" t="s">
        <v>1607</v>
      </c>
      <c r="AE6" t="s">
        <v>1617</v>
      </c>
      <c r="AF6" t="s">
        <v>1627</v>
      </c>
    </row>
    <row r="7" spans="1:32" x14ac:dyDescent="0.25">
      <c r="A7" t="s">
        <v>64</v>
      </c>
      <c r="B7">
        <v>32</v>
      </c>
      <c r="C7">
        <v>1005</v>
      </c>
      <c r="D7">
        <v>2</v>
      </c>
      <c r="E7">
        <v>79</v>
      </c>
      <c r="F7">
        <v>3068</v>
      </c>
      <c r="G7">
        <v>11864</v>
      </c>
      <c r="H7">
        <v>0</v>
      </c>
      <c r="I7">
        <v>13</v>
      </c>
      <c r="J7">
        <v>8</v>
      </c>
      <c r="K7">
        <v>2</v>
      </c>
      <c r="L7">
        <v>7</v>
      </c>
      <c r="M7">
        <v>7</v>
      </c>
      <c r="N7">
        <v>3</v>
      </c>
      <c r="O7">
        <v>6</v>
      </c>
      <c r="P7" t="s">
        <v>1556</v>
      </c>
      <c r="Q7" t="s">
        <v>1553</v>
      </c>
      <c r="R7" t="s">
        <v>1550</v>
      </c>
      <c r="S7" t="s">
        <v>1533</v>
      </c>
      <c r="T7" t="s">
        <v>1538</v>
      </c>
      <c r="U7" t="s">
        <v>1548</v>
      </c>
      <c r="V7" t="s">
        <v>1559</v>
      </c>
      <c r="W7" t="s">
        <v>1563</v>
      </c>
      <c r="X7" t="s">
        <v>1575</v>
      </c>
      <c r="Y7" t="s">
        <v>1583</v>
      </c>
      <c r="Z7" t="s">
        <v>1594</v>
      </c>
      <c r="AA7" t="s">
        <v>1596</v>
      </c>
      <c r="AB7" t="s">
        <v>1601</v>
      </c>
      <c r="AC7" t="s">
        <v>1610</v>
      </c>
      <c r="AD7" t="s">
        <v>1606</v>
      </c>
      <c r="AE7" t="s">
        <v>1616</v>
      </c>
      <c r="AF7" t="s">
        <v>1626</v>
      </c>
    </row>
    <row r="8" spans="1:32" x14ac:dyDescent="0.25">
      <c r="A8" t="s">
        <v>65</v>
      </c>
      <c r="B8">
        <v>59</v>
      </c>
      <c r="C8">
        <v>1324</v>
      </c>
      <c r="D8">
        <v>3</v>
      </c>
      <c r="E8">
        <v>81</v>
      </c>
      <c r="F8">
        <v>2670</v>
      </c>
      <c r="G8">
        <v>9964</v>
      </c>
      <c r="H8">
        <v>4</v>
      </c>
      <c r="I8">
        <v>20</v>
      </c>
      <c r="J8">
        <v>12</v>
      </c>
      <c r="K8">
        <v>3</v>
      </c>
      <c r="L8">
        <v>1</v>
      </c>
      <c r="M8">
        <v>0</v>
      </c>
      <c r="N8">
        <v>0</v>
      </c>
      <c r="O8">
        <v>0</v>
      </c>
      <c r="P8" t="s">
        <v>1556</v>
      </c>
      <c r="Q8" t="s">
        <v>1552</v>
      </c>
      <c r="R8" t="s">
        <v>1550</v>
      </c>
      <c r="S8" t="s">
        <v>1534</v>
      </c>
      <c r="T8" t="s">
        <v>1540</v>
      </c>
      <c r="U8" t="s">
        <v>1547</v>
      </c>
      <c r="V8" t="s">
        <v>1558</v>
      </c>
      <c r="W8" t="s">
        <v>1564</v>
      </c>
      <c r="X8" t="s">
        <v>1575</v>
      </c>
      <c r="Y8" t="s">
        <v>1583</v>
      </c>
      <c r="Z8" t="s">
        <v>1591</v>
      </c>
      <c r="AA8" t="s">
        <v>1597</v>
      </c>
      <c r="AB8" t="s">
        <v>1600</v>
      </c>
      <c r="AC8" t="s">
        <v>1611</v>
      </c>
      <c r="AD8" t="s">
        <v>1604</v>
      </c>
      <c r="AE8" t="s">
        <v>1619</v>
      </c>
      <c r="AF8" t="s">
        <v>1626</v>
      </c>
    </row>
    <row r="9" spans="1:32" x14ac:dyDescent="0.25">
      <c r="A9" t="s">
        <v>66</v>
      </c>
      <c r="B9">
        <v>30</v>
      </c>
      <c r="C9">
        <v>1358</v>
      </c>
      <c r="D9">
        <v>24</v>
      </c>
      <c r="E9">
        <v>67</v>
      </c>
      <c r="F9">
        <v>2693</v>
      </c>
      <c r="G9">
        <v>13335</v>
      </c>
      <c r="H9">
        <v>1</v>
      </c>
      <c r="I9">
        <v>22</v>
      </c>
      <c r="J9">
        <v>1</v>
      </c>
      <c r="K9">
        <v>2</v>
      </c>
      <c r="L9">
        <v>1</v>
      </c>
      <c r="M9">
        <v>0</v>
      </c>
      <c r="N9">
        <v>0</v>
      </c>
      <c r="O9">
        <v>0</v>
      </c>
      <c r="P9" t="s">
        <v>1556</v>
      </c>
      <c r="Q9" t="s">
        <v>1552</v>
      </c>
      <c r="R9" t="s">
        <v>1550</v>
      </c>
      <c r="S9" t="s">
        <v>1532</v>
      </c>
      <c r="T9" t="s">
        <v>1538</v>
      </c>
      <c r="U9" t="s">
        <v>1548</v>
      </c>
      <c r="V9" t="s">
        <v>1559</v>
      </c>
      <c r="W9" t="s">
        <v>1563</v>
      </c>
      <c r="X9" t="s">
        <v>1575</v>
      </c>
      <c r="Y9" t="s">
        <v>1583</v>
      </c>
      <c r="Z9" t="s">
        <v>1593</v>
      </c>
      <c r="AA9" t="s">
        <v>1598</v>
      </c>
      <c r="AB9" t="s">
        <v>1601</v>
      </c>
      <c r="AC9" t="s">
        <v>1611</v>
      </c>
      <c r="AD9" t="s">
        <v>1605</v>
      </c>
      <c r="AE9" t="s">
        <v>1617</v>
      </c>
      <c r="AF9" t="s">
        <v>1627</v>
      </c>
    </row>
    <row r="10" spans="1:32" x14ac:dyDescent="0.25">
      <c r="A10" t="s">
        <v>67</v>
      </c>
      <c r="B10">
        <v>38</v>
      </c>
      <c r="C10">
        <v>216</v>
      </c>
      <c r="D10">
        <v>23</v>
      </c>
      <c r="E10">
        <v>44</v>
      </c>
      <c r="F10">
        <v>9526</v>
      </c>
      <c r="G10">
        <v>8787</v>
      </c>
      <c r="H10">
        <v>0</v>
      </c>
      <c r="I10">
        <v>21</v>
      </c>
      <c r="J10">
        <v>10</v>
      </c>
      <c r="K10">
        <v>2</v>
      </c>
      <c r="L10">
        <v>9</v>
      </c>
      <c r="M10">
        <v>7</v>
      </c>
      <c r="N10">
        <v>1</v>
      </c>
      <c r="O10">
        <v>8</v>
      </c>
      <c r="P10" t="s">
        <v>1556</v>
      </c>
      <c r="Q10" t="s">
        <v>1553</v>
      </c>
      <c r="R10" t="s">
        <v>1550</v>
      </c>
      <c r="S10" t="s">
        <v>1534</v>
      </c>
      <c r="T10" t="s">
        <v>1538</v>
      </c>
      <c r="U10" t="s">
        <v>1548</v>
      </c>
      <c r="V10" t="s">
        <v>1559</v>
      </c>
      <c r="W10" t="s">
        <v>1562</v>
      </c>
      <c r="X10" t="s">
        <v>1577</v>
      </c>
      <c r="Y10" t="s">
        <v>1584</v>
      </c>
      <c r="Z10" t="s">
        <v>1593</v>
      </c>
      <c r="AA10" t="s">
        <v>1596</v>
      </c>
      <c r="AB10" t="s">
        <v>1601</v>
      </c>
      <c r="AC10" t="s">
        <v>1611</v>
      </c>
      <c r="AD10" t="s">
        <v>1605</v>
      </c>
      <c r="AE10" t="s">
        <v>1616</v>
      </c>
      <c r="AF10" t="s">
        <v>1627</v>
      </c>
    </row>
    <row r="11" spans="1:32" x14ac:dyDescent="0.25">
      <c r="A11" t="s">
        <v>68</v>
      </c>
      <c r="B11">
        <v>36</v>
      </c>
      <c r="C11">
        <v>1299</v>
      </c>
      <c r="D11">
        <v>27</v>
      </c>
      <c r="E11">
        <v>94</v>
      </c>
      <c r="F11">
        <v>5237</v>
      </c>
      <c r="G11">
        <v>16577</v>
      </c>
      <c r="H11">
        <v>6</v>
      </c>
      <c r="I11">
        <v>13</v>
      </c>
      <c r="J11">
        <v>17</v>
      </c>
      <c r="K11">
        <v>3</v>
      </c>
      <c r="L11">
        <v>7</v>
      </c>
      <c r="M11">
        <v>7</v>
      </c>
      <c r="N11">
        <v>7</v>
      </c>
      <c r="O11">
        <v>7</v>
      </c>
      <c r="P11" t="s">
        <v>1556</v>
      </c>
      <c r="Q11" t="s">
        <v>1552</v>
      </c>
      <c r="R11" t="s">
        <v>1550</v>
      </c>
      <c r="S11" t="s">
        <v>1534</v>
      </c>
      <c r="T11" t="s">
        <v>1540</v>
      </c>
      <c r="U11" t="s">
        <v>1547</v>
      </c>
      <c r="V11" t="s">
        <v>1559</v>
      </c>
      <c r="W11" t="s">
        <v>1563</v>
      </c>
      <c r="X11" t="s">
        <v>1576</v>
      </c>
      <c r="Y11" t="s">
        <v>1585</v>
      </c>
      <c r="Z11" t="s">
        <v>1593</v>
      </c>
      <c r="AA11" t="s">
        <v>1597</v>
      </c>
      <c r="AB11" t="s">
        <v>1601</v>
      </c>
      <c r="AC11" t="s">
        <v>1610</v>
      </c>
      <c r="AD11" t="s">
        <v>1605</v>
      </c>
      <c r="AE11" t="s">
        <v>1618</v>
      </c>
      <c r="AF11" t="s">
        <v>1626</v>
      </c>
    </row>
    <row r="12" spans="1:32" x14ac:dyDescent="0.25">
      <c r="A12" t="s">
        <v>69</v>
      </c>
      <c r="B12">
        <v>35</v>
      </c>
      <c r="C12">
        <v>809</v>
      </c>
      <c r="D12">
        <v>16</v>
      </c>
      <c r="E12">
        <v>84</v>
      </c>
      <c r="F12">
        <v>2426</v>
      </c>
      <c r="G12">
        <v>16479</v>
      </c>
      <c r="H12">
        <v>0</v>
      </c>
      <c r="I12">
        <v>13</v>
      </c>
      <c r="J12">
        <v>6</v>
      </c>
      <c r="K12">
        <v>5</v>
      </c>
      <c r="L12">
        <v>5</v>
      </c>
      <c r="M12">
        <v>4</v>
      </c>
      <c r="N12">
        <v>0</v>
      </c>
      <c r="O12">
        <v>3</v>
      </c>
      <c r="P12" t="s">
        <v>1556</v>
      </c>
      <c r="Q12" t="s">
        <v>1552</v>
      </c>
      <c r="R12" t="s">
        <v>1550</v>
      </c>
      <c r="S12" t="s">
        <v>1534</v>
      </c>
      <c r="T12" t="s">
        <v>1540</v>
      </c>
      <c r="U12" t="s">
        <v>1545</v>
      </c>
      <c r="V12" t="s">
        <v>1559</v>
      </c>
      <c r="W12" t="s">
        <v>1564</v>
      </c>
      <c r="X12" t="s">
        <v>1575</v>
      </c>
      <c r="Y12" t="s">
        <v>1583</v>
      </c>
      <c r="Z12" t="s">
        <v>1592</v>
      </c>
      <c r="AA12" t="s">
        <v>1597</v>
      </c>
      <c r="AB12" t="s">
        <v>1601</v>
      </c>
      <c r="AC12" t="s">
        <v>1610</v>
      </c>
      <c r="AD12" t="s">
        <v>1606</v>
      </c>
      <c r="AE12" t="s">
        <v>1617</v>
      </c>
      <c r="AF12" t="s">
        <v>1627</v>
      </c>
    </row>
    <row r="13" spans="1:32" x14ac:dyDescent="0.25">
      <c r="A13" t="s">
        <v>70</v>
      </c>
      <c r="B13">
        <v>29</v>
      </c>
      <c r="C13">
        <v>153</v>
      </c>
      <c r="D13">
        <v>15</v>
      </c>
      <c r="E13">
        <v>49</v>
      </c>
      <c r="F13">
        <v>4193</v>
      </c>
      <c r="G13">
        <v>12682</v>
      </c>
      <c r="H13">
        <v>0</v>
      </c>
      <c r="I13">
        <v>12</v>
      </c>
      <c r="J13">
        <v>10</v>
      </c>
      <c r="K13">
        <v>3</v>
      </c>
      <c r="L13">
        <v>9</v>
      </c>
      <c r="M13">
        <v>5</v>
      </c>
      <c r="N13">
        <v>0</v>
      </c>
      <c r="O13">
        <v>8</v>
      </c>
      <c r="P13" t="s">
        <v>1556</v>
      </c>
      <c r="Q13" t="s">
        <v>1552</v>
      </c>
      <c r="R13" t="s">
        <v>1550</v>
      </c>
      <c r="S13" t="s">
        <v>1533</v>
      </c>
      <c r="T13" t="s">
        <v>1538</v>
      </c>
      <c r="U13" t="s">
        <v>1548</v>
      </c>
      <c r="V13" t="s">
        <v>1558</v>
      </c>
      <c r="W13" t="s">
        <v>1562</v>
      </c>
      <c r="X13" t="s">
        <v>1576</v>
      </c>
      <c r="Y13" t="s">
        <v>1583</v>
      </c>
      <c r="Z13" t="s">
        <v>1593</v>
      </c>
      <c r="AA13" t="s">
        <v>1596</v>
      </c>
      <c r="AB13" t="s">
        <v>1600</v>
      </c>
      <c r="AC13" t="s">
        <v>1610</v>
      </c>
      <c r="AD13" t="s">
        <v>1607</v>
      </c>
      <c r="AE13" t="s">
        <v>1616</v>
      </c>
      <c r="AF13" t="s">
        <v>1627</v>
      </c>
    </row>
    <row r="14" spans="1:32" x14ac:dyDescent="0.25">
      <c r="A14" t="s">
        <v>71</v>
      </c>
      <c r="B14">
        <v>31</v>
      </c>
      <c r="C14">
        <v>670</v>
      </c>
      <c r="D14">
        <v>26</v>
      </c>
      <c r="E14">
        <v>31</v>
      </c>
      <c r="F14">
        <v>2911</v>
      </c>
      <c r="G14">
        <v>15170</v>
      </c>
      <c r="H14">
        <v>1</v>
      </c>
      <c r="I14">
        <v>17</v>
      </c>
      <c r="J14">
        <v>5</v>
      </c>
      <c r="K14">
        <v>1</v>
      </c>
      <c r="L14">
        <v>5</v>
      </c>
      <c r="M14">
        <v>2</v>
      </c>
      <c r="N14">
        <v>4</v>
      </c>
      <c r="O14">
        <v>3</v>
      </c>
      <c r="P14" t="s">
        <v>1556</v>
      </c>
      <c r="Q14" t="s">
        <v>1552</v>
      </c>
      <c r="R14" t="s">
        <v>1550</v>
      </c>
      <c r="S14" t="s">
        <v>1532</v>
      </c>
      <c r="T14" t="s">
        <v>1538</v>
      </c>
      <c r="U14" t="s">
        <v>1545</v>
      </c>
      <c r="V14" t="s">
        <v>1559</v>
      </c>
      <c r="W14" t="s">
        <v>1563</v>
      </c>
      <c r="X14" t="s">
        <v>1575</v>
      </c>
      <c r="Y14" t="s">
        <v>1582</v>
      </c>
      <c r="Z14" t="s">
        <v>1593</v>
      </c>
      <c r="AA14" t="s">
        <v>1598</v>
      </c>
      <c r="AB14" t="s">
        <v>1601</v>
      </c>
      <c r="AC14" t="s">
        <v>1610</v>
      </c>
      <c r="AD14" t="s">
        <v>1607</v>
      </c>
      <c r="AE14" t="s">
        <v>1617</v>
      </c>
      <c r="AF14" t="s">
        <v>1626</v>
      </c>
    </row>
    <row r="15" spans="1:32" x14ac:dyDescent="0.25">
      <c r="A15" t="s">
        <v>72</v>
      </c>
      <c r="B15">
        <v>34</v>
      </c>
      <c r="C15">
        <v>1346</v>
      </c>
      <c r="D15">
        <v>19</v>
      </c>
      <c r="E15">
        <v>93</v>
      </c>
      <c r="F15">
        <v>2661</v>
      </c>
      <c r="G15">
        <v>8758</v>
      </c>
      <c r="H15">
        <v>0</v>
      </c>
      <c r="I15">
        <v>11</v>
      </c>
      <c r="J15">
        <v>3</v>
      </c>
      <c r="K15">
        <v>2</v>
      </c>
      <c r="L15">
        <v>2</v>
      </c>
      <c r="M15">
        <v>2</v>
      </c>
      <c r="N15">
        <v>1</v>
      </c>
      <c r="O15">
        <v>2</v>
      </c>
      <c r="P15" t="s">
        <v>1556</v>
      </c>
      <c r="Q15" t="s">
        <v>1552</v>
      </c>
      <c r="R15" t="s">
        <v>1550</v>
      </c>
      <c r="S15" t="s">
        <v>1533</v>
      </c>
      <c r="T15" t="s">
        <v>1540</v>
      </c>
      <c r="U15" t="s">
        <v>1546</v>
      </c>
      <c r="V15" t="s">
        <v>1559</v>
      </c>
      <c r="W15" t="s">
        <v>1563</v>
      </c>
      <c r="X15" t="s">
        <v>1575</v>
      </c>
      <c r="Y15" t="s">
        <v>1583</v>
      </c>
      <c r="Z15" t="s">
        <v>1594</v>
      </c>
      <c r="AA15" t="s">
        <v>1598</v>
      </c>
      <c r="AB15" t="s">
        <v>1601</v>
      </c>
      <c r="AC15" t="s">
        <v>1610</v>
      </c>
      <c r="AD15" t="s">
        <v>1606</v>
      </c>
      <c r="AE15" t="s">
        <v>1617</v>
      </c>
      <c r="AF15" t="s">
        <v>1627</v>
      </c>
    </row>
    <row r="16" spans="1:32" x14ac:dyDescent="0.25">
      <c r="A16" t="s">
        <v>73</v>
      </c>
      <c r="B16">
        <v>28</v>
      </c>
      <c r="C16">
        <v>103</v>
      </c>
      <c r="D16">
        <v>24</v>
      </c>
      <c r="E16">
        <v>50</v>
      </c>
      <c r="F16">
        <v>2028</v>
      </c>
      <c r="G16">
        <v>12947</v>
      </c>
      <c r="H16">
        <v>5</v>
      </c>
      <c r="I16">
        <v>14</v>
      </c>
      <c r="J16">
        <v>6</v>
      </c>
      <c r="K16">
        <v>4</v>
      </c>
      <c r="L16">
        <v>4</v>
      </c>
      <c r="M16">
        <v>2</v>
      </c>
      <c r="N16">
        <v>0</v>
      </c>
      <c r="O16">
        <v>3</v>
      </c>
      <c r="P16" t="s">
        <v>1555</v>
      </c>
      <c r="Q16" t="s">
        <v>1552</v>
      </c>
      <c r="R16" t="s">
        <v>1550</v>
      </c>
      <c r="S16" t="s">
        <v>1534</v>
      </c>
      <c r="T16" t="s">
        <v>1538</v>
      </c>
      <c r="U16" t="s">
        <v>1547</v>
      </c>
      <c r="V16" t="s">
        <v>1559</v>
      </c>
      <c r="W16" t="s">
        <v>1562</v>
      </c>
      <c r="X16" t="s">
        <v>1575</v>
      </c>
      <c r="Y16" t="s">
        <v>1583</v>
      </c>
      <c r="Z16" t="s">
        <v>1593</v>
      </c>
      <c r="AA16" t="s">
        <v>1596</v>
      </c>
      <c r="AB16" t="s">
        <v>1600</v>
      </c>
      <c r="AC16" t="s">
        <v>1610</v>
      </c>
      <c r="AD16" t="s">
        <v>1605</v>
      </c>
      <c r="AE16" t="s">
        <v>1616</v>
      </c>
      <c r="AF16" t="s">
        <v>1627</v>
      </c>
    </row>
    <row r="17" spans="1:32" x14ac:dyDescent="0.25">
      <c r="A17" t="s">
        <v>74</v>
      </c>
      <c r="B17">
        <v>29</v>
      </c>
      <c r="C17">
        <v>1389</v>
      </c>
      <c r="D17">
        <v>21</v>
      </c>
      <c r="E17">
        <v>51</v>
      </c>
      <c r="F17">
        <v>9980</v>
      </c>
      <c r="G17">
        <v>10195</v>
      </c>
      <c r="H17">
        <v>1</v>
      </c>
      <c r="I17">
        <v>11</v>
      </c>
      <c r="J17">
        <v>10</v>
      </c>
      <c r="K17">
        <v>1</v>
      </c>
      <c r="L17">
        <v>10</v>
      </c>
      <c r="M17">
        <v>9</v>
      </c>
      <c r="N17">
        <v>8</v>
      </c>
      <c r="O17">
        <v>8</v>
      </c>
      <c r="P17" t="s">
        <v>1556</v>
      </c>
      <c r="Q17" t="s">
        <v>1552</v>
      </c>
      <c r="R17" t="s">
        <v>1550</v>
      </c>
      <c r="S17" t="s">
        <v>1535</v>
      </c>
      <c r="T17" t="s">
        <v>1538</v>
      </c>
      <c r="U17" t="s">
        <v>1546</v>
      </c>
      <c r="V17" t="s">
        <v>1558</v>
      </c>
      <c r="W17" t="s">
        <v>1564</v>
      </c>
      <c r="X17" t="s">
        <v>1577</v>
      </c>
      <c r="Y17" t="s">
        <v>1584</v>
      </c>
      <c r="Z17" t="s">
        <v>1591</v>
      </c>
      <c r="AA17" t="s">
        <v>1598</v>
      </c>
      <c r="AB17" t="s">
        <v>1601</v>
      </c>
      <c r="AC17" t="s">
        <v>1610</v>
      </c>
      <c r="AD17" t="s">
        <v>1606</v>
      </c>
      <c r="AE17" t="s">
        <v>1617</v>
      </c>
      <c r="AF17" t="s">
        <v>1627</v>
      </c>
    </row>
    <row r="18" spans="1:32" x14ac:dyDescent="0.25">
      <c r="A18" t="s">
        <v>75</v>
      </c>
      <c r="B18">
        <v>32</v>
      </c>
      <c r="C18">
        <v>334</v>
      </c>
      <c r="D18">
        <v>5</v>
      </c>
      <c r="E18">
        <v>80</v>
      </c>
      <c r="F18">
        <v>3298</v>
      </c>
      <c r="G18">
        <v>15053</v>
      </c>
      <c r="H18">
        <v>0</v>
      </c>
      <c r="I18">
        <v>12</v>
      </c>
      <c r="J18">
        <v>7</v>
      </c>
      <c r="K18">
        <v>5</v>
      </c>
      <c r="L18">
        <v>6</v>
      </c>
      <c r="M18">
        <v>2</v>
      </c>
      <c r="N18">
        <v>0</v>
      </c>
      <c r="O18">
        <v>5</v>
      </c>
      <c r="P18" t="s">
        <v>1556</v>
      </c>
      <c r="Q18" t="s">
        <v>1552</v>
      </c>
      <c r="R18" t="s">
        <v>1550</v>
      </c>
      <c r="S18" t="s">
        <v>1533</v>
      </c>
      <c r="T18" t="s">
        <v>1538</v>
      </c>
      <c r="U18" t="s">
        <v>1545</v>
      </c>
      <c r="V18" t="s">
        <v>1559</v>
      </c>
      <c r="W18" t="s">
        <v>1564</v>
      </c>
      <c r="X18" t="s">
        <v>1575</v>
      </c>
      <c r="Y18" t="s">
        <v>1582</v>
      </c>
      <c r="Z18" t="s">
        <v>1592</v>
      </c>
      <c r="AA18" t="s">
        <v>1598</v>
      </c>
      <c r="AB18" t="s">
        <v>1600</v>
      </c>
      <c r="AC18" t="s">
        <v>1610</v>
      </c>
      <c r="AD18" t="s">
        <v>1607</v>
      </c>
      <c r="AE18" t="s">
        <v>1618</v>
      </c>
      <c r="AF18" t="s">
        <v>1626</v>
      </c>
    </row>
    <row r="19" spans="1:32" x14ac:dyDescent="0.25">
      <c r="A19" t="s">
        <v>76</v>
      </c>
      <c r="B19">
        <v>22</v>
      </c>
      <c r="C19">
        <v>1123</v>
      </c>
      <c r="D19">
        <v>16</v>
      </c>
      <c r="E19">
        <v>96</v>
      </c>
      <c r="F19">
        <v>2935</v>
      </c>
      <c r="G19">
        <v>7324</v>
      </c>
      <c r="H19">
        <v>1</v>
      </c>
      <c r="I19">
        <v>13</v>
      </c>
      <c r="J19">
        <v>1</v>
      </c>
      <c r="K19">
        <v>2</v>
      </c>
      <c r="L19">
        <v>1</v>
      </c>
      <c r="M19">
        <v>0</v>
      </c>
      <c r="N19">
        <v>0</v>
      </c>
      <c r="O19">
        <v>0</v>
      </c>
      <c r="P19" t="s">
        <v>1556</v>
      </c>
      <c r="Q19" t="s">
        <v>1554</v>
      </c>
      <c r="R19" t="s">
        <v>1550</v>
      </c>
      <c r="S19" t="s">
        <v>1533</v>
      </c>
      <c r="T19" t="s">
        <v>1540</v>
      </c>
      <c r="U19" t="s">
        <v>1548</v>
      </c>
      <c r="V19" t="s">
        <v>1559</v>
      </c>
      <c r="W19" t="s">
        <v>1564</v>
      </c>
      <c r="X19" t="s">
        <v>1575</v>
      </c>
      <c r="Y19" t="s">
        <v>1583</v>
      </c>
      <c r="Z19" t="s">
        <v>1594</v>
      </c>
      <c r="AA19" t="s">
        <v>1598</v>
      </c>
      <c r="AB19" t="s">
        <v>1600</v>
      </c>
      <c r="AC19" t="s">
        <v>1610</v>
      </c>
      <c r="AD19" t="s">
        <v>1605</v>
      </c>
      <c r="AE19" t="s">
        <v>1618</v>
      </c>
      <c r="AF19" t="s">
        <v>1626</v>
      </c>
    </row>
    <row r="20" spans="1:32" x14ac:dyDescent="0.25">
      <c r="A20" t="s">
        <v>77</v>
      </c>
      <c r="B20">
        <v>53</v>
      </c>
      <c r="C20">
        <v>1219</v>
      </c>
      <c r="D20">
        <v>2</v>
      </c>
      <c r="E20">
        <v>78</v>
      </c>
      <c r="F20">
        <v>15427</v>
      </c>
      <c r="G20">
        <v>22021</v>
      </c>
      <c r="H20">
        <v>2</v>
      </c>
      <c r="I20">
        <v>16</v>
      </c>
      <c r="J20">
        <v>31</v>
      </c>
      <c r="K20">
        <v>3</v>
      </c>
      <c r="L20">
        <v>25</v>
      </c>
      <c r="M20">
        <v>8</v>
      </c>
      <c r="N20">
        <v>3</v>
      </c>
      <c r="O20">
        <v>7</v>
      </c>
      <c r="P20" t="s">
        <v>1556</v>
      </c>
      <c r="Q20" t="s">
        <v>1552</v>
      </c>
      <c r="R20" t="s">
        <v>1549</v>
      </c>
      <c r="S20" t="s">
        <v>1535</v>
      </c>
      <c r="T20" t="s">
        <v>1538</v>
      </c>
      <c r="U20" t="s">
        <v>1545</v>
      </c>
      <c r="V20" t="s">
        <v>1558</v>
      </c>
      <c r="W20" t="s">
        <v>1562</v>
      </c>
      <c r="X20" t="s">
        <v>1578</v>
      </c>
      <c r="Y20" t="s">
        <v>1586</v>
      </c>
      <c r="Z20" t="s">
        <v>1594</v>
      </c>
      <c r="AA20" t="s">
        <v>1597</v>
      </c>
      <c r="AB20" t="s">
        <v>1601</v>
      </c>
      <c r="AC20" t="s">
        <v>1610</v>
      </c>
      <c r="AD20" t="s">
        <v>1606</v>
      </c>
      <c r="AE20" t="s">
        <v>1616</v>
      </c>
      <c r="AF20" t="s">
        <v>1627</v>
      </c>
    </row>
    <row r="21" spans="1:32" x14ac:dyDescent="0.25">
      <c r="A21" t="s">
        <v>78</v>
      </c>
      <c r="B21">
        <v>38</v>
      </c>
      <c r="C21">
        <v>371</v>
      </c>
      <c r="D21">
        <v>2</v>
      </c>
      <c r="E21">
        <v>45</v>
      </c>
      <c r="F21">
        <v>3944</v>
      </c>
      <c r="G21">
        <v>4306</v>
      </c>
      <c r="H21">
        <v>5</v>
      </c>
      <c r="I21">
        <v>11</v>
      </c>
      <c r="J21">
        <v>6</v>
      </c>
      <c r="K21">
        <v>3</v>
      </c>
      <c r="L21">
        <v>3</v>
      </c>
      <c r="M21">
        <v>2</v>
      </c>
      <c r="N21">
        <v>1</v>
      </c>
      <c r="O21">
        <v>2</v>
      </c>
      <c r="P21" t="s">
        <v>1556</v>
      </c>
      <c r="Q21" t="s">
        <v>1552</v>
      </c>
      <c r="R21" t="s">
        <v>1550</v>
      </c>
      <c r="S21" t="s">
        <v>1534</v>
      </c>
      <c r="T21" t="s">
        <v>1538</v>
      </c>
      <c r="U21" t="s">
        <v>1548</v>
      </c>
      <c r="V21" t="s">
        <v>1559</v>
      </c>
      <c r="W21" t="s">
        <v>1563</v>
      </c>
      <c r="X21" t="s">
        <v>1575</v>
      </c>
      <c r="Y21" t="s">
        <v>1582</v>
      </c>
      <c r="Z21" t="s">
        <v>1594</v>
      </c>
      <c r="AA21" t="s">
        <v>1596</v>
      </c>
      <c r="AB21" t="s">
        <v>1600</v>
      </c>
      <c r="AC21" t="s">
        <v>1610</v>
      </c>
      <c r="AD21" t="s">
        <v>1606</v>
      </c>
      <c r="AE21" t="s">
        <v>1616</v>
      </c>
      <c r="AF21" t="s">
        <v>1627</v>
      </c>
    </row>
    <row r="22" spans="1:32" x14ac:dyDescent="0.25">
      <c r="A22" t="s">
        <v>79</v>
      </c>
      <c r="B22">
        <v>24</v>
      </c>
      <c r="C22">
        <v>673</v>
      </c>
      <c r="D22">
        <v>11</v>
      </c>
      <c r="E22">
        <v>96</v>
      </c>
      <c r="F22">
        <v>4011</v>
      </c>
      <c r="G22">
        <v>8232</v>
      </c>
      <c r="H22">
        <v>0</v>
      </c>
      <c r="I22">
        <v>18</v>
      </c>
      <c r="J22">
        <v>5</v>
      </c>
      <c r="K22">
        <v>5</v>
      </c>
      <c r="L22">
        <v>4</v>
      </c>
      <c r="M22">
        <v>2</v>
      </c>
      <c r="N22">
        <v>1</v>
      </c>
      <c r="O22">
        <v>3</v>
      </c>
      <c r="P22" t="s">
        <v>1556</v>
      </c>
      <c r="Q22" t="s">
        <v>1554</v>
      </c>
      <c r="R22" t="s">
        <v>1550</v>
      </c>
      <c r="S22" t="s">
        <v>1533</v>
      </c>
      <c r="T22" t="s">
        <v>1539</v>
      </c>
      <c r="U22" t="s">
        <v>1545</v>
      </c>
      <c r="V22" t="s">
        <v>1558</v>
      </c>
      <c r="W22" t="s">
        <v>1564</v>
      </c>
      <c r="X22" t="s">
        <v>1576</v>
      </c>
      <c r="Y22" t="s">
        <v>1584</v>
      </c>
      <c r="Z22" t="s">
        <v>1593</v>
      </c>
      <c r="AA22" t="s">
        <v>1598</v>
      </c>
      <c r="AB22" t="s">
        <v>1601</v>
      </c>
      <c r="AC22" t="s">
        <v>1610</v>
      </c>
      <c r="AD22" t="s">
        <v>1607</v>
      </c>
      <c r="AE22" t="s">
        <v>1617</v>
      </c>
      <c r="AF22" t="s">
        <v>1626</v>
      </c>
    </row>
    <row r="23" spans="1:32" x14ac:dyDescent="0.25">
      <c r="A23" t="s">
        <v>80</v>
      </c>
      <c r="B23">
        <v>36</v>
      </c>
      <c r="C23">
        <v>1218</v>
      </c>
      <c r="D23">
        <v>9</v>
      </c>
      <c r="E23">
        <v>82</v>
      </c>
      <c r="F23">
        <v>3407</v>
      </c>
      <c r="G23">
        <v>6986</v>
      </c>
      <c r="H23">
        <v>7</v>
      </c>
      <c r="I23">
        <v>23</v>
      </c>
      <c r="J23">
        <v>10</v>
      </c>
      <c r="K23">
        <v>4</v>
      </c>
      <c r="L23">
        <v>5</v>
      </c>
      <c r="M23">
        <v>3</v>
      </c>
      <c r="N23">
        <v>0</v>
      </c>
      <c r="O23">
        <v>3</v>
      </c>
      <c r="P23" t="s">
        <v>1555</v>
      </c>
      <c r="Q23" t="s">
        <v>1552</v>
      </c>
      <c r="R23" t="s">
        <v>1549</v>
      </c>
      <c r="S23" t="s">
        <v>1535</v>
      </c>
      <c r="T23" t="s">
        <v>1538</v>
      </c>
      <c r="U23" t="s">
        <v>1547</v>
      </c>
      <c r="V23" t="s">
        <v>1559</v>
      </c>
      <c r="W23" t="s">
        <v>1562</v>
      </c>
      <c r="X23" t="s">
        <v>1575</v>
      </c>
      <c r="Y23" t="s">
        <v>1587</v>
      </c>
      <c r="Z23" t="s">
        <v>1591</v>
      </c>
      <c r="AA23" t="s">
        <v>1596</v>
      </c>
      <c r="AB23" t="s">
        <v>1601</v>
      </c>
      <c r="AC23" t="s">
        <v>1611</v>
      </c>
      <c r="AD23" t="s">
        <v>1605</v>
      </c>
      <c r="AE23" t="s">
        <v>1616</v>
      </c>
      <c r="AF23" t="s">
        <v>1627</v>
      </c>
    </row>
    <row r="24" spans="1:32" x14ac:dyDescent="0.25">
      <c r="A24" t="s">
        <v>81</v>
      </c>
      <c r="B24">
        <v>34</v>
      </c>
      <c r="C24">
        <v>419</v>
      </c>
      <c r="D24">
        <v>7</v>
      </c>
      <c r="E24">
        <v>53</v>
      </c>
      <c r="F24">
        <v>11994</v>
      </c>
      <c r="G24">
        <v>21293</v>
      </c>
      <c r="H24">
        <v>0</v>
      </c>
      <c r="I24">
        <v>11</v>
      </c>
      <c r="J24">
        <v>13</v>
      </c>
      <c r="K24">
        <v>4</v>
      </c>
      <c r="L24">
        <v>12</v>
      </c>
      <c r="M24">
        <v>6</v>
      </c>
      <c r="N24">
        <v>2</v>
      </c>
      <c r="O24">
        <v>11</v>
      </c>
      <c r="P24" t="s">
        <v>1556</v>
      </c>
      <c r="Q24" t="s">
        <v>1552</v>
      </c>
      <c r="R24" t="s">
        <v>1550</v>
      </c>
      <c r="S24" t="s">
        <v>1535</v>
      </c>
      <c r="T24" t="s">
        <v>1538</v>
      </c>
      <c r="U24" t="s">
        <v>1545</v>
      </c>
      <c r="V24" t="s">
        <v>1558</v>
      </c>
      <c r="W24" t="s">
        <v>1563</v>
      </c>
      <c r="X24" t="s">
        <v>1577</v>
      </c>
      <c r="Y24" t="s">
        <v>1588</v>
      </c>
      <c r="Z24" t="s">
        <v>1592</v>
      </c>
      <c r="AA24" t="s">
        <v>1596</v>
      </c>
      <c r="AB24" t="s">
        <v>1601</v>
      </c>
      <c r="AC24" t="s">
        <v>1610</v>
      </c>
      <c r="AD24" t="s">
        <v>1606</v>
      </c>
      <c r="AE24" t="s">
        <v>1616</v>
      </c>
      <c r="AF24" t="s">
        <v>1627</v>
      </c>
    </row>
    <row r="25" spans="1:32" x14ac:dyDescent="0.25">
      <c r="A25" t="s">
        <v>82</v>
      </c>
      <c r="B25">
        <v>21</v>
      </c>
      <c r="C25">
        <v>391</v>
      </c>
      <c r="D25">
        <v>15</v>
      </c>
      <c r="E25">
        <v>96</v>
      </c>
      <c r="F25">
        <v>1232</v>
      </c>
      <c r="G25">
        <v>19281</v>
      </c>
      <c r="H25">
        <v>1</v>
      </c>
      <c r="I25">
        <v>14</v>
      </c>
      <c r="J25">
        <v>0</v>
      </c>
      <c r="K25">
        <v>6</v>
      </c>
      <c r="L25">
        <v>0</v>
      </c>
      <c r="M25">
        <v>0</v>
      </c>
      <c r="N25">
        <v>0</v>
      </c>
      <c r="O25">
        <v>0</v>
      </c>
      <c r="P25" t="s">
        <v>1556</v>
      </c>
      <c r="Q25" t="s">
        <v>1552</v>
      </c>
      <c r="R25" t="s">
        <v>1550</v>
      </c>
      <c r="S25" t="s">
        <v>1533</v>
      </c>
      <c r="T25" t="s">
        <v>1538</v>
      </c>
      <c r="U25" t="s">
        <v>1547</v>
      </c>
      <c r="V25" t="s">
        <v>1559</v>
      </c>
      <c r="W25" t="s">
        <v>1563</v>
      </c>
      <c r="X25" t="s">
        <v>1575</v>
      </c>
      <c r="Y25" t="s">
        <v>1582</v>
      </c>
      <c r="Z25" t="s">
        <v>1594</v>
      </c>
      <c r="AA25" t="s">
        <v>1596</v>
      </c>
      <c r="AB25" t="s">
        <v>1601</v>
      </c>
      <c r="AC25" t="s">
        <v>1610</v>
      </c>
      <c r="AD25" t="s">
        <v>1607</v>
      </c>
      <c r="AE25" t="s">
        <v>1616</v>
      </c>
      <c r="AF25" t="s">
        <v>1627</v>
      </c>
    </row>
    <row r="26" spans="1:32" x14ac:dyDescent="0.25">
      <c r="A26" t="s">
        <v>83</v>
      </c>
      <c r="B26">
        <v>34</v>
      </c>
      <c r="C26">
        <v>699</v>
      </c>
      <c r="D26">
        <v>6</v>
      </c>
      <c r="E26">
        <v>83</v>
      </c>
      <c r="F26">
        <v>2960</v>
      </c>
      <c r="G26">
        <v>17102</v>
      </c>
      <c r="H26">
        <v>2</v>
      </c>
      <c r="I26">
        <v>11</v>
      </c>
      <c r="J26">
        <v>8</v>
      </c>
      <c r="K26">
        <v>2</v>
      </c>
      <c r="L26">
        <v>4</v>
      </c>
      <c r="M26">
        <v>2</v>
      </c>
      <c r="N26">
        <v>1</v>
      </c>
      <c r="O26">
        <v>3</v>
      </c>
      <c r="P26" t="s">
        <v>1555</v>
      </c>
      <c r="Q26" t="s">
        <v>1552</v>
      </c>
      <c r="R26" t="s">
        <v>1550</v>
      </c>
      <c r="S26" t="s">
        <v>1532</v>
      </c>
      <c r="T26" t="s">
        <v>1540</v>
      </c>
      <c r="U26" t="s">
        <v>1546</v>
      </c>
      <c r="V26" t="s">
        <v>1559</v>
      </c>
      <c r="W26" t="s">
        <v>1563</v>
      </c>
      <c r="X26" t="s">
        <v>1575</v>
      </c>
      <c r="Y26" t="s">
        <v>1582</v>
      </c>
      <c r="Z26" t="s">
        <v>1591</v>
      </c>
      <c r="AA26" t="s">
        <v>1596</v>
      </c>
      <c r="AB26" t="s">
        <v>1601</v>
      </c>
      <c r="AC26" t="s">
        <v>1610</v>
      </c>
      <c r="AD26" t="s">
        <v>1606</v>
      </c>
      <c r="AE26" t="s">
        <v>1616</v>
      </c>
      <c r="AF26" t="s">
        <v>1627</v>
      </c>
    </row>
    <row r="27" spans="1:32" x14ac:dyDescent="0.25">
      <c r="A27" t="s">
        <v>84</v>
      </c>
      <c r="B27">
        <v>53</v>
      </c>
      <c r="C27">
        <v>1282</v>
      </c>
      <c r="D27">
        <v>5</v>
      </c>
      <c r="E27">
        <v>58</v>
      </c>
      <c r="F27">
        <v>19094</v>
      </c>
      <c r="G27">
        <v>10735</v>
      </c>
      <c r="H27">
        <v>4</v>
      </c>
      <c r="I27">
        <v>11</v>
      </c>
      <c r="J27">
        <v>26</v>
      </c>
      <c r="K27">
        <v>3</v>
      </c>
      <c r="L27">
        <v>14</v>
      </c>
      <c r="M27">
        <v>13</v>
      </c>
      <c r="N27">
        <v>4</v>
      </c>
      <c r="O27">
        <v>8</v>
      </c>
      <c r="P27" t="s">
        <v>1556</v>
      </c>
      <c r="Q27" t="s">
        <v>1552</v>
      </c>
      <c r="R27" t="s">
        <v>1550</v>
      </c>
      <c r="S27" t="s">
        <v>1534</v>
      </c>
      <c r="T27" t="s">
        <v>1539</v>
      </c>
      <c r="U27" t="s">
        <v>1547</v>
      </c>
      <c r="V27" t="s">
        <v>1558</v>
      </c>
      <c r="W27" t="s">
        <v>1563</v>
      </c>
      <c r="X27" t="s">
        <v>1579</v>
      </c>
      <c r="Y27" t="s">
        <v>1586</v>
      </c>
      <c r="Z27" t="s">
        <v>1593</v>
      </c>
      <c r="AA27" t="s">
        <v>1598</v>
      </c>
      <c r="AB27" t="s">
        <v>1601</v>
      </c>
      <c r="AC27" t="s">
        <v>1610</v>
      </c>
      <c r="AD27" t="s">
        <v>1607</v>
      </c>
      <c r="AE27" t="s">
        <v>1617</v>
      </c>
      <c r="AF27" t="s">
        <v>1626</v>
      </c>
    </row>
    <row r="28" spans="1:32" x14ac:dyDescent="0.25">
      <c r="A28" t="s">
        <v>85</v>
      </c>
      <c r="B28">
        <v>32</v>
      </c>
      <c r="C28">
        <v>1125</v>
      </c>
      <c r="D28">
        <v>16</v>
      </c>
      <c r="E28">
        <v>72</v>
      </c>
      <c r="F28">
        <v>3919</v>
      </c>
      <c r="G28">
        <v>4681</v>
      </c>
      <c r="H28">
        <v>1</v>
      </c>
      <c r="I28">
        <v>22</v>
      </c>
      <c r="J28">
        <v>10</v>
      </c>
      <c r="K28">
        <v>5</v>
      </c>
      <c r="L28">
        <v>10</v>
      </c>
      <c r="M28">
        <v>2</v>
      </c>
      <c r="N28">
        <v>6</v>
      </c>
      <c r="O28">
        <v>7</v>
      </c>
      <c r="P28" t="s">
        <v>1555</v>
      </c>
      <c r="Q28" t="s">
        <v>1553</v>
      </c>
      <c r="R28" t="s">
        <v>1550</v>
      </c>
      <c r="S28" t="s">
        <v>1532</v>
      </c>
      <c r="T28" t="s">
        <v>1538</v>
      </c>
      <c r="U28" t="s">
        <v>1546</v>
      </c>
      <c r="V28" t="s">
        <v>1558</v>
      </c>
      <c r="W28" t="s">
        <v>1561</v>
      </c>
      <c r="X28" t="s">
        <v>1575</v>
      </c>
      <c r="Y28" t="s">
        <v>1582</v>
      </c>
      <c r="Z28" t="s">
        <v>1591</v>
      </c>
      <c r="AA28" t="s">
        <v>1596</v>
      </c>
      <c r="AB28" t="s">
        <v>1600</v>
      </c>
      <c r="AC28" t="s">
        <v>1611</v>
      </c>
      <c r="AD28" t="s">
        <v>1605</v>
      </c>
      <c r="AE28" t="s">
        <v>1616</v>
      </c>
      <c r="AF28" t="s">
        <v>1627</v>
      </c>
    </row>
    <row r="29" spans="1:32" x14ac:dyDescent="0.25">
      <c r="A29" t="s">
        <v>86</v>
      </c>
      <c r="B29">
        <v>42</v>
      </c>
      <c r="C29">
        <v>691</v>
      </c>
      <c r="D29">
        <v>8</v>
      </c>
      <c r="E29">
        <v>48</v>
      </c>
      <c r="F29">
        <v>6825</v>
      </c>
      <c r="G29">
        <v>21173</v>
      </c>
      <c r="H29">
        <v>0</v>
      </c>
      <c r="I29">
        <v>11</v>
      </c>
      <c r="J29">
        <v>10</v>
      </c>
      <c r="K29">
        <v>2</v>
      </c>
      <c r="L29">
        <v>9</v>
      </c>
      <c r="M29">
        <v>7</v>
      </c>
      <c r="N29">
        <v>4</v>
      </c>
      <c r="O29">
        <v>2</v>
      </c>
      <c r="P29" t="s">
        <v>1556</v>
      </c>
      <c r="Q29" t="s">
        <v>1552</v>
      </c>
      <c r="R29" t="s">
        <v>1549</v>
      </c>
      <c r="S29" t="s">
        <v>1535</v>
      </c>
      <c r="T29" t="s">
        <v>1541</v>
      </c>
      <c r="U29" t="s">
        <v>1547</v>
      </c>
      <c r="V29" t="s">
        <v>1559</v>
      </c>
      <c r="W29" t="s">
        <v>1563</v>
      </c>
      <c r="X29" t="s">
        <v>1576</v>
      </c>
      <c r="Y29" t="s">
        <v>1581</v>
      </c>
      <c r="Z29" t="s">
        <v>1592</v>
      </c>
      <c r="AA29" t="s">
        <v>1597</v>
      </c>
      <c r="AB29" t="s">
        <v>1601</v>
      </c>
      <c r="AC29" t="s">
        <v>1610</v>
      </c>
      <c r="AD29" t="s">
        <v>1607</v>
      </c>
      <c r="AE29" t="s">
        <v>1617</v>
      </c>
      <c r="AF29" t="s">
        <v>1627</v>
      </c>
    </row>
    <row r="30" spans="1:32" x14ac:dyDescent="0.25">
      <c r="A30" t="s">
        <v>87</v>
      </c>
      <c r="B30">
        <v>44</v>
      </c>
      <c r="C30">
        <v>477</v>
      </c>
      <c r="D30">
        <v>7</v>
      </c>
      <c r="E30">
        <v>42</v>
      </c>
      <c r="F30">
        <v>10248</v>
      </c>
      <c r="G30">
        <v>2094</v>
      </c>
      <c r="H30">
        <v>3</v>
      </c>
      <c r="I30">
        <v>14</v>
      </c>
      <c r="J30">
        <v>24</v>
      </c>
      <c r="K30">
        <v>4</v>
      </c>
      <c r="L30">
        <v>22</v>
      </c>
      <c r="M30">
        <v>6</v>
      </c>
      <c r="N30">
        <v>5</v>
      </c>
      <c r="O30">
        <v>17</v>
      </c>
      <c r="P30" t="s">
        <v>1556</v>
      </c>
      <c r="Q30" t="s">
        <v>1552</v>
      </c>
      <c r="R30" t="s">
        <v>1550</v>
      </c>
      <c r="S30" t="s">
        <v>1535</v>
      </c>
      <c r="T30" t="s">
        <v>1540</v>
      </c>
      <c r="U30" t="s">
        <v>1545</v>
      </c>
      <c r="V30" t="s">
        <v>1558</v>
      </c>
      <c r="W30" t="s">
        <v>1562</v>
      </c>
      <c r="X30" t="s">
        <v>1577</v>
      </c>
      <c r="Y30" t="s">
        <v>1585</v>
      </c>
      <c r="Z30" t="s">
        <v>1594</v>
      </c>
      <c r="AA30" t="s">
        <v>1597</v>
      </c>
      <c r="AB30" t="s">
        <v>1601</v>
      </c>
      <c r="AC30" t="s">
        <v>1610</v>
      </c>
      <c r="AD30" t="s">
        <v>1607</v>
      </c>
      <c r="AE30" t="s">
        <v>1617</v>
      </c>
      <c r="AF30" t="s">
        <v>1627</v>
      </c>
    </row>
    <row r="31" spans="1:32" x14ac:dyDescent="0.25">
      <c r="A31" t="s">
        <v>88</v>
      </c>
      <c r="B31">
        <v>46</v>
      </c>
      <c r="C31">
        <v>705</v>
      </c>
      <c r="D31">
        <v>2</v>
      </c>
      <c r="E31">
        <v>83</v>
      </c>
      <c r="F31">
        <v>18947</v>
      </c>
      <c r="G31">
        <v>22822</v>
      </c>
      <c r="H31">
        <v>3</v>
      </c>
      <c r="I31">
        <v>12</v>
      </c>
      <c r="J31">
        <v>22</v>
      </c>
      <c r="K31">
        <v>2</v>
      </c>
      <c r="L31">
        <v>2</v>
      </c>
      <c r="M31">
        <v>2</v>
      </c>
      <c r="N31">
        <v>2</v>
      </c>
      <c r="O31">
        <v>1</v>
      </c>
      <c r="P31" t="s">
        <v>1556</v>
      </c>
      <c r="Q31" t="s">
        <v>1552</v>
      </c>
      <c r="R31" t="s">
        <v>1549</v>
      </c>
      <c r="S31" t="s">
        <v>1535</v>
      </c>
      <c r="T31" t="s">
        <v>1541</v>
      </c>
      <c r="U31" t="s">
        <v>1546</v>
      </c>
      <c r="V31" t="s">
        <v>1558</v>
      </c>
      <c r="W31" t="s">
        <v>1563</v>
      </c>
      <c r="X31" t="s">
        <v>1579</v>
      </c>
      <c r="Y31" t="s">
        <v>1586</v>
      </c>
      <c r="Z31" t="s">
        <v>1591</v>
      </c>
      <c r="AA31" t="s">
        <v>1596</v>
      </c>
      <c r="AB31" t="s">
        <v>1601</v>
      </c>
      <c r="AC31" t="s">
        <v>1610</v>
      </c>
      <c r="AD31" t="s">
        <v>1607</v>
      </c>
      <c r="AE31" t="s">
        <v>1616</v>
      </c>
      <c r="AF31" t="s">
        <v>1626</v>
      </c>
    </row>
    <row r="32" spans="1:32" x14ac:dyDescent="0.25">
      <c r="A32" t="s">
        <v>89</v>
      </c>
      <c r="B32">
        <v>33</v>
      </c>
      <c r="C32">
        <v>924</v>
      </c>
      <c r="D32">
        <v>2</v>
      </c>
      <c r="E32">
        <v>78</v>
      </c>
      <c r="F32">
        <v>2496</v>
      </c>
      <c r="G32">
        <v>6670</v>
      </c>
      <c r="H32">
        <v>4</v>
      </c>
      <c r="I32">
        <v>11</v>
      </c>
      <c r="J32">
        <v>7</v>
      </c>
      <c r="K32">
        <v>3</v>
      </c>
      <c r="L32">
        <v>1</v>
      </c>
      <c r="M32">
        <v>1</v>
      </c>
      <c r="N32">
        <v>0</v>
      </c>
      <c r="O32">
        <v>0</v>
      </c>
      <c r="P32" t="s">
        <v>1556</v>
      </c>
      <c r="Q32" t="s">
        <v>1552</v>
      </c>
      <c r="R32" t="s">
        <v>1550</v>
      </c>
      <c r="S32" t="s">
        <v>1534</v>
      </c>
      <c r="T32" t="s">
        <v>1540</v>
      </c>
      <c r="U32" t="s">
        <v>1547</v>
      </c>
      <c r="V32" t="s">
        <v>1559</v>
      </c>
      <c r="W32" t="s">
        <v>1563</v>
      </c>
      <c r="X32" t="s">
        <v>1575</v>
      </c>
      <c r="Y32" t="s">
        <v>1583</v>
      </c>
      <c r="Z32" t="s">
        <v>1594</v>
      </c>
      <c r="AA32" t="s">
        <v>1596</v>
      </c>
      <c r="AB32" t="s">
        <v>1601</v>
      </c>
      <c r="AC32" t="s">
        <v>1610</v>
      </c>
      <c r="AD32" t="s">
        <v>1607</v>
      </c>
      <c r="AE32" t="s">
        <v>1616</v>
      </c>
      <c r="AF32" t="s">
        <v>1627</v>
      </c>
    </row>
    <row r="33" spans="1:32" x14ac:dyDescent="0.25">
      <c r="A33" t="s">
        <v>90</v>
      </c>
      <c r="B33">
        <v>44</v>
      </c>
      <c r="C33">
        <v>1459</v>
      </c>
      <c r="D33">
        <v>10</v>
      </c>
      <c r="E33">
        <v>41</v>
      </c>
      <c r="F33">
        <v>6465</v>
      </c>
      <c r="G33">
        <v>19121</v>
      </c>
      <c r="H33">
        <v>2</v>
      </c>
      <c r="I33">
        <v>13</v>
      </c>
      <c r="J33">
        <v>9</v>
      </c>
      <c r="K33">
        <v>5</v>
      </c>
      <c r="L33">
        <v>4</v>
      </c>
      <c r="M33">
        <v>2</v>
      </c>
      <c r="N33">
        <v>1</v>
      </c>
      <c r="O33">
        <v>3</v>
      </c>
      <c r="P33" t="s">
        <v>1556</v>
      </c>
      <c r="Q33" t="s">
        <v>1552</v>
      </c>
      <c r="R33" t="s">
        <v>1550</v>
      </c>
      <c r="S33" t="s">
        <v>1535</v>
      </c>
      <c r="T33" t="s">
        <v>1539</v>
      </c>
      <c r="U33" t="s">
        <v>1548</v>
      </c>
      <c r="V33" t="s">
        <v>1559</v>
      </c>
      <c r="W33" t="s">
        <v>1563</v>
      </c>
      <c r="X33" t="s">
        <v>1576</v>
      </c>
      <c r="Y33" t="s">
        <v>1585</v>
      </c>
      <c r="Z33" t="s">
        <v>1594</v>
      </c>
      <c r="AA33" t="s">
        <v>1597</v>
      </c>
      <c r="AB33" t="s">
        <v>1600</v>
      </c>
      <c r="AC33" t="s">
        <v>1610</v>
      </c>
      <c r="AD33" t="s">
        <v>1607</v>
      </c>
      <c r="AE33" t="s">
        <v>1616</v>
      </c>
      <c r="AF33" t="s">
        <v>1628</v>
      </c>
    </row>
    <row r="34" spans="1:32" x14ac:dyDescent="0.25">
      <c r="A34" t="s">
        <v>91</v>
      </c>
      <c r="B34">
        <v>30</v>
      </c>
      <c r="C34">
        <v>125</v>
      </c>
      <c r="D34">
        <v>9</v>
      </c>
      <c r="E34">
        <v>83</v>
      </c>
      <c r="F34">
        <v>2206</v>
      </c>
      <c r="G34">
        <v>16117</v>
      </c>
      <c r="H34">
        <v>1</v>
      </c>
      <c r="I34">
        <v>13</v>
      </c>
      <c r="J34">
        <v>10</v>
      </c>
      <c r="K34">
        <v>5</v>
      </c>
      <c r="L34">
        <v>10</v>
      </c>
      <c r="M34">
        <v>0</v>
      </c>
      <c r="N34">
        <v>1</v>
      </c>
      <c r="O34">
        <v>8</v>
      </c>
      <c r="P34" t="s">
        <v>1556</v>
      </c>
      <c r="Q34" t="s">
        <v>1552</v>
      </c>
      <c r="R34" t="s">
        <v>1550</v>
      </c>
      <c r="S34" t="s">
        <v>1533</v>
      </c>
      <c r="T34" t="s">
        <v>1540</v>
      </c>
      <c r="U34" t="s">
        <v>1548</v>
      </c>
      <c r="V34" t="s">
        <v>1559</v>
      </c>
      <c r="W34" t="s">
        <v>1562</v>
      </c>
      <c r="X34" t="s">
        <v>1575</v>
      </c>
      <c r="Y34" t="s">
        <v>1583</v>
      </c>
      <c r="Z34" t="s">
        <v>1593</v>
      </c>
      <c r="AA34" t="s">
        <v>1596</v>
      </c>
      <c r="AB34" t="s">
        <v>1601</v>
      </c>
      <c r="AC34" t="s">
        <v>1610</v>
      </c>
      <c r="AD34" t="s">
        <v>1604</v>
      </c>
      <c r="AE34" t="s">
        <v>1616</v>
      </c>
      <c r="AF34" t="s">
        <v>1627</v>
      </c>
    </row>
    <row r="35" spans="1:32" x14ac:dyDescent="0.25">
      <c r="A35" t="s">
        <v>92</v>
      </c>
      <c r="B35">
        <v>39</v>
      </c>
      <c r="C35">
        <v>895</v>
      </c>
      <c r="D35">
        <v>5</v>
      </c>
      <c r="E35">
        <v>56</v>
      </c>
      <c r="F35">
        <v>2086</v>
      </c>
      <c r="G35">
        <v>3335</v>
      </c>
      <c r="H35">
        <v>3</v>
      </c>
      <c r="I35">
        <v>14</v>
      </c>
      <c r="J35">
        <v>19</v>
      </c>
      <c r="K35">
        <v>6</v>
      </c>
      <c r="L35">
        <v>1</v>
      </c>
      <c r="M35">
        <v>0</v>
      </c>
      <c r="N35">
        <v>0</v>
      </c>
      <c r="O35">
        <v>0</v>
      </c>
      <c r="P35" t="s">
        <v>1555</v>
      </c>
      <c r="Q35" t="s">
        <v>1552</v>
      </c>
      <c r="R35" t="s">
        <v>1549</v>
      </c>
      <c r="S35" t="s">
        <v>1534</v>
      </c>
      <c r="T35" t="s">
        <v>1542</v>
      </c>
      <c r="U35" t="s">
        <v>1548</v>
      </c>
      <c r="V35" t="s">
        <v>1559</v>
      </c>
      <c r="W35" t="s">
        <v>1563</v>
      </c>
      <c r="X35" t="s">
        <v>1576</v>
      </c>
      <c r="Y35" t="s">
        <v>1587</v>
      </c>
      <c r="Z35" t="s">
        <v>1594</v>
      </c>
      <c r="AA35" t="s">
        <v>1597</v>
      </c>
      <c r="AB35" t="s">
        <v>1601</v>
      </c>
      <c r="AC35" t="s">
        <v>1610</v>
      </c>
      <c r="AD35" t="s">
        <v>1606</v>
      </c>
      <c r="AE35" t="s">
        <v>1617</v>
      </c>
      <c r="AF35" t="s">
        <v>1628</v>
      </c>
    </row>
    <row r="36" spans="1:32" x14ac:dyDescent="0.25">
      <c r="A36" t="s">
        <v>93</v>
      </c>
      <c r="B36">
        <v>24</v>
      </c>
      <c r="C36">
        <v>813</v>
      </c>
      <c r="D36">
        <v>1</v>
      </c>
      <c r="E36">
        <v>61</v>
      </c>
      <c r="F36">
        <v>2293</v>
      </c>
      <c r="G36">
        <v>3020</v>
      </c>
      <c r="H36">
        <v>2</v>
      </c>
      <c r="I36">
        <v>16</v>
      </c>
      <c r="J36">
        <v>6</v>
      </c>
      <c r="K36">
        <v>2</v>
      </c>
      <c r="L36">
        <v>2</v>
      </c>
      <c r="M36">
        <v>0</v>
      </c>
      <c r="N36">
        <v>2</v>
      </c>
      <c r="O36">
        <v>0</v>
      </c>
      <c r="P36" t="s">
        <v>1555</v>
      </c>
      <c r="Q36" t="s">
        <v>1552</v>
      </c>
      <c r="R36" t="s">
        <v>1550</v>
      </c>
      <c r="S36" t="s">
        <v>1534</v>
      </c>
      <c r="T36" t="s">
        <v>1540</v>
      </c>
      <c r="U36" t="s">
        <v>1546</v>
      </c>
      <c r="V36" t="s">
        <v>1559</v>
      </c>
      <c r="W36" t="s">
        <v>1563</v>
      </c>
      <c r="X36" t="s">
        <v>1575</v>
      </c>
      <c r="Y36" t="s">
        <v>1582</v>
      </c>
      <c r="Z36" t="s">
        <v>1594</v>
      </c>
      <c r="AA36" t="s">
        <v>1597</v>
      </c>
      <c r="AB36" t="s">
        <v>1600</v>
      </c>
      <c r="AC36" t="s">
        <v>1610</v>
      </c>
      <c r="AD36" t="s">
        <v>1604</v>
      </c>
      <c r="AE36" t="s">
        <v>1617</v>
      </c>
      <c r="AF36" t="s">
        <v>1626</v>
      </c>
    </row>
    <row r="37" spans="1:32" x14ac:dyDescent="0.25">
      <c r="A37" t="s">
        <v>94</v>
      </c>
      <c r="B37">
        <v>43</v>
      </c>
      <c r="C37">
        <v>1273</v>
      </c>
      <c r="D37">
        <v>2</v>
      </c>
      <c r="E37">
        <v>72</v>
      </c>
      <c r="F37">
        <v>2645</v>
      </c>
      <c r="G37">
        <v>21923</v>
      </c>
      <c r="H37">
        <v>1</v>
      </c>
      <c r="I37">
        <v>12</v>
      </c>
      <c r="J37">
        <v>6</v>
      </c>
      <c r="K37">
        <v>3</v>
      </c>
      <c r="L37">
        <v>5</v>
      </c>
      <c r="M37">
        <v>3</v>
      </c>
      <c r="N37">
        <v>1</v>
      </c>
      <c r="O37">
        <v>4</v>
      </c>
      <c r="P37" t="s">
        <v>1556</v>
      </c>
      <c r="Q37" t="s">
        <v>1552</v>
      </c>
      <c r="R37" t="s">
        <v>1550</v>
      </c>
      <c r="S37" t="s">
        <v>1533</v>
      </c>
      <c r="T37" t="s">
        <v>1540</v>
      </c>
      <c r="U37" t="s">
        <v>1548</v>
      </c>
      <c r="V37" t="s">
        <v>1558</v>
      </c>
      <c r="W37" t="s">
        <v>1564</v>
      </c>
      <c r="X37" t="s">
        <v>1575</v>
      </c>
      <c r="Y37" t="s">
        <v>1582</v>
      </c>
      <c r="Z37" t="s">
        <v>1593</v>
      </c>
      <c r="AA37" t="s">
        <v>1598</v>
      </c>
      <c r="AB37" t="s">
        <v>1601</v>
      </c>
      <c r="AC37" t="s">
        <v>1610</v>
      </c>
      <c r="AD37" t="s">
        <v>1607</v>
      </c>
      <c r="AE37" t="s">
        <v>1618</v>
      </c>
      <c r="AF37" t="s">
        <v>1626</v>
      </c>
    </row>
    <row r="38" spans="1:32" x14ac:dyDescent="0.25">
      <c r="A38" t="s">
        <v>95</v>
      </c>
      <c r="B38">
        <v>50</v>
      </c>
      <c r="C38">
        <v>869</v>
      </c>
      <c r="D38">
        <v>3</v>
      </c>
      <c r="E38">
        <v>86</v>
      </c>
      <c r="F38">
        <v>2683</v>
      </c>
      <c r="G38">
        <v>3810</v>
      </c>
      <c r="H38">
        <v>1</v>
      </c>
      <c r="I38">
        <v>14</v>
      </c>
      <c r="J38">
        <v>3</v>
      </c>
      <c r="K38">
        <v>2</v>
      </c>
      <c r="L38">
        <v>3</v>
      </c>
      <c r="M38">
        <v>2</v>
      </c>
      <c r="N38">
        <v>0</v>
      </c>
      <c r="O38">
        <v>2</v>
      </c>
      <c r="P38" t="s">
        <v>1555</v>
      </c>
      <c r="Q38" t="s">
        <v>1552</v>
      </c>
      <c r="R38" t="s">
        <v>1549</v>
      </c>
      <c r="S38" t="s">
        <v>1533</v>
      </c>
      <c r="T38" t="s">
        <v>1541</v>
      </c>
      <c r="U38" t="s">
        <v>1545</v>
      </c>
      <c r="V38" t="s">
        <v>1559</v>
      </c>
      <c r="W38" t="s">
        <v>1562</v>
      </c>
      <c r="X38" t="s">
        <v>1575</v>
      </c>
      <c r="Y38" t="s">
        <v>1587</v>
      </c>
      <c r="Z38" t="s">
        <v>1593</v>
      </c>
      <c r="AA38" t="s">
        <v>1597</v>
      </c>
      <c r="AB38" t="s">
        <v>1600</v>
      </c>
      <c r="AC38" t="s">
        <v>1610</v>
      </c>
      <c r="AD38" t="s">
        <v>1606</v>
      </c>
      <c r="AE38" t="s">
        <v>1616</v>
      </c>
      <c r="AF38" t="s">
        <v>1627</v>
      </c>
    </row>
    <row r="39" spans="1:32" x14ac:dyDescent="0.25">
      <c r="A39" t="s">
        <v>96</v>
      </c>
      <c r="B39">
        <v>35</v>
      </c>
      <c r="C39">
        <v>890</v>
      </c>
      <c r="D39">
        <v>2</v>
      </c>
      <c r="E39">
        <v>97</v>
      </c>
      <c r="F39">
        <v>2014</v>
      </c>
      <c r="G39">
        <v>9687</v>
      </c>
      <c r="H39">
        <v>1</v>
      </c>
      <c r="I39">
        <v>13</v>
      </c>
      <c r="J39">
        <v>2</v>
      </c>
      <c r="K39">
        <v>3</v>
      </c>
      <c r="L39">
        <v>2</v>
      </c>
      <c r="M39">
        <v>2</v>
      </c>
      <c r="N39">
        <v>2</v>
      </c>
      <c r="O39">
        <v>2</v>
      </c>
      <c r="P39" t="s">
        <v>1556</v>
      </c>
      <c r="Q39" t="s">
        <v>1552</v>
      </c>
      <c r="R39" t="s">
        <v>1549</v>
      </c>
      <c r="S39" t="s">
        <v>1534</v>
      </c>
      <c r="T39" t="s">
        <v>1541</v>
      </c>
      <c r="U39" t="s">
        <v>1548</v>
      </c>
      <c r="V39" t="s">
        <v>1558</v>
      </c>
      <c r="W39" t="s">
        <v>1563</v>
      </c>
      <c r="X39" t="s">
        <v>1575</v>
      </c>
      <c r="Y39" t="s">
        <v>1587</v>
      </c>
      <c r="Z39" t="s">
        <v>1594</v>
      </c>
      <c r="AA39" t="s">
        <v>1597</v>
      </c>
      <c r="AB39" t="s">
        <v>1601</v>
      </c>
      <c r="AC39" t="s">
        <v>1610</v>
      </c>
      <c r="AD39" t="s">
        <v>1604</v>
      </c>
      <c r="AE39" t="s">
        <v>1616</v>
      </c>
      <c r="AF39" t="s">
        <v>1627</v>
      </c>
    </row>
    <row r="40" spans="1:32" x14ac:dyDescent="0.25">
      <c r="A40" t="s">
        <v>97</v>
      </c>
      <c r="B40">
        <v>36</v>
      </c>
      <c r="C40">
        <v>852</v>
      </c>
      <c r="D40">
        <v>5</v>
      </c>
      <c r="E40">
        <v>82</v>
      </c>
      <c r="F40">
        <v>3419</v>
      </c>
      <c r="G40">
        <v>13072</v>
      </c>
      <c r="H40">
        <v>9</v>
      </c>
      <c r="I40">
        <v>14</v>
      </c>
      <c r="J40">
        <v>6</v>
      </c>
      <c r="K40">
        <v>3</v>
      </c>
      <c r="L40">
        <v>1</v>
      </c>
      <c r="M40">
        <v>1</v>
      </c>
      <c r="N40">
        <v>0</v>
      </c>
      <c r="O40">
        <v>0</v>
      </c>
      <c r="P40" t="s">
        <v>1556</v>
      </c>
      <c r="Q40" t="s">
        <v>1552</v>
      </c>
      <c r="R40" t="s">
        <v>1550</v>
      </c>
      <c r="S40" t="s">
        <v>1535</v>
      </c>
      <c r="T40" t="s">
        <v>1538</v>
      </c>
      <c r="U40" t="s">
        <v>1546</v>
      </c>
      <c r="V40" t="s">
        <v>1558</v>
      </c>
      <c r="W40" t="s">
        <v>1562</v>
      </c>
      <c r="X40" t="s">
        <v>1575</v>
      </c>
      <c r="Y40" t="s">
        <v>1582</v>
      </c>
      <c r="Z40" t="s">
        <v>1591</v>
      </c>
      <c r="AA40" t="s">
        <v>1597</v>
      </c>
      <c r="AB40" t="s">
        <v>1600</v>
      </c>
      <c r="AC40" t="s">
        <v>1610</v>
      </c>
      <c r="AD40" t="s">
        <v>1607</v>
      </c>
      <c r="AE40" t="s">
        <v>1617</v>
      </c>
      <c r="AF40" t="s">
        <v>1628</v>
      </c>
    </row>
    <row r="41" spans="1:32" x14ac:dyDescent="0.25">
      <c r="A41" t="s">
        <v>98</v>
      </c>
      <c r="B41">
        <v>33</v>
      </c>
      <c r="C41">
        <v>1141</v>
      </c>
      <c r="D41">
        <v>1</v>
      </c>
      <c r="E41">
        <v>42</v>
      </c>
      <c r="F41">
        <v>5376</v>
      </c>
      <c r="G41">
        <v>3193</v>
      </c>
      <c r="H41">
        <v>2</v>
      </c>
      <c r="I41">
        <v>19</v>
      </c>
      <c r="J41">
        <v>10</v>
      </c>
      <c r="K41">
        <v>3</v>
      </c>
      <c r="L41">
        <v>5</v>
      </c>
      <c r="M41">
        <v>3</v>
      </c>
      <c r="N41">
        <v>1</v>
      </c>
      <c r="O41">
        <v>3</v>
      </c>
      <c r="P41" t="s">
        <v>1556</v>
      </c>
      <c r="Q41" t="s">
        <v>1553</v>
      </c>
      <c r="R41" t="s">
        <v>1549</v>
      </c>
      <c r="S41" t="s">
        <v>1534</v>
      </c>
      <c r="T41" t="s">
        <v>1538</v>
      </c>
      <c r="U41" t="s">
        <v>1547</v>
      </c>
      <c r="V41" t="s">
        <v>1558</v>
      </c>
      <c r="W41" t="s">
        <v>1564</v>
      </c>
      <c r="X41" t="s">
        <v>1576</v>
      </c>
      <c r="Y41" t="s">
        <v>1581</v>
      </c>
      <c r="Z41" t="s">
        <v>1591</v>
      </c>
      <c r="AA41" t="s">
        <v>1597</v>
      </c>
      <c r="AB41" t="s">
        <v>1601</v>
      </c>
      <c r="AC41" t="s">
        <v>1610</v>
      </c>
      <c r="AD41" t="s">
        <v>1604</v>
      </c>
      <c r="AE41" t="s">
        <v>1618</v>
      </c>
      <c r="AF41" t="s">
        <v>1627</v>
      </c>
    </row>
    <row r="42" spans="1:32" x14ac:dyDescent="0.25">
      <c r="A42" t="s">
        <v>99</v>
      </c>
      <c r="B42">
        <v>35</v>
      </c>
      <c r="C42">
        <v>464</v>
      </c>
      <c r="D42">
        <v>4</v>
      </c>
      <c r="E42">
        <v>75</v>
      </c>
      <c r="F42">
        <v>1951</v>
      </c>
      <c r="G42">
        <v>10910</v>
      </c>
      <c r="H42">
        <v>1</v>
      </c>
      <c r="I42">
        <v>12</v>
      </c>
      <c r="J42">
        <v>1</v>
      </c>
      <c r="K42">
        <v>3</v>
      </c>
      <c r="L42">
        <v>1</v>
      </c>
      <c r="M42">
        <v>0</v>
      </c>
      <c r="N42">
        <v>0</v>
      </c>
      <c r="O42">
        <v>0</v>
      </c>
      <c r="P42" t="s">
        <v>1556</v>
      </c>
      <c r="Q42" t="s">
        <v>1552</v>
      </c>
      <c r="R42" t="s">
        <v>1550</v>
      </c>
      <c r="S42" t="s">
        <v>1533</v>
      </c>
      <c r="T42" t="s">
        <v>1539</v>
      </c>
      <c r="U42" t="s">
        <v>1547</v>
      </c>
      <c r="V42" t="s">
        <v>1559</v>
      </c>
      <c r="W42" t="s">
        <v>1563</v>
      </c>
      <c r="X42" t="s">
        <v>1575</v>
      </c>
      <c r="Y42" t="s">
        <v>1583</v>
      </c>
      <c r="Z42" t="s">
        <v>1594</v>
      </c>
      <c r="AA42" t="s">
        <v>1598</v>
      </c>
      <c r="AB42" t="s">
        <v>1601</v>
      </c>
      <c r="AC42" t="s">
        <v>1610</v>
      </c>
      <c r="AD42" t="s">
        <v>1606</v>
      </c>
      <c r="AE42" t="s">
        <v>1617</v>
      </c>
      <c r="AF42" t="s">
        <v>1627</v>
      </c>
    </row>
    <row r="43" spans="1:32" x14ac:dyDescent="0.25">
      <c r="A43" t="s">
        <v>100</v>
      </c>
      <c r="B43">
        <v>27</v>
      </c>
      <c r="C43">
        <v>1240</v>
      </c>
      <c r="D43">
        <v>2</v>
      </c>
      <c r="E43">
        <v>33</v>
      </c>
      <c r="F43">
        <v>2341</v>
      </c>
      <c r="G43">
        <v>19715</v>
      </c>
      <c r="H43">
        <v>1</v>
      </c>
      <c r="I43">
        <v>13</v>
      </c>
      <c r="J43">
        <v>1</v>
      </c>
      <c r="K43">
        <v>6</v>
      </c>
      <c r="L43">
        <v>1</v>
      </c>
      <c r="M43">
        <v>0</v>
      </c>
      <c r="N43">
        <v>0</v>
      </c>
      <c r="O43">
        <v>0</v>
      </c>
      <c r="P43" t="s">
        <v>1556</v>
      </c>
      <c r="Q43" t="s">
        <v>1552</v>
      </c>
      <c r="R43" t="s">
        <v>1550</v>
      </c>
      <c r="S43" t="s">
        <v>1535</v>
      </c>
      <c r="T43" t="s">
        <v>1538</v>
      </c>
      <c r="U43" t="s">
        <v>1548</v>
      </c>
      <c r="V43" t="s">
        <v>1558</v>
      </c>
      <c r="W43" t="s">
        <v>1563</v>
      </c>
      <c r="X43" t="s">
        <v>1575</v>
      </c>
      <c r="Y43" t="s">
        <v>1583</v>
      </c>
      <c r="Z43" t="s">
        <v>1591</v>
      </c>
      <c r="AA43" t="s">
        <v>1598</v>
      </c>
      <c r="AB43" t="s">
        <v>1601</v>
      </c>
      <c r="AC43" t="s">
        <v>1610</v>
      </c>
      <c r="AD43" t="s">
        <v>1607</v>
      </c>
      <c r="AE43" t="s">
        <v>1617</v>
      </c>
      <c r="AF43" t="s">
        <v>1627</v>
      </c>
    </row>
    <row r="44" spans="1:32" x14ac:dyDescent="0.25">
      <c r="A44" t="s">
        <v>101</v>
      </c>
      <c r="B44">
        <v>26</v>
      </c>
      <c r="C44">
        <v>1357</v>
      </c>
      <c r="D44">
        <v>25</v>
      </c>
      <c r="E44">
        <v>48</v>
      </c>
      <c r="F44">
        <v>2293</v>
      </c>
      <c r="G44">
        <v>10558</v>
      </c>
      <c r="H44">
        <v>1</v>
      </c>
      <c r="I44">
        <v>12</v>
      </c>
      <c r="J44">
        <v>1</v>
      </c>
      <c r="K44">
        <v>2</v>
      </c>
      <c r="L44">
        <v>1</v>
      </c>
      <c r="M44">
        <v>0</v>
      </c>
      <c r="N44">
        <v>0</v>
      </c>
      <c r="O44">
        <v>1</v>
      </c>
      <c r="P44" t="s">
        <v>1555</v>
      </c>
      <c r="Q44" t="s">
        <v>1552</v>
      </c>
      <c r="R44" t="s">
        <v>1550</v>
      </c>
      <c r="S44" t="s">
        <v>1534</v>
      </c>
      <c r="T44" t="s">
        <v>1538</v>
      </c>
      <c r="U44" t="s">
        <v>1545</v>
      </c>
      <c r="V44" t="s">
        <v>1559</v>
      </c>
      <c r="W44" t="s">
        <v>1561</v>
      </c>
      <c r="X44" t="s">
        <v>1575</v>
      </c>
      <c r="Y44" t="s">
        <v>1583</v>
      </c>
      <c r="Z44" t="s">
        <v>1593</v>
      </c>
      <c r="AA44" t="s">
        <v>1596</v>
      </c>
      <c r="AB44" t="s">
        <v>1601</v>
      </c>
      <c r="AC44" t="s">
        <v>1610</v>
      </c>
      <c r="AD44" t="s">
        <v>1606</v>
      </c>
      <c r="AE44" t="s">
        <v>1616</v>
      </c>
      <c r="AF44" t="s">
        <v>1626</v>
      </c>
    </row>
    <row r="45" spans="1:32" x14ac:dyDescent="0.25">
      <c r="A45" t="s">
        <v>102</v>
      </c>
      <c r="B45">
        <v>27</v>
      </c>
      <c r="C45">
        <v>994</v>
      </c>
      <c r="D45">
        <v>8</v>
      </c>
      <c r="E45">
        <v>37</v>
      </c>
      <c r="F45">
        <v>8726</v>
      </c>
      <c r="G45">
        <v>2975</v>
      </c>
      <c r="H45">
        <v>1</v>
      </c>
      <c r="I45">
        <v>15</v>
      </c>
      <c r="J45">
        <v>9</v>
      </c>
      <c r="K45">
        <v>0</v>
      </c>
      <c r="L45">
        <v>9</v>
      </c>
      <c r="M45">
        <v>8</v>
      </c>
      <c r="N45">
        <v>1</v>
      </c>
      <c r="O45">
        <v>7</v>
      </c>
      <c r="P45" t="s">
        <v>1556</v>
      </c>
      <c r="Q45" t="s">
        <v>1553</v>
      </c>
      <c r="R45" t="s">
        <v>1549</v>
      </c>
      <c r="S45" t="s">
        <v>1534</v>
      </c>
      <c r="T45" t="s">
        <v>1538</v>
      </c>
      <c r="U45" t="s">
        <v>1548</v>
      </c>
      <c r="V45" t="s">
        <v>1559</v>
      </c>
      <c r="W45" t="s">
        <v>1563</v>
      </c>
      <c r="X45" t="s">
        <v>1577</v>
      </c>
      <c r="Y45" t="s">
        <v>1581</v>
      </c>
      <c r="Z45" t="s">
        <v>1593</v>
      </c>
      <c r="AA45" t="s">
        <v>1596</v>
      </c>
      <c r="AB45" t="s">
        <v>1601</v>
      </c>
      <c r="AC45" t="s">
        <v>1610</v>
      </c>
      <c r="AD45" t="s">
        <v>1607</v>
      </c>
      <c r="AE45" t="s">
        <v>1616</v>
      </c>
      <c r="AF45" t="s">
        <v>1627</v>
      </c>
    </row>
    <row r="46" spans="1:32" x14ac:dyDescent="0.25">
      <c r="A46" t="s">
        <v>103</v>
      </c>
      <c r="B46">
        <v>30</v>
      </c>
      <c r="C46">
        <v>721</v>
      </c>
      <c r="D46">
        <v>1</v>
      </c>
      <c r="E46">
        <v>58</v>
      </c>
      <c r="F46">
        <v>4011</v>
      </c>
      <c r="G46">
        <v>10781</v>
      </c>
      <c r="H46">
        <v>1</v>
      </c>
      <c r="I46">
        <v>23</v>
      </c>
      <c r="J46">
        <v>12</v>
      </c>
      <c r="K46">
        <v>2</v>
      </c>
      <c r="L46">
        <v>12</v>
      </c>
      <c r="M46">
        <v>8</v>
      </c>
      <c r="N46">
        <v>3</v>
      </c>
      <c r="O46">
        <v>7</v>
      </c>
      <c r="P46" t="s">
        <v>1556</v>
      </c>
      <c r="Q46" t="s">
        <v>1553</v>
      </c>
      <c r="R46" t="s">
        <v>1550</v>
      </c>
      <c r="S46" t="s">
        <v>1533</v>
      </c>
      <c r="T46" t="s">
        <v>1540</v>
      </c>
      <c r="U46" t="s">
        <v>1547</v>
      </c>
      <c r="V46" t="s">
        <v>1558</v>
      </c>
      <c r="W46" t="s">
        <v>1563</v>
      </c>
      <c r="X46" t="s">
        <v>1576</v>
      </c>
      <c r="Y46" t="s">
        <v>1583</v>
      </c>
      <c r="Z46" t="s">
        <v>1594</v>
      </c>
      <c r="AA46" t="s">
        <v>1596</v>
      </c>
      <c r="AB46" t="s">
        <v>1601</v>
      </c>
      <c r="AC46" t="s">
        <v>1611</v>
      </c>
      <c r="AD46" t="s">
        <v>1607</v>
      </c>
      <c r="AE46" t="s">
        <v>1616</v>
      </c>
      <c r="AF46" t="s">
        <v>1627</v>
      </c>
    </row>
    <row r="47" spans="1:32" x14ac:dyDescent="0.25">
      <c r="A47" t="s">
        <v>104</v>
      </c>
      <c r="B47">
        <v>41</v>
      </c>
      <c r="C47">
        <v>1360</v>
      </c>
      <c r="D47">
        <v>12</v>
      </c>
      <c r="E47">
        <v>49</v>
      </c>
      <c r="F47">
        <v>19545</v>
      </c>
      <c r="G47">
        <v>16280</v>
      </c>
      <c r="H47">
        <v>1</v>
      </c>
      <c r="I47">
        <v>12</v>
      </c>
      <c r="J47">
        <v>23</v>
      </c>
      <c r="K47">
        <v>0</v>
      </c>
      <c r="L47">
        <v>22</v>
      </c>
      <c r="M47">
        <v>15</v>
      </c>
      <c r="N47">
        <v>15</v>
      </c>
      <c r="O47">
        <v>8</v>
      </c>
      <c r="P47" t="s">
        <v>1555</v>
      </c>
      <c r="Q47" t="s">
        <v>1552</v>
      </c>
      <c r="R47" t="s">
        <v>1550</v>
      </c>
      <c r="S47" t="s">
        <v>1534</v>
      </c>
      <c r="T47" t="s">
        <v>1542</v>
      </c>
      <c r="U47" t="s">
        <v>1546</v>
      </c>
      <c r="V47" t="s">
        <v>1558</v>
      </c>
      <c r="W47" t="s">
        <v>1563</v>
      </c>
      <c r="X47" t="s">
        <v>1579</v>
      </c>
      <c r="Y47" t="s">
        <v>1588</v>
      </c>
      <c r="Z47" t="s">
        <v>1593</v>
      </c>
      <c r="AA47" t="s">
        <v>1597</v>
      </c>
      <c r="AB47" t="s">
        <v>1601</v>
      </c>
      <c r="AC47" t="s">
        <v>1610</v>
      </c>
      <c r="AD47" t="s">
        <v>1607</v>
      </c>
      <c r="AE47" t="s">
        <v>1616</v>
      </c>
      <c r="AF47" t="s">
        <v>1627</v>
      </c>
    </row>
    <row r="48" spans="1:32" x14ac:dyDescent="0.25">
      <c r="A48" t="s">
        <v>105</v>
      </c>
      <c r="B48">
        <v>34</v>
      </c>
      <c r="C48">
        <v>1065</v>
      </c>
      <c r="D48">
        <v>23</v>
      </c>
      <c r="E48">
        <v>72</v>
      </c>
      <c r="F48">
        <v>4568</v>
      </c>
      <c r="G48">
        <v>10034</v>
      </c>
      <c r="H48">
        <v>0</v>
      </c>
      <c r="I48">
        <v>20</v>
      </c>
      <c r="J48">
        <v>10</v>
      </c>
      <c r="K48">
        <v>2</v>
      </c>
      <c r="L48">
        <v>9</v>
      </c>
      <c r="M48">
        <v>5</v>
      </c>
      <c r="N48">
        <v>8</v>
      </c>
      <c r="O48">
        <v>7</v>
      </c>
      <c r="P48" t="s">
        <v>1556</v>
      </c>
      <c r="Q48" t="s">
        <v>1554</v>
      </c>
      <c r="R48" t="s">
        <v>1549</v>
      </c>
      <c r="S48" t="s">
        <v>1535</v>
      </c>
      <c r="T48" t="s">
        <v>1541</v>
      </c>
      <c r="U48" t="s">
        <v>1546</v>
      </c>
      <c r="V48" t="s">
        <v>1559</v>
      </c>
      <c r="W48" t="s">
        <v>1563</v>
      </c>
      <c r="X48" t="s">
        <v>1576</v>
      </c>
      <c r="Y48" t="s">
        <v>1581</v>
      </c>
      <c r="Z48" t="s">
        <v>1593</v>
      </c>
      <c r="AA48" t="s">
        <v>1596</v>
      </c>
      <c r="AB48" t="s">
        <v>1601</v>
      </c>
      <c r="AC48" t="s">
        <v>1611</v>
      </c>
      <c r="AD48" t="s">
        <v>1606</v>
      </c>
      <c r="AE48" t="s">
        <v>1616</v>
      </c>
      <c r="AF48" t="s">
        <v>1627</v>
      </c>
    </row>
    <row r="49" spans="1:32" x14ac:dyDescent="0.25">
      <c r="A49" t="s">
        <v>106</v>
      </c>
      <c r="B49">
        <v>37</v>
      </c>
      <c r="C49">
        <v>408</v>
      </c>
      <c r="D49">
        <v>19</v>
      </c>
      <c r="E49">
        <v>73</v>
      </c>
      <c r="F49">
        <v>3022</v>
      </c>
      <c r="G49">
        <v>10227</v>
      </c>
      <c r="H49">
        <v>4</v>
      </c>
      <c r="I49">
        <v>21</v>
      </c>
      <c r="J49">
        <v>8</v>
      </c>
      <c r="K49">
        <v>1</v>
      </c>
      <c r="L49">
        <v>1</v>
      </c>
      <c r="M49">
        <v>0</v>
      </c>
      <c r="N49">
        <v>0</v>
      </c>
      <c r="O49">
        <v>0</v>
      </c>
      <c r="P49" t="s">
        <v>1556</v>
      </c>
      <c r="Q49" t="s">
        <v>1552</v>
      </c>
      <c r="R49" t="s">
        <v>1550</v>
      </c>
      <c r="S49" t="s">
        <v>1533</v>
      </c>
      <c r="T49" t="s">
        <v>1538</v>
      </c>
      <c r="U49" t="s">
        <v>1546</v>
      </c>
      <c r="V49" t="s">
        <v>1559</v>
      </c>
      <c r="W49" t="s">
        <v>1563</v>
      </c>
      <c r="X49" t="s">
        <v>1575</v>
      </c>
      <c r="Y49" t="s">
        <v>1582</v>
      </c>
      <c r="Z49" t="s">
        <v>1592</v>
      </c>
      <c r="AA49" t="s">
        <v>1597</v>
      </c>
      <c r="AB49" t="s">
        <v>1601</v>
      </c>
      <c r="AC49" t="s">
        <v>1611</v>
      </c>
      <c r="AD49" t="s">
        <v>1604</v>
      </c>
      <c r="AE49" t="s">
        <v>1616</v>
      </c>
      <c r="AF49" t="s">
        <v>1627</v>
      </c>
    </row>
    <row r="50" spans="1:32" x14ac:dyDescent="0.25">
      <c r="A50" t="s">
        <v>107</v>
      </c>
      <c r="B50">
        <v>46</v>
      </c>
      <c r="C50">
        <v>1211</v>
      </c>
      <c r="D50">
        <v>5</v>
      </c>
      <c r="E50">
        <v>98</v>
      </c>
      <c r="F50">
        <v>5772</v>
      </c>
      <c r="G50">
        <v>20445</v>
      </c>
      <c r="H50">
        <v>4</v>
      </c>
      <c r="I50">
        <v>21</v>
      </c>
      <c r="J50">
        <v>14</v>
      </c>
      <c r="K50">
        <v>4</v>
      </c>
      <c r="L50">
        <v>9</v>
      </c>
      <c r="M50">
        <v>6</v>
      </c>
      <c r="N50">
        <v>0</v>
      </c>
      <c r="O50">
        <v>8</v>
      </c>
      <c r="P50" t="s">
        <v>1556</v>
      </c>
      <c r="Q50" t="s">
        <v>1553</v>
      </c>
      <c r="R50" t="s">
        <v>1549</v>
      </c>
      <c r="S50" t="s">
        <v>1535</v>
      </c>
      <c r="T50" t="s">
        <v>1541</v>
      </c>
      <c r="U50" t="s">
        <v>1545</v>
      </c>
      <c r="V50" t="s">
        <v>1559</v>
      </c>
      <c r="W50" t="s">
        <v>1563</v>
      </c>
      <c r="X50" t="s">
        <v>1576</v>
      </c>
      <c r="Y50" t="s">
        <v>1581</v>
      </c>
      <c r="Z50" t="s">
        <v>1594</v>
      </c>
      <c r="AA50" t="s">
        <v>1596</v>
      </c>
      <c r="AB50" t="s">
        <v>1600</v>
      </c>
      <c r="AC50" t="s">
        <v>1611</v>
      </c>
      <c r="AD50" t="s">
        <v>1606</v>
      </c>
      <c r="AE50" t="s">
        <v>1616</v>
      </c>
      <c r="AF50" t="s">
        <v>1627</v>
      </c>
    </row>
    <row r="51" spans="1:32" x14ac:dyDescent="0.25">
      <c r="A51" t="s">
        <v>108</v>
      </c>
      <c r="B51">
        <v>35</v>
      </c>
      <c r="C51">
        <v>1229</v>
      </c>
      <c r="D51">
        <v>8</v>
      </c>
      <c r="E51">
        <v>36</v>
      </c>
      <c r="F51">
        <v>2269</v>
      </c>
      <c r="G51">
        <v>4892</v>
      </c>
      <c r="H51">
        <v>1</v>
      </c>
      <c r="I51">
        <v>19</v>
      </c>
      <c r="J51">
        <v>1</v>
      </c>
      <c r="K51">
        <v>2</v>
      </c>
      <c r="L51">
        <v>1</v>
      </c>
      <c r="M51">
        <v>0</v>
      </c>
      <c r="N51">
        <v>0</v>
      </c>
      <c r="O51">
        <v>1</v>
      </c>
      <c r="P51" t="s">
        <v>1556</v>
      </c>
      <c r="Q51" t="s">
        <v>1552</v>
      </c>
      <c r="R51" t="s">
        <v>1550</v>
      </c>
      <c r="S51" t="s">
        <v>1532</v>
      </c>
      <c r="T51" t="s">
        <v>1538</v>
      </c>
      <c r="U51" t="s">
        <v>1548</v>
      </c>
      <c r="V51" t="s">
        <v>1559</v>
      </c>
      <c r="W51" t="s">
        <v>1564</v>
      </c>
      <c r="X51" t="s">
        <v>1575</v>
      </c>
      <c r="Y51" t="s">
        <v>1583</v>
      </c>
      <c r="Z51" t="s">
        <v>1594</v>
      </c>
      <c r="AA51" t="s">
        <v>1597</v>
      </c>
      <c r="AB51" t="s">
        <v>1601</v>
      </c>
      <c r="AC51" t="s">
        <v>1610</v>
      </c>
      <c r="AD51" t="s">
        <v>1607</v>
      </c>
      <c r="AE51" t="s">
        <v>1616</v>
      </c>
      <c r="AF51" t="s">
        <v>1627</v>
      </c>
    </row>
    <row r="52" spans="1:32" x14ac:dyDescent="0.25">
      <c r="A52" t="s">
        <v>109</v>
      </c>
      <c r="B52">
        <v>48</v>
      </c>
      <c r="C52">
        <v>626</v>
      </c>
      <c r="D52">
        <v>1</v>
      </c>
      <c r="E52">
        <v>98</v>
      </c>
      <c r="F52">
        <v>5381</v>
      </c>
      <c r="G52">
        <v>19294</v>
      </c>
      <c r="H52">
        <v>9</v>
      </c>
      <c r="I52">
        <v>13</v>
      </c>
      <c r="J52">
        <v>23</v>
      </c>
      <c r="K52">
        <v>2</v>
      </c>
      <c r="L52">
        <v>1</v>
      </c>
      <c r="M52">
        <v>0</v>
      </c>
      <c r="N52">
        <v>0</v>
      </c>
      <c r="O52">
        <v>0</v>
      </c>
      <c r="P52" t="s">
        <v>1555</v>
      </c>
      <c r="Q52" t="s">
        <v>1552</v>
      </c>
      <c r="R52" t="s">
        <v>1550</v>
      </c>
      <c r="S52" t="s">
        <v>1533</v>
      </c>
      <c r="T52" t="s">
        <v>1538</v>
      </c>
      <c r="U52" t="s">
        <v>1545</v>
      </c>
      <c r="V52" t="s">
        <v>1559</v>
      </c>
      <c r="W52" t="s">
        <v>1562</v>
      </c>
      <c r="X52" t="s">
        <v>1577</v>
      </c>
      <c r="Y52" t="s">
        <v>1583</v>
      </c>
      <c r="Z52" t="s">
        <v>1593</v>
      </c>
      <c r="AA52" t="s">
        <v>1596</v>
      </c>
      <c r="AB52" t="s">
        <v>1600</v>
      </c>
      <c r="AC52" t="s">
        <v>1610</v>
      </c>
      <c r="AD52" t="s">
        <v>1607</v>
      </c>
      <c r="AE52" t="s">
        <v>1616</v>
      </c>
      <c r="AF52" t="s">
        <v>1627</v>
      </c>
    </row>
    <row r="53" spans="1:32" x14ac:dyDescent="0.25">
      <c r="A53" t="s">
        <v>110</v>
      </c>
      <c r="B53">
        <v>28</v>
      </c>
      <c r="C53">
        <v>1434</v>
      </c>
      <c r="D53">
        <v>5</v>
      </c>
      <c r="E53">
        <v>50</v>
      </c>
      <c r="F53">
        <v>3441</v>
      </c>
      <c r="G53">
        <v>11179</v>
      </c>
      <c r="H53">
        <v>1</v>
      </c>
      <c r="I53">
        <v>13</v>
      </c>
      <c r="J53">
        <v>2</v>
      </c>
      <c r="K53">
        <v>3</v>
      </c>
      <c r="L53">
        <v>2</v>
      </c>
      <c r="M53">
        <v>2</v>
      </c>
      <c r="N53">
        <v>2</v>
      </c>
      <c r="O53">
        <v>2</v>
      </c>
      <c r="P53" t="s">
        <v>1555</v>
      </c>
      <c r="Q53" t="s">
        <v>1552</v>
      </c>
      <c r="R53" t="s">
        <v>1550</v>
      </c>
      <c r="S53" t="s">
        <v>1535</v>
      </c>
      <c r="T53" t="s">
        <v>1542</v>
      </c>
      <c r="U53" t="s">
        <v>1547</v>
      </c>
      <c r="V53" t="s">
        <v>1559</v>
      </c>
      <c r="W53" t="s">
        <v>1563</v>
      </c>
      <c r="X53" t="s">
        <v>1575</v>
      </c>
      <c r="Y53" t="s">
        <v>1583</v>
      </c>
      <c r="Z53" t="s">
        <v>1593</v>
      </c>
      <c r="AA53" t="s">
        <v>1596</v>
      </c>
      <c r="AB53" t="s">
        <v>1600</v>
      </c>
      <c r="AC53" t="s">
        <v>1610</v>
      </c>
      <c r="AD53" t="s">
        <v>1606</v>
      </c>
      <c r="AE53" t="s">
        <v>1616</v>
      </c>
      <c r="AF53" t="s">
        <v>1626</v>
      </c>
    </row>
    <row r="54" spans="1:32" x14ac:dyDescent="0.25">
      <c r="A54" t="s">
        <v>111</v>
      </c>
      <c r="B54">
        <v>44</v>
      </c>
      <c r="C54">
        <v>1488</v>
      </c>
      <c r="D54">
        <v>1</v>
      </c>
      <c r="E54">
        <v>75</v>
      </c>
      <c r="F54">
        <v>5454</v>
      </c>
      <c r="G54">
        <v>4009</v>
      </c>
      <c r="H54">
        <v>5</v>
      </c>
      <c r="I54">
        <v>21</v>
      </c>
      <c r="J54">
        <v>9</v>
      </c>
      <c r="K54">
        <v>2</v>
      </c>
      <c r="L54">
        <v>4</v>
      </c>
      <c r="M54">
        <v>3</v>
      </c>
      <c r="N54">
        <v>1</v>
      </c>
      <c r="O54">
        <v>3</v>
      </c>
      <c r="P54" t="s">
        <v>1556</v>
      </c>
      <c r="Q54" t="s">
        <v>1552</v>
      </c>
      <c r="R54" t="s">
        <v>1549</v>
      </c>
      <c r="S54" t="s">
        <v>1536</v>
      </c>
      <c r="T54" t="s">
        <v>1541</v>
      </c>
      <c r="U54" t="s">
        <v>1546</v>
      </c>
      <c r="V54" t="s">
        <v>1558</v>
      </c>
      <c r="W54" t="s">
        <v>1563</v>
      </c>
      <c r="X54" t="s">
        <v>1576</v>
      </c>
      <c r="Y54" t="s">
        <v>1581</v>
      </c>
      <c r="Z54" t="s">
        <v>1591</v>
      </c>
      <c r="AA54" t="s">
        <v>1598</v>
      </c>
      <c r="AB54" t="s">
        <v>1600</v>
      </c>
      <c r="AC54" t="s">
        <v>1611</v>
      </c>
      <c r="AD54" t="s">
        <v>1606</v>
      </c>
      <c r="AE54" t="s">
        <v>1617</v>
      </c>
      <c r="AF54" t="s">
        <v>1626</v>
      </c>
    </row>
    <row r="55" spans="1:32" x14ac:dyDescent="0.25">
      <c r="A55" t="s">
        <v>112</v>
      </c>
      <c r="B55">
        <v>35</v>
      </c>
      <c r="C55">
        <v>1097</v>
      </c>
      <c r="D55">
        <v>11</v>
      </c>
      <c r="E55">
        <v>79</v>
      </c>
      <c r="F55">
        <v>9884</v>
      </c>
      <c r="G55">
        <v>8302</v>
      </c>
      <c r="H55">
        <v>2</v>
      </c>
      <c r="I55">
        <v>13</v>
      </c>
      <c r="J55">
        <v>10</v>
      </c>
      <c r="K55">
        <v>3</v>
      </c>
      <c r="L55">
        <v>4</v>
      </c>
      <c r="M55">
        <v>0</v>
      </c>
      <c r="N55">
        <v>2</v>
      </c>
      <c r="O55">
        <v>3</v>
      </c>
      <c r="P55" t="s">
        <v>1556</v>
      </c>
      <c r="Q55" t="s">
        <v>1554</v>
      </c>
      <c r="R55" t="s">
        <v>1550</v>
      </c>
      <c r="S55" t="s">
        <v>1533</v>
      </c>
      <c r="T55" t="s">
        <v>1540</v>
      </c>
      <c r="U55" t="s">
        <v>1547</v>
      </c>
      <c r="V55" t="s">
        <v>1559</v>
      </c>
      <c r="W55" t="s">
        <v>1562</v>
      </c>
      <c r="X55" t="s">
        <v>1577</v>
      </c>
      <c r="Y55" t="s">
        <v>1585</v>
      </c>
      <c r="Z55" t="s">
        <v>1591</v>
      </c>
      <c r="AA55" t="s">
        <v>1597</v>
      </c>
      <c r="AB55" t="s">
        <v>1600</v>
      </c>
      <c r="AC55" t="s">
        <v>1610</v>
      </c>
      <c r="AD55" t="s">
        <v>1606</v>
      </c>
      <c r="AE55" t="s">
        <v>1617</v>
      </c>
      <c r="AF55" t="s">
        <v>1627</v>
      </c>
    </row>
    <row r="56" spans="1:32" x14ac:dyDescent="0.25">
      <c r="A56" t="s">
        <v>113</v>
      </c>
      <c r="B56">
        <v>26</v>
      </c>
      <c r="C56">
        <v>1443</v>
      </c>
      <c r="D56">
        <v>23</v>
      </c>
      <c r="E56">
        <v>47</v>
      </c>
      <c r="F56">
        <v>4157</v>
      </c>
      <c r="G56">
        <v>21436</v>
      </c>
      <c r="H56">
        <v>7</v>
      </c>
      <c r="I56">
        <v>19</v>
      </c>
      <c r="J56">
        <v>5</v>
      </c>
      <c r="K56">
        <v>2</v>
      </c>
      <c r="L56">
        <v>2</v>
      </c>
      <c r="M56">
        <v>2</v>
      </c>
      <c r="N56">
        <v>0</v>
      </c>
      <c r="O56">
        <v>0</v>
      </c>
      <c r="P56" t="s">
        <v>1556</v>
      </c>
      <c r="Q56" t="s">
        <v>1552</v>
      </c>
      <c r="R56" t="s">
        <v>1549</v>
      </c>
      <c r="S56" t="s">
        <v>1534</v>
      </c>
      <c r="T56" t="s">
        <v>1541</v>
      </c>
      <c r="U56" t="s">
        <v>1547</v>
      </c>
      <c r="V56" t="s">
        <v>1558</v>
      </c>
      <c r="W56" t="s">
        <v>1562</v>
      </c>
      <c r="X56" t="s">
        <v>1576</v>
      </c>
      <c r="Y56" t="s">
        <v>1581</v>
      </c>
      <c r="Z56" t="s">
        <v>1594</v>
      </c>
      <c r="AA56" t="s">
        <v>1597</v>
      </c>
      <c r="AB56" t="s">
        <v>1600</v>
      </c>
      <c r="AC56" t="s">
        <v>1610</v>
      </c>
      <c r="AD56" t="s">
        <v>1606</v>
      </c>
      <c r="AE56" t="s">
        <v>1617</v>
      </c>
      <c r="AF56" t="s">
        <v>1626</v>
      </c>
    </row>
    <row r="57" spans="1:32" x14ac:dyDescent="0.25">
      <c r="A57" t="s">
        <v>114</v>
      </c>
      <c r="B57">
        <v>33</v>
      </c>
      <c r="C57">
        <v>515</v>
      </c>
      <c r="D57">
        <v>1</v>
      </c>
      <c r="E57">
        <v>98</v>
      </c>
      <c r="F57">
        <v>13458</v>
      </c>
      <c r="G57">
        <v>15146</v>
      </c>
      <c r="H57">
        <v>1</v>
      </c>
      <c r="I57">
        <v>12</v>
      </c>
      <c r="J57">
        <v>15</v>
      </c>
      <c r="K57">
        <v>1</v>
      </c>
      <c r="L57">
        <v>15</v>
      </c>
      <c r="M57">
        <v>14</v>
      </c>
      <c r="N57">
        <v>8</v>
      </c>
      <c r="O57">
        <v>12</v>
      </c>
      <c r="P57" t="s">
        <v>1556</v>
      </c>
      <c r="Q57" t="s">
        <v>1553</v>
      </c>
      <c r="R57" t="s">
        <v>1550</v>
      </c>
      <c r="S57" t="s">
        <v>1533</v>
      </c>
      <c r="T57" t="s">
        <v>1538</v>
      </c>
      <c r="U57" t="s">
        <v>1545</v>
      </c>
      <c r="V57" t="s">
        <v>1558</v>
      </c>
      <c r="W57" t="s">
        <v>1563</v>
      </c>
      <c r="X57" t="s">
        <v>1577</v>
      </c>
      <c r="Y57" t="s">
        <v>1588</v>
      </c>
      <c r="Z57" t="s">
        <v>1594</v>
      </c>
      <c r="AA57" t="s">
        <v>1596</v>
      </c>
      <c r="AB57" t="s">
        <v>1600</v>
      </c>
      <c r="AC57" t="s">
        <v>1610</v>
      </c>
      <c r="AD57" t="s">
        <v>1606</v>
      </c>
      <c r="AE57" t="s">
        <v>1616</v>
      </c>
      <c r="AF57" t="s">
        <v>1627</v>
      </c>
    </row>
    <row r="58" spans="1:32" x14ac:dyDescent="0.25">
      <c r="A58" t="s">
        <v>115</v>
      </c>
      <c r="B58">
        <v>35</v>
      </c>
      <c r="C58">
        <v>853</v>
      </c>
      <c r="D58">
        <v>18</v>
      </c>
      <c r="E58">
        <v>71</v>
      </c>
      <c r="F58">
        <v>9069</v>
      </c>
      <c r="G58">
        <v>11031</v>
      </c>
      <c r="H58">
        <v>1</v>
      </c>
      <c r="I58">
        <v>22</v>
      </c>
      <c r="J58">
        <v>9</v>
      </c>
      <c r="K58">
        <v>3</v>
      </c>
      <c r="L58">
        <v>9</v>
      </c>
      <c r="M58">
        <v>8</v>
      </c>
      <c r="N58">
        <v>1</v>
      </c>
      <c r="O58">
        <v>8</v>
      </c>
      <c r="P58" t="s">
        <v>1556</v>
      </c>
      <c r="Q58" t="s">
        <v>1553</v>
      </c>
      <c r="R58" t="s">
        <v>1549</v>
      </c>
      <c r="S58" t="s">
        <v>1536</v>
      </c>
      <c r="T58" t="s">
        <v>1538</v>
      </c>
      <c r="U58" t="s">
        <v>1546</v>
      </c>
      <c r="V58" t="s">
        <v>1559</v>
      </c>
      <c r="W58" t="s">
        <v>1563</v>
      </c>
      <c r="X58" t="s">
        <v>1577</v>
      </c>
      <c r="Y58" t="s">
        <v>1581</v>
      </c>
      <c r="Z58" t="s">
        <v>1591</v>
      </c>
      <c r="AA58" t="s">
        <v>1597</v>
      </c>
      <c r="AB58" t="s">
        <v>1601</v>
      </c>
      <c r="AC58" t="s">
        <v>1611</v>
      </c>
      <c r="AD58" t="s">
        <v>1607</v>
      </c>
      <c r="AE58" t="s">
        <v>1617</v>
      </c>
      <c r="AF58" t="s">
        <v>1626</v>
      </c>
    </row>
    <row r="59" spans="1:32" x14ac:dyDescent="0.25">
      <c r="A59" t="s">
        <v>116</v>
      </c>
      <c r="B59">
        <v>35</v>
      </c>
      <c r="C59">
        <v>1142</v>
      </c>
      <c r="D59">
        <v>23</v>
      </c>
      <c r="E59">
        <v>30</v>
      </c>
      <c r="F59">
        <v>4014</v>
      </c>
      <c r="G59">
        <v>16002</v>
      </c>
      <c r="H59">
        <v>3</v>
      </c>
      <c r="I59">
        <v>15</v>
      </c>
      <c r="J59">
        <v>4</v>
      </c>
      <c r="K59">
        <v>3</v>
      </c>
      <c r="L59">
        <v>2</v>
      </c>
      <c r="M59">
        <v>2</v>
      </c>
      <c r="N59">
        <v>2</v>
      </c>
      <c r="O59">
        <v>2</v>
      </c>
      <c r="P59" t="s">
        <v>1556</v>
      </c>
      <c r="Q59" t="s">
        <v>1552</v>
      </c>
      <c r="R59" t="s">
        <v>1550</v>
      </c>
      <c r="S59" t="s">
        <v>1535</v>
      </c>
      <c r="T59" t="s">
        <v>1540</v>
      </c>
      <c r="U59" t="s">
        <v>1547</v>
      </c>
      <c r="V59" t="s">
        <v>1558</v>
      </c>
      <c r="W59" t="s">
        <v>1563</v>
      </c>
      <c r="X59" t="s">
        <v>1575</v>
      </c>
      <c r="Y59" t="s">
        <v>1583</v>
      </c>
      <c r="Z59" t="s">
        <v>1591</v>
      </c>
      <c r="AA59" t="s">
        <v>1597</v>
      </c>
      <c r="AB59" t="s">
        <v>1600</v>
      </c>
      <c r="AC59" t="s">
        <v>1610</v>
      </c>
      <c r="AD59" t="s">
        <v>1606</v>
      </c>
      <c r="AE59" t="s">
        <v>1617</v>
      </c>
      <c r="AF59" t="s">
        <v>1627</v>
      </c>
    </row>
    <row r="60" spans="1:32" x14ac:dyDescent="0.25">
      <c r="A60" t="s">
        <v>117</v>
      </c>
      <c r="B60">
        <v>31</v>
      </c>
      <c r="C60">
        <v>655</v>
      </c>
      <c r="D60">
        <v>7</v>
      </c>
      <c r="E60">
        <v>48</v>
      </c>
      <c r="F60">
        <v>5915</v>
      </c>
      <c r="G60">
        <v>9528</v>
      </c>
      <c r="H60">
        <v>3</v>
      </c>
      <c r="I60">
        <v>22</v>
      </c>
      <c r="J60">
        <v>10</v>
      </c>
      <c r="K60">
        <v>3</v>
      </c>
      <c r="L60">
        <v>7</v>
      </c>
      <c r="M60">
        <v>7</v>
      </c>
      <c r="N60">
        <v>1</v>
      </c>
      <c r="O60">
        <v>7</v>
      </c>
      <c r="P60" t="s">
        <v>1556</v>
      </c>
      <c r="Q60" t="s">
        <v>1552</v>
      </c>
      <c r="R60" t="s">
        <v>1550</v>
      </c>
      <c r="S60" t="s">
        <v>1535</v>
      </c>
      <c r="T60" t="s">
        <v>1538</v>
      </c>
      <c r="U60" t="s">
        <v>1548</v>
      </c>
      <c r="V60" t="s">
        <v>1559</v>
      </c>
      <c r="W60" t="s">
        <v>1563</v>
      </c>
      <c r="X60" t="s">
        <v>1576</v>
      </c>
      <c r="Y60" t="s">
        <v>1583</v>
      </c>
      <c r="Z60" t="s">
        <v>1594</v>
      </c>
      <c r="AA60" t="s">
        <v>1598</v>
      </c>
      <c r="AB60" t="s">
        <v>1601</v>
      </c>
      <c r="AC60" t="s">
        <v>1611</v>
      </c>
      <c r="AD60" t="s">
        <v>1607</v>
      </c>
      <c r="AE60" t="s">
        <v>1617</v>
      </c>
      <c r="AF60" t="s">
        <v>1626</v>
      </c>
    </row>
    <row r="61" spans="1:32" x14ac:dyDescent="0.25">
      <c r="A61" t="s">
        <v>118</v>
      </c>
      <c r="B61">
        <v>37</v>
      </c>
      <c r="C61">
        <v>1115</v>
      </c>
      <c r="D61">
        <v>1</v>
      </c>
      <c r="E61">
        <v>51</v>
      </c>
      <c r="F61">
        <v>5993</v>
      </c>
      <c r="G61">
        <v>2689</v>
      </c>
      <c r="H61">
        <v>1</v>
      </c>
      <c r="I61">
        <v>18</v>
      </c>
      <c r="J61">
        <v>7</v>
      </c>
      <c r="K61">
        <v>2</v>
      </c>
      <c r="L61">
        <v>7</v>
      </c>
      <c r="M61">
        <v>5</v>
      </c>
      <c r="N61">
        <v>0</v>
      </c>
      <c r="O61">
        <v>7</v>
      </c>
      <c r="P61" t="s">
        <v>1556</v>
      </c>
      <c r="Q61" t="s">
        <v>1552</v>
      </c>
      <c r="R61" t="s">
        <v>1550</v>
      </c>
      <c r="S61" t="s">
        <v>1535</v>
      </c>
      <c r="T61" t="s">
        <v>1538</v>
      </c>
      <c r="U61" t="s">
        <v>1545</v>
      </c>
      <c r="V61" t="s">
        <v>1559</v>
      </c>
      <c r="W61" t="s">
        <v>1562</v>
      </c>
      <c r="X61" t="s">
        <v>1576</v>
      </c>
      <c r="Y61" t="s">
        <v>1584</v>
      </c>
      <c r="Z61" t="s">
        <v>1593</v>
      </c>
      <c r="AA61" t="s">
        <v>1598</v>
      </c>
      <c r="AB61" t="s">
        <v>1601</v>
      </c>
      <c r="AC61" t="s">
        <v>1610</v>
      </c>
      <c r="AD61" t="s">
        <v>1606</v>
      </c>
      <c r="AE61" t="s">
        <v>1617</v>
      </c>
      <c r="AF61" t="s">
        <v>1628</v>
      </c>
    </row>
    <row r="62" spans="1:32" x14ac:dyDescent="0.25">
      <c r="A62" t="s">
        <v>119</v>
      </c>
      <c r="B62">
        <v>32</v>
      </c>
      <c r="C62">
        <v>427</v>
      </c>
      <c r="D62">
        <v>1</v>
      </c>
      <c r="E62">
        <v>33</v>
      </c>
      <c r="F62">
        <v>6162</v>
      </c>
      <c r="G62">
        <v>10877</v>
      </c>
      <c r="H62">
        <v>1</v>
      </c>
      <c r="I62">
        <v>22</v>
      </c>
      <c r="J62">
        <v>9</v>
      </c>
      <c r="K62">
        <v>3</v>
      </c>
      <c r="L62">
        <v>9</v>
      </c>
      <c r="M62">
        <v>8</v>
      </c>
      <c r="N62">
        <v>7</v>
      </c>
      <c r="O62">
        <v>8</v>
      </c>
      <c r="P62" t="s">
        <v>1556</v>
      </c>
      <c r="Q62" t="s">
        <v>1552</v>
      </c>
      <c r="R62" t="s">
        <v>1550</v>
      </c>
      <c r="S62" t="s">
        <v>1534</v>
      </c>
      <c r="T62" t="s">
        <v>1540</v>
      </c>
      <c r="U62" t="s">
        <v>1545</v>
      </c>
      <c r="V62" t="s">
        <v>1559</v>
      </c>
      <c r="W62" t="s">
        <v>1563</v>
      </c>
      <c r="X62" t="s">
        <v>1576</v>
      </c>
      <c r="Y62" t="s">
        <v>1584</v>
      </c>
      <c r="Z62" t="s">
        <v>1594</v>
      </c>
      <c r="AA62" t="s">
        <v>1597</v>
      </c>
      <c r="AB62" t="s">
        <v>1600</v>
      </c>
      <c r="AC62" t="s">
        <v>1611</v>
      </c>
      <c r="AD62" t="s">
        <v>1605</v>
      </c>
      <c r="AE62" t="s">
        <v>1617</v>
      </c>
      <c r="AF62" t="s">
        <v>1627</v>
      </c>
    </row>
    <row r="63" spans="1:32" x14ac:dyDescent="0.25">
      <c r="A63" t="s">
        <v>120</v>
      </c>
      <c r="B63">
        <v>38</v>
      </c>
      <c r="C63">
        <v>653</v>
      </c>
      <c r="D63">
        <v>29</v>
      </c>
      <c r="E63">
        <v>50</v>
      </c>
      <c r="F63">
        <v>2406</v>
      </c>
      <c r="G63">
        <v>5456</v>
      </c>
      <c r="H63">
        <v>1</v>
      </c>
      <c r="I63">
        <v>11</v>
      </c>
      <c r="J63">
        <v>10</v>
      </c>
      <c r="K63">
        <v>2</v>
      </c>
      <c r="L63">
        <v>10</v>
      </c>
      <c r="M63">
        <v>3</v>
      </c>
      <c r="N63">
        <v>9</v>
      </c>
      <c r="O63">
        <v>9</v>
      </c>
      <c r="P63" t="s">
        <v>1556</v>
      </c>
      <c r="Q63" t="s">
        <v>1553</v>
      </c>
      <c r="R63" t="s">
        <v>1550</v>
      </c>
      <c r="S63" t="s">
        <v>1536</v>
      </c>
      <c r="T63" t="s">
        <v>1538</v>
      </c>
      <c r="U63" t="s">
        <v>1548</v>
      </c>
      <c r="V63" t="s">
        <v>1558</v>
      </c>
      <c r="W63" t="s">
        <v>1563</v>
      </c>
      <c r="X63" t="s">
        <v>1576</v>
      </c>
      <c r="Y63" t="s">
        <v>1583</v>
      </c>
      <c r="Z63" t="s">
        <v>1594</v>
      </c>
      <c r="AA63" t="s">
        <v>1596</v>
      </c>
      <c r="AB63" t="s">
        <v>1601</v>
      </c>
      <c r="AC63" t="s">
        <v>1610</v>
      </c>
      <c r="AD63" t="s">
        <v>1607</v>
      </c>
      <c r="AE63" t="s">
        <v>1616</v>
      </c>
      <c r="AF63" t="s">
        <v>1627</v>
      </c>
    </row>
    <row r="64" spans="1:32" x14ac:dyDescent="0.25">
      <c r="A64" t="s">
        <v>121</v>
      </c>
      <c r="B64">
        <v>50</v>
      </c>
      <c r="C64">
        <v>989</v>
      </c>
      <c r="D64">
        <v>7</v>
      </c>
      <c r="E64">
        <v>43</v>
      </c>
      <c r="F64">
        <v>18740</v>
      </c>
      <c r="G64">
        <v>16701</v>
      </c>
      <c r="H64">
        <v>5</v>
      </c>
      <c r="I64">
        <v>12</v>
      </c>
      <c r="J64">
        <v>29</v>
      </c>
      <c r="K64">
        <v>2</v>
      </c>
      <c r="L64">
        <v>27</v>
      </c>
      <c r="M64">
        <v>3</v>
      </c>
      <c r="N64">
        <v>13</v>
      </c>
      <c r="O64">
        <v>8</v>
      </c>
      <c r="P64" t="s">
        <v>1556</v>
      </c>
      <c r="Q64" t="s">
        <v>1552</v>
      </c>
      <c r="R64" t="s">
        <v>1550</v>
      </c>
      <c r="S64" t="s">
        <v>1533</v>
      </c>
      <c r="T64" t="s">
        <v>1540</v>
      </c>
      <c r="U64" t="s">
        <v>1546</v>
      </c>
      <c r="V64" t="s">
        <v>1558</v>
      </c>
      <c r="W64" t="s">
        <v>1562</v>
      </c>
      <c r="X64" t="s">
        <v>1579</v>
      </c>
      <c r="Y64" t="s">
        <v>1588</v>
      </c>
      <c r="Z64" t="s">
        <v>1593</v>
      </c>
      <c r="AA64" t="s">
        <v>1598</v>
      </c>
      <c r="AB64" t="s">
        <v>1600</v>
      </c>
      <c r="AC64" t="s">
        <v>1610</v>
      </c>
      <c r="AD64" t="s">
        <v>1607</v>
      </c>
      <c r="AE64" t="s">
        <v>1617</v>
      </c>
      <c r="AF64" t="s">
        <v>1626</v>
      </c>
    </row>
    <row r="65" spans="1:32" x14ac:dyDescent="0.25">
      <c r="A65" t="s">
        <v>122</v>
      </c>
      <c r="B65">
        <v>59</v>
      </c>
      <c r="C65">
        <v>1435</v>
      </c>
      <c r="D65">
        <v>25</v>
      </c>
      <c r="E65">
        <v>99</v>
      </c>
      <c r="F65">
        <v>7637</v>
      </c>
      <c r="G65">
        <v>2354</v>
      </c>
      <c r="H65">
        <v>7</v>
      </c>
      <c r="I65">
        <v>11</v>
      </c>
      <c r="J65">
        <v>28</v>
      </c>
      <c r="K65">
        <v>3</v>
      </c>
      <c r="L65">
        <v>21</v>
      </c>
      <c r="M65">
        <v>16</v>
      </c>
      <c r="N65">
        <v>7</v>
      </c>
      <c r="O65">
        <v>9</v>
      </c>
      <c r="P65" t="s">
        <v>1556</v>
      </c>
      <c r="Q65" t="s">
        <v>1552</v>
      </c>
      <c r="R65" t="s">
        <v>1549</v>
      </c>
      <c r="S65" t="s">
        <v>1534</v>
      </c>
      <c r="T65" t="s">
        <v>1538</v>
      </c>
      <c r="U65" t="s">
        <v>1545</v>
      </c>
      <c r="V65" t="s">
        <v>1558</v>
      </c>
      <c r="W65" t="s">
        <v>1563</v>
      </c>
      <c r="X65" t="s">
        <v>1577</v>
      </c>
      <c r="Y65" t="s">
        <v>1581</v>
      </c>
      <c r="Z65" t="s">
        <v>1591</v>
      </c>
      <c r="AA65" t="s">
        <v>1596</v>
      </c>
      <c r="AB65" t="s">
        <v>1601</v>
      </c>
      <c r="AC65" t="s">
        <v>1610</v>
      </c>
      <c r="AD65" t="s">
        <v>1607</v>
      </c>
      <c r="AE65" t="s">
        <v>1616</v>
      </c>
      <c r="AF65" t="s">
        <v>1626</v>
      </c>
    </row>
    <row r="66" spans="1:32" x14ac:dyDescent="0.25">
      <c r="A66" t="s">
        <v>123</v>
      </c>
      <c r="B66">
        <v>36</v>
      </c>
      <c r="C66">
        <v>1223</v>
      </c>
      <c r="D66">
        <v>8</v>
      </c>
      <c r="E66">
        <v>59</v>
      </c>
      <c r="F66">
        <v>10096</v>
      </c>
      <c r="G66">
        <v>8202</v>
      </c>
      <c r="H66">
        <v>1</v>
      </c>
      <c r="I66">
        <v>13</v>
      </c>
      <c r="J66">
        <v>17</v>
      </c>
      <c r="K66">
        <v>2</v>
      </c>
      <c r="L66">
        <v>17</v>
      </c>
      <c r="M66">
        <v>14</v>
      </c>
      <c r="N66">
        <v>12</v>
      </c>
      <c r="O66">
        <v>8</v>
      </c>
      <c r="P66" t="s">
        <v>1556</v>
      </c>
      <c r="Q66" t="s">
        <v>1552</v>
      </c>
      <c r="R66" t="s">
        <v>1550</v>
      </c>
      <c r="S66" t="s">
        <v>1534</v>
      </c>
      <c r="T66" t="s">
        <v>1542</v>
      </c>
      <c r="U66" t="s">
        <v>1547</v>
      </c>
      <c r="V66" t="s">
        <v>1558</v>
      </c>
      <c r="W66" t="s">
        <v>1563</v>
      </c>
      <c r="X66" t="s">
        <v>1577</v>
      </c>
      <c r="Y66" t="s">
        <v>1585</v>
      </c>
      <c r="Z66" t="s">
        <v>1593</v>
      </c>
      <c r="AA66" t="s">
        <v>1598</v>
      </c>
      <c r="AB66" t="s">
        <v>1601</v>
      </c>
      <c r="AC66" t="s">
        <v>1610</v>
      </c>
      <c r="AD66" t="s">
        <v>1605</v>
      </c>
      <c r="AE66" t="s">
        <v>1619</v>
      </c>
      <c r="AF66" t="s">
        <v>1627</v>
      </c>
    </row>
    <row r="67" spans="1:32" x14ac:dyDescent="0.25">
      <c r="A67" t="s">
        <v>124</v>
      </c>
      <c r="B67">
        <v>55</v>
      </c>
      <c r="C67">
        <v>836</v>
      </c>
      <c r="D67">
        <v>8</v>
      </c>
      <c r="E67">
        <v>33</v>
      </c>
      <c r="F67">
        <v>14756</v>
      </c>
      <c r="G67">
        <v>19730</v>
      </c>
      <c r="H67">
        <v>2</v>
      </c>
      <c r="I67">
        <v>14</v>
      </c>
      <c r="J67">
        <v>21</v>
      </c>
      <c r="K67">
        <v>2</v>
      </c>
      <c r="L67">
        <v>5</v>
      </c>
      <c r="M67">
        <v>0</v>
      </c>
      <c r="N67">
        <v>0</v>
      </c>
      <c r="O67">
        <v>2</v>
      </c>
      <c r="P67" t="s">
        <v>1556</v>
      </c>
      <c r="Q67" t="s">
        <v>1552</v>
      </c>
      <c r="R67" t="s">
        <v>1550</v>
      </c>
      <c r="S67" t="s">
        <v>1534</v>
      </c>
      <c r="T67" t="s">
        <v>1540</v>
      </c>
      <c r="U67" t="s">
        <v>1548</v>
      </c>
      <c r="V67" t="s">
        <v>1558</v>
      </c>
      <c r="W67" t="s">
        <v>1563</v>
      </c>
      <c r="X67" t="s">
        <v>1578</v>
      </c>
      <c r="Y67" t="s">
        <v>1586</v>
      </c>
      <c r="Z67" t="s">
        <v>1593</v>
      </c>
      <c r="AA67" t="s">
        <v>1598</v>
      </c>
      <c r="AB67" t="s">
        <v>1600</v>
      </c>
      <c r="AC67" t="s">
        <v>1610</v>
      </c>
      <c r="AD67" t="s">
        <v>1606</v>
      </c>
      <c r="AE67" t="s">
        <v>1619</v>
      </c>
      <c r="AF67" t="s">
        <v>1627</v>
      </c>
    </row>
    <row r="68" spans="1:32" x14ac:dyDescent="0.25">
      <c r="A68" t="s">
        <v>125</v>
      </c>
      <c r="B68">
        <v>36</v>
      </c>
      <c r="C68">
        <v>1195</v>
      </c>
      <c r="D68">
        <v>11</v>
      </c>
      <c r="E68">
        <v>95</v>
      </c>
      <c r="F68">
        <v>6499</v>
      </c>
      <c r="G68">
        <v>22656</v>
      </c>
      <c r="H68">
        <v>1</v>
      </c>
      <c r="I68">
        <v>13</v>
      </c>
      <c r="J68">
        <v>6</v>
      </c>
      <c r="K68">
        <v>3</v>
      </c>
      <c r="L68">
        <v>6</v>
      </c>
      <c r="M68">
        <v>5</v>
      </c>
      <c r="N68">
        <v>0</v>
      </c>
      <c r="O68">
        <v>3</v>
      </c>
      <c r="P68" t="s">
        <v>1556</v>
      </c>
      <c r="Q68" t="s">
        <v>1553</v>
      </c>
      <c r="R68" t="s">
        <v>1550</v>
      </c>
      <c r="S68" t="s">
        <v>1534</v>
      </c>
      <c r="T68" t="s">
        <v>1538</v>
      </c>
      <c r="U68" t="s">
        <v>1546</v>
      </c>
      <c r="V68" t="s">
        <v>1559</v>
      </c>
      <c r="W68" t="s">
        <v>1562</v>
      </c>
      <c r="X68" t="s">
        <v>1576</v>
      </c>
      <c r="Y68" t="s">
        <v>1584</v>
      </c>
      <c r="Z68" t="s">
        <v>1592</v>
      </c>
      <c r="AA68" t="s">
        <v>1596</v>
      </c>
      <c r="AB68" t="s">
        <v>1601</v>
      </c>
      <c r="AC68" t="s">
        <v>1610</v>
      </c>
      <c r="AD68" t="s">
        <v>1606</v>
      </c>
      <c r="AE68" t="s">
        <v>1616</v>
      </c>
      <c r="AF68" t="s">
        <v>1627</v>
      </c>
    </row>
    <row r="69" spans="1:32" x14ac:dyDescent="0.25">
      <c r="A69" t="s">
        <v>126</v>
      </c>
      <c r="B69">
        <v>45</v>
      </c>
      <c r="C69">
        <v>1339</v>
      </c>
      <c r="D69">
        <v>7</v>
      </c>
      <c r="E69">
        <v>59</v>
      </c>
      <c r="F69">
        <v>9724</v>
      </c>
      <c r="G69">
        <v>18787</v>
      </c>
      <c r="H69">
        <v>2</v>
      </c>
      <c r="I69">
        <v>17</v>
      </c>
      <c r="J69">
        <v>25</v>
      </c>
      <c r="K69">
        <v>2</v>
      </c>
      <c r="L69">
        <v>1</v>
      </c>
      <c r="M69">
        <v>0</v>
      </c>
      <c r="N69">
        <v>0</v>
      </c>
      <c r="O69">
        <v>0</v>
      </c>
      <c r="P69" t="s">
        <v>1556</v>
      </c>
      <c r="Q69" t="s">
        <v>1552</v>
      </c>
      <c r="R69" t="s">
        <v>1550</v>
      </c>
      <c r="S69" t="s">
        <v>1534</v>
      </c>
      <c r="T69" t="s">
        <v>1538</v>
      </c>
      <c r="U69" t="s">
        <v>1546</v>
      </c>
      <c r="V69" t="s">
        <v>1559</v>
      </c>
      <c r="W69" t="s">
        <v>1563</v>
      </c>
      <c r="X69" t="s">
        <v>1577</v>
      </c>
      <c r="Y69" t="s">
        <v>1582</v>
      </c>
      <c r="Z69" t="s">
        <v>1591</v>
      </c>
      <c r="AA69" t="s">
        <v>1598</v>
      </c>
      <c r="AB69" t="s">
        <v>1601</v>
      </c>
      <c r="AC69" t="s">
        <v>1610</v>
      </c>
      <c r="AD69" t="s">
        <v>1606</v>
      </c>
      <c r="AE69" t="s">
        <v>1617</v>
      </c>
      <c r="AF69" t="s">
        <v>1627</v>
      </c>
    </row>
    <row r="70" spans="1:32" x14ac:dyDescent="0.25">
      <c r="A70" t="s">
        <v>127</v>
      </c>
      <c r="B70">
        <v>35</v>
      </c>
      <c r="C70">
        <v>664</v>
      </c>
      <c r="D70">
        <v>1</v>
      </c>
      <c r="E70">
        <v>79</v>
      </c>
      <c r="F70">
        <v>2194</v>
      </c>
      <c r="G70">
        <v>5868</v>
      </c>
      <c r="H70">
        <v>4</v>
      </c>
      <c r="I70">
        <v>13</v>
      </c>
      <c r="J70">
        <v>5</v>
      </c>
      <c r="K70">
        <v>2</v>
      </c>
      <c r="L70">
        <v>3</v>
      </c>
      <c r="M70">
        <v>2</v>
      </c>
      <c r="N70">
        <v>1</v>
      </c>
      <c r="O70">
        <v>2</v>
      </c>
      <c r="P70" t="s">
        <v>1556</v>
      </c>
      <c r="Q70" t="s">
        <v>1553</v>
      </c>
      <c r="R70" t="s">
        <v>1550</v>
      </c>
      <c r="S70" t="s">
        <v>1534</v>
      </c>
      <c r="T70" t="s">
        <v>1540</v>
      </c>
      <c r="U70" t="s">
        <v>1546</v>
      </c>
      <c r="V70" t="s">
        <v>1559</v>
      </c>
      <c r="W70" t="s">
        <v>1563</v>
      </c>
      <c r="X70" t="s">
        <v>1575</v>
      </c>
      <c r="Y70" t="s">
        <v>1582</v>
      </c>
      <c r="Z70" t="s">
        <v>1591</v>
      </c>
      <c r="AA70" t="s">
        <v>1597</v>
      </c>
      <c r="AB70" t="s">
        <v>1601</v>
      </c>
      <c r="AC70" t="s">
        <v>1610</v>
      </c>
      <c r="AD70" t="s">
        <v>1607</v>
      </c>
      <c r="AE70" t="s">
        <v>1617</v>
      </c>
      <c r="AF70" t="s">
        <v>1626</v>
      </c>
    </row>
    <row r="71" spans="1:32" x14ac:dyDescent="0.25">
      <c r="A71" t="s">
        <v>128</v>
      </c>
      <c r="B71">
        <v>36</v>
      </c>
      <c r="C71">
        <v>318</v>
      </c>
      <c r="D71">
        <v>9</v>
      </c>
      <c r="E71">
        <v>79</v>
      </c>
      <c r="F71">
        <v>3388</v>
      </c>
      <c r="G71">
        <v>21777</v>
      </c>
      <c r="H71">
        <v>0</v>
      </c>
      <c r="I71">
        <v>17</v>
      </c>
      <c r="J71">
        <v>2</v>
      </c>
      <c r="K71">
        <v>0</v>
      </c>
      <c r="L71">
        <v>1</v>
      </c>
      <c r="M71">
        <v>0</v>
      </c>
      <c r="N71">
        <v>0</v>
      </c>
      <c r="O71">
        <v>0</v>
      </c>
      <c r="P71" t="s">
        <v>1555</v>
      </c>
      <c r="Q71" t="s">
        <v>1552</v>
      </c>
      <c r="R71" t="s">
        <v>1550</v>
      </c>
      <c r="S71" t="s">
        <v>1534</v>
      </c>
      <c r="T71" t="s">
        <v>1540</v>
      </c>
      <c r="U71" t="s">
        <v>1548</v>
      </c>
      <c r="V71" t="s">
        <v>1559</v>
      </c>
      <c r="W71" t="s">
        <v>1562</v>
      </c>
      <c r="X71" t="s">
        <v>1575</v>
      </c>
      <c r="Y71" t="s">
        <v>1582</v>
      </c>
      <c r="Z71" t="s">
        <v>1593</v>
      </c>
      <c r="AA71" t="s">
        <v>1597</v>
      </c>
      <c r="AB71" t="s">
        <v>1600</v>
      </c>
      <c r="AC71" t="s">
        <v>1610</v>
      </c>
      <c r="AD71" t="s">
        <v>1604</v>
      </c>
      <c r="AE71" t="s">
        <v>1617</v>
      </c>
      <c r="AF71" t="s">
        <v>1626</v>
      </c>
    </row>
    <row r="72" spans="1:32" x14ac:dyDescent="0.25">
      <c r="A72" t="s">
        <v>129</v>
      </c>
      <c r="B72">
        <v>59</v>
      </c>
      <c r="C72">
        <v>1225</v>
      </c>
      <c r="D72">
        <v>1</v>
      </c>
      <c r="E72">
        <v>57</v>
      </c>
      <c r="F72">
        <v>5473</v>
      </c>
      <c r="G72">
        <v>24668</v>
      </c>
      <c r="H72">
        <v>7</v>
      </c>
      <c r="I72">
        <v>11</v>
      </c>
      <c r="J72">
        <v>20</v>
      </c>
      <c r="K72">
        <v>2</v>
      </c>
      <c r="L72">
        <v>4</v>
      </c>
      <c r="M72">
        <v>3</v>
      </c>
      <c r="N72">
        <v>1</v>
      </c>
      <c r="O72">
        <v>3</v>
      </c>
      <c r="P72" t="s">
        <v>1556</v>
      </c>
      <c r="Q72" t="s">
        <v>1553</v>
      </c>
      <c r="R72" t="s">
        <v>1549</v>
      </c>
      <c r="S72" t="s">
        <v>1532</v>
      </c>
      <c r="T72" t="s">
        <v>1538</v>
      </c>
      <c r="U72" t="s">
        <v>1545</v>
      </c>
      <c r="V72" t="s">
        <v>1558</v>
      </c>
      <c r="W72" t="s">
        <v>1562</v>
      </c>
      <c r="X72" t="s">
        <v>1576</v>
      </c>
      <c r="Y72" t="s">
        <v>1581</v>
      </c>
      <c r="Z72" t="s">
        <v>1593</v>
      </c>
      <c r="AA72" t="s">
        <v>1596</v>
      </c>
      <c r="AB72" t="s">
        <v>1601</v>
      </c>
      <c r="AC72" t="s">
        <v>1610</v>
      </c>
      <c r="AD72" t="s">
        <v>1607</v>
      </c>
      <c r="AE72" t="s">
        <v>1616</v>
      </c>
      <c r="AF72" t="s">
        <v>1626</v>
      </c>
    </row>
    <row r="73" spans="1:32" x14ac:dyDescent="0.25">
      <c r="A73" t="s">
        <v>130</v>
      </c>
      <c r="B73">
        <v>29</v>
      </c>
      <c r="C73">
        <v>1328</v>
      </c>
      <c r="D73">
        <v>2</v>
      </c>
      <c r="E73">
        <v>76</v>
      </c>
      <c r="F73">
        <v>2703</v>
      </c>
      <c r="G73">
        <v>4956</v>
      </c>
      <c r="H73">
        <v>0</v>
      </c>
      <c r="I73">
        <v>23</v>
      </c>
      <c r="J73">
        <v>6</v>
      </c>
      <c r="K73">
        <v>3</v>
      </c>
      <c r="L73">
        <v>5</v>
      </c>
      <c r="M73">
        <v>4</v>
      </c>
      <c r="N73">
        <v>0</v>
      </c>
      <c r="O73">
        <v>4</v>
      </c>
      <c r="P73" t="s">
        <v>1556</v>
      </c>
      <c r="Q73" t="s">
        <v>1552</v>
      </c>
      <c r="R73" t="s">
        <v>1550</v>
      </c>
      <c r="S73" t="s">
        <v>1534</v>
      </c>
      <c r="T73" t="s">
        <v>1538</v>
      </c>
      <c r="U73" t="s">
        <v>1547</v>
      </c>
      <c r="V73" t="s">
        <v>1559</v>
      </c>
      <c r="W73" t="s">
        <v>1563</v>
      </c>
      <c r="X73" t="s">
        <v>1575</v>
      </c>
      <c r="Y73" t="s">
        <v>1582</v>
      </c>
      <c r="Z73" t="s">
        <v>1592</v>
      </c>
      <c r="AA73" t="s">
        <v>1597</v>
      </c>
      <c r="AB73" t="s">
        <v>1601</v>
      </c>
      <c r="AC73" t="s">
        <v>1611</v>
      </c>
      <c r="AD73" t="s">
        <v>1607</v>
      </c>
      <c r="AE73" t="s">
        <v>1617</v>
      </c>
      <c r="AF73" t="s">
        <v>1627</v>
      </c>
    </row>
    <row r="74" spans="1:32" x14ac:dyDescent="0.25">
      <c r="A74" t="s">
        <v>131</v>
      </c>
      <c r="B74">
        <v>31</v>
      </c>
      <c r="C74">
        <v>1082</v>
      </c>
      <c r="D74">
        <v>1</v>
      </c>
      <c r="E74">
        <v>87</v>
      </c>
      <c r="F74">
        <v>2501</v>
      </c>
      <c r="G74">
        <v>18775</v>
      </c>
      <c r="H74">
        <v>1</v>
      </c>
      <c r="I74">
        <v>17</v>
      </c>
      <c r="J74">
        <v>1</v>
      </c>
      <c r="K74">
        <v>4</v>
      </c>
      <c r="L74">
        <v>1</v>
      </c>
      <c r="M74">
        <v>1</v>
      </c>
      <c r="N74">
        <v>1</v>
      </c>
      <c r="O74">
        <v>0</v>
      </c>
      <c r="P74" t="s">
        <v>1556</v>
      </c>
      <c r="Q74" t="s">
        <v>1552</v>
      </c>
      <c r="R74" t="s">
        <v>1550</v>
      </c>
      <c r="S74" t="s">
        <v>1535</v>
      </c>
      <c r="T74" t="s">
        <v>1540</v>
      </c>
      <c r="U74" t="s">
        <v>1547</v>
      </c>
      <c r="V74" t="s">
        <v>1559</v>
      </c>
      <c r="W74" t="s">
        <v>1563</v>
      </c>
      <c r="X74" t="s">
        <v>1575</v>
      </c>
      <c r="Y74" t="s">
        <v>1582</v>
      </c>
      <c r="Z74" t="s">
        <v>1592</v>
      </c>
      <c r="AA74" t="s">
        <v>1596</v>
      </c>
      <c r="AB74" t="s">
        <v>1601</v>
      </c>
      <c r="AC74" t="s">
        <v>1610</v>
      </c>
      <c r="AD74" t="s">
        <v>1605</v>
      </c>
      <c r="AE74" t="s">
        <v>1616</v>
      </c>
      <c r="AF74" t="s">
        <v>1627</v>
      </c>
    </row>
    <row r="75" spans="1:32" x14ac:dyDescent="0.25">
      <c r="A75" t="s">
        <v>132</v>
      </c>
      <c r="B75">
        <v>32</v>
      </c>
      <c r="C75">
        <v>548</v>
      </c>
      <c r="D75">
        <v>1</v>
      </c>
      <c r="E75">
        <v>66</v>
      </c>
      <c r="F75">
        <v>6220</v>
      </c>
      <c r="G75">
        <v>7346</v>
      </c>
      <c r="H75">
        <v>1</v>
      </c>
      <c r="I75">
        <v>17</v>
      </c>
      <c r="J75">
        <v>10</v>
      </c>
      <c r="K75">
        <v>3</v>
      </c>
      <c r="L75">
        <v>10</v>
      </c>
      <c r="M75">
        <v>4</v>
      </c>
      <c r="N75">
        <v>0</v>
      </c>
      <c r="O75">
        <v>9</v>
      </c>
      <c r="P75" t="s">
        <v>1556</v>
      </c>
      <c r="Q75" t="s">
        <v>1552</v>
      </c>
      <c r="R75" t="s">
        <v>1550</v>
      </c>
      <c r="S75" t="s">
        <v>1534</v>
      </c>
      <c r="T75" t="s">
        <v>1538</v>
      </c>
      <c r="U75" t="s">
        <v>1546</v>
      </c>
      <c r="V75" t="s">
        <v>1559</v>
      </c>
      <c r="W75" t="s">
        <v>1563</v>
      </c>
      <c r="X75" t="s">
        <v>1576</v>
      </c>
      <c r="Y75" t="s">
        <v>1582</v>
      </c>
      <c r="Z75" t="s">
        <v>1592</v>
      </c>
      <c r="AA75" t="s">
        <v>1597</v>
      </c>
      <c r="AB75" t="s">
        <v>1601</v>
      </c>
      <c r="AC75" t="s">
        <v>1610</v>
      </c>
      <c r="AD75" t="s">
        <v>1605</v>
      </c>
      <c r="AE75" t="s">
        <v>1618</v>
      </c>
      <c r="AF75" t="s">
        <v>1627</v>
      </c>
    </row>
    <row r="76" spans="1:32" x14ac:dyDescent="0.25">
      <c r="A76" t="s">
        <v>133</v>
      </c>
      <c r="B76">
        <v>36</v>
      </c>
      <c r="C76">
        <v>132</v>
      </c>
      <c r="D76">
        <v>6</v>
      </c>
      <c r="E76">
        <v>55</v>
      </c>
      <c r="F76">
        <v>3038</v>
      </c>
      <c r="G76">
        <v>22002</v>
      </c>
      <c r="H76">
        <v>3</v>
      </c>
      <c r="I76">
        <v>12</v>
      </c>
      <c r="J76">
        <v>5</v>
      </c>
      <c r="K76">
        <v>3</v>
      </c>
      <c r="L76">
        <v>1</v>
      </c>
      <c r="M76">
        <v>0</v>
      </c>
      <c r="N76">
        <v>0</v>
      </c>
      <c r="O76">
        <v>0</v>
      </c>
      <c r="P76" t="s">
        <v>1556</v>
      </c>
      <c r="Q76" t="s">
        <v>1552</v>
      </c>
      <c r="R76" t="s">
        <v>1550</v>
      </c>
      <c r="S76" t="s">
        <v>1534</v>
      </c>
      <c r="T76" t="s">
        <v>1538</v>
      </c>
      <c r="U76" t="s">
        <v>1546</v>
      </c>
      <c r="V76" t="s">
        <v>1558</v>
      </c>
      <c r="W76" t="s">
        <v>1564</v>
      </c>
      <c r="X76" t="s">
        <v>1575</v>
      </c>
      <c r="Y76" t="s">
        <v>1583</v>
      </c>
      <c r="Z76" t="s">
        <v>1594</v>
      </c>
      <c r="AA76" t="s">
        <v>1597</v>
      </c>
      <c r="AB76" t="s">
        <v>1601</v>
      </c>
      <c r="AC76" t="s">
        <v>1610</v>
      </c>
      <c r="AD76" t="s">
        <v>1605</v>
      </c>
      <c r="AE76" t="s">
        <v>1616</v>
      </c>
      <c r="AF76" t="s">
        <v>1627</v>
      </c>
    </row>
    <row r="77" spans="1:32" x14ac:dyDescent="0.25">
      <c r="A77" t="s">
        <v>134</v>
      </c>
      <c r="B77">
        <v>31</v>
      </c>
      <c r="C77">
        <v>746</v>
      </c>
      <c r="D77">
        <v>8</v>
      </c>
      <c r="E77">
        <v>61</v>
      </c>
      <c r="F77">
        <v>4424</v>
      </c>
      <c r="G77">
        <v>20682</v>
      </c>
      <c r="H77">
        <v>1</v>
      </c>
      <c r="I77">
        <v>23</v>
      </c>
      <c r="J77">
        <v>11</v>
      </c>
      <c r="K77">
        <v>2</v>
      </c>
      <c r="L77">
        <v>11</v>
      </c>
      <c r="M77">
        <v>7</v>
      </c>
      <c r="N77">
        <v>1</v>
      </c>
      <c r="O77">
        <v>8</v>
      </c>
      <c r="P77" t="s">
        <v>1556</v>
      </c>
      <c r="Q77" t="s">
        <v>1552</v>
      </c>
      <c r="R77" t="s">
        <v>1550</v>
      </c>
      <c r="S77" t="s">
        <v>1535</v>
      </c>
      <c r="T77" t="s">
        <v>1538</v>
      </c>
      <c r="U77" t="s">
        <v>1547</v>
      </c>
      <c r="V77" t="s">
        <v>1558</v>
      </c>
      <c r="W77" t="s">
        <v>1563</v>
      </c>
      <c r="X77" t="s">
        <v>1576</v>
      </c>
      <c r="Y77" t="s">
        <v>1584</v>
      </c>
      <c r="Z77" t="s">
        <v>1594</v>
      </c>
      <c r="AA77" t="s">
        <v>1596</v>
      </c>
      <c r="AB77" t="s">
        <v>1601</v>
      </c>
      <c r="AC77" t="s">
        <v>1611</v>
      </c>
      <c r="AD77" t="s">
        <v>1607</v>
      </c>
      <c r="AE77" t="s">
        <v>1616</v>
      </c>
      <c r="AF77" t="s">
        <v>1627</v>
      </c>
    </row>
    <row r="78" spans="1:32" x14ac:dyDescent="0.25">
      <c r="A78" t="s">
        <v>135</v>
      </c>
      <c r="B78">
        <v>35</v>
      </c>
      <c r="C78">
        <v>776</v>
      </c>
      <c r="D78">
        <v>1</v>
      </c>
      <c r="E78">
        <v>32</v>
      </c>
      <c r="F78">
        <v>4312</v>
      </c>
      <c r="G78">
        <v>23016</v>
      </c>
      <c r="H78">
        <v>0</v>
      </c>
      <c r="I78">
        <v>14</v>
      </c>
      <c r="J78">
        <v>16</v>
      </c>
      <c r="K78">
        <v>2</v>
      </c>
      <c r="L78">
        <v>15</v>
      </c>
      <c r="M78">
        <v>13</v>
      </c>
      <c r="N78">
        <v>2</v>
      </c>
      <c r="O78">
        <v>8</v>
      </c>
      <c r="P78" t="s">
        <v>1556</v>
      </c>
      <c r="Q78" t="s">
        <v>1552</v>
      </c>
      <c r="R78" t="s">
        <v>1549</v>
      </c>
      <c r="S78" t="s">
        <v>1535</v>
      </c>
      <c r="T78" t="s">
        <v>1541</v>
      </c>
      <c r="U78" t="s">
        <v>1547</v>
      </c>
      <c r="V78" t="s">
        <v>1559</v>
      </c>
      <c r="W78" t="s">
        <v>1562</v>
      </c>
      <c r="X78" t="s">
        <v>1576</v>
      </c>
      <c r="Y78" t="s">
        <v>1581</v>
      </c>
      <c r="Z78" t="s">
        <v>1591</v>
      </c>
      <c r="AA78" t="s">
        <v>1596</v>
      </c>
      <c r="AB78" t="s">
        <v>1601</v>
      </c>
      <c r="AC78" t="s">
        <v>1610</v>
      </c>
      <c r="AD78" t="s">
        <v>1605</v>
      </c>
      <c r="AE78" t="s">
        <v>1616</v>
      </c>
      <c r="AF78" t="s">
        <v>1627</v>
      </c>
    </row>
    <row r="79" spans="1:32" x14ac:dyDescent="0.25">
      <c r="A79" t="s">
        <v>136</v>
      </c>
      <c r="B79">
        <v>45</v>
      </c>
      <c r="C79">
        <v>193</v>
      </c>
      <c r="D79">
        <v>6</v>
      </c>
      <c r="E79">
        <v>52</v>
      </c>
      <c r="F79">
        <v>13245</v>
      </c>
      <c r="G79">
        <v>15067</v>
      </c>
      <c r="H79">
        <v>4</v>
      </c>
      <c r="I79">
        <v>14</v>
      </c>
      <c r="J79">
        <v>17</v>
      </c>
      <c r="K79">
        <v>3</v>
      </c>
      <c r="L79">
        <v>0</v>
      </c>
      <c r="M79">
        <v>0</v>
      </c>
      <c r="N79">
        <v>0</v>
      </c>
      <c r="O79">
        <v>0</v>
      </c>
      <c r="P79" t="s">
        <v>1556</v>
      </c>
      <c r="Q79" t="s">
        <v>1552</v>
      </c>
      <c r="R79" t="s">
        <v>1550</v>
      </c>
      <c r="S79" t="s">
        <v>1535</v>
      </c>
      <c r="T79" t="s">
        <v>1539</v>
      </c>
      <c r="U79" t="s">
        <v>1548</v>
      </c>
      <c r="V79" t="s">
        <v>1559</v>
      </c>
      <c r="W79" t="s">
        <v>1563</v>
      </c>
      <c r="X79" t="s">
        <v>1577</v>
      </c>
      <c r="Y79" t="s">
        <v>1588</v>
      </c>
      <c r="Z79" t="s">
        <v>1591</v>
      </c>
      <c r="AA79" t="s">
        <v>1597</v>
      </c>
      <c r="AB79" t="s">
        <v>1600</v>
      </c>
      <c r="AC79" t="s">
        <v>1610</v>
      </c>
      <c r="AD79" t="s">
        <v>1605</v>
      </c>
      <c r="AE79" t="s">
        <v>1616</v>
      </c>
      <c r="AF79" t="s">
        <v>1628</v>
      </c>
    </row>
    <row r="80" spans="1:32" x14ac:dyDescent="0.25">
      <c r="A80" t="s">
        <v>137</v>
      </c>
      <c r="B80">
        <v>37</v>
      </c>
      <c r="C80">
        <v>397</v>
      </c>
      <c r="D80">
        <v>7</v>
      </c>
      <c r="E80">
        <v>30</v>
      </c>
      <c r="F80">
        <v>13664</v>
      </c>
      <c r="G80">
        <v>25258</v>
      </c>
      <c r="H80">
        <v>4</v>
      </c>
      <c r="I80">
        <v>13</v>
      </c>
      <c r="J80">
        <v>16</v>
      </c>
      <c r="K80">
        <v>3</v>
      </c>
      <c r="L80">
        <v>5</v>
      </c>
      <c r="M80">
        <v>2</v>
      </c>
      <c r="N80">
        <v>0</v>
      </c>
      <c r="O80">
        <v>2</v>
      </c>
      <c r="P80" t="s">
        <v>1556</v>
      </c>
      <c r="Q80" t="s">
        <v>1552</v>
      </c>
      <c r="R80" t="s">
        <v>1550</v>
      </c>
      <c r="S80" t="s">
        <v>1535</v>
      </c>
      <c r="T80" t="s">
        <v>1540</v>
      </c>
      <c r="U80" t="s">
        <v>1545</v>
      </c>
      <c r="V80" t="s">
        <v>1559</v>
      </c>
      <c r="W80" t="s">
        <v>1563</v>
      </c>
      <c r="X80" t="s">
        <v>1577</v>
      </c>
      <c r="Y80" t="s">
        <v>1588</v>
      </c>
      <c r="Z80" t="s">
        <v>1593</v>
      </c>
      <c r="AA80" t="s">
        <v>1596</v>
      </c>
      <c r="AB80" t="s">
        <v>1601</v>
      </c>
      <c r="AC80" t="s">
        <v>1610</v>
      </c>
      <c r="AD80" t="s">
        <v>1604</v>
      </c>
      <c r="AE80" t="s">
        <v>1616</v>
      </c>
      <c r="AF80" t="s">
        <v>1628</v>
      </c>
    </row>
    <row r="81" spans="1:32" x14ac:dyDescent="0.25">
      <c r="A81" t="s">
        <v>138</v>
      </c>
      <c r="B81">
        <v>46</v>
      </c>
      <c r="C81">
        <v>945</v>
      </c>
      <c r="D81">
        <v>5</v>
      </c>
      <c r="E81">
        <v>80</v>
      </c>
      <c r="F81">
        <v>5021</v>
      </c>
      <c r="G81">
        <v>10425</v>
      </c>
      <c r="H81">
        <v>8</v>
      </c>
      <c r="I81">
        <v>22</v>
      </c>
      <c r="J81">
        <v>16</v>
      </c>
      <c r="K81">
        <v>2</v>
      </c>
      <c r="L81">
        <v>4</v>
      </c>
      <c r="M81">
        <v>2</v>
      </c>
      <c r="N81">
        <v>0</v>
      </c>
      <c r="O81">
        <v>2</v>
      </c>
      <c r="P81" t="s">
        <v>1556</v>
      </c>
      <c r="Q81" t="s">
        <v>1552</v>
      </c>
      <c r="R81" t="s">
        <v>1551</v>
      </c>
      <c r="S81" t="s">
        <v>1533</v>
      </c>
      <c r="T81" t="s">
        <v>1540</v>
      </c>
      <c r="U81" t="s">
        <v>1546</v>
      </c>
      <c r="V81" t="s">
        <v>1559</v>
      </c>
      <c r="W81" t="s">
        <v>1563</v>
      </c>
      <c r="X81" t="s">
        <v>1576</v>
      </c>
      <c r="Y81" t="s">
        <v>1589</v>
      </c>
      <c r="Z81" t="s">
        <v>1592</v>
      </c>
      <c r="AA81" t="s">
        <v>1598</v>
      </c>
      <c r="AB81" t="s">
        <v>1600</v>
      </c>
      <c r="AC81" t="s">
        <v>1611</v>
      </c>
      <c r="AD81" t="s">
        <v>1607</v>
      </c>
      <c r="AE81" t="s">
        <v>1617</v>
      </c>
      <c r="AF81" t="s">
        <v>1627</v>
      </c>
    </row>
    <row r="82" spans="1:32" x14ac:dyDescent="0.25">
      <c r="A82" t="s">
        <v>139</v>
      </c>
      <c r="B82">
        <v>30</v>
      </c>
      <c r="C82">
        <v>852</v>
      </c>
      <c r="D82">
        <v>1</v>
      </c>
      <c r="E82">
        <v>55</v>
      </c>
      <c r="F82">
        <v>5126</v>
      </c>
      <c r="G82">
        <v>15998</v>
      </c>
      <c r="H82">
        <v>1</v>
      </c>
      <c r="I82">
        <v>12</v>
      </c>
      <c r="J82">
        <v>10</v>
      </c>
      <c r="K82">
        <v>1</v>
      </c>
      <c r="L82">
        <v>10</v>
      </c>
      <c r="M82">
        <v>8</v>
      </c>
      <c r="N82">
        <v>3</v>
      </c>
      <c r="O82">
        <v>0</v>
      </c>
      <c r="P82" t="s">
        <v>1556</v>
      </c>
      <c r="Q82" t="s">
        <v>1552</v>
      </c>
      <c r="R82" t="s">
        <v>1550</v>
      </c>
      <c r="S82" t="s">
        <v>1532</v>
      </c>
      <c r="T82" t="s">
        <v>1538</v>
      </c>
      <c r="U82" t="s">
        <v>1548</v>
      </c>
      <c r="V82" t="s">
        <v>1559</v>
      </c>
      <c r="W82" t="s">
        <v>1562</v>
      </c>
      <c r="X82" t="s">
        <v>1576</v>
      </c>
      <c r="Y82" t="s">
        <v>1583</v>
      </c>
      <c r="Z82" t="s">
        <v>1594</v>
      </c>
      <c r="AA82" t="s">
        <v>1597</v>
      </c>
      <c r="AB82" t="s">
        <v>1600</v>
      </c>
      <c r="AC82" t="s">
        <v>1610</v>
      </c>
      <c r="AD82" t="s">
        <v>1606</v>
      </c>
      <c r="AE82" t="s">
        <v>1618</v>
      </c>
      <c r="AF82" t="s">
        <v>1626</v>
      </c>
    </row>
    <row r="83" spans="1:32" x14ac:dyDescent="0.25">
      <c r="A83" t="s">
        <v>140</v>
      </c>
      <c r="B83">
        <v>35</v>
      </c>
      <c r="C83">
        <v>1214</v>
      </c>
      <c r="D83">
        <v>1</v>
      </c>
      <c r="E83">
        <v>30</v>
      </c>
      <c r="F83">
        <v>2859</v>
      </c>
      <c r="G83">
        <v>26278</v>
      </c>
      <c r="H83">
        <v>1</v>
      </c>
      <c r="I83">
        <v>18</v>
      </c>
      <c r="J83">
        <v>6</v>
      </c>
      <c r="K83">
        <v>3</v>
      </c>
      <c r="L83">
        <v>6</v>
      </c>
      <c r="M83">
        <v>4</v>
      </c>
      <c r="N83">
        <v>0</v>
      </c>
      <c r="O83">
        <v>4</v>
      </c>
      <c r="P83" t="s">
        <v>1556</v>
      </c>
      <c r="Q83" t="s">
        <v>1552</v>
      </c>
      <c r="R83" t="s">
        <v>1550</v>
      </c>
      <c r="S83" t="s">
        <v>1534</v>
      </c>
      <c r="T83" t="s">
        <v>1540</v>
      </c>
      <c r="U83" t="s">
        <v>1546</v>
      </c>
      <c r="V83" t="s">
        <v>1559</v>
      </c>
      <c r="W83" t="s">
        <v>1562</v>
      </c>
      <c r="X83" t="s">
        <v>1575</v>
      </c>
      <c r="Y83" t="s">
        <v>1582</v>
      </c>
      <c r="Z83" t="s">
        <v>1593</v>
      </c>
      <c r="AA83" t="s">
        <v>1596</v>
      </c>
      <c r="AB83" t="s">
        <v>1601</v>
      </c>
      <c r="AC83" t="s">
        <v>1610</v>
      </c>
      <c r="AD83" t="s">
        <v>1604</v>
      </c>
      <c r="AE83" t="s">
        <v>1616</v>
      </c>
      <c r="AF83" t="s">
        <v>1627</v>
      </c>
    </row>
    <row r="84" spans="1:32" x14ac:dyDescent="0.25">
      <c r="A84" t="s">
        <v>141</v>
      </c>
      <c r="B84">
        <v>55</v>
      </c>
      <c r="C84">
        <v>111</v>
      </c>
      <c r="D84">
        <v>1</v>
      </c>
      <c r="E84">
        <v>70</v>
      </c>
      <c r="F84">
        <v>10239</v>
      </c>
      <c r="G84">
        <v>18092</v>
      </c>
      <c r="H84">
        <v>3</v>
      </c>
      <c r="I84">
        <v>14</v>
      </c>
      <c r="J84">
        <v>24</v>
      </c>
      <c r="K84">
        <v>4</v>
      </c>
      <c r="L84">
        <v>1</v>
      </c>
      <c r="M84">
        <v>0</v>
      </c>
      <c r="N84">
        <v>1</v>
      </c>
      <c r="O84">
        <v>0</v>
      </c>
      <c r="P84" t="s">
        <v>1556</v>
      </c>
      <c r="Q84" t="s">
        <v>1552</v>
      </c>
      <c r="R84" t="s">
        <v>1549</v>
      </c>
      <c r="S84" t="s">
        <v>1533</v>
      </c>
      <c r="T84" t="s">
        <v>1538</v>
      </c>
      <c r="U84" t="s">
        <v>1545</v>
      </c>
      <c r="V84" t="s">
        <v>1559</v>
      </c>
      <c r="W84" t="s">
        <v>1563</v>
      </c>
      <c r="X84" t="s">
        <v>1577</v>
      </c>
      <c r="Y84" t="s">
        <v>1581</v>
      </c>
      <c r="Z84" t="s">
        <v>1594</v>
      </c>
      <c r="AA84" t="s">
        <v>1597</v>
      </c>
      <c r="AB84" t="s">
        <v>1601</v>
      </c>
      <c r="AC84" t="s">
        <v>1610</v>
      </c>
      <c r="AD84" t="s">
        <v>1607</v>
      </c>
      <c r="AE84" t="s">
        <v>1617</v>
      </c>
      <c r="AF84" t="s">
        <v>1627</v>
      </c>
    </row>
    <row r="85" spans="1:32" x14ac:dyDescent="0.25">
      <c r="A85" t="s">
        <v>142</v>
      </c>
      <c r="B85">
        <v>38</v>
      </c>
      <c r="C85">
        <v>573</v>
      </c>
      <c r="D85">
        <v>6</v>
      </c>
      <c r="E85">
        <v>79</v>
      </c>
      <c r="F85">
        <v>5329</v>
      </c>
      <c r="G85">
        <v>15717</v>
      </c>
      <c r="H85">
        <v>7</v>
      </c>
      <c r="I85">
        <v>12</v>
      </c>
      <c r="J85">
        <v>17</v>
      </c>
      <c r="K85">
        <v>3</v>
      </c>
      <c r="L85">
        <v>13</v>
      </c>
      <c r="M85">
        <v>11</v>
      </c>
      <c r="N85">
        <v>1</v>
      </c>
      <c r="O85">
        <v>9</v>
      </c>
      <c r="P85" t="s">
        <v>1556</v>
      </c>
      <c r="Q85" t="s">
        <v>1554</v>
      </c>
      <c r="R85" t="s">
        <v>1550</v>
      </c>
      <c r="S85" t="s">
        <v>1534</v>
      </c>
      <c r="T85" t="s">
        <v>1540</v>
      </c>
      <c r="U85" t="s">
        <v>1546</v>
      </c>
      <c r="V85" t="s">
        <v>1558</v>
      </c>
      <c r="W85" t="s">
        <v>1561</v>
      </c>
      <c r="X85" t="s">
        <v>1576</v>
      </c>
      <c r="Y85" t="s">
        <v>1582</v>
      </c>
      <c r="Z85" t="s">
        <v>1594</v>
      </c>
      <c r="AA85" t="s">
        <v>1598</v>
      </c>
      <c r="AB85" t="s">
        <v>1600</v>
      </c>
      <c r="AC85" t="s">
        <v>1610</v>
      </c>
      <c r="AD85" t="s">
        <v>1607</v>
      </c>
      <c r="AE85" t="s">
        <v>1619</v>
      </c>
      <c r="AF85" t="s">
        <v>1627</v>
      </c>
    </row>
    <row r="86" spans="1:32" x14ac:dyDescent="0.25">
      <c r="A86" t="s">
        <v>143</v>
      </c>
      <c r="B86">
        <v>34</v>
      </c>
      <c r="C86">
        <v>1153</v>
      </c>
      <c r="D86">
        <v>1</v>
      </c>
      <c r="E86">
        <v>94</v>
      </c>
      <c r="F86">
        <v>4325</v>
      </c>
      <c r="G86">
        <v>17736</v>
      </c>
      <c r="H86">
        <v>1</v>
      </c>
      <c r="I86">
        <v>15</v>
      </c>
      <c r="J86">
        <v>5</v>
      </c>
      <c r="K86">
        <v>2</v>
      </c>
      <c r="L86">
        <v>5</v>
      </c>
      <c r="M86">
        <v>2</v>
      </c>
      <c r="N86">
        <v>1</v>
      </c>
      <c r="O86">
        <v>3</v>
      </c>
      <c r="P86" t="s">
        <v>1556</v>
      </c>
      <c r="Q86" t="s">
        <v>1552</v>
      </c>
      <c r="R86" t="s">
        <v>1550</v>
      </c>
      <c r="S86" t="s">
        <v>1533</v>
      </c>
      <c r="T86" t="s">
        <v>1540</v>
      </c>
      <c r="U86" t="s">
        <v>1545</v>
      </c>
      <c r="V86" t="s">
        <v>1559</v>
      </c>
      <c r="W86" t="s">
        <v>1563</v>
      </c>
      <c r="X86" t="s">
        <v>1576</v>
      </c>
      <c r="Y86" t="s">
        <v>1584</v>
      </c>
      <c r="Z86" t="s">
        <v>1592</v>
      </c>
      <c r="AA86" t="s">
        <v>1597</v>
      </c>
      <c r="AB86" t="s">
        <v>1601</v>
      </c>
      <c r="AC86" t="s">
        <v>1610</v>
      </c>
      <c r="AD86" t="s">
        <v>1606</v>
      </c>
      <c r="AE86" t="s">
        <v>1616</v>
      </c>
      <c r="AF86" t="s">
        <v>1627</v>
      </c>
    </row>
    <row r="87" spans="1:32" x14ac:dyDescent="0.25">
      <c r="A87" t="s">
        <v>144</v>
      </c>
      <c r="B87">
        <v>56</v>
      </c>
      <c r="C87">
        <v>1400</v>
      </c>
      <c r="D87">
        <v>7</v>
      </c>
      <c r="E87">
        <v>49</v>
      </c>
      <c r="F87">
        <v>7260</v>
      </c>
      <c r="G87">
        <v>21698</v>
      </c>
      <c r="H87">
        <v>4</v>
      </c>
      <c r="I87">
        <v>11</v>
      </c>
      <c r="J87">
        <v>37</v>
      </c>
      <c r="K87">
        <v>3</v>
      </c>
      <c r="L87">
        <v>6</v>
      </c>
      <c r="M87">
        <v>4</v>
      </c>
      <c r="N87">
        <v>0</v>
      </c>
      <c r="O87">
        <v>2</v>
      </c>
      <c r="P87" t="s">
        <v>1556</v>
      </c>
      <c r="Q87" t="s">
        <v>1552</v>
      </c>
      <c r="R87" t="s">
        <v>1550</v>
      </c>
      <c r="S87" t="s">
        <v>1534</v>
      </c>
      <c r="T87" t="s">
        <v>1538</v>
      </c>
      <c r="U87" t="s">
        <v>1548</v>
      </c>
      <c r="V87" t="s">
        <v>1559</v>
      </c>
      <c r="W87" t="s">
        <v>1561</v>
      </c>
      <c r="X87" t="s">
        <v>1577</v>
      </c>
      <c r="Y87" t="s">
        <v>1584</v>
      </c>
      <c r="Z87" t="s">
        <v>1594</v>
      </c>
      <c r="AA87" t="s">
        <v>1596</v>
      </c>
      <c r="AB87" t="s">
        <v>1601</v>
      </c>
      <c r="AC87" t="s">
        <v>1610</v>
      </c>
      <c r="AD87" t="s">
        <v>1604</v>
      </c>
      <c r="AE87" t="s">
        <v>1616</v>
      </c>
      <c r="AF87" t="s">
        <v>1626</v>
      </c>
    </row>
    <row r="88" spans="1:32" x14ac:dyDescent="0.25">
      <c r="A88" t="s">
        <v>145</v>
      </c>
      <c r="B88">
        <v>23</v>
      </c>
      <c r="C88">
        <v>541</v>
      </c>
      <c r="D88">
        <v>2</v>
      </c>
      <c r="E88">
        <v>62</v>
      </c>
      <c r="F88">
        <v>2322</v>
      </c>
      <c r="G88">
        <v>9518</v>
      </c>
      <c r="H88">
        <v>3</v>
      </c>
      <c r="I88">
        <v>13</v>
      </c>
      <c r="J88">
        <v>3</v>
      </c>
      <c r="K88">
        <v>3</v>
      </c>
      <c r="L88">
        <v>0</v>
      </c>
      <c r="M88">
        <v>0</v>
      </c>
      <c r="N88">
        <v>0</v>
      </c>
      <c r="O88">
        <v>0</v>
      </c>
      <c r="P88" t="s">
        <v>1556</v>
      </c>
      <c r="Q88" t="s">
        <v>1552</v>
      </c>
      <c r="R88" t="s">
        <v>1549</v>
      </c>
      <c r="S88" t="s">
        <v>1532</v>
      </c>
      <c r="T88" t="s">
        <v>1542</v>
      </c>
      <c r="U88" t="s">
        <v>1547</v>
      </c>
      <c r="V88" t="s">
        <v>1559</v>
      </c>
      <c r="W88" t="s">
        <v>1563</v>
      </c>
      <c r="X88" t="s">
        <v>1575</v>
      </c>
      <c r="Y88" t="s">
        <v>1587</v>
      </c>
      <c r="Z88" t="s">
        <v>1591</v>
      </c>
      <c r="AA88" t="s">
        <v>1598</v>
      </c>
      <c r="AB88" t="s">
        <v>1601</v>
      </c>
      <c r="AC88" t="s">
        <v>1610</v>
      </c>
      <c r="AD88" t="s">
        <v>1606</v>
      </c>
      <c r="AE88" t="s">
        <v>1617</v>
      </c>
      <c r="AF88" t="s">
        <v>1627</v>
      </c>
    </row>
    <row r="89" spans="1:32" x14ac:dyDescent="0.25">
      <c r="A89" t="s">
        <v>146</v>
      </c>
      <c r="B89">
        <v>51</v>
      </c>
      <c r="C89">
        <v>432</v>
      </c>
      <c r="D89">
        <v>9</v>
      </c>
      <c r="E89">
        <v>96</v>
      </c>
      <c r="F89">
        <v>2075</v>
      </c>
      <c r="G89">
        <v>18725</v>
      </c>
      <c r="H89">
        <v>3</v>
      </c>
      <c r="I89">
        <v>23</v>
      </c>
      <c r="J89">
        <v>10</v>
      </c>
      <c r="K89">
        <v>4</v>
      </c>
      <c r="L89">
        <v>4</v>
      </c>
      <c r="M89">
        <v>2</v>
      </c>
      <c r="N89">
        <v>0</v>
      </c>
      <c r="O89">
        <v>3</v>
      </c>
      <c r="P89" t="s">
        <v>1556</v>
      </c>
      <c r="Q89" t="s">
        <v>1552</v>
      </c>
      <c r="R89" t="s">
        <v>1550</v>
      </c>
      <c r="S89" t="s">
        <v>1535</v>
      </c>
      <c r="T89" t="s">
        <v>1538</v>
      </c>
      <c r="U89" t="s">
        <v>1548</v>
      </c>
      <c r="V89" t="s">
        <v>1559</v>
      </c>
      <c r="W89" t="s">
        <v>1563</v>
      </c>
      <c r="X89" t="s">
        <v>1575</v>
      </c>
      <c r="Y89" t="s">
        <v>1583</v>
      </c>
      <c r="Z89" t="s">
        <v>1594</v>
      </c>
      <c r="AA89" t="s">
        <v>1597</v>
      </c>
      <c r="AB89" t="s">
        <v>1601</v>
      </c>
      <c r="AC89" t="s">
        <v>1611</v>
      </c>
      <c r="AD89" t="s">
        <v>1605</v>
      </c>
      <c r="AE89" t="s">
        <v>1618</v>
      </c>
      <c r="AF89" t="s">
        <v>1627</v>
      </c>
    </row>
    <row r="90" spans="1:32" x14ac:dyDescent="0.25">
      <c r="A90" t="s">
        <v>147</v>
      </c>
      <c r="B90">
        <v>30</v>
      </c>
      <c r="C90">
        <v>288</v>
      </c>
      <c r="D90">
        <v>2</v>
      </c>
      <c r="E90">
        <v>99</v>
      </c>
      <c r="F90">
        <v>4152</v>
      </c>
      <c r="G90">
        <v>15830</v>
      </c>
      <c r="H90">
        <v>1</v>
      </c>
      <c r="I90">
        <v>19</v>
      </c>
      <c r="J90">
        <v>11</v>
      </c>
      <c r="K90">
        <v>3</v>
      </c>
      <c r="L90">
        <v>11</v>
      </c>
      <c r="M90">
        <v>10</v>
      </c>
      <c r="N90">
        <v>10</v>
      </c>
      <c r="O90">
        <v>8</v>
      </c>
      <c r="P90" t="s">
        <v>1556</v>
      </c>
      <c r="Q90" t="s">
        <v>1552</v>
      </c>
      <c r="R90" t="s">
        <v>1550</v>
      </c>
      <c r="S90" t="s">
        <v>1534</v>
      </c>
      <c r="T90" t="s">
        <v>1538</v>
      </c>
      <c r="U90" t="s">
        <v>1547</v>
      </c>
      <c r="V90" t="s">
        <v>1559</v>
      </c>
      <c r="W90" t="s">
        <v>1562</v>
      </c>
      <c r="X90" t="s">
        <v>1576</v>
      </c>
      <c r="Y90" t="s">
        <v>1585</v>
      </c>
      <c r="Z90" t="s">
        <v>1594</v>
      </c>
      <c r="AA90" t="s">
        <v>1597</v>
      </c>
      <c r="AB90" t="s">
        <v>1601</v>
      </c>
      <c r="AC90" t="s">
        <v>1610</v>
      </c>
      <c r="AD90" t="s">
        <v>1604</v>
      </c>
      <c r="AE90" t="s">
        <v>1619</v>
      </c>
      <c r="AF90" t="s">
        <v>1627</v>
      </c>
    </row>
    <row r="91" spans="1:32" x14ac:dyDescent="0.25">
      <c r="A91" t="s">
        <v>148</v>
      </c>
      <c r="B91">
        <v>46</v>
      </c>
      <c r="C91">
        <v>669</v>
      </c>
      <c r="D91">
        <v>9</v>
      </c>
      <c r="E91">
        <v>64</v>
      </c>
      <c r="F91">
        <v>9619</v>
      </c>
      <c r="G91">
        <v>13596</v>
      </c>
      <c r="H91">
        <v>1</v>
      </c>
      <c r="I91">
        <v>16</v>
      </c>
      <c r="J91">
        <v>9</v>
      </c>
      <c r="K91">
        <v>3</v>
      </c>
      <c r="L91">
        <v>9</v>
      </c>
      <c r="M91">
        <v>8</v>
      </c>
      <c r="N91">
        <v>4</v>
      </c>
      <c r="O91">
        <v>7</v>
      </c>
      <c r="P91" t="s">
        <v>1555</v>
      </c>
      <c r="Q91" t="s">
        <v>1552</v>
      </c>
      <c r="R91" t="s">
        <v>1549</v>
      </c>
      <c r="S91" t="s">
        <v>1533</v>
      </c>
      <c r="T91" t="s">
        <v>1540</v>
      </c>
      <c r="U91" t="s">
        <v>1547</v>
      </c>
      <c r="V91" t="s">
        <v>1559</v>
      </c>
      <c r="W91" t="s">
        <v>1562</v>
      </c>
      <c r="X91" t="s">
        <v>1577</v>
      </c>
      <c r="Y91" t="s">
        <v>1581</v>
      </c>
      <c r="Z91" t="s">
        <v>1594</v>
      </c>
      <c r="AA91" t="s">
        <v>1596</v>
      </c>
      <c r="AB91" t="s">
        <v>1601</v>
      </c>
      <c r="AC91" t="s">
        <v>1610</v>
      </c>
      <c r="AD91" t="s">
        <v>1607</v>
      </c>
      <c r="AE91" t="s">
        <v>1616</v>
      </c>
      <c r="AF91" t="s">
        <v>1627</v>
      </c>
    </row>
    <row r="92" spans="1:32" x14ac:dyDescent="0.25">
      <c r="A92" t="s">
        <v>149</v>
      </c>
      <c r="B92">
        <v>40</v>
      </c>
      <c r="C92">
        <v>530</v>
      </c>
      <c r="D92">
        <v>1</v>
      </c>
      <c r="E92">
        <v>78</v>
      </c>
      <c r="F92">
        <v>13503</v>
      </c>
      <c r="G92">
        <v>14115</v>
      </c>
      <c r="H92">
        <v>1</v>
      </c>
      <c r="I92">
        <v>22</v>
      </c>
      <c r="J92">
        <v>22</v>
      </c>
      <c r="K92">
        <v>3</v>
      </c>
      <c r="L92">
        <v>22</v>
      </c>
      <c r="M92">
        <v>3</v>
      </c>
      <c r="N92">
        <v>11</v>
      </c>
      <c r="O92">
        <v>11</v>
      </c>
      <c r="P92" t="s">
        <v>1556</v>
      </c>
      <c r="Q92" t="s">
        <v>1553</v>
      </c>
      <c r="R92" t="s">
        <v>1550</v>
      </c>
      <c r="S92" t="s">
        <v>1535</v>
      </c>
      <c r="T92" t="s">
        <v>1538</v>
      </c>
      <c r="U92" t="s">
        <v>1547</v>
      </c>
      <c r="V92" t="s">
        <v>1559</v>
      </c>
      <c r="W92" t="s">
        <v>1562</v>
      </c>
      <c r="X92" t="s">
        <v>1578</v>
      </c>
      <c r="Y92" t="s">
        <v>1585</v>
      </c>
      <c r="Z92" t="s">
        <v>1592</v>
      </c>
      <c r="AA92" t="s">
        <v>1597</v>
      </c>
      <c r="AB92" t="s">
        <v>1601</v>
      </c>
      <c r="AC92" t="s">
        <v>1611</v>
      </c>
      <c r="AD92" t="s">
        <v>1607</v>
      </c>
      <c r="AE92" t="s">
        <v>1617</v>
      </c>
      <c r="AF92" t="s">
        <v>1626</v>
      </c>
    </row>
    <row r="93" spans="1:32" x14ac:dyDescent="0.25">
      <c r="A93" t="s">
        <v>150</v>
      </c>
      <c r="B93">
        <v>51</v>
      </c>
      <c r="C93">
        <v>632</v>
      </c>
      <c r="D93">
        <v>21</v>
      </c>
      <c r="E93">
        <v>71</v>
      </c>
      <c r="F93">
        <v>5441</v>
      </c>
      <c r="G93">
        <v>8423</v>
      </c>
      <c r="H93">
        <v>0</v>
      </c>
      <c r="I93">
        <v>22</v>
      </c>
      <c r="J93">
        <v>11</v>
      </c>
      <c r="K93">
        <v>2</v>
      </c>
      <c r="L93">
        <v>10</v>
      </c>
      <c r="M93">
        <v>7</v>
      </c>
      <c r="N93">
        <v>1</v>
      </c>
      <c r="O93">
        <v>0</v>
      </c>
      <c r="P93" t="s">
        <v>1556</v>
      </c>
      <c r="Q93" t="s">
        <v>1552</v>
      </c>
      <c r="R93" t="s">
        <v>1549</v>
      </c>
      <c r="S93" t="s">
        <v>1535</v>
      </c>
      <c r="T93" t="s">
        <v>1541</v>
      </c>
      <c r="U93" t="s">
        <v>1547</v>
      </c>
      <c r="V93" t="s">
        <v>1559</v>
      </c>
      <c r="W93" t="s">
        <v>1563</v>
      </c>
      <c r="X93" t="s">
        <v>1576</v>
      </c>
      <c r="Y93" t="s">
        <v>1581</v>
      </c>
      <c r="Z93" t="s">
        <v>1594</v>
      </c>
      <c r="AA93" t="s">
        <v>1596</v>
      </c>
      <c r="AB93" t="s">
        <v>1600</v>
      </c>
      <c r="AC93" t="s">
        <v>1611</v>
      </c>
      <c r="AD93" t="s">
        <v>1607</v>
      </c>
      <c r="AE93" t="s">
        <v>1616</v>
      </c>
      <c r="AF93" t="s">
        <v>1625</v>
      </c>
    </row>
    <row r="94" spans="1:32" x14ac:dyDescent="0.25">
      <c r="A94" t="s">
        <v>151</v>
      </c>
      <c r="B94">
        <v>30</v>
      </c>
      <c r="C94">
        <v>1334</v>
      </c>
      <c r="D94">
        <v>4</v>
      </c>
      <c r="E94">
        <v>63</v>
      </c>
      <c r="F94">
        <v>5209</v>
      </c>
      <c r="G94">
        <v>19760</v>
      </c>
      <c r="H94">
        <v>1</v>
      </c>
      <c r="I94">
        <v>12</v>
      </c>
      <c r="J94">
        <v>11</v>
      </c>
      <c r="K94">
        <v>4</v>
      </c>
      <c r="L94">
        <v>11</v>
      </c>
      <c r="M94">
        <v>8</v>
      </c>
      <c r="N94">
        <v>2</v>
      </c>
      <c r="O94">
        <v>7</v>
      </c>
      <c r="P94" t="s">
        <v>1556</v>
      </c>
      <c r="Q94" t="s">
        <v>1552</v>
      </c>
      <c r="R94" t="s">
        <v>1549</v>
      </c>
      <c r="S94" t="s">
        <v>1533</v>
      </c>
      <c r="T94" t="s">
        <v>1540</v>
      </c>
      <c r="U94" t="s">
        <v>1547</v>
      </c>
      <c r="V94" t="s">
        <v>1558</v>
      </c>
      <c r="W94" t="s">
        <v>1562</v>
      </c>
      <c r="X94" t="s">
        <v>1576</v>
      </c>
      <c r="Y94" t="s">
        <v>1581</v>
      </c>
      <c r="Z94" t="s">
        <v>1592</v>
      </c>
      <c r="AA94" t="s">
        <v>1598</v>
      </c>
      <c r="AB94" t="s">
        <v>1600</v>
      </c>
      <c r="AC94" t="s">
        <v>1610</v>
      </c>
      <c r="AD94" t="s">
        <v>1605</v>
      </c>
      <c r="AE94" t="s">
        <v>1619</v>
      </c>
      <c r="AF94" t="s">
        <v>1626</v>
      </c>
    </row>
    <row r="95" spans="1:32" x14ac:dyDescent="0.25">
      <c r="A95" t="s">
        <v>152</v>
      </c>
      <c r="B95">
        <v>46</v>
      </c>
      <c r="C95">
        <v>638</v>
      </c>
      <c r="D95">
        <v>1</v>
      </c>
      <c r="E95">
        <v>40</v>
      </c>
      <c r="F95">
        <v>10673</v>
      </c>
      <c r="G95">
        <v>3142</v>
      </c>
      <c r="H95">
        <v>2</v>
      </c>
      <c r="I95">
        <v>13</v>
      </c>
      <c r="J95">
        <v>21</v>
      </c>
      <c r="K95">
        <v>5</v>
      </c>
      <c r="L95">
        <v>10</v>
      </c>
      <c r="M95">
        <v>9</v>
      </c>
      <c r="N95">
        <v>9</v>
      </c>
      <c r="O95">
        <v>5</v>
      </c>
      <c r="P95" t="s">
        <v>1556</v>
      </c>
      <c r="Q95" t="s">
        <v>1553</v>
      </c>
      <c r="R95" t="s">
        <v>1550</v>
      </c>
      <c r="S95" t="s">
        <v>1534</v>
      </c>
      <c r="T95" t="s">
        <v>1540</v>
      </c>
      <c r="U95" t="s">
        <v>1547</v>
      </c>
      <c r="V95" t="s">
        <v>1559</v>
      </c>
      <c r="W95" t="s">
        <v>1562</v>
      </c>
      <c r="X95" t="s">
        <v>1577</v>
      </c>
      <c r="Y95" t="s">
        <v>1585</v>
      </c>
      <c r="Z95" t="s">
        <v>1591</v>
      </c>
      <c r="AA95" t="s">
        <v>1597</v>
      </c>
      <c r="AB95" t="s">
        <v>1600</v>
      </c>
      <c r="AC95" t="s">
        <v>1610</v>
      </c>
      <c r="AD95" t="s">
        <v>1606</v>
      </c>
      <c r="AE95" t="s">
        <v>1617</v>
      </c>
      <c r="AF95" t="s">
        <v>1626</v>
      </c>
    </row>
    <row r="96" spans="1:32" x14ac:dyDescent="0.25">
      <c r="A96" t="s">
        <v>153</v>
      </c>
      <c r="B96">
        <v>32</v>
      </c>
      <c r="C96">
        <v>1093</v>
      </c>
      <c r="D96">
        <v>6</v>
      </c>
      <c r="E96">
        <v>87</v>
      </c>
      <c r="F96">
        <v>5010</v>
      </c>
      <c r="G96">
        <v>24301</v>
      </c>
      <c r="H96">
        <v>1</v>
      </c>
      <c r="I96">
        <v>16</v>
      </c>
      <c r="J96">
        <v>12</v>
      </c>
      <c r="K96">
        <v>0</v>
      </c>
      <c r="L96">
        <v>11</v>
      </c>
      <c r="M96">
        <v>8</v>
      </c>
      <c r="N96">
        <v>5</v>
      </c>
      <c r="O96">
        <v>7</v>
      </c>
      <c r="P96" t="s">
        <v>1556</v>
      </c>
      <c r="Q96" t="s">
        <v>1552</v>
      </c>
      <c r="R96" t="s">
        <v>1549</v>
      </c>
      <c r="S96" t="s">
        <v>1535</v>
      </c>
      <c r="T96" t="s">
        <v>1540</v>
      </c>
      <c r="U96" t="s">
        <v>1546</v>
      </c>
      <c r="V96" t="s">
        <v>1559</v>
      </c>
      <c r="W96" t="s">
        <v>1563</v>
      </c>
      <c r="X96" t="s">
        <v>1576</v>
      </c>
      <c r="Y96" t="s">
        <v>1581</v>
      </c>
      <c r="Z96" t="s">
        <v>1593</v>
      </c>
      <c r="AA96" t="s">
        <v>1596</v>
      </c>
      <c r="AB96" t="s">
        <v>1601</v>
      </c>
      <c r="AC96" t="s">
        <v>1610</v>
      </c>
      <c r="AD96" t="s">
        <v>1604</v>
      </c>
      <c r="AE96" t="s">
        <v>1616</v>
      </c>
      <c r="AF96" t="s">
        <v>1627</v>
      </c>
    </row>
    <row r="97" spans="1:32" x14ac:dyDescent="0.25">
      <c r="A97" t="s">
        <v>154</v>
      </c>
      <c r="B97">
        <v>54</v>
      </c>
      <c r="C97">
        <v>1217</v>
      </c>
      <c r="D97">
        <v>2</v>
      </c>
      <c r="E97">
        <v>60</v>
      </c>
      <c r="F97">
        <v>13549</v>
      </c>
      <c r="G97">
        <v>24001</v>
      </c>
      <c r="H97">
        <v>9</v>
      </c>
      <c r="I97">
        <v>12</v>
      </c>
      <c r="J97">
        <v>16</v>
      </c>
      <c r="K97">
        <v>5</v>
      </c>
      <c r="L97">
        <v>4</v>
      </c>
      <c r="M97">
        <v>3</v>
      </c>
      <c r="N97">
        <v>0</v>
      </c>
      <c r="O97">
        <v>3</v>
      </c>
      <c r="P97" t="s">
        <v>1556</v>
      </c>
      <c r="Q97" t="s">
        <v>1552</v>
      </c>
      <c r="R97" t="s">
        <v>1550</v>
      </c>
      <c r="S97" t="s">
        <v>1535</v>
      </c>
      <c r="T97" t="s">
        <v>1542</v>
      </c>
      <c r="U97" t="s">
        <v>1545</v>
      </c>
      <c r="V97" t="s">
        <v>1558</v>
      </c>
      <c r="W97" t="s">
        <v>1563</v>
      </c>
      <c r="X97" t="s">
        <v>1577</v>
      </c>
      <c r="Y97" t="s">
        <v>1588</v>
      </c>
      <c r="Z97" t="s">
        <v>1593</v>
      </c>
      <c r="AA97" t="s">
        <v>1597</v>
      </c>
      <c r="AB97" t="s">
        <v>1601</v>
      </c>
      <c r="AC97" t="s">
        <v>1610</v>
      </c>
      <c r="AD97" t="s">
        <v>1604</v>
      </c>
      <c r="AE97" t="s">
        <v>1617</v>
      </c>
      <c r="AF97" t="s">
        <v>1625</v>
      </c>
    </row>
    <row r="98" spans="1:32" x14ac:dyDescent="0.25">
      <c r="A98" t="s">
        <v>155</v>
      </c>
      <c r="B98">
        <v>24</v>
      </c>
      <c r="C98">
        <v>1353</v>
      </c>
      <c r="D98">
        <v>3</v>
      </c>
      <c r="E98">
        <v>33</v>
      </c>
      <c r="F98">
        <v>4999</v>
      </c>
      <c r="G98">
        <v>17519</v>
      </c>
      <c r="H98">
        <v>0</v>
      </c>
      <c r="I98">
        <v>21</v>
      </c>
      <c r="J98">
        <v>4</v>
      </c>
      <c r="K98">
        <v>2</v>
      </c>
      <c r="L98">
        <v>3</v>
      </c>
      <c r="M98">
        <v>2</v>
      </c>
      <c r="N98">
        <v>0</v>
      </c>
      <c r="O98">
        <v>2</v>
      </c>
      <c r="P98" t="s">
        <v>1556</v>
      </c>
      <c r="Q98" t="s">
        <v>1552</v>
      </c>
      <c r="R98" t="s">
        <v>1549</v>
      </c>
      <c r="S98" t="s">
        <v>1533</v>
      </c>
      <c r="T98" t="s">
        <v>1539</v>
      </c>
      <c r="U98" t="s">
        <v>1545</v>
      </c>
      <c r="V98" t="s">
        <v>1558</v>
      </c>
      <c r="W98" t="s">
        <v>1563</v>
      </c>
      <c r="X98" t="s">
        <v>1576</v>
      </c>
      <c r="Y98" t="s">
        <v>1581</v>
      </c>
      <c r="Z98" t="s">
        <v>1593</v>
      </c>
      <c r="AA98" t="s">
        <v>1597</v>
      </c>
      <c r="AB98" t="s">
        <v>1601</v>
      </c>
      <c r="AC98" t="s">
        <v>1611</v>
      </c>
      <c r="AD98" t="s">
        <v>1604</v>
      </c>
      <c r="AE98" t="s">
        <v>1617</v>
      </c>
      <c r="AF98" t="s">
        <v>1626</v>
      </c>
    </row>
    <row r="99" spans="1:32" x14ac:dyDescent="0.25">
      <c r="A99" t="s">
        <v>156</v>
      </c>
      <c r="B99">
        <v>28</v>
      </c>
      <c r="C99">
        <v>120</v>
      </c>
      <c r="D99">
        <v>4</v>
      </c>
      <c r="E99">
        <v>43</v>
      </c>
      <c r="F99">
        <v>4221</v>
      </c>
      <c r="G99">
        <v>8863</v>
      </c>
      <c r="H99">
        <v>1</v>
      </c>
      <c r="I99">
        <v>15</v>
      </c>
      <c r="J99">
        <v>5</v>
      </c>
      <c r="K99">
        <v>3</v>
      </c>
      <c r="L99">
        <v>5</v>
      </c>
      <c r="M99">
        <v>4</v>
      </c>
      <c r="N99">
        <v>0</v>
      </c>
      <c r="O99">
        <v>4</v>
      </c>
      <c r="P99" t="s">
        <v>1556</v>
      </c>
      <c r="Q99" t="s">
        <v>1554</v>
      </c>
      <c r="R99" t="s">
        <v>1549</v>
      </c>
      <c r="S99" t="s">
        <v>1534</v>
      </c>
      <c r="T99" t="s">
        <v>1540</v>
      </c>
      <c r="U99" t="s">
        <v>1546</v>
      </c>
      <c r="V99" t="s">
        <v>1559</v>
      </c>
      <c r="W99" t="s">
        <v>1563</v>
      </c>
      <c r="X99" t="s">
        <v>1576</v>
      </c>
      <c r="Y99" t="s">
        <v>1581</v>
      </c>
      <c r="Z99" t="s">
        <v>1593</v>
      </c>
      <c r="AA99" t="s">
        <v>1597</v>
      </c>
      <c r="AB99" t="s">
        <v>1601</v>
      </c>
      <c r="AC99" t="s">
        <v>1610</v>
      </c>
      <c r="AD99" t="s">
        <v>1605</v>
      </c>
      <c r="AE99" t="s">
        <v>1616</v>
      </c>
      <c r="AF99" t="s">
        <v>1628</v>
      </c>
    </row>
    <row r="100" spans="1:32" x14ac:dyDescent="0.25">
      <c r="A100" t="s">
        <v>157</v>
      </c>
      <c r="B100">
        <v>58</v>
      </c>
      <c r="C100">
        <v>682</v>
      </c>
      <c r="D100">
        <v>10</v>
      </c>
      <c r="E100">
        <v>37</v>
      </c>
      <c r="F100">
        <v>13872</v>
      </c>
      <c r="G100">
        <v>24409</v>
      </c>
      <c r="H100">
        <v>0</v>
      </c>
      <c r="I100">
        <v>13</v>
      </c>
      <c r="J100">
        <v>38</v>
      </c>
      <c r="K100">
        <v>1</v>
      </c>
      <c r="L100">
        <v>37</v>
      </c>
      <c r="M100">
        <v>10</v>
      </c>
      <c r="N100">
        <v>1</v>
      </c>
      <c r="O100">
        <v>8</v>
      </c>
      <c r="P100" t="s">
        <v>1556</v>
      </c>
      <c r="Q100" t="s">
        <v>1552</v>
      </c>
      <c r="R100" t="s">
        <v>1549</v>
      </c>
      <c r="S100" t="s">
        <v>1535</v>
      </c>
      <c r="T100" t="s">
        <v>1540</v>
      </c>
      <c r="U100" t="s">
        <v>1548</v>
      </c>
      <c r="V100" t="s">
        <v>1559</v>
      </c>
      <c r="W100" t="s">
        <v>1563</v>
      </c>
      <c r="X100" t="s">
        <v>1578</v>
      </c>
      <c r="Y100" t="s">
        <v>1581</v>
      </c>
      <c r="Z100" t="s">
        <v>1593</v>
      </c>
      <c r="AA100" t="s">
        <v>1596</v>
      </c>
      <c r="AB100" t="s">
        <v>1601</v>
      </c>
      <c r="AC100" t="s">
        <v>1610</v>
      </c>
      <c r="AD100" t="s">
        <v>1606</v>
      </c>
      <c r="AE100" t="s">
        <v>1616</v>
      </c>
      <c r="AF100" t="s">
        <v>1626</v>
      </c>
    </row>
    <row r="101" spans="1:32" x14ac:dyDescent="0.25">
      <c r="A101" t="s">
        <v>158</v>
      </c>
      <c r="B101">
        <v>44</v>
      </c>
      <c r="C101">
        <v>489</v>
      </c>
      <c r="D101">
        <v>23</v>
      </c>
      <c r="E101">
        <v>67</v>
      </c>
      <c r="F101">
        <v>2042</v>
      </c>
      <c r="G101">
        <v>25043</v>
      </c>
      <c r="H101">
        <v>4</v>
      </c>
      <c r="I101">
        <v>12</v>
      </c>
      <c r="J101">
        <v>17</v>
      </c>
      <c r="K101">
        <v>3</v>
      </c>
      <c r="L101">
        <v>3</v>
      </c>
      <c r="M101">
        <v>2</v>
      </c>
      <c r="N101">
        <v>1</v>
      </c>
      <c r="O101">
        <v>2</v>
      </c>
      <c r="P101" t="s">
        <v>1556</v>
      </c>
      <c r="Q101" t="s">
        <v>1554</v>
      </c>
      <c r="R101" t="s">
        <v>1550</v>
      </c>
      <c r="S101" t="s">
        <v>1534</v>
      </c>
      <c r="T101" t="s">
        <v>1540</v>
      </c>
      <c r="U101" t="s">
        <v>1546</v>
      </c>
      <c r="V101" t="s">
        <v>1559</v>
      </c>
      <c r="W101" t="s">
        <v>1563</v>
      </c>
      <c r="X101" t="s">
        <v>1576</v>
      </c>
      <c r="Y101" t="s">
        <v>1583</v>
      </c>
      <c r="Z101" t="s">
        <v>1592</v>
      </c>
      <c r="AA101" t="s">
        <v>1597</v>
      </c>
      <c r="AB101" t="s">
        <v>1601</v>
      </c>
      <c r="AC101" t="s">
        <v>1610</v>
      </c>
      <c r="AD101" t="s">
        <v>1606</v>
      </c>
      <c r="AE101" t="s">
        <v>1617</v>
      </c>
      <c r="AF101" t="s">
        <v>1628</v>
      </c>
    </row>
    <row r="102" spans="1:32" x14ac:dyDescent="0.25">
      <c r="A102" t="s">
        <v>159</v>
      </c>
      <c r="B102">
        <v>37</v>
      </c>
      <c r="C102">
        <v>807</v>
      </c>
      <c r="D102">
        <v>6</v>
      </c>
      <c r="E102">
        <v>63</v>
      </c>
      <c r="F102">
        <v>2073</v>
      </c>
      <c r="G102">
        <v>23648</v>
      </c>
      <c r="H102">
        <v>4</v>
      </c>
      <c r="I102">
        <v>22</v>
      </c>
      <c r="J102">
        <v>7</v>
      </c>
      <c r="K102">
        <v>3</v>
      </c>
      <c r="L102">
        <v>3</v>
      </c>
      <c r="M102">
        <v>2</v>
      </c>
      <c r="N102">
        <v>0</v>
      </c>
      <c r="O102">
        <v>2</v>
      </c>
      <c r="P102" t="s">
        <v>1555</v>
      </c>
      <c r="Q102" t="s">
        <v>1552</v>
      </c>
      <c r="R102" t="s">
        <v>1551</v>
      </c>
      <c r="S102" t="s">
        <v>1535</v>
      </c>
      <c r="T102" t="s">
        <v>1543</v>
      </c>
      <c r="U102" t="s">
        <v>1547</v>
      </c>
      <c r="V102" t="s">
        <v>1559</v>
      </c>
      <c r="W102" t="s">
        <v>1563</v>
      </c>
      <c r="X102" t="s">
        <v>1575</v>
      </c>
      <c r="Y102" t="s">
        <v>1589</v>
      </c>
      <c r="Z102" t="s">
        <v>1591</v>
      </c>
      <c r="AA102" t="s">
        <v>1598</v>
      </c>
      <c r="AB102" t="s">
        <v>1600</v>
      </c>
      <c r="AC102" t="s">
        <v>1611</v>
      </c>
      <c r="AD102" t="s">
        <v>1607</v>
      </c>
      <c r="AE102" t="s">
        <v>1616</v>
      </c>
      <c r="AF102" t="s">
        <v>1627</v>
      </c>
    </row>
    <row r="103" spans="1:32" x14ac:dyDescent="0.25">
      <c r="A103" t="s">
        <v>160</v>
      </c>
      <c r="B103">
        <v>32</v>
      </c>
      <c r="C103">
        <v>827</v>
      </c>
      <c r="D103">
        <v>1</v>
      </c>
      <c r="E103">
        <v>71</v>
      </c>
      <c r="F103">
        <v>2956</v>
      </c>
      <c r="G103">
        <v>15178</v>
      </c>
      <c r="H103">
        <v>1</v>
      </c>
      <c r="I103">
        <v>13</v>
      </c>
      <c r="J103">
        <v>1</v>
      </c>
      <c r="K103">
        <v>2</v>
      </c>
      <c r="L103">
        <v>1</v>
      </c>
      <c r="M103">
        <v>0</v>
      </c>
      <c r="N103">
        <v>0</v>
      </c>
      <c r="O103">
        <v>0</v>
      </c>
      <c r="P103" t="s">
        <v>1556</v>
      </c>
      <c r="Q103" t="s">
        <v>1552</v>
      </c>
      <c r="R103" t="s">
        <v>1550</v>
      </c>
      <c r="S103" t="s">
        <v>1532</v>
      </c>
      <c r="T103" t="s">
        <v>1538</v>
      </c>
      <c r="U103" t="s">
        <v>1548</v>
      </c>
      <c r="V103" t="s">
        <v>1559</v>
      </c>
      <c r="W103" t="s">
        <v>1563</v>
      </c>
      <c r="X103" t="s">
        <v>1575</v>
      </c>
      <c r="Y103" t="s">
        <v>1582</v>
      </c>
      <c r="Z103" t="s">
        <v>1591</v>
      </c>
      <c r="AA103" t="s">
        <v>1596</v>
      </c>
      <c r="AB103" t="s">
        <v>1601</v>
      </c>
      <c r="AC103" t="s">
        <v>1610</v>
      </c>
      <c r="AD103" t="s">
        <v>1607</v>
      </c>
      <c r="AE103" t="s">
        <v>1616</v>
      </c>
      <c r="AF103" t="s">
        <v>1627</v>
      </c>
    </row>
    <row r="104" spans="1:32" x14ac:dyDescent="0.25">
      <c r="A104" t="s">
        <v>161</v>
      </c>
      <c r="B104">
        <v>20</v>
      </c>
      <c r="C104">
        <v>871</v>
      </c>
      <c r="D104">
        <v>6</v>
      </c>
      <c r="E104">
        <v>66</v>
      </c>
      <c r="F104">
        <v>2926</v>
      </c>
      <c r="G104">
        <v>19783</v>
      </c>
      <c r="H104">
        <v>1</v>
      </c>
      <c r="I104">
        <v>18</v>
      </c>
      <c r="J104">
        <v>1</v>
      </c>
      <c r="K104">
        <v>5</v>
      </c>
      <c r="L104">
        <v>1</v>
      </c>
      <c r="M104">
        <v>0</v>
      </c>
      <c r="N104">
        <v>1</v>
      </c>
      <c r="O104">
        <v>0</v>
      </c>
      <c r="P104" t="s">
        <v>1555</v>
      </c>
      <c r="Q104" t="s">
        <v>1553</v>
      </c>
      <c r="R104" t="s">
        <v>1550</v>
      </c>
      <c r="S104" t="s">
        <v>1534</v>
      </c>
      <c r="T104" t="s">
        <v>1538</v>
      </c>
      <c r="U104" t="s">
        <v>1548</v>
      </c>
      <c r="V104" t="s">
        <v>1558</v>
      </c>
      <c r="W104" t="s">
        <v>1562</v>
      </c>
      <c r="X104" t="s">
        <v>1575</v>
      </c>
      <c r="Y104" t="s">
        <v>1583</v>
      </c>
      <c r="Z104" t="s">
        <v>1594</v>
      </c>
      <c r="AA104" t="s">
        <v>1596</v>
      </c>
      <c r="AB104" t="s">
        <v>1600</v>
      </c>
      <c r="AC104" t="s">
        <v>1610</v>
      </c>
      <c r="AD104" t="s">
        <v>1605</v>
      </c>
      <c r="AE104" t="s">
        <v>1616</v>
      </c>
      <c r="AF104" t="s">
        <v>1627</v>
      </c>
    </row>
    <row r="105" spans="1:32" x14ac:dyDescent="0.25">
      <c r="A105" t="s">
        <v>162</v>
      </c>
      <c r="B105">
        <v>34</v>
      </c>
      <c r="C105">
        <v>665</v>
      </c>
      <c r="D105">
        <v>6</v>
      </c>
      <c r="E105">
        <v>41</v>
      </c>
      <c r="F105">
        <v>4809</v>
      </c>
      <c r="G105">
        <v>12482</v>
      </c>
      <c r="H105">
        <v>1</v>
      </c>
      <c r="I105">
        <v>14</v>
      </c>
      <c r="J105">
        <v>16</v>
      </c>
      <c r="K105">
        <v>3</v>
      </c>
      <c r="L105">
        <v>16</v>
      </c>
      <c r="M105">
        <v>13</v>
      </c>
      <c r="N105">
        <v>2</v>
      </c>
      <c r="O105">
        <v>10</v>
      </c>
      <c r="P105" t="s">
        <v>1556</v>
      </c>
      <c r="Q105" t="s">
        <v>1552</v>
      </c>
      <c r="R105" t="s">
        <v>1550</v>
      </c>
      <c r="S105" t="s">
        <v>1535</v>
      </c>
      <c r="T105" t="s">
        <v>1539</v>
      </c>
      <c r="U105" t="s">
        <v>1545</v>
      </c>
      <c r="V105" t="s">
        <v>1558</v>
      </c>
      <c r="W105" t="s">
        <v>1563</v>
      </c>
      <c r="X105" t="s">
        <v>1576</v>
      </c>
      <c r="Y105" t="s">
        <v>1582</v>
      </c>
      <c r="Z105" t="s">
        <v>1593</v>
      </c>
      <c r="AA105" t="s">
        <v>1596</v>
      </c>
      <c r="AB105" t="s">
        <v>1601</v>
      </c>
      <c r="AC105" t="s">
        <v>1610</v>
      </c>
      <c r="AD105" t="s">
        <v>1606</v>
      </c>
      <c r="AE105" t="s">
        <v>1616</v>
      </c>
      <c r="AF105" t="s">
        <v>1627</v>
      </c>
    </row>
    <row r="106" spans="1:32" x14ac:dyDescent="0.25">
      <c r="A106" t="s">
        <v>163</v>
      </c>
      <c r="B106">
        <v>37</v>
      </c>
      <c r="C106">
        <v>1040</v>
      </c>
      <c r="D106">
        <v>2</v>
      </c>
      <c r="E106">
        <v>100</v>
      </c>
      <c r="F106">
        <v>5163</v>
      </c>
      <c r="G106">
        <v>15850</v>
      </c>
      <c r="H106">
        <v>5</v>
      </c>
      <c r="I106">
        <v>14</v>
      </c>
      <c r="J106">
        <v>17</v>
      </c>
      <c r="K106">
        <v>2</v>
      </c>
      <c r="L106">
        <v>1</v>
      </c>
      <c r="M106">
        <v>0</v>
      </c>
      <c r="N106">
        <v>0</v>
      </c>
      <c r="O106">
        <v>0</v>
      </c>
      <c r="P106" t="s">
        <v>1556</v>
      </c>
      <c r="Q106" t="s">
        <v>1554</v>
      </c>
      <c r="R106" t="s">
        <v>1550</v>
      </c>
      <c r="S106" t="s">
        <v>1533</v>
      </c>
      <c r="T106" t="s">
        <v>1538</v>
      </c>
      <c r="U106" t="s">
        <v>1547</v>
      </c>
      <c r="V106" t="s">
        <v>1559</v>
      </c>
      <c r="W106" t="s">
        <v>1562</v>
      </c>
      <c r="X106" t="s">
        <v>1576</v>
      </c>
      <c r="Y106" t="s">
        <v>1585</v>
      </c>
      <c r="Z106" t="s">
        <v>1594</v>
      </c>
      <c r="AA106" t="s">
        <v>1598</v>
      </c>
      <c r="AB106" t="s">
        <v>1601</v>
      </c>
      <c r="AC106" t="s">
        <v>1610</v>
      </c>
      <c r="AD106" t="s">
        <v>1607</v>
      </c>
      <c r="AE106" t="s">
        <v>1617</v>
      </c>
      <c r="AF106" t="s">
        <v>1628</v>
      </c>
    </row>
    <row r="107" spans="1:32" x14ac:dyDescent="0.25">
      <c r="A107" t="s">
        <v>164</v>
      </c>
      <c r="B107">
        <v>59</v>
      </c>
      <c r="C107">
        <v>1420</v>
      </c>
      <c r="D107">
        <v>2</v>
      </c>
      <c r="E107">
        <v>32</v>
      </c>
      <c r="F107">
        <v>18844</v>
      </c>
      <c r="G107">
        <v>21922</v>
      </c>
      <c r="H107">
        <v>9</v>
      </c>
      <c r="I107">
        <v>21</v>
      </c>
      <c r="J107">
        <v>30</v>
      </c>
      <c r="K107">
        <v>3</v>
      </c>
      <c r="L107">
        <v>3</v>
      </c>
      <c r="M107">
        <v>2</v>
      </c>
      <c r="N107">
        <v>2</v>
      </c>
      <c r="O107">
        <v>2</v>
      </c>
      <c r="P107" t="s">
        <v>1556</v>
      </c>
      <c r="Q107" t="s">
        <v>1554</v>
      </c>
      <c r="R107" t="s">
        <v>1551</v>
      </c>
      <c r="S107" t="s">
        <v>1535</v>
      </c>
      <c r="T107" t="s">
        <v>1543</v>
      </c>
      <c r="U107" t="s">
        <v>1547</v>
      </c>
      <c r="V107" t="s">
        <v>1558</v>
      </c>
      <c r="W107" t="s">
        <v>1562</v>
      </c>
      <c r="X107" t="s">
        <v>1579</v>
      </c>
      <c r="Y107" t="s">
        <v>1586</v>
      </c>
      <c r="Z107" t="s">
        <v>1594</v>
      </c>
      <c r="AA107" t="s">
        <v>1597</v>
      </c>
      <c r="AB107" t="s">
        <v>1601</v>
      </c>
      <c r="AC107" t="s">
        <v>1611</v>
      </c>
      <c r="AD107" t="s">
        <v>1607</v>
      </c>
      <c r="AE107" t="s">
        <v>1617</v>
      </c>
      <c r="AF107" t="s">
        <v>1627</v>
      </c>
    </row>
    <row r="108" spans="1:32" x14ac:dyDescent="0.25">
      <c r="A108" t="s">
        <v>165</v>
      </c>
      <c r="B108">
        <v>50</v>
      </c>
      <c r="C108">
        <v>1115</v>
      </c>
      <c r="D108">
        <v>1</v>
      </c>
      <c r="E108">
        <v>73</v>
      </c>
      <c r="F108">
        <v>18172</v>
      </c>
      <c r="G108">
        <v>9755</v>
      </c>
      <c r="H108">
        <v>3</v>
      </c>
      <c r="I108">
        <v>19</v>
      </c>
      <c r="J108">
        <v>28</v>
      </c>
      <c r="K108">
        <v>1</v>
      </c>
      <c r="L108">
        <v>8</v>
      </c>
      <c r="M108">
        <v>3</v>
      </c>
      <c r="N108">
        <v>0</v>
      </c>
      <c r="O108">
        <v>7</v>
      </c>
      <c r="P108" t="s">
        <v>1556</v>
      </c>
      <c r="Q108" t="s">
        <v>1553</v>
      </c>
      <c r="R108" t="s">
        <v>1550</v>
      </c>
      <c r="S108" t="s">
        <v>1534</v>
      </c>
      <c r="T108" t="s">
        <v>1538</v>
      </c>
      <c r="U108" t="s">
        <v>1545</v>
      </c>
      <c r="V108" t="s">
        <v>1558</v>
      </c>
      <c r="W108" t="s">
        <v>1563</v>
      </c>
      <c r="X108" t="s">
        <v>1579</v>
      </c>
      <c r="Y108" t="s">
        <v>1588</v>
      </c>
      <c r="Z108" t="s">
        <v>1592</v>
      </c>
      <c r="AA108" t="s">
        <v>1597</v>
      </c>
      <c r="AB108" t="s">
        <v>1600</v>
      </c>
      <c r="AC108" t="s">
        <v>1610</v>
      </c>
      <c r="AD108" t="s">
        <v>1604</v>
      </c>
      <c r="AE108" t="s">
        <v>1616</v>
      </c>
      <c r="AF108" t="s">
        <v>1626</v>
      </c>
    </row>
    <row r="109" spans="1:32" x14ac:dyDescent="0.25">
      <c r="A109" t="s">
        <v>166</v>
      </c>
      <c r="B109">
        <v>25</v>
      </c>
      <c r="C109">
        <v>240</v>
      </c>
      <c r="D109">
        <v>5</v>
      </c>
      <c r="E109">
        <v>46</v>
      </c>
      <c r="F109">
        <v>5744</v>
      </c>
      <c r="G109">
        <v>26959</v>
      </c>
      <c r="H109">
        <v>1</v>
      </c>
      <c r="I109">
        <v>11</v>
      </c>
      <c r="J109">
        <v>6</v>
      </c>
      <c r="K109">
        <v>1</v>
      </c>
      <c r="L109">
        <v>6</v>
      </c>
      <c r="M109">
        <v>4</v>
      </c>
      <c r="N109">
        <v>0</v>
      </c>
      <c r="O109">
        <v>3</v>
      </c>
      <c r="P109" t="s">
        <v>1555</v>
      </c>
      <c r="Q109" t="s">
        <v>1552</v>
      </c>
      <c r="R109" t="s">
        <v>1549</v>
      </c>
      <c r="S109" t="s">
        <v>1534</v>
      </c>
      <c r="T109" t="s">
        <v>1541</v>
      </c>
      <c r="U109" t="s">
        <v>1547</v>
      </c>
      <c r="V109" t="s">
        <v>1559</v>
      </c>
      <c r="W109" t="s">
        <v>1562</v>
      </c>
      <c r="X109" t="s">
        <v>1576</v>
      </c>
      <c r="Y109" t="s">
        <v>1581</v>
      </c>
      <c r="Z109" t="s">
        <v>1593</v>
      </c>
      <c r="AA109" t="s">
        <v>1596</v>
      </c>
      <c r="AB109" t="s">
        <v>1600</v>
      </c>
      <c r="AC109" t="s">
        <v>1610</v>
      </c>
      <c r="AD109" t="s">
        <v>1607</v>
      </c>
      <c r="AE109" t="s">
        <v>1616</v>
      </c>
      <c r="AF109" t="s">
        <v>1627</v>
      </c>
    </row>
    <row r="110" spans="1:32" x14ac:dyDescent="0.25">
      <c r="A110" t="s">
        <v>167</v>
      </c>
      <c r="B110">
        <v>25</v>
      </c>
      <c r="C110">
        <v>1280</v>
      </c>
      <c r="D110">
        <v>7</v>
      </c>
      <c r="E110">
        <v>64</v>
      </c>
      <c r="F110">
        <v>2889</v>
      </c>
      <c r="G110">
        <v>26897</v>
      </c>
      <c r="H110">
        <v>1</v>
      </c>
      <c r="I110">
        <v>11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1</v>
      </c>
      <c r="P110" t="s">
        <v>1556</v>
      </c>
      <c r="Q110" t="s">
        <v>1552</v>
      </c>
      <c r="R110" t="s">
        <v>1550</v>
      </c>
      <c r="S110" t="s">
        <v>1532</v>
      </c>
      <c r="T110" t="s">
        <v>1540</v>
      </c>
      <c r="U110" t="s">
        <v>1548</v>
      </c>
      <c r="V110" t="s">
        <v>1559</v>
      </c>
      <c r="W110" t="s">
        <v>1562</v>
      </c>
      <c r="X110" t="s">
        <v>1575</v>
      </c>
      <c r="Y110" t="s">
        <v>1582</v>
      </c>
      <c r="Z110" t="s">
        <v>1594</v>
      </c>
      <c r="AA110" t="s">
        <v>1597</v>
      </c>
      <c r="AB110" t="s">
        <v>1601</v>
      </c>
      <c r="AC110" t="s">
        <v>1610</v>
      </c>
      <c r="AD110" t="s">
        <v>1606</v>
      </c>
      <c r="AE110" t="s">
        <v>1618</v>
      </c>
      <c r="AF110" t="s">
        <v>1627</v>
      </c>
    </row>
    <row r="111" spans="1:32" x14ac:dyDescent="0.25">
      <c r="A111" t="s">
        <v>168</v>
      </c>
      <c r="B111">
        <v>22</v>
      </c>
      <c r="C111">
        <v>534</v>
      </c>
      <c r="D111">
        <v>15</v>
      </c>
      <c r="E111">
        <v>59</v>
      </c>
      <c r="F111">
        <v>2871</v>
      </c>
      <c r="G111">
        <v>23785</v>
      </c>
      <c r="H111">
        <v>1</v>
      </c>
      <c r="I111">
        <v>15</v>
      </c>
      <c r="J111">
        <v>1</v>
      </c>
      <c r="K111">
        <v>5</v>
      </c>
      <c r="L111">
        <v>0</v>
      </c>
      <c r="M111">
        <v>0</v>
      </c>
      <c r="N111">
        <v>0</v>
      </c>
      <c r="O111">
        <v>0</v>
      </c>
      <c r="P111" t="s">
        <v>1556</v>
      </c>
      <c r="Q111" t="s">
        <v>1552</v>
      </c>
      <c r="R111" t="s">
        <v>1550</v>
      </c>
      <c r="S111" t="s">
        <v>1534</v>
      </c>
      <c r="T111" t="s">
        <v>1540</v>
      </c>
      <c r="U111" t="s">
        <v>1546</v>
      </c>
      <c r="V111" t="s">
        <v>1558</v>
      </c>
      <c r="W111" t="s">
        <v>1563</v>
      </c>
      <c r="X111" t="s">
        <v>1575</v>
      </c>
      <c r="Y111" t="s">
        <v>1583</v>
      </c>
      <c r="Z111" t="s">
        <v>1594</v>
      </c>
      <c r="AA111" t="s">
        <v>1596</v>
      </c>
      <c r="AB111" t="s">
        <v>1601</v>
      </c>
      <c r="AC111" t="s">
        <v>1610</v>
      </c>
      <c r="AD111" t="s">
        <v>1606</v>
      </c>
      <c r="AE111" t="s">
        <v>1616</v>
      </c>
      <c r="AF111" t="s">
        <v>1627</v>
      </c>
    </row>
    <row r="112" spans="1:32" x14ac:dyDescent="0.25">
      <c r="A112" t="s">
        <v>169</v>
      </c>
      <c r="B112">
        <v>51</v>
      </c>
      <c r="C112">
        <v>1456</v>
      </c>
      <c r="D112">
        <v>1</v>
      </c>
      <c r="E112">
        <v>30</v>
      </c>
      <c r="F112">
        <v>7484</v>
      </c>
      <c r="G112">
        <v>25796</v>
      </c>
      <c r="H112">
        <v>3</v>
      </c>
      <c r="I112">
        <v>20</v>
      </c>
      <c r="J112">
        <v>23</v>
      </c>
      <c r="K112">
        <v>1</v>
      </c>
      <c r="L112">
        <v>13</v>
      </c>
      <c r="M112">
        <v>12</v>
      </c>
      <c r="N112">
        <v>12</v>
      </c>
      <c r="O112">
        <v>8</v>
      </c>
      <c r="P112" t="s">
        <v>1556</v>
      </c>
      <c r="Q112" t="s">
        <v>1553</v>
      </c>
      <c r="R112" t="s">
        <v>1550</v>
      </c>
      <c r="S112" t="s">
        <v>1535</v>
      </c>
      <c r="T112" t="s">
        <v>1540</v>
      </c>
      <c r="U112" t="s">
        <v>1545</v>
      </c>
      <c r="V112" t="s">
        <v>1558</v>
      </c>
      <c r="W112" t="s">
        <v>1562</v>
      </c>
      <c r="X112" t="s">
        <v>1577</v>
      </c>
      <c r="Y112" t="s">
        <v>1585</v>
      </c>
      <c r="Z112" t="s">
        <v>1591</v>
      </c>
      <c r="AA112" t="s">
        <v>1596</v>
      </c>
      <c r="AB112" t="s">
        <v>1601</v>
      </c>
      <c r="AC112" t="s">
        <v>1611</v>
      </c>
      <c r="AD112" t="s">
        <v>1606</v>
      </c>
      <c r="AE112" t="s">
        <v>1616</v>
      </c>
      <c r="AF112" t="s">
        <v>1626</v>
      </c>
    </row>
    <row r="113" spans="1:32" x14ac:dyDescent="0.25">
      <c r="A113" t="s">
        <v>170</v>
      </c>
      <c r="B113">
        <v>34</v>
      </c>
      <c r="C113">
        <v>658</v>
      </c>
      <c r="D113">
        <v>7</v>
      </c>
      <c r="E113">
        <v>66</v>
      </c>
      <c r="F113">
        <v>6074</v>
      </c>
      <c r="G113">
        <v>22887</v>
      </c>
      <c r="H113">
        <v>1</v>
      </c>
      <c r="I113">
        <v>24</v>
      </c>
      <c r="J113">
        <v>9</v>
      </c>
      <c r="K113">
        <v>3</v>
      </c>
      <c r="L113">
        <v>9</v>
      </c>
      <c r="M113">
        <v>7</v>
      </c>
      <c r="N113">
        <v>0</v>
      </c>
      <c r="O113">
        <v>6</v>
      </c>
      <c r="P113" t="s">
        <v>1555</v>
      </c>
      <c r="Q113" t="s">
        <v>1553</v>
      </c>
      <c r="R113" t="s">
        <v>1550</v>
      </c>
      <c r="S113" t="s">
        <v>1534</v>
      </c>
      <c r="T113" t="s">
        <v>1538</v>
      </c>
      <c r="U113" t="s">
        <v>1545</v>
      </c>
      <c r="V113" t="s">
        <v>1559</v>
      </c>
      <c r="W113" t="s">
        <v>1561</v>
      </c>
      <c r="X113" t="s">
        <v>1576</v>
      </c>
      <c r="Y113" t="s">
        <v>1583</v>
      </c>
      <c r="Z113" t="s">
        <v>1593</v>
      </c>
      <c r="AA113" t="s">
        <v>1596</v>
      </c>
      <c r="AB113" t="s">
        <v>1600</v>
      </c>
      <c r="AC113" t="s">
        <v>1611</v>
      </c>
      <c r="AD113" t="s">
        <v>1607</v>
      </c>
      <c r="AE113" t="s">
        <v>1616</v>
      </c>
      <c r="AF113" t="s">
        <v>1627</v>
      </c>
    </row>
    <row r="114" spans="1:32" x14ac:dyDescent="0.25">
      <c r="A114" t="s">
        <v>171</v>
      </c>
      <c r="B114">
        <v>54</v>
      </c>
      <c r="C114">
        <v>142</v>
      </c>
      <c r="D114">
        <v>26</v>
      </c>
      <c r="E114">
        <v>30</v>
      </c>
      <c r="F114">
        <v>17328</v>
      </c>
      <c r="G114">
        <v>13871</v>
      </c>
      <c r="H114">
        <v>2</v>
      </c>
      <c r="I114">
        <v>12</v>
      </c>
      <c r="J114">
        <v>23</v>
      </c>
      <c r="K114">
        <v>3</v>
      </c>
      <c r="L114">
        <v>5</v>
      </c>
      <c r="M114">
        <v>3</v>
      </c>
      <c r="N114">
        <v>4</v>
      </c>
      <c r="O114">
        <v>4</v>
      </c>
      <c r="P114" t="s">
        <v>1556</v>
      </c>
      <c r="Q114" t="s">
        <v>1554</v>
      </c>
      <c r="R114" t="s">
        <v>1551</v>
      </c>
      <c r="S114" t="s">
        <v>1534</v>
      </c>
      <c r="T114" t="s">
        <v>1543</v>
      </c>
      <c r="U114" t="s">
        <v>1548</v>
      </c>
      <c r="V114" t="s">
        <v>1558</v>
      </c>
      <c r="W114" t="s">
        <v>1564</v>
      </c>
      <c r="X114" t="s">
        <v>1578</v>
      </c>
      <c r="Y114" t="s">
        <v>1586</v>
      </c>
      <c r="Z114" t="s">
        <v>1594</v>
      </c>
      <c r="AA114" t="s">
        <v>1596</v>
      </c>
      <c r="AB114" t="s">
        <v>1600</v>
      </c>
      <c r="AC114" t="s">
        <v>1610</v>
      </c>
      <c r="AD114" t="s">
        <v>1606</v>
      </c>
      <c r="AE114" t="s">
        <v>1616</v>
      </c>
      <c r="AF114" t="s">
        <v>1627</v>
      </c>
    </row>
    <row r="115" spans="1:32" x14ac:dyDescent="0.25">
      <c r="A115" t="s">
        <v>172</v>
      </c>
      <c r="B115">
        <v>24</v>
      </c>
      <c r="C115">
        <v>1127</v>
      </c>
      <c r="D115">
        <v>18</v>
      </c>
      <c r="E115">
        <v>52</v>
      </c>
      <c r="F115">
        <v>2774</v>
      </c>
      <c r="G115">
        <v>13257</v>
      </c>
      <c r="H115">
        <v>0</v>
      </c>
      <c r="I115">
        <v>12</v>
      </c>
      <c r="J115">
        <v>6</v>
      </c>
      <c r="K115">
        <v>2</v>
      </c>
      <c r="L115">
        <v>5</v>
      </c>
      <c r="M115">
        <v>3</v>
      </c>
      <c r="N115">
        <v>1</v>
      </c>
      <c r="O115">
        <v>2</v>
      </c>
      <c r="P115" t="s">
        <v>1556</v>
      </c>
      <c r="Q115" t="s">
        <v>1552</v>
      </c>
      <c r="R115" t="s">
        <v>1550</v>
      </c>
      <c r="S115" t="s">
        <v>1532</v>
      </c>
      <c r="T115" t="s">
        <v>1538</v>
      </c>
      <c r="U115" t="s">
        <v>1546</v>
      </c>
      <c r="V115" t="s">
        <v>1559</v>
      </c>
      <c r="W115" t="s">
        <v>1563</v>
      </c>
      <c r="X115" t="s">
        <v>1575</v>
      </c>
      <c r="Y115" t="s">
        <v>1583</v>
      </c>
      <c r="Z115" t="s">
        <v>1593</v>
      </c>
      <c r="AA115" t="s">
        <v>1597</v>
      </c>
      <c r="AB115" t="s">
        <v>1601</v>
      </c>
      <c r="AC115" t="s">
        <v>1610</v>
      </c>
      <c r="AD115" t="s">
        <v>1606</v>
      </c>
      <c r="AE115" t="s">
        <v>1617</v>
      </c>
      <c r="AF115" t="s">
        <v>1627</v>
      </c>
    </row>
    <row r="116" spans="1:32" x14ac:dyDescent="0.25">
      <c r="A116" t="s">
        <v>173</v>
      </c>
      <c r="B116">
        <v>34</v>
      </c>
      <c r="C116">
        <v>1031</v>
      </c>
      <c r="D116">
        <v>6</v>
      </c>
      <c r="E116">
        <v>45</v>
      </c>
      <c r="F116">
        <v>4505</v>
      </c>
      <c r="G116">
        <v>15000</v>
      </c>
      <c r="H116">
        <v>6</v>
      </c>
      <c r="I116">
        <v>15</v>
      </c>
      <c r="J116">
        <v>12</v>
      </c>
      <c r="K116">
        <v>3</v>
      </c>
      <c r="L116">
        <v>1</v>
      </c>
      <c r="M116">
        <v>0</v>
      </c>
      <c r="N116">
        <v>0</v>
      </c>
      <c r="O116">
        <v>0</v>
      </c>
      <c r="P116" t="s">
        <v>1556</v>
      </c>
      <c r="Q116" t="s">
        <v>1552</v>
      </c>
      <c r="R116" t="s">
        <v>1550</v>
      </c>
      <c r="S116" t="s">
        <v>1535</v>
      </c>
      <c r="T116" t="s">
        <v>1538</v>
      </c>
      <c r="U116" t="s">
        <v>1547</v>
      </c>
      <c r="V116" t="s">
        <v>1558</v>
      </c>
      <c r="W116" t="s">
        <v>1562</v>
      </c>
      <c r="X116" t="s">
        <v>1576</v>
      </c>
      <c r="Y116" t="s">
        <v>1582</v>
      </c>
      <c r="Z116" t="s">
        <v>1592</v>
      </c>
      <c r="AA116" t="s">
        <v>1598</v>
      </c>
      <c r="AB116" t="s">
        <v>1601</v>
      </c>
      <c r="AC116" t="s">
        <v>1610</v>
      </c>
      <c r="AD116" t="s">
        <v>1606</v>
      </c>
      <c r="AE116" t="s">
        <v>1617</v>
      </c>
      <c r="AF116" t="s">
        <v>1627</v>
      </c>
    </row>
    <row r="117" spans="1:32" x14ac:dyDescent="0.25">
      <c r="A117" t="s">
        <v>174</v>
      </c>
      <c r="B117">
        <v>37</v>
      </c>
      <c r="C117">
        <v>1189</v>
      </c>
      <c r="D117">
        <v>3</v>
      </c>
      <c r="E117">
        <v>87</v>
      </c>
      <c r="F117">
        <v>7428</v>
      </c>
      <c r="G117">
        <v>14506</v>
      </c>
      <c r="H117">
        <v>2</v>
      </c>
      <c r="I117">
        <v>12</v>
      </c>
      <c r="J117">
        <v>12</v>
      </c>
      <c r="K117">
        <v>3</v>
      </c>
      <c r="L117">
        <v>5</v>
      </c>
      <c r="M117">
        <v>3</v>
      </c>
      <c r="N117">
        <v>1</v>
      </c>
      <c r="O117">
        <v>3</v>
      </c>
      <c r="P117" t="s">
        <v>1556</v>
      </c>
      <c r="Q117" t="s">
        <v>1552</v>
      </c>
      <c r="R117" t="s">
        <v>1549</v>
      </c>
      <c r="S117" t="s">
        <v>1534</v>
      </c>
      <c r="T117" t="s">
        <v>1538</v>
      </c>
      <c r="U117" t="s">
        <v>1547</v>
      </c>
      <c r="V117" t="s">
        <v>1559</v>
      </c>
      <c r="W117" t="s">
        <v>1563</v>
      </c>
      <c r="X117" t="s">
        <v>1577</v>
      </c>
      <c r="Y117" t="s">
        <v>1581</v>
      </c>
      <c r="Z117" t="s">
        <v>1594</v>
      </c>
      <c r="AA117" t="s">
        <v>1596</v>
      </c>
      <c r="AB117" t="s">
        <v>1601</v>
      </c>
      <c r="AC117" t="s">
        <v>1610</v>
      </c>
      <c r="AD117" t="s">
        <v>1604</v>
      </c>
      <c r="AE117" t="s">
        <v>1616</v>
      </c>
      <c r="AF117" t="s">
        <v>1627</v>
      </c>
    </row>
    <row r="118" spans="1:32" x14ac:dyDescent="0.25">
      <c r="A118" t="s">
        <v>175</v>
      </c>
      <c r="B118">
        <v>34</v>
      </c>
      <c r="C118">
        <v>1354</v>
      </c>
      <c r="D118">
        <v>5</v>
      </c>
      <c r="E118">
        <v>45</v>
      </c>
      <c r="F118">
        <v>11631</v>
      </c>
      <c r="G118">
        <v>5615</v>
      </c>
      <c r="H118">
        <v>2</v>
      </c>
      <c r="I118">
        <v>12</v>
      </c>
      <c r="J118">
        <v>14</v>
      </c>
      <c r="K118">
        <v>6</v>
      </c>
      <c r="L118">
        <v>11</v>
      </c>
      <c r="M118">
        <v>10</v>
      </c>
      <c r="N118">
        <v>5</v>
      </c>
      <c r="O118">
        <v>8</v>
      </c>
      <c r="P118" t="s">
        <v>1556</v>
      </c>
      <c r="Q118" t="s">
        <v>1552</v>
      </c>
      <c r="R118" t="s">
        <v>1550</v>
      </c>
      <c r="S118" t="s">
        <v>1534</v>
      </c>
      <c r="T118" t="s">
        <v>1540</v>
      </c>
      <c r="U118" t="s">
        <v>1547</v>
      </c>
      <c r="V118" t="s">
        <v>1558</v>
      </c>
      <c r="W118" t="s">
        <v>1562</v>
      </c>
      <c r="X118" t="s">
        <v>1577</v>
      </c>
      <c r="Y118" t="s">
        <v>1586</v>
      </c>
      <c r="Z118" t="s">
        <v>1591</v>
      </c>
      <c r="AA118" t="s">
        <v>1596</v>
      </c>
      <c r="AB118" t="s">
        <v>1601</v>
      </c>
      <c r="AC118" t="s">
        <v>1610</v>
      </c>
      <c r="AD118" t="s">
        <v>1607</v>
      </c>
      <c r="AE118" t="s">
        <v>1616</v>
      </c>
      <c r="AF118" t="s">
        <v>1627</v>
      </c>
    </row>
    <row r="119" spans="1:32" x14ac:dyDescent="0.25">
      <c r="A119" t="s">
        <v>176</v>
      </c>
      <c r="B119">
        <v>36</v>
      </c>
      <c r="C119">
        <v>1467</v>
      </c>
      <c r="D119">
        <v>11</v>
      </c>
      <c r="E119">
        <v>92</v>
      </c>
      <c r="F119">
        <v>9738</v>
      </c>
      <c r="G119">
        <v>22952</v>
      </c>
      <c r="H119">
        <v>0</v>
      </c>
      <c r="I119">
        <v>14</v>
      </c>
      <c r="J119">
        <v>10</v>
      </c>
      <c r="K119">
        <v>6</v>
      </c>
      <c r="L119">
        <v>9</v>
      </c>
      <c r="M119">
        <v>7</v>
      </c>
      <c r="N119">
        <v>2</v>
      </c>
      <c r="O119">
        <v>8</v>
      </c>
      <c r="P119" t="s">
        <v>1556</v>
      </c>
      <c r="Q119" t="s">
        <v>1553</v>
      </c>
      <c r="R119" t="s">
        <v>1549</v>
      </c>
      <c r="S119" t="s">
        <v>1533</v>
      </c>
      <c r="T119" t="s">
        <v>1542</v>
      </c>
      <c r="U119" t="s">
        <v>1546</v>
      </c>
      <c r="V119" t="s">
        <v>1558</v>
      </c>
      <c r="W119" t="s">
        <v>1563</v>
      </c>
      <c r="X119" t="s">
        <v>1577</v>
      </c>
      <c r="Y119" t="s">
        <v>1581</v>
      </c>
      <c r="Z119" t="s">
        <v>1594</v>
      </c>
      <c r="AA119" t="s">
        <v>1597</v>
      </c>
      <c r="AB119" t="s">
        <v>1601</v>
      </c>
      <c r="AC119" t="s">
        <v>1610</v>
      </c>
      <c r="AD119" t="s">
        <v>1606</v>
      </c>
      <c r="AE119" t="s">
        <v>1617</v>
      </c>
      <c r="AF119" t="s">
        <v>1627</v>
      </c>
    </row>
    <row r="120" spans="1:32" x14ac:dyDescent="0.25">
      <c r="A120" t="s">
        <v>177</v>
      </c>
      <c r="B120">
        <v>36</v>
      </c>
      <c r="C120">
        <v>922</v>
      </c>
      <c r="D120">
        <v>3</v>
      </c>
      <c r="E120">
        <v>39</v>
      </c>
      <c r="F120">
        <v>2835</v>
      </c>
      <c r="G120">
        <v>2561</v>
      </c>
      <c r="H120">
        <v>5</v>
      </c>
      <c r="I120">
        <v>22</v>
      </c>
      <c r="J120">
        <v>7</v>
      </c>
      <c r="K120">
        <v>2</v>
      </c>
      <c r="L120">
        <v>1</v>
      </c>
      <c r="M120">
        <v>0</v>
      </c>
      <c r="N120">
        <v>0</v>
      </c>
      <c r="O120">
        <v>0</v>
      </c>
      <c r="P120" t="s">
        <v>1556</v>
      </c>
      <c r="Q120" t="s">
        <v>1552</v>
      </c>
      <c r="R120" t="s">
        <v>1550</v>
      </c>
      <c r="S120" t="s">
        <v>1533</v>
      </c>
      <c r="T120" t="s">
        <v>1538</v>
      </c>
      <c r="U120" t="s">
        <v>1545</v>
      </c>
      <c r="V120" t="s">
        <v>1558</v>
      </c>
      <c r="W120" t="s">
        <v>1563</v>
      </c>
      <c r="X120" t="s">
        <v>1575</v>
      </c>
      <c r="Y120" t="s">
        <v>1583</v>
      </c>
      <c r="Z120" t="s">
        <v>1594</v>
      </c>
      <c r="AA120" t="s">
        <v>1598</v>
      </c>
      <c r="AB120" t="s">
        <v>1601</v>
      </c>
      <c r="AC120" t="s">
        <v>1611</v>
      </c>
      <c r="AD120" t="s">
        <v>1604</v>
      </c>
      <c r="AE120" t="s">
        <v>1617</v>
      </c>
      <c r="AF120" t="s">
        <v>1627</v>
      </c>
    </row>
    <row r="121" spans="1:32" x14ac:dyDescent="0.25">
      <c r="A121" t="s">
        <v>178</v>
      </c>
      <c r="B121">
        <v>43</v>
      </c>
      <c r="C121">
        <v>394</v>
      </c>
      <c r="D121">
        <v>26</v>
      </c>
      <c r="E121">
        <v>92</v>
      </c>
      <c r="F121">
        <v>16959</v>
      </c>
      <c r="G121">
        <v>19494</v>
      </c>
      <c r="H121">
        <v>1</v>
      </c>
      <c r="I121">
        <v>12</v>
      </c>
      <c r="J121">
        <v>25</v>
      </c>
      <c r="K121">
        <v>3</v>
      </c>
      <c r="L121">
        <v>25</v>
      </c>
      <c r="M121">
        <v>12</v>
      </c>
      <c r="N121">
        <v>4</v>
      </c>
      <c r="O121">
        <v>12</v>
      </c>
      <c r="P121" t="s">
        <v>1556</v>
      </c>
      <c r="Q121" t="s">
        <v>1553</v>
      </c>
      <c r="R121" t="s">
        <v>1549</v>
      </c>
      <c r="S121" t="s">
        <v>1533</v>
      </c>
      <c r="T121" t="s">
        <v>1538</v>
      </c>
      <c r="U121" t="s">
        <v>1547</v>
      </c>
      <c r="V121" t="s">
        <v>1559</v>
      </c>
      <c r="W121" t="s">
        <v>1563</v>
      </c>
      <c r="X121" t="s">
        <v>1578</v>
      </c>
      <c r="Y121" t="s">
        <v>1586</v>
      </c>
      <c r="Z121" t="s">
        <v>1594</v>
      </c>
      <c r="AA121" t="s">
        <v>1597</v>
      </c>
      <c r="AB121" t="s">
        <v>1600</v>
      </c>
      <c r="AC121" t="s">
        <v>1610</v>
      </c>
      <c r="AD121" t="s">
        <v>1607</v>
      </c>
      <c r="AE121" t="s">
        <v>1618</v>
      </c>
      <c r="AF121" t="s">
        <v>1628</v>
      </c>
    </row>
    <row r="122" spans="1:32" x14ac:dyDescent="0.25">
      <c r="A122" t="s">
        <v>179</v>
      </c>
      <c r="B122">
        <v>30</v>
      </c>
      <c r="C122">
        <v>1312</v>
      </c>
      <c r="D122">
        <v>23</v>
      </c>
      <c r="E122">
        <v>96</v>
      </c>
      <c r="F122">
        <v>2613</v>
      </c>
      <c r="G122">
        <v>22310</v>
      </c>
      <c r="H122">
        <v>1</v>
      </c>
      <c r="I122">
        <v>25</v>
      </c>
      <c r="J122">
        <v>10</v>
      </c>
      <c r="K122">
        <v>2</v>
      </c>
      <c r="L122">
        <v>10</v>
      </c>
      <c r="M122">
        <v>7</v>
      </c>
      <c r="N122">
        <v>0</v>
      </c>
      <c r="O122">
        <v>9</v>
      </c>
      <c r="P122" t="s">
        <v>1556</v>
      </c>
      <c r="Q122" t="s">
        <v>1553</v>
      </c>
      <c r="R122" t="s">
        <v>1550</v>
      </c>
      <c r="S122" t="s">
        <v>1534</v>
      </c>
      <c r="T122" t="s">
        <v>1538</v>
      </c>
      <c r="U122" t="s">
        <v>1545</v>
      </c>
      <c r="V122" t="s">
        <v>1559</v>
      </c>
      <c r="W122" t="s">
        <v>1561</v>
      </c>
      <c r="X122" t="s">
        <v>1575</v>
      </c>
      <c r="Y122" t="s">
        <v>1582</v>
      </c>
      <c r="Z122" t="s">
        <v>1593</v>
      </c>
      <c r="AA122" t="s">
        <v>1598</v>
      </c>
      <c r="AB122" t="s">
        <v>1601</v>
      </c>
      <c r="AC122" t="s">
        <v>1611</v>
      </c>
      <c r="AD122" t="s">
        <v>1606</v>
      </c>
      <c r="AE122" t="s">
        <v>1619</v>
      </c>
      <c r="AF122" t="s">
        <v>1626</v>
      </c>
    </row>
    <row r="123" spans="1:32" x14ac:dyDescent="0.25">
      <c r="A123" t="s">
        <v>180</v>
      </c>
      <c r="B123">
        <v>33</v>
      </c>
      <c r="C123">
        <v>750</v>
      </c>
      <c r="D123">
        <v>22</v>
      </c>
      <c r="E123">
        <v>95</v>
      </c>
      <c r="F123">
        <v>6146</v>
      </c>
      <c r="G123">
        <v>15480</v>
      </c>
      <c r="H123">
        <v>0</v>
      </c>
      <c r="I123">
        <v>13</v>
      </c>
      <c r="J123">
        <v>8</v>
      </c>
      <c r="K123">
        <v>2</v>
      </c>
      <c r="L123">
        <v>7</v>
      </c>
      <c r="M123">
        <v>7</v>
      </c>
      <c r="N123">
        <v>0</v>
      </c>
      <c r="O123">
        <v>7</v>
      </c>
      <c r="P123" t="s">
        <v>1556</v>
      </c>
      <c r="Q123" t="s">
        <v>1554</v>
      </c>
      <c r="R123" t="s">
        <v>1549</v>
      </c>
      <c r="S123" t="s">
        <v>1533</v>
      </c>
      <c r="T123" t="s">
        <v>1541</v>
      </c>
      <c r="U123" t="s">
        <v>1547</v>
      </c>
      <c r="V123" t="s">
        <v>1559</v>
      </c>
      <c r="W123" t="s">
        <v>1563</v>
      </c>
      <c r="X123" t="s">
        <v>1576</v>
      </c>
      <c r="Y123" t="s">
        <v>1581</v>
      </c>
      <c r="Z123" t="s">
        <v>1592</v>
      </c>
      <c r="AA123" t="s">
        <v>1597</v>
      </c>
      <c r="AB123" t="s">
        <v>1601</v>
      </c>
      <c r="AC123" t="s">
        <v>1610</v>
      </c>
      <c r="AD123" t="s">
        <v>1604</v>
      </c>
      <c r="AE123" t="s">
        <v>1617</v>
      </c>
      <c r="AF123" t="s">
        <v>1628</v>
      </c>
    </row>
    <row r="124" spans="1:32" x14ac:dyDescent="0.25">
      <c r="A124" t="s">
        <v>181</v>
      </c>
      <c r="B124">
        <v>56</v>
      </c>
      <c r="C124">
        <v>441</v>
      </c>
      <c r="D124">
        <v>14</v>
      </c>
      <c r="E124">
        <v>72</v>
      </c>
      <c r="F124">
        <v>4963</v>
      </c>
      <c r="G124">
        <v>4510</v>
      </c>
      <c r="H124">
        <v>9</v>
      </c>
      <c r="I124">
        <v>18</v>
      </c>
      <c r="J124">
        <v>7</v>
      </c>
      <c r="K124">
        <v>2</v>
      </c>
      <c r="L124">
        <v>5</v>
      </c>
      <c r="M124">
        <v>4</v>
      </c>
      <c r="N124">
        <v>4</v>
      </c>
      <c r="O124">
        <v>3</v>
      </c>
      <c r="P124" t="s">
        <v>1555</v>
      </c>
      <c r="Q124" t="s">
        <v>1552</v>
      </c>
      <c r="R124" t="s">
        <v>1550</v>
      </c>
      <c r="S124" t="s">
        <v>1535</v>
      </c>
      <c r="T124" t="s">
        <v>1538</v>
      </c>
      <c r="U124" t="s">
        <v>1546</v>
      </c>
      <c r="V124" t="s">
        <v>1558</v>
      </c>
      <c r="W124" t="s">
        <v>1563</v>
      </c>
      <c r="X124" t="s">
        <v>1575</v>
      </c>
      <c r="Y124" t="s">
        <v>1582</v>
      </c>
      <c r="Z124" t="s">
        <v>1592</v>
      </c>
      <c r="AA124" t="s">
        <v>1597</v>
      </c>
      <c r="AB124" t="s">
        <v>1600</v>
      </c>
      <c r="AC124" t="s">
        <v>1610</v>
      </c>
      <c r="AD124" t="s">
        <v>1604</v>
      </c>
      <c r="AE124" t="s">
        <v>1619</v>
      </c>
      <c r="AF124" t="s">
        <v>1627</v>
      </c>
    </row>
    <row r="125" spans="1:32" x14ac:dyDescent="0.25">
      <c r="A125" t="s">
        <v>182</v>
      </c>
      <c r="B125">
        <v>51</v>
      </c>
      <c r="C125">
        <v>684</v>
      </c>
      <c r="D125">
        <v>6</v>
      </c>
      <c r="E125">
        <v>51</v>
      </c>
      <c r="F125">
        <v>19537</v>
      </c>
      <c r="G125">
        <v>6462</v>
      </c>
      <c r="H125">
        <v>7</v>
      </c>
      <c r="I125">
        <v>13</v>
      </c>
      <c r="J125">
        <v>23</v>
      </c>
      <c r="K125">
        <v>5</v>
      </c>
      <c r="L125">
        <v>20</v>
      </c>
      <c r="M125">
        <v>18</v>
      </c>
      <c r="N125">
        <v>15</v>
      </c>
      <c r="O125">
        <v>15</v>
      </c>
      <c r="P125" t="s">
        <v>1556</v>
      </c>
      <c r="Q125" t="s">
        <v>1552</v>
      </c>
      <c r="R125" t="s">
        <v>1550</v>
      </c>
      <c r="S125" t="s">
        <v>1534</v>
      </c>
      <c r="T125" t="s">
        <v>1538</v>
      </c>
      <c r="U125" t="s">
        <v>1545</v>
      </c>
      <c r="V125" t="s">
        <v>1559</v>
      </c>
      <c r="W125" t="s">
        <v>1563</v>
      </c>
      <c r="X125" t="s">
        <v>1579</v>
      </c>
      <c r="Y125" t="s">
        <v>1588</v>
      </c>
      <c r="Z125" t="s">
        <v>1593</v>
      </c>
      <c r="AA125" t="s">
        <v>1596</v>
      </c>
      <c r="AB125" t="s">
        <v>1601</v>
      </c>
      <c r="AC125" t="s">
        <v>1610</v>
      </c>
      <c r="AD125" t="s">
        <v>1606</v>
      </c>
      <c r="AE125" t="s">
        <v>1616</v>
      </c>
      <c r="AF125" t="s">
        <v>1627</v>
      </c>
    </row>
    <row r="126" spans="1:32" x14ac:dyDescent="0.25">
      <c r="A126" t="s">
        <v>183</v>
      </c>
      <c r="B126">
        <v>31</v>
      </c>
      <c r="C126">
        <v>249</v>
      </c>
      <c r="D126">
        <v>6</v>
      </c>
      <c r="E126">
        <v>76</v>
      </c>
      <c r="F126">
        <v>6172</v>
      </c>
      <c r="G126">
        <v>20739</v>
      </c>
      <c r="H126">
        <v>4</v>
      </c>
      <c r="I126">
        <v>18</v>
      </c>
      <c r="J126">
        <v>12</v>
      </c>
      <c r="K126">
        <v>3</v>
      </c>
      <c r="L126">
        <v>7</v>
      </c>
      <c r="M126">
        <v>7</v>
      </c>
      <c r="N126">
        <v>7</v>
      </c>
      <c r="O126">
        <v>7</v>
      </c>
      <c r="P126" t="s">
        <v>1555</v>
      </c>
      <c r="Q126" t="s">
        <v>1552</v>
      </c>
      <c r="R126" t="s">
        <v>1549</v>
      </c>
      <c r="S126" t="s">
        <v>1535</v>
      </c>
      <c r="T126" t="s">
        <v>1538</v>
      </c>
      <c r="U126" t="s">
        <v>1546</v>
      </c>
      <c r="V126" t="s">
        <v>1559</v>
      </c>
      <c r="W126" t="s">
        <v>1561</v>
      </c>
      <c r="X126" t="s">
        <v>1576</v>
      </c>
      <c r="Y126" t="s">
        <v>1581</v>
      </c>
      <c r="Z126" t="s">
        <v>1593</v>
      </c>
      <c r="AA126" t="s">
        <v>1597</v>
      </c>
      <c r="AB126" t="s">
        <v>1600</v>
      </c>
      <c r="AC126" t="s">
        <v>1610</v>
      </c>
      <c r="AD126" t="s">
        <v>1605</v>
      </c>
      <c r="AE126" t="s">
        <v>1616</v>
      </c>
      <c r="AF126" t="s">
        <v>1626</v>
      </c>
    </row>
    <row r="127" spans="1:32" x14ac:dyDescent="0.25">
      <c r="A127" t="s">
        <v>184</v>
      </c>
      <c r="B127">
        <v>26</v>
      </c>
      <c r="C127">
        <v>841</v>
      </c>
      <c r="D127">
        <v>6</v>
      </c>
      <c r="E127">
        <v>46</v>
      </c>
      <c r="F127">
        <v>2368</v>
      </c>
      <c r="G127">
        <v>23300</v>
      </c>
      <c r="H127">
        <v>1</v>
      </c>
      <c r="I127">
        <v>19</v>
      </c>
      <c r="J127">
        <v>5</v>
      </c>
      <c r="K127">
        <v>3</v>
      </c>
      <c r="L127">
        <v>5</v>
      </c>
      <c r="M127">
        <v>4</v>
      </c>
      <c r="N127">
        <v>4</v>
      </c>
      <c r="O127">
        <v>3</v>
      </c>
      <c r="P127" t="s">
        <v>1556</v>
      </c>
      <c r="Q127" t="s">
        <v>1552</v>
      </c>
      <c r="R127" t="s">
        <v>1550</v>
      </c>
      <c r="S127" t="s">
        <v>1534</v>
      </c>
      <c r="T127" t="s">
        <v>1539</v>
      </c>
      <c r="U127" t="s">
        <v>1547</v>
      </c>
      <c r="V127" t="s">
        <v>1558</v>
      </c>
      <c r="W127" t="s">
        <v>1562</v>
      </c>
      <c r="X127" t="s">
        <v>1575</v>
      </c>
      <c r="Y127" t="s">
        <v>1582</v>
      </c>
      <c r="Z127" t="s">
        <v>1592</v>
      </c>
      <c r="AA127" t="s">
        <v>1597</v>
      </c>
      <c r="AB127" t="s">
        <v>1601</v>
      </c>
      <c r="AC127" t="s">
        <v>1610</v>
      </c>
      <c r="AD127" t="s">
        <v>1606</v>
      </c>
      <c r="AE127" t="s">
        <v>1616</v>
      </c>
      <c r="AF127" t="s">
        <v>1626</v>
      </c>
    </row>
    <row r="128" spans="1:32" x14ac:dyDescent="0.25">
      <c r="A128" t="s">
        <v>185</v>
      </c>
      <c r="B128">
        <v>58</v>
      </c>
      <c r="C128">
        <v>147</v>
      </c>
      <c r="D128">
        <v>23</v>
      </c>
      <c r="E128">
        <v>94</v>
      </c>
      <c r="F128">
        <v>10312</v>
      </c>
      <c r="G128">
        <v>3465</v>
      </c>
      <c r="H128">
        <v>1</v>
      </c>
      <c r="I128">
        <v>12</v>
      </c>
      <c r="J128">
        <v>40</v>
      </c>
      <c r="K128">
        <v>3</v>
      </c>
      <c r="L128">
        <v>40</v>
      </c>
      <c r="M128">
        <v>10</v>
      </c>
      <c r="N128">
        <v>15</v>
      </c>
      <c r="O128">
        <v>6</v>
      </c>
      <c r="P128" t="s">
        <v>1555</v>
      </c>
      <c r="Q128" t="s">
        <v>1552</v>
      </c>
      <c r="R128" t="s">
        <v>1550</v>
      </c>
      <c r="S128" t="s">
        <v>1535</v>
      </c>
      <c r="T128" t="s">
        <v>1540</v>
      </c>
      <c r="U128" t="s">
        <v>1548</v>
      </c>
      <c r="V128" t="s">
        <v>1558</v>
      </c>
      <c r="W128" t="s">
        <v>1563</v>
      </c>
      <c r="X128" t="s">
        <v>1577</v>
      </c>
      <c r="Y128" t="s">
        <v>1585</v>
      </c>
      <c r="Z128" t="s">
        <v>1594</v>
      </c>
      <c r="AA128" t="s">
        <v>1597</v>
      </c>
      <c r="AB128" t="s">
        <v>1601</v>
      </c>
      <c r="AC128" t="s">
        <v>1610</v>
      </c>
      <c r="AD128" t="s">
        <v>1607</v>
      </c>
      <c r="AE128" t="s">
        <v>1617</v>
      </c>
      <c r="AF128" t="s">
        <v>1626</v>
      </c>
    </row>
    <row r="129" spans="1:32" x14ac:dyDescent="0.25">
      <c r="A129" t="s">
        <v>186</v>
      </c>
      <c r="B129">
        <v>19</v>
      </c>
      <c r="C129">
        <v>528</v>
      </c>
      <c r="D129">
        <v>22</v>
      </c>
      <c r="E129">
        <v>50</v>
      </c>
      <c r="F129">
        <v>1675</v>
      </c>
      <c r="G129">
        <v>26820</v>
      </c>
      <c r="H129">
        <v>1</v>
      </c>
      <c r="I129">
        <v>19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0</v>
      </c>
      <c r="P129" t="s">
        <v>1555</v>
      </c>
      <c r="Q129" t="s">
        <v>1552</v>
      </c>
      <c r="R129" t="s">
        <v>1549</v>
      </c>
      <c r="S129" t="s">
        <v>1532</v>
      </c>
      <c r="T129" t="s">
        <v>1541</v>
      </c>
      <c r="U129" t="s">
        <v>1548</v>
      </c>
      <c r="V129" t="s">
        <v>1559</v>
      </c>
      <c r="W129" t="s">
        <v>1563</v>
      </c>
      <c r="X129" t="s">
        <v>1575</v>
      </c>
      <c r="Y129" t="s">
        <v>1587</v>
      </c>
      <c r="Z129" t="s">
        <v>1593</v>
      </c>
      <c r="AA129" t="s">
        <v>1596</v>
      </c>
      <c r="AB129" t="s">
        <v>1600</v>
      </c>
      <c r="AC129" t="s">
        <v>1610</v>
      </c>
      <c r="AD129" t="s">
        <v>1607</v>
      </c>
      <c r="AE129" t="s">
        <v>1616</v>
      </c>
      <c r="AF129" t="s">
        <v>1626</v>
      </c>
    </row>
    <row r="130" spans="1:32" x14ac:dyDescent="0.25">
      <c r="A130" t="s">
        <v>187</v>
      </c>
      <c r="B130">
        <v>22</v>
      </c>
      <c r="C130">
        <v>594</v>
      </c>
      <c r="D130">
        <v>2</v>
      </c>
      <c r="E130">
        <v>100</v>
      </c>
      <c r="F130">
        <v>2523</v>
      </c>
      <c r="G130">
        <v>19299</v>
      </c>
      <c r="H130">
        <v>0</v>
      </c>
      <c r="I130">
        <v>14</v>
      </c>
      <c r="J130">
        <v>3</v>
      </c>
      <c r="K130">
        <v>2</v>
      </c>
      <c r="L130">
        <v>2</v>
      </c>
      <c r="M130">
        <v>1</v>
      </c>
      <c r="N130">
        <v>2</v>
      </c>
      <c r="O130">
        <v>1</v>
      </c>
      <c r="P130" t="s">
        <v>1556</v>
      </c>
      <c r="Q130" t="s">
        <v>1552</v>
      </c>
      <c r="R130" t="s">
        <v>1550</v>
      </c>
      <c r="S130" t="s">
        <v>1532</v>
      </c>
      <c r="T130" t="s">
        <v>1542</v>
      </c>
      <c r="U130" t="s">
        <v>1547</v>
      </c>
      <c r="V130" t="s">
        <v>1559</v>
      </c>
      <c r="W130" t="s">
        <v>1563</v>
      </c>
      <c r="X130" t="s">
        <v>1575</v>
      </c>
      <c r="Y130" t="s">
        <v>1583</v>
      </c>
      <c r="Z130" t="s">
        <v>1594</v>
      </c>
      <c r="AA130" t="s">
        <v>1597</v>
      </c>
      <c r="AB130" t="s">
        <v>1601</v>
      </c>
      <c r="AC130" t="s">
        <v>1610</v>
      </c>
      <c r="AD130" t="s">
        <v>1606</v>
      </c>
      <c r="AE130" t="s">
        <v>1617</v>
      </c>
      <c r="AF130" t="s">
        <v>1627</v>
      </c>
    </row>
    <row r="131" spans="1:32" x14ac:dyDescent="0.25">
      <c r="A131" t="s">
        <v>188</v>
      </c>
      <c r="B131">
        <v>49</v>
      </c>
      <c r="C131">
        <v>470</v>
      </c>
      <c r="D131">
        <v>20</v>
      </c>
      <c r="E131">
        <v>96</v>
      </c>
      <c r="F131">
        <v>6567</v>
      </c>
      <c r="G131">
        <v>5549</v>
      </c>
      <c r="H131">
        <v>1</v>
      </c>
      <c r="I131">
        <v>14</v>
      </c>
      <c r="J131">
        <v>16</v>
      </c>
      <c r="K131">
        <v>2</v>
      </c>
      <c r="L131">
        <v>15</v>
      </c>
      <c r="M131">
        <v>11</v>
      </c>
      <c r="N131">
        <v>5</v>
      </c>
      <c r="O131">
        <v>11</v>
      </c>
      <c r="P131" t="s">
        <v>1556</v>
      </c>
      <c r="Q131" t="s">
        <v>1552</v>
      </c>
      <c r="R131" t="s">
        <v>1550</v>
      </c>
      <c r="S131" t="s">
        <v>1535</v>
      </c>
      <c r="T131" t="s">
        <v>1540</v>
      </c>
      <c r="U131" t="s">
        <v>1547</v>
      </c>
      <c r="V131" t="s">
        <v>1558</v>
      </c>
      <c r="W131" t="s">
        <v>1563</v>
      </c>
      <c r="X131" t="s">
        <v>1576</v>
      </c>
      <c r="Y131" t="s">
        <v>1584</v>
      </c>
      <c r="Z131" t="s">
        <v>1591</v>
      </c>
      <c r="AA131" t="s">
        <v>1597</v>
      </c>
      <c r="AB131" t="s">
        <v>1601</v>
      </c>
      <c r="AC131" t="s">
        <v>1610</v>
      </c>
      <c r="AD131" t="s">
        <v>1606</v>
      </c>
      <c r="AE131" t="s">
        <v>1616</v>
      </c>
      <c r="AF131" t="s">
        <v>1626</v>
      </c>
    </row>
    <row r="132" spans="1:32" x14ac:dyDescent="0.25">
      <c r="A132" t="s">
        <v>189</v>
      </c>
      <c r="B132">
        <v>43</v>
      </c>
      <c r="C132">
        <v>957</v>
      </c>
      <c r="D132">
        <v>28</v>
      </c>
      <c r="E132">
        <v>72</v>
      </c>
      <c r="F132">
        <v>4739</v>
      </c>
      <c r="G132">
        <v>16090</v>
      </c>
      <c r="H132">
        <v>4</v>
      </c>
      <c r="I132">
        <v>12</v>
      </c>
      <c r="J132">
        <v>18</v>
      </c>
      <c r="K132">
        <v>2</v>
      </c>
      <c r="L132">
        <v>3</v>
      </c>
      <c r="M132">
        <v>2</v>
      </c>
      <c r="N132">
        <v>1</v>
      </c>
      <c r="O132">
        <v>2</v>
      </c>
      <c r="P132" t="s">
        <v>1556</v>
      </c>
      <c r="Q132" t="s">
        <v>1553</v>
      </c>
      <c r="R132" t="s">
        <v>1550</v>
      </c>
      <c r="S132" t="s">
        <v>1534</v>
      </c>
      <c r="T132" t="s">
        <v>1540</v>
      </c>
      <c r="U132" t="s">
        <v>1546</v>
      </c>
      <c r="V132" t="s">
        <v>1558</v>
      </c>
      <c r="W132" t="s">
        <v>1564</v>
      </c>
      <c r="X132" t="s">
        <v>1575</v>
      </c>
      <c r="Y132" t="s">
        <v>1582</v>
      </c>
      <c r="Z132" t="s">
        <v>1593</v>
      </c>
      <c r="AA132" t="s">
        <v>1596</v>
      </c>
      <c r="AB132" t="s">
        <v>1601</v>
      </c>
      <c r="AC132" t="s">
        <v>1610</v>
      </c>
      <c r="AD132" t="s">
        <v>1607</v>
      </c>
      <c r="AE132" t="s">
        <v>1616</v>
      </c>
      <c r="AF132" t="s">
        <v>1627</v>
      </c>
    </row>
    <row r="133" spans="1:32" x14ac:dyDescent="0.25">
      <c r="A133" t="s">
        <v>190</v>
      </c>
      <c r="B133">
        <v>50</v>
      </c>
      <c r="C133">
        <v>809</v>
      </c>
      <c r="D133">
        <v>12</v>
      </c>
      <c r="E133">
        <v>77</v>
      </c>
      <c r="F133">
        <v>9208</v>
      </c>
      <c r="G133">
        <v>6645</v>
      </c>
      <c r="H133">
        <v>4</v>
      </c>
      <c r="I133">
        <v>11</v>
      </c>
      <c r="J133">
        <v>16</v>
      </c>
      <c r="K133">
        <v>3</v>
      </c>
      <c r="L133">
        <v>2</v>
      </c>
      <c r="M133">
        <v>2</v>
      </c>
      <c r="N133">
        <v>2</v>
      </c>
      <c r="O133">
        <v>1</v>
      </c>
      <c r="P133" t="s">
        <v>1556</v>
      </c>
      <c r="Q133" t="s">
        <v>1553</v>
      </c>
      <c r="R133" t="s">
        <v>1549</v>
      </c>
      <c r="S133" t="s">
        <v>1534</v>
      </c>
      <c r="T133" t="s">
        <v>1541</v>
      </c>
      <c r="U133" t="s">
        <v>1547</v>
      </c>
      <c r="V133" t="s">
        <v>1558</v>
      </c>
      <c r="W133" t="s">
        <v>1563</v>
      </c>
      <c r="X133" t="s">
        <v>1577</v>
      </c>
      <c r="Y133" t="s">
        <v>1581</v>
      </c>
      <c r="Z133" t="s">
        <v>1594</v>
      </c>
      <c r="AA133" t="s">
        <v>1596</v>
      </c>
      <c r="AB133" t="s">
        <v>1601</v>
      </c>
      <c r="AC133" t="s">
        <v>1610</v>
      </c>
      <c r="AD133" t="s">
        <v>1607</v>
      </c>
      <c r="AE133" t="s">
        <v>1616</v>
      </c>
      <c r="AF133" t="s">
        <v>1627</v>
      </c>
    </row>
    <row r="134" spans="1:32" x14ac:dyDescent="0.25">
      <c r="A134" t="s">
        <v>191</v>
      </c>
      <c r="B134">
        <v>31</v>
      </c>
      <c r="C134">
        <v>542</v>
      </c>
      <c r="D134">
        <v>20</v>
      </c>
      <c r="E134">
        <v>71</v>
      </c>
      <c r="F134">
        <v>4559</v>
      </c>
      <c r="G134">
        <v>24788</v>
      </c>
      <c r="H134">
        <v>3</v>
      </c>
      <c r="I134">
        <v>11</v>
      </c>
      <c r="J134">
        <v>4</v>
      </c>
      <c r="K134">
        <v>2</v>
      </c>
      <c r="L134">
        <v>2</v>
      </c>
      <c r="M134">
        <v>2</v>
      </c>
      <c r="N134">
        <v>2</v>
      </c>
      <c r="O134">
        <v>2</v>
      </c>
      <c r="P134" t="s">
        <v>1555</v>
      </c>
      <c r="Q134" t="s">
        <v>1552</v>
      </c>
      <c r="R134" t="s">
        <v>1549</v>
      </c>
      <c r="S134" t="s">
        <v>1534</v>
      </c>
      <c r="T134" t="s">
        <v>1538</v>
      </c>
      <c r="U134" t="s">
        <v>1546</v>
      </c>
      <c r="V134" t="s">
        <v>1558</v>
      </c>
      <c r="W134" t="s">
        <v>1561</v>
      </c>
      <c r="X134" t="s">
        <v>1576</v>
      </c>
      <c r="Y134" t="s">
        <v>1581</v>
      </c>
      <c r="Z134" t="s">
        <v>1593</v>
      </c>
      <c r="AA134" t="s">
        <v>1597</v>
      </c>
      <c r="AB134" t="s">
        <v>1600</v>
      </c>
      <c r="AC134" t="s">
        <v>1610</v>
      </c>
      <c r="AD134" t="s">
        <v>1606</v>
      </c>
      <c r="AE134" t="s">
        <v>1617</v>
      </c>
      <c r="AF134" t="s">
        <v>1627</v>
      </c>
    </row>
    <row r="135" spans="1:32" x14ac:dyDescent="0.25">
      <c r="A135" t="s">
        <v>192</v>
      </c>
      <c r="B135">
        <v>41</v>
      </c>
      <c r="C135">
        <v>802</v>
      </c>
      <c r="D135">
        <v>9</v>
      </c>
      <c r="E135">
        <v>96</v>
      </c>
      <c r="F135">
        <v>8189</v>
      </c>
      <c r="G135">
        <v>21196</v>
      </c>
      <c r="H135">
        <v>3</v>
      </c>
      <c r="I135">
        <v>13</v>
      </c>
      <c r="J135">
        <v>12</v>
      </c>
      <c r="K135">
        <v>2</v>
      </c>
      <c r="L135">
        <v>9</v>
      </c>
      <c r="M135">
        <v>7</v>
      </c>
      <c r="N135">
        <v>0</v>
      </c>
      <c r="O135">
        <v>7</v>
      </c>
      <c r="P135" t="s">
        <v>1556</v>
      </c>
      <c r="Q135" t="s">
        <v>1552</v>
      </c>
      <c r="R135" t="s">
        <v>1549</v>
      </c>
      <c r="S135" t="s">
        <v>1532</v>
      </c>
      <c r="T135" t="s">
        <v>1538</v>
      </c>
      <c r="U135" t="s">
        <v>1547</v>
      </c>
      <c r="V135" t="s">
        <v>1559</v>
      </c>
      <c r="W135" t="s">
        <v>1563</v>
      </c>
      <c r="X135" t="s">
        <v>1577</v>
      </c>
      <c r="Y135" t="s">
        <v>1581</v>
      </c>
      <c r="Z135" t="s">
        <v>1593</v>
      </c>
      <c r="AA135" t="s">
        <v>1598</v>
      </c>
      <c r="AB135" t="s">
        <v>1600</v>
      </c>
      <c r="AC135" t="s">
        <v>1610</v>
      </c>
      <c r="AD135" t="s">
        <v>1606</v>
      </c>
      <c r="AE135" t="s">
        <v>1617</v>
      </c>
      <c r="AF135" t="s">
        <v>1627</v>
      </c>
    </row>
    <row r="136" spans="1:32" x14ac:dyDescent="0.25">
      <c r="A136" t="s">
        <v>193</v>
      </c>
      <c r="B136">
        <v>26</v>
      </c>
      <c r="C136">
        <v>1355</v>
      </c>
      <c r="D136">
        <v>25</v>
      </c>
      <c r="E136">
        <v>61</v>
      </c>
      <c r="F136">
        <v>2942</v>
      </c>
      <c r="G136">
        <v>8916</v>
      </c>
      <c r="H136">
        <v>1</v>
      </c>
      <c r="I136">
        <v>23</v>
      </c>
      <c r="J136">
        <v>8</v>
      </c>
      <c r="K136">
        <v>3</v>
      </c>
      <c r="L136">
        <v>8</v>
      </c>
      <c r="M136">
        <v>7</v>
      </c>
      <c r="N136">
        <v>5</v>
      </c>
      <c r="O136">
        <v>7</v>
      </c>
      <c r="P136" t="s">
        <v>1556</v>
      </c>
      <c r="Q136" t="s">
        <v>1552</v>
      </c>
      <c r="R136" t="s">
        <v>1551</v>
      </c>
      <c r="S136" t="s">
        <v>1532</v>
      </c>
      <c r="T136" t="s">
        <v>1538</v>
      </c>
      <c r="U136" t="s">
        <v>1547</v>
      </c>
      <c r="V136" t="s">
        <v>1558</v>
      </c>
      <c r="W136" t="s">
        <v>1563</v>
      </c>
      <c r="X136" t="s">
        <v>1575</v>
      </c>
      <c r="Y136" t="s">
        <v>1589</v>
      </c>
      <c r="Z136" t="s">
        <v>1593</v>
      </c>
      <c r="AA136" t="s">
        <v>1597</v>
      </c>
      <c r="AB136" t="s">
        <v>1601</v>
      </c>
      <c r="AC136" t="s">
        <v>1611</v>
      </c>
      <c r="AD136" t="s">
        <v>1607</v>
      </c>
      <c r="AE136" t="s">
        <v>1617</v>
      </c>
      <c r="AF136" t="s">
        <v>1627</v>
      </c>
    </row>
    <row r="137" spans="1:32" x14ac:dyDescent="0.25">
      <c r="A137" t="s">
        <v>194</v>
      </c>
      <c r="B137">
        <v>36</v>
      </c>
      <c r="C137">
        <v>216</v>
      </c>
      <c r="D137">
        <v>6</v>
      </c>
      <c r="E137">
        <v>84</v>
      </c>
      <c r="F137">
        <v>4941</v>
      </c>
      <c r="G137">
        <v>2819</v>
      </c>
      <c r="H137">
        <v>6</v>
      </c>
      <c r="I137">
        <v>20</v>
      </c>
      <c r="J137">
        <v>7</v>
      </c>
      <c r="K137">
        <v>0</v>
      </c>
      <c r="L137">
        <v>3</v>
      </c>
      <c r="M137">
        <v>2</v>
      </c>
      <c r="N137">
        <v>0</v>
      </c>
      <c r="O137">
        <v>1</v>
      </c>
      <c r="P137" t="s">
        <v>1556</v>
      </c>
      <c r="Q137" t="s">
        <v>1552</v>
      </c>
      <c r="R137" t="s">
        <v>1550</v>
      </c>
      <c r="S137" t="s">
        <v>1533</v>
      </c>
      <c r="T137" t="s">
        <v>1540</v>
      </c>
      <c r="U137" t="s">
        <v>1546</v>
      </c>
      <c r="V137" t="s">
        <v>1559</v>
      </c>
      <c r="W137" t="s">
        <v>1563</v>
      </c>
      <c r="X137" t="s">
        <v>1576</v>
      </c>
      <c r="Y137" t="s">
        <v>1584</v>
      </c>
      <c r="Z137" t="s">
        <v>1592</v>
      </c>
      <c r="AA137" t="s">
        <v>1598</v>
      </c>
      <c r="AB137" t="s">
        <v>1601</v>
      </c>
      <c r="AC137" t="s">
        <v>1611</v>
      </c>
      <c r="AD137" t="s">
        <v>1607</v>
      </c>
      <c r="AE137" t="s">
        <v>1618</v>
      </c>
      <c r="AF137" t="s">
        <v>1627</v>
      </c>
    </row>
    <row r="138" spans="1:32" x14ac:dyDescent="0.25">
      <c r="A138" t="s">
        <v>195</v>
      </c>
      <c r="B138">
        <v>51</v>
      </c>
      <c r="C138">
        <v>1150</v>
      </c>
      <c r="D138">
        <v>8</v>
      </c>
      <c r="E138">
        <v>53</v>
      </c>
      <c r="F138">
        <v>10650</v>
      </c>
      <c r="G138">
        <v>25150</v>
      </c>
      <c r="H138">
        <v>2</v>
      </c>
      <c r="I138">
        <v>15</v>
      </c>
      <c r="J138">
        <v>18</v>
      </c>
      <c r="K138">
        <v>2</v>
      </c>
      <c r="L138">
        <v>4</v>
      </c>
      <c r="M138">
        <v>2</v>
      </c>
      <c r="N138">
        <v>0</v>
      </c>
      <c r="O138">
        <v>3</v>
      </c>
      <c r="P138" t="s">
        <v>1555</v>
      </c>
      <c r="Q138" t="s">
        <v>1553</v>
      </c>
      <c r="R138" t="s">
        <v>1550</v>
      </c>
      <c r="S138" t="s">
        <v>1535</v>
      </c>
      <c r="T138" t="s">
        <v>1538</v>
      </c>
      <c r="U138" t="s">
        <v>1545</v>
      </c>
      <c r="V138" t="s">
        <v>1559</v>
      </c>
      <c r="W138" t="s">
        <v>1561</v>
      </c>
      <c r="X138" t="s">
        <v>1577</v>
      </c>
      <c r="Y138" t="s">
        <v>1584</v>
      </c>
      <c r="Z138" t="s">
        <v>1594</v>
      </c>
      <c r="AA138" t="s">
        <v>1596</v>
      </c>
      <c r="AB138" t="s">
        <v>1601</v>
      </c>
      <c r="AC138" t="s">
        <v>1610</v>
      </c>
      <c r="AD138" t="s">
        <v>1607</v>
      </c>
      <c r="AE138" t="s">
        <v>1616</v>
      </c>
      <c r="AF138" t="s">
        <v>1627</v>
      </c>
    </row>
    <row r="139" spans="1:32" x14ac:dyDescent="0.25">
      <c r="A139" t="s">
        <v>196</v>
      </c>
      <c r="B139">
        <v>39</v>
      </c>
      <c r="C139">
        <v>1329</v>
      </c>
      <c r="D139">
        <v>4</v>
      </c>
      <c r="E139">
        <v>47</v>
      </c>
      <c r="F139">
        <v>5902</v>
      </c>
      <c r="G139">
        <v>14590</v>
      </c>
      <c r="H139">
        <v>4</v>
      </c>
      <c r="I139">
        <v>14</v>
      </c>
      <c r="J139">
        <v>17</v>
      </c>
      <c r="K139">
        <v>1</v>
      </c>
      <c r="L139">
        <v>15</v>
      </c>
      <c r="M139">
        <v>11</v>
      </c>
      <c r="N139">
        <v>5</v>
      </c>
      <c r="O139">
        <v>9</v>
      </c>
      <c r="P139" t="s">
        <v>1556</v>
      </c>
      <c r="Q139" t="s">
        <v>1552</v>
      </c>
      <c r="R139" t="s">
        <v>1549</v>
      </c>
      <c r="S139" t="s">
        <v>1535</v>
      </c>
      <c r="T139" t="s">
        <v>1538</v>
      </c>
      <c r="U139" t="s">
        <v>1548</v>
      </c>
      <c r="V139" t="s">
        <v>1558</v>
      </c>
      <c r="W139" t="s">
        <v>1562</v>
      </c>
      <c r="X139" t="s">
        <v>1576</v>
      </c>
      <c r="Y139" t="s">
        <v>1581</v>
      </c>
      <c r="Z139" t="s">
        <v>1593</v>
      </c>
      <c r="AA139" t="s">
        <v>1597</v>
      </c>
      <c r="AB139" t="s">
        <v>1601</v>
      </c>
      <c r="AC139" t="s">
        <v>1610</v>
      </c>
      <c r="AD139" t="s">
        <v>1606</v>
      </c>
      <c r="AE139" t="s">
        <v>1617</v>
      </c>
      <c r="AF139" t="s">
        <v>1628</v>
      </c>
    </row>
    <row r="140" spans="1:32" x14ac:dyDescent="0.25">
      <c r="A140" t="s">
        <v>197</v>
      </c>
      <c r="B140">
        <v>25</v>
      </c>
      <c r="C140">
        <v>959</v>
      </c>
      <c r="D140">
        <v>28</v>
      </c>
      <c r="E140">
        <v>41</v>
      </c>
      <c r="F140">
        <v>8639</v>
      </c>
      <c r="G140">
        <v>24835</v>
      </c>
      <c r="H140">
        <v>2</v>
      </c>
      <c r="I140">
        <v>18</v>
      </c>
      <c r="J140">
        <v>6</v>
      </c>
      <c r="K140">
        <v>3</v>
      </c>
      <c r="L140">
        <v>2</v>
      </c>
      <c r="M140">
        <v>2</v>
      </c>
      <c r="N140">
        <v>2</v>
      </c>
      <c r="O140">
        <v>2</v>
      </c>
      <c r="P140" t="s">
        <v>1556</v>
      </c>
      <c r="Q140" t="s">
        <v>1552</v>
      </c>
      <c r="R140" t="s">
        <v>1549</v>
      </c>
      <c r="S140" t="s">
        <v>1534</v>
      </c>
      <c r="T140" t="s">
        <v>1538</v>
      </c>
      <c r="U140" t="s">
        <v>1545</v>
      </c>
      <c r="V140" t="s">
        <v>1559</v>
      </c>
      <c r="W140" t="s">
        <v>1562</v>
      </c>
      <c r="X140" t="s">
        <v>1576</v>
      </c>
      <c r="Y140" t="s">
        <v>1581</v>
      </c>
      <c r="Z140" t="s">
        <v>1593</v>
      </c>
      <c r="AA140" t="s">
        <v>1597</v>
      </c>
      <c r="AB140" t="s">
        <v>1601</v>
      </c>
      <c r="AC140" t="s">
        <v>1610</v>
      </c>
      <c r="AD140" t="s">
        <v>1607</v>
      </c>
      <c r="AE140" t="s">
        <v>1616</v>
      </c>
      <c r="AF140" t="s">
        <v>1627</v>
      </c>
    </row>
    <row r="141" spans="1:32" x14ac:dyDescent="0.25">
      <c r="A141" t="s">
        <v>198</v>
      </c>
      <c r="B141">
        <v>30</v>
      </c>
      <c r="C141">
        <v>1240</v>
      </c>
      <c r="D141">
        <v>9</v>
      </c>
      <c r="E141">
        <v>48</v>
      </c>
      <c r="F141">
        <v>6347</v>
      </c>
      <c r="G141">
        <v>13982</v>
      </c>
      <c r="H141">
        <v>0</v>
      </c>
      <c r="I141">
        <v>19</v>
      </c>
      <c r="J141">
        <v>12</v>
      </c>
      <c r="K141">
        <v>2</v>
      </c>
      <c r="L141">
        <v>11</v>
      </c>
      <c r="M141">
        <v>9</v>
      </c>
      <c r="N141">
        <v>4</v>
      </c>
      <c r="O141">
        <v>7</v>
      </c>
      <c r="P141" t="s">
        <v>1556</v>
      </c>
      <c r="Q141" t="s">
        <v>1552</v>
      </c>
      <c r="R141" t="s">
        <v>1551</v>
      </c>
      <c r="S141" t="s">
        <v>1534</v>
      </c>
      <c r="T141" t="s">
        <v>1543</v>
      </c>
      <c r="U141" t="s">
        <v>1547</v>
      </c>
      <c r="V141" t="s">
        <v>1559</v>
      </c>
      <c r="W141" t="s">
        <v>1563</v>
      </c>
      <c r="X141" t="s">
        <v>1576</v>
      </c>
      <c r="Y141" t="s">
        <v>1589</v>
      </c>
      <c r="Z141" t="s">
        <v>1594</v>
      </c>
      <c r="AA141" t="s">
        <v>1597</v>
      </c>
      <c r="AB141" t="s">
        <v>1600</v>
      </c>
      <c r="AC141" t="s">
        <v>1610</v>
      </c>
      <c r="AD141" t="s">
        <v>1607</v>
      </c>
      <c r="AE141" t="s">
        <v>1616</v>
      </c>
      <c r="AF141" t="s">
        <v>1625</v>
      </c>
    </row>
    <row r="142" spans="1:32" x14ac:dyDescent="0.25">
      <c r="A142" t="s">
        <v>199</v>
      </c>
      <c r="B142">
        <v>32</v>
      </c>
      <c r="C142">
        <v>1033</v>
      </c>
      <c r="D142">
        <v>9</v>
      </c>
      <c r="E142">
        <v>41</v>
      </c>
      <c r="F142">
        <v>4200</v>
      </c>
      <c r="G142">
        <v>10224</v>
      </c>
      <c r="H142">
        <v>7</v>
      </c>
      <c r="I142">
        <v>22</v>
      </c>
      <c r="J142">
        <v>10</v>
      </c>
      <c r="K142">
        <v>2</v>
      </c>
      <c r="L142">
        <v>5</v>
      </c>
      <c r="M142">
        <v>4</v>
      </c>
      <c r="N142">
        <v>0</v>
      </c>
      <c r="O142">
        <v>4</v>
      </c>
      <c r="P142" t="s">
        <v>1555</v>
      </c>
      <c r="Q142" t="s">
        <v>1552</v>
      </c>
      <c r="R142" t="s">
        <v>1550</v>
      </c>
      <c r="S142" t="s">
        <v>1534</v>
      </c>
      <c r="T142" t="s">
        <v>1540</v>
      </c>
      <c r="U142" t="s">
        <v>1545</v>
      </c>
      <c r="V142" t="s">
        <v>1558</v>
      </c>
      <c r="W142" t="s">
        <v>1563</v>
      </c>
      <c r="X142" t="s">
        <v>1575</v>
      </c>
      <c r="Y142" t="s">
        <v>1583</v>
      </c>
      <c r="Z142" t="s">
        <v>1591</v>
      </c>
      <c r="AA142" t="s">
        <v>1596</v>
      </c>
      <c r="AB142" t="s">
        <v>1601</v>
      </c>
      <c r="AC142" t="s">
        <v>1611</v>
      </c>
      <c r="AD142" t="s">
        <v>1604</v>
      </c>
      <c r="AE142" t="s">
        <v>1616</v>
      </c>
      <c r="AF142" t="s">
        <v>1628</v>
      </c>
    </row>
    <row r="143" spans="1:32" x14ac:dyDescent="0.25">
      <c r="A143" t="s">
        <v>200</v>
      </c>
      <c r="B143">
        <v>45</v>
      </c>
      <c r="C143">
        <v>1316</v>
      </c>
      <c r="D143">
        <v>29</v>
      </c>
      <c r="E143">
        <v>83</v>
      </c>
      <c r="F143">
        <v>3452</v>
      </c>
      <c r="G143">
        <v>9752</v>
      </c>
      <c r="H143">
        <v>5</v>
      </c>
      <c r="I143">
        <v>13</v>
      </c>
      <c r="J143">
        <v>9</v>
      </c>
      <c r="K143">
        <v>2</v>
      </c>
      <c r="L143">
        <v>6</v>
      </c>
      <c r="M143">
        <v>5</v>
      </c>
      <c r="N143">
        <v>0</v>
      </c>
      <c r="O143">
        <v>3</v>
      </c>
      <c r="P143" t="s">
        <v>1556</v>
      </c>
      <c r="Q143" t="s">
        <v>1552</v>
      </c>
      <c r="R143" t="s">
        <v>1550</v>
      </c>
      <c r="S143" t="s">
        <v>1534</v>
      </c>
      <c r="T143" t="s">
        <v>1540</v>
      </c>
      <c r="U143" t="s">
        <v>1547</v>
      </c>
      <c r="V143" t="s">
        <v>1559</v>
      </c>
      <c r="W143" t="s">
        <v>1563</v>
      </c>
      <c r="X143" t="s">
        <v>1575</v>
      </c>
      <c r="Y143" t="s">
        <v>1582</v>
      </c>
      <c r="Z143" t="s">
        <v>1594</v>
      </c>
      <c r="AA143" t="s">
        <v>1596</v>
      </c>
      <c r="AB143" t="s">
        <v>1601</v>
      </c>
      <c r="AC143" t="s">
        <v>1610</v>
      </c>
      <c r="AD143" t="s">
        <v>1605</v>
      </c>
      <c r="AE143" t="s">
        <v>1616</v>
      </c>
      <c r="AF143" t="s">
        <v>1626</v>
      </c>
    </row>
    <row r="144" spans="1:32" x14ac:dyDescent="0.25">
      <c r="A144" t="s">
        <v>201</v>
      </c>
      <c r="B144">
        <v>38</v>
      </c>
      <c r="C144">
        <v>364</v>
      </c>
      <c r="D144">
        <v>3</v>
      </c>
      <c r="E144">
        <v>32</v>
      </c>
      <c r="F144">
        <v>4317</v>
      </c>
      <c r="G144">
        <v>2302</v>
      </c>
      <c r="H144">
        <v>3</v>
      </c>
      <c r="I144">
        <v>20</v>
      </c>
      <c r="J144">
        <v>19</v>
      </c>
      <c r="K144">
        <v>2</v>
      </c>
      <c r="L144">
        <v>3</v>
      </c>
      <c r="M144">
        <v>2</v>
      </c>
      <c r="N144">
        <v>2</v>
      </c>
      <c r="O144">
        <v>2</v>
      </c>
      <c r="P144" t="s">
        <v>1556</v>
      </c>
      <c r="Q144" t="s">
        <v>1552</v>
      </c>
      <c r="R144" t="s">
        <v>1550</v>
      </c>
      <c r="S144" t="s">
        <v>1536</v>
      </c>
      <c r="T144" t="s">
        <v>1542</v>
      </c>
      <c r="U144" t="s">
        <v>1548</v>
      </c>
      <c r="V144" t="s">
        <v>1558</v>
      </c>
      <c r="W144" t="s">
        <v>1563</v>
      </c>
      <c r="X144" t="s">
        <v>1576</v>
      </c>
      <c r="Y144" t="s">
        <v>1582</v>
      </c>
      <c r="Z144" t="s">
        <v>1593</v>
      </c>
      <c r="AA144" t="s">
        <v>1596</v>
      </c>
      <c r="AB144" t="s">
        <v>1600</v>
      </c>
      <c r="AC144" t="s">
        <v>1611</v>
      </c>
      <c r="AD144" t="s">
        <v>1605</v>
      </c>
      <c r="AE144" t="s">
        <v>1616</v>
      </c>
      <c r="AF144" t="s">
        <v>1627</v>
      </c>
    </row>
    <row r="145" spans="1:32" x14ac:dyDescent="0.25">
      <c r="A145" t="s">
        <v>202</v>
      </c>
      <c r="B145">
        <v>30</v>
      </c>
      <c r="C145">
        <v>438</v>
      </c>
      <c r="D145">
        <v>18</v>
      </c>
      <c r="E145">
        <v>75</v>
      </c>
      <c r="F145">
        <v>2632</v>
      </c>
      <c r="G145">
        <v>23910</v>
      </c>
      <c r="H145">
        <v>1</v>
      </c>
      <c r="I145">
        <v>14</v>
      </c>
      <c r="J145">
        <v>5</v>
      </c>
      <c r="K145">
        <v>4</v>
      </c>
      <c r="L145">
        <v>5</v>
      </c>
      <c r="M145">
        <v>4</v>
      </c>
      <c r="N145">
        <v>0</v>
      </c>
      <c r="O145">
        <v>4</v>
      </c>
      <c r="P145" t="s">
        <v>1556</v>
      </c>
      <c r="Q145" t="s">
        <v>1552</v>
      </c>
      <c r="R145" t="s">
        <v>1550</v>
      </c>
      <c r="S145" t="s">
        <v>1534</v>
      </c>
      <c r="T145" t="s">
        <v>1538</v>
      </c>
      <c r="U145" t="s">
        <v>1545</v>
      </c>
      <c r="V145" t="s">
        <v>1558</v>
      </c>
      <c r="W145" t="s">
        <v>1563</v>
      </c>
      <c r="X145" t="s">
        <v>1575</v>
      </c>
      <c r="Y145" t="s">
        <v>1582</v>
      </c>
      <c r="Z145" t="s">
        <v>1593</v>
      </c>
      <c r="AA145" t="s">
        <v>1596</v>
      </c>
      <c r="AB145" t="s">
        <v>1601</v>
      </c>
      <c r="AC145" t="s">
        <v>1610</v>
      </c>
      <c r="AD145" t="s">
        <v>1606</v>
      </c>
      <c r="AE145" t="s">
        <v>1616</v>
      </c>
      <c r="AF145" t="s">
        <v>1626</v>
      </c>
    </row>
    <row r="146" spans="1:32" x14ac:dyDescent="0.25">
      <c r="A146" t="s">
        <v>203</v>
      </c>
      <c r="B146">
        <v>32</v>
      </c>
      <c r="C146">
        <v>689</v>
      </c>
      <c r="D146">
        <v>9</v>
      </c>
      <c r="E146">
        <v>35</v>
      </c>
      <c r="F146">
        <v>4668</v>
      </c>
      <c r="G146">
        <v>22812</v>
      </c>
      <c r="H146">
        <v>0</v>
      </c>
      <c r="I146">
        <v>17</v>
      </c>
      <c r="J146">
        <v>9</v>
      </c>
      <c r="K146">
        <v>2</v>
      </c>
      <c r="L146">
        <v>8</v>
      </c>
      <c r="M146">
        <v>7</v>
      </c>
      <c r="N146">
        <v>0</v>
      </c>
      <c r="O146">
        <v>7</v>
      </c>
      <c r="P146" t="s">
        <v>1556</v>
      </c>
      <c r="Q146" t="s">
        <v>1553</v>
      </c>
      <c r="R146" t="s">
        <v>1549</v>
      </c>
      <c r="S146" t="s">
        <v>1533</v>
      </c>
      <c r="T146" t="s">
        <v>1540</v>
      </c>
      <c r="U146" t="s">
        <v>1548</v>
      </c>
      <c r="V146" t="s">
        <v>1559</v>
      </c>
      <c r="W146" t="s">
        <v>1561</v>
      </c>
      <c r="X146" t="s">
        <v>1576</v>
      </c>
      <c r="Y146" t="s">
        <v>1581</v>
      </c>
      <c r="Z146" t="s">
        <v>1594</v>
      </c>
      <c r="AA146" t="s">
        <v>1598</v>
      </c>
      <c r="AB146" t="s">
        <v>1601</v>
      </c>
      <c r="AC146" t="s">
        <v>1610</v>
      </c>
      <c r="AD146" t="s">
        <v>1607</v>
      </c>
      <c r="AE146" t="s">
        <v>1619</v>
      </c>
      <c r="AF146" t="s">
        <v>1628</v>
      </c>
    </row>
    <row r="147" spans="1:32" x14ac:dyDescent="0.25">
      <c r="A147" t="s">
        <v>204</v>
      </c>
      <c r="B147">
        <v>30</v>
      </c>
      <c r="C147">
        <v>201</v>
      </c>
      <c r="D147">
        <v>5</v>
      </c>
      <c r="E147">
        <v>84</v>
      </c>
      <c r="F147">
        <v>3204</v>
      </c>
      <c r="G147">
        <v>10415</v>
      </c>
      <c r="H147">
        <v>5</v>
      </c>
      <c r="I147">
        <v>14</v>
      </c>
      <c r="J147">
        <v>8</v>
      </c>
      <c r="K147">
        <v>3</v>
      </c>
      <c r="L147">
        <v>3</v>
      </c>
      <c r="M147">
        <v>2</v>
      </c>
      <c r="N147">
        <v>2</v>
      </c>
      <c r="O147">
        <v>2</v>
      </c>
      <c r="P147" t="s">
        <v>1556</v>
      </c>
      <c r="Q147" t="s">
        <v>1552</v>
      </c>
      <c r="R147" t="s">
        <v>1550</v>
      </c>
      <c r="S147" t="s">
        <v>1534</v>
      </c>
      <c r="T147" t="s">
        <v>1542</v>
      </c>
      <c r="U147" t="s">
        <v>1548</v>
      </c>
      <c r="V147" t="s">
        <v>1558</v>
      </c>
      <c r="W147" t="s">
        <v>1563</v>
      </c>
      <c r="X147" t="s">
        <v>1575</v>
      </c>
      <c r="Y147" t="s">
        <v>1582</v>
      </c>
      <c r="Z147" t="s">
        <v>1591</v>
      </c>
      <c r="AA147" t="s">
        <v>1598</v>
      </c>
      <c r="AB147" t="s">
        <v>1601</v>
      </c>
      <c r="AC147" t="s">
        <v>1610</v>
      </c>
      <c r="AD147" t="s">
        <v>1607</v>
      </c>
      <c r="AE147" t="s">
        <v>1617</v>
      </c>
      <c r="AF147" t="s">
        <v>1627</v>
      </c>
    </row>
    <row r="148" spans="1:32" x14ac:dyDescent="0.25">
      <c r="A148" t="s">
        <v>205</v>
      </c>
      <c r="B148">
        <v>30</v>
      </c>
      <c r="C148">
        <v>1427</v>
      </c>
      <c r="D148">
        <v>2</v>
      </c>
      <c r="E148">
        <v>35</v>
      </c>
      <c r="F148">
        <v>2720</v>
      </c>
      <c r="G148">
        <v>11162</v>
      </c>
      <c r="H148">
        <v>0</v>
      </c>
      <c r="I148">
        <v>13</v>
      </c>
      <c r="J148">
        <v>6</v>
      </c>
      <c r="K148">
        <v>3</v>
      </c>
      <c r="L148">
        <v>5</v>
      </c>
      <c r="M148">
        <v>3</v>
      </c>
      <c r="N148">
        <v>1</v>
      </c>
      <c r="O148">
        <v>2</v>
      </c>
      <c r="P148" t="s">
        <v>1556</v>
      </c>
      <c r="Q148" t="s">
        <v>1552</v>
      </c>
      <c r="R148" t="s">
        <v>1550</v>
      </c>
      <c r="S148" t="s">
        <v>1532</v>
      </c>
      <c r="T148" t="s">
        <v>1540</v>
      </c>
      <c r="U148" t="s">
        <v>1546</v>
      </c>
      <c r="V148" t="s">
        <v>1559</v>
      </c>
      <c r="W148" t="s">
        <v>1562</v>
      </c>
      <c r="X148" t="s">
        <v>1575</v>
      </c>
      <c r="Y148" t="s">
        <v>1583</v>
      </c>
      <c r="Z148" t="s">
        <v>1594</v>
      </c>
      <c r="AA148" t="s">
        <v>1596</v>
      </c>
      <c r="AB148" t="s">
        <v>1601</v>
      </c>
      <c r="AC148" t="s">
        <v>1610</v>
      </c>
      <c r="AD148" t="s">
        <v>1607</v>
      </c>
      <c r="AE148" t="s">
        <v>1616</v>
      </c>
      <c r="AF148" t="s">
        <v>1627</v>
      </c>
    </row>
    <row r="149" spans="1:32" x14ac:dyDescent="0.25">
      <c r="A149" t="s">
        <v>206</v>
      </c>
      <c r="B149">
        <v>41</v>
      </c>
      <c r="C149">
        <v>857</v>
      </c>
      <c r="D149">
        <v>10</v>
      </c>
      <c r="E149">
        <v>91</v>
      </c>
      <c r="F149">
        <v>17181</v>
      </c>
      <c r="G149">
        <v>12888</v>
      </c>
      <c r="H149">
        <v>4</v>
      </c>
      <c r="I149">
        <v>13</v>
      </c>
      <c r="J149">
        <v>21</v>
      </c>
      <c r="K149">
        <v>2</v>
      </c>
      <c r="L149">
        <v>7</v>
      </c>
      <c r="M149">
        <v>6</v>
      </c>
      <c r="N149">
        <v>7</v>
      </c>
      <c r="O149">
        <v>7</v>
      </c>
      <c r="P149" t="s">
        <v>1556</v>
      </c>
      <c r="Q149" t="s">
        <v>1553</v>
      </c>
      <c r="R149" t="s">
        <v>1550</v>
      </c>
      <c r="S149" t="s">
        <v>1534</v>
      </c>
      <c r="T149" t="s">
        <v>1538</v>
      </c>
      <c r="U149" t="s">
        <v>1548</v>
      </c>
      <c r="V149" t="s">
        <v>1559</v>
      </c>
      <c r="W149" t="s">
        <v>1562</v>
      </c>
      <c r="X149" t="s">
        <v>1578</v>
      </c>
      <c r="Y149" t="s">
        <v>1586</v>
      </c>
      <c r="Z149" t="s">
        <v>1591</v>
      </c>
      <c r="AA149" t="s">
        <v>1598</v>
      </c>
      <c r="AB149" t="s">
        <v>1601</v>
      </c>
      <c r="AC149" t="s">
        <v>1610</v>
      </c>
      <c r="AD149" t="s">
        <v>1605</v>
      </c>
      <c r="AE149" t="s">
        <v>1617</v>
      </c>
      <c r="AF149" t="s">
        <v>1626</v>
      </c>
    </row>
    <row r="150" spans="1:32" x14ac:dyDescent="0.25">
      <c r="A150" t="s">
        <v>207</v>
      </c>
      <c r="B150">
        <v>41</v>
      </c>
      <c r="C150">
        <v>933</v>
      </c>
      <c r="D150">
        <v>9</v>
      </c>
      <c r="E150">
        <v>94</v>
      </c>
      <c r="F150">
        <v>2238</v>
      </c>
      <c r="G150">
        <v>6961</v>
      </c>
      <c r="H150">
        <v>2</v>
      </c>
      <c r="I150">
        <v>21</v>
      </c>
      <c r="J150">
        <v>7</v>
      </c>
      <c r="K150">
        <v>2</v>
      </c>
      <c r="L150">
        <v>5</v>
      </c>
      <c r="M150">
        <v>0</v>
      </c>
      <c r="N150">
        <v>1</v>
      </c>
      <c r="O150">
        <v>4</v>
      </c>
      <c r="P150" t="s">
        <v>1556</v>
      </c>
      <c r="Q150" t="s">
        <v>1552</v>
      </c>
      <c r="R150" t="s">
        <v>1550</v>
      </c>
      <c r="S150" t="s">
        <v>1535</v>
      </c>
      <c r="T150" t="s">
        <v>1538</v>
      </c>
      <c r="U150" t="s">
        <v>1547</v>
      </c>
      <c r="V150" t="s">
        <v>1559</v>
      </c>
      <c r="W150" t="s">
        <v>1563</v>
      </c>
      <c r="X150" t="s">
        <v>1575</v>
      </c>
      <c r="Y150" t="s">
        <v>1583</v>
      </c>
      <c r="Z150" t="s">
        <v>1591</v>
      </c>
      <c r="AA150" t="s">
        <v>1597</v>
      </c>
      <c r="AB150" t="s">
        <v>1601</v>
      </c>
      <c r="AC150" t="s">
        <v>1611</v>
      </c>
      <c r="AD150" t="s">
        <v>1607</v>
      </c>
      <c r="AE150" t="s">
        <v>1617</v>
      </c>
      <c r="AF150" t="s">
        <v>1627</v>
      </c>
    </row>
    <row r="151" spans="1:32" x14ac:dyDescent="0.25">
      <c r="A151" t="s">
        <v>208</v>
      </c>
      <c r="B151">
        <v>19</v>
      </c>
      <c r="C151">
        <v>1181</v>
      </c>
      <c r="D151">
        <v>3</v>
      </c>
      <c r="E151">
        <v>79</v>
      </c>
      <c r="F151">
        <v>1483</v>
      </c>
      <c r="G151">
        <v>16102</v>
      </c>
      <c r="H151">
        <v>1</v>
      </c>
      <c r="I151">
        <v>14</v>
      </c>
      <c r="J151">
        <v>1</v>
      </c>
      <c r="K151">
        <v>3</v>
      </c>
      <c r="L151">
        <v>1</v>
      </c>
      <c r="M151">
        <v>0</v>
      </c>
      <c r="N151">
        <v>0</v>
      </c>
      <c r="O151">
        <v>0</v>
      </c>
      <c r="P151" t="s">
        <v>1556</v>
      </c>
      <c r="Q151" t="s">
        <v>1552</v>
      </c>
      <c r="R151" t="s">
        <v>1550</v>
      </c>
      <c r="S151" t="s">
        <v>1532</v>
      </c>
      <c r="T151" t="s">
        <v>1540</v>
      </c>
      <c r="U151" t="s">
        <v>1546</v>
      </c>
      <c r="V151" t="s">
        <v>1558</v>
      </c>
      <c r="W151" t="s">
        <v>1563</v>
      </c>
      <c r="X151" t="s">
        <v>1575</v>
      </c>
      <c r="Y151" t="s">
        <v>1583</v>
      </c>
      <c r="Z151" t="s">
        <v>1592</v>
      </c>
      <c r="AA151" t="s">
        <v>1596</v>
      </c>
      <c r="AB151" t="s">
        <v>1601</v>
      </c>
      <c r="AC151" t="s">
        <v>1610</v>
      </c>
      <c r="AD151" t="s">
        <v>1607</v>
      </c>
      <c r="AE151" t="s">
        <v>1616</v>
      </c>
      <c r="AF151" t="s">
        <v>1627</v>
      </c>
    </row>
    <row r="152" spans="1:32" x14ac:dyDescent="0.25">
      <c r="A152" t="s">
        <v>209</v>
      </c>
      <c r="B152">
        <v>40</v>
      </c>
      <c r="C152">
        <v>1395</v>
      </c>
      <c r="D152">
        <v>26</v>
      </c>
      <c r="E152">
        <v>54</v>
      </c>
      <c r="F152">
        <v>5605</v>
      </c>
      <c r="G152">
        <v>8504</v>
      </c>
      <c r="H152">
        <v>1</v>
      </c>
      <c r="I152">
        <v>11</v>
      </c>
      <c r="J152">
        <v>20</v>
      </c>
      <c r="K152">
        <v>2</v>
      </c>
      <c r="L152">
        <v>20</v>
      </c>
      <c r="M152">
        <v>7</v>
      </c>
      <c r="N152">
        <v>2</v>
      </c>
      <c r="O152">
        <v>13</v>
      </c>
      <c r="P152" t="s">
        <v>1556</v>
      </c>
      <c r="Q152" t="s">
        <v>1553</v>
      </c>
      <c r="R152" t="s">
        <v>1550</v>
      </c>
      <c r="S152" t="s">
        <v>1534</v>
      </c>
      <c r="T152" t="s">
        <v>1540</v>
      </c>
      <c r="U152" t="s">
        <v>1546</v>
      </c>
      <c r="V152" t="s">
        <v>1558</v>
      </c>
      <c r="W152" t="s">
        <v>1563</v>
      </c>
      <c r="X152" t="s">
        <v>1576</v>
      </c>
      <c r="Y152" t="s">
        <v>1582</v>
      </c>
      <c r="Z152" t="s">
        <v>1592</v>
      </c>
      <c r="AA152" t="s">
        <v>1598</v>
      </c>
      <c r="AB152" t="s">
        <v>1601</v>
      </c>
      <c r="AC152" t="s">
        <v>1610</v>
      </c>
      <c r="AD152" t="s">
        <v>1604</v>
      </c>
      <c r="AE152" t="s">
        <v>1617</v>
      </c>
      <c r="AF152" t="s">
        <v>1627</v>
      </c>
    </row>
    <row r="153" spans="1:32" x14ac:dyDescent="0.25">
      <c r="A153" t="s">
        <v>210</v>
      </c>
      <c r="B153">
        <v>35</v>
      </c>
      <c r="C153">
        <v>662</v>
      </c>
      <c r="D153">
        <v>1</v>
      </c>
      <c r="E153">
        <v>94</v>
      </c>
      <c r="F153">
        <v>7295</v>
      </c>
      <c r="G153">
        <v>11439</v>
      </c>
      <c r="H153">
        <v>1</v>
      </c>
      <c r="I153">
        <v>13</v>
      </c>
      <c r="J153">
        <v>10</v>
      </c>
      <c r="K153">
        <v>3</v>
      </c>
      <c r="L153">
        <v>10</v>
      </c>
      <c r="M153">
        <v>8</v>
      </c>
      <c r="N153">
        <v>0</v>
      </c>
      <c r="O153">
        <v>6</v>
      </c>
      <c r="P153" t="s">
        <v>1556</v>
      </c>
      <c r="Q153" t="s">
        <v>1552</v>
      </c>
      <c r="R153" t="s">
        <v>1549</v>
      </c>
      <c r="S153" t="s">
        <v>1536</v>
      </c>
      <c r="T153" t="s">
        <v>1541</v>
      </c>
      <c r="U153" t="s">
        <v>1547</v>
      </c>
      <c r="V153" t="s">
        <v>1559</v>
      </c>
      <c r="W153" t="s">
        <v>1563</v>
      </c>
      <c r="X153" t="s">
        <v>1577</v>
      </c>
      <c r="Y153" t="s">
        <v>1581</v>
      </c>
      <c r="Z153" t="s">
        <v>1592</v>
      </c>
      <c r="AA153" t="s">
        <v>1597</v>
      </c>
      <c r="AB153" t="s">
        <v>1601</v>
      </c>
      <c r="AC153" t="s">
        <v>1610</v>
      </c>
      <c r="AD153" t="s">
        <v>1604</v>
      </c>
      <c r="AE153" t="s">
        <v>1618</v>
      </c>
      <c r="AF153" t="s">
        <v>1627</v>
      </c>
    </row>
    <row r="154" spans="1:32" x14ac:dyDescent="0.25">
      <c r="A154" t="s">
        <v>211</v>
      </c>
      <c r="B154">
        <v>53</v>
      </c>
      <c r="C154">
        <v>1436</v>
      </c>
      <c r="D154">
        <v>6</v>
      </c>
      <c r="E154">
        <v>34</v>
      </c>
      <c r="F154">
        <v>2306</v>
      </c>
      <c r="G154">
        <v>16047</v>
      </c>
      <c r="H154">
        <v>2</v>
      </c>
      <c r="I154">
        <v>20</v>
      </c>
      <c r="J154">
        <v>13</v>
      </c>
      <c r="K154">
        <v>3</v>
      </c>
      <c r="L154">
        <v>7</v>
      </c>
      <c r="M154">
        <v>7</v>
      </c>
      <c r="N154">
        <v>4</v>
      </c>
      <c r="O154">
        <v>5</v>
      </c>
      <c r="P154" t="s">
        <v>1556</v>
      </c>
      <c r="Q154" t="s">
        <v>1552</v>
      </c>
      <c r="R154" t="s">
        <v>1549</v>
      </c>
      <c r="S154" t="s">
        <v>1533</v>
      </c>
      <c r="T154" t="s">
        <v>1541</v>
      </c>
      <c r="U154" t="s">
        <v>1546</v>
      </c>
      <c r="V154" t="s">
        <v>1559</v>
      </c>
      <c r="W154" t="s">
        <v>1563</v>
      </c>
      <c r="X154" t="s">
        <v>1576</v>
      </c>
      <c r="Y154" t="s">
        <v>1587</v>
      </c>
      <c r="Z154" t="s">
        <v>1593</v>
      </c>
      <c r="AA154" t="s">
        <v>1597</v>
      </c>
      <c r="AB154" t="s">
        <v>1600</v>
      </c>
      <c r="AC154" t="s">
        <v>1611</v>
      </c>
      <c r="AD154" t="s">
        <v>1607</v>
      </c>
      <c r="AE154" t="s">
        <v>1617</v>
      </c>
      <c r="AF154" t="s">
        <v>1625</v>
      </c>
    </row>
    <row r="155" spans="1:32" x14ac:dyDescent="0.25">
      <c r="A155" t="s">
        <v>212</v>
      </c>
      <c r="B155">
        <v>45</v>
      </c>
      <c r="C155">
        <v>194</v>
      </c>
      <c r="D155">
        <v>9</v>
      </c>
      <c r="E155">
        <v>60</v>
      </c>
      <c r="F155">
        <v>2348</v>
      </c>
      <c r="G155">
        <v>10901</v>
      </c>
      <c r="H155">
        <v>8</v>
      </c>
      <c r="I155">
        <v>18</v>
      </c>
      <c r="J155">
        <v>20</v>
      </c>
      <c r="K155">
        <v>2</v>
      </c>
      <c r="L155">
        <v>17</v>
      </c>
      <c r="M155">
        <v>9</v>
      </c>
      <c r="N155">
        <v>0</v>
      </c>
      <c r="O155">
        <v>15</v>
      </c>
      <c r="P155" t="s">
        <v>1556</v>
      </c>
      <c r="Q155" t="s">
        <v>1552</v>
      </c>
      <c r="R155" t="s">
        <v>1550</v>
      </c>
      <c r="S155" t="s">
        <v>1534</v>
      </c>
      <c r="T155" t="s">
        <v>1538</v>
      </c>
      <c r="U155" t="s">
        <v>1546</v>
      </c>
      <c r="V155" t="s">
        <v>1559</v>
      </c>
      <c r="W155" t="s">
        <v>1563</v>
      </c>
      <c r="X155" t="s">
        <v>1576</v>
      </c>
      <c r="Y155" t="s">
        <v>1583</v>
      </c>
      <c r="Z155" t="s">
        <v>1592</v>
      </c>
      <c r="AA155" t="s">
        <v>1598</v>
      </c>
      <c r="AB155" t="s">
        <v>1601</v>
      </c>
      <c r="AC155" t="s">
        <v>1610</v>
      </c>
      <c r="AD155" t="s">
        <v>1606</v>
      </c>
      <c r="AE155" t="s">
        <v>1617</v>
      </c>
      <c r="AF155" t="s">
        <v>1625</v>
      </c>
    </row>
    <row r="156" spans="1:32" x14ac:dyDescent="0.25">
      <c r="A156" t="s">
        <v>213</v>
      </c>
      <c r="B156">
        <v>32</v>
      </c>
      <c r="C156">
        <v>967</v>
      </c>
      <c r="D156">
        <v>8</v>
      </c>
      <c r="E156">
        <v>43</v>
      </c>
      <c r="F156">
        <v>8998</v>
      </c>
      <c r="G156">
        <v>15589</v>
      </c>
      <c r="H156">
        <v>1</v>
      </c>
      <c r="I156">
        <v>14</v>
      </c>
      <c r="J156">
        <v>9</v>
      </c>
      <c r="K156">
        <v>2</v>
      </c>
      <c r="L156">
        <v>9</v>
      </c>
      <c r="M156">
        <v>8</v>
      </c>
      <c r="N156">
        <v>3</v>
      </c>
      <c r="O156">
        <v>7</v>
      </c>
      <c r="P156" t="s">
        <v>1556</v>
      </c>
      <c r="Q156" t="s">
        <v>1553</v>
      </c>
      <c r="R156" t="s">
        <v>1549</v>
      </c>
      <c r="S156" t="s">
        <v>1534</v>
      </c>
      <c r="T156" t="s">
        <v>1541</v>
      </c>
      <c r="U156" t="s">
        <v>1546</v>
      </c>
      <c r="V156" t="s">
        <v>1558</v>
      </c>
      <c r="W156" t="s">
        <v>1563</v>
      </c>
      <c r="X156" t="s">
        <v>1577</v>
      </c>
      <c r="Y156" t="s">
        <v>1581</v>
      </c>
      <c r="Z156" t="s">
        <v>1594</v>
      </c>
      <c r="AA156" t="s">
        <v>1596</v>
      </c>
      <c r="AB156" t="s">
        <v>1601</v>
      </c>
      <c r="AC156" t="s">
        <v>1610</v>
      </c>
      <c r="AD156" t="s">
        <v>1607</v>
      </c>
      <c r="AE156" t="s">
        <v>1616</v>
      </c>
      <c r="AF156" t="s">
        <v>1627</v>
      </c>
    </row>
    <row r="157" spans="1:32" x14ac:dyDescent="0.25">
      <c r="A157" t="s">
        <v>214</v>
      </c>
      <c r="B157">
        <v>29</v>
      </c>
      <c r="C157">
        <v>1496</v>
      </c>
      <c r="D157">
        <v>1</v>
      </c>
      <c r="E157">
        <v>41</v>
      </c>
      <c r="F157">
        <v>4319</v>
      </c>
      <c r="G157">
        <v>26283</v>
      </c>
      <c r="H157">
        <v>1</v>
      </c>
      <c r="I157">
        <v>13</v>
      </c>
      <c r="J157">
        <v>10</v>
      </c>
      <c r="K157">
        <v>1</v>
      </c>
      <c r="L157">
        <v>10</v>
      </c>
      <c r="M157">
        <v>7</v>
      </c>
      <c r="N157">
        <v>0</v>
      </c>
      <c r="O157">
        <v>9</v>
      </c>
      <c r="P157" t="s">
        <v>1556</v>
      </c>
      <c r="Q157" t="s">
        <v>1554</v>
      </c>
      <c r="R157" t="s">
        <v>1550</v>
      </c>
      <c r="S157" t="s">
        <v>1532</v>
      </c>
      <c r="T157" t="s">
        <v>1542</v>
      </c>
      <c r="U157" t="s">
        <v>1548</v>
      </c>
      <c r="V157" t="s">
        <v>1559</v>
      </c>
      <c r="W157" t="s">
        <v>1563</v>
      </c>
      <c r="X157" t="s">
        <v>1576</v>
      </c>
      <c r="Y157" t="s">
        <v>1584</v>
      </c>
      <c r="Z157" t="s">
        <v>1593</v>
      </c>
      <c r="AA157" t="s">
        <v>1597</v>
      </c>
      <c r="AB157" t="s">
        <v>1601</v>
      </c>
      <c r="AC157" t="s">
        <v>1610</v>
      </c>
      <c r="AD157" t="s">
        <v>1604</v>
      </c>
      <c r="AE157" t="s">
        <v>1617</v>
      </c>
      <c r="AF157" t="s">
        <v>1627</v>
      </c>
    </row>
    <row r="158" spans="1:32" x14ac:dyDescent="0.25">
      <c r="A158" t="s">
        <v>215</v>
      </c>
      <c r="B158">
        <v>51</v>
      </c>
      <c r="C158">
        <v>1169</v>
      </c>
      <c r="D158">
        <v>7</v>
      </c>
      <c r="E158">
        <v>34</v>
      </c>
      <c r="F158">
        <v>6132</v>
      </c>
      <c r="G158">
        <v>13983</v>
      </c>
      <c r="H158">
        <v>2</v>
      </c>
      <c r="I158">
        <v>17</v>
      </c>
      <c r="J158">
        <v>10</v>
      </c>
      <c r="K158">
        <v>2</v>
      </c>
      <c r="L158">
        <v>1</v>
      </c>
      <c r="M158">
        <v>0</v>
      </c>
      <c r="N158">
        <v>0</v>
      </c>
      <c r="O158">
        <v>0</v>
      </c>
      <c r="P158" t="s">
        <v>1556</v>
      </c>
      <c r="Q158" t="s">
        <v>1552</v>
      </c>
      <c r="R158" t="s">
        <v>1550</v>
      </c>
      <c r="S158" t="s">
        <v>1535</v>
      </c>
      <c r="T158" t="s">
        <v>1540</v>
      </c>
      <c r="U158" t="s">
        <v>1546</v>
      </c>
      <c r="V158" t="s">
        <v>1559</v>
      </c>
      <c r="W158" t="s">
        <v>1562</v>
      </c>
      <c r="X158" t="s">
        <v>1576</v>
      </c>
      <c r="Y158" t="s">
        <v>1584</v>
      </c>
      <c r="Z158" t="s">
        <v>1593</v>
      </c>
      <c r="AA158" t="s">
        <v>1597</v>
      </c>
      <c r="AB158" t="s">
        <v>1601</v>
      </c>
      <c r="AC158" t="s">
        <v>1610</v>
      </c>
      <c r="AD158" t="s">
        <v>1606</v>
      </c>
      <c r="AE158" t="s">
        <v>1616</v>
      </c>
      <c r="AF158" t="s">
        <v>1627</v>
      </c>
    </row>
    <row r="159" spans="1:32" x14ac:dyDescent="0.25">
      <c r="A159" t="s">
        <v>216</v>
      </c>
      <c r="B159">
        <v>58</v>
      </c>
      <c r="C159">
        <v>1145</v>
      </c>
      <c r="D159">
        <v>9</v>
      </c>
      <c r="E159">
        <v>75</v>
      </c>
      <c r="F159">
        <v>3346</v>
      </c>
      <c r="G159">
        <v>11873</v>
      </c>
      <c r="H159">
        <v>4</v>
      </c>
      <c r="I159">
        <v>20</v>
      </c>
      <c r="J159">
        <v>9</v>
      </c>
      <c r="K159">
        <v>3</v>
      </c>
      <c r="L159">
        <v>1</v>
      </c>
      <c r="M159">
        <v>0</v>
      </c>
      <c r="N159">
        <v>0</v>
      </c>
      <c r="O159">
        <v>0</v>
      </c>
      <c r="P159" t="s">
        <v>1556</v>
      </c>
      <c r="Q159" t="s">
        <v>1552</v>
      </c>
      <c r="R159" t="s">
        <v>1550</v>
      </c>
      <c r="S159" t="s">
        <v>1534</v>
      </c>
      <c r="T159" t="s">
        <v>1540</v>
      </c>
      <c r="U159" t="s">
        <v>1546</v>
      </c>
      <c r="V159" t="s">
        <v>1558</v>
      </c>
      <c r="W159" t="s">
        <v>1562</v>
      </c>
      <c r="X159" t="s">
        <v>1575</v>
      </c>
      <c r="Y159" t="s">
        <v>1582</v>
      </c>
      <c r="Z159" t="s">
        <v>1592</v>
      </c>
      <c r="AA159" t="s">
        <v>1597</v>
      </c>
      <c r="AB159" t="s">
        <v>1600</v>
      </c>
      <c r="AC159" t="s">
        <v>1611</v>
      </c>
      <c r="AD159" t="s">
        <v>1605</v>
      </c>
      <c r="AE159" t="s">
        <v>1617</v>
      </c>
      <c r="AF159" t="s">
        <v>1626</v>
      </c>
    </row>
    <row r="160" spans="1:32" x14ac:dyDescent="0.25">
      <c r="A160" t="s">
        <v>217</v>
      </c>
      <c r="B160">
        <v>40</v>
      </c>
      <c r="C160">
        <v>630</v>
      </c>
      <c r="D160">
        <v>4</v>
      </c>
      <c r="E160">
        <v>67</v>
      </c>
      <c r="F160">
        <v>10855</v>
      </c>
      <c r="G160">
        <v>8552</v>
      </c>
      <c r="H160">
        <v>7</v>
      </c>
      <c r="I160">
        <v>11</v>
      </c>
      <c r="J160">
        <v>15</v>
      </c>
      <c r="K160">
        <v>2</v>
      </c>
      <c r="L160">
        <v>12</v>
      </c>
      <c r="M160">
        <v>11</v>
      </c>
      <c r="N160">
        <v>2</v>
      </c>
      <c r="O160">
        <v>11</v>
      </c>
      <c r="P160" t="s">
        <v>1556</v>
      </c>
      <c r="Q160" t="s">
        <v>1552</v>
      </c>
      <c r="R160" t="s">
        <v>1549</v>
      </c>
      <c r="S160" t="s">
        <v>1535</v>
      </c>
      <c r="T160" t="s">
        <v>1541</v>
      </c>
      <c r="U160" t="s">
        <v>1547</v>
      </c>
      <c r="V160" t="s">
        <v>1559</v>
      </c>
      <c r="W160" t="s">
        <v>1562</v>
      </c>
      <c r="X160" t="s">
        <v>1577</v>
      </c>
      <c r="Y160" t="s">
        <v>1581</v>
      </c>
      <c r="Z160" t="s">
        <v>1594</v>
      </c>
      <c r="AA160" t="s">
        <v>1597</v>
      </c>
      <c r="AB160" t="s">
        <v>1601</v>
      </c>
      <c r="AC160" t="s">
        <v>1610</v>
      </c>
      <c r="AD160" t="s">
        <v>1604</v>
      </c>
      <c r="AE160" t="s">
        <v>1617</v>
      </c>
      <c r="AF160" t="s">
        <v>1626</v>
      </c>
    </row>
    <row r="161" spans="1:32" x14ac:dyDescent="0.25">
      <c r="A161" t="s">
        <v>218</v>
      </c>
      <c r="B161">
        <v>34</v>
      </c>
      <c r="C161">
        <v>303</v>
      </c>
      <c r="D161">
        <v>2</v>
      </c>
      <c r="E161">
        <v>75</v>
      </c>
      <c r="F161">
        <v>2231</v>
      </c>
      <c r="G161">
        <v>11314</v>
      </c>
      <c r="H161">
        <v>6</v>
      </c>
      <c r="I161">
        <v>18</v>
      </c>
      <c r="J161">
        <v>6</v>
      </c>
      <c r="K161">
        <v>3</v>
      </c>
      <c r="L161">
        <v>4</v>
      </c>
      <c r="M161">
        <v>3</v>
      </c>
      <c r="N161">
        <v>1</v>
      </c>
      <c r="O161">
        <v>2</v>
      </c>
      <c r="P161" t="s">
        <v>1556</v>
      </c>
      <c r="Q161" t="s">
        <v>1553</v>
      </c>
      <c r="R161" t="s">
        <v>1549</v>
      </c>
      <c r="S161" t="s">
        <v>1535</v>
      </c>
      <c r="T161" t="s">
        <v>1541</v>
      </c>
      <c r="U161" t="s">
        <v>1547</v>
      </c>
      <c r="V161" t="s">
        <v>1558</v>
      </c>
      <c r="W161" t="s">
        <v>1563</v>
      </c>
      <c r="X161" t="s">
        <v>1575</v>
      </c>
      <c r="Y161" t="s">
        <v>1587</v>
      </c>
      <c r="Z161" t="s">
        <v>1593</v>
      </c>
      <c r="AA161" t="s">
        <v>1597</v>
      </c>
      <c r="AB161" t="s">
        <v>1601</v>
      </c>
      <c r="AC161" t="s">
        <v>1610</v>
      </c>
      <c r="AD161" t="s">
        <v>1607</v>
      </c>
      <c r="AE161" t="s">
        <v>1617</v>
      </c>
      <c r="AF161" t="s">
        <v>1627</v>
      </c>
    </row>
    <row r="162" spans="1:32" x14ac:dyDescent="0.25">
      <c r="A162" t="s">
        <v>219</v>
      </c>
      <c r="B162">
        <v>22</v>
      </c>
      <c r="C162">
        <v>1256</v>
      </c>
      <c r="D162">
        <v>19</v>
      </c>
      <c r="E162">
        <v>80</v>
      </c>
      <c r="F162">
        <v>2323</v>
      </c>
      <c r="G162">
        <v>11992</v>
      </c>
      <c r="H162">
        <v>1</v>
      </c>
      <c r="I162">
        <v>24</v>
      </c>
      <c r="J162">
        <v>2</v>
      </c>
      <c r="K162">
        <v>6</v>
      </c>
      <c r="L162">
        <v>2</v>
      </c>
      <c r="M162">
        <v>2</v>
      </c>
      <c r="N162">
        <v>2</v>
      </c>
      <c r="O162">
        <v>2</v>
      </c>
      <c r="P162" t="s">
        <v>1556</v>
      </c>
      <c r="Q162" t="s">
        <v>1552</v>
      </c>
      <c r="R162" t="s">
        <v>1550</v>
      </c>
      <c r="S162" t="s">
        <v>1532</v>
      </c>
      <c r="T162" t="s">
        <v>1540</v>
      </c>
      <c r="U162" t="s">
        <v>1547</v>
      </c>
      <c r="V162" t="s">
        <v>1559</v>
      </c>
      <c r="W162" t="s">
        <v>1563</v>
      </c>
      <c r="X162" t="s">
        <v>1575</v>
      </c>
      <c r="Y162" t="s">
        <v>1582</v>
      </c>
      <c r="Z162" t="s">
        <v>1594</v>
      </c>
      <c r="AA162" t="s">
        <v>1597</v>
      </c>
      <c r="AB162" t="s">
        <v>1601</v>
      </c>
      <c r="AC162" t="s">
        <v>1611</v>
      </c>
      <c r="AD162" t="s">
        <v>1604</v>
      </c>
      <c r="AE162" t="s">
        <v>1618</v>
      </c>
      <c r="AF162" t="s">
        <v>1627</v>
      </c>
    </row>
    <row r="163" spans="1:32" x14ac:dyDescent="0.25">
      <c r="A163" t="s">
        <v>220</v>
      </c>
      <c r="B163">
        <v>27</v>
      </c>
      <c r="C163">
        <v>691</v>
      </c>
      <c r="D163">
        <v>9</v>
      </c>
      <c r="E163">
        <v>57</v>
      </c>
      <c r="F163">
        <v>2024</v>
      </c>
      <c r="G163">
        <v>5970</v>
      </c>
      <c r="H163">
        <v>6</v>
      </c>
      <c r="I163">
        <v>18</v>
      </c>
      <c r="J163">
        <v>6</v>
      </c>
      <c r="K163">
        <v>1</v>
      </c>
      <c r="L163">
        <v>2</v>
      </c>
      <c r="M163">
        <v>2</v>
      </c>
      <c r="N163">
        <v>2</v>
      </c>
      <c r="O163">
        <v>2</v>
      </c>
      <c r="P163" t="s">
        <v>1556</v>
      </c>
      <c r="Q163" t="s">
        <v>1554</v>
      </c>
      <c r="R163" t="s">
        <v>1550</v>
      </c>
      <c r="S163" t="s">
        <v>1534</v>
      </c>
      <c r="T163" t="s">
        <v>1540</v>
      </c>
      <c r="U163" t="s">
        <v>1548</v>
      </c>
      <c r="V163" t="s">
        <v>1559</v>
      </c>
      <c r="W163" t="s">
        <v>1563</v>
      </c>
      <c r="X163" t="s">
        <v>1575</v>
      </c>
      <c r="Y163" t="s">
        <v>1582</v>
      </c>
      <c r="Z163" t="s">
        <v>1592</v>
      </c>
      <c r="AA163" t="s">
        <v>1598</v>
      </c>
      <c r="AB163" t="s">
        <v>1601</v>
      </c>
      <c r="AC163" t="s">
        <v>1610</v>
      </c>
      <c r="AD163" t="s">
        <v>1607</v>
      </c>
      <c r="AE163" t="s">
        <v>1617</v>
      </c>
      <c r="AF163" t="s">
        <v>1625</v>
      </c>
    </row>
    <row r="164" spans="1:32" x14ac:dyDescent="0.25">
      <c r="A164" t="s">
        <v>221</v>
      </c>
      <c r="B164">
        <v>28</v>
      </c>
      <c r="C164">
        <v>440</v>
      </c>
      <c r="D164">
        <v>21</v>
      </c>
      <c r="E164">
        <v>42</v>
      </c>
      <c r="F164">
        <v>2713</v>
      </c>
      <c r="G164">
        <v>6672</v>
      </c>
      <c r="H164">
        <v>1</v>
      </c>
      <c r="I164">
        <v>11</v>
      </c>
      <c r="J164">
        <v>5</v>
      </c>
      <c r="K164">
        <v>2</v>
      </c>
      <c r="L164">
        <v>5</v>
      </c>
      <c r="M164">
        <v>2</v>
      </c>
      <c r="N164">
        <v>0</v>
      </c>
      <c r="O164">
        <v>2</v>
      </c>
      <c r="P164" t="s">
        <v>1556</v>
      </c>
      <c r="Q164" t="s">
        <v>1552</v>
      </c>
      <c r="R164" t="s">
        <v>1550</v>
      </c>
      <c r="S164" t="s">
        <v>1534</v>
      </c>
      <c r="T164" t="s">
        <v>1540</v>
      </c>
      <c r="U164" t="s">
        <v>1547</v>
      </c>
      <c r="V164" t="s">
        <v>1559</v>
      </c>
      <c r="W164" t="s">
        <v>1563</v>
      </c>
      <c r="X164" t="s">
        <v>1575</v>
      </c>
      <c r="Y164" t="s">
        <v>1582</v>
      </c>
      <c r="Z164" t="s">
        <v>1594</v>
      </c>
      <c r="AA164" t="s">
        <v>1597</v>
      </c>
      <c r="AB164" t="s">
        <v>1601</v>
      </c>
      <c r="AC164" t="s">
        <v>1610</v>
      </c>
      <c r="AD164" t="s">
        <v>1606</v>
      </c>
      <c r="AE164" t="s">
        <v>1617</v>
      </c>
      <c r="AF164" t="s">
        <v>1625</v>
      </c>
    </row>
    <row r="165" spans="1:32" x14ac:dyDescent="0.25">
      <c r="A165" t="s">
        <v>222</v>
      </c>
      <c r="B165">
        <v>57</v>
      </c>
      <c r="C165">
        <v>334</v>
      </c>
      <c r="D165">
        <v>24</v>
      </c>
      <c r="E165">
        <v>83</v>
      </c>
      <c r="F165">
        <v>9439</v>
      </c>
      <c r="G165">
        <v>23402</v>
      </c>
      <c r="H165">
        <v>3</v>
      </c>
      <c r="I165">
        <v>16</v>
      </c>
      <c r="J165">
        <v>12</v>
      </c>
      <c r="K165">
        <v>2</v>
      </c>
      <c r="L165">
        <v>5</v>
      </c>
      <c r="M165">
        <v>3</v>
      </c>
      <c r="N165">
        <v>1</v>
      </c>
      <c r="O165">
        <v>4</v>
      </c>
      <c r="P165" t="s">
        <v>1556</v>
      </c>
      <c r="Q165" t="s">
        <v>1552</v>
      </c>
      <c r="R165" t="s">
        <v>1550</v>
      </c>
      <c r="S165" t="s">
        <v>1533</v>
      </c>
      <c r="T165" t="s">
        <v>1538</v>
      </c>
      <c r="U165" t="s">
        <v>1547</v>
      </c>
      <c r="V165" t="s">
        <v>1559</v>
      </c>
      <c r="W165" t="s">
        <v>1564</v>
      </c>
      <c r="X165" t="s">
        <v>1577</v>
      </c>
      <c r="Y165" t="s">
        <v>1585</v>
      </c>
      <c r="Z165" t="s">
        <v>1594</v>
      </c>
      <c r="AA165" t="s">
        <v>1598</v>
      </c>
      <c r="AB165" t="s">
        <v>1600</v>
      </c>
      <c r="AC165" t="s">
        <v>1610</v>
      </c>
      <c r="AD165" t="s">
        <v>1605</v>
      </c>
      <c r="AE165" t="s">
        <v>1617</v>
      </c>
      <c r="AF165" t="s">
        <v>1625</v>
      </c>
    </row>
    <row r="166" spans="1:32" x14ac:dyDescent="0.25">
      <c r="A166" t="s">
        <v>223</v>
      </c>
      <c r="B166">
        <v>27</v>
      </c>
      <c r="C166">
        <v>1450</v>
      </c>
      <c r="D166">
        <v>3</v>
      </c>
      <c r="E166">
        <v>79</v>
      </c>
      <c r="F166">
        <v>2566</v>
      </c>
      <c r="G166">
        <v>25326</v>
      </c>
      <c r="H166">
        <v>1</v>
      </c>
      <c r="I166">
        <v>15</v>
      </c>
      <c r="J166">
        <v>1</v>
      </c>
      <c r="K166">
        <v>2</v>
      </c>
      <c r="L166">
        <v>1</v>
      </c>
      <c r="M166">
        <v>1</v>
      </c>
      <c r="N166">
        <v>0</v>
      </c>
      <c r="O166">
        <v>1</v>
      </c>
      <c r="P166" t="s">
        <v>1556</v>
      </c>
      <c r="Q166" t="s">
        <v>1554</v>
      </c>
      <c r="R166" t="s">
        <v>1550</v>
      </c>
      <c r="S166" t="s">
        <v>1534</v>
      </c>
      <c r="T166" t="s">
        <v>1540</v>
      </c>
      <c r="U166" t="s">
        <v>1547</v>
      </c>
      <c r="V166" t="s">
        <v>1559</v>
      </c>
      <c r="W166" t="s">
        <v>1562</v>
      </c>
      <c r="X166" t="s">
        <v>1575</v>
      </c>
      <c r="Y166" t="s">
        <v>1582</v>
      </c>
      <c r="Z166" t="s">
        <v>1593</v>
      </c>
      <c r="AA166" t="s">
        <v>1598</v>
      </c>
      <c r="AB166" t="s">
        <v>1600</v>
      </c>
      <c r="AC166" t="s">
        <v>1610</v>
      </c>
      <c r="AD166" t="s">
        <v>1607</v>
      </c>
      <c r="AE166" t="s">
        <v>1617</v>
      </c>
      <c r="AF166" t="s">
        <v>1626</v>
      </c>
    </row>
    <row r="167" spans="1:32" x14ac:dyDescent="0.25">
      <c r="A167" t="s">
        <v>224</v>
      </c>
      <c r="B167">
        <v>50</v>
      </c>
      <c r="C167">
        <v>1452</v>
      </c>
      <c r="D167">
        <v>11</v>
      </c>
      <c r="E167">
        <v>53</v>
      </c>
      <c r="F167">
        <v>19926</v>
      </c>
      <c r="G167">
        <v>17053</v>
      </c>
      <c r="H167">
        <v>3</v>
      </c>
      <c r="I167">
        <v>15</v>
      </c>
      <c r="J167">
        <v>21</v>
      </c>
      <c r="K167">
        <v>5</v>
      </c>
      <c r="L167">
        <v>5</v>
      </c>
      <c r="M167">
        <v>4</v>
      </c>
      <c r="N167">
        <v>4</v>
      </c>
      <c r="O167">
        <v>4</v>
      </c>
      <c r="P167" t="s">
        <v>1556</v>
      </c>
      <c r="Q167" t="s">
        <v>1552</v>
      </c>
      <c r="R167" t="s">
        <v>1550</v>
      </c>
      <c r="S167" t="s">
        <v>1534</v>
      </c>
      <c r="T167" t="s">
        <v>1538</v>
      </c>
      <c r="U167" t="s">
        <v>1547</v>
      </c>
      <c r="V167" t="s">
        <v>1558</v>
      </c>
      <c r="W167" t="s">
        <v>1563</v>
      </c>
      <c r="X167" t="s">
        <v>1579</v>
      </c>
      <c r="Y167" t="s">
        <v>1586</v>
      </c>
      <c r="Z167" t="s">
        <v>1592</v>
      </c>
      <c r="AA167" t="s">
        <v>1596</v>
      </c>
      <c r="AB167" t="s">
        <v>1601</v>
      </c>
      <c r="AC167" t="s">
        <v>1610</v>
      </c>
      <c r="AD167" t="s">
        <v>1605</v>
      </c>
      <c r="AE167" t="s">
        <v>1616</v>
      </c>
      <c r="AF167" t="s">
        <v>1627</v>
      </c>
    </row>
    <row r="168" spans="1:32" x14ac:dyDescent="0.25">
      <c r="A168" t="s">
        <v>225</v>
      </c>
      <c r="B168">
        <v>41</v>
      </c>
      <c r="C168">
        <v>465</v>
      </c>
      <c r="D168">
        <v>14</v>
      </c>
      <c r="E168">
        <v>56</v>
      </c>
      <c r="F168">
        <v>2451</v>
      </c>
      <c r="G168">
        <v>4609</v>
      </c>
      <c r="H168">
        <v>4</v>
      </c>
      <c r="I168">
        <v>12</v>
      </c>
      <c r="J168">
        <v>13</v>
      </c>
      <c r="K168">
        <v>2</v>
      </c>
      <c r="L168">
        <v>9</v>
      </c>
      <c r="M168">
        <v>8</v>
      </c>
      <c r="N168">
        <v>1</v>
      </c>
      <c r="O168">
        <v>8</v>
      </c>
      <c r="P168" t="s">
        <v>1556</v>
      </c>
      <c r="Q168" t="s">
        <v>1552</v>
      </c>
      <c r="R168" t="s">
        <v>1550</v>
      </c>
      <c r="S168" t="s">
        <v>1534</v>
      </c>
      <c r="T168" t="s">
        <v>1538</v>
      </c>
      <c r="U168" t="s">
        <v>1545</v>
      </c>
      <c r="V168" t="s">
        <v>1559</v>
      </c>
      <c r="W168" t="s">
        <v>1563</v>
      </c>
      <c r="X168" t="s">
        <v>1575</v>
      </c>
      <c r="Y168" t="s">
        <v>1582</v>
      </c>
      <c r="Z168" t="s">
        <v>1593</v>
      </c>
      <c r="AA168" t="s">
        <v>1598</v>
      </c>
      <c r="AB168" t="s">
        <v>1601</v>
      </c>
      <c r="AC168" t="s">
        <v>1610</v>
      </c>
      <c r="AD168" t="s">
        <v>1604</v>
      </c>
      <c r="AE168" t="s">
        <v>1617</v>
      </c>
      <c r="AF168" t="s">
        <v>1627</v>
      </c>
    </row>
    <row r="169" spans="1:32" x14ac:dyDescent="0.25">
      <c r="A169" t="s">
        <v>226</v>
      </c>
      <c r="B169">
        <v>30</v>
      </c>
      <c r="C169">
        <v>1339</v>
      </c>
      <c r="D169">
        <v>5</v>
      </c>
      <c r="E169">
        <v>41</v>
      </c>
      <c r="F169">
        <v>9419</v>
      </c>
      <c r="G169">
        <v>8053</v>
      </c>
      <c r="H169">
        <v>2</v>
      </c>
      <c r="I169">
        <v>12</v>
      </c>
      <c r="J169">
        <v>12</v>
      </c>
      <c r="K169">
        <v>2</v>
      </c>
      <c r="L169">
        <v>10</v>
      </c>
      <c r="M169">
        <v>9</v>
      </c>
      <c r="N169">
        <v>7</v>
      </c>
      <c r="O169">
        <v>4</v>
      </c>
      <c r="P169" t="s">
        <v>1556</v>
      </c>
      <c r="Q169" t="s">
        <v>1552</v>
      </c>
      <c r="R169" t="s">
        <v>1549</v>
      </c>
      <c r="S169" t="s">
        <v>1534</v>
      </c>
      <c r="T169" t="s">
        <v>1538</v>
      </c>
      <c r="U169" t="s">
        <v>1546</v>
      </c>
      <c r="V169" t="s">
        <v>1558</v>
      </c>
      <c r="W169" t="s">
        <v>1563</v>
      </c>
      <c r="X169" t="s">
        <v>1577</v>
      </c>
      <c r="Y169" t="s">
        <v>1581</v>
      </c>
      <c r="Z169" t="s">
        <v>1594</v>
      </c>
      <c r="AA169" t="s">
        <v>1597</v>
      </c>
      <c r="AB169" t="s">
        <v>1601</v>
      </c>
      <c r="AC169" t="s">
        <v>1610</v>
      </c>
      <c r="AD169" t="s">
        <v>1606</v>
      </c>
      <c r="AE169" t="s">
        <v>1617</v>
      </c>
      <c r="AF169" t="s">
        <v>1627</v>
      </c>
    </row>
    <row r="170" spans="1:32" x14ac:dyDescent="0.25">
      <c r="A170" t="s">
        <v>227</v>
      </c>
      <c r="B170">
        <v>38</v>
      </c>
      <c r="C170">
        <v>702</v>
      </c>
      <c r="D170">
        <v>1</v>
      </c>
      <c r="E170">
        <v>59</v>
      </c>
      <c r="F170">
        <v>8686</v>
      </c>
      <c r="G170">
        <v>12930</v>
      </c>
      <c r="H170">
        <v>4</v>
      </c>
      <c r="I170">
        <v>22</v>
      </c>
      <c r="J170">
        <v>12</v>
      </c>
      <c r="K170">
        <v>2</v>
      </c>
      <c r="L170">
        <v>8</v>
      </c>
      <c r="M170">
        <v>3</v>
      </c>
      <c r="N170">
        <v>0</v>
      </c>
      <c r="O170">
        <v>7</v>
      </c>
      <c r="P170" t="s">
        <v>1556</v>
      </c>
      <c r="Q170" t="s">
        <v>1552</v>
      </c>
      <c r="R170" t="s">
        <v>1549</v>
      </c>
      <c r="S170" t="s">
        <v>1535</v>
      </c>
      <c r="T170" t="s">
        <v>1538</v>
      </c>
      <c r="U170" t="s">
        <v>1545</v>
      </c>
      <c r="V170" t="s">
        <v>1558</v>
      </c>
      <c r="W170" t="s">
        <v>1562</v>
      </c>
      <c r="X170" t="s">
        <v>1576</v>
      </c>
      <c r="Y170" t="s">
        <v>1581</v>
      </c>
      <c r="Z170" t="s">
        <v>1594</v>
      </c>
      <c r="AA170" t="s">
        <v>1596</v>
      </c>
      <c r="AB170" t="s">
        <v>1601</v>
      </c>
      <c r="AC170" t="s">
        <v>1611</v>
      </c>
      <c r="AD170" t="s">
        <v>1606</v>
      </c>
      <c r="AE170" t="s">
        <v>1616</v>
      </c>
      <c r="AF170" t="s">
        <v>1628</v>
      </c>
    </row>
    <row r="171" spans="1:32" x14ac:dyDescent="0.25">
      <c r="A171" t="s">
        <v>228</v>
      </c>
      <c r="B171">
        <v>32</v>
      </c>
      <c r="C171">
        <v>120</v>
      </c>
      <c r="D171">
        <v>6</v>
      </c>
      <c r="E171">
        <v>43</v>
      </c>
      <c r="F171">
        <v>3038</v>
      </c>
      <c r="G171">
        <v>12430</v>
      </c>
      <c r="H171">
        <v>3</v>
      </c>
      <c r="I171">
        <v>20</v>
      </c>
      <c r="J171">
        <v>8</v>
      </c>
      <c r="K171">
        <v>2</v>
      </c>
      <c r="L171">
        <v>5</v>
      </c>
      <c r="M171">
        <v>4</v>
      </c>
      <c r="N171">
        <v>1</v>
      </c>
      <c r="O171">
        <v>4</v>
      </c>
      <c r="P171" t="s">
        <v>1556</v>
      </c>
      <c r="Q171" t="s">
        <v>1552</v>
      </c>
      <c r="R171" t="s">
        <v>1550</v>
      </c>
      <c r="S171" t="s">
        <v>1536</v>
      </c>
      <c r="T171" t="s">
        <v>1538</v>
      </c>
      <c r="U171" t="s">
        <v>1547</v>
      </c>
      <c r="V171" t="s">
        <v>1559</v>
      </c>
      <c r="W171" t="s">
        <v>1563</v>
      </c>
      <c r="X171" t="s">
        <v>1575</v>
      </c>
      <c r="Y171" t="s">
        <v>1582</v>
      </c>
      <c r="Z171" t="s">
        <v>1593</v>
      </c>
      <c r="AA171" t="s">
        <v>1596</v>
      </c>
      <c r="AB171" t="s">
        <v>1601</v>
      </c>
      <c r="AC171" t="s">
        <v>1611</v>
      </c>
      <c r="AD171" t="s">
        <v>1604</v>
      </c>
      <c r="AE171" t="s">
        <v>1616</v>
      </c>
      <c r="AF171" t="s">
        <v>1627</v>
      </c>
    </row>
    <row r="172" spans="1:32" x14ac:dyDescent="0.25">
      <c r="A172" t="s">
        <v>229</v>
      </c>
      <c r="B172">
        <v>27</v>
      </c>
      <c r="C172">
        <v>1157</v>
      </c>
      <c r="D172">
        <v>17</v>
      </c>
      <c r="E172">
        <v>51</v>
      </c>
      <c r="F172">
        <v>3058</v>
      </c>
      <c r="G172">
        <v>13364</v>
      </c>
      <c r="H172">
        <v>0</v>
      </c>
      <c r="I172">
        <v>16</v>
      </c>
      <c r="J172">
        <v>6</v>
      </c>
      <c r="K172">
        <v>3</v>
      </c>
      <c r="L172">
        <v>5</v>
      </c>
      <c r="M172">
        <v>2</v>
      </c>
      <c r="N172">
        <v>1</v>
      </c>
      <c r="O172">
        <v>1</v>
      </c>
      <c r="P172" t="s">
        <v>1556</v>
      </c>
      <c r="Q172" t="s">
        <v>1552</v>
      </c>
      <c r="R172" t="s">
        <v>1550</v>
      </c>
      <c r="S172" t="s">
        <v>1534</v>
      </c>
      <c r="T172" t="s">
        <v>1542</v>
      </c>
      <c r="U172" t="s">
        <v>1547</v>
      </c>
      <c r="V172" t="s">
        <v>1559</v>
      </c>
      <c r="W172" t="s">
        <v>1563</v>
      </c>
      <c r="X172" t="s">
        <v>1575</v>
      </c>
      <c r="Y172" t="s">
        <v>1582</v>
      </c>
      <c r="Z172" t="s">
        <v>1592</v>
      </c>
      <c r="AA172" t="s">
        <v>1597</v>
      </c>
      <c r="AB172" t="s">
        <v>1600</v>
      </c>
      <c r="AC172" t="s">
        <v>1610</v>
      </c>
      <c r="AD172" t="s">
        <v>1607</v>
      </c>
      <c r="AE172" t="s">
        <v>1617</v>
      </c>
      <c r="AF172" t="s">
        <v>1626</v>
      </c>
    </row>
    <row r="173" spans="1:32" x14ac:dyDescent="0.25">
      <c r="A173" t="s">
        <v>230</v>
      </c>
      <c r="B173">
        <v>19</v>
      </c>
      <c r="C173">
        <v>602</v>
      </c>
      <c r="D173">
        <v>1</v>
      </c>
      <c r="E173">
        <v>100</v>
      </c>
      <c r="F173">
        <v>2325</v>
      </c>
      <c r="G173">
        <v>20989</v>
      </c>
      <c r="H173">
        <v>0</v>
      </c>
      <c r="I173">
        <v>21</v>
      </c>
      <c r="J173">
        <v>1</v>
      </c>
      <c r="K173">
        <v>5</v>
      </c>
      <c r="L173">
        <v>0</v>
      </c>
      <c r="M173">
        <v>0</v>
      </c>
      <c r="N173">
        <v>0</v>
      </c>
      <c r="O173">
        <v>0</v>
      </c>
      <c r="P173" t="s">
        <v>1555</v>
      </c>
      <c r="Q173" t="s">
        <v>1553</v>
      </c>
      <c r="R173" t="s">
        <v>1549</v>
      </c>
      <c r="S173" t="s">
        <v>1532</v>
      </c>
      <c r="T173" t="s">
        <v>1542</v>
      </c>
      <c r="U173" t="s">
        <v>1547</v>
      </c>
      <c r="V173" t="s">
        <v>1558</v>
      </c>
      <c r="W173" t="s">
        <v>1561</v>
      </c>
      <c r="X173" t="s">
        <v>1575</v>
      </c>
      <c r="Y173" t="s">
        <v>1587</v>
      </c>
      <c r="Z173" t="s">
        <v>1591</v>
      </c>
      <c r="AA173" t="s">
        <v>1596</v>
      </c>
      <c r="AB173" t="s">
        <v>1601</v>
      </c>
      <c r="AC173" t="s">
        <v>1611</v>
      </c>
      <c r="AD173" t="s">
        <v>1604</v>
      </c>
      <c r="AE173" t="s">
        <v>1616</v>
      </c>
      <c r="AF173" t="s">
        <v>1628</v>
      </c>
    </row>
    <row r="174" spans="1:32" x14ac:dyDescent="0.25">
      <c r="A174" t="s">
        <v>231</v>
      </c>
      <c r="B174">
        <v>36</v>
      </c>
      <c r="C174">
        <v>1480</v>
      </c>
      <c r="D174">
        <v>3</v>
      </c>
      <c r="E174">
        <v>30</v>
      </c>
      <c r="F174">
        <v>2088</v>
      </c>
      <c r="G174">
        <v>15062</v>
      </c>
      <c r="H174">
        <v>4</v>
      </c>
      <c r="I174">
        <v>12</v>
      </c>
      <c r="J174">
        <v>13</v>
      </c>
      <c r="K174">
        <v>3</v>
      </c>
      <c r="L174">
        <v>8</v>
      </c>
      <c r="M174">
        <v>7</v>
      </c>
      <c r="N174">
        <v>7</v>
      </c>
      <c r="O174">
        <v>2</v>
      </c>
      <c r="P174" t="s">
        <v>1556</v>
      </c>
      <c r="Q174" t="s">
        <v>1553</v>
      </c>
      <c r="R174" t="s">
        <v>1550</v>
      </c>
      <c r="S174" t="s">
        <v>1533</v>
      </c>
      <c r="T174" t="s">
        <v>1540</v>
      </c>
      <c r="U174" t="s">
        <v>1548</v>
      </c>
      <c r="V174" t="s">
        <v>1559</v>
      </c>
      <c r="W174" t="s">
        <v>1563</v>
      </c>
      <c r="X174" t="s">
        <v>1575</v>
      </c>
      <c r="Y174" t="s">
        <v>1583</v>
      </c>
      <c r="Z174" t="s">
        <v>1592</v>
      </c>
      <c r="AA174" t="s">
        <v>1596</v>
      </c>
      <c r="AB174" t="s">
        <v>1601</v>
      </c>
      <c r="AC174" t="s">
        <v>1610</v>
      </c>
      <c r="AD174" t="s">
        <v>1606</v>
      </c>
      <c r="AE174" t="s">
        <v>1616</v>
      </c>
      <c r="AF174" t="s">
        <v>1626</v>
      </c>
    </row>
    <row r="175" spans="1:32" x14ac:dyDescent="0.25">
      <c r="A175" t="s">
        <v>232</v>
      </c>
      <c r="B175">
        <v>30</v>
      </c>
      <c r="C175">
        <v>111</v>
      </c>
      <c r="D175">
        <v>9</v>
      </c>
      <c r="E175">
        <v>66</v>
      </c>
      <c r="F175">
        <v>3072</v>
      </c>
      <c r="G175">
        <v>11012</v>
      </c>
      <c r="H175">
        <v>1</v>
      </c>
      <c r="I175">
        <v>11</v>
      </c>
      <c r="J175">
        <v>12</v>
      </c>
      <c r="K175">
        <v>4</v>
      </c>
      <c r="L175">
        <v>12</v>
      </c>
      <c r="M175">
        <v>9</v>
      </c>
      <c r="N175">
        <v>6</v>
      </c>
      <c r="O175">
        <v>10</v>
      </c>
      <c r="P175" t="s">
        <v>1556</v>
      </c>
      <c r="Q175" t="s">
        <v>1554</v>
      </c>
      <c r="R175" t="s">
        <v>1550</v>
      </c>
      <c r="S175" t="s">
        <v>1534</v>
      </c>
      <c r="T175" t="s">
        <v>1540</v>
      </c>
      <c r="U175" t="s">
        <v>1547</v>
      </c>
      <c r="V175" t="s">
        <v>1559</v>
      </c>
      <c r="W175" t="s">
        <v>1563</v>
      </c>
      <c r="X175" t="s">
        <v>1576</v>
      </c>
      <c r="Y175" t="s">
        <v>1583</v>
      </c>
      <c r="Z175" t="s">
        <v>1591</v>
      </c>
      <c r="AA175" t="s">
        <v>1598</v>
      </c>
      <c r="AB175" t="s">
        <v>1601</v>
      </c>
      <c r="AC175" t="s">
        <v>1610</v>
      </c>
      <c r="AD175" t="s">
        <v>1606</v>
      </c>
      <c r="AE175" t="s">
        <v>1618</v>
      </c>
      <c r="AF175" t="s">
        <v>1627</v>
      </c>
    </row>
    <row r="176" spans="1:32" x14ac:dyDescent="0.25">
      <c r="A176" t="s">
        <v>233</v>
      </c>
      <c r="B176">
        <v>45</v>
      </c>
      <c r="C176">
        <v>1268</v>
      </c>
      <c r="D176">
        <v>4</v>
      </c>
      <c r="E176">
        <v>30</v>
      </c>
      <c r="F176">
        <v>5006</v>
      </c>
      <c r="G176">
        <v>6319</v>
      </c>
      <c r="H176">
        <v>4</v>
      </c>
      <c r="I176">
        <v>11</v>
      </c>
      <c r="J176">
        <v>9</v>
      </c>
      <c r="K176">
        <v>3</v>
      </c>
      <c r="L176">
        <v>5</v>
      </c>
      <c r="M176">
        <v>4</v>
      </c>
      <c r="N176">
        <v>0</v>
      </c>
      <c r="O176">
        <v>3</v>
      </c>
      <c r="P176" t="s">
        <v>1556</v>
      </c>
      <c r="Q176" t="s">
        <v>1552</v>
      </c>
      <c r="R176" t="s">
        <v>1549</v>
      </c>
      <c r="S176" t="s">
        <v>1533</v>
      </c>
      <c r="T176" t="s">
        <v>1538</v>
      </c>
      <c r="U176" t="s">
        <v>1547</v>
      </c>
      <c r="V176" t="s">
        <v>1558</v>
      </c>
      <c r="W176" t="s">
        <v>1563</v>
      </c>
      <c r="X176" t="s">
        <v>1576</v>
      </c>
      <c r="Y176" t="s">
        <v>1581</v>
      </c>
      <c r="Z176" t="s">
        <v>1591</v>
      </c>
      <c r="AA176" t="s">
        <v>1598</v>
      </c>
      <c r="AB176" t="s">
        <v>1600</v>
      </c>
      <c r="AC176" t="s">
        <v>1610</v>
      </c>
      <c r="AD176" t="s">
        <v>1604</v>
      </c>
      <c r="AE176" t="s">
        <v>1617</v>
      </c>
      <c r="AF176" t="s">
        <v>1628</v>
      </c>
    </row>
    <row r="177" spans="1:32" x14ac:dyDescent="0.25">
      <c r="A177" t="s">
        <v>234</v>
      </c>
      <c r="B177">
        <v>56</v>
      </c>
      <c r="C177">
        <v>713</v>
      </c>
      <c r="D177">
        <v>8</v>
      </c>
      <c r="E177">
        <v>67</v>
      </c>
      <c r="F177">
        <v>4257</v>
      </c>
      <c r="G177">
        <v>13939</v>
      </c>
      <c r="H177">
        <v>4</v>
      </c>
      <c r="I177">
        <v>18</v>
      </c>
      <c r="J177">
        <v>19</v>
      </c>
      <c r="K177">
        <v>3</v>
      </c>
      <c r="L177">
        <v>2</v>
      </c>
      <c r="M177">
        <v>2</v>
      </c>
      <c r="N177">
        <v>2</v>
      </c>
      <c r="O177">
        <v>2</v>
      </c>
      <c r="P177" t="s">
        <v>1556</v>
      </c>
      <c r="Q177" t="s">
        <v>1552</v>
      </c>
      <c r="R177" t="s">
        <v>1550</v>
      </c>
      <c r="S177" t="s">
        <v>1534</v>
      </c>
      <c r="T177" t="s">
        <v>1538</v>
      </c>
      <c r="U177" t="s">
        <v>1547</v>
      </c>
      <c r="V177" t="s">
        <v>1558</v>
      </c>
      <c r="W177" t="s">
        <v>1563</v>
      </c>
      <c r="X177" t="s">
        <v>1575</v>
      </c>
      <c r="Y177" t="s">
        <v>1582</v>
      </c>
      <c r="Z177" t="s">
        <v>1591</v>
      </c>
      <c r="AA177" t="s">
        <v>1598</v>
      </c>
      <c r="AB177" t="s">
        <v>1600</v>
      </c>
      <c r="AC177" t="s">
        <v>1610</v>
      </c>
      <c r="AD177" t="s">
        <v>1606</v>
      </c>
      <c r="AE177" t="s">
        <v>1617</v>
      </c>
      <c r="AF177" t="s">
        <v>1627</v>
      </c>
    </row>
    <row r="178" spans="1:32" x14ac:dyDescent="0.25">
      <c r="A178" t="s">
        <v>235</v>
      </c>
      <c r="B178">
        <v>33</v>
      </c>
      <c r="C178">
        <v>134</v>
      </c>
      <c r="D178">
        <v>2</v>
      </c>
      <c r="E178">
        <v>90</v>
      </c>
      <c r="F178">
        <v>2500</v>
      </c>
      <c r="G178">
        <v>10515</v>
      </c>
      <c r="H178">
        <v>0</v>
      </c>
      <c r="I178">
        <v>14</v>
      </c>
      <c r="J178">
        <v>4</v>
      </c>
      <c r="K178">
        <v>2</v>
      </c>
      <c r="L178">
        <v>3</v>
      </c>
      <c r="M178">
        <v>1</v>
      </c>
      <c r="N178">
        <v>0</v>
      </c>
      <c r="O178">
        <v>2</v>
      </c>
      <c r="P178" t="s">
        <v>1556</v>
      </c>
      <c r="Q178" t="s">
        <v>1552</v>
      </c>
      <c r="R178" t="s">
        <v>1550</v>
      </c>
      <c r="S178" t="s">
        <v>1534</v>
      </c>
      <c r="T178" t="s">
        <v>1538</v>
      </c>
      <c r="U178" t="s">
        <v>1547</v>
      </c>
      <c r="V178" t="s">
        <v>1559</v>
      </c>
      <c r="W178" t="s">
        <v>1563</v>
      </c>
      <c r="X178" t="s">
        <v>1575</v>
      </c>
      <c r="Y178" t="s">
        <v>1582</v>
      </c>
      <c r="Z178" t="s">
        <v>1594</v>
      </c>
      <c r="AA178" t="s">
        <v>1596</v>
      </c>
      <c r="AB178" t="s">
        <v>1601</v>
      </c>
      <c r="AC178" t="s">
        <v>1610</v>
      </c>
      <c r="AD178" t="s">
        <v>1604</v>
      </c>
      <c r="AE178" t="s">
        <v>1616</v>
      </c>
      <c r="AF178" t="s">
        <v>1628</v>
      </c>
    </row>
    <row r="179" spans="1:32" x14ac:dyDescent="0.25">
      <c r="A179" t="s">
        <v>236</v>
      </c>
      <c r="B179">
        <v>19</v>
      </c>
      <c r="C179">
        <v>303</v>
      </c>
      <c r="D179">
        <v>2</v>
      </c>
      <c r="E179">
        <v>47</v>
      </c>
      <c r="F179">
        <v>1102</v>
      </c>
      <c r="G179">
        <v>9241</v>
      </c>
      <c r="H179">
        <v>1</v>
      </c>
      <c r="I179">
        <v>22</v>
      </c>
      <c r="J179">
        <v>1</v>
      </c>
      <c r="K179">
        <v>3</v>
      </c>
      <c r="L179">
        <v>1</v>
      </c>
      <c r="M179">
        <v>0</v>
      </c>
      <c r="N179">
        <v>1</v>
      </c>
      <c r="O179">
        <v>0</v>
      </c>
      <c r="P179" t="s">
        <v>1555</v>
      </c>
      <c r="Q179" t="s">
        <v>1552</v>
      </c>
      <c r="R179" t="s">
        <v>1550</v>
      </c>
      <c r="S179" t="s">
        <v>1534</v>
      </c>
      <c r="T179" t="s">
        <v>1538</v>
      </c>
      <c r="U179" t="s">
        <v>1546</v>
      </c>
      <c r="V179" t="s">
        <v>1559</v>
      </c>
      <c r="W179" t="s">
        <v>1562</v>
      </c>
      <c r="X179" t="s">
        <v>1575</v>
      </c>
      <c r="Y179" t="s">
        <v>1583</v>
      </c>
      <c r="Z179" t="s">
        <v>1594</v>
      </c>
      <c r="AA179" t="s">
        <v>1596</v>
      </c>
      <c r="AB179" t="s">
        <v>1601</v>
      </c>
      <c r="AC179" t="s">
        <v>1611</v>
      </c>
      <c r="AD179" t="s">
        <v>1606</v>
      </c>
      <c r="AE179" t="s">
        <v>1616</v>
      </c>
      <c r="AF179" t="s">
        <v>1626</v>
      </c>
    </row>
    <row r="180" spans="1:32" x14ac:dyDescent="0.25">
      <c r="A180" t="s">
        <v>237</v>
      </c>
      <c r="B180">
        <v>46</v>
      </c>
      <c r="C180">
        <v>526</v>
      </c>
      <c r="D180">
        <v>1</v>
      </c>
      <c r="E180">
        <v>92</v>
      </c>
      <c r="F180">
        <v>10453</v>
      </c>
      <c r="G180">
        <v>2137</v>
      </c>
      <c r="H180">
        <v>1</v>
      </c>
      <c r="I180">
        <v>25</v>
      </c>
      <c r="J180">
        <v>24</v>
      </c>
      <c r="K180">
        <v>2</v>
      </c>
      <c r="L180">
        <v>24</v>
      </c>
      <c r="M180">
        <v>13</v>
      </c>
      <c r="N180">
        <v>15</v>
      </c>
      <c r="O180">
        <v>7</v>
      </c>
      <c r="P180" t="s">
        <v>1556</v>
      </c>
      <c r="Q180" t="s">
        <v>1552</v>
      </c>
      <c r="R180" t="s">
        <v>1549</v>
      </c>
      <c r="S180" t="s">
        <v>1533</v>
      </c>
      <c r="T180" t="s">
        <v>1541</v>
      </c>
      <c r="U180" t="s">
        <v>1546</v>
      </c>
      <c r="V180" t="s">
        <v>1558</v>
      </c>
      <c r="W180" t="s">
        <v>1563</v>
      </c>
      <c r="X180" t="s">
        <v>1577</v>
      </c>
      <c r="Y180" t="s">
        <v>1581</v>
      </c>
      <c r="Z180" t="s">
        <v>1591</v>
      </c>
      <c r="AA180" t="s">
        <v>1598</v>
      </c>
      <c r="AB180" t="s">
        <v>1601</v>
      </c>
      <c r="AC180" t="s">
        <v>1611</v>
      </c>
      <c r="AD180" t="s">
        <v>1606</v>
      </c>
      <c r="AE180" t="s">
        <v>1619</v>
      </c>
      <c r="AF180" t="s">
        <v>1627</v>
      </c>
    </row>
    <row r="181" spans="1:32" x14ac:dyDescent="0.25">
      <c r="A181" t="s">
        <v>238</v>
      </c>
      <c r="B181">
        <v>38</v>
      </c>
      <c r="C181">
        <v>1380</v>
      </c>
      <c r="D181">
        <v>9</v>
      </c>
      <c r="E181">
        <v>75</v>
      </c>
      <c r="F181">
        <v>2288</v>
      </c>
      <c r="G181">
        <v>6319</v>
      </c>
      <c r="H181">
        <v>1</v>
      </c>
      <c r="I181">
        <v>12</v>
      </c>
      <c r="J181">
        <v>2</v>
      </c>
      <c r="K181">
        <v>3</v>
      </c>
      <c r="L181">
        <v>2</v>
      </c>
      <c r="M181">
        <v>2</v>
      </c>
      <c r="N181">
        <v>2</v>
      </c>
      <c r="O181">
        <v>1</v>
      </c>
      <c r="P181" t="s">
        <v>1556</v>
      </c>
      <c r="Q181" t="s">
        <v>1552</v>
      </c>
      <c r="R181" t="s">
        <v>1550</v>
      </c>
      <c r="S181" t="s">
        <v>1533</v>
      </c>
      <c r="T181" t="s">
        <v>1538</v>
      </c>
      <c r="U181" t="s">
        <v>1547</v>
      </c>
      <c r="V181" t="s">
        <v>1558</v>
      </c>
      <c r="W181" t="s">
        <v>1563</v>
      </c>
      <c r="X181" t="s">
        <v>1575</v>
      </c>
      <c r="Y181" t="s">
        <v>1583</v>
      </c>
      <c r="Z181" t="s">
        <v>1594</v>
      </c>
      <c r="AA181" t="s">
        <v>1596</v>
      </c>
      <c r="AB181" t="s">
        <v>1601</v>
      </c>
      <c r="AC181" t="s">
        <v>1610</v>
      </c>
      <c r="AD181" t="s">
        <v>1606</v>
      </c>
      <c r="AE181" t="s">
        <v>1616</v>
      </c>
      <c r="AF181" t="s">
        <v>1627</v>
      </c>
    </row>
    <row r="182" spans="1:32" x14ac:dyDescent="0.25">
      <c r="A182" t="s">
        <v>239</v>
      </c>
      <c r="B182">
        <v>31</v>
      </c>
      <c r="C182">
        <v>140</v>
      </c>
      <c r="D182">
        <v>12</v>
      </c>
      <c r="E182">
        <v>95</v>
      </c>
      <c r="F182">
        <v>3929</v>
      </c>
      <c r="G182">
        <v>6984</v>
      </c>
      <c r="H182">
        <v>8</v>
      </c>
      <c r="I182">
        <v>23</v>
      </c>
      <c r="J182">
        <v>7</v>
      </c>
      <c r="K182">
        <v>0</v>
      </c>
      <c r="L182">
        <v>4</v>
      </c>
      <c r="M182">
        <v>2</v>
      </c>
      <c r="N182">
        <v>0</v>
      </c>
      <c r="O182">
        <v>2</v>
      </c>
      <c r="P182" t="s">
        <v>1556</v>
      </c>
      <c r="Q182" t="s">
        <v>1552</v>
      </c>
      <c r="R182" t="s">
        <v>1550</v>
      </c>
      <c r="S182" t="s">
        <v>1532</v>
      </c>
      <c r="T182" t="s">
        <v>1540</v>
      </c>
      <c r="U182" t="s">
        <v>1547</v>
      </c>
      <c r="V182" t="s">
        <v>1558</v>
      </c>
      <c r="W182" t="s">
        <v>1563</v>
      </c>
      <c r="X182" t="s">
        <v>1575</v>
      </c>
      <c r="Y182" t="s">
        <v>1582</v>
      </c>
      <c r="Z182" t="s">
        <v>1594</v>
      </c>
      <c r="AA182" t="s">
        <v>1597</v>
      </c>
      <c r="AB182" t="s">
        <v>1600</v>
      </c>
      <c r="AC182" t="s">
        <v>1611</v>
      </c>
      <c r="AD182" t="s">
        <v>1606</v>
      </c>
      <c r="AE182" t="s">
        <v>1617</v>
      </c>
      <c r="AF182" t="s">
        <v>1627</v>
      </c>
    </row>
    <row r="183" spans="1:32" x14ac:dyDescent="0.25">
      <c r="A183" t="s">
        <v>240</v>
      </c>
      <c r="B183">
        <v>34</v>
      </c>
      <c r="C183">
        <v>629</v>
      </c>
      <c r="D183">
        <v>27</v>
      </c>
      <c r="E183">
        <v>95</v>
      </c>
      <c r="F183">
        <v>2311</v>
      </c>
      <c r="G183">
        <v>5711</v>
      </c>
      <c r="H183">
        <v>2</v>
      </c>
      <c r="I183">
        <v>15</v>
      </c>
      <c r="J183">
        <v>9</v>
      </c>
      <c r="K183">
        <v>3</v>
      </c>
      <c r="L183">
        <v>3</v>
      </c>
      <c r="M183">
        <v>2</v>
      </c>
      <c r="N183">
        <v>1</v>
      </c>
      <c r="O183">
        <v>2</v>
      </c>
      <c r="P183" t="s">
        <v>1556</v>
      </c>
      <c r="Q183" t="s">
        <v>1552</v>
      </c>
      <c r="R183" t="s">
        <v>1550</v>
      </c>
      <c r="S183" t="s">
        <v>1533</v>
      </c>
      <c r="T183" t="s">
        <v>1540</v>
      </c>
      <c r="U183" t="s">
        <v>1548</v>
      </c>
      <c r="V183" t="s">
        <v>1558</v>
      </c>
      <c r="W183" t="s">
        <v>1563</v>
      </c>
      <c r="X183" t="s">
        <v>1575</v>
      </c>
      <c r="Y183" t="s">
        <v>1582</v>
      </c>
      <c r="Z183" t="s">
        <v>1592</v>
      </c>
      <c r="AA183" t="s">
        <v>1596</v>
      </c>
      <c r="AB183" t="s">
        <v>1601</v>
      </c>
      <c r="AC183" t="s">
        <v>1610</v>
      </c>
      <c r="AD183" t="s">
        <v>1607</v>
      </c>
      <c r="AE183" t="s">
        <v>1616</v>
      </c>
      <c r="AF183" t="s">
        <v>1627</v>
      </c>
    </row>
    <row r="184" spans="1:32" x14ac:dyDescent="0.25">
      <c r="A184" t="s">
        <v>241</v>
      </c>
      <c r="B184">
        <v>41</v>
      </c>
      <c r="C184">
        <v>1356</v>
      </c>
      <c r="D184">
        <v>20</v>
      </c>
      <c r="E184">
        <v>70</v>
      </c>
      <c r="F184">
        <v>3140</v>
      </c>
      <c r="G184">
        <v>21728</v>
      </c>
      <c r="H184">
        <v>1</v>
      </c>
      <c r="I184">
        <v>22</v>
      </c>
      <c r="J184">
        <v>4</v>
      </c>
      <c r="K184">
        <v>5</v>
      </c>
      <c r="L184">
        <v>4</v>
      </c>
      <c r="M184">
        <v>3</v>
      </c>
      <c r="N184">
        <v>0</v>
      </c>
      <c r="O184">
        <v>2</v>
      </c>
      <c r="P184" t="s">
        <v>1555</v>
      </c>
      <c r="Q184" t="s">
        <v>1552</v>
      </c>
      <c r="R184" t="s">
        <v>1549</v>
      </c>
      <c r="S184" t="s">
        <v>1533</v>
      </c>
      <c r="T184" t="s">
        <v>1541</v>
      </c>
      <c r="U184" t="s">
        <v>1546</v>
      </c>
      <c r="V184" t="s">
        <v>1558</v>
      </c>
      <c r="W184" t="s">
        <v>1563</v>
      </c>
      <c r="X184" t="s">
        <v>1575</v>
      </c>
      <c r="Y184" t="s">
        <v>1587</v>
      </c>
      <c r="Z184" t="s">
        <v>1592</v>
      </c>
      <c r="AA184" t="s">
        <v>1596</v>
      </c>
      <c r="AB184" t="s">
        <v>1600</v>
      </c>
      <c r="AC184" t="s">
        <v>1611</v>
      </c>
      <c r="AD184" t="s">
        <v>1607</v>
      </c>
      <c r="AE184" t="s">
        <v>1616</v>
      </c>
      <c r="AF184" t="s">
        <v>1626</v>
      </c>
    </row>
    <row r="185" spans="1:32" x14ac:dyDescent="0.25">
      <c r="A185" t="s">
        <v>242</v>
      </c>
      <c r="B185">
        <v>50</v>
      </c>
      <c r="C185">
        <v>328</v>
      </c>
      <c r="D185">
        <v>1</v>
      </c>
      <c r="E185">
        <v>86</v>
      </c>
      <c r="F185">
        <v>3690</v>
      </c>
      <c r="G185">
        <v>3425</v>
      </c>
      <c r="H185">
        <v>2</v>
      </c>
      <c r="I185">
        <v>15</v>
      </c>
      <c r="J185">
        <v>5</v>
      </c>
      <c r="K185">
        <v>2</v>
      </c>
      <c r="L185">
        <v>3</v>
      </c>
      <c r="M185">
        <v>2</v>
      </c>
      <c r="N185">
        <v>0</v>
      </c>
      <c r="O185">
        <v>2</v>
      </c>
      <c r="P185" t="s">
        <v>1556</v>
      </c>
      <c r="Q185" t="s">
        <v>1552</v>
      </c>
      <c r="R185" t="s">
        <v>1550</v>
      </c>
      <c r="S185" t="s">
        <v>1534</v>
      </c>
      <c r="T185" t="s">
        <v>1540</v>
      </c>
      <c r="U185" t="s">
        <v>1547</v>
      </c>
      <c r="V185" t="s">
        <v>1559</v>
      </c>
      <c r="W185" t="s">
        <v>1562</v>
      </c>
      <c r="X185" t="s">
        <v>1575</v>
      </c>
      <c r="Y185" t="s">
        <v>1583</v>
      </c>
      <c r="Z185" t="s">
        <v>1593</v>
      </c>
      <c r="AA185" t="s">
        <v>1597</v>
      </c>
      <c r="AB185" t="s">
        <v>1601</v>
      </c>
      <c r="AC185" t="s">
        <v>1610</v>
      </c>
      <c r="AD185" t="s">
        <v>1607</v>
      </c>
      <c r="AE185" t="s">
        <v>1617</v>
      </c>
      <c r="AF185" t="s">
        <v>1626</v>
      </c>
    </row>
    <row r="186" spans="1:32" x14ac:dyDescent="0.25">
      <c r="A186" t="s">
        <v>243</v>
      </c>
      <c r="B186">
        <v>53</v>
      </c>
      <c r="C186">
        <v>1084</v>
      </c>
      <c r="D186">
        <v>13</v>
      </c>
      <c r="E186">
        <v>57</v>
      </c>
      <c r="F186">
        <v>4450</v>
      </c>
      <c r="G186">
        <v>26250</v>
      </c>
      <c r="H186">
        <v>1</v>
      </c>
      <c r="I186">
        <v>11</v>
      </c>
      <c r="J186">
        <v>5</v>
      </c>
      <c r="K186">
        <v>3</v>
      </c>
      <c r="L186">
        <v>4</v>
      </c>
      <c r="M186">
        <v>2</v>
      </c>
      <c r="N186">
        <v>1</v>
      </c>
      <c r="O186">
        <v>3</v>
      </c>
      <c r="P186" t="s">
        <v>1556</v>
      </c>
      <c r="Q186" t="s">
        <v>1552</v>
      </c>
      <c r="R186" t="s">
        <v>1550</v>
      </c>
      <c r="S186" t="s">
        <v>1533</v>
      </c>
      <c r="T186" t="s">
        <v>1540</v>
      </c>
      <c r="U186" t="s">
        <v>1548</v>
      </c>
      <c r="V186" t="s">
        <v>1558</v>
      </c>
      <c r="W186" t="s">
        <v>1564</v>
      </c>
      <c r="X186" t="s">
        <v>1576</v>
      </c>
      <c r="Y186" t="s">
        <v>1584</v>
      </c>
      <c r="Z186" t="s">
        <v>1591</v>
      </c>
      <c r="AA186" t="s">
        <v>1598</v>
      </c>
      <c r="AB186" t="s">
        <v>1601</v>
      </c>
      <c r="AC186" t="s">
        <v>1610</v>
      </c>
      <c r="AD186" t="s">
        <v>1606</v>
      </c>
      <c r="AE186" t="s">
        <v>1618</v>
      </c>
      <c r="AF186" t="s">
        <v>1627</v>
      </c>
    </row>
    <row r="187" spans="1:32" x14ac:dyDescent="0.25">
      <c r="A187" t="s">
        <v>244</v>
      </c>
      <c r="B187">
        <v>33</v>
      </c>
      <c r="C187">
        <v>931</v>
      </c>
      <c r="D187">
        <v>14</v>
      </c>
      <c r="E187">
        <v>72</v>
      </c>
      <c r="F187">
        <v>2756</v>
      </c>
      <c r="G187">
        <v>4673</v>
      </c>
      <c r="H187">
        <v>1</v>
      </c>
      <c r="I187">
        <v>13</v>
      </c>
      <c r="J187">
        <v>8</v>
      </c>
      <c r="K187">
        <v>5</v>
      </c>
      <c r="L187">
        <v>8</v>
      </c>
      <c r="M187">
        <v>7</v>
      </c>
      <c r="N187">
        <v>1</v>
      </c>
      <c r="O187">
        <v>6</v>
      </c>
      <c r="P187" t="s">
        <v>1556</v>
      </c>
      <c r="Q187" t="s">
        <v>1552</v>
      </c>
      <c r="R187" t="s">
        <v>1550</v>
      </c>
      <c r="S187" t="s">
        <v>1534</v>
      </c>
      <c r="T187" t="s">
        <v>1540</v>
      </c>
      <c r="U187" t="s">
        <v>1548</v>
      </c>
      <c r="V187" t="s">
        <v>1558</v>
      </c>
      <c r="W187" t="s">
        <v>1563</v>
      </c>
      <c r="X187" t="s">
        <v>1575</v>
      </c>
      <c r="Y187" t="s">
        <v>1582</v>
      </c>
      <c r="Z187" t="s">
        <v>1592</v>
      </c>
      <c r="AA187" t="s">
        <v>1597</v>
      </c>
      <c r="AB187" t="s">
        <v>1601</v>
      </c>
      <c r="AC187" t="s">
        <v>1610</v>
      </c>
      <c r="AD187" t="s">
        <v>1607</v>
      </c>
      <c r="AE187" t="s">
        <v>1617</v>
      </c>
      <c r="AF187" t="s">
        <v>1627</v>
      </c>
    </row>
    <row r="188" spans="1:32" x14ac:dyDescent="0.25">
      <c r="A188" t="s">
        <v>245</v>
      </c>
      <c r="B188">
        <v>40</v>
      </c>
      <c r="C188">
        <v>989</v>
      </c>
      <c r="D188">
        <v>4</v>
      </c>
      <c r="E188">
        <v>46</v>
      </c>
      <c r="F188">
        <v>19033</v>
      </c>
      <c r="G188">
        <v>6499</v>
      </c>
      <c r="H188">
        <v>1</v>
      </c>
      <c r="I188">
        <v>14</v>
      </c>
      <c r="J188">
        <v>21</v>
      </c>
      <c r="K188">
        <v>2</v>
      </c>
      <c r="L188">
        <v>20</v>
      </c>
      <c r="M188">
        <v>8</v>
      </c>
      <c r="N188">
        <v>9</v>
      </c>
      <c r="O188">
        <v>9</v>
      </c>
      <c r="P188" t="s">
        <v>1556</v>
      </c>
      <c r="Q188" t="s">
        <v>1552</v>
      </c>
      <c r="R188" t="s">
        <v>1550</v>
      </c>
      <c r="S188" t="s">
        <v>1532</v>
      </c>
      <c r="T188" t="s">
        <v>1540</v>
      </c>
      <c r="U188" t="s">
        <v>1548</v>
      </c>
      <c r="V188" t="s">
        <v>1558</v>
      </c>
      <c r="W188" t="s">
        <v>1563</v>
      </c>
      <c r="X188" t="s">
        <v>1579</v>
      </c>
      <c r="Y188" t="s">
        <v>1586</v>
      </c>
      <c r="Z188" t="s">
        <v>1593</v>
      </c>
      <c r="AA188" t="s">
        <v>1597</v>
      </c>
      <c r="AB188" t="s">
        <v>1601</v>
      </c>
      <c r="AC188" t="s">
        <v>1610</v>
      </c>
      <c r="AD188" t="s">
        <v>1605</v>
      </c>
      <c r="AE188" t="s">
        <v>1617</v>
      </c>
      <c r="AF188" t="s">
        <v>1627</v>
      </c>
    </row>
    <row r="189" spans="1:32" x14ac:dyDescent="0.25">
      <c r="A189" t="s">
        <v>246</v>
      </c>
      <c r="B189">
        <v>55</v>
      </c>
      <c r="C189">
        <v>692</v>
      </c>
      <c r="D189">
        <v>14</v>
      </c>
      <c r="E189">
        <v>61</v>
      </c>
      <c r="F189">
        <v>18722</v>
      </c>
      <c r="G189">
        <v>13339</v>
      </c>
      <c r="H189">
        <v>8</v>
      </c>
      <c r="I189">
        <v>11</v>
      </c>
      <c r="J189">
        <v>36</v>
      </c>
      <c r="K189">
        <v>3</v>
      </c>
      <c r="L189">
        <v>24</v>
      </c>
      <c r="M189">
        <v>15</v>
      </c>
      <c r="N189">
        <v>2</v>
      </c>
      <c r="O189">
        <v>15</v>
      </c>
      <c r="P189" t="s">
        <v>1556</v>
      </c>
      <c r="Q189" t="s">
        <v>1552</v>
      </c>
      <c r="R189" t="s">
        <v>1550</v>
      </c>
      <c r="S189" t="s">
        <v>1535</v>
      </c>
      <c r="T189" t="s">
        <v>1540</v>
      </c>
      <c r="U189" t="s">
        <v>1547</v>
      </c>
      <c r="V189" t="s">
        <v>1559</v>
      </c>
      <c r="W189" t="s">
        <v>1564</v>
      </c>
      <c r="X189" t="s">
        <v>1579</v>
      </c>
      <c r="Y189" t="s">
        <v>1588</v>
      </c>
      <c r="Z189" t="s">
        <v>1592</v>
      </c>
      <c r="AA189" t="s">
        <v>1596</v>
      </c>
      <c r="AB189" t="s">
        <v>1601</v>
      </c>
      <c r="AC189" t="s">
        <v>1610</v>
      </c>
      <c r="AD189" t="s">
        <v>1607</v>
      </c>
      <c r="AE189" t="s">
        <v>1616</v>
      </c>
      <c r="AF189" t="s">
        <v>1627</v>
      </c>
    </row>
    <row r="190" spans="1:32" x14ac:dyDescent="0.25">
      <c r="A190" t="s">
        <v>247</v>
      </c>
      <c r="B190">
        <v>34</v>
      </c>
      <c r="C190">
        <v>1069</v>
      </c>
      <c r="D190">
        <v>2</v>
      </c>
      <c r="E190">
        <v>45</v>
      </c>
      <c r="F190">
        <v>9547</v>
      </c>
      <c r="G190">
        <v>14074</v>
      </c>
      <c r="H190">
        <v>1</v>
      </c>
      <c r="I190">
        <v>17</v>
      </c>
      <c r="J190">
        <v>10</v>
      </c>
      <c r="K190">
        <v>2</v>
      </c>
      <c r="L190">
        <v>10</v>
      </c>
      <c r="M190">
        <v>9</v>
      </c>
      <c r="N190">
        <v>1</v>
      </c>
      <c r="O190">
        <v>9</v>
      </c>
      <c r="P190" t="s">
        <v>1556</v>
      </c>
      <c r="Q190" t="s">
        <v>1553</v>
      </c>
      <c r="R190" t="s">
        <v>1550</v>
      </c>
      <c r="S190" t="s">
        <v>1532</v>
      </c>
      <c r="T190" t="s">
        <v>1538</v>
      </c>
      <c r="U190" t="s">
        <v>1548</v>
      </c>
      <c r="V190" t="s">
        <v>1559</v>
      </c>
      <c r="W190" t="s">
        <v>1562</v>
      </c>
      <c r="X190" t="s">
        <v>1576</v>
      </c>
      <c r="Y190" t="s">
        <v>1584</v>
      </c>
      <c r="Z190" t="s">
        <v>1593</v>
      </c>
      <c r="AA190" t="s">
        <v>1597</v>
      </c>
      <c r="AB190" t="s">
        <v>1601</v>
      </c>
      <c r="AC190" t="s">
        <v>1610</v>
      </c>
      <c r="AD190" t="s">
        <v>1606</v>
      </c>
      <c r="AE190" t="s">
        <v>1616</v>
      </c>
      <c r="AF190" t="s">
        <v>1626</v>
      </c>
    </row>
    <row r="191" spans="1:32" x14ac:dyDescent="0.25">
      <c r="A191" t="s">
        <v>248</v>
      </c>
      <c r="B191">
        <v>51</v>
      </c>
      <c r="C191">
        <v>313</v>
      </c>
      <c r="D191">
        <v>3</v>
      </c>
      <c r="E191">
        <v>98</v>
      </c>
      <c r="F191">
        <v>13734</v>
      </c>
      <c r="G191">
        <v>7192</v>
      </c>
      <c r="H191">
        <v>3</v>
      </c>
      <c r="I191">
        <v>18</v>
      </c>
      <c r="J191">
        <v>21</v>
      </c>
      <c r="K191">
        <v>6</v>
      </c>
      <c r="L191">
        <v>7</v>
      </c>
      <c r="M191">
        <v>7</v>
      </c>
      <c r="N191">
        <v>1</v>
      </c>
      <c r="O191">
        <v>0</v>
      </c>
      <c r="P191" t="s">
        <v>1556</v>
      </c>
      <c r="Q191" t="s">
        <v>1552</v>
      </c>
      <c r="R191" t="s">
        <v>1550</v>
      </c>
      <c r="S191" t="s">
        <v>1534</v>
      </c>
      <c r="T191" t="s">
        <v>1540</v>
      </c>
      <c r="U191" t="s">
        <v>1548</v>
      </c>
      <c r="V191" t="s">
        <v>1558</v>
      </c>
      <c r="W191" t="s">
        <v>1563</v>
      </c>
      <c r="X191" t="s">
        <v>1578</v>
      </c>
      <c r="Y191" t="s">
        <v>1585</v>
      </c>
      <c r="Z191" t="s">
        <v>1592</v>
      </c>
      <c r="AA191" t="s">
        <v>1596</v>
      </c>
      <c r="AB191" t="s">
        <v>1601</v>
      </c>
      <c r="AC191" t="s">
        <v>1610</v>
      </c>
      <c r="AD191" t="s">
        <v>1606</v>
      </c>
      <c r="AE191" t="s">
        <v>1616</v>
      </c>
      <c r="AF191" t="s">
        <v>1627</v>
      </c>
    </row>
    <row r="192" spans="1:32" x14ac:dyDescent="0.25">
      <c r="A192" t="s">
        <v>249</v>
      </c>
      <c r="B192">
        <v>52</v>
      </c>
      <c r="C192">
        <v>699</v>
      </c>
      <c r="D192">
        <v>1</v>
      </c>
      <c r="E192">
        <v>65</v>
      </c>
      <c r="F192">
        <v>19999</v>
      </c>
      <c r="G192">
        <v>5678</v>
      </c>
      <c r="H192">
        <v>0</v>
      </c>
      <c r="I192">
        <v>14</v>
      </c>
      <c r="J192">
        <v>34</v>
      </c>
      <c r="K192">
        <v>5</v>
      </c>
      <c r="L192">
        <v>33</v>
      </c>
      <c r="M192">
        <v>18</v>
      </c>
      <c r="N192">
        <v>11</v>
      </c>
      <c r="O192">
        <v>9</v>
      </c>
      <c r="P192" t="s">
        <v>1556</v>
      </c>
      <c r="Q192" t="s">
        <v>1552</v>
      </c>
      <c r="R192" t="s">
        <v>1550</v>
      </c>
      <c r="S192" t="s">
        <v>1535</v>
      </c>
      <c r="T192" t="s">
        <v>1538</v>
      </c>
      <c r="U192" t="s">
        <v>1547</v>
      </c>
      <c r="V192" t="s">
        <v>1559</v>
      </c>
      <c r="W192" t="s">
        <v>1562</v>
      </c>
      <c r="X192" t="s">
        <v>1579</v>
      </c>
      <c r="Y192" t="s">
        <v>1586</v>
      </c>
      <c r="Z192" t="s">
        <v>1593</v>
      </c>
      <c r="AA192" t="s">
        <v>1597</v>
      </c>
      <c r="AB192" t="s">
        <v>1601</v>
      </c>
      <c r="AC192" t="s">
        <v>1610</v>
      </c>
      <c r="AD192" t="s">
        <v>1604</v>
      </c>
      <c r="AE192" t="s">
        <v>1617</v>
      </c>
      <c r="AF192" t="s">
        <v>1627</v>
      </c>
    </row>
    <row r="193" spans="1:32" x14ac:dyDescent="0.25">
      <c r="A193" t="s">
        <v>250</v>
      </c>
      <c r="B193">
        <v>27</v>
      </c>
      <c r="C193">
        <v>894</v>
      </c>
      <c r="D193">
        <v>9</v>
      </c>
      <c r="E193">
        <v>99</v>
      </c>
      <c r="F193">
        <v>2279</v>
      </c>
      <c r="G193">
        <v>11781</v>
      </c>
      <c r="H193">
        <v>1</v>
      </c>
      <c r="I193">
        <v>16</v>
      </c>
      <c r="J193">
        <v>7</v>
      </c>
      <c r="K193">
        <v>2</v>
      </c>
      <c r="L193">
        <v>7</v>
      </c>
      <c r="M193">
        <v>7</v>
      </c>
      <c r="N193">
        <v>0</v>
      </c>
      <c r="O193">
        <v>3</v>
      </c>
      <c r="P193" t="s">
        <v>1556</v>
      </c>
      <c r="Q193" t="s">
        <v>1552</v>
      </c>
      <c r="R193" t="s">
        <v>1550</v>
      </c>
      <c r="S193" t="s">
        <v>1534</v>
      </c>
      <c r="T193" t="s">
        <v>1540</v>
      </c>
      <c r="U193" t="s">
        <v>1548</v>
      </c>
      <c r="V193" t="s">
        <v>1558</v>
      </c>
      <c r="W193" t="s">
        <v>1563</v>
      </c>
      <c r="X193" t="s">
        <v>1575</v>
      </c>
      <c r="Y193" t="s">
        <v>1582</v>
      </c>
      <c r="Z193" t="s">
        <v>1592</v>
      </c>
      <c r="AA193" t="s">
        <v>1596</v>
      </c>
      <c r="AB193" t="s">
        <v>1601</v>
      </c>
      <c r="AC193" t="s">
        <v>1610</v>
      </c>
      <c r="AD193" t="s">
        <v>1607</v>
      </c>
      <c r="AE193" t="s">
        <v>1616</v>
      </c>
      <c r="AF193" t="s">
        <v>1626</v>
      </c>
    </row>
    <row r="194" spans="1:32" x14ac:dyDescent="0.25">
      <c r="A194" t="s">
        <v>251</v>
      </c>
      <c r="B194">
        <v>35</v>
      </c>
      <c r="C194">
        <v>556</v>
      </c>
      <c r="D194">
        <v>23</v>
      </c>
      <c r="E194">
        <v>50</v>
      </c>
      <c r="F194">
        <v>5916</v>
      </c>
      <c r="G194">
        <v>15497</v>
      </c>
      <c r="H194">
        <v>3</v>
      </c>
      <c r="I194">
        <v>13</v>
      </c>
      <c r="J194">
        <v>8</v>
      </c>
      <c r="K194">
        <v>1</v>
      </c>
      <c r="L194">
        <v>1</v>
      </c>
      <c r="M194">
        <v>0</v>
      </c>
      <c r="N194">
        <v>0</v>
      </c>
      <c r="O194">
        <v>1</v>
      </c>
      <c r="P194" t="s">
        <v>1555</v>
      </c>
      <c r="Q194" t="s">
        <v>1552</v>
      </c>
      <c r="R194" t="s">
        <v>1550</v>
      </c>
      <c r="S194" t="s">
        <v>1533</v>
      </c>
      <c r="T194" t="s">
        <v>1538</v>
      </c>
      <c r="U194" t="s">
        <v>1546</v>
      </c>
      <c r="V194" t="s">
        <v>1559</v>
      </c>
      <c r="W194" t="s">
        <v>1562</v>
      </c>
      <c r="X194" t="s">
        <v>1576</v>
      </c>
      <c r="Y194" t="s">
        <v>1584</v>
      </c>
      <c r="Z194" t="s">
        <v>1593</v>
      </c>
      <c r="AA194" t="s">
        <v>1597</v>
      </c>
      <c r="AB194" t="s">
        <v>1600</v>
      </c>
      <c r="AC194" t="s">
        <v>1610</v>
      </c>
      <c r="AD194" t="s">
        <v>1604</v>
      </c>
      <c r="AE194" t="s">
        <v>1616</v>
      </c>
      <c r="AF194" t="s">
        <v>1627</v>
      </c>
    </row>
    <row r="195" spans="1:32" x14ac:dyDescent="0.25">
      <c r="A195" t="s">
        <v>252</v>
      </c>
      <c r="B195">
        <v>43</v>
      </c>
      <c r="C195">
        <v>1344</v>
      </c>
      <c r="D195">
        <v>7</v>
      </c>
      <c r="E195">
        <v>37</v>
      </c>
      <c r="F195">
        <v>2089</v>
      </c>
      <c r="G195">
        <v>5228</v>
      </c>
      <c r="H195">
        <v>4</v>
      </c>
      <c r="I195">
        <v>14</v>
      </c>
      <c r="J195">
        <v>7</v>
      </c>
      <c r="K195">
        <v>3</v>
      </c>
      <c r="L195">
        <v>5</v>
      </c>
      <c r="M195">
        <v>4</v>
      </c>
      <c r="N195">
        <v>2</v>
      </c>
      <c r="O195">
        <v>2</v>
      </c>
      <c r="P195" t="s">
        <v>1556</v>
      </c>
      <c r="Q195" t="s">
        <v>1554</v>
      </c>
      <c r="R195" t="s">
        <v>1550</v>
      </c>
      <c r="S195" t="s">
        <v>1534</v>
      </c>
      <c r="T195" t="s">
        <v>1540</v>
      </c>
      <c r="U195" t="s">
        <v>1548</v>
      </c>
      <c r="V195" t="s">
        <v>1559</v>
      </c>
      <c r="W195" t="s">
        <v>1564</v>
      </c>
      <c r="X195" t="s">
        <v>1575</v>
      </c>
      <c r="Y195" t="s">
        <v>1582</v>
      </c>
      <c r="Z195" t="s">
        <v>1594</v>
      </c>
      <c r="AA195" t="s">
        <v>1598</v>
      </c>
      <c r="AB195" t="s">
        <v>1601</v>
      </c>
      <c r="AC195" t="s">
        <v>1610</v>
      </c>
      <c r="AD195" t="s">
        <v>1607</v>
      </c>
      <c r="AE195" t="s">
        <v>1619</v>
      </c>
      <c r="AF195" t="s">
        <v>1628</v>
      </c>
    </row>
    <row r="196" spans="1:32" x14ac:dyDescent="0.25">
      <c r="A196" t="s">
        <v>253</v>
      </c>
      <c r="B196">
        <v>45</v>
      </c>
      <c r="C196">
        <v>1195</v>
      </c>
      <c r="D196">
        <v>2</v>
      </c>
      <c r="E196">
        <v>65</v>
      </c>
      <c r="F196">
        <v>16792</v>
      </c>
      <c r="G196">
        <v>20462</v>
      </c>
      <c r="H196">
        <v>9</v>
      </c>
      <c r="I196">
        <v>23</v>
      </c>
      <c r="J196">
        <v>22</v>
      </c>
      <c r="K196">
        <v>1</v>
      </c>
      <c r="L196">
        <v>20</v>
      </c>
      <c r="M196">
        <v>8</v>
      </c>
      <c r="N196">
        <v>11</v>
      </c>
      <c r="O196">
        <v>8</v>
      </c>
      <c r="P196" t="s">
        <v>1556</v>
      </c>
      <c r="Q196" t="s">
        <v>1554</v>
      </c>
      <c r="R196" t="s">
        <v>1550</v>
      </c>
      <c r="S196" t="s">
        <v>1533</v>
      </c>
      <c r="T196" t="s">
        <v>1540</v>
      </c>
      <c r="U196" t="s">
        <v>1545</v>
      </c>
      <c r="V196" t="s">
        <v>1559</v>
      </c>
      <c r="W196" t="s">
        <v>1562</v>
      </c>
      <c r="X196" t="s">
        <v>1578</v>
      </c>
      <c r="Y196" t="s">
        <v>1586</v>
      </c>
      <c r="Z196" t="s">
        <v>1594</v>
      </c>
      <c r="AA196" t="s">
        <v>1597</v>
      </c>
      <c r="AB196" t="s">
        <v>1601</v>
      </c>
      <c r="AC196" t="s">
        <v>1611</v>
      </c>
      <c r="AD196" t="s">
        <v>1607</v>
      </c>
      <c r="AE196" t="s">
        <v>1617</v>
      </c>
      <c r="AF196" t="s">
        <v>1627</v>
      </c>
    </row>
    <row r="197" spans="1:32" x14ac:dyDescent="0.25">
      <c r="A197" t="s">
        <v>254</v>
      </c>
      <c r="B197">
        <v>37</v>
      </c>
      <c r="C197">
        <v>290</v>
      </c>
      <c r="D197">
        <v>21</v>
      </c>
      <c r="E197">
        <v>65</v>
      </c>
      <c r="F197">
        <v>3564</v>
      </c>
      <c r="G197">
        <v>22977</v>
      </c>
      <c r="H197">
        <v>1</v>
      </c>
      <c r="I197">
        <v>12</v>
      </c>
      <c r="J197">
        <v>8</v>
      </c>
      <c r="K197">
        <v>3</v>
      </c>
      <c r="L197">
        <v>8</v>
      </c>
      <c r="M197">
        <v>7</v>
      </c>
      <c r="N197">
        <v>1</v>
      </c>
      <c r="O197">
        <v>7</v>
      </c>
      <c r="P197" t="s">
        <v>1556</v>
      </c>
      <c r="Q197" t="s">
        <v>1552</v>
      </c>
      <c r="R197" t="s">
        <v>1550</v>
      </c>
      <c r="S197" t="s">
        <v>1534</v>
      </c>
      <c r="T197" t="s">
        <v>1538</v>
      </c>
      <c r="U197" t="s">
        <v>1546</v>
      </c>
      <c r="V197" t="s">
        <v>1559</v>
      </c>
      <c r="W197" t="s">
        <v>1564</v>
      </c>
      <c r="X197" t="s">
        <v>1575</v>
      </c>
      <c r="Y197" t="s">
        <v>1582</v>
      </c>
      <c r="Z197" t="s">
        <v>1591</v>
      </c>
      <c r="AA197" t="s">
        <v>1597</v>
      </c>
      <c r="AB197" t="s">
        <v>1600</v>
      </c>
      <c r="AC197" t="s">
        <v>1610</v>
      </c>
      <c r="AD197" t="s">
        <v>1604</v>
      </c>
      <c r="AE197" t="s">
        <v>1617</v>
      </c>
      <c r="AF197" t="s">
        <v>1626</v>
      </c>
    </row>
    <row r="198" spans="1:32" x14ac:dyDescent="0.25">
      <c r="A198" t="s">
        <v>255</v>
      </c>
      <c r="B198">
        <v>35</v>
      </c>
      <c r="C198">
        <v>138</v>
      </c>
      <c r="D198">
        <v>2</v>
      </c>
      <c r="E198">
        <v>37</v>
      </c>
      <c r="F198">
        <v>4425</v>
      </c>
      <c r="G198">
        <v>15986</v>
      </c>
      <c r="H198">
        <v>5</v>
      </c>
      <c r="I198">
        <v>11</v>
      </c>
      <c r="J198">
        <v>10</v>
      </c>
      <c r="K198">
        <v>5</v>
      </c>
      <c r="L198">
        <v>6</v>
      </c>
      <c r="M198">
        <v>2</v>
      </c>
      <c r="N198">
        <v>1</v>
      </c>
      <c r="O198">
        <v>2</v>
      </c>
      <c r="P198" t="s">
        <v>1556</v>
      </c>
      <c r="Q198" t="s">
        <v>1553</v>
      </c>
      <c r="R198" t="s">
        <v>1550</v>
      </c>
      <c r="S198" t="s">
        <v>1534</v>
      </c>
      <c r="T198" t="s">
        <v>1540</v>
      </c>
      <c r="U198" t="s">
        <v>1546</v>
      </c>
      <c r="V198" t="s">
        <v>1558</v>
      </c>
      <c r="W198" t="s">
        <v>1563</v>
      </c>
      <c r="X198" t="s">
        <v>1576</v>
      </c>
      <c r="Y198" t="s">
        <v>1583</v>
      </c>
      <c r="Z198" t="s">
        <v>1592</v>
      </c>
      <c r="AA198" t="s">
        <v>1596</v>
      </c>
      <c r="AB198" t="s">
        <v>1601</v>
      </c>
      <c r="AC198" t="s">
        <v>1610</v>
      </c>
      <c r="AD198" t="s">
        <v>1607</v>
      </c>
      <c r="AE198" t="s">
        <v>1616</v>
      </c>
      <c r="AF198" t="s">
        <v>1627</v>
      </c>
    </row>
    <row r="199" spans="1:32" x14ac:dyDescent="0.25">
      <c r="A199" t="s">
        <v>256</v>
      </c>
      <c r="B199">
        <v>42</v>
      </c>
      <c r="C199">
        <v>926</v>
      </c>
      <c r="D199">
        <v>21</v>
      </c>
      <c r="E199">
        <v>36</v>
      </c>
      <c r="F199">
        <v>5265</v>
      </c>
      <c r="G199">
        <v>16439</v>
      </c>
      <c r="H199">
        <v>2</v>
      </c>
      <c r="I199">
        <v>16</v>
      </c>
      <c r="J199">
        <v>11</v>
      </c>
      <c r="K199">
        <v>5</v>
      </c>
      <c r="L199">
        <v>5</v>
      </c>
      <c r="M199">
        <v>3</v>
      </c>
      <c r="N199">
        <v>0</v>
      </c>
      <c r="O199">
        <v>2</v>
      </c>
      <c r="P199" t="s">
        <v>1556</v>
      </c>
      <c r="Q199" t="s">
        <v>1554</v>
      </c>
      <c r="R199" t="s">
        <v>1550</v>
      </c>
      <c r="S199" t="s">
        <v>1533</v>
      </c>
      <c r="T199" t="s">
        <v>1540</v>
      </c>
      <c r="U199" t="s">
        <v>1547</v>
      </c>
      <c r="V199" t="s">
        <v>1558</v>
      </c>
      <c r="W199" t="s">
        <v>1563</v>
      </c>
      <c r="X199" t="s">
        <v>1576</v>
      </c>
      <c r="Y199" t="s">
        <v>1584</v>
      </c>
      <c r="Z199" t="s">
        <v>1593</v>
      </c>
      <c r="AA199" t="s">
        <v>1598</v>
      </c>
      <c r="AB199" t="s">
        <v>1601</v>
      </c>
      <c r="AC199" t="s">
        <v>1610</v>
      </c>
      <c r="AD199" t="s">
        <v>1605</v>
      </c>
      <c r="AE199" t="s">
        <v>1617</v>
      </c>
      <c r="AF199" t="s">
        <v>1627</v>
      </c>
    </row>
    <row r="200" spans="1:32" x14ac:dyDescent="0.25">
      <c r="A200" t="s">
        <v>257</v>
      </c>
      <c r="B200">
        <v>38</v>
      </c>
      <c r="C200">
        <v>1261</v>
      </c>
      <c r="D200">
        <v>2</v>
      </c>
      <c r="E200">
        <v>88</v>
      </c>
      <c r="F200">
        <v>6553</v>
      </c>
      <c r="G200">
        <v>7259</v>
      </c>
      <c r="H200">
        <v>9</v>
      </c>
      <c r="I200">
        <v>14</v>
      </c>
      <c r="J200">
        <v>14</v>
      </c>
      <c r="K200">
        <v>3</v>
      </c>
      <c r="L200">
        <v>1</v>
      </c>
      <c r="M200">
        <v>0</v>
      </c>
      <c r="N200">
        <v>0</v>
      </c>
      <c r="O200">
        <v>0</v>
      </c>
      <c r="P200" t="s">
        <v>1556</v>
      </c>
      <c r="Q200" t="s">
        <v>1552</v>
      </c>
      <c r="R200" t="s">
        <v>1550</v>
      </c>
      <c r="S200" t="s">
        <v>1535</v>
      </c>
      <c r="T200" t="s">
        <v>1538</v>
      </c>
      <c r="U200" t="s">
        <v>1548</v>
      </c>
      <c r="V200" t="s">
        <v>1559</v>
      </c>
      <c r="W200" t="s">
        <v>1563</v>
      </c>
      <c r="X200" t="s">
        <v>1576</v>
      </c>
      <c r="Y200" t="s">
        <v>1584</v>
      </c>
      <c r="Z200" t="s">
        <v>1593</v>
      </c>
      <c r="AA200" t="s">
        <v>1597</v>
      </c>
      <c r="AB200" t="s">
        <v>1601</v>
      </c>
      <c r="AC200" t="s">
        <v>1610</v>
      </c>
      <c r="AD200" t="s">
        <v>1605</v>
      </c>
      <c r="AE200" t="s">
        <v>1616</v>
      </c>
      <c r="AF200" t="s">
        <v>1627</v>
      </c>
    </row>
    <row r="201" spans="1:32" x14ac:dyDescent="0.25">
      <c r="A201" t="s">
        <v>258</v>
      </c>
      <c r="B201">
        <v>38</v>
      </c>
      <c r="C201">
        <v>1084</v>
      </c>
      <c r="D201">
        <v>29</v>
      </c>
      <c r="E201">
        <v>54</v>
      </c>
      <c r="F201">
        <v>6261</v>
      </c>
      <c r="G201">
        <v>4185</v>
      </c>
      <c r="H201">
        <v>3</v>
      </c>
      <c r="I201">
        <v>18</v>
      </c>
      <c r="J201">
        <v>9</v>
      </c>
      <c r="K201">
        <v>3</v>
      </c>
      <c r="L201">
        <v>7</v>
      </c>
      <c r="M201">
        <v>7</v>
      </c>
      <c r="N201">
        <v>1</v>
      </c>
      <c r="O201">
        <v>7</v>
      </c>
      <c r="P201" t="s">
        <v>1556</v>
      </c>
      <c r="Q201" t="s">
        <v>1552</v>
      </c>
      <c r="R201" t="s">
        <v>1550</v>
      </c>
      <c r="S201" t="s">
        <v>1534</v>
      </c>
      <c r="T201" t="s">
        <v>1542</v>
      </c>
      <c r="U201" t="s">
        <v>1548</v>
      </c>
      <c r="V201" t="s">
        <v>1559</v>
      </c>
      <c r="W201" t="s">
        <v>1563</v>
      </c>
      <c r="X201" t="s">
        <v>1576</v>
      </c>
      <c r="Y201" t="s">
        <v>1584</v>
      </c>
      <c r="Z201" t="s">
        <v>1594</v>
      </c>
      <c r="AA201" t="s">
        <v>1597</v>
      </c>
      <c r="AB201" t="s">
        <v>1601</v>
      </c>
      <c r="AC201" t="s">
        <v>1610</v>
      </c>
      <c r="AD201" t="s">
        <v>1604</v>
      </c>
      <c r="AE201" t="s">
        <v>1617</v>
      </c>
      <c r="AF201" t="s">
        <v>1625</v>
      </c>
    </row>
    <row r="202" spans="1:32" x14ac:dyDescent="0.25">
      <c r="A202" t="s">
        <v>259</v>
      </c>
      <c r="B202">
        <v>27</v>
      </c>
      <c r="C202">
        <v>472</v>
      </c>
      <c r="D202">
        <v>1</v>
      </c>
      <c r="E202">
        <v>60</v>
      </c>
      <c r="F202">
        <v>4298</v>
      </c>
      <c r="G202">
        <v>9679</v>
      </c>
      <c r="H202">
        <v>5</v>
      </c>
      <c r="I202">
        <v>19</v>
      </c>
      <c r="J202">
        <v>6</v>
      </c>
      <c r="K202">
        <v>1</v>
      </c>
      <c r="L202">
        <v>2</v>
      </c>
      <c r="M202">
        <v>2</v>
      </c>
      <c r="N202">
        <v>2</v>
      </c>
      <c r="O202">
        <v>0</v>
      </c>
      <c r="P202" t="s">
        <v>1556</v>
      </c>
      <c r="Q202" t="s">
        <v>1553</v>
      </c>
      <c r="R202" t="s">
        <v>1550</v>
      </c>
      <c r="S202" t="s">
        <v>1532</v>
      </c>
      <c r="T202" t="s">
        <v>1542</v>
      </c>
      <c r="U202" t="s">
        <v>1547</v>
      </c>
      <c r="V202" t="s">
        <v>1559</v>
      </c>
      <c r="W202" t="s">
        <v>1562</v>
      </c>
      <c r="X202" t="s">
        <v>1576</v>
      </c>
      <c r="Y202" t="s">
        <v>1584</v>
      </c>
      <c r="Z202" t="s">
        <v>1591</v>
      </c>
      <c r="AA202" t="s">
        <v>1597</v>
      </c>
      <c r="AB202" t="s">
        <v>1601</v>
      </c>
      <c r="AC202" t="s">
        <v>1610</v>
      </c>
      <c r="AD202" t="s">
        <v>1606</v>
      </c>
      <c r="AE202" t="s">
        <v>1617</v>
      </c>
      <c r="AF202" t="s">
        <v>1627</v>
      </c>
    </row>
    <row r="203" spans="1:32" x14ac:dyDescent="0.25">
      <c r="A203" t="s">
        <v>260</v>
      </c>
      <c r="B203">
        <v>49</v>
      </c>
      <c r="C203">
        <v>1002</v>
      </c>
      <c r="D203">
        <v>18</v>
      </c>
      <c r="E203">
        <v>92</v>
      </c>
      <c r="F203">
        <v>6804</v>
      </c>
      <c r="G203">
        <v>23793</v>
      </c>
      <c r="H203">
        <v>1</v>
      </c>
      <c r="I203">
        <v>15</v>
      </c>
      <c r="J203">
        <v>7</v>
      </c>
      <c r="K203">
        <v>0</v>
      </c>
      <c r="L203">
        <v>7</v>
      </c>
      <c r="M203">
        <v>7</v>
      </c>
      <c r="N203">
        <v>1</v>
      </c>
      <c r="O203">
        <v>7</v>
      </c>
      <c r="P203" t="s">
        <v>1556</v>
      </c>
      <c r="Q203" t="s">
        <v>1554</v>
      </c>
      <c r="R203" t="s">
        <v>1550</v>
      </c>
      <c r="S203" t="s">
        <v>1535</v>
      </c>
      <c r="T203" t="s">
        <v>1538</v>
      </c>
      <c r="U203" t="s">
        <v>1548</v>
      </c>
      <c r="V203" t="s">
        <v>1559</v>
      </c>
      <c r="W203" t="s">
        <v>1563</v>
      </c>
      <c r="X203" t="s">
        <v>1576</v>
      </c>
      <c r="Y203" t="s">
        <v>1584</v>
      </c>
      <c r="Z203" t="s">
        <v>1594</v>
      </c>
      <c r="AA203" t="s">
        <v>1598</v>
      </c>
      <c r="AB203" t="s">
        <v>1600</v>
      </c>
      <c r="AC203" t="s">
        <v>1610</v>
      </c>
      <c r="AD203" t="s">
        <v>1604</v>
      </c>
      <c r="AE203" t="s">
        <v>1618</v>
      </c>
      <c r="AF203" t="s">
        <v>1627</v>
      </c>
    </row>
    <row r="204" spans="1:32" x14ac:dyDescent="0.25">
      <c r="A204" t="s">
        <v>261</v>
      </c>
      <c r="B204">
        <v>34</v>
      </c>
      <c r="C204">
        <v>878</v>
      </c>
      <c r="D204">
        <v>10</v>
      </c>
      <c r="E204">
        <v>43</v>
      </c>
      <c r="F204">
        <v>3815</v>
      </c>
      <c r="G204">
        <v>5972</v>
      </c>
      <c r="H204">
        <v>1</v>
      </c>
      <c r="I204">
        <v>17</v>
      </c>
      <c r="J204">
        <v>5</v>
      </c>
      <c r="K204">
        <v>4</v>
      </c>
      <c r="L204">
        <v>5</v>
      </c>
      <c r="M204">
        <v>3</v>
      </c>
      <c r="N204">
        <v>2</v>
      </c>
      <c r="O204">
        <v>0</v>
      </c>
      <c r="P204" t="s">
        <v>1556</v>
      </c>
      <c r="Q204" t="s">
        <v>1553</v>
      </c>
      <c r="R204" t="s">
        <v>1550</v>
      </c>
      <c r="S204" t="s">
        <v>1535</v>
      </c>
      <c r="T204" t="s">
        <v>1540</v>
      </c>
      <c r="U204" t="s">
        <v>1548</v>
      </c>
      <c r="V204" t="s">
        <v>1559</v>
      </c>
      <c r="W204" t="s">
        <v>1563</v>
      </c>
      <c r="X204" t="s">
        <v>1575</v>
      </c>
      <c r="Y204" t="s">
        <v>1582</v>
      </c>
      <c r="Z204" t="s">
        <v>1593</v>
      </c>
      <c r="AA204" t="s">
        <v>1598</v>
      </c>
      <c r="AB204" t="s">
        <v>1600</v>
      </c>
      <c r="AC204" t="s">
        <v>1610</v>
      </c>
      <c r="AD204" t="s">
        <v>1607</v>
      </c>
      <c r="AE204" t="s">
        <v>1617</v>
      </c>
      <c r="AF204" t="s">
        <v>1628</v>
      </c>
    </row>
    <row r="205" spans="1:32" x14ac:dyDescent="0.25">
      <c r="A205" t="s">
        <v>262</v>
      </c>
      <c r="B205">
        <v>40</v>
      </c>
      <c r="C205">
        <v>905</v>
      </c>
      <c r="D205">
        <v>19</v>
      </c>
      <c r="E205">
        <v>99</v>
      </c>
      <c r="F205">
        <v>2741</v>
      </c>
      <c r="G205">
        <v>16523</v>
      </c>
      <c r="H205">
        <v>8</v>
      </c>
      <c r="I205">
        <v>15</v>
      </c>
      <c r="J205">
        <v>15</v>
      </c>
      <c r="K205">
        <v>2</v>
      </c>
      <c r="L205">
        <v>7</v>
      </c>
      <c r="M205">
        <v>2</v>
      </c>
      <c r="N205">
        <v>3</v>
      </c>
      <c r="O205">
        <v>7</v>
      </c>
      <c r="P205" t="s">
        <v>1556</v>
      </c>
      <c r="Q205" t="s">
        <v>1552</v>
      </c>
      <c r="R205" t="s">
        <v>1550</v>
      </c>
      <c r="S205" t="s">
        <v>1533</v>
      </c>
      <c r="T205" t="s">
        <v>1540</v>
      </c>
      <c r="U205" t="s">
        <v>1547</v>
      </c>
      <c r="V205" t="s">
        <v>1559</v>
      </c>
      <c r="W205" t="s">
        <v>1563</v>
      </c>
      <c r="X205" t="s">
        <v>1576</v>
      </c>
      <c r="Y205" t="s">
        <v>1583</v>
      </c>
      <c r="Z205" t="s">
        <v>1594</v>
      </c>
      <c r="AA205" t="s">
        <v>1597</v>
      </c>
      <c r="AB205" t="s">
        <v>1600</v>
      </c>
      <c r="AC205" t="s">
        <v>1610</v>
      </c>
      <c r="AD205" t="s">
        <v>1606</v>
      </c>
      <c r="AE205" t="s">
        <v>1617</v>
      </c>
      <c r="AF205" t="s">
        <v>1628</v>
      </c>
    </row>
    <row r="206" spans="1:32" x14ac:dyDescent="0.25">
      <c r="A206" t="s">
        <v>263</v>
      </c>
      <c r="B206">
        <v>38</v>
      </c>
      <c r="C206">
        <v>1180</v>
      </c>
      <c r="D206">
        <v>29</v>
      </c>
      <c r="E206">
        <v>70</v>
      </c>
      <c r="F206">
        <v>6673</v>
      </c>
      <c r="G206">
        <v>11354</v>
      </c>
      <c r="H206">
        <v>7</v>
      </c>
      <c r="I206">
        <v>19</v>
      </c>
      <c r="J206">
        <v>17</v>
      </c>
      <c r="K206">
        <v>2</v>
      </c>
      <c r="L206">
        <v>1</v>
      </c>
      <c r="M206">
        <v>0</v>
      </c>
      <c r="N206">
        <v>0</v>
      </c>
      <c r="O206">
        <v>0</v>
      </c>
      <c r="P206" t="s">
        <v>1555</v>
      </c>
      <c r="Q206" t="s">
        <v>1552</v>
      </c>
      <c r="R206" t="s">
        <v>1550</v>
      </c>
      <c r="S206" t="s">
        <v>1532</v>
      </c>
      <c r="T206" t="s">
        <v>1540</v>
      </c>
      <c r="U206" t="s">
        <v>1546</v>
      </c>
      <c r="V206" t="s">
        <v>1559</v>
      </c>
      <c r="W206" t="s">
        <v>1563</v>
      </c>
      <c r="X206" t="s">
        <v>1576</v>
      </c>
      <c r="Y206" t="s">
        <v>1585</v>
      </c>
      <c r="Z206" t="s">
        <v>1591</v>
      </c>
      <c r="AA206" t="s">
        <v>1597</v>
      </c>
      <c r="AB206" t="s">
        <v>1600</v>
      </c>
      <c r="AC206" t="s">
        <v>1610</v>
      </c>
      <c r="AD206" t="s">
        <v>1605</v>
      </c>
      <c r="AE206" t="s">
        <v>1616</v>
      </c>
      <c r="AF206" t="s">
        <v>1627</v>
      </c>
    </row>
    <row r="207" spans="1:32" x14ac:dyDescent="0.25">
      <c r="A207" t="s">
        <v>264</v>
      </c>
      <c r="B207">
        <v>29</v>
      </c>
      <c r="C207">
        <v>121</v>
      </c>
      <c r="D207">
        <v>27</v>
      </c>
      <c r="E207">
        <v>35</v>
      </c>
      <c r="F207">
        <v>7639</v>
      </c>
      <c r="G207">
        <v>24525</v>
      </c>
      <c r="H207">
        <v>1</v>
      </c>
      <c r="I207">
        <v>22</v>
      </c>
      <c r="J207">
        <v>10</v>
      </c>
      <c r="K207">
        <v>3</v>
      </c>
      <c r="L207">
        <v>10</v>
      </c>
      <c r="M207">
        <v>4</v>
      </c>
      <c r="N207">
        <v>1</v>
      </c>
      <c r="O207">
        <v>9</v>
      </c>
      <c r="P207" t="s">
        <v>1555</v>
      </c>
      <c r="Q207" t="s">
        <v>1552</v>
      </c>
      <c r="R207" t="s">
        <v>1549</v>
      </c>
      <c r="S207" t="s">
        <v>1534</v>
      </c>
      <c r="T207" t="s">
        <v>1541</v>
      </c>
      <c r="U207" t="s">
        <v>1546</v>
      </c>
      <c r="V207" t="s">
        <v>1558</v>
      </c>
      <c r="W207" t="s">
        <v>1563</v>
      </c>
      <c r="X207" t="s">
        <v>1577</v>
      </c>
      <c r="Y207" t="s">
        <v>1581</v>
      </c>
      <c r="Z207" t="s">
        <v>1594</v>
      </c>
      <c r="AA207" t="s">
        <v>1597</v>
      </c>
      <c r="AB207" t="s">
        <v>1601</v>
      </c>
      <c r="AC207" t="s">
        <v>1611</v>
      </c>
      <c r="AD207" t="s">
        <v>1607</v>
      </c>
      <c r="AE207" t="s">
        <v>1619</v>
      </c>
      <c r="AF207" t="s">
        <v>1626</v>
      </c>
    </row>
    <row r="208" spans="1:32" x14ac:dyDescent="0.25">
      <c r="A208" t="s">
        <v>265</v>
      </c>
      <c r="B208">
        <v>22</v>
      </c>
      <c r="C208">
        <v>1136</v>
      </c>
      <c r="D208">
        <v>5</v>
      </c>
      <c r="E208">
        <v>60</v>
      </c>
      <c r="F208">
        <v>2328</v>
      </c>
      <c r="G208">
        <v>12392</v>
      </c>
      <c r="H208">
        <v>1</v>
      </c>
      <c r="I208">
        <v>16</v>
      </c>
      <c r="J208">
        <v>4</v>
      </c>
      <c r="K208">
        <v>2</v>
      </c>
      <c r="L208">
        <v>4</v>
      </c>
      <c r="M208">
        <v>2</v>
      </c>
      <c r="N208">
        <v>2</v>
      </c>
      <c r="O208">
        <v>2</v>
      </c>
      <c r="P208" t="s">
        <v>1556</v>
      </c>
      <c r="Q208" t="s">
        <v>1552</v>
      </c>
      <c r="R208" t="s">
        <v>1550</v>
      </c>
      <c r="S208" t="s">
        <v>1534</v>
      </c>
      <c r="T208" t="s">
        <v>1538</v>
      </c>
      <c r="U208" t="s">
        <v>1548</v>
      </c>
      <c r="V208" t="s">
        <v>1559</v>
      </c>
      <c r="W208" t="s">
        <v>1564</v>
      </c>
      <c r="X208" t="s">
        <v>1575</v>
      </c>
      <c r="Y208" t="s">
        <v>1582</v>
      </c>
      <c r="Z208" t="s">
        <v>1592</v>
      </c>
      <c r="AA208" t="s">
        <v>1598</v>
      </c>
      <c r="AB208" t="s">
        <v>1600</v>
      </c>
      <c r="AC208" t="s">
        <v>1610</v>
      </c>
      <c r="AD208" t="s">
        <v>1604</v>
      </c>
      <c r="AE208" t="s">
        <v>1617</v>
      </c>
      <c r="AF208" t="s">
        <v>1626</v>
      </c>
    </row>
    <row r="209" spans="1:32" x14ac:dyDescent="0.25">
      <c r="A209" t="s">
        <v>266</v>
      </c>
      <c r="B209">
        <v>36</v>
      </c>
      <c r="C209">
        <v>635</v>
      </c>
      <c r="D209">
        <v>18</v>
      </c>
      <c r="E209">
        <v>73</v>
      </c>
      <c r="F209">
        <v>2153</v>
      </c>
      <c r="G209">
        <v>7703</v>
      </c>
      <c r="H209">
        <v>1</v>
      </c>
      <c r="I209">
        <v>13</v>
      </c>
      <c r="J209">
        <v>8</v>
      </c>
      <c r="K209">
        <v>2</v>
      </c>
      <c r="L209">
        <v>8</v>
      </c>
      <c r="M209">
        <v>1</v>
      </c>
      <c r="N209">
        <v>1</v>
      </c>
      <c r="O209">
        <v>7</v>
      </c>
      <c r="P209" t="s">
        <v>1556</v>
      </c>
      <c r="Q209" t="s">
        <v>1553</v>
      </c>
      <c r="R209" t="s">
        <v>1550</v>
      </c>
      <c r="S209" t="s">
        <v>1532</v>
      </c>
      <c r="T209" t="s">
        <v>1540</v>
      </c>
      <c r="U209" t="s">
        <v>1546</v>
      </c>
      <c r="V209" t="s">
        <v>1558</v>
      </c>
      <c r="W209" t="s">
        <v>1563</v>
      </c>
      <c r="X209" t="s">
        <v>1575</v>
      </c>
      <c r="Y209" t="s">
        <v>1583</v>
      </c>
      <c r="Z209" t="s">
        <v>1594</v>
      </c>
      <c r="AA209" t="s">
        <v>1596</v>
      </c>
      <c r="AB209" t="s">
        <v>1601</v>
      </c>
      <c r="AC209" t="s">
        <v>1610</v>
      </c>
      <c r="AD209" t="s">
        <v>1604</v>
      </c>
      <c r="AE209" t="s">
        <v>1616</v>
      </c>
      <c r="AF209" t="s">
        <v>1627</v>
      </c>
    </row>
    <row r="210" spans="1:32" x14ac:dyDescent="0.25">
      <c r="A210" t="s">
        <v>267</v>
      </c>
      <c r="B210">
        <v>40</v>
      </c>
      <c r="C210">
        <v>1151</v>
      </c>
      <c r="D210">
        <v>9</v>
      </c>
      <c r="E210">
        <v>63</v>
      </c>
      <c r="F210">
        <v>4876</v>
      </c>
      <c r="G210">
        <v>14242</v>
      </c>
      <c r="H210">
        <v>9</v>
      </c>
      <c r="I210">
        <v>14</v>
      </c>
      <c r="J210">
        <v>5</v>
      </c>
      <c r="K210">
        <v>5</v>
      </c>
      <c r="L210">
        <v>3</v>
      </c>
      <c r="M210">
        <v>2</v>
      </c>
      <c r="N210">
        <v>0</v>
      </c>
      <c r="O210">
        <v>2</v>
      </c>
      <c r="P210" t="s">
        <v>1556</v>
      </c>
      <c r="Q210" t="s">
        <v>1554</v>
      </c>
      <c r="R210" t="s">
        <v>1550</v>
      </c>
      <c r="S210" t="s">
        <v>1536</v>
      </c>
      <c r="T210" t="s">
        <v>1538</v>
      </c>
      <c r="U210" t="s">
        <v>1548</v>
      </c>
      <c r="V210" t="s">
        <v>1559</v>
      </c>
      <c r="W210" t="s">
        <v>1562</v>
      </c>
      <c r="X210" t="s">
        <v>1576</v>
      </c>
      <c r="Y210" t="s">
        <v>1585</v>
      </c>
      <c r="Z210" t="s">
        <v>1594</v>
      </c>
      <c r="AA210" t="s">
        <v>1597</v>
      </c>
      <c r="AB210" t="s">
        <v>1601</v>
      </c>
      <c r="AC210" t="s">
        <v>1610</v>
      </c>
      <c r="AD210" t="s">
        <v>1607</v>
      </c>
      <c r="AE210" t="s">
        <v>1617</v>
      </c>
      <c r="AF210" t="s">
        <v>1625</v>
      </c>
    </row>
    <row r="211" spans="1:32" x14ac:dyDescent="0.25">
      <c r="A211" t="s">
        <v>268</v>
      </c>
      <c r="B211">
        <v>46</v>
      </c>
      <c r="C211">
        <v>644</v>
      </c>
      <c r="D211">
        <v>1</v>
      </c>
      <c r="E211">
        <v>97</v>
      </c>
      <c r="F211">
        <v>9396</v>
      </c>
      <c r="G211">
        <v>12368</v>
      </c>
      <c r="H211">
        <v>7</v>
      </c>
      <c r="I211">
        <v>16</v>
      </c>
      <c r="J211">
        <v>17</v>
      </c>
      <c r="K211">
        <v>3</v>
      </c>
      <c r="L211">
        <v>4</v>
      </c>
      <c r="M211">
        <v>2</v>
      </c>
      <c r="N211">
        <v>0</v>
      </c>
      <c r="O211">
        <v>3</v>
      </c>
      <c r="P211" t="s">
        <v>1556</v>
      </c>
      <c r="Q211" t="s">
        <v>1552</v>
      </c>
      <c r="R211" t="s">
        <v>1550</v>
      </c>
      <c r="S211" t="s">
        <v>1535</v>
      </c>
      <c r="T211" t="s">
        <v>1540</v>
      </c>
      <c r="U211" t="s">
        <v>1548</v>
      </c>
      <c r="V211" t="s">
        <v>1559</v>
      </c>
      <c r="W211" t="s">
        <v>1563</v>
      </c>
      <c r="X211" t="s">
        <v>1577</v>
      </c>
      <c r="Y211" t="s">
        <v>1585</v>
      </c>
      <c r="Z211" t="s">
        <v>1591</v>
      </c>
      <c r="AA211" t="s">
        <v>1598</v>
      </c>
      <c r="AB211" t="s">
        <v>1601</v>
      </c>
      <c r="AC211" t="s">
        <v>1610</v>
      </c>
      <c r="AD211" t="s">
        <v>1606</v>
      </c>
      <c r="AE211" t="s">
        <v>1617</v>
      </c>
      <c r="AF211" t="s">
        <v>1627</v>
      </c>
    </row>
    <row r="212" spans="1:32" x14ac:dyDescent="0.25">
      <c r="A212" t="s">
        <v>269</v>
      </c>
      <c r="B212">
        <v>32</v>
      </c>
      <c r="C212">
        <v>1045</v>
      </c>
      <c r="D212">
        <v>4</v>
      </c>
      <c r="E212">
        <v>32</v>
      </c>
      <c r="F212">
        <v>10400</v>
      </c>
      <c r="G212">
        <v>25812</v>
      </c>
      <c r="H212">
        <v>1</v>
      </c>
      <c r="I212">
        <v>11</v>
      </c>
      <c r="J212">
        <v>14</v>
      </c>
      <c r="K212">
        <v>2</v>
      </c>
      <c r="L212">
        <v>14</v>
      </c>
      <c r="M212">
        <v>8</v>
      </c>
      <c r="N212">
        <v>9</v>
      </c>
      <c r="O212">
        <v>8</v>
      </c>
      <c r="P212" t="s">
        <v>1555</v>
      </c>
      <c r="Q212" t="s">
        <v>1552</v>
      </c>
      <c r="R212" t="s">
        <v>1549</v>
      </c>
      <c r="S212" t="s">
        <v>1535</v>
      </c>
      <c r="T212" t="s">
        <v>1540</v>
      </c>
      <c r="U212" t="s">
        <v>1548</v>
      </c>
      <c r="V212" t="s">
        <v>1559</v>
      </c>
      <c r="W212" t="s">
        <v>1561</v>
      </c>
      <c r="X212" t="s">
        <v>1577</v>
      </c>
      <c r="Y212" t="s">
        <v>1581</v>
      </c>
      <c r="Z212" t="s">
        <v>1594</v>
      </c>
      <c r="AA212" t="s">
        <v>1597</v>
      </c>
      <c r="AB212" t="s">
        <v>1601</v>
      </c>
      <c r="AC212" t="s">
        <v>1610</v>
      </c>
      <c r="AD212" t="s">
        <v>1606</v>
      </c>
      <c r="AE212" t="s">
        <v>1616</v>
      </c>
      <c r="AF212" t="s">
        <v>1626</v>
      </c>
    </row>
    <row r="213" spans="1:32" x14ac:dyDescent="0.25">
      <c r="A213" t="s">
        <v>270</v>
      </c>
      <c r="B213">
        <v>30</v>
      </c>
      <c r="C213">
        <v>829</v>
      </c>
      <c r="D213">
        <v>1</v>
      </c>
      <c r="E213">
        <v>88</v>
      </c>
      <c r="F213">
        <v>8474</v>
      </c>
      <c r="G213">
        <v>20925</v>
      </c>
      <c r="H213">
        <v>1</v>
      </c>
      <c r="I213">
        <v>22</v>
      </c>
      <c r="J213">
        <v>12</v>
      </c>
      <c r="K213">
        <v>2</v>
      </c>
      <c r="L213">
        <v>11</v>
      </c>
      <c r="M213">
        <v>8</v>
      </c>
      <c r="N213">
        <v>5</v>
      </c>
      <c r="O213">
        <v>8</v>
      </c>
      <c r="P213" t="s">
        <v>1556</v>
      </c>
      <c r="Q213" t="s">
        <v>1554</v>
      </c>
      <c r="R213" t="s">
        <v>1550</v>
      </c>
      <c r="S213" t="s">
        <v>1532</v>
      </c>
      <c r="T213" t="s">
        <v>1538</v>
      </c>
      <c r="U213" t="s">
        <v>1547</v>
      </c>
      <c r="V213" t="s">
        <v>1559</v>
      </c>
      <c r="W213" t="s">
        <v>1562</v>
      </c>
      <c r="X213" t="s">
        <v>1577</v>
      </c>
      <c r="Y213" t="s">
        <v>1584</v>
      </c>
      <c r="Z213" t="s">
        <v>1593</v>
      </c>
      <c r="AA213" t="s">
        <v>1596</v>
      </c>
      <c r="AB213" t="s">
        <v>1601</v>
      </c>
      <c r="AC213" t="s">
        <v>1611</v>
      </c>
      <c r="AD213" t="s">
        <v>1606</v>
      </c>
      <c r="AE213" t="s">
        <v>1616</v>
      </c>
      <c r="AF213" t="s">
        <v>1627</v>
      </c>
    </row>
    <row r="214" spans="1:32" x14ac:dyDescent="0.25">
      <c r="A214" t="s">
        <v>271</v>
      </c>
      <c r="B214">
        <v>27</v>
      </c>
      <c r="C214">
        <v>1242</v>
      </c>
      <c r="D214">
        <v>20</v>
      </c>
      <c r="E214">
        <v>90</v>
      </c>
      <c r="F214">
        <v>9981</v>
      </c>
      <c r="G214">
        <v>12916</v>
      </c>
      <c r="H214">
        <v>1</v>
      </c>
      <c r="I214">
        <v>14</v>
      </c>
      <c r="J214">
        <v>7</v>
      </c>
      <c r="K214">
        <v>2</v>
      </c>
      <c r="L214">
        <v>7</v>
      </c>
      <c r="M214">
        <v>7</v>
      </c>
      <c r="N214">
        <v>0</v>
      </c>
      <c r="O214">
        <v>7</v>
      </c>
      <c r="P214" t="s">
        <v>1556</v>
      </c>
      <c r="Q214" t="s">
        <v>1553</v>
      </c>
      <c r="R214" t="s">
        <v>1549</v>
      </c>
      <c r="S214" t="s">
        <v>1534</v>
      </c>
      <c r="T214" t="s">
        <v>1538</v>
      </c>
      <c r="U214" t="s">
        <v>1548</v>
      </c>
      <c r="V214" t="s">
        <v>1558</v>
      </c>
      <c r="W214" t="s">
        <v>1563</v>
      </c>
      <c r="X214" t="s">
        <v>1576</v>
      </c>
      <c r="Y214" t="s">
        <v>1581</v>
      </c>
      <c r="Z214" t="s">
        <v>1593</v>
      </c>
      <c r="AA214" t="s">
        <v>1596</v>
      </c>
      <c r="AB214" t="s">
        <v>1601</v>
      </c>
      <c r="AC214" t="s">
        <v>1610</v>
      </c>
      <c r="AD214" t="s">
        <v>1607</v>
      </c>
      <c r="AE214" t="s">
        <v>1616</v>
      </c>
      <c r="AF214" t="s">
        <v>1627</v>
      </c>
    </row>
    <row r="215" spans="1:32" x14ac:dyDescent="0.25">
      <c r="A215" t="s">
        <v>272</v>
      </c>
      <c r="B215">
        <v>51</v>
      </c>
      <c r="C215">
        <v>1469</v>
      </c>
      <c r="D215">
        <v>8</v>
      </c>
      <c r="E215">
        <v>81</v>
      </c>
      <c r="F215">
        <v>12490</v>
      </c>
      <c r="G215">
        <v>15736</v>
      </c>
      <c r="H215">
        <v>5</v>
      </c>
      <c r="I215">
        <v>16</v>
      </c>
      <c r="J215">
        <v>16</v>
      </c>
      <c r="K215">
        <v>5</v>
      </c>
      <c r="L215">
        <v>10</v>
      </c>
      <c r="M215">
        <v>9</v>
      </c>
      <c r="N215">
        <v>4</v>
      </c>
      <c r="O215">
        <v>7</v>
      </c>
      <c r="P215" t="s">
        <v>1556</v>
      </c>
      <c r="Q215" t="s">
        <v>1552</v>
      </c>
      <c r="R215" t="s">
        <v>1550</v>
      </c>
      <c r="S215" t="s">
        <v>1535</v>
      </c>
      <c r="T215" t="s">
        <v>1538</v>
      </c>
      <c r="U215" t="s">
        <v>1546</v>
      </c>
      <c r="V215" t="s">
        <v>1559</v>
      </c>
      <c r="W215" t="s">
        <v>1562</v>
      </c>
      <c r="X215" t="s">
        <v>1577</v>
      </c>
      <c r="Y215" t="s">
        <v>1588</v>
      </c>
      <c r="Z215" t="s">
        <v>1592</v>
      </c>
      <c r="AA215" t="s">
        <v>1597</v>
      </c>
      <c r="AB215" t="s">
        <v>1601</v>
      </c>
      <c r="AC215" t="s">
        <v>1610</v>
      </c>
      <c r="AD215" t="s">
        <v>1607</v>
      </c>
      <c r="AE215" t="s">
        <v>1618</v>
      </c>
      <c r="AF215" t="s">
        <v>1625</v>
      </c>
    </row>
    <row r="216" spans="1:32" x14ac:dyDescent="0.25">
      <c r="A216" t="s">
        <v>273</v>
      </c>
      <c r="B216">
        <v>30</v>
      </c>
      <c r="C216">
        <v>1005</v>
      </c>
      <c r="D216">
        <v>3</v>
      </c>
      <c r="E216">
        <v>88</v>
      </c>
      <c r="F216">
        <v>2657</v>
      </c>
      <c r="G216">
        <v>8556</v>
      </c>
      <c r="H216">
        <v>5</v>
      </c>
      <c r="I216">
        <v>11</v>
      </c>
      <c r="J216">
        <v>8</v>
      </c>
      <c r="K216">
        <v>5</v>
      </c>
      <c r="L216">
        <v>5</v>
      </c>
      <c r="M216">
        <v>2</v>
      </c>
      <c r="N216">
        <v>0</v>
      </c>
      <c r="O216">
        <v>4</v>
      </c>
      <c r="P216" t="s">
        <v>1555</v>
      </c>
      <c r="Q216" t="s">
        <v>1552</v>
      </c>
      <c r="R216" t="s">
        <v>1550</v>
      </c>
      <c r="S216" t="s">
        <v>1534</v>
      </c>
      <c r="T216" t="s">
        <v>1542</v>
      </c>
      <c r="U216" t="s">
        <v>1548</v>
      </c>
      <c r="V216" t="s">
        <v>1558</v>
      </c>
      <c r="W216" t="s">
        <v>1563</v>
      </c>
      <c r="X216" t="s">
        <v>1575</v>
      </c>
      <c r="Y216" t="s">
        <v>1582</v>
      </c>
      <c r="Z216" t="s">
        <v>1591</v>
      </c>
      <c r="AA216" t="s">
        <v>1596</v>
      </c>
      <c r="AB216" t="s">
        <v>1600</v>
      </c>
      <c r="AC216" t="s">
        <v>1610</v>
      </c>
      <c r="AD216" t="s">
        <v>1606</v>
      </c>
      <c r="AE216" t="s">
        <v>1616</v>
      </c>
      <c r="AF216" t="s">
        <v>1627</v>
      </c>
    </row>
    <row r="217" spans="1:32" x14ac:dyDescent="0.25">
      <c r="A217" t="s">
        <v>274</v>
      </c>
      <c r="B217">
        <v>41</v>
      </c>
      <c r="C217">
        <v>896</v>
      </c>
      <c r="D217">
        <v>6</v>
      </c>
      <c r="E217">
        <v>75</v>
      </c>
      <c r="F217">
        <v>13591</v>
      </c>
      <c r="G217">
        <v>14674</v>
      </c>
      <c r="H217">
        <v>3</v>
      </c>
      <c r="I217">
        <v>18</v>
      </c>
      <c r="J217">
        <v>16</v>
      </c>
      <c r="K217">
        <v>3</v>
      </c>
      <c r="L217">
        <v>1</v>
      </c>
      <c r="M217">
        <v>0</v>
      </c>
      <c r="N217">
        <v>0</v>
      </c>
      <c r="O217">
        <v>0</v>
      </c>
      <c r="P217" t="s">
        <v>1556</v>
      </c>
      <c r="Q217" t="s">
        <v>1552</v>
      </c>
      <c r="R217" t="s">
        <v>1549</v>
      </c>
      <c r="S217" t="s">
        <v>1534</v>
      </c>
      <c r="T217" t="s">
        <v>1538</v>
      </c>
      <c r="U217" t="s">
        <v>1548</v>
      </c>
      <c r="V217" t="s">
        <v>1558</v>
      </c>
      <c r="W217" t="s">
        <v>1563</v>
      </c>
      <c r="X217" t="s">
        <v>1577</v>
      </c>
      <c r="Y217" t="s">
        <v>1586</v>
      </c>
      <c r="Z217" t="s">
        <v>1594</v>
      </c>
      <c r="AA217" t="s">
        <v>1596</v>
      </c>
      <c r="AB217" t="s">
        <v>1600</v>
      </c>
      <c r="AC217" t="s">
        <v>1610</v>
      </c>
      <c r="AD217" t="s">
        <v>1606</v>
      </c>
      <c r="AE217" t="s">
        <v>1616</v>
      </c>
      <c r="AF217" t="s">
        <v>1627</v>
      </c>
    </row>
    <row r="218" spans="1:32" x14ac:dyDescent="0.25">
      <c r="A218" t="s">
        <v>275</v>
      </c>
      <c r="B218">
        <v>30</v>
      </c>
      <c r="C218">
        <v>334</v>
      </c>
      <c r="D218">
        <v>26</v>
      </c>
      <c r="E218">
        <v>52</v>
      </c>
      <c r="F218">
        <v>6696</v>
      </c>
      <c r="G218">
        <v>22967</v>
      </c>
      <c r="H218">
        <v>5</v>
      </c>
      <c r="I218">
        <v>15</v>
      </c>
      <c r="J218">
        <v>9</v>
      </c>
      <c r="K218">
        <v>5</v>
      </c>
      <c r="L218">
        <v>6</v>
      </c>
      <c r="M218">
        <v>3</v>
      </c>
      <c r="N218">
        <v>0</v>
      </c>
      <c r="O218">
        <v>1</v>
      </c>
      <c r="P218" t="s">
        <v>1555</v>
      </c>
      <c r="Q218" t="s">
        <v>1553</v>
      </c>
      <c r="R218" t="s">
        <v>1549</v>
      </c>
      <c r="S218" t="s">
        <v>1535</v>
      </c>
      <c r="T218" t="s">
        <v>1541</v>
      </c>
      <c r="U218" t="s">
        <v>1547</v>
      </c>
      <c r="V218" t="s">
        <v>1558</v>
      </c>
      <c r="W218" t="s">
        <v>1562</v>
      </c>
      <c r="X218" t="s">
        <v>1576</v>
      </c>
      <c r="Y218" t="s">
        <v>1581</v>
      </c>
      <c r="Z218" t="s">
        <v>1591</v>
      </c>
      <c r="AA218" t="s">
        <v>1596</v>
      </c>
      <c r="AB218" t="s">
        <v>1601</v>
      </c>
      <c r="AC218" t="s">
        <v>1610</v>
      </c>
      <c r="AD218" t="s">
        <v>1606</v>
      </c>
      <c r="AE218" t="s">
        <v>1616</v>
      </c>
      <c r="AF218" t="s">
        <v>1626</v>
      </c>
    </row>
    <row r="219" spans="1:32" x14ac:dyDescent="0.25">
      <c r="A219" t="s">
        <v>276</v>
      </c>
      <c r="B219">
        <v>29</v>
      </c>
      <c r="C219">
        <v>992</v>
      </c>
      <c r="D219">
        <v>1</v>
      </c>
      <c r="E219">
        <v>85</v>
      </c>
      <c r="F219">
        <v>2058</v>
      </c>
      <c r="G219">
        <v>19757</v>
      </c>
      <c r="H219">
        <v>0</v>
      </c>
      <c r="I219">
        <v>14</v>
      </c>
      <c r="J219">
        <v>7</v>
      </c>
      <c r="K219">
        <v>1</v>
      </c>
      <c r="L219">
        <v>6</v>
      </c>
      <c r="M219">
        <v>2</v>
      </c>
      <c r="N219">
        <v>1</v>
      </c>
      <c r="O219">
        <v>5</v>
      </c>
      <c r="P219" t="s">
        <v>1555</v>
      </c>
      <c r="Q219" t="s">
        <v>1552</v>
      </c>
      <c r="R219" t="s">
        <v>1550</v>
      </c>
      <c r="S219" t="s">
        <v>1534</v>
      </c>
      <c r="T219" t="s">
        <v>1542</v>
      </c>
      <c r="U219" t="s">
        <v>1547</v>
      </c>
      <c r="V219" t="s">
        <v>1559</v>
      </c>
      <c r="W219" t="s">
        <v>1563</v>
      </c>
      <c r="X219" t="s">
        <v>1575</v>
      </c>
      <c r="Y219" t="s">
        <v>1582</v>
      </c>
      <c r="Z219" t="s">
        <v>1593</v>
      </c>
      <c r="AA219" t="s">
        <v>1596</v>
      </c>
      <c r="AB219" t="s">
        <v>1601</v>
      </c>
      <c r="AC219" t="s">
        <v>1610</v>
      </c>
      <c r="AD219" t="s">
        <v>1607</v>
      </c>
      <c r="AE219" t="s">
        <v>1616</v>
      </c>
      <c r="AF219" t="s">
        <v>1626</v>
      </c>
    </row>
    <row r="220" spans="1:32" x14ac:dyDescent="0.25">
      <c r="A220" t="s">
        <v>277</v>
      </c>
      <c r="B220">
        <v>45</v>
      </c>
      <c r="C220">
        <v>1052</v>
      </c>
      <c r="D220">
        <v>6</v>
      </c>
      <c r="E220">
        <v>57</v>
      </c>
      <c r="F220">
        <v>8865</v>
      </c>
      <c r="G220">
        <v>16840</v>
      </c>
      <c r="H220">
        <v>6</v>
      </c>
      <c r="I220">
        <v>12</v>
      </c>
      <c r="J220">
        <v>23</v>
      </c>
      <c r="K220">
        <v>2</v>
      </c>
      <c r="L220">
        <v>19</v>
      </c>
      <c r="M220">
        <v>7</v>
      </c>
      <c r="N220">
        <v>12</v>
      </c>
      <c r="O220">
        <v>8</v>
      </c>
      <c r="P220" t="s">
        <v>1556</v>
      </c>
      <c r="Q220" t="s">
        <v>1554</v>
      </c>
      <c r="R220" t="s">
        <v>1549</v>
      </c>
      <c r="S220" t="s">
        <v>1534</v>
      </c>
      <c r="T220" t="s">
        <v>1540</v>
      </c>
      <c r="U220" t="s">
        <v>1548</v>
      </c>
      <c r="V220" t="s">
        <v>1558</v>
      </c>
      <c r="W220" t="s">
        <v>1562</v>
      </c>
      <c r="X220" t="s">
        <v>1577</v>
      </c>
      <c r="Y220" t="s">
        <v>1581</v>
      </c>
      <c r="Z220" t="s">
        <v>1594</v>
      </c>
      <c r="AA220" t="s">
        <v>1596</v>
      </c>
      <c r="AB220" t="s">
        <v>1601</v>
      </c>
      <c r="AC220" t="s">
        <v>1610</v>
      </c>
      <c r="AD220" t="s">
        <v>1607</v>
      </c>
      <c r="AE220" t="s">
        <v>1616</v>
      </c>
      <c r="AF220" t="s">
        <v>1627</v>
      </c>
    </row>
    <row r="221" spans="1:32" x14ac:dyDescent="0.25">
      <c r="A221" t="s">
        <v>278</v>
      </c>
      <c r="B221">
        <v>54</v>
      </c>
      <c r="C221">
        <v>1147</v>
      </c>
      <c r="D221">
        <v>3</v>
      </c>
      <c r="E221">
        <v>52</v>
      </c>
      <c r="F221">
        <v>5940</v>
      </c>
      <c r="G221">
        <v>17011</v>
      </c>
      <c r="H221">
        <v>2</v>
      </c>
      <c r="I221">
        <v>14</v>
      </c>
      <c r="J221">
        <v>16</v>
      </c>
      <c r="K221">
        <v>4</v>
      </c>
      <c r="L221">
        <v>6</v>
      </c>
      <c r="M221">
        <v>2</v>
      </c>
      <c r="N221">
        <v>0</v>
      </c>
      <c r="O221">
        <v>5</v>
      </c>
      <c r="P221" t="s">
        <v>1556</v>
      </c>
      <c r="Q221" t="s">
        <v>1552</v>
      </c>
      <c r="R221" t="s">
        <v>1549</v>
      </c>
      <c r="S221" t="s">
        <v>1534</v>
      </c>
      <c r="T221" t="s">
        <v>1541</v>
      </c>
      <c r="U221" t="s">
        <v>1548</v>
      </c>
      <c r="V221" t="s">
        <v>1558</v>
      </c>
      <c r="W221" t="s">
        <v>1563</v>
      </c>
      <c r="X221" t="s">
        <v>1576</v>
      </c>
      <c r="Y221" t="s">
        <v>1581</v>
      </c>
      <c r="Z221" t="s">
        <v>1591</v>
      </c>
      <c r="AA221" t="s">
        <v>1597</v>
      </c>
      <c r="AB221" t="s">
        <v>1601</v>
      </c>
      <c r="AC221" t="s">
        <v>1610</v>
      </c>
      <c r="AD221" t="s">
        <v>1607</v>
      </c>
      <c r="AE221" t="s">
        <v>1617</v>
      </c>
      <c r="AF221" t="s">
        <v>1627</v>
      </c>
    </row>
    <row r="222" spans="1:32" x14ac:dyDescent="0.25">
      <c r="A222" t="s">
        <v>279</v>
      </c>
      <c r="B222">
        <v>36</v>
      </c>
      <c r="C222">
        <v>1396</v>
      </c>
      <c r="D222">
        <v>5</v>
      </c>
      <c r="E222">
        <v>62</v>
      </c>
      <c r="F222">
        <v>5914</v>
      </c>
      <c r="G222">
        <v>9945</v>
      </c>
      <c r="H222">
        <v>8</v>
      </c>
      <c r="I222">
        <v>16</v>
      </c>
      <c r="J222">
        <v>16</v>
      </c>
      <c r="K222">
        <v>3</v>
      </c>
      <c r="L222">
        <v>13</v>
      </c>
      <c r="M222">
        <v>11</v>
      </c>
      <c r="N222">
        <v>3</v>
      </c>
      <c r="O222">
        <v>7</v>
      </c>
      <c r="P222" t="s">
        <v>1556</v>
      </c>
      <c r="Q222" t="s">
        <v>1552</v>
      </c>
      <c r="R222" t="s">
        <v>1550</v>
      </c>
      <c r="S222" t="s">
        <v>1533</v>
      </c>
      <c r="T222" t="s">
        <v>1538</v>
      </c>
      <c r="U222" t="s">
        <v>1548</v>
      </c>
      <c r="V222" t="s">
        <v>1559</v>
      </c>
      <c r="W222" t="s">
        <v>1563</v>
      </c>
      <c r="X222" t="s">
        <v>1576</v>
      </c>
      <c r="Y222" t="s">
        <v>1583</v>
      </c>
      <c r="Z222" t="s">
        <v>1592</v>
      </c>
      <c r="AA222" t="s">
        <v>1596</v>
      </c>
      <c r="AB222" t="s">
        <v>1601</v>
      </c>
      <c r="AC222" t="s">
        <v>1610</v>
      </c>
      <c r="AD222" t="s">
        <v>1607</v>
      </c>
      <c r="AE222" t="s">
        <v>1616</v>
      </c>
      <c r="AF222" t="s">
        <v>1628</v>
      </c>
    </row>
    <row r="223" spans="1:32" x14ac:dyDescent="0.25">
      <c r="A223" t="s">
        <v>280</v>
      </c>
      <c r="B223">
        <v>33</v>
      </c>
      <c r="C223">
        <v>147</v>
      </c>
      <c r="D223">
        <v>4</v>
      </c>
      <c r="E223">
        <v>47</v>
      </c>
      <c r="F223">
        <v>2622</v>
      </c>
      <c r="G223">
        <v>13248</v>
      </c>
      <c r="H223">
        <v>6</v>
      </c>
      <c r="I223">
        <v>21</v>
      </c>
      <c r="J223">
        <v>7</v>
      </c>
      <c r="K223">
        <v>3</v>
      </c>
      <c r="L223">
        <v>3</v>
      </c>
      <c r="M223">
        <v>2</v>
      </c>
      <c r="N223">
        <v>1</v>
      </c>
      <c r="O223">
        <v>1</v>
      </c>
      <c r="P223" t="s">
        <v>1556</v>
      </c>
      <c r="Q223" t="s">
        <v>1552</v>
      </c>
      <c r="R223" t="s">
        <v>1550</v>
      </c>
      <c r="S223" t="s">
        <v>1535</v>
      </c>
      <c r="T223" t="s">
        <v>1540</v>
      </c>
      <c r="U223" t="s">
        <v>1547</v>
      </c>
      <c r="V223" t="s">
        <v>1558</v>
      </c>
      <c r="W223" t="s">
        <v>1562</v>
      </c>
      <c r="X223" t="s">
        <v>1575</v>
      </c>
      <c r="Y223" t="s">
        <v>1582</v>
      </c>
      <c r="Z223" t="s">
        <v>1592</v>
      </c>
      <c r="AA223" t="s">
        <v>1597</v>
      </c>
      <c r="AB223" t="s">
        <v>1601</v>
      </c>
      <c r="AC223" t="s">
        <v>1611</v>
      </c>
      <c r="AD223" t="s">
        <v>1607</v>
      </c>
      <c r="AE223" t="s">
        <v>1616</v>
      </c>
      <c r="AF223" t="s">
        <v>1627</v>
      </c>
    </row>
    <row r="224" spans="1:32" x14ac:dyDescent="0.25">
      <c r="A224" t="s">
        <v>281</v>
      </c>
      <c r="B224">
        <v>37</v>
      </c>
      <c r="C224">
        <v>663</v>
      </c>
      <c r="D224">
        <v>11</v>
      </c>
      <c r="E224">
        <v>47</v>
      </c>
      <c r="F224">
        <v>12185</v>
      </c>
      <c r="G224">
        <v>10056</v>
      </c>
      <c r="H224">
        <v>1</v>
      </c>
      <c r="I224">
        <v>14</v>
      </c>
      <c r="J224">
        <v>10</v>
      </c>
      <c r="K224">
        <v>1</v>
      </c>
      <c r="L224">
        <v>10</v>
      </c>
      <c r="M224">
        <v>8</v>
      </c>
      <c r="N224">
        <v>0</v>
      </c>
      <c r="O224">
        <v>7</v>
      </c>
      <c r="P224" t="s">
        <v>1556</v>
      </c>
      <c r="Q224" t="s">
        <v>1553</v>
      </c>
      <c r="R224" t="s">
        <v>1550</v>
      </c>
      <c r="S224" t="s">
        <v>1534</v>
      </c>
      <c r="T224" t="s">
        <v>1539</v>
      </c>
      <c r="U224" t="s">
        <v>1546</v>
      </c>
      <c r="V224" t="s">
        <v>1559</v>
      </c>
      <c r="W224" t="s">
        <v>1563</v>
      </c>
      <c r="X224" t="s">
        <v>1577</v>
      </c>
      <c r="Y224" t="s">
        <v>1588</v>
      </c>
      <c r="Z224" t="s">
        <v>1594</v>
      </c>
      <c r="AA224" t="s">
        <v>1598</v>
      </c>
      <c r="AB224" t="s">
        <v>1600</v>
      </c>
      <c r="AC224" t="s">
        <v>1610</v>
      </c>
      <c r="AD224" t="s">
        <v>1606</v>
      </c>
      <c r="AE224" t="s">
        <v>1619</v>
      </c>
      <c r="AF224" t="s">
        <v>1627</v>
      </c>
    </row>
    <row r="225" spans="1:32" x14ac:dyDescent="0.25">
      <c r="A225" t="s">
        <v>282</v>
      </c>
      <c r="B225">
        <v>38</v>
      </c>
      <c r="C225">
        <v>119</v>
      </c>
      <c r="D225">
        <v>3</v>
      </c>
      <c r="E225">
        <v>76</v>
      </c>
      <c r="F225">
        <v>10609</v>
      </c>
      <c r="G225">
        <v>9647</v>
      </c>
      <c r="H225">
        <v>0</v>
      </c>
      <c r="I225">
        <v>12</v>
      </c>
      <c r="J225">
        <v>17</v>
      </c>
      <c r="K225">
        <v>6</v>
      </c>
      <c r="L225">
        <v>16</v>
      </c>
      <c r="M225">
        <v>10</v>
      </c>
      <c r="N225">
        <v>5</v>
      </c>
      <c r="O225">
        <v>13</v>
      </c>
      <c r="P225" t="s">
        <v>1556</v>
      </c>
      <c r="Q225" t="s">
        <v>1552</v>
      </c>
      <c r="R225" t="s">
        <v>1549</v>
      </c>
      <c r="S225" t="s">
        <v>1534</v>
      </c>
      <c r="T225" t="s">
        <v>1538</v>
      </c>
      <c r="U225" t="s">
        <v>1545</v>
      </c>
      <c r="V225" t="s">
        <v>1559</v>
      </c>
      <c r="W225" t="s">
        <v>1563</v>
      </c>
      <c r="X225" t="s">
        <v>1577</v>
      </c>
      <c r="Y225" t="s">
        <v>1581</v>
      </c>
      <c r="Z225" t="s">
        <v>1593</v>
      </c>
      <c r="AA225" t="s">
        <v>1598</v>
      </c>
      <c r="AB225" t="s">
        <v>1601</v>
      </c>
      <c r="AC225" t="s">
        <v>1610</v>
      </c>
      <c r="AD225" t="s">
        <v>1606</v>
      </c>
      <c r="AE225" t="s">
        <v>1618</v>
      </c>
      <c r="AF225" t="s">
        <v>1626</v>
      </c>
    </row>
    <row r="226" spans="1:32" x14ac:dyDescent="0.25">
      <c r="A226" t="s">
        <v>283</v>
      </c>
      <c r="B226">
        <v>31</v>
      </c>
      <c r="C226">
        <v>979</v>
      </c>
      <c r="D226">
        <v>1</v>
      </c>
      <c r="E226">
        <v>90</v>
      </c>
      <c r="F226">
        <v>4345</v>
      </c>
      <c r="G226">
        <v>4381</v>
      </c>
      <c r="H226">
        <v>0</v>
      </c>
      <c r="I226">
        <v>12</v>
      </c>
      <c r="J226">
        <v>6</v>
      </c>
      <c r="K226">
        <v>2</v>
      </c>
      <c r="L226">
        <v>5</v>
      </c>
      <c r="M226">
        <v>4</v>
      </c>
      <c r="N226">
        <v>1</v>
      </c>
      <c r="O226">
        <v>4</v>
      </c>
      <c r="P226" t="s">
        <v>1556</v>
      </c>
      <c r="Q226" t="s">
        <v>1554</v>
      </c>
      <c r="R226" t="s">
        <v>1550</v>
      </c>
      <c r="S226" t="s">
        <v>1535</v>
      </c>
      <c r="T226" t="s">
        <v>1540</v>
      </c>
      <c r="U226" t="s">
        <v>1547</v>
      </c>
      <c r="V226" t="s">
        <v>1559</v>
      </c>
      <c r="W226" t="s">
        <v>1561</v>
      </c>
      <c r="X226" t="s">
        <v>1576</v>
      </c>
      <c r="Y226" t="s">
        <v>1584</v>
      </c>
      <c r="Z226" t="s">
        <v>1593</v>
      </c>
      <c r="AA226" t="s">
        <v>1597</v>
      </c>
      <c r="AB226" t="s">
        <v>1601</v>
      </c>
      <c r="AC226" t="s">
        <v>1610</v>
      </c>
      <c r="AD226" t="s">
        <v>1607</v>
      </c>
      <c r="AE226" t="s">
        <v>1617</v>
      </c>
      <c r="AF226" t="s">
        <v>1627</v>
      </c>
    </row>
    <row r="227" spans="1:32" x14ac:dyDescent="0.25">
      <c r="A227" t="s">
        <v>284</v>
      </c>
      <c r="B227">
        <v>59</v>
      </c>
      <c r="C227">
        <v>142</v>
      </c>
      <c r="D227">
        <v>3</v>
      </c>
      <c r="E227">
        <v>70</v>
      </c>
      <c r="F227">
        <v>2177</v>
      </c>
      <c r="G227">
        <v>8456</v>
      </c>
      <c r="H227">
        <v>3</v>
      </c>
      <c r="I227">
        <v>17</v>
      </c>
      <c r="J227">
        <v>7</v>
      </c>
      <c r="K227">
        <v>6</v>
      </c>
      <c r="L227">
        <v>1</v>
      </c>
      <c r="M227">
        <v>0</v>
      </c>
      <c r="N227">
        <v>0</v>
      </c>
      <c r="O227">
        <v>0</v>
      </c>
      <c r="P227" t="s">
        <v>1556</v>
      </c>
      <c r="Q227" t="s">
        <v>1552</v>
      </c>
      <c r="R227" t="s">
        <v>1550</v>
      </c>
      <c r="S227" t="s">
        <v>1534</v>
      </c>
      <c r="T227" t="s">
        <v>1538</v>
      </c>
      <c r="U227" t="s">
        <v>1547</v>
      </c>
      <c r="V227" t="s">
        <v>1559</v>
      </c>
      <c r="W227" t="s">
        <v>1562</v>
      </c>
      <c r="X227" t="s">
        <v>1575</v>
      </c>
      <c r="Y227" t="s">
        <v>1582</v>
      </c>
      <c r="Z227" t="s">
        <v>1594</v>
      </c>
      <c r="AA227" t="s">
        <v>1597</v>
      </c>
      <c r="AB227" t="s">
        <v>1601</v>
      </c>
      <c r="AC227" t="s">
        <v>1610</v>
      </c>
      <c r="AD227" t="s">
        <v>1604</v>
      </c>
      <c r="AE227" t="s">
        <v>1617</v>
      </c>
      <c r="AF227" t="s">
        <v>1627</v>
      </c>
    </row>
    <row r="228" spans="1:32" x14ac:dyDescent="0.25">
      <c r="A228" t="s">
        <v>285</v>
      </c>
      <c r="B228">
        <v>37</v>
      </c>
      <c r="C228">
        <v>319</v>
      </c>
      <c r="D228">
        <v>4</v>
      </c>
      <c r="E228">
        <v>41</v>
      </c>
      <c r="F228">
        <v>2793</v>
      </c>
      <c r="G228">
        <v>2539</v>
      </c>
      <c r="H228">
        <v>4</v>
      </c>
      <c r="I228">
        <v>17</v>
      </c>
      <c r="J228">
        <v>13</v>
      </c>
      <c r="K228">
        <v>2</v>
      </c>
      <c r="L228">
        <v>9</v>
      </c>
      <c r="M228">
        <v>8</v>
      </c>
      <c r="N228">
        <v>5</v>
      </c>
      <c r="O228">
        <v>8</v>
      </c>
      <c r="P228" t="s">
        <v>1556</v>
      </c>
      <c r="Q228" t="s">
        <v>1553</v>
      </c>
      <c r="R228" t="s">
        <v>1549</v>
      </c>
      <c r="S228" t="s">
        <v>1535</v>
      </c>
      <c r="T228" t="s">
        <v>1541</v>
      </c>
      <c r="U228" t="s">
        <v>1545</v>
      </c>
      <c r="V228" t="s">
        <v>1559</v>
      </c>
      <c r="W228" t="s">
        <v>1563</v>
      </c>
      <c r="X228" t="s">
        <v>1575</v>
      </c>
      <c r="Y228" t="s">
        <v>1587</v>
      </c>
      <c r="Z228" t="s">
        <v>1594</v>
      </c>
      <c r="AA228" t="s">
        <v>1598</v>
      </c>
      <c r="AB228" t="s">
        <v>1601</v>
      </c>
      <c r="AC228" t="s">
        <v>1610</v>
      </c>
      <c r="AD228" t="s">
        <v>1606</v>
      </c>
      <c r="AE228" t="s">
        <v>1617</v>
      </c>
      <c r="AF228" t="s">
        <v>1627</v>
      </c>
    </row>
    <row r="229" spans="1:32" x14ac:dyDescent="0.25">
      <c r="A229" t="s">
        <v>286</v>
      </c>
      <c r="B229">
        <v>29</v>
      </c>
      <c r="C229">
        <v>1413</v>
      </c>
      <c r="D229">
        <v>1</v>
      </c>
      <c r="E229">
        <v>42</v>
      </c>
      <c r="F229">
        <v>7918</v>
      </c>
      <c r="G229">
        <v>6599</v>
      </c>
      <c r="H229">
        <v>1</v>
      </c>
      <c r="I229">
        <v>14</v>
      </c>
      <c r="J229">
        <v>11</v>
      </c>
      <c r="K229">
        <v>5</v>
      </c>
      <c r="L229">
        <v>11</v>
      </c>
      <c r="M229">
        <v>10</v>
      </c>
      <c r="N229">
        <v>4</v>
      </c>
      <c r="O229">
        <v>1</v>
      </c>
      <c r="P229" t="s">
        <v>1556</v>
      </c>
      <c r="Q229" t="s">
        <v>1553</v>
      </c>
      <c r="R229" t="s">
        <v>1549</v>
      </c>
      <c r="S229" t="s">
        <v>1532</v>
      </c>
      <c r="T229" t="s">
        <v>1540</v>
      </c>
      <c r="U229" t="s">
        <v>1546</v>
      </c>
      <c r="V229" t="s">
        <v>1558</v>
      </c>
      <c r="W229" t="s">
        <v>1563</v>
      </c>
      <c r="X229" t="s">
        <v>1577</v>
      </c>
      <c r="Y229" t="s">
        <v>1581</v>
      </c>
      <c r="Z229" t="s">
        <v>1594</v>
      </c>
      <c r="AA229" t="s">
        <v>1597</v>
      </c>
      <c r="AB229" t="s">
        <v>1601</v>
      </c>
      <c r="AC229" t="s">
        <v>1610</v>
      </c>
      <c r="AD229" t="s">
        <v>1607</v>
      </c>
      <c r="AE229" t="s">
        <v>1617</v>
      </c>
      <c r="AF229" t="s">
        <v>1627</v>
      </c>
    </row>
    <row r="230" spans="1:32" x14ac:dyDescent="0.25">
      <c r="A230" t="s">
        <v>287</v>
      </c>
      <c r="B230">
        <v>35</v>
      </c>
      <c r="C230">
        <v>944</v>
      </c>
      <c r="D230">
        <v>1</v>
      </c>
      <c r="E230">
        <v>92</v>
      </c>
      <c r="F230">
        <v>8789</v>
      </c>
      <c r="G230">
        <v>9096</v>
      </c>
      <c r="H230">
        <v>1</v>
      </c>
      <c r="I230">
        <v>14</v>
      </c>
      <c r="J230">
        <v>10</v>
      </c>
      <c r="K230">
        <v>3</v>
      </c>
      <c r="L230">
        <v>10</v>
      </c>
      <c r="M230">
        <v>7</v>
      </c>
      <c r="N230">
        <v>0</v>
      </c>
      <c r="O230">
        <v>8</v>
      </c>
      <c r="P230" t="s">
        <v>1556</v>
      </c>
      <c r="Q230" t="s">
        <v>1553</v>
      </c>
      <c r="R230" t="s">
        <v>1549</v>
      </c>
      <c r="S230" t="s">
        <v>1534</v>
      </c>
      <c r="T230" t="s">
        <v>1541</v>
      </c>
      <c r="U230" t="s">
        <v>1547</v>
      </c>
      <c r="V230" t="s">
        <v>1558</v>
      </c>
      <c r="W230" t="s">
        <v>1563</v>
      </c>
      <c r="X230" t="s">
        <v>1577</v>
      </c>
      <c r="Y230" t="s">
        <v>1581</v>
      </c>
      <c r="Z230" t="s">
        <v>1593</v>
      </c>
      <c r="AA230" t="s">
        <v>1596</v>
      </c>
      <c r="AB230" t="s">
        <v>1601</v>
      </c>
      <c r="AC230" t="s">
        <v>1610</v>
      </c>
      <c r="AD230" t="s">
        <v>1604</v>
      </c>
      <c r="AE230" t="s">
        <v>1616</v>
      </c>
      <c r="AF230" t="s">
        <v>1628</v>
      </c>
    </row>
    <row r="231" spans="1:32" x14ac:dyDescent="0.25">
      <c r="A231" t="s">
        <v>288</v>
      </c>
      <c r="B231">
        <v>29</v>
      </c>
      <c r="C231">
        <v>896</v>
      </c>
      <c r="D231">
        <v>18</v>
      </c>
      <c r="E231">
        <v>86</v>
      </c>
      <c r="F231">
        <v>2389</v>
      </c>
      <c r="G231">
        <v>14961</v>
      </c>
      <c r="H231">
        <v>1</v>
      </c>
      <c r="I231">
        <v>13</v>
      </c>
      <c r="J231">
        <v>4</v>
      </c>
      <c r="K231">
        <v>3</v>
      </c>
      <c r="L231">
        <v>4</v>
      </c>
      <c r="M231">
        <v>3</v>
      </c>
      <c r="N231">
        <v>0</v>
      </c>
      <c r="O231">
        <v>1</v>
      </c>
      <c r="P231" t="s">
        <v>1555</v>
      </c>
      <c r="Q231" t="s">
        <v>1552</v>
      </c>
      <c r="R231" t="s">
        <v>1550</v>
      </c>
      <c r="S231" t="s">
        <v>1532</v>
      </c>
      <c r="T231" t="s">
        <v>1540</v>
      </c>
      <c r="U231" t="s">
        <v>1547</v>
      </c>
      <c r="V231" t="s">
        <v>1559</v>
      </c>
      <c r="W231" t="s">
        <v>1562</v>
      </c>
      <c r="X231" t="s">
        <v>1575</v>
      </c>
      <c r="Y231" t="s">
        <v>1582</v>
      </c>
      <c r="Z231" t="s">
        <v>1594</v>
      </c>
      <c r="AA231" t="s">
        <v>1596</v>
      </c>
      <c r="AB231" t="s">
        <v>1600</v>
      </c>
      <c r="AC231" t="s">
        <v>1610</v>
      </c>
      <c r="AD231" t="s">
        <v>1606</v>
      </c>
      <c r="AE231" t="s">
        <v>1616</v>
      </c>
      <c r="AF231" t="s">
        <v>1626</v>
      </c>
    </row>
    <row r="232" spans="1:32" x14ac:dyDescent="0.25">
      <c r="A232" t="s">
        <v>289</v>
      </c>
      <c r="B232">
        <v>52</v>
      </c>
      <c r="C232">
        <v>1323</v>
      </c>
      <c r="D232">
        <v>2</v>
      </c>
      <c r="E232">
        <v>89</v>
      </c>
      <c r="F232">
        <v>3212</v>
      </c>
      <c r="G232">
        <v>3300</v>
      </c>
      <c r="H232">
        <v>7</v>
      </c>
      <c r="I232">
        <v>15</v>
      </c>
      <c r="J232">
        <v>6</v>
      </c>
      <c r="K232">
        <v>3</v>
      </c>
      <c r="L232">
        <v>2</v>
      </c>
      <c r="M232">
        <v>2</v>
      </c>
      <c r="N232">
        <v>2</v>
      </c>
      <c r="O232">
        <v>2</v>
      </c>
      <c r="P232" t="s">
        <v>1556</v>
      </c>
      <c r="Q232" t="s">
        <v>1552</v>
      </c>
      <c r="R232" t="s">
        <v>1550</v>
      </c>
      <c r="S232" t="s">
        <v>1534</v>
      </c>
      <c r="T232" t="s">
        <v>1538</v>
      </c>
      <c r="U232" t="s">
        <v>1547</v>
      </c>
      <c r="V232" t="s">
        <v>1558</v>
      </c>
      <c r="W232" t="s">
        <v>1562</v>
      </c>
      <c r="X232" t="s">
        <v>1575</v>
      </c>
      <c r="Y232" t="s">
        <v>1583</v>
      </c>
      <c r="Z232" t="s">
        <v>1594</v>
      </c>
      <c r="AA232" t="s">
        <v>1596</v>
      </c>
      <c r="AB232" t="s">
        <v>1601</v>
      </c>
      <c r="AC232" t="s">
        <v>1610</v>
      </c>
      <c r="AD232" t="s">
        <v>1605</v>
      </c>
      <c r="AE232" t="s">
        <v>1616</v>
      </c>
      <c r="AF232" t="s">
        <v>1626</v>
      </c>
    </row>
    <row r="233" spans="1:32" x14ac:dyDescent="0.25">
      <c r="A233" t="s">
        <v>290</v>
      </c>
      <c r="B233">
        <v>42</v>
      </c>
      <c r="C233">
        <v>532</v>
      </c>
      <c r="D233">
        <v>4</v>
      </c>
      <c r="E233">
        <v>58</v>
      </c>
      <c r="F233">
        <v>19232</v>
      </c>
      <c r="G233">
        <v>4933</v>
      </c>
      <c r="H233">
        <v>1</v>
      </c>
      <c r="I233">
        <v>11</v>
      </c>
      <c r="J233">
        <v>22</v>
      </c>
      <c r="K233">
        <v>3</v>
      </c>
      <c r="L233">
        <v>22</v>
      </c>
      <c r="M233">
        <v>17</v>
      </c>
      <c r="N233">
        <v>11</v>
      </c>
      <c r="O233">
        <v>15</v>
      </c>
      <c r="P233" t="s">
        <v>1556</v>
      </c>
      <c r="Q233" t="s">
        <v>1552</v>
      </c>
      <c r="R233" t="s">
        <v>1550</v>
      </c>
      <c r="S233" t="s">
        <v>1533</v>
      </c>
      <c r="T233" t="s">
        <v>1542</v>
      </c>
      <c r="U233" t="s">
        <v>1547</v>
      </c>
      <c r="V233" t="s">
        <v>1559</v>
      </c>
      <c r="W233" t="s">
        <v>1563</v>
      </c>
      <c r="X233" t="s">
        <v>1579</v>
      </c>
      <c r="Y233" t="s">
        <v>1586</v>
      </c>
      <c r="Z233" t="s">
        <v>1594</v>
      </c>
      <c r="AA233" t="s">
        <v>1597</v>
      </c>
      <c r="AB233" t="s">
        <v>1601</v>
      </c>
      <c r="AC233" t="s">
        <v>1610</v>
      </c>
      <c r="AD233" t="s">
        <v>1607</v>
      </c>
      <c r="AE233" t="s">
        <v>1616</v>
      </c>
      <c r="AF233" t="s">
        <v>1627</v>
      </c>
    </row>
    <row r="234" spans="1:32" x14ac:dyDescent="0.25">
      <c r="A234" t="s">
        <v>291</v>
      </c>
      <c r="B234">
        <v>59</v>
      </c>
      <c r="C234">
        <v>818</v>
      </c>
      <c r="D234">
        <v>6</v>
      </c>
      <c r="E234">
        <v>52</v>
      </c>
      <c r="F234">
        <v>2267</v>
      </c>
      <c r="G234">
        <v>25657</v>
      </c>
      <c r="H234">
        <v>8</v>
      </c>
      <c r="I234">
        <v>17</v>
      </c>
      <c r="J234">
        <v>7</v>
      </c>
      <c r="K234">
        <v>2</v>
      </c>
      <c r="L234">
        <v>2</v>
      </c>
      <c r="M234">
        <v>2</v>
      </c>
      <c r="N234">
        <v>2</v>
      </c>
      <c r="O234">
        <v>2</v>
      </c>
      <c r="P234" t="s">
        <v>1556</v>
      </c>
      <c r="Q234" t="s">
        <v>1552</v>
      </c>
      <c r="R234" t="s">
        <v>1551</v>
      </c>
      <c r="S234" t="s">
        <v>1533</v>
      </c>
      <c r="T234" t="s">
        <v>1540</v>
      </c>
      <c r="U234" t="s">
        <v>1546</v>
      </c>
      <c r="V234" t="s">
        <v>1559</v>
      </c>
      <c r="W234" t="s">
        <v>1563</v>
      </c>
      <c r="X234" t="s">
        <v>1575</v>
      </c>
      <c r="Y234" t="s">
        <v>1589</v>
      </c>
      <c r="Z234" t="s">
        <v>1593</v>
      </c>
      <c r="AA234" t="s">
        <v>1597</v>
      </c>
      <c r="AB234" t="s">
        <v>1601</v>
      </c>
      <c r="AC234" t="s">
        <v>1610</v>
      </c>
      <c r="AD234" t="s">
        <v>1607</v>
      </c>
      <c r="AE234" t="s">
        <v>1616</v>
      </c>
      <c r="AF234" t="s">
        <v>1626</v>
      </c>
    </row>
    <row r="235" spans="1:32" x14ac:dyDescent="0.25">
      <c r="A235" t="s">
        <v>292</v>
      </c>
      <c r="B235">
        <v>50</v>
      </c>
      <c r="C235">
        <v>854</v>
      </c>
      <c r="D235">
        <v>1</v>
      </c>
      <c r="E235">
        <v>68</v>
      </c>
      <c r="F235">
        <v>19517</v>
      </c>
      <c r="G235">
        <v>24118</v>
      </c>
      <c r="H235">
        <v>3</v>
      </c>
      <c r="I235">
        <v>11</v>
      </c>
      <c r="J235">
        <v>32</v>
      </c>
      <c r="K235">
        <v>3</v>
      </c>
      <c r="L235">
        <v>7</v>
      </c>
      <c r="M235">
        <v>0</v>
      </c>
      <c r="N235">
        <v>0</v>
      </c>
      <c r="O235">
        <v>6</v>
      </c>
      <c r="P235" t="s">
        <v>1556</v>
      </c>
      <c r="Q235" t="s">
        <v>1552</v>
      </c>
      <c r="R235" t="s">
        <v>1549</v>
      </c>
      <c r="S235" t="s">
        <v>1535</v>
      </c>
      <c r="T235" t="s">
        <v>1540</v>
      </c>
      <c r="U235" t="s">
        <v>1548</v>
      </c>
      <c r="V235" t="s">
        <v>1558</v>
      </c>
      <c r="W235" t="s">
        <v>1563</v>
      </c>
      <c r="X235" t="s">
        <v>1579</v>
      </c>
      <c r="Y235" t="s">
        <v>1586</v>
      </c>
      <c r="Z235" t="s">
        <v>1594</v>
      </c>
      <c r="AA235" t="s">
        <v>1598</v>
      </c>
      <c r="AB235" t="s">
        <v>1601</v>
      </c>
      <c r="AC235" t="s">
        <v>1610</v>
      </c>
      <c r="AD235" t="s">
        <v>1606</v>
      </c>
      <c r="AE235" t="s">
        <v>1617</v>
      </c>
      <c r="AF235" t="s">
        <v>1626</v>
      </c>
    </row>
    <row r="236" spans="1:32" x14ac:dyDescent="0.25">
      <c r="A236" t="s">
        <v>293</v>
      </c>
      <c r="B236">
        <v>33</v>
      </c>
      <c r="C236">
        <v>813</v>
      </c>
      <c r="D236">
        <v>14</v>
      </c>
      <c r="E236">
        <v>58</v>
      </c>
      <c r="F236">
        <v>2436</v>
      </c>
      <c r="G236">
        <v>22149</v>
      </c>
      <c r="H236">
        <v>5</v>
      </c>
      <c r="I236">
        <v>13</v>
      </c>
      <c r="J236">
        <v>8</v>
      </c>
      <c r="K236">
        <v>2</v>
      </c>
      <c r="L236">
        <v>5</v>
      </c>
      <c r="M236">
        <v>4</v>
      </c>
      <c r="N236">
        <v>0</v>
      </c>
      <c r="O236">
        <v>4</v>
      </c>
      <c r="P236" t="s">
        <v>1555</v>
      </c>
      <c r="Q236" t="s">
        <v>1552</v>
      </c>
      <c r="R236" t="s">
        <v>1550</v>
      </c>
      <c r="S236" t="s">
        <v>1534</v>
      </c>
      <c r="T236" t="s">
        <v>1540</v>
      </c>
      <c r="U236" t="s">
        <v>1547</v>
      </c>
      <c r="V236" t="s">
        <v>1559</v>
      </c>
      <c r="W236" t="s">
        <v>1563</v>
      </c>
      <c r="X236" t="s">
        <v>1575</v>
      </c>
      <c r="Y236" t="s">
        <v>1583</v>
      </c>
      <c r="Z236" t="s">
        <v>1594</v>
      </c>
      <c r="AA236" t="s">
        <v>1597</v>
      </c>
      <c r="AB236" t="s">
        <v>1600</v>
      </c>
      <c r="AC236" t="s">
        <v>1610</v>
      </c>
      <c r="AD236" t="s">
        <v>1606</v>
      </c>
      <c r="AE236" t="s">
        <v>1617</v>
      </c>
      <c r="AF236" t="s">
        <v>1625</v>
      </c>
    </row>
    <row r="237" spans="1:32" x14ac:dyDescent="0.25">
      <c r="A237" t="s">
        <v>294</v>
      </c>
      <c r="B237">
        <v>43</v>
      </c>
      <c r="C237">
        <v>1034</v>
      </c>
      <c r="D237">
        <v>16</v>
      </c>
      <c r="E237">
        <v>80</v>
      </c>
      <c r="F237">
        <v>16064</v>
      </c>
      <c r="G237">
        <v>7744</v>
      </c>
      <c r="H237">
        <v>5</v>
      </c>
      <c r="I237">
        <v>22</v>
      </c>
      <c r="J237">
        <v>22</v>
      </c>
      <c r="K237">
        <v>3</v>
      </c>
      <c r="L237">
        <v>17</v>
      </c>
      <c r="M237">
        <v>13</v>
      </c>
      <c r="N237">
        <v>1</v>
      </c>
      <c r="O237">
        <v>9</v>
      </c>
      <c r="P237" t="s">
        <v>1556</v>
      </c>
      <c r="Q237" t="s">
        <v>1552</v>
      </c>
      <c r="R237" t="s">
        <v>1549</v>
      </c>
      <c r="S237" t="s">
        <v>1534</v>
      </c>
      <c r="T237" t="s">
        <v>1541</v>
      </c>
      <c r="U237" t="s">
        <v>1548</v>
      </c>
      <c r="V237" t="s">
        <v>1558</v>
      </c>
      <c r="W237" t="s">
        <v>1563</v>
      </c>
      <c r="X237" t="s">
        <v>1578</v>
      </c>
      <c r="Y237" t="s">
        <v>1586</v>
      </c>
      <c r="Z237" t="s">
        <v>1594</v>
      </c>
      <c r="AA237" t="s">
        <v>1597</v>
      </c>
      <c r="AB237" t="s">
        <v>1600</v>
      </c>
      <c r="AC237" t="s">
        <v>1611</v>
      </c>
      <c r="AD237" t="s">
        <v>1606</v>
      </c>
      <c r="AE237" t="s">
        <v>1617</v>
      </c>
      <c r="AF237" t="s">
        <v>1627</v>
      </c>
    </row>
    <row r="238" spans="1:32" x14ac:dyDescent="0.25">
      <c r="A238" t="s">
        <v>295</v>
      </c>
      <c r="B238">
        <v>33</v>
      </c>
      <c r="C238">
        <v>465</v>
      </c>
      <c r="D238">
        <v>2</v>
      </c>
      <c r="E238">
        <v>39</v>
      </c>
      <c r="F238">
        <v>2707</v>
      </c>
      <c r="G238">
        <v>21509</v>
      </c>
      <c r="H238">
        <v>7</v>
      </c>
      <c r="I238">
        <v>20</v>
      </c>
      <c r="J238">
        <v>13</v>
      </c>
      <c r="K238">
        <v>3</v>
      </c>
      <c r="L238">
        <v>9</v>
      </c>
      <c r="M238">
        <v>7</v>
      </c>
      <c r="N238">
        <v>1</v>
      </c>
      <c r="O238">
        <v>7</v>
      </c>
      <c r="P238" t="s">
        <v>1555</v>
      </c>
      <c r="Q238" t="s">
        <v>1552</v>
      </c>
      <c r="R238" t="s">
        <v>1550</v>
      </c>
      <c r="S238" t="s">
        <v>1533</v>
      </c>
      <c r="T238" t="s">
        <v>1538</v>
      </c>
      <c r="U238" t="s">
        <v>1545</v>
      </c>
      <c r="V238" t="s">
        <v>1558</v>
      </c>
      <c r="W238" t="s">
        <v>1563</v>
      </c>
      <c r="X238" t="s">
        <v>1575</v>
      </c>
      <c r="Y238" t="s">
        <v>1583</v>
      </c>
      <c r="Z238" t="s">
        <v>1591</v>
      </c>
      <c r="AA238" t="s">
        <v>1597</v>
      </c>
      <c r="AB238" t="s">
        <v>1601</v>
      </c>
      <c r="AC238" t="s">
        <v>1611</v>
      </c>
      <c r="AD238" t="s">
        <v>1604</v>
      </c>
      <c r="AE238" t="s">
        <v>1616</v>
      </c>
      <c r="AF238" t="s">
        <v>1628</v>
      </c>
    </row>
    <row r="239" spans="1:32" x14ac:dyDescent="0.25">
      <c r="A239" t="s">
        <v>296</v>
      </c>
      <c r="B239">
        <v>52</v>
      </c>
      <c r="C239">
        <v>771</v>
      </c>
      <c r="D239">
        <v>2</v>
      </c>
      <c r="E239">
        <v>79</v>
      </c>
      <c r="F239">
        <v>19068</v>
      </c>
      <c r="G239">
        <v>21030</v>
      </c>
      <c r="H239">
        <v>1</v>
      </c>
      <c r="I239">
        <v>18</v>
      </c>
      <c r="J239">
        <v>33</v>
      </c>
      <c r="K239">
        <v>2</v>
      </c>
      <c r="L239">
        <v>33</v>
      </c>
      <c r="M239">
        <v>7</v>
      </c>
      <c r="N239">
        <v>15</v>
      </c>
      <c r="O239">
        <v>12</v>
      </c>
      <c r="P239" t="s">
        <v>1556</v>
      </c>
      <c r="Q239" t="s">
        <v>1554</v>
      </c>
      <c r="R239" t="s">
        <v>1549</v>
      </c>
      <c r="S239" t="s">
        <v>1535</v>
      </c>
      <c r="T239" t="s">
        <v>1538</v>
      </c>
      <c r="U239" t="s">
        <v>1545</v>
      </c>
      <c r="V239" t="s">
        <v>1559</v>
      </c>
      <c r="W239" t="s">
        <v>1562</v>
      </c>
      <c r="X239" t="s">
        <v>1579</v>
      </c>
      <c r="Y239" t="s">
        <v>1586</v>
      </c>
      <c r="Z239" t="s">
        <v>1593</v>
      </c>
      <c r="AA239" t="s">
        <v>1596</v>
      </c>
      <c r="AB239" t="s">
        <v>1600</v>
      </c>
      <c r="AC239" t="s">
        <v>1610</v>
      </c>
      <c r="AD239" t="s">
        <v>1607</v>
      </c>
      <c r="AE239" t="s">
        <v>1616</v>
      </c>
      <c r="AF239" t="s">
        <v>1628</v>
      </c>
    </row>
    <row r="240" spans="1:32" x14ac:dyDescent="0.25">
      <c r="A240" t="s">
        <v>297</v>
      </c>
      <c r="B240">
        <v>32</v>
      </c>
      <c r="C240">
        <v>1401</v>
      </c>
      <c r="D240">
        <v>4</v>
      </c>
      <c r="E240">
        <v>56</v>
      </c>
      <c r="F240">
        <v>3931</v>
      </c>
      <c r="G240">
        <v>20990</v>
      </c>
      <c r="H240">
        <v>2</v>
      </c>
      <c r="I240">
        <v>11</v>
      </c>
      <c r="J240">
        <v>6</v>
      </c>
      <c r="K240">
        <v>5</v>
      </c>
      <c r="L240">
        <v>4</v>
      </c>
      <c r="M240">
        <v>3</v>
      </c>
      <c r="N240">
        <v>1</v>
      </c>
      <c r="O240">
        <v>2</v>
      </c>
      <c r="P240" t="s">
        <v>1556</v>
      </c>
      <c r="Q240" t="s">
        <v>1552</v>
      </c>
      <c r="R240" t="s">
        <v>1549</v>
      </c>
      <c r="S240" t="s">
        <v>1533</v>
      </c>
      <c r="T240" t="s">
        <v>1538</v>
      </c>
      <c r="U240" t="s">
        <v>1547</v>
      </c>
      <c r="V240" t="s">
        <v>1558</v>
      </c>
      <c r="W240" t="s">
        <v>1563</v>
      </c>
      <c r="X240" t="s">
        <v>1575</v>
      </c>
      <c r="Y240" t="s">
        <v>1587</v>
      </c>
      <c r="Z240" t="s">
        <v>1592</v>
      </c>
      <c r="AA240" t="s">
        <v>1597</v>
      </c>
      <c r="AB240" t="s">
        <v>1601</v>
      </c>
      <c r="AC240" t="s">
        <v>1610</v>
      </c>
      <c r="AD240" t="s">
        <v>1604</v>
      </c>
      <c r="AE240" t="s">
        <v>1617</v>
      </c>
      <c r="AF240" t="s">
        <v>1627</v>
      </c>
    </row>
    <row r="241" spans="1:32" x14ac:dyDescent="0.25">
      <c r="A241" t="s">
        <v>298</v>
      </c>
      <c r="B241">
        <v>32</v>
      </c>
      <c r="C241">
        <v>515</v>
      </c>
      <c r="D241">
        <v>1</v>
      </c>
      <c r="E241">
        <v>62</v>
      </c>
      <c r="F241">
        <v>3730</v>
      </c>
      <c r="G241">
        <v>9571</v>
      </c>
      <c r="H241">
        <v>0</v>
      </c>
      <c r="I241">
        <v>14</v>
      </c>
      <c r="J241">
        <v>4</v>
      </c>
      <c r="K241">
        <v>2</v>
      </c>
      <c r="L241">
        <v>3</v>
      </c>
      <c r="M241">
        <v>2</v>
      </c>
      <c r="N241">
        <v>1</v>
      </c>
      <c r="O241">
        <v>2</v>
      </c>
      <c r="P241" t="s">
        <v>1555</v>
      </c>
      <c r="Q241" t="s">
        <v>1552</v>
      </c>
      <c r="R241" t="s">
        <v>1550</v>
      </c>
      <c r="S241" t="s">
        <v>1534</v>
      </c>
      <c r="T241" t="s">
        <v>1538</v>
      </c>
      <c r="U241" t="s">
        <v>1548</v>
      </c>
      <c r="V241" t="s">
        <v>1559</v>
      </c>
      <c r="W241" t="s">
        <v>1562</v>
      </c>
      <c r="X241" t="s">
        <v>1575</v>
      </c>
      <c r="Y241" t="s">
        <v>1583</v>
      </c>
      <c r="Z241" t="s">
        <v>1593</v>
      </c>
      <c r="AA241" t="s">
        <v>1596</v>
      </c>
      <c r="AB241" t="s">
        <v>1600</v>
      </c>
      <c r="AC241" t="s">
        <v>1610</v>
      </c>
      <c r="AD241" t="s">
        <v>1607</v>
      </c>
      <c r="AE241" t="s">
        <v>1616</v>
      </c>
      <c r="AF241" t="s">
        <v>1625</v>
      </c>
    </row>
    <row r="242" spans="1:32" x14ac:dyDescent="0.25">
      <c r="A242" t="s">
        <v>299</v>
      </c>
      <c r="B242">
        <v>39</v>
      </c>
      <c r="C242">
        <v>1431</v>
      </c>
      <c r="D242">
        <v>1</v>
      </c>
      <c r="E242">
        <v>96</v>
      </c>
      <c r="F242">
        <v>2232</v>
      </c>
      <c r="G242">
        <v>15417</v>
      </c>
      <c r="H242">
        <v>7</v>
      </c>
      <c r="I242">
        <v>14</v>
      </c>
      <c r="J242">
        <v>7</v>
      </c>
      <c r="K242">
        <v>1</v>
      </c>
      <c r="L242">
        <v>3</v>
      </c>
      <c r="M242">
        <v>2</v>
      </c>
      <c r="N242">
        <v>1</v>
      </c>
      <c r="O242">
        <v>2</v>
      </c>
      <c r="P242" t="s">
        <v>1556</v>
      </c>
      <c r="Q242" t="s">
        <v>1552</v>
      </c>
      <c r="R242" t="s">
        <v>1550</v>
      </c>
      <c r="S242" t="s">
        <v>1535</v>
      </c>
      <c r="T242" t="s">
        <v>1540</v>
      </c>
      <c r="U242" t="s">
        <v>1547</v>
      </c>
      <c r="V242" t="s">
        <v>1558</v>
      </c>
      <c r="W242" t="s">
        <v>1563</v>
      </c>
      <c r="X242" t="s">
        <v>1575</v>
      </c>
      <c r="Y242" t="s">
        <v>1583</v>
      </c>
      <c r="Z242" t="s">
        <v>1593</v>
      </c>
      <c r="AA242" t="s">
        <v>1598</v>
      </c>
      <c r="AB242" t="s">
        <v>1601</v>
      </c>
      <c r="AC242" t="s">
        <v>1610</v>
      </c>
      <c r="AD242" t="s">
        <v>1606</v>
      </c>
      <c r="AE242" t="s">
        <v>1619</v>
      </c>
      <c r="AF242" t="s">
        <v>1627</v>
      </c>
    </row>
    <row r="243" spans="1:32" x14ac:dyDescent="0.25">
      <c r="A243" t="s">
        <v>300</v>
      </c>
      <c r="B243">
        <v>32</v>
      </c>
      <c r="C243">
        <v>976</v>
      </c>
      <c r="D243">
        <v>26</v>
      </c>
      <c r="E243">
        <v>100</v>
      </c>
      <c r="F243">
        <v>4465</v>
      </c>
      <c r="G243">
        <v>12069</v>
      </c>
      <c r="H243">
        <v>0</v>
      </c>
      <c r="I243">
        <v>18</v>
      </c>
      <c r="J243">
        <v>4</v>
      </c>
      <c r="K243">
        <v>2</v>
      </c>
      <c r="L243">
        <v>3</v>
      </c>
      <c r="M243">
        <v>2</v>
      </c>
      <c r="N243">
        <v>2</v>
      </c>
      <c r="O243">
        <v>2</v>
      </c>
      <c r="P243" t="s">
        <v>1556</v>
      </c>
      <c r="Q243" t="s">
        <v>1554</v>
      </c>
      <c r="R243" t="s">
        <v>1549</v>
      </c>
      <c r="S243" t="s">
        <v>1535</v>
      </c>
      <c r="T243" t="s">
        <v>1541</v>
      </c>
      <c r="U243" t="s">
        <v>1547</v>
      </c>
      <c r="V243" t="s">
        <v>1559</v>
      </c>
      <c r="W243" t="s">
        <v>1563</v>
      </c>
      <c r="X243" t="s">
        <v>1576</v>
      </c>
      <c r="Y243" t="s">
        <v>1581</v>
      </c>
      <c r="Z243" t="s">
        <v>1594</v>
      </c>
      <c r="AA243" t="s">
        <v>1597</v>
      </c>
      <c r="AB243" t="s">
        <v>1601</v>
      </c>
      <c r="AC243" t="s">
        <v>1610</v>
      </c>
      <c r="AD243" t="s">
        <v>1604</v>
      </c>
      <c r="AE243" t="s">
        <v>1616</v>
      </c>
      <c r="AF243" t="s">
        <v>1627</v>
      </c>
    </row>
    <row r="244" spans="1:32" x14ac:dyDescent="0.25">
      <c r="A244" t="s">
        <v>301</v>
      </c>
      <c r="B244">
        <v>41</v>
      </c>
      <c r="C244">
        <v>1411</v>
      </c>
      <c r="D244">
        <v>19</v>
      </c>
      <c r="E244">
        <v>36</v>
      </c>
      <c r="F244">
        <v>3072</v>
      </c>
      <c r="G244">
        <v>19877</v>
      </c>
      <c r="H244">
        <v>2</v>
      </c>
      <c r="I244">
        <v>16</v>
      </c>
      <c r="J244">
        <v>17</v>
      </c>
      <c r="K244">
        <v>2</v>
      </c>
      <c r="L244">
        <v>1</v>
      </c>
      <c r="M244">
        <v>0</v>
      </c>
      <c r="N244">
        <v>0</v>
      </c>
      <c r="O244">
        <v>0</v>
      </c>
      <c r="P244" t="s">
        <v>1556</v>
      </c>
      <c r="Q244" t="s">
        <v>1552</v>
      </c>
      <c r="R244" t="s">
        <v>1550</v>
      </c>
      <c r="S244" t="s">
        <v>1533</v>
      </c>
      <c r="T244" t="s">
        <v>1538</v>
      </c>
      <c r="U244" t="s">
        <v>1547</v>
      </c>
      <c r="V244" t="s">
        <v>1559</v>
      </c>
      <c r="W244" t="s">
        <v>1563</v>
      </c>
      <c r="X244" t="s">
        <v>1576</v>
      </c>
      <c r="Y244" t="s">
        <v>1582</v>
      </c>
      <c r="Z244" t="s">
        <v>1591</v>
      </c>
      <c r="AA244" t="s">
        <v>1598</v>
      </c>
      <c r="AB244" t="s">
        <v>1601</v>
      </c>
      <c r="AC244" t="s">
        <v>1610</v>
      </c>
      <c r="AD244" t="s">
        <v>1604</v>
      </c>
      <c r="AE244" t="s">
        <v>1618</v>
      </c>
      <c r="AF244" t="s">
        <v>1626</v>
      </c>
    </row>
    <row r="245" spans="1:32" x14ac:dyDescent="0.25">
      <c r="A245" t="s">
        <v>302</v>
      </c>
      <c r="B245">
        <v>40</v>
      </c>
      <c r="C245">
        <v>1300</v>
      </c>
      <c r="D245">
        <v>24</v>
      </c>
      <c r="E245">
        <v>62</v>
      </c>
      <c r="F245">
        <v>3319</v>
      </c>
      <c r="G245">
        <v>24447</v>
      </c>
      <c r="H245">
        <v>1</v>
      </c>
      <c r="I245">
        <v>17</v>
      </c>
      <c r="J245">
        <v>9</v>
      </c>
      <c r="K245">
        <v>3</v>
      </c>
      <c r="L245">
        <v>9</v>
      </c>
      <c r="M245">
        <v>8</v>
      </c>
      <c r="N245">
        <v>4</v>
      </c>
      <c r="O245">
        <v>7</v>
      </c>
      <c r="P245" t="s">
        <v>1556</v>
      </c>
      <c r="Q245" t="s">
        <v>1552</v>
      </c>
      <c r="R245" t="s">
        <v>1550</v>
      </c>
      <c r="S245" t="s">
        <v>1533</v>
      </c>
      <c r="T245" t="s">
        <v>1542</v>
      </c>
      <c r="U245" t="s">
        <v>1545</v>
      </c>
      <c r="V245" t="s">
        <v>1559</v>
      </c>
      <c r="W245" t="s">
        <v>1563</v>
      </c>
      <c r="X245" t="s">
        <v>1576</v>
      </c>
      <c r="Y245" t="s">
        <v>1582</v>
      </c>
      <c r="Z245" t="s">
        <v>1594</v>
      </c>
      <c r="AA245" t="s">
        <v>1598</v>
      </c>
      <c r="AB245" t="s">
        <v>1601</v>
      </c>
      <c r="AC245" t="s">
        <v>1610</v>
      </c>
      <c r="AD245" t="s">
        <v>1604</v>
      </c>
      <c r="AE245" t="s">
        <v>1618</v>
      </c>
      <c r="AF245" t="s">
        <v>1627</v>
      </c>
    </row>
    <row r="246" spans="1:32" x14ac:dyDescent="0.25">
      <c r="A246" t="s">
        <v>303</v>
      </c>
      <c r="B246">
        <v>45</v>
      </c>
      <c r="C246">
        <v>252</v>
      </c>
      <c r="D246">
        <v>1</v>
      </c>
      <c r="E246">
        <v>70</v>
      </c>
      <c r="F246">
        <v>19202</v>
      </c>
      <c r="G246">
        <v>15970</v>
      </c>
      <c r="H246">
        <v>0</v>
      </c>
      <c r="I246">
        <v>11</v>
      </c>
      <c r="J246">
        <v>25</v>
      </c>
      <c r="K246">
        <v>2</v>
      </c>
      <c r="L246">
        <v>24</v>
      </c>
      <c r="M246">
        <v>0</v>
      </c>
      <c r="N246">
        <v>1</v>
      </c>
      <c r="O246">
        <v>7</v>
      </c>
      <c r="P246" t="s">
        <v>1556</v>
      </c>
      <c r="Q246" t="s">
        <v>1552</v>
      </c>
      <c r="R246" t="s">
        <v>1550</v>
      </c>
      <c r="S246" t="s">
        <v>1534</v>
      </c>
      <c r="T246" t="s">
        <v>1539</v>
      </c>
      <c r="U246" t="s">
        <v>1547</v>
      </c>
      <c r="V246" t="s">
        <v>1559</v>
      </c>
      <c r="W246" t="s">
        <v>1564</v>
      </c>
      <c r="X246" t="s">
        <v>1579</v>
      </c>
      <c r="Y246" t="s">
        <v>1586</v>
      </c>
      <c r="Z246" t="s">
        <v>1594</v>
      </c>
      <c r="AA246" t="s">
        <v>1597</v>
      </c>
      <c r="AB246" t="s">
        <v>1601</v>
      </c>
      <c r="AC246" t="s">
        <v>1610</v>
      </c>
      <c r="AD246" t="s">
        <v>1606</v>
      </c>
      <c r="AE246" t="s">
        <v>1617</v>
      </c>
      <c r="AF246" t="s">
        <v>1627</v>
      </c>
    </row>
    <row r="247" spans="1:32" x14ac:dyDescent="0.25">
      <c r="A247" t="s">
        <v>304</v>
      </c>
      <c r="B247">
        <v>31</v>
      </c>
      <c r="C247">
        <v>1327</v>
      </c>
      <c r="D247">
        <v>3</v>
      </c>
      <c r="E247">
        <v>73</v>
      </c>
      <c r="F247">
        <v>13675</v>
      </c>
      <c r="G247">
        <v>13523</v>
      </c>
      <c r="H247">
        <v>9</v>
      </c>
      <c r="I247">
        <v>12</v>
      </c>
      <c r="J247">
        <v>9</v>
      </c>
      <c r="K247">
        <v>3</v>
      </c>
      <c r="L247">
        <v>2</v>
      </c>
      <c r="M247">
        <v>2</v>
      </c>
      <c r="N247">
        <v>2</v>
      </c>
      <c r="O247">
        <v>2</v>
      </c>
      <c r="P247" t="s">
        <v>1556</v>
      </c>
      <c r="Q247" t="s">
        <v>1553</v>
      </c>
      <c r="R247" t="s">
        <v>1550</v>
      </c>
      <c r="S247" t="s">
        <v>1535</v>
      </c>
      <c r="T247" t="s">
        <v>1540</v>
      </c>
      <c r="U247" t="s">
        <v>1546</v>
      </c>
      <c r="V247" t="s">
        <v>1559</v>
      </c>
      <c r="W247" t="s">
        <v>1563</v>
      </c>
      <c r="X247" t="s">
        <v>1577</v>
      </c>
      <c r="Y247" t="s">
        <v>1588</v>
      </c>
      <c r="Z247" t="s">
        <v>1593</v>
      </c>
      <c r="AA247" t="s">
        <v>1598</v>
      </c>
      <c r="AB247" t="s">
        <v>1601</v>
      </c>
      <c r="AC247" t="s">
        <v>1610</v>
      </c>
      <c r="AD247" t="s">
        <v>1604</v>
      </c>
      <c r="AE247" t="s">
        <v>1617</v>
      </c>
      <c r="AF247" t="s">
        <v>1627</v>
      </c>
    </row>
    <row r="248" spans="1:32" x14ac:dyDescent="0.25">
      <c r="A248" t="s">
        <v>305</v>
      </c>
      <c r="B248">
        <v>33</v>
      </c>
      <c r="C248">
        <v>832</v>
      </c>
      <c r="D248">
        <v>5</v>
      </c>
      <c r="E248">
        <v>63</v>
      </c>
      <c r="F248">
        <v>2911</v>
      </c>
      <c r="G248">
        <v>14776</v>
      </c>
      <c r="H248">
        <v>1</v>
      </c>
      <c r="I248">
        <v>13</v>
      </c>
      <c r="J248">
        <v>2</v>
      </c>
      <c r="K248">
        <v>2</v>
      </c>
      <c r="L248">
        <v>2</v>
      </c>
      <c r="M248">
        <v>2</v>
      </c>
      <c r="N248">
        <v>0</v>
      </c>
      <c r="O248">
        <v>2</v>
      </c>
      <c r="P248" t="s">
        <v>1556</v>
      </c>
      <c r="Q248" t="s">
        <v>1552</v>
      </c>
      <c r="R248" t="s">
        <v>1550</v>
      </c>
      <c r="S248" t="s">
        <v>1535</v>
      </c>
      <c r="T248" t="s">
        <v>1538</v>
      </c>
      <c r="U248" t="s">
        <v>1547</v>
      </c>
      <c r="V248" t="s">
        <v>1558</v>
      </c>
      <c r="W248" t="s">
        <v>1562</v>
      </c>
      <c r="X248" t="s">
        <v>1575</v>
      </c>
      <c r="Y248" t="s">
        <v>1582</v>
      </c>
      <c r="Z248" t="s">
        <v>1594</v>
      </c>
      <c r="AA248" t="s">
        <v>1597</v>
      </c>
      <c r="AB248" t="s">
        <v>1601</v>
      </c>
      <c r="AC248" t="s">
        <v>1610</v>
      </c>
      <c r="AD248" t="s">
        <v>1606</v>
      </c>
      <c r="AE248" t="s">
        <v>1617</v>
      </c>
      <c r="AF248" t="s">
        <v>1626</v>
      </c>
    </row>
    <row r="249" spans="1:32" x14ac:dyDescent="0.25">
      <c r="A249" t="s">
        <v>306</v>
      </c>
      <c r="B249">
        <v>34</v>
      </c>
      <c r="C249">
        <v>470</v>
      </c>
      <c r="D249">
        <v>2</v>
      </c>
      <c r="E249">
        <v>84</v>
      </c>
      <c r="F249">
        <v>5957</v>
      </c>
      <c r="G249">
        <v>23687</v>
      </c>
      <c r="H249">
        <v>6</v>
      </c>
      <c r="I249">
        <v>13</v>
      </c>
      <c r="J249">
        <v>13</v>
      </c>
      <c r="K249">
        <v>3</v>
      </c>
      <c r="L249">
        <v>11</v>
      </c>
      <c r="M249">
        <v>9</v>
      </c>
      <c r="N249">
        <v>5</v>
      </c>
      <c r="O249">
        <v>9</v>
      </c>
      <c r="P249" t="s">
        <v>1556</v>
      </c>
      <c r="Q249" t="s">
        <v>1552</v>
      </c>
      <c r="R249" t="s">
        <v>1550</v>
      </c>
      <c r="S249" t="s">
        <v>1535</v>
      </c>
      <c r="T249" t="s">
        <v>1538</v>
      </c>
      <c r="U249" t="s">
        <v>1548</v>
      </c>
      <c r="V249" t="s">
        <v>1559</v>
      </c>
      <c r="W249" t="s">
        <v>1562</v>
      </c>
      <c r="X249" t="s">
        <v>1576</v>
      </c>
      <c r="Y249" t="s">
        <v>1584</v>
      </c>
      <c r="Z249" t="s">
        <v>1591</v>
      </c>
      <c r="AA249" t="s">
        <v>1597</v>
      </c>
      <c r="AB249" t="s">
        <v>1601</v>
      </c>
      <c r="AC249" t="s">
        <v>1610</v>
      </c>
      <c r="AD249" t="s">
        <v>1605</v>
      </c>
      <c r="AE249" t="s">
        <v>1617</v>
      </c>
      <c r="AF249" t="s">
        <v>1627</v>
      </c>
    </row>
    <row r="250" spans="1:32" x14ac:dyDescent="0.25">
      <c r="A250" t="s">
        <v>307</v>
      </c>
      <c r="B250">
        <v>37</v>
      </c>
      <c r="C250">
        <v>1017</v>
      </c>
      <c r="D250">
        <v>1</v>
      </c>
      <c r="E250">
        <v>83</v>
      </c>
      <c r="F250">
        <v>3920</v>
      </c>
      <c r="G250">
        <v>18697</v>
      </c>
      <c r="H250">
        <v>2</v>
      </c>
      <c r="I250">
        <v>14</v>
      </c>
      <c r="J250">
        <v>17</v>
      </c>
      <c r="K250">
        <v>2</v>
      </c>
      <c r="L250">
        <v>3</v>
      </c>
      <c r="M250">
        <v>1</v>
      </c>
      <c r="N250">
        <v>0</v>
      </c>
      <c r="O250">
        <v>2</v>
      </c>
      <c r="P250" t="s">
        <v>1556</v>
      </c>
      <c r="Q250" t="s">
        <v>1552</v>
      </c>
      <c r="R250" t="s">
        <v>1550</v>
      </c>
      <c r="S250" t="s">
        <v>1533</v>
      </c>
      <c r="T250" t="s">
        <v>1540</v>
      </c>
      <c r="U250" t="s">
        <v>1547</v>
      </c>
      <c r="V250" t="s">
        <v>1558</v>
      </c>
      <c r="W250" t="s">
        <v>1562</v>
      </c>
      <c r="X250" t="s">
        <v>1575</v>
      </c>
      <c r="Y250" t="s">
        <v>1582</v>
      </c>
      <c r="Z250" t="s">
        <v>1591</v>
      </c>
      <c r="AA250" t="s">
        <v>1597</v>
      </c>
      <c r="AB250" t="s">
        <v>1601</v>
      </c>
      <c r="AC250" t="s">
        <v>1610</v>
      </c>
      <c r="AD250" t="s">
        <v>1604</v>
      </c>
      <c r="AE250" t="s">
        <v>1617</v>
      </c>
      <c r="AF250" t="s">
        <v>1626</v>
      </c>
    </row>
    <row r="251" spans="1:32" x14ac:dyDescent="0.25">
      <c r="A251" t="s">
        <v>308</v>
      </c>
      <c r="B251">
        <v>45</v>
      </c>
      <c r="C251">
        <v>1199</v>
      </c>
      <c r="D251">
        <v>7</v>
      </c>
      <c r="E251">
        <v>77</v>
      </c>
      <c r="F251">
        <v>6434</v>
      </c>
      <c r="G251">
        <v>5118</v>
      </c>
      <c r="H251">
        <v>4</v>
      </c>
      <c r="I251">
        <v>17</v>
      </c>
      <c r="J251">
        <v>9</v>
      </c>
      <c r="K251">
        <v>1</v>
      </c>
      <c r="L251">
        <v>3</v>
      </c>
      <c r="M251">
        <v>2</v>
      </c>
      <c r="N251">
        <v>0</v>
      </c>
      <c r="O251">
        <v>2</v>
      </c>
      <c r="P251" t="s">
        <v>1556</v>
      </c>
      <c r="Q251" t="s">
        <v>1553</v>
      </c>
      <c r="R251" t="s">
        <v>1550</v>
      </c>
      <c r="S251" t="s">
        <v>1535</v>
      </c>
      <c r="T251" t="s">
        <v>1538</v>
      </c>
      <c r="U251" t="s">
        <v>1545</v>
      </c>
      <c r="V251" t="s">
        <v>1559</v>
      </c>
      <c r="W251" t="s">
        <v>1564</v>
      </c>
      <c r="X251" t="s">
        <v>1576</v>
      </c>
      <c r="Y251" t="s">
        <v>1584</v>
      </c>
      <c r="Z251" t="s">
        <v>1593</v>
      </c>
      <c r="AA251" t="s">
        <v>1597</v>
      </c>
      <c r="AB251" t="s">
        <v>1601</v>
      </c>
      <c r="AC251" t="s">
        <v>1610</v>
      </c>
      <c r="AD251" t="s">
        <v>1607</v>
      </c>
      <c r="AE251" t="s">
        <v>1617</v>
      </c>
      <c r="AF251" t="s">
        <v>1627</v>
      </c>
    </row>
    <row r="252" spans="1:32" x14ac:dyDescent="0.25">
      <c r="A252" t="s">
        <v>309</v>
      </c>
      <c r="B252">
        <v>37</v>
      </c>
      <c r="C252">
        <v>504</v>
      </c>
      <c r="D252">
        <v>10</v>
      </c>
      <c r="E252">
        <v>61</v>
      </c>
      <c r="F252">
        <v>10048</v>
      </c>
      <c r="G252">
        <v>22573</v>
      </c>
      <c r="H252">
        <v>6</v>
      </c>
      <c r="I252">
        <v>11</v>
      </c>
      <c r="J252">
        <v>17</v>
      </c>
      <c r="K252">
        <v>5</v>
      </c>
      <c r="L252">
        <v>1</v>
      </c>
      <c r="M252">
        <v>0</v>
      </c>
      <c r="N252">
        <v>0</v>
      </c>
      <c r="O252">
        <v>0</v>
      </c>
      <c r="P252" t="s">
        <v>1555</v>
      </c>
      <c r="Q252" t="s">
        <v>1553</v>
      </c>
      <c r="R252" t="s">
        <v>1550</v>
      </c>
      <c r="S252" t="s">
        <v>1534</v>
      </c>
      <c r="T252" t="s">
        <v>1540</v>
      </c>
      <c r="U252" t="s">
        <v>1545</v>
      </c>
      <c r="V252" t="s">
        <v>1559</v>
      </c>
      <c r="W252" t="s">
        <v>1563</v>
      </c>
      <c r="X252" t="s">
        <v>1577</v>
      </c>
      <c r="Y252" t="s">
        <v>1584</v>
      </c>
      <c r="Z252" t="s">
        <v>1593</v>
      </c>
      <c r="AA252" t="s">
        <v>1598</v>
      </c>
      <c r="AB252" t="s">
        <v>1601</v>
      </c>
      <c r="AC252" t="s">
        <v>1610</v>
      </c>
      <c r="AD252" t="s">
        <v>1605</v>
      </c>
      <c r="AE252" t="s">
        <v>1618</v>
      </c>
      <c r="AF252" t="s">
        <v>1627</v>
      </c>
    </row>
    <row r="253" spans="1:32" x14ac:dyDescent="0.25">
      <c r="A253" t="s">
        <v>310</v>
      </c>
      <c r="B253">
        <v>39</v>
      </c>
      <c r="C253">
        <v>505</v>
      </c>
      <c r="D253">
        <v>2</v>
      </c>
      <c r="E253">
        <v>64</v>
      </c>
      <c r="F253">
        <v>10938</v>
      </c>
      <c r="G253">
        <v>6420</v>
      </c>
      <c r="H253">
        <v>0</v>
      </c>
      <c r="I253">
        <v>25</v>
      </c>
      <c r="J253">
        <v>20</v>
      </c>
      <c r="K253">
        <v>1</v>
      </c>
      <c r="L253">
        <v>19</v>
      </c>
      <c r="M253">
        <v>6</v>
      </c>
      <c r="N253">
        <v>11</v>
      </c>
      <c r="O253">
        <v>8</v>
      </c>
      <c r="P253" t="s">
        <v>1556</v>
      </c>
      <c r="Q253" t="s">
        <v>1553</v>
      </c>
      <c r="R253" t="s">
        <v>1550</v>
      </c>
      <c r="S253" t="s">
        <v>1535</v>
      </c>
      <c r="T253" t="s">
        <v>1542</v>
      </c>
      <c r="U253" t="s">
        <v>1547</v>
      </c>
      <c r="V253" t="s">
        <v>1558</v>
      </c>
      <c r="W253" t="s">
        <v>1563</v>
      </c>
      <c r="X253" t="s">
        <v>1577</v>
      </c>
      <c r="Y253" t="s">
        <v>1585</v>
      </c>
      <c r="Z253" t="s">
        <v>1593</v>
      </c>
      <c r="AA253" t="s">
        <v>1596</v>
      </c>
      <c r="AB253" t="s">
        <v>1601</v>
      </c>
      <c r="AC253" t="s">
        <v>1611</v>
      </c>
      <c r="AD253" t="s">
        <v>1607</v>
      </c>
      <c r="AE253" t="s">
        <v>1616</v>
      </c>
      <c r="AF253" t="s">
        <v>1627</v>
      </c>
    </row>
    <row r="254" spans="1:32" x14ac:dyDescent="0.25">
      <c r="A254" t="s">
        <v>311</v>
      </c>
      <c r="B254">
        <v>29</v>
      </c>
      <c r="C254">
        <v>665</v>
      </c>
      <c r="D254">
        <v>15</v>
      </c>
      <c r="E254">
        <v>60</v>
      </c>
      <c r="F254">
        <v>2340</v>
      </c>
      <c r="G254">
        <v>22673</v>
      </c>
      <c r="H254">
        <v>1</v>
      </c>
      <c r="I254">
        <v>19</v>
      </c>
      <c r="J254">
        <v>6</v>
      </c>
      <c r="K254">
        <v>1</v>
      </c>
      <c r="L254">
        <v>6</v>
      </c>
      <c r="M254">
        <v>5</v>
      </c>
      <c r="N254">
        <v>1</v>
      </c>
      <c r="O254">
        <v>5</v>
      </c>
      <c r="P254" t="s">
        <v>1556</v>
      </c>
      <c r="Q254" t="s">
        <v>1552</v>
      </c>
      <c r="R254" t="s">
        <v>1550</v>
      </c>
      <c r="S254" t="s">
        <v>1534</v>
      </c>
      <c r="T254" t="s">
        <v>1538</v>
      </c>
      <c r="U254" t="s">
        <v>1547</v>
      </c>
      <c r="V254" t="s">
        <v>1559</v>
      </c>
      <c r="W254" t="s">
        <v>1563</v>
      </c>
      <c r="X254" t="s">
        <v>1575</v>
      </c>
      <c r="Y254" t="s">
        <v>1582</v>
      </c>
      <c r="Z254" t="s">
        <v>1594</v>
      </c>
      <c r="AA254" t="s">
        <v>1596</v>
      </c>
      <c r="AB254" t="s">
        <v>1601</v>
      </c>
      <c r="AC254" t="s">
        <v>1610</v>
      </c>
      <c r="AD254" t="s">
        <v>1604</v>
      </c>
      <c r="AE254" t="s">
        <v>1616</v>
      </c>
      <c r="AF254" t="s">
        <v>1627</v>
      </c>
    </row>
    <row r="255" spans="1:32" x14ac:dyDescent="0.25">
      <c r="A255" t="s">
        <v>312</v>
      </c>
      <c r="B255">
        <v>42</v>
      </c>
      <c r="C255">
        <v>916</v>
      </c>
      <c r="D255">
        <v>17</v>
      </c>
      <c r="E255">
        <v>82</v>
      </c>
      <c r="F255">
        <v>6545</v>
      </c>
      <c r="G255">
        <v>23016</v>
      </c>
      <c r="H255">
        <v>3</v>
      </c>
      <c r="I255">
        <v>13</v>
      </c>
      <c r="J255">
        <v>10</v>
      </c>
      <c r="K255">
        <v>1</v>
      </c>
      <c r="L255">
        <v>3</v>
      </c>
      <c r="M255">
        <v>2</v>
      </c>
      <c r="N255">
        <v>0</v>
      </c>
      <c r="O255">
        <v>2</v>
      </c>
      <c r="P255" t="s">
        <v>1556</v>
      </c>
      <c r="Q255" t="s">
        <v>1552</v>
      </c>
      <c r="R255" t="s">
        <v>1550</v>
      </c>
      <c r="S255" t="s">
        <v>1533</v>
      </c>
      <c r="T255" t="s">
        <v>1538</v>
      </c>
      <c r="U255" t="s">
        <v>1548</v>
      </c>
      <c r="V255" t="s">
        <v>1558</v>
      </c>
      <c r="W255" t="s">
        <v>1564</v>
      </c>
      <c r="X255" t="s">
        <v>1576</v>
      </c>
      <c r="Y255" t="s">
        <v>1582</v>
      </c>
      <c r="Z255" t="s">
        <v>1591</v>
      </c>
      <c r="AA255" t="s">
        <v>1596</v>
      </c>
      <c r="AB255" t="s">
        <v>1600</v>
      </c>
      <c r="AC255" t="s">
        <v>1610</v>
      </c>
      <c r="AD255" t="s">
        <v>1606</v>
      </c>
      <c r="AE255" t="s">
        <v>1616</v>
      </c>
      <c r="AF255" t="s">
        <v>1627</v>
      </c>
    </row>
    <row r="256" spans="1:32" x14ac:dyDescent="0.25">
      <c r="A256" t="s">
        <v>313</v>
      </c>
      <c r="B256">
        <v>29</v>
      </c>
      <c r="C256">
        <v>1247</v>
      </c>
      <c r="D256">
        <v>20</v>
      </c>
      <c r="E256">
        <v>45</v>
      </c>
      <c r="F256">
        <v>6931</v>
      </c>
      <c r="G256">
        <v>10732</v>
      </c>
      <c r="H256">
        <v>2</v>
      </c>
      <c r="I256">
        <v>14</v>
      </c>
      <c r="J256">
        <v>10</v>
      </c>
      <c r="K256">
        <v>2</v>
      </c>
      <c r="L256">
        <v>3</v>
      </c>
      <c r="M256">
        <v>2</v>
      </c>
      <c r="N256">
        <v>0</v>
      </c>
      <c r="O256">
        <v>2</v>
      </c>
      <c r="P256" t="s">
        <v>1556</v>
      </c>
      <c r="Q256" t="s">
        <v>1552</v>
      </c>
      <c r="R256" t="s">
        <v>1549</v>
      </c>
      <c r="S256" t="s">
        <v>1533</v>
      </c>
      <c r="T256" t="s">
        <v>1541</v>
      </c>
      <c r="U256" t="s">
        <v>1548</v>
      </c>
      <c r="V256" t="s">
        <v>1559</v>
      </c>
      <c r="W256" t="s">
        <v>1563</v>
      </c>
      <c r="X256" t="s">
        <v>1576</v>
      </c>
      <c r="Y256" t="s">
        <v>1581</v>
      </c>
      <c r="Z256" t="s">
        <v>1594</v>
      </c>
      <c r="AA256" t="s">
        <v>1598</v>
      </c>
      <c r="AB256" t="s">
        <v>1601</v>
      </c>
      <c r="AC256" t="s">
        <v>1610</v>
      </c>
      <c r="AD256" t="s">
        <v>1607</v>
      </c>
      <c r="AE256" t="s">
        <v>1617</v>
      </c>
      <c r="AF256" t="s">
        <v>1627</v>
      </c>
    </row>
    <row r="257" spans="1:32" x14ac:dyDescent="0.25">
      <c r="A257" t="s">
        <v>314</v>
      </c>
      <c r="B257">
        <v>25</v>
      </c>
      <c r="C257">
        <v>685</v>
      </c>
      <c r="D257">
        <v>1</v>
      </c>
      <c r="E257">
        <v>62</v>
      </c>
      <c r="F257">
        <v>4898</v>
      </c>
      <c r="G257">
        <v>7505</v>
      </c>
      <c r="H257">
        <v>0</v>
      </c>
      <c r="I257">
        <v>12</v>
      </c>
      <c r="J257">
        <v>5</v>
      </c>
      <c r="K257">
        <v>3</v>
      </c>
      <c r="L257">
        <v>4</v>
      </c>
      <c r="M257">
        <v>2</v>
      </c>
      <c r="N257">
        <v>1</v>
      </c>
      <c r="O257">
        <v>2</v>
      </c>
      <c r="P257" t="s">
        <v>1556</v>
      </c>
      <c r="Q257" t="s">
        <v>1552</v>
      </c>
      <c r="R257" t="s">
        <v>1550</v>
      </c>
      <c r="S257" t="s">
        <v>1534</v>
      </c>
      <c r="T257" t="s">
        <v>1538</v>
      </c>
      <c r="U257" t="s">
        <v>1545</v>
      </c>
      <c r="V257" t="s">
        <v>1558</v>
      </c>
      <c r="W257" t="s">
        <v>1563</v>
      </c>
      <c r="X257" t="s">
        <v>1576</v>
      </c>
      <c r="Y257" t="s">
        <v>1584</v>
      </c>
      <c r="Z257" t="s">
        <v>1593</v>
      </c>
      <c r="AA257" t="s">
        <v>1597</v>
      </c>
      <c r="AB257" t="s">
        <v>1601</v>
      </c>
      <c r="AC257" t="s">
        <v>1610</v>
      </c>
      <c r="AD257" t="s">
        <v>1607</v>
      </c>
      <c r="AE257" t="s">
        <v>1618</v>
      </c>
      <c r="AF257" t="s">
        <v>1627</v>
      </c>
    </row>
    <row r="258" spans="1:32" x14ac:dyDescent="0.25">
      <c r="A258" t="s">
        <v>315</v>
      </c>
      <c r="B258">
        <v>42</v>
      </c>
      <c r="C258">
        <v>269</v>
      </c>
      <c r="D258">
        <v>2</v>
      </c>
      <c r="E258">
        <v>56</v>
      </c>
      <c r="F258">
        <v>2593</v>
      </c>
      <c r="G258">
        <v>8007</v>
      </c>
      <c r="H258">
        <v>0</v>
      </c>
      <c r="I258">
        <v>11</v>
      </c>
      <c r="J258">
        <v>10</v>
      </c>
      <c r="K258">
        <v>4</v>
      </c>
      <c r="L258">
        <v>9</v>
      </c>
      <c r="M258">
        <v>6</v>
      </c>
      <c r="N258">
        <v>7</v>
      </c>
      <c r="O258">
        <v>8</v>
      </c>
      <c r="P258" t="s">
        <v>1556</v>
      </c>
      <c r="Q258" t="s">
        <v>1552</v>
      </c>
      <c r="R258" t="s">
        <v>1550</v>
      </c>
      <c r="S258" t="s">
        <v>1534</v>
      </c>
      <c r="T258" t="s">
        <v>1540</v>
      </c>
      <c r="U258" t="s">
        <v>1548</v>
      </c>
      <c r="V258" t="s">
        <v>1558</v>
      </c>
      <c r="W258" t="s">
        <v>1562</v>
      </c>
      <c r="X258" t="s">
        <v>1575</v>
      </c>
      <c r="Y258" t="s">
        <v>1583</v>
      </c>
      <c r="Z258" t="s">
        <v>1591</v>
      </c>
      <c r="AA258" t="s">
        <v>1598</v>
      </c>
      <c r="AB258" t="s">
        <v>1600</v>
      </c>
      <c r="AC258" t="s">
        <v>1610</v>
      </c>
      <c r="AD258" t="s">
        <v>1606</v>
      </c>
      <c r="AE258" t="s">
        <v>1617</v>
      </c>
      <c r="AF258" t="s">
        <v>1627</v>
      </c>
    </row>
    <row r="259" spans="1:32" x14ac:dyDescent="0.25">
      <c r="A259" t="s">
        <v>316</v>
      </c>
      <c r="B259">
        <v>40</v>
      </c>
      <c r="C259">
        <v>1416</v>
      </c>
      <c r="D259">
        <v>2</v>
      </c>
      <c r="E259">
        <v>49</v>
      </c>
      <c r="F259">
        <v>19436</v>
      </c>
      <c r="G259">
        <v>5949</v>
      </c>
      <c r="H259">
        <v>0</v>
      </c>
      <c r="I259">
        <v>19</v>
      </c>
      <c r="J259">
        <v>22</v>
      </c>
      <c r="K259">
        <v>5</v>
      </c>
      <c r="L259">
        <v>21</v>
      </c>
      <c r="M259">
        <v>7</v>
      </c>
      <c r="N259">
        <v>3</v>
      </c>
      <c r="O259">
        <v>9</v>
      </c>
      <c r="P259" t="s">
        <v>1556</v>
      </c>
      <c r="Q259" t="s">
        <v>1552</v>
      </c>
      <c r="R259" t="s">
        <v>1550</v>
      </c>
      <c r="S259" t="s">
        <v>1533</v>
      </c>
      <c r="T259" t="s">
        <v>1540</v>
      </c>
      <c r="U259" t="s">
        <v>1545</v>
      </c>
      <c r="V259" t="s">
        <v>1559</v>
      </c>
      <c r="W259" t="s">
        <v>1563</v>
      </c>
      <c r="X259" t="s">
        <v>1579</v>
      </c>
      <c r="Y259" t="s">
        <v>1588</v>
      </c>
      <c r="Z259" t="s">
        <v>1593</v>
      </c>
      <c r="AA259" t="s">
        <v>1598</v>
      </c>
      <c r="AB259" t="s">
        <v>1601</v>
      </c>
      <c r="AC259" t="s">
        <v>1610</v>
      </c>
      <c r="AD259" t="s">
        <v>1607</v>
      </c>
      <c r="AE259" t="s">
        <v>1617</v>
      </c>
      <c r="AF259" t="s">
        <v>1627</v>
      </c>
    </row>
    <row r="260" spans="1:32" x14ac:dyDescent="0.25">
      <c r="A260" t="s">
        <v>317</v>
      </c>
      <c r="B260">
        <v>51</v>
      </c>
      <c r="C260">
        <v>833</v>
      </c>
      <c r="D260">
        <v>1</v>
      </c>
      <c r="E260">
        <v>96</v>
      </c>
      <c r="F260">
        <v>2723</v>
      </c>
      <c r="G260">
        <v>23231</v>
      </c>
      <c r="H260">
        <v>1</v>
      </c>
      <c r="I260">
        <v>11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 t="s">
        <v>1556</v>
      </c>
      <c r="Q260" t="s">
        <v>1552</v>
      </c>
      <c r="R260" t="s">
        <v>1550</v>
      </c>
      <c r="S260" t="s">
        <v>1534</v>
      </c>
      <c r="T260" t="s">
        <v>1538</v>
      </c>
      <c r="U260" t="s">
        <v>1547</v>
      </c>
      <c r="V260" t="s">
        <v>1559</v>
      </c>
      <c r="W260" t="s">
        <v>1563</v>
      </c>
      <c r="X260" t="s">
        <v>1575</v>
      </c>
      <c r="Y260" t="s">
        <v>1582</v>
      </c>
      <c r="Z260" t="s">
        <v>1594</v>
      </c>
      <c r="AA260" t="s">
        <v>1597</v>
      </c>
      <c r="AB260" t="s">
        <v>1601</v>
      </c>
      <c r="AC260" t="s">
        <v>1610</v>
      </c>
      <c r="AD260" t="s">
        <v>1605</v>
      </c>
      <c r="AE260" t="s">
        <v>1616</v>
      </c>
      <c r="AF260" t="s">
        <v>1626</v>
      </c>
    </row>
    <row r="261" spans="1:32" x14ac:dyDescent="0.25">
      <c r="A261" t="s">
        <v>318</v>
      </c>
      <c r="B261">
        <v>31</v>
      </c>
      <c r="C261">
        <v>307</v>
      </c>
      <c r="D261">
        <v>29</v>
      </c>
      <c r="E261">
        <v>71</v>
      </c>
      <c r="F261">
        <v>3479</v>
      </c>
      <c r="G261">
        <v>11652</v>
      </c>
      <c r="H261">
        <v>0</v>
      </c>
      <c r="I261">
        <v>11</v>
      </c>
      <c r="J261">
        <v>6</v>
      </c>
      <c r="K261">
        <v>2</v>
      </c>
      <c r="L261">
        <v>5</v>
      </c>
      <c r="M261">
        <v>4</v>
      </c>
      <c r="N261">
        <v>1</v>
      </c>
      <c r="O261">
        <v>4</v>
      </c>
      <c r="P261" t="s">
        <v>1555</v>
      </c>
      <c r="Q261" t="s">
        <v>1553</v>
      </c>
      <c r="R261" t="s">
        <v>1550</v>
      </c>
      <c r="S261" t="s">
        <v>1533</v>
      </c>
      <c r="T261" t="s">
        <v>1540</v>
      </c>
      <c r="U261" t="s">
        <v>1547</v>
      </c>
      <c r="V261" t="s">
        <v>1559</v>
      </c>
      <c r="W261" t="s">
        <v>1562</v>
      </c>
      <c r="X261" t="s">
        <v>1575</v>
      </c>
      <c r="Y261" t="s">
        <v>1583</v>
      </c>
      <c r="Z261" t="s">
        <v>1592</v>
      </c>
      <c r="AA261" t="s">
        <v>1596</v>
      </c>
      <c r="AB261" t="s">
        <v>1601</v>
      </c>
      <c r="AC261" t="s">
        <v>1610</v>
      </c>
      <c r="AD261" t="s">
        <v>1605</v>
      </c>
      <c r="AE261" t="s">
        <v>1616</v>
      </c>
      <c r="AF261" t="s">
        <v>1628</v>
      </c>
    </row>
    <row r="262" spans="1:32" x14ac:dyDescent="0.25">
      <c r="A262" t="s">
        <v>319</v>
      </c>
      <c r="B262">
        <v>32</v>
      </c>
      <c r="C262">
        <v>1311</v>
      </c>
      <c r="D262">
        <v>7</v>
      </c>
      <c r="E262">
        <v>100</v>
      </c>
      <c r="F262">
        <v>2794</v>
      </c>
      <c r="G262">
        <v>26062</v>
      </c>
      <c r="H262">
        <v>1</v>
      </c>
      <c r="I262">
        <v>20</v>
      </c>
      <c r="J262">
        <v>5</v>
      </c>
      <c r="K262">
        <v>3</v>
      </c>
      <c r="L262">
        <v>5</v>
      </c>
      <c r="M262">
        <v>1</v>
      </c>
      <c r="N262">
        <v>0</v>
      </c>
      <c r="O262">
        <v>3</v>
      </c>
      <c r="P262" t="s">
        <v>1556</v>
      </c>
      <c r="Q262" t="s">
        <v>1553</v>
      </c>
      <c r="R262" t="s">
        <v>1550</v>
      </c>
      <c r="S262" t="s">
        <v>1534</v>
      </c>
      <c r="T262" t="s">
        <v>1538</v>
      </c>
      <c r="U262" t="s">
        <v>1546</v>
      </c>
      <c r="V262" t="s">
        <v>1559</v>
      </c>
      <c r="W262" t="s">
        <v>1564</v>
      </c>
      <c r="X262" t="s">
        <v>1575</v>
      </c>
      <c r="Y262" t="s">
        <v>1583</v>
      </c>
      <c r="Z262" t="s">
        <v>1592</v>
      </c>
      <c r="AA262" t="s">
        <v>1597</v>
      </c>
      <c r="AB262" t="s">
        <v>1601</v>
      </c>
      <c r="AC262" t="s">
        <v>1611</v>
      </c>
      <c r="AD262" t="s">
        <v>1606</v>
      </c>
      <c r="AE262" t="s">
        <v>1616</v>
      </c>
      <c r="AF262" t="s">
        <v>1625</v>
      </c>
    </row>
    <row r="263" spans="1:32" x14ac:dyDescent="0.25">
      <c r="A263" t="s">
        <v>320</v>
      </c>
      <c r="B263">
        <v>38</v>
      </c>
      <c r="C263">
        <v>1327</v>
      </c>
      <c r="D263">
        <v>2</v>
      </c>
      <c r="E263">
        <v>39</v>
      </c>
      <c r="F263">
        <v>5249</v>
      </c>
      <c r="G263">
        <v>19682</v>
      </c>
      <c r="H263">
        <v>3</v>
      </c>
      <c r="I263">
        <v>18</v>
      </c>
      <c r="J263">
        <v>13</v>
      </c>
      <c r="K263">
        <v>0</v>
      </c>
      <c r="L263">
        <v>8</v>
      </c>
      <c r="M263">
        <v>7</v>
      </c>
      <c r="N263">
        <v>7</v>
      </c>
      <c r="O263">
        <v>5</v>
      </c>
      <c r="P263" t="s">
        <v>1556</v>
      </c>
      <c r="Q263" t="s">
        <v>1554</v>
      </c>
      <c r="R263" t="s">
        <v>1549</v>
      </c>
      <c r="S263" t="s">
        <v>1533</v>
      </c>
      <c r="T263" t="s">
        <v>1538</v>
      </c>
      <c r="U263" t="s">
        <v>1548</v>
      </c>
      <c r="V263" t="s">
        <v>1559</v>
      </c>
      <c r="W263" t="s">
        <v>1562</v>
      </c>
      <c r="X263" t="s">
        <v>1576</v>
      </c>
      <c r="Y263" t="s">
        <v>1581</v>
      </c>
      <c r="Z263" t="s">
        <v>1594</v>
      </c>
      <c r="AA263" t="s">
        <v>1597</v>
      </c>
      <c r="AB263" t="s">
        <v>1601</v>
      </c>
      <c r="AC263" t="s">
        <v>1610</v>
      </c>
      <c r="AD263" t="s">
        <v>1607</v>
      </c>
      <c r="AE263" t="s">
        <v>1617</v>
      </c>
      <c r="AF263" t="s">
        <v>1627</v>
      </c>
    </row>
    <row r="264" spans="1:32" x14ac:dyDescent="0.25">
      <c r="A264" t="s">
        <v>321</v>
      </c>
      <c r="B264">
        <v>32</v>
      </c>
      <c r="C264">
        <v>128</v>
      </c>
      <c r="D264">
        <v>2</v>
      </c>
      <c r="E264">
        <v>84</v>
      </c>
      <c r="F264">
        <v>2176</v>
      </c>
      <c r="G264">
        <v>19737</v>
      </c>
      <c r="H264">
        <v>4</v>
      </c>
      <c r="I264">
        <v>13</v>
      </c>
      <c r="J264">
        <v>9</v>
      </c>
      <c r="K264">
        <v>5</v>
      </c>
      <c r="L264">
        <v>6</v>
      </c>
      <c r="M264">
        <v>2</v>
      </c>
      <c r="N264">
        <v>0</v>
      </c>
      <c r="O264">
        <v>4</v>
      </c>
      <c r="P264" t="s">
        <v>1556</v>
      </c>
      <c r="Q264" t="s">
        <v>1552</v>
      </c>
      <c r="R264" t="s">
        <v>1550</v>
      </c>
      <c r="S264" t="s">
        <v>1532</v>
      </c>
      <c r="T264" t="s">
        <v>1542</v>
      </c>
      <c r="U264" t="s">
        <v>1548</v>
      </c>
      <c r="V264" t="s">
        <v>1559</v>
      </c>
      <c r="W264" t="s">
        <v>1562</v>
      </c>
      <c r="X264" t="s">
        <v>1576</v>
      </c>
      <c r="Y264" t="s">
        <v>1583</v>
      </c>
      <c r="Z264" t="s">
        <v>1591</v>
      </c>
      <c r="AA264" t="s">
        <v>1596</v>
      </c>
      <c r="AB264" t="s">
        <v>1601</v>
      </c>
      <c r="AC264" t="s">
        <v>1610</v>
      </c>
      <c r="AD264" t="s">
        <v>1607</v>
      </c>
      <c r="AE264" t="s">
        <v>1616</v>
      </c>
      <c r="AF264" t="s">
        <v>1627</v>
      </c>
    </row>
    <row r="265" spans="1:32" x14ac:dyDescent="0.25">
      <c r="A265" t="s">
        <v>322</v>
      </c>
      <c r="B265">
        <v>46</v>
      </c>
      <c r="C265">
        <v>488</v>
      </c>
      <c r="D265">
        <v>2</v>
      </c>
      <c r="E265">
        <v>75</v>
      </c>
      <c r="F265">
        <v>16872</v>
      </c>
      <c r="G265">
        <v>14977</v>
      </c>
      <c r="H265">
        <v>3</v>
      </c>
      <c r="I265">
        <v>12</v>
      </c>
      <c r="J265">
        <v>28</v>
      </c>
      <c r="K265">
        <v>2</v>
      </c>
      <c r="L265">
        <v>7</v>
      </c>
      <c r="M265">
        <v>7</v>
      </c>
      <c r="N265">
        <v>7</v>
      </c>
      <c r="O265">
        <v>7</v>
      </c>
      <c r="P265" t="s">
        <v>1556</v>
      </c>
      <c r="Q265" t="s">
        <v>1552</v>
      </c>
      <c r="R265" t="s">
        <v>1549</v>
      </c>
      <c r="S265" t="s">
        <v>1534</v>
      </c>
      <c r="T265" t="s">
        <v>1542</v>
      </c>
      <c r="U265" t="s">
        <v>1547</v>
      </c>
      <c r="V265" t="s">
        <v>1558</v>
      </c>
      <c r="W265" t="s">
        <v>1561</v>
      </c>
      <c r="X265" t="s">
        <v>1578</v>
      </c>
      <c r="Y265" t="s">
        <v>1586</v>
      </c>
      <c r="Z265" t="s">
        <v>1592</v>
      </c>
      <c r="AA265" t="s">
        <v>1597</v>
      </c>
      <c r="AB265" t="s">
        <v>1600</v>
      </c>
      <c r="AC265" t="s">
        <v>1610</v>
      </c>
      <c r="AD265" t="s">
        <v>1605</v>
      </c>
      <c r="AE265" t="s">
        <v>1617</v>
      </c>
      <c r="AF265" t="s">
        <v>1626</v>
      </c>
    </row>
    <row r="266" spans="1:32" x14ac:dyDescent="0.25">
      <c r="A266" t="s">
        <v>323</v>
      </c>
      <c r="B266">
        <v>28</v>
      </c>
      <c r="C266">
        <v>529</v>
      </c>
      <c r="D266">
        <v>2</v>
      </c>
      <c r="E266">
        <v>79</v>
      </c>
      <c r="F266">
        <v>3485</v>
      </c>
      <c r="G266">
        <v>14935</v>
      </c>
      <c r="H266">
        <v>2</v>
      </c>
      <c r="I266">
        <v>11</v>
      </c>
      <c r="J266">
        <v>5</v>
      </c>
      <c r="K266">
        <v>5</v>
      </c>
      <c r="L266">
        <v>0</v>
      </c>
      <c r="M266">
        <v>0</v>
      </c>
      <c r="N266">
        <v>0</v>
      </c>
      <c r="O266">
        <v>0</v>
      </c>
      <c r="P266" t="s">
        <v>1555</v>
      </c>
      <c r="Q266" t="s">
        <v>1552</v>
      </c>
      <c r="R266" t="s">
        <v>1550</v>
      </c>
      <c r="S266" t="s">
        <v>1535</v>
      </c>
      <c r="T266" t="s">
        <v>1538</v>
      </c>
      <c r="U266" t="s">
        <v>1545</v>
      </c>
      <c r="V266" t="s">
        <v>1559</v>
      </c>
      <c r="W266" t="s">
        <v>1563</v>
      </c>
      <c r="X266" t="s">
        <v>1575</v>
      </c>
      <c r="Y266" t="s">
        <v>1583</v>
      </c>
      <c r="Z266" t="s">
        <v>1593</v>
      </c>
      <c r="AA266" t="s">
        <v>1596</v>
      </c>
      <c r="AB266" t="s">
        <v>1601</v>
      </c>
      <c r="AC266" t="s">
        <v>1610</v>
      </c>
      <c r="AD266" t="s">
        <v>1606</v>
      </c>
      <c r="AE266" t="s">
        <v>1616</v>
      </c>
      <c r="AF266" t="s">
        <v>1625</v>
      </c>
    </row>
    <row r="267" spans="1:32" x14ac:dyDescent="0.25">
      <c r="A267" t="s">
        <v>324</v>
      </c>
      <c r="B267">
        <v>29</v>
      </c>
      <c r="C267">
        <v>1210</v>
      </c>
      <c r="D267">
        <v>2</v>
      </c>
      <c r="E267">
        <v>78</v>
      </c>
      <c r="F267">
        <v>6644</v>
      </c>
      <c r="G267">
        <v>3687</v>
      </c>
      <c r="H267">
        <v>2</v>
      </c>
      <c r="I267">
        <v>19</v>
      </c>
      <c r="J267">
        <v>10</v>
      </c>
      <c r="K267">
        <v>2</v>
      </c>
      <c r="L267">
        <v>0</v>
      </c>
      <c r="M267">
        <v>0</v>
      </c>
      <c r="N267">
        <v>0</v>
      </c>
      <c r="O267">
        <v>0</v>
      </c>
      <c r="P267" t="s">
        <v>1556</v>
      </c>
      <c r="Q267" t="s">
        <v>1552</v>
      </c>
      <c r="R267" t="s">
        <v>1549</v>
      </c>
      <c r="S267" t="s">
        <v>1534</v>
      </c>
      <c r="T267" t="s">
        <v>1540</v>
      </c>
      <c r="U267" t="s">
        <v>1545</v>
      </c>
      <c r="V267" t="s">
        <v>1559</v>
      </c>
      <c r="W267" t="s">
        <v>1562</v>
      </c>
      <c r="X267" t="s">
        <v>1576</v>
      </c>
      <c r="Y267" t="s">
        <v>1581</v>
      </c>
      <c r="Z267" t="s">
        <v>1592</v>
      </c>
      <c r="AA267" t="s">
        <v>1597</v>
      </c>
      <c r="AB267" t="s">
        <v>1601</v>
      </c>
      <c r="AC267" t="s">
        <v>1610</v>
      </c>
      <c r="AD267" t="s">
        <v>1605</v>
      </c>
      <c r="AE267" t="s">
        <v>1618</v>
      </c>
      <c r="AF267" t="s">
        <v>1627</v>
      </c>
    </row>
    <row r="268" spans="1:32" x14ac:dyDescent="0.25">
      <c r="A268" t="s">
        <v>325</v>
      </c>
      <c r="B268">
        <v>31</v>
      </c>
      <c r="C268">
        <v>1463</v>
      </c>
      <c r="D268">
        <v>23</v>
      </c>
      <c r="E268">
        <v>64</v>
      </c>
      <c r="F268">
        <v>5582</v>
      </c>
      <c r="G268">
        <v>14408</v>
      </c>
      <c r="H268">
        <v>0</v>
      </c>
      <c r="I268">
        <v>21</v>
      </c>
      <c r="J268">
        <v>10</v>
      </c>
      <c r="K268">
        <v>2</v>
      </c>
      <c r="L268">
        <v>9</v>
      </c>
      <c r="M268">
        <v>0</v>
      </c>
      <c r="N268">
        <v>7</v>
      </c>
      <c r="O268">
        <v>8</v>
      </c>
      <c r="P268" t="s">
        <v>1556</v>
      </c>
      <c r="Q268" t="s">
        <v>1552</v>
      </c>
      <c r="R268" t="s">
        <v>1550</v>
      </c>
      <c r="S268" t="s">
        <v>1534</v>
      </c>
      <c r="T268" t="s">
        <v>1540</v>
      </c>
      <c r="U268" t="s">
        <v>1546</v>
      </c>
      <c r="V268" t="s">
        <v>1559</v>
      </c>
      <c r="W268" t="s">
        <v>1562</v>
      </c>
      <c r="X268" t="s">
        <v>1576</v>
      </c>
      <c r="Y268" t="s">
        <v>1585</v>
      </c>
      <c r="Z268" t="s">
        <v>1594</v>
      </c>
      <c r="AA268" t="s">
        <v>1597</v>
      </c>
      <c r="AB268" t="s">
        <v>1601</v>
      </c>
      <c r="AC268" t="s">
        <v>1611</v>
      </c>
      <c r="AD268" t="s">
        <v>1605</v>
      </c>
      <c r="AE268" t="s">
        <v>1617</v>
      </c>
      <c r="AF268" t="s">
        <v>1627</v>
      </c>
    </row>
    <row r="269" spans="1:32" x14ac:dyDescent="0.25">
      <c r="A269" t="s">
        <v>326</v>
      </c>
      <c r="B269">
        <v>25</v>
      </c>
      <c r="C269">
        <v>675</v>
      </c>
      <c r="D269">
        <v>5</v>
      </c>
      <c r="E269">
        <v>85</v>
      </c>
      <c r="F269">
        <v>4000</v>
      </c>
      <c r="G269">
        <v>18384</v>
      </c>
      <c r="H269">
        <v>1</v>
      </c>
      <c r="I269">
        <v>12</v>
      </c>
      <c r="J269">
        <v>6</v>
      </c>
      <c r="K269">
        <v>2</v>
      </c>
      <c r="L269">
        <v>6</v>
      </c>
      <c r="M269">
        <v>3</v>
      </c>
      <c r="N269">
        <v>1</v>
      </c>
      <c r="O269">
        <v>5</v>
      </c>
      <c r="P269" t="s">
        <v>1556</v>
      </c>
      <c r="Q269" t="s">
        <v>1554</v>
      </c>
      <c r="R269" t="s">
        <v>1550</v>
      </c>
      <c r="S269" t="s">
        <v>1533</v>
      </c>
      <c r="T269" t="s">
        <v>1538</v>
      </c>
      <c r="U269" t="s">
        <v>1546</v>
      </c>
      <c r="V269" t="s">
        <v>1559</v>
      </c>
      <c r="W269" t="s">
        <v>1564</v>
      </c>
      <c r="X269" t="s">
        <v>1576</v>
      </c>
      <c r="Y269" t="s">
        <v>1585</v>
      </c>
      <c r="Z269" t="s">
        <v>1591</v>
      </c>
      <c r="AA269" t="s">
        <v>1598</v>
      </c>
      <c r="AB269" t="s">
        <v>1601</v>
      </c>
      <c r="AC269" t="s">
        <v>1610</v>
      </c>
      <c r="AD269" t="s">
        <v>1607</v>
      </c>
      <c r="AE269" t="s">
        <v>1618</v>
      </c>
      <c r="AF269" t="s">
        <v>1627</v>
      </c>
    </row>
    <row r="270" spans="1:32" x14ac:dyDescent="0.25">
      <c r="A270" t="s">
        <v>327</v>
      </c>
      <c r="B270">
        <v>45</v>
      </c>
      <c r="C270">
        <v>1385</v>
      </c>
      <c r="D270">
        <v>20</v>
      </c>
      <c r="E270">
        <v>79</v>
      </c>
      <c r="F270">
        <v>13496</v>
      </c>
      <c r="G270">
        <v>7501</v>
      </c>
      <c r="H270">
        <v>0</v>
      </c>
      <c r="I270">
        <v>14</v>
      </c>
      <c r="J270">
        <v>21</v>
      </c>
      <c r="K270">
        <v>2</v>
      </c>
      <c r="L270">
        <v>20</v>
      </c>
      <c r="M270">
        <v>7</v>
      </c>
      <c r="N270">
        <v>4</v>
      </c>
      <c r="O270">
        <v>10</v>
      </c>
      <c r="P270" t="s">
        <v>1556</v>
      </c>
      <c r="Q270" t="s">
        <v>1552</v>
      </c>
      <c r="R270" t="s">
        <v>1550</v>
      </c>
      <c r="S270" t="s">
        <v>1533</v>
      </c>
      <c r="T270" t="s">
        <v>1540</v>
      </c>
      <c r="U270" t="s">
        <v>1547</v>
      </c>
      <c r="V270" t="s">
        <v>1559</v>
      </c>
      <c r="W270" t="s">
        <v>1563</v>
      </c>
      <c r="X270" t="s">
        <v>1578</v>
      </c>
      <c r="Y270" t="s">
        <v>1585</v>
      </c>
      <c r="Z270" t="s">
        <v>1594</v>
      </c>
      <c r="AA270" t="s">
        <v>1597</v>
      </c>
      <c r="AB270" t="s">
        <v>1600</v>
      </c>
      <c r="AC270" t="s">
        <v>1610</v>
      </c>
      <c r="AD270" t="s">
        <v>1605</v>
      </c>
      <c r="AE270" t="s">
        <v>1616</v>
      </c>
      <c r="AF270" t="s">
        <v>1627</v>
      </c>
    </row>
    <row r="271" spans="1:32" x14ac:dyDescent="0.25">
      <c r="A271" t="s">
        <v>328</v>
      </c>
      <c r="B271">
        <v>36</v>
      </c>
      <c r="C271">
        <v>1403</v>
      </c>
      <c r="D271">
        <v>6</v>
      </c>
      <c r="E271">
        <v>47</v>
      </c>
      <c r="F271">
        <v>3210</v>
      </c>
      <c r="G271">
        <v>20251</v>
      </c>
      <c r="H271">
        <v>0</v>
      </c>
      <c r="I271">
        <v>11</v>
      </c>
      <c r="J271">
        <v>16</v>
      </c>
      <c r="K271">
        <v>4</v>
      </c>
      <c r="L271">
        <v>15</v>
      </c>
      <c r="M271">
        <v>13</v>
      </c>
      <c r="N271">
        <v>10</v>
      </c>
      <c r="O271">
        <v>11</v>
      </c>
      <c r="P271" t="s">
        <v>1556</v>
      </c>
      <c r="Q271" t="s">
        <v>1552</v>
      </c>
      <c r="R271" t="s">
        <v>1550</v>
      </c>
      <c r="S271" t="s">
        <v>1534</v>
      </c>
      <c r="T271" t="s">
        <v>1538</v>
      </c>
      <c r="U271" t="s">
        <v>1548</v>
      </c>
      <c r="V271" t="s">
        <v>1559</v>
      </c>
      <c r="W271" t="s">
        <v>1563</v>
      </c>
      <c r="X271" t="s">
        <v>1575</v>
      </c>
      <c r="Y271" t="s">
        <v>1583</v>
      </c>
      <c r="Z271" t="s">
        <v>1594</v>
      </c>
      <c r="AA271" t="s">
        <v>1597</v>
      </c>
      <c r="AB271" t="s">
        <v>1601</v>
      </c>
      <c r="AC271" t="s">
        <v>1610</v>
      </c>
      <c r="AD271" t="s">
        <v>1606</v>
      </c>
      <c r="AE271" t="s">
        <v>1617</v>
      </c>
      <c r="AF271" t="s">
        <v>1627</v>
      </c>
    </row>
    <row r="272" spans="1:32" x14ac:dyDescent="0.25">
      <c r="A272" t="s">
        <v>329</v>
      </c>
      <c r="B272">
        <v>55</v>
      </c>
      <c r="C272">
        <v>452</v>
      </c>
      <c r="D272">
        <v>1</v>
      </c>
      <c r="E272">
        <v>81</v>
      </c>
      <c r="F272">
        <v>19045</v>
      </c>
      <c r="G272">
        <v>18938</v>
      </c>
      <c r="H272">
        <v>0</v>
      </c>
      <c r="I272">
        <v>14</v>
      </c>
      <c r="J272">
        <v>37</v>
      </c>
      <c r="K272">
        <v>2</v>
      </c>
      <c r="L272">
        <v>36</v>
      </c>
      <c r="M272">
        <v>10</v>
      </c>
      <c r="N272">
        <v>4</v>
      </c>
      <c r="O272">
        <v>13</v>
      </c>
      <c r="P272" t="s">
        <v>1556</v>
      </c>
      <c r="Q272" t="s">
        <v>1552</v>
      </c>
      <c r="R272" t="s">
        <v>1550</v>
      </c>
      <c r="S272" t="s">
        <v>1534</v>
      </c>
      <c r="T272" t="s">
        <v>1540</v>
      </c>
      <c r="U272" t="s">
        <v>1548</v>
      </c>
      <c r="V272" t="s">
        <v>1559</v>
      </c>
      <c r="W272" t="s">
        <v>1563</v>
      </c>
      <c r="X272" t="s">
        <v>1579</v>
      </c>
      <c r="Y272" t="s">
        <v>1586</v>
      </c>
      <c r="Z272" t="s">
        <v>1591</v>
      </c>
      <c r="AA272" t="s">
        <v>1596</v>
      </c>
      <c r="AB272" t="s">
        <v>1600</v>
      </c>
      <c r="AC272" t="s">
        <v>1610</v>
      </c>
      <c r="AD272" t="s">
        <v>1606</v>
      </c>
      <c r="AE272" t="s">
        <v>1616</v>
      </c>
      <c r="AF272" t="s">
        <v>1627</v>
      </c>
    </row>
    <row r="273" spans="1:32" x14ac:dyDescent="0.25">
      <c r="A273" t="s">
        <v>330</v>
      </c>
      <c r="B273">
        <v>47</v>
      </c>
      <c r="C273">
        <v>666</v>
      </c>
      <c r="D273">
        <v>29</v>
      </c>
      <c r="E273">
        <v>88</v>
      </c>
      <c r="F273">
        <v>11849</v>
      </c>
      <c r="G273">
        <v>10268</v>
      </c>
      <c r="H273">
        <v>1</v>
      </c>
      <c r="I273">
        <v>12</v>
      </c>
      <c r="J273">
        <v>10</v>
      </c>
      <c r="K273">
        <v>2</v>
      </c>
      <c r="L273">
        <v>10</v>
      </c>
      <c r="M273">
        <v>7</v>
      </c>
      <c r="N273">
        <v>9</v>
      </c>
      <c r="O273">
        <v>9</v>
      </c>
      <c r="P273" t="s">
        <v>1555</v>
      </c>
      <c r="Q273" t="s">
        <v>1554</v>
      </c>
      <c r="R273" t="s">
        <v>1550</v>
      </c>
      <c r="S273" t="s">
        <v>1535</v>
      </c>
      <c r="T273" t="s">
        <v>1538</v>
      </c>
      <c r="U273" t="s">
        <v>1545</v>
      </c>
      <c r="V273" t="s">
        <v>1559</v>
      </c>
      <c r="W273" t="s">
        <v>1563</v>
      </c>
      <c r="X273" t="s">
        <v>1577</v>
      </c>
      <c r="Y273" t="s">
        <v>1586</v>
      </c>
      <c r="Z273" t="s">
        <v>1592</v>
      </c>
      <c r="AA273" t="s">
        <v>1597</v>
      </c>
      <c r="AB273" t="s">
        <v>1600</v>
      </c>
      <c r="AC273" t="s">
        <v>1610</v>
      </c>
      <c r="AD273" t="s">
        <v>1607</v>
      </c>
      <c r="AE273" t="s">
        <v>1617</v>
      </c>
      <c r="AF273" t="s">
        <v>1626</v>
      </c>
    </row>
    <row r="274" spans="1:32" x14ac:dyDescent="0.25">
      <c r="A274" t="s">
        <v>331</v>
      </c>
      <c r="B274">
        <v>28</v>
      </c>
      <c r="C274">
        <v>1158</v>
      </c>
      <c r="D274">
        <v>9</v>
      </c>
      <c r="E274">
        <v>94</v>
      </c>
      <c r="F274">
        <v>2070</v>
      </c>
      <c r="G274">
        <v>2613</v>
      </c>
      <c r="H274">
        <v>1</v>
      </c>
      <c r="I274">
        <v>23</v>
      </c>
      <c r="J274">
        <v>5</v>
      </c>
      <c r="K274">
        <v>3</v>
      </c>
      <c r="L274">
        <v>5</v>
      </c>
      <c r="M274">
        <v>2</v>
      </c>
      <c r="N274">
        <v>0</v>
      </c>
      <c r="O274">
        <v>4</v>
      </c>
      <c r="P274" t="s">
        <v>1556</v>
      </c>
      <c r="Q274" t="s">
        <v>1552</v>
      </c>
      <c r="R274" t="s">
        <v>1550</v>
      </c>
      <c r="S274" t="s">
        <v>1534</v>
      </c>
      <c r="T274" t="s">
        <v>1540</v>
      </c>
      <c r="U274" t="s">
        <v>1548</v>
      </c>
      <c r="V274" t="s">
        <v>1559</v>
      </c>
      <c r="W274" t="s">
        <v>1563</v>
      </c>
      <c r="X274" t="s">
        <v>1575</v>
      </c>
      <c r="Y274" t="s">
        <v>1582</v>
      </c>
      <c r="Z274" t="s">
        <v>1594</v>
      </c>
      <c r="AA274" t="s">
        <v>1597</v>
      </c>
      <c r="AB274" t="s">
        <v>1601</v>
      </c>
      <c r="AC274" t="s">
        <v>1611</v>
      </c>
      <c r="AD274" t="s">
        <v>1607</v>
      </c>
      <c r="AE274" t="s">
        <v>1617</v>
      </c>
      <c r="AF274" t="s">
        <v>1626</v>
      </c>
    </row>
    <row r="275" spans="1:32" x14ac:dyDescent="0.25">
      <c r="A275" t="s">
        <v>332</v>
      </c>
      <c r="B275">
        <v>37</v>
      </c>
      <c r="C275">
        <v>228</v>
      </c>
      <c r="D275">
        <v>6</v>
      </c>
      <c r="E275">
        <v>98</v>
      </c>
      <c r="F275">
        <v>6502</v>
      </c>
      <c r="G275">
        <v>22825</v>
      </c>
      <c r="H275">
        <v>4</v>
      </c>
      <c r="I275">
        <v>14</v>
      </c>
      <c r="J275">
        <v>7</v>
      </c>
      <c r="K275">
        <v>5</v>
      </c>
      <c r="L275">
        <v>5</v>
      </c>
      <c r="M275">
        <v>4</v>
      </c>
      <c r="N275">
        <v>0</v>
      </c>
      <c r="O275">
        <v>1</v>
      </c>
      <c r="P275" t="s">
        <v>1556</v>
      </c>
      <c r="Q275" t="s">
        <v>1552</v>
      </c>
      <c r="R275" t="s">
        <v>1549</v>
      </c>
      <c r="S275" t="s">
        <v>1535</v>
      </c>
      <c r="T275" t="s">
        <v>1540</v>
      </c>
      <c r="U275" t="s">
        <v>1547</v>
      </c>
      <c r="V275" t="s">
        <v>1559</v>
      </c>
      <c r="W275" t="s">
        <v>1563</v>
      </c>
      <c r="X275" t="s">
        <v>1576</v>
      </c>
      <c r="Y275" t="s">
        <v>1581</v>
      </c>
      <c r="Z275" t="s">
        <v>1594</v>
      </c>
      <c r="AA275" t="s">
        <v>1597</v>
      </c>
      <c r="AB275" t="s">
        <v>1601</v>
      </c>
      <c r="AC275" t="s">
        <v>1610</v>
      </c>
      <c r="AD275" t="s">
        <v>1605</v>
      </c>
      <c r="AE275" t="s">
        <v>1617</v>
      </c>
      <c r="AF275" t="s">
        <v>1628</v>
      </c>
    </row>
    <row r="276" spans="1:32" x14ac:dyDescent="0.25">
      <c r="A276" t="s">
        <v>333</v>
      </c>
      <c r="B276">
        <v>21</v>
      </c>
      <c r="C276">
        <v>996</v>
      </c>
      <c r="D276">
        <v>3</v>
      </c>
      <c r="E276">
        <v>100</v>
      </c>
      <c r="F276">
        <v>3230</v>
      </c>
      <c r="G276">
        <v>10531</v>
      </c>
      <c r="H276">
        <v>1</v>
      </c>
      <c r="I276">
        <v>17</v>
      </c>
      <c r="J276">
        <v>3</v>
      </c>
      <c r="K276">
        <v>4</v>
      </c>
      <c r="L276">
        <v>3</v>
      </c>
      <c r="M276">
        <v>2</v>
      </c>
      <c r="N276">
        <v>1</v>
      </c>
      <c r="O276">
        <v>0</v>
      </c>
      <c r="P276" t="s">
        <v>1556</v>
      </c>
      <c r="Q276" t="s">
        <v>1552</v>
      </c>
      <c r="R276" t="s">
        <v>1550</v>
      </c>
      <c r="S276" t="s">
        <v>1533</v>
      </c>
      <c r="T276" t="s">
        <v>1540</v>
      </c>
      <c r="U276" t="s">
        <v>1548</v>
      </c>
      <c r="V276" t="s">
        <v>1559</v>
      </c>
      <c r="W276" t="s">
        <v>1562</v>
      </c>
      <c r="X276" t="s">
        <v>1575</v>
      </c>
      <c r="Y276" t="s">
        <v>1582</v>
      </c>
      <c r="Z276" t="s">
        <v>1593</v>
      </c>
      <c r="AA276" t="s">
        <v>1596</v>
      </c>
      <c r="AB276" t="s">
        <v>1601</v>
      </c>
      <c r="AC276" t="s">
        <v>1610</v>
      </c>
      <c r="AD276" t="s">
        <v>1604</v>
      </c>
      <c r="AE276" t="s">
        <v>1616</v>
      </c>
      <c r="AF276" t="s">
        <v>1628</v>
      </c>
    </row>
    <row r="277" spans="1:32" x14ac:dyDescent="0.25">
      <c r="A277" t="s">
        <v>334</v>
      </c>
      <c r="B277">
        <v>37</v>
      </c>
      <c r="C277">
        <v>728</v>
      </c>
      <c r="D277">
        <v>1</v>
      </c>
      <c r="E277">
        <v>80</v>
      </c>
      <c r="F277">
        <v>13603</v>
      </c>
      <c r="G277">
        <v>11677</v>
      </c>
      <c r="H277">
        <v>2</v>
      </c>
      <c r="I277">
        <v>18</v>
      </c>
      <c r="J277">
        <v>15</v>
      </c>
      <c r="K277">
        <v>2</v>
      </c>
      <c r="L277">
        <v>5</v>
      </c>
      <c r="M277">
        <v>2</v>
      </c>
      <c r="N277">
        <v>0</v>
      </c>
      <c r="O277">
        <v>2</v>
      </c>
      <c r="P277" t="s">
        <v>1556</v>
      </c>
      <c r="Q277" t="s">
        <v>1554</v>
      </c>
      <c r="R277" t="s">
        <v>1550</v>
      </c>
      <c r="S277" t="s">
        <v>1535</v>
      </c>
      <c r="T277" t="s">
        <v>1540</v>
      </c>
      <c r="U277" t="s">
        <v>1545</v>
      </c>
      <c r="V277" t="s">
        <v>1558</v>
      </c>
      <c r="W277" t="s">
        <v>1563</v>
      </c>
      <c r="X277" t="s">
        <v>1577</v>
      </c>
      <c r="Y277" t="s">
        <v>1588</v>
      </c>
      <c r="Z277" t="s">
        <v>1594</v>
      </c>
      <c r="AA277" t="s">
        <v>1598</v>
      </c>
      <c r="AB277" t="s">
        <v>1600</v>
      </c>
      <c r="AC277" t="s">
        <v>1610</v>
      </c>
      <c r="AD277" t="s">
        <v>1604</v>
      </c>
      <c r="AE277" t="s">
        <v>1618</v>
      </c>
      <c r="AF277" t="s">
        <v>1627</v>
      </c>
    </row>
    <row r="278" spans="1:32" x14ac:dyDescent="0.25">
      <c r="A278" t="s">
        <v>335</v>
      </c>
      <c r="B278">
        <v>35</v>
      </c>
      <c r="C278">
        <v>1315</v>
      </c>
      <c r="D278">
        <v>22</v>
      </c>
      <c r="E278">
        <v>71</v>
      </c>
      <c r="F278">
        <v>11996</v>
      </c>
      <c r="G278">
        <v>19100</v>
      </c>
      <c r="H278">
        <v>7</v>
      </c>
      <c r="I278">
        <v>18</v>
      </c>
      <c r="J278">
        <v>10</v>
      </c>
      <c r="K278">
        <v>6</v>
      </c>
      <c r="L278">
        <v>7</v>
      </c>
      <c r="M278">
        <v>7</v>
      </c>
      <c r="N278">
        <v>6</v>
      </c>
      <c r="O278">
        <v>2</v>
      </c>
      <c r="P278" t="s">
        <v>1556</v>
      </c>
      <c r="Q278" t="s">
        <v>1552</v>
      </c>
      <c r="R278" t="s">
        <v>1550</v>
      </c>
      <c r="S278" t="s">
        <v>1534</v>
      </c>
      <c r="T278" t="s">
        <v>1538</v>
      </c>
      <c r="U278" t="s">
        <v>1546</v>
      </c>
      <c r="V278" t="s">
        <v>1558</v>
      </c>
      <c r="W278" t="s">
        <v>1564</v>
      </c>
      <c r="X278" t="s">
        <v>1577</v>
      </c>
      <c r="Y278" t="s">
        <v>1586</v>
      </c>
      <c r="Z278" t="s">
        <v>1592</v>
      </c>
      <c r="AA278" t="s">
        <v>1598</v>
      </c>
      <c r="AB278" t="s">
        <v>1601</v>
      </c>
      <c r="AC278" t="s">
        <v>1610</v>
      </c>
      <c r="AD278" t="s">
        <v>1605</v>
      </c>
      <c r="AE278" t="s">
        <v>1617</v>
      </c>
      <c r="AF278" t="s">
        <v>1626</v>
      </c>
    </row>
    <row r="279" spans="1:32" x14ac:dyDescent="0.25">
      <c r="A279" t="s">
        <v>336</v>
      </c>
      <c r="B279">
        <v>38</v>
      </c>
      <c r="C279">
        <v>322</v>
      </c>
      <c r="D279">
        <v>7</v>
      </c>
      <c r="E279">
        <v>44</v>
      </c>
      <c r="F279">
        <v>5605</v>
      </c>
      <c r="G279">
        <v>19191</v>
      </c>
      <c r="H279">
        <v>1</v>
      </c>
      <c r="I279">
        <v>24</v>
      </c>
      <c r="J279">
        <v>8</v>
      </c>
      <c r="K279">
        <v>3</v>
      </c>
      <c r="L279">
        <v>8</v>
      </c>
      <c r="M279">
        <v>0</v>
      </c>
      <c r="N279">
        <v>7</v>
      </c>
      <c r="O279">
        <v>7</v>
      </c>
      <c r="P279" t="s">
        <v>1556</v>
      </c>
      <c r="Q279" t="s">
        <v>1552</v>
      </c>
      <c r="R279" t="s">
        <v>1549</v>
      </c>
      <c r="S279" t="s">
        <v>1533</v>
      </c>
      <c r="T279" t="s">
        <v>1540</v>
      </c>
      <c r="U279" t="s">
        <v>1545</v>
      </c>
      <c r="V279" t="s">
        <v>1558</v>
      </c>
      <c r="W279" t="s">
        <v>1564</v>
      </c>
      <c r="X279" t="s">
        <v>1576</v>
      </c>
      <c r="Y279" t="s">
        <v>1581</v>
      </c>
      <c r="Z279" t="s">
        <v>1591</v>
      </c>
      <c r="AA279" t="s">
        <v>1598</v>
      </c>
      <c r="AB279" t="s">
        <v>1600</v>
      </c>
      <c r="AC279" t="s">
        <v>1611</v>
      </c>
      <c r="AD279" t="s">
        <v>1606</v>
      </c>
      <c r="AE279" t="s">
        <v>1617</v>
      </c>
      <c r="AF279" t="s">
        <v>1627</v>
      </c>
    </row>
    <row r="280" spans="1:32" x14ac:dyDescent="0.25">
      <c r="A280" t="s">
        <v>337</v>
      </c>
      <c r="B280">
        <v>26</v>
      </c>
      <c r="C280">
        <v>1479</v>
      </c>
      <c r="D280">
        <v>1</v>
      </c>
      <c r="E280">
        <v>84</v>
      </c>
      <c r="F280">
        <v>6397</v>
      </c>
      <c r="G280">
        <v>26767</v>
      </c>
      <c r="H280">
        <v>1</v>
      </c>
      <c r="I280">
        <v>20</v>
      </c>
      <c r="J280">
        <v>6</v>
      </c>
      <c r="K280">
        <v>6</v>
      </c>
      <c r="L280">
        <v>6</v>
      </c>
      <c r="M280">
        <v>5</v>
      </c>
      <c r="N280">
        <v>1</v>
      </c>
      <c r="O280">
        <v>4</v>
      </c>
      <c r="P280" t="s">
        <v>1556</v>
      </c>
      <c r="Q280" t="s">
        <v>1553</v>
      </c>
      <c r="R280" t="s">
        <v>1550</v>
      </c>
      <c r="S280" t="s">
        <v>1534</v>
      </c>
      <c r="T280" t="s">
        <v>1538</v>
      </c>
      <c r="U280" t="s">
        <v>1547</v>
      </c>
      <c r="V280" t="s">
        <v>1558</v>
      </c>
      <c r="W280" t="s">
        <v>1563</v>
      </c>
      <c r="X280" t="s">
        <v>1576</v>
      </c>
      <c r="Y280" t="s">
        <v>1584</v>
      </c>
      <c r="Z280" t="s">
        <v>1592</v>
      </c>
      <c r="AA280" t="s">
        <v>1598</v>
      </c>
      <c r="AB280" t="s">
        <v>1601</v>
      </c>
      <c r="AC280" t="s">
        <v>1611</v>
      </c>
      <c r="AD280" t="s">
        <v>1604</v>
      </c>
      <c r="AE280" t="s">
        <v>1617</v>
      </c>
      <c r="AF280" t="s">
        <v>1625</v>
      </c>
    </row>
    <row r="281" spans="1:32" x14ac:dyDescent="0.25">
      <c r="A281" t="s">
        <v>338</v>
      </c>
      <c r="B281">
        <v>50</v>
      </c>
      <c r="C281">
        <v>797</v>
      </c>
      <c r="D281">
        <v>4</v>
      </c>
      <c r="E281">
        <v>96</v>
      </c>
      <c r="F281">
        <v>19144</v>
      </c>
      <c r="G281">
        <v>15815</v>
      </c>
      <c r="H281">
        <v>3</v>
      </c>
      <c r="I281">
        <v>14</v>
      </c>
      <c r="J281">
        <v>28</v>
      </c>
      <c r="K281">
        <v>4</v>
      </c>
      <c r="L281">
        <v>10</v>
      </c>
      <c r="M281">
        <v>4</v>
      </c>
      <c r="N281">
        <v>1</v>
      </c>
      <c r="O281">
        <v>6</v>
      </c>
      <c r="P281" t="s">
        <v>1556</v>
      </c>
      <c r="Q281" t="s">
        <v>1552</v>
      </c>
      <c r="R281" t="s">
        <v>1550</v>
      </c>
      <c r="S281" t="s">
        <v>1532</v>
      </c>
      <c r="T281" t="s">
        <v>1538</v>
      </c>
      <c r="U281" t="s">
        <v>1545</v>
      </c>
      <c r="V281" t="s">
        <v>1559</v>
      </c>
      <c r="W281" t="s">
        <v>1563</v>
      </c>
      <c r="X281" t="s">
        <v>1579</v>
      </c>
      <c r="Y281" t="s">
        <v>1588</v>
      </c>
      <c r="Z281" t="s">
        <v>1592</v>
      </c>
      <c r="AA281" t="s">
        <v>1598</v>
      </c>
      <c r="AB281" t="s">
        <v>1601</v>
      </c>
      <c r="AC281" t="s">
        <v>1610</v>
      </c>
      <c r="AD281" t="s">
        <v>1604</v>
      </c>
      <c r="AE281" t="s">
        <v>1618</v>
      </c>
      <c r="AF281" t="s">
        <v>1626</v>
      </c>
    </row>
    <row r="282" spans="1:32" x14ac:dyDescent="0.25">
      <c r="A282" t="s">
        <v>339</v>
      </c>
      <c r="B282">
        <v>53</v>
      </c>
      <c r="C282">
        <v>1070</v>
      </c>
      <c r="D282">
        <v>3</v>
      </c>
      <c r="E282">
        <v>45</v>
      </c>
      <c r="F282">
        <v>17584</v>
      </c>
      <c r="G282">
        <v>21016</v>
      </c>
      <c r="H282">
        <v>3</v>
      </c>
      <c r="I282">
        <v>16</v>
      </c>
      <c r="J282">
        <v>21</v>
      </c>
      <c r="K282">
        <v>5</v>
      </c>
      <c r="L282">
        <v>5</v>
      </c>
      <c r="M282">
        <v>3</v>
      </c>
      <c r="N282">
        <v>1</v>
      </c>
      <c r="O282">
        <v>3</v>
      </c>
      <c r="P282" t="s">
        <v>1556</v>
      </c>
      <c r="Q282" t="s">
        <v>1552</v>
      </c>
      <c r="R282" t="s">
        <v>1550</v>
      </c>
      <c r="S282" t="s">
        <v>1535</v>
      </c>
      <c r="T282" t="s">
        <v>1540</v>
      </c>
      <c r="U282" t="s">
        <v>1547</v>
      </c>
      <c r="V282" t="s">
        <v>1559</v>
      </c>
      <c r="W282" t="s">
        <v>1563</v>
      </c>
      <c r="X282" t="s">
        <v>1578</v>
      </c>
      <c r="Y282" t="s">
        <v>1588</v>
      </c>
      <c r="Z282" t="s">
        <v>1593</v>
      </c>
      <c r="AA282" t="s">
        <v>1597</v>
      </c>
      <c r="AB282" t="s">
        <v>1600</v>
      </c>
      <c r="AC282" t="s">
        <v>1610</v>
      </c>
      <c r="AD282" t="s">
        <v>1607</v>
      </c>
      <c r="AE282" t="s">
        <v>1619</v>
      </c>
      <c r="AF282" t="s">
        <v>1626</v>
      </c>
    </row>
    <row r="283" spans="1:32" x14ac:dyDescent="0.25">
      <c r="A283" t="s">
        <v>340</v>
      </c>
      <c r="B283">
        <v>42</v>
      </c>
      <c r="C283">
        <v>635</v>
      </c>
      <c r="D283">
        <v>1</v>
      </c>
      <c r="E283">
        <v>99</v>
      </c>
      <c r="F283">
        <v>4907</v>
      </c>
      <c r="G283">
        <v>24532</v>
      </c>
      <c r="H283">
        <v>1</v>
      </c>
      <c r="I283">
        <v>25</v>
      </c>
      <c r="J283">
        <v>20</v>
      </c>
      <c r="K283">
        <v>3</v>
      </c>
      <c r="L283">
        <v>20</v>
      </c>
      <c r="M283">
        <v>16</v>
      </c>
      <c r="N283">
        <v>11</v>
      </c>
      <c r="O283">
        <v>6</v>
      </c>
      <c r="P283" t="s">
        <v>1556</v>
      </c>
      <c r="Q283" t="s">
        <v>1552</v>
      </c>
      <c r="R283" t="s">
        <v>1549</v>
      </c>
      <c r="S283" t="s">
        <v>1532</v>
      </c>
      <c r="T283" t="s">
        <v>1538</v>
      </c>
      <c r="U283" t="s">
        <v>1546</v>
      </c>
      <c r="V283" t="s">
        <v>1559</v>
      </c>
      <c r="W283" t="s">
        <v>1563</v>
      </c>
      <c r="X283" t="s">
        <v>1576</v>
      </c>
      <c r="Y283" t="s">
        <v>1581</v>
      </c>
      <c r="Z283" t="s">
        <v>1593</v>
      </c>
      <c r="AA283" t="s">
        <v>1597</v>
      </c>
      <c r="AB283" t="s">
        <v>1601</v>
      </c>
      <c r="AC283" t="s">
        <v>1611</v>
      </c>
      <c r="AD283" t="s">
        <v>1606</v>
      </c>
      <c r="AE283" t="s">
        <v>1616</v>
      </c>
      <c r="AF283" t="s">
        <v>1627</v>
      </c>
    </row>
    <row r="284" spans="1:32" x14ac:dyDescent="0.25">
      <c r="A284" t="s">
        <v>341</v>
      </c>
      <c r="B284">
        <v>29</v>
      </c>
      <c r="C284">
        <v>442</v>
      </c>
      <c r="D284">
        <v>2</v>
      </c>
      <c r="E284">
        <v>44</v>
      </c>
      <c r="F284">
        <v>4554</v>
      </c>
      <c r="G284">
        <v>20260</v>
      </c>
      <c r="H284">
        <v>1</v>
      </c>
      <c r="I284">
        <v>18</v>
      </c>
      <c r="J284">
        <v>10</v>
      </c>
      <c r="K284">
        <v>3</v>
      </c>
      <c r="L284">
        <v>10</v>
      </c>
      <c r="M284">
        <v>7</v>
      </c>
      <c r="N284">
        <v>0</v>
      </c>
      <c r="O284">
        <v>9</v>
      </c>
      <c r="P284" t="s">
        <v>1556</v>
      </c>
      <c r="Q284" t="s">
        <v>1553</v>
      </c>
      <c r="R284" t="s">
        <v>1549</v>
      </c>
      <c r="S284" t="s">
        <v>1533</v>
      </c>
      <c r="T284" t="s">
        <v>1538</v>
      </c>
      <c r="U284" t="s">
        <v>1546</v>
      </c>
      <c r="V284" t="s">
        <v>1559</v>
      </c>
      <c r="W284" t="s">
        <v>1563</v>
      </c>
      <c r="X284" t="s">
        <v>1576</v>
      </c>
      <c r="Y284" t="s">
        <v>1581</v>
      </c>
      <c r="Z284" t="s">
        <v>1594</v>
      </c>
      <c r="AA284" t="s">
        <v>1596</v>
      </c>
      <c r="AB284" t="s">
        <v>1601</v>
      </c>
      <c r="AC284" t="s">
        <v>1610</v>
      </c>
      <c r="AD284" t="s">
        <v>1604</v>
      </c>
      <c r="AE284" t="s">
        <v>1616</v>
      </c>
      <c r="AF284" t="s">
        <v>1626</v>
      </c>
    </row>
    <row r="285" spans="1:32" x14ac:dyDescent="0.25">
      <c r="A285" t="s">
        <v>342</v>
      </c>
      <c r="B285">
        <v>55</v>
      </c>
      <c r="C285">
        <v>147</v>
      </c>
      <c r="D285">
        <v>20</v>
      </c>
      <c r="E285">
        <v>37</v>
      </c>
      <c r="F285">
        <v>5415</v>
      </c>
      <c r="G285">
        <v>15972</v>
      </c>
      <c r="H285">
        <v>3</v>
      </c>
      <c r="I285">
        <v>19</v>
      </c>
      <c r="J285">
        <v>12</v>
      </c>
      <c r="K285">
        <v>4</v>
      </c>
      <c r="L285">
        <v>10</v>
      </c>
      <c r="M285">
        <v>7</v>
      </c>
      <c r="N285">
        <v>0</v>
      </c>
      <c r="O285">
        <v>8</v>
      </c>
      <c r="P285" t="s">
        <v>1556</v>
      </c>
      <c r="Q285" t="s">
        <v>1552</v>
      </c>
      <c r="R285" t="s">
        <v>1550</v>
      </c>
      <c r="S285" t="s">
        <v>1533</v>
      </c>
      <c r="T285" t="s">
        <v>1542</v>
      </c>
      <c r="U285" t="s">
        <v>1546</v>
      </c>
      <c r="V285" t="s">
        <v>1559</v>
      </c>
      <c r="W285" t="s">
        <v>1563</v>
      </c>
      <c r="X285" t="s">
        <v>1576</v>
      </c>
      <c r="Y285" t="s">
        <v>1583</v>
      </c>
      <c r="Z285" t="s">
        <v>1594</v>
      </c>
      <c r="AA285" t="s">
        <v>1597</v>
      </c>
      <c r="AB285" t="s">
        <v>1600</v>
      </c>
      <c r="AC285" t="s">
        <v>1610</v>
      </c>
      <c r="AD285" t="s">
        <v>1607</v>
      </c>
      <c r="AE285" t="s">
        <v>1617</v>
      </c>
      <c r="AF285" t="s">
        <v>1627</v>
      </c>
    </row>
    <row r="286" spans="1:32" x14ac:dyDescent="0.25">
      <c r="A286" t="s">
        <v>343</v>
      </c>
      <c r="B286">
        <v>26</v>
      </c>
      <c r="C286">
        <v>496</v>
      </c>
      <c r="D286">
        <v>11</v>
      </c>
      <c r="E286">
        <v>60</v>
      </c>
      <c r="F286">
        <v>4741</v>
      </c>
      <c r="G286">
        <v>22722</v>
      </c>
      <c r="H286">
        <v>1</v>
      </c>
      <c r="I286">
        <v>13</v>
      </c>
      <c r="J286">
        <v>5</v>
      </c>
      <c r="K286">
        <v>3</v>
      </c>
      <c r="L286">
        <v>5</v>
      </c>
      <c r="M286">
        <v>3</v>
      </c>
      <c r="N286">
        <v>3</v>
      </c>
      <c r="O286">
        <v>3</v>
      </c>
      <c r="P286" t="s">
        <v>1556</v>
      </c>
      <c r="Q286" t="s">
        <v>1553</v>
      </c>
      <c r="R286" t="s">
        <v>1550</v>
      </c>
      <c r="S286" t="s">
        <v>1533</v>
      </c>
      <c r="T286" t="s">
        <v>1540</v>
      </c>
      <c r="U286" t="s">
        <v>1545</v>
      </c>
      <c r="V286" t="s">
        <v>1559</v>
      </c>
      <c r="W286" t="s">
        <v>1563</v>
      </c>
      <c r="X286" t="s">
        <v>1576</v>
      </c>
      <c r="Y286" t="s">
        <v>1585</v>
      </c>
      <c r="Z286" t="s">
        <v>1591</v>
      </c>
      <c r="AA286" t="s">
        <v>1597</v>
      </c>
      <c r="AB286" t="s">
        <v>1600</v>
      </c>
      <c r="AC286" t="s">
        <v>1610</v>
      </c>
      <c r="AD286" t="s">
        <v>1606</v>
      </c>
      <c r="AE286" t="s">
        <v>1617</v>
      </c>
      <c r="AF286" t="s">
        <v>1627</v>
      </c>
    </row>
    <row r="287" spans="1:32" x14ac:dyDescent="0.25">
      <c r="A287" t="s">
        <v>344</v>
      </c>
      <c r="B287">
        <v>37</v>
      </c>
      <c r="C287">
        <v>1372</v>
      </c>
      <c r="D287">
        <v>1</v>
      </c>
      <c r="E287">
        <v>42</v>
      </c>
      <c r="F287">
        <v>2115</v>
      </c>
      <c r="G287">
        <v>15881</v>
      </c>
      <c r="H287">
        <v>1</v>
      </c>
      <c r="I287">
        <v>12</v>
      </c>
      <c r="J287">
        <v>17</v>
      </c>
      <c r="K287">
        <v>3</v>
      </c>
      <c r="L287">
        <v>17</v>
      </c>
      <c r="M287">
        <v>12</v>
      </c>
      <c r="N287">
        <v>5</v>
      </c>
      <c r="O287">
        <v>7</v>
      </c>
      <c r="P287" t="s">
        <v>1556</v>
      </c>
      <c r="Q287" t="s">
        <v>1552</v>
      </c>
      <c r="R287" t="s">
        <v>1550</v>
      </c>
      <c r="S287" t="s">
        <v>1534</v>
      </c>
      <c r="T287" t="s">
        <v>1538</v>
      </c>
      <c r="U287" t="s">
        <v>1548</v>
      </c>
      <c r="V287" t="s">
        <v>1558</v>
      </c>
      <c r="W287" t="s">
        <v>1563</v>
      </c>
      <c r="X287" t="s">
        <v>1575</v>
      </c>
      <c r="Y287" t="s">
        <v>1582</v>
      </c>
      <c r="Z287" t="s">
        <v>1594</v>
      </c>
      <c r="AA287" t="s">
        <v>1596</v>
      </c>
      <c r="AB287" t="s">
        <v>1601</v>
      </c>
      <c r="AC287" t="s">
        <v>1610</v>
      </c>
      <c r="AD287" t="s">
        <v>1605</v>
      </c>
      <c r="AE287" t="s">
        <v>1616</v>
      </c>
      <c r="AF287" t="s">
        <v>1627</v>
      </c>
    </row>
    <row r="288" spans="1:32" x14ac:dyDescent="0.25">
      <c r="A288" t="s">
        <v>345</v>
      </c>
      <c r="B288">
        <v>44</v>
      </c>
      <c r="C288">
        <v>920</v>
      </c>
      <c r="D288">
        <v>24</v>
      </c>
      <c r="E288">
        <v>43</v>
      </c>
      <c r="F288">
        <v>3161</v>
      </c>
      <c r="G288">
        <v>19920</v>
      </c>
      <c r="H288">
        <v>3</v>
      </c>
      <c r="I288">
        <v>22</v>
      </c>
      <c r="J288">
        <v>19</v>
      </c>
      <c r="K288">
        <v>0</v>
      </c>
      <c r="L288">
        <v>1</v>
      </c>
      <c r="M288">
        <v>0</v>
      </c>
      <c r="N288">
        <v>0</v>
      </c>
      <c r="O288">
        <v>0</v>
      </c>
      <c r="P288" t="s">
        <v>1555</v>
      </c>
      <c r="Q288" t="s">
        <v>1553</v>
      </c>
      <c r="R288" t="s">
        <v>1550</v>
      </c>
      <c r="S288" t="s">
        <v>1534</v>
      </c>
      <c r="T288" t="s">
        <v>1538</v>
      </c>
      <c r="U288" t="s">
        <v>1548</v>
      </c>
      <c r="V288" t="s">
        <v>1559</v>
      </c>
      <c r="W288" t="s">
        <v>1563</v>
      </c>
      <c r="X288" t="s">
        <v>1575</v>
      </c>
      <c r="Y288" t="s">
        <v>1583</v>
      </c>
      <c r="Z288" t="s">
        <v>1593</v>
      </c>
      <c r="AA288" t="s">
        <v>1598</v>
      </c>
      <c r="AB288" t="s">
        <v>1600</v>
      </c>
      <c r="AC288" t="s">
        <v>1611</v>
      </c>
      <c r="AD288" t="s">
        <v>1607</v>
      </c>
      <c r="AE288" t="s">
        <v>1617</v>
      </c>
      <c r="AF288" t="s">
        <v>1625</v>
      </c>
    </row>
    <row r="289" spans="1:32" x14ac:dyDescent="0.25">
      <c r="A289" t="s">
        <v>346</v>
      </c>
      <c r="B289">
        <v>38</v>
      </c>
      <c r="C289">
        <v>688</v>
      </c>
      <c r="D289">
        <v>23</v>
      </c>
      <c r="E289">
        <v>82</v>
      </c>
      <c r="F289">
        <v>5745</v>
      </c>
      <c r="G289">
        <v>18899</v>
      </c>
      <c r="H289">
        <v>9</v>
      </c>
      <c r="I289">
        <v>14</v>
      </c>
      <c r="J289">
        <v>10</v>
      </c>
      <c r="K289">
        <v>2</v>
      </c>
      <c r="L289">
        <v>2</v>
      </c>
      <c r="M289">
        <v>2</v>
      </c>
      <c r="N289">
        <v>1</v>
      </c>
      <c r="O289">
        <v>2</v>
      </c>
      <c r="P289" t="s">
        <v>1556</v>
      </c>
      <c r="Q289" t="s">
        <v>1552</v>
      </c>
      <c r="R289" t="s">
        <v>1550</v>
      </c>
      <c r="S289" t="s">
        <v>1535</v>
      </c>
      <c r="T289" t="s">
        <v>1538</v>
      </c>
      <c r="U289" t="s">
        <v>1548</v>
      </c>
      <c r="V289" t="s">
        <v>1559</v>
      </c>
      <c r="W289" t="s">
        <v>1563</v>
      </c>
      <c r="X289" t="s">
        <v>1576</v>
      </c>
      <c r="Y289" t="s">
        <v>1585</v>
      </c>
      <c r="Z289" t="s">
        <v>1594</v>
      </c>
      <c r="AA289" t="s">
        <v>1598</v>
      </c>
      <c r="AB289" t="s">
        <v>1601</v>
      </c>
      <c r="AC289" t="s">
        <v>1610</v>
      </c>
      <c r="AD289" t="s">
        <v>1605</v>
      </c>
      <c r="AE289" t="s">
        <v>1617</v>
      </c>
      <c r="AF289" t="s">
        <v>1627</v>
      </c>
    </row>
    <row r="290" spans="1:32" x14ac:dyDescent="0.25">
      <c r="A290" t="s">
        <v>347</v>
      </c>
      <c r="B290">
        <v>26</v>
      </c>
      <c r="C290">
        <v>1449</v>
      </c>
      <c r="D290">
        <v>16</v>
      </c>
      <c r="E290">
        <v>45</v>
      </c>
      <c r="F290">
        <v>2373</v>
      </c>
      <c r="G290">
        <v>14180</v>
      </c>
      <c r="H290">
        <v>2</v>
      </c>
      <c r="I290">
        <v>13</v>
      </c>
      <c r="J290">
        <v>5</v>
      </c>
      <c r="K290">
        <v>2</v>
      </c>
      <c r="L290">
        <v>3</v>
      </c>
      <c r="M290">
        <v>2</v>
      </c>
      <c r="N290">
        <v>0</v>
      </c>
      <c r="O290">
        <v>2</v>
      </c>
      <c r="P290" t="s">
        <v>1555</v>
      </c>
      <c r="Q290" t="s">
        <v>1552</v>
      </c>
      <c r="R290" t="s">
        <v>1550</v>
      </c>
      <c r="S290" t="s">
        <v>1535</v>
      </c>
      <c r="T290" t="s">
        <v>1540</v>
      </c>
      <c r="U290" t="s">
        <v>1545</v>
      </c>
      <c r="V290" t="s">
        <v>1559</v>
      </c>
      <c r="W290" t="s">
        <v>1563</v>
      </c>
      <c r="X290" t="s">
        <v>1575</v>
      </c>
      <c r="Y290" t="s">
        <v>1583</v>
      </c>
      <c r="Z290" t="s">
        <v>1592</v>
      </c>
      <c r="AA290" t="s">
        <v>1598</v>
      </c>
      <c r="AB290" t="s">
        <v>1600</v>
      </c>
      <c r="AC290" t="s">
        <v>1610</v>
      </c>
      <c r="AD290" t="s">
        <v>1607</v>
      </c>
      <c r="AE290" t="s">
        <v>1617</v>
      </c>
      <c r="AF290" t="s">
        <v>1627</v>
      </c>
    </row>
    <row r="291" spans="1:32" x14ac:dyDescent="0.25">
      <c r="A291" t="s">
        <v>348</v>
      </c>
      <c r="B291">
        <v>28</v>
      </c>
      <c r="C291">
        <v>1117</v>
      </c>
      <c r="D291">
        <v>8</v>
      </c>
      <c r="E291">
        <v>66</v>
      </c>
      <c r="F291">
        <v>3310</v>
      </c>
      <c r="G291">
        <v>4488</v>
      </c>
      <c r="H291">
        <v>1</v>
      </c>
      <c r="I291">
        <v>21</v>
      </c>
      <c r="J291">
        <v>5</v>
      </c>
      <c r="K291">
        <v>3</v>
      </c>
      <c r="L291">
        <v>5</v>
      </c>
      <c r="M291">
        <v>3</v>
      </c>
      <c r="N291">
        <v>0</v>
      </c>
      <c r="O291">
        <v>2</v>
      </c>
      <c r="P291" t="s">
        <v>1556</v>
      </c>
      <c r="Q291" t="s">
        <v>1552</v>
      </c>
      <c r="R291" t="s">
        <v>1550</v>
      </c>
      <c r="S291" t="s">
        <v>1533</v>
      </c>
      <c r="T291" t="s">
        <v>1538</v>
      </c>
      <c r="U291" t="s">
        <v>1548</v>
      </c>
      <c r="V291" t="s">
        <v>1558</v>
      </c>
      <c r="W291" t="s">
        <v>1563</v>
      </c>
      <c r="X291" t="s">
        <v>1575</v>
      </c>
      <c r="Y291" t="s">
        <v>1582</v>
      </c>
      <c r="Z291" t="s">
        <v>1594</v>
      </c>
      <c r="AA291" t="s">
        <v>1596</v>
      </c>
      <c r="AB291" t="s">
        <v>1601</v>
      </c>
      <c r="AC291" t="s">
        <v>1611</v>
      </c>
      <c r="AD291" t="s">
        <v>1607</v>
      </c>
      <c r="AE291" t="s">
        <v>1616</v>
      </c>
      <c r="AF291" t="s">
        <v>1627</v>
      </c>
    </row>
    <row r="292" spans="1:32" x14ac:dyDescent="0.25">
      <c r="A292" t="s">
        <v>349</v>
      </c>
      <c r="B292">
        <v>49</v>
      </c>
      <c r="C292">
        <v>636</v>
      </c>
      <c r="D292">
        <v>10</v>
      </c>
      <c r="E292">
        <v>35</v>
      </c>
      <c r="F292">
        <v>18665</v>
      </c>
      <c r="G292">
        <v>25594</v>
      </c>
      <c r="H292">
        <v>9</v>
      </c>
      <c r="I292">
        <v>11</v>
      </c>
      <c r="J292">
        <v>22</v>
      </c>
      <c r="K292">
        <v>4</v>
      </c>
      <c r="L292">
        <v>3</v>
      </c>
      <c r="M292">
        <v>2</v>
      </c>
      <c r="N292">
        <v>1</v>
      </c>
      <c r="O292">
        <v>2</v>
      </c>
      <c r="P292" t="s">
        <v>1556</v>
      </c>
      <c r="Q292" t="s">
        <v>1553</v>
      </c>
      <c r="R292" t="s">
        <v>1550</v>
      </c>
      <c r="S292" t="s">
        <v>1535</v>
      </c>
      <c r="T292" t="s">
        <v>1538</v>
      </c>
      <c r="U292" t="s">
        <v>1547</v>
      </c>
      <c r="V292" t="s">
        <v>1558</v>
      </c>
      <c r="W292" t="s">
        <v>1563</v>
      </c>
      <c r="X292" t="s">
        <v>1579</v>
      </c>
      <c r="Y292" t="s">
        <v>1588</v>
      </c>
      <c r="Z292" t="s">
        <v>1591</v>
      </c>
      <c r="AA292" t="s">
        <v>1596</v>
      </c>
      <c r="AB292" t="s">
        <v>1600</v>
      </c>
      <c r="AC292" t="s">
        <v>1610</v>
      </c>
      <c r="AD292" t="s">
        <v>1607</v>
      </c>
      <c r="AE292" t="s">
        <v>1616</v>
      </c>
      <c r="AF292" t="s">
        <v>1627</v>
      </c>
    </row>
    <row r="293" spans="1:32" x14ac:dyDescent="0.25">
      <c r="A293" t="s">
        <v>350</v>
      </c>
      <c r="B293">
        <v>36</v>
      </c>
      <c r="C293">
        <v>506</v>
      </c>
      <c r="D293">
        <v>3</v>
      </c>
      <c r="E293">
        <v>30</v>
      </c>
      <c r="F293">
        <v>4485</v>
      </c>
      <c r="G293">
        <v>26285</v>
      </c>
      <c r="H293">
        <v>4</v>
      </c>
      <c r="I293">
        <v>12</v>
      </c>
      <c r="J293">
        <v>10</v>
      </c>
      <c r="K293">
        <v>2</v>
      </c>
      <c r="L293">
        <v>8</v>
      </c>
      <c r="M293">
        <v>0</v>
      </c>
      <c r="N293">
        <v>7</v>
      </c>
      <c r="O293">
        <v>7</v>
      </c>
      <c r="P293" t="s">
        <v>1556</v>
      </c>
      <c r="Q293" t="s">
        <v>1552</v>
      </c>
      <c r="R293" t="s">
        <v>1550</v>
      </c>
      <c r="S293" t="s">
        <v>1534</v>
      </c>
      <c r="T293" t="s">
        <v>1542</v>
      </c>
      <c r="U293" t="s">
        <v>1547</v>
      </c>
      <c r="V293" t="s">
        <v>1559</v>
      </c>
      <c r="W293" t="s">
        <v>1563</v>
      </c>
      <c r="X293" t="s">
        <v>1576</v>
      </c>
      <c r="Y293" t="s">
        <v>1582</v>
      </c>
      <c r="Z293" t="s">
        <v>1592</v>
      </c>
      <c r="AA293" t="s">
        <v>1596</v>
      </c>
      <c r="AB293" t="s">
        <v>1601</v>
      </c>
      <c r="AC293" t="s">
        <v>1610</v>
      </c>
      <c r="AD293" t="s">
        <v>1607</v>
      </c>
      <c r="AE293" t="s">
        <v>1616</v>
      </c>
      <c r="AF293" t="s">
        <v>1627</v>
      </c>
    </row>
    <row r="294" spans="1:32" x14ac:dyDescent="0.25">
      <c r="A294" t="s">
        <v>351</v>
      </c>
      <c r="B294">
        <v>31</v>
      </c>
      <c r="C294">
        <v>444</v>
      </c>
      <c r="D294">
        <v>5</v>
      </c>
      <c r="E294">
        <v>84</v>
      </c>
      <c r="F294">
        <v>2789</v>
      </c>
      <c r="G294">
        <v>3909</v>
      </c>
      <c r="H294">
        <v>1</v>
      </c>
      <c r="I294">
        <v>11</v>
      </c>
      <c r="J294">
        <v>2</v>
      </c>
      <c r="K294">
        <v>5</v>
      </c>
      <c r="L294">
        <v>2</v>
      </c>
      <c r="M294">
        <v>2</v>
      </c>
      <c r="N294">
        <v>2</v>
      </c>
      <c r="O294">
        <v>2</v>
      </c>
      <c r="P294" t="s">
        <v>1556</v>
      </c>
      <c r="Q294" t="s">
        <v>1553</v>
      </c>
      <c r="R294" t="s">
        <v>1549</v>
      </c>
      <c r="S294" t="s">
        <v>1534</v>
      </c>
      <c r="T294" t="s">
        <v>1541</v>
      </c>
      <c r="U294" t="s">
        <v>1548</v>
      </c>
      <c r="V294" t="s">
        <v>1558</v>
      </c>
      <c r="W294" t="s">
        <v>1563</v>
      </c>
      <c r="X294" t="s">
        <v>1575</v>
      </c>
      <c r="Y294" t="s">
        <v>1587</v>
      </c>
      <c r="Z294" t="s">
        <v>1592</v>
      </c>
      <c r="AA294" t="s">
        <v>1598</v>
      </c>
      <c r="AB294" t="s">
        <v>1601</v>
      </c>
      <c r="AC294" t="s">
        <v>1610</v>
      </c>
      <c r="AD294" t="s">
        <v>1606</v>
      </c>
      <c r="AE294" t="s">
        <v>1617</v>
      </c>
      <c r="AF294" t="s">
        <v>1626</v>
      </c>
    </row>
    <row r="295" spans="1:32" x14ac:dyDescent="0.25">
      <c r="A295" t="s">
        <v>352</v>
      </c>
      <c r="B295">
        <v>26</v>
      </c>
      <c r="C295">
        <v>950</v>
      </c>
      <c r="D295">
        <v>4</v>
      </c>
      <c r="E295">
        <v>48</v>
      </c>
      <c r="F295">
        <v>5828</v>
      </c>
      <c r="G295">
        <v>8450</v>
      </c>
      <c r="H295">
        <v>1</v>
      </c>
      <c r="I295">
        <v>12</v>
      </c>
      <c r="J295">
        <v>8</v>
      </c>
      <c r="K295">
        <v>0</v>
      </c>
      <c r="L295">
        <v>8</v>
      </c>
      <c r="M295">
        <v>7</v>
      </c>
      <c r="N295">
        <v>7</v>
      </c>
      <c r="O295">
        <v>4</v>
      </c>
      <c r="P295" t="s">
        <v>1555</v>
      </c>
      <c r="Q295" t="s">
        <v>1552</v>
      </c>
      <c r="R295" t="s">
        <v>1549</v>
      </c>
      <c r="S295" t="s">
        <v>1535</v>
      </c>
      <c r="T295" t="s">
        <v>1541</v>
      </c>
      <c r="U295" t="s">
        <v>1548</v>
      </c>
      <c r="V295" t="s">
        <v>1559</v>
      </c>
      <c r="W295" t="s">
        <v>1562</v>
      </c>
      <c r="X295" t="s">
        <v>1576</v>
      </c>
      <c r="Y295" t="s">
        <v>1581</v>
      </c>
      <c r="Z295" t="s">
        <v>1594</v>
      </c>
      <c r="AA295" t="s">
        <v>1596</v>
      </c>
      <c r="AB295" t="s">
        <v>1600</v>
      </c>
      <c r="AC295" t="s">
        <v>1610</v>
      </c>
      <c r="AD295" t="s">
        <v>1605</v>
      </c>
      <c r="AE295" t="s">
        <v>1616</v>
      </c>
      <c r="AF295" t="s">
        <v>1627</v>
      </c>
    </row>
    <row r="296" spans="1:32" x14ac:dyDescent="0.25">
      <c r="A296" t="s">
        <v>353</v>
      </c>
      <c r="B296">
        <v>37</v>
      </c>
      <c r="C296">
        <v>889</v>
      </c>
      <c r="D296">
        <v>9</v>
      </c>
      <c r="E296">
        <v>53</v>
      </c>
      <c r="F296">
        <v>2326</v>
      </c>
      <c r="G296">
        <v>11411</v>
      </c>
      <c r="H296">
        <v>1</v>
      </c>
      <c r="I296">
        <v>12</v>
      </c>
      <c r="J296">
        <v>4</v>
      </c>
      <c r="K296">
        <v>3</v>
      </c>
      <c r="L296">
        <v>4</v>
      </c>
      <c r="M296">
        <v>2</v>
      </c>
      <c r="N296">
        <v>1</v>
      </c>
      <c r="O296">
        <v>2</v>
      </c>
      <c r="P296" t="s">
        <v>1556</v>
      </c>
      <c r="Q296" t="s">
        <v>1553</v>
      </c>
      <c r="R296" t="s">
        <v>1550</v>
      </c>
      <c r="S296" t="s">
        <v>1534</v>
      </c>
      <c r="T296" t="s">
        <v>1540</v>
      </c>
      <c r="U296" t="s">
        <v>1546</v>
      </c>
      <c r="V296" t="s">
        <v>1559</v>
      </c>
      <c r="W296" t="s">
        <v>1563</v>
      </c>
      <c r="X296" t="s">
        <v>1575</v>
      </c>
      <c r="Y296" t="s">
        <v>1582</v>
      </c>
      <c r="Z296" t="s">
        <v>1594</v>
      </c>
      <c r="AA296" t="s">
        <v>1597</v>
      </c>
      <c r="AB296" t="s">
        <v>1600</v>
      </c>
      <c r="AC296" t="s">
        <v>1610</v>
      </c>
      <c r="AD296" t="s">
        <v>1606</v>
      </c>
      <c r="AE296" t="s">
        <v>1619</v>
      </c>
      <c r="AF296" t="s">
        <v>1626</v>
      </c>
    </row>
    <row r="297" spans="1:32" x14ac:dyDescent="0.25">
      <c r="A297" t="s">
        <v>354</v>
      </c>
      <c r="B297">
        <v>42</v>
      </c>
      <c r="C297">
        <v>555</v>
      </c>
      <c r="D297">
        <v>26</v>
      </c>
      <c r="E297">
        <v>77</v>
      </c>
      <c r="F297">
        <v>13525</v>
      </c>
      <c r="G297">
        <v>14864</v>
      </c>
      <c r="H297">
        <v>5</v>
      </c>
      <c r="I297">
        <v>14</v>
      </c>
      <c r="J297">
        <v>23</v>
      </c>
      <c r="K297">
        <v>2</v>
      </c>
      <c r="L297">
        <v>20</v>
      </c>
      <c r="M297">
        <v>4</v>
      </c>
      <c r="N297">
        <v>4</v>
      </c>
      <c r="O297">
        <v>8</v>
      </c>
      <c r="P297" t="s">
        <v>1556</v>
      </c>
      <c r="Q297" t="s">
        <v>1553</v>
      </c>
      <c r="R297" t="s">
        <v>1549</v>
      </c>
      <c r="S297" t="s">
        <v>1534</v>
      </c>
      <c r="T297" t="s">
        <v>1541</v>
      </c>
      <c r="U297" t="s">
        <v>1547</v>
      </c>
      <c r="V297" t="s">
        <v>1558</v>
      </c>
      <c r="W297" t="s">
        <v>1563</v>
      </c>
      <c r="X297" t="s">
        <v>1578</v>
      </c>
      <c r="Y297" t="s">
        <v>1581</v>
      </c>
      <c r="Z297" t="s">
        <v>1592</v>
      </c>
      <c r="AA297" t="s">
        <v>1597</v>
      </c>
      <c r="AB297" t="s">
        <v>1601</v>
      </c>
      <c r="AC297" t="s">
        <v>1610</v>
      </c>
      <c r="AD297" t="s">
        <v>1607</v>
      </c>
      <c r="AE297" t="s">
        <v>1617</v>
      </c>
      <c r="AF297" t="s">
        <v>1628</v>
      </c>
    </row>
    <row r="298" spans="1:32" x14ac:dyDescent="0.25">
      <c r="A298" t="s">
        <v>355</v>
      </c>
      <c r="B298">
        <v>18</v>
      </c>
      <c r="C298">
        <v>230</v>
      </c>
      <c r="D298">
        <v>3</v>
      </c>
      <c r="E298">
        <v>54</v>
      </c>
      <c r="F298">
        <v>1420</v>
      </c>
      <c r="G298">
        <v>25233</v>
      </c>
      <c r="H298">
        <v>1</v>
      </c>
      <c r="I298">
        <v>13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 t="s">
        <v>1555</v>
      </c>
      <c r="Q298" t="s">
        <v>1552</v>
      </c>
      <c r="R298" t="s">
        <v>1550</v>
      </c>
      <c r="S298" t="s">
        <v>1534</v>
      </c>
      <c r="T298" t="s">
        <v>1538</v>
      </c>
      <c r="U298" t="s">
        <v>1547</v>
      </c>
      <c r="V298" t="s">
        <v>1559</v>
      </c>
      <c r="W298" t="s">
        <v>1563</v>
      </c>
      <c r="X298" t="s">
        <v>1575</v>
      </c>
      <c r="Y298" t="s">
        <v>1583</v>
      </c>
      <c r="Z298" t="s">
        <v>1593</v>
      </c>
      <c r="AA298" t="s">
        <v>1596</v>
      </c>
      <c r="AB298" t="s">
        <v>1601</v>
      </c>
      <c r="AC298" t="s">
        <v>1610</v>
      </c>
      <c r="AD298" t="s">
        <v>1606</v>
      </c>
      <c r="AE298" t="s">
        <v>1616</v>
      </c>
      <c r="AF298" t="s">
        <v>1627</v>
      </c>
    </row>
    <row r="299" spans="1:32" x14ac:dyDescent="0.25">
      <c r="A299" t="s">
        <v>356</v>
      </c>
      <c r="B299">
        <v>35</v>
      </c>
      <c r="C299">
        <v>1232</v>
      </c>
      <c r="D299">
        <v>16</v>
      </c>
      <c r="E299">
        <v>96</v>
      </c>
      <c r="F299">
        <v>8020</v>
      </c>
      <c r="G299">
        <v>5100</v>
      </c>
      <c r="H299">
        <v>0</v>
      </c>
      <c r="I299">
        <v>15</v>
      </c>
      <c r="J299">
        <v>12</v>
      </c>
      <c r="K299">
        <v>3</v>
      </c>
      <c r="L299">
        <v>11</v>
      </c>
      <c r="M299">
        <v>9</v>
      </c>
      <c r="N299">
        <v>6</v>
      </c>
      <c r="O299">
        <v>9</v>
      </c>
      <c r="P299" t="s">
        <v>1556</v>
      </c>
      <c r="Q299" t="s">
        <v>1552</v>
      </c>
      <c r="R299" t="s">
        <v>1549</v>
      </c>
      <c r="S299" t="s">
        <v>1534</v>
      </c>
      <c r="T299" t="s">
        <v>1541</v>
      </c>
      <c r="U299" t="s">
        <v>1547</v>
      </c>
      <c r="V299" t="s">
        <v>1559</v>
      </c>
      <c r="W299" t="s">
        <v>1563</v>
      </c>
      <c r="X299" t="s">
        <v>1577</v>
      </c>
      <c r="Y299" t="s">
        <v>1581</v>
      </c>
      <c r="Z299" t="s">
        <v>1592</v>
      </c>
      <c r="AA299" t="s">
        <v>1597</v>
      </c>
      <c r="AB299" t="s">
        <v>1601</v>
      </c>
      <c r="AC299" t="s">
        <v>1610</v>
      </c>
      <c r="AD299" t="s">
        <v>1606</v>
      </c>
      <c r="AE299" t="s">
        <v>1618</v>
      </c>
      <c r="AF299" t="s">
        <v>1626</v>
      </c>
    </row>
    <row r="300" spans="1:32" x14ac:dyDescent="0.25">
      <c r="A300" t="s">
        <v>357</v>
      </c>
      <c r="B300">
        <v>36</v>
      </c>
      <c r="C300">
        <v>566</v>
      </c>
      <c r="D300">
        <v>18</v>
      </c>
      <c r="E300">
        <v>81</v>
      </c>
      <c r="F300">
        <v>3688</v>
      </c>
      <c r="G300">
        <v>7122</v>
      </c>
      <c r="H300">
        <v>4</v>
      </c>
      <c r="I300">
        <v>18</v>
      </c>
      <c r="J300">
        <v>4</v>
      </c>
      <c r="K300">
        <v>2</v>
      </c>
      <c r="L300">
        <v>1</v>
      </c>
      <c r="M300">
        <v>0</v>
      </c>
      <c r="N300">
        <v>0</v>
      </c>
      <c r="O300">
        <v>0</v>
      </c>
      <c r="P300" t="s">
        <v>1556</v>
      </c>
      <c r="Q300" t="s">
        <v>1553</v>
      </c>
      <c r="R300" t="s">
        <v>1550</v>
      </c>
      <c r="S300" t="s">
        <v>1535</v>
      </c>
      <c r="T300" t="s">
        <v>1538</v>
      </c>
      <c r="U300" t="s">
        <v>1547</v>
      </c>
      <c r="V300" t="s">
        <v>1559</v>
      </c>
      <c r="W300" t="s">
        <v>1564</v>
      </c>
      <c r="X300" t="s">
        <v>1575</v>
      </c>
      <c r="Y300" t="s">
        <v>1583</v>
      </c>
      <c r="Z300" t="s">
        <v>1594</v>
      </c>
      <c r="AA300" t="s">
        <v>1597</v>
      </c>
      <c r="AB300" t="s">
        <v>1601</v>
      </c>
      <c r="AC300" t="s">
        <v>1610</v>
      </c>
      <c r="AD300" t="s">
        <v>1607</v>
      </c>
      <c r="AE300" t="s">
        <v>1618</v>
      </c>
      <c r="AF300" t="s">
        <v>1627</v>
      </c>
    </row>
    <row r="301" spans="1:32" x14ac:dyDescent="0.25">
      <c r="A301" t="s">
        <v>358</v>
      </c>
      <c r="B301">
        <v>51</v>
      </c>
      <c r="C301">
        <v>1302</v>
      </c>
      <c r="D301">
        <v>2</v>
      </c>
      <c r="E301">
        <v>84</v>
      </c>
      <c r="F301">
        <v>5482</v>
      </c>
      <c r="G301">
        <v>16321</v>
      </c>
      <c r="H301">
        <v>5</v>
      </c>
      <c r="I301">
        <v>18</v>
      </c>
      <c r="J301">
        <v>13</v>
      </c>
      <c r="K301">
        <v>3</v>
      </c>
      <c r="L301">
        <v>4</v>
      </c>
      <c r="M301">
        <v>1</v>
      </c>
      <c r="N301">
        <v>1</v>
      </c>
      <c r="O301">
        <v>2</v>
      </c>
      <c r="P301" t="s">
        <v>1556</v>
      </c>
      <c r="Q301" t="s">
        <v>1552</v>
      </c>
      <c r="R301" t="s">
        <v>1550</v>
      </c>
      <c r="S301" t="s">
        <v>1534</v>
      </c>
      <c r="T301" t="s">
        <v>1540</v>
      </c>
      <c r="U301" t="s">
        <v>1548</v>
      </c>
      <c r="V301" t="s">
        <v>1559</v>
      </c>
      <c r="W301" t="s">
        <v>1561</v>
      </c>
      <c r="X301" t="s">
        <v>1576</v>
      </c>
      <c r="Y301" t="s">
        <v>1584</v>
      </c>
      <c r="Z301" t="s">
        <v>1592</v>
      </c>
      <c r="AA301" t="s">
        <v>1598</v>
      </c>
      <c r="AB301" t="s">
        <v>1601</v>
      </c>
      <c r="AC301" t="s">
        <v>1610</v>
      </c>
      <c r="AD301" t="s">
        <v>1607</v>
      </c>
      <c r="AE301" t="s">
        <v>1617</v>
      </c>
      <c r="AF301" t="s">
        <v>1627</v>
      </c>
    </row>
    <row r="302" spans="1:32" x14ac:dyDescent="0.25">
      <c r="A302" t="s">
        <v>359</v>
      </c>
      <c r="B302">
        <v>41</v>
      </c>
      <c r="C302">
        <v>334</v>
      </c>
      <c r="D302">
        <v>2</v>
      </c>
      <c r="E302">
        <v>88</v>
      </c>
      <c r="F302">
        <v>16015</v>
      </c>
      <c r="G302">
        <v>15896</v>
      </c>
      <c r="H302">
        <v>1</v>
      </c>
      <c r="I302">
        <v>19</v>
      </c>
      <c r="J302">
        <v>22</v>
      </c>
      <c r="K302">
        <v>2</v>
      </c>
      <c r="L302">
        <v>22</v>
      </c>
      <c r="M302">
        <v>10</v>
      </c>
      <c r="N302">
        <v>0</v>
      </c>
      <c r="O302">
        <v>4</v>
      </c>
      <c r="P302" t="s">
        <v>1556</v>
      </c>
      <c r="Q302" t="s">
        <v>1552</v>
      </c>
      <c r="R302" t="s">
        <v>1549</v>
      </c>
      <c r="S302" t="s">
        <v>1535</v>
      </c>
      <c r="T302" t="s">
        <v>1538</v>
      </c>
      <c r="U302" t="s">
        <v>1548</v>
      </c>
      <c r="V302" t="s">
        <v>1559</v>
      </c>
      <c r="W302" t="s">
        <v>1563</v>
      </c>
      <c r="X302" t="s">
        <v>1578</v>
      </c>
      <c r="Y302" t="s">
        <v>1586</v>
      </c>
      <c r="Z302" t="s">
        <v>1592</v>
      </c>
      <c r="AA302" t="s">
        <v>1596</v>
      </c>
      <c r="AB302" t="s">
        <v>1601</v>
      </c>
      <c r="AC302" t="s">
        <v>1610</v>
      </c>
      <c r="AD302" t="s">
        <v>1605</v>
      </c>
      <c r="AE302" t="s">
        <v>1616</v>
      </c>
      <c r="AF302" t="s">
        <v>1627</v>
      </c>
    </row>
    <row r="303" spans="1:32" x14ac:dyDescent="0.25">
      <c r="A303" t="s">
        <v>360</v>
      </c>
      <c r="B303">
        <v>18</v>
      </c>
      <c r="C303">
        <v>812</v>
      </c>
      <c r="D303">
        <v>10</v>
      </c>
      <c r="E303">
        <v>69</v>
      </c>
      <c r="F303">
        <v>1200</v>
      </c>
      <c r="G303">
        <v>9724</v>
      </c>
      <c r="H303">
        <v>1</v>
      </c>
      <c r="I303">
        <v>12</v>
      </c>
      <c r="J303">
        <v>0</v>
      </c>
      <c r="K303">
        <v>2</v>
      </c>
      <c r="L303">
        <v>0</v>
      </c>
      <c r="M303">
        <v>0</v>
      </c>
      <c r="N303">
        <v>0</v>
      </c>
      <c r="O303">
        <v>0</v>
      </c>
      <c r="P303" t="s">
        <v>1556</v>
      </c>
      <c r="Q303" t="s">
        <v>1552</v>
      </c>
      <c r="R303" t="s">
        <v>1549</v>
      </c>
      <c r="S303" t="s">
        <v>1534</v>
      </c>
      <c r="T303" t="s">
        <v>1540</v>
      </c>
      <c r="U303" t="s">
        <v>1548</v>
      </c>
      <c r="V303" t="s">
        <v>1558</v>
      </c>
      <c r="W303" t="s">
        <v>1562</v>
      </c>
      <c r="X303" t="s">
        <v>1575</v>
      </c>
      <c r="Y303" t="s">
        <v>1587</v>
      </c>
      <c r="Z303" t="s">
        <v>1593</v>
      </c>
      <c r="AA303" t="s">
        <v>1596</v>
      </c>
      <c r="AB303" t="s">
        <v>1601</v>
      </c>
      <c r="AC303" t="s">
        <v>1610</v>
      </c>
      <c r="AD303" t="s">
        <v>1604</v>
      </c>
      <c r="AE303" t="s">
        <v>1616</v>
      </c>
      <c r="AF303" t="s">
        <v>1627</v>
      </c>
    </row>
    <row r="304" spans="1:32" x14ac:dyDescent="0.25">
      <c r="A304" t="s">
        <v>361</v>
      </c>
      <c r="B304">
        <v>28</v>
      </c>
      <c r="C304">
        <v>1476</v>
      </c>
      <c r="D304">
        <v>16</v>
      </c>
      <c r="E304">
        <v>68</v>
      </c>
      <c r="F304">
        <v>5661</v>
      </c>
      <c r="G304">
        <v>4824</v>
      </c>
      <c r="H304">
        <v>0</v>
      </c>
      <c r="I304">
        <v>19</v>
      </c>
      <c r="J304">
        <v>9</v>
      </c>
      <c r="K304">
        <v>2</v>
      </c>
      <c r="L304">
        <v>8</v>
      </c>
      <c r="M304">
        <v>3</v>
      </c>
      <c r="N304">
        <v>0</v>
      </c>
      <c r="O304">
        <v>7</v>
      </c>
      <c r="P304" t="s">
        <v>1556</v>
      </c>
      <c r="Q304" t="s">
        <v>1552</v>
      </c>
      <c r="R304" t="s">
        <v>1550</v>
      </c>
      <c r="S304" t="s">
        <v>1533</v>
      </c>
      <c r="T304" t="s">
        <v>1540</v>
      </c>
      <c r="U304" t="s">
        <v>1546</v>
      </c>
      <c r="V304" t="s">
        <v>1559</v>
      </c>
      <c r="W304" t="s">
        <v>1564</v>
      </c>
      <c r="X304" t="s">
        <v>1576</v>
      </c>
      <c r="Y304" t="s">
        <v>1585</v>
      </c>
      <c r="Z304" t="s">
        <v>1591</v>
      </c>
      <c r="AA304" t="s">
        <v>1596</v>
      </c>
      <c r="AB304" t="s">
        <v>1601</v>
      </c>
      <c r="AC304" t="s">
        <v>1610</v>
      </c>
      <c r="AD304" t="s">
        <v>1606</v>
      </c>
      <c r="AE304" t="s">
        <v>1616</v>
      </c>
      <c r="AF304" t="s">
        <v>1627</v>
      </c>
    </row>
    <row r="305" spans="1:32" x14ac:dyDescent="0.25">
      <c r="A305" t="s">
        <v>362</v>
      </c>
      <c r="B305">
        <v>31</v>
      </c>
      <c r="C305">
        <v>218</v>
      </c>
      <c r="D305">
        <v>7</v>
      </c>
      <c r="E305">
        <v>100</v>
      </c>
      <c r="F305">
        <v>6929</v>
      </c>
      <c r="G305">
        <v>12241</v>
      </c>
      <c r="H305">
        <v>4</v>
      </c>
      <c r="I305">
        <v>11</v>
      </c>
      <c r="J305">
        <v>10</v>
      </c>
      <c r="K305">
        <v>3</v>
      </c>
      <c r="L305">
        <v>8</v>
      </c>
      <c r="M305">
        <v>7</v>
      </c>
      <c r="N305">
        <v>7</v>
      </c>
      <c r="O305">
        <v>7</v>
      </c>
      <c r="P305" t="s">
        <v>1556</v>
      </c>
      <c r="Q305" t="s">
        <v>1552</v>
      </c>
      <c r="R305" t="s">
        <v>1549</v>
      </c>
      <c r="S305" t="s">
        <v>1534</v>
      </c>
      <c r="T305" t="s">
        <v>1542</v>
      </c>
      <c r="U305" t="s">
        <v>1546</v>
      </c>
      <c r="V305" t="s">
        <v>1559</v>
      </c>
      <c r="W305" t="s">
        <v>1564</v>
      </c>
      <c r="X305" t="s">
        <v>1576</v>
      </c>
      <c r="Y305" t="s">
        <v>1581</v>
      </c>
      <c r="Z305" t="s">
        <v>1594</v>
      </c>
      <c r="AA305" t="s">
        <v>1597</v>
      </c>
      <c r="AB305" t="s">
        <v>1601</v>
      </c>
      <c r="AC305" t="s">
        <v>1610</v>
      </c>
      <c r="AD305" t="s">
        <v>1605</v>
      </c>
      <c r="AE305" t="s">
        <v>1617</v>
      </c>
      <c r="AF305" t="s">
        <v>1626</v>
      </c>
    </row>
    <row r="306" spans="1:32" x14ac:dyDescent="0.25">
      <c r="A306" t="s">
        <v>363</v>
      </c>
      <c r="B306">
        <v>39</v>
      </c>
      <c r="C306">
        <v>1132</v>
      </c>
      <c r="D306">
        <v>1</v>
      </c>
      <c r="E306">
        <v>48</v>
      </c>
      <c r="F306">
        <v>9613</v>
      </c>
      <c r="G306">
        <v>10942</v>
      </c>
      <c r="H306">
        <v>0</v>
      </c>
      <c r="I306">
        <v>17</v>
      </c>
      <c r="J306">
        <v>19</v>
      </c>
      <c r="K306">
        <v>5</v>
      </c>
      <c r="L306">
        <v>18</v>
      </c>
      <c r="M306">
        <v>10</v>
      </c>
      <c r="N306">
        <v>3</v>
      </c>
      <c r="O306">
        <v>7</v>
      </c>
      <c r="P306" t="s">
        <v>1556</v>
      </c>
      <c r="Q306" t="s">
        <v>1552</v>
      </c>
      <c r="R306" t="s">
        <v>1550</v>
      </c>
      <c r="S306" t="s">
        <v>1534</v>
      </c>
      <c r="T306" t="s">
        <v>1540</v>
      </c>
      <c r="U306" t="s">
        <v>1547</v>
      </c>
      <c r="V306" t="s">
        <v>1559</v>
      </c>
      <c r="W306" t="s">
        <v>1564</v>
      </c>
      <c r="X306" t="s">
        <v>1577</v>
      </c>
      <c r="Y306" t="s">
        <v>1585</v>
      </c>
      <c r="Z306" t="s">
        <v>1594</v>
      </c>
      <c r="AA306" t="s">
        <v>1598</v>
      </c>
      <c r="AB306" t="s">
        <v>1601</v>
      </c>
      <c r="AC306" t="s">
        <v>1610</v>
      </c>
      <c r="AD306" t="s">
        <v>1604</v>
      </c>
      <c r="AE306" t="s">
        <v>1619</v>
      </c>
      <c r="AF306" t="s">
        <v>1626</v>
      </c>
    </row>
    <row r="307" spans="1:32" x14ac:dyDescent="0.25">
      <c r="A307" t="s">
        <v>364</v>
      </c>
      <c r="B307">
        <v>36</v>
      </c>
      <c r="C307">
        <v>1105</v>
      </c>
      <c r="D307">
        <v>24</v>
      </c>
      <c r="E307">
        <v>47</v>
      </c>
      <c r="F307">
        <v>5674</v>
      </c>
      <c r="G307">
        <v>6927</v>
      </c>
      <c r="H307">
        <v>7</v>
      </c>
      <c r="I307">
        <v>15</v>
      </c>
      <c r="J307">
        <v>11</v>
      </c>
      <c r="K307">
        <v>3</v>
      </c>
      <c r="L307">
        <v>9</v>
      </c>
      <c r="M307">
        <v>8</v>
      </c>
      <c r="N307">
        <v>0</v>
      </c>
      <c r="O307">
        <v>8</v>
      </c>
      <c r="P307" t="s">
        <v>1556</v>
      </c>
      <c r="Q307" t="s">
        <v>1554</v>
      </c>
      <c r="R307" t="s">
        <v>1550</v>
      </c>
      <c r="S307" t="s">
        <v>1535</v>
      </c>
      <c r="T307" t="s">
        <v>1538</v>
      </c>
      <c r="U307" t="s">
        <v>1546</v>
      </c>
      <c r="V307" t="s">
        <v>1558</v>
      </c>
      <c r="W307" t="s">
        <v>1563</v>
      </c>
      <c r="X307" t="s">
        <v>1576</v>
      </c>
      <c r="Y307" t="s">
        <v>1583</v>
      </c>
      <c r="Z307" t="s">
        <v>1592</v>
      </c>
      <c r="AA307" t="s">
        <v>1597</v>
      </c>
      <c r="AB307" t="s">
        <v>1601</v>
      </c>
      <c r="AC307" t="s">
        <v>1610</v>
      </c>
      <c r="AD307" t="s">
        <v>1606</v>
      </c>
      <c r="AE307" t="s">
        <v>1617</v>
      </c>
      <c r="AF307" t="s">
        <v>1627</v>
      </c>
    </row>
    <row r="308" spans="1:32" x14ac:dyDescent="0.25">
      <c r="A308" t="s">
        <v>365</v>
      </c>
      <c r="B308">
        <v>32</v>
      </c>
      <c r="C308">
        <v>906</v>
      </c>
      <c r="D308">
        <v>7</v>
      </c>
      <c r="E308">
        <v>91</v>
      </c>
      <c r="F308">
        <v>5484</v>
      </c>
      <c r="G308">
        <v>16985</v>
      </c>
      <c r="H308">
        <v>1</v>
      </c>
      <c r="I308">
        <v>14</v>
      </c>
      <c r="J308">
        <v>13</v>
      </c>
      <c r="K308">
        <v>3</v>
      </c>
      <c r="L308">
        <v>13</v>
      </c>
      <c r="M308">
        <v>8</v>
      </c>
      <c r="N308">
        <v>4</v>
      </c>
      <c r="O308">
        <v>8</v>
      </c>
      <c r="P308" t="s">
        <v>1556</v>
      </c>
      <c r="Q308" t="s">
        <v>1552</v>
      </c>
      <c r="R308" t="s">
        <v>1549</v>
      </c>
      <c r="S308" t="s">
        <v>1534</v>
      </c>
      <c r="T308" t="s">
        <v>1538</v>
      </c>
      <c r="U308" t="s">
        <v>1548</v>
      </c>
      <c r="V308" t="s">
        <v>1559</v>
      </c>
      <c r="W308" t="s">
        <v>1562</v>
      </c>
      <c r="X308" t="s">
        <v>1576</v>
      </c>
      <c r="Y308" t="s">
        <v>1581</v>
      </c>
      <c r="Z308" t="s">
        <v>1593</v>
      </c>
      <c r="AA308" t="s">
        <v>1597</v>
      </c>
      <c r="AB308" t="s">
        <v>1601</v>
      </c>
      <c r="AC308" t="s">
        <v>1610</v>
      </c>
      <c r="AD308" t="s">
        <v>1606</v>
      </c>
      <c r="AE308" t="s">
        <v>1617</v>
      </c>
      <c r="AF308" t="s">
        <v>1626</v>
      </c>
    </row>
    <row r="309" spans="1:32" x14ac:dyDescent="0.25">
      <c r="A309" t="s">
        <v>366</v>
      </c>
      <c r="B309">
        <v>38</v>
      </c>
      <c r="C309">
        <v>849</v>
      </c>
      <c r="D309">
        <v>25</v>
      </c>
      <c r="E309">
        <v>81</v>
      </c>
      <c r="F309">
        <v>12061</v>
      </c>
      <c r="G309">
        <v>26707</v>
      </c>
      <c r="H309">
        <v>3</v>
      </c>
      <c r="I309">
        <v>17</v>
      </c>
      <c r="J309">
        <v>19</v>
      </c>
      <c r="K309">
        <v>2</v>
      </c>
      <c r="L309">
        <v>10</v>
      </c>
      <c r="M309">
        <v>8</v>
      </c>
      <c r="N309">
        <v>0</v>
      </c>
      <c r="O309">
        <v>1</v>
      </c>
      <c r="P309" t="s">
        <v>1556</v>
      </c>
      <c r="Q309" t="s">
        <v>1552</v>
      </c>
      <c r="R309" t="s">
        <v>1550</v>
      </c>
      <c r="S309" t="s">
        <v>1533</v>
      </c>
      <c r="T309" t="s">
        <v>1538</v>
      </c>
      <c r="U309" t="s">
        <v>1545</v>
      </c>
      <c r="V309" t="s">
        <v>1558</v>
      </c>
      <c r="W309" t="s">
        <v>1562</v>
      </c>
      <c r="X309" t="s">
        <v>1577</v>
      </c>
      <c r="Y309" t="s">
        <v>1588</v>
      </c>
      <c r="Z309" t="s">
        <v>1592</v>
      </c>
      <c r="AA309" t="s">
        <v>1597</v>
      </c>
      <c r="AB309" t="s">
        <v>1601</v>
      </c>
      <c r="AC309" t="s">
        <v>1610</v>
      </c>
      <c r="AD309" t="s">
        <v>1606</v>
      </c>
      <c r="AE309" t="s">
        <v>1617</v>
      </c>
      <c r="AF309" t="s">
        <v>1627</v>
      </c>
    </row>
    <row r="310" spans="1:32" x14ac:dyDescent="0.25">
      <c r="A310" t="s">
        <v>367</v>
      </c>
      <c r="B310">
        <v>58</v>
      </c>
      <c r="C310">
        <v>390</v>
      </c>
      <c r="D310">
        <v>1</v>
      </c>
      <c r="E310">
        <v>32</v>
      </c>
      <c r="F310">
        <v>5660</v>
      </c>
      <c r="G310">
        <v>17056</v>
      </c>
      <c r="H310">
        <v>2</v>
      </c>
      <c r="I310">
        <v>13</v>
      </c>
      <c r="J310">
        <v>12</v>
      </c>
      <c r="K310">
        <v>2</v>
      </c>
      <c r="L310">
        <v>5</v>
      </c>
      <c r="M310">
        <v>3</v>
      </c>
      <c r="N310">
        <v>1</v>
      </c>
      <c r="O310">
        <v>2</v>
      </c>
      <c r="P310" t="s">
        <v>1556</v>
      </c>
      <c r="Q310" t="s">
        <v>1554</v>
      </c>
      <c r="R310" t="s">
        <v>1550</v>
      </c>
      <c r="S310" t="s">
        <v>1535</v>
      </c>
      <c r="T310" t="s">
        <v>1538</v>
      </c>
      <c r="U310" t="s">
        <v>1548</v>
      </c>
      <c r="V310" t="s">
        <v>1559</v>
      </c>
      <c r="W310" t="s">
        <v>1561</v>
      </c>
      <c r="X310" t="s">
        <v>1576</v>
      </c>
      <c r="Y310" t="s">
        <v>1585</v>
      </c>
      <c r="Z310" t="s">
        <v>1593</v>
      </c>
      <c r="AA310" t="s">
        <v>1598</v>
      </c>
      <c r="AB310" t="s">
        <v>1600</v>
      </c>
      <c r="AC310" t="s">
        <v>1610</v>
      </c>
      <c r="AD310" t="s">
        <v>1607</v>
      </c>
      <c r="AE310" t="s">
        <v>1617</v>
      </c>
      <c r="AF310" t="s">
        <v>1627</v>
      </c>
    </row>
    <row r="311" spans="1:32" x14ac:dyDescent="0.25">
      <c r="A311" t="s">
        <v>368</v>
      </c>
      <c r="B311">
        <v>31</v>
      </c>
      <c r="C311">
        <v>691</v>
      </c>
      <c r="D311">
        <v>5</v>
      </c>
      <c r="E311">
        <v>86</v>
      </c>
      <c r="F311">
        <v>4821</v>
      </c>
      <c r="G311">
        <v>10077</v>
      </c>
      <c r="H311">
        <v>0</v>
      </c>
      <c r="I311">
        <v>12</v>
      </c>
      <c r="J311">
        <v>6</v>
      </c>
      <c r="K311">
        <v>4</v>
      </c>
      <c r="L311">
        <v>5</v>
      </c>
      <c r="M311">
        <v>2</v>
      </c>
      <c r="N311">
        <v>0</v>
      </c>
      <c r="O311">
        <v>3</v>
      </c>
      <c r="P311" t="s">
        <v>1556</v>
      </c>
      <c r="Q311" t="s">
        <v>1552</v>
      </c>
      <c r="R311" t="s">
        <v>1550</v>
      </c>
      <c r="S311" t="s">
        <v>1535</v>
      </c>
      <c r="T311" t="s">
        <v>1542</v>
      </c>
      <c r="U311" t="s">
        <v>1547</v>
      </c>
      <c r="V311" t="s">
        <v>1559</v>
      </c>
      <c r="W311" t="s">
        <v>1563</v>
      </c>
      <c r="X311" t="s">
        <v>1575</v>
      </c>
      <c r="Y311" t="s">
        <v>1582</v>
      </c>
      <c r="Z311" t="s">
        <v>1594</v>
      </c>
      <c r="AA311" t="s">
        <v>1597</v>
      </c>
      <c r="AB311" t="s">
        <v>1600</v>
      </c>
      <c r="AC311" t="s">
        <v>1610</v>
      </c>
      <c r="AD311" t="s">
        <v>1606</v>
      </c>
      <c r="AE311" t="s">
        <v>1617</v>
      </c>
      <c r="AF311" t="s">
        <v>1627</v>
      </c>
    </row>
    <row r="312" spans="1:32" x14ac:dyDescent="0.25">
      <c r="A312" t="s">
        <v>369</v>
      </c>
      <c r="B312">
        <v>31</v>
      </c>
      <c r="C312">
        <v>106</v>
      </c>
      <c r="D312">
        <v>2</v>
      </c>
      <c r="E312">
        <v>62</v>
      </c>
      <c r="F312">
        <v>6410</v>
      </c>
      <c r="G312">
        <v>17822</v>
      </c>
      <c r="H312">
        <v>3</v>
      </c>
      <c r="I312">
        <v>12</v>
      </c>
      <c r="J312">
        <v>9</v>
      </c>
      <c r="K312">
        <v>1</v>
      </c>
      <c r="L312">
        <v>2</v>
      </c>
      <c r="M312">
        <v>2</v>
      </c>
      <c r="N312">
        <v>1</v>
      </c>
      <c r="O312">
        <v>0</v>
      </c>
      <c r="P312" t="s">
        <v>1556</v>
      </c>
      <c r="Q312" t="s">
        <v>1552</v>
      </c>
      <c r="R312" t="s">
        <v>1551</v>
      </c>
      <c r="S312" t="s">
        <v>1534</v>
      </c>
      <c r="T312" t="s">
        <v>1543</v>
      </c>
      <c r="U312" t="s">
        <v>1545</v>
      </c>
      <c r="V312" t="s">
        <v>1559</v>
      </c>
      <c r="W312" t="s">
        <v>1562</v>
      </c>
      <c r="X312" t="s">
        <v>1576</v>
      </c>
      <c r="Y312" t="s">
        <v>1589</v>
      </c>
      <c r="Z312" t="s">
        <v>1591</v>
      </c>
      <c r="AA312" t="s">
        <v>1597</v>
      </c>
      <c r="AB312" t="s">
        <v>1601</v>
      </c>
      <c r="AC312" t="s">
        <v>1610</v>
      </c>
      <c r="AD312" t="s">
        <v>1607</v>
      </c>
      <c r="AE312" t="s">
        <v>1616</v>
      </c>
      <c r="AF312" t="s">
        <v>1627</v>
      </c>
    </row>
    <row r="313" spans="1:32" x14ac:dyDescent="0.25">
      <c r="A313" t="s">
        <v>370</v>
      </c>
      <c r="B313">
        <v>45</v>
      </c>
      <c r="C313">
        <v>1249</v>
      </c>
      <c r="D313">
        <v>7</v>
      </c>
      <c r="E313">
        <v>97</v>
      </c>
      <c r="F313">
        <v>5210</v>
      </c>
      <c r="G313">
        <v>20308</v>
      </c>
      <c r="H313">
        <v>1</v>
      </c>
      <c r="I313">
        <v>18</v>
      </c>
      <c r="J313">
        <v>24</v>
      </c>
      <c r="K313">
        <v>2</v>
      </c>
      <c r="L313">
        <v>24</v>
      </c>
      <c r="M313">
        <v>9</v>
      </c>
      <c r="N313">
        <v>9</v>
      </c>
      <c r="O313">
        <v>11</v>
      </c>
      <c r="P313" t="s">
        <v>1556</v>
      </c>
      <c r="Q313" t="s">
        <v>1553</v>
      </c>
      <c r="R313" t="s">
        <v>1550</v>
      </c>
      <c r="S313" t="s">
        <v>1534</v>
      </c>
      <c r="T313" t="s">
        <v>1538</v>
      </c>
      <c r="U313" t="s">
        <v>1545</v>
      </c>
      <c r="V313" t="s">
        <v>1559</v>
      </c>
      <c r="W313" t="s">
        <v>1563</v>
      </c>
      <c r="X313" t="s">
        <v>1577</v>
      </c>
      <c r="Y313" t="s">
        <v>1583</v>
      </c>
      <c r="Z313" t="s">
        <v>1591</v>
      </c>
      <c r="AA313" t="s">
        <v>1598</v>
      </c>
      <c r="AB313" t="s">
        <v>1601</v>
      </c>
      <c r="AC313" t="s">
        <v>1610</v>
      </c>
      <c r="AD313" t="s">
        <v>1604</v>
      </c>
      <c r="AE313" t="s">
        <v>1617</v>
      </c>
      <c r="AF313" t="s">
        <v>1627</v>
      </c>
    </row>
    <row r="314" spans="1:32" x14ac:dyDescent="0.25">
      <c r="A314" t="s">
        <v>371</v>
      </c>
      <c r="B314">
        <v>31</v>
      </c>
      <c r="C314">
        <v>192</v>
      </c>
      <c r="D314">
        <v>2</v>
      </c>
      <c r="E314">
        <v>32</v>
      </c>
      <c r="F314">
        <v>2695</v>
      </c>
      <c r="G314">
        <v>7747</v>
      </c>
      <c r="H314">
        <v>0</v>
      </c>
      <c r="I314">
        <v>18</v>
      </c>
      <c r="J314">
        <v>3</v>
      </c>
      <c r="K314">
        <v>2</v>
      </c>
      <c r="L314">
        <v>2</v>
      </c>
      <c r="M314">
        <v>2</v>
      </c>
      <c r="N314">
        <v>2</v>
      </c>
      <c r="O314">
        <v>2</v>
      </c>
      <c r="P314" t="s">
        <v>1556</v>
      </c>
      <c r="Q314" t="s">
        <v>1552</v>
      </c>
      <c r="R314" t="s">
        <v>1550</v>
      </c>
      <c r="S314" t="s">
        <v>1535</v>
      </c>
      <c r="T314" t="s">
        <v>1538</v>
      </c>
      <c r="U314" t="s">
        <v>1547</v>
      </c>
      <c r="V314" t="s">
        <v>1559</v>
      </c>
      <c r="W314" t="s">
        <v>1563</v>
      </c>
      <c r="X314" t="s">
        <v>1575</v>
      </c>
      <c r="Y314" t="s">
        <v>1582</v>
      </c>
      <c r="Z314" t="s">
        <v>1594</v>
      </c>
      <c r="AA314" t="s">
        <v>1598</v>
      </c>
      <c r="AB314" t="s">
        <v>1600</v>
      </c>
      <c r="AC314" t="s">
        <v>1610</v>
      </c>
      <c r="AD314" t="s">
        <v>1605</v>
      </c>
      <c r="AE314" t="s">
        <v>1617</v>
      </c>
      <c r="AF314" t="s">
        <v>1625</v>
      </c>
    </row>
    <row r="315" spans="1:32" x14ac:dyDescent="0.25">
      <c r="A315" t="s">
        <v>372</v>
      </c>
      <c r="B315">
        <v>33</v>
      </c>
      <c r="C315">
        <v>553</v>
      </c>
      <c r="D315">
        <v>5</v>
      </c>
      <c r="E315">
        <v>74</v>
      </c>
      <c r="F315">
        <v>11878</v>
      </c>
      <c r="G315">
        <v>23364</v>
      </c>
      <c r="H315">
        <v>6</v>
      </c>
      <c r="I315">
        <v>11</v>
      </c>
      <c r="J315">
        <v>12</v>
      </c>
      <c r="K315">
        <v>2</v>
      </c>
      <c r="L315">
        <v>10</v>
      </c>
      <c r="M315">
        <v>6</v>
      </c>
      <c r="N315">
        <v>8</v>
      </c>
      <c r="O315">
        <v>8</v>
      </c>
      <c r="P315" t="s">
        <v>1556</v>
      </c>
      <c r="Q315" t="s">
        <v>1553</v>
      </c>
      <c r="R315" t="s">
        <v>1550</v>
      </c>
      <c r="S315" t="s">
        <v>1535</v>
      </c>
      <c r="T315" t="s">
        <v>1538</v>
      </c>
      <c r="U315" t="s">
        <v>1548</v>
      </c>
      <c r="V315" t="s">
        <v>1558</v>
      </c>
      <c r="W315" t="s">
        <v>1563</v>
      </c>
      <c r="X315" t="s">
        <v>1577</v>
      </c>
      <c r="Y315" t="s">
        <v>1586</v>
      </c>
      <c r="Z315" t="s">
        <v>1592</v>
      </c>
      <c r="AA315" t="s">
        <v>1597</v>
      </c>
      <c r="AB315" t="s">
        <v>1601</v>
      </c>
      <c r="AC315" t="s">
        <v>1610</v>
      </c>
      <c r="AD315" t="s">
        <v>1605</v>
      </c>
      <c r="AE315" t="s">
        <v>1618</v>
      </c>
      <c r="AF315" t="s">
        <v>1627</v>
      </c>
    </row>
    <row r="316" spans="1:32" x14ac:dyDescent="0.25">
      <c r="A316" t="s">
        <v>373</v>
      </c>
      <c r="B316">
        <v>39</v>
      </c>
      <c r="C316">
        <v>117</v>
      </c>
      <c r="D316">
        <v>10</v>
      </c>
      <c r="E316">
        <v>99</v>
      </c>
      <c r="F316">
        <v>17068</v>
      </c>
      <c r="G316">
        <v>5355</v>
      </c>
      <c r="H316">
        <v>1</v>
      </c>
      <c r="I316">
        <v>14</v>
      </c>
      <c r="J316">
        <v>21</v>
      </c>
      <c r="K316">
        <v>3</v>
      </c>
      <c r="L316">
        <v>21</v>
      </c>
      <c r="M316">
        <v>9</v>
      </c>
      <c r="N316">
        <v>11</v>
      </c>
      <c r="O316">
        <v>10</v>
      </c>
      <c r="P316" t="s">
        <v>1556</v>
      </c>
      <c r="Q316" t="s">
        <v>1552</v>
      </c>
      <c r="R316" t="s">
        <v>1550</v>
      </c>
      <c r="S316" t="s">
        <v>1532</v>
      </c>
      <c r="T316" t="s">
        <v>1540</v>
      </c>
      <c r="U316" t="s">
        <v>1547</v>
      </c>
      <c r="V316" t="s">
        <v>1559</v>
      </c>
      <c r="W316" t="s">
        <v>1563</v>
      </c>
      <c r="X316" t="s">
        <v>1578</v>
      </c>
      <c r="Y316" t="s">
        <v>1586</v>
      </c>
      <c r="Z316" t="s">
        <v>1591</v>
      </c>
      <c r="AA316" t="s">
        <v>1597</v>
      </c>
      <c r="AB316" t="s">
        <v>1600</v>
      </c>
      <c r="AC316" t="s">
        <v>1610</v>
      </c>
      <c r="AD316" t="s">
        <v>1607</v>
      </c>
      <c r="AE316" t="s">
        <v>1616</v>
      </c>
      <c r="AF316" t="s">
        <v>1627</v>
      </c>
    </row>
    <row r="317" spans="1:32" x14ac:dyDescent="0.25">
      <c r="A317" t="s">
        <v>374</v>
      </c>
      <c r="B317">
        <v>43</v>
      </c>
      <c r="C317">
        <v>185</v>
      </c>
      <c r="D317">
        <v>10</v>
      </c>
      <c r="E317">
        <v>33</v>
      </c>
      <c r="F317">
        <v>2455</v>
      </c>
      <c r="G317">
        <v>10675</v>
      </c>
      <c r="H317">
        <v>0</v>
      </c>
      <c r="I317">
        <v>19</v>
      </c>
      <c r="J317">
        <v>9</v>
      </c>
      <c r="K317">
        <v>5</v>
      </c>
      <c r="L317">
        <v>8</v>
      </c>
      <c r="M317">
        <v>7</v>
      </c>
      <c r="N317">
        <v>1</v>
      </c>
      <c r="O317">
        <v>7</v>
      </c>
      <c r="P317" t="s">
        <v>1556</v>
      </c>
      <c r="Q317" t="s">
        <v>1553</v>
      </c>
      <c r="R317" t="s">
        <v>1550</v>
      </c>
      <c r="S317" t="s">
        <v>1535</v>
      </c>
      <c r="T317" t="s">
        <v>1538</v>
      </c>
      <c r="U317" t="s">
        <v>1547</v>
      </c>
      <c r="V317" t="s">
        <v>1558</v>
      </c>
      <c r="W317" t="s">
        <v>1563</v>
      </c>
      <c r="X317" t="s">
        <v>1575</v>
      </c>
      <c r="Y317" t="s">
        <v>1583</v>
      </c>
      <c r="Z317" t="s">
        <v>1594</v>
      </c>
      <c r="AA317" t="s">
        <v>1596</v>
      </c>
      <c r="AB317" t="s">
        <v>1601</v>
      </c>
      <c r="AC317" t="s">
        <v>1610</v>
      </c>
      <c r="AD317" t="s">
        <v>1604</v>
      </c>
      <c r="AE317" t="s">
        <v>1616</v>
      </c>
      <c r="AF317" t="s">
        <v>1627</v>
      </c>
    </row>
    <row r="318" spans="1:32" x14ac:dyDescent="0.25">
      <c r="A318" t="s">
        <v>375</v>
      </c>
      <c r="B318">
        <v>49</v>
      </c>
      <c r="C318">
        <v>1091</v>
      </c>
      <c r="D318">
        <v>1</v>
      </c>
      <c r="E318">
        <v>90</v>
      </c>
      <c r="F318">
        <v>13964</v>
      </c>
      <c r="G318">
        <v>17810</v>
      </c>
      <c r="H318">
        <v>7</v>
      </c>
      <c r="I318">
        <v>12</v>
      </c>
      <c r="J318">
        <v>25</v>
      </c>
      <c r="K318">
        <v>2</v>
      </c>
      <c r="L318">
        <v>7</v>
      </c>
      <c r="M318">
        <v>1</v>
      </c>
      <c r="N318">
        <v>0</v>
      </c>
      <c r="O318">
        <v>7</v>
      </c>
      <c r="P318" t="s">
        <v>1556</v>
      </c>
      <c r="Q318" t="s">
        <v>1552</v>
      </c>
      <c r="R318" t="s">
        <v>1550</v>
      </c>
      <c r="S318" t="s">
        <v>1533</v>
      </c>
      <c r="T318" t="s">
        <v>1542</v>
      </c>
      <c r="U318" t="s">
        <v>1547</v>
      </c>
      <c r="V318" t="s">
        <v>1558</v>
      </c>
      <c r="W318" t="s">
        <v>1562</v>
      </c>
      <c r="X318" t="s">
        <v>1578</v>
      </c>
      <c r="Y318" t="s">
        <v>1585</v>
      </c>
      <c r="Z318" t="s">
        <v>1593</v>
      </c>
      <c r="AA318" t="s">
        <v>1596</v>
      </c>
      <c r="AB318" t="s">
        <v>1600</v>
      </c>
      <c r="AC318" t="s">
        <v>1610</v>
      </c>
      <c r="AD318" t="s">
        <v>1607</v>
      </c>
      <c r="AE318" t="s">
        <v>1616</v>
      </c>
      <c r="AF318" t="s">
        <v>1627</v>
      </c>
    </row>
    <row r="319" spans="1:32" x14ac:dyDescent="0.25">
      <c r="A319" t="s">
        <v>376</v>
      </c>
      <c r="B319">
        <v>52</v>
      </c>
      <c r="C319">
        <v>723</v>
      </c>
      <c r="D319">
        <v>8</v>
      </c>
      <c r="E319">
        <v>85</v>
      </c>
      <c r="F319">
        <v>4941</v>
      </c>
      <c r="G319">
        <v>17747</v>
      </c>
      <c r="H319">
        <v>2</v>
      </c>
      <c r="I319">
        <v>15</v>
      </c>
      <c r="J319">
        <v>11</v>
      </c>
      <c r="K319">
        <v>3</v>
      </c>
      <c r="L319">
        <v>8</v>
      </c>
      <c r="M319">
        <v>2</v>
      </c>
      <c r="N319">
        <v>7</v>
      </c>
      <c r="O319">
        <v>7</v>
      </c>
      <c r="P319" t="s">
        <v>1555</v>
      </c>
      <c r="Q319" t="s">
        <v>1552</v>
      </c>
      <c r="R319" t="s">
        <v>1550</v>
      </c>
      <c r="S319" t="s">
        <v>1535</v>
      </c>
      <c r="T319" t="s">
        <v>1540</v>
      </c>
      <c r="U319" t="s">
        <v>1547</v>
      </c>
      <c r="V319" t="s">
        <v>1559</v>
      </c>
      <c r="W319" t="s">
        <v>1562</v>
      </c>
      <c r="X319" t="s">
        <v>1576</v>
      </c>
      <c r="Y319" t="s">
        <v>1582</v>
      </c>
      <c r="Z319" t="s">
        <v>1592</v>
      </c>
      <c r="AA319" t="s">
        <v>1597</v>
      </c>
      <c r="AB319" t="s">
        <v>1601</v>
      </c>
      <c r="AC319" t="s">
        <v>1610</v>
      </c>
      <c r="AD319" t="s">
        <v>1604</v>
      </c>
      <c r="AE319" t="s">
        <v>1616</v>
      </c>
      <c r="AF319" t="s">
        <v>1626</v>
      </c>
    </row>
    <row r="320" spans="1:32" x14ac:dyDescent="0.25">
      <c r="A320" t="s">
        <v>377</v>
      </c>
      <c r="B320">
        <v>27</v>
      </c>
      <c r="C320">
        <v>1220</v>
      </c>
      <c r="D320">
        <v>5</v>
      </c>
      <c r="E320">
        <v>85</v>
      </c>
      <c r="F320">
        <v>2478</v>
      </c>
      <c r="G320">
        <v>20938</v>
      </c>
      <c r="H320">
        <v>1</v>
      </c>
      <c r="I320">
        <v>12</v>
      </c>
      <c r="J320">
        <v>4</v>
      </c>
      <c r="K320">
        <v>2</v>
      </c>
      <c r="L320">
        <v>4</v>
      </c>
      <c r="M320">
        <v>3</v>
      </c>
      <c r="N320">
        <v>1</v>
      </c>
      <c r="O320">
        <v>2</v>
      </c>
      <c r="P320" t="s">
        <v>1556</v>
      </c>
      <c r="Q320" t="s">
        <v>1552</v>
      </c>
      <c r="R320" t="s">
        <v>1550</v>
      </c>
      <c r="S320" t="s">
        <v>1534</v>
      </c>
      <c r="T320" t="s">
        <v>1538</v>
      </c>
      <c r="U320" t="s">
        <v>1547</v>
      </c>
      <c r="V320" t="s">
        <v>1558</v>
      </c>
      <c r="W320" t="s">
        <v>1563</v>
      </c>
      <c r="X320" t="s">
        <v>1575</v>
      </c>
      <c r="Y320" t="s">
        <v>1582</v>
      </c>
      <c r="Z320" t="s">
        <v>1592</v>
      </c>
      <c r="AA320" t="s">
        <v>1596</v>
      </c>
      <c r="AB320" t="s">
        <v>1600</v>
      </c>
      <c r="AC320" t="s">
        <v>1610</v>
      </c>
      <c r="AD320" t="s">
        <v>1605</v>
      </c>
      <c r="AE320" t="s">
        <v>1616</v>
      </c>
      <c r="AF320" t="s">
        <v>1626</v>
      </c>
    </row>
    <row r="321" spans="1:32" x14ac:dyDescent="0.25">
      <c r="A321" t="s">
        <v>378</v>
      </c>
      <c r="B321">
        <v>32</v>
      </c>
      <c r="C321">
        <v>588</v>
      </c>
      <c r="D321">
        <v>8</v>
      </c>
      <c r="E321">
        <v>65</v>
      </c>
      <c r="F321">
        <v>5228</v>
      </c>
      <c r="G321">
        <v>24624</v>
      </c>
      <c r="H321">
        <v>1</v>
      </c>
      <c r="I321">
        <v>11</v>
      </c>
      <c r="J321">
        <v>13</v>
      </c>
      <c r="K321">
        <v>2</v>
      </c>
      <c r="L321">
        <v>13</v>
      </c>
      <c r="M321">
        <v>12</v>
      </c>
      <c r="N321">
        <v>11</v>
      </c>
      <c r="O321">
        <v>9</v>
      </c>
      <c r="P321" t="s">
        <v>1556</v>
      </c>
      <c r="Q321" t="s">
        <v>1552</v>
      </c>
      <c r="R321" t="s">
        <v>1549</v>
      </c>
      <c r="S321" t="s">
        <v>1533</v>
      </c>
      <c r="T321" t="s">
        <v>1542</v>
      </c>
      <c r="U321" t="s">
        <v>1547</v>
      </c>
      <c r="V321" t="s">
        <v>1558</v>
      </c>
      <c r="W321" t="s">
        <v>1562</v>
      </c>
      <c r="X321" t="s">
        <v>1576</v>
      </c>
      <c r="Y321" t="s">
        <v>1581</v>
      </c>
      <c r="Z321" t="s">
        <v>1592</v>
      </c>
      <c r="AA321" t="s">
        <v>1597</v>
      </c>
      <c r="AB321" t="s">
        <v>1600</v>
      </c>
      <c r="AC321" t="s">
        <v>1610</v>
      </c>
      <c r="AD321" t="s">
        <v>1607</v>
      </c>
      <c r="AE321" t="s">
        <v>1616</v>
      </c>
      <c r="AF321" t="s">
        <v>1627</v>
      </c>
    </row>
    <row r="322" spans="1:32" x14ac:dyDescent="0.25">
      <c r="A322" t="s">
        <v>379</v>
      </c>
      <c r="B322">
        <v>27</v>
      </c>
      <c r="C322">
        <v>1377</v>
      </c>
      <c r="D322">
        <v>2</v>
      </c>
      <c r="E322">
        <v>74</v>
      </c>
      <c r="F322">
        <v>4478</v>
      </c>
      <c r="G322">
        <v>5242</v>
      </c>
      <c r="H322">
        <v>1</v>
      </c>
      <c r="I322">
        <v>11</v>
      </c>
      <c r="J322">
        <v>5</v>
      </c>
      <c r="K322">
        <v>3</v>
      </c>
      <c r="L322">
        <v>5</v>
      </c>
      <c r="M322">
        <v>4</v>
      </c>
      <c r="N322">
        <v>0</v>
      </c>
      <c r="O322">
        <v>4</v>
      </c>
      <c r="P322" t="s">
        <v>1556</v>
      </c>
      <c r="Q322" t="s">
        <v>1552</v>
      </c>
      <c r="R322" t="s">
        <v>1549</v>
      </c>
      <c r="S322" t="s">
        <v>1534</v>
      </c>
      <c r="T322" t="s">
        <v>1538</v>
      </c>
      <c r="U322" t="s">
        <v>1548</v>
      </c>
      <c r="V322" t="s">
        <v>1559</v>
      </c>
      <c r="W322" t="s">
        <v>1563</v>
      </c>
      <c r="X322" t="s">
        <v>1576</v>
      </c>
      <c r="Y322" t="s">
        <v>1581</v>
      </c>
      <c r="Z322" t="s">
        <v>1593</v>
      </c>
      <c r="AA322" t="s">
        <v>1596</v>
      </c>
      <c r="AB322" t="s">
        <v>1600</v>
      </c>
      <c r="AC322" t="s">
        <v>1610</v>
      </c>
      <c r="AD322" t="s">
        <v>1604</v>
      </c>
      <c r="AE322" t="s">
        <v>1616</v>
      </c>
      <c r="AF322" t="s">
        <v>1627</v>
      </c>
    </row>
    <row r="323" spans="1:32" x14ac:dyDescent="0.25">
      <c r="A323" t="s">
        <v>380</v>
      </c>
      <c r="B323">
        <v>31</v>
      </c>
      <c r="C323">
        <v>691</v>
      </c>
      <c r="D323">
        <v>7</v>
      </c>
      <c r="E323">
        <v>73</v>
      </c>
      <c r="F323">
        <v>7547</v>
      </c>
      <c r="G323">
        <v>7143</v>
      </c>
      <c r="H323">
        <v>4</v>
      </c>
      <c r="I323">
        <v>12</v>
      </c>
      <c r="J323">
        <v>13</v>
      </c>
      <c r="K323">
        <v>3</v>
      </c>
      <c r="L323">
        <v>7</v>
      </c>
      <c r="M323">
        <v>7</v>
      </c>
      <c r="N323">
        <v>1</v>
      </c>
      <c r="O323">
        <v>7</v>
      </c>
      <c r="P323" t="s">
        <v>1556</v>
      </c>
      <c r="Q323" t="s">
        <v>1552</v>
      </c>
      <c r="R323" t="s">
        <v>1549</v>
      </c>
      <c r="S323" t="s">
        <v>1534</v>
      </c>
      <c r="T323" t="s">
        <v>1541</v>
      </c>
      <c r="U323" t="s">
        <v>1548</v>
      </c>
      <c r="V323" t="s">
        <v>1559</v>
      </c>
      <c r="W323" t="s">
        <v>1563</v>
      </c>
      <c r="X323" t="s">
        <v>1576</v>
      </c>
      <c r="Y323" t="s">
        <v>1581</v>
      </c>
      <c r="Z323" t="s">
        <v>1594</v>
      </c>
      <c r="AA323" t="s">
        <v>1598</v>
      </c>
      <c r="AB323" t="s">
        <v>1601</v>
      </c>
      <c r="AC323" t="s">
        <v>1610</v>
      </c>
      <c r="AD323" t="s">
        <v>1607</v>
      </c>
      <c r="AE323" t="s">
        <v>1619</v>
      </c>
      <c r="AF323" t="s">
        <v>1627</v>
      </c>
    </row>
    <row r="324" spans="1:32" x14ac:dyDescent="0.25">
      <c r="A324" t="s">
        <v>381</v>
      </c>
      <c r="B324">
        <v>32</v>
      </c>
      <c r="C324">
        <v>1018</v>
      </c>
      <c r="D324">
        <v>2</v>
      </c>
      <c r="E324">
        <v>74</v>
      </c>
      <c r="F324">
        <v>5055</v>
      </c>
      <c r="G324">
        <v>10557</v>
      </c>
      <c r="H324">
        <v>7</v>
      </c>
      <c r="I324">
        <v>16</v>
      </c>
      <c r="J324">
        <v>10</v>
      </c>
      <c r="K324">
        <v>0</v>
      </c>
      <c r="L324">
        <v>7</v>
      </c>
      <c r="M324">
        <v>7</v>
      </c>
      <c r="N324">
        <v>0</v>
      </c>
      <c r="O324">
        <v>7</v>
      </c>
      <c r="P324" t="s">
        <v>1556</v>
      </c>
      <c r="Q324" t="s">
        <v>1552</v>
      </c>
      <c r="R324" t="s">
        <v>1550</v>
      </c>
      <c r="S324" t="s">
        <v>1535</v>
      </c>
      <c r="T324" t="s">
        <v>1540</v>
      </c>
      <c r="U324" t="s">
        <v>1545</v>
      </c>
      <c r="V324" t="s">
        <v>1558</v>
      </c>
      <c r="W324" t="s">
        <v>1564</v>
      </c>
      <c r="X324" t="s">
        <v>1576</v>
      </c>
      <c r="Y324" t="s">
        <v>1582</v>
      </c>
      <c r="Z324" t="s">
        <v>1594</v>
      </c>
      <c r="AA324" t="s">
        <v>1596</v>
      </c>
      <c r="AB324" t="s">
        <v>1601</v>
      </c>
      <c r="AC324" t="s">
        <v>1610</v>
      </c>
      <c r="AD324" t="s">
        <v>1606</v>
      </c>
      <c r="AE324" t="s">
        <v>1616</v>
      </c>
      <c r="AF324" t="s">
        <v>1626</v>
      </c>
    </row>
    <row r="325" spans="1:32" x14ac:dyDescent="0.25">
      <c r="A325" t="s">
        <v>382</v>
      </c>
      <c r="B325">
        <v>28</v>
      </c>
      <c r="C325">
        <v>1157</v>
      </c>
      <c r="D325">
        <v>2</v>
      </c>
      <c r="E325">
        <v>84</v>
      </c>
      <c r="F325">
        <v>3464</v>
      </c>
      <c r="G325">
        <v>24737</v>
      </c>
      <c r="H325">
        <v>5</v>
      </c>
      <c r="I325">
        <v>13</v>
      </c>
      <c r="J325">
        <v>5</v>
      </c>
      <c r="K325">
        <v>4</v>
      </c>
      <c r="L325">
        <v>3</v>
      </c>
      <c r="M325">
        <v>2</v>
      </c>
      <c r="N325">
        <v>2</v>
      </c>
      <c r="O325">
        <v>2</v>
      </c>
      <c r="P325" t="s">
        <v>1555</v>
      </c>
      <c r="Q325" t="s">
        <v>1552</v>
      </c>
      <c r="R325" t="s">
        <v>1550</v>
      </c>
      <c r="S325" t="s">
        <v>1535</v>
      </c>
      <c r="T325" t="s">
        <v>1540</v>
      </c>
      <c r="U325" t="s">
        <v>1545</v>
      </c>
      <c r="V325" t="s">
        <v>1559</v>
      </c>
      <c r="W325" t="s">
        <v>1561</v>
      </c>
      <c r="X325" t="s">
        <v>1575</v>
      </c>
      <c r="Y325" t="s">
        <v>1582</v>
      </c>
      <c r="Z325" t="s">
        <v>1594</v>
      </c>
      <c r="AA325" t="s">
        <v>1597</v>
      </c>
      <c r="AB325" t="s">
        <v>1600</v>
      </c>
      <c r="AC325" t="s">
        <v>1610</v>
      </c>
      <c r="AD325" t="s">
        <v>1607</v>
      </c>
      <c r="AE325" t="s">
        <v>1616</v>
      </c>
      <c r="AF325" t="s">
        <v>1626</v>
      </c>
    </row>
    <row r="326" spans="1:32" x14ac:dyDescent="0.25">
      <c r="A326" t="s">
        <v>383</v>
      </c>
      <c r="B326">
        <v>30</v>
      </c>
      <c r="C326">
        <v>1275</v>
      </c>
      <c r="D326">
        <v>28</v>
      </c>
      <c r="E326">
        <v>64</v>
      </c>
      <c r="F326">
        <v>5775</v>
      </c>
      <c r="G326">
        <v>11934</v>
      </c>
      <c r="H326">
        <v>1</v>
      </c>
      <c r="I326">
        <v>13</v>
      </c>
      <c r="J326">
        <v>11</v>
      </c>
      <c r="K326">
        <v>2</v>
      </c>
      <c r="L326">
        <v>10</v>
      </c>
      <c r="M326">
        <v>8</v>
      </c>
      <c r="N326">
        <v>1</v>
      </c>
      <c r="O326">
        <v>9</v>
      </c>
      <c r="P326" t="s">
        <v>1556</v>
      </c>
      <c r="Q326" t="s">
        <v>1552</v>
      </c>
      <c r="R326" t="s">
        <v>1550</v>
      </c>
      <c r="S326" t="s">
        <v>1533</v>
      </c>
      <c r="T326" t="s">
        <v>1540</v>
      </c>
      <c r="U326" t="s">
        <v>1548</v>
      </c>
      <c r="V326" t="s">
        <v>1558</v>
      </c>
      <c r="W326" t="s">
        <v>1563</v>
      </c>
      <c r="X326" t="s">
        <v>1576</v>
      </c>
      <c r="Y326" t="s">
        <v>1582</v>
      </c>
      <c r="Z326" t="s">
        <v>1594</v>
      </c>
      <c r="AA326" t="s">
        <v>1597</v>
      </c>
      <c r="AB326" t="s">
        <v>1601</v>
      </c>
      <c r="AC326" t="s">
        <v>1610</v>
      </c>
      <c r="AD326" t="s">
        <v>1607</v>
      </c>
      <c r="AE326" t="s">
        <v>1618</v>
      </c>
      <c r="AF326" t="s">
        <v>1627</v>
      </c>
    </row>
    <row r="327" spans="1:32" x14ac:dyDescent="0.25">
      <c r="A327" t="s">
        <v>384</v>
      </c>
      <c r="B327">
        <v>31</v>
      </c>
      <c r="C327">
        <v>798</v>
      </c>
      <c r="D327">
        <v>7</v>
      </c>
      <c r="E327">
        <v>48</v>
      </c>
      <c r="F327">
        <v>8943</v>
      </c>
      <c r="G327">
        <v>14034</v>
      </c>
      <c r="H327">
        <v>1</v>
      </c>
      <c r="I327">
        <v>24</v>
      </c>
      <c r="J327">
        <v>10</v>
      </c>
      <c r="K327">
        <v>2</v>
      </c>
      <c r="L327">
        <v>10</v>
      </c>
      <c r="M327">
        <v>9</v>
      </c>
      <c r="N327">
        <v>8</v>
      </c>
      <c r="O327">
        <v>9</v>
      </c>
      <c r="P327" t="s">
        <v>1556</v>
      </c>
      <c r="Q327" t="s">
        <v>1553</v>
      </c>
      <c r="R327" t="s">
        <v>1550</v>
      </c>
      <c r="S327" t="s">
        <v>1533</v>
      </c>
      <c r="T327" t="s">
        <v>1538</v>
      </c>
      <c r="U327" t="s">
        <v>1547</v>
      </c>
      <c r="V327" t="s">
        <v>1558</v>
      </c>
      <c r="W327" t="s">
        <v>1562</v>
      </c>
      <c r="X327" t="s">
        <v>1577</v>
      </c>
      <c r="Y327" t="s">
        <v>1584</v>
      </c>
      <c r="Z327" t="s">
        <v>1593</v>
      </c>
      <c r="AA327" t="s">
        <v>1597</v>
      </c>
      <c r="AB327" t="s">
        <v>1601</v>
      </c>
      <c r="AC327" t="s">
        <v>1611</v>
      </c>
      <c r="AD327" t="s">
        <v>1604</v>
      </c>
      <c r="AE327" t="s">
        <v>1617</v>
      </c>
      <c r="AF327" t="s">
        <v>1627</v>
      </c>
    </row>
    <row r="328" spans="1:32" x14ac:dyDescent="0.25">
      <c r="A328" t="s">
        <v>385</v>
      </c>
      <c r="B328">
        <v>39</v>
      </c>
      <c r="C328">
        <v>672</v>
      </c>
      <c r="D328">
        <v>7</v>
      </c>
      <c r="E328">
        <v>54</v>
      </c>
      <c r="F328">
        <v>19272</v>
      </c>
      <c r="G328">
        <v>21141</v>
      </c>
      <c r="H328">
        <v>1</v>
      </c>
      <c r="I328">
        <v>15</v>
      </c>
      <c r="J328">
        <v>21</v>
      </c>
      <c r="K328">
        <v>2</v>
      </c>
      <c r="L328">
        <v>21</v>
      </c>
      <c r="M328">
        <v>9</v>
      </c>
      <c r="N328">
        <v>13</v>
      </c>
      <c r="O328">
        <v>3</v>
      </c>
      <c r="P328" t="s">
        <v>1556</v>
      </c>
      <c r="Q328" t="s">
        <v>1553</v>
      </c>
      <c r="R328" t="s">
        <v>1550</v>
      </c>
      <c r="S328" t="s">
        <v>1533</v>
      </c>
      <c r="T328" t="s">
        <v>1540</v>
      </c>
      <c r="U328" t="s">
        <v>1547</v>
      </c>
      <c r="V328" t="s">
        <v>1559</v>
      </c>
      <c r="W328" t="s">
        <v>1562</v>
      </c>
      <c r="X328" t="s">
        <v>1579</v>
      </c>
      <c r="Y328" t="s">
        <v>1586</v>
      </c>
      <c r="Z328" t="s">
        <v>1594</v>
      </c>
      <c r="AA328" t="s">
        <v>1597</v>
      </c>
      <c r="AB328" t="s">
        <v>1601</v>
      </c>
      <c r="AC328" t="s">
        <v>1610</v>
      </c>
      <c r="AD328" t="s">
        <v>1604</v>
      </c>
      <c r="AE328" t="s">
        <v>1617</v>
      </c>
      <c r="AF328" t="s">
        <v>1627</v>
      </c>
    </row>
    <row r="329" spans="1:32" x14ac:dyDescent="0.25">
      <c r="A329" t="s">
        <v>386</v>
      </c>
      <c r="B329">
        <v>39</v>
      </c>
      <c r="C329">
        <v>1162</v>
      </c>
      <c r="D329">
        <v>3</v>
      </c>
      <c r="E329">
        <v>41</v>
      </c>
      <c r="F329">
        <v>5238</v>
      </c>
      <c r="G329">
        <v>17778</v>
      </c>
      <c r="H329">
        <v>4</v>
      </c>
      <c r="I329">
        <v>18</v>
      </c>
      <c r="J329">
        <v>12</v>
      </c>
      <c r="K329">
        <v>3</v>
      </c>
      <c r="L329">
        <v>1</v>
      </c>
      <c r="M329">
        <v>0</v>
      </c>
      <c r="N329">
        <v>0</v>
      </c>
      <c r="O329">
        <v>0</v>
      </c>
      <c r="P329" t="s">
        <v>1555</v>
      </c>
      <c r="Q329" t="s">
        <v>1552</v>
      </c>
      <c r="R329" t="s">
        <v>1549</v>
      </c>
      <c r="S329" t="s">
        <v>1533</v>
      </c>
      <c r="T329" t="s">
        <v>1540</v>
      </c>
      <c r="U329" t="s">
        <v>1548</v>
      </c>
      <c r="V329" t="s">
        <v>1558</v>
      </c>
      <c r="W329" t="s">
        <v>1563</v>
      </c>
      <c r="X329" t="s">
        <v>1576</v>
      </c>
      <c r="Y329" t="s">
        <v>1581</v>
      </c>
      <c r="Z329" t="s">
        <v>1593</v>
      </c>
      <c r="AA329" t="s">
        <v>1597</v>
      </c>
      <c r="AB329" t="s">
        <v>1600</v>
      </c>
      <c r="AC329" t="s">
        <v>1610</v>
      </c>
      <c r="AD329" t="s">
        <v>1604</v>
      </c>
      <c r="AE329" t="s">
        <v>1616</v>
      </c>
      <c r="AF329" t="s">
        <v>1626</v>
      </c>
    </row>
    <row r="330" spans="1:32" x14ac:dyDescent="0.25">
      <c r="A330" t="s">
        <v>387</v>
      </c>
      <c r="B330">
        <v>33</v>
      </c>
      <c r="C330">
        <v>508</v>
      </c>
      <c r="D330">
        <v>10</v>
      </c>
      <c r="E330">
        <v>46</v>
      </c>
      <c r="F330">
        <v>4682</v>
      </c>
      <c r="G330">
        <v>4317</v>
      </c>
      <c r="H330">
        <v>3</v>
      </c>
      <c r="I330">
        <v>14</v>
      </c>
      <c r="J330">
        <v>9</v>
      </c>
      <c r="K330">
        <v>6</v>
      </c>
      <c r="L330">
        <v>7</v>
      </c>
      <c r="M330">
        <v>7</v>
      </c>
      <c r="N330">
        <v>0</v>
      </c>
      <c r="O330">
        <v>1</v>
      </c>
      <c r="P330" t="s">
        <v>1556</v>
      </c>
      <c r="Q330" t="s">
        <v>1553</v>
      </c>
      <c r="R330" t="s">
        <v>1549</v>
      </c>
      <c r="S330" t="s">
        <v>1534</v>
      </c>
      <c r="T330" t="s">
        <v>1541</v>
      </c>
      <c r="U330" t="s">
        <v>1546</v>
      </c>
      <c r="V330" t="s">
        <v>1559</v>
      </c>
      <c r="W330" t="s">
        <v>1562</v>
      </c>
      <c r="X330" t="s">
        <v>1576</v>
      </c>
      <c r="Y330" t="s">
        <v>1581</v>
      </c>
      <c r="Z330" t="s">
        <v>1594</v>
      </c>
      <c r="AA330" t="s">
        <v>1596</v>
      </c>
      <c r="AB330" t="s">
        <v>1601</v>
      </c>
      <c r="AC330" t="s">
        <v>1610</v>
      </c>
      <c r="AD330" t="s">
        <v>1606</v>
      </c>
      <c r="AE330" t="s">
        <v>1616</v>
      </c>
      <c r="AF330" t="s">
        <v>1626</v>
      </c>
    </row>
    <row r="331" spans="1:32" x14ac:dyDescent="0.25">
      <c r="A331" t="s">
        <v>388</v>
      </c>
      <c r="B331">
        <v>47</v>
      </c>
      <c r="C331">
        <v>1482</v>
      </c>
      <c r="D331">
        <v>5</v>
      </c>
      <c r="E331">
        <v>42</v>
      </c>
      <c r="F331">
        <v>18300</v>
      </c>
      <c r="G331">
        <v>16375</v>
      </c>
      <c r="H331">
        <v>4</v>
      </c>
      <c r="I331">
        <v>11</v>
      </c>
      <c r="J331">
        <v>21</v>
      </c>
      <c r="K331">
        <v>2</v>
      </c>
      <c r="L331">
        <v>3</v>
      </c>
      <c r="M331">
        <v>2</v>
      </c>
      <c r="N331">
        <v>1</v>
      </c>
      <c r="O331">
        <v>1</v>
      </c>
      <c r="P331" t="s">
        <v>1556</v>
      </c>
      <c r="Q331" t="s">
        <v>1552</v>
      </c>
      <c r="R331" t="s">
        <v>1550</v>
      </c>
      <c r="S331" t="s">
        <v>1536</v>
      </c>
      <c r="T331" t="s">
        <v>1538</v>
      </c>
      <c r="U331" t="s">
        <v>1548</v>
      </c>
      <c r="V331" t="s">
        <v>1559</v>
      </c>
      <c r="W331" t="s">
        <v>1563</v>
      </c>
      <c r="X331" t="s">
        <v>1579</v>
      </c>
      <c r="Y331" t="s">
        <v>1588</v>
      </c>
      <c r="Z331" t="s">
        <v>1593</v>
      </c>
      <c r="AA331" t="s">
        <v>1597</v>
      </c>
      <c r="AB331" t="s">
        <v>1601</v>
      </c>
      <c r="AC331" t="s">
        <v>1610</v>
      </c>
      <c r="AD331" t="s">
        <v>1605</v>
      </c>
      <c r="AE331" t="s">
        <v>1617</v>
      </c>
      <c r="AF331" t="s">
        <v>1627</v>
      </c>
    </row>
    <row r="332" spans="1:32" x14ac:dyDescent="0.25">
      <c r="A332" t="s">
        <v>389</v>
      </c>
      <c r="B332">
        <v>43</v>
      </c>
      <c r="C332">
        <v>559</v>
      </c>
      <c r="D332">
        <v>10</v>
      </c>
      <c r="E332">
        <v>82</v>
      </c>
      <c r="F332">
        <v>5257</v>
      </c>
      <c r="G332">
        <v>6227</v>
      </c>
      <c r="H332">
        <v>1</v>
      </c>
      <c r="I332">
        <v>11</v>
      </c>
      <c r="J332">
        <v>9</v>
      </c>
      <c r="K332">
        <v>3</v>
      </c>
      <c r="L332">
        <v>9</v>
      </c>
      <c r="M332">
        <v>7</v>
      </c>
      <c r="N332">
        <v>0</v>
      </c>
      <c r="O332">
        <v>0</v>
      </c>
      <c r="P332" t="s">
        <v>1556</v>
      </c>
      <c r="Q332" t="s">
        <v>1553</v>
      </c>
      <c r="R332" t="s">
        <v>1550</v>
      </c>
      <c r="S332" t="s">
        <v>1535</v>
      </c>
      <c r="T332" t="s">
        <v>1538</v>
      </c>
      <c r="U332" t="s">
        <v>1547</v>
      </c>
      <c r="V332" t="s">
        <v>1558</v>
      </c>
      <c r="W332" t="s">
        <v>1562</v>
      </c>
      <c r="X332" t="s">
        <v>1576</v>
      </c>
      <c r="Y332" t="s">
        <v>1583</v>
      </c>
      <c r="Z332" t="s">
        <v>1593</v>
      </c>
      <c r="AA332" t="s">
        <v>1598</v>
      </c>
      <c r="AB332" t="s">
        <v>1601</v>
      </c>
      <c r="AC332" t="s">
        <v>1610</v>
      </c>
      <c r="AD332" t="s">
        <v>1605</v>
      </c>
      <c r="AE332" t="s">
        <v>1617</v>
      </c>
      <c r="AF332" t="s">
        <v>1628</v>
      </c>
    </row>
    <row r="333" spans="1:32" x14ac:dyDescent="0.25">
      <c r="A333" t="s">
        <v>390</v>
      </c>
      <c r="B333">
        <v>27</v>
      </c>
      <c r="C333">
        <v>210</v>
      </c>
      <c r="D333">
        <v>1</v>
      </c>
      <c r="E333">
        <v>73</v>
      </c>
      <c r="F333">
        <v>6349</v>
      </c>
      <c r="G333">
        <v>22107</v>
      </c>
      <c r="H333">
        <v>0</v>
      </c>
      <c r="I333">
        <v>13</v>
      </c>
      <c r="J333">
        <v>6</v>
      </c>
      <c r="K333">
        <v>0</v>
      </c>
      <c r="L333">
        <v>5</v>
      </c>
      <c r="M333">
        <v>4</v>
      </c>
      <c r="N333">
        <v>1</v>
      </c>
      <c r="O333">
        <v>4</v>
      </c>
      <c r="P333" t="s">
        <v>1556</v>
      </c>
      <c r="Q333" t="s">
        <v>1554</v>
      </c>
      <c r="R333" t="s">
        <v>1549</v>
      </c>
      <c r="S333" t="s">
        <v>1532</v>
      </c>
      <c r="T333" t="s">
        <v>1541</v>
      </c>
      <c r="U333" t="s">
        <v>1547</v>
      </c>
      <c r="V333" t="s">
        <v>1559</v>
      </c>
      <c r="W333" t="s">
        <v>1563</v>
      </c>
      <c r="X333" t="s">
        <v>1576</v>
      </c>
      <c r="Y333" t="s">
        <v>1581</v>
      </c>
      <c r="Z333" t="s">
        <v>1592</v>
      </c>
      <c r="AA333" t="s">
        <v>1597</v>
      </c>
      <c r="AB333" t="s">
        <v>1600</v>
      </c>
      <c r="AC333" t="s">
        <v>1610</v>
      </c>
      <c r="AD333" t="s">
        <v>1607</v>
      </c>
      <c r="AE333" t="s">
        <v>1617</v>
      </c>
      <c r="AF333" t="s">
        <v>1627</v>
      </c>
    </row>
    <row r="334" spans="1:32" x14ac:dyDescent="0.25">
      <c r="A334" t="s">
        <v>391</v>
      </c>
      <c r="B334">
        <v>54</v>
      </c>
      <c r="C334">
        <v>928</v>
      </c>
      <c r="D334">
        <v>20</v>
      </c>
      <c r="E334">
        <v>31</v>
      </c>
      <c r="F334">
        <v>4869</v>
      </c>
      <c r="G334">
        <v>16885</v>
      </c>
      <c r="H334">
        <v>3</v>
      </c>
      <c r="I334">
        <v>12</v>
      </c>
      <c r="J334">
        <v>20</v>
      </c>
      <c r="K334">
        <v>4</v>
      </c>
      <c r="L334">
        <v>4</v>
      </c>
      <c r="M334">
        <v>3</v>
      </c>
      <c r="N334">
        <v>0</v>
      </c>
      <c r="O334">
        <v>3</v>
      </c>
      <c r="P334" t="s">
        <v>1556</v>
      </c>
      <c r="Q334" t="s">
        <v>1553</v>
      </c>
      <c r="R334" t="s">
        <v>1550</v>
      </c>
      <c r="S334" t="s">
        <v>1535</v>
      </c>
      <c r="T334" t="s">
        <v>1538</v>
      </c>
      <c r="U334" t="s">
        <v>1548</v>
      </c>
      <c r="V334" t="s">
        <v>1558</v>
      </c>
      <c r="W334" t="s">
        <v>1563</v>
      </c>
      <c r="X334" t="s">
        <v>1576</v>
      </c>
      <c r="Y334" t="s">
        <v>1582</v>
      </c>
      <c r="Z334" t="s">
        <v>1593</v>
      </c>
      <c r="AA334" t="s">
        <v>1596</v>
      </c>
      <c r="AB334" t="s">
        <v>1601</v>
      </c>
      <c r="AC334" t="s">
        <v>1610</v>
      </c>
      <c r="AD334" t="s">
        <v>1607</v>
      </c>
      <c r="AE334" t="s">
        <v>1616</v>
      </c>
      <c r="AF334" t="s">
        <v>1626</v>
      </c>
    </row>
    <row r="335" spans="1:32" x14ac:dyDescent="0.25">
      <c r="A335" t="s">
        <v>392</v>
      </c>
      <c r="B335">
        <v>43</v>
      </c>
      <c r="C335">
        <v>1001</v>
      </c>
      <c r="D335">
        <v>7</v>
      </c>
      <c r="E335">
        <v>43</v>
      </c>
      <c r="F335">
        <v>9985</v>
      </c>
      <c r="G335">
        <v>9262</v>
      </c>
      <c r="H335">
        <v>8</v>
      </c>
      <c r="I335">
        <v>16</v>
      </c>
      <c r="J335">
        <v>10</v>
      </c>
      <c r="K335">
        <v>1</v>
      </c>
      <c r="L335">
        <v>1</v>
      </c>
      <c r="M335">
        <v>0</v>
      </c>
      <c r="N335">
        <v>0</v>
      </c>
      <c r="O335">
        <v>0</v>
      </c>
      <c r="P335" t="s">
        <v>1556</v>
      </c>
      <c r="Q335" t="s">
        <v>1552</v>
      </c>
      <c r="R335" t="s">
        <v>1550</v>
      </c>
      <c r="S335" t="s">
        <v>1534</v>
      </c>
      <c r="T335" t="s">
        <v>1538</v>
      </c>
      <c r="U335" t="s">
        <v>1547</v>
      </c>
      <c r="V335" t="s">
        <v>1558</v>
      </c>
      <c r="W335" t="s">
        <v>1563</v>
      </c>
      <c r="X335" t="s">
        <v>1577</v>
      </c>
      <c r="Y335" t="s">
        <v>1585</v>
      </c>
      <c r="Z335" t="s">
        <v>1591</v>
      </c>
      <c r="AA335" t="s">
        <v>1597</v>
      </c>
      <c r="AB335" t="s">
        <v>1601</v>
      </c>
      <c r="AC335" t="s">
        <v>1610</v>
      </c>
      <c r="AD335" t="s">
        <v>1604</v>
      </c>
      <c r="AE335" t="s">
        <v>1617</v>
      </c>
      <c r="AF335" t="s">
        <v>1626</v>
      </c>
    </row>
    <row r="336" spans="1:32" x14ac:dyDescent="0.25">
      <c r="A336" t="s">
        <v>393</v>
      </c>
      <c r="B336">
        <v>45</v>
      </c>
      <c r="C336">
        <v>549</v>
      </c>
      <c r="D336">
        <v>8</v>
      </c>
      <c r="E336">
        <v>75</v>
      </c>
      <c r="F336">
        <v>3697</v>
      </c>
      <c r="G336">
        <v>9278</v>
      </c>
      <c r="H336">
        <v>9</v>
      </c>
      <c r="I336">
        <v>14</v>
      </c>
      <c r="J336">
        <v>12</v>
      </c>
      <c r="K336">
        <v>3</v>
      </c>
      <c r="L336">
        <v>10</v>
      </c>
      <c r="M336">
        <v>9</v>
      </c>
      <c r="N336">
        <v>9</v>
      </c>
      <c r="O336">
        <v>8</v>
      </c>
      <c r="P336" t="s">
        <v>1556</v>
      </c>
      <c r="Q336" t="s">
        <v>1552</v>
      </c>
      <c r="R336" t="s">
        <v>1550</v>
      </c>
      <c r="S336" t="s">
        <v>1535</v>
      </c>
      <c r="T336" t="s">
        <v>1539</v>
      </c>
      <c r="U336" t="s">
        <v>1548</v>
      </c>
      <c r="V336" t="s">
        <v>1559</v>
      </c>
      <c r="W336" t="s">
        <v>1563</v>
      </c>
      <c r="X336" t="s">
        <v>1576</v>
      </c>
      <c r="Y336" t="s">
        <v>1582</v>
      </c>
      <c r="Z336" t="s">
        <v>1594</v>
      </c>
      <c r="AA336" t="s">
        <v>1597</v>
      </c>
      <c r="AB336" t="s">
        <v>1601</v>
      </c>
      <c r="AC336" t="s">
        <v>1610</v>
      </c>
      <c r="AD336" t="s">
        <v>1604</v>
      </c>
      <c r="AE336" t="s">
        <v>1618</v>
      </c>
      <c r="AF336" t="s">
        <v>1627</v>
      </c>
    </row>
    <row r="337" spans="1:32" x14ac:dyDescent="0.25">
      <c r="A337" t="s">
        <v>394</v>
      </c>
      <c r="B337">
        <v>40</v>
      </c>
      <c r="C337">
        <v>1124</v>
      </c>
      <c r="D337">
        <v>1</v>
      </c>
      <c r="E337">
        <v>57</v>
      </c>
      <c r="F337">
        <v>7457</v>
      </c>
      <c r="G337">
        <v>13273</v>
      </c>
      <c r="H337">
        <v>2</v>
      </c>
      <c r="I337">
        <v>22</v>
      </c>
      <c r="J337">
        <v>6</v>
      </c>
      <c r="K337">
        <v>2</v>
      </c>
      <c r="L337">
        <v>4</v>
      </c>
      <c r="M337">
        <v>3</v>
      </c>
      <c r="N337">
        <v>0</v>
      </c>
      <c r="O337">
        <v>2</v>
      </c>
      <c r="P337" t="s">
        <v>1556</v>
      </c>
      <c r="Q337" t="s">
        <v>1552</v>
      </c>
      <c r="R337" t="s">
        <v>1549</v>
      </c>
      <c r="S337" t="s">
        <v>1533</v>
      </c>
      <c r="T337" t="s">
        <v>1540</v>
      </c>
      <c r="U337" t="s">
        <v>1546</v>
      </c>
      <c r="V337" t="s">
        <v>1559</v>
      </c>
      <c r="W337" t="s">
        <v>1561</v>
      </c>
      <c r="X337" t="s">
        <v>1576</v>
      </c>
      <c r="Y337" t="s">
        <v>1581</v>
      </c>
      <c r="Z337" t="s">
        <v>1594</v>
      </c>
      <c r="AA337" t="s">
        <v>1597</v>
      </c>
      <c r="AB337" t="s">
        <v>1600</v>
      </c>
      <c r="AC337" t="s">
        <v>1611</v>
      </c>
      <c r="AD337" t="s">
        <v>1606</v>
      </c>
      <c r="AE337" t="s">
        <v>1619</v>
      </c>
      <c r="AF337" t="s">
        <v>1626</v>
      </c>
    </row>
    <row r="338" spans="1:32" x14ac:dyDescent="0.25">
      <c r="A338" t="s">
        <v>395</v>
      </c>
      <c r="B338">
        <v>29</v>
      </c>
      <c r="C338">
        <v>318</v>
      </c>
      <c r="D338">
        <v>8</v>
      </c>
      <c r="E338">
        <v>77</v>
      </c>
      <c r="F338">
        <v>2119</v>
      </c>
      <c r="G338">
        <v>4759</v>
      </c>
      <c r="H338">
        <v>1</v>
      </c>
      <c r="I338">
        <v>11</v>
      </c>
      <c r="J338">
        <v>7</v>
      </c>
      <c r="K338">
        <v>4</v>
      </c>
      <c r="L338">
        <v>7</v>
      </c>
      <c r="M338">
        <v>7</v>
      </c>
      <c r="N338">
        <v>0</v>
      </c>
      <c r="O338">
        <v>7</v>
      </c>
      <c r="P338" t="s">
        <v>1555</v>
      </c>
      <c r="Q338" t="s">
        <v>1552</v>
      </c>
      <c r="R338" t="s">
        <v>1550</v>
      </c>
      <c r="S338" t="s">
        <v>1535</v>
      </c>
      <c r="T338" t="s">
        <v>1539</v>
      </c>
      <c r="U338" t="s">
        <v>1546</v>
      </c>
      <c r="V338" t="s">
        <v>1559</v>
      </c>
      <c r="W338" t="s">
        <v>1561</v>
      </c>
      <c r="X338" t="s">
        <v>1575</v>
      </c>
      <c r="Y338" t="s">
        <v>1583</v>
      </c>
      <c r="Z338" t="s">
        <v>1591</v>
      </c>
      <c r="AA338" t="s">
        <v>1597</v>
      </c>
      <c r="AB338" t="s">
        <v>1600</v>
      </c>
      <c r="AC338" t="s">
        <v>1610</v>
      </c>
      <c r="AD338" t="s">
        <v>1607</v>
      </c>
      <c r="AE338" t="s">
        <v>1616</v>
      </c>
      <c r="AF338" t="s">
        <v>1626</v>
      </c>
    </row>
    <row r="339" spans="1:32" x14ac:dyDescent="0.25">
      <c r="A339" t="s">
        <v>396</v>
      </c>
      <c r="B339">
        <v>29</v>
      </c>
      <c r="C339">
        <v>738</v>
      </c>
      <c r="D339">
        <v>9</v>
      </c>
      <c r="E339">
        <v>30</v>
      </c>
      <c r="F339">
        <v>3983</v>
      </c>
      <c r="G339">
        <v>7621</v>
      </c>
      <c r="H339">
        <v>0</v>
      </c>
      <c r="I339">
        <v>17</v>
      </c>
      <c r="J339">
        <v>4</v>
      </c>
      <c r="K339">
        <v>2</v>
      </c>
      <c r="L339">
        <v>3</v>
      </c>
      <c r="M339">
        <v>2</v>
      </c>
      <c r="N339">
        <v>2</v>
      </c>
      <c r="O339">
        <v>2</v>
      </c>
      <c r="P339" t="s">
        <v>1556</v>
      </c>
      <c r="Q339" t="s">
        <v>1552</v>
      </c>
      <c r="R339" t="s">
        <v>1550</v>
      </c>
      <c r="S339" t="s">
        <v>1536</v>
      </c>
      <c r="T339" t="s">
        <v>1539</v>
      </c>
      <c r="U339" t="s">
        <v>1546</v>
      </c>
      <c r="V339" t="s">
        <v>1559</v>
      </c>
      <c r="W339" t="s">
        <v>1562</v>
      </c>
      <c r="X339" t="s">
        <v>1575</v>
      </c>
      <c r="Y339" t="s">
        <v>1583</v>
      </c>
      <c r="Z339" t="s">
        <v>1594</v>
      </c>
      <c r="AA339" t="s">
        <v>1596</v>
      </c>
      <c r="AB339" t="s">
        <v>1601</v>
      </c>
      <c r="AC339" t="s">
        <v>1610</v>
      </c>
      <c r="AD339" t="s">
        <v>1606</v>
      </c>
      <c r="AE339" t="s">
        <v>1616</v>
      </c>
      <c r="AF339" t="s">
        <v>1627</v>
      </c>
    </row>
    <row r="340" spans="1:32" x14ac:dyDescent="0.25">
      <c r="A340" t="s">
        <v>397</v>
      </c>
      <c r="B340">
        <v>30</v>
      </c>
      <c r="C340">
        <v>570</v>
      </c>
      <c r="D340">
        <v>5</v>
      </c>
      <c r="E340">
        <v>30</v>
      </c>
      <c r="F340">
        <v>6118</v>
      </c>
      <c r="G340">
        <v>5431</v>
      </c>
      <c r="H340">
        <v>1</v>
      </c>
      <c r="I340">
        <v>13</v>
      </c>
      <c r="J340">
        <v>10</v>
      </c>
      <c r="K340">
        <v>2</v>
      </c>
      <c r="L340">
        <v>10</v>
      </c>
      <c r="M340">
        <v>9</v>
      </c>
      <c r="N340">
        <v>1</v>
      </c>
      <c r="O340">
        <v>2</v>
      </c>
      <c r="P340" t="s">
        <v>1556</v>
      </c>
      <c r="Q340" t="s">
        <v>1552</v>
      </c>
      <c r="R340" t="s">
        <v>1549</v>
      </c>
      <c r="S340" t="s">
        <v>1534</v>
      </c>
      <c r="T340" t="s">
        <v>1541</v>
      </c>
      <c r="U340" t="s">
        <v>1548</v>
      </c>
      <c r="V340" t="s">
        <v>1558</v>
      </c>
      <c r="W340" t="s">
        <v>1562</v>
      </c>
      <c r="X340" t="s">
        <v>1576</v>
      </c>
      <c r="Y340" t="s">
        <v>1581</v>
      </c>
      <c r="Z340" t="s">
        <v>1593</v>
      </c>
      <c r="AA340" t="s">
        <v>1598</v>
      </c>
      <c r="AB340" t="s">
        <v>1601</v>
      </c>
      <c r="AC340" t="s">
        <v>1610</v>
      </c>
      <c r="AD340" t="s">
        <v>1606</v>
      </c>
      <c r="AE340" t="s">
        <v>1619</v>
      </c>
      <c r="AF340" t="s">
        <v>1627</v>
      </c>
    </row>
    <row r="341" spans="1:32" x14ac:dyDescent="0.25">
      <c r="A341" t="s">
        <v>398</v>
      </c>
      <c r="B341">
        <v>27</v>
      </c>
      <c r="C341">
        <v>1130</v>
      </c>
      <c r="D341">
        <v>8</v>
      </c>
      <c r="E341">
        <v>56</v>
      </c>
      <c r="F341">
        <v>6214</v>
      </c>
      <c r="G341">
        <v>3415</v>
      </c>
      <c r="H341">
        <v>1</v>
      </c>
      <c r="I341">
        <v>18</v>
      </c>
      <c r="J341">
        <v>8</v>
      </c>
      <c r="K341">
        <v>3</v>
      </c>
      <c r="L341">
        <v>8</v>
      </c>
      <c r="M341">
        <v>7</v>
      </c>
      <c r="N341">
        <v>0</v>
      </c>
      <c r="O341">
        <v>7</v>
      </c>
      <c r="P341" t="s">
        <v>1556</v>
      </c>
      <c r="Q341" t="s">
        <v>1552</v>
      </c>
      <c r="R341" t="s">
        <v>1549</v>
      </c>
      <c r="S341" t="s">
        <v>1535</v>
      </c>
      <c r="T341" t="s">
        <v>1541</v>
      </c>
      <c r="U341" t="s">
        <v>1546</v>
      </c>
      <c r="V341" t="s">
        <v>1558</v>
      </c>
      <c r="W341" t="s">
        <v>1563</v>
      </c>
      <c r="X341" t="s">
        <v>1576</v>
      </c>
      <c r="Y341" t="s">
        <v>1581</v>
      </c>
      <c r="Z341" t="s">
        <v>1592</v>
      </c>
      <c r="AA341" t="s">
        <v>1597</v>
      </c>
      <c r="AB341" t="s">
        <v>1601</v>
      </c>
      <c r="AC341" t="s">
        <v>1610</v>
      </c>
      <c r="AD341" t="s">
        <v>1604</v>
      </c>
      <c r="AE341" t="s">
        <v>1617</v>
      </c>
      <c r="AF341" t="s">
        <v>1627</v>
      </c>
    </row>
    <row r="342" spans="1:32" x14ac:dyDescent="0.25">
      <c r="A342" t="s">
        <v>399</v>
      </c>
      <c r="B342">
        <v>37</v>
      </c>
      <c r="C342">
        <v>1192</v>
      </c>
      <c r="D342">
        <v>5</v>
      </c>
      <c r="E342">
        <v>61</v>
      </c>
      <c r="F342">
        <v>6347</v>
      </c>
      <c r="G342">
        <v>23177</v>
      </c>
      <c r="H342">
        <v>7</v>
      </c>
      <c r="I342">
        <v>16</v>
      </c>
      <c r="J342">
        <v>8</v>
      </c>
      <c r="K342">
        <v>2</v>
      </c>
      <c r="L342">
        <v>6</v>
      </c>
      <c r="M342">
        <v>2</v>
      </c>
      <c r="N342">
        <v>0</v>
      </c>
      <c r="O342">
        <v>4</v>
      </c>
      <c r="P342" t="s">
        <v>1556</v>
      </c>
      <c r="Q342" t="s">
        <v>1552</v>
      </c>
      <c r="R342" t="s">
        <v>1550</v>
      </c>
      <c r="S342" t="s">
        <v>1533</v>
      </c>
      <c r="T342" t="s">
        <v>1540</v>
      </c>
      <c r="U342" t="s">
        <v>1548</v>
      </c>
      <c r="V342" t="s">
        <v>1559</v>
      </c>
      <c r="W342" t="s">
        <v>1563</v>
      </c>
      <c r="X342" t="s">
        <v>1576</v>
      </c>
      <c r="Y342" t="s">
        <v>1584</v>
      </c>
      <c r="Z342" t="s">
        <v>1594</v>
      </c>
      <c r="AA342" t="s">
        <v>1598</v>
      </c>
      <c r="AB342" t="s">
        <v>1601</v>
      </c>
      <c r="AC342" t="s">
        <v>1610</v>
      </c>
      <c r="AD342" t="s">
        <v>1606</v>
      </c>
      <c r="AE342" t="s">
        <v>1618</v>
      </c>
      <c r="AF342" t="s">
        <v>1626</v>
      </c>
    </row>
    <row r="343" spans="1:32" x14ac:dyDescent="0.25">
      <c r="A343" t="s">
        <v>400</v>
      </c>
      <c r="B343">
        <v>38</v>
      </c>
      <c r="C343">
        <v>343</v>
      </c>
      <c r="D343">
        <v>15</v>
      </c>
      <c r="E343">
        <v>92</v>
      </c>
      <c r="F343">
        <v>11510</v>
      </c>
      <c r="G343">
        <v>15682</v>
      </c>
      <c r="H343">
        <v>0</v>
      </c>
      <c r="I343">
        <v>14</v>
      </c>
      <c r="J343">
        <v>12</v>
      </c>
      <c r="K343">
        <v>3</v>
      </c>
      <c r="L343">
        <v>11</v>
      </c>
      <c r="M343">
        <v>10</v>
      </c>
      <c r="N343">
        <v>2</v>
      </c>
      <c r="O343">
        <v>9</v>
      </c>
      <c r="P343" t="s">
        <v>1556</v>
      </c>
      <c r="Q343" t="s">
        <v>1552</v>
      </c>
      <c r="R343" t="s">
        <v>1550</v>
      </c>
      <c r="S343" t="s">
        <v>1533</v>
      </c>
      <c r="T343" t="s">
        <v>1538</v>
      </c>
      <c r="U343" t="s">
        <v>1547</v>
      </c>
      <c r="V343" t="s">
        <v>1559</v>
      </c>
      <c r="W343" t="s">
        <v>1562</v>
      </c>
      <c r="X343" t="s">
        <v>1577</v>
      </c>
      <c r="Y343" t="s">
        <v>1588</v>
      </c>
      <c r="Z343" t="s">
        <v>1594</v>
      </c>
      <c r="AA343" t="s">
        <v>1598</v>
      </c>
      <c r="AB343" t="s">
        <v>1600</v>
      </c>
      <c r="AC343" t="s">
        <v>1610</v>
      </c>
      <c r="AD343" t="s">
        <v>1605</v>
      </c>
      <c r="AE343" t="s">
        <v>1617</v>
      </c>
      <c r="AF343" t="s">
        <v>1627</v>
      </c>
    </row>
    <row r="344" spans="1:32" x14ac:dyDescent="0.25">
      <c r="A344" t="s">
        <v>401</v>
      </c>
      <c r="B344">
        <v>31</v>
      </c>
      <c r="C344">
        <v>1232</v>
      </c>
      <c r="D344">
        <v>7</v>
      </c>
      <c r="E344">
        <v>39</v>
      </c>
      <c r="F344">
        <v>7143</v>
      </c>
      <c r="G344">
        <v>25713</v>
      </c>
      <c r="H344">
        <v>1</v>
      </c>
      <c r="I344">
        <v>14</v>
      </c>
      <c r="J344">
        <v>11</v>
      </c>
      <c r="K344">
        <v>2</v>
      </c>
      <c r="L344">
        <v>11</v>
      </c>
      <c r="M344">
        <v>9</v>
      </c>
      <c r="N344">
        <v>4</v>
      </c>
      <c r="O344">
        <v>10</v>
      </c>
      <c r="P344" t="s">
        <v>1556</v>
      </c>
      <c r="Q344" t="s">
        <v>1552</v>
      </c>
      <c r="R344" t="s">
        <v>1550</v>
      </c>
      <c r="S344" t="s">
        <v>1535</v>
      </c>
      <c r="T344" t="s">
        <v>1540</v>
      </c>
      <c r="U344" t="s">
        <v>1547</v>
      </c>
      <c r="V344" t="s">
        <v>1558</v>
      </c>
      <c r="W344" t="s">
        <v>1563</v>
      </c>
      <c r="X344" t="s">
        <v>1577</v>
      </c>
      <c r="Y344" t="s">
        <v>1584</v>
      </c>
      <c r="Z344" t="s">
        <v>1594</v>
      </c>
      <c r="AA344" t="s">
        <v>1596</v>
      </c>
      <c r="AB344" t="s">
        <v>1600</v>
      </c>
      <c r="AC344" t="s">
        <v>1610</v>
      </c>
      <c r="AD344" t="s">
        <v>1606</v>
      </c>
      <c r="AE344" t="s">
        <v>1616</v>
      </c>
      <c r="AF344" t="s">
        <v>1626</v>
      </c>
    </row>
    <row r="345" spans="1:32" x14ac:dyDescent="0.25">
      <c r="A345" t="s">
        <v>402</v>
      </c>
      <c r="B345">
        <v>29</v>
      </c>
      <c r="C345">
        <v>144</v>
      </c>
      <c r="D345">
        <v>10</v>
      </c>
      <c r="E345">
        <v>39</v>
      </c>
      <c r="F345">
        <v>8268</v>
      </c>
      <c r="G345">
        <v>11866</v>
      </c>
      <c r="H345">
        <v>1</v>
      </c>
      <c r="I345">
        <v>14</v>
      </c>
      <c r="J345">
        <v>7</v>
      </c>
      <c r="K345">
        <v>2</v>
      </c>
      <c r="L345">
        <v>7</v>
      </c>
      <c r="M345">
        <v>7</v>
      </c>
      <c r="N345">
        <v>1</v>
      </c>
      <c r="O345">
        <v>7</v>
      </c>
      <c r="P345" t="s">
        <v>1556</v>
      </c>
      <c r="Q345" t="s">
        <v>1552</v>
      </c>
      <c r="R345" t="s">
        <v>1549</v>
      </c>
      <c r="S345" t="s">
        <v>1532</v>
      </c>
      <c r="T345" t="s">
        <v>1541</v>
      </c>
      <c r="U345" t="s">
        <v>1548</v>
      </c>
      <c r="V345" t="s">
        <v>1558</v>
      </c>
      <c r="W345" t="s">
        <v>1562</v>
      </c>
      <c r="X345" t="s">
        <v>1576</v>
      </c>
      <c r="Y345" t="s">
        <v>1581</v>
      </c>
      <c r="Z345" t="s">
        <v>1592</v>
      </c>
      <c r="AA345" t="s">
        <v>1598</v>
      </c>
      <c r="AB345" t="s">
        <v>1600</v>
      </c>
      <c r="AC345" t="s">
        <v>1610</v>
      </c>
      <c r="AD345" t="s">
        <v>1604</v>
      </c>
      <c r="AE345" t="s">
        <v>1618</v>
      </c>
      <c r="AF345" t="s">
        <v>1627</v>
      </c>
    </row>
    <row r="346" spans="1:32" x14ac:dyDescent="0.25">
      <c r="A346" t="s">
        <v>403</v>
      </c>
      <c r="B346">
        <v>35</v>
      </c>
      <c r="C346">
        <v>1296</v>
      </c>
      <c r="D346">
        <v>5</v>
      </c>
      <c r="E346">
        <v>62</v>
      </c>
      <c r="F346">
        <v>8095</v>
      </c>
      <c r="G346">
        <v>18264</v>
      </c>
      <c r="H346">
        <v>0</v>
      </c>
      <c r="I346">
        <v>13</v>
      </c>
      <c r="J346">
        <v>17</v>
      </c>
      <c r="K346">
        <v>5</v>
      </c>
      <c r="L346">
        <v>16</v>
      </c>
      <c r="M346">
        <v>6</v>
      </c>
      <c r="N346">
        <v>0</v>
      </c>
      <c r="O346">
        <v>13</v>
      </c>
      <c r="P346" t="s">
        <v>1556</v>
      </c>
      <c r="Q346" t="s">
        <v>1552</v>
      </c>
      <c r="R346" t="s">
        <v>1550</v>
      </c>
      <c r="S346" t="s">
        <v>1535</v>
      </c>
      <c r="T346" t="s">
        <v>1542</v>
      </c>
      <c r="U346" t="s">
        <v>1547</v>
      </c>
      <c r="V346" t="s">
        <v>1559</v>
      </c>
      <c r="W346" t="s">
        <v>1563</v>
      </c>
      <c r="X346" t="s">
        <v>1577</v>
      </c>
      <c r="Y346" t="s">
        <v>1584</v>
      </c>
      <c r="Z346" t="s">
        <v>1592</v>
      </c>
      <c r="AA346" t="s">
        <v>1596</v>
      </c>
      <c r="AB346" t="s">
        <v>1601</v>
      </c>
      <c r="AC346" t="s">
        <v>1610</v>
      </c>
      <c r="AD346" t="s">
        <v>1607</v>
      </c>
      <c r="AE346" t="s">
        <v>1616</v>
      </c>
      <c r="AF346" t="s">
        <v>1627</v>
      </c>
    </row>
    <row r="347" spans="1:32" x14ac:dyDescent="0.25">
      <c r="A347" t="s">
        <v>404</v>
      </c>
      <c r="B347">
        <v>23</v>
      </c>
      <c r="C347">
        <v>1309</v>
      </c>
      <c r="D347">
        <v>26</v>
      </c>
      <c r="E347">
        <v>83</v>
      </c>
      <c r="F347">
        <v>2904</v>
      </c>
      <c r="G347">
        <v>16092</v>
      </c>
      <c r="H347">
        <v>1</v>
      </c>
      <c r="I347">
        <v>12</v>
      </c>
      <c r="J347">
        <v>4</v>
      </c>
      <c r="K347">
        <v>2</v>
      </c>
      <c r="L347">
        <v>4</v>
      </c>
      <c r="M347">
        <v>2</v>
      </c>
      <c r="N347">
        <v>0</v>
      </c>
      <c r="O347">
        <v>2</v>
      </c>
      <c r="P347" t="s">
        <v>1556</v>
      </c>
      <c r="Q347" t="s">
        <v>1552</v>
      </c>
      <c r="R347" t="s">
        <v>1550</v>
      </c>
      <c r="S347" t="s">
        <v>1532</v>
      </c>
      <c r="T347" t="s">
        <v>1538</v>
      </c>
      <c r="U347" t="s">
        <v>1547</v>
      </c>
      <c r="V347" t="s">
        <v>1559</v>
      </c>
      <c r="W347" t="s">
        <v>1563</v>
      </c>
      <c r="X347" t="s">
        <v>1575</v>
      </c>
      <c r="Y347" t="s">
        <v>1582</v>
      </c>
      <c r="Z347" t="s">
        <v>1594</v>
      </c>
      <c r="AA347" t="s">
        <v>1598</v>
      </c>
      <c r="AB347" t="s">
        <v>1601</v>
      </c>
      <c r="AC347" t="s">
        <v>1610</v>
      </c>
      <c r="AD347" t="s">
        <v>1606</v>
      </c>
      <c r="AE347" t="s">
        <v>1618</v>
      </c>
      <c r="AF347" t="s">
        <v>1626</v>
      </c>
    </row>
    <row r="348" spans="1:32" x14ac:dyDescent="0.25">
      <c r="A348" t="s">
        <v>405</v>
      </c>
      <c r="B348">
        <v>41</v>
      </c>
      <c r="C348">
        <v>483</v>
      </c>
      <c r="D348">
        <v>6</v>
      </c>
      <c r="E348">
        <v>95</v>
      </c>
      <c r="F348">
        <v>6032</v>
      </c>
      <c r="G348">
        <v>10110</v>
      </c>
      <c r="H348">
        <v>6</v>
      </c>
      <c r="I348">
        <v>15</v>
      </c>
      <c r="J348">
        <v>8</v>
      </c>
      <c r="K348">
        <v>3</v>
      </c>
      <c r="L348">
        <v>5</v>
      </c>
      <c r="M348">
        <v>4</v>
      </c>
      <c r="N348">
        <v>1</v>
      </c>
      <c r="O348">
        <v>2</v>
      </c>
      <c r="P348" t="s">
        <v>1556</v>
      </c>
      <c r="Q348" t="s">
        <v>1552</v>
      </c>
      <c r="R348" t="s">
        <v>1550</v>
      </c>
      <c r="S348" t="s">
        <v>1534</v>
      </c>
      <c r="T348" t="s">
        <v>1540</v>
      </c>
      <c r="U348" t="s">
        <v>1548</v>
      </c>
      <c r="V348" t="s">
        <v>1559</v>
      </c>
      <c r="W348" t="s">
        <v>1562</v>
      </c>
      <c r="X348" t="s">
        <v>1576</v>
      </c>
      <c r="Y348" t="s">
        <v>1584</v>
      </c>
      <c r="Z348" t="s">
        <v>1592</v>
      </c>
      <c r="AA348" t="s">
        <v>1596</v>
      </c>
      <c r="AB348" t="s">
        <v>1600</v>
      </c>
      <c r="AC348" t="s">
        <v>1610</v>
      </c>
      <c r="AD348" t="s">
        <v>1607</v>
      </c>
      <c r="AE348" t="s">
        <v>1616</v>
      </c>
      <c r="AF348" t="s">
        <v>1627</v>
      </c>
    </row>
    <row r="349" spans="1:32" x14ac:dyDescent="0.25">
      <c r="A349" t="s">
        <v>406</v>
      </c>
      <c r="B349">
        <v>47</v>
      </c>
      <c r="C349">
        <v>1309</v>
      </c>
      <c r="D349">
        <v>4</v>
      </c>
      <c r="E349">
        <v>99</v>
      </c>
      <c r="F349">
        <v>2976</v>
      </c>
      <c r="G349">
        <v>25751</v>
      </c>
      <c r="H349">
        <v>3</v>
      </c>
      <c r="I349">
        <v>19</v>
      </c>
      <c r="J349">
        <v>5</v>
      </c>
      <c r="K349">
        <v>3</v>
      </c>
      <c r="L349">
        <v>0</v>
      </c>
      <c r="M349">
        <v>0</v>
      </c>
      <c r="N349">
        <v>0</v>
      </c>
      <c r="O349">
        <v>0</v>
      </c>
      <c r="P349" t="s">
        <v>1556</v>
      </c>
      <c r="Q349" t="s">
        <v>1553</v>
      </c>
      <c r="R349" t="s">
        <v>1549</v>
      </c>
      <c r="S349" t="s">
        <v>1532</v>
      </c>
      <c r="T349" t="s">
        <v>1540</v>
      </c>
      <c r="U349" t="s">
        <v>1546</v>
      </c>
      <c r="V349" t="s">
        <v>1559</v>
      </c>
      <c r="W349" t="s">
        <v>1563</v>
      </c>
      <c r="X349" t="s">
        <v>1576</v>
      </c>
      <c r="Y349" t="s">
        <v>1587</v>
      </c>
      <c r="Z349" t="s">
        <v>1593</v>
      </c>
      <c r="AA349" t="s">
        <v>1596</v>
      </c>
      <c r="AB349" t="s">
        <v>1601</v>
      </c>
      <c r="AC349" t="s">
        <v>1610</v>
      </c>
      <c r="AD349" t="s">
        <v>1604</v>
      </c>
      <c r="AE349" t="s">
        <v>1616</v>
      </c>
      <c r="AF349" t="s">
        <v>1627</v>
      </c>
    </row>
    <row r="350" spans="1:32" x14ac:dyDescent="0.25">
      <c r="A350" t="s">
        <v>407</v>
      </c>
      <c r="B350">
        <v>42</v>
      </c>
      <c r="C350">
        <v>810</v>
      </c>
      <c r="D350">
        <v>23</v>
      </c>
      <c r="E350">
        <v>44</v>
      </c>
      <c r="F350">
        <v>15992</v>
      </c>
      <c r="G350">
        <v>15901</v>
      </c>
      <c r="H350">
        <v>2</v>
      </c>
      <c r="I350">
        <v>14</v>
      </c>
      <c r="J350">
        <v>16</v>
      </c>
      <c r="K350">
        <v>2</v>
      </c>
      <c r="L350">
        <v>1</v>
      </c>
      <c r="M350">
        <v>0</v>
      </c>
      <c r="N350">
        <v>0</v>
      </c>
      <c r="O350">
        <v>0</v>
      </c>
      <c r="P350" t="s">
        <v>1556</v>
      </c>
      <c r="Q350" t="s">
        <v>1552</v>
      </c>
      <c r="R350" t="s">
        <v>1550</v>
      </c>
      <c r="S350" t="s">
        <v>1536</v>
      </c>
      <c r="T350" t="s">
        <v>1538</v>
      </c>
      <c r="U350" t="s">
        <v>1545</v>
      </c>
      <c r="V350" t="s">
        <v>1558</v>
      </c>
      <c r="W350" t="s">
        <v>1563</v>
      </c>
      <c r="X350" t="s">
        <v>1578</v>
      </c>
      <c r="Y350" t="s">
        <v>1588</v>
      </c>
      <c r="Z350" t="s">
        <v>1594</v>
      </c>
      <c r="AA350" t="s">
        <v>1596</v>
      </c>
      <c r="AB350" t="s">
        <v>1601</v>
      </c>
      <c r="AC350" t="s">
        <v>1610</v>
      </c>
      <c r="AD350" t="s">
        <v>1605</v>
      </c>
      <c r="AE350" t="s">
        <v>1616</v>
      </c>
      <c r="AF350" t="s">
        <v>1627</v>
      </c>
    </row>
    <row r="351" spans="1:32" x14ac:dyDescent="0.25">
      <c r="A351" t="s">
        <v>408</v>
      </c>
      <c r="B351">
        <v>29</v>
      </c>
      <c r="C351">
        <v>746</v>
      </c>
      <c r="D351">
        <v>2</v>
      </c>
      <c r="E351">
        <v>61</v>
      </c>
      <c r="F351">
        <v>4649</v>
      </c>
      <c r="G351">
        <v>16928</v>
      </c>
      <c r="H351">
        <v>1</v>
      </c>
      <c r="I351">
        <v>14</v>
      </c>
      <c r="J351">
        <v>4</v>
      </c>
      <c r="K351">
        <v>3</v>
      </c>
      <c r="L351">
        <v>4</v>
      </c>
      <c r="M351">
        <v>3</v>
      </c>
      <c r="N351">
        <v>0</v>
      </c>
      <c r="O351">
        <v>2</v>
      </c>
      <c r="P351" t="s">
        <v>1556</v>
      </c>
      <c r="Q351" t="s">
        <v>1554</v>
      </c>
      <c r="R351" t="s">
        <v>1549</v>
      </c>
      <c r="S351" t="s">
        <v>1534</v>
      </c>
      <c r="T351" t="s">
        <v>1538</v>
      </c>
      <c r="U351" t="s">
        <v>1548</v>
      </c>
      <c r="V351" t="s">
        <v>1559</v>
      </c>
      <c r="W351" t="s">
        <v>1563</v>
      </c>
      <c r="X351" t="s">
        <v>1576</v>
      </c>
      <c r="Y351" t="s">
        <v>1581</v>
      </c>
      <c r="Z351" t="s">
        <v>1593</v>
      </c>
      <c r="AA351" t="s">
        <v>1597</v>
      </c>
      <c r="AB351" t="s">
        <v>1601</v>
      </c>
      <c r="AC351" t="s">
        <v>1610</v>
      </c>
      <c r="AD351" t="s">
        <v>1604</v>
      </c>
      <c r="AE351" t="s">
        <v>1617</v>
      </c>
      <c r="AF351" t="s">
        <v>1626</v>
      </c>
    </row>
    <row r="352" spans="1:32" x14ac:dyDescent="0.25">
      <c r="A352" t="s">
        <v>409</v>
      </c>
      <c r="B352">
        <v>42</v>
      </c>
      <c r="C352">
        <v>544</v>
      </c>
      <c r="D352">
        <v>2</v>
      </c>
      <c r="E352">
        <v>52</v>
      </c>
      <c r="F352">
        <v>2696</v>
      </c>
      <c r="G352">
        <v>24017</v>
      </c>
      <c r="H352">
        <v>0</v>
      </c>
      <c r="I352">
        <v>11</v>
      </c>
      <c r="J352">
        <v>4</v>
      </c>
      <c r="K352">
        <v>5</v>
      </c>
      <c r="L352">
        <v>3</v>
      </c>
      <c r="M352">
        <v>2</v>
      </c>
      <c r="N352">
        <v>1</v>
      </c>
      <c r="O352">
        <v>0</v>
      </c>
      <c r="P352" t="s">
        <v>1556</v>
      </c>
      <c r="Q352" t="s">
        <v>1552</v>
      </c>
      <c r="R352" t="s">
        <v>1551</v>
      </c>
      <c r="S352" t="s">
        <v>1532</v>
      </c>
      <c r="T352" t="s">
        <v>1542</v>
      </c>
      <c r="U352" t="s">
        <v>1547</v>
      </c>
      <c r="V352" t="s">
        <v>1559</v>
      </c>
      <c r="W352" t="s">
        <v>1563</v>
      </c>
      <c r="X352" t="s">
        <v>1575</v>
      </c>
      <c r="Y352" t="s">
        <v>1589</v>
      </c>
      <c r="Z352" t="s">
        <v>1593</v>
      </c>
      <c r="AA352" t="s">
        <v>1598</v>
      </c>
      <c r="AB352" t="s">
        <v>1600</v>
      </c>
      <c r="AC352" t="s">
        <v>1610</v>
      </c>
      <c r="AD352" t="s">
        <v>1606</v>
      </c>
      <c r="AE352" t="s">
        <v>1617</v>
      </c>
      <c r="AF352" t="s">
        <v>1627</v>
      </c>
    </row>
    <row r="353" spans="1:32" x14ac:dyDescent="0.25">
      <c r="A353" t="s">
        <v>410</v>
      </c>
      <c r="B353">
        <v>32</v>
      </c>
      <c r="C353">
        <v>1062</v>
      </c>
      <c r="D353">
        <v>2</v>
      </c>
      <c r="E353">
        <v>75</v>
      </c>
      <c r="F353">
        <v>2370</v>
      </c>
      <c r="G353">
        <v>3956</v>
      </c>
      <c r="H353">
        <v>1</v>
      </c>
      <c r="I353">
        <v>13</v>
      </c>
      <c r="J353">
        <v>8</v>
      </c>
      <c r="K353">
        <v>4</v>
      </c>
      <c r="L353">
        <v>8</v>
      </c>
      <c r="M353">
        <v>0</v>
      </c>
      <c r="N353">
        <v>0</v>
      </c>
      <c r="O353">
        <v>7</v>
      </c>
      <c r="P353" t="s">
        <v>1556</v>
      </c>
      <c r="Q353" t="s">
        <v>1552</v>
      </c>
      <c r="R353" t="s">
        <v>1550</v>
      </c>
      <c r="S353" t="s">
        <v>1534</v>
      </c>
      <c r="T353" t="s">
        <v>1540</v>
      </c>
      <c r="U353" t="s">
        <v>1547</v>
      </c>
      <c r="V353" t="s">
        <v>1558</v>
      </c>
      <c r="W353" t="s">
        <v>1563</v>
      </c>
      <c r="X353" t="s">
        <v>1575</v>
      </c>
      <c r="Y353" t="s">
        <v>1583</v>
      </c>
      <c r="Z353" t="s">
        <v>1592</v>
      </c>
      <c r="AA353" t="s">
        <v>1597</v>
      </c>
      <c r="AB353" t="s">
        <v>1601</v>
      </c>
      <c r="AC353" t="s">
        <v>1610</v>
      </c>
      <c r="AD353" t="s">
        <v>1606</v>
      </c>
      <c r="AE353" t="s">
        <v>1617</v>
      </c>
      <c r="AF353" t="s">
        <v>1627</v>
      </c>
    </row>
    <row r="354" spans="1:32" x14ac:dyDescent="0.25">
      <c r="A354" t="s">
        <v>411</v>
      </c>
      <c r="B354">
        <v>48</v>
      </c>
      <c r="C354">
        <v>530</v>
      </c>
      <c r="D354">
        <v>29</v>
      </c>
      <c r="E354">
        <v>91</v>
      </c>
      <c r="F354">
        <v>12504</v>
      </c>
      <c r="G354">
        <v>23978</v>
      </c>
      <c r="H354">
        <v>3</v>
      </c>
      <c r="I354">
        <v>21</v>
      </c>
      <c r="J354">
        <v>15</v>
      </c>
      <c r="K354">
        <v>3</v>
      </c>
      <c r="L354">
        <v>0</v>
      </c>
      <c r="M354">
        <v>0</v>
      </c>
      <c r="N354">
        <v>0</v>
      </c>
      <c r="O354">
        <v>0</v>
      </c>
      <c r="P354" t="s">
        <v>1556</v>
      </c>
      <c r="Q354" t="s">
        <v>1552</v>
      </c>
      <c r="R354" t="s">
        <v>1549</v>
      </c>
      <c r="S354" t="s">
        <v>1532</v>
      </c>
      <c r="T354" t="s">
        <v>1540</v>
      </c>
      <c r="U354" t="s">
        <v>1545</v>
      </c>
      <c r="V354" t="s">
        <v>1558</v>
      </c>
      <c r="W354" t="s">
        <v>1563</v>
      </c>
      <c r="X354" t="s">
        <v>1577</v>
      </c>
      <c r="Y354" t="s">
        <v>1586</v>
      </c>
      <c r="Z354" t="s">
        <v>1593</v>
      </c>
      <c r="AA354" t="s">
        <v>1597</v>
      </c>
      <c r="AB354" t="s">
        <v>1601</v>
      </c>
      <c r="AC354" t="s">
        <v>1611</v>
      </c>
      <c r="AD354" t="s">
        <v>1605</v>
      </c>
      <c r="AE354" t="s">
        <v>1617</v>
      </c>
      <c r="AF354" t="s">
        <v>1625</v>
      </c>
    </row>
    <row r="355" spans="1:32" x14ac:dyDescent="0.25">
      <c r="A355" t="s">
        <v>412</v>
      </c>
      <c r="B355">
        <v>37</v>
      </c>
      <c r="C355">
        <v>1319</v>
      </c>
      <c r="D355">
        <v>6</v>
      </c>
      <c r="E355">
        <v>51</v>
      </c>
      <c r="F355">
        <v>5974</v>
      </c>
      <c r="G355">
        <v>17001</v>
      </c>
      <c r="H355">
        <v>4</v>
      </c>
      <c r="I355">
        <v>13</v>
      </c>
      <c r="J355">
        <v>13</v>
      </c>
      <c r="K355">
        <v>2</v>
      </c>
      <c r="L355">
        <v>7</v>
      </c>
      <c r="M355">
        <v>7</v>
      </c>
      <c r="N355">
        <v>6</v>
      </c>
      <c r="O355">
        <v>7</v>
      </c>
      <c r="P355" t="s">
        <v>1556</v>
      </c>
      <c r="Q355" t="s">
        <v>1552</v>
      </c>
      <c r="R355" t="s">
        <v>1550</v>
      </c>
      <c r="S355" t="s">
        <v>1534</v>
      </c>
      <c r="T355" t="s">
        <v>1540</v>
      </c>
      <c r="U355" t="s">
        <v>1547</v>
      </c>
      <c r="V355" t="s">
        <v>1559</v>
      </c>
      <c r="W355" t="s">
        <v>1564</v>
      </c>
      <c r="X355" t="s">
        <v>1576</v>
      </c>
      <c r="Y355" t="s">
        <v>1582</v>
      </c>
      <c r="Z355" t="s">
        <v>1591</v>
      </c>
      <c r="AA355" t="s">
        <v>1598</v>
      </c>
      <c r="AB355" t="s">
        <v>1600</v>
      </c>
      <c r="AC355" t="s">
        <v>1610</v>
      </c>
      <c r="AD355" t="s">
        <v>1604</v>
      </c>
      <c r="AE355" t="s">
        <v>1618</v>
      </c>
      <c r="AF355" t="s">
        <v>1627</v>
      </c>
    </row>
    <row r="356" spans="1:32" x14ac:dyDescent="0.25">
      <c r="A356" t="s">
        <v>413</v>
      </c>
      <c r="B356">
        <v>30</v>
      </c>
      <c r="C356">
        <v>641</v>
      </c>
      <c r="D356">
        <v>25</v>
      </c>
      <c r="E356">
        <v>85</v>
      </c>
      <c r="F356">
        <v>4736</v>
      </c>
      <c r="G356">
        <v>6069</v>
      </c>
      <c r="H356">
        <v>7</v>
      </c>
      <c r="I356">
        <v>12</v>
      </c>
      <c r="J356">
        <v>4</v>
      </c>
      <c r="K356">
        <v>2</v>
      </c>
      <c r="L356">
        <v>2</v>
      </c>
      <c r="M356">
        <v>2</v>
      </c>
      <c r="N356">
        <v>2</v>
      </c>
      <c r="O356">
        <v>2</v>
      </c>
      <c r="P356" t="s">
        <v>1556</v>
      </c>
      <c r="Q356" t="s">
        <v>1554</v>
      </c>
      <c r="R356" t="s">
        <v>1549</v>
      </c>
      <c r="S356" t="s">
        <v>1533</v>
      </c>
      <c r="T356" t="s">
        <v>1542</v>
      </c>
      <c r="U356" t="s">
        <v>1548</v>
      </c>
      <c r="V356" t="s">
        <v>1558</v>
      </c>
      <c r="W356" t="s">
        <v>1563</v>
      </c>
      <c r="X356" t="s">
        <v>1576</v>
      </c>
      <c r="Y356" t="s">
        <v>1581</v>
      </c>
      <c r="Z356" t="s">
        <v>1593</v>
      </c>
      <c r="AA356" t="s">
        <v>1597</v>
      </c>
      <c r="AB356" t="s">
        <v>1600</v>
      </c>
      <c r="AC356" t="s">
        <v>1610</v>
      </c>
      <c r="AD356" t="s">
        <v>1605</v>
      </c>
      <c r="AE356" t="s">
        <v>1617</v>
      </c>
      <c r="AF356" t="s">
        <v>1628</v>
      </c>
    </row>
    <row r="357" spans="1:32" x14ac:dyDescent="0.25">
      <c r="A357" t="s">
        <v>414</v>
      </c>
      <c r="B357">
        <v>26</v>
      </c>
      <c r="C357">
        <v>933</v>
      </c>
      <c r="D357">
        <v>1</v>
      </c>
      <c r="E357">
        <v>57</v>
      </c>
      <c r="F357">
        <v>5296</v>
      </c>
      <c r="G357">
        <v>20156</v>
      </c>
      <c r="H357">
        <v>1</v>
      </c>
      <c r="I357">
        <v>17</v>
      </c>
      <c r="J357">
        <v>8</v>
      </c>
      <c r="K357">
        <v>3</v>
      </c>
      <c r="L357">
        <v>8</v>
      </c>
      <c r="M357">
        <v>7</v>
      </c>
      <c r="N357">
        <v>7</v>
      </c>
      <c r="O357">
        <v>7</v>
      </c>
      <c r="P357" t="s">
        <v>1556</v>
      </c>
      <c r="Q357" t="s">
        <v>1552</v>
      </c>
      <c r="R357" t="s">
        <v>1549</v>
      </c>
      <c r="S357" t="s">
        <v>1534</v>
      </c>
      <c r="T357" t="s">
        <v>1538</v>
      </c>
      <c r="U357" t="s">
        <v>1547</v>
      </c>
      <c r="V357" t="s">
        <v>1559</v>
      </c>
      <c r="W357" t="s">
        <v>1563</v>
      </c>
      <c r="X357" t="s">
        <v>1576</v>
      </c>
      <c r="Y357" t="s">
        <v>1581</v>
      </c>
      <c r="Z357" t="s">
        <v>1593</v>
      </c>
      <c r="AA357" t="s">
        <v>1597</v>
      </c>
      <c r="AB357" t="s">
        <v>1601</v>
      </c>
      <c r="AC357" t="s">
        <v>1610</v>
      </c>
      <c r="AD357" t="s">
        <v>1605</v>
      </c>
      <c r="AE357" t="s">
        <v>1617</v>
      </c>
      <c r="AF357" t="s">
        <v>1627</v>
      </c>
    </row>
    <row r="358" spans="1:32" x14ac:dyDescent="0.25">
      <c r="A358" t="s">
        <v>415</v>
      </c>
      <c r="B358">
        <v>42</v>
      </c>
      <c r="C358">
        <v>1332</v>
      </c>
      <c r="D358">
        <v>2</v>
      </c>
      <c r="E358">
        <v>98</v>
      </c>
      <c r="F358">
        <v>6781</v>
      </c>
      <c r="G358">
        <v>17078</v>
      </c>
      <c r="H358">
        <v>3</v>
      </c>
      <c r="I358">
        <v>23</v>
      </c>
      <c r="J358">
        <v>14</v>
      </c>
      <c r="K358">
        <v>6</v>
      </c>
      <c r="L358">
        <v>1</v>
      </c>
      <c r="M358">
        <v>0</v>
      </c>
      <c r="N358">
        <v>0</v>
      </c>
      <c r="O358">
        <v>0</v>
      </c>
      <c r="P358" t="s">
        <v>1556</v>
      </c>
      <c r="Q358" t="s">
        <v>1552</v>
      </c>
      <c r="R358" t="s">
        <v>1550</v>
      </c>
      <c r="S358" t="s">
        <v>1535</v>
      </c>
      <c r="T358" t="s">
        <v>1539</v>
      </c>
      <c r="U358" t="s">
        <v>1545</v>
      </c>
      <c r="V358" t="s">
        <v>1559</v>
      </c>
      <c r="W358" t="s">
        <v>1562</v>
      </c>
      <c r="X358" t="s">
        <v>1576</v>
      </c>
      <c r="Y358" t="s">
        <v>1585</v>
      </c>
      <c r="Z358" t="s">
        <v>1594</v>
      </c>
      <c r="AA358" t="s">
        <v>1596</v>
      </c>
      <c r="AB358" t="s">
        <v>1601</v>
      </c>
      <c r="AC358" t="s">
        <v>1611</v>
      </c>
      <c r="AD358" t="s">
        <v>1605</v>
      </c>
      <c r="AE358" t="s">
        <v>1616</v>
      </c>
      <c r="AF358" t="s">
        <v>1627</v>
      </c>
    </row>
    <row r="359" spans="1:32" x14ac:dyDescent="0.25">
      <c r="A359" t="s">
        <v>416</v>
      </c>
      <c r="B359">
        <v>21</v>
      </c>
      <c r="C359">
        <v>756</v>
      </c>
      <c r="D359">
        <v>1</v>
      </c>
      <c r="E359">
        <v>99</v>
      </c>
      <c r="F359">
        <v>2174</v>
      </c>
      <c r="G359">
        <v>9150</v>
      </c>
      <c r="H359">
        <v>1</v>
      </c>
      <c r="I359">
        <v>11</v>
      </c>
      <c r="J359">
        <v>3</v>
      </c>
      <c r="K359">
        <v>3</v>
      </c>
      <c r="L359">
        <v>3</v>
      </c>
      <c r="M359">
        <v>2</v>
      </c>
      <c r="N359">
        <v>1</v>
      </c>
      <c r="O359">
        <v>2</v>
      </c>
      <c r="P359" t="s">
        <v>1555</v>
      </c>
      <c r="Q359" t="s">
        <v>1553</v>
      </c>
      <c r="R359" t="s">
        <v>1549</v>
      </c>
      <c r="S359" t="s">
        <v>1532</v>
      </c>
      <c r="T359" t="s">
        <v>1542</v>
      </c>
      <c r="U359" t="s">
        <v>1545</v>
      </c>
      <c r="V359" t="s">
        <v>1558</v>
      </c>
      <c r="W359" t="s">
        <v>1562</v>
      </c>
      <c r="X359" t="s">
        <v>1575</v>
      </c>
      <c r="Y359" t="s">
        <v>1587</v>
      </c>
      <c r="Z359" t="s">
        <v>1592</v>
      </c>
      <c r="AA359" t="s">
        <v>1596</v>
      </c>
      <c r="AB359" t="s">
        <v>1600</v>
      </c>
      <c r="AC359" t="s">
        <v>1610</v>
      </c>
      <c r="AD359" t="s">
        <v>1606</v>
      </c>
      <c r="AE359" t="s">
        <v>1616</v>
      </c>
      <c r="AF359" t="s">
        <v>1627</v>
      </c>
    </row>
    <row r="360" spans="1:32" x14ac:dyDescent="0.25">
      <c r="A360" t="s">
        <v>417</v>
      </c>
      <c r="B360">
        <v>36</v>
      </c>
      <c r="C360">
        <v>845</v>
      </c>
      <c r="D360">
        <v>1</v>
      </c>
      <c r="E360">
        <v>45</v>
      </c>
      <c r="F360">
        <v>6653</v>
      </c>
      <c r="G360">
        <v>15276</v>
      </c>
      <c r="H360">
        <v>4</v>
      </c>
      <c r="I360">
        <v>15</v>
      </c>
      <c r="J360">
        <v>7</v>
      </c>
      <c r="K360">
        <v>6</v>
      </c>
      <c r="L360">
        <v>1</v>
      </c>
      <c r="M360">
        <v>0</v>
      </c>
      <c r="N360">
        <v>0</v>
      </c>
      <c r="O360">
        <v>0</v>
      </c>
      <c r="P360" t="s">
        <v>1556</v>
      </c>
      <c r="Q360" t="s">
        <v>1554</v>
      </c>
      <c r="R360" t="s">
        <v>1549</v>
      </c>
      <c r="S360" t="s">
        <v>1536</v>
      </c>
      <c r="T360" t="s">
        <v>1540</v>
      </c>
      <c r="U360" t="s">
        <v>1548</v>
      </c>
      <c r="V360" t="s">
        <v>1558</v>
      </c>
      <c r="W360" t="s">
        <v>1563</v>
      </c>
      <c r="X360" t="s">
        <v>1576</v>
      </c>
      <c r="Y360" t="s">
        <v>1581</v>
      </c>
      <c r="Z360" t="s">
        <v>1594</v>
      </c>
      <c r="AA360" t="s">
        <v>1596</v>
      </c>
      <c r="AB360" t="s">
        <v>1601</v>
      </c>
      <c r="AC360" t="s">
        <v>1610</v>
      </c>
      <c r="AD360" t="s">
        <v>1605</v>
      </c>
      <c r="AE360" t="s">
        <v>1616</v>
      </c>
      <c r="AF360" t="s">
        <v>1627</v>
      </c>
    </row>
    <row r="361" spans="1:32" x14ac:dyDescent="0.25">
      <c r="A361" t="s">
        <v>418</v>
      </c>
      <c r="B361">
        <v>36</v>
      </c>
      <c r="C361">
        <v>541</v>
      </c>
      <c r="D361">
        <v>3</v>
      </c>
      <c r="E361">
        <v>48</v>
      </c>
      <c r="F361">
        <v>9699</v>
      </c>
      <c r="G361">
        <v>7246</v>
      </c>
      <c r="H361">
        <v>4</v>
      </c>
      <c r="I361">
        <v>11</v>
      </c>
      <c r="J361">
        <v>16</v>
      </c>
      <c r="K361">
        <v>2</v>
      </c>
      <c r="L361">
        <v>13</v>
      </c>
      <c r="M361">
        <v>9</v>
      </c>
      <c r="N361">
        <v>1</v>
      </c>
      <c r="O361">
        <v>12</v>
      </c>
      <c r="P361" t="s">
        <v>1556</v>
      </c>
      <c r="Q361" t="s">
        <v>1553</v>
      </c>
      <c r="R361" t="s">
        <v>1549</v>
      </c>
      <c r="S361" t="s">
        <v>1535</v>
      </c>
      <c r="T361" t="s">
        <v>1540</v>
      </c>
      <c r="U361" t="s">
        <v>1545</v>
      </c>
      <c r="V361" t="s">
        <v>1559</v>
      </c>
      <c r="W361" t="s">
        <v>1562</v>
      </c>
      <c r="X361" t="s">
        <v>1577</v>
      </c>
      <c r="Y361" t="s">
        <v>1581</v>
      </c>
      <c r="Z361" t="s">
        <v>1594</v>
      </c>
      <c r="AA361" t="s">
        <v>1597</v>
      </c>
      <c r="AB361" t="s">
        <v>1601</v>
      </c>
      <c r="AC361" t="s">
        <v>1610</v>
      </c>
      <c r="AD361" t="s">
        <v>1604</v>
      </c>
      <c r="AE361" t="s">
        <v>1617</v>
      </c>
      <c r="AF361" t="s">
        <v>1627</v>
      </c>
    </row>
    <row r="362" spans="1:32" x14ac:dyDescent="0.25">
      <c r="A362" t="s">
        <v>419</v>
      </c>
      <c r="B362">
        <v>57</v>
      </c>
      <c r="C362">
        <v>593</v>
      </c>
      <c r="D362">
        <v>1</v>
      </c>
      <c r="E362">
        <v>88</v>
      </c>
      <c r="F362">
        <v>6755</v>
      </c>
      <c r="G362">
        <v>2967</v>
      </c>
      <c r="H362">
        <v>2</v>
      </c>
      <c r="I362">
        <v>11</v>
      </c>
      <c r="J362">
        <v>15</v>
      </c>
      <c r="K362">
        <v>2</v>
      </c>
      <c r="L362">
        <v>3</v>
      </c>
      <c r="M362">
        <v>2</v>
      </c>
      <c r="N362">
        <v>1</v>
      </c>
      <c r="O362">
        <v>2</v>
      </c>
      <c r="P362" t="s">
        <v>1556</v>
      </c>
      <c r="Q362" t="s">
        <v>1552</v>
      </c>
      <c r="R362" t="s">
        <v>1550</v>
      </c>
      <c r="S362" t="s">
        <v>1535</v>
      </c>
      <c r="T362" t="s">
        <v>1540</v>
      </c>
      <c r="U362" t="s">
        <v>1548</v>
      </c>
      <c r="V362" t="s">
        <v>1559</v>
      </c>
      <c r="W362" t="s">
        <v>1563</v>
      </c>
      <c r="X362" t="s">
        <v>1576</v>
      </c>
      <c r="Y362" t="s">
        <v>1585</v>
      </c>
      <c r="Z362" t="s">
        <v>1593</v>
      </c>
      <c r="AA362" t="s">
        <v>1597</v>
      </c>
      <c r="AB362" t="s">
        <v>1601</v>
      </c>
      <c r="AC362" t="s">
        <v>1610</v>
      </c>
      <c r="AD362" t="s">
        <v>1606</v>
      </c>
      <c r="AE362" t="s">
        <v>1616</v>
      </c>
      <c r="AF362" t="s">
        <v>1627</v>
      </c>
    </row>
    <row r="363" spans="1:32" x14ac:dyDescent="0.25">
      <c r="A363" t="s">
        <v>420</v>
      </c>
      <c r="B363">
        <v>40</v>
      </c>
      <c r="C363">
        <v>1171</v>
      </c>
      <c r="D363">
        <v>10</v>
      </c>
      <c r="E363">
        <v>46</v>
      </c>
      <c r="F363">
        <v>2213</v>
      </c>
      <c r="G363">
        <v>22495</v>
      </c>
      <c r="H363">
        <v>3</v>
      </c>
      <c r="I363">
        <v>13</v>
      </c>
      <c r="J363">
        <v>10</v>
      </c>
      <c r="K363">
        <v>3</v>
      </c>
      <c r="L363">
        <v>7</v>
      </c>
      <c r="M363">
        <v>7</v>
      </c>
      <c r="N363">
        <v>1</v>
      </c>
      <c r="O363">
        <v>7</v>
      </c>
      <c r="P363" t="s">
        <v>1556</v>
      </c>
      <c r="Q363" t="s">
        <v>1552</v>
      </c>
      <c r="R363" t="s">
        <v>1550</v>
      </c>
      <c r="S363" t="s">
        <v>1535</v>
      </c>
      <c r="T363" t="s">
        <v>1538</v>
      </c>
      <c r="U363" t="s">
        <v>1548</v>
      </c>
      <c r="V363" t="s">
        <v>1558</v>
      </c>
      <c r="W363" t="s">
        <v>1564</v>
      </c>
      <c r="X363" t="s">
        <v>1575</v>
      </c>
      <c r="Y363" t="s">
        <v>1583</v>
      </c>
      <c r="Z363" t="s">
        <v>1593</v>
      </c>
      <c r="AA363" t="s">
        <v>1597</v>
      </c>
      <c r="AB363" t="s">
        <v>1600</v>
      </c>
      <c r="AC363" t="s">
        <v>1610</v>
      </c>
      <c r="AD363" t="s">
        <v>1606</v>
      </c>
      <c r="AE363" t="s">
        <v>1617</v>
      </c>
      <c r="AF363" t="s">
        <v>1627</v>
      </c>
    </row>
    <row r="364" spans="1:32" x14ac:dyDescent="0.25">
      <c r="A364" t="s">
        <v>421</v>
      </c>
      <c r="B364">
        <v>21</v>
      </c>
      <c r="C364">
        <v>895</v>
      </c>
      <c r="D364">
        <v>9</v>
      </c>
      <c r="E364">
        <v>39</v>
      </c>
      <c r="F364">
        <v>2610</v>
      </c>
      <c r="G364">
        <v>2851</v>
      </c>
      <c r="H364">
        <v>1</v>
      </c>
      <c r="I364">
        <v>24</v>
      </c>
      <c r="J364">
        <v>3</v>
      </c>
      <c r="K364">
        <v>3</v>
      </c>
      <c r="L364">
        <v>3</v>
      </c>
      <c r="M364">
        <v>2</v>
      </c>
      <c r="N364">
        <v>2</v>
      </c>
      <c r="O364">
        <v>2</v>
      </c>
      <c r="P364" t="s">
        <v>1556</v>
      </c>
      <c r="Q364" t="s">
        <v>1554</v>
      </c>
      <c r="R364" t="s">
        <v>1549</v>
      </c>
      <c r="S364" t="s">
        <v>1533</v>
      </c>
      <c r="T364" t="s">
        <v>1540</v>
      </c>
      <c r="U364" t="s">
        <v>1545</v>
      </c>
      <c r="V364" t="s">
        <v>1559</v>
      </c>
      <c r="W364" t="s">
        <v>1563</v>
      </c>
      <c r="X364" t="s">
        <v>1575</v>
      </c>
      <c r="Y364" t="s">
        <v>1587</v>
      </c>
      <c r="Z364" t="s">
        <v>1594</v>
      </c>
      <c r="AA364" t="s">
        <v>1596</v>
      </c>
      <c r="AB364" t="s">
        <v>1601</v>
      </c>
      <c r="AC364" t="s">
        <v>1611</v>
      </c>
      <c r="AD364" t="s">
        <v>1606</v>
      </c>
      <c r="AE364" t="s">
        <v>1616</v>
      </c>
      <c r="AF364" t="s">
        <v>1626</v>
      </c>
    </row>
    <row r="365" spans="1:32" x14ac:dyDescent="0.25">
      <c r="A365" t="s">
        <v>422</v>
      </c>
      <c r="B365">
        <v>33</v>
      </c>
      <c r="C365">
        <v>350</v>
      </c>
      <c r="D365">
        <v>5</v>
      </c>
      <c r="E365">
        <v>34</v>
      </c>
      <c r="F365">
        <v>2851</v>
      </c>
      <c r="G365">
        <v>9150</v>
      </c>
      <c r="H365">
        <v>1</v>
      </c>
      <c r="I365">
        <v>13</v>
      </c>
      <c r="J365">
        <v>1</v>
      </c>
      <c r="K365">
        <v>2</v>
      </c>
      <c r="L365">
        <v>1</v>
      </c>
      <c r="M365">
        <v>0</v>
      </c>
      <c r="N365">
        <v>0</v>
      </c>
      <c r="O365">
        <v>0</v>
      </c>
      <c r="P365" t="s">
        <v>1555</v>
      </c>
      <c r="Q365" t="s">
        <v>1552</v>
      </c>
      <c r="R365" t="s">
        <v>1549</v>
      </c>
      <c r="S365" t="s">
        <v>1534</v>
      </c>
      <c r="T365" t="s">
        <v>1541</v>
      </c>
      <c r="U365" t="s">
        <v>1548</v>
      </c>
      <c r="V365" t="s">
        <v>1558</v>
      </c>
      <c r="W365" t="s">
        <v>1563</v>
      </c>
      <c r="X365" t="s">
        <v>1575</v>
      </c>
      <c r="Y365" t="s">
        <v>1587</v>
      </c>
      <c r="Z365" t="s">
        <v>1593</v>
      </c>
      <c r="AA365" t="s">
        <v>1596</v>
      </c>
      <c r="AB365" t="s">
        <v>1600</v>
      </c>
      <c r="AC365" t="s">
        <v>1610</v>
      </c>
      <c r="AD365" t="s">
        <v>1605</v>
      </c>
      <c r="AE365" t="s">
        <v>1616</v>
      </c>
      <c r="AF365" t="s">
        <v>1627</v>
      </c>
    </row>
    <row r="366" spans="1:32" x14ac:dyDescent="0.25">
      <c r="A366" t="s">
        <v>423</v>
      </c>
      <c r="B366">
        <v>37</v>
      </c>
      <c r="C366">
        <v>921</v>
      </c>
      <c r="D366">
        <v>10</v>
      </c>
      <c r="E366">
        <v>98</v>
      </c>
      <c r="F366">
        <v>3452</v>
      </c>
      <c r="G366">
        <v>17663</v>
      </c>
      <c r="H366">
        <v>6</v>
      </c>
      <c r="I366">
        <v>20</v>
      </c>
      <c r="J366">
        <v>17</v>
      </c>
      <c r="K366">
        <v>3</v>
      </c>
      <c r="L366">
        <v>5</v>
      </c>
      <c r="M366">
        <v>4</v>
      </c>
      <c r="N366">
        <v>0</v>
      </c>
      <c r="O366">
        <v>3</v>
      </c>
      <c r="P366" t="s">
        <v>1556</v>
      </c>
      <c r="Q366" t="s">
        <v>1552</v>
      </c>
      <c r="R366" t="s">
        <v>1550</v>
      </c>
      <c r="S366" t="s">
        <v>1534</v>
      </c>
      <c r="T366" t="s">
        <v>1540</v>
      </c>
      <c r="U366" t="s">
        <v>1547</v>
      </c>
      <c r="V366" t="s">
        <v>1558</v>
      </c>
      <c r="W366" t="s">
        <v>1563</v>
      </c>
      <c r="X366" t="s">
        <v>1575</v>
      </c>
      <c r="Y366" t="s">
        <v>1583</v>
      </c>
      <c r="Z366" t="s">
        <v>1591</v>
      </c>
      <c r="AA366" t="s">
        <v>1597</v>
      </c>
      <c r="AB366" t="s">
        <v>1601</v>
      </c>
      <c r="AC366" t="s">
        <v>1611</v>
      </c>
      <c r="AD366" t="s">
        <v>1605</v>
      </c>
      <c r="AE366" t="s">
        <v>1617</v>
      </c>
      <c r="AF366" t="s">
        <v>1627</v>
      </c>
    </row>
    <row r="367" spans="1:32" x14ac:dyDescent="0.25">
      <c r="A367" t="s">
        <v>424</v>
      </c>
      <c r="B367">
        <v>46</v>
      </c>
      <c r="C367">
        <v>1144</v>
      </c>
      <c r="D367">
        <v>7</v>
      </c>
      <c r="E367">
        <v>30</v>
      </c>
      <c r="F367">
        <v>5258</v>
      </c>
      <c r="G367">
        <v>16044</v>
      </c>
      <c r="H367">
        <v>2</v>
      </c>
      <c r="I367">
        <v>14</v>
      </c>
      <c r="J367">
        <v>7</v>
      </c>
      <c r="K367">
        <v>2</v>
      </c>
      <c r="L367">
        <v>1</v>
      </c>
      <c r="M367">
        <v>0</v>
      </c>
      <c r="N367">
        <v>0</v>
      </c>
      <c r="O367">
        <v>0</v>
      </c>
      <c r="P367" t="s">
        <v>1556</v>
      </c>
      <c r="Q367" t="s">
        <v>1554</v>
      </c>
      <c r="R367" t="s">
        <v>1550</v>
      </c>
      <c r="S367" t="s">
        <v>1535</v>
      </c>
      <c r="T367" t="s">
        <v>1540</v>
      </c>
      <c r="U367" t="s">
        <v>1547</v>
      </c>
      <c r="V367" t="s">
        <v>1558</v>
      </c>
      <c r="W367" t="s">
        <v>1563</v>
      </c>
      <c r="X367" t="s">
        <v>1576</v>
      </c>
      <c r="Y367" t="s">
        <v>1584</v>
      </c>
      <c r="Z367" t="s">
        <v>1593</v>
      </c>
      <c r="AA367" t="s">
        <v>1597</v>
      </c>
      <c r="AB367" t="s">
        <v>1601</v>
      </c>
      <c r="AC367" t="s">
        <v>1610</v>
      </c>
      <c r="AD367" t="s">
        <v>1606</v>
      </c>
      <c r="AE367" t="s">
        <v>1616</v>
      </c>
      <c r="AF367" t="s">
        <v>1628</v>
      </c>
    </row>
    <row r="368" spans="1:32" x14ac:dyDescent="0.25">
      <c r="A368" t="s">
        <v>425</v>
      </c>
      <c r="B368">
        <v>41</v>
      </c>
      <c r="C368">
        <v>143</v>
      </c>
      <c r="D368">
        <v>4</v>
      </c>
      <c r="E368">
        <v>56</v>
      </c>
      <c r="F368">
        <v>9355</v>
      </c>
      <c r="G368">
        <v>9558</v>
      </c>
      <c r="H368">
        <v>1</v>
      </c>
      <c r="I368">
        <v>18</v>
      </c>
      <c r="J368">
        <v>8</v>
      </c>
      <c r="K368">
        <v>5</v>
      </c>
      <c r="L368">
        <v>8</v>
      </c>
      <c r="M368">
        <v>7</v>
      </c>
      <c r="N368">
        <v>7</v>
      </c>
      <c r="O368">
        <v>7</v>
      </c>
      <c r="P368" t="s">
        <v>1555</v>
      </c>
      <c r="Q368" t="s">
        <v>1553</v>
      </c>
      <c r="R368" t="s">
        <v>1549</v>
      </c>
      <c r="S368" t="s">
        <v>1534</v>
      </c>
      <c r="T368" t="s">
        <v>1541</v>
      </c>
      <c r="U368" t="s">
        <v>1545</v>
      </c>
      <c r="V368" t="s">
        <v>1559</v>
      </c>
      <c r="W368" t="s">
        <v>1563</v>
      </c>
      <c r="X368" t="s">
        <v>1576</v>
      </c>
      <c r="Y368" t="s">
        <v>1581</v>
      </c>
      <c r="Z368" t="s">
        <v>1592</v>
      </c>
      <c r="AA368" t="s">
        <v>1596</v>
      </c>
      <c r="AB368" t="s">
        <v>1601</v>
      </c>
      <c r="AC368" t="s">
        <v>1610</v>
      </c>
      <c r="AD368" t="s">
        <v>1606</v>
      </c>
      <c r="AE368" t="s">
        <v>1616</v>
      </c>
      <c r="AF368" t="s">
        <v>1627</v>
      </c>
    </row>
    <row r="369" spans="1:32" x14ac:dyDescent="0.25">
      <c r="A369" t="s">
        <v>426</v>
      </c>
      <c r="B369">
        <v>50</v>
      </c>
      <c r="C369">
        <v>1046</v>
      </c>
      <c r="D369">
        <v>10</v>
      </c>
      <c r="E369">
        <v>100</v>
      </c>
      <c r="F369">
        <v>10496</v>
      </c>
      <c r="G369">
        <v>2755</v>
      </c>
      <c r="H369">
        <v>6</v>
      </c>
      <c r="I369">
        <v>15</v>
      </c>
      <c r="J369">
        <v>20</v>
      </c>
      <c r="K369">
        <v>2</v>
      </c>
      <c r="L369">
        <v>4</v>
      </c>
      <c r="M369">
        <v>3</v>
      </c>
      <c r="N369">
        <v>1</v>
      </c>
      <c r="O369">
        <v>3</v>
      </c>
      <c r="P369" t="s">
        <v>1556</v>
      </c>
      <c r="Q369" t="s">
        <v>1552</v>
      </c>
      <c r="R369" t="s">
        <v>1550</v>
      </c>
      <c r="S369" t="s">
        <v>1534</v>
      </c>
      <c r="T369" t="s">
        <v>1542</v>
      </c>
      <c r="U369" t="s">
        <v>1548</v>
      </c>
      <c r="V369" t="s">
        <v>1559</v>
      </c>
      <c r="W369" t="s">
        <v>1562</v>
      </c>
      <c r="X369" t="s">
        <v>1577</v>
      </c>
      <c r="Y369" t="s">
        <v>1585</v>
      </c>
      <c r="Z369" t="s">
        <v>1594</v>
      </c>
      <c r="AA369" t="s">
        <v>1596</v>
      </c>
      <c r="AB369" t="s">
        <v>1601</v>
      </c>
      <c r="AC369" t="s">
        <v>1610</v>
      </c>
      <c r="AD369" t="s">
        <v>1607</v>
      </c>
      <c r="AE369" t="s">
        <v>1616</v>
      </c>
      <c r="AF369" t="s">
        <v>1627</v>
      </c>
    </row>
    <row r="370" spans="1:32" x14ac:dyDescent="0.25">
      <c r="A370" t="s">
        <v>427</v>
      </c>
      <c r="B370">
        <v>40</v>
      </c>
      <c r="C370">
        <v>575</v>
      </c>
      <c r="D370">
        <v>22</v>
      </c>
      <c r="E370">
        <v>68</v>
      </c>
      <c r="F370">
        <v>6380</v>
      </c>
      <c r="G370">
        <v>6110</v>
      </c>
      <c r="H370">
        <v>2</v>
      </c>
      <c r="I370">
        <v>12</v>
      </c>
      <c r="J370">
        <v>8</v>
      </c>
      <c r="K370">
        <v>6</v>
      </c>
      <c r="L370">
        <v>6</v>
      </c>
      <c r="M370">
        <v>4</v>
      </c>
      <c r="N370">
        <v>1</v>
      </c>
      <c r="O370">
        <v>0</v>
      </c>
      <c r="P370" t="s">
        <v>1555</v>
      </c>
      <c r="Q370" t="s">
        <v>1552</v>
      </c>
      <c r="R370" t="s">
        <v>1549</v>
      </c>
      <c r="S370" t="s">
        <v>1533</v>
      </c>
      <c r="T370" t="s">
        <v>1541</v>
      </c>
      <c r="U370" t="s">
        <v>1547</v>
      </c>
      <c r="V370" t="s">
        <v>1559</v>
      </c>
      <c r="W370" t="s">
        <v>1562</v>
      </c>
      <c r="X370" t="s">
        <v>1576</v>
      </c>
      <c r="Y370" t="s">
        <v>1581</v>
      </c>
      <c r="Z370" t="s">
        <v>1593</v>
      </c>
      <c r="AA370" t="s">
        <v>1597</v>
      </c>
      <c r="AB370" t="s">
        <v>1600</v>
      </c>
      <c r="AC370" t="s">
        <v>1610</v>
      </c>
      <c r="AD370" t="s">
        <v>1604</v>
      </c>
      <c r="AE370" t="s">
        <v>1618</v>
      </c>
      <c r="AF370" t="s">
        <v>1627</v>
      </c>
    </row>
    <row r="371" spans="1:32" x14ac:dyDescent="0.25">
      <c r="A371" t="s">
        <v>428</v>
      </c>
      <c r="B371">
        <v>31</v>
      </c>
      <c r="C371">
        <v>408</v>
      </c>
      <c r="D371">
        <v>9</v>
      </c>
      <c r="E371">
        <v>42</v>
      </c>
      <c r="F371">
        <v>2657</v>
      </c>
      <c r="G371">
        <v>7551</v>
      </c>
      <c r="H371">
        <v>0</v>
      </c>
      <c r="I371">
        <v>16</v>
      </c>
      <c r="J371">
        <v>3</v>
      </c>
      <c r="K371">
        <v>5</v>
      </c>
      <c r="L371">
        <v>2</v>
      </c>
      <c r="M371">
        <v>2</v>
      </c>
      <c r="N371">
        <v>2</v>
      </c>
      <c r="O371">
        <v>2</v>
      </c>
      <c r="P371" t="s">
        <v>1556</v>
      </c>
      <c r="Q371" t="s">
        <v>1552</v>
      </c>
      <c r="R371" t="s">
        <v>1550</v>
      </c>
      <c r="S371" t="s">
        <v>1535</v>
      </c>
      <c r="T371" t="s">
        <v>1538</v>
      </c>
      <c r="U371" t="s">
        <v>1547</v>
      </c>
      <c r="V371" t="s">
        <v>1559</v>
      </c>
      <c r="W371" t="s">
        <v>1562</v>
      </c>
      <c r="X371" t="s">
        <v>1575</v>
      </c>
      <c r="Y371" t="s">
        <v>1582</v>
      </c>
      <c r="Z371" t="s">
        <v>1592</v>
      </c>
      <c r="AA371" t="s">
        <v>1596</v>
      </c>
      <c r="AB371" t="s">
        <v>1600</v>
      </c>
      <c r="AC371" t="s">
        <v>1610</v>
      </c>
      <c r="AD371" t="s">
        <v>1607</v>
      </c>
      <c r="AE371" t="s">
        <v>1616</v>
      </c>
      <c r="AF371" t="s">
        <v>1627</v>
      </c>
    </row>
    <row r="372" spans="1:32" x14ac:dyDescent="0.25">
      <c r="A372" t="s">
        <v>429</v>
      </c>
      <c r="B372">
        <v>21</v>
      </c>
      <c r="C372">
        <v>156</v>
      </c>
      <c r="D372">
        <v>12</v>
      </c>
      <c r="E372">
        <v>90</v>
      </c>
      <c r="F372">
        <v>2716</v>
      </c>
      <c r="G372">
        <v>25422</v>
      </c>
      <c r="H372">
        <v>1</v>
      </c>
      <c r="I372">
        <v>15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 t="s">
        <v>1555</v>
      </c>
      <c r="Q372" t="s">
        <v>1552</v>
      </c>
      <c r="R372" t="s">
        <v>1549</v>
      </c>
      <c r="S372" t="s">
        <v>1534</v>
      </c>
      <c r="T372" t="s">
        <v>1538</v>
      </c>
      <c r="U372" t="s">
        <v>1547</v>
      </c>
      <c r="V372" t="s">
        <v>1558</v>
      </c>
      <c r="W372" t="s">
        <v>1564</v>
      </c>
      <c r="X372" t="s">
        <v>1575</v>
      </c>
      <c r="Y372" t="s">
        <v>1587</v>
      </c>
      <c r="Z372" t="s">
        <v>1592</v>
      </c>
      <c r="AA372" t="s">
        <v>1596</v>
      </c>
      <c r="AB372" t="s">
        <v>1601</v>
      </c>
      <c r="AC372" t="s">
        <v>1610</v>
      </c>
      <c r="AD372" t="s">
        <v>1607</v>
      </c>
      <c r="AE372" t="s">
        <v>1616</v>
      </c>
      <c r="AF372" t="s">
        <v>1627</v>
      </c>
    </row>
    <row r="373" spans="1:32" x14ac:dyDescent="0.25">
      <c r="A373" t="s">
        <v>430</v>
      </c>
      <c r="B373">
        <v>29</v>
      </c>
      <c r="C373">
        <v>1283</v>
      </c>
      <c r="D373">
        <v>23</v>
      </c>
      <c r="E373">
        <v>54</v>
      </c>
      <c r="F373">
        <v>2201</v>
      </c>
      <c r="G373">
        <v>18168</v>
      </c>
      <c r="H373">
        <v>9</v>
      </c>
      <c r="I373">
        <v>16</v>
      </c>
      <c r="J373">
        <v>6</v>
      </c>
      <c r="K373">
        <v>4</v>
      </c>
      <c r="L373">
        <v>3</v>
      </c>
      <c r="M373">
        <v>2</v>
      </c>
      <c r="N373">
        <v>1</v>
      </c>
      <c r="O373">
        <v>2</v>
      </c>
      <c r="P373" t="s">
        <v>1556</v>
      </c>
      <c r="Q373" t="s">
        <v>1552</v>
      </c>
      <c r="R373" t="s">
        <v>1550</v>
      </c>
      <c r="S373" t="s">
        <v>1534</v>
      </c>
      <c r="T373" t="s">
        <v>1538</v>
      </c>
      <c r="U373" t="s">
        <v>1548</v>
      </c>
      <c r="V373" t="s">
        <v>1559</v>
      </c>
      <c r="W373" t="s">
        <v>1563</v>
      </c>
      <c r="X373" t="s">
        <v>1575</v>
      </c>
      <c r="Y373" t="s">
        <v>1582</v>
      </c>
      <c r="Z373" t="s">
        <v>1594</v>
      </c>
      <c r="AA373" t="s">
        <v>1596</v>
      </c>
      <c r="AB373" t="s">
        <v>1601</v>
      </c>
      <c r="AC373" t="s">
        <v>1610</v>
      </c>
      <c r="AD373" t="s">
        <v>1607</v>
      </c>
      <c r="AE373" t="s">
        <v>1616</v>
      </c>
      <c r="AF373" t="s">
        <v>1627</v>
      </c>
    </row>
    <row r="374" spans="1:32" x14ac:dyDescent="0.25">
      <c r="A374" t="s">
        <v>431</v>
      </c>
      <c r="B374">
        <v>35</v>
      </c>
      <c r="C374">
        <v>755</v>
      </c>
      <c r="D374">
        <v>9</v>
      </c>
      <c r="E374">
        <v>97</v>
      </c>
      <c r="F374">
        <v>6540</v>
      </c>
      <c r="G374">
        <v>19394</v>
      </c>
      <c r="H374">
        <v>9</v>
      </c>
      <c r="I374">
        <v>19</v>
      </c>
      <c r="J374">
        <v>10</v>
      </c>
      <c r="K374">
        <v>5</v>
      </c>
      <c r="L374">
        <v>1</v>
      </c>
      <c r="M374">
        <v>1</v>
      </c>
      <c r="N374">
        <v>0</v>
      </c>
      <c r="O374">
        <v>0</v>
      </c>
      <c r="P374" t="s">
        <v>1556</v>
      </c>
      <c r="Q374" t="s">
        <v>1552</v>
      </c>
      <c r="R374" t="s">
        <v>1550</v>
      </c>
      <c r="S374" t="s">
        <v>1535</v>
      </c>
      <c r="T374" t="s">
        <v>1538</v>
      </c>
      <c r="U374" t="s">
        <v>1547</v>
      </c>
      <c r="V374" t="s">
        <v>1559</v>
      </c>
      <c r="W374" t="s">
        <v>1562</v>
      </c>
      <c r="X374" t="s">
        <v>1576</v>
      </c>
      <c r="Y374" t="s">
        <v>1585</v>
      </c>
      <c r="Z374" t="s">
        <v>1592</v>
      </c>
      <c r="AA374" t="s">
        <v>1596</v>
      </c>
      <c r="AB374" t="s">
        <v>1601</v>
      </c>
      <c r="AC374" t="s">
        <v>1610</v>
      </c>
      <c r="AD374" t="s">
        <v>1606</v>
      </c>
      <c r="AE374" t="s">
        <v>1616</v>
      </c>
      <c r="AF374" t="s">
        <v>1627</v>
      </c>
    </row>
    <row r="375" spans="1:32" x14ac:dyDescent="0.25">
      <c r="A375" t="s">
        <v>432</v>
      </c>
      <c r="B375">
        <v>27</v>
      </c>
      <c r="C375">
        <v>1469</v>
      </c>
      <c r="D375">
        <v>1</v>
      </c>
      <c r="E375">
        <v>82</v>
      </c>
      <c r="F375">
        <v>3816</v>
      </c>
      <c r="G375">
        <v>17881</v>
      </c>
      <c r="H375">
        <v>1</v>
      </c>
      <c r="I375">
        <v>11</v>
      </c>
      <c r="J375">
        <v>5</v>
      </c>
      <c r="K375">
        <v>2</v>
      </c>
      <c r="L375">
        <v>5</v>
      </c>
      <c r="M375">
        <v>2</v>
      </c>
      <c r="N375">
        <v>0</v>
      </c>
      <c r="O375">
        <v>4</v>
      </c>
      <c r="P375" t="s">
        <v>1556</v>
      </c>
      <c r="Q375" t="s">
        <v>1552</v>
      </c>
      <c r="R375" t="s">
        <v>1550</v>
      </c>
      <c r="S375" t="s">
        <v>1533</v>
      </c>
      <c r="T375" t="s">
        <v>1540</v>
      </c>
      <c r="U375" t="s">
        <v>1548</v>
      </c>
      <c r="V375" t="s">
        <v>1559</v>
      </c>
      <c r="W375" t="s">
        <v>1563</v>
      </c>
      <c r="X375" t="s">
        <v>1575</v>
      </c>
      <c r="Y375" t="s">
        <v>1583</v>
      </c>
      <c r="Z375" t="s">
        <v>1592</v>
      </c>
      <c r="AA375" t="s">
        <v>1598</v>
      </c>
      <c r="AB375" t="s">
        <v>1601</v>
      </c>
      <c r="AC375" t="s">
        <v>1610</v>
      </c>
      <c r="AD375" t="s">
        <v>1605</v>
      </c>
      <c r="AE375" t="s">
        <v>1617</v>
      </c>
      <c r="AF375" t="s">
        <v>1627</v>
      </c>
    </row>
    <row r="376" spans="1:32" x14ac:dyDescent="0.25">
      <c r="A376" t="s">
        <v>433</v>
      </c>
      <c r="B376">
        <v>28</v>
      </c>
      <c r="C376">
        <v>304</v>
      </c>
      <c r="D376">
        <v>9</v>
      </c>
      <c r="E376">
        <v>92</v>
      </c>
      <c r="F376">
        <v>5253</v>
      </c>
      <c r="G376">
        <v>20750</v>
      </c>
      <c r="H376">
        <v>1</v>
      </c>
      <c r="I376">
        <v>16</v>
      </c>
      <c r="J376">
        <v>7</v>
      </c>
      <c r="K376">
        <v>1</v>
      </c>
      <c r="L376">
        <v>7</v>
      </c>
      <c r="M376">
        <v>5</v>
      </c>
      <c r="N376">
        <v>0</v>
      </c>
      <c r="O376">
        <v>7</v>
      </c>
      <c r="P376" t="s">
        <v>1556</v>
      </c>
      <c r="Q376" t="s">
        <v>1552</v>
      </c>
      <c r="R376" t="s">
        <v>1549</v>
      </c>
      <c r="S376" t="s">
        <v>1535</v>
      </c>
      <c r="T376" t="s">
        <v>1538</v>
      </c>
      <c r="U376" t="s">
        <v>1546</v>
      </c>
      <c r="V376" t="s">
        <v>1559</v>
      </c>
      <c r="W376" t="s">
        <v>1563</v>
      </c>
      <c r="X376" t="s">
        <v>1576</v>
      </c>
      <c r="Y376" t="s">
        <v>1581</v>
      </c>
      <c r="Z376" t="s">
        <v>1594</v>
      </c>
      <c r="AA376" t="s">
        <v>1596</v>
      </c>
      <c r="AB376" t="s">
        <v>1601</v>
      </c>
      <c r="AC376" t="s">
        <v>1610</v>
      </c>
      <c r="AD376" t="s">
        <v>1607</v>
      </c>
      <c r="AE376" t="s">
        <v>1616</v>
      </c>
      <c r="AF376" t="s">
        <v>1627</v>
      </c>
    </row>
    <row r="377" spans="1:32" x14ac:dyDescent="0.25">
      <c r="A377" t="s">
        <v>434</v>
      </c>
      <c r="B377">
        <v>49</v>
      </c>
      <c r="C377">
        <v>1261</v>
      </c>
      <c r="D377">
        <v>7</v>
      </c>
      <c r="E377">
        <v>31</v>
      </c>
      <c r="F377">
        <v>10965</v>
      </c>
      <c r="G377">
        <v>12066</v>
      </c>
      <c r="H377">
        <v>8</v>
      </c>
      <c r="I377">
        <v>24</v>
      </c>
      <c r="J377">
        <v>26</v>
      </c>
      <c r="K377">
        <v>2</v>
      </c>
      <c r="L377">
        <v>5</v>
      </c>
      <c r="M377">
        <v>2</v>
      </c>
      <c r="N377">
        <v>0</v>
      </c>
      <c r="O377">
        <v>0</v>
      </c>
      <c r="P377" t="s">
        <v>1556</v>
      </c>
      <c r="Q377" t="s">
        <v>1552</v>
      </c>
      <c r="R377" t="s">
        <v>1550</v>
      </c>
      <c r="S377" t="s">
        <v>1534</v>
      </c>
      <c r="T377" t="s">
        <v>1539</v>
      </c>
      <c r="U377" t="s">
        <v>1546</v>
      </c>
      <c r="V377" t="s">
        <v>1559</v>
      </c>
      <c r="W377" t="s">
        <v>1562</v>
      </c>
      <c r="X377" t="s">
        <v>1577</v>
      </c>
      <c r="Y377" t="s">
        <v>1585</v>
      </c>
      <c r="Z377" t="s">
        <v>1593</v>
      </c>
      <c r="AA377" t="s">
        <v>1596</v>
      </c>
      <c r="AB377" t="s">
        <v>1601</v>
      </c>
      <c r="AC377" t="s">
        <v>1611</v>
      </c>
      <c r="AD377" t="s">
        <v>1606</v>
      </c>
      <c r="AE377" t="s">
        <v>1616</v>
      </c>
      <c r="AF377" t="s">
        <v>1627</v>
      </c>
    </row>
    <row r="378" spans="1:32" x14ac:dyDescent="0.25">
      <c r="A378" t="s">
        <v>435</v>
      </c>
      <c r="B378">
        <v>51</v>
      </c>
      <c r="C378">
        <v>1178</v>
      </c>
      <c r="D378">
        <v>14</v>
      </c>
      <c r="E378">
        <v>87</v>
      </c>
      <c r="F378">
        <v>4936</v>
      </c>
      <c r="G378">
        <v>14862</v>
      </c>
      <c r="H378">
        <v>4</v>
      </c>
      <c r="I378">
        <v>11</v>
      </c>
      <c r="J378">
        <v>18</v>
      </c>
      <c r="K378">
        <v>2</v>
      </c>
      <c r="L378">
        <v>7</v>
      </c>
      <c r="M378">
        <v>7</v>
      </c>
      <c r="N378">
        <v>0</v>
      </c>
      <c r="O378">
        <v>7</v>
      </c>
      <c r="P378" t="s">
        <v>1556</v>
      </c>
      <c r="Q378" t="s">
        <v>1552</v>
      </c>
      <c r="R378" t="s">
        <v>1549</v>
      </c>
      <c r="S378" t="s">
        <v>1533</v>
      </c>
      <c r="T378" t="s">
        <v>1538</v>
      </c>
      <c r="U378" t="s">
        <v>1547</v>
      </c>
      <c r="V378" t="s">
        <v>1558</v>
      </c>
      <c r="W378" t="s">
        <v>1563</v>
      </c>
      <c r="X378" t="s">
        <v>1576</v>
      </c>
      <c r="Y378" t="s">
        <v>1581</v>
      </c>
      <c r="Z378" t="s">
        <v>1594</v>
      </c>
      <c r="AA378" t="s">
        <v>1597</v>
      </c>
      <c r="AB378" t="s">
        <v>1601</v>
      </c>
      <c r="AC378" t="s">
        <v>1610</v>
      </c>
      <c r="AD378" t="s">
        <v>1606</v>
      </c>
      <c r="AE378" t="s">
        <v>1617</v>
      </c>
      <c r="AF378" t="s">
        <v>1626</v>
      </c>
    </row>
    <row r="379" spans="1:32" x14ac:dyDescent="0.25">
      <c r="A379" t="s">
        <v>436</v>
      </c>
      <c r="B379">
        <v>36</v>
      </c>
      <c r="C379">
        <v>329</v>
      </c>
      <c r="D379">
        <v>2</v>
      </c>
      <c r="E379">
        <v>96</v>
      </c>
      <c r="F379">
        <v>2543</v>
      </c>
      <c r="G379">
        <v>11868</v>
      </c>
      <c r="H379">
        <v>4</v>
      </c>
      <c r="I379">
        <v>13</v>
      </c>
      <c r="J379">
        <v>6</v>
      </c>
      <c r="K379">
        <v>3</v>
      </c>
      <c r="L379">
        <v>2</v>
      </c>
      <c r="M379">
        <v>2</v>
      </c>
      <c r="N379">
        <v>2</v>
      </c>
      <c r="O379">
        <v>2</v>
      </c>
      <c r="P379" t="s">
        <v>1556</v>
      </c>
      <c r="Q379" t="s">
        <v>1552</v>
      </c>
      <c r="R379" t="s">
        <v>1550</v>
      </c>
      <c r="S379" t="s">
        <v>1534</v>
      </c>
      <c r="T379" t="s">
        <v>1538</v>
      </c>
      <c r="U379" t="s">
        <v>1548</v>
      </c>
      <c r="V379" t="s">
        <v>1558</v>
      </c>
      <c r="W379" t="s">
        <v>1563</v>
      </c>
      <c r="X379" t="s">
        <v>1575</v>
      </c>
      <c r="Y379" t="s">
        <v>1582</v>
      </c>
      <c r="Z379" t="s">
        <v>1593</v>
      </c>
      <c r="AA379" t="s">
        <v>1597</v>
      </c>
      <c r="AB379" t="s">
        <v>1601</v>
      </c>
      <c r="AC379" t="s">
        <v>1610</v>
      </c>
      <c r="AD379" t="s">
        <v>1605</v>
      </c>
      <c r="AE379" t="s">
        <v>1617</v>
      </c>
      <c r="AF379" t="s">
        <v>1627</v>
      </c>
    </row>
    <row r="380" spans="1:32" x14ac:dyDescent="0.25">
      <c r="A380" t="s">
        <v>437</v>
      </c>
      <c r="B380">
        <v>34</v>
      </c>
      <c r="C380">
        <v>1362</v>
      </c>
      <c r="D380">
        <v>19</v>
      </c>
      <c r="E380">
        <v>67</v>
      </c>
      <c r="F380">
        <v>5304</v>
      </c>
      <c r="G380">
        <v>4652</v>
      </c>
      <c r="H380">
        <v>8</v>
      </c>
      <c r="I380">
        <v>13</v>
      </c>
      <c r="J380">
        <v>9</v>
      </c>
      <c r="K380">
        <v>3</v>
      </c>
      <c r="L380">
        <v>5</v>
      </c>
      <c r="M380">
        <v>2</v>
      </c>
      <c r="N380">
        <v>0</v>
      </c>
      <c r="O380">
        <v>4</v>
      </c>
      <c r="P380" t="s">
        <v>1555</v>
      </c>
      <c r="Q380" t="s">
        <v>1554</v>
      </c>
      <c r="R380" t="s">
        <v>1549</v>
      </c>
      <c r="S380" t="s">
        <v>1534</v>
      </c>
      <c r="T380" t="s">
        <v>1541</v>
      </c>
      <c r="U380" t="s">
        <v>1545</v>
      </c>
      <c r="V380" t="s">
        <v>1559</v>
      </c>
      <c r="W380" t="s">
        <v>1564</v>
      </c>
      <c r="X380" t="s">
        <v>1576</v>
      </c>
      <c r="Y380" t="s">
        <v>1581</v>
      </c>
      <c r="Z380" t="s">
        <v>1594</v>
      </c>
      <c r="AA380" t="s">
        <v>1596</v>
      </c>
      <c r="AB380" t="s">
        <v>1600</v>
      </c>
      <c r="AC380" t="s">
        <v>1610</v>
      </c>
      <c r="AD380" t="s">
        <v>1605</v>
      </c>
      <c r="AE380" t="s">
        <v>1616</v>
      </c>
      <c r="AF380" t="s">
        <v>1626</v>
      </c>
    </row>
    <row r="381" spans="1:32" x14ac:dyDescent="0.25">
      <c r="A381" t="s">
        <v>438</v>
      </c>
      <c r="B381">
        <v>55</v>
      </c>
      <c r="C381">
        <v>1311</v>
      </c>
      <c r="D381">
        <v>2</v>
      </c>
      <c r="E381">
        <v>97</v>
      </c>
      <c r="F381">
        <v>16659</v>
      </c>
      <c r="G381">
        <v>23258</v>
      </c>
      <c r="H381">
        <v>2</v>
      </c>
      <c r="I381">
        <v>13</v>
      </c>
      <c r="J381">
        <v>30</v>
      </c>
      <c r="K381">
        <v>2</v>
      </c>
      <c r="L381">
        <v>5</v>
      </c>
      <c r="M381">
        <v>4</v>
      </c>
      <c r="N381">
        <v>1</v>
      </c>
      <c r="O381">
        <v>2</v>
      </c>
      <c r="P381" t="s">
        <v>1556</v>
      </c>
      <c r="Q381" t="s">
        <v>1552</v>
      </c>
      <c r="R381" t="s">
        <v>1550</v>
      </c>
      <c r="S381" t="s">
        <v>1534</v>
      </c>
      <c r="T381" t="s">
        <v>1538</v>
      </c>
      <c r="U381" t="s">
        <v>1547</v>
      </c>
      <c r="V381" t="s">
        <v>1558</v>
      </c>
      <c r="W381" t="s">
        <v>1563</v>
      </c>
      <c r="X381" t="s">
        <v>1578</v>
      </c>
      <c r="Y381" t="s">
        <v>1586</v>
      </c>
      <c r="Z381" t="s">
        <v>1594</v>
      </c>
      <c r="AA381" t="s">
        <v>1596</v>
      </c>
      <c r="AB381" t="s">
        <v>1600</v>
      </c>
      <c r="AC381" t="s">
        <v>1610</v>
      </c>
      <c r="AD381" t="s">
        <v>1606</v>
      </c>
      <c r="AE381" t="s">
        <v>1616</v>
      </c>
      <c r="AF381" t="s">
        <v>1627</v>
      </c>
    </row>
    <row r="382" spans="1:32" x14ac:dyDescent="0.25">
      <c r="A382" t="s">
        <v>439</v>
      </c>
      <c r="B382">
        <v>24</v>
      </c>
      <c r="C382">
        <v>1371</v>
      </c>
      <c r="D382">
        <v>10</v>
      </c>
      <c r="E382">
        <v>77</v>
      </c>
      <c r="F382">
        <v>4260</v>
      </c>
      <c r="G382">
        <v>5915</v>
      </c>
      <c r="H382">
        <v>1</v>
      </c>
      <c r="I382">
        <v>12</v>
      </c>
      <c r="J382">
        <v>5</v>
      </c>
      <c r="K382">
        <v>2</v>
      </c>
      <c r="L382">
        <v>5</v>
      </c>
      <c r="M382">
        <v>2</v>
      </c>
      <c r="N382">
        <v>0</v>
      </c>
      <c r="O382">
        <v>3</v>
      </c>
      <c r="P382" t="s">
        <v>1556</v>
      </c>
      <c r="Q382" t="s">
        <v>1552</v>
      </c>
      <c r="R382" t="s">
        <v>1549</v>
      </c>
      <c r="S382" t="s">
        <v>1535</v>
      </c>
      <c r="T382" t="s">
        <v>1541</v>
      </c>
      <c r="U382" t="s">
        <v>1548</v>
      </c>
      <c r="V382" t="s">
        <v>1558</v>
      </c>
      <c r="W382" t="s">
        <v>1563</v>
      </c>
      <c r="X382" t="s">
        <v>1576</v>
      </c>
      <c r="Y382" t="s">
        <v>1581</v>
      </c>
      <c r="Z382" t="s">
        <v>1593</v>
      </c>
      <c r="AA382" t="s">
        <v>1598</v>
      </c>
      <c r="AB382" t="s">
        <v>1600</v>
      </c>
      <c r="AC382" t="s">
        <v>1610</v>
      </c>
      <c r="AD382" t="s">
        <v>1607</v>
      </c>
      <c r="AE382" t="s">
        <v>1617</v>
      </c>
      <c r="AF382" t="s">
        <v>1628</v>
      </c>
    </row>
    <row r="383" spans="1:32" x14ac:dyDescent="0.25">
      <c r="A383" t="s">
        <v>440</v>
      </c>
      <c r="B383">
        <v>30</v>
      </c>
      <c r="C383">
        <v>202</v>
      </c>
      <c r="D383">
        <v>2</v>
      </c>
      <c r="E383">
        <v>72</v>
      </c>
      <c r="F383">
        <v>2476</v>
      </c>
      <c r="G383">
        <v>17434</v>
      </c>
      <c r="H383">
        <v>1</v>
      </c>
      <c r="I383">
        <v>18</v>
      </c>
      <c r="J383">
        <v>1</v>
      </c>
      <c r="K383">
        <v>3</v>
      </c>
      <c r="L383">
        <v>1</v>
      </c>
      <c r="M383">
        <v>0</v>
      </c>
      <c r="N383">
        <v>0</v>
      </c>
      <c r="O383">
        <v>0</v>
      </c>
      <c r="P383" t="s">
        <v>1556</v>
      </c>
      <c r="Q383" t="s">
        <v>1552</v>
      </c>
      <c r="R383" t="s">
        <v>1549</v>
      </c>
      <c r="S383" t="s">
        <v>1532</v>
      </c>
      <c r="T383" t="s">
        <v>1542</v>
      </c>
      <c r="U383" t="s">
        <v>1547</v>
      </c>
      <c r="V383" t="s">
        <v>1559</v>
      </c>
      <c r="W383" t="s">
        <v>1563</v>
      </c>
      <c r="X383" t="s">
        <v>1575</v>
      </c>
      <c r="Y383" t="s">
        <v>1587</v>
      </c>
      <c r="Z383" t="s">
        <v>1592</v>
      </c>
      <c r="AA383" t="s">
        <v>1597</v>
      </c>
      <c r="AB383" t="s">
        <v>1601</v>
      </c>
      <c r="AC383" t="s">
        <v>1610</v>
      </c>
      <c r="AD383" t="s">
        <v>1604</v>
      </c>
      <c r="AE383" t="s">
        <v>1617</v>
      </c>
      <c r="AF383" t="s">
        <v>1627</v>
      </c>
    </row>
    <row r="384" spans="1:32" x14ac:dyDescent="0.25">
      <c r="A384" t="s">
        <v>441</v>
      </c>
      <c r="B384">
        <v>26</v>
      </c>
      <c r="C384">
        <v>575</v>
      </c>
      <c r="D384">
        <v>3</v>
      </c>
      <c r="E384">
        <v>73</v>
      </c>
      <c r="F384">
        <v>3102</v>
      </c>
      <c r="G384">
        <v>6582</v>
      </c>
      <c r="H384">
        <v>0</v>
      </c>
      <c r="I384">
        <v>22</v>
      </c>
      <c r="J384">
        <v>7</v>
      </c>
      <c r="K384">
        <v>2</v>
      </c>
      <c r="L384">
        <v>6</v>
      </c>
      <c r="M384">
        <v>4</v>
      </c>
      <c r="N384">
        <v>0</v>
      </c>
      <c r="O384">
        <v>4</v>
      </c>
      <c r="P384" t="s">
        <v>1555</v>
      </c>
      <c r="Q384" t="s">
        <v>1553</v>
      </c>
      <c r="R384" t="s">
        <v>1550</v>
      </c>
      <c r="S384" t="s">
        <v>1532</v>
      </c>
      <c r="T384" t="s">
        <v>1542</v>
      </c>
      <c r="U384" t="s">
        <v>1547</v>
      </c>
      <c r="V384" t="s">
        <v>1559</v>
      </c>
      <c r="W384" t="s">
        <v>1563</v>
      </c>
      <c r="X384" t="s">
        <v>1575</v>
      </c>
      <c r="Y384" t="s">
        <v>1582</v>
      </c>
      <c r="Z384" t="s">
        <v>1591</v>
      </c>
      <c r="AA384" t="s">
        <v>1596</v>
      </c>
      <c r="AB384" t="s">
        <v>1601</v>
      </c>
      <c r="AC384" t="s">
        <v>1611</v>
      </c>
      <c r="AD384" t="s">
        <v>1606</v>
      </c>
      <c r="AE384" t="s">
        <v>1616</v>
      </c>
      <c r="AF384" t="s">
        <v>1627</v>
      </c>
    </row>
    <row r="385" spans="1:32" x14ac:dyDescent="0.25">
      <c r="A385" t="s">
        <v>442</v>
      </c>
      <c r="B385">
        <v>22</v>
      </c>
      <c r="C385">
        <v>253</v>
      </c>
      <c r="D385">
        <v>11</v>
      </c>
      <c r="E385">
        <v>43</v>
      </c>
      <c r="F385">
        <v>2244</v>
      </c>
      <c r="G385">
        <v>24440</v>
      </c>
      <c r="H385">
        <v>1</v>
      </c>
      <c r="I385">
        <v>13</v>
      </c>
      <c r="J385">
        <v>2</v>
      </c>
      <c r="K385">
        <v>1</v>
      </c>
      <c r="L385">
        <v>2</v>
      </c>
      <c r="M385">
        <v>1</v>
      </c>
      <c r="N385">
        <v>1</v>
      </c>
      <c r="O385">
        <v>2</v>
      </c>
      <c r="P385" t="s">
        <v>1556</v>
      </c>
      <c r="Q385" t="s">
        <v>1552</v>
      </c>
      <c r="R385" t="s">
        <v>1550</v>
      </c>
      <c r="S385" t="s">
        <v>1534</v>
      </c>
      <c r="T385" t="s">
        <v>1540</v>
      </c>
      <c r="U385" t="s">
        <v>1545</v>
      </c>
      <c r="V385" t="s">
        <v>1558</v>
      </c>
      <c r="W385" t="s">
        <v>1563</v>
      </c>
      <c r="X385" t="s">
        <v>1575</v>
      </c>
      <c r="Y385" t="s">
        <v>1582</v>
      </c>
      <c r="Z385" t="s">
        <v>1592</v>
      </c>
      <c r="AA385" t="s">
        <v>1597</v>
      </c>
      <c r="AB385" t="s">
        <v>1601</v>
      </c>
      <c r="AC385" t="s">
        <v>1610</v>
      </c>
      <c r="AD385" t="s">
        <v>1607</v>
      </c>
      <c r="AE385" t="s">
        <v>1617</v>
      </c>
      <c r="AF385" t="s">
        <v>1627</v>
      </c>
    </row>
    <row r="386" spans="1:32" x14ac:dyDescent="0.25">
      <c r="A386" t="s">
        <v>443</v>
      </c>
      <c r="B386">
        <v>36</v>
      </c>
      <c r="C386">
        <v>164</v>
      </c>
      <c r="D386">
        <v>2</v>
      </c>
      <c r="E386">
        <v>61</v>
      </c>
      <c r="F386">
        <v>7596</v>
      </c>
      <c r="G386">
        <v>3809</v>
      </c>
      <c r="H386">
        <v>1</v>
      </c>
      <c r="I386">
        <v>13</v>
      </c>
      <c r="J386">
        <v>10</v>
      </c>
      <c r="K386">
        <v>2</v>
      </c>
      <c r="L386">
        <v>10</v>
      </c>
      <c r="M386">
        <v>9</v>
      </c>
      <c r="N386">
        <v>9</v>
      </c>
      <c r="O386">
        <v>0</v>
      </c>
      <c r="P386" t="s">
        <v>1556</v>
      </c>
      <c r="Q386" t="s">
        <v>1552</v>
      </c>
      <c r="R386" t="s">
        <v>1549</v>
      </c>
      <c r="S386" t="s">
        <v>1533</v>
      </c>
      <c r="T386" t="s">
        <v>1540</v>
      </c>
      <c r="U386" t="s">
        <v>1546</v>
      </c>
      <c r="V386" t="s">
        <v>1559</v>
      </c>
      <c r="W386" t="s">
        <v>1562</v>
      </c>
      <c r="X386" t="s">
        <v>1577</v>
      </c>
      <c r="Y386" t="s">
        <v>1581</v>
      </c>
      <c r="Z386" t="s">
        <v>1593</v>
      </c>
      <c r="AA386" t="s">
        <v>1597</v>
      </c>
      <c r="AB386" t="s">
        <v>1601</v>
      </c>
      <c r="AC386" t="s">
        <v>1610</v>
      </c>
      <c r="AD386" t="s">
        <v>1605</v>
      </c>
      <c r="AE386" t="s">
        <v>1618</v>
      </c>
      <c r="AF386" t="s">
        <v>1627</v>
      </c>
    </row>
    <row r="387" spans="1:32" x14ac:dyDescent="0.25">
      <c r="A387" t="s">
        <v>444</v>
      </c>
      <c r="B387">
        <v>30</v>
      </c>
      <c r="C387">
        <v>464</v>
      </c>
      <c r="D387">
        <v>4</v>
      </c>
      <c r="E387">
        <v>40</v>
      </c>
      <c r="F387">
        <v>2285</v>
      </c>
      <c r="G387">
        <v>3427</v>
      </c>
      <c r="H387">
        <v>9</v>
      </c>
      <c r="I387">
        <v>23</v>
      </c>
      <c r="J387">
        <v>3</v>
      </c>
      <c r="K387">
        <v>4</v>
      </c>
      <c r="L387">
        <v>1</v>
      </c>
      <c r="M387">
        <v>0</v>
      </c>
      <c r="N387">
        <v>0</v>
      </c>
      <c r="O387">
        <v>0</v>
      </c>
      <c r="P387" t="s">
        <v>1555</v>
      </c>
      <c r="Q387" t="s">
        <v>1553</v>
      </c>
      <c r="R387" t="s">
        <v>1550</v>
      </c>
      <c r="S387" t="s">
        <v>1534</v>
      </c>
      <c r="T387" t="s">
        <v>1542</v>
      </c>
      <c r="U387" t="s">
        <v>1547</v>
      </c>
      <c r="V387" t="s">
        <v>1559</v>
      </c>
      <c r="W387" t="s">
        <v>1563</v>
      </c>
      <c r="X387" t="s">
        <v>1575</v>
      </c>
      <c r="Y387" t="s">
        <v>1582</v>
      </c>
      <c r="Z387" t="s">
        <v>1594</v>
      </c>
      <c r="AA387" t="s">
        <v>1596</v>
      </c>
      <c r="AB387" t="s">
        <v>1600</v>
      </c>
      <c r="AC387" t="s">
        <v>1611</v>
      </c>
      <c r="AD387" t="s">
        <v>1606</v>
      </c>
      <c r="AE387" t="s">
        <v>1616</v>
      </c>
      <c r="AF387" t="s">
        <v>1627</v>
      </c>
    </row>
    <row r="388" spans="1:32" x14ac:dyDescent="0.25">
      <c r="A388" t="s">
        <v>445</v>
      </c>
      <c r="B388">
        <v>37</v>
      </c>
      <c r="C388">
        <v>1107</v>
      </c>
      <c r="D388">
        <v>14</v>
      </c>
      <c r="E388">
        <v>95</v>
      </c>
      <c r="F388">
        <v>3034</v>
      </c>
      <c r="G388">
        <v>26914</v>
      </c>
      <c r="H388">
        <v>1</v>
      </c>
      <c r="I388">
        <v>12</v>
      </c>
      <c r="J388">
        <v>18</v>
      </c>
      <c r="K388">
        <v>2</v>
      </c>
      <c r="L388">
        <v>18</v>
      </c>
      <c r="M388">
        <v>7</v>
      </c>
      <c r="N388">
        <v>12</v>
      </c>
      <c r="O388">
        <v>17</v>
      </c>
      <c r="P388" t="s">
        <v>1556</v>
      </c>
      <c r="Q388" t="s">
        <v>1552</v>
      </c>
      <c r="R388" t="s">
        <v>1550</v>
      </c>
      <c r="S388" t="s">
        <v>1534</v>
      </c>
      <c r="T388" t="s">
        <v>1538</v>
      </c>
      <c r="U388" t="s">
        <v>1548</v>
      </c>
      <c r="V388" t="s">
        <v>1558</v>
      </c>
      <c r="W388" t="s">
        <v>1563</v>
      </c>
      <c r="X388" t="s">
        <v>1575</v>
      </c>
      <c r="Y388" t="s">
        <v>1583</v>
      </c>
      <c r="Z388" t="s">
        <v>1591</v>
      </c>
      <c r="AA388" t="s">
        <v>1598</v>
      </c>
      <c r="AB388" t="s">
        <v>1601</v>
      </c>
      <c r="AC388" t="s">
        <v>1610</v>
      </c>
      <c r="AD388" t="s">
        <v>1606</v>
      </c>
      <c r="AE388" t="s">
        <v>1617</v>
      </c>
      <c r="AF388" t="s">
        <v>1626</v>
      </c>
    </row>
    <row r="389" spans="1:32" x14ac:dyDescent="0.25">
      <c r="A389" t="s">
        <v>446</v>
      </c>
      <c r="B389">
        <v>40</v>
      </c>
      <c r="C389">
        <v>759</v>
      </c>
      <c r="D389">
        <v>2</v>
      </c>
      <c r="E389">
        <v>46</v>
      </c>
      <c r="F389">
        <v>5715</v>
      </c>
      <c r="G389">
        <v>22553</v>
      </c>
      <c r="H389">
        <v>7</v>
      </c>
      <c r="I389">
        <v>12</v>
      </c>
      <c r="J389">
        <v>8</v>
      </c>
      <c r="K389">
        <v>5</v>
      </c>
      <c r="L389">
        <v>5</v>
      </c>
      <c r="M389">
        <v>4</v>
      </c>
      <c r="N389">
        <v>1</v>
      </c>
      <c r="O389">
        <v>3</v>
      </c>
      <c r="P389" t="s">
        <v>1556</v>
      </c>
      <c r="Q389" t="s">
        <v>1552</v>
      </c>
      <c r="R389" t="s">
        <v>1549</v>
      </c>
      <c r="S389" t="s">
        <v>1533</v>
      </c>
      <c r="T389" t="s">
        <v>1541</v>
      </c>
      <c r="U389" t="s">
        <v>1548</v>
      </c>
      <c r="V389" t="s">
        <v>1558</v>
      </c>
      <c r="W389" t="s">
        <v>1563</v>
      </c>
      <c r="X389" t="s">
        <v>1576</v>
      </c>
      <c r="Y389" t="s">
        <v>1581</v>
      </c>
      <c r="Z389" t="s">
        <v>1592</v>
      </c>
      <c r="AA389" t="s">
        <v>1598</v>
      </c>
      <c r="AB389" t="s">
        <v>1601</v>
      </c>
      <c r="AC389" t="s">
        <v>1610</v>
      </c>
      <c r="AD389" t="s">
        <v>1606</v>
      </c>
      <c r="AE389" t="s">
        <v>1618</v>
      </c>
      <c r="AF389" t="s">
        <v>1627</v>
      </c>
    </row>
    <row r="390" spans="1:32" x14ac:dyDescent="0.25">
      <c r="A390" t="s">
        <v>447</v>
      </c>
      <c r="B390">
        <v>42</v>
      </c>
      <c r="C390">
        <v>201</v>
      </c>
      <c r="D390">
        <v>1</v>
      </c>
      <c r="E390">
        <v>95</v>
      </c>
      <c r="F390">
        <v>2576</v>
      </c>
      <c r="G390">
        <v>20490</v>
      </c>
      <c r="H390">
        <v>3</v>
      </c>
      <c r="I390">
        <v>16</v>
      </c>
      <c r="J390">
        <v>8</v>
      </c>
      <c r="K390">
        <v>5</v>
      </c>
      <c r="L390">
        <v>5</v>
      </c>
      <c r="M390">
        <v>2</v>
      </c>
      <c r="N390">
        <v>1</v>
      </c>
      <c r="O390">
        <v>2</v>
      </c>
      <c r="P390" t="s">
        <v>1556</v>
      </c>
      <c r="Q390" t="s">
        <v>1552</v>
      </c>
      <c r="R390" t="s">
        <v>1550</v>
      </c>
      <c r="S390" t="s">
        <v>1535</v>
      </c>
      <c r="T390" t="s">
        <v>1538</v>
      </c>
      <c r="U390" t="s">
        <v>1546</v>
      </c>
      <c r="V390" t="s">
        <v>1558</v>
      </c>
      <c r="W390" t="s">
        <v>1563</v>
      </c>
      <c r="X390" t="s">
        <v>1575</v>
      </c>
      <c r="Y390" t="s">
        <v>1583</v>
      </c>
      <c r="Z390" t="s">
        <v>1591</v>
      </c>
      <c r="AA390" t="s">
        <v>1598</v>
      </c>
      <c r="AB390" t="s">
        <v>1601</v>
      </c>
      <c r="AC390" t="s">
        <v>1610</v>
      </c>
      <c r="AD390" t="s">
        <v>1605</v>
      </c>
      <c r="AE390" t="s">
        <v>1617</v>
      </c>
      <c r="AF390" t="s">
        <v>1627</v>
      </c>
    </row>
    <row r="391" spans="1:32" x14ac:dyDescent="0.25">
      <c r="A391" t="s">
        <v>448</v>
      </c>
      <c r="B391">
        <v>37</v>
      </c>
      <c r="C391">
        <v>1305</v>
      </c>
      <c r="D391">
        <v>10</v>
      </c>
      <c r="E391">
        <v>49</v>
      </c>
      <c r="F391">
        <v>4197</v>
      </c>
      <c r="G391">
        <v>21123</v>
      </c>
      <c r="H391">
        <v>2</v>
      </c>
      <c r="I391">
        <v>12</v>
      </c>
      <c r="J391">
        <v>18</v>
      </c>
      <c r="K391">
        <v>2</v>
      </c>
      <c r="L391">
        <v>1</v>
      </c>
      <c r="M391">
        <v>0</v>
      </c>
      <c r="N391">
        <v>0</v>
      </c>
      <c r="O391">
        <v>1</v>
      </c>
      <c r="P391" t="s">
        <v>1556</v>
      </c>
      <c r="Q391" t="s">
        <v>1552</v>
      </c>
      <c r="R391" t="s">
        <v>1550</v>
      </c>
      <c r="S391" t="s">
        <v>1535</v>
      </c>
      <c r="T391" t="s">
        <v>1538</v>
      </c>
      <c r="U391" t="s">
        <v>1547</v>
      </c>
      <c r="V391" t="s">
        <v>1559</v>
      </c>
      <c r="W391" t="s">
        <v>1563</v>
      </c>
      <c r="X391" t="s">
        <v>1576</v>
      </c>
      <c r="Y391" t="s">
        <v>1584</v>
      </c>
      <c r="Z391" t="s">
        <v>1592</v>
      </c>
      <c r="AA391" t="s">
        <v>1596</v>
      </c>
      <c r="AB391" t="s">
        <v>1600</v>
      </c>
      <c r="AC391" t="s">
        <v>1610</v>
      </c>
      <c r="AD391" t="s">
        <v>1607</v>
      </c>
      <c r="AE391" t="s">
        <v>1616</v>
      </c>
      <c r="AF391" t="s">
        <v>1626</v>
      </c>
    </row>
    <row r="392" spans="1:32" x14ac:dyDescent="0.25">
      <c r="A392" t="s">
        <v>449</v>
      </c>
      <c r="B392">
        <v>43</v>
      </c>
      <c r="C392">
        <v>982</v>
      </c>
      <c r="D392">
        <v>12</v>
      </c>
      <c r="E392">
        <v>59</v>
      </c>
      <c r="F392">
        <v>14336</v>
      </c>
      <c r="G392">
        <v>4345</v>
      </c>
      <c r="H392">
        <v>1</v>
      </c>
      <c r="I392">
        <v>11</v>
      </c>
      <c r="J392">
        <v>25</v>
      </c>
      <c r="K392">
        <v>3</v>
      </c>
      <c r="L392">
        <v>25</v>
      </c>
      <c r="M392">
        <v>10</v>
      </c>
      <c r="N392">
        <v>3</v>
      </c>
      <c r="O392">
        <v>9</v>
      </c>
      <c r="P392" t="s">
        <v>1556</v>
      </c>
      <c r="Q392" t="s">
        <v>1552</v>
      </c>
      <c r="R392" t="s">
        <v>1550</v>
      </c>
      <c r="S392" t="s">
        <v>1534</v>
      </c>
      <c r="T392" t="s">
        <v>1538</v>
      </c>
      <c r="U392" t="s">
        <v>1545</v>
      </c>
      <c r="V392" t="s">
        <v>1559</v>
      </c>
      <c r="W392" t="s">
        <v>1562</v>
      </c>
      <c r="X392" t="s">
        <v>1578</v>
      </c>
      <c r="Y392" t="s">
        <v>1588</v>
      </c>
      <c r="Z392" t="s">
        <v>1592</v>
      </c>
      <c r="AA392" t="s">
        <v>1598</v>
      </c>
      <c r="AB392" t="s">
        <v>1601</v>
      </c>
      <c r="AC392" t="s">
        <v>1610</v>
      </c>
      <c r="AD392" t="s">
        <v>1606</v>
      </c>
      <c r="AE392" t="s">
        <v>1617</v>
      </c>
      <c r="AF392" t="s">
        <v>1627</v>
      </c>
    </row>
    <row r="393" spans="1:32" x14ac:dyDescent="0.25">
      <c r="A393" t="s">
        <v>450</v>
      </c>
      <c r="B393">
        <v>40</v>
      </c>
      <c r="C393">
        <v>555</v>
      </c>
      <c r="D393">
        <v>2</v>
      </c>
      <c r="E393">
        <v>78</v>
      </c>
      <c r="F393">
        <v>3448</v>
      </c>
      <c r="G393">
        <v>13436</v>
      </c>
      <c r="H393">
        <v>6</v>
      </c>
      <c r="I393">
        <v>22</v>
      </c>
      <c r="J393">
        <v>20</v>
      </c>
      <c r="K393">
        <v>3</v>
      </c>
      <c r="L393">
        <v>1</v>
      </c>
      <c r="M393">
        <v>0</v>
      </c>
      <c r="N393">
        <v>0</v>
      </c>
      <c r="O393">
        <v>0</v>
      </c>
      <c r="P393" t="s">
        <v>1556</v>
      </c>
      <c r="Q393" t="s">
        <v>1552</v>
      </c>
      <c r="R393" t="s">
        <v>1550</v>
      </c>
      <c r="S393" t="s">
        <v>1534</v>
      </c>
      <c r="T393" t="s">
        <v>1540</v>
      </c>
      <c r="U393" t="s">
        <v>1546</v>
      </c>
      <c r="V393" t="s">
        <v>1558</v>
      </c>
      <c r="W393" t="s">
        <v>1562</v>
      </c>
      <c r="X393" t="s">
        <v>1576</v>
      </c>
      <c r="Y393" t="s">
        <v>1583</v>
      </c>
      <c r="Z393" t="s">
        <v>1593</v>
      </c>
      <c r="AA393" t="s">
        <v>1597</v>
      </c>
      <c r="AB393" t="s">
        <v>1601</v>
      </c>
      <c r="AC393" t="s">
        <v>1611</v>
      </c>
      <c r="AD393" t="s">
        <v>1605</v>
      </c>
      <c r="AE393" t="s">
        <v>1617</v>
      </c>
      <c r="AF393" t="s">
        <v>1627</v>
      </c>
    </row>
    <row r="394" spans="1:32" x14ac:dyDescent="0.25">
      <c r="A394" t="s">
        <v>451</v>
      </c>
      <c r="B394">
        <v>54</v>
      </c>
      <c r="C394">
        <v>821</v>
      </c>
      <c r="D394">
        <v>5</v>
      </c>
      <c r="E394">
        <v>86</v>
      </c>
      <c r="F394">
        <v>19406</v>
      </c>
      <c r="G394">
        <v>8509</v>
      </c>
      <c r="H394">
        <v>4</v>
      </c>
      <c r="I394">
        <v>11</v>
      </c>
      <c r="J394">
        <v>24</v>
      </c>
      <c r="K394">
        <v>4</v>
      </c>
      <c r="L394">
        <v>4</v>
      </c>
      <c r="M394">
        <v>2</v>
      </c>
      <c r="N394">
        <v>1</v>
      </c>
      <c r="O394">
        <v>2</v>
      </c>
      <c r="P394" t="s">
        <v>1556</v>
      </c>
      <c r="Q394" t="s">
        <v>1552</v>
      </c>
      <c r="R394" t="s">
        <v>1550</v>
      </c>
      <c r="S394" t="s">
        <v>1533</v>
      </c>
      <c r="T394" t="s">
        <v>1540</v>
      </c>
      <c r="U394" t="s">
        <v>1545</v>
      </c>
      <c r="V394" t="s">
        <v>1559</v>
      </c>
      <c r="W394" t="s">
        <v>1563</v>
      </c>
      <c r="X394" t="s">
        <v>1579</v>
      </c>
      <c r="Y394" t="s">
        <v>1588</v>
      </c>
      <c r="Z394" t="s">
        <v>1591</v>
      </c>
      <c r="AA394" t="s">
        <v>1597</v>
      </c>
      <c r="AB394" t="s">
        <v>1601</v>
      </c>
      <c r="AC394" t="s">
        <v>1610</v>
      </c>
      <c r="AD394" t="s">
        <v>1606</v>
      </c>
      <c r="AE394" t="s">
        <v>1617</v>
      </c>
      <c r="AF394" t="s">
        <v>1626</v>
      </c>
    </row>
    <row r="395" spans="1:32" x14ac:dyDescent="0.25">
      <c r="A395" t="s">
        <v>452</v>
      </c>
      <c r="B395">
        <v>34</v>
      </c>
      <c r="C395">
        <v>1381</v>
      </c>
      <c r="D395">
        <v>4</v>
      </c>
      <c r="E395">
        <v>72</v>
      </c>
      <c r="F395">
        <v>6538</v>
      </c>
      <c r="G395">
        <v>12740</v>
      </c>
      <c r="H395">
        <v>9</v>
      </c>
      <c r="I395">
        <v>15</v>
      </c>
      <c r="J395">
        <v>6</v>
      </c>
      <c r="K395">
        <v>3</v>
      </c>
      <c r="L395">
        <v>3</v>
      </c>
      <c r="M395">
        <v>2</v>
      </c>
      <c r="N395">
        <v>1</v>
      </c>
      <c r="O395">
        <v>2</v>
      </c>
      <c r="P395" t="s">
        <v>1556</v>
      </c>
      <c r="Q395" t="s">
        <v>1554</v>
      </c>
      <c r="R395" t="s">
        <v>1549</v>
      </c>
      <c r="S395" t="s">
        <v>1535</v>
      </c>
      <c r="T395" t="s">
        <v>1541</v>
      </c>
      <c r="U395" t="s">
        <v>1547</v>
      </c>
      <c r="V395" t="s">
        <v>1558</v>
      </c>
      <c r="W395" t="s">
        <v>1563</v>
      </c>
      <c r="X395" t="s">
        <v>1576</v>
      </c>
      <c r="Y395" t="s">
        <v>1581</v>
      </c>
      <c r="Z395" t="s">
        <v>1593</v>
      </c>
      <c r="AA395" t="s">
        <v>1597</v>
      </c>
      <c r="AB395" t="s">
        <v>1601</v>
      </c>
      <c r="AC395" t="s">
        <v>1610</v>
      </c>
      <c r="AD395" t="s">
        <v>1604</v>
      </c>
      <c r="AE395" t="s">
        <v>1617</v>
      </c>
      <c r="AF395" t="s">
        <v>1627</v>
      </c>
    </row>
    <row r="396" spans="1:32" x14ac:dyDescent="0.25">
      <c r="A396" t="s">
        <v>453</v>
      </c>
      <c r="B396">
        <v>31</v>
      </c>
      <c r="C396">
        <v>480</v>
      </c>
      <c r="D396">
        <v>7</v>
      </c>
      <c r="E396">
        <v>31</v>
      </c>
      <c r="F396">
        <v>4306</v>
      </c>
      <c r="G396">
        <v>4156</v>
      </c>
      <c r="H396">
        <v>1</v>
      </c>
      <c r="I396">
        <v>12</v>
      </c>
      <c r="J396">
        <v>13</v>
      </c>
      <c r="K396">
        <v>5</v>
      </c>
      <c r="L396">
        <v>13</v>
      </c>
      <c r="M396">
        <v>10</v>
      </c>
      <c r="N396">
        <v>3</v>
      </c>
      <c r="O396">
        <v>12</v>
      </c>
      <c r="P396" t="s">
        <v>1556</v>
      </c>
      <c r="Q396" t="s">
        <v>1552</v>
      </c>
      <c r="R396" t="s">
        <v>1550</v>
      </c>
      <c r="S396" t="s">
        <v>1533</v>
      </c>
      <c r="T396" t="s">
        <v>1540</v>
      </c>
      <c r="U396" t="s">
        <v>1546</v>
      </c>
      <c r="V396" t="s">
        <v>1558</v>
      </c>
      <c r="W396" t="s">
        <v>1563</v>
      </c>
      <c r="X396" t="s">
        <v>1576</v>
      </c>
      <c r="Y396" t="s">
        <v>1584</v>
      </c>
      <c r="Z396" t="s">
        <v>1591</v>
      </c>
      <c r="AA396" t="s">
        <v>1597</v>
      </c>
      <c r="AB396" t="s">
        <v>1601</v>
      </c>
      <c r="AC396" t="s">
        <v>1610</v>
      </c>
      <c r="AD396" t="s">
        <v>1605</v>
      </c>
      <c r="AE396" t="s">
        <v>1617</v>
      </c>
      <c r="AF396" t="s">
        <v>1625</v>
      </c>
    </row>
    <row r="397" spans="1:32" x14ac:dyDescent="0.25">
      <c r="A397" t="s">
        <v>454</v>
      </c>
      <c r="B397">
        <v>43</v>
      </c>
      <c r="C397">
        <v>313</v>
      </c>
      <c r="D397">
        <v>21</v>
      </c>
      <c r="E397">
        <v>61</v>
      </c>
      <c r="F397">
        <v>2258</v>
      </c>
      <c r="G397">
        <v>15238</v>
      </c>
      <c r="H397">
        <v>7</v>
      </c>
      <c r="I397">
        <v>20</v>
      </c>
      <c r="J397">
        <v>8</v>
      </c>
      <c r="K397">
        <v>1</v>
      </c>
      <c r="L397">
        <v>3</v>
      </c>
      <c r="M397">
        <v>2</v>
      </c>
      <c r="N397">
        <v>1</v>
      </c>
      <c r="O397">
        <v>2</v>
      </c>
      <c r="P397" t="s">
        <v>1556</v>
      </c>
      <c r="Q397" t="s">
        <v>1553</v>
      </c>
      <c r="R397" t="s">
        <v>1550</v>
      </c>
      <c r="S397" t="s">
        <v>1534</v>
      </c>
      <c r="T397" t="s">
        <v>1540</v>
      </c>
      <c r="U397" t="s">
        <v>1548</v>
      </c>
      <c r="V397" t="s">
        <v>1559</v>
      </c>
      <c r="W397" t="s">
        <v>1563</v>
      </c>
      <c r="X397" t="s">
        <v>1575</v>
      </c>
      <c r="Y397" t="s">
        <v>1583</v>
      </c>
      <c r="Z397" t="s">
        <v>1594</v>
      </c>
      <c r="AA397" t="s">
        <v>1597</v>
      </c>
      <c r="AB397" t="s">
        <v>1601</v>
      </c>
      <c r="AC397" t="s">
        <v>1611</v>
      </c>
      <c r="AD397" t="s">
        <v>1604</v>
      </c>
      <c r="AE397" t="s">
        <v>1617</v>
      </c>
      <c r="AF397" t="s">
        <v>1627</v>
      </c>
    </row>
    <row r="398" spans="1:32" x14ac:dyDescent="0.25">
      <c r="A398" t="s">
        <v>455</v>
      </c>
      <c r="B398">
        <v>43</v>
      </c>
      <c r="C398">
        <v>1473</v>
      </c>
      <c r="D398">
        <v>8</v>
      </c>
      <c r="E398">
        <v>74</v>
      </c>
      <c r="F398">
        <v>4522</v>
      </c>
      <c r="G398">
        <v>2227</v>
      </c>
      <c r="H398">
        <v>4</v>
      </c>
      <c r="I398">
        <v>14</v>
      </c>
      <c r="J398">
        <v>8</v>
      </c>
      <c r="K398">
        <v>3</v>
      </c>
      <c r="L398">
        <v>5</v>
      </c>
      <c r="M398">
        <v>2</v>
      </c>
      <c r="N398">
        <v>0</v>
      </c>
      <c r="O398">
        <v>2</v>
      </c>
      <c r="P398" t="s">
        <v>1556</v>
      </c>
      <c r="Q398" t="s">
        <v>1552</v>
      </c>
      <c r="R398" t="s">
        <v>1550</v>
      </c>
      <c r="S398" t="s">
        <v>1535</v>
      </c>
      <c r="T398" t="s">
        <v>1539</v>
      </c>
      <c r="U398" t="s">
        <v>1547</v>
      </c>
      <c r="V398" t="s">
        <v>1558</v>
      </c>
      <c r="W398" t="s">
        <v>1563</v>
      </c>
      <c r="X398" t="s">
        <v>1576</v>
      </c>
      <c r="Y398" t="s">
        <v>1585</v>
      </c>
      <c r="Z398" t="s">
        <v>1593</v>
      </c>
      <c r="AA398" t="s">
        <v>1598</v>
      </c>
      <c r="AB398" t="s">
        <v>1600</v>
      </c>
      <c r="AC398" t="s">
        <v>1610</v>
      </c>
      <c r="AD398" t="s">
        <v>1607</v>
      </c>
      <c r="AE398" t="s">
        <v>1616</v>
      </c>
      <c r="AF398" t="s">
        <v>1627</v>
      </c>
    </row>
    <row r="399" spans="1:32" x14ac:dyDescent="0.25">
      <c r="A399" t="s">
        <v>456</v>
      </c>
      <c r="B399">
        <v>25</v>
      </c>
      <c r="C399">
        <v>891</v>
      </c>
      <c r="D399">
        <v>4</v>
      </c>
      <c r="E399">
        <v>99</v>
      </c>
      <c r="F399">
        <v>4487</v>
      </c>
      <c r="G399">
        <v>12090</v>
      </c>
      <c r="H399">
        <v>1</v>
      </c>
      <c r="I399">
        <v>11</v>
      </c>
      <c r="J399">
        <v>5</v>
      </c>
      <c r="K399">
        <v>3</v>
      </c>
      <c r="L399">
        <v>5</v>
      </c>
      <c r="M399">
        <v>4</v>
      </c>
      <c r="N399">
        <v>1</v>
      </c>
      <c r="O399">
        <v>3</v>
      </c>
      <c r="P399" t="s">
        <v>1556</v>
      </c>
      <c r="Q399" t="s">
        <v>1552</v>
      </c>
      <c r="R399" t="s">
        <v>1549</v>
      </c>
      <c r="S399" t="s">
        <v>1533</v>
      </c>
      <c r="T399" t="s">
        <v>1538</v>
      </c>
      <c r="U399" t="s">
        <v>1546</v>
      </c>
      <c r="V399" t="s">
        <v>1558</v>
      </c>
      <c r="W399" t="s">
        <v>1562</v>
      </c>
      <c r="X399" t="s">
        <v>1576</v>
      </c>
      <c r="Y399" t="s">
        <v>1581</v>
      </c>
      <c r="Z399" t="s">
        <v>1594</v>
      </c>
      <c r="AA399" t="s">
        <v>1596</v>
      </c>
      <c r="AB399" t="s">
        <v>1600</v>
      </c>
      <c r="AC399" t="s">
        <v>1610</v>
      </c>
      <c r="AD399" t="s">
        <v>1605</v>
      </c>
      <c r="AE399" t="s">
        <v>1616</v>
      </c>
      <c r="AF399" t="s">
        <v>1627</v>
      </c>
    </row>
    <row r="400" spans="1:32" x14ac:dyDescent="0.25">
      <c r="A400" t="s">
        <v>457</v>
      </c>
      <c r="B400">
        <v>37</v>
      </c>
      <c r="C400">
        <v>1063</v>
      </c>
      <c r="D400">
        <v>25</v>
      </c>
      <c r="E400">
        <v>72</v>
      </c>
      <c r="F400">
        <v>4449</v>
      </c>
      <c r="G400">
        <v>23866</v>
      </c>
      <c r="H400">
        <v>3</v>
      </c>
      <c r="I400">
        <v>15</v>
      </c>
      <c r="J400">
        <v>15</v>
      </c>
      <c r="K400">
        <v>2</v>
      </c>
      <c r="L400">
        <v>13</v>
      </c>
      <c r="M400">
        <v>11</v>
      </c>
      <c r="N400">
        <v>10</v>
      </c>
      <c r="O400">
        <v>7</v>
      </c>
      <c r="P400" t="s">
        <v>1556</v>
      </c>
      <c r="Q400" t="s">
        <v>1554</v>
      </c>
      <c r="R400" t="s">
        <v>1550</v>
      </c>
      <c r="S400" t="s">
        <v>1536</v>
      </c>
      <c r="T400" t="s">
        <v>1540</v>
      </c>
      <c r="U400" t="s">
        <v>1546</v>
      </c>
      <c r="V400" t="s">
        <v>1558</v>
      </c>
      <c r="W400" t="s">
        <v>1563</v>
      </c>
      <c r="X400" t="s">
        <v>1576</v>
      </c>
      <c r="Y400" t="s">
        <v>1582</v>
      </c>
      <c r="Z400" t="s">
        <v>1593</v>
      </c>
      <c r="AA400" t="s">
        <v>1597</v>
      </c>
      <c r="AB400" t="s">
        <v>1600</v>
      </c>
      <c r="AC400" t="s">
        <v>1610</v>
      </c>
      <c r="AD400" t="s">
        <v>1604</v>
      </c>
      <c r="AE400" t="s">
        <v>1618</v>
      </c>
      <c r="AF400" t="s">
        <v>1627</v>
      </c>
    </row>
    <row r="401" spans="1:32" x14ac:dyDescent="0.25">
      <c r="A401" t="s">
        <v>458</v>
      </c>
      <c r="B401">
        <v>31</v>
      </c>
      <c r="C401">
        <v>329</v>
      </c>
      <c r="D401">
        <v>1</v>
      </c>
      <c r="E401">
        <v>98</v>
      </c>
      <c r="F401">
        <v>2218</v>
      </c>
      <c r="G401">
        <v>16193</v>
      </c>
      <c r="H401">
        <v>1</v>
      </c>
      <c r="I401">
        <v>12</v>
      </c>
      <c r="J401">
        <v>4</v>
      </c>
      <c r="K401">
        <v>3</v>
      </c>
      <c r="L401">
        <v>4</v>
      </c>
      <c r="M401">
        <v>2</v>
      </c>
      <c r="N401">
        <v>3</v>
      </c>
      <c r="O401">
        <v>2</v>
      </c>
      <c r="P401" t="s">
        <v>1556</v>
      </c>
      <c r="Q401" t="s">
        <v>1552</v>
      </c>
      <c r="R401" t="s">
        <v>1550</v>
      </c>
      <c r="S401" t="s">
        <v>1533</v>
      </c>
      <c r="T401" t="s">
        <v>1538</v>
      </c>
      <c r="U401" t="s">
        <v>1548</v>
      </c>
      <c r="V401" t="s">
        <v>1559</v>
      </c>
      <c r="W401" t="s">
        <v>1562</v>
      </c>
      <c r="X401" t="s">
        <v>1575</v>
      </c>
      <c r="Y401" t="s">
        <v>1583</v>
      </c>
      <c r="Z401" t="s">
        <v>1591</v>
      </c>
      <c r="AA401" t="s">
        <v>1597</v>
      </c>
      <c r="AB401" t="s">
        <v>1601</v>
      </c>
      <c r="AC401" t="s">
        <v>1610</v>
      </c>
      <c r="AD401" t="s">
        <v>1606</v>
      </c>
      <c r="AE401" t="s">
        <v>1617</v>
      </c>
      <c r="AF401" t="s">
        <v>1627</v>
      </c>
    </row>
    <row r="402" spans="1:32" x14ac:dyDescent="0.25">
      <c r="A402" t="s">
        <v>459</v>
      </c>
      <c r="B402">
        <v>39</v>
      </c>
      <c r="C402">
        <v>1218</v>
      </c>
      <c r="D402">
        <v>1</v>
      </c>
      <c r="E402">
        <v>52</v>
      </c>
      <c r="F402">
        <v>19197</v>
      </c>
      <c r="G402">
        <v>8213</v>
      </c>
      <c r="H402">
        <v>1</v>
      </c>
      <c r="I402">
        <v>14</v>
      </c>
      <c r="J402">
        <v>21</v>
      </c>
      <c r="K402">
        <v>3</v>
      </c>
      <c r="L402">
        <v>21</v>
      </c>
      <c r="M402">
        <v>8</v>
      </c>
      <c r="N402">
        <v>1</v>
      </c>
      <c r="O402">
        <v>6</v>
      </c>
      <c r="P402" t="s">
        <v>1556</v>
      </c>
      <c r="Q402" t="s">
        <v>1553</v>
      </c>
      <c r="R402" t="s">
        <v>1550</v>
      </c>
      <c r="S402" t="s">
        <v>1532</v>
      </c>
      <c r="T402" t="s">
        <v>1538</v>
      </c>
      <c r="U402" t="s">
        <v>1546</v>
      </c>
      <c r="V402" t="s">
        <v>1559</v>
      </c>
      <c r="W402" t="s">
        <v>1563</v>
      </c>
      <c r="X402" t="s">
        <v>1579</v>
      </c>
      <c r="Y402" t="s">
        <v>1586</v>
      </c>
      <c r="Z402" t="s">
        <v>1593</v>
      </c>
      <c r="AA402" t="s">
        <v>1598</v>
      </c>
      <c r="AB402" t="s">
        <v>1600</v>
      </c>
      <c r="AC402" t="s">
        <v>1610</v>
      </c>
      <c r="AD402" t="s">
        <v>1606</v>
      </c>
      <c r="AE402" t="s">
        <v>1617</v>
      </c>
      <c r="AF402" t="s">
        <v>1627</v>
      </c>
    </row>
    <row r="403" spans="1:32" x14ac:dyDescent="0.25">
      <c r="A403" t="s">
        <v>460</v>
      </c>
      <c r="B403">
        <v>56</v>
      </c>
      <c r="C403">
        <v>906</v>
      </c>
      <c r="D403">
        <v>6</v>
      </c>
      <c r="E403">
        <v>86</v>
      </c>
      <c r="F403">
        <v>13212</v>
      </c>
      <c r="G403">
        <v>18256</v>
      </c>
      <c r="H403">
        <v>9</v>
      </c>
      <c r="I403">
        <v>11</v>
      </c>
      <c r="J403">
        <v>36</v>
      </c>
      <c r="K403">
        <v>0</v>
      </c>
      <c r="L403">
        <v>7</v>
      </c>
      <c r="M403">
        <v>7</v>
      </c>
      <c r="N403">
        <v>7</v>
      </c>
      <c r="O403">
        <v>7</v>
      </c>
      <c r="P403" t="s">
        <v>1556</v>
      </c>
      <c r="Q403" t="s">
        <v>1553</v>
      </c>
      <c r="R403" t="s">
        <v>1549</v>
      </c>
      <c r="S403" t="s">
        <v>1534</v>
      </c>
      <c r="T403" t="s">
        <v>1538</v>
      </c>
      <c r="U403" t="s">
        <v>1547</v>
      </c>
      <c r="V403" t="s">
        <v>1558</v>
      </c>
      <c r="W403" t="s">
        <v>1564</v>
      </c>
      <c r="X403" t="s">
        <v>1578</v>
      </c>
      <c r="Y403" t="s">
        <v>1581</v>
      </c>
      <c r="Z403" t="s">
        <v>1591</v>
      </c>
      <c r="AA403" t="s">
        <v>1597</v>
      </c>
      <c r="AB403" t="s">
        <v>1601</v>
      </c>
      <c r="AC403" t="s">
        <v>1610</v>
      </c>
      <c r="AD403" t="s">
        <v>1607</v>
      </c>
      <c r="AE403" t="s">
        <v>1619</v>
      </c>
      <c r="AF403" t="s">
        <v>1626</v>
      </c>
    </row>
    <row r="404" spans="1:32" x14ac:dyDescent="0.25">
      <c r="A404" t="s">
        <v>461</v>
      </c>
      <c r="B404">
        <v>30</v>
      </c>
      <c r="C404">
        <v>1082</v>
      </c>
      <c r="D404">
        <v>12</v>
      </c>
      <c r="E404">
        <v>83</v>
      </c>
      <c r="F404">
        <v>6577</v>
      </c>
      <c r="G404">
        <v>19558</v>
      </c>
      <c r="H404">
        <v>0</v>
      </c>
      <c r="I404">
        <v>11</v>
      </c>
      <c r="J404">
        <v>6</v>
      </c>
      <c r="K404">
        <v>6</v>
      </c>
      <c r="L404">
        <v>5</v>
      </c>
      <c r="M404">
        <v>4</v>
      </c>
      <c r="N404">
        <v>4</v>
      </c>
      <c r="O404">
        <v>4</v>
      </c>
      <c r="P404" t="s">
        <v>1556</v>
      </c>
      <c r="Q404" t="s">
        <v>1552</v>
      </c>
      <c r="R404" t="s">
        <v>1549</v>
      </c>
      <c r="S404" t="s">
        <v>1534</v>
      </c>
      <c r="T404" t="s">
        <v>1542</v>
      </c>
      <c r="U404" t="s">
        <v>1546</v>
      </c>
      <c r="V404" t="s">
        <v>1558</v>
      </c>
      <c r="W404" t="s">
        <v>1563</v>
      </c>
      <c r="X404" t="s">
        <v>1576</v>
      </c>
      <c r="Y404" t="s">
        <v>1581</v>
      </c>
      <c r="Z404" t="s">
        <v>1593</v>
      </c>
      <c r="AA404" t="s">
        <v>1596</v>
      </c>
      <c r="AB404" t="s">
        <v>1601</v>
      </c>
      <c r="AC404" t="s">
        <v>1610</v>
      </c>
      <c r="AD404" t="s">
        <v>1605</v>
      </c>
      <c r="AE404" t="s">
        <v>1616</v>
      </c>
      <c r="AF404" t="s">
        <v>1627</v>
      </c>
    </row>
    <row r="405" spans="1:32" x14ac:dyDescent="0.25">
      <c r="A405" t="s">
        <v>462</v>
      </c>
      <c r="B405">
        <v>41</v>
      </c>
      <c r="C405">
        <v>645</v>
      </c>
      <c r="D405">
        <v>1</v>
      </c>
      <c r="E405">
        <v>49</v>
      </c>
      <c r="F405">
        <v>8392</v>
      </c>
      <c r="G405">
        <v>19566</v>
      </c>
      <c r="H405">
        <v>1</v>
      </c>
      <c r="I405">
        <v>16</v>
      </c>
      <c r="J405">
        <v>10</v>
      </c>
      <c r="K405">
        <v>2</v>
      </c>
      <c r="L405">
        <v>10</v>
      </c>
      <c r="M405">
        <v>7</v>
      </c>
      <c r="N405">
        <v>0</v>
      </c>
      <c r="O405">
        <v>7</v>
      </c>
      <c r="P405" t="s">
        <v>1556</v>
      </c>
      <c r="Q405" t="s">
        <v>1552</v>
      </c>
      <c r="R405" t="s">
        <v>1549</v>
      </c>
      <c r="S405" t="s">
        <v>1534</v>
      </c>
      <c r="T405" t="s">
        <v>1541</v>
      </c>
      <c r="U405" t="s">
        <v>1546</v>
      </c>
      <c r="V405" t="s">
        <v>1559</v>
      </c>
      <c r="W405" t="s">
        <v>1564</v>
      </c>
      <c r="X405" t="s">
        <v>1577</v>
      </c>
      <c r="Y405" t="s">
        <v>1581</v>
      </c>
      <c r="Z405" t="s">
        <v>1591</v>
      </c>
      <c r="AA405" t="s">
        <v>1597</v>
      </c>
      <c r="AB405" t="s">
        <v>1601</v>
      </c>
      <c r="AC405" t="s">
        <v>1610</v>
      </c>
      <c r="AD405" t="s">
        <v>1606</v>
      </c>
      <c r="AE405" t="s">
        <v>1617</v>
      </c>
      <c r="AF405" t="s">
        <v>1627</v>
      </c>
    </row>
    <row r="406" spans="1:32" x14ac:dyDescent="0.25">
      <c r="A406" t="s">
        <v>463</v>
      </c>
      <c r="B406">
        <v>28</v>
      </c>
      <c r="C406">
        <v>1300</v>
      </c>
      <c r="D406">
        <v>17</v>
      </c>
      <c r="E406">
        <v>79</v>
      </c>
      <c r="F406">
        <v>4558</v>
      </c>
      <c r="G406">
        <v>13535</v>
      </c>
      <c r="H406">
        <v>1</v>
      </c>
      <c r="I406">
        <v>12</v>
      </c>
      <c r="J406">
        <v>10</v>
      </c>
      <c r="K406">
        <v>2</v>
      </c>
      <c r="L406">
        <v>10</v>
      </c>
      <c r="M406">
        <v>0</v>
      </c>
      <c r="N406">
        <v>1</v>
      </c>
      <c r="O406">
        <v>8</v>
      </c>
      <c r="P406" t="s">
        <v>1556</v>
      </c>
      <c r="Q406" t="s">
        <v>1552</v>
      </c>
      <c r="R406" t="s">
        <v>1550</v>
      </c>
      <c r="S406" t="s">
        <v>1533</v>
      </c>
      <c r="T406" t="s">
        <v>1540</v>
      </c>
      <c r="U406" t="s">
        <v>1547</v>
      </c>
      <c r="V406" t="s">
        <v>1559</v>
      </c>
      <c r="W406" t="s">
        <v>1563</v>
      </c>
      <c r="X406" t="s">
        <v>1576</v>
      </c>
      <c r="Y406" t="s">
        <v>1583</v>
      </c>
      <c r="Z406" t="s">
        <v>1591</v>
      </c>
      <c r="AA406" t="s">
        <v>1598</v>
      </c>
      <c r="AB406" t="s">
        <v>1601</v>
      </c>
      <c r="AC406" t="s">
        <v>1610</v>
      </c>
      <c r="AD406" t="s">
        <v>1607</v>
      </c>
      <c r="AE406" t="s">
        <v>1617</v>
      </c>
      <c r="AF406" t="s">
        <v>1627</v>
      </c>
    </row>
    <row r="407" spans="1:32" x14ac:dyDescent="0.25">
      <c r="A407" t="s">
        <v>464</v>
      </c>
      <c r="B407">
        <v>25</v>
      </c>
      <c r="C407">
        <v>688</v>
      </c>
      <c r="D407">
        <v>3</v>
      </c>
      <c r="E407">
        <v>91</v>
      </c>
      <c r="F407">
        <v>4031</v>
      </c>
      <c r="G407">
        <v>9396</v>
      </c>
      <c r="H407">
        <v>5</v>
      </c>
      <c r="I407">
        <v>13</v>
      </c>
      <c r="J407">
        <v>6</v>
      </c>
      <c r="K407">
        <v>5</v>
      </c>
      <c r="L407">
        <v>2</v>
      </c>
      <c r="M407">
        <v>2</v>
      </c>
      <c r="N407">
        <v>0</v>
      </c>
      <c r="O407">
        <v>2</v>
      </c>
      <c r="P407" t="s">
        <v>1555</v>
      </c>
      <c r="Q407" t="s">
        <v>1552</v>
      </c>
      <c r="R407" t="s">
        <v>1550</v>
      </c>
      <c r="S407" t="s">
        <v>1534</v>
      </c>
      <c r="T407" t="s">
        <v>1540</v>
      </c>
      <c r="U407" t="s">
        <v>1545</v>
      </c>
      <c r="V407" t="s">
        <v>1559</v>
      </c>
      <c r="W407" t="s">
        <v>1563</v>
      </c>
      <c r="X407" t="s">
        <v>1575</v>
      </c>
      <c r="Y407" t="s">
        <v>1583</v>
      </c>
      <c r="Z407" t="s">
        <v>1591</v>
      </c>
      <c r="AA407" t="s">
        <v>1597</v>
      </c>
      <c r="AB407" t="s">
        <v>1601</v>
      </c>
      <c r="AC407" t="s">
        <v>1610</v>
      </c>
      <c r="AD407" t="s">
        <v>1606</v>
      </c>
      <c r="AE407" t="s">
        <v>1617</v>
      </c>
      <c r="AF407" t="s">
        <v>1627</v>
      </c>
    </row>
    <row r="408" spans="1:32" x14ac:dyDescent="0.25">
      <c r="A408" t="s">
        <v>465</v>
      </c>
      <c r="B408">
        <v>52</v>
      </c>
      <c r="C408">
        <v>319</v>
      </c>
      <c r="D408">
        <v>3</v>
      </c>
      <c r="E408">
        <v>39</v>
      </c>
      <c r="F408">
        <v>7969</v>
      </c>
      <c r="G408">
        <v>19609</v>
      </c>
      <c r="H408">
        <v>2</v>
      </c>
      <c r="I408">
        <v>14</v>
      </c>
      <c r="J408">
        <v>28</v>
      </c>
      <c r="K408">
        <v>4</v>
      </c>
      <c r="L408">
        <v>5</v>
      </c>
      <c r="M408">
        <v>4</v>
      </c>
      <c r="N408">
        <v>0</v>
      </c>
      <c r="O408">
        <v>4</v>
      </c>
      <c r="P408" t="s">
        <v>1556</v>
      </c>
      <c r="Q408" t="s">
        <v>1552</v>
      </c>
      <c r="R408" t="s">
        <v>1550</v>
      </c>
      <c r="S408" t="s">
        <v>1534</v>
      </c>
      <c r="T408" t="s">
        <v>1540</v>
      </c>
      <c r="U408" t="s">
        <v>1548</v>
      </c>
      <c r="V408" t="s">
        <v>1559</v>
      </c>
      <c r="W408" t="s">
        <v>1562</v>
      </c>
      <c r="X408" t="s">
        <v>1577</v>
      </c>
      <c r="Y408" t="s">
        <v>1584</v>
      </c>
      <c r="Z408" t="s">
        <v>1593</v>
      </c>
      <c r="AA408" t="s">
        <v>1597</v>
      </c>
      <c r="AB408" t="s">
        <v>1600</v>
      </c>
      <c r="AC408" t="s">
        <v>1610</v>
      </c>
      <c r="AD408" t="s">
        <v>1606</v>
      </c>
      <c r="AE408" t="s">
        <v>1616</v>
      </c>
      <c r="AF408" t="s">
        <v>1627</v>
      </c>
    </row>
    <row r="409" spans="1:32" x14ac:dyDescent="0.25">
      <c r="A409" t="s">
        <v>466</v>
      </c>
      <c r="B409">
        <v>45</v>
      </c>
      <c r="C409">
        <v>192</v>
      </c>
      <c r="D409">
        <v>10</v>
      </c>
      <c r="E409">
        <v>69</v>
      </c>
      <c r="F409">
        <v>2654</v>
      </c>
      <c r="G409">
        <v>9655</v>
      </c>
      <c r="H409">
        <v>3</v>
      </c>
      <c r="I409">
        <v>21</v>
      </c>
      <c r="J409">
        <v>8</v>
      </c>
      <c r="K409">
        <v>3</v>
      </c>
      <c r="L409">
        <v>2</v>
      </c>
      <c r="M409">
        <v>2</v>
      </c>
      <c r="N409">
        <v>0</v>
      </c>
      <c r="O409">
        <v>2</v>
      </c>
      <c r="P409" t="s">
        <v>1556</v>
      </c>
      <c r="Q409" t="s">
        <v>1552</v>
      </c>
      <c r="R409" t="s">
        <v>1550</v>
      </c>
      <c r="S409" t="s">
        <v>1533</v>
      </c>
      <c r="T409" t="s">
        <v>1538</v>
      </c>
      <c r="U409" t="s">
        <v>1545</v>
      </c>
      <c r="V409" t="s">
        <v>1559</v>
      </c>
      <c r="W409" t="s">
        <v>1563</v>
      </c>
      <c r="X409" t="s">
        <v>1575</v>
      </c>
      <c r="Y409" t="s">
        <v>1582</v>
      </c>
      <c r="Z409" t="s">
        <v>1594</v>
      </c>
      <c r="AA409" t="s">
        <v>1597</v>
      </c>
      <c r="AB409" t="s">
        <v>1601</v>
      </c>
      <c r="AC409" t="s">
        <v>1611</v>
      </c>
      <c r="AD409" t="s">
        <v>1607</v>
      </c>
      <c r="AE409" t="s">
        <v>1618</v>
      </c>
      <c r="AF409" t="s">
        <v>1626</v>
      </c>
    </row>
    <row r="410" spans="1:32" x14ac:dyDescent="0.25">
      <c r="A410" t="s">
        <v>467</v>
      </c>
      <c r="B410">
        <v>52</v>
      </c>
      <c r="C410">
        <v>1490</v>
      </c>
      <c r="D410">
        <v>4</v>
      </c>
      <c r="E410">
        <v>30</v>
      </c>
      <c r="F410">
        <v>16555</v>
      </c>
      <c r="G410">
        <v>10310</v>
      </c>
      <c r="H410">
        <v>2</v>
      </c>
      <c r="I410">
        <v>13</v>
      </c>
      <c r="J410">
        <v>31</v>
      </c>
      <c r="K410">
        <v>2</v>
      </c>
      <c r="L410">
        <v>5</v>
      </c>
      <c r="M410">
        <v>2</v>
      </c>
      <c r="N410">
        <v>1</v>
      </c>
      <c r="O410">
        <v>4</v>
      </c>
      <c r="P410" t="s">
        <v>1556</v>
      </c>
      <c r="Q410" t="s">
        <v>1552</v>
      </c>
      <c r="R410" t="s">
        <v>1550</v>
      </c>
      <c r="S410" t="s">
        <v>1533</v>
      </c>
      <c r="T410" t="s">
        <v>1538</v>
      </c>
      <c r="U410" t="s">
        <v>1548</v>
      </c>
      <c r="V410" t="s">
        <v>1558</v>
      </c>
      <c r="W410" t="s">
        <v>1563</v>
      </c>
      <c r="X410" t="s">
        <v>1578</v>
      </c>
      <c r="Y410" t="s">
        <v>1586</v>
      </c>
      <c r="Z410" t="s">
        <v>1594</v>
      </c>
      <c r="AA410" t="s">
        <v>1597</v>
      </c>
      <c r="AB410" t="s">
        <v>1601</v>
      </c>
      <c r="AC410" t="s">
        <v>1610</v>
      </c>
      <c r="AD410" t="s">
        <v>1607</v>
      </c>
      <c r="AE410" t="s">
        <v>1616</v>
      </c>
      <c r="AF410" t="s">
        <v>1625</v>
      </c>
    </row>
    <row r="411" spans="1:32" x14ac:dyDescent="0.25">
      <c r="A411" t="s">
        <v>468</v>
      </c>
      <c r="B411">
        <v>42</v>
      </c>
      <c r="C411">
        <v>532</v>
      </c>
      <c r="D411">
        <v>29</v>
      </c>
      <c r="E411">
        <v>92</v>
      </c>
      <c r="F411">
        <v>4556</v>
      </c>
      <c r="G411">
        <v>12932</v>
      </c>
      <c r="H411">
        <v>2</v>
      </c>
      <c r="I411">
        <v>11</v>
      </c>
      <c r="J411">
        <v>19</v>
      </c>
      <c r="K411">
        <v>3</v>
      </c>
      <c r="L411">
        <v>5</v>
      </c>
      <c r="M411">
        <v>4</v>
      </c>
      <c r="N411">
        <v>0</v>
      </c>
      <c r="O411">
        <v>2</v>
      </c>
      <c r="P411" t="s">
        <v>1556</v>
      </c>
      <c r="Q411" t="s">
        <v>1553</v>
      </c>
      <c r="R411" t="s">
        <v>1550</v>
      </c>
      <c r="S411" t="s">
        <v>1533</v>
      </c>
      <c r="T411" t="s">
        <v>1538</v>
      </c>
      <c r="U411" t="s">
        <v>1545</v>
      </c>
      <c r="V411" t="s">
        <v>1558</v>
      </c>
      <c r="W411" t="s">
        <v>1563</v>
      </c>
      <c r="X411" t="s">
        <v>1576</v>
      </c>
      <c r="Y411" t="s">
        <v>1582</v>
      </c>
      <c r="Z411" t="s">
        <v>1593</v>
      </c>
      <c r="AA411" t="s">
        <v>1598</v>
      </c>
      <c r="AB411" t="s">
        <v>1601</v>
      </c>
      <c r="AC411" t="s">
        <v>1610</v>
      </c>
      <c r="AD411" t="s">
        <v>1605</v>
      </c>
      <c r="AE411" t="s">
        <v>1617</v>
      </c>
      <c r="AF411" t="s">
        <v>1627</v>
      </c>
    </row>
    <row r="412" spans="1:32" x14ac:dyDescent="0.25">
      <c r="A412" t="s">
        <v>469</v>
      </c>
      <c r="B412">
        <v>30</v>
      </c>
      <c r="C412">
        <v>317</v>
      </c>
      <c r="D412">
        <v>2</v>
      </c>
      <c r="E412">
        <v>43</v>
      </c>
      <c r="F412">
        <v>6091</v>
      </c>
      <c r="G412">
        <v>24793</v>
      </c>
      <c r="H412">
        <v>2</v>
      </c>
      <c r="I412">
        <v>20</v>
      </c>
      <c r="J412">
        <v>11</v>
      </c>
      <c r="K412">
        <v>2</v>
      </c>
      <c r="L412">
        <v>5</v>
      </c>
      <c r="M412">
        <v>4</v>
      </c>
      <c r="N412">
        <v>0</v>
      </c>
      <c r="O412">
        <v>2</v>
      </c>
      <c r="P412" t="s">
        <v>1556</v>
      </c>
      <c r="Q412" t="s">
        <v>1552</v>
      </c>
      <c r="R412" t="s">
        <v>1550</v>
      </c>
      <c r="S412" t="s">
        <v>1534</v>
      </c>
      <c r="T412" t="s">
        <v>1538</v>
      </c>
      <c r="U412" t="s">
        <v>1547</v>
      </c>
      <c r="V412" t="s">
        <v>1558</v>
      </c>
      <c r="W412" t="s">
        <v>1561</v>
      </c>
      <c r="X412" t="s">
        <v>1576</v>
      </c>
      <c r="Y412" t="s">
        <v>1584</v>
      </c>
      <c r="Z412" t="s">
        <v>1594</v>
      </c>
      <c r="AA412" t="s">
        <v>1596</v>
      </c>
      <c r="AB412" t="s">
        <v>1601</v>
      </c>
      <c r="AC412" t="s">
        <v>1611</v>
      </c>
      <c r="AD412" t="s">
        <v>1606</v>
      </c>
      <c r="AE412" t="s">
        <v>1616</v>
      </c>
      <c r="AF412" t="s">
        <v>1627</v>
      </c>
    </row>
    <row r="413" spans="1:32" x14ac:dyDescent="0.25">
      <c r="A413" t="s">
        <v>470</v>
      </c>
      <c r="B413">
        <v>60</v>
      </c>
      <c r="C413">
        <v>422</v>
      </c>
      <c r="D413">
        <v>7</v>
      </c>
      <c r="E413">
        <v>41</v>
      </c>
      <c r="F413">
        <v>19566</v>
      </c>
      <c r="G413">
        <v>3854</v>
      </c>
      <c r="H413">
        <v>5</v>
      </c>
      <c r="I413">
        <v>11</v>
      </c>
      <c r="J413">
        <v>33</v>
      </c>
      <c r="K413">
        <v>5</v>
      </c>
      <c r="L413">
        <v>29</v>
      </c>
      <c r="M413">
        <v>8</v>
      </c>
      <c r="N413">
        <v>11</v>
      </c>
      <c r="O413">
        <v>10</v>
      </c>
      <c r="P413" t="s">
        <v>1556</v>
      </c>
      <c r="Q413" t="s">
        <v>1552</v>
      </c>
      <c r="R413" t="s">
        <v>1550</v>
      </c>
      <c r="S413" t="s">
        <v>1534</v>
      </c>
      <c r="T413" t="s">
        <v>1538</v>
      </c>
      <c r="U413" t="s">
        <v>1545</v>
      </c>
      <c r="V413" t="s">
        <v>1558</v>
      </c>
      <c r="W413" t="s">
        <v>1563</v>
      </c>
      <c r="X413" t="s">
        <v>1579</v>
      </c>
      <c r="Y413" t="s">
        <v>1586</v>
      </c>
      <c r="Z413" t="s">
        <v>1591</v>
      </c>
      <c r="AA413" t="s">
        <v>1597</v>
      </c>
      <c r="AB413" t="s">
        <v>1601</v>
      </c>
      <c r="AC413" t="s">
        <v>1610</v>
      </c>
      <c r="AD413" t="s">
        <v>1607</v>
      </c>
      <c r="AE413" t="s">
        <v>1616</v>
      </c>
      <c r="AF413" t="s">
        <v>1625</v>
      </c>
    </row>
    <row r="414" spans="1:32" x14ac:dyDescent="0.25">
      <c r="A414" t="s">
        <v>471</v>
      </c>
      <c r="B414">
        <v>46</v>
      </c>
      <c r="C414">
        <v>1485</v>
      </c>
      <c r="D414">
        <v>18</v>
      </c>
      <c r="E414">
        <v>87</v>
      </c>
      <c r="F414">
        <v>4810</v>
      </c>
      <c r="G414">
        <v>26314</v>
      </c>
      <c r="H414">
        <v>2</v>
      </c>
      <c r="I414">
        <v>14</v>
      </c>
      <c r="J414">
        <v>19</v>
      </c>
      <c r="K414">
        <v>5</v>
      </c>
      <c r="L414">
        <v>10</v>
      </c>
      <c r="M414">
        <v>7</v>
      </c>
      <c r="N414">
        <v>0</v>
      </c>
      <c r="O414">
        <v>8</v>
      </c>
      <c r="P414" t="s">
        <v>1556</v>
      </c>
      <c r="Q414" t="s">
        <v>1552</v>
      </c>
      <c r="R414" t="s">
        <v>1550</v>
      </c>
      <c r="S414" t="s">
        <v>1534</v>
      </c>
      <c r="T414" t="s">
        <v>1540</v>
      </c>
      <c r="U414" t="s">
        <v>1547</v>
      </c>
      <c r="V414" t="s">
        <v>1558</v>
      </c>
      <c r="W414" t="s">
        <v>1563</v>
      </c>
      <c r="X414" t="s">
        <v>1576</v>
      </c>
      <c r="Y414" t="s">
        <v>1584</v>
      </c>
      <c r="Z414" t="s">
        <v>1593</v>
      </c>
      <c r="AA414" t="s">
        <v>1598</v>
      </c>
      <c r="AB414" t="s">
        <v>1601</v>
      </c>
      <c r="AC414" t="s">
        <v>1610</v>
      </c>
      <c r="AD414" t="s">
        <v>1606</v>
      </c>
      <c r="AE414" t="s">
        <v>1617</v>
      </c>
      <c r="AF414" t="s">
        <v>1626</v>
      </c>
    </row>
    <row r="415" spans="1:32" x14ac:dyDescent="0.25">
      <c r="A415" t="s">
        <v>472</v>
      </c>
      <c r="B415">
        <v>42</v>
      </c>
      <c r="C415">
        <v>1368</v>
      </c>
      <c r="D415">
        <v>28</v>
      </c>
      <c r="E415">
        <v>88</v>
      </c>
      <c r="F415">
        <v>4523</v>
      </c>
      <c r="G415">
        <v>4386</v>
      </c>
      <c r="H415">
        <v>0</v>
      </c>
      <c r="I415">
        <v>11</v>
      </c>
      <c r="J415">
        <v>7</v>
      </c>
      <c r="K415">
        <v>4</v>
      </c>
      <c r="L415">
        <v>6</v>
      </c>
      <c r="M415">
        <v>5</v>
      </c>
      <c r="N415">
        <v>0</v>
      </c>
      <c r="O415">
        <v>4</v>
      </c>
      <c r="P415" t="s">
        <v>1556</v>
      </c>
      <c r="Q415" t="s">
        <v>1553</v>
      </c>
      <c r="R415" t="s">
        <v>1550</v>
      </c>
      <c r="S415" t="s">
        <v>1535</v>
      </c>
      <c r="T415" t="s">
        <v>1542</v>
      </c>
      <c r="U415" t="s">
        <v>1548</v>
      </c>
      <c r="V415" t="s">
        <v>1558</v>
      </c>
      <c r="W415" t="s">
        <v>1562</v>
      </c>
      <c r="X415" t="s">
        <v>1576</v>
      </c>
      <c r="Y415" t="s">
        <v>1585</v>
      </c>
      <c r="Z415" t="s">
        <v>1594</v>
      </c>
      <c r="AA415" t="s">
        <v>1597</v>
      </c>
      <c r="AB415" t="s">
        <v>1601</v>
      </c>
      <c r="AC415" t="s">
        <v>1610</v>
      </c>
      <c r="AD415" t="s">
        <v>1607</v>
      </c>
      <c r="AE415" t="s">
        <v>1619</v>
      </c>
      <c r="AF415" t="s">
        <v>1628</v>
      </c>
    </row>
    <row r="416" spans="1:32" x14ac:dyDescent="0.25">
      <c r="A416" t="s">
        <v>473</v>
      </c>
      <c r="B416">
        <v>24</v>
      </c>
      <c r="C416">
        <v>1448</v>
      </c>
      <c r="D416">
        <v>1</v>
      </c>
      <c r="E416">
        <v>62</v>
      </c>
      <c r="F416">
        <v>3202</v>
      </c>
      <c r="G416">
        <v>21972</v>
      </c>
      <c r="H416">
        <v>1</v>
      </c>
      <c r="I416">
        <v>16</v>
      </c>
      <c r="J416">
        <v>6</v>
      </c>
      <c r="K416">
        <v>4</v>
      </c>
      <c r="L416">
        <v>5</v>
      </c>
      <c r="M416">
        <v>3</v>
      </c>
      <c r="N416">
        <v>1</v>
      </c>
      <c r="O416">
        <v>4</v>
      </c>
      <c r="P416" t="s">
        <v>1555</v>
      </c>
      <c r="Q416" t="s">
        <v>1552</v>
      </c>
      <c r="R416" t="s">
        <v>1549</v>
      </c>
      <c r="S416" t="s">
        <v>1532</v>
      </c>
      <c r="T416" t="s">
        <v>1542</v>
      </c>
      <c r="U416" t="s">
        <v>1545</v>
      </c>
      <c r="V416" t="s">
        <v>1558</v>
      </c>
      <c r="W416" t="s">
        <v>1563</v>
      </c>
      <c r="X416" t="s">
        <v>1575</v>
      </c>
      <c r="Y416" t="s">
        <v>1587</v>
      </c>
      <c r="Z416" t="s">
        <v>1592</v>
      </c>
      <c r="AA416" t="s">
        <v>1596</v>
      </c>
      <c r="AB416" t="s">
        <v>1600</v>
      </c>
      <c r="AC416" t="s">
        <v>1610</v>
      </c>
      <c r="AD416" t="s">
        <v>1605</v>
      </c>
      <c r="AE416" t="s">
        <v>1616</v>
      </c>
      <c r="AF416" t="s">
        <v>1627</v>
      </c>
    </row>
    <row r="417" spans="1:32" x14ac:dyDescent="0.25">
      <c r="A417" t="s">
        <v>474</v>
      </c>
      <c r="B417">
        <v>34</v>
      </c>
      <c r="C417">
        <v>296</v>
      </c>
      <c r="D417">
        <v>6</v>
      </c>
      <c r="E417">
        <v>33</v>
      </c>
      <c r="F417">
        <v>2351</v>
      </c>
      <c r="G417">
        <v>12253</v>
      </c>
      <c r="H417">
        <v>0</v>
      </c>
      <c r="I417">
        <v>16</v>
      </c>
      <c r="J417">
        <v>3</v>
      </c>
      <c r="K417">
        <v>3</v>
      </c>
      <c r="L417">
        <v>2</v>
      </c>
      <c r="M417">
        <v>2</v>
      </c>
      <c r="N417">
        <v>1</v>
      </c>
      <c r="O417">
        <v>0</v>
      </c>
      <c r="P417" t="s">
        <v>1555</v>
      </c>
      <c r="Q417" t="s">
        <v>1553</v>
      </c>
      <c r="R417" t="s">
        <v>1549</v>
      </c>
      <c r="S417" t="s">
        <v>1533</v>
      </c>
      <c r="T417" t="s">
        <v>1541</v>
      </c>
      <c r="U417" t="s">
        <v>1548</v>
      </c>
      <c r="V417" t="s">
        <v>1558</v>
      </c>
      <c r="W417" t="s">
        <v>1561</v>
      </c>
      <c r="X417" t="s">
        <v>1575</v>
      </c>
      <c r="Y417" t="s">
        <v>1587</v>
      </c>
      <c r="Z417" t="s">
        <v>1593</v>
      </c>
      <c r="AA417" t="s">
        <v>1598</v>
      </c>
      <c r="AB417" t="s">
        <v>1601</v>
      </c>
      <c r="AC417" t="s">
        <v>1610</v>
      </c>
      <c r="AD417" t="s">
        <v>1607</v>
      </c>
      <c r="AE417" t="s">
        <v>1617</v>
      </c>
      <c r="AF417" t="s">
        <v>1626</v>
      </c>
    </row>
    <row r="418" spans="1:32" x14ac:dyDescent="0.25">
      <c r="A418" t="s">
        <v>475</v>
      </c>
      <c r="B418">
        <v>38</v>
      </c>
      <c r="C418">
        <v>1490</v>
      </c>
      <c r="D418">
        <v>2</v>
      </c>
      <c r="E418">
        <v>42</v>
      </c>
      <c r="F418">
        <v>1702</v>
      </c>
      <c r="G418">
        <v>12106</v>
      </c>
      <c r="H418">
        <v>1</v>
      </c>
      <c r="I418">
        <v>23</v>
      </c>
      <c r="J418">
        <v>1</v>
      </c>
      <c r="K418">
        <v>3</v>
      </c>
      <c r="L418">
        <v>1</v>
      </c>
      <c r="M418">
        <v>0</v>
      </c>
      <c r="N418">
        <v>0</v>
      </c>
      <c r="O418">
        <v>0</v>
      </c>
      <c r="P418" t="s">
        <v>1556</v>
      </c>
      <c r="Q418" t="s">
        <v>1553</v>
      </c>
      <c r="R418" t="s">
        <v>1550</v>
      </c>
      <c r="S418" t="s">
        <v>1533</v>
      </c>
      <c r="T418" t="s">
        <v>1538</v>
      </c>
      <c r="U418" t="s">
        <v>1548</v>
      </c>
      <c r="V418" t="s">
        <v>1559</v>
      </c>
      <c r="W418" t="s">
        <v>1563</v>
      </c>
      <c r="X418" t="s">
        <v>1575</v>
      </c>
      <c r="Y418" t="s">
        <v>1583</v>
      </c>
      <c r="Z418" t="s">
        <v>1594</v>
      </c>
      <c r="AA418" t="s">
        <v>1597</v>
      </c>
      <c r="AB418" t="s">
        <v>1600</v>
      </c>
      <c r="AC418" t="s">
        <v>1611</v>
      </c>
      <c r="AD418" t="s">
        <v>1606</v>
      </c>
      <c r="AE418" t="s">
        <v>1617</v>
      </c>
      <c r="AF418" t="s">
        <v>1627</v>
      </c>
    </row>
    <row r="419" spans="1:32" x14ac:dyDescent="0.25">
      <c r="A419" t="s">
        <v>476</v>
      </c>
      <c r="B419">
        <v>40</v>
      </c>
      <c r="C419">
        <v>1398</v>
      </c>
      <c r="D419">
        <v>2</v>
      </c>
      <c r="E419">
        <v>79</v>
      </c>
      <c r="F419">
        <v>18041</v>
      </c>
      <c r="G419">
        <v>13022</v>
      </c>
      <c r="H419">
        <v>0</v>
      </c>
      <c r="I419">
        <v>14</v>
      </c>
      <c r="J419">
        <v>21</v>
      </c>
      <c r="K419">
        <v>2</v>
      </c>
      <c r="L419">
        <v>20</v>
      </c>
      <c r="M419">
        <v>15</v>
      </c>
      <c r="N419">
        <v>1</v>
      </c>
      <c r="O419">
        <v>12</v>
      </c>
      <c r="P419" t="s">
        <v>1556</v>
      </c>
      <c r="Q419" t="s">
        <v>1552</v>
      </c>
      <c r="R419" t="s">
        <v>1549</v>
      </c>
      <c r="S419" t="s">
        <v>1535</v>
      </c>
      <c r="T419" t="s">
        <v>1538</v>
      </c>
      <c r="U419" t="s">
        <v>1547</v>
      </c>
      <c r="V419" t="s">
        <v>1558</v>
      </c>
      <c r="W419" t="s">
        <v>1563</v>
      </c>
      <c r="X419" t="s">
        <v>1579</v>
      </c>
      <c r="Y419" t="s">
        <v>1586</v>
      </c>
      <c r="Z419" t="s">
        <v>1593</v>
      </c>
      <c r="AA419" t="s">
        <v>1597</v>
      </c>
      <c r="AB419" t="s">
        <v>1601</v>
      </c>
      <c r="AC419" t="s">
        <v>1610</v>
      </c>
      <c r="AD419" t="s">
        <v>1607</v>
      </c>
      <c r="AE419" t="s">
        <v>1616</v>
      </c>
      <c r="AF419" t="s">
        <v>1627</v>
      </c>
    </row>
    <row r="420" spans="1:32" x14ac:dyDescent="0.25">
      <c r="A420" t="s">
        <v>477</v>
      </c>
      <c r="B420">
        <v>26</v>
      </c>
      <c r="C420">
        <v>1349</v>
      </c>
      <c r="D420">
        <v>23</v>
      </c>
      <c r="E420">
        <v>90</v>
      </c>
      <c r="F420">
        <v>2886</v>
      </c>
      <c r="G420">
        <v>3032</v>
      </c>
      <c r="H420">
        <v>1</v>
      </c>
      <c r="I420">
        <v>22</v>
      </c>
      <c r="J420">
        <v>3</v>
      </c>
      <c r="K420">
        <v>3</v>
      </c>
      <c r="L420">
        <v>3</v>
      </c>
      <c r="M420">
        <v>2</v>
      </c>
      <c r="N420">
        <v>0</v>
      </c>
      <c r="O420">
        <v>2</v>
      </c>
      <c r="P420" t="s">
        <v>1556</v>
      </c>
      <c r="Q420" t="s">
        <v>1552</v>
      </c>
      <c r="R420" t="s">
        <v>1550</v>
      </c>
      <c r="S420" t="s">
        <v>1534</v>
      </c>
      <c r="T420" t="s">
        <v>1538</v>
      </c>
      <c r="U420" t="s">
        <v>1545</v>
      </c>
      <c r="V420" t="s">
        <v>1558</v>
      </c>
      <c r="W420" t="s">
        <v>1563</v>
      </c>
      <c r="X420" t="s">
        <v>1575</v>
      </c>
      <c r="Y420" t="s">
        <v>1582</v>
      </c>
      <c r="Z420" t="s">
        <v>1594</v>
      </c>
      <c r="AA420" t="s">
        <v>1598</v>
      </c>
      <c r="AB420" t="s">
        <v>1601</v>
      </c>
      <c r="AC420" t="s">
        <v>1611</v>
      </c>
      <c r="AD420" t="s">
        <v>1605</v>
      </c>
      <c r="AE420" t="s">
        <v>1618</v>
      </c>
      <c r="AF420" t="s">
        <v>1625</v>
      </c>
    </row>
    <row r="421" spans="1:32" x14ac:dyDescent="0.25">
      <c r="A421" t="s">
        <v>478</v>
      </c>
      <c r="B421">
        <v>30</v>
      </c>
      <c r="C421">
        <v>1400</v>
      </c>
      <c r="D421">
        <v>3</v>
      </c>
      <c r="E421">
        <v>53</v>
      </c>
      <c r="F421">
        <v>2097</v>
      </c>
      <c r="G421">
        <v>16734</v>
      </c>
      <c r="H421">
        <v>4</v>
      </c>
      <c r="I421">
        <v>15</v>
      </c>
      <c r="J421">
        <v>9</v>
      </c>
      <c r="K421">
        <v>3</v>
      </c>
      <c r="L421">
        <v>5</v>
      </c>
      <c r="M421">
        <v>3</v>
      </c>
      <c r="N421">
        <v>1</v>
      </c>
      <c r="O421">
        <v>4</v>
      </c>
      <c r="P421" t="s">
        <v>1556</v>
      </c>
      <c r="Q421" t="s">
        <v>1554</v>
      </c>
      <c r="R421" t="s">
        <v>1550</v>
      </c>
      <c r="S421" t="s">
        <v>1534</v>
      </c>
      <c r="T421" t="s">
        <v>1538</v>
      </c>
      <c r="U421" t="s">
        <v>1547</v>
      </c>
      <c r="V421" t="s">
        <v>1559</v>
      </c>
      <c r="W421" t="s">
        <v>1563</v>
      </c>
      <c r="X421" t="s">
        <v>1575</v>
      </c>
      <c r="Y421" t="s">
        <v>1583</v>
      </c>
      <c r="Z421" t="s">
        <v>1594</v>
      </c>
      <c r="AA421" t="s">
        <v>1597</v>
      </c>
      <c r="AB421" t="s">
        <v>1601</v>
      </c>
      <c r="AC421" t="s">
        <v>1610</v>
      </c>
      <c r="AD421" t="s">
        <v>1606</v>
      </c>
      <c r="AE421" t="s">
        <v>1617</v>
      </c>
      <c r="AF421" t="s">
        <v>1625</v>
      </c>
    </row>
    <row r="422" spans="1:32" x14ac:dyDescent="0.25">
      <c r="A422" t="s">
        <v>479</v>
      </c>
      <c r="B422">
        <v>29</v>
      </c>
      <c r="C422">
        <v>986</v>
      </c>
      <c r="D422">
        <v>3</v>
      </c>
      <c r="E422">
        <v>93</v>
      </c>
      <c r="F422">
        <v>11935</v>
      </c>
      <c r="G422">
        <v>21526</v>
      </c>
      <c r="H422">
        <v>1</v>
      </c>
      <c r="I422">
        <v>18</v>
      </c>
      <c r="J422">
        <v>10</v>
      </c>
      <c r="K422">
        <v>2</v>
      </c>
      <c r="L422">
        <v>10</v>
      </c>
      <c r="M422">
        <v>2</v>
      </c>
      <c r="N422">
        <v>0</v>
      </c>
      <c r="O422">
        <v>7</v>
      </c>
      <c r="P422" t="s">
        <v>1556</v>
      </c>
      <c r="Q422" t="s">
        <v>1552</v>
      </c>
      <c r="R422" t="s">
        <v>1550</v>
      </c>
      <c r="S422" t="s">
        <v>1535</v>
      </c>
      <c r="T422" t="s">
        <v>1540</v>
      </c>
      <c r="U422" t="s">
        <v>1546</v>
      </c>
      <c r="V422" t="s">
        <v>1559</v>
      </c>
      <c r="W422" t="s">
        <v>1562</v>
      </c>
      <c r="X422" t="s">
        <v>1577</v>
      </c>
      <c r="Y422" t="s">
        <v>1588</v>
      </c>
      <c r="Z422" t="s">
        <v>1593</v>
      </c>
      <c r="AA422" t="s">
        <v>1597</v>
      </c>
      <c r="AB422" t="s">
        <v>1601</v>
      </c>
      <c r="AC422" t="s">
        <v>1610</v>
      </c>
      <c r="AD422" t="s">
        <v>1606</v>
      </c>
      <c r="AE422" t="s">
        <v>1616</v>
      </c>
      <c r="AF422" t="s">
        <v>1627</v>
      </c>
    </row>
    <row r="423" spans="1:32" x14ac:dyDescent="0.25">
      <c r="A423" t="s">
        <v>480</v>
      </c>
      <c r="B423">
        <v>29</v>
      </c>
      <c r="C423">
        <v>408</v>
      </c>
      <c r="D423">
        <v>25</v>
      </c>
      <c r="E423">
        <v>71</v>
      </c>
      <c r="F423">
        <v>2546</v>
      </c>
      <c r="G423">
        <v>18300</v>
      </c>
      <c r="H423">
        <v>5</v>
      </c>
      <c r="I423">
        <v>16</v>
      </c>
      <c r="J423">
        <v>6</v>
      </c>
      <c r="K423">
        <v>2</v>
      </c>
      <c r="L423">
        <v>2</v>
      </c>
      <c r="M423">
        <v>2</v>
      </c>
      <c r="N423">
        <v>1</v>
      </c>
      <c r="O423">
        <v>1</v>
      </c>
      <c r="P423" t="s">
        <v>1555</v>
      </c>
      <c r="Q423" t="s">
        <v>1552</v>
      </c>
      <c r="R423" t="s">
        <v>1550</v>
      </c>
      <c r="S423" t="s">
        <v>1536</v>
      </c>
      <c r="T423" t="s">
        <v>1542</v>
      </c>
      <c r="U423" t="s">
        <v>1547</v>
      </c>
      <c r="V423" t="s">
        <v>1558</v>
      </c>
      <c r="W423" t="s">
        <v>1562</v>
      </c>
      <c r="X423" t="s">
        <v>1575</v>
      </c>
      <c r="Y423" t="s">
        <v>1582</v>
      </c>
      <c r="Z423" t="s">
        <v>1592</v>
      </c>
      <c r="AA423" t="s">
        <v>1597</v>
      </c>
      <c r="AB423" t="s">
        <v>1601</v>
      </c>
      <c r="AC423" t="s">
        <v>1610</v>
      </c>
      <c r="AD423" t="s">
        <v>1605</v>
      </c>
      <c r="AE423" t="s">
        <v>1616</v>
      </c>
      <c r="AF423" t="s">
        <v>1628</v>
      </c>
    </row>
    <row r="424" spans="1:32" x14ac:dyDescent="0.25">
      <c r="A424" t="s">
        <v>481</v>
      </c>
      <c r="B424">
        <v>19</v>
      </c>
      <c r="C424">
        <v>489</v>
      </c>
      <c r="D424">
        <v>2</v>
      </c>
      <c r="E424">
        <v>52</v>
      </c>
      <c r="F424">
        <v>2564</v>
      </c>
      <c r="G424">
        <v>18437</v>
      </c>
      <c r="H424">
        <v>1</v>
      </c>
      <c r="I424">
        <v>12</v>
      </c>
      <c r="J424">
        <v>1</v>
      </c>
      <c r="K424">
        <v>3</v>
      </c>
      <c r="L424">
        <v>1</v>
      </c>
      <c r="M424">
        <v>0</v>
      </c>
      <c r="N424">
        <v>0</v>
      </c>
      <c r="O424">
        <v>0</v>
      </c>
      <c r="P424" t="s">
        <v>1555</v>
      </c>
      <c r="Q424" t="s">
        <v>1552</v>
      </c>
      <c r="R424" t="s">
        <v>1551</v>
      </c>
      <c r="S424" t="s">
        <v>1533</v>
      </c>
      <c r="T424" t="s">
        <v>1542</v>
      </c>
      <c r="U424" t="s">
        <v>1545</v>
      </c>
      <c r="V424" t="s">
        <v>1559</v>
      </c>
      <c r="W424" t="s">
        <v>1562</v>
      </c>
      <c r="X424" t="s">
        <v>1575</v>
      </c>
      <c r="Y424" t="s">
        <v>1589</v>
      </c>
      <c r="Z424" t="s">
        <v>1594</v>
      </c>
      <c r="AA424" t="s">
        <v>1596</v>
      </c>
      <c r="AB424" t="s">
        <v>1601</v>
      </c>
      <c r="AC424" t="s">
        <v>1610</v>
      </c>
      <c r="AD424" t="s">
        <v>1606</v>
      </c>
      <c r="AE424" t="s">
        <v>1616</v>
      </c>
      <c r="AF424" t="s">
        <v>1628</v>
      </c>
    </row>
    <row r="425" spans="1:32" x14ac:dyDescent="0.25">
      <c r="A425" t="s">
        <v>482</v>
      </c>
      <c r="B425">
        <v>30</v>
      </c>
      <c r="C425">
        <v>1398</v>
      </c>
      <c r="D425">
        <v>22</v>
      </c>
      <c r="E425">
        <v>69</v>
      </c>
      <c r="F425">
        <v>8412</v>
      </c>
      <c r="G425">
        <v>2890</v>
      </c>
      <c r="H425">
        <v>0</v>
      </c>
      <c r="I425">
        <v>11</v>
      </c>
      <c r="J425">
        <v>10</v>
      </c>
      <c r="K425">
        <v>3</v>
      </c>
      <c r="L425">
        <v>9</v>
      </c>
      <c r="M425">
        <v>8</v>
      </c>
      <c r="N425">
        <v>7</v>
      </c>
      <c r="O425">
        <v>8</v>
      </c>
      <c r="P425" t="s">
        <v>1556</v>
      </c>
      <c r="Q425" t="s">
        <v>1554</v>
      </c>
      <c r="R425" t="s">
        <v>1549</v>
      </c>
      <c r="S425" t="s">
        <v>1535</v>
      </c>
      <c r="T425" t="s">
        <v>1539</v>
      </c>
      <c r="U425" t="s">
        <v>1547</v>
      </c>
      <c r="V425" t="s">
        <v>1558</v>
      </c>
      <c r="W425" t="s">
        <v>1563</v>
      </c>
      <c r="X425" t="s">
        <v>1577</v>
      </c>
      <c r="Y425" t="s">
        <v>1581</v>
      </c>
      <c r="Z425" t="s">
        <v>1591</v>
      </c>
      <c r="AA425" t="s">
        <v>1597</v>
      </c>
      <c r="AB425" t="s">
        <v>1601</v>
      </c>
      <c r="AC425" t="s">
        <v>1610</v>
      </c>
      <c r="AD425" t="s">
        <v>1606</v>
      </c>
      <c r="AE425" t="s">
        <v>1616</v>
      </c>
      <c r="AF425" t="s">
        <v>1627</v>
      </c>
    </row>
    <row r="426" spans="1:32" x14ac:dyDescent="0.25">
      <c r="A426" t="s">
        <v>483</v>
      </c>
      <c r="B426">
        <v>57</v>
      </c>
      <c r="C426">
        <v>210</v>
      </c>
      <c r="D426">
        <v>29</v>
      </c>
      <c r="E426">
        <v>56</v>
      </c>
      <c r="F426">
        <v>14118</v>
      </c>
      <c r="G426">
        <v>22102</v>
      </c>
      <c r="H426">
        <v>3</v>
      </c>
      <c r="I426">
        <v>12</v>
      </c>
      <c r="J426">
        <v>32</v>
      </c>
      <c r="K426">
        <v>3</v>
      </c>
      <c r="L426">
        <v>1</v>
      </c>
      <c r="M426">
        <v>0</v>
      </c>
      <c r="N426">
        <v>0</v>
      </c>
      <c r="O426">
        <v>0</v>
      </c>
      <c r="P426" t="s">
        <v>1556</v>
      </c>
      <c r="Q426" t="s">
        <v>1552</v>
      </c>
      <c r="R426" t="s">
        <v>1549</v>
      </c>
      <c r="S426" t="s">
        <v>1534</v>
      </c>
      <c r="T426" t="s">
        <v>1541</v>
      </c>
      <c r="U426" t="s">
        <v>1545</v>
      </c>
      <c r="V426" t="s">
        <v>1559</v>
      </c>
      <c r="W426" t="s">
        <v>1562</v>
      </c>
      <c r="X426" t="s">
        <v>1578</v>
      </c>
      <c r="Y426" t="s">
        <v>1586</v>
      </c>
      <c r="Z426" t="s">
        <v>1594</v>
      </c>
      <c r="AA426" t="s">
        <v>1598</v>
      </c>
      <c r="AB426" t="s">
        <v>1601</v>
      </c>
      <c r="AC426" t="s">
        <v>1610</v>
      </c>
      <c r="AD426" t="s">
        <v>1606</v>
      </c>
      <c r="AE426" t="s">
        <v>1617</v>
      </c>
      <c r="AF426" t="s">
        <v>1626</v>
      </c>
    </row>
    <row r="427" spans="1:32" x14ac:dyDescent="0.25">
      <c r="A427" t="s">
        <v>484</v>
      </c>
      <c r="B427">
        <v>50</v>
      </c>
      <c r="C427">
        <v>1099</v>
      </c>
      <c r="D427">
        <v>29</v>
      </c>
      <c r="E427">
        <v>88</v>
      </c>
      <c r="F427">
        <v>17046</v>
      </c>
      <c r="G427">
        <v>9314</v>
      </c>
      <c r="H427">
        <v>0</v>
      </c>
      <c r="I427">
        <v>15</v>
      </c>
      <c r="J427">
        <v>28</v>
      </c>
      <c r="K427">
        <v>2</v>
      </c>
      <c r="L427">
        <v>27</v>
      </c>
      <c r="M427">
        <v>10</v>
      </c>
      <c r="N427">
        <v>15</v>
      </c>
      <c r="O427">
        <v>7</v>
      </c>
      <c r="P427" t="s">
        <v>1556</v>
      </c>
      <c r="Q427" t="s">
        <v>1552</v>
      </c>
      <c r="R427" t="s">
        <v>1550</v>
      </c>
      <c r="S427" t="s">
        <v>1535</v>
      </c>
      <c r="T427" t="s">
        <v>1538</v>
      </c>
      <c r="U427" t="s">
        <v>1546</v>
      </c>
      <c r="V427" t="s">
        <v>1559</v>
      </c>
      <c r="W427" t="s">
        <v>1562</v>
      </c>
      <c r="X427" t="s">
        <v>1578</v>
      </c>
      <c r="Y427" t="s">
        <v>1586</v>
      </c>
      <c r="Z427" t="s">
        <v>1593</v>
      </c>
      <c r="AA427" t="s">
        <v>1597</v>
      </c>
      <c r="AB427" t="s">
        <v>1601</v>
      </c>
      <c r="AC427" t="s">
        <v>1610</v>
      </c>
      <c r="AD427" t="s">
        <v>1605</v>
      </c>
      <c r="AE427" t="s">
        <v>1617</v>
      </c>
      <c r="AF427" t="s">
        <v>1627</v>
      </c>
    </row>
    <row r="428" spans="1:32" x14ac:dyDescent="0.25">
      <c r="A428" t="s">
        <v>485</v>
      </c>
      <c r="B428">
        <v>30</v>
      </c>
      <c r="C428">
        <v>1116</v>
      </c>
      <c r="D428">
        <v>2</v>
      </c>
      <c r="E428">
        <v>49</v>
      </c>
      <c r="F428">
        <v>2564</v>
      </c>
      <c r="G428">
        <v>7181</v>
      </c>
      <c r="H428">
        <v>0</v>
      </c>
      <c r="I428">
        <v>14</v>
      </c>
      <c r="J428">
        <v>12</v>
      </c>
      <c r="K428">
        <v>2</v>
      </c>
      <c r="L428">
        <v>11</v>
      </c>
      <c r="M428">
        <v>7</v>
      </c>
      <c r="N428">
        <v>6</v>
      </c>
      <c r="O428">
        <v>7</v>
      </c>
      <c r="P428" t="s">
        <v>1556</v>
      </c>
      <c r="Q428" t="s">
        <v>1554</v>
      </c>
      <c r="R428" t="s">
        <v>1550</v>
      </c>
      <c r="S428" t="s">
        <v>1534</v>
      </c>
      <c r="T428" t="s">
        <v>1540</v>
      </c>
      <c r="U428" t="s">
        <v>1547</v>
      </c>
      <c r="V428" t="s">
        <v>1558</v>
      </c>
      <c r="W428" t="s">
        <v>1563</v>
      </c>
      <c r="X428" t="s">
        <v>1575</v>
      </c>
      <c r="Y428" t="s">
        <v>1583</v>
      </c>
      <c r="Z428" t="s">
        <v>1594</v>
      </c>
      <c r="AA428" t="s">
        <v>1596</v>
      </c>
      <c r="AB428" t="s">
        <v>1601</v>
      </c>
      <c r="AC428" t="s">
        <v>1610</v>
      </c>
      <c r="AD428" t="s">
        <v>1606</v>
      </c>
      <c r="AE428" t="s">
        <v>1616</v>
      </c>
      <c r="AF428" t="s">
        <v>1626</v>
      </c>
    </row>
    <row r="429" spans="1:32" x14ac:dyDescent="0.25">
      <c r="A429" t="s">
        <v>486</v>
      </c>
      <c r="B429">
        <v>60</v>
      </c>
      <c r="C429">
        <v>1499</v>
      </c>
      <c r="D429">
        <v>28</v>
      </c>
      <c r="E429">
        <v>80</v>
      </c>
      <c r="F429">
        <v>10266</v>
      </c>
      <c r="G429">
        <v>2845</v>
      </c>
      <c r="H429">
        <v>4</v>
      </c>
      <c r="I429">
        <v>19</v>
      </c>
      <c r="J429">
        <v>22</v>
      </c>
      <c r="K429">
        <v>5</v>
      </c>
      <c r="L429">
        <v>18</v>
      </c>
      <c r="M429">
        <v>13</v>
      </c>
      <c r="N429">
        <v>13</v>
      </c>
      <c r="O429">
        <v>11</v>
      </c>
      <c r="P429" t="s">
        <v>1556</v>
      </c>
      <c r="Q429" t="s">
        <v>1553</v>
      </c>
      <c r="R429" t="s">
        <v>1549</v>
      </c>
      <c r="S429" t="s">
        <v>1534</v>
      </c>
      <c r="T429" t="s">
        <v>1541</v>
      </c>
      <c r="U429" t="s">
        <v>1547</v>
      </c>
      <c r="V429" t="s">
        <v>1558</v>
      </c>
      <c r="W429" t="s">
        <v>1562</v>
      </c>
      <c r="X429" t="s">
        <v>1577</v>
      </c>
      <c r="Y429" t="s">
        <v>1581</v>
      </c>
      <c r="Z429" t="s">
        <v>1591</v>
      </c>
      <c r="AA429" t="s">
        <v>1597</v>
      </c>
      <c r="AB429" t="s">
        <v>1601</v>
      </c>
      <c r="AC429" t="s">
        <v>1610</v>
      </c>
      <c r="AD429" t="s">
        <v>1607</v>
      </c>
      <c r="AE429" t="s">
        <v>1616</v>
      </c>
      <c r="AF429" t="s">
        <v>1628</v>
      </c>
    </row>
    <row r="430" spans="1:32" x14ac:dyDescent="0.25">
      <c r="A430" t="s">
        <v>487</v>
      </c>
      <c r="B430">
        <v>47</v>
      </c>
      <c r="C430">
        <v>983</v>
      </c>
      <c r="D430">
        <v>2</v>
      </c>
      <c r="E430">
        <v>65</v>
      </c>
      <c r="F430">
        <v>5070</v>
      </c>
      <c r="G430">
        <v>7389</v>
      </c>
      <c r="H430">
        <v>5</v>
      </c>
      <c r="I430">
        <v>13</v>
      </c>
      <c r="J430">
        <v>20</v>
      </c>
      <c r="K430">
        <v>2</v>
      </c>
      <c r="L430">
        <v>5</v>
      </c>
      <c r="M430">
        <v>0</v>
      </c>
      <c r="N430">
        <v>0</v>
      </c>
      <c r="O430">
        <v>4</v>
      </c>
      <c r="P430" t="s">
        <v>1556</v>
      </c>
      <c r="Q430" t="s">
        <v>1552</v>
      </c>
      <c r="R430" t="s">
        <v>1550</v>
      </c>
      <c r="S430" t="s">
        <v>1533</v>
      </c>
      <c r="T430" t="s">
        <v>1540</v>
      </c>
      <c r="U430" t="s">
        <v>1545</v>
      </c>
      <c r="V430" t="s">
        <v>1558</v>
      </c>
      <c r="W430" t="s">
        <v>1563</v>
      </c>
      <c r="X430" t="s">
        <v>1576</v>
      </c>
      <c r="Y430" t="s">
        <v>1584</v>
      </c>
      <c r="Z430" t="s">
        <v>1594</v>
      </c>
      <c r="AA430" t="s">
        <v>1598</v>
      </c>
      <c r="AB430" t="s">
        <v>1601</v>
      </c>
      <c r="AC430" t="s">
        <v>1610</v>
      </c>
      <c r="AD430" t="s">
        <v>1606</v>
      </c>
      <c r="AE430" t="s">
        <v>1619</v>
      </c>
      <c r="AF430" t="s">
        <v>1627</v>
      </c>
    </row>
    <row r="431" spans="1:32" x14ac:dyDescent="0.25">
      <c r="A431" t="s">
        <v>488</v>
      </c>
      <c r="B431">
        <v>46</v>
      </c>
      <c r="C431">
        <v>1009</v>
      </c>
      <c r="D431">
        <v>2</v>
      </c>
      <c r="E431">
        <v>51</v>
      </c>
      <c r="F431">
        <v>17861</v>
      </c>
      <c r="G431">
        <v>2288</v>
      </c>
      <c r="H431">
        <v>6</v>
      </c>
      <c r="I431">
        <v>13</v>
      </c>
      <c r="J431">
        <v>26</v>
      </c>
      <c r="K431">
        <v>2</v>
      </c>
      <c r="L431">
        <v>3</v>
      </c>
      <c r="M431">
        <v>2</v>
      </c>
      <c r="N431">
        <v>0</v>
      </c>
      <c r="O431">
        <v>1</v>
      </c>
      <c r="P431" t="s">
        <v>1556</v>
      </c>
      <c r="Q431" t="s">
        <v>1552</v>
      </c>
      <c r="R431" t="s">
        <v>1550</v>
      </c>
      <c r="S431" t="s">
        <v>1534</v>
      </c>
      <c r="T431" t="s">
        <v>1538</v>
      </c>
      <c r="U431" t="s">
        <v>1545</v>
      </c>
      <c r="V431" t="s">
        <v>1559</v>
      </c>
      <c r="W431" t="s">
        <v>1563</v>
      </c>
      <c r="X431" t="s">
        <v>1578</v>
      </c>
      <c r="Y431" t="s">
        <v>1588</v>
      </c>
      <c r="Z431" t="s">
        <v>1593</v>
      </c>
      <c r="AA431" t="s">
        <v>1597</v>
      </c>
      <c r="AB431" t="s">
        <v>1601</v>
      </c>
      <c r="AC431" t="s">
        <v>1610</v>
      </c>
      <c r="AD431" t="s">
        <v>1606</v>
      </c>
      <c r="AE431" t="s">
        <v>1616</v>
      </c>
      <c r="AF431" t="s">
        <v>1625</v>
      </c>
    </row>
    <row r="432" spans="1:32" x14ac:dyDescent="0.25">
      <c r="A432" t="s">
        <v>489</v>
      </c>
      <c r="B432">
        <v>35</v>
      </c>
      <c r="C432">
        <v>144</v>
      </c>
      <c r="D432">
        <v>22</v>
      </c>
      <c r="E432">
        <v>46</v>
      </c>
      <c r="F432">
        <v>4230</v>
      </c>
      <c r="G432">
        <v>19225</v>
      </c>
      <c r="H432">
        <v>0</v>
      </c>
      <c r="I432">
        <v>15</v>
      </c>
      <c r="J432">
        <v>6</v>
      </c>
      <c r="K432">
        <v>2</v>
      </c>
      <c r="L432">
        <v>5</v>
      </c>
      <c r="M432">
        <v>4</v>
      </c>
      <c r="N432">
        <v>4</v>
      </c>
      <c r="O432">
        <v>3</v>
      </c>
      <c r="P432" t="s">
        <v>1556</v>
      </c>
      <c r="Q432" t="s">
        <v>1552</v>
      </c>
      <c r="R432" t="s">
        <v>1550</v>
      </c>
      <c r="S432" t="s">
        <v>1534</v>
      </c>
      <c r="T432" t="s">
        <v>1538</v>
      </c>
      <c r="U432" t="s">
        <v>1548</v>
      </c>
      <c r="V432" t="s">
        <v>1559</v>
      </c>
      <c r="W432" t="s">
        <v>1561</v>
      </c>
      <c r="X432" t="s">
        <v>1575</v>
      </c>
      <c r="Y432" t="s">
        <v>1583</v>
      </c>
      <c r="Z432" t="s">
        <v>1593</v>
      </c>
      <c r="AA432" t="s">
        <v>1596</v>
      </c>
      <c r="AB432" t="s">
        <v>1601</v>
      </c>
      <c r="AC432" t="s">
        <v>1610</v>
      </c>
      <c r="AD432" t="s">
        <v>1606</v>
      </c>
      <c r="AE432" t="s">
        <v>1616</v>
      </c>
      <c r="AF432" t="s">
        <v>1627</v>
      </c>
    </row>
    <row r="433" spans="1:32" x14ac:dyDescent="0.25">
      <c r="A433" t="s">
        <v>490</v>
      </c>
      <c r="B433">
        <v>54</v>
      </c>
      <c r="C433">
        <v>548</v>
      </c>
      <c r="D433">
        <v>8</v>
      </c>
      <c r="E433">
        <v>42</v>
      </c>
      <c r="F433">
        <v>3780</v>
      </c>
      <c r="G433">
        <v>23428</v>
      </c>
      <c r="H433">
        <v>7</v>
      </c>
      <c r="I433">
        <v>11</v>
      </c>
      <c r="J433">
        <v>19</v>
      </c>
      <c r="K433">
        <v>3</v>
      </c>
      <c r="L433">
        <v>1</v>
      </c>
      <c r="M433">
        <v>0</v>
      </c>
      <c r="N433">
        <v>0</v>
      </c>
      <c r="O433">
        <v>0</v>
      </c>
      <c r="P433" t="s">
        <v>1556</v>
      </c>
      <c r="Q433" t="s">
        <v>1552</v>
      </c>
      <c r="R433" t="s">
        <v>1550</v>
      </c>
      <c r="S433" t="s">
        <v>1535</v>
      </c>
      <c r="T433" t="s">
        <v>1538</v>
      </c>
      <c r="U433" t="s">
        <v>1547</v>
      </c>
      <c r="V433" t="s">
        <v>1558</v>
      </c>
      <c r="W433" t="s">
        <v>1563</v>
      </c>
      <c r="X433" t="s">
        <v>1576</v>
      </c>
      <c r="Y433" t="s">
        <v>1583</v>
      </c>
      <c r="Z433" t="s">
        <v>1593</v>
      </c>
      <c r="AA433" t="s">
        <v>1596</v>
      </c>
      <c r="AB433" t="s">
        <v>1601</v>
      </c>
      <c r="AC433" t="s">
        <v>1610</v>
      </c>
      <c r="AD433" t="s">
        <v>1606</v>
      </c>
      <c r="AE433" t="s">
        <v>1616</v>
      </c>
      <c r="AF433" t="s">
        <v>1627</v>
      </c>
    </row>
    <row r="434" spans="1:32" x14ac:dyDescent="0.25">
      <c r="A434" t="s">
        <v>491</v>
      </c>
      <c r="B434">
        <v>34</v>
      </c>
      <c r="C434">
        <v>1303</v>
      </c>
      <c r="D434">
        <v>2</v>
      </c>
      <c r="E434">
        <v>62</v>
      </c>
      <c r="F434">
        <v>2768</v>
      </c>
      <c r="G434">
        <v>8416</v>
      </c>
      <c r="H434">
        <v>3</v>
      </c>
      <c r="I434">
        <v>12</v>
      </c>
      <c r="J434">
        <v>14</v>
      </c>
      <c r="K434">
        <v>3</v>
      </c>
      <c r="L434">
        <v>7</v>
      </c>
      <c r="M434">
        <v>3</v>
      </c>
      <c r="N434">
        <v>5</v>
      </c>
      <c r="O434">
        <v>7</v>
      </c>
      <c r="P434" t="s">
        <v>1556</v>
      </c>
      <c r="Q434" t="s">
        <v>1552</v>
      </c>
      <c r="R434" t="s">
        <v>1550</v>
      </c>
      <c r="S434" t="s">
        <v>1535</v>
      </c>
      <c r="T434" t="s">
        <v>1538</v>
      </c>
      <c r="U434" t="s">
        <v>1548</v>
      </c>
      <c r="V434" t="s">
        <v>1559</v>
      </c>
      <c r="W434" t="s">
        <v>1562</v>
      </c>
      <c r="X434" t="s">
        <v>1575</v>
      </c>
      <c r="Y434" t="s">
        <v>1582</v>
      </c>
      <c r="Z434" t="s">
        <v>1593</v>
      </c>
      <c r="AA434" t="s">
        <v>1598</v>
      </c>
      <c r="AB434" t="s">
        <v>1601</v>
      </c>
      <c r="AC434" t="s">
        <v>1610</v>
      </c>
      <c r="AD434" t="s">
        <v>1606</v>
      </c>
      <c r="AE434" t="s">
        <v>1617</v>
      </c>
      <c r="AF434" t="s">
        <v>1627</v>
      </c>
    </row>
    <row r="435" spans="1:32" x14ac:dyDescent="0.25">
      <c r="A435" t="s">
        <v>492</v>
      </c>
      <c r="B435">
        <v>46</v>
      </c>
      <c r="C435">
        <v>1125</v>
      </c>
      <c r="D435">
        <v>10</v>
      </c>
      <c r="E435">
        <v>94</v>
      </c>
      <c r="F435">
        <v>9071</v>
      </c>
      <c r="G435">
        <v>11563</v>
      </c>
      <c r="H435">
        <v>2</v>
      </c>
      <c r="I435">
        <v>19</v>
      </c>
      <c r="J435">
        <v>15</v>
      </c>
      <c r="K435">
        <v>3</v>
      </c>
      <c r="L435">
        <v>3</v>
      </c>
      <c r="M435">
        <v>2</v>
      </c>
      <c r="N435">
        <v>1</v>
      </c>
      <c r="O435">
        <v>2</v>
      </c>
      <c r="P435" t="s">
        <v>1556</v>
      </c>
      <c r="Q435" t="s">
        <v>1552</v>
      </c>
      <c r="R435" t="s">
        <v>1549</v>
      </c>
      <c r="S435" t="s">
        <v>1534</v>
      </c>
      <c r="T435" t="s">
        <v>1541</v>
      </c>
      <c r="U435" t="s">
        <v>1547</v>
      </c>
      <c r="V435" t="s">
        <v>1558</v>
      </c>
      <c r="W435" t="s">
        <v>1562</v>
      </c>
      <c r="X435" t="s">
        <v>1577</v>
      </c>
      <c r="Y435" t="s">
        <v>1581</v>
      </c>
      <c r="Z435" t="s">
        <v>1594</v>
      </c>
      <c r="AA435" t="s">
        <v>1597</v>
      </c>
      <c r="AB435" t="s">
        <v>1600</v>
      </c>
      <c r="AC435" t="s">
        <v>1610</v>
      </c>
      <c r="AD435" t="s">
        <v>1606</v>
      </c>
      <c r="AE435" t="s">
        <v>1617</v>
      </c>
      <c r="AF435" t="s">
        <v>1627</v>
      </c>
    </row>
    <row r="436" spans="1:32" x14ac:dyDescent="0.25">
      <c r="A436" t="s">
        <v>493</v>
      </c>
      <c r="B436">
        <v>31</v>
      </c>
      <c r="C436">
        <v>1274</v>
      </c>
      <c r="D436">
        <v>9</v>
      </c>
      <c r="E436">
        <v>33</v>
      </c>
      <c r="F436">
        <v>10648</v>
      </c>
      <c r="G436">
        <v>14394</v>
      </c>
      <c r="H436">
        <v>1</v>
      </c>
      <c r="I436">
        <v>25</v>
      </c>
      <c r="J436">
        <v>13</v>
      </c>
      <c r="K436">
        <v>6</v>
      </c>
      <c r="L436">
        <v>13</v>
      </c>
      <c r="M436">
        <v>8</v>
      </c>
      <c r="N436">
        <v>0</v>
      </c>
      <c r="O436">
        <v>8</v>
      </c>
      <c r="P436" t="s">
        <v>1556</v>
      </c>
      <c r="Q436" t="s">
        <v>1552</v>
      </c>
      <c r="R436" t="s">
        <v>1550</v>
      </c>
      <c r="S436" t="s">
        <v>1532</v>
      </c>
      <c r="T436" t="s">
        <v>1538</v>
      </c>
      <c r="U436" t="s">
        <v>1547</v>
      </c>
      <c r="V436" t="s">
        <v>1559</v>
      </c>
      <c r="W436" t="s">
        <v>1563</v>
      </c>
      <c r="X436" t="s">
        <v>1577</v>
      </c>
      <c r="Y436" t="s">
        <v>1584</v>
      </c>
      <c r="Z436" t="s">
        <v>1592</v>
      </c>
      <c r="AA436" t="s">
        <v>1598</v>
      </c>
      <c r="AB436" t="s">
        <v>1601</v>
      </c>
      <c r="AC436" t="s">
        <v>1611</v>
      </c>
      <c r="AD436" t="s">
        <v>1607</v>
      </c>
      <c r="AE436" t="s">
        <v>1617</v>
      </c>
      <c r="AF436" t="s">
        <v>1628</v>
      </c>
    </row>
    <row r="437" spans="1:32" x14ac:dyDescent="0.25">
      <c r="A437" t="s">
        <v>494</v>
      </c>
      <c r="B437">
        <v>33</v>
      </c>
      <c r="C437">
        <v>1277</v>
      </c>
      <c r="D437">
        <v>15</v>
      </c>
      <c r="E437">
        <v>56</v>
      </c>
      <c r="F437">
        <v>13610</v>
      </c>
      <c r="G437">
        <v>24619</v>
      </c>
      <c r="H437">
        <v>7</v>
      </c>
      <c r="I437">
        <v>12</v>
      </c>
      <c r="J437">
        <v>15</v>
      </c>
      <c r="K437">
        <v>2</v>
      </c>
      <c r="L437">
        <v>7</v>
      </c>
      <c r="M437">
        <v>6</v>
      </c>
      <c r="N437">
        <v>7</v>
      </c>
      <c r="O437">
        <v>7</v>
      </c>
      <c r="P437" t="s">
        <v>1555</v>
      </c>
      <c r="Q437" t="s">
        <v>1552</v>
      </c>
      <c r="R437" t="s">
        <v>1550</v>
      </c>
      <c r="S437" t="s">
        <v>1532</v>
      </c>
      <c r="T437" t="s">
        <v>1540</v>
      </c>
      <c r="U437" t="s">
        <v>1546</v>
      </c>
      <c r="V437" t="s">
        <v>1559</v>
      </c>
      <c r="W437" t="s">
        <v>1563</v>
      </c>
      <c r="X437" t="s">
        <v>1577</v>
      </c>
      <c r="Y437" t="s">
        <v>1586</v>
      </c>
      <c r="Z437" t="s">
        <v>1593</v>
      </c>
      <c r="AA437" t="s">
        <v>1597</v>
      </c>
      <c r="AB437" t="s">
        <v>1600</v>
      </c>
      <c r="AC437" t="s">
        <v>1610</v>
      </c>
      <c r="AD437" t="s">
        <v>1607</v>
      </c>
      <c r="AE437" t="s">
        <v>1616</v>
      </c>
      <c r="AF437" t="s">
        <v>1628</v>
      </c>
    </row>
    <row r="438" spans="1:32" x14ac:dyDescent="0.25">
      <c r="A438" t="s">
        <v>495</v>
      </c>
      <c r="B438">
        <v>33</v>
      </c>
      <c r="C438">
        <v>587</v>
      </c>
      <c r="D438">
        <v>10</v>
      </c>
      <c r="E438">
        <v>38</v>
      </c>
      <c r="F438">
        <v>3408</v>
      </c>
      <c r="G438">
        <v>6705</v>
      </c>
      <c r="H438">
        <v>7</v>
      </c>
      <c r="I438">
        <v>13</v>
      </c>
      <c r="J438">
        <v>8</v>
      </c>
      <c r="K438">
        <v>2</v>
      </c>
      <c r="L438">
        <v>4</v>
      </c>
      <c r="M438">
        <v>3</v>
      </c>
      <c r="N438">
        <v>1</v>
      </c>
      <c r="O438">
        <v>3</v>
      </c>
      <c r="P438" t="s">
        <v>1555</v>
      </c>
      <c r="Q438" t="s">
        <v>1552</v>
      </c>
      <c r="R438" t="s">
        <v>1550</v>
      </c>
      <c r="S438" t="s">
        <v>1532</v>
      </c>
      <c r="T438" t="s">
        <v>1540</v>
      </c>
      <c r="U438" t="s">
        <v>1545</v>
      </c>
      <c r="V438" t="s">
        <v>1559</v>
      </c>
      <c r="W438" t="s">
        <v>1561</v>
      </c>
      <c r="X438" t="s">
        <v>1575</v>
      </c>
      <c r="Y438" t="s">
        <v>1583</v>
      </c>
      <c r="Z438" t="s">
        <v>1594</v>
      </c>
      <c r="AA438" t="s">
        <v>1598</v>
      </c>
      <c r="AB438" t="s">
        <v>1601</v>
      </c>
      <c r="AC438" t="s">
        <v>1610</v>
      </c>
      <c r="AD438" t="s">
        <v>1604</v>
      </c>
      <c r="AE438" t="s">
        <v>1619</v>
      </c>
      <c r="AF438" t="s">
        <v>1627</v>
      </c>
    </row>
    <row r="439" spans="1:32" x14ac:dyDescent="0.25">
      <c r="A439" t="s">
        <v>496</v>
      </c>
      <c r="B439">
        <v>30</v>
      </c>
      <c r="C439">
        <v>413</v>
      </c>
      <c r="D439">
        <v>7</v>
      </c>
      <c r="E439">
        <v>57</v>
      </c>
      <c r="F439">
        <v>2983</v>
      </c>
      <c r="G439">
        <v>18398</v>
      </c>
      <c r="H439">
        <v>0</v>
      </c>
      <c r="I439">
        <v>14</v>
      </c>
      <c r="J439">
        <v>4</v>
      </c>
      <c r="K439">
        <v>3</v>
      </c>
      <c r="L439">
        <v>3</v>
      </c>
      <c r="M439">
        <v>2</v>
      </c>
      <c r="N439">
        <v>1</v>
      </c>
      <c r="O439">
        <v>2</v>
      </c>
      <c r="P439" t="s">
        <v>1556</v>
      </c>
      <c r="Q439" t="s">
        <v>1552</v>
      </c>
      <c r="R439" t="s">
        <v>1549</v>
      </c>
      <c r="S439" t="s">
        <v>1532</v>
      </c>
      <c r="T439" t="s">
        <v>1541</v>
      </c>
      <c r="U439" t="s">
        <v>1548</v>
      </c>
      <c r="V439" t="s">
        <v>1559</v>
      </c>
      <c r="W439" t="s">
        <v>1563</v>
      </c>
      <c r="X439" t="s">
        <v>1575</v>
      </c>
      <c r="Y439" t="s">
        <v>1587</v>
      </c>
      <c r="Z439" t="s">
        <v>1592</v>
      </c>
      <c r="AA439" t="s">
        <v>1596</v>
      </c>
      <c r="AB439" t="s">
        <v>1601</v>
      </c>
      <c r="AC439" t="s">
        <v>1610</v>
      </c>
      <c r="AD439" t="s">
        <v>1604</v>
      </c>
      <c r="AE439" t="s">
        <v>1616</v>
      </c>
      <c r="AF439" t="s">
        <v>1627</v>
      </c>
    </row>
    <row r="440" spans="1:32" x14ac:dyDescent="0.25">
      <c r="A440" t="s">
        <v>497</v>
      </c>
      <c r="B440">
        <v>35</v>
      </c>
      <c r="C440">
        <v>1276</v>
      </c>
      <c r="D440">
        <v>16</v>
      </c>
      <c r="E440">
        <v>72</v>
      </c>
      <c r="F440">
        <v>7632</v>
      </c>
      <c r="G440">
        <v>14295</v>
      </c>
      <c r="H440">
        <v>4</v>
      </c>
      <c r="I440">
        <v>12</v>
      </c>
      <c r="J440">
        <v>10</v>
      </c>
      <c r="K440">
        <v>2</v>
      </c>
      <c r="L440">
        <v>8</v>
      </c>
      <c r="M440">
        <v>7</v>
      </c>
      <c r="N440">
        <v>0</v>
      </c>
      <c r="O440">
        <v>0</v>
      </c>
      <c r="P440" t="s">
        <v>1556</v>
      </c>
      <c r="Q440" t="s">
        <v>1552</v>
      </c>
      <c r="R440" t="s">
        <v>1550</v>
      </c>
      <c r="S440" t="s">
        <v>1534</v>
      </c>
      <c r="T440" t="s">
        <v>1538</v>
      </c>
      <c r="U440" t="s">
        <v>1548</v>
      </c>
      <c r="V440" t="s">
        <v>1559</v>
      </c>
      <c r="W440" t="s">
        <v>1563</v>
      </c>
      <c r="X440" t="s">
        <v>1577</v>
      </c>
      <c r="Y440" t="s">
        <v>1585</v>
      </c>
      <c r="Z440" t="s">
        <v>1593</v>
      </c>
      <c r="AA440" t="s">
        <v>1597</v>
      </c>
      <c r="AB440" t="s">
        <v>1600</v>
      </c>
      <c r="AC440" t="s">
        <v>1610</v>
      </c>
      <c r="AD440" t="s">
        <v>1606</v>
      </c>
      <c r="AE440" t="s">
        <v>1616</v>
      </c>
      <c r="AF440" t="s">
        <v>1627</v>
      </c>
    </row>
    <row r="441" spans="1:32" x14ac:dyDescent="0.25">
      <c r="A441" t="s">
        <v>498</v>
      </c>
      <c r="B441">
        <v>31</v>
      </c>
      <c r="C441">
        <v>534</v>
      </c>
      <c r="D441">
        <v>20</v>
      </c>
      <c r="E441">
        <v>66</v>
      </c>
      <c r="F441">
        <v>9824</v>
      </c>
      <c r="G441">
        <v>22908</v>
      </c>
      <c r="H441">
        <v>3</v>
      </c>
      <c r="I441">
        <v>12</v>
      </c>
      <c r="J441">
        <v>12</v>
      </c>
      <c r="K441">
        <v>2</v>
      </c>
      <c r="L441">
        <v>1</v>
      </c>
      <c r="M441">
        <v>0</v>
      </c>
      <c r="N441">
        <v>0</v>
      </c>
      <c r="O441">
        <v>0</v>
      </c>
      <c r="P441" t="s">
        <v>1555</v>
      </c>
      <c r="Q441" t="s">
        <v>1553</v>
      </c>
      <c r="R441" t="s">
        <v>1550</v>
      </c>
      <c r="S441" t="s">
        <v>1534</v>
      </c>
      <c r="T441" t="s">
        <v>1538</v>
      </c>
      <c r="U441" t="s">
        <v>1545</v>
      </c>
      <c r="V441" t="s">
        <v>1559</v>
      </c>
      <c r="W441" t="s">
        <v>1563</v>
      </c>
      <c r="X441" t="s">
        <v>1577</v>
      </c>
      <c r="Y441" t="s">
        <v>1585</v>
      </c>
      <c r="Z441" t="s">
        <v>1593</v>
      </c>
      <c r="AA441" t="s">
        <v>1597</v>
      </c>
      <c r="AB441" t="s">
        <v>1601</v>
      </c>
      <c r="AC441" t="s">
        <v>1610</v>
      </c>
      <c r="AD441" t="s">
        <v>1604</v>
      </c>
      <c r="AE441" t="s">
        <v>1616</v>
      </c>
      <c r="AF441" t="s">
        <v>1627</v>
      </c>
    </row>
    <row r="442" spans="1:32" x14ac:dyDescent="0.25">
      <c r="A442" t="s">
        <v>499</v>
      </c>
      <c r="B442">
        <v>34</v>
      </c>
      <c r="C442">
        <v>988</v>
      </c>
      <c r="D442">
        <v>23</v>
      </c>
      <c r="E442">
        <v>43</v>
      </c>
      <c r="F442">
        <v>9950</v>
      </c>
      <c r="G442">
        <v>11533</v>
      </c>
      <c r="H442">
        <v>9</v>
      </c>
      <c r="I442">
        <v>15</v>
      </c>
      <c r="J442">
        <v>11</v>
      </c>
      <c r="K442">
        <v>2</v>
      </c>
      <c r="L442">
        <v>3</v>
      </c>
      <c r="M442">
        <v>2</v>
      </c>
      <c r="N442">
        <v>0</v>
      </c>
      <c r="O442">
        <v>2</v>
      </c>
      <c r="P442" t="s">
        <v>1555</v>
      </c>
      <c r="Q442" t="s">
        <v>1553</v>
      </c>
      <c r="R442" t="s">
        <v>1551</v>
      </c>
      <c r="S442" t="s">
        <v>1534</v>
      </c>
      <c r="T442" t="s">
        <v>1543</v>
      </c>
      <c r="U442" t="s">
        <v>1546</v>
      </c>
      <c r="V442" t="s">
        <v>1558</v>
      </c>
      <c r="W442" t="s">
        <v>1563</v>
      </c>
      <c r="X442" t="s">
        <v>1577</v>
      </c>
      <c r="Y442" t="s">
        <v>1589</v>
      </c>
      <c r="Z442" t="s">
        <v>1591</v>
      </c>
      <c r="AA442" t="s">
        <v>1598</v>
      </c>
      <c r="AB442" t="s">
        <v>1600</v>
      </c>
      <c r="AC442" t="s">
        <v>1610</v>
      </c>
      <c r="AD442" t="s">
        <v>1606</v>
      </c>
      <c r="AE442" t="s">
        <v>1619</v>
      </c>
      <c r="AF442" t="s">
        <v>1627</v>
      </c>
    </row>
    <row r="443" spans="1:32" x14ac:dyDescent="0.25">
      <c r="A443" t="s">
        <v>500</v>
      </c>
      <c r="B443">
        <v>42</v>
      </c>
      <c r="C443">
        <v>1474</v>
      </c>
      <c r="D443">
        <v>5</v>
      </c>
      <c r="E443">
        <v>97</v>
      </c>
      <c r="F443">
        <v>2093</v>
      </c>
      <c r="G443">
        <v>9260</v>
      </c>
      <c r="H443">
        <v>4</v>
      </c>
      <c r="I443">
        <v>17</v>
      </c>
      <c r="J443">
        <v>8</v>
      </c>
      <c r="K443">
        <v>4</v>
      </c>
      <c r="L443">
        <v>2</v>
      </c>
      <c r="M443">
        <v>2</v>
      </c>
      <c r="N443">
        <v>2</v>
      </c>
      <c r="O443">
        <v>0</v>
      </c>
      <c r="P443" t="s">
        <v>1556</v>
      </c>
      <c r="Q443" t="s">
        <v>1553</v>
      </c>
      <c r="R443" t="s">
        <v>1550</v>
      </c>
      <c r="S443" t="s">
        <v>1533</v>
      </c>
      <c r="T443" t="s">
        <v>1539</v>
      </c>
      <c r="U443" t="s">
        <v>1546</v>
      </c>
      <c r="V443" t="s">
        <v>1559</v>
      </c>
      <c r="W443" t="s">
        <v>1563</v>
      </c>
      <c r="X443" t="s">
        <v>1575</v>
      </c>
      <c r="Y443" t="s">
        <v>1583</v>
      </c>
      <c r="Z443" t="s">
        <v>1593</v>
      </c>
      <c r="AA443" t="s">
        <v>1597</v>
      </c>
      <c r="AB443" t="s">
        <v>1601</v>
      </c>
      <c r="AC443" t="s">
        <v>1610</v>
      </c>
      <c r="AD443" t="s">
        <v>1607</v>
      </c>
      <c r="AE443" t="s">
        <v>1617</v>
      </c>
      <c r="AF443" t="s">
        <v>1627</v>
      </c>
    </row>
    <row r="444" spans="1:32" x14ac:dyDescent="0.25">
      <c r="A444" t="s">
        <v>501</v>
      </c>
      <c r="B444">
        <v>36</v>
      </c>
      <c r="C444">
        <v>635</v>
      </c>
      <c r="D444">
        <v>10</v>
      </c>
      <c r="E444">
        <v>32</v>
      </c>
      <c r="F444">
        <v>9980</v>
      </c>
      <c r="G444">
        <v>15318</v>
      </c>
      <c r="H444">
        <v>1</v>
      </c>
      <c r="I444">
        <v>14</v>
      </c>
      <c r="J444">
        <v>10</v>
      </c>
      <c r="K444">
        <v>3</v>
      </c>
      <c r="L444">
        <v>10</v>
      </c>
      <c r="M444">
        <v>3</v>
      </c>
      <c r="N444">
        <v>9</v>
      </c>
      <c r="O444">
        <v>7</v>
      </c>
      <c r="P444" t="s">
        <v>1556</v>
      </c>
      <c r="Q444" t="s">
        <v>1554</v>
      </c>
      <c r="R444" t="s">
        <v>1549</v>
      </c>
      <c r="S444" t="s">
        <v>1535</v>
      </c>
      <c r="T444" t="s">
        <v>1540</v>
      </c>
      <c r="U444" t="s">
        <v>1546</v>
      </c>
      <c r="V444" t="s">
        <v>1559</v>
      </c>
      <c r="W444" t="s">
        <v>1563</v>
      </c>
      <c r="X444" t="s">
        <v>1577</v>
      </c>
      <c r="Y444" t="s">
        <v>1581</v>
      </c>
      <c r="Z444" t="s">
        <v>1594</v>
      </c>
      <c r="AA444" t="s">
        <v>1596</v>
      </c>
      <c r="AB444" t="s">
        <v>1601</v>
      </c>
      <c r="AC444" t="s">
        <v>1610</v>
      </c>
      <c r="AD444" t="s">
        <v>1607</v>
      </c>
      <c r="AE444" t="s">
        <v>1616</v>
      </c>
      <c r="AF444" t="s">
        <v>1626</v>
      </c>
    </row>
    <row r="445" spans="1:32" x14ac:dyDescent="0.25">
      <c r="A445" t="s">
        <v>502</v>
      </c>
      <c r="B445">
        <v>22</v>
      </c>
      <c r="C445">
        <v>1368</v>
      </c>
      <c r="D445">
        <v>4</v>
      </c>
      <c r="E445">
        <v>99</v>
      </c>
      <c r="F445">
        <v>3894</v>
      </c>
      <c r="G445">
        <v>9129</v>
      </c>
      <c r="H445">
        <v>5</v>
      </c>
      <c r="I445">
        <v>16</v>
      </c>
      <c r="J445">
        <v>4</v>
      </c>
      <c r="K445">
        <v>3</v>
      </c>
      <c r="L445">
        <v>2</v>
      </c>
      <c r="M445">
        <v>2</v>
      </c>
      <c r="N445">
        <v>1</v>
      </c>
      <c r="O445">
        <v>2</v>
      </c>
      <c r="P445" t="s">
        <v>1555</v>
      </c>
      <c r="Q445" t="s">
        <v>1553</v>
      </c>
      <c r="R445" t="s">
        <v>1550</v>
      </c>
      <c r="S445" t="s">
        <v>1532</v>
      </c>
      <c r="T445" t="s">
        <v>1542</v>
      </c>
      <c r="U445" t="s">
        <v>1547</v>
      </c>
      <c r="V445" t="s">
        <v>1559</v>
      </c>
      <c r="W445" t="s">
        <v>1562</v>
      </c>
      <c r="X445" t="s">
        <v>1575</v>
      </c>
      <c r="Y445" t="s">
        <v>1583</v>
      </c>
      <c r="Z445" t="s">
        <v>1593</v>
      </c>
      <c r="AA445" t="s">
        <v>1596</v>
      </c>
      <c r="AB445" t="s">
        <v>1601</v>
      </c>
      <c r="AC445" t="s">
        <v>1610</v>
      </c>
      <c r="AD445" t="s">
        <v>1606</v>
      </c>
      <c r="AE445" t="s">
        <v>1616</v>
      </c>
      <c r="AF445" t="s">
        <v>1627</v>
      </c>
    </row>
    <row r="446" spans="1:32" x14ac:dyDescent="0.25">
      <c r="A446" t="s">
        <v>503</v>
      </c>
      <c r="B446">
        <v>48</v>
      </c>
      <c r="C446">
        <v>163</v>
      </c>
      <c r="D446">
        <v>2</v>
      </c>
      <c r="E446">
        <v>37</v>
      </c>
      <c r="F446">
        <v>4051</v>
      </c>
      <c r="G446">
        <v>19658</v>
      </c>
      <c r="H446">
        <v>2</v>
      </c>
      <c r="I446">
        <v>14</v>
      </c>
      <c r="J446">
        <v>14</v>
      </c>
      <c r="K446">
        <v>2</v>
      </c>
      <c r="L446">
        <v>9</v>
      </c>
      <c r="M446">
        <v>7</v>
      </c>
      <c r="N446">
        <v>6</v>
      </c>
      <c r="O446">
        <v>7</v>
      </c>
      <c r="P446" t="s">
        <v>1556</v>
      </c>
      <c r="Q446" t="s">
        <v>1552</v>
      </c>
      <c r="R446" t="s">
        <v>1549</v>
      </c>
      <c r="S446" t="s">
        <v>1536</v>
      </c>
      <c r="T446" t="s">
        <v>1541</v>
      </c>
      <c r="U446" t="s">
        <v>1546</v>
      </c>
      <c r="V446" t="s">
        <v>1558</v>
      </c>
      <c r="W446" t="s">
        <v>1563</v>
      </c>
      <c r="X446" t="s">
        <v>1576</v>
      </c>
      <c r="Y446" t="s">
        <v>1581</v>
      </c>
      <c r="Z446" t="s">
        <v>1594</v>
      </c>
      <c r="AA446" t="s">
        <v>1597</v>
      </c>
      <c r="AB446" t="s">
        <v>1601</v>
      </c>
      <c r="AC446" t="s">
        <v>1610</v>
      </c>
      <c r="AD446" t="s">
        <v>1604</v>
      </c>
      <c r="AE446" t="s">
        <v>1617</v>
      </c>
      <c r="AF446" t="s">
        <v>1627</v>
      </c>
    </row>
    <row r="447" spans="1:32" x14ac:dyDescent="0.25">
      <c r="A447" t="s">
        <v>504</v>
      </c>
      <c r="B447">
        <v>55</v>
      </c>
      <c r="C447">
        <v>1117</v>
      </c>
      <c r="D447">
        <v>18</v>
      </c>
      <c r="E447">
        <v>83</v>
      </c>
      <c r="F447">
        <v>16835</v>
      </c>
      <c r="G447">
        <v>9873</v>
      </c>
      <c r="H447">
        <v>3</v>
      </c>
      <c r="I447">
        <v>23</v>
      </c>
      <c r="J447">
        <v>37</v>
      </c>
      <c r="K447">
        <v>2</v>
      </c>
      <c r="L447">
        <v>10</v>
      </c>
      <c r="M447">
        <v>9</v>
      </c>
      <c r="N447">
        <v>7</v>
      </c>
      <c r="O447">
        <v>7</v>
      </c>
      <c r="P447" t="s">
        <v>1556</v>
      </c>
      <c r="Q447" t="s">
        <v>1552</v>
      </c>
      <c r="R447" t="s">
        <v>1549</v>
      </c>
      <c r="S447" t="s">
        <v>1536</v>
      </c>
      <c r="T447" t="s">
        <v>1538</v>
      </c>
      <c r="U447" t="s">
        <v>1545</v>
      </c>
      <c r="V447" t="s">
        <v>1558</v>
      </c>
      <c r="W447" t="s">
        <v>1563</v>
      </c>
      <c r="X447" t="s">
        <v>1578</v>
      </c>
      <c r="Y447" t="s">
        <v>1586</v>
      </c>
      <c r="Z447" t="s">
        <v>1592</v>
      </c>
      <c r="AA447" t="s">
        <v>1596</v>
      </c>
      <c r="AB447" t="s">
        <v>1601</v>
      </c>
      <c r="AC447" t="s">
        <v>1611</v>
      </c>
      <c r="AD447" t="s">
        <v>1607</v>
      </c>
      <c r="AE447" t="s">
        <v>1616</v>
      </c>
      <c r="AF447" t="s">
        <v>1627</v>
      </c>
    </row>
    <row r="448" spans="1:32" x14ac:dyDescent="0.25">
      <c r="A448" t="s">
        <v>505</v>
      </c>
      <c r="B448">
        <v>41</v>
      </c>
      <c r="C448">
        <v>267</v>
      </c>
      <c r="D448">
        <v>10</v>
      </c>
      <c r="E448">
        <v>56</v>
      </c>
      <c r="F448">
        <v>6230</v>
      </c>
      <c r="G448">
        <v>13430</v>
      </c>
      <c r="H448">
        <v>7</v>
      </c>
      <c r="I448">
        <v>14</v>
      </c>
      <c r="J448">
        <v>16</v>
      </c>
      <c r="K448">
        <v>3</v>
      </c>
      <c r="L448">
        <v>14</v>
      </c>
      <c r="M448">
        <v>3</v>
      </c>
      <c r="N448">
        <v>1</v>
      </c>
      <c r="O448">
        <v>10</v>
      </c>
      <c r="P448" t="s">
        <v>1556</v>
      </c>
      <c r="Q448" t="s">
        <v>1554</v>
      </c>
      <c r="R448" t="s">
        <v>1549</v>
      </c>
      <c r="S448" t="s">
        <v>1533</v>
      </c>
      <c r="T448" t="s">
        <v>1538</v>
      </c>
      <c r="U448" t="s">
        <v>1548</v>
      </c>
      <c r="V448" t="s">
        <v>1559</v>
      </c>
      <c r="W448" t="s">
        <v>1563</v>
      </c>
      <c r="X448" t="s">
        <v>1576</v>
      </c>
      <c r="Y448" t="s">
        <v>1581</v>
      </c>
      <c r="Z448" t="s">
        <v>1594</v>
      </c>
      <c r="AA448" t="s">
        <v>1596</v>
      </c>
      <c r="AB448" t="s">
        <v>1601</v>
      </c>
      <c r="AC448" t="s">
        <v>1610</v>
      </c>
      <c r="AD448" t="s">
        <v>1607</v>
      </c>
      <c r="AE448" t="s">
        <v>1616</v>
      </c>
      <c r="AF448" t="s">
        <v>1627</v>
      </c>
    </row>
    <row r="449" spans="1:32" x14ac:dyDescent="0.25">
      <c r="A449" t="s">
        <v>506</v>
      </c>
      <c r="B449">
        <v>35</v>
      </c>
      <c r="C449">
        <v>619</v>
      </c>
      <c r="D449">
        <v>1</v>
      </c>
      <c r="E449">
        <v>85</v>
      </c>
      <c r="F449">
        <v>4717</v>
      </c>
      <c r="G449">
        <v>18659</v>
      </c>
      <c r="H449">
        <v>9</v>
      </c>
      <c r="I449">
        <v>11</v>
      </c>
      <c r="J449">
        <v>15</v>
      </c>
      <c r="K449">
        <v>2</v>
      </c>
      <c r="L449">
        <v>11</v>
      </c>
      <c r="M449">
        <v>9</v>
      </c>
      <c r="N449">
        <v>6</v>
      </c>
      <c r="O449">
        <v>9</v>
      </c>
      <c r="P449" t="s">
        <v>1556</v>
      </c>
      <c r="Q449" t="s">
        <v>1552</v>
      </c>
      <c r="R449" t="s">
        <v>1549</v>
      </c>
      <c r="S449" t="s">
        <v>1534</v>
      </c>
      <c r="T449" t="s">
        <v>1541</v>
      </c>
      <c r="U449" t="s">
        <v>1546</v>
      </c>
      <c r="V449" t="s">
        <v>1559</v>
      </c>
      <c r="W449" t="s">
        <v>1563</v>
      </c>
      <c r="X449" t="s">
        <v>1576</v>
      </c>
      <c r="Y449" t="s">
        <v>1581</v>
      </c>
      <c r="Z449" t="s">
        <v>1593</v>
      </c>
      <c r="AA449" t="s">
        <v>1597</v>
      </c>
      <c r="AB449" t="s">
        <v>1601</v>
      </c>
      <c r="AC449" t="s">
        <v>1610</v>
      </c>
      <c r="AD449" t="s">
        <v>1606</v>
      </c>
      <c r="AE449" t="s">
        <v>1616</v>
      </c>
      <c r="AF449" t="s">
        <v>1627</v>
      </c>
    </row>
    <row r="450" spans="1:32" x14ac:dyDescent="0.25">
      <c r="A450" t="s">
        <v>507</v>
      </c>
      <c r="B450">
        <v>40</v>
      </c>
      <c r="C450">
        <v>302</v>
      </c>
      <c r="D450">
        <v>6</v>
      </c>
      <c r="E450">
        <v>75</v>
      </c>
      <c r="F450">
        <v>13237</v>
      </c>
      <c r="G450">
        <v>20364</v>
      </c>
      <c r="H450">
        <v>7</v>
      </c>
      <c r="I450">
        <v>15</v>
      </c>
      <c r="J450">
        <v>22</v>
      </c>
      <c r="K450">
        <v>3</v>
      </c>
      <c r="L450">
        <v>20</v>
      </c>
      <c r="M450">
        <v>6</v>
      </c>
      <c r="N450">
        <v>5</v>
      </c>
      <c r="O450">
        <v>13</v>
      </c>
      <c r="P450" t="s">
        <v>1556</v>
      </c>
      <c r="Q450" t="s">
        <v>1552</v>
      </c>
      <c r="R450" t="s">
        <v>1550</v>
      </c>
      <c r="S450" t="s">
        <v>1534</v>
      </c>
      <c r="T450" t="s">
        <v>1538</v>
      </c>
      <c r="U450" t="s">
        <v>1546</v>
      </c>
      <c r="V450" t="s">
        <v>1558</v>
      </c>
      <c r="W450" t="s">
        <v>1563</v>
      </c>
      <c r="X450" t="s">
        <v>1578</v>
      </c>
      <c r="Y450" t="s">
        <v>1584</v>
      </c>
      <c r="Z450" t="s">
        <v>1593</v>
      </c>
      <c r="AA450" t="s">
        <v>1596</v>
      </c>
      <c r="AB450" t="s">
        <v>1601</v>
      </c>
      <c r="AC450" t="s">
        <v>1610</v>
      </c>
      <c r="AD450" t="s">
        <v>1606</v>
      </c>
      <c r="AE450" t="s">
        <v>1616</v>
      </c>
      <c r="AF450" t="s">
        <v>1627</v>
      </c>
    </row>
    <row r="451" spans="1:32" x14ac:dyDescent="0.25">
      <c r="A451" t="s">
        <v>508</v>
      </c>
      <c r="B451">
        <v>39</v>
      </c>
      <c r="C451">
        <v>443</v>
      </c>
      <c r="D451">
        <v>8</v>
      </c>
      <c r="E451">
        <v>48</v>
      </c>
      <c r="F451">
        <v>3755</v>
      </c>
      <c r="G451">
        <v>17872</v>
      </c>
      <c r="H451">
        <v>1</v>
      </c>
      <c r="I451">
        <v>11</v>
      </c>
      <c r="J451">
        <v>8</v>
      </c>
      <c r="K451">
        <v>3</v>
      </c>
      <c r="L451">
        <v>8</v>
      </c>
      <c r="M451">
        <v>3</v>
      </c>
      <c r="N451">
        <v>0</v>
      </c>
      <c r="O451">
        <v>7</v>
      </c>
      <c r="P451" t="s">
        <v>1556</v>
      </c>
      <c r="Q451" t="s">
        <v>1553</v>
      </c>
      <c r="R451" t="s">
        <v>1550</v>
      </c>
      <c r="S451" t="s">
        <v>1532</v>
      </c>
      <c r="T451" t="s">
        <v>1538</v>
      </c>
      <c r="U451" t="s">
        <v>1547</v>
      </c>
      <c r="V451" t="s">
        <v>1558</v>
      </c>
      <c r="W451" t="s">
        <v>1563</v>
      </c>
      <c r="X451" t="s">
        <v>1575</v>
      </c>
      <c r="Y451" t="s">
        <v>1583</v>
      </c>
      <c r="Z451" t="s">
        <v>1593</v>
      </c>
      <c r="AA451" t="s">
        <v>1597</v>
      </c>
      <c r="AB451" t="s">
        <v>1601</v>
      </c>
      <c r="AC451" t="s">
        <v>1610</v>
      </c>
      <c r="AD451" t="s">
        <v>1604</v>
      </c>
      <c r="AE451" t="s">
        <v>1617</v>
      </c>
      <c r="AF451" t="s">
        <v>1627</v>
      </c>
    </row>
    <row r="452" spans="1:32" x14ac:dyDescent="0.25">
      <c r="A452" t="s">
        <v>509</v>
      </c>
      <c r="B452">
        <v>31</v>
      </c>
      <c r="C452">
        <v>828</v>
      </c>
      <c r="D452">
        <v>2</v>
      </c>
      <c r="E452">
        <v>77</v>
      </c>
      <c r="F452">
        <v>6582</v>
      </c>
      <c r="G452">
        <v>8346</v>
      </c>
      <c r="H452">
        <v>4</v>
      </c>
      <c r="I452">
        <v>13</v>
      </c>
      <c r="J452">
        <v>10</v>
      </c>
      <c r="K452">
        <v>2</v>
      </c>
      <c r="L452">
        <v>6</v>
      </c>
      <c r="M452">
        <v>5</v>
      </c>
      <c r="N452">
        <v>0</v>
      </c>
      <c r="O452">
        <v>5</v>
      </c>
      <c r="P452" t="s">
        <v>1556</v>
      </c>
      <c r="Q452" t="s">
        <v>1552</v>
      </c>
      <c r="R452" t="s">
        <v>1549</v>
      </c>
      <c r="S452" t="s">
        <v>1532</v>
      </c>
      <c r="T452" t="s">
        <v>1538</v>
      </c>
      <c r="U452" t="s">
        <v>1546</v>
      </c>
      <c r="V452" t="s">
        <v>1559</v>
      </c>
      <c r="W452" t="s">
        <v>1563</v>
      </c>
      <c r="X452" t="s">
        <v>1576</v>
      </c>
      <c r="Y452" t="s">
        <v>1581</v>
      </c>
      <c r="Z452" t="s">
        <v>1594</v>
      </c>
      <c r="AA452" t="s">
        <v>1596</v>
      </c>
      <c r="AB452" t="s">
        <v>1600</v>
      </c>
      <c r="AC452" t="s">
        <v>1610</v>
      </c>
      <c r="AD452" t="s">
        <v>1606</v>
      </c>
      <c r="AE452" t="s">
        <v>1616</v>
      </c>
      <c r="AF452" t="s">
        <v>1628</v>
      </c>
    </row>
    <row r="453" spans="1:32" x14ac:dyDescent="0.25">
      <c r="A453" t="s">
        <v>510</v>
      </c>
      <c r="B453">
        <v>42</v>
      </c>
      <c r="C453">
        <v>319</v>
      </c>
      <c r="D453">
        <v>24</v>
      </c>
      <c r="E453">
        <v>56</v>
      </c>
      <c r="F453">
        <v>7406</v>
      </c>
      <c r="G453">
        <v>6950</v>
      </c>
      <c r="H453">
        <v>1</v>
      </c>
      <c r="I453">
        <v>21</v>
      </c>
      <c r="J453">
        <v>10</v>
      </c>
      <c r="K453">
        <v>5</v>
      </c>
      <c r="L453">
        <v>10</v>
      </c>
      <c r="M453">
        <v>9</v>
      </c>
      <c r="N453">
        <v>5</v>
      </c>
      <c r="O453">
        <v>8</v>
      </c>
      <c r="P453" t="s">
        <v>1556</v>
      </c>
      <c r="Q453" t="s">
        <v>1552</v>
      </c>
      <c r="R453" t="s">
        <v>1550</v>
      </c>
      <c r="S453" t="s">
        <v>1534</v>
      </c>
      <c r="T453" t="s">
        <v>1540</v>
      </c>
      <c r="U453" t="s">
        <v>1548</v>
      </c>
      <c r="V453" t="s">
        <v>1559</v>
      </c>
      <c r="W453" t="s">
        <v>1563</v>
      </c>
      <c r="X453" t="s">
        <v>1577</v>
      </c>
      <c r="Y453" t="s">
        <v>1584</v>
      </c>
      <c r="Z453" t="s">
        <v>1591</v>
      </c>
      <c r="AA453" t="s">
        <v>1597</v>
      </c>
      <c r="AB453" t="s">
        <v>1600</v>
      </c>
      <c r="AC453" t="s">
        <v>1611</v>
      </c>
      <c r="AD453" t="s">
        <v>1607</v>
      </c>
      <c r="AE453" t="s">
        <v>1617</v>
      </c>
      <c r="AF453" t="s">
        <v>1626</v>
      </c>
    </row>
    <row r="454" spans="1:32" x14ac:dyDescent="0.25">
      <c r="A454" t="s">
        <v>511</v>
      </c>
      <c r="B454">
        <v>45</v>
      </c>
      <c r="C454">
        <v>561</v>
      </c>
      <c r="D454">
        <v>2</v>
      </c>
      <c r="E454">
        <v>61</v>
      </c>
      <c r="F454">
        <v>4805</v>
      </c>
      <c r="G454">
        <v>16177</v>
      </c>
      <c r="H454">
        <v>0</v>
      </c>
      <c r="I454">
        <v>19</v>
      </c>
      <c r="J454">
        <v>9</v>
      </c>
      <c r="K454">
        <v>3</v>
      </c>
      <c r="L454">
        <v>8</v>
      </c>
      <c r="M454">
        <v>7</v>
      </c>
      <c r="N454">
        <v>3</v>
      </c>
      <c r="O454">
        <v>7</v>
      </c>
      <c r="P454" t="s">
        <v>1556</v>
      </c>
      <c r="Q454" t="s">
        <v>1552</v>
      </c>
      <c r="R454" t="s">
        <v>1549</v>
      </c>
      <c r="S454" t="s">
        <v>1534</v>
      </c>
      <c r="T454" t="s">
        <v>1539</v>
      </c>
      <c r="U454" t="s">
        <v>1548</v>
      </c>
      <c r="V454" t="s">
        <v>1559</v>
      </c>
      <c r="W454" t="s">
        <v>1563</v>
      </c>
      <c r="X454" t="s">
        <v>1576</v>
      </c>
      <c r="Y454" t="s">
        <v>1581</v>
      </c>
      <c r="Z454" t="s">
        <v>1592</v>
      </c>
      <c r="AA454" t="s">
        <v>1597</v>
      </c>
      <c r="AB454" t="s">
        <v>1601</v>
      </c>
      <c r="AC454" t="s">
        <v>1610</v>
      </c>
      <c r="AD454" t="s">
        <v>1605</v>
      </c>
      <c r="AE454" t="s">
        <v>1617</v>
      </c>
      <c r="AF454" t="s">
        <v>1628</v>
      </c>
    </row>
    <row r="455" spans="1:32" x14ac:dyDescent="0.25">
      <c r="A455" t="s">
        <v>512</v>
      </c>
      <c r="B455">
        <v>26</v>
      </c>
      <c r="C455">
        <v>426</v>
      </c>
      <c r="D455">
        <v>17</v>
      </c>
      <c r="E455">
        <v>58</v>
      </c>
      <c r="F455">
        <v>2741</v>
      </c>
      <c r="G455">
        <v>22808</v>
      </c>
      <c r="H455">
        <v>0</v>
      </c>
      <c r="I455">
        <v>11</v>
      </c>
      <c r="J455">
        <v>8</v>
      </c>
      <c r="K455">
        <v>2</v>
      </c>
      <c r="L455">
        <v>7</v>
      </c>
      <c r="M455">
        <v>7</v>
      </c>
      <c r="N455">
        <v>1</v>
      </c>
      <c r="O455">
        <v>0</v>
      </c>
      <c r="P455" t="s">
        <v>1555</v>
      </c>
      <c r="Q455" t="s">
        <v>1553</v>
      </c>
      <c r="R455" t="s">
        <v>1551</v>
      </c>
      <c r="S455" t="s">
        <v>1535</v>
      </c>
      <c r="T455" t="s">
        <v>1538</v>
      </c>
      <c r="U455" t="s">
        <v>1546</v>
      </c>
      <c r="V455" t="s">
        <v>1558</v>
      </c>
      <c r="W455" t="s">
        <v>1563</v>
      </c>
      <c r="X455" t="s">
        <v>1575</v>
      </c>
      <c r="Y455" t="s">
        <v>1589</v>
      </c>
      <c r="Z455" t="s">
        <v>1593</v>
      </c>
      <c r="AA455" t="s">
        <v>1598</v>
      </c>
      <c r="AB455" t="s">
        <v>1600</v>
      </c>
      <c r="AC455" t="s">
        <v>1610</v>
      </c>
      <c r="AD455" t="s">
        <v>1605</v>
      </c>
      <c r="AE455" t="s">
        <v>1617</v>
      </c>
      <c r="AF455" t="s">
        <v>1626</v>
      </c>
    </row>
    <row r="456" spans="1:32" x14ac:dyDescent="0.25">
      <c r="A456" t="s">
        <v>513</v>
      </c>
      <c r="B456">
        <v>29</v>
      </c>
      <c r="C456">
        <v>232</v>
      </c>
      <c r="D456">
        <v>19</v>
      </c>
      <c r="E456">
        <v>34</v>
      </c>
      <c r="F456">
        <v>4262</v>
      </c>
      <c r="G456">
        <v>22645</v>
      </c>
      <c r="H456">
        <v>4</v>
      </c>
      <c r="I456">
        <v>12</v>
      </c>
      <c r="J456">
        <v>8</v>
      </c>
      <c r="K456">
        <v>2</v>
      </c>
      <c r="L456">
        <v>3</v>
      </c>
      <c r="M456">
        <v>2</v>
      </c>
      <c r="N456">
        <v>1</v>
      </c>
      <c r="O456">
        <v>2</v>
      </c>
      <c r="P456" t="s">
        <v>1556</v>
      </c>
      <c r="Q456" t="s">
        <v>1552</v>
      </c>
      <c r="R456" t="s">
        <v>1550</v>
      </c>
      <c r="S456" t="s">
        <v>1534</v>
      </c>
      <c r="T456" t="s">
        <v>1542</v>
      </c>
      <c r="U456" t="s">
        <v>1548</v>
      </c>
      <c r="V456" t="s">
        <v>1559</v>
      </c>
      <c r="W456" t="s">
        <v>1563</v>
      </c>
      <c r="X456" t="s">
        <v>1576</v>
      </c>
      <c r="Y456" t="s">
        <v>1584</v>
      </c>
      <c r="Z456" t="s">
        <v>1594</v>
      </c>
      <c r="AA456" t="s">
        <v>1598</v>
      </c>
      <c r="AB456" t="s">
        <v>1601</v>
      </c>
      <c r="AC456" t="s">
        <v>1610</v>
      </c>
      <c r="AD456" t="s">
        <v>1605</v>
      </c>
      <c r="AE456" t="s">
        <v>1618</v>
      </c>
      <c r="AF456" t="s">
        <v>1628</v>
      </c>
    </row>
    <row r="457" spans="1:32" x14ac:dyDescent="0.25">
      <c r="A457" t="s">
        <v>514</v>
      </c>
      <c r="B457">
        <v>33</v>
      </c>
      <c r="C457">
        <v>922</v>
      </c>
      <c r="D457">
        <v>1</v>
      </c>
      <c r="E457">
        <v>95</v>
      </c>
      <c r="F457">
        <v>16184</v>
      </c>
      <c r="G457">
        <v>22578</v>
      </c>
      <c r="H457">
        <v>4</v>
      </c>
      <c r="I457">
        <v>19</v>
      </c>
      <c r="J457">
        <v>10</v>
      </c>
      <c r="K457">
        <v>2</v>
      </c>
      <c r="L457">
        <v>6</v>
      </c>
      <c r="M457">
        <v>1</v>
      </c>
      <c r="N457">
        <v>0</v>
      </c>
      <c r="O457">
        <v>5</v>
      </c>
      <c r="P457" t="s">
        <v>1556</v>
      </c>
      <c r="Q457" t="s">
        <v>1552</v>
      </c>
      <c r="R457" t="s">
        <v>1550</v>
      </c>
      <c r="S457" t="s">
        <v>1536</v>
      </c>
      <c r="T457" t="s">
        <v>1540</v>
      </c>
      <c r="U457" t="s">
        <v>1545</v>
      </c>
      <c r="V457" t="s">
        <v>1558</v>
      </c>
      <c r="W457" t="s">
        <v>1564</v>
      </c>
      <c r="X457" t="s">
        <v>1578</v>
      </c>
      <c r="Y457" t="s">
        <v>1588</v>
      </c>
      <c r="Z457" t="s">
        <v>1593</v>
      </c>
      <c r="AA457" t="s">
        <v>1598</v>
      </c>
      <c r="AB457" t="s">
        <v>1601</v>
      </c>
      <c r="AC457" t="s">
        <v>1610</v>
      </c>
      <c r="AD457" t="s">
        <v>1606</v>
      </c>
      <c r="AE457" t="s">
        <v>1617</v>
      </c>
      <c r="AF457" t="s">
        <v>1627</v>
      </c>
    </row>
    <row r="458" spans="1:32" x14ac:dyDescent="0.25">
      <c r="A458" t="s">
        <v>515</v>
      </c>
      <c r="B458">
        <v>31</v>
      </c>
      <c r="C458">
        <v>688</v>
      </c>
      <c r="D458">
        <v>7</v>
      </c>
      <c r="E458">
        <v>44</v>
      </c>
      <c r="F458">
        <v>11557</v>
      </c>
      <c r="G458">
        <v>25291</v>
      </c>
      <c r="H458">
        <v>9</v>
      </c>
      <c r="I458">
        <v>21</v>
      </c>
      <c r="J458">
        <v>10</v>
      </c>
      <c r="K458">
        <v>3</v>
      </c>
      <c r="L458">
        <v>5</v>
      </c>
      <c r="M458">
        <v>4</v>
      </c>
      <c r="N458">
        <v>0</v>
      </c>
      <c r="O458">
        <v>1</v>
      </c>
      <c r="P458" t="s">
        <v>1556</v>
      </c>
      <c r="Q458" t="s">
        <v>1552</v>
      </c>
      <c r="R458" t="s">
        <v>1549</v>
      </c>
      <c r="S458" t="s">
        <v>1534</v>
      </c>
      <c r="T458" t="s">
        <v>1538</v>
      </c>
      <c r="U458" t="s">
        <v>1547</v>
      </c>
      <c r="V458" t="s">
        <v>1559</v>
      </c>
      <c r="W458" t="s">
        <v>1562</v>
      </c>
      <c r="X458" t="s">
        <v>1577</v>
      </c>
      <c r="Y458" t="s">
        <v>1586</v>
      </c>
      <c r="Z458" t="s">
        <v>1594</v>
      </c>
      <c r="AA458" t="s">
        <v>1598</v>
      </c>
      <c r="AB458" t="s">
        <v>1601</v>
      </c>
      <c r="AC458" t="s">
        <v>1611</v>
      </c>
      <c r="AD458" t="s">
        <v>1606</v>
      </c>
      <c r="AE458" t="s">
        <v>1617</v>
      </c>
      <c r="AF458" t="s">
        <v>1626</v>
      </c>
    </row>
    <row r="459" spans="1:32" x14ac:dyDescent="0.25">
      <c r="A459" t="s">
        <v>516</v>
      </c>
      <c r="B459">
        <v>18</v>
      </c>
      <c r="C459">
        <v>1306</v>
      </c>
      <c r="D459">
        <v>5</v>
      </c>
      <c r="E459">
        <v>69</v>
      </c>
      <c r="F459">
        <v>1878</v>
      </c>
      <c r="G459">
        <v>8059</v>
      </c>
      <c r="H459">
        <v>1</v>
      </c>
      <c r="I459">
        <v>14</v>
      </c>
      <c r="J459">
        <v>0</v>
      </c>
      <c r="K459">
        <v>3</v>
      </c>
      <c r="L459">
        <v>0</v>
      </c>
      <c r="M459">
        <v>0</v>
      </c>
      <c r="N459">
        <v>0</v>
      </c>
      <c r="O459">
        <v>0</v>
      </c>
      <c r="P459" t="s">
        <v>1555</v>
      </c>
      <c r="Q459" t="s">
        <v>1553</v>
      </c>
      <c r="R459" t="s">
        <v>1549</v>
      </c>
      <c r="S459" t="s">
        <v>1534</v>
      </c>
      <c r="T459" t="s">
        <v>1541</v>
      </c>
      <c r="U459" t="s">
        <v>1546</v>
      </c>
      <c r="V459" t="s">
        <v>1559</v>
      </c>
      <c r="W459" t="s">
        <v>1563</v>
      </c>
      <c r="X459" t="s">
        <v>1575</v>
      </c>
      <c r="Y459" t="s">
        <v>1587</v>
      </c>
      <c r="Z459" t="s">
        <v>1592</v>
      </c>
      <c r="AA459" t="s">
        <v>1596</v>
      </c>
      <c r="AB459" t="s">
        <v>1600</v>
      </c>
      <c r="AC459" t="s">
        <v>1610</v>
      </c>
      <c r="AD459" t="s">
        <v>1607</v>
      </c>
      <c r="AE459" t="s">
        <v>1616</v>
      </c>
      <c r="AF459" t="s">
        <v>1627</v>
      </c>
    </row>
    <row r="460" spans="1:32" x14ac:dyDescent="0.25">
      <c r="A460" t="s">
        <v>517</v>
      </c>
      <c r="B460">
        <v>40</v>
      </c>
      <c r="C460">
        <v>1094</v>
      </c>
      <c r="D460">
        <v>28</v>
      </c>
      <c r="E460">
        <v>58</v>
      </c>
      <c r="F460">
        <v>10932</v>
      </c>
      <c r="G460">
        <v>11373</v>
      </c>
      <c r="H460">
        <v>3</v>
      </c>
      <c r="I460">
        <v>15</v>
      </c>
      <c r="J460">
        <v>20</v>
      </c>
      <c r="K460">
        <v>2</v>
      </c>
      <c r="L460">
        <v>1</v>
      </c>
      <c r="M460">
        <v>0</v>
      </c>
      <c r="N460">
        <v>0</v>
      </c>
      <c r="O460">
        <v>1</v>
      </c>
      <c r="P460" t="s">
        <v>1556</v>
      </c>
      <c r="Q460" t="s">
        <v>1554</v>
      </c>
      <c r="R460" t="s">
        <v>1549</v>
      </c>
      <c r="S460" t="s">
        <v>1534</v>
      </c>
      <c r="T460" t="s">
        <v>1539</v>
      </c>
      <c r="U460" t="s">
        <v>1547</v>
      </c>
      <c r="V460" t="s">
        <v>1559</v>
      </c>
      <c r="W460" t="s">
        <v>1561</v>
      </c>
      <c r="X460" t="s">
        <v>1577</v>
      </c>
      <c r="Y460" t="s">
        <v>1581</v>
      </c>
      <c r="Z460" t="s">
        <v>1591</v>
      </c>
      <c r="AA460" t="s">
        <v>1598</v>
      </c>
      <c r="AB460" t="s">
        <v>1601</v>
      </c>
      <c r="AC460" t="s">
        <v>1610</v>
      </c>
      <c r="AD460" t="s">
        <v>1606</v>
      </c>
      <c r="AE460" t="s">
        <v>1617</v>
      </c>
      <c r="AF460" t="s">
        <v>1627</v>
      </c>
    </row>
    <row r="461" spans="1:32" x14ac:dyDescent="0.25">
      <c r="A461" t="s">
        <v>518</v>
      </c>
      <c r="B461">
        <v>41</v>
      </c>
      <c r="C461">
        <v>509</v>
      </c>
      <c r="D461">
        <v>2</v>
      </c>
      <c r="E461">
        <v>62</v>
      </c>
      <c r="F461">
        <v>6811</v>
      </c>
      <c r="G461">
        <v>2112</v>
      </c>
      <c r="H461">
        <v>2</v>
      </c>
      <c r="I461">
        <v>17</v>
      </c>
      <c r="J461">
        <v>10</v>
      </c>
      <c r="K461">
        <v>3</v>
      </c>
      <c r="L461">
        <v>8</v>
      </c>
      <c r="M461">
        <v>7</v>
      </c>
      <c r="N461">
        <v>0</v>
      </c>
      <c r="O461">
        <v>7</v>
      </c>
      <c r="P461" t="s">
        <v>1556</v>
      </c>
      <c r="Q461" t="s">
        <v>1554</v>
      </c>
      <c r="R461" t="s">
        <v>1550</v>
      </c>
      <c r="S461" t="s">
        <v>1535</v>
      </c>
      <c r="T461" t="s">
        <v>1539</v>
      </c>
      <c r="U461" t="s">
        <v>1545</v>
      </c>
      <c r="V461" t="s">
        <v>1558</v>
      </c>
      <c r="W461" t="s">
        <v>1562</v>
      </c>
      <c r="X461" t="s">
        <v>1576</v>
      </c>
      <c r="Y461" t="s">
        <v>1585</v>
      </c>
      <c r="Z461" t="s">
        <v>1593</v>
      </c>
      <c r="AA461" t="s">
        <v>1596</v>
      </c>
      <c r="AB461" t="s">
        <v>1600</v>
      </c>
      <c r="AC461" t="s">
        <v>1610</v>
      </c>
      <c r="AD461" t="s">
        <v>1604</v>
      </c>
      <c r="AE461" t="s">
        <v>1616</v>
      </c>
      <c r="AF461" t="s">
        <v>1627</v>
      </c>
    </row>
    <row r="462" spans="1:32" x14ac:dyDescent="0.25">
      <c r="A462" t="s">
        <v>519</v>
      </c>
      <c r="B462">
        <v>26</v>
      </c>
      <c r="C462">
        <v>775</v>
      </c>
      <c r="D462">
        <v>29</v>
      </c>
      <c r="E462">
        <v>45</v>
      </c>
      <c r="F462">
        <v>4306</v>
      </c>
      <c r="G462">
        <v>4267</v>
      </c>
      <c r="H462">
        <v>5</v>
      </c>
      <c r="I462">
        <v>12</v>
      </c>
      <c r="J462">
        <v>8</v>
      </c>
      <c r="K462">
        <v>5</v>
      </c>
      <c r="L462">
        <v>0</v>
      </c>
      <c r="M462">
        <v>0</v>
      </c>
      <c r="N462">
        <v>0</v>
      </c>
      <c r="O462">
        <v>0</v>
      </c>
      <c r="P462" t="s">
        <v>1556</v>
      </c>
      <c r="Q462" t="s">
        <v>1552</v>
      </c>
      <c r="R462" t="s">
        <v>1549</v>
      </c>
      <c r="S462" t="s">
        <v>1533</v>
      </c>
      <c r="T462" t="s">
        <v>1540</v>
      </c>
      <c r="U462" t="s">
        <v>1545</v>
      </c>
      <c r="V462" t="s">
        <v>1559</v>
      </c>
      <c r="W462" t="s">
        <v>1563</v>
      </c>
      <c r="X462" t="s">
        <v>1576</v>
      </c>
      <c r="Y462" t="s">
        <v>1581</v>
      </c>
      <c r="Z462" t="s">
        <v>1593</v>
      </c>
      <c r="AA462" t="s">
        <v>1598</v>
      </c>
      <c r="AB462" t="s">
        <v>1601</v>
      </c>
      <c r="AC462" t="s">
        <v>1610</v>
      </c>
      <c r="AD462" t="s">
        <v>1604</v>
      </c>
      <c r="AE462" t="s">
        <v>1618</v>
      </c>
      <c r="AF462" t="s">
        <v>1627</v>
      </c>
    </row>
    <row r="463" spans="1:32" x14ac:dyDescent="0.25">
      <c r="A463" t="s">
        <v>520</v>
      </c>
      <c r="B463">
        <v>35</v>
      </c>
      <c r="C463">
        <v>195</v>
      </c>
      <c r="D463">
        <v>1</v>
      </c>
      <c r="E463">
        <v>80</v>
      </c>
      <c r="F463">
        <v>4859</v>
      </c>
      <c r="G463">
        <v>6698</v>
      </c>
      <c r="H463">
        <v>1</v>
      </c>
      <c r="I463">
        <v>16</v>
      </c>
      <c r="J463">
        <v>5</v>
      </c>
      <c r="K463">
        <v>3</v>
      </c>
      <c r="L463">
        <v>5</v>
      </c>
      <c r="M463">
        <v>4</v>
      </c>
      <c r="N463">
        <v>0</v>
      </c>
      <c r="O463">
        <v>3</v>
      </c>
      <c r="P463" t="s">
        <v>1556</v>
      </c>
      <c r="Q463" t="s">
        <v>1552</v>
      </c>
      <c r="R463" t="s">
        <v>1549</v>
      </c>
      <c r="S463" t="s">
        <v>1534</v>
      </c>
      <c r="T463" t="s">
        <v>1540</v>
      </c>
      <c r="U463" t="s">
        <v>1545</v>
      </c>
      <c r="V463" t="s">
        <v>1558</v>
      </c>
      <c r="W463" t="s">
        <v>1563</v>
      </c>
      <c r="X463" t="s">
        <v>1576</v>
      </c>
      <c r="Y463" t="s">
        <v>1581</v>
      </c>
      <c r="Z463" t="s">
        <v>1593</v>
      </c>
      <c r="AA463" t="s">
        <v>1596</v>
      </c>
      <c r="AB463" t="s">
        <v>1601</v>
      </c>
      <c r="AC463" t="s">
        <v>1610</v>
      </c>
      <c r="AD463" t="s">
        <v>1607</v>
      </c>
      <c r="AE463" t="s">
        <v>1616</v>
      </c>
      <c r="AF463" t="s">
        <v>1627</v>
      </c>
    </row>
    <row r="464" spans="1:32" x14ac:dyDescent="0.25">
      <c r="A464" t="s">
        <v>521</v>
      </c>
      <c r="B464">
        <v>34</v>
      </c>
      <c r="C464">
        <v>258</v>
      </c>
      <c r="D464">
        <v>21</v>
      </c>
      <c r="E464">
        <v>74</v>
      </c>
      <c r="F464">
        <v>5337</v>
      </c>
      <c r="G464">
        <v>19921</v>
      </c>
      <c r="H464">
        <v>1</v>
      </c>
      <c r="I464">
        <v>12</v>
      </c>
      <c r="J464">
        <v>10</v>
      </c>
      <c r="K464">
        <v>3</v>
      </c>
      <c r="L464">
        <v>10</v>
      </c>
      <c r="M464">
        <v>7</v>
      </c>
      <c r="N464">
        <v>5</v>
      </c>
      <c r="O464">
        <v>7</v>
      </c>
      <c r="P464" t="s">
        <v>1556</v>
      </c>
      <c r="Q464" t="s">
        <v>1552</v>
      </c>
      <c r="R464" t="s">
        <v>1549</v>
      </c>
      <c r="S464" t="s">
        <v>1535</v>
      </c>
      <c r="T464" t="s">
        <v>1538</v>
      </c>
      <c r="U464" t="s">
        <v>1548</v>
      </c>
      <c r="V464" t="s">
        <v>1559</v>
      </c>
      <c r="W464" t="s">
        <v>1564</v>
      </c>
      <c r="X464" t="s">
        <v>1576</v>
      </c>
      <c r="Y464" t="s">
        <v>1581</v>
      </c>
      <c r="Z464" t="s">
        <v>1594</v>
      </c>
      <c r="AA464" t="s">
        <v>1596</v>
      </c>
      <c r="AB464" t="s">
        <v>1601</v>
      </c>
      <c r="AC464" t="s">
        <v>1610</v>
      </c>
      <c r="AD464" t="s">
        <v>1607</v>
      </c>
      <c r="AE464" t="s">
        <v>1616</v>
      </c>
      <c r="AF464" t="s">
        <v>1627</v>
      </c>
    </row>
    <row r="465" spans="1:32" x14ac:dyDescent="0.25">
      <c r="A465" t="s">
        <v>522</v>
      </c>
      <c r="B465">
        <v>26</v>
      </c>
      <c r="C465">
        <v>471</v>
      </c>
      <c r="D465">
        <v>24</v>
      </c>
      <c r="E465">
        <v>66</v>
      </c>
      <c r="F465">
        <v>2340</v>
      </c>
      <c r="G465">
        <v>23213</v>
      </c>
      <c r="H465">
        <v>1</v>
      </c>
      <c r="I465">
        <v>18</v>
      </c>
      <c r="J465">
        <v>1</v>
      </c>
      <c r="K465">
        <v>3</v>
      </c>
      <c r="L465">
        <v>1</v>
      </c>
      <c r="M465">
        <v>0</v>
      </c>
      <c r="N465">
        <v>0</v>
      </c>
      <c r="O465">
        <v>0</v>
      </c>
      <c r="P465" t="s">
        <v>1555</v>
      </c>
      <c r="Q465" t="s">
        <v>1552</v>
      </c>
      <c r="R465" t="s">
        <v>1550</v>
      </c>
      <c r="S465" t="s">
        <v>1534</v>
      </c>
      <c r="T465" t="s">
        <v>1542</v>
      </c>
      <c r="U465" t="s">
        <v>1547</v>
      </c>
      <c r="V465" t="s">
        <v>1559</v>
      </c>
      <c r="W465" t="s">
        <v>1561</v>
      </c>
      <c r="X465" t="s">
        <v>1575</v>
      </c>
      <c r="Y465" t="s">
        <v>1583</v>
      </c>
      <c r="Z465" t="s">
        <v>1594</v>
      </c>
      <c r="AA465" t="s">
        <v>1596</v>
      </c>
      <c r="AB465" t="s">
        <v>1600</v>
      </c>
      <c r="AC465" t="s">
        <v>1610</v>
      </c>
      <c r="AD465" t="s">
        <v>1605</v>
      </c>
      <c r="AE465" t="s">
        <v>1616</v>
      </c>
      <c r="AF465" t="s">
        <v>1625</v>
      </c>
    </row>
    <row r="466" spans="1:32" x14ac:dyDescent="0.25">
      <c r="A466" t="s">
        <v>523</v>
      </c>
      <c r="B466">
        <v>37</v>
      </c>
      <c r="C466">
        <v>799</v>
      </c>
      <c r="D466">
        <v>1</v>
      </c>
      <c r="E466">
        <v>59</v>
      </c>
      <c r="F466">
        <v>7491</v>
      </c>
      <c r="G466">
        <v>23848</v>
      </c>
      <c r="H466">
        <v>4</v>
      </c>
      <c r="I466">
        <v>17</v>
      </c>
      <c r="J466">
        <v>12</v>
      </c>
      <c r="K466">
        <v>3</v>
      </c>
      <c r="L466">
        <v>6</v>
      </c>
      <c r="M466">
        <v>5</v>
      </c>
      <c r="N466">
        <v>1</v>
      </c>
      <c r="O466">
        <v>2</v>
      </c>
      <c r="P466" t="s">
        <v>1556</v>
      </c>
      <c r="Q466" t="s">
        <v>1552</v>
      </c>
      <c r="R466" t="s">
        <v>1550</v>
      </c>
      <c r="S466" t="s">
        <v>1534</v>
      </c>
      <c r="T466" t="s">
        <v>1542</v>
      </c>
      <c r="U466" t="s">
        <v>1546</v>
      </c>
      <c r="V466" t="s">
        <v>1558</v>
      </c>
      <c r="W466" t="s">
        <v>1563</v>
      </c>
      <c r="X466" t="s">
        <v>1577</v>
      </c>
      <c r="Y466" t="s">
        <v>1584</v>
      </c>
      <c r="Z466" t="s">
        <v>1594</v>
      </c>
      <c r="AA466" t="s">
        <v>1596</v>
      </c>
      <c r="AB466" t="s">
        <v>1601</v>
      </c>
      <c r="AC466" t="s">
        <v>1610</v>
      </c>
      <c r="AD466" t="s">
        <v>1607</v>
      </c>
      <c r="AE466" t="s">
        <v>1616</v>
      </c>
      <c r="AF466" t="s">
        <v>1628</v>
      </c>
    </row>
    <row r="467" spans="1:32" x14ac:dyDescent="0.25">
      <c r="A467" t="s">
        <v>524</v>
      </c>
      <c r="B467">
        <v>46</v>
      </c>
      <c r="C467">
        <v>1034</v>
      </c>
      <c r="D467">
        <v>18</v>
      </c>
      <c r="E467">
        <v>86</v>
      </c>
      <c r="F467">
        <v>10527</v>
      </c>
      <c r="G467">
        <v>8984</v>
      </c>
      <c r="H467">
        <v>5</v>
      </c>
      <c r="I467">
        <v>11</v>
      </c>
      <c r="J467">
        <v>28</v>
      </c>
      <c r="K467">
        <v>3</v>
      </c>
      <c r="L467">
        <v>2</v>
      </c>
      <c r="M467">
        <v>2</v>
      </c>
      <c r="N467">
        <v>1</v>
      </c>
      <c r="O467">
        <v>2</v>
      </c>
      <c r="P467" t="s">
        <v>1556</v>
      </c>
      <c r="Q467" t="s">
        <v>1553</v>
      </c>
      <c r="R467" t="s">
        <v>1550</v>
      </c>
      <c r="S467" t="s">
        <v>1532</v>
      </c>
      <c r="T467" t="s">
        <v>1540</v>
      </c>
      <c r="U467" t="s">
        <v>1545</v>
      </c>
      <c r="V467" t="s">
        <v>1558</v>
      </c>
      <c r="W467" t="s">
        <v>1563</v>
      </c>
      <c r="X467" t="s">
        <v>1577</v>
      </c>
      <c r="Y467" t="s">
        <v>1585</v>
      </c>
      <c r="Z467" t="s">
        <v>1593</v>
      </c>
      <c r="AA467" t="s">
        <v>1597</v>
      </c>
      <c r="AB467" t="s">
        <v>1601</v>
      </c>
      <c r="AC467" t="s">
        <v>1610</v>
      </c>
      <c r="AD467" t="s">
        <v>1607</v>
      </c>
      <c r="AE467" t="s">
        <v>1616</v>
      </c>
      <c r="AF467" t="s">
        <v>1626</v>
      </c>
    </row>
    <row r="468" spans="1:32" x14ac:dyDescent="0.25">
      <c r="A468" t="s">
        <v>525</v>
      </c>
      <c r="B468">
        <v>41</v>
      </c>
      <c r="C468">
        <v>1276</v>
      </c>
      <c r="D468">
        <v>2</v>
      </c>
      <c r="E468">
        <v>91</v>
      </c>
      <c r="F468">
        <v>16595</v>
      </c>
      <c r="G468">
        <v>5626</v>
      </c>
      <c r="H468">
        <v>7</v>
      </c>
      <c r="I468">
        <v>16</v>
      </c>
      <c r="J468">
        <v>22</v>
      </c>
      <c r="K468">
        <v>2</v>
      </c>
      <c r="L468">
        <v>18</v>
      </c>
      <c r="M468">
        <v>16</v>
      </c>
      <c r="N468">
        <v>11</v>
      </c>
      <c r="O468">
        <v>8</v>
      </c>
      <c r="P468" t="s">
        <v>1556</v>
      </c>
      <c r="Q468" t="s">
        <v>1552</v>
      </c>
      <c r="R468" t="s">
        <v>1549</v>
      </c>
      <c r="S468" t="s">
        <v>1536</v>
      </c>
      <c r="T468" t="s">
        <v>1538</v>
      </c>
      <c r="U468" t="s">
        <v>1546</v>
      </c>
      <c r="V468" t="s">
        <v>1558</v>
      </c>
      <c r="W468" t="s">
        <v>1563</v>
      </c>
      <c r="X468" t="s">
        <v>1578</v>
      </c>
      <c r="Y468" t="s">
        <v>1586</v>
      </c>
      <c r="Z468" t="s">
        <v>1591</v>
      </c>
      <c r="AA468" t="s">
        <v>1597</v>
      </c>
      <c r="AB468" t="s">
        <v>1601</v>
      </c>
      <c r="AC468" t="s">
        <v>1610</v>
      </c>
      <c r="AD468" t="s">
        <v>1605</v>
      </c>
      <c r="AE468" t="s">
        <v>1617</v>
      </c>
      <c r="AF468" t="s">
        <v>1627</v>
      </c>
    </row>
    <row r="469" spans="1:32" x14ac:dyDescent="0.25">
      <c r="A469" t="s">
        <v>526</v>
      </c>
      <c r="B469">
        <v>37</v>
      </c>
      <c r="C469">
        <v>142</v>
      </c>
      <c r="D469">
        <v>9</v>
      </c>
      <c r="E469">
        <v>69</v>
      </c>
      <c r="F469">
        <v>8834</v>
      </c>
      <c r="G469">
        <v>24666</v>
      </c>
      <c r="H469">
        <v>1</v>
      </c>
      <c r="I469">
        <v>13</v>
      </c>
      <c r="J469">
        <v>9</v>
      </c>
      <c r="K469">
        <v>6</v>
      </c>
      <c r="L469">
        <v>9</v>
      </c>
      <c r="M469">
        <v>5</v>
      </c>
      <c r="N469">
        <v>7</v>
      </c>
      <c r="O469">
        <v>7</v>
      </c>
      <c r="P469" t="s">
        <v>1556</v>
      </c>
      <c r="Q469" t="s">
        <v>1554</v>
      </c>
      <c r="R469" t="s">
        <v>1549</v>
      </c>
      <c r="S469" t="s">
        <v>1535</v>
      </c>
      <c r="T469" t="s">
        <v>1540</v>
      </c>
      <c r="U469" t="s">
        <v>1545</v>
      </c>
      <c r="V469" t="s">
        <v>1559</v>
      </c>
      <c r="W469" t="s">
        <v>1563</v>
      </c>
      <c r="X469" t="s">
        <v>1577</v>
      </c>
      <c r="Y469" t="s">
        <v>1581</v>
      </c>
      <c r="Z469" t="s">
        <v>1592</v>
      </c>
      <c r="AA469" t="s">
        <v>1598</v>
      </c>
      <c r="AB469" t="s">
        <v>1601</v>
      </c>
      <c r="AC469" t="s">
        <v>1610</v>
      </c>
      <c r="AD469" t="s">
        <v>1607</v>
      </c>
      <c r="AE469" t="s">
        <v>1617</v>
      </c>
      <c r="AF469" t="s">
        <v>1627</v>
      </c>
    </row>
    <row r="470" spans="1:32" x14ac:dyDescent="0.25">
      <c r="A470" t="s">
        <v>527</v>
      </c>
      <c r="B470">
        <v>52</v>
      </c>
      <c r="C470">
        <v>956</v>
      </c>
      <c r="D470">
        <v>6</v>
      </c>
      <c r="E470">
        <v>78</v>
      </c>
      <c r="F470">
        <v>5577</v>
      </c>
      <c r="G470">
        <v>22087</v>
      </c>
      <c r="H470">
        <v>3</v>
      </c>
      <c r="I470">
        <v>12</v>
      </c>
      <c r="J470">
        <v>18</v>
      </c>
      <c r="K470">
        <v>3</v>
      </c>
      <c r="L470">
        <v>10</v>
      </c>
      <c r="M470">
        <v>9</v>
      </c>
      <c r="N470">
        <v>6</v>
      </c>
      <c r="O470">
        <v>9</v>
      </c>
      <c r="P470" t="s">
        <v>1556</v>
      </c>
      <c r="Q470" t="s">
        <v>1552</v>
      </c>
      <c r="R470" t="s">
        <v>1550</v>
      </c>
      <c r="S470" t="s">
        <v>1533</v>
      </c>
      <c r="T470" t="s">
        <v>1542</v>
      </c>
      <c r="U470" t="s">
        <v>1548</v>
      </c>
      <c r="V470" t="s">
        <v>1559</v>
      </c>
      <c r="W470" t="s">
        <v>1563</v>
      </c>
      <c r="X470" t="s">
        <v>1576</v>
      </c>
      <c r="Y470" t="s">
        <v>1582</v>
      </c>
      <c r="Z470" t="s">
        <v>1591</v>
      </c>
      <c r="AA470" t="s">
        <v>1598</v>
      </c>
      <c r="AB470" t="s">
        <v>1600</v>
      </c>
      <c r="AC470" t="s">
        <v>1610</v>
      </c>
      <c r="AD470" t="s">
        <v>1605</v>
      </c>
      <c r="AE470" t="s">
        <v>1618</v>
      </c>
      <c r="AF470" t="s">
        <v>1627</v>
      </c>
    </row>
    <row r="471" spans="1:32" x14ac:dyDescent="0.25">
      <c r="A471" t="s">
        <v>528</v>
      </c>
      <c r="B471">
        <v>32</v>
      </c>
      <c r="C471">
        <v>1474</v>
      </c>
      <c r="D471">
        <v>11</v>
      </c>
      <c r="E471">
        <v>60</v>
      </c>
      <c r="F471">
        <v>4707</v>
      </c>
      <c r="G471">
        <v>23914</v>
      </c>
      <c r="H471">
        <v>8</v>
      </c>
      <c r="I471">
        <v>12</v>
      </c>
      <c r="J471">
        <v>6</v>
      </c>
      <c r="K471">
        <v>2</v>
      </c>
      <c r="L471">
        <v>4</v>
      </c>
      <c r="M471">
        <v>2</v>
      </c>
      <c r="N471">
        <v>1</v>
      </c>
      <c r="O471">
        <v>2</v>
      </c>
      <c r="P471" t="s">
        <v>1555</v>
      </c>
      <c r="Q471" t="s">
        <v>1554</v>
      </c>
      <c r="R471" t="s">
        <v>1549</v>
      </c>
      <c r="S471" t="s">
        <v>1535</v>
      </c>
      <c r="T471" t="s">
        <v>1539</v>
      </c>
      <c r="U471" t="s">
        <v>1548</v>
      </c>
      <c r="V471" t="s">
        <v>1559</v>
      </c>
      <c r="W471" t="s">
        <v>1564</v>
      </c>
      <c r="X471" t="s">
        <v>1576</v>
      </c>
      <c r="Y471" t="s">
        <v>1581</v>
      </c>
      <c r="Z471" t="s">
        <v>1593</v>
      </c>
      <c r="AA471" t="s">
        <v>1597</v>
      </c>
      <c r="AB471" t="s">
        <v>1601</v>
      </c>
      <c r="AC471" t="s">
        <v>1610</v>
      </c>
      <c r="AD471" t="s">
        <v>1607</v>
      </c>
      <c r="AE471" t="s">
        <v>1616</v>
      </c>
      <c r="AF471" t="s">
        <v>1627</v>
      </c>
    </row>
    <row r="472" spans="1:32" x14ac:dyDescent="0.25">
      <c r="A472" t="s">
        <v>529</v>
      </c>
      <c r="B472">
        <v>24</v>
      </c>
      <c r="C472">
        <v>535</v>
      </c>
      <c r="D472">
        <v>24</v>
      </c>
      <c r="E472">
        <v>38</v>
      </c>
      <c r="F472">
        <v>2400</v>
      </c>
      <c r="G472">
        <v>5530</v>
      </c>
      <c r="H472">
        <v>0</v>
      </c>
      <c r="I472">
        <v>13</v>
      </c>
      <c r="J472">
        <v>3</v>
      </c>
      <c r="K472">
        <v>3</v>
      </c>
      <c r="L472">
        <v>2</v>
      </c>
      <c r="M472">
        <v>2</v>
      </c>
      <c r="N472">
        <v>2</v>
      </c>
      <c r="O472">
        <v>1</v>
      </c>
      <c r="P472" t="s">
        <v>1556</v>
      </c>
      <c r="Q472" t="s">
        <v>1553</v>
      </c>
      <c r="R472" t="s">
        <v>1549</v>
      </c>
      <c r="S472" t="s">
        <v>1534</v>
      </c>
      <c r="T472" t="s">
        <v>1540</v>
      </c>
      <c r="U472" t="s">
        <v>1548</v>
      </c>
      <c r="V472" t="s">
        <v>1559</v>
      </c>
      <c r="W472" t="s">
        <v>1563</v>
      </c>
      <c r="X472" t="s">
        <v>1575</v>
      </c>
      <c r="Y472" t="s">
        <v>1587</v>
      </c>
      <c r="Z472" t="s">
        <v>1594</v>
      </c>
      <c r="AA472" t="s">
        <v>1597</v>
      </c>
      <c r="AB472" t="s">
        <v>1601</v>
      </c>
      <c r="AC472" t="s">
        <v>1610</v>
      </c>
      <c r="AD472" t="s">
        <v>1606</v>
      </c>
      <c r="AE472" t="s">
        <v>1618</v>
      </c>
      <c r="AF472" t="s">
        <v>1627</v>
      </c>
    </row>
    <row r="473" spans="1:32" x14ac:dyDescent="0.25">
      <c r="A473" t="s">
        <v>530</v>
      </c>
      <c r="B473">
        <v>38</v>
      </c>
      <c r="C473">
        <v>1495</v>
      </c>
      <c r="D473">
        <v>10</v>
      </c>
      <c r="E473">
        <v>76</v>
      </c>
      <c r="F473">
        <v>9824</v>
      </c>
      <c r="G473">
        <v>22174</v>
      </c>
      <c r="H473">
        <v>3</v>
      </c>
      <c r="I473">
        <v>19</v>
      </c>
      <c r="J473">
        <v>18</v>
      </c>
      <c r="K473">
        <v>4</v>
      </c>
      <c r="L473">
        <v>1</v>
      </c>
      <c r="M473">
        <v>0</v>
      </c>
      <c r="N473">
        <v>0</v>
      </c>
      <c r="O473">
        <v>0</v>
      </c>
      <c r="P473" t="s">
        <v>1556</v>
      </c>
      <c r="Q473" t="s">
        <v>1552</v>
      </c>
      <c r="R473" t="s">
        <v>1550</v>
      </c>
      <c r="S473" t="s">
        <v>1534</v>
      </c>
      <c r="T473" t="s">
        <v>1540</v>
      </c>
      <c r="U473" t="s">
        <v>1547</v>
      </c>
      <c r="V473" t="s">
        <v>1558</v>
      </c>
      <c r="W473" t="s">
        <v>1563</v>
      </c>
      <c r="X473" t="s">
        <v>1576</v>
      </c>
      <c r="Y473" t="s">
        <v>1585</v>
      </c>
      <c r="Z473" t="s">
        <v>1593</v>
      </c>
      <c r="AA473" t="s">
        <v>1597</v>
      </c>
      <c r="AB473" t="s">
        <v>1601</v>
      </c>
      <c r="AC473" t="s">
        <v>1610</v>
      </c>
      <c r="AD473" t="s">
        <v>1606</v>
      </c>
      <c r="AE473" t="s">
        <v>1617</v>
      </c>
      <c r="AF473" t="s">
        <v>1627</v>
      </c>
    </row>
    <row r="474" spans="1:32" x14ac:dyDescent="0.25">
      <c r="A474" t="s">
        <v>531</v>
      </c>
      <c r="B474">
        <v>37</v>
      </c>
      <c r="C474">
        <v>446</v>
      </c>
      <c r="D474">
        <v>1</v>
      </c>
      <c r="E474">
        <v>65</v>
      </c>
      <c r="F474">
        <v>6447</v>
      </c>
      <c r="G474">
        <v>15701</v>
      </c>
      <c r="H474">
        <v>6</v>
      </c>
      <c r="I474">
        <v>12</v>
      </c>
      <c r="J474">
        <v>8</v>
      </c>
      <c r="K474">
        <v>2</v>
      </c>
      <c r="L474">
        <v>6</v>
      </c>
      <c r="M474">
        <v>5</v>
      </c>
      <c r="N474">
        <v>4</v>
      </c>
      <c r="O474">
        <v>3</v>
      </c>
      <c r="P474" t="s">
        <v>1556</v>
      </c>
      <c r="Q474" t="s">
        <v>1552</v>
      </c>
      <c r="R474" t="s">
        <v>1550</v>
      </c>
      <c r="S474" t="s">
        <v>1535</v>
      </c>
      <c r="T474" t="s">
        <v>1538</v>
      </c>
      <c r="U474" t="s">
        <v>1546</v>
      </c>
      <c r="V474" t="s">
        <v>1558</v>
      </c>
      <c r="W474" t="s">
        <v>1563</v>
      </c>
      <c r="X474" t="s">
        <v>1576</v>
      </c>
      <c r="Y474" t="s">
        <v>1584</v>
      </c>
      <c r="Z474" t="s">
        <v>1592</v>
      </c>
      <c r="AA474" t="s">
        <v>1597</v>
      </c>
      <c r="AB474" t="s">
        <v>1601</v>
      </c>
      <c r="AC474" t="s">
        <v>1610</v>
      </c>
      <c r="AD474" t="s">
        <v>1605</v>
      </c>
      <c r="AE474" t="s">
        <v>1617</v>
      </c>
      <c r="AF474" t="s">
        <v>1626</v>
      </c>
    </row>
    <row r="475" spans="1:32" x14ac:dyDescent="0.25">
      <c r="A475" t="s">
        <v>532</v>
      </c>
      <c r="B475">
        <v>49</v>
      </c>
      <c r="C475">
        <v>1245</v>
      </c>
      <c r="D475">
        <v>18</v>
      </c>
      <c r="E475">
        <v>58</v>
      </c>
      <c r="F475">
        <v>19502</v>
      </c>
      <c r="G475">
        <v>2125</v>
      </c>
      <c r="H475">
        <v>1</v>
      </c>
      <c r="I475">
        <v>17</v>
      </c>
      <c r="J475">
        <v>31</v>
      </c>
      <c r="K475">
        <v>5</v>
      </c>
      <c r="L475">
        <v>31</v>
      </c>
      <c r="M475">
        <v>9</v>
      </c>
      <c r="N475">
        <v>0</v>
      </c>
      <c r="O475">
        <v>9</v>
      </c>
      <c r="P475" t="s">
        <v>1556</v>
      </c>
      <c r="Q475" t="s">
        <v>1552</v>
      </c>
      <c r="R475" t="s">
        <v>1550</v>
      </c>
      <c r="S475" t="s">
        <v>1535</v>
      </c>
      <c r="T475" t="s">
        <v>1538</v>
      </c>
      <c r="U475" t="s">
        <v>1548</v>
      </c>
      <c r="V475" t="s">
        <v>1559</v>
      </c>
      <c r="W475" t="s">
        <v>1562</v>
      </c>
      <c r="X475" t="s">
        <v>1579</v>
      </c>
      <c r="Y475" t="s">
        <v>1588</v>
      </c>
      <c r="Z475" t="s">
        <v>1593</v>
      </c>
      <c r="AA475" t="s">
        <v>1598</v>
      </c>
      <c r="AB475" t="s">
        <v>1600</v>
      </c>
      <c r="AC475" t="s">
        <v>1610</v>
      </c>
      <c r="AD475" t="s">
        <v>1606</v>
      </c>
      <c r="AE475" t="s">
        <v>1617</v>
      </c>
      <c r="AF475" t="s">
        <v>1627</v>
      </c>
    </row>
    <row r="476" spans="1:32" x14ac:dyDescent="0.25">
      <c r="A476" t="s">
        <v>533</v>
      </c>
      <c r="B476">
        <v>24</v>
      </c>
      <c r="C476">
        <v>691</v>
      </c>
      <c r="D476">
        <v>23</v>
      </c>
      <c r="E476">
        <v>89</v>
      </c>
      <c r="F476">
        <v>2725</v>
      </c>
      <c r="G476">
        <v>21630</v>
      </c>
      <c r="H476">
        <v>1</v>
      </c>
      <c r="I476">
        <v>11</v>
      </c>
      <c r="J476">
        <v>6</v>
      </c>
      <c r="K476">
        <v>3</v>
      </c>
      <c r="L476">
        <v>6</v>
      </c>
      <c r="M476">
        <v>5</v>
      </c>
      <c r="N476">
        <v>1</v>
      </c>
      <c r="O476">
        <v>4</v>
      </c>
      <c r="P476" t="s">
        <v>1556</v>
      </c>
      <c r="Q476" t="s">
        <v>1552</v>
      </c>
      <c r="R476" t="s">
        <v>1550</v>
      </c>
      <c r="S476" t="s">
        <v>1534</v>
      </c>
      <c r="T476" t="s">
        <v>1540</v>
      </c>
      <c r="U476" t="s">
        <v>1546</v>
      </c>
      <c r="V476" t="s">
        <v>1559</v>
      </c>
      <c r="W476" t="s">
        <v>1564</v>
      </c>
      <c r="X476" t="s">
        <v>1575</v>
      </c>
      <c r="Y476" t="s">
        <v>1582</v>
      </c>
      <c r="Z476" t="s">
        <v>1594</v>
      </c>
      <c r="AA476" t="s">
        <v>1597</v>
      </c>
      <c r="AB476" t="s">
        <v>1600</v>
      </c>
      <c r="AC476" t="s">
        <v>1610</v>
      </c>
      <c r="AD476" t="s">
        <v>1605</v>
      </c>
      <c r="AE476" t="s">
        <v>1618</v>
      </c>
      <c r="AF476" t="s">
        <v>1627</v>
      </c>
    </row>
    <row r="477" spans="1:32" x14ac:dyDescent="0.25">
      <c r="A477" t="s">
        <v>534</v>
      </c>
      <c r="B477">
        <v>26</v>
      </c>
      <c r="C477">
        <v>703</v>
      </c>
      <c r="D477">
        <v>28</v>
      </c>
      <c r="E477">
        <v>66</v>
      </c>
      <c r="F477">
        <v>6272</v>
      </c>
      <c r="G477">
        <v>7428</v>
      </c>
      <c r="H477">
        <v>1</v>
      </c>
      <c r="I477">
        <v>20</v>
      </c>
      <c r="J477">
        <v>6</v>
      </c>
      <c r="K477">
        <v>5</v>
      </c>
      <c r="L477">
        <v>5</v>
      </c>
      <c r="M477">
        <v>3</v>
      </c>
      <c r="N477">
        <v>1</v>
      </c>
      <c r="O477">
        <v>4</v>
      </c>
      <c r="P477" t="s">
        <v>1556</v>
      </c>
      <c r="Q477" t="s">
        <v>1552</v>
      </c>
      <c r="R477" t="s">
        <v>1549</v>
      </c>
      <c r="S477" t="s">
        <v>1533</v>
      </c>
      <c r="T477" t="s">
        <v>1541</v>
      </c>
      <c r="U477" t="s">
        <v>1545</v>
      </c>
      <c r="V477" t="s">
        <v>1559</v>
      </c>
      <c r="W477" t="s">
        <v>1563</v>
      </c>
      <c r="X477" t="s">
        <v>1576</v>
      </c>
      <c r="Y477" t="s">
        <v>1581</v>
      </c>
      <c r="Z477" t="s">
        <v>1592</v>
      </c>
      <c r="AA477" t="s">
        <v>1597</v>
      </c>
      <c r="AB477" t="s">
        <v>1601</v>
      </c>
      <c r="AC477" t="s">
        <v>1611</v>
      </c>
      <c r="AD477" t="s">
        <v>1607</v>
      </c>
      <c r="AE477" t="s">
        <v>1618</v>
      </c>
      <c r="AF477" t="s">
        <v>1628</v>
      </c>
    </row>
    <row r="478" spans="1:32" x14ac:dyDescent="0.25">
      <c r="A478" t="s">
        <v>535</v>
      </c>
      <c r="B478">
        <v>24</v>
      </c>
      <c r="C478">
        <v>823</v>
      </c>
      <c r="D478">
        <v>17</v>
      </c>
      <c r="E478">
        <v>94</v>
      </c>
      <c r="F478">
        <v>2127</v>
      </c>
      <c r="G478">
        <v>9100</v>
      </c>
      <c r="H478">
        <v>1</v>
      </c>
      <c r="I478">
        <v>21</v>
      </c>
      <c r="J478">
        <v>1</v>
      </c>
      <c r="K478">
        <v>2</v>
      </c>
      <c r="L478">
        <v>1</v>
      </c>
      <c r="M478">
        <v>0</v>
      </c>
      <c r="N478">
        <v>0</v>
      </c>
      <c r="O478">
        <v>0</v>
      </c>
      <c r="P478" t="s">
        <v>1556</v>
      </c>
      <c r="Q478" t="s">
        <v>1552</v>
      </c>
      <c r="R478" t="s">
        <v>1550</v>
      </c>
      <c r="S478" t="s">
        <v>1533</v>
      </c>
      <c r="T478" t="s">
        <v>1539</v>
      </c>
      <c r="U478" t="s">
        <v>1548</v>
      </c>
      <c r="V478" t="s">
        <v>1559</v>
      </c>
      <c r="W478" t="s">
        <v>1562</v>
      </c>
      <c r="X478" t="s">
        <v>1575</v>
      </c>
      <c r="Y478" t="s">
        <v>1583</v>
      </c>
      <c r="Z478" t="s">
        <v>1592</v>
      </c>
      <c r="AA478" t="s">
        <v>1597</v>
      </c>
      <c r="AB478" t="s">
        <v>1601</v>
      </c>
      <c r="AC478" t="s">
        <v>1611</v>
      </c>
      <c r="AD478" t="s">
        <v>1607</v>
      </c>
      <c r="AE478" t="s">
        <v>1617</v>
      </c>
      <c r="AF478" t="s">
        <v>1627</v>
      </c>
    </row>
    <row r="479" spans="1:32" x14ac:dyDescent="0.25">
      <c r="A479" t="s">
        <v>536</v>
      </c>
      <c r="B479">
        <v>50</v>
      </c>
      <c r="C479">
        <v>1246</v>
      </c>
      <c r="D479">
        <v>3</v>
      </c>
      <c r="E479">
        <v>99</v>
      </c>
      <c r="F479">
        <v>18200</v>
      </c>
      <c r="G479">
        <v>7999</v>
      </c>
      <c r="H479">
        <v>1</v>
      </c>
      <c r="I479">
        <v>11</v>
      </c>
      <c r="J479">
        <v>32</v>
      </c>
      <c r="K479">
        <v>2</v>
      </c>
      <c r="L479">
        <v>32</v>
      </c>
      <c r="M479">
        <v>5</v>
      </c>
      <c r="N479">
        <v>10</v>
      </c>
      <c r="O479">
        <v>7</v>
      </c>
      <c r="P479" t="s">
        <v>1556</v>
      </c>
      <c r="Q479" t="s">
        <v>1553</v>
      </c>
      <c r="R479" t="s">
        <v>1551</v>
      </c>
      <c r="S479" t="s">
        <v>1534</v>
      </c>
      <c r="T479" t="s">
        <v>1540</v>
      </c>
      <c r="U479" t="s">
        <v>1545</v>
      </c>
      <c r="V479" t="s">
        <v>1559</v>
      </c>
      <c r="W479" t="s">
        <v>1563</v>
      </c>
      <c r="X479" t="s">
        <v>1579</v>
      </c>
      <c r="Y479" t="s">
        <v>1586</v>
      </c>
      <c r="Z479" t="s">
        <v>1592</v>
      </c>
      <c r="AA479" t="s">
        <v>1597</v>
      </c>
      <c r="AB479" t="s">
        <v>1601</v>
      </c>
      <c r="AC479" t="s">
        <v>1610</v>
      </c>
      <c r="AD479" t="s">
        <v>1606</v>
      </c>
      <c r="AE479" t="s">
        <v>1617</v>
      </c>
      <c r="AF479" t="s">
        <v>1627</v>
      </c>
    </row>
    <row r="480" spans="1:32" x14ac:dyDescent="0.25">
      <c r="A480" t="s">
        <v>537</v>
      </c>
      <c r="B480">
        <v>25</v>
      </c>
      <c r="C480">
        <v>622</v>
      </c>
      <c r="D480">
        <v>13</v>
      </c>
      <c r="E480">
        <v>40</v>
      </c>
      <c r="F480">
        <v>2096</v>
      </c>
      <c r="G480">
        <v>26376</v>
      </c>
      <c r="H480">
        <v>1</v>
      </c>
      <c r="I480">
        <v>11</v>
      </c>
      <c r="J480">
        <v>7</v>
      </c>
      <c r="K480">
        <v>1</v>
      </c>
      <c r="L480">
        <v>7</v>
      </c>
      <c r="M480">
        <v>4</v>
      </c>
      <c r="N480">
        <v>0</v>
      </c>
      <c r="O480">
        <v>6</v>
      </c>
      <c r="P480" t="s">
        <v>1556</v>
      </c>
      <c r="Q480" t="s">
        <v>1552</v>
      </c>
      <c r="R480" t="s">
        <v>1549</v>
      </c>
      <c r="S480" t="s">
        <v>1532</v>
      </c>
      <c r="T480" t="s">
        <v>1540</v>
      </c>
      <c r="U480" t="s">
        <v>1546</v>
      </c>
      <c r="V480" t="s">
        <v>1559</v>
      </c>
      <c r="W480" t="s">
        <v>1563</v>
      </c>
      <c r="X480" t="s">
        <v>1575</v>
      </c>
      <c r="Y480" t="s">
        <v>1587</v>
      </c>
      <c r="Z480" t="s">
        <v>1593</v>
      </c>
      <c r="AA480" t="s">
        <v>1597</v>
      </c>
      <c r="AB480" t="s">
        <v>1601</v>
      </c>
      <c r="AC480" t="s">
        <v>1610</v>
      </c>
      <c r="AD480" t="s">
        <v>1606</v>
      </c>
      <c r="AE480" t="s">
        <v>1616</v>
      </c>
      <c r="AF480" t="s">
        <v>1627</v>
      </c>
    </row>
    <row r="481" spans="1:32" x14ac:dyDescent="0.25">
      <c r="A481" t="s">
        <v>538</v>
      </c>
      <c r="B481">
        <v>24</v>
      </c>
      <c r="C481">
        <v>1287</v>
      </c>
      <c r="D481">
        <v>7</v>
      </c>
      <c r="E481">
        <v>55</v>
      </c>
      <c r="F481">
        <v>2886</v>
      </c>
      <c r="G481">
        <v>14168</v>
      </c>
      <c r="H481">
        <v>1</v>
      </c>
      <c r="I481">
        <v>16</v>
      </c>
      <c r="J481">
        <v>6</v>
      </c>
      <c r="K481">
        <v>4</v>
      </c>
      <c r="L481">
        <v>6</v>
      </c>
      <c r="M481">
        <v>3</v>
      </c>
      <c r="N481">
        <v>1</v>
      </c>
      <c r="O481">
        <v>2</v>
      </c>
      <c r="P481" t="s">
        <v>1555</v>
      </c>
      <c r="Q481" t="s">
        <v>1553</v>
      </c>
      <c r="R481" t="s">
        <v>1550</v>
      </c>
      <c r="S481" t="s">
        <v>1534</v>
      </c>
      <c r="T481" t="s">
        <v>1538</v>
      </c>
      <c r="U481" t="s">
        <v>1545</v>
      </c>
      <c r="V481" t="s">
        <v>1558</v>
      </c>
      <c r="W481" t="s">
        <v>1563</v>
      </c>
      <c r="X481" t="s">
        <v>1575</v>
      </c>
      <c r="Y481" t="s">
        <v>1583</v>
      </c>
      <c r="Z481" t="s">
        <v>1593</v>
      </c>
      <c r="AA481" t="s">
        <v>1597</v>
      </c>
      <c r="AB481" t="s">
        <v>1600</v>
      </c>
      <c r="AC481" t="s">
        <v>1610</v>
      </c>
      <c r="AD481" t="s">
        <v>1607</v>
      </c>
      <c r="AE481" t="s">
        <v>1617</v>
      </c>
      <c r="AF481" t="s">
        <v>1627</v>
      </c>
    </row>
    <row r="482" spans="1:32" x14ac:dyDescent="0.25">
      <c r="A482" t="s">
        <v>539</v>
      </c>
      <c r="B482">
        <v>30</v>
      </c>
      <c r="C482">
        <v>448</v>
      </c>
      <c r="D482">
        <v>12</v>
      </c>
      <c r="E482">
        <v>74</v>
      </c>
      <c r="F482">
        <v>2033</v>
      </c>
      <c r="G482">
        <v>14470</v>
      </c>
      <c r="H482">
        <v>1</v>
      </c>
      <c r="I482">
        <v>18</v>
      </c>
      <c r="J482">
        <v>1</v>
      </c>
      <c r="K482">
        <v>2</v>
      </c>
      <c r="L482">
        <v>1</v>
      </c>
      <c r="M482">
        <v>0</v>
      </c>
      <c r="N482">
        <v>0</v>
      </c>
      <c r="O482">
        <v>0</v>
      </c>
      <c r="P482" t="s">
        <v>1555</v>
      </c>
      <c r="Q482" t="s">
        <v>1553</v>
      </c>
      <c r="R482" t="s">
        <v>1549</v>
      </c>
      <c r="S482" t="s">
        <v>1535</v>
      </c>
      <c r="T482" t="s">
        <v>1538</v>
      </c>
      <c r="U482" t="s">
        <v>1546</v>
      </c>
      <c r="V482" t="s">
        <v>1559</v>
      </c>
      <c r="W482" t="s">
        <v>1562</v>
      </c>
      <c r="X482" t="s">
        <v>1575</v>
      </c>
      <c r="Y482" t="s">
        <v>1587</v>
      </c>
      <c r="Z482" t="s">
        <v>1591</v>
      </c>
      <c r="AA482" t="s">
        <v>1597</v>
      </c>
      <c r="AB482" t="s">
        <v>1601</v>
      </c>
      <c r="AC482" t="s">
        <v>1610</v>
      </c>
      <c r="AD482" t="s">
        <v>1606</v>
      </c>
      <c r="AE482" t="s">
        <v>1617</v>
      </c>
      <c r="AF482" t="s">
        <v>1628</v>
      </c>
    </row>
    <row r="483" spans="1:32" x14ac:dyDescent="0.25">
      <c r="A483" t="s">
        <v>540</v>
      </c>
      <c r="B483">
        <v>34</v>
      </c>
      <c r="C483">
        <v>254</v>
      </c>
      <c r="D483">
        <v>1</v>
      </c>
      <c r="E483">
        <v>83</v>
      </c>
      <c r="F483">
        <v>3622</v>
      </c>
      <c r="G483">
        <v>22794</v>
      </c>
      <c r="H483">
        <v>1</v>
      </c>
      <c r="I483">
        <v>13</v>
      </c>
      <c r="J483">
        <v>6</v>
      </c>
      <c r="K483">
        <v>3</v>
      </c>
      <c r="L483">
        <v>6</v>
      </c>
      <c r="M483">
        <v>5</v>
      </c>
      <c r="N483">
        <v>1</v>
      </c>
      <c r="O483">
        <v>3</v>
      </c>
      <c r="P483" t="s">
        <v>1556</v>
      </c>
      <c r="Q483" t="s">
        <v>1552</v>
      </c>
      <c r="R483" t="s">
        <v>1550</v>
      </c>
      <c r="S483" t="s">
        <v>1533</v>
      </c>
      <c r="T483" t="s">
        <v>1538</v>
      </c>
      <c r="U483" t="s">
        <v>1546</v>
      </c>
      <c r="V483" t="s">
        <v>1559</v>
      </c>
      <c r="W483" t="s">
        <v>1562</v>
      </c>
      <c r="X483" t="s">
        <v>1575</v>
      </c>
      <c r="Y483" t="s">
        <v>1582</v>
      </c>
      <c r="Z483" t="s">
        <v>1594</v>
      </c>
      <c r="AA483" t="s">
        <v>1597</v>
      </c>
      <c r="AB483" t="s">
        <v>1600</v>
      </c>
      <c r="AC483" t="s">
        <v>1610</v>
      </c>
      <c r="AD483" t="s">
        <v>1607</v>
      </c>
      <c r="AE483" t="s">
        <v>1617</v>
      </c>
      <c r="AF483" t="s">
        <v>1627</v>
      </c>
    </row>
    <row r="484" spans="1:32" x14ac:dyDescent="0.25">
      <c r="A484" t="s">
        <v>541</v>
      </c>
      <c r="B484">
        <v>31</v>
      </c>
      <c r="C484">
        <v>1365</v>
      </c>
      <c r="D484">
        <v>13</v>
      </c>
      <c r="E484">
        <v>46</v>
      </c>
      <c r="F484">
        <v>4233</v>
      </c>
      <c r="G484">
        <v>11512</v>
      </c>
      <c r="H484">
        <v>2</v>
      </c>
      <c r="I484">
        <v>17</v>
      </c>
      <c r="J484">
        <v>9</v>
      </c>
      <c r="K484">
        <v>2</v>
      </c>
      <c r="L484">
        <v>3</v>
      </c>
      <c r="M484">
        <v>1</v>
      </c>
      <c r="N484">
        <v>1</v>
      </c>
      <c r="O484">
        <v>2</v>
      </c>
      <c r="P484" t="s">
        <v>1555</v>
      </c>
      <c r="Q484" t="s">
        <v>1552</v>
      </c>
      <c r="R484" t="s">
        <v>1549</v>
      </c>
      <c r="S484" t="s">
        <v>1535</v>
      </c>
      <c r="T484" t="s">
        <v>1540</v>
      </c>
      <c r="U484" t="s">
        <v>1546</v>
      </c>
      <c r="V484" t="s">
        <v>1559</v>
      </c>
      <c r="W484" t="s">
        <v>1563</v>
      </c>
      <c r="X484" t="s">
        <v>1576</v>
      </c>
      <c r="Y484" t="s">
        <v>1581</v>
      </c>
      <c r="Z484" t="s">
        <v>1591</v>
      </c>
      <c r="AA484" t="s">
        <v>1598</v>
      </c>
      <c r="AB484" t="s">
        <v>1601</v>
      </c>
      <c r="AC484" t="s">
        <v>1610</v>
      </c>
      <c r="AD484" t="s">
        <v>1606</v>
      </c>
      <c r="AE484" t="s">
        <v>1616</v>
      </c>
      <c r="AF484" t="s">
        <v>1625</v>
      </c>
    </row>
    <row r="485" spans="1:32" x14ac:dyDescent="0.25">
      <c r="A485" t="s">
        <v>542</v>
      </c>
      <c r="B485">
        <v>35</v>
      </c>
      <c r="C485">
        <v>538</v>
      </c>
      <c r="D485">
        <v>25</v>
      </c>
      <c r="E485">
        <v>54</v>
      </c>
      <c r="F485">
        <v>3681</v>
      </c>
      <c r="G485">
        <v>14004</v>
      </c>
      <c r="H485">
        <v>4</v>
      </c>
      <c r="I485">
        <v>14</v>
      </c>
      <c r="J485">
        <v>9</v>
      </c>
      <c r="K485">
        <v>3</v>
      </c>
      <c r="L485">
        <v>3</v>
      </c>
      <c r="M485">
        <v>2</v>
      </c>
      <c r="N485">
        <v>0</v>
      </c>
      <c r="O485">
        <v>2</v>
      </c>
      <c r="P485" t="s">
        <v>1556</v>
      </c>
      <c r="Q485" t="s">
        <v>1552</v>
      </c>
      <c r="R485" t="s">
        <v>1550</v>
      </c>
      <c r="S485" t="s">
        <v>1533</v>
      </c>
      <c r="T485" t="s">
        <v>1539</v>
      </c>
      <c r="U485" t="s">
        <v>1545</v>
      </c>
      <c r="V485" t="s">
        <v>1559</v>
      </c>
      <c r="W485" t="s">
        <v>1562</v>
      </c>
      <c r="X485" t="s">
        <v>1576</v>
      </c>
      <c r="Y485" t="s">
        <v>1583</v>
      </c>
      <c r="Z485" t="s">
        <v>1594</v>
      </c>
      <c r="AA485" t="s">
        <v>1596</v>
      </c>
      <c r="AB485" t="s">
        <v>1601</v>
      </c>
      <c r="AC485" t="s">
        <v>1610</v>
      </c>
      <c r="AD485" t="s">
        <v>1607</v>
      </c>
      <c r="AE485" t="s">
        <v>1616</v>
      </c>
      <c r="AF485" t="s">
        <v>1627</v>
      </c>
    </row>
    <row r="486" spans="1:32" x14ac:dyDescent="0.25">
      <c r="A486" t="s">
        <v>543</v>
      </c>
      <c r="B486">
        <v>31</v>
      </c>
      <c r="C486">
        <v>525</v>
      </c>
      <c r="D486">
        <v>6</v>
      </c>
      <c r="E486">
        <v>66</v>
      </c>
      <c r="F486">
        <v>5460</v>
      </c>
      <c r="G486">
        <v>6219</v>
      </c>
      <c r="H486">
        <v>4</v>
      </c>
      <c r="I486">
        <v>22</v>
      </c>
      <c r="J486">
        <v>13</v>
      </c>
      <c r="K486">
        <v>4</v>
      </c>
      <c r="L486">
        <v>7</v>
      </c>
      <c r="M486">
        <v>7</v>
      </c>
      <c r="N486">
        <v>5</v>
      </c>
      <c r="O486">
        <v>7</v>
      </c>
      <c r="P486" t="s">
        <v>1556</v>
      </c>
      <c r="Q486" t="s">
        <v>1552</v>
      </c>
      <c r="R486" t="s">
        <v>1549</v>
      </c>
      <c r="S486" t="s">
        <v>1535</v>
      </c>
      <c r="T486" t="s">
        <v>1540</v>
      </c>
      <c r="U486" t="s">
        <v>1545</v>
      </c>
      <c r="V486" t="s">
        <v>1559</v>
      </c>
      <c r="W486" t="s">
        <v>1564</v>
      </c>
      <c r="X486" t="s">
        <v>1576</v>
      </c>
      <c r="Y486" t="s">
        <v>1581</v>
      </c>
      <c r="Z486" t="s">
        <v>1594</v>
      </c>
      <c r="AA486" t="s">
        <v>1598</v>
      </c>
      <c r="AB486" t="s">
        <v>1601</v>
      </c>
      <c r="AC486" t="s">
        <v>1611</v>
      </c>
      <c r="AD486" t="s">
        <v>1607</v>
      </c>
      <c r="AE486" t="s">
        <v>1618</v>
      </c>
      <c r="AF486" t="s">
        <v>1628</v>
      </c>
    </row>
    <row r="487" spans="1:32" x14ac:dyDescent="0.25">
      <c r="A487" t="s">
        <v>544</v>
      </c>
      <c r="B487">
        <v>27</v>
      </c>
      <c r="C487">
        <v>798</v>
      </c>
      <c r="D487">
        <v>6</v>
      </c>
      <c r="E487">
        <v>66</v>
      </c>
      <c r="F487">
        <v>2187</v>
      </c>
      <c r="G487">
        <v>5013</v>
      </c>
      <c r="H487">
        <v>0</v>
      </c>
      <c r="I487">
        <v>12</v>
      </c>
      <c r="J487">
        <v>6</v>
      </c>
      <c r="K487">
        <v>5</v>
      </c>
      <c r="L487">
        <v>5</v>
      </c>
      <c r="M487">
        <v>3</v>
      </c>
      <c r="N487">
        <v>0</v>
      </c>
      <c r="O487">
        <v>3</v>
      </c>
      <c r="P487" t="s">
        <v>1556</v>
      </c>
      <c r="Q487" t="s">
        <v>1552</v>
      </c>
      <c r="R487" t="s">
        <v>1550</v>
      </c>
      <c r="S487" t="s">
        <v>1535</v>
      </c>
      <c r="T487" t="s">
        <v>1540</v>
      </c>
      <c r="U487" t="s">
        <v>1545</v>
      </c>
      <c r="V487" t="s">
        <v>1558</v>
      </c>
      <c r="W487" t="s">
        <v>1562</v>
      </c>
      <c r="X487" t="s">
        <v>1575</v>
      </c>
      <c r="Y487" t="s">
        <v>1582</v>
      </c>
      <c r="Z487" t="s">
        <v>1593</v>
      </c>
      <c r="AA487" t="s">
        <v>1598</v>
      </c>
      <c r="AB487" t="s">
        <v>1601</v>
      </c>
      <c r="AC487" t="s">
        <v>1610</v>
      </c>
      <c r="AD487" t="s">
        <v>1606</v>
      </c>
      <c r="AE487" t="s">
        <v>1618</v>
      </c>
      <c r="AF487" t="s">
        <v>1626</v>
      </c>
    </row>
    <row r="488" spans="1:32" x14ac:dyDescent="0.25">
      <c r="A488" t="s">
        <v>545</v>
      </c>
      <c r="B488">
        <v>37</v>
      </c>
      <c r="C488">
        <v>558</v>
      </c>
      <c r="D488">
        <v>2</v>
      </c>
      <c r="E488">
        <v>75</v>
      </c>
      <c r="F488">
        <v>9602</v>
      </c>
      <c r="G488">
        <v>3010</v>
      </c>
      <c r="H488">
        <v>4</v>
      </c>
      <c r="I488">
        <v>11</v>
      </c>
      <c r="J488">
        <v>17</v>
      </c>
      <c r="K488">
        <v>3</v>
      </c>
      <c r="L488">
        <v>3</v>
      </c>
      <c r="M488">
        <v>0</v>
      </c>
      <c r="N488">
        <v>1</v>
      </c>
      <c r="O488">
        <v>0</v>
      </c>
      <c r="P488" t="s">
        <v>1556</v>
      </c>
      <c r="Q488" t="s">
        <v>1552</v>
      </c>
      <c r="R488" t="s">
        <v>1549</v>
      </c>
      <c r="S488" t="s">
        <v>1534</v>
      </c>
      <c r="T488" t="s">
        <v>1541</v>
      </c>
      <c r="U488" t="s">
        <v>1548</v>
      </c>
      <c r="V488" t="s">
        <v>1559</v>
      </c>
      <c r="W488" t="s">
        <v>1563</v>
      </c>
      <c r="X488" t="s">
        <v>1576</v>
      </c>
      <c r="Y488" t="s">
        <v>1581</v>
      </c>
      <c r="Z488" t="s">
        <v>1593</v>
      </c>
      <c r="AA488" t="s">
        <v>1597</v>
      </c>
      <c r="AB488" t="s">
        <v>1600</v>
      </c>
      <c r="AC488" t="s">
        <v>1610</v>
      </c>
      <c r="AD488" t="s">
        <v>1606</v>
      </c>
      <c r="AE488" t="s">
        <v>1617</v>
      </c>
      <c r="AF488" t="s">
        <v>1626</v>
      </c>
    </row>
    <row r="489" spans="1:32" x14ac:dyDescent="0.25">
      <c r="A489" t="s">
        <v>546</v>
      </c>
      <c r="B489">
        <v>20</v>
      </c>
      <c r="C489">
        <v>959</v>
      </c>
      <c r="D489">
        <v>1</v>
      </c>
      <c r="E489">
        <v>83</v>
      </c>
      <c r="F489">
        <v>2836</v>
      </c>
      <c r="G489">
        <v>11757</v>
      </c>
      <c r="H489">
        <v>1</v>
      </c>
      <c r="I489">
        <v>13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 t="s">
        <v>1556</v>
      </c>
      <c r="Q489" t="s">
        <v>1552</v>
      </c>
      <c r="R489" t="s">
        <v>1550</v>
      </c>
      <c r="S489" t="s">
        <v>1534</v>
      </c>
      <c r="T489" t="s">
        <v>1538</v>
      </c>
      <c r="U489" t="s">
        <v>1548</v>
      </c>
      <c r="V489" t="s">
        <v>1558</v>
      </c>
      <c r="W489" t="s">
        <v>1562</v>
      </c>
      <c r="X489" t="s">
        <v>1575</v>
      </c>
      <c r="Y489" t="s">
        <v>1582</v>
      </c>
      <c r="Z489" t="s">
        <v>1592</v>
      </c>
      <c r="AA489" t="s">
        <v>1596</v>
      </c>
      <c r="AB489" t="s">
        <v>1601</v>
      </c>
      <c r="AC489" t="s">
        <v>1610</v>
      </c>
      <c r="AD489" t="s">
        <v>1607</v>
      </c>
      <c r="AE489" t="s">
        <v>1616</v>
      </c>
      <c r="AF489" t="s">
        <v>1628</v>
      </c>
    </row>
    <row r="490" spans="1:32" x14ac:dyDescent="0.25">
      <c r="A490" t="s">
        <v>547</v>
      </c>
      <c r="B490">
        <v>42</v>
      </c>
      <c r="C490">
        <v>622</v>
      </c>
      <c r="D490">
        <v>2</v>
      </c>
      <c r="E490">
        <v>81</v>
      </c>
      <c r="F490">
        <v>4089</v>
      </c>
      <c r="G490">
        <v>5718</v>
      </c>
      <c r="H490">
        <v>1</v>
      </c>
      <c r="I490">
        <v>13</v>
      </c>
      <c r="J490">
        <v>10</v>
      </c>
      <c r="K490">
        <v>4</v>
      </c>
      <c r="L490">
        <v>10</v>
      </c>
      <c r="M490">
        <v>2</v>
      </c>
      <c r="N490">
        <v>2</v>
      </c>
      <c r="O490">
        <v>2</v>
      </c>
      <c r="P490" t="s">
        <v>1556</v>
      </c>
      <c r="Q490" t="s">
        <v>1552</v>
      </c>
      <c r="R490" t="s">
        <v>1550</v>
      </c>
      <c r="S490" t="s">
        <v>1535</v>
      </c>
      <c r="T490" t="s">
        <v>1538</v>
      </c>
      <c r="U490" t="s">
        <v>1547</v>
      </c>
      <c r="V490" t="s">
        <v>1558</v>
      </c>
      <c r="W490" t="s">
        <v>1563</v>
      </c>
      <c r="X490" t="s">
        <v>1576</v>
      </c>
      <c r="Y490" t="s">
        <v>1585</v>
      </c>
      <c r="Z490" t="s">
        <v>1594</v>
      </c>
      <c r="AA490" t="s">
        <v>1597</v>
      </c>
      <c r="AB490" t="s">
        <v>1601</v>
      </c>
      <c r="AC490" t="s">
        <v>1610</v>
      </c>
      <c r="AD490" t="s">
        <v>1605</v>
      </c>
      <c r="AE490" t="s">
        <v>1618</v>
      </c>
      <c r="AF490" t="s">
        <v>1627</v>
      </c>
    </row>
    <row r="491" spans="1:32" x14ac:dyDescent="0.25">
      <c r="A491" t="s">
        <v>548</v>
      </c>
      <c r="B491">
        <v>43</v>
      </c>
      <c r="C491">
        <v>782</v>
      </c>
      <c r="D491">
        <v>6</v>
      </c>
      <c r="E491">
        <v>50</v>
      </c>
      <c r="F491">
        <v>16627</v>
      </c>
      <c r="G491">
        <v>2671</v>
      </c>
      <c r="H491">
        <v>4</v>
      </c>
      <c r="I491">
        <v>14</v>
      </c>
      <c r="J491">
        <v>21</v>
      </c>
      <c r="K491">
        <v>3</v>
      </c>
      <c r="L491">
        <v>1</v>
      </c>
      <c r="M491">
        <v>0</v>
      </c>
      <c r="N491">
        <v>0</v>
      </c>
      <c r="O491">
        <v>0</v>
      </c>
      <c r="P491" t="s">
        <v>1556</v>
      </c>
      <c r="Q491" t="s">
        <v>1552</v>
      </c>
      <c r="R491" t="s">
        <v>1550</v>
      </c>
      <c r="S491" t="s">
        <v>1535</v>
      </c>
      <c r="T491" t="s">
        <v>1539</v>
      </c>
      <c r="U491" t="s">
        <v>1546</v>
      </c>
      <c r="V491" t="s">
        <v>1559</v>
      </c>
      <c r="W491" t="s">
        <v>1562</v>
      </c>
      <c r="X491" t="s">
        <v>1578</v>
      </c>
      <c r="Y491" t="s">
        <v>1588</v>
      </c>
      <c r="Z491" t="s">
        <v>1594</v>
      </c>
      <c r="AA491" t="s">
        <v>1598</v>
      </c>
      <c r="AB491" t="s">
        <v>1600</v>
      </c>
      <c r="AC491" t="s">
        <v>1610</v>
      </c>
      <c r="AD491" t="s">
        <v>1606</v>
      </c>
      <c r="AE491" t="s">
        <v>1617</v>
      </c>
      <c r="AF491" t="s">
        <v>1626</v>
      </c>
    </row>
    <row r="492" spans="1:32" x14ac:dyDescent="0.25">
      <c r="A492" t="s">
        <v>549</v>
      </c>
      <c r="B492">
        <v>38</v>
      </c>
      <c r="C492">
        <v>362</v>
      </c>
      <c r="D492">
        <v>1</v>
      </c>
      <c r="E492">
        <v>43</v>
      </c>
      <c r="F492">
        <v>2619</v>
      </c>
      <c r="G492">
        <v>14561</v>
      </c>
      <c r="H492">
        <v>3</v>
      </c>
      <c r="I492">
        <v>17</v>
      </c>
      <c r="J492">
        <v>8</v>
      </c>
      <c r="K492">
        <v>3</v>
      </c>
      <c r="L492">
        <v>0</v>
      </c>
      <c r="M492">
        <v>0</v>
      </c>
      <c r="N492">
        <v>0</v>
      </c>
      <c r="O492">
        <v>0</v>
      </c>
      <c r="P492" t="s">
        <v>1556</v>
      </c>
      <c r="Q492" t="s">
        <v>1552</v>
      </c>
      <c r="R492" t="s">
        <v>1550</v>
      </c>
      <c r="S492" t="s">
        <v>1532</v>
      </c>
      <c r="T492" t="s">
        <v>1538</v>
      </c>
      <c r="U492" t="s">
        <v>1547</v>
      </c>
      <c r="V492" t="s">
        <v>1558</v>
      </c>
      <c r="W492" t="s">
        <v>1563</v>
      </c>
      <c r="X492" t="s">
        <v>1575</v>
      </c>
      <c r="Y492" t="s">
        <v>1582</v>
      </c>
      <c r="Z492" t="s">
        <v>1591</v>
      </c>
      <c r="AA492" t="s">
        <v>1596</v>
      </c>
      <c r="AB492" t="s">
        <v>1601</v>
      </c>
      <c r="AC492" t="s">
        <v>1610</v>
      </c>
      <c r="AD492" t="s">
        <v>1607</v>
      </c>
      <c r="AE492" t="s">
        <v>1616</v>
      </c>
      <c r="AF492" t="s">
        <v>1626</v>
      </c>
    </row>
    <row r="493" spans="1:32" x14ac:dyDescent="0.25">
      <c r="A493" t="s">
        <v>550</v>
      </c>
      <c r="B493">
        <v>43</v>
      </c>
      <c r="C493">
        <v>1001</v>
      </c>
      <c r="D493">
        <v>9</v>
      </c>
      <c r="E493">
        <v>72</v>
      </c>
      <c r="F493">
        <v>5679</v>
      </c>
      <c r="G493">
        <v>19627</v>
      </c>
      <c r="H493">
        <v>3</v>
      </c>
      <c r="I493">
        <v>13</v>
      </c>
      <c r="J493">
        <v>10</v>
      </c>
      <c r="K493">
        <v>3</v>
      </c>
      <c r="L493">
        <v>8</v>
      </c>
      <c r="M493">
        <v>7</v>
      </c>
      <c r="N493">
        <v>4</v>
      </c>
      <c r="O493">
        <v>7</v>
      </c>
      <c r="P493" t="s">
        <v>1556</v>
      </c>
      <c r="Q493" t="s">
        <v>1553</v>
      </c>
      <c r="R493" t="s">
        <v>1550</v>
      </c>
      <c r="S493" t="s">
        <v>1536</v>
      </c>
      <c r="T493" t="s">
        <v>1540</v>
      </c>
      <c r="U493" t="s">
        <v>1548</v>
      </c>
      <c r="V493" t="s">
        <v>1559</v>
      </c>
      <c r="W493" t="s">
        <v>1563</v>
      </c>
      <c r="X493" t="s">
        <v>1576</v>
      </c>
      <c r="Y493" t="s">
        <v>1583</v>
      </c>
      <c r="Z493" t="s">
        <v>1593</v>
      </c>
      <c r="AA493" t="s">
        <v>1598</v>
      </c>
      <c r="AB493" t="s">
        <v>1600</v>
      </c>
      <c r="AC493" t="s">
        <v>1610</v>
      </c>
      <c r="AD493" t="s">
        <v>1605</v>
      </c>
      <c r="AE493" t="s">
        <v>1617</v>
      </c>
      <c r="AF493" t="s">
        <v>1627</v>
      </c>
    </row>
    <row r="494" spans="1:32" x14ac:dyDescent="0.25">
      <c r="A494" t="s">
        <v>551</v>
      </c>
      <c r="B494">
        <v>48</v>
      </c>
      <c r="C494">
        <v>1236</v>
      </c>
      <c r="D494">
        <v>1</v>
      </c>
      <c r="E494">
        <v>40</v>
      </c>
      <c r="F494">
        <v>15402</v>
      </c>
      <c r="G494">
        <v>17997</v>
      </c>
      <c r="H494">
        <v>7</v>
      </c>
      <c r="I494">
        <v>11</v>
      </c>
      <c r="J494">
        <v>21</v>
      </c>
      <c r="K494">
        <v>3</v>
      </c>
      <c r="L494">
        <v>3</v>
      </c>
      <c r="M494">
        <v>2</v>
      </c>
      <c r="N494">
        <v>0</v>
      </c>
      <c r="O494">
        <v>2</v>
      </c>
      <c r="P494" t="s">
        <v>1556</v>
      </c>
      <c r="Q494" t="s">
        <v>1552</v>
      </c>
      <c r="R494" t="s">
        <v>1550</v>
      </c>
      <c r="S494" t="s">
        <v>1535</v>
      </c>
      <c r="T494" t="s">
        <v>1538</v>
      </c>
      <c r="U494" t="s">
        <v>1548</v>
      </c>
      <c r="V494" t="s">
        <v>1558</v>
      </c>
      <c r="W494" t="s">
        <v>1562</v>
      </c>
      <c r="X494" t="s">
        <v>1578</v>
      </c>
      <c r="Y494" t="s">
        <v>1586</v>
      </c>
      <c r="Z494" t="s">
        <v>1591</v>
      </c>
      <c r="AA494" t="s">
        <v>1597</v>
      </c>
      <c r="AB494" t="s">
        <v>1601</v>
      </c>
      <c r="AC494" t="s">
        <v>1610</v>
      </c>
      <c r="AD494" t="s">
        <v>1604</v>
      </c>
      <c r="AE494" t="s">
        <v>1617</v>
      </c>
      <c r="AF494" t="s">
        <v>1625</v>
      </c>
    </row>
    <row r="495" spans="1:32" x14ac:dyDescent="0.25">
      <c r="A495" t="s">
        <v>552</v>
      </c>
      <c r="B495">
        <v>44</v>
      </c>
      <c r="C495">
        <v>1112</v>
      </c>
      <c r="D495">
        <v>1</v>
      </c>
      <c r="E495">
        <v>50</v>
      </c>
      <c r="F495">
        <v>5985</v>
      </c>
      <c r="G495">
        <v>26894</v>
      </c>
      <c r="H495">
        <v>4</v>
      </c>
      <c r="I495">
        <v>11</v>
      </c>
      <c r="J495">
        <v>10</v>
      </c>
      <c r="K495">
        <v>1</v>
      </c>
      <c r="L495">
        <v>2</v>
      </c>
      <c r="M495">
        <v>2</v>
      </c>
      <c r="N495">
        <v>0</v>
      </c>
      <c r="O495">
        <v>2</v>
      </c>
      <c r="P495" t="s">
        <v>1556</v>
      </c>
      <c r="Q495" t="s">
        <v>1552</v>
      </c>
      <c r="R495" t="s">
        <v>1551</v>
      </c>
      <c r="S495" t="s">
        <v>1535</v>
      </c>
      <c r="T495" t="s">
        <v>1538</v>
      </c>
      <c r="U495" t="s">
        <v>1545</v>
      </c>
      <c r="V495" t="s">
        <v>1558</v>
      </c>
      <c r="W495" t="s">
        <v>1562</v>
      </c>
      <c r="X495" t="s">
        <v>1576</v>
      </c>
      <c r="Y495" t="s">
        <v>1589</v>
      </c>
      <c r="Z495" t="s">
        <v>1593</v>
      </c>
      <c r="AA495" t="s">
        <v>1596</v>
      </c>
      <c r="AB495" t="s">
        <v>1601</v>
      </c>
      <c r="AC495" t="s">
        <v>1610</v>
      </c>
      <c r="AD495" t="s">
        <v>1605</v>
      </c>
      <c r="AE495" t="s">
        <v>1616</v>
      </c>
      <c r="AF495" t="s">
        <v>1628</v>
      </c>
    </row>
    <row r="496" spans="1:32" x14ac:dyDescent="0.25">
      <c r="A496" t="s">
        <v>553</v>
      </c>
      <c r="B496">
        <v>34</v>
      </c>
      <c r="C496">
        <v>204</v>
      </c>
      <c r="D496">
        <v>14</v>
      </c>
      <c r="E496">
        <v>31</v>
      </c>
      <c r="F496">
        <v>2579</v>
      </c>
      <c r="G496">
        <v>2912</v>
      </c>
      <c r="H496">
        <v>1</v>
      </c>
      <c r="I496">
        <v>18</v>
      </c>
      <c r="J496">
        <v>8</v>
      </c>
      <c r="K496">
        <v>3</v>
      </c>
      <c r="L496">
        <v>8</v>
      </c>
      <c r="M496">
        <v>2</v>
      </c>
      <c r="N496">
        <v>0</v>
      </c>
      <c r="O496">
        <v>6</v>
      </c>
      <c r="P496" t="s">
        <v>1556</v>
      </c>
      <c r="Q496" t="s">
        <v>1552</v>
      </c>
      <c r="R496" t="s">
        <v>1549</v>
      </c>
      <c r="S496" t="s">
        <v>1534</v>
      </c>
      <c r="T496" t="s">
        <v>1542</v>
      </c>
      <c r="U496" t="s">
        <v>1547</v>
      </c>
      <c r="V496" t="s">
        <v>1558</v>
      </c>
      <c r="W496" t="s">
        <v>1563</v>
      </c>
      <c r="X496" t="s">
        <v>1575</v>
      </c>
      <c r="Y496" t="s">
        <v>1587</v>
      </c>
      <c r="Z496" t="s">
        <v>1593</v>
      </c>
      <c r="AA496" t="s">
        <v>1598</v>
      </c>
      <c r="AB496" t="s">
        <v>1600</v>
      </c>
      <c r="AC496" t="s">
        <v>1610</v>
      </c>
      <c r="AD496" t="s">
        <v>1607</v>
      </c>
      <c r="AE496" t="s">
        <v>1618</v>
      </c>
      <c r="AF496" t="s">
        <v>1627</v>
      </c>
    </row>
    <row r="497" spans="1:32" x14ac:dyDescent="0.25">
      <c r="A497" t="s">
        <v>554</v>
      </c>
      <c r="B497">
        <v>27</v>
      </c>
      <c r="C497">
        <v>1420</v>
      </c>
      <c r="D497">
        <v>2</v>
      </c>
      <c r="E497">
        <v>85</v>
      </c>
      <c r="F497">
        <v>3041</v>
      </c>
      <c r="G497">
        <v>16346</v>
      </c>
      <c r="H497">
        <v>0</v>
      </c>
      <c r="I497">
        <v>11</v>
      </c>
      <c r="J497">
        <v>5</v>
      </c>
      <c r="K497">
        <v>3</v>
      </c>
      <c r="L497">
        <v>4</v>
      </c>
      <c r="M497">
        <v>3</v>
      </c>
      <c r="N497">
        <v>0</v>
      </c>
      <c r="O497">
        <v>2</v>
      </c>
      <c r="P497" t="s">
        <v>1555</v>
      </c>
      <c r="Q497" t="s">
        <v>1552</v>
      </c>
      <c r="R497" t="s">
        <v>1549</v>
      </c>
      <c r="S497" t="s">
        <v>1532</v>
      </c>
      <c r="T497" t="s">
        <v>1541</v>
      </c>
      <c r="U497" t="s">
        <v>1547</v>
      </c>
      <c r="V497" t="s">
        <v>1559</v>
      </c>
      <c r="W497" t="s">
        <v>1563</v>
      </c>
      <c r="X497" t="s">
        <v>1575</v>
      </c>
      <c r="Y497" t="s">
        <v>1587</v>
      </c>
      <c r="Z497" t="s">
        <v>1591</v>
      </c>
      <c r="AA497" t="s">
        <v>1598</v>
      </c>
      <c r="AB497" t="s">
        <v>1601</v>
      </c>
      <c r="AC497" t="s">
        <v>1610</v>
      </c>
      <c r="AD497" t="s">
        <v>1605</v>
      </c>
      <c r="AE497" t="s">
        <v>1617</v>
      </c>
      <c r="AF497" t="s">
        <v>1627</v>
      </c>
    </row>
    <row r="498" spans="1:32" x14ac:dyDescent="0.25">
      <c r="A498" t="s">
        <v>555</v>
      </c>
      <c r="B498">
        <v>21</v>
      </c>
      <c r="C498">
        <v>1343</v>
      </c>
      <c r="D498">
        <v>22</v>
      </c>
      <c r="E498">
        <v>49</v>
      </c>
      <c r="F498">
        <v>3447</v>
      </c>
      <c r="G498">
        <v>24444</v>
      </c>
      <c r="H498">
        <v>1</v>
      </c>
      <c r="I498">
        <v>11</v>
      </c>
      <c r="J498">
        <v>3</v>
      </c>
      <c r="K498">
        <v>2</v>
      </c>
      <c r="L498">
        <v>3</v>
      </c>
      <c r="M498">
        <v>2</v>
      </c>
      <c r="N498">
        <v>1</v>
      </c>
      <c r="O498">
        <v>2</v>
      </c>
      <c r="P498" t="s">
        <v>1556</v>
      </c>
      <c r="Q498" t="s">
        <v>1552</v>
      </c>
      <c r="R498" t="s">
        <v>1549</v>
      </c>
      <c r="S498" t="s">
        <v>1532</v>
      </c>
      <c r="T498" t="s">
        <v>1542</v>
      </c>
      <c r="U498" t="s">
        <v>1547</v>
      </c>
      <c r="V498" t="s">
        <v>1559</v>
      </c>
      <c r="W498" t="s">
        <v>1563</v>
      </c>
      <c r="X498" t="s">
        <v>1575</v>
      </c>
      <c r="Y498" t="s">
        <v>1587</v>
      </c>
      <c r="Z498" t="s">
        <v>1593</v>
      </c>
      <c r="AA498" t="s">
        <v>1596</v>
      </c>
      <c r="AB498" t="s">
        <v>1601</v>
      </c>
      <c r="AC498" t="s">
        <v>1610</v>
      </c>
      <c r="AD498" t="s">
        <v>1606</v>
      </c>
      <c r="AE498" t="s">
        <v>1616</v>
      </c>
      <c r="AF498" t="s">
        <v>1627</v>
      </c>
    </row>
    <row r="499" spans="1:32" x14ac:dyDescent="0.25">
      <c r="A499" t="s">
        <v>556</v>
      </c>
      <c r="B499">
        <v>44</v>
      </c>
      <c r="C499">
        <v>1315</v>
      </c>
      <c r="D499">
        <v>3</v>
      </c>
      <c r="E499">
        <v>35</v>
      </c>
      <c r="F499">
        <v>19513</v>
      </c>
      <c r="G499">
        <v>9358</v>
      </c>
      <c r="H499">
        <v>4</v>
      </c>
      <c r="I499">
        <v>12</v>
      </c>
      <c r="J499">
        <v>26</v>
      </c>
      <c r="K499">
        <v>2</v>
      </c>
      <c r="L499">
        <v>2</v>
      </c>
      <c r="M499">
        <v>2</v>
      </c>
      <c r="N499">
        <v>0</v>
      </c>
      <c r="O499">
        <v>1</v>
      </c>
      <c r="P499" t="s">
        <v>1556</v>
      </c>
      <c r="Q499" t="s">
        <v>1552</v>
      </c>
      <c r="R499" t="s">
        <v>1550</v>
      </c>
      <c r="S499" t="s">
        <v>1535</v>
      </c>
      <c r="T499" t="s">
        <v>1539</v>
      </c>
      <c r="U499" t="s">
        <v>1548</v>
      </c>
      <c r="V499" t="s">
        <v>1559</v>
      </c>
      <c r="W499" t="s">
        <v>1563</v>
      </c>
      <c r="X499" t="s">
        <v>1579</v>
      </c>
      <c r="Y499" t="s">
        <v>1586</v>
      </c>
      <c r="Z499" t="s">
        <v>1594</v>
      </c>
      <c r="AA499" t="s">
        <v>1597</v>
      </c>
      <c r="AB499" t="s">
        <v>1600</v>
      </c>
      <c r="AC499" t="s">
        <v>1610</v>
      </c>
      <c r="AD499" t="s">
        <v>1604</v>
      </c>
      <c r="AE499" t="s">
        <v>1617</v>
      </c>
      <c r="AF499" t="s">
        <v>1628</v>
      </c>
    </row>
    <row r="500" spans="1:32" x14ac:dyDescent="0.25">
      <c r="A500" t="s">
        <v>557</v>
      </c>
      <c r="B500">
        <v>22</v>
      </c>
      <c r="C500">
        <v>604</v>
      </c>
      <c r="D500">
        <v>6</v>
      </c>
      <c r="E500">
        <v>69</v>
      </c>
      <c r="F500">
        <v>2773</v>
      </c>
      <c r="G500">
        <v>12145</v>
      </c>
      <c r="H500">
        <v>0</v>
      </c>
      <c r="I500">
        <v>20</v>
      </c>
      <c r="J500">
        <v>3</v>
      </c>
      <c r="K500">
        <v>3</v>
      </c>
      <c r="L500">
        <v>2</v>
      </c>
      <c r="M500">
        <v>2</v>
      </c>
      <c r="N500">
        <v>2</v>
      </c>
      <c r="O500">
        <v>2</v>
      </c>
      <c r="P500" t="s">
        <v>1556</v>
      </c>
      <c r="Q500" t="s">
        <v>1552</v>
      </c>
      <c r="R500" t="s">
        <v>1550</v>
      </c>
      <c r="S500" t="s">
        <v>1532</v>
      </c>
      <c r="T500" t="s">
        <v>1540</v>
      </c>
      <c r="U500" t="s">
        <v>1545</v>
      </c>
      <c r="V500" t="s">
        <v>1559</v>
      </c>
      <c r="W500" t="s">
        <v>1563</v>
      </c>
      <c r="X500" t="s">
        <v>1575</v>
      </c>
      <c r="Y500" t="s">
        <v>1582</v>
      </c>
      <c r="Z500" t="s">
        <v>1593</v>
      </c>
      <c r="AA500" t="s">
        <v>1597</v>
      </c>
      <c r="AB500" t="s">
        <v>1601</v>
      </c>
      <c r="AC500" t="s">
        <v>1611</v>
      </c>
      <c r="AD500" t="s">
        <v>1607</v>
      </c>
      <c r="AE500" t="s">
        <v>1616</v>
      </c>
      <c r="AF500" t="s">
        <v>1627</v>
      </c>
    </row>
    <row r="501" spans="1:32" x14ac:dyDescent="0.25">
      <c r="A501" t="s">
        <v>558</v>
      </c>
      <c r="B501">
        <v>33</v>
      </c>
      <c r="C501">
        <v>1216</v>
      </c>
      <c r="D501">
        <v>8</v>
      </c>
      <c r="E501">
        <v>39</v>
      </c>
      <c r="F501">
        <v>7104</v>
      </c>
      <c r="G501">
        <v>20431</v>
      </c>
      <c r="H501">
        <v>0</v>
      </c>
      <c r="I501">
        <v>12</v>
      </c>
      <c r="J501">
        <v>6</v>
      </c>
      <c r="K501">
        <v>3</v>
      </c>
      <c r="L501">
        <v>5</v>
      </c>
      <c r="M501">
        <v>0</v>
      </c>
      <c r="N501">
        <v>1</v>
      </c>
      <c r="O501">
        <v>2</v>
      </c>
      <c r="P501" t="s">
        <v>1556</v>
      </c>
      <c r="Q501" t="s">
        <v>1552</v>
      </c>
      <c r="R501" t="s">
        <v>1549</v>
      </c>
      <c r="S501" t="s">
        <v>1535</v>
      </c>
      <c r="T501" t="s">
        <v>1541</v>
      </c>
      <c r="U501" t="s">
        <v>1547</v>
      </c>
      <c r="V501" t="s">
        <v>1559</v>
      </c>
      <c r="W501" t="s">
        <v>1563</v>
      </c>
      <c r="X501" t="s">
        <v>1576</v>
      </c>
      <c r="Y501" t="s">
        <v>1581</v>
      </c>
      <c r="Z501" t="s">
        <v>1593</v>
      </c>
      <c r="AA501" t="s">
        <v>1598</v>
      </c>
      <c r="AB501" t="s">
        <v>1601</v>
      </c>
      <c r="AC501" t="s">
        <v>1610</v>
      </c>
      <c r="AD501" t="s">
        <v>1607</v>
      </c>
      <c r="AE501" t="s">
        <v>1616</v>
      </c>
      <c r="AF501" t="s">
        <v>1627</v>
      </c>
    </row>
    <row r="502" spans="1:32" x14ac:dyDescent="0.25">
      <c r="A502" t="s">
        <v>559</v>
      </c>
      <c r="B502">
        <v>32</v>
      </c>
      <c r="C502">
        <v>646</v>
      </c>
      <c r="D502">
        <v>9</v>
      </c>
      <c r="E502">
        <v>92</v>
      </c>
      <c r="F502">
        <v>6322</v>
      </c>
      <c r="G502">
        <v>18089</v>
      </c>
      <c r="H502">
        <v>1</v>
      </c>
      <c r="I502">
        <v>12</v>
      </c>
      <c r="J502">
        <v>6</v>
      </c>
      <c r="K502">
        <v>2</v>
      </c>
      <c r="L502">
        <v>6</v>
      </c>
      <c r="M502">
        <v>4</v>
      </c>
      <c r="N502">
        <v>0</v>
      </c>
      <c r="O502">
        <v>5</v>
      </c>
      <c r="P502" t="s">
        <v>1556</v>
      </c>
      <c r="Q502" t="s">
        <v>1552</v>
      </c>
      <c r="R502" t="s">
        <v>1550</v>
      </c>
      <c r="S502" t="s">
        <v>1535</v>
      </c>
      <c r="T502" t="s">
        <v>1538</v>
      </c>
      <c r="U502" t="s">
        <v>1545</v>
      </c>
      <c r="V502" t="s">
        <v>1558</v>
      </c>
      <c r="W502" t="s">
        <v>1563</v>
      </c>
      <c r="X502" t="s">
        <v>1576</v>
      </c>
      <c r="Y502" t="s">
        <v>1582</v>
      </c>
      <c r="Z502" t="s">
        <v>1594</v>
      </c>
      <c r="AA502" t="s">
        <v>1597</v>
      </c>
      <c r="AB502" t="s">
        <v>1600</v>
      </c>
      <c r="AC502" t="s">
        <v>1610</v>
      </c>
      <c r="AD502" t="s">
        <v>1607</v>
      </c>
      <c r="AE502" t="s">
        <v>1617</v>
      </c>
      <c r="AF502" t="s">
        <v>1626</v>
      </c>
    </row>
    <row r="503" spans="1:32" x14ac:dyDescent="0.25">
      <c r="A503" t="s">
        <v>560</v>
      </c>
      <c r="B503">
        <v>30</v>
      </c>
      <c r="C503">
        <v>160</v>
      </c>
      <c r="D503">
        <v>3</v>
      </c>
      <c r="E503">
        <v>71</v>
      </c>
      <c r="F503">
        <v>2083</v>
      </c>
      <c r="G503">
        <v>22653</v>
      </c>
      <c r="H503">
        <v>1</v>
      </c>
      <c r="I503">
        <v>20</v>
      </c>
      <c r="J503">
        <v>1</v>
      </c>
      <c r="K503">
        <v>2</v>
      </c>
      <c r="L503">
        <v>1</v>
      </c>
      <c r="M503">
        <v>0</v>
      </c>
      <c r="N503">
        <v>0</v>
      </c>
      <c r="O503">
        <v>0</v>
      </c>
      <c r="P503" t="s">
        <v>1556</v>
      </c>
      <c r="Q503" t="s">
        <v>1553</v>
      </c>
      <c r="R503" t="s">
        <v>1550</v>
      </c>
      <c r="S503" t="s">
        <v>1534</v>
      </c>
      <c r="T503" t="s">
        <v>1540</v>
      </c>
      <c r="U503" t="s">
        <v>1547</v>
      </c>
      <c r="V503" t="s">
        <v>1558</v>
      </c>
      <c r="W503" t="s">
        <v>1563</v>
      </c>
      <c r="X503" t="s">
        <v>1575</v>
      </c>
      <c r="Y503" t="s">
        <v>1582</v>
      </c>
      <c r="Z503" t="s">
        <v>1593</v>
      </c>
      <c r="AA503" t="s">
        <v>1598</v>
      </c>
      <c r="AB503" t="s">
        <v>1601</v>
      </c>
      <c r="AC503" t="s">
        <v>1611</v>
      </c>
      <c r="AD503" t="s">
        <v>1606</v>
      </c>
      <c r="AE503" t="s">
        <v>1617</v>
      </c>
      <c r="AF503" t="s">
        <v>1627</v>
      </c>
    </row>
    <row r="504" spans="1:32" x14ac:dyDescent="0.25">
      <c r="A504" t="s">
        <v>561</v>
      </c>
      <c r="B504">
        <v>53</v>
      </c>
      <c r="C504">
        <v>238</v>
      </c>
      <c r="D504">
        <v>1</v>
      </c>
      <c r="E504">
        <v>34</v>
      </c>
      <c r="F504">
        <v>8381</v>
      </c>
      <c r="G504">
        <v>7507</v>
      </c>
      <c r="H504">
        <v>7</v>
      </c>
      <c r="I504">
        <v>20</v>
      </c>
      <c r="J504">
        <v>18</v>
      </c>
      <c r="K504">
        <v>2</v>
      </c>
      <c r="L504">
        <v>14</v>
      </c>
      <c r="M504">
        <v>7</v>
      </c>
      <c r="N504">
        <v>8</v>
      </c>
      <c r="O504">
        <v>10</v>
      </c>
      <c r="P504" t="s">
        <v>1556</v>
      </c>
      <c r="Q504" t="s">
        <v>1552</v>
      </c>
      <c r="R504" t="s">
        <v>1549</v>
      </c>
      <c r="S504" t="s">
        <v>1532</v>
      </c>
      <c r="T504" t="s">
        <v>1540</v>
      </c>
      <c r="U504" t="s">
        <v>1548</v>
      </c>
      <c r="V504" t="s">
        <v>1558</v>
      </c>
      <c r="W504" t="s">
        <v>1563</v>
      </c>
      <c r="X504" t="s">
        <v>1576</v>
      </c>
      <c r="Y504" t="s">
        <v>1581</v>
      </c>
      <c r="Z504" t="s">
        <v>1591</v>
      </c>
      <c r="AA504" t="s">
        <v>1596</v>
      </c>
      <c r="AB504" t="s">
        <v>1601</v>
      </c>
      <c r="AC504" t="s">
        <v>1611</v>
      </c>
      <c r="AD504" t="s">
        <v>1607</v>
      </c>
      <c r="AE504" t="s">
        <v>1616</v>
      </c>
      <c r="AF504" t="s">
        <v>1628</v>
      </c>
    </row>
    <row r="505" spans="1:32" x14ac:dyDescent="0.25">
      <c r="A505" t="s">
        <v>562</v>
      </c>
      <c r="B505">
        <v>34</v>
      </c>
      <c r="C505">
        <v>1397</v>
      </c>
      <c r="D505">
        <v>1</v>
      </c>
      <c r="E505">
        <v>42</v>
      </c>
      <c r="F505">
        <v>2691</v>
      </c>
      <c r="G505">
        <v>7660</v>
      </c>
      <c r="H505">
        <v>1</v>
      </c>
      <c r="I505">
        <v>12</v>
      </c>
      <c r="J505">
        <v>10</v>
      </c>
      <c r="K505">
        <v>4</v>
      </c>
      <c r="L505">
        <v>10</v>
      </c>
      <c r="M505">
        <v>9</v>
      </c>
      <c r="N505">
        <v>8</v>
      </c>
      <c r="O505">
        <v>8</v>
      </c>
      <c r="P505" t="s">
        <v>1556</v>
      </c>
      <c r="Q505" t="s">
        <v>1552</v>
      </c>
      <c r="R505" t="s">
        <v>1550</v>
      </c>
      <c r="S505" t="s">
        <v>1536</v>
      </c>
      <c r="T505" t="s">
        <v>1538</v>
      </c>
      <c r="U505" t="s">
        <v>1546</v>
      </c>
      <c r="V505" t="s">
        <v>1559</v>
      </c>
      <c r="W505" t="s">
        <v>1563</v>
      </c>
      <c r="X505" t="s">
        <v>1575</v>
      </c>
      <c r="Y505" t="s">
        <v>1582</v>
      </c>
      <c r="Z505" t="s">
        <v>1594</v>
      </c>
      <c r="AA505" t="s">
        <v>1597</v>
      </c>
      <c r="AB505" t="s">
        <v>1601</v>
      </c>
      <c r="AC505" t="s">
        <v>1610</v>
      </c>
      <c r="AD505" t="s">
        <v>1607</v>
      </c>
      <c r="AE505" t="s">
        <v>1617</v>
      </c>
      <c r="AF505" t="s">
        <v>1626</v>
      </c>
    </row>
    <row r="506" spans="1:32" x14ac:dyDescent="0.25">
      <c r="A506" t="s">
        <v>563</v>
      </c>
      <c r="B506">
        <v>45</v>
      </c>
      <c r="C506">
        <v>306</v>
      </c>
      <c r="D506">
        <v>26</v>
      </c>
      <c r="E506">
        <v>100</v>
      </c>
      <c r="F506">
        <v>4286</v>
      </c>
      <c r="G506">
        <v>5630</v>
      </c>
      <c r="H506">
        <v>2</v>
      </c>
      <c r="I506">
        <v>14</v>
      </c>
      <c r="J506">
        <v>5</v>
      </c>
      <c r="K506">
        <v>4</v>
      </c>
      <c r="L506">
        <v>1</v>
      </c>
      <c r="M506">
        <v>1</v>
      </c>
      <c r="N506">
        <v>0</v>
      </c>
      <c r="O506">
        <v>0</v>
      </c>
      <c r="P506" t="s">
        <v>1555</v>
      </c>
      <c r="Q506" t="s">
        <v>1553</v>
      </c>
      <c r="R506" t="s">
        <v>1549</v>
      </c>
      <c r="S506" t="s">
        <v>1535</v>
      </c>
      <c r="T506" t="s">
        <v>1538</v>
      </c>
      <c r="U506" t="s">
        <v>1545</v>
      </c>
      <c r="V506" t="s">
        <v>1558</v>
      </c>
      <c r="W506" t="s">
        <v>1563</v>
      </c>
      <c r="X506" t="s">
        <v>1576</v>
      </c>
      <c r="Y506" t="s">
        <v>1581</v>
      </c>
      <c r="Z506" t="s">
        <v>1591</v>
      </c>
      <c r="AA506" t="s">
        <v>1597</v>
      </c>
      <c r="AB506" t="s">
        <v>1601</v>
      </c>
      <c r="AC506" t="s">
        <v>1610</v>
      </c>
      <c r="AD506" t="s">
        <v>1607</v>
      </c>
      <c r="AE506" t="s">
        <v>1618</v>
      </c>
      <c r="AF506" t="s">
        <v>1627</v>
      </c>
    </row>
    <row r="507" spans="1:32" x14ac:dyDescent="0.25">
      <c r="A507" t="s">
        <v>564</v>
      </c>
      <c r="B507">
        <v>26</v>
      </c>
      <c r="C507">
        <v>991</v>
      </c>
      <c r="D507">
        <v>6</v>
      </c>
      <c r="E507">
        <v>71</v>
      </c>
      <c r="F507">
        <v>2659</v>
      </c>
      <c r="G507">
        <v>17759</v>
      </c>
      <c r="H507">
        <v>1</v>
      </c>
      <c r="I507">
        <v>13</v>
      </c>
      <c r="J507">
        <v>3</v>
      </c>
      <c r="K507">
        <v>2</v>
      </c>
      <c r="L507">
        <v>3</v>
      </c>
      <c r="M507">
        <v>2</v>
      </c>
      <c r="N507">
        <v>0</v>
      </c>
      <c r="O507">
        <v>2</v>
      </c>
      <c r="P507" t="s">
        <v>1556</v>
      </c>
      <c r="Q507" t="s">
        <v>1552</v>
      </c>
      <c r="R507" t="s">
        <v>1550</v>
      </c>
      <c r="S507" t="s">
        <v>1534</v>
      </c>
      <c r="T507" t="s">
        <v>1538</v>
      </c>
      <c r="U507" t="s">
        <v>1547</v>
      </c>
      <c r="V507" t="s">
        <v>1558</v>
      </c>
      <c r="W507" t="s">
        <v>1563</v>
      </c>
      <c r="X507" t="s">
        <v>1575</v>
      </c>
      <c r="Y507" t="s">
        <v>1583</v>
      </c>
      <c r="Z507" t="s">
        <v>1594</v>
      </c>
      <c r="AA507" t="s">
        <v>1597</v>
      </c>
      <c r="AB507" t="s">
        <v>1600</v>
      </c>
      <c r="AC507" t="s">
        <v>1610</v>
      </c>
      <c r="AD507" t="s">
        <v>1606</v>
      </c>
      <c r="AE507" t="s">
        <v>1617</v>
      </c>
      <c r="AF507" t="s">
        <v>1627</v>
      </c>
    </row>
    <row r="508" spans="1:32" x14ac:dyDescent="0.25">
      <c r="A508" t="s">
        <v>565</v>
      </c>
      <c r="B508">
        <v>37</v>
      </c>
      <c r="C508">
        <v>482</v>
      </c>
      <c r="D508">
        <v>3</v>
      </c>
      <c r="E508">
        <v>36</v>
      </c>
      <c r="F508">
        <v>9434</v>
      </c>
      <c r="G508">
        <v>9606</v>
      </c>
      <c r="H508">
        <v>1</v>
      </c>
      <c r="I508">
        <v>15</v>
      </c>
      <c r="J508">
        <v>10</v>
      </c>
      <c r="K508">
        <v>2</v>
      </c>
      <c r="L508">
        <v>10</v>
      </c>
      <c r="M508">
        <v>7</v>
      </c>
      <c r="N508">
        <v>7</v>
      </c>
      <c r="O508">
        <v>8</v>
      </c>
      <c r="P508" t="s">
        <v>1556</v>
      </c>
      <c r="Q508" t="s">
        <v>1552</v>
      </c>
      <c r="R508" t="s">
        <v>1550</v>
      </c>
      <c r="S508" t="s">
        <v>1534</v>
      </c>
      <c r="T508" t="s">
        <v>1539</v>
      </c>
      <c r="U508" t="s">
        <v>1547</v>
      </c>
      <c r="V508" t="s">
        <v>1559</v>
      </c>
      <c r="W508" t="s">
        <v>1563</v>
      </c>
      <c r="X508" t="s">
        <v>1577</v>
      </c>
      <c r="Y508" t="s">
        <v>1584</v>
      </c>
      <c r="Z508" t="s">
        <v>1593</v>
      </c>
      <c r="AA508" t="s">
        <v>1597</v>
      </c>
      <c r="AB508" t="s">
        <v>1601</v>
      </c>
      <c r="AC508" t="s">
        <v>1610</v>
      </c>
      <c r="AD508" t="s">
        <v>1606</v>
      </c>
      <c r="AE508" t="s">
        <v>1617</v>
      </c>
      <c r="AF508" t="s">
        <v>1627</v>
      </c>
    </row>
    <row r="509" spans="1:32" x14ac:dyDescent="0.25">
      <c r="A509" t="s">
        <v>566</v>
      </c>
      <c r="B509">
        <v>29</v>
      </c>
      <c r="C509">
        <v>1176</v>
      </c>
      <c r="D509">
        <v>3</v>
      </c>
      <c r="E509">
        <v>62</v>
      </c>
      <c r="F509">
        <v>5561</v>
      </c>
      <c r="G509">
        <v>3487</v>
      </c>
      <c r="H509">
        <v>1</v>
      </c>
      <c r="I509">
        <v>14</v>
      </c>
      <c r="J509">
        <v>6</v>
      </c>
      <c r="K509">
        <v>5</v>
      </c>
      <c r="L509">
        <v>6</v>
      </c>
      <c r="M509">
        <v>0</v>
      </c>
      <c r="N509">
        <v>1</v>
      </c>
      <c r="O509">
        <v>2</v>
      </c>
      <c r="P509" t="s">
        <v>1556</v>
      </c>
      <c r="Q509" t="s">
        <v>1552</v>
      </c>
      <c r="R509" t="s">
        <v>1549</v>
      </c>
      <c r="S509" t="s">
        <v>1533</v>
      </c>
      <c r="T509" t="s">
        <v>1540</v>
      </c>
      <c r="U509" t="s">
        <v>1546</v>
      </c>
      <c r="V509" t="s">
        <v>1558</v>
      </c>
      <c r="W509" t="s">
        <v>1563</v>
      </c>
      <c r="X509" t="s">
        <v>1576</v>
      </c>
      <c r="Y509" t="s">
        <v>1581</v>
      </c>
      <c r="Z509" t="s">
        <v>1593</v>
      </c>
      <c r="AA509" t="s">
        <v>1597</v>
      </c>
      <c r="AB509" t="s">
        <v>1601</v>
      </c>
      <c r="AC509" t="s">
        <v>1610</v>
      </c>
      <c r="AD509" t="s">
        <v>1604</v>
      </c>
      <c r="AE509" t="s">
        <v>1617</v>
      </c>
      <c r="AF509" t="s">
        <v>1626</v>
      </c>
    </row>
    <row r="510" spans="1:32" x14ac:dyDescent="0.25">
      <c r="A510" t="s">
        <v>567</v>
      </c>
      <c r="B510">
        <v>35</v>
      </c>
      <c r="C510">
        <v>1017</v>
      </c>
      <c r="D510">
        <v>6</v>
      </c>
      <c r="E510">
        <v>82</v>
      </c>
      <c r="F510">
        <v>6646</v>
      </c>
      <c r="G510">
        <v>19368</v>
      </c>
      <c r="H510">
        <v>1</v>
      </c>
      <c r="I510">
        <v>13</v>
      </c>
      <c r="J510">
        <v>17</v>
      </c>
      <c r="K510">
        <v>3</v>
      </c>
      <c r="L510">
        <v>17</v>
      </c>
      <c r="M510">
        <v>11</v>
      </c>
      <c r="N510">
        <v>11</v>
      </c>
      <c r="O510">
        <v>8</v>
      </c>
      <c r="P510" t="s">
        <v>1556</v>
      </c>
      <c r="Q510" t="s">
        <v>1552</v>
      </c>
      <c r="R510" t="s">
        <v>1550</v>
      </c>
      <c r="S510" t="s">
        <v>1535</v>
      </c>
      <c r="T510" t="s">
        <v>1538</v>
      </c>
      <c r="U510" t="s">
        <v>1546</v>
      </c>
      <c r="V510" t="s">
        <v>1559</v>
      </c>
      <c r="W510" t="s">
        <v>1561</v>
      </c>
      <c r="X510" t="s">
        <v>1576</v>
      </c>
      <c r="Y510" t="s">
        <v>1582</v>
      </c>
      <c r="Z510" t="s">
        <v>1594</v>
      </c>
      <c r="AA510" t="s">
        <v>1596</v>
      </c>
      <c r="AB510" t="s">
        <v>1601</v>
      </c>
      <c r="AC510" t="s">
        <v>1610</v>
      </c>
      <c r="AD510" t="s">
        <v>1605</v>
      </c>
      <c r="AE510" t="s">
        <v>1616</v>
      </c>
      <c r="AF510" t="s">
        <v>1627</v>
      </c>
    </row>
    <row r="511" spans="1:32" x14ac:dyDescent="0.25">
      <c r="A511" t="s">
        <v>568</v>
      </c>
      <c r="B511">
        <v>33</v>
      </c>
      <c r="C511">
        <v>1296</v>
      </c>
      <c r="D511">
        <v>6</v>
      </c>
      <c r="E511">
        <v>30</v>
      </c>
      <c r="F511">
        <v>7725</v>
      </c>
      <c r="G511">
        <v>5335</v>
      </c>
      <c r="H511">
        <v>3</v>
      </c>
      <c r="I511">
        <v>23</v>
      </c>
      <c r="J511">
        <v>15</v>
      </c>
      <c r="K511">
        <v>2</v>
      </c>
      <c r="L511">
        <v>13</v>
      </c>
      <c r="M511">
        <v>11</v>
      </c>
      <c r="N511">
        <v>4</v>
      </c>
      <c r="O511">
        <v>7</v>
      </c>
      <c r="P511" t="s">
        <v>1556</v>
      </c>
      <c r="Q511" t="s">
        <v>1553</v>
      </c>
      <c r="R511" t="s">
        <v>1550</v>
      </c>
      <c r="S511" t="s">
        <v>1534</v>
      </c>
      <c r="T511" t="s">
        <v>1538</v>
      </c>
      <c r="U511" t="s">
        <v>1547</v>
      </c>
      <c r="V511" t="s">
        <v>1559</v>
      </c>
      <c r="W511" t="s">
        <v>1563</v>
      </c>
      <c r="X511" t="s">
        <v>1576</v>
      </c>
      <c r="Y511" t="s">
        <v>1585</v>
      </c>
      <c r="Z511" t="s">
        <v>1594</v>
      </c>
      <c r="AA511" t="s">
        <v>1598</v>
      </c>
      <c r="AB511" t="s">
        <v>1601</v>
      </c>
      <c r="AC511" t="s">
        <v>1611</v>
      </c>
      <c r="AD511" t="s">
        <v>1606</v>
      </c>
      <c r="AE511" t="s">
        <v>1617</v>
      </c>
      <c r="AF511" t="s">
        <v>1625</v>
      </c>
    </row>
    <row r="512" spans="1:32" x14ac:dyDescent="0.25">
      <c r="A512" t="s">
        <v>569</v>
      </c>
      <c r="B512">
        <v>54</v>
      </c>
      <c r="C512">
        <v>397</v>
      </c>
      <c r="D512">
        <v>19</v>
      </c>
      <c r="E512">
        <v>88</v>
      </c>
      <c r="F512">
        <v>10725</v>
      </c>
      <c r="G512">
        <v>6729</v>
      </c>
      <c r="H512">
        <v>2</v>
      </c>
      <c r="I512">
        <v>15</v>
      </c>
      <c r="J512">
        <v>16</v>
      </c>
      <c r="K512">
        <v>1</v>
      </c>
      <c r="L512">
        <v>9</v>
      </c>
      <c r="M512">
        <v>7</v>
      </c>
      <c r="N512">
        <v>7</v>
      </c>
      <c r="O512">
        <v>1</v>
      </c>
      <c r="P512" t="s">
        <v>1556</v>
      </c>
      <c r="Q512" t="s">
        <v>1552</v>
      </c>
      <c r="R512" t="s">
        <v>1551</v>
      </c>
      <c r="S512" t="s">
        <v>1535</v>
      </c>
      <c r="T512" t="s">
        <v>1540</v>
      </c>
      <c r="U512" t="s">
        <v>1547</v>
      </c>
      <c r="V512" t="s">
        <v>1559</v>
      </c>
      <c r="W512" t="s">
        <v>1563</v>
      </c>
      <c r="X512" t="s">
        <v>1577</v>
      </c>
      <c r="Y512" t="s">
        <v>1589</v>
      </c>
      <c r="Z512" t="s">
        <v>1592</v>
      </c>
      <c r="AA512" t="s">
        <v>1597</v>
      </c>
      <c r="AB512" t="s">
        <v>1601</v>
      </c>
      <c r="AC512" t="s">
        <v>1610</v>
      </c>
      <c r="AD512" t="s">
        <v>1606</v>
      </c>
      <c r="AE512" t="s">
        <v>1617</v>
      </c>
      <c r="AF512" t="s">
        <v>1628</v>
      </c>
    </row>
    <row r="513" spans="1:32" x14ac:dyDescent="0.25">
      <c r="A513" t="s">
        <v>570</v>
      </c>
      <c r="B513">
        <v>36</v>
      </c>
      <c r="C513">
        <v>913</v>
      </c>
      <c r="D513">
        <v>9</v>
      </c>
      <c r="E513">
        <v>48</v>
      </c>
      <c r="F513">
        <v>8847</v>
      </c>
      <c r="G513">
        <v>13934</v>
      </c>
      <c r="H513">
        <v>2</v>
      </c>
      <c r="I513">
        <v>11</v>
      </c>
      <c r="J513">
        <v>13</v>
      </c>
      <c r="K513">
        <v>2</v>
      </c>
      <c r="L513">
        <v>3</v>
      </c>
      <c r="M513">
        <v>2</v>
      </c>
      <c r="N513">
        <v>0</v>
      </c>
      <c r="O513">
        <v>2</v>
      </c>
      <c r="P513" t="s">
        <v>1556</v>
      </c>
      <c r="Q513" t="s">
        <v>1552</v>
      </c>
      <c r="R513" t="s">
        <v>1550</v>
      </c>
      <c r="S513" t="s">
        <v>1533</v>
      </c>
      <c r="T513" t="s">
        <v>1540</v>
      </c>
      <c r="U513" t="s">
        <v>1546</v>
      </c>
      <c r="V513" t="s">
        <v>1559</v>
      </c>
      <c r="W513" t="s">
        <v>1562</v>
      </c>
      <c r="X513" t="s">
        <v>1576</v>
      </c>
      <c r="Y513" t="s">
        <v>1584</v>
      </c>
      <c r="Z513" t="s">
        <v>1592</v>
      </c>
      <c r="AA513" t="s">
        <v>1598</v>
      </c>
      <c r="AB513" t="s">
        <v>1600</v>
      </c>
      <c r="AC513" t="s">
        <v>1610</v>
      </c>
      <c r="AD513" t="s">
        <v>1606</v>
      </c>
      <c r="AE513" t="s">
        <v>1617</v>
      </c>
      <c r="AF513" t="s">
        <v>1627</v>
      </c>
    </row>
    <row r="514" spans="1:32" x14ac:dyDescent="0.25">
      <c r="A514" t="s">
        <v>571</v>
      </c>
      <c r="B514">
        <v>27</v>
      </c>
      <c r="C514">
        <v>1115</v>
      </c>
      <c r="D514">
        <v>3</v>
      </c>
      <c r="E514">
        <v>54</v>
      </c>
      <c r="F514">
        <v>2045</v>
      </c>
      <c r="G514">
        <v>15174</v>
      </c>
      <c r="H514">
        <v>0</v>
      </c>
      <c r="I514">
        <v>13</v>
      </c>
      <c r="J514">
        <v>5</v>
      </c>
      <c r="K514">
        <v>0</v>
      </c>
      <c r="L514">
        <v>4</v>
      </c>
      <c r="M514">
        <v>2</v>
      </c>
      <c r="N514">
        <v>1</v>
      </c>
      <c r="O514">
        <v>1</v>
      </c>
      <c r="P514" t="s">
        <v>1556</v>
      </c>
      <c r="Q514" t="s">
        <v>1552</v>
      </c>
      <c r="R514" t="s">
        <v>1550</v>
      </c>
      <c r="S514" t="s">
        <v>1535</v>
      </c>
      <c r="T514" t="s">
        <v>1540</v>
      </c>
      <c r="U514" t="s">
        <v>1545</v>
      </c>
      <c r="V514" t="s">
        <v>1559</v>
      </c>
      <c r="W514" t="s">
        <v>1562</v>
      </c>
      <c r="X514" t="s">
        <v>1575</v>
      </c>
      <c r="Y514" t="s">
        <v>1582</v>
      </c>
      <c r="Z514" t="s">
        <v>1594</v>
      </c>
      <c r="AA514" t="s">
        <v>1596</v>
      </c>
      <c r="AB514" t="s">
        <v>1601</v>
      </c>
      <c r="AC514" t="s">
        <v>1610</v>
      </c>
      <c r="AD514" t="s">
        <v>1607</v>
      </c>
      <c r="AE514" t="s">
        <v>1616</v>
      </c>
      <c r="AF514" t="s">
        <v>1627</v>
      </c>
    </row>
    <row r="515" spans="1:32" x14ac:dyDescent="0.25">
      <c r="A515" t="s">
        <v>572</v>
      </c>
      <c r="B515">
        <v>20</v>
      </c>
      <c r="C515">
        <v>1362</v>
      </c>
      <c r="D515">
        <v>10</v>
      </c>
      <c r="E515">
        <v>32</v>
      </c>
      <c r="F515">
        <v>1009</v>
      </c>
      <c r="G515">
        <v>26999</v>
      </c>
      <c r="H515">
        <v>1</v>
      </c>
      <c r="I515">
        <v>11</v>
      </c>
      <c r="J515">
        <v>1</v>
      </c>
      <c r="K515">
        <v>5</v>
      </c>
      <c r="L515">
        <v>1</v>
      </c>
      <c r="M515">
        <v>0</v>
      </c>
      <c r="N515">
        <v>1</v>
      </c>
      <c r="O515">
        <v>1</v>
      </c>
      <c r="P515" t="s">
        <v>1555</v>
      </c>
      <c r="Q515" t="s">
        <v>1552</v>
      </c>
      <c r="R515" t="s">
        <v>1550</v>
      </c>
      <c r="S515" t="s">
        <v>1532</v>
      </c>
      <c r="T515" t="s">
        <v>1540</v>
      </c>
      <c r="U515" t="s">
        <v>1548</v>
      </c>
      <c r="V515" t="s">
        <v>1559</v>
      </c>
      <c r="W515" t="s">
        <v>1563</v>
      </c>
      <c r="X515" t="s">
        <v>1575</v>
      </c>
      <c r="Y515" t="s">
        <v>1582</v>
      </c>
      <c r="Z515" t="s">
        <v>1593</v>
      </c>
      <c r="AA515" t="s">
        <v>1596</v>
      </c>
      <c r="AB515" t="s">
        <v>1600</v>
      </c>
      <c r="AC515" t="s">
        <v>1610</v>
      </c>
      <c r="AD515" t="s">
        <v>1607</v>
      </c>
      <c r="AE515" t="s">
        <v>1616</v>
      </c>
      <c r="AF515" t="s">
        <v>1627</v>
      </c>
    </row>
    <row r="516" spans="1:32" x14ac:dyDescent="0.25">
      <c r="A516" t="s">
        <v>573</v>
      </c>
      <c r="B516">
        <v>33</v>
      </c>
      <c r="C516">
        <v>1076</v>
      </c>
      <c r="D516">
        <v>3</v>
      </c>
      <c r="E516">
        <v>70</v>
      </c>
      <c r="F516">
        <v>3348</v>
      </c>
      <c r="G516">
        <v>3164</v>
      </c>
      <c r="H516">
        <v>1</v>
      </c>
      <c r="I516">
        <v>11</v>
      </c>
      <c r="J516">
        <v>10</v>
      </c>
      <c r="K516">
        <v>3</v>
      </c>
      <c r="L516">
        <v>10</v>
      </c>
      <c r="M516">
        <v>8</v>
      </c>
      <c r="N516">
        <v>9</v>
      </c>
      <c r="O516">
        <v>7</v>
      </c>
      <c r="P516" t="s">
        <v>1555</v>
      </c>
      <c r="Q516" t="s">
        <v>1553</v>
      </c>
      <c r="R516" t="s">
        <v>1550</v>
      </c>
      <c r="S516" t="s">
        <v>1534</v>
      </c>
      <c r="T516" t="s">
        <v>1538</v>
      </c>
      <c r="U516" t="s">
        <v>1545</v>
      </c>
      <c r="V516" t="s">
        <v>1559</v>
      </c>
      <c r="W516" t="s">
        <v>1563</v>
      </c>
      <c r="X516" t="s">
        <v>1575</v>
      </c>
      <c r="Y516" t="s">
        <v>1582</v>
      </c>
      <c r="Z516" t="s">
        <v>1591</v>
      </c>
      <c r="AA516" t="s">
        <v>1596</v>
      </c>
      <c r="AB516" t="s">
        <v>1600</v>
      </c>
      <c r="AC516" t="s">
        <v>1610</v>
      </c>
      <c r="AD516" t="s">
        <v>1604</v>
      </c>
      <c r="AE516" t="s">
        <v>1616</v>
      </c>
      <c r="AF516" t="s">
        <v>1627</v>
      </c>
    </row>
    <row r="517" spans="1:32" x14ac:dyDescent="0.25">
      <c r="A517" t="s">
        <v>574</v>
      </c>
      <c r="B517">
        <v>35</v>
      </c>
      <c r="C517">
        <v>727</v>
      </c>
      <c r="D517">
        <v>3</v>
      </c>
      <c r="E517">
        <v>41</v>
      </c>
      <c r="F517">
        <v>1281</v>
      </c>
      <c r="G517">
        <v>16900</v>
      </c>
      <c r="H517">
        <v>1</v>
      </c>
      <c r="I517">
        <v>18</v>
      </c>
      <c r="J517">
        <v>1</v>
      </c>
      <c r="K517">
        <v>3</v>
      </c>
      <c r="L517">
        <v>1</v>
      </c>
      <c r="M517">
        <v>0</v>
      </c>
      <c r="N517">
        <v>0</v>
      </c>
      <c r="O517">
        <v>0</v>
      </c>
      <c r="P517" t="s">
        <v>1556</v>
      </c>
      <c r="Q517" t="s">
        <v>1554</v>
      </c>
      <c r="R517" t="s">
        <v>1550</v>
      </c>
      <c r="S517" t="s">
        <v>1534</v>
      </c>
      <c r="T517" t="s">
        <v>1538</v>
      </c>
      <c r="U517" t="s">
        <v>1547</v>
      </c>
      <c r="V517" t="s">
        <v>1559</v>
      </c>
      <c r="W517" t="s">
        <v>1562</v>
      </c>
      <c r="X517" t="s">
        <v>1575</v>
      </c>
      <c r="Y517" t="s">
        <v>1583</v>
      </c>
      <c r="Z517" t="s">
        <v>1593</v>
      </c>
      <c r="AA517" t="s">
        <v>1597</v>
      </c>
      <c r="AB517" t="s">
        <v>1601</v>
      </c>
      <c r="AC517" t="s">
        <v>1610</v>
      </c>
      <c r="AD517" t="s">
        <v>1606</v>
      </c>
      <c r="AE517" t="s">
        <v>1618</v>
      </c>
      <c r="AF517" t="s">
        <v>1627</v>
      </c>
    </row>
    <row r="518" spans="1:32" x14ac:dyDescent="0.25">
      <c r="A518" t="s">
        <v>575</v>
      </c>
      <c r="B518">
        <v>23</v>
      </c>
      <c r="C518">
        <v>885</v>
      </c>
      <c r="D518">
        <v>4</v>
      </c>
      <c r="E518">
        <v>58</v>
      </c>
      <c r="F518">
        <v>2819</v>
      </c>
      <c r="G518">
        <v>8544</v>
      </c>
      <c r="H518">
        <v>2</v>
      </c>
      <c r="I518">
        <v>16</v>
      </c>
      <c r="J518">
        <v>5</v>
      </c>
      <c r="K518">
        <v>3</v>
      </c>
      <c r="L518">
        <v>3</v>
      </c>
      <c r="M518">
        <v>2</v>
      </c>
      <c r="N518">
        <v>0</v>
      </c>
      <c r="O518">
        <v>2</v>
      </c>
      <c r="P518" t="s">
        <v>1556</v>
      </c>
      <c r="Q518" t="s">
        <v>1552</v>
      </c>
      <c r="R518" t="s">
        <v>1550</v>
      </c>
      <c r="S518" t="s">
        <v>1534</v>
      </c>
      <c r="T518" t="s">
        <v>1540</v>
      </c>
      <c r="U518" t="s">
        <v>1545</v>
      </c>
      <c r="V518" t="s">
        <v>1559</v>
      </c>
      <c r="W518" t="s">
        <v>1564</v>
      </c>
      <c r="X518" t="s">
        <v>1575</v>
      </c>
      <c r="Y518" t="s">
        <v>1582</v>
      </c>
      <c r="Z518" t="s">
        <v>1591</v>
      </c>
      <c r="AA518" t="s">
        <v>1597</v>
      </c>
      <c r="AB518" t="s">
        <v>1601</v>
      </c>
      <c r="AC518" t="s">
        <v>1610</v>
      </c>
      <c r="AD518" t="s">
        <v>1604</v>
      </c>
      <c r="AE518" t="s">
        <v>1617</v>
      </c>
      <c r="AF518" t="s">
        <v>1628</v>
      </c>
    </row>
    <row r="519" spans="1:32" x14ac:dyDescent="0.25">
      <c r="A519" t="s">
        <v>576</v>
      </c>
      <c r="B519">
        <v>25</v>
      </c>
      <c r="C519">
        <v>810</v>
      </c>
      <c r="D519">
        <v>8</v>
      </c>
      <c r="E519">
        <v>57</v>
      </c>
      <c r="F519">
        <v>4851</v>
      </c>
      <c r="G519">
        <v>15678</v>
      </c>
      <c r="H519">
        <v>0</v>
      </c>
      <c r="I519">
        <v>22</v>
      </c>
      <c r="J519">
        <v>4</v>
      </c>
      <c r="K519">
        <v>4</v>
      </c>
      <c r="L519">
        <v>3</v>
      </c>
      <c r="M519">
        <v>2</v>
      </c>
      <c r="N519">
        <v>1</v>
      </c>
      <c r="O519">
        <v>2</v>
      </c>
      <c r="P519" t="s">
        <v>1556</v>
      </c>
      <c r="Q519" t="s">
        <v>1552</v>
      </c>
      <c r="R519" t="s">
        <v>1549</v>
      </c>
      <c r="S519" t="s">
        <v>1534</v>
      </c>
      <c r="T519" t="s">
        <v>1538</v>
      </c>
      <c r="U519" t="s">
        <v>1548</v>
      </c>
      <c r="V519" t="s">
        <v>1559</v>
      </c>
      <c r="W519" t="s">
        <v>1564</v>
      </c>
      <c r="X519" t="s">
        <v>1576</v>
      </c>
      <c r="Y519" t="s">
        <v>1581</v>
      </c>
      <c r="Z519" t="s">
        <v>1592</v>
      </c>
      <c r="AA519" t="s">
        <v>1597</v>
      </c>
      <c r="AB519" t="s">
        <v>1601</v>
      </c>
      <c r="AC519" t="s">
        <v>1611</v>
      </c>
      <c r="AD519" t="s">
        <v>1606</v>
      </c>
      <c r="AE519" t="s">
        <v>1617</v>
      </c>
      <c r="AF519" t="s">
        <v>1627</v>
      </c>
    </row>
    <row r="520" spans="1:32" x14ac:dyDescent="0.25">
      <c r="A520" t="s">
        <v>577</v>
      </c>
      <c r="B520">
        <v>38</v>
      </c>
      <c r="C520">
        <v>243</v>
      </c>
      <c r="D520">
        <v>7</v>
      </c>
      <c r="E520">
        <v>46</v>
      </c>
      <c r="F520">
        <v>4028</v>
      </c>
      <c r="G520">
        <v>7791</v>
      </c>
      <c r="H520">
        <v>0</v>
      </c>
      <c r="I520">
        <v>20</v>
      </c>
      <c r="J520">
        <v>8</v>
      </c>
      <c r="K520">
        <v>2</v>
      </c>
      <c r="L520">
        <v>7</v>
      </c>
      <c r="M520">
        <v>7</v>
      </c>
      <c r="N520">
        <v>0</v>
      </c>
      <c r="O520">
        <v>5</v>
      </c>
      <c r="P520" t="s">
        <v>1556</v>
      </c>
      <c r="Q520" t="s">
        <v>1552</v>
      </c>
      <c r="R520" t="s">
        <v>1549</v>
      </c>
      <c r="S520" t="s">
        <v>1535</v>
      </c>
      <c r="T520" t="s">
        <v>1541</v>
      </c>
      <c r="U520" t="s">
        <v>1548</v>
      </c>
      <c r="V520" t="s">
        <v>1558</v>
      </c>
      <c r="W520" t="s">
        <v>1562</v>
      </c>
      <c r="X520" t="s">
        <v>1576</v>
      </c>
      <c r="Y520" t="s">
        <v>1581</v>
      </c>
      <c r="Z520" t="s">
        <v>1594</v>
      </c>
      <c r="AA520" t="s">
        <v>1596</v>
      </c>
      <c r="AB520" t="s">
        <v>1601</v>
      </c>
      <c r="AC520" t="s">
        <v>1611</v>
      </c>
      <c r="AD520" t="s">
        <v>1604</v>
      </c>
      <c r="AE520" t="s">
        <v>1616</v>
      </c>
      <c r="AF520" t="s">
        <v>1627</v>
      </c>
    </row>
    <row r="521" spans="1:32" x14ac:dyDescent="0.25">
      <c r="A521" t="s">
        <v>578</v>
      </c>
      <c r="B521">
        <v>29</v>
      </c>
      <c r="C521">
        <v>806</v>
      </c>
      <c r="D521">
        <v>1</v>
      </c>
      <c r="E521">
        <v>76</v>
      </c>
      <c r="F521">
        <v>2720</v>
      </c>
      <c r="G521">
        <v>18959</v>
      </c>
      <c r="H521">
        <v>1</v>
      </c>
      <c r="I521">
        <v>18</v>
      </c>
      <c r="J521">
        <v>10</v>
      </c>
      <c r="K521">
        <v>5</v>
      </c>
      <c r="L521">
        <v>10</v>
      </c>
      <c r="M521">
        <v>7</v>
      </c>
      <c r="N521">
        <v>2</v>
      </c>
      <c r="O521">
        <v>8</v>
      </c>
      <c r="P521" t="s">
        <v>1556</v>
      </c>
      <c r="Q521" t="s">
        <v>1553</v>
      </c>
      <c r="R521" t="s">
        <v>1550</v>
      </c>
      <c r="S521" t="s">
        <v>1535</v>
      </c>
      <c r="T521" t="s">
        <v>1538</v>
      </c>
      <c r="U521" t="s">
        <v>1546</v>
      </c>
      <c r="V521" t="s">
        <v>1559</v>
      </c>
      <c r="W521" t="s">
        <v>1561</v>
      </c>
      <c r="X521" t="s">
        <v>1575</v>
      </c>
      <c r="Y521" t="s">
        <v>1582</v>
      </c>
      <c r="Z521" t="s">
        <v>1594</v>
      </c>
      <c r="AA521" t="s">
        <v>1598</v>
      </c>
      <c r="AB521" t="s">
        <v>1601</v>
      </c>
      <c r="AC521" t="s">
        <v>1610</v>
      </c>
      <c r="AD521" t="s">
        <v>1607</v>
      </c>
      <c r="AE521" t="s">
        <v>1617</v>
      </c>
      <c r="AF521" t="s">
        <v>1627</v>
      </c>
    </row>
    <row r="522" spans="1:32" x14ac:dyDescent="0.25">
      <c r="A522" t="s">
        <v>579</v>
      </c>
      <c r="B522">
        <v>48</v>
      </c>
      <c r="C522">
        <v>817</v>
      </c>
      <c r="D522">
        <v>2</v>
      </c>
      <c r="E522">
        <v>56</v>
      </c>
      <c r="F522">
        <v>8120</v>
      </c>
      <c r="G522">
        <v>18597</v>
      </c>
      <c r="H522">
        <v>3</v>
      </c>
      <c r="I522">
        <v>12</v>
      </c>
      <c r="J522">
        <v>12</v>
      </c>
      <c r="K522">
        <v>3</v>
      </c>
      <c r="L522">
        <v>2</v>
      </c>
      <c r="M522">
        <v>2</v>
      </c>
      <c r="N522">
        <v>2</v>
      </c>
      <c r="O522">
        <v>2</v>
      </c>
      <c r="P522" t="s">
        <v>1556</v>
      </c>
      <c r="Q522" t="s">
        <v>1552</v>
      </c>
      <c r="R522" t="s">
        <v>1549</v>
      </c>
      <c r="S522" t="s">
        <v>1532</v>
      </c>
      <c r="T522" t="s">
        <v>1541</v>
      </c>
      <c r="U522" t="s">
        <v>1546</v>
      </c>
      <c r="V522" t="s">
        <v>1559</v>
      </c>
      <c r="W522" t="s">
        <v>1564</v>
      </c>
      <c r="X522" t="s">
        <v>1576</v>
      </c>
      <c r="Y522" t="s">
        <v>1581</v>
      </c>
      <c r="Z522" t="s">
        <v>1592</v>
      </c>
      <c r="AA522" t="s">
        <v>1597</v>
      </c>
      <c r="AB522" t="s">
        <v>1601</v>
      </c>
      <c r="AC522" t="s">
        <v>1610</v>
      </c>
      <c r="AD522" t="s">
        <v>1607</v>
      </c>
      <c r="AE522" t="s">
        <v>1616</v>
      </c>
      <c r="AF522" t="s">
        <v>1627</v>
      </c>
    </row>
    <row r="523" spans="1:32" x14ac:dyDescent="0.25">
      <c r="A523" t="s">
        <v>580</v>
      </c>
      <c r="B523">
        <v>27</v>
      </c>
      <c r="C523">
        <v>1410</v>
      </c>
      <c r="D523">
        <v>3</v>
      </c>
      <c r="E523">
        <v>71</v>
      </c>
      <c r="F523">
        <v>4647</v>
      </c>
      <c r="G523">
        <v>16673</v>
      </c>
      <c r="H523">
        <v>1</v>
      </c>
      <c r="I523">
        <v>20</v>
      </c>
      <c r="J523">
        <v>6</v>
      </c>
      <c r="K523">
        <v>3</v>
      </c>
      <c r="L523">
        <v>6</v>
      </c>
      <c r="M523">
        <v>5</v>
      </c>
      <c r="N523">
        <v>0</v>
      </c>
      <c r="O523">
        <v>4</v>
      </c>
      <c r="P523" t="s">
        <v>1556</v>
      </c>
      <c r="Q523" t="s">
        <v>1553</v>
      </c>
      <c r="R523" t="s">
        <v>1549</v>
      </c>
      <c r="S523" t="s">
        <v>1532</v>
      </c>
      <c r="T523" t="s">
        <v>1540</v>
      </c>
      <c r="U523" t="s">
        <v>1548</v>
      </c>
      <c r="V523" t="s">
        <v>1558</v>
      </c>
      <c r="W523" t="s">
        <v>1564</v>
      </c>
      <c r="X523" t="s">
        <v>1576</v>
      </c>
      <c r="Y523" t="s">
        <v>1581</v>
      </c>
      <c r="Z523" t="s">
        <v>1594</v>
      </c>
      <c r="AA523" t="s">
        <v>1598</v>
      </c>
      <c r="AB523" t="s">
        <v>1600</v>
      </c>
      <c r="AC523" t="s">
        <v>1611</v>
      </c>
      <c r="AD523" t="s">
        <v>1605</v>
      </c>
      <c r="AE523" t="s">
        <v>1618</v>
      </c>
      <c r="AF523" t="s">
        <v>1627</v>
      </c>
    </row>
    <row r="524" spans="1:32" x14ac:dyDescent="0.25">
      <c r="A524" t="s">
        <v>581</v>
      </c>
      <c r="B524">
        <v>37</v>
      </c>
      <c r="C524">
        <v>1225</v>
      </c>
      <c r="D524">
        <v>10</v>
      </c>
      <c r="E524">
        <v>80</v>
      </c>
      <c r="F524">
        <v>4680</v>
      </c>
      <c r="G524">
        <v>15232</v>
      </c>
      <c r="H524">
        <v>3</v>
      </c>
      <c r="I524">
        <v>17</v>
      </c>
      <c r="J524">
        <v>4</v>
      </c>
      <c r="K524">
        <v>2</v>
      </c>
      <c r="L524">
        <v>1</v>
      </c>
      <c r="M524">
        <v>0</v>
      </c>
      <c r="N524">
        <v>0</v>
      </c>
      <c r="O524">
        <v>0</v>
      </c>
      <c r="P524" t="s">
        <v>1556</v>
      </c>
      <c r="Q524" t="s">
        <v>1552</v>
      </c>
      <c r="R524" t="s">
        <v>1550</v>
      </c>
      <c r="S524" t="s">
        <v>1533</v>
      </c>
      <c r="T524" t="s">
        <v>1538</v>
      </c>
      <c r="U524" t="s">
        <v>1548</v>
      </c>
      <c r="V524" t="s">
        <v>1559</v>
      </c>
      <c r="W524" t="s">
        <v>1564</v>
      </c>
      <c r="X524" t="s">
        <v>1575</v>
      </c>
      <c r="Y524" t="s">
        <v>1582</v>
      </c>
      <c r="Z524" t="s">
        <v>1594</v>
      </c>
      <c r="AA524" t="s">
        <v>1596</v>
      </c>
      <c r="AB524" t="s">
        <v>1601</v>
      </c>
      <c r="AC524" t="s">
        <v>1610</v>
      </c>
      <c r="AD524" t="s">
        <v>1604</v>
      </c>
      <c r="AE524" t="s">
        <v>1616</v>
      </c>
      <c r="AF524" t="s">
        <v>1627</v>
      </c>
    </row>
    <row r="525" spans="1:32" x14ac:dyDescent="0.25">
      <c r="A525" t="s">
        <v>582</v>
      </c>
      <c r="B525">
        <v>50</v>
      </c>
      <c r="C525">
        <v>1207</v>
      </c>
      <c r="D525">
        <v>28</v>
      </c>
      <c r="E525">
        <v>74</v>
      </c>
      <c r="F525">
        <v>3221</v>
      </c>
      <c r="G525">
        <v>3297</v>
      </c>
      <c r="H525">
        <v>1</v>
      </c>
      <c r="I525">
        <v>11</v>
      </c>
      <c r="J525">
        <v>20</v>
      </c>
      <c r="K525">
        <v>3</v>
      </c>
      <c r="L525">
        <v>20</v>
      </c>
      <c r="M525">
        <v>8</v>
      </c>
      <c r="N525">
        <v>3</v>
      </c>
      <c r="O525">
        <v>8</v>
      </c>
      <c r="P525" t="s">
        <v>1556</v>
      </c>
      <c r="Q525" t="s">
        <v>1552</v>
      </c>
      <c r="R525" t="s">
        <v>1550</v>
      </c>
      <c r="S525" t="s">
        <v>1532</v>
      </c>
      <c r="T525" t="s">
        <v>1540</v>
      </c>
      <c r="U525" t="s">
        <v>1548</v>
      </c>
      <c r="V525" t="s">
        <v>1559</v>
      </c>
      <c r="W525" t="s">
        <v>1564</v>
      </c>
      <c r="X525" t="s">
        <v>1575</v>
      </c>
      <c r="Y525" t="s">
        <v>1583</v>
      </c>
      <c r="Z525" t="s">
        <v>1593</v>
      </c>
      <c r="AA525" t="s">
        <v>1597</v>
      </c>
      <c r="AB525" t="s">
        <v>1600</v>
      </c>
      <c r="AC525" t="s">
        <v>1610</v>
      </c>
      <c r="AD525" t="s">
        <v>1606</v>
      </c>
      <c r="AE525" t="s">
        <v>1619</v>
      </c>
      <c r="AF525" t="s">
        <v>1627</v>
      </c>
    </row>
    <row r="526" spans="1:32" x14ac:dyDescent="0.25">
      <c r="A526" t="s">
        <v>583</v>
      </c>
      <c r="B526">
        <v>34</v>
      </c>
      <c r="C526">
        <v>1442</v>
      </c>
      <c r="D526">
        <v>9</v>
      </c>
      <c r="E526">
        <v>46</v>
      </c>
      <c r="F526">
        <v>8621</v>
      </c>
      <c r="G526">
        <v>17654</v>
      </c>
      <c r="H526">
        <v>1</v>
      </c>
      <c r="I526">
        <v>14</v>
      </c>
      <c r="J526">
        <v>9</v>
      </c>
      <c r="K526">
        <v>3</v>
      </c>
      <c r="L526">
        <v>8</v>
      </c>
      <c r="M526">
        <v>7</v>
      </c>
      <c r="N526">
        <v>7</v>
      </c>
      <c r="O526">
        <v>7</v>
      </c>
      <c r="P526" t="s">
        <v>1556</v>
      </c>
      <c r="Q526" t="s">
        <v>1552</v>
      </c>
      <c r="R526" t="s">
        <v>1550</v>
      </c>
      <c r="S526" t="s">
        <v>1534</v>
      </c>
      <c r="T526" t="s">
        <v>1540</v>
      </c>
      <c r="U526" t="s">
        <v>1548</v>
      </c>
      <c r="V526" t="s">
        <v>1558</v>
      </c>
      <c r="W526" t="s">
        <v>1562</v>
      </c>
      <c r="X526" t="s">
        <v>1577</v>
      </c>
      <c r="Y526" t="s">
        <v>1585</v>
      </c>
      <c r="Z526" t="s">
        <v>1592</v>
      </c>
      <c r="AA526" t="s">
        <v>1596</v>
      </c>
      <c r="AB526" t="s">
        <v>1601</v>
      </c>
      <c r="AC526" t="s">
        <v>1610</v>
      </c>
      <c r="AD526" t="s">
        <v>1605</v>
      </c>
      <c r="AE526" t="s">
        <v>1616</v>
      </c>
      <c r="AF526" t="s">
        <v>1628</v>
      </c>
    </row>
    <row r="527" spans="1:32" x14ac:dyDescent="0.25">
      <c r="A527" t="s">
        <v>584</v>
      </c>
      <c r="B527">
        <v>24</v>
      </c>
      <c r="C527">
        <v>693</v>
      </c>
      <c r="D527">
        <v>3</v>
      </c>
      <c r="E527">
        <v>65</v>
      </c>
      <c r="F527">
        <v>4577</v>
      </c>
      <c r="G527">
        <v>24785</v>
      </c>
      <c r="H527">
        <v>9</v>
      </c>
      <c r="I527">
        <v>14</v>
      </c>
      <c r="J527">
        <v>4</v>
      </c>
      <c r="K527">
        <v>3</v>
      </c>
      <c r="L527">
        <v>2</v>
      </c>
      <c r="M527">
        <v>2</v>
      </c>
      <c r="N527">
        <v>2</v>
      </c>
      <c r="O527">
        <v>0</v>
      </c>
      <c r="P527" t="s">
        <v>1555</v>
      </c>
      <c r="Q527" t="s">
        <v>1552</v>
      </c>
      <c r="R527" t="s">
        <v>1549</v>
      </c>
      <c r="S527" t="s">
        <v>1533</v>
      </c>
      <c r="T527" t="s">
        <v>1538</v>
      </c>
      <c r="U527" t="s">
        <v>1545</v>
      </c>
      <c r="V527" t="s">
        <v>1558</v>
      </c>
      <c r="W527" t="s">
        <v>1563</v>
      </c>
      <c r="X527" t="s">
        <v>1576</v>
      </c>
      <c r="Y527" t="s">
        <v>1581</v>
      </c>
      <c r="Z527" t="s">
        <v>1593</v>
      </c>
      <c r="AA527" t="s">
        <v>1596</v>
      </c>
      <c r="AB527" t="s">
        <v>1601</v>
      </c>
      <c r="AC527" t="s">
        <v>1610</v>
      </c>
      <c r="AD527" t="s">
        <v>1604</v>
      </c>
      <c r="AE527" t="s">
        <v>1616</v>
      </c>
      <c r="AF527" t="s">
        <v>1627</v>
      </c>
    </row>
    <row r="528" spans="1:32" x14ac:dyDescent="0.25">
      <c r="A528" t="s">
        <v>585</v>
      </c>
      <c r="B528">
        <v>39</v>
      </c>
      <c r="C528">
        <v>408</v>
      </c>
      <c r="D528">
        <v>2</v>
      </c>
      <c r="E528">
        <v>80</v>
      </c>
      <c r="F528">
        <v>4553</v>
      </c>
      <c r="G528">
        <v>20978</v>
      </c>
      <c r="H528">
        <v>1</v>
      </c>
      <c r="I528">
        <v>11</v>
      </c>
      <c r="J528">
        <v>20</v>
      </c>
      <c r="K528">
        <v>4</v>
      </c>
      <c r="L528">
        <v>20</v>
      </c>
      <c r="M528">
        <v>7</v>
      </c>
      <c r="N528">
        <v>11</v>
      </c>
      <c r="O528">
        <v>10</v>
      </c>
      <c r="P528" t="s">
        <v>1556</v>
      </c>
      <c r="Q528" t="s">
        <v>1552</v>
      </c>
      <c r="R528" t="s">
        <v>1550</v>
      </c>
      <c r="S528" t="s">
        <v>1535</v>
      </c>
      <c r="T528" t="s">
        <v>1542</v>
      </c>
      <c r="U528" t="s">
        <v>1548</v>
      </c>
      <c r="V528" t="s">
        <v>1558</v>
      </c>
      <c r="W528" t="s">
        <v>1562</v>
      </c>
      <c r="X528" t="s">
        <v>1576</v>
      </c>
      <c r="Y528" t="s">
        <v>1585</v>
      </c>
      <c r="Z528" t="s">
        <v>1593</v>
      </c>
      <c r="AA528" t="s">
        <v>1596</v>
      </c>
      <c r="AB528" t="s">
        <v>1601</v>
      </c>
      <c r="AC528" t="s">
        <v>1610</v>
      </c>
      <c r="AD528" t="s">
        <v>1604</v>
      </c>
      <c r="AE528" t="s">
        <v>1616</v>
      </c>
      <c r="AF528" t="s">
        <v>1627</v>
      </c>
    </row>
    <row r="529" spans="1:32" x14ac:dyDescent="0.25">
      <c r="A529" t="s">
        <v>586</v>
      </c>
      <c r="B529">
        <v>32</v>
      </c>
      <c r="C529">
        <v>929</v>
      </c>
      <c r="D529">
        <v>10</v>
      </c>
      <c r="E529">
        <v>55</v>
      </c>
      <c r="F529">
        <v>5396</v>
      </c>
      <c r="G529">
        <v>21703</v>
      </c>
      <c r="H529">
        <v>1</v>
      </c>
      <c r="I529">
        <v>12</v>
      </c>
      <c r="J529">
        <v>10</v>
      </c>
      <c r="K529">
        <v>2</v>
      </c>
      <c r="L529">
        <v>10</v>
      </c>
      <c r="M529">
        <v>7</v>
      </c>
      <c r="N529">
        <v>0</v>
      </c>
      <c r="O529">
        <v>8</v>
      </c>
      <c r="P529" t="s">
        <v>1556</v>
      </c>
      <c r="Q529" t="s">
        <v>1552</v>
      </c>
      <c r="R529" t="s">
        <v>1549</v>
      </c>
      <c r="S529" t="s">
        <v>1534</v>
      </c>
      <c r="T529" t="s">
        <v>1541</v>
      </c>
      <c r="U529" t="s">
        <v>1548</v>
      </c>
      <c r="V529" t="s">
        <v>1559</v>
      </c>
      <c r="W529" t="s">
        <v>1563</v>
      </c>
      <c r="X529" t="s">
        <v>1576</v>
      </c>
      <c r="Y529" t="s">
        <v>1581</v>
      </c>
      <c r="Z529" t="s">
        <v>1594</v>
      </c>
      <c r="AA529" t="s">
        <v>1596</v>
      </c>
      <c r="AB529" t="s">
        <v>1601</v>
      </c>
      <c r="AC529" t="s">
        <v>1610</v>
      </c>
      <c r="AD529" t="s">
        <v>1607</v>
      </c>
      <c r="AE529" t="s">
        <v>1616</v>
      </c>
      <c r="AF529" t="s">
        <v>1626</v>
      </c>
    </row>
    <row r="530" spans="1:32" x14ac:dyDescent="0.25">
      <c r="A530" t="s">
        <v>587</v>
      </c>
      <c r="B530">
        <v>50</v>
      </c>
      <c r="C530">
        <v>562</v>
      </c>
      <c r="D530">
        <v>8</v>
      </c>
      <c r="E530">
        <v>50</v>
      </c>
      <c r="F530">
        <v>6796</v>
      </c>
      <c r="G530">
        <v>23452</v>
      </c>
      <c r="H530">
        <v>3</v>
      </c>
      <c r="I530">
        <v>14</v>
      </c>
      <c r="J530">
        <v>18</v>
      </c>
      <c r="K530">
        <v>4</v>
      </c>
      <c r="L530">
        <v>4</v>
      </c>
      <c r="M530">
        <v>3</v>
      </c>
      <c r="N530">
        <v>1</v>
      </c>
      <c r="O530">
        <v>3</v>
      </c>
      <c r="P530" t="s">
        <v>1555</v>
      </c>
      <c r="Q530" t="s">
        <v>1553</v>
      </c>
      <c r="R530" t="s">
        <v>1549</v>
      </c>
      <c r="S530" t="s">
        <v>1533</v>
      </c>
      <c r="T530" t="s">
        <v>1542</v>
      </c>
      <c r="U530" t="s">
        <v>1546</v>
      </c>
      <c r="V530" t="s">
        <v>1559</v>
      </c>
      <c r="W530" t="s">
        <v>1563</v>
      </c>
      <c r="X530" t="s">
        <v>1576</v>
      </c>
      <c r="Y530" t="s">
        <v>1581</v>
      </c>
      <c r="Z530" t="s">
        <v>1593</v>
      </c>
      <c r="AA530" t="s">
        <v>1597</v>
      </c>
      <c r="AB530" t="s">
        <v>1600</v>
      </c>
      <c r="AC530" t="s">
        <v>1610</v>
      </c>
      <c r="AD530" t="s">
        <v>1604</v>
      </c>
      <c r="AE530" t="s">
        <v>1617</v>
      </c>
      <c r="AF530" t="s">
        <v>1627</v>
      </c>
    </row>
    <row r="531" spans="1:32" x14ac:dyDescent="0.25">
      <c r="A531" t="s">
        <v>588</v>
      </c>
      <c r="B531">
        <v>38</v>
      </c>
      <c r="C531">
        <v>827</v>
      </c>
      <c r="D531">
        <v>1</v>
      </c>
      <c r="E531">
        <v>33</v>
      </c>
      <c r="F531">
        <v>7625</v>
      </c>
      <c r="G531">
        <v>19383</v>
      </c>
      <c r="H531">
        <v>0</v>
      </c>
      <c r="I531">
        <v>13</v>
      </c>
      <c r="J531">
        <v>10</v>
      </c>
      <c r="K531">
        <v>4</v>
      </c>
      <c r="L531">
        <v>9</v>
      </c>
      <c r="M531">
        <v>7</v>
      </c>
      <c r="N531">
        <v>1</v>
      </c>
      <c r="O531">
        <v>8</v>
      </c>
      <c r="P531" t="s">
        <v>1556</v>
      </c>
      <c r="Q531" t="s">
        <v>1552</v>
      </c>
      <c r="R531" t="s">
        <v>1550</v>
      </c>
      <c r="S531" t="s">
        <v>1535</v>
      </c>
      <c r="T531" t="s">
        <v>1538</v>
      </c>
      <c r="U531" t="s">
        <v>1546</v>
      </c>
      <c r="V531" t="s">
        <v>1558</v>
      </c>
      <c r="W531" t="s">
        <v>1564</v>
      </c>
      <c r="X531" t="s">
        <v>1576</v>
      </c>
      <c r="Y531" t="s">
        <v>1585</v>
      </c>
      <c r="Z531" t="s">
        <v>1594</v>
      </c>
      <c r="AA531" t="s">
        <v>1596</v>
      </c>
      <c r="AB531" t="s">
        <v>1601</v>
      </c>
      <c r="AC531" t="s">
        <v>1610</v>
      </c>
      <c r="AD531" t="s">
        <v>1606</v>
      </c>
      <c r="AE531" t="s">
        <v>1616</v>
      </c>
      <c r="AF531" t="s">
        <v>1626</v>
      </c>
    </row>
    <row r="532" spans="1:32" x14ac:dyDescent="0.25">
      <c r="A532" t="s">
        <v>589</v>
      </c>
      <c r="B532">
        <v>27</v>
      </c>
      <c r="C532">
        <v>608</v>
      </c>
      <c r="D532">
        <v>1</v>
      </c>
      <c r="E532">
        <v>68</v>
      </c>
      <c r="F532">
        <v>7412</v>
      </c>
      <c r="G532">
        <v>6009</v>
      </c>
      <c r="H532">
        <v>1</v>
      </c>
      <c r="I532">
        <v>11</v>
      </c>
      <c r="J532">
        <v>9</v>
      </c>
      <c r="K532">
        <v>3</v>
      </c>
      <c r="L532">
        <v>9</v>
      </c>
      <c r="M532">
        <v>7</v>
      </c>
      <c r="N532">
        <v>0</v>
      </c>
      <c r="O532">
        <v>7</v>
      </c>
      <c r="P532" t="s">
        <v>1556</v>
      </c>
      <c r="Q532" t="s">
        <v>1552</v>
      </c>
      <c r="R532" t="s">
        <v>1550</v>
      </c>
      <c r="S532" t="s">
        <v>1533</v>
      </c>
      <c r="T532" t="s">
        <v>1538</v>
      </c>
      <c r="U532" t="s">
        <v>1547</v>
      </c>
      <c r="V532" t="s">
        <v>1558</v>
      </c>
      <c r="W532" t="s">
        <v>1563</v>
      </c>
      <c r="X532" t="s">
        <v>1577</v>
      </c>
      <c r="Y532" t="s">
        <v>1584</v>
      </c>
      <c r="Z532" t="s">
        <v>1591</v>
      </c>
      <c r="AA532" t="s">
        <v>1597</v>
      </c>
      <c r="AB532" t="s">
        <v>1601</v>
      </c>
      <c r="AC532" t="s">
        <v>1610</v>
      </c>
      <c r="AD532" t="s">
        <v>1607</v>
      </c>
      <c r="AE532" t="s">
        <v>1616</v>
      </c>
      <c r="AF532" t="s">
        <v>1627</v>
      </c>
    </row>
    <row r="533" spans="1:32" x14ac:dyDescent="0.25">
      <c r="A533" t="s">
        <v>590</v>
      </c>
      <c r="B533">
        <v>32</v>
      </c>
      <c r="C533">
        <v>1018</v>
      </c>
      <c r="D533">
        <v>3</v>
      </c>
      <c r="E533">
        <v>39</v>
      </c>
      <c r="F533">
        <v>11159</v>
      </c>
      <c r="G533">
        <v>19373</v>
      </c>
      <c r="H533">
        <v>3</v>
      </c>
      <c r="I533">
        <v>15</v>
      </c>
      <c r="J533">
        <v>10</v>
      </c>
      <c r="K533">
        <v>6</v>
      </c>
      <c r="L533">
        <v>7</v>
      </c>
      <c r="M533">
        <v>7</v>
      </c>
      <c r="N533">
        <v>7</v>
      </c>
      <c r="O533">
        <v>7</v>
      </c>
      <c r="P533" t="s">
        <v>1556</v>
      </c>
      <c r="Q533" t="s">
        <v>1552</v>
      </c>
      <c r="R533" t="s">
        <v>1550</v>
      </c>
      <c r="S533" t="s">
        <v>1533</v>
      </c>
      <c r="T533" t="s">
        <v>1538</v>
      </c>
      <c r="U533" t="s">
        <v>1547</v>
      </c>
      <c r="V533" t="s">
        <v>1558</v>
      </c>
      <c r="W533" t="s">
        <v>1563</v>
      </c>
      <c r="X533" t="s">
        <v>1577</v>
      </c>
      <c r="Y533" t="s">
        <v>1588</v>
      </c>
      <c r="Z533" t="s">
        <v>1594</v>
      </c>
      <c r="AA533" t="s">
        <v>1596</v>
      </c>
      <c r="AB533" t="s">
        <v>1601</v>
      </c>
      <c r="AC533" t="s">
        <v>1610</v>
      </c>
      <c r="AD533" t="s">
        <v>1607</v>
      </c>
      <c r="AE533" t="s">
        <v>1616</v>
      </c>
      <c r="AF533" t="s">
        <v>1627</v>
      </c>
    </row>
    <row r="534" spans="1:32" x14ac:dyDescent="0.25">
      <c r="A534" t="s">
        <v>591</v>
      </c>
      <c r="B534">
        <v>47</v>
      </c>
      <c r="C534">
        <v>703</v>
      </c>
      <c r="D534">
        <v>14</v>
      </c>
      <c r="E534">
        <v>42</v>
      </c>
      <c r="F534">
        <v>4960</v>
      </c>
      <c r="G534">
        <v>11825</v>
      </c>
      <c r="H534">
        <v>2</v>
      </c>
      <c r="I534">
        <v>12</v>
      </c>
      <c r="J534">
        <v>20</v>
      </c>
      <c r="K534">
        <v>2</v>
      </c>
      <c r="L534">
        <v>7</v>
      </c>
      <c r="M534">
        <v>7</v>
      </c>
      <c r="N534">
        <v>1</v>
      </c>
      <c r="O534">
        <v>7</v>
      </c>
      <c r="P534" t="s">
        <v>1556</v>
      </c>
      <c r="Q534" t="s">
        <v>1552</v>
      </c>
      <c r="R534" t="s">
        <v>1549</v>
      </c>
      <c r="S534" t="s">
        <v>1535</v>
      </c>
      <c r="T534" t="s">
        <v>1541</v>
      </c>
      <c r="U534" t="s">
        <v>1548</v>
      </c>
      <c r="V534" t="s">
        <v>1559</v>
      </c>
      <c r="W534" t="s">
        <v>1563</v>
      </c>
      <c r="X534" t="s">
        <v>1576</v>
      </c>
      <c r="Y534" t="s">
        <v>1581</v>
      </c>
      <c r="Z534" t="s">
        <v>1591</v>
      </c>
      <c r="AA534" t="s">
        <v>1596</v>
      </c>
      <c r="AB534" t="s">
        <v>1601</v>
      </c>
      <c r="AC534" t="s">
        <v>1610</v>
      </c>
      <c r="AD534" t="s">
        <v>1607</v>
      </c>
      <c r="AE534" t="s">
        <v>1616</v>
      </c>
      <c r="AF534" t="s">
        <v>1627</v>
      </c>
    </row>
    <row r="535" spans="1:32" x14ac:dyDescent="0.25">
      <c r="A535" t="s">
        <v>592</v>
      </c>
      <c r="B535">
        <v>40</v>
      </c>
      <c r="C535">
        <v>580</v>
      </c>
      <c r="D535">
        <v>5</v>
      </c>
      <c r="E535">
        <v>48</v>
      </c>
      <c r="F535">
        <v>10475</v>
      </c>
      <c r="G535">
        <v>23772</v>
      </c>
      <c r="H535">
        <v>5</v>
      </c>
      <c r="I535">
        <v>21</v>
      </c>
      <c r="J535">
        <v>20</v>
      </c>
      <c r="K535">
        <v>2</v>
      </c>
      <c r="L535">
        <v>18</v>
      </c>
      <c r="M535">
        <v>13</v>
      </c>
      <c r="N535">
        <v>1</v>
      </c>
      <c r="O535">
        <v>12</v>
      </c>
      <c r="P535" t="s">
        <v>1556</v>
      </c>
      <c r="Q535" t="s">
        <v>1553</v>
      </c>
      <c r="R535" t="s">
        <v>1549</v>
      </c>
      <c r="S535" t="s">
        <v>1535</v>
      </c>
      <c r="T535" t="s">
        <v>1538</v>
      </c>
      <c r="U535" t="s">
        <v>1548</v>
      </c>
      <c r="V535" t="s">
        <v>1559</v>
      </c>
      <c r="W535" t="s">
        <v>1562</v>
      </c>
      <c r="X535" t="s">
        <v>1577</v>
      </c>
      <c r="Y535" t="s">
        <v>1581</v>
      </c>
      <c r="Z535" t="s">
        <v>1591</v>
      </c>
      <c r="AA535" t="s">
        <v>1597</v>
      </c>
      <c r="AB535" t="s">
        <v>1600</v>
      </c>
      <c r="AC535" t="s">
        <v>1611</v>
      </c>
      <c r="AD535" t="s">
        <v>1606</v>
      </c>
      <c r="AE535" t="s">
        <v>1617</v>
      </c>
      <c r="AF535" t="s">
        <v>1627</v>
      </c>
    </row>
    <row r="536" spans="1:32" x14ac:dyDescent="0.25">
      <c r="A536" t="s">
        <v>593</v>
      </c>
      <c r="B536">
        <v>53</v>
      </c>
      <c r="C536">
        <v>970</v>
      </c>
      <c r="D536">
        <v>7</v>
      </c>
      <c r="E536">
        <v>59</v>
      </c>
      <c r="F536">
        <v>14814</v>
      </c>
      <c r="G536">
        <v>13514</v>
      </c>
      <c r="H536">
        <v>3</v>
      </c>
      <c r="I536">
        <v>19</v>
      </c>
      <c r="J536">
        <v>32</v>
      </c>
      <c r="K536">
        <v>3</v>
      </c>
      <c r="L536">
        <v>5</v>
      </c>
      <c r="M536">
        <v>1</v>
      </c>
      <c r="N536">
        <v>1</v>
      </c>
      <c r="O536">
        <v>3</v>
      </c>
      <c r="P536" t="s">
        <v>1556</v>
      </c>
      <c r="Q536" t="s">
        <v>1552</v>
      </c>
      <c r="R536" t="s">
        <v>1550</v>
      </c>
      <c r="S536" t="s">
        <v>1534</v>
      </c>
      <c r="T536" t="s">
        <v>1538</v>
      </c>
      <c r="U536" t="s">
        <v>1547</v>
      </c>
      <c r="V536" t="s">
        <v>1559</v>
      </c>
      <c r="W536" t="s">
        <v>1564</v>
      </c>
      <c r="X536" t="s">
        <v>1578</v>
      </c>
      <c r="Y536" t="s">
        <v>1588</v>
      </c>
      <c r="Z536" t="s">
        <v>1593</v>
      </c>
      <c r="AA536" t="s">
        <v>1597</v>
      </c>
      <c r="AB536" t="s">
        <v>1601</v>
      </c>
      <c r="AC536" t="s">
        <v>1610</v>
      </c>
      <c r="AD536" t="s">
        <v>1606</v>
      </c>
      <c r="AE536" t="s">
        <v>1616</v>
      </c>
      <c r="AF536" t="s">
        <v>1627</v>
      </c>
    </row>
    <row r="537" spans="1:32" x14ac:dyDescent="0.25">
      <c r="A537" t="s">
        <v>594</v>
      </c>
      <c r="B537">
        <v>41</v>
      </c>
      <c r="C537">
        <v>427</v>
      </c>
      <c r="D537">
        <v>10</v>
      </c>
      <c r="E537">
        <v>73</v>
      </c>
      <c r="F537">
        <v>19141</v>
      </c>
      <c r="G537">
        <v>8861</v>
      </c>
      <c r="H537">
        <v>3</v>
      </c>
      <c r="I537">
        <v>15</v>
      </c>
      <c r="J537">
        <v>23</v>
      </c>
      <c r="K537">
        <v>2</v>
      </c>
      <c r="L537">
        <v>21</v>
      </c>
      <c r="M537">
        <v>6</v>
      </c>
      <c r="N537">
        <v>12</v>
      </c>
      <c r="O537">
        <v>6</v>
      </c>
      <c r="P537" t="s">
        <v>1556</v>
      </c>
      <c r="Q537" t="s">
        <v>1552</v>
      </c>
      <c r="R537" t="s">
        <v>1551</v>
      </c>
      <c r="S537" t="s">
        <v>1535</v>
      </c>
      <c r="T537" t="s">
        <v>1543</v>
      </c>
      <c r="U537" t="s">
        <v>1546</v>
      </c>
      <c r="V537" t="s">
        <v>1559</v>
      </c>
      <c r="W537" t="s">
        <v>1562</v>
      </c>
      <c r="X537" t="s">
        <v>1579</v>
      </c>
      <c r="Y537" t="s">
        <v>1586</v>
      </c>
      <c r="Z537" t="s">
        <v>1594</v>
      </c>
      <c r="AA537" t="s">
        <v>1598</v>
      </c>
      <c r="AB537" t="s">
        <v>1601</v>
      </c>
      <c r="AC537" t="s">
        <v>1610</v>
      </c>
      <c r="AD537" t="s">
        <v>1605</v>
      </c>
      <c r="AE537" t="s">
        <v>1619</v>
      </c>
      <c r="AF537" t="s">
        <v>1626</v>
      </c>
    </row>
    <row r="538" spans="1:32" x14ac:dyDescent="0.25">
      <c r="A538" t="s">
        <v>595</v>
      </c>
      <c r="B538">
        <v>60</v>
      </c>
      <c r="C538">
        <v>1179</v>
      </c>
      <c r="D538">
        <v>16</v>
      </c>
      <c r="E538">
        <v>84</v>
      </c>
      <c r="F538">
        <v>5405</v>
      </c>
      <c r="G538">
        <v>11924</v>
      </c>
      <c r="H538">
        <v>8</v>
      </c>
      <c r="I538">
        <v>14</v>
      </c>
      <c r="J538">
        <v>10</v>
      </c>
      <c r="K538">
        <v>1</v>
      </c>
      <c r="L538">
        <v>2</v>
      </c>
      <c r="M538">
        <v>2</v>
      </c>
      <c r="N538">
        <v>2</v>
      </c>
      <c r="O538">
        <v>2</v>
      </c>
      <c r="P538" t="s">
        <v>1556</v>
      </c>
      <c r="Q538" t="s">
        <v>1552</v>
      </c>
      <c r="R538" t="s">
        <v>1549</v>
      </c>
      <c r="S538" t="s">
        <v>1535</v>
      </c>
      <c r="T538" t="s">
        <v>1541</v>
      </c>
      <c r="U538" t="s">
        <v>1545</v>
      </c>
      <c r="V538" t="s">
        <v>1559</v>
      </c>
      <c r="W538" t="s">
        <v>1563</v>
      </c>
      <c r="X538" t="s">
        <v>1576</v>
      </c>
      <c r="Y538" t="s">
        <v>1581</v>
      </c>
      <c r="Z538" t="s">
        <v>1591</v>
      </c>
      <c r="AA538" t="s">
        <v>1596</v>
      </c>
      <c r="AB538" t="s">
        <v>1601</v>
      </c>
      <c r="AC538" t="s">
        <v>1610</v>
      </c>
      <c r="AD538" t="s">
        <v>1607</v>
      </c>
      <c r="AE538" t="s">
        <v>1616</v>
      </c>
      <c r="AF538" t="s">
        <v>1627</v>
      </c>
    </row>
    <row r="539" spans="1:32" x14ac:dyDescent="0.25">
      <c r="A539" t="s">
        <v>596</v>
      </c>
      <c r="B539">
        <v>27</v>
      </c>
      <c r="C539">
        <v>294</v>
      </c>
      <c r="D539">
        <v>10</v>
      </c>
      <c r="E539">
        <v>32</v>
      </c>
      <c r="F539">
        <v>8793</v>
      </c>
      <c r="G539">
        <v>4809</v>
      </c>
      <c r="H539">
        <v>1</v>
      </c>
      <c r="I539">
        <v>21</v>
      </c>
      <c r="J539">
        <v>9</v>
      </c>
      <c r="K539">
        <v>4</v>
      </c>
      <c r="L539">
        <v>9</v>
      </c>
      <c r="M539">
        <v>7</v>
      </c>
      <c r="N539">
        <v>1</v>
      </c>
      <c r="O539">
        <v>7</v>
      </c>
      <c r="P539" t="s">
        <v>1556</v>
      </c>
      <c r="Q539" t="s">
        <v>1553</v>
      </c>
      <c r="R539" t="s">
        <v>1550</v>
      </c>
      <c r="S539" t="s">
        <v>1533</v>
      </c>
      <c r="T539" t="s">
        <v>1538</v>
      </c>
      <c r="U539" t="s">
        <v>1548</v>
      </c>
      <c r="V539" t="s">
        <v>1559</v>
      </c>
      <c r="W539" t="s">
        <v>1563</v>
      </c>
      <c r="X539" t="s">
        <v>1577</v>
      </c>
      <c r="Y539" t="s">
        <v>1584</v>
      </c>
      <c r="Z539" t="s">
        <v>1591</v>
      </c>
      <c r="AA539" t="s">
        <v>1598</v>
      </c>
      <c r="AB539" t="s">
        <v>1601</v>
      </c>
      <c r="AC539" t="s">
        <v>1611</v>
      </c>
      <c r="AD539" t="s">
        <v>1606</v>
      </c>
      <c r="AE539" t="s">
        <v>1618</v>
      </c>
      <c r="AF539" t="s">
        <v>1626</v>
      </c>
    </row>
    <row r="540" spans="1:32" x14ac:dyDescent="0.25">
      <c r="A540" t="s">
        <v>597</v>
      </c>
      <c r="B540">
        <v>41</v>
      </c>
      <c r="C540">
        <v>314</v>
      </c>
      <c r="D540">
        <v>1</v>
      </c>
      <c r="E540">
        <v>59</v>
      </c>
      <c r="F540">
        <v>19189</v>
      </c>
      <c r="G540">
        <v>19562</v>
      </c>
      <c r="H540">
        <v>1</v>
      </c>
      <c r="I540">
        <v>12</v>
      </c>
      <c r="J540">
        <v>22</v>
      </c>
      <c r="K540">
        <v>3</v>
      </c>
      <c r="L540">
        <v>22</v>
      </c>
      <c r="M540">
        <v>7</v>
      </c>
      <c r="N540">
        <v>2</v>
      </c>
      <c r="O540">
        <v>10</v>
      </c>
      <c r="P540" t="s">
        <v>1556</v>
      </c>
      <c r="Q540" t="s">
        <v>1552</v>
      </c>
      <c r="R540" t="s">
        <v>1551</v>
      </c>
      <c r="S540" t="s">
        <v>1534</v>
      </c>
      <c r="T540" t="s">
        <v>1543</v>
      </c>
      <c r="U540" t="s">
        <v>1548</v>
      </c>
      <c r="V540" t="s">
        <v>1559</v>
      </c>
      <c r="W540" t="s">
        <v>1562</v>
      </c>
      <c r="X540" t="s">
        <v>1579</v>
      </c>
      <c r="Y540" t="s">
        <v>1586</v>
      </c>
      <c r="Z540" t="s">
        <v>1593</v>
      </c>
      <c r="AA540" t="s">
        <v>1597</v>
      </c>
      <c r="AB540" t="s">
        <v>1601</v>
      </c>
      <c r="AC540" t="s">
        <v>1610</v>
      </c>
      <c r="AD540" t="s">
        <v>1605</v>
      </c>
      <c r="AE540" t="s">
        <v>1617</v>
      </c>
      <c r="AF540" t="s">
        <v>1627</v>
      </c>
    </row>
    <row r="541" spans="1:32" x14ac:dyDescent="0.25">
      <c r="A541" t="s">
        <v>598</v>
      </c>
      <c r="B541">
        <v>50</v>
      </c>
      <c r="C541">
        <v>316</v>
      </c>
      <c r="D541">
        <v>8</v>
      </c>
      <c r="E541">
        <v>54</v>
      </c>
      <c r="F541">
        <v>3875</v>
      </c>
      <c r="G541">
        <v>9983</v>
      </c>
      <c r="H541">
        <v>7</v>
      </c>
      <c r="I541">
        <v>15</v>
      </c>
      <c r="J541">
        <v>4</v>
      </c>
      <c r="K541">
        <v>2</v>
      </c>
      <c r="L541">
        <v>2</v>
      </c>
      <c r="M541">
        <v>2</v>
      </c>
      <c r="N541">
        <v>2</v>
      </c>
      <c r="O541">
        <v>2</v>
      </c>
      <c r="P541" t="s">
        <v>1556</v>
      </c>
      <c r="Q541" t="s">
        <v>1552</v>
      </c>
      <c r="R541" t="s">
        <v>1549</v>
      </c>
      <c r="S541" t="s">
        <v>1535</v>
      </c>
      <c r="T541" t="s">
        <v>1541</v>
      </c>
      <c r="U541" t="s">
        <v>1548</v>
      </c>
      <c r="V541" t="s">
        <v>1559</v>
      </c>
      <c r="W541" t="s">
        <v>1563</v>
      </c>
      <c r="X541" t="s">
        <v>1575</v>
      </c>
      <c r="Y541" t="s">
        <v>1587</v>
      </c>
      <c r="Z541" t="s">
        <v>1592</v>
      </c>
      <c r="AA541" t="s">
        <v>1597</v>
      </c>
      <c r="AB541" t="s">
        <v>1601</v>
      </c>
      <c r="AC541" t="s">
        <v>1610</v>
      </c>
      <c r="AD541" t="s">
        <v>1607</v>
      </c>
      <c r="AE541" t="s">
        <v>1617</v>
      </c>
      <c r="AF541" t="s">
        <v>1627</v>
      </c>
    </row>
    <row r="542" spans="1:32" x14ac:dyDescent="0.25">
      <c r="A542" t="s">
        <v>599</v>
      </c>
      <c r="B542">
        <v>28</v>
      </c>
      <c r="C542">
        <v>654</v>
      </c>
      <c r="D542">
        <v>1</v>
      </c>
      <c r="E542">
        <v>67</v>
      </c>
      <c r="F542">
        <v>2216</v>
      </c>
      <c r="G542">
        <v>3872</v>
      </c>
      <c r="H542">
        <v>7</v>
      </c>
      <c r="I542">
        <v>13</v>
      </c>
      <c r="J542">
        <v>10</v>
      </c>
      <c r="K542">
        <v>4</v>
      </c>
      <c r="L542">
        <v>7</v>
      </c>
      <c r="M542">
        <v>7</v>
      </c>
      <c r="N542">
        <v>3</v>
      </c>
      <c r="O542">
        <v>7</v>
      </c>
      <c r="P542" t="s">
        <v>1555</v>
      </c>
      <c r="Q542" t="s">
        <v>1552</v>
      </c>
      <c r="R542" t="s">
        <v>1550</v>
      </c>
      <c r="S542" t="s">
        <v>1533</v>
      </c>
      <c r="T542" t="s">
        <v>1538</v>
      </c>
      <c r="U542" t="s">
        <v>1545</v>
      </c>
      <c r="V542" t="s">
        <v>1558</v>
      </c>
      <c r="W542" t="s">
        <v>1561</v>
      </c>
      <c r="X542" t="s">
        <v>1575</v>
      </c>
      <c r="Y542" t="s">
        <v>1582</v>
      </c>
      <c r="Z542" t="s">
        <v>1592</v>
      </c>
      <c r="AA542" t="s">
        <v>1596</v>
      </c>
      <c r="AB542" t="s">
        <v>1600</v>
      </c>
      <c r="AC542" t="s">
        <v>1610</v>
      </c>
      <c r="AD542" t="s">
        <v>1607</v>
      </c>
      <c r="AE542" t="s">
        <v>1616</v>
      </c>
      <c r="AF542" t="s">
        <v>1627</v>
      </c>
    </row>
    <row r="543" spans="1:32" x14ac:dyDescent="0.25">
      <c r="A543" t="s">
        <v>600</v>
      </c>
      <c r="B543">
        <v>36</v>
      </c>
      <c r="C543">
        <v>427</v>
      </c>
      <c r="D543">
        <v>8</v>
      </c>
      <c r="E543">
        <v>63</v>
      </c>
      <c r="F543">
        <v>11713</v>
      </c>
      <c r="G543">
        <v>20335</v>
      </c>
      <c r="H543">
        <v>9</v>
      </c>
      <c r="I543">
        <v>14</v>
      </c>
      <c r="J543">
        <v>10</v>
      </c>
      <c r="K543">
        <v>2</v>
      </c>
      <c r="L543">
        <v>8</v>
      </c>
      <c r="M543">
        <v>7</v>
      </c>
      <c r="N543">
        <v>0</v>
      </c>
      <c r="O543">
        <v>5</v>
      </c>
      <c r="P543" t="s">
        <v>1556</v>
      </c>
      <c r="Q543" t="s">
        <v>1554</v>
      </c>
      <c r="R543" t="s">
        <v>1550</v>
      </c>
      <c r="S543" t="s">
        <v>1534</v>
      </c>
      <c r="T543" t="s">
        <v>1538</v>
      </c>
      <c r="U543" t="s">
        <v>1545</v>
      </c>
      <c r="V543" t="s">
        <v>1558</v>
      </c>
      <c r="W543" t="s">
        <v>1564</v>
      </c>
      <c r="X543" t="s">
        <v>1577</v>
      </c>
      <c r="Y543" t="s">
        <v>1588</v>
      </c>
      <c r="Z543" t="s">
        <v>1591</v>
      </c>
      <c r="AA543" t="s">
        <v>1597</v>
      </c>
      <c r="AB543" t="s">
        <v>1601</v>
      </c>
      <c r="AC543" t="s">
        <v>1610</v>
      </c>
      <c r="AD543" t="s">
        <v>1604</v>
      </c>
      <c r="AE543" t="s">
        <v>1617</v>
      </c>
      <c r="AF543" t="s">
        <v>1627</v>
      </c>
    </row>
    <row r="544" spans="1:32" x14ac:dyDescent="0.25">
      <c r="A544" t="s">
        <v>601</v>
      </c>
      <c r="B544">
        <v>38</v>
      </c>
      <c r="C544">
        <v>168</v>
      </c>
      <c r="D544">
        <v>1</v>
      </c>
      <c r="E544">
        <v>81</v>
      </c>
      <c r="F544">
        <v>7861</v>
      </c>
      <c r="G544">
        <v>15397</v>
      </c>
      <c r="H544">
        <v>4</v>
      </c>
      <c r="I544">
        <v>14</v>
      </c>
      <c r="J544">
        <v>10</v>
      </c>
      <c r="K544">
        <v>4</v>
      </c>
      <c r="L544">
        <v>1</v>
      </c>
      <c r="M544">
        <v>0</v>
      </c>
      <c r="N544">
        <v>0</v>
      </c>
      <c r="O544">
        <v>0</v>
      </c>
      <c r="P544" t="s">
        <v>1556</v>
      </c>
      <c r="Q544" t="s">
        <v>1552</v>
      </c>
      <c r="R544" t="s">
        <v>1550</v>
      </c>
      <c r="S544" t="s">
        <v>1534</v>
      </c>
      <c r="T544" t="s">
        <v>1538</v>
      </c>
      <c r="U544" t="s">
        <v>1547</v>
      </c>
      <c r="V544" t="s">
        <v>1558</v>
      </c>
      <c r="W544" t="s">
        <v>1563</v>
      </c>
      <c r="X544" t="s">
        <v>1577</v>
      </c>
      <c r="Y544" t="s">
        <v>1584</v>
      </c>
      <c r="Z544" t="s">
        <v>1593</v>
      </c>
      <c r="AA544" t="s">
        <v>1596</v>
      </c>
      <c r="AB544" t="s">
        <v>1600</v>
      </c>
      <c r="AC544" t="s">
        <v>1610</v>
      </c>
      <c r="AD544" t="s">
        <v>1607</v>
      </c>
      <c r="AE544" t="s">
        <v>1616</v>
      </c>
      <c r="AF544" t="s">
        <v>1628</v>
      </c>
    </row>
    <row r="545" spans="1:32" x14ac:dyDescent="0.25">
      <c r="A545" t="s">
        <v>602</v>
      </c>
      <c r="B545">
        <v>44</v>
      </c>
      <c r="C545">
        <v>381</v>
      </c>
      <c r="D545">
        <v>24</v>
      </c>
      <c r="E545">
        <v>49</v>
      </c>
      <c r="F545">
        <v>3708</v>
      </c>
      <c r="G545">
        <v>2104</v>
      </c>
      <c r="H545">
        <v>2</v>
      </c>
      <c r="I545">
        <v>14</v>
      </c>
      <c r="J545">
        <v>9</v>
      </c>
      <c r="K545">
        <v>5</v>
      </c>
      <c r="L545">
        <v>5</v>
      </c>
      <c r="M545">
        <v>2</v>
      </c>
      <c r="N545">
        <v>1</v>
      </c>
      <c r="O545">
        <v>4</v>
      </c>
      <c r="P545" t="s">
        <v>1556</v>
      </c>
      <c r="Q545" t="s">
        <v>1554</v>
      </c>
      <c r="R545" t="s">
        <v>1550</v>
      </c>
      <c r="S545" t="s">
        <v>1534</v>
      </c>
      <c r="T545" t="s">
        <v>1540</v>
      </c>
      <c r="U545" t="s">
        <v>1545</v>
      </c>
      <c r="V545" t="s">
        <v>1559</v>
      </c>
      <c r="W545" t="s">
        <v>1561</v>
      </c>
      <c r="X545" t="s">
        <v>1575</v>
      </c>
      <c r="Y545" t="s">
        <v>1583</v>
      </c>
      <c r="Z545" t="s">
        <v>1593</v>
      </c>
      <c r="AA545" t="s">
        <v>1596</v>
      </c>
      <c r="AB545" t="s">
        <v>1601</v>
      </c>
      <c r="AC545" t="s">
        <v>1610</v>
      </c>
      <c r="AD545" t="s">
        <v>1606</v>
      </c>
      <c r="AE545" t="s">
        <v>1616</v>
      </c>
      <c r="AF545" t="s">
        <v>1627</v>
      </c>
    </row>
    <row r="546" spans="1:32" x14ac:dyDescent="0.25">
      <c r="A546" t="s">
        <v>603</v>
      </c>
      <c r="B546">
        <v>47</v>
      </c>
      <c r="C546">
        <v>217</v>
      </c>
      <c r="D546">
        <v>3</v>
      </c>
      <c r="E546">
        <v>49</v>
      </c>
      <c r="F546">
        <v>13770</v>
      </c>
      <c r="G546">
        <v>10225</v>
      </c>
      <c r="H546">
        <v>9</v>
      </c>
      <c r="I546">
        <v>12</v>
      </c>
      <c r="J546">
        <v>28</v>
      </c>
      <c r="K546">
        <v>2</v>
      </c>
      <c r="L546">
        <v>22</v>
      </c>
      <c r="M546">
        <v>2</v>
      </c>
      <c r="N546">
        <v>11</v>
      </c>
      <c r="O546">
        <v>13</v>
      </c>
      <c r="P546" t="s">
        <v>1556</v>
      </c>
      <c r="Q546" t="s">
        <v>1553</v>
      </c>
      <c r="R546" t="s">
        <v>1549</v>
      </c>
      <c r="S546" t="s">
        <v>1534</v>
      </c>
      <c r="T546" t="s">
        <v>1540</v>
      </c>
      <c r="U546" t="s">
        <v>1548</v>
      </c>
      <c r="V546" t="s">
        <v>1558</v>
      </c>
      <c r="W546" t="s">
        <v>1563</v>
      </c>
      <c r="X546" t="s">
        <v>1578</v>
      </c>
      <c r="Y546" t="s">
        <v>1581</v>
      </c>
      <c r="Z546" t="s">
        <v>1593</v>
      </c>
      <c r="AA546" t="s">
        <v>1598</v>
      </c>
      <c r="AB546" t="s">
        <v>1600</v>
      </c>
      <c r="AC546" t="s">
        <v>1610</v>
      </c>
      <c r="AD546" t="s">
        <v>1607</v>
      </c>
      <c r="AE546" t="s">
        <v>1618</v>
      </c>
      <c r="AF546" t="s">
        <v>1626</v>
      </c>
    </row>
    <row r="547" spans="1:32" x14ac:dyDescent="0.25">
      <c r="A547" t="s">
        <v>604</v>
      </c>
      <c r="B547">
        <v>30</v>
      </c>
      <c r="C547">
        <v>501</v>
      </c>
      <c r="D547">
        <v>27</v>
      </c>
      <c r="E547">
        <v>99</v>
      </c>
      <c r="F547">
        <v>5304</v>
      </c>
      <c r="G547">
        <v>25275</v>
      </c>
      <c r="H547">
        <v>7</v>
      </c>
      <c r="I547">
        <v>23</v>
      </c>
      <c r="J547">
        <v>10</v>
      </c>
      <c r="K547">
        <v>2</v>
      </c>
      <c r="L547">
        <v>8</v>
      </c>
      <c r="M547">
        <v>7</v>
      </c>
      <c r="N547">
        <v>7</v>
      </c>
      <c r="O547">
        <v>7</v>
      </c>
      <c r="P547" t="s">
        <v>1556</v>
      </c>
      <c r="Q547" t="s">
        <v>1552</v>
      </c>
      <c r="R547" t="s">
        <v>1549</v>
      </c>
      <c r="S547" t="s">
        <v>1536</v>
      </c>
      <c r="T547" t="s">
        <v>1541</v>
      </c>
      <c r="U547" t="s">
        <v>1547</v>
      </c>
      <c r="V547" t="s">
        <v>1559</v>
      </c>
      <c r="W547" t="s">
        <v>1563</v>
      </c>
      <c r="X547" t="s">
        <v>1576</v>
      </c>
      <c r="Y547" t="s">
        <v>1581</v>
      </c>
      <c r="Z547" t="s">
        <v>1594</v>
      </c>
      <c r="AA547" t="s">
        <v>1598</v>
      </c>
      <c r="AB547" t="s">
        <v>1601</v>
      </c>
      <c r="AC547" t="s">
        <v>1611</v>
      </c>
      <c r="AD547" t="s">
        <v>1607</v>
      </c>
      <c r="AE547" t="s">
        <v>1617</v>
      </c>
      <c r="AF547" t="s">
        <v>1626</v>
      </c>
    </row>
    <row r="548" spans="1:32" x14ac:dyDescent="0.25">
      <c r="A548" t="s">
        <v>605</v>
      </c>
      <c r="B548">
        <v>29</v>
      </c>
      <c r="C548">
        <v>1396</v>
      </c>
      <c r="D548">
        <v>10</v>
      </c>
      <c r="E548">
        <v>99</v>
      </c>
      <c r="F548">
        <v>2642</v>
      </c>
      <c r="G548">
        <v>2755</v>
      </c>
      <c r="H548">
        <v>1</v>
      </c>
      <c r="I548">
        <v>11</v>
      </c>
      <c r="J548">
        <v>1</v>
      </c>
      <c r="K548">
        <v>6</v>
      </c>
      <c r="L548">
        <v>1</v>
      </c>
      <c r="M548">
        <v>0</v>
      </c>
      <c r="N548">
        <v>0</v>
      </c>
      <c r="O548">
        <v>0</v>
      </c>
      <c r="P548" t="s">
        <v>1556</v>
      </c>
      <c r="Q548" t="s">
        <v>1552</v>
      </c>
      <c r="R548" t="s">
        <v>1549</v>
      </c>
      <c r="S548" t="s">
        <v>1534</v>
      </c>
      <c r="T548" t="s">
        <v>1538</v>
      </c>
      <c r="U548" t="s">
        <v>1547</v>
      </c>
      <c r="V548" t="s">
        <v>1559</v>
      </c>
      <c r="W548" t="s">
        <v>1563</v>
      </c>
      <c r="X548" t="s">
        <v>1575</v>
      </c>
      <c r="Y548" t="s">
        <v>1587</v>
      </c>
      <c r="Z548" t="s">
        <v>1593</v>
      </c>
      <c r="AA548" t="s">
        <v>1596</v>
      </c>
      <c r="AB548" t="s">
        <v>1601</v>
      </c>
      <c r="AC548" t="s">
        <v>1610</v>
      </c>
      <c r="AD548" t="s">
        <v>1606</v>
      </c>
      <c r="AE548" t="s">
        <v>1616</v>
      </c>
      <c r="AF548" t="s">
        <v>1627</v>
      </c>
    </row>
    <row r="549" spans="1:32" x14ac:dyDescent="0.25">
      <c r="A549" t="s">
        <v>606</v>
      </c>
      <c r="B549">
        <v>42</v>
      </c>
      <c r="C549">
        <v>933</v>
      </c>
      <c r="D549">
        <v>19</v>
      </c>
      <c r="E549">
        <v>57</v>
      </c>
      <c r="F549">
        <v>2759</v>
      </c>
      <c r="G549">
        <v>20366</v>
      </c>
      <c r="H549">
        <v>6</v>
      </c>
      <c r="I549">
        <v>12</v>
      </c>
      <c r="J549">
        <v>7</v>
      </c>
      <c r="K549">
        <v>2</v>
      </c>
      <c r="L549">
        <v>2</v>
      </c>
      <c r="M549">
        <v>2</v>
      </c>
      <c r="N549">
        <v>2</v>
      </c>
      <c r="O549">
        <v>2</v>
      </c>
      <c r="P549" t="s">
        <v>1555</v>
      </c>
      <c r="Q549" t="s">
        <v>1553</v>
      </c>
      <c r="R549" t="s">
        <v>1550</v>
      </c>
      <c r="S549" t="s">
        <v>1534</v>
      </c>
      <c r="T549" t="s">
        <v>1540</v>
      </c>
      <c r="U549" t="s">
        <v>1547</v>
      </c>
      <c r="V549" t="s">
        <v>1559</v>
      </c>
      <c r="W549" t="s">
        <v>1564</v>
      </c>
      <c r="X549" t="s">
        <v>1575</v>
      </c>
      <c r="Y549" t="s">
        <v>1582</v>
      </c>
      <c r="Z549" t="s">
        <v>1593</v>
      </c>
      <c r="AA549" t="s">
        <v>1598</v>
      </c>
      <c r="AB549" t="s">
        <v>1600</v>
      </c>
      <c r="AC549" t="s">
        <v>1610</v>
      </c>
      <c r="AD549" t="s">
        <v>1607</v>
      </c>
      <c r="AE549" t="s">
        <v>1616</v>
      </c>
      <c r="AF549" t="s">
        <v>1627</v>
      </c>
    </row>
    <row r="550" spans="1:32" x14ac:dyDescent="0.25">
      <c r="A550" t="s">
        <v>607</v>
      </c>
      <c r="B550">
        <v>43</v>
      </c>
      <c r="C550">
        <v>775</v>
      </c>
      <c r="D550">
        <v>15</v>
      </c>
      <c r="E550">
        <v>47</v>
      </c>
      <c r="F550">
        <v>6804</v>
      </c>
      <c r="G550">
        <v>23683</v>
      </c>
      <c r="H550">
        <v>3</v>
      </c>
      <c r="I550">
        <v>18</v>
      </c>
      <c r="J550">
        <v>7</v>
      </c>
      <c r="K550">
        <v>5</v>
      </c>
      <c r="L550">
        <v>2</v>
      </c>
      <c r="M550">
        <v>2</v>
      </c>
      <c r="N550">
        <v>2</v>
      </c>
      <c r="O550">
        <v>2</v>
      </c>
      <c r="P550" t="s">
        <v>1556</v>
      </c>
      <c r="Q550" t="s">
        <v>1553</v>
      </c>
      <c r="R550" t="s">
        <v>1549</v>
      </c>
      <c r="S550" t="s">
        <v>1534</v>
      </c>
      <c r="T550" t="s">
        <v>1538</v>
      </c>
      <c r="U550" t="s">
        <v>1548</v>
      </c>
      <c r="V550" t="s">
        <v>1559</v>
      </c>
      <c r="W550" t="s">
        <v>1562</v>
      </c>
      <c r="X550" t="s">
        <v>1576</v>
      </c>
      <c r="Y550" t="s">
        <v>1581</v>
      </c>
      <c r="Z550" t="s">
        <v>1594</v>
      </c>
      <c r="AA550" t="s">
        <v>1597</v>
      </c>
      <c r="AB550" t="s">
        <v>1601</v>
      </c>
      <c r="AC550" t="s">
        <v>1610</v>
      </c>
      <c r="AD550" t="s">
        <v>1606</v>
      </c>
      <c r="AE550" t="s">
        <v>1617</v>
      </c>
      <c r="AF550" t="s">
        <v>1627</v>
      </c>
    </row>
    <row r="551" spans="1:32" x14ac:dyDescent="0.25">
      <c r="A551" t="s">
        <v>608</v>
      </c>
      <c r="B551">
        <v>34</v>
      </c>
      <c r="C551">
        <v>970</v>
      </c>
      <c r="D551">
        <v>8</v>
      </c>
      <c r="E551">
        <v>96</v>
      </c>
      <c r="F551">
        <v>6142</v>
      </c>
      <c r="G551">
        <v>7360</v>
      </c>
      <c r="H551">
        <v>3</v>
      </c>
      <c r="I551">
        <v>11</v>
      </c>
      <c r="J551">
        <v>10</v>
      </c>
      <c r="K551">
        <v>2</v>
      </c>
      <c r="L551">
        <v>5</v>
      </c>
      <c r="M551">
        <v>1</v>
      </c>
      <c r="N551">
        <v>4</v>
      </c>
      <c r="O551">
        <v>3</v>
      </c>
      <c r="P551" t="s">
        <v>1556</v>
      </c>
      <c r="Q551" t="s">
        <v>1552</v>
      </c>
      <c r="R551" t="s">
        <v>1550</v>
      </c>
      <c r="S551" t="s">
        <v>1533</v>
      </c>
      <c r="T551" t="s">
        <v>1540</v>
      </c>
      <c r="U551" t="s">
        <v>1546</v>
      </c>
      <c r="V551" t="s">
        <v>1558</v>
      </c>
      <c r="W551" t="s">
        <v>1563</v>
      </c>
      <c r="X551" t="s">
        <v>1576</v>
      </c>
      <c r="Y551" t="s">
        <v>1585</v>
      </c>
      <c r="Z551" t="s">
        <v>1593</v>
      </c>
      <c r="AA551" t="s">
        <v>1596</v>
      </c>
      <c r="AB551" t="s">
        <v>1601</v>
      </c>
      <c r="AC551" t="s">
        <v>1610</v>
      </c>
      <c r="AD551" t="s">
        <v>1607</v>
      </c>
      <c r="AE551" t="s">
        <v>1616</v>
      </c>
      <c r="AF551" t="s">
        <v>1627</v>
      </c>
    </row>
    <row r="552" spans="1:32" x14ac:dyDescent="0.25">
      <c r="A552" t="s">
        <v>609</v>
      </c>
      <c r="B552">
        <v>23</v>
      </c>
      <c r="C552">
        <v>650</v>
      </c>
      <c r="D552">
        <v>9</v>
      </c>
      <c r="E552">
        <v>37</v>
      </c>
      <c r="F552">
        <v>2500</v>
      </c>
      <c r="G552">
        <v>4344</v>
      </c>
      <c r="H552">
        <v>1</v>
      </c>
      <c r="I552">
        <v>14</v>
      </c>
      <c r="J552">
        <v>5</v>
      </c>
      <c r="K552">
        <v>2</v>
      </c>
      <c r="L552">
        <v>4</v>
      </c>
      <c r="M552">
        <v>3</v>
      </c>
      <c r="N552">
        <v>0</v>
      </c>
      <c r="O552">
        <v>2</v>
      </c>
      <c r="P552" t="s">
        <v>1556</v>
      </c>
      <c r="Q552" t="s">
        <v>1552</v>
      </c>
      <c r="R552" t="s">
        <v>1550</v>
      </c>
      <c r="S552" t="s">
        <v>1532</v>
      </c>
      <c r="T552" t="s">
        <v>1540</v>
      </c>
      <c r="U552" t="s">
        <v>1546</v>
      </c>
      <c r="V552" t="s">
        <v>1559</v>
      </c>
      <c r="W552" t="s">
        <v>1563</v>
      </c>
      <c r="X552" t="s">
        <v>1575</v>
      </c>
      <c r="Y552" t="s">
        <v>1583</v>
      </c>
      <c r="Z552" t="s">
        <v>1591</v>
      </c>
      <c r="AA552" t="s">
        <v>1597</v>
      </c>
      <c r="AB552" t="s">
        <v>1601</v>
      </c>
      <c r="AC552" t="s">
        <v>1610</v>
      </c>
      <c r="AD552" t="s">
        <v>1607</v>
      </c>
      <c r="AE552" t="s">
        <v>1617</v>
      </c>
      <c r="AF552" t="s">
        <v>1628</v>
      </c>
    </row>
    <row r="553" spans="1:32" x14ac:dyDescent="0.25">
      <c r="A553" t="s">
        <v>610</v>
      </c>
      <c r="B553">
        <v>39</v>
      </c>
      <c r="C553">
        <v>141</v>
      </c>
      <c r="D553">
        <v>3</v>
      </c>
      <c r="E553">
        <v>44</v>
      </c>
      <c r="F553">
        <v>6389</v>
      </c>
      <c r="G553">
        <v>18767</v>
      </c>
      <c r="H553">
        <v>9</v>
      </c>
      <c r="I553">
        <v>15</v>
      </c>
      <c r="J553">
        <v>12</v>
      </c>
      <c r="K553">
        <v>3</v>
      </c>
      <c r="L553">
        <v>8</v>
      </c>
      <c r="M553">
        <v>3</v>
      </c>
      <c r="N553">
        <v>3</v>
      </c>
      <c r="O553">
        <v>6</v>
      </c>
      <c r="P553" t="s">
        <v>1556</v>
      </c>
      <c r="Q553" t="s">
        <v>1552</v>
      </c>
      <c r="R553" t="s">
        <v>1551</v>
      </c>
      <c r="S553" t="s">
        <v>1534</v>
      </c>
      <c r="T553" t="s">
        <v>1543</v>
      </c>
      <c r="U553" t="s">
        <v>1547</v>
      </c>
      <c r="V553" t="s">
        <v>1558</v>
      </c>
      <c r="W553" t="s">
        <v>1564</v>
      </c>
      <c r="X553" t="s">
        <v>1576</v>
      </c>
      <c r="Y553" t="s">
        <v>1589</v>
      </c>
      <c r="Z553" t="s">
        <v>1592</v>
      </c>
      <c r="AA553" t="s">
        <v>1597</v>
      </c>
      <c r="AB553" t="s">
        <v>1601</v>
      </c>
      <c r="AC553" t="s">
        <v>1610</v>
      </c>
      <c r="AD553" t="s">
        <v>1606</v>
      </c>
      <c r="AE553" t="s">
        <v>1617</v>
      </c>
      <c r="AF553" t="s">
        <v>1625</v>
      </c>
    </row>
    <row r="554" spans="1:32" x14ac:dyDescent="0.25">
      <c r="A554" t="s">
        <v>611</v>
      </c>
      <c r="B554">
        <v>56</v>
      </c>
      <c r="C554">
        <v>832</v>
      </c>
      <c r="D554">
        <v>9</v>
      </c>
      <c r="E554">
        <v>81</v>
      </c>
      <c r="F554">
        <v>11103</v>
      </c>
      <c r="G554">
        <v>20420</v>
      </c>
      <c r="H554">
        <v>7</v>
      </c>
      <c r="I554">
        <v>11</v>
      </c>
      <c r="J554">
        <v>30</v>
      </c>
      <c r="K554">
        <v>1</v>
      </c>
      <c r="L554">
        <v>10</v>
      </c>
      <c r="M554">
        <v>7</v>
      </c>
      <c r="N554">
        <v>1</v>
      </c>
      <c r="O554">
        <v>1</v>
      </c>
      <c r="P554" t="s">
        <v>1556</v>
      </c>
      <c r="Q554" t="s">
        <v>1552</v>
      </c>
      <c r="R554" t="s">
        <v>1550</v>
      </c>
      <c r="S554" t="s">
        <v>1534</v>
      </c>
      <c r="T554" t="s">
        <v>1540</v>
      </c>
      <c r="U554" t="s">
        <v>1547</v>
      </c>
      <c r="V554" t="s">
        <v>1559</v>
      </c>
      <c r="W554" t="s">
        <v>1563</v>
      </c>
      <c r="X554" t="s">
        <v>1578</v>
      </c>
      <c r="Y554" t="s">
        <v>1585</v>
      </c>
      <c r="Z554" t="s">
        <v>1594</v>
      </c>
      <c r="AA554" t="s">
        <v>1597</v>
      </c>
      <c r="AB554" t="s">
        <v>1601</v>
      </c>
      <c r="AC554" t="s">
        <v>1610</v>
      </c>
      <c r="AD554" t="s">
        <v>1606</v>
      </c>
      <c r="AE554" t="s">
        <v>1616</v>
      </c>
      <c r="AF554" t="s">
        <v>1626</v>
      </c>
    </row>
    <row r="555" spans="1:32" x14ac:dyDescent="0.25">
      <c r="A555" t="s">
        <v>612</v>
      </c>
      <c r="B555">
        <v>40</v>
      </c>
      <c r="C555">
        <v>804</v>
      </c>
      <c r="D555">
        <v>2</v>
      </c>
      <c r="E555">
        <v>86</v>
      </c>
      <c r="F555">
        <v>2342</v>
      </c>
      <c r="G555">
        <v>22929</v>
      </c>
      <c r="H555">
        <v>0</v>
      </c>
      <c r="I555">
        <v>20</v>
      </c>
      <c r="J555">
        <v>5</v>
      </c>
      <c r="K555">
        <v>2</v>
      </c>
      <c r="L555">
        <v>4</v>
      </c>
      <c r="M555">
        <v>2</v>
      </c>
      <c r="N555">
        <v>2</v>
      </c>
      <c r="O555">
        <v>3</v>
      </c>
      <c r="P555" t="s">
        <v>1556</v>
      </c>
      <c r="Q555" t="s">
        <v>1552</v>
      </c>
      <c r="R555" t="s">
        <v>1550</v>
      </c>
      <c r="S555" t="s">
        <v>1532</v>
      </c>
      <c r="T555" t="s">
        <v>1540</v>
      </c>
      <c r="U555" t="s">
        <v>1548</v>
      </c>
      <c r="V555" t="s">
        <v>1558</v>
      </c>
      <c r="W555" t="s">
        <v>1562</v>
      </c>
      <c r="X555" t="s">
        <v>1575</v>
      </c>
      <c r="Y555" t="s">
        <v>1582</v>
      </c>
      <c r="Z555" t="s">
        <v>1594</v>
      </c>
      <c r="AA555" t="s">
        <v>1596</v>
      </c>
      <c r="AB555" t="s">
        <v>1600</v>
      </c>
      <c r="AC555" t="s">
        <v>1611</v>
      </c>
      <c r="AD555" t="s">
        <v>1607</v>
      </c>
      <c r="AE555" t="s">
        <v>1616</v>
      </c>
      <c r="AF555" t="s">
        <v>1626</v>
      </c>
    </row>
    <row r="556" spans="1:32" x14ac:dyDescent="0.25">
      <c r="A556" t="s">
        <v>613</v>
      </c>
      <c r="B556">
        <v>27</v>
      </c>
      <c r="C556">
        <v>975</v>
      </c>
      <c r="D556">
        <v>7</v>
      </c>
      <c r="E556">
        <v>55</v>
      </c>
      <c r="F556">
        <v>6811</v>
      </c>
      <c r="G556">
        <v>23398</v>
      </c>
      <c r="H556">
        <v>8</v>
      </c>
      <c r="I556">
        <v>19</v>
      </c>
      <c r="J556">
        <v>9</v>
      </c>
      <c r="K556">
        <v>2</v>
      </c>
      <c r="L556">
        <v>7</v>
      </c>
      <c r="M556">
        <v>6</v>
      </c>
      <c r="N556">
        <v>0</v>
      </c>
      <c r="O556">
        <v>7</v>
      </c>
      <c r="P556" t="s">
        <v>1556</v>
      </c>
      <c r="Q556" t="s">
        <v>1552</v>
      </c>
      <c r="R556" t="s">
        <v>1550</v>
      </c>
      <c r="S556" t="s">
        <v>1534</v>
      </c>
      <c r="T556" t="s">
        <v>1540</v>
      </c>
      <c r="U556" t="s">
        <v>1548</v>
      </c>
      <c r="V556" t="s">
        <v>1558</v>
      </c>
      <c r="W556" t="s">
        <v>1562</v>
      </c>
      <c r="X556" t="s">
        <v>1576</v>
      </c>
      <c r="Y556" t="s">
        <v>1585</v>
      </c>
      <c r="Z556" t="s">
        <v>1591</v>
      </c>
      <c r="AA556" t="s">
        <v>1596</v>
      </c>
      <c r="AB556" t="s">
        <v>1601</v>
      </c>
      <c r="AC556" t="s">
        <v>1610</v>
      </c>
      <c r="AD556" t="s">
        <v>1604</v>
      </c>
      <c r="AE556" t="s">
        <v>1616</v>
      </c>
      <c r="AF556" t="s">
        <v>1625</v>
      </c>
    </row>
    <row r="557" spans="1:32" x14ac:dyDescent="0.25">
      <c r="A557" t="s">
        <v>614</v>
      </c>
      <c r="B557">
        <v>29</v>
      </c>
      <c r="C557">
        <v>1090</v>
      </c>
      <c r="D557">
        <v>10</v>
      </c>
      <c r="E557">
        <v>83</v>
      </c>
      <c r="F557">
        <v>2297</v>
      </c>
      <c r="G557">
        <v>17967</v>
      </c>
      <c r="H557">
        <v>1</v>
      </c>
      <c r="I557">
        <v>14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 t="s">
        <v>1556</v>
      </c>
      <c r="Q557" t="s">
        <v>1552</v>
      </c>
      <c r="R557" t="s">
        <v>1549</v>
      </c>
      <c r="S557" t="s">
        <v>1534</v>
      </c>
      <c r="T557" t="s">
        <v>1541</v>
      </c>
      <c r="U557" t="s">
        <v>1548</v>
      </c>
      <c r="V557" t="s">
        <v>1559</v>
      </c>
      <c r="W557" t="s">
        <v>1563</v>
      </c>
      <c r="X557" t="s">
        <v>1575</v>
      </c>
      <c r="Y557" t="s">
        <v>1587</v>
      </c>
      <c r="Z557" t="s">
        <v>1592</v>
      </c>
      <c r="AA557" t="s">
        <v>1598</v>
      </c>
      <c r="AB557" t="s">
        <v>1601</v>
      </c>
      <c r="AC557" t="s">
        <v>1610</v>
      </c>
      <c r="AD557" t="s">
        <v>1607</v>
      </c>
      <c r="AE557" t="s">
        <v>1618</v>
      </c>
      <c r="AF557" t="s">
        <v>1627</v>
      </c>
    </row>
    <row r="558" spans="1:32" x14ac:dyDescent="0.25">
      <c r="A558" t="s">
        <v>615</v>
      </c>
      <c r="B558">
        <v>53</v>
      </c>
      <c r="C558">
        <v>346</v>
      </c>
      <c r="D558">
        <v>6</v>
      </c>
      <c r="E558">
        <v>86</v>
      </c>
      <c r="F558">
        <v>2450</v>
      </c>
      <c r="G558">
        <v>10919</v>
      </c>
      <c r="H558">
        <v>2</v>
      </c>
      <c r="I558">
        <v>17</v>
      </c>
      <c r="J558">
        <v>19</v>
      </c>
      <c r="K558">
        <v>4</v>
      </c>
      <c r="L558">
        <v>2</v>
      </c>
      <c r="M558">
        <v>2</v>
      </c>
      <c r="N558">
        <v>2</v>
      </c>
      <c r="O558">
        <v>2</v>
      </c>
      <c r="P558" t="s">
        <v>1556</v>
      </c>
      <c r="Q558" t="s">
        <v>1552</v>
      </c>
      <c r="R558" t="s">
        <v>1550</v>
      </c>
      <c r="S558" t="s">
        <v>1534</v>
      </c>
      <c r="T558" t="s">
        <v>1538</v>
      </c>
      <c r="U558" t="s">
        <v>1548</v>
      </c>
      <c r="V558" t="s">
        <v>1559</v>
      </c>
      <c r="W558" t="s">
        <v>1563</v>
      </c>
      <c r="X558" t="s">
        <v>1576</v>
      </c>
      <c r="Y558" t="s">
        <v>1583</v>
      </c>
      <c r="Z558" t="s">
        <v>1594</v>
      </c>
      <c r="AA558" t="s">
        <v>1596</v>
      </c>
      <c r="AB558" t="s">
        <v>1601</v>
      </c>
      <c r="AC558" t="s">
        <v>1610</v>
      </c>
      <c r="AD558" t="s">
        <v>1607</v>
      </c>
      <c r="AE558" t="s">
        <v>1616</v>
      </c>
      <c r="AF558" t="s">
        <v>1627</v>
      </c>
    </row>
    <row r="559" spans="1:32" x14ac:dyDescent="0.25">
      <c r="A559" t="s">
        <v>616</v>
      </c>
      <c r="B559">
        <v>35</v>
      </c>
      <c r="C559">
        <v>1225</v>
      </c>
      <c r="D559">
        <v>2</v>
      </c>
      <c r="E559">
        <v>61</v>
      </c>
      <c r="F559">
        <v>5093</v>
      </c>
      <c r="G559">
        <v>4761</v>
      </c>
      <c r="H559">
        <v>2</v>
      </c>
      <c r="I559">
        <v>11</v>
      </c>
      <c r="J559">
        <v>16</v>
      </c>
      <c r="K559">
        <v>2</v>
      </c>
      <c r="L559">
        <v>1</v>
      </c>
      <c r="M559">
        <v>0</v>
      </c>
      <c r="N559">
        <v>0</v>
      </c>
      <c r="O559">
        <v>0</v>
      </c>
      <c r="P559" t="s">
        <v>1556</v>
      </c>
      <c r="Q559" t="s">
        <v>1554</v>
      </c>
      <c r="R559" t="s">
        <v>1550</v>
      </c>
      <c r="S559" t="s">
        <v>1535</v>
      </c>
      <c r="T559" t="s">
        <v>1538</v>
      </c>
      <c r="U559" t="s">
        <v>1548</v>
      </c>
      <c r="V559" t="s">
        <v>1558</v>
      </c>
      <c r="W559" t="s">
        <v>1563</v>
      </c>
      <c r="X559" t="s">
        <v>1576</v>
      </c>
      <c r="Y559" t="s">
        <v>1585</v>
      </c>
      <c r="Z559" t="s">
        <v>1591</v>
      </c>
      <c r="AA559" t="s">
        <v>1598</v>
      </c>
      <c r="AB559" t="s">
        <v>1601</v>
      </c>
      <c r="AC559" t="s">
        <v>1610</v>
      </c>
      <c r="AD559" t="s">
        <v>1604</v>
      </c>
      <c r="AE559" t="s">
        <v>1617</v>
      </c>
      <c r="AF559" t="s">
        <v>1628</v>
      </c>
    </row>
    <row r="560" spans="1:32" x14ac:dyDescent="0.25">
      <c r="A560" t="s">
        <v>617</v>
      </c>
      <c r="B560">
        <v>32</v>
      </c>
      <c r="C560">
        <v>430</v>
      </c>
      <c r="D560">
        <v>24</v>
      </c>
      <c r="E560">
        <v>80</v>
      </c>
      <c r="F560">
        <v>5309</v>
      </c>
      <c r="G560">
        <v>21146</v>
      </c>
      <c r="H560">
        <v>1</v>
      </c>
      <c r="I560">
        <v>15</v>
      </c>
      <c r="J560">
        <v>10</v>
      </c>
      <c r="K560">
        <v>2</v>
      </c>
      <c r="L560">
        <v>10</v>
      </c>
      <c r="M560">
        <v>8</v>
      </c>
      <c r="N560">
        <v>4</v>
      </c>
      <c r="O560">
        <v>7</v>
      </c>
      <c r="P560" t="s">
        <v>1556</v>
      </c>
      <c r="Q560" t="s">
        <v>1553</v>
      </c>
      <c r="R560" t="s">
        <v>1550</v>
      </c>
      <c r="S560" t="s">
        <v>1535</v>
      </c>
      <c r="T560" t="s">
        <v>1538</v>
      </c>
      <c r="U560" t="s">
        <v>1545</v>
      </c>
      <c r="V560" t="s">
        <v>1559</v>
      </c>
      <c r="W560" t="s">
        <v>1563</v>
      </c>
      <c r="X560" t="s">
        <v>1576</v>
      </c>
      <c r="Y560" t="s">
        <v>1583</v>
      </c>
      <c r="Z560" t="s">
        <v>1594</v>
      </c>
      <c r="AA560" t="s">
        <v>1597</v>
      </c>
      <c r="AB560" t="s">
        <v>1601</v>
      </c>
      <c r="AC560" t="s">
        <v>1610</v>
      </c>
      <c r="AD560" t="s">
        <v>1607</v>
      </c>
      <c r="AE560" t="s">
        <v>1618</v>
      </c>
      <c r="AF560" t="s">
        <v>1627</v>
      </c>
    </row>
    <row r="561" spans="1:32" x14ac:dyDescent="0.25">
      <c r="A561" t="s">
        <v>618</v>
      </c>
      <c r="B561">
        <v>38</v>
      </c>
      <c r="C561">
        <v>268</v>
      </c>
      <c r="D561">
        <v>2</v>
      </c>
      <c r="E561">
        <v>92</v>
      </c>
      <c r="F561">
        <v>3057</v>
      </c>
      <c r="G561">
        <v>20471</v>
      </c>
      <c r="H561">
        <v>6</v>
      </c>
      <c r="I561">
        <v>13</v>
      </c>
      <c r="J561">
        <v>6</v>
      </c>
      <c r="K561">
        <v>0</v>
      </c>
      <c r="L561">
        <v>1</v>
      </c>
      <c r="M561">
        <v>0</v>
      </c>
      <c r="N561">
        <v>0</v>
      </c>
      <c r="O561">
        <v>1</v>
      </c>
      <c r="P561" t="s">
        <v>1556</v>
      </c>
      <c r="Q561" t="s">
        <v>1552</v>
      </c>
      <c r="R561" t="s">
        <v>1550</v>
      </c>
      <c r="S561" t="s">
        <v>1536</v>
      </c>
      <c r="T561" t="s">
        <v>1540</v>
      </c>
      <c r="U561" t="s">
        <v>1548</v>
      </c>
      <c r="V561" t="s">
        <v>1559</v>
      </c>
      <c r="W561" t="s">
        <v>1563</v>
      </c>
      <c r="X561" t="s">
        <v>1575</v>
      </c>
      <c r="Y561" t="s">
        <v>1582</v>
      </c>
      <c r="Z561" t="s">
        <v>1593</v>
      </c>
      <c r="AA561" t="s">
        <v>1597</v>
      </c>
      <c r="AB561" t="s">
        <v>1600</v>
      </c>
      <c r="AC561" t="s">
        <v>1610</v>
      </c>
      <c r="AD561" t="s">
        <v>1605</v>
      </c>
      <c r="AE561" t="s">
        <v>1617</v>
      </c>
      <c r="AF561" t="s">
        <v>1625</v>
      </c>
    </row>
    <row r="562" spans="1:32" x14ac:dyDescent="0.25">
      <c r="A562" t="s">
        <v>619</v>
      </c>
      <c r="B562">
        <v>34</v>
      </c>
      <c r="C562">
        <v>167</v>
      </c>
      <c r="D562">
        <v>8</v>
      </c>
      <c r="E562">
        <v>32</v>
      </c>
      <c r="F562">
        <v>5121</v>
      </c>
      <c r="G562">
        <v>4187</v>
      </c>
      <c r="H562">
        <v>3</v>
      </c>
      <c r="I562">
        <v>14</v>
      </c>
      <c r="J562">
        <v>7</v>
      </c>
      <c r="K562">
        <v>3</v>
      </c>
      <c r="L562">
        <v>0</v>
      </c>
      <c r="M562">
        <v>0</v>
      </c>
      <c r="N562">
        <v>0</v>
      </c>
      <c r="O562">
        <v>0</v>
      </c>
      <c r="P562" t="s">
        <v>1556</v>
      </c>
      <c r="Q562" t="s">
        <v>1552</v>
      </c>
      <c r="R562" t="s">
        <v>1550</v>
      </c>
      <c r="S562" t="s">
        <v>1536</v>
      </c>
      <c r="T562" t="s">
        <v>1538</v>
      </c>
      <c r="U562" t="s">
        <v>1546</v>
      </c>
      <c r="V562" t="s">
        <v>1558</v>
      </c>
      <c r="W562" t="s">
        <v>1563</v>
      </c>
      <c r="X562" t="s">
        <v>1576</v>
      </c>
      <c r="Y562" t="s">
        <v>1584</v>
      </c>
      <c r="Z562" t="s">
        <v>1591</v>
      </c>
      <c r="AA562" t="s">
        <v>1598</v>
      </c>
      <c r="AB562" t="s">
        <v>1601</v>
      </c>
      <c r="AC562" t="s">
        <v>1610</v>
      </c>
      <c r="AD562" t="s">
        <v>1606</v>
      </c>
      <c r="AE562" t="s">
        <v>1617</v>
      </c>
      <c r="AF562" t="s">
        <v>1627</v>
      </c>
    </row>
    <row r="563" spans="1:32" x14ac:dyDescent="0.25">
      <c r="A563" t="s">
        <v>620</v>
      </c>
      <c r="B563">
        <v>52</v>
      </c>
      <c r="C563">
        <v>621</v>
      </c>
      <c r="D563">
        <v>3</v>
      </c>
      <c r="E563">
        <v>31</v>
      </c>
      <c r="F563">
        <v>16856</v>
      </c>
      <c r="G563">
        <v>10084</v>
      </c>
      <c r="H563">
        <v>1</v>
      </c>
      <c r="I563">
        <v>11</v>
      </c>
      <c r="J563">
        <v>34</v>
      </c>
      <c r="K563">
        <v>3</v>
      </c>
      <c r="L563">
        <v>34</v>
      </c>
      <c r="M563">
        <v>6</v>
      </c>
      <c r="N563">
        <v>1</v>
      </c>
      <c r="O563">
        <v>16</v>
      </c>
      <c r="P563" t="s">
        <v>1556</v>
      </c>
      <c r="Q563" t="s">
        <v>1552</v>
      </c>
      <c r="R563" t="s">
        <v>1549</v>
      </c>
      <c r="S563" t="s">
        <v>1535</v>
      </c>
      <c r="T563" t="s">
        <v>1541</v>
      </c>
      <c r="U563" t="s">
        <v>1547</v>
      </c>
      <c r="V563" t="s">
        <v>1559</v>
      </c>
      <c r="W563" t="s">
        <v>1562</v>
      </c>
      <c r="X563" t="s">
        <v>1578</v>
      </c>
      <c r="Y563" t="s">
        <v>1586</v>
      </c>
      <c r="Z563" t="s">
        <v>1591</v>
      </c>
      <c r="AA563" t="s">
        <v>1597</v>
      </c>
      <c r="AB563" t="s">
        <v>1601</v>
      </c>
      <c r="AC563" t="s">
        <v>1610</v>
      </c>
      <c r="AD563" t="s">
        <v>1604</v>
      </c>
      <c r="AE563" t="s">
        <v>1616</v>
      </c>
      <c r="AF563" t="s">
        <v>1628</v>
      </c>
    </row>
    <row r="564" spans="1:32" x14ac:dyDescent="0.25">
      <c r="A564" t="s">
        <v>621</v>
      </c>
      <c r="B564">
        <v>33</v>
      </c>
      <c r="C564">
        <v>527</v>
      </c>
      <c r="D564">
        <v>1</v>
      </c>
      <c r="E564">
        <v>63</v>
      </c>
      <c r="F564">
        <v>2686</v>
      </c>
      <c r="G564">
        <v>5207</v>
      </c>
      <c r="H564">
        <v>1</v>
      </c>
      <c r="I564">
        <v>13</v>
      </c>
      <c r="J564">
        <v>10</v>
      </c>
      <c r="K564">
        <v>2</v>
      </c>
      <c r="L564">
        <v>10</v>
      </c>
      <c r="M564">
        <v>9</v>
      </c>
      <c r="N564">
        <v>7</v>
      </c>
      <c r="O564">
        <v>8</v>
      </c>
      <c r="P564" t="s">
        <v>1555</v>
      </c>
      <c r="Q564" t="s">
        <v>1552</v>
      </c>
      <c r="R564" t="s">
        <v>1550</v>
      </c>
      <c r="S564" t="s">
        <v>1535</v>
      </c>
      <c r="T564" t="s">
        <v>1539</v>
      </c>
      <c r="U564" t="s">
        <v>1548</v>
      </c>
      <c r="V564" t="s">
        <v>1559</v>
      </c>
      <c r="W564" t="s">
        <v>1563</v>
      </c>
      <c r="X564" t="s">
        <v>1575</v>
      </c>
      <c r="Y564" t="s">
        <v>1582</v>
      </c>
      <c r="Z564" t="s">
        <v>1594</v>
      </c>
      <c r="AA564" t="s">
        <v>1596</v>
      </c>
      <c r="AB564" t="s">
        <v>1600</v>
      </c>
      <c r="AC564" t="s">
        <v>1610</v>
      </c>
      <c r="AD564" t="s">
        <v>1606</v>
      </c>
      <c r="AE564" t="s">
        <v>1616</v>
      </c>
      <c r="AF564" t="s">
        <v>1626</v>
      </c>
    </row>
    <row r="565" spans="1:32" x14ac:dyDescent="0.25">
      <c r="A565" t="s">
        <v>622</v>
      </c>
      <c r="B565">
        <v>25</v>
      </c>
      <c r="C565">
        <v>883</v>
      </c>
      <c r="D565">
        <v>26</v>
      </c>
      <c r="E565">
        <v>32</v>
      </c>
      <c r="F565">
        <v>6180</v>
      </c>
      <c r="G565">
        <v>22807</v>
      </c>
      <c r="H565">
        <v>1</v>
      </c>
      <c r="I565">
        <v>23</v>
      </c>
      <c r="J565">
        <v>6</v>
      </c>
      <c r="K565">
        <v>5</v>
      </c>
      <c r="L565">
        <v>6</v>
      </c>
      <c r="M565">
        <v>5</v>
      </c>
      <c r="N565">
        <v>1</v>
      </c>
      <c r="O565">
        <v>4</v>
      </c>
      <c r="P565" t="s">
        <v>1556</v>
      </c>
      <c r="Q565" t="s">
        <v>1552</v>
      </c>
      <c r="R565" t="s">
        <v>1549</v>
      </c>
      <c r="S565" t="s">
        <v>1532</v>
      </c>
      <c r="T565" t="s">
        <v>1540</v>
      </c>
      <c r="U565" t="s">
        <v>1547</v>
      </c>
      <c r="V565" t="s">
        <v>1558</v>
      </c>
      <c r="W565" t="s">
        <v>1563</v>
      </c>
      <c r="X565" t="s">
        <v>1576</v>
      </c>
      <c r="Y565" t="s">
        <v>1581</v>
      </c>
      <c r="Z565" t="s">
        <v>1594</v>
      </c>
      <c r="AA565" t="s">
        <v>1596</v>
      </c>
      <c r="AB565" t="s">
        <v>1601</v>
      </c>
      <c r="AC565" t="s">
        <v>1611</v>
      </c>
      <c r="AD565" t="s">
        <v>1605</v>
      </c>
      <c r="AE565" t="s">
        <v>1616</v>
      </c>
      <c r="AF565" t="s">
        <v>1626</v>
      </c>
    </row>
    <row r="566" spans="1:32" x14ac:dyDescent="0.25">
      <c r="A566" t="s">
        <v>623</v>
      </c>
      <c r="B566">
        <v>45</v>
      </c>
      <c r="C566">
        <v>954</v>
      </c>
      <c r="D566">
        <v>2</v>
      </c>
      <c r="E566">
        <v>46</v>
      </c>
      <c r="F566">
        <v>6632</v>
      </c>
      <c r="G566">
        <v>12388</v>
      </c>
      <c r="H566">
        <v>0</v>
      </c>
      <c r="I566">
        <v>13</v>
      </c>
      <c r="J566">
        <v>9</v>
      </c>
      <c r="K566">
        <v>3</v>
      </c>
      <c r="L566">
        <v>8</v>
      </c>
      <c r="M566">
        <v>7</v>
      </c>
      <c r="N566">
        <v>3</v>
      </c>
      <c r="O566">
        <v>1</v>
      </c>
      <c r="P566" t="s">
        <v>1556</v>
      </c>
      <c r="Q566" t="s">
        <v>1552</v>
      </c>
      <c r="R566" t="s">
        <v>1549</v>
      </c>
      <c r="S566" t="s">
        <v>1533</v>
      </c>
      <c r="T566" t="s">
        <v>1542</v>
      </c>
      <c r="U566" t="s">
        <v>1546</v>
      </c>
      <c r="V566" t="s">
        <v>1559</v>
      </c>
      <c r="W566" t="s">
        <v>1561</v>
      </c>
      <c r="X566" t="s">
        <v>1576</v>
      </c>
      <c r="Y566" t="s">
        <v>1587</v>
      </c>
      <c r="Z566" t="s">
        <v>1593</v>
      </c>
      <c r="AA566" t="s">
        <v>1596</v>
      </c>
      <c r="AB566" t="s">
        <v>1601</v>
      </c>
      <c r="AC566" t="s">
        <v>1610</v>
      </c>
      <c r="AD566" t="s">
        <v>1604</v>
      </c>
      <c r="AE566" t="s">
        <v>1616</v>
      </c>
      <c r="AF566" t="s">
        <v>1627</v>
      </c>
    </row>
    <row r="567" spans="1:32" x14ac:dyDescent="0.25">
      <c r="A567" t="s">
        <v>624</v>
      </c>
      <c r="B567">
        <v>23</v>
      </c>
      <c r="C567">
        <v>310</v>
      </c>
      <c r="D567">
        <v>10</v>
      </c>
      <c r="E567">
        <v>79</v>
      </c>
      <c r="F567">
        <v>3505</v>
      </c>
      <c r="G567">
        <v>19630</v>
      </c>
      <c r="H567">
        <v>1</v>
      </c>
      <c r="I567">
        <v>18</v>
      </c>
      <c r="J567">
        <v>2</v>
      </c>
      <c r="K567">
        <v>3</v>
      </c>
      <c r="L567">
        <v>2</v>
      </c>
      <c r="M567">
        <v>2</v>
      </c>
      <c r="N567">
        <v>0</v>
      </c>
      <c r="O567">
        <v>2</v>
      </c>
      <c r="P567" t="s">
        <v>1556</v>
      </c>
      <c r="Q567" t="s">
        <v>1552</v>
      </c>
      <c r="R567" t="s">
        <v>1550</v>
      </c>
      <c r="S567" t="s">
        <v>1532</v>
      </c>
      <c r="T567" t="s">
        <v>1540</v>
      </c>
      <c r="U567" t="s">
        <v>1545</v>
      </c>
      <c r="V567" t="s">
        <v>1559</v>
      </c>
      <c r="W567" t="s">
        <v>1564</v>
      </c>
      <c r="X567" t="s">
        <v>1575</v>
      </c>
      <c r="Y567" t="s">
        <v>1582</v>
      </c>
      <c r="Z567" t="s">
        <v>1593</v>
      </c>
      <c r="AA567" t="s">
        <v>1596</v>
      </c>
      <c r="AB567" t="s">
        <v>1601</v>
      </c>
      <c r="AC567" t="s">
        <v>1610</v>
      </c>
      <c r="AD567" t="s">
        <v>1607</v>
      </c>
      <c r="AE567" t="s">
        <v>1616</v>
      </c>
      <c r="AF567" t="s">
        <v>1627</v>
      </c>
    </row>
    <row r="568" spans="1:32" x14ac:dyDescent="0.25">
      <c r="A568" t="s">
        <v>625</v>
      </c>
      <c r="B568">
        <v>47</v>
      </c>
      <c r="C568">
        <v>719</v>
      </c>
      <c r="D568">
        <v>27</v>
      </c>
      <c r="E568">
        <v>77</v>
      </c>
      <c r="F568">
        <v>6397</v>
      </c>
      <c r="G568">
        <v>10339</v>
      </c>
      <c r="H568">
        <v>4</v>
      </c>
      <c r="I568">
        <v>12</v>
      </c>
      <c r="J568">
        <v>8</v>
      </c>
      <c r="K568">
        <v>2</v>
      </c>
      <c r="L568">
        <v>5</v>
      </c>
      <c r="M568">
        <v>4</v>
      </c>
      <c r="N568">
        <v>1</v>
      </c>
      <c r="O568">
        <v>3</v>
      </c>
      <c r="P568" t="s">
        <v>1555</v>
      </c>
      <c r="Q568" t="s">
        <v>1553</v>
      </c>
      <c r="R568" t="s">
        <v>1549</v>
      </c>
      <c r="S568" t="s">
        <v>1533</v>
      </c>
      <c r="T568" t="s">
        <v>1538</v>
      </c>
      <c r="U568" t="s">
        <v>1546</v>
      </c>
      <c r="V568" t="s">
        <v>1558</v>
      </c>
      <c r="W568" t="s">
        <v>1564</v>
      </c>
      <c r="X568" t="s">
        <v>1576</v>
      </c>
      <c r="Y568" t="s">
        <v>1581</v>
      </c>
      <c r="Z568" t="s">
        <v>1593</v>
      </c>
      <c r="AA568" t="s">
        <v>1596</v>
      </c>
      <c r="AB568" t="s">
        <v>1600</v>
      </c>
      <c r="AC568" t="s">
        <v>1610</v>
      </c>
      <c r="AD568" t="s">
        <v>1607</v>
      </c>
      <c r="AE568" t="s">
        <v>1616</v>
      </c>
      <c r="AF568" t="s">
        <v>1627</v>
      </c>
    </row>
    <row r="569" spans="1:32" x14ac:dyDescent="0.25">
      <c r="A569" t="s">
        <v>626</v>
      </c>
      <c r="B569">
        <v>34</v>
      </c>
      <c r="C569">
        <v>304</v>
      </c>
      <c r="D569">
        <v>2</v>
      </c>
      <c r="E569">
        <v>60</v>
      </c>
      <c r="F569">
        <v>6274</v>
      </c>
      <c r="G569">
        <v>18686</v>
      </c>
      <c r="H569">
        <v>1</v>
      </c>
      <c r="I569">
        <v>22</v>
      </c>
      <c r="J569">
        <v>6</v>
      </c>
      <c r="K569">
        <v>5</v>
      </c>
      <c r="L569">
        <v>6</v>
      </c>
      <c r="M569">
        <v>5</v>
      </c>
      <c r="N569">
        <v>1</v>
      </c>
      <c r="O569">
        <v>4</v>
      </c>
      <c r="P569" t="s">
        <v>1556</v>
      </c>
      <c r="Q569" t="s">
        <v>1552</v>
      </c>
      <c r="R569" t="s">
        <v>1549</v>
      </c>
      <c r="S569" t="s">
        <v>1534</v>
      </c>
      <c r="T569" t="s">
        <v>1539</v>
      </c>
      <c r="U569" t="s">
        <v>1548</v>
      </c>
      <c r="V569" t="s">
        <v>1559</v>
      </c>
      <c r="W569" t="s">
        <v>1563</v>
      </c>
      <c r="X569" t="s">
        <v>1576</v>
      </c>
      <c r="Y569" t="s">
        <v>1581</v>
      </c>
      <c r="Z569" t="s">
        <v>1594</v>
      </c>
      <c r="AA569" t="s">
        <v>1596</v>
      </c>
      <c r="AB569" t="s">
        <v>1601</v>
      </c>
      <c r="AC569" t="s">
        <v>1611</v>
      </c>
      <c r="AD569" t="s">
        <v>1606</v>
      </c>
      <c r="AE569" t="s">
        <v>1616</v>
      </c>
      <c r="AF569" t="s">
        <v>1627</v>
      </c>
    </row>
    <row r="570" spans="1:32" x14ac:dyDescent="0.25">
      <c r="A570" t="s">
        <v>627</v>
      </c>
      <c r="B570">
        <v>55</v>
      </c>
      <c r="C570">
        <v>725</v>
      </c>
      <c r="D570">
        <v>2</v>
      </c>
      <c r="E570">
        <v>78</v>
      </c>
      <c r="F570">
        <v>19859</v>
      </c>
      <c r="G570">
        <v>21199</v>
      </c>
      <c r="H570">
        <v>5</v>
      </c>
      <c r="I570">
        <v>13</v>
      </c>
      <c r="J570">
        <v>24</v>
      </c>
      <c r="K570">
        <v>2</v>
      </c>
      <c r="L570">
        <v>5</v>
      </c>
      <c r="M570">
        <v>2</v>
      </c>
      <c r="N570">
        <v>1</v>
      </c>
      <c r="O570">
        <v>4</v>
      </c>
      <c r="P570" t="s">
        <v>1555</v>
      </c>
      <c r="Q570" t="s">
        <v>1552</v>
      </c>
      <c r="R570" t="s">
        <v>1550</v>
      </c>
      <c r="S570" t="s">
        <v>1534</v>
      </c>
      <c r="T570" t="s">
        <v>1540</v>
      </c>
      <c r="U570" t="s">
        <v>1548</v>
      </c>
      <c r="V570" t="s">
        <v>1559</v>
      </c>
      <c r="W570" t="s">
        <v>1563</v>
      </c>
      <c r="X570" t="s">
        <v>1579</v>
      </c>
      <c r="Y570" t="s">
        <v>1586</v>
      </c>
      <c r="Z570" t="s">
        <v>1591</v>
      </c>
      <c r="AA570" t="s">
        <v>1597</v>
      </c>
      <c r="AB570" t="s">
        <v>1600</v>
      </c>
      <c r="AC570" t="s">
        <v>1610</v>
      </c>
      <c r="AD570" t="s">
        <v>1607</v>
      </c>
      <c r="AE570" t="s">
        <v>1617</v>
      </c>
      <c r="AF570" t="s">
        <v>1627</v>
      </c>
    </row>
    <row r="571" spans="1:32" x14ac:dyDescent="0.25">
      <c r="A571" t="s">
        <v>628</v>
      </c>
      <c r="B571">
        <v>36</v>
      </c>
      <c r="C571">
        <v>1434</v>
      </c>
      <c r="D571">
        <v>8</v>
      </c>
      <c r="E571">
        <v>76</v>
      </c>
      <c r="F571">
        <v>7587</v>
      </c>
      <c r="G571">
        <v>14229</v>
      </c>
      <c r="H571">
        <v>1</v>
      </c>
      <c r="I571">
        <v>15</v>
      </c>
      <c r="J571">
        <v>10</v>
      </c>
      <c r="K571">
        <v>1</v>
      </c>
      <c r="L571">
        <v>10</v>
      </c>
      <c r="M571">
        <v>7</v>
      </c>
      <c r="N571">
        <v>0</v>
      </c>
      <c r="O571">
        <v>9</v>
      </c>
      <c r="P571" t="s">
        <v>1556</v>
      </c>
      <c r="Q571" t="s">
        <v>1554</v>
      </c>
      <c r="R571" t="s">
        <v>1549</v>
      </c>
      <c r="S571" t="s">
        <v>1535</v>
      </c>
      <c r="T571" t="s">
        <v>1538</v>
      </c>
      <c r="U571" t="s">
        <v>1545</v>
      </c>
      <c r="V571" t="s">
        <v>1559</v>
      </c>
      <c r="W571" t="s">
        <v>1562</v>
      </c>
      <c r="X571" t="s">
        <v>1577</v>
      </c>
      <c r="Y571" t="s">
        <v>1581</v>
      </c>
      <c r="Z571" t="s">
        <v>1591</v>
      </c>
      <c r="AA571" t="s">
        <v>1596</v>
      </c>
      <c r="AB571" t="s">
        <v>1601</v>
      </c>
      <c r="AC571" t="s">
        <v>1610</v>
      </c>
      <c r="AD571" t="s">
        <v>1605</v>
      </c>
      <c r="AE571" t="s">
        <v>1616</v>
      </c>
      <c r="AF571" t="s">
        <v>1627</v>
      </c>
    </row>
    <row r="572" spans="1:32" x14ac:dyDescent="0.25">
      <c r="A572" t="s">
        <v>629</v>
      </c>
      <c r="B572">
        <v>52</v>
      </c>
      <c r="C572">
        <v>715</v>
      </c>
      <c r="D572">
        <v>19</v>
      </c>
      <c r="E572">
        <v>41</v>
      </c>
      <c r="F572">
        <v>4258</v>
      </c>
      <c r="G572">
        <v>26589</v>
      </c>
      <c r="H572">
        <v>0</v>
      </c>
      <c r="I572">
        <v>18</v>
      </c>
      <c r="J572">
        <v>5</v>
      </c>
      <c r="K572">
        <v>3</v>
      </c>
      <c r="L572">
        <v>4</v>
      </c>
      <c r="M572">
        <v>3</v>
      </c>
      <c r="N572">
        <v>1</v>
      </c>
      <c r="O572">
        <v>2</v>
      </c>
      <c r="P572" t="s">
        <v>1556</v>
      </c>
      <c r="Q572" t="s">
        <v>1554</v>
      </c>
      <c r="R572" t="s">
        <v>1550</v>
      </c>
      <c r="S572" t="s">
        <v>1535</v>
      </c>
      <c r="T572" t="s">
        <v>1540</v>
      </c>
      <c r="U572" t="s">
        <v>1548</v>
      </c>
      <c r="V572" t="s">
        <v>1559</v>
      </c>
      <c r="W572" t="s">
        <v>1563</v>
      </c>
      <c r="X572" t="s">
        <v>1575</v>
      </c>
      <c r="Y572" t="s">
        <v>1582</v>
      </c>
      <c r="Z572" t="s">
        <v>1594</v>
      </c>
      <c r="AA572" t="s">
        <v>1597</v>
      </c>
      <c r="AB572" t="s">
        <v>1601</v>
      </c>
      <c r="AC572" t="s">
        <v>1610</v>
      </c>
      <c r="AD572" t="s">
        <v>1604</v>
      </c>
      <c r="AE572" t="s">
        <v>1617</v>
      </c>
      <c r="AF572" t="s">
        <v>1627</v>
      </c>
    </row>
    <row r="573" spans="1:32" x14ac:dyDescent="0.25">
      <c r="A573" t="s">
        <v>630</v>
      </c>
      <c r="B573">
        <v>26</v>
      </c>
      <c r="C573">
        <v>575</v>
      </c>
      <c r="D573">
        <v>1</v>
      </c>
      <c r="E573">
        <v>71</v>
      </c>
      <c r="F573">
        <v>4364</v>
      </c>
      <c r="G573">
        <v>5288</v>
      </c>
      <c r="H573">
        <v>3</v>
      </c>
      <c r="I573">
        <v>14</v>
      </c>
      <c r="J573">
        <v>5</v>
      </c>
      <c r="K573">
        <v>2</v>
      </c>
      <c r="L573">
        <v>2</v>
      </c>
      <c r="M573">
        <v>2</v>
      </c>
      <c r="N573">
        <v>2</v>
      </c>
      <c r="O573">
        <v>0</v>
      </c>
      <c r="P573" t="s">
        <v>1556</v>
      </c>
      <c r="Q573" t="s">
        <v>1553</v>
      </c>
      <c r="R573" t="s">
        <v>1550</v>
      </c>
      <c r="S573" t="s">
        <v>1533</v>
      </c>
      <c r="T573" t="s">
        <v>1538</v>
      </c>
      <c r="U573" t="s">
        <v>1545</v>
      </c>
      <c r="V573" t="s">
        <v>1558</v>
      </c>
      <c r="W573" t="s">
        <v>1561</v>
      </c>
      <c r="X573" t="s">
        <v>1575</v>
      </c>
      <c r="Y573" t="s">
        <v>1583</v>
      </c>
      <c r="Z573" t="s">
        <v>1594</v>
      </c>
      <c r="AA573" t="s">
        <v>1598</v>
      </c>
      <c r="AB573" t="s">
        <v>1601</v>
      </c>
      <c r="AC573" t="s">
        <v>1610</v>
      </c>
      <c r="AD573" t="s">
        <v>1604</v>
      </c>
      <c r="AE573" t="s">
        <v>1617</v>
      </c>
      <c r="AF573" t="s">
        <v>1627</v>
      </c>
    </row>
    <row r="574" spans="1:32" x14ac:dyDescent="0.25">
      <c r="A574" t="s">
        <v>631</v>
      </c>
      <c r="B574">
        <v>29</v>
      </c>
      <c r="C574">
        <v>657</v>
      </c>
      <c r="D574">
        <v>27</v>
      </c>
      <c r="E574">
        <v>66</v>
      </c>
      <c r="F574">
        <v>4335</v>
      </c>
      <c r="G574">
        <v>25549</v>
      </c>
      <c r="H574">
        <v>4</v>
      </c>
      <c r="I574">
        <v>12</v>
      </c>
      <c r="J574">
        <v>11</v>
      </c>
      <c r="K574">
        <v>3</v>
      </c>
      <c r="L574">
        <v>8</v>
      </c>
      <c r="M574">
        <v>7</v>
      </c>
      <c r="N574">
        <v>1</v>
      </c>
      <c r="O574">
        <v>1</v>
      </c>
      <c r="P574" t="s">
        <v>1556</v>
      </c>
      <c r="Q574" t="s">
        <v>1552</v>
      </c>
      <c r="R574" t="s">
        <v>1550</v>
      </c>
      <c r="S574" t="s">
        <v>1534</v>
      </c>
      <c r="T574" t="s">
        <v>1540</v>
      </c>
      <c r="U574" t="s">
        <v>1546</v>
      </c>
      <c r="V574" t="s">
        <v>1558</v>
      </c>
      <c r="W574" t="s">
        <v>1563</v>
      </c>
      <c r="X574" t="s">
        <v>1576</v>
      </c>
      <c r="Y574" t="s">
        <v>1585</v>
      </c>
      <c r="Z574" t="s">
        <v>1593</v>
      </c>
      <c r="AA574" t="s">
        <v>1597</v>
      </c>
      <c r="AB574" t="s">
        <v>1601</v>
      </c>
      <c r="AC574" t="s">
        <v>1610</v>
      </c>
      <c r="AD574" t="s">
        <v>1604</v>
      </c>
      <c r="AE574" t="s">
        <v>1617</v>
      </c>
      <c r="AF574" t="s">
        <v>1626</v>
      </c>
    </row>
    <row r="575" spans="1:32" x14ac:dyDescent="0.25">
      <c r="A575" t="s">
        <v>632</v>
      </c>
      <c r="B575">
        <v>26</v>
      </c>
      <c r="C575">
        <v>1146</v>
      </c>
      <c r="D575">
        <v>8</v>
      </c>
      <c r="E575">
        <v>38</v>
      </c>
      <c r="F575">
        <v>5326</v>
      </c>
      <c r="G575">
        <v>3064</v>
      </c>
      <c r="H575">
        <v>6</v>
      </c>
      <c r="I575">
        <v>17</v>
      </c>
      <c r="J575">
        <v>6</v>
      </c>
      <c r="K575">
        <v>2</v>
      </c>
      <c r="L575">
        <v>4</v>
      </c>
      <c r="M575">
        <v>3</v>
      </c>
      <c r="N575">
        <v>1</v>
      </c>
      <c r="O575">
        <v>2</v>
      </c>
      <c r="P575" t="s">
        <v>1555</v>
      </c>
      <c r="Q575" t="s">
        <v>1552</v>
      </c>
      <c r="R575" t="s">
        <v>1549</v>
      </c>
      <c r="S575" t="s">
        <v>1534</v>
      </c>
      <c r="T575" t="s">
        <v>1542</v>
      </c>
      <c r="U575" t="s">
        <v>1548</v>
      </c>
      <c r="V575" t="s">
        <v>1559</v>
      </c>
      <c r="W575" t="s">
        <v>1562</v>
      </c>
      <c r="X575" t="s">
        <v>1576</v>
      </c>
      <c r="Y575" t="s">
        <v>1581</v>
      </c>
      <c r="Z575" t="s">
        <v>1591</v>
      </c>
      <c r="AA575" t="s">
        <v>1596</v>
      </c>
      <c r="AB575" t="s">
        <v>1601</v>
      </c>
      <c r="AC575" t="s">
        <v>1610</v>
      </c>
      <c r="AD575" t="s">
        <v>1606</v>
      </c>
      <c r="AE575" t="s">
        <v>1616</v>
      </c>
      <c r="AF575" t="s">
        <v>1626</v>
      </c>
    </row>
    <row r="576" spans="1:32" x14ac:dyDescent="0.25">
      <c r="A576" t="s">
        <v>633</v>
      </c>
      <c r="B576">
        <v>34</v>
      </c>
      <c r="C576">
        <v>182</v>
      </c>
      <c r="D576">
        <v>1</v>
      </c>
      <c r="E576">
        <v>72</v>
      </c>
      <c r="F576">
        <v>3280</v>
      </c>
      <c r="G576">
        <v>13551</v>
      </c>
      <c r="H576">
        <v>2</v>
      </c>
      <c r="I576">
        <v>16</v>
      </c>
      <c r="J576">
        <v>10</v>
      </c>
      <c r="K576">
        <v>2</v>
      </c>
      <c r="L576">
        <v>4</v>
      </c>
      <c r="M576">
        <v>2</v>
      </c>
      <c r="N576">
        <v>1</v>
      </c>
      <c r="O576">
        <v>3</v>
      </c>
      <c r="P576" t="s">
        <v>1556</v>
      </c>
      <c r="Q576" t="s">
        <v>1552</v>
      </c>
      <c r="R576" t="s">
        <v>1550</v>
      </c>
      <c r="S576" t="s">
        <v>1535</v>
      </c>
      <c r="T576" t="s">
        <v>1538</v>
      </c>
      <c r="U576" t="s">
        <v>1546</v>
      </c>
      <c r="V576" t="s">
        <v>1558</v>
      </c>
      <c r="W576" t="s">
        <v>1564</v>
      </c>
      <c r="X576" t="s">
        <v>1575</v>
      </c>
      <c r="Y576" t="s">
        <v>1582</v>
      </c>
      <c r="Z576" t="s">
        <v>1594</v>
      </c>
      <c r="AA576" t="s">
        <v>1596</v>
      </c>
      <c r="AB576" t="s">
        <v>1601</v>
      </c>
      <c r="AC576" t="s">
        <v>1610</v>
      </c>
      <c r="AD576" t="s">
        <v>1606</v>
      </c>
      <c r="AE576" t="s">
        <v>1616</v>
      </c>
      <c r="AF576" t="s">
        <v>1627</v>
      </c>
    </row>
    <row r="577" spans="1:32" x14ac:dyDescent="0.25">
      <c r="A577" t="s">
        <v>634</v>
      </c>
      <c r="B577">
        <v>54</v>
      </c>
      <c r="C577">
        <v>376</v>
      </c>
      <c r="D577">
        <v>19</v>
      </c>
      <c r="E577">
        <v>95</v>
      </c>
      <c r="F577">
        <v>5485</v>
      </c>
      <c r="G577">
        <v>22670</v>
      </c>
      <c r="H577">
        <v>9</v>
      </c>
      <c r="I577">
        <v>11</v>
      </c>
      <c r="J577">
        <v>9</v>
      </c>
      <c r="K577">
        <v>4</v>
      </c>
      <c r="L577">
        <v>5</v>
      </c>
      <c r="M577">
        <v>3</v>
      </c>
      <c r="N577">
        <v>1</v>
      </c>
      <c r="O577">
        <v>4</v>
      </c>
      <c r="P577" t="s">
        <v>1556</v>
      </c>
      <c r="Q577" t="s">
        <v>1552</v>
      </c>
      <c r="R577" t="s">
        <v>1550</v>
      </c>
      <c r="S577" t="s">
        <v>1535</v>
      </c>
      <c r="T577" t="s">
        <v>1540</v>
      </c>
      <c r="U577" t="s">
        <v>1548</v>
      </c>
      <c r="V577" t="s">
        <v>1558</v>
      </c>
      <c r="W577" t="s">
        <v>1563</v>
      </c>
      <c r="X577" t="s">
        <v>1576</v>
      </c>
      <c r="Y577" t="s">
        <v>1584</v>
      </c>
      <c r="Z577" t="s">
        <v>1591</v>
      </c>
      <c r="AA577" t="s">
        <v>1598</v>
      </c>
      <c r="AB577" t="s">
        <v>1600</v>
      </c>
      <c r="AC577" t="s">
        <v>1610</v>
      </c>
      <c r="AD577" t="s">
        <v>1605</v>
      </c>
      <c r="AE577" t="s">
        <v>1618</v>
      </c>
      <c r="AF577" t="s">
        <v>1627</v>
      </c>
    </row>
    <row r="578" spans="1:32" x14ac:dyDescent="0.25">
      <c r="A578" t="s">
        <v>635</v>
      </c>
      <c r="B578">
        <v>27</v>
      </c>
      <c r="C578">
        <v>829</v>
      </c>
      <c r="D578">
        <v>8</v>
      </c>
      <c r="E578">
        <v>84</v>
      </c>
      <c r="F578">
        <v>4342</v>
      </c>
      <c r="G578">
        <v>24008</v>
      </c>
      <c r="H578">
        <v>0</v>
      </c>
      <c r="I578">
        <v>19</v>
      </c>
      <c r="J578">
        <v>5</v>
      </c>
      <c r="K578">
        <v>3</v>
      </c>
      <c r="L578">
        <v>4</v>
      </c>
      <c r="M578">
        <v>2</v>
      </c>
      <c r="N578">
        <v>1</v>
      </c>
      <c r="O578">
        <v>1</v>
      </c>
      <c r="P578" t="s">
        <v>1556</v>
      </c>
      <c r="Q578" t="s">
        <v>1553</v>
      </c>
      <c r="R578" t="s">
        <v>1549</v>
      </c>
      <c r="S578" t="s">
        <v>1532</v>
      </c>
      <c r="T578" t="s">
        <v>1541</v>
      </c>
      <c r="U578" t="s">
        <v>1547</v>
      </c>
      <c r="V578" t="s">
        <v>1559</v>
      </c>
      <c r="W578" t="s">
        <v>1563</v>
      </c>
      <c r="X578" t="s">
        <v>1576</v>
      </c>
      <c r="Y578" t="s">
        <v>1581</v>
      </c>
      <c r="Z578" t="s">
        <v>1594</v>
      </c>
      <c r="AA578" t="s">
        <v>1597</v>
      </c>
      <c r="AB578" t="s">
        <v>1601</v>
      </c>
      <c r="AC578" t="s">
        <v>1610</v>
      </c>
      <c r="AD578" t="s">
        <v>1605</v>
      </c>
      <c r="AE578" t="s">
        <v>1617</v>
      </c>
      <c r="AF578" t="s">
        <v>1627</v>
      </c>
    </row>
    <row r="579" spans="1:32" x14ac:dyDescent="0.25">
      <c r="A579" t="s">
        <v>636</v>
      </c>
      <c r="B579">
        <v>37</v>
      </c>
      <c r="C579">
        <v>571</v>
      </c>
      <c r="D579">
        <v>10</v>
      </c>
      <c r="E579">
        <v>82</v>
      </c>
      <c r="F579">
        <v>2782</v>
      </c>
      <c r="G579">
        <v>19905</v>
      </c>
      <c r="H579">
        <v>0</v>
      </c>
      <c r="I579">
        <v>13</v>
      </c>
      <c r="J579">
        <v>6</v>
      </c>
      <c r="K579">
        <v>3</v>
      </c>
      <c r="L579">
        <v>5</v>
      </c>
      <c r="M579">
        <v>3</v>
      </c>
      <c r="N579">
        <v>4</v>
      </c>
      <c r="O579">
        <v>3</v>
      </c>
      <c r="P579" t="s">
        <v>1556</v>
      </c>
      <c r="Q579" t="s">
        <v>1552</v>
      </c>
      <c r="R579" t="s">
        <v>1550</v>
      </c>
      <c r="S579" t="s">
        <v>1532</v>
      </c>
      <c r="T579" t="s">
        <v>1538</v>
      </c>
      <c r="U579" t="s">
        <v>1548</v>
      </c>
      <c r="V579" t="s">
        <v>1558</v>
      </c>
      <c r="W579" t="s">
        <v>1563</v>
      </c>
      <c r="X579" t="s">
        <v>1575</v>
      </c>
      <c r="Y579" t="s">
        <v>1582</v>
      </c>
      <c r="Z579" t="s">
        <v>1591</v>
      </c>
      <c r="AA579" t="s">
        <v>1598</v>
      </c>
      <c r="AB579" t="s">
        <v>1600</v>
      </c>
      <c r="AC579" t="s">
        <v>1610</v>
      </c>
      <c r="AD579" t="s">
        <v>1605</v>
      </c>
      <c r="AE579" t="s">
        <v>1618</v>
      </c>
      <c r="AF579" t="s">
        <v>1626</v>
      </c>
    </row>
    <row r="580" spans="1:32" x14ac:dyDescent="0.25">
      <c r="A580" t="s">
        <v>637</v>
      </c>
      <c r="B580">
        <v>38</v>
      </c>
      <c r="C580">
        <v>240</v>
      </c>
      <c r="D580">
        <v>2</v>
      </c>
      <c r="E580">
        <v>75</v>
      </c>
      <c r="F580">
        <v>5980</v>
      </c>
      <c r="G580">
        <v>26085</v>
      </c>
      <c r="H580">
        <v>6</v>
      </c>
      <c r="I580">
        <v>12</v>
      </c>
      <c r="J580">
        <v>17</v>
      </c>
      <c r="K580">
        <v>2</v>
      </c>
      <c r="L580">
        <v>15</v>
      </c>
      <c r="M580">
        <v>7</v>
      </c>
      <c r="N580">
        <v>4</v>
      </c>
      <c r="O580">
        <v>12</v>
      </c>
      <c r="P580" t="s">
        <v>1556</v>
      </c>
      <c r="Q580" t="s">
        <v>1553</v>
      </c>
      <c r="R580" t="s">
        <v>1550</v>
      </c>
      <c r="S580" t="s">
        <v>1535</v>
      </c>
      <c r="T580" t="s">
        <v>1538</v>
      </c>
      <c r="U580" t="s">
        <v>1545</v>
      </c>
      <c r="V580" t="s">
        <v>1558</v>
      </c>
      <c r="W580" t="s">
        <v>1564</v>
      </c>
      <c r="X580" t="s">
        <v>1576</v>
      </c>
      <c r="Y580" t="s">
        <v>1584</v>
      </c>
      <c r="Z580" t="s">
        <v>1591</v>
      </c>
      <c r="AA580" t="s">
        <v>1596</v>
      </c>
      <c r="AB580" t="s">
        <v>1600</v>
      </c>
      <c r="AC580" t="s">
        <v>1610</v>
      </c>
      <c r="AD580" t="s">
        <v>1607</v>
      </c>
      <c r="AE580" t="s">
        <v>1616</v>
      </c>
      <c r="AF580" t="s">
        <v>1627</v>
      </c>
    </row>
    <row r="581" spans="1:32" x14ac:dyDescent="0.25">
      <c r="A581" t="s">
        <v>638</v>
      </c>
      <c r="B581">
        <v>34</v>
      </c>
      <c r="C581">
        <v>121</v>
      </c>
      <c r="D581">
        <v>2</v>
      </c>
      <c r="E581">
        <v>86</v>
      </c>
      <c r="F581">
        <v>4381</v>
      </c>
      <c r="G581">
        <v>7530</v>
      </c>
      <c r="H581">
        <v>1</v>
      </c>
      <c r="I581">
        <v>11</v>
      </c>
      <c r="J581">
        <v>6</v>
      </c>
      <c r="K581">
        <v>3</v>
      </c>
      <c r="L581">
        <v>6</v>
      </c>
      <c r="M581">
        <v>5</v>
      </c>
      <c r="N581">
        <v>1</v>
      </c>
      <c r="O581">
        <v>3</v>
      </c>
      <c r="P581" t="s">
        <v>1556</v>
      </c>
      <c r="Q581" t="s">
        <v>1552</v>
      </c>
      <c r="R581" t="s">
        <v>1550</v>
      </c>
      <c r="S581" t="s">
        <v>1535</v>
      </c>
      <c r="T581" t="s">
        <v>1540</v>
      </c>
      <c r="U581" t="s">
        <v>1547</v>
      </c>
      <c r="V581" t="s">
        <v>1558</v>
      </c>
      <c r="W581" t="s">
        <v>1562</v>
      </c>
      <c r="X581" t="s">
        <v>1575</v>
      </c>
      <c r="Y581" t="s">
        <v>1582</v>
      </c>
      <c r="Z581" t="s">
        <v>1591</v>
      </c>
      <c r="AA581" t="s">
        <v>1596</v>
      </c>
      <c r="AB581" t="s">
        <v>1601</v>
      </c>
      <c r="AC581" t="s">
        <v>1610</v>
      </c>
      <c r="AD581" t="s">
        <v>1606</v>
      </c>
      <c r="AE581" t="s">
        <v>1616</v>
      </c>
      <c r="AF581" t="s">
        <v>1627</v>
      </c>
    </row>
    <row r="582" spans="1:32" x14ac:dyDescent="0.25">
      <c r="A582" t="s">
        <v>639</v>
      </c>
      <c r="B582">
        <v>35</v>
      </c>
      <c r="C582">
        <v>384</v>
      </c>
      <c r="D582">
        <v>8</v>
      </c>
      <c r="E582">
        <v>72</v>
      </c>
      <c r="F582">
        <v>2572</v>
      </c>
      <c r="G582">
        <v>20317</v>
      </c>
      <c r="H582">
        <v>1</v>
      </c>
      <c r="I582">
        <v>16</v>
      </c>
      <c r="J582">
        <v>3</v>
      </c>
      <c r="K582">
        <v>1</v>
      </c>
      <c r="L582">
        <v>3</v>
      </c>
      <c r="M582">
        <v>2</v>
      </c>
      <c r="N582">
        <v>0</v>
      </c>
      <c r="O582">
        <v>2</v>
      </c>
      <c r="P582" t="s">
        <v>1556</v>
      </c>
      <c r="Q582" t="s">
        <v>1552</v>
      </c>
      <c r="R582" t="s">
        <v>1549</v>
      </c>
      <c r="S582" t="s">
        <v>1535</v>
      </c>
      <c r="T582" t="s">
        <v>1538</v>
      </c>
      <c r="U582" t="s">
        <v>1545</v>
      </c>
      <c r="V582" t="s">
        <v>1558</v>
      </c>
      <c r="W582" t="s">
        <v>1563</v>
      </c>
      <c r="X582" t="s">
        <v>1575</v>
      </c>
      <c r="Y582" t="s">
        <v>1587</v>
      </c>
      <c r="Z582" t="s">
        <v>1594</v>
      </c>
      <c r="AA582" t="s">
        <v>1597</v>
      </c>
      <c r="AB582" t="s">
        <v>1601</v>
      </c>
      <c r="AC582" t="s">
        <v>1610</v>
      </c>
      <c r="AD582" t="s">
        <v>1605</v>
      </c>
      <c r="AE582" t="s">
        <v>1617</v>
      </c>
      <c r="AF582" t="s">
        <v>1626</v>
      </c>
    </row>
    <row r="583" spans="1:32" x14ac:dyDescent="0.25">
      <c r="A583" t="s">
        <v>640</v>
      </c>
      <c r="B583">
        <v>30</v>
      </c>
      <c r="C583">
        <v>921</v>
      </c>
      <c r="D583">
        <v>1</v>
      </c>
      <c r="E583">
        <v>38</v>
      </c>
      <c r="F583">
        <v>3833</v>
      </c>
      <c r="G583">
        <v>24375</v>
      </c>
      <c r="H583">
        <v>3</v>
      </c>
      <c r="I583">
        <v>21</v>
      </c>
      <c r="J583">
        <v>7</v>
      </c>
      <c r="K583">
        <v>2</v>
      </c>
      <c r="L583">
        <v>2</v>
      </c>
      <c r="M583">
        <v>2</v>
      </c>
      <c r="N583">
        <v>0</v>
      </c>
      <c r="O583">
        <v>2</v>
      </c>
      <c r="P583" t="s">
        <v>1556</v>
      </c>
      <c r="Q583" t="s">
        <v>1552</v>
      </c>
      <c r="R583" t="s">
        <v>1550</v>
      </c>
      <c r="S583" t="s">
        <v>1534</v>
      </c>
      <c r="T583" t="s">
        <v>1538</v>
      </c>
      <c r="U583" t="s">
        <v>1548</v>
      </c>
      <c r="V583" t="s">
        <v>1559</v>
      </c>
      <c r="W583" t="s">
        <v>1561</v>
      </c>
      <c r="X583" t="s">
        <v>1575</v>
      </c>
      <c r="Y583" t="s">
        <v>1583</v>
      </c>
      <c r="Z583" t="s">
        <v>1593</v>
      </c>
      <c r="AA583" t="s">
        <v>1597</v>
      </c>
      <c r="AB583" t="s">
        <v>1601</v>
      </c>
      <c r="AC583" t="s">
        <v>1611</v>
      </c>
      <c r="AD583" t="s">
        <v>1606</v>
      </c>
      <c r="AE583" t="s">
        <v>1618</v>
      </c>
      <c r="AF583" t="s">
        <v>1627</v>
      </c>
    </row>
    <row r="584" spans="1:32" x14ac:dyDescent="0.25">
      <c r="A584" t="s">
        <v>641</v>
      </c>
      <c r="B584">
        <v>40</v>
      </c>
      <c r="C584">
        <v>791</v>
      </c>
      <c r="D584">
        <v>2</v>
      </c>
      <c r="E584">
        <v>38</v>
      </c>
      <c r="F584">
        <v>4244</v>
      </c>
      <c r="G584">
        <v>9931</v>
      </c>
      <c r="H584">
        <v>1</v>
      </c>
      <c r="I584">
        <v>24</v>
      </c>
      <c r="J584">
        <v>8</v>
      </c>
      <c r="K584">
        <v>2</v>
      </c>
      <c r="L584">
        <v>8</v>
      </c>
      <c r="M584">
        <v>7</v>
      </c>
      <c r="N584">
        <v>3</v>
      </c>
      <c r="O584">
        <v>7</v>
      </c>
      <c r="P584" t="s">
        <v>1556</v>
      </c>
      <c r="Q584" t="s">
        <v>1553</v>
      </c>
      <c r="R584" t="s">
        <v>1550</v>
      </c>
      <c r="S584" t="s">
        <v>1533</v>
      </c>
      <c r="T584" t="s">
        <v>1540</v>
      </c>
      <c r="U584" t="s">
        <v>1547</v>
      </c>
      <c r="V584" t="s">
        <v>1558</v>
      </c>
      <c r="W584" t="s">
        <v>1564</v>
      </c>
      <c r="X584" t="s">
        <v>1576</v>
      </c>
      <c r="Y584" t="s">
        <v>1585</v>
      </c>
      <c r="Z584" t="s">
        <v>1592</v>
      </c>
      <c r="AA584" t="s">
        <v>1597</v>
      </c>
      <c r="AB584" t="s">
        <v>1601</v>
      </c>
      <c r="AC584" t="s">
        <v>1611</v>
      </c>
      <c r="AD584" t="s">
        <v>1607</v>
      </c>
      <c r="AE584" t="s">
        <v>1617</v>
      </c>
      <c r="AF584" t="s">
        <v>1627</v>
      </c>
    </row>
    <row r="585" spans="1:32" x14ac:dyDescent="0.25">
      <c r="A585" t="s">
        <v>642</v>
      </c>
      <c r="B585">
        <v>34</v>
      </c>
      <c r="C585">
        <v>1111</v>
      </c>
      <c r="D585">
        <v>8</v>
      </c>
      <c r="E585">
        <v>93</v>
      </c>
      <c r="F585">
        <v>6500</v>
      </c>
      <c r="G585">
        <v>13305</v>
      </c>
      <c r="H585">
        <v>5</v>
      </c>
      <c r="I585">
        <v>17</v>
      </c>
      <c r="J585">
        <v>6</v>
      </c>
      <c r="K585">
        <v>1</v>
      </c>
      <c r="L585">
        <v>3</v>
      </c>
      <c r="M585">
        <v>2</v>
      </c>
      <c r="N585">
        <v>1</v>
      </c>
      <c r="O585">
        <v>2</v>
      </c>
      <c r="P585" t="s">
        <v>1556</v>
      </c>
      <c r="Q585" t="s">
        <v>1552</v>
      </c>
      <c r="R585" t="s">
        <v>1549</v>
      </c>
      <c r="S585" t="s">
        <v>1533</v>
      </c>
      <c r="T585" t="s">
        <v>1538</v>
      </c>
      <c r="U585" t="s">
        <v>1547</v>
      </c>
      <c r="V585" t="s">
        <v>1558</v>
      </c>
      <c r="W585" t="s">
        <v>1563</v>
      </c>
      <c r="X585" t="s">
        <v>1576</v>
      </c>
      <c r="Y585" t="s">
        <v>1581</v>
      </c>
      <c r="Z585" t="s">
        <v>1591</v>
      </c>
      <c r="AA585" t="s">
        <v>1597</v>
      </c>
      <c r="AB585" t="s">
        <v>1601</v>
      </c>
      <c r="AC585" t="s">
        <v>1610</v>
      </c>
      <c r="AD585" t="s">
        <v>1605</v>
      </c>
      <c r="AE585" t="s">
        <v>1617</v>
      </c>
      <c r="AF585" t="s">
        <v>1627</v>
      </c>
    </row>
    <row r="586" spans="1:32" x14ac:dyDescent="0.25">
      <c r="A586" t="s">
        <v>643</v>
      </c>
      <c r="B586">
        <v>42</v>
      </c>
      <c r="C586">
        <v>570</v>
      </c>
      <c r="D586">
        <v>8</v>
      </c>
      <c r="E586">
        <v>66</v>
      </c>
      <c r="F586">
        <v>18430</v>
      </c>
      <c r="G586">
        <v>16225</v>
      </c>
      <c r="H586">
        <v>1</v>
      </c>
      <c r="I586">
        <v>13</v>
      </c>
      <c r="J586">
        <v>24</v>
      </c>
      <c r="K586">
        <v>4</v>
      </c>
      <c r="L586">
        <v>24</v>
      </c>
      <c r="M586">
        <v>7</v>
      </c>
      <c r="N586">
        <v>14</v>
      </c>
      <c r="O586">
        <v>9</v>
      </c>
      <c r="P586" t="s">
        <v>1556</v>
      </c>
      <c r="Q586" t="s">
        <v>1553</v>
      </c>
      <c r="R586" t="s">
        <v>1550</v>
      </c>
      <c r="S586" t="s">
        <v>1534</v>
      </c>
      <c r="T586" t="s">
        <v>1538</v>
      </c>
      <c r="U586" t="s">
        <v>1546</v>
      </c>
      <c r="V586" t="s">
        <v>1559</v>
      </c>
      <c r="W586" t="s">
        <v>1563</v>
      </c>
      <c r="X586" t="s">
        <v>1579</v>
      </c>
      <c r="Y586" t="s">
        <v>1586</v>
      </c>
      <c r="Z586" t="s">
        <v>1594</v>
      </c>
      <c r="AA586" t="s">
        <v>1598</v>
      </c>
      <c r="AB586" t="s">
        <v>1601</v>
      </c>
      <c r="AC586" t="s">
        <v>1610</v>
      </c>
      <c r="AD586" t="s">
        <v>1605</v>
      </c>
      <c r="AE586" t="s">
        <v>1617</v>
      </c>
      <c r="AF586" t="s">
        <v>1626</v>
      </c>
    </row>
    <row r="587" spans="1:32" x14ac:dyDescent="0.25">
      <c r="A587" t="s">
        <v>644</v>
      </c>
      <c r="B587">
        <v>23</v>
      </c>
      <c r="C587">
        <v>1243</v>
      </c>
      <c r="D587">
        <v>6</v>
      </c>
      <c r="E587">
        <v>63</v>
      </c>
      <c r="F587">
        <v>1601</v>
      </c>
      <c r="G587">
        <v>3445</v>
      </c>
      <c r="H587">
        <v>1</v>
      </c>
      <c r="I587">
        <v>21</v>
      </c>
      <c r="J587">
        <v>1</v>
      </c>
      <c r="K587">
        <v>2</v>
      </c>
      <c r="L587">
        <v>0</v>
      </c>
      <c r="M587">
        <v>0</v>
      </c>
      <c r="N587">
        <v>0</v>
      </c>
      <c r="O587">
        <v>0</v>
      </c>
      <c r="P587" t="s">
        <v>1555</v>
      </c>
      <c r="Q587" t="s">
        <v>1552</v>
      </c>
      <c r="R587" t="s">
        <v>1550</v>
      </c>
      <c r="S587" t="s">
        <v>1534</v>
      </c>
      <c r="T587" t="s">
        <v>1538</v>
      </c>
      <c r="U587" t="s">
        <v>1547</v>
      </c>
      <c r="V587" t="s">
        <v>1559</v>
      </c>
      <c r="W587" t="s">
        <v>1564</v>
      </c>
      <c r="X587" t="s">
        <v>1575</v>
      </c>
      <c r="Y587" t="s">
        <v>1583</v>
      </c>
      <c r="Z587" t="s">
        <v>1591</v>
      </c>
      <c r="AA587" t="s">
        <v>1597</v>
      </c>
      <c r="AB587" t="s">
        <v>1600</v>
      </c>
      <c r="AC587" t="s">
        <v>1611</v>
      </c>
      <c r="AD587" t="s">
        <v>1606</v>
      </c>
      <c r="AE587" t="s">
        <v>1618</v>
      </c>
      <c r="AF587" t="s">
        <v>1627</v>
      </c>
    </row>
    <row r="588" spans="1:32" x14ac:dyDescent="0.25">
      <c r="A588" t="s">
        <v>645</v>
      </c>
      <c r="B588">
        <v>24</v>
      </c>
      <c r="C588">
        <v>1092</v>
      </c>
      <c r="D588">
        <v>9</v>
      </c>
      <c r="E588">
        <v>60</v>
      </c>
      <c r="F588">
        <v>2694</v>
      </c>
      <c r="G588">
        <v>26551</v>
      </c>
      <c r="H588">
        <v>1</v>
      </c>
      <c r="I588">
        <v>11</v>
      </c>
      <c r="J588">
        <v>1</v>
      </c>
      <c r="K588">
        <v>4</v>
      </c>
      <c r="L588">
        <v>1</v>
      </c>
      <c r="M588">
        <v>0</v>
      </c>
      <c r="N588">
        <v>0</v>
      </c>
      <c r="O588">
        <v>0</v>
      </c>
      <c r="P588" t="s">
        <v>1556</v>
      </c>
      <c r="Q588" t="s">
        <v>1554</v>
      </c>
      <c r="R588" t="s">
        <v>1550</v>
      </c>
      <c r="S588" t="s">
        <v>1534</v>
      </c>
      <c r="T588" t="s">
        <v>1538</v>
      </c>
      <c r="U588" t="s">
        <v>1547</v>
      </c>
      <c r="V588" t="s">
        <v>1559</v>
      </c>
      <c r="W588" t="s">
        <v>1562</v>
      </c>
      <c r="X588" t="s">
        <v>1575</v>
      </c>
      <c r="Y588" t="s">
        <v>1583</v>
      </c>
      <c r="Z588" t="s">
        <v>1592</v>
      </c>
      <c r="AA588" t="s">
        <v>1598</v>
      </c>
      <c r="AB588" t="s">
        <v>1601</v>
      </c>
      <c r="AC588" t="s">
        <v>1610</v>
      </c>
      <c r="AD588" t="s">
        <v>1606</v>
      </c>
      <c r="AE588" t="s">
        <v>1619</v>
      </c>
      <c r="AF588" t="s">
        <v>1627</v>
      </c>
    </row>
    <row r="589" spans="1:32" x14ac:dyDescent="0.25">
      <c r="A589" t="s">
        <v>646</v>
      </c>
      <c r="B589">
        <v>52</v>
      </c>
      <c r="C589">
        <v>1325</v>
      </c>
      <c r="D589">
        <v>11</v>
      </c>
      <c r="E589">
        <v>82</v>
      </c>
      <c r="F589">
        <v>3149</v>
      </c>
      <c r="G589">
        <v>21821</v>
      </c>
      <c r="H589">
        <v>8</v>
      </c>
      <c r="I589">
        <v>20</v>
      </c>
      <c r="J589">
        <v>9</v>
      </c>
      <c r="K589">
        <v>3</v>
      </c>
      <c r="L589">
        <v>5</v>
      </c>
      <c r="M589">
        <v>2</v>
      </c>
      <c r="N589">
        <v>1</v>
      </c>
      <c r="O589">
        <v>4</v>
      </c>
      <c r="P589" t="s">
        <v>1556</v>
      </c>
      <c r="Q589" t="s">
        <v>1552</v>
      </c>
      <c r="R589" t="s">
        <v>1550</v>
      </c>
      <c r="S589" t="s">
        <v>1535</v>
      </c>
      <c r="T589" t="s">
        <v>1538</v>
      </c>
      <c r="U589" t="s">
        <v>1548</v>
      </c>
      <c r="V589" t="s">
        <v>1558</v>
      </c>
      <c r="W589" t="s">
        <v>1563</v>
      </c>
      <c r="X589" t="s">
        <v>1576</v>
      </c>
      <c r="Y589" t="s">
        <v>1583</v>
      </c>
      <c r="Z589" t="s">
        <v>1593</v>
      </c>
      <c r="AA589" t="s">
        <v>1597</v>
      </c>
      <c r="AB589" t="s">
        <v>1601</v>
      </c>
      <c r="AC589" t="s">
        <v>1611</v>
      </c>
      <c r="AD589" t="s">
        <v>1605</v>
      </c>
      <c r="AE589" t="s">
        <v>1617</v>
      </c>
      <c r="AF589" t="s">
        <v>1627</v>
      </c>
    </row>
    <row r="590" spans="1:32" x14ac:dyDescent="0.25">
      <c r="A590" t="s">
        <v>647</v>
      </c>
      <c r="B590">
        <v>50</v>
      </c>
      <c r="C590">
        <v>691</v>
      </c>
      <c r="D590">
        <v>2</v>
      </c>
      <c r="E590">
        <v>64</v>
      </c>
      <c r="F590">
        <v>17639</v>
      </c>
      <c r="G590">
        <v>6881</v>
      </c>
      <c r="H590">
        <v>5</v>
      </c>
      <c r="I590">
        <v>16</v>
      </c>
      <c r="J590">
        <v>30</v>
      </c>
      <c r="K590">
        <v>3</v>
      </c>
      <c r="L590">
        <v>4</v>
      </c>
      <c r="M590">
        <v>3</v>
      </c>
      <c r="N590">
        <v>0</v>
      </c>
      <c r="O590">
        <v>3</v>
      </c>
      <c r="P590" t="s">
        <v>1556</v>
      </c>
      <c r="Q590" t="s">
        <v>1552</v>
      </c>
      <c r="R590" t="s">
        <v>1550</v>
      </c>
      <c r="S590" t="s">
        <v>1534</v>
      </c>
      <c r="T590" t="s">
        <v>1540</v>
      </c>
      <c r="U590" t="s">
        <v>1547</v>
      </c>
      <c r="V590" t="s">
        <v>1559</v>
      </c>
      <c r="W590" t="s">
        <v>1563</v>
      </c>
      <c r="X590" t="s">
        <v>1578</v>
      </c>
      <c r="Y590" t="s">
        <v>1588</v>
      </c>
      <c r="Z590" t="s">
        <v>1593</v>
      </c>
      <c r="AA590" t="s">
        <v>1597</v>
      </c>
      <c r="AB590" t="s">
        <v>1601</v>
      </c>
      <c r="AC590" t="s">
        <v>1610</v>
      </c>
      <c r="AD590" t="s">
        <v>1607</v>
      </c>
      <c r="AE590" t="s">
        <v>1616</v>
      </c>
      <c r="AF590" t="s">
        <v>1627</v>
      </c>
    </row>
    <row r="591" spans="1:32" x14ac:dyDescent="0.25">
      <c r="A591" t="s">
        <v>648</v>
      </c>
      <c r="B591">
        <v>29</v>
      </c>
      <c r="C591">
        <v>805</v>
      </c>
      <c r="D591">
        <v>1</v>
      </c>
      <c r="E591">
        <v>36</v>
      </c>
      <c r="F591">
        <v>2319</v>
      </c>
      <c r="G591">
        <v>6689</v>
      </c>
      <c r="H591">
        <v>1</v>
      </c>
      <c r="I591">
        <v>11</v>
      </c>
      <c r="J591">
        <v>1</v>
      </c>
      <c r="K591">
        <v>1</v>
      </c>
      <c r="L591">
        <v>1</v>
      </c>
      <c r="M591">
        <v>0</v>
      </c>
      <c r="N591">
        <v>0</v>
      </c>
      <c r="O591">
        <v>0</v>
      </c>
      <c r="P591" t="s">
        <v>1555</v>
      </c>
      <c r="Q591" t="s">
        <v>1552</v>
      </c>
      <c r="R591" t="s">
        <v>1550</v>
      </c>
      <c r="S591" t="s">
        <v>1533</v>
      </c>
      <c r="T591" t="s">
        <v>1538</v>
      </c>
      <c r="U591" t="s">
        <v>1546</v>
      </c>
      <c r="V591" t="s">
        <v>1558</v>
      </c>
      <c r="W591" t="s">
        <v>1562</v>
      </c>
      <c r="X591" t="s">
        <v>1575</v>
      </c>
      <c r="Y591" t="s">
        <v>1583</v>
      </c>
      <c r="Z591" t="s">
        <v>1591</v>
      </c>
      <c r="AA591" t="s">
        <v>1597</v>
      </c>
      <c r="AB591" t="s">
        <v>1600</v>
      </c>
      <c r="AC591" t="s">
        <v>1610</v>
      </c>
      <c r="AD591" t="s">
        <v>1607</v>
      </c>
      <c r="AE591" t="s">
        <v>1617</v>
      </c>
      <c r="AF591" t="s">
        <v>1627</v>
      </c>
    </row>
    <row r="592" spans="1:32" x14ac:dyDescent="0.25">
      <c r="A592" t="s">
        <v>649</v>
      </c>
      <c r="B592">
        <v>33</v>
      </c>
      <c r="C592">
        <v>213</v>
      </c>
      <c r="D592">
        <v>7</v>
      </c>
      <c r="E592">
        <v>49</v>
      </c>
      <c r="F592">
        <v>11691</v>
      </c>
      <c r="G592">
        <v>25995</v>
      </c>
      <c r="H592">
        <v>0</v>
      </c>
      <c r="I592">
        <v>11</v>
      </c>
      <c r="J592">
        <v>14</v>
      </c>
      <c r="K592">
        <v>3</v>
      </c>
      <c r="L592">
        <v>13</v>
      </c>
      <c r="M592">
        <v>9</v>
      </c>
      <c r="N592">
        <v>3</v>
      </c>
      <c r="O592">
        <v>7</v>
      </c>
      <c r="P592" t="s">
        <v>1556</v>
      </c>
      <c r="Q592" t="s">
        <v>1552</v>
      </c>
      <c r="R592" t="s">
        <v>1550</v>
      </c>
      <c r="S592" t="s">
        <v>1534</v>
      </c>
      <c r="T592" t="s">
        <v>1540</v>
      </c>
      <c r="U592" t="s">
        <v>1547</v>
      </c>
      <c r="V592" t="s">
        <v>1559</v>
      </c>
      <c r="W592" t="s">
        <v>1563</v>
      </c>
      <c r="X592" t="s">
        <v>1577</v>
      </c>
      <c r="Y592" t="s">
        <v>1588</v>
      </c>
      <c r="Z592" t="s">
        <v>1593</v>
      </c>
      <c r="AA592" t="s">
        <v>1597</v>
      </c>
      <c r="AB592" t="s">
        <v>1601</v>
      </c>
      <c r="AC592" t="s">
        <v>1610</v>
      </c>
      <c r="AD592" t="s">
        <v>1607</v>
      </c>
      <c r="AE592" t="s">
        <v>1616</v>
      </c>
      <c r="AF592" t="s">
        <v>1628</v>
      </c>
    </row>
    <row r="593" spans="1:32" x14ac:dyDescent="0.25">
      <c r="A593" t="s">
        <v>650</v>
      </c>
      <c r="B593">
        <v>33</v>
      </c>
      <c r="C593">
        <v>118</v>
      </c>
      <c r="D593">
        <v>16</v>
      </c>
      <c r="E593">
        <v>69</v>
      </c>
      <c r="F593">
        <v>5324</v>
      </c>
      <c r="G593">
        <v>26507</v>
      </c>
      <c r="H593">
        <v>5</v>
      </c>
      <c r="I593">
        <v>15</v>
      </c>
      <c r="J593">
        <v>6</v>
      </c>
      <c r="K593">
        <v>3</v>
      </c>
      <c r="L593">
        <v>3</v>
      </c>
      <c r="M593">
        <v>2</v>
      </c>
      <c r="N593">
        <v>0</v>
      </c>
      <c r="O593">
        <v>2</v>
      </c>
      <c r="P593" t="s">
        <v>1555</v>
      </c>
      <c r="Q593" t="s">
        <v>1552</v>
      </c>
      <c r="R593" t="s">
        <v>1549</v>
      </c>
      <c r="S593" t="s">
        <v>1534</v>
      </c>
      <c r="T593" t="s">
        <v>1541</v>
      </c>
      <c r="U593" t="s">
        <v>1545</v>
      </c>
      <c r="V593" t="s">
        <v>1558</v>
      </c>
      <c r="W593" t="s">
        <v>1563</v>
      </c>
      <c r="X593" t="s">
        <v>1576</v>
      </c>
      <c r="Y593" t="s">
        <v>1581</v>
      </c>
      <c r="Z593" t="s">
        <v>1591</v>
      </c>
      <c r="AA593" t="s">
        <v>1596</v>
      </c>
      <c r="AB593" t="s">
        <v>1601</v>
      </c>
      <c r="AC593" t="s">
        <v>1610</v>
      </c>
      <c r="AD593" t="s">
        <v>1606</v>
      </c>
      <c r="AE593" t="s">
        <v>1616</v>
      </c>
      <c r="AF593" t="s">
        <v>1627</v>
      </c>
    </row>
    <row r="594" spans="1:32" x14ac:dyDescent="0.25">
      <c r="A594" t="s">
        <v>651</v>
      </c>
      <c r="B594">
        <v>47</v>
      </c>
      <c r="C594">
        <v>202</v>
      </c>
      <c r="D594">
        <v>2</v>
      </c>
      <c r="E594">
        <v>33</v>
      </c>
      <c r="F594">
        <v>16752</v>
      </c>
      <c r="G594">
        <v>12982</v>
      </c>
      <c r="H594">
        <v>1</v>
      </c>
      <c r="I594">
        <v>11</v>
      </c>
      <c r="J594">
        <v>26</v>
      </c>
      <c r="K594">
        <v>3</v>
      </c>
      <c r="L594">
        <v>26</v>
      </c>
      <c r="M594">
        <v>14</v>
      </c>
      <c r="N594">
        <v>3</v>
      </c>
      <c r="O594">
        <v>0</v>
      </c>
      <c r="P594" t="s">
        <v>1556</v>
      </c>
      <c r="Q594" t="s">
        <v>1552</v>
      </c>
      <c r="R594" t="s">
        <v>1550</v>
      </c>
      <c r="S594" t="s">
        <v>1533</v>
      </c>
      <c r="T594" t="s">
        <v>1539</v>
      </c>
      <c r="U594" t="s">
        <v>1547</v>
      </c>
      <c r="V594" t="s">
        <v>1558</v>
      </c>
      <c r="W594" t="s">
        <v>1563</v>
      </c>
      <c r="X594" t="s">
        <v>1578</v>
      </c>
      <c r="Y594" t="s">
        <v>1586</v>
      </c>
      <c r="Z594" t="s">
        <v>1594</v>
      </c>
      <c r="AA594" t="s">
        <v>1597</v>
      </c>
      <c r="AB594" t="s">
        <v>1600</v>
      </c>
      <c r="AC594" t="s">
        <v>1610</v>
      </c>
      <c r="AD594" t="s">
        <v>1606</v>
      </c>
      <c r="AE594" t="s">
        <v>1617</v>
      </c>
      <c r="AF594" t="s">
        <v>1626</v>
      </c>
    </row>
    <row r="595" spans="1:32" x14ac:dyDescent="0.25">
      <c r="A595" t="s">
        <v>652</v>
      </c>
      <c r="B595">
        <v>36</v>
      </c>
      <c r="C595">
        <v>676</v>
      </c>
      <c r="D595">
        <v>1</v>
      </c>
      <c r="E595">
        <v>35</v>
      </c>
      <c r="F595">
        <v>5228</v>
      </c>
      <c r="G595">
        <v>23361</v>
      </c>
      <c r="H595">
        <v>0</v>
      </c>
      <c r="I595">
        <v>15</v>
      </c>
      <c r="J595">
        <v>10</v>
      </c>
      <c r="K595">
        <v>2</v>
      </c>
      <c r="L595">
        <v>9</v>
      </c>
      <c r="M595">
        <v>7</v>
      </c>
      <c r="N595">
        <v>0</v>
      </c>
      <c r="O595">
        <v>5</v>
      </c>
      <c r="P595" t="s">
        <v>1556</v>
      </c>
      <c r="Q595" t="s">
        <v>1552</v>
      </c>
      <c r="R595" t="s">
        <v>1550</v>
      </c>
      <c r="S595" t="s">
        <v>1534</v>
      </c>
      <c r="T595" t="s">
        <v>1539</v>
      </c>
      <c r="U595" t="s">
        <v>1547</v>
      </c>
      <c r="V595" t="s">
        <v>1558</v>
      </c>
      <c r="W595" t="s">
        <v>1563</v>
      </c>
      <c r="X595" t="s">
        <v>1576</v>
      </c>
      <c r="Y595" t="s">
        <v>1584</v>
      </c>
      <c r="Z595" t="s">
        <v>1592</v>
      </c>
      <c r="AA595" t="s">
        <v>1597</v>
      </c>
      <c r="AB595" t="s">
        <v>1601</v>
      </c>
      <c r="AC595" t="s">
        <v>1610</v>
      </c>
      <c r="AD595" t="s">
        <v>1604</v>
      </c>
      <c r="AE595" t="s">
        <v>1617</v>
      </c>
      <c r="AF595" t="s">
        <v>1627</v>
      </c>
    </row>
    <row r="596" spans="1:32" x14ac:dyDescent="0.25">
      <c r="A596" t="s">
        <v>653</v>
      </c>
      <c r="B596">
        <v>29</v>
      </c>
      <c r="C596">
        <v>1252</v>
      </c>
      <c r="D596">
        <v>23</v>
      </c>
      <c r="E596">
        <v>81</v>
      </c>
      <c r="F596">
        <v>2700</v>
      </c>
      <c r="G596">
        <v>23779</v>
      </c>
      <c r="H596">
        <v>1</v>
      </c>
      <c r="I596">
        <v>24</v>
      </c>
      <c r="J596">
        <v>10</v>
      </c>
      <c r="K596">
        <v>3</v>
      </c>
      <c r="L596">
        <v>10</v>
      </c>
      <c r="M596">
        <v>7</v>
      </c>
      <c r="N596">
        <v>0</v>
      </c>
      <c r="O596">
        <v>7</v>
      </c>
      <c r="P596" t="s">
        <v>1556</v>
      </c>
      <c r="Q596" t="s">
        <v>1552</v>
      </c>
      <c r="R596" t="s">
        <v>1550</v>
      </c>
      <c r="S596" t="s">
        <v>1533</v>
      </c>
      <c r="T596" t="s">
        <v>1538</v>
      </c>
      <c r="U596" t="s">
        <v>1547</v>
      </c>
      <c r="V596" t="s">
        <v>1559</v>
      </c>
      <c r="W596" t="s">
        <v>1564</v>
      </c>
      <c r="X596" t="s">
        <v>1575</v>
      </c>
      <c r="Y596" t="s">
        <v>1582</v>
      </c>
      <c r="Z596" t="s">
        <v>1593</v>
      </c>
      <c r="AA596" t="s">
        <v>1597</v>
      </c>
      <c r="AB596" t="s">
        <v>1601</v>
      </c>
      <c r="AC596" t="s">
        <v>1611</v>
      </c>
      <c r="AD596" t="s">
        <v>1606</v>
      </c>
      <c r="AE596" t="s">
        <v>1617</v>
      </c>
      <c r="AF596" t="s">
        <v>1627</v>
      </c>
    </row>
    <row r="597" spans="1:32" x14ac:dyDescent="0.25">
      <c r="A597" t="s">
        <v>654</v>
      </c>
      <c r="B597">
        <v>58</v>
      </c>
      <c r="C597">
        <v>286</v>
      </c>
      <c r="D597">
        <v>2</v>
      </c>
      <c r="E597">
        <v>31</v>
      </c>
      <c r="F597">
        <v>19246</v>
      </c>
      <c r="G597">
        <v>25761</v>
      </c>
      <c r="H597">
        <v>7</v>
      </c>
      <c r="I597">
        <v>12</v>
      </c>
      <c r="J597">
        <v>40</v>
      </c>
      <c r="K597">
        <v>2</v>
      </c>
      <c r="L597">
        <v>31</v>
      </c>
      <c r="M597">
        <v>15</v>
      </c>
      <c r="N597">
        <v>13</v>
      </c>
      <c r="O597">
        <v>8</v>
      </c>
      <c r="P597" t="s">
        <v>1555</v>
      </c>
      <c r="Q597" t="s">
        <v>1552</v>
      </c>
      <c r="R597" t="s">
        <v>1550</v>
      </c>
      <c r="S597" t="s">
        <v>1535</v>
      </c>
      <c r="T597" t="s">
        <v>1538</v>
      </c>
      <c r="U597" t="s">
        <v>1548</v>
      </c>
      <c r="V597" t="s">
        <v>1559</v>
      </c>
      <c r="W597" t="s">
        <v>1563</v>
      </c>
      <c r="X597" t="s">
        <v>1579</v>
      </c>
      <c r="Y597" t="s">
        <v>1588</v>
      </c>
      <c r="Z597" t="s">
        <v>1592</v>
      </c>
      <c r="AA597" t="s">
        <v>1596</v>
      </c>
      <c r="AB597" t="s">
        <v>1600</v>
      </c>
      <c r="AC597" t="s">
        <v>1610</v>
      </c>
      <c r="AD597" t="s">
        <v>1607</v>
      </c>
      <c r="AE597" t="s">
        <v>1616</v>
      </c>
      <c r="AF597" t="s">
        <v>1627</v>
      </c>
    </row>
    <row r="598" spans="1:32" x14ac:dyDescent="0.25">
      <c r="A598" t="s">
        <v>655</v>
      </c>
      <c r="B598">
        <v>35</v>
      </c>
      <c r="C598">
        <v>1258</v>
      </c>
      <c r="D598">
        <v>1</v>
      </c>
      <c r="E598">
        <v>40</v>
      </c>
      <c r="F598">
        <v>2506</v>
      </c>
      <c r="G598">
        <v>13301</v>
      </c>
      <c r="H598">
        <v>3</v>
      </c>
      <c r="I598">
        <v>13</v>
      </c>
      <c r="J598">
        <v>7</v>
      </c>
      <c r="K598">
        <v>0</v>
      </c>
      <c r="L598">
        <v>2</v>
      </c>
      <c r="M598">
        <v>2</v>
      </c>
      <c r="N598">
        <v>2</v>
      </c>
      <c r="O598">
        <v>2</v>
      </c>
      <c r="P598" t="s">
        <v>1556</v>
      </c>
      <c r="Q598" t="s">
        <v>1552</v>
      </c>
      <c r="R598" t="s">
        <v>1550</v>
      </c>
      <c r="S598" t="s">
        <v>1535</v>
      </c>
      <c r="T598" t="s">
        <v>1538</v>
      </c>
      <c r="U598" t="s">
        <v>1548</v>
      </c>
      <c r="V598" t="s">
        <v>1558</v>
      </c>
      <c r="W598" t="s">
        <v>1564</v>
      </c>
      <c r="X598" t="s">
        <v>1575</v>
      </c>
      <c r="Y598" t="s">
        <v>1582</v>
      </c>
      <c r="Z598" t="s">
        <v>1593</v>
      </c>
      <c r="AA598" t="s">
        <v>1596</v>
      </c>
      <c r="AB598" t="s">
        <v>1601</v>
      </c>
      <c r="AC598" t="s">
        <v>1610</v>
      </c>
      <c r="AD598" t="s">
        <v>1606</v>
      </c>
      <c r="AE598" t="s">
        <v>1616</v>
      </c>
      <c r="AF598" t="s">
        <v>1627</v>
      </c>
    </row>
    <row r="599" spans="1:32" x14ac:dyDescent="0.25">
      <c r="A599" t="s">
        <v>656</v>
      </c>
      <c r="B599">
        <v>42</v>
      </c>
      <c r="C599">
        <v>932</v>
      </c>
      <c r="D599">
        <v>1</v>
      </c>
      <c r="E599">
        <v>43</v>
      </c>
      <c r="F599">
        <v>6062</v>
      </c>
      <c r="G599">
        <v>4051</v>
      </c>
      <c r="H599">
        <v>9</v>
      </c>
      <c r="I599">
        <v>13</v>
      </c>
      <c r="J599">
        <v>8</v>
      </c>
      <c r="K599">
        <v>4</v>
      </c>
      <c r="L599">
        <v>4</v>
      </c>
      <c r="M599">
        <v>3</v>
      </c>
      <c r="N599">
        <v>0</v>
      </c>
      <c r="O599">
        <v>2</v>
      </c>
      <c r="P599" t="s">
        <v>1556</v>
      </c>
      <c r="Q599" t="s">
        <v>1552</v>
      </c>
      <c r="R599" t="s">
        <v>1550</v>
      </c>
      <c r="S599" t="s">
        <v>1533</v>
      </c>
      <c r="T599" t="s">
        <v>1538</v>
      </c>
      <c r="U599" t="s">
        <v>1548</v>
      </c>
      <c r="V599" t="s">
        <v>1558</v>
      </c>
      <c r="W599" t="s">
        <v>1562</v>
      </c>
      <c r="X599" t="s">
        <v>1576</v>
      </c>
      <c r="Y599" t="s">
        <v>1584</v>
      </c>
      <c r="Z599" t="s">
        <v>1594</v>
      </c>
      <c r="AA599" t="s">
        <v>1597</v>
      </c>
      <c r="AB599" t="s">
        <v>1600</v>
      </c>
      <c r="AC599" t="s">
        <v>1610</v>
      </c>
      <c r="AD599" t="s">
        <v>1607</v>
      </c>
      <c r="AE599" t="s">
        <v>1617</v>
      </c>
      <c r="AF599" t="s">
        <v>1627</v>
      </c>
    </row>
    <row r="600" spans="1:32" x14ac:dyDescent="0.25">
      <c r="A600" t="s">
        <v>657</v>
      </c>
      <c r="B600">
        <v>28</v>
      </c>
      <c r="C600">
        <v>890</v>
      </c>
      <c r="D600">
        <v>2</v>
      </c>
      <c r="E600">
        <v>46</v>
      </c>
      <c r="F600">
        <v>4382</v>
      </c>
      <c r="G600">
        <v>16374</v>
      </c>
      <c r="H600">
        <v>6</v>
      </c>
      <c r="I600">
        <v>17</v>
      </c>
      <c r="J600">
        <v>5</v>
      </c>
      <c r="K600">
        <v>3</v>
      </c>
      <c r="L600">
        <v>2</v>
      </c>
      <c r="M600">
        <v>2</v>
      </c>
      <c r="N600">
        <v>2</v>
      </c>
      <c r="O600">
        <v>1</v>
      </c>
      <c r="P600" t="s">
        <v>1555</v>
      </c>
      <c r="Q600" t="s">
        <v>1552</v>
      </c>
      <c r="R600" t="s">
        <v>1550</v>
      </c>
      <c r="S600" t="s">
        <v>1535</v>
      </c>
      <c r="T600" t="s">
        <v>1540</v>
      </c>
      <c r="U600" t="s">
        <v>1547</v>
      </c>
      <c r="V600" t="s">
        <v>1559</v>
      </c>
      <c r="W600" t="s">
        <v>1563</v>
      </c>
      <c r="X600" t="s">
        <v>1575</v>
      </c>
      <c r="Y600" t="s">
        <v>1582</v>
      </c>
      <c r="Z600" t="s">
        <v>1593</v>
      </c>
      <c r="AA600" t="s">
        <v>1596</v>
      </c>
      <c r="AB600" t="s">
        <v>1601</v>
      </c>
      <c r="AC600" t="s">
        <v>1610</v>
      </c>
      <c r="AD600" t="s">
        <v>1607</v>
      </c>
      <c r="AE600" t="s">
        <v>1616</v>
      </c>
      <c r="AF600" t="s">
        <v>1626</v>
      </c>
    </row>
    <row r="601" spans="1:32" x14ac:dyDescent="0.25">
      <c r="A601" t="s">
        <v>658</v>
      </c>
      <c r="B601">
        <v>36</v>
      </c>
      <c r="C601">
        <v>1041</v>
      </c>
      <c r="D601">
        <v>13</v>
      </c>
      <c r="E601">
        <v>36</v>
      </c>
      <c r="F601">
        <v>2143</v>
      </c>
      <c r="G601">
        <v>25527</v>
      </c>
      <c r="H601">
        <v>4</v>
      </c>
      <c r="I601">
        <v>13</v>
      </c>
      <c r="J601">
        <v>8</v>
      </c>
      <c r="K601">
        <v>2</v>
      </c>
      <c r="L601">
        <v>5</v>
      </c>
      <c r="M601">
        <v>2</v>
      </c>
      <c r="N601">
        <v>0</v>
      </c>
      <c r="O601">
        <v>4</v>
      </c>
      <c r="P601" t="s">
        <v>1556</v>
      </c>
      <c r="Q601" t="s">
        <v>1552</v>
      </c>
      <c r="R601" t="s">
        <v>1551</v>
      </c>
      <c r="S601" t="s">
        <v>1534</v>
      </c>
      <c r="T601" t="s">
        <v>1543</v>
      </c>
      <c r="U601" t="s">
        <v>1547</v>
      </c>
      <c r="V601" t="s">
        <v>1559</v>
      </c>
      <c r="W601" t="s">
        <v>1563</v>
      </c>
      <c r="X601" t="s">
        <v>1575</v>
      </c>
      <c r="Y601" t="s">
        <v>1589</v>
      </c>
      <c r="Z601" t="s">
        <v>1592</v>
      </c>
      <c r="AA601" t="s">
        <v>1597</v>
      </c>
      <c r="AB601" t="s">
        <v>1601</v>
      </c>
      <c r="AC601" t="s">
        <v>1610</v>
      </c>
      <c r="AD601" t="s">
        <v>1605</v>
      </c>
      <c r="AE601" t="s">
        <v>1617</v>
      </c>
      <c r="AF601" t="s">
        <v>1627</v>
      </c>
    </row>
    <row r="602" spans="1:32" x14ac:dyDescent="0.25">
      <c r="A602" t="s">
        <v>659</v>
      </c>
      <c r="B602">
        <v>32</v>
      </c>
      <c r="C602">
        <v>859</v>
      </c>
      <c r="D602">
        <v>4</v>
      </c>
      <c r="E602">
        <v>98</v>
      </c>
      <c r="F602">
        <v>6162</v>
      </c>
      <c r="G602">
        <v>19124</v>
      </c>
      <c r="H602">
        <v>1</v>
      </c>
      <c r="I602">
        <v>12</v>
      </c>
      <c r="J602">
        <v>14</v>
      </c>
      <c r="K602">
        <v>3</v>
      </c>
      <c r="L602">
        <v>14</v>
      </c>
      <c r="M602">
        <v>13</v>
      </c>
      <c r="N602">
        <v>6</v>
      </c>
      <c r="O602">
        <v>8</v>
      </c>
      <c r="P602" t="s">
        <v>1556</v>
      </c>
      <c r="Q602" t="s">
        <v>1552</v>
      </c>
      <c r="R602" t="s">
        <v>1550</v>
      </c>
      <c r="S602" t="s">
        <v>1534</v>
      </c>
      <c r="T602" t="s">
        <v>1538</v>
      </c>
      <c r="U602" t="s">
        <v>1547</v>
      </c>
      <c r="V602" t="s">
        <v>1558</v>
      </c>
      <c r="W602" t="s">
        <v>1562</v>
      </c>
      <c r="X602" t="s">
        <v>1576</v>
      </c>
      <c r="Y602" t="s">
        <v>1584</v>
      </c>
      <c r="Z602" t="s">
        <v>1593</v>
      </c>
      <c r="AA602" t="s">
        <v>1597</v>
      </c>
      <c r="AB602" t="s">
        <v>1601</v>
      </c>
      <c r="AC602" t="s">
        <v>1610</v>
      </c>
      <c r="AD602" t="s">
        <v>1606</v>
      </c>
      <c r="AE602" t="s">
        <v>1617</v>
      </c>
      <c r="AF602" t="s">
        <v>1627</v>
      </c>
    </row>
    <row r="603" spans="1:32" x14ac:dyDescent="0.25">
      <c r="A603" t="s">
        <v>660</v>
      </c>
      <c r="B603">
        <v>40</v>
      </c>
      <c r="C603">
        <v>720</v>
      </c>
      <c r="D603">
        <v>16</v>
      </c>
      <c r="E603">
        <v>51</v>
      </c>
      <c r="F603">
        <v>5094</v>
      </c>
      <c r="G603">
        <v>11983</v>
      </c>
      <c r="H603">
        <v>6</v>
      </c>
      <c r="I603">
        <v>14</v>
      </c>
      <c r="J603">
        <v>10</v>
      </c>
      <c r="K603">
        <v>6</v>
      </c>
      <c r="L603">
        <v>1</v>
      </c>
      <c r="M603">
        <v>0</v>
      </c>
      <c r="N603">
        <v>0</v>
      </c>
      <c r="O603">
        <v>0</v>
      </c>
      <c r="P603" t="s">
        <v>1556</v>
      </c>
      <c r="Q603" t="s">
        <v>1553</v>
      </c>
      <c r="R603" t="s">
        <v>1550</v>
      </c>
      <c r="S603" t="s">
        <v>1535</v>
      </c>
      <c r="T603" t="s">
        <v>1540</v>
      </c>
      <c r="U603" t="s">
        <v>1545</v>
      </c>
      <c r="V603" t="s">
        <v>1559</v>
      </c>
      <c r="W603" t="s">
        <v>1562</v>
      </c>
      <c r="X603" t="s">
        <v>1576</v>
      </c>
      <c r="Y603" t="s">
        <v>1583</v>
      </c>
      <c r="Z603" t="s">
        <v>1593</v>
      </c>
      <c r="AA603" t="s">
        <v>1596</v>
      </c>
      <c r="AB603" t="s">
        <v>1601</v>
      </c>
      <c r="AC603" t="s">
        <v>1610</v>
      </c>
      <c r="AD603" t="s">
        <v>1607</v>
      </c>
      <c r="AE603" t="s">
        <v>1616</v>
      </c>
      <c r="AF603" t="s">
        <v>1627</v>
      </c>
    </row>
    <row r="604" spans="1:32" x14ac:dyDescent="0.25">
      <c r="A604" t="s">
        <v>661</v>
      </c>
      <c r="B604">
        <v>30</v>
      </c>
      <c r="C604">
        <v>946</v>
      </c>
      <c r="D604">
        <v>2</v>
      </c>
      <c r="E604">
        <v>52</v>
      </c>
      <c r="F604">
        <v>6877</v>
      </c>
      <c r="G604">
        <v>20234</v>
      </c>
      <c r="H604">
        <v>5</v>
      </c>
      <c r="I604">
        <v>24</v>
      </c>
      <c r="J604">
        <v>12</v>
      </c>
      <c r="K604">
        <v>4</v>
      </c>
      <c r="L604">
        <v>0</v>
      </c>
      <c r="M604">
        <v>0</v>
      </c>
      <c r="N604">
        <v>0</v>
      </c>
      <c r="O604">
        <v>0</v>
      </c>
      <c r="P604" t="s">
        <v>1556</v>
      </c>
      <c r="Q604" t="s">
        <v>1552</v>
      </c>
      <c r="R604" t="s">
        <v>1550</v>
      </c>
      <c r="S604" t="s">
        <v>1534</v>
      </c>
      <c r="T604" t="s">
        <v>1540</v>
      </c>
      <c r="U604" t="s">
        <v>1547</v>
      </c>
      <c r="V604" t="s">
        <v>1558</v>
      </c>
      <c r="W604" t="s">
        <v>1562</v>
      </c>
      <c r="X604" t="s">
        <v>1576</v>
      </c>
      <c r="Y604" t="s">
        <v>1584</v>
      </c>
      <c r="Z604" t="s">
        <v>1594</v>
      </c>
      <c r="AA604" t="s">
        <v>1596</v>
      </c>
      <c r="AB604" t="s">
        <v>1600</v>
      </c>
      <c r="AC604" t="s">
        <v>1611</v>
      </c>
      <c r="AD604" t="s">
        <v>1605</v>
      </c>
      <c r="AE604" t="s">
        <v>1616</v>
      </c>
      <c r="AF604" t="s">
        <v>1626</v>
      </c>
    </row>
    <row r="605" spans="1:32" x14ac:dyDescent="0.25">
      <c r="A605" t="s">
        <v>662</v>
      </c>
      <c r="B605">
        <v>45</v>
      </c>
      <c r="C605">
        <v>252</v>
      </c>
      <c r="D605">
        <v>2</v>
      </c>
      <c r="E605">
        <v>95</v>
      </c>
      <c r="F605">
        <v>2274</v>
      </c>
      <c r="G605">
        <v>6153</v>
      </c>
      <c r="H605">
        <v>1</v>
      </c>
      <c r="I605">
        <v>14</v>
      </c>
      <c r="J605">
        <v>1</v>
      </c>
      <c r="K605">
        <v>3</v>
      </c>
      <c r="L605">
        <v>1</v>
      </c>
      <c r="M605">
        <v>0</v>
      </c>
      <c r="N605">
        <v>0</v>
      </c>
      <c r="O605">
        <v>0</v>
      </c>
      <c r="P605" t="s">
        <v>1556</v>
      </c>
      <c r="Q605" t="s">
        <v>1552</v>
      </c>
      <c r="R605" t="s">
        <v>1550</v>
      </c>
      <c r="S605" t="s">
        <v>1534</v>
      </c>
      <c r="T605" t="s">
        <v>1538</v>
      </c>
      <c r="U605" t="s">
        <v>1546</v>
      </c>
      <c r="V605" t="s">
        <v>1558</v>
      </c>
      <c r="W605" t="s">
        <v>1562</v>
      </c>
      <c r="X605" t="s">
        <v>1575</v>
      </c>
      <c r="Y605" t="s">
        <v>1582</v>
      </c>
      <c r="Z605" t="s">
        <v>1593</v>
      </c>
      <c r="AA605" t="s">
        <v>1596</v>
      </c>
      <c r="AB605" t="s">
        <v>1601</v>
      </c>
      <c r="AC605" t="s">
        <v>1610</v>
      </c>
      <c r="AD605" t="s">
        <v>1607</v>
      </c>
      <c r="AE605" t="s">
        <v>1616</v>
      </c>
      <c r="AF605" t="s">
        <v>1627</v>
      </c>
    </row>
    <row r="606" spans="1:32" x14ac:dyDescent="0.25">
      <c r="A606" t="s">
        <v>663</v>
      </c>
      <c r="B606">
        <v>42</v>
      </c>
      <c r="C606">
        <v>933</v>
      </c>
      <c r="D606">
        <v>29</v>
      </c>
      <c r="E606">
        <v>98</v>
      </c>
      <c r="F606">
        <v>4434</v>
      </c>
      <c r="G606">
        <v>11806</v>
      </c>
      <c r="H606">
        <v>1</v>
      </c>
      <c r="I606">
        <v>13</v>
      </c>
      <c r="J606">
        <v>10</v>
      </c>
      <c r="K606">
        <v>3</v>
      </c>
      <c r="L606">
        <v>9</v>
      </c>
      <c r="M606">
        <v>8</v>
      </c>
      <c r="N606">
        <v>7</v>
      </c>
      <c r="O606">
        <v>8</v>
      </c>
      <c r="P606" t="s">
        <v>1556</v>
      </c>
      <c r="Q606" t="s">
        <v>1552</v>
      </c>
      <c r="R606" t="s">
        <v>1550</v>
      </c>
      <c r="S606" t="s">
        <v>1534</v>
      </c>
      <c r="T606" t="s">
        <v>1538</v>
      </c>
      <c r="U606" t="s">
        <v>1546</v>
      </c>
      <c r="V606" t="s">
        <v>1559</v>
      </c>
      <c r="W606" t="s">
        <v>1563</v>
      </c>
      <c r="X606" t="s">
        <v>1576</v>
      </c>
      <c r="Y606" t="s">
        <v>1584</v>
      </c>
      <c r="Z606" t="s">
        <v>1592</v>
      </c>
      <c r="AA606" t="s">
        <v>1597</v>
      </c>
      <c r="AB606" t="s">
        <v>1601</v>
      </c>
      <c r="AC606" t="s">
        <v>1610</v>
      </c>
      <c r="AD606" t="s">
        <v>1607</v>
      </c>
      <c r="AE606" t="s">
        <v>1617</v>
      </c>
      <c r="AF606" t="s">
        <v>1626</v>
      </c>
    </row>
    <row r="607" spans="1:32" x14ac:dyDescent="0.25">
      <c r="A607" t="s">
        <v>664</v>
      </c>
      <c r="B607">
        <v>38</v>
      </c>
      <c r="C607">
        <v>471</v>
      </c>
      <c r="D607">
        <v>12</v>
      </c>
      <c r="E607">
        <v>45</v>
      </c>
      <c r="F607">
        <v>6288</v>
      </c>
      <c r="G607">
        <v>4284</v>
      </c>
      <c r="H607">
        <v>2</v>
      </c>
      <c r="I607">
        <v>15</v>
      </c>
      <c r="J607">
        <v>13</v>
      </c>
      <c r="K607">
        <v>3</v>
      </c>
      <c r="L607">
        <v>4</v>
      </c>
      <c r="M607">
        <v>3</v>
      </c>
      <c r="N607">
        <v>1</v>
      </c>
      <c r="O607">
        <v>2</v>
      </c>
      <c r="P607" t="s">
        <v>1556</v>
      </c>
      <c r="Q607" t="s">
        <v>1553</v>
      </c>
      <c r="R607" t="s">
        <v>1550</v>
      </c>
      <c r="S607" t="s">
        <v>1534</v>
      </c>
      <c r="T607" t="s">
        <v>1538</v>
      </c>
      <c r="U607" t="s">
        <v>1545</v>
      </c>
      <c r="V607" t="s">
        <v>1559</v>
      </c>
      <c r="W607" t="s">
        <v>1562</v>
      </c>
      <c r="X607" t="s">
        <v>1576</v>
      </c>
      <c r="Y607" t="s">
        <v>1585</v>
      </c>
      <c r="Z607" t="s">
        <v>1591</v>
      </c>
      <c r="AA607" t="s">
        <v>1598</v>
      </c>
      <c r="AB607" t="s">
        <v>1601</v>
      </c>
      <c r="AC607" t="s">
        <v>1610</v>
      </c>
      <c r="AD607" t="s">
        <v>1606</v>
      </c>
      <c r="AE607" t="s">
        <v>1617</v>
      </c>
      <c r="AF607" t="s">
        <v>1626</v>
      </c>
    </row>
    <row r="608" spans="1:32" x14ac:dyDescent="0.25">
      <c r="A608" t="s">
        <v>665</v>
      </c>
      <c r="B608">
        <v>34</v>
      </c>
      <c r="C608">
        <v>702</v>
      </c>
      <c r="D608">
        <v>16</v>
      </c>
      <c r="E608">
        <v>100</v>
      </c>
      <c r="F608">
        <v>2553</v>
      </c>
      <c r="G608">
        <v>8306</v>
      </c>
      <c r="H608">
        <v>1</v>
      </c>
      <c r="I608">
        <v>16</v>
      </c>
      <c r="J608">
        <v>6</v>
      </c>
      <c r="K608">
        <v>3</v>
      </c>
      <c r="L608">
        <v>5</v>
      </c>
      <c r="M608">
        <v>2</v>
      </c>
      <c r="N608">
        <v>1</v>
      </c>
      <c r="O608">
        <v>3</v>
      </c>
      <c r="P608" t="s">
        <v>1556</v>
      </c>
      <c r="Q608" t="s">
        <v>1553</v>
      </c>
      <c r="R608" t="s">
        <v>1550</v>
      </c>
      <c r="S608" t="s">
        <v>1535</v>
      </c>
      <c r="T608" t="s">
        <v>1538</v>
      </c>
      <c r="U608" t="s">
        <v>1547</v>
      </c>
      <c r="V608" t="s">
        <v>1558</v>
      </c>
      <c r="W608" t="s">
        <v>1562</v>
      </c>
      <c r="X608" t="s">
        <v>1575</v>
      </c>
      <c r="Y608" t="s">
        <v>1582</v>
      </c>
      <c r="Z608" t="s">
        <v>1594</v>
      </c>
      <c r="AA608" t="s">
        <v>1596</v>
      </c>
      <c r="AB608" t="s">
        <v>1601</v>
      </c>
      <c r="AC608" t="s">
        <v>1610</v>
      </c>
      <c r="AD608" t="s">
        <v>1606</v>
      </c>
      <c r="AE608" t="s">
        <v>1616</v>
      </c>
      <c r="AF608" t="s">
        <v>1627</v>
      </c>
    </row>
    <row r="609" spans="1:32" x14ac:dyDescent="0.25">
      <c r="A609" t="s">
        <v>666</v>
      </c>
      <c r="B609">
        <v>49</v>
      </c>
      <c r="C609">
        <v>1184</v>
      </c>
      <c r="D609">
        <v>11</v>
      </c>
      <c r="E609">
        <v>43</v>
      </c>
      <c r="F609">
        <v>7654</v>
      </c>
      <c r="G609">
        <v>5860</v>
      </c>
      <c r="H609">
        <v>1</v>
      </c>
      <c r="I609">
        <v>18</v>
      </c>
      <c r="J609">
        <v>9</v>
      </c>
      <c r="K609">
        <v>3</v>
      </c>
      <c r="L609">
        <v>9</v>
      </c>
      <c r="M609">
        <v>8</v>
      </c>
      <c r="N609">
        <v>7</v>
      </c>
      <c r="O609">
        <v>7</v>
      </c>
      <c r="P609" t="s">
        <v>1555</v>
      </c>
      <c r="Q609" t="s">
        <v>1552</v>
      </c>
      <c r="R609" t="s">
        <v>1549</v>
      </c>
      <c r="S609" t="s">
        <v>1534</v>
      </c>
      <c r="T609" t="s">
        <v>1541</v>
      </c>
      <c r="U609" t="s">
        <v>1547</v>
      </c>
      <c r="V609" t="s">
        <v>1558</v>
      </c>
      <c r="W609" t="s">
        <v>1563</v>
      </c>
      <c r="X609" t="s">
        <v>1577</v>
      </c>
      <c r="Y609" t="s">
        <v>1581</v>
      </c>
      <c r="Z609" t="s">
        <v>1594</v>
      </c>
      <c r="AA609" t="s">
        <v>1597</v>
      </c>
      <c r="AB609" t="s">
        <v>1601</v>
      </c>
      <c r="AC609" t="s">
        <v>1610</v>
      </c>
      <c r="AD609" t="s">
        <v>1604</v>
      </c>
      <c r="AE609" t="s">
        <v>1618</v>
      </c>
      <c r="AF609" t="s">
        <v>1628</v>
      </c>
    </row>
    <row r="610" spans="1:32" x14ac:dyDescent="0.25">
      <c r="A610" t="s">
        <v>667</v>
      </c>
      <c r="B610">
        <v>55</v>
      </c>
      <c r="C610">
        <v>436</v>
      </c>
      <c r="D610">
        <v>2</v>
      </c>
      <c r="E610">
        <v>37</v>
      </c>
      <c r="F610">
        <v>5160</v>
      </c>
      <c r="G610">
        <v>21519</v>
      </c>
      <c r="H610">
        <v>4</v>
      </c>
      <c r="I610">
        <v>16</v>
      </c>
      <c r="J610">
        <v>12</v>
      </c>
      <c r="K610">
        <v>3</v>
      </c>
      <c r="L610">
        <v>9</v>
      </c>
      <c r="M610">
        <v>7</v>
      </c>
      <c r="N610">
        <v>7</v>
      </c>
      <c r="O610">
        <v>3</v>
      </c>
      <c r="P610" t="s">
        <v>1555</v>
      </c>
      <c r="Q610" t="s">
        <v>1552</v>
      </c>
      <c r="R610" t="s">
        <v>1549</v>
      </c>
      <c r="S610" t="s">
        <v>1532</v>
      </c>
      <c r="T610" t="s">
        <v>1540</v>
      </c>
      <c r="U610" t="s">
        <v>1547</v>
      </c>
      <c r="V610" t="s">
        <v>1559</v>
      </c>
      <c r="W610" t="s">
        <v>1563</v>
      </c>
      <c r="X610" t="s">
        <v>1576</v>
      </c>
      <c r="Y610" t="s">
        <v>1581</v>
      </c>
      <c r="Z610" t="s">
        <v>1594</v>
      </c>
      <c r="AA610" t="s">
        <v>1596</v>
      </c>
      <c r="AB610" t="s">
        <v>1601</v>
      </c>
      <c r="AC610" t="s">
        <v>1610</v>
      </c>
      <c r="AD610" t="s">
        <v>1606</v>
      </c>
      <c r="AE610" t="s">
        <v>1616</v>
      </c>
      <c r="AF610" t="s">
        <v>1626</v>
      </c>
    </row>
    <row r="611" spans="1:32" x14ac:dyDescent="0.25">
      <c r="A611" t="s">
        <v>668</v>
      </c>
      <c r="B611">
        <v>43</v>
      </c>
      <c r="C611">
        <v>589</v>
      </c>
      <c r="D611">
        <v>14</v>
      </c>
      <c r="E611">
        <v>94</v>
      </c>
      <c r="F611">
        <v>17159</v>
      </c>
      <c r="G611">
        <v>5200</v>
      </c>
      <c r="H611">
        <v>6</v>
      </c>
      <c r="I611">
        <v>24</v>
      </c>
      <c r="J611">
        <v>22</v>
      </c>
      <c r="K611">
        <v>3</v>
      </c>
      <c r="L611">
        <v>4</v>
      </c>
      <c r="M611">
        <v>1</v>
      </c>
      <c r="N611">
        <v>1</v>
      </c>
      <c r="O611">
        <v>0</v>
      </c>
      <c r="P611" t="s">
        <v>1556</v>
      </c>
      <c r="Q611" t="s">
        <v>1552</v>
      </c>
      <c r="R611" t="s">
        <v>1550</v>
      </c>
      <c r="S611" t="s">
        <v>1533</v>
      </c>
      <c r="T611" t="s">
        <v>1538</v>
      </c>
      <c r="U611" t="s">
        <v>1546</v>
      </c>
      <c r="V611" t="s">
        <v>1559</v>
      </c>
      <c r="W611" t="s">
        <v>1563</v>
      </c>
      <c r="X611" t="s">
        <v>1578</v>
      </c>
      <c r="Y611" t="s">
        <v>1588</v>
      </c>
      <c r="Z611" t="s">
        <v>1591</v>
      </c>
      <c r="AA611" t="s">
        <v>1597</v>
      </c>
      <c r="AB611" t="s">
        <v>1601</v>
      </c>
      <c r="AC611" t="s">
        <v>1611</v>
      </c>
      <c r="AD611" t="s">
        <v>1606</v>
      </c>
      <c r="AE611" t="s">
        <v>1617</v>
      </c>
      <c r="AF611" t="s">
        <v>1627</v>
      </c>
    </row>
    <row r="612" spans="1:32" x14ac:dyDescent="0.25">
      <c r="A612" t="s">
        <v>669</v>
      </c>
      <c r="B612">
        <v>27</v>
      </c>
      <c r="C612">
        <v>269</v>
      </c>
      <c r="D612">
        <v>5</v>
      </c>
      <c r="E612">
        <v>42</v>
      </c>
      <c r="F612">
        <v>12808</v>
      </c>
      <c r="G612">
        <v>8842</v>
      </c>
      <c r="H612">
        <v>1</v>
      </c>
      <c r="I612">
        <v>16</v>
      </c>
      <c r="J612">
        <v>9</v>
      </c>
      <c r="K612">
        <v>3</v>
      </c>
      <c r="L612">
        <v>9</v>
      </c>
      <c r="M612">
        <v>8</v>
      </c>
      <c r="N612">
        <v>0</v>
      </c>
      <c r="O612">
        <v>8</v>
      </c>
      <c r="P612" t="s">
        <v>1556</v>
      </c>
      <c r="Q612" t="s">
        <v>1552</v>
      </c>
      <c r="R612" t="s">
        <v>1550</v>
      </c>
      <c r="S612" t="s">
        <v>1532</v>
      </c>
      <c r="T612" t="s">
        <v>1542</v>
      </c>
      <c r="U612" t="s">
        <v>1547</v>
      </c>
      <c r="V612" t="s">
        <v>1559</v>
      </c>
      <c r="W612" t="s">
        <v>1562</v>
      </c>
      <c r="X612" t="s">
        <v>1577</v>
      </c>
      <c r="Y612" t="s">
        <v>1588</v>
      </c>
      <c r="Z612" t="s">
        <v>1594</v>
      </c>
      <c r="AA612" t="s">
        <v>1598</v>
      </c>
      <c r="AB612" t="s">
        <v>1600</v>
      </c>
      <c r="AC612" t="s">
        <v>1610</v>
      </c>
      <c r="AD612" t="s">
        <v>1605</v>
      </c>
      <c r="AE612" t="s">
        <v>1617</v>
      </c>
      <c r="AF612" t="s">
        <v>1627</v>
      </c>
    </row>
    <row r="613" spans="1:32" x14ac:dyDescent="0.25">
      <c r="A613" t="s">
        <v>670</v>
      </c>
      <c r="B613">
        <v>35</v>
      </c>
      <c r="C613">
        <v>950</v>
      </c>
      <c r="D613">
        <v>7</v>
      </c>
      <c r="E613">
        <v>59</v>
      </c>
      <c r="F613">
        <v>10221</v>
      </c>
      <c r="G613">
        <v>18869</v>
      </c>
      <c r="H613">
        <v>3</v>
      </c>
      <c r="I613">
        <v>21</v>
      </c>
      <c r="J613">
        <v>17</v>
      </c>
      <c r="K613">
        <v>3</v>
      </c>
      <c r="L613">
        <v>8</v>
      </c>
      <c r="M613">
        <v>5</v>
      </c>
      <c r="N613">
        <v>1</v>
      </c>
      <c r="O613">
        <v>6</v>
      </c>
      <c r="P613" t="s">
        <v>1556</v>
      </c>
      <c r="Q613" t="s">
        <v>1552</v>
      </c>
      <c r="R613" t="s">
        <v>1550</v>
      </c>
      <c r="S613" t="s">
        <v>1534</v>
      </c>
      <c r="T613" t="s">
        <v>1539</v>
      </c>
      <c r="U613" t="s">
        <v>1547</v>
      </c>
      <c r="V613" t="s">
        <v>1559</v>
      </c>
      <c r="W613" t="s">
        <v>1563</v>
      </c>
      <c r="X613" t="s">
        <v>1577</v>
      </c>
      <c r="Y613" t="s">
        <v>1584</v>
      </c>
      <c r="Z613" t="s">
        <v>1593</v>
      </c>
      <c r="AA613" t="s">
        <v>1596</v>
      </c>
      <c r="AB613" t="s">
        <v>1601</v>
      </c>
      <c r="AC613" t="s">
        <v>1611</v>
      </c>
      <c r="AD613" t="s">
        <v>1605</v>
      </c>
      <c r="AE613" t="s">
        <v>1616</v>
      </c>
      <c r="AF613" t="s">
        <v>1628</v>
      </c>
    </row>
    <row r="614" spans="1:32" x14ac:dyDescent="0.25">
      <c r="A614" t="s">
        <v>671</v>
      </c>
      <c r="B614">
        <v>28</v>
      </c>
      <c r="C614">
        <v>760</v>
      </c>
      <c r="D614">
        <v>2</v>
      </c>
      <c r="E614">
        <v>81</v>
      </c>
      <c r="F614">
        <v>4779</v>
      </c>
      <c r="G614">
        <v>3698</v>
      </c>
      <c r="H614">
        <v>1</v>
      </c>
      <c r="I614">
        <v>20</v>
      </c>
      <c r="J614">
        <v>8</v>
      </c>
      <c r="K614">
        <v>2</v>
      </c>
      <c r="L614">
        <v>8</v>
      </c>
      <c r="M614">
        <v>7</v>
      </c>
      <c r="N614">
        <v>7</v>
      </c>
      <c r="O614">
        <v>5</v>
      </c>
      <c r="P614" t="s">
        <v>1556</v>
      </c>
      <c r="Q614" t="s">
        <v>1552</v>
      </c>
      <c r="R614" t="s">
        <v>1549</v>
      </c>
      <c r="S614" t="s">
        <v>1535</v>
      </c>
      <c r="T614" t="s">
        <v>1541</v>
      </c>
      <c r="U614" t="s">
        <v>1546</v>
      </c>
      <c r="V614" t="s">
        <v>1558</v>
      </c>
      <c r="W614" t="s">
        <v>1563</v>
      </c>
      <c r="X614" t="s">
        <v>1576</v>
      </c>
      <c r="Y614" t="s">
        <v>1581</v>
      </c>
      <c r="Z614" t="s">
        <v>1592</v>
      </c>
      <c r="AA614" t="s">
        <v>1597</v>
      </c>
      <c r="AB614" t="s">
        <v>1600</v>
      </c>
      <c r="AC614" t="s">
        <v>1611</v>
      </c>
      <c r="AD614" t="s">
        <v>1604</v>
      </c>
      <c r="AE614" t="s">
        <v>1616</v>
      </c>
      <c r="AF614" t="s">
        <v>1627</v>
      </c>
    </row>
    <row r="615" spans="1:32" x14ac:dyDescent="0.25">
      <c r="A615" t="s">
        <v>672</v>
      </c>
      <c r="B615">
        <v>34</v>
      </c>
      <c r="C615">
        <v>829</v>
      </c>
      <c r="D615">
        <v>3</v>
      </c>
      <c r="E615">
        <v>88</v>
      </c>
      <c r="F615">
        <v>3737</v>
      </c>
      <c r="G615">
        <v>2243</v>
      </c>
      <c r="H615">
        <v>0</v>
      </c>
      <c r="I615">
        <v>19</v>
      </c>
      <c r="J615">
        <v>4</v>
      </c>
      <c r="K615">
        <v>1</v>
      </c>
      <c r="L615">
        <v>3</v>
      </c>
      <c r="M615">
        <v>2</v>
      </c>
      <c r="N615">
        <v>0</v>
      </c>
      <c r="O615">
        <v>2</v>
      </c>
      <c r="P615" t="s">
        <v>1556</v>
      </c>
      <c r="Q615" t="s">
        <v>1552</v>
      </c>
      <c r="R615" t="s">
        <v>1551</v>
      </c>
      <c r="S615" t="s">
        <v>1533</v>
      </c>
      <c r="T615" t="s">
        <v>1543</v>
      </c>
      <c r="U615" t="s">
        <v>1547</v>
      </c>
      <c r="V615" t="s">
        <v>1559</v>
      </c>
      <c r="W615" t="s">
        <v>1563</v>
      </c>
      <c r="X615" t="s">
        <v>1575</v>
      </c>
      <c r="Y615" t="s">
        <v>1589</v>
      </c>
      <c r="Z615" t="s">
        <v>1594</v>
      </c>
      <c r="AA615" t="s">
        <v>1597</v>
      </c>
      <c r="AB615" t="s">
        <v>1601</v>
      </c>
      <c r="AC615" t="s">
        <v>1610</v>
      </c>
      <c r="AD615" t="s">
        <v>1606</v>
      </c>
      <c r="AE615" t="s">
        <v>1617</v>
      </c>
      <c r="AF615" t="s">
        <v>1625</v>
      </c>
    </row>
    <row r="616" spans="1:32" x14ac:dyDescent="0.25">
      <c r="A616" t="s">
        <v>673</v>
      </c>
      <c r="B616">
        <v>26</v>
      </c>
      <c r="C616">
        <v>887</v>
      </c>
      <c r="D616">
        <v>5</v>
      </c>
      <c r="E616">
        <v>88</v>
      </c>
      <c r="F616">
        <v>2366</v>
      </c>
      <c r="G616">
        <v>20898</v>
      </c>
      <c r="H616">
        <v>1</v>
      </c>
      <c r="I616">
        <v>14</v>
      </c>
      <c r="J616">
        <v>8</v>
      </c>
      <c r="K616">
        <v>2</v>
      </c>
      <c r="L616">
        <v>8</v>
      </c>
      <c r="M616">
        <v>7</v>
      </c>
      <c r="N616">
        <v>1</v>
      </c>
      <c r="O616">
        <v>7</v>
      </c>
      <c r="P616" t="s">
        <v>1555</v>
      </c>
      <c r="Q616" t="s">
        <v>1553</v>
      </c>
      <c r="R616" t="s">
        <v>1550</v>
      </c>
      <c r="S616" t="s">
        <v>1533</v>
      </c>
      <c r="T616" t="s">
        <v>1540</v>
      </c>
      <c r="U616" t="s">
        <v>1547</v>
      </c>
      <c r="V616" t="s">
        <v>1558</v>
      </c>
      <c r="W616" t="s">
        <v>1562</v>
      </c>
      <c r="X616" t="s">
        <v>1575</v>
      </c>
      <c r="Y616" t="s">
        <v>1582</v>
      </c>
      <c r="Z616" t="s">
        <v>1593</v>
      </c>
      <c r="AA616" t="s">
        <v>1597</v>
      </c>
      <c r="AB616" t="s">
        <v>1600</v>
      </c>
      <c r="AC616" t="s">
        <v>1610</v>
      </c>
      <c r="AD616" t="s">
        <v>1604</v>
      </c>
      <c r="AE616" t="s">
        <v>1617</v>
      </c>
      <c r="AF616" t="s">
        <v>1627</v>
      </c>
    </row>
    <row r="617" spans="1:32" x14ac:dyDescent="0.25">
      <c r="A617" t="s">
        <v>674</v>
      </c>
      <c r="B617">
        <v>27</v>
      </c>
      <c r="C617">
        <v>443</v>
      </c>
      <c r="D617">
        <v>3</v>
      </c>
      <c r="E617">
        <v>50</v>
      </c>
      <c r="F617">
        <v>1706</v>
      </c>
      <c r="G617">
        <v>16571</v>
      </c>
      <c r="H617">
        <v>1</v>
      </c>
      <c r="I617">
        <v>11</v>
      </c>
      <c r="J617">
        <v>0</v>
      </c>
      <c r="K617">
        <v>6</v>
      </c>
      <c r="L617">
        <v>0</v>
      </c>
      <c r="M617">
        <v>0</v>
      </c>
      <c r="N617">
        <v>0</v>
      </c>
      <c r="O617">
        <v>0</v>
      </c>
      <c r="P617" t="s">
        <v>1556</v>
      </c>
      <c r="Q617" t="s">
        <v>1554</v>
      </c>
      <c r="R617" t="s">
        <v>1550</v>
      </c>
      <c r="S617" t="s">
        <v>1534</v>
      </c>
      <c r="T617" t="s">
        <v>1540</v>
      </c>
      <c r="U617" t="s">
        <v>1548</v>
      </c>
      <c r="V617" t="s">
        <v>1559</v>
      </c>
      <c r="W617" t="s">
        <v>1563</v>
      </c>
      <c r="X617" t="s">
        <v>1575</v>
      </c>
      <c r="Y617" t="s">
        <v>1582</v>
      </c>
      <c r="Z617" t="s">
        <v>1594</v>
      </c>
      <c r="AA617" t="s">
        <v>1597</v>
      </c>
      <c r="AB617" t="s">
        <v>1601</v>
      </c>
      <c r="AC617" t="s">
        <v>1610</v>
      </c>
      <c r="AD617" t="s">
        <v>1606</v>
      </c>
      <c r="AE617" t="s">
        <v>1619</v>
      </c>
      <c r="AF617" t="s">
        <v>1626</v>
      </c>
    </row>
    <row r="618" spans="1:32" x14ac:dyDescent="0.25">
      <c r="A618" t="s">
        <v>675</v>
      </c>
      <c r="B618">
        <v>51</v>
      </c>
      <c r="C618">
        <v>1318</v>
      </c>
      <c r="D618">
        <v>26</v>
      </c>
      <c r="E618">
        <v>66</v>
      </c>
      <c r="F618">
        <v>16307</v>
      </c>
      <c r="G618">
        <v>5594</v>
      </c>
      <c r="H618">
        <v>2</v>
      </c>
      <c r="I618">
        <v>14</v>
      </c>
      <c r="J618">
        <v>29</v>
      </c>
      <c r="K618">
        <v>2</v>
      </c>
      <c r="L618">
        <v>20</v>
      </c>
      <c r="M618">
        <v>6</v>
      </c>
      <c r="N618">
        <v>4</v>
      </c>
      <c r="O618">
        <v>17</v>
      </c>
      <c r="P618" t="s">
        <v>1556</v>
      </c>
      <c r="Q618" t="s">
        <v>1552</v>
      </c>
      <c r="R618" t="s">
        <v>1549</v>
      </c>
      <c r="S618" t="s">
        <v>1535</v>
      </c>
      <c r="T618" t="s">
        <v>1541</v>
      </c>
      <c r="U618" t="s">
        <v>1545</v>
      </c>
      <c r="V618" t="s">
        <v>1558</v>
      </c>
      <c r="W618" t="s">
        <v>1563</v>
      </c>
      <c r="X618" t="s">
        <v>1578</v>
      </c>
      <c r="Y618" t="s">
        <v>1586</v>
      </c>
      <c r="Z618" t="s">
        <v>1593</v>
      </c>
      <c r="AA618" t="s">
        <v>1597</v>
      </c>
      <c r="AB618" t="s">
        <v>1601</v>
      </c>
      <c r="AC618" t="s">
        <v>1610</v>
      </c>
      <c r="AD618" t="s">
        <v>1606</v>
      </c>
      <c r="AE618" t="s">
        <v>1617</v>
      </c>
      <c r="AF618" t="s">
        <v>1626</v>
      </c>
    </row>
    <row r="619" spans="1:32" x14ac:dyDescent="0.25">
      <c r="A619" t="s">
        <v>676</v>
      </c>
      <c r="B619">
        <v>44</v>
      </c>
      <c r="C619">
        <v>625</v>
      </c>
      <c r="D619">
        <v>4</v>
      </c>
      <c r="E619">
        <v>50</v>
      </c>
      <c r="F619">
        <v>5933</v>
      </c>
      <c r="G619">
        <v>5197</v>
      </c>
      <c r="H619">
        <v>9</v>
      </c>
      <c r="I619">
        <v>12</v>
      </c>
      <c r="J619">
        <v>10</v>
      </c>
      <c r="K619">
        <v>2</v>
      </c>
      <c r="L619">
        <v>5</v>
      </c>
      <c r="M619">
        <v>2</v>
      </c>
      <c r="N619">
        <v>2</v>
      </c>
      <c r="O619">
        <v>3</v>
      </c>
      <c r="P619" t="s">
        <v>1556</v>
      </c>
      <c r="Q619" t="s">
        <v>1552</v>
      </c>
      <c r="R619" t="s">
        <v>1550</v>
      </c>
      <c r="S619" t="s">
        <v>1534</v>
      </c>
      <c r="T619" t="s">
        <v>1540</v>
      </c>
      <c r="U619" t="s">
        <v>1548</v>
      </c>
      <c r="V619" t="s">
        <v>1559</v>
      </c>
      <c r="W619" t="s">
        <v>1563</v>
      </c>
      <c r="X619" t="s">
        <v>1576</v>
      </c>
      <c r="Y619" t="s">
        <v>1585</v>
      </c>
      <c r="Z619" t="s">
        <v>1592</v>
      </c>
      <c r="AA619" t="s">
        <v>1596</v>
      </c>
      <c r="AB619" t="s">
        <v>1601</v>
      </c>
      <c r="AC619" t="s">
        <v>1610</v>
      </c>
      <c r="AD619" t="s">
        <v>1607</v>
      </c>
      <c r="AE619" t="s">
        <v>1616</v>
      </c>
      <c r="AF619" t="s">
        <v>1626</v>
      </c>
    </row>
    <row r="620" spans="1:32" x14ac:dyDescent="0.25">
      <c r="A620" t="s">
        <v>677</v>
      </c>
      <c r="B620">
        <v>25</v>
      </c>
      <c r="C620">
        <v>180</v>
      </c>
      <c r="D620">
        <v>2</v>
      </c>
      <c r="E620">
        <v>65</v>
      </c>
      <c r="F620">
        <v>3424</v>
      </c>
      <c r="G620">
        <v>21632</v>
      </c>
      <c r="H620">
        <v>7</v>
      </c>
      <c r="I620">
        <v>13</v>
      </c>
      <c r="J620">
        <v>6</v>
      </c>
      <c r="K620">
        <v>3</v>
      </c>
      <c r="L620">
        <v>4</v>
      </c>
      <c r="M620">
        <v>3</v>
      </c>
      <c r="N620">
        <v>0</v>
      </c>
      <c r="O620">
        <v>1</v>
      </c>
      <c r="P620" t="s">
        <v>1556</v>
      </c>
      <c r="Q620" t="s">
        <v>1552</v>
      </c>
      <c r="R620" t="s">
        <v>1550</v>
      </c>
      <c r="S620" t="s">
        <v>1532</v>
      </c>
      <c r="T620" t="s">
        <v>1540</v>
      </c>
      <c r="U620" t="s">
        <v>1545</v>
      </c>
      <c r="V620" t="s">
        <v>1559</v>
      </c>
      <c r="W620" t="s">
        <v>1564</v>
      </c>
      <c r="X620" t="s">
        <v>1575</v>
      </c>
      <c r="Y620" t="s">
        <v>1582</v>
      </c>
      <c r="Z620" t="s">
        <v>1591</v>
      </c>
      <c r="AA620" t="s">
        <v>1596</v>
      </c>
      <c r="AB620" t="s">
        <v>1601</v>
      </c>
      <c r="AC620" t="s">
        <v>1610</v>
      </c>
      <c r="AD620" t="s">
        <v>1606</v>
      </c>
      <c r="AE620" t="s">
        <v>1616</v>
      </c>
      <c r="AF620" t="s">
        <v>1626</v>
      </c>
    </row>
    <row r="621" spans="1:32" x14ac:dyDescent="0.25">
      <c r="A621" t="s">
        <v>678</v>
      </c>
      <c r="B621">
        <v>33</v>
      </c>
      <c r="C621">
        <v>586</v>
      </c>
      <c r="D621">
        <v>1</v>
      </c>
      <c r="E621">
        <v>48</v>
      </c>
      <c r="F621">
        <v>4037</v>
      </c>
      <c r="G621">
        <v>21816</v>
      </c>
      <c r="H621">
        <v>1</v>
      </c>
      <c r="I621">
        <v>22</v>
      </c>
      <c r="J621">
        <v>9</v>
      </c>
      <c r="K621">
        <v>5</v>
      </c>
      <c r="L621">
        <v>9</v>
      </c>
      <c r="M621">
        <v>8</v>
      </c>
      <c r="N621">
        <v>0</v>
      </c>
      <c r="O621">
        <v>8</v>
      </c>
      <c r="P621" t="s">
        <v>1556</v>
      </c>
      <c r="Q621" t="s">
        <v>1552</v>
      </c>
      <c r="R621" t="s">
        <v>1549</v>
      </c>
      <c r="S621" t="s">
        <v>1534</v>
      </c>
      <c r="T621" t="s">
        <v>1540</v>
      </c>
      <c r="U621" t="s">
        <v>1545</v>
      </c>
      <c r="V621" t="s">
        <v>1559</v>
      </c>
      <c r="W621" t="s">
        <v>1564</v>
      </c>
      <c r="X621" t="s">
        <v>1576</v>
      </c>
      <c r="Y621" t="s">
        <v>1581</v>
      </c>
      <c r="Z621" t="s">
        <v>1591</v>
      </c>
      <c r="AA621" t="s">
        <v>1598</v>
      </c>
      <c r="AB621" t="s">
        <v>1601</v>
      </c>
      <c r="AC621" t="s">
        <v>1611</v>
      </c>
      <c r="AD621" t="s">
        <v>1604</v>
      </c>
      <c r="AE621" t="s">
        <v>1617</v>
      </c>
      <c r="AF621" t="s">
        <v>1627</v>
      </c>
    </row>
    <row r="622" spans="1:32" x14ac:dyDescent="0.25">
      <c r="A622" t="s">
        <v>679</v>
      </c>
      <c r="B622">
        <v>35</v>
      </c>
      <c r="C622">
        <v>1343</v>
      </c>
      <c r="D622">
        <v>27</v>
      </c>
      <c r="E622">
        <v>53</v>
      </c>
      <c r="F622">
        <v>2559</v>
      </c>
      <c r="G622">
        <v>17852</v>
      </c>
      <c r="H622">
        <v>1</v>
      </c>
      <c r="I622">
        <v>11</v>
      </c>
      <c r="J622">
        <v>6</v>
      </c>
      <c r="K622">
        <v>3</v>
      </c>
      <c r="L622">
        <v>6</v>
      </c>
      <c r="M622">
        <v>5</v>
      </c>
      <c r="N622">
        <v>1</v>
      </c>
      <c r="O622">
        <v>1</v>
      </c>
      <c r="P622" t="s">
        <v>1556</v>
      </c>
      <c r="Q622" t="s">
        <v>1552</v>
      </c>
      <c r="R622" t="s">
        <v>1550</v>
      </c>
      <c r="S622" t="s">
        <v>1532</v>
      </c>
      <c r="T622" t="s">
        <v>1540</v>
      </c>
      <c r="U622" t="s">
        <v>1547</v>
      </c>
      <c r="V622" t="s">
        <v>1558</v>
      </c>
      <c r="W622" t="s">
        <v>1562</v>
      </c>
      <c r="X622" t="s">
        <v>1575</v>
      </c>
      <c r="Y622" t="s">
        <v>1582</v>
      </c>
      <c r="Z622" t="s">
        <v>1591</v>
      </c>
      <c r="AA622" t="s">
        <v>1596</v>
      </c>
      <c r="AB622" t="s">
        <v>1601</v>
      </c>
      <c r="AC622" t="s">
        <v>1610</v>
      </c>
      <c r="AD622" t="s">
        <v>1607</v>
      </c>
      <c r="AE622" t="s">
        <v>1616</v>
      </c>
      <c r="AF622" t="s">
        <v>1626</v>
      </c>
    </row>
    <row r="623" spans="1:32" x14ac:dyDescent="0.25">
      <c r="A623" t="s">
        <v>680</v>
      </c>
      <c r="B623">
        <v>36</v>
      </c>
      <c r="C623">
        <v>928</v>
      </c>
      <c r="D623">
        <v>1</v>
      </c>
      <c r="E623">
        <v>56</v>
      </c>
      <c r="F623">
        <v>6201</v>
      </c>
      <c r="G623">
        <v>2823</v>
      </c>
      <c r="H623">
        <v>1</v>
      </c>
      <c r="I623">
        <v>14</v>
      </c>
      <c r="J623">
        <v>18</v>
      </c>
      <c r="K623">
        <v>1</v>
      </c>
      <c r="L623">
        <v>18</v>
      </c>
      <c r="M623">
        <v>14</v>
      </c>
      <c r="N623">
        <v>4</v>
      </c>
      <c r="O623">
        <v>11</v>
      </c>
      <c r="P623" t="s">
        <v>1556</v>
      </c>
      <c r="Q623" t="s">
        <v>1552</v>
      </c>
      <c r="R623" t="s">
        <v>1549</v>
      </c>
      <c r="S623" t="s">
        <v>1533</v>
      </c>
      <c r="T623" t="s">
        <v>1538</v>
      </c>
      <c r="U623" t="s">
        <v>1546</v>
      </c>
      <c r="V623" t="s">
        <v>1559</v>
      </c>
      <c r="W623" t="s">
        <v>1563</v>
      </c>
      <c r="X623" t="s">
        <v>1576</v>
      </c>
      <c r="Y623" t="s">
        <v>1581</v>
      </c>
      <c r="Z623" t="s">
        <v>1594</v>
      </c>
      <c r="AA623" t="s">
        <v>1597</v>
      </c>
      <c r="AB623" t="s">
        <v>1600</v>
      </c>
      <c r="AC623" t="s">
        <v>1610</v>
      </c>
      <c r="AD623" t="s">
        <v>1607</v>
      </c>
      <c r="AE623" t="s">
        <v>1617</v>
      </c>
      <c r="AF623" t="s">
        <v>1626</v>
      </c>
    </row>
    <row r="624" spans="1:32" x14ac:dyDescent="0.25">
      <c r="A624" t="s">
        <v>681</v>
      </c>
      <c r="B624">
        <v>32</v>
      </c>
      <c r="C624">
        <v>117</v>
      </c>
      <c r="D624">
        <v>13</v>
      </c>
      <c r="E624">
        <v>73</v>
      </c>
      <c r="F624">
        <v>4403</v>
      </c>
      <c r="G624">
        <v>9250</v>
      </c>
      <c r="H624">
        <v>2</v>
      </c>
      <c r="I624">
        <v>11</v>
      </c>
      <c r="J624">
        <v>8</v>
      </c>
      <c r="K624">
        <v>3</v>
      </c>
      <c r="L624">
        <v>5</v>
      </c>
      <c r="M624">
        <v>2</v>
      </c>
      <c r="N624">
        <v>0</v>
      </c>
      <c r="O624">
        <v>3</v>
      </c>
      <c r="P624" t="s">
        <v>1556</v>
      </c>
      <c r="Q624" t="s">
        <v>1552</v>
      </c>
      <c r="R624" t="s">
        <v>1549</v>
      </c>
      <c r="S624" t="s">
        <v>1535</v>
      </c>
      <c r="T624" t="s">
        <v>1538</v>
      </c>
      <c r="U624" t="s">
        <v>1546</v>
      </c>
      <c r="V624" t="s">
        <v>1559</v>
      </c>
      <c r="W624" t="s">
        <v>1563</v>
      </c>
      <c r="X624" t="s">
        <v>1576</v>
      </c>
      <c r="Y624" t="s">
        <v>1581</v>
      </c>
      <c r="Z624" t="s">
        <v>1594</v>
      </c>
      <c r="AA624" t="s">
        <v>1598</v>
      </c>
      <c r="AB624" t="s">
        <v>1601</v>
      </c>
      <c r="AC624" t="s">
        <v>1610</v>
      </c>
      <c r="AD624" t="s">
        <v>1606</v>
      </c>
      <c r="AE624" t="s">
        <v>1617</v>
      </c>
      <c r="AF624" t="s">
        <v>1626</v>
      </c>
    </row>
    <row r="625" spans="1:32" x14ac:dyDescent="0.25">
      <c r="A625" t="s">
        <v>682</v>
      </c>
      <c r="B625">
        <v>30</v>
      </c>
      <c r="C625">
        <v>1012</v>
      </c>
      <c r="D625">
        <v>5</v>
      </c>
      <c r="E625">
        <v>75</v>
      </c>
      <c r="F625">
        <v>3761</v>
      </c>
      <c r="G625">
        <v>2373</v>
      </c>
      <c r="H625">
        <v>9</v>
      </c>
      <c r="I625">
        <v>12</v>
      </c>
      <c r="J625">
        <v>10</v>
      </c>
      <c r="K625">
        <v>3</v>
      </c>
      <c r="L625">
        <v>5</v>
      </c>
      <c r="M625">
        <v>4</v>
      </c>
      <c r="N625">
        <v>0</v>
      </c>
      <c r="O625">
        <v>3</v>
      </c>
      <c r="P625" t="s">
        <v>1556</v>
      </c>
      <c r="Q625" t="s">
        <v>1553</v>
      </c>
      <c r="R625" t="s">
        <v>1550</v>
      </c>
      <c r="S625" t="s">
        <v>1535</v>
      </c>
      <c r="T625" t="s">
        <v>1538</v>
      </c>
      <c r="U625" t="s">
        <v>1546</v>
      </c>
      <c r="V625" t="s">
        <v>1559</v>
      </c>
      <c r="W625" t="s">
        <v>1562</v>
      </c>
      <c r="X625" t="s">
        <v>1575</v>
      </c>
      <c r="Y625" t="s">
        <v>1582</v>
      </c>
      <c r="Z625" t="s">
        <v>1594</v>
      </c>
      <c r="AA625" t="s">
        <v>1598</v>
      </c>
      <c r="AB625" t="s">
        <v>1601</v>
      </c>
      <c r="AC625" t="s">
        <v>1610</v>
      </c>
      <c r="AD625" t="s">
        <v>1605</v>
      </c>
      <c r="AE625" t="s">
        <v>1617</v>
      </c>
      <c r="AF625" t="s">
        <v>1626</v>
      </c>
    </row>
    <row r="626" spans="1:32" x14ac:dyDescent="0.25">
      <c r="A626" t="s">
        <v>683</v>
      </c>
      <c r="B626">
        <v>53</v>
      </c>
      <c r="C626">
        <v>661</v>
      </c>
      <c r="D626">
        <v>7</v>
      </c>
      <c r="E626">
        <v>78</v>
      </c>
      <c r="F626">
        <v>10934</v>
      </c>
      <c r="G626">
        <v>20715</v>
      </c>
      <c r="H626">
        <v>7</v>
      </c>
      <c r="I626">
        <v>18</v>
      </c>
      <c r="J626">
        <v>35</v>
      </c>
      <c r="K626">
        <v>3</v>
      </c>
      <c r="L626">
        <v>5</v>
      </c>
      <c r="M626">
        <v>2</v>
      </c>
      <c r="N626">
        <v>0</v>
      </c>
      <c r="O626">
        <v>4</v>
      </c>
      <c r="P626" t="s">
        <v>1556</v>
      </c>
      <c r="Q626" t="s">
        <v>1552</v>
      </c>
      <c r="R626" t="s">
        <v>1549</v>
      </c>
      <c r="S626" t="s">
        <v>1533</v>
      </c>
      <c r="T626" t="s">
        <v>1541</v>
      </c>
      <c r="U626" t="s">
        <v>1545</v>
      </c>
      <c r="V626" t="s">
        <v>1558</v>
      </c>
      <c r="W626" t="s">
        <v>1562</v>
      </c>
      <c r="X626" t="s">
        <v>1577</v>
      </c>
      <c r="Y626" t="s">
        <v>1581</v>
      </c>
      <c r="Z626" t="s">
        <v>1594</v>
      </c>
      <c r="AA626" t="s">
        <v>1597</v>
      </c>
      <c r="AB626" t="s">
        <v>1600</v>
      </c>
      <c r="AC626" t="s">
        <v>1610</v>
      </c>
      <c r="AD626" t="s">
        <v>1607</v>
      </c>
      <c r="AE626" t="s">
        <v>1617</v>
      </c>
      <c r="AF626" t="s">
        <v>1627</v>
      </c>
    </row>
    <row r="627" spans="1:32" x14ac:dyDescent="0.25">
      <c r="A627" t="s">
        <v>684</v>
      </c>
      <c r="B627">
        <v>45</v>
      </c>
      <c r="C627">
        <v>930</v>
      </c>
      <c r="D627">
        <v>9</v>
      </c>
      <c r="E627">
        <v>74</v>
      </c>
      <c r="F627">
        <v>10761</v>
      </c>
      <c r="G627">
        <v>19239</v>
      </c>
      <c r="H627">
        <v>4</v>
      </c>
      <c r="I627">
        <v>12</v>
      </c>
      <c r="J627">
        <v>18</v>
      </c>
      <c r="K627">
        <v>2</v>
      </c>
      <c r="L627">
        <v>5</v>
      </c>
      <c r="M627">
        <v>4</v>
      </c>
      <c r="N627">
        <v>0</v>
      </c>
      <c r="O627">
        <v>2</v>
      </c>
      <c r="P627" t="s">
        <v>1556</v>
      </c>
      <c r="Q627" t="s">
        <v>1552</v>
      </c>
      <c r="R627" t="s">
        <v>1549</v>
      </c>
      <c r="S627" t="s">
        <v>1534</v>
      </c>
      <c r="T627" t="s">
        <v>1541</v>
      </c>
      <c r="U627" t="s">
        <v>1548</v>
      </c>
      <c r="V627" t="s">
        <v>1559</v>
      </c>
      <c r="W627" t="s">
        <v>1563</v>
      </c>
      <c r="X627" t="s">
        <v>1577</v>
      </c>
      <c r="Y627" t="s">
        <v>1581</v>
      </c>
      <c r="Z627" t="s">
        <v>1591</v>
      </c>
      <c r="AA627" t="s">
        <v>1598</v>
      </c>
      <c r="AB627" t="s">
        <v>1600</v>
      </c>
      <c r="AC627" t="s">
        <v>1610</v>
      </c>
      <c r="AD627" t="s">
        <v>1606</v>
      </c>
      <c r="AE627" t="s">
        <v>1617</v>
      </c>
      <c r="AF627" t="s">
        <v>1627</v>
      </c>
    </row>
    <row r="628" spans="1:32" x14ac:dyDescent="0.25">
      <c r="A628" t="s">
        <v>685</v>
      </c>
      <c r="B628">
        <v>32</v>
      </c>
      <c r="C628">
        <v>638</v>
      </c>
      <c r="D628">
        <v>8</v>
      </c>
      <c r="E628">
        <v>91</v>
      </c>
      <c r="F628">
        <v>5175</v>
      </c>
      <c r="G628">
        <v>22162</v>
      </c>
      <c r="H628">
        <v>5</v>
      </c>
      <c r="I628">
        <v>12</v>
      </c>
      <c r="J628">
        <v>9</v>
      </c>
      <c r="K628">
        <v>3</v>
      </c>
      <c r="L628">
        <v>5</v>
      </c>
      <c r="M628">
        <v>3</v>
      </c>
      <c r="N628">
        <v>1</v>
      </c>
      <c r="O628">
        <v>3</v>
      </c>
      <c r="P628" t="s">
        <v>1556</v>
      </c>
      <c r="Q628" t="s">
        <v>1552</v>
      </c>
      <c r="R628" t="s">
        <v>1550</v>
      </c>
      <c r="S628" t="s">
        <v>1533</v>
      </c>
      <c r="T628" t="s">
        <v>1540</v>
      </c>
      <c r="U628" t="s">
        <v>1547</v>
      </c>
      <c r="V628" t="s">
        <v>1558</v>
      </c>
      <c r="W628" t="s">
        <v>1564</v>
      </c>
      <c r="X628" t="s">
        <v>1576</v>
      </c>
      <c r="Y628" t="s">
        <v>1582</v>
      </c>
      <c r="Z628" t="s">
        <v>1593</v>
      </c>
      <c r="AA628" t="s">
        <v>1597</v>
      </c>
      <c r="AB628" t="s">
        <v>1601</v>
      </c>
      <c r="AC628" t="s">
        <v>1610</v>
      </c>
      <c r="AD628" t="s">
        <v>1606</v>
      </c>
      <c r="AE628" t="s">
        <v>1617</v>
      </c>
      <c r="AF628" t="s">
        <v>1626</v>
      </c>
    </row>
    <row r="629" spans="1:32" x14ac:dyDescent="0.25">
      <c r="A629" t="s">
        <v>686</v>
      </c>
      <c r="B629">
        <v>52</v>
      </c>
      <c r="C629">
        <v>890</v>
      </c>
      <c r="D629">
        <v>25</v>
      </c>
      <c r="E629">
        <v>81</v>
      </c>
      <c r="F629">
        <v>13826</v>
      </c>
      <c r="G629">
        <v>19028</v>
      </c>
      <c r="H629">
        <v>3</v>
      </c>
      <c r="I629">
        <v>22</v>
      </c>
      <c r="J629">
        <v>31</v>
      </c>
      <c r="K629">
        <v>3</v>
      </c>
      <c r="L629">
        <v>9</v>
      </c>
      <c r="M629">
        <v>8</v>
      </c>
      <c r="N629">
        <v>0</v>
      </c>
      <c r="O629">
        <v>0</v>
      </c>
      <c r="P629" t="s">
        <v>1556</v>
      </c>
      <c r="Q629" t="s">
        <v>1553</v>
      </c>
      <c r="R629" t="s">
        <v>1550</v>
      </c>
      <c r="S629" t="s">
        <v>1535</v>
      </c>
      <c r="T629" t="s">
        <v>1540</v>
      </c>
      <c r="U629" t="s">
        <v>1547</v>
      </c>
      <c r="V629" t="s">
        <v>1558</v>
      </c>
      <c r="W629" t="s">
        <v>1562</v>
      </c>
      <c r="X629" t="s">
        <v>1578</v>
      </c>
      <c r="Y629" t="s">
        <v>1584</v>
      </c>
      <c r="Z629" t="s">
        <v>1594</v>
      </c>
      <c r="AA629" t="s">
        <v>1597</v>
      </c>
      <c r="AB629" t="s">
        <v>1601</v>
      </c>
      <c r="AC629" t="s">
        <v>1611</v>
      </c>
      <c r="AD629" t="s">
        <v>1606</v>
      </c>
      <c r="AE629" t="s">
        <v>1616</v>
      </c>
      <c r="AF629" t="s">
        <v>1627</v>
      </c>
    </row>
    <row r="630" spans="1:32" x14ac:dyDescent="0.25">
      <c r="A630" t="s">
        <v>687</v>
      </c>
      <c r="B630">
        <v>37</v>
      </c>
      <c r="C630">
        <v>342</v>
      </c>
      <c r="D630">
        <v>16</v>
      </c>
      <c r="E630">
        <v>66</v>
      </c>
      <c r="F630">
        <v>6334</v>
      </c>
      <c r="G630">
        <v>24558</v>
      </c>
      <c r="H630">
        <v>4</v>
      </c>
      <c r="I630">
        <v>19</v>
      </c>
      <c r="J630">
        <v>9</v>
      </c>
      <c r="K630">
        <v>2</v>
      </c>
      <c r="L630">
        <v>1</v>
      </c>
      <c r="M630">
        <v>0</v>
      </c>
      <c r="N630">
        <v>0</v>
      </c>
      <c r="O630">
        <v>0</v>
      </c>
      <c r="P630" t="s">
        <v>1556</v>
      </c>
      <c r="Q630" t="s">
        <v>1552</v>
      </c>
      <c r="R630" t="s">
        <v>1549</v>
      </c>
      <c r="S630" t="s">
        <v>1535</v>
      </c>
      <c r="T630" t="s">
        <v>1541</v>
      </c>
      <c r="U630" t="s">
        <v>1548</v>
      </c>
      <c r="V630" t="s">
        <v>1559</v>
      </c>
      <c r="W630" t="s">
        <v>1562</v>
      </c>
      <c r="X630" t="s">
        <v>1576</v>
      </c>
      <c r="Y630" t="s">
        <v>1581</v>
      </c>
      <c r="Z630" t="s">
        <v>1593</v>
      </c>
      <c r="AA630" t="s">
        <v>1598</v>
      </c>
      <c r="AB630" t="s">
        <v>1601</v>
      </c>
      <c r="AC630" t="s">
        <v>1610</v>
      </c>
      <c r="AD630" t="s">
        <v>1607</v>
      </c>
      <c r="AE630" t="s">
        <v>1618</v>
      </c>
      <c r="AF630" t="s">
        <v>1627</v>
      </c>
    </row>
    <row r="631" spans="1:32" x14ac:dyDescent="0.25">
      <c r="A631" t="s">
        <v>688</v>
      </c>
      <c r="B631">
        <v>28</v>
      </c>
      <c r="C631">
        <v>1169</v>
      </c>
      <c r="D631">
        <v>8</v>
      </c>
      <c r="E631">
        <v>63</v>
      </c>
      <c r="F631">
        <v>4936</v>
      </c>
      <c r="G631">
        <v>23965</v>
      </c>
      <c r="H631">
        <v>1</v>
      </c>
      <c r="I631">
        <v>13</v>
      </c>
      <c r="J631">
        <v>6</v>
      </c>
      <c r="K631">
        <v>6</v>
      </c>
      <c r="L631">
        <v>5</v>
      </c>
      <c r="M631">
        <v>1</v>
      </c>
      <c r="N631">
        <v>0</v>
      </c>
      <c r="O631">
        <v>4</v>
      </c>
      <c r="P631" t="s">
        <v>1556</v>
      </c>
      <c r="Q631" t="s">
        <v>1552</v>
      </c>
      <c r="R631" t="s">
        <v>1551</v>
      </c>
      <c r="S631" t="s">
        <v>1533</v>
      </c>
      <c r="T631" t="s">
        <v>1540</v>
      </c>
      <c r="U631" t="s">
        <v>1546</v>
      </c>
      <c r="V631" t="s">
        <v>1559</v>
      </c>
      <c r="W631" t="s">
        <v>1562</v>
      </c>
      <c r="X631" t="s">
        <v>1575</v>
      </c>
      <c r="Y631" t="s">
        <v>1589</v>
      </c>
      <c r="Z631" t="s">
        <v>1594</v>
      </c>
      <c r="AA631" t="s">
        <v>1598</v>
      </c>
      <c r="AB631" t="s">
        <v>1601</v>
      </c>
      <c r="AC631" t="s">
        <v>1610</v>
      </c>
      <c r="AD631" t="s">
        <v>1607</v>
      </c>
      <c r="AE631" t="s">
        <v>1617</v>
      </c>
      <c r="AF631" t="s">
        <v>1627</v>
      </c>
    </row>
    <row r="632" spans="1:32" x14ac:dyDescent="0.25">
      <c r="A632" t="s">
        <v>689</v>
      </c>
      <c r="B632">
        <v>22</v>
      </c>
      <c r="C632">
        <v>1230</v>
      </c>
      <c r="D632">
        <v>1</v>
      </c>
      <c r="E632">
        <v>33</v>
      </c>
      <c r="F632">
        <v>4775</v>
      </c>
      <c r="G632">
        <v>19146</v>
      </c>
      <c r="H632">
        <v>6</v>
      </c>
      <c r="I632">
        <v>22</v>
      </c>
      <c r="J632">
        <v>4</v>
      </c>
      <c r="K632">
        <v>2</v>
      </c>
      <c r="L632">
        <v>2</v>
      </c>
      <c r="M632">
        <v>2</v>
      </c>
      <c r="N632">
        <v>2</v>
      </c>
      <c r="O632">
        <v>2</v>
      </c>
      <c r="P632" t="s">
        <v>1556</v>
      </c>
      <c r="Q632" t="s">
        <v>1552</v>
      </c>
      <c r="R632" t="s">
        <v>1550</v>
      </c>
      <c r="S632" t="s">
        <v>1533</v>
      </c>
      <c r="T632" t="s">
        <v>1538</v>
      </c>
      <c r="U632" t="s">
        <v>1548</v>
      </c>
      <c r="V632" t="s">
        <v>1559</v>
      </c>
      <c r="W632" t="s">
        <v>1562</v>
      </c>
      <c r="X632" t="s">
        <v>1576</v>
      </c>
      <c r="Y632" t="s">
        <v>1584</v>
      </c>
      <c r="Z632" t="s">
        <v>1594</v>
      </c>
      <c r="AA632" t="s">
        <v>1597</v>
      </c>
      <c r="AB632" t="s">
        <v>1601</v>
      </c>
      <c r="AC632" t="s">
        <v>1611</v>
      </c>
      <c r="AD632" t="s">
        <v>1604</v>
      </c>
      <c r="AE632" t="s">
        <v>1618</v>
      </c>
      <c r="AF632" t="s">
        <v>1625</v>
      </c>
    </row>
    <row r="633" spans="1:32" x14ac:dyDescent="0.25">
      <c r="A633" t="s">
        <v>690</v>
      </c>
      <c r="B633">
        <v>44</v>
      </c>
      <c r="C633">
        <v>986</v>
      </c>
      <c r="D633">
        <v>8</v>
      </c>
      <c r="E633">
        <v>62</v>
      </c>
      <c r="F633">
        <v>2818</v>
      </c>
      <c r="G633">
        <v>5044</v>
      </c>
      <c r="H633">
        <v>2</v>
      </c>
      <c r="I633">
        <v>24</v>
      </c>
      <c r="J633">
        <v>10</v>
      </c>
      <c r="K633">
        <v>2</v>
      </c>
      <c r="L633">
        <v>3</v>
      </c>
      <c r="M633">
        <v>2</v>
      </c>
      <c r="N633">
        <v>0</v>
      </c>
      <c r="O633">
        <v>2</v>
      </c>
      <c r="P633" t="s">
        <v>1556</v>
      </c>
      <c r="Q633" t="s">
        <v>1552</v>
      </c>
      <c r="R633" t="s">
        <v>1550</v>
      </c>
      <c r="S633" t="s">
        <v>1535</v>
      </c>
      <c r="T633" t="s">
        <v>1538</v>
      </c>
      <c r="U633" t="s">
        <v>1545</v>
      </c>
      <c r="V633" t="s">
        <v>1559</v>
      </c>
      <c r="W633" t="s">
        <v>1564</v>
      </c>
      <c r="X633" t="s">
        <v>1575</v>
      </c>
      <c r="Y633" t="s">
        <v>1583</v>
      </c>
      <c r="Z633" t="s">
        <v>1594</v>
      </c>
      <c r="AA633" t="s">
        <v>1597</v>
      </c>
      <c r="AB633" t="s">
        <v>1600</v>
      </c>
      <c r="AC633" t="s">
        <v>1611</v>
      </c>
      <c r="AD633" t="s">
        <v>1606</v>
      </c>
      <c r="AE633" t="s">
        <v>1617</v>
      </c>
      <c r="AF633" t="s">
        <v>1626</v>
      </c>
    </row>
    <row r="634" spans="1:32" x14ac:dyDescent="0.25">
      <c r="A634" t="s">
        <v>691</v>
      </c>
      <c r="B634">
        <v>42</v>
      </c>
      <c r="C634">
        <v>1271</v>
      </c>
      <c r="D634">
        <v>2</v>
      </c>
      <c r="E634">
        <v>35</v>
      </c>
      <c r="F634">
        <v>2515</v>
      </c>
      <c r="G634">
        <v>9068</v>
      </c>
      <c r="H634">
        <v>5</v>
      </c>
      <c r="I634">
        <v>14</v>
      </c>
      <c r="J634">
        <v>8</v>
      </c>
      <c r="K634">
        <v>2</v>
      </c>
      <c r="L634">
        <v>2</v>
      </c>
      <c r="M634">
        <v>1</v>
      </c>
      <c r="N634">
        <v>2</v>
      </c>
      <c r="O634">
        <v>2</v>
      </c>
      <c r="P634" t="s">
        <v>1556</v>
      </c>
      <c r="Q634" t="s">
        <v>1553</v>
      </c>
      <c r="R634" t="s">
        <v>1550</v>
      </c>
      <c r="S634" t="s">
        <v>1532</v>
      </c>
      <c r="T634" t="s">
        <v>1540</v>
      </c>
      <c r="U634" t="s">
        <v>1546</v>
      </c>
      <c r="V634" t="s">
        <v>1559</v>
      </c>
      <c r="W634" t="s">
        <v>1563</v>
      </c>
      <c r="X634" t="s">
        <v>1575</v>
      </c>
      <c r="Y634" t="s">
        <v>1582</v>
      </c>
      <c r="Z634" t="s">
        <v>1594</v>
      </c>
      <c r="AA634" t="s">
        <v>1596</v>
      </c>
      <c r="AB634" t="s">
        <v>1600</v>
      </c>
      <c r="AC634" t="s">
        <v>1610</v>
      </c>
      <c r="AD634" t="s">
        <v>1607</v>
      </c>
      <c r="AE634" t="s">
        <v>1616</v>
      </c>
      <c r="AF634" t="s">
        <v>1627</v>
      </c>
    </row>
    <row r="635" spans="1:32" x14ac:dyDescent="0.25">
      <c r="A635" t="s">
        <v>692</v>
      </c>
      <c r="B635">
        <v>36</v>
      </c>
      <c r="C635">
        <v>1278</v>
      </c>
      <c r="D635">
        <v>8</v>
      </c>
      <c r="E635">
        <v>77</v>
      </c>
      <c r="F635">
        <v>2342</v>
      </c>
      <c r="G635">
        <v>8635</v>
      </c>
      <c r="H635">
        <v>0</v>
      </c>
      <c r="I635">
        <v>21</v>
      </c>
      <c r="J635">
        <v>6</v>
      </c>
      <c r="K635">
        <v>3</v>
      </c>
      <c r="L635">
        <v>5</v>
      </c>
      <c r="M635">
        <v>4</v>
      </c>
      <c r="N635">
        <v>0</v>
      </c>
      <c r="O635">
        <v>3</v>
      </c>
      <c r="P635" t="s">
        <v>1556</v>
      </c>
      <c r="Q635" t="s">
        <v>1552</v>
      </c>
      <c r="R635" t="s">
        <v>1551</v>
      </c>
      <c r="S635" t="s">
        <v>1534</v>
      </c>
      <c r="T635" t="s">
        <v>1538</v>
      </c>
      <c r="U635" t="s">
        <v>1545</v>
      </c>
      <c r="V635" t="s">
        <v>1559</v>
      </c>
      <c r="W635" t="s">
        <v>1562</v>
      </c>
      <c r="X635" t="s">
        <v>1575</v>
      </c>
      <c r="Y635" t="s">
        <v>1589</v>
      </c>
      <c r="Z635" t="s">
        <v>1591</v>
      </c>
      <c r="AA635" t="s">
        <v>1597</v>
      </c>
      <c r="AB635" t="s">
        <v>1601</v>
      </c>
      <c r="AC635" t="s">
        <v>1611</v>
      </c>
      <c r="AD635" t="s">
        <v>1606</v>
      </c>
      <c r="AE635" t="s">
        <v>1616</v>
      </c>
      <c r="AF635" t="s">
        <v>1627</v>
      </c>
    </row>
    <row r="636" spans="1:32" x14ac:dyDescent="0.25">
      <c r="A636" t="s">
        <v>693</v>
      </c>
      <c r="B636">
        <v>25</v>
      </c>
      <c r="C636">
        <v>141</v>
      </c>
      <c r="D636">
        <v>3</v>
      </c>
      <c r="E636">
        <v>98</v>
      </c>
      <c r="F636">
        <v>4194</v>
      </c>
      <c r="G636">
        <v>14363</v>
      </c>
      <c r="H636">
        <v>1</v>
      </c>
      <c r="I636">
        <v>18</v>
      </c>
      <c r="J636">
        <v>5</v>
      </c>
      <c r="K636">
        <v>3</v>
      </c>
      <c r="L636">
        <v>5</v>
      </c>
      <c r="M636">
        <v>3</v>
      </c>
      <c r="N636">
        <v>0</v>
      </c>
      <c r="O636">
        <v>3</v>
      </c>
      <c r="P636" t="s">
        <v>1556</v>
      </c>
      <c r="Q636" t="s">
        <v>1552</v>
      </c>
      <c r="R636" t="s">
        <v>1549</v>
      </c>
      <c r="S636" t="s">
        <v>1532</v>
      </c>
      <c r="T636" t="s">
        <v>1539</v>
      </c>
      <c r="U636" t="s">
        <v>1547</v>
      </c>
      <c r="V636" t="s">
        <v>1559</v>
      </c>
      <c r="W636" t="s">
        <v>1563</v>
      </c>
      <c r="X636" t="s">
        <v>1576</v>
      </c>
      <c r="Y636" t="s">
        <v>1581</v>
      </c>
      <c r="Z636" t="s">
        <v>1591</v>
      </c>
      <c r="AA636" t="s">
        <v>1597</v>
      </c>
      <c r="AB636" t="s">
        <v>1600</v>
      </c>
      <c r="AC636" t="s">
        <v>1610</v>
      </c>
      <c r="AD636" t="s">
        <v>1607</v>
      </c>
      <c r="AE636" t="s">
        <v>1616</v>
      </c>
      <c r="AF636" t="s">
        <v>1627</v>
      </c>
    </row>
    <row r="637" spans="1:32" x14ac:dyDescent="0.25">
      <c r="A637" t="s">
        <v>694</v>
      </c>
      <c r="B637">
        <v>35</v>
      </c>
      <c r="C637">
        <v>607</v>
      </c>
      <c r="D637">
        <v>9</v>
      </c>
      <c r="E637">
        <v>66</v>
      </c>
      <c r="F637">
        <v>10685</v>
      </c>
      <c r="G637">
        <v>23457</v>
      </c>
      <c r="H637">
        <v>1</v>
      </c>
      <c r="I637">
        <v>20</v>
      </c>
      <c r="J637">
        <v>17</v>
      </c>
      <c r="K637">
        <v>2</v>
      </c>
      <c r="L637">
        <v>17</v>
      </c>
      <c r="M637">
        <v>14</v>
      </c>
      <c r="N637">
        <v>5</v>
      </c>
      <c r="O637">
        <v>15</v>
      </c>
      <c r="P637" t="s">
        <v>1556</v>
      </c>
      <c r="Q637" t="s">
        <v>1552</v>
      </c>
      <c r="R637" t="s">
        <v>1550</v>
      </c>
      <c r="S637" t="s">
        <v>1534</v>
      </c>
      <c r="T637" t="s">
        <v>1538</v>
      </c>
      <c r="U637" t="s">
        <v>1548</v>
      </c>
      <c r="V637" t="s">
        <v>1558</v>
      </c>
      <c r="W637" t="s">
        <v>1562</v>
      </c>
      <c r="X637" t="s">
        <v>1577</v>
      </c>
      <c r="Y637" t="s">
        <v>1584</v>
      </c>
      <c r="Z637" t="s">
        <v>1593</v>
      </c>
      <c r="AA637" t="s">
        <v>1597</v>
      </c>
      <c r="AB637" t="s">
        <v>1600</v>
      </c>
      <c r="AC637" t="s">
        <v>1611</v>
      </c>
      <c r="AD637" t="s">
        <v>1605</v>
      </c>
      <c r="AE637" t="s">
        <v>1617</v>
      </c>
      <c r="AF637" t="s">
        <v>1627</v>
      </c>
    </row>
    <row r="638" spans="1:32" x14ac:dyDescent="0.25">
      <c r="A638" t="s">
        <v>695</v>
      </c>
      <c r="B638">
        <v>35</v>
      </c>
      <c r="C638">
        <v>130</v>
      </c>
      <c r="D638">
        <v>25</v>
      </c>
      <c r="E638">
        <v>96</v>
      </c>
      <c r="F638">
        <v>2022</v>
      </c>
      <c r="G638">
        <v>16612</v>
      </c>
      <c r="H638">
        <v>1</v>
      </c>
      <c r="I638">
        <v>19</v>
      </c>
      <c r="J638">
        <v>10</v>
      </c>
      <c r="K638">
        <v>3</v>
      </c>
      <c r="L638">
        <v>10</v>
      </c>
      <c r="M638">
        <v>2</v>
      </c>
      <c r="N638">
        <v>7</v>
      </c>
      <c r="O638">
        <v>8</v>
      </c>
      <c r="P638" t="s">
        <v>1555</v>
      </c>
      <c r="Q638" t="s">
        <v>1553</v>
      </c>
      <c r="R638" t="s">
        <v>1550</v>
      </c>
      <c r="S638" t="s">
        <v>1535</v>
      </c>
      <c r="T638" t="s">
        <v>1538</v>
      </c>
      <c r="U638" t="s">
        <v>1548</v>
      </c>
      <c r="V638" t="s">
        <v>1558</v>
      </c>
      <c r="W638" t="s">
        <v>1563</v>
      </c>
      <c r="X638" t="s">
        <v>1575</v>
      </c>
      <c r="Y638" t="s">
        <v>1582</v>
      </c>
      <c r="Z638" t="s">
        <v>1592</v>
      </c>
      <c r="AA638" t="s">
        <v>1598</v>
      </c>
      <c r="AB638" t="s">
        <v>1600</v>
      </c>
      <c r="AC638" t="s">
        <v>1610</v>
      </c>
      <c r="AD638" t="s">
        <v>1604</v>
      </c>
      <c r="AE638" t="s">
        <v>1617</v>
      </c>
      <c r="AF638" t="s">
        <v>1626</v>
      </c>
    </row>
    <row r="639" spans="1:32" x14ac:dyDescent="0.25">
      <c r="A639" t="s">
        <v>696</v>
      </c>
      <c r="B639">
        <v>32</v>
      </c>
      <c r="C639">
        <v>300</v>
      </c>
      <c r="D639">
        <v>1</v>
      </c>
      <c r="E639">
        <v>61</v>
      </c>
      <c r="F639">
        <v>2314</v>
      </c>
      <c r="G639">
        <v>9148</v>
      </c>
      <c r="H639">
        <v>0</v>
      </c>
      <c r="I639">
        <v>12</v>
      </c>
      <c r="J639">
        <v>4</v>
      </c>
      <c r="K639">
        <v>2</v>
      </c>
      <c r="L639">
        <v>3</v>
      </c>
      <c r="M639">
        <v>0</v>
      </c>
      <c r="N639">
        <v>0</v>
      </c>
      <c r="O639">
        <v>2</v>
      </c>
      <c r="P639" t="s">
        <v>1556</v>
      </c>
      <c r="Q639" t="s">
        <v>1554</v>
      </c>
      <c r="R639" t="s">
        <v>1550</v>
      </c>
      <c r="S639" t="s">
        <v>1534</v>
      </c>
      <c r="T639" t="s">
        <v>1538</v>
      </c>
      <c r="U639" t="s">
        <v>1548</v>
      </c>
      <c r="V639" t="s">
        <v>1559</v>
      </c>
      <c r="W639" t="s">
        <v>1563</v>
      </c>
      <c r="X639" t="s">
        <v>1575</v>
      </c>
      <c r="Y639" t="s">
        <v>1583</v>
      </c>
      <c r="Z639" t="s">
        <v>1594</v>
      </c>
      <c r="AA639" t="s">
        <v>1598</v>
      </c>
      <c r="AB639" t="s">
        <v>1601</v>
      </c>
      <c r="AC639" t="s">
        <v>1610</v>
      </c>
      <c r="AD639" t="s">
        <v>1605</v>
      </c>
      <c r="AE639" t="s">
        <v>1617</v>
      </c>
      <c r="AF639" t="s">
        <v>1627</v>
      </c>
    </row>
    <row r="640" spans="1:32" x14ac:dyDescent="0.25">
      <c r="A640" t="s">
        <v>697</v>
      </c>
      <c r="B640">
        <v>25</v>
      </c>
      <c r="C640">
        <v>583</v>
      </c>
      <c r="D640">
        <v>4</v>
      </c>
      <c r="E640">
        <v>87</v>
      </c>
      <c r="F640">
        <v>4256</v>
      </c>
      <c r="G640">
        <v>18154</v>
      </c>
      <c r="H640">
        <v>1</v>
      </c>
      <c r="I640">
        <v>12</v>
      </c>
      <c r="J640">
        <v>5</v>
      </c>
      <c r="K640">
        <v>1</v>
      </c>
      <c r="L640">
        <v>5</v>
      </c>
      <c r="M640">
        <v>2</v>
      </c>
      <c r="N640">
        <v>0</v>
      </c>
      <c r="O640">
        <v>3</v>
      </c>
      <c r="P640" t="s">
        <v>1556</v>
      </c>
      <c r="Q640" t="s">
        <v>1552</v>
      </c>
      <c r="R640" t="s">
        <v>1549</v>
      </c>
      <c r="S640" t="s">
        <v>1532</v>
      </c>
      <c r="T640" t="s">
        <v>1541</v>
      </c>
      <c r="U640" t="s">
        <v>1547</v>
      </c>
      <c r="V640" t="s">
        <v>1559</v>
      </c>
      <c r="W640" t="s">
        <v>1562</v>
      </c>
      <c r="X640" t="s">
        <v>1576</v>
      </c>
      <c r="Y640" t="s">
        <v>1581</v>
      </c>
      <c r="Z640" t="s">
        <v>1591</v>
      </c>
      <c r="AA640" t="s">
        <v>1597</v>
      </c>
      <c r="AB640" t="s">
        <v>1601</v>
      </c>
      <c r="AC640" t="s">
        <v>1610</v>
      </c>
      <c r="AD640" t="s">
        <v>1604</v>
      </c>
      <c r="AE640" t="s">
        <v>1616</v>
      </c>
      <c r="AF640" t="s">
        <v>1628</v>
      </c>
    </row>
    <row r="641" spans="1:32" x14ac:dyDescent="0.25">
      <c r="A641" t="s">
        <v>698</v>
      </c>
      <c r="B641">
        <v>49</v>
      </c>
      <c r="C641">
        <v>1418</v>
      </c>
      <c r="D641">
        <v>1</v>
      </c>
      <c r="E641">
        <v>36</v>
      </c>
      <c r="F641">
        <v>3580</v>
      </c>
      <c r="G641">
        <v>10554</v>
      </c>
      <c r="H641">
        <v>2</v>
      </c>
      <c r="I641">
        <v>16</v>
      </c>
      <c r="J641">
        <v>7</v>
      </c>
      <c r="K641">
        <v>2</v>
      </c>
      <c r="L641">
        <v>4</v>
      </c>
      <c r="M641">
        <v>2</v>
      </c>
      <c r="N641">
        <v>0</v>
      </c>
      <c r="O641">
        <v>2</v>
      </c>
      <c r="P641" t="s">
        <v>1556</v>
      </c>
      <c r="Q641" t="s">
        <v>1552</v>
      </c>
      <c r="R641" t="s">
        <v>1550</v>
      </c>
      <c r="S641" t="s">
        <v>1534</v>
      </c>
      <c r="T641" t="s">
        <v>1542</v>
      </c>
      <c r="U641" t="s">
        <v>1547</v>
      </c>
      <c r="V641" t="s">
        <v>1558</v>
      </c>
      <c r="W641" t="s">
        <v>1563</v>
      </c>
      <c r="X641" t="s">
        <v>1575</v>
      </c>
      <c r="Y641" t="s">
        <v>1582</v>
      </c>
      <c r="Z641" t="s">
        <v>1591</v>
      </c>
      <c r="AA641" t="s">
        <v>1597</v>
      </c>
      <c r="AB641" t="s">
        <v>1601</v>
      </c>
      <c r="AC641" t="s">
        <v>1610</v>
      </c>
      <c r="AD641" t="s">
        <v>1605</v>
      </c>
      <c r="AE641" t="s">
        <v>1617</v>
      </c>
      <c r="AF641" t="s">
        <v>1627</v>
      </c>
    </row>
    <row r="642" spans="1:32" x14ac:dyDescent="0.25">
      <c r="A642" t="s">
        <v>699</v>
      </c>
      <c r="B642">
        <v>24</v>
      </c>
      <c r="C642">
        <v>1269</v>
      </c>
      <c r="D642">
        <v>4</v>
      </c>
      <c r="E642">
        <v>46</v>
      </c>
      <c r="F642">
        <v>3162</v>
      </c>
      <c r="G642">
        <v>10778</v>
      </c>
      <c r="H642">
        <v>0</v>
      </c>
      <c r="I642">
        <v>17</v>
      </c>
      <c r="J642">
        <v>6</v>
      </c>
      <c r="K642">
        <v>2</v>
      </c>
      <c r="L642">
        <v>5</v>
      </c>
      <c r="M642">
        <v>2</v>
      </c>
      <c r="N642">
        <v>3</v>
      </c>
      <c r="O642">
        <v>4</v>
      </c>
      <c r="P642" t="s">
        <v>1556</v>
      </c>
      <c r="Q642" t="s">
        <v>1554</v>
      </c>
      <c r="R642" t="s">
        <v>1550</v>
      </c>
      <c r="S642" t="s">
        <v>1532</v>
      </c>
      <c r="T642" t="s">
        <v>1538</v>
      </c>
      <c r="U642" t="s">
        <v>1545</v>
      </c>
      <c r="V642" t="s">
        <v>1559</v>
      </c>
      <c r="W642" t="s">
        <v>1562</v>
      </c>
      <c r="X642" t="s">
        <v>1575</v>
      </c>
      <c r="Y642" t="s">
        <v>1583</v>
      </c>
      <c r="Z642" t="s">
        <v>1594</v>
      </c>
      <c r="AA642" t="s">
        <v>1597</v>
      </c>
      <c r="AB642" t="s">
        <v>1601</v>
      </c>
      <c r="AC642" t="s">
        <v>1610</v>
      </c>
      <c r="AD642" t="s">
        <v>1607</v>
      </c>
      <c r="AE642" t="s">
        <v>1616</v>
      </c>
      <c r="AF642" t="s">
        <v>1626</v>
      </c>
    </row>
    <row r="643" spans="1:32" x14ac:dyDescent="0.25">
      <c r="A643" t="s">
        <v>700</v>
      </c>
      <c r="B643">
        <v>32</v>
      </c>
      <c r="C643">
        <v>379</v>
      </c>
      <c r="D643">
        <v>5</v>
      </c>
      <c r="E643">
        <v>48</v>
      </c>
      <c r="F643">
        <v>6524</v>
      </c>
      <c r="G643">
        <v>8891</v>
      </c>
      <c r="H643">
        <v>1</v>
      </c>
      <c r="I643">
        <v>14</v>
      </c>
      <c r="J643">
        <v>10</v>
      </c>
      <c r="K643">
        <v>3</v>
      </c>
      <c r="L643">
        <v>10</v>
      </c>
      <c r="M643">
        <v>8</v>
      </c>
      <c r="N643">
        <v>5</v>
      </c>
      <c r="O643">
        <v>3</v>
      </c>
      <c r="P643" t="s">
        <v>1556</v>
      </c>
      <c r="Q643" t="s">
        <v>1553</v>
      </c>
      <c r="R643" t="s">
        <v>1549</v>
      </c>
      <c r="S643" t="s">
        <v>1533</v>
      </c>
      <c r="T643" t="s">
        <v>1538</v>
      </c>
      <c r="U643" t="s">
        <v>1546</v>
      </c>
      <c r="V643" t="s">
        <v>1559</v>
      </c>
      <c r="W643" t="s">
        <v>1563</v>
      </c>
      <c r="X643" t="s">
        <v>1576</v>
      </c>
      <c r="Y643" t="s">
        <v>1581</v>
      </c>
      <c r="Z643" t="s">
        <v>1592</v>
      </c>
      <c r="AA643" t="s">
        <v>1597</v>
      </c>
      <c r="AB643" t="s">
        <v>1601</v>
      </c>
      <c r="AC643" t="s">
        <v>1610</v>
      </c>
      <c r="AD643" t="s">
        <v>1607</v>
      </c>
      <c r="AE643" t="s">
        <v>1617</v>
      </c>
      <c r="AF643" t="s">
        <v>1627</v>
      </c>
    </row>
    <row r="644" spans="1:32" x14ac:dyDescent="0.25">
      <c r="A644" t="s">
        <v>701</v>
      </c>
      <c r="B644">
        <v>38</v>
      </c>
      <c r="C644">
        <v>395</v>
      </c>
      <c r="D644">
        <v>9</v>
      </c>
      <c r="E644">
        <v>98</v>
      </c>
      <c r="F644">
        <v>2899</v>
      </c>
      <c r="G644">
        <v>12102</v>
      </c>
      <c r="H644">
        <v>0</v>
      </c>
      <c r="I644">
        <v>19</v>
      </c>
      <c r="J644">
        <v>3</v>
      </c>
      <c r="K644">
        <v>3</v>
      </c>
      <c r="L644">
        <v>2</v>
      </c>
      <c r="M644">
        <v>2</v>
      </c>
      <c r="N644">
        <v>1</v>
      </c>
      <c r="O644">
        <v>2</v>
      </c>
      <c r="P644" t="s">
        <v>1556</v>
      </c>
      <c r="Q644" t="s">
        <v>1552</v>
      </c>
      <c r="R644" t="s">
        <v>1549</v>
      </c>
      <c r="S644" t="s">
        <v>1534</v>
      </c>
      <c r="T644" t="s">
        <v>1541</v>
      </c>
      <c r="U644" t="s">
        <v>1546</v>
      </c>
      <c r="V644" t="s">
        <v>1559</v>
      </c>
      <c r="W644" t="s">
        <v>1562</v>
      </c>
      <c r="X644" t="s">
        <v>1575</v>
      </c>
      <c r="Y644" t="s">
        <v>1587</v>
      </c>
      <c r="Z644" t="s">
        <v>1592</v>
      </c>
      <c r="AA644" t="s">
        <v>1597</v>
      </c>
      <c r="AB644" t="s">
        <v>1601</v>
      </c>
      <c r="AC644" t="s">
        <v>1610</v>
      </c>
      <c r="AD644" t="s">
        <v>1607</v>
      </c>
      <c r="AE644" t="s">
        <v>1617</v>
      </c>
      <c r="AF644" t="s">
        <v>1627</v>
      </c>
    </row>
    <row r="645" spans="1:32" x14ac:dyDescent="0.25">
      <c r="A645" t="s">
        <v>702</v>
      </c>
      <c r="B645">
        <v>42</v>
      </c>
      <c r="C645">
        <v>1265</v>
      </c>
      <c r="D645">
        <v>3</v>
      </c>
      <c r="E645">
        <v>95</v>
      </c>
      <c r="F645">
        <v>5231</v>
      </c>
      <c r="G645">
        <v>23726</v>
      </c>
      <c r="H645">
        <v>2</v>
      </c>
      <c r="I645">
        <v>13</v>
      </c>
      <c r="J645">
        <v>17</v>
      </c>
      <c r="K645">
        <v>1</v>
      </c>
      <c r="L645">
        <v>5</v>
      </c>
      <c r="M645">
        <v>3</v>
      </c>
      <c r="N645">
        <v>1</v>
      </c>
      <c r="O645">
        <v>3</v>
      </c>
      <c r="P645" t="s">
        <v>1556</v>
      </c>
      <c r="Q645" t="s">
        <v>1552</v>
      </c>
      <c r="R645" t="s">
        <v>1550</v>
      </c>
      <c r="S645" t="s">
        <v>1534</v>
      </c>
      <c r="T645" t="s">
        <v>1538</v>
      </c>
      <c r="U645" t="s">
        <v>1547</v>
      </c>
      <c r="V645" t="s">
        <v>1558</v>
      </c>
      <c r="W645" t="s">
        <v>1564</v>
      </c>
      <c r="X645" t="s">
        <v>1576</v>
      </c>
      <c r="Y645" t="s">
        <v>1583</v>
      </c>
      <c r="Z645" t="s">
        <v>1594</v>
      </c>
      <c r="AA645" t="s">
        <v>1597</v>
      </c>
      <c r="AB645" t="s">
        <v>1600</v>
      </c>
      <c r="AC645" t="s">
        <v>1610</v>
      </c>
      <c r="AD645" t="s">
        <v>1605</v>
      </c>
      <c r="AE645" t="s">
        <v>1617</v>
      </c>
      <c r="AF645" t="s">
        <v>1626</v>
      </c>
    </row>
    <row r="646" spans="1:32" x14ac:dyDescent="0.25">
      <c r="A646" t="s">
        <v>703</v>
      </c>
      <c r="B646">
        <v>31</v>
      </c>
      <c r="C646">
        <v>1222</v>
      </c>
      <c r="D646">
        <v>11</v>
      </c>
      <c r="E646">
        <v>48</v>
      </c>
      <c r="F646">
        <v>2356</v>
      </c>
      <c r="G646">
        <v>14871</v>
      </c>
      <c r="H646">
        <v>3</v>
      </c>
      <c r="I646">
        <v>19</v>
      </c>
      <c r="J646">
        <v>8</v>
      </c>
      <c r="K646">
        <v>2</v>
      </c>
      <c r="L646">
        <v>6</v>
      </c>
      <c r="M646">
        <v>4</v>
      </c>
      <c r="N646">
        <v>0</v>
      </c>
      <c r="O646">
        <v>2</v>
      </c>
      <c r="P646" t="s">
        <v>1556</v>
      </c>
      <c r="Q646" t="s">
        <v>1552</v>
      </c>
      <c r="R646" t="s">
        <v>1550</v>
      </c>
      <c r="S646" t="s">
        <v>1535</v>
      </c>
      <c r="T646" t="s">
        <v>1538</v>
      </c>
      <c r="U646" t="s">
        <v>1548</v>
      </c>
      <c r="V646" t="s">
        <v>1559</v>
      </c>
      <c r="W646" t="s">
        <v>1563</v>
      </c>
      <c r="X646" t="s">
        <v>1575</v>
      </c>
      <c r="Y646" t="s">
        <v>1582</v>
      </c>
      <c r="Z646" t="s">
        <v>1594</v>
      </c>
      <c r="AA646" t="s">
        <v>1597</v>
      </c>
      <c r="AB646" t="s">
        <v>1600</v>
      </c>
      <c r="AC646" t="s">
        <v>1610</v>
      </c>
      <c r="AD646" t="s">
        <v>1605</v>
      </c>
      <c r="AE646" t="s">
        <v>1617</v>
      </c>
      <c r="AF646" t="s">
        <v>1627</v>
      </c>
    </row>
    <row r="647" spans="1:32" x14ac:dyDescent="0.25">
      <c r="A647" t="s">
        <v>704</v>
      </c>
      <c r="B647">
        <v>29</v>
      </c>
      <c r="C647">
        <v>341</v>
      </c>
      <c r="D647">
        <v>1</v>
      </c>
      <c r="E647">
        <v>48</v>
      </c>
      <c r="F647">
        <v>2800</v>
      </c>
      <c r="G647">
        <v>23522</v>
      </c>
      <c r="H647">
        <v>6</v>
      </c>
      <c r="I647">
        <v>19</v>
      </c>
      <c r="J647">
        <v>5</v>
      </c>
      <c r="K647">
        <v>3</v>
      </c>
      <c r="L647">
        <v>3</v>
      </c>
      <c r="M647">
        <v>2</v>
      </c>
      <c r="N647">
        <v>0</v>
      </c>
      <c r="O647">
        <v>2</v>
      </c>
      <c r="P647" t="s">
        <v>1555</v>
      </c>
      <c r="Q647" t="s">
        <v>1552</v>
      </c>
      <c r="R647" t="s">
        <v>1549</v>
      </c>
      <c r="S647" t="s">
        <v>1534</v>
      </c>
      <c r="T647" t="s">
        <v>1540</v>
      </c>
      <c r="U647" t="s">
        <v>1546</v>
      </c>
      <c r="V647" t="s">
        <v>1558</v>
      </c>
      <c r="W647" t="s">
        <v>1562</v>
      </c>
      <c r="X647" t="s">
        <v>1575</v>
      </c>
      <c r="Y647" t="s">
        <v>1587</v>
      </c>
      <c r="Z647" t="s">
        <v>1593</v>
      </c>
      <c r="AA647" t="s">
        <v>1598</v>
      </c>
      <c r="AB647" t="s">
        <v>1600</v>
      </c>
      <c r="AC647" t="s">
        <v>1610</v>
      </c>
      <c r="AD647" t="s">
        <v>1606</v>
      </c>
      <c r="AE647" t="s">
        <v>1619</v>
      </c>
      <c r="AF647" t="s">
        <v>1627</v>
      </c>
    </row>
    <row r="648" spans="1:32" x14ac:dyDescent="0.25">
      <c r="A648" t="s">
        <v>705</v>
      </c>
      <c r="B648">
        <v>53</v>
      </c>
      <c r="C648">
        <v>868</v>
      </c>
      <c r="D648">
        <v>8</v>
      </c>
      <c r="E648">
        <v>73</v>
      </c>
      <c r="F648">
        <v>11836</v>
      </c>
      <c r="G648">
        <v>22789</v>
      </c>
      <c r="H648">
        <v>5</v>
      </c>
      <c r="I648">
        <v>14</v>
      </c>
      <c r="J648">
        <v>28</v>
      </c>
      <c r="K648">
        <v>3</v>
      </c>
      <c r="L648">
        <v>2</v>
      </c>
      <c r="M648">
        <v>0</v>
      </c>
      <c r="N648">
        <v>2</v>
      </c>
      <c r="O648">
        <v>2</v>
      </c>
      <c r="P648" t="s">
        <v>1556</v>
      </c>
      <c r="Q648" t="s">
        <v>1552</v>
      </c>
      <c r="R648" t="s">
        <v>1549</v>
      </c>
      <c r="S648" t="s">
        <v>1534</v>
      </c>
      <c r="T648" t="s">
        <v>1541</v>
      </c>
      <c r="U648" t="s">
        <v>1545</v>
      </c>
      <c r="V648" t="s">
        <v>1559</v>
      </c>
      <c r="W648" t="s">
        <v>1563</v>
      </c>
      <c r="X648" t="s">
        <v>1578</v>
      </c>
      <c r="Y648" t="s">
        <v>1581</v>
      </c>
      <c r="Z648" t="s">
        <v>1594</v>
      </c>
      <c r="AA648" t="s">
        <v>1597</v>
      </c>
      <c r="AB648" t="s">
        <v>1601</v>
      </c>
      <c r="AC648" t="s">
        <v>1610</v>
      </c>
      <c r="AD648" t="s">
        <v>1606</v>
      </c>
      <c r="AE648" t="s">
        <v>1617</v>
      </c>
      <c r="AF648" t="s">
        <v>1627</v>
      </c>
    </row>
    <row r="649" spans="1:32" x14ac:dyDescent="0.25">
      <c r="A649" t="s">
        <v>706</v>
      </c>
      <c r="B649">
        <v>35</v>
      </c>
      <c r="C649">
        <v>672</v>
      </c>
      <c r="D649">
        <v>25</v>
      </c>
      <c r="E649">
        <v>78</v>
      </c>
      <c r="F649">
        <v>10903</v>
      </c>
      <c r="G649">
        <v>9129</v>
      </c>
      <c r="H649">
        <v>3</v>
      </c>
      <c r="I649">
        <v>16</v>
      </c>
      <c r="J649">
        <v>16</v>
      </c>
      <c r="K649">
        <v>2</v>
      </c>
      <c r="L649">
        <v>13</v>
      </c>
      <c r="M649">
        <v>10</v>
      </c>
      <c r="N649">
        <v>4</v>
      </c>
      <c r="O649">
        <v>8</v>
      </c>
      <c r="P649" t="s">
        <v>1556</v>
      </c>
      <c r="Q649" t="s">
        <v>1552</v>
      </c>
      <c r="R649" t="s">
        <v>1550</v>
      </c>
      <c r="S649" t="s">
        <v>1534</v>
      </c>
      <c r="T649" t="s">
        <v>1542</v>
      </c>
      <c r="U649" t="s">
        <v>1548</v>
      </c>
      <c r="V649" t="s">
        <v>1559</v>
      </c>
      <c r="W649" t="s">
        <v>1562</v>
      </c>
      <c r="X649" t="s">
        <v>1577</v>
      </c>
      <c r="Y649" t="s">
        <v>1584</v>
      </c>
      <c r="Z649" t="s">
        <v>1592</v>
      </c>
      <c r="AA649" t="s">
        <v>1597</v>
      </c>
      <c r="AB649" t="s">
        <v>1601</v>
      </c>
      <c r="AC649" t="s">
        <v>1610</v>
      </c>
      <c r="AD649" t="s">
        <v>1604</v>
      </c>
      <c r="AE649" t="s">
        <v>1616</v>
      </c>
      <c r="AF649" t="s">
        <v>1627</v>
      </c>
    </row>
    <row r="650" spans="1:32" x14ac:dyDescent="0.25">
      <c r="A650" t="s">
        <v>707</v>
      </c>
      <c r="B650">
        <v>37</v>
      </c>
      <c r="C650">
        <v>1231</v>
      </c>
      <c r="D650">
        <v>21</v>
      </c>
      <c r="E650">
        <v>54</v>
      </c>
      <c r="F650">
        <v>2973</v>
      </c>
      <c r="G650">
        <v>21222</v>
      </c>
      <c r="H650">
        <v>5</v>
      </c>
      <c r="I650">
        <v>15</v>
      </c>
      <c r="J650">
        <v>10</v>
      </c>
      <c r="K650">
        <v>3</v>
      </c>
      <c r="L650">
        <v>5</v>
      </c>
      <c r="M650">
        <v>4</v>
      </c>
      <c r="N650">
        <v>0</v>
      </c>
      <c r="O650">
        <v>0</v>
      </c>
      <c r="P650" t="s">
        <v>1556</v>
      </c>
      <c r="Q650" t="s">
        <v>1553</v>
      </c>
      <c r="R650" t="s">
        <v>1549</v>
      </c>
      <c r="S650" t="s">
        <v>1533</v>
      </c>
      <c r="T650" t="s">
        <v>1540</v>
      </c>
      <c r="U650" t="s">
        <v>1547</v>
      </c>
      <c r="V650" t="s">
        <v>1558</v>
      </c>
      <c r="W650" t="s">
        <v>1563</v>
      </c>
      <c r="X650" t="s">
        <v>1575</v>
      </c>
      <c r="Y650" t="s">
        <v>1587</v>
      </c>
      <c r="Z650" t="s">
        <v>1594</v>
      </c>
      <c r="AA650" t="s">
        <v>1597</v>
      </c>
      <c r="AB650" t="s">
        <v>1601</v>
      </c>
      <c r="AC650" t="s">
        <v>1610</v>
      </c>
      <c r="AD650" t="s">
        <v>1605</v>
      </c>
      <c r="AE650" t="s">
        <v>1617</v>
      </c>
      <c r="AF650" t="s">
        <v>1627</v>
      </c>
    </row>
    <row r="651" spans="1:32" x14ac:dyDescent="0.25">
      <c r="A651" t="s">
        <v>708</v>
      </c>
      <c r="B651">
        <v>53</v>
      </c>
      <c r="C651">
        <v>102</v>
      </c>
      <c r="D651">
        <v>23</v>
      </c>
      <c r="E651">
        <v>72</v>
      </c>
      <c r="F651">
        <v>14275</v>
      </c>
      <c r="G651">
        <v>20206</v>
      </c>
      <c r="H651">
        <v>6</v>
      </c>
      <c r="I651">
        <v>18</v>
      </c>
      <c r="J651">
        <v>33</v>
      </c>
      <c r="K651">
        <v>0</v>
      </c>
      <c r="L651">
        <v>12</v>
      </c>
      <c r="M651">
        <v>9</v>
      </c>
      <c r="N651">
        <v>3</v>
      </c>
      <c r="O651">
        <v>8</v>
      </c>
      <c r="P651" t="s">
        <v>1556</v>
      </c>
      <c r="Q651" t="s">
        <v>1552</v>
      </c>
      <c r="R651" t="s">
        <v>1550</v>
      </c>
      <c r="S651" t="s">
        <v>1535</v>
      </c>
      <c r="T651" t="s">
        <v>1538</v>
      </c>
      <c r="U651" t="s">
        <v>1548</v>
      </c>
      <c r="V651" t="s">
        <v>1558</v>
      </c>
      <c r="W651" t="s">
        <v>1563</v>
      </c>
      <c r="X651" t="s">
        <v>1578</v>
      </c>
      <c r="Y651" t="s">
        <v>1588</v>
      </c>
      <c r="Z651" t="s">
        <v>1594</v>
      </c>
      <c r="AA651" t="s">
        <v>1596</v>
      </c>
      <c r="AB651" t="s">
        <v>1601</v>
      </c>
      <c r="AC651" t="s">
        <v>1610</v>
      </c>
      <c r="AD651" t="s">
        <v>1606</v>
      </c>
      <c r="AE651" t="s">
        <v>1616</v>
      </c>
      <c r="AF651" t="s">
        <v>1627</v>
      </c>
    </row>
    <row r="652" spans="1:32" x14ac:dyDescent="0.25">
      <c r="A652" t="s">
        <v>709</v>
      </c>
      <c r="B652">
        <v>43</v>
      </c>
      <c r="C652">
        <v>422</v>
      </c>
      <c r="D652">
        <v>1</v>
      </c>
      <c r="E652">
        <v>33</v>
      </c>
      <c r="F652">
        <v>5562</v>
      </c>
      <c r="G652">
        <v>21782</v>
      </c>
      <c r="H652">
        <v>4</v>
      </c>
      <c r="I652">
        <v>13</v>
      </c>
      <c r="J652">
        <v>12</v>
      </c>
      <c r="K652">
        <v>2</v>
      </c>
      <c r="L652">
        <v>5</v>
      </c>
      <c r="M652">
        <v>2</v>
      </c>
      <c r="N652">
        <v>2</v>
      </c>
      <c r="O652">
        <v>2</v>
      </c>
      <c r="P652" t="s">
        <v>1556</v>
      </c>
      <c r="Q652" t="s">
        <v>1553</v>
      </c>
      <c r="R652" t="s">
        <v>1550</v>
      </c>
      <c r="S652" t="s">
        <v>1534</v>
      </c>
      <c r="T652" t="s">
        <v>1538</v>
      </c>
      <c r="U652" t="s">
        <v>1548</v>
      </c>
      <c r="V652" t="s">
        <v>1558</v>
      </c>
      <c r="W652" t="s">
        <v>1563</v>
      </c>
      <c r="X652" t="s">
        <v>1576</v>
      </c>
      <c r="Y652" t="s">
        <v>1585</v>
      </c>
      <c r="Z652" t="s">
        <v>1594</v>
      </c>
      <c r="AA652" t="s">
        <v>1597</v>
      </c>
      <c r="AB652" t="s">
        <v>1601</v>
      </c>
      <c r="AC652" t="s">
        <v>1610</v>
      </c>
      <c r="AD652" t="s">
        <v>1605</v>
      </c>
      <c r="AE652" t="s">
        <v>1617</v>
      </c>
      <c r="AF652" t="s">
        <v>1626</v>
      </c>
    </row>
    <row r="653" spans="1:32" x14ac:dyDescent="0.25">
      <c r="A653" t="s">
        <v>710</v>
      </c>
      <c r="B653">
        <v>47</v>
      </c>
      <c r="C653">
        <v>249</v>
      </c>
      <c r="D653">
        <v>2</v>
      </c>
      <c r="E653">
        <v>35</v>
      </c>
      <c r="F653">
        <v>4537</v>
      </c>
      <c r="G653">
        <v>17783</v>
      </c>
      <c r="H653">
        <v>0</v>
      </c>
      <c r="I653">
        <v>22</v>
      </c>
      <c r="J653">
        <v>8</v>
      </c>
      <c r="K653">
        <v>2</v>
      </c>
      <c r="L653">
        <v>7</v>
      </c>
      <c r="M653">
        <v>6</v>
      </c>
      <c r="N653">
        <v>7</v>
      </c>
      <c r="O653">
        <v>7</v>
      </c>
      <c r="P653" t="s">
        <v>1556</v>
      </c>
      <c r="Q653" t="s">
        <v>1552</v>
      </c>
      <c r="R653" t="s">
        <v>1549</v>
      </c>
      <c r="S653" t="s">
        <v>1533</v>
      </c>
      <c r="T653" t="s">
        <v>1541</v>
      </c>
      <c r="U653" t="s">
        <v>1547</v>
      </c>
      <c r="V653" t="s">
        <v>1558</v>
      </c>
      <c r="W653" t="s">
        <v>1563</v>
      </c>
      <c r="X653" t="s">
        <v>1576</v>
      </c>
      <c r="Y653" t="s">
        <v>1581</v>
      </c>
      <c r="Z653" t="s">
        <v>1594</v>
      </c>
      <c r="AA653" t="s">
        <v>1597</v>
      </c>
      <c r="AB653" t="s">
        <v>1600</v>
      </c>
      <c r="AC653" t="s">
        <v>1611</v>
      </c>
      <c r="AD653" t="s">
        <v>1604</v>
      </c>
      <c r="AE653" t="s">
        <v>1617</v>
      </c>
      <c r="AF653" t="s">
        <v>1627</v>
      </c>
    </row>
    <row r="654" spans="1:32" x14ac:dyDescent="0.25">
      <c r="A654" t="s">
        <v>711</v>
      </c>
      <c r="B654">
        <v>37</v>
      </c>
      <c r="C654">
        <v>1252</v>
      </c>
      <c r="D654">
        <v>19</v>
      </c>
      <c r="E654">
        <v>32</v>
      </c>
      <c r="F654">
        <v>7642</v>
      </c>
      <c r="G654">
        <v>4814</v>
      </c>
      <c r="H654">
        <v>1</v>
      </c>
      <c r="I654">
        <v>13</v>
      </c>
      <c r="J654">
        <v>10</v>
      </c>
      <c r="K654">
        <v>2</v>
      </c>
      <c r="L654">
        <v>10</v>
      </c>
      <c r="M654">
        <v>0</v>
      </c>
      <c r="N654">
        <v>0</v>
      </c>
      <c r="O654">
        <v>9</v>
      </c>
      <c r="P654" t="s">
        <v>1556</v>
      </c>
      <c r="Q654" t="s">
        <v>1554</v>
      </c>
      <c r="R654" t="s">
        <v>1549</v>
      </c>
      <c r="S654" t="s">
        <v>1533</v>
      </c>
      <c r="T654" t="s">
        <v>1540</v>
      </c>
      <c r="U654" t="s">
        <v>1545</v>
      </c>
      <c r="V654" t="s">
        <v>1559</v>
      </c>
      <c r="W654" t="s">
        <v>1563</v>
      </c>
      <c r="X654" t="s">
        <v>1577</v>
      </c>
      <c r="Y654" t="s">
        <v>1581</v>
      </c>
      <c r="Z654" t="s">
        <v>1592</v>
      </c>
      <c r="AA654" t="s">
        <v>1596</v>
      </c>
      <c r="AB654" t="s">
        <v>1600</v>
      </c>
      <c r="AC654" t="s">
        <v>1610</v>
      </c>
      <c r="AD654" t="s">
        <v>1607</v>
      </c>
      <c r="AE654" t="s">
        <v>1616</v>
      </c>
      <c r="AF654" t="s">
        <v>1627</v>
      </c>
    </row>
    <row r="655" spans="1:32" x14ac:dyDescent="0.25">
      <c r="A655" t="s">
        <v>712</v>
      </c>
      <c r="B655">
        <v>50</v>
      </c>
      <c r="C655">
        <v>881</v>
      </c>
      <c r="D655">
        <v>2</v>
      </c>
      <c r="E655">
        <v>98</v>
      </c>
      <c r="F655">
        <v>17924</v>
      </c>
      <c r="G655">
        <v>4544</v>
      </c>
      <c r="H655">
        <v>1</v>
      </c>
      <c r="I655">
        <v>11</v>
      </c>
      <c r="J655">
        <v>31</v>
      </c>
      <c r="K655">
        <v>3</v>
      </c>
      <c r="L655">
        <v>31</v>
      </c>
      <c r="M655">
        <v>6</v>
      </c>
      <c r="N655">
        <v>14</v>
      </c>
      <c r="O655">
        <v>7</v>
      </c>
      <c r="P655" t="s">
        <v>1556</v>
      </c>
      <c r="Q655" t="s">
        <v>1554</v>
      </c>
      <c r="R655" t="s">
        <v>1550</v>
      </c>
      <c r="S655" t="s">
        <v>1535</v>
      </c>
      <c r="T655" t="s">
        <v>1538</v>
      </c>
      <c r="U655" t="s">
        <v>1545</v>
      </c>
      <c r="V655" t="s">
        <v>1559</v>
      </c>
      <c r="W655" t="s">
        <v>1563</v>
      </c>
      <c r="X655" t="s">
        <v>1578</v>
      </c>
      <c r="Y655" t="s">
        <v>1586</v>
      </c>
      <c r="Z655" t="s">
        <v>1591</v>
      </c>
      <c r="AA655" t="s">
        <v>1598</v>
      </c>
      <c r="AB655" t="s">
        <v>1601</v>
      </c>
      <c r="AC655" t="s">
        <v>1610</v>
      </c>
      <c r="AD655" t="s">
        <v>1607</v>
      </c>
      <c r="AE655" t="s">
        <v>1617</v>
      </c>
      <c r="AF655" t="s">
        <v>1627</v>
      </c>
    </row>
    <row r="656" spans="1:32" x14ac:dyDescent="0.25">
      <c r="A656" t="s">
        <v>713</v>
      </c>
      <c r="B656">
        <v>39</v>
      </c>
      <c r="C656">
        <v>1383</v>
      </c>
      <c r="D656">
        <v>2</v>
      </c>
      <c r="E656">
        <v>42</v>
      </c>
      <c r="F656">
        <v>5204</v>
      </c>
      <c r="G656">
        <v>7790</v>
      </c>
      <c r="H656">
        <v>8</v>
      </c>
      <c r="I656">
        <v>11</v>
      </c>
      <c r="J656">
        <v>13</v>
      </c>
      <c r="K656">
        <v>2</v>
      </c>
      <c r="L656">
        <v>5</v>
      </c>
      <c r="M656">
        <v>4</v>
      </c>
      <c r="N656">
        <v>0</v>
      </c>
      <c r="O656">
        <v>4</v>
      </c>
      <c r="P656" t="s">
        <v>1556</v>
      </c>
      <c r="Q656" t="s">
        <v>1552</v>
      </c>
      <c r="R656" t="s">
        <v>1551</v>
      </c>
      <c r="S656" t="s">
        <v>1534</v>
      </c>
      <c r="T656" t="s">
        <v>1538</v>
      </c>
      <c r="U656" t="s">
        <v>1548</v>
      </c>
      <c r="V656" t="s">
        <v>1558</v>
      </c>
      <c r="W656" t="s">
        <v>1562</v>
      </c>
      <c r="X656" t="s">
        <v>1576</v>
      </c>
      <c r="Y656" t="s">
        <v>1589</v>
      </c>
      <c r="Z656" t="s">
        <v>1594</v>
      </c>
      <c r="AA656" t="s">
        <v>1597</v>
      </c>
      <c r="AB656" t="s">
        <v>1601</v>
      </c>
      <c r="AC656" t="s">
        <v>1610</v>
      </c>
      <c r="AD656" t="s">
        <v>1606</v>
      </c>
      <c r="AE656" t="s">
        <v>1618</v>
      </c>
      <c r="AF656" t="s">
        <v>1627</v>
      </c>
    </row>
    <row r="657" spans="1:32" x14ac:dyDescent="0.25">
      <c r="A657" t="s">
        <v>714</v>
      </c>
      <c r="B657">
        <v>33</v>
      </c>
      <c r="C657">
        <v>1075</v>
      </c>
      <c r="D657">
        <v>3</v>
      </c>
      <c r="E657">
        <v>57</v>
      </c>
      <c r="F657">
        <v>2277</v>
      </c>
      <c r="G657">
        <v>22650</v>
      </c>
      <c r="H657">
        <v>3</v>
      </c>
      <c r="I657">
        <v>11</v>
      </c>
      <c r="J657">
        <v>7</v>
      </c>
      <c r="K657">
        <v>4</v>
      </c>
      <c r="L657">
        <v>4</v>
      </c>
      <c r="M657">
        <v>3</v>
      </c>
      <c r="N657">
        <v>0</v>
      </c>
      <c r="O657">
        <v>3</v>
      </c>
      <c r="P657" t="s">
        <v>1556</v>
      </c>
      <c r="Q657" t="s">
        <v>1552</v>
      </c>
      <c r="R657" t="s">
        <v>1551</v>
      </c>
      <c r="S657" t="s">
        <v>1533</v>
      </c>
      <c r="T657" t="s">
        <v>1543</v>
      </c>
      <c r="U657" t="s">
        <v>1548</v>
      </c>
      <c r="V657" t="s">
        <v>1559</v>
      </c>
      <c r="W657" t="s">
        <v>1563</v>
      </c>
      <c r="X657" t="s">
        <v>1575</v>
      </c>
      <c r="Y657" t="s">
        <v>1589</v>
      </c>
      <c r="Z657" t="s">
        <v>1592</v>
      </c>
      <c r="AA657" t="s">
        <v>1598</v>
      </c>
      <c r="AB657" t="s">
        <v>1600</v>
      </c>
      <c r="AC657" t="s">
        <v>1610</v>
      </c>
      <c r="AD657" t="s">
        <v>1606</v>
      </c>
      <c r="AE657" t="s">
        <v>1617</v>
      </c>
      <c r="AF657" t="s">
        <v>1628</v>
      </c>
    </row>
    <row r="658" spans="1:32" x14ac:dyDescent="0.25">
      <c r="A658" t="s">
        <v>715</v>
      </c>
      <c r="B658">
        <v>32</v>
      </c>
      <c r="C658">
        <v>374</v>
      </c>
      <c r="D658">
        <v>25</v>
      </c>
      <c r="E658">
        <v>87</v>
      </c>
      <c r="F658">
        <v>2795</v>
      </c>
      <c r="G658">
        <v>18016</v>
      </c>
      <c r="H658">
        <v>1</v>
      </c>
      <c r="I658">
        <v>24</v>
      </c>
      <c r="J658">
        <v>1</v>
      </c>
      <c r="K658">
        <v>2</v>
      </c>
      <c r="L658">
        <v>1</v>
      </c>
      <c r="M658">
        <v>0</v>
      </c>
      <c r="N658">
        <v>0</v>
      </c>
      <c r="O658">
        <v>1</v>
      </c>
      <c r="P658" t="s">
        <v>1555</v>
      </c>
      <c r="Q658" t="s">
        <v>1552</v>
      </c>
      <c r="R658" t="s">
        <v>1550</v>
      </c>
      <c r="S658" t="s">
        <v>1535</v>
      </c>
      <c r="T658" t="s">
        <v>1538</v>
      </c>
      <c r="U658" t="s">
        <v>1545</v>
      </c>
      <c r="V658" t="s">
        <v>1559</v>
      </c>
      <c r="W658" t="s">
        <v>1563</v>
      </c>
      <c r="X658" t="s">
        <v>1575</v>
      </c>
      <c r="Y658" t="s">
        <v>1583</v>
      </c>
      <c r="Z658" t="s">
        <v>1594</v>
      </c>
      <c r="AA658" t="s">
        <v>1596</v>
      </c>
      <c r="AB658" t="s">
        <v>1600</v>
      </c>
      <c r="AC658" t="s">
        <v>1611</v>
      </c>
      <c r="AD658" t="s">
        <v>1606</v>
      </c>
      <c r="AE658" t="s">
        <v>1616</v>
      </c>
      <c r="AF658" t="s">
        <v>1625</v>
      </c>
    </row>
    <row r="659" spans="1:32" x14ac:dyDescent="0.25">
      <c r="A659" t="s">
        <v>716</v>
      </c>
      <c r="B659">
        <v>29</v>
      </c>
      <c r="C659">
        <v>1086</v>
      </c>
      <c r="D659">
        <v>7</v>
      </c>
      <c r="E659">
        <v>62</v>
      </c>
      <c r="F659">
        <v>2532</v>
      </c>
      <c r="G659">
        <v>6054</v>
      </c>
      <c r="H659">
        <v>6</v>
      </c>
      <c r="I659">
        <v>14</v>
      </c>
      <c r="J659">
        <v>8</v>
      </c>
      <c r="K659">
        <v>5</v>
      </c>
      <c r="L659">
        <v>4</v>
      </c>
      <c r="M659">
        <v>3</v>
      </c>
      <c r="N659">
        <v>0</v>
      </c>
      <c r="O659">
        <v>3</v>
      </c>
      <c r="P659" t="s">
        <v>1556</v>
      </c>
      <c r="Q659" t="s">
        <v>1552</v>
      </c>
      <c r="R659" t="s">
        <v>1550</v>
      </c>
      <c r="S659" t="s">
        <v>1532</v>
      </c>
      <c r="T659" t="s">
        <v>1540</v>
      </c>
      <c r="U659" t="s">
        <v>1545</v>
      </c>
      <c r="V659" t="s">
        <v>1558</v>
      </c>
      <c r="W659" t="s">
        <v>1562</v>
      </c>
      <c r="X659" t="s">
        <v>1575</v>
      </c>
      <c r="Y659" t="s">
        <v>1583</v>
      </c>
      <c r="Z659" t="s">
        <v>1594</v>
      </c>
      <c r="AA659" t="s">
        <v>1598</v>
      </c>
      <c r="AB659" t="s">
        <v>1601</v>
      </c>
      <c r="AC659" t="s">
        <v>1610</v>
      </c>
      <c r="AD659" t="s">
        <v>1606</v>
      </c>
      <c r="AE659" t="s">
        <v>1619</v>
      </c>
      <c r="AF659" t="s">
        <v>1627</v>
      </c>
    </row>
    <row r="660" spans="1:32" x14ac:dyDescent="0.25">
      <c r="A660" t="s">
        <v>717</v>
      </c>
      <c r="B660">
        <v>44</v>
      </c>
      <c r="C660">
        <v>661</v>
      </c>
      <c r="D660">
        <v>9</v>
      </c>
      <c r="E660">
        <v>61</v>
      </c>
      <c r="F660">
        <v>2559</v>
      </c>
      <c r="G660">
        <v>7508</v>
      </c>
      <c r="H660">
        <v>1</v>
      </c>
      <c r="I660">
        <v>13</v>
      </c>
      <c r="J660">
        <v>8</v>
      </c>
      <c r="K660">
        <v>0</v>
      </c>
      <c r="L660">
        <v>8</v>
      </c>
      <c r="M660">
        <v>7</v>
      </c>
      <c r="N660">
        <v>7</v>
      </c>
      <c r="O660">
        <v>1</v>
      </c>
      <c r="P660" t="s">
        <v>1556</v>
      </c>
      <c r="Q660" t="s">
        <v>1552</v>
      </c>
      <c r="R660" t="s">
        <v>1550</v>
      </c>
      <c r="S660" t="s">
        <v>1533</v>
      </c>
      <c r="T660" t="s">
        <v>1538</v>
      </c>
      <c r="U660" t="s">
        <v>1546</v>
      </c>
      <c r="V660" t="s">
        <v>1559</v>
      </c>
      <c r="W660" t="s">
        <v>1563</v>
      </c>
      <c r="X660" t="s">
        <v>1575</v>
      </c>
      <c r="Y660" t="s">
        <v>1582</v>
      </c>
      <c r="Z660" t="s">
        <v>1591</v>
      </c>
      <c r="AA660" t="s">
        <v>1597</v>
      </c>
      <c r="AB660" t="s">
        <v>1600</v>
      </c>
      <c r="AC660" t="s">
        <v>1610</v>
      </c>
      <c r="AD660" t="s">
        <v>1607</v>
      </c>
      <c r="AE660" t="s">
        <v>1616</v>
      </c>
      <c r="AF660" t="s">
        <v>1627</v>
      </c>
    </row>
    <row r="661" spans="1:32" x14ac:dyDescent="0.25">
      <c r="A661" t="s">
        <v>718</v>
      </c>
      <c r="B661">
        <v>28</v>
      </c>
      <c r="C661">
        <v>821</v>
      </c>
      <c r="D661">
        <v>5</v>
      </c>
      <c r="E661">
        <v>98</v>
      </c>
      <c r="F661">
        <v>4908</v>
      </c>
      <c r="G661">
        <v>24252</v>
      </c>
      <c r="H661">
        <v>1</v>
      </c>
      <c r="I661">
        <v>14</v>
      </c>
      <c r="J661">
        <v>4</v>
      </c>
      <c r="K661">
        <v>3</v>
      </c>
      <c r="L661">
        <v>4</v>
      </c>
      <c r="M661">
        <v>2</v>
      </c>
      <c r="N661">
        <v>0</v>
      </c>
      <c r="O661">
        <v>2</v>
      </c>
      <c r="P661" t="s">
        <v>1556</v>
      </c>
      <c r="Q661" t="s">
        <v>1552</v>
      </c>
      <c r="R661" t="s">
        <v>1549</v>
      </c>
      <c r="S661" t="s">
        <v>1535</v>
      </c>
      <c r="T661" t="s">
        <v>1540</v>
      </c>
      <c r="U661" t="s">
        <v>1545</v>
      </c>
      <c r="V661" t="s">
        <v>1559</v>
      </c>
      <c r="W661" t="s">
        <v>1563</v>
      </c>
      <c r="X661" t="s">
        <v>1576</v>
      </c>
      <c r="Y661" t="s">
        <v>1581</v>
      </c>
      <c r="Z661" t="s">
        <v>1594</v>
      </c>
      <c r="AA661" t="s">
        <v>1596</v>
      </c>
      <c r="AB661" t="s">
        <v>1601</v>
      </c>
      <c r="AC661" t="s">
        <v>1610</v>
      </c>
      <c r="AD661" t="s">
        <v>1605</v>
      </c>
      <c r="AE661" t="s">
        <v>1616</v>
      </c>
      <c r="AF661" t="s">
        <v>1627</v>
      </c>
    </row>
    <row r="662" spans="1:32" x14ac:dyDescent="0.25">
      <c r="A662" t="s">
        <v>719</v>
      </c>
      <c r="B662">
        <v>58</v>
      </c>
      <c r="C662">
        <v>781</v>
      </c>
      <c r="D662">
        <v>2</v>
      </c>
      <c r="E662">
        <v>57</v>
      </c>
      <c r="F662">
        <v>2380</v>
      </c>
      <c r="G662">
        <v>13384</v>
      </c>
      <c r="H662">
        <v>9</v>
      </c>
      <c r="I662">
        <v>14</v>
      </c>
      <c r="J662">
        <v>3</v>
      </c>
      <c r="K662">
        <v>3</v>
      </c>
      <c r="L662">
        <v>1</v>
      </c>
      <c r="M662">
        <v>0</v>
      </c>
      <c r="N662">
        <v>0</v>
      </c>
      <c r="O662">
        <v>0</v>
      </c>
      <c r="P662" t="s">
        <v>1555</v>
      </c>
      <c r="Q662" t="s">
        <v>1553</v>
      </c>
      <c r="R662" t="s">
        <v>1550</v>
      </c>
      <c r="S662" t="s">
        <v>1532</v>
      </c>
      <c r="T662" t="s">
        <v>1538</v>
      </c>
      <c r="U662" t="s">
        <v>1548</v>
      </c>
      <c r="V662" t="s">
        <v>1559</v>
      </c>
      <c r="W662" t="s">
        <v>1562</v>
      </c>
      <c r="X662" t="s">
        <v>1575</v>
      </c>
      <c r="Y662" t="s">
        <v>1583</v>
      </c>
      <c r="Z662" t="s">
        <v>1594</v>
      </c>
      <c r="AA662" t="s">
        <v>1598</v>
      </c>
      <c r="AB662" t="s">
        <v>1600</v>
      </c>
      <c r="AC662" t="s">
        <v>1610</v>
      </c>
      <c r="AD662" t="s">
        <v>1607</v>
      </c>
      <c r="AE662" t="s">
        <v>1617</v>
      </c>
      <c r="AF662" t="s">
        <v>1626</v>
      </c>
    </row>
    <row r="663" spans="1:32" x14ac:dyDescent="0.25">
      <c r="A663" t="s">
        <v>720</v>
      </c>
      <c r="B663">
        <v>43</v>
      </c>
      <c r="C663">
        <v>177</v>
      </c>
      <c r="D663">
        <v>8</v>
      </c>
      <c r="E663">
        <v>55</v>
      </c>
      <c r="F663">
        <v>4765</v>
      </c>
      <c r="G663">
        <v>23814</v>
      </c>
      <c r="H663">
        <v>4</v>
      </c>
      <c r="I663">
        <v>21</v>
      </c>
      <c r="J663">
        <v>4</v>
      </c>
      <c r="K663">
        <v>2</v>
      </c>
      <c r="L663">
        <v>1</v>
      </c>
      <c r="M663">
        <v>0</v>
      </c>
      <c r="N663">
        <v>0</v>
      </c>
      <c r="O663">
        <v>0</v>
      </c>
      <c r="P663" t="s">
        <v>1556</v>
      </c>
      <c r="Q663" t="s">
        <v>1552</v>
      </c>
      <c r="R663" t="s">
        <v>1550</v>
      </c>
      <c r="S663" t="s">
        <v>1534</v>
      </c>
      <c r="T663" t="s">
        <v>1538</v>
      </c>
      <c r="U663" t="s">
        <v>1545</v>
      </c>
      <c r="V663" t="s">
        <v>1558</v>
      </c>
      <c r="W663" t="s">
        <v>1563</v>
      </c>
      <c r="X663" t="s">
        <v>1576</v>
      </c>
      <c r="Y663" t="s">
        <v>1584</v>
      </c>
      <c r="Z663" t="s">
        <v>1592</v>
      </c>
      <c r="AA663" t="s">
        <v>1598</v>
      </c>
      <c r="AB663" t="s">
        <v>1601</v>
      </c>
      <c r="AC663" t="s">
        <v>1611</v>
      </c>
      <c r="AD663" t="s">
        <v>1606</v>
      </c>
      <c r="AE663" t="s">
        <v>1617</v>
      </c>
      <c r="AF663" t="s">
        <v>1628</v>
      </c>
    </row>
    <row r="664" spans="1:32" x14ac:dyDescent="0.25">
      <c r="A664" t="s">
        <v>721</v>
      </c>
      <c r="B664">
        <v>20</v>
      </c>
      <c r="C664">
        <v>500</v>
      </c>
      <c r="D664">
        <v>2</v>
      </c>
      <c r="E664">
        <v>49</v>
      </c>
      <c r="F664">
        <v>2044</v>
      </c>
      <c r="G664">
        <v>22052</v>
      </c>
      <c r="H664">
        <v>1</v>
      </c>
      <c r="I664">
        <v>13</v>
      </c>
      <c r="J664">
        <v>2</v>
      </c>
      <c r="K664">
        <v>3</v>
      </c>
      <c r="L664">
        <v>2</v>
      </c>
      <c r="M664">
        <v>2</v>
      </c>
      <c r="N664">
        <v>0</v>
      </c>
      <c r="O664">
        <v>2</v>
      </c>
      <c r="P664" t="s">
        <v>1555</v>
      </c>
      <c r="Q664" t="s">
        <v>1552</v>
      </c>
      <c r="R664" t="s">
        <v>1549</v>
      </c>
      <c r="S664" t="s">
        <v>1534</v>
      </c>
      <c r="T664" t="s">
        <v>1540</v>
      </c>
      <c r="U664" t="s">
        <v>1547</v>
      </c>
      <c r="V664" t="s">
        <v>1558</v>
      </c>
      <c r="W664" t="s">
        <v>1562</v>
      </c>
      <c r="X664" t="s">
        <v>1575</v>
      </c>
      <c r="Y664" t="s">
        <v>1587</v>
      </c>
      <c r="Z664" t="s">
        <v>1593</v>
      </c>
      <c r="AA664" t="s">
        <v>1596</v>
      </c>
      <c r="AB664" t="s">
        <v>1601</v>
      </c>
      <c r="AC664" t="s">
        <v>1610</v>
      </c>
      <c r="AD664" t="s">
        <v>1607</v>
      </c>
      <c r="AE664" t="s">
        <v>1616</v>
      </c>
      <c r="AF664" t="s">
        <v>1626</v>
      </c>
    </row>
    <row r="665" spans="1:32" x14ac:dyDescent="0.25">
      <c r="A665" t="s">
        <v>722</v>
      </c>
      <c r="B665">
        <v>21</v>
      </c>
      <c r="C665">
        <v>1427</v>
      </c>
      <c r="D665">
        <v>18</v>
      </c>
      <c r="E665">
        <v>65</v>
      </c>
      <c r="F665">
        <v>2693</v>
      </c>
      <c r="G665">
        <v>8870</v>
      </c>
      <c r="H665">
        <v>1</v>
      </c>
      <c r="I665">
        <v>19</v>
      </c>
      <c r="J665">
        <v>1</v>
      </c>
      <c r="K665">
        <v>3</v>
      </c>
      <c r="L665">
        <v>1</v>
      </c>
      <c r="M665">
        <v>0</v>
      </c>
      <c r="N665">
        <v>0</v>
      </c>
      <c r="O665">
        <v>0</v>
      </c>
      <c r="P665" t="s">
        <v>1555</v>
      </c>
      <c r="Q665" t="s">
        <v>1552</v>
      </c>
      <c r="R665" t="s">
        <v>1550</v>
      </c>
      <c r="S665" t="s">
        <v>1532</v>
      </c>
      <c r="T665" t="s">
        <v>1539</v>
      </c>
      <c r="U665" t="s">
        <v>1548</v>
      </c>
      <c r="V665" t="s">
        <v>1558</v>
      </c>
      <c r="W665" t="s">
        <v>1563</v>
      </c>
      <c r="X665" t="s">
        <v>1575</v>
      </c>
      <c r="Y665" t="s">
        <v>1582</v>
      </c>
      <c r="Z665" t="s">
        <v>1594</v>
      </c>
      <c r="AA665" t="s">
        <v>1596</v>
      </c>
      <c r="AB665" t="s">
        <v>1601</v>
      </c>
      <c r="AC665" t="s">
        <v>1610</v>
      </c>
      <c r="AD665" t="s">
        <v>1604</v>
      </c>
      <c r="AE665" t="s">
        <v>1616</v>
      </c>
      <c r="AF665" t="s">
        <v>1626</v>
      </c>
    </row>
    <row r="666" spans="1:32" x14ac:dyDescent="0.25">
      <c r="A666" t="s">
        <v>723</v>
      </c>
      <c r="B666">
        <v>36</v>
      </c>
      <c r="C666">
        <v>1425</v>
      </c>
      <c r="D666">
        <v>14</v>
      </c>
      <c r="E666">
        <v>68</v>
      </c>
      <c r="F666">
        <v>6586</v>
      </c>
      <c r="G666">
        <v>4821</v>
      </c>
      <c r="H666">
        <v>0</v>
      </c>
      <c r="I666">
        <v>17</v>
      </c>
      <c r="J666">
        <v>17</v>
      </c>
      <c r="K666">
        <v>2</v>
      </c>
      <c r="L666">
        <v>16</v>
      </c>
      <c r="M666">
        <v>8</v>
      </c>
      <c r="N666">
        <v>4</v>
      </c>
      <c r="O666">
        <v>11</v>
      </c>
      <c r="P666" t="s">
        <v>1556</v>
      </c>
      <c r="Q666" t="s">
        <v>1552</v>
      </c>
      <c r="R666" t="s">
        <v>1550</v>
      </c>
      <c r="S666" t="s">
        <v>1532</v>
      </c>
      <c r="T666" t="s">
        <v>1538</v>
      </c>
      <c r="U666" t="s">
        <v>1547</v>
      </c>
      <c r="V666" t="s">
        <v>1559</v>
      </c>
      <c r="W666" t="s">
        <v>1563</v>
      </c>
      <c r="X666" t="s">
        <v>1576</v>
      </c>
      <c r="Y666" t="s">
        <v>1585</v>
      </c>
      <c r="Z666" t="s">
        <v>1594</v>
      </c>
      <c r="AA666" t="s">
        <v>1597</v>
      </c>
      <c r="AB666" t="s">
        <v>1600</v>
      </c>
      <c r="AC666" t="s">
        <v>1610</v>
      </c>
      <c r="AD666" t="s">
        <v>1604</v>
      </c>
      <c r="AE666" t="s">
        <v>1617</v>
      </c>
      <c r="AF666" t="s">
        <v>1626</v>
      </c>
    </row>
    <row r="667" spans="1:32" x14ac:dyDescent="0.25">
      <c r="A667" t="s">
        <v>724</v>
      </c>
      <c r="B667">
        <v>47</v>
      </c>
      <c r="C667">
        <v>1454</v>
      </c>
      <c r="D667">
        <v>2</v>
      </c>
      <c r="E667">
        <v>65</v>
      </c>
      <c r="F667">
        <v>3294</v>
      </c>
      <c r="G667">
        <v>13137</v>
      </c>
      <c r="H667">
        <v>1</v>
      </c>
      <c r="I667">
        <v>18</v>
      </c>
      <c r="J667">
        <v>3</v>
      </c>
      <c r="K667">
        <v>3</v>
      </c>
      <c r="L667">
        <v>3</v>
      </c>
      <c r="M667">
        <v>2</v>
      </c>
      <c r="N667">
        <v>1</v>
      </c>
      <c r="O667">
        <v>2</v>
      </c>
      <c r="P667" t="s">
        <v>1556</v>
      </c>
      <c r="Q667" t="s">
        <v>1552</v>
      </c>
      <c r="R667" t="s">
        <v>1549</v>
      </c>
      <c r="S667" t="s">
        <v>1535</v>
      </c>
      <c r="T667" t="s">
        <v>1538</v>
      </c>
      <c r="U667" t="s">
        <v>1548</v>
      </c>
      <c r="V667" t="s">
        <v>1558</v>
      </c>
      <c r="W667" t="s">
        <v>1562</v>
      </c>
      <c r="X667" t="s">
        <v>1575</v>
      </c>
      <c r="Y667" t="s">
        <v>1587</v>
      </c>
      <c r="Z667" t="s">
        <v>1594</v>
      </c>
      <c r="AA667" t="s">
        <v>1596</v>
      </c>
      <c r="AB667" t="s">
        <v>1600</v>
      </c>
      <c r="AC667" t="s">
        <v>1610</v>
      </c>
      <c r="AD667" t="s">
        <v>1604</v>
      </c>
      <c r="AE667" t="s">
        <v>1616</v>
      </c>
      <c r="AF667" t="s">
        <v>1626</v>
      </c>
    </row>
    <row r="668" spans="1:32" x14ac:dyDescent="0.25">
      <c r="A668" t="s">
        <v>725</v>
      </c>
      <c r="B668">
        <v>22</v>
      </c>
      <c r="C668">
        <v>617</v>
      </c>
      <c r="D668">
        <v>3</v>
      </c>
      <c r="E668">
        <v>34</v>
      </c>
      <c r="F668">
        <v>4171</v>
      </c>
      <c r="G668">
        <v>10022</v>
      </c>
      <c r="H668">
        <v>0</v>
      </c>
      <c r="I668">
        <v>19</v>
      </c>
      <c r="J668">
        <v>4</v>
      </c>
      <c r="K668">
        <v>3</v>
      </c>
      <c r="L668">
        <v>3</v>
      </c>
      <c r="M668">
        <v>2</v>
      </c>
      <c r="N668">
        <v>0</v>
      </c>
      <c r="O668">
        <v>2</v>
      </c>
      <c r="P668" t="s">
        <v>1555</v>
      </c>
      <c r="Q668" t="s">
        <v>1552</v>
      </c>
      <c r="R668" t="s">
        <v>1550</v>
      </c>
      <c r="S668" t="s">
        <v>1532</v>
      </c>
      <c r="T668" t="s">
        <v>1538</v>
      </c>
      <c r="U668" t="s">
        <v>1546</v>
      </c>
      <c r="V668" t="s">
        <v>1558</v>
      </c>
      <c r="W668" t="s">
        <v>1563</v>
      </c>
      <c r="X668" t="s">
        <v>1576</v>
      </c>
      <c r="Y668" t="s">
        <v>1584</v>
      </c>
      <c r="Z668" t="s">
        <v>1593</v>
      </c>
      <c r="AA668" t="s">
        <v>1597</v>
      </c>
      <c r="AB668" t="s">
        <v>1600</v>
      </c>
      <c r="AC668" t="s">
        <v>1610</v>
      </c>
      <c r="AD668" t="s">
        <v>1604</v>
      </c>
      <c r="AE668" t="s">
        <v>1617</v>
      </c>
      <c r="AF668" t="s">
        <v>1628</v>
      </c>
    </row>
    <row r="669" spans="1:32" x14ac:dyDescent="0.25">
      <c r="A669" t="s">
        <v>726</v>
      </c>
      <c r="B669">
        <v>41</v>
      </c>
      <c r="C669">
        <v>1085</v>
      </c>
      <c r="D669">
        <v>2</v>
      </c>
      <c r="E669">
        <v>57</v>
      </c>
      <c r="F669">
        <v>2778</v>
      </c>
      <c r="G669">
        <v>17725</v>
      </c>
      <c r="H669">
        <v>4</v>
      </c>
      <c r="I669">
        <v>13</v>
      </c>
      <c r="J669">
        <v>10</v>
      </c>
      <c r="K669">
        <v>1</v>
      </c>
      <c r="L669">
        <v>7</v>
      </c>
      <c r="M669">
        <v>7</v>
      </c>
      <c r="N669">
        <v>1</v>
      </c>
      <c r="O669">
        <v>0</v>
      </c>
      <c r="P669" t="s">
        <v>1555</v>
      </c>
      <c r="Q669" t="s">
        <v>1552</v>
      </c>
      <c r="R669" t="s">
        <v>1550</v>
      </c>
      <c r="S669" t="s">
        <v>1535</v>
      </c>
      <c r="T669" t="s">
        <v>1538</v>
      </c>
      <c r="U669" t="s">
        <v>1546</v>
      </c>
      <c r="V669" t="s">
        <v>1558</v>
      </c>
      <c r="W669" t="s">
        <v>1561</v>
      </c>
      <c r="X669" t="s">
        <v>1575</v>
      </c>
      <c r="Y669" t="s">
        <v>1583</v>
      </c>
      <c r="Z669" t="s">
        <v>1594</v>
      </c>
      <c r="AA669" t="s">
        <v>1598</v>
      </c>
      <c r="AB669" t="s">
        <v>1600</v>
      </c>
      <c r="AC669" t="s">
        <v>1610</v>
      </c>
      <c r="AD669" t="s">
        <v>1606</v>
      </c>
      <c r="AE669" t="s">
        <v>1617</v>
      </c>
      <c r="AF669" t="s">
        <v>1626</v>
      </c>
    </row>
    <row r="670" spans="1:32" x14ac:dyDescent="0.25">
      <c r="A670" t="s">
        <v>727</v>
      </c>
      <c r="B670">
        <v>28</v>
      </c>
      <c r="C670">
        <v>995</v>
      </c>
      <c r="D670">
        <v>9</v>
      </c>
      <c r="E670">
        <v>77</v>
      </c>
      <c r="F670">
        <v>2377</v>
      </c>
      <c r="G670">
        <v>9834</v>
      </c>
      <c r="H670">
        <v>5</v>
      </c>
      <c r="I670">
        <v>18</v>
      </c>
      <c r="J670">
        <v>6</v>
      </c>
      <c r="K670">
        <v>2</v>
      </c>
      <c r="L670">
        <v>2</v>
      </c>
      <c r="M670">
        <v>2</v>
      </c>
      <c r="N670">
        <v>2</v>
      </c>
      <c r="O670">
        <v>2</v>
      </c>
      <c r="P670" t="s">
        <v>1556</v>
      </c>
      <c r="Q670" t="s">
        <v>1552</v>
      </c>
      <c r="R670" t="s">
        <v>1550</v>
      </c>
      <c r="S670" t="s">
        <v>1534</v>
      </c>
      <c r="T670" t="s">
        <v>1540</v>
      </c>
      <c r="U670" t="s">
        <v>1547</v>
      </c>
      <c r="V670" t="s">
        <v>1558</v>
      </c>
      <c r="W670" t="s">
        <v>1563</v>
      </c>
      <c r="X670" t="s">
        <v>1575</v>
      </c>
      <c r="Y670" t="s">
        <v>1582</v>
      </c>
      <c r="Z670" t="s">
        <v>1593</v>
      </c>
      <c r="AA670" t="s">
        <v>1598</v>
      </c>
      <c r="AB670" t="s">
        <v>1601</v>
      </c>
      <c r="AC670" t="s">
        <v>1610</v>
      </c>
      <c r="AD670" t="s">
        <v>1605</v>
      </c>
      <c r="AE670" t="s">
        <v>1617</v>
      </c>
      <c r="AF670" t="s">
        <v>1627</v>
      </c>
    </row>
    <row r="671" spans="1:32" x14ac:dyDescent="0.25">
      <c r="A671" t="s">
        <v>728</v>
      </c>
      <c r="B671">
        <v>39</v>
      </c>
      <c r="C671">
        <v>1122</v>
      </c>
      <c r="D671">
        <v>6</v>
      </c>
      <c r="E671">
        <v>70</v>
      </c>
      <c r="F671">
        <v>2404</v>
      </c>
      <c r="G671">
        <v>4303</v>
      </c>
      <c r="H671">
        <v>7</v>
      </c>
      <c r="I671">
        <v>21</v>
      </c>
      <c r="J671">
        <v>8</v>
      </c>
      <c r="K671">
        <v>2</v>
      </c>
      <c r="L671">
        <v>2</v>
      </c>
      <c r="M671">
        <v>2</v>
      </c>
      <c r="N671">
        <v>2</v>
      </c>
      <c r="O671">
        <v>2</v>
      </c>
      <c r="P671" t="s">
        <v>1555</v>
      </c>
      <c r="Q671" t="s">
        <v>1552</v>
      </c>
      <c r="R671" t="s">
        <v>1550</v>
      </c>
      <c r="S671" t="s">
        <v>1534</v>
      </c>
      <c r="T671" t="s">
        <v>1540</v>
      </c>
      <c r="U671" t="s">
        <v>1548</v>
      </c>
      <c r="V671" t="s">
        <v>1559</v>
      </c>
      <c r="W671" t="s">
        <v>1563</v>
      </c>
      <c r="X671" t="s">
        <v>1575</v>
      </c>
      <c r="Y671" t="s">
        <v>1583</v>
      </c>
      <c r="Z671" t="s">
        <v>1591</v>
      </c>
      <c r="AA671" t="s">
        <v>1597</v>
      </c>
      <c r="AB671" t="s">
        <v>1600</v>
      </c>
      <c r="AC671" t="s">
        <v>1611</v>
      </c>
      <c r="AD671" t="s">
        <v>1607</v>
      </c>
      <c r="AE671" t="s">
        <v>1616</v>
      </c>
      <c r="AF671" t="s">
        <v>1625</v>
      </c>
    </row>
    <row r="672" spans="1:32" x14ac:dyDescent="0.25">
      <c r="A672" t="s">
        <v>729</v>
      </c>
      <c r="B672">
        <v>27</v>
      </c>
      <c r="C672">
        <v>618</v>
      </c>
      <c r="D672">
        <v>4</v>
      </c>
      <c r="E672">
        <v>76</v>
      </c>
      <c r="F672">
        <v>2318</v>
      </c>
      <c r="G672">
        <v>17808</v>
      </c>
      <c r="H672">
        <v>1</v>
      </c>
      <c r="I672">
        <v>19</v>
      </c>
      <c r="J672">
        <v>1</v>
      </c>
      <c r="K672">
        <v>2</v>
      </c>
      <c r="L672">
        <v>1</v>
      </c>
      <c r="M672">
        <v>1</v>
      </c>
      <c r="N672">
        <v>0</v>
      </c>
      <c r="O672">
        <v>0</v>
      </c>
      <c r="P672" t="s">
        <v>1556</v>
      </c>
      <c r="Q672" t="s">
        <v>1552</v>
      </c>
      <c r="R672" t="s">
        <v>1550</v>
      </c>
      <c r="S672" t="s">
        <v>1534</v>
      </c>
      <c r="T672" t="s">
        <v>1538</v>
      </c>
      <c r="U672" t="s">
        <v>1546</v>
      </c>
      <c r="V672" t="s">
        <v>1558</v>
      </c>
      <c r="W672" t="s">
        <v>1563</v>
      </c>
      <c r="X672" t="s">
        <v>1575</v>
      </c>
      <c r="Y672" t="s">
        <v>1582</v>
      </c>
      <c r="Z672" t="s">
        <v>1593</v>
      </c>
      <c r="AA672" t="s">
        <v>1596</v>
      </c>
      <c r="AB672" t="s">
        <v>1601</v>
      </c>
      <c r="AC672" t="s">
        <v>1610</v>
      </c>
      <c r="AD672" t="s">
        <v>1606</v>
      </c>
      <c r="AE672" t="s">
        <v>1616</v>
      </c>
      <c r="AF672" t="s">
        <v>1627</v>
      </c>
    </row>
    <row r="673" spans="1:32" x14ac:dyDescent="0.25">
      <c r="A673" t="s">
        <v>730</v>
      </c>
      <c r="B673">
        <v>34</v>
      </c>
      <c r="C673">
        <v>546</v>
      </c>
      <c r="D673">
        <v>10</v>
      </c>
      <c r="E673">
        <v>83</v>
      </c>
      <c r="F673">
        <v>2008</v>
      </c>
      <c r="G673">
        <v>6896</v>
      </c>
      <c r="H673">
        <v>1</v>
      </c>
      <c r="I673">
        <v>14</v>
      </c>
      <c r="J673">
        <v>1</v>
      </c>
      <c r="K673">
        <v>3</v>
      </c>
      <c r="L673">
        <v>1</v>
      </c>
      <c r="M673">
        <v>0</v>
      </c>
      <c r="N673">
        <v>1</v>
      </c>
      <c r="O673">
        <v>0</v>
      </c>
      <c r="P673" t="s">
        <v>1556</v>
      </c>
      <c r="Q673" t="s">
        <v>1552</v>
      </c>
      <c r="R673" t="s">
        <v>1550</v>
      </c>
      <c r="S673" t="s">
        <v>1534</v>
      </c>
      <c r="T673" t="s">
        <v>1538</v>
      </c>
      <c r="U673" t="s">
        <v>1546</v>
      </c>
      <c r="V673" t="s">
        <v>1559</v>
      </c>
      <c r="W673" t="s">
        <v>1563</v>
      </c>
      <c r="X673" t="s">
        <v>1575</v>
      </c>
      <c r="Y673" t="s">
        <v>1583</v>
      </c>
      <c r="Z673" t="s">
        <v>1592</v>
      </c>
      <c r="AA673" t="s">
        <v>1598</v>
      </c>
      <c r="AB673" t="s">
        <v>1601</v>
      </c>
      <c r="AC673" t="s">
        <v>1610</v>
      </c>
      <c r="AD673" t="s">
        <v>1605</v>
      </c>
      <c r="AE673" t="s">
        <v>1618</v>
      </c>
      <c r="AF673" t="s">
        <v>1627</v>
      </c>
    </row>
    <row r="674" spans="1:32" x14ac:dyDescent="0.25">
      <c r="A674" t="s">
        <v>731</v>
      </c>
      <c r="B674">
        <v>42</v>
      </c>
      <c r="C674">
        <v>462</v>
      </c>
      <c r="D674">
        <v>14</v>
      </c>
      <c r="E674">
        <v>68</v>
      </c>
      <c r="F674">
        <v>6244</v>
      </c>
      <c r="G674">
        <v>7824</v>
      </c>
      <c r="H674">
        <v>7</v>
      </c>
      <c r="I674">
        <v>17</v>
      </c>
      <c r="J674">
        <v>10</v>
      </c>
      <c r="K674">
        <v>6</v>
      </c>
      <c r="L674">
        <v>5</v>
      </c>
      <c r="M674">
        <v>4</v>
      </c>
      <c r="N674">
        <v>0</v>
      </c>
      <c r="O674">
        <v>3</v>
      </c>
      <c r="P674" t="s">
        <v>1556</v>
      </c>
      <c r="Q674" t="s">
        <v>1552</v>
      </c>
      <c r="R674" t="s">
        <v>1549</v>
      </c>
      <c r="S674" t="s">
        <v>1533</v>
      </c>
      <c r="T674" t="s">
        <v>1540</v>
      </c>
      <c r="U674" t="s">
        <v>1547</v>
      </c>
      <c r="V674" t="s">
        <v>1558</v>
      </c>
      <c r="W674" t="s">
        <v>1562</v>
      </c>
      <c r="X674" t="s">
        <v>1576</v>
      </c>
      <c r="Y674" t="s">
        <v>1581</v>
      </c>
      <c r="Z674" t="s">
        <v>1593</v>
      </c>
      <c r="AA674" t="s">
        <v>1596</v>
      </c>
      <c r="AB674" t="s">
        <v>1601</v>
      </c>
      <c r="AC674" t="s">
        <v>1610</v>
      </c>
      <c r="AD674" t="s">
        <v>1604</v>
      </c>
      <c r="AE674" t="s">
        <v>1616</v>
      </c>
      <c r="AF674" t="s">
        <v>1627</v>
      </c>
    </row>
    <row r="675" spans="1:32" x14ac:dyDescent="0.25">
      <c r="A675" t="s">
        <v>732</v>
      </c>
      <c r="B675">
        <v>33</v>
      </c>
      <c r="C675">
        <v>1198</v>
      </c>
      <c r="D675">
        <v>1</v>
      </c>
      <c r="E675">
        <v>100</v>
      </c>
      <c r="F675">
        <v>2799</v>
      </c>
      <c r="G675">
        <v>3339</v>
      </c>
      <c r="H675">
        <v>3</v>
      </c>
      <c r="I675">
        <v>11</v>
      </c>
      <c r="J675">
        <v>6</v>
      </c>
      <c r="K675">
        <v>1</v>
      </c>
      <c r="L675">
        <v>3</v>
      </c>
      <c r="M675">
        <v>2</v>
      </c>
      <c r="N675">
        <v>0</v>
      </c>
      <c r="O675">
        <v>2</v>
      </c>
      <c r="P675" t="s">
        <v>1556</v>
      </c>
      <c r="Q675" t="s">
        <v>1552</v>
      </c>
      <c r="R675" t="s">
        <v>1550</v>
      </c>
      <c r="S675" t="s">
        <v>1535</v>
      </c>
      <c r="T675" t="s">
        <v>1539</v>
      </c>
      <c r="U675" t="s">
        <v>1547</v>
      </c>
      <c r="V675" t="s">
        <v>1559</v>
      </c>
      <c r="W675" t="s">
        <v>1562</v>
      </c>
      <c r="X675" t="s">
        <v>1575</v>
      </c>
      <c r="Y675" t="s">
        <v>1582</v>
      </c>
      <c r="Z675" t="s">
        <v>1591</v>
      </c>
      <c r="AA675" t="s">
        <v>1596</v>
      </c>
      <c r="AB675" t="s">
        <v>1600</v>
      </c>
      <c r="AC675" t="s">
        <v>1610</v>
      </c>
      <c r="AD675" t="s">
        <v>1605</v>
      </c>
      <c r="AE675" t="s">
        <v>1616</v>
      </c>
      <c r="AF675" t="s">
        <v>1627</v>
      </c>
    </row>
    <row r="676" spans="1:32" x14ac:dyDescent="0.25">
      <c r="A676" t="s">
        <v>733</v>
      </c>
      <c r="B676">
        <v>58</v>
      </c>
      <c r="C676">
        <v>1272</v>
      </c>
      <c r="D676">
        <v>5</v>
      </c>
      <c r="E676">
        <v>37</v>
      </c>
      <c r="F676">
        <v>10552</v>
      </c>
      <c r="G676">
        <v>9255</v>
      </c>
      <c r="H676">
        <v>2</v>
      </c>
      <c r="I676">
        <v>13</v>
      </c>
      <c r="J676">
        <v>24</v>
      </c>
      <c r="K676">
        <v>3</v>
      </c>
      <c r="L676">
        <v>6</v>
      </c>
      <c r="M676">
        <v>0</v>
      </c>
      <c r="N676">
        <v>0</v>
      </c>
      <c r="O676">
        <v>4</v>
      </c>
      <c r="P676" t="s">
        <v>1556</v>
      </c>
      <c r="Q676" t="s">
        <v>1552</v>
      </c>
      <c r="R676" t="s">
        <v>1550</v>
      </c>
      <c r="S676" t="s">
        <v>1534</v>
      </c>
      <c r="T676" t="s">
        <v>1542</v>
      </c>
      <c r="U676" t="s">
        <v>1547</v>
      </c>
      <c r="V676" t="s">
        <v>1558</v>
      </c>
      <c r="W676" t="s">
        <v>1562</v>
      </c>
      <c r="X676" t="s">
        <v>1577</v>
      </c>
      <c r="Y676" t="s">
        <v>1585</v>
      </c>
      <c r="Z676" t="s">
        <v>1592</v>
      </c>
      <c r="AA676" t="s">
        <v>1598</v>
      </c>
      <c r="AB676" t="s">
        <v>1600</v>
      </c>
      <c r="AC676" t="s">
        <v>1610</v>
      </c>
      <c r="AD676" t="s">
        <v>1607</v>
      </c>
      <c r="AE676" t="s">
        <v>1617</v>
      </c>
      <c r="AF676" t="s">
        <v>1627</v>
      </c>
    </row>
    <row r="677" spans="1:32" x14ac:dyDescent="0.25">
      <c r="A677" t="s">
        <v>734</v>
      </c>
      <c r="B677">
        <v>31</v>
      </c>
      <c r="C677">
        <v>154</v>
      </c>
      <c r="D677">
        <v>7</v>
      </c>
      <c r="E677">
        <v>41</v>
      </c>
      <c r="F677">
        <v>2329</v>
      </c>
      <c r="G677">
        <v>11737</v>
      </c>
      <c r="H677">
        <v>3</v>
      </c>
      <c r="I677">
        <v>15</v>
      </c>
      <c r="J677">
        <v>13</v>
      </c>
      <c r="K677">
        <v>2</v>
      </c>
      <c r="L677">
        <v>7</v>
      </c>
      <c r="M677">
        <v>7</v>
      </c>
      <c r="N677">
        <v>5</v>
      </c>
      <c r="O677">
        <v>2</v>
      </c>
      <c r="P677" t="s">
        <v>1556</v>
      </c>
      <c r="Q677" t="s">
        <v>1552</v>
      </c>
      <c r="R677" t="s">
        <v>1549</v>
      </c>
      <c r="S677" t="s">
        <v>1535</v>
      </c>
      <c r="T677" t="s">
        <v>1538</v>
      </c>
      <c r="U677" t="s">
        <v>1546</v>
      </c>
      <c r="V677" t="s">
        <v>1559</v>
      </c>
      <c r="W677" t="s">
        <v>1562</v>
      </c>
      <c r="X677" t="s">
        <v>1575</v>
      </c>
      <c r="Y677" t="s">
        <v>1587</v>
      </c>
      <c r="Z677" t="s">
        <v>1593</v>
      </c>
      <c r="AA677" t="s">
        <v>1597</v>
      </c>
      <c r="AB677" t="s">
        <v>1601</v>
      </c>
      <c r="AC677" t="s">
        <v>1610</v>
      </c>
      <c r="AD677" t="s">
        <v>1605</v>
      </c>
      <c r="AE677" t="s">
        <v>1616</v>
      </c>
      <c r="AF677" t="s">
        <v>1628</v>
      </c>
    </row>
    <row r="678" spans="1:32" x14ac:dyDescent="0.25">
      <c r="A678" t="s">
        <v>735</v>
      </c>
      <c r="B678">
        <v>35</v>
      </c>
      <c r="C678">
        <v>1137</v>
      </c>
      <c r="D678">
        <v>21</v>
      </c>
      <c r="E678">
        <v>51</v>
      </c>
      <c r="F678">
        <v>4014</v>
      </c>
      <c r="G678">
        <v>19170</v>
      </c>
      <c r="H678">
        <v>1</v>
      </c>
      <c r="I678">
        <v>25</v>
      </c>
      <c r="J678">
        <v>10</v>
      </c>
      <c r="K678">
        <v>2</v>
      </c>
      <c r="L678">
        <v>10</v>
      </c>
      <c r="M678">
        <v>6</v>
      </c>
      <c r="N678">
        <v>0</v>
      </c>
      <c r="O678">
        <v>7</v>
      </c>
      <c r="P678" t="s">
        <v>1556</v>
      </c>
      <c r="Q678" t="s">
        <v>1552</v>
      </c>
      <c r="R678" t="s">
        <v>1550</v>
      </c>
      <c r="S678" t="s">
        <v>1532</v>
      </c>
      <c r="T678" t="s">
        <v>1538</v>
      </c>
      <c r="U678" t="s">
        <v>1548</v>
      </c>
      <c r="V678" t="s">
        <v>1558</v>
      </c>
      <c r="W678" t="s">
        <v>1563</v>
      </c>
      <c r="X678" t="s">
        <v>1576</v>
      </c>
      <c r="Y678" t="s">
        <v>1585</v>
      </c>
      <c r="Z678" t="s">
        <v>1594</v>
      </c>
      <c r="AA678" t="s">
        <v>1597</v>
      </c>
      <c r="AB678" t="s">
        <v>1600</v>
      </c>
      <c r="AC678" t="s">
        <v>1611</v>
      </c>
      <c r="AD678" t="s">
        <v>1607</v>
      </c>
      <c r="AE678" t="s">
        <v>1617</v>
      </c>
      <c r="AF678" t="s">
        <v>1625</v>
      </c>
    </row>
    <row r="679" spans="1:32" x14ac:dyDescent="0.25">
      <c r="A679" t="s">
        <v>736</v>
      </c>
      <c r="B679">
        <v>49</v>
      </c>
      <c r="C679">
        <v>527</v>
      </c>
      <c r="D679">
        <v>8</v>
      </c>
      <c r="E679">
        <v>51</v>
      </c>
      <c r="F679">
        <v>7403</v>
      </c>
      <c r="G679">
        <v>22477</v>
      </c>
      <c r="H679">
        <v>4</v>
      </c>
      <c r="I679">
        <v>11</v>
      </c>
      <c r="J679">
        <v>29</v>
      </c>
      <c r="K679">
        <v>3</v>
      </c>
      <c r="L679">
        <v>26</v>
      </c>
      <c r="M679">
        <v>9</v>
      </c>
      <c r="N679">
        <v>1</v>
      </c>
      <c r="O679">
        <v>7</v>
      </c>
      <c r="P679" t="s">
        <v>1556</v>
      </c>
      <c r="Q679" t="s">
        <v>1552</v>
      </c>
      <c r="R679" t="s">
        <v>1550</v>
      </c>
      <c r="S679" t="s">
        <v>1533</v>
      </c>
      <c r="T679" t="s">
        <v>1539</v>
      </c>
      <c r="U679" t="s">
        <v>1545</v>
      </c>
      <c r="V679" t="s">
        <v>1558</v>
      </c>
      <c r="W679" t="s">
        <v>1563</v>
      </c>
      <c r="X679" t="s">
        <v>1577</v>
      </c>
      <c r="Y679" t="s">
        <v>1583</v>
      </c>
      <c r="Z679" t="s">
        <v>1592</v>
      </c>
      <c r="AA679" t="s">
        <v>1597</v>
      </c>
      <c r="AB679" t="s">
        <v>1601</v>
      </c>
      <c r="AC679" t="s">
        <v>1610</v>
      </c>
      <c r="AD679" t="s">
        <v>1606</v>
      </c>
      <c r="AE679" t="s">
        <v>1617</v>
      </c>
      <c r="AF679" t="s">
        <v>1626</v>
      </c>
    </row>
    <row r="680" spans="1:32" x14ac:dyDescent="0.25">
      <c r="A680" t="s">
        <v>737</v>
      </c>
      <c r="B680">
        <v>48</v>
      </c>
      <c r="C680">
        <v>1469</v>
      </c>
      <c r="D680">
        <v>20</v>
      </c>
      <c r="E680">
        <v>51</v>
      </c>
      <c r="F680">
        <v>2259</v>
      </c>
      <c r="G680">
        <v>5543</v>
      </c>
      <c r="H680">
        <v>4</v>
      </c>
      <c r="I680">
        <v>17</v>
      </c>
      <c r="J680">
        <v>13</v>
      </c>
      <c r="K680">
        <v>2</v>
      </c>
      <c r="L680">
        <v>0</v>
      </c>
      <c r="M680">
        <v>0</v>
      </c>
      <c r="N680">
        <v>0</v>
      </c>
      <c r="O680">
        <v>0</v>
      </c>
      <c r="P680" t="s">
        <v>1556</v>
      </c>
      <c r="Q680" t="s">
        <v>1552</v>
      </c>
      <c r="R680" t="s">
        <v>1550</v>
      </c>
      <c r="S680" t="s">
        <v>1535</v>
      </c>
      <c r="T680" t="s">
        <v>1540</v>
      </c>
      <c r="U680" t="s">
        <v>1548</v>
      </c>
      <c r="V680" t="s">
        <v>1559</v>
      </c>
      <c r="W680" t="s">
        <v>1563</v>
      </c>
      <c r="X680" t="s">
        <v>1575</v>
      </c>
      <c r="Y680" t="s">
        <v>1582</v>
      </c>
      <c r="Z680" t="s">
        <v>1593</v>
      </c>
      <c r="AA680" t="s">
        <v>1597</v>
      </c>
      <c r="AB680" t="s">
        <v>1601</v>
      </c>
      <c r="AC680" t="s">
        <v>1610</v>
      </c>
      <c r="AD680" t="s">
        <v>1604</v>
      </c>
      <c r="AE680" t="s">
        <v>1618</v>
      </c>
      <c r="AF680" t="s">
        <v>1626</v>
      </c>
    </row>
    <row r="681" spans="1:32" x14ac:dyDescent="0.25">
      <c r="A681" t="s">
        <v>738</v>
      </c>
      <c r="B681">
        <v>31</v>
      </c>
      <c r="C681">
        <v>1188</v>
      </c>
      <c r="D681">
        <v>20</v>
      </c>
      <c r="E681">
        <v>45</v>
      </c>
      <c r="F681">
        <v>6932</v>
      </c>
      <c r="G681">
        <v>24406</v>
      </c>
      <c r="H681">
        <v>1</v>
      </c>
      <c r="I681">
        <v>13</v>
      </c>
      <c r="J681">
        <v>9</v>
      </c>
      <c r="K681">
        <v>2</v>
      </c>
      <c r="L681">
        <v>9</v>
      </c>
      <c r="M681">
        <v>8</v>
      </c>
      <c r="N681">
        <v>0</v>
      </c>
      <c r="O681">
        <v>0</v>
      </c>
      <c r="P681" t="s">
        <v>1556</v>
      </c>
      <c r="Q681" t="s">
        <v>1554</v>
      </c>
      <c r="R681" t="s">
        <v>1549</v>
      </c>
      <c r="S681" t="s">
        <v>1533</v>
      </c>
      <c r="T681" t="s">
        <v>1541</v>
      </c>
      <c r="U681" t="s">
        <v>1548</v>
      </c>
      <c r="V681" t="s">
        <v>1558</v>
      </c>
      <c r="W681" t="s">
        <v>1563</v>
      </c>
      <c r="X681" t="s">
        <v>1576</v>
      </c>
      <c r="Y681" t="s">
        <v>1581</v>
      </c>
      <c r="Z681" t="s">
        <v>1593</v>
      </c>
      <c r="AA681" t="s">
        <v>1597</v>
      </c>
      <c r="AB681" t="s">
        <v>1601</v>
      </c>
      <c r="AC681" t="s">
        <v>1610</v>
      </c>
      <c r="AD681" t="s">
        <v>1607</v>
      </c>
      <c r="AE681" t="s">
        <v>1617</v>
      </c>
      <c r="AF681" t="s">
        <v>1626</v>
      </c>
    </row>
    <row r="682" spans="1:32" x14ac:dyDescent="0.25">
      <c r="A682" t="s">
        <v>739</v>
      </c>
      <c r="B682">
        <v>36</v>
      </c>
      <c r="C682">
        <v>188</v>
      </c>
      <c r="D682">
        <v>7</v>
      </c>
      <c r="E682">
        <v>65</v>
      </c>
      <c r="F682">
        <v>4678</v>
      </c>
      <c r="G682">
        <v>23293</v>
      </c>
      <c r="H682">
        <v>2</v>
      </c>
      <c r="I682">
        <v>18</v>
      </c>
      <c r="J682">
        <v>8</v>
      </c>
      <c r="K682">
        <v>6</v>
      </c>
      <c r="L682">
        <v>6</v>
      </c>
      <c r="M682">
        <v>2</v>
      </c>
      <c r="N682">
        <v>0</v>
      </c>
      <c r="O682">
        <v>1</v>
      </c>
      <c r="P682" t="s">
        <v>1556</v>
      </c>
      <c r="Q682" t="s">
        <v>1552</v>
      </c>
      <c r="R682" t="s">
        <v>1550</v>
      </c>
      <c r="S682" t="s">
        <v>1535</v>
      </c>
      <c r="T682" t="s">
        <v>1539</v>
      </c>
      <c r="U682" t="s">
        <v>1546</v>
      </c>
      <c r="V682" t="s">
        <v>1559</v>
      </c>
      <c r="W682" t="s">
        <v>1563</v>
      </c>
      <c r="X682" t="s">
        <v>1575</v>
      </c>
      <c r="Y682" t="s">
        <v>1582</v>
      </c>
      <c r="Z682" t="s">
        <v>1594</v>
      </c>
      <c r="AA682" t="s">
        <v>1596</v>
      </c>
      <c r="AB682" t="s">
        <v>1601</v>
      </c>
      <c r="AC682" t="s">
        <v>1610</v>
      </c>
      <c r="AD682" t="s">
        <v>1606</v>
      </c>
      <c r="AE682" t="s">
        <v>1616</v>
      </c>
      <c r="AF682" t="s">
        <v>1627</v>
      </c>
    </row>
    <row r="683" spans="1:32" x14ac:dyDescent="0.25">
      <c r="A683" t="s">
        <v>740</v>
      </c>
      <c r="B683">
        <v>38</v>
      </c>
      <c r="C683">
        <v>1333</v>
      </c>
      <c r="D683">
        <v>1</v>
      </c>
      <c r="E683">
        <v>80</v>
      </c>
      <c r="F683">
        <v>13582</v>
      </c>
      <c r="G683">
        <v>16292</v>
      </c>
      <c r="H683">
        <v>1</v>
      </c>
      <c r="I683">
        <v>13</v>
      </c>
      <c r="J683">
        <v>15</v>
      </c>
      <c r="K683">
        <v>3</v>
      </c>
      <c r="L683">
        <v>15</v>
      </c>
      <c r="M683">
        <v>12</v>
      </c>
      <c r="N683">
        <v>5</v>
      </c>
      <c r="O683">
        <v>11</v>
      </c>
      <c r="P683" t="s">
        <v>1556</v>
      </c>
      <c r="Q683" t="s">
        <v>1552</v>
      </c>
      <c r="R683" t="s">
        <v>1550</v>
      </c>
      <c r="S683" t="s">
        <v>1534</v>
      </c>
      <c r="T683" t="s">
        <v>1542</v>
      </c>
      <c r="U683" t="s">
        <v>1548</v>
      </c>
      <c r="V683" t="s">
        <v>1558</v>
      </c>
      <c r="W683" t="s">
        <v>1563</v>
      </c>
      <c r="X683" t="s">
        <v>1577</v>
      </c>
      <c r="Y683" t="s">
        <v>1588</v>
      </c>
      <c r="Z683" t="s">
        <v>1591</v>
      </c>
      <c r="AA683" t="s">
        <v>1597</v>
      </c>
      <c r="AB683" t="s">
        <v>1601</v>
      </c>
      <c r="AC683" t="s">
        <v>1610</v>
      </c>
      <c r="AD683" t="s">
        <v>1605</v>
      </c>
      <c r="AE683" t="s">
        <v>1617</v>
      </c>
      <c r="AF683" t="s">
        <v>1627</v>
      </c>
    </row>
    <row r="684" spans="1:32" x14ac:dyDescent="0.25">
      <c r="A684" t="s">
        <v>741</v>
      </c>
      <c r="B684">
        <v>32</v>
      </c>
      <c r="C684">
        <v>1184</v>
      </c>
      <c r="D684">
        <v>1</v>
      </c>
      <c r="E684">
        <v>70</v>
      </c>
      <c r="F684">
        <v>2332</v>
      </c>
      <c r="G684">
        <v>3974</v>
      </c>
      <c r="H684">
        <v>6</v>
      </c>
      <c r="I684">
        <v>20</v>
      </c>
      <c r="J684">
        <v>5</v>
      </c>
      <c r="K684">
        <v>3</v>
      </c>
      <c r="L684">
        <v>3</v>
      </c>
      <c r="M684">
        <v>0</v>
      </c>
      <c r="N684">
        <v>0</v>
      </c>
      <c r="O684">
        <v>2</v>
      </c>
      <c r="P684" t="s">
        <v>1556</v>
      </c>
      <c r="Q684" t="s">
        <v>1554</v>
      </c>
      <c r="R684" t="s">
        <v>1550</v>
      </c>
      <c r="S684" t="s">
        <v>1534</v>
      </c>
      <c r="T684" t="s">
        <v>1538</v>
      </c>
      <c r="U684" t="s">
        <v>1547</v>
      </c>
      <c r="V684" t="s">
        <v>1558</v>
      </c>
      <c r="W684" t="s">
        <v>1562</v>
      </c>
      <c r="X684" t="s">
        <v>1575</v>
      </c>
      <c r="Y684" t="s">
        <v>1583</v>
      </c>
      <c r="Z684" t="s">
        <v>1592</v>
      </c>
      <c r="AA684" t="s">
        <v>1597</v>
      </c>
      <c r="AB684" t="s">
        <v>1601</v>
      </c>
      <c r="AC684" t="s">
        <v>1611</v>
      </c>
      <c r="AD684" t="s">
        <v>1606</v>
      </c>
      <c r="AE684" t="s">
        <v>1616</v>
      </c>
      <c r="AF684" t="s">
        <v>1627</v>
      </c>
    </row>
    <row r="685" spans="1:32" x14ac:dyDescent="0.25">
      <c r="A685" t="s">
        <v>742</v>
      </c>
      <c r="B685">
        <v>25</v>
      </c>
      <c r="C685">
        <v>867</v>
      </c>
      <c r="D685">
        <v>19</v>
      </c>
      <c r="E685">
        <v>36</v>
      </c>
      <c r="F685">
        <v>2413</v>
      </c>
      <c r="G685">
        <v>18798</v>
      </c>
      <c r="H685">
        <v>1</v>
      </c>
      <c r="I685">
        <v>18</v>
      </c>
      <c r="J685">
        <v>1</v>
      </c>
      <c r="K685">
        <v>2</v>
      </c>
      <c r="L685">
        <v>1</v>
      </c>
      <c r="M685">
        <v>0</v>
      </c>
      <c r="N685">
        <v>0</v>
      </c>
      <c r="O685">
        <v>0</v>
      </c>
      <c r="P685" t="s">
        <v>1555</v>
      </c>
      <c r="Q685" t="s">
        <v>1552</v>
      </c>
      <c r="R685" t="s">
        <v>1549</v>
      </c>
      <c r="S685" t="s">
        <v>1533</v>
      </c>
      <c r="T685" t="s">
        <v>1541</v>
      </c>
      <c r="U685" t="s">
        <v>1547</v>
      </c>
      <c r="V685" t="s">
        <v>1559</v>
      </c>
      <c r="W685" t="s">
        <v>1562</v>
      </c>
      <c r="X685" t="s">
        <v>1575</v>
      </c>
      <c r="Y685" t="s">
        <v>1587</v>
      </c>
      <c r="Z685" t="s">
        <v>1592</v>
      </c>
      <c r="AA685" t="s">
        <v>1597</v>
      </c>
      <c r="AB685" t="s">
        <v>1600</v>
      </c>
      <c r="AC685" t="s">
        <v>1610</v>
      </c>
      <c r="AD685" t="s">
        <v>1606</v>
      </c>
      <c r="AE685" t="s">
        <v>1619</v>
      </c>
      <c r="AF685" t="s">
        <v>1627</v>
      </c>
    </row>
    <row r="686" spans="1:32" x14ac:dyDescent="0.25">
      <c r="A686" t="s">
        <v>743</v>
      </c>
      <c r="B686">
        <v>40</v>
      </c>
      <c r="C686">
        <v>658</v>
      </c>
      <c r="D686">
        <v>10</v>
      </c>
      <c r="E686">
        <v>67</v>
      </c>
      <c r="F686">
        <v>9705</v>
      </c>
      <c r="G686">
        <v>20652</v>
      </c>
      <c r="H686">
        <v>2</v>
      </c>
      <c r="I686">
        <v>12</v>
      </c>
      <c r="J686">
        <v>11</v>
      </c>
      <c r="K686">
        <v>2</v>
      </c>
      <c r="L686">
        <v>1</v>
      </c>
      <c r="M686">
        <v>0</v>
      </c>
      <c r="N686">
        <v>0</v>
      </c>
      <c r="O686">
        <v>0</v>
      </c>
      <c r="P686" t="s">
        <v>1556</v>
      </c>
      <c r="Q686" t="s">
        <v>1552</v>
      </c>
      <c r="R686" t="s">
        <v>1549</v>
      </c>
      <c r="S686" t="s">
        <v>1535</v>
      </c>
      <c r="T686" t="s">
        <v>1541</v>
      </c>
      <c r="U686" t="s">
        <v>1545</v>
      </c>
      <c r="V686" t="s">
        <v>1559</v>
      </c>
      <c r="W686" t="s">
        <v>1562</v>
      </c>
      <c r="X686" t="s">
        <v>1577</v>
      </c>
      <c r="Y686" t="s">
        <v>1581</v>
      </c>
      <c r="Z686" t="s">
        <v>1592</v>
      </c>
      <c r="AA686" t="s">
        <v>1598</v>
      </c>
      <c r="AB686" t="s">
        <v>1601</v>
      </c>
      <c r="AC686" t="s">
        <v>1610</v>
      </c>
      <c r="AD686" t="s">
        <v>1605</v>
      </c>
      <c r="AE686" t="s">
        <v>1617</v>
      </c>
      <c r="AF686" t="s">
        <v>1626</v>
      </c>
    </row>
    <row r="687" spans="1:32" x14ac:dyDescent="0.25">
      <c r="A687" t="s">
        <v>744</v>
      </c>
      <c r="B687">
        <v>26</v>
      </c>
      <c r="C687">
        <v>1283</v>
      </c>
      <c r="D687">
        <v>1</v>
      </c>
      <c r="E687">
        <v>52</v>
      </c>
      <c r="F687">
        <v>4294</v>
      </c>
      <c r="G687">
        <v>11148</v>
      </c>
      <c r="H687">
        <v>1</v>
      </c>
      <c r="I687">
        <v>12</v>
      </c>
      <c r="J687">
        <v>7</v>
      </c>
      <c r="K687">
        <v>2</v>
      </c>
      <c r="L687">
        <v>7</v>
      </c>
      <c r="M687">
        <v>7</v>
      </c>
      <c r="N687">
        <v>0</v>
      </c>
      <c r="O687">
        <v>7</v>
      </c>
      <c r="P687" t="s">
        <v>1556</v>
      </c>
      <c r="Q687" t="s">
        <v>1553</v>
      </c>
      <c r="R687" t="s">
        <v>1549</v>
      </c>
      <c r="S687" t="s">
        <v>1534</v>
      </c>
      <c r="T687" t="s">
        <v>1540</v>
      </c>
      <c r="U687" t="s">
        <v>1547</v>
      </c>
      <c r="V687" t="s">
        <v>1559</v>
      </c>
      <c r="W687" t="s">
        <v>1562</v>
      </c>
      <c r="X687" t="s">
        <v>1576</v>
      </c>
      <c r="Y687" t="s">
        <v>1581</v>
      </c>
      <c r="Z687" t="s">
        <v>1591</v>
      </c>
      <c r="AA687" t="s">
        <v>1596</v>
      </c>
      <c r="AB687" t="s">
        <v>1601</v>
      </c>
      <c r="AC687" t="s">
        <v>1610</v>
      </c>
      <c r="AD687" t="s">
        <v>1605</v>
      </c>
      <c r="AE687" t="s">
        <v>1616</v>
      </c>
      <c r="AF687" t="s">
        <v>1627</v>
      </c>
    </row>
    <row r="688" spans="1:32" x14ac:dyDescent="0.25">
      <c r="A688" t="s">
        <v>745</v>
      </c>
      <c r="B688">
        <v>41</v>
      </c>
      <c r="C688">
        <v>263</v>
      </c>
      <c r="D688">
        <v>6</v>
      </c>
      <c r="E688">
        <v>59</v>
      </c>
      <c r="F688">
        <v>4721</v>
      </c>
      <c r="G688">
        <v>3119</v>
      </c>
      <c r="H688">
        <v>2</v>
      </c>
      <c r="I688">
        <v>13</v>
      </c>
      <c r="J688">
        <v>20</v>
      </c>
      <c r="K688">
        <v>3</v>
      </c>
      <c r="L688">
        <v>18</v>
      </c>
      <c r="M688">
        <v>13</v>
      </c>
      <c r="N688">
        <v>2</v>
      </c>
      <c r="O688">
        <v>17</v>
      </c>
      <c r="P688" t="s">
        <v>1556</v>
      </c>
      <c r="Q688" t="s">
        <v>1552</v>
      </c>
      <c r="R688" t="s">
        <v>1550</v>
      </c>
      <c r="S688" t="s">
        <v>1534</v>
      </c>
      <c r="T688" t="s">
        <v>1540</v>
      </c>
      <c r="U688" t="s">
        <v>1548</v>
      </c>
      <c r="V688" t="s">
        <v>1559</v>
      </c>
      <c r="W688" t="s">
        <v>1563</v>
      </c>
      <c r="X688" t="s">
        <v>1575</v>
      </c>
      <c r="Y688" t="s">
        <v>1583</v>
      </c>
      <c r="Z688" t="s">
        <v>1591</v>
      </c>
      <c r="AA688" t="s">
        <v>1596</v>
      </c>
      <c r="AB688" t="s">
        <v>1600</v>
      </c>
      <c r="AC688" t="s">
        <v>1610</v>
      </c>
      <c r="AD688" t="s">
        <v>1606</v>
      </c>
      <c r="AE688" t="s">
        <v>1616</v>
      </c>
      <c r="AF688" t="s">
        <v>1627</v>
      </c>
    </row>
    <row r="689" spans="1:32" x14ac:dyDescent="0.25">
      <c r="A689" t="s">
        <v>746</v>
      </c>
      <c r="B689">
        <v>36</v>
      </c>
      <c r="C689">
        <v>938</v>
      </c>
      <c r="D689">
        <v>2</v>
      </c>
      <c r="E689">
        <v>79</v>
      </c>
      <c r="F689">
        <v>2519</v>
      </c>
      <c r="G689">
        <v>12287</v>
      </c>
      <c r="H689">
        <v>4</v>
      </c>
      <c r="I689">
        <v>21</v>
      </c>
      <c r="J689">
        <v>16</v>
      </c>
      <c r="K689">
        <v>6</v>
      </c>
      <c r="L689">
        <v>11</v>
      </c>
      <c r="M689">
        <v>8</v>
      </c>
      <c r="N689">
        <v>3</v>
      </c>
      <c r="O689">
        <v>9</v>
      </c>
      <c r="P689" t="s">
        <v>1556</v>
      </c>
      <c r="Q689" t="s">
        <v>1552</v>
      </c>
      <c r="R689" t="s">
        <v>1550</v>
      </c>
      <c r="S689" t="s">
        <v>1535</v>
      </c>
      <c r="T689" t="s">
        <v>1540</v>
      </c>
      <c r="U689" t="s">
        <v>1547</v>
      </c>
      <c r="V689" t="s">
        <v>1559</v>
      </c>
      <c r="W689" t="s">
        <v>1563</v>
      </c>
      <c r="X689" t="s">
        <v>1575</v>
      </c>
      <c r="Y689" t="s">
        <v>1583</v>
      </c>
      <c r="Z689" t="s">
        <v>1593</v>
      </c>
      <c r="AA689" t="s">
        <v>1596</v>
      </c>
      <c r="AB689" t="s">
        <v>1601</v>
      </c>
      <c r="AC689" t="s">
        <v>1611</v>
      </c>
      <c r="AD689" t="s">
        <v>1606</v>
      </c>
      <c r="AE689" t="s">
        <v>1616</v>
      </c>
      <c r="AF689" t="s">
        <v>1627</v>
      </c>
    </row>
    <row r="690" spans="1:32" x14ac:dyDescent="0.25">
      <c r="A690" t="s">
        <v>747</v>
      </c>
      <c r="B690">
        <v>19</v>
      </c>
      <c r="C690">
        <v>419</v>
      </c>
      <c r="D690">
        <v>21</v>
      </c>
      <c r="E690">
        <v>37</v>
      </c>
      <c r="F690">
        <v>2121</v>
      </c>
      <c r="G690">
        <v>9947</v>
      </c>
      <c r="H690">
        <v>1</v>
      </c>
      <c r="I690">
        <v>13</v>
      </c>
      <c r="J690">
        <v>1</v>
      </c>
      <c r="K690">
        <v>3</v>
      </c>
      <c r="L690">
        <v>1</v>
      </c>
      <c r="M690">
        <v>0</v>
      </c>
      <c r="N690">
        <v>0</v>
      </c>
      <c r="O690">
        <v>0</v>
      </c>
      <c r="P690" t="s">
        <v>1555</v>
      </c>
      <c r="Q690" t="s">
        <v>1552</v>
      </c>
      <c r="R690" t="s">
        <v>1549</v>
      </c>
      <c r="S690" t="s">
        <v>1534</v>
      </c>
      <c r="T690" t="s">
        <v>1539</v>
      </c>
      <c r="U690" t="s">
        <v>1548</v>
      </c>
      <c r="V690" t="s">
        <v>1559</v>
      </c>
      <c r="W690" t="s">
        <v>1562</v>
      </c>
      <c r="X690" t="s">
        <v>1575</v>
      </c>
      <c r="Y690" t="s">
        <v>1587</v>
      </c>
      <c r="Z690" t="s">
        <v>1592</v>
      </c>
      <c r="AA690" t="s">
        <v>1596</v>
      </c>
      <c r="AB690" t="s">
        <v>1600</v>
      </c>
      <c r="AC690" t="s">
        <v>1610</v>
      </c>
      <c r="AD690" t="s">
        <v>1605</v>
      </c>
      <c r="AE690" t="s">
        <v>1616</v>
      </c>
      <c r="AF690" t="s">
        <v>1628</v>
      </c>
    </row>
    <row r="691" spans="1:32" x14ac:dyDescent="0.25">
      <c r="A691" t="s">
        <v>748</v>
      </c>
      <c r="B691">
        <v>20</v>
      </c>
      <c r="C691">
        <v>129</v>
      </c>
      <c r="D691">
        <v>4</v>
      </c>
      <c r="E691">
        <v>84</v>
      </c>
      <c r="F691">
        <v>2973</v>
      </c>
      <c r="G691">
        <v>13008</v>
      </c>
      <c r="H691">
        <v>1</v>
      </c>
      <c r="I691">
        <v>19</v>
      </c>
      <c r="J691">
        <v>1</v>
      </c>
      <c r="K691">
        <v>2</v>
      </c>
      <c r="L691">
        <v>1</v>
      </c>
      <c r="M691">
        <v>0</v>
      </c>
      <c r="N691">
        <v>0</v>
      </c>
      <c r="O691">
        <v>0</v>
      </c>
      <c r="P691" t="s">
        <v>1555</v>
      </c>
      <c r="Q691" t="s">
        <v>1552</v>
      </c>
      <c r="R691" t="s">
        <v>1550</v>
      </c>
      <c r="S691" t="s">
        <v>1534</v>
      </c>
      <c r="T691" t="s">
        <v>1542</v>
      </c>
      <c r="U691" t="s">
        <v>1545</v>
      </c>
      <c r="V691" t="s">
        <v>1559</v>
      </c>
      <c r="W691" t="s">
        <v>1563</v>
      </c>
      <c r="X691" t="s">
        <v>1575</v>
      </c>
      <c r="Y691" t="s">
        <v>1583</v>
      </c>
      <c r="Z691" t="s">
        <v>1591</v>
      </c>
      <c r="AA691" t="s">
        <v>1596</v>
      </c>
      <c r="AB691" t="s">
        <v>1601</v>
      </c>
      <c r="AC691" t="s">
        <v>1610</v>
      </c>
      <c r="AD691" t="s">
        <v>1605</v>
      </c>
      <c r="AE691" t="s">
        <v>1616</v>
      </c>
      <c r="AF691" t="s">
        <v>1627</v>
      </c>
    </row>
    <row r="692" spans="1:32" x14ac:dyDescent="0.25">
      <c r="A692" t="s">
        <v>749</v>
      </c>
      <c r="B692">
        <v>31</v>
      </c>
      <c r="C692">
        <v>616</v>
      </c>
      <c r="D692">
        <v>12</v>
      </c>
      <c r="E692">
        <v>41</v>
      </c>
      <c r="F692">
        <v>5855</v>
      </c>
      <c r="G692">
        <v>17369</v>
      </c>
      <c r="H692">
        <v>0</v>
      </c>
      <c r="I692">
        <v>11</v>
      </c>
      <c r="J692">
        <v>10</v>
      </c>
      <c r="K692">
        <v>2</v>
      </c>
      <c r="L692">
        <v>9</v>
      </c>
      <c r="M692">
        <v>7</v>
      </c>
      <c r="N692">
        <v>8</v>
      </c>
      <c r="O692">
        <v>5</v>
      </c>
      <c r="P692" t="s">
        <v>1556</v>
      </c>
      <c r="Q692" t="s">
        <v>1552</v>
      </c>
      <c r="R692" t="s">
        <v>1550</v>
      </c>
      <c r="S692" t="s">
        <v>1534</v>
      </c>
      <c r="T692" t="s">
        <v>1540</v>
      </c>
      <c r="U692" t="s">
        <v>1548</v>
      </c>
      <c r="V692" t="s">
        <v>1558</v>
      </c>
      <c r="W692" t="s">
        <v>1563</v>
      </c>
      <c r="X692" t="s">
        <v>1576</v>
      </c>
      <c r="Y692" t="s">
        <v>1585</v>
      </c>
      <c r="Z692" t="s">
        <v>1594</v>
      </c>
      <c r="AA692" t="s">
        <v>1597</v>
      </c>
      <c r="AB692" t="s">
        <v>1600</v>
      </c>
      <c r="AC692" t="s">
        <v>1610</v>
      </c>
      <c r="AD692" t="s">
        <v>1606</v>
      </c>
      <c r="AE692" t="s">
        <v>1618</v>
      </c>
      <c r="AF692" t="s">
        <v>1625</v>
      </c>
    </row>
    <row r="693" spans="1:32" x14ac:dyDescent="0.25">
      <c r="A693" t="s">
        <v>750</v>
      </c>
      <c r="B693">
        <v>40</v>
      </c>
      <c r="C693">
        <v>1469</v>
      </c>
      <c r="D693">
        <v>9</v>
      </c>
      <c r="E693">
        <v>35</v>
      </c>
      <c r="F693">
        <v>3617</v>
      </c>
      <c r="G693">
        <v>25063</v>
      </c>
      <c r="H693">
        <v>8</v>
      </c>
      <c r="I693">
        <v>14</v>
      </c>
      <c r="J693">
        <v>3</v>
      </c>
      <c r="K693">
        <v>2</v>
      </c>
      <c r="L693">
        <v>1</v>
      </c>
      <c r="M693">
        <v>1</v>
      </c>
      <c r="N693">
        <v>0</v>
      </c>
      <c r="O693">
        <v>0</v>
      </c>
      <c r="P693" t="s">
        <v>1556</v>
      </c>
      <c r="Q693" t="s">
        <v>1553</v>
      </c>
      <c r="R693" t="s">
        <v>1550</v>
      </c>
      <c r="S693" t="s">
        <v>1535</v>
      </c>
      <c r="T693" t="s">
        <v>1540</v>
      </c>
      <c r="U693" t="s">
        <v>1548</v>
      </c>
      <c r="V693" t="s">
        <v>1559</v>
      </c>
      <c r="W693" t="s">
        <v>1563</v>
      </c>
      <c r="X693" t="s">
        <v>1575</v>
      </c>
      <c r="Y693" t="s">
        <v>1582</v>
      </c>
      <c r="Z693" t="s">
        <v>1592</v>
      </c>
      <c r="AA693" t="s">
        <v>1598</v>
      </c>
      <c r="AB693" t="s">
        <v>1600</v>
      </c>
      <c r="AC693" t="s">
        <v>1610</v>
      </c>
      <c r="AD693" t="s">
        <v>1607</v>
      </c>
      <c r="AE693" t="s">
        <v>1617</v>
      </c>
      <c r="AF693" t="s">
        <v>1627</v>
      </c>
    </row>
    <row r="694" spans="1:32" x14ac:dyDescent="0.25">
      <c r="A694" t="s">
        <v>751</v>
      </c>
      <c r="B694">
        <v>32</v>
      </c>
      <c r="C694">
        <v>498</v>
      </c>
      <c r="D694">
        <v>3</v>
      </c>
      <c r="E694">
        <v>93</v>
      </c>
      <c r="F694">
        <v>6725</v>
      </c>
      <c r="G694">
        <v>13554</v>
      </c>
      <c r="H694">
        <v>1</v>
      </c>
      <c r="I694">
        <v>12</v>
      </c>
      <c r="J694">
        <v>8</v>
      </c>
      <c r="K694">
        <v>2</v>
      </c>
      <c r="L694">
        <v>8</v>
      </c>
      <c r="M694">
        <v>7</v>
      </c>
      <c r="N694">
        <v>6</v>
      </c>
      <c r="O694">
        <v>3</v>
      </c>
      <c r="P694" t="s">
        <v>1556</v>
      </c>
      <c r="Q694" t="s">
        <v>1552</v>
      </c>
      <c r="R694" t="s">
        <v>1550</v>
      </c>
      <c r="S694" t="s">
        <v>1535</v>
      </c>
      <c r="T694" t="s">
        <v>1540</v>
      </c>
      <c r="U694" t="s">
        <v>1547</v>
      </c>
      <c r="V694" t="s">
        <v>1558</v>
      </c>
      <c r="W694" t="s">
        <v>1563</v>
      </c>
      <c r="X694" t="s">
        <v>1576</v>
      </c>
      <c r="Y694" t="s">
        <v>1584</v>
      </c>
      <c r="Z694" t="s">
        <v>1591</v>
      </c>
      <c r="AA694" t="s">
        <v>1597</v>
      </c>
      <c r="AB694" t="s">
        <v>1601</v>
      </c>
      <c r="AC694" t="s">
        <v>1610</v>
      </c>
      <c r="AD694" t="s">
        <v>1606</v>
      </c>
      <c r="AE694" t="s">
        <v>1617</v>
      </c>
      <c r="AF694" t="s">
        <v>1628</v>
      </c>
    </row>
    <row r="695" spans="1:32" x14ac:dyDescent="0.25">
      <c r="A695" t="s">
        <v>752</v>
      </c>
      <c r="B695">
        <v>36</v>
      </c>
      <c r="C695">
        <v>530</v>
      </c>
      <c r="D695">
        <v>3</v>
      </c>
      <c r="E695">
        <v>51</v>
      </c>
      <c r="F695">
        <v>10325</v>
      </c>
      <c r="G695">
        <v>5518</v>
      </c>
      <c r="H695">
        <v>1</v>
      </c>
      <c r="I695">
        <v>11</v>
      </c>
      <c r="J695">
        <v>16</v>
      </c>
      <c r="K695">
        <v>6</v>
      </c>
      <c r="L695">
        <v>16</v>
      </c>
      <c r="M695">
        <v>7</v>
      </c>
      <c r="N695">
        <v>3</v>
      </c>
      <c r="O695">
        <v>7</v>
      </c>
      <c r="P695" t="s">
        <v>1555</v>
      </c>
      <c r="Q695" t="s">
        <v>1552</v>
      </c>
      <c r="R695" t="s">
        <v>1549</v>
      </c>
      <c r="S695" t="s">
        <v>1532</v>
      </c>
      <c r="T695" t="s">
        <v>1538</v>
      </c>
      <c r="U695" t="s">
        <v>1547</v>
      </c>
      <c r="V695" t="s">
        <v>1559</v>
      </c>
      <c r="W695" t="s">
        <v>1562</v>
      </c>
      <c r="X695" t="s">
        <v>1577</v>
      </c>
      <c r="Y695" t="s">
        <v>1581</v>
      </c>
      <c r="Z695" t="s">
        <v>1594</v>
      </c>
      <c r="AA695" t="s">
        <v>1597</v>
      </c>
      <c r="AB695" t="s">
        <v>1600</v>
      </c>
      <c r="AC695" t="s">
        <v>1610</v>
      </c>
      <c r="AD695" t="s">
        <v>1604</v>
      </c>
      <c r="AE695" t="s">
        <v>1617</v>
      </c>
      <c r="AF695" t="s">
        <v>1627</v>
      </c>
    </row>
    <row r="696" spans="1:32" x14ac:dyDescent="0.25">
      <c r="A696" t="s">
        <v>753</v>
      </c>
      <c r="B696">
        <v>33</v>
      </c>
      <c r="C696">
        <v>1069</v>
      </c>
      <c r="D696">
        <v>1</v>
      </c>
      <c r="E696">
        <v>42</v>
      </c>
      <c r="F696">
        <v>6949</v>
      </c>
      <c r="G696">
        <v>12291</v>
      </c>
      <c r="H696">
        <v>0</v>
      </c>
      <c r="I696">
        <v>14</v>
      </c>
      <c r="J696">
        <v>6</v>
      </c>
      <c r="K696">
        <v>3</v>
      </c>
      <c r="L696">
        <v>5</v>
      </c>
      <c r="M696">
        <v>0</v>
      </c>
      <c r="N696">
        <v>1</v>
      </c>
      <c r="O696">
        <v>4</v>
      </c>
      <c r="P696" t="s">
        <v>1556</v>
      </c>
      <c r="Q696" t="s">
        <v>1552</v>
      </c>
      <c r="R696" t="s">
        <v>1550</v>
      </c>
      <c r="S696" t="s">
        <v>1534</v>
      </c>
      <c r="T696" t="s">
        <v>1538</v>
      </c>
      <c r="U696" t="s">
        <v>1546</v>
      </c>
      <c r="V696" t="s">
        <v>1558</v>
      </c>
      <c r="W696" t="s">
        <v>1562</v>
      </c>
      <c r="X696" t="s">
        <v>1576</v>
      </c>
      <c r="Y696" t="s">
        <v>1585</v>
      </c>
      <c r="Z696" t="s">
        <v>1594</v>
      </c>
      <c r="AA696" t="s">
        <v>1596</v>
      </c>
      <c r="AB696" t="s">
        <v>1601</v>
      </c>
      <c r="AC696" t="s">
        <v>1610</v>
      </c>
      <c r="AD696" t="s">
        <v>1604</v>
      </c>
      <c r="AE696" t="s">
        <v>1616</v>
      </c>
      <c r="AF696" t="s">
        <v>1627</v>
      </c>
    </row>
    <row r="697" spans="1:32" x14ac:dyDescent="0.25">
      <c r="A697" t="s">
        <v>754</v>
      </c>
      <c r="B697">
        <v>37</v>
      </c>
      <c r="C697">
        <v>625</v>
      </c>
      <c r="D697">
        <v>1</v>
      </c>
      <c r="E697">
        <v>46</v>
      </c>
      <c r="F697">
        <v>10609</v>
      </c>
      <c r="G697">
        <v>14922</v>
      </c>
      <c r="H697">
        <v>5</v>
      </c>
      <c r="I697">
        <v>11</v>
      </c>
      <c r="J697">
        <v>17</v>
      </c>
      <c r="K697">
        <v>2</v>
      </c>
      <c r="L697">
        <v>14</v>
      </c>
      <c r="M697">
        <v>1</v>
      </c>
      <c r="N697">
        <v>11</v>
      </c>
      <c r="O697">
        <v>7</v>
      </c>
      <c r="P697" t="s">
        <v>1555</v>
      </c>
      <c r="Q697" t="s">
        <v>1552</v>
      </c>
      <c r="R697" t="s">
        <v>1549</v>
      </c>
      <c r="S697" t="s">
        <v>1535</v>
      </c>
      <c r="T697" t="s">
        <v>1538</v>
      </c>
      <c r="U697" t="s">
        <v>1545</v>
      </c>
      <c r="V697" t="s">
        <v>1559</v>
      </c>
      <c r="W697" t="s">
        <v>1562</v>
      </c>
      <c r="X697" t="s">
        <v>1577</v>
      </c>
      <c r="Y697" t="s">
        <v>1581</v>
      </c>
      <c r="Z697" t="s">
        <v>1593</v>
      </c>
      <c r="AA697" t="s">
        <v>1597</v>
      </c>
      <c r="AB697" t="s">
        <v>1601</v>
      </c>
      <c r="AC697" t="s">
        <v>1610</v>
      </c>
      <c r="AD697" t="s">
        <v>1606</v>
      </c>
      <c r="AE697" t="s">
        <v>1616</v>
      </c>
      <c r="AF697" t="s">
        <v>1625</v>
      </c>
    </row>
    <row r="698" spans="1:32" x14ac:dyDescent="0.25">
      <c r="A698" t="s">
        <v>755</v>
      </c>
      <c r="B698">
        <v>45</v>
      </c>
      <c r="C698">
        <v>805</v>
      </c>
      <c r="D698">
        <v>4</v>
      </c>
      <c r="E698">
        <v>57</v>
      </c>
      <c r="F698">
        <v>4447</v>
      </c>
      <c r="G698">
        <v>23163</v>
      </c>
      <c r="H698">
        <v>1</v>
      </c>
      <c r="I698">
        <v>12</v>
      </c>
      <c r="J698">
        <v>9</v>
      </c>
      <c r="K698">
        <v>5</v>
      </c>
      <c r="L698">
        <v>9</v>
      </c>
      <c r="M698">
        <v>7</v>
      </c>
      <c r="N698">
        <v>0</v>
      </c>
      <c r="O698">
        <v>8</v>
      </c>
      <c r="P698" t="s">
        <v>1556</v>
      </c>
      <c r="Q698" t="s">
        <v>1554</v>
      </c>
      <c r="R698" t="s">
        <v>1550</v>
      </c>
      <c r="S698" t="s">
        <v>1533</v>
      </c>
      <c r="T698" t="s">
        <v>1538</v>
      </c>
      <c r="U698" t="s">
        <v>1547</v>
      </c>
      <c r="V698" t="s">
        <v>1559</v>
      </c>
      <c r="W698" t="s">
        <v>1563</v>
      </c>
      <c r="X698" t="s">
        <v>1576</v>
      </c>
      <c r="Y698" t="s">
        <v>1583</v>
      </c>
      <c r="Z698" t="s">
        <v>1592</v>
      </c>
      <c r="AA698" t="s">
        <v>1597</v>
      </c>
      <c r="AB698" t="s">
        <v>1601</v>
      </c>
      <c r="AC698" t="s">
        <v>1610</v>
      </c>
      <c r="AD698" t="s">
        <v>1605</v>
      </c>
      <c r="AE698" t="s">
        <v>1616</v>
      </c>
      <c r="AF698" t="s">
        <v>1626</v>
      </c>
    </row>
    <row r="699" spans="1:32" x14ac:dyDescent="0.25">
      <c r="A699" t="s">
        <v>756</v>
      </c>
      <c r="B699">
        <v>29</v>
      </c>
      <c r="C699">
        <v>1404</v>
      </c>
      <c r="D699">
        <v>20</v>
      </c>
      <c r="E699">
        <v>84</v>
      </c>
      <c r="F699">
        <v>2157</v>
      </c>
      <c r="G699">
        <v>18203</v>
      </c>
      <c r="H699">
        <v>1</v>
      </c>
      <c r="I699">
        <v>15</v>
      </c>
      <c r="J699">
        <v>3</v>
      </c>
      <c r="K699">
        <v>5</v>
      </c>
      <c r="L699">
        <v>3</v>
      </c>
      <c r="M699">
        <v>1</v>
      </c>
      <c r="N699">
        <v>0</v>
      </c>
      <c r="O699">
        <v>2</v>
      </c>
      <c r="P699" t="s">
        <v>1556</v>
      </c>
      <c r="Q699" t="s">
        <v>1553</v>
      </c>
      <c r="R699" t="s">
        <v>1549</v>
      </c>
      <c r="S699" t="s">
        <v>1534</v>
      </c>
      <c r="T699" t="s">
        <v>1542</v>
      </c>
      <c r="U699" t="s">
        <v>1547</v>
      </c>
      <c r="V699" t="s">
        <v>1558</v>
      </c>
      <c r="W699" t="s">
        <v>1563</v>
      </c>
      <c r="X699" t="s">
        <v>1575</v>
      </c>
      <c r="Y699" t="s">
        <v>1587</v>
      </c>
      <c r="Z699" t="s">
        <v>1594</v>
      </c>
      <c r="AA699" t="s">
        <v>1597</v>
      </c>
      <c r="AB699" t="s">
        <v>1601</v>
      </c>
      <c r="AC699" t="s">
        <v>1610</v>
      </c>
      <c r="AD699" t="s">
        <v>1605</v>
      </c>
      <c r="AE699" t="s">
        <v>1617</v>
      </c>
      <c r="AF699" t="s">
        <v>1627</v>
      </c>
    </row>
    <row r="700" spans="1:32" x14ac:dyDescent="0.25">
      <c r="A700" t="s">
        <v>757</v>
      </c>
      <c r="B700">
        <v>35</v>
      </c>
      <c r="C700">
        <v>1219</v>
      </c>
      <c r="D700">
        <v>18</v>
      </c>
      <c r="E700">
        <v>86</v>
      </c>
      <c r="F700">
        <v>4601</v>
      </c>
      <c r="G700">
        <v>6179</v>
      </c>
      <c r="H700">
        <v>1</v>
      </c>
      <c r="I700">
        <v>16</v>
      </c>
      <c r="J700">
        <v>5</v>
      </c>
      <c r="K700">
        <v>3</v>
      </c>
      <c r="L700">
        <v>5</v>
      </c>
      <c r="M700">
        <v>2</v>
      </c>
      <c r="N700">
        <v>1</v>
      </c>
      <c r="O700">
        <v>0</v>
      </c>
      <c r="P700" t="s">
        <v>1556</v>
      </c>
      <c r="Q700" t="s">
        <v>1552</v>
      </c>
      <c r="R700" t="s">
        <v>1549</v>
      </c>
      <c r="S700" t="s">
        <v>1534</v>
      </c>
      <c r="T700" t="s">
        <v>1540</v>
      </c>
      <c r="U700" t="s">
        <v>1547</v>
      </c>
      <c r="V700" t="s">
        <v>1558</v>
      </c>
      <c r="W700" t="s">
        <v>1563</v>
      </c>
      <c r="X700" t="s">
        <v>1576</v>
      </c>
      <c r="Y700" t="s">
        <v>1581</v>
      </c>
      <c r="Z700" t="s">
        <v>1593</v>
      </c>
      <c r="AA700" t="s">
        <v>1597</v>
      </c>
      <c r="AB700" t="s">
        <v>1601</v>
      </c>
      <c r="AC700" t="s">
        <v>1610</v>
      </c>
      <c r="AD700" t="s">
        <v>1605</v>
      </c>
      <c r="AE700" t="s">
        <v>1616</v>
      </c>
      <c r="AF700" t="s">
        <v>1627</v>
      </c>
    </row>
    <row r="701" spans="1:32" x14ac:dyDescent="0.25">
      <c r="A701" t="s">
        <v>758</v>
      </c>
      <c r="B701">
        <v>52</v>
      </c>
      <c r="C701">
        <v>1053</v>
      </c>
      <c r="D701">
        <v>1</v>
      </c>
      <c r="E701">
        <v>70</v>
      </c>
      <c r="F701">
        <v>17099</v>
      </c>
      <c r="G701">
        <v>13829</v>
      </c>
      <c r="H701">
        <v>2</v>
      </c>
      <c r="I701">
        <v>15</v>
      </c>
      <c r="J701">
        <v>26</v>
      </c>
      <c r="K701">
        <v>2</v>
      </c>
      <c r="L701">
        <v>9</v>
      </c>
      <c r="M701">
        <v>8</v>
      </c>
      <c r="N701">
        <v>7</v>
      </c>
      <c r="O701">
        <v>8</v>
      </c>
      <c r="P701" t="s">
        <v>1556</v>
      </c>
      <c r="Q701" t="s">
        <v>1552</v>
      </c>
      <c r="R701" t="s">
        <v>1550</v>
      </c>
      <c r="S701" t="s">
        <v>1533</v>
      </c>
      <c r="T701" t="s">
        <v>1538</v>
      </c>
      <c r="U701" t="s">
        <v>1548</v>
      </c>
      <c r="V701" t="s">
        <v>1559</v>
      </c>
      <c r="W701" t="s">
        <v>1563</v>
      </c>
      <c r="X701" t="s">
        <v>1578</v>
      </c>
      <c r="Y701" t="s">
        <v>1586</v>
      </c>
      <c r="Z701" t="s">
        <v>1594</v>
      </c>
      <c r="AA701" t="s">
        <v>1597</v>
      </c>
      <c r="AB701" t="s">
        <v>1601</v>
      </c>
      <c r="AC701" t="s">
        <v>1610</v>
      </c>
      <c r="AD701" t="s">
        <v>1605</v>
      </c>
      <c r="AE701" t="s">
        <v>1617</v>
      </c>
      <c r="AF701" t="s">
        <v>1626</v>
      </c>
    </row>
    <row r="702" spans="1:32" x14ac:dyDescent="0.25">
      <c r="A702" t="s">
        <v>759</v>
      </c>
      <c r="B702">
        <v>58</v>
      </c>
      <c r="C702">
        <v>289</v>
      </c>
      <c r="D702">
        <v>2</v>
      </c>
      <c r="E702">
        <v>51</v>
      </c>
      <c r="F702">
        <v>2479</v>
      </c>
      <c r="G702">
        <v>26227</v>
      </c>
      <c r="H702">
        <v>4</v>
      </c>
      <c r="I702">
        <v>24</v>
      </c>
      <c r="J702">
        <v>7</v>
      </c>
      <c r="K702">
        <v>4</v>
      </c>
      <c r="L702">
        <v>1</v>
      </c>
      <c r="M702">
        <v>0</v>
      </c>
      <c r="N702">
        <v>0</v>
      </c>
      <c r="O702">
        <v>0</v>
      </c>
      <c r="P702" t="s">
        <v>1555</v>
      </c>
      <c r="Q702" t="s">
        <v>1552</v>
      </c>
      <c r="R702" t="s">
        <v>1550</v>
      </c>
      <c r="S702" t="s">
        <v>1534</v>
      </c>
      <c r="T702" t="s">
        <v>1542</v>
      </c>
      <c r="U702" t="s">
        <v>1548</v>
      </c>
      <c r="V702" t="s">
        <v>1559</v>
      </c>
      <c r="W702" t="s">
        <v>1563</v>
      </c>
      <c r="X702" t="s">
        <v>1575</v>
      </c>
      <c r="Y702" t="s">
        <v>1582</v>
      </c>
      <c r="Z702" t="s">
        <v>1593</v>
      </c>
      <c r="AA702" t="s">
        <v>1596</v>
      </c>
      <c r="AB702" t="s">
        <v>1601</v>
      </c>
      <c r="AC702" t="s">
        <v>1611</v>
      </c>
      <c r="AD702" t="s">
        <v>1604</v>
      </c>
      <c r="AE702" t="s">
        <v>1616</v>
      </c>
      <c r="AF702" t="s">
        <v>1627</v>
      </c>
    </row>
    <row r="703" spans="1:32" x14ac:dyDescent="0.25">
      <c r="A703" t="s">
        <v>760</v>
      </c>
      <c r="B703">
        <v>53</v>
      </c>
      <c r="C703">
        <v>1376</v>
      </c>
      <c r="D703">
        <v>2</v>
      </c>
      <c r="E703">
        <v>45</v>
      </c>
      <c r="F703">
        <v>14852</v>
      </c>
      <c r="G703">
        <v>13938</v>
      </c>
      <c r="H703">
        <v>6</v>
      </c>
      <c r="I703">
        <v>13</v>
      </c>
      <c r="J703">
        <v>22</v>
      </c>
      <c r="K703">
        <v>3</v>
      </c>
      <c r="L703">
        <v>17</v>
      </c>
      <c r="M703">
        <v>13</v>
      </c>
      <c r="N703">
        <v>15</v>
      </c>
      <c r="O703">
        <v>2</v>
      </c>
      <c r="P703" t="s">
        <v>1556</v>
      </c>
      <c r="Q703" t="s">
        <v>1552</v>
      </c>
      <c r="R703" t="s">
        <v>1549</v>
      </c>
      <c r="S703" t="s">
        <v>1533</v>
      </c>
      <c r="T703" t="s">
        <v>1540</v>
      </c>
      <c r="U703" t="s">
        <v>1547</v>
      </c>
      <c r="V703" t="s">
        <v>1559</v>
      </c>
      <c r="W703" t="s">
        <v>1563</v>
      </c>
      <c r="X703" t="s">
        <v>1578</v>
      </c>
      <c r="Y703" t="s">
        <v>1586</v>
      </c>
      <c r="Z703" t="s">
        <v>1593</v>
      </c>
      <c r="AA703" t="s">
        <v>1598</v>
      </c>
      <c r="AB703" t="s">
        <v>1601</v>
      </c>
      <c r="AC703" t="s">
        <v>1610</v>
      </c>
      <c r="AD703" t="s">
        <v>1606</v>
      </c>
      <c r="AE703" t="s">
        <v>1617</v>
      </c>
      <c r="AF703" t="s">
        <v>1628</v>
      </c>
    </row>
    <row r="704" spans="1:32" x14ac:dyDescent="0.25">
      <c r="A704" t="s">
        <v>761</v>
      </c>
      <c r="B704">
        <v>30</v>
      </c>
      <c r="C704">
        <v>231</v>
      </c>
      <c r="D704">
        <v>8</v>
      </c>
      <c r="E704">
        <v>62</v>
      </c>
      <c r="F704">
        <v>7264</v>
      </c>
      <c r="G704">
        <v>9977</v>
      </c>
      <c r="H704">
        <v>5</v>
      </c>
      <c r="I704">
        <v>11</v>
      </c>
      <c r="J704">
        <v>10</v>
      </c>
      <c r="K704">
        <v>2</v>
      </c>
      <c r="L704">
        <v>8</v>
      </c>
      <c r="M704">
        <v>4</v>
      </c>
      <c r="N704">
        <v>7</v>
      </c>
      <c r="O704">
        <v>7</v>
      </c>
      <c r="P704" t="s">
        <v>1556</v>
      </c>
      <c r="Q704" t="s">
        <v>1552</v>
      </c>
      <c r="R704" t="s">
        <v>1549</v>
      </c>
      <c r="S704" t="s">
        <v>1533</v>
      </c>
      <c r="T704" t="s">
        <v>1539</v>
      </c>
      <c r="U704" t="s">
        <v>1547</v>
      </c>
      <c r="V704" t="s">
        <v>1559</v>
      </c>
      <c r="W704" t="s">
        <v>1563</v>
      </c>
      <c r="X704" t="s">
        <v>1577</v>
      </c>
      <c r="Y704" t="s">
        <v>1581</v>
      </c>
      <c r="Z704" t="s">
        <v>1593</v>
      </c>
      <c r="AA704" t="s">
        <v>1598</v>
      </c>
      <c r="AB704" t="s">
        <v>1601</v>
      </c>
      <c r="AC704" t="s">
        <v>1610</v>
      </c>
      <c r="AD704" t="s">
        <v>1604</v>
      </c>
      <c r="AE704" t="s">
        <v>1617</v>
      </c>
      <c r="AF704" t="s">
        <v>1628</v>
      </c>
    </row>
    <row r="705" spans="1:32" x14ac:dyDescent="0.25">
      <c r="A705" t="s">
        <v>762</v>
      </c>
      <c r="B705">
        <v>38</v>
      </c>
      <c r="C705">
        <v>152</v>
      </c>
      <c r="D705">
        <v>10</v>
      </c>
      <c r="E705">
        <v>85</v>
      </c>
      <c r="F705">
        <v>5666</v>
      </c>
      <c r="G705">
        <v>19899</v>
      </c>
      <c r="H705">
        <v>1</v>
      </c>
      <c r="I705">
        <v>13</v>
      </c>
      <c r="J705">
        <v>6</v>
      </c>
      <c r="K705">
        <v>1</v>
      </c>
      <c r="L705">
        <v>5</v>
      </c>
      <c r="M705">
        <v>3</v>
      </c>
      <c r="N705">
        <v>1</v>
      </c>
      <c r="O705">
        <v>3</v>
      </c>
      <c r="P705" t="s">
        <v>1556</v>
      </c>
      <c r="Q705" t="s">
        <v>1554</v>
      </c>
      <c r="R705" t="s">
        <v>1549</v>
      </c>
      <c r="S705" t="s">
        <v>1534</v>
      </c>
      <c r="T705" t="s">
        <v>1542</v>
      </c>
      <c r="U705" t="s">
        <v>1547</v>
      </c>
      <c r="V705" t="s">
        <v>1558</v>
      </c>
      <c r="W705" t="s">
        <v>1563</v>
      </c>
      <c r="X705" t="s">
        <v>1576</v>
      </c>
      <c r="Y705" t="s">
        <v>1581</v>
      </c>
      <c r="Z705" t="s">
        <v>1594</v>
      </c>
      <c r="AA705" t="s">
        <v>1596</v>
      </c>
      <c r="AB705" t="s">
        <v>1600</v>
      </c>
      <c r="AC705" t="s">
        <v>1610</v>
      </c>
      <c r="AD705" t="s">
        <v>1605</v>
      </c>
      <c r="AE705" t="s">
        <v>1616</v>
      </c>
      <c r="AF705" t="s">
        <v>1627</v>
      </c>
    </row>
    <row r="706" spans="1:32" x14ac:dyDescent="0.25">
      <c r="A706" t="s">
        <v>763</v>
      </c>
      <c r="B706">
        <v>35</v>
      </c>
      <c r="C706">
        <v>882</v>
      </c>
      <c r="D706">
        <v>3</v>
      </c>
      <c r="E706">
        <v>92</v>
      </c>
      <c r="F706">
        <v>7823</v>
      </c>
      <c r="G706">
        <v>6812</v>
      </c>
      <c r="H706">
        <v>6</v>
      </c>
      <c r="I706">
        <v>13</v>
      </c>
      <c r="J706">
        <v>12</v>
      </c>
      <c r="K706">
        <v>2</v>
      </c>
      <c r="L706">
        <v>10</v>
      </c>
      <c r="M706">
        <v>9</v>
      </c>
      <c r="N706">
        <v>0</v>
      </c>
      <c r="O706">
        <v>8</v>
      </c>
      <c r="P706" t="s">
        <v>1556</v>
      </c>
      <c r="Q706" t="s">
        <v>1552</v>
      </c>
      <c r="R706" t="s">
        <v>1549</v>
      </c>
      <c r="S706" t="s">
        <v>1535</v>
      </c>
      <c r="T706" t="s">
        <v>1538</v>
      </c>
      <c r="U706" t="s">
        <v>1548</v>
      </c>
      <c r="V706" t="s">
        <v>1559</v>
      </c>
      <c r="W706" t="s">
        <v>1563</v>
      </c>
      <c r="X706" t="s">
        <v>1577</v>
      </c>
      <c r="Y706" t="s">
        <v>1581</v>
      </c>
      <c r="Z706" t="s">
        <v>1594</v>
      </c>
      <c r="AA706" t="s">
        <v>1598</v>
      </c>
      <c r="AB706" t="s">
        <v>1601</v>
      </c>
      <c r="AC706" t="s">
        <v>1610</v>
      </c>
      <c r="AD706" t="s">
        <v>1605</v>
      </c>
      <c r="AE706" t="s">
        <v>1617</v>
      </c>
      <c r="AF706" t="s">
        <v>1627</v>
      </c>
    </row>
    <row r="707" spans="1:32" x14ac:dyDescent="0.25">
      <c r="A707" t="s">
        <v>764</v>
      </c>
      <c r="B707">
        <v>39</v>
      </c>
      <c r="C707">
        <v>903</v>
      </c>
      <c r="D707">
        <v>2</v>
      </c>
      <c r="E707">
        <v>41</v>
      </c>
      <c r="F707">
        <v>7880</v>
      </c>
      <c r="G707">
        <v>2560</v>
      </c>
      <c r="H707">
        <v>0</v>
      </c>
      <c r="I707">
        <v>18</v>
      </c>
      <c r="J707">
        <v>9</v>
      </c>
      <c r="K707">
        <v>3</v>
      </c>
      <c r="L707">
        <v>8</v>
      </c>
      <c r="M707">
        <v>7</v>
      </c>
      <c r="N707">
        <v>0</v>
      </c>
      <c r="O707">
        <v>7</v>
      </c>
      <c r="P707" t="s">
        <v>1556</v>
      </c>
      <c r="Q707" t="s">
        <v>1552</v>
      </c>
      <c r="R707" t="s">
        <v>1549</v>
      </c>
      <c r="S707" t="s">
        <v>1536</v>
      </c>
      <c r="T707" t="s">
        <v>1538</v>
      </c>
      <c r="U707" t="s">
        <v>1545</v>
      </c>
      <c r="V707" t="s">
        <v>1559</v>
      </c>
      <c r="W707" t="s">
        <v>1564</v>
      </c>
      <c r="X707" t="s">
        <v>1577</v>
      </c>
      <c r="Y707" t="s">
        <v>1581</v>
      </c>
      <c r="Z707" t="s">
        <v>1593</v>
      </c>
      <c r="AA707" t="s">
        <v>1596</v>
      </c>
      <c r="AB707" t="s">
        <v>1601</v>
      </c>
      <c r="AC707" t="s">
        <v>1610</v>
      </c>
      <c r="AD707" t="s">
        <v>1607</v>
      </c>
      <c r="AE707" t="s">
        <v>1616</v>
      </c>
      <c r="AF707" t="s">
        <v>1627</v>
      </c>
    </row>
    <row r="708" spans="1:32" x14ac:dyDescent="0.25">
      <c r="A708" t="s">
        <v>765</v>
      </c>
      <c r="B708">
        <v>40</v>
      </c>
      <c r="C708">
        <v>1479</v>
      </c>
      <c r="D708">
        <v>24</v>
      </c>
      <c r="E708">
        <v>100</v>
      </c>
      <c r="F708">
        <v>13194</v>
      </c>
      <c r="G708">
        <v>17071</v>
      </c>
      <c r="H708">
        <v>4</v>
      </c>
      <c r="I708">
        <v>16</v>
      </c>
      <c r="J708">
        <v>22</v>
      </c>
      <c r="K708">
        <v>2</v>
      </c>
      <c r="L708">
        <v>1</v>
      </c>
      <c r="M708">
        <v>0</v>
      </c>
      <c r="N708">
        <v>0</v>
      </c>
      <c r="O708">
        <v>0</v>
      </c>
      <c r="P708" t="s">
        <v>1555</v>
      </c>
      <c r="Q708" t="s">
        <v>1554</v>
      </c>
      <c r="R708" t="s">
        <v>1549</v>
      </c>
      <c r="S708" t="s">
        <v>1534</v>
      </c>
      <c r="T708" t="s">
        <v>1538</v>
      </c>
      <c r="U708" t="s">
        <v>1546</v>
      </c>
      <c r="V708" t="s">
        <v>1558</v>
      </c>
      <c r="W708" t="s">
        <v>1564</v>
      </c>
      <c r="X708" t="s">
        <v>1578</v>
      </c>
      <c r="Y708" t="s">
        <v>1581</v>
      </c>
      <c r="Z708" t="s">
        <v>1592</v>
      </c>
      <c r="AA708" t="s">
        <v>1596</v>
      </c>
      <c r="AB708" t="s">
        <v>1600</v>
      </c>
      <c r="AC708" t="s">
        <v>1610</v>
      </c>
      <c r="AD708" t="s">
        <v>1607</v>
      </c>
      <c r="AE708" t="s">
        <v>1616</v>
      </c>
      <c r="AF708" t="s">
        <v>1626</v>
      </c>
    </row>
    <row r="709" spans="1:32" x14ac:dyDescent="0.25">
      <c r="A709" t="s">
        <v>766</v>
      </c>
      <c r="B709">
        <v>47</v>
      </c>
      <c r="C709">
        <v>1379</v>
      </c>
      <c r="D709">
        <v>16</v>
      </c>
      <c r="E709">
        <v>64</v>
      </c>
      <c r="F709">
        <v>5067</v>
      </c>
      <c r="G709">
        <v>6759</v>
      </c>
      <c r="H709">
        <v>1</v>
      </c>
      <c r="I709">
        <v>19</v>
      </c>
      <c r="J709">
        <v>20</v>
      </c>
      <c r="K709">
        <v>3</v>
      </c>
      <c r="L709">
        <v>19</v>
      </c>
      <c r="M709">
        <v>10</v>
      </c>
      <c r="N709">
        <v>2</v>
      </c>
      <c r="O709">
        <v>7</v>
      </c>
      <c r="P709" t="s">
        <v>1556</v>
      </c>
      <c r="Q709" t="s">
        <v>1553</v>
      </c>
      <c r="R709" t="s">
        <v>1550</v>
      </c>
      <c r="S709" t="s">
        <v>1535</v>
      </c>
      <c r="T709" t="s">
        <v>1540</v>
      </c>
      <c r="U709" t="s">
        <v>1547</v>
      </c>
      <c r="V709" t="s">
        <v>1559</v>
      </c>
      <c r="W709" t="s">
        <v>1564</v>
      </c>
      <c r="X709" t="s">
        <v>1576</v>
      </c>
      <c r="Y709" t="s">
        <v>1584</v>
      </c>
      <c r="Z709" t="s">
        <v>1593</v>
      </c>
      <c r="AA709" t="s">
        <v>1598</v>
      </c>
      <c r="AB709" t="s">
        <v>1600</v>
      </c>
      <c r="AC709" t="s">
        <v>1610</v>
      </c>
      <c r="AD709" t="s">
        <v>1606</v>
      </c>
      <c r="AE709" t="s">
        <v>1616</v>
      </c>
      <c r="AF709" t="s">
        <v>1628</v>
      </c>
    </row>
    <row r="710" spans="1:32" x14ac:dyDescent="0.25">
      <c r="A710" t="s">
        <v>767</v>
      </c>
      <c r="B710">
        <v>36</v>
      </c>
      <c r="C710">
        <v>1229</v>
      </c>
      <c r="D710">
        <v>8</v>
      </c>
      <c r="E710">
        <v>84</v>
      </c>
      <c r="F710">
        <v>5079</v>
      </c>
      <c r="G710">
        <v>25952</v>
      </c>
      <c r="H710">
        <v>4</v>
      </c>
      <c r="I710">
        <v>13</v>
      </c>
      <c r="J710">
        <v>12</v>
      </c>
      <c r="K710">
        <v>3</v>
      </c>
      <c r="L710">
        <v>7</v>
      </c>
      <c r="M710">
        <v>7</v>
      </c>
      <c r="N710">
        <v>0</v>
      </c>
      <c r="O710">
        <v>7</v>
      </c>
      <c r="P710" t="s">
        <v>1556</v>
      </c>
      <c r="Q710" t="s">
        <v>1554</v>
      </c>
      <c r="R710" t="s">
        <v>1549</v>
      </c>
      <c r="S710" t="s">
        <v>1535</v>
      </c>
      <c r="T710" t="s">
        <v>1542</v>
      </c>
      <c r="U710" t="s">
        <v>1545</v>
      </c>
      <c r="V710" t="s">
        <v>1559</v>
      </c>
      <c r="W710" t="s">
        <v>1563</v>
      </c>
      <c r="X710" t="s">
        <v>1576</v>
      </c>
      <c r="Y710" t="s">
        <v>1581</v>
      </c>
      <c r="Z710" t="s">
        <v>1594</v>
      </c>
      <c r="AA710" t="s">
        <v>1598</v>
      </c>
      <c r="AB710" t="s">
        <v>1601</v>
      </c>
      <c r="AC710" t="s">
        <v>1610</v>
      </c>
      <c r="AD710" t="s">
        <v>1607</v>
      </c>
      <c r="AE710" t="s">
        <v>1618</v>
      </c>
      <c r="AF710" t="s">
        <v>1627</v>
      </c>
    </row>
    <row r="711" spans="1:32" x14ac:dyDescent="0.25">
      <c r="A711" t="s">
        <v>768</v>
      </c>
      <c r="B711">
        <v>31</v>
      </c>
      <c r="C711">
        <v>335</v>
      </c>
      <c r="D711">
        <v>9</v>
      </c>
      <c r="E711">
        <v>46</v>
      </c>
      <c r="F711">
        <v>2321</v>
      </c>
      <c r="G711">
        <v>10322</v>
      </c>
      <c r="H711">
        <v>0</v>
      </c>
      <c r="I711">
        <v>22</v>
      </c>
      <c r="J711">
        <v>4</v>
      </c>
      <c r="K711">
        <v>0</v>
      </c>
      <c r="L711">
        <v>3</v>
      </c>
      <c r="M711">
        <v>2</v>
      </c>
      <c r="N711">
        <v>1</v>
      </c>
      <c r="O711">
        <v>2</v>
      </c>
      <c r="P711" t="s">
        <v>1555</v>
      </c>
      <c r="Q711" t="s">
        <v>1554</v>
      </c>
      <c r="R711" t="s">
        <v>1550</v>
      </c>
      <c r="S711" t="s">
        <v>1533</v>
      </c>
      <c r="T711" t="s">
        <v>1540</v>
      </c>
      <c r="U711" t="s">
        <v>1547</v>
      </c>
      <c r="V711" t="s">
        <v>1559</v>
      </c>
      <c r="W711" t="s">
        <v>1562</v>
      </c>
      <c r="X711" t="s">
        <v>1575</v>
      </c>
      <c r="Y711" t="s">
        <v>1582</v>
      </c>
      <c r="Z711" t="s">
        <v>1591</v>
      </c>
      <c r="AA711" t="s">
        <v>1596</v>
      </c>
      <c r="AB711" t="s">
        <v>1600</v>
      </c>
      <c r="AC711" t="s">
        <v>1611</v>
      </c>
      <c r="AD711" t="s">
        <v>1604</v>
      </c>
      <c r="AE711" t="s">
        <v>1616</v>
      </c>
      <c r="AF711" t="s">
        <v>1627</v>
      </c>
    </row>
    <row r="712" spans="1:32" x14ac:dyDescent="0.25">
      <c r="A712" t="s">
        <v>769</v>
      </c>
      <c r="B712">
        <v>33</v>
      </c>
      <c r="C712">
        <v>722</v>
      </c>
      <c r="D712">
        <v>17</v>
      </c>
      <c r="E712">
        <v>38</v>
      </c>
      <c r="F712">
        <v>17444</v>
      </c>
      <c r="G712">
        <v>20489</v>
      </c>
      <c r="H712">
        <v>1</v>
      </c>
      <c r="I712">
        <v>11</v>
      </c>
      <c r="J712">
        <v>10</v>
      </c>
      <c r="K712">
        <v>2</v>
      </c>
      <c r="L712">
        <v>10</v>
      </c>
      <c r="M712">
        <v>8</v>
      </c>
      <c r="N712">
        <v>6</v>
      </c>
      <c r="O712">
        <v>0</v>
      </c>
      <c r="P712" t="s">
        <v>1556</v>
      </c>
      <c r="Q712" t="s">
        <v>1554</v>
      </c>
      <c r="R712" t="s">
        <v>1549</v>
      </c>
      <c r="S712" t="s">
        <v>1534</v>
      </c>
      <c r="T712" t="s">
        <v>1538</v>
      </c>
      <c r="U712" t="s">
        <v>1548</v>
      </c>
      <c r="V712" t="s">
        <v>1559</v>
      </c>
      <c r="W712" t="s">
        <v>1563</v>
      </c>
      <c r="X712" t="s">
        <v>1578</v>
      </c>
      <c r="Y712" t="s">
        <v>1586</v>
      </c>
      <c r="Z712" t="s">
        <v>1593</v>
      </c>
      <c r="AA712" t="s">
        <v>1596</v>
      </c>
      <c r="AB712" t="s">
        <v>1601</v>
      </c>
      <c r="AC712" t="s">
        <v>1610</v>
      </c>
      <c r="AD712" t="s">
        <v>1607</v>
      </c>
      <c r="AE712" t="s">
        <v>1616</v>
      </c>
      <c r="AF712" t="s">
        <v>1627</v>
      </c>
    </row>
    <row r="713" spans="1:32" x14ac:dyDescent="0.25">
      <c r="A713" t="s">
        <v>770</v>
      </c>
      <c r="B713">
        <v>29</v>
      </c>
      <c r="C713">
        <v>906</v>
      </c>
      <c r="D713">
        <v>10</v>
      </c>
      <c r="E713">
        <v>92</v>
      </c>
      <c r="F713">
        <v>2404</v>
      </c>
      <c r="G713">
        <v>11479</v>
      </c>
      <c r="H713">
        <v>6</v>
      </c>
      <c r="I713">
        <v>20</v>
      </c>
      <c r="J713">
        <v>3</v>
      </c>
      <c r="K713">
        <v>5</v>
      </c>
      <c r="L713">
        <v>0</v>
      </c>
      <c r="M713">
        <v>0</v>
      </c>
      <c r="N713">
        <v>0</v>
      </c>
      <c r="O713">
        <v>0</v>
      </c>
      <c r="P713" t="s">
        <v>1555</v>
      </c>
      <c r="Q713" t="s">
        <v>1552</v>
      </c>
      <c r="R713" t="s">
        <v>1550</v>
      </c>
      <c r="S713" t="s">
        <v>1534</v>
      </c>
      <c r="T713" t="s">
        <v>1538</v>
      </c>
      <c r="U713" t="s">
        <v>1548</v>
      </c>
      <c r="V713" t="s">
        <v>1558</v>
      </c>
      <c r="W713" t="s">
        <v>1562</v>
      </c>
      <c r="X713" t="s">
        <v>1575</v>
      </c>
      <c r="Y713" t="s">
        <v>1582</v>
      </c>
      <c r="Z713" t="s">
        <v>1591</v>
      </c>
      <c r="AA713" t="s">
        <v>1596</v>
      </c>
      <c r="AB713" t="s">
        <v>1600</v>
      </c>
      <c r="AC713" t="s">
        <v>1611</v>
      </c>
      <c r="AD713" t="s">
        <v>1606</v>
      </c>
      <c r="AE713" t="s">
        <v>1616</v>
      </c>
      <c r="AF713" t="s">
        <v>1627</v>
      </c>
    </row>
    <row r="714" spans="1:32" x14ac:dyDescent="0.25">
      <c r="A714" t="s">
        <v>771</v>
      </c>
      <c r="B714">
        <v>33</v>
      </c>
      <c r="C714">
        <v>461</v>
      </c>
      <c r="D714">
        <v>13</v>
      </c>
      <c r="E714">
        <v>53</v>
      </c>
      <c r="F714">
        <v>3452</v>
      </c>
      <c r="G714">
        <v>17241</v>
      </c>
      <c r="H714">
        <v>3</v>
      </c>
      <c r="I714">
        <v>18</v>
      </c>
      <c r="J714">
        <v>5</v>
      </c>
      <c r="K714">
        <v>4</v>
      </c>
      <c r="L714">
        <v>3</v>
      </c>
      <c r="M714">
        <v>2</v>
      </c>
      <c r="N714">
        <v>0</v>
      </c>
      <c r="O714">
        <v>2</v>
      </c>
      <c r="P714" t="s">
        <v>1556</v>
      </c>
      <c r="Q714" t="s">
        <v>1552</v>
      </c>
      <c r="R714" t="s">
        <v>1550</v>
      </c>
      <c r="S714" t="s">
        <v>1532</v>
      </c>
      <c r="T714" t="s">
        <v>1538</v>
      </c>
      <c r="U714" t="s">
        <v>1546</v>
      </c>
      <c r="V714" t="s">
        <v>1558</v>
      </c>
      <c r="W714" t="s">
        <v>1563</v>
      </c>
      <c r="X714" t="s">
        <v>1575</v>
      </c>
      <c r="Y714" t="s">
        <v>1582</v>
      </c>
      <c r="Z714" t="s">
        <v>1594</v>
      </c>
      <c r="AA714" t="s">
        <v>1596</v>
      </c>
      <c r="AB714" t="s">
        <v>1601</v>
      </c>
      <c r="AC714" t="s">
        <v>1610</v>
      </c>
      <c r="AD714" t="s">
        <v>1604</v>
      </c>
      <c r="AE714" t="s">
        <v>1616</v>
      </c>
      <c r="AF714" t="s">
        <v>1627</v>
      </c>
    </row>
    <row r="715" spans="1:32" x14ac:dyDescent="0.25">
      <c r="A715" t="s">
        <v>772</v>
      </c>
      <c r="B715">
        <v>45</v>
      </c>
      <c r="C715">
        <v>974</v>
      </c>
      <c r="D715">
        <v>1</v>
      </c>
      <c r="E715">
        <v>91</v>
      </c>
      <c r="F715">
        <v>2270</v>
      </c>
      <c r="G715">
        <v>11005</v>
      </c>
      <c r="H715">
        <v>3</v>
      </c>
      <c r="I715">
        <v>14</v>
      </c>
      <c r="J715">
        <v>8</v>
      </c>
      <c r="K715">
        <v>2</v>
      </c>
      <c r="L715">
        <v>5</v>
      </c>
      <c r="M715">
        <v>3</v>
      </c>
      <c r="N715">
        <v>0</v>
      </c>
      <c r="O715">
        <v>2</v>
      </c>
      <c r="P715" t="s">
        <v>1556</v>
      </c>
      <c r="Q715" t="s">
        <v>1552</v>
      </c>
      <c r="R715" t="s">
        <v>1550</v>
      </c>
      <c r="S715" t="s">
        <v>1535</v>
      </c>
      <c r="T715" t="s">
        <v>1540</v>
      </c>
      <c r="U715" t="s">
        <v>1548</v>
      </c>
      <c r="V715" t="s">
        <v>1558</v>
      </c>
      <c r="W715" t="s">
        <v>1563</v>
      </c>
      <c r="X715" t="s">
        <v>1575</v>
      </c>
      <c r="Y715" t="s">
        <v>1583</v>
      </c>
      <c r="Z715" t="s">
        <v>1594</v>
      </c>
      <c r="AA715" t="s">
        <v>1598</v>
      </c>
      <c r="AB715" t="s">
        <v>1601</v>
      </c>
      <c r="AC715" t="s">
        <v>1610</v>
      </c>
      <c r="AD715" t="s">
        <v>1607</v>
      </c>
      <c r="AE715" t="s">
        <v>1618</v>
      </c>
      <c r="AF715" t="s">
        <v>1627</v>
      </c>
    </row>
    <row r="716" spans="1:32" x14ac:dyDescent="0.25">
      <c r="A716" t="s">
        <v>773</v>
      </c>
      <c r="B716">
        <v>50</v>
      </c>
      <c r="C716">
        <v>1126</v>
      </c>
      <c r="D716">
        <v>1</v>
      </c>
      <c r="E716">
        <v>66</v>
      </c>
      <c r="F716">
        <v>17399</v>
      </c>
      <c r="G716">
        <v>6615</v>
      </c>
      <c r="H716">
        <v>9</v>
      </c>
      <c r="I716">
        <v>22</v>
      </c>
      <c r="J716">
        <v>32</v>
      </c>
      <c r="K716">
        <v>1</v>
      </c>
      <c r="L716">
        <v>5</v>
      </c>
      <c r="M716">
        <v>4</v>
      </c>
      <c r="N716">
        <v>1</v>
      </c>
      <c r="O716">
        <v>3</v>
      </c>
      <c r="P716" t="s">
        <v>1556</v>
      </c>
      <c r="Q716" t="s">
        <v>1552</v>
      </c>
      <c r="R716" t="s">
        <v>1550</v>
      </c>
      <c r="S716" t="s">
        <v>1533</v>
      </c>
      <c r="T716" t="s">
        <v>1540</v>
      </c>
      <c r="U716" t="s">
        <v>1548</v>
      </c>
      <c r="V716" t="s">
        <v>1559</v>
      </c>
      <c r="W716" t="s">
        <v>1563</v>
      </c>
      <c r="X716" t="s">
        <v>1578</v>
      </c>
      <c r="Y716" t="s">
        <v>1588</v>
      </c>
      <c r="Z716" t="s">
        <v>1594</v>
      </c>
      <c r="AA716" t="s">
        <v>1598</v>
      </c>
      <c r="AB716" t="s">
        <v>1601</v>
      </c>
      <c r="AC716" t="s">
        <v>1611</v>
      </c>
      <c r="AD716" t="s">
        <v>1606</v>
      </c>
      <c r="AE716" t="s">
        <v>1617</v>
      </c>
      <c r="AF716" t="s">
        <v>1626</v>
      </c>
    </row>
    <row r="717" spans="1:32" x14ac:dyDescent="0.25">
      <c r="A717" t="s">
        <v>774</v>
      </c>
      <c r="B717">
        <v>33</v>
      </c>
      <c r="C717">
        <v>827</v>
      </c>
      <c r="D717">
        <v>1</v>
      </c>
      <c r="E717">
        <v>84</v>
      </c>
      <c r="F717">
        <v>5488</v>
      </c>
      <c r="G717">
        <v>20161</v>
      </c>
      <c r="H717">
        <v>1</v>
      </c>
      <c r="I717">
        <v>13</v>
      </c>
      <c r="J717">
        <v>6</v>
      </c>
      <c r="K717">
        <v>2</v>
      </c>
      <c r="L717">
        <v>6</v>
      </c>
      <c r="M717">
        <v>5</v>
      </c>
      <c r="N717">
        <v>1</v>
      </c>
      <c r="O717">
        <v>2</v>
      </c>
      <c r="P717" t="s">
        <v>1556</v>
      </c>
      <c r="Q717" t="s">
        <v>1553</v>
      </c>
      <c r="R717" t="s">
        <v>1550</v>
      </c>
      <c r="S717" t="s">
        <v>1535</v>
      </c>
      <c r="T717" t="s">
        <v>1539</v>
      </c>
      <c r="U717" t="s">
        <v>1547</v>
      </c>
      <c r="V717" t="s">
        <v>1558</v>
      </c>
      <c r="W717" t="s">
        <v>1564</v>
      </c>
      <c r="X717" t="s">
        <v>1576</v>
      </c>
      <c r="Y717" t="s">
        <v>1585</v>
      </c>
      <c r="Z717" t="s">
        <v>1592</v>
      </c>
      <c r="AA717" t="s">
        <v>1597</v>
      </c>
      <c r="AB717" t="s">
        <v>1600</v>
      </c>
      <c r="AC717" t="s">
        <v>1610</v>
      </c>
      <c r="AD717" t="s">
        <v>1604</v>
      </c>
      <c r="AE717" t="s">
        <v>1617</v>
      </c>
      <c r="AF717" t="s">
        <v>1627</v>
      </c>
    </row>
    <row r="718" spans="1:32" x14ac:dyDescent="0.25">
      <c r="A718" t="s">
        <v>775</v>
      </c>
      <c r="B718">
        <v>41</v>
      </c>
      <c r="C718">
        <v>840</v>
      </c>
      <c r="D718">
        <v>9</v>
      </c>
      <c r="E718">
        <v>64</v>
      </c>
      <c r="F718">
        <v>19419</v>
      </c>
      <c r="G718">
        <v>3735</v>
      </c>
      <c r="H718">
        <v>2</v>
      </c>
      <c r="I718">
        <v>17</v>
      </c>
      <c r="J718">
        <v>21</v>
      </c>
      <c r="K718">
        <v>2</v>
      </c>
      <c r="L718">
        <v>18</v>
      </c>
      <c r="M718">
        <v>16</v>
      </c>
      <c r="N718">
        <v>0</v>
      </c>
      <c r="O718">
        <v>11</v>
      </c>
      <c r="P718" t="s">
        <v>1556</v>
      </c>
      <c r="Q718" t="s">
        <v>1553</v>
      </c>
      <c r="R718" t="s">
        <v>1550</v>
      </c>
      <c r="S718" t="s">
        <v>1534</v>
      </c>
      <c r="T718" t="s">
        <v>1540</v>
      </c>
      <c r="U718" t="s">
        <v>1545</v>
      </c>
      <c r="V718" t="s">
        <v>1559</v>
      </c>
      <c r="W718" t="s">
        <v>1563</v>
      </c>
      <c r="X718" t="s">
        <v>1579</v>
      </c>
      <c r="Y718" t="s">
        <v>1588</v>
      </c>
      <c r="Z718" t="s">
        <v>1593</v>
      </c>
      <c r="AA718" t="s">
        <v>1598</v>
      </c>
      <c r="AB718" t="s">
        <v>1601</v>
      </c>
      <c r="AC718" t="s">
        <v>1610</v>
      </c>
      <c r="AD718" t="s">
        <v>1605</v>
      </c>
      <c r="AE718" t="s">
        <v>1617</v>
      </c>
      <c r="AF718" t="s">
        <v>1628</v>
      </c>
    </row>
    <row r="719" spans="1:32" x14ac:dyDescent="0.25">
      <c r="A719" t="s">
        <v>776</v>
      </c>
      <c r="B719">
        <v>27</v>
      </c>
      <c r="C719">
        <v>1134</v>
      </c>
      <c r="D719">
        <v>16</v>
      </c>
      <c r="E719">
        <v>37</v>
      </c>
      <c r="F719">
        <v>2811</v>
      </c>
      <c r="G719">
        <v>12086</v>
      </c>
      <c r="H719">
        <v>9</v>
      </c>
      <c r="I719">
        <v>14</v>
      </c>
      <c r="J719">
        <v>4</v>
      </c>
      <c r="K719">
        <v>2</v>
      </c>
      <c r="L719">
        <v>2</v>
      </c>
      <c r="M719">
        <v>2</v>
      </c>
      <c r="N719">
        <v>2</v>
      </c>
      <c r="O719">
        <v>2</v>
      </c>
      <c r="P719" t="s">
        <v>1556</v>
      </c>
      <c r="Q719" t="s">
        <v>1552</v>
      </c>
      <c r="R719" t="s">
        <v>1550</v>
      </c>
      <c r="S719" t="s">
        <v>1535</v>
      </c>
      <c r="T719" t="s">
        <v>1542</v>
      </c>
      <c r="U719" t="s">
        <v>1547</v>
      </c>
      <c r="V719" t="s">
        <v>1558</v>
      </c>
      <c r="W719" t="s">
        <v>1563</v>
      </c>
      <c r="X719" t="s">
        <v>1575</v>
      </c>
      <c r="Y719" t="s">
        <v>1583</v>
      </c>
      <c r="Z719" t="s">
        <v>1592</v>
      </c>
      <c r="AA719" t="s">
        <v>1597</v>
      </c>
      <c r="AB719" t="s">
        <v>1601</v>
      </c>
      <c r="AC719" t="s">
        <v>1610</v>
      </c>
      <c r="AD719" t="s">
        <v>1605</v>
      </c>
      <c r="AE719" t="s">
        <v>1617</v>
      </c>
      <c r="AF719" t="s">
        <v>1627</v>
      </c>
    </row>
    <row r="720" spans="1:32" x14ac:dyDescent="0.25">
      <c r="A720" t="s">
        <v>777</v>
      </c>
      <c r="B720">
        <v>45</v>
      </c>
      <c r="C720">
        <v>248</v>
      </c>
      <c r="D720">
        <v>23</v>
      </c>
      <c r="E720">
        <v>42</v>
      </c>
      <c r="F720">
        <v>3633</v>
      </c>
      <c r="G720">
        <v>14039</v>
      </c>
      <c r="H720">
        <v>1</v>
      </c>
      <c r="I720">
        <v>15</v>
      </c>
      <c r="J720">
        <v>9</v>
      </c>
      <c r="K720">
        <v>2</v>
      </c>
      <c r="L720">
        <v>9</v>
      </c>
      <c r="M720">
        <v>8</v>
      </c>
      <c r="N720">
        <v>0</v>
      </c>
      <c r="O720">
        <v>8</v>
      </c>
      <c r="P720" t="s">
        <v>1556</v>
      </c>
      <c r="Q720" t="s">
        <v>1554</v>
      </c>
      <c r="R720" t="s">
        <v>1550</v>
      </c>
      <c r="S720" t="s">
        <v>1533</v>
      </c>
      <c r="T720" t="s">
        <v>1538</v>
      </c>
      <c r="U720" t="s">
        <v>1548</v>
      </c>
      <c r="V720" t="s">
        <v>1559</v>
      </c>
      <c r="W720" t="s">
        <v>1563</v>
      </c>
      <c r="X720" t="s">
        <v>1576</v>
      </c>
      <c r="Y720" t="s">
        <v>1583</v>
      </c>
      <c r="Z720" t="s">
        <v>1591</v>
      </c>
      <c r="AA720" t="s">
        <v>1597</v>
      </c>
      <c r="AB720" t="s">
        <v>1600</v>
      </c>
      <c r="AC720" t="s">
        <v>1610</v>
      </c>
      <c r="AD720" t="s">
        <v>1606</v>
      </c>
      <c r="AE720" t="s">
        <v>1617</v>
      </c>
      <c r="AF720" t="s">
        <v>1627</v>
      </c>
    </row>
    <row r="721" spans="1:32" x14ac:dyDescent="0.25">
      <c r="A721" t="s">
        <v>778</v>
      </c>
      <c r="B721">
        <v>47</v>
      </c>
      <c r="C721">
        <v>955</v>
      </c>
      <c r="D721">
        <v>4</v>
      </c>
      <c r="E721">
        <v>83</v>
      </c>
      <c r="F721">
        <v>4163</v>
      </c>
      <c r="G721">
        <v>8571</v>
      </c>
      <c r="H721">
        <v>1</v>
      </c>
      <c r="I721">
        <v>17</v>
      </c>
      <c r="J721">
        <v>9</v>
      </c>
      <c r="K721">
        <v>0</v>
      </c>
      <c r="L721">
        <v>9</v>
      </c>
      <c r="M721">
        <v>0</v>
      </c>
      <c r="N721">
        <v>0</v>
      </c>
      <c r="O721">
        <v>7</v>
      </c>
      <c r="P721" t="s">
        <v>1556</v>
      </c>
      <c r="Q721" t="s">
        <v>1552</v>
      </c>
      <c r="R721" t="s">
        <v>1549</v>
      </c>
      <c r="S721" t="s">
        <v>1533</v>
      </c>
      <c r="T721" t="s">
        <v>1538</v>
      </c>
      <c r="U721" t="s">
        <v>1548</v>
      </c>
      <c r="V721" t="s">
        <v>1558</v>
      </c>
      <c r="W721" t="s">
        <v>1563</v>
      </c>
      <c r="X721" t="s">
        <v>1576</v>
      </c>
      <c r="Y721" t="s">
        <v>1581</v>
      </c>
      <c r="Z721" t="s">
        <v>1594</v>
      </c>
      <c r="AA721" t="s">
        <v>1596</v>
      </c>
      <c r="AB721" t="s">
        <v>1600</v>
      </c>
      <c r="AC721" t="s">
        <v>1610</v>
      </c>
      <c r="AD721" t="s">
        <v>1606</v>
      </c>
      <c r="AE721" t="s">
        <v>1616</v>
      </c>
      <c r="AF721" t="s">
        <v>1627</v>
      </c>
    </row>
    <row r="722" spans="1:32" x14ac:dyDescent="0.25">
      <c r="A722" t="s">
        <v>779</v>
      </c>
      <c r="B722">
        <v>30</v>
      </c>
      <c r="C722">
        <v>138</v>
      </c>
      <c r="D722">
        <v>22</v>
      </c>
      <c r="E722">
        <v>48</v>
      </c>
      <c r="F722">
        <v>2132</v>
      </c>
      <c r="G722">
        <v>11539</v>
      </c>
      <c r="H722">
        <v>4</v>
      </c>
      <c r="I722">
        <v>11</v>
      </c>
      <c r="J722">
        <v>7</v>
      </c>
      <c r="K722">
        <v>2</v>
      </c>
      <c r="L722">
        <v>5</v>
      </c>
      <c r="M722">
        <v>2</v>
      </c>
      <c r="N722">
        <v>0</v>
      </c>
      <c r="O722">
        <v>1</v>
      </c>
      <c r="P722" t="s">
        <v>1555</v>
      </c>
      <c r="Q722" t="s">
        <v>1552</v>
      </c>
      <c r="R722" t="s">
        <v>1550</v>
      </c>
      <c r="S722" t="s">
        <v>1534</v>
      </c>
      <c r="T722" t="s">
        <v>1538</v>
      </c>
      <c r="U722" t="s">
        <v>1545</v>
      </c>
      <c r="V722" t="s">
        <v>1558</v>
      </c>
      <c r="W722" t="s">
        <v>1563</v>
      </c>
      <c r="X722" t="s">
        <v>1575</v>
      </c>
      <c r="Y722" t="s">
        <v>1582</v>
      </c>
      <c r="Z722" t="s">
        <v>1593</v>
      </c>
      <c r="AA722" t="s">
        <v>1597</v>
      </c>
      <c r="AB722" t="s">
        <v>1600</v>
      </c>
      <c r="AC722" t="s">
        <v>1610</v>
      </c>
      <c r="AD722" t="s">
        <v>1605</v>
      </c>
      <c r="AE722" t="s">
        <v>1616</v>
      </c>
      <c r="AF722" t="s">
        <v>1627</v>
      </c>
    </row>
    <row r="723" spans="1:32" x14ac:dyDescent="0.25">
      <c r="A723" t="s">
        <v>780</v>
      </c>
      <c r="B723">
        <v>50</v>
      </c>
      <c r="C723">
        <v>939</v>
      </c>
      <c r="D723">
        <v>24</v>
      </c>
      <c r="E723">
        <v>95</v>
      </c>
      <c r="F723">
        <v>13973</v>
      </c>
      <c r="G723">
        <v>4161</v>
      </c>
      <c r="H723">
        <v>3</v>
      </c>
      <c r="I723">
        <v>18</v>
      </c>
      <c r="J723">
        <v>22</v>
      </c>
      <c r="K723">
        <v>2</v>
      </c>
      <c r="L723">
        <v>12</v>
      </c>
      <c r="M723">
        <v>11</v>
      </c>
      <c r="N723">
        <v>1</v>
      </c>
      <c r="O723">
        <v>5</v>
      </c>
      <c r="P723" t="s">
        <v>1556</v>
      </c>
      <c r="Q723" t="s">
        <v>1552</v>
      </c>
      <c r="R723" t="s">
        <v>1550</v>
      </c>
      <c r="S723" t="s">
        <v>1534</v>
      </c>
      <c r="T723" t="s">
        <v>1538</v>
      </c>
      <c r="U723" t="s">
        <v>1548</v>
      </c>
      <c r="V723" t="s">
        <v>1559</v>
      </c>
      <c r="W723" t="s">
        <v>1563</v>
      </c>
      <c r="X723" t="s">
        <v>1578</v>
      </c>
      <c r="Y723" t="s">
        <v>1584</v>
      </c>
      <c r="Z723" t="s">
        <v>1593</v>
      </c>
      <c r="AA723" t="s">
        <v>1597</v>
      </c>
      <c r="AB723" t="s">
        <v>1600</v>
      </c>
      <c r="AC723" t="s">
        <v>1610</v>
      </c>
      <c r="AD723" t="s">
        <v>1607</v>
      </c>
      <c r="AE723" t="s">
        <v>1617</v>
      </c>
      <c r="AF723" t="s">
        <v>1627</v>
      </c>
    </row>
    <row r="724" spans="1:32" x14ac:dyDescent="0.25">
      <c r="A724" t="s">
        <v>781</v>
      </c>
      <c r="B724">
        <v>38</v>
      </c>
      <c r="C724">
        <v>1391</v>
      </c>
      <c r="D724">
        <v>10</v>
      </c>
      <c r="E724">
        <v>66</v>
      </c>
      <c r="F724">
        <v>2684</v>
      </c>
      <c r="G724">
        <v>12127</v>
      </c>
      <c r="H724">
        <v>0</v>
      </c>
      <c r="I724">
        <v>17</v>
      </c>
      <c r="J724">
        <v>3</v>
      </c>
      <c r="K724">
        <v>0</v>
      </c>
      <c r="L724">
        <v>2</v>
      </c>
      <c r="M724">
        <v>1</v>
      </c>
      <c r="N724">
        <v>0</v>
      </c>
      <c r="O724">
        <v>2</v>
      </c>
      <c r="P724" t="s">
        <v>1556</v>
      </c>
      <c r="Q724" t="s">
        <v>1553</v>
      </c>
      <c r="R724" t="s">
        <v>1550</v>
      </c>
      <c r="S724" t="s">
        <v>1532</v>
      </c>
      <c r="T724" t="s">
        <v>1540</v>
      </c>
      <c r="U724" t="s">
        <v>1547</v>
      </c>
      <c r="V724" t="s">
        <v>1559</v>
      </c>
      <c r="W724" t="s">
        <v>1563</v>
      </c>
      <c r="X724" t="s">
        <v>1575</v>
      </c>
      <c r="Y724" t="s">
        <v>1582</v>
      </c>
      <c r="Z724" t="s">
        <v>1593</v>
      </c>
      <c r="AA724" t="s">
        <v>1597</v>
      </c>
      <c r="AB724" t="s">
        <v>1601</v>
      </c>
      <c r="AC724" t="s">
        <v>1610</v>
      </c>
      <c r="AD724" t="s">
        <v>1605</v>
      </c>
      <c r="AE724" t="s">
        <v>1617</v>
      </c>
      <c r="AF724" t="s">
        <v>1626</v>
      </c>
    </row>
    <row r="725" spans="1:32" x14ac:dyDescent="0.25">
      <c r="A725" t="s">
        <v>782</v>
      </c>
      <c r="B725">
        <v>46</v>
      </c>
      <c r="C725">
        <v>566</v>
      </c>
      <c r="D725">
        <v>7</v>
      </c>
      <c r="E725">
        <v>75</v>
      </c>
      <c r="F725">
        <v>10845</v>
      </c>
      <c r="G725">
        <v>24208</v>
      </c>
      <c r="H725">
        <v>6</v>
      </c>
      <c r="I725">
        <v>13</v>
      </c>
      <c r="J725">
        <v>13</v>
      </c>
      <c r="K725">
        <v>3</v>
      </c>
      <c r="L725">
        <v>8</v>
      </c>
      <c r="M725">
        <v>7</v>
      </c>
      <c r="N725">
        <v>0</v>
      </c>
      <c r="O725">
        <v>7</v>
      </c>
      <c r="P725" t="s">
        <v>1556</v>
      </c>
      <c r="Q725" t="s">
        <v>1552</v>
      </c>
      <c r="R725" t="s">
        <v>1550</v>
      </c>
      <c r="S725" t="s">
        <v>1533</v>
      </c>
      <c r="T725" t="s">
        <v>1540</v>
      </c>
      <c r="U725" t="s">
        <v>1548</v>
      </c>
      <c r="V725" t="s">
        <v>1559</v>
      </c>
      <c r="W725" t="s">
        <v>1563</v>
      </c>
      <c r="X725" t="s">
        <v>1577</v>
      </c>
      <c r="Y725" t="s">
        <v>1584</v>
      </c>
      <c r="Z725" t="s">
        <v>1593</v>
      </c>
      <c r="AA725" t="s">
        <v>1598</v>
      </c>
      <c r="AB725" t="s">
        <v>1601</v>
      </c>
      <c r="AC725" t="s">
        <v>1610</v>
      </c>
      <c r="AD725" t="s">
        <v>1605</v>
      </c>
      <c r="AE725" t="s">
        <v>1617</v>
      </c>
      <c r="AF725" t="s">
        <v>1627</v>
      </c>
    </row>
    <row r="726" spans="1:32" x14ac:dyDescent="0.25">
      <c r="A726" t="s">
        <v>783</v>
      </c>
      <c r="B726">
        <v>24</v>
      </c>
      <c r="C726">
        <v>1206</v>
      </c>
      <c r="D726">
        <v>17</v>
      </c>
      <c r="E726">
        <v>41</v>
      </c>
      <c r="F726">
        <v>4377</v>
      </c>
      <c r="G726">
        <v>24117</v>
      </c>
      <c r="H726">
        <v>1</v>
      </c>
      <c r="I726">
        <v>15</v>
      </c>
      <c r="J726">
        <v>5</v>
      </c>
      <c r="K726">
        <v>6</v>
      </c>
      <c r="L726">
        <v>4</v>
      </c>
      <c r="M726">
        <v>2</v>
      </c>
      <c r="N726">
        <v>3</v>
      </c>
      <c r="O726">
        <v>2</v>
      </c>
      <c r="P726" t="s">
        <v>1556</v>
      </c>
      <c r="Q726" t="s">
        <v>1552</v>
      </c>
      <c r="R726" t="s">
        <v>1550</v>
      </c>
      <c r="S726" t="s">
        <v>1532</v>
      </c>
      <c r="T726" t="s">
        <v>1540</v>
      </c>
      <c r="U726" t="s">
        <v>1548</v>
      </c>
      <c r="V726" t="s">
        <v>1558</v>
      </c>
      <c r="W726" t="s">
        <v>1562</v>
      </c>
      <c r="X726" t="s">
        <v>1576</v>
      </c>
      <c r="Y726" t="s">
        <v>1584</v>
      </c>
      <c r="Z726" t="s">
        <v>1593</v>
      </c>
      <c r="AA726" t="s">
        <v>1598</v>
      </c>
      <c r="AB726" t="s">
        <v>1601</v>
      </c>
      <c r="AC726" t="s">
        <v>1610</v>
      </c>
      <c r="AD726" t="s">
        <v>1605</v>
      </c>
      <c r="AE726" t="s">
        <v>1618</v>
      </c>
      <c r="AF726" t="s">
        <v>1627</v>
      </c>
    </row>
    <row r="727" spans="1:32" x14ac:dyDescent="0.25">
      <c r="A727" t="s">
        <v>784</v>
      </c>
      <c r="B727">
        <v>35</v>
      </c>
      <c r="C727">
        <v>622</v>
      </c>
      <c r="D727">
        <v>14</v>
      </c>
      <c r="E727">
        <v>39</v>
      </c>
      <c r="F727">
        <v>3743</v>
      </c>
      <c r="G727">
        <v>10074</v>
      </c>
      <c r="H727">
        <v>1</v>
      </c>
      <c r="I727">
        <v>24</v>
      </c>
      <c r="J727">
        <v>5</v>
      </c>
      <c r="K727">
        <v>2</v>
      </c>
      <c r="L727">
        <v>4</v>
      </c>
      <c r="M727">
        <v>2</v>
      </c>
      <c r="N727">
        <v>0</v>
      </c>
      <c r="O727">
        <v>2</v>
      </c>
      <c r="P727" t="s">
        <v>1555</v>
      </c>
      <c r="Q727" t="s">
        <v>1552</v>
      </c>
      <c r="R727" t="s">
        <v>1550</v>
      </c>
      <c r="S727" t="s">
        <v>1535</v>
      </c>
      <c r="T727" t="s">
        <v>1539</v>
      </c>
      <c r="U727" t="s">
        <v>1547</v>
      </c>
      <c r="V727" t="s">
        <v>1559</v>
      </c>
      <c r="W727" t="s">
        <v>1562</v>
      </c>
      <c r="X727" t="s">
        <v>1575</v>
      </c>
      <c r="Y727" t="s">
        <v>1583</v>
      </c>
      <c r="Z727" t="s">
        <v>1592</v>
      </c>
      <c r="AA727" t="s">
        <v>1598</v>
      </c>
      <c r="AB727" t="s">
        <v>1600</v>
      </c>
      <c r="AC727" t="s">
        <v>1611</v>
      </c>
      <c r="AD727" t="s">
        <v>1607</v>
      </c>
      <c r="AE727" t="s">
        <v>1617</v>
      </c>
      <c r="AF727" t="s">
        <v>1625</v>
      </c>
    </row>
    <row r="728" spans="1:32" x14ac:dyDescent="0.25">
      <c r="A728" t="s">
        <v>785</v>
      </c>
      <c r="B728">
        <v>31</v>
      </c>
      <c r="C728">
        <v>853</v>
      </c>
      <c r="D728">
        <v>1</v>
      </c>
      <c r="E728">
        <v>96</v>
      </c>
      <c r="F728">
        <v>4148</v>
      </c>
      <c r="G728">
        <v>11275</v>
      </c>
      <c r="H728">
        <v>1</v>
      </c>
      <c r="I728">
        <v>12</v>
      </c>
      <c r="J728">
        <v>4</v>
      </c>
      <c r="K728">
        <v>1</v>
      </c>
      <c r="L728">
        <v>4</v>
      </c>
      <c r="M728">
        <v>3</v>
      </c>
      <c r="N728">
        <v>0</v>
      </c>
      <c r="O728">
        <v>3</v>
      </c>
      <c r="P728" t="s">
        <v>1556</v>
      </c>
      <c r="Q728" t="s">
        <v>1553</v>
      </c>
      <c r="R728" t="s">
        <v>1550</v>
      </c>
      <c r="S728" t="s">
        <v>1532</v>
      </c>
      <c r="T728" t="s">
        <v>1538</v>
      </c>
      <c r="U728" t="s">
        <v>1547</v>
      </c>
      <c r="V728" t="s">
        <v>1558</v>
      </c>
      <c r="W728" t="s">
        <v>1563</v>
      </c>
      <c r="X728" t="s">
        <v>1576</v>
      </c>
      <c r="Y728" t="s">
        <v>1584</v>
      </c>
      <c r="Z728" t="s">
        <v>1591</v>
      </c>
      <c r="AA728" t="s">
        <v>1597</v>
      </c>
      <c r="AB728" t="s">
        <v>1601</v>
      </c>
      <c r="AC728" t="s">
        <v>1610</v>
      </c>
      <c r="AD728" t="s">
        <v>1606</v>
      </c>
      <c r="AE728" t="s">
        <v>1617</v>
      </c>
      <c r="AF728" t="s">
        <v>1627</v>
      </c>
    </row>
    <row r="729" spans="1:32" x14ac:dyDescent="0.25">
      <c r="A729" t="s">
        <v>786</v>
      </c>
      <c r="B729">
        <v>18</v>
      </c>
      <c r="C729">
        <v>287</v>
      </c>
      <c r="D729">
        <v>5</v>
      </c>
      <c r="E729">
        <v>73</v>
      </c>
      <c r="F729">
        <v>1051</v>
      </c>
      <c r="G729">
        <v>13493</v>
      </c>
      <c r="H729">
        <v>1</v>
      </c>
      <c r="I729">
        <v>15</v>
      </c>
      <c r="J729">
        <v>0</v>
      </c>
      <c r="K729">
        <v>2</v>
      </c>
      <c r="L729">
        <v>0</v>
      </c>
      <c r="M729">
        <v>0</v>
      </c>
      <c r="N729">
        <v>0</v>
      </c>
      <c r="O729">
        <v>0</v>
      </c>
      <c r="P729" t="s">
        <v>1556</v>
      </c>
      <c r="Q729" t="s">
        <v>1554</v>
      </c>
      <c r="R729" t="s">
        <v>1550</v>
      </c>
      <c r="S729" t="s">
        <v>1533</v>
      </c>
      <c r="T729" t="s">
        <v>1538</v>
      </c>
      <c r="U729" t="s">
        <v>1546</v>
      </c>
      <c r="V729" t="s">
        <v>1559</v>
      </c>
      <c r="W729" t="s">
        <v>1563</v>
      </c>
      <c r="X729" t="s">
        <v>1575</v>
      </c>
      <c r="Y729" t="s">
        <v>1582</v>
      </c>
      <c r="Z729" t="s">
        <v>1594</v>
      </c>
      <c r="AA729" t="s">
        <v>1596</v>
      </c>
      <c r="AB729" t="s">
        <v>1601</v>
      </c>
      <c r="AC729" t="s">
        <v>1610</v>
      </c>
      <c r="AD729" t="s">
        <v>1607</v>
      </c>
      <c r="AE729" t="s">
        <v>1616</v>
      </c>
      <c r="AF729" t="s">
        <v>1627</v>
      </c>
    </row>
    <row r="730" spans="1:32" x14ac:dyDescent="0.25">
      <c r="A730" t="s">
        <v>787</v>
      </c>
      <c r="B730">
        <v>54</v>
      </c>
      <c r="C730">
        <v>1441</v>
      </c>
      <c r="D730">
        <v>17</v>
      </c>
      <c r="E730">
        <v>56</v>
      </c>
      <c r="F730">
        <v>10739</v>
      </c>
      <c r="G730">
        <v>13943</v>
      </c>
      <c r="H730">
        <v>8</v>
      </c>
      <c r="I730">
        <v>11</v>
      </c>
      <c r="J730">
        <v>22</v>
      </c>
      <c r="K730">
        <v>2</v>
      </c>
      <c r="L730">
        <v>10</v>
      </c>
      <c r="M730">
        <v>7</v>
      </c>
      <c r="N730">
        <v>0</v>
      </c>
      <c r="O730">
        <v>8</v>
      </c>
      <c r="P730" t="s">
        <v>1556</v>
      </c>
      <c r="Q730" t="s">
        <v>1552</v>
      </c>
      <c r="R730" t="s">
        <v>1550</v>
      </c>
      <c r="S730" t="s">
        <v>1534</v>
      </c>
      <c r="T730" t="s">
        <v>1542</v>
      </c>
      <c r="U730" t="s">
        <v>1547</v>
      </c>
      <c r="V730" t="s">
        <v>1558</v>
      </c>
      <c r="W730" t="s">
        <v>1563</v>
      </c>
      <c r="X730" t="s">
        <v>1577</v>
      </c>
      <c r="Y730" t="s">
        <v>1584</v>
      </c>
      <c r="Z730" t="s">
        <v>1593</v>
      </c>
      <c r="AA730" t="s">
        <v>1597</v>
      </c>
      <c r="AB730" t="s">
        <v>1601</v>
      </c>
      <c r="AC730" t="s">
        <v>1610</v>
      </c>
      <c r="AD730" t="s">
        <v>1606</v>
      </c>
      <c r="AE730" t="s">
        <v>1617</v>
      </c>
      <c r="AF730" t="s">
        <v>1627</v>
      </c>
    </row>
    <row r="731" spans="1:32" x14ac:dyDescent="0.25">
      <c r="A731" t="s">
        <v>788</v>
      </c>
      <c r="B731">
        <v>35</v>
      </c>
      <c r="C731">
        <v>583</v>
      </c>
      <c r="D731">
        <v>25</v>
      </c>
      <c r="E731">
        <v>57</v>
      </c>
      <c r="F731">
        <v>10388</v>
      </c>
      <c r="G731">
        <v>6975</v>
      </c>
      <c r="H731">
        <v>1</v>
      </c>
      <c r="I731">
        <v>11</v>
      </c>
      <c r="J731">
        <v>16</v>
      </c>
      <c r="K731">
        <v>3</v>
      </c>
      <c r="L731">
        <v>16</v>
      </c>
      <c r="M731">
        <v>10</v>
      </c>
      <c r="N731">
        <v>10</v>
      </c>
      <c r="O731">
        <v>1</v>
      </c>
      <c r="P731" t="s">
        <v>1556</v>
      </c>
      <c r="Q731" t="s">
        <v>1552</v>
      </c>
      <c r="R731" t="s">
        <v>1550</v>
      </c>
      <c r="S731" t="s">
        <v>1535</v>
      </c>
      <c r="T731" t="s">
        <v>1540</v>
      </c>
      <c r="U731" t="s">
        <v>1547</v>
      </c>
      <c r="V731" t="s">
        <v>1558</v>
      </c>
      <c r="W731" t="s">
        <v>1563</v>
      </c>
      <c r="X731" t="s">
        <v>1577</v>
      </c>
      <c r="Y731" t="s">
        <v>1585</v>
      </c>
      <c r="Z731" t="s">
        <v>1593</v>
      </c>
      <c r="AA731" t="s">
        <v>1598</v>
      </c>
      <c r="AB731" t="s">
        <v>1600</v>
      </c>
      <c r="AC731" t="s">
        <v>1610</v>
      </c>
      <c r="AD731" t="s">
        <v>1606</v>
      </c>
      <c r="AE731" t="s">
        <v>1617</v>
      </c>
      <c r="AF731" t="s">
        <v>1626</v>
      </c>
    </row>
    <row r="732" spans="1:32" x14ac:dyDescent="0.25">
      <c r="A732" t="s">
        <v>789</v>
      </c>
      <c r="B732">
        <v>30</v>
      </c>
      <c r="C732">
        <v>153</v>
      </c>
      <c r="D732">
        <v>8</v>
      </c>
      <c r="E732">
        <v>73</v>
      </c>
      <c r="F732">
        <v>11416</v>
      </c>
      <c r="G732">
        <v>17802</v>
      </c>
      <c r="H732">
        <v>0</v>
      </c>
      <c r="I732">
        <v>12</v>
      </c>
      <c r="J732">
        <v>9</v>
      </c>
      <c r="K732">
        <v>4</v>
      </c>
      <c r="L732">
        <v>8</v>
      </c>
      <c r="M732">
        <v>7</v>
      </c>
      <c r="N732">
        <v>1</v>
      </c>
      <c r="O732">
        <v>7</v>
      </c>
      <c r="P732" t="s">
        <v>1556</v>
      </c>
      <c r="Q732" t="s">
        <v>1552</v>
      </c>
      <c r="R732" t="s">
        <v>1550</v>
      </c>
      <c r="S732" t="s">
        <v>1533</v>
      </c>
      <c r="T732" t="s">
        <v>1538</v>
      </c>
      <c r="U732" t="s">
        <v>1546</v>
      </c>
      <c r="V732" t="s">
        <v>1558</v>
      </c>
      <c r="W732" t="s">
        <v>1564</v>
      </c>
      <c r="X732" t="s">
        <v>1577</v>
      </c>
      <c r="Y732" t="s">
        <v>1588</v>
      </c>
      <c r="Z732" t="s">
        <v>1591</v>
      </c>
      <c r="AA732" t="s">
        <v>1597</v>
      </c>
      <c r="AB732" t="s">
        <v>1600</v>
      </c>
      <c r="AC732" t="s">
        <v>1610</v>
      </c>
      <c r="AD732" t="s">
        <v>1606</v>
      </c>
      <c r="AE732" t="s">
        <v>1619</v>
      </c>
      <c r="AF732" t="s">
        <v>1626</v>
      </c>
    </row>
    <row r="733" spans="1:32" x14ac:dyDescent="0.25">
      <c r="A733" t="s">
        <v>790</v>
      </c>
      <c r="B733">
        <v>20</v>
      </c>
      <c r="C733">
        <v>1097</v>
      </c>
      <c r="D733">
        <v>11</v>
      </c>
      <c r="E733">
        <v>98</v>
      </c>
      <c r="F733">
        <v>2600</v>
      </c>
      <c r="G733">
        <v>18275</v>
      </c>
      <c r="H733">
        <v>1</v>
      </c>
      <c r="I733">
        <v>15</v>
      </c>
      <c r="J733">
        <v>1</v>
      </c>
      <c r="K733">
        <v>2</v>
      </c>
      <c r="L733">
        <v>1</v>
      </c>
      <c r="M733">
        <v>0</v>
      </c>
      <c r="N733">
        <v>0</v>
      </c>
      <c r="O733">
        <v>0</v>
      </c>
      <c r="P733" t="s">
        <v>1555</v>
      </c>
      <c r="Q733" t="s">
        <v>1552</v>
      </c>
      <c r="R733" t="s">
        <v>1550</v>
      </c>
      <c r="S733" t="s">
        <v>1534</v>
      </c>
      <c r="T733" t="s">
        <v>1540</v>
      </c>
      <c r="U733" t="s">
        <v>1548</v>
      </c>
      <c r="V733" t="s">
        <v>1558</v>
      </c>
      <c r="W733" t="s">
        <v>1562</v>
      </c>
      <c r="X733" t="s">
        <v>1575</v>
      </c>
      <c r="Y733" t="s">
        <v>1582</v>
      </c>
      <c r="Z733" t="s">
        <v>1591</v>
      </c>
      <c r="AA733" t="s">
        <v>1596</v>
      </c>
      <c r="AB733" t="s">
        <v>1600</v>
      </c>
      <c r="AC733" t="s">
        <v>1610</v>
      </c>
      <c r="AD733" t="s">
        <v>1604</v>
      </c>
      <c r="AE733" t="s">
        <v>1616</v>
      </c>
      <c r="AF733" t="s">
        <v>1627</v>
      </c>
    </row>
    <row r="734" spans="1:32" x14ac:dyDescent="0.25">
      <c r="A734" t="s">
        <v>791</v>
      </c>
      <c r="B734">
        <v>30</v>
      </c>
      <c r="C734">
        <v>109</v>
      </c>
      <c r="D734">
        <v>5</v>
      </c>
      <c r="E734">
        <v>60</v>
      </c>
      <c r="F734">
        <v>2422</v>
      </c>
      <c r="G734">
        <v>25725</v>
      </c>
      <c r="H734">
        <v>0</v>
      </c>
      <c r="I734">
        <v>17</v>
      </c>
      <c r="J734">
        <v>4</v>
      </c>
      <c r="K734">
        <v>3</v>
      </c>
      <c r="L734">
        <v>3</v>
      </c>
      <c r="M734">
        <v>2</v>
      </c>
      <c r="N734">
        <v>1</v>
      </c>
      <c r="O734">
        <v>2</v>
      </c>
      <c r="P734" t="s">
        <v>1555</v>
      </c>
      <c r="Q734" t="s">
        <v>1553</v>
      </c>
      <c r="R734" t="s">
        <v>1550</v>
      </c>
      <c r="S734" t="s">
        <v>1534</v>
      </c>
      <c r="T734" t="s">
        <v>1540</v>
      </c>
      <c r="U734" t="s">
        <v>1546</v>
      </c>
      <c r="V734" t="s">
        <v>1558</v>
      </c>
      <c r="W734" t="s">
        <v>1563</v>
      </c>
      <c r="X734" t="s">
        <v>1575</v>
      </c>
      <c r="Y734" t="s">
        <v>1583</v>
      </c>
      <c r="Z734" t="s">
        <v>1592</v>
      </c>
      <c r="AA734" t="s">
        <v>1596</v>
      </c>
      <c r="AB734" t="s">
        <v>1601</v>
      </c>
      <c r="AC734" t="s">
        <v>1610</v>
      </c>
      <c r="AD734" t="s">
        <v>1604</v>
      </c>
      <c r="AE734" t="s">
        <v>1616</v>
      </c>
      <c r="AF734" t="s">
        <v>1627</v>
      </c>
    </row>
    <row r="735" spans="1:32" x14ac:dyDescent="0.25">
      <c r="A735" t="s">
        <v>792</v>
      </c>
      <c r="B735">
        <v>26</v>
      </c>
      <c r="C735">
        <v>1066</v>
      </c>
      <c r="D735">
        <v>2</v>
      </c>
      <c r="E735">
        <v>32</v>
      </c>
      <c r="F735">
        <v>5472</v>
      </c>
      <c r="G735">
        <v>3334</v>
      </c>
      <c r="H735">
        <v>1</v>
      </c>
      <c r="I735">
        <v>12</v>
      </c>
      <c r="J735">
        <v>8</v>
      </c>
      <c r="K735">
        <v>2</v>
      </c>
      <c r="L735">
        <v>8</v>
      </c>
      <c r="M735">
        <v>7</v>
      </c>
      <c r="N735">
        <v>1</v>
      </c>
      <c r="O735">
        <v>3</v>
      </c>
      <c r="P735" t="s">
        <v>1556</v>
      </c>
      <c r="Q735" t="s">
        <v>1552</v>
      </c>
      <c r="R735" t="s">
        <v>1550</v>
      </c>
      <c r="S735" t="s">
        <v>1533</v>
      </c>
      <c r="T735" t="s">
        <v>1540</v>
      </c>
      <c r="U735" t="s">
        <v>1548</v>
      </c>
      <c r="V735" t="s">
        <v>1559</v>
      </c>
      <c r="W735" t="s">
        <v>1564</v>
      </c>
      <c r="X735" t="s">
        <v>1576</v>
      </c>
      <c r="Y735" t="s">
        <v>1584</v>
      </c>
      <c r="Z735" t="s">
        <v>1594</v>
      </c>
      <c r="AA735" t="s">
        <v>1597</v>
      </c>
      <c r="AB735" t="s">
        <v>1601</v>
      </c>
      <c r="AC735" t="s">
        <v>1610</v>
      </c>
      <c r="AD735" t="s">
        <v>1605</v>
      </c>
      <c r="AE735" t="s">
        <v>1616</v>
      </c>
      <c r="AF735" t="s">
        <v>1627</v>
      </c>
    </row>
    <row r="736" spans="1:32" x14ac:dyDescent="0.25">
      <c r="A736" t="s">
        <v>793</v>
      </c>
      <c r="B736">
        <v>22</v>
      </c>
      <c r="C736">
        <v>217</v>
      </c>
      <c r="D736">
        <v>8</v>
      </c>
      <c r="E736">
        <v>94</v>
      </c>
      <c r="F736">
        <v>2451</v>
      </c>
      <c r="G736">
        <v>6881</v>
      </c>
      <c r="H736">
        <v>1</v>
      </c>
      <c r="I736">
        <v>15</v>
      </c>
      <c r="J736">
        <v>4</v>
      </c>
      <c r="K736">
        <v>3</v>
      </c>
      <c r="L736">
        <v>4</v>
      </c>
      <c r="M736">
        <v>3</v>
      </c>
      <c r="N736">
        <v>1</v>
      </c>
      <c r="O736">
        <v>1</v>
      </c>
      <c r="P736" t="s">
        <v>1556</v>
      </c>
      <c r="Q736" t="s">
        <v>1552</v>
      </c>
      <c r="R736" t="s">
        <v>1550</v>
      </c>
      <c r="S736" t="s">
        <v>1532</v>
      </c>
      <c r="T736" t="s">
        <v>1538</v>
      </c>
      <c r="U736" t="s">
        <v>1546</v>
      </c>
      <c r="V736" t="s">
        <v>1559</v>
      </c>
      <c r="W736" t="s">
        <v>1561</v>
      </c>
      <c r="X736" t="s">
        <v>1575</v>
      </c>
      <c r="Y736" t="s">
        <v>1583</v>
      </c>
      <c r="Z736" t="s">
        <v>1591</v>
      </c>
      <c r="AA736" t="s">
        <v>1597</v>
      </c>
      <c r="AB736" t="s">
        <v>1601</v>
      </c>
      <c r="AC736" t="s">
        <v>1610</v>
      </c>
      <c r="AD736" t="s">
        <v>1604</v>
      </c>
      <c r="AE736" t="s">
        <v>1617</v>
      </c>
      <c r="AF736" t="s">
        <v>1626</v>
      </c>
    </row>
    <row r="737" spans="1:32" x14ac:dyDescent="0.25">
      <c r="A737" t="s">
        <v>794</v>
      </c>
      <c r="B737">
        <v>48</v>
      </c>
      <c r="C737">
        <v>277</v>
      </c>
      <c r="D737">
        <v>6</v>
      </c>
      <c r="E737">
        <v>97</v>
      </c>
      <c r="F737">
        <v>4240</v>
      </c>
      <c r="G737">
        <v>13119</v>
      </c>
      <c r="H737">
        <v>2</v>
      </c>
      <c r="I737">
        <v>13</v>
      </c>
      <c r="J737">
        <v>19</v>
      </c>
      <c r="K737">
        <v>0</v>
      </c>
      <c r="L737">
        <v>2</v>
      </c>
      <c r="M737">
        <v>2</v>
      </c>
      <c r="N737">
        <v>2</v>
      </c>
      <c r="O737">
        <v>2</v>
      </c>
      <c r="P737" t="s">
        <v>1556</v>
      </c>
      <c r="Q737" t="s">
        <v>1552</v>
      </c>
      <c r="R737" t="s">
        <v>1550</v>
      </c>
      <c r="S737" t="s">
        <v>1534</v>
      </c>
      <c r="T737" t="s">
        <v>1538</v>
      </c>
      <c r="U737" t="s">
        <v>1545</v>
      </c>
      <c r="V737" t="s">
        <v>1559</v>
      </c>
      <c r="W737" t="s">
        <v>1562</v>
      </c>
      <c r="X737" t="s">
        <v>1576</v>
      </c>
      <c r="Y737" t="s">
        <v>1585</v>
      </c>
      <c r="Z737" t="s">
        <v>1593</v>
      </c>
      <c r="AA737" t="s">
        <v>1596</v>
      </c>
      <c r="AB737" t="s">
        <v>1601</v>
      </c>
      <c r="AC737" t="s">
        <v>1610</v>
      </c>
      <c r="AD737" t="s">
        <v>1607</v>
      </c>
      <c r="AE737" t="s">
        <v>1616</v>
      </c>
      <c r="AF737" t="s">
        <v>1627</v>
      </c>
    </row>
    <row r="738" spans="1:32" x14ac:dyDescent="0.25">
      <c r="A738" t="s">
        <v>795</v>
      </c>
      <c r="B738">
        <v>48</v>
      </c>
      <c r="C738">
        <v>1355</v>
      </c>
      <c r="D738">
        <v>4</v>
      </c>
      <c r="E738">
        <v>78</v>
      </c>
      <c r="F738">
        <v>10999</v>
      </c>
      <c r="G738">
        <v>22245</v>
      </c>
      <c r="H738">
        <v>7</v>
      </c>
      <c r="I738">
        <v>14</v>
      </c>
      <c r="J738">
        <v>27</v>
      </c>
      <c r="K738">
        <v>3</v>
      </c>
      <c r="L738">
        <v>15</v>
      </c>
      <c r="M738">
        <v>11</v>
      </c>
      <c r="N738">
        <v>4</v>
      </c>
      <c r="O738">
        <v>8</v>
      </c>
      <c r="P738" t="s">
        <v>1556</v>
      </c>
      <c r="Q738" t="s">
        <v>1552</v>
      </c>
      <c r="R738" t="s">
        <v>1550</v>
      </c>
      <c r="S738" t="s">
        <v>1535</v>
      </c>
      <c r="T738" t="s">
        <v>1538</v>
      </c>
      <c r="U738" t="s">
        <v>1547</v>
      </c>
      <c r="V738" t="s">
        <v>1559</v>
      </c>
      <c r="W738" t="s">
        <v>1562</v>
      </c>
      <c r="X738" t="s">
        <v>1577</v>
      </c>
      <c r="Y738" t="s">
        <v>1585</v>
      </c>
      <c r="Z738" t="s">
        <v>1593</v>
      </c>
      <c r="AA738" t="s">
        <v>1596</v>
      </c>
      <c r="AB738" t="s">
        <v>1601</v>
      </c>
      <c r="AC738" t="s">
        <v>1610</v>
      </c>
      <c r="AD738" t="s">
        <v>1605</v>
      </c>
      <c r="AE738" t="s">
        <v>1616</v>
      </c>
      <c r="AF738" t="s">
        <v>1627</v>
      </c>
    </row>
    <row r="739" spans="1:32" x14ac:dyDescent="0.25">
      <c r="A739" t="s">
        <v>796</v>
      </c>
      <c r="B739">
        <v>41</v>
      </c>
      <c r="C739">
        <v>549</v>
      </c>
      <c r="D739">
        <v>7</v>
      </c>
      <c r="E739">
        <v>42</v>
      </c>
      <c r="F739">
        <v>5003</v>
      </c>
      <c r="G739">
        <v>23371</v>
      </c>
      <c r="H739">
        <v>6</v>
      </c>
      <c r="I739">
        <v>14</v>
      </c>
      <c r="J739">
        <v>8</v>
      </c>
      <c r="K739">
        <v>6</v>
      </c>
      <c r="L739">
        <v>2</v>
      </c>
      <c r="M739">
        <v>2</v>
      </c>
      <c r="N739">
        <v>2</v>
      </c>
      <c r="O739">
        <v>1</v>
      </c>
      <c r="P739" t="s">
        <v>1556</v>
      </c>
      <c r="Q739" t="s">
        <v>1552</v>
      </c>
      <c r="R739" t="s">
        <v>1550</v>
      </c>
      <c r="S739" t="s">
        <v>1533</v>
      </c>
      <c r="T739" t="s">
        <v>1540</v>
      </c>
      <c r="U739" t="s">
        <v>1548</v>
      </c>
      <c r="V739" t="s">
        <v>1558</v>
      </c>
      <c r="W739" t="s">
        <v>1563</v>
      </c>
      <c r="X739" t="s">
        <v>1576</v>
      </c>
      <c r="Y739" t="s">
        <v>1584</v>
      </c>
      <c r="Z739" t="s">
        <v>1593</v>
      </c>
      <c r="AA739" t="s">
        <v>1596</v>
      </c>
      <c r="AB739" t="s">
        <v>1601</v>
      </c>
      <c r="AC739" t="s">
        <v>1610</v>
      </c>
      <c r="AD739" t="s">
        <v>1605</v>
      </c>
      <c r="AE739" t="s">
        <v>1616</v>
      </c>
      <c r="AF739" t="s">
        <v>1627</v>
      </c>
    </row>
    <row r="740" spans="1:32" x14ac:dyDescent="0.25">
      <c r="A740" t="s">
        <v>797</v>
      </c>
      <c r="B740">
        <v>39</v>
      </c>
      <c r="C740">
        <v>466</v>
      </c>
      <c r="D740">
        <v>1</v>
      </c>
      <c r="E740">
        <v>65</v>
      </c>
      <c r="F740">
        <v>12742</v>
      </c>
      <c r="G740">
        <v>7060</v>
      </c>
      <c r="H740">
        <v>1</v>
      </c>
      <c r="I740">
        <v>16</v>
      </c>
      <c r="J740">
        <v>21</v>
      </c>
      <c r="K740">
        <v>3</v>
      </c>
      <c r="L740">
        <v>21</v>
      </c>
      <c r="M740">
        <v>6</v>
      </c>
      <c r="N740">
        <v>11</v>
      </c>
      <c r="O740">
        <v>8</v>
      </c>
      <c r="P740" t="s">
        <v>1556</v>
      </c>
      <c r="Q740" t="s">
        <v>1552</v>
      </c>
      <c r="R740" t="s">
        <v>1550</v>
      </c>
      <c r="S740" t="s">
        <v>1532</v>
      </c>
      <c r="T740" t="s">
        <v>1538</v>
      </c>
      <c r="U740" t="s">
        <v>1548</v>
      </c>
      <c r="V740" t="s">
        <v>1558</v>
      </c>
      <c r="W740" t="s">
        <v>1562</v>
      </c>
      <c r="X740" t="s">
        <v>1578</v>
      </c>
      <c r="Y740" t="s">
        <v>1584</v>
      </c>
      <c r="Z740" t="s">
        <v>1594</v>
      </c>
      <c r="AA740" t="s">
        <v>1597</v>
      </c>
      <c r="AB740" t="s">
        <v>1601</v>
      </c>
      <c r="AC740" t="s">
        <v>1610</v>
      </c>
      <c r="AD740" t="s">
        <v>1606</v>
      </c>
      <c r="AE740" t="s">
        <v>1617</v>
      </c>
      <c r="AF740" t="s">
        <v>1627</v>
      </c>
    </row>
    <row r="741" spans="1:32" x14ac:dyDescent="0.25">
      <c r="A741" t="s">
        <v>798</v>
      </c>
      <c r="B741">
        <v>27</v>
      </c>
      <c r="C741">
        <v>1055</v>
      </c>
      <c r="D741">
        <v>2</v>
      </c>
      <c r="E741">
        <v>47</v>
      </c>
      <c r="F741">
        <v>4227</v>
      </c>
      <c r="G741">
        <v>4658</v>
      </c>
      <c r="H741">
        <v>0</v>
      </c>
      <c r="I741">
        <v>18</v>
      </c>
      <c r="J741">
        <v>4</v>
      </c>
      <c r="K741">
        <v>2</v>
      </c>
      <c r="L741">
        <v>3</v>
      </c>
      <c r="M741">
        <v>2</v>
      </c>
      <c r="N741">
        <v>2</v>
      </c>
      <c r="O741">
        <v>2</v>
      </c>
      <c r="P741" t="s">
        <v>1556</v>
      </c>
      <c r="Q741" t="s">
        <v>1552</v>
      </c>
      <c r="R741" t="s">
        <v>1550</v>
      </c>
      <c r="S741" t="s">
        <v>1535</v>
      </c>
      <c r="T741" t="s">
        <v>1538</v>
      </c>
      <c r="U741" t="s">
        <v>1545</v>
      </c>
      <c r="V741" t="s">
        <v>1558</v>
      </c>
      <c r="W741" t="s">
        <v>1563</v>
      </c>
      <c r="X741" t="s">
        <v>1576</v>
      </c>
      <c r="Y741" t="s">
        <v>1584</v>
      </c>
      <c r="Z741" t="s">
        <v>1594</v>
      </c>
      <c r="AA741" t="s">
        <v>1597</v>
      </c>
      <c r="AB741" t="s">
        <v>1601</v>
      </c>
      <c r="AC741" t="s">
        <v>1610</v>
      </c>
      <c r="AD741" t="s">
        <v>1605</v>
      </c>
      <c r="AE741" t="s">
        <v>1617</v>
      </c>
      <c r="AF741" t="s">
        <v>1627</v>
      </c>
    </row>
    <row r="742" spans="1:32" x14ac:dyDescent="0.25">
      <c r="A742" t="s">
        <v>799</v>
      </c>
      <c r="B742">
        <v>35</v>
      </c>
      <c r="C742">
        <v>802</v>
      </c>
      <c r="D742">
        <v>10</v>
      </c>
      <c r="E742">
        <v>45</v>
      </c>
      <c r="F742">
        <v>3917</v>
      </c>
      <c r="G742">
        <v>9541</v>
      </c>
      <c r="H742">
        <v>1</v>
      </c>
      <c r="I742">
        <v>20</v>
      </c>
      <c r="J742">
        <v>3</v>
      </c>
      <c r="K742">
        <v>4</v>
      </c>
      <c r="L742">
        <v>3</v>
      </c>
      <c r="M742">
        <v>2</v>
      </c>
      <c r="N742">
        <v>1</v>
      </c>
      <c r="O742">
        <v>2</v>
      </c>
      <c r="P742" t="s">
        <v>1556</v>
      </c>
      <c r="Q742" t="s">
        <v>1552</v>
      </c>
      <c r="R742" t="s">
        <v>1550</v>
      </c>
      <c r="S742" t="s">
        <v>1534</v>
      </c>
      <c r="T742" t="s">
        <v>1539</v>
      </c>
      <c r="U742" t="s">
        <v>1546</v>
      </c>
      <c r="V742" t="s">
        <v>1559</v>
      </c>
      <c r="W742" t="s">
        <v>1563</v>
      </c>
      <c r="X742" t="s">
        <v>1575</v>
      </c>
      <c r="Y742" t="s">
        <v>1583</v>
      </c>
      <c r="Z742" t="s">
        <v>1594</v>
      </c>
      <c r="AA742" t="s">
        <v>1598</v>
      </c>
      <c r="AB742" t="s">
        <v>1601</v>
      </c>
      <c r="AC742" t="s">
        <v>1611</v>
      </c>
      <c r="AD742" t="s">
        <v>1604</v>
      </c>
      <c r="AE742" t="s">
        <v>1617</v>
      </c>
      <c r="AF742" t="s">
        <v>1626</v>
      </c>
    </row>
    <row r="743" spans="1:32" x14ac:dyDescent="0.25">
      <c r="A743" t="s">
        <v>800</v>
      </c>
      <c r="B743">
        <v>42</v>
      </c>
      <c r="C743">
        <v>265</v>
      </c>
      <c r="D743">
        <v>5</v>
      </c>
      <c r="E743">
        <v>90</v>
      </c>
      <c r="F743">
        <v>18303</v>
      </c>
      <c r="G743">
        <v>7770</v>
      </c>
      <c r="H743">
        <v>6</v>
      </c>
      <c r="I743">
        <v>13</v>
      </c>
      <c r="J743">
        <v>21</v>
      </c>
      <c r="K743">
        <v>3</v>
      </c>
      <c r="L743">
        <v>1</v>
      </c>
      <c r="M743">
        <v>0</v>
      </c>
      <c r="N743">
        <v>0</v>
      </c>
      <c r="O743">
        <v>0</v>
      </c>
      <c r="P743" t="s">
        <v>1556</v>
      </c>
      <c r="Q743" t="s">
        <v>1552</v>
      </c>
      <c r="R743" t="s">
        <v>1549</v>
      </c>
      <c r="S743" t="s">
        <v>1533</v>
      </c>
      <c r="T743" t="s">
        <v>1541</v>
      </c>
      <c r="U743" t="s">
        <v>1548</v>
      </c>
      <c r="V743" t="s">
        <v>1559</v>
      </c>
      <c r="W743" t="s">
        <v>1563</v>
      </c>
      <c r="X743" t="s">
        <v>1579</v>
      </c>
      <c r="Y743" t="s">
        <v>1586</v>
      </c>
      <c r="Z743" t="s">
        <v>1593</v>
      </c>
      <c r="AA743" t="s">
        <v>1597</v>
      </c>
      <c r="AB743" t="s">
        <v>1601</v>
      </c>
      <c r="AC743" t="s">
        <v>1610</v>
      </c>
      <c r="AD743" t="s">
        <v>1605</v>
      </c>
      <c r="AE743" t="s">
        <v>1616</v>
      </c>
      <c r="AF743" t="s">
        <v>1628</v>
      </c>
    </row>
    <row r="744" spans="1:32" x14ac:dyDescent="0.25">
      <c r="A744" t="s">
        <v>801</v>
      </c>
      <c r="B744">
        <v>50</v>
      </c>
      <c r="C744">
        <v>804</v>
      </c>
      <c r="D744">
        <v>9</v>
      </c>
      <c r="E744">
        <v>64</v>
      </c>
      <c r="F744">
        <v>2380</v>
      </c>
      <c r="G744">
        <v>20165</v>
      </c>
      <c r="H744">
        <v>4</v>
      </c>
      <c r="I744">
        <v>18</v>
      </c>
      <c r="J744">
        <v>8</v>
      </c>
      <c r="K744">
        <v>5</v>
      </c>
      <c r="L744">
        <v>1</v>
      </c>
      <c r="M744">
        <v>0</v>
      </c>
      <c r="N744">
        <v>0</v>
      </c>
      <c r="O744">
        <v>0</v>
      </c>
      <c r="P744" t="s">
        <v>1556</v>
      </c>
      <c r="Q744" t="s">
        <v>1552</v>
      </c>
      <c r="R744" t="s">
        <v>1550</v>
      </c>
      <c r="S744" t="s">
        <v>1534</v>
      </c>
      <c r="T744" t="s">
        <v>1538</v>
      </c>
      <c r="U744" t="s">
        <v>1545</v>
      </c>
      <c r="V744" t="s">
        <v>1559</v>
      </c>
      <c r="W744" t="s">
        <v>1563</v>
      </c>
      <c r="X744" t="s">
        <v>1575</v>
      </c>
      <c r="Y744" t="s">
        <v>1583</v>
      </c>
      <c r="Z744" t="s">
        <v>1594</v>
      </c>
      <c r="AA744" t="s">
        <v>1597</v>
      </c>
      <c r="AB744" t="s">
        <v>1601</v>
      </c>
      <c r="AC744" t="s">
        <v>1610</v>
      </c>
      <c r="AD744" t="s">
        <v>1605</v>
      </c>
      <c r="AE744" t="s">
        <v>1616</v>
      </c>
      <c r="AF744" t="s">
        <v>1627</v>
      </c>
    </row>
    <row r="745" spans="1:32" x14ac:dyDescent="0.25">
      <c r="A745" t="s">
        <v>802</v>
      </c>
      <c r="B745">
        <v>59</v>
      </c>
      <c r="C745">
        <v>715</v>
      </c>
      <c r="D745">
        <v>2</v>
      </c>
      <c r="E745">
        <v>69</v>
      </c>
      <c r="F745">
        <v>13726</v>
      </c>
      <c r="G745">
        <v>21829</v>
      </c>
      <c r="H745">
        <v>3</v>
      </c>
      <c r="I745">
        <v>13</v>
      </c>
      <c r="J745">
        <v>30</v>
      </c>
      <c r="K745">
        <v>4</v>
      </c>
      <c r="L745">
        <v>5</v>
      </c>
      <c r="M745">
        <v>3</v>
      </c>
      <c r="N745">
        <v>4</v>
      </c>
      <c r="O745">
        <v>3</v>
      </c>
      <c r="P745" t="s">
        <v>1556</v>
      </c>
      <c r="Q745" t="s">
        <v>1552</v>
      </c>
      <c r="R745" t="s">
        <v>1550</v>
      </c>
      <c r="S745" t="s">
        <v>1534</v>
      </c>
      <c r="T745" t="s">
        <v>1538</v>
      </c>
      <c r="U745" t="s">
        <v>1547</v>
      </c>
      <c r="V745" t="s">
        <v>1558</v>
      </c>
      <c r="W745" t="s">
        <v>1562</v>
      </c>
      <c r="X745" t="s">
        <v>1578</v>
      </c>
      <c r="Y745" t="s">
        <v>1584</v>
      </c>
      <c r="Z745" t="s">
        <v>1594</v>
      </c>
      <c r="AA745" t="s">
        <v>1596</v>
      </c>
      <c r="AB745" t="s">
        <v>1600</v>
      </c>
      <c r="AC745" t="s">
        <v>1610</v>
      </c>
      <c r="AD745" t="s">
        <v>1604</v>
      </c>
      <c r="AE745" t="s">
        <v>1616</v>
      </c>
      <c r="AF745" t="s">
        <v>1627</v>
      </c>
    </row>
    <row r="746" spans="1:32" x14ac:dyDescent="0.25">
      <c r="A746" t="s">
        <v>803</v>
      </c>
      <c r="B746">
        <v>37</v>
      </c>
      <c r="C746">
        <v>1141</v>
      </c>
      <c r="D746">
        <v>11</v>
      </c>
      <c r="E746">
        <v>61</v>
      </c>
      <c r="F746">
        <v>4777</v>
      </c>
      <c r="G746">
        <v>14382</v>
      </c>
      <c r="H746">
        <v>5</v>
      </c>
      <c r="I746">
        <v>15</v>
      </c>
      <c r="J746">
        <v>15</v>
      </c>
      <c r="K746">
        <v>2</v>
      </c>
      <c r="L746">
        <v>1</v>
      </c>
      <c r="M746">
        <v>0</v>
      </c>
      <c r="N746">
        <v>0</v>
      </c>
      <c r="O746">
        <v>0</v>
      </c>
      <c r="P746" t="s">
        <v>1555</v>
      </c>
      <c r="Q746" t="s">
        <v>1552</v>
      </c>
      <c r="R746" t="s">
        <v>1550</v>
      </c>
      <c r="S746" t="s">
        <v>1533</v>
      </c>
      <c r="T746" t="s">
        <v>1540</v>
      </c>
      <c r="U746" t="s">
        <v>1545</v>
      </c>
      <c r="V746" t="s">
        <v>1558</v>
      </c>
      <c r="W746" t="s">
        <v>1561</v>
      </c>
      <c r="X746" t="s">
        <v>1576</v>
      </c>
      <c r="Y746" t="s">
        <v>1585</v>
      </c>
      <c r="Z746" t="s">
        <v>1592</v>
      </c>
      <c r="AA746" t="s">
        <v>1597</v>
      </c>
      <c r="AB746" t="s">
        <v>1601</v>
      </c>
      <c r="AC746" t="s">
        <v>1610</v>
      </c>
      <c r="AD746" t="s">
        <v>1604</v>
      </c>
      <c r="AE746" t="s">
        <v>1616</v>
      </c>
      <c r="AF746" t="s">
        <v>1625</v>
      </c>
    </row>
    <row r="747" spans="1:32" x14ac:dyDescent="0.25">
      <c r="A747" t="s">
        <v>804</v>
      </c>
      <c r="B747">
        <v>55</v>
      </c>
      <c r="C747">
        <v>135</v>
      </c>
      <c r="D747">
        <v>18</v>
      </c>
      <c r="E747">
        <v>62</v>
      </c>
      <c r="F747">
        <v>6385</v>
      </c>
      <c r="G747">
        <v>12992</v>
      </c>
      <c r="H747">
        <v>3</v>
      </c>
      <c r="I747">
        <v>14</v>
      </c>
      <c r="J747">
        <v>17</v>
      </c>
      <c r="K747">
        <v>3</v>
      </c>
      <c r="L747">
        <v>8</v>
      </c>
      <c r="M747">
        <v>7</v>
      </c>
      <c r="N747">
        <v>6</v>
      </c>
      <c r="O747">
        <v>7</v>
      </c>
      <c r="P747" t="s">
        <v>1556</v>
      </c>
      <c r="Q747" t="s">
        <v>1553</v>
      </c>
      <c r="R747" t="s">
        <v>1550</v>
      </c>
      <c r="S747" t="s">
        <v>1535</v>
      </c>
      <c r="T747" t="s">
        <v>1540</v>
      </c>
      <c r="U747" t="s">
        <v>1547</v>
      </c>
      <c r="V747" t="s">
        <v>1559</v>
      </c>
      <c r="W747" t="s">
        <v>1563</v>
      </c>
      <c r="X747" t="s">
        <v>1576</v>
      </c>
      <c r="Y747" t="s">
        <v>1585</v>
      </c>
      <c r="Z747" t="s">
        <v>1592</v>
      </c>
      <c r="AA747" t="s">
        <v>1597</v>
      </c>
      <c r="AB747" t="s">
        <v>1600</v>
      </c>
      <c r="AC747" t="s">
        <v>1610</v>
      </c>
      <c r="AD747" t="s">
        <v>1607</v>
      </c>
      <c r="AE747" t="s">
        <v>1618</v>
      </c>
      <c r="AF747" t="s">
        <v>1627</v>
      </c>
    </row>
    <row r="748" spans="1:32" x14ac:dyDescent="0.25">
      <c r="A748" t="s">
        <v>805</v>
      </c>
      <c r="B748">
        <v>41</v>
      </c>
      <c r="C748">
        <v>247</v>
      </c>
      <c r="D748">
        <v>7</v>
      </c>
      <c r="E748">
        <v>55</v>
      </c>
      <c r="F748">
        <v>19973</v>
      </c>
      <c r="G748">
        <v>20284</v>
      </c>
      <c r="H748">
        <v>1</v>
      </c>
      <c r="I748">
        <v>22</v>
      </c>
      <c r="J748">
        <v>21</v>
      </c>
      <c r="K748">
        <v>3</v>
      </c>
      <c r="L748">
        <v>21</v>
      </c>
      <c r="M748">
        <v>16</v>
      </c>
      <c r="N748">
        <v>5</v>
      </c>
      <c r="O748">
        <v>10</v>
      </c>
      <c r="P748" t="s">
        <v>1556</v>
      </c>
      <c r="Q748" t="s">
        <v>1554</v>
      </c>
      <c r="R748" t="s">
        <v>1550</v>
      </c>
      <c r="S748" t="s">
        <v>1532</v>
      </c>
      <c r="T748" t="s">
        <v>1538</v>
      </c>
      <c r="U748" t="s">
        <v>1546</v>
      </c>
      <c r="V748" t="s">
        <v>1558</v>
      </c>
      <c r="W748" t="s">
        <v>1561</v>
      </c>
      <c r="X748" t="s">
        <v>1579</v>
      </c>
      <c r="Y748" t="s">
        <v>1588</v>
      </c>
      <c r="Z748" t="s">
        <v>1593</v>
      </c>
      <c r="AA748" t="s">
        <v>1598</v>
      </c>
      <c r="AB748" t="s">
        <v>1601</v>
      </c>
      <c r="AC748" t="s">
        <v>1611</v>
      </c>
      <c r="AD748" t="s">
        <v>1605</v>
      </c>
      <c r="AE748" t="s">
        <v>1618</v>
      </c>
      <c r="AF748" t="s">
        <v>1627</v>
      </c>
    </row>
    <row r="749" spans="1:32" x14ac:dyDescent="0.25">
      <c r="A749" t="s">
        <v>806</v>
      </c>
      <c r="B749">
        <v>38</v>
      </c>
      <c r="C749">
        <v>1035</v>
      </c>
      <c r="D749">
        <v>3</v>
      </c>
      <c r="E749">
        <v>42</v>
      </c>
      <c r="F749">
        <v>6861</v>
      </c>
      <c r="G749">
        <v>4981</v>
      </c>
      <c r="H749">
        <v>8</v>
      </c>
      <c r="I749">
        <v>12</v>
      </c>
      <c r="J749">
        <v>19</v>
      </c>
      <c r="K749">
        <v>1</v>
      </c>
      <c r="L749">
        <v>1</v>
      </c>
      <c r="M749">
        <v>0</v>
      </c>
      <c r="N749">
        <v>0</v>
      </c>
      <c r="O749">
        <v>0</v>
      </c>
      <c r="P749" t="s">
        <v>1556</v>
      </c>
      <c r="Q749" t="s">
        <v>1552</v>
      </c>
      <c r="R749" t="s">
        <v>1549</v>
      </c>
      <c r="S749" t="s">
        <v>1535</v>
      </c>
      <c r="T749" t="s">
        <v>1538</v>
      </c>
      <c r="U749" t="s">
        <v>1546</v>
      </c>
      <c r="V749" t="s">
        <v>1559</v>
      </c>
      <c r="W749" t="s">
        <v>1563</v>
      </c>
      <c r="X749" t="s">
        <v>1576</v>
      </c>
      <c r="Y749" t="s">
        <v>1581</v>
      </c>
      <c r="Z749" t="s">
        <v>1594</v>
      </c>
      <c r="AA749" t="s">
        <v>1596</v>
      </c>
      <c r="AB749" t="s">
        <v>1600</v>
      </c>
      <c r="AC749" t="s">
        <v>1610</v>
      </c>
      <c r="AD749" t="s">
        <v>1606</v>
      </c>
      <c r="AE749" t="s">
        <v>1616</v>
      </c>
      <c r="AF749" t="s">
        <v>1627</v>
      </c>
    </row>
    <row r="750" spans="1:32" x14ac:dyDescent="0.25">
      <c r="A750" t="s">
        <v>807</v>
      </c>
      <c r="B750">
        <v>26</v>
      </c>
      <c r="C750">
        <v>265</v>
      </c>
      <c r="D750">
        <v>29</v>
      </c>
      <c r="E750">
        <v>79</v>
      </c>
      <c r="F750">
        <v>4969</v>
      </c>
      <c r="G750">
        <v>21813</v>
      </c>
      <c r="H750">
        <v>8</v>
      </c>
      <c r="I750">
        <v>18</v>
      </c>
      <c r="J750">
        <v>7</v>
      </c>
      <c r="K750">
        <v>6</v>
      </c>
      <c r="L750">
        <v>2</v>
      </c>
      <c r="M750">
        <v>2</v>
      </c>
      <c r="N750">
        <v>2</v>
      </c>
      <c r="O750">
        <v>2</v>
      </c>
      <c r="P750" t="s">
        <v>1555</v>
      </c>
      <c r="Q750" t="s">
        <v>1554</v>
      </c>
      <c r="R750" t="s">
        <v>1549</v>
      </c>
      <c r="S750" t="s">
        <v>1533</v>
      </c>
      <c r="T750" t="s">
        <v>1540</v>
      </c>
      <c r="U750" t="s">
        <v>1546</v>
      </c>
      <c r="V750" t="s">
        <v>1559</v>
      </c>
      <c r="W750" t="s">
        <v>1561</v>
      </c>
      <c r="X750" t="s">
        <v>1576</v>
      </c>
      <c r="Y750" t="s">
        <v>1581</v>
      </c>
      <c r="Z750" t="s">
        <v>1591</v>
      </c>
      <c r="AA750" t="s">
        <v>1596</v>
      </c>
      <c r="AB750" t="s">
        <v>1601</v>
      </c>
      <c r="AC750" t="s">
        <v>1610</v>
      </c>
      <c r="AD750" t="s">
        <v>1607</v>
      </c>
      <c r="AE750" t="s">
        <v>1616</v>
      </c>
      <c r="AF750" t="s">
        <v>1627</v>
      </c>
    </row>
    <row r="751" spans="1:32" x14ac:dyDescent="0.25">
      <c r="A751" t="s">
        <v>808</v>
      </c>
      <c r="B751">
        <v>52</v>
      </c>
      <c r="C751">
        <v>266</v>
      </c>
      <c r="D751">
        <v>2</v>
      </c>
      <c r="E751">
        <v>57</v>
      </c>
      <c r="F751">
        <v>19845</v>
      </c>
      <c r="G751">
        <v>25846</v>
      </c>
      <c r="H751">
        <v>1</v>
      </c>
      <c r="I751">
        <v>15</v>
      </c>
      <c r="J751">
        <v>33</v>
      </c>
      <c r="K751">
        <v>3</v>
      </c>
      <c r="L751">
        <v>32</v>
      </c>
      <c r="M751">
        <v>14</v>
      </c>
      <c r="N751">
        <v>6</v>
      </c>
      <c r="O751">
        <v>9</v>
      </c>
      <c r="P751" t="s">
        <v>1555</v>
      </c>
      <c r="Q751" t="s">
        <v>1552</v>
      </c>
      <c r="R751" t="s">
        <v>1549</v>
      </c>
      <c r="S751" t="s">
        <v>1532</v>
      </c>
      <c r="T751" t="s">
        <v>1541</v>
      </c>
      <c r="U751" t="s">
        <v>1545</v>
      </c>
      <c r="V751" t="s">
        <v>1558</v>
      </c>
      <c r="W751" t="s">
        <v>1561</v>
      </c>
      <c r="X751" t="s">
        <v>1579</v>
      </c>
      <c r="Y751" t="s">
        <v>1586</v>
      </c>
      <c r="Z751" t="s">
        <v>1594</v>
      </c>
      <c r="AA751" t="s">
        <v>1597</v>
      </c>
      <c r="AB751" t="s">
        <v>1601</v>
      </c>
      <c r="AC751" t="s">
        <v>1610</v>
      </c>
      <c r="AD751" t="s">
        <v>1607</v>
      </c>
      <c r="AE751" t="s">
        <v>1617</v>
      </c>
      <c r="AF751" t="s">
        <v>1627</v>
      </c>
    </row>
    <row r="752" spans="1:32" x14ac:dyDescent="0.25">
      <c r="A752" t="s">
        <v>809</v>
      </c>
      <c r="B752">
        <v>44</v>
      </c>
      <c r="C752">
        <v>1448</v>
      </c>
      <c r="D752">
        <v>28</v>
      </c>
      <c r="E752">
        <v>53</v>
      </c>
      <c r="F752">
        <v>13320</v>
      </c>
      <c r="G752">
        <v>11737</v>
      </c>
      <c r="H752">
        <v>3</v>
      </c>
      <c r="I752">
        <v>18</v>
      </c>
      <c r="J752">
        <v>23</v>
      </c>
      <c r="K752">
        <v>2</v>
      </c>
      <c r="L752">
        <v>12</v>
      </c>
      <c r="M752">
        <v>11</v>
      </c>
      <c r="N752">
        <v>11</v>
      </c>
      <c r="O752">
        <v>11</v>
      </c>
      <c r="P752" t="s">
        <v>1556</v>
      </c>
      <c r="Q752" t="s">
        <v>1552</v>
      </c>
      <c r="R752" t="s">
        <v>1549</v>
      </c>
      <c r="S752" t="s">
        <v>1534</v>
      </c>
      <c r="T752" t="s">
        <v>1540</v>
      </c>
      <c r="U752" t="s">
        <v>1548</v>
      </c>
      <c r="V752" t="s">
        <v>1558</v>
      </c>
      <c r="W752" t="s">
        <v>1564</v>
      </c>
      <c r="X752" t="s">
        <v>1578</v>
      </c>
      <c r="Y752" t="s">
        <v>1581</v>
      </c>
      <c r="Z752" t="s">
        <v>1594</v>
      </c>
      <c r="AA752" t="s">
        <v>1597</v>
      </c>
      <c r="AB752" t="s">
        <v>1600</v>
      </c>
      <c r="AC752" t="s">
        <v>1610</v>
      </c>
      <c r="AD752" t="s">
        <v>1606</v>
      </c>
      <c r="AE752" t="s">
        <v>1617</v>
      </c>
      <c r="AF752" t="s">
        <v>1627</v>
      </c>
    </row>
    <row r="753" spans="1:32" x14ac:dyDescent="0.25">
      <c r="A753" t="s">
        <v>810</v>
      </c>
      <c r="B753">
        <v>50</v>
      </c>
      <c r="C753">
        <v>145</v>
      </c>
      <c r="D753">
        <v>1</v>
      </c>
      <c r="E753">
        <v>95</v>
      </c>
      <c r="F753">
        <v>6347</v>
      </c>
      <c r="G753">
        <v>24920</v>
      </c>
      <c r="H753">
        <v>0</v>
      </c>
      <c r="I753">
        <v>12</v>
      </c>
      <c r="J753">
        <v>19</v>
      </c>
      <c r="K753">
        <v>3</v>
      </c>
      <c r="L753">
        <v>18</v>
      </c>
      <c r="M753">
        <v>7</v>
      </c>
      <c r="N753">
        <v>0</v>
      </c>
      <c r="O753">
        <v>13</v>
      </c>
      <c r="P753" t="s">
        <v>1556</v>
      </c>
      <c r="Q753" t="s">
        <v>1554</v>
      </c>
      <c r="R753" t="s">
        <v>1549</v>
      </c>
      <c r="S753" t="s">
        <v>1534</v>
      </c>
      <c r="T753" t="s">
        <v>1538</v>
      </c>
      <c r="U753" t="s">
        <v>1548</v>
      </c>
      <c r="V753" t="s">
        <v>1558</v>
      </c>
      <c r="W753" t="s">
        <v>1563</v>
      </c>
      <c r="X753" t="s">
        <v>1576</v>
      </c>
      <c r="Y753" t="s">
        <v>1581</v>
      </c>
      <c r="Z753" t="s">
        <v>1593</v>
      </c>
      <c r="AA753" t="s">
        <v>1597</v>
      </c>
      <c r="AB753" t="s">
        <v>1601</v>
      </c>
      <c r="AC753" t="s">
        <v>1610</v>
      </c>
      <c r="AD753" t="s">
        <v>1604</v>
      </c>
      <c r="AE753" t="s">
        <v>1617</v>
      </c>
      <c r="AF753" t="s">
        <v>1627</v>
      </c>
    </row>
    <row r="754" spans="1:32" x14ac:dyDescent="0.25">
      <c r="A754" t="s">
        <v>811</v>
      </c>
      <c r="B754">
        <v>36</v>
      </c>
      <c r="C754">
        <v>885</v>
      </c>
      <c r="D754">
        <v>16</v>
      </c>
      <c r="E754">
        <v>43</v>
      </c>
      <c r="F754">
        <v>2743</v>
      </c>
      <c r="G754">
        <v>8269</v>
      </c>
      <c r="H754">
        <v>1</v>
      </c>
      <c r="I754">
        <v>16</v>
      </c>
      <c r="J754">
        <v>18</v>
      </c>
      <c r="K754">
        <v>1</v>
      </c>
      <c r="L754">
        <v>17</v>
      </c>
      <c r="M754">
        <v>13</v>
      </c>
      <c r="N754">
        <v>15</v>
      </c>
      <c r="O754">
        <v>14</v>
      </c>
      <c r="P754" t="s">
        <v>1555</v>
      </c>
      <c r="Q754" t="s">
        <v>1552</v>
      </c>
      <c r="R754" t="s">
        <v>1550</v>
      </c>
      <c r="S754" t="s">
        <v>1535</v>
      </c>
      <c r="T754" t="s">
        <v>1538</v>
      </c>
      <c r="U754" t="s">
        <v>1547</v>
      </c>
      <c r="V754" t="s">
        <v>1558</v>
      </c>
      <c r="W754" t="s">
        <v>1564</v>
      </c>
      <c r="X754" t="s">
        <v>1575</v>
      </c>
      <c r="Y754" t="s">
        <v>1583</v>
      </c>
      <c r="Z754" t="s">
        <v>1591</v>
      </c>
      <c r="AA754" t="s">
        <v>1596</v>
      </c>
      <c r="AB754" t="s">
        <v>1601</v>
      </c>
      <c r="AC754" t="s">
        <v>1610</v>
      </c>
      <c r="AD754" t="s">
        <v>1606</v>
      </c>
      <c r="AE754" t="s">
        <v>1616</v>
      </c>
      <c r="AF754" t="s">
        <v>1627</v>
      </c>
    </row>
    <row r="755" spans="1:32" x14ac:dyDescent="0.25">
      <c r="A755" t="s">
        <v>812</v>
      </c>
      <c r="B755">
        <v>39</v>
      </c>
      <c r="C755">
        <v>945</v>
      </c>
      <c r="D755">
        <v>22</v>
      </c>
      <c r="E755">
        <v>82</v>
      </c>
      <c r="F755">
        <v>10880</v>
      </c>
      <c r="G755">
        <v>5083</v>
      </c>
      <c r="H755">
        <v>1</v>
      </c>
      <c r="I755">
        <v>13</v>
      </c>
      <c r="J755">
        <v>21</v>
      </c>
      <c r="K755">
        <v>2</v>
      </c>
      <c r="L755">
        <v>21</v>
      </c>
      <c r="M755">
        <v>6</v>
      </c>
      <c r="N755">
        <v>2</v>
      </c>
      <c r="O755">
        <v>8</v>
      </c>
      <c r="P755" t="s">
        <v>1556</v>
      </c>
      <c r="Q755" t="s">
        <v>1553</v>
      </c>
      <c r="R755" t="s">
        <v>1550</v>
      </c>
      <c r="S755" t="s">
        <v>1534</v>
      </c>
      <c r="T755" t="s">
        <v>1540</v>
      </c>
      <c r="U755" t="s">
        <v>1548</v>
      </c>
      <c r="V755" t="s">
        <v>1558</v>
      </c>
      <c r="W755" t="s">
        <v>1563</v>
      </c>
      <c r="X755" t="s">
        <v>1577</v>
      </c>
      <c r="Y755" t="s">
        <v>1584</v>
      </c>
      <c r="Z755" t="s">
        <v>1591</v>
      </c>
      <c r="AA755" t="s">
        <v>1596</v>
      </c>
      <c r="AB755" t="s">
        <v>1600</v>
      </c>
      <c r="AC755" t="s">
        <v>1610</v>
      </c>
      <c r="AD755" t="s">
        <v>1606</v>
      </c>
      <c r="AE755" t="s">
        <v>1616</v>
      </c>
      <c r="AF755" t="s">
        <v>1627</v>
      </c>
    </row>
    <row r="756" spans="1:32" x14ac:dyDescent="0.25">
      <c r="A756" t="s">
        <v>813</v>
      </c>
      <c r="B756">
        <v>33</v>
      </c>
      <c r="C756">
        <v>1038</v>
      </c>
      <c r="D756">
        <v>8</v>
      </c>
      <c r="E756">
        <v>88</v>
      </c>
      <c r="F756">
        <v>2342</v>
      </c>
      <c r="G756">
        <v>21437</v>
      </c>
      <c r="H756">
        <v>0</v>
      </c>
      <c r="I756">
        <v>19</v>
      </c>
      <c r="J756">
        <v>3</v>
      </c>
      <c r="K756">
        <v>2</v>
      </c>
      <c r="L756">
        <v>2</v>
      </c>
      <c r="M756">
        <v>2</v>
      </c>
      <c r="N756">
        <v>2</v>
      </c>
      <c r="O756">
        <v>2</v>
      </c>
      <c r="P756" t="s">
        <v>1556</v>
      </c>
      <c r="Q756" t="s">
        <v>1554</v>
      </c>
      <c r="R756" t="s">
        <v>1549</v>
      </c>
      <c r="S756" t="s">
        <v>1532</v>
      </c>
      <c r="T756" t="s">
        <v>1538</v>
      </c>
      <c r="U756" t="s">
        <v>1546</v>
      </c>
      <c r="V756" t="s">
        <v>1558</v>
      </c>
      <c r="W756" t="s">
        <v>1562</v>
      </c>
      <c r="X756" t="s">
        <v>1575</v>
      </c>
      <c r="Y756" t="s">
        <v>1587</v>
      </c>
      <c r="Z756" t="s">
        <v>1594</v>
      </c>
      <c r="AA756" t="s">
        <v>1596</v>
      </c>
      <c r="AB756" t="s">
        <v>1601</v>
      </c>
      <c r="AC756" t="s">
        <v>1610</v>
      </c>
      <c r="AD756" t="s">
        <v>1607</v>
      </c>
      <c r="AE756" t="s">
        <v>1616</v>
      </c>
      <c r="AF756" t="s">
        <v>1626</v>
      </c>
    </row>
    <row r="757" spans="1:32" x14ac:dyDescent="0.25">
      <c r="A757" t="s">
        <v>814</v>
      </c>
      <c r="B757">
        <v>45</v>
      </c>
      <c r="C757">
        <v>1234</v>
      </c>
      <c r="D757">
        <v>11</v>
      </c>
      <c r="E757">
        <v>90</v>
      </c>
      <c r="F757">
        <v>17650</v>
      </c>
      <c r="G757">
        <v>5404</v>
      </c>
      <c r="H757">
        <v>3</v>
      </c>
      <c r="I757">
        <v>13</v>
      </c>
      <c r="J757">
        <v>26</v>
      </c>
      <c r="K757">
        <v>4</v>
      </c>
      <c r="L757">
        <v>9</v>
      </c>
      <c r="M757">
        <v>3</v>
      </c>
      <c r="N757">
        <v>1</v>
      </c>
      <c r="O757">
        <v>1</v>
      </c>
      <c r="P757" t="s">
        <v>1556</v>
      </c>
      <c r="Q757" t="s">
        <v>1552</v>
      </c>
      <c r="R757" t="s">
        <v>1549</v>
      </c>
      <c r="S757" t="s">
        <v>1533</v>
      </c>
      <c r="T757" t="s">
        <v>1538</v>
      </c>
      <c r="U757" t="s">
        <v>1548</v>
      </c>
      <c r="V757" t="s">
        <v>1558</v>
      </c>
      <c r="W757" t="s">
        <v>1563</v>
      </c>
      <c r="X757" t="s">
        <v>1578</v>
      </c>
      <c r="Y757" t="s">
        <v>1586</v>
      </c>
      <c r="Z757" t="s">
        <v>1594</v>
      </c>
      <c r="AA757" t="s">
        <v>1597</v>
      </c>
      <c r="AB757" t="s">
        <v>1601</v>
      </c>
      <c r="AC757" t="s">
        <v>1610</v>
      </c>
      <c r="AD757" t="s">
        <v>1605</v>
      </c>
      <c r="AE757" t="s">
        <v>1617</v>
      </c>
      <c r="AF757" t="s">
        <v>1628</v>
      </c>
    </row>
    <row r="758" spans="1:32" x14ac:dyDescent="0.25">
      <c r="A758" t="s">
        <v>815</v>
      </c>
      <c r="B758">
        <v>32</v>
      </c>
      <c r="C758">
        <v>1109</v>
      </c>
      <c r="D758">
        <v>29</v>
      </c>
      <c r="E758">
        <v>69</v>
      </c>
      <c r="F758">
        <v>4025</v>
      </c>
      <c r="G758">
        <v>11135</v>
      </c>
      <c r="H758">
        <v>9</v>
      </c>
      <c r="I758">
        <v>12</v>
      </c>
      <c r="J758">
        <v>10</v>
      </c>
      <c r="K758">
        <v>2</v>
      </c>
      <c r="L758">
        <v>8</v>
      </c>
      <c r="M758">
        <v>7</v>
      </c>
      <c r="N758">
        <v>7</v>
      </c>
      <c r="O758">
        <v>7</v>
      </c>
      <c r="P758" t="s">
        <v>1556</v>
      </c>
      <c r="Q758" t="s">
        <v>1554</v>
      </c>
      <c r="R758" t="s">
        <v>1550</v>
      </c>
      <c r="S758" t="s">
        <v>1535</v>
      </c>
      <c r="T758" t="s">
        <v>1540</v>
      </c>
      <c r="U758" t="s">
        <v>1548</v>
      </c>
      <c r="V758" t="s">
        <v>1558</v>
      </c>
      <c r="W758" t="s">
        <v>1563</v>
      </c>
      <c r="X758" t="s">
        <v>1575</v>
      </c>
      <c r="Y758" t="s">
        <v>1583</v>
      </c>
      <c r="Z758" t="s">
        <v>1593</v>
      </c>
      <c r="AA758" t="s">
        <v>1596</v>
      </c>
      <c r="AB758" t="s">
        <v>1601</v>
      </c>
      <c r="AC758" t="s">
        <v>1610</v>
      </c>
      <c r="AD758" t="s">
        <v>1605</v>
      </c>
      <c r="AE758" t="s">
        <v>1616</v>
      </c>
      <c r="AF758" t="s">
        <v>1627</v>
      </c>
    </row>
    <row r="759" spans="1:32" x14ac:dyDescent="0.25">
      <c r="A759" t="s">
        <v>816</v>
      </c>
      <c r="B759">
        <v>34</v>
      </c>
      <c r="C759">
        <v>216</v>
      </c>
      <c r="D759">
        <v>1</v>
      </c>
      <c r="E759">
        <v>75</v>
      </c>
      <c r="F759">
        <v>9725</v>
      </c>
      <c r="G759">
        <v>12278</v>
      </c>
      <c r="H759">
        <v>0</v>
      </c>
      <c r="I759">
        <v>11</v>
      </c>
      <c r="J759">
        <v>16</v>
      </c>
      <c r="K759">
        <v>2</v>
      </c>
      <c r="L759">
        <v>15</v>
      </c>
      <c r="M759">
        <v>1</v>
      </c>
      <c r="N759">
        <v>0</v>
      </c>
      <c r="O759">
        <v>9</v>
      </c>
      <c r="P759" t="s">
        <v>1556</v>
      </c>
      <c r="Q759" t="s">
        <v>1552</v>
      </c>
      <c r="R759" t="s">
        <v>1549</v>
      </c>
      <c r="S759" t="s">
        <v>1535</v>
      </c>
      <c r="T759" t="s">
        <v>1541</v>
      </c>
      <c r="U759" t="s">
        <v>1546</v>
      </c>
      <c r="V759" t="s">
        <v>1559</v>
      </c>
      <c r="W759" t="s">
        <v>1564</v>
      </c>
      <c r="X759" t="s">
        <v>1576</v>
      </c>
      <c r="Y759" t="s">
        <v>1581</v>
      </c>
      <c r="Z759" t="s">
        <v>1594</v>
      </c>
      <c r="AA759" t="s">
        <v>1598</v>
      </c>
      <c r="AB759" t="s">
        <v>1601</v>
      </c>
      <c r="AC759" t="s">
        <v>1610</v>
      </c>
      <c r="AD759" t="s">
        <v>1607</v>
      </c>
      <c r="AE759" t="s">
        <v>1617</v>
      </c>
      <c r="AF759" t="s">
        <v>1626</v>
      </c>
    </row>
    <row r="760" spans="1:32" x14ac:dyDescent="0.25">
      <c r="A760" t="s">
        <v>817</v>
      </c>
      <c r="B760">
        <v>59</v>
      </c>
      <c r="C760">
        <v>1089</v>
      </c>
      <c r="D760">
        <v>1</v>
      </c>
      <c r="E760">
        <v>66</v>
      </c>
      <c r="F760">
        <v>11904</v>
      </c>
      <c r="G760">
        <v>11038</v>
      </c>
      <c r="H760">
        <v>3</v>
      </c>
      <c r="I760">
        <v>14</v>
      </c>
      <c r="J760">
        <v>14</v>
      </c>
      <c r="K760">
        <v>1</v>
      </c>
      <c r="L760">
        <v>6</v>
      </c>
      <c r="M760">
        <v>4</v>
      </c>
      <c r="N760">
        <v>0</v>
      </c>
      <c r="O760">
        <v>4</v>
      </c>
      <c r="P760" t="s">
        <v>1556</v>
      </c>
      <c r="Q760" t="s">
        <v>1552</v>
      </c>
      <c r="R760" t="s">
        <v>1549</v>
      </c>
      <c r="S760" t="s">
        <v>1533</v>
      </c>
      <c r="T760" t="s">
        <v>1542</v>
      </c>
      <c r="U760" t="s">
        <v>1546</v>
      </c>
      <c r="V760" t="s">
        <v>1559</v>
      </c>
      <c r="W760" t="s">
        <v>1563</v>
      </c>
      <c r="X760" t="s">
        <v>1577</v>
      </c>
      <c r="Y760" t="s">
        <v>1586</v>
      </c>
      <c r="Z760" t="s">
        <v>1594</v>
      </c>
      <c r="AA760" t="s">
        <v>1597</v>
      </c>
      <c r="AB760" t="s">
        <v>1600</v>
      </c>
      <c r="AC760" t="s">
        <v>1610</v>
      </c>
      <c r="AD760" t="s">
        <v>1606</v>
      </c>
      <c r="AE760" t="s">
        <v>1617</v>
      </c>
      <c r="AF760" t="s">
        <v>1625</v>
      </c>
    </row>
    <row r="761" spans="1:32" x14ac:dyDescent="0.25">
      <c r="A761" t="s">
        <v>818</v>
      </c>
      <c r="B761">
        <v>45</v>
      </c>
      <c r="C761">
        <v>788</v>
      </c>
      <c r="D761">
        <v>24</v>
      </c>
      <c r="E761">
        <v>36</v>
      </c>
      <c r="F761">
        <v>2177</v>
      </c>
      <c r="G761">
        <v>8318</v>
      </c>
      <c r="H761">
        <v>1</v>
      </c>
      <c r="I761">
        <v>16</v>
      </c>
      <c r="J761">
        <v>6</v>
      </c>
      <c r="K761">
        <v>3</v>
      </c>
      <c r="L761">
        <v>6</v>
      </c>
      <c r="M761">
        <v>3</v>
      </c>
      <c r="N761">
        <v>0</v>
      </c>
      <c r="O761">
        <v>4</v>
      </c>
      <c r="P761" t="s">
        <v>1556</v>
      </c>
      <c r="Q761" t="s">
        <v>1552</v>
      </c>
      <c r="R761" t="s">
        <v>1551</v>
      </c>
      <c r="S761" t="s">
        <v>1535</v>
      </c>
      <c r="T761" t="s">
        <v>1540</v>
      </c>
      <c r="U761" t="s">
        <v>1546</v>
      </c>
      <c r="V761" t="s">
        <v>1559</v>
      </c>
      <c r="W761" t="s">
        <v>1563</v>
      </c>
      <c r="X761" t="s">
        <v>1575</v>
      </c>
      <c r="Y761" t="s">
        <v>1589</v>
      </c>
      <c r="Z761" t="s">
        <v>1592</v>
      </c>
      <c r="AA761" t="s">
        <v>1596</v>
      </c>
      <c r="AB761" t="s">
        <v>1601</v>
      </c>
      <c r="AC761" t="s">
        <v>1610</v>
      </c>
      <c r="AD761" t="s">
        <v>1604</v>
      </c>
      <c r="AE761" t="s">
        <v>1616</v>
      </c>
      <c r="AF761" t="s">
        <v>1627</v>
      </c>
    </row>
    <row r="762" spans="1:32" x14ac:dyDescent="0.25">
      <c r="A762" t="s">
        <v>819</v>
      </c>
      <c r="B762">
        <v>53</v>
      </c>
      <c r="C762">
        <v>124</v>
      </c>
      <c r="D762">
        <v>2</v>
      </c>
      <c r="E762">
        <v>38</v>
      </c>
      <c r="F762">
        <v>7525</v>
      </c>
      <c r="G762">
        <v>23537</v>
      </c>
      <c r="H762">
        <v>2</v>
      </c>
      <c r="I762">
        <v>12</v>
      </c>
      <c r="J762">
        <v>30</v>
      </c>
      <c r="K762">
        <v>2</v>
      </c>
      <c r="L762">
        <v>15</v>
      </c>
      <c r="M762">
        <v>7</v>
      </c>
      <c r="N762">
        <v>6</v>
      </c>
      <c r="O762">
        <v>12</v>
      </c>
      <c r="P762" t="s">
        <v>1556</v>
      </c>
      <c r="Q762" t="s">
        <v>1553</v>
      </c>
      <c r="R762" t="s">
        <v>1549</v>
      </c>
      <c r="S762" t="s">
        <v>1534</v>
      </c>
      <c r="T762" t="s">
        <v>1541</v>
      </c>
      <c r="U762" t="s">
        <v>1547</v>
      </c>
      <c r="V762" t="s">
        <v>1558</v>
      </c>
      <c r="W762" t="s">
        <v>1562</v>
      </c>
      <c r="X762" t="s">
        <v>1577</v>
      </c>
      <c r="Y762" t="s">
        <v>1581</v>
      </c>
      <c r="Z762" t="s">
        <v>1592</v>
      </c>
      <c r="AA762" t="s">
        <v>1597</v>
      </c>
      <c r="AB762" t="s">
        <v>1601</v>
      </c>
      <c r="AC762" t="s">
        <v>1610</v>
      </c>
      <c r="AD762" t="s">
        <v>1604</v>
      </c>
      <c r="AE762" t="s">
        <v>1617</v>
      </c>
      <c r="AF762" t="s">
        <v>1627</v>
      </c>
    </row>
    <row r="763" spans="1:32" x14ac:dyDescent="0.25">
      <c r="A763" t="s">
        <v>820</v>
      </c>
      <c r="B763">
        <v>36</v>
      </c>
      <c r="C763">
        <v>660</v>
      </c>
      <c r="D763">
        <v>15</v>
      </c>
      <c r="E763">
        <v>81</v>
      </c>
      <c r="F763">
        <v>4834</v>
      </c>
      <c r="G763">
        <v>7858</v>
      </c>
      <c r="H763">
        <v>7</v>
      </c>
      <c r="I763">
        <v>14</v>
      </c>
      <c r="J763">
        <v>9</v>
      </c>
      <c r="K763">
        <v>3</v>
      </c>
      <c r="L763">
        <v>1</v>
      </c>
      <c r="M763">
        <v>0</v>
      </c>
      <c r="N763">
        <v>0</v>
      </c>
      <c r="O763">
        <v>0</v>
      </c>
      <c r="P763" t="s">
        <v>1555</v>
      </c>
      <c r="Q763" t="s">
        <v>1552</v>
      </c>
      <c r="R763" t="s">
        <v>1550</v>
      </c>
      <c r="S763" t="s">
        <v>1534</v>
      </c>
      <c r="T763" t="s">
        <v>1539</v>
      </c>
      <c r="U763" t="s">
        <v>1545</v>
      </c>
      <c r="V763" t="s">
        <v>1559</v>
      </c>
      <c r="W763" t="s">
        <v>1563</v>
      </c>
      <c r="X763" t="s">
        <v>1576</v>
      </c>
      <c r="Y763" t="s">
        <v>1583</v>
      </c>
      <c r="Z763" t="s">
        <v>1593</v>
      </c>
      <c r="AA763" t="s">
        <v>1598</v>
      </c>
      <c r="AB763" t="s">
        <v>1601</v>
      </c>
      <c r="AC763" t="s">
        <v>1610</v>
      </c>
      <c r="AD763" t="s">
        <v>1605</v>
      </c>
      <c r="AE763" t="s">
        <v>1617</v>
      </c>
      <c r="AF763" t="s">
        <v>1626</v>
      </c>
    </row>
    <row r="764" spans="1:32" x14ac:dyDescent="0.25">
      <c r="A764" t="s">
        <v>821</v>
      </c>
      <c r="B764">
        <v>26</v>
      </c>
      <c r="C764">
        <v>342</v>
      </c>
      <c r="D764">
        <v>2</v>
      </c>
      <c r="E764">
        <v>57</v>
      </c>
      <c r="F764">
        <v>2042</v>
      </c>
      <c r="G764">
        <v>15346</v>
      </c>
      <c r="H764">
        <v>6</v>
      </c>
      <c r="I764">
        <v>14</v>
      </c>
      <c r="J764">
        <v>6</v>
      </c>
      <c r="K764">
        <v>2</v>
      </c>
      <c r="L764">
        <v>3</v>
      </c>
      <c r="M764">
        <v>2</v>
      </c>
      <c r="N764">
        <v>1</v>
      </c>
      <c r="O764">
        <v>2</v>
      </c>
      <c r="P764" t="s">
        <v>1555</v>
      </c>
      <c r="Q764" t="s">
        <v>1553</v>
      </c>
      <c r="R764" t="s">
        <v>1550</v>
      </c>
      <c r="S764" t="s">
        <v>1534</v>
      </c>
      <c r="T764" t="s">
        <v>1538</v>
      </c>
      <c r="U764" t="s">
        <v>1545</v>
      </c>
      <c r="V764" t="s">
        <v>1559</v>
      </c>
      <c r="W764" t="s">
        <v>1563</v>
      </c>
      <c r="X764" t="s">
        <v>1575</v>
      </c>
      <c r="Y764" t="s">
        <v>1582</v>
      </c>
      <c r="Z764" t="s">
        <v>1591</v>
      </c>
      <c r="AA764" t="s">
        <v>1597</v>
      </c>
      <c r="AB764" t="s">
        <v>1600</v>
      </c>
      <c r="AC764" t="s">
        <v>1610</v>
      </c>
      <c r="AD764" t="s">
        <v>1605</v>
      </c>
      <c r="AE764" t="s">
        <v>1617</v>
      </c>
      <c r="AF764" t="s">
        <v>1627</v>
      </c>
    </row>
    <row r="765" spans="1:32" x14ac:dyDescent="0.25">
      <c r="A765" t="s">
        <v>822</v>
      </c>
      <c r="B765">
        <v>34</v>
      </c>
      <c r="C765">
        <v>1333</v>
      </c>
      <c r="D765">
        <v>10</v>
      </c>
      <c r="E765">
        <v>87</v>
      </c>
      <c r="F765">
        <v>2220</v>
      </c>
      <c r="G765">
        <v>18410</v>
      </c>
      <c r="H765">
        <v>1</v>
      </c>
      <c r="I765">
        <v>19</v>
      </c>
      <c r="J765">
        <v>1</v>
      </c>
      <c r="K765">
        <v>2</v>
      </c>
      <c r="L765">
        <v>1</v>
      </c>
      <c r="M765">
        <v>1</v>
      </c>
      <c r="N765">
        <v>0</v>
      </c>
      <c r="O765">
        <v>0</v>
      </c>
      <c r="P765" t="s">
        <v>1556</v>
      </c>
      <c r="Q765" t="s">
        <v>1552</v>
      </c>
      <c r="R765" t="s">
        <v>1549</v>
      </c>
      <c r="S765" t="s">
        <v>1535</v>
      </c>
      <c r="T765" t="s">
        <v>1538</v>
      </c>
      <c r="U765" t="s">
        <v>1547</v>
      </c>
      <c r="V765" t="s">
        <v>1558</v>
      </c>
      <c r="W765" t="s">
        <v>1563</v>
      </c>
      <c r="X765" t="s">
        <v>1575</v>
      </c>
      <c r="Y765" t="s">
        <v>1587</v>
      </c>
      <c r="Z765" t="s">
        <v>1593</v>
      </c>
      <c r="AA765" t="s">
        <v>1597</v>
      </c>
      <c r="AB765" t="s">
        <v>1600</v>
      </c>
      <c r="AC765" t="s">
        <v>1610</v>
      </c>
      <c r="AD765" t="s">
        <v>1607</v>
      </c>
      <c r="AE765" t="s">
        <v>1617</v>
      </c>
      <c r="AF765" t="s">
        <v>1627</v>
      </c>
    </row>
    <row r="766" spans="1:32" x14ac:dyDescent="0.25">
      <c r="A766" t="s">
        <v>823</v>
      </c>
      <c r="B766">
        <v>28</v>
      </c>
      <c r="C766">
        <v>1144</v>
      </c>
      <c r="D766">
        <v>10</v>
      </c>
      <c r="E766">
        <v>74</v>
      </c>
      <c r="F766">
        <v>1052</v>
      </c>
      <c r="G766">
        <v>23384</v>
      </c>
      <c r="H766">
        <v>1</v>
      </c>
      <c r="I766">
        <v>22</v>
      </c>
      <c r="J766">
        <v>1</v>
      </c>
      <c r="K766">
        <v>5</v>
      </c>
      <c r="L766">
        <v>1</v>
      </c>
      <c r="M766">
        <v>0</v>
      </c>
      <c r="N766">
        <v>0</v>
      </c>
      <c r="O766">
        <v>0</v>
      </c>
      <c r="P766" t="s">
        <v>1556</v>
      </c>
      <c r="Q766" t="s">
        <v>1552</v>
      </c>
      <c r="R766" t="s">
        <v>1549</v>
      </c>
      <c r="S766" t="s">
        <v>1532</v>
      </c>
      <c r="T766" t="s">
        <v>1540</v>
      </c>
      <c r="U766" t="s">
        <v>1548</v>
      </c>
      <c r="V766" t="s">
        <v>1559</v>
      </c>
      <c r="W766" t="s">
        <v>1563</v>
      </c>
      <c r="X766" t="s">
        <v>1575</v>
      </c>
      <c r="Y766" t="s">
        <v>1587</v>
      </c>
      <c r="Z766" t="s">
        <v>1592</v>
      </c>
      <c r="AA766" t="s">
        <v>1597</v>
      </c>
      <c r="AB766" t="s">
        <v>1601</v>
      </c>
      <c r="AC766" t="s">
        <v>1611</v>
      </c>
      <c r="AD766" t="s">
        <v>1605</v>
      </c>
      <c r="AE766" t="s">
        <v>1616</v>
      </c>
      <c r="AF766" t="s">
        <v>1627</v>
      </c>
    </row>
    <row r="767" spans="1:32" x14ac:dyDescent="0.25">
      <c r="A767" t="s">
        <v>824</v>
      </c>
      <c r="B767">
        <v>38</v>
      </c>
      <c r="C767">
        <v>1186</v>
      </c>
      <c r="D767">
        <v>3</v>
      </c>
      <c r="E767">
        <v>44</v>
      </c>
      <c r="F767">
        <v>2821</v>
      </c>
      <c r="G767">
        <v>2997</v>
      </c>
      <c r="H767">
        <v>3</v>
      </c>
      <c r="I767">
        <v>16</v>
      </c>
      <c r="J767">
        <v>8</v>
      </c>
      <c r="K767">
        <v>2</v>
      </c>
      <c r="L767">
        <v>2</v>
      </c>
      <c r="M767">
        <v>2</v>
      </c>
      <c r="N767">
        <v>2</v>
      </c>
      <c r="O767">
        <v>2</v>
      </c>
      <c r="P767" t="s">
        <v>1556</v>
      </c>
      <c r="Q767" t="s">
        <v>1553</v>
      </c>
      <c r="R767" t="s">
        <v>1550</v>
      </c>
      <c r="S767" t="s">
        <v>1535</v>
      </c>
      <c r="T767" t="s">
        <v>1539</v>
      </c>
      <c r="U767" t="s">
        <v>1547</v>
      </c>
      <c r="V767" t="s">
        <v>1559</v>
      </c>
      <c r="W767" t="s">
        <v>1563</v>
      </c>
      <c r="X767" t="s">
        <v>1575</v>
      </c>
      <c r="Y767" t="s">
        <v>1582</v>
      </c>
      <c r="Z767" t="s">
        <v>1593</v>
      </c>
      <c r="AA767" t="s">
        <v>1597</v>
      </c>
      <c r="AB767" t="s">
        <v>1601</v>
      </c>
      <c r="AC767" t="s">
        <v>1610</v>
      </c>
      <c r="AD767" t="s">
        <v>1604</v>
      </c>
      <c r="AE767" t="s">
        <v>1617</v>
      </c>
      <c r="AF767" t="s">
        <v>1627</v>
      </c>
    </row>
    <row r="768" spans="1:32" x14ac:dyDescent="0.25">
      <c r="A768" t="s">
        <v>825</v>
      </c>
      <c r="B768">
        <v>50</v>
      </c>
      <c r="C768">
        <v>1464</v>
      </c>
      <c r="D768">
        <v>2</v>
      </c>
      <c r="E768">
        <v>62</v>
      </c>
      <c r="F768">
        <v>19237</v>
      </c>
      <c r="G768">
        <v>12853</v>
      </c>
      <c r="H768">
        <v>2</v>
      </c>
      <c r="I768">
        <v>11</v>
      </c>
      <c r="J768">
        <v>29</v>
      </c>
      <c r="K768">
        <v>2</v>
      </c>
      <c r="L768">
        <v>8</v>
      </c>
      <c r="M768">
        <v>1</v>
      </c>
      <c r="N768">
        <v>7</v>
      </c>
      <c r="O768">
        <v>7</v>
      </c>
      <c r="P768" t="s">
        <v>1556</v>
      </c>
      <c r="Q768" t="s">
        <v>1552</v>
      </c>
      <c r="R768" t="s">
        <v>1550</v>
      </c>
      <c r="S768" t="s">
        <v>1535</v>
      </c>
      <c r="T768" t="s">
        <v>1540</v>
      </c>
      <c r="U768" t="s">
        <v>1546</v>
      </c>
      <c r="V768" t="s">
        <v>1559</v>
      </c>
      <c r="W768" t="s">
        <v>1563</v>
      </c>
      <c r="X768" t="s">
        <v>1579</v>
      </c>
      <c r="Y768" t="s">
        <v>1588</v>
      </c>
      <c r="Z768" t="s">
        <v>1593</v>
      </c>
      <c r="AA768" t="s">
        <v>1597</v>
      </c>
      <c r="AB768" t="s">
        <v>1600</v>
      </c>
      <c r="AC768" t="s">
        <v>1610</v>
      </c>
      <c r="AD768" t="s">
        <v>1607</v>
      </c>
      <c r="AE768" t="s">
        <v>1617</v>
      </c>
      <c r="AF768" t="s">
        <v>1626</v>
      </c>
    </row>
    <row r="769" spans="1:32" x14ac:dyDescent="0.25">
      <c r="A769" t="s">
        <v>826</v>
      </c>
      <c r="B769">
        <v>37</v>
      </c>
      <c r="C769">
        <v>124</v>
      </c>
      <c r="D769">
        <v>3</v>
      </c>
      <c r="E769">
        <v>35</v>
      </c>
      <c r="F769">
        <v>4107</v>
      </c>
      <c r="G769">
        <v>13848</v>
      </c>
      <c r="H769">
        <v>3</v>
      </c>
      <c r="I769">
        <v>15</v>
      </c>
      <c r="J769">
        <v>8</v>
      </c>
      <c r="K769">
        <v>3</v>
      </c>
      <c r="L769">
        <v>4</v>
      </c>
      <c r="M769">
        <v>3</v>
      </c>
      <c r="N769">
        <v>0</v>
      </c>
      <c r="O769">
        <v>1</v>
      </c>
      <c r="P769" t="s">
        <v>1556</v>
      </c>
      <c r="Q769" t="s">
        <v>1552</v>
      </c>
      <c r="R769" t="s">
        <v>1550</v>
      </c>
      <c r="S769" t="s">
        <v>1534</v>
      </c>
      <c r="T769" t="s">
        <v>1539</v>
      </c>
      <c r="U769" t="s">
        <v>1548</v>
      </c>
      <c r="V769" t="s">
        <v>1558</v>
      </c>
      <c r="W769" t="s">
        <v>1563</v>
      </c>
      <c r="X769" t="s">
        <v>1576</v>
      </c>
      <c r="Y769" t="s">
        <v>1585</v>
      </c>
      <c r="Z769" t="s">
        <v>1592</v>
      </c>
      <c r="AA769" t="s">
        <v>1596</v>
      </c>
      <c r="AB769" t="s">
        <v>1601</v>
      </c>
      <c r="AC769" t="s">
        <v>1610</v>
      </c>
      <c r="AD769" t="s">
        <v>1604</v>
      </c>
      <c r="AE769" t="s">
        <v>1616</v>
      </c>
      <c r="AF769" t="s">
        <v>1626</v>
      </c>
    </row>
    <row r="770" spans="1:32" x14ac:dyDescent="0.25">
      <c r="A770" t="s">
        <v>827</v>
      </c>
      <c r="B770">
        <v>40</v>
      </c>
      <c r="C770">
        <v>300</v>
      </c>
      <c r="D770">
        <v>26</v>
      </c>
      <c r="E770">
        <v>74</v>
      </c>
      <c r="F770">
        <v>8396</v>
      </c>
      <c r="G770">
        <v>22217</v>
      </c>
      <c r="H770">
        <v>1</v>
      </c>
      <c r="I770">
        <v>14</v>
      </c>
      <c r="J770">
        <v>8</v>
      </c>
      <c r="K770">
        <v>3</v>
      </c>
      <c r="L770">
        <v>7</v>
      </c>
      <c r="M770">
        <v>7</v>
      </c>
      <c r="N770">
        <v>7</v>
      </c>
      <c r="O770">
        <v>5</v>
      </c>
      <c r="P770" t="s">
        <v>1556</v>
      </c>
      <c r="Q770" t="s">
        <v>1552</v>
      </c>
      <c r="R770" t="s">
        <v>1549</v>
      </c>
      <c r="S770" t="s">
        <v>1534</v>
      </c>
      <c r="T770" t="s">
        <v>1541</v>
      </c>
      <c r="U770" t="s">
        <v>1547</v>
      </c>
      <c r="V770" t="s">
        <v>1559</v>
      </c>
      <c r="W770" t="s">
        <v>1563</v>
      </c>
      <c r="X770" t="s">
        <v>1576</v>
      </c>
      <c r="Y770" t="s">
        <v>1581</v>
      </c>
      <c r="Z770" t="s">
        <v>1591</v>
      </c>
      <c r="AA770" t="s">
        <v>1597</v>
      </c>
      <c r="AB770" t="s">
        <v>1601</v>
      </c>
      <c r="AC770" t="s">
        <v>1610</v>
      </c>
      <c r="AD770" t="s">
        <v>1605</v>
      </c>
      <c r="AE770" t="s">
        <v>1617</v>
      </c>
      <c r="AF770" t="s">
        <v>1626</v>
      </c>
    </row>
    <row r="771" spans="1:32" x14ac:dyDescent="0.25">
      <c r="A771" t="s">
        <v>828</v>
      </c>
      <c r="B771">
        <v>26</v>
      </c>
      <c r="C771">
        <v>921</v>
      </c>
      <c r="D771">
        <v>1</v>
      </c>
      <c r="E771">
        <v>66</v>
      </c>
      <c r="F771">
        <v>2007</v>
      </c>
      <c r="G771">
        <v>25265</v>
      </c>
      <c r="H771">
        <v>1</v>
      </c>
      <c r="I771">
        <v>13</v>
      </c>
      <c r="J771">
        <v>5</v>
      </c>
      <c r="K771">
        <v>5</v>
      </c>
      <c r="L771">
        <v>5</v>
      </c>
      <c r="M771">
        <v>3</v>
      </c>
      <c r="N771">
        <v>1</v>
      </c>
      <c r="O771">
        <v>3</v>
      </c>
      <c r="P771" t="s">
        <v>1556</v>
      </c>
      <c r="Q771" t="s">
        <v>1553</v>
      </c>
      <c r="R771" t="s">
        <v>1550</v>
      </c>
      <c r="S771" t="s">
        <v>1532</v>
      </c>
      <c r="T771" t="s">
        <v>1540</v>
      </c>
      <c r="U771" t="s">
        <v>1545</v>
      </c>
      <c r="V771" t="s">
        <v>1558</v>
      </c>
      <c r="W771" t="s">
        <v>1562</v>
      </c>
      <c r="X771" t="s">
        <v>1575</v>
      </c>
      <c r="Y771" t="s">
        <v>1582</v>
      </c>
      <c r="Z771" t="s">
        <v>1593</v>
      </c>
      <c r="AA771" t="s">
        <v>1598</v>
      </c>
      <c r="AB771" t="s">
        <v>1601</v>
      </c>
      <c r="AC771" t="s">
        <v>1610</v>
      </c>
      <c r="AD771" t="s">
        <v>1606</v>
      </c>
      <c r="AE771" t="s">
        <v>1618</v>
      </c>
      <c r="AF771" t="s">
        <v>1627</v>
      </c>
    </row>
    <row r="772" spans="1:32" x14ac:dyDescent="0.25">
      <c r="A772" t="s">
        <v>829</v>
      </c>
      <c r="B772">
        <v>46</v>
      </c>
      <c r="C772">
        <v>430</v>
      </c>
      <c r="D772">
        <v>1</v>
      </c>
      <c r="E772">
        <v>40</v>
      </c>
      <c r="F772">
        <v>19627</v>
      </c>
      <c r="G772">
        <v>21445</v>
      </c>
      <c r="H772">
        <v>9</v>
      </c>
      <c r="I772">
        <v>17</v>
      </c>
      <c r="J772">
        <v>23</v>
      </c>
      <c r="K772">
        <v>0</v>
      </c>
      <c r="L772">
        <v>2</v>
      </c>
      <c r="M772">
        <v>2</v>
      </c>
      <c r="N772">
        <v>2</v>
      </c>
      <c r="O772">
        <v>2</v>
      </c>
      <c r="P772" t="s">
        <v>1556</v>
      </c>
      <c r="Q772" t="s">
        <v>1552</v>
      </c>
      <c r="R772" t="s">
        <v>1550</v>
      </c>
      <c r="S772" t="s">
        <v>1535</v>
      </c>
      <c r="T772" t="s">
        <v>1540</v>
      </c>
      <c r="U772" t="s">
        <v>1548</v>
      </c>
      <c r="V772" t="s">
        <v>1559</v>
      </c>
      <c r="W772" t="s">
        <v>1563</v>
      </c>
      <c r="X772" t="s">
        <v>1579</v>
      </c>
      <c r="Y772" t="s">
        <v>1588</v>
      </c>
      <c r="Z772" t="s">
        <v>1594</v>
      </c>
      <c r="AA772" t="s">
        <v>1598</v>
      </c>
      <c r="AB772" t="s">
        <v>1601</v>
      </c>
      <c r="AC772" t="s">
        <v>1610</v>
      </c>
      <c r="AD772" t="s">
        <v>1607</v>
      </c>
      <c r="AE772" t="s">
        <v>1618</v>
      </c>
      <c r="AF772" t="s">
        <v>1627</v>
      </c>
    </row>
    <row r="773" spans="1:32" x14ac:dyDescent="0.25">
      <c r="A773" t="s">
        <v>830</v>
      </c>
      <c r="B773">
        <v>54</v>
      </c>
      <c r="C773">
        <v>1082</v>
      </c>
      <c r="D773">
        <v>2</v>
      </c>
      <c r="E773">
        <v>41</v>
      </c>
      <c r="F773">
        <v>10686</v>
      </c>
      <c r="G773">
        <v>8392</v>
      </c>
      <c r="H773">
        <v>6</v>
      </c>
      <c r="I773">
        <v>11</v>
      </c>
      <c r="J773">
        <v>13</v>
      </c>
      <c r="K773">
        <v>4</v>
      </c>
      <c r="L773">
        <v>9</v>
      </c>
      <c r="M773">
        <v>4</v>
      </c>
      <c r="N773">
        <v>7</v>
      </c>
      <c r="O773">
        <v>0</v>
      </c>
      <c r="P773" t="s">
        <v>1556</v>
      </c>
      <c r="Q773" t="s">
        <v>1552</v>
      </c>
      <c r="R773" t="s">
        <v>1549</v>
      </c>
      <c r="S773" t="s">
        <v>1535</v>
      </c>
      <c r="T773" t="s">
        <v>1538</v>
      </c>
      <c r="U773" t="s">
        <v>1547</v>
      </c>
      <c r="V773" t="s">
        <v>1558</v>
      </c>
      <c r="W773" t="s">
        <v>1562</v>
      </c>
      <c r="X773" t="s">
        <v>1577</v>
      </c>
      <c r="Y773" t="s">
        <v>1581</v>
      </c>
      <c r="Z773" t="s">
        <v>1593</v>
      </c>
      <c r="AA773" t="s">
        <v>1597</v>
      </c>
      <c r="AB773" t="s">
        <v>1601</v>
      </c>
      <c r="AC773" t="s">
        <v>1610</v>
      </c>
      <c r="AD773" t="s">
        <v>1605</v>
      </c>
      <c r="AE773" t="s">
        <v>1617</v>
      </c>
      <c r="AF773" t="s">
        <v>1627</v>
      </c>
    </row>
    <row r="774" spans="1:32" x14ac:dyDescent="0.25">
      <c r="A774" t="s">
        <v>831</v>
      </c>
      <c r="B774">
        <v>56</v>
      </c>
      <c r="C774">
        <v>1240</v>
      </c>
      <c r="D774">
        <v>9</v>
      </c>
      <c r="E774">
        <v>63</v>
      </c>
      <c r="F774">
        <v>2942</v>
      </c>
      <c r="G774">
        <v>12154</v>
      </c>
      <c r="H774">
        <v>2</v>
      </c>
      <c r="I774">
        <v>19</v>
      </c>
      <c r="J774">
        <v>18</v>
      </c>
      <c r="K774">
        <v>4</v>
      </c>
      <c r="L774">
        <v>5</v>
      </c>
      <c r="M774">
        <v>4</v>
      </c>
      <c r="N774">
        <v>0</v>
      </c>
      <c r="O774">
        <v>3</v>
      </c>
      <c r="P774" t="s">
        <v>1556</v>
      </c>
      <c r="Q774" t="s">
        <v>1553</v>
      </c>
      <c r="R774" t="s">
        <v>1550</v>
      </c>
      <c r="S774" t="s">
        <v>1534</v>
      </c>
      <c r="T774" t="s">
        <v>1540</v>
      </c>
      <c r="U774" t="s">
        <v>1545</v>
      </c>
      <c r="V774" t="s">
        <v>1558</v>
      </c>
      <c r="W774" t="s">
        <v>1563</v>
      </c>
      <c r="X774" t="s">
        <v>1575</v>
      </c>
      <c r="Y774" t="s">
        <v>1582</v>
      </c>
      <c r="Z774" t="s">
        <v>1593</v>
      </c>
      <c r="AA774" t="s">
        <v>1597</v>
      </c>
      <c r="AB774" t="s">
        <v>1601</v>
      </c>
      <c r="AC774" t="s">
        <v>1610</v>
      </c>
      <c r="AD774" t="s">
        <v>1605</v>
      </c>
      <c r="AE774" t="s">
        <v>1617</v>
      </c>
      <c r="AF774" t="s">
        <v>1627</v>
      </c>
    </row>
    <row r="775" spans="1:32" x14ac:dyDescent="0.25">
      <c r="A775" t="s">
        <v>832</v>
      </c>
      <c r="B775">
        <v>36</v>
      </c>
      <c r="C775">
        <v>796</v>
      </c>
      <c r="D775">
        <v>12</v>
      </c>
      <c r="E775">
        <v>51</v>
      </c>
      <c r="F775">
        <v>8858</v>
      </c>
      <c r="G775">
        <v>15669</v>
      </c>
      <c r="H775">
        <v>0</v>
      </c>
      <c r="I775">
        <v>11</v>
      </c>
      <c r="J775">
        <v>15</v>
      </c>
      <c r="K775">
        <v>2</v>
      </c>
      <c r="L775">
        <v>14</v>
      </c>
      <c r="M775">
        <v>8</v>
      </c>
      <c r="N775">
        <v>7</v>
      </c>
      <c r="O775">
        <v>8</v>
      </c>
      <c r="P775" t="s">
        <v>1556</v>
      </c>
      <c r="Q775" t="s">
        <v>1552</v>
      </c>
      <c r="R775" t="s">
        <v>1550</v>
      </c>
      <c r="S775" t="s">
        <v>1536</v>
      </c>
      <c r="T775" t="s">
        <v>1540</v>
      </c>
      <c r="U775" t="s">
        <v>1548</v>
      </c>
      <c r="V775" t="s">
        <v>1558</v>
      </c>
      <c r="W775" t="s">
        <v>1562</v>
      </c>
      <c r="X775" t="s">
        <v>1577</v>
      </c>
      <c r="Y775" t="s">
        <v>1584</v>
      </c>
      <c r="Z775" t="s">
        <v>1594</v>
      </c>
      <c r="AA775" t="s">
        <v>1596</v>
      </c>
      <c r="AB775" t="s">
        <v>1601</v>
      </c>
      <c r="AC775" t="s">
        <v>1610</v>
      </c>
      <c r="AD775" t="s">
        <v>1605</v>
      </c>
      <c r="AE775" t="s">
        <v>1616</v>
      </c>
      <c r="AF775" t="s">
        <v>1626</v>
      </c>
    </row>
    <row r="776" spans="1:32" x14ac:dyDescent="0.25">
      <c r="A776" t="s">
        <v>833</v>
      </c>
      <c r="B776">
        <v>55</v>
      </c>
      <c r="C776">
        <v>444</v>
      </c>
      <c r="D776">
        <v>2</v>
      </c>
      <c r="E776">
        <v>40</v>
      </c>
      <c r="F776">
        <v>16756</v>
      </c>
      <c r="G776">
        <v>17323</v>
      </c>
      <c r="H776">
        <v>7</v>
      </c>
      <c r="I776">
        <v>15</v>
      </c>
      <c r="J776">
        <v>31</v>
      </c>
      <c r="K776">
        <v>3</v>
      </c>
      <c r="L776">
        <v>9</v>
      </c>
      <c r="M776">
        <v>7</v>
      </c>
      <c r="N776">
        <v>6</v>
      </c>
      <c r="O776">
        <v>2</v>
      </c>
      <c r="P776" t="s">
        <v>1556</v>
      </c>
      <c r="Q776" t="s">
        <v>1554</v>
      </c>
      <c r="R776" t="s">
        <v>1550</v>
      </c>
      <c r="S776" t="s">
        <v>1532</v>
      </c>
      <c r="T776" t="s">
        <v>1540</v>
      </c>
      <c r="U776" t="s">
        <v>1547</v>
      </c>
      <c r="V776" t="s">
        <v>1559</v>
      </c>
      <c r="W776" t="s">
        <v>1562</v>
      </c>
      <c r="X776" t="s">
        <v>1578</v>
      </c>
      <c r="Y776" t="s">
        <v>1586</v>
      </c>
      <c r="Z776" t="s">
        <v>1591</v>
      </c>
      <c r="AA776" t="s">
        <v>1596</v>
      </c>
      <c r="AB776" t="s">
        <v>1601</v>
      </c>
      <c r="AC776" t="s">
        <v>1610</v>
      </c>
      <c r="AD776" t="s">
        <v>1605</v>
      </c>
      <c r="AE776" t="s">
        <v>1616</v>
      </c>
      <c r="AF776" t="s">
        <v>1628</v>
      </c>
    </row>
    <row r="777" spans="1:32" x14ac:dyDescent="0.25">
      <c r="A777" t="s">
        <v>834</v>
      </c>
      <c r="B777">
        <v>43</v>
      </c>
      <c r="C777">
        <v>415</v>
      </c>
      <c r="D777">
        <v>25</v>
      </c>
      <c r="E777">
        <v>79</v>
      </c>
      <c r="F777">
        <v>10798</v>
      </c>
      <c r="G777">
        <v>5268</v>
      </c>
      <c r="H777">
        <v>5</v>
      </c>
      <c r="I777">
        <v>13</v>
      </c>
      <c r="J777">
        <v>18</v>
      </c>
      <c r="K777">
        <v>5</v>
      </c>
      <c r="L777">
        <v>1</v>
      </c>
      <c r="M777">
        <v>0</v>
      </c>
      <c r="N777">
        <v>0</v>
      </c>
      <c r="O777">
        <v>0</v>
      </c>
      <c r="P777" t="s">
        <v>1556</v>
      </c>
      <c r="Q777" t="s">
        <v>1552</v>
      </c>
      <c r="R777" t="s">
        <v>1549</v>
      </c>
      <c r="S777" t="s">
        <v>1534</v>
      </c>
      <c r="T777" t="s">
        <v>1540</v>
      </c>
      <c r="U777" t="s">
        <v>1547</v>
      </c>
      <c r="V777" t="s">
        <v>1559</v>
      </c>
      <c r="W777" t="s">
        <v>1562</v>
      </c>
      <c r="X777" t="s">
        <v>1577</v>
      </c>
      <c r="Y777" t="s">
        <v>1581</v>
      </c>
      <c r="Z777" t="s">
        <v>1594</v>
      </c>
      <c r="AA777" t="s">
        <v>1598</v>
      </c>
      <c r="AB777" t="s">
        <v>1601</v>
      </c>
      <c r="AC777" t="s">
        <v>1610</v>
      </c>
      <c r="AD777" t="s">
        <v>1606</v>
      </c>
      <c r="AE777" t="s">
        <v>1617</v>
      </c>
      <c r="AF777" t="s">
        <v>1627</v>
      </c>
    </row>
    <row r="778" spans="1:32" x14ac:dyDescent="0.25">
      <c r="A778" t="s">
        <v>835</v>
      </c>
      <c r="B778">
        <v>20</v>
      </c>
      <c r="C778">
        <v>769</v>
      </c>
      <c r="D778">
        <v>9</v>
      </c>
      <c r="E778">
        <v>54</v>
      </c>
      <c r="F778">
        <v>2323</v>
      </c>
      <c r="G778">
        <v>17205</v>
      </c>
      <c r="H778">
        <v>1</v>
      </c>
      <c r="I778">
        <v>14</v>
      </c>
      <c r="J778">
        <v>2</v>
      </c>
      <c r="K778">
        <v>3</v>
      </c>
      <c r="L778">
        <v>2</v>
      </c>
      <c r="M778">
        <v>2</v>
      </c>
      <c r="N778">
        <v>0</v>
      </c>
      <c r="O778">
        <v>2</v>
      </c>
      <c r="P778" t="s">
        <v>1555</v>
      </c>
      <c r="Q778" t="s">
        <v>1553</v>
      </c>
      <c r="R778" t="s">
        <v>1549</v>
      </c>
      <c r="S778" t="s">
        <v>1534</v>
      </c>
      <c r="T778" t="s">
        <v>1541</v>
      </c>
      <c r="U778" t="s">
        <v>1548</v>
      </c>
      <c r="V778" t="s">
        <v>1558</v>
      </c>
      <c r="W778" t="s">
        <v>1563</v>
      </c>
      <c r="X778" t="s">
        <v>1575</v>
      </c>
      <c r="Y778" t="s">
        <v>1587</v>
      </c>
      <c r="Z778" t="s">
        <v>1594</v>
      </c>
      <c r="AA778" t="s">
        <v>1596</v>
      </c>
      <c r="AB778" t="s">
        <v>1600</v>
      </c>
      <c r="AC778" t="s">
        <v>1610</v>
      </c>
      <c r="AD778" t="s">
        <v>1605</v>
      </c>
      <c r="AE778" t="s">
        <v>1616</v>
      </c>
      <c r="AF778" t="s">
        <v>1627</v>
      </c>
    </row>
    <row r="779" spans="1:32" x14ac:dyDescent="0.25">
      <c r="A779" t="s">
        <v>836</v>
      </c>
      <c r="B779">
        <v>21</v>
      </c>
      <c r="C779">
        <v>1334</v>
      </c>
      <c r="D779">
        <v>10</v>
      </c>
      <c r="E779">
        <v>36</v>
      </c>
      <c r="F779">
        <v>1416</v>
      </c>
      <c r="G779">
        <v>17258</v>
      </c>
      <c r="H779">
        <v>1</v>
      </c>
      <c r="I779">
        <v>13</v>
      </c>
      <c r="J779">
        <v>1</v>
      </c>
      <c r="K779">
        <v>6</v>
      </c>
      <c r="L779">
        <v>1</v>
      </c>
      <c r="M779">
        <v>0</v>
      </c>
      <c r="N779">
        <v>1</v>
      </c>
      <c r="O779">
        <v>0</v>
      </c>
      <c r="P779" t="s">
        <v>1555</v>
      </c>
      <c r="Q779" t="s">
        <v>1552</v>
      </c>
      <c r="R779" t="s">
        <v>1550</v>
      </c>
      <c r="S779" t="s">
        <v>1534</v>
      </c>
      <c r="T779" t="s">
        <v>1538</v>
      </c>
      <c r="U779" t="s">
        <v>1547</v>
      </c>
      <c r="V779" t="s">
        <v>1558</v>
      </c>
      <c r="W779" t="s">
        <v>1562</v>
      </c>
      <c r="X779" t="s">
        <v>1575</v>
      </c>
      <c r="Y779" t="s">
        <v>1583</v>
      </c>
      <c r="Z779" t="s">
        <v>1591</v>
      </c>
      <c r="AA779" t="s">
        <v>1596</v>
      </c>
      <c r="AB779" t="s">
        <v>1601</v>
      </c>
      <c r="AC779" t="s">
        <v>1610</v>
      </c>
      <c r="AD779" t="s">
        <v>1604</v>
      </c>
      <c r="AE779" t="s">
        <v>1616</v>
      </c>
      <c r="AF779" t="s">
        <v>1626</v>
      </c>
    </row>
    <row r="780" spans="1:32" x14ac:dyDescent="0.25">
      <c r="A780" t="s">
        <v>837</v>
      </c>
      <c r="B780">
        <v>46</v>
      </c>
      <c r="C780">
        <v>1003</v>
      </c>
      <c r="D780">
        <v>8</v>
      </c>
      <c r="E780">
        <v>74</v>
      </c>
      <c r="F780">
        <v>4615</v>
      </c>
      <c r="G780">
        <v>21029</v>
      </c>
      <c r="H780">
        <v>8</v>
      </c>
      <c r="I780">
        <v>23</v>
      </c>
      <c r="J780">
        <v>19</v>
      </c>
      <c r="K780">
        <v>2</v>
      </c>
      <c r="L780">
        <v>16</v>
      </c>
      <c r="M780">
        <v>13</v>
      </c>
      <c r="N780">
        <v>1</v>
      </c>
      <c r="O780">
        <v>7</v>
      </c>
      <c r="P780" t="s">
        <v>1556</v>
      </c>
      <c r="Q780" t="s">
        <v>1552</v>
      </c>
      <c r="R780" t="s">
        <v>1550</v>
      </c>
      <c r="S780" t="s">
        <v>1535</v>
      </c>
      <c r="T780" t="s">
        <v>1538</v>
      </c>
      <c r="U780" t="s">
        <v>1548</v>
      </c>
      <c r="V780" t="s">
        <v>1558</v>
      </c>
      <c r="W780" t="s">
        <v>1562</v>
      </c>
      <c r="X780" t="s">
        <v>1576</v>
      </c>
      <c r="Y780" t="s">
        <v>1582</v>
      </c>
      <c r="Z780" t="s">
        <v>1591</v>
      </c>
      <c r="AA780" t="s">
        <v>1598</v>
      </c>
      <c r="AB780" t="s">
        <v>1600</v>
      </c>
      <c r="AC780" t="s">
        <v>1611</v>
      </c>
      <c r="AD780" t="s">
        <v>1604</v>
      </c>
      <c r="AE780" t="s">
        <v>1619</v>
      </c>
      <c r="AF780" t="s">
        <v>1627</v>
      </c>
    </row>
    <row r="781" spans="1:32" x14ac:dyDescent="0.25">
      <c r="A781" t="s">
        <v>838</v>
      </c>
      <c r="B781">
        <v>51</v>
      </c>
      <c r="C781">
        <v>1323</v>
      </c>
      <c r="D781">
        <v>4</v>
      </c>
      <c r="E781">
        <v>34</v>
      </c>
      <c r="F781">
        <v>2461</v>
      </c>
      <c r="G781">
        <v>10332</v>
      </c>
      <c r="H781">
        <v>9</v>
      </c>
      <c r="I781">
        <v>12</v>
      </c>
      <c r="J781">
        <v>18</v>
      </c>
      <c r="K781">
        <v>2</v>
      </c>
      <c r="L781">
        <v>10</v>
      </c>
      <c r="M781">
        <v>0</v>
      </c>
      <c r="N781">
        <v>2</v>
      </c>
      <c r="O781">
        <v>7</v>
      </c>
      <c r="P781" t="s">
        <v>1555</v>
      </c>
      <c r="Q781" t="s">
        <v>1552</v>
      </c>
      <c r="R781" t="s">
        <v>1550</v>
      </c>
      <c r="S781" t="s">
        <v>1535</v>
      </c>
      <c r="T781" t="s">
        <v>1538</v>
      </c>
      <c r="U781" t="s">
        <v>1545</v>
      </c>
      <c r="V781" t="s">
        <v>1559</v>
      </c>
      <c r="W781" t="s">
        <v>1563</v>
      </c>
      <c r="X781" t="s">
        <v>1575</v>
      </c>
      <c r="Y781" t="s">
        <v>1582</v>
      </c>
      <c r="Z781" t="s">
        <v>1593</v>
      </c>
      <c r="AA781" t="s">
        <v>1597</v>
      </c>
      <c r="AB781" t="s">
        <v>1600</v>
      </c>
      <c r="AC781" t="s">
        <v>1610</v>
      </c>
      <c r="AD781" t="s">
        <v>1606</v>
      </c>
      <c r="AE781" t="s">
        <v>1619</v>
      </c>
      <c r="AF781" t="s">
        <v>1628</v>
      </c>
    </row>
    <row r="782" spans="1:32" x14ac:dyDescent="0.25">
      <c r="A782" t="s">
        <v>839</v>
      </c>
      <c r="B782">
        <v>28</v>
      </c>
      <c r="C782">
        <v>1366</v>
      </c>
      <c r="D782">
        <v>24</v>
      </c>
      <c r="E782">
        <v>72</v>
      </c>
      <c r="F782">
        <v>8722</v>
      </c>
      <c r="G782">
        <v>12355</v>
      </c>
      <c r="H782">
        <v>1</v>
      </c>
      <c r="I782">
        <v>12</v>
      </c>
      <c r="J782">
        <v>10</v>
      </c>
      <c r="K782">
        <v>2</v>
      </c>
      <c r="L782">
        <v>10</v>
      </c>
      <c r="M782">
        <v>7</v>
      </c>
      <c r="N782">
        <v>1</v>
      </c>
      <c r="O782">
        <v>9</v>
      </c>
      <c r="P782" t="s">
        <v>1555</v>
      </c>
      <c r="Q782" t="s">
        <v>1554</v>
      </c>
      <c r="R782" t="s">
        <v>1550</v>
      </c>
      <c r="S782" t="s">
        <v>1533</v>
      </c>
      <c r="T782" t="s">
        <v>1542</v>
      </c>
      <c r="U782" t="s">
        <v>1546</v>
      </c>
      <c r="V782" t="s">
        <v>1559</v>
      </c>
      <c r="W782" t="s">
        <v>1562</v>
      </c>
      <c r="X782" t="s">
        <v>1577</v>
      </c>
      <c r="Y782" t="s">
        <v>1585</v>
      </c>
      <c r="Z782" t="s">
        <v>1591</v>
      </c>
      <c r="AA782" t="s">
        <v>1596</v>
      </c>
      <c r="AB782" t="s">
        <v>1601</v>
      </c>
      <c r="AC782" t="s">
        <v>1610</v>
      </c>
      <c r="AD782" t="s">
        <v>1604</v>
      </c>
      <c r="AE782" t="s">
        <v>1616</v>
      </c>
      <c r="AF782" t="s">
        <v>1626</v>
      </c>
    </row>
    <row r="783" spans="1:32" x14ac:dyDescent="0.25">
      <c r="A783" t="s">
        <v>840</v>
      </c>
      <c r="B783">
        <v>26</v>
      </c>
      <c r="C783">
        <v>192</v>
      </c>
      <c r="D783">
        <v>1</v>
      </c>
      <c r="E783">
        <v>59</v>
      </c>
      <c r="F783">
        <v>3955</v>
      </c>
      <c r="G783">
        <v>11141</v>
      </c>
      <c r="H783">
        <v>1</v>
      </c>
      <c r="I783">
        <v>16</v>
      </c>
      <c r="J783">
        <v>6</v>
      </c>
      <c r="K783">
        <v>2</v>
      </c>
      <c r="L783">
        <v>5</v>
      </c>
      <c r="M783">
        <v>3</v>
      </c>
      <c r="N783">
        <v>1</v>
      </c>
      <c r="O783">
        <v>3</v>
      </c>
      <c r="P783" t="s">
        <v>1556</v>
      </c>
      <c r="Q783" t="s">
        <v>1552</v>
      </c>
      <c r="R783" t="s">
        <v>1550</v>
      </c>
      <c r="S783" t="s">
        <v>1533</v>
      </c>
      <c r="T783" t="s">
        <v>1540</v>
      </c>
      <c r="U783" t="s">
        <v>1545</v>
      </c>
      <c r="V783" t="s">
        <v>1559</v>
      </c>
      <c r="W783" t="s">
        <v>1562</v>
      </c>
      <c r="X783" t="s">
        <v>1575</v>
      </c>
      <c r="Y783" t="s">
        <v>1583</v>
      </c>
      <c r="Z783" t="s">
        <v>1591</v>
      </c>
      <c r="AA783" t="s">
        <v>1597</v>
      </c>
      <c r="AB783" t="s">
        <v>1601</v>
      </c>
      <c r="AC783" t="s">
        <v>1610</v>
      </c>
      <c r="AD783" t="s">
        <v>1604</v>
      </c>
      <c r="AE783" t="s">
        <v>1618</v>
      </c>
      <c r="AF783" t="s">
        <v>1627</v>
      </c>
    </row>
    <row r="784" spans="1:32" x14ac:dyDescent="0.25">
      <c r="A784" t="s">
        <v>841</v>
      </c>
      <c r="B784">
        <v>30</v>
      </c>
      <c r="C784">
        <v>1176</v>
      </c>
      <c r="D784">
        <v>20</v>
      </c>
      <c r="E784">
        <v>85</v>
      </c>
      <c r="F784">
        <v>9957</v>
      </c>
      <c r="G784">
        <v>9096</v>
      </c>
      <c r="H784">
        <v>0</v>
      </c>
      <c r="I784">
        <v>15</v>
      </c>
      <c r="J784">
        <v>7</v>
      </c>
      <c r="K784">
        <v>1</v>
      </c>
      <c r="L784">
        <v>6</v>
      </c>
      <c r="M784">
        <v>2</v>
      </c>
      <c r="N784">
        <v>0</v>
      </c>
      <c r="O784">
        <v>2</v>
      </c>
      <c r="P784" t="s">
        <v>1556</v>
      </c>
      <c r="Q784" t="s">
        <v>1552</v>
      </c>
      <c r="R784" t="s">
        <v>1550</v>
      </c>
      <c r="S784" t="s">
        <v>1534</v>
      </c>
      <c r="T784" t="s">
        <v>1539</v>
      </c>
      <c r="U784" t="s">
        <v>1547</v>
      </c>
      <c r="V784" t="s">
        <v>1559</v>
      </c>
      <c r="W784" t="s">
        <v>1563</v>
      </c>
      <c r="X784" t="s">
        <v>1576</v>
      </c>
      <c r="Y784" t="s">
        <v>1584</v>
      </c>
      <c r="Z784" t="s">
        <v>1591</v>
      </c>
      <c r="AA784" t="s">
        <v>1597</v>
      </c>
      <c r="AB784" t="s">
        <v>1601</v>
      </c>
      <c r="AC784" t="s">
        <v>1610</v>
      </c>
      <c r="AD784" t="s">
        <v>1606</v>
      </c>
      <c r="AE784" t="s">
        <v>1617</v>
      </c>
      <c r="AF784" t="s">
        <v>1626</v>
      </c>
    </row>
    <row r="785" spans="1:32" x14ac:dyDescent="0.25">
      <c r="A785" t="s">
        <v>842</v>
      </c>
      <c r="B785">
        <v>41</v>
      </c>
      <c r="C785">
        <v>509</v>
      </c>
      <c r="D785">
        <v>7</v>
      </c>
      <c r="E785">
        <v>43</v>
      </c>
      <c r="F785">
        <v>3376</v>
      </c>
      <c r="G785">
        <v>18863</v>
      </c>
      <c r="H785">
        <v>1</v>
      </c>
      <c r="I785">
        <v>13</v>
      </c>
      <c r="J785">
        <v>10</v>
      </c>
      <c r="K785">
        <v>3</v>
      </c>
      <c r="L785">
        <v>10</v>
      </c>
      <c r="M785">
        <v>6</v>
      </c>
      <c r="N785">
        <v>0</v>
      </c>
      <c r="O785">
        <v>8</v>
      </c>
      <c r="P785" t="s">
        <v>1556</v>
      </c>
      <c r="Q785" t="s">
        <v>1552</v>
      </c>
      <c r="R785" t="s">
        <v>1550</v>
      </c>
      <c r="S785" t="s">
        <v>1533</v>
      </c>
      <c r="T785" t="s">
        <v>1542</v>
      </c>
      <c r="U785" t="s">
        <v>1546</v>
      </c>
      <c r="V785" t="s">
        <v>1558</v>
      </c>
      <c r="W785" t="s">
        <v>1564</v>
      </c>
      <c r="X785" t="s">
        <v>1575</v>
      </c>
      <c r="Y785" t="s">
        <v>1582</v>
      </c>
      <c r="Z785" t="s">
        <v>1593</v>
      </c>
      <c r="AA785" t="s">
        <v>1597</v>
      </c>
      <c r="AB785" t="s">
        <v>1601</v>
      </c>
      <c r="AC785" t="s">
        <v>1610</v>
      </c>
      <c r="AD785" t="s">
        <v>1606</v>
      </c>
      <c r="AE785" t="s">
        <v>1616</v>
      </c>
      <c r="AF785" t="s">
        <v>1627</v>
      </c>
    </row>
    <row r="786" spans="1:32" x14ac:dyDescent="0.25">
      <c r="A786" t="s">
        <v>843</v>
      </c>
      <c r="B786">
        <v>38</v>
      </c>
      <c r="C786">
        <v>330</v>
      </c>
      <c r="D786">
        <v>17</v>
      </c>
      <c r="E786">
        <v>65</v>
      </c>
      <c r="F786">
        <v>8823</v>
      </c>
      <c r="G786">
        <v>24608</v>
      </c>
      <c r="H786">
        <v>0</v>
      </c>
      <c r="I786">
        <v>18</v>
      </c>
      <c r="J786">
        <v>20</v>
      </c>
      <c r="K786">
        <v>4</v>
      </c>
      <c r="L786">
        <v>19</v>
      </c>
      <c r="M786">
        <v>9</v>
      </c>
      <c r="N786">
        <v>1</v>
      </c>
      <c r="O786">
        <v>9</v>
      </c>
      <c r="P786" t="s">
        <v>1556</v>
      </c>
      <c r="Q786" t="s">
        <v>1552</v>
      </c>
      <c r="R786" t="s">
        <v>1550</v>
      </c>
      <c r="S786" t="s">
        <v>1532</v>
      </c>
      <c r="T786" t="s">
        <v>1538</v>
      </c>
      <c r="U786" t="s">
        <v>1547</v>
      </c>
      <c r="V786" t="s">
        <v>1558</v>
      </c>
      <c r="W786" t="s">
        <v>1562</v>
      </c>
      <c r="X786" t="s">
        <v>1577</v>
      </c>
      <c r="Y786" t="s">
        <v>1585</v>
      </c>
      <c r="Z786" t="s">
        <v>1593</v>
      </c>
      <c r="AA786" t="s">
        <v>1597</v>
      </c>
      <c r="AB786" t="s">
        <v>1601</v>
      </c>
      <c r="AC786" t="s">
        <v>1610</v>
      </c>
      <c r="AD786" t="s">
        <v>1604</v>
      </c>
      <c r="AE786" t="s">
        <v>1617</v>
      </c>
      <c r="AF786" t="s">
        <v>1626</v>
      </c>
    </row>
    <row r="787" spans="1:32" x14ac:dyDescent="0.25">
      <c r="A787" t="s">
        <v>844</v>
      </c>
      <c r="B787">
        <v>40</v>
      </c>
      <c r="C787">
        <v>1492</v>
      </c>
      <c r="D787">
        <v>20</v>
      </c>
      <c r="E787">
        <v>61</v>
      </c>
      <c r="F787">
        <v>10322</v>
      </c>
      <c r="G787">
        <v>26542</v>
      </c>
      <c r="H787">
        <v>4</v>
      </c>
      <c r="I787">
        <v>20</v>
      </c>
      <c r="J787">
        <v>14</v>
      </c>
      <c r="K787">
        <v>6</v>
      </c>
      <c r="L787">
        <v>11</v>
      </c>
      <c r="M787">
        <v>10</v>
      </c>
      <c r="N787">
        <v>11</v>
      </c>
      <c r="O787">
        <v>1</v>
      </c>
      <c r="P787" t="s">
        <v>1556</v>
      </c>
      <c r="Q787" t="s">
        <v>1552</v>
      </c>
      <c r="R787" t="s">
        <v>1550</v>
      </c>
      <c r="S787" t="s">
        <v>1535</v>
      </c>
      <c r="T787" t="s">
        <v>1542</v>
      </c>
      <c r="U787" t="s">
        <v>1545</v>
      </c>
      <c r="V787" t="s">
        <v>1559</v>
      </c>
      <c r="W787" t="s">
        <v>1563</v>
      </c>
      <c r="X787" t="s">
        <v>1577</v>
      </c>
      <c r="Y787" t="s">
        <v>1585</v>
      </c>
      <c r="Z787" t="s">
        <v>1594</v>
      </c>
      <c r="AA787" t="s">
        <v>1597</v>
      </c>
      <c r="AB787" t="s">
        <v>1601</v>
      </c>
      <c r="AC787" t="s">
        <v>1611</v>
      </c>
      <c r="AD787" t="s">
        <v>1607</v>
      </c>
      <c r="AE787" t="s">
        <v>1617</v>
      </c>
      <c r="AF787" t="s">
        <v>1627</v>
      </c>
    </row>
    <row r="788" spans="1:32" x14ac:dyDescent="0.25">
      <c r="A788" t="s">
        <v>845</v>
      </c>
      <c r="B788">
        <v>27</v>
      </c>
      <c r="C788">
        <v>1277</v>
      </c>
      <c r="D788">
        <v>8</v>
      </c>
      <c r="E788">
        <v>87</v>
      </c>
      <c r="F788">
        <v>4621</v>
      </c>
      <c r="G788">
        <v>5869</v>
      </c>
      <c r="H788">
        <v>1</v>
      </c>
      <c r="I788">
        <v>19</v>
      </c>
      <c r="J788">
        <v>3</v>
      </c>
      <c r="K788">
        <v>4</v>
      </c>
      <c r="L788">
        <v>3</v>
      </c>
      <c r="M788">
        <v>2</v>
      </c>
      <c r="N788">
        <v>1</v>
      </c>
      <c r="O788">
        <v>2</v>
      </c>
      <c r="P788" t="s">
        <v>1556</v>
      </c>
      <c r="Q788" t="s">
        <v>1554</v>
      </c>
      <c r="R788" t="s">
        <v>1550</v>
      </c>
      <c r="S788" t="s">
        <v>1536</v>
      </c>
      <c r="T788" t="s">
        <v>1538</v>
      </c>
      <c r="U788" t="s">
        <v>1545</v>
      </c>
      <c r="V788" t="s">
        <v>1559</v>
      </c>
      <c r="W788" t="s">
        <v>1561</v>
      </c>
      <c r="X788" t="s">
        <v>1575</v>
      </c>
      <c r="Y788" t="s">
        <v>1583</v>
      </c>
      <c r="Z788" t="s">
        <v>1593</v>
      </c>
      <c r="AA788" t="s">
        <v>1597</v>
      </c>
      <c r="AB788" t="s">
        <v>1601</v>
      </c>
      <c r="AC788" t="s">
        <v>1610</v>
      </c>
      <c r="AD788" t="s">
        <v>1607</v>
      </c>
      <c r="AE788" t="s">
        <v>1619</v>
      </c>
      <c r="AF788" t="s">
        <v>1627</v>
      </c>
    </row>
    <row r="789" spans="1:32" x14ac:dyDescent="0.25">
      <c r="A789" t="s">
        <v>846</v>
      </c>
      <c r="B789">
        <v>55</v>
      </c>
      <c r="C789">
        <v>1091</v>
      </c>
      <c r="D789">
        <v>2</v>
      </c>
      <c r="E789">
        <v>65</v>
      </c>
      <c r="F789">
        <v>10976</v>
      </c>
      <c r="G789">
        <v>15813</v>
      </c>
      <c r="H789">
        <v>3</v>
      </c>
      <c r="I789">
        <v>18</v>
      </c>
      <c r="J789">
        <v>23</v>
      </c>
      <c r="K789">
        <v>4</v>
      </c>
      <c r="L789">
        <v>3</v>
      </c>
      <c r="M789">
        <v>2</v>
      </c>
      <c r="N789">
        <v>1</v>
      </c>
      <c r="O789">
        <v>2</v>
      </c>
      <c r="P789" t="s">
        <v>1556</v>
      </c>
      <c r="Q789" t="s">
        <v>1553</v>
      </c>
      <c r="R789" t="s">
        <v>1550</v>
      </c>
      <c r="S789" t="s">
        <v>1532</v>
      </c>
      <c r="T789" t="s">
        <v>1538</v>
      </c>
      <c r="U789" t="s">
        <v>1548</v>
      </c>
      <c r="V789" t="s">
        <v>1559</v>
      </c>
      <c r="W789" t="s">
        <v>1563</v>
      </c>
      <c r="X789" t="s">
        <v>1577</v>
      </c>
      <c r="Y789" t="s">
        <v>1584</v>
      </c>
      <c r="Z789" t="s">
        <v>1592</v>
      </c>
      <c r="AA789" t="s">
        <v>1597</v>
      </c>
      <c r="AB789" t="s">
        <v>1601</v>
      </c>
      <c r="AC789" t="s">
        <v>1610</v>
      </c>
      <c r="AD789" t="s">
        <v>1605</v>
      </c>
      <c r="AE789" t="s">
        <v>1617</v>
      </c>
      <c r="AF789" t="s">
        <v>1627</v>
      </c>
    </row>
    <row r="790" spans="1:32" x14ac:dyDescent="0.25">
      <c r="A790" t="s">
        <v>847</v>
      </c>
      <c r="B790">
        <v>28</v>
      </c>
      <c r="C790">
        <v>857</v>
      </c>
      <c r="D790">
        <v>10</v>
      </c>
      <c r="E790">
        <v>59</v>
      </c>
      <c r="F790">
        <v>3660</v>
      </c>
      <c r="G790">
        <v>7909</v>
      </c>
      <c r="H790">
        <v>3</v>
      </c>
      <c r="I790">
        <v>13</v>
      </c>
      <c r="J790">
        <v>10</v>
      </c>
      <c r="K790">
        <v>4</v>
      </c>
      <c r="L790">
        <v>8</v>
      </c>
      <c r="M790">
        <v>7</v>
      </c>
      <c r="N790">
        <v>1</v>
      </c>
      <c r="O790">
        <v>7</v>
      </c>
      <c r="P790" t="s">
        <v>1556</v>
      </c>
      <c r="Q790" t="s">
        <v>1552</v>
      </c>
      <c r="R790" t="s">
        <v>1550</v>
      </c>
      <c r="S790" t="s">
        <v>1534</v>
      </c>
      <c r="T790" t="s">
        <v>1539</v>
      </c>
      <c r="U790" t="s">
        <v>1547</v>
      </c>
      <c r="V790" t="s">
        <v>1558</v>
      </c>
      <c r="W790" t="s">
        <v>1563</v>
      </c>
      <c r="X790" t="s">
        <v>1576</v>
      </c>
      <c r="Y790" t="s">
        <v>1582</v>
      </c>
      <c r="Z790" t="s">
        <v>1593</v>
      </c>
      <c r="AA790" t="s">
        <v>1596</v>
      </c>
      <c r="AB790" t="s">
        <v>1601</v>
      </c>
      <c r="AC790" t="s">
        <v>1610</v>
      </c>
      <c r="AD790" t="s">
        <v>1607</v>
      </c>
      <c r="AE790" t="s">
        <v>1616</v>
      </c>
      <c r="AF790" t="s">
        <v>1628</v>
      </c>
    </row>
    <row r="791" spans="1:32" x14ac:dyDescent="0.25">
      <c r="A791" t="s">
        <v>848</v>
      </c>
      <c r="B791">
        <v>44</v>
      </c>
      <c r="C791">
        <v>1376</v>
      </c>
      <c r="D791">
        <v>1</v>
      </c>
      <c r="E791">
        <v>91</v>
      </c>
      <c r="F791">
        <v>10482</v>
      </c>
      <c r="G791">
        <v>2326</v>
      </c>
      <c r="H791">
        <v>9</v>
      </c>
      <c r="I791">
        <v>14</v>
      </c>
      <c r="J791">
        <v>24</v>
      </c>
      <c r="K791">
        <v>1</v>
      </c>
      <c r="L791">
        <v>20</v>
      </c>
      <c r="M791">
        <v>6</v>
      </c>
      <c r="N791">
        <v>3</v>
      </c>
      <c r="O791">
        <v>6</v>
      </c>
      <c r="P791" t="s">
        <v>1555</v>
      </c>
      <c r="Q791" t="s">
        <v>1552</v>
      </c>
      <c r="R791" t="s">
        <v>1551</v>
      </c>
      <c r="S791" t="s">
        <v>1533</v>
      </c>
      <c r="T791" t="s">
        <v>1540</v>
      </c>
      <c r="U791" t="s">
        <v>1546</v>
      </c>
      <c r="V791" t="s">
        <v>1559</v>
      </c>
      <c r="W791" t="s">
        <v>1562</v>
      </c>
      <c r="X791" t="s">
        <v>1577</v>
      </c>
      <c r="Y791" t="s">
        <v>1589</v>
      </c>
      <c r="Z791" t="s">
        <v>1591</v>
      </c>
      <c r="AA791" t="s">
        <v>1597</v>
      </c>
      <c r="AB791" t="s">
        <v>1601</v>
      </c>
      <c r="AC791" t="s">
        <v>1610</v>
      </c>
      <c r="AD791" t="s">
        <v>1607</v>
      </c>
      <c r="AE791" t="s">
        <v>1617</v>
      </c>
      <c r="AF791" t="s">
        <v>1627</v>
      </c>
    </row>
    <row r="792" spans="1:32" x14ac:dyDescent="0.25">
      <c r="A792" t="s">
        <v>849</v>
      </c>
      <c r="B792">
        <v>33</v>
      </c>
      <c r="C792">
        <v>654</v>
      </c>
      <c r="D792">
        <v>5</v>
      </c>
      <c r="E792">
        <v>34</v>
      </c>
      <c r="F792">
        <v>7119</v>
      </c>
      <c r="G792">
        <v>21214</v>
      </c>
      <c r="H792">
        <v>4</v>
      </c>
      <c r="I792">
        <v>15</v>
      </c>
      <c r="J792">
        <v>9</v>
      </c>
      <c r="K792">
        <v>2</v>
      </c>
      <c r="L792">
        <v>3</v>
      </c>
      <c r="M792">
        <v>2</v>
      </c>
      <c r="N792">
        <v>1</v>
      </c>
      <c r="O792">
        <v>2</v>
      </c>
      <c r="P792" t="s">
        <v>1556</v>
      </c>
      <c r="Q792" t="s">
        <v>1552</v>
      </c>
      <c r="R792" t="s">
        <v>1550</v>
      </c>
      <c r="S792" t="s">
        <v>1534</v>
      </c>
      <c r="T792" t="s">
        <v>1538</v>
      </c>
      <c r="U792" t="s">
        <v>1548</v>
      </c>
      <c r="V792" t="s">
        <v>1559</v>
      </c>
      <c r="W792" t="s">
        <v>1562</v>
      </c>
      <c r="X792" t="s">
        <v>1577</v>
      </c>
      <c r="Y792" t="s">
        <v>1585</v>
      </c>
      <c r="Z792" t="s">
        <v>1594</v>
      </c>
      <c r="AA792" t="s">
        <v>1598</v>
      </c>
      <c r="AB792" t="s">
        <v>1601</v>
      </c>
      <c r="AC792" t="s">
        <v>1610</v>
      </c>
      <c r="AD792" t="s">
        <v>1606</v>
      </c>
      <c r="AE792" t="s">
        <v>1617</v>
      </c>
      <c r="AF792" t="s">
        <v>1627</v>
      </c>
    </row>
    <row r="793" spans="1:32" x14ac:dyDescent="0.25">
      <c r="A793" t="s">
        <v>850</v>
      </c>
      <c r="B793">
        <v>35</v>
      </c>
      <c r="C793">
        <v>1204</v>
      </c>
      <c r="D793">
        <v>4</v>
      </c>
      <c r="E793">
        <v>86</v>
      </c>
      <c r="F793">
        <v>9582</v>
      </c>
      <c r="G793">
        <v>10333</v>
      </c>
      <c r="H793">
        <v>0</v>
      </c>
      <c r="I793">
        <v>22</v>
      </c>
      <c r="J793">
        <v>9</v>
      </c>
      <c r="K793">
        <v>2</v>
      </c>
      <c r="L793">
        <v>8</v>
      </c>
      <c r="M793">
        <v>7</v>
      </c>
      <c r="N793">
        <v>4</v>
      </c>
      <c r="O793">
        <v>7</v>
      </c>
      <c r="P793" t="s">
        <v>1555</v>
      </c>
      <c r="Q793" t="s">
        <v>1552</v>
      </c>
      <c r="R793" t="s">
        <v>1549</v>
      </c>
      <c r="S793" t="s">
        <v>1534</v>
      </c>
      <c r="T793" t="s">
        <v>1542</v>
      </c>
      <c r="U793" t="s">
        <v>1548</v>
      </c>
      <c r="V793" t="s">
        <v>1559</v>
      </c>
      <c r="W793" t="s">
        <v>1563</v>
      </c>
      <c r="X793" t="s">
        <v>1577</v>
      </c>
      <c r="Y793" t="s">
        <v>1581</v>
      </c>
      <c r="Z793" t="s">
        <v>1591</v>
      </c>
      <c r="AA793" t="s">
        <v>1596</v>
      </c>
      <c r="AB793" t="s">
        <v>1600</v>
      </c>
      <c r="AC793" t="s">
        <v>1611</v>
      </c>
      <c r="AD793" t="s">
        <v>1604</v>
      </c>
      <c r="AE793" t="s">
        <v>1616</v>
      </c>
      <c r="AF793" t="s">
        <v>1627</v>
      </c>
    </row>
    <row r="794" spans="1:32" x14ac:dyDescent="0.25">
      <c r="A794" t="s">
        <v>851</v>
      </c>
      <c r="B794">
        <v>33</v>
      </c>
      <c r="C794">
        <v>827</v>
      </c>
      <c r="D794">
        <v>29</v>
      </c>
      <c r="E794">
        <v>54</v>
      </c>
      <c r="F794">
        <v>4508</v>
      </c>
      <c r="G794">
        <v>3129</v>
      </c>
      <c r="H794">
        <v>1</v>
      </c>
      <c r="I794">
        <v>22</v>
      </c>
      <c r="J794">
        <v>14</v>
      </c>
      <c r="K794">
        <v>4</v>
      </c>
      <c r="L794">
        <v>13</v>
      </c>
      <c r="M794">
        <v>7</v>
      </c>
      <c r="N794">
        <v>3</v>
      </c>
      <c r="O794">
        <v>8</v>
      </c>
      <c r="P794" t="s">
        <v>1555</v>
      </c>
      <c r="Q794" t="s">
        <v>1553</v>
      </c>
      <c r="R794" t="s">
        <v>1550</v>
      </c>
      <c r="S794" t="s">
        <v>1535</v>
      </c>
      <c r="T794" t="s">
        <v>1540</v>
      </c>
      <c r="U794" t="s">
        <v>1545</v>
      </c>
      <c r="V794" t="s">
        <v>1558</v>
      </c>
      <c r="W794" t="s">
        <v>1562</v>
      </c>
      <c r="X794" t="s">
        <v>1576</v>
      </c>
      <c r="Y794" t="s">
        <v>1582</v>
      </c>
      <c r="Z794" t="s">
        <v>1593</v>
      </c>
      <c r="AA794" t="s">
        <v>1596</v>
      </c>
      <c r="AB794" t="s">
        <v>1601</v>
      </c>
      <c r="AC794" t="s">
        <v>1611</v>
      </c>
      <c r="AD794" t="s">
        <v>1605</v>
      </c>
      <c r="AE794" t="s">
        <v>1616</v>
      </c>
      <c r="AF794" t="s">
        <v>1627</v>
      </c>
    </row>
    <row r="795" spans="1:32" x14ac:dyDescent="0.25">
      <c r="A795" t="s">
        <v>852</v>
      </c>
      <c r="B795">
        <v>28</v>
      </c>
      <c r="C795">
        <v>895</v>
      </c>
      <c r="D795">
        <v>15</v>
      </c>
      <c r="E795">
        <v>50</v>
      </c>
      <c r="F795">
        <v>2207</v>
      </c>
      <c r="G795">
        <v>22482</v>
      </c>
      <c r="H795">
        <v>1</v>
      </c>
      <c r="I795">
        <v>16</v>
      </c>
      <c r="J795">
        <v>4</v>
      </c>
      <c r="K795">
        <v>5</v>
      </c>
      <c r="L795">
        <v>4</v>
      </c>
      <c r="M795">
        <v>2</v>
      </c>
      <c r="N795">
        <v>2</v>
      </c>
      <c r="O795">
        <v>2</v>
      </c>
      <c r="P795" t="s">
        <v>1556</v>
      </c>
      <c r="Q795" t="s">
        <v>1552</v>
      </c>
      <c r="R795" t="s">
        <v>1550</v>
      </c>
      <c r="S795" t="s">
        <v>1533</v>
      </c>
      <c r="T795" t="s">
        <v>1538</v>
      </c>
      <c r="U795" t="s">
        <v>1545</v>
      </c>
      <c r="V795" t="s">
        <v>1559</v>
      </c>
      <c r="W795" t="s">
        <v>1563</v>
      </c>
      <c r="X795" t="s">
        <v>1575</v>
      </c>
      <c r="Y795" t="s">
        <v>1583</v>
      </c>
      <c r="Z795" t="s">
        <v>1593</v>
      </c>
      <c r="AA795" t="s">
        <v>1598</v>
      </c>
      <c r="AB795" t="s">
        <v>1601</v>
      </c>
      <c r="AC795" t="s">
        <v>1610</v>
      </c>
      <c r="AD795" t="s">
        <v>1607</v>
      </c>
      <c r="AE795" t="s">
        <v>1617</v>
      </c>
      <c r="AF795" t="s">
        <v>1626</v>
      </c>
    </row>
    <row r="796" spans="1:32" x14ac:dyDescent="0.25">
      <c r="A796" t="s">
        <v>853</v>
      </c>
      <c r="B796">
        <v>34</v>
      </c>
      <c r="C796">
        <v>618</v>
      </c>
      <c r="D796">
        <v>3</v>
      </c>
      <c r="E796">
        <v>45</v>
      </c>
      <c r="F796">
        <v>7756</v>
      </c>
      <c r="G796">
        <v>22266</v>
      </c>
      <c r="H796">
        <v>0</v>
      </c>
      <c r="I796">
        <v>17</v>
      </c>
      <c r="J796">
        <v>7</v>
      </c>
      <c r="K796">
        <v>1</v>
      </c>
      <c r="L796">
        <v>6</v>
      </c>
      <c r="M796">
        <v>2</v>
      </c>
      <c r="N796">
        <v>0</v>
      </c>
      <c r="O796">
        <v>4</v>
      </c>
      <c r="P796" t="s">
        <v>1556</v>
      </c>
      <c r="Q796" t="s">
        <v>1553</v>
      </c>
      <c r="R796" t="s">
        <v>1550</v>
      </c>
      <c r="S796" t="s">
        <v>1532</v>
      </c>
      <c r="T796" t="s">
        <v>1538</v>
      </c>
      <c r="U796" t="s">
        <v>1545</v>
      </c>
      <c r="V796" t="s">
        <v>1559</v>
      </c>
      <c r="W796" t="s">
        <v>1563</v>
      </c>
      <c r="X796" t="s">
        <v>1576</v>
      </c>
      <c r="Y796" t="s">
        <v>1585</v>
      </c>
      <c r="Z796" t="s">
        <v>1594</v>
      </c>
      <c r="AA796" t="s">
        <v>1596</v>
      </c>
      <c r="AB796" t="s">
        <v>1601</v>
      </c>
      <c r="AC796" t="s">
        <v>1610</v>
      </c>
      <c r="AD796" t="s">
        <v>1606</v>
      </c>
      <c r="AE796" t="s">
        <v>1616</v>
      </c>
      <c r="AF796" t="s">
        <v>1626</v>
      </c>
    </row>
    <row r="797" spans="1:32" x14ac:dyDescent="0.25">
      <c r="A797" t="s">
        <v>854</v>
      </c>
      <c r="B797">
        <v>37</v>
      </c>
      <c r="C797">
        <v>309</v>
      </c>
      <c r="D797">
        <v>10</v>
      </c>
      <c r="E797">
        <v>88</v>
      </c>
      <c r="F797">
        <v>6694</v>
      </c>
      <c r="G797">
        <v>24223</v>
      </c>
      <c r="H797">
        <v>2</v>
      </c>
      <c r="I797">
        <v>14</v>
      </c>
      <c r="J797">
        <v>8</v>
      </c>
      <c r="K797">
        <v>5</v>
      </c>
      <c r="L797">
        <v>1</v>
      </c>
      <c r="M797">
        <v>0</v>
      </c>
      <c r="N797">
        <v>0</v>
      </c>
      <c r="O797">
        <v>0</v>
      </c>
      <c r="P797" t="s">
        <v>1556</v>
      </c>
      <c r="Q797" t="s">
        <v>1552</v>
      </c>
      <c r="R797" t="s">
        <v>1549</v>
      </c>
      <c r="S797" t="s">
        <v>1535</v>
      </c>
      <c r="T797" t="s">
        <v>1538</v>
      </c>
      <c r="U797" t="s">
        <v>1548</v>
      </c>
      <c r="V797" t="s">
        <v>1558</v>
      </c>
      <c r="W797" t="s">
        <v>1562</v>
      </c>
      <c r="X797" t="s">
        <v>1576</v>
      </c>
      <c r="Y797" t="s">
        <v>1581</v>
      </c>
      <c r="Z797" t="s">
        <v>1594</v>
      </c>
      <c r="AA797" t="s">
        <v>1598</v>
      </c>
      <c r="AB797" t="s">
        <v>1600</v>
      </c>
      <c r="AC797" t="s">
        <v>1610</v>
      </c>
      <c r="AD797" t="s">
        <v>1606</v>
      </c>
      <c r="AE797" t="s">
        <v>1619</v>
      </c>
      <c r="AF797" t="s">
        <v>1627</v>
      </c>
    </row>
    <row r="798" spans="1:32" x14ac:dyDescent="0.25">
      <c r="A798" t="s">
        <v>855</v>
      </c>
      <c r="B798">
        <v>25</v>
      </c>
      <c r="C798">
        <v>1219</v>
      </c>
      <c r="D798">
        <v>4</v>
      </c>
      <c r="E798">
        <v>32</v>
      </c>
      <c r="F798">
        <v>3691</v>
      </c>
      <c r="G798">
        <v>4605</v>
      </c>
      <c r="H798">
        <v>1</v>
      </c>
      <c r="I798">
        <v>15</v>
      </c>
      <c r="J798">
        <v>7</v>
      </c>
      <c r="K798">
        <v>3</v>
      </c>
      <c r="L798">
        <v>7</v>
      </c>
      <c r="M798">
        <v>7</v>
      </c>
      <c r="N798">
        <v>5</v>
      </c>
      <c r="O798">
        <v>6</v>
      </c>
      <c r="P798" t="s">
        <v>1555</v>
      </c>
      <c r="Q798" t="s">
        <v>1552</v>
      </c>
      <c r="R798" t="s">
        <v>1550</v>
      </c>
      <c r="S798" t="s">
        <v>1532</v>
      </c>
      <c r="T798" t="s">
        <v>1542</v>
      </c>
      <c r="U798" t="s">
        <v>1548</v>
      </c>
      <c r="V798" t="s">
        <v>1559</v>
      </c>
      <c r="W798" t="s">
        <v>1563</v>
      </c>
      <c r="X798" t="s">
        <v>1575</v>
      </c>
      <c r="Y798" t="s">
        <v>1583</v>
      </c>
      <c r="Z798" t="s">
        <v>1594</v>
      </c>
      <c r="AA798" t="s">
        <v>1597</v>
      </c>
      <c r="AB798" t="s">
        <v>1600</v>
      </c>
      <c r="AC798" t="s">
        <v>1610</v>
      </c>
      <c r="AD798" t="s">
        <v>1605</v>
      </c>
      <c r="AE798" t="s">
        <v>1617</v>
      </c>
      <c r="AF798" t="s">
        <v>1628</v>
      </c>
    </row>
    <row r="799" spans="1:32" x14ac:dyDescent="0.25">
      <c r="A799" t="s">
        <v>856</v>
      </c>
      <c r="B799">
        <v>26</v>
      </c>
      <c r="C799">
        <v>1330</v>
      </c>
      <c r="D799">
        <v>21</v>
      </c>
      <c r="E799">
        <v>37</v>
      </c>
      <c r="F799">
        <v>2377</v>
      </c>
      <c r="G799">
        <v>19373</v>
      </c>
      <c r="H799">
        <v>1</v>
      </c>
      <c r="I799">
        <v>20</v>
      </c>
      <c r="J799">
        <v>1</v>
      </c>
      <c r="K799">
        <v>0</v>
      </c>
      <c r="L799">
        <v>1</v>
      </c>
      <c r="M799">
        <v>1</v>
      </c>
      <c r="N799">
        <v>0</v>
      </c>
      <c r="O799">
        <v>0</v>
      </c>
      <c r="P799" t="s">
        <v>1555</v>
      </c>
      <c r="Q799" t="s">
        <v>1552</v>
      </c>
      <c r="R799" t="s">
        <v>1550</v>
      </c>
      <c r="S799" t="s">
        <v>1534</v>
      </c>
      <c r="T799" t="s">
        <v>1540</v>
      </c>
      <c r="U799" t="s">
        <v>1545</v>
      </c>
      <c r="V799" t="s">
        <v>1559</v>
      </c>
      <c r="W799" t="s">
        <v>1563</v>
      </c>
      <c r="X799" t="s">
        <v>1575</v>
      </c>
      <c r="Y799" t="s">
        <v>1583</v>
      </c>
      <c r="Z799" t="s">
        <v>1593</v>
      </c>
      <c r="AA799" t="s">
        <v>1598</v>
      </c>
      <c r="AB799" t="s">
        <v>1601</v>
      </c>
      <c r="AC799" t="s">
        <v>1611</v>
      </c>
      <c r="AD799" t="s">
        <v>1606</v>
      </c>
      <c r="AE799" t="s">
        <v>1617</v>
      </c>
      <c r="AF799" t="s">
        <v>1626</v>
      </c>
    </row>
    <row r="800" spans="1:32" x14ac:dyDescent="0.25">
      <c r="A800" t="s">
        <v>857</v>
      </c>
      <c r="B800">
        <v>33</v>
      </c>
      <c r="C800">
        <v>1017</v>
      </c>
      <c r="D800">
        <v>25</v>
      </c>
      <c r="E800">
        <v>55</v>
      </c>
      <c r="F800">
        <v>2313</v>
      </c>
      <c r="G800">
        <v>2993</v>
      </c>
      <c r="H800">
        <v>4</v>
      </c>
      <c r="I800">
        <v>20</v>
      </c>
      <c r="J800">
        <v>5</v>
      </c>
      <c r="K800">
        <v>0</v>
      </c>
      <c r="L800">
        <v>2</v>
      </c>
      <c r="M800">
        <v>2</v>
      </c>
      <c r="N800">
        <v>2</v>
      </c>
      <c r="O800">
        <v>2</v>
      </c>
      <c r="P800" t="s">
        <v>1555</v>
      </c>
      <c r="Q800" t="s">
        <v>1552</v>
      </c>
      <c r="R800" t="s">
        <v>1550</v>
      </c>
      <c r="S800" t="s">
        <v>1534</v>
      </c>
      <c r="T800" t="s">
        <v>1540</v>
      </c>
      <c r="U800" t="s">
        <v>1545</v>
      </c>
      <c r="V800" t="s">
        <v>1559</v>
      </c>
      <c r="W800" t="s">
        <v>1562</v>
      </c>
      <c r="X800" t="s">
        <v>1575</v>
      </c>
      <c r="Y800" t="s">
        <v>1582</v>
      </c>
      <c r="Z800" t="s">
        <v>1592</v>
      </c>
      <c r="AA800" t="s">
        <v>1596</v>
      </c>
      <c r="AB800" t="s">
        <v>1600</v>
      </c>
      <c r="AC800" t="s">
        <v>1611</v>
      </c>
      <c r="AD800" t="s">
        <v>1605</v>
      </c>
      <c r="AE800" t="s">
        <v>1616</v>
      </c>
      <c r="AF800" t="s">
        <v>1627</v>
      </c>
    </row>
    <row r="801" spans="1:32" x14ac:dyDescent="0.25">
      <c r="A801" t="s">
        <v>858</v>
      </c>
      <c r="B801">
        <v>42</v>
      </c>
      <c r="C801">
        <v>469</v>
      </c>
      <c r="D801">
        <v>2</v>
      </c>
      <c r="E801">
        <v>35</v>
      </c>
      <c r="F801">
        <v>17665</v>
      </c>
      <c r="G801">
        <v>14399</v>
      </c>
      <c r="H801">
        <v>0</v>
      </c>
      <c r="I801">
        <v>17</v>
      </c>
      <c r="J801">
        <v>23</v>
      </c>
      <c r="K801">
        <v>3</v>
      </c>
      <c r="L801">
        <v>22</v>
      </c>
      <c r="M801">
        <v>6</v>
      </c>
      <c r="N801">
        <v>13</v>
      </c>
      <c r="O801">
        <v>7</v>
      </c>
      <c r="P801" t="s">
        <v>1556</v>
      </c>
      <c r="Q801" t="s">
        <v>1552</v>
      </c>
      <c r="R801" t="s">
        <v>1550</v>
      </c>
      <c r="S801" t="s">
        <v>1533</v>
      </c>
      <c r="T801" t="s">
        <v>1540</v>
      </c>
      <c r="U801" t="s">
        <v>1548</v>
      </c>
      <c r="V801" t="s">
        <v>1559</v>
      </c>
      <c r="W801" t="s">
        <v>1563</v>
      </c>
      <c r="X801" t="s">
        <v>1578</v>
      </c>
      <c r="Y801" t="s">
        <v>1586</v>
      </c>
      <c r="Z801" t="s">
        <v>1591</v>
      </c>
      <c r="AA801" t="s">
        <v>1597</v>
      </c>
      <c r="AB801" t="s">
        <v>1601</v>
      </c>
      <c r="AC801" t="s">
        <v>1610</v>
      </c>
      <c r="AD801" t="s">
        <v>1607</v>
      </c>
      <c r="AE801" t="s">
        <v>1617</v>
      </c>
      <c r="AF801" t="s">
        <v>1627</v>
      </c>
    </row>
    <row r="802" spans="1:32" x14ac:dyDescent="0.25">
      <c r="A802" t="s">
        <v>859</v>
      </c>
      <c r="B802">
        <v>28</v>
      </c>
      <c r="C802">
        <v>1009</v>
      </c>
      <c r="D802">
        <v>1</v>
      </c>
      <c r="E802">
        <v>45</v>
      </c>
      <c r="F802">
        <v>2596</v>
      </c>
      <c r="G802">
        <v>7160</v>
      </c>
      <c r="H802">
        <v>1</v>
      </c>
      <c r="I802">
        <v>15</v>
      </c>
      <c r="J802">
        <v>1</v>
      </c>
      <c r="K802">
        <v>2</v>
      </c>
      <c r="L802">
        <v>1</v>
      </c>
      <c r="M802">
        <v>0</v>
      </c>
      <c r="N802">
        <v>0</v>
      </c>
      <c r="O802">
        <v>0</v>
      </c>
      <c r="P802" t="s">
        <v>1555</v>
      </c>
      <c r="Q802" t="s">
        <v>1553</v>
      </c>
      <c r="R802" t="s">
        <v>1550</v>
      </c>
      <c r="S802" t="s">
        <v>1534</v>
      </c>
      <c r="T802" t="s">
        <v>1540</v>
      </c>
      <c r="U802" t="s">
        <v>1545</v>
      </c>
      <c r="V802" t="s">
        <v>1559</v>
      </c>
      <c r="W802" t="s">
        <v>1562</v>
      </c>
      <c r="X802" t="s">
        <v>1575</v>
      </c>
      <c r="Y802" t="s">
        <v>1583</v>
      </c>
      <c r="Z802" t="s">
        <v>1592</v>
      </c>
      <c r="AA802" t="s">
        <v>1598</v>
      </c>
      <c r="AB802" t="s">
        <v>1601</v>
      </c>
      <c r="AC802" t="s">
        <v>1610</v>
      </c>
      <c r="AD802" t="s">
        <v>1604</v>
      </c>
      <c r="AE802" t="s">
        <v>1618</v>
      </c>
      <c r="AF802" t="s">
        <v>1627</v>
      </c>
    </row>
    <row r="803" spans="1:32" x14ac:dyDescent="0.25">
      <c r="A803" t="s">
        <v>860</v>
      </c>
      <c r="B803">
        <v>50</v>
      </c>
      <c r="C803">
        <v>959</v>
      </c>
      <c r="D803">
        <v>1</v>
      </c>
      <c r="E803">
        <v>81</v>
      </c>
      <c r="F803">
        <v>4728</v>
      </c>
      <c r="G803">
        <v>17251</v>
      </c>
      <c r="H803">
        <v>3</v>
      </c>
      <c r="I803">
        <v>14</v>
      </c>
      <c r="J803">
        <v>5</v>
      </c>
      <c r="K803">
        <v>4</v>
      </c>
      <c r="L803">
        <v>0</v>
      </c>
      <c r="M803">
        <v>0</v>
      </c>
      <c r="N803">
        <v>0</v>
      </c>
      <c r="O803">
        <v>0</v>
      </c>
      <c r="P803" t="s">
        <v>1555</v>
      </c>
      <c r="Q803" t="s">
        <v>1553</v>
      </c>
      <c r="R803" t="s">
        <v>1549</v>
      </c>
      <c r="S803" t="s">
        <v>1535</v>
      </c>
      <c r="T803" t="s">
        <v>1539</v>
      </c>
      <c r="U803" t="s">
        <v>1548</v>
      </c>
      <c r="V803" t="s">
        <v>1559</v>
      </c>
      <c r="W803" t="s">
        <v>1563</v>
      </c>
      <c r="X803" t="s">
        <v>1576</v>
      </c>
      <c r="Y803" t="s">
        <v>1581</v>
      </c>
      <c r="Z803" t="s">
        <v>1593</v>
      </c>
      <c r="AA803" t="s">
        <v>1596</v>
      </c>
      <c r="AB803" t="s">
        <v>1600</v>
      </c>
      <c r="AC803" t="s">
        <v>1610</v>
      </c>
      <c r="AD803" t="s">
        <v>1607</v>
      </c>
      <c r="AE803" t="s">
        <v>1616</v>
      </c>
      <c r="AF803" t="s">
        <v>1627</v>
      </c>
    </row>
    <row r="804" spans="1:32" x14ac:dyDescent="0.25">
      <c r="A804" t="s">
        <v>861</v>
      </c>
      <c r="B804">
        <v>33</v>
      </c>
      <c r="C804">
        <v>970</v>
      </c>
      <c r="D804">
        <v>7</v>
      </c>
      <c r="E804">
        <v>30</v>
      </c>
      <c r="F804">
        <v>4302</v>
      </c>
      <c r="G804">
        <v>13401</v>
      </c>
      <c r="H804">
        <v>0</v>
      </c>
      <c r="I804">
        <v>17</v>
      </c>
      <c r="J804">
        <v>4</v>
      </c>
      <c r="K804">
        <v>3</v>
      </c>
      <c r="L804">
        <v>3</v>
      </c>
      <c r="M804">
        <v>2</v>
      </c>
      <c r="N804">
        <v>0</v>
      </c>
      <c r="O804">
        <v>2</v>
      </c>
      <c r="P804" t="s">
        <v>1556</v>
      </c>
      <c r="Q804" t="s">
        <v>1553</v>
      </c>
      <c r="R804" t="s">
        <v>1549</v>
      </c>
      <c r="S804" t="s">
        <v>1534</v>
      </c>
      <c r="T804" t="s">
        <v>1538</v>
      </c>
      <c r="U804" t="s">
        <v>1548</v>
      </c>
      <c r="V804" t="s">
        <v>1558</v>
      </c>
      <c r="W804" t="s">
        <v>1563</v>
      </c>
      <c r="X804" t="s">
        <v>1576</v>
      </c>
      <c r="Y804" t="s">
        <v>1581</v>
      </c>
      <c r="Z804" t="s">
        <v>1592</v>
      </c>
      <c r="AA804" t="s">
        <v>1597</v>
      </c>
      <c r="AB804" t="s">
        <v>1601</v>
      </c>
      <c r="AC804" t="s">
        <v>1610</v>
      </c>
      <c r="AD804" t="s">
        <v>1606</v>
      </c>
      <c r="AE804" t="s">
        <v>1617</v>
      </c>
      <c r="AF804" t="s">
        <v>1627</v>
      </c>
    </row>
    <row r="805" spans="1:32" x14ac:dyDescent="0.25">
      <c r="A805" t="s">
        <v>862</v>
      </c>
      <c r="B805">
        <v>34</v>
      </c>
      <c r="C805">
        <v>697</v>
      </c>
      <c r="D805">
        <v>3</v>
      </c>
      <c r="E805">
        <v>40</v>
      </c>
      <c r="F805">
        <v>2979</v>
      </c>
      <c r="G805">
        <v>22478</v>
      </c>
      <c r="H805">
        <v>3</v>
      </c>
      <c r="I805">
        <v>17</v>
      </c>
      <c r="J805">
        <v>6</v>
      </c>
      <c r="K805">
        <v>2</v>
      </c>
      <c r="L805">
        <v>0</v>
      </c>
      <c r="M805">
        <v>0</v>
      </c>
      <c r="N805">
        <v>0</v>
      </c>
      <c r="O805">
        <v>0</v>
      </c>
      <c r="P805" t="s">
        <v>1556</v>
      </c>
      <c r="Q805" t="s">
        <v>1554</v>
      </c>
      <c r="R805" t="s">
        <v>1550</v>
      </c>
      <c r="S805" t="s">
        <v>1535</v>
      </c>
      <c r="T805" t="s">
        <v>1538</v>
      </c>
      <c r="U805" t="s">
        <v>1547</v>
      </c>
      <c r="V805" t="s">
        <v>1559</v>
      </c>
      <c r="W805" t="s">
        <v>1562</v>
      </c>
      <c r="X805" t="s">
        <v>1575</v>
      </c>
      <c r="Y805" t="s">
        <v>1582</v>
      </c>
      <c r="Z805" t="s">
        <v>1594</v>
      </c>
      <c r="AA805" t="s">
        <v>1597</v>
      </c>
      <c r="AB805" t="s">
        <v>1601</v>
      </c>
      <c r="AC805" t="s">
        <v>1610</v>
      </c>
      <c r="AD805" t="s">
        <v>1607</v>
      </c>
      <c r="AE805" t="s">
        <v>1619</v>
      </c>
      <c r="AF805" t="s">
        <v>1627</v>
      </c>
    </row>
    <row r="806" spans="1:32" x14ac:dyDescent="0.25">
      <c r="A806" t="s">
        <v>863</v>
      </c>
      <c r="B806">
        <v>48</v>
      </c>
      <c r="C806">
        <v>1262</v>
      </c>
      <c r="D806">
        <v>1</v>
      </c>
      <c r="E806">
        <v>35</v>
      </c>
      <c r="F806">
        <v>16885</v>
      </c>
      <c r="G806">
        <v>16154</v>
      </c>
      <c r="H806">
        <v>2</v>
      </c>
      <c r="I806">
        <v>22</v>
      </c>
      <c r="J806">
        <v>27</v>
      </c>
      <c r="K806">
        <v>3</v>
      </c>
      <c r="L806">
        <v>5</v>
      </c>
      <c r="M806">
        <v>4</v>
      </c>
      <c r="N806">
        <v>2</v>
      </c>
      <c r="O806">
        <v>1</v>
      </c>
      <c r="P806" t="s">
        <v>1556</v>
      </c>
      <c r="Q806" t="s">
        <v>1554</v>
      </c>
      <c r="R806" t="s">
        <v>1550</v>
      </c>
      <c r="S806" t="s">
        <v>1535</v>
      </c>
      <c r="T806" t="s">
        <v>1540</v>
      </c>
      <c r="U806" t="s">
        <v>1545</v>
      </c>
      <c r="V806" t="s">
        <v>1559</v>
      </c>
      <c r="W806" t="s">
        <v>1564</v>
      </c>
      <c r="X806" t="s">
        <v>1578</v>
      </c>
      <c r="Y806" t="s">
        <v>1586</v>
      </c>
      <c r="Z806" t="s">
        <v>1594</v>
      </c>
      <c r="AA806" t="s">
        <v>1596</v>
      </c>
      <c r="AB806" t="s">
        <v>1601</v>
      </c>
      <c r="AC806" t="s">
        <v>1611</v>
      </c>
      <c r="AD806" t="s">
        <v>1606</v>
      </c>
      <c r="AE806" t="s">
        <v>1616</v>
      </c>
      <c r="AF806" t="s">
        <v>1626</v>
      </c>
    </row>
    <row r="807" spans="1:32" x14ac:dyDescent="0.25">
      <c r="A807" t="s">
        <v>864</v>
      </c>
      <c r="B807">
        <v>45</v>
      </c>
      <c r="C807">
        <v>1050</v>
      </c>
      <c r="D807">
        <v>9</v>
      </c>
      <c r="E807">
        <v>65</v>
      </c>
      <c r="F807">
        <v>5593</v>
      </c>
      <c r="G807">
        <v>17970</v>
      </c>
      <c r="H807">
        <v>1</v>
      </c>
      <c r="I807">
        <v>13</v>
      </c>
      <c r="J807">
        <v>15</v>
      </c>
      <c r="K807">
        <v>2</v>
      </c>
      <c r="L807">
        <v>15</v>
      </c>
      <c r="M807">
        <v>10</v>
      </c>
      <c r="N807">
        <v>4</v>
      </c>
      <c r="O807">
        <v>12</v>
      </c>
      <c r="P807" t="s">
        <v>1556</v>
      </c>
      <c r="Q807" t="s">
        <v>1554</v>
      </c>
      <c r="R807" t="s">
        <v>1549</v>
      </c>
      <c r="S807" t="s">
        <v>1535</v>
      </c>
      <c r="T807" t="s">
        <v>1538</v>
      </c>
      <c r="U807" t="s">
        <v>1546</v>
      </c>
      <c r="V807" t="s">
        <v>1558</v>
      </c>
      <c r="W807" t="s">
        <v>1562</v>
      </c>
      <c r="X807" t="s">
        <v>1576</v>
      </c>
      <c r="Y807" t="s">
        <v>1581</v>
      </c>
      <c r="Z807" t="s">
        <v>1593</v>
      </c>
      <c r="AA807" t="s">
        <v>1597</v>
      </c>
      <c r="AB807" t="s">
        <v>1601</v>
      </c>
      <c r="AC807" t="s">
        <v>1610</v>
      </c>
      <c r="AD807" t="s">
        <v>1607</v>
      </c>
      <c r="AE807" t="s">
        <v>1617</v>
      </c>
      <c r="AF807" t="s">
        <v>1627</v>
      </c>
    </row>
    <row r="808" spans="1:32" x14ac:dyDescent="0.25">
      <c r="A808" t="s">
        <v>865</v>
      </c>
      <c r="B808">
        <v>52</v>
      </c>
      <c r="C808">
        <v>994</v>
      </c>
      <c r="D808">
        <v>7</v>
      </c>
      <c r="E808">
        <v>87</v>
      </c>
      <c r="F808">
        <v>10445</v>
      </c>
      <c r="G808">
        <v>15322</v>
      </c>
      <c r="H808">
        <v>7</v>
      </c>
      <c r="I808">
        <v>19</v>
      </c>
      <c r="J808">
        <v>18</v>
      </c>
      <c r="K808">
        <v>4</v>
      </c>
      <c r="L808">
        <v>8</v>
      </c>
      <c r="M808">
        <v>6</v>
      </c>
      <c r="N808">
        <v>4</v>
      </c>
      <c r="O808">
        <v>0</v>
      </c>
      <c r="P808" t="s">
        <v>1556</v>
      </c>
      <c r="Q808" t="s">
        <v>1552</v>
      </c>
      <c r="R808" t="s">
        <v>1550</v>
      </c>
      <c r="S808" t="s">
        <v>1535</v>
      </c>
      <c r="T808" t="s">
        <v>1538</v>
      </c>
      <c r="U808" t="s">
        <v>1546</v>
      </c>
      <c r="V808" t="s">
        <v>1559</v>
      </c>
      <c r="W808" t="s">
        <v>1563</v>
      </c>
      <c r="X808" t="s">
        <v>1577</v>
      </c>
      <c r="Y808" t="s">
        <v>1585</v>
      </c>
      <c r="Z808" t="s">
        <v>1592</v>
      </c>
      <c r="AA808" t="s">
        <v>1596</v>
      </c>
      <c r="AB808" t="s">
        <v>1601</v>
      </c>
      <c r="AC808" t="s">
        <v>1610</v>
      </c>
      <c r="AD808" t="s">
        <v>1607</v>
      </c>
      <c r="AE808" t="s">
        <v>1616</v>
      </c>
      <c r="AF808" t="s">
        <v>1627</v>
      </c>
    </row>
    <row r="809" spans="1:32" x14ac:dyDescent="0.25">
      <c r="A809" t="s">
        <v>866</v>
      </c>
      <c r="B809">
        <v>38</v>
      </c>
      <c r="C809">
        <v>770</v>
      </c>
      <c r="D809">
        <v>10</v>
      </c>
      <c r="E809">
        <v>73</v>
      </c>
      <c r="F809">
        <v>8740</v>
      </c>
      <c r="G809">
        <v>5569</v>
      </c>
      <c r="H809">
        <v>0</v>
      </c>
      <c r="I809">
        <v>14</v>
      </c>
      <c r="J809">
        <v>9</v>
      </c>
      <c r="K809">
        <v>2</v>
      </c>
      <c r="L809">
        <v>8</v>
      </c>
      <c r="M809">
        <v>7</v>
      </c>
      <c r="N809">
        <v>2</v>
      </c>
      <c r="O809">
        <v>7</v>
      </c>
      <c r="P809" t="s">
        <v>1556</v>
      </c>
      <c r="Q809" t="s">
        <v>1552</v>
      </c>
      <c r="R809" t="s">
        <v>1549</v>
      </c>
      <c r="S809" t="s">
        <v>1535</v>
      </c>
      <c r="T809" t="s">
        <v>1541</v>
      </c>
      <c r="U809" t="s">
        <v>1547</v>
      </c>
      <c r="V809" t="s">
        <v>1559</v>
      </c>
      <c r="W809" t="s">
        <v>1562</v>
      </c>
      <c r="X809" t="s">
        <v>1577</v>
      </c>
      <c r="Y809" t="s">
        <v>1581</v>
      </c>
      <c r="Z809" t="s">
        <v>1593</v>
      </c>
      <c r="AA809" t="s">
        <v>1598</v>
      </c>
      <c r="AB809" t="s">
        <v>1600</v>
      </c>
      <c r="AC809" t="s">
        <v>1610</v>
      </c>
      <c r="AD809" t="s">
        <v>1605</v>
      </c>
      <c r="AE809" t="s">
        <v>1618</v>
      </c>
      <c r="AF809" t="s">
        <v>1627</v>
      </c>
    </row>
    <row r="810" spans="1:32" x14ac:dyDescent="0.25">
      <c r="A810" t="s">
        <v>867</v>
      </c>
      <c r="B810">
        <v>29</v>
      </c>
      <c r="C810">
        <v>1107</v>
      </c>
      <c r="D810">
        <v>28</v>
      </c>
      <c r="E810">
        <v>93</v>
      </c>
      <c r="F810">
        <v>2514</v>
      </c>
      <c r="G810">
        <v>26968</v>
      </c>
      <c r="H810">
        <v>4</v>
      </c>
      <c r="I810">
        <v>22</v>
      </c>
      <c r="J810">
        <v>11</v>
      </c>
      <c r="K810">
        <v>1</v>
      </c>
      <c r="L810">
        <v>7</v>
      </c>
      <c r="M810">
        <v>5</v>
      </c>
      <c r="N810">
        <v>1</v>
      </c>
      <c r="O810">
        <v>7</v>
      </c>
      <c r="P810" t="s">
        <v>1556</v>
      </c>
      <c r="Q810" t="s">
        <v>1552</v>
      </c>
      <c r="R810" t="s">
        <v>1550</v>
      </c>
      <c r="S810" t="s">
        <v>1535</v>
      </c>
      <c r="T810" t="s">
        <v>1538</v>
      </c>
      <c r="U810" t="s">
        <v>1547</v>
      </c>
      <c r="V810" t="s">
        <v>1558</v>
      </c>
      <c r="W810" t="s">
        <v>1563</v>
      </c>
      <c r="X810" t="s">
        <v>1575</v>
      </c>
      <c r="Y810" t="s">
        <v>1582</v>
      </c>
      <c r="Z810" t="s">
        <v>1594</v>
      </c>
      <c r="AA810" t="s">
        <v>1598</v>
      </c>
      <c r="AB810" t="s">
        <v>1601</v>
      </c>
      <c r="AC810" t="s">
        <v>1611</v>
      </c>
      <c r="AD810" t="s">
        <v>1604</v>
      </c>
      <c r="AE810" t="s">
        <v>1617</v>
      </c>
      <c r="AF810" t="s">
        <v>1627</v>
      </c>
    </row>
    <row r="811" spans="1:32" x14ac:dyDescent="0.25">
      <c r="A811" t="s">
        <v>868</v>
      </c>
      <c r="B811">
        <v>28</v>
      </c>
      <c r="C811">
        <v>950</v>
      </c>
      <c r="D811">
        <v>3</v>
      </c>
      <c r="E811">
        <v>93</v>
      </c>
      <c r="F811">
        <v>7655</v>
      </c>
      <c r="G811">
        <v>8039</v>
      </c>
      <c r="H811">
        <v>0</v>
      </c>
      <c r="I811">
        <v>17</v>
      </c>
      <c r="J811">
        <v>10</v>
      </c>
      <c r="K811">
        <v>3</v>
      </c>
      <c r="L811">
        <v>9</v>
      </c>
      <c r="M811">
        <v>7</v>
      </c>
      <c r="N811">
        <v>1</v>
      </c>
      <c r="O811">
        <v>7</v>
      </c>
      <c r="P811" t="s">
        <v>1556</v>
      </c>
      <c r="Q811" t="s">
        <v>1552</v>
      </c>
      <c r="R811" t="s">
        <v>1550</v>
      </c>
      <c r="S811" t="s">
        <v>1534</v>
      </c>
      <c r="T811" t="s">
        <v>1540</v>
      </c>
      <c r="U811" t="s">
        <v>1548</v>
      </c>
      <c r="V811" t="s">
        <v>1558</v>
      </c>
      <c r="W811" t="s">
        <v>1563</v>
      </c>
      <c r="X811" t="s">
        <v>1577</v>
      </c>
      <c r="Y811" t="s">
        <v>1584</v>
      </c>
      <c r="Z811" t="s">
        <v>1592</v>
      </c>
      <c r="AA811" t="s">
        <v>1598</v>
      </c>
      <c r="AB811" t="s">
        <v>1601</v>
      </c>
      <c r="AC811" t="s">
        <v>1610</v>
      </c>
      <c r="AD811" t="s">
        <v>1605</v>
      </c>
      <c r="AE811" t="s">
        <v>1619</v>
      </c>
      <c r="AF811" t="s">
        <v>1626</v>
      </c>
    </row>
    <row r="812" spans="1:32" x14ac:dyDescent="0.25">
      <c r="A812" t="s">
        <v>869</v>
      </c>
      <c r="B812">
        <v>46</v>
      </c>
      <c r="C812">
        <v>406</v>
      </c>
      <c r="D812">
        <v>3</v>
      </c>
      <c r="E812">
        <v>52</v>
      </c>
      <c r="F812">
        <v>17465</v>
      </c>
      <c r="G812">
        <v>15596</v>
      </c>
      <c r="H812">
        <v>3</v>
      </c>
      <c r="I812">
        <v>12</v>
      </c>
      <c r="J812">
        <v>23</v>
      </c>
      <c r="K812">
        <v>3</v>
      </c>
      <c r="L812">
        <v>12</v>
      </c>
      <c r="M812">
        <v>9</v>
      </c>
      <c r="N812">
        <v>4</v>
      </c>
      <c r="O812">
        <v>9</v>
      </c>
      <c r="P812" t="s">
        <v>1556</v>
      </c>
      <c r="Q812" t="s">
        <v>1552</v>
      </c>
      <c r="R812" t="s">
        <v>1549</v>
      </c>
      <c r="S812" t="s">
        <v>1532</v>
      </c>
      <c r="T812" t="s">
        <v>1541</v>
      </c>
      <c r="U812" t="s">
        <v>1545</v>
      </c>
      <c r="V812" t="s">
        <v>1559</v>
      </c>
      <c r="W812" t="s">
        <v>1563</v>
      </c>
      <c r="X812" t="s">
        <v>1578</v>
      </c>
      <c r="Y812" t="s">
        <v>1586</v>
      </c>
      <c r="Z812" t="s">
        <v>1593</v>
      </c>
      <c r="AA812" t="s">
        <v>1597</v>
      </c>
      <c r="AB812" t="s">
        <v>1601</v>
      </c>
      <c r="AC812" t="s">
        <v>1610</v>
      </c>
      <c r="AD812" t="s">
        <v>1607</v>
      </c>
      <c r="AE812" t="s">
        <v>1617</v>
      </c>
      <c r="AF812" t="s">
        <v>1627</v>
      </c>
    </row>
    <row r="813" spans="1:32" x14ac:dyDescent="0.25">
      <c r="A813" t="s">
        <v>870</v>
      </c>
      <c r="B813">
        <v>38</v>
      </c>
      <c r="C813">
        <v>130</v>
      </c>
      <c r="D813">
        <v>2</v>
      </c>
      <c r="E813">
        <v>32</v>
      </c>
      <c r="F813">
        <v>7351</v>
      </c>
      <c r="G813">
        <v>20619</v>
      </c>
      <c r="H813">
        <v>7</v>
      </c>
      <c r="I813">
        <v>16</v>
      </c>
      <c r="J813">
        <v>10</v>
      </c>
      <c r="K813">
        <v>2</v>
      </c>
      <c r="L813">
        <v>1</v>
      </c>
      <c r="M813">
        <v>0</v>
      </c>
      <c r="N813">
        <v>0</v>
      </c>
      <c r="O813">
        <v>0</v>
      </c>
      <c r="P813" t="s">
        <v>1556</v>
      </c>
      <c r="Q813" t="s">
        <v>1552</v>
      </c>
      <c r="R813" t="s">
        <v>1549</v>
      </c>
      <c r="S813" t="s">
        <v>1533</v>
      </c>
      <c r="T813" t="s">
        <v>1541</v>
      </c>
      <c r="U813" t="s">
        <v>1548</v>
      </c>
      <c r="V813" t="s">
        <v>1559</v>
      </c>
      <c r="W813" t="s">
        <v>1563</v>
      </c>
      <c r="X813" t="s">
        <v>1577</v>
      </c>
      <c r="Y813" t="s">
        <v>1581</v>
      </c>
      <c r="Z813" t="s">
        <v>1592</v>
      </c>
      <c r="AA813" t="s">
        <v>1596</v>
      </c>
      <c r="AB813" t="s">
        <v>1601</v>
      </c>
      <c r="AC813" t="s">
        <v>1610</v>
      </c>
      <c r="AD813" t="s">
        <v>1606</v>
      </c>
      <c r="AE813" t="s">
        <v>1616</v>
      </c>
      <c r="AF813" t="s">
        <v>1627</v>
      </c>
    </row>
    <row r="814" spans="1:32" x14ac:dyDescent="0.25">
      <c r="A814" t="s">
        <v>871</v>
      </c>
      <c r="B814">
        <v>43</v>
      </c>
      <c r="C814">
        <v>1082</v>
      </c>
      <c r="D814">
        <v>27</v>
      </c>
      <c r="E814">
        <v>83</v>
      </c>
      <c r="F814">
        <v>10820</v>
      </c>
      <c r="G814">
        <v>11535</v>
      </c>
      <c r="H814">
        <v>8</v>
      </c>
      <c r="I814">
        <v>11</v>
      </c>
      <c r="J814">
        <v>18</v>
      </c>
      <c r="K814">
        <v>1</v>
      </c>
      <c r="L814">
        <v>8</v>
      </c>
      <c r="M814">
        <v>7</v>
      </c>
      <c r="N814">
        <v>0</v>
      </c>
      <c r="O814">
        <v>1</v>
      </c>
      <c r="P814" t="s">
        <v>1556</v>
      </c>
      <c r="Q814" t="s">
        <v>1553</v>
      </c>
      <c r="R814" t="s">
        <v>1550</v>
      </c>
      <c r="S814" t="s">
        <v>1534</v>
      </c>
      <c r="T814" t="s">
        <v>1538</v>
      </c>
      <c r="U814" t="s">
        <v>1547</v>
      </c>
      <c r="V814" t="s">
        <v>1558</v>
      </c>
      <c r="W814" t="s">
        <v>1563</v>
      </c>
      <c r="X814" t="s">
        <v>1577</v>
      </c>
      <c r="Y814" t="s">
        <v>1584</v>
      </c>
      <c r="Z814" t="s">
        <v>1591</v>
      </c>
      <c r="AA814" t="s">
        <v>1597</v>
      </c>
      <c r="AB814" t="s">
        <v>1601</v>
      </c>
      <c r="AC814" t="s">
        <v>1610</v>
      </c>
      <c r="AD814" t="s">
        <v>1606</v>
      </c>
      <c r="AE814" t="s">
        <v>1617</v>
      </c>
      <c r="AF814" t="s">
        <v>1627</v>
      </c>
    </row>
    <row r="815" spans="1:32" x14ac:dyDescent="0.25">
      <c r="A815" t="s">
        <v>872</v>
      </c>
      <c r="B815">
        <v>39</v>
      </c>
      <c r="C815">
        <v>203</v>
      </c>
      <c r="D815">
        <v>2</v>
      </c>
      <c r="E815">
        <v>84</v>
      </c>
      <c r="F815">
        <v>12169</v>
      </c>
      <c r="G815">
        <v>13547</v>
      </c>
      <c r="H815">
        <v>7</v>
      </c>
      <c r="I815">
        <v>11</v>
      </c>
      <c r="J815">
        <v>21</v>
      </c>
      <c r="K815">
        <v>4</v>
      </c>
      <c r="L815">
        <v>18</v>
      </c>
      <c r="M815">
        <v>7</v>
      </c>
      <c r="N815">
        <v>11</v>
      </c>
      <c r="O815">
        <v>5</v>
      </c>
      <c r="P815" t="s">
        <v>1555</v>
      </c>
      <c r="Q815" t="s">
        <v>1553</v>
      </c>
      <c r="R815" t="s">
        <v>1550</v>
      </c>
      <c r="S815" t="s">
        <v>1534</v>
      </c>
      <c r="T815" t="s">
        <v>1538</v>
      </c>
      <c r="U815" t="s">
        <v>1545</v>
      </c>
      <c r="V815" t="s">
        <v>1559</v>
      </c>
      <c r="W815" t="s">
        <v>1563</v>
      </c>
      <c r="X815" t="s">
        <v>1578</v>
      </c>
      <c r="Y815" t="s">
        <v>1585</v>
      </c>
      <c r="Z815" t="s">
        <v>1594</v>
      </c>
      <c r="AA815" t="s">
        <v>1598</v>
      </c>
      <c r="AB815" t="s">
        <v>1601</v>
      </c>
      <c r="AC815" t="s">
        <v>1610</v>
      </c>
      <c r="AD815" t="s">
        <v>1607</v>
      </c>
      <c r="AE815" t="s">
        <v>1619</v>
      </c>
      <c r="AF815" t="s">
        <v>1627</v>
      </c>
    </row>
    <row r="816" spans="1:32" x14ac:dyDescent="0.25">
      <c r="A816" t="s">
        <v>873</v>
      </c>
      <c r="B816">
        <v>40</v>
      </c>
      <c r="C816">
        <v>1308</v>
      </c>
      <c r="D816">
        <v>14</v>
      </c>
      <c r="E816">
        <v>44</v>
      </c>
      <c r="F816">
        <v>19626</v>
      </c>
      <c r="G816">
        <v>17544</v>
      </c>
      <c r="H816">
        <v>1</v>
      </c>
      <c r="I816">
        <v>14</v>
      </c>
      <c r="J816">
        <v>21</v>
      </c>
      <c r="K816">
        <v>2</v>
      </c>
      <c r="L816">
        <v>20</v>
      </c>
      <c r="M816">
        <v>7</v>
      </c>
      <c r="N816">
        <v>4</v>
      </c>
      <c r="O816">
        <v>9</v>
      </c>
      <c r="P816" t="s">
        <v>1556</v>
      </c>
      <c r="Q816" t="s">
        <v>1552</v>
      </c>
      <c r="R816" t="s">
        <v>1550</v>
      </c>
      <c r="S816" t="s">
        <v>1534</v>
      </c>
      <c r="T816" t="s">
        <v>1540</v>
      </c>
      <c r="U816" t="s">
        <v>1547</v>
      </c>
      <c r="V816" t="s">
        <v>1559</v>
      </c>
      <c r="W816" t="s">
        <v>1562</v>
      </c>
      <c r="X816" t="s">
        <v>1579</v>
      </c>
      <c r="Y816" t="s">
        <v>1588</v>
      </c>
      <c r="Z816" t="s">
        <v>1593</v>
      </c>
      <c r="AA816" t="s">
        <v>1596</v>
      </c>
      <c r="AB816" t="s">
        <v>1601</v>
      </c>
      <c r="AC816" t="s">
        <v>1610</v>
      </c>
      <c r="AD816" t="s">
        <v>1604</v>
      </c>
      <c r="AE816" t="s">
        <v>1616</v>
      </c>
      <c r="AF816" t="s">
        <v>1628</v>
      </c>
    </row>
    <row r="817" spans="1:32" x14ac:dyDescent="0.25">
      <c r="A817" t="s">
        <v>874</v>
      </c>
      <c r="B817">
        <v>21</v>
      </c>
      <c r="C817">
        <v>984</v>
      </c>
      <c r="D817">
        <v>1</v>
      </c>
      <c r="E817">
        <v>70</v>
      </c>
      <c r="F817">
        <v>2070</v>
      </c>
      <c r="G817">
        <v>25326</v>
      </c>
      <c r="H817">
        <v>1</v>
      </c>
      <c r="I817">
        <v>11</v>
      </c>
      <c r="J817">
        <v>2</v>
      </c>
      <c r="K817">
        <v>6</v>
      </c>
      <c r="L817">
        <v>2</v>
      </c>
      <c r="M817">
        <v>2</v>
      </c>
      <c r="N817">
        <v>2</v>
      </c>
      <c r="O817">
        <v>2</v>
      </c>
      <c r="P817" t="s">
        <v>1556</v>
      </c>
      <c r="Q817" t="s">
        <v>1552</v>
      </c>
      <c r="R817" t="s">
        <v>1550</v>
      </c>
      <c r="S817" t="s">
        <v>1532</v>
      </c>
      <c r="T817" t="s">
        <v>1542</v>
      </c>
      <c r="U817" t="s">
        <v>1548</v>
      </c>
      <c r="V817" t="s">
        <v>1558</v>
      </c>
      <c r="W817" t="s">
        <v>1562</v>
      </c>
      <c r="X817" t="s">
        <v>1575</v>
      </c>
      <c r="Y817" t="s">
        <v>1582</v>
      </c>
      <c r="Z817" t="s">
        <v>1592</v>
      </c>
      <c r="AA817" t="s">
        <v>1596</v>
      </c>
      <c r="AB817" t="s">
        <v>1600</v>
      </c>
      <c r="AC817" t="s">
        <v>1610</v>
      </c>
      <c r="AD817" t="s">
        <v>1606</v>
      </c>
      <c r="AE817" t="s">
        <v>1616</v>
      </c>
      <c r="AF817" t="s">
        <v>1628</v>
      </c>
    </row>
    <row r="818" spans="1:32" x14ac:dyDescent="0.25">
      <c r="A818" t="s">
        <v>875</v>
      </c>
      <c r="B818">
        <v>39</v>
      </c>
      <c r="C818">
        <v>439</v>
      </c>
      <c r="D818">
        <v>9</v>
      </c>
      <c r="E818">
        <v>70</v>
      </c>
      <c r="F818">
        <v>6782</v>
      </c>
      <c r="G818">
        <v>8770</v>
      </c>
      <c r="H818">
        <v>9</v>
      </c>
      <c r="I818">
        <v>15</v>
      </c>
      <c r="J818">
        <v>9</v>
      </c>
      <c r="K818">
        <v>2</v>
      </c>
      <c r="L818">
        <v>5</v>
      </c>
      <c r="M818">
        <v>4</v>
      </c>
      <c r="N818">
        <v>0</v>
      </c>
      <c r="O818">
        <v>3</v>
      </c>
      <c r="P818" t="s">
        <v>1556</v>
      </c>
      <c r="Q818" t="s">
        <v>1554</v>
      </c>
      <c r="R818" t="s">
        <v>1550</v>
      </c>
      <c r="S818" t="s">
        <v>1534</v>
      </c>
      <c r="T818" t="s">
        <v>1538</v>
      </c>
      <c r="U818" t="s">
        <v>1547</v>
      </c>
      <c r="V818" t="s">
        <v>1559</v>
      </c>
      <c r="W818" t="s">
        <v>1563</v>
      </c>
      <c r="X818" t="s">
        <v>1576</v>
      </c>
      <c r="Y818" t="s">
        <v>1583</v>
      </c>
      <c r="Z818" t="s">
        <v>1592</v>
      </c>
      <c r="AA818" t="s">
        <v>1596</v>
      </c>
      <c r="AB818" t="s">
        <v>1601</v>
      </c>
      <c r="AC818" t="s">
        <v>1610</v>
      </c>
      <c r="AD818" t="s">
        <v>1606</v>
      </c>
      <c r="AE818" t="s">
        <v>1616</v>
      </c>
      <c r="AF818" t="s">
        <v>1626</v>
      </c>
    </row>
    <row r="819" spans="1:32" x14ac:dyDescent="0.25">
      <c r="A819" t="s">
        <v>876</v>
      </c>
      <c r="B819">
        <v>36</v>
      </c>
      <c r="C819">
        <v>217</v>
      </c>
      <c r="D819">
        <v>18</v>
      </c>
      <c r="E819">
        <v>78</v>
      </c>
      <c r="F819">
        <v>7779</v>
      </c>
      <c r="G819">
        <v>23238</v>
      </c>
      <c r="H819">
        <v>2</v>
      </c>
      <c r="I819">
        <v>20</v>
      </c>
      <c r="J819">
        <v>18</v>
      </c>
      <c r="K819">
        <v>0</v>
      </c>
      <c r="L819">
        <v>11</v>
      </c>
      <c r="M819">
        <v>9</v>
      </c>
      <c r="N819">
        <v>0</v>
      </c>
      <c r="O819">
        <v>9</v>
      </c>
      <c r="P819" t="s">
        <v>1556</v>
      </c>
      <c r="Q819" t="s">
        <v>1554</v>
      </c>
      <c r="R819" t="s">
        <v>1550</v>
      </c>
      <c r="S819" t="s">
        <v>1535</v>
      </c>
      <c r="T819" t="s">
        <v>1538</v>
      </c>
      <c r="U819" t="s">
        <v>1545</v>
      </c>
      <c r="V819" t="s">
        <v>1559</v>
      </c>
      <c r="W819" t="s">
        <v>1563</v>
      </c>
      <c r="X819" t="s">
        <v>1576</v>
      </c>
      <c r="Y819" t="s">
        <v>1584</v>
      </c>
      <c r="Z819" t="s">
        <v>1594</v>
      </c>
      <c r="AA819" t="s">
        <v>1596</v>
      </c>
      <c r="AB819" t="s">
        <v>1601</v>
      </c>
      <c r="AC819" t="s">
        <v>1611</v>
      </c>
      <c r="AD819" t="s">
        <v>1604</v>
      </c>
      <c r="AE819" t="s">
        <v>1616</v>
      </c>
      <c r="AF819" t="s">
        <v>1627</v>
      </c>
    </row>
    <row r="820" spans="1:32" x14ac:dyDescent="0.25">
      <c r="A820" t="s">
        <v>877</v>
      </c>
      <c r="B820">
        <v>31</v>
      </c>
      <c r="C820">
        <v>793</v>
      </c>
      <c r="D820">
        <v>20</v>
      </c>
      <c r="E820">
        <v>67</v>
      </c>
      <c r="F820">
        <v>2791</v>
      </c>
      <c r="G820">
        <v>21981</v>
      </c>
      <c r="H820">
        <v>0</v>
      </c>
      <c r="I820">
        <v>12</v>
      </c>
      <c r="J820">
        <v>3</v>
      </c>
      <c r="K820">
        <v>4</v>
      </c>
      <c r="L820">
        <v>2</v>
      </c>
      <c r="M820">
        <v>2</v>
      </c>
      <c r="N820">
        <v>2</v>
      </c>
      <c r="O820">
        <v>2</v>
      </c>
      <c r="P820" t="s">
        <v>1556</v>
      </c>
      <c r="Q820" t="s">
        <v>1553</v>
      </c>
      <c r="R820" t="s">
        <v>1549</v>
      </c>
      <c r="S820" t="s">
        <v>1534</v>
      </c>
      <c r="T820" t="s">
        <v>1538</v>
      </c>
      <c r="U820" t="s">
        <v>1547</v>
      </c>
      <c r="V820" t="s">
        <v>1559</v>
      </c>
      <c r="W820" t="s">
        <v>1564</v>
      </c>
      <c r="X820" t="s">
        <v>1575</v>
      </c>
      <c r="Y820" t="s">
        <v>1587</v>
      </c>
      <c r="Z820" t="s">
        <v>1594</v>
      </c>
      <c r="AA820" t="s">
        <v>1597</v>
      </c>
      <c r="AB820" t="s">
        <v>1601</v>
      </c>
      <c r="AC820" t="s">
        <v>1610</v>
      </c>
      <c r="AD820" t="s">
        <v>1604</v>
      </c>
      <c r="AE820" t="s">
        <v>1617</v>
      </c>
      <c r="AF820" t="s">
        <v>1627</v>
      </c>
    </row>
    <row r="821" spans="1:32" x14ac:dyDescent="0.25">
      <c r="A821" t="s">
        <v>878</v>
      </c>
      <c r="B821">
        <v>28</v>
      </c>
      <c r="C821">
        <v>1451</v>
      </c>
      <c r="D821">
        <v>2</v>
      </c>
      <c r="E821">
        <v>67</v>
      </c>
      <c r="F821">
        <v>3201</v>
      </c>
      <c r="G821">
        <v>19911</v>
      </c>
      <c r="H821">
        <v>0</v>
      </c>
      <c r="I821">
        <v>17</v>
      </c>
      <c r="J821">
        <v>6</v>
      </c>
      <c r="K821">
        <v>2</v>
      </c>
      <c r="L821">
        <v>5</v>
      </c>
      <c r="M821">
        <v>3</v>
      </c>
      <c r="N821">
        <v>0</v>
      </c>
      <c r="O821">
        <v>4</v>
      </c>
      <c r="P821" t="s">
        <v>1556</v>
      </c>
      <c r="Q821" t="s">
        <v>1552</v>
      </c>
      <c r="R821" t="s">
        <v>1550</v>
      </c>
      <c r="S821" t="s">
        <v>1532</v>
      </c>
      <c r="T821" t="s">
        <v>1538</v>
      </c>
      <c r="U821" t="s">
        <v>1545</v>
      </c>
      <c r="V821" t="s">
        <v>1559</v>
      </c>
      <c r="W821" t="s">
        <v>1562</v>
      </c>
      <c r="X821" t="s">
        <v>1575</v>
      </c>
      <c r="Y821" t="s">
        <v>1582</v>
      </c>
      <c r="Z821" t="s">
        <v>1592</v>
      </c>
      <c r="AA821" t="s">
        <v>1597</v>
      </c>
      <c r="AB821" t="s">
        <v>1601</v>
      </c>
      <c r="AC821" t="s">
        <v>1610</v>
      </c>
      <c r="AD821" t="s">
        <v>1604</v>
      </c>
      <c r="AE821" t="s">
        <v>1616</v>
      </c>
      <c r="AF821" t="s">
        <v>1625</v>
      </c>
    </row>
    <row r="822" spans="1:32" x14ac:dyDescent="0.25">
      <c r="A822" t="s">
        <v>879</v>
      </c>
      <c r="B822">
        <v>35</v>
      </c>
      <c r="C822">
        <v>1182</v>
      </c>
      <c r="D822">
        <v>11</v>
      </c>
      <c r="E822">
        <v>54</v>
      </c>
      <c r="F822">
        <v>4968</v>
      </c>
      <c r="G822">
        <v>18500</v>
      </c>
      <c r="H822">
        <v>1</v>
      </c>
      <c r="I822">
        <v>11</v>
      </c>
      <c r="J822">
        <v>5</v>
      </c>
      <c r="K822">
        <v>3</v>
      </c>
      <c r="L822">
        <v>5</v>
      </c>
      <c r="M822">
        <v>2</v>
      </c>
      <c r="N822">
        <v>0</v>
      </c>
      <c r="O822">
        <v>2</v>
      </c>
      <c r="P822" t="s">
        <v>1556</v>
      </c>
      <c r="Q822" t="s">
        <v>1553</v>
      </c>
      <c r="R822" t="s">
        <v>1549</v>
      </c>
      <c r="S822" t="s">
        <v>1533</v>
      </c>
      <c r="T822" t="s">
        <v>1541</v>
      </c>
      <c r="U822" t="s">
        <v>1548</v>
      </c>
      <c r="V822" t="s">
        <v>1559</v>
      </c>
      <c r="W822" t="s">
        <v>1563</v>
      </c>
      <c r="X822" t="s">
        <v>1576</v>
      </c>
      <c r="Y822" t="s">
        <v>1581</v>
      </c>
      <c r="Z822" t="s">
        <v>1594</v>
      </c>
      <c r="AA822" t="s">
        <v>1598</v>
      </c>
      <c r="AB822" t="s">
        <v>1601</v>
      </c>
      <c r="AC822" t="s">
        <v>1610</v>
      </c>
      <c r="AD822" t="s">
        <v>1607</v>
      </c>
      <c r="AE822" t="s">
        <v>1617</v>
      </c>
      <c r="AF822" t="s">
        <v>1627</v>
      </c>
    </row>
    <row r="823" spans="1:32" x14ac:dyDescent="0.25">
      <c r="A823" t="s">
        <v>880</v>
      </c>
      <c r="B823">
        <v>49</v>
      </c>
      <c r="C823">
        <v>174</v>
      </c>
      <c r="D823">
        <v>8</v>
      </c>
      <c r="E823">
        <v>56</v>
      </c>
      <c r="F823">
        <v>13120</v>
      </c>
      <c r="G823">
        <v>11879</v>
      </c>
      <c r="H823">
        <v>6</v>
      </c>
      <c r="I823">
        <v>17</v>
      </c>
      <c r="J823">
        <v>22</v>
      </c>
      <c r="K823">
        <v>3</v>
      </c>
      <c r="L823">
        <v>9</v>
      </c>
      <c r="M823">
        <v>8</v>
      </c>
      <c r="N823">
        <v>2</v>
      </c>
      <c r="O823">
        <v>3</v>
      </c>
      <c r="P823" t="s">
        <v>1556</v>
      </c>
      <c r="Q823" t="s">
        <v>1552</v>
      </c>
      <c r="R823" t="s">
        <v>1549</v>
      </c>
      <c r="S823" t="s">
        <v>1535</v>
      </c>
      <c r="T823" t="s">
        <v>1542</v>
      </c>
      <c r="U823" t="s">
        <v>1548</v>
      </c>
      <c r="V823" t="s">
        <v>1559</v>
      </c>
      <c r="W823" t="s">
        <v>1562</v>
      </c>
      <c r="X823" t="s">
        <v>1578</v>
      </c>
      <c r="Y823" t="s">
        <v>1581</v>
      </c>
      <c r="Z823" t="s">
        <v>1592</v>
      </c>
      <c r="AA823" t="s">
        <v>1597</v>
      </c>
      <c r="AB823" t="s">
        <v>1601</v>
      </c>
      <c r="AC823" t="s">
        <v>1610</v>
      </c>
      <c r="AD823" t="s">
        <v>1605</v>
      </c>
      <c r="AE823" t="s">
        <v>1617</v>
      </c>
      <c r="AF823" t="s">
        <v>1627</v>
      </c>
    </row>
    <row r="824" spans="1:32" x14ac:dyDescent="0.25">
      <c r="A824" t="s">
        <v>881</v>
      </c>
      <c r="B824">
        <v>34</v>
      </c>
      <c r="C824">
        <v>1003</v>
      </c>
      <c r="D824">
        <v>2</v>
      </c>
      <c r="E824">
        <v>95</v>
      </c>
      <c r="F824">
        <v>4033</v>
      </c>
      <c r="G824">
        <v>15834</v>
      </c>
      <c r="H824">
        <v>2</v>
      </c>
      <c r="I824">
        <v>11</v>
      </c>
      <c r="J824">
        <v>5</v>
      </c>
      <c r="K824">
        <v>3</v>
      </c>
      <c r="L824">
        <v>3</v>
      </c>
      <c r="M824">
        <v>2</v>
      </c>
      <c r="N824">
        <v>0</v>
      </c>
      <c r="O824">
        <v>2</v>
      </c>
      <c r="P824" t="s">
        <v>1556</v>
      </c>
      <c r="Q824" t="s">
        <v>1553</v>
      </c>
      <c r="R824" t="s">
        <v>1550</v>
      </c>
      <c r="S824" t="s">
        <v>1533</v>
      </c>
      <c r="T824" t="s">
        <v>1538</v>
      </c>
      <c r="U824" t="s">
        <v>1548</v>
      </c>
      <c r="V824" t="s">
        <v>1559</v>
      </c>
      <c r="W824" t="s">
        <v>1563</v>
      </c>
      <c r="X824" t="s">
        <v>1576</v>
      </c>
      <c r="Y824" t="s">
        <v>1584</v>
      </c>
      <c r="Z824" t="s">
        <v>1593</v>
      </c>
      <c r="AA824" t="s">
        <v>1596</v>
      </c>
      <c r="AB824" t="s">
        <v>1601</v>
      </c>
      <c r="AC824" t="s">
        <v>1610</v>
      </c>
      <c r="AD824" t="s">
        <v>1607</v>
      </c>
      <c r="AE824" t="s">
        <v>1616</v>
      </c>
      <c r="AF824" t="s">
        <v>1626</v>
      </c>
    </row>
    <row r="825" spans="1:32" x14ac:dyDescent="0.25">
      <c r="A825" t="s">
        <v>882</v>
      </c>
      <c r="B825">
        <v>29</v>
      </c>
      <c r="C825">
        <v>490</v>
      </c>
      <c r="D825">
        <v>10</v>
      </c>
      <c r="E825">
        <v>61</v>
      </c>
      <c r="F825">
        <v>3291</v>
      </c>
      <c r="G825">
        <v>17940</v>
      </c>
      <c r="H825">
        <v>0</v>
      </c>
      <c r="I825">
        <v>14</v>
      </c>
      <c r="J825">
        <v>8</v>
      </c>
      <c r="K825">
        <v>2</v>
      </c>
      <c r="L825">
        <v>7</v>
      </c>
      <c r="M825">
        <v>5</v>
      </c>
      <c r="N825">
        <v>1</v>
      </c>
      <c r="O825">
        <v>1</v>
      </c>
      <c r="P825" t="s">
        <v>1556</v>
      </c>
      <c r="Q825" t="s">
        <v>1553</v>
      </c>
      <c r="R825" t="s">
        <v>1550</v>
      </c>
      <c r="S825" t="s">
        <v>1534</v>
      </c>
      <c r="T825" t="s">
        <v>1538</v>
      </c>
      <c r="U825" t="s">
        <v>1548</v>
      </c>
      <c r="V825" t="s">
        <v>1558</v>
      </c>
      <c r="W825" t="s">
        <v>1563</v>
      </c>
      <c r="X825" t="s">
        <v>1575</v>
      </c>
      <c r="Y825" t="s">
        <v>1582</v>
      </c>
      <c r="Z825" t="s">
        <v>1592</v>
      </c>
      <c r="AA825" t="s">
        <v>1598</v>
      </c>
      <c r="AB825" t="s">
        <v>1601</v>
      </c>
      <c r="AC825" t="s">
        <v>1610</v>
      </c>
      <c r="AD825" t="s">
        <v>1607</v>
      </c>
      <c r="AE825" t="s">
        <v>1618</v>
      </c>
      <c r="AF825" t="s">
        <v>1626</v>
      </c>
    </row>
    <row r="826" spans="1:32" x14ac:dyDescent="0.25">
      <c r="A826" t="s">
        <v>883</v>
      </c>
      <c r="B826">
        <v>42</v>
      </c>
      <c r="C826">
        <v>188</v>
      </c>
      <c r="D826">
        <v>29</v>
      </c>
      <c r="E826">
        <v>56</v>
      </c>
      <c r="F826">
        <v>4272</v>
      </c>
      <c r="G826">
        <v>9558</v>
      </c>
      <c r="H826">
        <v>4</v>
      </c>
      <c r="I826">
        <v>19</v>
      </c>
      <c r="J826">
        <v>16</v>
      </c>
      <c r="K826">
        <v>3</v>
      </c>
      <c r="L826">
        <v>1</v>
      </c>
      <c r="M826">
        <v>0</v>
      </c>
      <c r="N826">
        <v>0</v>
      </c>
      <c r="O826">
        <v>0</v>
      </c>
      <c r="P826" t="s">
        <v>1556</v>
      </c>
      <c r="Q826" t="s">
        <v>1552</v>
      </c>
      <c r="R826" t="s">
        <v>1550</v>
      </c>
      <c r="S826" t="s">
        <v>1534</v>
      </c>
      <c r="T826" t="s">
        <v>1540</v>
      </c>
      <c r="U826" t="s">
        <v>1546</v>
      </c>
      <c r="V826" t="s">
        <v>1559</v>
      </c>
      <c r="W826" t="s">
        <v>1561</v>
      </c>
      <c r="X826" t="s">
        <v>1576</v>
      </c>
      <c r="Y826" t="s">
        <v>1583</v>
      </c>
      <c r="Z826" t="s">
        <v>1594</v>
      </c>
      <c r="AA826" t="s">
        <v>1596</v>
      </c>
      <c r="AB826" t="s">
        <v>1601</v>
      </c>
      <c r="AC826" t="s">
        <v>1610</v>
      </c>
      <c r="AD826" t="s">
        <v>1604</v>
      </c>
      <c r="AE826" t="s">
        <v>1616</v>
      </c>
      <c r="AF826" t="s">
        <v>1627</v>
      </c>
    </row>
    <row r="827" spans="1:32" x14ac:dyDescent="0.25">
      <c r="A827" t="s">
        <v>884</v>
      </c>
      <c r="B827">
        <v>29</v>
      </c>
      <c r="C827">
        <v>718</v>
      </c>
      <c r="D827">
        <v>8</v>
      </c>
      <c r="E827">
        <v>79</v>
      </c>
      <c r="F827">
        <v>5056</v>
      </c>
      <c r="G827">
        <v>17689</v>
      </c>
      <c r="H827">
        <v>1</v>
      </c>
      <c r="I827">
        <v>15</v>
      </c>
      <c r="J827">
        <v>10</v>
      </c>
      <c r="K827">
        <v>2</v>
      </c>
      <c r="L827">
        <v>10</v>
      </c>
      <c r="M827">
        <v>7</v>
      </c>
      <c r="N827">
        <v>1</v>
      </c>
      <c r="O827">
        <v>2</v>
      </c>
      <c r="P827" t="s">
        <v>1556</v>
      </c>
      <c r="Q827" t="s">
        <v>1552</v>
      </c>
      <c r="R827" t="s">
        <v>1550</v>
      </c>
      <c r="S827" t="s">
        <v>1532</v>
      </c>
      <c r="T827" t="s">
        <v>1540</v>
      </c>
      <c r="U827" t="s">
        <v>1546</v>
      </c>
      <c r="V827" t="s">
        <v>1559</v>
      </c>
      <c r="W827" t="s">
        <v>1562</v>
      </c>
      <c r="X827" t="s">
        <v>1576</v>
      </c>
      <c r="Y827" t="s">
        <v>1584</v>
      </c>
      <c r="Z827" t="s">
        <v>1594</v>
      </c>
      <c r="AA827" t="s">
        <v>1597</v>
      </c>
      <c r="AB827" t="s">
        <v>1600</v>
      </c>
      <c r="AC827" t="s">
        <v>1610</v>
      </c>
      <c r="AD827" t="s">
        <v>1606</v>
      </c>
      <c r="AE827" t="s">
        <v>1617</v>
      </c>
      <c r="AF827" t="s">
        <v>1626</v>
      </c>
    </row>
    <row r="828" spans="1:32" x14ac:dyDescent="0.25">
      <c r="A828" t="s">
        <v>885</v>
      </c>
      <c r="B828">
        <v>38</v>
      </c>
      <c r="C828">
        <v>433</v>
      </c>
      <c r="D828">
        <v>1</v>
      </c>
      <c r="E828">
        <v>37</v>
      </c>
      <c r="F828">
        <v>2844</v>
      </c>
      <c r="G828">
        <v>6004</v>
      </c>
      <c r="H828">
        <v>1</v>
      </c>
      <c r="I828">
        <v>13</v>
      </c>
      <c r="J828">
        <v>7</v>
      </c>
      <c r="K828">
        <v>2</v>
      </c>
      <c r="L828">
        <v>7</v>
      </c>
      <c r="M828">
        <v>6</v>
      </c>
      <c r="N828">
        <v>5</v>
      </c>
      <c r="O828">
        <v>0</v>
      </c>
      <c r="P828" t="s">
        <v>1556</v>
      </c>
      <c r="Q828" t="s">
        <v>1552</v>
      </c>
      <c r="R828" t="s">
        <v>1551</v>
      </c>
      <c r="S828" t="s">
        <v>1534</v>
      </c>
      <c r="T828" t="s">
        <v>1543</v>
      </c>
      <c r="U828" t="s">
        <v>1547</v>
      </c>
      <c r="V828" t="s">
        <v>1559</v>
      </c>
      <c r="W828" t="s">
        <v>1564</v>
      </c>
      <c r="X828" t="s">
        <v>1575</v>
      </c>
      <c r="Y828" t="s">
        <v>1589</v>
      </c>
      <c r="Z828" t="s">
        <v>1593</v>
      </c>
      <c r="AA828" t="s">
        <v>1597</v>
      </c>
      <c r="AB828" t="s">
        <v>1601</v>
      </c>
      <c r="AC828" t="s">
        <v>1610</v>
      </c>
      <c r="AD828" t="s">
        <v>1607</v>
      </c>
      <c r="AE828" t="s">
        <v>1617</v>
      </c>
      <c r="AF828" t="s">
        <v>1628</v>
      </c>
    </row>
    <row r="829" spans="1:32" x14ac:dyDescent="0.25">
      <c r="A829" t="s">
        <v>886</v>
      </c>
      <c r="B829">
        <v>28</v>
      </c>
      <c r="C829">
        <v>773</v>
      </c>
      <c r="D829">
        <v>6</v>
      </c>
      <c r="E829">
        <v>39</v>
      </c>
      <c r="F829">
        <v>2703</v>
      </c>
      <c r="G829">
        <v>22088</v>
      </c>
      <c r="H829">
        <v>1</v>
      </c>
      <c r="I829">
        <v>14</v>
      </c>
      <c r="J829">
        <v>3</v>
      </c>
      <c r="K829">
        <v>2</v>
      </c>
      <c r="L829">
        <v>3</v>
      </c>
      <c r="M829">
        <v>1</v>
      </c>
      <c r="N829">
        <v>0</v>
      </c>
      <c r="O829">
        <v>2</v>
      </c>
      <c r="P829" t="s">
        <v>1556</v>
      </c>
      <c r="Q829" t="s">
        <v>1553</v>
      </c>
      <c r="R829" t="s">
        <v>1550</v>
      </c>
      <c r="S829" t="s">
        <v>1534</v>
      </c>
      <c r="T829" t="s">
        <v>1538</v>
      </c>
      <c r="U829" t="s">
        <v>1547</v>
      </c>
      <c r="V829" t="s">
        <v>1559</v>
      </c>
      <c r="W829" t="s">
        <v>1562</v>
      </c>
      <c r="X829" t="s">
        <v>1575</v>
      </c>
      <c r="Y829" t="s">
        <v>1582</v>
      </c>
      <c r="Z829" t="s">
        <v>1593</v>
      </c>
      <c r="AA829" t="s">
        <v>1598</v>
      </c>
      <c r="AB829" t="s">
        <v>1600</v>
      </c>
      <c r="AC829" t="s">
        <v>1610</v>
      </c>
      <c r="AD829" t="s">
        <v>1607</v>
      </c>
      <c r="AE829" t="s">
        <v>1617</v>
      </c>
      <c r="AF829" t="s">
        <v>1627</v>
      </c>
    </row>
    <row r="830" spans="1:32" x14ac:dyDescent="0.25">
      <c r="A830" t="s">
        <v>887</v>
      </c>
      <c r="B830">
        <v>18</v>
      </c>
      <c r="C830">
        <v>247</v>
      </c>
      <c r="D830">
        <v>8</v>
      </c>
      <c r="E830">
        <v>80</v>
      </c>
      <c r="F830">
        <v>1904</v>
      </c>
      <c r="G830">
        <v>13556</v>
      </c>
      <c r="H830">
        <v>1</v>
      </c>
      <c r="I830">
        <v>12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1555</v>
      </c>
      <c r="Q830" t="s">
        <v>1554</v>
      </c>
      <c r="R830" t="s">
        <v>1550</v>
      </c>
      <c r="S830" t="s">
        <v>1532</v>
      </c>
      <c r="T830" t="s">
        <v>1540</v>
      </c>
      <c r="U830" t="s">
        <v>1547</v>
      </c>
      <c r="V830" t="s">
        <v>1559</v>
      </c>
      <c r="W830" t="s">
        <v>1563</v>
      </c>
      <c r="X830" t="s">
        <v>1575</v>
      </c>
      <c r="Y830" t="s">
        <v>1583</v>
      </c>
      <c r="Z830" t="s">
        <v>1593</v>
      </c>
      <c r="AA830" t="s">
        <v>1596</v>
      </c>
      <c r="AB830" t="s">
        <v>1601</v>
      </c>
      <c r="AC830" t="s">
        <v>1610</v>
      </c>
      <c r="AD830" t="s">
        <v>1607</v>
      </c>
      <c r="AE830" t="s">
        <v>1616</v>
      </c>
      <c r="AF830" t="s">
        <v>1627</v>
      </c>
    </row>
    <row r="831" spans="1:32" x14ac:dyDescent="0.25">
      <c r="A831" t="s">
        <v>888</v>
      </c>
      <c r="B831">
        <v>33</v>
      </c>
      <c r="C831">
        <v>603</v>
      </c>
      <c r="D831">
        <v>9</v>
      </c>
      <c r="E831">
        <v>77</v>
      </c>
      <c r="F831">
        <v>8224</v>
      </c>
      <c r="G831">
        <v>18385</v>
      </c>
      <c r="H831">
        <v>0</v>
      </c>
      <c r="I831">
        <v>17</v>
      </c>
      <c r="J831">
        <v>6</v>
      </c>
      <c r="K831">
        <v>3</v>
      </c>
      <c r="L831">
        <v>5</v>
      </c>
      <c r="M831">
        <v>2</v>
      </c>
      <c r="N831">
        <v>0</v>
      </c>
      <c r="O831">
        <v>3</v>
      </c>
      <c r="P831" t="s">
        <v>1555</v>
      </c>
      <c r="Q831" t="s">
        <v>1552</v>
      </c>
      <c r="R831" t="s">
        <v>1549</v>
      </c>
      <c r="S831" t="s">
        <v>1535</v>
      </c>
      <c r="T831" t="s">
        <v>1541</v>
      </c>
      <c r="U831" t="s">
        <v>1545</v>
      </c>
      <c r="V831" t="s">
        <v>1558</v>
      </c>
      <c r="W831" t="s">
        <v>1563</v>
      </c>
      <c r="X831" t="s">
        <v>1576</v>
      </c>
      <c r="Y831" t="s">
        <v>1581</v>
      </c>
      <c r="Z831" t="s">
        <v>1591</v>
      </c>
      <c r="AA831" t="s">
        <v>1596</v>
      </c>
      <c r="AB831" t="s">
        <v>1600</v>
      </c>
      <c r="AC831" t="s">
        <v>1610</v>
      </c>
      <c r="AD831" t="s">
        <v>1604</v>
      </c>
      <c r="AE831" t="s">
        <v>1616</v>
      </c>
      <c r="AF831" t="s">
        <v>1627</v>
      </c>
    </row>
    <row r="832" spans="1:32" x14ac:dyDescent="0.25">
      <c r="A832" t="s">
        <v>889</v>
      </c>
      <c r="B832">
        <v>41</v>
      </c>
      <c r="C832">
        <v>167</v>
      </c>
      <c r="D832">
        <v>12</v>
      </c>
      <c r="E832">
        <v>46</v>
      </c>
      <c r="F832">
        <v>4766</v>
      </c>
      <c r="G832">
        <v>9051</v>
      </c>
      <c r="H832">
        <v>3</v>
      </c>
      <c r="I832">
        <v>11</v>
      </c>
      <c r="J832">
        <v>6</v>
      </c>
      <c r="K832">
        <v>4</v>
      </c>
      <c r="L832">
        <v>1</v>
      </c>
      <c r="M832">
        <v>0</v>
      </c>
      <c r="N832">
        <v>0</v>
      </c>
      <c r="O832">
        <v>0</v>
      </c>
      <c r="P832" t="s">
        <v>1556</v>
      </c>
      <c r="Q832" t="s">
        <v>1552</v>
      </c>
      <c r="R832" t="s">
        <v>1550</v>
      </c>
      <c r="S832" t="s">
        <v>1535</v>
      </c>
      <c r="T832" t="s">
        <v>1538</v>
      </c>
      <c r="U832" t="s">
        <v>1546</v>
      </c>
      <c r="V832" t="s">
        <v>1559</v>
      </c>
      <c r="W832" t="s">
        <v>1563</v>
      </c>
      <c r="X832" t="s">
        <v>1575</v>
      </c>
      <c r="Y832" t="s">
        <v>1583</v>
      </c>
      <c r="Z832" t="s">
        <v>1594</v>
      </c>
      <c r="AA832" t="s">
        <v>1597</v>
      </c>
      <c r="AB832" t="s">
        <v>1600</v>
      </c>
      <c r="AC832" t="s">
        <v>1610</v>
      </c>
      <c r="AD832" t="s">
        <v>1604</v>
      </c>
      <c r="AE832" t="s">
        <v>1617</v>
      </c>
      <c r="AF832" t="s">
        <v>1627</v>
      </c>
    </row>
    <row r="833" spans="1:32" x14ac:dyDescent="0.25">
      <c r="A833" t="s">
        <v>890</v>
      </c>
      <c r="B833">
        <v>31</v>
      </c>
      <c r="C833">
        <v>874</v>
      </c>
      <c r="D833">
        <v>15</v>
      </c>
      <c r="E833">
        <v>72</v>
      </c>
      <c r="F833">
        <v>2610</v>
      </c>
      <c r="G833">
        <v>6233</v>
      </c>
      <c r="H833">
        <v>1</v>
      </c>
      <c r="I833">
        <v>12</v>
      </c>
      <c r="J833">
        <v>2</v>
      </c>
      <c r="K833">
        <v>5</v>
      </c>
      <c r="L833">
        <v>2</v>
      </c>
      <c r="M833">
        <v>2</v>
      </c>
      <c r="N833">
        <v>2</v>
      </c>
      <c r="O833">
        <v>2</v>
      </c>
      <c r="P833" t="s">
        <v>1555</v>
      </c>
      <c r="Q833" t="s">
        <v>1553</v>
      </c>
      <c r="R833" t="s">
        <v>1550</v>
      </c>
      <c r="S833" t="s">
        <v>1534</v>
      </c>
      <c r="T833" t="s">
        <v>1540</v>
      </c>
      <c r="U833" t="s">
        <v>1547</v>
      </c>
      <c r="V833" t="s">
        <v>1559</v>
      </c>
      <c r="W833" t="s">
        <v>1563</v>
      </c>
      <c r="X833" t="s">
        <v>1575</v>
      </c>
      <c r="Y833" t="s">
        <v>1583</v>
      </c>
      <c r="Z833" t="s">
        <v>1593</v>
      </c>
      <c r="AA833" t="s">
        <v>1597</v>
      </c>
      <c r="AB833" t="s">
        <v>1601</v>
      </c>
      <c r="AC833" t="s">
        <v>1610</v>
      </c>
      <c r="AD833" t="s">
        <v>1606</v>
      </c>
      <c r="AE833" t="s">
        <v>1617</v>
      </c>
      <c r="AF833" t="s">
        <v>1626</v>
      </c>
    </row>
    <row r="834" spans="1:32" x14ac:dyDescent="0.25">
      <c r="A834" t="s">
        <v>891</v>
      </c>
      <c r="B834">
        <v>37</v>
      </c>
      <c r="C834">
        <v>367</v>
      </c>
      <c r="D834">
        <v>25</v>
      </c>
      <c r="E834">
        <v>52</v>
      </c>
      <c r="F834">
        <v>5731</v>
      </c>
      <c r="G834">
        <v>17171</v>
      </c>
      <c r="H834">
        <v>7</v>
      </c>
      <c r="I834">
        <v>13</v>
      </c>
      <c r="J834">
        <v>9</v>
      </c>
      <c r="K834">
        <v>2</v>
      </c>
      <c r="L834">
        <v>6</v>
      </c>
      <c r="M834">
        <v>2</v>
      </c>
      <c r="N834">
        <v>1</v>
      </c>
      <c r="O834">
        <v>3</v>
      </c>
      <c r="P834" t="s">
        <v>1556</v>
      </c>
      <c r="Q834" t="s">
        <v>1552</v>
      </c>
      <c r="R834" t="s">
        <v>1550</v>
      </c>
      <c r="S834" t="s">
        <v>1533</v>
      </c>
      <c r="T834" t="s">
        <v>1540</v>
      </c>
      <c r="U834" t="s">
        <v>1547</v>
      </c>
      <c r="V834" t="s">
        <v>1558</v>
      </c>
      <c r="W834" t="s">
        <v>1562</v>
      </c>
      <c r="X834" t="s">
        <v>1576</v>
      </c>
      <c r="Y834" t="s">
        <v>1585</v>
      </c>
      <c r="Z834" t="s">
        <v>1594</v>
      </c>
      <c r="AA834" t="s">
        <v>1598</v>
      </c>
      <c r="AB834" t="s">
        <v>1601</v>
      </c>
      <c r="AC834" t="s">
        <v>1610</v>
      </c>
      <c r="AD834" t="s">
        <v>1606</v>
      </c>
      <c r="AE834" t="s">
        <v>1618</v>
      </c>
      <c r="AF834" t="s">
        <v>1627</v>
      </c>
    </row>
    <row r="835" spans="1:32" x14ac:dyDescent="0.25">
      <c r="A835" t="s">
        <v>892</v>
      </c>
      <c r="B835">
        <v>27</v>
      </c>
      <c r="C835">
        <v>199</v>
      </c>
      <c r="D835">
        <v>6</v>
      </c>
      <c r="E835">
        <v>55</v>
      </c>
      <c r="F835">
        <v>2539</v>
      </c>
      <c r="G835">
        <v>7950</v>
      </c>
      <c r="H835">
        <v>1</v>
      </c>
      <c r="I835">
        <v>13</v>
      </c>
      <c r="J835">
        <v>4</v>
      </c>
      <c r="K835">
        <v>0</v>
      </c>
      <c r="L835">
        <v>4</v>
      </c>
      <c r="M835">
        <v>2</v>
      </c>
      <c r="N835">
        <v>2</v>
      </c>
      <c r="O835">
        <v>2</v>
      </c>
      <c r="P835" t="s">
        <v>1556</v>
      </c>
      <c r="Q835" t="s">
        <v>1552</v>
      </c>
      <c r="R835" t="s">
        <v>1550</v>
      </c>
      <c r="S835" t="s">
        <v>1534</v>
      </c>
      <c r="T835" t="s">
        <v>1538</v>
      </c>
      <c r="U835" t="s">
        <v>1548</v>
      </c>
      <c r="V835" t="s">
        <v>1559</v>
      </c>
      <c r="W835" t="s">
        <v>1562</v>
      </c>
      <c r="X835" t="s">
        <v>1575</v>
      </c>
      <c r="Y835" t="s">
        <v>1582</v>
      </c>
      <c r="Z835" t="s">
        <v>1593</v>
      </c>
      <c r="AA835" t="s">
        <v>1597</v>
      </c>
      <c r="AB835" t="s">
        <v>1601</v>
      </c>
      <c r="AC835" t="s">
        <v>1610</v>
      </c>
      <c r="AD835" t="s">
        <v>1606</v>
      </c>
      <c r="AE835" t="s">
        <v>1617</v>
      </c>
      <c r="AF835" t="s">
        <v>1627</v>
      </c>
    </row>
    <row r="836" spans="1:32" x14ac:dyDescent="0.25">
      <c r="A836" t="s">
        <v>893</v>
      </c>
      <c r="B836">
        <v>34</v>
      </c>
      <c r="C836">
        <v>1400</v>
      </c>
      <c r="D836">
        <v>9</v>
      </c>
      <c r="E836">
        <v>70</v>
      </c>
      <c r="F836">
        <v>5714</v>
      </c>
      <c r="G836">
        <v>5829</v>
      </c>
      <c r="H836">
        <v>1</v>
      </c>
      <c r="I836">
        <v>20</v>
      </c>
      <c r="J836">
        <v>6</v>
      </c>
      <c r="K836">
        <v>3</v>
      </c>
      <c r="L836">
        <v>6</v>
      </c>
      <c r="M836">
        <v>5</v>
      </c>
      <c r="N836">
        <v>1</v>
      </c>
      <c r="O836">
        <v>3</v>
      </c>
      <c r="P836" t="s">
        <v>1556</v>
      </c>
      <c r="Q836" t="s">
        <v>1552</v>
      </c>
      <c r="R836" t="s">
        <v>1549</v>
      </c>
      <c r="S836" t="s">
        <v>1532</v>
      </c>
      <c r="T836" t="s">
        <v>1538</v>
      </c>
      <c r="U836" t="s">
        <v>1546</v>
      </c>
      <c r="V836" t="s">
        <v>1558</v>
      </c>
      <c r="W836" t="s">
        <v>1563</v>
      </c>
      <c r="X836" t="s">
        <v>1576</v>
      </c>
      <c r="Y836" t="s">
        <v>1581</v>
      </c>
      <c r="Z836" t="s">
        <v>1593</v>
      </c>
      <c r="AA836" t="s">
        <v>1597</v>
      </c>
      <c r="AB836" t="s">
        <v>1601</v>
      </c>
      <c r="AC836" t="s">
        <v>1611</v>
      </c>
      <c r="AD836" t="s">
        <v>1604</v>
      </c>
      <c r="AE836" t="s">
        <v>1616</v>
      </c>
      <c r="AF836" t="s">
        <v>1626</v>
      </c>
    </row>
    <row r="837" spans="1:32" x14ac:dyDescent="0.25">
      <c r="A837" t="s">
        <v>894</v>
      </c>
      <c r="B837">
        <v>35</v>
      </c>
      <c r="C837">
        <v>528</v>
      </c>
      <c r="D837">
        <v>8</v>
      </c>
      <c r="E837">
        <v>100</v>
      </c>
      <c r="F837">
        <v>4323</v>
      </c>
      <c r="G837">
        <v>7108</v>
      </c>
      <c r="H837">
        <v>1</v>
      </c>
      <c r="I837">
        <v>17</v>
      </c>
      <c r="J837">
        <v>6</v>
      </c>
      <c r="K837">
        <v>2</v>
      </c>
      <c r="L837">
        <v>5</v>
      </c>
      <c r="M837">
        <v>4</v>
      </c>
      <c r="N837">
        <v>1</v>
      </c>
      <c r="O837">
        <v>4</v>
      </c>
      <c r="P837" t="s">
        <v>1556</v>
      </c>
      <c r="Q837" t="s">
        <v>1552</v>
      </c>
      <c r="R837" t="s">
        <v>1551</v>
      </c>
      <c r="S837" t="s">
        <v>1535</v>
      </c>
      <c r="T837" t="s">
        <v>1542</v>
      </c>
      <c r="U837" t="s">
        <v>1547</v>
      </c>
      <c r="V837" t="s">
        <v>1559</v>
      </c>
      <c r="W837" t="s">
        <v>1563</v>
      </c>
      <c r="X837" t="s">
        <v>1575</v>
      </c>
      <c r="Y837" t="s">
        <v>1589</v>
      </c>
      <c r="Z837" t="s">
        <v>1593</v>
      </c>
      <c r="AA837" t="s">
        <v>1596</v>
      </c>
      <c r="AB837" t="s">
        <v>1601</v>
      </c>
      <c r="AC837" t="s">
        <v>1610</v>
      </c>
      <c r="AD837" t="s">
        <v>1605</v>
      </c>
      <c r="AE837" t="s">
        <v>1616</v>
      </c>
      <c r="AF837" t="s">
        <v>1625</v>
      </c>
    </row>
    <row r="838" spans="1:32" x14ac:dyDescent="0.25">
      <c r="A838" t="s">
        <v>895</v>
      </c>
      <c r="B838">
        <v>29</v>
      </c>
      <c r="C838">
        <v>408</v>
      </c>
      <c r="D838">
        <v>23</v>
      </c>
      <c r="E838">
        <v>45</v>
      </c>
      <c r="F838">
        <v>7336</v>
      </c>
      <c r="G838">
        <v>11162</v>
      </c>
      <c r="H838">
        <v>1</v>
      </c>
      <c r="I838">
        <v>13</v>
      </c>
      <c r="J838">
        <v>11</v>
      </c>
      <c r="K838">
        <v>3</v>
      </c>
      <c r="L838">
        <v>11</v>
      </c>
      <c r="M838">
        <v>8</v>
      </c>
      <c r="N838">
        <v>3</v>
      </c>
      <c r="O838">
        <v>10</v>
      </c>
      <c r="P838" t="s">
        <v>1555</v>
      </c>
      <c r="Q838" t="s">
        <v>1552</v>
      </c>
      <c r="R838" t="s">
        <v>1549</v>
      </c>
      <c r="S838" t="s">
        <v>1532</v>
      </c>
      <c r="T838" t="s">
        <v>1538</v>
      </c>
      <c r="U838" t="s">
        <v>1548</v>
      </c>
      <c r="V838" t="s">
        <v>1558</v>
      </c>
      <c r="W838" t="s">
        <v>1562</v>
      </c>
      <c r="X838" t="s">
        <v>1577</v>
      </c>
      <c r="Y838" t="s">
        <v>1581</v>
      </c>
      <c r="Z838" t="s">
        <v>1591</v>
      </c>
      <c r="AA838" t="s">
        <v>1597</v>
      </c>
      <c r="AB838" t="s">
        <v>1601</v>
      </c>
      <c r="AC838" t="s">
        <v>1610</v>
      </c>
      <c r="AD838" t="s">
        <v>1604</v>
      </c>
      <c r="AE838" t="s">
        <v>1617</v>
      </c>
      <c r="AF838" t="s">
        <v>1625</v>
      </c>
    </row>
    <row r="839" spans="1:32" x14ac:dyDescent="0.25">
      <c r="A839" t="s">
        <v>896</v>
      </c>
      <c r="B839">
        <v>40</v>
      </c>
      <c r="C839">
        <v>593</v>
      </c>
      <c r="D839">
        <v>9</v>
      </c>
      <c r="E839">
        <v>88</v>
      </c>
      <c r="F839">
        <v>13499</v>
      </c>
      <c r="G839">
        <v>13782</v>
      </c>
      <c r="H839">
        <v>9</v>
      </c>
      <c r="I839">
        <v>17</v>
      </c>
      <c r="J839">
        <v>20</v>
      </c>
      <c r="K839">
        <v>3</v>
      </c>
      <c r="L839">
        <v>18</v>
      </c>
      <c r="M839">
        <v>7</v>
      </c>
      <c r="N839">
        <v>2</v>
      </c>
      <c r="O839">
        <v>13</v>
      </c>
      <c r="P839" t="s">
        <v>1556</v>
      </c>
      <c r="Q839" t="s">
        <v>1553</v>
      </c>
      <c r="R839" t="s">
        <v>1550</v>
      </c>
      <c r="S839" t="s">
        <v>1535</v>
      </c>
      <c r="T839" t="s">
        <v>1540</v>
      </c>
      <c r="U839" t="s">
        <v>1546</v>
      </c>
      <c r="V839" t="s">
        <v>1558</v>
      </c>
      <c r="W839" t="s">
        <v>1563</v>
      </c>
      <c r="X839" t="s">
        <v>1577</v>
      </c>
      <c r="Y839" t="s">
        <v>1588</v>
      </c>
      <c r="Z839" t="s">
        <v>1593</v>
      </c>
      <c r="AA839" t="s">
        <v>1596</v>
      </c>
      <c r="AB839" t="s">
        <v>1601</v>
      </c>
      <c r="AC839" t="s">
        <v>1610</v>
      </c>
      <c r="AD839" t="s">
        <v>1606</v>
      </c>
      <c r="AE839" t="s">
        <v>1616</v>
      </c>
      <c r="AF839" t="s">
        <v>1626</v>
      </c>
    </row>
    <row r="840" spans="1:32" x14ac:dyDescent="0.25">
      <c r="A840" t="s">
        <v>897</v>
      </c>
      <c r="B840">
        <v>42</v>
      </c>
      <c r="C840">
        <v>481</v>
      </c>
      <c r="D840">
        <v>12</v>
      </c>
      <c r="E840">
        <v>44</v>
      </c>
      <c r="F840">
        <v>13758</v>
      </c>
      <c r="G840">
        <v>2447</v>
      </c>
      <c r="H840">
        <v>0</v>
      </c>
      <c r="I840">
        <v>12</v>
      </c>
      <c r="J840">
        <v>22</v>
      </c>
      <c r="K840">
        <v>2</v>
      </c>
      <c r="L840">
        <v>21</v>
      </c>
      <c r="M840">
        <v>9</v>
      </c>
      <c r="N840">
        <v>13</v>
      </c>
      <c r="O840">
        <v>14</v>
      </c>
      <c r="P840" t="s">
        <v>1555</v>
      </c>
      <c r="Q840" t="s">
        <v>1553</v>
      </c>
      <c r="R840" t="s">
        <v>1549</v>
      </c>
      <c r="S840" t="s">
        <v>1534</v>
      </c>
      <c r="T840" t="s">
        <v>1538</v>
      </c>
      <c r="U840" t="s">
        <v>1547</v>
      </c>
      <c r="V840" t="s">
        <v>1559</v>
      </c>
      <c r="W840" t="s">
        <v>1563</v>
      </c>
      <c r="X840" t="s">
        <v>1578</v>
      </c>
      <c r="Y840" t="s">
        <v>1581</v>
      </c>
      <c r="Z840" t="s">
        <v>1591</v>
      </c>
      <c r="AA840" t="s">
        <v>1596</v>
      </c>
      <c r="AB840" t="s">
        <v>1600</v>
      </c>
      <c r="AC840" t="s">
        <v>1610</v>
      </c>
      <c r="AD840" t="s">
        <v>1605</v>
      </c>
      <c r="AE840" t="s">
        <v>1616</v>
      </c>
      <c r="AF840" t="s">
        <v>1626</v>
      </c>
    </row>
    <row r="841" spans="1:32" x14ac:dyDescent="0.25">
      <c r="A841" t="s">
        <v>898</v>
      </c>
      <c r="B841">
        <v>42</v>
      </c>
      <c r="C841">
        <v>647</v>
      </c>
      <c r="D841">
        <v>4</v>
      </c>
      <c r="E841">
        <v>45</v>
      </c>
      <c r="F841">
        <v>5155</v>
      </c>
      <c r="G841">
        <v>2253</v>
      </c>
      <c r="H841">
        <v>7</v>
      </c>
      <c r="I841">
        <v>13</v>
      </c>
      <c r="J841">
        <v>9</v>
      </c>
      <c r="K841">
        <v>3</v>
      </c>
      <c r="L841">
        <v>6</v>
      </c>
      <c r="M841">
        <v>4</v>
      </c>
      <c r="N841">
        <v>1</v>
      </c>
      <c r="O841">
        <v>5</v>
      </c>
      <c r="P841" t="s">
        <v>1556</v>
      </c>
      <c r="Q841" t="s">
        <v>1552</v>
      </c>
      <c r="R841" t="s">
        <v>1549</v>
      </c>
      <c r="S841" t="s">
        <v>1535</v>
      </c>
      <c r="T841" t="s">
        <v>1541</v>
      </c>
      <c r="U841" t="s">
        <v>1546</v>
      </c>
      <c r="V841" t="s">
        <v>1559</v>
      </c>
      <c r="W841" t="s">
        <v>1563</v>
      </c>
      <c r="X841" t="s">
        <v>1576</v>
      </c>
      <c r="Y841" t="s">
        <v>1581</v>
      </c>
      <c r="Z841" t="s">
        <v>1591</v>
      </c>
      <c r="AA841" t="s">
        <v>1596</v>
      </c>
      <c r="AB841" t="s">
        <v>1601</v>
      </c>
      <c r="AC841" t="s">
        <v>1610</v>
      </c>
      <c r="AD841" t="s">
        <v>1607</v>
      </c>
      <c r="AE841" t="s">
        <v>1616</v>
      </c>
      <c r="AF841" t="s">
        <v>1628</v>
      </c>
    </row>
    <row r="842" spans="1:32" x14ac:dyDescent="0.25">
      <c r="A842" t="s">
        <v>899</v>
      </c>
      <c r="B842">
        <v>35</v>
      </c>
      <c r="C842">
        <v>982</v>
      </c>
      <c r="D842">
        <v>1</v>
      </c>
      <c r="E842">
        <v>58</v>
      </c>
      <c r="F842">
        <v>2258</v>
      </c>
      <c r="G842">
        <v>16340</v>
      </c>
      <c r="H842">
        <v>6</v>
      </c>
      <c r="I842">
        <v>12</v>
      </c>
      <c r="J842">
        <v>10</v>
      </c>
      <c r="K842">
        <v>2</v>
      </c>
      <c r="L842">
        <v>8</v>
      </c>
      <c r="M842">
        <v>0</v>
      </c>
      <c r="N842">
        <v>1</v>
      </c>
      <c r="O842">
        <v>7</v>
      </c>
      <c r="P842" t="s">
        <v>1556</v>
      </c>
      <c r="Q842" t="s">
        <v>1552</v>
      </c>
      <c r="R842" t="s">
        <v>1550</v>
      </c>
      <c r="S842" t="s">
        <v>1535</v>
      </c>
      <c r="T842" t="s">
        <v>1540</v>
      </c>
      <c r="U842" t="s">
        <v>1548</v>
      </c>
      <c r="V842" t="s">
        <v>1559</v>
      </c>
      <c r="W842" t="s">
        <v>1562</v>
      </c>
      <c r="X842" t="s">
        <v>1575</v>
      </c>
      <c r="Y842" t="s">
        <v>1583</v>
      </c>
      <c r="Z842" t="s">
        <v>1593</v>
      </c>
      <c r="AA842" t="s">
        <v>1597</v>
      </c>
      <c r="AB842" t="s">
        <v>1601</v>
      </c>
      <c r="AC842" t="s">
        <v>1610</v>
      </c>
      <c r="AD842" t="s">
        <v>1605</v>
      </c>
      <c r="AE842" t="s">
        <v>1617</v>
      </c>
      <c r="AF842" t="s">
        <v>1627</v>
      </c>
    </row>
    <row r="843" spans="1:32" x14ac:dyDescent="0.25">
      <c r="A843" t="s">
        <v>900</v>
      </c>
      <c r="B843">
        <v>24</v>
      </c>
      <c r="C843">
        <v>477</v>
      </c>
      <c r="D843">
        <v>24</v>
      </c>
      <c r="E843">
        <v>49</v>
      </c>
      <c r="F843">
        <v>3597</v>
      </c>
      <c r="G843">
        <v>6409</v>
      </c>
      <c r="H843">
        <v>8</v>
      </c>
      <c r="I843">
        <v>22</v>
      </c>
      <c r="J843">
        <v>6</v>
      </c>
      <c r="K843">
        <v>2</v>
      </c>
      <c r="L843">
        <v>4</v>
      </c>
      <c r="M843">
        <v>3</v>
      </c>
      <c r="N843">
        <v>1</v>
      </c>
      <c r="O843">
        <v>2</v>
      </c>
      <c r="P843" t="s">
        <v>1556</v>
      </c>
      <c r="Q843" t="s">
        <v>1552</v>
      </c>
      <c r="R843" t="s">
        <v>1550</v>
      </c>
      <c r="S843" t="s">
        <v>1534</v>
      </c>
      <c r="T843" t="s">
        <v>1540</v>
      </c>
      <c r="U843" t="s">
        <v>1548</v>
      </c>
      <c r="V843" t="s">
        <v>1559</v>
      </c>
      <c r="W843" t="s">
        <v>1563</v>
      </c>
      <c r="X843" t="s">
        <v>1575</v>
      </c>
      <c r="Y843" t="s">
        <v>1583</v>
      </c>
      <c r="Z843" t="s">
        <v>1592</v>
      </c>
      <c r="AA843" t="s">
        <v>1596</v>
      </c>
      <c r="AB843" t="s">
        <v>1601</v>
      </c>
      <c r="AC843" t="s">
        <v>1611</v>
      </c>
      <c r="AD843" t="s">
        <v>1607</v>
      </c>
      <c r="AE843" t="s">
        <v>1616</v>
      </c>
      <c r="AF843" t="s">
        <v>1627</v>
      </c>
    </row>
    <row r="844" spans="1:32" x14ac:dyDescent="0.25">
      <c r="A844" t="s">
        <v>901</v>
      </c>
      <c r="B844">
        <v>28</v>
      </c>
      <c r="C844">
        <v>1485</v>
      </c>
      <c r="D844">
        <v>12</v>
      </c>
      <c r="E844">
        <v>79</v>
      </c>
      <c r="F844">
        <v>2515</v>
      </c>
      <c r="G844">
        <v>22955</v>
      </c>
      <c r="H844">
        <v>1</v>
      </c>
      <c r="I844">
        <v>11</v>
      </c>
      <c r="J844">
        <v>1</v>
      </c>
      <c r="K844">
        <v>4</v>
      </c>
      <c r="L844">
        <v>1</v>
      </c>
      <c r="M844">
        <v>1</v>
      </c>
      <c r="N844">
        <v>0</v>
      </c>
      <c r="O844">
        <v>0</v>
      </c>
      <c r="P844" t="s">
        <v>1555</v>
      </c>
      <c r="Q844" t="s">
        <v>1552</v>
      </c>
      <c r="R844" t="s">
        <v>1550</v>
      </c>
      <c r="S844" t="s">
        <v>1532</v>
      </c>
      <c r="T844" t="s">
        <v>1538</v>
      </c>
      <c r="U844" t="s">
        <v>1547</v>
      </c>
      <c r="V844" t="s">
        <v>1558</v>
      </c>
      <c r="W844" t="s">
        <v>1563</v>
      </c>
      <c r="X844" t="s">
        <v>1575</v>
      </c>
      <c r="Y844" t="s">
        <v>1583</v>
      </c>
      <c r="Z844" t="s">
        <v>1594</v>
      </c>
      <c r="AA844" t="s">
        <v>1597</v>
      </c>
      <c r="AB844" t="s">
        <v>1600</v>
      </c>
      <c r="AC844" t="s">
        <v>1610</v>
      </c>
      <c r="AD844" t="s">
        <v>1607</v>
      </c>
      <c r="AE844" t="s">
        <v>1616</v>
      </c>
      <c r="AF844" t="s">
        <v>1626</v>
      </c>
    </row>
    <row r="845" spans="1:32" x14ac:dyDescent="0.25">
      <c r="A845" t="s">
        <v>902</v>
      </c>
      <c r="B845">
        <v>26</v>
      </c>
      <c r="C845">
        <v>1384</v>
      </c>
      <c r="D845">
        <v>3</v>
      </c>
      <c r="E845">
        <v>82</v>
      </c>
      <c r="F845">
        <v>4420</v>
      </c>
      <c r="G845">
        <v>13421</v>
      </c>
      <c r="H845">
        <v>1</v>
      </c>
      <c r="I845">
        <v>22</v>
      </c>
      <c r="J845">
        <v>8</v>
      </c>
      <c r="K845">
        <v>2</v>
      </c>
      <c r="L845">
        <v>8</v>
      </c>
      <c r="M845">
        <v>7</v>
      </c>
      <c r="N845">
        <v>0</v>
      </c>
      <c r="O845">
        <v>7</v>
      </c>
      <c r="P845" t="s">
        <v>1556</v>
      </c>
      <c r="Q845" t="s">
        <v>1552</v>
      </c>
      <c r="R845" t="s">
        <v>1550</v>
      </c>
      <c r="S845" t="s">
        <v>1535</v>
      </c>
      <c r="T845" t="s">
        <v>1540</v>
      </c>
      <c r="U845" t="s">
        <v>1545</v>
      </c>
      <c r="V845" t="s">
        <v>1559</v>
      </c>
      <c r="W845" t="s">
        <v>1564</v>
      </c>
      <c r="X845" t="s">
        <v>1575</v>
      </c>
      <c r="Y845" t="s">
        <v>1583</v>
      </c>
      <c r="Z845" t="s">
        <v>1594</v>
      </c>
      <c r="AA845" t="s">
        <v>1597</v>
      </c>
      <c r="AB845" t="s">
        <v>1601</v>
      </c>
      <c r="AC845" t="s">
        <v>1611</v>
      </c>
      <c r="AD845" t="s">
        <v>1605</v>
      </c>
      <c r="AE845" t="s">
        <v>1617</v>
      </c>
      <c r="AF845" t="s">
        <v>1627</v>
      </c>
    </row>
    <row r="846" spans="1:32" x14ac:dyDescent="0.25">
      <c r="A846" t="s">
        <v>903</v>
      </c>
      <c r="B846">
        <v>30</v>
      </c>
      <c r="C846">
        <v>852</v>
      </c>
      <c r="D846">
        <v>10</v>
      </c>
      <c r="E846">
        <v>72</v>
      </c>
      <c r="F846">
        <v>6578</v>
      </c>
      <c r="G846">
        <v>2706</v>
      </c>
      <c r="H846">
        <v>1</v>
      </c>
      <c r="I846">
        <v>18</v>
      </c>
      <c r="J846">
        <v>10</v>
      </c>
      <c r="K846">
        <v>3</v>
      </c>
      <c r="L846">
        <v>10</v>
      </c>
      <c r="M846">
        <v>3</v>
      </c>
      <c r="N846">
        <v>1</v>
      </c>
      <c r="O846">
        <v>4</v>
      </c>
      <c r="P846" t="s">
        <v>1556</v>
      </c>
      <c r="Q846" t="s">
        <v>1552</v>
      </c>
      <c r="R846" t="s">
        <v>1549</v>
      </c>
      <c r="S846" t="s">
        <v>1534</v>
      </c>
      <c r="T846" t="s">
        <v>1541</v>
      </c>
      <c r="U846" t="s">
        <v>1547</v>
      </c>
      <c r="V846" t="s">
        <v>1559</v>
      </c>
      <c r="W846" t="s">
        <v>1562</v>
      </c>
      <c r="X846" t="s">
        <v>1576</v>
      </c>
      <c r="Y846" t="s">
        <v>1581</v>
      </c>
      <c r="Z846" t="s">
        <v>1593</v>
      </c>
      <c r="AA846" t="s">
        <v>1597</v>
      </c>
      <c r="AB846" t="s">
        <v>1601</v>
      </c>
      <c r="AC846" t="s">
        <v>1610</v>
      </c>
      <c r="AD846" t="s">
        <v>1604</v>
      </c>
      <c r="AE846" t="s">
        <v>1617</v>
      </c>
      <c r="AF846" t="s">
        <v>1627</v>
      </c>
    </row>
    <row r="847" spans="1:32" x14ac:dyDescent="0.25">
      <c r="A847" t="s">
        <v>904</v>
      </c>
      <c r="B847">
        <v>40</v>
      </c>
      <c r="C847">
        <v>902</v>
      </c>
      <c r="D847">
        <v>26</v>
      </c>
      <c r="E847">
        <v>92</v>
      </c>
      <c r="F847">
        <v>4422</v>
      </c>
      <c r="G847">
        <v>21203</v>
      </c>
      <c r="H847">
        <v>3</v>
      </c>
      <c r="I847">
        <v>13</v>
      </c>
      <c r="J847">
        <v>16</v>
      </c>
      <c r="K847">
        <v>3</v>
      </c>
      <c r="L847">
        <v>1</v>
      </c>
      <c r="M847">
        <v>1</v>
      </c>
      <c r="N847">
        <v>0</v>
      </c>
      <c r="O847">
        <v>0</v>
      </c>
      <c r="P847" t="s">
        <v>1556</v>
      </c>
      <c r="Q847" t="s">
        <v>1553</v>
      </c>
      <c r="R847" t="s">
        <v>1550</v>
      </c>
      <c r="S847" t="s">
        <v>1533</v>
      </c>
      <c r="T847" t="s">
        <v>1540</v>
      </c>
      <c r="U847" t="s">
        <v>1547</v>
      </c>
      <c r="V847" t="s">
        <v>1558</v>
      </c>
      <c r="W847" t="s">
        <v>1562</v>
      </c>
      <c r="X847" t="s">
        <v>1576</v>
      </c>
      <c r="Y847" t="s">
        <v>1582</v>
      </c>
      <c r="Z847" t="s">
        <v>1594</v>
      </c>
      <c r="AA847" t="s">
        <v>1597</v>
      </c>
      <c r="AB847" t="s">
        <v>1600</v>
      </c>
      <c r="AC847" t="s">
        <v>1610</v>
      </c>
      <c r="AD847" t="s">
        <v>1607</v>
      </c>
      <c r="AE847" t="s">
        <v>1617</v>
      </c>
      <c r="AF847" t="s">
        <v>1625</v>
      </c>
    </row>
    <row r="848" spans="1:32" x14ac:dyDescent="0.25">
      <c r="A848" t="s">
        <v>905</v>
      </c>
      <c r="B848">
        <v>35</v>
      </c>
      <c r="C848">
        <v>819</v>
      </c>
      <c r="D848">
        <v>2</v>
      </c>
      <c r="E848">
        <v>44</v>
      </c>
      <c r="F848">
        <v>10274</v>
      </c>
      <c r="G848">
        <v>19588</v>
      </c>
      <c r="H848">
        <v>2</v>
      </c>
      <c r="I848">
        <v>18</v>
      </c>
      <c r="J848">
        <v>15</v>
      </c>
      <c r="K848">
        <v>2</v>
      </c>
      <c r="L848">
        <v>7</v>
      </c>
      <c r="M848">
        <v>7</v>
      </c>
      <c r="N848">
        <v>6</v>
      </c>
      <c r="O848">
        <v>4</v>
      </c>
      <c r="P848" t="s">
        <v>1556</v>
      </c>
      <c r="Q848" t="s">
        <v>1552</v>
      </c>
      <c r="R848" t="s">
        <v>1550</v>
      </c>
      <c r="S848" t="s">
        <v>1534</v>
      </c>
      <c r="T848" t="s">
        <v>1538</v>
      </c>
      <c r="U848" t="s">
        <v>1547</v>
      </c>
      <c r="V848" t="s">
        <v>1559</v>
      </c>
      <c r="W848" t="s">
        <v>1562</v>
      </c>
      <c r="X848" t="s">
        <v>1577</v>
      </c>
      <c r="Y848" t="s">
        <v>1584</v>
      </c>
      <c r="Z848" t="s">
        <v>1592</v>
      </c>
      <c r="AA848" t="s">
        <v>1598</v>
      </c>
      <c r="AB848" t="s">
        <v>1601</v>
      </c>
      <c r="AC848" t="s">
        <v>1610</v>
      </c>
      <c r="AD848" t="s">
        <v>1605</v>
      </c>
      <c r="AE848" t="s">
        <v>1617</v>
      </c>
      <c r="AF848" t="s">
        <v>1628</v>
      </c>
    </row>
    <row r="849" spans="1:32" x14ac:dyDescent="0.25">
      <c r="A849" t="s">
        <v>906</v>
      </c>
      <c r="B849">
        <v>34</v>
      </c>
      <c r="C849">
        <v>669</v>
      </c>
      <c r="D849">
        <v>1</v>
      </c>
      <c r="E849">
        <v>97</v>
      </c>
      <c r="F849">
        <v>5343</v>
      </c>
      <c r="G849">
        <v>25755</v>
      </c>
      <c r="H849">
        <v>0</v>
      </c>
      <c r="I849">
        <v>20</v>
      </c>
      <c r="J849">
        <v>14</v>
      </c>
      <c r="K849">
        <v>3</v>
      </c>
      <c r="L849">
        <v>13</v>
      </c>
      <c r="M849">
        <v>9</v>
      </c>
      <c r="N849">
        <v>4</v>
      </c>
      <c r="O849">
        <v>9</v>
      </c>
      <c r="P849" t="s">
        <v>1556</v>
      </c>
      <c r="Q849" t="s">
        <v>1553</v>
      </c>
      <c r="R849" t="s">
        <v>1550</v>
      </c>
      <c r="S849" t="s">
        <v>1534</v>
      </c>
      <c r="T849" t="s">
        <v>1540</v>
      </c>
      <c r="U849" t="s">
        <v>1548</v>
      </c>
      <c r="V849" t="s">
        <v>1559</v>
      </c>
      <c r="W849" t="s">
        <v>1562</v>
      </c>
      <c r="X849" t="s">
        <v>1576</v>
      </c>
      <c r="Y849" t="s">
        <v>1585</v>
      </c>
      <c r="Z849" t="s">
        <v>1591</v>
      </c>
      <c r="AA849" t="s">
        <v>1596</v>
      </c>
      <c r="AB849" t="s">
        <v>1601</v>
      </c>
      <c r="AC849" t="s">
        <v>1611</v>
      </c>
      <c r="AD849" t="s">
        <v>1606</v>
      </c>
      <c r="AE849" t="s">
        <v>1616</v>
      </c>
      <c r="AF849" t="s">
        <v>1627</v>
      </c>
    </row>
    <row r="850" spans="1:32" x14ac:dyDescent="0.25">
      <c r="A850" t="s">
        <v>907</v>
      </c>
      <c r="B850">
        <v>35</v>
      </c>
      <c r="C850">
        <v>636</v>
      </c>
      <c r="D850">
        <v>4</v>
      </c>
      <c r="E850">
        <v>47</v>
      </c>
      <c r="F850">
        <v>2376</v>
      </c>
      <c r="G850">
        <v>26537</v>
      </c>
      <c r="H850">
        <v>1</v>
      </c>
      <c r="I850">
        <v>13</v>
      </c>
      <c r="J850">
        <v>2</v>
      </c>
      <c r="K850">
        <v>2</v>
      </c>
      <c r="L850">
        <v>2</v>
      </c>
      <c r="M850">
        <v>2</v>
      </c>
      <c r="N850">
        <v>2</v>
      </c>
      <c r="O850">
        <v>2</v>
      </c>
      <c r="P850" t="s">
        <v>1556</v>
      </c>
      <c r="Q850" t="s">
        <v>1553</v>
      </c>
      <c r="R850" t="s">
        <v>1550</v>
      </c>
      <c r="S850" t="s">
        <v>1535</v>
      </c>
      <c r="T850" t="s">
        <v>1539</v>
      </c>
      <c r="U850" t="s">
        <v>1548</v>
      </c>
      <c r="V850" t="s">
        <v>1559</v>
      </c>
      <c r="W850" t="s">
        <v>1562</v>
      </c>
      <c r="X850" t="s">
        <v>1575</v>
      </c>
      <c r="Y850" t="s">
        <v>1583</v>
      </c>
      <c r="Z850" t="s">
        <v>1594</v>
      </c>
      <c r="AA850" t="s">
        <v>1597</v>
      </c>
      <c r="AB850" t="s">
        <v>1601</v>
      </c>
      <c r="AC850" t="s">
        <v>1610</v>
      </c>
      <c r="AD850" t="s">
        <v>1605</v>
      </c>
      <c r="AE850" t="s">
        <v>1617</v>
      </c>
      <c r="AF850" t="s">
        <v>1628</v>
      </c>
    </row>
    <row r="851" spans="1:32" x14ac:dyDescent="0.25">
      <c r="A851" t="s">
        <v>908</v>
      </c>
      <c r="B851">
        <v>43</v>
      </c>
      <c r="C851">
        <v>1372</v>
      </c>
      <c r="D851">
        <v>9</v>
      </c>
      <c r="E851">
        <v>85</v>
      </c>
      <c r="F851">
        <v>5346</v>
      </c>
      <c r="G851">
        <v>9489</v>
      </c>
      <c r="H851">
        <v>8</v>
      </c>
      <c r="I851">
        <v>13</v>
      </c>
      <c r="J851">
        <v>7</v>
      </c>
      <c r="K851">
        <v>2</v>
      </c>
      <c r="L851">
        <v>4</v>
      </c>
      <c r="M851">
        <v>3</v>
      </c>
      <c r="N851">
        <v>1</v>
      </c>
      <c r="O851">
        <v>3</v>
      </c>
      <c r="P851" t="s">
        <v>1555</v>
      </c>
      <c r="Q851" t="s">
        <v>1552</v>
      </c>
      <c r="R851" t="s">
        <v>1549</v>
      </c>
      <c r="S851" t="s">
        <v>1534</v>
      </c>
      <c r="T851" t="s">
        <v>1541</v>
      </c>
      <c r="U851" t="s">
        <v>1545</v>
      </c>
      <c r="V851" t="s">
        <v>1558</v>
      </c>
      <c r="W851" t="s">
        <v>1561</v>
      </c>
      <c r="X851" t="s">
        <v>1576</v>
      </c>
      <c r="Y851" t="s">
        <v>1581</v>
      </c>
      <c r="Z851" t="s">
        <v>1593</v>
      </c>
      <c r="AA851" t="s">
        <v>1596</v>
      </c>
      <c r="AB851" t="s">
        <v>1601</v>
      </c>
      <c r="AC851" t="s">
        <v>1610</v>
      </c>
      <c r="AD851" t="s">
        <v>1605</v>
      </c>
      <c r="AE851" t="s">
        <v>1616</v>
      </c>
      <c r="AF851" t="s">
        <v>1626</v>
      </c>
    </row>
    <row r="852" spans="1:32" x14ac:dyDescent="0.25">
      <c r="A852" t="s">
        <v>909</v>
      </c>
      <c r="B852">
        <v>32</v>
      </c>
      <c r="C852">
        <v>862</v>
      </c>
      <c r="D852">
        <v>2</v>
      </c>
      <c r="E852">
        <v>76</v>
      </c>
      <c r="F852">
        <v>2827</v>
      </c>
      <c r="G852">
        <v>14947</v>
      </c>
      <c r="H852">
        <v>1</v>
      </c>
      <c r="I852">
        <v>12</v>
      </c>
      <c r="J852">
        <v>1</v>
      </c>
      <c r="K852">
        <v>3</v>
      </c>
      <c r="L852">
        <v>1</v>
      </c>
      <c r="M852">
        <v>0</v>
      </c>
      <c r="N852">
        <v>0</v>
      </c>
      <c r="O852">
        <v>0</v>
      </c>
      <c r="P852" t="s">
        <v>1556</v>
      </c>
      <c r="Q852" t="s">
        <v>1554</v>
      </c>
      <c r="R852" t="s">
        <v>1549</v>
      </c>
      <c r="S852" t="s">
        <v>1532</v>
      </c>
      <c r="T852" t="s">
        <v>1538</v>
      </c>
      <c r="U852" t="s">
        <v>1547</v>
      </c>
      <c r="V852" t="s">
        <v>1558</v>
      </c>
      <c r="W852" t="s">
        <v>1563</v>
      </c>
      <c r="X852" t="s">
        <v>1575</v>
      </c>
      <c r="Y852" t="s">
        <v>1587</v>
      </c>
      <c r="Z852" t="s">
        <v>1591</v>
      </c>
      <c r="AA852" t="s">
        <v>1598</v>
      </c>
      <c r="AB852" t="s">
        <v>1601</v>
      </c>
      <c r="AC852" t="s">
        <v>1610</v>
      </c>
      <c r="AD852" t="s">
        <v>1606</v>
      </c>
      <c r="AE852" t="s">
        <v>1619</v>
      </c>
      <c r="AF852" t="s">
        <v>1627</v>
      </c>
    </row>
    <row r="853" spans="1:32" x14ac:dyDescent="0.25">
      <c r="A853" t="s">
        <v>910</v>
      </c>
      <c r="B853">
        <v>56</v>
      </c>
      <c r="C853">
        <v>718</v>
      </c>
      <c r="D853">
        <v>4</v>
      </c>
      <c r="E853">
        <v>92</v>
      </c>
      <c r="F853">
        <v>19943</v>
      </c>
      <c r="G853">
        <v>18575</v>
      </c>
      <c r="H853">
        <v>4</v>
      </c>
      <c r="I853">
        <v>13</v>
      </c>
      <c r="J853">
        <v>28</v>
      </c>
      <c r="K853">
        <v>2</v>
      </c>
      <c r="L853">
        <v>5</v>
      </c>
      <c r="M853">
        <v>2</v>
      </c>
      <c r="N853">
        <v>4</v>
      </c>
      <c r="O853">
        <v>2</v>
      </c>
      <c r="P853" t="s">
        <v>1556</v>
      </c>
      <c r="Q853" t="s">
        <v>1552</v>
      </c>
      <c r="R853" t="s">
        <v>1550</v>
      </c>
      <c r="S853" t="s">
        <v>1535</v>
      </c>
      <c r="T853" t="s">
        <v>1542</v>
      </c>
      <c r="U853" t="s">
        <v>1548</v>
      </c>
      <c r="V853" t="s">
        <v>1558</v>
      </c>
      <c r="W853" t="s">
        <v>1563</v>
      </c>
      <c r="X853" t="s">
        <v>1579</v>
      </c>
      <c r="Y853" t="s">
        <v>1586</v>
      </c>
      <c r="Z853" t="s">
        <v>1591</v>
      </c>
      <c r="AA853" t="s">
        <v>1598</v>
      </c>
      <c r="AB853" t="s">
        <v>1601</v>
      </c>
      <c r="AC853" t="s">
        <v>1610</v>
      </c>
      <c r="AD853" t="s">
        <v>1607</v>
      </c>
      <c r="AE853" t="s">
        <v>1617</v>
      </c>
      <c r="AF853" t="s">
        <v>1627</v>
      </c>
    </row>
    <row r="854" spans="1:32" x14ac:dyDescent="0.25">
      <c r="A854" t="s">
        <v>911</v>
      </c>
      <c r="B854">
        <v>29</v>
      </c>
      <c r="C854">
        <v>1401</v>
      </c>
      <c r="D854">
        <v>6</v>
      </c>
      <c r="E854">
        <v>54</v>
      </c>
      <c r="F854">
        <v>3131</v>
      </c>
      <c r="G854">
        <v>26342</v>
      </c>
      <c r="H854">
        <v>1</v>
      </c>
      <c r="I854">
        <v>13</v>
      </c>
      <c r="J854">
        <v>10</v>
      </c>
      <c r="K854">
        <v>5</v>
      </c>
      <c r="L854">
        <v>10</v>
      </c>
      <c r="M854">
        <v>8</v>
      </c>
      <c r="N854">
        <v>0</v>
      </c>
      <c r="O854">
        <v>8</v>
      </c>
      <c r="P854" t="s">
        <v>1556</v>
      </c>
      <c r="Q854" t="s">
        <v>1552</v>
      </c>
      <c r="R854" t="s">
        <v>1550</v>
      </c>
      <c r="S854" t="s">
        <v>1532</v>
      </c>
      <c r="T854" t="s">
        <v>1540</v>
      </c>
      <c r="U854" t="s">
        <v>1546</v>
      </c>
      <c r="V854" t="s">
        <v>1558</v>
      </c>
      <c r="W854" t="s">
        <v>1563</v>
      </c>
      <c r="X854" t="s">
        <v>1575</v>
      </c>
      <c r="Y854" t="s">
        <v>1583</v>
      </c>
      <c r="Z854" t="s">
        <v>1594</v>
      </c>
      <c r="AA854" t="s">
        <v>1597</v>
      </c>
      <c r="AB854" t="s">
        <v>1601</v>
      </c>
      <c r="AC854" t="s">
        <v>1610</v>
      </c>
      <c r="AD854" t="s">
        <v>1604</v>
      </c>
      <c r="AE854" t="s">
        <v>1617</v>
      </c>
      <c r="AF854" t="s">
        <v>1627</v>
      </c>
    </row>
    <row r="855" spans="1:32" x14ac:dyDescent="0.25">
      <c r="A855" t="s">
        <v>912</v>
      </c>
      <c r="B855">
        <v>19</v>
      </c>
      <c r="C855">
        <v>645</v>
      </c>
      <c r="D855">
        <v>9</v>
      </c>
      <c r="E855">
        <v>54</v>
      </c>
      <c r="F855">
        <v>2552</v>
      </c>
      <c r="G855">
        <v>7172</v>
      </c>
      <c r="H855">
        <v>1</v>
      </c>
      <c r="I855">
        <v>25</v>
      </c>
      <c r="J855">
        <v>1</v>
      </c>
      <c r="K855">
        <v>4</v>
      </c>
      <c r="L855">
        <v>1</v>
      </c>
      <c r="M855">
        <v>1</v>
      </c>
      <c r="N855">
        <v>0</v>
      </c>
      <c r="O855">
        <v>0</v>
      </c>
      <c r="P855" t="s">
        <v>1556</v>
      </c>
      <c r="Q855" t="s">
        <v>1552</v>
      </c>
      <c r="R855" t="s">
        <v>1550</v>
      </c>
      <c r="S855" t="s">
        <v>1533</v>
      </c>
      <c r="T855" t="s">
        <v>1538</v>
      </c>
      <c r="U855" t="s">
        <v>1547</v>
      </c>
      <c r="V855" t="s">
        <v>1559</v>
      </c>
      <c r="W855" t="s">
        <v>1563</v>
      </c>
      <c r="X855" t="s">
        <v>1575</v>
      </c>
      <c r="Y855" t="s">
        <v>1582</v>
      </c>
      <c r="Z855" t="s">
        <v>1591</v>
      </c>
      <c r="AA855" t="s">
        <v>1596</v>
      </c>
      <c r="AB855" t="s">
        <v>1601</v>
      </c>
      <c r="AC855" t="s">
        <v>1611</v>
      </c>
      <c r="AD855" t="s">
        <v>1606</v>
      </c>
      <c r="AE855" t="s">
        <v>1616</v>
      </c>
      <c r="AF855" t="s">
        <v>1627</v>
      </c>
    </row>
    <row r="856" spans="1:32" x14ac:dyDescent="0.25">
      <c r="A856" t="s">
        <v>913</v>
      </c>
      <c r="B856">
        <v>45</v>
      </c>
      <c r="C856">
        <v>1457</v>
      </c>
      <c r="D856">
        <v>7</v>
      </c>
      <c r="E856">
        <v>83</v>
      </c>
      <c r="F856">
        <v>4477</v>
      </c>
      <c r="G856">
        <v>20100</v>
      </c>
      <c r="H856">
        <v>4</v>
      </c>
      <c r="I856">
        <v>19</v>
      </c>
      <c r="J856">
        <v>7</v>
      </c>
      <c r="K856">
        <v>2</v>
      </c>
      <c r="L856">
        <v>3</v>
      </c>
      <c r="M856">
        <v>2</v>
      </c>
      <c r="N856">
        <v>0</v>
      </c>
      <c r="O856">
        <v>2</v>
      </c>
      <c r="P856" t="s">
        <v>1556</v>
      </c>
      <c r="Q856" t="s">
        <v>1552</v>
      </c>
      <c r="R856" t="s">
        <v>1550</v>
      </c>
      <c r="S856" t="s">
        <v>1534</v>
      </c>
      <c r="T856" t="s">
        <v>1540</v>
      </c>
      <c r="U856" t="s">
        <v>1545</v>
      </c>
      <c r="V856" t="s">
        <v>1558</v>
      </c>
      <c r="W856" t="s">
        <v>1563</v>
      </c>
      <c r="X856" t="s">
        <v>1575</v>
      </c>
      <c r="Y856" t="s">
        <v>1582</v>
      </c>
      <c r="Z856" t="s">
        <v>1593</v>
      </c>
      <c r="AA856" t="s">
        <v>1597</v>
      </c>
      <c r="AB856" t="s">
        <v>1600</v>
      </c>
      <c r="AC856" t="s">
        <v>1610</v>
      </c>
      <c r="AD856" t="s">
        <v>1606</v>
      </c>
      <c r="AE856" t="s">
        <v>1617</v>
      </c>
      <c r="AF856" t="s">
        <v>1626</v>
      </c>
    </row>
    <row r="857" spans="1:32" x14ac:dyDescent="0.25">
      <c r="A857" t="s">
        <v>914</v>
      </c>
      <c r="B857">
        <v>37</v>
      </c>
      <c r="C857">
        <v>977</v>
      </c>
      <c r="D857">
        <v>1</v>
      </c>
      <c r="E857">
        <v>56</v>
      </c>
      <c r="F857">
        <v>6474</v>
      </c>
      <c r="G857">
        <v>9961</v>
      </c>
      <c r="H857">
        <v>1</v>
      </c>
      <c r="I857">
        <v>13</v>
      </c>
      <c r="J857">
        <v>14</v>
      </c>
      <c r="K857">
        <v>2</v>
      </c>
      <c r="L857">
        <v>14</v>
      </c>
      <c r="M857">
        <v>8</v>
      </c>
      <c r="N857">
        <v>3</v>
      </c>
      <c r="O857">
        <v>11</v>
      </c>
      <c r="P857" t="s">
        <v>1556</v>
      </c>
      <c r="Q857" t="s">
        <v>1552</v>
      </c>
      <c r="R857" t="s">
        <v>1550</v>
      </c>
      <c r="S857" t="s">
        <v>1534</v>
      </c>
      <c r="T857" t="s">
        <v>1538</v>
      </c>
      <c r="U857" t="s">
        <v>1548</v>
      </c>
      <c r="V857" t="s">
        <v>1558</v>
      </c>
      <c r="W857" t="s">
        <v>1562</v>
      </c>
      <c r="X857" t="s">
        <v>1576</v>
      </c>
      <c r="Y857" t="s">
        <v>1584</v>
      </c>
      <c r="Z857" t="s">
        <v>1594</v>
      </c>
      <c r="AA857" t="s">
        <v>1597</v>
      </c>
      <c r="AB857" t="s">
        <v>1601</v>
      </c>
      <c r="AC857" t="s">
        <v>1610</v>
      </c>
      <c r="AD857" t="s">
        <v>1605</v>
      </c>
      <c r="AE857" t="s">
        <v>1617</v>
      </c>
      <c r="AF857" t="s">
        <v>1626</v>
      </c>
    </row>
    <row r="858" spans="1:32" x14ac:dyDescent="0.25">
      <c r="A858" t="s">
        <v>915</v>
      </c>
      <c r="B858">
        <v>20</v>
      </c>
      <c r="C858">
        <v>805</v>
      </c>
      <c r="D858">
        <v>3</v>
      </c>
      <c r="E858">
        <v>87</v>
      </c>
      <c r="F858">
        <v>3033</v>
      </c>
      <c r="G858">
        <v>12828</v>
      </c>
      <c r="H858">
        <v>1</v>
      </c>
      <c r="I858">
        <v>12</v>
      </c>
      <c r="J858">
        <v>2</v>
      </c>
      <c r="K858">
        <v>2</v>
      </c>
      <c r="L858">
        <v>2</v>
      </c>
      <c r="M858">
        <v>2</v>
      </c>
      <c r="N858">
        <v>1</v>
      </c>
      <c r="O858">
        <v>2</v>
      </c>
      <c r="P858" t="s">
        <v>1556</v>
      </c>
      <c r="Q858" t="s">
        <v>1552</v>
      </c>
      <c r="R858" t="s">
        <v>1550</v>
      </c>
      <c r="S858" t="s">
        <v>1534</v>
      </c>
      <c r="T858" t="s">
        <v>1538</v>
      </c>
      <c r="U858" t="s">
        <v>1545</v>
      </c>
      <c r="V858" t="s">
        <v>1559</v>
      </c>
      <c r="W858" t="s">
        <v>1562</v>
      </c>
      <c r="X858" t="s">
        <v>1575</v>
      </c>
      <c r="Y858" t="s">
        <v>1583</v>
      </c>
      <c r="Z858" t="s">
        <v>1593</v>
      </c>
      <c r="AA858" t="s">
        <v>1596</v>
      </c>
      <c r="AB858" t="s">
        <v>1601</v>
      </c>
      <c r="AC858" t="s">
        <v>1610</v>
      </c>
      <c r="AD858" t="s">
        <v>1604</v>
      </c>
      <c r="AE858" t="s">
        <v>1616</v>
      </c>
      <c r="AF858" t="s">
        <v>1626</v>
      </c>
    </row>
    <row r="859" spans="1:32" x14ac:dyDescent="0.25">
      <c r="A859" t="s">
        <v>916</v>
      </c>
      <c r="B859">
        <v>44</v>
      </c>
      <c r="C859">
        <v>1097</v>
      </c>
      <c r="D859">
        <v>10</v>
      </c>
      <c r="E859">
        <v>96</v>
      </c>
      <c r="F859">
        <v>2936</v>
      </c>
      <c r="G859">
        <v>10826</v>
      </c>
      <c r="H859">
        <v>1</v>
      </c>
      <c r="I859">
        <v>11</v>
      </c>
      <c r="J859">
        <v>6</v>
      </c>
      <c r="K859">
        <v>4</v>
      </c>
      <c r="L859">
        <v>6</v>
      </c>
      <c r="M859">
        <v>4</v>
      </c>
      <c r="N859">
        <v>0</v>
      </c>
      <c r="O859">
        <v>2</v>
      </c>
      <c r="P859" t="s">
        <v>1555</v>
      </c>
      <c r="Q859" t="s">
        <v>1552</v>
      </c>
      <c r="R859" t="s">
        <v>1550</v>
      </c>
      <c r="S859" t="s">
        <v>1535</v>
      </c>
      <c r="T859" t="s">
        <v>1538</v>
      </c>
      <c r="U859" t="s">
        <v>1547</v>
      </c>
      <c r="V859" t="s">
        <v>1559</v>
      </c>
      <c r="W859" t="s">
        <v>1563</v>
      </c>
      <c r="X859" t="s">
        <v>1575</v>
      </c>
      <c r="Y859" t="s">
        <v>1582</v>
      </c>
      <c r="Z859" t="s">
        <v>1593</v>
      </c>
      <c r="AA859" t="s">
        <v>1596</v>
      </c>
      <c r="AB859" t="s">
        <v>1600</v>
      </c>
      <c r="AC859" t="s">
        <v>1610</v>
      </c>
      <c r="AD859" t="s">
        <v>1606</v>
      </c>
      <c r="AE859" t="s">
        <v>1616</v>
      </c>
      <c r="AF859" t="s">
        <v>1627</v>
      </c>
    </row>
    <row r="860" spans="1:32" x14ac:dyDescent="0.25">
      <c r="A860" t="s">
        <v>917</v>
      </c>
      <c r="B860">
        <v>53</v>
      </c>
      <c r="C860">
        <v>1223</v>
      </c>
      <c r="D860">
        <v>7</v>
      </c>
      <c r="E860">
        <v>50</v>
      </c>
      <c r="F860">
        <v>18606</v>
      </c>
      <c r="G860">
        <v>18640</v>
      </c>
      <c r="H860">
        <v>3</v>
      </c>
      <c r="I860">
        <v>18</v>
      </c>
      <c r="J860">
        <v>26</v>
      </c>
      <c r="K860">
        <v>6</v>
      </c>
      <c r="L860">
        <v>7</v>
      </c>
      <c r="M860">
        <v>7</v>
      </c>
      <c r="N860">
        <v>4</v>
      </c>
      <c r="O860">
        <v>7</v>
      </c>
      <c r="P860" t="s">
        <v>1556</v>
      </c>
      <c r="Q860" t="s">
        <v>1552</v>
      </c>
      <c r="R860" t="s">
        <v>1550</v>
      </c>
      <c r="S860" t="s">
        <v>1533</v>
      </c>
      <c r="T860" t="s">
        <v>1540</v>
      </c>
      <c r="U860" t="s">
        <v>1548</v>
      </c>
      <c r="V860" t="s">
        <v>1558</v>
      </c>
      <c r="W860" t="s">
        <v>1563</v>
      </c>
      <c r="X860" t="s">
        <v>1579</v>
      </c>
      <c r="Y860" t="s">
        <v>1586</v>
      </c>
      <c r="Z860" t="s">
        <v>1593</v>
      </c>
      <c r="AA860" t="s">
        <v>1598</v>
      </c>
      <c r="AB860" t="s">
        <v>1601</v>
      </c>
      <c r="AC860" t="s">
        <v>1610</v>
      </c>
      <c r="AD860" t="s">
        <v>1605</v>
      </c>
      <c r="AE860" t="s">
        <v>1617</v>
      </c>
      <c r="AF860" t="s">
        <v>1627</v>
      </c>
    </row>
    <row r="861" spans="1:32" x14ac:dyDescent="0.25">
      <c r="A861" t="s">
        <v>918</v>
      </c>
      <c r="B861">
        <v>29</v>
      </c>
      <c r="C861">
        <v>942</v>
      </c>
      <c r="D861">
        <v>15</v>
      </c>
      <c r="E861">
        <v>69</v>
      </c>
      <c r="F861">
        <v>2168</v>
      </c>
      <c r="G861">
        <v>26933</v>
      </c>
      <c r="H861">
        <v>0</v>
      </c>
      <c r="I861">
        <v>18</v>
      </c>
      <c r="J861">
        <v>6</v>
      </c>
      <c r="K861">
        <v>2</v>
      </c>
      <c r="L861">
        <v>5</v>
      </c>
      <c r="M861">
        <v>4</v>
      </c>
      <c r="N861">
        <v>1</v>
      </c>
      <c r="O861">
        <v>3</v>
      </c>
      <c r="P861" t="s">
        <v>1556</v>
      </c>
      <c r="Q861" t="s">
        <v>1552</v>
      </c>
      <c r="R861" t="s">
        <v>1550</v>
      </c>
      <c r="S861" t="s">
        <v>1532</v>
      </c>
      <c r="T861" t="s">
        <v>1538</v>
      </c>
      <c r="U861" t="s">
        <v>1546</v>
      </c>
      <c r="V861" t="s">
        <v>1558</v>
      </c>
      <c r="W861" t="s">
        <v>1561</v>
      </c>
      <c r="X861" t="s">
        <v>1575</v>
      </c>
      <c r="Y861" t="s">
        <v>1582</v>
      </c>
      <c r="Z861" t="s">
        <v>1594</v>
      </c>
      <c r="AA861" t="s">
        <v>1597</v>
      </c>
      <c r="AB861" t="s">
        <v>1600</v>
      </c>
      <c r="AC861" t="s">
        <v>1610</v>
      </c>
      <c r="AD861" t="s">
        <v>1604</v>
      </c>
      <c r="AE861" t="s">
        <v>1617</v>
      </c>
      <c r="AF861" t="s">
        <v>1626</v>
      </c>
    </row>
    <row r="862" spans="1:32" x14ac:dyDescent="0.25">
      <c r="A862" t="s">
        <v>919</v>
      </c>
      <c r="B862">
        <v>22</v>
      </c>
      <c r="C862">
        <v>1256</v>
      </c>
      <c r="D862">
        <v>3</v>
      </c>
      <c r="E862">
        <v>48</v>
      </c>
      <c r="F862">
        <v>2853</v>
      </c>
      <c r="G862">
        <v>4223</v>
      </c>
      <c r="H862">
        <v>0</v>
      </c>
      <c r="I862">
        <v>11</v>
      </c>
      <c r="J862">
        <v>1</v>
      </c>
      <c r="K862">
        <v>5</v>
      </c>
      <c r="L862">
        <v>0</v>
      </c>
      <c r="M862">
        <v>0</v>
      </c>
      <c r="N862">
        <v>0</v>
      </c>
      <c r="O862">
        <v>0</v>
      </c>
      <c r="P862" t="s">
        <v>1555</v>
      </c>
      <c r="Q862" t="s">
        <v>1553</v>
      </c>
      <c r="R862" t="s">
        <v>1550</v>
      </c>
      <c r="S862" t="s">
        <v>1535</v>
      </c>
      <c r="T862" t="s">
        <v>1538</v>
      </c>
      <c r="U862" t="s">
        <v>1547</v>
      </c>
      <c r="V862" t="s">
        <v>1559</v>
      </c>
      <c r="W862" t="s">
        <v>1562</v>
      </c>
      <c r="X862" t="s">
        <v>1575</v>
      </c>
      <c r="Y862" t="s">
        <v>1582</v>
      </c>
      <c r="Z862" t="s">
        <v>1594</v>
      </c>
      <c r="AA862" t="s">
        <v>1597</v>
      </c>
      <c r="AB862" t="s">
        <v>1600</v>
      </c>
      <c r="AC862" t="s">
        <v>1610</v>
      </c>
      <c r="AD862" t="s">
        <v>1605</v>
      </c>
      <c r="AE862" t="s">
        <v>1617</v>
      </c>
      <c r="AF862" t="s">
        <v>1627</v>
      </c>
    </row>
    <row r="863" spans="1:32" x14ac:dyDescent="0.25">
      <c r="A863" t="s">
        <v>920</v>
      </c>
      <c r="B863">
        <v>46</v>
      </c>
      <c r="C863">
        <v>1402</v>
      </c>
      <c r="D863">
        <v>2</v>
      </c>
      <c r="E863">
        <v>69</v>
      </c>
      <c r="F863">
        <v>17048</v>
      </c>
      <c r="G863">
        <v>24097</v>
      </c>
      <c r="H863">
        <v>8</v>
      </c>
      <c r="I863">
        <v>23</v>
      </c>
      <c r="J863">
        <v>28</v>
      </c>
      <c r="K863">
        <v>2</v>
      </c>
      <c r="L863">
        <v>26</v>
      </c>
      <c r="M863">
        <v>15</v>
      </c>
      <c r="N863">
        <v>15</v>
      </c>
      <c r="O863">
        <v>9</v>
      </c>
      <c r="P863" t="s">
        <v>1556</v>
      </c>
      <c r="Q863" t="s">
        <v>1552</v>
      </c>
      <c r="R863" t="s">
        <v>1549</v>
      </c>
      <c r="S863" t="s">
        <v>1534</v>
      </c>
      <c r="T863" t="s">
        <v>1541</v>
      </c>
      <c r="U863" t="s">
        <v>1547</v>
      </c>
      <c r="V863" t="s">
        <v>1558</v>
      </c>
      <c r="W863" t="s">
        <v>1563</v>
      </c>
      <c r="X863" t="s">
        <v>1578</v>
      </c>
      <c r="Y863" t="s">
        <v>1586</v>
      </c>
      <c r="Z863" t="s">
        <v>1591</v>
      </c>
      <c r="AA863" t="s">
        <v>1597</v>
      </c>
      <c r="AB863" t="s">
        <v>1601</v>
      </c>
      <c r="AC863" t="s">
        <v>1611</v>
      </c>
      <c r="AD863" t="s">
        <v>1604</v>
      </c>
      <c r="AE863" t="s">
        <v>1616</v>
      </c>
      <c r="AF863" t="s">
        <v>1627</v>
      </c>
    </row>
    <row r="864" spans="1:32" x14ac:dyDescent="0.25">
      <c r="A864" t="s">
        <v>921</v>
      </c>
      <c r="B864">
        <v>44</v>
      </c>
      <c r="C864">
        <v>111</v>
      </c>
      <c r="D864">
        <v>17</v>
      </c>
      <c r="E864">
        <v>74</v>
      </c>
      <c r="F864">
        <v>2290</v>
      </c>
      <c r="G864">
        <v>4279</v>
      </c>
      <c r="H864">
        <v>2</v>
      </c>
      <c r="I864">
        <v>13</v>
      </c>
      <c r="J864">
        <v>6</v>
      </c>
      <c r="K864">
        <v>3</v>
      </c>
      <c r="L864">
        <v>0</v>
      </c>
      <c r="M864">
        <v>0</v>
      </c>
      <c r="N864">
        <v>0</v>
      </c>
      <c r="O864">
        <v>0</v>
      </c>
      <c r="P864" t="s">
        <v>1556</v>
      </c>
      <c r="Q864" t="s">
        <v>1554</v>
      </c>
      <c r="R864" t="s">
        <v>1550</v>
      </c>
      <c r="S864" t="s">
        <v>1534</v>
      </c>
      <c r="T864" t="s">
        <v>1538</v>
      </c>
      <c r="U864" t="s">
        <v>1548</v>
      </c>
      <c r="V864" t="s">
        <v>1559</v>
      </c>
      <c r="W864" t="s">
        <v>1561</v>
      </c>
      <c r="X864" t="s">
        <v>1575</v>
      </c>
      <c r="Y864" t="s">
        <v>1582</v>
      </c>
      <c r="Z864" t="s">
        <v>1593</v>
      </c>
      <c r="AA864" t="s">
        <v>1596</v>
      </c>
      <c r="AB864" t="s">
        <v>1601</v>
      </c>
      <c r="AC864" t="s">
        <v>1610</v>
      </c>
      <c r="AD864" t="s">
        <v>1607</v>
      </c>
      <c r="AE864" t="s">
        <v>1616</v>
      </c>
      <c r="AF864" t="s">
        <v>1627</v>
      </c>
    </row>
    <row r="865" spans="1:32" x14ac:dyDescent="0.25">
      <c r="A865" t="s">
        <v>922</v>
      </c>
      <c r="B865">
        <v>33</v>
      </c>
      <c r="C865">
        <v>147</v>
      </c>
      <c r="D865">
        <v>2</v>
      </c>
      <c r="E865">
        <v>99</v>
      </c>
      <c r="F865">
        <v>3600</v>
      </c>
      <c r="G865">
        <v>8429</v>
      </c>
      <c r="H865">
        <v>1</v>
      </c>
      <c r="I865">
        <v>13</v>
      </c>
      <c r="J865">
        <v>5</v>
      </c>
      <c r="K865">
        <v>2</v>
      </c>
      <c r="L865">
        <v>5</v>
      </c>
      <c r="M865">
        <v>4</v>
      </c>
      <c r="N865">
        <v>1</v>
      </c>
      <c r="O865">
        <v>4</v>
      </c>
      <c r="P865" t="s">
        <v>1556</v>
      </c>
      <c r="Q865" t="s">
        <v>1552</v>
      </c>
      <c r="R865" t="s">
        <v>1551</v>
      </c>
      <c r="S865" t="s">
        <v>1534</v>
      </c>
      <c r="T865" t="s">
        <v>1543</v>
      </c>
      <c r="U865" t="s">
        <v>1546</v>
      </c>
      <c r="V865" t="s">
        <v>1559</v>
      </c>
      <c r="W865" t="s">
        <v>1563</v>
      </c>
      <c r="X865" t="s">
        <v>1575</v>
      </c>
      <c r="Y865" t="s">
        <v>1589</v>
      </c>
      <c r="Z865" t="s">
        <v>1593</v>
      </c>
      <c r="AA865" t="s">
        <v>1597</v>
      </c>
      <c r="AB865" t="s">
        <v>1601</v>
      </c>
      <c r="AC865" t="s">
        <v>1610</v>
      </c>
      <c r="AD865" t="s">
        <v>1607</v>
      </c>
      <c r="AE865" t="s">
        <v>1617</v>
      </c>
      <c r="AF865" t="s">
        <v>1627</v>
      </c>
    </row>
    <row r="866" spans="1:32" x14ac:dyDescent="0.25">
      <c r="A866" t="s">
        <v>923</v>
      </c>
      <c r="B866">
        <v>41</v>
      </c>
      <c r="C866">
        <v>906</v>
      </c>
      <c r="D866">
        <v>5</v>
      </c>
      <c r="E866">
        <v>95</v>
      </c>
      <c r="F866">
        <v>2107</v>
      </c>
      <c r="G866">
        <v>20293</v>
      </c>
      <c r="H866">
        <v>6</v>
      </c>
      <c r="I866">
        <v>17</v>
      </c>
      <c r="J866">
        <v>5</v>
      </c>
      <c r="K866">
        <v>2</v>
      </c>
      <c r="L866">
        <v>1</v>
      </c>
      <c r="M866">
        <v>0</v>
      </c>
      <c r="N866">
        <v>0</v>
      </c>
      <c r="O866">
        <v>0</v>
      </c>
      <c r="P866" t="s">
        <v>1555</v>
      </c>
      <c r="Q866" t="s">
        <v>1554</v>
      </c>
      <c r="R866" t="s">
        <v>1550</v>
      </c>
      <c r="S866" t="s">
        <v>1533</v>
      </c>
      <c r="T866" t="s">
        <v>1538</v>
      </c>
      <c r="U866" t="s">
        <v>1545</v>
      </c>
      <c r="V866" t="s">
        <v>1559</v>
      </c>
      <c r="W866" t="s">
        <v>1562</v>
      </c>
      <c r="X866" t="s">
        <v>1575</v>
      </c>
      <c r="Y866" t="s">
        <v>1582</v>
      </c>
      <c r="Z866" t="s">
        <v>1591</v>
      </c>
      <c r="AA866" t="s">
        <v>1598</v>
      </c>
      <c r="AB866" t="s">
        <v>1601</v>
      </c>
      <c r="AC866" t="s">
        <v>1610</v>
      </c>
      <c r="AD866" t="s">
        <v>1604</v>
      </c>
      <c r="AE866" t="s">
        <v>1617</v>
      </c>
      <c r="AF866" t="s">
        <v>1625</v>
      </c>
    </row>
    <row r="867" spans="1:32" x14ac:dyDescent="0.25">
      <c r="A867" t="s">
        <v>924</v>
      </c>
      <c r="B867">
        <v>30</v>
      </c>
      <c r="C867">
        <v>1329</v>
      </c>
      <c r="D867">
        <v>29</v>
      </c>
      <c r="E867">
        <v>61</v>
      </c>
      <c r="F867">
        <v>4115</v>
      </c>
      <c r="G867">
        <v>13192</v>
      </c>
      <c r="H867">
        <v>8</v>
      </c>
      <c r="I867">
        <v>19</v>
      </c>
      <c r="J867">
        <v>8</v>
      </c>
      <c r="K867">
        <v>3</v>
      </c>
      <c r="L867">
        <v>4</v>
      </c>
      <c r="M867">
        <v>3</v>
      </c>
      <c r="N867">
        <v>0</v>
      </c>
      <c r="O867">
        <v>3</v>
      </c>
      <c r="P867" t="s">
        <v>1556</v>
      </c>
      <c r="Q867" t="s">
        <v>1552</v>
      </c>
      <c r="R867" t="s">
        <v>1549</v>
      </c>
      <c r="S867" t="s">
        <v>1535</v>
      </c>
      <c r="T867" t="s">
        <v>1538</v>
      </c>
      <c r="U867" t="s">
        <v>1547</v>
      </c>
      <c r="V867" t="s">
        <v>1559</v>
      </c>
      <c r="W867" t="s">
        <v>1563</v>
      </c>
      <c r="X867" t="s">
        <v>1576</v>
      </c>
      <c r="Y867" t="s">
        <v>1581</v>
      </c>
      <c r="Z867" t="s">
        <v>1591</v>
      </c>
      <c r="AA867" t="s">
        <v>1598</v>
      </c>
      <c r="AB867" t="s">
        <v>1601</v>
      </c>
      <c r="AC867" t="s">
        <v>1610</v>
      </c>
      <c r="AD867" t="s">
        <v>1606</v>
      </c>
      <c r="AE867" t="s">
        <v>1619</v>
      </c>
      <c r="AF867" t="s">
        <v>1627</v>
      </c>
    </row>
    <row r="868" spans="1:32" x14ac:dyDescent="0.25">
      <c r="A868" t="s">
        <v>925</v>
      </c>
      <c r="B868">
        <v>40</v>
      </c>
      <c r="C868">
        <v>1184</v>
      </c>
      <c r="D868">
        <v>2</v>
      </c>
      <c r="E868">
        <v>62</v>
      </c>
      <c r="F868">
        <v>4327</v>
      </c>
      <c r="G868">
        <v>25440</v>
      </c>
      <c r="H868">
        <v>5</v>
      </c>
      <c r="I868">
        <v>12</v>
      </c>
      <c r="J868">
        <v>5</v>
      </c>
      <c r="K868">
        <v>2</v>
      </c>
      <c r="L868">
        <v>0</v>
      </c>
      <c r="M868">
        <v>0</v>
      </c>
      <c r="N868">
        <v>0</v>
      </c>
      <c r="O868">
        <v>0</v>
      </c>
      <c r="P868" t="s">
        <v>1556</v>
      </c>
      <c r="Q868" t="s">
        <v>1553</v>
      </c>
      <c r="R868" t="s">
        <v>1549</v>
      </c>
      <c r="S868" t="s">
        <v>1535</v>
      </c>
      <c r="T868" t="s">
        <v>1540</v>
      </c>
      <c r="U868" t="s">
        <v>1546</v>
      </c>
      <c r="V868" t="s">
        <v>1559</v>
      </c>
      <c r="W868" t="s">
        <v>1563</v>
      </c>
      <c r="X868" t="s">
        <v>1576</v>
      </c>
      <c r="Y868" t="s">
        <v>1581</v>
      </c>
      <c r="Z868" t="s">
        <v>1592</v>
      </c>
      <c r="AA868" t="s">
        <v>1597</v>
      </c>
      <c r="AB868" t="s">
        <v>1601</v>
      </c>
      <c r="AC868" t="s">
        <v>1610</v>
      </c>
      <c r="AD868" t="s">
        <v>1607</v>
      </c>
      <c r="AE868" t="s">
        <v>1619</v>
      </c>
      <c r="AF868" t="s">
        <v>1627</v>
      </c>
    </row>
    <row r="869" spans="1:32" x14ac:dyDescent="0.25">
      <c r="A869" t="s">
        <v>926</v>
      </c>
      <c r="B869">
        <v>50</v>
      </c>
      <c r="C869">
        <v>1421</v>
      </c>
      <c r="D869">
        <v>2</v>
      </c>
      <c r="E869">
        <v>30</v>
      </c>
      <c r="F869">
        <v>17856</v>
      </c>
      <c r="G869">
        <v>9490</v>
      </c>
      <c r="H869">
        <v>2</v>
      </c>
      <c r="I869">
        <v>22</v>
      </c>
      <c r="J869">
        <v>32</v>
      </c>
      <c r="K869">
        <v>3</v>
      </c>
      <c r="L869">
        <v>2</v>
      </c>
      <c r="M869">
        <v>2</v>
      </c>
      <c r="N869">
        <v>2</v>
      </c>
      <c r="O869">
        <v>2</v>
      </c>
      <c r="P869" t="s">
        <v>1556</v>
      </c>
      <c r="Q869" t="s">
        <v>1553</v>
      </c>
      <c r="R869" t="s">
        <v>1550</v>
      </c>
      <c r="S869" t="s">
        <v>1534</v>
      </c>
      <c r="T869" t="s">
        <v>1540</v>
      </c>
      <c r="U869" t="s">
        <v>1548</v>
      </c>
      <c r="V869" t="s">
        <v>1558</v>
      </c>
      <c r="W869" t="s">
        <v>1563</v>
      </c>
      <c r="X869" t="s">
        <v>1578</v>
      </c>
      <c r="Y869" t="s">
        <v>1586</v>
      </c>
      <c r="Z869" t="s">
        <v>1591</v>
      </c>
      <c r="AA869" t="s">
        <v>1597</v>
      </c>
      <c r="AB869" t="s">
        <v>1601</v>
      </c>
      <c r="AC869" t="s">
        <v>1611</v>
      </c>
      <c r="AD869" t="s">
        <v>1606</v>
      </c>
      <c r="AE869" t="s">
        <v>1617</v>
      </c>
      <c r="AF869" t="s">
        <v>1627</v>
      </c>
    </row>
    <row r="870" spans="1:32" x14ac:dyDescent="0.25">
      <c r="A870" t="s">
        <v>927</v>
      </c>
      <c r="B870">
        <v>28</v>
      </c>
      <c r="C870">
        <v>1179</v>
      </c>
      <c r="D870">
        <v>19</v>
      </c>
      <c r="E870">
        <v>78</v>
      </c>
      <c r="F870">
        <v>3196</v>
      </c>
      <c r="G870">
        <v>12449</v>
      </c>
      <c r="H870">
        <v>1</v>
      </c>
      <c r="I870">
        <v>12</v>
      </c>
      <c r="J870">
        <v>6</v>
      </c>
      <c r="K870">
        <v>2</v>
      </c>
      <c r="L870">
        <v>6</v>
      </c>
      <c r="M870">
        <v>5</v>
      </c>
      <c r="N870">
        <v>3</v>
      </c>
      <c r="O870">
        <v>3</v>
      </c>
      <c r="P870" t="s">
        <v>1556</v>
      </c>
      <c r="Q870" t="s">
        <v>1552</v>
      </c>
      <c r="R870" t="s">
        <v>1550</v>
      </c>
      <c r="S870" t="s">
        <v>1535</v>
      </c>
      <c r="T870" t="s">
        <v>1540</v>
      </c>
      <c r="U870" t="s">
        <v>1548</v>
      </c>
      <c r="V870" t="s">
        <v>1559</v>
      </c>
      <c r="W870" t="s">
        <v>1562</v>
      </c>
      <c r="X870" t="s">
        <v>1575</v>
      </c>
      <c r="Y870" t="s">
        <v>1583</v>
      </c>
      <c r="Z870" t="s">
        <v>1591</v>
      </c>
      <c r="AA870" t="s">
        <v>1597</v>
      </c>
      <c r="AB870" t="s">
        <v>1601</v>
      </c>
      <c r="AC870" t="s">
        <v>1610</v>
      </c>
      <c r="AD870" t="s">
        <v>1606</v>
      </c>
      <c r="AE870" t="s">
        <v>1619</v>
      </c>
      <c r="AF870" t="s">
        <v>1627</v>
      </c>
    </row>
    <row r="871" spans="1:32" x14ac:dyDescent="0.25">
      <c r="A871" t="s">
        <v>928</v>
      </c>
      <c r="B871">
        <v>46</v>
      </c>
      <c r="C871">
        <v>1450</v>
      </c>
      <c r="D871">
        <v>15</v>
      </c>
      <c r="E871">
        <v>52</v>
      </c>
      <c r="F871">
        <v>19081</v>
      </c>
      <c r="G871">
        <v>10849</v>
      </c>
      <c r="H871">
        <v>5</v>
      </c>
      <c r="I871">
        <v>11</v>
      </c>
      <c r="J871">
        <v>25</v>
      </c>
      <c r="K871">
        <v>2</v>
      </c>
      <c r="L871">
        <v>4</v>
      </c>
      <c r="M871">
        <v>2</v>
      </c>
      <c r="N871">
        <v>0</v>
      </c>
      <c r="O871">
        <v>3</v>
      </c>
      <c r="P871" t="s">
        <v>1556</v>
      </c>
      <c r="Q871" t="s">
        <v>1552</v>
      </c>
      <c r="R871" t="s">
        <v>1550</v>
      </c>
      <c r="S871" t="s">
        <v>1533</v>
      </c>
      <c r="T871" t="s">
        <v>1538</v>
      </c>
      <c r="U871" t="s">
        <v>1548</v>
      </c>
      <c r="V871" t="s">
        <v>1559</v>
      </c>
      <c r="W871" t="s">
        <v>1563</v>
      </c>
      <c r="X871" t="s">
        <v>1579</v>
      </c>
      <c r="Y871" t="s">
        <v>1588</v>
      </c>
      <c r="Z871" t="s">
        <v>1592</v>
      </c>
      <c r="AA871" t="s">
        <v>1597</v>
      </c>
      <c r="AB871" t="s">
        <v>1601</v>
      </c>
      <c r="AC871" t="s">
        <v>1610</v>
      </c>
      <c r="AD871" t="s">
        <v>1604</v>
      </c>
      <c r="AE871" t="s">
        <v>1617</v>
      </c>
      <c r="AF871" t="s">
        <v>1627</v>
      </c>
    </row>
    <row r="872" spans="1:32" x14ac:dyDescent="0.25">
      <c r="A872" t="s">
        <v>929</v>
      </c>
      <c r="B872">
        <v>35</v>
      </c>
      <c r="C872">
        <v>1361</v>
      </c>
      <c r="D872">
        <v>17</v>
      </c>
      <c r="E872">
        <v>94</v>
      </c>
      <c r="F872">
        <v>8966</v>
      </c>
      <c r="G872">
        <v>21026</v>
      </c>
      <c r="H872">
        <v>3</v>
      </c>
      <c r="I872">
        <v>15</v>
      </c>
      <c r="J872">
        <v>15</v>
      </c>
      <c r="K872">
        <v>2</v>
      </c>
      <c r="L872">
        <v>7</v>
      </c>
      <c r="M872">
        <v>7</v>
      </c>
      <c r="N872">
        <v>1</v>
      </c>
      <c r="O872">
        <v>7</v>
      </c>
      <c r="P872" t="s">
        <v>1556</v>
      </c>
      <c r="Q872" t="s">
        <v>1552</v>
      </c>
      <c r="R872" t="s">
        <v>1549</v>
      </c>
      <c r="S872" t="s">
        <v>1535</v>
      </c>
      <c r="T872" t="s">
        <v>1538</v>
      </c>
      <c r="U872" t="s">
        <v>1547</v>
      </c>
      <c r="V872" t="s">
        <v>1559</v>
      </c>
      <c r="W872" t="s">
        <v>1563</v>
      </c>
      <c r="X872" t="s">
        <v>1576</v>
      </c>
      <c r="Y872" t="s">
        <v>1581</v>
      </c>
      <c r="Z872" t="s">
        <v>1591</v>
      </c>
      <c r="AA872" t="s">
        <v>1597</v>
      </c>
      <c r="AB872" t="s">
        <v>1600</v>
      </c>
      <c r="AC872" t="s">
        <v>1610</v>
      </c>
      <c r="AD872" t="s">
        <v>1607</v>
      </c>
      <c r="AE872" t="s">
        <v>1619</v>
      </c>
      <c r="AF872" t="s">
        <v>1627</v>
      </c>
    </row>
    <row r="873" spans="1:32" x14ac:dyDescent="0.25">
      <c r="A873" t="s">
        <v>930</v>
      </c>
      <c r="B873">
        <v>24</v>
      </c>
      <c r="C873">
        <v>984</v>
      </c>
      <c r="D873">
        <v>17</v>
      </c>
      <c r="E873">
        <v>97</v>
      </c>
      <c r="F873">
        <v>2210</v>
      </c>
      <c r="G873">
        <v>3372</v>
      </c>
      <c r="H873">
        <v>1</v>
      </c>
      <c r="I873">
        <v>13</v>
      </c>
      <c r="J873">
        <v>1</v>
      </c>
      <c r="K873">
        <v>3</v>
      </c>
      <c r="L873">
        <v>1</v>
      </c>
      <c r="M873">
        <v>0</v>
      </c>
      <c r="N873">
        <v>0</v>
      </c>
      <c r="O873">
        <v>0</v>
      </c>
      <c r="P873" t="s">
        <v>1555</v>
      </c>
      <c r="Q873" t="s">
        <v>1552</v>
      </c>
      <c r="R873" t="s">
        <v>1550</v>
      </c>
      <c r="S873" t="s">
        <v>1533</v>
      </c>
      <c r="T873" t="s">
        <v>1538</v>
      </c>
      <c r="U873" t="s">
        <v>1548</v>
      </c>
      <c r="V873" t="s">
        <v>1558</v>
      </c>
      <c r="W873" t="s">
        <v>1563</v>
      </c>
      <c r="X873" t="s">
        <v>1575</v>
      </c>
      <c r="Y873" t="s">
        <v>1583</v>
      </c>
      <c r="Z873" t="s">
        <v>1592</v>
      </c>
      <c r="AA873" t="s">
        <v>1597</v>
      </c>
      <c r="AB873" t="s">
        <v>1601</v>
      </c>
      <c r="AC873" t="s">
        <v>1610</v>
      </c>
      <c r="AD873" t="s">
        <v>1604</v>
      </c>
      <c r="AE873" t="s">
        <v>1617</v>
      </c>
      <c r="AF873" t="s">
        <v>1625</v>
      </c>
    </row>
    <row r="874" spans="1:32" x14ac:dyDescent="0.25">
      <c r="A874" t="s">
        <v>931</v>
      </c>
      <c r="B874">
        <v>33</v>
      </c>
      <c r="C874">
        <v>1146</v>
      </c>
      <c r="D874">
        <v>25</v>
      </c>
      <c r="E874">
        <v>82</v>
      </c>
      <c r="F874">
        <v>4539</v>
      </c>
      <c r="G874">
        <v>4905</v>
      </c>
      <c r="H874">
        <v>1</v>
      </c>
      <c r="I874">
        <v>12</v>
      </c>
      <c r="J874">
        <v>10</v>
      </c>
      <c r="K874">
        <v>3</v>
      </c>
      <c r="L874">
        <v>10</v>
      </c>
      <c r="M874">
        <v>7</v>
      </c>
      <c r="N874">
        <v>0</v>
      </c>
      <c r="O874">
        <v>1</v>
      </c>
      <c r="P874" t="s">
        <v>1556</v>
      </c>
      <c r="Q874" t="s">
        <v>1553</v>
      </c>
      <c r="R874" t="s">
        <v>1549</v>
      </c>
      <c r="S874" t="s">
        <v>1534</v>
      </c>
      <c r="T874" t="s">
        <v>1540</v>
      </c>
      <c r="U874" t="s">
        <v>1546</v>
      </c>
      <c r="V874" t="s">
        <v>1558</v>
      </c>
      <c r="W874" t="s">
        <v>1563</v>
      </c>
      <c r="X874" t="s">
        <v>1576</v>
      </c>
      <c r="Y874" t="s">
        <v>1581</v>
      </c>
      <c r="Z874" t="s">
        <v>1593</v>
      </c>
      <c r="AA874" t="s">
        <v>1597</v>
      </c>
      <c r="AB874" t="s">
        <v>1601</v>
      </c>
      <c r="AC874" t="s">
        <v>1610</v>
      </c>
      <c r="AD874" t="s">
        <v>1604</v>
      </c>
      <c r="AE874" t="s">
        <v>1617</v>
      </c>
      <c r="AF874" t="s">
        <v>1626</v>
      </c>
    </row>
    <row r="875" spans="1:32" x14ac:dyDescent="0.25">
      <c r="A875" t="s">
        <v>932</v>
      </c>
      <c r="B875">
        <v>36</v>
      </c>
      <c r="C875">
        <v>917</v>
      </c>
      <c r="D875">
        <v>6</v>
      </c>
      <c r="E875">
        <v>60</v>
      </c>
      <c r="F875">
        <v>2741</v>
      </c>
      <c r="G875">
        <v>6865</v>
      </c>
      <c r="H875">
        <v>1</v>
      </c>
      <c r="I875">
        <v>14</v>
      </c>
      <c r="J875">
        <v>7</v>
      </c>
      <c r="K875">
        <v>4</v>
      </c>
      <c r="L875">
        <v>7</v>
      </c>
      <c r="M875">
        <v>7</v>
      </c>
      <c r="N875">
        <v>1</v>
      </c>
      <c r="O875">
        <v>7</v>
      </c>
      <c r="P875" t="s">
        <v>1556</v>
      </c>
      <c r="Q875" t="s">
        <v>1552</v>
      </c>
      <c r="R875" t="s">
        <v>1550</v>
      </c>
      <c r="S875" t="s">
        <v>1535</v>
      </c>
      <c r="T875" t="s">
        <v>1538</v>
      </c>
      <c r="U875" t="s">
        <v>1547</v>
      </c>
      <c r="V875" t="s">
        <v>1559</v>
      </c>
      <c r="W875" t="s">
        <v>1561</v>
      </c>
      <c r="X875" t="s">
        <v>1575</v>
      </c>
      <c r="Y875" t="s">
        <v>1583</v>
      </c>
      <c r="Z875" t="s">
        <v>1593</v>
      </c>
      <c r="AA875" t="s">
        <v>1598</v>
      </c>
      <c r="AB875" t="s">
        <v>1601</v>
      </c>
      <c r="AC875" t="s">
        <v>1610</v>
      </c>
      <c r="AD875" t="s">
        <v>1606</v>
      </c>
      <c r="AE875" t="s">
        <v>1617</v>
      </c>
      <c r="AF875" t="s">
        <v>1627</v>
      </c>
    </row>
    <row r="876" spans="1:32" x14ac:dyDescent="0.25">
      <c r="A876" t="s">
        <v>933</v>
      </c>
      <c r="B876">
        <v>30</v>
      </c>
      <c r="C876">
        <v>853</v>
      </c>
      <c r="D876">
        <v>7</v>
      </c>
      <c r="E876">
        <v>49</v>
      </c>
      <c r="F876">
        <v>3491</v>
      </c>
      <c r="G876">
        <v>11309</v>
      </c>
      <c r="H876">
        <v>1</v>
      </c>
      <c r="I876">
        <v>13</v>
      </c>
      <c r="J876">
        <v>10</v>
      </c>
      <c r="K876">
        <v>4</v>
      </c>
      <c r="L876">
        <v>10</v>
      </c>
      <c r="M876">
        <v>7</v>
      </c>
      <c r="N876">
        <v>8</v>
      </c>
      <c r="O876">
        <v>9</v>
      </c>
      <c r="P876" t="s">
        <v>1556</v>
      </c>
      <c r="Q876" t="s">
        <v>1552</v>
      </c>
      <c r="R876" t="s">
        <v>1550</v>
      </c>
      <c r="S876" t="s">
        <v>1535</v>
      </c>
      <c r="T876" t="s">
        <v>1538</v>
      </c>
      <c r="U876" t="s">
        <v>1547</v>
      </c>
      <c r="V876" t="s">
        <v>1559</v>
      </c>
      <c r="W876" t="s">
        <v>1563</v>
      </c>
      <c r="X876" t="s">
        <v>1576</v>
      </c>
      <c r="Y876" t="s">
        <v>1583</v>
      </c>
      <c r="Z876" t="s">
        <v>1593</v>
      </c>
      <c r="AA876" t="s">
        <v>1598</v>
      </c>
      <c r="AB876" t="s">
        <v>1601</v>
      </c>
      <c r="AC876" t="s">
        <v>1610</v>
      </c>
      <c r="AD876" t="s">
        <v>1604</v>
      </c>
      <c r="AE876" t="s">
        <v>1619</v>
      </c>
      <c r="AF876" t="s">
        <v>1626</v>
      </c>
    </row>
    <row r="877" spans="1:32" x14ac:dyDescent="0.25">
      <c r="A877" t="s">
        <v>934</v>
      </c>
      <c r="B877">
        <v>44</v>
      </c>
      <c r="C877">
        <v>200</v>
      </c>
      <c r="D877">
        <v>29</v>
      </c>
      <c r="E877">
        <v>32</v>
      </c>
      <c r="F877">
        <v>4541</v>
      </c>
      <c r="G877">
        <v>7744</v>
      </c>
      <c r="H877">
        <v>1</v>
      </c>
      <c r="I877">
        <v>25</v>
      </c>
      <c r="J877">
        <v>20</v>
      </c>
      <c r="K877">
        <v>3</v>
      </c>
      <c r="L877">
        <v>20</v>
      </c>
      <c r="M877">
        <v>11</v>
      </c>
      <c r="N877">
        <v>13</v>
      </c>
      <c r="O877">
        <v>17</v>
      </c>
      <c r="P877" t="s">
        <v>1556</v>
      </c>
      <c r="Q877" t="s">
        <v>1552</v>
      </c>
      <c r="R877" t="s">
        <v>1550</v>
      </c>
      <c r="S877" t="s">
        <v>1535</v>
      </c>
      <c r="T877" t="s">
        <v>1539</v>
      </c>
      <c r="U877" t="s">
        <v>1548</v>
      </c>
      <c r="V877" t="s">
        <v>1559</v>
      </c>
      <c r="W877" t="s">
        <v>1563</v>
      </c>
      <c r="X877" t="s">
        <v>1576</v>
      </c>
      <c r="Y877" t="s">
        <v>1582</v>
      </c>
      <c r="Z877" t="s">
        <v>1594</v>
      </c>
      <c r="AA877" t="s">
        <v>1596</v>
      </c>
      <c r="AB877" t="s">
        <v>1601</v>
      </c>
      <c r="AC877" t="s">
        <v>1611</v>
      </c>
      <c r="AD877" t="s">
        <v>1605</v>
      </c>
      <c r="AE877" t="s">
        <v>1616</v>
      </c>
      <c r="AF877" t="s">
        <v>1627</v>
      </c>
    </row>
    <row r="878" spans="1:32" x14ac:dyDescent="0.25">
      <c r="A878" t="s">
        <v>935</v>
      </c>
      <c r="B878">
        <v>20</v>
      </c>
      <c r="C878">
        <v>654</v>
      </c>
      <c r="D878">
        <v>21</v>
      </c>
      <c r="E878">
        <v>43</v>
      </c>
      <c r="F878">
        <v>2678</v>
      </c>
      <c r="G878">
        <v>5050</v>
      </c>
      <c r="H878">
        <v>1</v>
      </c>
      <c r="I878">
        <v>17</v>
      </c>
      <c r="J878">
        <v>2</v>
      </c>
      <c r="K878">
        <v>2</v>
      </c>
      <c r="L878">
        <v>2</v>
      </c>
      <c r="M878">
        <v>1</v>
      </c>
      <c r="N878">
        <v>2</v>
      </c>
      <c r="O878">
        <v>2</v>
      </c>
      <c r="P878" t="s">
        <v>1556</v>
      </c>
      <c r="Q878" t="s">
        <v>1552</v>
      </c>
      <c r="R878" t="s">
        <v>1549</v>
      </c>
      <c r="S878" t="s">
        <v>1534</v>
      </c>
      <c r="T878" t="s">
        <v>1541</v>
      </c>
      <c r="U878" t="s">
        <v>1547</v>
      </c>
      <c r="V878" t="s">
        <v>1559</v>
      </c>
      <c r="W878" t="s">
        <v>1564</v>
      </c>
      <c r="X878" t="s">
        <v>1575</v>
      </c>
      <c r="Y878" t="s">
        <v>1587</v>
      </c>
      <c r="Z878" t="s">
        <v>1594</v>
      </c>
      <c r="AA878" t="s">
        <v>1596</v>
      </c>
      <c r="AB878" t="s">
        <v>1601</v>
      </c>
      <c r="AC878" t="s">
        <v>1610</v>
      </c>
      <c r="AD878" t="s">
        <v>1607</v>
      </c>
      <c r="AE878" t="s">
        <v>1616</v>
      </c>
      <c r="AF878" t="s">
        <v>1627</v>
      </c>
    </row>
    <row r="879" spans="1:32" x14ac:dyDescent="0.25">
      <c r="A879" t="s">
        <v>936</v>
      </c>
      <c r="B879">
        <v>46</v>
      </c>
      <c r="C879">
        <v>150</v>
      </c>
      <c r="D879">
        <v>2</v>
      </c>
      <c r="E879">
        <v>60</v>
      </c>
      <c r="F879">
        <v>7379</v>
      </c>
      <c r="G879">
        <v>17433</v>
      </c>
      <c r="H879">
        <v>2</v>
      </c>
      <c r="I879">
        <v>11</v>
      </c>
      <c r="J879">
        <v>12</v>
      </c>
      <c r="K879">
        <v>3</v>
      </c>
      <c r="L879">
        <v>6</v>
      </c>
      <c r="M879">
        <v>3</v>
      </c>
      <c r="N879">
        <v>1</v>
      </c>
      <c r="O879">
        <v>4</v>
      </c>
      <c r="P879" t="s">
        <v>1556</v>
      </c>
      <c r="Q879" t="s">
        <v>1552</v>
      </c>
      <c r="R879" t="s">
        <v>1550</v>
      </c>
      <c r="S879" t="s">
        <v>1535</v>
      </c>
      <c r="T879" t="s">
        <v>1542</v>
      </c>
      <c r="U879" t="s">
        <v>1548</v>
      </c>
      <c r="V879" t="s">
        <v>1559</v>
      </c>
      <c r="W879" t="s">
        <v>1563</v>
      </c>
      <c r="X879" t="s">
        <v>1576</v>
      </c>
      <c r="Y879" t="s">
        <v>1584</v>
      </c>
      <c r="Z879" t="s">
        <v>1594</v>
      </c>
      <c r="AA879" t="s">
        <v>1598</v>
      </c>
      <c r="AB879" t="s">
        <v>1601</v>
      </c>
      <c r="AC879" t="s">
        <v>1610</v>
      </c>
      <c r="AD879" t="s">
        <v>1606</v>
      </c>
      <c r="AE879" t="s">
        <v>1617</v>
      </c>
      <c r="AF879" t="s">
        <v>1626</v>
      </c>
    </row>
    <row r="880" spans="1:32" x14ac:dyDescent="0.25">
      <c r="A880" t="s">
        <v>937</v>
      </c>
      <c r="B880">
        <v>42</v>
      </c>
      <c r="C880">
        <v>179</v>
      </c>
      <c r="D880">
        <v>2</v>
      </c>
      <c r="E880">
        <v>79</v>
      </c>
      <c r="F880">
        <v>6272</v>
      </c>
      <c r="G880">
        <v>12858</v>
      </c>
      <c r="H880">
        <v>7</v>
      </c>
      <c r="I880">
        <v>16</v>
      </c>
      <c r="J880">
        <v>10</v>
      </c>
      <c r="K880">
        <v>3</v>
      </c>
      <c r="L880">
        <v>4</v>
      </c>
      <c r="M880">
        <v>3</v>
      </c>
      <c r="N880">
        <v>0</v>
      </c>
      <c r="O880">
        <v>3</v>
      </c>
      <c r="P880" t="s">
        <v>1556</v>
      </c>
      <c r="Q880" t="s">
        <v>1554</v>
      </c>
      <c r="R880" t="s">
        <v>1551</v>
      </c>
      <c r="S880" t="s">
        <v>1536</v>
      </c>
      <c r="T880" t="s">
        <v>1540</v>
      </c>
      <c r="U880" t="s">
        <v>1548</v>
      </c>
      <c r="V880" t="s">
        <v>1559</v>
      </c>
      <c r="W880" t="s">
        <v>1564</v>
      </c>
      <c r="X880" t="s">
        <v>1576</v>
      </c>
      <c r="Y880" t="s">
        <v>1589</v>
      </c>
      <c r="Z880" t="s">
        <v>1591</v>
      </c>
      <c r="AA880" t="s">
        <v>1597</v>
      </c>
      <c r="AB880" t="s">
        <v>1601</v>
      </c>
      <c r="AC880" t="s">
        <v>1610</v>
      </c>
      <c r="AD880" t="s">
        <v>1604</v>
      </c>
      <c r="AE880" t="s">
        <v>1617</v>
      </c>
      <c r="AF880" t="s">
        <v>1628</v>
      </c>
    </row>
    <row r="881" spans="1:32" x14ac:dyDescent="0.25">
      <c r="A881" t="s">
        <v>938</v>
      </c>
      <c r="B881">
        <v>60</v>
      </c>
      <c r="C881">
        <v>696</v>
      </c>
      <c r="D881">
        <v>7</v>
      </c>
      <c r="E881">
        <v>52</v>
      </c>
      <c r="F881">
        <v>5220</v>
      </c>
      <c r="G881">
        <v>10893</v>
      </c>
      <c r="H881">
        <v>0</v>
      </c>
      <c r="I881">
        <v>18</v>
      </c>
      <c r="J881">
        <v>12</v>
      </c>
      <c r="K881">
        <v>3</v>
      </c>
      <c r="L881">
        <v>11</v>
      </c>
      <c r="M881">
        <v>7</v>
      </c>
      <c r="N881">
        <v>1</v>
      </c>
      <c r="O881">
        <v>9</v>
      </c>
      <c r="P881" t="s">
        <v>1556</v>
      </c>
      <c r="Q881" t="s">
        <v>1552</v>
      </c>
      <c r="R881" t="s">
        <v>1549</v>
      </c>
      <c r="S881" t="s">
        <v>1535</v>
      </c>
      <c r="T881" t="s">
        <v>1541</v>
      </c>
      <c r="U881" t="s">
        <v>1546</v>
      </c>
      <c r="V881" t="s">
        <v>1559</v>
      </c>
      <c r="W881" t="s">
        <v>1564</v>
      </c>
      <c r="X881" t="s">
        <v>1576</v>
      </c>
      <c r="Y881" t="s">
        <v>1581</v>
      </c>
      <c r="Z881" t="s">
        <v>1594</v>
      </c>
      <c r="AA881" t="s">
        <v>1598</v>
      </c>
      <c r="AB881" t="s">
        <v>1600</v>
      </c>
      <c r="AC881" t="s">
        <v>1610</v>
      </c>
      <c r="AD881" t="s">
        <v>1605</v>
      </c>
      <c r="AE881" t="s">
        <v>1617</v>
      </c>
      <c r="AF881" t="s">
        <v>1627</v>
      </c>
    </row>
    <row r="882" spans="1:32" x14ac:dyDescent="0.25">
      <c r="A882" t="s">
        <v>939</v>
      </c>
      <c r="B882">
        <v>32</v>
      </c>
      <c r="C882">
        <v>116</v>
      </c>
      <c r="D882">
        <v>13</v>
      </c>
      <c r="E882">
        <v>77</v>
      </c>
      <c r="F882">
        <v>2743</v>
      </c>
      <c r="G882">
        <v>7331</v>
      </c>
      <c r="H882">
        <v>1</v>
      </c>
      <c r="I882">
        <v>20</v>
      </c>
      <c r="J882">
        <v>2</v>
      </c>
      <c r="K882">
        <v>2</v>
      </c>
      <c r="L882">
        <v>2</v>
      </c>
      <c r="M882">
        <v>2</v>
      </c>
      <c r="N882">
        <v>2</v>
      </c>
      <c r="O882">
        <v>2</v>
      </c>
      <c r="P882" t="s">
        <v>1556</v>
      </c>
      <c r="Q882" t="s">
        <v>1553</v>
      </c>
      <c r="R882" t="s">
        <v>1550</v>
      </c>
      <c r="S882" t="s">
        <v>1534</v>
      </c>
      <c r="T882" t="s">
        <v>1539</v>
      </c>
      <c r="U882" t="s">
        <v>1547</v>
      </c>
      <c r="V882" t="s">
        <v>1558</v>
      </c>
      <c r="W882" t="s">
        <v>1562</v>
      </c>
      <c r="X882" t="s">
        <v>1575</v>
      </c>
      <c r="Y882" t="s">
        <v>1583</v>
      </c>
      <c r="Z882" t="s">
        <v>1592</v>
      </c>
      <c r="AA882" t="s">
        <v>1597</v>
      </c>
      <c r="AB882" t="s">
        <v>1601</v>
      </c>
      <c r="AC882" t="s">
        <v>1611</v>
      </c>
      <c r="AD882" t="s">
        <v>1606</v>
      </c>
      <c r="AE882" t="s">
        <v>1617</v>
      </c>
      <c r="AF882" t="s">
        <v>1627</v>
      </c>
    </row>
    <row r="883" spans="1:32" x14ac:dyDescent="0.25">
      <c r="A883" t="s">
        <v>940</v>
      </c>
      <c r="B883">
        <v>32</v>
      </c>
      <c r="C883">
        <v>1316</v>
      </c>
      <c r="D883">
        <v>2</v>
      </c>
      <c r="E883">
        <v>38</v>
      </c>
      <c r="F883">
        <v>4998</v>
      </c>
      <c r="G883">
        <v>2338</v>
      </c>
      <c r="H883">
        <v>4</v>
      </c>
      <c r="I883">
        <v>14</v>
      </c>
      <c r="J883">
        <v>10</v>
      </c>
      <c r="K883">
        <v>2</v>
      </c>
      <c r="L883">
        <v>8</v>
      </c>
      <c r="M883">
        <v>7</v>
      </c>
      <c r="N883">
        <v>0</v>
      </c>
      <c r="O883">
        <v>7</v>
      </c>
      <c r="P883" t="s">
        <v>1556</v>
      </c>
      <c r="Q883" t="s">
        <v>1553</v>
      </c>
      <c r="R883" t="s">
        <v>1550</v>
      </c>
      <c r="S883" t="s">
        <v>1533</v>
      </c>
      <c r="T883" t="s">
        <v>1538</v>
      </c>
      <c r="U883" t="s">
        <v>1548</v>
      </c>
      <c r="V883" t="s">
        <v>1558</v>
      </c>
      <c r="W883" t="s">
        <v>1563</v>
      </c>
      <c r="X883" t="s">
        <v>1576</v>
      </c>
      <c r="Y883" t="s">
        <v>1582</v>
      </c>
      <c r="Z883" t="s">
        <v>1593</v>
      </c>
      <c r="AA883" t="s">
        <v>1596</v>
      </c>
      <c r="AB883" t="s">
        <v>1600</v>
      </c>
      <c r="AC883" t="s">
        <v>1610</v>
      </c>
      <c r="AD883" t="s">
        <v>1607</v>
      </c>
      <c r="AE883" t="s">
        <v>1616</v>
      </c>
      <c r="AF883" t="s">
        <v>1627</v>
      </c>
    </row>
    <row r="884" spans="1:32" x14ac:dyDescent="0.25">
      <c r="A884" t="s">
        <v>941</v>
      </c>
      <c r="B884">
        <v>36</v>
      </c>
      <c r="C884">
        <v>363</v>
      </c>
      <c r="D884">
        <v>1</v>
      </c>
      <c r="E884">
        <v>77</v>
      </c>
      <c r="F884">
        <v>10252</v>
      </c>
      <c r="G884">
        <v>4235</v>
      </c>
      <c r="H884">
        <v>2</v>
      </c>
      <c r="I884">
        <v>21</v>
      </c>
      <c r="J884">
        <v>17</v>
      </c>
      <c r="K884">
        <v>2</v>
      </c>
      <c r="L884">
        <v>7</v>
      </c>
      <c r="M884">
        <v>7</v>
      </c>
      <c r="N884">
        <v>7</v>
      </c>
      <c r="O884">
        <v>7</v>
      </c>
      <c r="P884" t="s">
        <v>1556</v>
      </c>
      <c r="Q884" t="s">
        <v>1552</v>
      </c>
      <c r="R884" t="s">
        <v>1550</v>
      </c>
      <c r="S884" t="s">
        <v>1534</v>
      </c>
      <c r="T884" t="s">
        <v>1542</v>
      </c>
      <c r="U884" t="s">
        <v>1547</v>
      </c>
      <c r="V884" t="s">
        <v>1558</v>
      </c>
      <c r="W884" t="s">
        <v>1561</v>
      </c>
      <c r="X884" t="s">
        <v>1577</v>
      </c>
      <c r="Y884" t="s">
        <v>1584</v>
      </c>
      <c r="Z884" t="s">
        <v>1591</v>
      </c>
      <c r="AA884" t="s">
        <v>1598</v>
      </c>
      <c r="AB884" t="s">
        <v>1600</v>
      </c>
      <c r="AC884" t="s">
        <v>1611</v>
      </c>
      <c r="AD884" t="s">
        <v>1606</v>
      </c>
      <c r="AE884" t="s">
        <v>1617</v>
      </c>
      <c r="AF884" t="s">
        <v>1627</v>
      </c>
    </row>
    <row r="885" spans="1:32" x14ac:dyDescent="0.25">
      <c r="A885" t="s">
        <v>942</v>
      </c>
      <c r="B885">
        <v>33</v>
      </c>
      <c r="C885">
        <v>117</v>
      </c>
      <c r="D885">
        <v>9</v>
      </c>
      <c r="E885">
        <v>60</v>
      </c>
      <c r="F885">
        <v>2781</v>
      </c>
      <c r="G885">
        <v>6311</v>
      </c>
      <c r="H885">
        <v>0</v>
      </c>
      <c r="I885">
        <v>13</v>
      </c>
      <c r="J885">
        <v>15</v>
      </c>
      <c r="K885">
        <v>5</v>
      </c>
      <c r="L885">
        <v>14</v>
      </c>
      <c r="M885">
        <v>10</v>
      </c>
      <c r="N885">
        <v>4</v>
      </c>
      <c r="O885">
        <v>10</v>
      </c>
      <c r="P885" t="s">
        <v>1556</v>
      </c>
      <c r="Q885" t="s">
        <v>1552</v>
      </c>
      <c r="R885" t="s">
        <v>1550</v>
      </c>
      <c r="S885" t="s">
        <v>1534</v>
      </c>
      <c r="T885" t="s">
        <v>1540</v>
      </c>
      <c r="U885" t="s">
        <v>1545</v>
      </c>
      <c r="V885" t="s">
        <v>1559</v>
      </c>
      <c r="W885" t="s">
        <v>1563</v>
      </c>
      <c r="X885" t="s">
        <v>1575</v>
      </c>
      <c r="Y885" t="s">
        <v>1582</v>
      </c>
      <c r="Z885" t="s">
        <v>1594</v>
      </c>
      <c r="AA885" t="s">
        <v>1597</v>
      </c>
      <c r="AB885" t="s">
        <v>1601</v>
      </c>
      <c r="AC885" t="s">
        <v>1610</v>
      </c>
      <c r="AD885" t="s">
        <v>1605</v>
      </c>
      <c r="AE885" t="s">
        <v>1617</v>
      </c>
      <c r="AF885" t="s">
        <v>1627</v>
      </c>
    </row>
    <row r="886" spans="1:32" x14ac:dyDescent="0.25">
      <c r="A886" t="s">
        <v>943</v>
      </c>
      <c r="B886">
        <v>40</v>
      </c>
      <c r="C886">
        <v>107</v>
      </c>
      <c r="D886">
        <v>10</v>
      </c>
      <c r="E886">
        <v>84</v>
      </c>
      <c r="F886">
        <v>6852</v>
      </c>
      <c r="G886">
        <v>11591</v>
      </c>
      <c r="H886">
        <v>7</v>
      </c>
      <c r="I886">
        <v>12</v>
      </c>
      <c r="J886">
        <v>7</v>
      </c>
      <c r="K886">
        <v>2</v>
      </c>
      <c r="L886">
        <v>5</v>
      </c>
      <c r="M886">
        <v>1</v>
      </c>
      <c r="N886">
        <v>1</v>
      </c>
      <c r="O886">
        <v>3</v>
      </c>
      <c r="P886" t="s">
        <v>1556</v>
      </c>
      <c r="Q886" t="s">
        <v>1552</v>
      </c>
      <c r="R886" t="s">
        <v>1549</v>
      </c>
      <c r="S886" t="s">
        <v>1534</v>
      </c>
      <c r="T886" t="s">
        <v>1542</v>
      </c>
      <c r="U886" t="s">
        <v>1546</v>
      </c>
      <c r="V886" t="s">
        <v>1558</v>
      </c>
      <c r="W886" t="s">
        <v>1562</v>
      </c>
      <c r="X886" t="s">
        <v>1576</v>
      </c>
      <c r="Y886" t="s">
        <v>1581</v>
      </c>
      <c r="Z886" t="s">
        <v>1592</v>
      </c>
      <c r="AA886" t="s">
        <v>1598</v>
      </c>
      <c r="AB886" t="s">
        <v>1601</v>
      </c>
      <c r="AC886" t="s">
        <v>1610</v>
      </c>
      <c r="AD886" t="s">
        <v>1605</v>
      </c>
      <c r="AE886" t="s">
        <v>1617</v>
      </c>
      <c r="AF886" t="s">
        <v>1628</v>
      </c>
    </row>
    <row r="887" spans="1:32" x14ac:dyDescent="0.25">
      <c r="A887" t="s">
        <v>944</v>
      </c>
      <c r="B887">
        <v>25</v>
      </c>
      <c r="C887">
        <v>1356</v>
      </c>
      <c r="D887">
        <v>10</v>
      </c>
      <c r="E887">
        <v>57</v>
      </c>
      <c r="F887">
        <v>4950</v>
      </c>
      <c r="G887">
        <v>20623</v>
      </c>
      <c r="H887">
        <v>0</v>
      </c>
      <c r="I887">
        <v>14</v>
      </c>
      <c r="J887">
        <v>5</v>
      </c>
      <c r="K887">
        <v>4</v>
      </c>
      <c r="L887">
        <v>4</v>
      </c>
      <c r="M887">
        <v>3</v>
      </c>
      <c r="N887">
        <v>1</v>
      </c>
      <c r="O887">
        <v>1</v>
      </c>
      <c r="P887" t="s">
        <v>1556</v>
      </c>
      <c r="Q887" t="s">
        <v>1552</v>
      </c>
      <c r="R887" t="s">
        <v>1549</v>
      </c>
      <c r="S887" t="s">
        <v>1535</v>
      </c>
      <c r="T887" t="s">
        <v>1538</v>
      </c>
      <c r="U887" t="s">
        <v>1547</v>
      </c>
      <c r="V887" t="s">
        <v>1559</v>
      </c>
      <c r="W887" t="s">
        <v>1563</v>
      </c>
      <c r="X887" t="s">
        <v>1576</v>
      </c>
      <c r="Y887" t="s">
        <v>1581</v>
      </c>
      <c r="Z887" t="s">
        <v>1594</v>
      </c>
      <c r="AA887" t="s">
        <v>1596</v>
      </c>
      <c r="AB887" t="s">
        <v>1601</v>
      </c>
      <c r="AC887" t="s">
        <v>1610</v>
      </c>
      <c r="AD887" t="s">
        <v>1605</v>
      </c>
      <c r="AE887" t="s">
        <v>1616</v>
      </c>
      <c r="AF887" t="s">
        <v>1627</v>
      </c>
    </row>
    <row r="888" spans="1:32" x14ac:dyDescent="0.25">
      <c r="A888" t="s">
        <v>945</v>
      </c>
      <c r="B888">
        <v>30</v>
      </c>
      <c r="C888">
        <v>1465</v>
      </c>
      <c r="D888">
        <v>1</v>
      </c>
      <c r="E888">
        <v>63</v>
      </c>
      <c r="F888">
        <v>3579</v>
      </c>
      <c r="G888">
        <v>9369</v>
      </c>
      <c r="H888">
        <v>0</v>
      </c>
      <c r="I888">
        <v>21</v>
      </c>
      <c r="J888">
        <v>12</v>
      </c>
      <c r="K888">
        <v>2</v>
      </c>
      <c r="L888">
        <v>11</v>
      </c>
      <c r="M888">
        <v>9</v>
      </c>
      <c r="N888">
        <v>5</v>
      </c>
      <c r="O888">
        <v>7</v>
      </c>
      <c r="P888" t="s">
        <v>1556</v>
      </c>
      <c r="Q888" t="s">
        <v>1552</v>
      </c>
      <c r="R888" t="s">
        <v>1550</v>
      </c>
      <c r="S888" t="s">
        <v>1534</v>
      </c>
      <c r="T888" t="s">
        <v>1540</v>
      </c>
      <c r="U888" t="s">
        <v>1548</v>
      </c>
      <c r="V888" t="s">
        <v>1559</v>
      </c>
      <c r="W888" t="s">
        <v>1563</v>
      </c>
      <c r="X888" t="s">
        <v>1575</v>
      </c>
      <c r="Y888" t="s">
        <v>1582</v>
      </c>
      <c r="Z888" t="s">
        <v>1592</v>
      </c>
      <c r="AA888" t="s">
        <v>1597</v>
      </c>
      <c r="AB888" t="s">
        <v>1600</v>
      </c>
      <c r="AC888" t="s">
        <v>1611</v>
      </c>
      <c r="AD888" t="s">
        <v>1604</v>
      </c>
      <c r="AE888" t="s">
        <v>1617</v>
      </c>
      <c r="AF888" t="s">
        <v>1627</v>
      </c>
    </row>
    <row r="889" spans="1:32" x14ac:dyDescent="0.25">
      <c r="A889" t="s">
        <v>946</v>
      </c>
      <c r="B889">
        <v>42</v>
      </c>
      <c r="C889">
        <v>458</v>
      </c>
      <c r="D889">
        <v>26</v>
      </c>
      <c r="E889">
        <v>60</v>
      </c>
      <c r="F889">
        <v>13191</v>
      </c>
      <c r="G889">
        <v>23281</v>
      </c>
      <c r="H889">
        <v>3</v>
      </c>
      <c r="I889">
        <v>17</v>
      </c>
      <c r="J889">
        <v>20</v>
      </c>
      <c r="K889">
        <v>6</v>
      </c>
      <c r="L889">
        <v>1</v>
      </c>
      <c r="M889">
        <v>0</v>
      </c>
      <c r="N889">
        <v>0</v>
      </c>
      <c r="O889">
        <v>0</v>
      </c>
      <c r="P889" t="s">
        <v>1556</v>
      </c>
      <c r="Q889" t="s">
        <v>1553</v>
      </c>
      <c r="R889" t="s">
        <v>1550</v>
      </c>
      <c r="S889" t="s">
        <v>1536</v>
      </c>
      <c r="T889" t="s">
        <v>1540</v>
      </c>
      <c r="U889" t="s">
        <v>1545</v>
      </c>
      <c r="V889" t="s">
        <v>1558</v>
      </c>
      <c r="W889" t="s">
        <v>1563</v>
      </c>
      <c r="X889" t="s">
        <v>1577</v>
      </c>
      <c r="Y889" t="s">
        <v>1588</v>
      </c>
      <c r="Z889" t="s">
        <v>1591</v>
      </c>
      <c r="AA889" t="s">
        <v>1597</v>
      </c>
      <c r="AB889" t="s">
        <v>1600</v>
      </c>
      <c r="AC889" t="s">
        <v>1610</v>
      </c>
      <c r="AD889" t="s">
        <v>1606</v>
      </c>
      <c r="AE889" t="s">
        <v>1616</v>
      </c>
      <c r="AF889" t="s">
        <v>1627</v>
      </c>
    </row>
    <row r="890" spans="1:32" x14ac:dyDescent="0.25">
      <c r="A890" t="s">
        <v>947</v>
      </c>
      <c r="B890">
        <v>35</v>
      </c>
      <c r="C890">
        <v>1212</v>
      </c>
      <c r="D890">
        <v>8</v>
      </c>
      <c r="E890">
        <v>78</v>
      </c>
      <c r="F890">
        <v>10377</v>
      </c>
      <c r="G890">
        <v>13755</v>
      </c>
      <c r="H890">
        <v>4</v>
      </c>
      <c r="I890">
        <v>11</v>
      </c>
      <c r="J890">
        <v>16</v>
      </c>
      <c r="K890">
        <v>6</v>
      </c>
      <c r="L890">
        <v>13</v>
      </c>
      <c r="M890">
        <v>2</v>
      </c>
      <c r="N890">
        <v>4</v>
      </c>
      <c r="O890">
        <v>12</v>
      </c>
      <c r="P890" t="s">
        <v>1556</v>
      </c>
      <c r="Q890" t="s">
        <v>1554</v>
      </c>
      <c r="R890" t="s">
        <v>1549</v>
      </c>
      <c r="S890" t="s">
        <v>1533</v>
      </c>
      <c r="T890" t="s">
        <v>1541</v>
      </c>
      <c r="U890" t="s">
        <v>1547</v>
      </c>
      <c r="V890" t="s">
        <v>1558</v>
      </c>
      <c r="W890" t="s">
        <v>1562</v>
      </c>
      <c r="X890" t="s">
        <v>1577</v>
      </c>
      <c r="Y890" t="s">
        <v>1581</v>
      </c>
      <c r="Z890" t="s">
        <v>1594</v>
      </c>
      <c r="AA890" t="s">
        <v>1597</v>
      </c>
      <c r="AB890" t="s">
        <v>1600</v>
      </c>
      <c r="AC890" t="s">
        <v>1610</v>
      </c>
      <c r="AD890" t="s">
        <v>1605</v>
      </c>
      <c r="AE890" t="s">
        <v>1617</v>
      </c>
      <c r="AF890" t="s">
        <v>1626</v>
      </c>
    </row>
    <row r="891" spans="1:32" x14ac:dyDescent="0.25">
      <c r="A891" t="s">
        <v>948</v>
      </c>
      <c r="B891">
        <v>27</v>
      </c>
      <c r="C891">
        <v>1103</v>
      </c>
      <c r="D891">
        <v>14</v>
      </c>
      <c r="E891">
        <v>42</v>
      </c>
      <c r="F891">
        <v>2235</v>
      </c>
      <c r="G891">
        <v>14377</v>
      </c>
      <c r="H891">
        <v>1</v>
      </c>
      <c r="I891">
        <v>14</v>
      </c>
      <c r="J891">
        <v>9</v>
      </c>
      <c r="K891">
        <v>3</v>
      </c>
      <c r="L891">
        <v>9</v>
      </c>
      <c r="M891">
        <v>7</v>
      </c>
      <c r="N891">
        <v>6</v>
      </c>
      <c r="O891">
        <v>8</v>
      </c>
      <c r="P891" t="s">
        <v>1556</v>
      </c>
      <c r="Q891" t="s">
        <v>1552</v>
      </c>
      <c r="R891" t="s">
        <v>1550</v>
      </c>
      <c r="S891" t="s">
        <v>1534</v>
      </c>
      <c r="T891" t="s">
        <v>1538</v>
      </c>
      <c r="U891" t="s">
        <v>1545</v>
      </c>
      <c r="V891" t="s">
        <v>1559</v>
      </c>
      <c r="W891" t="s">
        <v>1563</v>
      </c>
      <c r="X891" t="s">
        <v>1575</v>
      </c>
      <c r="Y891" t="s">
        <v>1582</v>
      </c>
      <c r="Z891" t="s">
        <v>1591</v>
      </c>
      <c r="AA891" t="s">
        <v>1597</v>
      </c>
      <c r="AB891" t="s">
        <v>1600</v>
      </c>
      <c r="AC891" t="s">
        <v>1610</v>
      </c>
      <c r="AD891" t="s">
        <v>1607</v>
      </c>
      <c r="AE891" t="s">
        <v>1618</v>
      </c>
      <c r="AF891" t="s">
        <v>1626</v>
      </c>
    </row>
    <row r="892" spans="1:32" x14ac:dyDescent="0.25">
      <c r="A892" t="s">
        <v>949</v>
      </c>
      <c r="B892">
        <v>54</v>
      </c>
      <c r="C892">
        <v>966</v>
      </c>
      <c r="D892">
        <v>1</v>
      </c>
      <c r="E892">
        <v>53</v>
      </c>
      <c r="F892">
        <v>10502</v>
      </c>
      <c r="G892">
        <v>9659</v>
      </c>
      <c r="H892">
        <v>7</v>
      </c>
      <c r="I892">
        <v>17</v>
      </c>
      <c r="J892">
        <v>33</v>
      </c>
      <c r="K892">
        <v>2</v>
      </c>
      <c r="L892">
        <v>5</v>
      </c>
      <c r="M892">
        <v>4</v>
      </c>
      <c r="N892">
        <v>1</v>
      </c>
      <c r="O892">
        <v>4</v>
      </c>
      <c r="P892" t="s">
        <v>1556</v>
      </c>
      <c r="Q892" t="s">
        <v>1553</v>
      </c>
      <c r="R892" t="s">
        <v>1550</v>
      </c>
      <c r="S892" t="s">
        <v>1535</v>
      </c>
      <c r="T892" t="s">
        <v>1538</v>
      </c>
      <c r="U892" t="s">
        <v>1548</v>
      </c>
      <c r="V892" t="s">
        <v>1558</v>
      </c>
      <c r="W892" t="s">
        <v>1563</v>
      </c>
      <c r="X892" t="s">
        <v>1577</v>
      </c>
      <c r="Y892" t="s">
        <v>1584</v>
      </c>
      <c r="Z892" t="s">
        <v>1593</v>
      </c>
      <c r="AA892" t="s">
        <v>1598</v>
      </c>
      <c r="AB892" t="s">
        <v>1601</v>
      </c>
      <c r="AC892" t="s">
        <v>1610</v>
      </c>
      <c r="AD892" t="s">
        <v>1604</v>
      </c>
      <c r="AE892" t="s">
        <v>1617</v>
      </c>
      <c r="AF892" t="s">
        <v>1625</v>
      </c>
    </row>
    <row r="893" spans="1:32" x14ac:dyDescent="0.25">
      <c r="A893" t="s">
        <v>950</v>
      </c>
      <c r="B893">
        <v>44</v>
      </c>
      <c r="C893">
        <v>1117</v>
      </c>
      <c r="D893">
        <v>2</v>
      </c>
      <c r="E893">
        <v>72</v>
      </c>
      <c r="F893">
        <v>2011</v>
      </c>
      <c r="G893">
        <v>19982</v>
      </c>
      <c r="H893">
        <v>1</v>
      </c>
      <c r="I893">
        <v>13</v>
      </c>
      <c r="J893">
        <v>10</v>
      </c>
      <c r="K893">
        <v>5</v>
      </c>
      <c r="L893">
        <v>10</v>
      </c>
      <c r="M893">
        <v>5</v>
      </c>
      <c r="N893">
        <v>7</v>
      </c>
      <c r="O893">
        <v>7</v>
      </c>
      <c r="P893" t="s">
        <v>1556</v>
      </c>
      <c r="Q893" t="s">
        <v>1552</v>
      </c>
      <c r="R893" t="s">
        <v>1550</v>
      </c>
      <c r="S893" t="s">
        <v>1532</v>
      </c>
      <c r="T893" t="s">
        <v>1538</v>
      </c>
      <c r="U893" t="s">
        <v>1545</v>
      </c>
      <c r="V893" t="s">
        <v>1558</v>
      </c>
      <c r="W893" t="s">
        <v>1564</v>
      </c>
      <c r="X893" t="s">
        <v>1575</v>
      </c>
      <c r="Y893" t="s">
        <v>1582</v>
      </c>
      <c r="Z893" t="s">
        <v>1594</v>
      </c>
      <c r="AA893" t="s">
        <v>1597</v>
      </c>
      <c r="AB893" t="s">
        <v>1601</v>
      </c>
      <c r="AC893" t="s">
        <v>1610</v>
      </c>
      <c r="AD893" t="s">
        <v>1607</v>
      </c>
      <c r="AE893" t="s">
        <v>1617</v>
      </c>
      <c r="AF893" t="s">
        <v>1627</v>
      </c>
    </row>
    <row r="894" spans="1:32" x14ac:dyDescent="0.25">
      <c r="A894" t="s">
        <v>951</v>
      </c>
      <c r="B894">
        <v>19</v>
      </c>
      <c r="C894">
        <v>504</v>
      </c>
      <c r="D894">
        <v>10</v>
      </c>
      <c r="E894">
        <v>96</v>
      </c>
      <c r="F894">
        <v>1859</v>
      </c>
      <c r="G894">
        <v>6148</v>
      </c>
      <c r="H894">
        <v>1</v>
      </c>
      <c r="I894">
        <v>25</v>
      </c>
      <c r="J894">
        <v>1</v>
      </c>
      <c r="K894">
        <v>2</v>
      </c>
      <c r="L894">
        <v>1</v>
      </c>
      <c r="M894">
        <v>1</v>
      </c>
      <c r="N894">
        <v>0</v>
      </c>
      <c r="O894">
        <v>0</v>
      </c>
      <c r="P894" t="s">
        <v>1555</v>
      </c>
      <c r="Q894" t="s">
        <v>1554</v>
      </c>
      <c r="R894" t="s">
        <v>1550</v>
      </c>
      <c r="S894" t="s">
        <v>1534</v>
      </c>
      <c r="T894" t="s">
        <v>1540</v>
      </c>
      <c r="U894" t="s">
        <v>1545</v>
      </c>
      <c r="V894" t="s">
        <v>1558</v>
      </c>
      <c r="W894" t="s">
        <v>1562</v>
      </c>
      <c r="X894" t="s">
        <v>1575</v>
      </c>
      <c r="Y894" t="s">
        <v>1582</v>
      </c>
      <c r="Z894" t="s">
        <v>1592</v>
      </c>
      <c r="AA894" t="s">
        <v>1596</v>
      </c>
      <c r="AB894" t="s">
        <v>1600</v>
      </c>
      <c r="AC894" t="s">
        <v>1611</v>
      </c>
      <c r="AD894" t="s">
        <v>1605</v>
      </c>
      <c r="AE894" t="s">
        <v>1616</v>
      </c>
      <c r="AF894" t="s">
        <v>1628</v>
      </c>
    </row>
    <row r="895" spans="1:32" x14ac:dyDescent="0.25">
      <c r="A895" t="s">
        <v>952</v>
      </c>
      <c r="B895">
        <v>29</v>
      </c>
      <c r="C895">
        <v>1010</v>
      </c>
      <c r="D895">
        <v>1</v>
      </c>
      <c r="E895">
        <v>97</v>
      </c>
      <c r="F895">
        <v>3760</v>
      </c>
      <c r="G895">
        <v>5598</v>
      </c>
      <c r="H895">
        <v>1</v>
      </c>
      <c r="I895">
        <v>15</v>
      </c>
      <c r="J895">
        <v>3</v>
      </c>
      <c r="K895">
        <v>5</v>
      </c>
      <c r="L895">
        <v>3</v>
      </c>
      <c r="M895">
        <v>2</v>
      </c>
      <c r="N895">
        <v>1</v>
      </c>
      <c r="O895">
        <v>2</v>
      </c>
      <c r="P895" t="s">
        <v>1556</v>
      </c>
      <c r="Q895" t="s">
        <v>1552</v>
      </c>
      <c r="R895" t="s">
        <v>1550</v>
      </c>
      <c r="S895" t="s">
        <v>1534</v>
      </c>
      <c r="T895" t="s">
        <v>1538</v>
      </c>
      <c r="U895" t="s">
        <v>1545</v>
      </c>
      <c r="V895" t="s">
        <v>1558</v>
      </c>
      <c r="W895" t="s">
        <v>1563</v>
      </c>
      <c r="X895" t="s">
        <v>1575</v>
      </c>
      <c r="Y895" t="s">
        <v>1582</v>
      </c>
      <c r="Z895" t="s">
        <v>1594</v>
      </c>
      <c r="AA895" t="s">
        <v>1598</v>
      </c>
      <c r="AB895" t="s">
        <v>1601</v>
      </c>
      <c r="AC895" t="s">
        <v>1610</v>
      </c>
      <c r="AD895" t="s">
        <v>1604</v>
      </c>
      <c r="AE895" t="s">
        <v>1619</v>
      </c>
      <c r="AF895" t="s">
        <v>1627</v>
      </c>
    </row>
    <row r="896" spans="1:32" x14ac:dyDescent="0.25">
      <c r="A896" t="s">
        <v>953</v>
      </c>
      <c r="B896">
        <v>54</v>
      </c>
      <c r="C896">
        <v>685</v>
      </c>
      <c r="D896">
        <v>3</v>
      </c>
      <c r="E896">
        <v>85</v>
      </c>
      <c r="F896">
        <v>17779</v>
      </c>
      <c r="G896">
        <v>23474</v>
      </c>
      <c r="H896">
        <v>3</v>
      </c>
      <c r="I896">
        <v>14</v>
      </c>
      <c r="J896">
        <v>36</v>
      </c>
      <c r="K896">
        <v>2</v>
      </c>
      <c r="L896">
        <v>10</v>
      </c>
      <c r="M896">
        <v>9</v>
      </c>
      <c r="N896">
        <v>0</v>
      </c>
      <c r="O896">
        <v>9</v>
      </c>
      <c r="P896" t="s">
        <v>1556</v>
      </c>
      <c r="Q896" t="s">
        <v>1552</v>
      </c>
      <c r="R896" t="s">
        <v>1550</v>
      </c>
      <c r="S896" t="s">
        <v>1534</v>
      </c>
      <c r="T896" t="s">
        <v>1538</v>
      </c>
      <c r="U896" t="s">
        <v>1548</v>
      </c>
      <c r="V896" t="s">
        <v>1559</v>
      </c>
      <c r="W896" t="s">
        <v>1563</v>
      </c>
      <c r="X896" t="s">
        <v>1578</v>
      </c>
      <c r="Y896" t="s">
        <v>1588</v>
      </c>
      <c r="Z896" t="s">
        <v>1594</v>
      </c>
      <c r="AA896" t="s">
        <v>1597</v>
      </c>
      <c r="AB896" t="s">
        <v>1601</v>
      </c>
      <c r="AC896" t="s">
        <v>1610</v>
      </c>
      <c r="AD896" t="s">
        <v>1604</v>
      </c>
      <c r="AE896" t="s">
        <v>1616</v>
      </c>
      <c r="AF896" t="s">
        <v>1627</v>
      </c>
    </row>
    <row r="897" spans="1:32" x14ac:dyDescent="0.25">
      <c r="A897" t="s">
        <v>954</v>
      </c>
      <c r="B897">
        <v>31</v>
      </c>
      <c r="C897">
        <v>1332</v>
      </c>
      <c r="D897">
        <v>11</v>
      </c>
      <c r="E897">
        <v>80</v>
      </c>
      <c r="F897">
        <v>6833</v>
      </c>
      <c r="G897">
        <v>17089</v>
      </c>
      <c r="H897">
        <v>1</v>
      </c>
      <c r="I897">
        <v>12</v>
      </c>
      <c r="J897">
        <v>6</v>
      </c>
      <c r="K897">
        <v>2</v>
      </c>
      <c r="L897">
        <v>6</v>
      </c>
      <c r="M897">
        <v>5</v>
      </c>
      <c r="N897">
        <v>0</v>
      </c>
      <c r="O897">
        <v>1</v>
      </c>
      <c r="P897" t="s">
        <v>1556</v>
      </c>
      <c r="Q897" t="s">
        <v>1552</v>
      </c>
      <c r="R897" t="s">
        <v>1550</v>
      </c>
      <c r="S897" t="s">
        <v>1533</v>
      </c>
      <c r="T897" t="s">
        <v>1540</v>
      </c>
      <c r="U897" t="s">
        <v>1547</v>
      </c>
      <c r="V897" t="s">
        <v>1559</v>
      </c>
      <c r="W897" t="s">
        <v>1563</v>
      </c>
      <c r="X897" t="s">
        <v>1576</v>
      </c>
      <c r="Y897" t="s">
        <v>1585</v>
      </c>
      <c r="Z897" t="s">
        <v>1591</v>
      </c>
      <c r="AA897" t="s">
        <v>1597</v>
      </c>
      <c r="AB897" t="s">
        <v>1600</v>
      </c>
      <c r="AC897" t="s">
        <v>1610</v>
      </c>
      <c r="AD897" t="s">
        <v>1607</v>
      </c>
      <c r="AE897" t="s">
        <v>1616</v>
      </c>
      <c r="AF897" t="s">
        <v>1626</v>
      </c>
    </row>
    <row r="898" spans="1:32" x14ac:dyDescent="0.25">
      <c r="A898" t="s">
        <v>955</v>
      </c>
      <c r="B898">
        <v>31</v>
      </c>
      <c r="C898">
        <v>1062</v>
      </c>
      <c r="D898">
        <v>24</v>
      </c>
      <c r="E898">
        <v>96</v>
      </c>
      <c r="F898">
        <v>6812</v>
      </c>
      <c r="G898">
        <v>17198</v>
      </c>
      <c r="H898">
        <v>1</v>
      </c>
      <c r="I898">
        <v>19</v>
      </c>
      <c r="J898">
        <v>10</v>
      </c>
      <c r="K898">
        <v>2</v>
      </c>
      <c r="L898">
        <v>10</v>
      </c>
      <c r="M898">
        <v>9</v>
      </c>
      <c r="N898">
        <v>1</v>
      </c>
      <c r="O898">
        <v>8</v>
      </c>
      <c r="P898" t="s">
        <v>1556</v>
      </c>
      <c r="Q898" t="s">
        <v>1552</v>
      </c>
      <c r="R898" t="s">
        <v>1550</v>
      </c>
      <c r="S898" t="s">
        <v>1534</v>
      </c>
      <c r="T898" t="s">
        <v>1540</v>
      </c>
      <c r="U898" t="s">
        <v>1547</v>
      </c>
      <c r="V898" t="s">
        <v>1558</v>
      </c>
      <c r="W898" t="s">
        <v>1562</v>
      </c>
      <c r="X898" t="s">
        <v>1576</v>
      </c>
      <c r="Y898" t="s">
        <v>1585</v>
      </c>
      <c r="Z898" t="s">
        <v>1591</v>
      </c>
      <c r="AA898" t="s">
        <v>1596</v>
      </c>
      <c r="AB898" t="s">
        <v>1601</v>
      </c>
      <c r="AC898" t="s">
        <v>1610</v>
      </c>
      <c r="AD898" t="s">
        <v>1605</v>
      </c>
      <c r="AE898" t="s">
        <v>1616</v>
      </c>
      <c r="AF898" t="s">
        <v>1627</v>
      </c>
    </row>
    <row r="899" spans="1:32" x14ac:dyDescent="0.25">
      <c r="A899" t="s">
        <v>956</v>
      </c>
      <c r="B899">
        <v>59</v>
      </c>
      <c r="C899">
        <v>326</v>
      </c>
      <c r="D899">
        <v>3</v>
      </c>
      <c r="E899">
        <v>48</v>
      </c>
      <c r="F899">
        <v>5171</v>
      </c>
      <c r="G899">
        <v>16490</v>
      </c>
      <c r="H899">
        <v>5</v>
      </c>
      <c r="I899">
        <v>17</v>
      </c>
      <c r="J899">
        <v>13</v>
      </c>
      <c r="K899">
        <v>2</v>
      </c>
      <c r="L899">
        <v>6</v>
      </c>
      <c r="M899">
        <v>1</v>
      </c>
      <c r="N899">
        <v>0</v>
      </c>
      <c r="O899">
        <v>5</v>
      </c>
      <c r="P899" t="s">
        <v>1556</v>
      </c>
      <c r="Q899" t="s">
        <v>1552</v>
      </c>
      <c r="R899" t="s">
        <v>1549</v>
      </c>
      <c r="S899" t="s">
        <v>1534</v>
      </c>
      <c r="T899" t="s">
        <v>1538</v>
      </c>
      <c r="U899" t="s">
        <v>1547</v>
      </c>
      <c r="V899" t="s">
        <v>1558</v>
      </c>
      <c r="W899" t="s">
        <v>1562</v>
      </c>
      <c r="X899" t="s">
        <v>1576</v>
      </c>
      <c r="Y899" t="s">
        <v>1581</v>
      </c>
      <c r="Z899" t="s">
        <v>1594</v>
      </c>
      <c r="AA899" t="s">
        <v>1596</v>
      </c>
      <c r="AB899" t="s">
        <v>1601</v>
      </c>
      <c r="AC899" t="s">
        <v>1610</v>
      </c>
      <c r="AD899" t="s">
        <v>1607</v>
      </c>
      <c r="AE899" t="s">
        <v>1616</v>
      </c>
      <c r="AF899" t="s">
        <v>1627</v>
      </c>
    </row>
    <row r="900" spans="1:32" x14ac:dyDescent="0.25">
      <c r="A900" t="s">
        <v>957</v>
      </c>
      <c r="B900">
        <v>43</v>
      </c>
      <c r="C900">
        <v>920</v>
      </c>
      <c r="D900">
        <v>3</v>
      </c>
      <c r="E900">
        <v>96</v>
      </c>
      <c r="F900">
        <v>19740</v>
      </c>
      <c r="G900">
        <v>18625</v>
      </c>
      <c r="H900">
        <v>3</v>
      </c>
      <c r="I900">
        <v>14</v>
      </c>
      <c r="J900">
        <v>25</v>
      </c>
      <c r="K900">
        <v>2</v>
      </c>
      <c r="L900">
        <v>8</v>
      </c>
      <c r="M900">
        <v>7</v>
      </c>
      <c r="N900">
        <v>0</v>
      </c>
      <c r="O900">
        <v>7</v>
      </c>
      <c r="P900" t="s">
        <v>1556</v>
      </c>
      <c r="Q900" t="s">
        <v>1552</v>
      </c>
      <c r="R900" t="s">
        <v>1550</v>
      </c>
      <c r="S900" t="s">
        <v>1534</v>
      </c>
      <c r="T900" t="s">
        <v>1538</v>
      </c>
      <c r="U900" t="s">
        <v>1547</v>
      </c>
      <c r="V900" t="s">
        <v>1559</v>
      </c>
      <c r="W900" t="s">
        <v>1561</v>
      </c>
      <c r="X900" t="s">
        <v>1579</v>
      </c>
      <c r="Y900" t="s">
        <v>1588</v>
      </c>
      <c r="Z900" t="s">
        <v>1594</v>
      </c>
      <c r="AA900" t="s">
        <v>1597</v>
      </c>
      <c r="AB900" t="s">
        <v>1601</v>
      </c>
      <c r="AC900" t="s">
        <v>1610</v>
      </c>
      <c r="AD900" t="s">
        <v>1605</v>
      </c>
      <c r="AE900" t="s">
        <v>1617</v>
      </c>
      <c r="AF900" t="s">
        <v>1627</v>
      </c>
    </row>
    <row r="901" spans="1:32" x14ac:dyDescent="0.25">
      <c r="A901" t="s">
        <v>958</v>
      </c>
      <c r="B901">
        <v>49</v>
      </c>
      <c r="C901">
        <v>1098</v>
      </c>
      <c r="D901">
        <v>4</v>
      </c>
      <c r="E901">
        <v>85</v>
      </c>
      <c r="F901">
        <v>18711</v>
      </c>
      <c r="G901">
        <v>12124</v>
      </c>
      <c r="H901">
        <v>2</v>
      </c>
      <c r="I901">
        <v>13</v>
      </c>
      <c r="J901">
        <v>23</v>
      </c>
      <c r="K901">
        <v>2</v>
      </c>
      <c r="L901">
        <v>1</v>
      </c>
      <c r="M901">
        <v>0</v>
      </c>
      <c r="N901">
        <v>0</v>
      </c>
      <c r="O901">
        <v>0</v>
      </c>
      <c r="P901" t="s">
        <v>1556</v>
      </c>
      <c r="Q901" t="s">
        <v>1552</v>
      </c>
      <c r="R901" t="s">
        <v>1550</v>
      </c>
      <c r="S901" t="s">
        <v>1533</v>
      </c>
      <c r="T901" t="s">
        <v>1540</v>
      </c>
      <c r="U901" t="s">
        <v>1545</v>
      </c>
      <c r="V901" t="s">
        <v>1559</v>
      </c>
      <c r="W901" t="s">
        <v>1562</v>
      </c>
      <c r="X901" t="s">
        <v>1579</v>
      </c>
      <c r="Y901" t="s">
        <v>1586</v>
      </c>
      <c r="Z901" t="s">
        <v>1593</v>
      </c>
      <c r="AA901" t="s">
        <v>1597</v>
      </c>
      <c r="AB901" t="s">
        <v>1601</v>
      </c>
      <c r="AC901" t="s">
        <v>1610</v>
      </c>
      <c r="AD901" t="s">
        <v>1606</v>
      </c>
      <c r="AE901" t="s">
        <v>1617</v>
      </c>
      <c r="AF901" t="s">
        <v>1628</v>
      </c>
    </row>
    <row r="902" spans="1:32" x14ac:dyDescent="0.25">
      <c r="A902" t="s">
        <v>959</v>
      </c>
      <c r="B902">
        <v>36</v>
      </c>
      <c r="C902">
        <v>469</v>
      </c>
      <c r="D902">
        <v>3</v>
      </c>
      <c r="E902">
        <v>46</v>
      </c>
      <c r="F902">
        <v>3692</v>
      </c>
      <c r="G902">
        <v>9256</v>
      </c>
      <c r="H902">
        <v>1</v>
      </c>
      <c r="I902">
        <v>12</v>
      </c>
      <c r="J902">
        <v>12</v>
      </c>
      <c r="K902">
        <v>2</v>
      </c>
      <c r="L902">
        <v>11</v>
      </c>
      <c r="M902">
        <v>10</v>
      </c>
      <c r="N902">
        <v>0</v>
      </c>
      <c r="O902">
        <v>7</v>
      </c>
      <c r="P902" t="s">
        <v>1556</v>
      </c>
      <c r="Q902" t="s">
        <v>1553</v>
      </c>
      <c r="R902" t="s">
        <v>1550</v>
      </c>
      <c r="S902" t="s">
        <v>1534</v>
      </c>
      <c r="T902" t="s">
        <v>1542</v>
      </c>
      <c r="U902" t="s">
        <v>1547</v>
      </c>
      <c r="V902" t="s">
        <v>1559</v>
      </c>
      <c r="W902" t="s">
        <v>1563</v>
      </c>
      <c r="X902" t="s">
        <v>1575</v>
      </c>
      <c r="Y902" t="s">
        <v>1582</v>
      </c>
      <c r="Z902" t="s">
        <v>1592</v>
      </c>
      <c r="AA902" t="s">
        <v>1597</v>
      </c>
      <c r="AB902" t="s">
        <v>1601</v>
      </c>
      <c r="AC902" t="s">
        <v>1610</v>
      </c>
      <c r="AD902" t="s">
        <v>1606</v>
      </c>
      <c r="AE902" t="s">
        <v>1616</v>
      </c>
      <c r="AF902" t="s">
        <v>1626</v>
      </c>
    </row>
    <row r="903" spans="1:32" x14ac:dyDescent="0.25">
      <c r="A903" t="s">
        <v>960</v>
      </c>
      <c r="B903">
        <v>48</v>
      </c>
      <c r="C903">
        <v>969</v>
      </c>
      <c r="D903">
        <v>2</v>
      </c>
      <c r="E903">
        <v>76</v>
      </c>
      <c r="F903">
        <v>2559</v>
      </c>
      <c r="G903">
        <v>16620</v>
      </c>
      <c r="H903">
        <v>5</v>
      </c>
      <c r="I903">
        <v>11</v>
      </c>
      <c r="J903">
        <v>7</v>
      </c>
      <c r="K903">
        <v>4</v>
      </c>
      <c r="L903">
        <v>1</v>
      </c>
      <c r="M903">
        <v>0</v>
      </c>
      <c r="N903">
        <v>0</v>
      </c>
      <c r="O903">
        <v>0</v>
      </c>
      <c r="P903" t="s">
        <v>1556</v>
      </c>
      <c r="Q903" t="s">
        <v>1552</v>
      </c>
      <c r="R903" t="s">
        <v>1550</v>
      </c>
      <c r="S903" t="s">
        <v>1533</v>
      </c>
      <c r="T903" t="s">
        <v>1542</v>
      </c>
      <c r="U903" t="s">
        <v>1548</v>
      </c>
      <c r="V903" t="s">
        <v>1559</v>
      </c>
      <c r="W903" t="s">
        <v>1564</v>
      </c>
      <c r="X903" t="s">
        <v>1575</v>
      </c>
      <c r="Y903" t="s">
        <v>1583</v>
      </c>
      <c r="Z903" t="s">
        <v>1592</v>
      </c>
      <c r="AA903" t="s">
        <v>1596</v>
      </c>
      <c r="AB903" t="s">
        <v>1601</v>
      </c>
      <c r="AC903" t="s">
        <v>1610</v>
      </c>
      <c r="AD903" t="s">
        <v>1606</v>
      </c>
      <c r="AE903" t="s">
        <v>1616</v>
      </c>
      <c r="AF903" t="s">
        <v>1626</v>
      </c>
    </row>
    <row r="904" spans="1:32" x14ac:dyDescent="0.25">
      <c r="A904" t="s">
        <v>961</v>
      </c>
      <c r="B904">
        <v>27</v>
      </c>
      <c r="C904">
        <v>1167</v>
      </c>
      <c r="D904">
        <v>4</v>
      </c>
      <c r="E904">
        <v>76</v>
      </c>
      <c r="F904">
        <v>2517</v>
      </c>
      <c r="G904">
        <v>3208</v>
      </c>
      <c r="H904">
        <v>1</v>
      </c>
      <c r="I904">
        <v>11</v>
      </c>
      <c r="J904">
        <v>5</v>
      </c>
      <c r="K904">
        <v>2</v>
      </c>
      <c r="L904">
        <v>5</v>
      </c>
      <c r="M904">
        <v>3</v>
      </c>
      <c r="N904">
        <v>0</v>
      </c>
      <c r="O904">
        <v>3</v>
      </c>
      <c r="P904" t="s">
        <v>1556</v>
      </c>
      <c r="Q904" t="s">
        <v>1552</v>
      </c>
      <c r="R904" t="s">
        <v>1550</v>
      </c>
      <c r="S904" t="s">
        <v>1533</v>
      </c>
      <c r="T904" t="s">
        <v>1538</v>
      </c>
      <c r="U904" t="s">
        <v>1545</v>
      </c>
      <c r="V904" t="s">
        <v>1559</v>
      </c>
      <c r="W904" t="s">
        <v>1563</v>
      </c>
      <c r="X904" t="s">
        <v>1575</v>
      </c>
      <c r="Y904" t="s">
        <v>1582</v>
      </c>
      <c r="Z904" t="s">
        <v>1593</v>
      </c>
      <c r="AA904" t="s">
        <v>1598</v>
      </c>
      <c r="AB904" t="s">
        <v>1601</v>
      </c>
      <c r="AC904" t="s">
        <v>1610</v>
      </c>
      <c r="AD904" t="s">
        <v>1605</v>
      </c>
      <c r="AE904" t="s">
        <v>1619</v>
      </c>
      <c r="AF904" t="s">
        <v>1627</v>
      </c>
    </row>
    <row r="905" spans="1:32" x14ac:dyDescent="0.25">
      <c r="A905" t="s">
        <v>962</v>
      </c>
      <c r="B905">
        <v>29</v>
      </c>
      <c r="C905">
        <v>1329</v>
      </c>
      <c r="D905">
        <v>7</v>
      </c>
      <c r="E905">
        <v>82</v>
      </c>
      <c r="F905">
        <v>6623</v>
      </c>
      <c r="G905">
        <v>4204</v>
      </c>
      <c r="H905">
        <v>1</v>
      </c>
      <c r="I905">
        <v>11</v>
      </c>
      <c r="J905">
        <v>6</v>
      </c>
      <c r="K905">
        <v>2</v>
      </c>
      <c r="L905">
        <v>6</v>
      </c>
      <c r="M905">
        <v>0</v>
      </c>
      <c r="N905">
        <v>1</v>
      </c>
      <c r="O905">
        <v>0</v>
      </c>
      <c r="P905" t="s">
        <v>1556</v>
      </c>
      <c r="Q905" t="s">
        <v>1552</v>
      </c>
      <c r="R905" t="s">
        <v>1550</v>
      </c>
      <c r="S905" t="s">
        <v>1534</v>
      </c>
      <c r="T905" t="s">
        <v>1538</v>
      </c>
      <c r="U905" t="s">
        <v>1547</v>
      </c>
      <c r="V905" t="s">
        <v>1559</v>
      </c>
      <c r="W905" t="s">
        <v>1563</v>
      </c>
      <c r="X905" t="s">
        <v>1576</v>
      </c>
      <c r="Y905" t="s">
        <v>1585</v>
      </c>
      <c r="Z905" t="s">
        <v>1594</v>
      </c>
      <c r="AA905" t="s">
        <v>1598</v>
      </c>
      <c r="AB905" t="s">
        <v>1600</v>
      </c>
      <c r="AC905" t="s">
        <v>1610</v>
      </c>
      <c r="AD905" t="s">
        <v>1605</v>
      </c>
      <c r="AE905" t="s">
        <v>1618</v>
      </c>
      <c r="AF905" t="s">
        <v>1627</v>
      </c>
    </row>
    <row r="906" spans="1:32" x14ac:dyDescent="0.25">
      <c r="A906" t="s">
        <v>963</v>
      </c>
      <c r="B906">
        <v>48</v>
      </c>
      <c r="C906">
        <v>715</v>
      </c>
      <c r="D906">
        <v>1</v>
      </c>
      <c r="E906">
        <v>76</v>
      </c>
      <c r="F906">
        <v>18265</v>
      </c>
      <c r="G906">
        <v>8733</v>
      </c>
      <c r="H906">
        <v>6</v>
      </c>
      <c r="I906">
        <v>12</v>
      </c>
      <c r="J906">
        <v>25</v>
      </c>
      <c r="K906">
        <v>3</v>
      </c>
      <c r="L906">
        <v>1</v>
      </c>
      <c r="M906">
        <v>0</v>
      </c>
      <c r="N906">
        <v>0</v>
      </c>
      <c r="O906">
        <v>0</v>
      </c>
      <c r="P906" t="s">
        <v>1556</v>
      </c>
      <c r="Q906" t="s">
        <v>1552</v>
      </c>
      <c r="R906" t="s">
        <v>1550</v>
      </c>
      <c r="S906" t="s">
        <v>1534</v>
      </c>
      <c r="T906" t="s">
        <v>1538</v>
      </c>
      <c r="U906" t="s">
        <v>1548</v>
      </c>
      <c r="V906" t="s">
        <v>1559</v>
      </c>
      <c r="W906" t="s">
        <v>1562</v>
      </c>
      <c r="X906" t="s">
        <v>1579</v>
      </c>
      <c r="Y906" t="s">
        <v>1588</v>
      </c>
      <c r="Z906" t="s">
        <v>1594</v>
      </c>
      <c r="AA906" t="s">
        <v>1596</v>
      </c>
      <c r="AB906" t="s">
        <v>1601</v>
      </c>
      <c r="AC906" t="s">
        <v>1610</v>
      </c>
      <c r="AD906" t="s">
        <v>1606</v>
      </c>
      <c r="AE906" t="s">
        <v>1616</v>
      </c>
      <c r="AF906" t="s">
        <v>1628</v>
      </c>
    </row>
    <row r="907" spans="1:32" x14ac:dyDescent="0.25">
      <c r="A907" t="s">
        <v>964</v>
      </c>
      <c r="B907">
        <v>29</v>
      </c>
      <c r="C907">
        <v>694</v>
      </c>
      <c r="D907">
        <v>1</v>
      </c>
      <c r="E907">
        <v>87</v>
      </c>
      <c r="F907">
        <v>16124</v>
      </c>
      <c r="G907">
        <v>3423</v>
      </c>
      <c r="H907">
        <v>3</v>
      </c>
      <c r="I907">
        <v>14</v>
      </c>
      <c r="J907">
        <v>9</v>
      </c>
      <c r="K907">
        <v>2</v>
      </c>
      <c r="L907">
        <v>7</v>
      </c>
      <c r="M907">
        <v>7</v>
      </c>
      <c r="N907">
        <v>1</v>
      </c>
      <c r="O907">
        <v>7</v>
      </c>
      <c r="P907" t="s">
        <v>1556</v>
      </c>
      <c r="Q907" t="s">
        <v>1552</v>
      </c>
      <c r="R907" t="s">
        <v>1550</v>
      </c>
      <c r="S907" t="s">
        <v>1534</v>
      </c>
      <c r="T907" t="s">
        <v>1538</v>
      </c>
      <c r="U907" t="s">
        <v>1548</v>
      </c>
      <c r="V907" t="s">
        <v>1558</v>
      </c>
      <c r="W907" t="s">
        <v>1562</v>
      </c>
      <c r="X907" t="s">
        <v>1578</v>
      </c>
      <c r="Y907" t="s">
        <v>1588</v>
      </c>
      <c r="Z907" t="s">
        <v>1594</v>
      </c>
      <c r="AA907" t="s">
        <v>1598</v>
      </c>
      <c r="AB907" t="s">
        <v>1601</v>
      </c>
      <c r="AC907" t="s">
        <v>1610</v>
      </c>
      <c r="AD907" t="s">
        <v>1605</v>
      </c>
      <c r="AE907" t="s">
        <v>1618</v>
      </c>
      <c r="AF907" t="s">
        <v>1626</v>
      </c>
    </row>
    <row r="908" spans="1:32" x14ac:dyDescent="0.25">
      <c r="A908" t="s">
        <v>965</v>
      </c>
      <c r="B908">
        <v>34</v>
      </c>
      <c r="C908">
        <v>1320</v>
      </c>
      <c r="D908">
        <v>20</v>
      </c>
      <c r="E908">
        <v>89</v>
      </c>
      <c r="F908">
        <v>2585</v>
      </c>
      <c r="G908">
        <v>21643</v>
      </c>
      <c r="H908">
        <v>0</v>
      </c>
      <c r="I908">
        <v>17</v>
      </c>
      <c r="J908">
        <v>2</v>
      </c>
      <c r="K908">
        <v>5</v>
      </c>
      <c r="L908">
        <v>1</v>
      </c>
      <c r="M908">
        <v>0</v>
      </c>
      <c r="N908">
        <v>0</v>
      </c>
      <c r="O908">
        <v>0</v>
      </c>
      <c r="P908" t="s">
        <v>1556</v>
      </c>
      <c r="Q908" t="s">
        <v>1552</v>
      </c>
      <c r="R908" t="s">
        <v>1550</v>
      </c>
      <c r="S908" t="s">
        <v>1534</v>
      </c>
      <c r="T908" t="s">
        <v>1542</v>
      </c>
      <c r="U908" t="s">
        <v>1547</v>
      </c>
      <c r="V908" t="s">
        <v>1558</v>
      </c>
      <c r="W908" t="s">
        <v>1564</v>
      </c>
      <c r="X908" t="s">
        <v>1575</v>
      </c>
      <c r="Y908" t="s">
        <v>1582</v>
      </c>
      <c r="Z908" t="s">
        <v>1593</v>
      </c>
      <c r="AA908" t="s">
        <v>1597</v>
      </c>
      <c r="AB908" t="s">
        <v>1601</v>
      </c>
      <c r="AC908" t="s">
        <v>1610</v>
      </c>
      <c r="AD908" t="s">
        <v>1607</v>
      </c>
      <c r="AE908" t="s">
        <v>1616</v>
      </c>
      <c r="AF908" t="s">
        <v>1626</v>
      </c>
    </row>
    <row r="909" spans="1:32" x14ac:dyDescent="0.25">
      <c r="A909" t="s">
        <v>966</v>
      </c>
      <c r="B909">
        <v>44</v>
      </c>
      <c r="C909">
        <v>1099</v>
      </c>
      <c r="D909">
        <v>5</v>
      </c>
      <c r="E909">
        <v>88</v>
      </c>
      <c r="F909">
        <v>18213</v>
      </c>
      <c r="G909">
        <v>8751</v>
      </c>
      <c r="H909">
        <v>7</v>
      </c>
      <c r="I909">
        <v>11</v>
      </c>
      <c r="J909">
        <v>26</v>
      </c>
      <c r="K909">
        <v>5</v>
      </c>
      <c r="L909">
        <v>22</v>
      </c>
      <c r="M909">
        <v>9</v>
      </c>
      <c r="N909">
        <v>3</v>
      </c>
      <c r="O909">
        <v>10</v>
      </c>
      <c r="P909" t="s">
        <v>1556</v>
      </c>
      <c r="Q909" t="s">
        <v>1552</v>
      </c>
      <c r="R909" t="s">
        <v>1549</v>
      </c>
      <c r="S909" t="s">
        <v>1534</v>
      </c>
      <c r="T909" t="s">
        <v>1541</v>
      </c>
      <c r="U909" t="s">
        <v>1546</v>
      </c>
      <c r="V909" t="s">
        <v>1559</v>
      </c>
      <c r="W909" t="s">
        <v>1563</v>
      </c>
      <c r="X909" t="s">
        <v>1579</v>
      </c>
      <c r="Y909" t="s">
        <v>1586</v>
      </c>
      <c r="Z909" t="s">
        <v>1592</v>
      </c>
      <c r="AA909" t="s">
        <v>1597</v>
      </c>
      <c r="AB909" t="s">
        <v>1601</v>
      </c>
      <c r="AC909" t="s">
        <v>1610</v>
      </c>
      <c r="AD909" t="s">
        <v>1606</v>
      </c>
      <c r="AE909" t="s">
        <v>1617</v>
      </c>
      <c r="AF909" t="s">
        <v>1627</v>
      </c>
    </row>
    <row r="910" spans="1:32" x14ac:dyDescent="0.25">
      <c r="A910" t="s">
        <v>967</v>
      </c>
      <c r="B910">
        <v>33</v>
      </c>
      <c r="C910">
        <v>536</v>
      </c>
      <c r="D910">
        <v>10</v>
      </c>
      <c r="E910">
        <v>82</v>
      </c>
      <c r="F910">
        <v>8380</v>
      </c>
      <c r="G910">
        <v>21708</v>
      </c>
      <c r="H910">
        <v>0</v>
      </c>
      <c r="I910">
        <v>14</v>
      </c>
      <c r="J910">
        <v>10</v>
      </c>
      <c r="K910">
        <v>3</v>
      </c>
      <c r="L910">
        <v>9</v>
      </c>
      <c r="M910">
        <v>8</v>
      </c>
      <c r="N910">
        <v>0</v>
      </c>
      <c r="O910">
        <v>8</v>
      </c>
      <c r="P910" t="s">
        <v>1556</v>
      </c>
      <c r="Q910" t="s">
        <v>1552</v>
      </c>
      <c r="R910" t="s">
        <v>1549</v>
      </c>
      <c r="S910" t="s">
        <v>1536</v>
      </c>
      <c r="T910" t="s">
        <v>1541</v>
      </c>
      <c r="U910" t="s">
        <v>1548</v>
      </c>
      <c r="V910" t="s">
        <v>1559</v>
      </c>
      <c r="W910" t="s">
        <v>1564</v>
      </c>
      <c r="X910" t="s">
        <v>1577</v>
      </c>
      <c r="Y910" t="s">
        <v>1581</v>
      </c>
      <c r="Z910" t="s">
        <v>1593</v>
      </c>
      <c r="AA910" t="s">
        <v>1598</v>
      </c>
      <c r="AB910" t="s">
        <v>1600</v>
      </c>
      <c r="AC910" t="s">
        <v>1610</v>
      </c>
      <c r="AD910" t="s">
        <v>1607</v>
      </c>
      <c r="AE910" t="s">
        <v>1618</v>
      </c>
      <c r="AF910" t="s">
        <v>1627</v>
      </c>
    </row>
    <row r="911" spans="1:32" x14ac:dyDescent="0.25">
      <c r="A911" t="s">
        <v>968</v>
      </c>
      <c r="B911">
        <v>19</v>
      </c>
      <c r="C911">
        <v>265</v>
      </c>
      <c r="D911">
        <v>25</v>
      </c>
      <c r="E911">
        <v>57</v>
      </c>
      <c r="F911">
        <v>2994</v>
      </c>
      <c r="G911">
        <v>21221</v>
      </c>
      <c r="H911">
        <v>1</v>
      </c>
      <c r="I911">
        <v>12</v>
      </c>
      <c r="J911">
        <v>1</v>
      </c>
      <c r="K911">
        <v>2</v>
      </c>
      <c r="L911">
        <v>1</v>
      </c>
      <c r="M911">
        <v>0</v>
      </c>
      <c r="N911">
        <v>0</v>
      </c>
      <c r="O911">
        <v>1</v>
      </c>
      <c r="P911" t="s">
        <v>1556</v>
      </c>
      <c r="Q911" t="s">
        <v>1552</v>
      </c>
      <c r="R911" t="s">
        <v>1550</v>
      </c>
      <c r="S911" t="s">
        <v>1534</v>
      </c>
      <c r="T911" t="s">
        <v>1538</v>
      </c>
      <c r="U911" t="s">
        <v>1546</v>
      </c>
      <c r="V911" t="s">
        <v>1558</v>
      </c>
      <c r="W911" t="s">
        <v>1564</v>
      </c>
      <c r="X911" t="s">
        <v>1575</v>
      </c>
      <c r="Y911" t="s">
        <v>1582</v>
      </c>
      <c r="Z911" t="s">
        <v>1594</v>
      </c>
      <c r="AA911" t="s">
        <v>1596</v>
      </c>
      <c r="AB911" t="s">
        <v>1600</v>
      </c>
      <c r="AC911" t="s">
        <v>1610</v>
      </c>
      <c r="AD911" t="s">
        <v>1607</v>
      </c>
      <c r="AE911" t="s">
        <v>1616</v>
      </c>
      <c r="AF911" t="s">
        <v>1627</v>
      </c>
    </row>
    <row r="912" spans="1:32" x14ac:dyDescent="0.25">
      <c r="A912" t="s">
        <v>969</v>
      </c>
      <c r="B912">
        <v>23</v>
      </c>
      <c r="C912">
        <v>373</v>
      </c>
      <c r="D912">
        <v>1</v>
      </c>
      <c r="E912">
        <v>47</v>
      </c>
      <c r="F912">
        <v>1223</v>
      </c>
      <c r="G912">
        <v>16901</v>
      </c>
      <c r="H912">
        <v>1</v>
      </c>
      <c r="I912">
        <v>22</v>
      </c>
      <c r="J912">
        <v>1</v>
      </c>
      <c r="K912">
        <v>2</v>
      </c>
      <c r="L912">
        <v>1</v>
      </c>
      <c r="M912">
        <v>0</v>
      </c>
      <c r="N912">
        <v>0</v>
      </c>
      <c r="O912">
        <v>1</v>
      </c>
      <c r="P912" t="s">
        <v>1556</v>
      </c>
      <c r="Q912" t="s">
        <v>1552</v>
      </c>
      <c r="R912" t="s">
        <v>1550</v>
      </c>
      <c r="S912" t="s">
        <v>1533</v>
      </c>
      <c r="T912" t="s">
        <v>1538</v>
      </c>
      <c r="U912" t="s">
        <v>1548</v>
      </c>
      <c r="V912" t="s">
        <v>1559</v>
      </c>
      <c r="W912" t="s">
        <v>1563</v>
      </c>
      <c r="X912" t="s">
        <v>1575</v>
      </c>
      <c r="Y912" t="s">
        <v>1582</v>
      </c>
      <c r="Z912" t="s">
        <v>1593</v>
      </c>
      <c r="AA912" t="s">
        <v>1597</v>
      </c>
      <c r="AB912" t="s">
        <v>1601</v>
      </c>
      <c r="AC912" t="s">
        <v>1611</v>
      </c>
      <c r="AD912" t="s">
        <v>1607</v>
      </c>
      <c r="AE912" t="s">
        <v>1617</v>
      </c>
      <c r="AF912" t="s">
        <v>1627</v>
      </c>
    </row>
    <row r="913" spans="1:32" x14ac:dyDescent="0.25">
      <c r="A913" t="s">
        <v>970</v>
      </c>
      <c r="B913">
        <v>25</v>
      </c>
      <c r="C913">
        <v>599</v>
      </c>
      <c r="D913">
        <v>24</v>
      </c>
      <c r="E913">
        <v>73</v>
      </c>
      <c r="F913">
        <v>1118</v>
      </c>
      <c r="G913">
        <v>8040</v>
      </c>
      <c r="H913">
        <v>1</v>
      </c>
      <c r="I913">
        <v>14</v>
      </c>
      <c r="J913">
        <v>1</v>
      </c>
      <c r="K913">
        <v>4</v>
      </c>
      <c r="L913">
        <v>1</v>
      </c>
      <c r="M913">
        <v>0</v>
      </c>
      <c r="N913">
        <v>1</v>
      </c>
      <c r="O913">
        <v>0</v>
      </c>
      <c r="P913" t="s">
        <v>1555</v>
      </c>
      <c r="Q913" t="s">
        <v>1553</v>
      </c>
      <c r="R913" t="s">
        <v>1549</v>
      </c>
      <c r="S913" t="s">
        <v>1532</v>
      </c>
      <c r="T913" t="s">
        <v>1538</v>
      </c>
      <c r="U913" t="s">
        <v>1547</v>
      </c>
      <c r="V913" t="s">
        <v>1559</v>
      </c>
      <c r="W913" t="s">
        <v>1561</v>
      </c>
      <c r="X913" t="s">
        <v>1575</v>
      </c>
      <c r="Y913" t="s">
        <v>1587</v>
      </c>
      <c r="Z913" t="s">
        <v>1594</v>
      </c>
      <c r="AA913" t="s">
        <v>1596</v>
      </c>
      <c r="AB913" t="s">
        <v>1600</v>
      </c>
      <c r="AC913" t="s">
        <v>1610</v>
      </c>
      <c r="AD913" t="s">
        <v>1607</v>
      </c>
      <c r="AE913" t="s">
        <v>1616</v>
      </c>
      <c r="AF913" t="s">
        <v>1627</v>
      </c>
    </row>
    <row r="914" spans="1:32" x14ac:dyDescent="0.25">
      <c r="A914" t="s">
        <v>971</v>
      </c>
      <c r="B914">
        <v>26</v>
      </c>
      <c r="C914">
        <v>583</v>
      </c>
      <c r="D914">
        <v>4</v>
      </c>
      <c r="E914">
        <v>53</v>
      </c>
      <c r="F914">
        <v>2875</v>
      </c>
      <c r="G914">
        <v>9973</v>
      </c>
      <c r="H914">
        <v>1</v>
      </c>
      <c r="I914">
        <v>20</v>
      </c>
      <c r="J914">
        <v>8</v>
      </c>
      <c r="K914">
        <v>2</v>
      </c>
      <c r="L914">
        <v>8</v>
      </c>
      <c r="M914">
        <v>5</v>
      </c>
      <c r="N914">
        <v>2</v>
      </c>
      <c r="O914">
        <v>2</v>
      </c>
      <c r="P914" t="s">
        <v>1556</v>
      </c>
      <c r="Q914" t="s">
        <v>1552</v>
      </c>
      <c r="R914" t="s">
        <v>1550</v>
      </c>
      <c r="S914" t="s">
        <v>1533</v>
      </c>
      <c r="T914" t="s">
        <v>1538</v>
      </c>
      <c r="U914" t="s">
        <v>1547</v>
      </c>
      <c r="V914" t="s">
        <v>1559</v>
      </c>
      <c r="W914" t="s">
        <v>1563</v>
      </c>
      <c r="X914" t="s">
        <v>1575</v>
      </c>
      <c r="Y914" t="s">
        <v>1582</v>
      </c>
      <c r="Z914" t="s">
        <v>1594</v>
      </c>
      <c r="AA914" t="s">
        <v>1596</v>
      </c>
      <c r="AB914" t="s">
        <v>1600</v>
      </c>
      <c r="AC914" t="s">
        <v>1611</v>
      </c>
      <c r="AD914" t="s">
        <v>1605</v>
      </c>
      <c r="AE914" t="s">
        <v>1616</v>
      </c>
      <c r="AF914" t="s">
        <v>1626</v>
      </c>
    </row>
    <row r="915" spans="1:32" x14ac:dyDescent="0.25">
      <c r="A915" t="s">
        <v>972</v>
      </c>
      <c r="B915">
        <v>45</v>
      </c>
      <c r="C915">
        <v>1449</v>
      </c>
      <c r="D915">
        <v>2</v>
      </c>
      <c r="E915">
        <v>94</v>
      </c>
      <c r="F915">
        <v>18824</v>
      </c>
      <c r="G915">
        <v>2493</v>
      </c>
      <c r="H915">
        <v>2</v>
      </c>
      <c r="I915">
        <v>16</v>
      </c>
      <c r="J915">
        <v>26</v>
      </c>
      <c r="K915">
        <v>2</v>
      </c>
      <c r="L915">
        <v>24</v>
      </c>
      <c r="M915">
        <v>10</v>
      </c>
      <c r="N915">
        <v>1</v>
      </c>
      <c r="O915">
        <v>11</v>
      </c>
      <c r="P915" t="s">
        <v>1555</v>
      </c>
      <c r="Q915" t="s">
        <v>1552</v>
      </c>
      <c r="R915" t="s">
        <v>1549</v>
      </c>
      <c r="S915" t="s">
        <v>1534</v>
      </c>
      <c r="T915" t="s">
        <v>1541</v>
      </c>
      <c r="U915" t="s">
        <v>1545</v>
      </c>
      <c r="V915" t="s">
        <v>1558</v>
      </c>
      <c r="W915" t="s">
        <v>1561</v>
      </c>
      <c r="X915" t="s">
        <v>1579</v>
      </c>
      <c r="Y915" t="s">
        <v>1586</v>
      </c>
      <c r="Z915" t="s">
        <v>1592</v>
      </c>
      <c r="AA915" t="s">
        <v>1596</v>
      </c>
      <c r="AB915" t="s">
        <v>1600</v>
      </c>
      <c r="AC915" t="s">
        <v>1610</v>
      </c>
      <c r="AD915" t="s">
        <v>1604</v>
      </c>
      <c r="AE915" t="s">
        <v>1616</v>
      </c>
      <c r="AF915" t="s">
        <v>1627</v>
      </c>
    </row>
    <row r="916" spans="1:32" x14ac:dyDescent="0.25">
      <c r="A916" t="s">
        <v>973</v>
      </c>
      <c r="B916">
        <v>55</v>
      </c>
      <c r="C916">
        <v>177</v>
      </c>
      <c r="D916">
        <v>8</v>
      </c>
      <c r="E916">
        <v>37</v>
      </c>
      <c r="F916">
        <v>13577</v>
      </c>
      <c r="G916">
        <v>25592</v>
      </c>
      <c r="H916">
        <v>1</v>
      </c>
      <c r="I916">
        <v>15</v>
      </c>
      <c r="J916">
        <v>34</v>
      </c>
      <c r="K916">
        <v>3</v>
      </c>
      <c r="L916">
        <v>33</v>
      </c>
      <c r="M916">
        <v>9</v>
      </c>
      <c r="N916">
        <v>15</v>
      </c>
      <c r="O916">
        <v>0</v>
      </c>
      <c r="P916" t="s">
        <v>1556</v>
      </c>
      <c r="Q916" t="s">
        <v>1554</v>
      </c>
      <c r="R916" t="s">
        <v>1550</v>
      </c>
      <c r="S916" t="s">
        <v>1532</v>
      </c>
      <c r="T916" t="s">
        <v>1540</v>
      </c>
      <c r="U916" t="s">
        <v>1548</v>
      </c>
      <c r="V916" t="s">
        <v>1559</v>
      </c>
      <c r="W916" t="s">
        <v>1562</v>
      </c>
      <c r="X916" t="s">
        <v>1578</v>
      </c>
      <c r="Y916" t="s">
        <v>1585</v>
      </c>
      <c r="Z916" t="s">
        <v>1592</v>
      </c>
      <c r="AA916" t="s">
        <v>1598</v>
      </c>
      <c r="AB916" t="s">
        <v>1600</v>
      </c>
      <c r="AC916" t="s">
        <v>1610</v>
      </c>
      <c r="AD916" t="s">
        <v>1607</v>
      </c>
      <c r="AE916" t="s">
        <v>1617</v>
      </c>
      <c r="AF916" t="s">
        <v>1627</v>
      </c>
    </row>
    <row r="917" spans="1:32" x14ac:dyDescent="0.25">
      <c r="A917" t="s">
        <v>974</v>
      </c>
      <c r="B917">
        <v>21</v>
      </c>
      <c r="C917">
        <v>251</v>
      </c>
      <c r="D917">
        <v>10</v>
      </c>
      <c r="E917">
        <v>45</v>
      </c>
      <c r="F917">
        <v>2625</v>
      </c>
      <c r="G917">
        <v>25308</v>
      </c>
      <c r="H917">
        <v>1</v>
      </c>
      <c r="I917">
        <v>20</v>
      </c>
      <c r="J917">
        <v>2</v>
      </c>
      <c r="K917">
        <v>2</v>
      </c>
      <c r="L917">
        <v>2</v>
      </c>
      <c r="M917">
        <v>2</v>
      </c>
      <c r="N917">
        <v>2</v>
      </c>
      <c r="O917">
        <v>2</v>
      </c>
      <c r="P917" t="s">
        <v>1555</v>
      </c>
      <c r="Q917" t="s">
        <v>1553</v>
      </c>
      <c r="R917" t="s">
        <v>1550</v>
      </c>
      <c r="S917" t="s">
        <v>1533</v>
      </c>
      <c r="T917" t="s">
        <v>1538</v>
      </c>
      <c r="U917" t="s">
        <v>1545</v>
      </c>
      <c r="V917" t="s">
        <v>1558</v>
      </c>
      <c r="W917" t="s">
        <v>1562</v>
      </c>
      <c r="X917" t="s">
        <v>1575</v>
      </c>
      <c r="Y917" t="s">
        <v>1583</v>
      </c>
      <c r="Z917" t="s">
        <v>1593</v>
      </c>
      <c r="AA917" t="s">
        <v>1596</v>
      </c>
      <c r="AB917" t="s">
        <v>1601</v>
      </c>
      <c r="AC917" t="s">
        <v>1611</v>
      </c>
      <c r="AD917" t="s">
        <v>1606</v>
      </c>
      <c r="AE917" t="s">
        <v>1616</v>
      </c>
      <c r="AF917" t="s">
        <v>1625</v>
      </c>
    </row>
    <row r="918" spans="1:32" x14ac:dyDescent="0.25">
      <c r="A918" t="s">
        <v>975</v>
      </c>
      <c r="B918">
        <v>46</v>
      </c>
      <c r="C918">
        <v>168</v>
      </c>
      <c r="D918">
        <v>4</v>
      </c>
      <c r="E918">
        <v>33</v>
      </c>
      <c r="F918">
        <v>18789</v>
      </c>
      <c r="G918">
        <v>9946</v>
      </c>
      <c r="H918">
        <v>2</v>
      </c>
      <c r="I918">
        <v>14</v>
      </c>
      <c r="J918">
        <v>26</v>
      </c>
      <c r="K918">
        <v>2</v>
      </c>
      <c r="L918">
        <v>11</v>
      </c>
      <c r="M918">
        <v>4</v>
      </c>
      <c r="N918">
        <v>0</v>
      </c>
      <c r="O918">
        <v>8</v>
      </c>
      <c r="P918" t="s">
        <v>1556</v>
      </c>
      <c r="Q918" t="s">
        <v>1552</v>
      </c>
      <c r="R918" t="s">
        <v>1549</v>
      </c>
      <c r="S918" t="s">
        <v>1533</v>
      </c>
      <c r="T918" t="s">
        <v>1541</v>
      </c>
      <c r="U918" t="s">
        <v>1548</v>
      </c>
      <c r="V918" t="s">
        <v>1558</v>
      </c>
      <c r="W918" t="s">
        <v>1562</v>
      </c>
      <c r="X918" t="s">
        <v>1579</v>
      </c>
      <c r="Y918" t="s">
        <v>1586</v>
      </c>
      <c r="Z918" t="s">
        <v>1592</v>
      </c>
      <c r="AA918" t="s">
        <v>1597</v>
      </c>
      <c r="AB918" t="s">
        <v>1601</v>
      </c>
      <c r="AC918" t="s">
        <v>1610</v>
      </c>
      <c r="AD918" t="s">
        <v>1606</v>
      </c>
      <c r="AE918" t="s">
        <v>1617</v>
      </c>
      <c r="AF918" t="s">
        <v>1627</v>
      </c>
    </row>
    <row r="919" spans="1:32" x14ac:dyDescent="0.25">
      <c r="A919" t="s">
        <v>976</v>
      </c>
      <c r="B919">
        <v>34</v>
      </c>
      <c r="C919">
        <v>131</v>
      </c>
      <c r="D919">
        <v>2</v>
      </c>
      <c r="E919">
        <v>86</v>
      </c>
      <c r="F919">
        <v>4538</v>
      </c>
      <c r="G919">
        <v>6039</v>
      </c>
      <c r="H919">
        <v>0</v>
      </c>
      <c r="I919">
        <v>12</v>
      </c>
      <c r="J919">
        <v>4</v>
      </c>
      <c r="K919">
        <v>3</v>
      </c>
      <c r="L919">
        <v>3</v>
      </c>
      <c r="M919">
        <v>2</v>
      </c>
      <c r="N919">
        <v>0</v>
      </c>
      <c r="O919">
        <v>2</v>
      </c>
      <c r="P919" t="s">
        <v>1556</v>
      </c>
      <c r="Q919" t="s">
        <v>1552</v>
      </c>
      <c r="R919" t="s">
        <v>1549</v>
      </c>
      <c r="S919" t="s">
        <v>1534</v>
      </c>
      <c r="T919" t="s">
        <v>1541</v>
      </c>
      <c r="U919" t="s">
        <v>1547</v>
      </c>
      <c r="V919" t="s">
        <v>1558</v>
      </c>
      <c r="W919" t="s">
        <v>1563</v>
      </c>
      <c r="X919" t="s">
        <v>1576</v>
      </c>
      <c r="Y919" t="s">
        <v>1581</v>
      </c>
      <c r="Z919" t="s">
        <v>1591</v>
      </c>
      <c r="AA919" t="s">
        <v>1596</v>
      </c>
      <c r="AB919" t="s">
        <v>1600</v>
      </c>
      <c r="AC919" t="s">
        <v>1610</v>
      </c>
      <c r="AD919" t="s">
        <v>1607</v>
      </c>
      <c r="AE919" t="s">
        <v>1616</v>
      </c>
      <c r="AF919" t="s">
        <v>1627</v>
      </c>
    </row>
    <row r="920" spans="1:32" x14ac:dyDescent="0.25">
      <c r="A920" t="s">
        <v>977</v>
      </c>
      <c r="B920">
        <v>51</v>
      </c>
      <c r="C920">
        <v>237</v>
      </c>
      <c r="D920">
        <v>9</v>
      </c>
      <c r="E920">
        <v>83</v>
      </c>
      <c r="F920">
        <v>19847</v>
      </c>
      <c r="G920">
        <v>19196</v>
      </c>
      <c r="H920">
        <v>4</v>
      </c>
      <c r="I920">
        <v>24</v>
      </c>
      <c r="J920">
        <v>31</v>
      </c>
      <c r="K920">
        <v>5</v>
      </c>
      <c r="L920">
        <v>29</v>
      </c>
      <c r="M920">
        <v>10</v>
      </c>
      <c r="N920">
        <v>11</v>
      </c>
      <c r="O920">
        <v>10</v>
      </c>
      <c r="P920" t="s">
        <v>1556</v>
      </c>
      <c r="Q920" t="s">
        <v>1553</v>
      </c>
      <c r="R920" t="s">
        <v>1549</v>
      </c>
      <c r="S920" t="s">
        <v>1534</v>
      </c>
      <c r="T920" t="s">
        <v>1538</v>
      </c>
      <c r="U920" t="s">
        <v>1548</v>
      </c>
      <c r="V920" t="s">
        <v>1559</v>
      </c>
      <c r="W920" t="s">
        <v>1563</v>
      </c>
      <c r="X920" t="s">
        <v>1579</v>
      </c>
      <c r="Y920" t="s">
        <v>1586</v>
      </c>
      <c r="Z920" t="s">
        <v>1592</v>
      </c>
      <c r="AA920" t="s">
        <v>1598</v>
      </c>
      <c r="AB920" t="s">
        <v>1600</v>
      </c>
      <c r="AC920" t="s">
        <v>1611</v>
      </c>
      <c r="AD920" t="s">
        <v>1604</v>
      </c>
      <c r="AE920" t="s">
        <v>1617</v>
      </c>
      <c r="AF920" t="s">
        <v>1626</v>
      </c>
    </row>
    <row r="921" spans="1:32" x14ac:dyDescent="0.25">
      <c r="A921" t="s">
        <v>978</v>
      </c>
      <c r="B921">
        <v>59</v>
      </c>
      <c r="C921">
        <v>1429</v>
      </c>
      <c r="D921">
        <v>18</v>
      </c>
      <c r="E921">
        <v>67</v>
      </c>
      <c r="F921">
        <v>10512</v>
      </c>
      <c r="G921">
        <v>20002</v>
      </c>
      <c r="H921">
        <v>6</v>
      </c>
      <c r="I921">
        <v>12</v>
      </c>
      <c r="J921">
        <v>25</v>
      </c>
      <c r="K921">
        <v>6</v>
      </c>
      <c r="L921">
        <v>9</v>
      </c>
      <c r="M921">
        <v>7</v>
      </c>
      <c r="N921">
        <v>5</v>
      </c>
      <c r="O921">
        <v>4</v>
      </c>
      <c r="P921" t="s">
        <v>1556</v>
      </c>
      <c r="Q921" t="s">
        <v>1552</v>
      </c>
      <c r="R921" t="s">
        <v>1550</v>
      </c>
      <c r="S921" t="s">
        <v>1535</v>
      </c>
      <c r="T921" t="s">
        <v>1540</v>
      </c>
      <c r="U921" t="s">
        <v>1548</v>
      </c>
      <c r="V921" t="s">
        <v>1559</v>
      </c>
      <c r="W921" t="s">
        <v>1563</v>
      </c>
      <c r="X921" t="s">
        <v>1577</v>
      </c>
      <c r="Y921" t="s">
        <v>1584</v>
      </c>
      <c r="Z921" t="s">
        <v>1594</v>
      </c>
      <c r="AA921" t="s">
        <v>1596</v>
      </c>
      <c r="AB921" t="s">
        <v>1601</v>
      </c>
      <c r="AC921" t="s">
        <v>1610</v>
      </c>
      <c r="AD921" t="s">
        <v>1607</v>
      </c>
      <c r="AE921" t="s">
        <v>1616</v>
      </c>
      <c r="AF921" t="s">
        <v>1626</v>
      </c>
    </row>
    <row r="922" spans="1:32" x14ac:dyDescent="0.25">
      <c r="A922" t="s">
        <v>979</v>
      </c>
      <c r="B922">
        <v>34</v>
      </c>
      <c r="C922">
        <v>135</v>
      </c>
      <c r="D922">
        <v>19</v>
      </c>
      <c r="E922">
        <v>46</v>
      </c>
      <c r="F922">
        <v>4444</v>
      </c>
      <c r="G922">
        <v>22534</v>
      </c>
      <c r="H922">
        <v>4</v>
      </c>
      <c r="I922">
        <v>13</v>
      </c>
      <c r="J922">
        <v>15</v>
      </c>
      <c r="K922">
        <v>2</v>
      </c>
      <c r="L922">
        <v>11</v>
      </c>
      <c r="M922">
        <v>8</v>
      </c>
      <c r="N922">
        <v>5</v>
      </c>
      <c r="O922">
        <v>10</v>
      </c>
      <c r="P922" t="s">
        <v>1556</v>
      </c>
      <c r="Q922" t="s">
        <v>1553</v>
      </c>
      <c r="R922" t="s">
        <v>1550</v>
      </c>
      <c r="S922" t="s">
        <v>1534</v>
      </c>
      <c r="T922" t="s">
        <v>1540</v>
      </c>
      <c r="U922" t="s">
        <v>1547</v>
      </c>
      <c r="V922" t="s">
        <v>1558</v>
      </c>
      <c r="W922" t="s">
        <v>1563</v>
      </c>
      <c r="X922" t="s">
        <v>1576</v>
      </c>
      <c r="Y922" t="s">
        <v>1583</v>
      </c>
      <c r="Z922" t="s">
        <v>1592</v>
      </c>
      <c r="AA922" t="s">
        <v>1598</v>
      </c>
      <c r="AB922" t="s">
        <v>1601</v>
      </c>
      <c r="AC922" t="s">
        <v>1610</v>
      </c>
      <c r="AD922" t="s">
        <v>1606</v>
      </c>
      <c r="AE922" t="s">
        <v>1618</v>
      </c>
      <c r="AF922" t="s">
        <v>1628</v>
      </c>
    </row>
    <row r="923" spans="1:32" x14ac:dyDescent="0.25">
      <c r="A923" t="s">
        <v>980</v>
      </c>
      <c r="B923">
        <v>28</v>
      </c>
      <c r="C923">
        <v>791</v>
      </c>
      <c r="D923">
        <v>1</v>
      </c>
      <c r="E923">
        <v>44</v>
      </c>
      <c r="F923">
        <v>2154</v>
      </c>
      <c r="G923">
        <v>6842</v>
      </c>
      <c r="H923">
        <v>0</v>
      </c>
      <c r="I923">
        <v>11</v>
      </c>
      <c r="J923">
        <v>5</v>
      </c>
      <c r="K923">
        <v>2</v>
      </c>
      <c r="L923">
        <v>4</v>
      </c>
      <c r="M923">
        <v>2</v>
      </c>
      <c r="N923">
        <v>0</v>
      </c>
      <c r="O923">
        <v>2</v>
      </c>
      <c r="P923" t="s">
        <v>1556</v>
      </c>
      <c r="Q923" t="s">
        <v>1553</v>
      </c>
      <c r="R923" t="s">
        <v>1550</v>
      </c>
      <c r="S923" t="s">
        <v>1535</v>
      </c>
      <c r="T923" t="s">
        <v>1540</v>
      </c>
      <c r="U923" t="s">
        <v>1548</v>
      </c>
      <c r="V923" t="s">
        <v>1559</v>
      </c>
      <c r="W923" t="s">
        <v>1563</v>
      </c>
      <c r="X923" t="s">
        <v>1575</v>
      </c>
      <c r="Y923" t="s">
        <v>1583</v>
      </c>
      <c r="Z923" t="s">
        <v>1593</v>
      </c>
      <c r="AA923" t="s">
        <v>1596</v>
      </c>
      <c r="AB923" t="s">
        <v>1600</v>
      </c>
      <c r="AC923" t="s">
        <v>1610</v>
      </c>
      <c r="AD923" t="s">
        <v>1606</v>
      </c>
      <c r="AE923" t="s">
        <v>1616</v>
      </c>
      <c r="AF923" t="s">
        <v>1626</v>
      </c>
    </row>
    <row r="924" spans="1:32" x14ac:dyDescent="0.25">
      <c r="A924" t="s">
        <v>981</v>
      </c>
      <c r="B924">
        <v>44</v>
      </c>
      <c r="C924">
        <v>1199</v>
      </c>
      <c r="D924">
        <v>4</v>
      </c>
      <c r="E924">
        <v>92</v>
      </c>
      <c r="F924">
        <v>19190</v>
      </c>
      <c r="G924">
        <v>17477</v>
      </c>
      <c r="H924">
        <v>1</v>
      </c>
      <c r="I924">
        <v>14</v>
      </c>
      <c r="J924">
        <v>26</v>
      </c>
      <c r="K924">
        <v>4</v>
      </c>
      <c r="L924">
        <v>25</v>
      </c>
      <c r="M924">
        <v>9</v>
      </c>
      <c r="N924">
        <v>14</v>
      </c>
      <c r="O924">
        <v>13</v>
      </c>
      <c r="P924" t="s">
        <v>1556</v>
      </c>
      <c r="Q924" t="s">
        <v>1552</v>
      </c>
      <c r="R924" t="s">
        <v>1550</v>
      </c>
      <c r="S924" t="s">
        <v>1533</v>
      </c>
      <c r="T924" t="s">
        <v>1538</v>
      </c>
      <c r="U924" t="s">
        <v>1547</v>
      </c>
      <c r="V924" t="s">
        <v>1559</v>
      </c>
      <c r="W924" t="s">
        <v>1564</v>
      </c>
      <c r="X924" t="s">
        <v>1579</v>
      </c>
      <c r="Y924" t="s">
        <v>1586</v>
      </c>
      <c r="Z924" t="s">
        <v>1591</v>
      </c>
      <c r="AA924" t="s">
        <v>1598</v>
      </c>
      <c r="AB924" t="s">
        <v>1601</v>
      </c>
      <c r="AC924" t="s">
        <v>1610</v>
      </c>
      <c r="AD924" t="s">
        <v>1607</v>
      </c>
      <c r="AE924" t="s">
        <v>1618</v>
      </c>
      <c r="AF924" t="s">
        <v>1626</v>
      </c>
    </row>
    <row r="925" spans="1:32" x14ac:dyDescent="0.25">
      <c r="A925" t="s">
        <v>982</v>
      </c>
      <c r="B925">
        <v>34</v>
      </c>
      <c r="C925">
        <v>648</v>
      </c>
      <c r="D925">
        <v>11</v>
      </c>
      <c r="E925">
        <v>56</v>
      </c>
      <c r="F925">
        <v>4490</v>
      </c>
      <c r="G925">
        <v>21833</v>
      </c>
      <c r="H925">
        <v>4</v>
      </c>
      <c r="I925">
        <v>11</v>
      </c>
      <c r="J925">
        <v>14</v>
      </c>
      <c r="K925">
        <v>5</v>
      </c>
      <c r="L925">
        <v>10</v>
      </c>
      <c r="M925">
        <v>9</v>
      </c>
      <c r="N925">
        <v>1</v>
      </c>
      <c r="O925">
        <v>8</v>
      </c>
      <c r="P925" t="s">
        <v>1556</v>
      </c>
      <c r="Q925" t="s">
        <v>1553</v>
      </c>
      <c r="R925" t="s">
        <v>1551</v>
      </c>
      <c r="S925" t="s">
        <v>1534</v>
      </c>
      <c r="T925" t="s">
        <v>1538</v>
      </c>
      <c r="U925" t="s">
        <v>1547</v>
      </c>
      <c r="V925" t="s">
        <v>1559</v>
      </c>
      <c r="W925" t="s">
        <v>1562</v>
      </c>
      <c r="X925" t="s">
        <v>1576</v>
      </c>
      <c r="Y925" t="s">
        <v>1589</v>
      </c>
      <c r="Z925" t="s">
        <v>1592</v>
      </c>
      <c r="AA925" t="s">
        <v>1597</v>
      </c>
      <c r="AB925" t="s">
        <v>1601</v>
      </c>
      <c r="AC925" t="s">
        <v>1610</v>
      </c>
      <c r="AD925" t="s">
        <v>1607</v>
      </c>
      <c r="AE925" t="s">
        <v>1618</v>
      </c>
      <c r="AF925" t="s">
        <v>1628</v>
      </c>
    </row>
    <row r="926" spans="1:32" x14ac:dyDescent="0.25">
      <c r="A926" t="s">
        <v>983</v>
      </c>
      <c r="B926">
        <v>35</v>
      </c>
      <c r="C926">
        <v>735</v>
      </c>
      <c r="D926">
        <v>6</v>
      </c>
      <c r="E926">
        <v>66</v>
      </c>
      <c r="F926">
        <v>3506</v>
      </c>
      <c r="G926">
        <v>6020</v>
      </c>
      <c r="H926">
        <v>0</v>
      </c>
      <c r="I926">
        <v>14</v>
      </c>
      <c r="J926">
        <v>4</v>
      </c>
      <c r="K926">
        <v>3</v>
      </c>
      <c r="L926">
        <v>3</v>
      </c>
      <c r="M926">
        <v>2</v>
      </c>
      <c r="N926">
        <v>2</v>
      </c>
      <c r="O926">
        <v>2</v>
      </c>
      <c r="P926" t="s">
        <v>1556</v>
      </c>
      <c r="Q926" t="s">
        <v>1552</v>
      </c>
      <c r="R926" t="s">
        <v>1550</v>
      </c>
      <c r="S926" t="s">
        <v>1532</v>
      </c>
      <c r="T926" t="s">
        <v>1538</v>
      </c>
      <c r="U926" t="s">
        <v>1547</v>
      </c>
      <c r="V926" t="s">
        <v>1559</v>
      </c>
      <c r="W926" t="s">
        <v>1563</v>
      </c>
      <c r="X926" t="s">
        <v>1575</v>
      </c>
      <c r="Y926" t="s">
        <v>1582</v>
      </c>
      <c r="Z926" t="s">
        <v>1593</v>
      </c>
      <c r="AA926" t="s">
        <v>1597</v>
      </c>
      <c r="AB926" t="s">
        <v>1600</v>
      </c>
      <c r="AC926" t="s">
        <v>1610</v>
      </c>
      <c r="AD926" t="s">
        <v>1607</v>
      </c>
      <c r="AE926" t="s">
        <v>1616</v>
      </c>
      <c r="AF926" t="s">
        <v>1627</v>
      </c>
    </row>
    <row r="927" spans="1:32" x14ac:dyDescent="0.25">
      <c r="A927" t="s">
        <v>984</v>
      </c>
      <c r="B927">
        <v>42</v>
      </c>
      <c r="C927">
        <v>603</v>
      </c>
      <c r="D927">
        <v>7</v>
      </c>
      <c r="E927">
        <v>78</v>
      </c>
      <c r="F927">
        <v>2372</v>
      </c>
      <c r="G927">
        <v>5628</v>
      </c>
      <c r="H927">
        <v>6</v>
      </c>
      <c r="I927">
        <v>16</v>
      </c>
      <c r="J927">
        <v>18</v>
      </c>
      <c r="K927">
        <v>2</v>
      </c>
      <c r="L927">
        <v>1</v>
      </c>
      <c r="M927">
        <v>0</v>
      </c>
      <c r="N927">
        <v>0</v>
      </c>
      <c r="O927">
        <v>0</v>
      </c>
      <c r="P927" t="s">
        <v>1556</v>
      </c>
      <c r="Q927" t="s">
        <v>1552</v>
      </c>
      <c r="R927" t="s">
        <v>1550</v>
      </c>
      <c r="S927" t="s">
        <v>1535</v>
      </c>
      <c r="T927" t="s">
        <v>1540</v>
      </c>
      <c r="U927" t="s">
        <v>1546</v>
      </c>
      <c r="V927" t="s">
        <v>1558</v>
      </c>
      <c r="W927" t="s">
        <v>1564</v>
      </c>
      <c r="X927" t="s">
        <v>1576</v>
      </c>
      <c r="Y927" t="s">
        <v>1582</v>
      </c>
      <c r="Z927" t="s">
        <v>1592</v>
      </c>
      <c r="AA927" t="s">
        <v>1597</v>
      </c>
      <c r="AB927" t="s">
        <v>1600</v>
      </c>
      <c r="AC927" t="s">
        <v>1610</v>
      </c>
      <c r="AD927" t="s">
        <v>1607</v>
      </c>
      <c r="AE927" t="s">
        <v>1616</v>
      </c>
      <c r="AF927" t="s">
        <v>1627</v>
      </c>
    </row>
    <row r="928" spans="1:32" x14ac:dyDescent="0.25">
      <c r="A928" t="s">
        <v>985</v>
      </c>
      <c r="B928">
        <v>43</v>
      </c>
      <c r="C928">
        <v>531</v>
      </c>
      <c r="D928">
        <v>4</v>
      </c>
      <c r="E928">
        <v>56</v>
      </c>
      <c r="F928">
        <v>10231</v>
      </c>
      <c r="G928">
        <v>20364</v>
      </c>
      <c r="H928">
        <v>3</v>
      </c>
      <c r="I928">
        <v>14</v>
      </c>
      <c r="J928">
        <v>23</v>
      </c>
      <c r="K928">
        <v>3</v>
      </c>
      <c r="L928">
        <v>21</v>
      </c>
      <c r="M928">
        <v>7</v>
      </c>
      <c r="N928">
        <v>15</v>
      </c>
      <c r="O928">
        <v>17</v>
      </c>
      <c r="P928" t="s">
        <v>1556</v>
      </c>
      <c r="Q928" t="s">
        <v>1552</v>
      </c>
      <c r="R928" t="s">
        <v>1549</v>
      </c>
      <c r="S928" t="s">
        <v>1535</v>
      </c>
      <c r="T928" t="s">
        <v>1541</v>
      </c>
      <c r="U928" t="s">
        <v>1548</v>
      </c>
      <c r="V928" t="s">
        <v>1558</v>
      </c>
      <c r="W928" t="s">
        <v>1562</v>
      </c>
      <c r="X928" t="s">
        <v>1577</v>
      </c>
      <c r="Y928" t="s">
        <v>1581</v>
      </c>
      <c r="Z928" t="s">
        <v>1594</v>
      </c>
      <c r="AA928" t="s">
        <v>1596</v>
      </c>
      <c r="AB928" t="s">
        <v>1601</v>
      </c>
      <c r="AC928" t="s">
        <v>1610</v>
      </c>
      <c r="AD928" t="s">
        <v>1607</v>
      </c>
      <c r="AE928" t="s">
        <v>1616</v>
      </c>
      <c r="AF928" t="s">
        <v>1628</v>
      </c>
    </row>
    <row r="929" spans="1:32" x14ac:dyDescent="0.25">
      <c r="A929" t="s">
        <v>986</v>
      </c>
      <c r="B929">
        <v>36</v>
      </c>
      <c r="C929">
        <v>429</v>
      </c>
      <c r="D929">
        <v>2</v>
      </c>
      <c r="E929">
        <v>53</v>
      </c>
      <c r="F929">
        <v>5410</v>
      </c>
      <c r="G929">
        <v>2323</v>
      </c>
      <c r="H929">
        <v>9</v>
      </c>
      <c r="I929">
        <v>11</v>
      </c>
      <c r="J929">
        <v>18</v>
      </c>
      <c r="K929">
        <v>2</v>
      </c>
      <c r="L929">
        <v>16</v>
      </c>
      <c r="M929">
        <v>14</v>
      </c>
      <c r="N929">
        <v>5</v>
      </c>
      <c r="O929">
        <v>12</v>
      </c>
      <c r="P929" t="s">
        <v>1556</v>
      </c>
      <c r="Q929" t="s">
        <v>1552</v>
      </c>
      <c r="R929" t="s">
        <v>1550</v>
      </c>
      <c r="S929" t="s">
        <v>1535</v>
      </c>
      <c r="T929" t="s">
        <v>1538</v>
      </c>
      <c r="U929" t="s">
        <v>1547</v>
      </c>
      <c r="V929" t="s">
        <v>1558</v>
      </c>
      <c r="W929" t="s">
        <v>1563</v>
      </c>
      <c r="X929" t="s">
        <v>1576</v>
      </c>
      <c r="Y929" t="s">
        <v>1584</v>
      </c>
      <c r="Z929" t="s">
        <v>1592</v>
      </c>
      <c r="AA929" t="s">
        <v>1596</v>
      </c>
      <c r="AB929" t="s">
        <v>1600</v>
      </c>
      <c r="AC929" t="s">
        <v>1610</v>
      </c>
      <c r="AD929" t="s">
        <v>1607</v>
      </c>
      <c r="AE929" t="s">
        <v>1616</v>
      </c>
      <c r="AF929" t="s">
        <v>1627</v>
      </c>
    </row>
    <row r="930" spans="1:32" x14ac:dyDescent="0.25">
      <c r="A930" t="s">
        <v>987</v>
      </c>
      <c r="B930">
        <v>44</v>
      </c>
      <c r="C930">
        <v>621</v>
      </c>
      <c r="D930">
        <v>15</v>
      </c>
      <c r="E930">
        <v>73</v>
      </c>
      <c r="F930">
        <v>7978</v>
      </c>
      <c r="G930">
        <v>14075</v>
      </c>
      <c r="H930">
        <v>1</v>
      </c>
      <c r="I930">
        <v>11</v>
      </c>
      <c r="J930">
        <v>10</v>
      </c>
      <c r="K930">
        <v>2</v>
      </c>
      <c r="L930">
        <v>10</v>
      </c>
      <c r="M930">
        <v>7</v>
      </c>
      <c r="N930">
        <v>0</v>
      </c>
      <c r="O930">
        <v>5</v>
      </c>
      <c r="P930" t="s">
        <v>1555</v>
      </c>
      <c r="Q930" t="s">
        <v>1552</v>
      </c>
      <c r="R930" t="s">
        <v>1550</v>
      </c>
      <c r="S930" t="s">
        <v>1534</v>
      </c>
      <c r="T930" t="s">
        <v>1540</v>
      </c>
      <c r="U930" t="s">
        <v>1545</v>
      </c>
      <c r="V930" t="s">
        <v>1558</v>
      </c>
      <c r="W930" t="s">
        <v>1563</v>
      </c>
      <c r="X930" t="s">
        <v>1577</v>
      </c>
      <c r="Y930" t="s">
        <v>1585</v>
      </c>
      <c r="Z930" t="s">
        <v>1594</v>
      </c>
      <c r="AA930" t="s">
        <v>1597</v>
      </c>
      <c r="AB930" t="s">
        <v>1601</v>
      </c>
      <c r="AC930" t="s">
        <v>1610</v>
      </c>
      <c r="AD930" t="s">
        <v>1607</v>
      </c>
      <c r="AE930" t="s">
        <v>1617</v>
      </c>
      <c r="AF930" t="s">
        <v>1627</v>
      </c>
    </row>
    <row r="931" spans="1:32" x14ac:dyDescent="0.25">
      <c r="A931" t="s">
        <v>988</v>
      </c>
      <c r="B931">
        <v>28</v>
      </c>
      <c r="C931">
        <v>193</v>
      </c>
      <c r="D931">
        <v>2</v>
      </c>
      <c r="E931">
        <v>52</v>
      </c>
      <c r="F931">
        <v>3867</v>
      </c>
      <c r="G931">
        <v>14222</v>
      </c>
      <c r="H931">
        <v>1</v>
      </c>
      <c r="I931">
        <v>12</v>
      </c>
      <c r="J931">
        <v>2</v>
      </c>
      <c r="K931">
        <v>2</v>
      </c>
      <c r="L931">
        <v>2</v>
      </c>
      <c r="M931">
        <v>2</v>
      </c>
      <c r="N931">
        <v>2</v>
      </c>
      <c r="O931">
        <v>2</v>
      </c>
      <c r="P931" t="s">
        <v>1556</v>
      </c>
      <c r="Q931" t="s">
        <v>1553</v>
      </c>
      <c r="R931" t="s">
        <v>1550</v>
      </c>
      <c r="S931" t="s">
        <v>1534</v>
      </c>
      <c r="T931" t="s">
        <v>1538</v>
      </c>
      <c r="U931" t="s">
        <v>1548</v>
      </c>
      <c r="V931" t="s">
        <v>1559</v>
      </c>
      <c r="W931" t="s">
        <v>1562</v>
      </c>
      <c r="X931" t="s">
        <v>1575</v>
      </c>
      <c r="Y931" t="s">
        <v>1583</v>
      </c>
      <c r="Z931" t="s">
        <v>1594</v>
      </c>
      <c r="AA931" t="s">
        <v>1597</v>
      </c>
      <c r="AB931" t="s">
        <v>1600</v>
      </c>
      <c r="AC931" t="s">
        <v>1610</v>
      </c>
      <c r="AD931" t="s">
        <v>1605</v>
      </c>
      <c r="AE931" t="s">
        <v>1617</v>
      </c>
      <c r="AF931" t="s">
        <v>1627</v>
      </c>
    </row>
    <row r="932" spans="1:32" x14ac:dyDescent="0.25">
      <c r="A932" t="s">
        <v>989</v>
      </c>
      <c r="B932">
        <v>51</v>
      </c>
      <c r="C932">
        <v>968</v>
      </c>
      <c r="D932">
        <v>6</v>
      </c>
      <c r="E932">
        <v>40</v>
      </c>
      <c r="F932">
        <v>2838</v>
      </c>
      <c r="G932">
        <v>4257</v>
      </c>
      <c r="H932">
        <v>0</v>
      </c>
      <c r="I932">
        <v>14</v>
      </c>
      <c r="J932">
        <v>8</v>
      </c>
      <c r="K932">
        <v>6</v>
      </c>
      <c r="L932">
        <v>7</v>
      </c>
      <c r="M932">
        <v>0</v>
      </c>
      <c r="N932">
        <v>7</v>
      </c>
      <c r="O932">
        <v>7</v>
      </c>
      <c r="P932" t="s">
        <v>1556</v>
      </c>
      <c r="Q932" t="s">
        <v>1553</v>
      </c>
      <c r="R932" t="s">
        <v>1550</v>
      </c>
      <c r="S932" t="s">
        <v>1533</v>
      </c>
      <c r="T932" t="s">
        <v>1540</v>
      </c>
      <c r="U932" t="s">
        <v>1546</v>
      </c>
      <c r="V932" t="s">
        <v>1558</v>
      </c>
      <c r="W932" t="s">
        <v>1562</v>
      </c>
      <c r="X932" t="s">
        <v>1575</v>
      </c>
      <c r="Y932" t="s">
        <v>1583</v>
      </c>
      <c r="Z932" t="s">
        <v>1593</v>
      </c>
      <c r="AA932" t="s">
        <v>1596</v>
      </c>
      <c r="AB932" t="s">
        <v>1601</v>
      </c>
      <c r="AC932" t="s">
        <v>1610</v>
      </c>
      <c r="AD932" t="s">
        <v>1605</v>
      </c>
      <c r="AE932" t="s">
        <v>1616</v>
      </c>
      <c r="AF932" t="s">
        <v>1626</v>
      </c>
    </row>
    <row r="933" spans="1:32" x14ac:dyDescent="0.25">
      <c r="A933" t="s">
        <v>990</v>
      </c>
      <c r="B933">
        <v>30</v>
      </c>
      <c r="C933">
        <v>879</v>
      </c>
      <c r="D933">
        <v>9</v>
      </c>
      <c r="E933">
        <v>72</v>
      </c>
      <c r="F933">
        <v>4695</v>
      </c>
      <c r="G933">
        <v>12858</v>
      </c>
      <c r="H933">
        <v>7</v>
      </c>
      <c r="I933">
        <v>18</v>
      </c>
      <c r="J933">
        <v>10</v>
      </c>
      <c r="K933">
        <v>3</v>
      </c>
      <c r="L933">
        <v>8</v>
      </c>
      <c r="M933">
        <v>4</v>
      </c>
      <c r="N933">
        <v>1</v>
      </c>
      <c r="O933">
        <v>7</v>
      </c>
      <c r="P933" t="s">
        <v>1556</v>
      </c>
      <c r="Q933" t="s">
        <v>1554</v>
      </c>
      <c r="R933" t="s">
        <v>1550</v>
      </c>
      <c r="S933" t="s">
        <v>1533</v>
      </c>
      <c r="T933" t="s">
        <v>1540</v>
      </c>
      <c r="U933" t="s">
        <v>1547</v>
      </c>
      <c r="V933" t="s">
        <v>1558</v>
      </c>
      <c r="W933" t="s">
        <v>1563</v>
      </c>
      <c r="X933" t="s">
        <v>1576</v>
      </c>
      <c r="Y933" t="s">
        <v>1584</v>
      </c>
      <c r="Z933" t="s">
        <v>1593</v>
      </c>
      <c r="AA933" t="s">
        <v>1596</v>
      </c>
      <c r="AB933" t="s">
        <v>1600</v>
      </c>
      <c r="AC933" t="s">
        <v>1610</v>
      </c>
      <c r="AD933" t="s">
        <v>1606</v>
      </c>
      <c r="AE933" t="s">
        <v>1616</v>
      </c>
      <c r="AF933" t="s">
        <v>1627</v>
      </c>
    </row>
    <row r="934" spans="1:32" x14ac:dyDescent="0.25">
      <c r="A934" t="s">
        <v>991</v>
      </c>
      <c r="B934">
        <v>29</v>
      </c>
      <c r="C934">
        <v>806</v>
      </c>
      <c r="D934">
        <v>7</v>
      </c>
      <c r="E934">
        <v>39</v>
      </c>
      <c r="F934">
        <v>3339</v>
      </c>
      <c r="G934">
        <v>17285</v>
      </c>
      <c r="H934">
        <v>3</v>
      </c>
      <c r="I934">
        <v>13</v>
      </c>
      <c r="J934">
        <v>10</v>
      </c>
      <c r="K934">
        <v>2</v>
      </c>
      <c r="L934">
        <v>7</v>
      </c>
      <c r="M934">
        <v>7</v>
      </c>
      <c r="N934">
        <v>7</v>
      </c>
      <c r="O934">
        <v>7</v>
      </c>
      <c r="P934" t="s">
        <v>1555</v>
      </c>
      <c r="Q934" t="s">
        <v>1552</v>
      </c>
      <c r="R934" t="s">
        <v>1550</v>
      </c>
      <c r="S934" t="s">
        <v>1534</v>
      </c>
      <c r="T934" t="s">
        <v>1542</v>
      </c>
      <c r="U934" t="s">
        <v>1546</v>
      </c>
      <c r="V934" t="s">
        <v>1558</v>
      </c>
      <c r="W934" t="s">
        <v>1563</v>
      </c>
      <c r="X934" t="s">
        <v>1575</v>
      </c>
      <c r="Y934" t="s">
        <v>1583</v>
      </c>
      <c r="Z934" t="s">
        <v>1593</v>
      </c>
      <c r="AA934" t="s">
        <v>1598</v>
      </c>
      <c r="AB934" t="s">
        <v>1600</v>
      </c>
      <c r="AC934" t="s">
        <v>1610</v>
      </c>
      <c r="AD934" t="s">
        <v>1604</v>
      </c>
      <c r="AE934" t="s">
        <v>1618</v>
      </c>
      <c r="AF934" t="s">
        <v>1627</v>
      </c>
    </row>
    <row r="935" spans="1:32" x14ac:dyDescent="0.25">
      <c r="A935" t="s">
        <v>992</v>
      </c>
      <c r="B935">
        <v>28</v>
      </c>
      <c r="C935">
        <v>640</v>
      </c>
      <c r="D935">
        <v>1</v>
      </c>
      <c r="E935">
        <v>84</v>
      </c>
      <c r="F935">
        <v>2080</v>
      </c>
      <c r="G935">
        <v>4732</v>
      </c>
      <c r="H935">
        <v>2</v>
      </c>
      <c r="I935">
        <v>11</v>
      </c>
      <c r="J935">
        <v>5</v>
      </c>
      <c r="K935">
        <v>2</v>
      </c>
      <c r="L935">
        <v>3</v>
      </c>
      <c r="M935">
        <v>2</v>
      </c>
      <c r="N935">
        <v>1</v>
      </c>
      <c r="O935">
        <v>2</v>
      </c>
      <c r="P935" t="s">
        <v>1556</v>
      </c>
      <c r="Q935" t="s">
        <v>1552</v>
      </c>
      <c r="R935" t="s">
        <v>1550</v>
      </c>
      <c r="S935" t="s">
        <v>1534</v>
      </c>
      <c r="T935" t="s">
        <v>1542</v>
      </c>
      <c r="U935" t="s">
        <v>1548</v>
      </c>
      <c r="V935" t="s">
        <v>1559</v>
      </c>
      <c r="W935" t="s">
        <v>1563</v>
      </c>
      <c r="X935" t="s">
        <v>1575</v>
      </c>
      <c r="Y935" t="s">
        <v>1582</v>
      </c>
      <c r="Z935" t="s">
        <v>1591</v>
      </c>
      <c r="AA935" t="s">
        <v>1596</v>
      </c>
      <c r="AB935" t="s">
        <v>1601</v>
      </c>
      <c r="AC935" t="s">
        <v>1610</v>
      </c>
      <c r="AD935" t="s">
        <v>1605</v>
      </c>
      <c r="AE935" t="s">
        <v>1616</v>
      </c>
      <c r="AF935" t="s">
        <v>1626</v>
      </c>
    </row>
    <row r="936" spans="1:32" x14ac:dyDescent="0.25">
      <c r="A936" t="s">
        <v>993</v>
      </c>
      <c r="B936">
        <v>25</v>
      </c>
      <c r="C936">
        <v>266</v>
      </c>
      <c r="D936">
        <v>1</v>
      </c>
      <c r="E936">
        <v>40</v>
      </c>
      <c r="F936">
        <v>2096</v>
      </c>
      <c r="G936">
        <v>18830</v>
      </c>
      <c r="H936">
        <v>1</v>
      </c>
      <c r="I936">
        <v>18</v>
      </c>
      <c r="J936">
        <v>2</v>
      </c>
      <c r="K936">
        <v>3</v>
      </c>
      <c r="L936">
        <v>2</v>
      </c>
      <c r="M936">
        <v>2</v>
      </c>
      <c r="N936">
        <v>2</v>
      </c>
      <c r="O936">
        <v>1</v>
      </c>
      <c r="P936" t="s">
        <v>1556</v>
      </c>
      <c r="Q936" t="s">
        <v>1552</v>
      </c>
      <c r="R936" t="s">
        <v>1550</v>
      </c>
      <c r="S936" t="s">
        <v>1534</v>
      </c>
      <c r="T936" t="s">
        <v>1540</v>
      </c>
      <c r="U936" t="s">
        <v>1548</v>
      </c>
      <c r="V936" t="s">
        <v>1558</v>
      </c>
      <c r="W936" t="s">
        <v>1563</v>
      </c>
      <c r="X936" t="s">
        <v>1575</v>
      </c>
      <c r="Y936" t="s">
        <v>1582</v>
      </c>
      <c r="Z936" t="s">
        <v>1592</v>
      </c>
      <c r="AA936" t="s">
        <v>1596</v>
      </c>
      <c r="AB936" t="s">
        <v>1601</v>
      </c>
      <c r="AC936" t="s">
        <v>1610</v>
      </c>
      <c r="AD936" t="s">
        <v>1607</v>
      </c>
      <c r="AE936" t="s">
        <v>1616</v>
      </c>
      <c r="AF936" t="s">
        <v>1626</v>
      </c>
    </row>
    <row r="937" spans="1:32" x14ac:dyDescent="0.25">
      <c r="A937" t="s">
        <v>994</v>
      </c>
      <c r="B937">
        <v>32</v>
      </c>
      <c r="C937">
        <v>604</v>
      </c>
      <c r="D937">
        <v>8</v>
      </c>
      <c r="E937">
        <v>56</v>
      </c>
      <c r="F937">
        <v>6209</v>
      </c>
      <c r="G937">
        <v>11693</v>
      </c>
      <c r="H937">
        <v>1</v>
      </c>
      <c r="I937">
        <v>15</v>
      </c>
      <c r="J937">
        <v>10</v>
      </c>
      <c r="K937">
        <v>4</v>
      </c>
      <c r="L937">
        <v>10</v>
      </c>
      <c r="M937">
        <v>7</v>
      </c>
      <c r="N937">
        <v>0</v>
      </c>
      <c r="O937">
        <v>8</v>
      </c>
      <c r="P937" t="s">
        <v>1556</v>
      </c>
      <c r="Q937" t="s">
        <v>1552</v>
      </c>
      <c r="R937" t="s">
        <v>1549</v>
      </c>
      <c r="S937" t="s">
        <v>1534</v>
      </c>
      <c r="T937" t="s">
        <v>1540</v>
      </c>
      <c r="U937" t="s">
        <v>1547</v>
      </c>
      <c r="V937" t="s">
        <v>1559</v>
      </c>
      <c r="W937" t="s">
        <v>1564</v>
      </c>
      <c r="X937" t="s">
        <v>1576</v>
      </c>
      <c r="Y937" t="s">
        <v>1581</v>
      </c>
      <c r="Z937" t="s">
        <v>1594</v>
      </c>
      <c r="AA937" t="s">
        <v>1597</v>
      </c>
      <c r="AB937" t="s">
        <v>1601</v>
      </c>
      <c r="AC937" t="s">
        <v>1610</v>
      </c>
      <c r="AD937" t="s">
        <v>1606</v>
      </c>
      <c r="AE937" t="s">
        <v>1618</v>
      </c>
      <c r="AF937" t="s">
        <v>1628</v>
      </c>
    </row>
    <row r="938" spans="1:32" x14ac:dyDescent="0.25">
      <c r="A938" t="s">
        <v>995</v>
      </c>
      <c r="B938">
        <v>45</v>
      </c>
      <c r="C938">
        <v>364</v>
      </c>
      <c r="D938">
        <v>25</v>
      </c>
      <c r="E938">
        <v>83</v>
      </c>
      <c r="F938">
        <v>18061</v>
      </c>
      <c r="G938">
        <v>13035</v>
      </c>
      <c r="H938">
        <v>3</v>
      </c>
      <c r="I938">
        <v>22</v>
      </c>
      <c r="J938">
        <v>22</v>
      </c>
      <c r="K938">
        <v>4</v>
      </c>
      <c r="L938">
        <v>0</v>
      </c>
      <c r="M938">
        <v>0</v>
      </c>
      <c r="N938">
        <v>0</v>
      </c>
      <c r="O938">
        <v>0</v>
      </c>
      <c r="P938" t="s">
        <v>1556</v>
      </c>
      <c r="Q938" t="s">
        <v>1553</v>
      </c>
      <c r="R938" t="s">
        <v>1550</v>
      </c>
      <c r="S938" t="s">
        <v>1534</v>
      </c>
      <c r="T938" t="s">
        <v>1540</v>
      </c>
      <c r="U938" t="s">
        <v>1546</v>
      </c>
      <c r="V938" t="s">
        <v>1558</v>
      </c>
      <c r="W938" t="s">
        <v>1563</v>
      </c>
      <c r="X938" t="s">
        <v>1579</v>
      </c>
      <c r="Y938" t="s">
        <v>1586</v>
      </c>
      <c r="Z938" t="s">
        <v>1592</v>
      </c>
      <c r="AA938" t="s">
        <v>1596</v>
      </c>
      <c r="AB938" t="s">
        <v>1601</v>
      </c>
      <c r="AC938" t="s">
        <v>1611</v>
      </c>
      <c r="AD938" t="s">
        <v>1606</v>
      </c>
      <c r="AE938" t="s">
        <v>1616</v>
      </c>
      <c r="AF938" t="s">
        <v>1627</v>
      </c>
    </row>
    <row r="939" spans="1:32" x14ac:dyDescent="0.25">
      <c r="A939" t="s">
        <v>996</v>
      </c>
      <c r="B939">
        <v>39</v>
      </c>
      <c r="C939">
        <v>412</v>
      </c>
      <c r="D939">
        <v>13</v>
      </c>
      <c r="E939">
        <v>94</v>
      </c>
      <c r="F939">
        <v>17123</v>
      </c>
      <c r="G939">
        <v>17334</v>
      </c>
      <c r="H939">
        <v>6</v>
      </c>
      <c r="I939">
        <v>13</v>
      </c>
      <c r="J939">
        <v>21</v>
      </c>
      <c r="K939">
        <v>4</v>
      </c>
      <c r="L939">
        <v>19</v>
      </c>
      <c r="M939">
        <v>9</v>
      </c>
      <c r="N939">
        <v>15</v>
      </c>
      <c r="O939">
        <v>2</v>
      </c>
      <c r="P939" t="s">
        <v>1556</v>
      </c>
      <c r="Q939" t="s">
        <v>1552</v>
      </c>
      <c r="R939" t="s">
        <v>1550</v>
      </c>
      <c r="S939" t="s">
        <v>1535</v>
      </c>
      <c r="T939" t="s">
        <v>1540</v>
      </c>
      <c r="U939" t="s">
        <v>1547</v>
      </c>
      <c r="V939" t="s">
        <v>1558</v>
      </c>
      <c r="W939" t="s">
        <v>1562</v>
      </c>
      <c r="X939" t="s">
        <v>1578</v>
      </c>
      <c r="Y939" t="s">
        <v>1586</v>
      </c>
      <c r="Z939" t="s">
        <v>1592</v>
      </c>
      <c r="AA939" t="s">
        <v>1598</v>
      </c>
      <c r="AB939" t="s">
        <v>1600</v>
      </c>
      <c r="AC939" t="s">
        <v>1610</v>
      </c>
      <c r="AD939" t="s">
        <v>1607</v>
      </c>
      <c r="AE939" t="s">
        <v>1618</v>
      </c>
      <c r="AF939" t="s">
        <v>1627</v>
      </c>
    </row>
    <row r="940" spans="1:32" x14ac:dyDescent="0.25">
      <c r="A940" t="s">
        <v>997</v>
      </c>
      <c r="B940">
        <v>58</v>
      </c>
      <c r="C940">
        <v>848</v>
      </c>
      <c r="D940">
        <v>23</v>
      </c>
      <c r="E940">
        <v>88</v>
      </c>
      <c r="F940">
        <v>2372</v>
      </c>
      <c r="G940">
        <v>26076</v>
      </c>
      <c r="H940">
        <v>1</v>
      </c>
      <c r="I940">
        <v>12</v>
      </c>
      <c r="J940">
        <v>2</v>
      </c>
      <c r="K940">
        <v>3</v>
      </c>
      <c r="L940">
        <v>2</v>
      </c>
      <c r="M940">
        <v>2</v>
      </c>
      <c r="N940">
        <v>2</v>
      </c>
      <c r="O940">
        <v>2</v>
      </c>
      <c r="P940" t="s">
        <v>1556</v>
      </c>
      <c r="Q940" t="s">
        <v>1552</v>
      </c>
      <c r="R940" t="s">
        <v>1550</v>
      </c>
      <c r="S940" t="s">
        <v>1535</v>
      </c>
      <c r="T940" t="s">
        <v>1538</v>
      </c>
      <c r="U940" t="s">
        <v>1545</v>
      </c>
      <c r="V940" t="s">
        <v>1559</v>
      </c>
      <c r="W940" t="s">
        <v>1563</v>
      </c>
      <c r="X940" t="s">
        <v>1575</v>
      </c>
      <c r="Y940" t="s">
        <v>1582</v>
      </c>
      <c r="Z940" t="s">
        <v>1593</v>
      </c>
      <c r="AA940" t="s">
        <v>1598</v>
      </c>
      <c r="AB940" t="s">
        <v>1601</v>
      </c>
      <c r="AC940" t="s">
        <v>1610</v>
      </c>
      <c r="AD940" t="s">
        <v>1607</v>
      </c>
      <c r="AE940" t="s">
        <v>1618</v>
      </c>
      <c r="AF940" t="s">
        <v>1627</v>
      </c>
    </row>
    <row r="941" spans="1:32" x14ac:dyDescent="0.25">
      <c r="A941" t="s">
        <v>998</v>
      </c>
      <c r="B941">
        <v>32</v>
      </c>
      <c r="C941">
        <v>1089</v>
      </c>
      <c r="D941">
        <v>7</v>
      </c>
      <c r="E941">
        <v>79</v>
      </c>
      <c r="F941">
        <v>4883</v>
      </c>
      <c r="G941">
        <v>22845</v>
      </c>
      <c r="H941">
        <v>1</v>
      </c>
      <c r="I941">
        <v>18</v>
      </c>
      <c r="J941">
        <v>10</v>
      </c>
      <c r="K941">
        <v>3</v>
      </c>
      <c r="L941">
        <v>10</v>
      </c>
      <c r="M941">
        <v>4</v>
      </c>
      <c r="N941">
        <v>1</v>
      </c>
      <c r="O941">
        <v>1</v>
      </c>
      <c r="P941" t="s">
        <v>1555</v>
      </c>
      <c r="Q941" t="s">
        <v>1552</v>
      </c>
      <c r="R941" t="s">
        <v>1550</v>
      </c>
      <c r="S941" t="s">
        <v>1533</v>
      </c>
      <c r="T941" t="s">
        <v>1538</v>
      </c>
      <c r="U941" t="s">
        <v>1548</v>
      </c>
      <c r="V941" t="s">
        <v>1559</v>
      </c>
      <c r="W941" t="s">
        <v>1563</v>
      </c>
      <c r="X941" t="s">
        <v>1576</v>
      </c>
      <c r="Y941" t="s">
        <v>1583</v>
      </c>
      <c r="Z941" t="s">
        <v>1593</v>
      </c>
      <c r="AA941" t="s">
        <v>1597</v>
      </c>
      <c r="AB941" t="s">
        <v>1601</v>
      </c>
      <c r="AC941" t="s">
        <v>1610</v>
      </c>
      <c r="AD941" t="s">
        <v>1604</v>
      </c>
      <c r="AE941" t="s">
        <v>1617</v>
      </c>
      <c r="AF941" t="s">
        <v>1627</v>
      </c>
    </row>
    <row r="942" spans="1:32" x14ac:dyDescent="0.25">
      <c r="A942" t="s">
        <v>999</v>
      </c>
      <c r="B942">
        <v>39</v>
      </c>
      <c r="C942">
        <v>360</v>
      </c>
      <c r="D942">
        <v>23</v>
      </c>
      <c r="E942">
        <v>93</v>
      </c>
      <c r="F942">
        <v>3904</v>
      </c>
      <c r="G942">
        <v>22154</v>
      </c>
      <c r="H942">
        <v>0</v>
      </c>
      <c r="I942">
        <v>13</v>
      </c>
      <c r="J942">
        <v>6</v>
      </c>
      <c r="K942">
        <v>2</v>
      </c>
      <c r="L942">
        <v>5</v>
      </c>
      <c r="M942">
        <v>2</v>
      </c>
      <c r="N942">
        <v>0</v>
      </c>
      <c r="O942">
        <v>3</v>
      </c>
      <c r="P942" t="s">
        <v>1555</v>
      </c>
      <c r="Q942" t="s">
        <v>1552</v>
      </c>
      <c r="R942" t="s">
        <v>1550</v>
      </c>
      <c r="S942" t="s">
        <v>1534</v>
      </c>
      <c r="T942" t="s">
        <v>1540</v>
      </c>
      <c r="U942" t="s">
        <v>1547</v>
      </c>
      <c r="V942" t="s">
        <v>1559</v>
      </c>
      <c r="W942" t="s">
        <v>1563</v>
      </c>
      <c r="X942" t="s">
        <v>1575</v>
      </c>
      <c r="Y942" t="s">
        <v>1582</v>
      </c>
      <c r="Z942" t="s">
        <v>1591</v>
      </c>
      <c r="AA942" t="s">
        <v>1596</v>
      </c>
      <c r="AB942" t="s">
        <v>1601</v>
      </c>
      <c r="AC942" t="s">
        <v>1610</v>
      </c>
      <c r="AD942" t="s">
        <v>1604</v>
      </c>
      <c r="AE942" t="s">
        <v>1616</v>
      </c>
      <c r="AF942" t="s">
        <v>1627</v>
      </c>
    </row>
    <row r="943" spans="1:32" x14ac:dyDescent="0.25">
      <c r="A943" t="s">
        <v>1000</v>
      </c>
      <c r="B943">
        <v>30</v>
      </c>
      <c r="C943">
        <v>1138</v>
      </c>
      <c r="D943">
        <v>6</v>
      </c>
      <c r="E943">
        <v>48</v>
      </c>
      <c r="F943">
        <v>4627</v>
      </c>
      <c r="G943">
        <v>23631</v>
      </c>
      <c r="H943">
        <v>0</v>
      </c>
      <c r="I943">
        <v>12</v>
      </c>
      <c r="J943">
        <v>10</v>
      </c>
      <c r="K943">
        <v>6</v>
      </c>
      <c r="L943">
        <v>9</v>
      </c>
      <c r="M943">
        <v>2</v>
      </c>
      <c r="N943">
        <v>6</v>
      </c>
      <c r="O943">
        <v>7</v>
      </c>
      <c r="P943" t="s">
        <v>1556</v>
      </c>
      <c r="Q943" t="s">
        <v>1552</v>
      </c>
      <c r="R943" t="s">
        <v>1550</v>
      </c>
      <c r="S943" t="s">
        <v>1534</v>
      </c>
      <c r="T943" t="s">
        <v>1542</v>
      </c>
      <c r="U943" t="s">
        <v>1545</v>
      </c>
      <c r="V943" t="s">
        <v>1558</v>
      </c>
      <c r="W943" t="s">
        <v>1562</v>
      </c>
      <c r="X943" t="s">
        <v>1576</v>
      </c>
      <c r="Y943" t="s">
        <v>1583</v>
      </c>
      <c r="Z943" t="s">
        <v>1594</v>
      </c>
      <c r="AA943" t="s">
        <v>1597</v>
      </c>
      <c r="AB943" t="s">
        <v>1601</v>
      </c>
      <c r="AC943" t="s">
        <v>1610</v>
      </c>
      <c r="AD943" t="s">
        <v>1604</v>
      </c>
      <c r="AE943" t="s">
        <v>1617</v>
      </c>
      <c r="AF943" t="s">
        <v>1627</v>
      </c>
    </row>
    <row r="944" spans="1:32" x14ac:dyDescent="0.25">
      <c r="A944" t="s">
        <v>1001</v>
      </c>
      <c r="B944">
        <v>36</v>
      </c>
      <c r="C944">
        <v>325</v>
      </c>
      <c r="D944">
        <v>10</v>
      </c>
      <c r="E944">
        <v>63</v>
      </c>
      <c r="F944">
        <v>7094</v>
      </c>
      <c r="G944">
        <v>5747</v>
      </c>
      <c r="H944">
        <v>3</v>
      </c>
      <c r="I944">
        <v>12</v>
      </c>
      <c r="J944">
        <v>10</v>
      </c>
      <c r="K944">
        <v>0</v>
      </c>
      <c r="L944">
        <v>7</v>
      </c>
      <c r="M944">
        <v>7</v>
      </c>
      <c r="N944">
        <v>1</v>
      </c>
      <c r="O944">
        <v>7</v>
      </c>
      <c r="P944" t="s">
        <v>1556</v>
      </c>
      <c r="Q944" t="s">
        <v>1552</v>
      </c>
      <c r="R944" t="s">
        <v>1550</v>
      </c>
      <c r="S944" t="s">
        <v>1535</v>
      </c>
      <c r="T944" t="s">
        <v>1542</v>
      </c>
      <c r="U944" t="s">
        <v>1548</v>
      </c>
      <c r="V944" t="s">
        <v>1558</v>
      </c>
      <c r="W944" t="s">
        <v>1563</v>
      </c>
      <c r="X944" t="s">
        <v>1577</v>
      </c>
      <c r="Y944" t="s">
        <v>1585</v>
      </c>
      <c r="Z944" t="s">
        <v>1593</v>
      </c>
      <c r="AA944" t="s">
        <v>1597</v>
      </c>
      <c r="AB944" t="s">
        <v>1601</v>
      </c>
      <c r="AC944" t="s">
        <v>1610</v>
      </c>
      <c r="AD944" t="s">
        <v>1604</v>
      </c>
      <c r="AE944" t="s">
        <v>1616</v>
      </c>
      <c r="AF944" t="s">
        <v>1627</v>
      </c>
    </row>
    <row r="945" spans="1:32" x14ac:dyDescent="0.25">
      <c r="A945" t="s">
        <v>1002</v>
      </c>
      <c r="B945">
        <v>46</v>
      </c>
      <c r="C945">
        <v>991</v>
      </c>
      <c r="D945">
        <v>1</v>
      </c>
      <c r="E945">
        <v>44</v>
      </c>
      <c r="F945">
        <v>3423</v>
      </c>
      <c r="G945">
        <v>22957</v>
      </c>
      <c r="H945">
        <v>6</v>
      </c>
      <c r="I945">
        <v>12</v>
      </c>
      <c r="J945">
        <v>10</v>
      </c>
      <c r="K945">
        <v>3</v>
      </c>
      <c r="L945">
        <v>7</v>
      </c>
      <c r="M945">
        <v>6</v>
      </c>
      <c r="N945">
        <v>5</v>
      </c>
      <c r="O945">
        <v>7</v>
      </c>
      <c r="P945" t="s">
        <v>1556</v>
      </c>
      <c r="Q945" t="s">
        <v>1552</v>
      </c>
      <c r="R945" t="s">
        <v>1551</v>
      </c>
      <c r="S945" t="s">
        <v>1533</v>
      </c>
      <c r="T945" t="s">
        <v>1538</v>
      </c>
      <c r="U945" t="s">
        <v>1548</v>
      </c>
      <c r="V945" t="s">
        <v>1558</v>
      </c>
      <c r="W945" t="s">
        <v>1563</v>
      </c>
      <c r="X945" t="s">
        <v>1575</v>
      </c>
      <c r="Y945" t="s">
        <v>1589</v>
      </c>
      <c r="Z945" t="s">
        <v>1591</v>
      </c>
      <c r="AA945" t="s">
        <v>1596</v>
      </c>
      <c r="AB945" t="s">
        <v>1601</v>
      </c>
      <c r="AC945" t="s">
        <v>1610</v>
      </c>
      <c r="AD945" t="s">
        <v>1606</v>
      </c>
      <c r="AE945" t="s">
        <v>1616</v>
      </c>
      <c r="AF945" t="s">
        <v>1628</v>
      </c>
    </row>
    <row r="946" spans="1:32" x14ac:dyDescent="0.25">
      <c r="A946" t="s">
        <v>1003</v>
      </c>
      <c r="B946">
        <v>28</v>
      </c>
      <c r="C946">
        <v>1476</v>
      </c>
      <c r="D946">
        <v>1</v>
      </c>
      <c r="E946">
        <v>55</v>
      </c>
      <c r="F946">
        <v>6674</v>
      </c>
      <c r="G946">
        <v>16392</v>
      </c>
      <c r="H946">
        <v>0</v>
      </c>
      <c r="I946">
        <v>11</v>
      </c>
      <c r="J946">
        <v>10</v>
      </c>
      <c r="K946">
        <v>6</v>
      </c>
      <c r="L946">
        <v>9</v>
      </c>
      <c r="M946">
        <v>8</v>
      </c>
      <c r="N946">
        <v>7</v>
      </c>
      <c r="O946">
        <v>5</v>
      </c>
      <c r="P946" t="s">
        <v>1556</v>
      </c>
      <c r="Q946" t="s">
        <v>1554</v>
      </c>
      <c r="R946" t="s">
        <v>1550</v>
      </c>
      <c r="S946" t="s">
        <v>1534</v>
      </c>
      <c r="T946" t="s">
        <v>1538</v>
      </c>
      <c r="U946" t="s">
        <v>1547</v>
      </c>
      <c r="V946" t="s">
        <v>1558</v>
      </c>
      <c r="W946" t="s">
        <v>1561</v>
      </c>
      <c r="X946" t="s">
        <v>1576</v>
      </c>
      <c r="Y946" t="s">
        <v>1583</v>
      </c>
      <c r="Z946" t="s">
        <v>1594</v>
      </c>
      <c r="AA946" t="s">
        <v>1597</v>
      </c>
      <c r="AB946" t="s">
        <v>1601</v>
      </c>
      <c r="AC946" t="s">
        <v>1610</v>
      </c>
      <c r="AD946" t="s">
        <v>1604</v>
      </c>
      <c r="AE946" t="s">
        <v>1619</v>
      </c>
      <c r="AF946" t="s">
        <v>1627</v>
      </c>
    </row>
    <row r="947" spans="1:32" x14ac:dyDescent="0.25">
      <c r="A947" t="s">
        <v>1004</v>
      </c>
      <c r="B947">
        <v>50</v>
      </c>
      <c r="C947">
        <v>1322</v>
      </c>
      <c r="D947">
        <v>28</v>
      </c>
      <c r="E947">
        <v>43</v>
      </c>
      <c r="F947">
        <v>16880</v>
      </c>
      <c r="G947">
        <v>22422</v>
      </c>
      <c r="H947">
        <v>4</v>
      </c>
      <c r="I947">
        <v>11</v>
      </c>
      <c r="J947">
        <v>25</v>
      </c>
      <c r="K947">
        <v>2</v>
      </c>
      <c r="L947">
        <v>3</v>
      </c>
      <c r="M947">
        <v>2</v>
      </c>
      <c r="N947">
        <v>1</v>
      </c>
      <c r="O947">
        <v>2</v>
      </c>
      <c r="P947" t="s">
        <v>1556</v>
      </c>
      <c r="Q947" t="s">
        <v>1552</v>
      </c>
      <c r="R947" t="s">
        <v>1550</v>
      </c>
      <c r="S947" t="s">
        <v>1534</v>
      </c>
      <c r="T947" t="s">
        <v>1538</v>
      </c>
      <c r="U947" t="s">
        <v>1548</v>
      </c>
      <c r="V947" t="s">
        <v>1558</v>
      </c>
      <c r="W947" t="s">
        <v>1563</v>
      </c>
      <c r="X947" t="s">
        <v>1578</v>
      </c>
      <c r="Y947" t="s">
        <v>1588</v>
      </c>
      <c r="Z947" t="s">
        <v>1591</v>
      </c>
      <c r="AA947" t="s">
        <v>1597</v>
      </c>
      <c r="AB947" t="s">
        <v>1600</v>
      </c>
      <c r="AC947" t="s">
        <v>1610</v>
      </c>
      <c r="AD947" t="s">
        <v>1605</v>
      </c>
      <c r="AE947" t="s">
        <v>1616</v>
      </c>
      <c r="AF947" t="s">
        <v>1627</v>
      </c>
    </row>
    <row r="948" spans="1:32" x14ac:dyDescent="0.25">
      <c r="A948" t="s">
        <v>1005</v>
      </c>
      <c r="B948">
        <v>40</v>
      </c>
      <c r="C948">
        <v>299</v>
      </c>
      <c r="D948">
        <v>25</v>
      </c>
      <c r="E948">
        <v>57</v>
      </c>
      <c r="F948">
        <v>9094</v>
      </c>
      <c r="G948">
        <v>17235</v>
      </c>
      <c r="H948">
        <v>2</v>
      </c>
      <c r="I948">
        <v>12</v>
      </c>
      <c r="J948">
        <v>9</v>
      </c>
      <c r="K948">
        <v>2</v>
      </c>
      <c r="L948">
        <v>5</v>
      </c>
      <c r="M948">
        <v>4</v>
      </c>
      <c r="N948">
        <v>1</v>
      </c>
      <c r="O948">
        <v>0</v>
      </c>
      <c r="P948" t="s">
        <v>1555</v>
      </c>
      <c r="Q948" t="s">
        <v>1552</v>
      </c>
      <c r="R948" t="s">
        <v>1549</v>
      </c>
      <c r="S948" t="s">
        <v>1535</v>
      </c>
      <c r="T948" t="s">
        <v>1541</v>
      </c>
      <c r="U948" t="s">
        <v>1548</v>
      </c>
      <c r="V948" t="s">
        <v>1559</v>
      </c>
      <c r="W948" t="s">
        <v>1562</v>
      </c>
      <c r="X948" t="s">
        <v>1577</v>
      </c>
      <c r="Y948" t="s">
        <v>1581</v>
      </c>
      <c r="Z948" t="s">
        <v>1592</v>
      </c>
      <c r="AA948" t="s">
        <v>1596</v>
      </c>
      <c r="AB948" t="s">
        <v>1600</v>
      </c>
      <c r="AC948" t="s">
        <v>1610</v>
      </c>
      <c r="AD948" t="s">
        <v>1606</v>
      </c>
      <c r="AE948" t="s">
        <v>1616</v>
      </c>
      <c r="AF948" t="s">
        <v>1627</v>
      </c>
    </row>
    <row r="949" spans="1:32" x14ac:dyDescent="0.25">
      <c r="A949" t="s">
        <v>1006</v>
      </c>
      <c r="B949">
        <v>52</v>
      </c>
      <c r="C949">
        <v>1030</v>
      </c>
      <c r="D949">
        <v>5</v>
      </c>
      <c r="E949">
        <v>64</v>
      </c>
      <c r="F949">
        <v>8446</v>
      </c>
      <c r="G949">
        <v>21534</v>
      </c>
      <c r="H949">
        <v>9</v>
      </c>
      <c r="I949">
        <v>19</v>
      </c>
      <c r="J949">
        <v>10</v>
      </c>
      <c r="K949">
        <v>2</v>
      </c>
      <c r="L949">
        <v>8</v>
      </c>
      <c r="M949">
        <v>7</v>
      </c>
      <c r="N949">
        <v>7</v>
      </c>
      <c r="O949">
        <v>7</v>
      </c>
      <c r="P949" t="s">
        <v>1555</v>
      </c>
      <c r="Q949" t="s">
        <v>1552</v>
      </c>
      <c r="R949" t="s">
        <v>1549</v>
      </c>
      <c r="S949" t="s">
        <v>1534</v>
      </c>
      <c r="T949" t="s">
        <v>1538</v>
      </c>
      <c r="U949" t="s">
        <v>1546</v>
      </c>
      <c r="V949" t="s">
        <v>1559</v>
      </c>
      <c r="W949" t="s">
        <v>1563</v>
      </c>
      <c r="X949" t="s">
        <v>1577</v>
      </c>
      <c r="Y949" t="s">
        <v>1581</v>
      </c>
      <c r="Z949" t="s">
        <v>1592</v>
      </c>
      <c r="AA949" t="s">
        <v>1596</v>
      </c>
      <c r="AB949" t="s">
        <v>1600</v>
      </c>
      <c r="AC949" t="s">
        <v>1610</v>
      </c>
      <c r="AD949" t="s">
        <v>1606</v>
      </c>
      <c r="AE949" t="s">
        <v>1616</v>
      </c>
      <c r="AF949" t="s">
        <v>1626</v>
      </c>
    </row>
    <row r="950" spans="1:32" x14ac:dyDescent="0.25">
      <c r="A950" t="s">
        <v>1007</v>
      </c>
      <c r="B950">
        <v>30</v>
      </c>
      <c r="C950">
        <v>634</v>
      </c>
      <c r="D950">
        <v>17</v>
      </c>
      <c r="E950">
        <v>95</v>
      </c>
      <c r="F950">
        <v>11916</v>
      </c>
      <c r="G950">
        <v>25927</v>
      </c>
      <c r="H950">
        <v>1</v>
      </c>
      <c r="I950">
        <v>23</v>
      </c>
      <c r="J950">
        <v>9</v>
      </c>
      <c r="K950">
        <v>2</v>
      </c>
      <c r="L950">
        <v>9</v>
      </c>
      <c r="M950">
        <v>1</v>
      </c>
      <c r="N950">
        <v>0</v>
      </c>
      <c r="O950">
        <v>8</v>
      </c>
      <c r="P950" t="s">
        <v>1556</v>
      </c>
      <c r="Q950" t="s">
        <v>1552</v>
      </c>
      <c r="R950" t="s">
        <v>1550</v>
      </c>
      <c r="S950" t="s">
        <v>1535</v>
      </c>
      <c r="T950" t="s">
        <v>1540</v>
      </c>
      <c r="U950" t="s">
        <v>1546</v>
      </c>
      <c r="V950" t="s">
        <v>1558</v>
      </c>
      <c r="W950" t="s">
        <v>1563</v>
      </c>
      <c r="X950" t="s">
        <v>1577</v>
      </c>
      <c r="Y950" t="s">
        <v>1586</v>
      </c>
      <c r="Z950" t="s">
        <v>1591</v>
      </c>
      <c r="AA950" t="s">
        <v>1597</v>
      </c>
      <c r="AB950" t="s">
        <v>1600</v>
      </c>
      <c r="AC950" t="s">
        <v>1611</v>
      </c>
      <c r="AD950" t="s">
        <v>1607</v>
      </c>
      <c r="AE950" t="s">
        <v>1618</v>
      </c>
      <c r="AF950" t="s">
        <v>1627</v>
      </c>
    </row>
    <row r="951" spans="1:32" x14ac:dyDescent="0.25">
      <c r="A951" t="s">
        <v>1008</v>
      </c>
      <c r="B951">
        <v>39</v>
      </c>
      <c r="C951">
        <v>524</v>
      </c>
      <c r="D951">
        <v>18</v>
      </c>
      <c r="E951">
        <v>32</v>
      </c>
      <c r="F951">
        <v>4534</v>
      </c>
      <c r="G951">
        <v>13352</v>
      </c>
      <c r="H951">
        <v>0</v>
      </c>
      <c r="I951">
        <v>11</v>
      </c>
      <c r="J951">
        <v>9</v>
      </c>
      <c r="K951">
        <v>6</v>
      </c>
      <c r="L951">
        <v>8</v>
      </c>
      <c r="M951">
        <v>7</v>
      </c>
      <c r="N951">
        <v>1</v>
      </c>
      <c r="O951">
        <v>7</v>
      </c>
      <c r="P951" t="s">
        <v>1556</v>
      </c>
      <c r="Q951" t="s">
        <v>1552</v>
      </c>
      <c r="R951" t="s">
        <v>1550</v>
      </c>
      <c r="S951" t="s">
        <v>1533</v>
      </c>
      <c r="T951" t="s">
        <v>1538</v>
      </c>
      <c r="U951" t="s">
        <v>1545</v>
      </c>
      <c r="V951" t="s">
        <v>1559</v>
      </c>
      <c r="W951" t="s">
        <v>1563</v>
      </c>
      <c r="X951" t="s">
        <v>1576</v>
      </c>
      <c r="Y951" t="s">
        <v>1584</v>
      </c>
      <c r="Z951" t="s">
        <v>1593</v>
      </c>
      <c r="AA951" t="s">
        <v>1596</v>
      </c>
      <c r="AB951" t="s">
        <v>1601</v>
      </c>
      <c r="AC951" t="s">
        <v>1610</v>
      </c>
      <c r="AD951" t="s">
        <v>1604</v>
      </c>
      <c r="AE951" t="s">
        <v>1616</v>
      </c>
      <c r="AF951" t="s">
        <v>1627</v>
      </c>
    </row>
    <row r="952" spans="1:32" x14ac:dyDescent="0.25">
      <c r="A952" t="s">
        <v>1009</v>
      </c>
      <c r="B952">
        <v>31</v>
      </c>
      <c r="C952">
        <v>587</v>
      </c>
      <c r="D952">
        <v>2</v>
      </c>
      <c r="E952">
        <v>57</v>
      </c>
      <c r="F952">
        <v>9852</v>
      </c>
      <c r="G952">
        <v>8935</v>
      </c>
      <c r="H952">
        <v>1</v>
      </c>
      <c r="I952">
        <v>19</v>
      </c>
      <c r="J952">
        <v>10</v>
      </c>
      <c r="K952">
        <v>5</v>
      </c>
      <c r="L952">
        <v>10</v>
      </c>
      <c r="M952">
        <v>8</v>
      </c>
      <c r="N952">
        <v>9</v>
      </c>
      <c r="O952">
        <v>6</v>
      </c>
      <c r="P952" t="s">
        <v>1556</v>
      </c>
      <c r="Q952" t="s">
        <v>1554</v>
      </c>
      <c r="R952" t="s">
        <v>1549</v>
      </c>
      <c r="S952" t="s">
        <v>1535</v>
      </c>
      <c r="T952" t="s">
        <v>1538</v>
      </c>
      <c r="U952" t="s">
        <v>1548</v>
      </c>
      <c r="V952" t="s">
        <v>1558</v>
      </c>
      <c r="W952" t="s">
        <v>1563</v>
      </c>
      <c r="X952" t="s">
        <v>1577</v>
      </c>
      <c r="Y952" t="s">
        <v>1581</v>
      </c>
      <c r="Z952" t="s">
        <v>1593</v>
      </c>
      <c r="AA952" t="s">
        <v>1598</v>
      </c>
      <c r="AB952" t="s">
        <v>1600</v>
      </c>
      <c r="AC952" t="s">
        <v>1610</v>
      </c>
      <c r="AD952" t="s">
        <v>1604</v>
      </c>
      <c r="AE952" t="s">
        <v>1617</v>
      </c>
      <c r="AF952" t="s">
        <v>1626</v>
      </c>
    </row>
    <row r="953" spans="1:32" x14ac:dyDescent="0.25">
      <c r="A953" t="s">
        <v>1010</v>
      </c>
      <c r="B953">
        <v>41</v>
      </c>
      <c r="C953">
        <v>256</v>
      </c>
      <c r="D953">
        <v>10</v>
      </c>
      <c r="E953">
        <v>40</v>
      </c>
      <c r="F953">
        <v>6151</v>
      </c>
      <c r="G953">
        <v>22074</v>
      </c>
      <c r="H953">
        <v>1</v>
      </c>
      <c r="I953">
        <v>13</v>
      </c>
      <c r="J953">
        <v>19</v>
      </c>
      <c r="K953">
        <v>4</v>
      </c>
      <c r="L953">
        <v>19</v>
      </c>
      <c r="M953">
        <v>2</v>
      </c>
      <c r="N953">
        <v>11</v>
      </c>
      <c r="O953">
        <v>9</v>
      </c>
      <c r="P953" t="s">
        <v>1556</v>
      </c>
      <c r="Q953" t="s">
        <v>1554</v>
      </c>
      <c r="R953" t="s">
        <v>1549</v>
      </c>
      <c r="S953" t="s">
        <v>1533</v>
      </c>
      <c r="T953" t="s">
        <v>1540</v>
      </c>
      <c r="U953" t="s">
        <v>1547</v>
      </c>
      <c r="V953" t="s">
        <v>1559</v>
      </c>
      <c r="W953" t="s">
        <v>1561</v>
      </c>
      <c r="X953" t="s">
        <v>1576</v>
      </c>
      <c r="Y953" t="s">
        <v>1581</v>
      </c>
      <c r="Z953" t="s">
        <v>1592</v>
      </c>
      <c r="AA953" t="s">
        <v>1596</v>
      </c>
      <c r="AB953" t="s">
        <v>1601</v>
      </c>
      <c r="AC953" t="s">
        <v>1610</v>
      </c>
      <c r="AD953" t="s">
        <v>1604</v>
      </c>
      <c r="AE953" t="s">
        <v>1616</v>
      </c>
      <c r="AF953" t="s">
        <v>1627</v>
      </c>
    </row>
    <row r="954" spans="1:32" x14ac:dyDescent="0.25">
      <c r="A954" t="s">
        <v>1011</v>
      </c>
      <c r="B954">
        <v>31</v>
      </c>
      <c r="C954">
        <v>1060</v>
      </c>
      <c r="D954">
        <v>1</v>
      </c>
      <c r="E954">
        <v>54</v>
      </c>
      <c r="F954">
        <v>2302</v>
      </c>
      <c r="G954">
        <v>8319</v>
      </c>
      <c r="H954">
        <v>1</v>
      </c>
      <c r="I954">
        <v>11</v>
      </c>
      <c r="J954">
        <v>3</v>
      </c>
      <c r="K954">
        <v>2</v>
      </c>
      <c r="L954">
        <v>3</v>
      </c>
      <c r="M954">
        <v>2</v>
      </c>
      <c r="N954">
        <v>2</v>
      </c>
      <c r="O954">
        <v>2</v>
      </c>
      <c r="P954" t="s">
        <v>1555</v>
      </c>
      <c r="Q954" t="s">
        <v>1553</v>
      </c>
      <c r="R954" t="s">
        <v>1549</v>
      </c>
      <c r="S954" t="s">
        <v>1534</v>
      </c>
      <c r="T954" t="s">
        <v>1538</v>
      </c>
      <c r="U954" t="s">
        <v>1548</v>
      </c>
      <c r="V954" t="s">
        <v>1558</v>
      </c>
      <c r="W954" t="s">
        <v>1563</v>
      </c>
      <c r="X954" t="s">
        <v>1575</v>
      </c>
      <c r="Y954" t="s">
        <v>1587</v>
      </c>
      <c r="Z954" t="s">
        <v>1592</v>
      </c>
      <c r="AA954" t="s">
        <v>1596</v>
      </c>
      <c r="AB954" t="s">
        <v>1600</v>
      </c>
      <c r="AC954" t="s">
        <v>1610</v>
      </c>
      <c r="AD954" t="s">
        <v>1604</v>
      </c>
      <c r="AE954" t="s">
        <v>1616</v>
      </c>
      <c r="AF954" t="s">
        <v>1628</v>
      </c>
    </row>
    <row r="955" spans="1:32" x14ac:dyDescent="0.25">
      <c r="A955" t="s">
        <v>1012</v>
      </c>
      <c r="B955">
        <v>44</v>
      </c>
      <c r="C955">
        <v>935</v>
      </c>
      <c r="D955">
        <v>3</v>
      </c>
      <c r="E955">
        <v>89</v>
      </c>
      <c r="F955">
        <v>2362</v>
      </c>
      <c r="G955">
        <v>14669</v>
      </c>
      <c r="H955">
        <v>4</v>
      </c>
      <c r="I955">
        <v>12</v>
      </c>
      <c r="J955">
        <v>10</v>
      </c>
      <c r="K955">
        <v>4</v>
      </c>
      <c r="L955">
        <v>3</v>
      </c>
      <c r="M955">
        <v>2</v>
      </c>
      <c r="N955">
        <v>1</v>
      </c>
      <c r="O955">
        <v>2</v>
      </c>
      <c r="P955" t="s">
        <v>1555</v>
      </c>
      <c r="Q955" t="s">
        <v>1552</v>
      </c>
      <c r="R955" t="s">
        <v>1550</v>
      </c>
      <c r="S955" t="s">
        <v>1534</v>
      </c>
      <c r="T955" t="s">
        <v>1538</v>
      </c>
      <c r="U955" t="s">
        <v>1545</v>
      </c>
      <c r="V955" t="s">
        <v>1559</v>
      </c>
      <c r="W955" t="s">
        <v>1563</v>
      </c>
      <c r="X955" t="s">
        <v>1575</v>
      </c>
      <c r="Y955" t="s">
        <v>1583</v>
      </c>
      <c r="Z955" t="s">
        <v>1591</v>
      </c>
      <c r="AA955" t="s">
        <v>1597</v>
      </c>
      <c r="AB955" t="s">
        <v>1601</v>
      </c>
      <c r="AC955" t="s">
        <v>1610</v>
      </c>
      <c r="AD955" t="s">
        <v>1606</v>
      </c>
      <c r="AE955" t="s">
        <v>1616</v>
      </c>
      <c r="AF955" t="s">
        <v>1628</v>
      </c>
    </row>
    <row r="956" spans="1:32" x14ac:dyDescent="0.25">
      <c r="A956" t="s">
        <v>1013</v>
      </c>
      <c r="B956">
        <v>42</v>
      </c>
      <c r="C956">
        <v>495</v>
      </c>
      <c r="D956">
        <v>2</v>
      </c>
      <c r="E956">
        <v>37</v>
      </c>
      <c r="F956">
        <v>17861</v>
      </c>
      <c r="G956">
        <v>26582</v>
      </c>
      <c r="H956">
        <v>0</v>
      </c>
      <c r="I956">
        <v>13</v>
      </c>
      <c r="J956">
        <v>21</v>
      </c>
      <c r="K956">
        <v>3</v>
      </c>
      <c r="L956">
        <v>20</v>
      </c>
      <c r="M956">
        <v>8</v>
      </c>
      <c r="N956">
        <v>2</v>
      </c>
      <c r="O956">
        <v>10</v>
      </c>
      <c r="P956" t="s">
        <v>1556</v>
      </c>
      <c r="Q956" t="s">
        <v>1554</v>
      </c>
      <c r="R956" t="s">
        <v>1550</v>
      </c>
      <c r="S956" t="s">
        <v>1532</v>
      </c>
      <c r="T956" t="s">
        <v>1538</v>
      </c>
      <c r="U956" t="s">
        <v>1547</v>
      </c>
      <c r="V956" t="s">
        <v>1559</v>
      </c>
      <c r="W956" t="s">
        <v>1563</v>
      </c>
      <c r="X956" t="s">
        <v>1578</v>
      </c>
      <c r="Y956" t="s">
        <v>1586</v>
      </c>
      <c r="Z956" t="s">
        <v>1593</v>
      </c>
      <c r="AA956" t="s">
        <v>1597</v>
      </c>
      <c r="AB956" t="s">
        <v>1600</v>
      </c>
      <c r="AC956" t="s">
        <v>1610</v>
      </c>
      <c r="AD956" t="s">
        <v>1607</v>
      </c>
      <c r="AE956" t="s">
        <v>1616</v>
      </c>
      <c r="AF956" t="s">
        <v>1626</v>
      </c>
    </row>
    <row r="957" spans="1:32" x14ac:dyDescent="0.25">
      <c r="A957" t="s">
        <v>1014</v>
      </c>
      <c r="B957">
        <v>55</v>
      </c>
      <c r="C957">
        <v>282</v>
      </c>
      <c r="D957">
        <v>2</v>
      </c>
      <c r="E957">
        <v>58</v>
      </c>
      <c r="F957">
        <v>19187</v>
      </c>
      <c r="G957">
        <v>6992</v>
      </c>
      <c r="H957">
        <v>4</v>
      </c>
      <c r="I957">
        <v>14</v>
      </c>
      <c r="J957">
        <v>23</v>
      </c>
      <c r="K957">
        <v>5</v>
      </c>
      <c r="L957">
        <v>19</v>
      </c>
      <c r="M957">
        <v>9</v>
      </c>
      <c r="N957">
        <v>9</v>
      </c>
      <c r="O957">
        <v>11</v>
      </c>
      <c r="P957" t="s">
        <v>1556</v>
      </c>
      <c r="Q957" t="s">
        <v>1552</v>
      </c>
      <c r="R957" t="s">
        <v>1550</v>
      </c>
      <c r="S957" t="s">
        <v>1533</v>
      </c>
      <c r="T957" t="s">
        <v>1540</v>
      </c>
      <c r="U957" t="s">
        <v>1548</v>
      </c>
      <c r="V957" t="s">
        <v>1558</v>
      </c>
      <c r="W957" t="s">
        <v>1561</v>
      </c>
      <c r="X957" t="s">
        <v>1579</v>
      </c>
      <c r="Y957" t="s">
        <v>1586</v>
      </c>
      <c r="Z957" t="s">
        <v>1593</v>
      </c>
      <c r="AA957" t="s">
        <v>1597</v>
      </c>
      <c r="AB957" t="s">
        <v>1601</v>
      </c>
      <c r="AC957" t="s">
        <v>1610</v>
      </c>
      <c r="AD957" t="s">
        <v>1607</v>
      </c>
      <c r="AE957" t="s">
        <v>1617</v>
      </c>
      <c r="AF957" t="s">
        <v>1627</v>
      </c>
    </row>
    <row r="958" spans="1:32" x14ac:dyDescent="0.25">
      <c r="A958" t="s">
        <v>1015</v>
      </c>
      <c r="B958">
        <v>56</v>
      </c>
      <c r="C958">
        <v>206</v>
      </c>
      <c r="D958">
        <v>8</v>
      </c>
      <c r="E958">
        <v>99</v>
      </c>
      <c r="F958">
        <v>19717</v>
      </c>
      <c r="G958">
        <v>4022</v>
      </c>
      <c r="H958">
        <v>6</v>
      </c>
      <c r="I958">
        <v>14</v>
      </c>
      <c r="J958">
        <v>36</v>
      </c>
      <c r="K958">
        <v>4</v>
      </c>
      <c r="L958">
        <v>7</v>
      </c>
      <c r="M958">
        <v>3</v>
      </c>
      <c r="N958">
        <v>7</v>
      </c>
      <c r="O958">
        <v>7</v>
      </c>
      <c r="P958" t="s">
        <v>1556</v>
      </c>
      <c r="Q958" t="s">
        <v>1552</v>
      </c>
      <c r="R958" t="s">
        <v>1551</v>
      </c>
      <c r="S958" t="s">
        <v>1535</v>
      </c>
      <c r="T958" t="s">
        <v>1538</v>
      </c>
      <c r="U958" t="s">
        <v>1548</v>
      </c>
      <c r="V958" t="s">
        <v>1559</v>
      </c>
      <c r="W958" t="s">
        <v>1563</v>
      </c>
      <c r="X958" t="s">
        <v>1579</v>
      </c>
      <c r="Y958" t="s">
        <v>1586</v>
      </c>
      <c r="Z958" t="s">
        <v>1592</v>
      </c>
      <c r="AA958" t="s">
        <v>1596</v>
      </c>
      <c r="AB958" t="s">
        <v>1601</v>
      </c>
      <c r="AC958" t="s">
        <v>1610</v>
      </c>
      <c r="AD958" t="s">
        <v>1604</v>
      </c>
      <c r="AE958" t="s">
        <v>1616</v>
      </c>
      <c r="AF958" t="s">
        <v>1627</v>
      </c>
    </row>
    <row r="959" spans="1:32" x14ac:dyDescent="0.25">
      <c r="A959" t="s">
        <v>1016</v>
      </c>
      <c r="B959">
        <v>40</v>
      </c>
      <c r="C959">
        <v>458</v>
      </c>
      <c r="D959">
        <v>16</v>
      </c>
      <c r="E959">
        <v>74</v>
      </c>
      <c r="F959">
        <v>3544</v>
      </c>
      <c r="G959">
        <v>8532</v>
      </c>
      <c r="H959">
        <v>9</v>
      </c>
      <c r="I959">
        <v>16</v>
      </c>
      <c r="J959">
        <v>6</v>
      </c>
      <c r="K959">
        <v>0</v>
      </c>
      <c r="L959">
        <v>4</v>
      </c>
      <c r="M959">
        <v>2</v>
      </c>
      <c r="N959">
        <v>0</v>
      </c>
      <c r="O959">
        <v>0</v>
      </c>
      <c r="P959" t="s">
        <v>1556</v>
      </c>
      <c r="Q959" t="s">
        <v>1554</v>
      </c>
      <c r="R959" t="s">
        <v>1550</v>
      </c>
      <c r="S959" t="s">
        <v>1533</v>
      </c>
      <c r="T959" t="s">
        <v>1538</v>
      </c>
      <c r="U959" t="s">
        <v>1547</v>
      </c>
      <c r="V959" t="s">
        <v>1559</v>
      </c>
      <c r="W959" t="s">
        <v>1563</v>
      </c>
      <c r="X959" t="s">
        <v>1575</v>
      </c>
      <c r="Y959" t="s">
        <v>1582</v>
      </c>
      <c r="Z959" t="s">
        <v>1593</v>
      </c>
      <c r="AA959" t="s">
        <v>1598</v>
      </c>
      <c r="AB959" t="s">
        <v>1601</v>
      </c>
      <c r="AC959" t="s">
        <v>1610</v>
      </c>
      <c r="AD959" t="s">
        <v>1605</v>
      </c>
      <c r="AE959" t="s">
        <v>1617</v>
      </c>
      <c r="AF959" t="s">
        <v>1627</v>
      </c>
    </row>
    <row r="960" spans="1:32" x14ac:dyDescent="0.25">
      <c r="A960" t="s">
        <v>1017</v>
      </c>
      <c r="B960">
        <v>34</v>
      </c>
      <c r="C960">
        <v>943</v>
      </c>
      <c r="D960">
        <v>9</v>
      </c>
      <c r="E960">
        <v>86</v>
      </c>
      <c r="F960">
        <v>8500</v>
      </c>
      <c r="G960">
        <v>5494</v>
      </c>
      <c r="H960">
        <v>0</v>
      </c>
      <c r="I960">
        <v>11</v>
      </c>
      <c r="J960">
        <v>10</v>
      </c>
      <c r="K960">
        <v>0</v>
      </c>
      <c r="L960">
        <v>9</v>
      </c>
      <c r="M960">
        <v>7</v>
      </c>
      <c r="N960">
        <v>1</v>
      </c>
      <c r="O960">
        <v>6</v>
      </c>
      <c r="P960" t="s">
        <v>1556</v>
      </c>
      <c r="Q960" t="s">
        <v>1552</v>
      </c>
      <c r="R960" t="s">
        <v>1550</v>
      </c>
      <c r="S960" t="s">
        <v>1534</v>
      </c>
      <c r="T960" t="s">
        <v>1538</v>
      </c>
      <c r="U960" t="s">
        <v>1548</v>
      </c>
      <c r="V960" t="s">
        <v>1559</v>
      </c>
      <c r="W960" t="s">
        <v>1563</v>
      </c>
      <c r="X960" t="s">
        <v>1577</v>
      </c>
      <c r="Y960" t="s">
        <v>1585</v>
      </c>
      <c r="Z960" t="s">
        <v>1594</v>
      </c>
      <c r="AA960" t="s">
        <v>1598</v>
      </c>
      <c r="AB960" t="s">
        <v>1601</v>
      </c>
      <c r="AC960" t="s">
        <v>1610</v>
      </c>
      <c r="AD960" t="s">
        <v>1607</v>
      </c>
      <c r="AE960" t="s">
        <v>1617</v>
      </c>
      <c r="AF960" t="s">
        <v>1626</v>
      </c>
    </row>
    <row r="961" spans="1:32" x14ac:dyDescent="0.25">
      <c r="A961" t="s">
        <v>1018</v>
      </c>
      <c r="B961">
        <v>40</v>
      </c>
      <c r="C961">
        <v>523</v>
      </c>
      <c r="D961">
        <v>2</v>
      </c>
      <c r="E961">
        <v>98</v>
      </c>
      <c r="F961">
        <v>4661</v>
      </c>
      <c r="G961">
        <v>22455</v>
      </c>
      <c r="H961">
        <v>1</v>
      </c>
      <c r="I961">
        <v>13</v>
      </c>
      <c r="J961">
        <v>9</v>
      </c>
      <c r="K961">
        <v>4</v>
      </c>
      <c r="L961">
        <v>9</v>
      </c>
      <c r="M961">
        <v>8</v>
      </c>
      <c r="N961">
        <v>8</v>
      </c>
      <c r="O961">
        <v>8</v>
      </c>
      <c r="P961" t="s">
        <v>1556</v>
      </c>
      <c r="Q961" t="s">
        <v>1552</v>
      </c>
      <c r="R961" t="s">
        <v>1550</v>
      </c>
      <c r="S961" t="s">
        <v>1534</v>
      </c>
      <c r="T961" t="s">
        <v>1538</v>
      </c>
      <c r="U961" t="s">
        <v>1547</v>
      </c>
      <c r="V961" t="s">
        <v>1559</v>
      </c>
      <c r="W961" t="s">
        <v>1563</v>
      </c>
      <c r="X961" t="s">
        <v>1576</v>
      </c>
      <c r="Y961" t="s">
        <v>1582</v>
      </c>
      <c r="Z961" t="s">
        <v>1594</v>
      </c>
      <c r="AA961" t="s">
        <v>1596</v>
      </c>
      <c r="AB961" t="s">
        <v>1601</v>
      </c>
      <c r="AC961" t="s">
        <v>1610</v>
      </c>
      <c r="AD961" t="s">
        <v>1606</v>
      </c>
      <c r="AE961" t="s">
        <v>1616</v>
      </c>
      <c r="AF961" t="s">
        <v>1627</v>
      </c>
    </row>
    <row r="962" spans="1:32" x14ac:dyDescent="0.25">
      <c r="A962" t="s">
        <v>1019</v>
      </c>
      <c r="B962">
        <v>41</v>
      </c>
      <c r="C962">
        <v>1018</v>
      </c>
      <c r="D962">
        <v>1</v>
      </c>
      <c r="E962">
        <v>66</v>
      </c>
      <c r="F962">
        <v>4103</v>
      </c>
      <c r="G962">
        <v>4297</v>
      </c>
      <c r="H962">
        <v>0</v>
      </c>
      <c r="I962">
        <v>17</v>
      </c>
      <c r="J962">
        <v>10</v>
      </c>
      <c r="K962">
        <v>2</v>
      </c>
      <c r="L962">
        <v>9</v>
      </c>
      <c r="M962">
        <v>3</v>
      </c>
      <c r="N962">
        <v>1</v>
      </c>
      <c r="O962">
        <v>7</v>
      </c>
      <c r="P962" t="s">
        <v>1556</v>
      </c>
      <c r="Q962" t="s">
        <v>1553</v>
      </c>
      <c r="R962" t="s">
        <v>1549</v>
      </c>
      <c r="S962" t="s">
        <v>1534</v>
      </c>
      <c r="T962" t="s">
        <v>1541</v>
      </c>
      <c r="U962" t="s">
        <v>1547</v>
      </c>
      <c r="V962" t="s">
        <v>1558</v>
      </c>
      <c r="W962" t="s">
        <v>1563</v>
      </c>
      <c r="X962" t="s">
        <v>1576</v>
      </c>
      <c r="Y962" t="s">
        <v>1581</v>
      </c>
      <c r="Z962" t="s">
        <v>1591</v>
      </c>
      <c r="AA962" t="s">
        <v>1598</v>
      </c>
      <c r="AB962" t="s">
        <v>1601</v>
      </c>
      <c r="AC962" t="s">
        <v>1610</v>
      </c>
      <c r="AD962" t="s">
        <v>1607</v>
      </c>
      <c r="AE962" t="s">
        <v>1617</v>
      </c>
      <c r="AF962" t="s">
        <v>1627</v>
      </c>
    </row>
    <row r="963" spans="1:32" x14ac:dyDescent="0.25">
      <c r="A963" t="s">
        <v>1020</v>
      </c>
      <c r="B963">
        <v>35</v>
      </c>
      <c r="C963">
        <v>482</v>
      </c>
      <c r="D963">
        <v>4</v>
      </c>
      <c r="E963">
        <v>87</v>
      </c>
      <c r="F963">
        <v>4249</v>
      </c>
      <c r="G963">
        <v>2690</v>
      </c>
      <c r="H963">
        <v>1</v>
      </c>
      <c r="I963">
        <v>11</v>
      </c>
      <c r="J963">
        <v>9</v>
      </c>
      <c r="K963">
        <v>3</v>
      </c>
      <c r="L963">
        <v>9</v>
      </c>
      <c r="M963">
        <v>6</v>
      </c>
      <c r="N963">
        <v>1</v>
      </c>
      <c r="O963">
        <v>1</v>
      </c>
      <c r="P963" t="s">
        <v>1556</v>
      </c>
      <c r="Q963" t="s">
        <v>1553</v>
      </c>
      <c r="R963" t="s">
        <v>1550</v>
      </c>
      <c r="S963" t="s">
        <v>1535</v>
      </c>
      <c r="T963" t="s">
        <v>1538</v>
      </c>
      <c r="U963" t="s">
        <v>1547</v>
      </c>
      <c r="V963" t="s">
        <v>1559</v>
      </c>
      <c r="W963" t="s">
        <v>1563</v>
      </c>
      <c r="X963" t="s">
        <v>1576</v>
      </c>
      <c r="Y963" t="s">
        <v>1582</v>
      </c>
      <c r="Z963" t="s">
        <v>1593</v>
      </c>
      <c r="AA963" t="s">
        <v>1596</v>
      </c>
      <c r="AB963" t="s">
        <v>1600</v>
      </c>
      <c r="AC963" t="s">
        <v>1610</v>
      </c>
      <c r="AD963" t="s">
        <v>1605</v>
      </c>
      <c r="AE963" t="s">
        <v>1616</v>
      </c>
      <c r="AF963" t="s">
        <v>1627</v>
      </c>
    </row>
    <row r="964" spans="1:32" x14ac:dyDescent="0.25">
      <c r="A964" t="s">
        <v>1021</v>
      </c>
      <c r="B964">
        <v>51</v>
      </c>
      <c r="C964">
        <v>770</v>
      </c>
      <c r="D964">
        <v>5</v>
      </c>
      <c r="E964">
        <v>84</v>
      </c>
      <c r="F964">
        <v>14026</v>
      </c>
      <c r="G964">
        <v>17588</v>
      </c>
      <c r="H964">
        <v>1</v>
      </c>
      <c r="I964">
        <v>11</v>
      </c>
      <c r="J964">
        <v>33</v>
      </c>
      <c r="K964">
        <v>2</v>
      </c>
      <c r="L964">
        <v>33</v>
      </c>
      <c r="M964">
        <v>9</v>
      </c>
      <c r="N964">
        <v>0</v>
      </c>
      <c r="O964">
        <v>10</v>
      </c>
      <c r="P964" t="s">
        <v>1556</v>
      </c>
      <c r="Q964" t="s">
        <v>1552</v>
      </c>
      <c r="R964" t="s">
        <v>1551</v>
      </c>
      <c r="S964" t="s">
        <v>1534</v>
      </c>
      <c r="T964" t="s">
        <v>1538</v>
      </c>
      <c r="U964" t="s">
        <v>1547</v>
      </c>
      <c r="V964" t="s">
        <v>1559</v>
      </c>
      <c r="W964" t="s">
        <v>1563</v>
      </c>
      <c r="X964" t="s">
        <v>1578</v>
      </c>
      <c r="Y964" t="s">
        <v>1586</v>
      </c>
      <c r="Z964" t="s">
        <v>1592</v>
      </c>
      <c r="AA964" t="s">
        <v>1598</v>
      </c>
      <c r="AB964" t="s">
        <v>1600</v>
      </c>
      <c r="AC964" t="s">
        <v>1610</v>
      </c>
      <c r="AD964" t="s">
        <v>1605</v>
      </c>
      <c r="AE964" t="s">
        <v>1617</v>
      </c>
      <c r="AF964" t="s">
        <v>1627</v>
      </c>
    </row>
    <row r="965" spans="1:32" x14ac:dyDescent="0.25">
      <c r="A965" t="s">
        <v>1022</v>
      </c>
      <c r="B965">
        <v>38</v>
      </c>
      <c r="C965">
        <v>1009</v>
      </c>
      <c r="D965">
        <v>2</v>
      </c>
      <c r="E965">
        <v>31</v>
      </c>
      <c r="F965">
        <v>6893</v>
      </c>
      <c r="G965">
        <v>19461</v>
      </c>
      <c r="H965">
        <v>3</v>
      </c>
      <c r="I965">
        <v>15</v>
      </c>
      <c r="J965">
        <v>11</v>
      </c>
      <c r="K965">
        <v>3</v>
      </c>
      <c r="L965">
        <v>7</v>
      </c>
      <c r="M965">
        <v>7</v>
      </c>
      <c r="N965">
        <v>1</v>
      </c>
      <c r="O965">
        <v>7</v>
      </c>
      <c r="P965" t="s">
        <v>1556</v>
      </c>
      <c r="Q965" t="s">
        <v>1552</v>
      </c>
      <c r="R965" t="s">
        <v>1549</v>
      </c>
      <c r="S965" t="s">
        <v>1533</v>
      </c>
      <c r="T965" t="s">
        <v>1538</v>
      </c>
      <c r="U965" t="s">
        <v>1546</v>
      </c>
      <c r="V965" t="s">
        <v>1558</v>
      </c>
      <c r="W965" t="s">
        <v>1563</v>
      </c>
      <c r="X965" t="s">
        <v>1576</v>
      </c>
      <c r="Y965" t="s">
        <v>1581</v>
      </c>
      <c r="Z965" t="s">
        <v>1591</v>
      </c>
      <c r="AA965" t="s">
        <v>1598</v>
      </c>
      <c r="AB965" t="s">
        <v>1601</v>
      </c>
      <c r="AC965" t="s">
        <v>1610</v>
      </c>
      <c r="AD965" t="s">
        <v>1607</v>
      </c>
      <c r="AE965" t="s">
        <v>1617</v>
      </c>
      <c r="AF965" t="s">
        <v>1627</v>
      </c>
    </row>
    <row r="966" spans="1:32" x14ac:dyDescent="0.25">
      <c r="A966" t="s">
        <v>1023</v>
      </c>
      <c r="B966">
        <v>34</v>
      </c>
      <c r="C966">
        <v>507</v>
      </c>
      <c r="D966">
        <v>15</v>
      </c>
      <c r="E966">
        <v>66</v>
      </c>
      <c r="F966">
        <v>6125</v>
      </c>
      <c r="G966">
        <v>23553</v>
      </c>
      <c r="H966">
        <v>1</v>
      </c>
      <c r="I966">
        <v>12</v>
      </c>
      <c r="J966">
        <v>10</v>
      </c>
      <c r="K966">
        <v>6</v>
      </c>
      <c r="L966">
        <v>10</v>
      </c>
      <c r="M966">
        <v>8</v>
      </c>
      <c r="N966">
        <v>9</v>
      </c>
      <c r="O966">
        <v>6</v>
      </c>
      <c r="P966" t="s">
        <v>1556</v>
      </c>
      <c r="Q966" t="s">
        <v>1552</v>
      </c>
      <c r="R966" t="s">
        <v>1549</v>
      </c>
      <c r="S966" t="s">
        <v>1533</v>
      </c>
      <c r="T966" t="s">
        <v>1540</v>
      </c>
      <c r="U966" t="s">
        <v>1547</v>
      </c>
      <c r="V966" t="s">
        <v>1558</v>
      </c>
      <c r="W966" t="s">
        <v>1563</v>
      </c>
      <c r="X966" t="s">
        <v>1576</v>
      </c>
      <c r="Y966" t="s">
        <v>1581</v>
      </c>
      <c r="Z966" t="s">
        <v>1591</v>
      </c>
      <c r="AA966" t="s">
        <v>1596</v>
      </c>
      <c r="AB966" t="s">
        <v>1601</v>
      </c>
      <c r="AC966" t="s">
        <v>1610</v>
      </c>
      <c r="AD966" t="s">
        <v>1607</v>
      </c>
      <c r="AE966" t="s">
        <v>1616</v>
      </c>
      <c r="AF966" t="s">
        <v>1628</v>
      </c>
    </row>
    <row r="967" spans="1:32" x14ac:dyDescent="0.25">
      <c r="A967" t="s">
        <v>1024</v>
      </c>
      <c r="B967">
        <v>25</v>
      </c>
      <c r="C967">
        <v>882</v>
      </c>
      <c r="D967">
        <v>19</v>
      </c>
      <c r="E967">
        <v>67</v>
      </c>
      <c r="F967">
        <v>3669</v>
      </c>
      <c r="G967">
        <v>9075</v>
      </c>
      <c r="H967">
        <v>3</v>
      </c>
      <c r="I967">
        <v>11</v>
      </c>
      <c r="J967">
        <v>7</v>
      </c>
      <c r="K967">
        <v>6</v>
      </c>
      <c r="L967">
        <v>3</v>
      </c>
      <c r="M967">
        <v>2</v>
      </c>
      <c r="N967">
        <v>1</v>
      </c>
      <c r="O967">
        <v>2</v>
      </c>
      <c r="P967" t="s">
        <v>1556</v>
      </c>
      <c r="Q967" t="s">
        <v>1552</v>
      </c>
      <c r="R967" t="s">
        <v>1550</v>
      </c>
      <c r="S967" t="s">
        <v>1532</v>
      </c>
      <c r="T967" t="s">
        <v>1540</v>
      </c>
      <c r="U967" t="s">
        <v>1548</v>
      </c>
      <c r="V967" t="s">
        <v>1559</v>
      </c>
      <c r="W967" t="s">
        <v>1563</v>
      </c>
      <c r="X967" t="s">
        <v>1575</v>
      </c>
      <c r="Y967" t="s">
        <v>1583</v>
      </c>
      <c r="Z967" t="s">
        <v>1594</v>
      </c>
      <c r="AA967" t="s">
        <v>1597</v>
      </c>
      <c r="AB967" t="s">
        <v>1601</v>
      </c>
      <c r="AC967" t="s">
        <v>1610</v>
      </c>
      <c r="AD967" t="s">
        <v>1606</v>
      </c>
      <c r="AE967" t="s">
        <v>1619</v>
      </c>
      <c r="AF967" t="s">
        <v>1626</v>
      </c>
    </row>
    <row r="968" spans="1:32" x14ac:dyDescent="0.25">
      <c r="A968" t="s">
        <v>1025</v>
      </c>
      <c r="B968">
        <v>58</v>
      </c>
      <c r="C968">
        <v>601</v>
      </c>
      <c r="D968">
        <v>7</v>
      </c>
      <c r="E968">
        <v>53</v>
      </c>
      <c r="F968">
        <v>10008</v>
      </c>
      <c r="G968">
        <v>12023</v>
      </c>
      <c r="H968">
        <v>7</v>
      </c>
      <c r="I968">
        <v>14</v>
      </c>
      <c r="J968">
        <v>31</v>
      </c>
      <c r="K968">
        <v>0</v>
      </c>
      <c r="L968">
        <v>10</v>
      </c>
      <c r="M968">
        <v>9</v>
      </c>
      <c r="N968">
        <v>5</v>
      </c>
      <c r="O968">
        <v>9</v>
      </c>
      <c r="P968" t="s">
        <v>1555</v>
      </c>
      <c r="Q968" t="s">
        <v>1552</v>
      </c>
      <c r="R968" t="s">
        <v>1550</v>
      </c>
      <c r="S968" t="s">
        <v>1535</v>
      </c>
      <c r="T968" t="s">
        <v>1540</v>
      </c>
      <c r="U968" t="s">
        <v>1547</v>
      </c>
      <c r="V968" t="s">
        <v>1558</v>
      </c>
      <c r="W968" t="s">
        <v>1562</v>
      </c>
      <c r="X968" t="s">
        <v>1577</v>
      </c>
      <c r="Y968" t="s">
        <v>1584</v>
      </c>
      <c r="Z968" t="s">
        <v>1591</v>
      </c>
      <c r="AA968" t="s">
        <v>1597</v>
      </c>
      <c r="AB968" t="s">
        <v>1600</v>
      </c>
      <c r="AC968" t="s">
        <v>1610</v>
      </c>
      <c r="AD968" t="s">
        <v>1607</v>
      </c>
      <c r="AE968" t="s">
        <v>1616</v>
      </c>
      <c r="AF968" t="s">
        <v>1626</v>
      </c>
    </row>
    <row r="969" spans="1:32" x14ac:dyDescent="0.25">
      <c r="A969" t="s">
        <v>1026</v>
      </c>
      <c r="B969">
        <v>40</v>
      </c>
      <c r="C969">
        <v>329</v>
      </c>
      <c r="D969">
        <v>1</v>
      </c>
      <c r="E969">
        <v>88</v>
      </c>
      <c r="F969">
        <v>2387</v>
      </c>
      <c r="G969">
        <v>6762</v>
      </c>
      <c r="H969">
        <v>3</v>
      </c>
      <c r="I969">
        <v>22</v>
      </c>
      <c r="J969">
        <v>7</v>
      </c>
      <c r="K969">
        <v>3</v>
      </c>
      <c r="L969">
        <v>4</v>
      </c>
      <c r="M969">
        <v>2</v>
      </c>
      <c r="N969">
        <v>0</v>
      </c>
      <c r="O969">
        <v>3</v>
      </c>
      <c r="P969" t="s">
        <v>1556</v>
      </c>
      <c r="Q969" t="s">
        <v>1552</v>
      </c>
      <c r="R969" t="s">
        <v>1550</v>
      </c>
      <c r="S969" t="s">
        <v>1535</v>
      </c>
      <c r="T969" t="s">
        <v>1538</v>
      </c>
      <c r="U969" t="s">
        <v>1546</v>
      </c>
      <c r="V969" t="s">
        <v>1559</v>
      </c>
      <c r="W969" t="s">
        <v>1563</v>
      </c>
      <c r="X969" t="s">
        <v>1575</v>
      </c>
      <c r="Y969" t="s">
        <v>1583</v>
      </c>
      <c r="Z969" t="s">
        <v>1592</v>
      </c>
      <c r="AA969" t="s">
        <v>1597</v>
      </c>
      <c r="AB969" t="s">
        <v>1601</v>
      </c>
      <c r="AC969" t="s">
        <v>1611</v>
      </c>
      <c r="AD969" t="s">
        <v>1606</v>
      </c>
      <c r="AE969" t="s">
        <v>1617</v>
      </c>
      <c r="AF969" t="s">
        <v>1627</v>
      </c>
    </row>
    <row r="970" spans="1:32" x14ac:dyDescent="0.25">
      <c r="A970" t="s">
        <v>1027</v>
      </c>
      <c r="B970">
        <v>36</v>
      </c>
      <c r="C970">
        <v>607</v>
      </c>
      <c r="D970">
        <v>7</v>
      </c>
      <c r="E970">
        <v>83</v>
      </c>
      <c r="F970">
        <v>4639</v>
      </c>
      <c r="G970">
        <v>2261</v>
      </c>
      <c r="H970">
        <v>2</v>
      </c>
      <c r="I970">
        <v>16</v>
      </c>
      <c r="J970">
        <v>17</v>
      </c>
      <c r="K970">
        <v>2</v>
      </c>
      <c r="L970">
        <v>15</v>
      </c>
      <c r="M970">
        <v>7</v>
      </c>
      <c r="N970">
        <v>6</v>
      </c>
      <c r="O970">
        <v>13</v>
      </c>
      <c r="P970" t="s">
        <v>1556</v>
      </c>
      <c r="Q970" t="s">
        <v>1553</v>
      </c>
      <c r="R970" t="s">
        <v>1549</v>
      </c>
      <c r="S970" t="s">
        <v>1534</v>
      </c>
      <c r="T970" t="s">
        <v>1541</v>
      </c>
      <c r="U970" t="s">
        <v>1545</v>
      </c>
      <c r="V970" t="s">
        <v>1558</v>
      </c>
      <c r="W970" t="s">
        <v>1564</v>
      </c>
      <c r="X970" t="s">
        <v>1576</v>
      </c>
      <c r="Y970" t="s">
        <v>1581</v>
      </c>
      <c r="Z970" t="s">
        <v>1591</v>
      </c>
      <c r="AA970" t="s">
        <v>1597</v>
      </c>
      <c r="AB970" t="s">
        <v>1601</v>
      </c>
      <c r="AC970" t="s">
        <v>1610</v>
      </c>
      <c r="AD970" t="s">
        <v>1607</v>
      </c>
      <c r="AE970" t="s">
        <v>1617</v>
      </c>
      <c r="AF970" t="s">
        <v>1626</v>
      </c>
    </row>
    <row r="971" spans="1:32" x14ac:dyDescent="0.25">
      <c r="A971" t="s">
        <v>1028</v>
      </c>
      <c r="B971">
        <v>48</v>
      </c>
      <c r="C971">
        <v>855</v>
      </c>
      <c r="D971">
        <v>4</v>
      </c>
      <c r="E971">
        <v>54</v>
      </c>
      <c r="F971">
        <v>7898</v>
      </c>
      <c r="G971">
        <v>18706</v>
      </c>
      <c r="H971">
        <v>1</v>
      </c>
      <c r="I971">
        <v>11</v>
      </c>
      <c r="J971">
        <v>11</v>
      </c>
      <c r="K971">
        <v>2</v>
      </c>
      <c r="L971">
        <v>10</v>
      </c>
      <c r="M971">
        <v>9</v>
      </c>
      <c r="N971">
        <v>0</v>
      </c>
      <c r="O971">
        <v>8</v>
      </c>
      <c r="P971" t="s">
        <v>1556</v>
      </c>
      <c r="Q971" t="s">
        <v>1552</v>
      </c>
      <c r="R971" t="s">
        <v>1550</v>
      </c>
      <c r="S971" t="s">
        <v>1534</v>
      </c>
      <c r="T971" t="s">
        <v>1538</v>
      </c>
      <c r="U971" t="s">
        <v>1548</v>
      </c>
      <c r="V971" t="s">
        <v>1559</v>
      </c>
      <c r="W971" t="s">
        <v>1563</v>
      </c>
      <c r="X971" t="s">
        <v>1577</v>
      </c>
      <c r="Y971" t="s">
        <v>1584</v>
      </c>
      <c r="Z971" t="s">
        <v>1594</v>
      </c>
      <c r="AA971" t="s">
        <v>1596</v>
      </c>
      <c r="AB971" t="s">
        <v>1601</v>
      </c>
      <c r="AC971" t="s">
        <v>1610</v>
      </c>
      <c r="AD971" t="s">
        <v>1606</v>
      </c>
      <c r="AE971" t="s">
        <v>1616</v>
      </c>
      <c r="AF971" t="s">
        <v>1627</v>
      </c>
    </row>
    <row r="972" spans="1:32" x14ac:dyDescent="0.25">
      <c r="A972" t="s">
        <v>1029</v>
      </c>
      <c r="B972">
        <v>27</v>
      </c>
      <c r="C972">
        <v>1291</v>
      </c>
      <c r="D972">
        <v>11</v>
      </c>
      <c r="E972">
        <v>98</v>
      </c>
      <c r="F972">
        <v>2534</v>
      </c>
      <c r="G972">
        <v>6527</v>
      </c>
      <c r="H972">
        <v>8</v>
      </c>
      <c r="I972">
        <v>14</v>
      </c>
      <c r="J972">
        <v>5</v>
      </c>
      <c r="K972">
        <v>4</v>
      </c>
      <c r="L972">
        <v>1</v>
      </c>
      <c r="M972">
        <v>0</v>
      </c>
      <c r="N972">
        <v>0</v>
      </c>
      <c r="O972">
        <v>0</v>
      </c>
      <c r="P972" t="s">
        <v>1556</v>
      </c>
      <c r="Q972" t="s">
        <v>1552</v>
      </c>
      <c r="R972" t="s">
        <v>1549</v>
      </c>
      <c r="S972" t="s">
        <v>1534</v>
      </c>
      <c r="T972" t="s">
        <v>1540</v>
      </c>
      <c r="U972" t="s">
        <v>1547</v>
      </c>
      <c r="V972" t="s">
        <v>1558</v>
      </c>
      <c r="W972" t="s">
        <v>1564</v>
      </c>
      <c r="X972" t="s">
        <v>1575</v>
      </c>
      <c r="Y972" t="s">
        <v>1587</v>
      </c>
      <c r="Z972" t="s">
        <v>1594</v>
      </c>
      <c r="AA972" t="s">
        <v>1597</v>
      </c>
      <c r="AB972" t="s">
        <v>1601</v>
      </c>
      <c r="AC972" t="s">
        <v>1610</v>
      </c>
      <c r="AD972" t="s">
        <v>1605</v>
      </c>
      <c r="AE972" t="s">
        <v>1617</v>
      </c>
      <c r="AF972" t="s">
        <v>1627</v>
      </c>
    </row>
    <row r="973" spans="1:32" x14ac:dyDescent="0.25">
      <c r="A973" t="s">
        <v>1030</v>
      </c>
      <c r="B973">
        <v>51</v>
      </c>
      <c r="C973">
        <v>1405</v>
      </c>
      <c r="D973">
        <v>11</v>
      </c>
      <c r="E973">
        <v>82</v>
      </c>
      <c r="F973">
        <v>13142</v>
      </c>
      <c r="G973">
        <v>24439</v>
      </c>
      <c r="H973">
        <v>3</v>
      </c>
      <c r="I973">
        <v>16</v>
      </c>
      <c r="J973">
        <v>29</v>
      </c>
      <c r="K973">
        <v>1</v>
      </c>
      <c r="L973">
        <v>5</v>
      </c>
      <c r="M973">
        <v>2</v>
      </c>
      <c r="N973">
        <v>0</v>
      </c>
      <c r="O973">
        <v>3</v>
      </c>
      <c r="P973" t="s">
        <v>1556</v>
      </c>
      <c r="Q973" t="s">
        <v>1552</v>
      </c>
      <c r="R973" t="s">
        <v>1550</v>
      </c>
      <c r="S973" t="s">
        <v>1533</v>
      </c>
      <c r="T973" t="s">
        <v>1542</v>
      </c>
      <c r="U973" t="s">
        <v>1548</v>
      </c>
      <c r="V973" t="s">
        <v>1558</v>
      </c>
      <c r="W973" t="s">
        <v>1562</v>
      </c>
      <c r="X973" t="s">
        <v>1578</v>
      </c>
      <c r="Y973" t="s">
        <v>1584</v>
      </c>
      <c r="Z973" t="s">
        <v>1592</v>
      </c>
      <c r="AA973" t="s">
        <v>1596</v>
      </c>
      <c r="AB973" t="s">
        <v>1601</v>
      </c>
      <c r="AC973" t="s">
        <v>1610</v>
      </c>
      <c r="AD973" t="s">
        <v>1605</v>
      </c>
      <c r="AE973" t="s">
        <v>1616</v>
      </c>
      <c r="AF973" t="s">
        <v>1626</v>
      </c>
    </row>
    <row r="974" spans="1:32" x14ac:dyDescent="0.25">
      <c r="A974" t="s">
        <v>1031</v>
      </c>
      <c r="B974">
        <v>18</v>
      </c>
      <c r="C974">
        <v>1124</v>
      </c>
      <c r="D974">
        <v>1</v>
      </c>
      <c r="E974">
        <v>97</v>
      </c>
      <c r="F974">
        <v>1611</v>
      </c>
      <c r="G974">
        <v>19305</v>
      </c>
      <c r="H974">
        <v>1</v>
      </c>
      <c r="I974">
        <v>15</v>
      </c>
      <c r="J974">
        <v>0</v>
      </c>
      <c r="K974">
        <v>5</v>
      </c>
      <c r="L974">
        <v>0</v>
      </c>
      <c r="M974">
        <v>0</v>
      </c>
      <c r="N974">
        <v>0</v>
      </c>
      <c r="O974">
        <v>0</v>
      </c>
      <c r="P974" t="s">
        <v>1556</v>
      </c>
      <c r="Q974" t="s">
        <v>1554</v>
      </c>
      <c r="R974" t="s">
        <v>1550</v>
      </c>
      <c r="S974" t="s">
        <v>1534</v>
      </c>
      <c r="T974" t="s">
        <v>1538</v>
      </c>
      <c r="U974" t="s">
        <v>1548</v>
      </c>
      <c r="V974" t="s">
        <v>1558</v>
      </c>
      <c r="W974" t="s">
        <v>1563</v>
      </c>
      <c r="X974" t="s">
        <v>1575</v>
      </c>
      <c r="Y974" t="s">
        <v>1583</v>
      </c>
      <c r="Z974" t="s">
        <v>1594</v>
      </c>
      <c r="AA974" t="s">
        <v>1596</v>
      </c>
      <c r="AB974" t="s">
        <v>1601</v>
      </c>
      <c r="AC974" t="s">
        <v>1610</v>
      </c>
      <c r="AD974" t="s">
        <v>1606</v>
      </c>
      <c r="AE974" t="s">
        <v>1616</v>
      </c>
      <c r="AF974" t="s">
        <v>1628</v>
      </c>
    </row>
    <row r="975" spans="1:32" x14ac:dyDescent="0.25">
      <c r="A975" t="s">
        <v>1032</v>
      </c>
      <c r="B975">
        <v>35</v>
      </c>
      <c r="C975">
        <v>817</v>
      </c>
      <c r="D975">
        <v>1</v>
      </c>
      <c r="E975">
        <v>60</v>
      </c>
      <c r="F975">
        <v>5363</v>
      </c>
      <c r="G975">
        <v>10846</v>
      </c>
      <c r="H975">
        <v>0</v>
      </c>
      <c r="I975">
        <v>12</v>
      </c>
      <c r="J975">
        <v>10</v>
      </c>
      <c r="K975">
        <v>0</v>
      </c>
      <c r="L975">
        <v>9</v>
      </c>
      <c r="M975">
        <v>7</v>
      </c>
      <c r="N975">
        <v>0</v>
      </c>
      <c r="O975">
        <v>0</v>
      </c>
      <c r="P975" t="s">
        <v>1556</v>
      </c>
      <c r="Q975" t="s">
        <v>1552</v>
      </c>
      <c r="R975" t="s">
        <v>1550</v>
      </c>
      <c r="S975" t="s">
        <v>1534</v>
      </c>
      <c r="T975" t="s">
        <v>1540</v>
      </c>
      <c r="U975" t="s">
        <v>1548</v>
      </c>
      <c r="V975" t="s">
        <v>1558</v>
      </c>
      <c r="W975" t="s">
        <v>1562</v>
      </c>
      <c r="X975" t="s">
        <v>1576</v>
      </c>
      <c r="Y975" t="s">
        <v>1583</v>
      </c>
      <c r="Z975" t="s">
        <v>1594</v>
      </c>
      <c r="AA975" t="s">
        <v>1597</v>
      </c>
      <c r="AB975" t="s">
        <v>1601</v>
      </c>
      <c r="AC975" t="s">
        <v>1610</v>
      </c>
      <c r="AD975" t="s">
        <v>1605</v>
      </c>
      <c r="AE975" t="s">
        <v>1617</v>
      </c>
      <c r="AF975" t="s">
        <v>1627</v>
      </c>
    </row>
    <row r="976" spans="1:32" x14ac:dyDescent="0.25">
      <c r="A976" t="s">
        <v>1033</v>
      </c>
      <c r="B976">
        <v>27</v>
      </c>
      <c r="C976">
        <v>793</v>
      </c>
      <c r="D976">
        <v>2</v>
      </c>
      <c r="E976">
        <v>43</v>
      </c>
      <c r="F976">
        <v>5071</v>
      </c>
      <c r="G976">
        <v>20392</v>
      </c>
      <c r="H976">
        <v>3</v>
      </c>
      <c r="I976">
        <v>20</v>
      </c>
      <c r="J976">
        <v>8</v>
      </c>
      <c r="K976">
        <v>3</v>
      </c>
      <c r="L976">
        <v>6</v>
      </c>
      <c r="M976">
        <v>2</v>
      </c>
      <c r="N976">
        <v>0</v>
      </c>
      <c r="O976">
        <v>0</v>
      </c>
      <c r="P976" t="s">
        <v>1556</v>
      </c>
      <c r="Q976" t="s">
        <v>1553</v>
      </c>
      <c r="R976" t="s">
        <v>1549</v>
      </c>
      <c r="S976" t="s">
        <v>1532</v>
      </c>
      <c r="T976" t="s">
        <v>1538</v>
      </c>
      <c r="U976" t="s">
        <v>1548</v>
      </c>
      <c r="V976" t="s">
        <v>1559</v>
      </c>
      <c r="W976" t="s">
        <v>1561</v>
      </c>
      <c r="X976" t="s">
        <v>1576</v>
      </c>
      <c r="Y976" t="s">
        <v>1581</v>
      </c>
      <c r="Z976" t="s">
        <v>1594</v>
      </c>
      <c r="AA976" t="s">
        <v>1596</v>
      </c>
      <c r="AB976" t="s">
        <v>1601</v>
      </c>
      <c r="AC976" t="s">
        <v>1611</v>
      </c>
      <c r="AD976" t="s">
        <v>1605</v>
      </c>
      <c r="AE976" t="s">
        <v>1616</v>
      </c>
      <c r="AF976" t="s">
        <v>1627</v>
      </c>
    </row>
    <row r="977" spans="1:32" x14ac:dyDescent="0.25">
      <c r="A977" t="s">
        <v>1034</v>
      </c>
      <c r="B977">
        <v>55</v>
      </c>
      <c r="C977">
        <v>267</v>
      </c>
      <c r="D977">
        <v>13</v>
      </c>
      <c r="E977">
        <v>85</v>
      </c>
      <c r="F977">
        <v>13695</v>
      </c>
      <c r="G977">
        <v>9277</v>
      </c>
      <c r="H977">
        <v>6</v>
      </c>
      <c r="I977">
        <v>17</v>
      </c>
      <c r="J977">
        <v>24</v>
      </c>
      <c r="K977">
        <v>2</v>
      </c>
      <c r="L977">
        <v>19</v>
      </c>
      <c r="M977">
        <v>7</v>
      </c>
      <c r="N977">
        <v>3</v>
      </c>
      <c r="O977">
        <v>8</v>
      </c>
      <c r="P977" t="s">
        <v>1555</v>
      </c>
      <c r="Q977" t="s">
        <v>1552</v>
      </c>
      <c r="R977" t="s">
        <v>1549</v>
      </c>
      <c r="S977" t="s">
        <v>1535</v>
      </c>
      <c r="T977" t="s">
        <v>1541</v>
      </c>
      <c r="U977" t="s">
        <v>1545</v>
      </c>
      <c r="V977" t="s">
        <v>1559</v>
      </c>
      <c r="W977" t="s">
        <v>1564</v>
      </c>
      <c r="X977" t="s">
        <v>1578</v>
      </c>
      <c r="Y977" t="s">
        <v>1581</v>
      </c>
      <c r="Z977" t="s">
        <v>1593</v>
      </c>
      <c r="AA977" t="s">
        <v>1596</v>
      </c>
      <c r="AB977" t="s">
        <v>1600</v>
      </c>
      <c r="AC977" t="s">
        <v>1610</v>
      </c>
      <c r="AD977" t="s">
        <v>1606</v>
      </c>
      <c r="AE977" t="s">
        <v>1616</v>
      </c>
      <c r="AF977" t="s">
        <v>1626</v>
      </c>
    </row>
    <row r="978" spans="1:32" x14ac:dyDescent="0.25">
      <c r="A978" t="s">
        <v>1035</v>
      </c>
      <c r="B978">
        <v>56</v>
      </c>
      <c r="C978">
        <v>1369</v>
      </c>
      <c r="D978">
        <v>23</v>
      </c>
      <c r="E978">
        <v>68</v>
      </c>
      <c r="F978">
        <v>13402</v>
      </c>
      <c r="G978">
        <v>18235</v>
      </c>
      <c r="H978">
        <v>4</v>
      </c>
      <c r="I978">
        <v>12</v>
      </c>
      <c r="J978">
        <v>33</v>
      </c>
      <c r="K978">
        <v>0</v>
      </c>
      <c r="L978">
        <v>19</v>
      </c>
      <c r="M978">
        <v>16</v>
      </c>
      <c r="N978">
        <v>15</v>
      </c>
      <c r="O978">
        <v>9</v>
      </c>
      <c r="P978" t="s">
        <v>1556</v>
      </c>
      <c r="Q978" t="s">
        <v>1552</v>
      </c>
      <c r="R978" t="s">
        <v>1550</v>
      </c>
      <c r="S978" t="s">
        <v>1534</v>
      </c>
      <c r="T978" t="s">
        <v>1538</v>
      </c>
      <c r="U978" t="s">
        <v>1548</v>
      </c>
      <c r="V978" t="s">
        <v>1559</v>
      </c>
      <c r="W978" t="s">
        <v>1563</v>
      </c>
      <c r="X978" t="s">
        <v>1578</v>
      </c>
      <c r="Y978" t="s">
        <v>1584</v>
      </c>
      <c r="Z978" t="s">
        <v>1592</v>
      </c>
      <c r="AA978" t="s">
        <v>1597</v>
      </c>
      <c r="AB978" t="s">
        <v>1600</v>
      </c>
      <c r="AC978" t="s">
        <v>1610</v>
      </c>
      <c r="AD978" t="s">
        <v>1604</v>
      </c>
      <c r="AE978" t="s">
        <v>1617</v>
      </c>
      <c r="AF978" t="s">
        <v>1627</v>
      </c>
    </row>
    <row r="979" spans="1:32" x14ac:dyDescent="0.25">
      <c r="A979" t="s">
        <v>1036</v>
      </c>
      <c r="B979">
        <v>34</v>
      </c>
      <c r="C979">
        <v>999</v>
      </c>
      <c r="D979">
        <v>26</v>
      </c>
      <c r="E979">
        <v>92</v>
      </c>
      <c r="F979">
        <v>2029</v>
      </c>
      <c r="G979">
        <v>15891</v>
      </c>
      <c r="H979">
        <v>1</v>
      </c>
      <c r="I979">
        <v>20</v>
      </c>
      <c r="J979">
        <v>5</v>
      </c>
      <c r="K979">
        <v>2</v>
      </c>
      <c r="L979">
        <v>5</v>
      </c>
      <c r="M979">
        <v>4</v>
      </c>
      <c r="N979">
        <v>0</v>
      </c>
      <c r="O979">
        <v>0</v>
      </c>
      <c r="P979" t="s">
        <v>1556</v>
      </c>
      <c r="Q979" t="s">
        <v>1554</v>
      </c>
      <c r="R979" t="s">
        <v>1550</v>
      </c>
      <c r="S979" t="s">
        <v>1532</v>
      </c>
      <c r="T979" t="s">
        <v>1542</v>
      </c>
      <c r="U979" t="s">
        <v>1545</v>
      </c>
      <c r="V979" t="s">
        <v>1558</v>
      </c>
      <c r="W979" t="s">
        <v>1562</v>
      </c>
      <c r="X979" t="s">
        <v>1575</v>
      </c>
      <c r="Y979" t="s">
        <v>1582</v>
      </c>
      <c r="Z979" t="s">
        <v>1593</v>
      </c>
      <c r="AA979" t="s">
        <v>1598</v>
      </c>
      <c r="AB979" t="s">
        <v>1601</v>
      </c>
      <c r="AC979" t="s">
        <v>1611</v>
      </c>
      <c r="AD979" t="s">
        <v>1606</v>
      </c>
      <c r="AE979" t="s">
        <v>1619</v>
      </c>
      <c r="AF979" t="s">
        <v>1627</v>
      </c>
    </row>
    <row r="980" spans="1:32" x14ac:dyDescent="0.25">
      <c r="A980" t="s">
        <v>1037</v>
      </c>
      <c r="B980">
        <v>40</v>
      </c>
      <c r="C980">
        <v>1202</v>
      </c>
      <c r="D980">
        <v>2</v>
      </c>
      <c r="E980">
        <v>89</v>
      </c>
      <c r="F980">
        <v>6377</v>
      </c>
      <c r="G980">
        <v>13888</v>
      </c>
      <c r="H980">
        <v>5</v>
      </c>
      <c r="I980">
        <v>20</v>
      </c>
      <c r="J980">
        <v>15</v>
      </c>
      <c r="K980">
        <v>0</v>
      </c>
      <c r="L980">
        <v>12</v>
      </c>
      <c r="M980">
        <v>11</v>
      </c>
      <c r="N980">
        <v>11</v>
      </c>
      <c r="O980">
        <v>8</v>
      </c>
      <c r="P980" t="s">
        <v>1556</v>
      </c>
      <c r="Q980" t="s">
        <v>1552</v>
      </c>
      <c r="R980" t="s">
        <v>1550</v>
      </c>
      <c r="S980" t="s">
        <v>1532</v>
      </c>
      <c r="T980" t="s">
        <v>1540</v>
      </c>
      <c r="U980" t="s">
        <v>1546</v>
      </c>
      <c r="V980" t="s">
        <v>1558</v>
      </c>
      <c r="W980" t="s">
        <v>1564</v>
      </c>
      <c r="X980" t="s">
        <v>1576</v>
      </c>
      <c r="Y980" t="s">
        <v>1585</v>
      </c>
      <c r="Z980" t="s">
        <v>1593</v>
      </c>
      <c r="AA980" t="s">
        <v>1598</v>
      </c>
      <c r="AB980" t="s">
        <v>1601</v>
      </c>
      <c r="AC980" t="s">
        <v>1611</v>
      </c>
      <c r="AD980" t="s">
        <v>1605</v>
      </c>
      <c r="AE980" t="s">
        <v>1619</v>
      </c>
      <c r="AF980" t="s">
        <v>1627</v>
      </c>
    </row>
    <row r="981" spans="1:32" x14ac:dyDescent="0.25">
      <c r="A981" t="s">
        <v>1038</v>
      </c>
      <c r="B981">
        <v>34</v>
      </c>
      <c r="C981">
        <v>285</v>
      </c>
      <c r="D981">
        <v>29</v>
      </c>
      <c r="E981">
        <v>86</v>
      </c>
      <c r="F981">
        <v>5429</v>
      </c>
      <c r="G981">
        <v>17491</v>
      </c>
      <c r="H981">
        <v>4</v>
      </c>
      <c r="I981">
        <v>13</v>
      </c>
      <c r="J981">
        <v>10</v>
      </c>
      <c r="K981">
        <v>1</v>
      </c>
      <c r="L981">
        <v>8</v>
      </c>
      <c r="M981">
        <v>7</v>
      </c>
      <c r="N981">
        <v>7</v>
      </c>
      <c r="O981">
        <v>7</v>
      </c>
      <c r="P981" t="s">
        <v>1556</v>
      </c>
      <c r="Q981" t="s">
        <v>1552</v>
      </c>
      <c r="R981" t="s">
        <v>1550</v>
      </c>
      <c r="S981" t="s">
        <v>1534</v>
      </c>
      <c r="T981" t="s">
        <v>1540</v>
      </c>
      <c r="U981" t="s">
        <v>1546</v>
      </c>
      <c r="V981" t="s">
        <v>1559</v>
      </c>
      <c r="W981" t="s">
        <v>1563</v>
      </c>
      <c r="X981" t="s">
        <v>1576</v>
      </c>
      <c r="Y981" t="s">
        <v>1583</v>
      </c>
      <c r="Z981" t="s">
        <v>1593</v>
      </c>
      <c r="AA981" t="s">
        <v>1597</v>
      </c>
      <c r="AB981" t="s">
        <v>1601</v>
      </c>
      <c r="AC981" t="s">
        <v>1610</v>
      </c>
      <c r="AD981" t="s">
        <v>1604</v>
      </c>
      <c r="AE981" t="s">
        <v>1618</v>
      </c>
      <c r="AF981" t="s">
        <v>1627</v>
      </c>
    </row>
    <row r="982" spans="1:32" x14ac:dyDescent="0.25">
      <c r="A982" t="s">
        <v>1039</v>
      </c>
      <c r="B982">
        <v>31</v>
      </c>
      <c r="C982">
        <v>703</v>
      </c>
      <c r="D982">
        <v>2</v>
      </c>
      <c r="E982">
        <v>90</v>
      </c>
      <c r="F982">
        <v>2785</v>
      </c>
      <c r="G982">
        <v>11882</v>
      </c>
      <c r="H982">
        <v>7</v>
      </c>
      <c r="I982">
        <v>14</v>
      </c>
      <c r="J982">
        <v>3</v>
      </c>
      <c r="K982">
        <v>3</v>
      </c>
      <c r="L982">
        <v>1</v>
      </c>
      <c r="M982">
        <v>0</v>
      </c>
      <c r="N982">
        <v>0</v>
      </c>
      <c r="O982">
        <v>0</v>
      </c>
      <c r="P982" t="s">
        <v>1555</v>
      </c>
      <c r="Q982" t="s">
        <v>1553</v>
      </c>
      <c r="R982" t="s">
        <v>1549</v>
      </c>
      <c r="S982" t="s">
        <v>1534</v>
      </c>
      <c r="T982" t="s">
        <v>1538</v>
      </c>
      <c r="U982" t="s">
        <v>1547</v>
      </c>
      <c r="V982" t="s">
        <v>1558</v>
      </c>
      <c r="W982" t="s">
        <v>1562</v>
      </c>
      <c r="X982" t="s">
        <v>1575</v>
      </c>
      <c r="Y982" t="s">
        <v>1587</v>
      </c>
      <c r="Z982" t="s">
        <v>1594</v>
      </c>
      <c r="AA982" t="s">
        <v>1596</v>
      </c>
      <c r="AB982" t="s">
        <v>1601</v>
      </c>
      <c r="AC982" t="s">
        <v>1610</v>
      </c>
      <c r="AD982" t="s">
        <v>1606</v>
      </c>
      <c r="AE982" t="s">
        <v>1616</v>
      </c>
      <c r="AF982" t="s">
        <v>1628</v>
      </c>
    </row>
    <row r="983" spans="1:32" x14ac:dyDescent="0.25">
      <c r="A983" t="s">
        <v>1040</v>
      </c>
      <c r="B983">
        <v>35</v>
      </c>
      <c r="C983">
        <v>662</v>
      </c>
      <c r="D983">
        <v>18</v>
      </c>
      <c r="E983">
        <v>67</v>
      </c>
      <c r="F983">
        <v>4614</v>
      </c>
      <c r="G983">
        <v>23288</v>
      </c>
      <c r="H983">
        <v>0</v>
      </c>
      <c r="I983">
        <v>18</v>
      </c>
      <c r="J983">
        <v>5</v>
      </c>
      <c r="K983">
        <v>0</v>
      </c>
      <c r="L983">
        <v>4</v>
      </c>
      <c r="M983">
        <v>2</v>
      </c>
      <c r="N983">
        <v>3</v>
      </c>
      <c r="O983">
        <v>2</v>
      </c>
      <c r="P983" t="s">
        <v>1555</v>
      </c>
      <c r="Q983" t="s">
        <v>1553</v>
      </c>
      <c r="R983" t="s">
        <v>1549</v>
      </c>
      <c r="S983" t="s">
        <v>1535</v>
      </c>
      <c r="T983" t="s">
        <v>1541</v>
      </c>
      <c r="U983" t="s">
        <v>1548</v>
      </c>
      <c r="V983" t="s">
        <v>1558</v>
      </c>
      <c r="W983" t="s">
        <v>1563</v>
      </c>
      <c r="X983" t="s">
        <v>1576</v>
      </c>
      <c r="Y983" t="s">
        <v>1581</v>
      </c>
      <c r="Z983" t="s">
        <v>1593</v>
      </c>
      <c r="AA983" t="s">
        <v>1597</v>
      </c>
      <c r="AB983" t="s">
        <v>1600</v>
      </c>
      <c r="AC983" t="s">
        <v>1610</v>
      </c>
      <c r="AD983" t="s">
        <v>1606</v>
      </c>
      <c r="AE983" t="s">
        <v>1617</v>
      </c>
      <c r="AF983" t="s">
        <v>1626</v>
      </c>
    </row>
    <row r="984" spans="1:32" x14ac:dyDescent="0.25">
      <c r="A984" t="s">
        <v>1041</v>
      </c>
      <c r="B984">
        <v>38</v>
      </c>
      <c r="C984">
        <v>693</v>
      </c>
      <c r="D984">
        <v>7</v>
      </c>
      <c r="E984">
        <v>57</v>
      </c>
      <c r="F984">
        <v>2610</v>
      </c>
      <c r="G984">
        <v>15748</v>
      </c>
      <c r="H984">
        <v>1</v>
      </c>
      <c r="I984">
        <v>11</v>
      </c>
      <c r="J984">
        <v>4</v>
      </c>
      <c r="K984">
        <v>2</v>
      </c>
      <c r="L984">
        <v>4</v>
      </c>
      <c r="M984">
        <v>2</v>
      </c>
      <c r="N984">
        <v>0</v>
      </c>
      <c r="O984">
        <v>3</v>
      </c>
      <c r="P984" t="s">
        <v>1556</v>
      </c>
      <c r="Q984" t="s">
        <v>1553</v>
      </c>
      <c r="R984" t="s">
        <v>1550</v>
      </c>
      <c r="S984" t="s">
        <v>1534</v>
      </c>
      <c r="T984" t="s">
        <v>1538</v>
      </c>
      <c r="U984" t="s">
        <v>1548</v>
      </c>
      <c r="V984" t="s">
        <v>1559</v>
      </c>
      <c r="W984" t="s">
        <v>1564</v>
      </c>
      <c r="X984" t="s">
        <v>1575</v>
      </c>
      <c r="Y984" t="s">
        <v>1582</v>
      </c>
      <c r="Z984" t="s">
        <v>1593</v>
      </c>
      <c r="AA984" t="s">
        <v>1598</v>
      </c>
      <c r="AB984" t="s">
        <v>1601</v>
      </c>
      <c r="AC984" t="s">
        <v>1610</v>
      </c>
      <c r="AD984" t="s">
        <v>1607</v>
      </c>
      <c r="AE984" t="s">
        <v>1619</v>
      </c>
      <c r="AF984" t="s">
        <v>1627</v>
      </c>
    </row>
    <row r="985" spans="1:32" x14ac:dyDescent="0.25">
      <c r="A985" t="s">
        <v>1042</v>
      </c>
      <c r="B985">
        <v>34</v>
      </c>
      <c r="C985">
        <v>404</v>
      </c>
      <c r="D985">
        <v>2</v>
      </c>
      <c r="E985">
        <v>98</v>
      </c>
      <c r="F985">
        <v>6687</v>
      </c>
      <c r="G985">
        <v>6163</v>
      </c>
      <c r="H985">
        <v>1</v>
      </c>
      <c r="I985">
        <v>11</v>
      </c>
      <c r="J985">
        <v>14</v>
      </c>
      <c r="K985">
        <v>2</v>
      </c>
      <c r="L985">
        <v>14</v>
      </c>
      <c r="M985">
        <v>11</v>
      </c>
      <c r="N985">
        <v>4</v>
      </c>
      <c r="O985">
        <v>11</v>
      </c>
      <c r="P985" t="s">
        <v>1556</v>
      </c>
      <c r="Q985" t="s">
        <v>1552</v>
      </c>
      <c r="R985" t="s">
        <v>1550</v>
      </c>
      <c r="S985" t="s">
        <v>1535</v>
      </c>
      <c r="T985" t="s">
        <v>1542</v>
      </c>
      <c r="U985" t="s">
        <v>1547</v>
      </c>
      <c r="V985" t="s">
        <v>1558</v>
      </c>
      <c r="W985" t="s">
        <v>1563</v>
      </c>
      <c r="X985" t="s">
        <v>1576</v>
      </c>
      <c r="Y985" t="s">
        <v>1585</v>
      </c>
      <c r="Z985" t="s">
        <v>1594</v>
      </c>
      <c r="AA985" t="s">
        <v>1596</v>
      </c>
      <c r="AB985" t="s">
        <v>1601</v>
      </c>
      <c r="AC985" t="s">
        <v>1610</v>
      </c>
      <c r="AD985" t="s">
        <v>1607</v>
      </c>
      <c r="AE985" t="s">
        <v>1616</v>
      </c>
      <c r="AF985" t="s">
        <v>1628</v>
      </c>
    </row>
    <row r="986" spans="1:32" x14ac:dyDescent="0.25">
      <c r="A986" t="s">
        <v>1043</v>
      </c>
      <c r="B986">
        <v>28</v>
      </c>
      <c r="C986">
        <v>736</v>
      </c>
      <c r="D986">
        <v>26</v>
      </c>
      <c r="E986">
        <v>48</v>
      </c>
      <c r="F986">
        <v>4724</v>
      </c>
      <c r="G986">
        <v>24232</v>
      </c>
      <c r="H986">
        <v>1</v>
      </c>
      <c r="I986">
        <v>11</v>
      </c>
      <c r="J986">
        <v>5</v>
      </c>
      <c r="K986">
        <v>0</v>
      </c>
      <c r="L986">
        <v>5</v>
      </c>
      <c r="M986">
        <v>3</v>
      </c>
      <c r="N986">
        <v>0</v>
      </c>
      <c r="O986">
        <v>4</v>
      </c>
      <c r="P986" t="s">
        <v>1556</v>
      </c>
      <c r="Q986" t="s">
        <v>1552</v>
      </c>
      <c r="R986" t="s">
        <v>1549</v>
      </c>
      <c r="S986" t="s">
        <v>1534</v>
      </c>
      <c r="T986" t="s">
        <v>1538</v>
      </c>
      <c r="U986" t="s">
        <v>1547</v>
      </c>
      <c r="V986" t="s">
        <v>1559</v>
      </c>
      <c r="W986" t="s">
        <v>1562</v>
      </c>
      <c r="X986" t="s">
        <v>1576</v>
      </c>
      <c r="Y986" t="s">
        <v>1581</v>
      </c>
      <c r="Z986" t="s">
        <v>1591</v>
      </c>
      <c r="AA986" t="s">
        <v>1597</v>
      </c>
      <c r="AB986" t="s">
        <v>1601</v>
      </c>
      <c r="AC986" t="s">
        <v>1610</v>
      </c>
      <c r="AD986" t="s">
        <v>1606</v>
      </c>
      <c r="AE986" t="s">
        <v>1617</v>
      </c>
      <c r="AF986" t="s">
        <v>1627</v>
      </c>
    </row>
    <row r="987" spans="1:32" x14ac:dyDescent="0.25">
      <c r="A987" t="s">
        <v>1044</v>
      </c>
      <c r="B987">
        <v>31</v>
      </c>
      <c r="C987">
        <v>330</v>
      </c>
      <c r="D987">
        <v>22</v>
      </c>
      <c r="E987">
        <v>98</v>
      </c>
      <c r="F987">
        <v>6179</v>
      </c>
      <c r="G987">
        <v>21057</v>
      </c>
      <c r="H987">
        <v>1</v>
      </c>
      <c r="I987">
        <v>15</v>
      </c>
      <c r="J987">
        <v>10</v>
      </c>
      <c r="K987">
        <v>3</v>
      </c>
      <c r="L987">
        <v>10</v>
      </c>
      <c r="M987">
        <v>2</v>
      </c>
      <c r="N987">
        <v>6</v>
      </c>
      <c r="O987">
        <v>7</v>
      </c>
      <c r="P987" t="s">
        <v>1555</v>
      </c>
      <c r="Q987" t="s">
        <v>1552</v>
      </c>
      <c r="R987" t="s">
        <v>1550</v>
      </c>
      <c r="S987" t="s">
        <v>1535</v>
      </c>
      <c r="T987" t="s">
        <v>1540</v>
      </c>
      <c r="U987" t="s">
        <v>1548</v>
      </c>
      <c r="V987" t="s">
        <v>1559</v>
      </c>
      <c r="W987" t="s">
        <v>1563</v>
      </c>
      <c r="X987" t="s">
        <v>1576</v>
      </c>
      <c r="Y987" t="s">
        <v>1584</v>
      </c>
      <c r="Z987" t="s">
        <v>1593</v>
      </c>
      <c r="AA987" t="s">
        <v>1597</v>
      </c>
      <c r="AB987" t="s">
        <v>1600</v>
      </c>
      <c r="AC987" t="s">
        <v>1610</v>
      </c>
      <c r="AD987" t="s">
        <v>1607</v>
      </c>
      <c r="AE987" t="s">
        <v>1618</v>
      </c>
      <c r="AF987" t="s">
        <v>1626</v>
      </c>
    </row>
    <row r="988" spans="1:32" x14ac:dyDescent="0.25">
      <c r="A988" t="s">
        <v>1045</v>
      </c>
      <c r="B988">
        <v>39</v>
      </c>
      <c r="C988">
        <v>1498</v>
      </c>
      <c r="D988">
        <v>21</v>
      </c>
      <c r="E988">
        <v>44</v>
      </c>
      <c r="F988">
        <v>6120</v>
      </c>
      <c r="G988">
        <v>3567</v>
      </c>
      <c r="H988">
        <v>3</v>
      </c>
      <c r="I988">
        <v>12</v>
      </c>
      <c r="J988">
        <v>8</v>
      </c>
      <c r="K988">
        <v>2</v>
      </c>
      <c r="L988">
        <v>5</v>
      </c>
      <c r="M988">
        <v>4</v>
      </c>
      <c r="N988">
        <v>1</v>
      </c>
      <c r="O988">
        <v>4</v>
      </c>
      <c r="P988" t="s">
        <v>1556</v>
      </c>
      <c r="Q988" t="s">
        <v>1552</v>
      </c>
      <c r="R988" t="s">
        <v>1549</v>
      </c>
      <c r="S988" t="s">
        <v>1535</v>
      </c>
      <c r="T988" t="s">
        <v>1538</v>
      </c>
      <c r="U988" t="s">
        <v>1545</v>
      </c>
      <c r="V988" t="s">
        <v>1559</v>
      </c>
      <c r="W988" t="s">
        <v>1562</v>
      </c>
      <c r="X988" t="s">
        <v>1576</v>
      </c>
      <c r="Y988" t="s">
        <v>1581</v>
      </c>
      <c r="Z988" t="s">
        <v>1594</v>
      </c>
      <c r="AA988" t="s">
        <v>1597</v>
      </c>
      <c r="AB988" t="s">
        <v>1600</v>
      </c>
      <c r="AC988" t="s">
        <v>1610</v>
      </c>
      <c r="AD988" t="s">
        <v>1607</v>
      </c>
      <c r="AE988" t="s">
        <v>1618</v>
      </c>
      <c r="AF988" t="s">
        <v>1628</v>
      </c>
    </row>
    <row r="989" spans="1:32" x14ac:dyDescent="0.25">
      <c r="A989" t="s">
        <v>1046</v>
      </c>
      <c r="B989">
        <v>51</v>
      </c>
      <c r="C989">
        <v>541</v>
      </c>
      <c r="D989">
        <v>2</v>
      </c>
      <c r="E989">
        <v>52</v>
      </c>
      <c r="F989">
        <v>10596</v>
      </c>
      <c r="G989">
        <v>15395</v>
      </c>
      <c r="H989">
        <v>2</v>
      </c>
      <c r="I989">
        <v>11</v>
      </c>
      <c r="J989">
        <v>14</v>
      </c>
      <c r="K989">
        <v>5</v>
      </c>
      <c r="L989">
        <v>4</v>
      </c>
      <c r="M989">
        <v>2</v>
      </c>
      <c r="N989">
        <v>3</v>
      </c>
      <c r="O989">
        <v>2</v>
      </c>
      <c r="P989" t="s">
        <v>1556</v>
      </c>
      <c r="Q989" t="s">
        <v>1553</v>
      </c>
      <c r="R989" t="s">
        <v>1549</v>
      </c>
      <c r="S989" t="s">
        <v>1534</v>
      </c>
      <c r="T989" t="s">
        <v>1541</v>
      </c>
      <c r="U989" t="s">
        <v>1546</v>
      </c>
      <c r="V989" t="s">
        <v>1559</v>
      </c>
      <c r="W989" t="s">
        <v>1563</v>
      </c>
      <c r="X989" t="s">
        <v>1577</v>
      </c>
      <c r="Y989" t="s">
        <v>1581</v>
      </c>
      <c r="Z989" t="s">
        <v>1592</v>
      </c>
      <c r="AA989" t="s">
        <v>1597</v>
      </c>
      <c r="AB989" t="s">
        <v>1601</v>
      </c>
      <c r="AC989" t="s">
        <v>1610</v>
      </c>
      <c r="AD989" t="s">
        <v>1605</v>
      </c>
      <c r="AE989" t="s">
        <v>1616</v>
      </c>
      <c r="AF989" t="s">
        <v>1627</v>
      </c>
    </row>
    <row r="990" spans="1:32" x14ac:dyDescent="0.25">
      <c r="A990" t="s">
        <v>1047</v>
      </c>
      <c r="B990">
        <v>41</v>
      </c>
      <c r="C990">
        <v>1200</v>
      </c>
      <c r="D990">
        <v>22</v>
      </c>
      <c r="E990">
        <v>75</v>
      </c>
      <c r="F990">
        <v>5467</v>
      </c>
      <c r="G990">
        <v>13953</v>
      </c>
      <c r="H990">
        <v>3</v>
      </c>
      <c r="I990">
        <v>14</v>
      </c>
      <c r="J990">
        <v>12</v>
      </c>
      <c r="K990">
        <v>4</v>
      </c>
      <c r="L990">
        <v>6</v>
      </c>
      <c r="M990">
        <v>2</v>
      </c>
      <c r="N990">
        <v>3</v>
      </c>
      <c r="O990">
        <v>3</v>
      </c>
      <c r="P990" t="s">
        <v>1556</v>
      </c>
      <c r="Q990" t="s">
        <v>1553</v>
      </c>
      <c r="R990" t="s">
        <v>1550</v>
      </c>
      <c r="S990" t="s">
        <v>1534</v>
      </c>
      <c r="T990" t="s">
        <v>1538</v>
      </c>
      <c r="U990" t="s">
        <v>1548</v>
      </c>
      <c r="V990" t="s">
        <v>1558</v>
      </c>
      <c r="W990" t="s">
        <v>1563</v>
      </c>
      <c r="X990" t="s">
        <v>1576</v>
      </c>
      <c r="Y990" t="s">
        <v>1582</v>
      </c>
      <c r="Z990" t="s">
        <v>1594</v>
      </c>
      <c r="AA990" t="s">
        <v>1598</v>
      </c>
      <c r="AB990" t="s">
        <v>1600</v>
      </c>
      <c r="AC990" t="s">
        <v>1610</v>
      </c>
      <c r="AD990" t="s">
        <v>1604</v>
      </c>
      <c r="AE990" t="s">
        <v>1618</v>
      </c>
      <c r="AF990" t="s">
        <v>1626</v>
      </c>
    </row>
    <row r="991" spans="1:32" x14ac:dyDescent="0.25">
      <c r="A991" t="s">
        <v>1048</v>
      </c>
      <c r="B991">
        <v>37</v>
      </c>
      <c r="C991">
        <v>1439</v>
      </c>
      <c r="D991">
        <v>4</v>
      </c>
      <c r="E991">
        <v>54</v>
      </c>
      <c r="F991">
        <v>2996</v>
      </c>
      <c r="G991">
        <v>5182</v>
      </c>
      <c r="H991">
        <v>7</v>
      </c>
      <c r="I991">
        <v>15</v>
      </c>
      <c r="J991">
        <v>8</v>
      </c>
      <c r="K991">
        <v>2</v>
      </c>
      <c r="L991">
        <v>6</v>
      </c>
      <c r="M991">
        <v>4</v>
      </c>
      <c r="N991">
        <v>1</v>
      </c>
      <c r="O991">
        <v>3</v>
      </c>
      <c r="P991" t="s">
        <v>1556</v>
      </c>
      <c r="Q991" t="s">
        <v>1552</v>
      </c>
      <c r="R991" t="s">
        <v>1550</v>
      </c>
      <c r="S991" t="s">
        <v>1532</v>
      </c>
      <c r="T991" t="s">
        <v>1538</v>
      </c>
      <c r="U991" t="s">
        <v>1547</v>
      </c>
      <c r="V991" t="s">
        <v>1559</v>
      </c>
      <c r="W991" t="s">
        <v>1563</v>
      </c>
      <c r="X991" t="s">
        <v>1575</v>
      </c>
      <c r="Y991" t="s">
        <v>1582</v>
      </c>
      <c r="Z991" t="s">
        <v>1593</v>
      </c>
      <c r="AA991" t="s">
        <v>1597</v>
      </c>
      <c r="AB991" t="s">
        <v>1600</v>
      </c>
      <c r="AC991" t="s">
        <v>1610</v>
      </c>
      <c r="AD991" t="s">
        <v>1607</v>
      </c>
      <c r="AE991" t="s">
        <v>1616</v>
      </c>
      <c r="AF991" t="s">
        <v>1627</v>
      </c>
    </row>
    <row r="992" spans="1:32" x14ac:dyDescent="0.25">
      <c r="A992" t="s">
        <v>1049</v>
      </c>
      <c r="B992">
        <v>33</v>
      </c>
      <c r="C992">
        <v>1111</v>
      </c>
      <c r="D992">
        <v>5</v>
      </c>
      <c r="E992">
        <v>61</v>
      </c>
      <c r="F992">
        <v>9998</v>
      </c>
      <c r="G992">
        <v>19293</v>
      </c>
      <c r="H992">
        <v>6</v>
      </c>
      <c r="I992">
        <v>13</v>
      </c>
      <c r="J992">
        <v>8</v>
      </c>
      <c r="K992">
        <v>2</v>
      </c>
      <c r="L992">
        <v>5</v>
      </c>
      <c r="M992">
        <v>4</v>
      </c>
      <c r="N992">
        <v>1</v>
      </c>
      <c r="O992">
        <v>2</v>
      </c>
      <c r="P992" t="s">
        <v>1556</v>
      </c>
      <c r="Q992" t="s">
        <v>1553</v>
      </c>
      <c r="R992" t="s">
        <v>1549</v>
      </c>
      <c r="S992" t="s">
        <v>1532</v>
      </c>
      <c r="T992" t="s">
        <v>1538</v>
      </c>
      <c r="U992" t="s">
        <v>1546</v>
      </c>
      <c r="V992" t="s">
        <v>1559</v>
      </c>
      <c r="W992" t="s">
        <v>1563</v>
      </c>
      <c r="X992" t="s">
        <v>1576</v>
      </c>
      <c r="Y992" t="s">
        <v>1581</v>
      </c>
      <c r="Z992" t="s">
        <v>1594</v>
      </c>
      <c r="AA992" t="s">
        <v>1597</v>
      </c>
      <c r="AB992" t="s">
        <v>1601</v>
      </c>
      <c r="AC992" t="s">
        <v>1610</v>
      </c>
      <c r="AD992" t="s">
        <v>1604</v>
      </c>
      <c r="AE992" t="s">
        <v>1616</v>
      </c>
      <c r="AF992" t="s">
        <v>1628</v>
      </c>
    </row>
    <row r="993" spans="1:32" x14ac:dyDescent="0.25">
      <c r="A993" t="s">
        <v>1050</v>
      </c>
      <c r="B993">
        <v>32</v>
      </c>
      <c r="C993">
        <v>499</v>
      </c>
      <c r="D993">
        <v>2</v>
      </c>
      <c r="E993">
        <v>36</v>
      </c>
      <c r="F993">
        <v>4078</v>
      </c>
      <c r="G993">
        <v>20497</v>
      </c>
      <c r="H993">
        <v>0</v>
      </c>
      <c r="I993">
        <v>13</v>
      </c>
      <c r="J993">
        <v>4</v>
      </c>
      <c r="K993">
        <v>3</v>
      </c>
      <c r="L993">
        <v>3</v>
      </c>
      <c r="M993">
        <v>2</v>
      </c>
      <c r="N993">
        <v>1</v>
      </c>
      <c r="O993">
        <v>2</v>
      </c>
      <c r="P993" t="s">
        <v>1556</v>
      </c>
      <c r="Q993" t="s">
        <v>1552</v>
      </c>
      <c r="R993" t="s">
        <v>1549</v>
      </c>
      <c r="S993" t="s">
        <v>1532</v>
      </c>
      <c r="T993" t="s">
        <v>1541</v>
      </c>
      <c r="U993" t="s">
        <v>1547</v>
      </c>
      <c r="V993" t="s">
        <v>1559</v>
      </c>
      <c r="W993" t="s">
        <v>1563</v>
      </c>
      <c r="X993" t="s">
        <v>1576</v>
      </c>
      <c r="Y993" t="s">
        <v>1581</v>
      </c>
      <c r="Z993" t="s">
        <v>1592</v>
      </c>
      <c r="AA993" t="s">
        <v>1597</v>
      </c>
      <c r="AB993" t="s">
        <v>1600</v>
      </c>
      <c r="AC993" t="s">
        <v>1610</v>
      </c>
      <c r="AD993" t="s">
        <v>1604</v>
      </c>
      <c r="AE993" t="s">
        <v>1619</v>
      </c>
      <c r="AF993" t="s">
        <v>1626</v>
      </c>
    </row>
    <row r="994" spans="1:32" x14ac:dyDescent="0.25">
      <c r="A994" t="s">
        <v>1051</v>
      </c>
      <c r="B994">
        <v>39</v>
      </c>
      <c r="C994">
        <v>1485</v>
      </c>
      <c r="D994">
        <v>25</v>
      </c>
      <c r="E994">
        <v>71</v>
      </c>
      <c r="F994">
        <v>10920</v>
      </c>
      <c r="G994">
        <v>3449</v>
      </c>
      <c r="H994">
        <v>3</v>
      </c>
      <c r="I994">
        <v>21</v>
      </c>
      <c r="J994">
        <v>13</v>
      </c>
      <c r="K994">
        <v>2</v>
      </c>
      <c r="L994">
        <v>6</v>
      </c>
      <c r="M994">
        <v>4</v>
      </c>
      <c r="N994">
        <v>0</v>
      </c>
      <c r="O994">
        <v>5</v>
      </c>
      <c r="P994" t="s">
        <v>1556</v>
      </c>
      <c r="Q994" t="s">
        <v>1554</v>
      </c>
      <c r="R994" t="s">
        <v>1550</v>
      </c>
      <c r="S994" t="s">
        <v>1533</v>
      </c>
      <c r="T994" t="s">
        <v>1538</v>
      </c>
      <c r="U994" t="s">
        <v>1547</v>
      </c>
      <c r="V994" t="s">
        <v>1559</v>
      </c>
      <c r="W994" t="s">
        <v>1563</v>
      </c>
      <c r="X994" t="s">
        <v>1577</v>
      </c>
      <c r="Y994" t="s">
        <v>1585</v>
      </c>
      <c r="Z994" t="s">
        <v>1593</v>
      </c>
      <c r="AA994" t="s">
        <v>1597</v>
      </c>
      <c r="AB994" t="s">
        <v>1601</v>
      </c>
      <c r="AC994" t="s">
        <v>1611</v>
      </c>
      <c r="AD994" t="s">
        <v>1605</v>
      </c>
      <c r="AE994" t="s">
        <v>1617</v>
      </c>
      <c r="AF994" t="s">
        <v>1627</v>
      </c>
    </row>
    <row r="995" spans="1:32" x14ac:dyDescent="0.25">
      <c r="A995" t="s">
        <v>1052</v>
      </c>
      <c r="B995">
        <v>25</v>
      </c>
      <c r="C995">
        <v>1372</v>
      </c>
      <c r="D995">
        <v>18</v>
      </c>
      <c r="E995">
        <v>93</v>
      </c>
      <c r="F995">
        <v>6232</v>
      </c>
      <c r="G995">
        <v>12477</v>
      </c>
      <c r="H995">
        <v>2</v>
      </c>
      <c r="I995">
        <v>11</v>
      </c>
      <c r="J995">
        <v>6</v>
      </c>
      <c r="K995">
        <v>3</v>
      </c>
      <c r="L995">
        <v>3</v>
      </c>
      <c r="M995">
        <v>2</v>
      </c>
      <c r="N995">
        <v>1</v>
      </c>
      <c r="O995">
        <v>2</v>
      </c>
      <c r="P995" t="s">
        <v>1556</v>
      </c>
      <c r="Q995" t="s">
        <v>1552</v>
      </c>
      <c r="R995" t="s">
        <v>1549</v>
      </c>
      <c r="S995" t="s">
        <v>1532</v>
      </c>
      <c r="T995" t="s">
        <v>1538</v>
      </c>
      <c r="U995" t="s">
        <v>1545</v>
      </c>
      <c r="V995" t="s">
        <v>1559</v>
      </c>
      <c r="W995" t="s">
        <v>1564</v>
      </c>
      <c r="X995" t="s">
        <v>1576</v>
      </c>
      <c r="Y995" t="s">
        <v>1581</v>
      </c>
      <c r="Z995" t="s">
        <v>1593</v>
      </c>
      <c r="AA995" t="s">
        <v>1597</v>
      </c>
      <c r="AB995" t="s">
        <v>1601</v>
      </c>
      <c r="AC995" t="s">
        <v>1610</v>
      </c>
      <c r="AD995" t="s">
        <v>1605</v>
      </c>
      <c r="AE995" t="s">
        <v>1616</v>
      </c>
      <c r="AF995" t="s">
        <v>1626</v>
      </c>
    </row>
    <row r="996" spans="1:32" x14ac:dyDescent="0.25">
      <c r="A996" t="s">
        <v>1053</v>
      </c>
      <c r="B996">
        <v>52</v>
      </c>
      <c r="C996">
        <v>322</v>
      </c>
      <c r="D996">
        <v>28</v>
      </c>
      <c r="E996">
        <v>59</v>
      </c>
      <c r="F996">
        <v>13247</v>
      </c>
      <c r="G996">
        <v>9731</v>
      </c>
      <c r="H996">
        <v>2</v>
      </c>
      <c r="I996">
        <v>11</v>
      </c>
      <c r="J996">
        <v>24</v>
      </c>
      <c r="K996">
        <v>3</v>
      </c>
      <c r="L996">
        <v>5</v>
      </c>
      <c r="M996">
        <v>3</v>
      </c>
      <c r="N996">
        <v>0</v>
      </c>
      <c r="O996">
        <v>2</v>
      </c>
      <c r="P996" t="s">
        <v>1556</v>
      </c>
      <c r="Q996" t="s">
        <v>1553</v>
      </c>
      <c r="R996" t="s">
        <v>1550</v>
      </c>
      <c r="S996" t="s">
        <v>1533</v>
      </c>
      <c r="T996" t="s">
        <v>1540</v>
      </c>
      <c r="U996" t="s">
        <v>1548</v>
      </c>
      <c r="V996" t="s">
        <v>1558</v>
      </c>
      <c r="W996" t="s">
        <v>1564</v>
      </c>
      <c r="X996" t="s">
        <v>1578</v>
      </c>
      <c r="Y996" t="s">
        <v>1584</v>
      </c>
      <c r="Z996" t="s">
        <v>1593</v>
      </c>
      <c r="AA996" t="s">
        <v>1597</v>
      </c>
      <c r="AB996" t="s">
        <v>1600</v>
      </c>
      <c r="AC996" t="s">
        <v>1610</v>
      </c>
      <c r="AD996" t="s">
        <v>1605</v>
      </c>
      <c r="AE996" t="s">
        <v>1617</v>
      </c>
      <c r="AF996" t="s">
        <v>1626</v>
      </c>
    </row>
    <row r="997" spans="1:32" x14ac:dyDescent="0.25">
      <c r="A997" t="s">
        <v>1054</v>
      </c>
      <c r="B997">
        <v>43</v>
      </c>
      <c r="C997">
        <v>930</v>
      </c>
      <c r="D997">
        <v>6</v>
      </c>
      <c r="E997">
        <v>73</v>
      </c>
      <c r="F997">
        <v>4081</v>
      </c>
      <c r="G997">
        <v>20003</v>
      </c>
      <c r="H997">
        <v>1</v>
      </c>
      <c r="I997">
        <v>14</v>
      </c>
      <c r="J997">
        <v>20</v>
      </c>
      <c r="K997">
        <v>3</v>
      </c>
      <c r="L997">
        <v>20</v>
      </c>
      <c r="M997">
        <v>7</v>
      </c>
      <c r="N997">
        <v>1</v>
      </c>
      <c r="O997">
        <v>8</v>
      </c>
      <c r="P997" t="s">
        <v>1556</v>
      </c>
      <c r="Q997" t="s">
        <v>1552</v>
      </c>
      <c r="R997" t="s">
        <v>1550</v>
      </c>
      <c r="S997" t="s">
        <v>1534</v>
      </c>
      <c r="T997" t="s">
        <v>1540</v>
      </c>
      <c r="U997" t="s">
        <v>1545</v>
      </c>
      <c r="V997" t="s">
        <v>1558</v>
      </c>
      <c r="W997" t="s">
        <v>1562</v>
      </c>
      <c r="X997" t="s">
        <v>1576</v>
      </c>
      <c r="Y997" t="s">
        <v>1582</v>
      </c>
      <c r="Z997" t="s">
        <v>1593</v>
      </c>
      <c r="AA997" t="s">
        <v>1596</v>
      </c>
      <c r="AB997" t="s">
        <v>1600</v>
      </c>
      <c r="AC997" t="s">
        <v>1610</v>
      </c>
      <c r="AD997" t="s">
        <v>1604</v>
      </c>
      <c r="AE997" t="s">
        <v>1616</v>
      </c>
      <c r="AF997" t="s">
        <v>1625</v>
      </c>
    </row>
    <row r="998" spans="1:32" x14ac:dyDescent="0.25">
      <c r="A998" t="s">
        <v>1055</v>
      </c>
      <c r="B998">
        <v>27</v>
      </c>
      <c r="C998">
        <v>205</v>
      </c>
      <c r="D998">
        <v>10</v>
      </c>
      <c r="E998">
        <v>98</v>
      </c>
      <c r="F998">
        <v>5769</v>
      </c>
      <c r="G998">
        <v>7100</v>
      </c>
      <c r="H998">
        <v>1</v>
      </c>
      <c r="I998">
        <v>11</v>
      </c>
      <c r="J998">
        <v>6</v>
      </c>
      <c r="K998">
        <v>3</v>
      </c>
      <c r="L998">
        <v>6</v>
      </c>
      <c r="M998">
        <v>2</v>
      </c>
      <c r="N998">
        <v>4</v>
      </c>
      <c r="O998">
        <v>4</v>
      </c>
      <c r="P998" t="s">
        <v>1556</v>
      </c>
      <c r="Q998" t="s">
        <v>1552</v>
      </c>
      <c r="R998" t="s">
        <v>1549</v>
      </c>
      <c r="S998" t="s">
        <v>1534</v>
      </c>
      <c r="T998" t="s">
        <v>1541</v>
      </c>
      <c r="U998" t="s">
        <v>1548</v>
      </c>
      <c r="V998" t="s">
        <v>1558</v>
      </c>
      <c r="W998" t="s">
        <v>1562</v>
      </c>
      <c r="X998" t="s">
        <v>1576</v>
      </c>
      <c r="Y998" t="s">
        <v>1581</v>
      </c>
      <c r="Z998" t="s">
        <v>1594</v>
      </c>
      <c r="AA998" t="s">
        <v>1597</v>
      </c>
      <c r="AB998" t="s">
        <v>1600</v>
      </c>
      <c r="AC998" t="s">
        <v>1610</v>
      </c>
      <c r="AD998" t="s">
        <v>1607</v>
      </c>
      <c r="AE998" t="s">
        <v>1616</v>
      </c>
      <c r="AF998" t="s">
        <v>1627</v>
      </c>
    </row>
    <row r="999" spans="1:32" x14ac:dyDescent="0.25">
      <c r="A999" t="s">
        <v>1056</v>
      </c>
      <c r="B999">
        <v>27</v>
      </c>
      <c r="C999">
        <v>135</v>
      </c>
      <c r="D999">
        <v>17</v>
      </c>
      <c r="E999">
        <v>51</v>
      </c>
      <c r="F999">
        <v>2394</v>
      </c>
      <c r="G999">
        <v>25681</v>
      </c>
      <c r="H999">
        <v>1</v>
      </c>
      <c r="I999">
        <v>13</v>
      </c>
      <c r="J999">
        <v>8</v>
      </c>
      <c r="K999">
        <v>2</v>
      </c>
      <c r="L999">
        <v>8</v>
      </c>
      <c r="M999">
        <v>2</v>
      </c>
      <c r="N999">
        <v>7</v>
      </c>
      <c r="O999">
        <v>7</v>
      </c>
      <c r="P999" t="s">
        <v>1555</v>
      </c>
      <c r="Q999" t="s">
        <v>1552</v>
      </c>
      <c r="R999" t="s">
        <v>1550</v>
      </c>
      <c r="S999" t="s">
        <v>1535</v>
      </c>
      <c r="T999" t="s">
        <v>1538</v>
      </c>
      <c r="U999" t="s">
        <v>1548</v>
      </c>
      <c r="V999" t="s">
        <v>1558</v>
      </c>
      <c r="W999" t="s">
        <v>1563</v>
      </c>
      <c r="X999" t="s">
        <v>1575</v>
      </c>
      <c r="Y999" t="s">
        <v>1582</v>
      </c>
      <c r="Z999" t="s">
        <v>1593</v>
      </c>
      <c r="AA999" t="s">
        <v>1596</v>
      </c>
      <c r="AB999" t="s">
        <v>1600</v>
      </c>
      <c r="AC999" t="s">
        <v>1610</v>
      </c>
      <c r="AD999" t="s">
        <v>1607</v>
      </c>
      <c r="AE999" t="s">
        <v>1616</v>
      </c>
      <c r="AF999" t="s">
        <v>1627</v>
      </c>
    </row>
    <row r="1000" spans="1:32" x14ac:dyDescent="0.25">
      <c r="A1000" t="s">
        <v>1057</v>
      </c>
      <c r="B1000">
        <v>26</v>
      </c>
      <c r="C1000">
        <v>683</v>
      </c>
      <c r="D1000">
        <v>2</v>
      </c>
      <c r="E1000">
        <v>36</v>
      </c>
      <c r="F1000">
        <v>3904</v>
      </c>
      <c r="G1000">
        <v>4050</v>
      </c>
      <c r="H1000">
        <v>0</v>
      </c>
      <c r="I1000">
        <v>12</v>
      </c>
      <c r="J1000">
        <v>5</v>
      </c>
      <c r="K1000">
        <v>2</v>
      </c>
      <c r="L1000">
        <v>4</v>
      </c>
      <c r="M1000">
        <v>3</v>
      </c>
      <c r="N1000">
        <v>1</v>
      </c>
      <c r="O1000">
        <v>1</v>
      </c>
      <c r="P1000" t="s">
        <v>1556</v>
      </c>
      <c r="Q1000" t="s">
        <v>1552</v>
      </c>
      <c r="R1000" t="s">
        <v>1550</v>
      </c>
      <c r="S1000" t="s">
        <v>1532</v>
      </c>
      <c r="T1000" t="s">
        <v>1540</v>
      </c>
      <c r="U1000" t="s">
        <v>1545</v>
      </c>
      <c r="V1000" t="s">
        <v>1559</v>
      </c>
      <c r="W1000" t="s">
        <v>1562</v>
      </c>
      <c r="X1000" t="s">
        <v>1575</v>
      </c>
      <c r="Y1000" t="s">
        <v>1582</v>
      </c>
      <c r="Z1000" t="s">
        <v>1594</v>
      </c>
      <c r="AA1000" t="s">
        <v>1596</v>
      </c>
      <c r="AB1000" t="s">
        <v>1601</v>
      </c>
      <c r="AC1000" t="s">
        <v>1610</v>
      </c>
      <c r="AD1000" t="s">
        <v>1607</v>
      </c>
      <c r="AE1000" t="s">
        <v>1616</v>
      </c>
      <c r="AF1000" t="s">
        <v>1627</v>
      </c>
    </row>
    <row r="1001" spans="1:32" x14ac:dyDescent="0.25">
      <c r="A1001" t="s">
        <v>1058</v>
      </c>
      <c r="B1001">
        <v>42</v>
      </c>
      <c r="C1001">
        <v>1147</v>
      </c>
      <c r="D1001">
        <v>10</v>
      </c>
      <c r="E1001">
        <v>31</v>
      </c>
      <c r="F1001">
        <v>16799</v>
      </c>
      <c r="G1001">
        <v>16616</v>
      </c>
      <c r="H1001">
        <v>0</v>
      </c>
      <c r="I1001">
        <v>14</v>
      </c>
      <c r="J1001">
        <v>21</v>
      </c>
      <c r="K1001">
        <v>5</v>
      </c>
      <c r="L1001">
        <v>20</v>
      </c>
      <c r="M1001">
        <v>7</v>
      </c>
      <c r="N1001">
        <v>0</v>
      </c>
      <c r="O1001">
        <v>9</v>
      </c>
      <c r="P1001" t="s">
        <v>1556</v>
      </c>
      <c r="Q1001" t="s">
        <v>1552</v>
      </c>
      <c r="R1001" t="s">
        <v>1551</v>
      </c>
      <c r="S1001" t="s">
        <v>1534</v>
      </c>
      <c r="T1001" t="s">
        <v>1543</v>
      </c>
      <c r="U1001" t="s">
        <v>1547</v>
      </c>
      <c r="V1001" t="s">
        <v>1558</v>
      </c>
      <c r="W1001" t="s">
        <v>1563</v>
      </c>
      <c r="X1001" t="s">
        <v>1578</v>
      </c>
      <c r="Y1001" t="s">
        <v>1586</v>
      </c>
      <c r="Z1001" t="s">
        <v>1591</v>
      </c>
      <c r="AA1001" t="s">
        <v>1597</v>
      </c>
      <c r="AB1001" t="s">
        <v>1601</v>
      </c>
      <c r="AC1001" t="s">
        <v>1610</v>
      </c>
      <c r="AD1001" t="s">
        <v>1606</v>
      </c>
      <c r="AE1001" t="s">
        <v>1617</v>
      </c>
      <c r="AF1001" t="s">
        <v>1627</v>
      </c>
    </row>
    <row r="1002" spans="1:32" x14ac:dyDescent="0.25">
      <c r="A1002" t="s">
        <v>1059</v>
      </c>
      <c r="B1002">
        <v>52</v>
      </c>
      <c r="C1002">
        <v>258</v>
      </c>
      <c r="D1002">
        <v>8</v>
      </c>
      <c r="E1002">
        <v>54</v>
      </c>
      <c r="F1002">
        <v>2950</v>
      </c>
      <c r="G1002">
        <v>17363</v>
      </c>
      <c r="H1002">
        <v>9</v>
      </c>
      <c r="I1002">
        <v>13</v>
      </c>
      <c r="J1002">
        <v>12</v>
      </c>
      <c r="K1002">
        <v>2</v>
      </c>
      <c r="L1002">
        <v>5</v>
      </c>
      <c r="M1002">
        <v>4</v>
      </c>
      <c r="N1002">
        <v>0</v>
      </c>
      <c r="O1002">
        <v>4</v>
      </c>
      <c r="P1002" t="s">
        <v>1556</v>
      </c>
      <c r="Q1002" t="s">
        <v>1552</v>
      </c>
      <c r="R1002" t="s">
        <v>1550</v>
      </c>
      <c r="S1002" t="s">
        <v>1535</v>
      </c>
      <c r="T1002" t="s">
        <v>1539</v>
      </c>
      <c r="U1002" t="s">
        <v>1547</v>
      </c>
      <c r="V1002" t="s">
        <v>1558</v>
      </c>
      <c r="W1002" t="s">
        <v>1563</v>
      </c>
      <c r="X1002" t="s">
        <v>1575</v>
      </c>
      <c r="Y1002" t="s">
        <v>1583</v>
      </c>
      <c r="Z1002" t="s">
        <v>1591</v>
      </c>
      <c r="AA1002" t="s">
        <v>1597</v>
      </c>
      <c r="AB1002" t="s">
        <v>1601</v>
      </c>
      <c r="AC1002" t="s">
        <v>1610</v>
      </c>
      <c r="AD1002" t="s">
        <v>1606</v>
      </c>
      <c r="AE1002" t="s">
        <v>1616</v>
      </c>
      <c r="AF1002" t="s">
        <v>1625</v>
      </c>
    </row>
    <row r="1003" spans="1:32" x14ac:dyDescent="0.25">
      <c r="A1003" t="s">
        <v>1060</v>
      </c>
      <c r="B1003">
        <v>37</v>
      </c>
      <c r="C1003">
        <v>1462</v>
      </c>
      <c r="D1003">
        <v>11</v>
      </c>
      <c r="E1003">
        <v>94</v>
      </c>
      <c r="F1003">
        <v>3629</v>
      </c>
      <c r="G1003">
        <v>19106</v>
      </c>
      <c r="H1003">
        <v>4</v>
      </c>
      <c r="I1003">
        <v>18</v>
      </c>
      <c r="J1003">
        <v>8</v>
      </c>
      <c r="K1003">
        <v>6</v>
      </c>
      <c r="L1003">
        <v>3</v>
      </c>
      <c r="M1003">
        <v>2</v>
      </c>
      <c r="N1003">
        <v>0</v>
      </c>
      <c r="O1003">
        <v>2</v>
      </c>
      <c r="P1003" t="s">
        <v>1556</v>
      </c>
      <c r="Q1003" t="s">
        <v>1552</v>
      </c>
      <c r="R1003" t="s">
        <v>1550</v>
      </c>
      <c r="S1003" t="s">
        <v>1534</v>
      </c>
      <c r="T1003" t="s">
        <v>1540</v>
      </c>
      <c r="U1003" t="s">
        <v>1545</v>
      </c>
      <c r="V1003" t="s">
        <v>1558</v>
      </c>
      <c r="W1003" t="s">
        <v>1563</v>
      </c>
      <c r="X1003" t="s">
        <v>1575</v>
      </c>
      <c r="Y1003" t="s">
        <v>1583</v>
      </c>
      <c r="Z1003" t="s">
        <v>1593</v>
      </c>
      <c r="AA1003" t="s">
        <v>1596</v>
      </c>
      <c r="AB1003" t="s">
        <v>1601</v>
      </c>
      <c r="AC1003" t="s">
        <v>1610</v>
      </c>
      <c r="AD1003" t="s">
        <v>1604</v>
      </c>
      <c r="AE1003" t="s">
        <v>1616</v>
      </c>
      <c r="AF1003" t="s">
        <v>1627</v>
      </c>
    </row>
    <row r="1004" spans="1:32" x14ac:dyDescent="0.25">
      <c r="A1004" t="s">
        <v>1061</v>
      </c>
      <c r="B1004">
        <v>35</v>
      </c>
      <c r="C1004">
        <v>200</v>
      </c>
      <c r="D1004">
        <v>18</v>
      </c>
      <c r="E1004">
        <v>60</v>
      </c>
      <c r="F1004">
        <v>9362</v>
      </c>
      <c r="G1004">
        <v>19944</v>
      </c>
      <c r="H1004">
        <v>2</v>
      </c>
      <c r="I1004">
        <v>11</v>
      </c>
      <c r="J1004">
        <v>10</v>
      </c>
      <c r="K1004">
        <v>2</v>
      </c>
      <c r="L1004">
        <v>2</v>
      </c>
      <c r="M1004">
        <v>2</v>
      </c>
      <c r="N1004">
        <v>2</v>
      </c>
      <c r="O1004">
        <v>2</v>
      </c>
      <c r="P1004" t="s">
        <v>1556</v>
      </c>
      <c r="Q1004" t="s">
        <v>1553</v>
      </c>
      <c r="R1004" t="s">
        <v>1550</v>
      </c>
      <c r="S1004" t="s">
        <v>1533</v>
      </c>
      <c r="T1004" t="s">
        <v>1538</v>
      </c>
      <c r="U1004" t="s">
        <v>1547</v>
      </c>
      <c r="V1004" t="s">
        <v>1559</v>
      </c>
      <c r="W1004" t="s">
        <v>1563</v>
      </c>
      <c r="X1004" t="s">
        <v>1577</v>
      </c>
      <c r="Y1004" t="s">
        <v>1584</v>
      </c>
      <c r="Z1004" t="s">
        <v>1594</v>
      </c>
      <c r="AA1004" t="s">
        <v>1596</v>
      </c>
      <c r="AB1004" t="s">
        <v>1601</v>
      </c>
      <c r="AC1004" t="s">
        <v>1610</v>
      </c>
      <c r="AD1004" t="s">
        <v>1606</v>
      </c>
      <c r="AE1004" t="s">
        <v>1616</v>
      </c>
      <c r="AF1004" t="s">
        <v>1627</v>
      </c>
    </row>
    <row r="1005" spans="1:32" x14ac:dyDescent="0.25">
      <c r="A1005" t="s">
        <v>1062</v>
      </c>
      <c r="B1005">
        <v>25</v>
      </c>
      <c r="C1005">
        <v>949</v>
      </c>
      <c r="D1005">
        <v>1</v>
      </c>
      <c r="E1005">
        <v>81</v>
      </c>
      <c r="F1005">
        <v>3229</v>
      </c>
      <c r="G1005">
        <v>4910</v>
      </c>
      <c r="H1005">
        <v>4</v>
      </c>
      <c r="I1005">
        <v>11</v>
      </c>
      <c r="J1005">
        <v>7</v>
      </c>
      <c r="K1005">
        <v>2</v>
      </c>
      <c r="L1005">
        <v>3</v>
      </c>
      <c r="M1005">
        <v>2</v>
      </c>
      <c r="N1005">
        <v>0</v>
      </c>
      <c r="O1005">
        <v>2</v>
      </c>
      <c r="P1005" t="s">
        <v>1556</v>
      </c>
      <c r="Q1005" t="s">
        <v>1552</v>
      </c>
      <c r="R1005" t="s">
        <v>1550</v>
      </c>
      <c r="S1005" t="s">
        <v>1534</v>
      </c>
      <c r="T1005" t="s">
        <v>1542</v>
      </c>
      <c r="U1005" t="s">
        <v>1545</v>
      </c>
      <c r="V1005" t="s">
        <v>1559</v>
      </c>
      <c r="W1005" t="s">
        <v>1563</v>
      </c>
      <c r="X1005" t="s">
        <v>1575</v>
      </c>
      <c r="Y1005" t="s">
        <v>1583</v>
      </c>
      <c r="Z1005" t="s">
        <v>1594</v>
      </c>
      <c r="AA1005" t="s">
        <v>1597</v>
      </c>
      <c r="AB1005" t="s">
        <v>1601</v>
      </c>
      <c r="AC1005" t="s">
        <v>1610</v>
      </c>
      <c r="AD1005" t="s">
        <v>1605</v>
      </c>
      <c r="AE1005" t="s">
        <v>1617</v>
      </c>
      <c r="AF1005" t="s">
        <v>1626</v>
      </c>
    </row>
    <row r="1006" spans="1:32" x14ac:dyDescent="0.25">
      <c r="A1006" t="s">
        <v>1063</v>
      </c>
      <c r="B1006">
        <v>26</v>
      </c>
      <c r="C1006">
        <v>652</v>
      </c>
      <c r="D1006">
        <v>7</v>
      </c>
      <c r="E1006">
        <v>100</v>
      </c>
      <c r="F1006">
        <v>3578</v>
      </c>
      <c r="G1006">
        <v>23577</v>
      </c>
      <c r="H1006">
        <v>0</v>
      </c>
      <c r="I1006">
        <v>12</v>
      </c>
      <c r="J1006">
        <v>8</v>
      </c>
      <c r="K1006">
        <v>2</v>
      </c>
      <c r="L1006">
        <v>7</v>
      </c>
      <c r="M1006">
        <v>7</v>
      </c>
      <c r="N1006">
        <v>0</v>
      </c>
      <c r="O1006">
        <v>7</v>
      </c>
      <c r="P1006" t="s">
        <v>1556</v>
      </c>
      <c r="Q1006" t="s">
        <v>1552</v>
      </c>
      <c r="R1006" t="s">
        <v>1550</v>
      </c>
      <c r="S1006" t="s">
        <v>1534</v>
      </c>
      <c r="T1006" t="s">
        <v>1539</v>
      </c>
      <c r="U1006" t="s">
        <v>1547</v>
      </c>
      <c r="V1006" t="s">
        <v>1559</v>
      </c>
      <c r="W1006" t="s">
        <v>1564</v>
      </c>
      <c r="X1006" t="s">
        <v>1575</v>
      </c>
      <c r="Y1006" t="s">
        <v>1583</v>
      </c>
      <c r="Z1006" t="s">
        <v>1591</v>
      </c>
      <c r="AA1006" t="s">
        <v>1596</v>
      </c>
      <c r="AB1006" t="s">
        <v>1601</v>
      </c>
      <c r="AC1006" t="s">
        <v>1610</v>
      </c>
      <c r="AD1006" t="s">
        <v>1607</v>
      </c>
      <c r="AE1006" t="s">
        <v>1616</v>
      </c>
      <c r="AF1006" t="s">
        <v>1627</v>
      </c>
    </row>
    <row r="1007" spans="1:32" x14ac:dyDescent="0.25">
      <c r="A1007" t="s">
        <v>1064</v>
      </c>
      <c r="B1007">
        <v>29</v>
      </c>
      <c r="C1007">
        <v>332</v>
      </c>
      <c r="D1007">
        <v>17</v>
      </c>
      <c r="E1007">
        <v>51</v>
      </c>
      <c r="F1007">
        <v>7988</v>
      </c>
      <c r="G1007">
        <v>9769</v>
      </c>
      <c r="H1007">
        <v>1</v>
      </c>
      <c r="I1007">
        <v>13</v>
      </c>
      <c r="J1007">
        <v>10</v>
      </c>
      <c r="K1007">
        <v>3</v>
      </c>
      <c r="L1007">
        <v>10</v>
      </c>
      <c r="M1007">
        <v>9</v>
      </c>
      <c r="N1007">
        <v>0</v>
      </c>
      <c r="O1007">
        <v>9</v>
      </c>
      <c r="P1007" t="s">
        <v>1556</v>
      </c>
      <c r="Q1007" t="s">
        <v>1552</v>
      </c>
      <c r="R1007" t="s">
        <v>1551</v>
      </c>
      <c r="S1007" t="s">
        <v>1534</v>
      </c>
      <c r="T1007" t="s">
        <v>1539</v>
      </c>
      <c r="U1007" t="s">
        <v>1546</v>
      </c>
      <c r="V1007" t="s">
        <v>1559</v>
      </c>
      <c r="W1007" t="s">
        <v>1562</v>
      </c>
      <c r="X1007" t="s">
        <v>1577</v>
      </c>
      <c r="Y1007" t="s">
        <v>1589</v>
      </c>
      <c r="Z1007" t="s">
        <v>1591</v>
      </c>
      <c r="AA1007" t="s">
        <v>1596</v>
      </c>
      <c r="AB1007" t="s">
        <v>1601</v>
      </c>
      <c r="AC1007" t="s">
        <v>1610</v>
      </c>
      <c r="AD1007" t="s">
        <v>1604</v>
      </c>
      <c r="AE1007" t="s">
        <v>1616</v>
      </c>
      <c r="AF1007" t="s">
        <v>1626</v>
      </c>
    </row>
    <row r="1008" spans="1:32" x14ac:dyDescent="0.25">
      <c r="A1008" t="s">
        <v>1065</v>
      </c>
      <c r="B1008">
        <v>49</v>
      </c>
      <c r="C1008">
        <v>1475</v>
      </c>
      <c r="D1008">
        <v>28</v>
      </c>
      <c r="E1008">
        <v>97</v>
      </c>
      <c r="F1008">
        <v>4284</v>
      </c>
      <c r="G1008">
        <v>22710</v>
      </c>
      <c r="H1008">
        <v>3</v>
      </c>
      <c r="I1008">
        <v>20</v>
      </c>
      <c r="J1008">
        <v>20</v>
      </c>
      <c r="K1008">
        <v>2</v>
      </c>
      <c r="L1008">
        <v>4</v>
      </c>
      <c r="M1008">
        <v>3</v>
      </c>
      <c r="N1008">
        <v>1</v>
      </c>
      <c r="O1008">
        <v>3</v>
      </c>
      <c r="P1008" t="s">
        <v>1555</v>
      </c>
      <c r="Q1008" t="s">
        <v>1553</v>
      </c>
      <c r="R1008" t="s">
        <v>1550</v>
      </c>
      <c r="S1008" t="s">
        <v>1533</v>
      </c>
      <c r="T1008" t="s">
        <v>1538</v>
      </c>
      <c r="U1008" t="s">
        <v>1545</v>
      </c>
      <c r="V1008" t="s">
        <v>1559</v>
      </c>
      <c r="W1008" t="s">
        <v>1562</v>
      </c>
      <c r="X1008" t="s">
        <v>1576</v>
      </c>
      <c r="Y1008" t="s">
        <v>1583</v>
      </c>
      <c r="Z1008" t="s">
        <v>1591</v>
      </c>
      <c r="AA1008" t="s">
        <v>1596</v>
      </c>
      <c r="AB1008" t="s">
        <v>1601</v>
      </c>
      <c r="AC1008" t="s">
        <v>1611</v>
      </c>
      <c r="AD1008" t="s">
        <v>1604</v>
      </c>
      <c r="AE1008" t="s">
        <v>1616</v>
      </c>
      <c r="AF1008" t="s">
        <v>1627</v>
      </c>
    </row>
    <row r="1009" spans="1:32" x14ac:dyDescent="0.25">
      <c r="A1009" t="s">
        <v>1066</v>
      </c>
      <c r="B1009">
        <v>29</v>
      </c>
      <c r="C1009">
        <v>337</v>
      </c>
      <c r="D1009">
        <v>14</v>
      </c>
      <c r="E1009">
        <v>84</v>
      </c>
      <c r="F1009">
        <v>7553</v>
      </c>
      <c r="G1009">
        <v>22930</v>
      </c>
      <c r="H1009">
        <v>0</v>
      </c>
      <c r="I1009">
        <v>12</v>
      </c>
      <c r="J1009">
        <v>9</v>
      </c>
      <c r="K1009">
        <v>1</v>
      </c>
      <c r="L1009">
        <v>8</v>
      </c>
      <c r="M1009">
        <v>7</v>
      </c>
      <c r="N1009">
        <v>7</v>
      </c>
      <c r="O1009">
        <v>7</v>
      </c>
      <c r="P1009" t="s">
        <v>1555</v>
      </c>
      <c r="Q1009" t="s">
        <v>1553</v>
      </c>
      <c r="R1009" t="s">
        <v>1550</v>
      </c>
      <c r="S1009" t="s">
        <v>1532</v>
      </c>
      <c r="T1009" t="s">
        <v>1539</v>
      </c>
      <c r="U1009" t="s">
        <v>1547</v>
      </c>
      <c r="V1009" t="s">
        <v>1558</v>
      </c>
      <c r="W1009" t="s">
        <v>1563</v>
      </c>
      <c r="X1009" t="s">
        <v>1577</v>
      </c>
      <c r="Y1009" t="s">
        <v>1585</v>
      </c>
      <c r="Z1009" t="s">
        <v>1594</v>
      </c>
      <c r="AA1009" t="s">
        <v>1596</v>
      </c>
      <c r="AB1009" t="s">
        <v>1600</v>
      </c>
      <c r="AC1009" t="s">
        <v>1610</v>
      </c>
      <c r="AD1009" t="s">
        <v>1604</v>
      </c>
      <c r="AE1009" t="s">
        <v>1616</v>
      </c>
      <c r="AF1009" t="s">
        <v>1627</v>
      </c>
    </row>
    <row r="1010" spans="1:32" x14ac:dyDescent="0.25">
      <c r="A1010" t="s">
        <v>1067</v>
      </c>
      <c r="B1010">
        <v>54</v>
      </c>
      <c r="C1010">
        <v>971</v>
      </c>
      <c r="D1010">
        <v>1</v>
      </c>
      <c r="E1010">
        <v>54</v>
      </c>
      <c r="F1010">
        <v>17328</v>
      </c>
      <c r="G1010">
        <v>5652</v>
      </c>
      <c r="H1010">
        <v>6</v>
      </c>
      <c r="I1010">
        <v>19</v>
      </c>
      <c r="J1010">
        <v>29</v>
      </c>
      <c r="K1010">
        <v>3</v>
      </c>
      <c r="L1010">
        <v>20</v>
      </c>
      <c r="M1010">
        <v>7</v>
      </c>
      <c r="N1010">
        <v>12</v>
      </c>
      <c r="O1010">
        <v>7</v>
      </c>
      <c r="P1010" t="s">
        <v>1556</v>
      </c>
      <c r="Q1010" t="s">
        <v>1552</v>
      </c>
      <c r="R1010" t="s">
        <v>1550</v>
      </c>
      <c r="S1010" t="s">
        <v>1534</v>
      </c>
      <c r="T1010" t="s">
        <v>1540</v>
      </c>
      <c r="U1010" t="s">
        <v>1548</v>
      </c>
      <c r="V1010" t="s">
        <v>1558</v>
      </c>
      <c r="W1010" t="s">
        <v>1563</v>
      </c>
      <c r="X1010" t="s">
        <v>1578</v>
      </c>
      <c r="Y1010" t="s">
        <v>1588</v>
      </c>
      <c r="Z1010" t="s">
        <v>1594</v>
      </c>
      <c r="AA1010" t="s">
        <v>1596</v>
      </c>
      <c r="AB1010" t="s">
        <v>1601</v>
      </c>
      <c r="AC1010" t="s">
        <v>1610</v>
      </c>
      <c r="AD1010" t="s">
        <v>1607</v>
      </c>
      <c r="AE1010" t="s">
        <v>1616</v>
      </c>
      <c r="AF1010" t="s">
        <v>1626</v>
      </c>
    </row>
    <row r="1011" spans="1:32" x14ac:dyDescent="0.25">
      <c r="A1011" t="s">
        <v>1068</v>
      </c>
      <c r="B1011">
        <v>58</v>
      </c>
      <c r="C1011">
        <v>1055</v>
      </c>
      <c r="D1011">
        <v>1</v>
      </c>
      <c r="E1011">
        <v>76</v>
      </c>
      <c r="F1011">
        <v>19701</v>
      </c>
      <c r="G1011">
        <v>22456</v>
      </c>
      <c r="H1011">
        <v>3</v>
      </c>
      <c r="I1011">
        <v>21</v>
      </c>
      <c r="J1011">
        <v>32</v>
      </c>
      <c r="K1011">
        <v>3</v>
      </c>
      <c r="L1011">
        <v>9</v>
      </c>
      <c r="M1011">
        <v>8</v>
      </c>
      <c r="N1011">
        <v>1</v>
      </c>
      <c r="O1011">
        <v>5</v>
      </c>
      <c r="P1011" t="s">
        <v>1556</v>
      </c>
      <c r="Q1011" t="s">
        <v>1552</v>
      </c>
      <c r="R1011" t="s">
        <v>1550</v>
      </c>
      <c r="S1011" t="s">
        <v>1534</v>
      </c>
      <c r="T1011" t="s">
        <v>1540</v>
      </c>
      <c r="U1011" t="s">
        <v>1548</v>
      </c>
      <c r="V1011" t="s">
        <v>1558</v>
      </c>
      <c r="W1011" t="s">
        <v>1563</v>
      </c>
      <c r="X1011" t="s">
        <v>1579</v>
      </c>
      <c r="Y1011" t="s">
        <v>1588</v>
      </c>
      <c r="Z1011" t="s">
        <v>1591</v>
      </c>
      <c r="AA1011" t="s">
        <v>1597</v>
      </c>
      <c r="AB1011" t="s">
        <v>1600</v>
      </c>
      <c r="AC1011" t="s">
        <v>1611</v>
      </c>
      <c r="AD1011" t="s">
        <v>1606</v>
      </c>
      <c r="AE1011" t="s">
        <v>1617</v>
      </c>
      <c r="AF1011" t="s">
        <v>1627</v>
      </c>
    </row>
    <row r="1012" spans="1:32" x14ac:dyDescent="0.25">
      <c r="A1012" t="s">
        <v>1069</v>
      </c>
      <c r="B1012">
        <v>55</v>
      </c>
      <c r="C1012">
        <v>1136</v>
      </c>
      <c r="D1012">
        <v>1</v>
      </c>
      <c r="E1012">
        <v>81</v>
      </c>
      <c r="F1012">
        <v>14732</v>
      </c>
      <c r="G1012">
        <v>12414</v>
      </c>
      <c r="H1012">
        <v>2</v>
      </c>
      <c r="I1012">
        <v>13</v>
      </c>
      <c r="J1012">
        <v>31</v>
      </c>
      <c r="K1012">
        <v>4</v>
      </c>
      <c r="L1012">
        <v>7</v>
      </c>
      <c r="M1012">
        <v>7</v>
      </c>
      <c r="N1012">
        <v>0</v>
      </c>
      <c r="O1012">
        <v>0</v>
      </c>
      <c r="P1012" t="s">
        <v>1556</v>
      </c>
      <c r="Q1012" t="s">
        <v>1552</v>
      </c>
      <c r="R1012" t="s">
        <v>1550</v>
      </c>
      <c r="S1012" t="s">
        <v>1535</v>
      </c>
      <c r="T1012" t="s">
        <v>1540</v>
      </c>
      <c r="U1012" t="s">
        <v>1546</v>
      </c>
      <c r="V1012" t="s">
        <v>1559</v>
      </c>
      <c r="W1012" t="s">
        <v>1564</v>
      </c>
      <c r="X1012" t="s">
        <v>1578</v>
      </c>
      <c r="Y1012" t="s">
        <v>1588</v>
      </c>
      <c r="Z1012" t="s">
        <v>1594</v>
      </c>
      <c r="AA1012" t="s">
        <v>1598</v>
      </c>
      <c r="AB1012" t="s">
        <v>1601</v>
      </c>
      <c r="AC1012" t="s">
        <v>1610</v>
      </c>
      <c r="AD1012" t="s">
        <v>1607</v>
      </c>
      <c r="AE1012" t="s">
        <v>1618</v>
      </c>
      <c r="AF1012" t="s">
        <v>1628</v>
      </c>
    </row>
    <row r="1013" spans="1:32" x14ac:dyDescent="0.25">
      <c r="A1013" t="s">
        <v>1070</v>
      </c>
      <c r="B1013">
        <v>36</v>
      </c>
      <c r="C1013">
        <v>1174</v>
      </c>
      <c r="D1013">
        <v>3</v>
      </c>
      <c r="E1013">
        <v>99</v>
      </c>
      <c r="F1013">
        <v>9278</v>
      </c>
      <c r="G1013">
        <v>20763</v>
      </c>
      <c r="H1013">
        <v>3</v>
      </c>
      <c r="I1013">
        <v>16</v>
      </c>
      <c r="J1013">
        <v>15</v>
      </c>
      <c r="K1013">
        <v>3</v>
      </c>
      <c r="L1013">
        <v>5</v>
      </c>
      <c r="M1013">
        <v>4</v>
      </c>
      <c r="N1013">
        <v>0</v>
      </c>
      <c r="O1013">
        <v>1</v>
      </c>
      <c r="P1013" t="s">
        <v>1556</v>
      </c>
      <c r="Q1013" t="s">
        <v>1552</v>
      </c>
      <c r="R1013" t="s">
        <v>1549</v>
      </c>
      <c r="S1013" t="s">
        <v>1535</v>
      </c>
      <c r="T1013" t="s">
        <v>1541</v>
      </c>
      <c r="U1013" t="s">
        <v>1545</v>
      </c>
      <c r="V1013" t="s">
        <v>1558</v>
      </c>
      <c r="W1013" t="s">
        <v>1563</v>
      </c>
      <c r="X1013" t="s">
        <v>1576</v>
      </c>
      <c r="Y1013" t="s">
        <v>1581</v>
      </c>
      <c r="Z1013" t="s">
        <v>1592</v>
      </c>
      <c r="AA1013" t="s">
        <v>1596</v>
      </c>
      <c r="AB1013" t="s">
        <v>1600</v>
      </c>
      <c r="AC1013" t="s">
        <v>1610</v>
      </c>
      <c r="AD1013" t="s">
        <v>1607</v>
      </c>
      <c r="AE1013" t="s">
        <v>1616</v>
      </c>
      <c r="AF1013" t="s">
        <v>1627</v>
      </c>
    </row>
    <row r="1014" spans="1:32" x14ac:dyDescent="0.25">
      <c r="A1014" t="s">
        <v>1071</v>
      </c>
      <c r="B1014">
        <v>31</v>
      </c>
      <c r="C1014">
        <v>667</v>
      </c>
      <c r="D1014">
        <v>1</v>
      </c>
      <c r="E1014">
        <v>50</v>
      </c>
      <c r="F1014">
        <v>1359</v>
      </c>
      <c r="G1014">
        <v>16154</v>
      </c>
      <c r="H1014">
        <v>1</v>
      </c>
      <c r="I1014">
        <v>12</v>
      </c>
      <c r="J1014">
        <v>1</v>
      </c>
      <c r="K1014">
        <v>3</v>
      </c>
      <c r="L1014">
        <v>1</v>
      </c>
      <c r="M1014">
        <v>0</v>
      </c>
      <c r="N1014">
        <v>0</v>
      </c>
      <c r="O1014">
        <v>0</v>
      </c>
      <c r="P1014" t="s">
        <v>1555</v>
      </c>
      <c r="Q1014" t="s">
        <v>1553</v>
      </c>
      <c r="R1014" t="s">
        <v>1549</v>
      </c>
      <c r="S1014" t="s">
        <v>1535</v>
      </c>
      <c r="T1014" t="s">
        <v>1538</v>
      </c>
      <c r="U1014" t="s">
        <v>1546</v>
      </c>
      <c r="V1014" t="s">
        <v>1558</v>
      </c>
      <c r="W1014" t="s">
        <v>1561</v>
      </c>
      <c r="X1014" t="s">
        <v>1575</v>
      </c>
      <c r="Y1014" t="s">
        <v>1587</v>
      </c>
      <c r="Z1014" t="s">
        <v>1593</v>
      </c>
      <c r="AA1014" t="s">
        <v>1596</v>
      </c>
      <c r="AB1014" t="s">
        <v>1601</v>
      </c>
      <c r="AC1014" t="s">
        <v>1610</v>
      </c>
      <c r="AD1014" t="s">
        <v>1605</v>
      </c>
      <c r="AE1014" t="s">
        <v>1616</v>
      </c>
      <c r="AF1014" t="s">
        <v>1627</v>
      </c>
    </row>
    <row r="1015" spans="1:32" x14ac:dyDescent="0.25">
      <c r="A1015" t="s">
        <v>1072</v>
      </c>
      <c r="B1015">
        <v>30</v>
      </c>
      <c r="C1015">
        <v>855</v>
      </c>
      <c r="D1015">
        <v>7</v>
      </c>
      <c r="E1015">
        <v>73</v>
      </c>
      <c r="F1015">
        <v>4779</v>
      </c>
      <c r="G1015">
        <v>12761</v>
      </c>
      <c r="H1015">
        <v>7</v>
      </c>
      <c r="I1015">
        <v>14</v>
      </c>
      <c r="J1015">
        <v>8</v>
      </c>
      <c r="K1015">
        <v>3</v>
      </c>
      <c r="L1015">
        <v>3</v>
      </c>
      <c r="M1015">
        <v>2</v>
      </c>
      <c r="N1015">
        <v>0</v>
      </c>
      <c r="O1015">
        <v>2</v>
      </c>
      <c r="P1015" t="s">
        <v>1556</v>
      </c>
      <c r="Q1015" t="s">
        <v>1552</v>
      </c>
      <c r="R1015" t="s">
        <v>1549</v>
      </c>
      <c r="S1015" t="s">
        <v>1535</v>
      </c>
      <c r="T1015" t="s">
        <v>1541</v>
      </c>
      <c r="U1015" t="s">
        <v>1548</v>
      </c>
      <c r="V1015" t="s">
        <v>1558</v>
      </c>
      <c r="W1015" t="s">
        <v>1563</v>
      </c>
      <c r="X1015" t="s">
        <v>1576</v>
      </c>
      <c r="Y1015" t="s">
        <v>1581</v>
      </c>
      <c r="Z1015" t="s">
        <v>1591</v>
      </c>
      <c r="AA1015" t="s">
        <v>1598</v>
      </c>
      <c r="AB1015" t="s">
        <v>1601</v>
      </c>
      <c r="AC1015" t="s">
        <v>1610</v>
      </c>
      <c r="AD1015" t="s">
        <v>1605</v>
      </c>
      <c r="AE1015" t="s">
        <v>1618</v>
      </c>
      <c r="AF1015" t="s">
        <v>1627</v>
      </c>
    </row>
    <row r="1016" spans="1:32" x14ac:dyDescent="0.25">
      <c r="A1016" t="s">
        <v>1073</v>
      </c>
      <c r="B1016">
        <v>31</v>
      </c>
      <c r="C1016">
        <v>182</v>
      </c>
      <c r="D1016">
        <v>8</v>
      </c>
      <c r="E1016">
        <v>93</v>
      </c>
      <c r="F1016">
        <v>16422</v>
      </c>
      <c r="G1016">
        <v>8847</v>
      </c>
      <c r="H1016">
        <v>3</v>
      </c>
      <c r="I1016">
        <v>11</v>
      </c>
      <c r="J1016">
        <v>9</v>
      </c>
      <c r="K1016">
        <v>3</v>
      </c>
      <c r="L1016">
        <v>3</v>
      </c>
      <c r="M1016">
        <v>2</v>
      </c>
      <c r="N1016">
        <v>1</v>
      </c>
      <c r="O1016">
        <v>0</v>
      </c>
      <c r="P1016" t="s">
        <v>1556</v>
      </c>
      <c r="Q1016" t="s">
        <v>1552</v>
      </c>
      <c r="R1016" t="s">
        <v>1550</v>
      </c>
      <c r="S1016" t="s">
        <v>1536</v>
      </c>
      <c r="T1016" t="s">
        <v>1538</v>
      </c>
      <c r="U1016" t="s">
        <v>1545</v>
      </c>
      <c r="V1016" t="s">
        <v>1558</v>
      </c>
      <c r="W1016" t="s">
        <v>1563</v>
      </c>
      <c r="X1016" t="s">
        <v>1578</v>
      </c>
      <c r="Y1016" t="s">
        <v>1588</v>
      </c>
      <c r="Z1016" t="s">
        <v>1592</v>
      </c>
      <c r="AA1016" t="s">
        <v>1596</v>
      </c>
      <c r="AB1016" t="s">
        <v>1601</v>
      </c>
      <c r="AC1016" t="s">
        <v>1610</v>
      </c>
      <c r="AD1016" t="s">
        <v>1606</v>
      </c>
      <c r="AE1016" t="s">
        <v>1616</v>
      </c>
      <c r="AF1016" t="s">
        <v>1628</v>
      </c>
    </row>
    <row r="1017" spans="1:32" x14ac:dyDescent="0.25">
      <c r="A1017" t="s">
        <v>1074</v>
      </c>
      <c r="B1017">
        <v>34</v>
      </c>
      <c r="C1017">
        <v>560</v>
      </c>
      <c r="D1017">
        <v>1</v>
      </c>
      <c r="E1017">
        <v>91</v>
      </c>
      <c r="F1017">
        <v>2996</v>
      </c>
      <c r="G1017">
        <v>20284</v>
      </c>
      <c r="H1017">
        <v>5</v>
      </c>
      <c r="I1017">
        <v>14</v>
      </c>
      <c r="J1017">
        <v>10</v>
      </c>
      <c r="K1017">
        <v>2</v>
      </c>
      <c r="L1017">
        <v>4</v>
      </c>
      <c r="M1017">
        <v>3</v>
      </c>
      <c r="N1017">
        <v>1</v>
      </c>
      <c r="O1017">
        <v>3</v>
      </c>
      <c r="P1017" t="s">
        <v>1556</v>
      </c>
      <c r="Q1017" t="s">
        <v>1553</v>
      </c>
      <c r="R1017" t="s">
        <v>1550</v>
      </c>
      <c r="S1017" t="s">
        <v>1535</v>
      </c>
      <c r="T1017" t="s">
        <v>1539</v>
      </c>
      <c r="U1017" t="s">
        <v>1548</v>
      </c>
      <c r="V1017" t="s">
        <v>1559</v>
      </c>
      <c r="W1017" t="s">
        <v>1563</v>
      </c>
      <c r="X1017" t="s">
        <v>1575</v>
      </c>
      <c r="Y1017" t="s">
        <v>1582</v>
      </c>
      <c r="Z1017" t="s">
        <v>1591</v>
      </c>
      <c r="AA1017" t="s">
        <v>1598</v>
      </c>
      <c r="AB1017" t="s">
        <v>1601</v>
      </c>
      <c r="AC1017" t="s">
        <v>1610</v>
      </c>
      <c r="AD1017" t="s">
        <v>1606</v>
      </c>
      <c r="AE1017" t="s">
        <v>1618</v>
      </c>
      <c r="AF1017" t="s">
        <v>1627</v>
      </c>
    </row>
    <row r="1018" spans="1:32" x14ac:dyDescent="0.25">
      <c r="A1018" t="s">
        <v>1075</v>
      </c>
      <c r="B1018">
        <v>31</v>
      </c>
      <c r="C1018">
        <v>202</v>
      </c>
      <c r="D1018">
        <v>8</v>
      </c>
      <c r="E1018">
        <v>34</v>
      </c>
      <c r="F1018">
        <v>1261</v>
      </c>
      <c r="G1018">
        <v>22262</v>
      </c>
      <c r="H1018">
        <v>1</v>
      </c>
      <c r="I1018">
        <v>12</v>
      </c>
      <c r="J1018">
        <v>1</v>
      </c>
      <c r="K1018">
        <v>3</v>
      </c>
      <c r="L1018">
        <v>1</v>
      </c>
      <c r="M1018">
        <v>0</v>
      </c>
      <c r="N1018">
        <v>0</v>
      </c>
      <c r="O1018">
        <v>0</v>
      </c>
      <c r="P1018" t="s">
        <v>1555</v>
      </c>
      <c r="Q1018" t="s">
        <v>1552</v>
      </c>
      <c r="R1018" t="s">
        <v>1550</v>
      </c>
      <c r="S1018" t="s">
        <v>1534</v>
      </c>
      <c r="T1018" t="s">
        <v>1538</v>
      </c>
      <c r="U1018" t="s">
        <v>1545</v>
      </c>
      <c r="V1018" t="s">
        <v>1558</v>
      </c>
      <c r="W1018" t="s">
        <v>1562</v>
      </c>
      <c r="X1018" t="s">
        <v>1575</v>
      </c>
      <c r="Y1018" t="s">
        <v>1582</v>
      </c>
      <c r="Z1018" t="s">
        <v>1592</v>
      </c>
      <c r="AA1018" t="s">
        <v>1596</v>
      </c>
      <c r="AB1018" t="s">
        <v>1601</v>
      </c>
      <c r="AC1018" t="s">
        <v>1610</v>
      </c>
      <c r="AD1018" t="s">
        <v>1606</v>
      </c>
      <c r="AE1018" t="s">
        <v>1616</v>
      </c>
      <c r="AF1018" t="s">
        <v>1628</v>
      </c>
    </row>
    <row r="1019" spans="1:32" x14ac:dyDescent="0.25">
      <c r="A1019" t="s">
        <v>1076</v>
      </c>
      <c r="B1019">
        <v>27</v>
      </c>
      <c r="C1019">
        <v>1377</v>
      </c>
      <c r="D1019">
        <v>11</v>
      </c>
      <c r="E1019">
        <v>91</v>
      </c>
      <c r="F1019">
        <v>2099</v>
      </c>
      <c r="G1019">
        <v>7679</v>
      </c>
      <c r="H1019">
        <v>0</v>
      </c>
      <c r="I1019">
        <v>14</v>
      </c>
      <c r="J1019">
        <v>6</v>
      </c>
      <c r="K1019">
        <v>3</v>
      </c>
      <c r="L1019">
        <v>5</v>
      </c>
      <c r="M1019">
        <v>0</v>
      </c>
      <c r="N1019">
        <v>1</v>
      </c>
      <c r="O1019">
        <v>4</v>
      </c>
      <c r="P1019" t="s">
        <v>1556</v>
      </c>
      <c r="Q1019" t="s">
        <v>1552</v>
      </c>
      <c r="R1019" t="s">
        <v>1550</v>
      </c>
      <c r="S1019" t="s">
        <v>1532</v>
      </c>
      <c r="T1019" t="s">
        <v>1538</v>
      </c>
      <c r="U1019" t="s">
        <v>1546</v>
      </c>
      <c r="V1019" t="s">
        <v>1559</v>
      </c>
      <c r="W1019" t="s">
        <v>1563</v>
      </c>
      <c r="X1019" t="s">
        <v>1575</v>
      </c>
      <c r="Y1019" t="s">
        <v>1583</v>
      </c>
      <c r="Z1019" t="s">
        <v>1591</v>
      </c>
      <c r="AA1019" t="s">
        <v>1597</v>
      </c>
      <c r="AB1019" t="s">
        <v>1601</v>
      </c>
      <c r="AC1019" t="s">
        <v>1610</v>
      </c>
      <c r="AD1019" t="s">
        <v>1605</v>
      </c>
      <c r="AE1019" t="s">
        <v>1616</v>
      </c>
      <c r="AF1019" t="s">
        <v>1628</v>
      </c>
    </row>
    <row r="1020" spans="1:32" x14ac:dyDescent="0.25">
      <c r="A1020" t="s">
        <v>1077</v>
      </c>
      <c r="B1020">
        <v>36</v>
      </c>
      <c r="C1020">
        <v>172</v>
      </c>
      <c r="D1020">
        <v>4</v>
      </c>
      <c r="E1020">
        <v>37</v>
      </c>
      <c r="F1020">
        <v>5810</v>
      </c>
      <c r="G1020">
        <v>22604</v>
      </c>
      <c r="H1020">
        <v>1</v>
      </c>
      <c r="I1020">
        <v>16</v>
      </c>
      <c r="J1020">
        <v>10</v>
      </c>
      <c r="K1020">
        <v>2</v>
      </c>
      <c r="L1020">
        <v>10</v>
      </c>
      <c r="M1020">
        <v>4</v>
      </c>
      <c r="N1020">
        <v>1</v>
      </c>
      <c r="O1020">
        <v>8</v>
      </c>
      <c r="P1020" t="s">
        <v>1556</v>
      </c>
      <c r="Q1020" t="s">
        <v>1552</v>
      </c>
      <c r="R1020" t="s">
        <v>1550</v>
      </c>
      <c r="S1020" t="s">
        <v>1535</v>
      </c>
      <c r="T1020" t="s">
        <v>1538</v>
      </c>
      <c r="U1020" t="s">
        <v>1545</v>
      </c>
      <c r="V1020" t="s">
        <v>1559</v>
      </c>
      <c r="W1020" t="s">
        <v>1562</v>
      </c>
      <c r="X1020" t="s">
        <v>1576</v>
      </c>
      <c r="Y1020" t="s">
        <v>1583</v>
      </c>
      <c r="Z1020" t="s">
        <v>1594</v>
      </c>
      <c r="AA1020" t="s">
        <v>1596</v>
      </c>
      <c r="AB1020" t="s">
        <v>1601</v>
      </c>
      <c r="AC1020" t="s">
        <v>1610</v>
      </c>
      <c r="AD1020" t="s">
        <v>1606</v>
      </c>
      <c r="AE1020" t="s">
        <v>1616</v>
      </c>
      <c r="AF1020" t="s">
        <v>1626</v>
      </c>
    </row>
    <row r="1021" spans="1:32" x14ac:dyDescent="0.25">
      <c r="A1021" t="s">
        <v>1078</v>
      </c>
      <c r="B1021">
        <v>36</v>
      </c>
      <c r="C1021">
        <v>329</v>
      </c>
      <c r="D1021">
        <v>16</v>
      </c>
      <c r="E1021">
        <v>98</v>
      </c>
      <c r="F1021">
        <v>5647</v>
      </c>
      <c r="G1021">
        <v>13494</v>
      </c>
      <c r="H1021">
        <v>4</v>
      </c>
      <c r="I1021">
        <v>13</v>
      </c>
      <c r="J1021">
        <v>11</v>
      </c>
      <c r="K1021">
        <v>3</v>
      </c>
      <c r="L1021">
        <v>3</v>
      </c>
      <c r="M1021">
        <v>2</v>
      </c>
      <c r="N1021">
        <v>0</v>
      </c>
      <c r="O1021">
        <v>2</v>
      </c>
      <c r="P1021" t="s">
        <v>1556</v>
      </c>
      <c r="Q1021" t="s">
        <v>1552</v>
      </c>
      <c r="R1021" t="s">
        <v>1549</v>
      </c>
      <c r="S1021" t="s">
        <v>1535</v>
      </c>
      <c r="T1021" t="s">
        <v>1541</v>
      </c>
      <c r="U1021" t="s">
        <v>1547</v>
      </c>
      <c r="V1021" t="s">
        <v>1558</v>
      </c>
      <c r="W1021" t="s">
        <v>1562</v>
      </c>
      <c r="X1021" t="s">
        <v>1576</v>
      </c>
      <c r="Y1021" t="s">
        <v>1581</v>
      </c>
      <c r="Z1021" t="s">
        <v>1591</v>
      </c>
      <c r="AA1021" t="s">
        <v>1597</v>
      </c>
      <c r="AB1021" t="s">
        <v>1601</v>
      </c>
      <c r="AC1021" t="s">
        <v>1610</v>
      </c>
      <c r="AD1021" t="s">
        <v>1604</v>
      </c>
      <c r="AE1021" t="s">
        <v>1618</v>
      </c>
      <c r="AF1021" t="s">
        <v>1626</v>
      </c>
    </row>
    <row r="1022" spans="1:32" x14ac:dyDescent="0.25">
      <c r="A1022" t="s">
        <v>1079</v>
      </c>
      <c r="B1022">
        <v>47</v>
      </c>
      <c r="C1022">
        <v>465</v>
      </c>
      <c r="D1022">
        <v>1</v>
      </c>
      <c r="E1022">
        <v>74</v>
      </c>
      <c r="F1022">
        <v>3420</v>
      </c>
      <c r="G1022">
        <v>10205</v>
      </c>
      <c r="H1022">
        <v>7</v>
      </c>
      <c r="I1022">
        <v>12</v>
      </c>
      <c r="J1022">
        <v>17</v>
      </c>
      <c r="K1022">
        <v>2</v>
      </c>
      <c r="L1022">
        <v>6</v>
      </c>
      <c r="M1022">
        <v>5</v>
      </c>
      <c r="N1022">
        <v>1</v>
      </c>
      <c r="O1022">
        <v>2</v>
      </c>
      <c r="P1022" t="s">
        <v>1556</v>
      </c>
      <c r="Q1022" t="s">
        <v>1552</v>
      </c>
      <c r="R1022" t="s">
        <v>1550</v>
      </c>
      <c r="S1022" t="s">
        <v>1534</v>
      </c>
      <c r="T1022" t="s">
        <v>1542</v>
      </c>
      <c r="U1022" t="s">
        <v>1545</v>
      </c>
      <c r="V1022" t="s">
        <v>1559</v>
      </c>
      <c r="W1022" t="s">
        <v>1563</v>
      </c>
      <c r="X1022" t="s">
        <v>1575</v>
      </c>
      <c r="Y1022" t="s">
        <v>1582</v>
      </c>
      <c r="Z1022" t="s">
        <v>1594</v>
      </c>
      <c r="AA1022" t="s">
        <v>1597</v>
      </c>
      <c r="AB1022" t="s">
        <v>1601</v>
      </c>
      <c r="AC1022" t="s">
        <v>1610</v>
      </c>
      <c r="AD1022" t="s">
        <v>1606</v>
      </c>
      <c r="AE1022" t="s">
        <v>1617</v>
      </c>
      <c r="AF1022" t="s">
        <v>1626</v>
      </c>
    </row>
    <row r="1023" spans="1:32" x14ac:dyDescent="0.25">
      <c r="A1023" t="s">
        <v>1080</v>
      </c>
      <c r="B1023">
        <v>25</v>
      </c>
      <c r="C1023">
        <v>383</v>
      </c>
      <c r="D1023">
        <v>9</v>
      </c>
      <c r="E1023">
        <v>68</v>
      </c>
      <c r="F1023">
        <v>4400</v>
      </c>
      <c r="G1023">
        <v>15182</v>
      </c>
      <c r="H1023">
        <v>3</v>
      </c>
      <c r="I1023">
        <v>12</v>
      </c>
      <c r="J1023">
        <v>6</v>
      </c>
      <c r="K1023">
        <v>2</v>
      </c>
      <c r="L1023">
        <v>3</v>
      </c>
      <c r="M1023">
        <v>2</v>
      </c>
      <c r="N1023">
        <v>2</v>
      </c>
      <c r="O1023">
        <v>2</v>
      </c>
      <c r="P1023" t="s">
        <v>1555</v>
      </c>
      <c r="Q1023" t="s">
        <v>1552</v>
      </c>
      <c r="R1023" t="s">
        <v>1549</v>
      </c>
      <c r="S1023" t="s">
        <v>1533</v>
      </c>
      <c r="T1023" t="s">
        <v>1538</v>
      </c>
      <c r="U1023" t="s">
        <v>1545</v>
      </c>
      <c r="V1023" t="s">
        <v>1559</v>
      </c>
      <c r="W1023" t="s">
        <v>1562</v>
      </c>
      <c r="X1023" t="s">
        <v>1575</v>
      </c>
      <c r="Y1023" t="s">
        <v>1587</v>
      </c>
      <c r="Z1023" t="s">
        <v>1591</v>
      </c>
      <c r="AA1023" t="s">
        <v>1597</v>
      </c>
      <c r="AB1023" t="s">
        <v>1601</v>
      </c>
      <c r="AC1023" t="s">
        <v>1610</v>
      </c>
      <c r="AD1023" t="s">
        <v>1604</v>
      </c>
      <c r="AE1023" t="s">
        <v>1616</v>
      </c>
      <c r="AF1023" t="s">
        <v>1627</v>
      </c>
    </row>
    <row r="1024" spans="1:32" x14ac:dyDescent="0.25">
      <c r="A1024" t="s">
        <v>1081</v>
      </c>
      <c r="B1024">
        <v>37</v>
      </c>
      <c r="C1024">
        <v>1413</v>
      </c>
      <c r="D1024">
        <v>5</v>
      </c>
      <c r="E1024">
        <v>84</v>
      </c>
      <c r="F1024">
        <v>3500</v>
      </c>
      <c r="G1024">
        <v>25470</v>
      </c>
      <c r="H1024">
        <v>0</v>
      </c>
      <c r="I1024">
        <v>14</v>
      </c>
      <c r="J1024">
        <v>7</v>
      </c>
      <c r="K1024">
        <v>2</v>
      </c>
      <c r="L1024">
        <v>6</v>
      </c>
      <c r="M1024">
        <v>5</v>
      </c>
      <c r="N1024">
        <v>1</v>
      </c>
      <c r="O1024">
        <v>3</v>
      </c>
      <c r="P1024" t="s">
        <v>1556</v>
      </c>
      <c r="Q1024" t="s">
        <v>1554</v>
      </c>
      <c r="R1024" t="s">
        <v>1550</v>
      </c>
      <c r="S1024" t="s">
        <v>1533</v>
      </c>
      <c r="T1024" t="s">
        <v>1542</v>
      </c>
      <c r="U1024" t="s">
        <v>1547</v>
      </c>
      <c r="V1024" t="s">
        <v>1559</v>
      </c>
      <c r="W1024" t="s">
        <v>1564</v>
      </c>
      <c r="X1024" t="s">
        <v>1575</v>
      </c>
      <c r="Y1024" t="s">
        <v>1583</v>
      </c>
      <c r="Z1024" t="s">
        <v>1593</v>
      </c>
      <c r="AA1024" t="s">
        <v>1596</v>
      </c>
      <c r="AB1024" t="s">
        <v>1601</v>
      </c>
      <c r="AC1024" t="s">
        <v>1610</v>
      </c>
      <c r="AD1024" t="s">
        <v>1604</v>
      </c>
      <c r="AE1024" t="s">
        <v>1616</v>
      </c>
      <c r="AF1024" t="s">
        <v>1625</v>
      </c>
    </row>
    <row r="1025" spans="1:32" x14ac:dyDescent="0.25">
      <c r="A1025" t="s">
        <v>1082</v>
      </c>
      <c r="B1025">
        <v>56</v>
      </c>
      <c r="C1025">
        <v>1255</v>
      </c>
      <c r="D1025">
        <v>1</v>
      </c>
      <c r="E1025">
        <v>90</v>
      </c>
      <c r="F1025">
        <v>2066</v>
      </c>
      <c r="G1025">
        <v>10494</v>
      </c>
      <c r="H1025">
        <v>2</v>
      </c>
      <c r="I1025">
        <v>22</v>
      </c>
      <c r="J1025">
        <v>5</v>
      </c>
      <c r="K1025">
        <v>3</v>
      </c>
      <c r="L1025">
        <v>3</v>
      </c>
      <c r="M1025">
        <v>2</v>
      </c>
      <c r="N1025">
        <v>1</v>
      </c>
      <c r="O1025">
        <v>0</v>
      </c>
      <c r="P1025" t="s">
        <v>1556</v>
      </c>
      <c r="Q1025" t="s">
        <v>1552</v>
      </c>
      <c r="R1025" t="s">
        <v>1550</v>
      </c>
      <c r="S1025" t="s">
        <v>1533</v>
      </c>
      <c r="T1025" t="s">
        <v>1538</v>
      </c>
      <c r="U1025" t="s">
        <v>1545</v>
      </c>
      <c r="V1025" t="s">
        <v>1558</v>
      </c>
      <c r="W1025" t="s">
        <v>1563</v>
      </c>
      <c r="X1025" t="s">
        <v>1575</v>
      </c>
      <c r="Y1025" t="s">
        <v>1582</v>
      </c>
      <c r="Z1025" t="s">
        <v>1591</v>
      </c>
      <c r="AA1025" t="s">
        <v>1597</v>
      </c>
      <c r="AB1025" t="s">
        <v>1601</v>
      </c>
      <c r="AC1025" t="s">
        <v>1611</v>
      </c>
      <c r="AD1025" t="s">
        <v>1607</v>
      </c>
      <c r="AE1025" t="s">
        <v>1617</v>
      </c>
      <c r="AF1025" t="s">
        <v>1628</v>
      </c>
    </row>
    <row r="1026" spans="1:32" x14ac:dyDescent="0.25">
      <c r="A1026" t="s">
        <v>1083</v>
      </c>
      <c r="B1026">
        <v>47</v>
      </c>
      <c r="C1026">
        <v>359</v>
      </c>
      <c r="D1026">
        <v>2</v>
      </c>
      <c r="E1026">
        <v>82</v>
      </c>
      <c r="F1026">
        <v>17169</v>
      </c>
      <c r="G1026">
        <v>26703</v>
      </c>
      <c r="H1026">
        <v>3</v>
      </c>
      <c r="I1026">
        <v>19</v>
      </c>
      <c r="J1026">
        <v>26</v>
      </c>
      <c r="K1026">
        <v>2</v>
      </c>
      <c r="L1026">
        <v>20</v>
      </c>
      <c r="M1026">
        <v>17</v>
      </c>
      <c r="N1026">
        <v>5</v>
      </c>
      <c r="O1026">
        <v>6</v>
      </c>
      <c r="P1026" t="s">
        <v>1556</v>
      </c>
      <c r="Q1026" t="s">
        <v>1552</v>
      </c>
      <c r="R1026" t="s">
        <v>1550</v>
      </c>
      <c r="S1026" t="s">
        <v>1535</v>
      </c>
      <c r="T1026" t="s">
        <v>1540</v>
      </c>
      <c r="U1026" t="s">
        <v>1545</v>
      </c>
      <c r="V1026" t="s">
        <v>1558</v>
      </c>
      <c r="W1026" t="s">
        <v>1563</v>
      </c>
      <c r="X1026" t="s">
        <v>1578</v>
      </c>
      <c r="Y1026" t="s">
        <v>1588</v>
      </c>
      <c r="Z1026" t="s">
        <v>1593</v>
      </c>
      <c r="AA1026" t="s">
        <v>1597</v>
      </c>
      <c r="AB1026" t="s">
        <v>1601</v>
      </c>
      <c r="AC1026" t="s">
        <v>1610</v>
      </c>
      <c r="AD1026" t="s">
        <v>1605</v>
      </c>
      <c r="AE1026" t="s">
        <v>1618</v>
      </c>
      <c r="AF1026" t="s">
        <v>1628</v>
      </c>
    </row>
    <row r="1027" spans="1:32" x14ac:dyDescent="0.25">
      <c r="A1027" t="s">
        <v>1084</v>
      </c>
      <c r="B1027">
        <v>24</v>
      </c>
      <c r="C1027">
        <v>1476</v>
      </c>
      <c r="D1027">
        <v>4</v>
      </c>
      <c r="E1027">
        <v>42</v>
      </c>
      <c r="F1027">
        <v>4162</v>
      </c>
      <c r="G1027">
        <v>15211</v>
      </c>
      <c r="H1027">
        <v>1</v>
      </c>
      <c r="I1027">
        <v>12</v>
      </c>
      <c r="J1027">
        <v>5</v>
      </c>
      <c r="K1027">
        <v>3</v>
      </c>
      <c r="L1027">
        <v>5</v>
      </c>
      <c r="M1027">
        <v>4</v>
      </c>
      <c r="N1027">
        <v>0</v>
      </c>
      <c r="O1027">
        <v>3</v>
      </c>
      <c r="P1027" t="s">
        <v>1556</v>
      </c>
      <c r="Q1027" t="s">
        <v>1552</v>
      </c>
      <c r="R1027" t="s">
        <v>1549</v>
      </c>
      <c r="S1027" t="s">
        <v>1532</v>
      </c>
      <c r="T1027" t="s">
        <v>1540</v>
      </c>
      <c r="U1027" t="s">
        <v>1548</v>
      </c>
      <c r="V1027" t="s">
        <v>1558</v>
      </c>
      <c r="W1027" t="s">
        <v>1563</v>
      </c>
      <c r="X1027" t="s">
        <v>1576</v>
      </c>
      <c r="Y1027" t="s">
        <v>1581</v>
      </c>
      <c r="Z1027" t="s">
        <v>1593</v>
      </c>
      <c r="AA1027" t="s">
        <v>1597</v>
      </c>
      <c r="AB1027" t="s">
        <v>1600</v>
      </c>
      <c r="AC1027" t="s">
        <v>1610</v>
      </c>
      <c r="AD1027" t="s">
        <v>1606</v>
      </c>
      <c r="AE1027" t="s">
        <v>1618</v>
      </c>
      <c r="AF1027" t="s">
        <v>1627</v>
      </c>
    </row>
    <row r="1028" spans="1:32" x14ac:dyDescent="0.25">
      <c r="A1028" t="s">
        <v>1085</v>
      </c>
      <c r="B1028">
        <v>32</v>
      </c>
      <c r="C1028">
        <v>601</v>
      </c>
      <c r="D1028">
        <v>7</v>
      </c>
      <c r="E1028">
        <v>97</v>
      </c>
      <c r="F1028">
        <v>9204</v>
      </c>
      <c r="G1028">
        <v>23343</v>
      </c>
      <c r="H1028">
        <v>4</v>
      </c>
      <c r="I1028">
        <v>12</v>
      </c>
      <c r="J1028">
        <v>7</v>
      </c>
      <c r="K1028">
        <v>3</v>
      </c>
      <c r="L1028">
        <v>4</v>
      </c>
      <c r="M1028">
        <v>3</v>
      </c>
      <c r="N1028">
        <v>0</v>
      </c>
      <c r="O1028">
        <v>3</v>
      </c>
      <c r="P1028" t="s">
        <v>1556</v>
      </c>
      <c r="Q1028" t="s">
        <v>1552</v>
      </c>
      <c r="R1028" t="s">
        <v>1549</v>
      </c>
      <c r="S1028" t="s">
        <v>1536</v>
      </c>
      <c r="T1028" t="s">
        <v>1541</v>
      </c>
      <c r="U1028" t="s">
        <v>1548</v>
      </c>
      <c r="V1028" t="s">
        <v>1559</v>
      </c>
      <c r="W1028" t="s">
        <v>1563</v>
      </c>
      <c r="X1028" t="s">
        <v>1576</v>
      </c>
      <c r="Y1028" t="s">
        <v>1581</v>
      </c>
      <c r="Z1028" t="s">
        <v>1594</v>
      </c>
      <c r="AA1028" t="s">
        <v>1597</v>
      </c>
      <c r="AB1028" t="s">
        <v>1601</v>
      </c>
      <c r="AC1028" t="s">
        <v>1610</v>
      </c>
      <c r="AD1028" t="s">
        <v>1606</v>
      </c>
      <c r="AE1028" t="s">
        <v>1617</v>
      </c>
      <c r="AF1028" t="s">
        <v>1626</v>
      </c>
    </row>
    <row r="1029" spans="1:32" x14ac:dyDescent="0.25">
      <c r="A1029" t="s">
        <v>1086</v>
      </c>
      <c r="B1029">
        <v>34</v>
      </c>
      <c r="C1029">
        <v>401</v>
      </c>
      <c r="D1029">
        <v>1</v>
      </c>
      <c r="E1029">
        <v>86</v>
      </c>
      <c r="F1029">
        <v>3294</v>
      </c>
      <c r="G1029">
        <v>3708</v>
      </c>
      <c r="H1029">
        <v>5</v>
      </c>
      <c r="I1029">
        <v>17</v>
      </c>
      <c r="J1029">
        <v>7</v>
      </c>
      <c r="K1029">
        <v>2</v>
      </c>
      <c r="L1029">
        <v>5</v>
      </c>
      <c r="M1029">
        <v>4</v>
      </c>
      <c r="N1029">
        <v>0</v>
      </c>
      <c r="O1029">
        <v>2</v>
      </c>
      <c r="P1029" t="s">
        <v>1556</v>
      </c>
      <c r="Q1029" t="s">
        <v>1552</v>
      </c>
      <c r="R1029" t="s">
        <v>1550</v>
      </c>
      <c r="S1029" t="s">
        <v>1534</v>
      </c>
      <c r="T1029" t="s">
        <v>1538</v>
      </c>
      <c r="U1029" t="s">
        <v>1548</v>
      </c>
      <c r="V1029" t="s">
        <v>1558</v>
      </c>
      <c r="W1029" t="s">
        <v>1562</v>
      </c>
      <c r="X1029" t="s">
        <v>1575</v>
      </c>
      <c r="Y1029" t="s">
        <v>1583</v>
      </c>
      <c r="Z1029" t="s">
        <v>1592</v>
      </c>
      <c r="AA1029" t="s">
        <v>1597</v>
      </c>
      <c r="AB1029" t="s">
        <v>1601</v>
      </c>
      <c r="AC1029" t="s">
        <v>1610</v>
      </c>
      <c r="AD1029" t="s">
        <v>1604</v>
      </c>
      <c r="AE1029" t="s">
        <v>1617</v>
      </c>
      <c r="AF1029" t="s">
        <v>1626</v>
      </c>
    </row>
    <row r="1030" spans="1:32" x14ac:dyDescent="0.25">
      <c r="A1030" t="s">
        <v>1087</v>
      </c>
      <c r="B1030">
        <v>41</v>
      </c>
      <c r="C1030">
        <v>1283</v>
      </c>
      <c r="D1030">
        <v>5</v>
      </c>
      <c r="E1030">
        <v>90</v>
      </c>
      <c r="F1030">
        <v>2127</v>
      </c>
      <c r="G1030">
        <v>5561</v>
      </c>
      <c r="H1030">
        <v>2</v>
      </c>
      <c r="I1030">
        <v>12</v>
      </c>
      <c r="J1030">
        <v>7</v>
      </c>
      <c r="K1030">
        <v>5</v>
      </c>
      <c r="L1030">
        <v>4</v>
      </c>
      <c r="M1030">
        <v>2</v>
      </c>
      <c r="N1030">
        <v>0</v>
      </c>
      <c r="O1030">
        <v>3</v>
      </c>
      <c r="P1030" t="s">
        <v>1556</v>
      </c>
      <c r="Q1030" t="s">
        <v>1552</v>
      </c>
      <c r="R1030" t="s">
        <v>1550</v>
      </c>
      <c r="S1030" t="s">
        <v>1536</v>
      </c>
      <c r="T1030" t="s">
        <v>1540</v>
      </c>
      <c r="U1030" t="s">
        <v>1546</v>
      </c>
      <c r="V1030" t="s">
        <v>1559</v>
      </c>
      <c r="W1030" t="s">
        <v>1564</v>
      </c>
      <c r="X1030" t="s">
        <v>1575</v>
      </c>
      <c r="Y1030" t="s">
        <v>1582</v>
      </c>
      <c r="Z1030" t="s">
        <v>1593</v>
      </c>
      <c r="AA1030" t="s">
        <v>1597</v>
      </c>
      <c r="AB1030" t="s">
        <v>1600</v>
      </c>
      <c r="AC1030" t="s">
        <v>1610</v>
      </c>
      <c r="AD1030" t="s">
        <v>1604</v>
      </c>
      <c r="AE1030" t="s">
        <v>1616</v>
      </c>
      <c r="AF1030" t="s">
        <v>1626</v>
      </c>
    </row>
    <row r="1031" spans="1:32" x14ac:dyDescent="0.25">
      <c r="A1031" t="s">
        <v>1088</v>
      </c>
      <c r="B1031">
        <v>40</v>
      </c>
      <c r="C1031">
        <v>663</v>
      </c>
      <c r="D1031">
        <v>9</v>
      </c>
      <c r="E1031">
        <v>81</v>
      </c>
      <c r="F1031">
        <v>3975</v>
      </c>
      <c r="G1031">
        <v>23099</v>
      </c>
      <c r="H1031">
        <v>3</v>
      </c>
      <c r="I1031">
        <v>11</v>
      </c>
      <c r="J1031">
        <v>11</v>
      </c>
      <c r="K1031">
        <v>2</v>
      </c>
      <c r="L1031">
        <v>8</v>
      </c>
      <c r="M1031">
        <v>7</v>
      </c>
      <c r="N1031">
        <v>0</v>
      </c>
      <c r="O1031">
        <v>7</v>
      </c>
      <c r="P1031" t="s">
        <v>1556</v>
      </c>
      <c r="Q1031" t="s">
        <v>1554</v>
      </c>
      <c r="R1031" t="s">
        <v>1550</v>
      </c>
      <c r="S1031" t="s">
        <v>1535</v>
      </c>
      <c r="T1031" t="s">
        <v>1539</v>
      </c>
      <c r="U1031" t="s">
        <v>1547</v>
      </c>
      <c r="V1031" t="s">
        <v>1559</v>
      </c>
      <c r="W1031" t="s">
        <v>1563</v>
      </c>
      <c r="X1031" t="s">
        <v>1576</v>
      </c>
      <c r="Y1031" t="s">
        <v>1583</v>
      </c>
      <c r="Z1031" t="s">
        <v>1593</v>
      </c>
      <c r="AA1031" t="s">
        <v>1598</v>
      </c>
      <c r="AB1031" t="s">
        <v>1601</v>
      </c>
      <c r="AC1031" t="s">
        <v>1610</v>
      </c>
      <c r="AD1031" t="s">
        <v>1606</v>
      </c>
      <c r="AE1031" t="s">
        <v>1618</v>
      </c>
      <c r="AF1031" t="s">
        <v>1628</v>
      </c>
    </row>
    <row r="1032" spans="1:32" x14ac:dyDescent="0.25">
      <c r="A1032" t="s">
        <v>1089</v>
      </c>
      <c r="B1032">
        <v>31</v>
      </c>
      <c r="C1032">
        <v>326</v>
      </c>
      <c r="D1032">
        <v>8</v>
      </c>
      <c r="E1032">
        <v>31</v>
      </c>
      <c r="F1032">
        <v>10793</v>
      </c>
      <c r="G1032">
        <v>8386</v>
      </c>
      <c r="H1032">
        <v>1</v>
      </c>
      <c r="I1032">
        <v>18</v>
      </c>
      <c r="J1032">
        <v>13</v>
      </c>
      <c r="K1032">
        <v>5</v>
      </c>
      <c r="L1032">
        <v>13</v>
      </c>
      <c r="M1032">
        <v>7</v>
      </c>
      <c r="N1032">
        <v>9</v>
      </c>
      <c r="O1032">
        <v>9</v>
      </c>
      <c r="P1032" t="s">
        <v>1556</v>
      </c>
      <c r="Q1032" t="s">
        <v>1552</v>
      </c>
      <c r="R1032" t="s">
        <v>1549</v>
      </c>
      <c r="S1032" t="s">
        <v>1533</v>
      </c>
      <c r="T1032" t="s">
        <v>1538</v>
      </c>
      <c r="U1032" t="s">
        <v>1545</v>
      </c>
      <c r="V1032" t="s">
        <v>1559</v>
      </c>
      <c r="W1032" t="s">
        <v>1563</v>
      </c>
      <c r="X1032" t="s">
        <v>1577</v>
      </c>
      <c r="Y1032" t="s">
        <v>1581</v>
      </c>
      <c r="Z1032" t="s">
        <v>1594</v>
      </c>
      <c r="AA1032" t="s">
        <v>1598</v>
      </c>
      <c r="AB1032" t="s">
        <v>1601</v>
      </c>
      <c r="AC1032" t="s">
        <v>1610</v>
      </c>
      <c r="AD1032" t="s">
        <v>1604</v>
      </c>
      <c r="AE1032" t="s">
        <v>1617</v>
      </c>
      <c r="AF1032" t="s">
        <v>1627</v>
      </c>
    </row>
    <row r="1033" spans="1:32" x14ac:dyDescent="0.25">
      <c r="A1033" t="s">
        <v>1090</v>
      </c>
      <c r="B1033">
        <v>46</v>
      </c>
      <c r="C1033">
        <v>377</v>
      </c>
      <c r="D1033">
        <v>9</v>
      </c>
      <c r="E1033">
        <v>52</v>
      </c>
      <c r="F1033">
        <v>10096</v>
      </c>
      <c r="G1033">
        <v>15986</v>
      </c>
      <c r="H1033">
        <v>4</v>
      </c>
      <c r="I1033">
        <v>11</v>
      </c>
      <c r="J1033">
        <v>28</v>
      </c>
      <c r="K1033">
        <v>1</v>
      </c>
      <c r="L1033">
        <v>7</v>
      </c>
      <c r="M1033">
        <v>7</v>
      </c>
      <c r="N1033">
        <v>4</v>
      </c>
      <c r="O1033">
        <v>3</v>
      </c>
      <c r="P1033" t="s">
        <v>1555</v>
      </c>
      <c r="Q1033" t="s">
        <v>1552</v>
      </c>
      <c r="R1033" t="s">
        <v>1549</v>
      </c>
      <c r="S1033" t="s">
        <v>1534</v>
      </c>
      <c r="T1033" t="s">
        <v>1541</v>
      </c>
      <c r="U1033" t="s">
        <v>1545</v>
      </c>
      <c r="V1033" t="s">
        <v>1559</v>
      </c>
      <c r="W1033" t="s">
        <v>1563</v>
      </c>
      <c r="X1033" t="s">
        <v>1577</v>
      </c>
      <c r="Y1033" t="s">
        <v>1581</v>
      </c>
      <c r="Z1033" t="s">
        <v>1594</v>
      </c>
      <c r="AA1033" t="s">
        <v>1598</v>
      </c>
      <c r="AB1033" t="s">
        <v>1601</v>
      </c>
      <c r="AC1033" t="s">
        <v>1610</v>
      </c>
      <c r="AD1033" t="s">
        <v>1604</v>
      </c>
      <c r="AE1033" t="s">
        <v>1617</v>
      </c>
      <c r="AF1033" t="s">
        <v>1628</v>
      </c>
    </row>
    <row r="1034" spans="1:32" x14ac:dyDescent="0.25">
      <c r="A1034" t="s">
        <v>1091</v>
      </c>
      <c r="B1034">
        <v>39</v>
      </c>
      <c r="C1034">
        <v>592</v>
      </c>
      <c r="D1034">
        <v>2</v>
      </c>
      <c r="E1034">
        <v>54</v>
      </c>
      <c r="F1034">
        <v>3646</v>
      </c>
      <c r="G1034">
        <v>17181</v>
      </c>
      <c r="H1034">
        <v>2</v>
      </c>
      <c r="I1034">
        <v>23</v>
      </c>
      <c r="J1034">
        <v>11</v>
      </c>
      <c r="K1034">
        <v>2</v>
      </c>
      <c r="L1034">
        <v>1</v>
      </c>
      <c r="M1034">
        <v>0</v>
      </c>
      <c r="N1034">
        <v>0</v>
      </c>
      <c r="O1034">
        <v>0</v>
      </c>
      <c r="P1034" t="s">
        <v>1555</v>
      </c>
      <c r="Q1034" t="s">
        <v>1554</v>
      </c>
      <c r="R1034" t="s">
        <v>1550</v>
      </c>
      <c r="S1034" t="s">
        <v>1534</v>
      </c>
      <c r="T1034" t="s">
        <v>1538</v>
      </c>
      <c r="U1034" t="s">
        <v>1545</v>
      </c>
      <c r="V1034" t="s">
        <v>1558</v>
      </c>
      <c r="W1034" t="s">
        <v>1562</v>
      </c>
      <c r="X1034" t="s">
        <v>1575</v>
      </c>
      <c r="Y1034" t="s">
        <v>1583</v>
      </c>
      <c r="Z1034" t="s">
        <v>1591</v>
      </c>
      <c r="AA1034" t="s">
        <v>1596</v>
      </c>
      <c r="AB1034" t="s">
        <v>1600</v>
      </c>
      <c r="AC1034" t="s">
        <v>1611</v>
      </c>
      <c r="AD1034" t="s">
        <v>1605</v>
      </c>
      <c r="AE1034" t="s">
        <v>1616</v>
      </c>
      <c r="AF1034" t="s">
        <v>1628</v>
      </c>
    </row>
    <row r="1035" spans="1:32" x14ac:dyDescent="0.25">
      <c r="A1035" t="s">
        <v>1092</v>
      </c>
      <c r="B1035">
        <v>31</v>
      </c>
      <c r="C1035">
        <v>1445</v>
      </c>
      <c r="D1035">
        <v>1</v>
      </c>
      <c r="E1035">
        <v>100</v>
      </c>
      <c r="F1035">
        <v>7446</v>
      </c>
      <c r="G1035">
        <v>8931</v>
      </c>
      <c r="H1035">
        <v>1</v>
      </c>
      <c r="I1035">
        <v>11</v>
      </c>
      <c r="J1035">
        <v>10</v>
      </c>
      <c r="K1035">
        <v>2</v>
      </c>
      <c r="L1035">
        <v>10</v>
      </c>
      <c r="M1035">
        <v>8</v>
      </c>
      <c r="N1035">
        <v>4</v>
      </c>
      <c r="O1035">
        <v>7</v>
      </c>
      <c r="P1035" t="s">
        <v>1555</v>
      </c>
      <c r="Q1035" t="s">
        <v>1553</v>
      </c>
      <c r="R1035" t="s">
        <v>1550</v>
      </c>
      <c r="S1035" t="s">
        <v>1536</v>
      </c>
      <c r="T1035" t="s">
        <v>1538</v>
      </c>
      <c r="U1035" t="s">
        <v>1547</v>
      </c>
      <c r="V1035" t="s">
        <v>1558</v>
      </c>
      <c r="W1035" t="s">
        <v>1564</v>
      </c>
      <c r="X1035" t="s">
        <v>1577</v>
      </c>
      <c r="Y1035" t="s">
        <v>1584</v>
      </c>
      <c r="Z1035" t="s">
        <v>1592</v>
      </c>
      <c r="AA1035" t="s">
        <v>1596</v>
      </c>
      <c r="AB1035" t="s">
        <v>1601</v>
      </c>
      <c r="AC1035" t="s">
        <v>1610</v>
      </c>
      <c r="AD1035" t="s">
        <v>1604</v>
      </c>
      <c r="AE1035" t="s">
        <v>1616</v>
      </c>
      <c r="AF1035" t="s">
        <v>1627</v>
      </c>
    </row>
    <row r="1036" spans="1:32" x14ac:dyDescent="0.25">
      <c r="A1036" t="s">
        <v>1093</v>
      </c>
      <c r="B1036">
        <v>45</v>
      </c>
      <c r="C1036">
        <v>1038</v>
      </c>
      <c r="D1036">
        <v>20</v>
      </c>
      <c r="E1036">
        <v>95</v>
      </c>
      <c r="F1036">
        <v>10851</v>
      </c>
      <c r="G1036">
        <v>19863</v>
      </c>
      <c r="H1036">
        <v>2</v>
      </c>
      <c r="I1036">
        <v>18</v>
      </c>
      <c r="J1036">
        <v>24</v>
      </c>
      <c r="K1036">
        <v>2</v>
      </c>
      <c r="L1036">
        <v>7</v>
      </c>
      <c r="M1036">
        <v>7</v>
      </c>
      <c r="N1036">
        <v>0</v>
      </c>
      <c r="O1036">
        <v>7</v>
      </c>
      <c r="P1036" t="s">
        <v>1556</v>
      </c>
      <c r="Q1036" t="s">
        <v>1552</v>
      </c>
      <c r="R1036" t="s">
        <v>1550</v>
      </c>
      <c r="S1036" t="s">
        <v>1534</v>
      </c>
      <c r="T1036" t="s">
        <v>1540</v>
      </c>
      <c r="U1036" t="s">
        <v>1546</v>
      </c>
      <c r="V1036" t="s">
        <v>1559</v>
      </c>
      <c r="W1036" t="s">
        <v>1561</v>
      </c>
      <c r="X1036" t="s">
        <v>1577</v>
      </c>
      <c r="Y1036" t="s">
        <v>1585</v>
      </c>
      <c r="Z1036" t="s">
        <v>1591</v>
      </c>
      <c r="AA1036" t="s">
        <v>1598</v>
      </c>
      <c r="AB1036" t="s">
        <v>1600</v>
      </c>
      <c r="AC1036" t="s">
        <v>1610</v>
      </c>
      <c r="AD1036" t="s">
        <v>1605</v>
      </c>
      <c r="AE1036" t="s">
        <v>1617</v>
      </c>
      <c r="AF1036" t="s">
        <v>1627</v>
      </c>
    </row>
    <row r="1037" spans="1:32" x14ac:dyDescent="0.25">
      <c r="A1037" t="s">
        <v>1094</v>
      </c>
      <c r="B1037">
        <v>31</v>
      </c>
      <c r="C1037">
        <v>1398</v>
      </c>
      <c r="D1037">
        <v>8</v>
      </c>
      <c r="E1037">
        <v>96</v>
      </c>
      <c r="F1037">
        <v>2109</v>
      </c>
      <c r="G1037">
        <v>24609</v>
      </c>
      <c r="H1037">
        <v>9</v>
      </c>
      <c r="I1037">
        <v>18</v>
      </c>
      <c r="J1037">
        <v>8</v>
      </c>
      <c r="K1037">
        <v>3</v>
      </c>
      <c r="L1037">
        <v>3</v>
      </c>
      <c r="M1037">
        <v>2</v>
      </c>
      <c r="N1037">
        <v>0</v>
      </c>
      <c r="O1037">
        <v>2</v>
      </c>
      <c r="P1037" t="s">
        <v>1556</v>
      </c>
      <c r="Q1037" t="s">
        <v>1552</v>
      </c>
      <c r="R1037" t="s">
        <v>1551</v>
      </c>
      <c r="S1037" t="s">
        <v>1533</v>
      </c>
      <c r="T1037" t="s">
        <v>1540</v>
      </c>
      <c r="U1037" t="s">
        <v>1548</v>
      </c>
      <c r="V1037" t="s">
        <v>1558</v>
      </c>
      <c r="W1037" t="s">
        <v>1564</v>
      </c>
      <c r="X1037" t="s">
        <v>1575</v>
      </c>
      <c r="Y1037" t="s">
        <v>1589</v>
      </c>
      <c r="Z1037" t="s">
        <v>1592</v>
      </c>
      <c r="AA1037" t="s">
        <v>1596</v>
      </c>
      <c r="AB1037" t="s">
        <v>1601</v>
      </c>
      <c r="AC1037" t="s">
        <v>1610</v>
      </c>
      <c r="AD1037" t="s">
        <v>1607</v>
      </c>
      <c r="AE1037" t="s">
        <v>1616</v>
      </c>
      <c r="AF1037" t="s">
        <v>1627</v>
      </c>
    </row>
    <row r="1038" spans="1:32" x14ac:dyDescent="0.25">
      <c r="A1038" t="s">
        <v>1095</v>
      </c>
      <c r="B1038">
        <v>31</v>
      </c>
      <c r="C1038">
        <v>523</v>
      </c>
      <c r="D1038">
        <v>2</v>
      </c>
      <c r="E1038">
        <v>94</v>
      </c>
      <c r="F1038">
        <v>3722</v>
      </c>
      <c r="G1038">
        <v>21081</v>
      </c>
      <c r="H1038">
        <v>6</v>
      </c>
      <c r="I1038">
        <v>13</v>
      </c>
      <c r="J1038">
        <v>7</v>
      </c>
      <c r="K1038">
        <v>2</v>
      </c>
      <c r="L1038">
        <v>2</v>
      </c>
      <c r="M1038">
        <v>2</v>
      </c>
      <c r="N1038">
        <v>2</v>
      </c>
      <c r="O1038">
        <v>2</v>
      </c>
      <c r="P1038" t="s">
        <v>1555</v>
      </c>
      <c r="Q1038" t="s">
        <v>1553</v>
      </c>
      <c r="R1038" t="s">
        <v>1550</v>
      </c>
      <c r="S1038" t="s">
        <v>1534</v>
      </c>
      <c r="T1038" t="s">
        <v>1538</v>
      </c>
      <c r="U1038" t="s">
        <v>1546</v>
      </c>
      <c r="V1038" t="s">
        <v>1559</v>
      </c>
      <c r="W1038" t="s">
        <v>1563</v>
      </c>
      <c r="X1038" t="s">
        <v>1575</v>
      </c>
      <c r="Y1038" t="s">
        <v>1583</v>
      </c>
      <c r="Z1038" t="s">
        <v>1594</v>
      </c>
      <c r="AA1038" t="s">
        <v>1597</v>
      </c>
      <c r="AB1038" t="s">
        <v>1600</v>
      </c>
      <c r="AC1038" t="s">
        <v>1610</v>
      </c>
      <c r="AD1038" t="s">
        <v>1606</v>
      </c>
      <c r="AE1038" t="s">
        <v>1617</v>
      </c>
      <c r="AF1038" t="s">
        <v>1625</v>
      </c>
    </row>
    <row r="1039" spans="1:32" x14ac:dyDescent="0.25">
      <c r="A1039" t="s">
        <v>1096</v>
      </c>
      <c r="B1039">
        <v>45</v>
      </c>
      <c r="C1039">
        <v>1448</v>
      </c>
      <c r="D1039">
        <v>29</v>
      </c>
      <c r="E1039">
        <v>55</v>
      </c>
      <c r="F1039">
        <v>9380</v>
      </c>
      <c r="G1039">
        <v>14720</v>
      </c>
      <c r="H1039">
        <v>4</v>
      </c>
      <c r="I1039">
        <v>18</v>
      </c>
      <c r="J1039">
        <v>10</v>
      </c>
      <c r="K1039">
        <v>4</v>
      </c>
      <c r="L1039">
        <v>3</v>
      </c>
      <c r="M1039">
        <v>1</v>
      </c>
      <c r="N1039">
        <v>1</v>
      </c>
      <c r="O1039">
        <v>2</v>
      </c>
      <c r="P1039" t="s">
        <v>1556</v>
      </c>
      <c r="Q1039" t="s">
        <v>1552</v>
      </c>
      <c r="R1039" t="s">
        <v>1550</v>
      </c>
      <c r="S1039" t="s">
        <v>1534</v>
      </c>
      <c r="T1039" t="s">
        <v>1542</v>
      </c>
      <c r="U1039" t="s">
        <v>1546</v>
      </c>
      <c r="V1039" t="s">
        <v>1559</v>
      </c>
      <c r="W1039" t="s">
        <v>1563</v>
      </c>
      <c r="X1039" t="s">
        <v>1577</v>
      </c>
      <c r="Y1039" t="s">
        <v>1584</v>
      </c>
      <c r="Z1039" t="s">
        <v>1594</v>
      </c>
      <c r="AA1039" t="s">
        <v>1597</v>
      </c>
      <c r="AB1039" t="s">
        <v>1600</v>
      </c>
      <c r="AC1039" t="s">
        <v>1610</v>
      </c>
      <c r="AD1039" t="s">
        <v>1607</v>
      </c>
      <c r="AE1039" t="s">
        <v>1618</v>
      </c>
      <c r="AF1039" t="s">
        <v>1628</v>
      </c>
    </row>
    <row r="1040" spans="1:32" x14ac:dyDescent="0.25">
      <c r="A1040" t="s">
        <v>1097</v>
      </c>
      <c r="B1040">
        <v>48</v>
      </c>
      <c r="C1040">
        <v>1221</v>
      </c>
      <c r="D1040">
        <v>7</v>
      </c>
      <c r="E1040">
        <v>96</v>
      </c>
      <c r="F1040">
        <v>5486</v>
      </c>
      <c r="G1040">
        <v>24795</v>
      </c>
      <c r="H1040">
        <v>4</v>
      </c>
      <c r="I1040">
        <v>11</v>
      </c>
      <c r="J1040">
        <v>15</v>
      </c>
      <c r="K1040">
        <v>3</v>
      </c>
      <c r="L1040">
        <v>2</v>
      </c>
      <c r="M1040">
        <v>2</v>
      </c>
      <c r="N1040">
        <v>2</v>
      </c>
      <c r="O1040">
        <v>2</v>
      </c>
      <c r="P1040" t="s">
        <v>1556</v>
      </c>
      <c r="Q1040" t="s">
        <v>1552</v>
      </c>
      <c r="R1040" t="s">
        <v>1549</v>
      </c>
      <c r="S1040" t="s">
        <v>1534</v>
      </c>
      <c r="T1040" t="s">
        <v>1541</v>
      </c>
      <c r="U1040" t="s">
        <v>1547</v>
      </c>
      <c r="V1040" t="s">
        <v>1559</v>
      </c>
      <c r="W1040" t="s">
        <v>1563</v>
      </c>
      <c r="X1040" t="s">
        <v>1576</v>
      </c>
      <c r="Y1040" t="s">
        <v>1581</v>
      </c>
      <c r="Z1040" t="s">
        <v>1591</v>
      </c>
      <c r="AA1040" t="s">
        <v>1598</v>
      </c>
      <c r="AB1040" t="s">
        <v>1601</v>
      </c>
      <c r="AC1040" t="s">
        <v>1610</v>
      </c>
      <c r="AD1040" t="s">
        <v>1604</v>
      </c>
      <c r="AE1040" t="s">
        <v>1619</v>
      </c>
      <c r="AF1040" t="s">
        <v>1627</v>
      </c>
    </row>
    <row r="1041" spans="1:32" x14ac:dyDescent="0.25">
      <c r="A1041" t="s">
        <v>1098</v>
      </c>
      <c r="B1041">
        <v>34</v>
      </c>
      <c r="C1041">
        <v>1107</v>
      </c>
      <c r="D1041">
        <v>9</v>
      </c>
      <c r="E1041">
        <v>52</v>
      </c>
      <c r="F1041">
        <v>2742</v>
      </c>
      <c r="G1041">
        <v>3072</v>
      </c>
      <c r="H1041">
        <v>1</v>
      </c>
      <c r="I1041">
        <v>15</v>
      </c>
      <c r="J1041">
        <v>2</v>
      </c>
      <c r="K1041">
        <v>0</v>
      </c>
      <c r="L1041">
        <v>2</v>
      </c>
      <c r="M1041">
        <v>2</v>
      </c>
      <c r="N1041">
        <v>2</v>
      </c>
      <c r="O1041">
        <v>2</v>
      </c>
      <c r="P1041" t="s">
        <v>1555</v>
      </c>
      <c r="Q1041" t="s">
        <v>1552</v>
      </c>
      <c r="R1041" t="s">
        <v>1551</v>
      </c>
      <c r="S1041" t="s">
        <v>1535</v>
      </c>
      <c r="T1041" t="s">
        <v>1542</v>
      </c>
      <c r="U1041" t="s">
        <v>1545</v>
      </c>
      <c r="V1041" t="s">
        <v>1558</v>
      </c>
      <c r="W1041" t="s">
        <v>1563</v>
      </c>
      <c r="X1041" t="s">
        <v>1575</v>
      </c>
      <c r="Y1041" t="s">
        <v>1589</v>
      </c>
      <c r="Z1041" t="s">
        <v>1593</v>
      </c>
      <c r="AA1041" t="s">
        <v>1597</v>
      </c>
      <c r="AB1041" t="s">
        <v>1601</v>
      </c>
      <c r="AC1041" t="s">
        <v>1610</v>
      </c>
      <c r="AD1041" t="s">
        <v>1607</v>
      </c>
      <c r="AE1041" t="s">
        <v>1616</v>
      </c>
      <c r="AF1041" t="s">
        <v>1627</v>
      </c>
    </row>
    <row r="1042" spans="1:32" x14ac:dyDescent="0.25">
      <c r="A1042" t="s">
        <v>1099</v>
      </c>
      <c r="B1042">
        <v>40</v>
      </c>
      <c r="C1042">
        <v>218</v>
      </c>
      <c r="D1042">
        <v>8</v>
      </c>
      <c r="E1042">
        <v>55</v>
      </c>
      <c r="F1042">
        <v>13757</v>
      </c>
      <c r="G1042">
        <v>25178</v>
      </c>
      <c r="H1042">
        <v>2</v>
      </c>
      <c r="I1042">
        <v>11</v>
      </c>
      <c r="J1042">
        <v>16</v>
      </c>
      <c r="K1042">
        <v>5</v>
      </c>
      <c r="L1042">
        <v>9</v>
      </c>
      <c r="M1042">
        <v>8</v>
      </c>
      <c r="N1042">
        <v>4</v>
      </c>
      <c r="O1042">
        <v>8</v>
      </c>
      <c r="P1042" t="s">
        <v>1556</v>
      </c>
      <c r="Q1042" t="s">
        <v>1554</v>
      </c>
      <c r="R1042" t="s">
        <v>1550</v>
      </c>
      <c r="S1042" t="s">
        <v>1532</v>
      </c>
      <c r="T1042" t="s">
        <v>1540</v>
      </c>
      <c r="U1042" t="s">
        <v>1548</v>
      </c>
      <c r="V1042" t="s">
        <v>1559</v>
      </c>
      <c r="W1042" t="s">
        <v>1562</v>
      </c>
      <c r="X1042" t="s">
        <v>1577</v>
      </c>
      <c r="Y1042" t="s">
        <v>1588</v>
      </c>
      <c r="Z1042" t="s">
        <v>1592</v>
      </c>
      <c r="AA1042" t="s">
        <v>1598</v>
      </c>
      <c r="AB1042" t="s">
        <v>1601</v>
      </c>
      <c r="AC1042" t="s">
        <v>1610</v>
      </c>
      <c r="AD1042" t="s">
        <v>1606</v>
      </c>
      <c r="AE1042" t="s">
        <v>1617</v>
      </c>
      <c r="AF1042" t="s">
        <v>1627</v>
      </c>
    </row>
    <row r="1043" spans="1:32" x14ac:dyDescent="0.25">
      <c r="A1043" t="s">
        <v>1100</v>
      </c>
      <c r="B1043">
        <v>28</v>
      </c>
      <c r="C1043">
        <v>866</v>
      </c>
      <c r="D1043">
        <v>5</v>
      </c>
      <c r="E1043">
        <v>84</v>
      </c>
      <c r="F1043">
        <v>8463</v>
      </c>
      <c r="G1043">
        <v>23490</v>
      </c>
      <c r="H1043">
        <v>0</v>
      </c>
      <c r="I1043">
        <v>18</v>
      </c>
      <c r="J1043">
        <v>6</v>
      </c>
      <c r="K1043">
        <v>4</v>
      </c>
      <c r="L1043">
        <v>5</v>
      </c>
      <c r="M1043">
        <v>4</v>
      </c>
      <c r="N1043">
        <v>1</v>
      </c>
      <c r="O1043">
        <v>3</v>
      </c>
      <c r="P1043" t="s">
        <v>1556</v>
      </c>
      <c r="Q1043" t="s">
        <v>1552</v>
      </c>
      <c r="R1043" t="s">
        <v>1549</v>
      </c>
      <c r="S1043" t="s">
        <v>1534</v>
      </c>
      <c r="T1043" t="s">
        <v>1540</v>
      </c>
      <c r="U1043" t="s">
        <v>1548</v>
      </c>
      <c r="V1043" t="s">
        <v>1559</v>
      </c>
      <c r="W1043" t="s">
        <v>1563</v>
      </c>
      <c r="X1043" t="s">
        <v>1576</v>
      </c>
      <c r="Y1043" t="s">
        <v>1581</v>
      </c>
      <c r="Z1043" t="s">
        <v>1591</v>
      </c>
      <c r="AA1043" t="s">
        <v>1596</v>
      </c>
      <c r="AB1043" t="s">
        <v>1601</v>
      </c>
      <c r="AC1043" t="s">
        <v>1610</v>
      </c>
      <c r="AD1043" t="s">
        <v>1607</v>
      </c>
      <c r="AE1043" t="s">
        <v>1616</v>
      </c>
      <c r="AF1043" t="s">
        <v>1627</v>
      </c>
    </row>
    <row r="1044" spans="1:32" x14ac:dyDescent="0.25">
      <c r="A1044" t="s">
        <v>1101</v>
      </c>
      <c r="B1044">
        <v>44</v>
      </c>
      <c r="C1044">
        <v>981</v>
      </c>
      <c r="D1044">
        <v>5</v>
      </c>
      <c r="E1044">
        <v>90</v>
      </c>
      <c r="F1044">
        <v>3162</v>
      </c>
      <c r="G1044">
        <v>7973</v>
      </c>
      <c r="H1044">
        <v>3</v>
      </c>
      <c r="I1044">
        <v>14</v>
      </c>
      <c r="J1044">
        <v>7</v>
      </c>
      <c r="K1044">
        <v>5</v>
      </c>
      <c r="L1044">
        <v>5</v>
      </c>
      <c r="M1044">
        <v>2</v>
      </c>
      <c r="N1044">
        <v>0</v>
      </c>
      <c r="O1044">
        <v>3</v>
      </c>
      <c r="P1044" t="s">
        <v>1556</v>
      </c>
      <c r="Q1044" t="s">
        <v>1554</v>
      </c>
      <c r="R1044" t="s">
        <v>1550</v>
      </c>
      <c r="S1044" t="s">
        <v>1534</v>
      </c>
      <c r="T1044" t="s">
        <v>1538</v>
      </c>
      <c r="U1044" t="s">
        <v>1547</v>
      </c>
      <c r="V1044" t="s">
        <v>1559</v>
      </c>
      <c r="W1044" t="s">
        <v>1562</v>
      </c>
      <c r="X1044" t="s">
        <v>1575</v>
      </c>
      <c r="Y1044" t="s">
        <v>1583</v>
      </c>
      <c r="Z1044" t="s">
        <v>1593</v>
      </c>
      <c r="AA1044" t="s">
        <v>1596</v>
      </c>
      <c r="AB1044" t="s">
        <v>1601</v>
      </c>
      <c r="AC1044" t="s">
        <v>1610</v>
      </c>
      <c r="AD1044" t="s">
        <v>1607</v>
      </c>
      <c r="AE1044" t="s">
        <v>1616</v>
      </c>
      <c r="AF1044" t="s">
        <v>1627</v>
      </c>
    </row>
    <row r="1045" spans="1:32" x14ac:dyDescent="0.25">
      <c r="A1045" t="s">
        <v>1102</v>
      </c>
      <c r="B1045">
        <v>53</v>
      </c>
      <c r="C1045">
        <v>447</v>
      </c>
      <c r="D1045">
        <v>2</v>
      </c>
      <c r="E1045">
        <v>39</v>
      </c>
      <c r="F1045">
        <v>16598</v>
      </c>
      <c r="G1045">
        <v>19764</v>
      </c>
      <c r="H1045">
        <v>4</v>
      </c>
      <c r="I1045">
        <v>12</v>
      </c>
      <c r="J1045">
        <v>35</v>
      </c>
      <c r="K1045">
        <v>2</v>
      </c>
      <c r="L1045">
        <v>9</v>
      </c>
      <c r="M1045">
        <v>8</v>
      </c>
      <c r="N1045">
        <v>8</v>
      </c>
      <c r="O1045">
        <v>8</v>
      </c>
      <c r="P1045" t="s">
        <v>1556</v>
      </c>
      <c r="Q1045" t="s">
        <v>1552</v>
      </c>
      <c r="R1045" t="s">
        <v>1550</v>
      </c>
      <c r="S1045" t="s">
        <v>1534</v>
      </c>
      <c r="T1045" t="s">
        <v>1540</v>
      </c>
      <c r="U1045" t="s">
        <v>1548</v>
      </c>
      <c r="V1045" t="s">
        <v>1559</v>
      </c>
      <c r="W1045" t="s">
        <v>1564</v>
      </c>
      <c r="X1045" t="s">
        <v>1578</v>
      </c>
      <c r="Y1045" t="s">
        <v>1588</v>
      </c>
      <c r="Z1045" t="s">
        <v>1592</v>
      </c>
      <c r="AA1045" t="s">
        <v>1596</v>
      </c>
      <c r="AB1045" t="s">
        <v>1601</v>
      </c>
      <c r="AC1045" t="s">
        <v>1610</v>
      </c>
      <c r="AD1045" t="s">
        <v>1605</v>
      </c>
      <c r="AE1045" t="s">
        <v>1616</v>
      </c>
      <c r="AF1045" t="s">
        <v>1626</v>
      </c>
    </row>
    <row r="1046" spans="1:32" x14ac:dyDescent="0.25">
      <c r="A1046" t="s">
        <v>1103</v>
      </c>
      <c r="B1046">
        <v>49</v>
      </c>
      <c r="C1046">
        <v>1495</v>
      </c>
      <c r="D1046">
        <v>5</v>
      </c>
      <c r="E1046">
        <v>96</v>
      </c>
      <c r="F1046">
        <v>6651</v>
      </c>
      <c r="G1046">
        <v>21534</v>
      </c>
      <c r="H1046">
        <v>2</v>
      </c>
      <c r="I1046">
        <v>14</v>
      </c>
      <c r="J1046">
        <v>20</v>
      </c>
      <c r="K1046">
        <v>0</v>
      </c>
      <c r="L1046">
        <v>3</v>
      </c>
      <c r="M1046">
        <v>2</v>
      </c>
      <c r="N1046">
        <v>1</v>
      </c>
      <c r="O1046">
        <v>2</v>
      </c>
      <c r="P1046" t="s">
        <v>1556</v>
      </c>
      <c r="Q1046" t="s">
        <v>1552</v>
      </c>
      <c r="R1046" t="s">
        <v>1550</v>
      </c>
      <c r="S1046" t="s">
        <v>1535</v>
      </c>
      <c r="T1046" t="s">
        <v>1542</v>
      </c>
      <c r="U1046" t="s">
        <v>1545</v>
      </c>
      <c r="V1046" t="s">
        <v>1559</v>
      </c>
      <c r="W1046" t="s">
        <v>1563</v>
      </c>
      <c r="X1046" t="s">
        <v>1576</v>
      </c>
      <c r="Y1046" t="s">
        <v>1585</v>
      </c>
      <c r="Z1046" t="s">
        <v>1593</v>
      </c>
      <c r="AA1046" t="s">
        <v>1597</v>
      </c>
      <c r="AB1046" t="s">
        <v>1601</v>
      </c>
      <c r="AC1046" t="s">
        <v>1610</v>
      </c>
      <c r="AD1046" t="s">
        <v>1605</v>
      </c>
      <c r="AE1046" t="s">
        <v>1617</v>
      </c>
      <c r="AF1046" t="s">
        <v>1626</v>
      </c>
    </row>
    <row r="1047" spans="1:32" x14ac:dyDescent="0.25">
      <c r="A1047" t="s">
        <v>1104</v>
      </c>
      <c r="B1047">
        <v>40</v>
      </c>
      <c r="C1047">
        <v>896</v>
      </c>
      <c r="D1047">
        <v>2</v>
      </c>
      <c r="E1047">
        <v>68</v>
      </c>
      <c r="F1047">
        <v>2345</v>
      </c>
      <c r="G1047">
        <v>8045</v>
      </c>
      <c r="H1047">
        <v>2</v>
      </c>
      <c r="I1047">
        <v>14</v>
      </c>
      <c r="J1047">
        <v>8</v>
      </c>
      <c r="K1047">
        <v>3</v>
      </c>
      <c r="L1047">
        <v>3</v>
      </c>
      <c r="M1047">
        <v>1</v>
      </c>
      <c r="N1047">
        <v>1</v>
      </c>
      <c r="O1047">
        <v>2</v>
      </c>
      <c r="P1047" t="s">
        <v>1556</v>
      </c>
      <c r="Q1047" t="s">
        <v>1552</v>
      </c>
      <c r="R1047" t="s">
        <v>1550</v>
      </c>
      <c r="S1047" t="s">
        <v>1534</v>
      </c>
      <c r="T1047" t="s">
        <v>1540</v>
      </c>
      <c r="U1047" t="s">
        <v>1547</v>
      </c>
      <c r="V1047" t="s">
        <v>1559</v>
      </c>
      <c r="W1047" t="s">
        <v>1563</v>
      </c>
      <c r="X1047" t="s">
        <v>1575</v>
      </c>
      <c r="Y1047" t="s">
        <v>1582</v>
      </c>
      <c r="Z1047" t="s">
        <v>1593</v>
      </c>
      <c r="AA1047" t="s">
        <v>1598</v>
      </c>
      <c r="AB1047" t="s">
        <v>1601</v>
      </c>
      <c r="AC1047" t="s">
        <v>1610</v>
      </c>
      <c r="AD1047" t="s">
        <v>1606</v>
      </c>
      <c r="AE1047" t="s">
        <v>1617</v>
      </c>
      <c r="AF1047" t="s">
        <v>1628</v>
      </c>
    </row>
    <row r="1048" spans="1:32" x14ac:dyDescent="0.25">
      <c r="A1048" t="s">
        <v>1105</v>
      </c>
      <c r="B1048">
        <v>44</v>
      </c>
      <c r="C1048">
        <v>1467</v>
      </c>
      <c r="D1048">
        <v>20</v>
      </c>
      <c r="E1048">
        <v>49</v>
      </c>
      <c r="F1048">
        <v>3420</v>
      </c>
      <c r="G1048">
        <v>21158</v>
      </c>
      <c r="H1048">
        <v>1</v>
      </c>
      <c r="I1048">
        <v>13</v>
      </c>
      <c r="J1048">
        <v>6</v>
      </c>
      <c r="K1048">
        <v>3</v>
      </c>
      <c r="L1048">
        <v>5</v>
      </c>
      <c r="M1048">
        <v>2</v>
      </c>
      <c r="N1048">
        <v>1</v>
      </c>
      <c r="O1048">
        <v>3</v>
      </c>
      <c r="P1048" t="s">
        <v>1556</v>
      </c>
      <c r="Q1048" t="s">
        <v>1552</v>
      </c>
      <c r="R1048" t="s">
        <v>1550</v>
      </c>
      <c r="S1048" t="s">
        <v>1534</v>
      </c>
      <c r="T1048" t="s">
        <v>1538</v>
      </c>
      <c r="U1048" t="s">
        <v>1548</v>
      </c>
      <c r="V1048" t="s">
        <v>1559</v>
      </c>
      <c r="W1048" t="s">
        <v>1563</v>
      </c>
      <c r="X1048" t="s">
        <v>1575</v>
      </c>
      <c r="Y1048" t="s">
        <v>1582</v>
      </c>
      <c r="Z1048" t="s">
        <v>1592</v>
      </c>
      <c r="AA1048" t="s">
        <v>1596</v>
      </c>
      <c r="AB1048" t="s">
        <v>1601</v>
      </c>
      <c r="AC1048" t="s">
        <v>1610</v>
      </c>
      <c r="AD1048" t="s">
        <v>1606</v>
      </c>
      <c r="AE1048" t="s">
        <v>1616</v>
      </c>
      <c r="AF1048" t="s">
        <v>1626</v>
      </c>
    </row>
    <row r="1049" spans="1:32" x14ac:dyDescent="0.25">
      <c r="A1049" t="s">
        <v>1106</v>
      </c>
      <c r="B1049">
        <v>33</v>
      </c>
      <c r="C1049">
        <v>430</v>
      </c>
      <c r="D1049">
        <v>7</v>
      </c>
      <c r="E1049">
        <v>54</v>
      </c>
      <c r="F1049">
        <v>4373</v>
      </c>
      <c r="G1049">
        <v>17456</v>
      </c>
      <c r="H1049">
        <v>0</v>
      </c>
      <c r="I1049">
        <v>14</v>
      </c>
      <c r="J1049">
        <v>5</v>
      </c>
      <c r="K1049">
        <v>2</v>
      </c>
      <c r="L1049">
        <v>4</v>
      </c>
      <c r="M1049">
        <v>3</v>
      </c>
      <c r="N1049">
        <v>0</v>
      </c>
      <c r="O1049">
        <v>3</v>
      </c>
      <c r="P1049" t="s">
        <v>1556</v>
      </c>
      <c r="Q1049" t="s">
        <v>1553</v>
      </c>
      <c r="R1049" t="s">
        <v>1549</v>
      </c>
      <c r="S1049" t="s">
        <v>1534</v>
      </c>
      <c r="T1049" t="s">
        <v>1540</v>
      </c>
      <c r="U1049" t="s">
        <v>1548</v>
      </c>
      <c r="V1049" t="s">
        <v>1559</v>
      </c>
      <c r="W1049" t="s">
        <v>1563</v>
      </c>
      <c r="X1049" t="s">
        <v>1576</v>
      </c>
      <c r="Y1049" t="s">
        <v>1581</v>
      </c>
      <c r="Z1049" t="s">
        <v>1591</v>
      </c>
      <c r="AA1049" t="s">
        <v>1597</v>
      </c>
      <c r="AB1049" t="s">
        <v>1601</v>
      </c>
      <c r="AC1049" t="s">
        <v>1610</v>
      </c>
      <c r="AD1049" t="s">
        <v>1604</v>
      </c>
      <c r="AE1049" t="s">
        <v>1618</v>
      </c>
      <c r="AF1049" t="s">
        <v>1627</v>
      </c>
    </row>
    <row r="1050" spans="1:32" x14ac:dyDescent="0.25">
      <c r="A1050" t="s">
        <v>1107</v>
      </c>
      <c r="B1050">
        <v>34</v>
      </c>
      <c r="C1050">
        <v>1326</v>
      </c>
      <c r="D1050">
        <v>3</v>
      </c>
      <c r="E1050">
        <v>81</v>
      </c>
      <c r="F1050">
        <v>4759</v>
      </c>
      <c r="G1050">
        <v>15891</v>
      </c>
      <c r="H1050">
        <v>3</v>
      </c>
      <c r="I1050">
        <v>18</v>
      </c>
      <c r="J1050">
        <v>15</v>
      </c>
      <c r="K1050">
        <v>2</v>
      </c>
      <c r="L1050">
        <v>13</v>
      </c>
      <c r="M1050">
        <v>9</v>
      </c>
      <c r="N1050">
        <v>3</v>
      </c>
      <c r="O1050">
        <v>12</v>
      </c>
      <c r="P1050" t="s">
        <v>1556</v>
      </c>
      <c r="Q1050" t="s">
        <v>1552</v>
      </c>
      <c r="R1050" t="s">
        <v>1549</v>
      </c>
      <c r="S1050" t="s">
        <v>1534</v>
      </c>
      <c r="T1050" t="s">
        <v>1539</v>
      </c>
      <c r="U1050" t="s">
        <v>1548</v>
      </c>
      <c r="V1050" t="s">
        <v>1559</v>
      </c>
      <c r="W1050" t="s">
        <v>1561</v>
      </c>
      <c r="X1050" t="s">
        <v>1576</v>
      </c>
      <c r="Y1050" t="s">
        <v>1581</v>
      </c>
      <c r="Z1050" t="s">
        <v>1591</v>
      </c>
      <c r="AA1050" t="s">
        <v>1596</v>
      </c>
      <c r="AB1050" t="s">
        <v>1601</v>
      </c>
      <c r="AC1050" t="s">
        <v>1610</v>
      </c>
      <c r="AD1050" t="s">
        <v>1607</v>
      </c>
      <c r="AE1050" t="s">
        <v>1616</v>
      </c>
      <c r="AF1050" t="s">
        <v>1627</v>
      </c>
    </row>
    <row r="1051" spans="1:32" x14ac:dyDescent="0.25">
      <c r="A1051" t="s">
        <v>1108</v>
      </c>
      <c r="B1051">
        <v>30</v>
      </c>
      <c r="C1051">
        <v>1358</v>
      </c>
      <c r="D1051">
        <v>16</v>
      </c>
      <c r="E1051">
        <v>96</v>
      </c>
      <c r="F1051">
        <v>5301</v>
      </c>
      <c r="G1051">
        <v>2939</v>
      </c>
      <c r="H1051">
        <v>8</v>
      </c>
      <c r="I1051">
        <v>15</v>
      </c>
      <c r="J1051">
        <v>4</v>
      </c>
      <c r="K1051">
        <v>2</v>
      </c>
      <c r="L1051">
        <v>2</v>
      </c>
      <c r="M1051">
        <v>1</v>
      </c>
      <c r="N1051">
        <v>2</v>
      </c>
      <c r="O1051">
        <v>2</v>
      </c>
      <c r="P1051" t="s">
        <v>1556</v>
      </c>
      <c r="Q1051" t="s">
        <v>1552</v>
      </c>
      <c r="R1051" t="s">
        <v>1549</v>
      </c>
      <c r="S1051" t="s">
        <v>1532</v>
      </c>
      <c r="T1051" t="s">
        <v>1538</v>
      </c>
      <c r="U1051" t="s">
        <v>1548</v>
      </c>
      <c r="V1051" t="s">
        <v>1559</v>
      </c>
      <c r="W1051" t="s">
        <v>1563</v>
      </c>
      <c r="X1051" t="s">
        <v>1576</v>
      </c>
      <c r="Y1051" t="s">
        <v>1581</v>
      </c>
      <c r="Z1051" t="s">
        <v>1593</v>
      </c>
      <c r="AA1051" t="s">
        <v>1597</v>
      </c>
      <c r="AB1051" t="s">
        <v>1601</v>
      </c>
      <c r="AC1051" t="s">
        <v>1610</v>
      </c>
      <c r="AD1051" t="s">
        <v>1606</v>
      </c>
      <c r="AE1051" t="s">
        <v>1618</v>
      </c>
      <c r="AF1051" t="s">
        <v>1626</v>
      </c>
    </row>
    <row r="1052" spans="1:32" x14ac:dyDescent="0.25">
      <c r="A1052" t="s">
        <v>1109</v>
      </c>
      <c r="B1052">
        <v>42</v>
      </c>
      <c r="C1052">
        <v>748</v>
      </c>
      <c r="D1052">
        <v>9</v>
      </c>
      <c r="E1052">
        <v>74</v>
      </c>
      <c r="F1052">
        <v>3673</v>
      </c>
      <c r="G1052">
        <v>16458</v>
      </c>
      <c r="H1052">
        <v>1</v>
      </c>
      <c r="I1052">
        <v>13</v>
      </c>
      <c r="J1052">
        <v>12</v>
      </c>
      <c r="K1052">
        <v>3</v>
      </c>
      <c r="L1052">
        <v>12</v>
      </c>
      <c r="M1052">
        <v>9</v>
      </c>
      <c r="N1052">
        <v>5</v>
      </c>
      <c r="O1052">
        <v>8</v>
      </c>
      <c r="P1052" t="s">
        <v>1556</v>
      </c>
      <c r="Q1052" t="s">
        <v>1553</v>
      </c>
      <c r="R1052" t="s">
        <v>1550</v>
      </c>
      <c r="S1052" t="s">
        <v>1533</v>
      </c>
      <c r="T1052" t="s">
        <v>1540</v>
      </c>
      <c r="U1052" t="s">
        <v>1545</v>
      </c>
      <c r="V1052" t="s">
        <v>1558</v>
      </c>
      <c r="W1052" t="s">
        <v>1563</v>
      </c>
      <c r="X1052" t="s">
        <v>1575</v>
      </c>
      <c r="Y1052" t="s">
        <v>1583</v>
      </c>
      <c r="Z1052" t="s">
        <v>1594</v>
      </c>
      <c r="AA1052" t="s">
        <v>1596</v>
      </c>
      <c r="AB1052" t="s">
        <v>1601</v>
      </c>
      <c r="AC1052" t="s">
        <v>1610</v>
      </c>
      <c r="AD1052" t="s">
        <v>1606</v>
      </c>
      <c r="AE1052" t="s">
        <v>1616</v>
      </c>
      <c r="AF1052" t="s">
        <v>1627</v>
      </c>
    </row>
    <row r="1053" spans="1:32" x14ac:dyDescent="0.25">
      <c r="A1053" t="s">
        <v>1110</v>
      </c>
      <c r="B1053">
        <v>44</v>
      </c>
      <c r="C1053">
        <v>383</v>
      </c>
      <c r="D1053">
        <v>1</v>
      </c>
      <c r="E1053">
        <v>79</v>
      </c>
      <c r="F1053">
        <v>4768</v>
      </c>
      <c r="G1053">
        <v>9282</v>
      </c>
      <c r="H1053">
        <v>7</v>
      </c>
      <c r="I1053">
        <v>12</v>
      </c>
      <c r="J1053">
        <v>11</v>
      </c>
      <c r="K1053">
        <v>4</v>
      </c>
      <c r="L1053">
        <v>1</v>
      </c>
      <c r="M1053">
        <v>0</v>
      </c>
      <c r="N1053">
        <v>0</v>
      </c>
      <c r="O1053">
        <v>0</v>
      </c>
      <c r="P1053" t="s">
        <v>1556</v>
      </c>
      <c r="Q1053" t="s">
        <v>1553</v>
      </c>
      <c r="R1053" t="s">
        <v>1549</v>
      </c>
      <c r="S1053" t="s">
        <v>1536</v>
      </c>
      <c r="T1053" t="s">
        <v>1541</v>
      </c>
      <c r="U1053" t="s">
        <v>1545</v>
      </c>
      <c r="V1053" t="s">
        <v>1558</v>
      </c>
      <c r="W1053" t="s">
        <v>1563</v>
      </c>
      <c r="X1053" t="s">
        <v>1576</v>
      </c>
      <c r="Y1053" t="s">
        <v>1581</v>
      </c>
      <c r="Z1053" t="s">
        <v>1593</v>
      </c>
      <c r="AA1053" t="s">
        <v>1597</v>
      </c>
      <c r="AB1053" t="s">
        <v>1601</v>
      </c>
      <c r="AC1053" t="s">
        <v>1610</v>
      </c>
      <c r="AD1053" t="s">
        <v>1606</v>
      </c>
      <c r="AE1053" t="s">
        <v>1617</v>
      </c>
      <c r="AF1053" t="s">
        <v>1626</v>
      </c>
    </row>
    <row r="1054" spans="1:32" x14ac:dyDescent="0.25">
      <c r="A1054" t="s">
        <v>1111</v>
      </c>
      <c r="B1054">
        <v>30</v>
      </c>
      <c r="C1054">
        <v>990</v>
      </c>
      <c r="D1054">
        <v>7</v>
      </c>
      <c r="E1054">
        <v>64</v>
      </c>
      <c r="F1054">
        <v>1274</v>
      </c>
      <c r="G1054">
        <v>7152</v>
      </c>
      <c r="H1054">
        <v>1</v>
      </c>
      <c r="I1054">
        <v>13</v>
      </c>
      <c r="J1054">
        <v>1</v>
      </c>
      <c r="K1054">
        <v>2</v>
      </c>
      <c r="L1054">
        <v>1</v>
      </c>
      <c r="M1054">
        <v>0</v>
      </c>
      <c r="N1054">
        <v>0</v>
      </c>
      <c r="O1054">
        <v>0</v>
      </c>
      <c r="P1054" t="s">
        <v>1556</v>
      </c>
      <c r="Q1054" t="s">
        <v>1554</v>
      </c>
      <c r="R1054" t="s">
        <v>1550</v>
      </c>
      <c r="S1054" t="s">
        <v>1534</v>
      </c>
      <c r="T1054" t="s">
        <v>1542</v>
      </c>
      <c r="U1054" t="s">
        <v>1547</v>
      </c>
      <c r="V1054" t="s">
        <v>1559</v>
      </c>
      <c r="W1054" t="s">
        <v>1563</v>
      </c>
      <c r="X1054" t="s">
        <v>1575</v>
      </c>
      <c r="Y1054" t="s">
        <v>1582</v>
      </c>
      <c r="Z1054" t="s">
        <v>1593</v>
      </c>
      <c r="AA1054" t="s">
        <v>1598</v>
      </c>
      <c r="AB1054" t="s">
        <v>1601</v>
      </c>
      <c r="AC1054" t="s">
        <v>1610</v>
      </c>
      <c r="AD1054" t="s">
        <v>1605</v>
      </c>
      <c r="AE1054" t="s">
        <v>1618</v>
      </c>
      <c r="AF1054" t="s">
        <v>1626</v>
      </c>
    </row>
    <row r="1055" spans="1:32" x14ac:dyDescent="0.25">
      <c r="A1055" t="s">
        <v>1112</v>
      </c>
      <c r="B1055">
        <v>57</v>
      </c>
      <c r="C1055">
        <v>405</v>
      </c>
      <c r="D1055">
        <v>1</v>
      </c>
      <c r="E1055">
        <v>93</v>
      </c>
      <c r="F1055">
        <v>4900</v>
      </c>
      <c r="G1055">
        <v>2721</v>
      </c>
      <c r="H1055">
        <v>0</v>
      </c>
      <c r="I1055">
        <v>24</v>
      </c>
      <c r="J1055">
        <v>13</v>
      </c>
      <c r="K1055">
        <v>2</v>
      </c>
      <c r="L1055">
        <v>12</v>
      </c>
      <c r="M1055">
        <v>9</v>
      </c>
      <c r="N1055">
        <v>2</v>
      </c>
      <c r="O1055">
        <v>8</v>
      </c>
      <c r="P1055" t="s">
        <v>1556</v>
      </c>
      <c r="Q1055" t="s">
        <v>1552</v>
      </c>
      <c r="R1055" t="s">
        <v>1550</v>
      </c>
      <c r="S1055" t="s">
        <v>1533</v>
      </c>
      <c r="T1055" t="s">
        <v>1538</v>
      </c>
      <c r="U1055" t="s">
        <v>1546</v>
      </c>
      <c r="V1055" t="s">
        <v>1559</v>
      </c>
      <c r="W1055" t="s">
        <v>1564</v>
      </c>
      <c r="X1055" t="s">
        <v>1576</v>
      </c>
      <c r="Y1055" t="s">
        <v>1582</v>
      </c>
      <c r="Z1055" t="s">
        <v>1593</v>
      </c>
      <c r="AA1055" t="s">
        <v>1597</v>
      </c>
      <c r="AB1055" t="s">
        <v>1601</v>
      </c>
      <c r="AC1055" t="s">
        <v>1611</v>
      </c>
      <c r="AD1055" t="s">
        <v>1604</v>
      </c>
      <c r="AE1055" t="s">
        <v>1617</v>
      </c>
      <c r="AF1055" t="s">
        <v>1626</v>
      </c>
    </row>
    <row r="1056" spans="1:32" x14ac:dyDescent="0.25">
      <c r="A1056" t="s">
        <v>1113</v>
      </c>
      <c r="B1056">
        <v>49</v>
      </c>
      <c r="C1056">
        <v>1490</v>
      </c>
      <c r="D1056">
        <v>7</v>
      </c>
      <c r="E1056">
        <v>35</v>
      </c>
      <c r="F1056">
        <v>10466</v>
      </c>
      <c r="G1056">
        <v>20948</v>
      </c>
      <c r="H1056">
        <v>3</v>
      </c>
      <c r="I1056">
        <v>14</v>
      </c>
      <c r="J1056">
        <v>29</v>
      </c>
      <c r="K1056">
        <v>3</v>
      </c>
      <c r="L1056">
        <v>8</v>
      </c>
      <c r="M1056">
        <v>7</v>
      </c>
      <c r="N1056">
        <v>0</v>
      </c>
      <c r="O1056">
        <v>7</v>
      </c>
      <c r="P1056" t="s">
        <v>1556</v>
      </c>
      <c r="Q1056" t="s">
        <v>1552</v>
      </c>
      <c r="R1056" t="s">
        <v>1550</v>
      </c>
      <c r="S1056" t="s">
        <v>1535</v>
      </c>
      <c r="T1056" t="s">
        <v>1538</v>
      </c>
      <c r="U1056" t="s">
        <v>1547</v>
      </c>
      <c r="V1056" t="s">
        <v>1559</v>
      </c>
      <c r="W1056" t="s">
        <v>1563</v>
      </c>
      <c r="X1056" t="s">
        <v>1577</v>
      </c>
      <c r="Y1056" t="s">
        <v>1585</v>
      </c>
      <c r="Z1056" t="s">
        <v>1592</v>
      </c>
      <c r="AA1056" t="s">
        <v>1598</v>
      </c>
      <c r="AB1056" t="s">
        <v>1601</v>
      </c>
      <c r="AC1056" t="s">
        <v>1610</v>
      </c>
      <c r="AD1056" t="s">
        <v>1605</v>
      </c>
      <c r="AE1056" t="s">
        <v>1618</v>
      </c>
      <c r="AF1056" t="s">
        <v>1627</v>
      </c>
    </row>
    <row r="1057" spans="1:32" x14ac:dyDescent="0.25">
      <c r="A1057" t="s">
        <v>1114</v>
      </c>
      <c r="B1057">
        <v>34</v>
      </c>
      <c r="C1057">
        <v>829</v>
      </c>
      <c r="D1057">
        <v>15</v>
      </c>
      <c r="E1057">
        <v>71</v>
      </c>
      <c r="F1057">
        <v>17007</v>
      </c>
      <c r="G1057">
        <v>11929</v>
      </c>
      <c r="H1057">
        <v>7</v>
      </c>
      <c r="I1057">
        <v>14</v>
      </c>
      <c r="J1057">
        <v>16</v>
      </c>
      <c r="K1057">
        <v>3</v>
      </c>
      <c r="L1057">
        <v>14</v>
      </c>
      <c r="M1057">
        <v>8</v>
      </c>
      <c r="N1057">
        <v>6</v>
      </c>
      <c r="O1057">
        <v>9</v>
      </c>
      <c r="P1057" t="s">
        <v>1556</v>
      </c>
      <c r="Q1057" t="s">
        <v>1553</v>
      </c>
      <c r="R1057" t="s">
        <v>1550</v>
      </c>
      <c r="S1057" t="s">
        <v>1534</v>
      </c>
      <c r="T1057" t="s">
        <v>1540</v>
      </c>
      <c r="U1057" t="s">
        <v>1546</v>
      </c>
      <c r="V1057" t="s">
        <v>1559</v>
      </c>
      <c r="W1057" t="s">
        <v>1563</v>
      </c>
      <c r="X1057" t="s">
        <v>1578</v>
      </c>
      <c r="Y1057" t="s">
        <v>1588</v>
      </c>
      <c r="Z1057" t="s">
        <v>1591</v>
      </c>
      <c r="AA1057" t="s">
        <v>1598</v>
      </c>
      <c r="AB1057" t="s">
        <v>1601</v>
      </c>
      <c r="AC1057" t="s">
        <v>1610</v>
      </c>
      <c r="AD1057" t="s">
        <v>1607</v>
      </c>
      <c r="AE1057" t="s">
        <v>1618</v>
      </c>
      <c r="AF1057" t="s">
        <v>1626</v>
      </c>
    </row>
    <row r="1058" spans="1:32" x14ac:dyDescent="0.25">
      <c r="A1058" t="s">
        <v>1115</v>
      </c>
      <c r="B1058">
        <v>28</v>
      </c>
      <c r="C1058">
        <v>1496</v>
      </c>
      <c r="D1058">
        <v>1</v>
      </c>
      <c r="E1058">
        <v>92</v>
      </c>
      <c r="F1058">
        <v>2909</v>
      </c>
      <c r="G1058">
        <v>15747</v>
      </c>
      <c r="H1058">
        <v>3</v>
      </c>
      <c r="I1058">
        <v>15</v>
      </c>
      <c r="J1058">
        <v>5</v>
      </c>
      <c r="K1058">
        <v>3</v>
      </c>
      <c r="L1058">
        <v>3</v>
      </c>
      <c r="M1058">
        <v>2</v>
      </c>
      <c r="N1058">
        <v>1</v>
      </c>
      <c r="O1058">
        <v>2</v>
      </c>
      <c r="P1058" t="s">
        <v>1555</v>
      </c>
      <c r="Q1058" t="s">
        <v>1553</v>
      </c>
      <c r="R1058" t="s">
        <v>1549</v>
      </c>
      <c r="S1058" t="s">
        <v>1534</v>
      </c>
      <c r="T1058" t="s">
        <v>1542</v>
      </c>
      <c r="U1058" t="s">
        <v>1545</v>
      </c>
      <c r="V1058" t="s">
        <v>1559</v>
      </c>
      <c r="W1058" t="s">
        <v>1563</v>
      </c>
      <c r="X1058" t="s">
        <v>1575</v>
      </c>
      <c r="Y1058" t="s">
        <v>1587</v>
      </c>
      <c r="Z1058" t="s">
        <v>1593</v>
      </c>
      <c r="AA1058" t="s">
        <v>1597</v>
      </c>
      <c r="AB1058" t="s">
        <v>1601</v>
      </c>
      <c r="AC1058" t="s">
        <v>1610</v>
      </c>
      <c r="AD1058" t="s">
        <v>1607</v>
      </c>
      <c r="AE1058" t="s">
        <v>1617</v>
      </c>
      <c r="AF1058" t="s">
        <v>1628</v>
      </c>
    </row>
    <row r="1059" spans="1:32" x14ac:dyDescent="0.25">
      <c r="A1059" t="s">
        <v>1116</v>
      </c>
      <c r="B1059">
        <v>29</v>
      </c>
      <c r="C1059">
        <v>115</v>
      </c>
      <c r="D1059">
        <v>13</v>
      </c>
      <c r="E1059">
        <v>51</v>
      </c>
      <c r="F1059">
        <v>5765</v>
      </c>
      <c r="G1059">
        <v>17485</v>
      </c>
      <c r="H1059">
        <v>5</v>
      </c>
      <c r="I1059">
        <v>11</v>
      </c>
      <c r="J1059">
        <v>7</v>
      </c>
      <c r="K1059">
        <v>4</v>
      </c>
      <c r="L1059">
        <v>5</v>
      </c>
      <c r="M1059">
        <v>3</v>
      </c>
      <c r="N1059">
        <v>0</v>
      </c>
      <c r="O1059">
        <v>0</v>
      </c>
      <c r="P1059" t="s">
        <v>1555</v>
      </c>
      <c r="Q1059" t="s">
        <v>1553</v>
      </c>
      <c r="R1059" t="s">
        <v>1549</v>
      </c>
      <c r="S1059" t="s">
        <v>1534</v>
      </c>
      <c r="T1059" t="s">
        <v>1542</v>
      </c>
      <c r="U1059" t="s">
        <v>1545</v>
      </c>
      <c r="V1059" t="s">
        <v>1558</v>
      </c>
      <c r="W1059" t="s">
        <v>1563</v>
      </c>
      <c r="X1059" t="s">
        <v>1576</v>
      </c>
      <c r="Y1059" t="s">
        <v>1581</v>
      </c>
      <c r="Z1059" t="s">
        <v>1592</v>
      </c>
      <c r="AA1059" t="s">
        <v>1596</v>
      </c>
      <c r="AB1059" t="s">
        <v>1601</v>
      </c>
      <c r="AC1059" t="s">
        <v>1610</v>
      </c>
      <c r="AD1059" t="s">
        <v>1604</v>
      </c>
      <c r="AE1059" t="s">
        <v>1616</v>
      </c>
      <c r="AF1059" t="s">
        <v>1625</v>
      </c>
    </row>
    <row r="1060" spans="1:32" x14ac:dyDescent="0.25">
      <c r="A1060" t="s">
        <v>1117</v>
      </c>
      <c r="B1060">
        <v>34</v>
      </c>
      <c r="C1060">
        <v>790</v>
      </c>
      <c r="D1060">
        <v>24</v>
      </c>
      <c r="E1060">
        <v>40</v>
      </c>
      <c r="F1060">
        <v>4599</v>
      </c>
      <c r="G1060">
        <v>7815</v>
      </c>
      <c r="H1060">
        <v>0</v>
      </c>
      <c r="I1060">
        <v>23</v>
      </c>
      <c r="J1060">
        <v>16</v>
      </c>
      <c r="K1060">
        <v>2</v>
      </c>
      <c r="L1060">
        <v>15</v>
      </c>
      <c r="M1060">
        <v>9</v>
      </c>
      <c r="N1060">
        <v>10</v>
      </c>
      <c r="O1060">
        <v>10</v>
      </c>
      <c r="P1060" t="s">
        <v>1555</v>
      </c>
      <c r="Q1060" t="s">
        <v>1552</v>
      </c>
      <c r="R1060" t="s">
        <v>1549</v>
      </c>
      <c r="S1060" t="s">
        <v>1535</v>
      </c>
      <c r="T1060" t="s">
        <v>1540</v>
      </c>
      <c r="U1060" t="s">
        <v>1545</v>
      </c>
      <c r="V1060" t="s">
        <v>1558</v>
      </c>
      <c r="W1060" t="s">
        <v>1562</v>
      </c>
      <c r="X1060" t="s">
        <v>1576</v>
      </c>
      <c r="Y1060" t="s">
        <v>1581</v>
      </c>
      <c r="Z1060" t="s">
        <v>1592</v>
      </c>
      <c r="AA1060" t="s">
        <v>1596</v>
      </c>
      <c r="AB1060" t="s">
        <v>1600</v>
      </c>
      <c r="AC1060" t="s">
        <v>1611</v>
      </c>
      <c r="AD1060" t="s">
        <v>1606</v>
      </c>
      <c r="AE1060" t="s">
        <v>1616</v>
      </c>
      <c r="AF1060" t="s">
        <v>1628</v>
      </c>
    </row>
    <row r="1061" spans="1:32" x14ac:dyDescent="0.25">
      <c r="A1061" t="s">
        <v>1118</v>
      </c>
      <c r="B1061">
        <v>35</v>
      </c>
      <c r="C1061">
        <v>660</v>
      </c>
      <c r="D1061">
        <v>7</v>
      </c>
      <c r="E1061">
        <v>76</v>
      </c>
      <c r="F1061">
        <v>2404</v>
      </c>
      <c r="G1061">
        <v>16192</v>
      </c>
      <c r="H1061">
        <v>1</v>
      </c>
      <c r="I1061">
        <v>13</v>
      </c>
      <c r="J1061">
        <v>1</v>
      </c>
      <c r="K1061">
        <v>3</v>
      </c>
      <c r="L1061">
        <v>1</v>
      </c>
      <c r="M1061">
        <v>0</v>
      </c>
      <c r="N1061">
        <v>0</v>
      </c>
      <c r="O1061">
        <v>0</v>
      </c>
      <c r="P1061" t="s">
        <v>1556</v>
      </c>
      <c r="Q1061" t="s">
        <v>1552</v>
      </c>
      <c r="R1061" t="s">
        <v>1549</v>
      </c>
      <c r="S1061" t="s">
        <v>1532</v>
      </c>
      <c r="T1061" t="s">
        <v>1538</v>
      </c>
      <c r="U1061" t="s">
        <v>1548</v>
      </c>
      <c r="V1061" t="s">
        <v>1559</v>
      </c>
      <c r="W1061" t="s">
        <v>1563</v>
      </c>
      <c r="X1061" t="s">
        <v>1575</v>
      </c>
      <c r="Y1061" t="s">
        <v>1587</v>
      </c>
      <c r="Z1061" t="s">
        <v>1593</v>
      </c>
      <c r="AA1061" t="s">
        <v>1597</v>
      </c>
      <c r="AB1061" t="s">
        <v>1601</v>
      </c>
      <c r="AC1061" t="s">
        <v>1610</v>
      </c>
      <c r="AD1061" t="s">
        <v>1604</v>
      </c>
      <c r="AE1061" t="s">
        <v>1617</v>
      </c>
      <c r="AF1061" t="s">
        <v>1627</v>
      </c>
    </row>
    <row r="1062" spans="1:32" x14ac:dyDescent="0.25">
      <c r="A1062" t="s">
        <v>1119</v>
      </c>
      <c r="B1062">
        <v>24</v>
      </c>
      <c r="C1062">
        <v>381</v>
      </c>
      <c r="D1062">
        <v>9</v>
      </c>
      <c r="E1062">
        <v>89</v>
      </c>
      <c r="F1062">
        <v>3172</v>
      </c>
      <c r="G1062">
        <v>16998</v>
      </c>
      <c r="H1062">
        <v>2</v>
      </c>
      <c r="I1062">
        <v>11</v>
      </c>
      <c r="J1062">
        <v>4</v>
      </c>
      <c r="K1062">
        <v>2</v>
      </c>
      <c r="L1062">
        <v>0</v>
      </c>
      <c r="M1062">
        <v>0</v>
      </c>
      <c r="N1062">
        <v>0</v>
      </c>
      <c r="O1062">
        <v>0</v>
      </c>
      <c r="P1062" t="s">
        <v>1555</v>
      </c>
      <c r="Q1062" t="s">
        <v>1553</v>
      </c>
      <c r="R1062" t="s">
        <v>1550</v>
      </c>
      <c r="S1062" t="s">
        <v>1534</v>
      </c>
      <c r="T1062" t="s">
        <v>1540</v>
      </c>
      <c r="U1062" t="s">
        <v>1546</v>
      </c>
      <c r="V1062" t="s">
        <v>1559</v>
      </c>
      <c r="W1062" t="s">
        <v>1563</v>
      </c>
      <c r="X1062" t="s">
        <v>1575</v>
      </c>
      <c r="Y1062" t="s">
        <v>1583</v>
      </c>
      <c r="Z1062" t="s">
        <v>1591</v>
      </c>
      <c r="AA1062" t="s">
        <v>1596</v>
      </c>
      <c r="AB1062" t="s">
        <v>1600</v>
      </c>
      <c r="AC1062" t="s">
        <v>1610</v>
      </c>
      <c r="AD1062" t="s">
        <v>1606</v>
      </c>
      <c r="AE1062" t="s">
        <v>1616</v>
      </c>
      <c r="AF1062" t="s">
        <v>1626</v>
      </c>
    </row>
    <row r="1063" spans="1:32" x14ac:dyDescent="0.25">
      <c r="A1063" t="s">
        <v>1120</v>
      </c>
      <c r="B1063">
        <v>24</v>
      </c>
      <c r="C1063">
        <v>830</v>
      </c>
      <c r="D1063">
        <v>13</v>
      </c>
      <c r="E1063">
        <v>78</v>
      </c>
      <c r="F1063">
        <v>2033</v>
      </c>
      <c r="G1063">
        <v>7103</v>
      </c>
      <c r="H1063">
        <v>1</v>
      </c>
      <c r="I1063">
        <v>13</v>
      </c>
      <c r="J1063">
        <v>1</v>
      </c>
      <c r="K1063">
        <v>2</v>
      </c>
      <c r="L1063">
        <v>1</v>
      </c>
      <c r="M1063">
        <v>0</v>
      </c>
      <c r="N1063">
        <v>0</v>
      </c>
      <c r="O1063">
        <v>0</v>
      </c>
      <c r="P1063" t="s">
        <v>1556</v>
      </c>
      <c r="Q1063" t="s">
        <v>1554</v>
      </c>
      <c r="R1063" t="s">
        <v>1549</v>
      </c>
      <c r="S1063" t="s">
        <v>1533</v>
      </c>
      <c r="T1063" t="s">
        <v>1538</v>
      </c>
      <c r="U1063" t="s">
        <v>1548</v>
      </c>
      <c r="V1063" t="s">
        <v>1558</v>
      </c>
      <c r="W1063" t="s">
        <v>1563</v>
      </c>
      <c r="X1063" t="s">
        <v>1575</v>
      </c>
      <c r="Y1063" t="s">
        <v>1587</v>
      </c>
      <c r="Z1063" t="s">
        <v>1592</v>
      </c>
      <c r="AA1063" t="s">
        <v>1597</v>
      </c>
      <c r="AB1063" t="s">
        <v>1601</v>
      </c>
      <c r="AC1063" t="s">
        <v>1610</v>
      </c>
      <c r="AD1063" t="s">
        <v>1606</v>
      </c>
      <c r="AE1063" t="s">
        <v>1617</v>
      </c>
      <c r="AF1063" t="s">
        <v>1627</v>
      </c>
    </row>
    <row r="1064" spans="1:32" x14ac:dyDescent="0.25">
      <c r="A1064" t="s">
        <v>1121</v>
      </c>
      <c r="B1064">
        <v>44</v>
      </c>
      <c r="C1064">
        <v>1193</v>
      </c>
      <c r="D1064">
        <v>2</v>
      </c>
      <c r="E1064">
        <v>86</v>
      </c>
      <c r="F1064">
        <v>10209</v>
      </c>
      <c r="G1064">
        <v>19719</v>
      </c>
      <c r="H1064">
        <v>5</v>
      </c>
      <c r="I1064">
        <v>18</v>
      </c>
      <c r="J1064">
        <v>16</v>
      </c>
      <c r="K1064">
        <v>2</v>
      </c>
      <c r="L1064">
        <v>2</v>
      </c>
      <c r="M1064">
        <v>2</v>
      </c>
      <c r="N1064">
        <v>2</v>
      </c>
      <c r="O1064">
        <v>2</v>
      </c>
      <c r="P1064" t="s">
        <v>1556</v>
      </c>
      <c r="Q1064" t="s">
        <v>1553</v>
      </c>
      <c r="R1064" t="s">
        <v>1550</v>
      </c>
      <c r="S1064" t="s">
        <v>1532</v>
      </c>
      <c r="T1064" t="s">
        <v>1540</v>
      </c>
      <c r="U1064" t="s">
        <v>1546</v>
      </c>
      <c r="V1064" t="s">
        <v>1559</v>
      </c>
      <c r="W1064" t="s">
        <v>1563</v>
      </c>
      <c r="X1064" t="s">
        <v>1577</v>
      </c>
      <c r="Y1064" t="s">
        <v>1584</v>
      </c>
      <c r="Z1064" t="s">
        <v>1593</v>
      </c>
      <c r="AA1064" t="s">
        <v>1596</v>
      </c>
      <c r="AB1064" t="s">
        <v>1600</v>
      </c>
      <c r="AC1064" t="s">
        <v>1610</v>
      </c>
      <c r="AD1064" t="s">
        <v>1605</v>
      </c>
      <c r="AE1064" t="s">
        <v>1616</v>
      </c>
      <c r="AF1064" t="s">
        <v>1626</v>
      </c>
    </row>
    <row r="1065" spans="1:32" x14ac:dyDescent="0.25">
      <c r="A1065" t="s">
        <v>1122</v>
      </c>
      <c r="B1065">
        <v>29</v>
      </c>
      <c r="C1065">
        <v>1246</v>
      </c>
      <c r="D1065">
        <v>19</v>
      </c>
      <c r="E1065">
        <v>77</v>
      </c>
      <c r="F1065">
        <v>8620</v>
      </c>
      <c r="G1065">
        <v>23757</v>
      </c>
      <c r="H1065">
        <v>1</v>
      </c>
      <c r="I1065">
        <v>14</v>
      </c>
      <c r="J1065">
        <v>10</v>
      </c>
      <c r="K1065">
        <v>3</v>
      </c>
      <c r="L1065">
        <v>10</v>
      </c>
      <c r="M1065">
        <v>7</v>
      </c>
      <c r="N1065">
        <v>0</v>
      </c>
      <c r="O1065">
        <v>4</v>
      </c>
      <c r="P1065" t="s">
        <v>1556</v>
      </c>
      <c r="Q1065" t="s">
        <v>1552</v>
      </c>
      <c r="R1065" t="s">
        <v>1549</v>
      </c>
      <c r="S1065" t="s">
        <v>1534</v>
      </c>
      <c r="T1065" t="s">
        <v>1538</v>
      </c>
      <c r="U1065" t="s">
        <v>1547</v>
      </c>
      <c r="V1065" t="s">
        <v>1559</v>
      </c>
      <c r="W1065" t="s">
        <v>1562</v>
      </c>
      <c r="X1065" t="s">
        <v>1576</v>
      </c>
      <c r="Y1065" t="s">
        <v>1581</v>
      </c>
      <c r="Z1065" t="s">
        <v>1593</v>
      </c>
      <c r="AA1065" t="s">
        <v>1598</v>
      </c>
      <c r="AB1065" t="s">
        <v>1601</v>
      </c>
      <c r="AC1065" t="s">
        <v>1610</v>
      </c>
      <c r="AD1065" t="s">
        <v>1606</v>
      </c>
      <c r="AE1065" t="s">
        <v>1618</v>
      </c>
      <c r="AF1065" t="s">
        <v>1627</v>
      </c>
    </row>
    <row r="1066" spans="1:32" x14ac:dyDescent="0.25">
      <c r="A1066" t="s">
        <v>1123</v>
      </c>
      <c r="B1066">
        <v>30</v>
      </c>
      <c r="C1066">
        <v>330</v>
      </c>
      <c r="D1066">
        <v>1</v>
      </c>
      <c r="E1066">
        <v>46</v>
      </c>
      <c r="F1066">
        <v>2064</v>
      </c>
      <c r="G1066">
        <v>15428</v>
      </c>
      <c r="H1066">
        <v>0</v>
      </c>
      <c r="I1066">
        <v>21</v>
      </c>
      <c r="J1066">
        <v>6</v>
      </c>
      <c r="K1066">
        <v>3</v>
      </c>
      <c r="L1066">
        <v>5</v>
      </c>
      <c r="M1066">
        <v>3</v>
      </c>
      <c r="N1066">
        <v>1</v>
      </c>
      <c r="O1066">
        <v>3</v>
      </c>
      <c r="P1066" t="s">
        <v>1556</v>
      </c>
      <c r="Q1066" t="s">
        <v>1552</v>
      </c>
      <c r="R1066" t="s">
        <v>1551</v>
      </c>
      <c r="S1066" t="s">
        <v>1534</v>
      </c>
      <c r="T1066" t="s">
        <v>1538</v>
      </c>
      <c r="U1066" t="s">
        <v>1547</v>
      </c>
      <c r="V1066" t="s">
        <v>1559</v>
      </c>
      <c r="W1066" t="s">
        <v>1563</v>
      </c>
      <c r="X1066" t="s">
        <v>1575</v>
      </c>
      <c r="Y1066" t="s">
        <v>1589</v>
      </c>
      <c r="Z1066" t="s">
        <v>1593</v>
      </c>
      <c r="AA1066" t="s">
        <v>1598</v>
      </c>
      <c r="AB1066" t="s">
        <v>1601</v>
      </c>
      <c r="AC1066" t="s">
        <v>1611</v>
      </c>
      <c r="AD1066" t="s">
        <v>1604</v>
      </c>
      <c r="AE1066" t="s">
        <v>1617</v>
      </c>
      <c r="AF1066" t="s">
        <v>1628</v>
      </c>
    </row>
    <row r="1067" spans="1:32" x14ac:dyDescent="0.25">
      <c r="A1067" t="s">
        <v>1124</v>
      </c>
      <c r="B1067">
        <v>55</v>
      </c>
      <c r="C1067">
        <v>1229</v>
      </c>
      <c r="D1067">
        <v>4</v>
      </c>
      <c r="E1067">
        <v>30</v>
      </c>
      <c r="F1067">
        <v>4035</v>
      </c>
      <c r="G1067">
        <v>16143</v>
      </c>
      <c r="H1067">
        <v>0</v>
      </c>
      <c r="I1067">
        <v>16</v>
      </c>
      <c r="J1067">
        <v>4</v>
      </c>
      <c r="K1067">
        <v>2</v>
      </c>
      <c r="L1067">
        <v>3</v>
      </c>
      <c r="M1067">
        <v>2</v>
      </c>
      <c r="N1067">
        <v>1</v>
      </c>
      <c r="O1067">
        <v>2</v>
      </c>
      <c r="P1067" t="s">
        <v>1556</v>
      </c>
      <c r="Q1067" t="s">
        <v>1552</v>
      </c>
      <c r="R1067" t="s">
        <v>1550</v>
      </c>
      <c r="S1067" t="s">
        <v>1535</v>
      </c>
      <c r="T1067" t="s">
        <v>1538</v>
      </c>
      <c r="U1067" t="s">
        <v>1548</v>
      </c>
      <c r="V1067" t="s">
        <v>1559</v>
      </c>
      <c r="W1067" t="s">
        <v>1563</v>
      </c>
      <c r="X1067" t="s">
        <v>1576</v>
      </c>
      <c r="Y1067" t="s">
        <v>1585</v>
      </c>
      <c r="Z1067" t="s">
        <v>1593</v>
      </c>
      <c r="AA1067" t="s">
        <v>1597</v>
      </c>
      <c r="AB1067" t="s">
        <v>1600</v>
      </c>
      <c r="AC1067" t="s">
        <v>1610</v>
      </c>
      <c r="AD1067" t="s">
        <v>1605</v>
      </c>
      <c r="AE1067" t="s">
        <v>1616</v>
      </c>
      <c r="AF1067" t="s">
        <v>1627</v>
      </c>
    </row>
    <row r="1068" spans="1:32" x14ac:dyDescent="0.25">
      <c r="A1068" t="s">
        <v>1125</v>
      </c>
      <c r="B1068">
        <v>33</v>
      </c>
      <c r="C1068">
        <v>1099</v>
      </c>
      <c r="D1068">
        <v>4</v>
      </c>
      <c r="E1068">
        <v>82</v>
      </c>
      <c r="F1068">
        <v>3838</v>
      </c>
      <c r="G1068">
        <v>8192</v>
      </c>
      <c r="H1068">
        <v>8</v>
      </c>
      <c r="I1068">
        <v>11</v>
      </c>
      <c r="J1068">
        <v>8</v>
      </c>
      <c r="K1068">
        <v>5</v>
      </c>
      <c r="L1068">
        <v>5</v>
      </c>
      <c r="M1068">
        <v>4</v>
      </c>
      <c r="N1068">
        <v>0</v>
      </c>
      <c r="O1068">
        <v>2</v>
      </c>
      <c r="P1068" t="s">
        <v>1556</v>
      </c>
      <c r="Q1068" t="s">
        <v>1552</v>
      </c>
      <c r="R1068" t="s">
        <v>1550</v>
      </c>
      <c r="S1068" t="s">
        <v>1535</v>
      </c>
      <c r="T1068" t="s">
        <v>1540</v>
      </c>
      <c r="U1068" t="s">
        <v>1545</v>
      </c>
      <c r="V1068" t="s">
        <v>1558</v>
      </c>
      <c r="W1068" t="s">
        <v>1562</v>
      </c>
      <c r="X1068" t="s">
        <v>1575</v>
      </c>
      <c r="Y1068" t="s">
        <v>1583</v>
      </c>
      <c r="Z1068" t="s">
        <v>1592</v>
      </c>
      <c r="AA1068" t="s">
        <v>1597</v>
      </c>
      <c r="AB1068" t="s">
        <v>1601</v>
      </c>
      <c r="AC1068" t="s">
        <v>1610</v>
      </c>
      <c r="AD1068" t="s">
        <v>1607</v>
      </c>
      <c r="AE1068" t="s">
        <v>1616</v>
      </c>
      <c r="AF1068" t="s">
        <v>1627</v>
      </c>
    </row>
    <row r="1069" spans="1:32" x14ac:dyDescent="0.25">
      <c r="A1069" t="s">
        <v>1126</v>
      </c>
      <c r="B1069">
        <v>47</v>
      </c>
      <c r="C1069">
        <v>571</v>
      </c>
      <c r="D1069">
        <v>14</v>
      </c>
      <c r="E1069">
        <v>78</v>
      </c>
      <c r="F1069">
        <v>4591</v>
      </c>
      <c r="G1069">
        <v>24200</v>
      </c>
      <c r="H1069">
        <v>3</v>
      </c>
      <c r="I1069">
        <v>17</v>
      </c>
      <c r="J1069">
        <v>11</v>
      </c>
      <c r="K1069">
        <v>4</v>
      </c>
      <c r="L1069">
        <v>5</v>
      </c>
      <c r="M1069">
        <v>4</v>
      </c>
      <c r="N1069">
        <v>1</v>
      </c>
      <c r="O1069">
        <v>2</v>
      </c>
      <c r="P1069" t="s">
        <v>1556</v>
      </c>
      <c r="Q1069" t="s">
        <v>1552</v>
      </c>
      <c r="R1069" t="s">
        <v>1549</v>
      </c>
      <c r="S1069" t="s">
        <v>1534</v>
      </c>
      <c r="T1069" t="s">
        <v>1540</v>
      </c>
      <c r="U1069" t="s">
        <v>1547</v>
      </c>
      <c r="V1069" t="s">
        <v>1558</v>
      </c>
      <c r="W1069" t="s">
        <v>1563</v>
      </c>
      <c r="X1069" t="s">
        <v>1576</v>
      </c>
      <c r="Y1069" t="s">
        <v>1581</v>
      </c>
      <c r="Z1069" t="s">
        <v>1593</v>
      </c>
      <c r="AA1069" t="s">
        <v>1597</v>
      </c>
      <c r="AB1069" t="s">
        <v>1600</v>
      </c>
      <c r="AC1069" t="s">
        <v>1610</v>
      </c>
      <c r="AD1069" t="s">
        <v>1606</v>
      </c>
      <c r="AE1069" t="s">
        <v>1617</v>
      </c>
      <c r="AF1069" t="s">
        <v>1626</v>
      </c>
    </row>
    <row r="1070" spans="1:32" x14ac:dyDescent="0.25">
      <c r="A1070" t="s">
        <v>1127</v>
      </c>
      <c r="B1070">
        <v>28</v>
      </c>
      <c r="C1070">
        <v>289</v>
      </c>
      <c r="D1070">
        <v>2</v>
      </c>
      <c r="E1070">
        <v>38</v>
      </c>
      <c r="F1070">
        <v>2561</v>
      </c>
      <c r="G1070">
        <v>5355</v>
      </c>
      <c r="H1070">
        <v>7</v>
      </c>
      <c r="I1070">
        <v>11</v>
      </c>
      <c r="J1070">
        <v>8</v>
      </c>
      <c r="K1070">
        <v>2</v>
      </c>
      <c r="L1070">
        <v>0</v>
      </c>
      <c r="M1070">
        <v>0</v>
      </c>
      <c r="N1070">
        <v>0</v>
      </c>
      <c r="O1070">
        <v>0</v>
      </c>
      <c r="P1070" t="s">
        <v>1555</v>
      </c>
      <c r="Q1070" t="s">
        <v>1553</v>
      </c>
      <c r="R1070" t="s">
        <v>1550</v>
      </c>
      <c r="S1070" t="s">
        <v>1533</v>
      </c>
      <c r="T1070" t="s">
        <v>1540</v>
      </c>
      <c r="U1070" t="s">
        <v>1547</v>
      </c>
      <c r="V1070" t="s">
        <v>1559</v>
      </c>
      <c r="W1070" t="s">
        <v>1562</v>
      </c>
      <c r="X1070" t="s">
        <v>1575</v>
      </c>
      <c r="Y1070" t="s">
        <v>1583</v>
      </c>
      <c r="Z1070" t="s">
        <v>1591</v>
      </c>
      <c r="AA1070" t="s">
        <v>1596</v>
      </c>
      <c r="AB1070" t="s">
        <v>1601</v>
      </c>
      <c r="AC1070" t="s">
        <v>1610</v>
      </c>
      <c r="AD1070" t="s">
        <v>1606</v>
      </c>
      <c r="AE1070" t="s">
        <v>1616</v>
      </c>
      <c r="AF1070" t="s">
        <v>1626</v>
      </c>
    </row>
    <row r="1071" spans="1:32" x14ac:dyDescent="0.25">
      <c r="A1071" t="s">
        <v>1128</v>
      </c>
      <c r="B1071">
        <v>28</v>
      </c>
      <c r="C1071">
        <v>1423</v>
      </c>
      <c r="D1071">
        <v>1</v>
      </c>
      <c r="E1071">
        <v>72</v>
      </c>
      <c r="F1071">
        <v>1563</v>
      </c>
      <c r="G1071">
        <v>12530</v>
      </c>
      <c r="H1071">
        <v>1</v>
      </c>
      <c r="I1071">
        <v>14</v>
      </c>
      <c r="J1071">
        <v>1</v>
      </c>
      <c r="K1071">
        <v>2</v>
      </c>
      <c r="L1071">
        <v>1</v>
      </c>
      <c r="M1071">
        <v>0</v>
      </c>
      <c r="N1071">
        <v>0</v>
      </c>
      <c r="O1071">
        <v>0</v>
      </c>
      <c r="P1071" t="s">
        <v>1556</v>
      </c>
      <c r="Q1071" t="s">
        <v>1552</v>
      </c>
      <c r="R1071" t="s">
        <v>1550</v>
      </c>
      <c r="S1071" t="s">
        <v>1534</v>
      </c>
      <c r="T1071" t="s">
        <v>1538</v>
      </c>
      <c r="U1071" t="s">
        <v>1545</v>
      </c>
      <c r="V1071" t="s">
        <v>1559</v>
      </c>
      <c r="W1071" t="s">
        <v>1562</v>
      </c>
      <c r="X1071" t="s">
        <v>1575</v>
      </c>
      <c r="Y1071" t="s">
        <v>1582</v>
      </c>
      <c r="Z1071" t="s">
        <v>1593</v>
      </c>
      <c r="AA1071" t="s">
        <v>1598</v>
      </c>
      <c r="AB1071" t="s">
        <v>1601</v>
      </c>
      <c r="AC1071" t="s">
        <v>1610</v>
      </c>
      <c r="AD1071" t="s">
        <v>1607</v>
      </c>
      <c r="AE1071" t="s">
        <v>1617</v>
      </c>
      <c r="AF1071" t="s">
        <v>1625</v>
      </c>
    </row>
    <row r="1072" spans="1:32" x14ac:dyDescent="0.25">
      <c r="A1072" t="s">
        <v>1129</v>
      </c>
      <c r="B1072">
        <v>28</v>
      </c>
      <c r="C1072">
        <v>467</v>
      </c>
      <c r="D1072">
        <v>7</v>
      </c>
      <c r="E1072">
        <v>55</v>
      </c>
      <c r="F1072">
        <v>4898</v>
      </c>
      <c r="G1072">
        <v>11827</v>
      </c>
      <c r="H1072">
        <v>0</v>
      </c>
      <c r="I1072">
        <v>14</v>
      </c>
      <c r="J1072">
        <v>5</v>
      </c>
      <c r="K1072">
        <v>5</v>
      </c>
      <c r="L1072">
        <v>4</v>
      </c>
      <c r="M1072">
        <v>2</v>
      </c>
      <c r="N1072">
        <v>1</v>
      </c>
      <c r="O1072">
        <v>3</v>
      </c>
      <c r="P1072" t="s">
        <v>1556</v>
      </c>
      <c r="Q1072" t="s">
        <v>1553</v>
      </c>
      <c r="R1072" t="s">
        <v>1549</v>
      </c>
      <c r="S1072" t="s">
        <v>1534</v>
      </c>
      <c r="T1072" t="s">
        <v>1538</v>
      </c>
      <c r="U1072" t="s">
        <v>1547</v>
      </c>
      <c r="V1072" t="s">
        <v>1559</v>
      </c>
      <c r="W1072" t="s">
        <v>1563</v>
      </c>
      <c r="X1072" t="s">
        <v>1576</v>
      </c>
      <c r="Y1072" t="s">
        <v>1581</v>
      </c>
      <c r="Z1072" t="s">
        <v>1591</v>
      </c>
      <c r="AA1072" t="s">
        <v>1596</v>
      </c>
      <c r="AB1072" t="s">
        <v>1601</v>
      </c>
      <c r="AC1072" t="s">
        <v>1610</v>
      </c>
      <c r="AD1072" t="s">
        <v>1607</v>
      </c>
      <c r="AE1072" t="s">
        <v>1616</v>
      </c>
      <c r="AF1072" t="s">
        <v>1627</v>
      </c>
    </row>
    <row r="1073" spans="1:32" x14ac:dyDescent="0.25">
      <c r="A1073" t="s">
        <v>1130</v>
      </c>
      <c r="B1073">
        <v>49</v>
      </c>
      <c r="C1073">
        <v>271</v>
      </c>
      <c r="D1073">
        <v>3</v>
      </c>
      <c r="E1073">
        <v>43</v>
      </c>
      <c r="F1073">
        <v>4789</v>
      </c>
      <c r="G1073">
        <v>23070</v>
      </c>
      <c r="H1073">
        <v>4</v>
      </c>
      <c r="I1073">
        <v>25</v>
      </c>
      <c r="J1073">
        <v>10</v>
      </c>
      <c r="K1073">
        <v>3</v>
      </c>
      <c r="L1073">
        <v>3</v>
      </c>
      <c r="M1073">
        <v>2</v>
      </c>
      <c r="N1073">
        <v>1</v>
      </c>
      <c r="O1073">
        <v>2</v>
      </c>
      <c r="P1073" t="s">
        <v>1556</v>
      </c>
      <c r="Q1073" t="s">
        <v>1552</v>
      </c>
      <c r="R1073" t="s">
        <v>1550</v>
      </c>
      <c r="S1073" t="s">
        <v>1533</v>
      </c>
      <c r="T1073" t="s">
        <v>1540</v>
      </c>
      <c r="U1073" t="s">
        <v>1547</v>
      </c>
      <c r="V1073" t="s">
        <v>1558</v>
      </c>
      <c r="W1073" t="s">
        <v>1562</v>
      </c>
      <c r="X1073" t="s">
        <v>1576</v>
      </c>
      <c r="Y1073" t="s">
        <v>1583</v>
      </c>
      <c r="Z1073" t="s">
        <v>1591</v>
      </c>
      <c r="AA1073" t="s">
        <v>1597</v>
      </c>
      <c r="AB1073" t="s">
        <v>1601</v>
      </c>
      <c r="AC1073" t="s">
        <v>1611</v>
      </c>
      <c r="AD1073" t="s">
        <v>1604</v>
      </c>
      <c r="AE1073" t="s">
        <v>1617</v>
      </c>
      <c r="AF1073" t="s">
        <v>1627</v>
      </c>
    </row>
    <row r="1074" spans="1:32" x14ac:dyDescent="0.25">
      <c r="A1074" t="s">
        <v>1131</v>
      </c>
      <c r="B1074">
        <v>29</v>
      </c>
      <c r="C1074">
        <v>410</v>
      </c>
      <c r="D1074">
        <v>2</v>
      </c>
      <c r="E1074">
        <v>97</v>
      </c>
      <c r="F1074">
        <v>3180</v>
      </c>
      <c r="G1074">
        <v>4668</v>
      </c>
      <c r="H1074">
        <v>0</v>
      </c>
      <c r="I1074">
        <v>13</v>
      </c>
      <c r="J1074">
        <v>4</v>
      </c>
      <c r="K1074">
        <v>3</v>
      </c>
      <c r="L1074">
        <v>3</v>
      </c>
      <c r="M1074">
        <v>2</v>
      </c>
      <c r="N1074">
        <v>0</v>
      </c>
      <c r="O1074">
        <v>2</v>
      </c>
      <c r="P1074" t="s">
        <v>1556</v>
      </c>
      <c r="Q1074" t="s">
        <v>1553</v>
      </c>
      <c r="R1074" t="s">
        <v>1550</v>
      </c>
      <c r="S1074" t="s">
        <v>1532</v>
      </c>
      <c r="T1074" t="s">
        <v>1538</v>
      </c>
      <c r="U1074" t="s">
        <v>1548</v>
      </c>
      <c r="V1074" t="s">
        <v>1558</v>
      </c>
      <c r="W1074" t="s">
        <v>1563</v>
      </c>
      <c r="X1074" t="s">
        <v>1575</v>
      </c>
      <c r="Y1074" t="s">
        <v>1583</v>
      </c>
      <c r="Z1074" t="s">
        <v>1592</v>
      </c>
      <c r="AA1074" t="s">
        <v>1597</v>
      </c>
      <c r="AB1074" t="s">
        <v>1601</v>
      </c>
      <c r="AC1074" t="s">
        <v>1610</v>
      </c>
      <c r="AD1074" t="s">
        <v>1606</v>
      </c>
      <c r="AE1074" t="s">
        <v>1619</v>
      </c>
      <c r="AF1074" t="s">
        <v>1627</v>
      </c>
    </row>
    <row r="1075" spans="1:32" x14ac:dyDescent="0.25">
      <c r="A1075" t="s">
        <v>1132</v>
      </c>
      <c r="B1075">
        <v>28</v>
      </c>
      <c r="C1075">
        <v>1083</v>
      </c>
      <c r="D1075">
        <v>29</v>
      </c>
      <c r="E1075">
        <v>96</v>
      </c>
      <c r="F1075">
        <v>6549</v>
      </c>
      <c r="G1075">
        <v>3173</v>
      </c>
      <c r="H1075">
        <v>1</v>
      </c>
      <c r="I1075">
        <v>14</v>
      </c>
      <c r="J1075">
        <v>8</v>
      </c>
      <c r="K1075">
        <v>2</v>
      </c>
      <c r="L1075">
        <v>8</v>
      </c>
      <c r="M1075">
        <v>6</v>
      </c>
      <c r="N1075">
        <v>1</v>
      </c>
      <c r="O1075">
        <v>7</v>
      </c>
      <c r="P1075" t="s">
        <v>1556</v>
      </c>
      <c r="Q1075" t="s">
        <v>1552</v>
      </c>
      <c r="R1075" t="s">
        <v>1550</v>
      </c>
      <c r="S1075" t="s">
        <v>1532</v>
      </c>
      <c r="T1075" t="s">
        <v>1538</v>
      </c>
      <c r="U1075" t="s">
        <v>1547</v>
      </c>
      <c r="V1075" t="s">
        <v>1559</v>
      </c>
      <c r="W1075" t="s">
        <v>1561</v>
      </c>
      <c r="X1075" t="s">
        <v>1576</v>
      </c>
      <c r="Y1075" t="s">
        <v>1584</v>
      </c>
      <c r="Z1075" t="s">
        <v>1592</v>
      </c>
      <c r="AA1075" t="s">
        <v>1597</v>
      </c>
      <c r="AB1075" t="s">
        <v>1601</v>
      </c>
      <c r="AC1075" t="s">
        <v>1610</v>
      </c>
      <c r="AD1075" t="s">
        <v>1605</v>
      </c>
      <c r="AE1075" t="s">
        <v>1618</v>
      </c>
      <c r="AF1075" t="s">
        <v>1626</v>
      </c>
    </row>
    <row r="1076" spans="1:32" x14ac:dyDescent="0.25">
      <c r="A1076" t="s">
        <v>1133</v>
      </c>
      <c r="B1076">
        <v>33</v>
      </c>
      <c r="C1076">
        <v>516</v>
      </c>
      <c r="D1076">
        <v>8</v>
      </c>
      <c r="E1076">
        <v>69</v>
      </c>
      <c r="F1076">
        <v>6388</v>
      </c>
      <c r="G1076">
        <v>22049</v>
      </c>
      <c r="H1076">
        <v>2</v>
      </c>
      <c r="I1076">
        <v>17</v>
      </c>
      <c r="J1076">
        <v>14</v>
      </c>
      <c r="K1076">
        <v>6</v>
      </c>
      <c r="L1076">
        <v>0</v>
      </c>
      <c r="M1076">
        <v>0</v>
      </c>
      <c r="N1076">
        <v>0</v>
      </c>
      <c r="O1076">
        <v>0</v>
      </c>
      <c r="P1076" t="s">
        <v>1556</v>
      </c>
      <c r="Q1076" t="s">
        <v>1552</v>
      </c>
      <c r="R1076" t="s">
        <v>1550</v>
      </c>
      <c r="S1076" t="s">
        <v>1536</v>
      </c>
      <c r="T1076" t="s">
        <v>1538</v>
      </c>
      <c r="U1076" t="s">
        <v>1548</v>
      </c>
      <c r="V1076" t="s">
        <v>1559</v>
      </c>
      <c r="W1076" t="s">
        <v>1563</v>
      </c>
      <c r="X1076" t="s">
        <v>1576</v>
      </c>
      <c r="Y1076" t="s">
        <v>1585</v>
      </c>
      <c r="Z1076" t="s">
        <v>1593</v>
      </c>
      <c r="AA1076" t="s">
        <v>1596</v>
      </c>
      <c r="AB1076" t="s">
        <v>1600</v>
      </c>
      <c r="AC1076" t="s">
        <v>1610</v>
      </c>
      <c r="AD1076" t="s">
        <v>1604</v>
      </c>
      <c r="AE1076" t="s">
        <v>1616</v>
      </c>
      <c r="AF1076" t="s">
        <v>1627</v>
      </c>
    </row>
    <row r="1077" spans="1:32" x14ac:dyDescent="0.25">
      <c r="A1077" t="s">
        <v>1134</v>
      </c>
      <c r="B1077">
        <v>32</v>
      </c>
      <c r="C1077">
        <v>495</v>
      </c>
      <c r="D1077">
        <v>10</v>
      </c>
      <c r="E1077">
        <v>64</v>
      </c>
      <c r="F1077">
        <v>11244</v>
      </c>
      <c r="G1077">
        <v>21072</v>
      </c>
      <c r="H1077">
        <v>2</v>
      </c>
      <c r="I1077">
        <v>25</v>
      </c>
      <c r="J1077">
        <v>10</v>
      </c>
      <c r="K1077">
        <v>5</v>
      </c>
      <c r="L1077">
        <v>5</v>
      </c>
      <c r="M1077">
        <v>2</v>
      </c>
      <c r="N1077">
        <v>0</v>
      </c>
      <c r="O1077">
        <v>0</v>
      </c>
      <c r="P1077" t="s">
        <v>1556</v>
      </c>
      <c r="Q1077" t="s">
        <v>1552</v>
      </c>
      <c r="R1077" t="s">
        <v>1550</v>
      </c>
      <c r="S1077" t="s">
        <v>1534</v>
      </c>
      <c r="T1077" t="s">
        <v>1540</v>
      </c>
      <c r="U1077" t="s">
        <v>1547</v>
      </c>
      <c r="V1077" t="s">
        <v>1559</v>
      </c>
      <c r="W1077" t="s">
        <v>1563</v>
      </c>
      <c r="X1077" t="s">
        <v>1577</v>
      </c>
      <c r="Y1077" t="s">
        <v>1586</v>
      </c>
      <c r="Z1077" t="s">
        <v>1594</v>
      </c>
      <c r="AA1077" t="s">
        <v>1596</v>
      </c>
      <c r="AB1077" t="s">
        <v>1601</v>
      </c>
      <c r="AC1077" t="s">
        <v>1611</v>
      </c>
      <c r="AD1077" t="s">
        <v>1605</v>
      </c>
      <c r="AE1077" t="s">
        <v>1616</v>
      </c>
      <c r="AF1077" t="s">
        <v>1628</v>
      </c>
    </row>
    <row r="1078" spans="1:32" x14ac:dyDescent="0.25">
      <c r="A1078" t="s">
        <v>1135</v>
      </c>
      <c r="B1078">
        <v>54</v>
      </c>
      <c r="C1078">
        <v>1050</v>
      </c>
      <c r="D1078">
        <v>11</v>
      </c>
      <c r="E1078">
        <v>87</v>
      </c>
      <c r="F1078">
        <v>16032</v>
      </c>
      <c r="G1078">
        <v>24456</v>
      </c>
      <c r="H1078">
        <v>3</v>
      </c>
      <c r="I1078">
        <v>20</v>
      </c>
      <c r="J1078">
        <v>26</v>
      </c>
      <c r="K1078">
        <v>2</v>
      </c>
      <c r="L1078">
        <v>14</v>
      </c>
      <c r="M1078">
        <v>9</v>
      </c>
      <c r="N1078">
        <v>1</v>
      </c>
      <c r="O1078">
        <v>12</v>
      </c>
      <c r="P1078" t="s">
        <v>1556</v>
      </c>
      <c r="Q1078" t="s">
        <v>1553</v>
      </c>
      <c r="R1078" t="s">
        <v>1550</v>
      </c>
      <c r="S1078" t="s">
        <v>1535</v>
      </c>
      <c r="T1078" t="s">
        <v>1540</v>
      </c>
      <c r="U1078" t="s">
        <v>1546</v>
      </c>
      <c r="V1078" t="s">
        <v>1558</v>
      </c>
      <c r="W1078" t="s">
        <v>1563</v>
      </c>
      <c r="X1078" t="s">
        <v>1578</v>
      </c>
      <c r="Y1078" t="s">
        <v>1586</v>
      </c>
      <c r="Z1078" t="s">
        <v>1594</v>
      </c>
      <c r="AA1078" t="s">
        <v>1598</v>
      </c>
      <c r="AB1078" t="s">
        <v>1601</v>
      </c>
      <c r="AC1078" t="s">
        <v>1611</v>
      </c>
      <c r="AD1078" t="s">
        <v>1604</v>
      </c>
      <c r="AE1078" t="s">
        <v>1617</v>
      </c>
      <c r="AF1078" t="s">
        <v>1627</v>
      </c>
    </row>
    <row r="1079" spans="1:32" x14ac:dyDescent="0.25">
      <c r="A1079" t="s">
        <v>1136</v>
      </c>
      <c r="B1079">
        <v>29</v>
      </c>
      <c r="C1079">
        <v>224</v>
      </c>
      <c r="D1079">
        <v>1</v>
      </c>
      <c r="E1079">
        <v>100</v>
      </c>
      <c r="F1079">
        <v>2362</v>
      </c>
      <c r="G1079">
        <v>7568</v>
      </c>
      <c r="H1079">
        <v>6</v>
      </c>
      <c r="I1079">
        <v>13</v>
      </c>
      <c r="J1079">
        <v>11</v>
      </c>
      <c r="K1079">
        <v>2</v>
      </c>
      <c r="L1079">
        <v>9</v>
      </c>
      <c r="M1079">
        <v>7</v>
      </c>
      <c r="N1079">
        <v>0</v>
      </c>
      <c r="O1079">
        <v>7</v>
      </c>
      <c r="P1079" t="s">
        <v>1555</v>
      </c>
      <c r="Q1079" t="s">
        <v>1552</v>
      </c>
      <c r="R1079" t="s">
        <v>1550</v>
      </c>
      <c r="S1079" t="s">
        <v>1535</v>
      </c>
      <c r="T1079" t="s">
        <v>1542</v>
      </c>
      <c r="U1079" t="s">
        <v>1545</v>
      </c>
      <c r="V1079" t="s">
        <v>1559</v>
      </c>
      <c r="W1079" t="s">
        <v>1562</v>
      </c>
      <c r="X1079" t="s">
        <v>1575</v>
      </c>
      <c r="Y1079" t="s">
        <v>1582</v>
      </c>
      <c r="Z1079" t="s">
        <v>1591</v>
      </c>
      <c r="AA1079" t="s">
        <v>1596</v>
      </c>
      <c r="AB1079" t="s">
        <v>1601</v>
      </c>
      <c r="AC1079" t="s">
        <v>1610</v>
      </c>
      <c r="AD1079" t="s">
        <v>1606</v>
      </c>
      <c r="AE1079" t="s">
        <v>1616</v>
      </c>
      <c r="AF1079" t="s">
        <v>1625</v>
      </c>
    </row>
    <row r="1080" spans="1:32" x14ac:dyDescent="0.25">
      <c r="A1080" t="s">
        <v>1137</v>
      </c>
      <c r="B1080">
        <v>44</v>
      </c>
      <c r="C1080">
        <v>136</v>
      </c>
      <c r="D1080">
        <v>28</v>
      </c>
      <c r="E1080">
        <v>32</v>
      </c>
      <c r="F1080">
        <v>16328</v>
      </c>
      <c r="G1080">
        <v>22074</v>
      </c>
      <c r="H1080">
        <v>3</v>
      </c>
      <c r="I1080">
        <v>13</v>
      </c>
      <c r="J1080">
        <v>24</v>
      </c>
      <c r="K1080">
        <v>1</v>
      </c>
      <c r="L1080">
        <v>20</v>
      </c>
      <c r="M1080">
        <v>6</v>
      </c>
      <c r="N1080">
        <v>14</v>
      </c>
      <c r="O1080">
        <v>17</v>
      </c>
      <c r="P1080" t="s">
        <v>1556</v>
      </c>
      <c r="Q1080" t="s">
        <v>1552</v>
      </c>
      <c r="R1080" t="s">
        <v>1550</v>
      </c>
      <c r="S1080" t="s">
        <v>1534</v>
      </c>
      <c r="T1080" t="s">
        <v>1538</v>
      </c>
      <c r="U1080" t="s">
        <v>1548</v>
      </c>
      <c r="V1080" t="s">
        <v>1559</v>
      </c>
      <c r="W1080" t="s">
        <v>1563</v>
      </c>
      <c r="X1080" t="s">
        <v>1578</v>
      </c>
      <c r="Y1080" t="s">
        <v>1588</v>
      </c>
      <c r="Z1080" t="s">
        <v>1591</v>
      </c>
      <c r="AA1080" t="s">
        <v>1597</v>
      </c>
      <c r="AB1080" t="s">
        <v>1601</v>
      </c>
      <c r="AC1080" t="s">
        <v>1610</v>
      </c>
      <c r="AD1080" t="s">
        <v>1606</v>
      </c>
      <c r="AE1080" t="s">
        <v>1617</v>
      </c>
      <c r="AF1080" t="s">
        <v>1628</v>
      </c>
    </row>
    <row r="1081" spans="1:32" x14ac:dyDescent="0.25">
      <c r="A1081" t="s">
        <v>1138</v>
      </c>
      <c r="B1081">
        <v>39</v>
      </c>
      <c r="C1081">
        <v>1089</v>
      </c>
      <c r="D1081">
        <v>6</v>
      </c>
      <c r="E1081">
        <v>32</v>
      </c>
      <c r="F1081">
        <v>8376</v>
      </c>
      <c r="G1081">
        <v>9150</v>
      </c>
      <c r="H1081">
        <v>4</v>
      </c>
      <c r="I1081">
        <v>18</v>
      </c>
      <c r="J1081">
        <v>9</v>
      </c>
      <c r="K1081">
        <v>3</v>
      </c>
      <c r="L1081">
        <v>2</v>
      </c>
      <c r="M1081">
        <v>0</v>
      </c>
      <c r="N1081">
        <v>2</v>
      </c>
      <c r="O1081">
        <v>2</v>
      </c>
      <c r="P1081" t="s">
        <v>1556</v>
      </c>
      <c r="Q1081" t="s">
        <v>1552</v>
      </c>
      <c r="R1081" t="s">
        <v>1550</v>
      </c>
      <c r="S1081" t="s">
        <v>1534</v>
      </c>
      <c r="T1081" t="s">
        <v>1538</v>
      </c>
      <c r="U1081" t="s">
        <v>1546</v>
      </c>
      <c r="V1081" t="s">
        <v>1558</v>
      </c>
      <c r="W1081" t="s">
        <v>1563</v>
      </c>
      <c r="X1081" t="s">
        <v>1577</v>
      </c>
      <c r="Y1081" t="s">
        <v>1584</v>
      </c>
      <c r="Z1081" t="s">
        <v>1592</v>
      </c>
      <c r="AA1081" t="s">
        <v>1596</v>
      </c>
      <c r="AB1081" t="s">
        <v>1601</v>
      </c>
      <c r="AC1081" t="s">
        <v>1610</v>
      </c>
      <c r="AD1081" t="s">
        <v>1607</v>
      </c>
      <c r="AE1081" t="s">
        <v>1616</v>
      </c>
      <c r="AF1081" t="s">
        <v>1627</v>
      </c>
    </row>
    <row r="1082" spans="1:32" x14ac:dyDescent="0.25">
      <c r="A1082" t="s">
        <v>1139</v>
      </c>
      <c r="B1082">
        <v>46</v>
      </c>
      <c r="C1082">
        <v>228</v>
      </c>
      <c r="D1082">
        <v>3</v>
      </c>
      <c r="E1082">
        <v>51</v>
      </c>
      <c r="F1082">
        <v>16606</v>
      </c>
      <c r="G1082">
        <v>11380</v>
      </c>
      <c r="H1082">
        <v>8</v>
      </c>
      <c r="I1082">
        <v>12</v>
      </c>
      <c r="J1082">
        <v>23</v>
      </c>
      <c r="K1082">
        <v>2</v>
      </c>
      <c r="L1082">
        <v>13</v>
      </c>
      <c r="M1082">
        <v>12</v>
      </c>
      <c r="N1082">
        <v>5</v>
      </c>
      <c r="O1082">
        <v>1</v>
      </c>
      <c r="P1082" t="s">
        <v>1556</v>
      </c>
      <c r="Q1082" t="s">
        <v>1552</v>
      </c>
      <c r="R1082" t="s">
        <v>1549</v>
      </c>
      <c r="S1082" t="s">
        <v>1534</v>
      </c>
      <c r="T1082" t="s">
        <v>1538</v>
      </c>
      <c r="U1082" t="s">
        <v>1547</v>
      </c>
      <c r="V1082" t="s">
        <v>1558</v>
      </c>
      <c r="W1082" t="s">
        <v>1563</v>
      </c>
      <c r="X1082" t="s">
        <v>1578</v>
      </c>
      <c r="Y1082" t="s">
        <v>1586</v>
      </c>
      <c r="Z1082" t="s">
        <v>1592</v>
      </c>
      <c r="AA1082" t="s">
        <v>1597</v>
      </c>
      <c r="AB1082" t="s">
        <v>1601</v>
      </c>
      <c r="AC1082" t="s">
        <v>1610</v>
      </c>
      <c r="AD1082" t="s">
        <v>1607</v>
      </c>
      <c r="AE1082" t="s">
        <v>1617</v>
      </c>
      <c r="AF1082" t="s">
        <v>1628</v>
      </c>
    </row>
    <row r="1083" spans="1:32" x14ac:dyDescent="0.25">
      <c r="A1083" t="s">
        <v>1140</v>
      </c>
      <c r="B1083">
        <v>35</v>
      </c>
      <c r="C1083">
        <v>1029</v>
      </c>
      <c r="D1083">
        <v>16</v>
      </c>
      <c r="E1083">
        <v>91</v>
      </c>
      <c r="F1083">
        <v>8606</v>
      </c>
      <c r="G1083">
        <v>21195</v>
      </c>
      <c r="H1083">
        <v>1</v>
      </c>
      <c r="I1083">
        <v>19</v>
      </c>
      <c r="J1083">
        <v>11</v>
      </c>
      <c r="K1083">
        <v>3</v>
      </c>
      <c r="L1083">
        <v>11</v>
      </c>
      <c r="M1083">
        <v>8</v>
      </c>
      <c r="N1083">
        <v>3</v>
      </c>
      <c r="O1083">
        <v>3</v>
      </c>
      <c r="P1083" t="s">
        <v>1556</v>
      </c>
      <c r="Q1083" t="s">
        <v>1552</v>
      </c>
      <c r="R1083" t="s">
        <v>1550</v>
      </c>
      <c r="S1083" t="s">
        <v>1534</v>
      </c>
      <c r="T1083" t="s">
        <v>1538</v>
      </c>
      <c r="U1083" t="s">
        <v>1548</v>
      </c>
      <c r="V1083" t="s">
        <v>1558</v>
      </c>
      <c r="W1083" t="s">
        <v>1562</v>
      </c>
      <c r="X1083" t="s">
        <v>1577</v>
      </c>
      <c r="Y1083" t="s">
        <v>1585</v>
      </c>
      <c r="Z1083" t="s">
        <v>1592</v>
      </c>
      <c r="AA1083" t="s">
        <v>1596</v>
      </c>
      <c r="AB1083" t="s">
        <v>1601</v>
      </c>
      <c r="AC1083" t="s">
        <v>1610</v>
      </c>
      <c r="AD1083" t="s">
        <v>1607</v>
      </c>
      <c r="AE1083" t="s">
        <v>1616</v>
      </c>
      <c r="AF1083" t="s">
        <v>1625</v>
      </c>
    </row>
    <row r="1084" spans="1:32" x14ac:dyDescent="0.25">
      <c r="A1084" t="s">
        <v>1141</v>
      </c>
      <c r="B1084">
        <v>23</v>
      </c>
      <c r="C1084">
        <v>507</v>
      </c>
      <c r="D1084">
        <v>20</v>
      </c>
      <c r="E1084">
        <v>97</v>
      </c>
      <c r="F1084">
        <v>2272</v>
      </c>
      <c r="G1084">
        <v>24812</v>
      </c>
      <c r="H1084">
        <v>0</v>
      </c>
      <c r="I1084">
        <v>14</v>
      </c>
      <c r="J1084">
        <v>5</v>
      </c>
      <c r="K1084">
        <v>2</v>
      </c>
      <c r="L1084">
        <v>4</v>
      </c>
      <c r="M1084">
        <v>3</v>
      </c>
      <c r="N1084">
        <v>1</v>
      </c>
      <c r="O1084">
        <v>2</v>
      </c>
      <c r="P1084" t="s">
        <v>1556</v>
      </c>
      <c r="Q1084" t="s">
        <v>1552</v>
      </c>
      <c r="R1084" t="s">
        <v>1550</v>
      </c>
      <c r="S1084" t="s">
        <v>1532</v>
      </c>
      <c r="T1084" t="s">
        <v>1538</v>
      </c>
      <c r="U1084" t="s">
        <v>1545</v>
      </c>
      <c r="V1084" t="s">
        <v>1559</v>
      </c>
      <c r="W1084" t="s">
        <v>1563</v>
      </c>
      <c r="X1084" t="s">
        <v>1576</v>
      </c>
      <c r="Y1084" t="s">
        <v>1583</v>
      </c>
      <c r="Z1084" t="s">
        <v>1593</v>
      </c>
      <c r="AA1084" t="s">
        <v>1596</v>
      </c>
      <c r="AB1084" t="s">
        <v>1601</v>
      </c>
      <c r="AC1084" t="s">
        <v>1610</v>
      </c>
      <c r="AD1084" t="s">
        <v>1605</v>
      </c>
      <c r="AE1084" t="s">
        <v>1616</v>
      </c>
      <c r="AF1084" t="s">
        <v>1627</v>
      </c>
    </row>
    <row r="1085" spans="1:32" x14ac:dyDescent="0.25">
      <c r="A1085" t="s">
        <v>1142</v>
      </c>
      <c r="B1085">
        <v>40</v>
      </c>
      <c r="C1085">
        <v>676</v>
      </c>
      <c r="D1085">
        <v>9</v>
      </c>
      <c r="E1085">
        <v>86</v>
      </c>
      <c r="F1085">
        <v>2018</v>
      </c>
      <c r="G1085">
        <v>21831</v>
      </c>
      <c r="H1085">
        <v>3</v>
      </c>
      <c r="I1085">
        <v>14</v>
      </c>
      <c r="J1085">
        <v>15</v>
      </c>
      <c r="K1085">
        <v>3</v>
      </c>
      <c r="L1085">
        <v>5</v>
      </c>
      <c r="M1085">
        <v>4</v>
      </c>
      <c r="N1085">
        <v>1</v>
      </c>
      <c r="O1085">
        <v>0</v>
      </c>
      <c r="P1085" t="s">
        <v>1555</v>
      </c>
      <c r="Q1085" t="s">
        <v>1552</v>
      </c>
      <c r="R1085" t="s">
        <v>1550</v>
      </c>
      <c r="S1085" t="s">
        <v>1535</v>
      </c>
      <c r="T1085" t="s">
        <v>1538</v>
      </c>
      <c r="U1085" t="s">
        <v>1548</v>
      </c>
      <c r="V1085" t="s">
        <v>1559</v>
      </c>
      <c r="W1085" t="s">
        <v>1563</v>
      </c>
      <c r="X1085" t="s">
        <v>1575</v>
      </c>
      <c r="Y1085" t="s">
        <v>1583</v>
      </c>
      <c r="Z1085" t="s">
        <v>1591</v>
      </c>
      <c r="AA1085" t="s">
        <v>1596</v>
      </c>
      <c r="AB1085" t="s">
        <v>1601</v>
      </c>
      <c r="AC1085" t="s">
        <v>1610</v>
      </c>
      <c r="AD1085" t="s">
        <v>1605</v>
      </c>
      <c r="AE1085" t="s">
        <v>1616</v>
      </c>
      <c r="AF1085" t="s">
        <v>1625</v>
      </c>
    </row>
    <row r="1086" spans="1:32" x14ac:dyDescent="0.25">
      <c r="A1086" t="s">
        <v>1143</v>
      </c>
      <c r="B1086">
        <v>34</v>
      </c>
      <c r="C1086">
        <v>971</v>
      </c>
      <c r="D1086">
        <v>1</v>
      </c>
      <c r="E1086">
        <v>64</v>
      </c>
      <c r="F1086">
        <v>7083</v>
      </c>
      <c r="G1086">
        <v>12288</v>
      </c>
      <c r="H1086">
        <v>1</v>
      </c>
      <c r="I1086">
        <v>14</v>
      </c>
      <c r="J1086">
        <v>10</v>
      </c>
      <c r="K1086">
        <v>3</v>
      </c>
      <c r="L1086">
        <v>10</v>
      </c>
      <c r="M1086">
        <v>9</v>
      </c>
      <c r="N1086">
        <v>8</v>
      </c>
      <c r="O1086">
        <v>6</v>
      </c>
      <c r="P1086" t="s">
        <v>1556</v>
      </c>
      <c r="Q1086" t="s">
        <v>1552</v>
      </c>
      <c r="R1086" t="s">
        <v>1549</v>
      </c>
      <c r="S1086" t="s">
        <v>1534</v>
      </c>
      <c r="T1086" t="s">
        <v>1542</v>
      </c>
      <c r="U1086" t="s">
        <v>1548</v>
      </c>
      <c r="V1086" t="s">
        <v>1559</v>
      </c>
      <c r="W1086" t="s">
        <v>1562</v>
      </c>
      <c r="X1086" t="s">
        <v>1577</v>
      </c>
      <c r="Y1086" t="s">
        <v>1581</v>
      </c>
      <c r="Z1086" t="s">
        <v>1593</v>
      </c>
      <c r="AA1086" t="s">
        <v>1597</v>
      </c>
      <c r="AB1086" t="s">
        <v>1600</v>
      </c>
      <c r="AC1086" t="s">
        <v>1610</v>
      </c>
      <c r="AD1086" t="s">
        <v>1607</v>
      </c>
      <c r="AE1086" t="s">
        <v>1616</v>
      </c>
      <c r="AF1086" t="s">
        <v>1627</v>
      </c>
    </row>
    <row r="1087" spans="1:32" x14ac:dyDescent="0.25">
      <c r="A1087" t="s">
        <v>1144</v>
      </c>
      <c r="B1087">
        <v>31</v>
      </c>
      <c r="C1087">
        <v>561</v>
      </c>
      <c r="D1087">
        <v>3</v>
      </c>
      <c r="E1087">
        <v>33</v>
      </c>
      <c r="F1087">
        <v>4084</v>
      </c>
      <c r="G1087">
        <v>4156</v>
      </c>
      <c r="H1087">
        <v>1</v>
      </c>
      <c r="I1087">
        <v>12</v>
      </c>
      <c r="J1087">
        <v>7</v>
      </c>
      <c r="K1087">
        <v>2</v>
      </c>
      <c r="L1087">
        <v>7</v>
      </c>
      <c r="M1087">
        <v>2</v>
      </c>
      <c r="N1087">
        <v>7</v>
      </c>
      <c r="O1087">
        <v>7</v>
      </c>
      <c r="P1087" t="s">
        <v>1555</v>
      </c>
      <c r="Q1087" t="s">
        <v>1553</v>
      </c>
      <c r="R1087" t="s">
        <v>1550</v>
      </c>
      <c r="S1087" t="s">
        <v>1534</v>
      </c>
      <c r="T1087" t="s">
        <v>1538</v>
      </c>
      <c r="U1087" t="s">
        <v>1548</v>
      </c>
      <c r="V1087" t="s">
        <v>1558</v>
      </c>
      <c r="W1087" t="s">
        <v>1563</v>
      </c>
      <c r="X1087" t="s">
        <v>1575</v>
      </c>
      <c r="Y1087" t="s">
        <v>1582</v>
      </c>
      <c r="Z1087" t="s">
        <v>1593</v>
      </c>
      <c r="AA1087" t="s">
        <v>1596</v>
      </c>
      <c r="AB1087" t="s">
        <v>1601</v>
      </c>
      <c r="AC1087" t="s">
        <v>1610</v>
      </c>
      <c r="AD1087" t="s">
        <v>1604</v>
      </c>
      <c r="AE1087" t="s">
        <v>1616</v>
      </c>
      <c r="AF1087" t="s">
        <v>1625</v>
      </c>
    </row>
    <row r="1088" spans="1:32" x14ac:dyDescent="0.25">
      <c r="A1088" t="s">
        <v>1145</v>
      </c>
      <c r="B1088">
        <v>50</v>
      </c>
      <c r="C1088">
        <v>333</v>
      </c>
      <c r="D1088">
        <v>22</v>
      </c>
      <c r="E1088">
        <v>88</v>
      </c>
      <c r="F1088">
        <v>14411</v>
      </c>
      <c r="G1088">
        <v>24450</v>
      </c>
      <c r="H1088">
        <v>1</v>
      </c>
      <c r="I1088">
        <v>13</v>
      </c>
      <c r="J1088">
        <v>32</v>
      </c>
      <c r="K1088">
        <v>2</v>
      </c>
      <c r="L1088">
        <v>32</v>
      </c>
      <c r="M1088">
        <v>6</v>
      </c>
      <c r="N1088">
        <v>13</v>
      </c>
      <c r="O1088">
        <v>9</v>
      </c>
      <c r="P1088" t="s">
        <v>1556</v>
      </c>
      <c r="Q1088" t="s">
        <v>1553</v>
      </c>
      <c r="R1088" t="s">
        <v>1550</v>
      </c>
      <c r="S1088" t="s">
        <v>1536</v>
      </c>
      <c r="T1088" t="s">
        <v>1540</v>
      </c>
      <c r="U1088" t="s">
        <v>1547</v>
      </c>
      <c r="V1088" t="s">
        <v>1559</v>
      </c>
      <c r="W1088" t="s">
        <v>1561</v>
      </c>
      <c r="X1088" t="s">
        <v>1578</v>
      </c>
      <c r="Y1088" t="s">
        <v>1588</v>
      </c>
      <c r="Z1088" t="s">
        <v>1594</v>
      </c>
      <c r="AA1088" t="s">
        <v>1596</v>
      </c>
      <c r="AB1088" t="s">
        <v>1600</v>
      </c>
      <c r="AC1088" t="s">
        <v>1610</v>
      </c>
      <c r="AD1088" t="s">
        <v>1607</v>
      </c>
      <c r="AE1088" t="s">
        <v>1616</v>
      </c>
      <c r="AF1088" t="s">
        <v>1627</v>
      </c>
    </row>
    <row r="1089" spans="1:32" x14ac:dyDescent="0.25">
      <c r="A1089" t="s">
        <v>1146</v>
      </c>
      <c r="B1089">
        <v>34</v>
      </c>
      <c r="C1089">
        <v>1440</v>
      </c>
      <c r="D1089">
        <v>7</v>
      </c>
      <c r="E1089">
        <v>55</v>
      </c>
      <c r="F1089">
        <v>2308</v>
      </c>
      <c r="G1089">
        <v>4944</v>
      </c>
      <c r="H1089">
        <v>0</v>
      </c>
      <c r="I1089">
        <v>25</v>
      </c>
      <c r="J1089">
        <v>12</v>
      </c>
      <c r="K1089">
        <v>4</v>
      </c>
      <c r="L1089">
        <v>11</v>
      </c>
      <c r="M1089">
        <v>10</v>
      </c>
      <c r="N1089">
        <v>5</v>
      </c>
      <c r="O1089">
        <v>7</v>
      </c>
      <c r="P1089" t="s">
        <v>1556</v>
      </c>
      <c r="Q1089" t="s">
        <v>1552</v>
      </c>
      <c r="R1089" t="s">
        <v>1549</v>
      </c>
      <c r="S1089" t="s">
        <v>1533</v>
      </c>
      <c r="T1089" t="s">
        <v>1542</v>
      </c>
      <c r="U1089" t="s">
        <v>1546</v>
      </c>
      <c r="V1089" t="s">
        <v>1559</v>
      </c>
      <c r="W1089" t="s">
        <v>1563</v>
      </c>
      <c r="X1089" t="s">
        <v>1575</v>
      </c>
      <c r="Y1089" t="s">
        <v>1587</v>
      </c>
      <c r="Z1089" t="s">
        <v>1593</v>
      </c>
      <c r="AA1089" t="s">
        <v>1597</v>
      </c>
      <c r="AB1089" t="s">
        <v>1600</v>
      </c>
      <c r="AC1089" t="s">
        <v>1611</v>
      </c>
      <c r="AD1089" t="s">
        <v>1605</v>
      </c>
      <c r="AE1089" t="s">
        <v>1617</v>
      </c>
      <c r="AF1089" t="s">
        <v>1627</v>
      </c>
    </row>
    <row r="1090" spans="1:32" x14ac:dyDescent="0.25">
      <c r="A1090" t="s">
        <v>1147</v>
      </c>
      <c r="B1090">
        <v>42</v>
      </c>
      <c r="C1090">
        <v>1210</v>
      </c>
      <c r="D1090">
        <v>2</v>
      </c>
      <c r="E1090">
        <v>68</v>
      </c>
      <c r="F1090">
        <v>4841</v>
      </c>
      <c r="G1090">
        <v>24052</v>
      </c>
      <c r="H1090">
        <v>4</v>
      </c>
      <c r="I1090">
        <v>14</v>
      </c>
      <c r="J1090">
        <v>4</v>
      </c>
      <c r="K1090">
        <v>3</v>
      </c>
      <c r="L1090">
        <v>1</v>
      </c>
      <c r="M1090">
        <v>0</v>
      </c>
      <c r="N1090">
        <v>0</v>
      </c>
      <c r="O1090">
        <v>0</v>
      </c>
      <c r="P1090" t="s">
        <v>1556</v>
      </c>
      <c r="Q1090" t="s">
        <v>1552</v>
      </c>
      <c r="R1090" t="s">
        <v>1550</v>
      </c>
      <c r="S1090" t="s">
        <v>1534</v>
      </c>
      <c r="T1090" t="s">
        <v>1540</v>
      </c>
      <c r="U1090" t="s">
        <v>1547</v>
      </c>
      <c r="V1090" t="s">
        <v>1559</v>
      </c>
      <c r="W1090" t="s">
        <v>1562</v>
      </c>
      <c r="X1090" t="s">
        <v>1575</v>
      </c>
      <c r="Y1090" t="s">
        <v>1583</v>
      </c>
      <c r="Z1090" t="s">
        <v>1592</v>
      </c>
      <c r="AA1090" t="s">
        <v>1597</v>
      </c>
      <c r="AB1090" t="s">
        <v>1601</v>
      </c>
      <c r="AC1090" t="s">
        <v>1610</v>
      </c>
      <c r="AD1090" t="s">
        <v>1605</v>
      </c>
      <c r="AE1090" t="s">
        <v>1617</v>
      </c>
      <c r="AF1090" t="s">
        <v>1627</v>
      </c>
    </row>
    <row r="1091" spans="1:32" x14ac:dyDescent="0.25">
      <c r="A1091" t="s">
        <v>1148</v>
      </c>
      <c r="B1091">
        <v>37</v>
      </c>
      <c r="C1091">
        <v>674</v>
      </c>
      <c r="D1091">
        <v>13</v>
      </c>
      <c r="E1091">
        <v>47</v>
      </c>
      <c r="F1091">
        <v>4285</v>
      </c>
      <c r="G1091">
        <v>3031</v>
      </c>
      <c r="H1091">
        <v>1</v>
      </c>
      <c r="I1091">
        <v>17</v>
      </c>
      <c r="J1091">
        <v>10</v>
      </c>
      <c r="K1091">
        <v>2</v>
      </c>
      <c r="L1091">
        <v>10</v>
      </c>
      <c r="M1091">
        <v>8</v>
      </c>
      <c r="N1091">
        <v>3</v>
      </c>
      <c r="O1091">
        <v>7</v>
      </c>
      <c r="P1091" t="s">
        <v>1556</v>
      </c>
      <c r="Q1091" t="s">
        <v>1552</v>
      </c>
      <c r="R1091" t="s">
        <v>1550</v>
      </c>
      <c r="S1091" t="s">
        <v>1534</v>
      </c>
      <c r="T1091" t="s">
        <v>1540</v>
      </c>
      <c r="U1091" t="s">
        <v>1545</v>
      </c>
      <c r="V1091" t="s">
        <v>1559</v>
      </c>
      <c r="W1091" t="s">
        <v>1563</v>
      </c>
      <c r="X1091" t="s">
        <v>1576</v>
      </c>
      <c r="Y1091" t="s">
        <v>1582</v>
      </c>
      <c r="Z1091" t="s">
        <v>1594</v>
      </c>
      <c r="AA1091" t="s">
        <v>1597</v>
      </c>
      <c r="AB1091" t="s">
        <v>1601</v>
      </c>
      <c r="AC1091" t="s">
        <v>1610</v>
      </c>
      <c r="AD1091" t="s">
        <v>1604</v>
      </c>
      <c r="AE1091" t="s">
        <v>1616</v>
      </c>
      <c r="AF1091" t="s">
        <v>1627</v>
      </c>
    </row>
    <row r="1092" spans="1:32" x14ac:dyDescent="0.25">
      <c r="A1092" t="s">
        <v>1149</v>
      </c>
      <c r="B1092">
        <v>29</v>
      </c>
      <c r="C1092">
        <v>441</v>
      </c>
      <c r="D1092">
        <v>8</v>
      </c>
      <c r="E1092">
        <v>39</v>
      </c>
      <c r="F1092">
        <v>9715</v>
      </c>
      <c r="G1092">
        <v>7288</v>
      </c>
      <c r="H1092">
        <v>3</v>
      </c>
      <c r="I1092">
        <v>13</v>
      </c>
      <c r="J1092">
        <v>9</v>
      </c>
      <c r="K1092">
        <v>3</v>
      </c>
      <c r="L1092">
        <v>7</v>
      </c>
      <c r="M1092">
        <v>7</v>
      </c>
      <c r="N1092">
        <v>0</v>
      </c>
      <c r="O1092">
        <v>7</v>
      </c>
      <c r="P1092" t="s">
        <v>1556</v>
      </c>
      <c r="Q1092" t="s">
        <v>1552</v>
      </c>
      <c r="R1092" t="s">
        <v>1550</v>
      </c>
      <c r="S1092" t="s">
        <v>1532</v>
      </c>
      <c r="T1092" t="s">
        <v>1539</v>
      </c>
      <c r="U1092" t="s">
        <v>1547</v>
      </c>
      <c r="V1092" t="s">
        <v>1558</v>
      </c>
      <c r="W1092" t="s">
        <v>1561</v>
      </c>
      <c r="X1092" t="s">
        <v>1576</v>
      </c>
      <c r="Y1092" t="s">
        <v>1585</v>
      </c>
      <c r="Z1092" t="s">
        <v>1591</v>
      </c>
      <c r="AA1092" t="s">
        <v>1597</v>
      </c>
      <c r="AB1092" t="s">
        <v>1601</v>
      </c>
      <c r="AC1092" t="s">
        <v>1610</v>
      </c>
      <c r="AD1092" t="s">
        <v>1606</v>
      </c>
      <c r="AE1092" t="s">
        <v>1617</v>
      </c>
      <c r="AF1092" t="s">
        <v>1627</v>
      </c>
    </row>
    <row r="1093" spans="1:32" x14ac:dyDescent="0.25">
      <c r="A1093" t="s">
        <v>1150</v>
      </c>
      <c r="B1093">
        <v>33</v>
      </c>
      <c r="C1093">
        <v>575</v>
      </c>
      <c r="D1093">
        <v>25</v>
      </c>
      <c r="E1093">
        <v>44</v>
      </c>
      <c r="F1093">
        <v>4320</v>
      </c>
      <c r="G1093">
        <v>24152</v>
      </c>
      <c r="H1093">
        <v>1</v>
      </c>
      <c r="I1093">
        <v>13</v>
      </c>
      <c r="J1093">
        <v>5</v>
      </c>
      <c r="K1093">
        <v>2</v>
      </c>
      <c r="L1093">
        <v>5</v>
      </c>
      <c r="M1093">
        <v>3</v>
      </c>
      <c r="N1093">
        <v>0</v>
      </c>
      <c r="O1093">
        <v>2</v>
      </c>
      <c r="P1093" t="s">
        <v>1556</v>
      </c>
      <c r="Q1093" t="s">
        <v>1552</v>
      </c>
      <c r="R1093" t="s">
        <v>1550</v>
      </c>
      <c r="S1093" t="s">
        <v>1534</v>
      </c>
      <c r="T1093" t="s">
        <v>1538</v>
      </c>
      <c r="U1093" t="s">
        <v>1548</v>
      </c>
      <c r="V1093" t="s">
        <v>1559</v>
      </c>
      <c r="W1093" t="s">
        <v>1562</v>
      </c>
      <c r="X1093" t="s">
        <v>1576</v>
      </c>
      <c r="Y1093" t="s">
        <v>1584</v>
      </c>
      <c r="Z1093" t="s">
        <v>1592</v>
      </c>
      <c r="AA1093" t="s">
        <v>1596</v>
      </c>
      <c r="AB1093" t="s">
        <v>1601</v>
      </c>
      <c r="AC1093" t="s">
        <v>1610</v>
      </c>
      <c r="AD1093" t="s">
        <v>1607</v>
      </c>
      <c r="AE1093" t="s">
        <v>1616</v>
      </c>
      <c r="AF1093" t="s">
        <v>1627</v>
      </c>
    </row>
    <row r="1094" spans="1:32" x14ac:dyDescent="0.25">
      <c r="A1094" t="s">
        <v>1151</v>
      </c>
      <c r="B1094">
        <v>45</v>
      </c>
      <c r="C1094">
        <v>950</v>
      </c>
      <c r="D1094">
        <v>28</v>
      </c>
      <c r="E1094">
        <v>97</v>
      </c>
      <c r="F1094">
        <v>2132</v>
      </c>
      <c r="G1094">
        <v>4585</v>
      </c>
      <c r="H1094">
        <v>4</v>
      </c>
      <c r="I1094">
        <v>20</v>
      </c>
      <c r="J1094">
        <v>8</v>
      </c>
      <c r="K1094">
        <v>3</v>
      </c>
      <c r="L1094">
        <v>5</v>
      </c>
      <c r="M1094">
        <v>4</v>
      </c>
      <c r="N1094">
        <v>0</v>
      </c>
      <c r="O1094">
        <v>3</v>
      </c>
      <c r="P1094" t="s">
        <v>1556</v>
      </c>
      <c r="Q1094" t="s">
        <v>1552</v>
      </c>
      <c r="R1094" t="s">
        <v>1550</v>
      </c>
      <c r="S1094" t="s">
        <v>1534</v>
      </c>
      <c r="T1094" t="s">
        <v>1542</v>
      </c>
      <c r="U1094" t="s">
        <v>1548</v>
      </c>
      <c r="V1094" t="s">
        <v>1559</v>
      </c>
      <c r="W1094" t="s">
        <v>1563</v>
      </c>
      <c r="X1094" t="s">
        <v>1575</v>
      </c>
      <c r="Y1094" t="s">
        <v>1582</v>
      </c>
      <c r="Z1094" t="s">
        <v>1594</v>
      </c>
      <c r="AA1094" t="s">
        <v>1597</v>
      </c>
      <c r="AB1094" t="s">
        <v>1601</v>
      </c>
      <c r="AC1094" t="s">
        <v>1611</v>
      </c>
      <c r="AD1094" t="s">
        <v>1607</v>
      </c>
      <c r="AE1094" t="s">
        <v>1617</v>
      </c>
      <c r="AF1094" t="s">
        <v>1627</v>
      </c>
    </row>
    <row r="1095" spans="1:32" x14ac:dyDescent="0.25">
      <c r="A1095" t="s">
        <v>1152</v>
      </c>
      <c r="B1095">
        <v>42</v>
      </c>
      <c r="C1095">
        <v>288</v>
      </c>
      <c r="D1095">
        <v>2</v>
      </c>
      <c r="E1095">
        <v>40</v>
      </c>
      <c r="F1095">
        <v>10124</v>
      </c>
      <c r="G1095">
        <v>18611</v>
      </c>
      <c r="H1095">
        <v>2</v>
      </c>
      <c r="I1095">
        <v>14</v>
      </c>
      <c r="J1095">
        <v>24</v>
      </c>
      <c r="K1095">
        <v>3</v>
      </c>
      <c r="L1095">
        <v>20</v>
      </c>
      <c r="M1095">
        <v>8</v>
      </c>
      <c r="N1095">
        <v>13</v>
      </c>
      <c r="O1095">
        <v>9</v>
      </c>
      <c r="P1095" t="s">
        <v>1556</v>
      </c>
      <c r="Q1095" t="s">
        <v>1553</v>
      </c>
      <c r="R1095" t="s">
        <v>1550</v>
      </c>
      <c r="S1095" t="s">
        <v>1534</v>
      </c>
      <c r="T1095" t="s">
        <v>1538</v>
      </c>
      <c r="U1095" t="s">
        <v>1548</v>
      </c>
      <c r="V1095" t="s">
        <v>1559</v>
      </c>
      <c r="W1095" t="s">
        <v>1563</v>
      </c>
      <c r="X1095" t="s">
        <v>1577</v>
      </c>
      <c r="Y1095" t="s">
        <v>1585</v>
      </c>
      <c r="Z1095" t="s">
        <v>1594</v>
      </c>
      <c r="AA1095" t="s">
        <v>1597</v>
      </c>
      <c r="AB1095" t="s">
        <v>1600</v>
      </c>
      <c r="AC1095" t="s">
        <v>1610</v>
      </c>
      <c r="AD1095" t="s">
        <v>1606</v>
      </c>
      <c r="AE1095" t="s">
        <v>1617</v>
      </c>
      <c r="AF1095" t="s">
        <v>1625</v>
      </c>
    </row>
    <row r="1096" spans="1:32" x14ac:dyDescent="0.25">
      <c r="A1096" t="s">
        <v>1153</v>
      </c>
      <c r="B1096">
        <v>40</v>
      </c>
      <c r="C1096">
        <v>1342</v>
      </c>
      <c r="D1096">
        <v>9</v>
      </c>
      <c r="E1096">
        <v>47</v>
      </c>
      <c r="F1096">
        <v>5473</v>
      </c>
      <c r="G1096">
        <v>19345</v>
      </c>
      <c r="H1096">
        <v>0</v>
      </c>
      <c r="I1096">
        <v>12</v>
      </c>
      <c r="J1096">
        <v>9</v>
      </c>
      <c r="K1096">
        <v>5</v>
      </c>
      <c r="L1096">
        <v>8</v>
      </c>
      <c r="M1096">
        <v>4</v>
      </c>
      <c r="N1096">
        <v>7</v>
      </c>
      <c r="O1096">
        <v>1</v>
      </c>
      <c r="P1096" t="s">
        <v>1556</v>
      </c>
      <c r="Q1096" t="s">
        <v>1552</v>
      </c>
      <c r="R1096" t="s">
        <v>1549</v>
      </c>
      <c r="S1096" t="s">
        <v>1533</v>
      </c>
      <c r="T1096" t="s">
        <v>1540</v>
      </c>
      <c r="U1096" t="s">
        <v>1545</v>
      </c>
      <c r="V1096" t="s">
        <v>1559</v>
      </c>
      <c r="W1096" t="s">
        <v>1563</v>
      </c>
      <c r="X1096" t="s">
        <v>1576</v>
      </c>
      <c r="Y1096" t="s">
        <v>1581</v>
      </c>
      <c r="Z1096" t="s">
        <v>1591</v>
      </c>
      <c r="AA1096" t="s">
        <v>1597</v>
      </c>
      <c r="AB1096" t="s">
        <v>1601</v>
      </c>
      <c r="AC1096" t="s">
        <v>1610</v>
      </c>
      <c r="AD1096" t="s">
        <v>1607</v>
      </c>
      <c r="AE1096" t="s">
        <v>1616</v>
      </c>
      <c r="AF1096" t="s">
        <v>1628</v>
      </c>
    </row>
    <row r="1097" spans="1:32" x14ac:dyDescent="0.25">
      <c r="A1097" t="s">
        <v>1154</v>
      </c>
      <c r="B1097">
        <v>33</v>
      </c>
      <c r="C1097">
        <v>589</v>
      </c>
      <c r="D1097">
        <v>28</v>
      </c>
      <c r="E1097">
        <v>79</v>
      </c>
      <c r="F1097">
        <v>5207</v>
      </c>
      <c r="G1097">
        <v>22949</v>
      </c>
      <c r="H1097">
        <v>1</v>
      </c>
      <c r="I1097">
        <v>12</v>
      </c>
      <c r="J1097">
        <v>15</v>
      </c>
      <c r="K1097">
        <v>3</v>
      </c>
      <c r="L1097">
        <v>15</v>
      </c>
      <c r="M1097">
        <v>14</v>
      </c>
      <c r="N1097">
        <v>5</v>
      </c>
      <c r="O1097">
        <v>7</v>
      </c>
      <c r="P1097" t="s">
        <v>1556</v>
      </c>
      <c r="Q1097" t="s">
        <v>1552</v>
      </c>
      <c r="R1097" t="s">
        <v>1550</v>
      </c>
      <c r="S1097" t="s">
        <v>1535</v>
      </c>
      <c r="T1097" t="s">
        <v>1538</v>
      </c>
      <c r="U1097" t="s">
        <v>1546</v>
      </c>
      <c r="V1097" t="s">
        <v>1559</v>
      </c>
      <c r="W1097" t="s">
        <v>1563</v>
      </c>
      <c r="X1097" t="s">
        <v>1576</v>
      </c>
      <c r="Y1097" t="s">
        <v>1583</v>
      </c>
      <c r="Z1097" t="s">
        <v>1593</v>
      </c>
      <c r="AA1097" t="s">
        <v>1597</v>
      </c>
      <c r="AB1097" t="s">
        <v>1600</v>
      </c>
      <c r="AC1097" t="s">
        <v>1610</v>
      </c>
      <c r="AD1097" t="s">
        <v>1605</v>
      </c>
      <c r="AE1097" t="s">
        <v>1617</v>
      </c>
      <c r="AF1097" t="s">
        <v>1627</v>
      </c>
    </row>
    <row r="1098" spans="1:32" x14ac:dyDescent="0.25">
      <c r="A1098" t="s">
        <v>1155</v>
      </c>
      <c r="B1098">
        <v>40</v>
      </c>
      <c r="C1098">
        <v>898</v>
      </c>
      <c r="D1098">
        <v>6</v>
      </c>
      <c r="E1098">
        <v>38</v>
      </c>
      <c r="F1098">
        <v>16437</v>
      </c>
      <c r="G1098">
        <v>17381</v>
      </c>
      <c r="H1098">
        <v>1</v>
      </c>
      <c r="I1098">
        <v>21</v>
      </c>
      <c r="J1098">
        <v>21</v>
      </c>
      <c r="K1098">
        <v>2</v>
      </c>
      <c r="L1098">
        <v>21</v>
      </c>
      <c r="M1098">
        <v>7</v>
      </c>
      <c r="N1098">
        <v>7</v>
      </c>
      <c r="O1098">
        <v>7</v>
      </c>
      <c r="P1098" t="s">
        <v>1556</v>
      </c>
      <c r="Q1098" t="s">
        <v>1552</v>
      </c>
      <c r="R1098" t="s">
        <v>1551</v>
      </c>
      <c r="S1098" t="s">
        <v>1533</v>
      </c>
      <c r="T1098" t="s">
        <v>1540</v>
      </c>
      <c r="U1098" t="s">
        <v>1547</v>
      </c>
      <c r="V1098" t="s">
        <v>1559</v>
      </c>
      <c r="W1098" t="s">
        <v>1563</v>
      </c>
      <c r="X1098" t="s">
        <v>1578</v>
      </c>
      <c r="Y1098" t="s">
        <v>1586</v>
      </c>
      <c r="Z1098" t="s">
        <v>1594</v>
      </c>
      <c r="AA1098" t="s">
        <v>1596</v>
      </c>
      <c r="AB1098" t="s">
        <v>1600</v>
      </c>
      <c r="AC1098" t="s">
        <v>1611</v>
      </c>
      <c r="AD1098" t="s">
        <v>1607</v>
      </c>
      <c r="AE1098" t="s">
        <v>1616</v>
      </c>
      <c r="AF1098" t="s">
        <v>1627</v>
      </c>
    </row>
    <row r="1099" spans="1:32" x14ac:dyDescent="0.25">
      <c r="A1099" t="s">
        <v>1156</v>
      </c>
      <c r="B1099">
        <v>24</v>
      </c>
      <c r="C1099">
        <v>350</v>
      </c>
      <c r="D1099">
        <v>21</v>
      </c>
      <c r="E1099">
        <v>57</v>
      </c>
      <c r="F1099">
        <v>2296</v>
      </c>
      <c r="G1099">
        <v>10036</v>
      </c>
      <c r="H1099">
        <v>0</v>
      </c>
      <c r="I1099">
        <v>14</v>
      </c>
      <c r="J1099">
        <v>2</v>
      </c>
      <c r="K1099">
        <v>3</v>
      </c>
      <c r="L1099">
        <v>1</v>
      </c>
      <c r="M1099">
        <v>1</v>
      </c>
      <c r="N1099">
        <v>0</v>
      </c>
      <c r="O1099">
        <v>0</v>
      </c>
      <c r="P1099" t="s">
        <v>1556</v>
      </c>
      <c r="Q1099" t="s">
        <v>1552</v>
      </c>
      <c r="R1099" t="s">
        <v>1550</v>
      </c>
      <c r="S1099" t="s">
        <v>1533</v>
      </c>
      <c r="T1099" t="s">
        <v>1542</v>
      </c>
      <c r="U1099" t="s">
        <v>1547</v>
      </c>
      <c r="V1099" t="s">
        <v>1559</v>
      </c>
      <c r="W1099" t="s">
        <v>1562</v>
      </c>
      <c r="X1099" t="s">
        <v>1575</v>
      </c>
      <c r="Y1099" t="s">
        <v>1583</v>
      </c>
      <c r="Z1099" t="s">
        <v>1591</v>
      </c>
      <c r="AA1099" t="s">
        <v>1598</v>
      </c>
      <c r="AB1099" t="s">
        <v>1601</v>
      </c>
      <c r="AC1099" t="s">
        <v>1610</v>
      </c>
      <c r="AD1099" t="s">
        <v>1605</v>
      </c>
      <c r="AE1099" t="s">
        <v>1619</v>
      </c>
      <c r="AF1099" t="s">
        <v>1627</v>
      </c>
    </row>
    <row r="1100" spans="1:32" x14ac:dyDescent="0.25">
      <c r="A1100" t="s">
        <v>1157</v>
      </c>
      <c r="B1100">
        <v>40</v>
      </c>
      <c r="C1100">
        <v>1142</v>
      </c>
      <c r="D1100">
        <v>8</v>
      </c>
      <c r="E1100">
        <v>72</v>
      </c>
      <c r="F1100">
        <v>4069</v>
      </c>
      <c r="G1100">
        <v>8841</v>
      </c>
      <c r="H1100">
        <v>3</v>
      </c>
      <c r="I1100">
        <v>18</v>
      </c>
      <c r="J1100">
        <v>8</v>
      </c>
      <c r="K1100">
        <v>2</v>
      </c>
      <c r="L1100">
        <v>2</v>
      </c>
      <c r="M1100">
        <v>2</v>
      </c>
      <c r="N1100">
        <v>2</v>
      </c>
      <c r="O1100">
        <v>2</v>
      </c>
      <c r="P1100" t="s">
        <v>1556</v>
      </c>
      <c r="Q1100" t="s">
        <v>1554</v>
      </c>
      <c r="R1100" t="s">
        <v>1550</v>
      </c>
      <c r="S1100" t="s">
        <v>1533</v>
      </c>
      <c r="T1100" t="s">
        <v>1538</v>
      </c>
      <c r="U1100" t="s">
        <v>1548</v>
      </c>
      <c r="V1100" t="s">
        <v>1559</v>
      </c>
      <c r="W1100" t="s">
        <v>1563</v>
      </c>
      <c r="X1100" t="s">
        <v>1576</v>
      </c>
      <c r="Y1100" t="s">
        <v>1585</v>
      </c>
      <c r="Z1100" t="s">
        <v>1594</v>
      </c>
      <c r="AA1100" t="s">
        <v>1598</v>
      </c>
      <c r="AB1100" t="s">
        <v>1600</v>
      </c>
      <c r="AC1100" t="s">
        <v>1610</v>
      </c>
      <c r="AD1100" t="s">
        <v>1606</v>
      </c>
      <c r="AE1100" t="s">
        <v>1616</v>
      </c>
      <c r="AF1100" t="s">
        <v>1627</v>
      </c>
    </row>
    <row r="1101" spans="1:32" x14ac:dyDescent="0.25">
      <c r="A1101" t="s">
        <v>1158</v>
      </c>
      <c r="B1101">
        <v>45</v>
      </c>
      <c r="C1101">
        <v>538</v>
      </c>
      <c r="D1101">
        <v>1</v>
      </c>
      <c r="E1101">
        <v>66</v>
      </c>
      <c r="F1101">
        <v>7441</v>
      </c>
      <c r="G1101">
        <v>20933</v>
      </c>
      <c r="H1101">
        <v>1</v>
      </c>
      <c r="I1101">
        <v>12</v>
      </c>
      <c r="J1101">
        <v>10</v>
      </c>
      <c r="K1101">
        <v>4</v>
      </c>
      <c r="L1101">
        <v>10</v>
      </c>
      <c r="M1101">
        <v>8</v>
      </c>
      <c r="N1101">
        <v>7</v>
      </c>
      <c r="O1101">
        <v>7</v>
      </c>
      <c r="P1101" t="s">
        <v>1556</v>
      </c>
      <c r="Q1101" t="s">
        <v>1552</v>
      </c>
      <c r="R1101" t="s">
        <v>1550</v>
      </c>
      <c r="S1101" t="s">
        <v>1535</v>
      </c>
      <c r="T1101" t="s">
        <v>1542</v>
      </c>
      <c r="U1101" t="s">
        <v>1545</v>
      </c>
      <c r="V1101" t="s">
        <v>1559</v>
      </c>
      <c r="W1101" t="s">
        <v>1563</v>
      </c>
      <c r="X1101" t="s">
        <v>1577</v>
      </c>
      <c r="Y1101" t="s">
        <v>1585</v>
      </c>
      <c r="Z1101" t="s">
        <v>1592</v>
      </c>
      <c r="AA1101" t="s">
        <v>1598</v>
      </c>
      <c r="AB1101" t="s">
        <v>1601</v>
      </c>
      <c r="AC1101" t="s">
        <v>1610</v>
      </c>
      <c r="AD1101" t="s">
        <v>1604</v>
      </c>
      <c r="AE1101" t="s">
        <v>1619</v>
      </c>
      <c r="AF1101" t="s">
        <v>1627</v>
      </c>
    </row>
    <row r="1102" spans="1:32" x14ac:dyDescent="0.25">
      <c r="A1102" t="s">
        <v>1159</v>
      </c>
      <c r="B1102">
        <v>35</v>
      </c>
      <c r="C1102">
        <v>1402</v>
      </c>
      <c r="D1102">
        <v>28</v>
      </c>
      <c r="E1102">
        <v>98</v>
      </c>
      <c r="F1102">
        <v>2430</v>
      </c>
      <c r="G1102">
        <v>26204</v>
      </c>
      <c r="H1102">
        <v>0</v>
      </c>
      <c r="I1102">
        <v>23</v>
      </c>
      <c r="J1102">
        <v>6</v>
      </c>
      <c r="K1102">
        <v>5</v>
      </c>
      <c r="L1102">
        <v>5</v>
      </c>
      <c r="M1102">
        <v>3</v>
      </c>
      <c r="N1102">
        <v>4</v>
      </c>
      <c r="O1102">
        <v>2</v>
      </c>
      <c r="P1102" t="s">
        <v>1556</v>
      </c>
      <c r="Q1102" t="s">
        <v>1552</v>
      </c>
      <c r="R1102" t="s">
        <v>1549</v>
      </c>
      <c r="S1102" t="s">
        <v>1535</v>
      </c>
      <c r="T1102" t="s">
        <v>1538</v>
      </c>
      <c r="U1102" t="s">
        <v>1546</v>
      </c>
      <c r="V1102" t="s">
        <v>1558</v>
      </c>
      <c r="W1102" t="s">
        <v>1562</v>
      </c>
      <c r="X1102" t="s">
        <v>1575</v>
      </c>
      <c r="Y1102" t="s">
        <v>1587</v>
      </c>
      <c r="Z1102" t="s">
        <v>1593</v>
      </c>
      <c r="AA1102" t="s">
        <v>1597</v>
      </c>
      <c r="AB1102" t="s">
        <v>1601</v>
      </c>
      <c r="AC1102" t="s">
        <v>1611</v>
      </c>
      <c r="AD1102" t="s">
        <v>1604</v>
      </c>
      <c r="AE1102" t="s">
        <v>1618</v>
      </c>
      <c r="AF1102" t="s">
        <v>1627</v>
      </c>
    </row>
    <row r="1103" spans="1:32" x14ac:dyDescent="0.25">
      <c r="A1103" t="s">
        <v>1160</v>
      </c>
      <c r="B1103">
        <v>32</v>
      </c>
      <c r="C1103">
        <v>824</v>
      </c>
      <c r="D1103">
        <v>5</v>
      </c>
      <c r="E1103">
        <v>67</v>
      </c>
      <c r="F1103">
        <v>5878</v>
      </c>
      <c r="G1103">
        <v>15624</v>
      </c>
      <c r="H1103">
        <v>3</v>
      </c>
      <c r="I1103">
        <v>12</v>
      </c>
      <c r="J1103">
        <v>12</v>
      </c>
      <c r="K1103">
        <v>2</v>
      </c>
      <c r="L1103">
        <v>7</v>
      </c>
      <c r="M1103">
        <v>1</v>
      </c>
      <c r="N1103">
        <v>2</v>
      </c>
      <c r="O1103">
        <v>5</v>
      </c>
      <c r="P1103" t="s">
        <v>1556</v>
      </c>
      <c r="Q1103" t="s">
        <v>1552</v>
      </c>
      <c r="R1103" t="s">
        <v>1550</v>
      </c>
      <c r="S1103" t="s">
        <v>1533</v>
      </c>
      <c r="T1103" t="s">
        <v>1538</v>
      </c>
      <c r="U1103" t="s">
        <v>1548</v>
      </c>
      <c r="V1103" t="s">
        <v>1558</v>
      </c>
      <c r="W1103" t="s">
        <v>1562</v>
      </c>
      <c r="X1103" t="s">
        <v>1576</v>
      </c>
      <c r="Y1103" t="s">
        <v>1582</v>
      </c>
      <c r="Z1103" t="s">
        <v>1592</v>
      </c>
      <c r="AA1103" t="s">
        <v>1597</v>
      </c>
      <c r="AB1103" t="s">
        <v>1601</v>
      </c>
      <c r="AC1103" t="s">
        <v>1610</v>
      </c>
      <c r="AD1103" t="s">
        <v>1604</v>
      </c>
      <c r="AE1103" t="s">
        <v>1617</v>
      </c>
      <c r="AF1103" t="s">
        <v>1627</v>
      </c>
    </row>
    <row r="1104" spans="1:32" x14ac:dyDescent="0.25">
      <c r="A1104" t="s">
        <v>1161</v>
      </c>
      <c r="B1104">
        <v>36</v>
      </c>
      <c r="C1104">
        <v>1157</v>
      </c>
      <c r="D1104">
        <v>2</v>
      </c>
      <c r="E1104">
        <v>70</v>
      </c>
      <c r="F1104">
        <v>2644</v>
      </c>
      <c r="G1104">
        <v>17001</v>
      </c>
      <c r="H1104">
        <v>3</v>
      </c>
      <c r="I1104">
        <v>21</v>
      </c>
      <c r="J1104">
        <v>7</v>
      </c>
      <c r="K1104">
        <v>3</v>
      </c>
      <c r="L1104">
        <v>3</v>
      </c>
      <c r="M1104">
        <v>2</v>
      </c>
      <c r="N1104">
        <v>1</v>
      </c>
      <c r="O1104">
        <v>2</v>
      </c>
      <c r="P1104" t="s">
        <v>1556</v>
      </c>
      <c r="Q1104" t="s">
        <v>1552</v>
      </c>
      <c r="R1104" t="s">
        <v>1549</v>
      </c>
      <c r="S1104" t="s">
        <v>1535</v>
      </c>
      <c r="T1104" t="s">
        <v>1538</v>
      </c>
      <c r="U1104" t="s">
        <v>1547</v>
      </c>
      <c r="V1104" t="s">
        <v>1559</v>
      </c>
      <c r="W1104" t="s">
        <v>1563</v>
      </c>
      <c r="X1104" t="s">
        <v>1575</v>
      </c>
      <c r="Y1104" t="s">
        <v>1587</v>
      </c>
      <c r="Z1104" t="s">
        <v>1594</v>
      </c>
      <c r="AA1104" t="s">
        <v>1596</v>
      </c>
      <c r="AB1104" t="s">
        <v>1600</v>
      </c>
      <c r="AC1104" t="s">
        <v>1611</v>
      </c>
      <c r="AD1104" t="s">
        <v>1607</v>
      </c>
      <c r="AE1104" t="s">
        <v>1616</v>
      </c>
      <c r="AF1104" t="s">
        <v>1626</v>
      </c>
    </row>
    <row r="1105" spans="1:32" x14ac:dyDescent="0.25">
      <c r="A1105" t="s">
        <v>1162</v>
      </c>
      <c r="B1105">
        <v>48</v>
      </c>
      <c r="C1105">
        <v>492</v>
      </c>
      <c r="D1105">
        <v>16</v>
      </c>
      <c r="E1105">
        <v>96</v>
      </c>
      <c r="F1105">
        <v>6439</v>
      </c>
      <c r="G1105">
        <v>13693</v>
      </c>
      <c r="H1105">
        <v>8</v>
      </c>
      <c r="I1105">
        <v>14</v>
      </c>
      <c r="J1105">
        <v>18</v>
      </c>
      <c r="K1105">
        <v>2</v>
      </c>
      <c r="L1105">
        <v>8</v>
      </c>
      <c r="M1105">
        <v>7</v>
      </c>
      <c r="N1105">
        <v>7</v>
      </c>
      <c r="O1105">
        <v>7</v>
      </c>
      <c r="P1105" t="s">
        <v>1556</v>
      </c>
      <c r="Q1105" t="s">
        <v>1552</v>
      </c>
      <c r="R1105" t="s">
        <v>1549</v>
      </c>
      <c r="S1105" t="s">
        <v>1535</v>
      </c>
      <c r="T1105" t="s">
        <v>1538</v>
      </c>
      <c r="U1105" t="s">
        <v>1547</v>
      </c>
      <c r="V1105" t="s">
        <v>1558</v>
      </c>
      <c r="W1105" t="s">
        <v>1563</v>
      </c>
      <c r="X1105" t="s">
        <v>1576</v>
      </c>
      <c r="Y1105" t="s">
        <v>1581</v>
      </c>
      <c r="Z1105" t="s">
        <v>1593</v>
      </c>
      <c r="AA1105" t="s">
        <v>1598</v>
      </c>
      <c r="AB1105" t="s">
        <v>1601</v>
      </c>
      <c r="AC1105" t="s">
        <v>1610</v>
      </c>
      <c r="AD1105" t="s">
        <v>1606</v>
      </c>
      <c r="AE1105" t="s">
        <v>1617</v>
      </c>
      <c r="AF1105" t="s">
        <v>1627</v>
      </c>
    </row>
    <row r="1106" spans="1:32" x14ac:dyDescent="0.25">
      <c r="A1106" t="s">
        <v>1163</v>
      </c>
      <c r="B1106">
        <v>29</v>
      </c>
      <c r="C1106">
        <v>598</v>
      </c>
      <c r="D1106">
        <v>9</v>
      </c>
      <c r="E1106">
        <v>91</v>
      </c>
      <c r="F1106">
        <v>2451</v>
      </c>
      <c r="G1106">
        <v>22376</v>
      </c>
      <c r="H1106">
        <v>6</v>
      </c>
      <c r="I1106">
        <v>18</v>
      </c>
      <c r="J1106">
        <v>5</v>
      </c>
      <c r="K1106">
        <v>2</v>
      </c>
      <c r="L1106">
        <v>1</v>
      </c>
      <c r="M1106">
        <v>0</v>
      </c>
      <c r="N1106">
        <v>0</v>
      </c>
      <c r="O1106">
        <v>0</v>
      </c>
      <c r="P1106" t="s">
        <v>1556</v>
      </c>
      <c r="Q1106" t="s">
        <v>1552</v>
      </c>
      <c r="R1106" t="s">
        <v>1550</v>
      </c>
      <c r="S1106" t="s">
        <v>1534</v>
      </c>
      <c r="T1106" t="s">
        <v>1538</v>
      </c>
      <c r="U1106" t="s">
        <v>1547</v>
      </c>
      <c r="V1106" t="s">
        <v>1559</v>
      </c>
      <c r="W1106" t="s">
        <v>1564</v>
      </c>
      <c r="X1106" t="s">
        <v>1575</v>
      </c>
      <c r="Y1106" t="s">
        <v>1582</v>
      </c>
      <c r="Z1106" t="s">
        <v>1593</v>
      </c>
      <c r="AA1106" t="s">
        <v>1597</v>
      </c>
      <c r="AB1106" t="s">
        <v>1601</v>
      </c>
      <c r="AC1106" t="s">
        <v>1610</v>
      </c>
      <c r="AD1106" t="s">
        <v>1604</v>
      </c>
      <c r="AE1106" t="s">
        <v>1618</v>
      </c>
      <c r="AF1106" t="s">
        <v>1626</v>
      </c>
    </row>
    <row r="1107" spans="1:32" x14ac:dyDescent="0.25">
      <c r="A1107" t="s">
        <v>1164</v>
      </c>
      <c r="B1107">
        <v>33</v>
      </c>
      <c r="C1107">
        <v>1242</v>
      </c>
      <c r="D1107">
        <v>8</v>
      </c>
      <c r="E1107">
        <v>46</v>
      </c>
      <c r="F1107">
        <v>6392</v>
      </c>
      <c r="G1107">
        <v>10589</v>
      </c>
      <c r="H1107">
        <v>2</v>
      </c>
      <c r="I1107">
        <v>13</v>
      </c>
      <c r="J1107">
        <v>8</v>
      </c>
      <c r="K1107">
        <v>6</v>
      </c>
      <c r="L1107">
        <v>2</v>
      </c>
      <c r="M1107">
        <v>2</v>
      </c>
      <c r="N1107">
        <v>2</v>
      </c>
      <c r="O1107">
        <v>2</v>
      </c>
      <c r="P1107" t="s">
        <v>1556</v>
      </c>
      <c r="Q1107" t="s">
        <v>1552</v>
      </c>
      <c r="R1107" t="s">
        <v>1549</v>
      </c>
      <c r="S1107" t="s">
        <v>1535</v>
      </c>
      <c r="T1107" t="s">
        <v>1538</v>
      </c>
      <c r="U1107" t="s">
        <v>1545</v>
      </c>
      <c r="V1107" t="s">
        <v>1559</v>
      </c>
      <c r="W1107" t="s">
        <v>1563</v>
      </c>
      <c r="X1107" t="s">
        <v>1576</v>
      </c>
      <c r="Y1107" t="s">
        <v>1581</v>
      </c>
      <c r="Z1107" t="s">
        <v>1591</v>
      </c>
      <c r="AA1107" t="s">
        <v>1597</v>
      </c>
      <c r="AB1107" t="s">
        <v>1601</v>
      </c>
      <c r="AC1107" t="s">
        <v>1610</v>
      </c>
      <c r="AD1107" t="s">
        <v>1607</v>
      </c>
      <c r="AE1107" t="s">
        <v>1617</v>
      </c>
      <c r="AF1107" t="s">
        <v>1625</v>
      </c>
    </row>
    <row r="1108" spans="1:32" x14ac:dyDescent="0.25">
      <c r="A1108" t="s">
        <v>1165</v>
      </c>
      <c r="B1108">
        <v>30</v>
      </c>
      <c r="C1108">
        <v>740</v>
      </c>
      <c r="D1108">
        <v>1</v>
      </c>
      <c r="E1108">
        <v>64</v>
      </c>
      <c r="F1108">
        <v>9714</v>
      </c>
      <c r="G1108">
        <v>5323</v>
      </c>
      <c r="H1108">
        <v>1</v>
      </c>
      <c r="I1108">
        <v>11</v>
      </c>
      <c r="J1108">
        <v>10</v>
      </c>
      <c r="K1108">
        <v>4</v>
      </c>
      <c r="L1108">
        <v>10</v>
      </c>
      <c r="M1108">
        <v>8</v>
      </c>
      <c r="N1108">
        <v>6</v>
      </c>
      <c r="O1108">
        <v>7</v>
      </c>
      <c r="P1108" t="s">
        <v>1555</v>
      </c>
      <c r="Q1108" t="s">
        <v>1552</v>
      </c>
      <c r="R1108" t="s">
        <v>1549</v>
      </c>
      <c r="S1108" t="s">
        <v>1534</v>
      </c>
      <c r="T1108" t="s">
        <v>1538</v>
      </c>
      <c r="U1108" t="s">
        <v>1546</v>
      </c>
      <c r="V1108" t="s">
        <v>1559</v>
      </c>
      <c r="W1108" t="s">
        <v>1562</v>
      </c>
      <c r="X1108" t="s">
        <v>1576</v>
      </c>
      <c r="Y1108" t="s">
        <v>1581</v>
      </c>
      <c r="Z1108" t="s">
        <v>1591</v>
      </c>
      <c r="AA1108" t="s">
        <v>1597</v>
      </c>
      <c r="AB1108" t="s">
        <v>1601</v>
      </c>
      <c r="AC1108" t="s">
        <v>1610</v>
      </c>
      <c r="AD1108" t="s">
        <v>1607</v>
      </c>
      <c r="AE1108" t="s">
        <v>1617</v>
      </c>
      <c r="AF1108" t="s">
        <v>1627</v>
      </c>
    </row>
    <row r="1109" spans="1:32" x14ac:dyDescent="0.25">
      <c r="A1109" t="s">
        <v>1166</v>
      </c>
      <c r="B1109">
        <v>38</v>
      </c>
      <c r="C1109">
        <v>888</v>
      </c>
      <c r="D1109">
        <v>10</v>
      </c>
      <c r="E1109">
        <v>71</v>
      </c>
      <c r="F1109">
        <v>6077</v>
      </c>
      <c r="G1109">
        <v>14814</v>
      </c>
      <c r="H1109">
        <v>3</v>
      </c>
      <c r="I1109">
        <v>11</v>
      </c>
      <c r="J1109">
        <v>10</v>
      </c>
      <c r="K1109">
        <v>2</v>
      </c>
      <c r="L1109">
        <v>6</v>
      </c>
      <c r="M1109">
        <v>3</v>
      </c>
      <c r="N1109">
        <v>1</v>
      </c>
      <c r="O1109">
        <v>2</v>
      </c>
      <c r="P1109" t="s">
        <v>1556</v>
      </c>
      <c r="Q1109" t="s">
        <v>1553</v>
      </c>
      <c r="R1109" t="s">
        <v>1551</v>
      </c>
      <c r="S1109" t="s">
        <v>1535</v>
      </c>
      <c r="T1109" t="s">
        <v>1543</v>
      </c>
      <c r="U1109" t="s">
        <v>1547</v>
      </c>
      <c r="V1109" t="s">
        <v>1559</v>
      </c>
      <c r="W1109" t="s">
        <v>1563</v>
      </c>
      <c r="X1109" t="s">
        <v>1576</v>
      </c>
      <c r="Y1109" t="s">
        <v>1589</v>
      </c>
      <c r="Z1109" t="s">
        <v>1593</v>
      </c>
      <c r="AA1109" t="s">
        <v>1597</v>
      </c>
      <c r="AB1109" t="s">
        <v>1601</v>
      </c>
      <c r="AC1109" t="s">
        <v>1610</v>
      </c>
      <c r="AD1109" t="s">
        <v>1606</v>
      </c>
      <c r="AE1109" t="s">
        <v>1616</v>
      </c>
      <c r="AF1109" t="s">
        <v>1627</v>
      </c>
    </row>
    <row r="1110" spans="1:32" x14ac:dyDescent="0.25">
      <c r="A1110" t="s">
        <v>1167</v>
      </c>
      <c r="B1110">
        <v>35</v>
      </c>
      <c r="C1110">
        <v>992</v>
      </c>
      <c r="D1110">
        <v>1</v>
      </c>
      <c r="E1110">
        <v>68</v>
      </c>
      <c r="F1110">
        <v>2450</v>
      </c>
      <c r="G1110">
        <v>21731</v>
      </c>
      <c r="H1110">
        <v>1</v>
      </c>
      <c r="I1110">
        <v>19</v>
      </c>
      <c r="J1110">
        <v>3</v>
      </c>
      <c r="K1110">
        <v>3</v>
      </c>
      <c r="L1110">
        <v>3</v>
      </c>
      <c r="M1110">
        <v>0</v>
      </c>
      <c r="N1110">
        <v>1</v>
      </c>
      <c r="O1110">
        <v>2</v>
      </c>
      <c r="P1110" t="s">
        <v>1556</v>
      </c>
      <c r="Q1110" t="s">
        <v>1552</v>
      </c>
      <c r="R1110" t="s">
        <v>1550</v>
      </c>
      <c r="S1110" t="s">
        <v>1534</v>
      </c>
      <c r="T1110" t="s">
        <v>1540</v>
      </c>
      <c r="U1110" t="s">
        <v>1548</v>
      </c>
      <c r="V1110" t="s">
        <v>1559</v>
      </c>
      <c r="W1110" t="s">
        <v>1562</v>
      </c>
      <c r="X1110" t="s">
        <v>1575</v>
      </c>
      <c r="Y1110" t="s">
        <v>1583</v>
      </c>
      <c r="Z1110" t="s">
        <v>1591</v>
      </c>
      <c r="AA1110" t="s">
        <v>1596</v>
      </c>
      <c r="AB1110" t="s">
        <v>1601</v>
      </c>
      <c r="AC1110" t="s">
        <v>1610</v>
      </c>
      <c r="AD1110" t="s">
        <v>1605</v>
      </c>
      <c r="AE1110" t="s">
        <v>1616</v>
      </c>
      <c r="AF1110" t="s">
        <v>1627</v>
      </c>
    </row>
    <row r="1111" spans="1:32" x14ac:dyDescent="0.25">
      <c r="A1111" t="s">
        <v>1168</v>
      </c>
      <c r="B1111">
        <v>30</v>
      </c>
      <c r="C1111">
        <v>1288</v>
      </c>
      <c r="D1111">
        <v>29</v>
      </c>
      <c r="E1111">
        <v>33</v>
      </c>
      <c r="F1111">
        <v>9250</v>
      </c>
      <c r="G1111">
        <v>17799</v>
      </c>
      <c r="H1111">
        <v>3</v>
      </c>
      <c r="I1111">
        <v>12</v>
      </c>
      <c r="J1111">
        <v>9</v>
      </c>
      <c r="K1111">
        <v>3</v>
      </c>
      <c r="L1111">
        <v>4</v>
      </c>
      <c r="M1111">
        <v>2</v>
      </c>
      <c r="N1111">
        <v>1</v>
      </c>
      <c r="O1111">
        <v>3</v>
      </c>
      <c r="P1111" t="s">
        <v>1556</v>
      </c>
      <c r="Q1111" t="s">
        <v>1552</v>
      </c>
      <c r="R1111" t="s">
        <v>1549</v>
      </c>
      <c r="S1111" t="s">
        <v>1535</v>
      </c>
      <c r="T1111" t="s">
        <v>1542</v>
      </c>
      <c r="U1111" t="s">
        <v>1547</v>
      </c>
      <c r="V1111" t="s">
        <v>1559</v>
      </c>
      <c r="W1111" t="s">
        <v>1563</v>
      </c>
      <c r="X1111" t="s">
        <v>1577</v>
      </c>
      <c r="Y1111" t="s">
        <v>1581</v>
      </c>
      <c r="Z1111" t="s">
        <v>1592</v>
      </c>
      <c r="AA1111" t="s">
        <v>1597</v>
      </c>
      <c r="AB1111" t="s">
        <v>1601</v>
      </c>
      <c r="AC1111" t="s">
        <v>1610</v>
      </c>
      <c r="AD1111" t="s">
        <v>1605</v>
      </c>
      <c r="AE1111" t="s">
        <v>1617</v>
      </c>
      <c r="AF1111" t="s">
        <v>1627</v>
      </c>
    </row>
    <row r="1112" spans="1:32" x14ac:dyDescent="0.25">
      <c r="A1112" t="s">
        <v>1169</v>
      </c>
      <c r="B1112">
        <v>35</v>
      </c>
      <c r="C1112">
        <v>104</v>
      </c>
      <c r="D1112">
        <v>2</v>
      </c>
      <c r="E1112">
        <v>69</v>
      </c>
      <c r="F1112">
        <v>2074</v>
      </c>
      <c r="G1112">
        <v>26619</v>
      </c>
      <c r="H1112">
        <v>1</v>
      </c>
      <c r="I1112">
        <v>12</v>
      </c>
      <c r="J1112">
        <v>1</v>
      </c>
      <c r="K1112">
        <v>2</v>
      </c>
      <c r="L1112">
        <v>1</v>
      </c>
      <c r="M1112">
        <v>0</v>
      </c>
      <c r="N1112">
        <v>0</v>
      </c>
      <c r="O1112">
        <v>0</v>
      </c>
      <c r="P1112" t="s">
        <v>1555</v>
      </c>
      <c r="Q1112" t="s">
        <v>1552</v>
      </c>
      <c r="R1112" t="s">
        <v>1550</v>
      </c>
      <c r="S1112" t="s">
        <v>1534</v>
      </c>
      <c r="T1112" t="s">
        <v>1538</v>
      </c>
      <c r="U1112" t="s">
        <v>1545</v>
      </c>
      <c r="V1112" t="s">
        <v>1558</v>
      </c>
      <c r="W1112" t="s">
        <v>1563</v>
      </c>
      <c r="X1112" t="s">
        <v>1575</v>
      </c>
      <c r="Y1112" t="s">
        <v>1583</v>
      </c>
      <c r="Z1112" t="s">
        <v>1591</v>
      </c>
      <c r="AA1112" t="s">
        <v>1598</v>
      </c>
      <c r="AB1112" t="s">
        <v>1600</v>
      </c>
      <c r="AC1112" t="s">
        <v>1610</v>
      </c>
      <c r="AD1112" t="s">
        <v>1607</v>
      </c>
      <c r="AE1112" t="s">
        <v>1617</v>
      </c>
      <c r="AF1112" t="s">
        <v>1627</v>
      </c>
    </row>
    <row r="1113" spans="1:32" x14ac:dyDescent="0.25">
      <c r="A1113" t="s">
        <v>1170</v>
      </c>
      <c r="B1113">
        <v>53</v>
      </c>
      <c r="C1113">
        <v>607</v>
      </c>
      <c r="D1113">
        <v>2</v>
      </c>
      <c r="E1113">
        <v>78</v>
      </c>
      <c r="F1113">
        <v>10169</v>
      </c>
      <c r="G1113">
        <v>14618</v>
      </c>
      <c r="H1113">
        <v>0</v>
      </c>
      <c r="I1113">
        <v>16</v>
      </c>
      <c r="J1113">
        <v>34</v>
      </c>
      <c r="K1113">
        <v>4</v>
      </c>
      <c r="L1113">
        <v>33</v>
      </c>
      <c r="M1113">
        <v>7</v>
      </c>
      <c r="N1113">
        <v>1</v>
      </c>
      <c r="O1113">
        <v>9</v>
      </c>
      <c r="P1113" t="s">
        <v>1555</v>
      </c>
      <c r="Q1113" t="s">
        <v>1552</v>
      </c>
      <c r="R1113" t="s">
        <v>1550</v>
      </c>
      <c r="S1113" t="s">
        <v>1536</v>
      </c>
      <c r="T1113" t="s">
        <v>1542</v>
      </c>
      <c r="U1113" t="s">
        <v>1547</v>
      </c>
      <c r="V1113" t="s">
        <v>1558</v>
      </c>
      <c r="W1113" t="s">
        <v>1562</v>
      </c>
      <c r="X1113" t="s">
        <v>1577</v>
      </c>
      <c r="Y1113" t="s">
        <v>1584</v>
      </c>
      <c r="Z1113" t="s">
        <v>1594</v>
      </c>
      <c r="AA1113" t="s">
        <v>1597</v>
      </c>
      <c r="AB1113" t="s">
        <v>1601</v>
      </c>
      <c r="AC1113" t="s">
        <v>1610</v>
      </c>
      <c r="AD1113" t="s">
        <v>1605</v>
      </c>
      <c r="AE1113" t="s">
        <v>1617</v>
      </c>
      <c r="AF1113" t="s">
        <v>1627</v>
      </c>
    </row>
    <row r="1114" spans="1:32" x14ac:dyDescent="0.25">
      <c r="A1114" t="s">
        <v>1171</v>
      </c>
      <c r="B1114">
        <v>38</v>
      </c>
      <c r="C1114">
        <v>903</v>
      </c>
      <c r="D1114">
        <v>2</v>
      </c>
      <c r="E1114">
        <v>81</v>
      </c>
      <c r="F1114">
        <v>4855</v>
      </c>
      <c r="G1114">
        <v>7653</v>
      </c>
      <c r="H1114">
        <v>4</v>
      </c>
      <c r="I1114">
        <v>11</v>
      </c>
      <c r="J1114">
        <v>7</v>
      </c>
      <c r="K1114">
        <v>2</v>
      </c>
      <c r="L1114">
        <v>5</v>
      </c>
      <c r="M1114">
        <v>2</v>
      </c>
      <c r="N1114">
        <v>1</v>
      </c>
      <c r="O1114">
        <v>4</v>
      </c>
      <c r="P1114" t="s">
        <v>1555</v>
      </c>
      <c r="Q1114" t="s">
        <v>1552</v>
      </c>
      <c r="R1114" t="s">
        <v>1550</v>
      </c>
      <c r="S1114" t="s">
        <v>1534</v>
      </c>
      <c r="T1114" t="s">
        <v>1540</v>
      </c>
      <c r="U1114" t="s">
        <v>1547</v>
      </c>
      <c r="V1114" t="s">
        <v>1559</v>
      </c>
      <c r="W1114" t="s">
        <v>1563</v>
      </c>
      <c r="X1114" t="s">
        <v>1576</v>
      </c>
      <c r="Y1114" t="s">
        <v>1584</v>
      </c>
      <c r="Z1114" t="s">
        <v>1592</v>
      </c>
      <c r="AA1114" t="s">
        <v>1597</v>
      </c>
      <c r="AB1114" t="s">
        <v>1601</v>
      </c>
      <c r="AC1114" t="s">
        <v>1610</v>
      </c>
      <c r="AD1114" t="s">
        <v>1604</v>
      </c>
      <c r="AE1114" t="s">
        <v>1618</v>
      </c>
      <c r="AF1114" t="s">
        <v>1627</v>
      </c>
    </row>
    <row r="1115" spans="1:32" x14ac:dyDescent="0.25">
      <c r="A1115" t="s">
        <v>1172</v>
      </c>
      <c r="B1115">
        <v>32</v>
      </c>
      <c r="C1115">
        <v>1200</v>
      </c>
      <c r="D1115">
        <v>1</v>
      </c>
      <c r="E1115">
        <v>62</v>
      </c>
      <c r="F1115">
        <v>4087</v>
      </c>
      <c r="G1115">
        <v>25174</v>
      </c>
      <c r="H1115">
        <v>4</v>
      </c>
      <c r="I1115">
        <v>14</v>
      </c>
      <c r="J1115">
        <v>9</v>
      </c>
      <c r="K1115">
        <v>3</v>
      </c>
      <c r="L1115">
        <v>6</v>
      </c>
      <c r="M1115">
        <v>5</v>
      </c>
      <c r="N1115">
        <v>1</v>
      </c>
      <c r="O1115">
        <v>2</v>
      </c>
      <c r="P1115" t="s">
        <v>1556</v>
      </c>
      <c r="Q1115" t="s">
        <v>1554</v>
      </c>
      <c r="R1115" t="s">
        <v>1550</v>
      </c>
      <c r="S1115" t="s">
        <v>1535</v>
      </c>
      <c r="T1115" t="s">
        <v>1542</v>
      </c>
      <c r="U1115" t="s">
        <v>1548</v>
      </c>
      <c r="V1115" t="s">
        <v>1559</v>
      </c>
      <c r="W1115" t="s">
        <v>1563</v>
      </c>
      <c r="X1115" t="s">
        <v>1576</v>
      </c>
      <c r="Y1115" t="s">
        <v>1582</v>
      </c>
      <c r="Z1115" t="s">
        <v>1591</v>
      </c>
      <c r="AA1115" t="s">
        <v>1597</v>
      </c>
      <c r="AB1115" t="s">
        <v>1601</v>
      </c>
      <c r="AC1115" t="s">
        <v>1610</v>
      </c>
      <c r="AD1115" t="s">
        <v>1605</v>
      </c>
      <c r="AE1115" t="s">
        <v>1617</v>
      </c>
      <c r="AF1115" t="s">
        <v>1626</v>
      </c>
    </row>
    <row r="1116" spans="1:32" x14ac:dyDescent="0.25">
      <c r="A1116" t="s">
        <v>1173</v>
      </c>
      <c r="B1116">
        <v>48</v>
      </c>
      <c r="C1116">
        <v>1108</v>
      </c>
      <c r="D1116">
        <v>15</v>
      </c>
      <c r="E1116">
        <v>65</v>
      </c>
      <c r="F1116">
        <v>2367</v>
      </c>
      <c r="G1116">
        <v>16530</v>
      </c>
      <c r="H1116">
        <v>8</v>
      </c>
      <c r="I1116">
        <v>12</v>
      </c>
      <c r="J1116">
        <v>10</v>
      </c>
      <c r="K1116">
        <v>3</v>
      </c>
      <c r="L1116">
        <v>8</v>
      </c>
      <c r="M1116">
        <v>2</v>
      </c>
      <c r="N1116">
        <v>7</v>
      </c>
      <c r="O1116">
        <v>6</v>
      </c>
      <c r="P1116" t="s">
        <v>1556</v>
      </c>
      <c r="Q1116" t="s">
        <v>1552</v>
      </c>
      <c r="R1116" t="s">
        <v>1550</v>
      </c>
      <c r="S1116" t="s">
        <v>1535</v>
      </c>
      <c r="T1116" t="s">
        <v>1539</v>
      </c>
      <c r="U1116" t="s">
        <v>1547</v>
      </c>
      <c r="V1116" t="s">
        <v>1558</v>
      </c>
      <c r="W1116" t="s">
        <v>1563</v>
      </c>
      <c r="X1116" t="s">
        <v>1575</v>
      </c>
      <c r="Y1116" t="s">
        <v>1582</v>
      </c>
      <c r="Z1116" t="s">
        <v>1591</v>
      </c>
      <c r="AA1116" t="s">
        <v>1597</v>
      </c>
      <c r="AB1116" t="s">
        <v>1601</v>
      </c>
      <c r="AC1116" t="s">
        <v>1610</v>
      </c>
      <c r="AD1116" t="s">
        <v>1607</v>
      </c>
      <c r="AE1116" t="s">
        <v>1617</v>
      </c>
      <c r="AF1116" t="s">
        <v>1626</v>
      </c>
    </row>
    <row r="1117" spans="1:32" x14ac:dyDescent="0.25">
      <c r="A1117" t="s">
        <v>1174</v>
      </c>
      <c r="B1117">
        <v>34</v>
      </c>
      <c r="C1117">
        <v>479</v>
      </c>
      <c r="D1117">
        <v>7</v>
      </c>
      <c r="E1117">
        <v>35</v>
      </c>
      <c r="F1117">
        <v>2972</v>
      </c>
      <c r="G1117">
        <v>22061</v>
      </c>
      <c r="H1117">
        <v>1</v>
      </c>
      <c r="I1117">
        <v>13</v>
      </c>
      <c r="J1117">
        <v>1</v>
      </c>
      <c r="K1117">
        <v>4</v>
      </c>
      <c r="L1117">
        <v>1</v>
      </c>
      <c r="M1117">
        <v>0</v>
      </c>
      <c r="N1117">
        <v>0</v>
      </c>
      <c r="O1117">
        <v>0</v>
      </c>
      <c r="P1117" t="s">
        <v>1556</v>
      </c>
      <c r="Q1117" t="s">
        <v>1552</v>
      </c>
      <c r="R1117" t="s">
        <v>1550</v>
      </c>
      <c r="S1117" t="s">
        <v>1535</v>
      </c>
      <c r="T1117" t="s">
        <v>1540</v>
      </c>
      <c r="U1117" t="s">
        <v>1545</v>
      </c>
      <c r="V1117" t="s">
        <v>1559</v>
      </c>
      <c r="W1117" t="s">
        <v>1563</v>
      </c>
      <c r="X1117" t="s">
        <v>1575</v>
      </c>
      <c r="Y1117" t="s">
        <v>1582</v>
      </c>
      <c r="Z1117" t="s">
        <v>1594</v>
      </c>
      <c r="AA1117" t="s">
        <v>1596</v>
      </c>
      <c r="AB1117" t="s">
        <v>1601</v>
      </c>
      <c r="AC1117" t="s">
        <v>1610</v>
      </c>
      <c r="AD1117" t="s">
        <v>1606</v>
      </c>
      <c r="AE1117" t="s">
        <v>1616</v>
      </c>
      <c r="AF1117" t="s">
        <v>1625</v>
      </c>
    </row>
    <row r="1118" spans="1:32" x14ac:dyDescent="0.25">
      <c r="A1118" t="s">
        <v>1175</v>
      </c>
      <c r="B1118">
        <v>55</v>
      </c>
      <c r="C1118">
        <v>685</v>
      </c>
      <c r="D1118">
        <v>26</v>
      </c>
      <c r="E1118">
        <v>60</v>
      </c>
      <c r="F1118">
        <v>19586</v>
      </c>
      <c r="G1118">
        <v>23037</v>
      </c>
      <c r="H1118">
        <v>1</v>
      </c>
      <c r="I1118">
        <v>21</v>
      </c>
      <c r="J1118">
        <v>36</v>
      </c>
      <c r="K1118">
        <v>3</v>
      </c>
      <c r="L1118">
        <v>36</v>
      </c>
      <c r="M1118">
        <v>6</v>
      </c>
      <c r="N1118">
        <v>2</v>
      </c>
      <c r="O1118">
        <v>13</v>
      </c>
      <c r="P1118" t="s">
        <v>1556</v>
      </c>
      <c r="Q1118" t="s">
        <v>1552</v>
      </c>
      <c r="R1118" t="s">
        <v>1549</v>
      </c>
      <c r="S1118" t="s">
        <v>1536</v>
      </c>
      <c r="T1118" t="s">
        <v>1541</v>
      </c>
      <c r="U1118" t="s">
        <v>1547</v>
      </c>
      <c r="V1118" t="s">
        <v>1559</v>
      </c>
      <c r="W1118" t="s">
        <v>1562</v>
      </c>
      <c r="X1118" t="s">
        <v>1579</v>
      </c>
      <c r="Y1118" t="s">
        <v>1586</v>
      </c>
      <c r="Z1118" t="s">
        <v>1594</v>
      </c>
      <c r="AA1118" t="s">
        <v>1597</v>
      </c>
      <c r="AB1118" t="s">
        <v>1601</v>
      </c>
      <c r="AC1118" t="s">
        <v>1611</v>
      </c>
      <c r="AD1118" t="s">
        <v>1606</v>
      </c>
      <c r="AE1118" t="s">
        <v>1617</v>
      </c>
      <c r="AF1118" t="s">
        <v>1627</v>
      </c>
    </row>
    <row r="1119" spans="1:32" x14ac:dyDescent="0.25">
      <c r="A1119" t="s">
        <v>1176</v>
      </c>
      <c r="B1119">
        <v>34</v>
      </c>
      <c r="C1119">
        <v>1351</v>
      </c>
      <c r="D1119">
        <v>1</v>
      </c>
      <c r="E1119">
        <v>45</v>
      </c>
      <c r="F1119">
        <v>5484</v>
      </c>
      <c r="G1119">
        <v>13008</v>
      </c>
      <c r="H1119">
        <v>9</v>
      </c>
      <c r="I1119">
        <v>17</v>
      </c>
      <c r="J1119">
        <v>9</v>
      </c>
      <c r="K1119">
        <v>3</v>
      </c>
      <c r="L1119">
        <v>2</v>
      </c>
      <c r="M1119">
        <v>2</v>
      </c>
      <c r="N1119">
        <v>2</v>
      </c>
      <c r="O1119">
        <v>1</v>
      </c>
      <c r="P1119" t="s">
        <v>1556</v>
      </c>
      <c r="Q1119" t="s">
        <v>1552</v>
      </c>
      <c r="R1119" t="s">
        <v>1550</v>
      </c>
      <c r="S1119" t="s">
        <v>1535</v>
      </c>
      <c r="T1119" t="s">
        <v>1538</v>
      </c>
      <c r="U1119" t="s">
        <v>1546</v>
      </c>
      <c r="V1119" t="s">
        <v>1559</v>
      </c>
      <c r="W1119" t="s">
        <v>1563</v>
      </c>
      <c r="X1119" t="s">
        <v>1576</v>
      </c>
      <c r="Y1119" t="s">
        <v>1582</v>
      </c>
      <c r="Z1119" t="s">
        <v>1594</v>
      </c>
      <c r="AA1119" t="s">
        <v>1597</v>
      </c>
      <c r="AB1119" t="s">
        <v>1601</v>
      </c>
      <c r="AC1119" t="s">
        <v>1610</v>
      </c>
      <c r="AD1119" t="s">
        <v>1605</v>
      </c>
      <c r="AE1119" t="s">
        <v>1617</v>
      </c>
      <c r="AF1119" t="s">
        <v>1626</v>
      </c>
    </row>
    <row r="1120" spans="1:32" x14ac:dyDescent="0.25">
      <c r="A1120" t="s">
        <v>1177</v>
      </c>
      <c r="B1120">
        <v>26</v>
      </c>
      <c r="C1120">
        <v>474</v>
      </c>
      <c r="D1120">
        <v>3</v>
      </c>
      <c r="E1120">
        <v>89</v>
      </c>
      <c r="F1120">
        <v>2061</v>
      </c>
      <c r="G1120">
        <v>11133</v>
      </c>
      <c r="H1120">
        <v>1</v>
      </c>
      <c r="I1120">
        <v>21</v>
      </c>
      <c r="J1120">
        <v>1</v>
      </c>
      <c r="K1120">
        <v>5</v>
      </c>
      <c r="L1120">
        <v>1</v>
      </c>
      <c r="M1120">
        <v>0</v>
      </c>
      <c r="N1120">
        <v>0</v>
      </c>
      <c r="O1120">
        <v>0</v>
      </c>
      <c r="P1120" t="s">
        <v>1556</v>
      </c>
      <c r="Q1120" t="s">
        <v>1552</v>
      </c>
      <c r="R1120" t="s">
        <v>1550</v>
      </c>
      <c r="S1120" t="s">
        <v>1534</v>
      </c>
      <c r="T1120" t="s">
        <v>1538</v>
      </c>
      <c r="U1120" t="s">
        <v>1545</v>
      </c>
      <c r="V1120" t="s">
        <v>1558</v>
      </c>
      <c r="W1120" t="s">
        <v>1563</v>
      </c>
      <c r="X1120" t="s">
        <v>1575</v>
      </c>
      <c r="Y1120" t="s">
        <v>1582</v>
      </c>
      <c r="Z1120" t="s">
        <v>1594</v>
      </c>
      <c r="AA1120" t="s">
        <v>1597</v>
      </c>
      <c r="AB1120" t="s">
        <v>1601</v>
      </c>
      <c r="AC1120" t="s">
        <v>1611</v>
      </c>
      <c r="AD1120" t="s">
        <v>1604</v>
      </c>
      <c r="AE1120" t="s">
        <v>1616</v>
      </c>
      <c r="AF1120" t="s">
        <v>1627</v>
      </c>
    </row>
    <row r="1121" spans="1:32" x14ac:dyDescent="0.25">
      <c r="A1121" t="s">
        <v>1178</v>
      </c>
      <c r="B1121">
        <v>38</v>
      </c>
      <c r="C1121">
        <v>1245</v>
      </c>
      <c r="D1121">
        <v>14</v>
      </c>
      <c r="E1121">
        <v>80</v>
      </c>
      <c r="F1121">
        <v>9924</v>
      </c>
      <c r="G1121">
        <v>12355</v>
      </c>
      <c r="H1121">
        <v>0</v>
      </c>
      <c r="I1121">
        <v>11</v>
      </c>
      <c r="J1121">
        <v>10</v>
      </c>
      <c r="K1121">
        <v>3</v>
      </c>
      <c r="L1121">
        <v>9</v>
      </c>
      <c r="M1121">
        <v>8</v>
      </c>
      <c r="N1121">
        <v>7</v>
      </c>
      <c r="O1121">
        <v>7</v>
      </c>
      <c r="P1121" t="s">
        <v>1556</v>
      </c>
      <c r="Q1121" t="s">
        <v>1552</v>
      </c>
      <c r="R1121" t="s">
        <v>1549</v>
      </c>
      <c r="S1121" t="s">
        <v>1534</v>
      </c>
      <c r="T1121" t="s">
        <v>1538</v>
      </c>
      <c r="U1121" t="s">
        <v>1547</v>
      </c>
      <c r="V1121" t="s">
        <v>1559</v>
      </c>
      <c r="W1121" t="s">
        <v>1563</v>
      </c>
      <c r="X1121" t="s">
        <v>1576</v>
      </c>
      <c r="Y1121" t="s">
        <v>1581</v>
      </c>
      <c r="Z1121" t="s">
        <v>1592</v>
      </c>
      <c r="AA1121" t="s">
        <v>1597</v>
      </c>
      <c r="AB1121" t="s">
        <v>1601</v>
      </c>
      <c r="AC1121" t="s">
        <v>1610</v>
      </c>
      <c r="AD1121" t="s">
        <v>1607</v>
      </c>
      <c r="AE1121" t="s">
        <v>1617</v>
      </c>
      <c r="AF1121" t="s">
        <v>1627</v>
      </c>
    </row>
    <row r="1122" spans="1:32" x14ac:dyDescent="0.25">
      <c r="A1122" t="s">
        <v>1179</v>
      </c>
      <c r="B1122">
        <v>38</v>
      </c>
      <c r="C1122">
        <v>437</v>
      </c>
      <c r="D1122">
        <v>16</v>
      </c>
      <c r="E1122">
        <v>90</v>
      </c>
      <c r="F1122">
        <v>4198</v>
      </c>
      <c r="G1122">
        <v>16379</v>
      </c>
      <c r="H1122">
        <v>2</v>
      </c>
      <c r="I1122">
        <v>12</v>
      </c>
      <c r="J1122">
        <v>8</v>
      </c>
      <c r="K1122">
        <v>5</v>
      </c>
      <c r="L1122">
        <v>3</v>
      </c>
      <c r="M1122">
        <v>2</v>
      </c>
      <c r="N1122">
        <v>1</v>
      </c>
      <c r="O1122">
        <v>2</v>
      </c>
      <c r="P1122" t="s">
        <v>1556</v>
      </c>
      <c r="Q1122" t="s">
        <v>1552</v>
      </c>
      <c r="R1122" t="s">
        <v>1549</v>
      </c>
      <c r="S1122" t="s">
        <v>1534</v>
      </c>
      <c r="T1122" t="s">
        <v>1538</v>
      </c>
      <c r="U1122" t="s">
        <v>1546</v>
      </c>
      <c r="V1122" t="s">
        <v>1558</v>
      </c>
      <c r="W1122" t="s">
        <v>1563</v>
      </c>
      <c r="X1122" t="s">
        <v>1576</v>
      </c>
      <c r="Y1122" t="s">
        <v>1581</v>
      </c>
      <c r="Z1122" t="s">
        <v>1592</v>
      </c>
      <c r="AA1122" t="s">
        <v>1596</v>
      </c>
      <c r="AB1122" t="s">
        <v>1601</v>
      </c>
      <c r="AC1122" t="s">
        <v>1610</v>
      </c>
      <c r="AD1122" t="s">
        <v>1605</v>
      </c>
      <c r="AE1122" t="s">
        <v>1616</v>
      </c>
      <c r="AF1122" t="s">
        <v>1628</v>
      </c>
    </row>
    <row r="1123" spans="1:32" x14ac:dyDescent="0.25">
      <c r="A1123" t="s">
        <v>1180</v>
      </c>
      <c r="B1123">
        <v>36</v>
      </c>
      <c r="C1123">
        <v>884</v>
      </c>
      <c r="D1123">
        <v>1</v>
      </c>
      <c r="E1123">
        <v>73</v>
      </c>
      <c r="F1123">
        <v>6815</v>
      </c>
      <c r="G1123">
        <v>21447</v>
      </c>
      <c r="H1123">
        <v>6</v>
      </c>
      <c r="I1123">
        <v>13</v>
      </c>
      <c r="J1123">
        <v>15</v>
      </c>
      <c r="K1123">
        <v>5</v>
      </c>
      <c r="L1123">
        <v>1</v>
      </c>
      <c r="M1123">
        <v>0</v>
      </c>
      <c r="N1123">
        <v>0</v>
      </c>
      <c r="O1123">
        <v>0</v>
      </c>
      <c r="P1123" t="s">
        <v>1556</v>
      </c>
      <c r="Q1123" t="s">
        <v>1552</v>
      </c>
      <c r="R1123" t="s">
        <v>1549</v>
      </c>
      <c r="S1123" t="s">
        <v>1535</v>
      </c>
      <c r="T1123" t="s">
        <v>1538</v>
      </c>
      <c r="U1123" t="s">
        <v>1546</v>
      </c>
      <c r="V1123" t="s">
        <v>1558</v>
      </c>
      <c r="W1123" t="s">
        <v>1563</v>
      </c>
      <c r="X1123" t="s">
        <v>1576</v>
      </c>
      <c r="Y1123" t="s">
        <v>1581</v>
      </c>
      <c r="Z1123" t="s">
        <v>1593</v>
      </c>
      <c r="AA1123" t="s">
        <v>1596</v>
      </c>
      <c r="AB1123" t="s">
        <v>1601</v>
      </c>
      <c r="AC1123" t="s">
        <v>1610</v>
      </c>
      <c r="AD1123" t="s">
        <v>1604</v>
      </c>
      <c r="AE1123" t="s">
        <v>1616</v>
      </c>
      <c r="AF1123" t="s">
        <v>1627</v>
      </c>
    </row>
    <row r="1124" spans="1:32" x14ac:dyDescent="0.25">
      <c r="A1124" t="s">
        <v>1181</v>
      </c>
      <c r="B1124">
        <v>29</v>
      </c>
      <c r="C1124">
        <v>1370</v>
      </c>
      <c r="D1124">
        <v>3</v>
      </c>
      <c r="E1124">
        <v>87</v>
      </c>
      <c r="F1124">
        <v>4723</v>
      </c>
      <c r="G1124">
        <v>16213</v>
      </c>
      <c r="H1124">
        <v>1</v>
      </c>
      <c r="I1124">
        <v>18</v>
      </c>
      <c r="J1124">
        <v>10</v>
      </c>
      <c r="K1124">
        <v>3</v>
      </c>
      <c r="L1124">
        <v>10</v>
      </c>
      <c r="M1124">
        <v>9</v>
      </c>
      <c r="N1124">
        <v>1</v>
      </c>
      <c r="O1124">
        <v>5</v>
      </c>
      <c r="P1124" t="s">
        <v>1556</v>
      </c>
      <c r="Q1124" t="s">
        <v>1552</v>
      </c>
      <c r="R1124" t="s">
        <v>1550</v>
      </c>
      <c r="S1124" t="s">
        <v>1532</v>
      </c>
      <c r="T1124" t="s">
        <v>1540</v>
      </c>
      <c r="U1124" t="s">
        <v>1546</v>
      </c>
      <c r="V1124" t="s">
        <v>1559</v>
      </c>
      <c r="W1124" t="s">
        <v>1563</v>
      </c>
      <c r="X1124" t="s">
        <v>1575</v>
      </c>
      <c r="Y1124" t="s">
        <v>1583</v>
      </c>
      <c r="Z1124" t="s">
        <v>1591</v>
      </c>
      <c r="AA1124" t="s">
        <v>1596</v>
      </c>
      <c r="AB1124" t="s">
        <v>1600</v>
      </c>
      <c r="AC1124" t="s">
        <v>1610</v>
      </c>
      <c r="AD1124" t="s">
        <v>1607</v>
      </c>
      <c r="AE1124" t="s">
        <v>1616</v>
      </c>
      <c r="AF1124" t="s">
        <v>1627</v>
      </c>
    </row>
    <row r="1125" spans="1:32" x14ac:dyDescent="0.25">
      <c r="A1125" t="s">
        <v>1182</v>
      </c>
      <c r="B1125">
        <v>35</v>
      </c>
      <c r="C1125">
        <v>670</v>
      </c>
      <c r="D1125">
        <v>10</v>
      </c>
      <c r="E1125">
        <v>51</v>
      </c>
      <c r="F1125">
        <v>6142</v>
      </c>
      <c r="G1125">
        <v>4223</v>
      </c>
      <c r="H1125">
        <v>3</v>
      </c>
      <c r="I1125">
        <v>16</v>
      </c>
      <c r="J1125">
        <v>10</v>
      </c>
      <c r="K1125">
        <v>4</v>
      </c>
      <c r="L1125">
        <v>5</v>
      </c>
      <c r="M1125">
        <v>2</v>
      </c>
      <c r="N1125">
        <v>0</v>
      </c>
      <c r="O1125">
        <v>4</v>
      </c>
      <c r="P1125" t="s">
        <v>1556</v>
      </c>
      <c r="Q1125" t="s">
        <v>1552</v>
      </c>
      <c r="R1125" t="s">
        <v>1550</v>
      </c>
      <c r="S1125" t="s">
        <v>1535</v>
      </c>
      <c r="T1125" t="s">
        <v>1540</v>
      </c>
      <c r="U1125" t="s">
        <v>1545</v>
      </c>
      <c r="V1125" t="s">
        <v>1558</v>
      </c>
      <c r="W1125" t="s">
        <v>1563</v>
      </c>
      <c r="X1125" t="s">
        <v>1576</v>
      </c>
      <c r="Y1125" t="s">
        <v>1585</v>
      </c>
      <c r="Z1125" t="s">
        <v>1593</v>
      </c>
      <c r="AA1125" t="s">
        <v>1596</v>
      </c>
      <c r="AB1125" t="s">
        <v>1600</v>
      </c>
      <c r="AC1125" t="s">
        <v>1610</v>
      </c>
      <c r="AD1125" t="s">
        <v>1606</v>
      </c>
      <c r="AE1125" t="s">
        <v>1616</v>
      </c>
      <c r="AF1125" t="s">
        <v>1627</v>
      </c>
    </row>
    <row r="1126" spans="1:32" x14ac:dyDescent="0.25">
      <c r="A1126" t="s">
        <v>1183</v>
      </c>
      <c r="B1126">
        <v>39</v>
      </c>
      <c r="C1126">
        <v>1462</v>
      </c>
      <c r="D1126">
        <v>6</v>
      </c>
      <c r="E1126">
        <v>38</v>
      </c>
      <c r="F1126">
        <v>8237</v>
      </c>
      <c r="G1126">
        <v>4658</v>
      </c>
      <c r="H1126">
        <v>2</v>
      </c>
      <c r="I1126">
        <v>11</v>
      </c>
      <c r="J1126">
        <v>11</v>
      </c>
      <c r="K1126">
        <v>3</v>
      </c>
      <c r="L1126">
        <v>7</v>
      </c>
      <c r="M1126">
        <v>6</v>
      </c>
      <c r="N1126">
        <v>7</v>
      </c>
      <c r="O1126">
        <v>6</v>
      </c>
      <c r="P1126" t="s">
        <v>1556</v>
      </c>
      <c r="Q1126" t="s">
        <v>1552</v>
      </c>
      <c r="R1126" t="s">
        <v>1549</v>
      </c>
      <c r="S1126" t="s">
        <v>1534</v>
      </c>
      <c r="T1126" t="s">
        <v>1540</v>
      </c>
      <c r="U1126" t="s">
        <v>1548</v>
      </c>
      <c r="V1126" t="s">
        <v>1559</v>
      </c>
      <c r="W1126" t="s">
        <v>1564</v>
      </c>
      <c r="X1126" t="s">
        <v>1577</v>
      </c>
      <c r="Y1126" t="s">
        <v>1581</v>
      </c>
      <c r="Z1126" t="s">
        <v>1593</v>
      </c>
      <c r="AA1126" t="s">
        <v>1597</v>
      </c>
      <c r="AB1126" t="s">
        <v>1601</v>
      </c>
      <c r="AC1126" t="s">
        <v>1610</v>
      </c>
      <c r="AD1126" t="s">
        <v>1604</v>
      </c>
      <c r="AE1126" t="s">
        <v>1617</v>
      </c>
      <c r="AF1126" t="s">
        <v>1627</v>
      </c>
    </row>
    <row r="1127" spans="1:32" x14ac:dyDescent="0.25">
      <c r="A1127" t="s">
        <v>1184</v>
      </c>
      <c r="B1127">
        <v>29</v>
      </c>
      <c r="C1127">
        <v>995</v>
      </c>
      <c r="D1127">
        <v>2</v>
      </c>
      <c r="E1127">
        <v>87</v>
      </c>
      <c r="F1127">
        <v>8853</v>
      </c>
      <c r="G1127">
        <v>24483</v>
      </c>
      <c r="H1127">
        <v>1</v>
      </c>
      <c r="I1127">
        <v>19</v>
      </c>
      <c r="J1127">
        <v>6</v>
      </c>
      <c r="K1127">
        <v>0</v>
      </c>
      <c r="L1127">
        <v>6</v>
      </c>
      <c r="M1127">
        <v>4</v>
      </c>
      <c r="N1127">
        <v>1</v>
      </c>
      <c r="O1127">
        <v>3</v>
      </c>
      <c r="P1127" t="s">
        <v>1556</v>
      </c>
      <c r="Q1127" t="s">
        <v>1553</v>
      </c>
      <c r="R1127" t="s">
        <v>1550</v>
      </c>
      <c r="S1127" t="s">
        <v>1532</v>
      </c>
      <c r="T1127" t="s">
        <v>1538</v>
      </c>
      <c r="U1127" t="s">
        <v>1545</v>
      </c>
      <c r="V1127" t="s">
        <v>1559</v>
      </c>
      <c r="W1127" t="s">
        <v>1563</v>
      </c>
      <c r="X1127" t="s">
        <v>1576</v>
      </c>
      <c r="Y1127" t="s">
        <v>1585</v>
      </c>
      <c r="Z1127" t="s">
        <v>1594</v>
      </c>
      <c r="AA1127" t="s">
        <v>1598</v>
      </c>
      <c r="AB1127" t="s">
        <v>1601</v>
      </c>
      <c r="AC1127" t="s">
        <v>1610</v>
      </c>
      <c r="AD1127" t="s">
        <v>1607</v>
      </c>
      <c r="AE1127" t="s">
        <v>1617</v>
      </c>
      <c r="AF1127" t="s">
        <v>1628</v>
      </c>
    </row>
    <row r="1128" spans="1:32" x14ac:dyDescent="0.25">
      <c r="A1128" t="s">
        <v>1185</v>
      </c>
      <c r="B1128">
        <v>50</v>
      </c>
      <c r="C1128">
        <v>264</v>
      </c>
      <c r="D1128">
        <v>9</v>
      </c>
      <c r="E1128">
        <v>59</v>
      </c>
      <c r="F1128">
        <v>19331</v>
      </c>
      <c r="G1128">
        <v>19519</v>
      </c>
      <c r="H1128">
        <v>4</v>
      </c>
      <c r="I1128">
        <v>16</v>
      </c>
      <c r="J1128">
        <v>27</v>
      </c>
      <c r="K1128">
        <v>2</v>
      </c>
      <c r="L1128">
        <v>1</v>
      </c>
      <c r="M1128">
        <v>0</v>
      </c>
      <c r="N1128">
        <v>0</v>
      </c>
      <c r="O1128">
        <v>0</v>
      </c>
      <c r="P1128" t="s">
        <v>1556</v>
      </c>
      <c r="Q1128" t="s">
        <v>1552</v>
      </c>
      <c r="R1128" t="s">
        <v>1549</v>
      </c>
      <c r="S1128" t="s">
        <v>1534</v>
      </c>
      <c r="T1128" t="s">
        <v>1541</v>
      </c>
      <c r="U1128" t="s">
        <v>1547</v>
      </c>
      <c r="V1128" t="s">
        <v>1559</v>
      </c>
      <c r="W1128" t="s">
        <v>1563</v>
      </c>
      <c r="X1128" t="s">
        <v>1579</v>
      </c>
      <c r="Y1128" t="s">
        <v>1586</v>
      </c>
      <c r="Z1128" t="s">
        <v>1593</v>
      </c>
      <c r="AA1128" t="s">
        <v>1597</v>
      </c>
      <c r="AB1128" t="s">
        <v>1600</v>
      </c>
      <c r="AC1128" t="s">
        <v>1610</v>
      </c>
      <c r="AD1128" t="s">
        <v>1606</v>
      </c>
      <c r="AE1128" t="s">
        <v>1617</v>
      </c>
      <c r="AF1128" t="s">
        <v>1627</v>
      </c>
    </row>
    <row r="1129" spans="1:32" x14ac:dyDescent="0.25">
      <c r="A1129" t="s">
        <v>1186</v>
      </c>
      <c r="B1129">
        <v>23</v>
      </c>
      <c r="C1129">
        <v>977</v>
      </c>
      <c r="D1129">
        <v>10</v>
      </c>
      <c r="E1129">
        <v>45</v>
      </c>
      <c r="F1129">
        <v>2073</v>
      </c>
      <c r="G1129">
        <v>12826</v>
      </c>
      <c r="H1129">
        <v>2</v>
      </c>
      <c r="I1129">
        <v>16</v>
      </c>
      <c r="J1129">
        <v>4</v>
      </c>
      <c r="K1129">
        <v>2</v>
      </c>
      <c r="L1129">
        <v>2</v>
      </c>
      <c r="M1129">
        <v>2</v>
      </c>
      <c r="N1129">
        <v>2</v>
      </c>
      <c r="O1129">
        <v>2</v>
      </c>
      <c r="P1129" t="s">
        <v>1556</v>
      </c>
      <c r="Q1129" t="s">
        <v>1552</v>
      </c>
      <c r="R1129" t="s">
        <v>1550</v>
      </c>
      <c r="S1129" t="s">
        <v>1534</v>
      </c>
      <c r="T1129" t="s">
        <v>1542</v>
      </c>
      <c r="U1129" t="s">
        <v>1548</v>
      </c>
      <c r="V1129" t="s">
        <v>1559</v>
      </c>
      <c r="W1129" t="s">
        <v>1564</v>
      </c>
      <c r="X1129" t="s">
        <v>1575</v>
      </c>
      <c r="Y1129" t="s">
        <v>1582</v>
      </c>
      <c r="Z1129" t="s">
        <v>1593</v>
      </c>
      <c r="AA1129" t="s">
        <v>1597</v>
      </c>
      <c r="AB1129" t="s">
        <v>1601</v>
      </c>
      <c r="AC1129" t="s">
        <v>1610</v>
      </c>
      <c r="AD1129" t="s">
        <v>1607</v>
      </c>
      <c r="AE1129" t="s">
        <v>1617</v>
      </c>
      <c r="AF1129" t="s">
        <v>1627</v>
      </c>
    </row>
    <row r="1130" spans="1:32" x14ac:dyDescent="0.25">
      <c r="A1130" t="s">
        <v>1187</v>
      </c>
      <c r="B1130">
        <v>36</v>
      </c>
      <c r="C1130">
        <v>1302</v>
      </c>
      <c r="D1130">
        <v>6</v>
      </c>
      <c r="E1130">
        <v>80</v>
      </c>
      <c r="F1130">
        <v>5562</v>
      </c>
      <c r="G1130">
        <v>19711</v>
      </c>
      <c r="H1130">
        <v>3</v>
      </c>
      <c r="I1130">
        <v>13</v>
      </c>
      <c r="J1130">
        <v>9</v>
      </c>
      <c r="K1130">
        <v>3</v>
      </c>
      <c r="L1130">
        <v>3</v>
      </c>
      <c r="M1130">
        <v>2</v>
      </c>
      <c r="N1130">
        <v>0</v>
      </c>
      <c r="O1130">
        <v>2</v>
      </c>
      <c r="P1130" t="s">
        <v>1556</v>
      </c>
      <c r="Q1130" t="s">
        <v>1553</v>
      </c>
      <c r="R1130" t="s">
        <v>1550</v>
      </c>
      <c r="S1130" t="s">
        <v>1535</v>
      </c>
      <c r="T1130" t="s">
        <v>1538</v>
      </c>
      <c r="U1130" t="s">
        <v>1545</v>
      </c>
      <c r="V1130" t="s">
        <v>1559</v>
      </c>
      <c r="W1130" t="s">
        <v>1564</v>
      </c>
      <c r="X1130" t="s">
        <v>1576</v>
      </c>
      <c r="Y1130" t="s">
        <v>1583</v>
      </c>
      <c r="Z1130" t="s">
        <v>1591</v>
      </c>
      <c r="AA1130" t="s">
        <v>1597</v>
      </c>
      <c r="AB1130" t="s">
        <v>1600</v>
      </c>
      <c r="AC1130" t="s">
        <v>1610</v>
      </c>
      <c r="AD1130" t="s">
        <v>1607</v>
      </c>
      <c r="AE1130" t="s">
        <v>1617</v>
      </c>
      <c r="AF1130" t="s">
        <v>1627</v>
      </c>
    </row>
    <row r="1131" spans="1:32" x14ac:dyDescent="0.25">
      <c r="A1131" t="s">
        <v>1188</v>
      </c>
      <c r="B1131">
        <v>42</v>
      </c>
      <c r="C1131">
        <v>1059</v>
      </c>
      <c r="D1131">
        <v>9</v>
      </c>
      <c r="E1131">
        <v>93</v>
      </c>
      <c r="F1131">
        <v>19613</v>
      </c>
      <c r="G1131">
        <v>26362</v>
      </c>
      <c r="H1131">
        <v>8</v>
      </c>
      <c r="I1131">
        <v>22</v>
      </c>
      <c r="J1131">
        <v>24</v>
      </c>
      <c r="K1131">
        <v>2</v>
      </c>
      <c r="L1131">
        <v>1</v>
      </c>
      <c r="M1131">
        <v>0</v>
      </c>
      <c r="N1131">
        <v>0</v>
      </c>
      <c r="O1131">
        <v>1</v>
      </c>
      <c r="P1131" t="s">
        <v>1556</v>
      </c>
      <c r="Q1131" t="s">
        <v>1552</v>
      </c>
      <c r="R1131" t="s">
        <v>1550</v>
      </c>
      <c r="S1131" t="s">
        <v>1533</v>
      </c>
      <c r="T1131" t="s">
        <v>1539</v>
      </c>
      <c r="U1131" t="s">
        <v>1548</v>
      </c>
      <c r="V1131" t="s">
        <v>1559</v>
      </c>
      <c r="W1131" t="s">
        <v>1562</v>
      </c>
      <c r="X1131" t="s">
        <v>1579</v>
      </c>
      <c r="Y1131" t="s">
        <v>1586</v>
      </c>
      <c r="Z1131" t="s">
        <v>1594</v>
      </c>
      <c r="AA1131" t="s">
        <v>1596</v>
      </c>
      <c r="AB1131" t="s">
        <v>1601</v>
      </c>
      <c r="AC1131" t="s">
        <v>1611</v>
      </c>
      <c r="AD1131" t="s">
        <v>1607</v>
      </c>
      <c r="AE1131" t="s">
        <v>1616</v>
      </c>
      <c r="AF1131" t="s">
        <v>1627</v>
      </c>
    </row>
    <row r="1132" spans="1:32" x14ac:dyDescent="0.25">
      <c r="A1132" t="s">
        <v>1189</v>
      </c>
      <c r="B1132">
        <v>35</v>
      </c>
      <c r="C1132">
        <v>750</v>
      </c>
      <c r="D1132">
        <v>28</v>
      </c>
      <c r="E1132">
        <v>46</v>
      </c>
      <c r="F1132">
        <v>3407</v>
      </c>
      <c r="G1132">
        <v>25348</v>
      </c>
      <c r="H1132">
        <v>1</v>
      </c>
      <c r="I1132">
        <v>17</v>
      </c>
      <c r="J1132">
        <v>10</v>
      </c>
      <c r="K1132">
        <v>3</v>
      </c>
      <c r="L1132">
        <v>10</v>
      </c>
      <c r="M1132">
        <v>9</v>
      </c>
      <c r="N1132">
        <v>6</v>
      </c>
      <c r="O1132">
        <v>8</v>
      </c>
      <c r="P1132" t="s">
        <v>1556</v>
      </c>
      <c r="Q1132" t="s">
        <v>1552</v>
      </c>
      <c r="R1132" t="s">
        <v>1550</v>
      </c>
      <c r="S1132" t="s">
        <v>1534</v>
      </c>
      <c r="T1132" t="s">
        <v>1538</v>
      </c>
      <c r="U1132" t="s">
        <v>1546</v>
      </c>
      <c r="V1132" t="s">
        <v>1559</v>
      </c>
      <c r="W1132" t="s">
        <v>1564</v>
      </c>
      <c r="X1132" t="s">
        <v>1576</v>
      </c>
      <c r="Y1132" t="s">
        <v>1583</v>
      </c>
      <c r="Z1132" t="s">
        <v>1593</v>
      </c>
      <c r="AA1132" t="s">
        <v>1597</v>
      </c>
      <c r="AB1132" t="s">
        <v>1601</v>
      </c>
      <c r="AC1132" t="s">
        <v>1610</v>
      </c>
      <c r="AD1132" t="s">
        <v>1607</v>
      </c>
      <c r="AE1132" t="s">
        <v>1618</v>
      </c>
      <c r="AF1132" t="s">
        <v>1626</v>
      </c>
    </row>
    <row r="1133" spans="1:32" x14ac:dyDescent="0.25">
      <c r="A1133" t="s">
        <v>1190</v>
      </c>
      <c r="B1133">
        <v>34</v>
      </c>
      <c r="C1133">
        <v>653</v>
      </c>
      <c r="D1133">
        <v>10</v>
      </c>
      <c r="E1133">
        <v>92</v>
      </c>
      <c r="F1133">
        <v>5063</v>
      </c>
      <c r="G1133">
        <v>15332</v>
      </c>
      <c r="H1133">
        <v>1</v>
      </c>
      <c r="I1133">
        <v>14</v>
      </c>
      <c r="J1133">
        <v>8</v>
      </c>
      <c r="K1133">
        <v>3</v>
      </c>
      <c r="L1133">
        <v>8</v>
      </c>
      <c r="M1133">
        <v>2</v>
      </c>
      <c r="N1133">
        <v>7</v>
      </c>
      <c r="O1133">
        <v>7</v>
      </c>
      <c r="P1133" t="s">
        <v>1556</v>
      </c>
      <c r="Q1133" t="s">
        <v>1553</v>
      </c>
      <c r="R1133" t="s">
        <v>1550</v>
      </c>
      <c r="S1133" t="s">
        <v>1535</v>
      </c>
      <c r="T1133" t="s">
        <v>1542</v>
      </c>
      <c r="U1133" t="s">
        <v>1548</v>
      </c>
      <c r="V1133" t="s">
        <v>1559</v>
      </c>
      <c r="W1133" t="s">
        <v>1562</v>
      </c>
      <c r="X1133" t="s">
        <v>1576</v>
      </c>
      <c r="Y1133" t="s">
        <v>1585</v>
      </c>
      <c r="Z1133" t="s">
        <v>1593</v>
      </c>
      <c r="AA1133" t="s">
        <v>1597</v>
      </c>
      <c r="AB1133" t="s">
        <v>1601</v>
      </c>
      <c r="AC1133" t="s">
        <v>1610</v>
      </c>
      <c r="AD1133" t="s">
        <v>1605</v>
      </c>
      <c r="AE1133" t="s">
        <v>1617</v>
      </c>
      <c r="AF1133" t="s">
        <v>1626</v>
      </c>
    </row>
    <row r="1134" spans="1:32" x14ac:dyDescent="0.25">
      <c r="A1134" t="s">
        <v>1191</v>
      </c>
      <c r="B1134">
        <v>40</v>
      </c>
      <c r="C1134">
        <v>118</v>
      </c>
      <c r="D1134">
        <v>14</v>
      </c>
      <c r="E1134">
        <v>84</v>
      </c>
      <c r="F1134">
        <v>4639</v>
      </c>
      <c r="G1134">
        <v>11262</v>
      </c>
      <c r="H1134">
        <v>1</v>
      </c>
      <c r="I1134">
        <v>15</v>
      </c>
      <c r="J1134">
        <v>5</v>
      </c>
      <c r="K1134">
        <v>2</v>
      </c>
      <c r="L1134">
        <v>5</v>
      </c>
      <c r="M1134">
        <v>4</v>
      </c>
      <c r="N1134">
        <v>1</v>
      </c>
      <c r="O1134">
        <v>2</v>
      </c>
      <c r="P1134" t="s">
        <v>1556</v>
      </c>
      <c r="Q1134" t="s">
        <v>1552</v>
      </c>
      <c r="R1134" t="s">
        <v>1549</v>
      </c>
      <c r="S1134" t="s">
        <v>1533</v>
      </c>
      <c r="T1134" t="s">
        <v>1538</v>
      </c>
      <c r="U1134" t="s">
        <v>1548</v>
      </c>
      <c r="V1134" t="s">
        <v>1558</v>
      </c>
      <c r="W1134" t="s">
        <v>1563</v>
      </c>
      <c r="X1134" t="s">
        <v>1576</v>
      </c>
      <c r="Y1134" t="s">
        <v>1581</v>
      </c>
      <c r="Z1134" t="s">
        <v>1591</v>
      </c>
      <c r="AA1134" t="s">
        <v>1597</v>
      </c>
      <c r="AB1134" t="s">
        <v>1601</v>
      </c>
      <c r="AC1134" t="s">
        <v>1610</v>
      </c>
      <c r="AD1134" t="s">
        <v>1606</v>
      </c>
      <c r="AE1134" t="s">
        <v>1617</v>
      </c>
      <c r="AF1134" t="s">
        <v>1627</v>
      </c>
    </row>
    <row r="1135" spans="1:32" x14ac:dyDescent="0.25">
      <c r="A1135" t="s">
        <v>1192</v>
      </c>
      <c r="B1135">
        <v>43</v>
      </c>
      <c r="C1135">
        <v>990</v>
      </c>
      <c r="D1135">
        <v>27</v>
      </c>
      <c r="E1135">
        <v>87</v>
      </c>
      <c r="F1135">
        <v>4876</v>
      </c>
      <c r="G1135">
        <v>5855</v>
      </c>
      <c r="H1135">
        <v>5</v>
      </c>
      <c r="I1135">
        <v>12</v>
      </c>
      <c r="J1135">
        <v>8</v>
      </c>
      <c r="K1135">
        <v>0</v>
      </c>
      <c r="L1135">
        <v>6</v>
      </c>
      <c r="M1135">
        <v>4</v>
      </c>
      <c r="N1135">
        <v>0</v>
      </c>
      <c r="O1135">
        <v>2</v>
      </c>
      <c r="P1135" t="s">
        <v>1556</v>
      </c>
      <c r="Q1135" t="s">
        <v>1552</v>
      </c>
      <c r="R1135" t="s">
        <v>1550</v>
      </c>
      <c r="S1135" t="s">
        <v>1534</v>
      </c>
      <c r="T1135" t="s">
        <v>1542</v>
      </c>
      <c r="U1135" t="s">
        <v>1548</v>
      </c>
      <c r="V1135" t="s">
        <v>1559</v>
      </c>
      <c r="W1135" t="s">
        <v>1564</v>
      </c>
      <c r="X1135" t="s">
        <v>1575</v>
      </c>
      <c r="Y1135" t="s">
        <v>1583</v>
      </c>
      <c r="Z1135" t="s">
        <v>1592</v>
      </c>
      <c r="AA1135" t="s">
        <v>1598</v>
      </c>
      <c r="AB1135" t="s">
        <v>1601</v>
      </c>
      <c r="AC1135" t="s">
        <v>1610</v>
      </c>
      <c r="AD1135" t="s">
        <v>1606</v>
      </c>
      <c r="AE1135" t="s">
        <v>1617</v>
      </c>
      <c r="AF1135" t="s">
        <v>1627</v>
      </c>
    </row>
    <row r="1136" spans="1:32" x14ac:dyDescent="0.25">
      <c r="A1136" t="s">
        <v>1193</v>
      </c>
      <c r="B1136">
        <v>35</v>
      </c>
      <c r="C1136">
        <v>1349</v>
      </c>
      <c r="D1136">
        <v>7</v>
      </c>
      <c r="E1136">
        <v>63</v>
      </c>
      <c r="F1136">
        <v>2690</v>
      </c>
      <c r="G1136">
        <v>7713</v>
      </c>
      <c r="H1136">
        <v>1</v>
      </c>
      <c r="I1136">
        <v>18</v>
      </c>
      <c r="J1136">
        <v>1</v>
      </c>
      <c r="K1136">
        <v>5</v>
      </c>
      <c r="L1136">
        <v>1</v>
      </c>
      <c r="M1136">
        <v>0</v>
      </c>
      <c r="N1136">
        <v>0</v>
      </c>
      <c r="O1136">
        <v>1</v>
      </c>
      <c r="P1136" t="s">
        <v>1556</v>
      </c>
      <c r="Q1136" t="s">
        <v>1552</v>
      </c>
      <c r="R1136" t="s">
        <v>1550</v>
      </c>
      <c r="S1136" t="s">
        <v>1533</v>
      </c>
      <c r="T1136" t="s">
        <v>1538</v>
      </c>
      <c r="U1136" t="s">
        <v>1547</v>
      </c>
      <c r="V1136" t="s">
        <v>1559</v>
      </c>
      <c r="W1136" t="s">
        <v>1562</v>
      </c>
      <c r="X1136" t="s">
        <v>1575</v>
      </c>
      <c r="Y1136" t="s">
        <v>1583</v>
      </c>
      <c r="Z1136" t="s">
        <v>1594</v>
      </c>
      <c r="AA1136" t="s">
        <v>1597</v>
      </c>
      <c r="AB1136" t="s">
        <v>1601</v>
      </c>
      <c r="AC1136" t="s">
        <v>1610</v>
      </c>
      <c r="AD1136" t="s">
        <v>1607</v>
      </c>
      <c r="AE1136" t="s">
        <v>1617</v>
      </c>
      <c r="AF1136" t="s">
        <v>1626</v>
      </c>
    </row>
    <row r="1137" spans="1:32" x14ac:dyDescent="0.25">
      <c r="A1137" t="s">
        <v>1194</v>
      </c>
      <c r="B1137">
        <v>46</v>
      </c>
      <c r="C1137">
        <v>563</v>
      </c>
      <c r="D1137">
        <v>1</v>
      </c>
      <c r="E1137">
        <v>56</v>
      </c>
      <c r="F1137">
        <v>17567</v>
      </c>
      <c r="G1137">
        <v>3156</v>
      </c>
      <c r="H1137">
        <v>1</v>
      </c>
      <c r="I1137">
        <v>15</v>
      </c>
      <c r="J1137">
        <v>27</v>
      </c>
      <c r="K1137">
        <v>5</v>
      </c>
      <c r="L1137">
        <v>26</v>
      </c>
      <c r="M1137">
        <v>0</v>
      </c>
      <c r="N1137">
        <v>0</v>
      </c>
      <c r="O1137">
        <v>12</v>
      </c>
      <c r="P1137" t="s">
        <v>1556</v>
      </c>
      <c r="Q1137" t="s">
        <v>1552</v>
      </c>
      <c r="R1137" t="s">
        <v>1549</v>
      </c>
      <c r="S1137" t="s">
        <v>1535</v>
      </c>
      <c r="T1137" t="s">
        <v>1538</v>
      </c>
      <c r="U1137" t="s">
        <v>1548</v>
      </c>
      <c r="V1137" t="s">
        <v>1559</v>
      </c>
      <c r="W1137" t="s">
        <v>1564</v>
      </c>
      <c r="X1137" t="s">
        <v>1578</v>
      </c>
      <c r="Y1137" t="s">
        <v>1586</v>
      </c>
      <c r="Z1137" t="s">
        <v>1591</v>
      </c>
      <c r="AA1137" t="s">
        <v>1596</v>
      </c>
      <c r="AB1137" t="s">
        <v>1601</v>
      </c>
      <c r="AC1137" t="s">
        <v>1610</v>
      </c>
      <c r="AD1137" t="s">
        <v>1605</v>
      </c>
      <c r="AE1137" t="s">
        <v>1616</v>
      </c>
      <c r="AF1137" t="s">
        <v>1625</v>
      </c>
    </row>
    <row r="1138" spans="1:32" x14ac:dyDescent="0.25">
      <c r="A1138" t="s">
        <v>1195</v>
      </c>
      <c r="B1138">
        <v>28</v>
      </c>
      <c r="C1138">
        <v>329</v>
      </c>
      <c r="D1138">
        <v>24</v>
      </c>
      <c r="E1138">
        <v>51</v>
      </c>
      <c r="F1138">
        <v>2408</v>
      </c>
      <c r="G1138">
        <v>7324</v>
      </c>
      <c r="H1138">
        <v>1</v>
      </c>
      <c r="I1138">
        <v>17</v>
      </c>
      <c r="J1138">
        <v>1</v>
      </c>
      <c r="K1138">
        <v>3</v>
      </c>
      <c r="L1138">
        <v>1</v>
      </c>
      <c r="M1138">
        <v>1</v>
      </c>
      <c r="N1138">
        <v>0</v>
      </c>
      <c r="O1138">
        <v>0</v>
      </c>
      <c r="P1138" t="s">
        <v>1555</v>
      </c>
      <c r="Q1138" t="s">
        <v>1552</v>
      </c>
      <c r="R1138" t="s">
        <v>1550</v>
      </c>
      <c r="S1138" t="s">
        <v>1534</v>
      </c>
      <c r="T1138" t="s">
        <v>1540</v>
      </c>
      <c r="U1138" t="s">
        <v>1547</v>
      </c>
      <c r="V1138" t="s">
        <v>1559</v>
      </c>
      <c r="W1138" t="s">
        <v>1563</v>
      </c>
      <c r="X1138" t="s">
        <v>1575</v>
      </c>
      <c r="Y1138" t="s">
        <v>1583</v>
      </c>
      <c r="Z1138" t="s">
        <v>1592</v>
      </c>
      <c r="AA1138" t="s">
        <v>1597</v>
      </c>
      <c r="AB1138" t="s">
        <v>1600</v>
      </c>
      <c r="AC1138" t="s">
        <v>1610</v>
      </c>
      <c r="AD1138" t="s">
        <v>1606</v>
      </c>
      <c r="AE1138" t="s">
        <v>1619</v>
      </c>
      <c r="AF1138" t="s">
        <v>1627</v>
      </c>
    </row>
    <row r="1139" spans="1:32" x14ac:dyDescent="0.25">
      <c r="A1139" t="s">
        <v>1196</v>
      </c>
      <c r="B1139">
        <v>22</v>
      </c>
      <c r="C1139">
        <v>457</v>
      </c>
      <c r="D1139">
        <v>26</v>
      </c>
      <c r="E1139">
        <v>85</v>
      </c>
      <c r="F1139">
        <v>2814</v>
      </c>
      <c r="G1139">
        <v>10293</v>
      </c>
      <c r="H1139">
        <v>1</v>
      </c>
      <c r="I1139">
        <v>14</v>
      </c>
      <c r="J1139">
        <v>4</v>
      </c>
      <c r="K1139">
        <v>2</v>
      </c>
      <c r="L1139">
        <v>4</v>
      </c>
      <c r="M1139">
        <v>2</v>
      </c>
      <c r="N1139">
        <v>1</v>
      </c>
      <c r="O1139">
        <v>3</v>
      </c>
      <c r="P1139" t="s">
        <v>1556</v>
      </c>
      <c r="Q1139" t="s">
        <v>1554</v>
      </c>
      <c r="R1139" t="s">
        <v>1550</v>
      </c>
      <c r="S1139" t="s">
        <v>1533</v>
      </c>
      <c r="T1139" t="s">
        <v>1539</v>
      </c>
      <c r="U1139" t="s">
        <v>1546</v>
      </c>
      <c r="V1139" t="s">
        <v>1558</v>
      </c>
      <c r="W1139" t="s">
        <v>1562</v>
      </c>
      <c r="X1139" t="s">
        <v>1575</v>
      </c>
      <c r="Y1139" t="s">
        <v>1582</v>
      </c>
      <c r="Z1139" t="s">
        <v>1593</v>
      </c>
      <c r="AA1139" t="s">
        <v>1597</v>
      </c>
      <c r="AB1139" t="s">
        <v>1600</v>
      </c>
      <c r="AC1139" t="s">
        <v>1610</v>
      </c>
      <c r="AD1139" t="s">
        <v>1605</v>
      </c>
      <c r="AE1139" t="s">
        <v>1616</v>
      </c>
      <c r="AF1139" t="s">
        <v>1626</v>
      </c>
    </row>
    <row r="1140" spans="1:32" x14ac:dyDescent="0.25">
      <c r="A1140" t="s">
        <v>1197</v>
      </c>
      <c r="B1140">
        <v>50</v>
      </c>
      <c r="C1140">
        <v>1234</v>
      </c>
      <c r="D1140">
        <v>20</v>
      </c>
      <c r="E1140">
        <v>41</v>
      </c>
      <c r="F1140">
        <v>11245</v>
      </c>
      <c r="G1140">
        <v>20689</v>
      </c>
      <c r="H1140">
        <v>2</v>
      </c>
      <c r="I1140">
        <v>15</v>
      </c>
      <c r="J1140">
        <v>32</v>
      </c>
      <c r="K1140">
        <v>3</v>
      </c>
      <c r="L1140">
        <v>30</v>
      </c>
      <c r="M1140">
        <v>8</v>
      </c>
      <c r="N1140">
        <v>12</v>
      </c>
      <c r="O1140">
        <v>13</v>
      </c>
      <c r="P1140" t="s">
        <v>1556</v>
      </c>
      <c r="Q1140" t="s">
        <v>1553</v>
      </c>
      <c r="R1140" t="s">
        <v>1550</v>
      </c>
      <c r="S1140" t="s">
        <v>1536</v>
      </c>
      <c r="T1140" t="s">
        <v>1540</v>
      </c>
      <c r="U1140" t="s">
        <v>1546</v>
      </c>
      <c r="V1140" t="s">
        <v>1559</v>
      </c>
      <c r="W1140" t="s">
        <v>1563</v>
      </c>
      <c r="X1140" t="s">
        <v>1578</v>
      </c>
      <c r="Y1140" t="s">
        <v>1585</v>
      </c>
      <c r="Z1140" t="s">
        <v>1593</v>
      </c>
      <c r="AA1140" t="s">
        <v>1597</v>
      </c>
      <c r="AB1140" t="s">
        <v>1600</v>
      </c>
      <c r="AC1140" t="s">
        <v>1610</v>
      </c>
      <c r="AD1140" t="s">
        <v>1606</v>
      </c>
      <c r="AE1140" t="s">
        <v>1617</v>
      </c>
      <c r="AF1140" t="s">
        <v>1627</v>
      </c>
    </row>
    <row r="1141" spans="1:32" x14ac:dyDescent="0.25">
      <c r="A1141" t="s">
        <v>1198</v>
      </c>
      <c r="B1141">
        <v>32</v>
      </c>
      <c r="C1141">
        <v>634</v>
      </c>
      <c r="D1141">
        <v>5</v>
      </c>
      <c r="E1141">
        <v>35</v>
      </c>
      <c r="F1141">
        <v>3312</v>
      </c>
      <c r="G1141">
        <v>18783</v>
      </c>
      <c r="H1141">
        <v>3</v>
      </c>
      <c r="I1141">
        <v>17</v>
      </c>
      <c r="J1141">
        <v>6</v>
      </c>
      <c r="K1141">
        <v>3</v>
      </c>
      <c r="L1141">
        <v>3</v>
      </c>
      <c r="M1141">
        <v>2</v>
      </c>
      <c r="N1141">
        <v>0</v>
      </c>
      <c r="O1141">
        <v>2</v>
      </c>
      <c r="P1141" t="s">
        <v>1556</v>
      </c>
      <c r="Q1141" t="s">
        <v>1552</v>
      </c>
      <c r="R1141" t="s">
        <v>1550</v>
      </c>
      <c r="S1141" t="s">
        <v>1535</v>
      </c>
      <c r="T1141" t="s">
        <v>1539</v>
      </c>
      <c r="U1141" t="s">
        <v>1546</v>
      </c>
      <c r="V1141" t="s">
        <v>1558</v>
      </c>
      <c r="W1141" t="s">
        <v>1564</v>
      </c>
      <c r="X1141" t="s">
        <v>1575</v>
      </c>
      <c r="Y1141" t="s">
        <v>1582</v>
      </c>
      <c r="Z1141" t="s">
        <v>1594</v>
      </c>
      <c r="AA1141" t="s">
        <v>1597</v>
      </c>
      <c r="AB1141" t="s">
        <v>1601</v>
      </c>
      <c r="AC1141" t="s">
        <v>1610</v>
      </c>
      <c r="AD1141" t="s">
        <v>1607</v>
      </c>
      <c r="AE1141" t="s">
        <v>1618</v>
      </c>
      <c r="AF1141" t="s">
        <v>1627</v>
      </c>
    </row>
    <row r="1142" spans="1:32" x14ac:dyDescent="0.25">
      <c r="A1142" t="s">
        <v>1199</v>
      </c>
      <c r="B1142">
        <v>44</v>
      </c>
      <c r="C1142">
        <v>1313</v>
      </c>
      <c r="D1142">
        <v>7</v>
      </c>
      <c r="E1142">
        <v>31</v>
      </c>
      <c r="F1142">
        <v>19049</v>
      </c>
      <c r="G1142">
        <v>3549</v>
      </c>
      <c r="H1142">
        <v>0</v>
      </c>
      <c r="I1142">
        <v>14</v>
      </c>
      <c r="J1142">
        <v>23</v>
      </c>
      <c r="K1142">
        <v>4</v>
      </c>
      <c r="L1142">
        <v>22</v>
      </c>
      <c r="M1142">
        <v>7</v>
      </c>
      <c r="N1142">
        <v>1</v>
      </c>
      <c r="O1142">
        <v>10</v>
      </c>
      <c r="P1142" t="s">
        <v>1556</v>
      </c>
      <c r="Q1142" t="s">
        <v>1552</v>
      </c>
      <c r="R1142" t="s">
        <v>1550</v>
      </c>
      <c r="S1142" t="s">
        <v>1534</v>
      </c>
      <c r="T1142" t="s">
        <v>1540</v>
      </c>
      <c r="U1142" t="s">
        <v>1546</v>
      </c>
      <c r="V1142" t="s">
        <v>1558</v>
      </c>
      <c r="W1142" t="s">
        <v>1563</v>
      </c>
      <c r="X1142" t="s">
        <v>1579</v>
      </c>
      <c r="Y1142" t="s">
        <v>1588</v>
      </c>
      <c r="Z1142" t="s">
        <v>1594</v>
      </c>
      <c r="AA1142" t="s">
        <v>1598</v>
      </c>
      <c r="AB1142" t="s">
        <v>1600</v>
      </c>
      <c r="AC1142" t="s">
        <v>1610</v>
      </c>
      <c r="AD1142" t="s">
        <v>1607</v>
      </c>
      <c r="AE1142" t="s">
        <v>1617</v>
      </c>
      <c r="AF1142" t="s">
        <v>1626</v>
      </c>
    </row>
    <row r="1143" spans="1:32" x14ac:dyDescent="0.25">
      <c r="A1143" t="s">
        <v>1200</v>
      </c>
      <c r="B1143">
        <v>30</v>
      </c>
      <c r="C1143">
        <v>241</v>
      </c>
      <c r="D1143">
        <v>7</v>
      </c>
      <c r="E1143">
        <v>48</v>
      </c>
      <c r="F1143">
        <v>2141</v>
      </c>
      <c r="G1143">
        <v>5348</v>
      </c>
      <c r="H1143">
        <v>1</v>
      </c>
      <c r="I1143">
        <v>12</v>
      </c>
      <c r="J1143">
        <v>6</v>
      </c>
      <c r="K1143">
        <v>3</v>
      </c>
      <c r="L1143">
        <v>6</v>
      </c>
      <c r="M1143">
        <v>4</v>
      </c>
      <c r="N1143">
        <v>1</v>
      </c>
      <c r="O1143">
        <v>1</v>
      </c>
      <c r="P1143" t="s">
        <v>1556</v>
      </c>
      <c r="Q1143" t="s">
        <v>1552</v>
      </c>
      <c r="R1143" t="s">
        <v>1550</v>
      </c>
      <c r="S1143" t="s">
        <v>1534</v>
      </c>
      <c r="T1143" t="s">
        <v>1540</v>
      </c>
      <c r="U1143" t="s">
        <v>1546</v>
      </c>
      <c r="V1143" t="s">
        <v>1559</v>
      </c>
      <c r="W1143" t="s">
        <v>1562</v>
      </c>
      <c r="X1143" t="s">
        <v>1575</v>
      </c>
      <c r="Y1143" t="s">
        <v>1582</v>
      </c>
      <c r="Z1143" t="s">
        <v>1592</v>
      </c>
      <c r="AA1143" t="s">
        <v>1597</v>
      </c>
      <c r="AB1143" t="s">
        <v>1601</v>
      </c>
      <c r="AC1143" t="s">
        <v>1610</v>
      </c>
      <c r="AD1143" t="s">
        <v>1605</v>
      </c>
      <c r="AE1143" t="s">
        <v>1617</v>
      </c>
      <c r="AF1143" t="s">
        <v>1626</v>
      </c>
    </row>
    <row r="1144" spans="1:32" x14ac:dyDescent="0.25">
      <c r="A1144" t="s">
        <v>1201</v>
      </c>
      <c r="B1144">
        <v>45</v>
      </c>
      <c r="C1144">
        <v>1015</v>
      </c>
      <c r="D1144">
        <v>5</v>
      </c>
      <c r="E1144">
        <v>50</v>
      </c>
      <c r="F1144">
        <v>5769</v>
      </c>
      <c r="G1144">
        <v>23447</v>
      </c>
      <c r="H1144">
        <v>1</v>
      </c>
      <c r="I1144">
        <v>14</v>
      </c>
      <c r="J1144">
        <v>10</v>
      </c>
      <c r="K1144">
        <v>3</v>
      </c>
      <c r="L1144">
        <v>10</v>
      </c>
      <c r="M1144">
        <v>7</v>
      </c>
      <c r="N1144">
        <v>1</v>
      </c>
      <c r="O1144">
        <v>4</v>
      </c>
      <c r="P1144" t="s">
        <v>1556</v>
      </c>
      <c r="Q1144" t="s">
        <v>1552</v>
      </c>
      <c r="R1144" t="s">
        <v>1550</v>
      </c>
      <c r="S1144" t="s">
        <v>1536</v>
      </c>
      <c r="T1144" t="s">
        <v>1540</v>
      </c>
      <c r="U1144" t="s">
        <v>1547</v>
      </c>
      <c r="V1144" t="s">
        <v>1558</v>
      </c>
      <c r="W1144" t="s">
        <v>1561</v>
      </c>
      <c r="X1144" t="s">
        <v>1576</v>
      </c>
      <c r="Y1144" t="s">
        <v>1583</v>
      </c>
      <c r="Z1144" t="s">
        <v>1591</v>
      </c>
      <c r="AA1144" t="s">
        <v>1596</v>
      </c>
      <c r="AB1144" t="s">
        <v>1600</v>
      </c>
      <c r="AC1144" t="s">
        <v>1610</v>
      </c>
      <c r="AD1144" t="s">
        <v>1604</v>
      </c>
      <c r="AE1144" t="s">
        <v>1616</v>
      </c>
      <c r="AF1144" t="s">
        <v>1627</v>
      </c>
    </row>
    <row r="1145" spans="1:32" x14ac:dyDescent="0.25">
      <c r="A1145" t="s">
        <v>1202</v>
      </c>
      <c r="B1145">
        <v>45</v>
      </c>
      <c r="C1145">
        <v>336</v>
      </c>
      <c r="D1145">
        <v>26</v>
      </c>
      <c r="E1145">
        <v>52</v>
      </c>
      <c r="F1145">
        <v>4385</v>
      </c>
      <c r="G1145">
        <v>24162</v>
      </c>
      <c r="H1145">
        <v>1</v>
      </c>
      <c r="I1145">
        <v>15</v>
      </c>
      <c r="J1145">
        <v>10</v>
      </c>
      <c r="K1145">
        <v>2</v>
      </c>
      <c r="L1145">
        <v>10</v>
      </c>
      <c r="M1145">
        <v>7</v>
      </c>
      <c r="N1145">
        <v>4</v>
      </c>
      <c r="O1145">
        <v>5</v>
      </c>
      <c r="P1145" t="s">
        <v>1556</v>
      </c>
      <c r="Q1145" t="s">
        <v>1554</v>
      </c>
      <c r="R1145" t="s">
        <v>1549</v>
      </c>
      <c r="S1145" t="s">
        <v>1534</v>
      </c>
      <c r="T1145" t="s">
        <v>1541</v>
      </c>
      <c r="U1145" t="s">
        <v>1545</v>
      </c>
      <c r="V1145" t="s">
        <v>1559</v>
      </c>
      <c r="W1145" t="s">
        <v>1562</v>
      </c>
      <c r="X1145" t="s">
        <v>1576</v>
      </c>
      <c r="Y1145" t="s">
        <v>1581</v>
      </c>
      <c r="Z1145" t="s">
        <v>1591</v>
      </c>
      <c r="AA1145" t="s">
        <v>1597</v>
      </c>
      <c r="AB1145" t="s">
        <v>1601</v>
      </c>
      <c r="AC1145" t="s">
        <v>1610</v>
      </c>
      <c r="AD1145" t="s">
        <v>1604</v>
      </c>
      <c r="AE1145" t="s">
        <v>1617</v>
      </c>
      <c r="AF1145" t="s">
        <v>1627</v>
      </c>
    </row>
    <row r="1146" spans="1:32" x14ac:dyDescent="0.25">
      <c r="A1146" t="s">
        <v>1203</v>
      </c>
      <c r="B1146">
        <v>31</v>
      </c>
      <c r="C1146">
        <v>715</v>
      </c>
      <c r="D1146">
        <v>2</v>
      </c>
      <c r="E1146">
        <v>54</v>
      </c>
      <c r="F1146">
        <v>5332</v>
      </c>
      <c r="G1146">
        <v>21602</v>
      </c>
      <c r="H1146">
        <v>7</v>
      </c>
      <c r="I1146">
        <v>13</v>
      </c>
      <c r="J1146">
        <v>10</v>
      </c>
      <c r="K1146">
        <v>3</v>
      </c>
      <c r="L1146">
        <v>5</v>
      </c>
      <c r="M1146">
        <v>2</v>
      </c>
      <c r="N1146">
        <v>0</v>
      </c>
      <c r="O1146">
        <v>3</v>
      </c>
      <c r="P1146" t="s">
        <v>1556</v>
      </c>
      <c r="Q1146" t="s">
        <v>1553</v>
      </c>
      <c r="R1146" t="s">
        <v>1549</v>
      </c>
      <c r="S1146" t="s">
        <v>1535</v>
      </c>
      <c r="T1146" t="s">
        <v>1539</v>
      </c>
      <c r="U1146" t="s">
        <v>1548</v>
      </c>
      <c r="V1146" t="s">
        <v>1559</v>
      </c>
      <c r="W1146" t="s">
        <v>1563</v>
      </c>
      <c r="X1146" t="s">
        <v>1576</v>
      </c>
      <c r="Y1146" t="s">
        <v>1581</v>
      </c>
      <c r="Z1146" t="s">
        <v>1591</v>
      </c>
      <c r="AA1146" t="s">
        <v>1596</v>
      </c>
      <c r="AB1146" t="s">
        <v>1601</v>
      </c>
      <c r="AC1146" t="s">
        <v>1610</v>
      </c>
      <c r="AD1146" t="s">
        <v>1607</v>
      </c>
      <c r="AE1146" t="s">
        <v>1616</v>
      </c>
      <c r="AF1146" t="s">
        <v>1627</v>
      </c>
    </row>
    <row r="1147" spans="1:32" x14ac:dyDescent="0.25">
      <c r="A1147" t="s">
        <v>1204</v>
      </c>
      <c r="B1147">
        <v>36</v>
      </c>
      <c r="C1147">
        <v>559</v>
      </c>
      <c r="D1147">
        <v>12</v>
      </c>
      <c r="E1147">
        <v>76</v>
      </c>
      <c r="F1147">
        <v>4663</v>
      </c>
      <c r="G1147">
        <v>12421</v>
      </c>
      <c r="H1147">
        <v>9</v>
      </c>
      <c r="I1147">
        <v>12</v>
      </c>
      <c r="J1147">
        <v>7</v>
      </c>
      <c r="K1147">
        <v>2</v>
      </c>
      <c r="L1147">
        <v>3</v>
      </c>
      <c r="M1147">
        <v>2</v>
      </c>
      <c r="N1147">
        <v>1</v>
      </c>
      <c r="O1147">
        <v>1</v>
      </c>
      <c r="P1147" t="s">
        <v>1556</v>
      </c>
      <c r="Q1147" t="s">
        <v>1552</v>
      </c>
      <c r="R1147" t="s">
        <v>1550</v>
      </c>
      <c r="S1147" t="s">
        <v>1535</v>
      </c>
      <c r="T1147" t="s">
        <v>1538</v>
      </c>
      <c r="U1147" t="s">
        <v>1547</v>
      </c>
      <c r="V1147" t="s">
        <v>1558</v>
      </c>
      <c r="W1147" t="s">
        <v>1563</v>
      </c>
      <c r="X1147" t="s">
        <v>1576</v>
      </c>
      <c r="Y1147" t="s">
        <v>1584</v>
      </c>
      <c r="Z1147" t="s">
        <v>1593</v>
      </c>
      <c r="AA1147" t="s">
        <v>1597</v>
      </c>
      <c r="AB1147" t="s">
        <v>1600</v>
      </c>
      <c r="AC1147" t="s">
        <v>1610</v>
      </c>
      <c r="AD1147" t="s">
        <v>1605</v>
      </c>
      <c r="AE1147" t="s">
        <v>1618</v>
      </c>
      <c r="AF1147" t="s">
        <v>1627</v>
      </c>
    </row>
    <row r="1148" spans="1:32" x14ac:dyDescent="0.25">
      <c r="A1148" t="s">
        <v>1205</v>
      </c>
      <c r="B1148">
        <v>34</v>
      </c>
      <c r="C1148">
        <v>426</v>
      </c>
      <c r="D1148">
        <v>10</v>
      </c>
      <c r="E1148">
        <v>42</v>
      </c>
      <c r="F1148">
        <v>4724</v>
      </c>
      <c r="G1148">
        <v>17000</v>
      </c>
      <c r="H1148">
        <v>1</v>
      </c>
      <c r="I1148">
        <v>13</v>
      </c>
      <c r="J1148">
        <v>9</v>
      </c>
      <c r="K1148">
        <v>3</v>
      </c>
      <c r="L1148">
        <v>9</v>
      </c>
      <c r="M1148">
        <v>7</v>
      </c>
      <c r="N1148">
        <v>7</v>
      </c>
      <c r="O1148">
        <v>2</v>
      </c>
      <c r="P1148" t="s">
        <v>1556</v>
      </c>
      <c r="Q1148" t="s">
        <v>1553</v>
      </c>
      <c r="R1148" t="s">
        <v>1550</v>
      </c>
      <c r="S1148" t="s">
        <v>1535</v>
      </c>
      <c r="T1148" t="s">
        <v>1538</v>
      </c>
      <c r="U1148" t="s">
        <v>1547</v>
      </c>
      <c r="V1148" t="s">
        <v>1559</v>
      </c>
      <c r="W1148" t="s">
        <v>1564</v>
      </c>
      <c r="X1148" t="s">
        <v>1576</v>
      </c>
      <c r="Y1148" t="s">
        <v>1584</v>
      </c>
      <c r="Z1148" t="s">
        <v>1594</v>
      </c>
      <c r="AA1148" t="s">
        <v>1598</v>
      </c>
      <c r="AB1148" t="s">
        <v>1601</v>
      </c>
      <c r="AC1148" t="s">
        <v>1610</v>
      </c>
      <c r="AD1148" t="s">
        <v>1604</v>
      </c>
      <c r="AE1148" t="s">
        <v>1617</v>
      </c>
      <c r="AF1148" t="s">
        <v>1627</v>
      </c>
    </row>
    <row r="1149" spans="1:32" x14ac:dyDescent="0.25">
      <c r="A1149" t="s">
        <v>1206</v>
      </c>
      <c r="B1149">
        <v>49</v>
      </c>
      <c r="C1149">
        <v>722</v>
      </c>
      <c r="D1149">
        <v>25</v>
      </c>
      <c r="E1149">
        <v>84</v>
      </c>
      <c r="F1149">
        <v>3211</v>
      </c>
      <c r="G1149">
        <v>22102</v>
      </c>
      <c r="H1149">
        <v>1</v>
      </c>
      <c r="I1149">
        <v>14</v>
      </c>
      <c r="J1149">
        <v>10</v>
      </c>
      <c r="K1149">
        <v>3</v>
      </c>
      <c r="L1149">
        <v>9</v>
      </c>
      <c r="M1149">
        <v>6</v>
      </c>
      <c r="N1149">
        <v>1</v>
      </c>
      <c r="O1149">
        <v>4</v>
      </c>
      <c r="P1149" t="s">
        <v>1556</v>
      </c>
      <c r="Q1149" t="s">
        <v>1552</v>
      </c>
      <c r="R1149" t="s">
        <v>1550</v>
      </c>
      <c r="S1149" t="s">
        <v>1535</v>
      </c>
      <c r="T1149" t="s">
        <v>1538</v>
      </c>
      <c r="U1149" t="s">
        <v>1547</v>
      </c>
      <c r="V1149" t="s">
        <v>1558</v>
      </c>
      <c r="W1149" t="s">
        <v>1563</v>
      </c>
      <c r="X1149" t="s">
        <v>1575</v>
      </c>
      <c r="Y1149" t="s">
        <v>1583</v>
      </c>
      <c r="Z1149" t="s">
        <v>1591</v>
      </c>
      <c r="AA1149" t="s">
        <v>1597</v>
      </c>
      <c r="AB1149" t="s">
        <v>1601</v>
      </c>
      <c r="AC1149" t="s">
        <v>1610</v>
      </c>
      <c r="AD1149" t="s">
        <v>1607</v>
      </c>
      <c r="AE1149" t="s">
        <v>1617</v>
      </c>
      <c r="AF1149" t="s">
        <v>1626</v>
      </c>
    </row>
    <row r="1150" spans="1:32" x14ac:dyDescent="0.25">
      <c r="A1150" t="s">
        <v>1207</v>
      </c>
      <c r="B1150">
        <v>39</v>
      </c>
      <c r="C1150">
        <v>1387</v>
      </c>
      <c r="D1150">
        <v>10</v>
      </c>
      <c r="E1150">
        <v>76</v>
      </c>
      <c r="F1150">
        <v>5377</v>
      </c>
      <c r="G1150">
        <v>3835</v>
      </c>
      <c r="H1150">
        <v>2</v>
      </c>
      <c r="I1150">
        <v>13</v>
      </c>
      <c r="J1150">
        <v>10</v>
      </c>
      <c r="K1150">
        <v>3</v>
      </c>
      <c r="L1150">
        <v>7</v>
      </c>
      <c r="M1150">
        <v>7</v>
      </c>
      <c r="N1150">
        <v>7</v>
      </c>
      <c r="O1150">
        <v>7</v>
      </c>
      <c r="P1150" t="s">
        <v>1556</v>
      </c>
      <c r="Q1150" t="s">
        <v>1552</v>
      </c>
      <c r="R1150" t="s">
        <v>1550</v>
      </c>
      <c r="S1150" t="s">
        <v>1536</v>
      </c>
      <c r="T1150" t="s">
        <v>1540</v>
      </c>
      <c r="U1150" t="s">
        <v>1546</v>
      </c>
      <c r="V1150" t="s">
        <v>1559</v>
      </c>
      <c r="W1150" t="s">
        <v>1563</v>
      </c>
      <c r="X1150" t="s">
        <v>1576</v>
      </c>
      <c r="Y1150" t="s">
        <v>1584</v>
      </c>
      <c r="Z1150" t="s">
        <v>1591</v>
      </c>
      <c r="AA1150" t="s">
        <v>1597</v>
      </c>
      <c r="AB1150" t="s">
        <v>1601</v>
      </c>
      <c r="AC1150" t="s">
        <v>1610</v>
      </c>
      <c r="AD1150" t="s">
        <v>1607</v>
      </c>
      <c r="AE1150" t="s">
        <v>1619</v>
      </c>
      <c r="AF1150" t="s">
        <v>1627</v>
      </c>
    </row>
    <row r="1151" spans="1:32" x14ac:dyDescent="0.25">
      <c r="A1151" t="s">
        <v>1208</v>
      </c>
      <c r="B1151">
        <v>27</v>
      </c>
      <c r="C1151">
        <v>1302</v>
      </c>
      <c r="D1151">
        <v>19</v>
      </c>
      <c r="E1151">
        <v>67</v>
      </c>
      <c r="F1151">
        <v>4066</v>
      </c>
      <c r="G1151">
        <v>16290</v>
      </c>
      <c r="H1151">
        <v>1</v>
      </c>
      <c r="I1151">
        <v>11</v>
      </c>
      <c r="J1151">
        <v>7</v>
      </c>
      <c r="K1151">
        <v>3</v>
      </c>
      <c r="L1151">
        <v>7</v>
      </c>
      <c r="M1151">
        <v>7</v>
      </c>
      <c r="N1151">
        <v>0</v>
      </c>
      <c r="O1151">
        <v>7</v>
      </c>
      <c r="P1151" t="s">
        <v>1556</v>
      </c>
      <c r="Q1151" t="s">
        <v>1552</v>
      </c>
      <c r="R1151" t="s">
        <v>1550</v>
      </c>
      <c r="S1151" t="s">
        <v>1534</v>
      </c>
      <c r="T1151" t="s">
        <v>1539</v>
      </c>
      <c r="U1151" t="s">
        <v>1548</v>
      </c>
      <c r="V1151" t="s">
        <v>1559</v>
      </c>
      <c r="W1151" t="s">
        <v>1562</v>
      </c>
      <c r="X1151" t="s">
        <v>1575</v>
      </c>
      <c r="Y1151" t="s">
        <v>1583</v>
      </c>
      <c r="Z1151" t="s">
        <v>1591</v>
      </c>
      <c r="AA1151" t="s">
        <v>1598</v>
      </c>
      <c r="AB1151" t="s">
        <v>1601</v>
      </c>
      <c r="AC1151" t="s">
        <v>1610</v>
      </c>
      <c r="AD1151" t="s">
        <v>1604</v>
      </c>
      <c r="AE1151" t="s">
        <v>1618</v>
      </c>
      <c r="AF1151" t="s">
        <v>1627</v>
      </c>
    </row>
    <row r="1152" spans="1:32" x14ac:dyDescent="0.25">
      <c r="A1152" t="s">
        <v>1209</v>
      </c>
      <c r="B1152">
        <v>35</v>
      </c>
      <c r="C1152">
        <v>819</v>
      </c>
      <c r="D1152">
        <v>18</v>
      </c>
      <c r="E1152">
        <v>48</v>
      </c>
      <c r="F1152">
        <v>5208</v>
      </c>
      <c r="G1152">
        <v>26312</v>
      </c>
      <c r="H1152">
        <v>1</v>
      </c>
      <c r="I1152">
        <v>11</v>
      </c>
      <c r="J1152">
        <v>16</v>
      </c>
      <c r="K1152">
        <v>2</v>
      </c>
      <c r="L1152">
        <v>16</v>
      </c>
      <c r="M1152">
        <v>15</v>
      </c>
      <c r="N1152">
        <v>1</v>
      </c>
      <c r="O1152">
        <v>10</v>
      </c>
      <c r="P1152" t="s">
        <v>1556</v>
      </c>
      <c r="Q1152" t="s">
        <v>1552</v>
      </c>
      <c r="R1152" t="s">
        <v>1550</v>
      </c>
      <c r="S1152" t="s">
        <v>1536</v>
      </c>
      <c r="T1152" t="s">
        <v>1538</v>
      </c>
      <c r="U1152" t="s">
        <v>1546</v>
      </c>
      <c r="V1152" t="s">
        <v>1559</v>
      </c>
      <c r="W1152" t="s">
        <v>1564</v>
      </c>
      <c r="X1152" t="s">
        <v>1576</v>
      </c>
      <c r="Y1152" t="s">
        <v>1582</v>
      </c>
      <c r="Z1152" t="s">
        <v>1591</v>
      </c>
      <c r="AA1152" t="s">
        <v>1597</v>
      </c>
      <c r="AB1152" t="s">
        <v>1601</v>
      </c>
      <c r="AC1152" t="s">
        <v>1610</v>
      </c>
      <c r="AD1152" t="s">
        <v>1607</v>
      </c>
      <c r="AE1152" t="s">
        <v>1616</v>
      </c>
      <c r="AF1152" t="s">
        <v>1627</v>
      </c>
    </row>
    <row r="1153" spans="1:32" x14ac:dyDescent="0.25">
      <c r="A1153" t="s">
        <v>1210</v>
      </c>
      <c r="B1153">
        <v>28</v>
      </c>
      <c r="C1153">
        <v>580</v>
      </c>
      <c r="D1153">
        <v>27</v>
      </c>
      <c r="E1153">
        <v>39</v>
      </c>
      <c r="F1153">
        <v>4877</v>
      </c>
      <c r="G1153">
        <v>20460</v>
      </c>
      <c r="H1153">
        <v>0</v>
      </c>
      <c r="I1153">
        <v>21</v>
      </c>
      <c r="J1153">
        <v>6</v>
      </c>
      <c r="K1153">
        <v>5</v>
      </c>
      <c r="L1153">
        <v>5</v>
      </c>
      <c r="M1153">
        <v>3</v>
      </c>
      <c r="N1153">
        <v>0</v>
      </c>
      <c r="O1153">
        <v>0</v>
      </c>
      <c r="P1153" t="s">
        <v>1556</v>
      </c>
      <c r="Q1153" t="s">
        <v>1552</v>
      </c>
      <c r="R1153" t="s">
        <v>1550</v>
      </c>
      <c r="S1153" t="s">
        <v>1534</v>
      </c>
      <c r="T1153" t="s">
        <v>1540</v>
      </c>
      <c r="U1153" t="s">
        <v>1546</v>
      </c>
      <c r="V1153" t="s">
        <v>1558</v>
      </c>
      <c r="W1153" t="s">
        <v>1561</v>
      </c>
      <c r="X1153" t="s">
        <v>1576</v>
      </c>
      <c r="Y1153" t="s">
        <v>1584</v>
      </c>
      <c r="Z1153" t="s">
        <v>1591</v>
      </c>
      <c r="AA1153" t="s">
        <v>1598</v>
      </c>
      <c r="AB1153" t="s">
        <v>1601</v>
      </c>
      <c r="AC1153" t="s">
        <v>1611</v>
      </c>
      <c r="AD1153" t="s">
        <v>1605</v>
      </c>
      <c r="AE1153" t="s">
        <v>1617</v>
      </c>
      <c r="AF1153" t="s">
        <v>1626</v>
      </c>
    </row>
    <row r="1154" spans="1:32" x14ac:dyDescent="0.25">
      <c r="A1154" t="s">
        <v>1211</v>
      </c>
      <c r="B1154">
        <v>21</v>
      </c>
      <c r="C1154">
        <v>546</v>
      </c>
      <c r="D1154">
        <v>5</v>
      </c>
      <c r="E1154">
        <v>97</v>
      </c>
      <c r="F1154">
        <v>3117</v>
      </c>
      <c r="G1154">
        <v>26009</v>
      </c>
      <c r="H1154">
        <v>1</v>
      </c>
      <c r="I1154">
        <v>18</v>
      </c>
      <c r="J1154">
        <v>3</v>
      </c>
      <c r="K1154">
        <v>2</v>
      </c>
      <c r="L1154">
        <v>2</v>
      </c>
      <c r="M1154">
        <v>2</v>
      </c>
      <c r="N1154">
        <v>2</v>
      </c>
      <c r="O1154">
        <v>2</v>
      </c>
      <c r="P1154" t="s">
        <v>1556</v>
      </c>
      <c r="Q1154" t="s">
        <v>1552</v>
      </c>
      <c r="R1154" t="s">
        <v>1550</v>
      </c>
      <c r="S1154" t="s">
        <v>1532</v>
      </c>
      <c r="T1154" t="s">
        <v>1540</v>
      </c>
      <c r="U1154" t="s">
        <v>1547</v>
      </c>
      <c r="V1154" t="s">
        <v>1559</v>
      </c>
      <c r="W1154" t="s">
        <v>1563</v>
      </c>
      <c r="X1154" t="s">
        <v>1575</v>
      </c>
      <c r="Y1154" t="s">
        <v>1582</v>
      </c>
      <c r="Z1154" t="s">
        <v>1594</v>
      </c>
      <c r="AA1154" t="s">
        <v>1596</v>
      </c>
      <c r="AB1154" t="s">
        <v>1601</v>
      </c>
      <c r="AC1154" t="s">
        <v>1610</v>
      </c>
      <c r="AD1154" t="s">
        <v>1606</v>
      </c>
      <c r="AE1154" t="s">
        <v>1616</v>
      </c>
      <c r="AF1154" t="s">
        <v>1627</v>
      </c>
    </row>
    <row r="1155" spans="1:32" x14ac:dyDescent="0.25">
      <c r="A1155" t="s">
        <v>1212</v>
      </c>
      <c r="B1155">
        <v>18</v>
      </c>
      <c r="C1155">
        <v>544</v>
      </c>
      <c r="D1155">
        <v>3</v>
      </c>
      <c r="E1155">
        <v>70</v>
      </c>
      <c r="F1155">
        <v>1569</v>
      </c>
      <c r="G1155">
        <v>18420</v>
      </c>
      <c r="H1155">
        <v>1</v>
      </c>
      <c r="I1155">
        <v>12</v>
      </c>
      <c r="J1155">
        <v>0</v>
      </c>
      <c r="K1155">
        <v>2</v>
      </c>
      <c r="L1155">
        <v>0</v>
      </c>
      <c r="M1155">
        <v>0</v>
      </c>
      <c r="N1155">
        <v>0</v>
      </c>
      <c r="O1155">
        <v>0</v>
      </c>
      <c r="P1155" t="s">
        <v>1555</v>
      </c>
      <c r="Q1155" t="s">
        <v>1553</v>
      </c>
      <c r="R1155" t="s">
        <v>1549</v>
      </c>
      <c r="S1155" t="s">
        <v>1533</v>
      </c>
      <c r="T1155" t="s">
        <v>1540</v>
      </c>
      <c r="U1155" t="s">
        <v>1546</v>
      </c>
      <c r="V1155" t="s">
        <v>1558</v>
      </c>
      <c r="W1155" t="s">
        <v>1563</v>
      </c>
      <c r="X1155" t="s">
        <v>1575</v>
      </c>
      <c r="Y1155" t="s">
        <v>1587</v>
      </c>
      <c r="Z1155" t="s">
        <v>1594</v>
      </c>
      <c r="AA1155" t="s">
        <v>1596</v>
      </c>
      <c r="AB1155" t="s">
        <v>1600</v>
      </c>
      <c r="AC1155" t="s">
        <v>1610</v>
      </c>
      <c r="AD1155" t="s">
        <v>1606</v>
      </c>
      <c r="AE1155" t="s">
        <v>1616</v>
      </c>
      <c r="AF1155" t="s">
        <v>1628</v>
      </c>
    </row>
    <row r="1156" spans="1:32" x14ac:dyDescent="0.25">
      <c r="A1156" t="s">
        <v>1213</v>
      </c>
      <c r="B1156">
        <v>47</v>
      </c>
      <c r="C1156">
        <v>1176</v>
      </c>
      <c r="D1156">
        <v>26</v>
      </c>
      <c r="E1156">
        <v>98</v>
      </c>
      <c r="F1156">
        <v>19658</v>
      </c>
      <c r="G1156">
        <v>5220</v>
      </c>
      <c r="H1156">
        <v>3</v>
      </c>
      <c r="I1156">
        <v>11</v>
      </c>
      <c r="J1156">
        <v>27</v>
      </c>
      <c r="K1156">
        <v>2</v>
      </c>
      <c r="L1156">
        <v>5</v>
      </c>
      <c r="M1156">
        <v>2</v>
      </c>
      <c r="N1156">
        <v>1</v>
      </c>
      <c r="O1156">
        <v>0</v>
      </c>
      <c r="P1156" t="s">
        <v>1556</v>
      </c>
      <c r="Q1156" t="s">
        <v>1552</v>
      </c>
      <c r="R1156" t="s">
        <v>1551</v>
      </c>
      <c r="S1156" t="s">
        <v>1535</v>
      </c>
      <c r="T1156" t="s">
        <v>1538</v>
      </c>
      <c r="U1156" t="s">
        <v>1548</v>
      </c>
      <c r="V1156" t="s">
        <v>1558</v>
      </c>
      <c r="W1156" t="s">
        <v>1563</v>
      </c>
      <c r="X1156" t="s">
        <v>1579</v>
      </c>
      <c r="Y1156" t="s">
        <v>1586</v>
      </c>
      <c r="Z1156" t="s">
        <v>1593</v>
      </c>
      <c r="AA1156" t="s">
        <v>1597</v>
      </c>
      <c r="AB1156" t="s">
        <v>1601</v>
      </c>
      <c r="AC1156" t="s">
        <v>1610</v>
      </c>
      <c r="AD1156" t="s">
        <v>1606</v>
      </c>
      <c r="AE1156" t="s">
        <v>1617</v>
      </c>
      <c r="AF1156" t="s">
        <v>1627</v>
      </c>
    </row>
    <row r="1157" spans="1:32" x14ac:dyDescent="0.25">
      <c r="A1157" t="s">
        <v>1214</v>
      </c>
      <c r="B1157">
        <v>39</v>
      </c>
      <c r="C1157">
        <v>170</v>
      </c>
      <c r="D1157">
        <v>3</v>
      </c>
      <c r="E1157">
        <v>76</v>
      </c>
      <c r="F1157">
        <v>3069</v>
      </c>
      <c r="G1157">
        <v>10302</v>
      </c>
      <c r="H1157">
        <v>0</v>
      </c>
      <c r="I1157">
        <v>15</v>
      </c>
      <c r="J1157">
        <v>11</v>
      </c>
      <c r="K1157">
        <v>3</v>
      </c>
      <c r="L1157">
        <v>10</v>
      </c>
      <c r="M1157">
        <v>8</v>
      </c>
      <c r="N1157">
        <v>0</v>
      </c>
      <c r="O1157">
        <v>7</v>
      </c>
      <c r="P1157" t="s">
        <v>1556</v>
      </c>
      <c r="Q1157" t="s">
        <v>1552</v>
      </c>
      <c r="R1157" t="s">
        <v>1550</v>
      </c>
      <c r="S1157" t="s">
        <v>1533</v>
      </c>
      <c r="T1157" t="s">
        <v>1540</v>
      </c>
      <c r="U1157" t="s">
        <v>1547</v>
      </c>
      <c r="V1157" t="s">
        <v>1559</v>
      </c>
      <c r="W1157" t="s">
        <v>1562</v>
      </c>
      <c r="X1157" t="s">
        <v>1576</v>
      </c>
      <c r="Y1157" t="s">
        <v>1583</v>
      </c>
      <c r="Z1157" t="s">
        <v>1593</v>
      </c>
      <c r="AA1157" t="s">
        <v>1598</v>
      </c>
      <c r="AB1157" t="s">
        <v>1601</v>
      </c>
      <c r="AC1157" t="s">
        <v>1610</v>
      </c>
      <c r="AD1157" t="s">
        <v>1607</v>
      </c>
      <c r="AE1157" t="s">
        <v>1617</v>
      </c>
      <c r="AF1157" t="s">
        <v>1627</v>
      </c>
    </row>
    <row r="1158" spans="1:32" x14ac:dyDescent="0.25">
      <c r="A1158" t="s">
        <v>1215</v>
      </c>
      <c r="B1158">
        <v>40</v>
      </c>
      <c r="C1158">
        <v>884</v>
      </c>
      <c r="D1158">
        <v>15</v>
      </c>
      <c r="E1158">
        <v>80</v>
      </c>
      <c r="F1158">
        <v>10435</v>
      </c>
      <c r="G1158">
        <v>25800</v>
      </c>
      <c r="H1158">
        <v>1</v>
      </c>
      <c r="I1158">
        <v>13</v>
      </c>
      <c r="J1158">
        <v>18</v>
      </c>
      <c r="K1158">
        <v>2</v>
      </c>
      <c r="L1158">
        <v>18</v>
      </c>
      <c r="M1158">
        <v>15</v>
      </c>
      <c r="N1158">
        <v>14</v>
      </c>
      <c r="O1158">
        <v>12</v>
      </c>
      <c r="P1158" t="s">
        <v>1556</v>
      </c>
      <c r="Q1158" t="s">
        <v>1552</v>
      </c>
      <c r="R1158" t="s">
        <v>1550</v>
      </c>
      <c r="S1158" t="s">
        <v>1534</v>
      </c>
      <c r="T1158" t="s">
        <v>1538</v>
      </c>
      <c r="U1158" t="s">
        <v>1545</v>
      </c>
      <c r="V1158" t="s">
        <v>1558</v>
      </c>
      <c r="W1158" t="s">
        <v>1562</v>
      </c>
      <c r="X1158" t="s">
        <v>1577</v>
      </c>
      <c r="Y1158" t="s">
        <v>1584</v>
      </c>
      <c r="Z1158" t="s">
        <v>1593</v>
      </c>
      <c r="AA1158" t="s">
        <v>1597</v>
      </c>
      <c r="AB1158" t="s">
        <v>1601</v>
      </c>
      <c r="AC1158" t="s">
        <v>1610</v>
      </c>
      <c r="AD1158" t="s">
        <v>1607</v>
      </c>
      <c r="AE1158" t="s">
        <v>1618</v>
      </c>
      <c r="AF1158" t="s">
        <v>1627</v>
      </c>
    </row>
    <row r="1159" spans="1:32" x14ac:dyDescent="0.25">
      <c r="A1159" t="s">
        <v>1216</v>
      </c>
      <c r="B1159">
        <v>35</v>
      </c>
      <c r="C1159">
        <v>208</v>
      </c>
      <c r="D1159">
        <v>8</v>
      </c>
      <c r="E1159">
        <v>52</v>
      </c>
      <c r="F1159">
        <v>4148</v>
      </c>
      <c r="G1159">
        <v>12250</v>
      </c>
      <c r="H1159">
        <v>1</v>
      </c>
      <c r="I1159">
        <v>12</v>
      </c>
      <c r="J1159">
        <v>15</v>
      </c>
      <c r="K1159">
        <v>5</v>
      </c>
      <c r="L1159">
        <v>14</v>
      </c>
      <c r="M1159">
        <v>11</v>
      </c>
      <c r="N1159">
        <v>2</v>
      </c>
      <c r="O1159">
        <v>9</v>
      </c>
      <c r="P1159" t="s">
        <v>1556</v>
      </c>
      <c r="Q1159" t="s">
        <v>1554</v>
      </c>
      <c r="R1159" t="s">
        <v>1550</v>
      </c>
      <c r="S1159" t="s">
        <v>1535</v>
      </c>
      <c r="T1159" t="s">
        <v>1538</v>
      </c>
      <c r="U1159" t="s">
        <v>1547</v>
      </c>
      <c r="V1159" t="s">
        <v>1558</v>
      </c>
      <c r="W1159" t="s">
        <v>1563</v>
      </c>
      <c r="X1159" t="s">
        <v>1576</v>
      </c>
      <c r="Y1159" t="s">
        <v>1585</v>
      </c>
      <c r="Z1159" t="s">
        <v>1593</v>
      </c>
      <c r="AA1159" t="s">
        <v>1597</v>
      </c>
      <c r="AB1159" t="s">
        <v>1601</v>
      </c>
      <c r="AC1159" t="s">
        <v>1610</v>
      </c>
      <c r="AD1159" t="s">
        <v>1607</v>
      </c>
      <c r="AE1159" t="s">
        <v>1617</v>
      </c>
      <c r="AF1159" t="s">
        <v>1627</v>
      </c>
    </row>
    <row r="1160" spans="1:32" x14ac:dyDescent="0.25">
      <c r="A1160" t="s">
        <v>1217</v>
      </c>
      <c r="B1160">
        <v>37</v>
      </c>
      <c r="C1160">
        <v>671</v>
      </c>
      <c r="D1160">
        <v>19</v>
      </c>
      <c r="E1160">
        <v>85</v>
      </c>
      <c r="F1160">
        <v>5768</v>
      </c>
      <c r="G1160">
        <v>26493</v>
      </c>
      <c r="H1160">
        <v>3</v>
      </c>
      <c r="I1160">
        <v>17</v>
      </c>
      <c r="J1160">
        <v>9</v>
      </c>
      <c r="K1160">
        <v>2</v>
      </c>
      <c r="L1160">
        <v>4</v>
      </c>
      <c r="M1160">
        <v>3</v>
      </c>
      <c r="N1160">
        <v>0</v>
      </c>
      <c r="O1160">
        <v>2</v>
      </c>
      <c r="P1160" t="s">
        <v>1556</v>
      </c>
      <c r="Q1160" t="s">
        <v>1552</v>
      </c>
      <c r="R1160" t="s">
        <v>1550</v>
      </c>
      <c r="S1160" t="s">
        <v>1534</v>
      </c>
      <c r="T1160" t="s">
        <v>1538</v>
      </c>
      <c r="U1160" t="s">
        <v>1547</v>
      </c>
      <c r="V1160" t="s">
        <v>1559</v>
      </c>
      <c r="W1160" t="s">
        <v>1563</v>
      </c>
      <c r="X1160" t="s">
        <v>1576</v>
      </c>
      <c r="Y1160" t="s">
        <v>1584</v>
      </c>
      <c r="Z1160" t="s">
        <v>1593</v>
      </c>
      <c r="AA1160" t="s">
        <v>1597</v>
      </c>
      <c r="AB1160" t="s">
        <v>1601</v>
      </c>
      <c r="AC1160" t="s">
        <v>1610</v>
      </c>
      <c r="AD1160" t="s">
        <v>1604</v>
      </c>
      <c r="AE1160" t="s">
        <v>1619</v>
      </c>
      <c r="AF1160" t="s">
        <v>1626</v>
      </c>
    </row>
    <row r="1161" spans="1:32" x14ac:dyDescent="0.25">
      <c r="A1161" t="s">
        <v>1218</v>
      </c>
      <c r="B1161">
        <v>39</v>
      </c>
      <c r="C1161">
        <v>711</v>
      </c>
      <c r="D1161">
        <v>4</v>
      </c>
      <c r="E1161">
        <v>81</v>
      </c>
      <c r="F1161">
        <v>5042</v>
      </c>
      <c r="G1161">
        <v>3140</v>
      </c>
      <c r="H1161">
        <v>0</v>
      </c>
      <c r="I1161">
        <v>13</v>
      </c>
      <c r="J1161">
        <v>10</v>
      </c>
      <c r="K1161">
        <v>2</v>
      </c>
      <c r="L1161">
        <v>9</v>
      </c>
      <c r="M1161">
        <v>2</v>
      </c>
      <c r="N1161">
        <v>3</v>
      </c>
      <c r="O1161">
        <v>8</v>
      </c>
      <c r="P1161" t="s">
        <v>1556</v>
      </c>
      <c r="Q1161" t="s">
        <v>1553</v>
      </c>
      <c r="R1161" t="s">
        <v>1550</v>
      </c>
      <c r="S1161" t="s">
        <v>1534</v>
      </c>
      <c r="T1161" t="s">
        <v>1540</v>
      </c>
      <c r="U1161" t="s">
        <v>1545</v>
      </c>
      <c r="V1161" t="s">
        <v>1558</v>
      </c>
      <c r="W1161" t="s">
        <v>1563</v>
      </c>
      <c r="X1161" t="s">
        <v>1576</v>
      </c>
      <c r="Y1161" t="s">
        <v>1584</v>
      </c>
      <c r="Z1161" t="s">
        <v>1593</v>
      </c>
      <c r="AA1161" t="s">
        <v>1596</v>
      </c>
      <c r="AB1161" t="s">
        <v>1601</v>
      </c>
      <c r="AC1161" t="s">
        <v>1610</v>
      </c>
      <c r="AD1161" t="s">
        <v>1607</v>
      </c>
      <c r="AE1161" t="s">
        <v>1616</v>
      </c>
      <c r="AF1161" t="s">
        <v>1625</v>
      </c>
    </row>
    <row r="1162" spans="1:32" x14ac:dyDescent="0.25">
      <c r="A1162" t="s">
        <v>1219</v>
      </c>
      <c r="B1162">
        <v>45</v>
      </c>
      <c r="C1162">
        <v>1329</v>
      </c>
      <c r="D1162">
        <v>2</v>
      </c>
      <c r="E1162">
        <v>59</v>
      </c>
      <c r="F1162">
        <v>5770</v>
      </c>
      <c r="G1162">
        <v>5388</v>
      </c>
      <c r="H1162">
        <v>1</v>
      </c>
      <c r="I1162">
        <v>19</v>
      </c>
      <c r="J1162">
        <v>10</v>
      </c>
      <c r="K1162">
        <v>3</v>
      </c>
      <c r="L1162">
        <v>10</v>
      </c>
      <c r="M1162">
        <v>7</v>
      </c>
      <c r="N1162">
        <v>3</v>
      </c>
      <c r="O1162">
        <v>9</v>
      </c>
      <c r="P1162" t="s">
        <v>1556</v>
      </c>
      <c r="Q1162" t="s">
        <v>1552</v>
      </c>
      <c r="R1162" t="s">
        <v>1550</v>
      </c>
      <c r="S1162" t="s">
        <v>1533</v>
      </c>
      <c r="T1162" t="s">
        <v>1539</v>
      </c>
      <c r="U1162" t="s">
        <v>1548</v>
      </c>
      <c r="V1162" t="s">
        <v>1558</v>
      </c>
      <c r="W1162" t="s">
        <v>1562</v>
      </c>
      <c r="X1162" t="s">
        <v>1576</v>
      </c>
      <c r="Y1162" t="s">
        <v>1584</v>
      </c>
      <c r="Z1162" t="s">
        <v>1594</v>
      </c>
      <c r="AA1162" t="s">
        <v>1598</v>
      </c>
      <c r="AB1162" t="s">
        <v>1601</v>
      </c>
      <c r="AC1162" t="s">
        <v>1610</v>
      </c>
      <c r="AD1162" t="s">
        <v>1604</v>
      </c>
      <c r="AE1162" t="s">
        <v>1618</v>
      </c>
      <c r="AF1162" t="s">
        <v>1627</v>
      </c>
    </row>
    <row r="1163" spans="1:32" x14ac:dyDescent="0.25">
      <c r="A1163" t="s">
        <v>1220</v>
      </c>
      <c r="B1163">
        <v>38</v>
      </c>
      <c r="C1163">
        <v>397</v>
      </c>
      <c r="D1163">
        <v>2</v>
      </c>
      <c r="E1163">
        <v>54</v>
      </c>
      <c r="F1163">
        <v>7756</v>
      </c>
      <c r="G1163">
        <v>14199</v>
      </c>
      <c r="H1163">
        <v>3</v>
      </c>
      <c r="I1163">
        <v>19</v>
      </c>
      <c r="J1163">
        <v>10</v>
      </c>
      <c r="K1163">
        <v>6</v>
      </c>
      <c r="L1163">
        <v>5</v>
      </c>
      <c r="M1163">
        <v>4</v>
      </c>
      <c r="N1163">
        <v>0</v>
      </c>
      <c r="O1163">
        <v>2</v>
      </c>
      <c r="P1163" t="s">
        <v>1556</v>
      </c>
      <c r="Q1163" t="s">
        <v>1552</v>
      </c>
      <c r="R1163" t="s">
        <v>1550</v>
      </c>
      <c r="S1163" t="s">
        <v>1533</v>
      </c>
      <c r="T1163" t="s">
        <v>1540</v>
      </c>
      <c r="U1163" t="s">
        <v>1548</v>
      </c>
      <c r="V1163" t="s">
        <v>1558</v>
      </c>
      <c r="W1163" t="s">
        <v>1562</v>
      </c>
      <c r="X1163" t="s">
        <v>1577</v>
      </c>
      <c r="Y1163" t="s">
        <v>1584</v>
      </c>
      <c r="Z1163" t="s">
        <v>1593</v>
      </c>
      <c r="AA1163" t="s">
        <v>1597</v>
      </c>
      <c r="AB1163" t="s">
        <v>1600</v>
      </c>
      <c r="AC1163" t="s">
        <v>1610</v>
      </c>
      <c r="AD1163" t="s">
        <v>1607</v>
      </c>
      <c r="AE1163" t="s">
        <v>1617</v>
      </c>
      <c r="AF1163" t="s">
        <v>1628</v>
      </c>
    </row>
    <row r="1164" spans="1:32" x14ac:dyDescent="0.25">
      <c r="A1164" t="s">
        <v>1221</v>
      </c>
      <c r="B1164">
        <v>35</v>
      </c>
      <c r="C1164">
        <v>737</v>
      </c>
      <c r="D1164">
        <v>10</v>
      </c>
      <c r="E1164">
        <v>55</v>
      </c>
      <c r="F1164">
        <v>10306</v>
      </c>
      <c r="G1164">
        <v>21530</v>
      </c>
      <c r="H1164">
        <v>9</v>
      </c>
      <c r="I1164">
        <v>17</v>
      </c>
      <c r="J1164">
        <v>15</v>
      </c>
      <c r="K1164">
        <v>3</v>
      </c>
      <c r="L1164">
        <v>13</v>
      </c>
      <c r="M1164">
        <v>12</v>
      </c>
      <c r="N1164">
        <v>6</v>
      </c>
      <c r="O1164">
        <v>0</v>
      </c>
      <c r="P1164" t="s">
        <v>1555</v>
      </c>
      <c r="Q1164" t="s">
        <v>1552</v>
      </c>
      <c r="R1164" t="s">
        <v>1549</v>
      </c>
      <c r="S1164" t="s">
        <v>1534</v>
      </c>
      <c r="T1164" t="s">
        <v>1540</v>
      </c>
      <c r="U1164" t="s">
        <v>1548</v>
      </c>
      <c r="V1164" t="s">
        <v>1559</v>
      </c>
      <c r="W1164" t="s">
        <v>1562</v>
      </c>
      <c r="X1164" t="s">
        <v>1577</v>
      </c>
      <c r="Y1164" t="s">
        <v>1581</v>
      </c>
      <c r="Z1164" t="s">
        <v>1591</v>
      </c>
      <c r="AA1164" t="s">
        <v>1597</v>
      </c>
      <c r="AB1164" t="s">
        <v>1601</v>
      </c>
      <c r="AC1164" t="s">
        <v>1610</v>
      </c>
      <c r="AD1164" t="s">
        <v>1606</v>
      </c>
      <c r="AE1164" t="s">
        <v>1616</v>
      </c>
      <c r="AF1164" t="s">
        <v>1627</v>
      </c>
    </row>
    <row r="1165" spans="1:32" x14ac:dyDescent="0.25">
      <c r="A1165" t="s">
        <v>1222</v>
      </c>
      <c r="B1165">
        <v>37</v>
      </c>
      <c r="C1165">
        <v>1470</v>
      </c>
      <c r="D1165">
        <v>10</v>
      </c>
      <c r="E1165">
        <v>71</v>
      </c>
      <c r="F1165">
        <v>3936</v>
      </c>
      <c r="G1165">
        <v>9953</v>
      </c>
      <c r="H1165">
        <v>1</v>
      </c>
      <c r="I1165">
        <v>11</v>
      </c>
      <c r="J1165">
        <v>8</v>
      </c>
      <c r="K1165">
        <v>2</v>
      </c>
      <c r="L1165">
        <v>8</v>
      </c>
      <c r="M1165">
        <v>4</v>
      </c>
      <c r="N1165">
        <v>7</v>
      </c>
      <c r="O1165">
        <v>7</v>
      </c>
      <c r="P1165" t="s">
        <v>1556</v>
      </c>
      <c r="Q1165" t="s">
        <v>1552</v>
      </c>
      <c r="R1165" t="s">
        <v>1550</v>
      </c>
      <c r="S1165" t="s">
        <v>1534</v>
      </c>
      <c r="T1165" t="s">
        <v>1540</v>
      </c>
      <c r="U1165" t="s">
        <v>1546</v>
      </c>
      <c r="V1165" t="s">
        <v>1558</v>
      </c>
      <c r="W1165" t="s">
        <v>1563</v>
      </c>
      <c r="X1165" t="s">
        <v>1575</v>
      </c>
      <c r="Y1165" t="s">
        <v>1582</v>
      </c>
      <c r="Z1165" t="s">
        <v>1592</v>
      </c>
      <c r="AA1165" t="s">
        <v>1597</v>
      </c>
      <c r="AB1165" t="s">
        <v>1601</v>
      </c>
      <c r="AC1165" t="s">
        <v>1610</v>
      </c>
      <c r="AD1165" t="s">
        <v>1604</v>
      </c>
      <c r="AE1165" t="s">
        <v>1617</v>
      </c>
      <c r="AF1165" t="s">
        <v>1625</v>
      </c>
    </row>
    <row r="1166" spans="1:32" x14ac:dyDescent="0.25">
      <c r="A1166" t="s">
        <v>1223</v>
      </c>
      <c r="B1166">
        <v>40</v>
      </c>
      <c r="C1166">
        <v>448</v>
      </c>
      <c r="D1166">
        <v>16</v>
      </c>
      <c r="E1166">
        <v>84</v>
      </c>
      <c r="F1166">
        <v>7945</v>
      </c>
      <c r="G1166">
        <v>19948</v>
      </c>
      <c r="H1166">
        <v>6</v>
      </c>
      <c r="I1166">
        <v>15</v>
      </c>
      <c r="J1166">
        <v>18</v>
      </c>
      <c r="K1166">
        <v>2</v>
      </c>
      <c r="L1166">
        <v>4</v>
      </c>
      <c r="M1166">
        <v>2</v>
      </c>
      <c r="N1166">
        <v>3</v>
      </c>
      <c r="O1166">
        <v>3</v>
      </c>
      <c r="P1166" t="s">
        <v>1556</v>
      </c>
      <c r="Q1166" t="s">
        <v>1552</v>
      </c>
      <c r="R1166" t="s">
        <v>1550</v>
      </c>
      <c r="S1166" t="s">
        <v>1534</v>
      </c>
      <c r="T1166" t="s">
        <v>1538</v>
      </c>
      <c r="U1166" t="s">
        <v>1547</v>
      </c>
      <c r="V1166" t="s">
        <v>1558</v>
      </c>
      <c r="W1166" t="s">
        <v>1563</v>
      </c>
      <c r="X1166" t="s">
        <v>1577</v>
      </c>
      <c r="Y1166" t="s">
        <v>1584</v>
      </c>
      <c r="Z1166" t="s">
        <v>1594</v>
      </c>
      <c r="AA1166" t="s">
        <v>1596</v>
      </c>
      <c r="AB1166" t="s">
        <v>1600</v>
      </c>
      <c r="AC1166" t="s">
        <v>1610</v>
      </c>
      <c r="AD1166" t="s">
        <v>1607</v>
      </c>
      <c r="AE1166" t="s">
        <v>1616</v>
      </c>
      <c r="AF1166" t="s">
        <v>1626</v>
      </c>
    </row>
    <row r="1167" spans="1:32" x14ac:dyDescent="0.25">
      <c r="A1167" t="s">
        <v>1224</v>
      </c>
      <c r="B1167">
        <v>44</v>
      </c>
      <c r="C1167">
        <v>602</v>
      </c>
      <c r="D1167">
        <v>1</v>
      </c>
      <c r="E1167">
        <v>37</v>
      </c>
      <c r="F1167">
        <v>5743</v>
      </c>
      <c r="G1167">
        <v>10503</v>
      </c>
      <c r="H1167">
        <v>4</v>
      </c>
      <c r="I1167">
        <v>11</v>
      </c>
      <c r="J1167">
        <v>14</v>
      </c>
      <c r="K1167">
        <v>3</v>
      </c>
      <c r="L1167">
        <v>10</v>
      </c>
      <c r="M1167">
        <v>7</v>
      </c>
      <c r="N1167">
        <v>0</v>
      </c>
      <c r="O1167">
        <v>2</v>
      </c>
      <c r="P1167" t="s">
        <v>1556</v>
      </c>
      <c r="Q1167" t="s">
        <v>1553</v>
      </c>
      <c r="R1167" t="s">
        <v>1551</v>
      </c>
      <c r="S1167" t="s">
        <v>1536</v>
      </c>
      <c r="T1167" t="s">
        <v>1543</v>
      </c>
      <c r="U1167" t="s">
        <v>1545</v>
      </c>
      <c r="V1167" t="s">
        <v>1559</v>
      </c>
      <c r="W1167" t="s">
        <v>1563</v>
      </c>
      <c r="X1167" t="s">
        <v>1576</v>
      </c>
      <c r="Y1167" t="s">
        <v>1589</v>
      </c>
      <c r="Z1167" t="s">
        <v>1594</v>
      </c>
      <c r="AA1167" t="s">
        <v>1597</v>
      </c>
      <c r="AB1167" t="s">
        <v>1600</v>
      </c>
      <c r="AC1167" t="s">
        <v>1610</v>
      </c>
      <c r="AD1167" t="s">
        <v>1606</v>
      </c>
      <c r="AE1167" t="s">
        <v>1616</v>
      </c>
      <c r="AF1167" t="s">
        <v>1627</v>
      </c>
    </row>
    <row r="1168" spans="1:32" x14ac:dyDescent="0.25">
      <c r="A1168" t="s">
        <v>1225</v>
      </c>
      <c r="B1168">
        <v>48</v>
      </c>
      <c r="C1168">
        <v>365</v>
      </c>
      <c r="D1168">
        <v>4</v>
      </c>
      <c r="E1168">
        <v>89</v>
      </c>
      <c r="F1168">
        <v>15202</v>
      </c>
      <c r="G1168">
        <v>5602</v>
      </c>
      <c r="H1168">
        <v>2</v>
      </c>
      <c r="I1168">
        <v>25</v>
      </c>
      <c r="J1168">
        <v>23</v>
      </c>
      <c r="K1168">
        <v>3</v>
      </c>
      <c r="L1168">
        <v>2</v>
      </c>
      <c r="M1168">
        <v>2</v>
      </c>
      <c r="N1168">
        <v>2</v>
      </c>
      <c r="O1168">
        <v>2</v>
      </c>
      <c r="P1168" t="s">
        <v>1556</v>
      </c>
      <c r="Q1168" t="s">
        <v>1553</v>
      </c>
      <c r="R1168" t="s">
        <v>1550</v>
      </c>
      <c r="S1168" t="s">
        <v>1536</v>
      </c>
      <c r="T1168" t="s">
        <v>1540</v>
      </c>
      <c r="U1168" t="s">
        <v>1547</v>
      </c>
      <c r="V1168" t="s">
        <v>1559</v>
      </c>
      <c r="W1168" t="s">
        <v>1562</v>
      </c>
      <c r="X1168" t="s">
        <v>1578</v>
      </c>
      <c r="Y1168" t="s">
        <v>1586</v>
      </c>
      <c r="Z1168" t="s">
        <v>1594</v>
      </c>
      <c r="AA1168" t="s">
        <v>1597</v>
      </c>
      <c r="AB1168" t="s">
        <v>1601</v>
      </c>
      <c r="AC1168" t="s">
        <v>1611</v>
      </c>
      <c r="AD1168" t="s">
        <v>1605</v>
      </c>
      <c r="AE1168" t="s">
        <v>1617</v>
      </c>
      <c r="AF1168" t="s">
        <v>1627</v>
      </c>
    </row>
    <row r="1169" spans="1:32" x14ac:dyDescent="0.25">
      <c r="A1169" t="s">
        <v>1226</v>
      </c>
      <c r="B1169">
        <v>35</v>
      </c>
      <c r="C1169">
        <v>763</v>
      </c>
      <c r="D1169">
        <v>15</v>
      </c>
      <c r="E1169">
        <v>59</v>
      </c>
      <c r="F1169">
        <v>5440</v>
      </c>
      <c r="G1169">
        <v>22098</v>
      </c>
      <c r="H1169">
        <v>6</v>
      </c>
      <c r="I1169">
        <v>14</v>
      </c>
      <c r="J1169">
        <v>7</v>
      </c>
      <c r="K1169">
        <v>2</v>
      </c>
      <c r="L1169">
        <v>2</v>
      </c>
      <c r="M1169">
        <v>2</v>
      </c>
      <c r="N1169">
        <v>2</v>
      </c>
      <c r="O1169">
        <v>2</v>
      </c>
      <c r="P1169" t="s">
        <v>1555</v>
      </c>
      <c r="Q1169" t="s">
        <v>1552</v>
      </c>
      <c r="R1169" t="s">
        <v>1549</v>
      </c>
      <c r="S1169" t="s">
        <v>1533</v>
      </c>
      <c r="T1169" t="s">
        <v>1540</v>
      </c>
      <c r="U1169" t="s">
        <v>1545</v>
      </c>
      <c r="V1169" t="s">
        <v>1559</v>
      </c>
      <c r="W1169" t="s">
        <v>1561</v>
      </c>
      <c r="X1169" t="s">
        <v>1576</v>
      </c>
      <c r="Y1169" t="s">
        <v>1581</v>
      </c>
      <c r="Z1169" t="s">
        <v>1594</v>
      </c>
      <c r="AA1169" t="s">
        <v>1598</v>
      </c>
      <c r="AB1169" t="s">
        <v>1600</v>
      </c>
      <c r="AC1169" t="s">
        <v>1610</v>
      </c>
      <c r="AD1169" t="s">
        <v>1607</v>
      </c>
      <c r="AE1169" t="s">
        <v>1618</v>
      </c>
      <c r="AF1169" t="s">
        <v>1626</v>
      </c>
    </row>
    <row r="1170" spans="1:32" x14ac:dyDescent="0.25">
      <c r="A1170" t="s">
        <v>1227</v>
      </c>
      <c r="B1170">
        <v>24</v>
      </c>
      <c r="C1170">
        <v>567</v>
      </c>
      <c r="D1170">
        <v>2</v>
      </c>
      <c r="E1170">
        <v>32</v>
      </c>
      <c r="F1170">
        <v>3760</v>
      </c>
      <c r="G1170">
        <v>17218</v>
      </c>
      <c r="H1170">
        <v>1</v>
      </c>
      <c r="I1170">
        <v>13</v>
      </c>
      <c r="J1170">
        <v>6</v>
      </c>
      <c r="K1170">
        <v>2</v>
      </c>
      <c r="L1170">
        <v>6</v>
      </c>
      <c r="M1170">
        <v>3</v>
      </c>
      <c r="N1170">
        <v>1</v>
      </c>
      <c r="O1170">
        <v>3</v>
      </c>
      <c r="P1170" t="s">
        <v>1556</v>
      </c>
      <c r="Q1170" t="s">
        <v>1553</v>
      </c>
      <c r="R1170" t="s">
        <v>1550</v>
      </c>
      <c r="S1170" t="s">
        <v>1532</v>
      </c>
      <c r="T1170" t="s">
        <v>1542</v>
      </c>
      <c r="U1170" t="s">
        <v>1545</v>
      </c>
      <c r="V1170" t="s">
        <v>1558</v>
      </c>
      <c r="W1170" t="s">
        <v>1563</v>
      </c>
      <c r="X1170" t="s">
        <v>1575</v>
      </c>
      <c r="Y1170" t="s">
        <v>1582</v>
      </c>
      <c r="Z1170" t="s">
        <v>1594</v>
      </c>
      <c r="AA1170" t="s">
        <v>1596</v>
      </c>
      <c r="AB1170" t="s">
        <v>1600</v>
      </c>
      <c r="AC1170" t="s">
        <v>1610</v>
      </c>
      <c r="AD1170" t="s">
        <v>1606</v>
      </c>
      <c r="AE1170" t="s">
        <v>1616</v>
      </c>
      <c r="AF1170" t="s">
        <v>1627</v>
      </c>
    </row>
    <row r="1171" spans="1:32" x14ac:dyDescent="0.25">
      <c r="A1171" t="s">
        <v>1228</v>
      </c>
      <c r="B1171">
        <v>27</v>
      </c>
      <c r="C1171">
        <v>486</v>
      </c>
      <c r="D1171">
        <v>8</v>
      </c>
      <c r="E1171">
        <v>86</v>
      </c>
      <c r="F1171">
        <v>3517</v>
      </c>
      <c r="G1171">
        <v>22490</v>
      </c>
      <c r="H1171">
        <v>7</v>
      </c>
      <c r="I1171">
        <v>17</v>
      </c>
      <c r="J1171">
        <v>5</v>
      </c>
      <c r="K1171">
        <v>0</v>
      </c>
      <c r="L1171">
        <v>3</v>
      </c>
      <c r="M1171">
        <v>2</v>
      </c>
      <c r="N1171">
        <v>0</v>
      </c>
      <c r="O1171">
        <v>2</v>
      </c>
      <c r="P1171" t="s">
        <v>1556</v>
      </c>
      <c r="Q1171" t="s">
        <v>1552</v>
      </c>
      <c r="R1171" t="s">
        <v>1550</v>
      </c>
      <c r="S1171" t="s">
        <v>1534</v>
      </c>
      <c r="T1171" t="s">
        <v>1540</v>
      </c>
      <c r="U1171" t="s">
        <v>1546</v>
      </c>
      <c r="V1171" t="s">
        <v>1558</v>
      </c>
      <c r="W1171" t="s">
        <v>1564</v>
      </c>
      <c r="X1171" t="s">
        <v>1575</v>
      </c>
      <c r="Y1171" t="s">
        <v>1582</v>
      </c>
      <c r="Z1171" t="s">
        <v>1593</v>
      </c>
      <c r="AA1171" t="s">
        <v>1597</v>
      </c>
      <c r="AB1171" t="s">
        <v>1601</v>
      </c>
      <c r="AC1171" t="s">
        <v>1610</v>
      </c>
      <c r="AD1171" t="s">
        <v>1604</v>
      </c>
      <c r="AE1171" t="s">
        <v>1616</v>
      </c>
      <c r="AF1171" t="s">
        <v>1627</v>
      </c>
    </row>
    <row r="1172" spans="1:32" x14ac:dyDescent="0.25">
      <c r="A1172" t="s">
        <v>1229</v>
      </c>
      <c r="B1172">
        <v>27</v>
      </c>
      <c r="C1172">
        <v>591</v>
      </c>
      <c r="D1172">
        <v>2</v>
      </c>
      <c r="E1172">
        <v>87</v>
      </c>
      <c r="F1172">
        <v>2580</v>
      </c>
      <c r="G1172">
        <v>6297</v>
      </c>
      <c r="H1172">
        <v>2</v>
      </c>
      <c r="I1172">
        <v>13</v>
      </c>
      <c r="J1172">
        <v>6</v>
      </c>
      <c r="K1172">
        <v>0</v>
      </c>
      <c r="L1172">
        <v>4</v>
      </c>
      <c r="M1172">
        <v>2</v>
      </c>
      <c r="N1172">
        <v>1</v>
      </c>
      <c r="O1172">
        <v>2</v>
      </c>
      <c r="P1172" t="s">
        <v>1556</v>
      </c>
      <c r="Q1172" t="s">
        <v>1553</v>
      </c>
      <c r="R1172" t="s">
        <v>1550</v>
      </c>
      <c r="S1172" t="s">
        <v>1534</v>
      </c>
      <c r="T1172" t="s">
        <v>1540</v>
      </c>
      <c r="U1172" t="s">
        <v>1548</v>
      </c>
      <c r="V1172" t="s">
        <v>1559</v>
      </c>
      <c r="W1172" t="s">
        <v>1563</v>
      </c>
      <c r="X1172" t="s">
        <v>1575</v>
      </c>
      <c r="Y1172" t="s">
        <v>1582</v>
      </c>
      <c r="Z1172" t="s">
        <v>1594</v>
      </c>
      <c r="AA1172" t="s">
        <v>1596</v>
      </c>
      <c r="AB1172" t="s">
        <v>1601</v>
      </c>
      <c r="AC1172" t="s">
        <v>1610</v>
      </c>
      <c r="AD1172" t="s">
        <v>1606</v>
      </c>
      <c r="AE1172" t="s">
        <v>1616</v>
      </c>
      <c r="AF1172" t="s">
        <v>1626</v>
      </c>
    </row>
    <row r="1173" spans="1:32" x14ac:dyDescent="0.25">
      <c r="A1173" t="s">
        <v>1230</v>
      </c>
      <c r="B1173">
        <v>40</v>
      </c>
      <c r="C1173">
        <v>1329</v>
      </c>
      <c r="D1173">
        <v>7</v>
      </c>
      <c r="E1173">
        <v>73</v>
      </c>
      <c r="F1173">
        <v>2166</v>
      </c>
      <c r="G1173">
        <v>3339</v>
      </c>
      <c r="H1173">
        <v>3</v>
      </c>
      <c r="I1173">
        <v>14</v>
      </c>
      <c r="J1173">
        <v>10</v>
      </c>
      <c r="K1173">
        <v>3</v>
      </c>
      <c r="L1173">
        <v>4</v>
      </c>
      <c r="M1173">
        <v>2</v>
      </c>
      <c r="N1173">
        <v>0</v>
      </c>
      <c r="O1173">
        <v>3</v>
      </c>
      <c r="P1173" t="s">
        <v>1555</v>
      </c>
      <c r="Q1173" t="s">
        <v>1552</v>
      </c>
      <c r="R1173" t="s">
        <v>1550</v>
      </c>
      <c r="S1173" t="s">
        <v>1534</v>
      </c>
      <c r="T1173" t="s">
        <v>1538</v>
      </c>
      <c r="U1173" t="s">
        <v>1545</v>
      </c>
      <c r="V1173" t="s">
        <v>1559</v>
      </c>
      <c r="W1173" t="s">
        <v>1563</v>
      </c>
      <c r="X1173" t="s">
        <v>1575</v>
      </c>
      <c r="Y1173" t="s">
        <v>1583</v>
      </c>
      <c r="Z1173" t="s">
        <v>1591</v>
      </c>
      <c r="AA1173" t="s">
        <v>1596</v>
      </c>
      <c r="AB1173" t="s">
        <v>1600</v>
      </c>
      <c r="AC1173" t="s">
        <v>1610</v>
      </c>
      <c r="AD1173" t="s">
        <v>1605</v>
      </c>
      <c r="AE1173" t="s">
        <v>1616</v>
      </c>
      <c r="AF1173" t="s">
        <v>1625</v>
      </c>
    </row>
    <row r="1174" spans="1:32" x14ac:dyDescent="0.25">
      <c r="A1174" t="s">
        <v>1231</v>
      </c>
      <c r="B1174">
        <v>29</v>
      </c>
      <c r="C1174">
        <v>469</v>
      </c>
      <c r="D1174">
        <v>10</v>
      </c>
      <c r="E1174">
        <v>42</v>
      </c>
      <c r="F1174">
        <v>5869</v>
      </c>
      <c r="G1174">
        <v>23413</v>
      </c>
      <c r="H1174">
        <v>9</v>
      </c>
      <c r="I1174">
        <v>11</v>
      </c>
      <c r="J1174">
        <v>8</v>
      </c>
      <c r="K1174">
        <v>2</v>
      </c>
      <c r="L1174">
        <v>5</v>
      </c>
      <c r="M1174">
        <v>2</v>
      </c>
      <c r="N1174">
        <v>1</v>
      </c>
      <c r="O1174">
        <v>4</v>
      </c>
      <c r="P1174" t="s">
        <v>1556</v>
      </c>
      <c r="Q1174" t="s">
        <v>1552</v>
      </c>
      <c r="R1174" t="s">
        <v>1549</v>
      </c>
      <c r="S1174" t="s">
        <v>1534</v>
      </c>
      <c r="T1174" t="s">
        <v>1540</v>
      </c>
      <c r="U1174" t="s">
        <v>1547</v>
      </c>
      <c r="V1174" t="s">
        <v>1559</v>
      </c>
      <c r="W1174" t="s">
        <v>1562</v>
      </c>
      <c r="X1174" t="s">
        <v>1576</v>
      </c>
      <c r="Y1174" t="s">
        <v>1581</v>
      </c>
      <c r="Z1174" t="s">
        <v>1593</v>
      </c>
      <c r="AA1174" t="s">
        <v>1596</v>
      </c>
      <c r="AB1174" t="s">
        <v>1601</v>
      </c>
      <c r="AC1174" t="s">
        <v>1610</v>
      </c>
      <c r="AD1174" t="s">
        <v>1606</v>
      </c>
      <c r="AE1174" t="s">
        <v>1616</v>
      </c>
      <c r="AF1174" t="s">
        <v>1627</v>
      </c>
    </row>
    <row r="1175" spans="1:32" x14ac:dyDescent="0.25">
      <c r="A1175" t="s">
        <v>1232</v>
      </c>
      <c r="B1175">
        <v>36</v>
      </c>
      <c r="C1175">
        <v>711</v>
      </c>
      <c r="D1175">
        <v>5</v>
      </c>
      <c r="E1175">
        <v>42</v>
      </c>
      <c r="F1175">
        <v>8008</v>
      </c>
      <c r="G1175">
        <v>22792</v>
      </c>
      <c r="H1175">
        <v>4</v>
      </c>
      <c r="I1175">
        <v>12</v>
      </c>
      <c r="J1175">
        <v>9</v>
      </c>
      <c r="K1175">
        <v>6</v>
      </c>
      <c r="L1175">
        <v>3</v>
      </c>
      <c r="M1175">
        <v>2</v>
      </c>
      <c r="N1175">
        <v>0</v>
      </c>
      <c r="O1175">
        <v>2</v>
      </c>
      <c r="P1175" t="s">
        <v>1556</v>
      </c>
      <c r="Q1175" t="s">
        <v>1552</v>
      </c>
      <c r="R1175" t="s">
        <v>1550</v>
      </c>
      <c r="S1175" t="s">
        <v>1535</v>
      </c>
      <c r="T1175" t="s">
        <v>1538</v>
      </c>
      <c r="U1175" t="s">
        <v>1546</v>
      </c>
      <c r="V1175" t="s">
        <v>1558</v>
      </c>
      <c r="W1175" t="s">
        <v>1563</v>
      </c>
      <c r="X1175" t="s">
        <v>1577</v>
      </c>
      <c r="Y1175" t="s">
        <v>1585</v>
      </c>
      <c r="Z1175" t="s">
        <v>1591</v>
      </c>
      <c r="AA1175" t="s">
        <v>1597</v>
      </c>
      <c r="AB1175" t="s">
        <v>1601</v>
      </c>
      <c r="AC1175" t="s">
        <v>1610</v>
      </c>
      <c r="AD1175" t="s">
        <v>1606</v>
      </c>
      <c r="AE1175" t="s">
        <v>1618</v>
      </c>
      <c r="AF1175" t="s">
        <v>1627</v>
      </c>
    </row>
    <row r="1176" spans="1:32" x14ac:dyDescent="0.25">
      <c r="A1176" t="s">
        <v>1233</v>
      </c>
      <c r="B1176">
        <v>25</v>
      </c>
      <c r="C1176">
        <v>772</v>
      </c>
      <c r="D1176">
        <v>2</v>
      </c>
      <c r="E1176">
        <v>77</v>
      </c>
      <c r="F1176">
        <v>5206</v>
      </c>
      <c r="G1176">
        <v>4973</v>
      </c>
      <c r="H1176">
        <v>1</v>
      </c>
      <c r="I1176">
        <v>17</v>
      </c>
      <c r="J1176">
        <v>7</v>
      </c>
      <c r="K1176">
        <v>6</v>
      </c>
      <c r="L1176">
        <v>7</v>
      </c>
      <c r="M1176">
        <v>7</v>
      </c>
      <c r="N1176">
        <v>0</v>
      </c>
      <c r="O1176">
        <v>7</v>
      </c>
      <c r="P1176" t="s">
        <v>1556</v>
      </c>
      <c r="Q1176" t="s">
        <v>1553</v>
      </c>
      <c r="R1176" t="s">
        <v>1550</v>
      </c>
      <c r="S1176" t="s">
        <v>1532</v>
      </c>
      <c r="T1176" t="s">
        <v>1538</v>
      </c>
      <c r="U1176" t="s">
        <v>1548</v>
      </c>
      <c r="V1176" t="s">
        <v>1559</v>
      </c>
      <c r="W1176" t="s">
        <v>1564</v>
      </c>
      <c r="X1176" t="s">
        <v>1576</v>
      </c>
      <c r="Y1176" t="s">
        <v>1584</v>
      </c>
      <c r="Z1176" t="s">
        <v>1593</v>
      </c>
      <c r="AA1176" t="s">
        <v>1598</v>
      </c>
      <c r="AB1176" t="s">
        <v>1601</v>
      </c>
      <c r="AC1176" t="s">
        <v>1610</v>
      </c>
      <c r="AD1176" t="s">
        <v>1606</v>
      </c>
      <c r="AE1176" t="s">
        <v>1618</v>
      </c>
      <c r="AF1176" t="s">
        <v>1627</v>
      </c>
    </row>
    <row r="1177" spans="1:32" x14ac:dyDescent="0.25">
      <c r="A1177" t="s">
        <v>1234</v>
      </c>
      <c r="B1177">
        <v>39</v>
      </c>
      <c r="C1177">
        <v>492</v>
      </c>
      <c r="D1177">
        <v>12</v>
      </c>
      <c r="E1177">
        <v>66</v>
      </c>
      <c r="F1177">
        <v>5295</v>
      </c>
      <c r="G1177">
        <v>7693</v>
      </c>
      <c r="H1177">
        <v>4</v>
      </c>
      <c r="I1177">
        <v>21</v>
      </c>
      <c r="J1177">
        <v>7</v>
      </c>
      <c r="K1177">
        <v>3</v>
      </c>
      <c r="L1177">
        <v>5</v>
      </c>
      <c r="M1177">
        <v>4</v>
      </c>
      <c r="N1177">
        <v>1</v>
      </c>
      <c r="O1177">
        <v>0</v>
      </c>
      <c r="P1177" t="s">
        <v>1556</v>
      </c>
      <c r="Q1177" t="s">
        <v>1552</v>
      </c>
      <c r="R1177" t="s">
        <v>1550</v>
      </c>
      <c r="S1177" t="s">
        <v>1534</v>
      </c>
      <c r="T1177" t="s">
        <v>1540</v>
      </c>
      <c r="U1177" t="s">
        <v>1548</v>
      </c>
      <c r="V1177" t="s">
        <v>1559</v>
      </c>
      <c r="W1177" t="s">
        <v>1563</v>
      </c>
      <c r="X1177" t="s">
        <v>1576</v>
      </c>
      <c r="Y1177" t="s">
        <v>1584</v>
      </c>
      <c r="Z1177" t="s">
        <v>1592</v>
      </c>
      <c r="AA1177" t="s">
        <v>1597</v>
      </c>
      <c r="AB1177" t="s">
        <v>1601</v>
      </c>
      <c r="AC1177" t="s">
        <v>1611</v>
      </c>
      <c r="AD1177" t="s">
        <v>1606</v>
      </c>
      <c r="AE1177" t="s">
        <v>1616</v>
      </c>
      <c r="AF1177" t="s">
        <v>1627</v>
      </c>
    </row>
    <row r="1178" spans="1:32" x14ac:dyDescent="0.25">
      <c r="A1178" t="s">
        <v>1235</v>
      </c>
      <c r="B1178">
        <v>49</v>
      </c>
      <c r="C1178">
        <v>301</v>
      </c>
      <c r="D1178">
        <v>22</v>
      </c>
      <c r="E1178">
        <v>72</v>
      </c>
      <c r="F1178">
        <v>16413</v>
      </c>
      <c r="G1178">
        <v>3498</v>
      </c>
      <c r="H1178">
        <v>3</v>
      </c>
      <c r="I1178">
        <v>16</v>
      </c>
      <c r="J1178">
        <v>27</v>
      </c>
      <c r="K1178">
        <v>2</v>
      </c>
      <c r="L1178">
        <v>4</v>
      </c>
      <c r="M1178">
        <v>2</v>
      </c>
      <c r="N1178">
        <v>1</v>
      </c>
      <c r="O1178">
        <v>2</v>
      </c>
      <c r="P1178" t="s">
        <v>1556</v>
      </c>
      <c r="Q1178" t="s">
        <v>1552</v>
      </c>
      <c r="R1178" t="s">
        <v>1550</v>
      </c>
      <c r="S1178" t="s">
        <v>1535</v>
      </c>
      <c r="T1178" t="s">
        <v>1539</v>
      </c>
      <c r="U1178" t="s">
        <v>1545</v>
      </c>
      <c r="V1178" t="s">
        <v>1558</v>
      </c>
      <c r="W1178" t="s">
        <v>1563</v>
      </c>
      <c r="X1178" t="s">
        <v>1578</v>
      </c>
      <c r="Y1178" t="s">
        <v>1588</v>
      </c>
      <c r="Z1178" t="s">
        <v>1592</v>
      </c>
      <c r="AA1178" t="s">
        <v>1597</v>
      </c>
      <c r="AB1178" t="s">
        <v>1601</v>
      </c>
      <c r="AC1178" t="s">
        <v>1610</v>
      </c>
      <c r="AD1178" t="s">
        <v>1605</v>
      </c>
      <c r="AE1178" t="s">
        <v>1618</v>
      </c>
      <c r="AF1178" t="s">
        <v>1627</v>
      </c>
    </row>
    <row r="1179" spans="1:32" x14ac:dyDescent="0.25">
      <c r="A1179" t="s">
        <v>1236</v>
      </c>
      <c r="B1179">
        <v>50</v>
      </c>
      <c r="C1179">
        <v>813</v>
      </c>
      <c r="D1179">
        <v>17</v>
      </c>
      <c r="E1179">
        <v>50</v>
      </c>
      <c r="F1179">
        <v>13269</v>
      </c>
      <c r="G1179">
        <v>21981</v>
      </c>
      <c r="H1179">
        <v>5</v>
      </c>
      <c r="I1179">
        <v>15</v>
      </c>
      <c r="J1179">
        <v>19</v>
      </c>
      <c r="K1179">
        <v>3</v>
      </c>
      <c r="L1179">
        <v>14</v>
      </c>
      <c r="M1179">
        <v>11</v>
      </c>
      <c r="N1179">
        <v>1</v>
      </c>
      <c r="O1179">
        <v>11</v>
      </c>
      <c r="P1179" t="s">
        <v>1556</v>
      </c>
      <c r="Q1179" t="s">
        <v>1552</v>
      </c>
      <c r="R1179" t="s">
        <v>1550</v>
      </c>
      <c r="S1179" t="s">
        <v>1536</v>
      </c>
      <c r="T1179" t="s">
        <v>1538</v>
      </c>
      <c r="U1179" t="s">
        <v>1548</v>
      </c>
      <c r="V1179" t="s">
        <v>1558</v>
      </c>
      <c r="W1179" t="s">
        <v>1562</v>
      </c>
      <c r="X1179" t="s">
        <v>1577</v>
      </c>
      <c r="Y1179" t="s">
        <v>1588</v>
      </c>
      <c r="Z1179" t="s">
        <v>1591</v>
      </c>
      <c r="AA1179" t="s">
        <v>1598</v>
      </c>
      <c r="AB1179" t="s">
        <v>1601</v>
      </c>
      <c r="AC1179" t="s">
        <v>1610</v>
      </c>
      <c r="AD1179" t="s">
        <v>1606</v>
      </c>
      <c r="AE1179" t="s">
        <v>1619</v>
      </c>
      <c r="AF1179" t="s">
        <v>1627</v>
      </c>
    </row>
    <row r="1180" spans="1:32" x14ac:dyDescent="0.25">
      <c r="A1180" t="s">
        <v>1237</v>
      </c>
      <c r="B1180">
        <v>20</v>
      </c>
      <c r="C1180">
        <v>1141</v>
      </c>
      <c r="D1180">
        <v>2</v>
      </c>
      <c r="E1180">
        <v>31</v>
      </c>
      <c r="F1180">
        <v>2783</v>
      </c>
      <c r="G1180">
        <v>13251</v>
      </c>
      <c r="H1180">
        <v>1</v>
      </c>
      <c r="I1180">
        <v>19</v>
      </c>
      <c r="J1180">
        <v>2</v>
      </c>
      <c r="K1180">
        <v>3</v>
      </c>
      <c r="L1180">
        <v>2</v>
      </c>
      <c r="M1180">
        <v>2</v>
      </c>
      <c r="N1180">
        <v>2</v>
      </c>
      <c r="O1180">
        <v>2</v>
      </c>
      <c r="P1180" t="s">
        <v>1556</v>
      </c>
      <c r="Q1180" t="s">
        <v>1552</v>
      </c>
      <c r="R1180" t="s">
        <v>1549</v>
      </c>
      <c r="S1180" t="s">
        <v>1534</v>
      </c>
      <c r="T1180" t="s">
        <v>1540</v>
      </c>
      <c r="U1180" t="s">
        <v>1547</v>
      </c>
      <c r="V1180" t="s">
        <v>1558</v>
      </c>
      <c r="W1180" t="s">
        <v>1563</v>
      </c>
      <c r="X1180" t="s">
        <v>1575</v>
      </c>
      <c r="Y1180" t="s">
        <v>1587</v>
      </c>
      <c r="Z1180" t="s">
        <v>1593</v>
      </c>
      <c r="AA1180" t="s">
        <v>1596</v>
      </c>
      <c r="AB1180" t="s">
        <v>1601</v>
      </c>
      <c r="AC1180" t="s">
        <v>1610</v>
      </c>
      <c r="AD1180" t="s">
        <v>1604</v>
      </c>
      <c r="AE1180" t="s">
        <v>1616</v>
      </c>
      <c r="AF1180" t="s">
        <v>1627</v>
      </c>
    </row>
    <row r="1181" spans="1:32" x14ac:dyDescent="0.25">
      <c r="A1181" t="s">
        <v>1238</v>
      </c>
      <c r="B1181">
        <v>34</v>
      </c>
      <c r="C1181">
        <v>1130</v>
      </c>
      <c r="D1181">
        <v>3</v>
      </c>
      <c r="E1181">
        <v>66</v>
      </c>
      <c r="F1181">
        <v>5433</v>
      </c>
      <c r="G1181">
        <v>19332</v>
      </c>
      <c r="H1181">
        <v>1</v>
      </c>
      <c r="I1181">
        <v>12</v>
      </c>
      <c r="J1181">
        <v>11</v>
      </c>
      <c r="K1181">
        <v>2</v>
      </c>
      <c r="L1181">
        <v>11</v>
      </c>
      <c r="M1181">
        <v>8</v>
      </c>
      <c r="N1181">
        <v>7</v>
      </c>
      <c r="O1181">
        <v>9</v>
      </c>
      <c r="P1181" t="s">
        <v>1556</v>
      </c>
      <c r="Q1181" t="s">
        <v>1552</v>
      </c>
      <c r="R1181" t="s">
        <v>1550</v>
      </c>
      <c r="S1181" t="s">
        <v>1534</v>
      </c>
      <c r="T1181" t="s">
        <v>1538</v>
      </c>
      <c r="U1181" t="s">
        <v>1548</v>
      </c>
      <c r="V1181" t="s">
        <v>1558</v>
      </c>
      <c r="W1181" t="s">
        <v>1563</v>
      </c>
      <c r="X1181" t="s">
        <v>1576</v>
      </c>
      <c r="Y1181" t="s">
        <v>1582</v>
      </c>
      <c r="Z1181" t="s">
        <v>1592</v>
      </c>
      <c r="AA1181" t="s">
        <v>1598</v>
      </c>
      <c r="AB1181" t="s">
        <v>1601</v>
      </c>
      <c r="AC1181" t="s">
        <v>1610</v>
      </c>
      <c r="AD1181" t="s">
        <v>1606</v>
      </c>
      <c r="AE1181" t="s">
        <v>1617</v>
      </c>
      <c r="AF1181" t="s">
        <v>1627</v>
      </c>
    </row>
    <row r="1182" spans="1:32" x14ac:dyDescent="0.25">
      <c r="A1182" t="s">
        <v>1239</v>
      </c>
      <c r="B1182">
        <v>36</v>
      </c>
      <c r="C1182">
        <v>311</v>
      </c>
      <c r="D1182">
        <v>7</v>
      </c>
      <c r="E1182">
        <v>77</v>
      </c>
      <c r="F1182">
        <v>2013</v>
      </c>
      <c r="G1182">
        <v>10950</v>
      </c>
      <c r="H1182">
        <v>2</v>
      </c>
      <c r="I1182">
        <v>11</v>
      </c>
      <c r="J1182">
        <v>15</v>
      </c>
      <c r="K1182">
        <v>4</v>
      </c>
      <c r="L1182">
        <v>4</v>
      </c>
      <c r="M1182">
        <v>3</v>
      </c>
      <c r="N1182">
        <v>1</v>
      </c>
      <c r="O1182">
        <v>3</v>
      </c>
      <c r="P1182" t="s">
        <v>1556</v>
      </c>
      <c r="Q1182" t="s">
        <v>1552</v>
      </c>
      <c r="R1182" t="s">
        <v>1550</v>
      </c>
      <c r="S1182" t="s">
        <v>1534</v>
      </c>
      <c r="T1182" t="s">
        <v>1538</v>
      </c>
      <c r="U1182" t="s">
        <v>1545</v>
      </c>
      <c r="V1182" t="s">
        <v>1559</v>
      </c>
      <c r="W1182" t="s">
        <v>1563</v>
      </c>
      <c r="X1182" t="s">
        <v>1575</v>
      </c>
      <c r="Y1182" t="s">
        <v>1583</v>
      </c>
      <c r="Z1182" t="s">
        <v>1592</v>
      </c>
      <c r="AA1182" t="s">
        <v>1596</v>
      </c>
      <c r="AB1182" t="s">
        <v>1601</v>
      </c>
      <c r="AC1182" t="s">
        <v>1610</v>
      </c>
      <c r="AD1182" t="s">
        <v>1606</v>
      </c>
      <c r="AE1182" t="s">
        <v>1616</v>
      </c>
      <c r="AF1182" t="s">
        <v>1627</v>
      </c>
    </row>
    <row r="1183" spans="1:32" x14ac:dyDescent="0.25">
      <c r="A1183" t="s">
        <v>1240</v>
      </c>
      <c r="B1183">
        <v>49</v>
      </c>
      <c r="C1183">
        <v>465</v>
      </c>
      <c r="D1183">
        <v>6</v>
      </c>
      <c r="E1183">
        <v>41</v>
      </c>
      <c r="F1183">
        <v>13966</v>
      </c>
      <c r="G1183">
        <v>11652</v>
      </c>
      <c r="H1183">
        <v>2</v>
      </c>
      <c r="I1183">
        <v>19</v>
      </c>
      <c r="J1183">
        <v>30</v>
      </c>
      <c r="K1183">
        <v>3</v>
      </c>
      <c r="L1183">
        <v>15</v>
      </c>
      <c r="M1183">
        <v>11</v>
      </c>
      <c r="N1183">
        <v>2</v>
      </c>
      <c r="O1183">
        <v>12</v>
      </c>
      <c r="P1183" t="s">
        <v>1556</v>
      </c>
      <c r="Q1183" t="s">
        <v>1552</v>
      </c>
      <c r="R1183" t="s">
        <v>1550</v>
      </c>
      <c r="S1183" t="s">
        <v>1532</v>
      </c>
      <c r="T1183" t="s">
        <v>1538</v>
      </c>
      <c r="U1183" t="s">
        <v>1547</v>
      </c>
      <c r="V1183" t="s">
        <v>1558</v>
      </c>
      <c r="W1183" t="s">
        <v>1562</v>
      </c>
      <c r="X1183" t="s">
        <v>1578</v>
      </c>
      <c r="Y1183" t="s">
        <v>1585</v>
      </c>
      <c r="Z1183" t="s">
        <v>1593</v>
      </c>
      <c r="AA1183" t="s">
        <v>1597</v>
      </c>
      <c r="AB1183" t="s">
        <v>1600</v>
      </c>
      <c r="AC1183" t="s">
        <v>1610</v>
      </c>
      <c r="AD1183" t="s">
        <v>1605</v>
      </c>
      <c r="AE1183" t="s">
        <v>1617</v>
      </c>
      <c r="AF1183" t="s">
        <v>1627</v>
      </c>
    </row>
    <row r="1184" spans="1:32" x14ac:dyDescent="0.25">
      <c r="A1184" t="s">
        <v>1241</v>
      </c>
      <c r="B1184">
        <v>36</v>
      </c>
      <c r="C1184">
        <v>894</v>
      </c>
      <c r="D1184">
        <v>1</v>
      </c>
      <c r="E1184">
        <v>33</v>
      </c>
      <c r="F1184">
        <v>4374</v>
      </c>
      <c r="G1184">
        <v>15411</v>
      </c>
      <c r="H1184">
        <v>0</v>
      </c>
      <c r="I1184">
        <v>15</v>
      </c>
      <c r="J1184">
        <v>4</v>
      </c>
      <c r="K1184">
        <v>6</v>
      </c>
      <c r="L1184">
        <v>3</v>
      </c>
      <c r="M1184">
        <v>2</v>
      </c>
      <c r="N1184">
        <v>1</v>
      </c>
      <c r="O1184">
        <v>2</v>
      </c>
      <c r="P1184" t="s">
        <v>1556</v>
      </c>
      <c r="Q1184" t="s">
        <v>1554</v>
      </c>
      <c r="R1184" t="s">
        <v>1550</v>
      </c>
      <c r="S1184" t="s">
        <v>1535</v>
      </c>
      <c r="T1184" t="s">
        <v>1540</v>
      </c>
      <c r="U1184" t="s">
        <v>1548</v>
      </c>
      <c r="V1184" t="s">
        <v>1558</v>
      </c>
      <c r="W1184" t="s">
        <v>1562</v>
      </c>
      <c r="X1184" t="s">
        <v>1576</v>
      </c>
      <c r="Y1184" t="s">
        <v>1584</v>
      </c>
      <c r="Z1184" t="s">
        <v>1593</v>
      </c>
      <c r="AA1184" t="s">
        <v>1597</v>
      </c>
      <c r="AB1184" t="s">
        <v>1601</v>
      </c>
      <c r="AC1184" t="s">
        <v>1610</v>
      </c>
      <c r="AD1184" t="s">
        <v>1606</v>
      </c>
      <c r="AE1184" t="s">
        <v>1616</v>
      </c>
      <c r="AF1184" t="s">
        <v>1627</v>
      </c>
    </row>
    <row r="1185" spans="1:32" x14ac:dyDescent="0.25">
      <c r="A1185" t="s">
        <v>1242</v>
      </c>
      <c r="B1185">
        <v>36</v>
      </c>
      <c r="C1185">
        <v>1040</v>
      </c>
      <c r="D1185">
        <v>3</v>
      </c>
      <c r="E1185">
        <v>79</v>
      </c>
      <c r="F1185">
        <v>6842</v>
      </c>
      <c r="G1185">
        <v>26308</v>
      </c>
      <c r="H1185">
        <v>6</v>
      </c>
      <c r="I1185">
        <v>20</v>
      </c>
      <c r="J1185">
        <v>13</v>
      </c>
      <c r="K1185">
        <v>3</v>
      </c>
      <c r="L1185">
        <v>5</v>
      </c>
      <c r="M1185">
        <v>4</v>
      </c>
      <c r="N1185">
        <v>0</v>
      </c>
      <c r="O1185">
        <v>4</v>
      </c>
      <c r="P1185" t="s">
        <v>1556</v>
      </c>
      <c r="Q1185" t="s">
        <v>1552</v>
      </c>
      <c r="R1185" t="s">
        <v>1550</v>
      </c>
      <c r="S1185" t="s">
        <v>1533</v>
      </c>
      <c r="T1185" t="s">
        <v>1538</v>
      </c>
      <c r="U1185" t="s">
        <v>1548</v>
      </c>
      <c r="V1185" t="s">
        <v>1559</v>
      </c>
      <c r="W1185" t="s">
        <v>1564</v>
      </c>
      <c r="X1185" t="s">
        <v>1576</v>
      </c>
      <c r="Y1185" t="s">
        <v>1585</v>
      </c>
      <c r="Z1185" t="s">
        <v>1591</v>
      </c>
      <c r="AA1185" t="s">
        <v>1598</v>
      </c>
      <c r="AB1185" t="s">
        <v>1601</v>
      </c>
      <c r="AC1185" t="s">
        <v>1611</v>
      </c>
      <c r="AD1185" t="s">
        <v>1604</v>
      </c>
      <c r="AE1185" t="s">
        <v>1617</v>
      </c>
      <c r="AF1185" t="s">
        <v>1627</v>
      </c>
    </row>
    <row r="1186" spans="1:32" x14ac:dyDescent="0.25">
      <c r="A1186" t="s">
        <v>1243</v>
      </c>
      <c r="B1186">
        <v>54</v>
      </c>
      <c r="C1186">
        <v>584</v>
      </c>
      <c r="D1186">
        <v>22</v>
      </c>
      <c r="E1186">
        <v>91</v>
      </c>
      <c r="F1186">
        <v>17426</v>
      </c>
      <c r="G1186">
        <v>18685</v>
      </c>
      <c r="H1186">
        <v>3</v>
      </c>
      <c r="I1186">
        <v>25</v>
      </c>
      <c r="J1186">
        <v>36</v>
      </c>
      <c r="K1186">
        <v>6</v>
      </c>
      <c r="L1186">
        <v>10</v>
      </c>
      <c r="M1186">
        <v>8</v>
      </c>
      <c r="N1186">
        <v>4</v>
      </c>
      <c r="O1186">
        <v>7</v>
      </c>
      <c r="P1186" t="s">
        <v>1556</v>
      </c>
      <c r="Q1186" t="s">
        <v>1552</v>
      </c>
      <c r="R1186" t="s">
        <v>1550</v>
      </c>
      <c r="S1186" t="s">
        <v>1536</v>
      </c>
      <c r="T1186" t="s">
        <v>1540</v>
      </c>
      <c r="U1186" t="s">
        <v>1546</v>
      </c>
      <c r="V1186" t="s">
        <v>1558</v>
      </c>
      <c r="W1186" t="s">
        <v>1563</v>
      </c>
      <c r="X1186" t="s">
        <v>1578</v>
      </c>
      <c r="Y1186" t="s">
        <v>1586</v>
      </c>
      <c r="Z1186" t="s">
        <v>1593</v>
      </c>
      <c r="AA1186" t="s">
        <v>1597</v>
      </c>
      <c r="AB1186" t="s">
        <v>1601</v>
      </c>
      <c r="AC1186" t="s">
        <v>1611</v>
      </c>
      <c r="AD1186" t="s">
        <v>1606</v>
      </c>
      <c r="AE1186" t="s">
        <v>1617</v>
      </c>
      <c r="AF1186" t="s">
        <v>1627</v>
      </c>
    </row>
    <row r="1187" spans="1:32" x14ac:dyDescent="0.25">
      <c r="A1187" t="s">
        <v>1244</v>
      </c>
      <c r="B1187">
        <v>43</v>
      </c>
      <c r="C1187">
        <v>1291</v>
      </c>
      <c r="D1187">
        <v>15</v>
      </c>
      <c r="E1187">
        <v>65</v>
      </c>
      <c r="F1187">
        <v>17603</v>
      </c>
      <c r="G1187">
        <v>3525</v>
      </c>
      <c r="H1187">
        <v>1</v>
      </c>
      <c r="I1187">
        <v>24</v>
      </c>
      <c r="J1187">
        <v>14</v>
      </c>
      <c r="K1187">
        <v>3</v>
      </c>
      <c r="L1187">
        <v>14</v>
      </c>
      <c r="M1187">
        <v>10</v>
      </c>
      <c r="N1187">
        <v>6</v>
      </c>
      <c r="O1187">
        <v>11</v>
      </c>
      <c r="P1187" t="s">
        <v>1556</v>
      </c>
      <c r="Q1187" t="s">
        <v>1552</v>
      </c>
      <c r="R1187" t="s">
        <v>1550</v>
      </c>
      <c r="S1187" t="s">
        <v>1533</v>
      </c>
      <c r="T1187" t="s">
        <v>1538</v>
      </c>
      <c r="U1187" t="s">
        <v>1547</v>
      </c>
      <c r="V1187" t="s">
        <v>1559</v>
      </c>
      <c r="W1187" t="s">
        <v>1562</v>
      </c>
      <c r="X1187" t="s">
        <v>1578</v>
      </c>
      <c r="Y1187" t="s">
        <v>1588</v>
      </c>
      <c r="Z1187" t="s">
        <v>1593</v>
      </c>
      <c r="AA1187" t="s">
        <v>1597</v>
      </c>
      <c r="AB1187" t="s">
        <v>1601</v>
      </c>
      <c r="AC1187" t="s">
        <v>1611</v>
      </c>
      <c r="AD1187" t="s">
        <v>1604</v>
      </c>
      <c r="AE1187" t="s">
        <v>1617</v>
      </c>
      <c r="AF1187" t="s">
        <v>1627</v>
      </c>
    </row>
    <row r="1188" spans="1:32" x14ac:dyDescent="0.25">
      <c r="A1188" t="s">
        <v>1245</v>
      </c>
      <c r="B1188">
        <v>35</v>
      </c>
      <c r="C1188">
        <v>880</v>
      </c>
      <c r="D1188">
        <v>12</v>
      </c>
      <c r="E1188">
        <v>36</v>
      </c>
      <c r="F1188">
        <v>4581</v>
      </c>
      <c r="G1188">
        <v>10414</v>
      </c>
      <c r="H1188">
        <v>3</v>
      </c>
      <c r="I1188">
        <v>24</v>
      </c>
      <c r="J1188">
        <v>13</v>
      </c>
      <c r="K1188">
        <v>2</v>
      </c>
      <c r="L1188">
        <v>11</v>
      </c>
      <c r="M1188">
        <v>9</v>
      </c>
      <c r="N1188">
        <v>6</v>
      </c>
      <c r="O1188">
        <v>7</v>
      </c>
      <c r="P1188" t="s">
        <v>1555</v>
      </c>
      <c r="Q1188" t="s">
        <v>1553</v>
      </c>
      <c r="R1188" t="s">
        <v>1549</v>
      </c>
      <c r="S1188" t="s">
        <v>1535</v>
      </c>
      <c r="T1188" t="s">
        <v>1539</v>
      </c>
      <c r="U1188" t="s">
        <v>1548</v>
      </c>
      <c r="V1188" t="s">
        <v>1559</v>
      </c>
      <c r="W1188" t="s">
        <v>1563</v>
      </c>
      <c r="X1188" t="s">
        <v>1576</v>
      </c>
      <c r="Y1188" t="s">
        <v>1581</v>
      </c>
      <c r="Z1188" t="s">
        <v>1594</v>
      </c>
      <c r="AA1188" t="s">
        <v>1596</v>
      </c>
      <c r="AB1188" t="s">
        <v>1600</v>
      </c>
      <c r="AC1188" t="s">
        <v>1611</v>
      </c>
      <c r="AD1188" t="s">
        <v>1604</v>
      </c>
      <c r="AE1188" t="s">
        <v>1616</v>
      </c>
      <c r="AF1188" t="s">
        <v>1628</v>
      </c>
    </row>
    <row r="1189" spans="1:32" x14ac:dyDescent="0.25">
      <c r="A1189" t="s">
        <v>1246</v>
      </c>
      <c r="B1189">
        <v>38</v>
      </c>
      <c r="C1189">
        <v>1189</v>
      </c>
      <c r="D1189">
        <v>1</v>
      </c>
      <c r="E1189">
        <v>90</v>
      </c>
      <c r="F1189">
        <v>4735</v>
      </c>
      <c r="G1189">
        <v>9867</v>
      </c>
      <c r="H1189">
        <v>7</v>
      </c>
      <c r="I1189">
        <v>15</v>
      </c>
      <c r="J1189">
        <v>19</v>
      </c>
      <c r="K1189">
        <v>4</v>
      </c>
      <c r="L1189">
        <v>13</v>
      </c>
      <c r="M1189">
        <v>11</v>
      </c>
      <c r="N1189">
        <v>2</v>
      </c>
      <c r="O1189">
        <v>9</v>
      </c>
      <c r="P1189" t="s">
        <v>1556</v>
      </c>
      <c r="Q1189" t="s">
        <v>1553</v>
      </c>
      <c r="R1189" t="s">
        <v>1550</v>
      </c>
      <c r="S1189" t="s">
        <v>1534</v>
      </c>
      <c r="T1189" t="s">
        <v>1538</v>
      </c>
      <c r="U1189" t="s">
        <v>1548</v>
      </c>
      <c r="V1189" t="s">
        <v>1559</v>
      </c>
      <c r="W1189" t="s">
        <v>1563</v>
      </c>
      <c r="X1189" t="s">
        <v>1576</v>
      </c>
      <c r="Y1189" t="s">
        <v>1582</v>
      </c>
      <c r="Z1189" t="s">
        <v>1594</v>
      </c>
      <c r="AA1189" t="s">
        <v>1597</v>
      </c>
      <c r="AB1189" t="s">
        <v>1601</v>
      </c>
      <c r="AC1189" t="s">
        <v>1610</v>
      </c>
      <c r="AD1189" t="s">
        <v>1607</v>
      </c>
      <c r="AE1189" t="s">
        <v>1618</v>
      </c>
      <c r="AF1189" t="s">
        <v>1628</v>
      </c>
    </row>
    <row r="1190" spans="1:32" x14ac:dyDescent="0.25">
      <c r="A1190" t="s">
        <v>1247</v>
      </c>
      <c r="B1190">
        <v>29</v>
      </c>
      <c r="C1190">
        <v>991</v>
      </c>
      <c r="D1190">
        <v>5</v>
      </c>
      <c r="E1190">
        <v>43</v>
      </c>
      <c r="F1190">
        <v>4187</v>
      </c>
      <c r="G1190">
        <v>3356</v>
      </c>
      <c r="H1190">
        <v>1</v>
      </c>
      <c r="I1190">
        <v>13</v>
      </c>
      <c r="J1190">
        <v>10</v>
      </c>
      <c r="K1190">
        <v>3</v>
      </c>
      <c r="L1190">
        <v>10</v>
      </c>
      <c r="M1190">
        <v>0</v>
      </c>
      <c r="N1190">
        <v>0</v>
      </c>
      <c r="O1190">
        <v>9</v>
      </c>
      <c r="P1190" t="s">
        <v>1556</v>
      </c>
      <c r="Q1190" t="s">
        <v>1552</v>
      </c>
      <c r="R1190" t="s">
        <v>1549</v>
      </c>
      <c r="S1190" t="s">
        <v>1534</v>
      </c>
      <c r="T1190" t="s">
        <v>1540</v>
      </c>
      <c r="U1190" t="s">
        <v>1545</v>
      </c>
      <c r="V1190" t="s">
        <v>1559</v>
      </c>
      <c r="W1190" t="s">
        <v>1562</v>
      </c>
      <c r="X1190" t="s">
        <v>1576</v>
      </c>
      <c r="Y1190" t="s">
        <v>1581</v>
      </c>
      <c r="Z1190" t="s">
        <v>1592</v>
      </c>
      <c r="AA1190" t="s">
        <v>1598</v>
      </c>
      <c r="AB1190" t="s">
        <v>1600</v>
      </c>
      <c r="AC1190" t="s">
        <v>1610</v>
      </c>
      <c r="AD1190" t="s">
        <v>1605</v>
      </c>
      <c r="AE1190" t="s">
        <v>1617</v>
      </c>
      <c r="AF1190" t="s">
        <v>1626</v>
      </c>
    </row>
    <row r="1191" spans="1:32" x14ac:dyDescent="0.25">
      <c r="A1191" t="s">
        <v>1248</v>
      </c>
      <c r="B1191">
        <v>33</v>
      </c>
      <c r="C1191">
        <v>392</v>
      </c>
      <c r="D1191">
        <v>2</v>
      </c>
      <c r="E1191">
        <v>93</v>
      </c>
      <c r="F1191">
        <v>5505</v>
      </c>
      <c r="G1191">
        <v>3921</v>
      </c>
      <c r="H1191">
        <v>1</v>
      </c>
      <c r="I1191">
        <v>14</v>
      </c>
      <c r="J1191">
        <v>6</v>
      </c>
      <c r="K1191">
        <v>5</v>
      </c>
      <c r="L1191">
        <v>6</v>
      </c>
      <c r="M1191">
        <v>2</v>
      </c>
      <c r="N1191">
        <v>0</v>
      </c>
      <c r="O1191">
        <v>4</v>
      </c>
      <c r="P1191" t="s">
        <v>1556</v>
      </c>
      <c r="Q1191" t="s">
        <v>1552</v>
      </c>
      <c r="R1191" t="s">
        <v>1549</v>
      </c>
      <c r="S1191" t="s">
        <v>1535</v>
      </c>
      <c r="T1191" t="s">
        <v>1540</v>
      </c>
      <c r="U1191" t="s">
        <v>1548</v>
      </c>
      <c r="V1191" t="s">
        <v>1559</v>
      </c>
      <c r="W1191" t="s">
        <v>1563</v>
      </c>
      <c r="X1191" t="s">
        <v>1576</v>
      </c>
      <c r="Y1191" t="s">
        <v>1581</v>
      </c>
      <c r="Z1191" t="s">
        <v>1594</v>
      </c>
      <c r="AA1191" t="s">
        <v>1598</v>
      </c>
      <c r="AB1191" t="s">
        <v>1601</v>
      </c>
      <c r="AC1191" t="s">
        <v>1610</v>
      </c>
      <c r="AD1191" t="s">
        <v>1606</v>
      </c>
      <c r="AE1191" t="s">
        <v>1618</v>
      </c>
      <c r="AF1191" t="s">
        <v>1627</v>
      </c>
    </row>
    <row r="1192" spans="1:32" x14ac:dyDescent="0.25">
      <c r="A1192" t="s">
        <v>1249</v>
      </c>
      <c r="B1192">
        <v>32</v>
      </c>
      <c r="C1192">
        <v>977</v>
      </c>
      <c r="D1192">
        <v>2</v>
      </c>
      <c r="E1192">
        <v>45</v>
      </c>
      <c r="F1192">
        <v>5470</v>
      </c>
      <c r="G1192">
        <v>25518</v>
      </c>
      <c r="H1192">
        <v>0</v>
      </c>
      <c r="I1192">
        <v>13</v>
      </c>
      <c r="J1192">
        <v>10</v>
      </c>
      <c r="K1192">
        <v>4</v>
      </c>
      <c r="L1192">
        <v>9</v>
      </c>
      <c r="M1192">
        <v>5</v>
      </c>
      <c r="N1192">
        <v>1</v>
      </c>
      <c r="O1192">
        <v>6</v>
      </c>
      <c r="P1192" t="s">
        <v>1556</v>
      </c>
      <c r="Q1192" t="s">
        <v>1552</v>
      </c>
      <c r="R1192" t="s">
        <v>1550</v>
      </c>
      <c r="S1192" t="s">
        <v>1534</v>
      </c>
      <c r="T1192" t="s">
        <v>1540</v>
      </c>
      <c r="U1192" t="s">
        <v>1548</v>
      </c>
      <c r="V1192" t="s">
        <v>1559</v>
      </c>
      <c r="W1192" t="s">
        <v>1563</v>
      </c>
      <c r="X1192" t="s">
        <v>1576</v>
      </c>
      <c r="Y1192" t="s">
        <v>1582</v>
      </c>
      <c r="Z1192" t="s">
        <v>1592</v>
      </c>
      <c r="AA1192" t="s">
        <v>1598</v>
      </c>
      <c r="AB1192" t="s">
        <v>1601</v>
      </c>
      <c r="AC1192" t="s">
        <v>1610</v>
      </c>
      <c r="AD1192" t="s">
        <v>1606</v>
      </c>
      <c r="AE1192" t="s">
        <v>1618</v>
      </c>
      <c r="AF1192" t="s">
        <v>1626</v>
      </c>
    </row>
    <row r="1193" spans="1:32" x14ac:dyDescent="0.25">
      <c r="A1193" t="s">
        <v>1250</v>
      </c>
      <c r="B1193">
        <v>31</v>
      </c>
      <c r="C1193">
        <v>1112</v>
      </c>
      <c r="D1193">
        <v>5</v>
      </c>
      <c r="E1193">
        <v>67</v>
      </c>
      <c r="F1193">
        <v>5476</v>
      </c>
      <c r="G1193">
        <v>22589</v>
      </c>
      <c r="H1193">
        <v>1</v>
      </c>
      <c r="I1193">
        <v>11</v>
      </c>
      <c r="J1193">
        <v>10</v>
      </c>
      <c r="K1193">
        <v>2</v>
      </c>
      <c r="L1193">
        <v>10</v>
      </c>
      <c r="M1193">
        <v>0</v>
      </c>
      <c r="N1193">
        <v>0</v>
      </c>
      <c r="O1193">
        <v>2</v>
      </c>
      <c r="P1193" t="s">
        <v>1556</v>
      </c>
      <c r="Q1193" t="s">
        <v>1552</v>
      </c>
      <c r="R1193" t="s">
        <v>1549</v>
      </c>
      <c r="S1193" t="s">
        <v>1535</v>
      </c>
      <c r="T1193" t="s">
        <v>1538</v>
      </c>
      <c r="U1193" t="s">
        <v>1545</v>
      </c>
      <c r="V1193" t="s">
        <v>1558</v>
      </c>
      <c r="W1193" t="s">
        <v>1563</v>
      </c>
      <c r="X1193" t="s">
        <v>1576</v>
      </c>
      <c r="Y1193" t="s">
        <v>1581</v>
      </c>
      <c r="Z1193" t="s">
        <v>1594</v>
      </c>
      <c r="AA1193" t="s">
        <v>1597</v>
      </c>
      <c r="AB1193" t="s">
        <v>1601</v>
      </c>
      <c r="AC1193" t="s">
        <v>1610</v>
      </c>
      <c r="AD1193" t="s">
        <v>1604</v>
      </c>
      <c r="AE1193" t="s">
        <v>1618</v>
      </c>
      <c r="AF1193" t="s">
        <v>1627</v>
      </c>
    </row>
    <row r="1194" spans="1:32" x14ac:dyDescent="0.25">
      <c r="A1194" t="s">
        <v>1251</v>
      </c>
      <c r="B1194">
        <v>49</v>
      </c>
      <c r="C1194">
        <v>464</v>
      </c>
      <c r="D1194">
        <v>16</v>
      </c>
      <c r="E1194">
        <v>74</v>
      </c>
      <c r="F1194">
        <v>2587</v>
      </c>
      <c r="G1194">
        <v>24941</v>
      </c>
      <c r="H1194">
        <v>4</v>
      </c>
      <c r="I1194">
        <v>16</v>
      </c>
      <c r="J1194">
        <v>17</v>
      </c>
      <c r="K1194">
        <v>2</v>
      </c>
      <c r="L1194">
        <v>2</v>
      </c>
      <c r="M1194">
        <v>2</v>
      </c>
      <c r="N1194">
        <v>2</v>
      </c>
      <c r="O1194">
        <v>2</v>
      </c>
      <c r="P1194" t="s">
        <v>1556</v>
      </c>
      <c r="Q1194" t="s">
        <v>1552</v>
      </c>
      <c r="R1194" t="s">
        <v>1550</v>
      </c>
      <c r="S1194" t="s">
        <v>1534</v>
      </c>
      <c r="T1194" t="s">
        <v>1540</v>
      </c>
      <c r="U1194" t="s">
        <v>1548</v>
      </c>
      <c r="V1194" t="s">
        <v>1558</v>
      </c>
      <c r="W1194" t="s">
        <v>1563</v>
      </c>
      <c r="X1194" t="s">
        <v>1575</v>
      </c>
      <c r="Y1194" t="s">
        <v>1583</v>
      </c>
      <c r="Z1194" t="s">
        <v>1591</v>
      </c>
      <c r="AA1194" t="s">
        <v>1598</v>
      </c>
      <c r="AB1194" t="s">
        <v>1600</v>
      </c>
      <c r="AC1194" t="s">
        <v>1610</v>
      </c>
      <c r="AD1194" t="s">
        <v>1605</v>
      </c>
      <c r="AE1194" t="s">
        <v>1617</v>
      </c>
      <c r="AF1194" t="s">
        <v>1626</v>
      </c>
    </row>
    <row r="1195" spans="1:32" x14ac:dyDescent="0.25">
      <c r="A1195" t="s">
        <v>1252</v>
      </c>
      <c r="B1195">
        <v>38</v>
      </c>
      <c r="C1195">
        <v>148</v>
      </c>
      <c r="D1195">
        <v>2</v>
      </c>
      <c r="E1195">
        <v>42</v>
      </c>
      <c r="F1195">
        <v>2440</v>
      </c>
      <c r="G1195">
        <v>23826</v>
      </c>
      <c r="H1195">
        <v>1</v>
      </c>
      <c r="I1195">
        <v>22</v>
      </c>
      <c r="J1195">
        <v>4</v>
      </c>
      <c r="K1195">
        <v>3</v>
      </c>
      <c r="L1195">
        <v>4</v>
      </c>
      <c r="M1195">
        <v>3</v>
      </c>
      <c r="N1195">
        <v>3</v>
      </c>
      <c r="O1195">
        <v>3</v>
      </c>
      <c r="P1195" t="s">
        <v>1556</v>
      </c>
      <c r="Q1195" t="s">
        <v>1553</v>
      </c>
      <c r="R1195" t="s">
        <v>1550</v>
      </c>
      <c r="S1195" t="s">
        <v>1534</v>
      </c>
      <c r="T1195" t="s">
        <v>1540</v>
      </c>
      <c r="U1195" t="s">
        <v>1548</v>
      </c>
      <c r="V1195" t="s">
        <v>1558</v>
      </c>
      <c r="W1195" t="s">
        <v>1562</v>
      </c>
      <c r="X1195" t="s">
        <v>1575</v>
      </c>
      <c r="Y1195" t="s">
        <v>1583</v>
      </c>
      <c r="Z1195" t="s">
        <v>1592</v>
      </c>
      <c r="AA1195" t="s">
        <v>1596</v>
      </c>
      <c r="AB1195" t="s">
        <v>1601</v>
      </c>
      <c r="AC1195" t="s">
        <v>1611</v>
      </c>
      <c r="AD1195" t="s">
        <v>1605</v>
      </c>
      <c r="AE1195" t="s">
        <v>1616</v>
      </c>
      <c r="AF1195" t="s">
        <v>1627</v>
      </c>
    </row>
    <row r="1196" spans="1:32" x14ac:dyDescent="0.25">
      <c r="A1196" t="s">
        <v>1253</v>
      </c>
      <c r="B1196">
        <v>47</v>
      </c>
      <c r="C1196">
        <v>1225</v>
      </c>
      <c r="D1196">
        <v>2</v>
      </c>
      <c r="E1196">
        <v>47</v>
      </c>
      <c r="F1196">
        <v>15972</v>
      </c>
      <c r="G1196">
        <v>21086</v>
      </c>
      <c r="H1196">
        <v>6</v>
      </c>
      <c r="I1196">
        <v>14</v>
      </c>
      <c r="J1196">
        <v>29</v>
      </c>
      <c r="K1196">
        <v>2</v>
      </c>
      <c r="L1196">
        <v>3</v>
      </c>
      <c r="M1196">
        <v>2</v>
      </c>
      <c r="N1196">
        <v>1</v>
      </c>
      <c r="O1196">
        <v>2</v>
      </c>
      <c r="P1196" t="s">
        <v>1556</v>
      </c>
      <c r="Q1196" t="s">
        <v>1552</v>
      </c>
      <c r="R1196" t="s">
        <v>1549</v>
      </c>
      <c r="S1196" t="s">
        <v>1535</v>
      </c>
      <c r="T1196" t="s">
        <v>1538</v>
      </c>
      <c r="U1196" t="s">
        <v>1546</v>
      </c>
      <c r="V1196" t="s">
        <v>1558</v>
      </c>
      <c r="W1196" t="s">
        <v>1564</v>
      </c>
      <c r="X1196" t="s">
        <v>1578</v>
      </c>
      <c r="Y1196" t="s">
        <v>1586</v>
      </c>
      <c r="Z1196" t="s">
        <v>1592</v>
      </c>
      <c r="AA1196" t="s">
        <v>1598</v>
      </c>
      <c r="AB1196" t="s">
        <v>1601</v>
      </c>
      <c r="AC1196" t="s">
        <v>1610</v>
      </c>
      <c r="AD1196" t="s">
        <v>1606</v>
      </c>
      <c r="AE1196" t="s">
        <v>1619</v>
      </c>
      <c r="AF1196" t="s">
        <v>1627</v>
      </c>
    </row>
    <row r="1197" spans="1:32" x14ac:dyDescent="0.25">
      <c r="A1197" t="s">
        <v>1254</v>
      </c>
      <c r="B1197">
        <v>49</v>
      </c>
      <c r="C1197">
        <v>809</v>
      </c>
      <c r="D1197">
        <v>1</v>
      </c>
      <c r="E1197">
        <v>36</v>
      </c>
      <c r="F1197">
        <v>15379</v>
      </c>
      <c r="G1197">
        <v>22384</v>
      </c>
      <c r="H1197">
        <v>4</v>
      </c>
      <c r="I1197">
        <v>14</v>
      </c>
      <c r="J1197">
        <v>23</v>
      </c>
      <c r="K1197">
        <v>2</v>
      </c>
      <c r="L1197">
        <v>8</v>
      </c>
      <c r="M1197">
        <v>7</v>
      </c>
      <c r="N1197">
        <v>0</v>
      </c>
      <c r="O1197">
        <v>0</v>
      </c>
      <c r="P1197" t="s">
        <v>1556</v>
      </c>
      <c r="Q1197" t="s">
        <v>1552</v>
      </c>
      <c r="R1197" t="s">
        <v>1550</v>
      </c>
      <c r="S1197" t="s">
        <v>1534</v>
      </c>
      <c r="T1197" t="s">
        <v>1538</v>
      </c>
      <c r="U1197" t="s">
        <v>1547</v>
      </c>
      <c r="V1197" t="s">
        <v>1559</v>
      </c>
      <c r="W1197" t="s">
        <v>1563</v>
      </c>
      <c r="X1197" t="s">
        <v>1578</v>
      </c>
      <c r="Y1197" t="s">
        <v>1586</v>
      </c>
      <c r="Z1197" t="s">
        <v>1593</v>
      </c>
      <c r="AA1197" t="s">
        <v>1596</v>
      </c>
      <c r="AB1197" t="s">
        <v>1601</v>
      </c>
      <c r="AC1197" t="s">
        <v>1610</v>
      </c>
      <c r="AD1197" t="s">
        <v>1604</v>
      </c>
      <c r="AE1197" t="s">
        <v>1616</v>
      </c>
      <c r="AF1197" t="s">
        <v>1627</v>
      </c>
    </row>
    <row r="1198" spans="1:32" x14ac:dyDescent="0.25">
      <c r="A1198" t="s">
        <v>1255</v>
      </c>
      <c r="B1198">
        <v>41</v>
      </c>
      <c r="C1198">
        <v>1206</v>
      </c>
      <c r="D1198">
        <v>23</v>
      </c>
      <c r="E1198">
        <v>80</v>
      </c>
      <c r="F1198">
        <v>7082</v>
      </c>
      <c r="G1198">
        <v>11591</v>
      </c>
      <c r="H1198">
        <v>3</v>
      </c>
      <c r="I1198">
        <v>16</v>
      </c>
      <c r="J1198">
        <v>21</v>
      </c>
      <c r="K1198">
        <v>2</v>
      </c>
      <c r="L1198">
        <v>2</v>
      </c>
      <c r="M1198">
        <v>0</v>
      </c>
      <c r="N1198">
        <v>0</v>
      </c>
      <c r="O1198">
        <v>2</v>
      </c>
      <c r="P1198" t="s">
        <v>1556</v>
      </c>
      <c r="Q1198" t="s">
        <v>1552</v>
      </c>
      <c r="R1198" t="s">
        <v>1549</v>
      </c>
      <c r="S1198" t="s">
        <v>1533</v>
      </c>
      <c r="T1198" t="s">
        <v>1538</v>
      </c>
      <c r="U1198" t="s">
        <v>1548</v>
      </c>
      <c r="V1198" t="s">
        <v>1559</v>
      </c>
      <c r="W1198" t="s">
        <v>1563</v>
      </c>
      <c r="X1198" t="s">
        <v>1577</v>
      </c>
      <c r="Y1198" t="s">
        <v>1581</v>
      </c>
      <c r="Z1198" t="s">
        <v>1593</v>
      </c>
      <c r="AA1198" t="s">
        <v>1596</v>
      </c>
      <c r="AB1198" t="s">
        <v>1600</v>
      </c>
      <c r="AC1198" t="s">
        <v>1610</v>
      </c>
      <c r="AD1198" t="s">
        <v>1607</v>
      </c>
      <c r="AE1198" t="s">
        <v>1616</v>
      </c>
      <c r="AF1198" t="s">
        <v>1627</v>
      </c>
    </row>
    <row r="1199" spans="1:32" x14ac:dyDescent="0.25">
      <c r="A1199" t="s">
        <v>1256</v>
      </c>
      <c r="B1199">
        <v>20</v>
      </c>
      <c r="C1199">
        <v>727</v>
      </c>
      <c r="D1199">
        <v>9</v>
      </c>
      <c r="E1199">
        <v>54</v>
      </c>
      <c r="F1199">
        <v>2728</v>
      </c>
      <c r="G1199">
        <v>21082</v>
      </c>
      <c r="H1199">
        <v>1</v>
      </c>
      <c r="I1199">
        <v>11</v>
      </c>
      <c r="J1199">
        <v>2</v>
      </c>
      <c r="K1199">
        <v>3</v>
      </c>
      <c r="L1199">
        <v>2</v>
      </c>
      <c r="M1199">
        <v>2</v>
      </c>
      <c r="N1199">
        <v>0</v>
      </c>
      <c r="O1199">
        <v>2</v>
      </c>
      <c r="P1199" t="s">
        <v>1556</v>
      </c>
      <c r="Q1199" t="s">
        <v>1552</v>
      </c>
      <c r="R1199" t="s">
        <v>1549</v>
      </c>
      <c r="S1199" t="s">
        <v>1532</v>
      </c>
      <c r="T1199" t="s">
        <v>1538</v>
      </c>
      <c r="U1199" t="s">
        <v>1548</v>
      </c>
      <c r="V1199" t="s">
        <v>1559</v>
      </c>
      <c r="W1199" t="s">
        <v>1563</v>
      </c>
      <c r="X1199" t="s">
        <v>1575</v>
      </c>
      <c r="Y1199" t="s">
        <v>1587</v>
      </c>
      <c r="Z1199" t="s">
        <v>1591</v>
      </c>
      <c r="AA1199" t="s">
        <v>1596</v>
      </c>
      <c r="AB1199" t="s">
        <v>1601</v>
      </c>
      <c r="AC1199" t="s">
        <v>1610</v>
      </c>
      <c r="AD1199" t="s">
        <v>1604</v>
      </c>
      <c r="AE1199" t="s">
        <v>1616</v>
      </c>
      <c r="AF1199" t="s">
        <v>1627</v>
      </c>
    </row>
    <row r="1200" spans="1:32" x14ac:dyDescent="0.25">
      <c r="A1200" t="s">
        <v>1257</v>
      </c>
      <c r="B1200">
        <v>33</v>
      </c>
      <c r="C1200">
        <v>530</v>
      </c>
      <c r="D1200">
        <v>16</v>
      </c>
      <c r="E1200">
        <v>36</v>
      </c>
      <c r="F1200">
        <v>5368</v>
      </c>
      <c r="G1200">
        <v>16130</v>
      </c>
      <c r="H1200">
        <v>1</v>
      </c>
      <c r="I1200">
        <v>25</v>
      </c>
      <c r="J1200">
        <v>7</v>
      </c>
      <c r="K1200">
        <v>2</v>
      </c>
      <c r="L1200">
        <v>6</v>
      </c>
      <c r="M1200">
        <v>5</v>
      </c>
      <c r="N1200">
        <v>1</v>
      </c>
      <c r="O1200">
        <v>2</v>
      </c>
      <c r="P1200" t="s">
        <v>1556</v>
      </c>
      <c r="Q1200" t="s">
        <v>1554</v>
      </c>
      <c r="R1200" t="s">
        <v>1549</v>
      </c>
      <c r="S1200" t="s">
        <v>1534</v>
      </c>
      <c r="T1200" t="s">
        <v>1538</v>
      </c>
      <c r="U1200" t="s">
        <v>1547</v>
      </c>
      <c r="V1200" t="s">
        <v>1558</v>
      </c>
      <c r="W1200" t="s">
        <v>1563</v>
      </c>
      <c r="X1200" t="s">
        <v>1576</v>
      </c>
      <c r="Y1200" t="s">
        <v>1581</v>
      </c>
      <c r="Z1200" t="s">
        <v>1594</v>
      </c>
      <c r="AA1200" t="s">
        <v>1598</v>
      </c>
      <c r="AB1200" t="s">
        <v>1600</v>
      </c>
      <c r="AC1200" t="s">
        <v>1611</v>
      </c>
      <c r="AD1200" t="s">
        <v>1606</v>
      </c>
      <c r="AE1200" t="s">
        <v>1617</v>
      </c>
      <c r="AF1200" t="s">
        <v>1627</v>
      </c>
    </row>
    <row r="1201" spans="1:32" x14ac:dyDescent="0.25">
      <c r="A1201" t="s">
        <v>1258</v>
      </c>
      <c r="B1201">
        <v>36</v>
      </c>
      <c r="C1201">
        <v>1351</v>
      </c>
      <c r="D1201">
        <v>26</v>
      </c>
      <c r="E1201">
        <v>80</v>
      </c>
      <c r="F1201">
        <v>5347</v>
      </c>
      <c r="G1201">
        <v>7419</v>
      </c>
      <c r="H1201">
        <v>6</v>
      </c>
      <c r="I1201">
        <v>14</v>
      </c>
      <c r="J1201">
        <v>10</v>
      </c>
      <c r="K1201">
        <v>2</v>
      </c>
      <c r="L1201">
        <v>3</v>
      </c>
      <c r="M1201">
        <v>2</v>
      </c>
      <c r="N1201">
        <v>0</v>
      </c>
      <c r="O1201">
        <v>2</v>
      </c>
      <c r="P1201" t="s">
        <v>1556</v>
      </c>
      <c r="Q1201" t="s">
        <v>1552</v>
      </c>
      <c r="R1201" t="s">
        <v>1550</v>
      </c>
      <c r="S1201" t="s">
        <v>1535</v>
      </c>
      <c r="T1201" t="s">
        <v>1538</v>
      </c>
      <c r="U1201" t="s">
        <v>1545</v>
      </c>
      <c r="V1201" t="s">
        <v>1559</v>
      </c>
      <c r="W1201" t="s">
        <v>1563</v>
      </c>
      <c r="X1201" t="s">
        <v>1576</v>
      </c>
      <c r="Y1201" t="s">
        <v>1585</v>
      </c>
      <c r="Z1201" t="s">
        <v>1593</v>
      </c>
      <c r="AA1201" t="s">
        <v>1597</v>
      </c>
      <c r="AB1201" t="s">
        <v>1601</v>
      </c>
      <c r="AC1201" t="s">
        <v>1610</v>
      </c>
      <c r="AD1201" t="s">
        <v>1605</v>
      </c>
      <c r="AE1201" t="s">
        <v>1618</v>
      </c>
      <c r="AF1201" t="s">
        <v>1626</v>
      </c>
    </row>
    <row r="1202" spans="1:32" x14ac:dyDescent="0.25">
      <c r="A1202" t="s">
        <v>1259</v>
      </c>
      <c r="B1202">
        <v>44</v>
      </c>
      <c r="C1202">
        <v>528</v>
      </c>
      <c r="D1202">
        <v>1</v>
      </c>
      <c r="E1202">
        <v>44</v>
      </c>
      <c r="F1202">
        <v>3195</v>
      </c>
      <c r="G1202">
        <v>4167</v>
      </c>
      <c r="H1202">
        <v>4</v>
      </c>
      <c r="I1202">
        <v>18</v>
      </c>
      <c r="J1202">
        <v>8</v>
      </c>
      <c r="K1202">
        <v>2</v>
      </c>
      <c r="L1202">
        <v>2</v>
      </c>
      <c r="M1202">
        <v>2</v>
      </c>
      <c r="N1202">
        <v>2</v>
      </c>
      <c r="O1202">
        <v>2</v>
      </c>
      <c r="P1202" t="s">
        <v>1556</v>
      </c>
      <c r="Q1202" t="s">
        <v>1552</v>
      </c>
      <c r="R1202" t="s">
        <v>1551</v>
      </c>
      <c r="S1202" t="s">
        <v>1534</v>
      </c>
      <c r="T1202" t="s">
        <v>1538</v>
      </c>
      <c r="U1202" t="s">
        <v>1547</v>
      </c>
      <c r="V1202" t="s">
        <v>1558</v>
      </c>
      <c r="W1202" t="s">
        <v>1563</v>
      </c>
      <c r="X1202" t="s">
        <v>1575</v>
      </c>
      <c r="Y1202" t="s">
        <v>1589</v>
      </c>
      <c r="Z1202" t="s">
        <v>1594</v>
      </c>
      <c r="AA1202" t="s">
        <v>1598</v>
      </c>
      <c r="AB1202" t="s">
        <v>1600</v>
      </c>
      <c r="AC1202" t="s">
        <v>1610</v>
      </c>
      <c r="AD1202" t="s">
        <v>1604</v>
      </c>
      <c r="AE1202" t="s">
        <v>1619</v>
      </c>
      <c r="AF1202" t="s">
        <v>1627</v>
      </c>
    </row>
    <row r="1203" spans="1:32" x14ac:dyDescent="0.25">
      <c r="A1203" t="s">
        <v>1260</v>
      </c>
      <c r="B1203">
        <v>23</v>
      </c>
      <c r="C1203">
        <v>1320</v>
      </c>
      <c r="D1203">
        <v>8</v>
      </c>
      <c r="E1203">
        <v>93</v>
      </c>
      <c r="F1203">
        <v>3989</v>
      </c>
      <c r="G1203">
        <v>20586</v>
      </c>
      <c r="H1203">
        <v>1</v>
      </c>
      <c r="I1203">
        <v>11</v>
      </c>
      <c r="J1203">
        <v>5</v>
      </c>
      <c r="K1203">
        <v>2</v>
      </c>
      <c r="L1203">
        <v>5</v>
      </c>
      <c r="M1203">
        <v>4</v>
      </c>
      <c r="N1203">
        <v>1</v>
      </c>
      <c r="O1203">
        <v>2</v>
      </c>
      <c r="P1203" t="s">
        <v>1555</v>
      </c>
      <c r="Q1203" t="s">
        <v>1552</v>
      </c>
      <c r="R1203" t="s">
        <v>1550</v>
      </c>
      <c r="S1203" t="s">
        <v>1532</v>
      </c>
      <c r="T1203" t="s">
        <v>1540</v>
      </c>
      <c r="U1203" t="s">
        <v>1548</v>
      </c>
      <c r="V1203" t="s">
        <v>1559</v>
      </c>
      <c r="W1203" t="s">
        <v>1562</v>
      </c>
      <c r="X1203" t="s">
        <v>1575</v>
      </c>
      <c r="Y1203" t="s">
        <v>1583</v>
      </c>
      <c r="Z1203" t="s">
        <v>1593</v>
      </c>
      <c r="AA1203" t="s">
        <v>1596</v>
      </c>
      <c r="AB1203" t="s">
        <v>1600</v>
      </c>
      <c r="AC1203" t="s">
        <v>1610</v>
      </c>
      <c r="AD1203" t="s">
        <v>1604</v>
      </c>
      <c r="AE1203" t="s">
        <v>1616</v>
      </c>
      <c r="AF1203" t="s">
        <v>1627</v>
      </c>
    </row>
    <row r="1204" spans="1:32" x14ac:dyDescent="0.25">
      <c r="A1204" t="s">
        <v>1261</v>
      </c>
      <c r="B1204">
        <v>38</v>
      </c>
      <c r="C1204">
        <v>1495</v>
      </c>
      <c r="D1204">
        <v>4</v>
      </c>
      <c r="E1204">
        <v>87</v>
      </c>
      <c r="F1204">
        <v>3306</v>
      </c>
      <c r="G1204">
        <v>26176</v>
      </c>
      <c r="H1204">
        <v>7</v>
      </c>
      <c r="I1204">
        <v>19</v>
      </c>
      <c r="J1204">
        <v>7</v>
      </c>
      <c r="K1204">
        <v>5</v>
      </c>
      <c r="L1204">
        <v>0</v>
      </c>
      <c r="M1204">
        <v>0</v>
      </c>
      <c r="N1204">
        <v>0</v>
      </c>
      <c r="O1204">
        <v>0</v>
      </c>
      <c r="P1204" t="s">
        <v>1556</v>
      </c>
      <c r="Q1204" t="s">
        <v>1552</v>
      </c>
      <c r="R1204" t="s">
        <v>1550</v>
      </c>
      <c r="S1204" t="s">
        <v>1533</v>
      </c>
      <c r="T1204" t="s">
        <v>1540</v>
      </c>
      <c r="U1204" t="s">
        <v>1548</v>
      </c>
      <c r="V1204" t="s">
        <v>1558</v>
      </c>
      <c r="W1204" t="s">
        <v>1563</v>
      </c>
      <c r="X1204" t="s">
        <v>1575</v>
      </c>
      <c r="Y1204" t="s">
        <v>1583</v>
      </c>
      <c r="Z1204" t="s">
        <v>1593</v>
      </c>
      <c r="AA1204" t="s">
        <v>1597</v>
      </c>
      <c r="AB1204" t="s">
        <v>1601</v>
      </c>
      <c r="AC1204" t="s">
        <v>1610</v>
      </c>
      <c r="AD1204" t="s">
        <v>1607</v>
      </c>
      <c r="AE1204" t="s">
        <v>1617</v>
      </c>
      <c r="AF1204" t="s">
        <v>1626</v>
      </c>
    </row>
    <row r="1205" spans="1:32" x14ac:dyDescent="0.25">
      <c r="A1205" t="s">
        <v>1262</v>
      </c>
      <c r="B1205">
        <v>53</v>
      </c>
      <c r="C1205">
        <v>1395</v>
      </c>
      <c r="D1205">
        <v>24</v>
      </c>
      <c r="E1205">
        <v>48</v>
      </c>
      <c r="F1205">
        <v>7005</v>
      </c>
      <c r="G1205">
        <v>3458</v>
      </c>
      <c r="H1205">
        <v>3</v>
      </c>
      <c r="I1205">
        <v>15</v>
      </c>
      <c r="J1205">
        <v>11</v>
      </c>
      <c r="K1205">
        <v>2</v>
      </c>
      <c r="L1205">
        <v>4</v>
      </c>
      <c r="M1205">
        <v>3</v>
      </c>
      <c r="N1205">
        <v>1</v>
      </c>
      <c r="O1205">
        <v>2</v>
      </c>
      <c r="P1205" t="s">
        <v>1556</v>
      </c>
      <c r="Q1205" t="s">
        <v>1552</v>
      </c>
      <c r="R1205" t="s">
        <v>1550</v>
      </c>
      <c r="S1205" t="s">
        <v>1535</v>
      </c>
      <c r="T1205" t="s">
        <v>1540</v>
      </c>
      <c r="U1205" t="s">
        <v>1546</v>
      </c>
      <c r="V1205" t="s">
        <v>1559</v>
      </c>
      <c r="W1205" t="s">
        <v>1564</v>
      </c>
      <c r="X1205" t="s">
        <v>1577</v>
      </c>
      <c r="Y1205" t="s">
        <v>1585</v>
      </c>
      <c r="Z1205" t="s">
        <v>1594</v>
      </c>
      <c r="AA1205" t="s">
        <v>1597</v>
      </c>
      <c r="AB1205" t="s">
        <v>1601</v>
      </c>
      <c r="AC1205" t="s">
        <v>1610</v>
      </c>
      <c r="AD1205" t="s">
        <v>1606</v>
      </c>
      <c r="AE1205" t="s">
        <v>1616</v>
      </c>
      <c r="AF1205" t="s">
        <v>1627</v>
      </c>
    </row>
    <row r="1206" spans="1:32" x14ac:dyDescent="0.25">
      <c r="A1206" t="s">
        <v>1263</v>
      </c>
      <c r="B1206">
        <v>48</v>
      </c>
      <c r="C1206">
        <v>708</v>
      </c>
      <c r="D1206">
        <v>7</v>
      </c>
      <c r="E1206">
        <v>95</v>
      </c>
      <c r="F1206">
        <v>2655</v>
      </c>
      <c r="G1206">
        <v>11740</v>
      </c>
      <c r="H1206">
        <v>2</v>
      </c>
      <c r="I1206">
        <v>11</v>
      </c>
      <c r="J1206">
        <v>19</v>
      </c>
      <c r="K1206">
        <v>3</v>
      </c>
      <c r="L1206">
        <v>9</v>
      </c>
      <c r="M1206">
        <v>7</v>
      </c>
      <c r="N1206">
        <v>7</v>
      </c>
      <c r="O1206">
        <v>7</v>
      </c>
      <c r="P1206" t="s">
        <v>1555</v>
      </c>
      <c r="Q1206" t="s">
        <v>1553</v>
      </c>
      <c r="R1206" t="s">
        <v>1549</v>
      </c>
      <c r="S1206" t="s">
        <v>1533</v>
      </c>
      <c r="T1206" t="s">
        <v>1540</v>
      </c>
      <c r="U1206" t="s">
        <v>1548</v>
      </c>
      <c r="V1206" t="s">
        <v>1558</v>
      </c>
      <c r="W1206" t="s">
        <v>1563</v>
      </c>
      <c r="X1206" t="s">
        <v>1575</v>
      </c>
      <c r="Y1206" t="s">
        <v>1587</v>
      </c>
      <c r="Z1206" t="s">
        <v>1593</v>
      </c>
      <c r="AA1206" t="s">
        <v>1597</v>
      </c>
      <c r="AB1206" t="s">
        <v>1600</v>
      </c>
      <c r="AC1206" t="s">
        <v>1610</v>
      </c>
      <c r="AD1206" t="s">
        <v>1606</v>
      </c>
      <c r="AE1206" t="s">
        <v>1618</v>
      </c>
      <c r="AF1206" t="s">
        <v>1627</v>
      </c>
    </row>
    <row r="1207" spans="1:32" x14ac:dyDescent="0.25">
      <c r="A1207" t="s">
        <v>1264</v>
      </c>
      <c r="B1207">
        <v>32</v>
      </c>
      <c r="C1207">
        <v>1259</v>
      </c>
      <c r="D1207">
        <v>2</v>
      </c>
      <c r="E1207">
        <v>95</v>
      </c>
      <c r="F1207">
        <v>1393</v>
      </c>
      <c r="G1207">
        <v>24852</v>
      </c>
      <c r="H1207">
        <v>1</v>
      </c>
      <c r="I1207">
        <v>12</v>
      </c>
      <c r="J1207">
        <v>1</v>
      </c>
      <c r="K1207">
        <v>2</v>
      </c>
      <c r="L1207">
        <v>1</v>
      </c>
      <c r="M1207">
        <v>0</v>
      </c>
      <c r="N1207">
        <v>0</v>
      </c>
      <c r="O1207">
        <v>0</v>
      </c>
      <c r="P1207" t="s">
        <v>1555</v>
      </c>
      <c r="Q1207" t="s">
        <v>1552</v>
      </c>
      <c r="R1207" t="s">
        <v>1550</v>
      </c>
      <c r="S1207" t="s">
        <v>1535</v>
      </c>
      <c r="T1207" t="s">
        <v>1538</v>
      </c>
      <c r="U1207" t="s">
        <v>1548</v>
      </c>
      <c r="V1207" t="s">
        <v>1559</v>
      </c>
      <c r="W1207" t="s">
        <v>1563</v>
      </c>
      <c r="X1207" t="s">
        <v>1575</v>
      </c>
      <c r="Y1207" t="s">
        <v>1583</v>
      </c>
      <c r="Z1207" t="s">
        <v>1592</v>
      </c>
      <c r="AA1207" t="s">
        <v>1596</v>
      </c>
      <c r="AB1207" t="s">
        <v>1601</v>
      </c>
      <c r="AC1207" t="s">
        <v>1610</v>
      </c>
      <c r="AD1207" t="s">
        <v>1604</v>
      </c>
      <c r="AE1207" t="s">
        <v>1616</v>
      </c>
      <c r="AF1207" t="s">
        <v>1627</v>
      </c>
    </row>
    <row r="1208" spans="1:32" x14ac:dyDescent="0.25">
      <c r="A1208" t="s">
        <v>1265</v>
      </c>
      <c r="B1208">
        <v>26</v>
      </c>
      <c r="C1208">
        <v>786</v>
      </c>
      <c r="D1208">
        <v>7</v>
      </c>
      <c r="E1208">
        <v>76</v>
      </c>
      <c r="F1208">
        <v>2570</v>
      </c>
      <c r="G1208">
        <v>11925</v>
      </c>
      <c r="H1208">
        <v>1</v>
      </c>
      <c r="I1208">
        <v>20</v>
      </c>
      <c r="J1208">
        <v>7</v>
      </c>
      <c r="K1208">
        <v>5</v>
      </c>
      <c r="L1208">
        <v>7</v>
      </c>
      <c r="M1208">
        <v>7</v>
      </c>
      <c r="N1208">
        <v>5</v>
      </c>
      <c r="O1208">
        <v>7</v>
      </c>
      <c r="P1208" t="s">
        <v>1556</v>
      </c>
      <c r="Q1208" t="s">
        <v>1554</v>
      </c>
      <c r="R1208" t="s">
        <v>1550</v>
      </c>
      <c r="S1208" t="s">
        <v>1534</v>
      </c>
      <c r="T1208" t="s">
        <v>1540</v>
      </c>
      <c r="U1208" t="s">
        <v>1548</v>
      </c>
      <c r="V1208" t="s">
        <v>1559</v>
      </c>
      <c r="W1208" t="s">
        <v>1563</v>
      </c>
      <c r="X1208" t="s">
        <v>1575</v>
      </c>
      <c r="Y1208" t="s">
        <v>1583</v>
      </c>
      <c r="Z1208" t="s">
        <v>1594</v>
      </c>
      <c r="AA1208" t="s">
        <v>1596</v>
      </c>
      <c r="AB1208" t="s">
        <v>1601</v>
      </c>
      <c r="AC1208" t="s">
        <v>1611</v>
      </c>
      <c r="AD1208" t="s">
        <v>1606</v>
      </c>
      <c r="AE1208" t="s">
        <v>1616</v>
      </c>
      <c r="AF1208" t="s">
        <v>1627</v>
      </c>
    </row>
    <row r="1209" spans="1:32" x14ac:dyDescent="0.25">
      <c r="A1209" t="s">
        <v>1266</v>
      </c>
      <c r="B1209">
        <v>55</v>
      </c>
      <c r="C1209">
        <v>1441</v>
      </c>
      <c r="D1209">
        <v>22</v>
      </c>
      <c r="E1209">
        <v>94</v>
      </c>
      <c r="F1209">
        <v>3537</v>
      </c>
      <c r="G1209">
        <v>23737</v>
      </c>
      <c r="H1209">
        <v>5</v>
      </c>
      <c r="I1209">
        <v>12</v>
      </c>
      <c r="J1209">
        <v>8</v>
      </c>
      <c r="K1209">
        <v>1</v>
      </c>
      <c r="L1209">
        <v>4</v>
      </c>
      <c r="M1209">
        <v>2</v>
      </c>
      <c r="N1209">
        <v>1</v>
      </c>
      <c r="O1209">
        <v>2</v>
      </c>
      <c r="P1209" t="s">
        <v>1556</v>
      </c>
      <c r="Q1209" t="s">
        <v>1552</v>
      </c>
      <c r="R1209" t="s">
        <v>1550</v>
      </c>
      <c r="S1209" t="s">
        <v>1534</v>
      </c>
      <c r="T1209" t="s">
        <v>1542</v>
      </c>
      <c r="U1209" t="s">
        <v>1545</v>
      </c>
      <c r="V1209" t="s">
        <v>1559</v>
      </c>
      <c r="W1209" t="s">
        <v>1562</v>
      </c>
      <c r="X1209" t="s">
        <v>1575</v>
      </c>
      <c r="Y1209" t="s">
        <v>1582</v>
      </c>
      <c r="Z1209" t="s">
        <v>1592</v>
      </c>
      <c r="AA1209" t="s">
        <v>1598</v>
      </c>
      <c r="AB1209" t="s">
        <v>1601</v>
      </c>
      <c r="AC1209" t="s">
        <v>1610</v>
      </c>
      <c r="AD1209" t="s">
        <v>1607</v>
      </c>
      <c r="AE1209" t="s">
        <v>1617</v>
      </c>
      <c r="AF1209" t="s">
        <v>1627</v>
      </c>
    </row>
    <row r="1210" spans="1:32" x14ac:dyDescent="0.25">
      <c r="A1210" t="s">
        <v>1267</v>
      </c>
      <c r="B1210">
        <v>34</v>
      </c>
      <c r="C1210">
        <v>1157</v>
      </c>
      <c r="D1210">
        <v>5</v>
      </c>
      <c r="E1210">
        <v>57</v>
      </c>
      <c r="F1210">
        <v>3986</v>
      </c>
      <c r="G1210">
        <v>11912</v>
      </c>
      <c r="H1210">
        <v>1</v>
      </c>
      <c r="I1210">
        <v>14</v>
      </c>
      <c r="J1210">
        <v>15</v>
      </c>
      <c r="K1210">
        <v>3</v>
      </c>
      <c r="L1210">
        <v>15</v>
      </c>
      <c r="M1210">
        <v>10</v>
      </c>
      <c r="N1210">
        <v>4</v>
      </c>
      <c r="O1210">
        <v>13</v>
      </c>
      <c r="P1210" t="s">
        <v>1556</v>
      </c>
      <c r="Q1210" t="s">
        <v>1552</v>
      </c>
      <c r="R1210" t="s">
        <v>1550</v>
      </c>
      <c r="S1210" t="s">
        <v>1533</v>
      </c>
      <c r="T1210" t="s">
        <v>1540</v>
      </c>
      <c r="U1210" t="s">
        <v>1546</v>
      </c>
      <c r="V1210" t="s">
        <v>1559</v>
      </c>
      <c r="W1210" t="s">
        <v>1562</v>
      </c>
      <c r="X1210" t="s">
        <v>1576</v>
      </c>
      <c r="Y1210" t="s">
        <v>1583</v>
      </c>
      <c r="Z1210" t="s">
        <v>1594</v>
      </c>
      <c r="AA1210" t="s">
        <v>1597</v>
      </c>
      <c r="AB1210" t="s">
        <v>1601</v>
      </c>
      <c r="AC1210" t="s">
        <v>1610</v>
      </c>
      <c r="AD1210" t="s">
        <v>1606</v>
      </c>
      <c r="AE1210" t="s">
        <v>1617</v>
      </c>
      <c r="AF1210" t="s">
        <v>1628</v>
      </c>
    </row>
    <row r="1211" spans="1:32" x14ac:dyDescent="0.25">
      <c r="A1211" t="s">
        <v>1268</v>
      </c>
      <c r="B1211">
        <v>60</v>
      </c>
      <c r="C1211">
        <v>370</v>
      </c>
      <c r="D1211">
        <v>1</v>
      </c>
      <c r="E1211">
        <v>92</v>
      </c>
      <c r="F1211">
        <v>10883</v>
      </c>
      <c r="G1211">
        <v>20467</v>
      </c>
      <c r="H1211">
        <v>3</v>
      </c>
      <c r="I1211">
        <v>20</v>
      </c>
      <c r="J1211">
        <v>19</v>
      </c>
      <c r="K1211">
        <v>2</v>
      </c>
      <c r="L1211">
        <v>1</v>
      </c>
      <c r="M1211">
        <v>0</v>
      </c>
      <c r="N1211">
        <v>0</v>
      </c>
      <c r="O1211">
        <v>0</v>
      </c>
      <c r="P1211" t="s">
        <v>1556</v>
      </c>
      <c r="Q1211" t="s">
        <v>1552</v>
      </c>
      <c r="R1211" t="s">
        <v>1550</v>
      </c>
      <c r="S1211" t="s">
        <v>1535</v>
      </c>
      <c r="T1211" t="s">
        <v>1540</v>
      </c>
      <c r="U1211" t="s">
        <v>1547</v>
      </c>
      <c r="V1211" t="s">
        <v>1559</v>
      </c>
      <c r="W1211" t="s">
        <v>1561</v>
      </c>
      <c r="X1211" t="s">
        <v>1577</v>
      </c>
      <c r="Y1211" t="s">
        <v>1585</v>
      </c>
      <c r="Z1211" t="s">
        <v>1594</v>
      </c>
      <c r="AA1211" t="s">
        <v>1598</v>
      </c>
      <c r="AB1211" t="s">
        <v>1601</v>
      </c>
      <c r="AC1211" t="s">
        <v>1611</v>
      </c>
      <c r="AD1211" t="s">
        <v>1606</v>
      </c>
      <c r="AE1211" t="s">
        <v>1617</v>
      </c>
      <c r="AF1211" t="s">
        <v>1628</v>
      </c>
    </row>
    <row r="1212" spans="1:32" x14ac:dyDescent="0.25">
      <c r="A1212" t="s">
        <v>1269</v>
      </c>
      <c r="B1212">
        <v>33</v>
      </c>
      <c r="C1212">
        <v>267</v>
      </c>
      <c r="D1212">
        <v>21</v>
      </c>
      <c r="E1212">
        <v>79</v>
      </c>
      <c r="F1212">
        <v>2028</v>
      </c>
      <c r="G1212">
        <v>13637</v>
      </c>
      <c r="H1212">
        <v>1</v>
      </c>
      <c r="I1212">
        <v>18</v>
      </c>
      <c r="J1212">
        <v>14</v>
      </c>
      <c r="K1212">
        <v>6</v>
      </c>
      <c r="L1212">
        <v>14</v>
      </c>
      <c r="M1212">
        <v>11</v>
      </c>
      <c r="N1212">
        <v>2</v>
      </c>
      <c r="O1212">
        <v>13</v>
      </c>
      <c r="P1212" t="s">
        <v>1556</v>
      </c>
      <c r="Q1212" t="s">
        <v>1552</v>
      </c>
      <c r="R1212" t="s">
        <v>1550</v>
      </c>
      <c r="S1212" t="s">
        <v>1534</v>
      </c>
      <c r="T1212" t="s">
        <v>1540</v>
      </c>
      <c r="U1212" t="s">
        <v>1546</v>
      </c>
      <c r="V1212" t="s">
        <v>1559</v>
      </c>
      <c r="W1212" t="s">
        <v>1564</v>
      </c>
      <c r="X1212" t="s">
        <v>1575</v>
      </c>
      <c r="Y1212" t="s">
        <v>1583</v>
      </c>
      <c r="Z1212" t="s">
        <v>1592</v>
      </c>
      <c r="AA1212" t="s">
        <v>1597</v>
      </c>
      <c r="AB1212" t="s">
        <v>1601</v>
      </c>
      <c r="AC1212" t="s">
        <v>1610</v>
      </c>
      <c r="AD1212" t="s">
        <v>1607</v>
      </c>
      <c r="AE1212" t="s">
        <v>1619</v>
      </c>
      <c r="AF1212" t="s">
        <v>1627</v>
      </c>
    </row>
    <row r="1213" spans="1:32" x14ac:dyDescent="0.25">
      <c r="A1213" t="s">
        <v>1270</v>
      </c>
      <c r="B1213">
        <v>37</v>
      </c>
      <c r="C1213">
        <v>1278</v>
      </c>
      <c r="D1213">
        <v>1</v>
      </c>
      <c r="E1213">
        <v>31</v>
      </c>
      <c r="F1213">
        <v>9525</v>
      </c>
      <c r="G1213">
        <v>7677</v>
      </c>
      <c r="H1213">
        <v>1</v>
      </c>
      <c r="I1213">
        <v>14</v>
      </c>
      <c r="J1213">
        <v>6</v>
      </c>
      <c r="K1213">
        <v>2</v>
      </c>
      <c r="L1213">
        <v>6</v>
      </c>
      <c r="M1213">
        <v>3</v>
      </c>
      <c r="N1213">
        <v>1</v>
      </c>
      <c r="O1213">
        <v>3</v>
      </c>
      <c r="P1213" t="s">
        <v>1556</v>
      </c>
      <c r="Q1213" t="s">
        <v>1553</v>
      </c>
      <c r="R1213" t="s">
        <v>1549</v>
      </c>
      <c r="S1213" t="s">
        <v>1535</v>
      </c>
      <c r="T1213" t="s">
        <v>1540</v>
      </c>
      <c r="U1213" t="s">
        <v>1547</v>
      </c>
      <c r="V1213" t="s">
        <v>1559</v>
      </c>
      <c r="W1213" t="s">
        <v>1561</v>
      </c>
      <c r="X1213" t="s">
        <v>1576</v>
      </c>
      <c r="Y1213" t="s">
        <v>1581</v>
      </c>
      <c r="Z1213" t="s">
        <v>1594</v>
      </c>
      <c r="AA1213" t="s">
        <v>1598</v>
      </c>
      <c r="AB1213" t="s">
        <v>1601</v>
      </c>
      <c r="AC1213" t="s">
        <v>1610</v>
      </c>
      <c r="AD1213" t="s">
        <v>1606</v>
      </c>
      <c r="AE1213" t="s">
        <v>1618</v>
      </c>
      <c r="AF1213" t="s">
        <v>1626</v>
      </c>
    </row>
    <row r="1214" spans="1:32" x14ac:dyDescent="0.25">
      <c r="A1214" t="s">
        <v>1271</v>
      </c>
      <c r="B1214">
        <v>34</v>
      </c>
      <c r="C1214">
        <v>678</v>
      </c>
      <c r="D1214">
        <v>19</v>
      </c>
      <c r="E1214">
        <v>35</v>
      </c>
      <c r="F1214">
        <v>2929</v>
      </c>
      <c r="G1214">
        <v>20338</v>
      </c>
      <c r="H1214">
        <v>1</v>
      </c>
      <c r="I1214">
        <v>12</v>
      </c>
      <c r="J1214">
        <v>10</v>
      </c>
      <c r="K1214">
        <v>3</v>
      </c>
      <c r="L1214">
        <v>10</v>
      </c>
      <c r="M1214">
        <v>9</v>
      </c>
      <c r="N1214">
        <v>8</v>
      </c>
      <c r="O1214">
        <v>7</v>
      </c>
      <c r="P1214" t="s">
        <v>1556</v>
      </c>
      <c r="Q1214" t="s">
        <v>1552</v>
      </c>
      <c r="R1214" t="s">
        <v>1550</v>
      </c>
      <c r="S1214" t="s">
        <v>1534</v>
      </c>
      <c r="T1214" t="s">
        <v>1538</v>
      </c>
      <c r="U1214" t="s">
        <v>1546</v>
      </c>
      <c r="V1214" t="s">
        <v>1558</v>
      </c>
      <c r="W1214" t="s">
        <v>1562</v>
      </c>
      <c r="X1214" t="s">
        <v>1575</v>
      </c>
      <c r="Y1214" t="s">
        <v>1582</v>
      </c>
      <c r="Z1214" t="s">
        <v>1594</v>
      </c>
      <c r="AA1214" t="s">
        <v>1597</v>
      </c>
      <c r="AB1214" t="s">
        <v>1601</v>
      </c>
      <c r="AC1214" t="s">
        <v>1610</v>
      </c>
      <c r="AD1214" t="s">
        <v>1605</v>
      </c>
      <c r="AE1214" t="s">
        <v>1616</v>
      </c>
      <c r="AF1214" t="s">
        <v>1627</v>
      </c>
    </row>
    <row r="1215" spans="1:32" x14ac:dyDescent="0.25">
      <c r="A1215" t="s">
        <v>1272</v>
      </c>
      <c r="B1215">
        <v>23</v>
      </c>
      <c r="C1215">
        <v>427</v>
      </c>
      <c r="D1215">
        <v>7</v>
      </c>
      <c r="E1215">
        <v>99</v>
      </c>
      <c r="F1215">
        <v>2275</v>
      </c>
      <c r="G1215">
        <v>25103</v>
      </c>
      <c r="H1215">
        <v>1</v>
      </c>
      <c r="I1215">
        <v>21</v>
      </c>
      <c r="J1215">
        <v>3</v>
      </c>
      <c r="K1215">
        <v>2</v>
      </c>
      <c r="L1215">
        <v>3</v>
      </c>
      <c r="M1215">
        <v>2</v>
      </c>
      <c r="N1215">
        <v>0</v>
      </c>
      <c r="O1215">
        <v>2</v>
      </c>
      <c r="P1215" t="s">
        <v>1555</v>
      </c>
      <c r="Q1215" t="s">
        <v>1552</v>
      </c>
      <c r="R1215" t="s">
        <v>1549</v>
      </c>
      <c r="S1215" t="s">
        <v>1534</v>
      </c>
      <c r="T1215" t="s">
        <v>1538</v>
      </c>
      <c r="U1215" t="s">
        <v>1547</v>
      </c>
      <c r="V1215" t="s">
        <v>1559</v>
      </c>
      <c r="W1215" t="s">
        <v>1563</v>
      </c>
      <c r="X1215" t="s">
        <v>1575</v>
      </c>
      <c r="Y1215" t="s">
        <v>1587</v>
      </c>
      <c r="Z1215" t="s">
        <v>1594</v>
      </c>
      <c r="AA1215" t="s">
        <v>1598</v>
      </c>
      <c r="AB1215" t="s">
        <v>1600</v>
      </c>
      <c r="AC1215" t="s">
        <v>1611</v>
      </c>
      <c r="AD1215" t="s">
        <v>1605</v>
      </c>
      <c r="AE1215" t="s">
        <v>1617</v>
      </c>
      <c r="AF1215" t="s">
        <v>1627</v>
      </c>
    </row>
    <row r="1216" spans="1:32" x14ac:dyDescent="0.25">
      <c r="A1216" t="s">
        <v>1273</v>
      </c>
      <c r="B1216">
        <v>44</v>
      </c>
      <c r="C1216">
        <v>921</v>
      </c>
      <c r="D1216">
        <v>2</v>
      </c>
      <c r="E1216">
        <v>96</v>
      </c>
      <c r="F1216">
        <v>7879</v>
      </c>
      <c r="G1216">
        <v>14810</v>
      </c>
      <c r="H1216">
        <v>1</v>
      </c>
      <c r="I1216">
        <v>19</v>
      </c>
      <c r="J1216">
        <v>9</v>
      </c>
      <c r="K1216">
        <v>2</v>
      </c>
      <c r="L1216">
        <v>8</v>
      </c>
      <c r="M1216">
        <v>7</v>
      </c>
      <c r="N1216">
        <v>6</v>
      </c>
      <c r="O1216">
        <v>7</v>
      </c>
      <c r="P1216" t="s">
        <v>1556</v>
      </c>
      <c r="Q1216" t="s">
        <v>1552</v>
      </c>
      <c r="R1216" t="s">
        <v>1550</v>
      </c>
      <c r="S1216" t="s">
        <v>1534</v>
      </c>
      <c r="T1216" t="s">
        <v>1538</v>
      </c>
      <c r="U1216" t="s">
        <v>1547</v>
      </c>
      <c r="V1216" t="s">
        <v>1558</v>
      </c>
      <c r="W1216" t="s">
        <v>1564</v>
      </c>
      <c r="X1216" t="s">
        <v>1577</v>
      </c>
      <c r="Y1216" t="s">
        <v>1585</v>
      </c>
      <c r="Z1216" t="s">
        <v>1594</v>
      </c>
      <c r="AA1216" t="s">
        <v>1597</v>
      </c>
      <c r="AB1216" t="s">
        <v>1600</v>
      </c>
      <c r="AC1216" t="s">
        <v>1610</v>
      </c>
      <c r="AD1216" t="s">
        <v>1605</v>
      </c>
      <c r="AE1216" t="s">
        <v>1617</v>
      </c>
      <c r="AF1216" t="s">
        <v>1627</v>
      </c>
    </row>
    <row r="1217" spans="1:32" x14ac:dyDescent="0.25">
      <c r="A1217" t="s">
        <v>1274</v>
      </c>
      <c r="B1217">
        <v>35</v>
      </c>
      <c r="C1217">
        <v>146</v>
      </c>
      <c r="D1217">
        <v>2</v>
      </c>
      <c r="E1217">
        <v>79</v>
      </c>
      <c r="F1217">
        <v>4930</v>
      </c>
      <c r="G1217">
        <v>13970</v>
      </c>
      <c r="H1217">
        <v>0</v>
      </c>
      <c r="I1217">
        <v>14</v>
      </c>
      <c r="J1217">
        <v>6</v>
      </c>
      <c r="K1217">
        <v>2</v>
      </c>
      <c r="L1217">
        <v>5</v>
      </c>
      <c r="M1217">
        <v>4</v>
      </c>
      <c r="N1217">
        <v>1</v>
      </c>
      <c r="O1217">
        <v>4</v>
      </c>
      <c r="P1217" t="s">
        <v>1556</v>
      </c>
      <c r="Q1217" t="s">
        <v>1553</v>
      </c>
      <c r="R1217" t="s">
        <v>1550</v>
      </c>
      <c r="S1217" t="s">
        <v>1535</v>
      </c>
      <c r="T1217" t="s">
        <v>1540</v>
      </c>
      <c r="U1217" t="s">
        <v>1545</v>
      </c>
      <c r="V1217" t="s">
        <v>1559</v>
      </c>
      <c r="W1217" t="s">
        <v>1562</v>
      </c>
      <c r="X1217" t="s">
        <v>1575</v>
      </c>
      <c r="Y1217" t="s">
        <v>1582</v>
      </c>
      <c r="Z1217" t="s">
        <v>1594</v>
      </c>
      <c r="AA1217" t="s">
        <v>1596</v>
      </c>
      <c r="AB1217" t="s">
        <v>1600</v>
      </c>
      <c r="AC1217" t="s">
        <v>1610</v>
      </c>
      <c r="AD1217" t="s">
        <v>1606</v>
      </c>
      <c r="AE1217" t="s">
        <v>1616</v>
      </c>
      <c r="AF1217" t="s">
        <v>1628</v>
      </c>
    </row>
    <row r="1218" spans="1:32" x14ac:dyDescent="0.25">
      <c r="A1218" t="s">
        <v>1275</v>
      </c>
      <c r="B1218">
        <v>43</v>
      </c>
      <c r="C1218">
        <v>1179</v>
      </c>
      <c r="D1218">
        <v>2</v>
      </c>
      <c r="E1218">
        <v>73</v>
      </c>
      <c r="F1218">
        <v>7847</v>
      </c>
      <c r="G1218">
        <v>6069</v>
      </c>
      <c r="H1218">
        <v>1</v>
      </c>
      <c r="I1218">
        <v>17</v>
      </c>
      <c r="J1218">
        <v>10</v>
      </c>
      <c r="K1218">
        <v>3</v>
      </c>
      <c r="L1218">
        <v>10</v>
      </c>
      <c r="M1218">
        <v>9</v>
      </c>
      <c r="N1218">
        <v>8</v>
      </c>
      <c r="O1218">
        <v>8</v>
      </c>
      <c r="P1218" t="s">
        <v>1556</v>
      </c>
      <c r="Q1218" t="s">
        <v>1552</v>
      </c>
      <c r="R1218" t="s">
        <v>1549</v>
      </c>
      <c r="S1218" t="s">
        <v>1534</v>
      </c>
      <c r="T1218" t="s">
        <v>1540</v>
      </c>
      <c r="U1218" t="s">
        <v>1548</v>
      </c>
      <c r="V1218" t="s">
        <v>1559</v>
      </c>
      <c r="W1218" t="s">
        <v>1563</v>
      </c>
      <c r="X1218" t="s">
        <v>1576</v>
      </c>
      <c r="Y1218" t="s">
        <v>1581</v>
      </c>
      <c r="Z1218" t="s">
        <v>1594</v>
      </c>
      <c r="AA1218" t="s">
        <v>1597</v>
      </c>
      <c r="AB1218" t="s">
        <v>1600</v>
      </c>
      <c r="AC1218" t="s">
        <v>1610</v>
      </c>
      <c r="AD1218" t="s">
        <v>1604</v>
      </c>
      <c r="AE1218" t="s">
        <v>1617</v>
      </c>
      <c r="AF1218" t="s">
        <v>1627</v>
      </c>
    </row>
    <row r="1219" spans="1:32" x14ac:dyDescent="0.25">
      <c r="A1219" t="s">
        <v>1276</v>
      </c>
      <c r="B1219">
        <v>24</v>
      </c>
      <c r="C1219">
        <v>581</v>
      </c>
      <c r="D1219">
        <v>9</v>
      </c>
      <c r="E1219">
        <v>62</v>
      </c>
      <c r="F1219">
        <v>4401</v>
      </c>
      <c r="G1219">
        <v>17616</v>
      </c>
      <c r="H1219">
        <v>1</v>
      </c>
      <c r="I1219">
        <v>16</v>
      </c>
      <c r="J1219">
        <v>5</v>
      </c>
      <c r="K1219">
        <v>1</v>
      </c>
      <c r="L1219">
        <v>5</v>
      </c>
      <c r="M1219">
        <v>3</v>
      </c>
      <c r="N1219">
        <v>0</v>
      </c>
      <c r="O1219">
        <v>4</v>
      </c>
      <c r="P1219" t="s">
        <v>1556</v>
      </c>
      <c r="Q1219" t="s">
        <v>1552</v>
      </c>
      <c r="R1219" t="s">
        <v>1550</v>
      </c>
      <c r="S1219" t="s">
        <v>1534</v>
      </c>
      <c r="T1219" t="s">
        <v>1540</v>
      </c>
      <c r="U1219" t="s">
        <v>1547</v>
      </c>
      <c r="V1219" t="s">
        <v>1559</v>
      </c>
      <c r="W1219" t="s">
        <v>1564</v>
      </c>
      <c r="X1219" t="s">
        <v>1575</v>
      </c>
      <c r="Y1219" t="s">
        <v>1582</v>
      </c>
      <c r="Z1219" t="s">
        <v>1593</v>
      </c>
      <c r="AA1219" t="s">
        <v>1597</v>
      </c>
      <c r="AB1219" t="s">
        <v>1601</v>
      </c>
      <c r="AC1219" t="s">
        <v>1610</v>
      </c>
      <c r="AD1219" t="s">
        <v>1607</v>
      </c>
      <c r="AE1219" t="s">
        <v>1617</v>
      </c>
      <c r="AF1219" t="s">
        <v>1627</v>
      </c>
    </row>
    <row r="1220" spans="1:32" x14ac:dyDescent="0.25">
      <c r="A1220" t="s">
        <v>1277</v>
      </c>
      <c r="B1220">
        <v>41</v>
      </c>
      <c r="C1220">
        <v>918</v>
      </c>
      <c r="D1220">
        <v>6</v>
      </c>
      <c r="E1220">
        <v>35</v>
      </c>
      <c r="F1220">
        <v>9241</v>
      </c>
      <c r="G1220">
        <v>15869</v>
      </c>
      <c r="H1220">
        <v>1</v>
      </c>
      <c r="I1220">
        <v>12</v>
      </c>
      <c r="J1220">
        <v>10</v>
      </c>
      <c r="K1220">
        <v>3</v>
      </c>
      <c r="L1220">
        <v>10</v>
      </c>
      <c r="M1220">
        <v>8</v>
      </c>
      <c r="N1220">
        <v>8</v>
      </c>
      <c r="O1220">
        <v>7</v>
      </c>
      <c r="P1220" t="s">
        <v>1556</v>
      </c>
      <c r="Q1220" t="s">
        <v>1552</v>
      </c>
      <c r="R1220" t="s">
        <v>1549</v>
      </c>
      <c r="S1220" t="s">
        <v>1534</v>
      </c>
      <c r="T1220" t="s">
        <v>1541</v>
      </c>
      <c r="U1220" t="s">
        <v>1548</v>
      </c>
      <c r="V1220" t="s">
        <v>1559</v>
      </c>
      <c r="W1220" t="s">
        <v>1563</v>
      </c>
      <c r="X1220" t="s">
        <v>1577</v>
      </c>
      <c r="Y1220" t="s">
        <v>1581</v>
      </c>
      <c r="Z1220" t="s">
        <v>1593</v>
      </c>
      <c r="AA1220" t="s">
        <v>1596</v>
      </c>
      <c r="AB1220" t="s">
        <v>1601</v>
      </c>
      <c r="AC1220" t="s">
        <v>1610</v>
      </c>
      <c r="AD1220" t="s">
        <v>1605</v>
      </c>
      <c r="AE1220" t="s">
        <v>1616</v>
      </c>
      <c r="AF1220" t="s">
        <v>1627</v>
      </c>
    </row>
    <row r="1221" spans="1:32" x14ac:dyDescent="0.25">
      <c r="A1221" t="s">
        <v>1278</v>
      </c>
      <c r="B1221">
        <v>29</v>
      </c>
      <c r="C1221">
        <v>1082</v>
      </c>
      <c r="D1221">
        <v>9</v>
      </c>
      <c r="E1221">
        <v>43</v>
      </c>
      <c r="F1221">
        <v>2974</v>
      </c>
      <c r="G1221">
        <v>25412</v>
      </c>
      <c r="H1221">
        <v>9</v>
      </c>
      <c r="I1221">
        <v>17</v>
      </c>
      <c r="J1221">
        <v>9</v>
      </c>
      <c r="K1221">
        <v>2</v>
      </c>
      <c r="L1221">
        <v>5</v>
      </c>
      <c r="M1221">
        <v>3</v>
      </c>
      <c r="N1221">
        <v>1</v>
      </c>
      <c r="O1221">
        <v>2</v>
      </c>
      <c r="P1221" t="s">
        <v>1556</v>
      </c>
      <c r="Q1221" t="s">
        <v>1552</v>
      </c>
      <c r="R1221" t="s">
        <v>1550</v>
      </c>
      <c r="S1221" t="s">
        <v>1535</v>
      </c>
      <c r="T1221" t="s">
        <v>1540</v>
      </c>
      <c r="U1221" t="s">
        <v>1548</v>
      </c>
      <c r="V1221" t="s">
        <v>1558</v>
      </c>
      <c r="W1221" t="s">
        <v>1563</v>
      </c>
      <c r="X1221" t="s">
        <v>1575</v>
      </c>
      <c r="Y1221" t="s">
        <v>1583</v>
      </c>
      <c r="Z1221" t="s">
        <v>1593</v>
      </c>
      <c r="AA1221" t="s">
        <v>1597</v>
      </c>
      <c r="AB1221" t="s">
        <v>1601</v>
      </c>
      <c r="AC1221" t="s">
        <v>1610</v>
      </c>
      <c r="AD1221" t="s">
        <v>1606</v>
      </c>
      <c r="AE1221" t="s">
        <v>1617</v>
      </c>
      <c r="AF1221" t="s">
        <v>1627</v>
      </c>
    </row>
    <row r="1222" spans="1:32" x14ac:dyDescent="0.25">
      <c r="A1222" t="s">
        <v>1279</v>
      </c>
      <c r="B1222">
        <v>36</v>
      </c>
      <c r="C1222">
        <v>530</v>
      </c>
      <c r="D1222">
        <v>2</v>
      </c>
      <c r="E1222">
        <v>51</v>
      </c>
      <c r="F1222">
        <v>4502</v>
      </c>
      <c r="G1222">
        <v>7439</v>
      </c>
      <c r="H1222">
        <v>3</v>
      </c>
      <c r="I1222">
        <v>15</v>
      </c>
      <c r="J1222">
        <v>17</v>
      </c>
      <c r="K1222">
        <v>2</v>
      </c>
      <c r="L1222">
        <v>13</v>
      </c>
      <c r="M1222">
        <v>7</v>
      </c>
      <c r="N1222">
        <v>6</v>
      </c>
      <c r="O1222">
        <v>7</v>
      </c>
      <c r="P1222" t="s">
        <v>1556</v>
      </c>
      <c r="Q1222" t="s">
        <v>1552</v>
      </c>
      <c r="R1222" t="s">
        <v>1549</v>
      </c>
      <c r="S1222" t="s">
        <v>1535</v>
      </c>
      <c r="T1222" t="s">
        <v>1538</v>
      </c>
      <c r="U1222" t="s">
        <v>1547</v>
      </c>
      <c r="V1222" t="s">
        <v>1558</v>
      </c>
      <c r="W1222" t="s">
        <v>1563</v>
      </c>
      <c r="X1222" t="s">
        <v>1576</v>
      </c>
      <c r="Y1222" t="s">
        <v>1587</v>
      </c>
      <c r="Z1222" t="s">
        <v>1594</v>
      </c>
      <c r="AA1222" t="s">
        <v>1596</v>
      </c>
      <c r="AB1222" t="s">
        <v>1601</v>
      </c>
      <c r="AC1222" t="s">
        <v>1610</v>
      </c>
      <c r="AD1222" t="s">
        <v>1606</v>
      </c>
      <c r="AE1222" t="s">
        <v>1616</v>
      </c>
      <c r="AF1222" t="s">
        <v>1626</v>
      </c>
    </row>
    <row r="1223" spans="1:32" x14ac:dyDescent="0.25">
      <c r="A1223" t="s">
        <v>1280</v>
      </c>
      <c r="B1223">
        <v>45</v>
      </c>
      <c r="C1223">
        <v>1238</v>
      </c>
      <c r="D1223">
        <v>1</v>
      </c>
      <c r="E1223">
        <v>74</v>
      </c>
      <c r="F1223">
        <v>10748</v>
      </c>
      <c r="G1223">
        <v>3395</v>
      </c>
      <c r="H1223">
        <v>3</v>
      </c>
      <c r="I1223">
        <v>23</v>
      </c>
      <c r="J1223">
        <v>25</v>
      </c>
      <c r="K1223">
        <v>3</v>
      </c>
      <c r="L1223">
        <v>23</v>
      </c>
      <c r="M1223">
        <v>15</v>
      </c>
      <c r="N1223">
        <v>14</v>
      </c>
      <c r="O1223">
        <v>4</v>
      </c>
      <c r="P1223" t="s">
        <v>1556</v>
      </c>
      <c r="Q1223" t="s">
        <v>1554</v>
      </c>
      <c r="R1223" t="s">
        <v>1550</v>
      </c>
      <c r="S1223" t="s">
        <v>1532</v>
      </c>
      <c r="T1223" t="s">
        <v>1538</v>
      </c>
      <c r="U1223" t="s">
        <v>1547</v>
      </c>
      <c r="V1223" t="s">
        <v>1559</v>
      </c>
      <c r="W1223" t="s">
        <v>1562</v>
      </c>
      <c r="X1223" t="s">
        <v>1577</v>
      </c>
      <c r="Y1223" t="s">
        <v>1585</v>
      </c>
      <c r="Z1223" t="s">
        <v>1593</v>
      </c>
      <c r="AA1223" t="s">
        <v>1597</v>
      </c>
      <c r="AB1223" t="s">
        <v>1601</v>
      </c>
      <c r="AC1223" t="s">
        <v>1611</v>
      </c>
      <c r="AD1223" t="s">
        <v>1607</v>
      </c>
      <c r="AE1223" t="s">
        <v>1617</v>
      </c>
      <c r="AF1223" t="s">
        <v>1626</v>
      </c>
    </row>
    <row r="1224" spans="1:32" x14ac:dyDescent="0.25">
      <c r="A1224" t="s">
        <v>1281</v>
      </c>
      <c r="B1224">
        <v>24</v>
      </c>
      <c r="C1224">
        <v>240</v>
      </c>
      <c r="D1224">
        <v>22</v>
      </c>
      <c r="E1224">
        <v>58</v>
      </c>
      <c r="F1224">
        <v>1555</v>
      </c>
      <c r="G1224">
        <v>11585</v>
      </c>
      <c r="H1224">
        <v>1</v>
      </c>
      <c r="I1224">
        <v>11</v>
      </c>
      <c r="J1224">
        <v>1</v>
      </c>
      <c r="K1224">
        <v>2</v>
      </c>
      <c r="L1224">
        <v>1</v>
      </c>
      <c r="M1224">
        <v>0</v>
      </c>
      <c r="N1224">
        <v>0</v>
      </c>
      <c r="O1224">
        <v>0</v>
      </c>
      <c r="P1224" t="s">
        <v>1555</v>
      </c>
      <c r="Q1224" t="s">
        <v>1552</v>
      </c>
      <c r="R1224" t="s">
        <v>1551</v>
      </c>
      <c r="S1224" t="s">
        <v>1532</v>
      </c>
      <c r="T1224" t="s">
        <v>1543</v>
      </c>
      <c r="U1224" t="s">
        <v>1548</v>
      </c>
      <c r="V1224" t="s">
        <v>1559</v>
      </c>
      <c r="W1224" t="s">
        <v>1561</v>
      </c>
      <c r="X1224" t="s">
        <v>1575</v>
      </c>
      <c r="Y1224" t="s">
        <v>1589</v>
      </c>
      <c r="Z1224" t="s">
        <v>1593</v>
      </c>
      <c r="AA1224" t="s">
        <v>1597</v>
      </c>
      <c r="AB1224" t="s">
        <v>1601</v>
      </c>
      <c r="AC1224" t="s">
        <v>1610</v>
      </c>
      <c r="AD1224" t="s">
        <v>1606</v>
      </c>
      <c r="AE1224" t="s">
        <v>1617</v>
      </c>
      <c r="AF1224" t="s">
        <v>1627</v>
      </c>
    </row>
    <row r="1225" spans="1:32" x14ac:dyDescent="0.25">
      <c r="A1225" t="s">
        <v>1282</v>
      </c>
      <c r="B1225">
        <v>47</v>
      </c>
      <c r="C1225">
        <v>1093</v>
      </c>
      <c r="D1225">
        <v>9</v>
      </c>
      <c r="E1225">
        <v>82</v>
      </c>
      <c r="F1225">
        <v>12936</v>
      </c>
      <c r="G1225">
        <v>24164</v>
      </c>
      <c r="H1225">
        <v>7</v>
      </c>
      <c r="I1225">
        <v>11</v>
      </c>
      <c r="J1225">
        <v>25</v>
      </c>
      <c r="K1225">
        <v>3</v>
      </c>
      <c r="L1225">
        <v>23</v>
      </c>
      <c r="M1225">
        <v>5</v>
      </c>
      <c r="N1225">
        <v>14</v>
      </c>
      <c r="O1225">
        <v>10</v>
      </c>
      <c r="P1225" t="s">
        <v>1555</v>
      </c>
      <c r="Q1225" t="s">
        <v>1553</v>
      </c>
      <c r="R1225" t="s">
        <v>1549</v>
      </c>
      <c r="S1225" t="s">
        <v>1534</v>
      </c>
      <c r="T1225" t="s">
        <v>1538</v>
      </c>
      <c r="U1225" t="s">
        <v>1547</v>
      </c>
      <c r="V1225" t="s">
        <v>1559</v>
      </c>
      <c r="W1225" t="s">
        <v>1561</v>
      </c>
      <c r="X1225" t="s">
        <v>1578</v>
      </c>
      <c r="Y1225" t="s">
        <v>1581</v>
      </c>
      <c r="Z1225" t="s">
        <v>1593</v>
      </c>
      <c r="AA1225" t="s">
        <v>1597</v>
      </c>
      <c r="AB1225" t="s">
        <v>1601</v>
      </c>
      <c r="AC1225" t="s">
        <v>1610</v>
      </c>
      <c r="AD1225" t="s">
        <v>1606</v>
      </c>
      <c r="AE1225" t="s">
        <v>1616</v>
      </c>
      <c r="AF1225" t="s">
        <v>1625</v>
      </c>
    </row>
    <row r="1226" spans="1:32" x14ac:dyDescent="0.25">
      <c r="A1226" t="s">
        <v>1283</v>
      </c>
      <c r="B1226">
        <v>26</v>
      </c>
      <c r="C1226">
        <v>390</v>
      </c>
      <c r="D1226">
        <v>17</v>
      </c>
      <c r="E1226">
        <v>62</v>
      </c>
      <c r="F1226">
        <v>2305</v>
      </c>
      <c r="G1226">
        <v>6217</v>
      </c>
      <c r="H1226">
        <v>1</v>
      </c>
      <c r="I1226">
        <v>15</v>
      </c>
      <c r="J1226">
        <v>3</v>
      </c>
      <c r="K1226">
        <v>3</v>
      </c>
      <c r="L1226">
        <v>3</v>
      </c>
      <c r="M1226">
        <v>2</v>
      </c>
      <c r="N1226">
        <v>0</v>
      </c>
      <c r="O1226">
        <v>2</v>
      </c>
      <c r="P1226" t="s">
        <v>1556</v>
      </c>
      <c r="Q1226" t="s">
        <v>1552</v>
      </c>
      <c r="R1226" t="s">
        <v>1550</v>
      </c>
      <c r="S1226" t="s">
        <v>1535</v>
      </c>
      <c r="T1226" t="s">
        <v>1540</v>
      </c>
      <c r="U1226" t="s">
        <v>1548</v>
      </c>
      <c r="V1226" t="s">
        <v>1559</v>
      </c>
      <c r="W1226" t="s">
        <v>1561</v>
      </c>
      <c r="X1226" t="s">
        <v>1575</v>
      </c>
      <c r="Y1226" t="s">
        <v>1583</v>
      </c>
      <c r="Z1226" t="s">
        <v>1593</v>
      </c>
      <c r="AA1226" t="s">
        <v>1597</v>
      </c>
      <c r="AB1226" t="s">
        <v>1601</v>
      </c>
      <c r="AC1226" t="s">
        <v>1610</v>
      </c>
      <c r="AD1226" t="s">
        <v>1606</v>
      </c>
      <c r="AE1226" t="s">
        <v>1619</v>
      </c>
      <c r="AF1226" t="s">
        <v>1628</v>
      </c>
    </row>
    <row r="1227" spans="1:32" x14ac:dyDescent="0.25">
      <c r="A1227" t="s">
        <v>1284</v>
      </c>
      <c r="B1227">
        <v>45</v>
      </c>
      <c r="C1227">
        <v>1005</v>
      </c>
      <c r="D1227">
        <v>28</v>
      </c>
      <c r="E1227">
        <v>48</v>
      </c>
      <c r="F1227">
        <v>16704</v>
      </c>
      <c r="G1227">
        <v>17119</v>
      </c>
      <c r="H1227">
        <v>1</v>
      </c>
      <c r="I1227">
        <v>11</v>
      </c>
      <c r="J1227">
        <v>21</v>
      </c>
      <c r="K1227">
        <v>2</v>
      </c>
      <c r="L1227">
        <v>21</v>
      </c>
      <c r="M1227">
        <v>6</v>
      </c>
      <c r="N1227">
        <v>8</v>
      </c>
      <c r="O1227">
        <v>6</v>
      </c>
      <c r="P1227" t="s">
        <v>1556</v>
      </c>
      <c r="Q1227" t="s">
        <v>1552</v>
      </c>
      <c r="R1227" t="s">
        <v>1550</v>
      </c>
      <c r="S1227" t="s">
        <v>1533</v>
      </c>
      <c r="T1227" t="s">
        <v>1542</v>
      </c>
      <c r="U1227" t="s">
        <v>1548</v>
      </c>
      <c r="V1227" t="s">
        <v>1558</v>
      </c>
      <c r="W1227" t="s">
        <v>1562</v>
      </c>
      <c r="X1227" t="s">
        <v>1578</v>
      </c>
      <c r="Y1227" t="s">
        <v>1588</v>
      </c>
      <c r="Z1227" t="s">
        <v>1592</v>
      </c>
      <c r="AA1227" t="s">
        <v>1596</v>
      </c>
      <c r="AB1227" t="s">
        <v>1601</v>
      </c>
      <c r="AC1227" t="s">
        <v>1610</v>
      </c>
      <c r="AD1227" t="s">
        <v>1606</v>
      </c>
      <c r="AE1227" t="s">
        <v>1616</v>
      </c>
      <c r="AF1227" t="s">
        <v>1627</v>
      </c>
    </row>
    <row r="1228" spans="1:32" x14ac:dyDescent="0.25">
      <c r="A1228" t="s">
        <v>1285</v>
      </c>
      <c r="B1228">
        <v>32</v>
      </c>
      <c r="C1228">
        <v>585</v>
      </c>
      <c r="D1228">
        <v>10</v>
      </c>
      <c r="E1228">
        <v>56</v>
      </c>
      <c r="F1228">
        <v>3433</v>
      </c>
      <c r="G1228">
        <v>17360</v>
      </c>
      <c r="H1228">
        <v>6</v>
      </c>
      <c r="I1228">
        <v>13</v>
      </c>
      <c r="J1228">
        <v>10</v>
      </c>
      <c r="K1228">
        <v>3</v>
      </c>
      <c r="L1228">
        <v>5</v>
      </c>
      <c r="M1228">
        <v>2</v>
      </c>
      <c r="N1228">
        <v>1</v>
      </c>
      <c r="O1228">
        <v>3</v>
      </c>
      <c r="P1228" t="s">
        <v>1556</v>
      </c>
      <c r="Q1228" t="s">
        <v>1553</v>
      </c>
      <c r="R1228" t="s">
        <v>1550</v>
      </c>
      <c r="S1228" t="s">
        <v>1534</v>
      </c>
      <c r="T1228" t="s">
        <v>1538</v>
      </c>
      <c r="U1228" t="s">
        <v>1545</v>
      </c>
      <c r="V1228" t="s">
        <v>1559</v>
      </c>
      <c r="W1228" t="s">
        <v>1563</v>
      </c>
      <c r="X1228" t="s">
        <v>1575</v>
      </c>
      <c r="Y1228" t="s">
        <v>1582</v>
      </c>
      <c r="Z1228" t="s">
        <v>1593</v>
      </c>
      <c r="AA1228" t="s">
        <v>1597</v>
      </c>
      <c r="AB1228" t="s">
        <v>1601</v>
      </c>
      <c r="AC1228" t="s">
        <v>1610</v>
      </c>
      <c r="AD1228" t="s">
        <v>1604</v>
      </c>
      <c r="AE1228" t="s">
        <v>1617</v>
      </c>
      <c r="AF1228" t="s">
        <v>1626</v>
      </c>
    </row>
    <row r="1229" spans="1:32" x14ac:dyDescent="0.25">
      <c r="A1229" t="s">
        <v>1286</v>
      </c>
      <c r="B1229">
        <v>31</v>
      </c>
      <c r="C1229">
        <v>741</v>
      </c>
      <c r="D1229">
        <v>2</v>
      </c>
      <c r="E1229">
        <v>69</v>
      </c>
      <c r="F1229">
        <v>3477</v>
      </c>
      <c r="G1229">
        <v>18103</v>
      </c>
      <c r="H1229">
        <v>1</v>
      </c>
      <c r="I1229">
        <v>14</v>
      </c>
      <c r="J1229">
        <v>6</v>
      </c>
      <c r="K1229">
        <v>2</v>
      </c>
      <c r="L1229">
        <v>5</v>
      </c>
      <c r="M1229">
        <v>2</v>
      </c>
      <c r="N1229">
        <v>0</v>
      </c>
      <c r="O1229">
        <v>3</v>
      </c>
      <c r="P1229" t="s">
        <v>1556</v>
      </c>
      <c r="Q1229" t="s">
        <v>1552</v>
      </c>
      <c r="R1229" t="s">
        <v>1550</v>
      </c>
      <c r="S1229" t="s">
        <v>1535</v>
      </c>
      <c r="T1229" t="s">
        <v>1538</v>
      </c>
      <c r="U1229" t="s">
        <v>1546</v>
      </c>
      <c r="V1229" t="s">
        <v>1559</v>
      </c>
      <c r="W1229" t="s">
        <v>1563</v>
      </c>
      <c r="X1229" t="s">
        <v>1575</v>
      </c>
      <c r="Y1229" t="s">
        <v>1583</v>
      </c>
      <c r="Z1229" t="s">
        <v>1593</v>
      </c>
      <c r="AA1229" t="s">
        <v>1597</v>
      </c>
      <c r="AB1229" t="s">
        <v>1601</v>
      </c>
      <c r="AC1229" t="s">
        <v>1610</v>
      </c>
      <c r="AD1229" t="s">
        <v>1607</v>
      </c>
      <c r="AE1229" t="s">
        <v>1617</v>
      </c>
      <c r="AF1229" t="s">
        <v>1628</v>
      </c>
    </row>
    <row r="1230" spans="1:32" x14ac:dyDescent="0.25">
      <c r="A1230" t="s">
        <v>1287</v>
      </c>
      <c r="B1230">
        <v>41</v>
      </c>
      <c r="C1230">
        <v>552</v>
      </c>
      <c r="D1230">
        <v>4</v>
      </c>
      <c r="E1230">
        <v>60</v>
      </c>
      <c r="F1230">
        <v>6430</v>
      </c>
      <c r="G1230">
        <v>20794</v>
      </c>
      <c r="H1230">
        <v>6</v>
      </c>
      <c r="I1230">
        <v>19</v>
      </c>
      <c r="J1230">
        <v>10</v>
      </c>
      <c r="K1230">
        <v>4</v>
      </c>
      <c r="L1230">
        <v>3</v>
      </c>
      <c r="M1230">
        <v>2</v>
      </c>
      <c r="N1230">
        <v>1</v>
      </c>
      <c r="O1230">
        <v>2</v>
      </c>
      <c r="P1230" t="s">
        <v>1556</v>
      </c>
      <c r="Q1230" t="s">
        <v>1554</v>
      </c>
      <c r="R1230" t="s">
        <v>1551</v>
      </c>
      <c r="S1230" t="s">
        <v>1534</v>
      </c>
      <c r="T1230" t="s">
        <v>1543</v>
      </c>
      <c r="U1230" t="s">
        <v>1547</v>
      </c>
      <c r="V1230" t="s">
        <v>1559</v>
      </c>
      <c r="W1230" t="s">
        <v>1561</v>
      </c>
      <c r="X1230" t="s">
        <v>1576</v>
      </c>
      <c r="Y1230" t="s">
        <v>1589</v>
      </c>
      <c r="Z1230" t="s">
        <v>1592</v>
      </c>
      <c r="AA1230" t="s">
        <v>1597</v>
      </c>
      <c r="AB1230" t="s">
        <v>1601</v>
      </c>
      <c r="AC1230" t="s">
        <v>1610</v>
      </c>
      <c r="AD1230" t="s">
        <v>1605</v>
      </c>
      <c r="AE1230" t="s">
        <v>1617</v>
      </c>
      <c r="AF1230" t="s">
        <v>1627</v>
      </c>
    </row>
    <row r="1231" spans="1:32" x14ac:dyDescent="0.25">
      <c r="A1231" t="s">
        <v>1288</v>
      </c>
      <c r="B1231">
        <v>40</v>
      </c>
      <c r="C1231">
        <v>369</v>
      </c>
      <c r="D1231">
        <v>8</v>
      </c>
      <c r="E1231">
        <v>92</v>
      </c>
      <c r="F1231">
        <v>6516</v>
      </c>
      <c r="G1231">
        <v>5041</v>
      </c>
      <c r="H1231">
        <v>2</v>
      </c>
      <c r="I1231">
        <v>16</v>
      </c>
      <c r="J1231">
        <v>18</v>
      </c>
      <c r="K1231">
        <v>3</v>
      </c>
      <c r="L1231">
        <v>1</v>
      </c>
      <c r="M1231">
        <v>0</v>
      </c>
      <c r="N1231">
        <v>0</v>
      </c>
      <c r="O1231">
        <v>0</v>
      </c>
      <c r="P1231" t="s">
        <v>1556</v>
      </c>
      <c r="Q1231" t="s">
        <v>1552</v>
      </c>
      <c r="R1231" t="s">
        <v>1550</v>
      </c>
      <c r="S1231" t="s">
        <v>1533</v>
      </c>
      <c r="T1231" t="s">
        <v>1538</v>
      </c>
      <c r="U1231" t="s">
        <v>1546</v>
      </c>
      <c r="V1231" t="s">
        <v>1558</v>
      </c>
      <c r="W1231" t="s">
        <v>1563</v>
      </c>
      <c r="X1231" t="s">
        <v>1576</v>
      </c>
      <c r="Y1231" t="s">
        <v>1584</v>
      </c>
      <c r="Z1231" t="s">
        <v>1591</v>
      </c>
      <c r="AA1231" t="s">
        <v>1597</v>
      </c>
      <c r="AB1231" t="s">
        <v>1600</v>
      </c>
      <c r="AC1231" t="s">
        <v>1610</v>
      </c>
      <c r="AD1231" t="s">
        <v>1605</v>
      </c>
      <c r="AE1231" t="s">
        <v>1617</v>
      </c>
      <c r="AF1231" t="s">
        <v>1627</v>
      </c>
    </row>
    <row r="1232" spans="1:32" x14ac:dyDescent="0.25">
      <c r="A1232" t="s">
        <v>1289</v>
      </c>
      <c r="B1232">
        <v>24</v>
      </c>
      <c r="C1232">
        <v>506</v>
      </c>
      <c r="D1232">
        <v>29</v>
      </c>
      <c r="E1232">
        <v>91</v>
      </c>
      <c r="F1232">
        <v>3907</v>
      </c>
      <c r="G1232">
        <v>3622</v>
      </c>
      <c r="H1232">
        <v>1</v>
      </c>
      <c r="I1232">
        <v>13</v>
      </c>
      <c r="J1232">
        <v>6</v>
      </c>
      <c r="K1232">
        <v>2</v>
      </c>
      <c r="L1232">
        <v>6</v>
      </c>
      <c r="M1232">
        <v>2</v>
      </c>
      <c r="N1232">
        <v>1</v>
      </c>
      <c r="O1232">
        <v>2</v>
      </c>
      <c r="P1232" t="s">
        <v>1556</v>
      </c>
      <c r="Q1232" t="s">
        <v>1552</v>
      </c>
      <c r="R1232" t="s">
        <v>1550</v>
      </c>
      <c r="S1232" t="s">
        <v>1532</v>
      </c>
      <c r="T1232" t="s">
        <v>1540</v>
      </c>
      <c r="U1232" t="s">
        <v>1546</v>
      </c>
      <c r="V1232" t="s">
        <v>1559</v>
      </c>
      <c r="W1232" t="s">
        <v>1563</v>
      </c>
      <c r="X1232" t="s">
        <v>1575</v>
      </c>
      <c r="Y1232" t="s">
        <v>1583</v>
      </c>
      <c r="Z1232" t="s">
        <v>1591</v>
      </c>
      <c r="AA1232" t="s">
        <v>1598</v>
      </c>
      <c r="AB1232" t="s">
        <v>1601</v>
      </c>
      <c r="AC1232" t="s">
        <v>1610</v>
      </c>
      <c r="AD1232" t="s">
        <v>1605</v>
      </c>
      <c r="AE1232" t="s">
        <v>1619</v>
      </c>
      <c r="AF1232" t="s">
        <v>1628</v>
      </c>
    </row>
    <row r="1233" spans="1:32" x14ac:dyDescent="0.25">
      <c r="A1233" t="s">
        <v>1290</v>
      </c>
      <c r="B1233">
        <v>46</v>
      </c>
      <c r="C1233">
        <v>717</v>
      </c>
      <c r="D1233">
        <v>13</v>
      </c>
      <c r="E1233">
        <v>34</v>
      </c>
      <c r="F1233">
        <v>5562</v>
      </c>
      <c r="G1233">
        <v>9697</v>
      </c>
      <c r="H1233">
        <v>6</v>
      </c>
      <c r="I1233">
        <v>14</v>
      </c>
      <c r="J1233">
        <v>19</v>
      </c>
      <c r="K1233">
        <v>3</v>
      </c>
      <c r="L1233">
        <v>10</v>
      </c>
      <c r="M1233">
        <v>7</v>
      </c>
      <c r="N1233">
        <v>0</v>
      </c>
      <c r="O1233">
        <v>9</v>
      </c>
      <c r="P1233" t="s">
        <v>1556</v>
      </c>
      <c r="Q1233" t="s">
        <v>1552</v>
      </c>
      <c r="R1233" t="s">
        <v>1550</v>
      </c>
      <c r="S1233" t="s">
        <v>1535</v>
      </c>
      <c r="T1233" t="s">
        <v>1538</v>
      </c>
      <c r="U1233" t="s">
        <v>1547</v>
      </c>
      <c r="V1233" t="s">
        <v>1559</v>
      </c>
      <c r="W1233" t="s">
        <v>1563</v>
      </c>
      <c r="X1233" t="s">
        <v>1576</v>
      </c>
      <c r="Y1233" t="s">
        <v>1585</v>
      </c>
      <c r="Z1233" t="s">
        <v>1592</v>
      </c>
      <c r="AA1233" t="s">
        <v>1596</v>
      </c>
      <c r="AB1233" t="s">
        <v>1601</v>
      </c>
      <c r="AC1233" t="s">
        <v>1610</v>
      </c>
      <c r="AD1233" t="s">
        <v>1607</v>
      </c>
      <c r="AE1233" t="s">
        <v>1616</v>
      </c>
      <c r="AF1233" t="s">
        <v>1627</v>
      </c>
    </row>
    <row r="1234" spans="1:32" x14ac:dyDescent="0.25">
      <c r="A1234" t="s">
        <v>1291</v>
      </c>
      <c r="B1234">
        <v>35</v>
      </c>
      <c r="C1234">
        <v>1370</v>
      </c>
      <c r="D1234">
        <v>27</v>
      </c>
      <c r="E1234">
        <v>49</v>
      </c>
      <c r="F1234">
        <v>6883</v>
      </c>
      <c r="G1234">
        <v>5151</v>
      </c>
      <c r="H1234">
        <v>2</v>
      </c>
      <c r="I1234">
        <v>16</v>
      </c>
      <c r="J1234">
        <v>17</v>
      </c>
      <c r="K1234">
        <v>3</v>
      </c>
      <c r="L1234">
        <v>7</v>
      </c>
      <c r="M1234">
        <v>7</v>
      </c>
      <c r="N1234">
        <v>0</v>
      </c>
      <c r="O1234">
        <v>7</v>
      </c>
      <c r="P1234" t="s">
        <v>1556</v>
      </c>
      <c r="Q1234" t="s">
        <v>1552</v>
      </c>
      <c r="R1234" t="s">
        <v>1550</v>
      </c>
      <c r="S1234" t="s">
        <v>1535</v>
      </c>
      <c r="T1234" t="s">
        <v>1538</v>
      </c>
      <c r="U1234" t="s">
        <v>1548</v>
      </c>
      <c r="V1234" t="s">
        <v>1559</v>
      </c>
      <c r="W1234" t="s">
        <v>1563</v>
      </c>
      <c r="X1234" t="s">
        <v>1576</v>
      </c>
      <c r="Y1234" t="s">
        <v>1584</v>
      </c>
      <c r="Z1234" t="s">
        <v>1593</v>
      </c>
      <c r="AA1234" t="s">
        <v>1597</v>
      </c>
      <c r="AB1234" t="s">
        <v>1601</v>
      </c>
      <c r="AC1234" t="s">
        <v>1610</v>
      </c>
      <c r="AD1234" t="s">
        <v>1605</v>
      </c>
      <c r="AE1234" t="s">
        <v>1617</v>
      </c>
      <c r="AF1234" t="s">
        <v>1627</v>
      </c>
    </row>
    <row r="1235" spans="1:32" x14ac:dyDescent="0.25">
      <c r="A1235" t="s">
        <v>1292</v>
      </c>
      <c r="B1235">
        <v>30</v>
      </c>
      <c r="C1235">
        <v>793</v>
      </c>
      <c r="D1235">
        <v>16</v>
      </c>
      <c r="E1235">
        <v>33</v>
      </c>
      <c r="F1235">
        <v>2862</v>
      </c>
      <c r="G1235">
        <v>3811</v>
      </c>
      <c r="H1235">
        <v>1</v>
      </c>
      <c r="I1235">
        <v>12</v>
      </c>
      <c r="J1235">
        <v>10</v>
      </c>
      <c r="K1235">
        <v>2</v>
      </c>
      <c r="L1235">
        <v>10</v>
      </c>
      <c r="M1235">
        <v>0</v>
      </c>
      <c r="N1235">
        <v>0</v>
      </c>
      <c r="O1235">
        <v>8</v>
      </c>
      <c r="P1235" t="s">
        <v>1556</v>
      </c>
      <c r="Q1235" t="s">
        <v>1552</v>
      </c>
      <c r="R1235" t="s">
        <v>1550</v>
      </c>
      <c r="S1235" t="s">
        <v>1532</v>
      </c>
      <c r="T1235" t="s">
        <v>1538</v>
      </c>
      <c r="U1235" t="s">
        <v>1546</v>
      </c>
      <c r="V1235" t="s">
        <v>1559</v>
      </c>
      <c r="W1235" t="s">
        <v>1563</v>
      </c>
      <c r="X1235" t="s">
        <v>1575</v>
      </c>
      <c r="Y1235" t="s">
        <v>1582</v>
      </c>
      <c r="Z1235" t="s">
        <v>1594</v>
      </c>
      <c r="AA1235" t="s">
        <v>1597</v>
      </c>
      <c r="AB1235" t="s">
        <v>1601</v>
      </c>
      <c r="AC1235" t="s">
        <v>1610</v>
      </c>
      <c r="AD1235" t="s">
        <v>1605</v>
      </c>
      <c r="AE1235" t="s">
        <v>1617</v>
      </c>
      <c r="AF1235" t="s">
        <v>1626</v>
      </c>
    </row>
    <row r="1236" spans="1:32" x14ac:dyDescent="0.25">
      <c r="A1236" t="s">
        <v>1293</v>
      </c>
      <c r="B1236">
        <v>47</v>
      </c>
      <c r="C1236">
        <v>543</v>
      </c>
      <c r="D1236">
        <v>2</v>
      </c>
      <c r="E1236">
        <v>87</v>
      </c>
      <c r="F1236">
        <v>4978</v>
      </c>
      <c r="G1236">
        <v>3536</v>
      </c>
      <c r="H1236">
        <v>7</v>
      </c>
      <c r="I1236">
        <v>11</v>
      </c>
      <c r="J1236">
        <v>4</v>
      </c>
      <c r="K1236">
        <v>3</v>
      </c>
      <c r="L1236">
        <v>1</v>
      </c>
      <c r="M1236">
        <v>0</v>
      </c>
      <c r="N1236">
        <v>0</v>
      </c>
      <c r="O1236">
        <v>0</v>
      </c>
      <c r="P1236" t="s">
        <v>1556</v>
      </c>
      <c r="Q1236" t="s">
        <v>1554</v>
      </c>
      <c r="R1236" t="s">
        <v>1549</v>
      </c>
      <c r="S1236" t="s">
        <v>1535</v>
      </c>
      <c r="T1236" t="s">
        <v>1541</v>
      </c>
      <c r="U1236" t="s">
        <v>1547</v>
      </c>
      <c r="V1236" t="s">
        <v>1559</v>
      </c>
      <c r="W1236" t="s">
        <v>1563</v>
      </c>
      <c r="X1236" t="s">
        <v>1576</v>
      </c>
      <c r="Y1236" t="s">
        <v>1581</v>
      </c>
      <c r="Z1236" t="s">
        <v>1592</v>
      </c>
      <c r="AA1236" t="s">
        <v>1597</v>
      </c>
      <c r="AB1236" t="s">
        <v>1601</v>
      </c>
      <c r="AC1236" t="s">
        <v>1610</v>
      </c>
      <c r="AD1236" t="s">
        <v>1607</v>
      </c>
      <c r="AE1236" t="s">
        <v>1617</v>
      </c>
      <c r="AF1236" t="s">
        <v>1625</v>
      </c>
    </row>
    <row r="1237" spans="1:32" x14ac:dyDescent="0.25">
      <c r="A1237" t="s">
        <v>1294</v>
      </c>
      <c r="B1237">
        <v>46</v>
      </c>
      <c r="C1237">
        <v>1277</v>
      </c>
      <c r="D1237">
        <v>2</v>
      </c>
      <c r="E1237">
        <v>74</v>
      </c>
      <c r="F1237">
        <v>10368</v>
      </c>
      <c r="G1237">
        <v>5596</v>
      </c>
      <c r="H1237">
        <v>4</v>
      </c>
      <c r="I1237">
        <v>12</v>
      </c>
      <c r="J1237">
        <v>13</v>
      </c>
      <c r="K1237">
        <v>5</v>
      </c>
      <c r="L1237">
        <v>10</v>
      </c>
      <c r="M1237">
        <v>6</v>
      </c>
      <c r="N1237">
        <v>0</v>
      </c>
      <c r="O1237">
        <v>3</v>
      </c>
      <c r="P1237" t="s">
        <v>1556</v>
      </c>
      <c r="Q1237" t="s">
        <v>1552</v>
      </c>
      <c r="R1237" t="s">
        <v>1549</v>
      </c>
      <c r="S1237" t="s">
        <v>1534</v>
      </c>
      <c r="T1237" t="s">
        <v>1538</v>
      </c>
      <c r="U1237" t="s">
        <v>1547</v>
      </c>
      <c r="V1237" t="s">
        <v>1559</v>
      </c>
      <c r="W1237" t="s">
        <v>1563</v>
      </c>
      <c r="X1237" t="s">
        <v>1577</v>
      </c>
      <c r="Y1237" t="s">
        <v>1581</v>
      </c>
      <c r="Z1237" t="s">
        <v>1594</v>
      </c>
      <c r="AA1237" t="s">
        <v>1598</v>
      </c>
      <c r="AB1237" t="s">
        <v>1600</v>
      </c>
      <c r="AC1237" t="s">
        <v>1610</v>
      </c>
      <c r="AD1237" t="s">
        <v>1605</v>
      </c>
      <c r="AE1237" t="s">
        <v>1617</v>
      </c>
      <c r="AF1237" t="s">
        <v>1626</v>
      </c>
    </row>
    <row r="1238" spans="1:32" x14ac:dyDescent="0.25">
      <c r="A1238" t="s">
        <v>1295</v>
      </c>
      <c r="B1238">
        <v>36</v>
      </c>
      <c r="C1238">
        <v>1456</v>
      </c>
      <c r="D1238">
        <v>13</v>
      </c>
      <c r="E1238">
        <v>96</v>
      </c>
      <c r="F1238">
        <v>6134</v>
      </c>
      <c r="G1238">
        <v>8658</v>
      </c>
      <c r="H1238">
        <v>5</v>
      </c>
      <c r="I1238">
        <v>13</v>
      </c>
      <c r="J1238">
        <v>16</v>
      </c>
      <c r="K1238">
        <v>3</v>
      </c>
      <c r="L1238">
        <v>2</v>
      </c>
      <c r="M1238">
        <v>2</v>
      </c>
      <c r="N1238">
        <v>2</v>
      </c>
      <c r="O1238">
        <v>2</v>
      </c>
      <c r="P1238" t="s">
        <v>1555</v>
      </c>
      <c r="Q1238" t="s">
        <v>1552</v>
      </c>
      <c r="R1238" t="s">
        <v>1549</v>
      </c>
      <c r="S1238" t="s">
        <v>1536</v>
      </c>
      <c r="T1238" t="s">
        <v>1541</v>
      </c>
      <c r="U1238" t="s">
        <v>1546</v>
      </c>
      <c r="V1238" t="s">
        <v>1559</v>
      </c>
      <c r="W1238" t="s">
        <v>1562</v>
      </c>
      <c r="X1238" t="s">
        <v>1576</v>
      </c>
      <c r="Y1238" t="s">
        <v>1581</v>
      </c>
      <c r="Z1238" t="s">
        <v>1591</v>
      </c>
      <c r="AA1238" t="s">
        <v>1598</v>
      </c>
      <c r="AB1238" t="s">
        <v>1600</v>
      </c>
      <c r="AC1238" t="s">
        <v>1610</v>
      </c>
      <c r="AD1238" t="s">
        <v>1605</v>
      </c>
      <c r="AE1238" t="s">
        <v>1619</v>
      </c>
      <c r="AF1238" t="s">
        <v>1627</v>
      </c>
    </row>
    <row r="1239" spans="1:32" x14ac:dyDescent="0.25">
      <c r="A1239" t="s">
        <v>1296</v>
      </c>
      <c r="B1239">
        <v>32</v>
      </c>
      <c r="C1239">
        <v>964</v>
      </c>
      <c r="D1239">
        <v>1</v>
      </c>
      <c r="E1239">
        <v>34</v>
      </c>
      <c r="F1239">
        <v>6735</v>
      </c>
      <c r="G1239">
        <v>12147</v>
      </c>
      <c r="H1239">
        <v>6</v>
      </c>
      <c r="I1239">
        <v>15</v>
      </c>
      <c r="J1239">
        <v>10</v>
      </c>
      <c r="K1239">
        <v>2</v>
      </c>
      <c r="L1239">
        <v>0</v>
      </c>
      <c r="M1239">
        <v>0</v>
      </c>
      <c r="N1239">
        <v>0</v>
      </c>
      <c r="O1239">
        <v>0</v>
      </c>
      <c r="P1239" t="s">
        <v>1555</v>
      </c>
      <c r="Q1239" t="s">
        <v>1552</v>
      </c>
      <c r="R1239" t="s">
        <v>1549</v>
      </c>
      <c r="S1239" t="s">
        <v>1533</v>
      </c>
      <c r="T1239" t="s">
        <v>1538</v>
      </c>
      <c r="U1239" t="s">
        <v>1545</v>
      </c>
      <c r="V1239" t="s">
        <v>1559</v>
      </c>
      <c r="W1239" t="s">
        <v>1561</v>
      </c>
      <c r="X1239" t="s">
        <v>1576</v>
      </c>
      <c r="Y1239" t="s">
        <v>1581</v>
      </c>
      <c r="Z1239" t="s">
        <v>1592</v>
      </c>
      <c r="AA1239" t="s">
        <v>1596</v>
      </c>
      <c r="AB1239" t="s">
        <v>1601</v>
      </c>
      <c r="AC1239" t="s">
        <v>1610</v>
      </c>
      <c r="AD1239" t="s">
        <v>1605</v>
      </c>
      <c r="AE1239" t="s">
        <v>1616</v>
      </c>
      <c r="AF1239" t="s">
        <v>1627</v>
      </c>
    </row>
    <row r="1240" spans="1:32" x14ac:dyDescent="0.25">
      <c r="A1240" t="s">
        <v>1297</v>
      </c>
      <c r="B1240">
        <v>23</v>
      </c>
      <c r="C1240">
        <v>160</v>
      </c>
      <c r="D1240">
        <v>4</v>
      </c>
      <c r="E1240">
        <v>51</v>
      </c>
      <c r="F1240">
        <v>3295</v>
      </c>
      <c r="G1240">
        <v>12862</v>
      </c>
      <c r="H1240">
        <v>1</v>
      </c>
      <c r="I1240">
        <v>13</v>
      </c>
      <c r="J1240">
        <v>3</v>
      </c>
      <c r="K1240">
        <v>3</v>
      </c>
      <c r="L1240">
        <v>3</v>
      </c>
      <c r="M1240">
        <v>2</v>
      </c>
      <c r="N1240">
        <v>1</v>
      </c>
      <c r="O1240">
        <v>2</v>
      </c>
      <c r="P1240" t="s">
        <v>1556</v>
      </c>
      <c r="Q1240" t="s">
        <v>1552</v>
      </c>
      <c r="R1240" t="s">
        <v>1550</v>
      </c>
      <c r="S1240" t="s">
        <v>1532</v>
      </c>
      <c r="T1240" t="s">
        <v>1540</v>
      </c>
      <c r="U1240" t="s">
        <v>1547</v>
      </c>
      <c r="V1240" t="s">
        <v>1558</v>
      </c>
      <c r="W1240" t="s">
        <v>1563</v>
      </c>
      <c r="X1240" t="s">
        <v>1575</v>
      </c>
      <c r="Y1240" t="s">
        <v>1583</v>
      </c>
      <c r="Z1240" t="s">
        <v>1592</v>
      </c>
      <c r="AA1240" t="s">
        <v>1596</v>
      </c>
      <c r="AB1240" t="s">
        <v>1601</v>
      </c>
      <c r="AC1240" t="s">
        <v>1610</v>
      </c>
      <c r="AD1240" t="s">
        <v>1606</v>
      </c>
      <c r="AE1240" t="s">
        <v>1616</v>
      </c>
      <c r="AF1240" t="s">
        <v>1625</v>
      </c>
    </row>
    <row r="1241" spans="1:32" x14ac:dyDescent="0.25">
      <c r="A1241" t="s">
        <v>1298</v>
      </c>
      <c r="B1241">
        <v>31</v>
      </c>
      <c r="C1241">
        <v>163</v>
      </c>
      <c r="D1241">
        <v>24</v>
      </c>
      <c r="E1241">
        <v>30</v>
      </c>
      <c r="F1241">
        <v>5238</v>
      </c>
      <c r="G1241">
        <v>6670</v>
      </c>
      <c r="H1241">
        <v>2</v>
      </c>
      <c r="I1241">
        <v>20</v>
      </c>
      <c r="J1241">
        <v>9</v>
      </c>
      <c r="K1241">
        <v>3</v>
      </c>
      <c r="L1241">
        <v>5</v>
      </c>
      <c r="M1241">
        <v>4</v>
      </c>
      <c r="N1241">
        <v>1</v>
      </c>
      <c r="O1241">
        <v>4</v>
      </c>
      <c r="P1241" t="s">
        <v>1556</v>
      </c>
      <c r="Q1241" t="s">
        <v>1553</v>
      </c>
      <c r="R1241" t="s">
        <v>1550</v>
      </c>
      <c r="S1241" t="s">
        <v>1532</v>
      </c>
      <c r="T1241" t="s">
        <v>1542</v>
      </c>
      <c r="U1241" t="s">
        <v>1548</v>
      </c>
      <c r="V1241" t="s">
        <v>1558</v>
      </c>
      <c r="W1241" t="s">
        <v>1563</v>
      </c>
      <c r="X1241" t="s">
        <v>1576</v>
      </c>
      <c r="Y1241" t="s">
        <v>1584</v>
      </c>
      <c r="Z1241" t="s">
        <v>1594</v>
      </c>
      <c r="AA1241" t="s">
        <v>1596</v>
      </c>
      <c r="AB1241" t="s">
        <v>1601</v>
      </c>
      <c r="AC1241" t="s">
        <v>1611</v>
      </c>
      <c r="AD1241" t="s">
        <v>1607</v>
      </c>
      <c r="AE1241" t="s">
        <v>1616</v>
      </c>
      <c r="AF1241" t="s">
        <v>1626</v>
      </c>
    </row>
    <row r="1242" spans="1:32" x14ac:dyDescent="0.25">
      <c r="A1242" t="s">
        <v>1299</v>
      </c>
      <c r="B1242">
        <v>39</v>
      </c>
      <c r="C1242">
        <v>792</v>
      </c>
      <c r="D1242">
        <v>1</v>
      </c>
      <c r="E1242">
        <v>77</v>
      </c>
      <c r="F1242">
        <v>6472</v>
      </c>
      <c r="G1242">
        <v>8989</v>
      </c>
      <c r="H1242">
        <v>1</v>
      </c>
      <c r="I1242">
        <v>15</v>
      </c>
      <c r="J1242">
        <v>9</v>
      </c>
      <c r="K1242">
        <v>2</v>
      </c>
      <c r="L1242">
        <v>9</v>
      </c>
      <c r="M1242">
        <v>8</v>
      </c>
      <c r="N1242">
        <v>5</v>
      </c>
      <c r="O1242">
        <v>8</v>
      </c>
      <c r="P1242" t="s">
        <v>1556</v>
      </c>
      <c r="Q1242" t="s">
        <v>1554</v>
      </c>
      <c r="R1242" t="s">
        <v>1550</v>
      </c>
      <c r="S1242" t="s">
        <v>1534</v>
      </c>
      <c r="T1242" t="s">
        <v>1538</v>
      </c>
      <c r="U1242" t="s">
        <v>1548</v>
      </c>
      <c r="V1242" t="s">
        <v>1559</v>
      </c>
      <c r="W1242" t="s">
        <v>1563</v>
      </c>
      <c r="X1242" t="s">
        <v>1576</v>
      </c>
      <c r="Y1242" t="s">
        <v>1583</v>
      </c>
      <c r="Z1242" t="s">
        <v>1594</v>
      </c>
      <c r="AA1242" t="s">
        <v>1597</v>
      </c>
      <c r="AB1242" t="s">
        <v>1600</v>
      </c>
      <c r="AC1242" t="s">
        <v>1610</v>
      </c>
      <c r="AD1242" t="s">
        <v>1607</v>
      </c>
      <c r="AE1242" t="s">
        <v>1617</v>
      </c>
      <c r="AF1242" t="s">
        <v>1627</v>
      </c>
    </row>
    <row r="1243" spans="1:32" x14ac:dyDescent="0.25">
      <c r="A1243" t="s">
        <v>1300</v>
      </c>
      <c r="B1243">
        <v>32</v>
      </c>
      <c r="C1243">
        <v>371</v>
      </c>
      <c r="D1243">
        <v>19</v>
      </c>
      <c r="E1243">
        <v>80</v>
      </c>
      <c r="F1243">
        <v>9610</v>
      </c>
      <c r="G1243">
        <v>3840</v>
      </c>
      <c r="H1243">
        <v>3</v>
      </c>
      <c r="I1243">
        <v>13</v>
      </c>
      <c r="J1243">
        <v>10</v>
      </c>
      <c r="K1243">
        <v>2</v>
      </c>
      <c r="L1243">
        <v>4</v>
      </c>
      <c r="M1243">
        <v>3</v>
      </c>
      <c r="N1243">
        <v>0</v>
      </c>
      <c r="O1243">
        <v>2</v>
      </c>
      <c r="P1243" t="s">
        <v>1556</v>
      </c>
      <c r="Q1243" t="s">
        <v>1552</v>
      </c>
      <c r="R1243" t="s">
        <v>1549</v>
      </c>
      <c r="S1243" t="s">
        <v>1534</v>
      </c>
      <c r="T1243" t="s">
        <v>1538</v>
      </c>
      <c r="U1243" t="s">
        <v>1548</v>
      </c>
      <c r="V1243" t="s">
        <v>1559</v>
      </c>
      <c r="W1243" t="s">
        <v>1561</v>
      </c>
      <c r="X1243" t="s">
        <v>1577</v>
      </c>
      <c r="Y1243" t="s">
        <v>1581</v>
      </c>
      <c r="Z1243" t="s">
        <v>1593</v>
      </c>
      <c r="AA1243" t="s">
        <v>1597</v>
      </c>
      <c r="AB1243" t="s">
        <v>1601</v>
      </c>
      <c r="AC1243" t="s">
        <v>1610</v>
      </c>
      <c r="AD1243" t="s">
        <v>1606</v>
      </c>
      <c r="AE1243" t="s">
        <v>1617</v>
      </c>
      <c r="AF1243" t="s">
        <v>1625</v>
      </c>
    </row>
    <row r="1244" spans="1:32" x14ac:dyDescent="0.25">
      <c r="A1244" t="s">
        <v>1301</v>
      </c>
      <c r="B1244">
        <v>40</v>
      </c>
      <c r="C1244">
        <v>611</v>
      </c>
      <c r="D1244">
        <v>7</v>
      </c>
      <c r="E1244">
        <v>88</v>
      </c>
      <c r="F1244">
        <v>19833</v>
      </c>
      <c r="G1244">
        <v>4349</v>
      </c>
      <c r="H1244">
        <v>1</v>
      </c>
      <c r="I1244">
        <v>14</v>
      </c>
      <c r="J1244">
        <v>21</v>
      </c>
      <c r="K1244">
        <v>3</v>
      </c>
      <c r="L1244">
        <v>21</v>
      </c>
      <c r="M1244">
        <v>8</v>
      </c>
      <c r="N1244">
        <v>12</v>
      </c>
      <c r="O1244">
        <v>8</v>
      </c>
      <c r="P1244" t="s">
        <v>1556</v>
      </c>
      <c r="Q1244" t="s">
        <v>1552</v>
      </c>
      <c r="R1244" t="s">
        <v>1549</v>
      </c>
      <c r="S1244" t="s">
        <v>1535</v>
      </c>
      <c r="T1244" t="s">
        <v>1540</v>
      </c>
      <c r="U1244" t="s">
        <v>1546</v>
      </c>
      <c r="V1244" t="s">
        <v>1559</v>
      </c>
      <c r="W1244" t="s">
        <v>1563</v>
      </c>
      <c r="X1244" t="s">
        <v>1579</v>
      </c>
      <c r="Y1244" t="s">
        <v>1586</v>
      </c>
      <c r="Z1244" t="s">
        <v>1592</v>
      </c>
      <c r="AA1244" t="s">
        <v>1596</v>
      </c>
      <c r="AB1244" t="s">
        <v>1601</v>
      </c>
      <c r="AC1244" t="s">
        <v>1610</v>
      </c>
      <c r="AD1244" t="s">
        <v>1605</v>
      </c>
      <c r="AE1244" t="s">
        <v>1616</v>
      </c>
      <c r="AF1244" t="s">
        <v>1626</v>
      </c>
    </row>
    <row r="1245" spans="1:32" x14ac:dyDescent="0.25">
      <c r="A1245" t="s">
        <v>1302</v>
      </c>
      <c r="B1245">
        <v>45</v>
      </c>
      <c r="C1245">
        <v>176</v>
      </c>
      <c r="D1245">
        <v>4</v>
      </c>
      <c r="E1245">
        <v>56</v>
      </c>
      <c r="F1245">
        <v>9756</v>
      </c>
      <c r="G1245">
        <v>6595</v>
      </c>
      <c r="H1245">
        <v>4</v>
      </c>
      <c r="I1245">
        <v>21</v>
      </c>
      <c r="J1245">
        <v>9</v>
      </c>
      <c r="K1245">
        <v>2</v>
      </c>
      <c r="L1245">
        <v>5</v>
      </c>
      <c r="M1245">
        <v>0</v>
      </c>
      <c r="N1245">
        <v>0</v>
      </c>
      <c r="O1245">
        <v>3</v>
      </c>
      <c r="P1245" t="s">
        <v>1556</v>
      </c>
      <c r="Q1245" t="s">
        <v>1552</v>
      </c>
      <c r="R1245" t="s">
        <v>1551</v>
      </c>
      <c r="S1245" t="s">
        <v>1534</v>
      </c>
      <c r="T1245" t="s">
        <v>1538</v>
      </c>
      <c r="U1245" t="s">
        <v>1547</v>
      </c>
      <c r="V1245" t="s">
        <v>1558</v>
      </c>
      <c r="W1245" t="s">
        <v>1561</v>
      </c>
      <c r="X1245" t="s">
        <v>1577</v>
      </c>
      <c r="Y1245" t="s">
        <v>1589</v>
      </c>
      <c r="Z1245" t="s">
        <v>1593</v>
      </c>
      <c r="AA1245" t="s">
        <v>1597</v>
      </c>
      <c r="AB1245" t="s">
        <v>1601</v>
      </c>
      <c r="AC1245" t="s">
        <v>1611</v>
      </c>
      <c r="AD1245" t="s">
        <v>1606</v>
      </c>
      <c r="AE1245" t="s">
        <v>1618</v>
      </c>
      <c r="AF1245" t="s">
        <v>1628</v>
      </c>
    </row>
    <row r="1246" spans="1:32" x14ac:dyDescent="0.25">
      <c r="A1246" t="s">
        <v>1303</v>
      </c>
      <c r="B1246">
        <v>30</v>
      </c>
      <c r="C1246">
        <v>1312</v>
      </c>
      <c r="D1246">
        <v>2</v>
      </c>
      <c r="E1246">
        <v>78</v>
      </c>
      <c r="F1246">
        <v>4968</v>
      </c>
      <c r="G1246">
        <v>26427</v>
      </c>
      <c r="H1246">
        <v>0</v>
      </c>
      <c r="I1246">
        <v>16</v>
      </c>
      <c r="J1246">
        <v>10</v>
      </c>
      <c r="K1246">
        <v>2</v>
      </c>
      <c r="L1246">
        <v>9</v>
      </c>
      <c r="M1246">
        <v>7</v>
      </c>
      <c r="N1246">
        <v>0</v>
      </c>
      <c r="O1246">
        <v>7</v>
      </c>
      <c r="P1246" t="s">
        <v>1556</v>
      </c>
      <c r="Q1246" t="s">
        <v>1553</v>
      </c>
      <c r="R1246" t="s">
        <v>1550</v>
      </c>
      <c r="S1246" t="s">
        <v>1535</v>
      </c>
      <c r="T1246" t="s">
        <v>1542</v>
      </c>
      <c r="U1246" t="s">
        <v>1548</v>
      </c>
      <c r="V1246" t="s">
        <v>1558</v>
      </c>
      <c r="W1246" t="s">
        <v>1562</v>
      </c>
      <c r="X1246" t="s">
        <v>1575</v>
      </c>
      <c r="Y1246" t="s">
        <v>1582</v>
      </c>
      <c r="Z1246" t="s">
        <v>1591</v>
      </c>
      <c r="AA1246" t="s">
        <v>1596</v>
      </c>
      <c r="AB1246" t="s">
        <v>1601</v>
      </c>
      <c r="AC1246" t="s">
        <v>1610</v>
      </c>
      <c r="AD1246" t="s">
        <v>1607</v>
      </c>
      <c r="AE1246" t="s">
        <v>1616</v>
      </c>
      <c r="AF1246" t="s">
        <v>1627</v>
      </c>
    </row>
    <row r="1247" spans="1:32" x14ac:dyDescent="0.25">
      <c r="A1247" t="s">
        <v>1304</v>
      </c>
      <c r="B1247">
        <v>24</v>
      </c>
      <c r="C1247">
        <v>897</v>
      </c>
      <c r="D1247">
        <v>10</v>
      </c>
      <c r="E1247">
        <v>59</v>
      </c>
      <c r="F1247">
        <v>2145</v>
      </c>
      <c r="G1247">
        <v>2097</v>
      </c>
      <c r="H1247">
        <v>0</v>
      </c>
      <c r="I1247">
        <v>14</v>
      </c>
      <c r="J1247">
        <v>3</v>
      </c>
      <c r="K1247">
        <v>2</v>
      </c>
      <c r="L1247">
        <v>2</v>
      </c>
      <c r="M1247">
        <v>2</v>
      </c>
      <c r="N1247">
        <v>2</v>
      </c>
      <c r="O1247">
        <v>1</v>
      </c>
      <c r="P1247" t="s">
        <v>1556</v>
      </c>
      <c r="Q1247" t="s">
        <v>1553</v>
      </c>
      <c r="R1247" t="s">
        <v>1551</v>
      </c>
      <c r="S1247" t="s">
        <v>1534</v>
      </c>
      <c r="T1247" t="s">
        <v>1540</v>
      </c>
      <c r="U1247" t="s">
        <v>1545</v>
      </c>
      <c r="V1247" t="s">
        <v>1559</v>
      </c>
      <c r="W1247" t="s">
        <v>1563</v>
      </c>
      <c r="X1247" t="s">
        <v>1575</v>
      </c>
      <c r="Y1247" t="s">
        <v>1589</v>
      </c>
      <c r="Z1247" t="s">
        <v>1594</v>
      </c>
      <c r="AA1247" t="s">
        <v>1597</v>
      </c>
      <c r="AB1247" t="s">
        <v>1601</v>
      </c>
      <c r="AC1247" t="s">
        <v>1610</v>
      </c>
      <c r="AD1247" t="s">
        <v>1607</v>
      </c>
      <c r="AE1247" t="s">
        <v>1617</v>
      </c>
      <c r="AF1247" t="s">
        <v>1627</v>
      </c>
    </row>
    <row r="1248" spans="1:32" x14ac:dyDescent="0.25">
      <c r="A1248" t="s">
        <v>1305</v>
      </c>
      <c r="B1248">
        <v>30</v>
      </c>
      <c r="C1248">
        <v>600</v>
      </c>
      <c r="D1248">
        <v>8</v>
      </c>
      <c r="E1248">
        <v>66</v>
      </c>
      <c r="F1248">
        <v>2180</v>
      </c>
      <c r="G1248">
        <v>9732</v>
      </c>
      <c r="H1248">
        <v>6</v>
      </c>
      <c r="I1248">
        <v>11</v>
      </c>
      <c r="J1248">
        <v>6</v>
      </c>
      <c r="K1248">
        <v>0</v>
      </c>
      <c r="L1248">
        <v>4</v>
      </c>
      <c r="M1248">
        <v>2</v>
      </c>
      <c r="N1248">
        <v>1</v>
      </c>
      <c r="O1248">
        <v>2</v>
      </c>
      <c r="P1248" t="s">
        <v>1555</v>
      </c>
      <c r="Q1248" t="s">
        <v>1553</v>
      </c>
      <c r="R1248" t="s">
        <v>1551</v>
      </c>
      <c r="S1248" t="s">
        <v>1534</v>
      </c>
      <c r="T1248" t="s">
        <v>1543</v>
      </c>
      <c r="U1248" t="s">
        <v>1547</v>
      </c>
      <c r="V1248" t="s">
        <v>1558</v>
      </c>
      <c r="W1248" t="s">
        <v>1562</v>
      </c>
      <c r="X1248" t="s">
        <v>1575</v>
      </c>
      <c r="Y1248" t="s">
        <v>1589</v>
      </c>
      <c r="Z1248" t="s">
        <v>1594</v>
      </c>
      <c r="AA1248" t="s">
        <v>1598</v>
      </c>
      <c r="AB1248" t="s">
        <v>1601</v>
      </c>
      <c r="AC1248" t="s">
        <v>1610</v>
      </c>
      <c r="AD1248" t="s">
        <v>1606</v>
      </c>
      <c r="AE1248" t="s">
        <v>1617</v>
      </c>
      <c r="AF1248" t="s">
        <v>1626</v>
      </c>
    </row>
    <row r="1249" spans="1:32" x14ac:dyDescent="0.25">
      <c r="A1249" t="s">
        <v>1306</v>
      </c>
      <c r="B1249">
        <v>31</v>
      </c>
      <c r="C1249">
        <v>1003</v>
      </c>
      <c r="D1249">
        <v>5</v>
      </c>
      <c r="E1249">
        <v>51</v>
      </c>
      <c r="F1249">
        <v>8346</v>
      </c>
      <c r="G1249">
        <v>20943</v>
      </c>
      <c r="H1249">
        <v>1</v>
      </c>
      <c r="I1249">
        <v>19</v>
      </c>
      <c r="J1249">
        <v>6</v>
      </c>
      <c r="K1249">
        <v>3</v>
      </c>
      <c r="L1249">
        <v>5</v>
      </c>
      <c r="M1249">
        <v>2</v>
      </c>
      <c r="N1249">
        <v>0</v>
      </c>
      <c r="O1249">
        <v>2</v>
      </c>
      <c r="P1249" t="s">
        <v>1556</v>
      </c>
      <c r="Q1249" t="s">
        <v>1552</v>
      </c>
      <c r="R1249" t="s">
        <v>1549</v>
      </c>
      <c r="S1249" t="s">
        <v>1534</v>
      </c>
      <c r="T1249" t="s">
        <v>1542</v>
      </c>
      <c r="U1249" t="s">
        <v>1545</v>
      </c>
      <c r="V1249" t="s">
        <v>1559</v>
      </c>
      <c r="W1249" t="s">
        <v>1563</v>
      </c>
      <c r="X1249" t="s">
        <v>1576</v>
      </c>
      <c r="Y1249" t="s">
        <v>1581</v>
      </c>
      <c r="Z1249" t="s">
        <v>1593</v>
      </c>
      <c r="AA1249" t="s">
        <v>1597</v>
      </c>
      <c r="AB1249" t="s">
        <v>1601</v>
      </c>
      <c r="AC1249" t="s">
        <v>1610</v>
      </c>
      <c r="AD1249" t="s">
        <v>1606</v>
      </c>
      <c r="AE1249" t="s">
        <v>1617</v>
      </c>
      <c r="AF1249" t="s">
        <v>1627</v>
      </c>
    </row>
    <row r="1250" spans="1:32" x14ac:dyDescent="0.25">
      <c r="A1250" t="s">
        <v>1307</v>
      </c>
      <c r="B1250">
        <v>27</v>
      </c>
      <c r="C1250">
        <v>1054</v>
      </c>
      <c r="D1250">
        <v>8</v>
      </c>
      <c r="E1250">
        <v>67</v>
      </c>
      <c r="F1250">
        <v>3445</v>
      </c>
      <c r="G1250">
        <v>6152</v>
      </c>
      <c r="H1250">
        <v>1</v>
      </c>
      <c r="I1250">
        <v>11</v>
      </c>
      <c r="J1250">
        <v>6</v>
      </c>
      <c r="K1250">
        <v>5</v>
      </c>
      <c r="L1250">
        <v>6</v>
      </c>
      <c r="M1250">
        <v>2</v>
      </c>
      <c r="N1250">
        <v>1</v>
      </c>
      <c r="O1250">
        <v>4</v>
      </c>
      <c r="P1250" t="s">
        <v>1556</v>
      </c>
      <c r="Q1250" t="s">
        <v>1552</v>
      </c>
      <c r="R1250" t="s">
        <v>1550</v>
      </c>
      <c r="S1250" t="s">
        <v>1534</v>
      </c>
      <c r="T1250" t="s">
        <v>1540</v>
      </c>
      <c r="U1250" t="s">
        <v>1547</v>
      </c>
      <c r="V1250" t="s">
        <v>1558</v>
      </c>
      <c r="W1250" t="s">
        <v>1563</v>
      </c>
      <c r="X1250" t="s">
        <v>1575</v>
      </c>
      <c r="Y1250" t="s">
        <v>1582</v>
      </c>
      <c r="Z1250" t="s">
        <v>1594</v>
      </c>
      <c r="AA1250" t="s">
        <v>1596</v>
      </c>
      <c r="AB1250" t="s">
        <v>1601</v>
      </c>
      <c r="AC1250" t="s">
        <v>1610</v>
      </c>
      <c r="AD1250" t="s">
        <v>1606</v>
      </c>
      <c r="AE1250" t="s">
        <v>1616</v>
      </c>
      <c r="AF1250" t="s">
        <v>1626</v>
      </c>
    </row>
    <row r="1251" spans="1:32" x14ac:dyDescent="0.25">
      <c r="A1251" t="s">
        <v>1308</v>
      </c>
      <c r="B1251">
        <v>29</v>
      </c>
      <c r="C1251">
        <v>428</v>
      </c>
      <c r="D1251">
        <v>9</v>
      </c>
      <c r="E1251">
        <v>52</v>
      </c>
      <c r="F1251">
        <v>2760</v>
      </c>
      <c r="G1251">
        <v>14630</v>
      </c>
      <c r="H1251">
        <v>1</v>
      </c>
      <c r="I1251">
        <v>13</v>
      </c>
      <c r="J1251">
        <v>2</v>
      </c>
      <c r="K1251">
        <v>3</v>
      </c>
      <c r="L1251">
        <v>2</v>
      </c>
      <c r="M1251">
        <v>2</v>
      </c>
      <c r="N1251">
        <v>2</v>
      </c>
      <c r="O1251">
        <v>2</v>
      </c>
      <c r="P1251" t="s">
        <v>1555</v>
      </c>
      <c r="Q1251" t="s">
        <v>1552</v>
      </c>
      <c r="R1251" t="s">
        <v>1549</v>
      </c>
      <c r="S1251" t="s">
        <v>1534</v>
      </c>
      <c r="T1251" t="s">
        <v>1541</v>
      </c>
      <c r="U1251" t="s">
        <v>1546</v>
      </c>
      <c r="V1251" t="s">
        <v>1558</v>
      </c>
      <c r="W1251" t="s">
        <v>1561</v>
      </c>
      <c r="X1251" t="s">
        <v>1575</v>
      </c>
      <c r="Y1251" t="s">
        <v>1587</v>
      </c>
      <c r="Z1251" t="s">
        <v>1592</v>
      </c>
      <c r="AA1251" t="s">
        <v>1596</v>
      </c>
      <c r="AB1251" t="s">
        <v>1601</v>
      </c>
      <c r="AC1251" t="s">
        <v>1610</v>
      </c>
      <c r="AD1251" t="s">
        <v>1606</v>
      </c>
      <c r="AE1251" t="s">
        <v>1616</v>
      </c>
      <c r="AF1251" t="s">
        <v>1627</v>
      </c>
    </row>
    <row r="1252" spans="1:32" x14ac:dyDescent="0.25">
      <c r="A1252" t="s">
        <v>1309</v>
      </c>
      <c r="B1252">
        <v>29</v>
      </c>
      <c r="C1252">
        <v>461</v>
      </c>
      <c r="D1252">
        <v>1</v>
      </c>
      <c r="E1252">
        <v>70</v>
      </c>
      <c r="F1252">
        <v>6294</v>
      </c>
      <c r="G1252">
        <v>23060</v>
      </c>
      <c r="H1252">
        <v>8</v>
      </c>
      <c r="I1252">
        <v>12</v>
      </c>
      <c r="J1252">
        <v>10</v>
      </c>
      <c r="K1252">
        <v>5</v>
      </c>
      <c r="L1252">
        <v>3</v>
      </c>
      <c r="M1252">
        <v>2</v>
      </c>
      <c r="N1252">
        <v>0</v>
      </c>
      <c r="O1252">
        <v>2</v>
      </c>
      <c r="P1252" t="s">
        <v>1556</v>
      </c>
      <c r="Q1252" t="s">
        <v>1553</v>
      </c>
      <c r="R1252" t="s">
        <v>1550</v>
      </c>
      <c r="S1252" t="s">
        <v>1534</v>
      </c>
      <c r="T1252" t="s">
        <v>1538</v>
      </c>
      <c r="U1252" t="s">
        <v>1548</v>
      </c>
      <c r="V1252" t="s">
        <v>1559</v>
      </c>
      <c r="W1252" t="s">
        <v>1564</v>
      </c>
      <c r="X1252" t="s">
        <v>1576</v>
      </c>
      <c r="Y1252" t="s">
        <v>1585</v>
      </c>
      <c r="Z1252" t="s">
        <v>1593</v>
      </c>
      <c r="AA1252" t="s">
        <v>1596</v>
      </c>
      <c r="AB1252" t="s">
        <v>1600</v>
      </c>
      <c r="AC1252" t="s">
        <v>1610</v>
      </c>
      <c r="AD1252" t="s">
        <v>1607</v>
      </c>
      <c r="AE1252" t="s">
        <v>1616</v>
      </c>
      <c r="AF1252" t="s">
        <v>1628</v>
      </c>
    </row>
    <row r="1253" spans="1:32" x14ac:dyDescent="0.25">
      <c r="A1253" t="s">
        <v>1310</v>
      </c>
      <c r="B1253">
        <v>30</v>
      </c>
      <c r="C1253">
        <v>979</v>
      </c>
      <c r="D1253">
        <v>15</v>
      </c>
      <c r="E1253">
        <v>94</v>
      </c>
      <c r="F1253">
        <v>7140</v>
      </c>
      <c r="G1253">
        <v>3088</v>
      </c>
      <c r="H1253">
        <v>2</v>
      </c>
      <c r="I1253">
        <v>11</v>
      </c>
      <c r="J1253">
        <v>12</v>
      </c>
      <c r="K1253">
        <v>2</v>
      </c>
      <c r="L1253">
        <v>7</v>
      </c>
      <c r="M1253">
        <v>7</v>
      </c>
      <c r="N1253">
        <v>1</v>
      </c>
      <c r="O1253">
        <v>7</v>
      </c>
      <c r="P1253" t="s">
        <v>1556</v>
      </c>
      <c r="Q1253" t="s">
        <v>1552</v>
      </c>
      <c r="R1253" t="s">
        <v>1549</v>
      </c>
      <c r="S1253" t="s">
        <v>1533</v>
      </c>
      <c r="T1253" t="s">
        <v>1541</v>
      </c>
      <c r="U1253" t="s">
        <v>1547</v>
      </c>
      <c r="V1253" t="s">
        <v>1559</v>
      </c>
      <c r="W1253" t="s">
        <v>1562</v>
      </c>
      <c r="X1253" t="s">
        <v>1577</v>
      </c>
      <c r="Y1253" t="s">
        <v>1581</v>
      </c>
      <c r="Z1253" t="s">
        <v>1591</v>
      </c>
      <c r="AA1253" t="s">
        <v>1598</v>
      </c>
      <c r="AB1253" t="s">
        <v>1601</v>
      </c>
      <c r="AC1253" t="s">
        <v>1610</v>
      </c>
      <c r="AD1253" t="s">
        <v>1604</v>
      </c>
      <c r="AE1253" t="s">
        <v>1617</v>
      </c>
      <c r="AF1253" t="s">
        <v>1627</v>
      </c>
    </row>
    <row r="1254" spans="1:32" x14ac:dyDescent="0.25">
      <c r="A1254" t="s">
        <v>1311</v>
      </c>
      <c r="B1254">
        <v>34</v>
      </c>
      <c r="C1254">
        <v>181</v>
      </c>
      <c r="D1254">
        <v>2</v>
      </c>
      <c r="E1254">
        <v>97</v>
      </c>
      <c r="F1254">
        <v>2932</v>
      </c>
      <c r="G1254">
        <v>5586</v>
      </c>
      <c r="H1254">
        <v>0</v>
      </c>
      <c r="I1254">
        <v>14</v>
      </c>
      <c r="J1254">
        <v>6</v>
      </c>
      <c r="K1254">
        <v>3</v>
      </c>
      <c r="L1254">
        <v>5</v>
      </c>
      <c r="M1254">
        <v>0</v>
      </c>
      <c r="N1254">
        <v>1</v>
      </c>
      <c r="O1254">
        <v>2</v>
      </c>
      <c r="P1254" t="s">
        <v>1556</v>
      </c>
      <c r="Q1254" t="s">
        <v>1552</v>
      </c>
      <c r="R1254" t="s">
        <v>1550</v>
      </c>
      <c r="S1254" t="s">
        <v>1535</v>
      </c>
      <c r="T1254" t="s">
        <v>1540</v>
      </c>
      <c r="U1254" t="s">
        <v>1548</v>
      </c>
      <c r="V1254" t="s">
        <v>1559</v>
      </c>
      <c r="W1254" t="s">
        <v>1564</v>
      </c>
      <c r="X1254" t="s">
        <v>1575</v>
      </c>
      <c r="Y1254" t="s">
        <v>1582</v>
      </c>
      <c r="Z1254" t="s">
        <v>1594</v>
      </c>
      <c r="AA1254" t="s">
        <v>1597</v>
      </c>
      <c r="AB1254" t="s">
        <v>1600</v>
      </c>
      <c r="AC1254" t="s">
        <v>1610</v>
      </c>
      <c r="AD1254" t="s">
        <v>1604</v>
      </c>
      <c r="AE1254" t="s">
        <v>1619</v>
      </c>
      <c r="AF1254" t="s">
        <v>1627</v>
      </c>
    </row>
    <row r="1255" spans="1:32" x14ac:dyDescent="0.25">
      <c r="A1255" t="s">
        <v>1312</v>
      </c>
      <c r="B1255">
        <v>33</v>
      </c>
      <c r="C1255">
        <v>1283</v>
      </c>
      <c r="D1255">
        <v>2</v>
      </c>
      <c r="E1255">
        <v>62</v>
      </c>
      <c r="F1255">
        <v>5147</v>
      </c>
      <c r="G1255">
        <v>10697</v>
      </c>
      <c r="H1255">
        <v>8</v>
      </c>
      <c r="I1255">
        <v>15</v>
      </c>
      <c r="J1255">
        <v>13</v>
      </c>
      <c r="K1255">
        <v>2</v>
      </c>
      <c r="L1255">
        <v>11</v>
      </c>
      <c r="M1255">
        <v>7</v>
      </c>
      <c r="N1255">
        <v>1</v>
      </c>
      <c r="O1255">
        <v>7</v>
      </c>
      <c r="P1255" t="s">
        <v>1556</v>
      </c>
      <c r="Q1255" t="s">
        <v>1554</v>
      </c>
      <c r="R1255" t="s">
        <v>1549</v>
      </c>
      <c r="S1255" t="s">
        <v>1534</v>
      </c>
      <c r="T1255" t="s">
        <v>1541</v>
      </c>
      <c r="U1255" t="s">
        <v>1548</v>
      </c>
      <c r="V1255" t="s">
        <v>1558</v>
      </c>
      <c r="W1255" t="s">
        <v>1563</v>
      </c>
      <c r="X1255" t="s">
        <v>1576</v>
      </c>
      <c r="Y1255" t="s">
        <v>1581</v>
      </c>
      <c r="Z1255" t="s">
        <v>1592</v>
      </c>
      <c r="AA1255" t="s">
        <v>1596</v>
      </c>
      <c r="AB1255" t="s">
        <v>1601</v>
      </c>
      <c r="AC1255" t="s">
        <v>1610</v>
      </c>
      <c r="AD1255" t="s">
        <v>1607</v>
      </c>
      <c r="AE1255" t="s">
        <v>1616</v>
      </c>
      <c r="AF1255" t="s">
        <v>1626</v>
      </c>
    </row>
    <row r="1256" spans="1:32" x14ac:dyDescent="0.25">
      <c r="A1256" t="s">
        <v>1313</v>
      </c>
      <c r="B1256">
        <v>49</v>
      </c>
      <c r="C1256">
        <v>1313</v>
      </c>
      <c r="D1256">
        <v>11</v>
      </c>
      <c r="E1256">
        <v>80</v>
      </c>
      <c r="F1256">
        <v>4507</v>
      </c>
      <c r="G1256">
        <v>8191</v>
      </c>
      <c r="H1256">
        <v>3</v>
      </c>
      <c r="I1256">
        <v>12</v>
      </c>
      <c r="J1256">
        <v>8</v>
      </c>
      <c r="K1256">
        <v>1</v>
      </c>
      <c r="L1256">
        <v>5</v>
      </c>
      <c r="M1256">
        <v>1</v>
      </c>
      <c r="N1256">
        <v>0</v>
      </c>
      <c r="O1256">
        <v>4</v>
      </c>
      <c r="P1256" t="s">
        <v>1556</v>
      </c>
      <c r="Q1256" t="s">
        <v>1552</v>
      </c>
      <c r="R1256" t="s">
        <v>1549</v>
      </c>
      <c r="S1256" t="s">
        <v>1535</v>
      </c>
      <c r="T1256" t="s">
        <v>1541</v>
      </c>
      <c r="U1256" t="s">
        <v>1548</v>
      </c>
      <c r="V1256" t="s">
        <v>1558</v>
      </c>
      <c r="W1256" t="s">
        <v>1563</v>
      </c>
      <c r="X1256" t="s">
        <v>1576</v>
      </c>
      <c r="Y1256" t="s">
        <v>1581</v>
      </c>
      <c r="Z1256" t="s">
        <v>1594</v>
      </c>
      <c r="AA1256" t="s">
        <v>1596</v>
      </c>
      <c r="AB1256" t="s">
        <v>1601</v>
      </c>
      <c r="AC1256" t="s">
        <v>1610</v>
      </c>
      <c r="AD1256" t="s">
        <v>1606</v>
      </c>
      <c r="AE1256" t="s">
        <v>1616</v>
      </c>
      <c r="AF1256" t="s">
        <v>1628</v>
      </c>
    </row>
    <row r="1257" spans="1:32" x14ac:dyDescent="0.25">
      <c r="A1257" t="s">
        <v>1314</v>
      </c>
      <c r="B1257">
        <v>33</v>
      </c>
      <c r="C1257">
        <v>211</v>
      </c>
      <c r="D1257">
        <v>16</v>
      </c>
      <c r="E1257">
        <v>74</v>
      </c>
      <c r="F1257">
        <v>8564</v>
      </c>
      <c r="G1257">
        <v>10092</v>
      </c>
      <c r="H1257">
        <v>2</v>
      </c>
      <c r="I1257">
        <v>20</v>
      </c>
      <c r="J1257">
        <v>11</v>
      </c>
      <c r="K1257">
        <v>2</v>
      </c>
      <c r="L1257">
        <v>0</v>
      </c>
      <c r="M1257">
        <v>0</v>
      </c>
      <c r="N1257">
        <v>0</v>
      </c>
      <c r="O1257">
        <v>0</v>
      </c>
      <c r="P1257" t="s">
        <v>1555</v>
      </c>
      <c r="Q1257" t="s">
        <v>1552</v>
      </c>
      <c r="R1257" t="s">
        <v>1549</v>
      </c>
      <c r="S1257" t="s">
        <v>1534</v>
      </c>
      <c r="T1257" t="s">
        <v>1538</v>
      </c>
      <c r="U1257" t="s">
        <v>1545</v>
      </c>
      <c r="V1257" t="s">
        <v>1558</v>
      </c>
      <c r="W1257" t="s">
        <v>1563</v>
      </c>
      <c r="X1257" t="s">
        <v>1577</v>
      </c>
      <c r="Y1257" t="s">
        <v>1581</v>
      </c>
      <c r="Z1257" t="s">
        <v>1591</v>
      </c>
      <c r="AA1257" t="s">
        <v>1596</v>
      </c>
      <c r="AB1257" t="s">
        <v>1600</v>
      </c>
      <c r="AC1257" t="s">
        <v>1611</v>
      </c>
      <c r="AD1257" t="s">
        <v>1606</v>
      </c>
      <c r="AE1257" t="s">
        <v>1616</v>
      </c>
      <c r="AF1257" t="s">
        <v>1626</v>
      </c>
    </row>
    <row r="1258" spans="1:32" x14ac:dyDescent="0.25">
      <c r="A1258" t="s">
        <v>1315</v>
      </c>
      <c r="B1258">
        <v>38</v>
      </c>
      <c r="C1258">
        <v>594</v>
      </c>
      <c r="D1258">
        <v>2</v>
      </c>
      <c r="E1258">
        <v>75</v>
      </c>
      <c r="F1258">
        <v>2468</v>
      </c>
      <c r="G1258">
        <v>15963</v>
      </c>
      <c r="H1258">
        <v>4</v>
      </c>
      <c r="I1258">
        <v>14</v>
      </c>
      <c r="J1258">
        <v>9</v>
      </c>
      <c r="K1258">
        <v>4</v>
      </c>
      <c r="L1258">
        <v>6</v>
      </c>
      <c r="M1258">
        <v>1</v>
      </c>
      <c r="N1258">
        <v>0</v>
      </c>
      <c r="O1258">
        <v>5</v>
      </c>
      <c r="P1258" t="s">
        <v>1556</v>
      </c>
      <c r="Q1258" t="s">
        <v>1553</v>
      </c>
      <c r="R1258" t="s">
        <v>1550</v>
      </c>
      <c r="S1258" t="s">
        <v>1533</v>
      </c>
      <c r="T1258" t="s">
        <v>1540</v>
      </c>
      <c r="U1258" t="s">
        <v>1547</v>
      </c>
      <c r="V1258" t="s">
        <v>1558</v>
      </c>
      <c r="W1258" t="s">
        <v>1562</v>
      </c>
      <c r="X1258" t="s">
        <v>1575</v>
      </c>
      <c r="Y1258" t="s">
        <v>1583</v>
      </c>
      <c r="Z1258" t="s">
        <v>1592</v>
      </c>
      <c r="AA1258" t="s">
        <v>1597</v>
      </c>
      <c r="AB1258" t="s">
        <v>1601</v>
      </c>
      <c r="AC1258" t="s">
        <v>1610</v>
      </c>
      <c r="AD1258" t="s">
        <v>1605</v>
      </c>
      <c r="AE1258" t="s">
        <v>1617</v>
      </c>
      <c r="AF1258" t="s">
        <v>1626</v>
      </c>
    </row>
    <row r="1259" spans="1:32" x14ac:dyDescent="0.25">
      <c r="A1259" t="s">
        <v>1316</v>
      </c>
      <c r="B1259">
        <v>31</v>
      </c>
      <c r="C1259">
        <v>1079</v>
      </c>
      <c r="D1259">
        <v>16</v>
      </c>
      <c r="E1259">
        <v>70</v>
      </c>
      <c r="F1259">
        <v>8161</v>
      </c>
      <c r="G1259">
        <v>19002</v>
      </c>
      <c r="H1259">
        <v>2</v>
      </c>
      <c r="I1259">
        <v>13</v>
      </c>
      <c r="J1259">
        <v>10</v>
      </c>
      <c r="K1259">
        <v>2</v>
      </c>
      <c r="L1259">
        <v>1</v>
      </c>
      <c r="M1259">
        <v>0</v>
      </c>
      <c r="N1259">
        <v>0</v>
      </c>
      <c r="O1259">
        <v>0</v>
      </c>
      <c r="P1259" t="s">
        <v>1555</v>
      </c>
      <c r="Q1259" t="s">
        <v>1552</v>
      </c>
      <c r="R1259" t="s">
        <v>1549</v>
      </c>
      <c r="S1259" t="s">
        <v>1535</v>
      </c>
      <c r="T1259" t="s">
        <v>1541</v>
      </c>
      <c r="U1259" t="s">
        <v>1545</v>
      </c>
      <c r="V1259" t="s">
        <v>1559</v>
      </c>
      <c r="W1259" t="s">
        <v>1563</v>
      </c>
      <c r="X1259" t="s">
        <v>1577</v>
      </c>
      <c r="Y1259" t="s">
        <v>1581</v>
      </c>
      <c r="Z1259" t="s">
        <v>1593</v>
      </c>
      <c r="AA1259" t="s">
        <v>1597</v>
      </c>
      <c r="AB1259" t="s">
        <v>1601</v>
      </c>
      <c r="AC1259" t="s">
        <v>1610</v>
      </c>
      <c r="AD1259" t="s">
        <v>1604</v>
      </c>
      <c r="AE1259" t="s">
        <v>1619</v>
      </c>
      <c r="AF1259" t="s">
        <v>1627</v>
      </c>
    </row>
    <row r="1260" spans="1:32" x14ac:dyDescent="0.25">
      <c r="A1260" t="s">
        <v>1317</v>
      </c>
      <c r="B1260">
        <v>29</v>
      </c>
      <c r="C1260">
        <v>590</v>
      </c>
      <c r="D1260">
        <v>4</v>
      </c>
      <c r="E1260">
        <v>91</v>
      </c>
      <c r="F1260">
        <v>2109</v>
      </c>
      <c r="G1260">
        <v>10007</v>
      </c>
      <c r="H1260">
        <v>1</v>
      </c>
      <c r="I1260">
        <v>13</v>
      </c>
      <c r="J1260">
        <v>1</v>
      </c>
      <c r="K1260">
        <v>2</v>
      </c>
      <c r="L1260">
        <v>1</v>
      </c>
      <c r="M1260">
        <v>0</v>
      </c>
      <c r="N1260">
        <v>0</v>
      </c>
      <c r="O1260">
        <v>0</v>
      </c>
      <c r="P1260" t="s">
        <v>1556</v>
      </c>
      <c r="Q1260" t="s">
        <v>1552</v>
      </c>
      <c r="R1260" t="s">
        <v>1550</v>
      </c>
      <c r="S1260" t="s">
        <v>1534</v>
      </c>
      <c r="T1260" t="s">
        <v>1542</v>
      </c>
      <c r="U1260" t="s">
        <v>1548</v>
      </c>
      <c r="V1260" t="s">
        <v>1558</v>
      </c>
      <c r="W1260" t="s">
        <v>1562</v>
      </c>
      <c r="X1260" t="s">
        <v>1575</v>
      </c>
      <c r="Y1260" t="s">
        <v>1582</v>
      </c>
      <c r="Z1260" t="s">
        <v>1591</v>
      </c>
      <c r="AA1260" t="s">
        <v>1598</v>
      </c>
      <c r="AB1260" t="s">
        <v>1601</v>
      </c>
      <c r="AC1260" t="s">
        <v>1610</v>
      </c>
      <c r="AD1260" t="s">
        <v>1606</v>
      </c>
      <c r="AE1260" t="s">
        <v>1617</v>
      </c>
      <c r="AF1260" t="s">
        <v>1627</v>
      </c>
    </row>
    <row r="1261" spans="1:32" x14ac:dyDescent="0.25">
      <c r="A1261" t="s">
        <v>1318</v>
      </c>
      <c r="B1261">
        <v>30</v>
      </c>
      <c r="C1261">
        <v>305</v>
      </c>
      <c r="D1261">
        <v>16</v>
      </c>
      <c r="E1261">
        <v>58</v>
      </c>
      <c r="F1261">
        <v>5294</v>
      </c>
      <c r="G1261">
        <v>9128</v>
      </c>
      <c r="H1261">
        <v>3</v>
      </c>
      <c r="I1261">
        <v>16</v>
      </c>
      <c r="J1261">
        <v>10</v>
      </c>
      <c r="K1261">
        <v>3</v>
      </c>
      <c r="L1261">
        <v>7</v>
      </c>
      <c r="M1261">
        <v>0</v>
      </c>
      <c r="N1261">
        <v>1</v>
      </c>
      <c r="O1261">
        <v>7</v>
      </c>
      <c r="P1261" t="s">
        <v>1556</v>
      </c>
      <c r="Q1261" t="s">
        <v>1552</v>
      </c>
      <c r="R1261" t="s">
        <v>1550</v>
      </c>
      <c r="S1261" t="s">
        <v>1534</v>
      </c>
      <c r="T1261" t="s">
        <v>1538</v>
      </c>
      <c r="U1261" t="s">
        <v>1547</v>
      </c>
      <c r="V1261" t="s">
        <v>1559</v>
      </c>
      <c r="W1261" t="s">
        <v>1564</v>
      </c>
      <c r="X1261" t="s">
        <v>1576</v>
      </c>
      <c r="Y1261" t="s">
        <v>1585</v>
      </c>
      <c r="Z1261" t="s">
        <v>1593</v>
      </c>
      <c r="AA1261" t="s">
        <v>1597</v>
      </c>
      <c r="AB1261" t="s">
        <v>1601</v>
      </c>
      <c r="AC1261" t="s">
        <v>1610</v>
      </c>
      <c r="AD1261" t="s">
        <v>1606</v>
      </c>
      <c r="AE1261" t="s">
        <v>1617</v>
      </c>
      <c r="AF1261" t="s">
        <v>1627</v>
      </c>
    </row>
    <row r="1262" spans="1:32" x14ac:dyDescent="0.25">
      <c r="A1262" t="s">
        <v>1319</v>
      </c>
      <c r="B1262">
        <v>32</v>
      </c>
      <c r="C1262">
        <v>953</v>
      </c>
      <c r="D1262">
        <v>5</v>
      </c>
      <c r="E1262">
        <v>65</v>
      </c>
      <c r="F1262">
        <v>2718</v>
      </c>
      <c r="G1262">
        <v>17674</v>
      </c>
      <c r="H1262">
        <v>2</v>
      </c>
      <c r="I1262">
        <v>14</v>
      </c>
      <c r="J1262">
        <v>12</v>
      </c>
      <c r="K1262">
        <v>3</v>
      </c>
      <c r="L1262">
        <v>7</v>
      </c>
      <c r="M1262">
        <v>7</v>
      </c>
      <c r="N1262">
        <v>0</v>
      </c>
      <c r="O1262">
        <v>7</v>
      </c>
      <c r="P1262" t="s">
        <v>1556</v>
      </c>
      <c r="Q1262" t="s">
        <v>1554</v>
      </c>
      <c r="R1262" t="s">
        <v>1550</v>
      </c>
      <c r="S1262" t="s">
        <v>1535</v>
      </c>
      <c r="T1262" t="s">
        <v>1542</v>
      </c>
      <c r="U1262" t="s">
        <v>1546</v>
      </c>
      <c r="V1262" t="s">
        <v>1559</v>
      </c>
      <c r="W1262" t="s">
        <v>1563</v>
      </c>
      <c r="X1262" t="s">
        <v>1575</v>
      </c>
      <c r="Y1262" t="s">
        <v>1582</v>
      </c>
      <c r="Z1262" t="s">
        <v>1592</v>
      </c>
      <c r="AA1262" t="s">
        <v>1596</v>
      </c>
      <c r="AB1262" t="s">
        <v>1601</v>
      </c>
      <c r="AC1262" t="s">
        <v>1610</v>
      </c>
      <c r="AD1262" t="s">
        <v>1605</v>
      </c>
      <c r="AE1262" t="s">
        <v>1616</v>
      </c>
      <c r="AF1262" t="s">
        <v>1627</v>
      </c>
    </row>
    <row r="1263" spans="1:32" x14ac:dyDescent="0.25">
      <c r="A1263" t="s">
        <v>1320</v>
      </c>
      <c r="B1263">
        <v>38</v>
      </c>
      <c r="C1263">
        <v>833</v>
      </c>
      <c r="D1263">
        <v>18</v>
      </c>
      <c r="E1263">
        <v>60</v>
      </c>
      <c r="F1263">
        <v>5811</v>
      </c>
      <c r="G1263">
        <v>24539</v>
      </c>
      <c r="H1263">
        <v>3</v>
      </c>
      <c r="I1263">
        <v>16</v>
      </c>
      <c r="J1263">
        <v>15</v>
      </c>
      <c r="K1263">
        <v>2</v>
      </c>
      <c r="L1263">
        <v>1</v>
      </c>
      <c r="M1263">
        <v>0</v>
      </c>
      <c r="N1263">
        <v>1</v>
      </c>
      <c r="O1263">
        <v>0</v>
      </c>
      <c r="P1263" t="s">
        <v>1556</v>
      </c>
      <c r="Q1263" t="s">
        <v>1552</v>
      </c>
      <c r="R1263" t="s">
        <v>1550</v>
      </c>
      <c r="S1263" t="s">
        <v>1534</v>
      </c>
      <c r="T1263" t="s">
        <v>1540</v>
      </c>
      <c r="U1263" t="s">
        <v>1546</v>
      </c>
      <c r="V1263" t="s">
        <v>1559</v>
      </c>
      <c r="W1263" t="s">
        <v>1561</v>
      </c>
      <c r="X1263" t="s">
        <v>1576</v>
      </c>
      <c r="Y1263" t="s">
        <v>1585</v>
      </c>
      <c r="Z1263" t="s">
        <v>1594</v>
      </c>
      <c r="AA1263" t="s">
        <v>1597</v>
      </c>
      <c r="AB1263" t="s">
        <v>1600</v>
      </c>
      <c r="AC1263" t="s">
        <v>1610</v>
      </c>
      <c r="AD1263" t="s">
        <v>1606</v>
      </c>
      <c r="AE1263" t="s">
        <v>1617</v>
      </c>
      <c r="AF1263" t="s">
        <v>1627</v>
      </c>
    </row>
    <row r="1264" spans="1:32" x14ac:dyDescent="0.25">
      <c r="A1264" t="s">
        <v>1321</v>
      </c>
      <c r="B1264">
        <v>43</v>
      </c>
      <c r="C1264">
        <v>807</v>
      </c>
      <c r="D1264">
        <v>17</v>
      </c>
      <c r="E1264">
        <v>38</v>
      </c>
      <c r="F1264">
        <v>2437</v>
      </c>
      <c r="G1264">
        <v>15587</v>
      </c>
      <c r="H1264">
        <v>9</v>
      </c>
      <c r="I1264">
        <v>16</v>
      </c>
      <c r="J1264">
        <v>6</v>
      </c>
      <c r="K1264">
        <v>4</v>
      </c>
      <c r="L1264">
        <v>1</v>
      </c>
      <c r="M1264">
        <v>0</v>
      </c>
      <c r="N1264">
        <v>0</v>
      </c>
      <c r="O1264">
        <v>0</v>
      </c>
      <c r="P1264" t="s">
        <v>1555</v>
      </c>
      <c r="Q1264" t="s">
        <v>1553</v>
      </c>
      <c r="R1264" t="s">
        <v>1550</v>
      </c>
      <c r="S1264" t="s">
        <v>1534</v>
      </c>
      <c r="T1264" t="s">
        <v>1542</v>
      </c>
      <c r="U1264" t="s">
        <v>1547</v>
      </c>
      <c r="V1264" t="s">
        <v>1559</v>
      </c>
      <c r="W1264" t="s">
        <v>1562</v>
      </c>
      <c r="X1264" t="s">
        <v>1575</v>
      </c>
      <c r="Y1264" t="s">
        <v>1582</v>
      </c>
      <c r="Z1264" t="s">
        <v>1593</v>
      </c>
      <c r="AA1264" t="s">
        <v>1597</v>
      </c>
      <c r="AB1264" t="s">
        <v>1600</v>
      </c>
      <c r="AC1264" t="s">
        <v>1610</v>
      </c>
      <c r="AD1264" t="s">
        <v>1607</v>
      </c>
      <c r="AE1264" t="s">
        <v>1617</v>
      </c>
      <c r="AF1264" t="s">
        <v>1627</v>
      </c>
    </row>
    <row r="1265" spans="1:32" x14ac:dyDescent="0.25">
      <c r="A1265" t="s">
        <v>1322</v>
      </c>
      <c r="B1265">
        <v>42</v>
      </c>
      <c r="C1265">
        <v>855</v>
      </c>
      <c r="D1265">
        <v>12</v>
      </c>
      <c r="E1265">
        <v>57</v>
      </c>
      <c r="F1265">
        <v>2766</v>
      </c>
      <c r="G1265">
        <v>8952</v>
      </c>
      <c r="H1265">
        <v>8</v>
      </c>
      <c r="I1265">
        <v>22</v>
      </c>
      <c r="J1265">
        <v>7</v>
      </c>
      <c r="K1265">
        <v>6</v>
      </c>
      <c r="L1265">
        <v>5</v>
      </c>
      <c r="M1265">
        <v>3</v>
      </c>
      <c r="N1265">
        <v>0</v>
      </c>
      <c r="O1265">
        <v>4</v>
      </c>
      <c r="P1265" t="s">
        <v>1556</v>
      </c>
      <c r="Q1265" t="s">
        <v>1552</v>
      </c>
      <c r="R1265" t="s">
        <v>1550</v>
      </c>
      <c r="S1265" t="s">
        <v>1534</v>
      </c>
      <c r="T1265" t="s">
        <v>1540</v>
      </c>
      <c r="U1265" t="s">
        <v>1546</v>
      </c>
      <c r="V1265" t="s">
        <v>1559</v>
      </c>
      <c r="W1265" t="s">
        <v>1563</v>
      </c>
      <c r="X1265" t="s">
        <v>1575</v>
      </c>
      <c r="Y1265" t="s">
        <v>1583</v>
      </c>
      <c r="Z1265" t="s">
        <v>1592</v>
      </c>
      <c r="AA1265" t="s">
        <v>1598</v>
      </c>
      <c r="AB1265" t="s">
        <v>1601</v>
      </c>
      <c r="AC1265" t="s">
        <v>1611</v>
      </c>
      <c r="AD1265" t="s">
        <v>1605</v>
      </c>
      <c r="AE1265" t="s">
        <v>1619</v>
      </c>
      <c r="AF1265" t="s">
        <v>1626</v>
      </c>
    </row>
    <row r="1266" spans="1:32" x14ac:dyDescent="0.25">
      <c r="A1266" t="s">
        <v>1323</v>
      </c>
      <c r="B1266">
        <v>55</v>
      </c>
      <c r="C1266">
        <v>478</v>
      </c>
      <c r="D1266">
        <v>2</v>
      </c>
      <c r="E1266">
        <v>60</v>
      </c>
      <c r="F1266">
        <v>19038</v>
      </c>
      <c r="G1266">
        <v>19805</v>
      </c>
      <c r="H1266">
        <v>8</v>
      </c>
      <c r="I1266">
        <v>12</v>
      </c>
      <c r="J1266">
        <v>34</v>
      </c>
      <c r="K1266">
        <v>2</v>
      </c>
      <c r="L1266">
        <v>1</v>
      </c>
      <c r="M1266">
        <v>0</v>
      </c>
      <c r="N1266">
        <v>0</v>
      </c>
      <c r="O1266">
        <v>0</v>
      </c>
      <c r="P1266" t="s">
        <v>1556</v>
      </c>
      <c r="Q1266" t="s">
        <v>1552</v>
      </c>
      <c r="R1266" t="s">
        <v>1550</v>
      </c>
      <c r="S1266" t="s">
        <v>1534</v>
      </c>
      <c r="T1266" t="s">
        <v>1540</v>
      </c>
      <c r="U1266" t="s">
        <v>1547</v>
      </c>
      <c r="V1266" t="s">
        <v>1559</v>
      </c>
      <c r="W1266" t="s">
        <v>1562</v>
      </c>
      <c r="X1266" t="s">
        <v>1579</v>
      </c>
      <c r="Y1266" t="s">
        <v>1588</v>
      </c>
      <c r="Z1266" t="s">
        <v>1591</v>
      </c>
      <c r="AA1266" t="s">
        <v>1597</v>
      </c>
      <c r="AB1266" t="s">
        <v>1601</v>
      </c>
      <c r="AC1266" t="s">
        <v>1610</v>
      </c>
      <c r="AD1266" t="s">
        <v>1605</v>
      </c>
      <c r="AE1266" t="s">
        <v>1619</v>
      </c>
      <c r="AF1266" t="s">
        <v>1627</v>
      </c>
    </row>
    <row r="1267" spans="1:32" x14ac:dyDescent="0.25">
      <c r="A1267" t="s">
        <v>1324</v>
      </c>
      <c r="B1267">
        <v>33</v>
      </c>
      <c r="C1267">
        <v>775</v>
      </c>
      <c r="D1267">
        <v>4</v>
      </c>
      <c r="E1267">
        <v>90</v>
      </c>
      <c r="F1267">
        <v>3055</v>
      </c>
      <c r="G1267">
        <v>6194</v>
      </c>
      <c r="H1267">
        <v>5</v>
      </c>
      <c r="I1267">
        <v>15</v>
      </c>
      <c r="J1267">
        <v>11</v>
      </c>
      <c r="K1267">
        <v>2</v>
      </c>
      <c r="L1267">
        <v>9</v>
      </c>
      <c r="M1267">
        <v>8</v>
      </c>
      <c r="N1267">
        <v>1</v>
      </c>
      <c r="O1267">
        <v>7</v>
      </c>
      <c r="P1267" t="s">
        <v>1556</v>
      </c>
      <c r="Q1267" t="s">
        <v>1554</v>
      </c>
      <c r="R1267" t="s">
        <v>1550</v>
      </c>
      <c r="S1267" t="s">
        <v>1534</v>
      </c>
      <c r="T1267" t="s">
        <v>1542</v>
      </c>
      <c r="U1267" t="s">
        <v>1548</v>
      </c>
      <c r="V1267" t="s">
        <v>1559</v>
      </c>
      <c r="W1267" t="s">
        <v>1563</v>
      </c>
      <c r="X1267" t="s">
        <v>1576</v>
      </c>
      <c r="Y1267" t="s">
        <v>1582</v>
      </c>
      <c r="Z1267" t="s">
        <v>1592</v>
      </c>
      <c r="AA1267" t="s">
        <v>1598</v>
      </c>
      <c r="AB1267" t="s">
        <v>1601</v>
      </c>
      <c r="AC1267" t="s">
        <v>1610</v>
      </c>
      <c r="AD1267" t="s">
        <v>1607</v>
      </c>
      <c r="AE1267" t="s">
        <v>1618</v>
      </c>
      <c r="AF1267" t="s">
        <v>1626</v>
      </c>
    </row>
    <row r="1268" spans="1:32" x14ac:dyDescent="0.25">
      <c r="A1268" t="s">
        <v>1325</v>
      </c>
      <c r="B1268">
        <v>41</v>
      </c>
      <c r="C1268">
        <v>548</v>
      </c>
      <c r="D1268">
        <v>9</v>
      </c>
      <c r="E1268">
        <v>94</v>
      </c>
      <c r="F1268">
        <v>2289</v>
      </c>
      <c r="G1268">
        <v>20520</v>
      </c>
      <c r="H1268">
        <v>1</v>
      </c>
      <c r="I1268">
        <v>20</v>
      </c>
      <c r="J1268">
        <v>5</v>
      </c>
      <c r="K1268">
        <v>2</v>
      </c>
      <c r="L1268">
        <v>5</v>
      </c>
      <c r="M1268">
        <v>3</v>
      </c>
      <c r="N1268">
        <v>0</v>
      </c>
      <c r="O1268">
        <v>4</v>
      </c>
      <c r="P1268" t="s">
        <v>1556</v>
      </c>
      <c r="Q1268" t="s">
        <v>1552</v>
      </c>
      <c r="R1268" t="s">
        <v>1550</v>
      </c>
      <c r="S1268" t="s">
        <v>1535</v>
      </c>
      <c r="T1268" t="s">
        <v>1538</v>
      </c>
      <c r="U1268" t="s">
        <v>1547</v>
      </c>
      <c r="V1268" t="s">
        <v>1559</v>
      </c>
      <c r="W1268" t="s">
        <v>1563</v>
      </c>
      <c r="X1268" t="s">
        <v>1575</v>
      </c>
      <c r="Y1268" t="s">
        <v>1583</v>
      </c>
      <c r="Z1268" t="s">
        <v>1591</v>
      </c>
      <c r="AA1268" t="s">
        <v>1598</v>
      </c>
      <c r="AB1268" t="s">
        <v>1601</v>
      </c>
      <c r="AC1268" t="s">
        <v>1611</v>
      </c>
      <c r="AD1268" t="s">
        <v>1605</v>
      </c>
      <c r="AE1268" t="s">
        <v>1618</v>
      </c>
      <c r="AF1268" t="s">
        <v>1627</v>
      </c>
    </row>
    <row r="1269" spans="1:32" x14ac:dyDescent="0.25">
      <c r="A1269" t="s">
        <v>1326</v>
      </c>
      <c r="B1269">
        <v>34</v>
      </c>
      <c r="C1269">
        <v>1375</v>
      </c>
      <c r="D1269">
        <v>10</v>
      </c>
      <c r="E1269">
        <v>87</v>
      </c>
      <c r="F1269">
        <v>4001</v>
      </c>
      <c r="G1269">
        <v>12313</v>
      </c>
      <c r="H1269">
        <v>1</v>
      </c>
      <c r="I1269">
        <v>14</v>
      </c>
      <c r="J1269">
        <v>15</v>
      </c>
      <c r="K1269">
        <v>3</v>
      </c>
      <c r="L1269">
        <v>15</v>
      </c>
      <c r="M1269">
        <v>14</v>
      </c>
      <c r="N1269">
        <v>0</v>
      </c>
      <c r="O1269">
        <v>7</v>
      </c>
      <c r="P1269" t="s">
        <v>1556</v>
      </c>
      <c r="Q1269" t="s">
        <v>1554</v>
      </c>
      <c r="R1269" t="s">
        <v>1549</v>
      </c>
      <c r="S1269" t="s">
        <v>1534</v>
      </c>
      <c r="T1269" t="s">
        <v>1538</v>
      </c>
      <c r="U1269" t="s">
        <v>1548</v>
      </c>
      <c r="V1269" t="s">
        <v>1559</v>
      </c>
      <c r="W1269" t="s">
        <v>1563</v>
      </c>
      <c r="X1269" t="s">
        <v>1576</v>
      </c>
      <c r="Y1269" t="s">
        <v>1581</v>
      </c>
      <c r="Z1269" t="s">
        <v>1593</v>
      </c>
      <c r="AA1269" t="s">
        <v>1598</v>
      </c>
      <c r="AB1269" t="s">
        <v>1600</v>
      </c>
      <c r="AC1269" t="s">
        <v>1610</v>
      </c>
      <c r="AD1269" t="s">
        <v>1606</v>
      </c>
      <c r="AE1269" t="s">
        <v>1617</v>
      </c>
      <c r="AF1269" t="s">
        <v>1627</v>
      </c>
    </row>
    <row r="1270" spans="1:32" x14ac:dyDescent="0.25">
      <c r="A1270" t="s">
        <v>1327</v>
      </c>
      <c r="B1270">
        <v>53</v>
      </c>
      <c r="C1270">
        <v>661</v>
      </c>
      <c r="D1270">
        <v>1</v>
      </c>
      <c r="E1270">
        <v>60</v>
      </c>
      <c r="F1270">
        <v>12965</v>
      </c>
      <c r="G1270">
        <v>22308</v>
      </c>
      <c r="H1270">
        <v>4</v>
      </c>
      <c r="I1270">
        <v>20</v>
      </c>
      <c r="J1270">
        <v>27</v>
      </c>
      <c r="K1270">
        <v>2</v>
      </c>
      <c r="L1270">
        <v>3</v>
      </c>
      <c r="M1270">
        <v>2</v>
      </c>
      <c r="N1270">
        <v>0</v>
      </c>
      <c r="O1270">
        <v>2</v>
      </c>
      <c r="P1270" t="s">
        <v>1556</v>
      </c>
      <c r="Q1270" t="s">
        <v>1554</v>
      </c>
      <c r="R1270" t="s">
        <v>1550</v>
      </c>
      <c r="S1270" t="s">
        <v>1535</v>
      </c>
      <c r="T1270" t="s">
        <v>1540</v>
      </c>
      <c r="U1270" t="s">
        <v>1545</v>
      </c>
      <c r="V1270" t="s">
        <v>1558</v>
      </c>
      <c r="W1270" t="s">
        <v>1562</v>
      </c>
      <c r="X1270" t="s">
        <v>1578</v>
      </c>
      <c r="Y1270" t="s">
        <v>1584</v>
      </c>
      <c r="Z1270" t="s">
        <v>1593</v>
      </c>
      <c r="AA1270" t="s">
        <v>1597</v>
      </c>
      <c r="AB1270" t="s">
        <v>1600</v>
      </c>
      <c r="AC1270" t="s">
        <v>1611</v>
      </c>
      <c r="AD1270" t="s">
        <v>1607</v>
      </c>
      <c r="AE1270" t="s">
        <v>1619</v>
      </c>
      <c r="AF1270" t="s">
        <v>1626</v>
      </c>
    </row>
    <row r="1271" spans="1:32" x14ac:dyDescent="0.25">
      <c r="A1271" t="s">
        <v>1328</v>
      </c>
      <c r="B1271">
        <v>43</v>
      </c>
      <c r="C1271">
        <v>244</v>
      </c>
      <c r="D1271">
        <v>2</v>
      </c>
      <c r="E1271">
        <v>97</v>
      </c>
      <c r="F1271">
        <v>3539</v>
      </c>
      <c r="G1271">
        <v>5033</v>
      </c>
      <c r="H1271">
        <v>0</v>
      </c>
      <c r="I1271">
        <v>13</v>
      </c>
      <c r="J1271">
        <v>10</v>
      </c>
      <c r="K1271">
        <v>5</v>
      </c>
      <c r="L1271">
        <v>9</v>
      </c>
      <c r="M1271">
        <v>7</v>
      </c>
      <c r="N1271">
        <v>1</v>
      </c>
      <c r="O1271">
        <v>8</v>
      </c>
      <c r="P1271" t="s">
        <v>1556</v>
      </c>
      <c r="Q1271" t="s">
        <v>1552</v>
      </c>
      <c r="R1271" t="s">
        <v>1551</v>
      </c>
      <c r="S1271" t="s">
        <v>1534</v>
      </c>
      <c r="T1271" t="s">
        <v>1538</v>
      </c>
      <c r="U1271" t="s">
        <v>1546</v>
      </c>
      <c r="V1271" t="s">
        <v>1559</v>
      </c>
      <c r="W1271" t="s">
        <v>1563</v>
      </c>
      <c r="X1271" t="s">
        <v>1575</v>
      </c>
      <c r="Y1271" t="s">
        <v>1589</v>
      </c>
      <c r="Z1271" t="s">
        <v>1594</v>
      </c>
      <c r="AA1271" t="s">
        <v>1596</v>
      </c>
      <c r="AB1271" t="s">
        <v>1601</v>
      </c>
      <c r="AC1271" t="s">
        <v>1610</v>
      </c>
      <c r="AD1271" t="s">
        <v>1605</v>
      </c>
      <c r="AE1271" t="s">
        <v>1616</v>
      </c>
      <c r="AF1271" t="s">
        <v>1627</v>
      </c>
    </row>
    <row r="1272" spans="1:32" x14ac:dyDescent="0.25">
      <c r="A1272" t="s">
        <v>1329</v>
      </c>
      <c r="B1272">
        <v>34</v>
      </c>
      <c r="C1272">
        <v>511</v>
      </c>
      <c r="D1272">
        <v>3</v>
      </c>
      <c r="E1272">
        <v>32</v>
      </c>
      <c r="F1272">
        <v>6029</v>
      </c>
      <c r="G1272">
        <v>25353</v>
      </c>
      <c r="H1272">
        <v>5</v>
      </c>
      <c r="I1272">
        <v>12</v>
      </c>
      <c r="J1272">
        <v>6</v>
      </c>
      <c r="K1272">
        <v>3</v>
      </c>
      <c r="L1272">
        <v>2</v>
      </c>
      <c r="M1272">
        <v>2</v>
      </c>
      <c r="N1272">
        <v>2</v>
      </c>
      <c r="O1272">
        <v>2</v>
      </c>
      <c r="P1272" t="s">
        <v>1556</v>
      </c>
      <c r="Q1272" t="s">
        <v>1552</v>
      </c>
      <c r="R1272" t="s">
        <v>1549</v>
      </c>
      <c r="S1272" t="s">
        <v>1533</v>
      </c>
      <c r="T1272" t="s">
        <v>1538</v>
      </c>
      <c r="U1272" t="s">
        <v>1548</v>
      </c>
      <c r="V1272" t="s">
        <v>1558</v>
      </c>
      <c r="W1272" t="s">
        <v>1561</v>
      </c>
      <c r="X1272" t="s">
        <v>1576</v>
      </c>
      <c r="Y1272" t="s">
        <v>1581</v>
      </c>
      <c r="Z1272" t="s">
        <v>1594</v>
      </c>
      <c r="AA1272" t="s">
        <v>1596</v>
      </c>
      <c r="AB1272" t="s">
        <v>1601</v>
      </c>
      <c r="AC1272" t="s">
        <v>1610</v>
      </c>
      <c r="AD1272" t="s">
        <v>1604</v>
      </c>
      <c r="AE1272" t="s">
        <v>1616</v>
      </c>
      <c r="AF1272" t="s">
        <v>1627</v>
      </c>
    </row>
    <row r="1273" spans="1:32" x14ac:dyDescent="0.25">
      <c r="A1273" t="s">
        <v>1330</v>
      </c>
      <c r="B1273">
        <v>21</v>
      </c>
      <c r="C1273">
        <v>337</v>
      </c>
      <c r="D1273">
        <v>7</v>
      </c>
      <c r="E1273">
        <v>31</v>
      </c>
      <c r="F1273">
        <v>2679</v>
      </c>
      <c r="G1273">
        <v>4567</v>
      </c>
      <c r="H1273">
        <v>1</v>
      </c>
      <c r="I1273">
        <v>13</v>
      </c>
      <c r="J1273">
        <v>1</v>
      </c>
      <c r="K1273">
        <v>3</v>
      </c>
      <c r="L1273">
        <v>1</v>
      </c>
      <c r="M1273">
        <v>0</v>
      </c>
      <c r="N1273">
        <v>1</v>
      </c>
      <c r="O1273">
        <v>0</v>
      </c>
      <c r="P1273" t="s">
        <v>1555</v>
      </c>
      <c r="Q1273" t="s">
        <v>1552</v>
      </c>
      <c r="R1273" t="s">
        <v>1549</v>
      </c>
      <c r="S1273" t="s">
        <v>1532</v>
      </c>
      <c r="T1273" t="s">
        <v>1541</v>
      </c>
      <c r="U1273" t="s">
        <v>1546</v>
      </c>
      <c r="V1273" t="s">
        <v>1559</v>
      </c>
      <c r="W1273" t="s">
        <v>1563</v>
      </c>
      <c r="X1273" t="s">
        <v>1575</v>
      </c>
      <c r="Y1273" t="s">
        <v>1587</v>
      </c>
      <c r="Z1273" t="s">
        <v>1592</v>
      </c>
      <c r="AA1273" t="s">
        <v>1596</v>
      </c>
      <c r="AB1273" t="s">
        <v>1601</v>
      </c>
      <c r="AC1273" t="s">
        <v>1610</v>
      </c>
      <c r="AD1273" t="s">
        <v>1605</v>
      </c>
      <c r="AE1273" t="s">
        <v>1616</v>
      </c>
      <c r="AF1273" t="s">
        <v>1627</v>
      </c>
    </row>
    <row r="1274" spans="1:32" x14ac:dyDescent="0.25">
      <c r="A1274" t="s">
        <v>1331</v>
      </c>
      <c r="B1274">
        <v>38</v>
      </c>
      <c r="C1274">
        <v>1153</v>
      </c>
      <c r="D1274">
        <v>6</v>
      </c>
      <c r="E1274">
        <v>40</v>
      </c>
      <c r="F1274">
        <v>3702</v>
      </c>
      <c r="G1274">
        <v>16376</v>
      </c>
      <c r="H1274">
        <v>1</v>
      </c>
      <c r="I1274">
        <v>11</v>
      </c>
      <c r="J1274">
        <v>5</v>
      </c>
      <c r="K1274">
        <v>3</v>
      </c>
      <c r="L1274">
        <v>5</v>
      </c>
      <c r="M1274">
        <v>4</v>
      </c>
      <c r="N1274">
        <v>0</v>
      </c>
      <c r="O1274">
        <v>4</v>
      </c>
      <c r="P1274" t="s">
        <v>1556</v>
      </c>
      <c r="Q1274" t="s">
        <v>1552</v>
      </c>
      <c r="R1274" t="s">
        <v>1550</v>
      </c>
      <c r="S1274" t="s">
        <v>1533</v>
      </c>
      <c r="T1274" t="s">
        <v>1539</v>
      </c>
      <c r="U1274" t="s">
        <v>1548</v>
      </c>
      <c r="V1274" t="s">
        <v>1558</v>
      </c>
      <c r="W1274" t="s">
        <v>1562</v>
      </c>
      <c r="X1274" t="s">
        <v>1575</v>
      </c>
      <c r="Y1274" t="s">
        <v>1583</v>
      </c>
      <c r="Z1274" t="s">
        <v>1593</v>
      </c>
      <c r="AA1274" t="s">
        <v>1597</v>
      </c>
      <c r="AB1274" t="s">
        <v>1601</v>
      </c>
      <c r="AC1274" t="s">
        <v>1610</v>
      </c>
      <c r="AD1274" t="s">
        <v>1605</v>
      </c>
      <c r="AE1274" t="s">
        <v>1617</v>
      </c>
      <c r="AF1274" t="s">
        <v>1627</v>
      </c>
    </row>
    <row r="1275" spans="1:32" x14ac:dyDescent="0.25">
      <c r="A1275" t="s">
        <v>1332</v>
      </c>
      <c r="B1275">
        <v>22</v>
      </c>
      <c r="C1275">
        <v>1294</v>
      </c>
      <c r="D1275">
        <v>8</v>
      </c>
      <c r="E1275">
        <v>79</v>
      </c>
      <c r="F1275">
        <v>2398</v>
      </c>
      <c r="G1275">
        <v>15999</v>
      </c>
      <c r="H1275">
        <v>1</v>
      </c>
      <c r="I1275">
        <v>17</v>
      </c>
      <c r="J1275">
        <v>1</v>
      </c>
      <c r="K1275">
        <v>6</v>
      </c>
      <c r="L1275">
        <v>1</v>
      </c>
      <c r="M1275">
        <v>0</v>
      </c>
      <c r="N1275">
        <v>0</v>
      </c>
      <c r="O1275">
        <v>0</v>
      </c>
      <c r="P1275" t="s">
        <v>1555</v>
      </c>
      <c r="Q1275" t="s">
        <v>1552</v>
      </c>
      <c r="R1275" t="s">
        <v>1550</v>
      </c>
      <c r="S1275" t="s">
        <v>1532</v>
      </c>
      <c r="T1275" t="s">
        <v>1540</v>
      </c>
      <c r="U1275" t="s">
        <v>1547</v>
      </c>
      <c r="V1275" t="s">
        <v>1558</v>
      </c>
      <c r="W1275" t="s">
        <v>1563</v>
      </c>
      <c r="X1275" t="s">
        <v>1575</v>
      </c>
      <c r="Y1275" t="s">
        <v>1583</v>
      </c>
      <c r="Z1275" t="s">
        <v>1591</v>
      </c>
      <c r="AA1275" t="s">
        <v>1597</v>
      </c>
      <c r="AB1275" t="s">
        <v>1600</v>
      </c>
      <c r="AC1275" t="s">
        <v>1610</v>
      </c>
      <c r="AD1275" t="s">
        <v>1606</v>
      </c>
      <c r="AE1275" t="s">
        <v>1616</v>
      </c>
      <c r="AF1275" t="s">
        <v>1627</v>
      </c>
    </row>
    <row r="1276" spans="1:32" x14ac:dyDescent="0.25">
      <c r="A1276" t="s">
        <v>1333</v>
      </c>
      <c r="B1276">
        <v>31</v>
      </c>
      <c r="C1276">
        <v>196</v>
      </c>
      <c r="D1276">
        <v>29</v>
      </c>
      <c r="E1276">
        <v>91</v>
      </c>
      <c r="F1276">
        <v>5468</v>
      </c>
      <c r="G1276">
        <v>13402</v>
      </c>
      <c r="H1276">
        <v>1</v>
      </c>
      <c r="I1276">
        <v>14</v>
      </c>
      <c r="J1276">
        <v>13</v>
      </c>
      <c r="K1276">
        <v>3</v>
      </c>
      <c r="L1276">
        <v>12</v>
      </c>
      <c r="M1276">
        <v>7</v>
      </c>
      <c r="N1276">
        <v>5</v>
      </c>
      <c r="O1276">
        <v>7</v>
      </c>
      <c r="P1276" t="s">
        <v>1556</v>
      </c>
      <c r="Q1276" t="s">
        <v>1552</v>
      </c>
      <c r="R1276" t="s">
        <v>1549</v>
      </c>
      <c r="S1276" t="s">
        <v>1535</v>
      </c>
      <c r="T1276" t="s">
        <v>1541</v>
      </c>
      <c r="U1276" t="s">
        <v>1545</v>
      </c>
      <c r="V1276" t="s">
        <v>1558</v>
      </c>
      <c r="W1276" t="s">
        <v>1562</v>
      </c>
      <c r="X1276" t="s">
        <v>1576</v>
      </c>
      <c r="Y1276" t="s">
        <v>1581</v>
      </c>
      <c r="Z1276" t="s">
        <v>1594</v>
      </c>
      <c r="AA1276" t="s">
        <v>1597</v>
      </c>
      <c r="AB1276" t="s">
        <v>1601</v>
      </c>
      <c r="AC1276" t="s">
        <v>1610</v>
      </c>
      <c r="AD1276" t="s">
        <v>1604</v>
      </c>
      <c r="AE1276" t="s">
        <v>1618</v>
      </c>
      <c r="AF1276" t="s">
        <v>1627</v>
      </c>
    </row>
    <row r="1277" spans="1:32" x14ac:dyDescent="0.25">
      <c r="A1277" t="s">
        <v>1334</v>
      </c>
      <c r="B1277">
        <v>51</v>
      </c>
      <c r="C1277">
        <v>942</v>
      </c>
      <c r="D1277">
        <v>3</v>
      </c>
      <c r="E1277">
        <v>53</v>
      </c>
      <c r="F1277">
        <v>13116</v>
      </c>
      <c r="G1277">
        <v>22984</v>
      </c>
      <c r="H1277">
        <v>2</v>
      </c>
      <c r="I1277">
        <v>11</v>
      </c>
      <c r="J1277">
        <v>15</v>
      </c>
      <c r="K1277">
        <v>2</v>
      </c>
      <c r="L1277">
        <v>2</v>
      </c>
      <c r="M1277">
        <v>2</v>
      </c>
      <c r="N1277">
        <v>2</v>
      </c>
      <c r="O1277">
        <v>2</v>
      </c>
      <c r="P1277" t="s">
        <v>1556</v>
      </c>
      <c r="Q1277" t="s">
        <v>1552</v>
      </c>
      <c r="R1277" t="s">
        <v>1550</v>
      </c>
      <c r="S1277" t="s">
        <v>1534</v>
      </c>
      <c r="T1277" t="s">
        <v>1542</v>
      </c>
      <c r="U1277" t="s">
        <v>1545</v>
      </c>
      <c r="V1277" t="s">
        <v>1558</v>
      </c>
      <c r="W1277" t="s">
        <v>1563</v>
      </c>
      <c r="X1277" t="s">
        <v>1577</v>
      </c>
      <c r="Y1277" t="s">
        <v>1586</v>
      </c>
      <c r="Z1277" t="s">
        <v>1593</v>
      </c>
      <c r="AA1277" t="s">
        <v>1597</v>
      </c>
      <c r="AB1277" t="s">
        <v>1601</v>
      </c>
      <c r="AC1277" t="s">
        <v>1610</v>
      </c>
      <c r="AD1277" t="s">
        <v>1607</v>
      </c>
      <c r="AE1277" t="s">
        <v>1616</v>
      </c>
      <c r="AF1277" t="s">
        <v>1627</v>
      </c>
    </row>
    <row r="1278" spans="1:32" x14ac:dyDescent="0.25">
      <c r="A1278" t="s">
        <v>1335</v>
      </c>
      <c r="B1278">
        <v>37</v>
      </c>
      <c r="C1278">
        <v>589</v>
      </c>
      <c r="D1278">
        <v>9</v>
      </c>
      <c r="E1278">
        <v>46</v>
      </c>
      <c r="F1278">
        <v>4189</v>
      </c>
      <c r="G1278">
        <v>8800</v>
      </c>
      <c r="H1278">
        <v>1</v>
      </c>
      <c r="I1278">
        <v>14</v>
      </c>
      <c r="J1278">
        <v>5</v>
      </c>
      <c r="K1278">
        <v>2</v>
      </c>
      <c r="L1278">
        <v>5</v>
      </c>
      <c r="M1278">
        <v>2</v>
      </c>
      <c r="N1278">
        <v>0</v>
      </c>
      <c r="O1278">
        <v>3</v>
      </c>
      <c r="P1278" t="s">
        <v>1556</v>
      </c>
      <c r="Q1278" t="s">
        <v>1552</v>
      </c>
      <c r="R1278" t="s">
        <v>1549</v>
      </c>
      <c r="S1278" t="s">
        <v>1533</v>
      </c>
      <c r="T1278" t="s">
        <v>1541</v>
      </c>
      <c r="U1278" t="s">
        <v>1546</v>
      </c>
      <c r="V1278" t="s">
        <v>1559</v>
      </c>
      <c r="W1278" t="s">
        <v>1562</v>
      </c>
      <c r="X1278" t="s">
        <v>1576</v>
      </c>
      <c r="Y1278" t="s">
        <v>1581</v>
      </c>
      <c r="Z1278" t="s">
        <v>1592</v>
      </c>
      <c r="AA1278" t="s">
        <v>1597</v>
      </c>
      <c r="AB1278" t="s">
        <v>1601</v>
      </c>
      <c r="AC1278" t="s">
        <v>1610</v>
      </c>
      <c r="AD1278" t="s">
        <v>1604</v>
      </c>
      <c r="AE1278" t="s">
        <v>1618</v>
      </c>
      <c r="AF1278" t="s">
        <v>1627</v>
      </c>
    </row>
    <row r="1279" spans="1:32" x14ac:dyDescent="0.25">
      <c r="A1279" t="s">
        <v>1336</v>
      </c>
      <c r="B1279">
        <v>46</v>
      </c>
      <c r="C1279">
        <v>734</v>
      </c>
      <c r="D1279">
        <v>2</v>
      </c>
      <c r="E1279">
        <v>46</v>
      </c>
      <c r="F1279">
        <v>19328</v>
      </c>
      <c r="G1279">
        <v>14218</v>
      </c>
      <c r="H1279">
        <v>7</v>
      </c>
      <c r="I1279">
        <v>17</v>
      </c>
      <c r="J1279">
        <v>24</v>
      </c>
      <c r="K1279">
        <v>3</v>
      </c>
      <c r="L1279">
        <v>2</v>
      </c>
      <c r="M1279">
        <v>1</v>
      </c>
      <c r="N1279">
        <v>2</v>
      </c>
      <c r="O1279">
        <v>2</v>
      </c>
      <c r="P1279" t="s">
        <v>1556</v>
      </c>
      <c r="Q1279" t="s">
        <v>1552</v>
      </c>
      <c r="R1279" t="s">
        <v>1550</v>
      </c>
      <c r="S1279" t="s">
        <v>1535</v>
      </c>
      <c r="T1279" t="s">
        <v>1540</v>
      </c>
      <c r="U1279" t="s">
        <v>1547</v>
      </c>
      <c r="V1279" t="s">
        <v>1559</v>
      </c>
      <c r="W1279" t="s">
        <v>1563</v>
      </c>
      <c r="X1279" t="s">
        <v>1579</v>
      </c>
      <c r="Y1279" t="s">
        <v>1588</v>
      </c>
      <c r="Z1279" t="s">
        <v>1594</v>
      </c>
      <c r="AA1279" t="s">
        <v>1598</v>
      </c>
      <c r="AB1279" t="s">
        <v>1600</v>
      </c>
      <c r="AC1279" t="s">
        <v>1610</v>
      </c>
      <c r="AD1279" t="s">
        <v>1606</v>
      </c>
      <c r="AE1279" t="s">
        <v>1617</v>
      </c>
      <c r="AF1279" t="s">
        <v>1627</v>
      </c>
    </row>
    <row r="1280" spans="1:32" x14ac:dyDescent="0.25">
      <c r="A1280" t="s">
        <v>1337</v>
      </c>
      <c r="B1280">
        <v>36</v>
      </c>
      <c r="C1280">
        <v>1383</v>
      </c>
      <c r="D1280">
        <v>10</v>
      </c>
      <c r="E1280">
        <v>90</v>
      </c>
      <c r="F1280">
        <v>8321</v>
      </c>
      <c r="G1280">
        <v>25949</v>
      </c>
      <c r="H1280">
        <v>7</v>
      </c>
      <c r="I1280">
        <v>13</v>
      </c>
      <c r="J1280">
        <v>15</v>
      </c>
      <c r="K1280">
        <v>1</v>
      </c>
      <c r="L1280">
        <v>12</v>
      </c>
      <c r="M1280">
        <v>8</v>
      </c>
      <c r="N1280">
        <v>5</v>
      </c>
      <c r="O1280">
        <v>7</v>
      </c>
      <c r="P1280" t="s">
        <v>1556</v>
      </c>
      <c r="Q1280" t="s">
        <v>1552</v>
      </c>
      <c r="R1280" t="s">
        <v>1550</v>
      </c>
      <c r="S1280" t="s">
        <v>1534</v>
      </c>
      <c r="T1280" t="s">
        <v>1538</v>
      </c>
      <c r="U1280" t="s">
        <v>1548</v>
      </c>
      <c r="V1280" t="s">
        <v>1559</v>
      </c>
      <c r="W1280" t="s">
        <v>1563</v>
      </c>
      <c r="X1280" t="s">
        <v>1577</v>
      </c>
      <c r="Y1280" t="s">
        <v>1585</v>
      </c>
      <c r="Z1280" t="s">
        <v>1591</v>
      </c>
      <c r="AA1280" t="s">
        <v>1597</v>
      </c>
      <c r="AB1280" t="s">
        <v>1600</v>
      </c>
      <c r="AC1280" t="s">
        <v>1610</v>
      </c>
      <c r="AD1280" t="s">
        <v>1607</v>
      </c>
      <c r="AE1280" t="s">
        <v>1617</v>
      </c>
      <c r="AF1280" t="s">
        <v>1627</v>
      </c>
    </row>
    <row r="1281" spans="1:32" x14ac:dyDescent="0.25">
      <c r="A1281" t="s">
        <v>1338</v>
      </c>
      <c r="B1281">
        <v>44</v>
      </c>
      <c r="C1281">
        <v>429</v>
      </c>
      <c r="D1281">
        <v>1</v>
      </c>
      <c r="E1281">
        <v>99</v>
      </c>
      <c r="F1281">
        <v>2342</v>
      </c>
      <c r="G1281">
        <v>11092</v>
      </c>
      <c r="H1281">
        <v>1</v>
      </c>
      <c r="I1281">
        <v>12</v>
      </c>
      <c r="J1281">
        <v>6</v>
      </c>
      <c r="K1281">
        <v>2</v>
      </c>
      <c r="L1281">
        <v>5</v>
      </c>
      <c r="M1281">
        <v>3</v>
      </c>
      <c r="N1281">
        <v>2</v>
      </c>
      <c r="O1281">
        <v>3</v>
      </c>
      <c r="P1281" t="s">
        <v>1555</v>
      </c>
      <c r="Q1281" t="s">
        <v>1553</v>
      </c>
      <c r="R1281" t="s">
        <v>1550</v>
      </c>
      <c r="S1281" t="s">
        <v>1533</v>
      </c>
      <c r="T1281" t="s">
        <v>1540</v>
      </c>
      <c r="U1281" t="s">
        <v>1547</v>
      </c>
      <c r="V1281" t="s">
        <v>1559</v>
      </c>
      <c r="W1281" t="s">
        <v>1563</v>
      </c>
      <c r="X1281" t="s">
        <v>1575</v>
      </c>
      <c r="Y1281" t="s">
        <v>1582</v>
      </c>
      <c r="Z1281" t="s">
        <v>1592</v>
      </c>
      <c r="AA1281" t="s">
        <v>1598</v>
      </c>
      <c r="AB1281" t="s">
        <v>1600</v>
      </c>
      <c r="AC1281" t="s">
        <v>1610</v>
      </c>
      <c r="AD1281" t="s">
        <v>1606</v>
      </c>
      <c r="AE1281" t="s">
        <v>1619</v>
      </c>
      <c r="AF1281" t="s">
        <v>1626</v>
      </c>
    </row>
    <row r="1282" spans="1:32" x14ac:dyDescent="0.25">
      <c r="A1282" t="s">
        <v>1339</v>
      </c>
      <c r="B1282">
        <v>37</v>
      </c>
      <c r="C1282">
        <v>1239</v>
      </c>
      <c r="D1282">
        <v>8</v>
      </c>
      <c r="E1282">
        <v>89</v>
      </c>
      <c r="F1282">
        <v>4071</v>
      </c>
      <c r="G1282">
        <v>12832</v>
      </c>
      <c r="H1282">
        <v>2</v>
      </c>
      <c r="I1282">
        <v>13</v>
      </c>
      <c r="J1282">
        <v>19</v>
      </c>
      <c r="K1282">
        <v>4</v>
      </c>
      <c r="L1282">
        <v>10</v>
      </c>
      <c r="M1282">
        <v>0</v>
      </c>
      <c r="N1282">
        <v>4</v>
      </c>
      <c r="O1282">
        <v>7</v>
      </c>
      <c r="P1282" t="s">
        <v>1556</v>
      </c>
      <c r="Q1282" t="s">
        <v>1552</v>
      </c>
      <c r="R1282" t="s">
        <v>1551</v>
      </c>
      <c r="S1282" t="s">
        <v>1533</v>
      </c>
      <c r="T1282" t="s">
        <v>1539</v>
      </c>
      <c r="U1282" t="s">
        <v>1547</v>
      </c>
      <c r="V1282" t="s">
        <v>1559</v>
      </c>
      <c r="W1282" t="s">
        <v>1563</v>
      </c>
      <c r="X1282" t="s">
        <v>1576</v>
      </c>
      <c r="Y1282" t="s">
        <v>1589</v>
      </c>
      <c r="Z1282" t="s">
        <v>1592</v>
      </c>
      <c r="AA1282" t="s">
        <v>1598</v>
      </c>
      <c r="AB1282" t="s">
        <v>1601</v>
      </c>
      <c r="AC1282" t="s">
        <v>1610</v>
      </c>
      <c r="AD1282" t="s">
        <v>1606</v>
      </c>
      <c r="AE1282" t="s">
        <v>1616</v>
      </c>
      <c r="AF1282" t="s">
        <v>1626</v>
      </c>
    </row>
    <row r="1283" spans="1:32" x14ac:dyDescent="0.25">
      <c r="A1283" t="s">
        <v>1340</v>
      </c>
      <c r="B1283">
        <v>35</v>
      </c>
      <c r="C1283">
        <v>303</v>
      </c>
      <c r="D1283">
        <v>27</v>
      </c>
      <c r="E1283">
        <v>84</v>
      </c>
      <c r="F1283">
        <v>5813</v>
      </c>
      <c r="G1283">
        <v>13492</v>
      </c>
      <c r="H1283">
        <v>1</v>
      </c>
      <c r="I1283">
        <v>18</v>
      </c>
      <c r="J1283">
        <v>10</v>
      </c>
      <c r="K1283">
        <v>2</v>
      </c>
      <c r="L1283">
        <v>10</v>
      </c>
      <c r="M1283">
        <v>7</v>
      </c>
      <c r="N1283">
        <v>7</v>
      </c>
      <c r="O1283">
        <v>7</v>
      </c>
      <c r="P1283" t="s">
        <v>1555</v>
      </c>
      <c r="Q1283" t="s">
        <v>1552</v>
      </c>
      <c r="R1283" t="s">
        <v>1549</v>
      </c>
      <c r="S1283" t="s">
        <v>1534</v>
      </c>
      <c r="T1283" t="s">
        <v>1538</v>
      </c>
      <c r="U1283" t="s">
        <v>1547</v>
      </c>
      <c r="V1283" t="s">
        <v>1559</v>
      </c>
      <c r="W1283" t="s">
        <v>1563</v>
      </c>
      <c r="X1283" t="s">
        <v>1576</v>
      </c>
      <c r="Y1283" t="s">
        <v>1581</v>
      </c>
      <c r="Z1283" t="s">
        <v>1594</v>
      </c>
      <c r="AA1283" t="s">
        <v>1596</v>
      </c>
      <c r="AB1283" t="s">
        <v>1600</v>
      </c>
      <c r="AC1283" t="s">
        <v>1610</v>
      </c>
      <c r="AD1283" t="s">
        <v>1607</v>
      </c>
      <c r="AE1283" t="s">
        <v>1616</v>
      </c>
      <c r="AF1283" t="s">
        <v>1627</v>
      </c>
    </row>
    <row r="1284" spans="1:32" x14ac:dyDescent="0.25">
      <c r="A1284" t="s">
        <v>1341</v>
      </c>
      <c r="B1284">
        <v>33</v>
      </c>
      <c r="C1284">
        <v>867</v>
      </c>
      <c r="D1284">
        <v>8</v>
      </c>
      <c r="E1284">
        <v>90</v>
      </c>
      <c r="F1284">
        <v>3143</v>
      </c>
      <c r="G1284">
        <v>6076</v>
      </c>
      <c r="H1284">
        <v>6</v>
      </c>
      <c r="I1284">
        <v>19</v>
      </c>
      <c r="J1284">
        <v>14</v>
      </c>
      <c r="K1284">
        <v>1</v>
      </c>
      <c r="L1284">
        <v>10</v>
      </c>
      <c r="M1284">
        <v>8</v>
      </c>
      <c r="N1284">
        <v>7</v>
      </c>
      <c r="O1284">
        <v>6</v>
      </c>
      <c r="P1284" t="s">
        <v>1556</v>
      </c>
      <c r="Q1284" t="s">
        <v>1552</v>
      </c>
      <c r="R1284" t="s">
        <v>1550</v>
      </c>
      <c r="S1284" t="s">
        <v>1535</v>
      </c>
      <c r="T1284" t="s">
        <v>1538</v>
      </c>
      <c r="U1284" t="s">
        <v>1548</v>
      </c>
      <c r="V1284" t="s">
        <v>1559</v>
      </c>
      <c r="W1284" t="s">
        <v>1564</v>
      </c>
      <c r="X1284" t="s">
        <v>1575</v>
      </c>
      <c r="Y1284" t="s">
        <v>1582</v>
      </c>
      <c r="Z1284" t="s">
        <v>1591</v>
      </c>
      <c r="AA1284" t="s">
        <v>1597</v>
      </c>
      <c r="AB1284" t="s">
        <v>1601</v>
      </c>
      <c r="AC1284" t="s">
        <v>1610</v>
      </c>
      <c r="AD1284" t="s">
        <v>1605</v>
      </c>
      <c r="AE1284" t="s">
        <v>1617</v>
      </c>
      <c r="AF1284" t="s">
        <v>1627</v>
      </c>
    </row>
    <row r="1285" spans="1:32" x14ac:dyDescent="0.25">
      <c r="A1285" t="s">
        <v>1342</v>
      </c>
      <c r="B1285">
        <v>28</v>
      </c>
      <c r="C1285">
        <v>1181</v>
      </c>
      <c r="D1285">
        <v>1</v>
      </c>
      <c r="E1285">
        <v>82</v>
      </c>
      <c r="F1285">
        <v>2044</v>
      </c>
      <c r="G1285">
        <v>5531</v>
      </c>
      <c r="H1285">
        <v>1</v>
      </c>
      <c r="I1285">
        <v>11</v>
      </c>
      <c r="J1285">
        <v>5</v>
      </c>
      <c r="K1285">
        <v>6</v>
      </c>
      <c r="L1285">
        <v>5</v>
      </c>
      <c r="M1285">
        <v>3</v>
      </c>
      <c r="N1285">
        <v>0</v>
      </c>
      <c r="O1285">
        <v>3</v>
      </c>
      <c r="P1285" t="s">
        <v>1556</v>
      </c>
      <c r="Q1285" t="s">
        <v>1552</v>
      </c>
      <c r="R1285" t="s">
        <v>1550</v>
      </c>
      <c r="S1285" t="s">
        <v>1534</v>
      </c>
      <c r="T1285" t="s">
        <v>1538</v>
      </c>
      <c r="U1285" t="s">
        <v>1547</v>
      </c>
      <c r="V1285" t="s">
        <v>1559</v>
      </c>
      <c r="W1285" t="s">
        <v>1563</v>
      </c>
      <c r="X1285" t="s">
        <v>1575</v>
      </c>
      <c r="Y1285" t="s">
        <v>1582</v>
      </c>
      <c r="Z1285" t="s">
        <v>1594</v>
      </c>
      <c r="AA1285" t="s">
        <v>1597</v>
      </c>
      <c r="AB1285" t="s">
        <v>1601</v>
      </c>
      <c r="AC1285" t="s">
        <v>1610</v>
      </c>
      <c r="AD1285" t="s">
        <v>1606</v>
      </c>
      <c r="AE1285" t="s">
        <v>1617</v>
      </c>
      <c r="AF1285" t="s">
        <v>1628</v>
      </c>
    </row>
    <row r="1286" spans="1:32" x14ac:dyDescent="0.25">
      <c r="A1286" t="s">
        <v>1343</v>
      </c>
      <c r="B1286">
        <v>39</v>
      </c>
      <c r="C1286">
        <v>1253</v>
      </c>
      <c r="D1286">
        <v>10</v>
      </c>
      <c r="E1286">
        <v>65</v>
      </c>
      <c r="F1286">
        <v>13464</v>
      </c>
      <c r="G1286">
        <v>7914</v>
      </c>
      <c r="H1286">
        <v>7</v>
      </c>
      <c r="I1286">
        <v>21</v>
      </c>
      <c r="J1286">
        <v>9</v>
      </c>
      <c r="K1286">
        <v>3</v>
      </c>
      <c r="L1286">
        <v>4</v>
      </c>
      <c r="M1286">
        <v>3</v>
      </c>
      <c r="N1286">
        <v>2</v>
      </c>
      <c r="O1286">
        <v>2</v>
      </c>
      <c r="P1286" t="s">
        <v>1556</v>
      </c>
      <c r="Q1286" t="s">
        <v>1552</v>
      </c>
      <c r="R1286" t="s">
        <v>1550</v>
      </c>
      <c r="S1286" t="s">
        <v>1532</v>
      </c>
      <c r="T1286" t="s">
        <v>1540</v>
      </c>
      <c r="U1286" t="s">
        <v>1547</v>
      </c>
      <c r="V1286" t="s">
        <v>1559</v>
      </c>
      <c r="W1286" t="s">
        <v>1563</v>
      </c>
      <c r="X1286" t="s">
        <v>1577</v>
      </c>
      <c r="Y1286" t="s">
        <v>1588</v>
      </c>
      <c r="Z1286" t="s">
        <v>1593</v>
      </c>
      <c r="AA1286" t="s">
        <v>1596</v>
      </c>
      <c r="AB1286" t="s">
        <v>1601</v>
      </c>
      <c r="AC1286" t="s">
        <v>1611</v>
      </c>
      <c r="AD1286" t="s">
        <v>1606</v>
      </c>
      <c r="AE1286" t="s">
        <v>1616</v>
      </c>
      <c r="AF1286" t="s">
        <v>1627</v>
      </c>
    </row>
    <row r="1287" spans="1:32" x14ac:dyDescent="0.25">
      <c r="A1287" t="s">
        <v>1344</v>
      </c>
      <c r="B1287">
        <v>46</v>
      </c>
      <c r="C1287">
        <v>849</v>
      </c>
      <c r="D1287">
        <v>26</v>
      </c>
      <c r="E1287">
        <v>98</v>
      </c>
      <c r="F1287">
        <v>7991</v>
      </c>
      <c r="G1287">
        <v>25166</v>
      </c>
      <c r="H1287">
        <v>8</v>
      </c>
      <c r="I1287">
        <v>15</v>
      </c>
      <c r="J1287">
        <v>6</v>
      </c>
      <c r="K1287">
        <v>3</v>
      </c>
      <c r="L1287">
        <v>2</v>
      </c>
      <c r="M1287">
        <v>2</v>
      </c>
      <c r="N1287">
        <v>2</v>
      </c>
      <c r="O1287">
        <v>2</v>
      </c>
      <c r="P1287" t="s">
        <v>1556</v>
      </c>
      <c r="Q1287" t="s">
        <v>1554</v>
      </c>
      <c r="R1287" t="s">
        <v>1549</v>
      </c>
      <c r="S1287" t="s">
        <v>1533</v>
      </c>
      <c r="T1287" t="s">
        <v>1538</v>
      </c>
      <c r="U1287" t="s">
        <v>1546</v>
      </c>
      <c r="V1287" t="s">
        <v>1559</v>
      </c>
      <c r="W1287" t="s">
        <v>1562</v>
      </c>
      <c r="X1287" t="s">
        <v>1576</v>
      </c>
      <c r="Y1287" t="s">
        <v>1581</v>
      </c>
      <c r="Z1287" t="s">
        <v>1592</v>
      </c>
      <c r="AA1287" t="s">
        <v>1596</v>
      </c>
      <c r="AB1287" t="s">
        <v>1601</v>
      </c>
      <c r="AC1287" t="s">
        <v>1610</v>
      </c>
      <c r="AD1287" t="s">
        <v>1606</v>
      </c>
      <c r="AE1287" t="s">
        <v>1616</v>
      </c>
      <c r="AF1287" t="s">
        <v>1627</v>
      </c>
    </row>
    <row r="1288" spans="1:32" x14ac:dyDescent="0.25">
      <c r="A1288" t="s">
        <v>1345</v>
      </c>
      <c r="B1288">
        <v>40</v>
      </c>
      <c r="C1288">
        <v>616</v>
      </c>
      <c r="D1288">
        <v>2</v>
      </c>
      <c r="E1288">
        <v>99</v>
      </c>
      <c r="F1288">
        <v>3377</v>
      </c>
      <c r="G1288">
        <v>25605</v>
      </c>
      <c r="H1288">
        <v>4</v>
      </c>
      <c r="I1288">
        <v>17</v>
      </c>
      <c r="J1288">
        <v>7</v>
      </c>
      <c r="K1288">
        <v>5</v>
      </c>
      <c r="L1288">
        <v>4</v>
      </c>
      <c r="M1288">
        <v>3</v>
      </c>
      <c r="N1288">
        <v>0</v>
      </c>
      <c r="O1288">
        <v>2</v>
      </c>
      <c r="P1288" t="s">
        <v>1556</v>
      </c>
      <c r="Q1288" t="s">
        <v>1552</v>
      </c>
      <c r="R1288" t="s">
        <v>1550</v>
      </c>
      <c r="S1288" t="s">
        <v>1533</v>
      </c>
      <c r="T1288" t="s">
        <v>1538</v>
      </c>
      <c r="U1288" t="s">
        <v>1547</v>
      </c>
      <c r="V1288" t="s">
        <v>1558</v>
      </c>
      <c r="W1288" t="s">
        <v>1563</v>
      </c>
      <c r="X1288" t="s">
        <v>1575</v>
      </c>
      <c r="Y1288" t="s">
        <v>1583</v>
      </c>
      <c r="Z1288" t="s">
        <v>1591</v>
      </c>
      <c r="AA1288" t="s">
        <v>1597</v>
      </c>
      <c r="AB1288" t="s">
        <v>1601</v>
      </c>
      <c r="AC1288" t="s">
        <v>1610</v>
      </c>
      <c r="AD1288" t="s">
        <v>1607</v>
      </c>
      <c r="AE1288" t="s">
        <v>1617</v>
      </c>
      <c r="AF1288" t="s">
        <v>1626</v>
      </c>
    </row>
    <row r="1289" spans="1:32" x14ac:dyDescent="0.25">
      <c r="A1289" t="s">
        <v>1346</v>
      </c>
      <c r="B1289">
        <v>42</v>
      </c>
      <c r="C1289">
        <v>1128</v>
      </c>
      <c r="D1289">
        <v>13</v>
      </c>
      <c r="E1289">
        <v>95</v>
      </c>
      <c r="F1289">
        <v>5538</v>
      </c>
      <c r="G1289">
        <v>5696</v>
      </c>
      <c r="H1289">
        <v>5</v>
      </c>
      <c r="I1289">
        <v>18</v>
      </c>
      <c r="J1289">
        <v>10</v>
      </c>
      <c r="K1289">
        <v>2</v>
      </c>
      <c r="L1289">
        <v>0</v>
      </c>
      <c r="M1289">
        <v>0</v>
      </c>
      <c r="N1289">
        <v>0</v>
      </c>
      <c r="O1289">
        <v>0</v>
      </c>
      <c r="P1289" t="s">
        <v>1556</v>
      </c>
      <c r="Q1289" t="s">
        <v>1552</v>
      </c>
      <c r="R1289" t="s">
        <v>1550</v>
      </c>
      <c r="S1289" t="s">
        <v>1534</v>
      </c>
      <c r="T1289" t="s">
        <v>1540</v>
      </c>
      <c r="U1289" t="s">
        <v>1546</v>
      </c>
      <c r="V1289" t="s">
        <v>1559</v>
      </c>
      <c r="W1289" t="s">
        <v>1564</v>
      </c>
      <c r="X1289" t="s">
        <v>1576</v>
      </c>
      <c r="Y1289" t="s">
        <v>1585</v>
      </c>
      <c r="Z1289" t="s">
        <v>1591</v>
      </c>
      <c r="AA1289" t="s">
        <v>1597</v>
      </c>
      <c r="AB1289" t="s">
        <v>1601</v>
      </c>
      <c r="AC1289" t="s">
        <v>1610</v>
      </c>
      <c r="AD1289" t="s">
        <v>1606</v>
      </c>
      <c r="AE1289" t="s">
        <v>1618</v>
      </c>
      <c r="AF1289" t="s">
        <v>1626</v>
      </c>
    </row>
    <row r="1290" spans="1:32" x14ac:dyDescent="0.25">
      <c r="A1290" t="s">
        <v>1347</v>
      </c>
      <c r="B1290">
        <v>35</v>
      </c>
      <c r="C1290">
        <v>1180</v>
      </c>
      <c r="D1290">
        <v>2</v>
      </c>
      <c r="E1290">
        <v>90</v>
      </c>
      <c r="F1290">
        <v>5762</v>
      </c>
      <c r="G1290">
        <v>24442</v>
      </c>
      <c r="H1290">
        <v>2</v>
      </c>
      <c r="I1290">
        <v>14</v>
      </c>
      <c r="J1290">
        <v>15</v>
      </c>
      <c r="K1290">
        <v>6</v>
      </c>
      <c r="L1290">
        <v>7</v>
      </c>
      <c r="M1290">
        <v>7</v>
      </c>
      <c r="N1290">
        <v>1</v>
      </c>
      <c r="O1290">
        <v>7</v>
      </c>
      <c r="P1290" t="s">
        <v>1556</v>
      </c>
      <c r="Q1290" t="s">
        <v>1554</v>
      </c>
      <c r="R1290" t="s">
        <v>1550</v>
      </c>
      <c r="S1290" t="s">
        <v>1533</v>
      </c>
      <c r="T1290" t="s">
        <v>1540</v>
      </c>
      <c r="U1290" t="s">
        <v>1546</v>
      </c>
      <c r="V1290" t="s">
        <v>1559</v>
      </c>
      <c r="W1290" t="s">
        <v>1563</v>
      </c>
      <c r="X1290" t="s">
        <v>1576</v>
      </c>
      <c r="Y1290" t="s">
        <v>1584</v>
      </c>
      <c r="Z1290" t="s">
        <v>1594</v>
      </c>
      <c r="AA1290" t="s">
        <v>1598</v>
      </c>
      <c r="AB1290" t="s">
        <v>1601</v>
      </c>
      <c r="AC1290" t="s">
        <v>1610</v>
      </c>
      <c r="AD1290" t="s">
        <v>1606</v>
      </c>
      <c r="AE1290" t="s">
        <v>1617</v>
      </c>
      <c r="AF1290" t="s">
        <v>1627</v>
      </c>
    </row>
    <row r="1291" spans="1:32" x14ac:dyDescent="0.25">
      <c r="A1291" t="s">
        <v>1348</v>
      </c>
      <c r="B1291">
        <v>38</v>
      </c>
      <c r="C1291">
        <v>1336</v>
      </c>
      <c r="D1291">
        <v>2</v>
      </c>
      <c r="E1291">
        <v>100</v>
      </c>
      <c r="F1291">
        <v>2592</v>
      </c>
      <c r="G1291">
        <v>7129</v>
      </c>
      <c r="H1291">
        <v>5</v>
      </c>
      <c r="I1291">
        <v>13</v>
      </c>
      <c r="J1291">
        <v>13</v>
      </c>
      <c r="K1291">
        <v>3</v>
      </c>
      <c r="L1291">
        <v>11</v>
      </c>
      <c r="M1291">
        <v>10</v>
      </c>
      <c r="N1291">
        <v>3</v>
      </c>
      <c r="O1291">
        <v>8</v>
      </c>
      <c r="P1291" t="s">
        <v>1556</v>
      </c>
      <c r="Q1291" t="s">
        <v>1554</v>
      </c>
      <c r="R1291" t="s">
        <v>1551</v>
      </c>
      <c r="S1291" t="s">
        <v>1534</v>
      </c>
      <c r="T1291" t="s">
        <v>1543</v>
      </c>
      <c r="U1291" t="s">
        <v>1545</v>
      </c>
      <c r="V1291" t="s">
        <v>1559</v>
      </c>
      <c r="W1291" t="s">
        <v>1563</v>
      </c>
      <c r="X1291" t="s">
        <v>1575</v>
      </c>
      <c r="Y1291" t="s">
        <v>1589</v>
      </c>
      <c r="Z1291" t="s">
        <v>1592</v>
      </c>
      <c r="AA1291" t="s">
        <v>1598</v>
      </c>
      <c r="AB1291" t="s">
        <v>1601</v>
      </c>
      <c r="AC1291" t="s">
        <v>1610</v>
      </c>
      <c r="AD1291" t="s">
        <v>1607</v>
      </c>
      <c r="AE1291" t="s">
        <v>1619</v>
      </c>
      <c r="AF1291" t="s">
        <v>1627</v>
      </c>
    </row>
    <row r="1292" spans="1:32" x14ac:dyDescent="0.25">
      <c r="A1292" t="s">
        <v>1349</v>
      </c>
      <c r="B1292">
        <v>34</v>
      </c>
      <c r="C1292">
        <v>234</v>
      </c>
      <c r="D1292">
        <v>9</v>
      </c>
      <c r="E1292">
        <v>93</v>
      </c>
      <c r="F1292">
        <v>5346</v>
      </c>
      <c r="G1292">
        <v>6208</v>
      </c>
      <c r="H1292">
        <v>4</v>
      </c>
      <c r="I1292">
        <v>17</v>
      </c>
      <c r="J1292">
        <v>11</v>
      </c>
      <c r="K1292">
        <v>3</v>
      </c>
      <c r="L1292">
        <v>7</v>
      </c>
      <c r="M1292">
        <v>1</v>
      </c>
      <c r="N1292">
        <v>0</v>
      </c>
      <c r="O1292">
        <v>7</v>
      </c>
      <c r="P1292" t="s">
        <v>1555</v>
      </c>
      <c r="Q1292" t="s">
        <v>1553</v>
      </c>
      <c r="R1292" t="s">
        <v>1550</v>
      </c>
      <c r="S1292" t="s">
        <v>1535</v>
      </c>
      <c r="T1292" t="s">
        <v>1538</v>
      </c>
      <c r="U1292" t="s">
        <v>1548</v>
      </c>
      <c r="V1292" t="s">
        <v>1559</v>
      </c>
      <c r="W1292" t="s">
        <v>1563</v>
      </c>
      <c r="X1292" t="s">
        <v>1576</v>
      </c>
      <c r="Y1292" t="s">
        <v>1583</v>
      </c>
      <c r="Z1292" t="s">
        <v>1591</v>
      </c>
      <c r="AA1292" t="s">
        <v>1597</v>
      </c>
      <c r="AB1292" t="s">
        <v>1601</v>
      </c>
      <c r="AC1292" t="s">
        <v>1610</v>
      </c>
      <c r="AD1292" t="s">
        <v>1606</v>
      </c>
      <c r="AE1292" t="s">
        <v>1617</v>
      </c>
      <c r="AF1292" t="s">
        <v>1626</v>
      </c>
    </row>
    <row r="1293" spans="1:32" x14ac:dyDescent="0.25">
      <c r="A1293" t="s">
        <v>1350</v>
      </c>
      <c r="B1293">
        <v>37</v>
      </c>
      <c r="C1293">
        <v>370</v>
      </c>
      <c r="D1293">
        <v>10</v>
      </c>
      <c r="E1293">
        <v>58</v>
      </c>
      <c r="F1293">
        <v>4213</v>
      </c>
      <c r="G1293">
        <v>4992</v>
      </c>
      <c r="H1293">
        <v>1</v>
      </c>
      <c r="I1293">
        <v>15</v>
      </c>
      <c r="J1293">
        <v>10</v>
      </c>
      <c r="K1293">
        <v>4</v>
      </c>
      <c r="L1293">
        <v>10</v>
      </c>
      <c r="M1293">
        <v>3</v>
      </c>
      <c r="N1293">
        <v>0</v>
      </c>
      <c r="O1293">
        <v>8</v>
      </c>
      <c r="P1293" t="s">
        <v>1555</v>
      </c>
      <c r="Q1293" t="s">
        <v>1552</v>
      </c>
      <c r="R1293" t="s">
        <v>1550</v>
      </c>
      <c r="S1293" t="s">
        <v>1535</v>
      </c>
      <c r="T1293" t="s">
        <v>1540</v>
      </c>
      <c r="U1293" t="s">
        <v>1548</v>
      </c>
      <c r="V1293" t="s">
        <v>1559</v>
      </c>
      <c r="W1293" t="s">
        <v>1563</v>
      </c>
      <c r="X1293" t="s">
        <v>1576</v>
      </c>
      <c r="Y1293" t="s">
        <v>1584</v>
      </c>
      <c r="Z1293" t="s">
        <v>1591</v>
      </c>
      <c r="AA1293" t="s">
        <v>1596</v>
      </c>
      <c r="AB1293" t="s">
        <v>1601</v>
      </c>
      <c r="AC1293" t="s">
        <v>1610</v>
      </c>
      <c r="AD1293" t="s">
        <v>1605</v>
      </c>
      <c r="AE1293" t="s">
        <v>1616</v>
      </c>
      <c r="AF1293" t="s">
        <v>1625</v>
      </c>
    </row>
    <row r="1294" spans="1:32" x14ac:dyDescent="0.25">
      <c r="A1294" t="s">
        <v>1351</v>
      </c>
      <c r="B1294">
        <v>39</v>
      </c>
      <c r="C1294">
        <v>766</v>
      </c>
      <c r="D1294">
        <v>20</v>
      </c>
      <c r="E1294">
        <v>83</v>
      </c>
      <c r="F1294">
        <v>4127</v>
      </c>
      <c r="G1294">
        <v>19188</v>
      </c>
      <c r="H1294">
        <v>2</v>
      </c>
      <c r="I1294">
        <v>18</v>
      </c>
      <c r="J1294">
        <v>7</v>
      </c>
      <c r="K1294">
        <v>6</v>
      </c>
      <c r="L1294">
        <v>2</v>
      </c>
      <c r="M1294">
        <v>1</v>
      </c>
      <c r="N1294">
        <v>2</v>
      </c>
      <c r="O1294">
        <v>2</v>
      </c>
      <c r="P1294" t="s">
        <v>1556</v>
      </c>
      <c r="Q1294" t="s">
        <v>1553</v>
      </c>
      <c r="R1294" t="s">
        <v>1549</v>
      </c>
      <c r="S1294" t="s">
        <v>1534</v>
      </c>
      <c r="T1294" t="s">
        <v>1538</v>
      </c>
      <c r="U1294" t="s">
        <v>1547</v>
      </c>
      <c r="V1294" t="s">
        <v>1559</v>
      </c>
      <c r="W1294" t="s">
        <v>1563</v>
      </c>
      <c r="X1294" t="s">
        <v>1576</v>
      </c>
      <c r="Y1294" t="s">
        <v>1581</v>
      </c>
      <c r="Z1294" t="s">
        <v>1594</v>
      </c>
      <c r="AA1294" t="s">
        <v>1598</v>
      </c>
      <c r="AB1294" t="s">
        <v>1601</v>
      </c>
      <c r="AC1294" t="s">
        <v>1610</v>
      </c>
      <c r="AD1294" t="s">
        <v>1607</v>
      </c>
      <c r="AE1294" t="s">
        <v>1617</v>
      </c>
      <c r="AF1294" t="s">
        <v>1627</v>
      </c>
    </row>
    <row r="1295" spans="1:32" x14ac:dyDescent="0.25">
      <c r="A1295" t="s">
        <v>1352</v>
      </c>
      <c r="B1295">
        <v>43</v>
      </c>
      <c r="C1295">
        <v>343</v>
      </c>
      <c r="D1295">
        <v>9</v>
      </c>
      <c r="E1295">
        <v>52</v>
      </c>
      <c r="F1295">
        <v>2438</v>
      </c>
      <c r="G1295">
        <v>24978</v>
      </c>
      <c r="H1295">
        <v>4</v>
      </c>
      <c r="I1295">
        <v>13</v>
      </c>
      <c r="J1295">
        <v>7</v>
      </c>
      <c r="K1295">
        <v>2</v>
      </c>
      <c r="L1295">
        <v>3</v>
      </c>
      <c r="M1295">
        <v>2</v>
      </c>
      <c r="N1295">
        <v>1</v>
      </c>
      <c r="O1295">
        <v>2</v>
      </c>
      <c r="P1295" t="s">
        <v>1556</v>
      </c>
      <c r="Q1295" t="s">
        <v>1554</v>
      </c>
      <c r="R1295" t="s">
        <v>1550</v>
      </c>
      <c r="S1295" t="s">
        <v>1534</v>
      </c>
      <c r="T1295" t="s">
        <v>1538</v>
      </c>
      <c r="U1295" t="s">
        <v>1545</v>
      </c>
      <c r="V1295" t="s">
        <v>1559</v>
      </c>
      <c r="W1295" t="s">
        <v>1563</v>
      </c>
      <c r="X1295" t="s">
        <v>1575</v>
      </c>
      <c r="Y1295" t="s">
        <v>1582</v>
      </c>
      <c r="Z1295" t="s">
        <v>1593</v>
      </c>
      <c r="AA1295" t="s">
        <v>1596</v>
      </c>
      <c r="AB1295" t="s">
        <v>1601</v>
      </c>
      <c r="AC1295" t="s">
        <v>1610</v>
      </c>
      <c r="AD1295" t="s">
        <v>1606</v>
      </c>
      <c r="AE1295" t="s">
        <v>1616</v>
      </c>
      <c r="AF1295" t="s">
        <v>1626</v>
      </c>
    </row>
    <row r="1296" spans="1:32" x14ac:dyDescent="0.25">
      <c r="A1296" t="s">
        <v>1353</v>
      </c>
      <c r="B1296">
        <v>41</v>
      </c>
      <c r="C1296">
        <v>447</v>
      </c>
      <c r="D1296">
        <v>5</v>
      </c>
      <c r="E1296">
        <v>85</v>
      </c>
      <c r="F1296">
        <v>6870</v>
      </c>
      <c r="G1296">
        <v>15530</v>
      </c>
      <c r="H1296">
        <v>3</v>
      </c>
      <c r="I1296">
        <v>12</v>
      </c>
      <c r="J1296">
        <v>11</v>
      </c>
      <c r="K1296">
        <v>3</v>
      </c>
      <c r="L1296">
        <v>3</v>
      </c>
      <c r="M1296">
        <v>2</v>
      </c>
      <c r="N1296">
        <v>1</v>
      </c>
      <c r="O1296">
        <v>2</v>
      </c>
      <c r="P1296" t="s">
        <v>1556</v>
      </c>
      <c r="Q1296" t="s">
        <v>1552</v>
      </c>
      <c r="R1296" t="s">
        <v>1550</v>
      </c>
      <c r="S1296" t="s">
        <v>1534</v>
      </c>
      <c r="T1296" t="s">
        <v>1538</v>
      </c>
      <c r="U1296" t="s">
        <v>1546</v>
      </c>
      <c r="V1296" t="s">
        <v>1559</v>
      </c>
      <c r="W1296" t="s">
        <v>1564</v>
      </c>
      <c r="X1296" t="s">
        <v>1576</v>
      </c>
      <c r="Y1296" t="s">
        <v>1585</v>
      </c>
      <c r="Z1296" t="s">
        <v>1592</v>
      </c>
      <c r="AA1296" t="s">
        <v>1596</v>
      </c>
      <c r="AB1296" t="s">
        <v>1601</v>
      </c>
      <c r="AC1296" t="s">
        <v>1610</v>
      </c>
      <c r="AD1296" t="s">
        <v>1604</v>
      </c>
      <c r="AE1296" t="s">
        <v>1616</v>
      </c>
      <c r="AF1296" t="s">
        <v>1625</v>
      </c>
    </row>
    <row r="1297" spans="1:32" x14ac:dyDescent="0.25">
      <c r="A1297" t="s">
        <v>1354</v>
      </c>
      <c r="B1297">
        <v>41</v>
      </c>
      <c r="C1297">
        <v>796</v>
      </c>
      <c r="D1297">
        <v>4</v>
      </c>
      <c r="E1297">
        <v>81</v>
      </c>
      <c r="F1297">
        <v>10447</v>
      </c>
      <c r="G1297">
        <v>26458</v>
      </c>
      <c r="H1297">
        <v>0</v>
      </c>
      <c r="I1297">
        <v>13</v>
      </c>
      <c r="J1297">
        <v>23</v>
      </c>
      <c r="K1297">
        <v>3</v>
      </c>
      <c r="L1297">
        <v>22</v>
      </c>
      <c r="M1297">
        <v>14</v>
      </c>
      <c r="N1297">
        <v>13</v>
      </c>
      <c r="O1297">
        <v>5</v>
      </c>
      <c r="P1297" t="s">
        <v>1556</v>
      </c>
      <c r="Q1297" t="s">
        <v>1552</v>
      </c>
      <c r="R1297" t="s">
        <v>1549</v>
      </c>
      <c r="S1297" t="s">
        <v>1532</v>
      </c>
      <c r="T1297" t="s">
        <v>1541</v>
      </c>
      <c r="U1297" t="s">
        <v>1547</v>
      </c>
      <c r="V1297" t="s">
        <v>1558</v>
      </c>
      <c r="W1297" t="s">
        <v>1563</v>
      </c>
      <c r="X1297" t="s">
        <v>1577</v>
      </c>
      <c r="Y1297" t="s">
        <v>1581</v>
      </c>
      <c r="Z1297" t="s">
        <v>1593</v>
      </c>
      <c r="AA1297" t="s">
        <v>1598</v>
      </c>
      <c r="AB1297" t="s">
        <v>1600</v>
      </c>
      <c r="AC1297" t="s">
        <v>1610</v>
      </c>
      <c r="AD1297" t="s">
        <v>1607</v>
      </c>
      <c r="AE1297" t="s">
        <v>1617</v>
      </c>
      <c r="AF1297" t="s">
        <v>1628</v>
      </c>
    </row>
    <row r="1298" spans="1:32" x14ac:dyDescent="0.25">
      <c r="A1298" t="s">
        <v>1355</v>
      </c>
      <c r="B1298">
        <v>30</v>
      </c>
      <c r="C1298">
        <v>1092</v>
      </c>
      <c r="D1298">
        <v>10</v>
      </c>
      <c r="E1298">
        <v>64</v>
      </c>
      <c r="F1298">
        <v>9667</v>
      </c>
      <c r="G1298">
        <v>2739</v>
      </c>
      <c r="H1298">
        <v>9</v>
      </c>
      <c r="I1298">
        <v>14</v>
      </c>
      <c r="J1298">
        <v>9</v>
      </c>
      <c r="K1298">
        <v>3</v>
      </c>
      <c r="L1298">
        <v>7</v>
      </c>
      <c r="M1298">
        <v>7</v>
      </c>
      <c r="N1298">
        <v>0</v>
      </c>
      <c r="O1298">
        <v>2</v>
      </c>
      <c r="P1298" t="s">
        <v>1556</v>
      </c>
      <c r="Q1298" t="s">
        <v>1552</v>
      </c>
      <c r="R1298" t="s">
        <v>1550</v>
      </c>
      <c r="S1298" t="s">
        <v>1534</v>
      </c>
      <c r="T1298" t="s">
        <v>1540</v>
      </c>
      <c r="U1298" t="s">
        <v>1545</v>
      </c>
      <c r="V1298" t="s">
        <v>1558</v>
      </c>
      <c r="W1298" t="s">
        <v>1563</v>
      </c>
      <c r="X1298" t="s">
        <v>1577</v>
      </c>
      <c r="Y1298" t="s">
        <v>1584</v>
      </c>
      <c r="Z1298" t="s">
        <v>1593</v>
      </c>
      <c r="AA1298" t="s">
        <v>1596</v>
      </c>
      <c r="AB1298" t="s">
        <v>1601</v>
      </c>
      <c r="AC1298" t="s">
        <v>1610</v>
      </c>
      <c r="AD1298" t="s">
        <v>1605</v>
      </c>
      <c r="AE1298" t="s">
        <v>1616</v>
      </c>
      <c r="AF1298" t="s">
        <v>1627</v>
      </c>
    </row>
    <row r="1299" spans="1:32" x14ac:dyDescent="0.25">
      <c r="A1299" t="s">
        <v>1356</v>
      </c>
      <c r="B1299">
        <v>26</v>
      </c>
      <c r="C1299">
        <v>920</v>
      </c>
      <c r="D1299">
        <v>20</v>
      </c>
      <c r="E1299">
        <v>69</v>
      </c>
      <c r="F1299">
        <v>2148</v>
      </c>
      <c r="G1299">
        <v>6889</v>
      </c>
      <c r="H1299">
        <v>0</v>
      </c>
      <c r="I1299">
        <v>11</v>
      </c>
      <c r="J1299">
        <v>6</v>
      </c>
      <c r="K1299">
        <v>3</v>
      </c>
      <c r="L1299">
        <v>5</v>
      </c>
      <c r="M1299">
        <v>1</v>
      </c>
      <c r="N1299">
        <v>1</v>
      </c>
      <c r="O1299">
        <v>4</v>
      </c>
      <c r="P1299" t="s">
        <v>1555</v>
      </c>
      <c r="Q1299" t="s">
        <v>1552</v>
      </c>
      <c r="R1299" t="s">
        <v>1551</v>
      </c>
      <c r="S1299" t="s">
        <v>1533</v>
      </c>
      <c r="T1299" t="s">
        <v>1540</v>
      </c>
      <c r="U1299" t="s">
        <v>1548</v>
      </c>
      <c r="V1299" t="s">
        <v>1558</v>
      </c>
      <c r="W1299" t="s">
        <v>1563</v>
      </c>
      <c r="X1299" t="s">
        <v>1575</v>
      </c>
      <c r="Y1299" t="s">
        <v>1589</v>
      </c>
      <c r="Z1299" t="s">
        <v>1592</v>
      </c>
      <c r="AA1299" t="s">
        <v>1597</v>
      </c>
      <c r="AB1299" t="s">
        <v>1600</v>
      </c>
      <c r="AC1299" t="s">
        <v>1610</v>
      </c>
      <c r="AD1299" t="s">
        <v>1606</v>
      </c>
      <c r="AE1299" t="s">
        <v>1616</v>
      </c>
      <c r="AF1299" t="s">
        <v>1627</v>
      </c>
    </row>
    <row r="1300" spans="1:32" x14ac:dyDescent="0.25">
      <c r="A1300" t="s">
        <v>1357</v>
      </c>
      <c r="B1300">
        <v>46</v>
      </c>
      <c r="C1300">
        <v>261</v>
      </c>
      <c r="D1300">
        <v>21</v>
      </c>
      <c r="E1300">
        <v>66</v>
      </c>
      <c r="F1300">
        <v>8926</v>
      </c>
      <c r="G1300">
        <v>10842</v>
      </c>
      <c r="H1300">
        <v>4</v>
      </c>
      <c r="I1300">
        <v>22</v>
      </c>
      <c r="J1300">
        <v>13</v>
      </c>
      <c r="K1300">
        <v>2</v>
      </c>
      <c r="L1300">
        <v>9</v>
      </c>
      <c r="M1300">
        <v>7</v>
      </c>
      <c r="N1300">
        <v>3</v>
      </c>
      <c r="O1300">
        <v>7</v>
      </c>
      <c r="P1300" t="s">
        <v>1555</v>
      </c>
      <c r="Q1300" t="s">
        <v>1552</v>
      </c>
      <c r="R1300" t="s">
        <v>1550</v>
      </c>
      <c r="S1300" t="s">
        <v>1533</v>
      </c>
      <c r="T1300" t="s">
        <v>1540</v>
      </c>
      <c r="U1300" t="s">
        <v>1548</v>
      </c>
      <c r="V1300" t="s">
        <v>1558</v>
      </c>
      <c r="W1300" t="s">
        <v>1563</v>
      </c>
      <c r="X1300" t="s">
        <v>1576</v>
      </c>
      <c r="Y1300" t="s">
        <v>1585</v>
      </c>
      <c r="Z1300" t="s">
        <v>1592</v>
      </c>
      <c r="AA1300" t="s">
        <v>1597</v>
      </c>
      <c r="AB1300" t="s">
        <v>1601</v>
      </c>
      <c r="AC1300" t="s">
        <v>1611</v>
      </c>
      <c r="AD1300" t="s">
        <v>1607</v>
      </c>
      <c r="AE1300" t="s">
        <v>1617</v>
      </c>
      <c r="AF1300" t="s">
        <v>1628</v>
      </c>
    </row>
    <row r="1301" spans="1:32" x14ac:dyDescent="0.25">
      <c r="A1301" t="s">
        <v>1358</v>
      </c>
      <c r="B1301">
        <v>40</v>
      </c>
      <c r="C1301">
        <v>1194</v>
      </c>
      <c r="D1301">
        <v>1</v>
      </c>
      <c r="E1301">
        <v>52</v>
      </c>
      <c r="F1301">
        <v>6513</v>
      </c>
      <c r="G1301">
        <v>9060</v>
      </c>
      <c r="H1301">
        <v>4</v>
      </c>
      <c r="I1301">
        <v>17</v>
      </c>
      <c r="J1301">
        <v>12</v>
      </c>
      <c r="K1301">
        <v>3</v>
      </c>
      <c r="L1301">
        <v>5</v>
      </c>
      <c r="M1301">
        <v>3</v>
      </c>
      <c r="N1301">
        <v>0</v>
      </c>
      <c r="O1301">
        <v>3</v>
      </c>
      <c r="P1301" t="s">
        <v>1556</v>
      </c>
      <c r="Q1301" t="s">
        <v>1552</v>
      </c>
      <c r="R1301" t="s">
        <v>1550</v>
      </c>
      <c r="S1301" t="s">
        <v>1534</v>
      </c>
      <c r="T1301" t="s">
        <v>1538</v>
      </c>
      <c r="U1301" t="s">
        <v>1547</v>
      </c>
      <c r="V1301" t="s">
        <v>1558</v>
      </c>
      <c r="W1301" t="s">
        <v>1563</v>
      </c>
      <c r="X1301" t="s">
        <v>1576</v>
      </c>
      <c r="Y1301" t="s">
        <v>1585</v>
      </c>
      <c r="Z1301" t="s">
        <v>1594</v>
      </c>
      <c r="AA1301" t="s">
        <v>1598</v>
      </c>
      <c r="AB1301" t="s">
        <v>1601</v>
      </c>
      <c r="AC1301" t="s">
        <v>1610</v>
      </c>
      <c r="AD1301" t="s">
        <v>1607</v>
      </c>
      <c r="AE1301" t="s">
        <v>1617</v>
      </c>
      <c r="AF1301" t="s">
        <v>1627</v>
      </c>
    </row>
    <row r="1302" spans="1:32" x14ac:dyDescent="0.25">
      <c r="A1302" t="s">
        <v>1359</v>
      </c>
      <c r="B1302">
        <v>34</v>
      </c>
      <c r="C1302">
        <v>810</v>
      </c>
      <c r="D1302">
        <v>8</v>
      </c>
      <c r="E1302">
        <v>92</v>
      </c>
      <c r="F1302">
        <v>6799</v>
      </c>
      <c r="G1302">
        <v>22128</v>
      </c>
      <c r="H1302">
        <v>1</v>
      </c>
      <c r="I1302">
        <v>21</v>
      </c>
      <c r="J1302">
        <v>10</v>
      </c>
      <c r="K1302">
        <v>5</v>
      </c>
      <c r="L1302">
        <v>10</v>
      </c>
      <c r="M1302">
        <v>8</v>
      </c>
      <c r="N1302">
        <v>4</v>
      </c>
      <c r="O1302">
        <v>8</v>
      </c>
      <c r="P1302" t="s">
        <v>1556</v>
      </c>
      <c r="Q1302" t="s">
        <v>1552</v>
      </c>
      <c r="R1302" t="s">
        <v>1549</v>
      </c>
      <c r="S1302" t="s">
        <v>1533</v>
      </c>
      <c r="T1302" t="s">
        <v>1542</v>
      </c>
      <c r="U1302" t="s">
        <v>1546</v>
      </c>
      <c r="V1302" t="s">
        <v>1559</v>
      </c>
      <c r="W1302" t="s">
        <v>1564</v>
      </c>
      <c r="X1302" t="s">
        <v>1576</v>
      </c>
      <c r="Y1302" t="s">
        <v>1581</v>
      </c>
      <c r="Z1302" t="s">
        <v>1593</v>
      </c>
      <c r="AA1302" t="s">
        <v>1597</v>
      </c>
      <c r="AB1302" t="s">
        <v>1601</v>
      </c>
      <c r="AC1302" t="s">
        <v>1611</v>
      </c>
      <c r="AD1302" t="s">
        <v>1606</v>
      </c>
      <c r="AE1302" t="s">
        <v>1618</v>
      </c>
      <c r="AF1302" t="s">
        <v>1627</v>
      </c>
    </row>
    <row r="1303" spans="1:32" x14ac:dyDescent="0.25">
      <c r="A1303" t="s">
        <v>1360</v>
      </c>
      <c r="B1303">
        <v>58</v>
      </c>
      <c r="C1303">
        <v>350</v>
      </c>
      <c r="D1303">
        <v>2</v>
      </c>
      <c r="E1303">
        <v>52</v>
      </c>
      <c r="F1303">
        <v>16291</v>
      </c>
      <c r="G1303">
        <v>22577</v>
      </c>
      <c r="H1303">
        <v>4</v>
      </c>
      <c r="I1303">
        <v>22</v>
      </c>
      <c r="J1303">
        <v>37</v>
      </c>
      <c r="K1303">
        <v>0</v>
      </c>
      <c r="L1303">
        <v>16</v>
      </c>
      <c r="M1303">
        <v>9</v>
      </c>
      <c r="N1303">
        <v>14</v>
      </c>
      <c r="O1303">
        <v>14</v>
      </c>
      <c r="P1303" t="s">
        <v>1556</v>
      </c>
      <c r="Q1303" t="s">
        <v>1554</v>
      </c>
      <c r="R1303" t="s">
        <v>1549</v>
      </c>
      <c r="S1303" t="s">
        <v>1534</v>
      </c>
      <c r="T1303" t="s">
        <v>1540</v>
      </c>
      <c r="U1303" t="s">
        <v>1546</v>
      </c>
      <c r="V1303" t="s">
        <v>1559</v>
      </c>
      <c r="W1303" t="s">
        <v>1563</v>
      </c>
      <c r="X1303" t="s">
        <v>1578</v>
      </c>
      <c r="Y1303" t="s">
        <v>1586</v>
      </c>
      <c r="Z1303" t="s">
        <v>1592</v>
      </c>
      <c r="AA1303" t="s">
        <v>1598</v>
      </c>
      <c r="AB1303" t="s">
        <v>1601</v>
      </c>
      <c r="AC1303" t="s">
        <v>1611</v>
      </c>
      <c r="AD1303" t="s">
        <v>1607</v>
      </c>
      <c r="AE1303" t="s">
        <v>1617</v>
      </c>
      <c r="AF1303" t="s">
        <v>1626</v>
      </c>
    </row>
    <row r="1304" spans="1:32" x14ac:dyDescent="0.25">
      <c r="A1304" t="s">
        <v>1361</v>
      </c>
      <c r="B1304">
        <v>35</v>
      </c>
      <c r="C1304">
        <v>185</v>
      </c>
      <c r="D1304">
        <v>23</v>
      </c>
      <c r="E1304">
        <v>91</v>
      </c>
      <c r="F1304">
        <v>2705</v>
      </c>
      <c r="G1304">
        <v>9696</v>
      </c>
      <c r="H1304">
        <v>0</v>
      </c>
      <c r="I1304">
        <v>16</v>
      </c>
      <c r="J1304">
        <v>6</v>
      </c>
      <c r="K1304">
        <v>2</v>
      </c>
      <c r="L1304">
        <v>5</v>
      </c>
      <c r="M1304">
        <v>4</v>
      </c>
      <c r="N1304">
        <v>0</v>
      </c>
      <c r="O1304">
        <v>3</v>
      </c>
      <c r="P1304" t="s">
        <v>1556</v>
      </c>
      <c r="Q1304" t="s">
        <v>1552</v>
      </c>
      <c r="R1304" t="s">
        <v>1550</v>
      </c>
      <c r="S1304" t="s">
        <v>1535</v>
      </c>
      <c r="T1304" t="s">
        <v>1540</v>
      </c>
      <c r="U1304" t="s">
        <v>1546</v>
      </c>
      <c r="V1304" t="s">
        <v>1559</v>
      </c>
      <c r="W1304" t="s">
        <v>1561</v>
      </c>
      <c r="X1304" t="s">
        <v>1575</v>
      </c>
      <c r="Y1304" t="s">
        <v>1583</v>
      </c>
      <c r="Z1304" t="s">
        <v>1593</v>
      </c>
      <c r="AA1304" t="s">
        <v>1597</v>
      </c>
      <c r="AB1304" t="s">
        <v>1601</v>
      </c>
      <c r="AC1304" t="s">
        <v>1610</v>
      </c>
      <c r="AD1304" t="s">
        <v>1605</v>
      </c>
      <c r="AE1304" t="s">
        <v>1617</v>
      </c>
      <c r="AF1304" t="s">
        <v>1628</v>
      </c>
    </row>
    <row r="1305" spans="1:32" x14ac:dyDescent="0.25">
      <c r="A1305" t="s">
        <v>1362</v>
      </c>
      <c r="B1305">
        <v>47</v>
      </c>
      <c r="C1305">
        <v>1001</v>
      </c>
      <c r="D1305">
        <v>4</v>
      </c>
      <c r="E1305">
        <v>92</v>
      </c>
      <c r="F1305">
        <v>10333</v>
      </c>
      <c r="G1305">
        <v>19271</v>
      </c>
      <c r="H1305">
        <v>8</v>
      </c>
      <c r="I1305">
        <v>12</v>
      </c>
      <c r="J1305">
        <v>28</v>
      </c>
      <c r="K1305">
        <v>4</v>
      </c>
      <c r="L1305">
        <v>22</v>
      </c>
      <c r="M1305">
        <v>11</v>
      </c>
      <c r="N1305">
        <v>14</v>
      </c>
      <c r="O1305">
        <v>10</v>
      </c>
      <c r="P1305" t="s">
        <v>1556</v>
      </c>
      <c r="Q1305" t="s">
        <v>1552</v>
      </c>
      <c r="R1305" t="s">
        <v>1550</v>
      </c>
      <c r="S1305" t="s">
        <v>1534</v>
      </c>
      <c r="T1305" t="s">
        <v>1538</v>
      </c>
      <c r="U1305" t="s">
        <v>1547</v>
      </c>
      <c r="V1305" t="s">
        <v>1558</v>
      </c>
      <c r="W1305" t="s">
        <v>1562</v>
      </c>
      <c r="X1305" t="s">
        <v>1577</v>
      </c>
      <c r="Y1305" t="s">
        <v>1584</v>
      </c>
      <c r="Z1305" t="s">
        <v>1592</v>
      </c>
      <c r="AA1305" t="s">
        <v>1598</v>
      </c>
      <c r="AB1305" t="s">
        <v>1600</v>
      </c>
      <c r="AC1305" t="s">
        <v>1610</v>
      </c>
      <c r="AD1305" t="s">
        <v>1606</v>
      </c>
      <c r="AE1305" t="s">
        <v>1617</v>
      </c>
      <c r="AF1305" t="s">
        <v>1627</v>
      </c>
    </row>
    <row r="1306" spans="1:32" x14ac:dyDescent="0.25">
      <c r="A1306" t="s">
        <v>1363</v>
      </c>
      <c r="B1306">
        <v>40</v>
      </c>
      <c r="C1306">
        <v>750</v>
      </c>
      <c r="D1306">
        <v>12</v>
      </c>
      <c r="E1306">
        <v>47</v>
      </c>
      <c r="F1306">
        <v>4448</v>
      </c>
      <c r="G1306">
        <v>10748</v>
      </c>
      <c r="H1306">
        <v>2</v>
      </c>
      <c r="I1306">
        <v>12</v>
      </c>
      <c r="J1306">
        <v>15</v>
      </c>
      <c r="K1306">
        <v>3</v>
      </c>
      <c r="L1306">
        <v>7</v>
      </c>
      <c r="M1306">
        <v>4</v>
      </c>
      <c r="N1306">
        <v>7</v>
      </c>
      <c r="O1306">
        <v>7</v>
      </c>
      <c r="P1306" t="s">
        <v>1556</v>
      </c>
      <c r="Q1306" t="s">
        <v>1552</v>
      </c>
      <c r="R1306" t="s">
        <v>1550</v>
      </c>
      <c r="S1306" t="s">
        <v>1534</v>
      </c>
      <c r="T1306" t="s">
        <v>1538</v>
      </c>
      <c r="U1306" t="s">
        <v>1546</v>
      </c>
      <c r="V1306" t="s">
        <v>1558</v>
      </c>
      <c r="W1306" t="s">
        <v>1563</v>
      </c>
      <c r="X1306" t="s">
        <v>1576</v>
      </c>
      <c r="Y1306" t="s">
        <v>1585</v>
      </c>
      <c r="Z1306" t="s">
        <v>1591</v>
      </c>
      <c r="AA1306" t="s">
        <v>1598</v>
      </c>
      <c r="AB1306" t="s">
        <v>1601</v>
      </c>
      <c r="AC1306" t="s">
        <v>1610</v>
      </c>
      <c r="AD1306" t="s">
        <v>1605</v>
      </c>
      <c r="AE1306" t="s">
        <v>1617</v>
      </c>
      <c r="AF1306" t="s">
        <v>1627</v>
      </c>
    </row>
    <row r="1307" spans="1:32" x14ac:dyDescent="0.25">
      <c r="A1307" t="s">
        <v>1364</v>
      </c>
      <c r="B1307">
        <v>54</v>
      </c>
      <c r="C1307">
        <v>431</v>
      </c>
      <c r="D1307">
        <v>7</v>
      </c>
      <c r="E1307">
        <v>68</v>
      </c>
      <c r="F1307">
        <v>6854</v>
      </c>
      <c r="G1307">
        <v>15696</v>
      </c>
      <c r="H1307">
        <v>4</v>
      </c>
      <c r="I1307">
        <v>15</v>
      </c>
      <c r="J1307">
        <v>14</v>
      </c>
      <c r="K1307">
        <v>2</v>
      </c>
      <c r="L1307">
        <v>7</v>
      </c>
      <c r="M1307">
        <v>1</v>
      </c>
      <c r="N1307">
        <v>1</v>
      </c>
      <c r="O1307">
        <v>7</v>
      </c>
      <c r="P1307" t="s">
        <v>1556</v>
      </c>
      <c r="Q1307" t="s">
        <v>1552</v>
      </c>
      <c r="R1307" t="s">
        <v>1550</v>
      </c>
      <c r="S1307" t="s">
        <v>1535</v>
      </c>
      <c r="T1307" t="s">
        <v>1540</v>
      </c>
      <c r="U1307" t="s">
        <v>1548</v>
      </c>
      <c r="V1307" t="s">
        <v>1558</v>
      </c>
      <c r="W1307" t="s">
        <v>1563</v>
      </c>
      <c r="X1307" t="s">
        <v>1576</v>
      </c>
      <c r="Y1307" t="s">
        <v>1582</v>
      </c>
      <c r="Z1307" t="s">
        <v>1594</v>
      </c>
      <c r="AA1307" t="s">
        <v>1597</v>
      </c>
      <c r="AB1307" t="s">
        <v>1601</v>
      </c>
      <c r="AC1307" t="s">
        <v>1610</v>
      </c>
      <c r="AD1307" t="s">
        <v>1605</v>
      </c>
      <c r="AE1307" t="s">
        <v>1617</v>
      </c>
      <c r="AF1307" t="s">
        <v>1626</v>
      </c>
    </row>
    <row r="1308" spans="1:32" x14ac:dyDescent="0.25">
      <c r="A1308" t="s">
        <v>1365</v>
      </c>
      <c r="B1308">
        <v>31</v>
      </c>
      <c r="C1308">
        <v>1125</v>
      </c>
      <c r="D1308">
        <v>7</v>
      </c>
      <c r="E1308">
        <v>68</v>
      </c>
      <c r="F1308">
        <v>9637</v>
      </c>
      <c r="G1308">
        <v>8277</v>
      </c>
      <c r="H1308">
        <v>2</v>
      </c>
      <c r="I1308">
        <v>14</v>
      </c>
      <c r="J1308">
        <v>9</v>
      </c>
      <c r="K1308">
        <v>3</v>
      </c>
      <c r="L1308">
        <v>3</v>
      </c>
      <c r="M1308">
        <v>2</v>
      </c>
      <c r="N1308">
        <v>2</v>
      </c>
      <c r="O1308">
        <v>2</v>
      </c>
      <c r="P1308" t="s">
        <v>1556</v>
      </c>
      <c r="Q1308" t="s">
        <v>1553</v>
      </c>
      <c r="R1308" t="s">
        <v>1549</v>
      </c>
      <c r="S1308" t="s">
        <v>1535</v>
      </c>
      <c r="T1308" t="s">
        <v>1541</v>
      </c>
      <c r="U1308" t="s">
        <v>1545</v>
      </c>
      <c r="V1308" t="s">
        <v>1558</v>
      </c>
      <c r="W1308" t="s">
        <v>1563</v>
      </c>
      <c r="X1308" t="s">
        <v>1577</v>
      </c>
      <c r="Y1308" t="s">
        <v>1581</v>
      </c>
      <c r="Z1308" t="s">
        <v>1591</v>
      </c>
      <c r="AA1308" t="s">
        <v>1597</v>
      </c>
      <c r="AB1308" t="s">
        <v>1601</v>
      </c>
      <c r="AC1308" t="s">
        <v>1610</v>
      </c>
      <c r="AD1308" t="s">
        <v>1607</v>
      </c>
      <c r="AE1308" t="s">
        <v>1618</v>
      </c>
      <c r="AF1308" t="s">
        <v>1627</v>
      </c>
    </row>
    <row r="1309" spans="1:32" x14ac:dyDescent="0.25">
      <c r="A1309" t="s">
        <v>1366</v>
      </c>
      <c r="B1309">
        <v>28</v>
      </c>
      <c r="C1309">
        <v>1217</v>
      </c>
      <c r="D1309">
        <v>1</v>
      </c>
      <c r="E1309">
        <v>67</v>
      </c>
      <c r="F1309">
        <v>3591</v>
      </c>
      <c r="G1309">
        <v>12719</v>
      </c>
      <c r="H1309">
        <v>1</v>
      </c>
      <c r="I1309">
        <v>25</v>
      </c>
      <c r="J1309">
        <v>3</v>
      </c>
      <c r="K1309">
        <v>3</v>
      </c>
      <c r="L1309">
        <v>3</v>
      </c>
      <c r="M1309">
        <v>2</v>
      </c>
      <c r="N1309">
        <v>1</v>
      </c>
      <c r="O1309">
        <v>2</v>
      </c>
      <c r="P1309" t="s">
        <v>1556</v>
      </c>
      <c r="Q1309" t="s">
        <v>1552</v>
      </c>
      <c r="R1309" t="s">
        <v>1550</v>
      </c>
      <c r="S1309" t="s">
        <v>1534</v>
      </c>
      <c r="T1309" t="s">
        <v>1540</v>
      </c>
      <c r="U1309" t="s">
        <v>1547</v>
      </c>
      <c r="V1309" t="s">
        <v>1558</v>
      </c>
      <c r="W1309" t="s">
        <v>1563</v>
      </c>
      <c r="X1309" t="s">
        <v>1575</v>
      </c>
      <c r="Y1309" t="s">
        <v>1582</v>
      </c>
      <c r="Z1309" t="s">
        <v>1591</v>
      </c>
      <c r="AA1309" t="s">
        <v>1597</v>
      </c>
      <c r="AB1309" t="s">
        <v>1601</v>
      </c>
      <c r="AC1309" t="s">
        <v>1611</v>
      </c>
      <c r="AD1309" t="s">
        <v>1606</v>
      </c>
      <c r="AE1309" t="s">
        <v>1617</v>
      </c>
      <c r="AF1309" t="s">
        <v>1627</v>
      </c>
    </row>
    <row r="1310" spans="1:32" x14ac:dyDescent="0.25">
      <c r="A1310" t="s">
        <v>1367</v>
      </c>
      <c r="B1310">
        <v>38</v>
      </c>
      <c r="C1310">
        <v>723</v>
      </c>
      <c r="D1310">
        <v>2</v>
      </c>
      <c r="E1310">
        <v>77</v>
      </c>
      <c r="F1310">
        <v>5405</v>
      </c>
      <c r="G1310">
        <v>4244</v>
      </c>
      <c r="H1310">
        <v>2</v>
      </c>
      <c r="I1310">
        <v>20</v>
      </c>
      <c r="J1310">
        <v>20</v>
      </c>
      <c r="K1310">
        <v>4</v>
      </c>
      <c r="L1310">
        <v>4</v>
      </c>
      <c r="M1310">
        <v>2</v>
      </c>
      <c r="N1310">
        <v>0</v>
      </c>
      <c r="O1310">
        <v>3</v>
      </c>
      <c r="P1310" t="s">
        <v>1556</v>
      </c>
      <c r="Q1310" t="s">
        <v>1552</v>
      </c>
      <c r="R1310" t="s">
        <v>1549</v>
      </c>
      <c r="S1310" t="s">
        <v>1535</v>
      </c>
      <c r="T1310" t="s">
        <v>1541</v>
      </c>
      <c r="U1310" t="s">
        <v>1546</v>
      </c>
      <c r="V1310" t="s">
        <v>1558</v>
      </c>
      <c r="W1310" t="s">
        <v>1561</v>
      </c>
      <c r="X1310" t="s">
        <v>1576</v>
      </c>
      <c r="Y1310" t="s">
        <v>1587</v>
      </c>
      <c r="Z1310" t="s">
        <v>1594</v>
      </c>
      <c r="AA1310" t="s">
        <v>1597</v>
      </c>
      <c r="AB1310" t="s">
        <v>1600</v>
      </c>
      <c r="AC1310" t="s">
        <v>1611</v>
      </c>
      <c r="AD1310" t="s">
        <v>1604</v>
      </c>
      <c r="AE1310" t="s">
        <v>1618</v>
      </c>
      <c r="AF1310" t="s">
        <v>1626</v>
      </c>
    </row>
    <row r="1311" spans="1:32" x14ac:dyDescent="0.25">
      <c r="A1311" t="s">
        <v>1368</v>
      </c>
      <c r="B1311">
        <v>26</v>
      </c>
      <c r="C1311">
        <v>572</v>
      </c>
      <c r="D1311">
        <v>10</v>
      </c>
      <c r="E1311">
        <v>46</v>
      </c>
      <c r="F1311">
        <v>4684</v>
      </c>
      <c r="G1311">
        <v>9125</v>
      </c>
      <c r="H1311">
        <v>1</v>
      </c>
      <c r="I1311">
        <v>13</v>
      </c>
      <c r="J1311">
        <v>5</v>
      </c>
      <c r="K1311">
        <v>4</v>
      </c>
      <c r="L1311">
        <v>5</v>
      </c>
      <c r="M1311">
        <v>3</v>
      </c>
      <c r="N1311">
        <v>1</v>
      </c>
      <c r="O1311">
        <v>2</v>
      </c>
      <c r="P1311" t="s">
        <v>1556</v>
      </c>
      <c r="Q1311" t="s">
        <v>1552</v>
      </c>
      <c r="R1311" t="s">
        <v>1549</v>
      </c>
      <c r="S1311" t="s">
        <v>1534</v>
      </c>
      <c r="T1311" t="s">
        <v>1540</v>
      </c>
      <c r="U1311" t="s">
        <v>1547</v>
      </c>
      <c r="V1311" t="s">
        <v>1559</v>
      </c>
      <c r="W1311" t="s">
        <v>1563</v>
      </c>
      <c r="X1311" t="s">
        <v>1576</v>
      </c>
      <c r="Y1311" t="s">
        <v>1581</v>
      </c>
      <c r="Z1311" t="s">
        <v>1594</v>
      </c>
      <c r="AA1311" t="s">
        <v>1596</v>
      </c>
      <c r="AB1311" t="s">
        <v>1601</v>
      </c>
      <c r="AC1311" t="s">
        <v>1610</v>
      </c>
      <c r="AD1311" t="s">
        <v>1604</v>
      </c>
      <c r="AE1311" t="s">
        <v>1616</v>
      </c>
      <c r="AF1311" t="s">
        <v>1627</v>
      </c>
    </row>
    <row r="1312" spans="1:32" x14ac:dyDescent="0.25">
      <c r="A1312" t="s">
        <v>1369</v>
      </c>
      <c r="B1312">
        <v>58</v>
      </c>
      <c r="C1312">
        <v>1216</v>
      </c>
      <c r="D1312">
        <v>15</v>
      </c>
      <c r="E1312">
        <v>87</v>
      </c>
      <c r="F1312">
        <v>15787</v>
      </c>
      <c r="G1312">
        <v>21624</v>
      </c>
      <c r="H1312">
        <v>2</v>
      </c>
      <c r="I1312">
        <v>14</v>
      </c>
      <c r="J1312">
        <v>23</v>
      </c>
      <c r="K1312">
        <v>3</v>
      </c>
      <c r="L1312">
        <v>2</v>
      </c>
      <c r="M1312">
        <v>2</v>
      </c>
      <c r="N1312">
        <v>2</v>
      </c>
      <c r="O1312">
        <v>2</v>
      </c>
      <c r="P1312" t="s">
        <v>1556</v>
      </c>
      <c r="Q1312" t="s">
        <v>1553</v>
      </c>
      <c r="R1312" t="s">
        <v>1550</v>
      </c>
      <c r="S1312" t="s">
        <v>1535</v>
      </c>
      <c r="T1312" t="s">
        <v>1538</v>
      </c>
      <c r="U1312" t="s">
        <v>1545</v>
      </c>
      <c r="V1312" t="s">
        <v>1559</v>
      </c>
      <c r="W1312" t="s">
        <v>1563</v>
      </c>
      <c r="X1312" t="s">
        <v>1578</v>
      </c>
      <c r="Y1312" t="s">
        <v>1588</v>
      </c>
      <c r="Z1312" t="s">
        <v>1593</v>
      </c>
      <c r="AA1312" t="s">
        <v>1597</v>
      </c>
      <c r="AB1312" t="s">
        <v>1600</v>
      </c>
      <c r="AC1312" t="s">
        <v>1610</v>
      </c>
      <c r="AD1312" t="s">
        <v>1605</v>
      </c>
      <c r="AE1312" t="s">
        <v>1616</v>
      </c>
      <c r="AF1312" t="s">
        <v>1627</v>
      </c>
    </row>
    <row r="1313" spans="1:32" x14ac:dyDescent="0.25">
      <c r="A1313" t="s">
        <v>1370</v>
      </c>
      <c r="B1313">
        <v>18</v>
      </c>
      <c r="C1313">
        <v>1431</v>
      </c>
      <c r="D1313">
        <v>14</v>
      </c>
      <c r="E1313">
        <v>33</v>
      </c>
      <c r="F1313">
        <v>1514</v>
      </c>
      <c r="G1313">
        <v>8018</v>
      </c>
      <c r="H1313">
        <v>1</v>
      </c>
      <c r="I1313">
        <v>16</v>
      </c>
      <c r="J1313">
        <v>0</v>
      </c>
      <c r="K1313">
        <v>4</v>
      </c>
      <c r="L1313">
        <v>0</v>
      </c>
      <c r="M1313">
        <v>0</v>
      </c>
      <c r="N1313">
        <v>0</v>
      </c>
      <c r="O1313">
        <v>0</v>
      </c>
      <c r="P1313" t="s">
        <v>1556</v>
      </c>
      <c r="Q1313" t="s">
        <v>1554</v>
      </c>
      <c r="R1313" t="s">
        <v>1550</v>
      </c>
      <c r="S1313" t="s">
        <v>1534</v>
      </c>
      <c r="T1313" t="s">
        <v>1540</v>
      </c>
      <c r="U1313" t="s">
        <v>1546</v>
      </c>
      <c r="V1313" t="s">
        <v>1558</v>
      </c>
      <c r="W1313" t="s">
        <v>1563</v>
      </c>
      <c r="X1313" t="s">
        <v>1575</v>
      </c>
      <c r="Y1313" t="s">
        <v>1582</v>
      </c>
      <c r="Z1313" t="s">
        <v>1593</v>
      </c>
      <c r="AA1313" t="s">
        <v>1596</v>
      </c>
      <c r="AB1313" t="s">
        <v>1601</v>
      </c>
      <c r="AC1313" t="s">
        <v>1610</v>
      </c>
      <c r="AD1313" t="s">
        <v>1606</v>
      </c>
      <c r="AE1313" t="s">
        <v>1616</v>
      </c>
      <c r="AF1313" t="s">
        <v>1625</v>
      </c>
    </row>
    <row r="1314" spans="1:32" x14ac:dyDescent="0.25">
      <c r="A1314" t="s">
        <v>1371</v>
      </c>
      <c r="B1314">
        <v>31</v>
      </c>
      <c r="C1314">
        <v>359</v>
      </c>
      <c r="D1314">
        <v>18</v>
      </c>
      <c r="E1314">
        <v>89</v>
      </c>
      <c r="F1314">
        <v>2956</v>
      </c>
      <c r="G1314">
        <v>21495</v>
      </c>
      <c r="H1314">
        <v>0</v>
      </c>
      <c r="I1314">
        <v>17</v>
      </c>
      <c r="J1314">
        <v>2</v>
      </c>
      <c r="K1314">
        <v>4</v>
      </c>
      <c r="L1314">
        <v>1</v>
      </c>
      <c r="M1314">
        <v>0</v>
      </c>
      <c r="N1314">
        <v>0</v>
      </c>
      <c r="O1314">
        <v>0</v>
      </c>
      <c r="P1314" t="s">
        <v>1555</v>
      </c>
      <c r="Q1314" t="s">
        <v>1552</v>
      </c>
      <c r="R1314" t="s">
        <v>1551</v>
      </c>
      <c r="S1314" t="s">
        <v>1536</v>
      </c>
      <c r="T1314" t="s">
        <v>1543</v>
      </c>
      <c r="U1314" t="s">
        <v>1548</v>
      </c>
      <c r="V1314" t="s">
        <v>1559</v>
      </c>
      <c r="W1314" t="s">
        <v>1564</v>
      </c>
      <c r="X1314" t="s">
        <v>1575</v>
      </c>
      <c r="Y1314" t="s">
        <v>1589</v>
      </c>
      <c r="Z1314" t="s">
        <v>1591</v>
      </c>
      <c r="AA1314" t="s">
        <v>1597</v>
      </c>
      <c r="AB1314" t="s">
        <v>1601</v>
      </c>
      <c r="AC1314" t="s">
        <v>1610</v>
      </c>
      <c r="AD1314" t="s">
        <v>1606</v>
      </c>
      <c r="AE1314" t="s">
        <v>1616</v>
      </c>
      <c r="AF1314" t="s">
        <v>1627</v>
      </c>
    </row>
    <row r="1315" spans="1:32" x14ac:dyDescent="0.25">
      <c r="A1315" t="s">
        <v>1372</v>
      </c>
      <c r="B1315">
        <v>29</v>
      </c>
      <c r="C1315">
        <v>350</v>
      </c>
      <c r="D1315">
        <v>13</v>
      </c>
      <c r="E1315">
        <v>56</v>
      </c>
      <c r="F1315">
        <v>2335</v>
      </c>
      <c r="G1315">
        <v>3157</v>
      </c>
      <c r="H1315">
        <v>4</v>
      </c>
      <c r="I1315">
        <v>15</v>
      </c>
      <c r="J1315">
        <v>4</v>
      </c>
      <c r="K1315">
        <v>3</v>
      </c>
      <c r="L1315">
        <v>2</v>
      </c>
      <c r="M1315">
        <v>2</v>
      </c>
      <c r="N1315">
        <v>2</v>
      </c>
      <c r="O1315">
        <v>0</v>
      </c>
      <c r="P1315" t="s">
        <v>1555</v>
      </c>
      <c r="Q1315" t="s">
        <v>1552</v>
      </c>
      <c r="R1315" t="s">
        <v>1551</v>
      </c>
      <c r="S1315" t="s">
        <v>1534</v>
      </c>
      <c r="T1315" t="s">
        <v>1543</v>
      </c>
      <c r="U1315" t="s">
        <v>1545</v>
      </c>
      <c r="V1315" t="s">
        <v>1559</v>
      </c>
      <c r="W1315" t="s">
        <v>1562</v>
      </c>
      <c r="X1315" t="s">
        <v>1575</v>
      </c>
      <c r="Y1315" t="s">
        <v>1589</v>
      </c>
      <c r="Z1315" t="s">
        <v>1591</v>
      </c>
      <c r="AA1315" t="s">
        <v>1598</v>
      </c>
      <c r="AB1315" t="s">
        <v>1600</v>
      </c>
      <c r="AC1315" t="s">
        <v>1610</v>
      </c>
      <c r="AD1315" t="s">
        <v>1607</v>
      </c>
      <c r="AE1315" t="s">
        <v>1619</v>
      </c>
      <c r="AF1315" t="s">
        <v>1627</v>
      </c>
    </row>
    <row r="1316" spans="1:32" x14ac:dyDescent="0.25">
      <c r="A1316" t="s">
        <v>1373</v>
      </c>
      <c r="B1316">
        <v>45</v>
      </c>
      <c r="C1316">
        <v>589</v>
      </c>
      <c r="D1316">
        <v>2</v>
      </c>
      <c r="E1316">
        <v>67</v>
      </c>
      <c r="F1316">
        <v>5154</v>
      </c>
      <c r="G1316">
        <v>19665</v>
      </c>
      <c r="H1316">
        <v>4</v>
      </c>
      <c r="I1316">
        <v>22</v>
      </c>
      <c r="J1316">
        <v>10</v>
      </c>
      <c r="K1316">
        <v>3</v>
      </c>
      <c r="L1316">
        <v>8</v>
      </c>
      <c r="M1316">
        <v>7</v>
      </c>
      <c r="N1316">
        <v>5</v>
      </c>
      <c r="O1316">
        <v>7</v>
      </c>
      <c r="P1316" t="s">
        <v>1556</v>
      </c>
      <c r="Q1316" t="s">
        <v>1554</v>
      </c>
      <c r="R1316" t="s">
        <v>1549</v>
      </c>
      <c r="S1316" t="s">
        <v>1535</v>
      </c>
      <c r="T1316" t="s">
        <v>1538</v>
      </c>
      <c r="U1316" t="s">
        <v>1547</v>
      </c>
      <c r="V1316" t="s">
        <v>1558</v>
      </c>
      <c r="W1316" t="s">
        <v>1563</v>
      </c>
      <c r="X1316" t="s">
        <v>1576</v>
      </c>
      <c r="Y1316" t="s">
        <v>1581</v>
      </c>
      <c r="Z1316" t="s">
        <v>1593</v>
      </c>
      <c r="AA1316" t="s">
        <v>1597</v>
      </c>
      <c r="AB1316" t="s">
        <v>1601</v>
      </c>
      <c r="AC1316" t="s">
        <v>1611</v>
      </c>
      <c r="AD1316" t="s">
        <v>1605</v>
      </c>
      <c r="AE1316" t="s">
        <v>1618</v>
      </c>
      <c r="AF1316" t="s">
        <v>1628</v>
      </c>
    </row>
    <row r="1317" spans="1:32" x14ac:dyDescent="0.25">
      <c r="A1317" t="s">
        <v>1374</v>
      </c>
      <c r="B1317">
        <v>36</v>
      </c>
      <c r="C1317">
        <v>430</v>
      </c>
      <c r="D1317">
        <v>2</v>
      </c>
      <c r="E1317">
        <v>73</v>
      </c>
      <c r="F1317">
        <v>6962</v>
      </c>
      <c r="G1317">
        <v>19573</v>
      </c>
      <c r="H1317">
        <v>4</v>
      </c>
      <c r="I1317">
        <v>22</v>
      </c>
      <c r="J1317">
        <v>15</v>
      </c>
      <c r="K1317">
        <v>2</v>
      </c>
      <c r="L1317">
        <v>1</v>
      </c>
      <c r="M1317">
        <v>0</v>
      </c>
      <c r="N1317">
        <v>0</v>
      </c>
      <c r="O1317">
        <v>0</v>
      </c>
      <c r="P1317" t="s">
        <v>1556</v>
      </c>
      <c r="Q1317" t="s">
        <v>1552</v>
      </c>
      <c r="R1317" t="s">
        <v>1550</v>
      </c>
      <c r="S1317" t="s">
        <v>1535</v>
      </c>
      <c r="T1317" t="s">
        <v>1539</v>
      </c>
      <c r="U1317" t="s">
        <v>1548</v>
      </c>
      <c r="V1317" t="s">
        <v>1558</v>
      </c>
      <c r="W1317" t="s">
        <v>1563</v>
      </c>
      <c r="X1317" t="s">
        <v>1576</v>
      </c>
      <c r="Y1317" t="s">
        <v>1582</v>
      </c>
      <c r="Z1317" t="s">
        <v>1592</v>
      </c>
      <c r="AA1317" t="s">
        <v>1597</v>
      </c>
      <c r="AB1317" t="s">
        <v>1600</v>
      </c>
      <c r="AC1317" t="s">
        <v>1611</v>
      </c>
      <c r="AD1317" t="s">
        <v>1607</v>
      </c>
      <c r="AE1317" t="s">
        <v>1617</v>
      </c>
      <c r="AF1317" t="s">
        <v>1627</v>
      </c>
    </row>
    <row r="1318" spans="1:32" x14ac:dyDescent="0.25">
      <c r="A1318" t="s">
        <v>1375</v>
      </c>
      <c r="B1318">
        <v>43</v>
      </c>
      <c r="C1318">
        <v>1422</v>
      </c>
      <c r="D1318">
        <v>2</v>
      </c>
      <c r="E1318">
        <v>92</v>
      </c>
      <c r="F1318">
        <v>5675</v>
      </c>
      <c r="G1318">
        <v>19246</v>
      </c>
      <c r="H1318">
        <v>1</v>
      </c>
      <c r="I1318">
        <v>20</v>
      </c>
      <c r="J1318">
        <v>7</v>
      </c>
      <c r="K1318">
        <v>5</v>
      </c>
      <c r="L1318">
        <v>7</v>
      </c>
      <c r="M1318">
        <v>7</v>
      </c>
      <c r="N1318">
        <v>7</v>
      </c>
      <c r="O1318">
        <v>7</v>
      </c>
      <c r="P1318" t="s">
        <v>1556</v>
      </c>
      <c r="Q1318" t="s">
        <v>1553</v>
      </c>
      <c r="R1318" t="s">
        <v>1549</v>
      </c>
      <c r="S1318" t="s">
        <v>1535</v>
      </c>
      <c r="T1318" t="s">
        <v>1538</v>
      </c>
      <c r="U1318" t="s">
        <v>1545</v>
      </c>
      <c r="V1318" t="s">
        <v>1559</v>
      </c>
      <c r="W1318" t="s">
        <v>1563</v>
      </c>
      <c r="X1318" t="s">
        <v>1576</v>
      </c>
      <c r="Y1318" t="s">
        <v>1581</v>
      </c>
      <c r="Z1318" t="s">
        <v>1594</v>
      </c>
      <c r="AA1318" t="s">
        <v>1597</v>
      </c>
      <c r="AB1318" t="s">
        <v>1601</v>
      </c>
      <c r="AC1318" t="s">
        <v>1611</v>
      </c>
      <c r="AD1318" t="s">
        <v>1606</v>
      </c>
      <c r="AE1318" t="s">
        <v>1617</v>
      </c>
      <c r="AF1318" t="s">
        <v>1627</v>
      </c>
    </row>
    <row r="1319" spans="1:32" x14ac:dyDescent="0.25">
      <c r="A1319" t="s">
        <v>1376</v>
      </c>
      <c r="B1319">
        <v>27</v>
      </c>
      <c r="C1319">
        <v>1297</v>
      </c>
      <c r="D1319">
        <v>5</v>
      </c>
      <c r="E1319">
        <v>53</v>
      </c>
      <c r="F1319">
        <v>2379</v>
      </c>
      <c r="G1319">
        <v>19826</v>
      </c>
      <c r="H1319">
        <v>0</v>
      </c>
      <c r="I1319">
        <v>14</v>
      </c>
      <c r="J1319">
        <v>6</v>
      </c>
      <c r="K1319">
        <v>3</v>
      </c>
      <c r="L1319">
        <v>5</v>
      </c>
      <c r="M1319">
        <v>4</v>
      </c>
      <c r="N1319">
        <v>0</v>
      </c>
      <c r="O1319">
        <v>2</v>
      </c>
      <c r="P1319" t="s">
        <v>1556</v>
      </c>
      <c r="Q1319" t="s">
        <v>1553</v>
      </c>
      <c r="R1319" t="s">
        <v>1550</v>
      </c>
      <c r="S1319" t="s">
        <v>1533</v>
      </c>
      <c r="T1319" t="s">
        <v>1538</v>
      </c>
      <c r="U1319" t="s">
        <v>1548</v>
      </c>
      <c r="V1319" t="s">
        <v>1558</v>
      </c>
      <c r="W1319" t="s">
        <v>1563</v>
      </c>
      <c r="X1319" t="s">
        <v>1575</v>
      </c>
      <c r="Y1319" t="s">
        <v>1583</v>
      </c>
      <c r="Z1319" t="s">
        <v>1594</v>
      </c>
      <c r="AA1319" t="s">
        <v>1596</v>
      </c>
      <c r="AB1319" t="s">
        <v>1600</v>
      </c>
      <c r="AC1319" t="s">
        <v>1610</v>
      </c>
      <c r="AD1319" t="s">
        <v>1606</v>
      </c>
      <c r="AE1319" t="s">
        <v>1616</v>
      </c>
      <c r="AF1319" t="s">
        <v>1626</v>
      </c>
    </row>
    <row r="1320" spans="1:32" x14ac:dyDescent="0.25">
      <c r="A1320" t="s">
        <v>1377</v>
      </c>
      <c r="B1320">
        <v>29</v>
      </c>
      <c r="C1320">
        <v>574</v>
      </c>
      <c r="D1320">
        <v>20</v>
      </c>
      <c r="E1320">
        <v>40</v>
      </c>
      <c r="F1320">
        <v>3812</v>
      </c>
      <c r="G1320">
        <v>7003</v>
      </c>
      <c r="H1320">
        <v>1</v>
      </c>
      <c r="I1320">
        <v>13</v>
      </c>
      <c r="J1320">
        <v>11</v>
      </c>
      <c r="K1320">
        <v>3</v>
      </c>
      <c r="L1320">
        <v>11</v>
      </c>
      <c r="M1320">
        <v>8</v>
      </c>
      <c r="N1320">
        <v>3</v>
      </c>
      <c r="O1320">
        <v>10</v>
      </c>
      <c r="P1320" t="s">
        <v>1556</v>
      </c>
      <c r="Q1320" t="s">
        <v>1553</v>
      </c>
      <c r="R1320" t="s">
        <v>1550</v>
      </c>
      <c r="S1320" t="s">
        <v>1532</v>
      </c>
      <c r="T1320" t="s">
        <v>1540</v>
      </c>
      <c r="U1320" t="s">
        <v>1548</v>
      </c>
      <c r="V1320" t="s">
        <v>1559</v>
      </c>
      <c r="W1320" t="s">
        <v>1563</v>
      </c>
      <c r="X1320" t="s">
        <v>1575</v>
      </c>
      <c r="Y1320" t="s">
        <v>1583</v>
      </c>
      <c r="Z1320" t="s">
        <v>1594</v>
      </c>
      <c r="AA1320" t="s">
        <v>1597</v>
      </c>
      <c r="AB1320" t="s">
        <v>1601</v>
      </c>
      <c r="AC1320" t="s">
        <v>1610</v>
      </c>
      <c r="AD1320" t="s">
        <v>1605</v>
      </c>
      <c r="AE1320" t="s">
        <v>1616</v>
      </c>
      <c r="AF1320" t="s">
        <v>1628</v>
      </c>
    </row>
    <row r="1321" spans="1:32" x14ac:dyDescent="0.25">
      <c r="A1321" t="s">
        <v>1378</v>
      </c>
      <c r="B1321">
        <v>32</v>
      </c>
      <c r="C1321">
        <v>1318</v>
      </c>
      <c r="D1321">
        <v>10</v>
      </c>
      <c r="E1321">
        <v>79</v>
      </c>
      <c r="F1321">
        <v>4648</v>
      </c>
      <c r="G1321">
        <v>26075</v>
      </c>
      <c r="H1321">
        <v>8</v>
      </c>
      <c r="I1321">
        <v>13</v>
      </c>
      <c r="J1321">
        <v>4</v>
      </c>
      <c r="K1321">
        <v>2</v>
      </c>
      <c r="L1321">
        <v>0</v>
      </c>
      <c r="M1321">
        <v>0</v>
      </c>
      <c r="N1321">
        <v>0</v>
      </c>
      <c r="O1321">
        <v>0</v>
      </c>
      <c r="P1321" t="s">
        <v>1556</v>
      </c>
      <c r="Q1321" t="s">
        <v>1553</v>
      </c>
      <c r="R1321" t="s">
        <v>1549</v>
      </c>
      <c r="S1321" t="s">
        <v>1535</v>
      </c>
      <c r="T1321" t="s">
        <v>1541</v>
      </c>
      <c r="U1321" t="s">
        <v>1548</v>
      </c>
      <c r="V1321" t="s">
        <v>1559</v>
      </c>
      <c r="W1321" t="s">
        <v>1563</v>
      </c>
      <c r="X1321" t="s">
        <v>1576</v>
      </c>
      <c r="Y1321" t="s">
        <v>1581</v>
      </c>
      <c r="Z1321" t="s">
        <v>1594</v>
      </c>
      <c r="AA1321" t="s">
        <v>1596</v>
      </c>
      <c r="AB1321" t="s">
        <v>1601</v>
      </c>
      <c r="AC1321" t="s">
        <v>1610</v>
      </c>
      <c r="AD1321" t="s">
        <v>1606</v>
      </c>
      <c r="AE1321" t="s">
        <v>1616</v>
      </c>
      <c r="AF1321" t="s">
        <v>1628</v>
      </c>
    </row>
    <row r="1322" spans="1:32" x14ac:dyDescent="0.25">
      <c r="A1322" t="s">
        <v>1379</v>
      </c>
      <c r="B1322">
        <v>42</v>
      </c>
      <c r="C1322">
        <v>355</v>
      </c>
      <c r="D1322">
        <v>10</v>
      </c>
      <c r="E1322">
        <v>38</v>
      </c>
      <c r="F1322">
        <v>2936</v>
      </c>
      <c r="G1322">
        <v>6161</v>
      </c>
      <c r="H1322">
        <v>3</v>
      </c>
      <c r="I1322">
        <v>22</v>
      </c>
      <c r="J1322">
        <v>10</v>
      </c>
      <c r="K1322">
        <v>1</v>
      </c>
      <c r="L1322">
        <v>6</v>
      </c>
      <c r="M1322">
        <v>3</v>
      </c>
      <c r="N1322">
        <v>3</v>
      </c>
      <c r="O1322">
        <v>3</v>
      </c>
      <c r="P1322" t="s">
        <v>1556</v>
      </c>
      <c r="Q1322" t="s">
        <v>1554</v>
      </c>
      <c r="R1322" t="s">
        <v>1550</v>
      </c>
      <c r="S1322" t="s">
        <v>1535</v>
      </c>
      <c r="T1322" t="s">
        <v>1542</v>
      </c>
      <c r="U1322" t="s">
        <v>1547</v>
      </c>
      <c r="V1322" t="s">
        <v>1559</v>
      </c>
      <c r="W1322" t="s">
        <v>1563</v>
      </c>
      <c r="X1322" t="s">
        <v>1575</v>
      </c>
      <c r="Y1322" t="s">
        <v>1582</v>
      </c>
      <c r="Z1322" t="s">
        <v>1593</v>
      </c>
      <c r="AA1322" t="s">
        <v>1597</v>
      </c>
      <c r="AB1322" t="s">
        <v>1601</v>
      </c>
      <c r="AC1322" t="s">
        <v>1611</v>
      </c>
      <c r="AD1322" t="s">
        <v>1605</v>
      </c>
      <c r="AE1322" t="s">
        <v>1618</v>
      </c>
      <c r="AF1322" t="s">
        <v>1626</v>
      </c>
    </row>
    <row r="1323" spans="1:32" x14ac:dyDescent="0.25">
      <c r="A1323" t="s">
        <v>1380</v>
      </c>
      <c r="B1323">
        <v>47</v>
      </c>
      <c r="C1323">
        <v>207</v>
      </c>
      <c r="D1323">
        <v>9</v>
      </c>
      <c r="E1323">
        <v>64</v>
      </c>
      <c r="F1323">
        <v>2105</v>
      </c>
      <c r="G1323">
        <v>5411</v>
      </c>
      <c r="H1323">
        <v>4</v>
      </c>
      <c r="I1323">
        <v>12</v>
      </c>
      <c r="J1323">
        <v>7</v>
      </c>
      <c r="K1323">
        <v>2</v>
      </c>
      <c r="L1323">
        <v>2</v>
      </c>
      <c r="M1323">
        <v>2</v>
      </c>
      <c r="N1323">
        <v>2</v>
      </c>
      <c r="O1323">
        <v>0</v>
      </c>
      <c r="P1323" t="s">
        <v>1556</v>
      </c>
      <c r="Q1323" t="s">
        <v>1552</v>
      </c>
      <c r="R1323" t="s">
        <v>1550</v>
      </c>
      <c r="S1323" t="s">
        <v>1535</v>
      </c>
      <c r="T1323" t="s">
        <v>1538</v>
      </c>
      <c r="U1323" t="s">
        <v>1546</v>
      </c>
      <c r="V1323" t="s">
        <v>1558</v>
      </c>
      <c r="W1323" t="s">
        <v>1563</v>
      </c>
      <c r="X1323" t="s">
        <v>1575</v>
      </c>
      <c r="Y1323" t="s">
        <v>1583</v>
      </c>
      <c r="Z1323" t="s">
        <v>1593</v>
      </c>
      <c r="AA1323" t="s">
        <v>1596</v>
      </c>
      <c r="AB1323" t="s">
        <v>1601</v>
      </c>
      <c r="AC1323" t="s">
        <v>1610</v>
      </c>
      <c r="AD1323" t="s">
        <v>1606</v>
      </c>
      <c r="AE1323" t="s">
        <v>1616</v>
      </c>
      <c r="AF1323" t="s">
        <v>1627</v>
      </c>
    </row>
    <row r="1324" spans="1:32" x14ac:dyDescent="0.25">
      <c r="A1324" t="s">
        <v>1381</v>
      </c>
      <c r="B1324">
        <v>46</v>
      </c>
      <c r="C1324">
        <v>706</v>
      </c>
      <c r="D1324">
        <v>2</v>
      </c>
      <c r="E1324">
        <v>82</v>
      </c>
      <c r="F1324">
        <v>8578</v>
      </c>
      <c r="G1324">
        <v>19989</v>
      </c>
      <c r="H1324">
        <v>3</v>
      </c>
      <c r="I1324">
        <v>14</v>
      </c>
      <c r="J1324">
        <v>12</v>
      </c>
      <c r="K1324">
        <v>4</v>
      </c>
      <c r="L1324">
        <v>9</v>
      </c>
      <c r="M1324">
        <v>8</v>
      </c>
      <c r="N1324">
        <v>4</v>
      </c>
      <c r="O1324">
        <v>7</v>
      </c>
      <c r="P1324" t="s">
        <v>1556</v>
      </c>
      <c r="Q1324" t="s">
        <v>1552</v>
      </c>
      <c r="R1324" t="s">
        <v>1550</v>
      </c>
      <c r="S1324" t="s">
        <v>1533</v>
      </c>
      <c r="T1324" t="s">
        <v>1538</v>
      </c>
      <c r="U1324" t="s">
        <v>1548</v>
      </c>
      <c r="V1324" t="s">
        <v>1559</v>
      </c>
      <c r="W1324" t="s">
        <v>1563</v>
      </c>
      <c r="X1324" t="s">
        <v>1577</v>
      </c>
      <c r="Y1324" t="s">
        <v>1584</v>
      </c>
      <c r="Z1324" t="s">
        <v>1594</v>
      </c>
      <c r="AA1324" t="s">
        <v>1598</v>
      </c>
      <c r="AB1324" t="s">
        <v>1601</v>
      </c>
      <c r="AC1324" t="s">
        <v>1610</v>
      </c>
      <c r="AD1324" t="s">
        <v>1606</v>
      </c>
      <c r="AE1324" t="s">
        <v>1617</v>
      </c>
      <c r="AF1324" t="s">
        <v>1626</v>
      </c>
    </row>
    <row r="1325" spans="1:32" x14ac:dyDescent="0.25">
      <c r="A1325" t="s">
        <v>1382</v>
      </c>
      <c r="B1325">
        <v>28</v>
      </c>
      <c r="C1325">
        <v>280</v>
      </c>
      <c r="D1325">
        <v>1</v>
      </c>
      <c r="E1325">
        <v>43</v>
      </c>
      <c r="F1325">
        <v>2706</v>
      </c>
      <c r="G1325">
        <v>10494</v>
      </c>
      <c r="H1325">
        <v>1</v>
      </c>
      <c r="I1325">
        <v>15</v>
      </c>
      <c r="J1325">
        <v>3</v>
      </c>
      <c r="K1325">
        <v>2</v>
      </c>
      <c r="L1325">
        <v>3</v>
      </c>
      <c r="M1325">
        <v>2</v>
      </c>
      <c r="N1325">
        <v>2</v>
      </c>
      <c r="O1325">
        <v>2</v>
      </c>
      <c r="P1325" t="s">
        <v>1556</v>
      </c>
      <c r="Q1325" t="s">
        <v>1554</v>
      </c>
      <c r="R1325" t="s">
        <v>1551</v>
      </c>
      <c r="S1325" t="s">
        <v>1533</v>
      </c>
      <c r="T1325" t="s">
        <v>1538</v>
      </c>
      <c r="U1325" t="s">
        <v>1547</v>
      </c>
      <c r="V1325" t="s">
        <v>1559</v>
      </c>
      <c r="W1325" t="s">
        <v>1563</v>
      </c>
      <c r="X1325" t="s">
        <v>1575</v>
      </c>
      <c r="Y1325" t="s">
        <v>1589</v>
      </c>
      <c r="Z1325" t="s">
        <v>1594</v>
      </c>
      <c r="AA1325" t="s">
        <v>1598</v>
      </c>
      <c r="AB1325" t="s">
        <v>1601</v>
      </c>
      <c r="AC1325" t="s">
        <v>1610</v>
      </c>
      <c r="AD1325" t="s">
        <v>1605</v>
      </c>
      <c r="AE1325" t="s">
        <v>1617</v>
      </c>
      <c r="AF1325" t="s">
        <v>1627</v>
      </c>
    </row>
    <row r="1326" spans="1:32" x14ac:dyDescent="0.25">
      <c r="A1326" t="s">
        <v>1383</v>
      </c>
      <c r="B1326">
        <v>29</v>
      </c>
      <c r="C1326">
        <v>726</v>
      </c>
      <c r="D1326">
        <v>29</v>
      </c>
      <c r="E1326">
        <v>93</v>
      </c>
      <c r="F1326">
        <v>6384</v>
      </c>
      <c r="G1326">
        <v>21143</v>
      </c>
      <c r="H1326">
        <v>8</v>
      </c>
      <c r="I1326">
        <v>17</v>
      </c>
      <c r="J1326">
        <v>11</v>
      </c>
      <c r="K1326">
        <v>3</v>
      </c>
      <c r="L1326">
        <v>7</v>
      </c>
      <c r="M1326">
        <v>0</v>
      </c>
      <c r="N1326">
        <v>1</v>
      </c>
      <c r="O1326">
        <v>6</v>
      </c>
      <c r="P1326" t="s">
        <v>1556</v>
      </c>
      <c r="Q1326" t="s">
        <v>1552</v>
      </c>
      <c r="R1326" t="s">
        <v>1550</v>
      </c>
      <c r="S1326" t="s">
        <v>1532</v>
      </c>
      <c r="T1326" t="s">
        <v>1538</v>
      </c>
      <c r="U1326" t="s">
        <v>1548</v>
      </c>
      <c r="V1326" t="s">
        <v>1559</v>
      </c>
      <c r="W1326" t="s">
        <v>1561</v>
      </c>
      <c r="X1326" t="s">
        <v>1576</v>
      </c>
      <c r="Y1326" t="s">
        <v>1585</v>
      </c>
      <c r="Z1326" t="s">
        <v>1593</v>
      </c>
      <c r="AA1326" t="s">
        <v>1598</v>
      </c>
      <c r="AB1326" t="s">
        <v>1601</v>
      </c>
      <c r="AC1326" t="s">
        <v>1610</v>
      </c>
      <c r="AD1326" t="s">
        <v>1607</v>
      </c>
      <c r="AE1326" t="s">
        <v>1618</v>
      </c>
      <c r="AF1326" t="s">
        <v>1627</v>
      </c>
    </row>
    <row r="1327" spans="1:32" x14ac:dyDescent="0.25">
      <c r="A1327" t="s">
        <v>1384</v>
      </c>
      <c r="B1327">
        <v>42</v>
      </c>
      <c r="C1327">
        <v>1142</v>
      </c>
      <c r="D1327">
        <v>8</v>
      </c>
      <c r="E1327">
        <v>81</v>
      </c>
      <c r="F1327">
        <v>3968</v>
      </c>
      <c r="G1327">
        <v>13624</v>
      </c>
      <c r="H1327">
        <v>4</v>
      </c>
      <c r="I1327">
        <v>13</v>
      </c>
      <c r="J1327">
        <v>8</v>
      </c>
      <c r="K1327">
        <v>3</v>
      </c>
      <c r="L1327">
        <v>0</v>
      </c>
      <c r="M1327">
        <v>0</v>
      </c>
      <c r="N1327">
        <v>0</v>
      </c>
      <c r="O1327">
        <v>0</v>
      </c>
      <c r="P1327" t="s">
        <v>1556</v>
      </c>
      <c r="Q1327" t="s">
        <v>1552</v>
      </c>
      <c r="R1327" t="s">
        <v>1550</v>
      </c>
      <c r="S1327" t="s">
        <v>1534</v>
      </c>
      <c r="T1327" t="s">
        <v>1538</v>
      </c>
      <c r="U1327" t="s">
        <v>1548</v>
      </c>
      <c r="V1327" t="s">
        <v>1559</v>
      </c>
      <c r="W1327" t="s">
        <v>1563</v>
      </c>
      <c r="X1327" t="s">
        <v>1575</v>
      </c>
      <c r="Y1327" t="s">
        <v>1583</v>
      </c>
      <c r="Z1327" t="s">
        <v>1593</v>
      </c>
      <c r="AA1327" t="s">
        <v>1596</v>
      </c>
      <c r="AB1327" t="s">
        <v>1601</v>
      </c>
      <c r="AC1327" t="s">
        <v>1610</v>
      </c>
      <c r="AD1327" t="s">
        <v>1607</v>
      </c>
      <c r="AE1327" t="s">
        <v>1616</v>
      </c>
      <c r="AF1327" t="s">
        <v>1627</v>
      </c>
    </row>
    <row r="1328" spans="1:32" x14ac:dyDescent="0.25">
      <c r="A1328" t="s">
        <v>1385</v>
      </c>
      <c r="B1328">
        <v>32</v>
      </c>
      <c r="C1328">
        <v>414</v>
      </c>
      <c r="D1328">
        <v>2</v>
      </c>
      <c r="E1328">
        <v>82</v>
      </c>
      <c r="F1328">
        <v>9907</v>
      </c>
      <c r="G1328">
        <v>26186</v>
      </c>
      <c r="H1328">
        <v>7</v>
      </c>
      <c r="I1328">
        <v>12</v>
      </c>
      <c r="J1328">
        <v>7</v>
      </c>
      <c r="K1328">
        <v>3</v>
      </c>
      <c r="L1328">
        <v>2</v>
      </c>
      <c r="M1328">
        <v>2</v>
      </c>
      <c r="N1328">
        <v>2</v>
      </c>
      <c r="O1328">
        <v>2</v>
      </c>
      <c r="P1328" t="s">
        <v>1555</v>
      </c>
      <c r="Q1328" t="s">
        <v>1552</v>
      </c>
      <c r="R1328" t="s">
        <v>1549</v>
      </c>
      <c r="S1328" t="s">
        <v>1535</v>
      </c>
      <c r="T1328" t="s">
        <v>1541</v>
      </c>
      <c r="U1328" t="s">
        <v>1547</v>
      </c>
      <c r="V1328" t="s">
        <v>1559</v>
      </c>
      <c r="W1328" t="s">
        <v>1562</v>
      </c>
      <c r="X1328" t="s">
        <v>1576</v>
      </c>
      <c r="Y1328" t="s">
        <v>1581</v>
      </c>
      <c r="Z1328" t="s">
        <v>1592</v>
      </c>
      <c r="AA1328" t="s">
        <v>1596</v>
      </c>
      <c r="AB1328" t="s">
        <v>1600</v>
      </c>
      <c r="AC1328" t="s">
        <v>1610</v>
      </c>
      <c r="AD1328" t="s">
        <v>1606</v>
      </c>
      <c r="AE1328" t="s">
        <v>1616</v>
      </c>
      <c r="AF1328" t="s">
        <v>1626</v>
      </c>
    </row>
    <row r="1329" spans="1:32" x14ac:dyDescent="0.25">
      <c r="A1329" t="s">
        <v>1386</v>
      </c>
      <c r="B1329">
        <v>46</v>
      </c>
      <c r="C1329">
        <v>1319</v>
      </c>
      <c r="D1329">
        <v>3</v>
      </c>
      <c r="E1329">
        <v>45</v>
      </c>
      <c r="F1329">
        <v>13225</v>
      </c>
      <c r="G1329">
        <v>7739</v>
      </c>
      <c r="H1329">
        <v>2</v>
      </c>
      <c r="I1329">
        <v>12</v>
      </c>
      <c r="J1329">
        <v>25</v>
      </c>
      <c r="K1329">
        <v>5</v>
      </c>
      <c r="L1329">
        <v>19</v>
      </c>
      <c r="M1329">
        <v>17</v>
      </c>
      <c r="N1329">
        <v>2</v>
      </c>
      <c r="O1329">
        <v>8</v>
      </c>
      <c r="P1329" t="s">
        <v>1556</v>
      </c>
      <c r="Q1329" t="s">
        <v>1552</v>
      </c>
      <c r="R1329" t="s">
        <v>1549</v>
      </c>
      <c r="S1329" t="s">
        <v>1534</v>
      </c>
      <c r="T1329" t="s">
        <v>1542</v>
      </c>
      <c r="U1329" t="s">
        <v>1545</v>
      </c>
      <c r="V1329" t="s">
        <v>1558</v>
      </c>
      <c r="W1329" t="s">
        <v>1564</v>
      </c>
      <c r="X1329" t="s">
        <v>1578</v>
      </c>
      <c r="Y1329" t="s">
        <v>1581</v>
      </c>
      <c r="Z1329" t="s">
        <v>1591</v>
      </c>
      <c r="AA1329" t="s">
        <v>1598</v>
      </c>
      <c r="AB1329" t="s">
        <v>1601</v>
      </c>
      <c r="AC1329" t="s">
        <v>1610</v>
      </c>
      <c r="AD1329" t="s">
        <v>1607</v>
      </c>
      <c r="AE1329" t="s">
        <v>1617</v>
      </c>
      <c r="AF1329" t="s">
        <v>1627</v>
      </c>
    </row>
    <row r="1330" spans="1:32" x14ac:dyDescent="0.25">
      <c r="A1330" t="s">
        <v>1387</v>
      </c>
      <c r="B1330">
        <v>27</v>
      </c>
      <c r="C1330">
        <v>728</v>
      </c>
      <c r="D1330">
        <v>23</v>
      </c>
      <c r="E1330">
        <v>36</v>
      </c>
      <c r="F1330">
        <v>3540</v>
      </c>
      <c r="G1330">
        <v>7018</v>
      </c>
      <c r="H1330">
        <v>1</v>
      </c>
      <c r="I1330">
        <v>21</v>
      </c>
      <c r="J1330">
        <v>9</v>
      </c>
      <c r="K1330">
        <v>5</v>
      </c>
      <c r="L1330">
        <v>9</v>
      </c>
      <c r="M1330">
        <v>8</v>
      </c>
      <c r="N1330">
        <v>5</v>
      </c>
      <c r="O1330">
        <v>8</v>
      </c>
      <c r="P1330" t="s">
        <v>1556</v>
      </c>
      <c r="Q1330" t="s">
        <v>1552</v>
      </c>
      <c r="R1330" t="s">
        <v>1549</v>
      </c>
      <c r="S1330" t="s">
        <v>1532</v>
      </c>
      <c r="T1330" t="s">
        <v>1540</v>
      </c>
      <c r="U1330" t="s">
        <v>1546</v>
      </c>
      <c r="V1330" t="s">
        <v>1558</v>
      </c>
      <c r="W1330" t="s">
        <v>1562</v>
      </c>
      <c r="X1330" t="s">
        <v>1576</v>
      </c>
      <c r="Y1330" t="s">
        <v>1587</v>
      </c>
      <c r="Z1330" t="s">
        <v>1593</v>
      </c>
      <c r="AA1330" t="s">
        <v>1597</v>
      </c>
      <c r="AB1330" t="s">
        <v>1601</v>
      </c>
      <c r="AC1330" t="s">
        <v>1611</v>
      </c>
      <c r="AD1330" t="s">
        <v>1607</v>
      </c>
      <c r="AE1330" t="s">
        <v>1617</v>
      </c>
      <c r="AF1330" t="s">
        <v>1627</v>
      </c>
    </row>
    <row r="1331" spans="1:32" x14ac:dyDescent="0.25">
      <c r="A1331" t="s">
        <v>1388</v>
      </c>
      <c r="B1331">
        <v>29</v>
      </c>
      <c r="C1331">
        <v>352</v>
      </c>
      <c r="D1331">
        <v>6</v>
      </c>
      <c r="E1331">
        <v>87</v>
      </c>
      <c r="F1331">
        <v>2804</v>
      </c>
      <c r="G1331">
        <v>15434</v>
      </c>
      <c r="H1331">
        <v>1</v>
      </c>
      <c r="I1331">
        <v>11</v>
      </c>
      <c r="J1331">
        <v>1</v>
      </c>
      <c r="K1331">
        <v>3</v>
      </c>
      <c r="L1331">
        <v>1</v>
      </c>
      <c r="M1331">
        <v>0</v>
      </c>
      <c r="N1331">
        <v>0</v>
      </c>
      <c r="O1331">
        <v>0</v>
      </c>
      <c r="P1331" t="s">
        <v>1556</v>
      </c>
      <c r="Q1331" t="s">
        <v>1552</v>
      </c>
      <c r="R1331" t="s">
        <v>1551</v>
      </c>
      <c r="S1331" t="s">
        <v>1532</v>
      </c>
      <c r="T1331" t="s">
        <v>1540</v>
      </c>
      <c r="U1331" t="s">
        <v>1548</v>
      </c>
      <c r="V1331" t="s">
        <v>1559</v>
      </c>
      <c r="W1331" t="s">
        <v>1562</v>
      </c>
      <c r="X1331" t="s">
        <v>1575</v>
      </c>
      <c r="Y1331" t="s">
        <v>1589</v>
      </c>
      <c r="Z1331" t="s">
        <v>1592</v>
      </c>
      <c r="AA1331" t="s">
        <v>1597</v>
      </c>
      <c r="AB1331" t="s">
        <v>1601</v>
      </c>
      <c r="AC1331" t="s">
        <v>1610</v>
      </c>
      <c r="AD1331" t="s">
        <v>1607</v>
      </c>
      <c r="AE1331" t="s">
        <v>1616</v>
      </c>
      <c r="AF1331" t="s">
        <v>1627</v>
      </c>
    </row>
    <row r="1332" spans="1:32" x14ac:dyDescent="0.25">
      <c r="A1332" t="s">
        <v>1389</v>
      </c>
      <c r="B1332">
        <v>43</v>
      </c>
      <c r="C1332">
        <v>823</v>
      </c>
      <c r="D1332">
        <v>6</v>
      </c>
      <c r="E1332">
        <v>81</v>
      </c>
      <c r="F1332">
        <v>19392</v>
      </c>
      <c r="G1332">
        <v>22539</v>
      </c>
      <c r="H1332">
        <v>7</v>
      </c>
      <c r="I1332">
        <v>13</v>
      </c>
      <c r="J1332">
        <v>21</v>
      </c>
      <c r="K1332">
        <v>2</v>
      </c>
      <c r="L1332">
        <v>16</v>
      </c>
      <c r="M1332">
        <v>12</v>
      </c>
      <c r="N1332">
        <v>6</v>
      </c>
      <c r="O1332">
        <v>14</v>
      </c>
      <c r="P1332" t="s">
        <v>1556</v>
      </c>
      <c r="Q1332" t="s">
        <v>1552</v>
      </c>
      <c r="R1332" t="s">
        <v>1550</v>
      </c>
      <c r="S1332" t="s">
        <v>1534</v>
      </c>
      <c r="T1332" t="s">
        <v>1540</v>
      </c>
      <c r="U1332" t="s">
        <v>1545</v>
      </c>
      <c r="V1332" t="s">
        <v>1558</v>
      </c>
      <c r="W1332" t="s">
        <v>1562</v>
      </c>
      <c r="X1332" t="s">
        <v>1579</v>
      </c>
      <c r="Y1332" t="s">
        <v>1586</v>
      </c>
      <c r="Z1332" t="s">
        <v>1593</v>
      </c>
      <c r="AA1332" t="s">
        <v>1597</v>
      </c>
      <c r="AB1332" t="s">
        <v>1601</v>
      </c>
      <c r="AC1332" t="s">
        <v>1610</v>
      </c>
      <c r="AD1332" t="s">
        <v>1607</v>
      </c>
      <c r="AE1332" t="s">
        <v>1616</v>
      </c>
      <c r="AF1332" t="s">
        <v>1627</v>
      </c>
    </row>
    <row r="1333" spans="1:32" x14ac:dyDescent="0.25">
      <c r="A1333" t="s">
        <v>1390</v>
      </c>
      <c r="B1333">
        <v>48</v>
      </c>
      <c r="C1333">
        <v>1224</v>
      </c>
      <c r="D1333">
        <v>10</v>
      </c>
      <c r="E1333">
        <v>91</v>
      </c>
      <c r="F1333">
        <v>19665</v>
      </c>
      <c r="G1333">
        <v>13583</v>
      </c>
      <c r="H1333">
        <v>4</v>
      </c>
      <c r="I1333">
        <v>12</v>
      </c>
      <c r="J1333">
        <v>29</v>
      </c>
      <c r="K1333">
        <v>3</v>
      </c>
      <c r="L1333">
        <v>22</v>
      </c>
      <c r="M1333">
        <v>10</v>
      </c>
      <c r="N1333">
        <v>12</v>
      </c>
      <c r="O1333">
        <v>9</v>
      </c>
      <c r="P1333" t="s">
        <v>1556</v>
      </c>
      <c r="Q1333" t="s">
        <v>1552</v>
      </c>
      <c r="R1333" t="s">
        <v>1550</v>
      </c>
      <c r="S1333" t="s">
        <v>1534</v>
      </c>
      <c r="T1333" t="s">
        <v>1538</v>
      </c>
      <c r="U1333" t="s">
        <v>1548</v>
      </c>
      <c r="V1333" t="s">
        <v>1559</v>
      </c>
      <c r="W1333" t="s">
        <v>1562</v>
      </c>
      <c r="X1333" t="s">
        <v>1579</v>
      </c>
      <c r="Y1333" t="s">
        <v>1588</v>
      </c>
      <c r="Z1333" t="s">
        <v>1592</v>
      </c>
      <c r="AA1333" t="s">
        <v>1597</v>
      </c>
      <c r="AB1333" t="s">
        <v>1601</v>
      </c>
      <c r="AC1333" t="s">
        <v>1610</v>
      </c>
      <c r="AD1333" t="s">
        <v>1607</v>
      </c>
      <c r="AE1333" t="s">
        <v>1616</v>
      </c>
      <c r="AF1333" t="s">
        <v>1627</v>
      </c>
    </row>
    <row r="1334" spans="1:32" x14ac:dyDescent="0.25">
      <c r="A1334" t="s">
        <v>1391</v>
      </c>
      <c r="B1334">
        <v>29</v>
      </c>
      <c r="C1334">
        <v>459</v>
      </c>
      <c r="D1334">
        <v>24</v>
      </c>
      <c r="E1334">
        <v>73</v>
      </c>
      <c r="F1334">
        <v>2439</v>
      </c>
      <c r="G1334">
        <v>14753</v>
      </c>
      <c r="H1334">
        <v>1</v>
      </c>
      <c r="I1334">
        <v>24</v>
      </c>
      <c r="J1334">
        <v>1</v>
      </c>
      <c r="K1334">
        <v>3</v>
      </c>
      <c r="L1334">
        <v>1</v>
      </c>
      <c r="M1334">
        <v>0</v>
      </c>
      <c r="N1334">
        <v>1</v>
      </c>
      <c r="O1334">
        <v>0</v>
      </c>
      <c r="P1334" t="s">
        <v>1555</v>
      </c>
      <c r="Q1334" t="s">
        <v>1553</v>
      </c>
      <c r="R1334" t="s">
        <v>1550</v>
      </c>
      <c r="S1334" t="s">
        <v>1533</v>
      </c>
      <c r="T1334" t="s">
        <v>1538</v>
      </c>
      <c r="U1334" t="s">
        <v>1548</v>
      </c>
      <c r="V1334" t="s">
        <v>1559</v>
      </c>
      <c r="W1334" t="s">
        <v>1562</v>
      </c>
      <c r="X1334" t="s">
        <v>1575</v>
      </c>
      <c r="Y1334" t="s">
        <v>1582</v>
      </c>
      <c r="Z1334" t="s">
        <v>1594</v>
      </c>
      <c r="AA1334" t="s">
        <v>1596</v>
      </c>
      <c r="AB1334" t="s">
        <v>1600</v>
      </c>
      <c r="AC1334" t="s">
        <v>1611</v>
      </c>
      <c r="AD1334" t="s">
        <v>1605</v>
      </c>
      <c r="AE1334" t="s">
        <v>1616</v>
      </c>
      <c r="AF1334" t="s">
        <v>1626</v>
      </c>
    </row>
    <row r="1335" spans="1:32" x14ac:dyDescent="0.25">
      <c r="A1335" t="s">
        <v>1392</v>
      </c>
      <c r="B1335">
        <v>46</v>
      </c>
      <c r="C1335">
        <v>1254</v>
      </c>
      <c r="D1335">
        <v>10</v>
      </c>
      <c r="E1335">
        <v>64</v>
      </c>
      <c r="F1335">
        <v>7314</v>
      </c>
      <c r="G1335">
        <v>14011</v>
      </c>
      <c r="H1335">
        <v>5</v>
      </c>
      <c r="I1335">
        <v>21</v>
      </c>
      <c r="J1335">
        <v>14</v>
      </c>
      <c r="K1335">
        <v>2</v>
      </c>
      <c r="L1335">
        <v>8</v>
      </c>
      <c r="M1335">
        <v>7</v>
      </c>
      <c r="N1335">
        <v>0</v>
      </c>
      <c r="O1335">
        <v>7</v>
      </c>
      <c r="P1335" t="s">
        <v>1555</v>
      </c>
      <c r="Q1335" t="s">
        <v>1552</v>
      </c>
      <c r="R1335" t="s">
        <v>1549</v>
      </c>
      <c r="S1335" t="s">
        <v>1534</v>
      </c>
      <c r="T1335" t="s">
        <v>1538</v>
      </c>
      <c r="U1335" t="s">
        <v>1547</v>
      </c>
      <c r="V1335" t="s">
        <v>1558</v>
      </c>
      <c r="W1335" t="s">
        <v>1563</v>
      </c>
      <c r="X1335" t="s">
        <v>1577</v>
      </c>
      <c r="Y1335" t="s">
        <v>1581</v>
      </c>
      <c r="Z1335" t="s">
        <v>1592</v>
      </c>
      <c r="AA1335" t="s">
        <v>1597</v>
      </c>
      <c r="AB1335" t="s">
        <v>1601</v>
      </c>
      <c r="AC1335" t="s">
        <v>1611</v>
      </c>
      <c r="AD1335" t="s">
        <v>1606</v>
      </c>
      <c r="AE1335" t="s">
        <v>1619</v>
      </c>
      <c r="AF1335" t="s">
        <v>1627</v>
      </c>
    </row>
    <row r="1336" spans="1:32" x14ac:dyDescent="0.25">
      <c r="A1336" t="s">
        <v>1393</v>
      </c>
      <c r="B1336">
        <v>27</v>
      </c>
      <c r="C1336">
        <v>1131</v>
      </c>
      <c r="D1336">
        <v>15</v>
      </c>
      <c r="E1336">
        <v>77</v>
      </c>
      <c r="F1336">
        <v>4774</v>
      </c>
      <c r="G1336">
        <v>23844</v>
      </c>
      <c r="H1336">
        <v>0</v>
      </c>
      <c r="I1336">
        <v>19</v>
      </c>
      <c r="J1336">
        <v>8</v>
      </c>
      <c r="K1336">
        <v>2</v>
      </c>
      <c r="L1336">
        <v>7</v>
      </c>
      <c r="M1336">
        <v>6</v>
      </c>
      <c r="N1336">
        <v>7</v>
      </c>
      <c r="O1336">
        <v>3</v>
      </c>
      <c r="P1336" t="s">
        <v>1556</v>
      </c>
      <c r="Q1336" t="s">
        <v>1553</v>
      </c>
      <c r="R1336" t="s">
        <v>1550</v>
      </c>
      <c r="S1336" t="s">
        <v>1534</v>
      </c>
      <c r="T1336" t="s">
        <v>1538</v>
      </c>
      <c r="U1336" t="s">
        <v>1548</v>
      </c>
      <c r="V1336" t="s">
        <v>1558</v>
      </c>
      <c r="W1336" t="s">
        <v>1562</v>
      </c>
      <c r="X1336" t="s">
        <v>1575</v>
      </c>
      <c r="Y1336" t="s">
        <v>1582</v>
      </c>
      <c r="Z1336" t="s">
        <v>1591</v>
      </c>
      <c r="AA1336" t="s">
        <v>1597</v>
      </c>
      <c r="AB1336" t="s">
        <v>1601</v>
      </c>
      <c r="AC1336" t="s">
        <v>1610</v>
      </c>
      <c r="AD1336" t="s">
        <v>1607</v>
      </c>
      <c r="AE1336" t="s">
        <v>1617</v>
      </c>
      <c r="AF1336" t="s">
        <v>1626</v>
      </c>
    </row>
    <row r="1337" spans="1:32" x14ac:dyDescent="0.25">
      <c r="A1337" t="s">
        <v>1394</v>
      </c>
      <c r="B1337">
        <v>39</v>
      </c>
      <c r="C1337">
        <v>835</v>
      </c>
      <c r="D1337">
        <v>19</v>
      </c>
      <c r="E1337">
        <v>41</v>
      </c>
      <c r="F1337">
        <v>3902</v>
      </c>
      <c r="G1337">
        <v>5141</v>
      </c>
      <c r="H1337">
        <v>8</v>
      </c>
      <c r="I1337">
        <v>14</v>
      </c>
      <c r="J1337">
        <v>7</v>
      </c>
      <c r="K1337">
        <v>2</v>
      </c>
      <c r="L1337">
        <v>2</v>
      </c>
      <c r="M1337">
        <v>2</v>
      </c>
      <c r="N1337">
        <v>2</v>
      </c>
      <c r="O1337">
        <v>2</v>
      </c>
      <c r="P1337" t="s">
        <v>1556</v>
      </c>
      <c r="Q1337" t="s">
        <v>1552</v>
      </c>
      <c r="R1337" t="s">
        <v>1550</v>
      </c>
      <c r="S1337" t="s">
        <v>1535</v>
      </c>
      <c r="T1337" t="s">
        <v>1539</v>
      </c>
      <c r="U1337" t="s">
        <v>1548</v>
      </c>
      <c r="V1337" t="s">
        <v>1559</v>
      </c>
      <c r="W1337" t="s">
        <v>1563</v>
      </c>
      <c r="X1337" t="s">
        <v>1576</v>
      </c>
      <c r="Y1337" t="s">
        <v>1582</v>
      </c>
      <c r="Z1337" t="s">
        <v>1594</v>
      </c>
      <c r="AA1337" t="s">
        <v>1598</v>
      </c>
      <c r="AB1337" t="s">
        <v>1601</v>
      </c>
      <c r="AC1337" t="s">
        <v>1610</v>
      </c>
      <c r="AD1337" t="s">
        <v>1605</v>
      </c>
      <c r="AE1337" t="s">
        <v>1619</v>
      </c>
      <c r="AF1337" t="s">
        <v>1627</v>
      </c>
    </row>
    <row r="1338" spans="1:32" x14ac:dyDescent="0.25">
      <c r="A1338" t="s">
        <v>1395</v>
      </c>
      <c r="B1338">
        <v>55</v>
      </c>
      <c r="C1338">
        <v>836</v>
      </c>
      <c r="D1338">
        <v>2</v>
      </c>
      <c r="E1338">
        <v>98</v>
      </c>
      <c r="F1338">
        <v>2662</v>
      </c>
      <c r="G1338">
        <v>7975</v>
      </c>
      <c r="H1338">
        <v>8</v>
      </c>
      <c r="I1338">
        <v>20</v>
      </c>
      <c r="J1338">
        <v>19</v>
      </c>
      <c r="K1338">
        <v>2</v>
      </c>
      <c r="L1338">
        <v>5</v>
      </c>
      <c r="M1338">
        <v>2</v>
      </c>
      <c r="N1338">
        <v>0</v>
      </c>
      <c r="O1338">
        <v>4</v>
      </c>
      <c r="P1338" t="s">
        <v>1556</v>
      </c>
      <c r="Q1338" t="s">
        <v>1552</v>
      </c>
      <c r="R1338" t="s">
        <v>1550</v>
      </c>
      <c r="S1338" t="s">
        <v>1535</v>
      </c>
      <c r="T1338" t="s">
        <v>1542</v>
      </c>
      <c r="U1338" t="s">
        <v>1546</v>
      </c>
      <c r="V1338" t="s">
        <v>1559</v>
      </c>
      <c r="W1338" t="s">
        <v>1562</v>
      </c>
      <c r="X1338" t="s">
        <v>1575</v>
      </c>
      <c r="Y1338" t="s">
        <v>1582</v>
      </c>
      <c r="Z1338" t="s">
        <v>1594</v>
      </c>
      <c r="AA1338" t="s">
        <v>1597</v>
      </c>
      <c r="AB1338" t="s">
        <v>1601</v>
      </c>
      <c r="AC1338" t="s">
        <v>1611</v>
      </c>
      <c r="AD1338" t="s">
        <v>1605</v>
      </c>
      <c r="AE1338" t="s">
        <v>1617</v>
      </c>
      <c r="AF1338" t="s">
        <v>1628</v>
      </c>
    </row>
    <row r="1339" spans="1:32" x14ac:dyDescent="0.25">
      <c r="A1339" t="s">
        <v>1396</v>
      </c>
      <c r="B1339">
        <v>28</v>
      </c>
      <c r="C1339">
        <v>1172</v>
      </c>
      <c r="D1339">
        <v>3</v>
      </c>
      <c r="E1339">
        <v>78</v>
      </c>
      <c r="F1339">
        <v>2856</v>
      </c>
      <c r="G1339">
        <v>3692</v>
      </c>
      <c r="H1339">
        <v>1</v>
      </c>
      <c r="I1339">
        <v>19</v>
      </c>
      <c r="J1339">
        <v>1</v>
      </c>
      <c r="K1339">
        <v>3</v>
      </c>
      <c r="L1339">
        <v>1</v>
      </c>
      <c r="M1339">
        <v>0</v>
      </c>
      <c r="N1339">
        <v>0</v>
      </c>
      <c r="O1339">
        <v>0</v>
      </c>
      <c r="P1339" t="s">
        <v>1556</v>
      </c>
      <c r="Q1339" t="s">
        <v>1552</v>
      </c>
      <c r="R1339" t="s">
        <v>1549</v>
      </c>
      <c r="S1339" t="s">
        <v>1534</v>
      </c>
      <c r="T1339" t="s">
        <v>1540</v>
      </c>
      <c r="U1339" t="s">
        <v>1546</v>
      </c>
      <c r="V1339" t="s">
        <v>1558</v>
      </c>
      <c r="W1339" t="s">
        <v>1563</v>
      </c>
      <c r="X1339" t="s">
        <v>1575</v>
      </c>
      <c r="Y1339" t="s">
        <v>1587</v>
      </c>
      <c r="Z1339" t="s">
        <v>1592</v>
      </c>
      <c r="AA1339" t="s">
        <v>1597</v>
      </c>
      <c r="AB1339" t="s">
        <v>1601</v>
      </c>
      <c r="AC1339" t="s">
        <v>1610</v>
      </c>
      <c r="AD1339" t="s">
        <v>1607</v>
      </c>
      <c r="AE1339" t="s">
        <v>1617</v>
      </c>
      <c r="AF1339" t="s">
        <v>1627</v>
      </c>
    </row>
    <row r="1340" spans="1:32" x14ac:dyDescent="0.25">
      <c r="A1340" t="s">
        <v>1397</v>
      </c>
      <c r="B1340">
        <v>30</v>
      </c>
      <c r="C1340">
        <v>945</v>
      </c>
      <c r="D1340">
        <v>9</v>
      </c>
      <c r="E1340">
        <v>89</v>
      </c>
      <c r="F1340">
        <v>1081</v>
      </c>
      <c r="G1340">
        <v>16019</v>
      </c>
      <c r="H1340">
        <v>1</v>
      </c>
      <c r="I1340">
        <v>13</v>
      </c>
      <c r="J1340">
        <v>1</v>
      </c>
      <c r="K1340">
        <v>3</v>
      </c>
      <c r="L1340">
        <v>1</v>
      </c>
      <c r="M1340">
        <v>0</v>
      </c>
      <c r="N1340">
        <v>0</v>
      </c>
      <c r="O1340">
        <v>0</v>
      </c>
      <c r="P1340" t="s">
        <v>1555</v>
      </c>
      <c r="Q1340" t="s">
        <v>1552</v>
      </c>
      <c r="R1340" t="s">
        <v>1549</v>
      </c>
      <c r="S1340" t="s">
        <v>1534</v>
      </c>
      <c r="T1340" t="s">
        <v>1540</v>
      </c>
      <c r="U1340" t="s">
        <v>1546</v>
      </c>
      <c r="V1340" t="s">
        <v>1559</v>
      </c>
      <c r="W1340" t="s">
        <v>1563</v>
      </c>
      <c r="X1340" t="s">
        <v>1575</v>
      </c>
      <c r="Y1340" t="s">
        <v>1587</v>
      </c>
      <c r="Z1340" t="s">
        <v>1594</v>
      </c>
      <c r="AA1340" t="s">
        <v>1596</v>
      </c>
      <c r="AB1340" t="s">
        <v>1601</v>
      </c>
      <c r="AC1340" t="s">
        <v>1610</v>
      </c>
      <c r="AD1340" t="s">
        <v>1606</v>
      </c>
      <c r="AE1340" t="s">
        <v>1616</v>
      </c>
      <c r="AF1340" t="s">
        <v>1626</v>
      </c>
    </row>
    <row r="1341" spans="1:32" x14ac:dyDescent="0.25">
      <c r="A1341" t="s">
        <v>1398</v>
      </c>
      <c r="B1341">
        <v>22</v>
      </c>
      <c r="C1341">
        <v>391</v>
      </c>
      <c r="D1341">
        <v>7</v>
      </c>
      <c r="E1341">
        <v>75</v>
      </c>
      <c r="F1341">
        <v>2472</v>
      </c>
      <c r="G1341">
        <v>26092</v>
      </c>
      <c r="H1341">
        <v>1</v>
      </c>
      <c r="I1341">
        <v>23</v>
      </c>
      <c r="J1341">
        <v>1</v>
      </c>
      <c r="K1341">
        <v>2</v>
      </c>
      <c r="L1341">
        <v>1</v>
      </c>
      <c r="M1341">
        <v>0</v>
      </c>
      <c r="N1341">
        <v>0</v>
      </c>
      <c r="O1341">
        <v>0</v>
      </c>
      <c r="P1341" t="s">
        <v>1555</v>
      </c>
      <c r="Q1341" t="s">
        <v>1552</v>
      </c>
      <c r="R1341" t="s">
        <v>1550</v>
      </c>
      <c r="S1341" t="s">
        <v>1532</v>
      </c>
      <c r="T1341" t="s">
        <v>1538</v>
      </c>
      <c r="U1341" t="s">
        <v>1548</v>
      </c>
      <c r="V1341" t="s">
        <v>1559</v>
      </c>
      <c r="W1341" t="s">
        <v>1563</v>
      </c>
      <c r="X1341" t="s">
        <v>1575</v>
      </c>
      <c r="Y1341" t="s">
        <v>1582</v>
      </c>
      <c r="Z1341" t="s">
        <v>1592</v>
      </c>
      <c r="AA1341" t="s">
        <v>1596</v>
      </c>
      <c r="AB1341" t="s">
        <v>1600</v>
      </c>
      <c r="AC1341" t="s">
        <v>1611</v>
      </c>
      <c r="AD1341" t="s">
        <v>1604</v>
      </c>
      <c r="AE1341" t="s">
        <v>1616</v>
      </c>
      <c r="AF1341" t="s">
        <v>1627</v>
      </c>
    </row>
    <row r="1342" spans="1:32" x14ac:dyDescent="0.25">
      <c r="A1342" t="s">
        <v>1399</v>
      </c>
      <c r="B1342">
        <v>36</v>
      </c>
      <c r="C1342">
        <v>1266</v>
      </c>
      <c r="D1342">
        <v>10</v>
      </c>
      <c r="E1342">
        <v>63</v>
      </c>
      <c r="F1342">
        <v>5673</v>
      </c>
      <c r="G1342">
        <v>6060</v>
      </c>
      <c r="H1342">
        <v>1</v>
      </c>
      <c r="I1342">
        <v>13</v>
      </c>
      <c r="J1342">
        <v>10</v>
      </c>
      <c r="K1342">
        <v>4</v>
      </c>
      <c r="L1342">
        <v>10</v>
      </c>
      <c r="M1342">
        <v>9</v>
      </c>
      <c r="N1342">
        <v>1</v>
      </c>
      <c r="O1342">
        <v>7</v>
      </c>
      <c r="P1342" t="s">
        <v>1556</v>
      </c>
      <c r="Q1342" t="s">
        <v>1552</v>
      </c>
      <c r="R1342" t="s">
        <v>1549</v>
      </c>
      <c r="S1342" t="s">
        <v>1535</v>
      </c>
      <c r="T1342" t="s">
        <v>1542</v>
      </c>
      <c r="U1342" t="s">
        <v>1546</v>
      </c>
      <c r="V1342" t="s">
        <v>1558</v>
      </c>
      <c r="W1342" t="s">
        <v>1562</v>
      </c>
      <c r="X1342" t="s">
        <v>1576</v>
      </c>
      <c r="Y1342" t="s">
        <v>1581</v>
      </c>
      <c r="Z1342" t="s">
        <v>1593</v>
      </c>
      <c r="AA1342" t="s">
        <v>1597</v>
      </c>
      <c r="AB1342" t="s">
        <v>1600</v>
      </c>
      <c r="AC1342" t="s">
        <v>1610</v>
      </c>
      <c r="AD1342" t="s">
        <v>1604</v>
      </c>
      <c r="AE1342" t="s">
        <v>1617</v>
      </c>
      <c r="AF1342" t="s">
        <v>1627</v>
      </c>
    </row>
    <row r="1343" spans="1:32" x14ac:dyDescent="0.25">
      <c r="A1343" t="s">
        <v>1400</v>
      </c>
      <c r="B1343">
        <v>31</v>
      </c>
      <c r="C1343">
        <v>311</v>
      </c>
      <c r="D1343">
        <v>20</v>
      </c>
      <c r="E1343">
        <v>89</v>
      </c>
      <c r="F1343">
        <v>4197</v>
      </c>
      <c r="G1343">
        <v>18624</v>
      </c>
      <c r="H1343">
        <v>1</v>
      </c>
      <c r="I1343">
        <v>11</v>
      </c>
      <c r="J1343">
        <v>10</v>
      </c>
      <c r="K1343">
        <v>2</v>
      </c>
      <c r="L1343">
        <v>10</v>
      </c>
      <c r="M1343">
        <v>8</v>
      </c>
      <c r="N1343">
        <v>0</v>
      </c>
      <c r="O1343">
        <v>2</v>
      </c>
      <c r="P1343" t="s">
        <v>1556</v>
      </c>
      <c r="Q1343" t="s">
        <v>1552</v>
      </c>
      <c r="R1343" t="s">
        <v>1550</v>
      </c>
      <c r="S1343" t="s">
        <v>1534</v>
      </c>
      <c r="T1343" t="s">
        <v>1538</v>
      </c>
      <c r="U1343" t="s">
        <v>1546</v>
      </c>
      <c r="V1343" t="s">
        <v>1559</v>
      </c>
      <c r="W1343" t="s">
        <v>1563</v>
      </c>
      <c r="X1343" t="s">
        <v>1576</v>
      </c>
      <c r="Y1343" t="s">
        <v>1583</v>
      </c>
      <c r="Z1343" t="s">
        <v>1593</v>
      </c>
      <c r="AA1343" t="s">
        <v>1598</v>
      </c>
      <c r="AB1343" t="s">
        <v>1601</v>
      </c>
      <c r="AC1343" t="s">
        <v>1610</v>
      </c>
      <c r="AD1343" t="s">
        <v>1604</v>
      </c>
      <c r="AE1343" t="s">
        <v>1617</v>
      </c>
      <c r="AF1343" t="s">
        <v>1627</v>
      </c>
    </row>
    <row r="1344" spans="1:32" x14ac:dyDescent="0.25">
      <c r="A1344" t="s">
        <v>1401</v>
      </c>
      <c r="B1344">
        <v>34</v>
      </c>
      <c r="C1344">
        <v>1480</v>
      </c>
      <c r="D1344">
        <v>4</v>
      </c>
      <c r="E1344">
        <v>64</v>
      </c>
      <c r="F1344">
        <v>9713</v>
      </c>
      <c r="G1344">
        <v>24444</v>
      </c>
      <c r="H1344">
        <v>2</v>
      </c>
      <c r="I1344">
        <v>13</v>
      </c>
      <c r="J1344">
        <v>9</v>
      </c>
      <c r="K1344">
        <v>3</v>
      </c>
      <c r="L1344">
        <v>5</v>
      </c>
      <c r="M1344">
        <v>3</v>
      </c>
      <c r="N1344">
        <v>1</v>
      </c>
      <c r="O1344">
        <v>0</v>
      </c>
      <c r="P1344" t="s">
        <v>1556</v>
      </c>
      <c r="Q1344" t="s">
        <v>1552</v>
      </c>
      <c r="R1344" t="s">
        <v>1549</v>
      </c>
      <c r="S1344" t="s">
        <v>1534</v>
      </c>
      <c r="T1344" t="s">
        <v>1538</v>
      </c>
      <c r="U1344" t="s">
        <v>1547</v>
      </c>
      <c r="V1344" t="s">
        <v>1559</v>
      </c>
      <c r="W1344" t="s">
        <v>1563</v>
      </c>
      <c r="X1344" t="s">
        <v>1577</v>
      </c>
      <c r="Y1344" t="s">
        <v>1581</v>
      </c>
      <c r="Z1344" t="s">
        <v>1594</v>
      </c>
      <c r="AA1344" t="s">
        <v>1597</v>
      </c>
      <c r="AB1344" t="s">
        <v>1600</v>
      </c>
      <c r="AC1344" t="s">
        <v>1610</v>
      </c>
      <c r="AD1344" t="s">
        <v>1607</v>
      </c>
      <c r="AE1344" t="s">
        <v>1619</v>
      </c>
      <c r="AF1344" t="s">
        <v>1627</v>
      </c>
    </row>
    <row r="1345" spans="1:32" x14ac:dyDescent="0.25">
      <c r="A1345" t="s">
        <v>1402</v>
      </c>
      <c r="B1345">
        <v>29</v>
      </c>
      <c r="C1345">
        <v>592</v>
      </c>
      <c r="D1345">
        <v>7</v>
      </c>
      <c r="E1345">
        <v>59</v>
      </c>
      <c r="F1345">
        <v>2062</v>
      </c>
      <c r="G1345">
        <v>19384</v>
      </c>
      <c r="H1345">
        <v>3</v>
      </c>
      <c r="I1345">
        <v>14</v>
      </c>
      <c r="J1345">
        <v>11</v>
      </c>
      <c r="K1345">
        <v>2</v>
      </c>
      <c r="L1345">
        <v>3</v>
      </c>
      <c r="M1345">
        <v>2</v>
      </c>
      <c r="N1345">
        <v>1</v>
      </c>
      <c r="O1345">
        <v>2</v>
      </c>
      <c r="P1345" t="s">
        <v>1556</v>
      </c>
      <c r="Q1345" t="s">
        <v>1552</v>
      </c>
      <c r="R1345" t="s">
        <v>1550</v>
      </c>
      <c r="S1345" t="s">
        <v>1534</v>
      </c>
      <c r="T1345" t="s">
        <v>1538</v>
      </c>
      <c r="U1345" t="s">
        <v>1548</v>
      </c>
      <c r="V1345" t="s">
        <v>1559</v>
      </c>
      <c r="W1345" t="s">
        <v>1563</v>
      </c>
      <c r="X1345" t="s">
        <v>1575</v>
      </c>
      <c r="Y1345" t="s">
        <v>1583</v>
      </c>
      <c r="Z1345" t="s">
        <v>1591</v>
      </c>
      <c r="AA1345" t="s">
        <v>1596</v>
      </c>
      <c r="AB1345" t="s">
        <v>1601</v>
      </c>
      <c r="AC1345" t="s">
        <v>1610</v>
      </c>
      <c r="AD1345" t="s">
        <v>1605</v>
      </c>
      <c r="AE1345" t="s">
        <v>1616</v>
      </c>
      <c r="AF1345" t="s">
        <v>1627</v>
      </c>
    </row>
    <row r="1346" spans="1:32" x14ac:dyDescent="0.25">
      <c r="A1346" t="s">
        <v>1403</v>
      </c>
      <c r="B1346">
        <v>37</v>
      </c>
      <c r="C1346">
        <v>783</v>
      </c>
      <c r="D1346">
        <v>7</v>
      </c>
      <c r="E1346">
        <v>78</v>
      </c>
      <c r="F1346">
        <v>4284</v>
      </c>
      <c r="G1346">
        <v>13588</v>
      </c>
      <c r="H1346">
        <v>5</v>
      </c>
      <c r="I1346">
        <v>22</v>
      </c>
      <c r="J1346">
        <v>16</v>
      </c>
      <c r="K1346">
        <v>2</v>
      </c>
      <c r="L1346">
        <v>5</v>
      </c>
      <c r="M1346">
        <v>3</v>
      </c>
      <c r="N1346">
        <v>0</v>
      </c>
      <c r="O1346">
        <v>4</v>
      </c>
      <c r="P1346" t="s">
        <v>1556</v>
      </c>
      <c r="Q1346" t="s">
        <v>1552</v>
      </c>
      <c r="R1346" t="s">
        <v>1550</v>
      </c>
      <c r="S1346" t="s">
        <v>1535</v>
      </c>
      <c r="T1346" t="s">
        <v>1540</v>
      </c>
      <c r="U1346" t="s">
        <v>1548</v>
      </c>
      <c r="V1346" t="s">
        <v>1559</v>
      </c>
      <c r="W1346" t="s">
        <v>1563</v>
      </c>
      <c r="X1346" t="s">
        <v>1576</v>
      </c>
      <c r="Y1346" t="s">
        <v>1582</v>
      </c>
      <c r="Z1346" t="s">
        <v>1591</v>
      </c>
      <c r="AA1346" t="s">
        <v>1597</v>
      </c>
      <c r="AB1346" t="s">
        <v>1600</v>
      </c>
      <c r="AC1346" t="s">
        <v>1611</v>
      </c>
      <c r="AD1346" t="s">
        <v>1606</v>
      </c>
      <c r="AE1346" t="s">
        <v>1617</v>
      </c>
      <c r="AF1346" t="s">
        <v>1627</v>
      </c>
    </row>
    <row r="1347" spans="1:32" x14ac:dyDescent="0.25">
      <c r="A1347" t="s">
        <v>1404</v>
      </c>
      <c r="B1347">
        <v>35</v>
      </c>
      <c r="C1347">
        <v>219</v>
      </c>
      <c r="D1347">
        <v>16</v>
      </c>
      <c r="E1347">
        <v>44</v>
      </c>
      <c r="F1347">
        <v>4788</v>
      </c>
      <c r="G1347">
        <v>25388</v>
      </c>
      <c r="H1347">
        <v>0</v>
      </c>
      <c r="I1347">
        <v>11</v>
      </c>
      <c r="J1347">
        <v>4</v>
      </c>
      <c r="K1347">
        <v>2</v>
      </c>
      <c r="L1347">
        <v>3</v>
      </c>
      <c r="M1347">
        <v>2</v>
      </c>
      <c r="N1347">
        <v>0</v>
      </c>
      <c r="O1347">
        <v>2</v>
      </c>
      <c r="P1347" t="s">
        <v>1556</v>
      </c>
      <c r="Q1347" t="s">
        <v>1552</v>
      </c>
      <c r="R1347" t="s">
        <v>1550</v>
      </c>
      <c r="S1347" t="s">
        <v>1533</v>
      </c>
      <c r="T1347" t="s">
        <v>1539</v>
      </c>
      <c r="U1347" t="s">
        <v>1548</v>
      </c>
      <c r="V1347" t="s">
        <v>1558</v>
      </c>
      <c r="W1347" t="s">
        <v>1562</v>
      </c>
      <c r="X1347" t="s">
        <v>1576</v>
      </c>
      <c r="Y1347" t="s">
        <v>1584</v>
      </c>
      <c r="Z1347" t="s">
        <v>1592</v>
      </c>
      <c r="AA1347" t="s">
        <v>1597</v>
      </c>
      <c r="AB1347" t="s">
        <v>1600</v>
      </c>
      <c r="AC1347" t="s">
        <v>1610</v>
      </c>
      <c r="AD1347" t="s">
        <v>1607</v>
      </c>
      <c r="AE1347" t="s">
        <v>1616</v>
      </c>
      <c r="AF1347" t="s">
        <v>1627</v>
      </c>
    </row>
    <row r="1348" spans="1:32" x14ac:dyDescent="0.25">
      <c r="A1348" t="s">
        <v>1405</v>
      </c>
      <c r="B1348">
        <v>45</v>
      </c>
      <c r="C1348">
        <v>556</v>
      </c>
      <c r="D1348">
        <v>25</v>
      </c>
      <c r="E1348">
        <v>93</v>
      </c>
      <c r="F1348">
        <v>5906</v>
      </c>
      <c r="G1348">
        <v>23888</v>
      </c>
      <c r="H1348">
        <v>0</v>
      </c>
      <c r="I1348">
        <v>13</v>
      </c>
      <c r="J1348">
        <v>10</v>
      </c>
      <c r="K1348">
        <v>2</v>
      </c>
      <c r="L1348">
        <v>9</v>
      </c>
      <c r="M1348">
        <v>8</v>
      </c>
      <c r="N1348">
        <v>3</v>
      </c>
      <c r="O1348">
        <v>8</v>
      </c>
      <c r="P1348" t="s">
        <v>1556</v>
      </c>
      <c r="Q1348" t="s">
        <v>1552</v>
      </c>
      <c r="R1348" t="s">
        <v>1550</v>
      </c>
      <c r="S1348" t="s">
        <v>1533</v>
      </c>
      <c r="T1348" t="s">
        <v>1538</v>
      </c>
      <c r="U1348" t="s">
        <v>1546</v>
      </c>
      <c r="V1348" t="s">
        <v>1558</v>
      </c>
      <c r="W1348" t="s">
        <v>1562</v>
      </c>
      <c r="X1348" t="s">
        <v>1576</v>
      </c>
      <c r="Y1348" t="s">
        <v>1584</v>
      </c>
      <c r="Z1348" t="s">
        <v>1594</v>
      </c>
      <c r="AA1348" t="s">
        <v>1597</v>
      </c>
      <c r="AB1348" t="s">
        <v>1601</v>
      </c>
      <c r="AC1348" t="s">
        <v>1610</v>
      </c>
      <c r="AD1348" t="s">
        <v>1607</v>
      </c>
      <c r="AE1348" t="s">
        <v>1618</v>
      </c>
      <c r="AF1348" t="s">
        <v>1626</v>
      </c>
    </row>
    <row r="1349" spans="1:32" x14ac:dyDescent="0.25">
      <c r="A1349" t="s">
        <v>1406</v>
      </c>
      <c r="B1349">
        <v>36</v>
      </c>
      <c r="C1349">
        <v>1213</v>
      </c>
      <c r="D1349">
        <v>2</v>
      </c>
      <c r="E1349">
        <v>94</v>
      </c>
      <c r="F1349">
        <v>3886</v>
      </c>
      <c r="G1349">
        <v>4223</v>
      </c>
      <c r="H1349">
        <v>1</v>
      </c>
      <c r="I1349">
        <v>21</v>
      </c>
      <c r="J1349">
        <v>10</v>
      </c>
      <c r="K1349">
        <v>2</v>
      </c>
      <c r="L1349">
        <v>10</v>
      </c>
      <c r="M1349">
        <v>1</v>
      </c>
      <c r="N1349">
        <v>0</v>
      </c>
      <c r="O1349">
        <v>8</v>
      </c>
      <c r="P1349" t="s">
        <v>1556</v>
      </c>
      <c r="Q1349" t="s">
        <v>1553</v>
      </c>
      <c r="R1349" t="s">
        <v>1551</v>
      </c>
      <c r="S1349" t="s">
        <v>1532</v>
      </c>
      <c r="T1349" t="s">
        <v>1543</v>
      </c>
      <c r="U1349" t="s">
        <v>1546</v>
      </c>
      <c r="V1349" t="s">
        <v>1559</v>
      </c>
      <c r="W1349" t="s">
        <v>1562</v>
      </c>
      <c r="X1349" t="s">
        <v>1576</v>
      </c>
      <c r="Y1349" t="s">
        <v>1589</v>
      </c>
      <c r="Z1349" t="s">
        <v>1594</v>
      </c>
      <c r="AA1349" t="s">
        <v>1596</v>
      </c>
      <c r="AB1349" t="s">
        <v>1601</v>
      </c>
      <c r="AC1349" t="s">
        <v>1611</v>
      </c>
      <c r="AD1349" t="s">
        <v>1607</v>
      </c>
      <c r="AE1349" t="s">
        <v>1616</v>
      </c>
      <c r="AF1349" t="s">
        <v>1626</v>
      </c>
    </row>
    <row r="1350" spans="1:32" x14ac:dyDescent="0.25">
      <c r="A1350" t="s">
        <v>1407</v>
      </c>
      <c r="B1350">
        <v>40</v>
      </c>
      <c r="C1350">
        <v>1137</v>
      </c>
      <c r="D1350">
        <v>1</v>
      </c>
      <c r="E1350">
        <v>98</v>
      </c>
      <c r="F1350">
        <v>16823</v>
      </c>
      <c r="G1350">
        <v>18991</v>
      </c>
      <c r="H1350">
        <v>2</v>
      </c>
      <c r="I1350">
        <v>11</v>
      </c>
      <c r="J1350">
        <v>22</v>
      </c>
      <c r="K1350">
        <v>3</v>
      </c>
      <c r="L1350">
        <v>19</v>
      </c>
      <c r="M1350">
        <v>7</v>
      </c>
      <c r="N1350">
        <v>11</v>
      </c>
      <c r="O1350">
        <v>16</v>
      </c>
      <c r="P1350" t="s">
        <v>1556</v>
      </c>
      <c r="Q1350" t="s">
        <v>1552</v>
      </c>
      <c r="R1350" t="s">
        <v>1550</v>
      </c>
      <c r="S1350" t="s">
        <v>1535</v>
      </c>
      <c r="T1350" t="s">
        <v>1538</v>
      </c>
      <c r="U1350" t="s">
        <v>1545</v>
      </c>
      <c r="V1350" t="s">
        <v>1559</v>
      </c>
      <c r="W1350" t="s">
        <v>1563</v>
      </c>
      <c r="X1350" t="s">
        <v>1578</v>
      </c>
      <c r="Y1350" t="s">
        <v>1586</v>
      </c>
      <c r="Z1350" t="s">
        <v>1591</v>
      </c>
      <c r="AA1350" t="s">
        <v>1598</v>
      </c>
      <c r="AB1350" t="s">
        <v>1601</v>
      </c>
      <c r="AC1350" t="s">
        <v>1610</v>
      </c>
      <c r="AD1350" t="s">
        <v>1604</v>
      </c>
      <c r="AE1350" t="s">
        <v>1617</v>
      </c>
      <c r="AF1350" t="s">
        <v>1627</v>
      </c>
    </row>
    <row r="1351" spans="1:32" x14ac:dyDescent="0.25">
      <c r="A1351" t="s">
        <v>1408</v>
      </c>
      <c r="B1351">
        <v>26</v>
      </c>
      <c r="C1351">
        <v>482</v>
      </c>
      <c r="D1351">
        <v>1</v>
      </c>
      <c r="E1351">
        <v>90</v>
      </c>
      <c r="F1351">
        <v>2933</v>
      </c>
      <c r="G1351">
        <v>14908</v>
      </c>
      <c r="H1351">
        <v>1</v>
      </c>
      <c r="I1351">
        <v>13</v>
      </c>
      <c r="J1351">
        <v>1</v>
      </c>
      <c r="K1351">
        <v>3</v>
      </c>
      <c r="L1351">
        <v>1</v>
      </c>
      <c r="M1351">
        <v>0</v>
      </c>
      <c r="N1351">
        <v>1</v>
      </c>
      <c r="O1351">
        <v>0</v>
      </c>
      <c r="P1351" t="s">
        <v>1556</v>
      </c>
      <c r="Q1351" t="s">
        <v>1552</v>
      </c>
      <c r="R1351" t="s">
        <v>1550</v>
      </c>
      <c r="S1351" t="s">
        <v>1533</v>
      </c>
      <c r="T1351" t="s">
        <v>1538</v>
      </c>
      <c r="U1351" t="s">
        <v>1546</v>
      </c>
      <c r="V1351" t="s">
        <v>1558</v>
      </c>
      <c r="W1351" t="s">
        <v>1562</v>
      </c>
      <c r="X1351" t="s">
        <v>1575</v>
      </c>
      <c r="Y1351" t="s">
        <v>1582</v>
      </c>
      <c r="Z1351" t="s">
        <v>1593</v>
      </c>
      <c r="AA1351" t="s">
        <v>1597</v>
      </c>
      <c r="AB1351" t="s">
        <v>1600</v>
      </c>
      <c r="AC1351" t="s">
        <v>1610</v>
      </c>
      <c r="AD1351" t="s">
        <v>1606</v>
      </c>
      <c r="AE1351" t="s">
        <v>1617</v>
      </c>
      <c r="AF1351" t="s">
        <v>1626</v>
      </c>
    </row>
    <row r="1352" spans="1:32" x14ac:dyDescent="0.25">
      <c r="A1352" t="s">
        <v>1409</v>
      </c>
      <c r="B1352">
        <v>27</v>
      </c>
      <c r="C1352">
        <v>511</v>
      </c>
      <c r="D1352">
        <v>2</v>
      </c>
      <c r="E1352">
        <v>89</v>
      </c>
      <c r="F1352">
        <v>6500</v>
      </c>
      <c r="G1352">
        <v>26997</v>
      </c>
      <c r="H1352">
        <v>0</v>
      </c>
      <c r="I1352">
        <v>14</v>
      </c>
      <c r="J1352">
        <v>9</v>
      </c>
      <c r="K1352">
        <v>5</v>
      </c>
      <c r="L1352">
        <v>8</v>
      </c>
      <c r="M1352">
        <v>7</v>
      </c>
      <c r="N1352">
        <v>0</v>
      </c>
      <c r="O1352">
        <v>7</v>
      </c>
      <c r="P1352" t="s">
        <v>1556</v>
      </c>
      <c r="Q1352" t="s">
        <v>1552</v>
      </c>
      <c r="R1352" t="s">
        <v>1549</v>
      </c>
      <c r="S1352" t="s">
        <v>1533</v>
      </c>
      <c r="T1352" t="s">
        <v>1540</v>
      </c>
      <c r="U1352" t="s">
        <v>1545</v>
      </c>
      <c r="V1352" t="s">
        <v>1558</v>
      </c>
      <c r="W1352" t="s">
        <v>1564</v>
      </c>
      <c r="X1352" t="s">
        <v>1576</v>
      </c>
      <c r="Y1352" t="s">
        <v>1581</v>
      </c>
      <c r="Z1352" t="s">
        <v>1593</v>
      </c>
      <c r="AA1352" t="s">
        <v>1596</v>
      </c>
      <c r="AB1352" t="s">
        <v>1601</v>
      </c>
      <c r="AC1352" t="s">
        <v>1610</v>
      </c>
      <c r="AD1352" t="s">
        <v>1605</v>
      </c>
      <c r="AE1352" t="s">
        <v>1616</v>
      </c>
      <c r="AF1352" t="s">
        <v>1626</v>
      </c>
    </row>
    <row r="1353" spans="1:32" x14ac:dyDescent="0.25">
      <c r="A1353" t="s">
        <v>1410</v>
      </c>
      <c r="B1353">
        <v>48</v>
      </c>
      <c r="C1353">
        <v>117</v>
      </c>
      <c r="D1353">
        <v>22</v>
      </c>
      <c r="E1353">
        <v>58</v>
      </c>
      <c r="F1353">
        <v>17174</v>
      </c>
      <c r="G1353">
        <v>2437</v>
      </c>
      <c r="H1353">
        <v>3</v>
      </c>
      <c r="I1353">
        <v>11</v>
      </c>
      <c r="J1353">
        <v>24</v>
      </c>
      <c r="K1353">
        <v>3</v>
      </c>
      <c r="L1353">
        <v>22</v>
      </c>
      <c r="M1353">
        <v>17</v>
      </c>
      <c r="N1353">
        <v>4</v>
      </c>
      <c r="O1353">
        <v>7</v>
      </c>
      <c r="P1353" t="s">
        <v>1556</v>
      </c>
      <c r="Q1353" t="s">
        <v>1553</v>
      </c>
      <c r="R1353" t="s">
        <v>1550</v>
      </c>
      <c r="S1353" t="s">
        <v>1534</v>
      </c>
      <c r="T1353" t="s">
        <v>1540</v>
      </c>
      <c r="U1353" t="s">
        <v>1548</v>
      </c>
      <c r="V1353" t="s">
        <v>1558</v>
      </c>
      <c r="W1353" t="s">
        <v>1563</v>
      </c>
      <c r="X1353" t="s">
        <v>1578</v>
      </c>
      <c r="Y1353" t="s">
        <v>1586</v>
      </c>
      <c r="Z1353" t="s">
        <v>1594</v>
      </c>
      <c r="AA1353" t="s">
        <v>1598</v>
      </c>
      <c r="AB1353" t="s">
        <v>1601</v>
      </c>
      <c r="AC1353" t="s">
        <v>1610</v>
      </c>
      <c r="AD1353" t="s">
        <v>1605</v>
      </c>
      <c r="AE1353" t="s">
        <v>1617</v>
      </c>
      <c r="AF1353" t="s">
        <v>1627</v>
      </c>
    </row>
    <row r="1354" spans="1:32" x14ac:dyDescent="0.25">
      <c r="A1354" t="s">
        <v>1411</v>
      </c>
      <c r="B1354">
        <v>44</v>
      </c>
      <c r="C1354">
        <v>170</v>
      </c>
      <c r="D1354">
        <v>1</v>
      </c>
      <c r="E1354">
        <v>78</v>
      </c>
      <c r="F1354">
        <v>5033</v>
      </c>
      <c r="G1354">
        <v>9364</v>
      </c>
      <c r="H1354">
        <v>2</v>
      </c>
      <c r="I1354">
        <v>15</v>
      </c>
      <c r="J1354">
        <v>10</v>
      </c>
      <c r="K1354">
        <v>5</v>
      </c>
      <c r="L1354">
        <v>2</v>
      </c>
      <c r="M1354">
        <v>0</v>
      </c>
      <c r="N1354">
        <v>2</v>
      </c>
      <c r="O1354">
        <v>2</v>
      </c>
      <c r="P1354" t="s">
        <v>1556</v>
      </c>
      <c r="Q1354" t="s">
        <v>1552</v>
      </c>
      <c r="R1354" t="s">
        <v>1550</v>
      </c>
      <c r="S1354" t="s">
        <v>1535</v>
      </c>
      <c r="T1354" t="s">
        <v>1538</v>
      </c>
      <c r="U1354" t="s">
        <v>1546</v>
      </c>
      <c r="V1354" t="s">
        <v>1559</v>
      </c>
      <c r="W1354" t="s">
        <v>1564</v>
      </c>
      <c r="X1354" t="s">
        <v>1576</v>
      </c>
      <c r="Y1354" t="s">
        <v>1585</v>
      </c>
      <c r="Z1354" t="s">
        <v>1591</v>
      </c>
      <c r="AA1354" t="s">
        <v>1597</v>
      </c>
      <c r="AB1354" t="s">
        <v>1601</v>
      </c>
      <c r="AC1354" t="s">
        <v>1610</v>
      </c>
      <c r="AD1354" t="s">
        <v>1607</v>
      </c>
      <c r="AE1354" t="s">
        <v>1617</v>
      </c>
      <c r="AF1354" t="s">
        <v>1627</v>
      </c>
    </row>
    <row r="1355" spans="1:32" x14ac:dyDescent="0.25">
      <c r="A1355" t="s">
        <v>1412</v>
      </c>
      <c r="B1355">
        <v>34</v>
      </c>
      <c r="C1355">
        <v>967</v>
      </c>
      <c r="D1355">
        <v>16</v>
      </c>
      <c r="E1355">
        <v>85</v>
      </c>
      <c r="F1355">
        <v>2307</v>
      </c>
      <c r="G1355">
        <v>14460</v>
      </c>
      <c r="H1355">
        <v>1</v>
      </c>
      <c r="I1355">
        <v>23</v>
      </c>
      <c r="J1355">
        <v>5</v>
      </c>
      <c r="K1355">
        <v>2</v>
      </c>
      <c r="L1355">
        <v>5</v>
      </c>
      <c r="M1355">
        <v>2</v>
      </c>
      <c r="N1355">
        <v>3</v>
      </c>
      <c r="O1355">
        <v>0</v>
      </c>
      <c r="P1355" t="s">
        <v>1555</v>
      </c>
      <c r="Q1355" t="s">
        <v>1554</v>
      </c>
      <c r="R1355" t="s">
        <v>1550</v>
      </c>
      <c r="S1355" t="s">
        <v>1535</v>
      </c>
      <c r="T1355" t="s">
        <v>1542</v>
      </c>
      <c r="U1355" t="s">
        <v>1548</v>
      </c>
      <c r="V1355" t="s">
        <v>1559</v>
      </c>
      <c r="W1355" t="s">
        <v>1561</v>
      </c>
      <c r="X1355" t="s">
        <v>1575</v>
      </c>
      <c r="Y1355" t="s">
        <v>1582</v>
      </c>
      <c r="Z1355" t="s">
        <v>1591</v>
      </c>
      <c r="AA1355" t="s">
        <v>1597</v>
      </c>
      <c r="AB1355" t="s">
        <v>1600</v>
      </c>
      <c r="AC1355" t="s">
        <v>1611</v>
      </c>
      <c r="AD1355" t="s">
        <v>1605</v>
      </c>
      <c r="AE1355" t="s">
        <v>1617</v>
      </c>
      <c r="AF1355" t="s">
        <v>1627</v>
      </c>
    </row>
    <row r="1356" spans="1:32" x14ac:dyDescent="0.25">
      <c r="A1356" t="s">
        <v>1413</v>
      </c>
      <c r="B1356">
        <v>56</v>
      </c>
      <c r="C1356">
        <v>1162</v>
      </c>
      <c r="D1356">
        <v>24</v>
      </c>
      <c r="E1356">
        <v>97</v>
      </c>
      <c r="F1356">
        <v>2587</v>
      </c>
      <c r="G1356">
        <v>10261</v>
      </c>
      <c r="H1356">
        <v>1</v>
      </c>
      <c r="I1356">
        <v>16</v>
      </c>
      <c r="J1356">
        <v>5</v>
      </c>
      <c r="K1356">
        <v>3</v>
      </c>
      <c r="L1356">
        <v>4</v>
      </c>
      <c r="M1356">
        <v>2</v>
      </c>
      <c r="N1356">
        <v>1</v>
      </c>
      <c r="O1356">
        <v>0</v>
      </c>
      <c r="P1356" t="s">
        <v>1555</v>
      </c>
      <c r="Q1356" t="s">
        <v>1552</v>
      </c>
      <c r="R1356" t="s">
        <v>1550</v>
      </c>
      <c r="S1356" t="s">
        <v>1533</v>
      </c>
      <c r="T1356" t="s">
        <v>1538</v>
      </c>
      <c r="U1356" t="s">
        <v>1545</v>
      </c>
      <c r="V1356" t="s">
        <v>1559</v>
      </c>
      <c r="W1356" t="s">
        <v>1563</v>
      </c>
      <c r="X1356" t="s">
        <v>1575</v>
      </c>
      <c r="Y1356" t="s">
        <v>1583</v>
      </c>
      <c r="Z1356" t="s">
        <v>1594</v>
      </c>
      <c r="AA1356" t="s">
        <v>1596</v>
      </c>
      <c r="AB1356" t="s">
        <v>1601</v>
      </c>
      <c r="AC1356" t="s">
        <v>1610</v>
      </c>
      <c r="AD1356" t="s">
        <v>1607</v>
      </c>
      <c r="AE1356" t="s">
        <v>1616</v>
      </c>
      <c r="AF1356" t="s">
        <v>1627</v>
      </c>
    </row>
    <row r="1357" spans="1:32" x14ac:dyDescent="0.25">
      <c r="A1357" t="s">
        <v>1414</v>
      </c>
      <c r="B1357">
        <v>36</v>
      </c>
      <c r="C1357">
        <v>335</v>
      </c>
      <c r="D1357">
        <v>17</v>
      </c>
      <c r="E1357">
        <v>33</v>
      </c>
      <c r="F1357">
        <v>5507</v>
      </c>
      <c r="G1357">
        <v>16822</v>
      </c>
      <c r="H1357">
        <v>2</v>
      </c>
      <c r="I1357">
        <v>16</v>
      </c>
      <c r="J1357">
        <v>12</v>
      </c>
      <c r="K1357">
        <v>1</v>
      </c>
      <c r="L1357">
        <v>4</v>
      </c>
      <c r="M1357">
        <v>2</v>
      </c>
      <c r="N1357">
        <v>1</v>
      </c>
      <c r="O1357">
        <v>3</v>
      </c>
      <c r="P1357" t="s">
        <v>1556</v>
      </c>
      <c r="Q1357" t="s">
        <v>1552</v>
      </c>
      <c r="R1357" t="s">
        <v>1549</v>
      </c>
      <c r="S1357" t="s">
        <v>1533</v>
      </c>
      <c r="T1357" t="s">
        <v>1541</v>
      </c>
      <c r="U1357" t="s">
        <v>1547</v>
      </c>
      <c r="V1357" t="s">
        <v>1559</v>
      </c>
      <c r="W1357" t="s">
        <v>1562</v>
      </c>
      <c r="X1357" t="s">
        <v>1576</v>
      </c>
      <c r="Y1357" t="s">
        <v>1581</v>
      </c>
      <c r="Z1357" t="s">
        <v>1592</v>
      </c>
      <c r="AA1357" t="s">
        <v>1597</v>
      </c>
      <c r="AB1357" t="s">
        <v>1601</v>
      </c>
      <c r="AC1357" t="s">
        <v>1610</v>
      </c>
      <c r="AD1357" t="s">
        <v>1606</v>
      </c>
      <c r="AE1357" t="s">
        <v>1618</v>
      </c>
      <c r="AF1357" t="s">
        <v>1625</v>
      </c>
    </row>
    <row r="1358" spans="1:32" x14ac:dyDescent="0.25">
      <c r="A1358" t="s">
        <v>1415</v>
      </c>
      <c r="B1358">
        <v>41</v>
      </c>
      <c r="C1358">
        <v>337</v>
      </c>
      <c r="D1358">
        <v>8</v>
      </c>
      <c r="E1358">
        <v>54</v>
      </c>
      <c r="F1358">
        <v>4393</v>
      </c>
      <c r="G1358">
        <v>26841</v>
      </c>
      <c r="H1358">
        <v>5</v>
      </c>
      <c r="I1358">
        <v>21</v>
      </c>
      <c r="J1358">
        <v>14</v>
      </c>
      <c r="K1358">
        <v>3</v>
      </c>
      <c r="L1358">
        <v>5</v>
      </c>
      <c r="M1358">
        <v>4</v>
      </c>
      <c r="N1358">
        <v>1</v>
      </c>
      <c r="O1358">
        <v>4</v>
      </c>
      <c r="P1358" t="s">
        <v>1556</v>
      </c>
      <c r="Q1358" t="s">
        <v>1552</v>
      </c>
      <c r="R1358" t="s">
        <v>1549</v>
      </c>
      <c r="S1358" t="s">
        <v>1534</v>
      </c>
      <c r="T1358" t="s">
        <v>1541</v>
      </c>
      <c r="U1358" t="s">
        <v>1547</v>
      </c>
      <c r="V1358" t="s">
        <v>1558</v>
      </c>
      <c r="W1358" t="s">
        <v>1563</v>
      </c>
      <c r="X1358" t="s">
        <v>1576</v>
      </c>
      <c r="Y1358" t="s">
        <v>1581</v>
      </c>
      <c r="Z1358" t="s">
        <v>1592</v>
      </c>
      <c r="AA1358" t="s">
        <v>1597</v>
      </c>
      <c r="AB1358" t="s">
        <v>1601</v>
      </c>
      <c r="AC1358" t="s">
        <v>1611</v>
      </c>
      <c r="AD1358" t="s">
        <v>1606</v>
      </c>
      <c r="AE1358" t="s">
        <v>1617</v>
      </c>
      <c r="AF1358" t="s">
        <v>1627</v>
      </c>
    </row>
    <row r="1359" spans="1:32" x14ac:dyDescent="0.25">
      <c r="A1359" t="s">
        <v>1416</v>
      </c>
      <c r="B1359">
        <v>42</v>
      </c>
      <c r="C1359">
        <v>1396</v>
      </c>
      <c r="D1359">
        <v>6</v>
      </c>
      <c r="E1359">
        <v>83</v>
      </c>
      <c r="F1359">
        <v>13348</v>
      </c>
      <c r="G1359">
        <v>14842</v>
      </c>
      <c r="H1359">
        <v>9</v>
      </c>
      <c r="I1359">
        <v>13</v>
      </c>
      <c r="J1359">
        <v>18</v>
      </c>
      <c r="K1359">
        <v>3</v>
      </c>
      <c r="L1359">
        <v>13</v>
      </c>
      <c r="M1359">
        <v>7</v>
      </c>
      <c r="N1359">
        <v>5</v>
      </c>
      <c r="O1359">
        <v>7</v>
      </c>
      <c r="P1359" t="s">
        <v>1556</v>
      </c>
      <c r="Q1359" t="s">
        <v>1552</v>
      </c>
      <c r="R1359" t="s">
        <v>1550</v>
      </c>
      <c r="S1359" t="s">
        <v>1534</v>
      </c>
      <c r="T1359" t="s">
        <v>1540</v>
      </c>
      <c r="U1359" t="s">
        <v>1547</v>
      </c>
      <c r="V1359" t="s">
        <v>1559</v>
      </c>
      <c r="W1359" t="s">
        <v>1563</v>
      </c>
      <c r="X1359" t="s">
        <v>1577</v>
      </c>
      <c r="Y1359" t="s">
        <v>1588</v>
      </c>
      <c r="Z1359" t="s">
        <v>1591</v>
      </c>
      <c r="AA1359" t="s">
        <v>1597</v>
      </c>
      <c r="AB1359" t="s">
        <v>1601</v>
      </c>
      <c r="AC1359" t="s">
        <v>1610</v>
      </c>
      <c r="AD1359" t="s">
        <v>1605</v>
      </c>
      <c r="AE1359" t="s">
        <v>1617</v>
      </c>
      <c r="AF1359" t="s">
        <v>1628</v>
      </c>
    </row>
    <row r="1360" spans="1:32" x14ac:dyDescent="0.25">
      <c r="A1360" t="s">
        <v>1417</v>
      </c>
      <c r="B1360">
        <v>31</v>
      </c>
      <c r="C1360">
        <v>1079</v>
      </c>
      <c r="D1360">
        <v>10</v>
      </c>
      <c r="E1360">
        <v>86</v>
      </c>
      <c r="F1360">
        <v>6583</v>
      </c>
      <c r="G1360">
        <v>20115</v>
      </c>
      <c r="H1360">
        <v>2</v>
      </c>
      <c r="I1360">
        <v>11</v>
      </c>
      <c r="J1360">
        <v>8</v>
      </c>
      <c r="K1360">
        <v>2</v>
      </c>
      <c r="L1360">
        <v>5</v>
      </c>
      <c r="M1360">
        <v>2</v>
      </c>
      <c r="N1360">
        <v>1</v>
      </c>
      <c r="O1360">
        <v>4</v>
      </c>
      <c r="P1360" t="s">
        <v>1556</v>
      </c>
      <c r="Q1360" t="s">
        <v>1552</v>
      </c>
      <c r="R1360" t="s">
        <v>1549</v>
      </c>
      <c r="S1360" t="s">
        <v>1533</v>
      </c>
      <c r="T1360" t="s">
        <v>1540</v>
      </c>
      <c r="U1360" t="s">
        <v>1547</v>
      </c>
      <c r="V1360" t="s">
        <v>1558</v>
      </c>
      <c r="W1360" t="s">
        <v>1563</v>
      </c>
      <c r="X1360" t="s">
        <v>1576</v>
      </c>
      <c r="Y1360" t="s">
        <v>1581</v>
      </c>
      <c r="Z1360" t="s">
        <v>1594</v>
      </c>
      <c r="AA1360" t="s">
        <v>1598</v>
      </c>
      <c r="AB1360" t="s">
        <v>1600</v>
      </c>
      <c r="AC1360" t="s">
        <v>1610</v>
      </c>
      <c r="AD1360" t="s">
        <v>1607</v>
      </c>
      <c r="AE1360" t="s">
        <v>1617</v>
      </c>
      <c r="AF1360" t="s">
        <v>1627</v>
      </c>
    </row>
    <row r="1361" spans="1:32" x14ac:dyDescent="0.25">
      <c r="A1361" t="s">
        <v>1418</v>
      </c>
      <c r="B1361">
        <v>34</v>
      </c>
      <c r="C1361">
        <v>735</v>
      </c>
      <c r="D1361">
        <v>3</v>
      </c>
      <c r="E1361">
        <v>75</v>
      </c>
      <c r="F1361">
        <v>8103</v>
      </c>
      <c r="G1361">
        <v>16495</v>
      </c>
      <c r="H1361">
        <v>3</v>
      </c>
      <c r="I1361">
        <v>12</v>
      </c>
      <c r="J1361">
        <v>9</v>
      </c>
      <c r="K1361">
        <v>3</v>
      </c>
      <c r="L1361">
        <v>4</v>
      </c>
      <c r="M1361">
        <v>2</v>
      </c>
      <c r="N1361">
        <v>0</v>
      </c>
      <c r="O1361">
        <v>1</v>
      </c>
      <c r="P1361" t="s">
        <v>1556</v>
      </c>
      <c r="Q1361" t="s">
        <v>1552</v>
      </c>
      <c r="R1361" t="s">
        <v>1549</v>
      </c>
      <c r="S1361" t="s">
        <v>1532</v>
      </c>
      <c r="T1361" t="s">
        <v>1540</v>
      </c>
      <c r="U1361" t="s">
        <v>1548</v>
      </c>
      <c r="V1361" t="s">
        <v>1558</v>
      </c>
      <c r="W1361" t="s">
        <v>1562</v>
      </c>
      <c r="X1361" t="s">
        <v>1576</v>
      </c>
      <c r="Y1361" t="s">
        <v>1581</v>
      </c>
      <c r="Z1361" t="s">
        <v>1594</v>
      </c>
      <c r="AA1361" t="s">
        <v>1597</v>
      </c>
      <c r="AB1361" t="s">
        <v>1600</v>
      </c>
      <c r="AC1361" t="s">
        <v>1610</v>
      </c>
      <c r="AD1361" t="s">
        <v>1606</v>
      </c>
      <c r="AE1361" t="s">
        <v>1616</v>
      </c>
      <c r="AF1361" t="s">
        <v>1626</v>
      </c>
    </row>
    <row r="1362" spans="1:32" x14ac:dyDescent="0.25">
      <c r="A1362" t="s">
        <v>1419</v>
      </c>
      <c r="B1362">
        <v>31</v>
      </c>
      <c r="C1362">
        <v>471</v>
      </c>
      <c r="D1362">
        <v>4</v>
      </c>
      <c r="E1362">
        <v>62</v>
      </c>
      <c r="F1362">
        <v>3978</v>
      </c>
      <c r="G1362">
        <v>16031</v>
      </c>
      <c r="H1362">
        <v>8</v>
      </c>
      <c r="I1362">
        <v>12</v>
      </c>
      <c r="J1362">
        <v>4</v>
      </c>
      <c r="K1362">
        <v>0</v>
      </c>
      <c r="L1362">
        <v>2</v>
      </c>
      <c r="M1362">
        <v>2</v>
      </c>
      <c r="N1362">
        <v>2</v>
      </c>
      <c r="O1362">
        <v>2</v>
      </c>
      <c r="P1362" t="s">
        <v>1556</v>
      </c>
      <c r="Q1362" t="s">
        <v>1552</v>
      </c>
      <c r="R1362" t="s">
        <v>1550</v>
      </c>
      <c r="S1362" t="s">
        <v>1534</v>
      </c>
      <c r="T1362" t="s">
        <v>1540</v>
      </c>
      <c r="U1362" t="s">
        <v>1545</v>
      </c>
      <c r="V1362" t="s">
        <v>1558</v>
      </c>
      <c r="W1362" t="s">
        <v>1564</v>
      </c>
      <c r="X1362" t="s">
        <v>1575</v>
      </c>
      <c r="Y1362" t="s">
        <v>1583</v>
      </c>
      <c r="Z1362" t="s">
        <v>1593</v>
      </c>
      <c r="AA1362" t="s">
        <v>1598</v>
      </c>
      <c r="AB1362" t="s">
        <v>1601</v>
      </c>
      <c r="AC1362" t="s">
        <v>1610</v>
      </c>
      <c r="AD1362" t="s">
        <v>1605</v>
      </c>
      <c r="AE1362" t="s">
        <v>1617</v>
      </c>
      <c r="AF1362" t="s">
        <v>1626</v>
      </c>
    </row>
    <row r="1363" spans="1:32" x14ac:dyDescent="0.25">
      <c r="A1363" t="s">
        <v>1420</v>
      </c>
      <c r="B1363">
        <v>26</v>
      </c>
      <c r="C1363">
        <v>1096</v>
      </c>
      <c r="D1363">
        <v>6</v>
      </c>
      <c r="E1363">
        <v>61</v>
      </c>
      <c r="F1363">
        <v>2544</v>
      </c>
      <c r="G1363">
        <v>7102</v>
      </c>
      <c r="H1363">
        <v>0</v>
      </c>
      <c r="I1363">
        <v>18</v>
      </c>
      <c r="J1363">
        <v>8</v>
      </c>
      <c r="K1363">
        <v>3</v>
      </c>
      <c r="L1363">
        <v>7</v>
      </c>
      <c r="M1363">
        <v>7</v>
      </c>
      <c r="N1363">
        <v>7</v>
      </c>
      <c r="O1363">
        <v>7</v>
      </c>
      <c r="P1363" t="s">
        <v>1556</v>
      </c>
      <c r="Q1363" t="s">
        <v>1553</v>
      </c>
      <c r="R1363" t="s">
        <v>1550</v>
      </c>
      <c r="S1363" t="s">
        <v>1534</v>
      </c>
      <c r="T1363" t="s">
        <v>1539</v>
      </c>
      <c r="U1363" t="s">
        <v>1547</v>
      </c>
      <c r="V1363" t="s">
        <v>1559</v>
      </c>
      <c r="W1363" t="s">
        <v>1564</v>
      </c>
      <c r="X1363" t="s">
        <v>1575</v>
      </c>
      <c r="Y1363" t="s">
        <v>1583</v>
      </c>
      <c r="Z1363" t="s">
        <v>1594</v>
      </c>
      <c r="AA1363" t="s">
        <v>1597</v>
      </c>
      <c r="AB1363" t="s">
        <v>1601</v>
      </c>
      <c r="AC1363" t="s">
        <v>1610</v>
      </c>
      <c r="AD1363" t="s">
        <v>1604</v>
      </c>
      <c r="AE1363" t="s">
        <v>1617</v>
      </c>
      <c r="AF1363" t="s">
        <v>1627</v>
      </c>
    </row>
    <row r="1364" spans="1:32" x14ac:dyDescent="0.25">
      <c r="A1364" t="s">
        <v>1421</v>
      </c>
      <c r="B1364">
        <v>45</v>
      </c>
      <c r="C1364">
        <v>1297</v>
      </c>
      <c r="D1364">
        <v>1</v>
      </c>
      <c r="E1364">
        <v>44</v>
      </c>
      <c r="F1364">
        <v>5399</v>
      </c>
      <c r="G1364">
        <v>14511</v>
      </c>
      <c r="H1364">
        <v>4</v>
      </c>
      <c r="I1364">
        <v>12</v>
      </c>
      <c r="J1364">
        <v>12</v>
      </c>
      <c r="K1364">
        <v>3</v>
      </c>
      <c r="L1364">
        <v>4</v>
      </c>
      <c r="M1364">
        <v>2</v>
      </c>
      <c r="N1364">
        <v>0</v>
      </c>
      <c r="O1364">
        <v>3</v>
      </c>
      <c r="P1364" t="s">
        <v>1556</v>
      </c>
      <c r="Q1364" t="s">
        <v>1553</v>
      </c>
      <c r="R1364" t="s">
        <v>1550</v>
      </c>
      <c r="S1364" t="s">
        <v>1535</v>
      </c>
      <c r="T1364" t="s">
        <v>1540</v>
      </c>
      <c r="U1364" t="s">
        <v>1546</v>
      </c>
      <c r="V1364" t="s">
        <v>1559</v>
      </c>
      <c r="W1364" t="s">
        <v>1563</v>
      </c>
      <c r="X1364" t="s">
        <v>1576</v>
      </c>
      <c r="Y1364" t="s">
        <v>1585</v>
      </c>
      <c r="Z1364" t="s">
        <v>1593</v>
      </c>
      <c r="AA1364" t="s">
        <v>1596</v>
      </c>
      <c r="AB1364" t="s">
        <v>1601</v>
      </c>
      <c r="AC1364" t="s">
        <v>1610</v>
      </c>
      <c r="AD1364" t="s">
        <v>1606</v>
      </c>
      <c r="AE1364" t="s">
        <v>1616</v>
      </c>
      <c r="AF1364" t="s">
        <v>1627</v>
      </c>
    </row>
    <row r="1365" spans="1:32" x14ac:dyDescent="0.25">
      <c r="A1365" t="s">
        <v>1422</v>
      </c>
      <c r="B1365">
        <v>33</v>
      </c>
      <c r="C1365">
        <v>217</v>
      </c>
      <c r="D1365">
        <v>10</v>
      </c>
      <c r="E1365">
        <v>43</v>
      </c>
      <c r="F1365">
        <v>5487</v>
      </c>
      <c r="G1365">
        <v>10410</v>
      </c>
      <c r="H1365">
        <v>1</v>
      </c>
      <c r="I1365">
        <v>14</v>
      </c>
      <c r="J1365">
        <v>10</v>
      </c>
      <c r="K1365">
        <v>2</v>
      </c>
      <c r="L1365">
        <v>10</v>
      </c>
      <c r="M1365">
        <v>4</v>
      </c>
      <c r="N1365">
        <v>0</v>
      </c>
      <c r="O1365">
        <v>9</v>
      </c>
      <c r="P1365" t="s">
        <v>1556</v>
      </c>
      <c r="Q1365" t="s">
        <v>1552</v>
      </c>
      <c r="R1365" t="s">
        <v>1549</v>
      </c>
      <c r="S1365" t="s">
        <v>1535</v>
      </c>
      <c r="T1365" t="s">
        <v>1541</v>
      </c>
      <c r="U1365" t="s">
        <v>1546</v>
      </c>
      <c r="V1365" t="s">
        <v>1559</v>
      </c>
      <c r="W1365" t="s">
        <v>1563</v>
      </c>
      <c r="X1365" t="s">
        <v>1576</v>
      </c>
      <c r="Y1365" t="s">
        <v>1581</v>
      </c>
      <c r="Z1365" t="s">
        <v>1593</v>
      </c>
      <c r="AA1365" t="s">
        <v>1596</v>
      </c>
      <c r="AB1365" t="s">
        <v>1601</v>
      </c>
      <c r="AC1365" t="s">
        <v>1610</v>
      </c>
      <c r="AD1365" t="s">
        <v>1605</v>
      </c>
      <c r="AE1365" t="s">
        <v>1616</v>
      </c>
      <c r="AF1365" t="s">
        <v>1626</v>
      </c>
    </row>
    <row r="1366" spans="1:32" x14ac:dyDescent="0.25">
      <c r="A1366" t="s">
        <v>1423</v>
      </c>
      <c r="B1366">
        <v>28</v>
      </c>
      <c r="C1366">
        <v>783</v>
      </c>
      <c r="D1366">
        <v>1</v>
      </c>
      <c r="E1366">
        <v>42</v>
      </c>
      <c r="F1366">
        <v>6834</v>
      </c>
      <c r="G1366">
        <v>19255</v>
      </c>
      <c r="H1366">
        <v>1</v>
      </c>
      <c r="I1366">
        <v>12</v>
      </c>
      <c r="J1366">
        <v>7</v>
      </c>
      <c r="K1366">
        <v>2</v>
      </c>
      <c r="L1366">
        <v>7</v>
      </c>
      <c r="M1366">
        <v>7</v>
      </c>
      <c r="N1366">
        <v>0</v>
      </c>
      <c r="O1366">
        <v>7</v>
      </c>
      <c r="P1366" t="s">
        <v>1556</v>
      </c>
      <c r="Q1366" t="s">
        <v>1553</v>
      </c>
      <c r="R1366" t="s">
        <v>1549</v>
      </c>
      <c r="S1366" t="s">
        <v>1533</v>
      </c>
      <c r="T1366" t="s">
        <v>1538</v>
      </c>
      <c r="U1366" t="s">
        <v>1547</v>
      </c>
      <c r="V1366" t="s">
        <v>1559</v>
      </c>
      <c r="W1366" t="s">
        <v>1562</v>
      </c>
      <c r="X1366" t="s">
        <v>1576</v>
      </c>
      <c r="Y1366" t="s">
        <v>1581</v>
      </c>
      <c r="Z1366" t="s">
        <v>1594</v>
      </c>
      <c r="AA1366" t="s">
        <v>1597</v>
      </c>
      <c r="AB1366" t="s">
        <v>1600</v>
      </c>
      <c r="AC1366" t="s">
        <v>1610</v>
      </c>
      <c r="AD1366" t="s">
        <v>1606</v>
      </c>
      <c r="AE1366" t="s">
        <v>1617</v>
      </c>
      <c r="AF1366" t="s">
        <v>1627</v>
      </c>
    </row>
    <row r="1367" spans="1:32" x14ac:dyDescent="0.25">
      <c r="A1367" t="s">
        <v>1424</v>
      </c>
      <c r="B1367">
        <v>29</v>
      </c>
      <c r="C1367">
        <v>746</v>
      </c>
      <c r="D1367">
        <v>24</v>
      </c>
      <c r="E1367">
        <v>45</v>
      </c>
      <c r="F1367">
        <v>1091</v>
      </c>
      <c r="G1367">
        <v>10642</v>
      </c>
      <c r="H1367">
        <v>1</v>
      </c>
      <c r="I1367">
        <v>17</v>
      </c>
      <c r="J1367">
        <v>1</v>
      </c>
      <c r="K1367">
        <v>3</v>
      </c>
      <c r="L1367">
        <v>1</v>
      </c>
      <c r="M1367">
        <v>0</v>
      </c>
      <c r="N1367">
        <v>0</v>
      </c>
      <c r="O1367">
        <v>0</v>
      </c>
      <c r="P1367" t="s">
        <v>1555</v>
      </c>
      <c r="Q1367" t="s">
        <v>1553</v>
      </c>
      <c r="R1367" t="s">
        <v>1549</v>
      </c>
      <c r="S1367" t="s">
        <v>1534</v>
      </c>
      <c r="T1367" t="s">
        <v>1542</v>
      </c>
      <c r="U1367" t="s">
        <v>1547</v>
      </c>
      <c r="V1367" t="s">
        <v>1559</v>
      </c>
      <c r="W1367" t="s">
        <v>1564</v>
      </c>
      <c r="X1367" t="s">
        <v>1575</v>
      </c>
      <c r="Y1367" t="s">
        <v>1587</v>
      </c>
      <c r="Z1367" t="s">
        <v>1591</v>
      </c>
      <c r="AA1367" t="s">
        <v>1596</v>
      </c>
      <c r="AB1367" t="s">
        <v>1601</v>
      </c>
      <c r="AC1367" t="s">
        <v>1610</v>
      </c>
      <c r="AD1367" t="s">
        <v>1607</v>
      </c>
      <c r="AE1367" t="s">
        <v>1616</v>
      </c>
      <c r="AF1367" t="s">
        <v>1627</v>
      </c>
    </row>
    <row r="1368" spans="1:32" x14ac:dyDescent="0.25">
      <c r="A1368" t="s">
        <v>1425</v>
      </c>
      <c r="B1368">
        <v>39</v>
      </c>
      <c r="C1368">
        <v>1251</v>
      </c>
      <c r="D1368">
        <v>21</v>
      </c>
      <c r="E1368">
        <v>32</v>
      </c>
      <c r="F1368">
        <v>5736</v>
      </c>
      <c r="G1368">
        <v>3987</v>
      </c>
      <c r="H1368">
        <v>6</v>
      </c>
      <c r="I1368">
        <v>19</v>
      </c>
      <c r="J1368">
        <v>10</v>
      </c>
      <c r="K1368">
        <v>1</v>
      </c>
      <c r="L1368">
        <v>3</v>
      </c>
      <c r="M1368">
        <v>2</v>
      </c>
      <c r="N1368">
        <v>1</v>
      </c>
      <c r="O1368">
        <v>2</v>
      </c>
      <c r="P1368" t="s">
        <v>1556</v>
      </c>
      <c r="Q1368" t="s">
        <v>1554</v>
      </c>
      <c r="R1368" t="s">
        <v>1549</v>
      </c>
      <c r="S1368" t="s">
        <v>1535</v>
      </c>
      <c r="T1368" t="s">
        <v>1538</v>
      </c>
      <c r="U1368" t="s">
        <v>1545</v>
      </c>
      <c r="V1368" t="s">
        <v>1558</v>
      </c>
      <c r="W1368" t="s">
        <v>1561</v>
      </c>
      <c r="X1368" t="s">
        <v>1576</v>
      </c>
      <c r="Y1368" t="s">
        <v>1581</v>
      </c>
      <c r="Z1368" t="s">
        <v>1593</v>
      </c>
      <c r="AA1368" t="s">
        <v>1597</v>
      </c>
      <c r="AB1368" t="s">
        <v>1601</v>
      </c>
      <c r="AC1368" t="s">
        <v>1610</v>
      </c>
      <c r="AD1368" t="s">
        <v>1606</v>
      </c>
      <c r="AE1368" t="s">
        <v>1617</v>
      </c>
      <c r="AF1368" t="s">
        <v>1627</v>
      </c>
    </row>
    <row r="1369" spans="1:32" x14ac:dyDescent="0.25">
      <c r="A1369" t="s">
        <v>1426</v>
      </c>
      <c r="B1369">
        <v>27</v>
      </c>
      <c r="C1369">
        <v>1354</v>
      </c>
      <c r="D1369">
        <v>2</v>
      </c>
      <c r="E1369">
        <v>41</v>
      </c>
      <c r="F1369">
        <v>2226</v>
      </c>
      <c r="G1369">
        <v>6073</v>
      </c>
      <c r="H1369">
        <v>1</v>
      </c>
      <c r="I1369">
        <v>11</v>
      </c>
      <c r="J1369">
        <v>6</v>
      </c>
      <c r="K1369">
        <v>3</v>
      </c>
      <c r="L1369">
        <v>5</v>
      </c>
      <c r="M1369">
        <v>3</v>
      </c>
      <c r="N1369">
        <v>1</v>
      </c>
      <c r="O1369">
        <v>2</v>
      </c>
      <c r="P1369" t="s">
        <v>1556</v>
      </c>
      <c r="Q1369" t="s">
        <v>1552</v>
      </c>
      <c r="R1369" t="s">
        <v>1550</v>
      </c>
      <c r="S1369" t="s">
        <v>1535</v>
      </c>
      <c r="T1369" t="s">
        <v>1542</v>
      </c>
      <c r="U1369" t="s">
        <v>1546</v>
      </c>
      <c r="V1369" t="s">
        <v>1559</v>
      </c>
      <c r="W1369" t="s">
        <v>1563</v>
      </c>
      <c r="X1369" t="s">
        <v>1575</v>
      </c>
      <c r="Y1369" t="s">
        <v>1582</v>
      </c>
      <c r="Z1369" t="s">
        <v>1592</v>
      </c>
      <c r="AA1369" t="s">
        <v>1597</v>
      </c>
      <c r="AB1369" t="s">
        <v>1601</v>
      </c>
      <c r="AC1369" t="s">
        <v>1610</v>
      </c>
      <c r="AD1369" t="s">
        <v>1606</v>
      </c>
      <c r="AE1369" t="s">
        <v>1617</v>
      </c>
      <c r="AF1369" t="s">
        <v>1626</v>
      </c>
    </row>
    <row r="1370" spans="1:32" x14ac:dyDescent="0.25">
      <c r="A1370" t="s">
        <v>1427</v>
      </c>
      <c r="B1370">
        <v>34</v>
      </c>
      <c r="C1370">
        <v>735</v>
      </c>
      <c r="D1370">
        <v>22</v>
      </c>
      <c r="E1370">
        <v>86</v>
      </c>
      <c r="F1370">
        <v>5747</v>
      </c>
      <c r="G1370">
        <v>26496</v>
      </c>
      <c r="H1370">
        <v>1</v>
      </c>
      <c r="I1370">
        <v>15</v>
      </c>
      <c r="J1370">
        <v>16</v>
      </c>
      <c r="K1370">
        <v>3</v>
      </c>
      <c r="L1370">
        <v>15</v>
      </c>
      <c r="M1370">
        <v>10</v>
      </c>
      <c r="N1370">
        <v>6</v>
      </c>
      <c r="O1370">
        <v>11</v>
      </c>
      <c r="P1370" t="s">
        <v>1556</v>
      </c>
      <c r="Q1370" t="s">
        <v>1553</v>
      </c>
      <c r="R1370" t="s">
        <v>1550</v>
      </c>
      <c r="S1370" t="s">
        <v>1535</v>
      </c>
      <c r="T1370" t="s">
        <v>1539</v>
      </c>
      <c r="U1370" t="s">
        <v>1547</v>
      </c>
      <c r="V1370" t="s">
        <v>1559</v>
      </c>
      <c r="W1370" t="s">
        <v>1562</v>
      </c>
      <c r="X1370" t="s">
        <v>1576</v>
      </c>
      <c r="Y1370" t="s">
        <v>1582</v>
      </c>
      <c r="Z1370" t="s">
        <v>1594</v>
      </c>
      <c r="AA1370" t="s">
        <v>1597</v>
      </c>
      <c r="AB1370" t="s">
        <v>1600</v>
      </c>
      <c r="AC1370" t="s">
        <v>1610</v>
      </c>
      <c r="AD1370" t="s">
        <v>1605</v>
      </c>
      <c r="AE1370" t="s">
        <v>1616</v>
      </c>
      <c r="AF1370" t="s">
        <v>1627</v>
      </c>
    </row>
    <row r="1371" spans="1:32" x14ac:dyDescent="0.25">
      <c r="A1371" t="s">
        <v>1428</v>
      </c>
      <c r="B1371">
        <v>28</v>
      </c>
      <c r="C1371">
        <v>1475</v>
      </c>
      <c r="D1371">
        <v>13</v>
      </c>
      <c r="E1371">
        <v>84</v>
      </c>
      <c r="F1371">
        <v>9854</v>
      </c>
      <c r="G1371">
        <v>23352</v>
      </c>
      <c r="H1371">
        <v>3</v>
      </c>
      <c r="I1371">
        <v>11</v>
      </c>
      <c r="J1371">
        <v>6</v>
      </c>
      <c r="K1371">
        <v>0</v>
      </c>
      <c r="L1371">
        <v>2</v>
      </c>
      <c r="M1371">
        <v>0</v>
      </c>
      <c r="N1371">
        <v>2</v>
      </c>
      <c r="O1371">
        <v>2</v>
      </c>
      <c r="P1371" t="s">
        <v>1555</v>
      </c>
      <c r="Q1371" t="s">
        <v>1552</v>
      </c>
      <c r="R1371" t="s">
        <v>1549</v>
      </c>
      <c r="S1371" t="s">
        <v>1533</v>
      </c>
      <c r="T1371" t="s">
        <v>1541</v>
      </c>
      <c r="U1371" t="s">
        <v>1548</v>
      </c>
      <c r="V1371" t="s">
        <v>1558</v>
      </c>
      <c r="W1371" t="s">
        <v>1563</v>
      </c>
      <c r="X1371" t="s">
        <v>1576</v>
      </c>
      <c r="Y1371" t="s">
        <v>1581</v>
      </c>
      <c r="Z1371" t="s">
        <v>1593</v>
      </c>
      <c r="AA1371" t="s">
        <v>1596</v>
      </c>
      <c r="AB1371" t="s">
        <v>1600</v>
      </c>
      <c r="AC1371" t="s">
        <v>1610</v>
      </c>
      <c r="AD1371" t="s">
        <v>1607</v>
      </c>
      <c r="AE1371" t="s">
        <v>1616</v>
      </c>
      <c r="AF1371" t="s">
        <v>1627</v>
      </c>
    </row>
    <row r="1372" spans="1:32" x14ac:dyDescent="0.25">
      <c r="A1372" t="s">
        <v>1429</v>
      </c>
      <c r="B1372">
        <v>47</v>
      </c>
      <c r="C1372">
        <v>1169</v>
      </c>
      <c r="D1372">
        <v>14</v>
      </c>
      <c r="E1372">
        <v>64</v>
      </c>
      <c r="F1372">
        <v>5467</v>
      </c>
      <c r="G1372">
        <v>2125</v>
      </c>
      <c r="H1372">
        <v>8</v>
      </c>
      <c r="I1372">
        <v>18</v>
      </c>
      <c r="J1372">
        <v>16</v>
      </c>
      <c r="K1372">
        <v>4</v>
      </c>
      <c r="L1372">
        <v>8</v>
      </c>
      <c r="M1372">
        <v>7</v>
      </c>
      <c r="N1372">
        <v>1</v>
      </c>
      <c r="O1372">
        <v>7</v>
      </c>
      <c r="P1372" t="s">
        <v>1556</v>
      </c>
      <c r="Q1372" t="s">
        <v>1554</v>
      </c>
      <c r="R1372" t="s">
        <v>1550</v>
      </c>
      <c r="S1372" t="s">
        <v>1535</v>
      </c>
      <c r="T1372" t="s">
        <v>1542</v>
      </c>
      <c r="U1372" t="s">
        <v>1547</v>
      </c>
      <c r="V1372" t="s">
        <v>1559</v>
      </c>
      <c r="W1372" t="s">
        <v>1563</v>
      </c>
      <c r="X1372" t="s">
        <v>1576</v>
      </c>
      <c r="Y1372" t="s">
        <v>1582</v>
      </c>
      <c r="Z1372" t="s">
        <v>1592</v>
      </c>
      <c r="AA1372" t="s">
        <v>1597</v>
      </c>
      <c r="AB1372" t="s">
        <v>1601</v>
      </c>
      <c r="AC1372" t="s">
        <v>1610</v>
      </c>
      <c r="AD1372" t="s">
        <v>1606</v>
      </c>
      <c r="AE1372" t="s">
        <v>1617</v>
      </c>
      <c r="AF1372" t="s">
        <v>1628</v>
      </c>
    </row>
    <row r="1373" spans="1:32" x14ac:dyDescent="0.25">
      <c r="A1373" t="s">
        <v>1430</v>
      </c>
      <c r="B1373">
        <v>56</v>
      </c>
      <c r="C1373">
        <v>1443</v>
      </c>
      <c r="D1373">
        <v>11</v>
      </c>
      <c r="E1373">
        <v>89</v>
      </c>
      <c r="F1373">
        <v>5380</v>
      </c>
      <c r="G1373">
        <v>20328</v>
      </c>
      <c r="H1373">
        <v>4</v>
      </c>
      <c r="I1373">
        <v>16</v>
      </c>
      <c r="J1373">
        <v>6</v>
      </c>
      <c r="K1373">
        <v>3</v>
      </c>
      <c r="L1373">
        <v>0</v>
      </c>
      <c r="M1373">
        <v>0</v>
      </c>
      <c r="N1373">
        <v>0</v>
      </c>
      <c r="O1373">
        <v>0</v>
      </c>
      <c r="P1373" t="s">
        <v>1556</v>
      </c>
      <c r="Q1373" t="s">
        <v>1552</v>
      </c>
      <c r="R1373" t="s">
        <v>1549</v>
      </c>
      <c r="S1373" t="s">
        <v>1536</v>
      </c>
      <c r="T1373" t="s">
        <v>1541</v>
      </c>
      <c r="U1373" t="s">
        <v>1548</v>
      </c>
      <c r="V1373" t="s">
        <v>1558</v>
      </c>
      <c r="W1373" t="s">
        <v>1562</v>
      </c>
      <c r="X1373" t="s">
        <v>1576</v>
      </c>
      <c r="Y1373" t="s">
        <v>1581</v>
      </c>
      <c r="Z1373" t="s">
        <v>1591</v>
      </c>
      <c r="AA1373" t="s">
        <v>1597</v>
      </c>
      <c r="AB1373" t="s">
        <v>1601</v>
      </c>
      <c r="AC1373" t="s">
        <v>1610</v>
      </c>
      <c r="AD1373" t="s">
        <v>1606</v>
      </c>
      <c r="AE1373" t="s">
        <v>1617</v>
      </c>
      <c r="AF1373" t="s">
        <v>1627</v>
      </c>
    </row>
    <row r="1374" spans="1:32" x14ac:dyDescent="0.25">
      <c r="A1374" t="s">
        <v>1431</v>
      </c>
      <c r="B1374">
        <v>39</v>
      </c>
      <c r="C1374">
        <v>867</v>
      </c>
      <c r="D1374">
        <v>9</v>
      </c>
      <c r="E1374">
        <v>87</v>
      </c>
      <c r="F1374">
        <v>5151</v>
      </c>
      <c r="G1374">
        <v>12315</v>
      </c>
      <c r="H1374">
        <v>1</v>
      </c>
      <c r="I1374">
        <v>25</v>
      </c>
      <c r="J1374">
        <v>10</v>
      </c>
      <c r="K1374">
        <v>3</v>
      </c>
      <c r="L1374">
        <v>10</v>
      </c>
      <c r="M1374">
        <v>0</v>
      </c>
      <c r="N1374">
        <v>7</v>
      </c>
      <c r="O1374">
        <v>9</v>
      </c>
      <c r="P1374" t="s">
        <v>1556</v>
      </c>
      <c r="Q1374" t="s">
        <v>1552</v>
      </c>
      <c r="R1374" t="s">
        <v>1550</v>
      </c>
      <c r="S1374" t="s">
        <v>1533</v>
      </c>
      <c r="T1374" t="s">
        <v>1540</v>
      </c>
      <c r="U1374" t="s">
        <v>1545</v>
      </c>
      <c r="V1374" t="s">
        <v>1559</v>
      </c>
      <c r="W1374" t="s">
        <v>1563</v>
      </c>
      <c r="X1374" t="s">
        <v>1576</v>
      </c>
      <c r="Y1374" t="s">
        <v>1584</v>
      </c>
      <c r="Z1374" t="s">
        <v>1591</v>
      </c>
      <c r="AA1374" t="s">
        <v>1597</v>
      </c>
      <c r="AB1374" t="s">
        <v>1601</v>
      </c>
      <c r="AC1374" t="s">
        <v>1611</v>
      </c>
      <c r="AD1374" t="s">
        <v>1607</v>
      </c>
      <c r="AE1374" t="s">
        <v>1617</v>
      </c>
      <c r="AF1374" t="s">
        <v>1627</v>
      </c>
    </row>
    <row r="1375" spans="1:32" x14ac:dyDescent="0.25">
      <c r="A1375" t="s">
        <v>1432</v>
      </c>
      <c r="B1375">
        <v>38</v>
      </c>
      <c r="C1375">
        <v>1394</v>
      </c>
      <c r="D1375">
        <v>8</v>
      </c>
      <c r="E1375">
        <v>58</v>
      </c>
      <c r="F1375">
        <v>2133</v>
      </c>
      <c r="G1375">
        <v>18115</v>
      </c>
      <c r="H1375">
        <v>1</v>
      </c>
      <c r="I1375">
        <v>16</v>
      </c>
      <c r="J1375">
        <v>20</v>
      </c>
      <c r="K1375">
        <v>3</v>
      </c>
      <c r="L1375">
        <v>20</v>
      </c>
      <c r="M1375">
        <v>11</v>
      </c>
      <c r="N1375">
        <v>0</v>
      </c>
      <c r="O1375">
        <v>7</v>
      </c>
      <c r="P1375" t="s">
        <v>1556</v>
      </c>
      <c r="Q1375" t="s">
        <v>1553</v>
      </c>
      <c r="R1375" t="s">
        <v>1550</v>
      </c>
      <c r="S1375" t="s">
        <v>1534</v>
      </c>
      <c r="T1375" t="s">
        <v>1540</v>
      </c>
      <c r="U1375" t="s">
        <v>1548</v>
      </c>
      <c r="V1375" t="s">
        <v>1558</v>
      </c>
      <c r="W1375" t="s">
        <v>1562</v>
      </c>
      <c r="X1375" t="s">
        <v>1576</v>
      </c>
      <c r="Y1375" t="s">
        <v>1582</v>
      </c>
      <c r="Z1375" t="s">
        <v>1592</v>
      </c>
      <c r="AA1375" t="s">
        <v>1598</v>
      </c>
      <c r="AB1375" t="s">
        <v>1600</v>
      </c>
      <c r="AC1375" t="s">
        <v>1610</v>
      </c>
      <c r="AD1375" t="s">
        <v>1606</v>
      </c>
      <c r="AE1375" t="s">
        <v>1617</v>
      </c>
      <c r="AF1375" t="s">
        <v>1627</v>
      </c>
    </row>
    <row r="1376" spans="1:32" x14ac:dyDescent="0.25">
      <c r="A1376" t="s">
        <v>1433</v>
      </c>
      <c r="B1376">
        <v>58</v>
      </c>
      <c r="C1376">
        <v>605</v>
      </c>
      <c r="D1376">
        <v>21</v>
      </c>
      <c r="E1376">
        <v>72</v>
      </c>
      <c r="F1376">
        <v>17875</v>
      </c>
      <c r="G1376">
        <v>11761</v>
      </c>
      <c r="H1376">
        <v>4</v>
      </c>
      <c r="I1376">
        <v>13</v>
      </c>
      <c r="J1376">
        <v>29</v>
      </c>
      <c r="K1376">
        <v>2</v>
      </c>
      <c r="L1376">
        <v>1</v>
      </c>
      <c r="M1376">
        <v>0</v>
      </c>
      <c r="N1376">
        <v>0</v>
      </c>
      <c r="O1376">
        <v>0</v>
      </c>
      <c r="P1376" t="s">
        <v>1556</v>
      </c>
      <c r="Q1376" t="s">
        <v>1552</v>
      </c>
      <c r="R1376" t="s">
        <v>1549</v>
      </c>
      <c r="S1376" t="s">
        <v>1534</v>
      </c>
      <c r="T1376" t="s">
        <v>1538</v>
      </c>
      <c r="U1376" t="s">
        <v>1548</v>
      </c>
      <c r="V1376" t="s">
        <v>1558</v>
      </c>
      <c r="W1376" t="s">
        <v>1563</v>
      </c>
      <c r="X1376" t="s">
        <v>1578</v>
      </c>
      <c r="Y1376" t="s">
        <v>1586</v>
      </c>
      <c r="Z1376" t="s">
        <v>1594</v>
      </c>
      <c r="AA1376" t="s">
        <v>1597</v>
      </c>
      <c r="AB1376" t="s">
        <v>1600</v>
      </c>
      <c r="AC1376" t="s">
        <v>1610</v>
      </c>
      <c r="AD1376" t="s">
        <v>1606</v>
      </c>
      <c r="AE1376" t="s">
        <v>1617</v>
      </c>
      <c r="AF1376" t="s">
        <v>1626</v>
      </c>
    </row>
    <row r="1377" spans="1:32" x14ac:dyDescent="0.25">
      <c r="A1377" t="s">
        <v>1434</v>
      </c>
      <c r="B1377">
        <v>32</v>
      </c>
      <c r="C1377">
        <v>238</v>
      </c>
      <c r="D1377">
        <v>5</v>
      </c>
      <c r="E1377">
        <v>47</v>
      </c>
      <c r="F1377">
        <v>2432</v>
      </c>
      <c r="G1377">
        <v>15318</v>
      </c>
      <c r="H1377">
        <v>3</v>
      </c>
      <c r="I1377">
        <v>14</v>
      </c>
      <c r="J1377">
        <v>8</v>
      </c>
      <c r="K1377">
        <v>2</v>
      </c>
      <c r="L1377">
        <v>4</v>
      </c>
      <c r="M1377">
        <v>1</v>
      </c>
      <c r="N1377">
        <v>0</v>
      </c>
      <c r="O1377">
        <v>3</v>
      </c>
      <c r="P1377" t="s">
        <v>1555</v>
      </c>
      <c r="Q1377" t="s">
        <v>1553</v>
      </c>
      <c r="R1377" t="s">
        <v>1550</v>
      </c>
      <c r="S1377" t="s">
        <v>1533</v>
      </c>
      <c r="T1377" t="s">
        <v>1538</v>
      </c>
      <c r="U1377" t="s">
        <v>1545</v>
      </c>
      <c r="V1377" t="s">
        <v>1558</v>
      </c>
      <c r="W1377" t="s">
        <v>1564</v>
      </c>
      <c r="X1377" t="s">
        <v>1575</v>
      </c>
      <c r="Y1377" t="s">
        <v>1582</v>
      </c>
      <c r="Z1377" t="s">
        <v>1593</v>
      </c>
      <c r="AA1377" t="s">
        <v>1596</v>
      </c>
      <c r="AB1377" t="s">
        <v>1600</v>
      </c>
      <c r="AC1377" t="s">
        <v>1610</v>
      </c>
      <c r="AD1377" t="s">
        <v>1604</v>
      </c>
      <c r="AE1377" t="s">
        <v>1616</v>
      </c>
      <c r="AF1377" t="s">
        <v>1627</v>
      </c>
    </row>
    <row r="1378" spans="1:32" x14ac:dyDescent="0.25">
      <c r="A1378" t="s">
        <v>1435</v>
      </c>
      <c r="B1378">
        <v>38</v>
      </c>
      <c r="C1378">
        <v>1206</v>
      </c>
      <c r="D1378">
        <v>9</v>
      </c>
      <c r="E1378">
        <v>71</v>
      </c>
      <c r="F1378">
        <v>4771</v>
      </c>
      <c r="G1378">
        <v>14293</v>
      </c>
      <c r="H1378">
        <v>2</v>
      </c>
      <c r="I1378">
        <v>19</v>
      </c>
      <c r="J1378">
        <v>10</v>
      </c>
      <c r="K1378">
        <v>0</v>
      </c>
      <c r="L1378">
        <v>5</v>
      </c>
      <c r="M1378">
        <v>2</v>
      </c>
      <c r="N1378">
        <v>0</v>
      </c>
      <c r="O1378">
        <v>3</v>
      </c>
      <c r="P1378" t="s">
        <v>1556</v>
      </c>
      <c r="Q1378" t="s">
        <v>1552</v>
      </c>
      <c r="R1378" t="s">
        <v>1550</v>
      </c>
      <c r="S1378" t="s">
        <v>1533</v>
      </c>
      <c r="T1378" t="s">
        <v>1538</v>
      </c>
      <c r="U1378" t="s">
        <v>1546</v>
      </c>
      <c r="V1378" t="s">
        <v>1559</v>
      </c>
      <c r="W1378" t="s">
        <v>1563</v>
      </c>
      <c r="X1378" t="s">
        <v>1575</v>
      </c>
      <c r="Y1378" t="s">
        <v>1582</v>
      </c>
      <c r="Z1378" t="s">
        <v>1594</v>
      </c>
      <c r="AA1378" t="s">
        <v>1598</v>
      </c>
      <c r="AB1378" t="s">
        <v>1601</v>
      </c>
      <c r="AC1378" t="s">
        <v>1610</v>
      </c>
      <c r="AD1378" t="s">
        <v>1607</v>
      </c>
      <c r="AE1378" t="s">
        <v>1618</v>
      </c>
      <c r="AF1378" t="s">
        <v>1628</v>
      </c>
    </row>
    <row r="1379" spans="1:32" x14ac:dyDescent="0.25">
      <c r="A1379" t="s">
        <v>1436</v>
      </c>
      <c r="B1379">
        <v>49</v>
      </c>
      <c r="C1379">
        <v>1064</v>
      </c>
      <c r="D1379">
        <v>2</v>
      </c>
      <c r="E1379">
        <v>42</v>
      </c>
      <c r="F1379">
        <v>19161</v>
      </c>
      <c r="G1379">
        <v>13738</v>
      </c>
      <c r="H1379">
        <v>3</v>
      </c>
      <c r="I1379">
        <v>15</v>
      </c>
      <c r="J1379">
        <v>28</v>
      </c>
      <c r="K1379">
        <v>3</v>
      </c>
      <c r="L1379">
        <v>5</v>
      </c>
      <c r="M1379">
        <v>4</v>
      </c>
      <c r="N1379">
        <v>4</v>
      </c>
      <c r="O1379">
        <v>3</v>
      </c>
      <c r="P1379" t="s">
        <v>1556</v>
      </c>
      <c r="Q1379" t="s">
        <v>1553</v>
      </c>
      <c r="R1379" t="s">
        <v>1550</v>
      </c>
      <c r="S1379" t="s">
        <v>1532</v>
      </c>
      <c r="T1379" t="s">
        <v>1538</v>
      </c>
      <c r="U1379" t="s">
        <v>1546</v>
      </c>
      <c r="V1379" t="s">
        <v>1559</v>
      </c>
      <c r="W1379" t="s">
        <v>1563</v>
      </c>
      <c r="X1379" t="s">
        <v>1579</v>
      </c>
      <c r="Y1379" t="s">
        <v>1588</v>
      </c>
      <c r="Z1379" t="s">
        <v>1594</v>
      </c>
      <c r="AA1379" t="s">
        <v>1597</v>
      </c>
      <c r="AB1379" t="s">
        <v>1601</v>
      </c>
      <c r="AC1379" t="s">
        <v>1610</v>
      </c>
      <c r="AD1379" t="s">
        <v>1607</v>
      </c>
      <c r="AE1379" t="s">
        <v>1616</v>
      </c>
      <c r="AF1379" t="s">
        <v>1627</v>
      </c>
    </row>
    <row r="1380" spans="1:32" x14ac:dyDescent="0.25">
      <c r="A1380" t="s">
        <v>1437</v>
      </c>
      <c r="B1380">
        <v>42</v>
      </c>
      <c r="C1380">
        <v>419</v>
      </c>
      <c r="D1380">
        <v>12</v>
      </c>
      <c r="E1380">
        <v>77</v>
      </c>
      <c r="F1380">
        <v>5087</v>
      </c>
      <c r="G1380">
        <v>2900</v>
      </c>
      <c r="H1380">
        <v>3</v>
      </c>
      <c r="I1380">
        <v>12</v>
      </c>
      <c r="J1380">
        <v>14</v>
      </c>
      <c r="K1380">
        <v>4</v>
      </c>
      <c r="L1380">
        <v>0</v>
      </c>
      <c r="M1380">
        <v>0</v>
      </c>
      <c r="N1380">
        <v>0</v>
      </c>
      <c r="O1380">
        <v>0</v>
      </c>
      <c r="P1380" t="s">
        <v>1556</v>
      </c>
      <c r="Q1380" t="s">
        <v>1552</v>
      </c>
      <c r="R1380" t="s">
        <v>1549</v>
      </c>
      <c r="S1380" t="s">
        <v>1535</v>
      </c>
      <c r="T1380" t="s">
        <v>1541</v>
      </c>
      <c r="U1380" t="s">
        <v>1546</v>
      </c>
      <c r="V1380" t="s">
        <v>1559</v>
      </c>
      <c r="W1380" t="s">
        <v>1563</v>
      </c>
      <c r="X1380" t="s">
        <v>1576</v>
      </c>
      <c r="Y1380" t="s">
        <v>1581</v>
      </c>
      <c r="Z1380" t="s">
        <v>1594</v>
      </c>
      <c r="AA1380" t="s">
        <v>1598</v>
      </c>
      <c r="AB1380" t="s">
        <v>1600</v>
      </c>
      <c r="AC1380" t="s">
        <v>1610</v>
      </c>
      <c r="AD1380" t="s">
        <v>1606</v>
      </c>
      <c r="AE1380" t="s">
        <v>1618</v>
      </c>
      <c r="AF1380" t="s">
        <v>1627</v>
      </c>
    </row>
    <row r="1381" spans="1:32" x14ac:dyDescent="0.25">
      <c r="A1381" t="s">
        <v>1438</v>
      </c>
      <c r="B1381">
        <v>27</v>
      </c>
      <c r="C1381">
        <v>1337</v>
      </c>
      <c r="D1381">
        <v>22</v>
      </c>
      <c r="E1381">
        <v>58</v>
      </c>
      <c r="F1381">
        <v>2863</v>
      </c>
      <c r="G1381">
        <v>19555</v>
      </c>
      <c r="H1381">
        <v>1</v>
      </c>
      <c r="I1381">
        <v>12</v>
      </c>
      <c r="J1381">
        <v>1</v>
      </c>
      <c r="K1381">
        <v>2</v>
      </c>
      <c r="L1381">
        <v>1</v>
      </c>
      <c r="M1381">
        <v>0</v>
      </c>
      <c r="N1381">
        <v>0</v>
      </c>
      <c r="O1381">
        <v>0</v>
      </c>
      <c r="P1381" t="s">
        <v>1555</v>
      </c>
      <c r="Q1381" t="s">
        <v>1553</v>
      </c>
      <c r="R1381" t="s">
        <v>1551</v>
      </c>
      <c r="S1381" t="s">
        <v>1534</v>
      </c>
      <c r="T1381" t="s">
        <v>1543</v>
      </c>
      <c r="U1381" t="s">
        <v>1545</v>
      </c>
      <c r="V1381" t="s">
        <v>1558</v>
      </c>
      <c r="W1381" t="s">
        <v>1562</v>
      </c>
      <c r="X1381" t="s">
        <v>1575</v>
      </c>
      <c r="Y1381" t="s">
        <v>1589</v>
      </c>
      <c r="Z1381" t="s">
        <v>1592</v>
      </c>
      <c r="AA1381" t="s">
        <v>1597</v>
      </c>
      <c r="AB1381" t="s">
        <v>1601</v>
      </c>
      <c r="AC1381" t="s">
        <v>1610</v>
      </c>
      <c r="AD1381" t="s">
        <v>1604</v>
      </c>
      <c r="AE1381" t="s">
        <v>1616</v>
      </c>
      <c r="AF1381" t="s">
        <v>1627</v>
      </c>
    </row>
    <row r="1382" spans="1:32" x14ac:dyDescent="0.25">
      <c r="A1382" t="s">
        <v>1439</v>
      </c>
      <c r="B1382">
        <v>35</v>
      </c>
      <c r="C1382">
        <v>682</v>
      </c>
      <c r="D1382">
        <v>18</v>
      </c>
      <c r="E1382">
        <v>71</v>
      </c>
      <c r="F1382">
        <v>5561</v>
      </c>
      <c r="G1382">
        <v>15975</v>
      </c>
      <c r="H1382">
        <v>0</v>
      </c>
      <c r="I1382">
        <v>16</v>
      </c>
      <c r="J1382">
        <v>6</v>
      </c>
      <c r="K1382">
        <v>2</v>
      </c>
      <c r="L1382">
        <v>5</v>
      </c>
      <c r="M1382">
        <v>3</v>
      </c>
      <c r="N1382">
        <v>0</v>
      </c>
      <c r="O1382">
        <v>4</v>
      </c>
      <c r="P1382" t="s">
        <v>1556</v>
      </c>
      <c r="Q1382" t="s">
        <v>1552</v>
      </c>
      <c r="R1382" t="s">
        <v>1549</v>
      </c>
      <c r="S1382" t="s">
        <v>1535</v>
      </c>
      <c r="T1382" t="s">
        <v>1540</v>
      </c>
      <c r="U1382" t="s">
        <v>1546</v>
      </c>
      <c r="V1382" t="s">
        <v>1559</v>
      </c>
      <c r="W1382" t="s">
        <v>1563</v>
      </c>
      <c r="X1382" t="s">
        <v>1576</v>
      </c>
      <c r="Y1382" t="s">
        <v>1581</v>
      </c>
      <c r="Z1382" t="s">
        <v>1591</v>
      </c>
      <c r="AA1382" t="s">
        <v>1597</v>
      </c>
      <c r="AB1382" t="s">
        <v>1601</v>
      </c>
      <c r="AC1382" t="s">
        <v>1610</v>
      </c>
      <c r="AD1382" t="s">
        <v>1607</v>
      </c>
      <c r="AE1382" t="s">
        <v>1617</v>
      </c>
      <c r="AF1382" t="s">
        <v>1625</v>
      </c>
    </row>
    <row r="1383" spans="1:32" x14ac:dyDescent="0.25">
      <c r="A1383" t="s">
        <v>1440</v>
      </c>
      <c r="B1383">
        <v>28</v>
      </c>
      <c r="C1383">
        <v>1103</v>
      </c>
      <c r="D1383">
        <v>16</v>
      </c>
      <c r="E1383">
        <v>49</v>
      </c>
      <c r="F1383">
        <v>2144</v>
      </c>
      <c r="G1383">
        <v>2122</v>
      </c>
      <c r="H1383">
        <v>1</v>
      </c>
      <c r="I1383">
        <v>14</v>
      </c>
      <c r="J1383">
        <v>5</v>
      </c>
      <c r="K1383">
        <v>3</v>
      </c>
      <c r="L1383">
        <v>5</v>
      </c>
      <c r="M1383">
        <v>3</v>
      </c>
      <c r="N1383">
        <v>1</v>
      </c>
      <c r="O1383">
        <v>4</v>
      </c>
      <c r="P1383" t="s">
        <v>1556</v>
      </c>
      <c r="Q1383" t="s">
        <v>1554</v>
      </c>
      <c r="R1383" t="s">
        <v>1550</v>
      </c>
      <c r="S1383" t="s">
        <v>1534</v>
      </c>
      <c r="T1383" t="s">
        <v>1540</v>
      </c>
      <c r="U1383" t="s">
        <v>1547</v>
      </c>
      <c r="V1383" t="s">
        <v>1559</v>
      </c>
      <c r="W1383" t="s">
        <v>1563</v>
      </c>
      <c r="X1383" t="s">
        <v>1575</v>
      </c>
      <c r="Y1383" t="s">
        <v>1582</v>
      </c>
      <c r="Z1383" t="s">
        <v>1593</v>
      </c>
      <c r="AA1383" t="s">
        <v>1596</v>
      </c>
      <c r="AB1383" t="s">
        <v>1601</v>
      </c>
      <c r="AC1383" t="s">
        <v>1610</v>
      </c>
      <c r="AD1383" t="s">
        <v>1606</v>
      </c>
      <c r="AE1383" t="s">
        <v>1616</v>
      </c>
      <c r="AF1383" t="s">
        <v>1626</v>
      </c>
    </row>
    <row r="1384" spans="1:32" x14ac:dyDescent="0.25">
      <c r="A1384" t="s">
        <v>1441</v>
      </c>
      <c r="B1384">
        <v>31</v>
      </c>
      <c r="C1384">
        <v>976</v>
      </c>
      <c r="D1384">
        <v>3</v>
      </c>
      <c r="E1384">
        <v>48</v>
      </c>
      <c r="F1384">
        <v>3065</v>
      </c>
      <c r="G1384">
        <v>3995</v>
      </c>
      <c r="H1384">
        <v>1</v>
      </c>
      <c r="I1384">
        <v>13</v>
      </c>
      <c r="J1384">
        <v>4</v>
      </c>
      <c r="K1384">
        <v>3</v>
      </c>
      <c r="L1384">
        <v>4</v>
      </c>
      <c r="M1384">
        <v>2</v>
      </c>
      <c r="N1384">
        <v>2</v>
      </c>
      <c r="O1384">
        <v>3</v>
      </c>
      <c r="P1384" t="s">
        <v>1556</v>
      </c>
      <c r="Q1384" t="s">
        <v>1554</v>
      </c>
      <c r="R1384" t="s">
        <v>1550</v>
      </c>
      <c r="S1384" t="s">
        <v>1533</v>
      </c>
      <c r="T1384" t="s">
        <v>1540</v>
      </c>
      <c r="U1384" t="s">
        <v>1547</v>
      </c>
      <c r="V1384" t="s">
        <v>1559</v>
      </c>
      <c r="W1384" t="s">
        <v>1563</v>
      </c>
      <c r="X1384" t="s">
        <v>1575</v>
      </c>
      <c r="Y1384" t="s">
        <v>1582</v>
      </c>
      <c r="Z1384" t="s">
        <v>1591</v>
      </c>
      <c r="AA1384" t="s">
        <v>1598</v>
      </c>
      <c r="AB1384" t="s">
        <v>1600</v>
      </c>
      <c r="AC1384" t="s">
        <v>1610</v>
      </c>
      <c r="AD1384" t="s">
        <v>1607</v>
      </c>
      <c r="AE1384" t="s">
        <v>1617</v>
      </c>
      <c r="AF1384" t="s">
        <v>1628</v>
      </c>
    </row>
    <row r="1385" spans="1:32" x14ac:dyDescent="0.25">
      <c r="A1385" t="s">
        <v>1442</v>
      </c>
      <c r="B1385">
        <v>36</v>
      </c>
      <c r="C1385">
        <v>1351</v>
      </c>
      <c r="D1385">
        <v>9</v>
      </c>
      <c r="E1385">
        <v>66</v>
      </c>
      <c r="F1385">
        <v>2810</v>
      </c>
      <c r="G1385">
        <v>9238</v>
      </c>
      <c r="H1385">
        <v>1</v>
      </c>
      <c r="I1385">
        <v>22</v>
      </c>
      <c r="J1385">
        <v>5</v>
      </c>
      <c r="K1385">
        <v>3</v>
      </c>
      <c r="L1385">
        <v>5</v>
      </c>
      <c r="M1385">
        <v>4</v>
      </c>
      <c r="N1385">
        <v>0</v>
      </c>
      <c r="O1385">
        <v>2</v>
      </c>
      <c r="P1385" t="s">
        <v>1556</v>
      </c>
      <c r="Q1385" t="s">
        <v>1554</v>
      </c>
      <c r="R1385" t="s">
        <v>1550</v>
      </c>
      <c r="S1385" t="s">
        <v>1535</v>
      </c>
      <c r="T1385" t="s">
        <v>1538</v>
      </c>
      <c r="U1385" t="s">
        <v>1545</v>
      </c>
      <c r="V1385" t="s">
        <v>1559</v>
      </c>
      <c r="W1385" t="s">
        <v>1564</v>
      </c>
      <c r="X1385" t="s">
        <v>1575</v>
      </c>
      <c r="Y1385" t="s">
        <v>1583</v>
      </c>
      <c r="Z1385" t="s">
        <v>1592</v>
      </c>
      <c r="AA1385" t="s">
        <v>1597</v>
      </c>
      <c r="AB1385" t="s">
        <v>1601</v>
      </c>
      <c r="AC1385" t="s">
        <v>1611</v>
      </c>
      <c r="AD1385" t="s">
        <v>1605</v>
      </c>
      <c r="AE1385" t="s">
        <v>1616</v>
      </c>
      <c r="AF1385" t="s">
        <v>1627</v>
      </c>
    </row>
    <row r="1386" spans="1:32" x14ac:dyDescent="0.25">
      <c r="A1386" t="s">
        <v>1443</v>
      </c>
      <c r="B1386">
        <v>34</v>
      </c>
      <c r="C1386">
        <v>937</v>
      </c>
      <c r="D1386">
        <v>1</v>
      </c>
      <c r="E1386">
        <v>32</v>
      </c>
      <c r="F1386">
        <v>9888</v>
      </c>
      <c r="G1386">
        <v>6770</v>
      </c>
      <c r="H1386">
        <v>1</v>
      </c>
      <c r="I1386">
        <v>21</v>
      </c>
      <c r="J1386">
        <v>14</v>
      </c>
      <c r="K1386">
        <v>3</v>
      </c>
      <c r="L1386">
        <v>14</v>
      </c>
      <c r="M1386">
        <v>8</v>
      </c>
      <c r="N1386">
        <v>2</v>
      </c>
      <c r="O1386">
        <v>1</v>
      </c>
      <c r="P1386" t="s">
        <v>1556</v>
      </c>
      <c r="Q1386" t="s">
        <v>1552</v>
      </c>
      <c r="R1386" t="s">
        <v>1549</v>
      </c>
      <c r="S1386" t="s">
        <v>1534</v>
      </c>
      <c r="T1386" t="s">
        <v>1541</v>
      </c>
      <c r="U1386" t="s">
        <v>1545</v>
      </c>
      <c r="V1386" t="s">
        <v>1559</v>
      </c>
      <c r="W1386" t="s">
        <v>1563</v>
      </c>
      <c r="X1386" t="s">
        <v>1577</v>
      </c>
      <c r="Y1386" t="s">
        <v>1581</v>
      </c>
      <c r="Z1386" t="s">
        <v>1594</v>
      </c>
      <c r="AA1386" t="s">
        <v>1596</v>
      </c>
      <c r="AB1386" t="s">
        <v>1601</v>
      </c>
      <c r="AC1386" t="s">
        <v>1611</v>
      </c>
      <c r="AD1386" t="s">
        <v>1604</v>
      </c>
      <c r="AE1386" t="s">
        <v>1616</v>
      </c>
      <c r="AF1386" t="s">
        <v>1626</v>
      </c>
    </row>
    <row r="1387" spans="1:32" x14ac:dyDescent="0.25">
      <c r="A1387" t="s">
        <v>1444</v>
      </c>
      <c r="B1387">
        <v>34</v>
      </c>
      <c r="C1387">
        <v>1239</v>
      </c>
      <c r="D1387">
        <v>13</v>
      </c>
      <c r="E1387">
        <v>39</v>
      </c>
      <c r="F1387">
        <v>8628</v>
      </c>
      <c r="G1387">
        <v>22914</v>
      </c>
      <c r="H1387">
        <v>1</v>
      </c>
      <c r="I1387">
        <v>18</v>
      </c>
      <c r="J1387">
        <v>9</v>
      </c>
      <c r="K1387">
        <v>2</v>
      </c>
      <c r="L1387">
        <v>8</v>
      </c>
      <c r="M1387">
        <v>7</v>
      </c>
      <c r="N1387">
        <v>1</v>
      </c>
      <c r="O1387">
        <v>1</v>
      </c>
      <c r="P1387" t="s">
        <v>1556</v>
      </c>
      <c r="Q1387" t="s">
        <v>1552</v>
      </c>
      <c r="R1387" t="s">
        <v>1549</v>
      </c>
      <c r="S1387" t="s">
        <v>1535</v>
      </c>
      <c r="T1387" t="s">
        <v>1540</v>
      </c>
      <c r="U1387" t="s">
        <v>1548</v>
      </c>
      <c r="V1387" t="s">
        <v>1559</v>
      </c>
      <c r="W1387" t="s">
        <v>1563</v>
      </c>
      <c r="X1387" t="s">
        <v>1577</v>
      </c>
      <c r="Y1387" t="s">
        <v>1581</v>
      </c>
      <c r="Z1387" t="s">
        <v>1593</v>
      </c>
      <c r="AA1387" t="s">
        <v>1598</v>
      </c>
      <c r="AB1387" t="s">
        <v>1601</v>
      </c>
      <c r="AC1387" t="s">
        <v>1610</v>
      </c>
      <c r="AD1387" t="s">
        <v>1606</v>
      </c>
      <c r="AE1387" t="s">
        <v>1617</v>
      </c>
      <c r="AF1387" t="s">
        <v>1626</v>
      </c>
    </row>
    <row r="1388" spans="1:32" x14ac:dyDescent="0.25">
      <c r="A1388" t="s">
        <v>1445</v>
      </c>
      <c r="B1388">
        <v>26</v>
      </c>
      <c r="C1388">
        <v>157</v>
      </c>
      <c r="D1388">
        <v>1</v>
      </c>
      <c r="E1388">
        <v>95</v>
      </c>
      <c r="F1388">
        <v>2867</v>
      </c>
      <c r="G1388">
        <v>20006</v>
      </c>
      <c r="H1388">
        <v>0</v>
      </c>
      <c r="I1388">
        <v>13</v>
      </c>
      <c r="J1388">
        <v>8</v>
      </c>
      <c r="K1388">
        <v>6</v>
      </c>
      <c r="L1388">
        <v>7</v>
      </c>
      <c r="M1388">
        <v>7</v>
      </c>
      <c r="N1388">
        <v>7</v>
      </c>
      <c r="O1388">
        <v>6</v>
      </c>
      <c r="P1388" t="s">
        <v>1556</v>
      </c>
      <c r="Q1388" t="s">
        <v>1552</v>
      </c>
      <c r="R1388" t="s">
        <v>1550</v>
      </c>
      <c r="S1388" t="s">
        <v>1534</v>
      </c>
      <c r="T1388" t="s">
        <v>1540</v>
      </c>
      <c r="U1388" t="s">
        <v>1547</v>
      </c>
      <c r="V1388" t="s">
        <v>1559</v>
      </c>
      <c r="W1388" t="s">
        <v>1563</v>
      </c>
      <c r="X1388" t="s">
        <v>1575</v>
      </c>
      <c r="Y1388" t="s">
        <v>1583</v>
      </c>
      <c r="Z1388" t="s">
        <v>1591</v>
      </c>
      <c r="AA1388" t="s">
        <v>1596</v>
      </c>
      <c r="AB1388" t="s">
        <v>1601</v>
      </c>
      <c r="AC1388" t="s">
        <v>1610</v>
      </c>
      <c r="AD1388" t="s">
        <v>1607</v>
      </c>
      <c r="AE1388" t="s">
        <v>1616</v>
      </c>
      <c r="AF1388" t="s">
        <v>1626</v>
      </c>
    </row>
    <row r="1389" spans="1:32" x14ac:dyDescent="0.25">
      <c r="A1389" t="s">
        <v>1446</v>
      </c>
      <c r="B1389">
        <v>29</v>
      </c>
      <c r="C1389">
        <v>136</v>
      </c>
      <c r="D1389">
        <v>1</v>
      </c>
      <c r="E1389">
        <v>89</v>
      </c>
      <c r="F1389">
        <v>5373</v>
      </c>
      <c r="G1389">
        <v>6225</v>
      </c>
      <c r="H1389">
        <v>0</v>
      </c>
      <c r="I1389">
        <v>12</v>
      </c>
      <c r="J1389">
        <v>6</v>
      </c>
      <c r="K1389">
        <v>5</v>
      </c>
      <c r="L1389">
        <v>5</v>
      </c>
      <c r="M1389">
        <v>3</v>
      </c>
      <c r="N1389">
        <v>0</v>
      </c>
      <c r="O1389">
        <v>2</v>
      </c>
      <c r="P1389" t="s">
        <v>1556</v>
      </c>
      <c r="Q1389" t="s">
        <v>1552</v>
      </c>
      <c r="R1389" t="s">
        <v>1550</v>
      </c>
      <c r="S1389" t="s">
        <v>1534</v>
      </c>
      <c r="T1389" t="s">
        <v>1538</v>
      </c>
      <c r="U1389" t="s">
        <v>1545</v>
      </c>
      <c r="V1389" t="s">
        <v>1559</v>
      </c>
      <c r="W1389" t="s">
        <v>1563</v>
      </c>
      <c r="X1389" t="s">
        <v>1576</v>
      </c>
      <c r="Y1389" t="s">
        <v>1585</v>
      </c>
      <c r="Z1389" t="s">
        <v>1591</v>
      </c>
      <c r="AA1389" t="s">
        <v>1597</v>
      </c>
      <c r="AB1389" t="s">
        <v>1601</v>
      </c>
      <c r="AC1389" t="s">
        <v>1610</v>
      </c>
      <c r="AD1389" t="s">
        <v>1604</v>
      </c>
      <c r="AE1389" t="s">
        <v>1617</v>
      </c>
      <c r="AF1389" t="s">
        <v>1626</v>
      </c>
    </row>
    <row r="1390" spans="1:32" x14ac:dyDescent="0.25">
      <c r="A1390" t="s">
        <v>1447</v>
      </c>
      <c r="B1390">
        <v>32</v>
      </c>
      <c r="C1390">
        <v>1146</v>
      </c>
      <c r="D1390">
        <v>15</v>
      </c>
      <c r="E1390">
        <v>34</v>
      </c>
      <c r="F1390">
        <v>6667</v>
      </c>
      <c r="G1390">
        <v>16542</v>
      </c>
      <c r="H1390">
        <v>5</v>
      </c>
      <c r="I1390">
        <v>18</v>
      </c>
      <c r="J1390">
        <v>9</v>
      </c>
      <c r="K1390">
        <v>6</v>
      </c>
      <c r="L1390">
        <v>5</v>
      </c>
      <c r="M1390">
        <v>1</v>
      </c>
      <c r="N1390">
        <v>1</v>
      </c>
      <c r="O1390">
        <v>2</v>
      </c>
      <c r="P1390" t="s">
        <v>1556</v>
      </c>
      <c r="Q1390" t="s">
        <v>1554</v>
      </c>
      <c r="R1390" t="s">
        <v>1550</v>
      </c>
      <c r="S1390" t="s">
        <v>1535</v>
      </c>
      <c r="T1390" t="s">
        <v>1540</v>
      </c>
      <c r="U1390" t="s">
        <v>1547</v>
      </c>
      <c r="V1390" t="s">
        <v>1558</v>
      </c>
      <c r="W1390" t="s">
        <v>1563</v>
      </c>
      <c r="X1390" t="s">
        <v>1576</v>
      </c>
      <c r="Y1390" t="s">
        <v>1585</v>
      </c>
      <c r="Z1390" t="s">
        <v>1594</v>
      </c>
      <c r="AA1390" t="s">
        <v>1598</v>
      </c>
      <c r="AB1390" t="s">
        <v>1601</v>
      </c>
      <c r="AC1390" t="s">
        <v>1610</v>
      </c>
      <c r="AD1390" t="s">
        <v>1605</v>
      </c>
      <c r="AE1390" t="s">
        <v>1617</v>
      </c>
      <c r="AF1390" t="s">
        <v>1627</v>
      </c>
    </row>
    <row r="1391" spans="1:32" x14ac:dyDescent="0.25">
      <c r="A1391" t="s">
        <v>1448</v>
      </c>
      <c r="B1391">
        <v>31</v>
      </c>
      <c r="C1391">
        <v>1125</v>
      </c>
      <c r="D1391">
        <v>1</v>
      </c>
      <c r="E1391">
        <v>48</v>
      </c>
      <c r="F1391">
        <v>5003</v>
      </c>
      <c r="G1391">
        <v>5771</v>
      </c>
      <c r="H1391">
        <v>1</v>
      </c>
      <c r="I1391">
        <v>21</v>
      </c>
      <c r="J1391">
        <v>10</v>
      </c>
      <c r="K1391">
        <v>6</v>
      </c>
      <c r="L1391">
        <v>10</v>
      </c>
      <c r="M1391">
        <v>8</v>
      </c>
      <c r="N1391">
        <v>8</v>
      </c>
      <c r="O1391">
        <v>7</v>
      </c>
      <c r="P1391" t="s">
        <v>1556</v>
      </c>
      <c r="Q1391" t="s">
        <v>1553</v>
      </c>
      <c r="R1391" t="s">
        <v>1550</v>
      </c>
      <c r="S1391" t="s">
        <v>1534</v>
      </c>
      <c r="T1391" t="s">
        <v>1538</v>
      </c>
      <c r="U1391" t="s">
        <v>1548</v>
      </c>
      <c r="V1391" t="s">
        <v>1559</v>
      </c>
      <c r="W1391" t="s">
        <v>1561</v>
      </c>
      <c r="X1391" t="s">
        <v>1576</v>
      </c>
      <c r="Y1391" t="s">
        <v>1582</v>
      </c>
      <c r="Z1391" t="s">
        <v>1591</v>
      </c>
      <c r="AA1391" t="s">
        <v>1597</v>
      </c>
      <c r="AB1391" t="s">
        <v>1601</v>
      </c>
      <c r="AC1391" t="s">
        <v>1611</v>
      </c>
      <c r="AD1391" t="s">
        <v>1605</v>
      </c>
      <c r="AE1391" t="s">
        <v>1616</v>
      </c>
      <c r="AF1391" t="s">
        <v>1627</v>
      </c>
    </row>
    <row r="1392" spans="1:32" x14ac:dyDescent="0.25">
      <c r="A1392" t="s">
        <v>1449</v>
      </c>
      <c r="B1392">
        <v>28</v>
      </c>
      <c r="C1392">
        <v>1404</v>
      </c>
      <c r="D1392">
        <v>17</v>
      </c>
      <c r="E1392">
        <v>32</v>
      </c>
      <c r="F1392">
        <v>2367</v>
      </c>
      <c r="G1392">
        <v>18779</v>
      </c>
      <c r="H1392">
        <v>5</v>
      </c>
      <c r="I1392">
        <v>12</v>
      </c>
      <c r="J1392">
        <v>6</v>
      </c>
      <c r="K1392">
        <v>2</v>
      </c>
      <c r="L1392">
        <v>4</v>
      </c>
      <c r="M1392">
        <v>1</v>
      </c>
      <c r="N1392">
        <v>0</v>
      </c>
      <c r="O1392">
        <v>3</v>
      </c>
      <c r="P1392" t="s">
        <v>1555</v>
      </c>
      <c r="Q1392" t="s">
        <v>1552</v>
      </c>
      <c r="R1392" t="s">
        <v>1550</v>
      </c>
      <c r="S1392" t="s">
        <v>1534</v>
      </c>
      <c r="T1392" t="s">
        <v>1542</v>
      </c>
      <c r="U1392" t="s">
        <v>1547</v>
      </c>
      <c r="V1392" t="s">
        <v>1559</v>
      </c>
      <c r="W1392" t="s">
        <v>1562</v>
      </c>
      <c r="X1392" t="s">
        <v>1575</v>
      </c>
      <c r="Y1392" t="s">
        <v>1583</v>
      </c>
      <c r="Z1392" t="s">
        <v>1594</v>
      </c>
      <c r="AA1392" t="s">
        <v>1598</v>
      </c>
      <c r="AB1392" t="s">
        <v>1601</v>
      </c>
      <c r="AC1392" t="s">
        <v>1610</v>
      </c>
      <c r="AD1392" t="s">
        <v>1604</v>
      </c>
      <c r="AE1392" t="s">
        <v>1617</v>
      </c>
      <c r="AF1392" t="s">
        <v>1626</v>
      </c>
    </row>
    <row r="1393" spans="1:32" x14ac:dyDescent="0.25">
      <c r="A1393" t="s">
        <v>1450</v>
      </c>
      <c r="B1393">
        <v>38</v>
      </c>
      <c r="C1393">
        <v>1404</v>
      </c>
      <c r="D1393">
        <v>1</v>
      </c>
      <c r="E1393">
        <v>59</v>
      </c>
      <c r="F1393">
        <v>2858</v>
      </c>
      <c r="G1393">
        <v>11473</v>
      </c>
      <c r="H1393">
        <v>4</v>
      </c>
      <c r="I1393">
        <v>14</v>
      </c>
      <c r="J1393">
        <v>20</v>
      </c>
      <c r="K1393">
        <v>3</v>
      </c>
      <c r="L1393">
        <v>1</v>
      </c>
      <c r="M1393">
        <v>0</v>
      </c>
      <c r="N1393">
        <v>0</v>
      </c>
      <c r="O1393">
        <v>0</v>
      </c>
      <c r="P1393" t="s">
        <v>1556</v>
      </c>
      <c r="Q1393" t="s">
        <v>1552</v>
      </c>
      <c r="R1393" t="s">
        <v>1549</v>
      </c>
      <c r="S1393" t="s">
        <v>1534</v>
      </c>
      <c r="T1393" t="s">
        <v>1538</v>
      </c>
      <c r="U1393" t="s">
        <v>1545</v>
      </c>
      <c r="V1393" t="s">
        <v>1559</v>
      </c>
      <c r="W1393" t="s">
        <v>1562</v>
      </c>
      <c r="X1393" t="s">
        <v>1575</v>
      </c>
      <c r="Y1393" t="s">
        <v>1587</v>
      </c>
      <c r="Z1393" t="s">
        <v>1591</v>
      </c>
      <c r="AA1393" t="s">
        <v>1596</v>
      </c>
      <c r="AB1393" t="s">
        <v>1601</v>
      </c>
      <c r="AC1393" t="s">
        <v>1610</v>
      </c>
      <c r="AD1393" t="s">
        <v>1604</v>
      </c>
      <c r="AE1393" t="s">
        <v>1616</v>
      </c>
      <c r="AF1393" t="s">
        <v>1626</v>
      </c>
    </row>
    <row r="1394" spans="1:32" x14ac:dyDescent="0.25">
      <c r="A1394" t="s">
        <v>1451</v>
      </c>
      <c r="B1394">
        <v>35</v>
      </c>
      <c r="C1394">
        <v>1224</v>
      </c>
      <c r="D1394">
        <v>7</v>
      </c>
      <c r="E1394">
        <v>55</v>
      </c>
      <c r="F1394">
        <v>5204</v>
      </c>
      <c r="G1394">
        <v>13586</v>
      </c>
      <c r="H1394">
        <v>1</v>
      </c>
      <c r="I1394">
        <v>11</v>
      </c>
      <c r="J1394">
        <v>10</v>
      </c>
      <c r="K1394">
        <v>2</v>
      </c>
      <c r="L1394">
        <v>10</v>
      </c>
      <c r="M1394">
        <v>8</v>
      </c>
      <c r="N1394">
        <v>0</v>
      </c>
      <c r="O1394">
        <v>9</v>
      </c>
      <c r="P1394" t="s">
        <v>1556</v>
      </c>
      <c r="Q1394" t="s">
        <v>1552</v>
      </c>
      <c r="R1394" t="s">
        <v>1549</v>
      </c>
      <c r="S1394" t="s">
        <v>1535</v>
      </c>
      <c r="T1394" t="s">
        <v>1538</v>
      </c>
      <c r="U1394" t="s">
        <v>1547</v>
      </c>
      <c r="V1394" t="s">
        <v>1558</v>
      </c>
      <c r="W1394" t="s">
        <v>1563</v>
      </c>
      <c r="X1394" t="s">
        <v>1576</v>
      </c>
      <c r="Y1394" t="s">
        <v>1581</v>
      </c>
      <c r="Z1394" t="s">
        <v>1594</v>
      </c>
      <c r="AA1394" t="s">
        <v>1597</v>
      </c>
      <c r="AB1394" t="s">
        <v>1600</v>
      </c>
      <c r="AC1394" t="s">
        <v>1610</v>
      </c>
      <c r="AD1394" t="s">
        <v>1607</v>
      </c>
      <c r="AE1394" t="s">
        <v>1616</v>
      </c>
      <c r="AF1394" t="s">
        <v>1627</v>
      </c>
    </row>
    <row r="1395" spans="1:32" x14ac:dyDescent="0.25">
      <c r="A1395" t="s">
        <v>1452</v>
      </c>
      <c r="B1395">
        <v>27</v>
      </c>
      <c r="C1395">
        <v>954</v>
      </c>
      <c r="D1395">
        <v>9</v>
      </c>
      <c r="E1395">
        <v>44</v>
      </c>
      <c r="F1395">
        <v>4105</v>
      </c>
      <c r="G1395">
        <v>5099</v>
      </c>
      <c r="H1395">
        <v>1</v>
      </c>
      <c r="I1395">
        <v>14</v>
      </c>
      <c r="J1395">
        <v>7</v>
      </c>
      <c r="K1395">
        <v>5</v>
      </c>
      <c r="L1395">
        <v>7</v>
      </c>
      <c r="M1395">
        <v>7</v>
      </c>
      <c r="N1395">
        <v>0</v>
      </c>
      <c r="O1395">
        <v>7</v>
      </c>
      <c r="P1395" t="s">
        <v>1556</v>
      </c>
      <c r="Q1395" t="s">
        <v>1552</v>
      </c>
      <c r="R1395" t="s">
        <v>1549</v>
      </c>
      <c r="S1395" t="s">
        <v>1534</v>
      </c>
      <c r="T1395" t="s">
        <v>1541</v>
      </c>
      <c r="U1395" t="s">
        <v>1548</v>
      </c>
      <c r="V1395" t="s">
        <v>1559</v>
      </c>
      <c r="W1395" t="s">
        <v>1563</v>
      </c>
      <c r="X1395" t="s">
        <v>1576</v>
      </c>
      <c r="Y1395" t="s">
        <v>1581</v>
      </c>
      <c r="Z1395" t="s">
        <v>1594</v>
      </c>
      <c r="AA1395" t="s">
        <v>1596</v>
      </c>
      <c r="AB1395" t="s">
        <v>1601</v>
      </c>
      <c r="AC1395" t="s">
        <v>1610</v>
      </c>
      <c r="AD1395" t="s">
        <v>1604</v>
      </c>
      <c r="AE1395" t="s">
        <v>1616</v>
      </c>
      <c r="AF1395" t="s">
        <v>1627</v>
      </c>
    </row>
    <row r="1396" spans="1:32" x14ac:dyDescent="0.25">
      <c r="A1396" t="s">
        <v>1453</v>
      </c>
      <c r="B1396">
        <v>32</v>
      </c>
      <c r="C1396">
        <v>1373</v>
      </c>
      <c r="D1396">
        <v>5</v>
      </c>
      <c r="E1396">
        <v>56</v>
      </c>
      <c r="F1396">
        <v>9679</v>
      </c>
      <c r="G1396">
        <v>10138</v>
      </c>
      <c r="H1396">
        <v>8</v>
      </c>
      <c r="I1396">
        <v>24</v>
      </c>
      <c r="J1396">
        <v>8</v>
      </c>
      <c r="K1396">
        <v>1</v>
      </c>
      <c r="L1396">
        <v>1</v>
      </c>
      <c r="M1396">
        <v>0</v>
      </c>
      <c r="N1396">
        <v>0</v>
      </c>
      <c r="O1396">
        <v>0</v>
      </c>
      <c r="P1396" t="s">
        <v>1556</v>
      </c>
      <c r="Q1396" t="s">
        <v>1552</v>
      </c>
      <c r="R1396" t="s">
        <v>1550</v>
      </c>
      <c r="S1396" t="s">
        <v>1535</v>
      </c>
      <c r="T1396" t="s">
        <v>1538</v>
      </c>
      <c r="U1396" t="s">
        <v>1548</v>
      </c>
      <c r="V1396" t="s">
        <v>1559</v>
      </c>
      <c r="W1396" t="s">
        <v>1562</v>
      </c>
      <c r="X1396" t="s">
        <v>1576</v>
      </c>
      <c r="Y1396" t="s">
        <v>1584</v>
      </c>
      <c r="Z1396" t="s">
        <v>1594</v>
      </c>
      <c r="AA1396" t="s">
        <v>1596</v>
      </c>
      <c r="AB1396" t="s">
        <v>1601</v>
      </c>
      <c r="AC1396" t="s">
        <v>1611</v>
      </c>
      <c r="AD1396" t="s">
        <v>1605</v>
      </c>
      <c r="AE1396" t="s">
        <v>1616</v>
      </c>
      <c r="AF1396" t="s">
        <v>1627</v>
      </c>
    </row>
    <row r="1397" spans="1:32" x14ac:dyDescent="0.25">
      <c r="A1397" t="s">
        <v>1454</v>
      </c>
      <c r="B1397">
        <v>31</v>
      </c>
      <c r="C1397">
        <v>754</v>
      </c>
      <c r="D1397">
        <v>26</v>
      </c>
      <c r="E1397">
        <v>63</v>
      </c>
      <c r="F1397">
        <v>5617</v>
      </c>
      <c r="G1397">
        <v>21075</v>
      </c>
      <c r="H1397">
        <v>1</v>
      </c>
      <c r="I1397">
        <v>11</v>
      </c>
      <c r="J1397">
        <v>10</v>
      </c>
      <c r="K1397">
        <v>4</v>
      </c>
      <c r="L1397">
        <v>10</v>
      </c>
      <c r="M1397">
        <v>7</v>
      </c>
      <c r="N1397">
        <v>0</v>
      </c>
      <c r="O1397">
        <v>8</v>
      </c>
      <c r="P1397" t="s">
        <v>1555</v>
      </c>
      <c r="Q1397" t="s">
        <v>1553</v>
      </c>
      <c r="R1397" t="s">
        <v>1549</v>
      </c>
      <c r="S1397" t="s">
        <v>1535</v>
      </c>
      <c r="T1397" t="s">
        <v>1541</v>
      </c>
      <c r="U1397" t="s">
        <v>1545</v>
      </c>
      <c r="V1397" t="s">
        <v>1559</v>
      </c>
      <c r="W1397" t="s">
        <v>1563</v>
      </c>
      <c r="X1397" t="s">
        <v>1576</v>
      </c>
      <c r="Y1397" t="s">
        <v>1581</v>
      </c>
      <c r="Z1397" t="s">
        <v>1594</v>
      </c>
      <c r="AA1397" t="s">
        <v>1597</v>
      </c>
      <c r="AB1397" t="s">
        <v>1600</v>
      </c>
      <c r="AC1397" t="s">
        <v>1610</v>
      </c>
      <c r="AD1397" t="s">
        <v>1606</v>
      </c>
      <c r="AE1397" t="s">
        <v>1616</v>
      </c>
      <c r="AF1397" t="s">
        <v>1627</v>
      </c>
    </row>
    <row r="1398" spans="1:32" x14ac:dyDescent="0.25">
      <c r="A1398" t="s">
        <v>1455</v>
      </c>
      <c r="B1398">
        <v>53</v>
      </c>
      <c r="C1398">
        <v>1168</v>
      </c>
      <c r="D1398">
        <v>24</v>
      </c>
      <c r="E1398">
        <v>66</v>
      </c>
      <c r="F1398">
        <v>10448</v>
      </c>
      <c r="G1398">
        <v>5843</v>
      </c>
      <c r="H1398">
        <v>6</v>
      </c>
      <c r="I1398">
        <v>13</v>
      </c>
      <c r="J1398">
        <v>15</v>
      </c>
      <c r="K1398">
        <v>2</v>
      </c>
      <c r="L1398">
        <v>2</v>
      </c>
      <c r="M1398">
        <v>2</v>
      </c>
      <c r="N1398">
        <v>2</v>
      </c>
      <c r="O1398">
        <v>2</v>
      </c>
      <c r="P1398" t="s">
        <v>1555</v>
      </c>
      <c r="Q1398" t="s">
        <v>1552</v>
      </c>
      <c r="R1398" t="s">
        <v>1549</v>
      </c>
      <c r="S1398" t="s">
        <v>1535</v>
      </c>
      <c r="T1398" t="s">
        <v>1538</v>
      </c>
      <c r="U1398" t="s">
        <v>1545</v>
      </c>
      <c r="V1398" t="s">
        <v>1559</v>
      </c>
      <c r="W1398" t="s">
        <v>1563</v>
      </c>
      <c r="X1398" t="s">
        <v>1577</v>
      </c>
      <c r="Y1398" t="s">
        <v>1581</v>
      </c>
      <c r="Z1398" t="s">
        <v>1591</v>
      </c>
      <c r="AA1398" t="s">
        <v>1596</v>
      </c>
      <c r="AB1398" t="s">
        <v>1600</v>
      </c>
      <c r="AC1398" t="s">
        <v>1610</v>
      </c>
      <c r="AD1398" t="s">
        <v>1605</v>
      </c>
      <c r="AE1398" t="s">
        <v>1616</v>
      </c>
      <c r="AF1398" t="s">
        <v>1626</v>
      </c>
    </row>
    <row r="1399" spans="1:32" x14ac:dyDescent="0.25">
      <c r="A1399" t="s">
        <v>1456</v>
      </c>
      <c r="B1399">
        <v>54</v>
      </c>
      <c r="C1399">
        <v>155</v>
      </c>
      <c r="D1399">
        <v>9</v>
      </c>
      <c r="E1399">
        <v>67</v>
      </c>
      <c r="F1399">
        <v>2897</v>
      </c>
      <c r="G1399">
        <v>22474</v>
      </c>
      <c r="H1399">
        <v>3</v>
      </c>
      <c r="I1399">
        <v>11</v>
      </c>
      <c r="J1399">
        <v>9</v>
      </c>
      <c r="K1399">
        <v>6</v>
      </c>
      <c r="L1399">
        <v>4</v>
      </c>
      <c r="M1399">
        <v>3</v>
      </c>
      <c r="N1399">
        <v>2</v>
      </c>
      <c r="O1399">
        <v>3</v>
      </c>
      <c r="P1399" t="s">
        <v>1556</v>
      </c>
      <c r="Q1399" t="s">
        <v>1552</v>
      </c>
      <c r="R1399" t="s">
        <v>1550</v>
      </c>
      <c r="S1399" t="s">
        <v>1533</v>
      </c>
      <c r="T1399" t="s">
        <v>1538</v>
      </c>
      <c r="U1399" t="s">
        <v>1545</v>
      </c>
      <c r="V1399" t="s">
        <v>1558</v>
      </c>
      <c r="W1399" t="s">
        <v>1563</v>
      </c>
      <c r="X1399" t="s">
        <v>1576</v>
      </c>
      <c r="Y1399" t="s">
        <v>1582</v>
      </c>
      <c r="Z1399" t="s">
        <v>1593</v>
      </c>
      <c r="AA1399" t="s">
        <v>1597</v>
      </c>
      <c r="AB1399" t="s">
        <v>1601</v>
      </c>
      <c r="AC1399" t="s">
        <v>1610</v>
      </c>
      <c r="AD1399" t="s">
        <v>1606</v>
      </c>
      <c r="AE1399" t="s">
        <v>1618</v>
      </c>
      <c r="AF1399" t="s">
        <v>1626</v>
      </c>
    </row>
    <row r="1400" spans="1:32" x14ac:dyDescent="0.25">
      <c r="A1400" t="s">
        <v>1457</v>
      </c>
      <c r="B1400">
        <v>33</v>
      </c>
      <c r="C1400">
        <v>1303</v>
      </c>
      <c r="D1400">
        <v>7</v>
      </c>
      <c r="E1400">
        <v>36</v>
      </c>
      <c r="F1400">
        <v>5968</v>
      </c>
      <c r="G1400">
        <v>18079</v>
      </c>
      <c r="H1400">
        <v>1</v>
      </c>
      <c r="I1400">
        <v>20</v>
      </c>
      <c r="J1400">
        <v>9</v>
      </c>
      <c r="K1400">
        <v>2</v>
      </c>
      <c r="L1400">
        <v>9</v>
      </c>
      <c r="M1400">
        <v>7</v>
      </c>
      <c r="N1400">
        <v>2</v>
      </c>
      <c r="O1400">
        <v>8</v>
      </c>
      <c r="P1400" t="s">
        <v>1556</v>
      </c>
      <c r="Q1400" t="s">
        <v>1553</v>
      </c>
      <c r="R1400" t="s">
        <v>1550</v>
      </c>
      <c r="S1400" t="s">
        <v>1533</v>
      </c>
      <c r="T1400" t="s">
        <v>1538</v>
      </c>
      <c r="U1400" t="s">
        <v>1548</v>
      </c>
      <c r="V1400" t="s">
        <v>1559</v>
      </c>
      <c r="W1400" t="s">
        <v>1563</v>
      </c>
      <c r="X1400" t="s">
        <v>1576</v>
      </c>
      <c r="Y1400" t="s">
        <v>1585</v>
      </c>
      <c r="Z1400" t="s">
        <v>1593</v>
      </c>
      <c r="AA1400" t="s">
        <v>1598</v>
      </c>
      <c r="AB1400" t="s">
        <v>1601</v>
      </c>
      <c r="AC1400" t="s">
        <v>1611</v>
      </c>
      <c r="AD1400" t="s">
        <v>1606</v>
      </c>
      <c r="AE1400" t="s">
        <v>1619</v>
      </c>
      <c r="AF1400" t="s">
        <v>1627</v>
      </c>
    </row>
    <row r="1401" spans="1:32" x14ac:dyDescent="0.25">
      <c r="A1401" t="s">
        <v>1458</v>
      </c>
      <c r="B1401">
        <v>43</v>
      </c>
      <c r="C1401">
        <v>574</v>
      </c>
      <c r="D1401">
        <v>11</v>
      </c>
      <c r="E1401">
        <v>30</v>
      </c>
      <c r="F1401">
        <v>7510</v>
      </c>
      <c r="G1401">
        <v>16873</v>
      </c>
      <c r="H1401">
        <v>1</v>
      </c>
      <c r="I1401">
        <v>17</v>
      </c>
      <c r="J1401">
        <v>10</v>
      </c>
      <c r="K1401">
        <v>1</v>
      </c>
      <c r="L1401">
        <v>10</v>
      </c>
      <c r="M1401">
        <v>9</v>
      </c>
      <c r="N1401">
        <v>0</v>
      </c>
      <c r="O1401">
        <v>9</v>
      </c>
      <c r="P1401" t="s">
        <v>1556</v>
      </c>
      <c r="Q1401" t="s">
        <v>1552</v>
      </c>
      <c r="R1401" t="s">
        <v>1550</v>
      </c>
      <c r="S1401" t="s">
        <v>1534</v>
      </c>
      <c r="T1401" t="s">
        <v>1538</v>
      </c>
      <c r="U1401" t="s">
        <v>1545</v>
      </c>
      <c r="V1401" t="s">
        <v>1559</v>
      </c>
      <c r="W1401" t="s">
        <v>1563</v>
      </c>
      <c r="X1401" t="s">
        <v>1577</v>
      </c>
      <c r="Y1401" t="s">
        <v>1585</v>
      </c>
      <c r="Z1401" t="s">
        <v>1593</v>
      </c>
      <c r="AA1401" t="s">
        <v>1597</v>
      </c>
      <c r="AB1401" t="s">
        <v>1601</v>
      </c>
      <c r="AC1401" t="s">
        <v>1610</v>
      </c>
      <c r="AD1401" t="s">
        <v>1605</v>
      </c>
      <c r="AE1401" t="s">
        <v>1617</v>
      </c>
      <c r="AF1401" t="s">
        <v>1627</v>
      </c>
    </row>
    <row r="1402" spans="1:32" x14ac:dyDescent="0.25">
      <c r="A1402" t="s">
        <v>1459</v>
      </c>
      <c r="B1402">
        <v>38</v>
      </c>
      <c r="C1402">
        <v>1444</v>
      </c>
      <c r="D1402">
        <v>1</v>
      </c>
      <c r="E1402">
        <v>88</v>
      </c>
      <c r="F1402">
        <v>2991</v>
      </c>
      <c r="G1402">
        <v>5224</v>
      </c>
      <c r="H1402">
        <v>0</v>
      </c>
      <c r="I1402">
        <v>11</v>
      </c>
      <c r="J1402">
        <v>7</v>
      </c>
      <c r="K1402">
        <v>2</v>
      </c>
      <c r="L1402">
        <v>6</v>
      </c>
      <c r="M1402">
        <v>2</v>
      </c>
      <c r="N1402">
        <v>1</v>
      </c>
      <c r="O1402">
        <v>2</v>
      </c>
      <c r="P1402" t="s">
        <v>1556</v>
      </c>
      <c r="Q1402" t="s">
        <v>1553</v>
      </c>
      <c r="R1402" t="s">
        <v>1551</v>
      </c>
      <c r="S1402" t="s">
        <v>1535</v>
      </c>
      <c r="T1402" t="s">
        <v>1539</v>
      </c>
      <c r="U1402" t="s">
        <v>1548</v>
      </c>
      <c r="V1402" t="s">
        <v>1559</v>
      </c>
      <c r="W1402" t="s">
        <v>1563</v>
      </c>
      <c r="X1402" t="s">
        <v>1575</v>
      </c>
      <c r="Y1402" t="s">
        <v>1589</v>
      </c>
      <c r="Z1402" t="s">
        <v>1592</v>
      </c>
      <c r="AA1402" t="s">
        <v>1597</v>
      </c>
      <c r="AB1402" t="s">
        <v>1600</v>
      </c>
      <c r="AC1402" t="s">
        <v>1610</v>
      </c>
      <c r="AD1402" t="s">
        <v>1605</v>
      </c>
      <c r="AE1402" t="s">
        <v>1617</v>
      </c>
      <c r="AF1402" t="s">
        <v>1627</v>
      </c>
    </row>
    <row r="1403" spans="1:32" x14ac:dyDescent="0.25">
      <c r="A1403" t="s">
        <v>1460</v>
      </c>
      <c r="B1403">
        <v>55</v>
      </c>
      <c r="C1403">
        <v>189</v>
      </c>
      <c r="D1403">
        <v>26</v>
      </c>
      <c r="E1403">
        <v>71</v>
      </c>
      <c r="F1403">
        <v>19636</v>
      </c>
      <c r="G1403">
        <v>25811</v>
      </c>
      <c r="H1403">
        <v>4</v>
      </c>
      <c r="I1403">
        <v>18</v>
      </c>
      <c r="J1403">
        <v>35</v>
      </c>
      <c r="K1403">
        <v>0</v>
      </c>
      <c r="L1403">
        <v>10</v>
      </c>
      <c r="M1403">
        <v>9</v>
      </c>
      <c r="N1403">
        <v>1</v>
      </c>
      <c r="O1403">
        <v>4</v>
      </c>
      <c r="P1403" t="s">
        <v>1556</v>
      </c>
      <c r="Q1403" t="s">
        <v>1552</v>
      </c>
      <c r="R1403" t="s">
        <v>1551</v>
      </c>
      <c r="S1403" t="s">
        <v>1535</v>
      </c>
      <c r="T1403" t="s">
        <v>1543</v>
      </c>
      <c r="U1403" t="s">
        <v>1547</v>
      </c>
      <c r="V1403" t="s">
        <v>1559</v>
      </c>
      <c r="W1403" t="s">
        <v>1564</v>
      </c>
      <c r="X1403" t="s">
        <v>1579</v>
      </c>
      <c r="Y1403" t="s">
        <v>1586</v>
      </c>
      <c r="Z1403" t="s">
        <v>1592</v>
      </c>
      <c r="AA1403" t="s">
        <v>1597</v>
      </c>
      <c r="AB1403" t="s">
        <v>1600</v>
      </c>
      <c r="AC1403" t="s">
        <v>1610</v>
      </c>
      <c r="AD1403" t="s">
        <v>1604</v>
      </c>
      <c r="AE1403" t="s">
        <v>1617</v>
      </c>
      <c r="AF1403" t="s">
        <v>1627</v>
      </c>
    </row>
    <row r="1404" spans="1:32" x14ac:dyDescent="0.25">
      <c r="A1404" t="s">
        <v>1461</v>
      </c>
      <c r="B1404">
        <v>31</v>
      </c>
      <c r="C1404">
        <v>1276</v>
      </c>
      <c r="D1404">
        <v>2</v>
      </c>
      <c r="E1404">
        <v>59</v>
      </c>
      <c r="F1404">
        <v>1129</v>
      </c>
      <c r="G1404">
        <v>17536</v>
      </c>
      <c r="H1404">
        <v>1</v>
      </c>
      <c r="I1404">
        <v>11</v>
      </c>
      <c r="J1404">
        <v>1</v>
      </c>
      <c r="K1404">
        <v>4</v>
      </c>
      <c r="L1404">
        <v>1</v>
      </c>
      <c r="M1404">
        <v>0</v>
      </c>
      <c r="N1404">
        <v>0</v>
      </c>
      <c r="O1404">
        <v>0</v>
      </c>
      <c r="P1404" t="s">
        <v>1556</v>
      </c>
      <c r="Q1404" t="s">
        <v>1552</v>
      </c>
      <c r="R1404" t="s">
        <v>1550</v>
      </c>
      <c r="S1404" t="s">
        <v>1532</v>
      </c>
      <c r="T1404" t="s">
        <v>1540</v>
      </c>
      <c r="U1404" t="s">
        <v>1548</v>
      </c>
      <c r="V1404" t="s">
        <v>1558</v>
      </c>
      <c r="W1404" t="s">
        <v>1561</v>
      </c>
      <c r="X1404" t="s">
        <v>1575</v>
      </c>
      <c r="Y1404" t="s">
        <v>1583</v>
      </c>
      <c r="Z1404" t="s">
        <v>1594</v>
      </c>
      <c r="AA1404" t="s">
        <v>1598</v>
      </c>
      <c r="AB1404" t="s">
        <v>1600</v>
      </c>
      <c r="AC1404" t="s">
        <v>1610</v>
      </c>
      <c r="AD1404" t="s">
        <v>1606</v>
      </c>
      <c r="AE1404" t="s">
        <v>1619</v>
      </c>
      <c r="AF1404" t="s">
        <v>1627</v>
      </c>
    </row>
    <row r="1405" spans="1:32" x14ac:dyDescent="0.25">
      <c r="A1405" t="s">
        <v>1462</v>
      </c>
      <c r="B1405">
        <v>39</v>
      </c>
      <c r="C1405">
        <v>119</v>
      </c>
      <c r="D1405">
        <v>15</v>
      </c>
      <c r="E1405">
        <v>77</v>
      </c>
      <c r="F1405">
        <v>13341</v>
      </c>
      <c r="G1405">
        <v>25098</v>
      </c>
      <c r="H1405">
        <v>0</v>
      </c>
      <c r="I1405">
        <v>12</v>
      </c>
      <c r="J1405">
        <v>21</v>
      </c>
      <c r="K1405">
        <v>3</v>
      </c>
      <c r="L1405">
        <v>20</v>
      </c>
      <c r="M1405">
        <v>8</v>
      </c>
      <c r="N1405">
        <v>11</v>
      </c>
      <c r="O1405">
        <v>10</v>
      </c>
      <c r="P1405" t="s">
        <v>1556</v>
      </c>
      <c r="Q1405" t="s">
        <v>1552</v>
      </c>
      <c r="R1405" t="s">
        <v>1549</v>
      </c>
      <c r="S1405" t="s">
        <v>1535</v>
      </c>
      <c r="T1405" t="s">
        <v>1541</v>
      </c>
      <c r="U1405" t="s">
        <v>1546</v>
      </c>
      <c r="V1405" t="s">
        <v>1559</v>
      </c>
      <c r="W1405" t="s">
        <v>1563</v>
      </c>
      <c r="X1405" t="s">
        <v>1578</v>
      </c>
      <c r="Y1405" t="s">
        <v>1581</v>
      </c>
      <c r="Z1405" t="s">
        <v>1591</v>
      </c>
      <c r="AA1405" t="s">
        <v>1596</v>
      </c>
      <c r="AB1405" t="s">
        <v>1601</v>
      </c>
      <c r="AC1405" t="s">
        <v>1610</v>
      </c>
      <c r="AD1405" t="s">
        <v>1604</v>
      </c>
      <c r="AE1405" t="s">
        <v>1616</v>
      </c>
      <c r="AF1405" t="s">
        <v>1627</v>
      </c>
    </row>
    <row r="1406" spans="1:32" x14ac:dyDescent="0.25">
      <c r="A1406" t="s">
        <v>1463</v>
      </c>
      <c r="B1406">
        <v>42</v>
      </c>
      <c r="C1406">
        <v>335</v>
      </c>
      <c r="D1406">
        <v>23</v>
      </c>
      <c r="E1406">
        <v>37</v>
      </c>
      <c r="F1406">
        <v>4332</v>
      </c>
      <c r="G1406">
        <v>14811</v>
      </c>
      <c r="H1406">
        <v>1</v>
      </c>
      <c r="I1406">
        <v>12</v>
      </c>
      <c r="J1406">
        <v>20</v>
      </c>
      <c r="K1406">
        <v>2</v>
      </c>
      <c r="L1406">
        <v>20</v>
      </c>
      <c r="M1406">
        <v>9</v>
      </c>
      <c r="N1406">
        <v>3</v>
      </c>
      <c r="O1406">
        <v>7</v>
      </c>
      <c r="P1406" t="s">
        <v>1556</v>
      </c>
      <c r="Q1406" t="s">
        <v>1554</v>
      </c>
      <c r="R1406" t="s">
        <v>1550</v>
      </c>
      <c r="S1406" t="s">
        <v>1533</v>
      </c>
      <c r="T1406" t="s">
        <v>1538</v>
      </c>
      <c r="U1406" t="s">
        <v>1548</v>
      </c>
      <c r="V1406" t="s">
        <v>1559</v>
      </c>
      <c r="W1406" t="s">
        <v>1562</v>
      </c>
      <c r="X1406" t="s">
        <v>1576</v>
      </c>
      <c r="Y1406" t="s">
        <v>1582</v>
      </c>
      <c r="Z1406" t="s">
        <v>1593</v>
      </c>
      <c r="AA1406" t="s">
        <v>1596</v>
      </c>
      <c r="AB1406" t="s">
        <v>1601</v>
      </c>
      <c r="AC1406" t="s">
        <v>1610</v>
      </c>
      <c r="AD1406" t="s">
        <v>1607</v>
      </c>
      <c r="AE1406" t="s">
        <v>1616</v>
      </c>
      <c r="AF1406" t="s">
        <v>1627</v>
      </c>
    </row>
    <row r="1407" spans="1:32" x14ac:dyDescent="0.25">
      <c r="A1407" t="s">
        <v>1464</v>
      </c>
      <c r="B1407">
        <v>31</v>
      </c>
      <c r="C1407">
        <v>697</v>
      </c>
      <c r="D1407">
        <v>10</v>
      </c>
      <c r="E1407">
        <v>40</v>
      </c>
      <c r="F1407">
        <v>11031</v>
      </c>
      <c r="G1407">
        <v>26862</v>
      </c>
      <c r="H1407">
        <v>4</v>
      </c>
      <c r="I1407">
        <v>20</v>
      </c>
      <c r="J1407">
        <v>13</v>
      </c>
      <c r="K1407">
        <v>2</v>
      </c>
      <c r="L1407">
        <v>11</v>
      </c>
      <c r="M1407">
        <v>7</v>
      </c>
      <c r="N1407">
        <v>4</v>
      </c>
      <c r="O1407">
        <v>8</v>
      </c>
      <c r="P1407" t="s">
        <v>1556</v>
      </c>
      <c r="Q1407" t="s">
        <v>1554</v>
      </c>
      <c r="R1407" t="s">
        <v>1550</v>
      </c>
      <c r="S1407" t="s">
        <v>1534</v>
      </c>
      <c r="T1407" t="s">
        <v>1540</v>
      </c>
      <c r="U1407" t="s">
        <v>1547</v>
      </c>
      <c r="V1407" t="s">
        <v>1558</v>
      </c>
      <c r="W1407" t="s">
        <v>1563</v>
      </c>
      <c r="X1407" t="s">
        <v>1577</v>
      </c>
      <c r="Y1407" t="s">
        <v>1588</v>
      </c>
      <c r="Z1407" t="s">
        <v>1593</v>
      </c>
      <c r="AA1407" t="s">
        <v>1597</v>
      </c>
      <c r="AB1407" t="s">
        <v>1601</v>
      </c>
      <c r="AC1407" t="s">
        <v>1611</v>
      </c>
      <c r="AD1407" t="s">
        <v>1606</v>
      </c>
      <c r="AE1407" t="s">
        <v>1617</v>
      </c>
      <c r="AF1407" t="s">
        <v>1628</v>
      </c>
    </row>
    <row r="1408" spans="1:32" x14ac:dyDescent="0.25">
      <c r="A1408" t="s">
        <v>1465</v>
      </c>
      <c r="B1408">
        <v>54</v>
      </c>
      <c r="C1408">
        <v>157</v>
      </c>
      <c r="D1408">
        <v>10</v>
      </c>
      <c r="E1408">
        <v>77</v>
      </c>
      <c r="F1408">
        <v>4440</v>
      </c>
      <c r="G1408">
        <v>25198</v>
      </c>
      <c r="H1408">
        <v>6</v>
      </c>
      <c r="I1408">
        <v>19</v>
      </c>
      <c r="J1408">
        <v>9</v>
      </c>
      <c r="K1408">
        <v>3</v>
      </c>
      <c r="L1408">
        <v>5</v>
      </c>
      <c r="M1408">
        <v>2</v>
      </c>
      <c r="N1408">
        <v>1</v>
      </c>
      <c r="O1408">
        <v>4</v>
      </c>
      <c r="P1408" t="s">
        <v>1556</v>
      </c>
      <c r="Q1408" t="s">
        <v>1552</v>
      </c>
      <c r="R1408" t="s">
        <v>1550</v>
      </c>
      <c r="S1408" t="s">
        <v>1534</v>
      </c>
      <c r="T1408" t="s">
        <v>1540</v>
      </c>
      <c r="U1408" t="s">
        <v>1547</v>
      </c>
      <c r="V1408" t="s">
        <v>1558</v>
      </c>
      <c r="W1408" t="s">
        <v>1563</v>
      </c>
      <c r="X1408" t="s">
        <v>1576</v>
      </c>
      <c r="Y1408" t="s">
        <v>1584</v>
      </c>
      <c r="Z1408" t="s">
        <v>1591</v>
      </c>
      <c r="AA1408" t="s">
        <v>1596</v>
      </c>
      <c r="AB1408" t="s">
        <v>1600</v>
      </c>
      <c r="AC1408" t="s">
        <v>1610</v>
      </c>
      <c r="AD1408" t="s">
        <v>1607</v>
      </c>
      <c r="AE1408" t="s">
        <v>1616</v>
      </c>
      <c r="AF1408" t="s">
        <v>1627</v>
      </c>
    </row>
    <row r="1409" spans="1:32" x14ac:dyDescent="0.25">
      <c r="A1409" t="s">
        <v>1466</v>
      </c>
      <c r="B1409">
        <v>24</v>
      </c>
      <c r="C1409">
        <v>771</v>
      </c>
      <c r="D1409">
        <v>1</v>
      </c>
      <c r="E1409">
        <v>45</v>
      </c>
      <c r="F1409">
        <v>4617</v>
      </c>
      <c r="G1409">
        <v>14120</v>
      </c>
      <c r="H1409">
        <v>1</v>
      </c>
      <c r="I1409">
        <v>12</v>
      </c>
      <c r="J1409">
        <v>4</v>
      </c>
      <c r="K1409">
        <v>2</v>
      </c>
      <c r="L1409">
        <v>4</v>
      </c>
      <c r="M1409">
        <v>3</v>
      </c>
      <c r="N1409">
        <v>1</v>
      </c>
      <c r="O1409">
        <v>2</v>
      </c>
      <c r="P1409" t="s">
        <v>1556</v>
      </c>
      <c r="Q1409" t="s">
        <v>1552</v>
      </c>
      <c r="R1409" t="s">
        <v>1550</v>
      </c>
      <c r="S1409" t="s">
        <v>1533</v>
      </c>
      <c r="T1409" t="s">
        <v>1538</v>
      </c>
      <c r="U1409" t="s">
        <v>1546</v>
      </c>
      <c r="V1409" t="s">
        <v>1559</v>
      </c>
      <c r="W1409" t="s">
        <v>1562</v>
      </c>
      <c r="X1409" t="s">
        <v>1576</v>
      </c>
      <c r="Y1409" t="s">
        <v>1585</v>
      </c>
      <c r="Z1409" t="s">
        <v>1593</v>
      </c>
      <c r="AA1409" t="s">
        <v>1596</v>
      </c>
      <c r="AB1409" t="s">
        <v>1601</v>
      </c>
      <c r="AC1409" t="s">
        <v>1610</v>
      </c>
      <c r="AD1409" t="s">
        <v>1605</v>
      </c>
      <c r="AE1409" t="s">
        <v>1616</v>
      </c>
      <c r="AF1409" t="s">
        <v>1626</v>
      </c>
    </row>
    <row r="1410" spans="1:32" x14ac:dyDescent="0.25">
      <c r="A1410" t="s">
        <v>1467</v>
      </c>
      <c r="B1410">
        <v>23</v>
      </c>
      <c r="C1410">
        <v>571</v>
      </c>
      <c r="D1410">
        <v>12</v>
      </c>
      <c r="E1410">
        <v>78</v>
      </c>
      <c r="F1410">
        <v>2647</v>
      </c>
      <c r="G1410">
        <v>13672</v>
      </c>
      <c r="H1410">
        <v>1</v>
      </c>
      <c r="I1410">
        <v>13</v>
      </c>
      <c r="J1410">
        <v>5</v>
      </c>
      <c r="K1410">
        <v>6</v>
      </c>
      <c r="L1410">
        <v>5</v>
      </c>
      <c r="M1410">
        <v>2</v>
      </c>
      <c r="N1410">
        <v>1</v>
      </c>
      <c r="O1410">
        <v>4</v>
      </c>
      <c r="P1410" t="s">
        <v>1556</v>
      </c>
      <c r="Q1410" t="s">
        <v>1552</v>
      </c>
      <c r="R1410" t="s">
        <v>1550</v>
      </c>
      <c r="S1410" t="s">
        <v>1533</v>
      </c>
      <c r="T1410" t="s">
        <v>1539</v>
      </c>
      <c r="U1410" t="s">
        <v>1548</v>
      </c>
      <c r="V1410" t="s">
        <v>1559</v>
      </c>
      <c r="W1410" t="s">
        <v>1563</v>
      </c>
      <c r="X1410" t="s">
        <v>1575</v>
      </c>
      <c r="Y1410" t="s">
        <v>1583</v>
      </c>
      <c r="Z1410" t="s">
        <v>1594</v>
      </c>
      <c r="AA1410" t="s">
        <v>1596</v>
      </c>
      <c r="AB1410" t="s">
        <v>1601</v>
      </c>
      <c r="AC1410" t="s">
        <v>1610</v>
      </c>
      <c r="AD1410" t="s">
        <v>1606</v>
      </c>
      <c r="AE1410" t="s">
        <v>1616</v>
      </c>
      <c r="AF1410" t="s">
        <v>1628</v>
      </c>
    </row>
    <row r="1411" spans="1:32" x14ac:dyDescent="0.25">
      <c r="A1411" t="s">
        <v>1468</v>
      </c>
      <c r="B1411">
        <v>40</v>
      </c>
      <c r="C1411">
        <v>692</v>
      </c>
      <c r="D1411">
        <v>11</v>
      </c>
      <c r="E1411">
        <v>73</v>
      </c>
      <c r="F1411">
        <v>6323</v>
      </c>
      <c r="G1411">
        <v>26849</v>
      </c>
      <c r="H1411">
        <v>1</v>
      </c>
      <c r="I1411">
        <v>11</v>
      </c>
      <c r="J1411">
        <v>10</v>
      </c>
      <c r="K1411">
        <v>2</v>
      </c>
      <c r="L1411">
        <v>10</v>
      </c>
      <c r="M1411">
        <v>9</v>
      </c>
      <c r="N1411">
        <v>9</v>
      </c>
      <c r="O1411">
        <v>4</v>
      </c>
      <c r="P1411" t="s">
        <v>1556</v>
      </c>
      <c r="Q1411" t="s">
        <v>1553</v>
      </c>
      <c r="R1411" t="s">
        <v>1550</v>
      </c>
      <c r="S1411" t="s">
        <v>1534</v>
      </c>
      <c r="T1411" t="s">
        <v>1542</v>
      </c>
      <c r="U1411" t="s">
        <v>1548</v>
      </c>
      <c r="V1411" t="s">
        <v>1558</v>
      </c>
      <c r="W1411" t="s">
        <v>1563</v>
      </c>
      <c r="X1411" t="s">
        <v>1576</v>
      </c>
      <c r="Y1411" t="s">
        <v>1583</v>
      </c>
      <c r="Z1411" t="s">
        <v>1593</v>
      </c>
      <c r="AA1411" t="s">
        <v>1597</v>
      </c>
      <c r="AB1411" t="s">
        <v>1601</v>
      </c>
      <c r="AC1411" t="s">
        <v>1610</v>
      </c>
      <c r="AD1411" t="s">
        <v>1604</v>
      </c>
      <c r="AE1411" t="s">
        <v>1617</v>
      </c>
      <c r="AF1411" t="s">
        <v>1628</v>
      </c>
    </row>
    <row r="1412" spans="1:32" x14ac:dyDescent="0.25">
      <c r="A1412" t="s">
        <v>1469</v>
      </c>
      <c r="B1412">
        <v>40</v>
      </c>
      <c r="C1412">
        <v>444</v>
      </c>
      <c r="D1412">
        <v>2</v>
      </c>
      <c r="E1412">
        <v>92</v>
      </c>
      <c r="F1412">
        <v>5677</v>
      </c>
      <c r="G1412">
        <v>4258</v>
      </c>
      <c r="H1412">
        <v>3</v>
      </c>
      <c r="I1412">
        <v>14</v>
      </c>
      <c r="J1412">
        <v>15</v>
      </c>
      <c r="K1412">
        <v>4</v>
      </c>
      <c r="L1412">
        <v>11</v>
      </c>
      <c r="M1412">
        <v>8</v>
      </c>
      <c r="N1412">
        <v>5</v>
      </c>
      <c r="O1412">
        <v>10</v>
      </c>
      <c r="P1412" t="s">
        <v>1556</v>
      </c>
      <c r="Q1412" t="s">
        <v>1552</v>
      </c>
      <c r="R1412" t="s">
        <v>1549</v>
      </c>
      <c r="S1412" t="s">
        <v>1533</v>
      </c>
      <c r="T1412" t="s">
        <v>1541</v>
      </c>
      <c r="U1412" t="s">
        <v>1546</v>
      </c>
      <c r="V1412" t="s">
        <v>1558</v>
      </c>
      <c r="W1412" t="s">
        <v>1563</v>
      </c>
      <c r="X1412" t="s">
        <v>1576</v>
      </c>
      <c r="Y1412" t="s">
        <v>1581</v>
      </c>
      <c r="Z1412" t="s">
        <v>1592</v>
      </c>
      <c r="AA1412" t="s">
        <v>1597</v>
      </c>
      <c r="AB1412" t="s">
        <v>1601</v>
      </c>
      <c r="AC1412" t="s">
        <v>1610</v>
      </c>
      <c r="AD1412" t="s">
        <v>1606</v>
      </c>
      <c r="AE1412" t="s">
        <v>1617</v>
      </c>
      <c r="AF1412" t="s">
        <v>1627</v>
      </c>
    </row>
    <row r="1413" spans="1:32" x14ac:dyDescent="0.25">
      <c r="A1413" t="s">
        <v>1470</v>
      </c>
      <c r="B1413">
        <v>25</v>
      </c>
      <c r="C1413">
        <v>309</v>
      </c>
      <c r="D1413">
        <v>2</v>
      </c>
      <c r="E1413">
        <v>82</v>
      </c>
      <c r="F1413">
        <v>2187</v>
      </c>
      <c r="G1413">
        <v>19655</v>
      </c>
      <c r="H1413">
        <v>4</v>
      </c>
      <c r="I1413">
        <v>14</v>
      </c>
      <c r="J1413">
        <v>6</v>
      </c>
      <c r="K1413">
        <v>3</v>
      </c>
      <c r="L1413">
        <v>2</v>
      </c>
      <c r="M1413">
        <v>0</v>
      </c>
      <c r="N1413">
        <v>1</v>
      </c>
      <c r="O1413">
        <v>2</v>
      </c>
      <c r="P1413" t="s">
        <v>1556</v>
      </c>
      <c r="Q1413" t="s">
        <v>1552</v>
      </c>
      <c r="R1413" t="s">
        <v>1551</v>
      </c>
      <c r="S1413" t="s">
        <v>1534</v>
      </c>
      <c r="T1413" t="s">
        <v>1543</v>
      </c>
      <c r="U1413" t="s">
        <v>1547</v>
      </c>
      <c r="V1413" t="s">
        <v>1558</v>
      </c>
      <c r="W1413" t="s">
        <v>1563</v>
      </c>
      <c r="X1413" t="s">
        <v>1575</v>
      </c>
      <c r="Y1413" t="s">
        <v>1589</v>
      </c>
      <c r="Z1413" t="s">
        <v>1592</v>
      </c>
      <c r="AA1413" t="s">
        <v>1597</v>
      </c>
      <c r="AB1413" t="s">
        <v>1601</v>
      </c>
      <c r="AC1413" t="s">
        <v>1610</v>
      </c>
      <c r="AD1413" t="s">
        <v>1606</v>
      </c>
      <c r="AE1413" t="s">
        <v>1616</v>
      </c>
      <c r="AF1413" t="s">
        <v>1627</v>
      </c>
    </row>
    <row r="1414" spans="1:32" x14ac:dyDescent="0.25">
      <c r="A1414" t="s">
        <v>1471</v>
      </c>
      <c r="B1414">
        <v>30</v>
      </c>
      <c r="C1414">
        <v>911</v>
      </c>
      <c r="D1414">
        <v>1</v>
      </c>
      <c r="E1414">
        <v>76</v>
      </c>
      <c r="F1414">
        <v>3748</v>
      </c>
      <c r="G1414">
        <v>4077</v>
      </c>
      <c r="H1414">
        <v>1</v>
      </c>
      <c r="I1414">
        <v>13</v>
      </c>
      <c r="J1414">
        <v>12</v>
      </c>
      <c r="K1414">
        <v>6</v>
      </c>
      <c r="L1414">
        <v>12</v>
      </c>
      <c r="M1414">
        <v>8</v>
      </c>
      <c r="N1414">
        <v>1</v>
      </c>
      <c r="O1414">
        <v>7</v>
      </c>
      <c r="P1414" t="s">
        <v>1556</v>
      </c>
      <c r="Q1414" t="s">
        <v>1552</v>
      </c>
      <c r="R1414" t="s">
        <v>1550</v>
      </c>
      <c r="S1414" t="s">
        <v>1533</v>
      </c>
      <c r="T1414" t="s">
        <v>1540</v>
      </c>
      <c r="U1414" t="s">
        <v>1548</v>
      </c>
      <c r="V1414" t="s">
        <v>1559</v>
      </c>
      <c r="W1414" t="s">
        <v>1563</v>
      </c>
      <c r="X1414" t="s">
        <v>1575</v>
      </c>
      <c r="Y1414" t="s">
        <v>1583</v>
      </c>
      <c r="Z1414" t="s">
        <v>1592</v>
      </c>
      <c r="AA1414" t="s">
        <v>1597</v>
      </c>
      <c r="AB1414" t="s">
        <v>1601</v>
      </c>
      <c r="AC1414" t="s">
        <v>1610</v>
      </c>
      <c r="AD1414" t="s">
        <v>1606</v>
      </c>
      <c r="AE1414" t="s">
        <v>1616</v>
      </c>
      <c r="AF1414" t="s">
        <v>1626</v>
      </c>
    </row>
    <row r="1415" spans="1:32" x14ac:dyDescent="0.25">
      <c r="A1415" t="s">
        <v>1472</v>
      </c>
      <c r="B1415">
        <v>25</v>
      </c>
      <c r="C1415">
        <v>977</v>
      </c>
      <c r="D1415">
        <v>2</v>
      </c>
      <c r="E1415">
        <v>57</v>
      </c>
      <c r="F1415">
        <v>3977</v>
      </c>
      <c r="G1415">
        <v>7298</v>
      </c>
      <c r="H1415">
        <v>6</v>
      </c>
      <c r="I1415">
        <v>19</v>
      </c>
      <c r="J1415">
        <v>7</v>
      </c>
      <c r="K1415">
        <v>2</v>
      </c>
      <c r="L1415">
        <v>2</v>
      </c>
      <c r="M1415">
        <v>2</v>
      </c>
      <c r="N1415">
        <v>0</v>
      </c>
      <c r="O1415">
        <v>2</v>
      </c>
      <c r="P1415" t="s">
        <v>1556</v>
      </c>
      <c r="Q1415" t="s">
        <v>1552</v>
      </c>
      <c r="R1415" t="s">
        <v>1550</v>
      </c>
      <c r="S1415" t="s">
        <v>1532</v>
      </c>
      <c r="T1415" t="s">
        <v>1539</v>
      </c>
      <c r="U1415" t="s">
        <v>1548</v>
      </c>
      <c r="V1415" t="s">
        <v>1559</v>
      </c>
      <c r="W1415" t="s">
        <v>1563</v>
      </c>
      <c r="X1415" t="s">
        <v>1575</v>
      </c>
      <c r="Y1415" t="s">
        <v>1583</v>
      </c>
      <c r="Z1415" t="s">
        <v>1593</v>
      </c>
      <c r="AA1415" t="s">
        <v>1598</v>
      </c>
      <c r="AB1415" t="s">
        <v>1600</v>
      </c>
      <c r="AC1415" t="s">
        <v>1610</v>
      </c>
      <c r="AD1415" t="s">
        <v>1606</v>
      </c>
      <c r="AE1415" t="s">
        <v>1617</v>
      </c>
      <c r="AF1415" t="s">
        <v>1626</v>
      </c>
    </row>
    <row r="1416" spans="1:32" x14ac:dyDescent="0.25">
      <c r="A1416" t="s">
        <v>1473</v>
      </c>
      <c r="B1416">
        <v>47</v>
      </c>
      <c r="C1416">
        <v>1180</v>
      </c>
      <c r="D1416">
        <v>25</v>
      </c>
      <c r="E1416">
        <v>84</v>
      </c>
      <c r="F1416">
        <v>8633</v>
      </c>
      <c r="G1416">
        <v>13084</v>
      </c>
      <c r="H1416">
        <v>2</v>
      </c>
      <c r="I1416">
        <v>23</v>
      </c>
      <c r="J1416">
        <v>25</v>
      </c>
      <c r="K1416">
        <v>3</v>
      </c>
      <c r="L1416">
        <v>17</v>
      </c>
      <c r="M1416">
        <v>14</v>
      </c>
      <c r="N1416">
        <v>12</v>
      </c>
      <c r="O1416">
        <v>11</v>
      </c>
      <c r="P1416" t="s">
        <v>1556</v>
      </c>
      <c r="Q1416" t="s">
        <v>1552</v>
      </c>
      <c r="R1416" t="s">
        <v>1550</v>
      </c>
      <c r="S1416" t="s">
        <v>1534</v>
      </c>
      <c r="T1416" t="s">
        <v>1540</v>
      </c>
      <c r="U1416" t="s">
        <v>1545</v>
      </c>
      <c r="V1416" t="s">
        <v>1559</v>
      </c>
      <c r="W1416" t="s">
        <v>1563</v>
      </c>
      <c r="X1416" t="s">
        <v>1577</v>
      </c>
      <c r="Y1416" t="s">
        <v>1585</v>
      </c>
      <c r="Z1416" t="s">
        <v>1593</v>
      </c>
      <c r="AA1416" t="s">
        <v>1596</v>
      </c>
      <c r="AB1416" t="s">
        <v>1601</v>
      </c>
      <c r="AC1416" t="s">
        <v>1611</v>
      </c>
      <c r="AD1416" t="s">
        <v>1605</v>
      </c>
      <c r="AE1416" t="s">
        <v>1616</v>
      </c>
      <c r="AF1416" t="s">
        <v>1627</v>
      </c>
    </row>
    <row r="1417" spans="1:32" x14ac:dyDescent="0.25">
      <c r="A1417" t="s">
        <v>1474</v>
      </c>
      <c r="B1417">
        <v>33</v>
      </c>
      <c r="C1417">
        <v>1313</v>
      </c>
      <c r="D1417">
        <v>1</v>
      </c>
      <c r="E1417">
        <v>59</v>
      </c>
      <c r="F1417">
        <v>2008</v>
      </c>
      <c r="G1417">
        <v>20439</v>
      </c>
      <c r="H1417">
        <v>1</v>
      </c>
      <c r="I1417">
        <v>12</v>
      </c>
      <c r="J1417">
        <v>1</v>
      </c>
      <c r="K1417">
        <v>2</v>
      </c>
      <c r="L1417">
        <v>1</v>
      </c>
      <c r="M1417">
        <v>1</v>
      </c>
      <c r="N1417">
        <v>0</v>
      </c>
      <c r="O1417">
        <v>0</v>
      </c>
      <c r="P1417" t="s">
        <v>1556</v>
      </c>
      <c r="Q1417" t="s">
        <v>1554</v>
      </c>
      <c r="R1417" t="s">
        <v>1550</v>
      </c>
      <c r="S1417" t="s">
        <v>1533</v>
      </c>
      <c r="T1417" t="s">
        <v>1540</v>
      </c>
      <c r="U1417" t="s">
        <v>1546</v>
      </c>
      <c r="V1417" t="s">
        <v>1559</v>
      </c>
      <c r="W1417" t="s">
        <v>1562</v>
      </c>
      <c r="X1417" t="s">
        <v>1575</v>
      </c>
      <c r="Y1417" t="s">
        <v>1583</v>
      </c>
      <c r="Z1417" t="s">
        <v>1593</v>
      </c>
      <c r="AA1417" t="s">
        <v>1598</v>
      </c>
      <c r="AB1417" t="s">
        <v>1601</v>
      </c>
      <c r="AC1417" t="s">
        <v>1610</v>
      </c>
      <c r="AD1417" t="s">
        <v>1606</v>
      </c>
      <c r="AE1417" t="s">
        <v>1619</v>
      </c>
      <c r="AF1417" t="s">
        <v>1626</v>
      </c>
    </row>
    <row r="1418" spans="1:32" x14ac:dyDescent="0.25">
      <c r="A1418" t="s">
        <v>1475</v>
      </c>
      <c r="B1418">
        <v>38</v>
      </c>
      <c r="C1418">
        <v>1321</v>
      </c>
      <c r="D1418">
        <v>1</v>
      </c>
      <c r="E1418">
        <v>86</v>
      </c>
      <c r="F1418">
        <v>4440</v>
      </c>
      <c r="G1418">
        <v>7636</v>
      </c>
      <c r="H1418">
        <v>0</v>
      </c>
      <c r="I1418">
        <v>15</v>
      </c>
      <c r="J1418">
        <v>16</v>
      </c>
      <c r="K1418">
        <v>3</v>
      </c>
      <c r="L1418">
        <v>15</v>
      </c>
      <c r="M1418">
        <v>13</v>
      </c>
      <c r="N1418">
        <v>5</v>
      </c>
      <c r="O1418">
        <v>8</v>
      </c>
      <c r="P1418" t="s">
        <v>1556</v>
      </c>
      <c r="Q1418" t="s">
        <v>1552</v>
      </c>
      <c r="R1418" t="s">
        <v>1549</v>
      </c>
      <c r="S1418" t="s">
        <v>1535</v>
      </c>
      <c r="T1418" t="s">
        <v>1538</v>
      </c>
      <c r="U1418" t="s">
        <v>1548</v>
      </c>
      <c r="V1418" t="s">
        <v>1559</v>
      </c>
      <c r="W1418" t="s">
        <v>1563</v>
      </c>
      <c r="X1418" t="s">
        <v>1576</v>
      </c>
      <c r="Y1418" t="s">
        <v>1581</v>
      </c>
      <c r="Z1418" t="s">
        <v>1592</v>
      </c>
      <c r="AA1418" t="s">
        <v>1597</v>
      </c>
      <c r="AB1418" t="s">
        <v>1601</v>
      </c>
      <c r="AC1418" t="s">
        <v>1610</v>
      </c>
      <c r="AD1418" t="s">
        <v>1604</v>
      </c>
      <c r="AE1418" t="s">
        <v>1618</v>
      </c>
      <c r="AF1418" t="s">
        <v>1627</v>
      </c>
    </row>
    <row r="1419" spans="1:32" x14ac:dyDescent="0.25">
      <c r="A1419" t="s">
        <v>1476</v>
      </c>
      <c r="B1419">
        <v>31</v>
      </c>
      <c r="C1419">
        <v>1154</v>
      </c>
      <c r="D1419">
        <v>2</v>
      </c>
      <c r="E1419">
        <v>54</v>
      </c>
      <c r="F1419">
        <v>3067</v>
      </c>
      <c r="G1419">
        <v>6393</v>
      </c>
      <c r="H1419">
        <v>0</v>
      </c>
      <c r="I1419">
        <v>19</v>
      </c>
      <c r="J1419">
        <v>3</v>
      </c>
      <c r="K1419">
        <v>1</v>
      </c>
      <c r="L1419">
        <v>2</v>
      </c>
      <c r="M1419">
        <v>2</v>
      </c>
      <c r="N1419">
        <v>1</v>
      </c>
      <c r="O1419">
        <v>2</v>
      </c>
      <c r="P1419" t="s">
        <v>1556</v>
      </c>
      <c r="Q1419" t="s">
        <v>1552</v>
      </c>
      <c r="R1419" t="s">
        <v>1549</v>
      </c>
      <c r="S1419" t="s">
        <v>1533</v>
      </c>
      <c r="T1419" t="s">
        <v>1538</v>
      </c>
      <c r="U1419" t="s">
        <v>1545</v>
      </c>
      <c r="V1419" t="s">
        <v>1559</v>
      </c>
      <c r="W1419" t="s">
        <v>1563</v>
      </c>
      <c r="X1419" t="s">
        <v>1575</v>
      </c>
      <c r="Y1419" t="s">
        <v>1587</v>
      </c>
      <c r="Z1419" t="s">
        <v>1593</v>
      </c>
      <c r="AA1419" t="s">
        <v>1597</v>
      </c>
      <c r="AB1419" t="s">
        <v>1601</v>
      </c>
      <c r="AC1419" t="s">
        <v>1610</v>
      </c>
      <c r="AD1419" t="s">
        <v>1606</v>
      </c>
      <c r="AE1419" t="s">
        <v>1617</v>
      </c>
      <c r="AF1419" t="s">
        <v>1627</v>
      </c>
    </row>
    <row r="1420" spans="1:32" x14ac:dyDescent="0.25">
      <c r="A1420" t="s">
        <v>1477</v>
      </c>
      <c r="B1420">
        <v>38</v>
      </c>
      <c r="C1420">
        <v>508</v>
      </c>
      <c r="D1420">
        <v>6</v>
      </c>
      <c r="E1420">
        <v>72</v>
      </c>
      <c r="F1420">
        <v>5321</v>
      </c>
      <c r="G1420">
        <v>14284</v>
      </c>
      <c r="H1420">
        <v>2</v>
      </c>
      <c r="I1420">
        <v>11</v>
      </c>
      <c r="J1420">
        <v>10</v>
      </c>
      <c r="K1420">
        <v>1</v>
      </c>
      <c r="L1420">
        <v>8</v>
      </c>
      <c r="M1420">
        <v>3</v>
      </c>
      <c r="N1420">
        <v>7</v>
      </c>
      <c r="O1420">
        <v>7</v>
      </c>
      <c r="P1420" t="s">
        <v>1556</v>
      </c>
      <c r="Q1420" t="s">
        <v>1553</v>
      </c>
      <c r="R1420" t="s">
        <v>1550</v>
      </c>
      <c r="S1420" t="s">
        <v>1535</v>
      </c>
      <c r="T1420" t="s">
        <v>1538</v>
      </c>
      <c r="U1420" t="s">
        <v>1545</v>
      </c>
      <c r="V1420" t="s">
        <v>1559</v>
      </c>
      <c r="W1420" t="s">
        <v>1562</v>
      </c>
      <c r="X1420" t="s">
        <v>1576</v>
      </c>
      <c r="Y1420" t="s">
        <v>1584</v>
      </c>
      <c r="Z1420" t="s">
        <v>1593</v>
      </c>
      <c r="AA1420" t="s">
        <v>1597</v>
      </c>
      <c r="AB1420" t="s">
        <v>1601</v>
      </c>
      <c r="AC1420" t="s">
        <v>1610</v>
      </c>
      <c r="AD1420" t="s">
        <v>1607</v>
      </c>
      <c r="AE1420" t="s">
        <v>1617</v>
      </c>
      <c r="AF1420" t="s">
        <v>1627</v>
      </c>
    </row>
    <row r="1421" spans="1:32" x14ac:dyDescent="0.25">
      <c r="A1421" t="s">
        <v>1478</v>
      </c>
      <c r="B1421">
        <v>42</v>
      </c>
      <c r="C1421">
        <v>557</v>
      </c>
      <c r="D1421">
        <v>18</v>
      </c>
      <c r="E1421">
        <v>35</v>
      </c>
      <c r="F1421">
        <v>5410</v>
      </c>
      <c r="G1421">
        <v>11189</v>
      </c>
      <c r="H1421">
        <v>6</v>
      </c>
      <c r="I1421">
        <v>17</v>
      </c>
      <c r="J1421">
        <v>9</v>
      </c>
      <c r="K1421">
        <v>3</v>
      </c>
      <c r="L1421">
        <v>4</v>
      </c>
      <c r="M1421">
        <v>3</v>
      </c>
      <c r="N1421">
        <v>1</v>
      </c>
      <c r="O1421">
        <v>2</v>
      </c>
      <c r="P1421" t="s">
        <v>1556</v>
      </c>
      <c r="Q1421" t="s">
        <v>1552</v>
      </c>
      <c r="R1421" t="s">
        <v>1550</v>
      </c>
      <c r="S1421" t="s">
        <v>1535</v>
      </c>
      <c r="T1421" t="s">
        <v>1538</v>
      </c>
      <c r="U1421" t="s">
        <v>1548</v>
      </c>
      <c r="V1421" t="s">
        <v>1559</v>
      </c>
      <c r="W1421" t="s">
        <v>1563</v>
      </c>
      <c r="X1421" t="s">
        <v>1576</v>
      </c>
      <c r="Y1421" t="s">
        <v>1582</v>
      </c>
      <c r="Z1421" t="s">
        <v>1591</v>
      </c>
      <c r="AA1421" t="s">
        <v>1598</v>
      </c>
      <c r="AB1421" t="s">
        <v>1600</v>
      </c>
      <c r="AC1421" t="s">
        <v>1610</v>
      </c>
      <c r="AD1421" t="s">
        <v>1606</v>
      </c>
      <c r="AE1421" t="s">
        <v>1617</v>
      </c>
      <c r="AF1421" t="s">
        <v>1626</v>
      </c>
    </row>
    <row r="1422" spans="1:32" x14ac:dyDescent="0.25">
      <c r="A1422" t="s">
        <v>1479</v>
      </c>
      <c r="B1422">
        <v>41</v>
      </c>
      <c r="C1422">
        <v>642</v>
      </c>
      <c r="D1422">
        <v>1</v>
      </c>
      <c r="E1422">
        <v>76</v>
      </c>
      <c r="F1422">
        <v>2782</v>
      </c>
      <c r="G1422">
        <v>21412</v>
      </c>
      <c r="H1422">
        <v>3</v>
      </c>
      <c r="I1422">
        <v>22</v>
      </c>
      <c r="J1422">
        <v>12</v>
      </c>
      <c r="K1422">
        <v>3</v>
      </c>
      <c r="L1422">
        <v>5</v>
      </c>
      <c r="M1422">
        <v>3</v>
      </c>
      <c r="N1422">
        <v>1</v>
      </c>
      <c r="O1422">
        <v>0</v>
      </c>
      <c r="P1422" t="s">
        <v>1556</v>
      </c>
      <c r="Q1422" t="s">
        <v>1552</v>
      </c>
      <c r="R1422" t="s">
        <v>1550</v>
      </c>
      <c r="S1422" t="s">
        <v>1534</v>
      </c>
      <c r="T1422" t="s">
        <v>1538</v>
      </c>
      <c r="U1422" t="s">
        <v>1548</v>
      </c>
      <c r="V1422" t="s">
        <v>1559</v>
      </c>
      <c r="W1422" t="s">
        <v>1563</v>
      </c>
      <c r="X1422" t="s">
        <v>1575</v>
      </c>
      <c r="Y1422" t="s">
        <v>1582</v>
      </c>
      <c r="Z1422" t="s">
        <v>1594</v>
      </c>
      <c r="AA1422" t="s">
        <v>1597</v>
      </c>
      <c r="AB1422" t="s">
        <v>1601</v>
      </c>
      <c r="AC1422" t="s">
        <v>1611</v>
      </c>
      <c r="AD1422" t="s">
        <v>1604</v>
      </c>
      <c r="AE1422" t="s">
        <v>1617</v>
      </c>
      <c r="AF1422" t="s">
        <v>1627</v>
      </c>
    </row>
    <row r="1423" spans="1:32" x14ac:dyDescent="0.25">
      <c r="A1423" t="s">
        <v>1480</v>
      </c>
      <c r="B1423">
        <v>47</v>
      </c>
      <c r="C1423">
        <v>1162</v>
      </c>
      <c r="D1423">
        <v>1</v>
      </c>
      <c r="E1423">
        <v>98</v>
      </c>
      <c r="F1423">
        <v>11957</v>
      </c>
      <c r="G1423">
        <v>17231</v>
      </c>
      <c r="H1423">
        <v>0</v>
      </c>
      <c r="I1423">
        <v>18</v>
      </c>
      <c r="J1423">
        <v>14</v>
      </c>
      <c r="K1423">
        <v>3</v>
      </c>
      <c r="L1423">
        <v>13</v>
      </c>
      <c r="M1423">
        <v>8</v>
      </c>
      <c r="N1423">
        <v>5</v>
      </c>
      <c r="O1423">
        <v>12</v>
      </c>
      <c r="P1423" t="s">
        <v>1556</v>
      </c>
      <c r="Q1423" t="s">
        <v>1554</v>
      </c>
      <c r="R1423" t="s">
        <v>1550</v>
      </c>
      <c r="S1423" t="s">
        <v>1532</v>
      </c>
      <c r="T1423" t="s">
        <v>1540</v>
      </c>
      <c r="U1423" t="s">
        <v>1547</v>
      </c>
      <c r="V1423" t="s">
        <v>1558</v>
      </c>
      <c r="W1423" t="s">
        <v>1563</v>
      </c>
      <c r="X1423" t="s">
        <v>1577</v>
      </c>
      <c r="Y1423" t="s">
        <v>1588</v>
      </c>
      <c r="Z1423" t="s">
        <v>1592</v>
      </c>
      <c r="AA1423" t="s">
        <v>1597</v>
      </c>
      <c r="AB1423" t="s">
        <v>1601</v>
      </c>
      <c r="AC1423" t="s">
        <v>1610</v>
      </c>
      <c r="AD1423" t="s">
        <v>1604</v>
      </c>
      <c r="AE1423" t="s">
        <v>1618</v>
      </c>
      <c r="AF1423" t="s">
        <v>1625</v>
      </c>
    </row>
    <row r="1424" spans="1:32" x14ac:dyDescent="0.25">
      <c r="A1424" t="s">
        <v>1481</v>
      </c>
      <c r="B1424">
        <v>35</v>
      </c>
      <c r="C1424">
        <v>1490</v>
      </c>
      <c r="D1424">
        <v>11</v>
      </c>
      <c r="E1424">
        <v>43</v>
      </c>
      <c r="F1424">
        <v>2660</v>
      </c>
      <c r="G1424">
        <v>20232</v>
      </c>
      <c r="H1424">
        <v>7</v>
      </c>
      <c r="I1424">
        <v>11</v>
      </c>
      <c r="J1424">
        <v>5</v>
      </c>
      <c r="K1424">
        <v>3</v>
      </c>
      <c r="L1424">
        <v>2</v>
      </c>
      <c r="M1424">
        <v>2</v>
      </c>
      <c r="N1424">
        <v>2</v>
      </c>
      <c r="O1424">
        <v>2</v>
      </c>
      <c r="P1424" t="s">
        <v>1556</v>
      </c>
      <c r="Q1424" t="s">
        <v>1552</v>
      </c>
      <c r="R1424" t="s">
        <v>1550</v>
      </c>
      <c r="S1424" t="s">
        <v>1535</v>
      </c>
      <c r="T1424" t="s">
        <v>1540</v>
      </c>
      <c r="U1424" t="s">
        <v>1548</v>
      </c>
      <c r="V1424" t="s">
        <v>1559</v>
      </c>
      <c r="W1424" t="s">
        <v>1563</v>
      </c>
      <c r="X1424" t="s">
        <v>1575</v>
      </c>
      <c r="Y1424" t="s">
        <v>1583</v>
      </c>
      <c r="Z1424" t="s">
        <v>1593</v>
      </c>
      <c r="AA1424" t="s">
        <v>1597</v>
      </c>
      <c r="AB1424" t="s">
        <v>1600</v>
      </c>
      <c r="AC1424" t="s">
        <v>1610</v>
      </c>
      <c r="AD1424" t="s">
        <v>1606</v>
      </c>
      <c r="AE1424" t="s">
        <v>1617</v>
      </c>
      <c r="AF1424" t="s">
        <v>1627</v>
      </c>
    </row>
    <row r="1425" spans="1:32" x14ac:dyDescent="0.25">
      <c r="A1425" t="s">
        <v>1482</v>
      </c>
      <c r="B1425">
        <v>22</v>
      </c>
      <c r="C1425">
        <v>581</v>
      </c>
      <c r="D1425">
        <v>1</v>
      </c>
      <c r="E1425">
        <v>63</v>
      </c>
      <c r="F1425">
        <v>3375</v>
      </c>
      <c r="G1425">
        <v>17624</v>
      </c>
      <c r="H1425">
        <v>0</v>
      </c>
      <c r="I1425">
        <v>12</v>
      </c>
      <c r="J1425">
        <v>4</v>
      </c>
      <c r="K1425">
        <v>2</v>
      </c>
      <c r="L1425">
        <v>3</v>
      </c>
      <c r="M1425">
        <v>2</v>
      </c>
      <c r="N1425">
        <v>1</v>
      </c>
      <c r="O1425">
        <v>2</v>
      </c>
      <c r="P1425" t="s">
        <v>1556</v>
      </c>
      <c r="Q1425" t="s">
        <v>1552</v>
      </c>
      <c r="R1425" t="s">
        <v>1550</v>
      </c>
      <c r="S1425" t="s">
        <v>1533</v>
      </c>
      <c r="T1425" t="s">
        <v>1538</v>
      </c>
      <c r="U1425" t="s">
        <v>1548</v>
      </c>
      <c r="V1425" t="s">
        <v>1559</v>
      </c>
      <c r="W1425" t="s">
        <v>1563</v>
      </c>
      <c r="X1425" t="s">
        <v>1575</v>
      </c>
      <c r="Y1425" t="s">
        <v>1582</v>
      </c>
      <c r="Z1425" t="s">
        <v>1593</v>
      </c>
      <c r="AA1425" t="s">
        <v>1596</v>
      </c>
      <c r="AB1425" t="s">
        <v>1601</v>
      </c>
      <c r="AC1425" t="s">
        <v>1610</v>
      </c>
      <c r="AD1425" t="s">
        <v>1607</v>
      </c>
      <c r="AE1425" t="s">
        <v>1616</v>
      </c>
      <c r="AF1425" t="s">
        <v>1628</v>
      </c>
    </row>
    <row r="1426" spans="1:32" x14ac:dyDescent="0.25">
      <c r="A1426" t="s">
        <v>1483</v>
      </c>
      <c r="B1426">
        <v>35</v>
      </c>
      <c r="C1426">
        <v>1395</v>
      </c>
      <c r="D1426">
        <v>9</v>
      </c>
      <c r="E1426">
        <v>48</v>
      </c>
      <c r="F1426">
        <v>5098</v>
      </c>
      <c r="G1426">
        <v>18698</v>
      </c>
      <c r="H1426">
        <v>1</v>
      </c>
      <c r="I1426">
        <v>19</v>
      </c>
      <c r="J1426">
        <v>10</v>
      </c>
      <c r="K1426">
        <v>5</v>
      </c>
      <c r="L1426">
        <v>10</v>
      </c>
      <c r="M1426">
        <v>7</v>
      </c>
      <c r="N1426">
        <v>0</v>
      </c>
      <c r="O1426">
        <v>8</v>
      </c>
      <c r="P1426" t="s">
        <v>1556</v>
      </c>
      <c r="Q1426" t="s">
        <v>1552</v>
      </c>
      <c r="R1426" t="s">
        <v>1550</v>
      </c>
      <c r="S1426" t="s">
        <v>1535</v>
      </c>
      <c r="T1426" t="s">
        <v>1540</v>
      </c>
      <c r="U1426" t="s">
        <v>1546</v>
      </c>
      <c r="V1426" t="s">
        <v>1559</v>
      </c>
      <c r="W1426" t="s">
        <v>1563</v>
      </c>
      <c r="X1426" t="s">
        <v>1576</v>
      </c>
      <c r="Y1426" t="s">
        <v>1582</v>
      </c>
      <c r="Z1426" t="s">
        <v>1593</v>
      </c>
      <c r="AA1426" t="s">
        <v>1596</v>
      </c>
      <c r="AB1426" t="s">
        <v>1601</v>
      </c>
      <c r="AC1426" t="s">
        <v>1610</v>
      </c>
      <c r="AD1426" t="s">
        <v>1605</v>
      </c>
      <c r="AE1426" t="s">
        <v>1616</v>
      </c>
      <c r="AF1426" t="s">
        <v>1627</v>
      </c>
    </row>
    <row r="1427" spans="1:32" x14ac:dyDescent="0.25">
      <c r="A1427" t="s">
        <v>1484</v>
      </c>
      <c r="B1427">
        <v>33</v>
      </c>
      <c r="C1427">
        <v>501</v>
      </c>
      <c r="D1427">
        <v>15</v>
      </c>
      <c r="E1427">
        <v>95</v>
      </c>
      <c r="F1427">
        <v>4878</v>
      </c>
      <c r="G1427">
        <v>21653</v>
      </c>
      <c r="H1427">
        <v>0</v>
      </c>
      <c r="I1427">
        <v>13</v>
      </c>
      <c r="J1427">
        <v>10</v>
      </c>
      <c r="K1427">
        <v>6</v>
      </c>
      <c r="L1427">
        <v>9</v>
      </c>
      <c r="M1427">
        <v>7</v>
      </c>
      <c r="N1427">
        <v>8</v>
      </c>
      <c r="O1427">
        <v>1</v>
      </c>
      <c r="P1427" t="s">
        <v>1556</v>
      </c>
      <c r="Q1427" t="s">
        <v>1552</v>
      </c>
      <c r="R1427" t="s">
        <v>1550</v>
      </c>
      <c r="S1427" t="s">
        <v>1533</v>
      </c>
      <c r="T1427" t="s">
        <v>1540</v>
      </c>
      <c r="U1427" t="s">
        <v>1546</v>
      </c>
      <c r="V1427" t="s">
        <v>1558</v>
      </c>
      <c r="W1427" t="s">
        <v>1563</v>
      </c>
      <c r="X1427" t="s">
        <v>1576</v>
      </c>
      <c r="Y1427" t="s">
        <v>1585</v>
      </c>
      <c r="Z1427" t="s">
        <v>1594</v>
      </c>
      <c r="AA1427" t="s">
        <v>1597</v>
      </c>
      <c r="AB1427" t="s">
        <v>1600</v>
      </c>
      <c r="AC1427" t="s">
        <v>1610</v>
      </c>
      <c r="AD1427" t="s">
        <v>1604</v>
      </c>
      <c r="AE1427" t="s">
        <v>1617</v>
      </c>
      <c r="AF1427" t="s">
        <v>1627</v>
      </c>
    </row>
    <row r="1428" spans="1:32" x14ac:dyDescent="0.25">
      <c r="A1428" t="s">
        <v>1485</v>
      </c>
      <c r="B1428">
        <v>32</v>
      </c>
      <c r="C1428">
        <v>267</v>
      </c>
      <c r="D1428">
        <v>29</v>
      </c>
      <c r="E1428">
        <v>49</v>
      </c>
      <c r="F1428">
        <v>2837</v>
      </c>
      <c r="G1428">
        <v>15919</v>
      </c>
      <c r="H1428">
        <v>1</v>
      </c>
      <c r="I1428">
        <v>13</v>
      </c>
      <c r="J1428">
        <v>6</v>
      </c>
      <c r="K1428">
        <v>3</v>
      </c>
      <c r="L1428">
        <v>6</v>
      </c>
      <c r="M1428">
        <v>2</v>
      </c>
      <c r="N1428">
        <v>4</v>
      </c>
      <c r="O1428">
        <v>1</v>
      </c>
      <c r="P1428" t="s">
        <v>1556</v>
      </c>
      <c r="Q1428" t="s">
        <v>1552</v>
      </c>
      <c r="R1428" t="s">
        <v>1550</v>
      </c>
      <c r="S1428" t="s">
        <v>1535</v>
      </c>
      <c r="T1428" t="s">
        <v>1538</v>
      </c>
      <c r="U1428" t="s">
        <v>1547</v>
      </c>
      <c r="V1428" t="s">
        <v>1558</v>
      </c>
      <c r="W1428" t="s">
        <v>1562</v>
      </c>
      <c r="X1428" t="s">
        <v>1575</v>
      </c>
      <c r="Y1428" t="s">
        <v>1583</v>
      </c>
      <c r="Z1428" t="s">
        <v>1592</v>
      </c>
      <c r="AA1428" t="s">
        <v>1596</v>
      </c>
      <c r="AB1428" t="s">
        <v>1601</v>
      </c>
      <c r="AC1428" t="s">
        <v>1610</v>
      </c>
      <c r="AD1428" t="s">
        <v>1606</v>
      </c>
      <c r="AE1428" t="s">
        <v>1616</v>
      </c>
      <c r="AF1428" t="s">
        <v>1627</v>
      </c>
    </row>
    <row r="1429" spans="1:32" x14ac:dyDescent="0.25">
      <c r="A1429" t="s">
        <v>1486</v>
      </c>
      <c r="B1429">
        <v>40</v>
      </c>
      <c r="C1429">
        <v>543</v>
      </c>
      <c r="D1429">
        <v>1</v>
      </c>
      <c r="E1429">
        <v>83</v>
      </c>
      <c r="F1429">
        <v>2406</v>
      </c>
      <c r="G1429">
        <v>4060</v>
      </c>
      <c r="H1429">
        <v>8</v>
      </c>
      <c r="I1429">
        <v>19</v>
      </c>
      <c r="J1429">
        <v>8</v>
      </c>
      <c r="K1429">
        <v>3</v>
      </c>
      <c r="L1429">
        <v>1</v>
      </c>
      <c r="M1429">
        <v>0</v>
      </c>
      <c r="N1429">
        <v>0</v>
      </c>
      <c r="O1429">
        <v>0</v>
      </c>
      <c r="P1429" t="s">
        <v>1556</v>
      </c>
      <c r="Q1429" t="s">
        <v>1552</v>
      </c>
      <c r="R1429" t="s">
        <v>1550</v>
      </c>
      <c r="S1429" t="s">
        <v>1535</v>
      </c>
      <c r="T1429" t="s">
        <v>1538</v>
      </c>
      <c r="U1429" t="s">
        <v>1545</v>
      </c>
      <c r="V1429" t="s">
        <v>1559</v>
      </c>
      <c r="W1429" t="s">
        <v>1563</v>
      </c>
      <c r="X1429" t="s">
        <v>1575</v>
      </c>
      <c r="Y1429" t="s">
        <v>1583</v>
      </c>
      <c r="Z1429" t="s">
        <v>1594</v>
      </c>
      <c r="AA1429" t="s">
        <v>1597</v>
      </c>
      <c r="AB1429" t="s">
        <v>1601</v>
      </c>
      <c r="AC1429" t="s">
        <v>1610</v>
      </c>
      <c r="AD1429" t="s">
        <v>1606</v>
      </c>
      <c r="AE1429" t="s">
        <v>1618</v>
      </c>
      <c r="AF1429" t="s">
        <v>1626</v>
      </c>
    </row>
    <row r="1430" spans="1:32" x14ac:dyDescent="0.25">
      <c r="A1430" t="s">
        <v>1487</v>
      </c>
      <c r="B1430">
        <v>32</v>
      </c>
      <c r="C1430">
        <v>234</v>
      </c>
      <c r="D1430">
        <v>1</v>
      </c>
      <c r="E1430">
        <v>68</v>
      </c>
      <c r="F1430">
        <v>2269</v>
      </c>
      <c r="G1430">
        <v>18024</v>
      </c>
      <c r="H1430">
        <v>0</v>
      </c>
      <c r="I1430">
        <v>14</v>
      </c>
      <c r="J1430">
        <v>3</v>
      </c>
      <c r="K1430">
        <v>2</v>
      </c>
      <c r="L1430">
        <v>2</v>
      </c>
      <c r="M1430">
        <v>2</v>
      </c>
      <c r="N1430">
        <v>2</v>
      </c>
      <c r="O1430">
        <v>2</v>
      </c>
      <c r="P1430" t="s">
        <v>1556</v>
      </c>
      <c r="Q1430" t="s">
        <v>1552</v>
      </c>
      <c r="R1430" t="s">
        <v>1549</v>
      </c>
      <c r="S1430" t="s">
        <v>1535</v>
      </c>
      <c r="T1430" t="s">
        <v>1540</v>
      </c>
      <c r="U1430" t="s">
        <v>1546</v>
      </c>
      <c r="V1430" t="s">
        <v>1559</v>
      </c>
      <c r="W1430" t="s">
        <v>1562</v>
      </c>
      <c r="X1430" t="s">
        <v>1575</v>
      </c>
      <c r="Y1430" t="s">
        <v>1587</v>
      </c>
      <c r="Z1430" t="s">
        <v>1592</v>
      </c>
      <c r="AA1430" t="s">
        <v>1597</v>
      </c>
      <c r="AB1430" t="s">
        <v>1601</v>
      </c>
      <c r="AC1430" t="s">
        <v>1610</v>
      </c>
      <c r="AD1430" t="s">
        <v>1605</v>
      </c>
      <c r="AE1430" t="s">
        <v>1617</v>
      </c>
      <c r="AF1430" t="s">
        <v>1627</v>
      </c>
    </row>
    <row r="1431" spans="1:32" x14ac:dyDescent="0.25">
      <c r="A1431" t="s">
        <v>1488</v>
      </c>
      <c r="B1431">
        <v>39</v>
      </c>
      <c r="C1431">
        <v>116</v>
      </c>
      <c r="D1431">
        <v>24</v>
      </c>
      <c r="E1431">
        <v>52</v>
      </c>
      <c r="F1431">
        <v>4108</v>
      </c>
      <c r="G1431">
        <v>5340</v>
      </c>
      <c r="H1431">
        <v>7</v>
      </c>
      <c r="I1431">
        <v>13</v>
      </c>
      <c r="J1431">
        <v>18</v>
      </c>
      <c r="K1431">
        <v>2</v>
      </c>
      <c r="L1431">
        <v>7</v>
      </c>
      <c r="M1431">
        <v>7</v>
      </c>
      <c r="N1431">
        <v>1</v>
      </c>
      <c r="O1431">
        <v>7</v>
      </c>
      <c r="P1431" t="s">
        <v>1556</v>
      </c>
      <c r="Q1431" t="s">
        <v>1552</v>
      </c>
      <c r="R1431" t="s">
        <v>1550</v>
      </c>
      <c r="S1431" t="s">
        <v>1532</v>
      </c>
      <c r="T1431" t="s">
        <v>1538</v>
      </c>
      <c r="U1431" t="s">
        <v>1545</v>
      </c>
      <c r="V1431" t="s">
        <v>1559</v>
      </c>
      <c r="W1431" t="s">
        <v>1563</v>
      </c>
      <c r="X1431" t="s">
        <v>1576</v>
      </c>
      <c r="Y1431" t="s">
        <v>1582</v>
      </c>
      <c r="Z1431" t="s">
        <v>1594</v>
      </c>
      <c r="AA1431" t="s">
        <v>1596</v>
      </c>
      <c r="AB1431" t="s">
        <v>1601</v>
      </c>
      <c r="AC1431" t="s">
        <v>1610</v>
      </c>
      <c r="AD1431" t="s">
        <v>1604</v>
      </c>
      <c r="AE1431" t="s">
        <v>1616</v>
      </c>
      <c r="AF1431" t="s">
        <v>1627</v>
      </c>
    </row>
    <row r="1432" spans="1:32" x14ac:dyDescent="0.25">
      <c r="A1432" t="s">
        <v>1489</v>
      </c>
      <c r="B1432">
        <v>38</v>
      </c>
      <c r="C1432">
        <v>201</v>
      </c>
      <c r="D1432">
        <v>10</v>
      </c>
      <c r="E1432">
        <v>99</v>
      </c>
      <c r="F1432">
        <v>13206</v>
      </c>
      <c r="G1432">
        <v>3376</v>
      </c>
      <c r="H1432">
        <v>3</v>
      </c>
      <c r="I1432">
        <v>12</v>
      </c>
      <c r="J1432">
        <v>20</v>
      </c>
      <c r="K1432">
        <v>3</v>
      </c>
      <c r="L1432">
        <v>18</v>
      </c>
      <c r="M1432">
        <v>16</v>
      </c>
      <c r="N1432">
        <v>1</v>
      </c>
      <c r="O1432">
        <v>11</v>
      </c>
      <c r="P1432" t="s">
        <v>1556</v>
      </c>
      <c r="Q1432" t="s">
        <v>1552</v>
      </c>
      <c r="R1432" t="s">
        <v>1550</v>
      </c>
      <c r="S1432" t="s">
        <v>1534</v>
      </c>
      <c r="T1432" t="s">
        <v>1540</v>
      </c>
      <c r="U1432" t="s">
        <v>1546</v>
      </c>
      <c r="V1432" t="s">
        <v>1558</v>
      </c>
      <c r="W1432" t="s">
        <v>1561</v>
      </c>
      <c r="X1432" t="s">
        <v>1577</v>
      </c>
      <c r="Y1432" t="s">
        <v>1588</v>
      </c>
      <c r="Z1432" t="s">
        <v>1593</v>
      </c>
      <c r="AA1432" t="s">
        <v>1597</v>
      </c>
      <c r="AB1432" t="s">
        <v>1601</v>
      </c>
      <c r="AC1432" t="s">
        <v>1610</v>
      </c>
      <c r="AD1432" t="s">
        <v>1604</v>
      </c>
      <c r="AE1432" t="s">
        <v>1617</v>
      </c>
      <c r="AF1432" t="s">
        <v>1627</v>
      </c>
    </row>
    <row r="1433" spans="1:32" x14ac:dyDescent="0.25">
      <c r="A1433" t="s">
        <v>1490</v>
      </c>
      <c r="B1433">
        <v>32</v>
      </c>
      <c r="C1433">
        <v>801</v>
      </c>
      <c r="D1433">
        <v>1</v>
      </c>
      <c r="E1433">
        <v>48</v>
      </c>
      <c r="F1433">
        <v>10422</v>
      </c>
      <c r="G1433">
        <v>24032</v>
      </c>
      <c r="H1433">
        <v>1</v>
      </c>
      <c r="I1433">
        <v>19</v>
      </c>
      <c r="J1433">
        <v>14</v>
      </c>
      <c r="K1433">
        <v>3</v>
      </c>
      <c r="L1433">
        <v>14</v>
      </c>
      <c r="M1433">
        <v>10</v>
      </c>
      <c r="N1433">
        <v>5</v>
      </c>
      <c r="O1433">
        <v>7</v>
      </c>
      <c r="P1433" t="s">
        <v>1556</v>
      </c>
      <c r="Q1433" t="s">
        <v>1552</v>
      </c>
      <c r="R1433" t="s">
        <v>1549</v>
      </c>
      <c r="S1433" t="s">
        <v>1535</v>
      </c>
      <c r="T1433" t="s">
        <v>1541</v>
      </c>
      <c r="U1433" t="s">
        <v>1547</v>
      </c>
      <c r="V1433" t="s">
        <v>1558</v>
      </c>
      <c r="W1433" t="s">
        <v>1563</v>
      </c>
      <c r="X1433" t="s">
        <v>1577</v>
      </c>
      <c r="Y1433" t="s">
        <v>1581</v>
      </c>
      <c r="Z1433" t="s">
        <v>1594</v>
      </c>
      <c r="AA1433" t="s">
        <v>1597</v>
      </c>
      <c r="AB1433" t="s">
        <v>1601</v>
      </c>
      <c r="AC1433" t="s">
        <v>1610</v>
      </c>
      <c r="AD1433" t="s">
        <v>1606</v>
      </c>
      <c r="AE1433" t="s">
        <v>1618</v>
      </c>
      <c r="AF1433" t="s">
        <v>1627</v>
      </c>
    </row>
    <row r="1434" spans="1:32" x14ac:dyDescent="0.25">
      <c r="A1434" t="s">
        <v>1491</v>
      </c>
      <c r="B1434">
        <v>37</v>
      </c>
      <c r="C1434">
        <v>161</v>
      </c>
      <c r="D1434">
        <v>10</v>
      </c>
      <c r="E1434">
        <v>42</v>
      </c>
      <c r="F1434">
        <v>13744</v>
      </c>
      <c r="G1434">
        <v>15471</v>
      </c>
      <c r="H1434">
        <v>1</v>
      </c>
      <c r="I1434">
        <v>25</v>
      </c>
      <c r="J1434">
        <v>16</v>
      </c>
      <c r="K1434">
        <v>2</v>
      </c>
      <c r="L1434">
        <v>16</v>
      </c>
      <c r="M1434">
        <v>11</v>
      </c>
      <c r="N1434">
        <v>6</v>
      </c>
      <c r="O1434">
        <v>8</v>
      </c>
      <c r="P1434" t="s">
        <v>1556</v>
      </c>
      <c r="Q1434" t="s">
        <v>1552</v>
      </c>
      <c r="R1434" t="s">
        <v>1550</v>
      </c>
      <c r="S1434" t="s">
        <v>1534</v>
      </c>
      <c r="T1434" t="s">
        <v>1538</v>
      </c>
      <c r="U1434" t="s">
        <v>1547</v>
      </c>
      <c r="V1434" t="s">
        <v>1558</v>
      </c>
      <c r="W1434" t="s">
        <v>1564</v>
      </c>
      <c r="X1434" t="s">
        <v>1577</v>
      </c>
      <c r="Y1434" t="s">
        <v>1588</v>
      </c>
      <c r="Z1434" t="s">
        <v>1594</v>
      </c>
      <c r="AA1434" t="s">
        <v>1597</v>
      </c>
      <c r="AB1434" t="s">
        <v>1600</v>
      </c>
      <c r="AC1434" t="s">
        <v>1611</v>
      </c>
      <c r="AD1434" t="s">
        <v>1604</v>
      </c>
      <c r="AE1434" t="s">
        <v>1617</v>
      </c>
      <c r="AF1434" t="s">
        <v>1627</v>
      </c>
    </row>
    <row r="1435" spans="1:32" x14ac:dyDescent="0.25">
      <c r="A1435" t="s">
        <v>1492</v>
      </c>
      <c r="B1435">
        <v>25</v>
      </c>
      <c r="C1435">
        <v>1382</v>
      </c>
      <c r="D1435">
        <v>8</v>
      </c>
      <c r="E1435">
        <v>85</v>
      </c>
      <c r="F1435">
        <v>4907</v>
      </c>
      <c r="G1435">
        <v>13684</v>
      </c>
      <c r="H1435">
        <v>0</v>
      </c>
      <c r="I1435">
        <v>22</v>
      </c>
      <c r="J1435">
        <v>6</v>
      </c>
      <c r="K1435">
        <v>3</v>
      </c>
      <c r="L1435">
        <v>5</v>
      </c>
      <c r="M1435">
        <v>3</v>
      </c>
      <c r="N1435">
        <v>0</v>
      </c>
      <c r="O1435">
        <v>4</v>
      </c>
      <c r="P1435" t="s">
        <v>1556</v>
      </c>
      <c r="Q1435" t="s">
        <v>1552</v>
      </c>
      <c r="R1435" t="s">
        <v>1549</v>
      </c>
      <c r="S1435" t="s">
        <v>1533</v>
      </c>
      <c r="T1435" t="s">
        <v>1539</v>
      </c>
      <c r="U1435" t="s">
        <v>1545</v>
      </c>
      <c r="V1435" t="s">
        <v>1558</v>
      </c>
      <c r="W1435" t="s">
        <v>1563</v>
      </c>
      <c r="X1435" t="s">
        <v>1576</v>
      </c>
      <c r="Y1435" t="s">
        <v>1581</v>
      </c>
      <c r="Z1435" t="s">
        <v>1593</v>
      </c>
      <c r="AA1435" t="s">
        <v>1598</v>
      </c>
      <c r="AB1435" t="s">
        <v>1600</v>
      </c>
      <c r="AC1435" t="s">
        <v>1611</v>
      </c>
      <c r="AD1435" t="s">
        <v>1605</v>
      </c>
      <c r="AE1435" t="s">
        <v>1617</v>
      </c>
      <c r="AF1435" t="s">
        <v>1626</v>
      </c>
    </row>
    <row r="1436" spans="1:32" x14ac:dyDescent="0.25">
      <c r="A1436" t="s">
        <v>1493</v>
      </c>
      <c r="B1436">
        <v>52</v>
      </c>
      <c r="C1436">
        <v>585</v>
      </c>
      <c r="D1436">
        <v>29</v>
      </c>
      <c r="E1436">
        <v>40</v>
      </c>
      <c r="F1436">
        <v>3482</v>
      </c>
      <c r="G1436">
        <v>19788</v>
      </c>
      <c r="H1436">
        <v>2</v>
      </c>
      <c r="I1436">
        <v>15</v>
      </c>
      <c r="J1436">
        <v>16</v>
      </c>
      <c r="K1436">
        <v>3</v>
      </c>
      <c r="L1436">
        <v>9</v>
      </c>
      <c r="M1436">
        <v>8</v>
      </c>
      <c r="N1436">
        <v>0</v>
      </c>
      <c r="O1436">
        <v>0</v>
      </c>
      <c r="P1436" t="s">
        <v>1556</v>
      </c>
      <c r="Q1436" t="s">
        <v>1554</v>
      </c>
      <c r="R1436" t="s">
        <v>1549</v>
      </c>
      <c r="S1436" t="s">
        <v>1535</v>
      </c>
      <c r="T1436" t="s">
        <v>1538</v>
      </c>
      <c r="U1436" t="s">
        <v>1545</v>
      </c>
      <c r="V1436" t="s">
        <v>1559</v>
      </c>
      <c r="W1436" t="s">
        <v>1563</v>
      </c>
      <c r="X1436" t="s">
        <v>1575</v>
      </c>
      <c r="Y1436" t="s">
        <v>1587</v>
      </c>
      <c r="Z1436" t="s">
        <v>1594</v>
      </c>
      <c r="AA1436" t="s">
        <v>1598</v>
      </c>
      <c r="AB1436" t="s">
        <v>1601</v>
      </c>
      <c r="AC1436" t="s">
        <v>1610</v>
      </c>
      <c r="AD1436" t="s">
        <v>1605</v>
      </c>
      <c r="AE1436" t="s">
        <v>1618</v>
      </c>
      <c r="AF1436" t="s">
        <v>1626</v>
      </c>
    </row>
    <row r="1437" spans="1:32" x14ac:dyDescent="0.25">
      <c r="A1437" t="s">
        <v>1494</v>
      </c>
      <c r="B1437">
        <v>44</v>
      </c>
      <c r="C1437">
        <v>1037</v>
      </c>
      <c r="D1437">
        <v>1</v>
      </c>
      <c r="E1437">
        <v>42</v>
      </c>
      <c r="F1437">
        <v>2436</v>
      </c>
      <c r="G1437">
        <v>13422</v>
      </c>
      <c r="H1437">
        <v>6</v>
      </c>
      <c r="I1437">
        <v>12</v>
      </c>
      <c r="J1437">
        <v>6</v>
      </c>
      <c r="K1437">
        <v>2</v>
      </c>
      <c r="L1437">
        <v>4</v>
      </c>
      <c r="M1437">
        <v>3</v>
      </c>
      <c r="N1437">
        <v>1</v>
      </c>
      <c r="O1437">
        <v>2</v>
      </c>
      <c r="P1437" t="s">
        <v>1556</v>
      </c>
      <c r="Q1437" t="s">
        <v>1552</v>
      </c>
      <c r="R1437" t="s">
        <v>1550</v>
      </c>
      <c r="S1437" t="s">
        <v>1534</v>
      </c>
      <c r="T1437" t="s">
        <v>1540</v>
      </c>
      <c r="U1437" t="s">
        <v>1546</v>
      </c>
      <c r="V1437" t="s">
        <v>1559</v>
      </c>
      <c r="W1437" t="s">
        <v>1563</v>
      </c>
      <c r="X1437" t="s">
        <v>1575</v>
      </c>
      <c r="Y1437" t="s">
        <v>1582</v>
      </c>
      <c r="Z1437" t="s">
        <v>1594</v>
      </c>
      <c r="AA1437" t="s">
        <v>1596</v>
      </c>
      <c r="AB1437" t="s">
        <v>1600</v>
      </c>
      <c r="AC1437" t="s">
        <v>1610</v>
      </c>
      <c r="AD1437" t="s">
        <v>1606</v>
      </c>
      <c r="AE1437" t="s">
        <v>1616</v>
      </c>
      <c r="AF1437" t="s">
        <v>1627</v>
      </c>
    </row>
    <row r="1438" spans="1:32" x14ac:dyDescent="0.25">
      <c r="A1438" t="s">
        <v>1495</v>
      </c>
      <c r="B1438">
        <v>21</v>
      </c>
      <c r="C1438">
        <v>501</v>
      </c>
      <c r="D1438">
        <v>5</v>
      </c>
      <c r="E1438">
        <v>58</v>
      </c>
      <c r="F1438">
        <v>2380</v>
      </c>
      <c r="G1438">
        <v>25479</v>
      </c>
      <c r="H1438">
        <v>1</v>
      </c>
      <c r="I1438">
        <v>11</v>
      </c>
      <c r="J1438">
        <v>2</v>
      </c>
      <c r="K1438">
        <v>6</v>
      </c>
      <c r="L1438">
        <v>2</v>
      </c>
      <c r="M1438">
        <v>2</v>
      </c>
      <c r="N1438">
        <v>1</v>
      </c>
      <c r="O1438">
        <v>2</v>
      </c>
      <c r="P1438" t="s">
        <v>1556</v>
      </c>
      <c r="Q1438" t="s">
        <v>1552</v>
      </c>
      <c r="R1438" t="s">
        <v>1549</v>
      </c>
      <c r="S1438" t="s">
        <v>1532</v>
      </c>
      <c r="T1438" t="s">
        <v>1540</v>
      </c>
      <c r="U1438" t="s">
        <v>1547</v>
      </c>
      <c r="V1438" t="s">
        <v>1559</v>
      </c>
      <c r="W1438" t="s">
        <v>1563</v>
      </c>
      <c r="X1438" t="s">
        <v>1575</v>
      </c>
      <c r="Y1438" t="s">
        <v>1587</v>
      </c>
      <c r="Z1438" t="s">
        <v>1591</v>
      </c>
      <c r="AA1438" t="s">
        <v>1596</v>
      </c>
      <c r="AB1438" t="s">
        <v>1600</v>
      </c>
      <c r="AC1438" t="s">
        <v>1610</v>
      </c>
      <c r="AD1438" t="s">
        <v>1607</v>
      </c>
      <c r="AE1438" t="s">
        <v>1616</v>
      </c>
      <c r="AF1438" t="s">
        <v>1627</v>
      </c>
    </row>
    <row r="1439" spans="1:32" x14ac:dyDescent="0.25">
      <c r="A1439" t="s">
        <v>1496</v>
      </c>
      <c r="B1439">
        <v>39</v>
      </c>
      <c r="C1439">
        <v>105</v>
      </c>
      <c r="D1439">
        <v>9</v>
      </c>
      <c r="E1439">
        <v>87</v>
      </c>
      <c r="F1439">
        <v>19431</v>
      </c>
      <c r="G1439">
        <v>15302</v>
      </c>
      <c r="H1439">
        <v>2</v>
      </c>
      <c r="I1439">
        <v>13</v>
      </c>
      <c r="J1439">
        <v>21</v>
      </c>
      <c r="K1439">
        <v>3</v>
      </c>
      <c r="L1439">
        <v>6</v>
      </c>
      <c r="M1439">
        <v>0</v>
      </c>
      <c r="N1439">
        <v>1</v>
      </c>
      <c r="O1439">
        <v>3</v>
      </c>
      <c r="P1439" t="s">
        <v>1556</v>
      </c>
      <c r="Q1439" t="s">
        <v>1554</v>
      </c>
      <c r="R1439" t="s">
        <v>1550</v>
      </c>
      <c r="S1439" t="s">
        <v>1534</v>
      </c>
      <c r="T1439" t="s">
        <v>1538</v>
      </c>
      <c r="U1439" t="s">
        <v>1548</v>
      </c>
      <c r="V1439" t="s">
        <v>1559</v>
      </c>
      <c r="W1439" t="s">
        <v>1563</v>
      </c>
      <c r="X1439" t="s">
        <v>1579</v>
      </c>
      <c r="Y1439" t="s">
        <v>1586</v>
      </c>
      <c r="Z1439" t="s">
        <v>1594</v>
      </c>
      <c r="AA1439" t="s">
        <v>1596</v>
      </c>
      <c r="AB1439" t="s">
        <v>1601</v>
      </c>
      <c r="AC1439" t="s">
        <v>1610</v>
      </c>
      <c r="AD1439" t="s">
        <v>1606</v>
      </c>
      <c r="AE1439" t="s">
        <v>1616</v>
      </c>
      <c r="AF1439" t="s">
        <v>1626</v>
      </c>
    </row>
    <row r="1440" spans="1:32" x14ac:dyDescent="0.25">
      <c r="A1440" t="s">
        <v>1497</v>
      </c>
      <c r="B1440">
        <v>23</v>
      </c>
      <c r="C1440">
        <v>638</v>
      </c>
      <c r="D1440">
        <v>9</v>
      </c>
      <c r="E1440">
        <v>33</v>
      </c>
      <c r="F1440">
        <v>1790</v>
      </c>
      <c r="G1440">
        <v>26956</v>
      </c>
      <c r="H1440">
        <v>1</v>
      </c>
      <c r="I1440">
        <v>19</v>
      </c>
      <c r="J1440">
        <v>1</v>
      </c>
      <c r="K1440">
        <v>3</v>
      </c>
      <c r="L1440">
        <v>1</v>
      </c>
      <c r="M1440">
        <v>0</v>
      </c>
      <c r="N1440">
        <v>1</v>
      </c>
      <c r="O1440">
        <v>0</v>
      </c>
      <c r="P1440" t="s">
        <v>1555</v>
      </c>
      <c r="Q1440" t="s">
        <v>1553</v>
      </c>
      <c r="R1440" t="s">
        <v>1549</v>
      </c>
      <c r="S1440" t="s">
        <v>1534</v>
      </c>
      <c r="T1440" t="s">
        <v>1541</v>
      </c>
      <c r="U1440" t="s">
        <v>1548</v>
      </c>
      <c r="V1440" t="s">
        <v>1559</v>
      </c>
      <c r="W1440" t="s">
        <v>1563</v>
      </c>
      <c r="X1440" t="s">
        <v>1575</v>
      </c>
      <c r="Y1440" t="s">
        <v>1587</v>
      </c>
      <c r="Z1440" t="s">
        <v>1591</v>
      </c>
      <c r="AA1440" t="s">
        <v>1597</v>
      </c>
      <c r="AB1440" t="s">
        <v>1601</v>
      </c>
      <c r="AC1440" t="s">
        <v>1610</v>
      </c>
      <c r="AD1440" t="s">
        <v>1604</v>
      </c>
      <c r="AE1440" t="s">
        <v>1617</v>
      </c>
      <c r="AF1440" t="s">
        <v>1626</v>
      </c>
    </row>
    <row r="1441" spans="1:32" x14ac:dyDescent="0.25">
      <c r="A1441" t="s">
        <v>1498</v>
      </c>
      <c r="B1441">
        <v>36</v>
      </c>
      <c r="C1441">
        <v>557</v>
      </c>
      <c r="D1441">
        <v>3</v>
      </c>
      <c r="E1441">
        <v>94</v>
      </c>
      <c r="F1441">
        <v>7644</v>
      </c>
      <c r="G1441">
        <v>12695</v>
      </c>
      <c r="H1441">
        <v>0</v>
      </c>
      <c r="I1441">
        <v>19</v>
      </c>
      <c r="J1441">
        <v>10</v>
      </c>
      <c r="K1441">
        <v>2</v>
      </c>
      <c r="L1441">
        <v>9</v>
      </c>
      <c r="M1441">
        <v>7</v>
      </c>
      <c r="N1441">
        <v>3</v>
      </c>
      <c r="O1441">
        <v>4</v>
      </c>
      <c r="P1441" t="s">
        <v>1556</v>
      </c>
      <c r="Q1441" t="s">
        <v>1552</v>
      </c>
      <c r="R1441" t="s">
        <v>1549</v>
      </c>
      <c r="S1441" t="s">
        <v>1534</v>
      </c>
      <c r="T1441" t="s">
        <v>1540</v>
      </c>
      <c r="U1441" t="s">
        <v>1545</v>
      </c>
      <c r="V1441" t="s">
        <v>1558</v>
      </c>
      <c r="W1441" t="s">
        <v>1562</v>
      </c>
      <c r="X1441" t="s">
        <v>1577</v>
      </c>
      <c r="Y1441" t="s">
        <v>1581</v>
      </c>
      <c r="Z1441" t="s">
        <v>1594</v>
      </c>
      <c r="AA1441" t="s">
        <v>1597</v>
      </c>
      <c r="AB1441" t="s">
        <v>1601</v>
      </c>
      <c r="AC1441" t="s">
        <v>1610</v>
      </c>
      <c r="AD1441" t="s">
        <v>1606</v>
      </c>
      <c r="AE1441" t="s">
        <v>1618</v>
      </c>
      <c r="AF1441" t="s">
        <v>1627</v>
      </c>
    </row>
    <row r="1442" spans="1:32" x14ac:dyDescent="0.25">
      <c r="A1442" t="s">
        <v>1499</v>
      </c>
      <c r="B1442">
        <v>36</v>
      </c>
      <c r="C1442">
        <v>688</v>
      </c>
      <c r="D1442">
        <v>4</v>
      </c>
      <c r="E1442">
        <v>97</v>
      </c>
      <c r="F1442">
        <v>5131</v>
      </c>
      <c r="G1442">
        <v>9192</v>
      </c>
      <c r="H1442">
        <v>7</v>
      </c>
      <c r="I1442">
        <v>13</v>
      </c>
      <c r="J1442">
        <v>18</v>
      </c>
      <c r="K1442">
        <v>3</v>
      </c>
      <c r="L1442">
        <v>4</v>
      </c>
      <c r="M1442">
        <v>2</v>
      </c>
      <c r="N1442">
        <v>0</v>
      </c>
      <c r="O1442">
        <v>2</v>
      </c>
      <c r="P1442" t="s">
        <v>1556</v>
      </c>
      <c r="Q1442" t="s">
        <v>1553</v>
      </c>
      <c r="R1442" t="s">
        <v>1550</v>
      </c>
      <c r="S1442" t="s">
        <v>1533</v>
      </c>
      <c r="T1442" t="s">
        <v>1538</v>
      </c>
      <c r="U1442" t="s">
        <v>1548</v>
      </c>
      <c r="V1442" t="s">
        <v>1558</v>
      </c>
      <c r="W1442" t="s">
        <v>1563</v>
      </c>
      <c r="X1442" t="s">
        <v>1576</v>
      </c>
      <c r="Y1442" t="s">
        <v>1584</v>
      </c>
      <c r="Z1442" t="s">
        <v>1592</v>
      </c>
      <c r="AA1442" t="s">
        <v>1598</v>
      </c>
      <c r="AB1442" t="s">
        <v>1601</v>
      </c>
      <c r="AC1442" t="s">
        <v>1610</v>
      </c>
      <c r="AD1442" t="s">
        <v>1605</v>
      </c>
      <c r="AE1442" t="s">
        <v>1619</v>
      </c>
      <c r="AF1442" t="s">
        <v>1627</v>
      </c>
    </row>
    <row r="1443" spans="1:32" x14ac:dyDescent="0.25">
      <c r="A1443" t="s">
        <v>1500</v>
      </c>
      <c r="B1443">
        <v>56</v>
      </c>
      <c r="C1443">
        <v>667</v>
      </c>
      <c r="D1443">
        <v>1</v>
      </c>
      <c r="E1443">
        <v>57</v>
      </c>
      <c r="F1443">
        <v>6306</v>
      </c>
      <c r="G1443">
        <v>26236</v>
      </c>
      <c r="H1443">
        <v>1</v>
      </c>
      <c r="I1443">
        <v>21</v>
      </c>
      <c r="J1443">
        <v>13</v>
      </c>
      <c r="K1443">
        <v>2</v>
      </c>
      <c r="L1443">
        <v>13</v>
      </c>
      <c r="M1443">
        <v>12</v>
      </c>
      <c r="N1443">
        <v>1</v>
      </c>
      <c r="O1443">
        <v>9</v>
      </c>
      <c r="P1443" t="s">
        <v>1556</v>
      </c>
      <c r="Q1443" t="s">
        <v>1554</v>
      </c>
      <c r="R1443" t="s">
        <v>1550</v>
      </c>
      <c r="S1443" t="s">
        <v>1535</v>
      </c>
      <c r="T1443" t="s">
        <v>1538</v>
      </c>
      <c r="U1443" t="s">
        <v>1547</v>
      </c>
      <c r="V1443" t="s">
        <v>1559</v>
      </c>
      <c r="W1443" t="s">
        <v>1563</v>
      </c>
      <c r="X1443" t="s">
        <v>1576</v>
      </c>
      <c r="Y1443" t="s">
        <v>1585</v>
      </c>
      <c r="Z1443" t="s">
        <v>1593</v>
      </c>
      <c r="AA1443" t="s">
        <v>1598</v>
      </c>
      <c r="AB1443" t="s">
        <v>1601</v>
      </c>
      <c r="AC1443" t="s">
        <v>1611</v>
      </c>
      <c r="AD1443" t="s">
        <v>1604</v>
      </c>
      <c r="AE1443" t="s">
        <v>1617</v>
      </c>
      <c r="AF1443" t="s">
        <v>1626</v>
      </c>
    </row>
    <row r="1444" spans="1:32" x14ac:dyDescent="0.25">
      <c r="A1444" t="s">
        <v>1501</v>
      </c>
      <c r="B1444">
        <v>29</v>
      </c>
      <c r="C1444">
        <v>1092</v>
      </c>
      <c r="D1444">
        <v>1</v>
      </c>
      <c r="E1444">
        <v>36</v>
      </c>
      <c r="F1444">
        <v>4787</v>
      </c>
      <c r="G1444">
        <v>26124</v>
      </c>
      <c r="H1444">
        <v>9</v>
      </c>
      <c r="I1444">
        <v>14</v>
      </c>
      <c r="J1444">
        <v>4</v>
      </c>
      <c r="K1444">
        <v>3</v>
      </c>
      <c r="L1444">
        <v>2</v>
      </c>
      <c r="M1444">
        <v>2</v>
      </c>
      <c r="N1444">
        <v>2</v>
      </c>
      <c r="O1444">
        <v>2</v>
      </c>
      <c r="P1444" t="s">
        <v>1555</v>
      </c>
      <c r="Q1444" t="s">
        <v>1552</v>
      </c>
      <c r="R1444" t="s">
        <v>1550</v>
      </c>
      <c r="S1444" t="s">
        <v>1535</v>
      </c>
      <c r="T1444" t="s">
        <v>1540</v>
      </c>
      <c r="U1444" t="s">
        <v>1545</v>
      </c>
      <c r="V1444" t="s">
        <v>1559</v>
      </c>
      <c r="W1444" t="s">
        <v>1563</v>
      </c>
      <c r="X1444" t="s">
        <v>1575</v>
      </c>
      <c r="Y1444" t="s">
        <v>1582</v>
      </c>
      <c r="Z1444" t="s">
        <v>1594</v>
      </c>
      <c r="AA1444" t="s">
        <v>1597</v>
      </c>
      <c r="AB1444" t="s">
        <v>1600</v>
      </c>
      <c r="AC1444" t="s">
        <v>1610</v>
      </c>
      <c r="AD1444" t="s">
        <v>1605</v>
      </c>
      <c r="AE1444" t="s">
        <v>1619</v>
      </c>
      <c r="AF1444" t="s">
        <v>1628</v>
      </c>
    </row>
    <row r="1445" spans="1:32" x14ac:dyDescent="0.25">
      <c r="A1445" t="s">
        <v>1502</v>
      </c>
      <c r="B1445">
        <v>42</v>
      </c>
      <c r="C1445">
        <v>300</v>
      </c>
      <c r="D1445">
        <v>2</v>
      </c>
      <c r="E1445">
        <v>56</v>
      </c>
      <c r="F1445">
        <v>18880</v>
      </c>
      <c r="G1445">
        <v>17312</v>
      </c>
      <c r="H1445">
        <v>5</v>
      </c>
      <c r="I1445">
        <v>11</v>
      </c>
      <c r="J1445">
        <v>24</v>
      </c>
      <c r="K1445">
        <v>2</v>
      </c>
      <c r="L1445">
        <v>22</v>
      </c>
      <c r="M1445">
        <v>6</v>
      </c>
      <c r="N1445">
        <v>4</v>
      </c>
      <c r="O1445">
        <v>14</v>
      </c>
      <c r="P1445" t="s">
        <v>1556</v>
      </c>
      <c r="Q1445" t="s">
        <v>1552</v>
      </c>
      <c r="R1445" t="s">
        <v>1550</v>
      </c>
      <c r="S1445" t="s">
        <v>1534</v>
      </c>
      <c r="T1445" t="s">
        <v>1538</v>
      </c>
      <c r="U1445" t="s">
        <v>1545</v>
      </c>
      <c r="V1445" t="s">
        <v>1559</v>
      </c>
      <c r="W1445" t="s">
        <v>1563</v>
      </c>
      <c r="X1445" t="s">
        <v>1579</v>
      </c>
      <c r="Y1445" t="s">
        <v>1586</v>
      </c>
      <c r="Z1445" t="s">
        <v>1593</v>
      </c>
      <c r="AA1445" t="s">
        <v>1597</v>
      </c>
      <c r="AB1445" t="s">
        <v>1601</v>
      </c>
      <c r="AC1445" t="s">
        <v>1610</v>
      </c>
      <c r="AD1445" t="s">
        <v>1604</v>
      </c>
      <c r="AE1445" t="s">
        <v>1616</v>
      </c>
      <c r="AF1445" t="s">
        <v>1626</v>
      </c>
    </row>
    <row r="1446" spans="1:32" x14ac:dyDescent="0.25">
      <c r="A1446" t="s">
        <v>1503</v>
      </c>
      <c r="B1446">
        <v>56</v>
      </c>
      <c r="C1446">
        <v>310</v>
      </c>
      <c r="D1446">
        <v>7</v>
      </c>
      <c r="E1446">
        <v>72</v>
      </c>
      <c r="F1446">
        <v>2339</v>
      </c>
      <c r="G1446">
        <v>3666</v>
      </c>
      <c r="H1446">
        <v>8</v>
      </c>
      <c r="I1446">
        <v>11</v>
      </c>
      <c r="J1446">
        <v>14</v>
      </c>
      <c r="K1446">
        <v>4</v>
      </c>
      <c r="L1446">
        <v>10</v>
      </c>
      <c r="M1446">
        <v>9</v>
      </c>
      <c r="N1446">
        <v>9</v>
      </c>
      <c r="O1446">
        <v>8</v>
      </c>
      <c r="P1446" t="s">
        <v>1555</v>
      </c>
      <c r="Q1446" t="s">
        <v>1552</v>
      </c>
      <c r="R1446" t="s">
        <v>1550</v>
      </c>
      <c r="S1446" t="s">
        <v>1533</v>
      </c>
      <c r="T1446" t="s">
        <v>1542</v>
      </c>
      <c r="U1446" t="s">
        <v>1548</v>
      </c>
      <c r="V1446" t="s">
        <v>1559</v>
      </c>
      <c r="W1446" t="s">
        <v>1563</v>
      </c>
      <c r="X1446" t="s">
        <v>1575</v>
      </c>
      <c r="Y1446" t="s">
        <v>1583</v>
      </c>
      <c r="Z1446" t="s">
        <v>1593</v>
      </c>
      <c r="AA1446" t="s">
        <v>1597</v>
      </c>
      <c r="AB1446" t="s">
        <v>1601</v>
      </c>
      <c r="AC1446" t="s">
        <v>1610</v>
      </c>
      <c r="AD1446" t="s">
        <v>1607</v>
      </c>
      <c r="AE1446" t="s">
        <v>1617</v>
      </c>
      <c r="AF1446" t="s">
        <v>1625</v>
      </c>
    </row>
    <row r="1447" spans="1:32" x14ac:dyDescent="0.25">
      <c r="A1447" t="s">
        <v>1504</v>
      </c>
      <c r="B1447">
        <v>41</v>
      </c>
      <c r="C1447">
        <v>582</v>
      </c>
      <c r="D1447">
        <v>28</v>
      </c>
      <c r="E1447">
        <v>60</v>
      </c>
      <c r="F1447">
        <v>13570</v>
      </c>
      <c r="G1447">
        <v>5640</v>
      </c>
      <c r="H1447">
        <v>0</v>
      </c>
      <c r="I1447">
        <v>23</v>
      </c>
      <c r="J1447">
        <v>21</v>
      </c>
      <c r="K1447">
        <v>3</v>
      </c>
      <c r="L1447">
        <v>20</v>
      </c>
      <c r="M1447">
        <v>7</v>
      </c>
      <c r="N1447">
        <v>0</v>
      </c>
      <c r="O1447">
        <v>10</v>
      </c>
      <c r="P1447" t="s">
        <v>1556</v>
      </c>
      <c r="Q1447" t="s">
        <v>1552</v>
      </c>
      <c r="R1447" t="s">
        <v>1550</v>
      </c>
      <c r="S1447" t="s">
        <v>1535</v>
      </c>
      <c r="T1447" t="s">
        <v>1538</v>
      </c>
      <c r="U1447" t="s">
        <v>1545</v>
      </c>
      <c r="V1447" t="s">
        <v>1558</v>
      </c>
      <c r="W1447" t="s">
        <v>1562</v>
      </c>
      <c r="X1447" t="s">
        <v>1578</v>
      </c>
      <c r="Y1447" t="s">
        <v>1584</v>
      </c>
      <c r="Z1447" t="s">
        <v>1592</v>
      </c>
      <c r="AA1447" t="s">
        <v>1597</v>
      </c>
      <c r="AB1447" t="s">
        <v>1601</v>
      </c>
      <c r="AC1447" t="s">
        <v>1611</v>
      </c>
      <c r="AD1447" t="s">
        <v>1606</v>
      </c>
      <c r="AE1447" t="s">
        <v>1617</v>
      </c>
      <c r="AF1447" t="s">
        <v>1627</v>
      </c>
    </row>
    <row r="1448" spans="1:32" x14ac:dyDescent="0.25">
      <c r="A1448" t="s">
        <v>1505</v>
      </c>
      <c r="B1448">
        <v>34</v>
      </c>
      <c r="C1448">
        <v>704</v>
      </c>
      <c r="D1448">
        <v>28</v>
      </c>
      <c r="E1448">
        <v>95</v>
      </c>
      <c r="F1448">
        <v>6712</v>
      </c>
      <c r="G1448">
        <v>8978</v>
      </c>
      <c r="H1448">
        <v>1</v>
      </c>
      <c r="I1448">
        <v>21</v>
      </c>
      <c r="J1448">
        <v>8</v>
      </c>
      <c r="K1448">
        <v>2</v>
      </c>
      <c r="L1448">
        <v>8</v>
      </c>
      <c r="M1448">
        <v>7</v>
      </c>
      <c r="N1448">
        <v>1</v>
      </c>
      <c r="O1448">
        <v>7</v>
      </c>
      <c r="P1448" t="s">
        <v>1556</v>
      </c>
      <c r="Q1448" t="s">
        <v>1552</v>
      </c>
      <c r="R1448" t="s">
        <v>1549</v>
      </c>
      <c r="S1448" t="s">
        <v>1534</v>
      </c>
      <c r="T1448" t="s">
        <v>1541</v>
      </c>
      <c r="U1448" t="s">
        <v>1548</v>
      </c>
      <c r="V1448" t="s">
        <v>1558</v>
      </c>
      <c r="W1448" t="s">
        <v>1562</v>
      </c>
      <c r="X1448" t="s">
        <v>1576</v>
      </c>
      <c r="Y1448" t="s">
        <v>1581</v>
      </c>
      <c r="Z1448" t="s">
        <v>1593</v>
      </c>
      <c r="AA1448" t="s">
        <v>1597</v>
      </c>
      <c r="AB1448" t="s">
        <v>1601</v>
      </c>
      <c r="AC1448" t="s">
        <v>1611</v>
      </c>
      <c r="AD1448" t="s">
        <v>1607</v>
      </c>
      <c r="AE1448" t="s">
        <v>1618</v>
      </c>
      <c r="AF1448" t="s">
        <v>1627</v>
      </c>
    </row>
    <row r="1449" spans="1:32" x14ac:dyDescent="0.25">
      <c r="A1449" t="s">
        <v>1506</v>
      </c>
      <c r="B1449">
        <v>36</v>
      </c>
      <c r="C1449">
        <v>301</v>
      </c>
      <c r="D1449">
        <v>15</v>
      </c>
      <c r="E1449">
        <v>88</v>
      </c>
      <c r="F1449">
        <v>5406</v>
      </c>
      <c r="G1449">
        <v>10436</v>
      </c>
      <c r="H1449">
        <v>1</v>
      </c>
      <c r="I1449">
        <v>24</v>
      </c>
      <c r="J1449">
        <v>15</v>
      </c>
      <c r="K1449">
        <v>4</v>
      </c>
      <c r="L1449">
        <v>15</v>
      </c>
      <c r="M1449">
        <v>12</v>
      </c>
      <c r="N1449">
        <v>11</v>
      </c>
      <c r="O1449">
        <v>11</v>
      </c>
      <c r="P1449" t="s">
        <v>1556</v>
      </c>
      <c r="Q1449" t="s">
        <v>1554</v>
      </c>
      <c r="R1449" t="s">
        <v>1549</v>
      </c>
      <c r="S1449" t="s">
        <v>1535</v>
      </c>
      <c r="T1449" t="s">
        <v>1541</v>
      </c>
      <c r="U1449" t="s">
        <v>1548</v>
      </c>
      <c r="V1449" t="s">
        <v>1559</v>
      </c>
      <c r="W1449" t="s">
        <v>1561</v>
      </c>
      <c r="X1449" t="s">
        <v>1576</v>
      </c>
      <c r="Y1449" t="s">
        <v>1581</v>
      </c>
      <c r="Z1449" t="s">
        <v>1594</v>
      </c>
      <c r="AA1449" t="s">
        <v>1598</v>
      </c>
      <c r="AB1449" t="s">
        <v>1601</v>
      </c>
      <c r="AC1449" t="s">
        <v>1611</v>
      </c>
      <c r="AD1449" t="s">
        <v>1604</v>
      </c>
      <c r="AE1449" t="s">
        <v>1617</v>
      </c>
      <c r="AF1449" t="s">
        <v>1626</v>
      </c>
    </row>
    <row r="1450" spans="1:32" x14ac:dyDescent="0.25">
      <c r="A1450" t="s">
        <v>1507</v>
      </c>
      <c r="B1450">
        <v>41</v>
      </c>
      <c r="C1450">
        <v>930</v>
      </c>
      <c r="D1450">
        <v>3</v>
      </c>
      <c r="E1450">
        <v>57</v>
      </c>
      <c r="F1450">
        <v>8938</v>
      </c>
      <c r="G1450">
        <v>12227</v>
      </c>
      <c r="H1450">
        <v>2</v>
      </c>
      <c r="I1450">
        <v>11</v>
      </c>
      <c r="J1450">
        <v>14</v>
      </c>
      <c r="K1450">
        <v>5</v>
      </c>
      <c r="L1450">
        <v>5</v>
      </c>
      <c r="M1450">
        <v>4</v>
      </c>
      <c r="N1450">
        <v>0</v>
      </c>
      <c r="O1450">
        <v>4</v>
      </c>
      <c r="P1450" t="s">
        <v>1556</v>
      </c>
      <c r="Q1450" t="s">
        <v>1552</v>
      </c>
      <c r="R1450" t="s">
        <v>1549</v>
      </c>
      <c r="S1450" t="s">
        <v>1534</v>
      </c>
      <c r="T1450" t="s">
        <v>1538</v>
      </c>
      <c r="U1450" t="s">
        <v>1547</v>
      </c>
      <c r="V1450" t="s">
        <v>1559</v>
      </c>
      <c r="W1450" t="s">
        <v>1562</v>
      </c>
      <c r="X1450" t="s">
        <v>1576</v>
      </c>
      <c r="Y1450" t="s">
        <v>1581</v>
      </c>
      <c r="Z1450" t="s">
        <v>1592</v>
      </c>
      <c r="AA1450" t="s">
        <v>1598</v>
      </c>
      <c r="AB1450" t="s">
        <v>1601</v>
      </c>
      <c r="AC1450" t="s">
        <v>1610</v>
      </c>
      <c r="AD1450" t="s">
        <v>1606</v>
      </c>
      <c r="AE1450" t="s">
        <v>1617</v>
      </c>
      <c r="AF1450" t="s">
        <v>1627</v>
      </c>
    </row>
    <row r="1451" spans="1:32" x14ac:dyDescent="0.25">
      <c r="A1451" t="s">
        <v>1508</v>
      </c>
      <c r="B1451">
        <v>32</v>
      </c>
      <c r="C1451">
        <v>529</v>
      </c>
      <c r="D1451">
        <v>2</v>
      </c>
      <c r="E1451">
        <v>78</v>
      </c>
      <c r="F1451">
        <v>2439</v>
      </c>
      <c r="G1451">
        <v>11288</v>
      </c>
      <c r="H1451">
        <v>1</v>
      </c>
      <c r="I1451">
        <v>14</v>
      </c>
      <c r="J1451">
        <v>4</v>
      </c>
      <c r="K1451">
        <v>4</v>
      </c>
      <c r="L1451">
        <v>4</v>
      </c>
      <c r="M1451">
        <v>2</v>
      </c>
      <c r="N1451">
        <v>1</v>
      </c>
      <c r="O1451">
        <v>2</v>
      </c>
      <c r="P1451" t="s">
        <v>1556</v>
      </c>
      <c r="Q1451" t="s">
        <v>1552</v>
      </c>
      <c r="R1451" t="s">
        <v>1550</v>
      </c>
      <c r="S1451" t="s">
        <v>1534</v>
      </c>
      <c r="T1451" t="s">
        <v>1542</v>
      </c>
      <c r="U1451" t="s">
        <v>1548</v>
      </c>
      <c r="V1451" t="s">
        <v>1559</v>
      </c>
      <c r="W1451" t="s">
        <v>1563</v>
      </c>
      <c r="X1451" t="s">
        <v>1575</v>
      </c>
      <c r="Y1451" t="s">
        <v>1582</v>
      </c>
      <c r="Z1451" t="s">
        <v>1591</v>
      </c>
      <c r="AA1451" t="s">
        <v>1596</v>
      </c>
      <c r="AB1451" t="s">
        <v>1601</v>
      </c>
      <c r="AC1451" t="s">
        <v>1610</v>
      </c>
      <c r="AD1451" t="s">
        <v>1607</v>
      </c>
      <c r="AE1451" t="s">
        <v>1616</v>
      </c>
      <c r="AF1451" t="s">
        <v>1627</v>
      </c>
    </row>
    <row r="1452" spans="1:32" x14ac:dyDescent="0.25">
      <c r="A1452" t="s">
        <v>1509</v>
      </c>
      <c r="B1452">
        <v>35</v>
      </c>
      <c r="C1452">
        <v>1146</v>
      </c>
      <c r="D1452">
        <v>26</v>
      </c>
      <c r="E1452">
        <v>31</v>
      </c>
      <c r="F1452">
        <v>8837</v>
      </c>
      <c r="G1452">
        <v>16642</v>
      </c>
      <c r="H1452">
        <v>1</v>
      </c>
      <c r="I1452">
        <v>16</v>
      </c>
      <c r="J1452">
        <v>9</v>
      </c>
      <c r="K1452">
        <v>2</v>
      </c>
      <c r="L1452">
        <v>9</v>
      </c>
      <c r="M1452">
        <v>0</v>
      </c>
      <c r="N1452">
        <v>1</v>
      </c>
      <c r="O1452">
        <v>7</v>
      </c>
      <c r="P1452" t="s">
        <v>1556</v>
      </c>
      <c r="Q1452" t="s">
        <v>1552</v>
      </c>
      <c r="R1452" t="s">
        <v>1551</v>
      </c>
      <c r="S1452" t="s">
        <v>1535</v>
      </c>
      <c r="T1452" t="s">
        <v>1538</v>
      </c>
      <c r="U1452" t="s">
        <v>1547</v>
      </c>
      <c r="V1452" t="s">
        <v>1558</v>
      </c>
      <c r="W1452" t="s">
        <v>1563</v>
      </c>
      <c r="X1452" t="s">
        <v>1577</v>
      </c>
      <c r="Y1452" t="s">
        <v>1589</v>
      </c>
      <c r="Z1452" t="s">
        <v>1594</v>
      </c>
      <c r="AA1452" t="s">
        <v>1596</v>
      </c>
      <c r="AB1452" t="s">
        <v>1600</v>
      </c>
      <c r="AC1452" t="s">
        <v>1610</v>
      </c>
      <c r="AD1452" t="s">
        <v>1606</v>
      </c>
      <c r="AE1452" t="s">
        <v>1616</v>
      </c>
      <c r="AF1452" t="s">
        <v>1627</v>
      </c>
    </row>
    <row r="1453" spans="1:32" x14ac:dyDescent="0.25">
      <c r="A1453" t="s">
        <v>1510</v>
      </c>
      <c r="B1453">
        <v>38</v>
      </c>
      <c r="C1453">
        <v>345</v>
      </c>
      <c r="D1453">
        <v>10</v>
      </c>
      <c r="E1453">
        <v>100</v>
      </c>
      <c r="F1453">
        <v>5343</v>
      </c>
      <c r="G1453">
        <v>5982</v>
      </c>
      <c r="H1453">
        <v>1</v>
      </c>
      <c r="I1453">
        <v>11</v>
      </c>
      <c r="J1453">
        <v>10</v>
      </c>
      <c r="K1453">
        <v>1</v>
      </c>
      <c r="L1453">
        <v>10</v>
      </c>
      <c r="M1453">
        <v>7</v>
      </c>
      <c r="N1453">
        <v>1</v>
      </c>
      <c r="O1453">
        <v>9</v>
      </c>
      <c r="P1453" t="s">
        <v>1556</v>
      </c>
      <c r="Q1453" t="s">
        <v>1552</v>
      </c>
      <c r="R1453" t="s">
        <v>1549</v>
      </c>
      <c r="S1453" t="s">
        <v>1533</v>
      </c>
      <c r="T1453" t="s">
        <v>1538</v>
      </c>
      <c r="U1453" t="s">
        <v>1545</v>
      </c>
      <c r="V1453" t="s">
        <v>1558</v>
      </c>
      <c r="W1453" t="s">
        <v>1563</v>
      </c>
      <c r="X1453" t="s">
        <v>1576</v>
      </c>
      <c r="Y1453" t="s">
        <v>1581</v>
      </c>
      <c r="Z1453" t="s">
        <v>1594</v>
      </c>
      <c r="AA1453" t="s">
        <v>1597</v>
      </c>
      <c r="AB1453" t="s">
        <v>1601</v>
      </c>
      <c r="AC1453" t="s">
        <v>1610</v>
      </c>
      <c r="AD1453" t="s">
        <v>1606</v>
      </c>
      <c r="AE1453" t="s">
        <v>1617</v>
      </c>
      <c r="AF1453" t="s">
        <v>1627</v>
      </c>
    </row>
    <row r="1454" spans="1:32" x14ac:dyDescent="0.25">
      <c r="A1454" t="s">
        <v>1511</v>
      </c>
      <c r="B1454">
        <v>50</v>
      </c>
      <c r="C1454">
        <v>878</v>
      </c>
      <c r="D1454">
        <v>1</v>
      </c>
      <c r="E1454">
        <v>94</v>
      </c>
      <c r="F1454">
        <v>6728</v>
      </c>
      <c r="G1454">
        <v>14255</v>
      </c>
      <c r="H1454">
        <v>7</v>
      </c>
      <c r="I1454">
        <v>12</v>
      </c>
      <c r="J1454">
        <v>12</v>
      </c>
      <c r="K1454">
        <v>3</v>
      </c>
      <c r="L1454">
        <v>6</v>
      </c>
      <c r="M1454">
        <v>3</v>
      </c>
      <c r="N1454">
        <v>0</v>
      </c>
      <c r="O1454">
        <v>1</v>
      </c>
      <c r="P1454" t="s">
        <v>1555</v>
      </c>
      <c r="Q1454" t="s">
        <v>1553</v>
      </c>
      <c r="R1454" t="s">
        <v>1549</v>
      </c>
      <c r="S1454" t="s">
        <v>1535</v>
      </c>
      <c r="T1454" t="s">
        <v>1538</v>
      </c>
      <c r="U1454" t="s">
        <v>1546</v>
      </c>
      <c r="V1454" t="s">
        <v>1559</v>
      </c>
      <c r="W1454" t="s">
        <v>1563</v>
      </c>
      <c r="X1454" t="s">
        <v>1576</v>
      </c>
      <c r="Y1454" t="s">
        <v>1581</v>
      </c>
      <c r="Z1454" t="s">
        <v>1593</v>
      </c>
      <c r="AA1454" t="s">
        <v>1598</v>
      </c>
      <c r="AB1454" t="s">
        <v>1601</v>
      </c>
      <c r="AC1454" t="s">
        <v>1610</v>
      </c>
      <c r="AD1454" t="s">
        <v>1607</v>
      </c>
      <c r="AE1454" t="s">
        <v>1618</v>
      </c>
      <c r="AF1454" t="s">
        <v>1627</v>
      </c>
    </row>
    <row r="1455" spans="1:32" x14ac:dyDescent="0.25">
      <c r="A1455" t="s">
        <v>1512</v>
      </c>
      <c r="B1455">
        <v>36</v>
      </c>
      <c r="C1455">
        <v>1120</v>
      </c>
      <c r="D1455">
        <v>11</v>
      </c>
      <c r="E1455">
        <v>100</v>
      </c>
      <c r="F1455">
        <v>6652</v>
      </c>
      <c r="G1455">
        <v>14369</v>
      </c>
      <c r="H1455">
        <v>4</v>
      </c>
      <c r="I1455">
        <v>13</v>
      </c>
      <c r="J1455">
        <v>8</v>
      </c>
      <c r="K1455">
        <v>2</v>
      </c>
      <c r="L1455">
        <v>6</v>
      </c>
      <c r="M1455">
        <v>3</v>
      </c>
      <c r="N1455">
        <v>0</v>
      </c>
      <c r="O1455">
        <v>0</v>
      </c>
      <c r="P1455" t="s">
        <v>1556</v>
      </c>
      <c r="Q1455" t="s">
        <v>1552</v>
      </c>
      <c r="R1455" t="s">
        <v>1549</v>
      </c>
      <c r="S1455" t="s">
        <v>1535</v>
      </c>
      <c r="T1455" t="s">
        <v>1541</v>
      </c>
      <c r="U1455" t="s">
        <v>1546</v>
      </c>
      <c r="V1455" t="s">
        <v>1558</v>
      </c>
      <c r="W1455" t="s">
        <v>1562</v>
      </c>
      <c r="X1455" t="s">
        <v>1576</v>
      </c>
      <c r="Y1455" t="s">
        <v>1581</v>
      </c>
      <c r="Z1455" t="s">
        <v>1594</v>
      </c>
      <c r="AA1455" t="s">
        <v>1597</v>
      </c>
      <c r="AB1455" t="s">
        <v>1601</v>
      </c>
      <c r="AC1455" t="s">
        <v>1610</v>
      </c>
      <c r="AD1455" t="s">
        <v>1604</v>
      </c>
      <c r="AE1455" t="s">
        <v>1617</v>
      </c>
      <c r="AF1455" t="s">
        <v>1626</v>
      </c>
    </row>
    <row r="1456" spans="1:32" x14ac:dyDescent="0.25">
      <c r="A1456" t="s">
        <v>1513</v>
      </c>
      <c r="B1456">
        <v>45</v>
      </c>
      <c r="C1456">
        <v>374</v>
      </c>
      <c r="D1456">
        <v>20</v>
      </c>
      <c r="E1456">
        <v>50</v>
      </c>
      <c r="F1456">
        <v>4850</v>
      </c>
      <c r="G1456">
        <v>23333</v>
      </c>
      <c r="H1456">
        <v>8</v>
      </c>
      <c r="I1456">
        <v>15</v>
      </c>
      <c r="J1456">
        <v>8</v>
      </c>
      <c r="K1456">
        <v>3</v>
      </c>
      <c r="L1456">
        <v>5</v>
      </c>
      <c r="M1456">
        <v>3</v>
      </c>
      <c r="N1456">
        <v>0</v>
      </c>
      <c r="O1456">
        <v>1</v>
      </c>
      <c r="P1456" t="s">
        <v>1556</v>
      </c>
      <c r="Q1456" t="s">
        <v>1552</v>
      </c>
      <c r="R1456" t="s">
        <v>1549</v>
      </c>
      <c r="S1456" t="s">
        <v>1534</v>
      </c>
      <c r="T1456" t="s">
        <v>1538</v>
      </c>
      <c r="U1456" t="s">
        <v>1548</v>
      </c>
      <c r="V1456" t="s">
        <v>1558</v>
      </c>
      <c r="W1456" t="s">
        <v>1563</v>
      </c>
      <c r="X1456" t="s">
        <v>1576</v>
      </c>
      <c r="Y1456" t="s">
        <v>1581</v>
      </c>
      <c r="Z1456" t="s">
        <v>1593</v>
      </c>
      <c r="AA1456" t="s">
        <v>1596</v>
      </c>
      <c r="AB1456" t="s">
        <v>1601</v>
      </c>
      <c r="AC1456" t="s">
        <v>1610</v>
      </c>
      <c r="AD1456" t="s">
        <v>1606</v>
      </c>
      <c r="AE1456" t="s">
        <v>1616</v>
      </c>
      <c r="AF1456" t="s">
        <v>1627</v>
      </c>
    </row>
    <row r="1457" spans="1:32" x14ac:dyDescent="0.25">
      <c r="A1457" t="s">
        <v>1514</v>
      </c>
      <c r="B1457">
        <v>40</v>
      </c>
      <c r="C1457">
        <v>1322</v>
      </c>
      <c r="D1457">
        <v>2</v>
      </c>
      <c r="E1457">
        <v>52</v>
      </c>
      <c r="F1457">
        <v>2809</v>
      </c>
      <c r="G1457">
        <v>2725</v>
      </c>
      <c r="H1457">
        <v>2</v>
      </c>
      <c r="I1457">
        <v>14</v>
      </c>
      <c r="J1457">
        <v>8</v>
      </c>
      <c r="K1457">
        <v>2</v>
      </c>
      <c r="L1457">
        <v>2</v>
      </c>
      <c r="M1457">
        <v>2</v>
      </c>
      <c r="N1457">
        <v>2</v>
      </c>
      <c r="O1457">
        <v>2</v>
      </c>
      <c r="P1457" t="s">
        <v>1556</v>
      </c>
      <c r="Q1457" t="s">
        <v>1552</v>
      </c>
      <c r="R1457" t="s">
        <v>1550</v>
      </c>
      <c r="S1457" t="s">
        <v>1535</v>
      </c>
      <c r="T1457" t="s">
        <v>1538</v>
      </c>
      <c r="U1457" t="s">
        <v>1547</v>
      </c>
      <c r="V1457" t="s">
        <v>1559</v>
      </c>
      <c r="W1457" t="s">
        <v>1562</v>
      </c>
      <c r="X1457" t="s">
        <v>1575</v>
      </c>
      <c r="Y1457" t="s">
        <v>1582</v>
      </c>
      <c r="Z1457" t="s">
        <v>1593</v>
      </c>
      <c r="AA1457" t="s">
        <v>1596</v>
      </c>
      <c r="AB1457" t="s">
        <v>1601</v>
      </c>
      <c r="AC1457" t="s">
        <v>1610</v>
      </c>
      <c r="AD1457" t="s">
        <v>1607</v>
      </c>
      <c r="AE1457" t="s">
        <v>1616</v>
      </c>
      <c r="AF1457" t="s">
        <v>1627</v>
      </c>
    </row>
    <row r="1458" spans="1:32" x14ac:dyDescent="0.25">
      <c r="A1458" t="s">
        <v>1515</v>
      </c>
      <c r="B1458">
        <v>35</v>
      </c>
      <c r="C1458">
        <v>1199</v>
      </c>
      <c r="D1458">
        <v>18</v>
      </c>
      <c r="E1458">
        <v>80</v>
      </c>
      <c r="F1458">
        <v>5689</v>
      </c>
      <c r="G1458">
        <v>24594</v>
      </c>
      <c r="H1458">
        <v>1</v>
      </c>
      <c r="I1458">
        <v>14</v>
      </c>
      <c r="J1458">
        <v>10</v>
      </c>
      <c r="K1458">
        <v>2</v>
      </c>
      <c r="L1458">
        <v>10</v>
      </c>
      <c r="M1458">
        <v>2</v>
      </c>
      <c r="N1458">
        <v>0</v>
      </c>
      <c r="O1458">
        <v>2</v>
      </c>
      <c r="P1458" t="s">
        <v>1556</v>
      </c>
      <c r="Q1458" t="s">
        <v>1553</v>
      </c>
      <c r="R1458" t="s">
        <v>1550</v>
      </c>
      <c r="S1458" t="s">
        <v>1535</v>
      </c>
      <c r="T1458" t="s">
        <v>1538</v>
      </c>
      <c r="U1458" t="s">
        <v>1547</v>
      </c>
      <c r="V1458" t="s">
        <v>1559</v>
      </c>
      <c r="W1458" t="s">
        <v>1563</v>
      </c>
      <c r="X1458" t="s">
        <v>1576</v>
      </c>
      <c r="Y1458" t="s">
        <v>1585</v>
      </c>
      <c r="Z1458" t="s">
        <v>1593</v>
      </c>
      <c r="AA1458" t="s">
        <v>1597</v>
      </c>
      <c r="AB1458" t="s">
        <v>1600</v>
      </c>
      <c r="AC1458" t="s">
        <v>1610</v>
      </c>
      <c r="AD1458" t="s">
        <v>1607</v>
      </c>
      <c r="AE1458" t="s">
        <v>1618</v>
      </c>
      <c r="AF1458" t="s">
        <v>1628</v>
      </c>
    </row>
    <row r="1459" spans="1:32" x14ac:dyDescent="0.25">
      <c r="A1459" t="s">
        <v>1516</v>
      </c>
      <c r="B1459">
        <v>40</v>
      </c>
      <c r="C1459">
        <v>1194</v>
      </c>
      <c r="D1459">
        <v>2</v>
      </c>
      <c r="E1459">
        <v>98</v>
      </c>
      <c r="F1459">
        <v>2001</v>
      </c>
      <c r="G1459">
        <v>12549</v>
      </c>
      <c r="H1459">
        <v>2</v>
      </c>
      <c r="I1459">
        <v>14</v>
      </c>
      <c r="J1459">
        <v>20</v>
      </c>
      <c r="K1459">
        <v>2</v>
      </c>
      <c r="L1459">
        <v>5</v>
      </c>
      <c r="M1459">
        <v>3</v>
      </c>
      <c r="N1459">
        <v>0</v>
      </c>
      <c r="O1459">
        <v>2</v>
      </c>
      <c r="P1459" t="s">
        <v>1556</v>
      </c>
      <c r="Q1459" t="s">
        <v>1552</v>
      </c>
      <c r="R1459" t="s">
        <v>1550</v>
      </c>
      <c r="S1459" t="s">
        <v>1535</v>
      </c>
      <c r="T1459" t="s">
        <v>1540</v>
      </c>
      <c r="U1459" t="s">
        <v>1547</v>
      </c>
      <c r="V1459" t="s">
        <v>1558</v>
      </c>
      <c r="W1459" t="s">
        <v>1563</v>
      </c>
      <c r="X1459" t="s">
        <v>1575</v>
      </c>
      <c r="Y1459" t="s">
        <v>1582</v>
      </c>
      <c r="Z1459" t="s">
        <v>1593</v>
      </c>
      <c r="AA1459" t="s">
        <v>1597</v>
      </c>
      <c r="AB1459" t="s">
        <v>1601</v>
      </c>
      <c r="AC1459" t="s">
        <v>1610</v>
      </c>
      <c r="AD1459" t="s">
        <v>1605</v>
      </c>
      <c r="AE1459" t="s">
        <v>1619</v>
      </c>
      <c r="AF1459" t="s">
        <v>1627</v>
      </c>
    </row>
    <row r="1460" spans="1:32" x14ac:dyDescent="0.25">
      <c r="A1460" t="s">
        <v>1517</v>
      </c>
      <c r="B1460">
        <v>35</v>
      </c>
      <c r="C1460">
        <v>287</v>
      </c>
      <c r="D1460">
        <v>1</v>
      </c>
      <c r="E1460">
        <v>62</v>
      </c>
      <c r="F1460">
        <v>2977</v>
      </c>
      <c r="G1460">
        <v>8952</v>
      </c>
      <c r="H1460">
        <v>1</v>
      </c>
      <c r="I1460">
        <v>12</v>
      </c>
      <c r="J1460">
        <v>4</v>
      </c>
      <c r="K1460">
        <v>5</v>
      </c>
      <c r="L1460">
        <v>4</v>
      </c>
      <c r="M1460">
        <v>3</v>
      </c>
      <c r="N1460">
        <v>1</v>
      </c>
      <c r="O1460">
        <v>1</v>
      </c>
      <c r="P1460" t="s">
        <v>1556</v>
      </c>
      <c r="Q1460" t="s">
        <v>1552</v>
      </c>
      <c r="R1460" t="s">
        <v>1550</v>
      </c>
      <c r="S1460" t="s">
        <v>1535</v>
      </c>
      <c r="T1460" t="s">
        <v>1538</v>
      </c>
      <c r="U1460" t="s">
        <v>1547</v>
      </c>
      <c r="V1460" t="s">
        <v>1558</v>
      </c>
      <c r="W1460" t="s">
        <v>1561</v>
      </c>
      <c r="X1460" t="s">
        <v>1575</v>
      </c>
      <c r="Y1460" t="s">
        <v>1582</v>
      </c>
      <c r="Z1460" t="s">
        <v>1594</v>
      </c>
      <c r="AA1460" t="s">
        <v>1597</v>
      </c>
      <c r="AB1460" t="s">
        <v>1601</v>
      </c>
      <c r="AC1460" t="s">
        <v>1610</v>
      </c>
      <c r="AD1460" t="s">
        <v>1607</v>
      </c>
      <c r="AE1460" t="s">
        <v>1617</v>
      </c>
      <c r="AF1460" t="s">
        <v>1627</v>
      </c>
    </row>
    <row r="1461" spans="1:32" x14ac:dyDescent="0.25">
      <c r="A1461" t="s">
        <v>1518</v>
      </c>
      <c r="B1461">
        <v>29</v>
      </c>
      <c r="C1461">
        <v>1378</v>
      </c>
      <c r="D1461">
        <v>13</v>
      </c>
      <c r="E1461">
        <v>46</v>
      </c>
      <c r="F1461">
        <v>4025</v>
      </c>
      <c r="G1461">
        <v>23679</v>
      </c>
      <c r="H1461">
        <v>4</v>
      </c>
      <c r="I1461">
        <v>13</v>
      </c>
      <c r="J1461">
        <v>10</v>
      </c>
      <c r="K1461">
        <v>2</v>
      </c>
      <c r="L1461">
        <v>4</v>
      </c>
      <c r="M1461">
        <v>3</v>
      </c>
      <c r="N1461">
        <v>0</v>
      </c>
      <c r="O1461">
        <v>3</v>
      </c>
      <c r="P1461" t="s">
        <v>1556</v>
      </c>
      <c r="Q1461" t="s">
        <v>1552</v>
      </c>
      <c r="R1461" t="s">
        <v>1550</v>
      </c>
      <c r="S1461" t="s">
        <v>1533</v>
      </c>
      <c r="T1461" t="s">
        <v>1539</v>
      </c>
      <c r="U1461" t="s">
        <v>1548</v>
      </c>
      <c r="V1461" t="s">
        <v>1559</v>
      </c>
      <c r="W1461" t="s">
        <v>1562</v>
      </c>
      <c r="X1461" t="s">
        <v>1576</v>
      </c>
      <c r="Y1461" t="s">
        <v>1583</v>
      </c>
      <c r="Z1461" t="s">
        <v>1592</v>
      </c>
      <c r="AA1461" t="s">
        <v>1597</v>
      </c>
      <c r="AB1461" t="s">
        <v>1600</v>
      </c>
      <c r="AC1461" t="s">
        <v>1610</v>
      </c>
      <c r="AD1461" t="s">
        <v>1604</v>
      </c>
      <c r="AE1461" t="s">
        <v>1617</v>
      </c>
      <c r="AF1461" t="s">
        <v>1627</v>
      </c>
    </row>
    <row r="1462" spans="1:32" x14ac:dyDescent="0.25">
      <c r="A1462" t="s">
        <v>1519</v>
      </c>
      <c r="B1462">
        <v>29</v>
      </c>
      <c r="C1462">
        <v>468</v>
      </c>
      <c r="D1462">
        <v>28</v>
      </c>
      <c r="E1462">
        <v>73</v>
      </c>
      <c r="F1462">
        <v>3785</v>
      </c>
      <c r="G1462">
        <v>8489</v>
      </c>
      <c r="H1462">
        <v>1</v>
      </c>
      <c r="I1462">
        <v>14</v>
      </c>
      <c r="J1462">
        <v>5</v>
      </c>
      <c r="K1462">
        <v>3</v>
      </c>
      <c r="L1462">
        <v>5</v>
      </c>
      <c r="M1462">
        <v>4</v>
      </c>
      <c r="N1462">
        <v>0</v>
      </c>
      <c r="O1462">
        <v>4</v>
      </c>
      <c r="P1462" t="s">
        <v>1556</v>
      </c>
      <c r="Q1462" t="s">
        <v>1552</v>
      </c>
      <c r="R1462" t="s">
        <v>1550</v>
      </c>
      <c r="S1462" t="s">
        <v>1535</v>
      </c>
      <c r="T1462" t="s">
        <v>1540</v>
      </c>
      <c r="U1462" t="s">
        <v>1548</v>
      </c>
      <c r="V1462" t="s">
        <v>1558</v>
      </c>
      <c r="W1462" t="s">
        <v>1562</v>
      </c>
      <c r="X1462" t="s">
        <v>1575</v>
      </c>
      <c r="Y1462" t="s">
        <v>1582</v>
      </c>
      <c r="Z1462" t="s">
        <v>1591</v>
      </c>
      <c r="AA1462" t="s">
        <v>1596</v>
      </c>
      <c r="AB1462" t="s">
        <v>1601</v>
      </c>
      <c r="AC1462" t="s">
        <v>1610</v>
      </c>
      <c r="AD1462" t="s">
        <v>1605</v>
      </c>
      <c r="AE1462" t="s">
        <v>1616</v>
      </c>
      <c r="AF1462" t="s">
        <v>1625</v>
      </c>
    </row>
    <row r="1463" spans="1:32" x14ac:dyDescent="0.25">
      <c r="A1463" t="s">
        <v>1520</v>
      </c>
      <c r="B1463">
        <v>50</v>
      </c>
      <c r="C1463">
        <v>410</v>
      </c>
      <c r="D1463">
        <v>28</v>
      </c>
      <c r="E1463">
        <v>39</v>
      </c>
      <c r="F1463">
        <v>10854</v>
      </c>
      <c r="G1463">
        <v>16586</v>
      </c>
      <c r="H1463">
        <v>4</v>
      </c>
      <c r="I1463">
        <v>13</v>
      </c>
      <c r="J1463">
        <v>20</v>
      </c>
      <c r="K1463">
        <v>3</v>
      </c>
      <c r="L1463">
        <v>3</v>
      </c>
      <c r="M1463">
        <v>2</v>
      </c>
      <c r="N1463">
        <v>2</v>
      </c>
      <c r="O1463">
        <v>0</v>
      </c>
      <c r="P1463" t="s">
        <v>1555</v>
      </c>
      <c r="Q1463" t="s">
        <v>1552</v>
      </c>
      <c r="R1463" t="s">
        <v>1549</v>
      </c>
      <c r="S1463" t="s">
        <v>1534</v>
      </c>
      <c r="T1463" t="s">
        <v>1541</v>
      </c>
      <c r="U1463" t="s">
        <v>1548</v>
      </c>
      <c r="V1463" t="s">
        <v>1559</v>
      </c>
      <c r="W1463" t="s">
        <v>1562</v>
      </c>
      <c r="X1463" t="s">
        <v>1577</v>
      </c>
      <c r="Y1463" t="s">
        <v>1581</v>
      </c>
      <c r="Z1463" t="s">
        <v>1591</v>
      </c>
      <c r="AA1463" t="s">
        <v>1598</v>
      </c>
      <c r="AB1463" t="s">
        <v>1600</v>
      </c>
      <c r="AC1463" t="s">
        <v>1610</v>
      </c>
      <c r="AD1463" t="s">
        <v>1605</v>
      </c>
      <c r="AE1463" t="s">
        <v>1617</v>
      </c>
      <c r="AF1463" t="s">
        <v>1627</v>
      </c>
    </row>
    <row r="1464" spans="1:32" x14ac:dyDescent="0.25">
      <c r="A1464" t="s">
        <v>1521</v>
      </c>
      <c r="B1464">
        <v>39</v>
      </c>
      <c r="C1464">
        <v>722</v>
      </c>
      <c r="D1464">
        <v>24</v>
      </c>
      <c r="E1464">
        <v>60</v>
      </c>
      <c r="F1464">
        <v>12031</v>
      </c>
      <c r="G1464">
        <v>8828</v>
      </c>
      <c r="H1464">
        <v>0</v>
      </c>
      <c r="I1464">
        <v>11</v>
      </c>
      <c r="J1464">
        <v>21</v>
      </c>
      <c r="K1464">
        <v>2</v>
      </c>
      <c r="L1464">
        <v>20</v>
      </c>
      <c r="M1464">
        <v>9</v>
      </c>
      <c r="N1464">
        <v>9</v>
      </c>
      <c r="O1464">
        <v>6</v>
      </c>
      <c r="P1464" t="s">
        <v>1556</v>
      </c>
      <c r="Q1464" t="s">
        <v>1552</v>
      </c>
      <c r="R1464" t="s">
        <v>1549</v>
      </c>
      <c r="S1464" t="s">
        <v>1532</v>
      </c>
      <c r="T1464" t="s">
        <v>1541</v>
      </c>
      <c r="U1464" t="s">
        <v>1546</v>
      </c>
      <c r="V1464" t="s">
        <v>1558</v>
      </c>
      <c r="W1464" t="s">
        <v>1562</v>
      </c>
      <c r="X1464" t="s">
        <v>1578</v>
      </c>
      <c r="Y1464" t="s">
        <v>1581</v>
      </c>
      <c r="Z1464" t="s">
        <v>1594</v>
      </c>
      <c r="AA1464" t="s">
        <v>1597</v>
      </c>
      <c r="AB1464" t="s">
        <v>1601</v>
      </c>
      <c r="AC1464" t="s">
        <v>1610</v>
      </c>
      <c r="AD1464" t="s">
        <v>1604</v>
      </c>
      <c r="AE1464" t="s">
        <v>1617</v>
      </c>
      <c r="AF1464" t="s">
        <v>1626</v>
      </c>
    </row>
    <row r="1465" spans="1:32" x14ac:dyDescent="0.25">
      <c r="A1465" t="s">
        <v>1522</v>
      </c>
      <c r="B1465">
        <v>31</v>
      </c>
      <c r="C1465">
        <v>325</v>
      </c>
      <c r="D1465">
        <v>5</v>
      </c>
      <c r="E1465">
        <v>74</v>
      </c>
      <c r="F1465">
        <v>9936</v>
      </c>
      <c r="G1465">
        <v>3787</v>
      </c>
      <c r="H1465">
        <v>0</v>
      </c>
      <c r="I1465">
        <v>19</v>
      </c>
      <c r="J1465">
        <v>10</v>
      </c>
      <c r="K1465">
        <v>2</v>
      </c>
      <c r="L1465">
        <v>9</v>
      </c>
      <c r="M1465">
        <v>4</v>
      </c>
      <c r="N1465">
        <v>1</v>
      </c>
      <c r="O1465">
        <v>7</v>
      </c>
      <c r="P1465" t="s">
        <v>1556</v>
      </c>
      <c r="Q1465" t="s">
        <v>1554</v>
      </c>
      <c r="R1465" t="s">
        <v>1550</v>
      </c>
      <c r="S1465" t="s">
        <v>1534</v>
      </c>
      <c r="T1465" t="s">
        <v>1540</v>
      </c>
      <c r="U1465" t="s">
        <v>1546</v>
      </c>
      <c r="V1465" t="s">
        <v>1559</v>
      </c>
      <c r="W1465" t="s">
        <v>1563</v>
      </c>
      <c r="X1465" t="s">
        <v>1576</v>
      </c>
      <c r="Y1465" t="s">
        <v>1584</v>
      </c>
      <c r="Z1465" t="s">
        <v>1591</v>
      </c>
      <c r="AA1465" t="s">
        <v>1596</v>
      </c>
      <c r="AB1465" t="s">
        <v>1601</v>
      </c>
      <c r="AC1465" t="s">
        <v>1610</v>
      </c>
      <c r="AD1465" t="s">
        <v>1605</v>
      </c>
      <c r="AE1465" t="s">
        <v>1616</v>
      </c>
      <c r="AF1465" t="s">
        <v>1627</v>
      </c>
    </row>
    <row r="1466" spans="1:32" x14ac:dyDescent="0.25">
      <c r="A1466" t="s">
        <v>1523</v>
      </c>
      <c r="B1466">
        <v>26</v>
      </c>
      <c r="C1466">
        <v>1167</v>
      </c>
      <c r="D1466">
        <v>5</v>
      </c>
      <c r="E1466">
        <v>30</v>
      </c>
      <c r="F1466">
        <v>2966</v>
      </c>
      <c r="G1466">
        <v>21378</v>
      </c>
      <c r="H1466">
        <v>0</v>
      </c>
      <c r="I1466">
        <v>18</v>
      </c>
      <c r="J1466">
        <v>5</v>
      </c>
      <c r="K1466">
        <v>2</v>
      </c>
      <c r="L1466">
        <v>4</v>
      </c>
      <c r="M1466">
        <v>2</v>
      </c>
      <c r="N1466">
        <v>0</v>
      </c>
      <c r="O1466">
        <v>0</v>
      </c>
      <c r="P1466" t="s">
        <v>1556</v>
      </c>
      <c r="Q1466" t="s">
        <v>1552</v>
      </c>
      <c r="R1466" t="s">
        <v>1549</v>
      </c>
      <c r="S1466" t="s">
        <v>1534</v>
      </c>
      <c r="T1466" t="s">
        <v>1539</v>
      </c>
      <c r="U1466" t="s">
        <v>1548</v>
      </c>
      <c r="V1466" t="s">
        <v>1558</v>
      </c>
      <c r="W1466" t="s">
        <v>1562</v>
      </c>
      <c r="X1466" t="s">
        <v>1575</v>
      </c>
      <c r="Y1466" t="s">
        <v>1587</v>
      </c>
      <c r="Z1466" t="s">
        <v>1593</v>
      </c>
      <c r="AA1466" t="s">
        <v>1596</v>
      </c>
      <c r="AB1466" t="s">
        <v>1601</v>
      </c>
      <c r="AC1466" t="s">
        <v>1610</v>
      </c>
      <c r="AD1466" t="s">
        <v>1607</v>
      </c>
      <c r="AE1466" t="s">
        <v>1616</v>
      </c>
      <c r="AF1466" t="s">
        <v>1627</v>
      </c>
    </row>
    <row r="1467" spans="1:32" x14ac:dyDescent="0.25">
      <c r="A1467" t="s">
        <v>1524</v>
      </c>
      <c r="B1467">
        <v>36</v>
      </c>
      <c r="C1467">
        <v>884</v>
      </c>
      <c r="D1467">
        <v>23</v>
      </c>
      <c r="E1467">
        <v>41</v>
      </c>
      <c r="F1467">
        <v>2571</v>
      </c>
      <c r="G1467">
        <v>12290</v>
      </c>
      <c r="H1467">
        <v>4</v>
      </c>
      <c r="I1467">
        <v>17</v>
      </c>
      <c r="J1467">
        <v>17</v>
      </c>
      <c r="K1467">
        <v>3</v>
      </c>
      <c r="L1467">
        <v>5</v>
      </c>
      <c r="M1467">
        <v>2</v>
      </c>
      <c r="N1467">
        <v>0</v>
      </c>
      <c r="O1467">
        <v>3</v>
      </c>
      <c r="P1467" t="s">
        <v>1556</v>
      </c>
      <c r="Q1467" t="s">
        <v>1553</v>
      </c>
      <c r="R1467" t="s">
        <v>1550</v>
      </c>
      <c r="S1467" t="s">
        <v>1533</v>
      </c>
      <c r="T1467" t="s">
        <v>1540</v>
      </c>
      <c r="U1467" t="s">
        <v>1547</v>
      </c>
      <c r="V1467" t="s">
        <v>1559</v>
      </c>
      <c r="W1467" t="s">
        <v>1564</v>
      </c>
      <c r="X1467" t="s">
        <v>1576</v>
      </c>
      <c r="Y1467" t="s">
        <v>1583</v>
      </c>
      <c r="Z1467" t="s">
        <v>1594</v>
      </c>
      <c r="AA1467" t="s">
        <v>1597</v>
      </c>
      <c r="AB1467" t="s">
        <v>1601</v>
      </c>
      <c r="AC1467" t="s">
        <v>1610</v>
      </c>
      <c r="AD1467" t="s">
        <v>1606</v>
      </c>
      <c r="AE1467" t="s">
        <v>1617</v>
      </c>
      <c r="AF1467" t="s">
        <v>1627</v>
      </c>
    </row>
    <row r="1468" spans="1:32" x14ac:dyDescent="0.25">
      <c r="A1468" t="s">
        <v>1525</v>
      </c>
      <c r="B1468">
        <v>39</v>
      </c>
      <c r="C1468">
        <v>613</v>
      </c>
      <c r="D1468">
        <v>6</v>
      </c>
      <c r="E1468">
        <v>42</v>
      </c>
      <c r="F1468">
        <v>9991</v>
      </c>
      <c r="G1468">
        <v>21457</v>
      </c>
      <c r="H1468">
        <v>4</v>
      </c>
      <c r="I1468">
        <v>15</v>
      </c>
      <c r="J1468">
        <v>9</v>
      </c>
      <c r="K1468">
        <v>5</v>
      </c>
      <c r="L1468">
        <v>7</v>
      </c>
      <c r="M1468">
        <v>7</v>
      </c>
      <c r="N1468">
        <v>1</v>
      </c>
      <c r="O1468">
        <v>7</v>
      </c>
      <c r="P1468" t="s">
        <v>1556</v>
      </c>
      <c r="Q1468" t="s">
        <v>1552</v>
      </c>
      <c r="R1468" t="s">
        <v>1550</v>
      </c>
      <c r="S1468" t="s">
        <v>1532</v>
      </c>
      <c r="T1468" t="s">
        <v>1540</v>
      </c>
      <c r="U1468" t="s">
        <v>1548</v>
      </c>
      <c r="V1468" t="s">
        <v>1559</v>
      </c>
      <c r="W1468" t="s">
        <v>1562</v>
      </c>
      <c r="X1468" t="s">
        <v>1577</v>
      </c>
      <c r="Y1468" t="s">
        <v>1585</v>
      </c>
      <c r="Z1468" t="s">
        <v>1591</v>
      </c>
      <c r="AA1468" t="s">
        <v>1597</v>
      </c>
      <c r="AB1468" t="s">
        <v>1601</v>
      </c>
      <c r="AC1468" t="s">
        <v>1610</v>
      </c>
      <c r="AD1468" t="s">
        <v>1604</v>
      </c>
      <c r="AE1468" t="s">
        <v>1617</v>
      </c>
      <c r="AF1468" t="s">
        <v>1627</v>
      </c>
    </row>
    <row r="1469" spans="1:32" x14ac:dyDescent="0.25">
      <c r="A1469" t="s">
        <v>1526</v>
      </c>
      <c r="B1469">
        <v>27</v>
      </c>
      <c r="C1469">
        <v>155</v>
      </c>
      <c r="D1469">
        <v>4</v>
      </c>
      <c r="E1469">
        <v>87</v>
      </c>
      <c r="F1469">
        <v>6142</v>
      </c>
      <c r="G1469">
        <v>5174</v>
      </c>
      <c r="H1469">
        <v>1</v>
      </c>
      <c r="I1469">
        <v>20</v>
      </c>
      <c r="J1469">
        <v>6</v>
      </c>
      <c r="K1469">
        <v>0</v>
      </c>
      <c r="L1469">
        <v>6</v>
      </c>
      <c r="M1469">
        <v>2</v>
      </c>
      <c r="N1469">
        <v>0</v>
      </c>
      <c r="O1469">
        <v>3</v>
      </c>
      <c r="P1469" t="s">
        <v>1556</v>
      </c>
      <c r="Q1469" t="s">
        <v>1552</v>
      </c>
      <c r="R1469" t="s">
        <v>1550</v>
      </c>
      <c r="S1469" t="s">
        <v>1534</v>
      </c>
      <c r="T1469" t="s">
        <v>1538</v>
      </c>
      <c r="U1469" t="s">
        <v>1546</v>
      </c>
      <c r="V1469" t="s">
        <v>1559</v>
      </c>
      <c r="W1469" t="s">
        <v>1564</v>
      </c>
      <c r="X1469" t="s">
        <v>1576</v>
      </c>
      <c r="Y1469" t="s">
        <v>1584</v>
      </c>
      <c r="Z1469" t="s">
        <v>1592</v>
      </c>
      <c r="AA1469" t="s">
        <v>1597</v>
      </c>
      <c r="AB1469" t="s">
        <v>1600</v>
      </c>
      <c r="AC1469" t="s">
        <v>1611</v>
      </c>
      <c r="AD1469" t="s">
        <v>1605</v>
      </c>
      <c r="AE1469" t="s">
        <v>1617</v>
      </c>
      <c r="AF1469" t="s">
        <v>1627</v>
      </c>
    </row>
    <row r="1470" spans="1:32" x14ac:dyDescent="0.25">
      <c r="A1470" t="s">
        <v>1527</v>
      </c>
      <c r="B1470">
        <v>49</v>
      </c>
      <c r="C1470">
        <v>1023</v>
      </c>
      <c r="D1470">
        <v>2</v>
      </c>
      <c r="E1470">
        <v>63</v>
      </c>
      <c r="F1470">
        <v>5390</v>
      </c>
      <c r="G1470">
        <v>13243</v>
      </c>
      <c r="H1470">
        <v>2</v>
      </c>
      <c r="I1470">
        <v>14</v>
      </c>
      <c r="J1470">
        <v>17</v>
      </c>
      <c r="K1470">
        <v>3</v>
      </c>
      <c r="L1470">
        <v>9</v>
      </c>
      <c r="M1470">
        <v>6</v>
      </c>
      <c r="N1470">
        <v>0</v>
      </c>
      <c r="O1470">
        <v>8</v>
      </c>
      <c r="P1470" t="s">
        <v>1556</v>
      </c>
      <c r="Q1470" t="s">
        <v>1553</v>
      </c>
      <c r="R1470" t="s">
        <v>1549</v>
      </c>
      <c r="S1470" t="s">
        <v>1534</v>
      </c>
      <c r="T1470" t="s">
        <v>1540</v>
      </c>
      <c r="U1470" t="s">
        <v>1548</v>
      </c>
      <c r="V1470" t="s">
        <v>1559</v>
      </c>
      <c r="W1470" t="s">
        <v>1562</v>
      </c>
      <c r="X1470" t="s">
        <v>1576</v>
      </c>
      <c r="Y1470" t="s">
        <v>1581</v>
      </c>
      <c r="Z1470" t="s">
        <v>1592</v>
      </c>
      <c r="AA1470" t="s">
        <v>1597</v>
      </c>
      <c r="AB1470" t="s">
        <v>1601</v>
      </c>
      <c r="AC1470" t="s">
        <v>1610</v>
      </c>
      <c r="AD1470" t="s">
        <v>1607</v>
      </c>
      <c r="AE1470" t="s">
        <v>1616</v>
      </c>
      <c r="AF1470" t="s">
        <v>1626</v>
      </c>
    </row>
    <row r="1471" spans="1:32" x14ac:dyDescent="0.25">
      <c r="A1471" t="s">
        <v>1528</v>
      </c>
      <c r="B1471">
        <v>34</v>
      </c>
      <c r="C1471">
        <v>628</v>
      </c>
      <c r="D1471">
        <v>8</v>
      </c>
      <c r="E1471">
        <v>82</v>
      </c>
      <c r="F1471">
        <v>4404</v>
      </c>
      <c r="G1471">
        <v>10228</v>
      </c>
      <c r="H1471">
        <v>2</v>
      </c>
      <c r="I1471">
        <v>12</v>
      </c>
      <c r="J1471">
        <v>6</v>
      </c>
      <c r="K1471">
        <v>3</v>
      </c>
      <c r="L1471">
        <v>4</v>
      </c>
      <c r="M1471">
        <v>3</v>
      </c>
      <c r="N1471">
        <v>1</v>
      </c>
      <c r="O1471">
        <v>2</v>
      </c>
      <c r="P1471" t="s">
        <v>1556</v>
      </c>
      <c r="Q1471" t="s">
        <v>1552</v>
      </c>
      <c r="R1471" t="s">
        <v>1550</v>
      </c>
      <c r="S1471" t="s">
        <v>1534</v>
      </c>
      <c r="T1471" t="s">
        <v>1540</v>
      </c>
      <c r="U1471" t="s">
        <v>1546</v>
      </c>
      <c r="V1471" t="s">
        <v>1559</v>
      </c>
      <c r="W1471" t="s">
        <v>1564</v>
      </c>
      <c r="X1471" t="s">
        <v>1576</v>
      </c>
      <c r="Y1471" t="s">
        <v>1583</v>
      </c>
      <c r="Z1471" t="s">
        <v>1593</v>
      </c>
      <c r="AA1471" t="s">
        <v>1597</v>
      </c>
      <c r="AB1471" t="s">
        <v>1601</v>
      </c>
      <c r="AC1471" t="s">
        <v>1610</v>
      </c>
      <c r="AD1471" t="s">
        <v>1604</v>
      </c>
      <c r="AE1471" t="s">
        <v>1616</v>
      </c>
      <c r="AF1471" t="s">
        <v>1628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957A-7161-46A6-AE27-A9B7484BF75D}">
  <dimension ref="A1:B1471"/>
  <sheetViews>
    <sheetView tabSelected="1" workbookViewId="0">
      <selection activeCell="E35" sqref="E35"/>
    </sheetView>
  </sheetViews>
  <sheetFormatPr defaultRowHeight="15" x14ac:dyDescent="0.25"/>
  <cols>
    <col min="1" max="1" width="14.7109375" customWidth="1"/>
    <col min="2" max="2" width="19.28515625" customWidth="1"/>
  </cols>
  <sheetData>
    <row r="1" spans="1:2" x14ac:dyDescent="0.25">
      <c r="A1" t="s">
        <v>1529</v>
      </c>
      <c r="B1" t="s">
        <v>8</v>
      </c>
    </row>
    <row r="2" spans="1:2" x14ac:dyDescent="0.25">
      <c r="A2" t="s">
        <v>59</v>
      </c>
      <c r="B2">
        <v>1</v>
      </c>
    </row>
    <row r="3" spans="1:2" x14ac:dyDescent="0.25">
      <c r="A3" t="s">
        <v>60</v>
      </c>
      <c r="B3">
        <v>2</v>
      </c>
    </row>
    <row r="4" spans="1:2" x14ac:dyDescent="0.25">
      <c r="A4" t="s">
        <v>61</v>
      </c>
      <c r="B4">
        <v>4</v>
      </c>
    </row>
    <row r="5" spans="1:2" x14ac:dyDescent="0.25">
      <c r="A5" t="s">
        <v>62</v>
      </c>
      <c r="B5">
        <v>5</v>
      </c>
    </row>
    <row r="6" spans="1:2" x14ac:dyDescent="0.25">
      <c r="A6" t="s">
        <v>63</v>
      </c>
      <c r="B6">
        <v>7</v>
      </c>
    </row>
    <row r="7" spans="1:2" x14ac:dyDescent="0.25">
      <c r="A7" t="s">
        <v>64</v>
      </c>
      <c r="B7">
        <v>8</v>
      </c>
    </row>
    <row r="8" spans="1:2" x14ac:dyDescent="0.25">
      <c r="A8" t="s">
        <v>65</v>
      </c>
      <c r="B8">
        <v>10</v>
      </c>
    </row>
    <row r="9" spans="1:2" x14ac:dyDescent="0.25">
      <c r="A9" t="s">
        <v>66</v>
      </c>
      <c r="B9">
        <v>11</v>
      </c>
    </row>
    <row r="10" spans="1:2" x14ac:dyDescent="0.25">
      <c r="A10" t="s">
        <v>67</v>
      </c>
      <c r="B10">
        <v>12</v>
      </c>
    </row>
    <row r="11" spans="1:2" x14ac:dyDescent="0.25">
      <c r="A11" t="s">
        <v>68</v>
      </c>
      <c r="B11">
        <v>13</v>
      </c>
    </row>
    <row r="12" spans="1:2" x14ac:dyDescent="0.25">
      <c r="A12" t="s">
        <v>69</v>
      </c>
      <c r="B12">
        <v>14</v>
      </c>
    </row>
    <row r="13" spans="1:2" x14ac:dyDescent="0.25">
      <c r="A13" t="s">
        <v>70</v>
      </c>
      <c r="B13">
        <v>15</v>
      </c>
    </row>
    <row r="14" spans="1:2" x14ac:dyDescent="0.25">
      <c r="A14" t="s">
        <v>71</v>
      </c>
      <c r="B14">
        <v>16</v>
      </c>
    </row>
    <row r="15" spans="1:2" x14ac:dyDescent="0.25">
      <c r="A15" t="s">
        <v>72</v>
      </c>
      <c r="B15">
        <v>18</v>
      </c>
    </row>
    <row r="16" spans="1:2" x14ac:dyDescent="0.25">
      <c r="A16" t="s">
        <v>73</v>
      </c>
      <c r="B16">
        <v>19</v>
      </c>
    </row>
    <row r="17" spans="1:2" x14ac:dyDescent="0.25">
      <c r="A17" t="s">
        <v>74</v>
      </c>
      <c r="B17">
        <v>20</v>
      </c>
    </row>
    <row r="18" spans="1:2" x14ac:dyDescent="0.25">
      <c r="A18" t="s">
        <v>75</v>
      </c>
      <c r="B18">
        <v>21</v>
      </c>
    </row>
    <row r="19" spans="1:2" x14ac:dyDescent="0.25">
      <c r="A19" t="s">
        <v>76</v>
      </c>
      <c r="B19">
        <v>22</v>
      </c>
    </row>
    <row r="20" spans="1:2" x14ac:dyDescent="0.25">
      <c r="A20" t="s">
        <v>77</v>
      </c>
      <c r="B20">
        <v>23</v>
      </c>
    </row>
    <row r="21" spans="1:2" x14ac:dyDescent="0.25">
      <c r="A21" t="s">
        <v>78</v>
      </c>
      <c r="B21">
        <v>24</v>
      </c>
    </row>
    <row r="22" spans="1:2" x14ac:dyDescent="0.25">
      <c r="A22" t="s">
        <v>79</v>
      </c>
      <c r="B22">
        <v>26</v>
      </c>
    </row>
    <row r="23" spans="1:2" x14ac:dyDescent="0.25">
      <c r="A23" t="s">
        <v>80</v>
      </c>
      <c r="B23">
        <v>27</v>
      </c>
    </row>
    <row r="24" spans="1:2" x14ac:dyDescent="0.25">
      <c r="A24" t="s">
        <v>81</v>
      </c>
      <c r="B24">
        <v>28</v>
      </c>
    </row>
    <row r="25" spans="1:2" x14ac:dyDescent="0.25">
      <c r="A25" t="s">
        <v>82</v>
      </c>
      <c r="B25">
        <v>30</v>
      </c>
    </row>
    <row r="26" spans="1:2" x14ac:dyDescent="0.25">
      <c r="A26" t="s">
        <v>83</v>
      </c>
      <c r="B26">
        <v>31</v>
      </c>
    </row>
    <row r="27" spans="1:2" x14ac:dyDescent="0.25">
      <c r="A27" t="s">
        <v>84</v>
      </c>
      <c r="B27">
        <v>32</v>
      </c>
    </row>
    <row r="28" spans="1:2" x14ac:dyDescent="0.25">
      <c r="A28" t="s">
        <v>85</v>
      </c>
      <c r="B28">
        <v>33</v>
      </c>
    </row>
    <row r="29" spans="1:2" x14ac:dyDescent="0.25">
      <c r="A29" t="s">
        <v>86</v>
      </c>
      <c r="B29">
        <v>35</v>
      </c>
    </row>
    <row r="30" spans="1:2" x14ac:dyDescent="0.25">
      <c r="A30" t="s">
        <v>87</v>
      </c>
      <c r="B30">
        <v>36</v>
      </c>
    </row>
    <row r="31" spans="1:2" x14ac:dyDescent="0.25">
      <c r="A31" t="s">
        <v>88</v>
      </c>
      <c r="B31">
        <v>38</v>
      </c>
    </row>
    <row r="32" spans="1:2" x14ac:dyDescent="0.25">
      <c r="A32" t="s">
        <v>89</v>
      </c>
      <c r="B32">
        <v>39</v>
      </c>
    </row>
    <row r="33" spans="1:2" x14ac:dyDescent="0.25">
      <c r="A33" t="s">
        <v>90</v>
      </c>
      <c r="B33">
        <v>40</v>
      </c>
    </row>
    <row r="34" spans="1:2" x14ac:dyDescent="0.25">
      <c r="A34" t="s">
        <v>91</v>
      </c>
      <c r="B34">
        <v>41</v>
      </c>
    </row>
    <row r="35" spans="1:2" x14ac:dyDescent="0.25">
      <c r="A35" t="s">
        <v>92</v>
      </c>
      <c r="B35">
        <v>42</v>
      </c>
    </row>
    <row r="36" spans="1:2" x14ac:dyDescent="0.25">
      <c r="A36" t="s">
        <v>93</v>
      </c>
      <c r="B36">
        <v>45</v>
      </c>
    </row>
    <row r="37" spans="1:2" x14ac:dyDescent="0.25">
      <c r="A37" t="s">
        <v>94</v>
      </c>
      <c r="B37">
        <v>46</v>
      </c>
    </row>
    <row r="38" spans="1:2" x14ac:dyDescent="0.25">
      <c r="A38" t="s">
        <v>95</v>
      </c>
      <c r="B38">
        <v>47</v>
      </c>
    </row>
    <row r="39" spans="1:2" x14ac:dyDescent="0.25">
      <c r="A39" t="s">
        <v>96</v>
      </c>
      <c r="B39">
        <v>49</v>
      </c>
    </row>
    <row r="40" spans="1:2" x14ac:dyDescent="0.25">
      <c r="A40" t="s">
        <v>97</v>
      </c>
      <c r="B40">
        <v>51</v>
      </c>
    </row>
    <row r="41" spans="1:2" x14ac:dyDescent="0.25">
      <c r="A41" t="s">
        <v>98</v>
      </c>
      <c r="B41">
        <v>52</v>
      </c>
    </row>
    <row r="42" spans="1:2" x14ac:dyDescent="0.25">
      <c r="A42" t="s">
        <v>99</v>
      </c>
      <c r="B42">
        <v>53</v>
      </c>
    </row>
    <row r="43" spans="1:2" x14ac:dyDescent="0.25">
      <c r="A43" t="s">
        <v>100</v>
      </c>
      <c r="B43">
        <v>54</v>
      </c>
    </row>
    <row r="44" spans="1:2" x14ac:dyDescent="0.25">
      <c r="A44" t="s">
        <v>101</v>
      </c>
      <c r="B44">
        <v>55</v>
      </c>
    </row>
    <row r="45" spans="1:2" x14ac:dyDescent="0.25">
      <c r="A45" t="s">
        <v>102</v>
      </c>
      <c r="B45">
        <v>56</v>
      </c>
    </row>
    <row r="46" spans="1:2" x14ac:dyDescent="0.25">
      <c r="A46" t="s">
        <v>103</v>
      </c>
      <c r="B46">
        <v>57</v>
      </c>
    </row>
    <row r="47" spans="1:2" x14ac:dyDescent="0.25">
      <c r="A47" t="s">
        <v>104</v>
      </c>
      <c r="B47">
        <v>58</v>
      </c>
    </row>
    <row r="48" spans="1:2" x14ac:dyDescent="0.25">
      <c r="A48" t="s">
        <v>105</v>
      </c>
      <c r="B48">
        <v>60</v>
      </c>
    </row>
    <row r="49" spans="1:2" x14ac:dyDescent="0.25">
      <c r="A49" t="s">
        <v>106</v>
      </c>
      <c r="B49">
        <v>61</v>
      </c>
    </row>
    <row r="50" spans="1:2" x14ac:dyDescent="0.25">
      <c r="A50" t="s">
        <v>107</v>
      </c>
      <c r="B50">
        <v>62</v>
      </c>
    </row>
    <row r="51" spans="1:2" x14ac:dyDescent="0.25">
      <c r="A51" t="s">
        <v>108</v>
      </c>
      <c r="B51">
        <v>63</v>
      </c>
    </row>
    <row r="52" spans="1:2" x14ac:dyDescent="0.25">
      <c r="A52" t="s">
        <v>109</v>
      </c>
      <c r="B52">
        <v>64</v>
      </c>
    </row>
    <row r="53" spans="1:2" x14ac:dyDescent="0.25">
      <c r="A53" t="s">
        <v>110</v>
      </c>
      <c r="B53">
        <v>65</v>
      </c>
    </row>
    <row r="54" spans="1:2" x14ac:dyDescent="0.25">
      <c r="A54" t="s">
        <v>111</v>
      </c>
      <c r="B54">
        <v>68</v>
      </c>
    </row>
    <row r="55" spans="1:2" x14ac:dyDescent="0.25">
      <c r="A55" t="s">
        <v>112</v>
      </c>
      <c r="B55">
        <v>70</v>
      </c>
    </row>
    <row r="56" spans="1:2" x14ac:dyDescent="0.25">
      <c r="A56" t="s">
        <v>113</v>
      </c>
      <c r="B56">
        <v>72</v>
      </c>
    </row>
    <row r="57" spans="1:2" x14ac:dyDescent="0.25">
      <c r="A57" t="s">
        <v>114</v>
      </c>
      <c r="B57">
        <v>73</v>
      </c>
    </row>
    <row r="58" spans="1:2" x14ac:dyDescent="0.25">
      <c r="A58" t="s">
        <v>115</v>
      </c>
      <c r="B58">
        <v>74</v>
      </c>
    </row>
    <row r="59" spans="1:2" x14ac:dyDescent="0.25">
      <c r="A59" t="s">
        <v>116</v>
      </c>
      <c r="B59">
        <v>75</v>
      </c>
    </row>
    <row r="60" spans="1:2" x14ac:dyDescent="0.25">
      <c r="A60" t="s">
        <v>117</v>
      </c>
      <c r="B60">
        <v>76</v>
      </c>
    </row>
    <row r="61" spans="1:2" x14ac:dyDescent="0.25">
      <c r="A61" t="s">
        <v>118</v>
      </c>
      <c r="B61">
        <v>77</v>
      </c>
    </row>
    <row r="62" spans="1:2" x14ac:dyDescent="0.25">
      <c r="A62" t="s">
        <v>119</v>
      </c>
      <c r="B62">
        <v>78</v>
      </c>
    </row>
    <row r="63" spans="1:2" x14ac:dyDescent="0.25">
      <c r="A63" t="s">
        <v>120</v>
      </c>
      <c r="B63">
        <v>79</v>
      </c>
    </row>
    <row r="64" spans="1:2" x14ac:dyDescent="0.25">
      <c r="A64" t="s">
        <v>121</v>
      </c>
      <c r="B64">
        <v>80</v>
      </c>
    </row>
    <row r="65" spans="1:2" x14ac:dyDescent="0.25">
      <c r="A65" t="s">
        <v>122</v>
      </c>
      <c r="B65">
        <v>81</v>
      </c>
    </row>
    <row r="66" spans="1:2" x14ac:dyDescent="0.25">
      <c r="A66" t="s">
        <v>123</v>
      </c>
      <c r="B66">
        <v>83</v>
      </c>
    </row>
    <row r="67" spans="1:2" x14ac:dyDescent="0.25">
      <c r="A67" t="s">
        <v>124</v>
      </c>
      <c r="B67">
        <v>84</v>
      </c>
    </row>
    <row r="68" spans="1:2" x14ac:dyDescent="0.25">
      <c r="A68" t="s">
        <v>125</v>
      </c>
      <c r="B68">
        <v>85</v>
      </c>
    </row>
    <row r="69" spans="1:2" x14ac:dyDescent="0.25">
      <c r="A69" t="s">
        <v>126</v>
      </c>
      <c r="B69">
        <v>86</v>
      </c>
    </row>
    <row r="70" spans="1:2" x14ac:dyDescent="0.25">
      <c r="A70" t="s">
        <v>127</v>
      </c>
      <c r="B70">
        <v>88</v>
      </c>
    </row>
    <row r="71" spans="1:2" x14ac:dyDescent="0.25">
      <c r="A71" t="s">
        <v>128</v>
      </c>
      <c r="B71">
        <v>90</v>
      </c>
    </row>
    <row r="72" spans="1:2" x14ac:dyDescent="0.25">
      <c r="A72" t="s">
        <v>129</v>
      </c>
      <c r="B72">
        <v>91</v>
      </c>
    </row>
    <row r="73" spans="1:2" x14ac:dyDescent="0.25">
      <c r="A73" t="s">
        <v>130</v>
      </c>
      <c r="B73">
        <v>94</v>
      </c>
    </row>
    <row r="74" spans="1:2" x14ac:dyDescent="0.25">
      <c r="A74" t="s">
        <v>131</v>
      </c>
      <c r="B74">
        <v>95</v>
      </c>
    </row>
    <row r="75" spans="1:2" x14ac:dyDescent="0.25">
      <c r="A75" t="s">
        <v>132</v>
      </c>
      <c r="B75">
        <v>96</v>
      </c>
    </row>
    <row r="76" spans="1:2" x14ac:dyDescent="0.25">
      <c r="A76" t="s">
        <v>133</v>
      </c>
      <c r="B76">
        <v>97</v>
      </c>
    </row>
    <row r="77" spans="1:2" x14ac:dyDescent="0.25">
      <c r="A77" t="s">
        <v>134</v>
      </c>
      <c r="B77">
        <v>98</v>
      </c>
    </row>
    <row r="78" spans="1:2" x14ac:dyDescent="0.25">
      <c r="A78" t="s">
        <v>135</v>
      </c>
      <c r="B78">
        <v>100</v>
      </c>
    </row>
    <row r="79" spans="1:2" x14ac:dyDescent="0.25">
      <c r="A79" t="s">
        <v>136</v>
      </c>
      <c r="B79">
        <v>101</v>
      </c>
    </row>
    <row r="80" spans="1:2" x14ac:dyDescent="0.25">
      <c r="A80" t="s">
        <v>137</v>
      </c>
      <c r="B80">
        <v>102</v>
      </c>
    </row>
    <row r="81" spans="1:2" x14ac:dyDescent="0.25">
      <c r="A81" t="s">
        <v>138</v>
      </c>
      <c r="B81">
        <v>103</v>
      </c>
    </row>
    <row r="82" spans="1:2" x14ac:dyDescent="0.25">
      <c r="A82" t="s">
        <v>139</v>
      </c>
      <c r="B82">
        <v>104</v>
      </c>
    </row>
    <row r="83" spans="1:2" x14ac:dyDescent="0.25">
      <c r="A83" t="s">
        <v>140</v>
      </c>
      <c r="B83">
        <v>105</v>
      </c>
    </row>
    <row r="84" spans="1:2" x14ac:dyDescent="0.25">
      <c r="A84" t="s">
        <v>141</v>
      </c>
      <c r="B84">
        <v>106</v>
      </c>
    </row>
    <row r="85" spans="1:2" x14ac:dyDescent="0.25">
      <c r="A85" t="s">
        <v>142</v>
      </c>
      <c r="B85">
        <v>107</v>
      </c>
    </row>
    <row r="86" spans="1:2" x14ac:dyDescent="0.25">
      <c r="A86" t="s">
        <v>143</v>
      </c>
      <c r="B86">
        <v>110</v>
      </c>
    </row>
    <row r="87" spans="1:2" x14ac:dyDescent="0.25">
      <c r="A87" t="s">
        <v>144</v>
      </c>
      <c r="B87">
        <v>112</v>
      </c>
    </row>
    <row r="88" spans="1:2" x14ac:dyDescent="0.25">
      <c r="A88" t="s">
        <v>145</v>
      </c>
      <c r="B88">
        <v>113</v>
      </c>
    </row>
    <row r="89" spans="1:2" x14ac:dyDescent="0.25">
      <c r="A89" t="s">
        <v>146</v>
      </c>
      <c r="B89">
        <v>116</v>
      </c>
    </row>
    <row r="90" spans="1:2" x14ac:dyDescent="0.25">
      <c r="A90" t="s">
        <v>147</v>
      </c>
      <c r="B90">
        <v>117</v>
      </c>
    </row>
    <row r="91" spans="1:2" x14ac:dyDescent="0.25">
      <c r="A91" t="s">
        <v>148</v>
      </c>
      <c r="B91">
        <v>118</v>
      </c>
    </row>
    <row r="92" spans="1:2" x14ac:dyDescent="0.25">
      <c r="A92" t="s">
        <v>149</v>
      </c>
      <c r="B92">
        <v>119</v>
      </c>
    </row>
    <row r="93" spans="1:2" x14ac:dyDescent="0.25">
      <c r="A93" t="s">
        <v>150</v>
      </c>
      <c r="B93">
        <v>120</v>
      </c>
    </row>
    <row r="94" spans="1:2" x14ac:dyDescent="0.25">
      <c r="A94" t="s">
        <v>151</v>
      </c>
      <c r="B94">
        <v>121</v>
      </c>
    </row>
    <row r="95" spans="1:2" x14ac:dyDescent="0.25">
      <c r="A95" t="s">
        <v>152</v>
      </c>
      <c r="B95">
        <v>124</v>
      </c>
    </row>
    <row r="96" spans="1:2" x14ac:dyDescent="0.25">
      <c r="A96" t="s">
        <v>153</v>
      </c>
      <c r="B96">
        <v>125</v>
      </c>
    </row>
    <row r="97" spans="1:2" x14ac:dyDescent="0.25">
      <c r="A97" t="s">
        <v>154</v>
      </c>
      <c r="B97">
        <v>126</v>
      </c>
    </row>
    <row r="98" spans="1:2" x14ac:dyDescent="0.25">
      <c r="A98" t="s">
        <v>155</v>
      </c>
      <c r="B98">
        <v>128</v>
      </c>
    </row>
    <row r="99" spans="1:2" x14ac:dyDescent="0.25">
      <c r="A99" t="s">
        <v>156</v>
      </c>
      <c r="B99">
        <v>129</v>
      </c>
    </row>
    <row r="100" spans="1:2" x14ac:dyDescent="0.25">
      <c r="A100" t="s">
        <v>157</v>
      </c>
      <c r="B100">
        <v>131</v>
      </c>
    </row>
    <row r="101" spans="1:2" x14ac:dyDescent="0.25">
      <c r="A101" t="s">
        <v>158</v>
      </c>
      <c r="B101">
        <v>132</v>
      </c>
    </row>
    <row r="102" spans="1:2" x14ac:dyDescent="0.25">
      <c r="A102" t="s">
        <v>159</v>
      </c>
      <c r="B102">
        <v>133</v>
      </c>
    </row>
    <row r="103" spans="1:2" x14ac:dyDescent="0.25">
      <c r="A103" t="s">
        <v>160</v>
      </c>
      <c r="B103">
        <v>134</v>
      </c>
    </row>
    <row r="104" spans="1:2" x14ac:dyDescent="0.25">
      <c r="A104" t="s">
        <v>161</v>
      </c>
      <c r="B104">
        <v>137</v>
      </c>
    </row>
    <row r="105" spans="1:2" x14ac:dyDescent="0.25">
      <c r="A105" t="s">
        <v>162</v>
      </c>
      <c r="B105">
        <v>138</v>
      </c>
    </row>
    <row r="106" spans="1:2" x14ac:dyDescent="0.25">
      <c r="A106" t="s">
        <v>163</v>
      </c>
      <c r="B106">
        <v>139</v>
      </c>
    </row>
    <row r="107" spans="1:2" x14ac:dyDescent="0.25">
      <c r="A107" t="s">
        <v>164</v>
      </c>
      <c r="B107">
        <v>140</v>
      </c>
    </row>
    <row r="108" spans="1:2" x14ac:dyDescent="0.25">
      <c r="A108" t="s">
        <v>165</v>
      </c>
      <c r="B108">
        <v>141</v>
      </c>
    </row>
    <row r="109" spans="1:2" x14ac:dyDescent="0.25">
      <c r="A109" t="s">
        <v>166</v>
      </c>
      <c r="B109">
        <v>142</v>
      </c>
    </row>
    <row r="110" spans="1:2" x14ac:dyDescent="0.25">
      <c r="A110" t="s">
        <v>167</v>
      </c>
      <c r="B110">
        <v>143</v>
      </c>
    </row>
    <row r="111" spans="1:2" x14ac:dyDescent="0.25">
      <c r="A111" t="s">
        <v>168</v>
      </c>
      <c r="B111">
        <v>144</v>
      </c>
    </row>
    <row r="112" spans="1:2" x14ac:dyDescent="0.25">
      <c r="A112" t="s">
        <v>169</v>
      </c>
      <c r="B112">
        <v>145</v>
      </c>
    </row>
    <row r="113" spans="1:2" x14ac:dyDescent="0.25">
      <c r="A113" t="s">
        <v>170</v>
      </c>
      <c r="B113">
        <v>147</v>
      </c>
    </row>
    <row r="114" spans="1:2" x14ac:dyDescent="0.25">
      <c r="A114" t="s">
        <v>171</v>
      </c>
      <c r="B114">
        <v>148</v>
      </c>
    </row>
    <row r="115" spans="1:2" x14ac:dyDescent="0.25">
      <c r="A115" t="s">
        <v>172</v>
      </c>
      <c r="B115">
        <v>150</v>
      </c>
    </row>
    <row r="116" spans="1:2" x14ac:dyDescent="0.25">
      <c r="A116" t="s">
        <v>173</v>
      </c>
      <c r="B116">
        <v>151</v>
      </c>
    </row>
    <row r="117" spans="1:2" x14ac:dyDescent="0.25">
      <c r="A117" t="s">
        <v>174</v>
      </c>
      <c r="B117">
        <v>152</v>
      </c>
    </row>
    <row r="118" spans="1:2" x14ac:dyDescent="0.25">
      <c r="A118" t="s">
        <v>175</v>
      </c>
      <c r="B118">
        <v>153</v>
      </c>
    </row>
    <row r="119" spans="1:2" x14ac:dyDescent="0.25">
      <c r="A119" t="s">
        <v>176</v>
      </c>
      <c r="B119">
        <v>154</v>
      </c>
    </row>
    <row r="120" spans="1:2" x14ac:dyDescent="0.25">
      <c r="A120" t="s">
        <v>177</v>
      </c>
      <c r="B120">
        <v>155</v>
      </c>
    </row>
    <row r="121" spans="1:2" x14ac:dyDescent="0.25">
      <c r="A121" t="s">
        <v>178</v>
      </c>
      <c r="B121">
        <v>158</v>
      </c>
    </row>
    <row r="122" spans="1:2" x14ac:dyDescent="0.25">
      <c r="A122" t="s">
        <v>179</v>
      </c>
      <c r="B122">
        <v>159</v>
      </c>
    </row>
    <row r="123" spans="1:2" x14ac:dyDescent="0.25">
      <c r="A123" t="s">
        <v>180</v>
      </c>
      <c r="B123">
        <v>160</v>
      </c>
    </row>
    <row r="124" spans="1:2" x14ac:dyDescent="0.25">
      <c r="A124" t="s">
        <v>181</v>
      </c>
      <c r="B124">
        <v>161</v>
      </c>
    </row>
    <row r="125" spans="1:2" x14ac:dyDescent="0.25">
      <c r="A125" t="s">
        <v>182</v>
      </c>
      <c r="B125">
        <v>162</v>
      </c>
    </row>
    <row r="126" spans="1:2" x14ac:dyDescent="0.25">
      <c r="A126" t="s">
        <v>183</v>
      </c>
      <c r="B126">
        <v>163</v>
      </c>
    </row>
    <row r="127" spans="1:2" x14ac:dyDescent="0.25">
      <c r="A127" t="s">
        <v>184</v>
      </c>
      <c r="B127">
        <v>164</v>
      </c>
    </row>
    <row r="128" spans="1:2" x14ac:dyDescent="0.25">
      <c r="A128" t="s">
        <v>185</v>
      </c>
      <c r="B128">
        <v>165</v>
      </c>
    </row>
    <row r="129" spans="1:2" x14ac:dyDescent="0.25">
      <c r="A129" t="s">
        <v>186</v>
      </c>
      <c r="B129">
        <v>167</v>
      </c>
    </row>
    <row r="130" spans="1:2" x14ac:dyDescent="0.25">
      <c r="A130" t="s">
        <v>187</v>
      </c>
      <c r="B130">
        <v>169</v>
      </c>
    </row>
    <row r="131" spans="1:2" x14ac:dyDescent="0.25">
      <c r="A131" t="s">
        <v>188</v>
      </c>
      <c r="B131">
        <v>170</v>
      </c>
    </row>
    <row r="132" spans="1:2" x14ac:dyDescent="0.25">
      <c r="A132" t="s">
        <v>189</v>
      </c>
      <c r="B132">
        <v>171</v>
      </c>
    </row>
    <row r="133" spans="1:2" x14ac:dyDescent="0.25">
      <c r="A133" t="s">
        <v>190</v>
      </c>
      <c r="B133">
        <v>174</v>
      </c>
    </row>
    <row r="134" spans="1:2" x14ac:dyDescent="0.25">
      <c r="A134" t="s">
        <v>191</v>
      </c>
      <c r="B134">
        <v>175</v>
      </c>
    </row>
    <row r="135" spans="1:2" x14ac:dyDescent="0.25">
      <c r="A135" t="s">
        <v>192</v>
      </c>
      <c r="B135">
        <v>176</v>
      </c>
    </row>
    <row r="136" spans="1:2" x14ac:dyDescent="0.25">
      <c r="A136" t="s">
        <v>193</v>
      </c>
      <c r="B136">
        <v>177</v>
      </c>
    </row>
    <row r="137" spans="1:2" x14ac:dyDescent="0.25">
      <c r="A137" t="s">
        <v>194</v>
      </c>
      <c r="B137">
        <v>178</v>
      </c>
    </row>
    <row r="138" spans="1:2" x14ac:dyDescent="0.25">
      <c r="A138" t="s">
        <v>195</v>
      </c>
      <c r="B138">
        <v>179</v>
      </c>
    </row>
    <row r="139" spans="1:2" x14ac:dyDescent="0.25">
      <c r="A139" t="s">
        <v>196</v>
      </c>
      <c r="B139">
        <v>182</v>
      </c>
    </row>
    <row r="140" spans="1:2" x14ac:dyDescent="0.25">
      <c r="A140" t="s">
        <v>197</v>
      </c>
      <c r="B140">
        <v>183</v>
      </c>
    </row>
    <row r="141" spans="1:2" x14ac:dyDescent="0.25">
      <c r="A141" t="s">
        <v>198</v>
      </c>
      <c r="B141">
        <v>184</v>
      </c>
    </row>
    <row r="142" spans="1:2" x14ac:dyDescent="0.25">
      <c r="A142" t="s">
        <v>199</v>
      </c>
      <c r="B142">
        <v>190</v>
      </c>
    </row>
    <row r="143" spans="1:2" x14ac:dyDescent="0.25">
      <c r="A143" t="s">
        <v>200</v>
      </c>
      <c r="B143">
        <v>192</v>
      </c>
    </row>
    <row r="144" spans="1:2" x14ac:dyDescent="0.25">
      <c r="A144" t="s">
        <v>201</v>
      </c>
      <c r="B144">
        <v>193</v>
      </c>
    </row>
    <row r="145" spans="1:2" x14ac:dyDescent="0.25">
      <c r="A145" t="s">
        <v>202</v>
      </c>
      <c r="B145">
        <v>194</v>
      </c>
    </row>
    <row r="146" spans="1:2" x14ac:dyDescent="0.25">
      <c r="A146" t="s">
        <v>203</v>
      </c>
      <c r="B146">
        <v>195</v>
      </c>
    </row>
    <row r="147" spans="1:2" x14ac:dyDescent="0.25">
      <c r="A147" t="s">
        <v>204</v>
      </c>
      <c r="B147">
        <v>197</v>
      </c>
    </row>
    <row r="148" spans="1:2" x14ac:dyDescent="0.25">
      <c r="A148" t="s">
        <v>205</v>
      </c>
      <c r="B148">
        <v>198</v>
      </c>
    </row>
    <row r="149" spans="1:2" x14ac:dyDescent="0.25">
      <c r="A149" t="s">
        <v>206</v>
      </c>
      <c r="B149">
        <v>199</v>
      </c>
    </row>
    <row r="150" spans="1:2" x14ac:dyDescent="0.25">
      <c r="A150" t="s">
        <v>207</v>
      </c>
      <c r="B150">
        <v>200</v>
      </c>
    </row>
    <row r="151" spans="1:2" x14ac:dyDescent="0.25">
      <c r="A151" t="s">
        <v>208</v>
      </c>
      <c r="B151">
        <v>201</v>
      </c>
    </row>
    <row r="152" spans="1:2" x14ac:dyDescent="0.25">
      <c r="A152" t="s">
        <v>209</v>
      </c>
      <c r="B152">
        <v>202</v>
      </c>
    </row>
    <row r="153" spans="1:2" x14ac:dyDescent="0.25">
      <c r="A153" t="s">
        <v>210</v>
      </c>
      <c r="B153">
        <v>204</v>
      </c>
    </row>
    <row r="154" spans="1:2" x14ac:dyDescent="0.25">
      <c r="A154" t="s">
        <v>211</v>
      </c>
      <c r="B154">
        <v>205</v>
      </c>
    </row>
    <row r="155" spans="1:2" x14ac:dyDescent="0.25">
      <c r="A155" t="s">
        <v>212</v>
      </c>
      <c r="B155">
        <v>206</v>
      </c>
    </row>
    <row r="156" spans="1:2" x14ac:dyDescent="0.25">
      <c r="A156" t="s">
        <v>213</v>
      </c>
      <c r="B156">
        <v>207</v>
      </c>
    </row>
    <row r="157" spans="1:2" x14ac:dyDescent="0.25">
      <c r="A157" t="s">
        <v>214</v>
      </c>
      <c r="B157">
        <v>208</v>
      </c>
    </row>
    <row r="158" spans="1:2" x14ac:dyDescent="0.25">
      <c r="A158" t="s">
        <v>215</v>
      </c>
      <c r="B158">
        <v>211</v>
      </c>
    </row>
    <row r="159" spans="1:2" x14ac:dyDescent="0.25">
      <c r="A159" t="s">
        <v>216</v>
      </c>
      <c r="B159">
        <v>214</v>
      </c>
    </row>
    <row r="160" spans="1:2" x14ac:dyDescent="0.25">
      <c r="A160" t="s">
        <v>217</v>
      </c>
      <c r="B160">
        <v>215</v>
      </c>
    </row>
    <row r="161" spans="1:2" x14ac:dyDescent="0.25">
      <c r="A161" t="s">
        <v>218</v>
      </c>
      <c r="B161">
        <v>216</v>
      </c>
    </row>
    <row r="162" spans="1:2" x14ac:dyDescent="0.25">
      <c r="A162" t="s">
        <v>219</v>
      </c>
      <c r="B162">
        <v>217</v>
      </c>
    </row>
    <row r="163" spans="1:2" x14ac:dyDescent="0.25">
      <c r="A163" t="s">
        <v>220</v>
      </c>
      <c r="B163">
        <v>218</v>
      </c>
    </row>
    <row r="164" spans="1:2" x14ac:dyDescent="0.25">
      <c r="A164" t="s">
        <v>221</v>
      </c>
      <c r="B164">
        <v>221</v>
      </c>
    </row>
    <row r="165" spans="1:2" x14ac:dyDescent="0.25">
      <c r="A165" t="s">
        <v>222</v>
      </c>
      <c r="B165">
        <v>223</v>
      </c>
    </row>
    <row r="166" spans="1:2" x14ac:dyDescent="0.25">
      <c r="A166" t="s">
        <v>223</v>
      </c>
      <c r="B166">
        <v>224</v>
      </c>
    </row>
    <row r="167" spans="1:2" x14ac:dyDescent="0.25">
      <c r="A167" t="s">
        <v>224</v>
      </c>
      <c r="B167">
        <v>226</v>
      </c>
    </row>
    <row r="168" spans="1:2" x14ac:dyDescent="0.25">
      <c r="A168" t="s">
        <v>225</v>
      </c>
      <c r="B168">
        <v>227</v>
      </c>
    </row>
    <row r="169" spans="1:2" x14ac:dyDescent="0.25">
      <c r="A169" t="s">
        <v>226</v>
      </c>
      <c r="B169">
        <v>228</v>
      </c>
    </row>
    <row r="170" spans="1:2" x14ac:dyDescent="0.25">
      <c r="A170" t="s">
        <v>227</v>
      </c>
      <c r="B170">
        <v>230</v>
      </c>
    </row>
    <row r="171" spans="1:2" x14ac:dyDescent="0.25">
      <c r="A171" t="s">
        <v>228</v>
      </c>
      <c r="B171">
        <v>231</v>
      </c>
    </row>
    <row r="172" spans="1:2" x14ac:dyDescent="0.25">
      <c r="A172" t="s">
        <v>229</v>
      </c>
      <c r="B172">
        <v>233</v>
      </c>
    </row>
    <row r="173" spans="1:2" x14ac:dyDescent="0.25">
      <c r="A173" t="s">
        <v>230</v>
      </c>
      <c r="B173">
        <v>235</v>
      </c>
    </row>
    <row r="174" spans="1:2" x14ac:dyDescent="0.25">
      <c r="A174" t="s">
        <v>231</v>
      </c>
      <c r="B174">
        <v>238</v>
      </c>
    </row>
    <row r="175" spans="1:2" x14ac:dyDescent="0.25">
      <c r="A175" t="s">
        <v>232</v>
      </c>
      <c r="B175">
        <v>239</v>
      </c>
    </row>
    <row r="176" spans="1:2" x14ac:dyDescent="0.25">
      <c r="A176" t="s">
        <v>233</v>
      </c>
      <c r="B176">
        <v>240</v>
      </c>
    </row>
    <row r="177" spans="1:2" x14ac:dyDescent="0.25">
      <c r="A177" t="s">
        <v>234</v>
      </c>
      <c r="B177">
        <v>241</v>
      </c>
    </row>
    <row r="178" spans="1:2" x14ac:dyDescent="0.25">
      <c r="A178" t="s">
        <v>235</v>
      </c>
      <c r="B178">
        <v>242</v>
      </c>
    </row>
    <row r="179" spans="1:2" x14ac:dyDescent="0.25">
      <c r="A179" t="s">
        <v>236</v>
      </c>
      <c r="B179">
        <v>243</v>
      </c>
    </row>
    <row r="180" spans="1:2" x14ac:dyDescent="0.25">
      <c r="A180" t="s">
        <v>237</v>
      </c>
      <c r="B180">
        <v>244</v>
      </c>
    </row>
    <row r="181" spans="1:2" x14ac:dyDescent="0.25">
      <c r="A181" t="s">
        <v>238</v>
      </c>
      <c r="B181">
        <v>245</v>
      </c>
    </row>
    <row r="182" spans="1:2" x14ac:dyDescent="0.25">
      <c r="A182" t="s">
        <v>239</v>
      </c>
      <c r="B182">
        <v>246</v>
      </c>
    </row>
    <row r="183" spans="1:2" x14ac:dyDescent="0.25">
      <c r="A183" t="s">
        <v>240</v>
      </c>
      <c r="B183">
        <v>247</v>
      </c>
    </row>
    <row r="184" spans="1:2" x14ac:dyDescent="0.25">
      <c r="A184" t="s">
        <v>241</v>
      </c>
      <c r="B184">
        <v>248</v>
      </c>
    </row>
    <row r="185" spans="1:2" x14ac:dyDescent="0.25">
      <c r="A185" t="s">
        <v>242</v>
      </c>
      <c r="B185">
        <v>249</v>
      </c>
    </row>
    <row r="186" spans="1:2" x14ac:dyDescent="0.25">
      <c r="A186" t="s">
        <v>243</v>
      </c>
      <c r="B186">
        <v>250</v>
      </c>
    </row>
    <row r="187" spans="1:2" x14ac:dyDescent="0.25">
      <c r="A187" t="s">
        <v>244</v>
      </c>
      <c r="B187">
        <v>252</v>
      </c>
    </row>
    <row r="188" spans="1:2" x14ac:dyDescent="0.25">
      <c r="A188" t="s">
        <v>245</v>
      </c>
      <c r="B188">
        <v>253</v>
      </c>
    </row>
    <row r="189" spans="1:2" x14ac:dyDescent="0.25">
      <c r="A189" t="s">
        <v>246</v>
      </c>
      <c r="B189">
        <v>254</v>
      </c>
    </row>
    <row r="190" spans="1:2" x14ac:dyDescent="0.25">
      <c r="A190" t="s">
        <v>247</v>
      </c>
      <c r="B190">
        <v>256</v>
      </c>
    </row>
    <row r="191" spans="1:2" x14ac:dyDescent="0.25">
      <c r="A191" t="s">
        <v>248</v>
      </c>
      <c r="B191">
        <v>258</v>
      </c>
    </row>
    <row r="192" spans="1:2" x14ac:dyDescent="0.25">
      <c r="A192" t="s">
        <v>249</v>
      </c>
      <c r="B192">
        <v>259</v>
      </c>
    </row>
    <row r="193" spans="1:2" x14ac:dyDescent="0.25">
      <c r="A193" t="s">
        <v>250</v>
      </c>
      <c r="B193">
        <v>260</v>
      </c>
    </row>
    <row r="194" spans="1:2" x14ac:dyDescent="0.25">
      <c r="A194" t="s">
        <v>251</v>
      </c>
      <c r="B194">
        <v>261</v>
      </c>
    </row>
    <row r="195" spans="1:2" x14ac:dyDescent="0.25">
      <c r="A195" t="s">
        <v>252</v>
      </c>
      <c r="B195">
        <v>262</v>
      </c>
    </row>
    <row r="196" spans="1:2" x14ac:dyDescent="0.25">
      <c r="A196" t="s">
        <v>253</v>
      </c>
      <c r="B196">
        <v>264</v>
      </c>
    </row>
    <row r="197" spans="1:2" x14ac:dyDescent="0.25">
      <c r="A197" t="s">
        <v>254</v>
      </c>
      <c r="B197">
        <v>267</v>
      </c>
    </row>
    <row r="198" spans="1:2" x14ac:dyDescent="0.25">
      <c r="A198" t="s">
        <v>255</v>
      </c>
      <c r="B198">
        <v>269</v>
      </c>
    </row>
    <row r="199" spans="1:2" x14ac:dyDescent="0.25">
      <c r="A199" t="s">
        <v>256</v>
      </c>
      <c r="B199">
        <v>270</v>
      </c>
    </row>
    <row r="200" spans="1:2" x14ac:dyDescent="0.25">
      <c r="A200" t="s">
        <v>257</v>
      </c>
      <c r="B200">
        <v>271</v>
      </c>
    </row>
    <row r="201" spans="1:2" x14ac:dyDescent="0.25">
      <c r="A201" t="s">
        <v>258</v>
      </c>
      <c r="B201">
        <v>273</v>
      </c>
    </row>
    <row r="202" spans="1:2" x14ac:dyDescent="0.25">
      <c r="A202" t="s">
        <v>259</v>
      </c>
      <c r="B202">
        <v>274</v>
      </c>
    </row>
    <row r="203" spans="1:2" x14ac:dyDescent="0.25">
      <c r="A203" t="s">
        <v>260</v>
      </c>
      <c r="B203">
        <v>275</v>
      </c>
    </row>
    <row r="204" spans="1:2" x14ac:dyDescent="0.25">
      <c r="A204" t="s">
        <v>261</v>
      </c>
      <c r="B204">
        <v>277</v>
      </c>
    </row>
    <row r="205" spans="1:2" x14ac:dyDescent="0.25">
      <c r="A205" t="s">
        <v>262</v>
      </c>
      <c r="B205">
        <v>281</v>
      </c>
    </row>
    <row r="206" spans="1:2" x14ac:dyDescent="0.25">
      <c r="A206" t="s">
        <v>263</v>
      </c>
      <c r="B206">
        <v>282</v>
      </c>
    </row>
    <row r="207" spans="1:2" x14ac:dyDescent="0.25">
      <c r="A207" t="s">
        <v>264</v>
      </c>
      <c r="B207">
        <v>283</v>
      </c>
    </row>
    <row r="208" spans="1:2" x14ac:dyDescent="0.25">
      <c r="A208" t="s">
        <v>265</v>
      </c>
      <c r="B208">
        <v>284</v>
      </c>
    </row>
    <row r="209" spans="1:2" x14ac:dyDescent="0.25">
      <c r="A209" t="s">
        <v>266</v>
      </c>
      <c r="B209">
        <v>286</v>
      </c>
    </row>
    <row r="210" spans="1:2" x14ac:dyDescent="0.25">
      <c r="A210" t="s">
        <v>267</v>
      </c>
      <c r="B210">
        <v>287</v>
      </c>
    </row>
    <row r="211" spans="1:2" x14ac:dyDescent="0.25">
      <c r="A211" t="s">
        <v>268</v>
      </c>
      <c r="B211">
        <v>288</v>
      </c>
    </row>
    <row r="212" spans="1:2" x14ac:dyDescent="0.25">
      <c r="A212" t="s">
        <v>269</v>
      </c>
      <c r="B212">
        <v>291</v>
      </c>
    </row>
    <row r="213" spans="1:2" x14ac:dyDescent="0.25">
      <c r="A213" t="s">
        <v>270</v>
      </c>
      <c r="B213">
        <v>292</v>
      </c>
    </row>
    <row r="214" spans="1:2" x14ac:dyDescent="0.25">
      <c r="A214" t="s">
        <v>271</v>
      </c>
      <c r="B214">
        <v>293</v>
      </c>
    </row>
    <row r="215" spans="1:2" x14ac:dyDescent="0.25">
      <c r="A215" t="s">
        <v>272</v>
      </c>
      <c r="B215">
        <v>296</v>
      </c>
    </row>
    <row r="216" spans="1:2" x14ac:dyDescent="0.25">
      <c r="A216" t="s">
        <v>273</v>
      </c>
      <c r="B216">
        <v>297</v>
      </c>
    </row>
    <row r="217" spans="1:2" x14ac:dyDescent="0.25">
      <c r="A217" t="s">
        <v>274</v>
      </c>
      <c r="B217">
        <v>298</v>
      </c>
    </row>
    <row r="218" spans="1:2" x14ac:dyDescent="0.25">
      <c r="A218" t="s">
        <v>275</v>
      </c>
      <c r="B218">
        <v>299</v>
      </c>
    </row>
    <row r="219" spans="1:2" x14ac:dyDescent="0.25">
      <c r="A219" t="s">
        <v>276</v>
      </c>
      <c r="B219">
        <v>300</v>
      </c>
    </row>
    <row r="220" spans="1:2" x14ac:dyDescent="0.25">
      <c r="A220" t="s">
        <v>277</v>
      </c>
      <c r="B220">
        <v>302</v>
      </c>
    </row>
    <row r="221" spans="1:2" x14ac:dyDescent="0.25">
      <c r="A221" t="s">
        <v>278</v>
      </c>
      <c r="B221">
        <v>303</v>
      </c>
    </row>
    <row r="222" spans="1:2" x14ac:dyDescent="0.25">
      <c r="A222" t="s">
        <v>279</v>
      </c>
      <c r="B222">
        <v>304</v>
      </c>
    </row>
    <row r="223" spans="1:2" x14ac:dyDescent="0.25">
      <c r="A223" t="s">
        <v>280</v>
      </c>
      <c r="B223">
        <v>305</v>
      </c>
    </row>
    <row r="224" spans="1:2" x14ac:dyDescent="0.25">
      <c r="A224" t="s">
        <v>281</v>
      </c>
      <c r="B224">
        <v>306</v>
      </c>
    </row>
    <row r="225" spans="1:2" x14ac:dyDescent="0.25">
      <c r="A225" t="s">
        <v>282</v>
      </c>
      <c r="B225">
        <v>307</v>
      </c>
    </row>
    <row r="226" spans="1:2" x14ac:dyDescent="0.25">
      <c r="A226" t="s">
        <v>283</v>
      </c>
      <c r="B226">
        <v>308</v>
      </c>
    </row>
    <row r="227" spans="1:2" x14ac:dyDescent="0.25">
      <c r="A227" t="s">
        <v>284</v>
      </c>
      <c r="B227">
        <v>309</v>
      </c>
    </row>
    <row r="228" spans="1:2" x14ac:dyDescent="0.25">
      <c r="A228" t="s">
        <v>285</v>
      </c>
      <c r="B228">
        <v>311</v>
      </c>
    </row>
    <row r="229" spans="1:2" x14ac:dyDescent="0.25">
      <c r="A229" t="s">
        <v>286</v>
      </c>
      <c r="B229">
        <v>312</v>
      </c>
    </row>
    <row r="230" spans="1:2" x14ac:dyDescent="0.25">
      <c r="A230" t="s">
        <v>287</v>
      </c>
      <c r="B230">
        <v>314</v>
      </c>
    </row>
    <row r="231" spans="1:2" x14ac:dyDescent="0.25">
      <c r="A231" t="s">
        <v>288</v>
      </c>
      <c r="B231">
        <v>315</v>
      </c>
    </row>
    <row r="232" spans="1:2" x14ac:dyDescent="0.25">
      <c r="A232" t="s">
        <v>289</v>
      </c>
      <c r="B232">
        <v>316</v>
      </c>
    </row>
    <row r="233" spans="1:2" x14ac:dyDescent="0.25">
      <c r="A233" t="s">
        <v>290</v>
      </c>
      <c r="B233">
        <v>319</v>
      </c>
    </row>
    <row r="234" spans="1:2" x14ac:dyDescent="0.25">
      <c r="A234" t="s">
        <v>291</v>
      </c>
      <c r="B234">
        <v>321</v>
      </c>
    </row>
    <row r="235" spans="1:2" x14ac:dyDescent="0.25">
      <c r="A235" t="s">
        <v>292</v>
      </c>
      <c r="B235">
        <v>323</v>
      </c>
    </row>
    <row r="236" spans="1:2" x14ac:dyDescent="0.25">
      <c r="A236" t="s">
        <v>293</v>
      </c>
      <c r="B236">
        <v>325</v>
      </c>
    </row>
    <row r="237" spans="1:2" x14ac:dyDescent="0.25">
      <c r="A237" t="s">
        <v>294</v>
      </c>
      <c r="B237">
        <v>327</v>
      </c>
    </row>
    <row r="238" spans="1:2" x14ac:dyDescent="0.25">
      <c r="A238" t="s">
        <v>295</v>
      </c>
      <c r="B238">
        <v>328</v>
      </c>
    </row>
    <row r="239" spans="1:2" x14ac:dyDescent="0.25">
      <c r="A239" t="s">
        <v>296</v>
      </c>
      <c r="B239">
        <v>329</v>
      </c>
    </row>
    <row r="240" spans="1:2" x14ac:dyDescent="0.25">
      <c r="A240" t="s">
        <v>297</v>
      </c>
      <c r="B240">
        <v>330</v>
      </c>
    </row>
    <row r="241" spans="1:2" x14ac:dyDescent="0.25">
      <c r="A241" t="s">
        <v>298</v>
      </c>
      <c r="B241">
        <v>331</v>
      </c>
    </row>
    <row r="242" spans="1:2" x14ac:dyDescent="0.25">
      <c r="A242" t="s">
        <v>299</v>
      </c>
      <c r="B242">
        <v>332</v>
      </c>
    </row>
    <row r="243" spans="1:2" x14ac:dyDescent="0.25">
      <c r="A243" t="s">
        <v>300</v>
      </c>
      <c r="B243">
        <v>333</v>
      </c>
    </row>
    <row r="244" spans="1:2" x14ac:dyDescent="0.25">
      <c r="A244" t="s">
        <v>301</v>
      </c>
      <c r="B244">
        <v>334</v>
      </c>
    </row>
    <row r="245" spans="1:2" x14ac:dyDescent="0.25">
      <c r="A245" t="s">
        <v>302</v>
      </c>
      <c r="B245">
        <v>335</v>
      </c>
    </row>
    <row r="246" spans="1:2" x14ac:dyDescent="0.25">
      <c r="A246" t="s">
        <v>303</v>
      </c>
      <c r="B246">
        <v>336</v>
      </c>
    </row>
    <row r="247" spans="1:2" x14ac:dyDescent="0.25">
      <c r="A247" t="s">
        <v>304</v>
      </c>
      <c r="B247">
        <v>337</v>
      </c>
    </row>
    <row r="248" spans="1:2" x14ac:dyDescent="0.25">
      <c r="A248" t="s">
        <v>305</v>
      </c>
      <c r="B248">
        <v>338</v>
      </c>
    </row>
    <row r="249" spans="1:2" x14ac:dyDescent="0.25">
      <c r="A249" t="s">
        <v>306</v>
      </c>
      <c r="B249">
        <v>339</v>
      </c>
    </row>
    <row r="250" spans="1:2" x14ac:dyDescent="0.25">
      <c r="A250" t="s">
        <v>307</v>
      </c>
      <c r="B250">
        <v>340</v>
      </c>
    </row>
    <row r="251" spans="1:2" x14ac:dyDescent="0.25">
      <c r="A251" t="s">
        <v>308</v>
      </c>
      <c r="B251">
        <v>341</v>
      </c>
    </row>
    <row r="252" spans="1:2" x14ac:dyDescent="0.25">
      <c r="A252" t="s">
        <v>309</v>
      </c>
      <c r="B252">
        <v>342</v>
      </c>
    </row>
    <row r="253" spans="1:2" x14ac:dyDescent="0.25">
      <c r="A253" t="s">
        <v>310</v>
      </c>
      <c r="B253">
        <v>343</v>
      </c>
    </row>
    <row r="254" spans="1:2" x14ac:dyDescent="0.25">
      <c r="A254" t="s">
        <v>311</v>
      </c>
      <c r="B254">
        <v>346</v>
      </c>
    </row>
    <row r="255" spans="1:2" x14ac:dyDescent="0.25">
      <c r="A255" t="s">
        <v>312</v>
      </c>
      <c r="B255">
        <v>347</v>
      </c>
    </row>
    <row r="256" spans="1:2" x14ac:dyDescent="0.25">
      <c r="A256" t="s">
        <v>313</v>
      </c>
      <c r="B256">
        <v>349</v>
      </c>
    </row>
    <row r="257" spans="1:2" x14ac:dyDescent="0.25">
      <c r="A257" t="s">
        <v>314</v>
      </c>
      <c r="B257">
        <v>350</v>
      </c>
    </row>
    <row r="258" spans="1:2" x14ac:dyDescent="0.25">
      <c r="A258" t="s">
        <v>315</v>
      </c>
      <c r="B258">
        <v>351</v>
      </c>
    </row>
    <row r="259" spans="1:2" x14ac:dyDescent="0.25">
      <c r="A259" t="s">
        <v>316</v>
      </c>
      <c r="B259">
        <v>352</v>
      </c>
    </row>
    <row r="260" spans="1:2" x14ac:dyDescent="0.25">
      <c r="A260" t="s">
        <v>317</v>
      </c>
      <c r="B260">
        <v>353</v>
      </c>
    </row>
    <row r="261" spans="1:2" x14ac:dyDescent="0.25">
      <c r="A261" t="s">
        <v>318</v>
      </c>
      <c r="B261">
        <v>355</v>
      </c>
    </row>
    <row r="262" spans="1:2" x14ac:dyDescent="0.25">
      <c r="A262" t="s">
        <v>319</v>
      </c>
      <c r="B262">
        <v>359</v>
      </c>
    </row>
    <row r="263" spans="1:2" x14ac:dyDescent="0.25">
      <c r="A263" t="s">
        <v>320</v>
      </c>
      <c r="B263">
        <v>361</v>
      </c>
    </row>
    <row r="264" spans="1:2" x14ac:dyDescent="0.25">
      <c r="A264" t="s">
        <v>321</v>
      </c>
      <c r="B264">
        <v>362</v>
      </c>
    </row>
    <row r="265" spans="1:2" x14ac:dyDescent="0.25">
      <c r="A265" t="s">
        <v>322</v>
      </c>
      <c r="B265">
        <v>363</v>
      </c>
    </row>
    <row r="266" spans="1:2" x14ac:dyDescent="0.25">
      <c r="A266" t="s">
        <v>323</v>
      </c>
      <c r="B266">
        <v>364</v>
      </c>
    </row>
    <row r="267" spans="1:2" x14ac:dyDescent="0.25">
      <c r="A267" t="s">
        <v>324</v>
      </c>
      <c r="B267">
        <v>366</v>
      </c>
    </row>
    <row r="268" spans="1:2" x14ac:dyDescent="0.25">
      <c r="A268" t="s">
        <v>325</v>
      </c>
      <c r="B268">
        <v>367</v>
      </c>
    </row>
    <row r="269" spans="1:2" x14ac:dyDescent="0.25">
      <c r="A269" t="s">
        <v>326</v>
      </c>
      <c r="B269">
        <v>369</v>
      </c>
    </row>
    <row r="270" spans="1:2" x14ac:dyDescent="0.25">
      <c r="A270" t="s">
        <v>327</v>
      </c>
      <c r="B270">
        <v>372</v>
      </c>
    </row>
    <row r="271" spans="1:2" x14ac:dyDescent="0.25">
      <c r="A271" t="s">
        <v>328</v>
      </c>
      <c r="B271">
        <v>373</v>
      </c>
    </row>
    <row r="272" spans="1:2" x14ac:dyDescent="0.25">
      <c r="A272" t="s">
        <v>329</v>
      </c>
      <c r="B272">
        <v>374</v>
      </c>
    </row>
    <row r="273" spans="1:2" x14ac:dyDescent="0.25">
      <c r="A273" t="s">
        <v>330</v>
      </c>
      <c r="B273">
        <v>376</v>
      </c>
    </row>
    <row r="274" spans="1:2" x14ac:dyDescent="0.25">
      <c r="A274" t="s">
        <v>331</v>
      </c>
      <c r="B274">
        <v>377</v>
      </c>
    </row>
    <row r="275" spans="1:2" x14ac:dyDescent="0.25">
      <c r="A275" t="s">
        <v>332</v>
      </c>
      <c r="B275">
        <v>378</v>
      </c>
    </row>
    <row r="276" spans="1:2" x14ac:dyDescent="0.25">
      <c r="A276" t="s">
        <v>333</v>
      </c>
      <c r="B276">
        <v>379</v>
      </c>
    </row>
    <row r="277" spans="1:2" x14ac:dyDescent="0.25">
      <c r="A277" t="s">
        <v>334</v>
      </c>
      <c r="B277">
        <v>380</v>
      </c>
    </row>
    <row r="278" spans="1:2" x14ac:dyDescent="0.25">
      <c r="A278" t="s">
        <v>335</v>
      </c>
      <c r="B278">
        <v>381</v>
      </c>
    </row>
    <row r="279" spans="1:2" x14ac:dyDescent="0.25">
      <c r="A279" t="s">
        <v>336</v>
      </c>
      <c r="B279">
        <v>382</v>
      </c>
    </row>
    <row r="280" spans="1:2" x14ac:dyDescent="0.25">
      <c r="A280" t="s">
        <v>337</v>
      </c>
      <c r="B280">
        <v>384</v>
      </c>
    </row>
    <row r="281" spans="1:2" x14ac:dyDescent="0.25">
      <c r="A281" t="s">
        <v>338</v>
      </c>
      <c r="B281">
        <v>385</v>
      </c>
    </row>
    <row r="282" spans="1:2" x14ac:dyDescent="0.25">
      <c r="A282" t="s">
        <v>339</v>
      </c>
      <c r="B282">
        <v>386</v>
      </c>
    </row>
    <row r="283" spans="1:2" x14ac:dyDescent="0.25">
      <c r="A283" t="s">
        <v>340</v>
      </c>
      <c r="B283">
        <v>387</v>
      </c>
    </row>
    <row r="284" spans="1:2" x14ac:dyDescent="0.25">
      <c r="A284" t="s">
        <v>341</v>
      </c>
      <c r="B284">
        <v>388</v>
      </c>
    </row>
    <row r="285" spans="1:2" x14ac:dyDescent="0.25">
      <c r="A285" t="s">
        <v>342</v>
      </c>
      <c r="B285">
        <v>389</v>
      </c>
    </row>
    <row r="286" spans="1:2" x14ac:dyDescent="0.25">
      <c r="A286" t="s">
        <v>343</v>
      </c>
      <c r="B286">
        <v>390</v>
      </c>
    </row>
    <row r="287" spans="1:2" x14ac:dyDescent="0.25">
      <c r="A287" t="s">
        <v>344</v>
      </c>
      <c r="B287">
        <v>391</v>
      </c>
    </row>
    <row r="288" spans="1:2" x14ac:dyDescent="0.25">
      <c r="A288" t="s">
        <v>345</v>
      </c>
      <c r="B288">
        <v>392</v>
      </c>
    </row>
    <row r="289" spans="1:2" x14ac:dyDescent="0.25">
      <c r="A289" t="s">
        <v>346</v>
      </c>
      <c r="B289">
        <v>393</v>
      </c>
    </row>
    <row r="290" spans="1:2" x14ac:dyDescent="0.25">
      <c r="A290" t="s">
        <v>347</v>
      </c>
      <c r="B290">
        <v>394</v>
      </c>
    </row>
    <row r="291" spans="1:2" x14ac:dyDescent="0.25">
      <c r="A291" t="s">
        <v>348</v>
      </c>
      <c r="B291">
        <v>395</v>
      </c>
    </row>
    <row r="292" spans="1:2" x14ac:dyDescent="0.25">
      <c r="A292" t="s">
        <v>349</v>
      </c>
      <c r="B292">
        <v>396</v>
      </c>
    </row>
    <row r="293" spans="1:2" x14ac:dyDescent="0.25">
      <c r="A293" t="s">
        <v>350</v>
      </c>
      <c r="B293">
        <v>397</v>
      </c>
    </row>
    <row r="294" spans="1:2" x14ac:dyDescent="0.25">
      <c r="A294" t="s">
        <v>351</v>
      </c>
      <c r="B294">
        <v>399</v>
      </c>
    </row>
    <row r="295" spans="1:2" x14ac:dyDescent="0.25">
      <c r="A295" t="s">
        <v>352</v>
      </c>
      <c r="B295">
        <v>401</v>
      </c>
    </row>
    <row r="296" spans="1:2" x14ac:dyDescent="0.25">
      <c r="A296" t="s">
        <v>353</v>
      </c>
      <c r="B296">
        <v>403</v>
      </c>
    </row>
    <row r="297" spans="1:2" x14ac:dyDescent="0.25">
      <c r="A297" t="s">
        <v>354</v>
      </c>
      <c r="B297">
        <v>404</v>
      </c>
    </row>
    <row r="298" spans="1:2" x14ac:dyDescent="0.25">
      <c r="A298" t="s">
        <v>355</v>
      </c>
      <c r="B298">
        <v>405</v>
      </c>
    </row>
    <row r="299" spans="1:2" x14ac:dyDescent="0.25">
      <c r="A299" t="s">
        <v>356</v>
      </c>
      <c r="B299">
        <v>406</v>
      </c>
    </row>
    <row r="300" spans="1:2" x14ac:dyDescent="0.25">
      <c r="A300" t="s">
        <v>357</v>
      </c>
      <c r="B300">
        <v>407</v>
      </c>
    </row>
    <row r="301" spans="1:2" x14ac:dyDescent="0.25">
      <c r="A301" t="s">
        <v>358</v>
      </c>
      <c r="B301">
        <v>408</v>
      </c>
    </row>
    <row r="302" spans="1:2" x14ac:dyDescent="0.25">
      <c r="A302" t="s">
        <v>359</v>
      </c>
      <c r="B302">
        <v>410</v>
      </c>
    </row>
    <row r="303" spans="1:2" x14ac:dyDescent="0.25">
      <c r="A303" t="s">
        <v>360</v>
      </c>
      <c r="B303">
        <v>411</v>
      </c>
    </row>
    <row r="304" spans="1:2" x14ac:dyDescent="0.25">
      <c r="A304" t="s">
        <v>361</v>
      </c>
      <c r="B304">
        <v>412</v>
      </c>
    </row>
    <row r="305" spans="1:2" x14ac:dyDescent="0.25">
      <c r="A305" t="s">
        <v>362</v>
      </c>
      <c r="B305">
        <v>416</v>
      </c>
    </row>
    <row r="306" spans="1:2" x14ac:dyDescent="0.25">
      <c r="A306" t="s">
        <v>363</v>
      </c>
      <c r="B306">
        <v>417</v>
      </c>
    </row>
    <row r="307" spans="1:2" x14ac:dyDescent="0.25">
      <c r="A307" t="s">
        <v>364</v>
      </c>
      <c r="B307">
        <v>419</v>
      </c>
    </row>
    <row r="308" spans="1:2" x14ac:dyDescent="0.25">
      <c r="A308" t="s">
        <v>365</v>
      </c>
      <c r="B308">
        <v>420</v>
      </c>
    </row>
    <row r="309" spans="1:2" x14ac:dyDescent="0.25">
      <c r="A309" t="s">
        <v>366</v>
      </c>
      <c r="B309">
        <v>421</v>
      </c>
    </row>
    <row r="310" spans="1:2" x14ac:dyDescent="0.25">
      <c r="A310" t="s">
        <v>367</v>
      </c>
      <c r="B310">
        <v>422</v>
      </c>
    </row>
    <row r="311" spans="1:2" x14ac:dyDescent="0.25">
      <c r="A311" t="s">
        <v>368</v>
      </c>
      <c r="B311">
        <v>423</v>
      </c>
    </row>
    <row r="312" spans="1:2" x14ac:dyDescent="0.25">
      <c r="A312" t="s">
        <v>369</v>
      </c>
      <c r="B312">
        <v>424</v>
      </c>
    </row>
    <row r="313" spans="1:2" x14ac:dyDescent="0.25">
      <c r="A313" t="s">
        <v>370</v>
      </c>
      <c r="B313">
        <v>425</v>
      </c>
    </row>
    <row r="314" spans="1:2" x14ac:dyDescent="0.25">
      <c r="A314" t="s">
        <v>371</v>
      </c>
      <c r="B314">
        <v>426</v>
      </c>
    </row>
    <row r="315" spans="1:2" x14ac:dyDescent="0.25">
      <c r="A315" t="s">
        <v>372</v>
      </c>
      <c r="B315">
        <v>428</v>
      </c>
    </row>
    <row r="316" spans="1:2" x14ac:dyDescent="0.25">
      <c r="A316" t="s">
        <v>373</v>
      </c>
      <c r="B316">
        <v>429</v>
      </c>
    </row>
    <row r="317" spans="1:2" x14ac:dyDescent="0.25">
      <c r="A317" t="s">
        <v>374</v>
      </c>
      <c r="B317">
        <v>430</v>
      </c>
    </row>
    <row r="318" spans="1:2" x14ac:dyDescent="0.25">
      <c r="A318" t="s">
        <v>375</v>
      </c>
      <c r="B318">
        <v>431</v>
      </c>
    </row>
    <row r="319" spans="1:2" x14ac:dyDescent="0.25">
      <c r="A319" t="s">
        <v>376</v>
      </c>
      <c r="B319">
        <v>433</v>
      </c>
    </row>
    <row r="320" spans="1:2" x14ac:dyDescent="0.25">
      <c r="A320" t="s">
        <v>377</v>
      </c>
      <c r="B320">
        <v>434</v>
      </c>
    </row>
    <row r="321" spans="1:2" x14ac:dyDescent="0.25">
      <c r="A321" t="s">
        <v>378</v>
      </c>
      <c r="B321">
        <v>436</v>
      </c>
    </row>
    <row r="322" spans="1:2" x14ac:dyDescent="0.25">
      <c r="A322" t="s">
        <v>379</v>
      </c>
      <c r="B322">
        <v>437</v>
      </c>
    </row>
    <row r="323" spans="1:2" x14ac:dyDescent="0.25">
      <c r="A323" t="s">
        <v>380</v>
      </c>
      <c r="B323">
        <v>438</v>
      </c>
    </row>
    <row r="324" spans="1:2" x14ac:dyDescent="0.25">
      <c r="A324" t="s">
        <v>381</v>
      </c>
      <c r="B324">
        <v>439</v>
      </c>
    </row>
    <row r="325" spans="1:2" x14ac:dyDescent="0.25">
      <c r="A325" t="s">
        <v>382</v>
      </c>
      <c r="B325">
        <v>440</v>
      </c>
    </row>
    <row r="326" spans="1:2" x14ac:dyDescent="0.25">
      <c r="A326" t="s">
        <v>383</v>
      </c>
      <c r="B326">
        <v>441</v>
      </c>
    </row>
    <row r="327" spans="1:2" x14ac:dyDescent="0.25">
      <c r="A327" t="s">
        <v>384</v>
      </c>
      <c r="B327">
        <v>442</v>
      </c>
    </row>
    <row r="328" spans="1:2" x14ac:dyDescent="0.25">
      <c r="A328" t="s">
        <v>385</v>
      </c>
      <c r="B328">
        <v>444</v>
      </c>
    </row>
    <row r="329" spans="1:2" x14ac:dyDescent="0.25">
      <c r="A329" t="s">
        <v>386</v>
      </c>
      <c r="B329">
        <v>445</v>
      </c>
    </row>
    <row r="330" spans="1:2" x14ac:dyDescent="0.25">
      <c r="A330" t="s">
        <v>387</v>
      </c>
      <c r="B330">
        <v>446</v>
      </c>
    </row>
    <row r="331" spans="1:2" x14ac:dyDescent="0.25">
      <c r="A331" t="s">
        <v>388</v>
      </c>
      <c r="B331">
        <v>447</v>
      </c>
    </row>
    <row r="332" spans="1:2" x14ac:dyDescent="0.25">
      <c r="A332" t="s">
        <v>389</v>
      </c>
      <c r="B332">
        <v>448</v>
      </c>
    </row>
    <row r="333" spans="1:2" x14ac:dyDescent="0.25">
      <c r="A333" t="s">
        <v>390</v>
      </c>
      <c r="B333">
        <v>449</v>
      </c>
    </row>
    <row r="334" spans="1:2" x14ac:dyDescent="0.25">
      <c r="A334" t="s">
        <v>391</v>
      </c>
      <c r="B334">
        <v>450</v>
      </c>
    </row>
    <row r="335" spans="1:2" x14ac:dyDescent="0.25">
      <c r="A335" t="s">
        <v>392</v>
      </c>
      <c r="B335">
        <v>451</v>
      </c>
    </row>
    <row r="336" spans="1:2" x14ac:dyDescent="0.25">
      <c r="A336" t="s">
        <v>393</v>
      </c>
      <c r="B336">
        <v>452</v>
      </c>
    </row>
    <row r="337" spans="1:2" x14ac:dyDescent="0.25">
      <c r="A337" t="s">
        <v>394</v>
      </c>
      <c r="B337">
        <v>453</v>
      </c>
    </row>
    <row r="338" spans="1:2" x14ac:dyDescent="0.25">
      <c r="A338" t="s">
        <v>395</v>
      </c>
      <c r="B338">
        <v>454</v>
      </c>
    </row>
    <row r="339" spans="1:2" x14ac:dyDescent="0.25">
      <c r="A339" t="s">
        <v>396</v>
      </c>
      <c r="B339">
        <v>455</v>
      </c>
    </row>
    <row r="340" spans="1:2" x14ac:dyDescent="0.25">
      <c r="A340" t="s">
        <v>397</v>
      </c>
      <c r="B340">
        <v>456</v>
      </c>
    </row>
    <row r="341" spans="1:2" x14ac:dyDescent="0.25">
      <c r="A341" t="s">
        <v>398</v>
      </c>
      <c r="B341">
        <v>458</v>
      </c>
    </row>
    <row r="342" spans="1:2" x14ac:dyDescent="0.25">
      <c r="A342" t="s">
        <v>399</v>
      </c>
      <c r="B342">
        <v>460</v>
      </c>
    </row>
    <row r="343" spans="1:2" x14ac:dyDescent="0.25">
      <c r="A343" t="s">
        <v>400</v>
      </c>
      <c r="B343">
        <v>461</v>
      </c>
    </row>
    <row r="344" spans="1:2" x14ac:dyDescent="0.25">
      <c r="A344" t="s">
        <v>401</v>
      </c>
      <c r="B344">
        <v>462</v>
      </c>
    </row>
    <row r="345" spans="1:2" x14ac:dyDescent="0.25">
      <c r="A345" t="s">
        <v>402</v>
      </c>
      <c r="B345">
        <v>463</v>
      </c>
    </row>
    <row r="346" spans="1:2" x14ac:dyDescent="0.25">
      <c r="A346" t="s">
        <v>403</v>
      </c>
      <c r="B346">
        <v>464</v>
      </c>
    </row>
    <row r="347" spans="1:2" x14ac:dyDescent="0.25">
      <c r="A347" t="s">
        <v>404</v>
      </c>
      <c r="B347">
        <v>465</v>
      </c>
    </row>
    <row r="348" spans="1:2" x14ac:dyDescent="0.25">
      <c r="A348" t="s">
        <v>405</v>
      </c>
      <c r="B348">
        <v>466</v>
      </c>
    </row>
    <row r="349" spans="1:2" x14ac:dyDescent="0.25">
      <c r="A349" t="s">
        <v>406</v>
      </c>
      <c r="B349">
        <v>467</v>
      </c>
    </row>
    <row r="350" spans="1:2" x14ac:dyDescent="0.25">
      <c r="A350" t="s">
        <v>407</v>
      </c>
      <c r="B350">
        <v>468</v>
      </c>
    </row>
    <row r="351" spans="1:2" x14ac:dyDescent="0.25">
      <c r="A351" t="s">
        <v>408</v>
      </c>
      <c r="B351">
        <v>469</v>
      </c>
    </row>
    <row r="352" spans="1:2" x14ac:dyDescent="0.25">
      <c r="A352" t="s">
        <v>409</v>
      </c>
      <c r="B352">
        <v>470</v>
      </c>
    </row>
    <row r="353" spans="1:2" x14ac:dyDescent="0.25">
      <c r="A353" t="s">
        <v>410</v>
      </c>
      <c r="B353">
        <v>471</v>
      </c>
    </row>
    <row r="354" spans="1:2" x14ac:dyDescent="0.25">
      <c r="A354" t="s">
        <v>411</v>
      </c>
      <c r="B354">
        <v>473</v>
      </c>
    </row>
    <row r="355" spans="1:2" x14ac:dyDescent="0.25">
      <c r="A355" t="s">
        <v>412</v>
      </c>
      <c r="B355">
        <v>474</v>
      </c>
    </row>
    <row r="356" spans="1:2" x14ac:dyDescent="0.25">
      <c r="A356" t="s">
        <v>413</v>
      </c>
      <c r="B356">
        <v>475</v>
      </c>
    </row>
    <row r="357" spans="1:2" x14ac:dyDescent="0.25">
      <c r="A357" t="s">
        <v>414</v>
      </c>
      <c r="B357">
        <v>476</v>
      </c>
    </row>
    <row r="358" spans="1:2" x14ac:dyDescent="0.25">
      <c r="A358" t="s">
        <v>415</v>
      </c>
      <c r="B358">
        <v>477</v>
      </c>
    </row>
    <row r="359" spans="1:2" x14ac:dyDescent="0.25">
      <c r="A359" t="s">
        <v>416</v>
      </c>
      <c r="B359">
        <v>478</v>
      </c>
    </row>
    <row r="360" spans="1:2" x14ac:dyDescent="0.25">
      <c r="A360" t="s">
        <v>417</v>
      </c>
      <c r="B360">
        <v>479</v>
      </c>
    </row>
    <row r="361" spans="1:2" x14ac:dyDescent="0.25">
      <c r="A361" t="s">
        <v>418</v>
      </c>
      <c r="B361">
        <v>481</v>
      </c>
    </row>
    <row r="362" spans="1:2" x14ac:dyDescent="0.25">
      <c r="A362" t="s">
        <v>419</v>
      </c>
      <c r="B362">
        <v>482</v>
      </c>
    </row>
    <row r="363" spans="1:2" x14ac:dyDescent="0.25">
      <c r="A363" t="s">
        <v>420</v>
      </c>
      <c r="B363">
        <v>483</v>
      </c>
    </row>
    <row r="364" spans="1:2" x14ac:dyDescent="0.25">
      <c r="A364" t="s">
        <v>421</v>
      </c>
      <c r="B364">
        <v>484</v>
      </c>
    </row>
    <row r="365" spans="1:2" x14ac:dyDescent="0.25">
      <c r="A365" t="s">
        <v>422</v>
      </c>
      <c r="B365">
        <v>485</v>
      </c>
    </row>
    <row r="366" spans="1:2" x14ac:dyDescent="0.25">
      <c r="A366" t="s">
        <v>423</v>
      </c>
      <c r="B366">
        <v>486</v>
      </c>
    </row>
    <row r="367" spans="1:2" x14ac:dyDescent="0.25">
      <c r="A367" t="s">
        <v>424</v>
      </c>
      <c r="B367">
        <v>487</v>
      </c>
    </row>
    <row r="368" spans="1:2" x14ac:dyDescent="0.25">
      <c r="A368" t="s">
        <v>425</v>
      </c>
      <c r="B368">
        <v>488</v>
      </c>
    </row>
    <row r="369" spans="1:2" x14ac:dyDescent="0.25">
      <c r="A369" t="s">
        <v>426</v>
      </c>
      <c r="B369">
        <v>491</v>
      </c>
    </row>
    <row r="370" spans="1:2" x14ac:dyDescent="0.25">
      <c r="A370" t="s">
        <v>427</v>
      </c>
      <c r="B370">
        <v>492</v>
      </c>
    </row>
    <row r="371" spans="1:2" x14ac:dyDescent="0.25">
      <c r="A371" t="s">
        <v>428</v>
      </c>
      <c r="B371">
        <v>493</v>
      </c>
    </row>
    <row r="372" spans="1:2" x14ac:dyDescent="0.25">
      <c r="A372" t="s">
        <v>429</v>
      </c>
      <c r="B372">
        <v>494</v>
      </c>
    </row>
    <row r="373" spans="1:2" x14ac:dyDescent="0.25">
      <c r="A373" t="s">
        <v>430</v>
      </c>
      <c r="B373">
        <v>495</v>
      </c>
    </row>
    <row r="374" spans="1:2" x14ac:dyDescent="0.25">
      <c r="A374" t="s">
        <v>431</v>
      </c>
      <c r="B374">
        <v>496</v>
      </c>
    </row>
    <row r="375" spans="1:2" x14ac:dyDescent="0.25">
      <c r="A375" t="s">
        <v>432</v>
      </c>
      <c r="B375">
        <v>497</v>
      </c>
    </row>
    <row r="376" spans="1:2" x14ac:dyDescent="0.25">
      <c r="A376" t="s">
        <v>433</v>
      </c>
      <c r="B376">
        <v>498</v>
      </c>
    </row>
    <row r="377" spans="1:2" x14ac:dyDescent="0.25">
      <c r="A377" t="s">
        <v>434</v>
      </c>
      <c r="B377">
        <v>499</v>
      </c>
    </row>
    <row r="378" spans="1:2" x14ac:dyDescent="0.25">
      <c r="A378" t="s">
        <v>435</v>
      </c>
      <c r="B378">
        <v>500</v>
      </c>
    </row>
    <row r="379" spans="1:2" x14ac:dyDescent="0.25">
      <c r="A379" t="s">
        <v>436</v>
      </c>
      <c r="B379">
        <v>501</v>
      </c>
    </row>
    <row r="380" spans="1:2" x14ac:dyDescent="0.25">
      <c r="A380" t="s">
        <v>437</v>
      </c>
      <c r="B380">
        <v>502</v>
      </c>
    </row>
    <row r="381" spans="1:2" x14ac:dyDescent="0.25">
      <c r="A381" t="s">
        <v>438</v>
      </c>
      <c r="B381">
        <v>505</v>
      </c>
    </row>
    <row r="382" spans="1:2" x14ac:dyDescent="0.25">
      <c r="A382" t="s">
        <v>439</v>
      </c>
      <c r="B382">
        <v>507</v>
      </c>
    </row>
    <row r="383" spans="1:2" x14ac:dyDescent="0.25">
      <c r="A383" t="s">
        <v>440</v>
      </c>
      <c r="B383">
        <v>508</v>
      </c>
    </row>
    <row r="384" spans="1:2" x14ac:dyDescent="0.25">
      <c r="A384" t="s">
        <v>441</v>
      </c>
      <c r="B384">
        <v>510</v>
      </c>
    </row>
    <row r="385" spans="1:2" x14ac:dyDescent="0.25">
      <c r="A385" t="s">
        <v>442</v>
      </c>
      <c r="B385">
        <v>511</v>
      </c>
    </row>
    <row r="386" spans="1:2" x14ac:dyDescent="0.25">
      <c r="A386" t="s">
        <v>443</v>
      </c>
      <c r="B386">
        <v>513</v>
      </c>
    </row>
    <row r="387" spans="1:2" x14ac:dyDescent="0.25">
      <c r="A387" t="s">
        <v>444</v>
      </c>
      <c r="B387">
        <v>514</v>
      </c>
    </row>
    <row r="388" spans="1:2" x14ac:dyDescent="0.25">
      <c r="A388" t="s">
        <v>445</v>
      </c>
      <c r="B388">
        <v>515</v>
      </c>
    </row>
    <row r="389" spans="1:2" x14ac:dyDescent="0.25">
      <c r="A389" t="s">
        <v>446</v>
      </c>
      <c r="B389">
        <v>516</v>
      </c>
    </row>
    <row r="390" spans="1:2" x14ac:dyDescent="0.25">
      <c r="A390" t="s">
        <v>447</v>
      </c>
      <c r="B390">
        <v>517</v>
      </c>
    </row>
    <row r="391" spans="1:2" x14ac:dyDescent="0.25">
      <c r="A391" t="s">
        <v>448</v>
      </c>
      <c r="B391">
        <v>518</v>
      </c>
    </row>
    <row r="392" spans="1:2" x14ac:dyDescent="0.25">
      <c r="A392" t="s">
        <v>449</v>
      </c>
      <c r="B392">
        <v>520</v>
      </c>
    </row>
    <row r="393" spans="1:2" x14ac:dyDescent="0.25">
      <c r="A393" t="s">
        <v>450</v>
      </c>
      <c r="B393">
        <v>521</v>
      </c>
    </row>
    <row r="394" spans="1:2" x14ac:dyDescent="0.25">
      <c r="A394" t="s">
        <v>451</v>
      </c>
      <c r="B394">
        <v>522</v>
      </c>
    </row>
    <row r="395" spans="1:2" x14ac:dyDescent="0.25">
      <c r="A395" t="s">
        <v>452</v>
      </c>
      <c r="B395">
        <v>523</v>
      </c>
    </row>
    <row r="396" spans="1:2" x14ac:dyDescent="0.25">
      <c r="A396" t="s">
        <v>453</v>
      </c>
      <c r="B396">
        <v>524</v>
      </c>
    </row>
    <row r="397" spans="1:2" x14ac:dyDescent="0.25">
      <c r="A397" t="s">
        <v>454</v>
      </c>
      <c r="B397">
        <v>525</v>
      </c>
    </row>
    <row r="398" spans="1:2" x14ac:dyDescent="0.25">
      <c r="A398" t="s">
        <v>455</v>
      </c>
      <c r="B398">
        <v>526</v>
      </c>
    </row>
    <row r="399" spans="1:2" x14ac:dyDescent="0.25">
      <c r="A399" t="s">
        <v>456</v>
      </c>
      <c r="B399">
        <v>527</v>
      </c>
    </row>
    <row r="400" spans="1:2" x14ac:dyDescent="0.25">
      <c r="A400" t="s">
        <v>457</v>
      </c>
      <c r="B400">
        <v>529</v>
      </c>
    </row>
    <row r="401" spans="1:2" x14ac:dyDescent="0.25">
      <c r="A401" t="s">
        <v>458</v>
      </c>
      <c r="B401">
        <v>530</v>
      </c>
    </row>
    <row r="402" spans="1:2" x14ac:dyDescent="0.25">
      <c r="A402" t="s">
        <v>459</v>
      </c>
      <c r="B402">
        <v>531</v>
      </c>
    </row>
    <row r="403" spans="1:2" x14ac:dyDescent="0.25">
      <c r="A403" t="s">
        <v>460</v>
      </c>
      <c r="B403">
        <v>532</v>
      </c>
    </row>
    <row r="404" spans="1:2" x14ac:dyDescent="0.25">
      <c r="A404" t="s">
        <v>461</v>
      </c>
      <c r="B404">
        <v>533</v>
      </c>
    </row>
    <row r="405" spans="1:2" x14ac:dyDescent="0.25">
      <c r="A405" t="s">
        <v>462</v>
      </c>
      <c r="B405">
        <v>534</v>
      </c>
    </row>
    <row r="406" spans="1:2" x14ac:dyDescent="0.25">
      <c r="A406" t="s">
        <v>463</v>
      </c>
      <c r="B406">
        <v>536</v>
      </c>
    </row>
    <row r="407" spans="1:2" x14ac:dyDescent="0.25">
      <c r="A407" t="s">
        <v>464</v>
      </c>
      <c r="B407">
        <v>538</v>
      </c>
    </row>
    <row r="408" spans="1:2" x14ac:dyDescent="0.25">
      <c r="A408" t="s">
        <v>465</v>
      </c>
      <c r="B408">
        <v>543</v>
      </c>
    </row>
    <row r="409" spans="1:2" x14ac:dyDescent="0.25">
      <c r="A409" t="s">
        <v>466</v>
      </c>
      <c r="B409">
        <v>544</v>
      </c>
    </row>
    <row r="410" spans="1:2" x14ac:dyDescent="0.25">
      <c r="A410" t="s">
        <v>467</v>
      </c>
      <c r="B410">
        <v>546</v>
      </c>
    </row>
    <row r="411" spans="1:2" x14ac:dyDescent="0.25">
      <c r="A411" t="s">
        <v>468</v>
      </c>
      <c r="B411">
        <v>547</v>
      </c>
    </row>
    <row r="412" spans="1:2" x14ac:dyDescent="0.25">
      <c r="A412" t="s">
        <v>469</v>
      </c>
      <c r="B412">
        <v>548</v>
      </c>
    </row>
    <row r="413" spans="1:2" x14ac:dyDescent="0.25">
      <c r="A413" t="s">
        <v>470</v>
      </c>
      <c r="B413">
        <v>549</v>
      </c>
    </row>
    <row r="414" spans="1:2" x14ac:dyDescent="0.25">
      <c r="A414" t="s">
        <v>471</v>
      </c>
      <c r="B414">
        <v>550</v>
      </c>
    </row>
    <row r="415" spans="1:2" x14ac:dyDescent="0.25">
      <c r="A415" t="s">
        <v>472</v>
      </c>
      <c r="B415">
        <v>551</v>
      </c>
    </row>
    <row r="416" spans="1:2" x14ac:dyDescent="0.25">
      <c r="A416" t="s">
        <v>473</v>
      </c>
      <c r="B416">
        <v>554</v>
      </c>
    </row>
    <row r="417" spans="1:2" x14ac:dyDescent="0.25">
      <c r="A417" t="s">
        <v>474</v>
      </c>
      <c r="B417">
        <v>555</v>
      </c>
    </row>
    <row r="418" spans="1:2" x14ac:dyDescent="0.25">
      <c r="A418" t="s">
        <v>475</v>
      </c>
      <c r="B418">
        <v>556</v>
      </c>
    </row>
    <row r="419" spans="1:2" x14ac:dyDescent="0.25">
      <c r="A419" t="s">
        <v>476</v>
      </c>
      <c r="B419">
        <v>558</v>
      </c>
    </row>
    <row r="420" spans="1:2" x14ac:dyDescent="0.25">
      <c r="A420" t="s">
        <v>477</v>
      </c>
      <c r="B420">
        <v>560</v>
      </c>
    </row>
    <row r="421" spans="1:2" x14ac:dyDescent="0.25">
      <c r="A421" t="s">
        <v>478</v>
      </c>
      <c r="B421">
        <v>562</v>
      </c>
    </row>
    <row r="422" spans="1:2" x14ac:dyDescent="0.25">
      <c r="A422" t="s">
        <v>479</v>
      </c>
      <c r="B422">
        <v>564</v>
      </c>
    </row>
    <row r="423" spans="1:2" x14ac:dyDescent="0.25">
      <c r="A423" t="s">
        <v>480</v>
      </c>
      <c r="B423">
        <v>565</v>
      </c>
    </row>
    <row r="424" spans="1:2" x14ac:dyDescent="0.25">
      <c r="A424" t="s">
        <v>481</v>
      </c>
      <c r="B424">
        <v>566</v>
      </c>
    </row>
    <row r="425" spans="1:2" x14ac:dyDescent="0.25">
      <c r="A425" t="s">
        <v>482</v>
      </c>
      <c r="B425">
        <v>567</v>
      </c>
    </row>
    <row r="426" spans="1:2" x14ac:dyDescent="0.25">
      <c r="A426" t="s">
        <v>483</v>
      </c>
      <c r="B426">
        <v>568</v>
      </c>
    </row>
    <row r="427" spans="1:2" x14ac:dyDescent="0.25">
      <c r="A427" t="s">
        <v>484</v>
      </c>
      <c r="B427">
        <v>569</v>
      </c>
    </row>
    <row r="428" spans="1:2" x14ac:dyDescent="0.25">
      <c r="A428" t="s">
        <v>485</v>
      </c>
      <c r="B428">
        <v>571</v>
      </c>
    </row>
    <row r="429" spans="1:2" x14ac:dyDescent="0.25">
      <c r="A429" t="s">
        <v>486</v>
      </c>
      <c r="B429">
        <v>573</v>
      </c>
    </row>
    <row r="430" spans="1:2" x14ac:dyDescent="0.25">
      <c r="A430" t="s">
        <v>487</v>
      </c>
      <c r="B430">
        <v>574</v>
      </c>
    </row>
    <row r="431" spans="1:2" x14ac:dyDescent="0.25">
      <c r="A431" t="s">
        <v>488</v>
      </c>
      <c r="B431">
        <v>575</v>
      </c>
    </row>
    <row r="432" spans="1:2" x14ac:dyDescent="0.25">
      <c r="A432" t="s">
        <v>489</v>
      </c>
      <c r="B432">
        <v>577</v>
      </c>
    </row>
    <row r="433" spans="1:2" x14ac:dyDescent="0.25">
      <c r="A433" t="s">
        <v>490</v>
      </c>
      <c r="B433">
        <v>578</v>
      </c>
    </row>
    <row r="434" spans="1:2" x14ac:dyDescent="0.25">
      <c r="A434" t="s">
        <v>491</v>
      </c>
      <c r="B434">
        <v>579</v>
      </c>
    </row>
    <row r="435" spans="1:2" x14ac:dyDescent="0.25">
      <c r="A435" t="s">
        <v>492</v>
      </c>
      <c r="B435">
        <v>580</v>
      </c>
    </row>
    <row r="436" spans="1:2" x14ac:dyDescent="0.25">
      <c r="A436" t="s">
        <v>493</v>
      </c>
      <c r="B436">
        <v>581</v>
      </c>
    </row>
    <row r="437" spans="1:2" x14ac:dyDescent="0.25">
      <c r="A437" t="s">
        <v>494</v>
      </c>
      <c r="B437">
        <v>582</v>
      </c>
    </row>
    <row r="438" spans="1:2" x14ac:dyDescent="0.25">
      <c r="A438" t="s">
        <v>495</v>
      </c>
      <c r="B438">
        <v>584</v>
      </c>
    </row>
    <row r="439" spans="1:2" x14ac:dyDescent="0.25">
      <c r="A439" t="s">
        <v>496</v>
      </c>
      <c r="B439">
        <v>585</v>
      </c>
    </row>
    <row r="440" spans="1:2" x14ac:dyDescent="0.25">
      <c r="A440" t="s">
        <v>497</v>
      </c>
      <c r="B440">
        <v>586</v>
      </c>
    </row>
    <row r="441" spans="1:2" x14ac:dyDescent="0.25">
      <c r="A441" t="s">
        <v>498</v>
      </c>
      <c r="B441">
        <v>587</v>
      </c>
    </row>
    <row r="442" spans="1:2" x14ac:dyDescent="0.25">
      <c r="A442" t="s">
        <v>499</v>
      </c>
      <c r="B442">
        <v>590</v>
      </c>
    </row>
    <row r="443" spans="1:2" x14ac:dyDescent="0.25">
      <c r="A443" t="s">
        <v>500</v>
      </c>
      <c r="B443">
        <v>591</v>
      </c>
    </row>
    <row r="444" spans="1:2" x14ac:dyDescent="0.25">
      <c r="A444" t="s">
        <v>501</v>
      </c>
      <c r="B444">
        <v>592</v>
      </c>
    </row>
    <row r="445" spans="1:2" x14ac:dyDescent="0.25">
      <c r="A445" t="s">
        <v>502</v>
      </c>
      <c r="B445">
        <v>593</v>
      </c>
    </row>
    <row r="446" spans="1:2" x14ac:dyDescent="0.25">
      <c r="A446" t="s">
        <v>503</v>
      </c>
      <c r="B446">
        <v>595</v>
      </c>
    </row>
    <row r="447" spans="1:2" x14ac:dyDescent="0.25">
      <c r="A447" t="s">
        <v>504</v>
      </c>
      <c r="B447">
        <v>597</v>
      </c>
    </row>
    <row r="448" spans="1:2" x14ac:dyDescent="0.25">
      <c r="A448" t="s">
        <v>505</v>
      </c>
      <c r="B448">
        <v>599</v>
      </c>
    </row>
    <row r="449" spans="1:2" x14ac:dyDescent="0.25">
      <c r="A449" t="s">
        <v>506</v>
      </c>
      <c r="B449">
        <v>600</v>
      </c>
    </row>
    <row r="450" spans="1:2" x14ac:dyDescent="0.25">
      <c r="A450" t="s">
        <v>507</v>
      </c>
      <c r="B450">
        <v>601</v>
      </c>
    </row>
    <row r="451" spans="1:2" x14ac:dyDescent="0.25">
      <c r="A451" t="s">
        <v>508</v>
      </c>
      <c r="B451">
        <v>602</v>
      </c>
    </row>
    <row r="452" spans="1:2" x14ac:dyDescent="0.25">
      <c r="A452" t="s">
        <v>509</v>
      </c>
      <c r="B452">
        <v>604</v>
      </c>
    </row>
    <row r="453" spans="1:2" x14ac:dyDescent="0.25">
      <c r="A453" t="s">
        <v>510</v>
      </c>
      <c r="B453">
        <v>605</v>
      </c>
    </row>
    <row r="454" spans="1:2" x14ac:dyDescent="0.25">
      <c r="A454" t="s">
        <v>511</v>
      </c>
      <c r="B454">
        <v>606</v>
      </c>
    </row>
    <row r="455" spans="1:2" x14ac:dyDescent="0.25">
      <c r="A455" t="s">
        <v>512</v>
      </c>
      <c r="B455">
        <v>608</v>
      </c>
    </row>
    <row r="456" spans="1:2" x14ac:dyDescent="0.25">
      <c r="A456" t="s">
        <v>513</v>
      </c>
      <c r="B456">
        <v>611</v>
      </c>
    </row>
    <row r="457" spans="1:2" x14ac:dyDescent="0.25">
      <c r="A457" t="s">
        <v>514</v>
      </c>
      <c r="B457">
        <v>612</v>
      </c>
    </row>
    <row r="458" spans="1:2" x14ac:dyDescent="0.25">
      <c r="A458" t="s">
        <v>515</v>
      </c>
      <c r="B458">
        <v>613</v>
      </c>
    </row>
    <row r="459" spans="1:2" x14ac:dyDescent="0.25">
      <c r="A459" t="s">
        <v>516</v>
      </c>
      <c r="B459">
        <v>614</v>
      </c>
    </row>
    <row r="460" spans="1:2" x14ac:dyDescent="0.25">
      <c r="A460" t="s">
        <v>517</v>
      </c>
      <c r="B460">
        <v>615</v>
      </c>
    </row>
    <row r="461" spans="1:2" x14ac:dyDescent="0.25">
      <c r="A461" t="s">
        <v>518</v>
      </c>
      <c r="B461">
        <v>616</v>
      </c>
    </row>
    <row r="462" spans="1:2" x14ac:dyDescent="0.25">
      <c r="A462" t="s">
        <v>519</v>
      </c>
      <c r="B462">
        <v>618</v>
      </c>
    </row>
    <row r="463" spans="1:2" x14ac:dyDescent="0.25">
      <c r="A463" t="s">
        <v>520</v>
      </c>
      <c r="B463">
        <v>620</v>
      </c>
    </row>
    <row r="464" spans="1:2" x14ac:dyDescent="0.25">
      <c r="A464" t="s">
        <v>521</v>
      </c>
      <c r="B464">
        <v>621</v>
      </c>
    </row>
    <row r="465" spans="1:2" x14ac:dyDescent="0.25">
      <c r="A465" t="s">
        <v>522</v>
      </c>
      <c r="B465">
        <v>622</v>
      </c>
    </row>
    <row r="466" spans="1:2" x14ac:dyDescent="0.25">
      <c r="A466" t="s">
        <v>523</v>
      </c>
      <c r="B466">
        <v>623</v>
      </c>
    </row>
    <row r="467" spans="1:2" x14ac:dyDescent="0.25">
      <c r="A467" t="s">
        <v>524</v>
      </c>
      <c r="B467">
        <v>624</v>
      </c>
    </row>
    <row r="468" spans="1:2" x14ac:dyDescent="0.25">
      <c r="A468" t="s">
        <v>525</v>
      </c>
      <c r="B468">
        <v>625</v>
      </c>
    </row>
    <row r="469" spans="1:2" x14ac:dyDescent="0.25">
      <c r="A469" t="s">
        <v>526</v>
      </c>
      <c r="B469">
        <v>626</v>
      </c>
    </row>
    <row r="470" spans="1:2" x14ac:dyDescent="0.25">
      <c r="A470" t="s">
        <v>527</v>
      </c>
      <c r="B470">
        <v>630</v>
      </c>
    </row>
    <row r="471" spans="1:2" x14ac:dyDescent="0.25">
      <c r="A471" t="s">
        <v>528</v>
      </c>
      <c r="B471">
        <v>631</v>
      </c>
    </row>
    <row r="472" spans="1:2" x14ac:dyDescent="0.25">
      <c r="A472" t="s">
        <v>529</v>
      </c>
      <c r="B472">
        <v>632</v>
      </c>
    </row>
    <row r="473" spans="1:2" x14ac:dyDescent="0.25">
      <c r="A473" t="s">
        <v>530</v>
      </c>
      <c r="B473">
        <v>634</v>
      </c>
    </row>
    <row r="474" spans="1:2" x14ac:dyDescent="0.25">
      <c r="A474" t="s">
        <v>531</v>
      </c>
      <c r="B474">
        <v>635</v>
      </c>
    </row>
    <row r="475" spans="1:2" x14ac:dyDescent="0.25">
      <c r="A475" t="s">
        <v>532</v>
      </c>
      <c r="B475">
        <v>638</v>
      </c>
    </row>
    <row r="476" spans="1:2" x14ac:dyDescent="0.25">
      <c r="A476" t="s">
        <v>533</v>
      </c>
      <c r="B476">
        <v>639</v>
      </c>
    </row>
    <row r="477" spans="1:2" x14ac:dyDescent="0.25">
      <c r="A477" t="s">
        <v>534</v>
      </c>
      <c r="B477">
        <v>641</v>
      </c>
    </row>
    <row r="478" spans="1:2" x14ac:dyDescent="0.25">
      <c r="A478" t="s">
        <v>535</v>
      </c>
      <c r="B478">
        <v>643</v>
      </c>
    </row>
    <row r="479" spans="1:2" x14ac:dyDescent="0.25">
      <c r="A479" t="s">
        <v>536</v>
      </c>
      <c r="B479">
        <v>644</v>
      </c>
    </row>
    <row r="480" spans="1:2" x14ac:dyDescent="0.25">
      <c r="A480" t="s">
        <v>537</v>
      </c>
      <c r="B480">
        <v>645</v>
      </c>
    </row>
    <row r="481" spans="1:2" x14ac:dyDescent="0.25">
      <c r="A481" t="s">
        <v>538</v>
      </c>
      <c r="B481">
        <v>647</v>
      </c>
    </row>
    <row r="482" spans="1:2" x14ac:dyDescent="0.25">
      <c r="A482" t="s">
        <v>539</v>
      </c>
      <c r="B482">
        <v>648</v>
      </c>
    </row>
    <row r="483" spans="1:2" x14ac:dyDescent="0.25">
      <c r="A483" t="s">
        <v>540</v>
      </c>
      <c r="B483">
        <v>649</v>
      </c>
    </row>
    <row r="484" spans="1:2" x14ac:dyDescent="0.25">
      <c r="A484" t="s">
        <v>541</v>
      </c>
      <c r="B484">
        <v>650</v>
      </c>
    </row>
    <row r="485" spans="1:2" x14ac:dyDescent="0.25">
      <c r="A485" t="s">
        <v>542</v>
      </c>
      <c r="B485">
        <v>652</v>
      </c>
    </row>
    <row r="486" spans="1:2" x14ac:dyDescent="0.25">
      <c r="A486" t="s">
        <v>543</v>
      </c>
      <c r="B486">
        <v>653</v>
      </c>
    </row>
    <row r="487" spans="1:2" x14ac:dyDescent="0.25">
      <c r="A487" t="s">
        <v>544</v>
      </c>
      <c r="B487">
        <v>655</v>
      </c>
    </row>
    <row r="488" spans="1:2" x14ac:dyDescent="0.25">
      <c r="A488" t="s">
        <v>545</v>
      </c>
      <c r="B488">
        <v>656</v>
      </c>
    </row>
    <row r="489" spans="1:2" x14ac:dyDescent="0.25">
      <c r="A489" t="s">
        <v>546</v>
      </c>
      <c r="B489">
        <v>657</v>
      </c>
    </row>
    <row r="490" spans="1:2" x14ac:dyDescent="0.25">
      <c r="A490" t="s">
        <v>547</v>
      </c>
      <c r="B490">
        <v>659</v>
      </c>
    </row>
    <row r="491" spans="1:2" x14ac:dyDescent="0.25">
      <c r="A491" t="s">
        <v>548</v>
      </c>
      <c r="B491">
        <v>661</v>
      </c>
    </row>
    <row r="492" spans="1:2" x14ac:dyDescent="0.25">
      <c r="A492" t="s">
        <v>549</v>
      </c>
      <c r="B492">
        <v>662</v>
      </c>
    </row>
    <row r="493" spans="1:2" x14ac:dyDescent="0.25">
      <c r="A493" t="s">
        <v>550</v>
      </c>
      <c r="B493">
        <v>663</v>
      </c>
    </row>
    <row r="494" spans="1:2" x14ac:dyDescent="0.25">
      <c r="A494" t="s">
        <v>551</v>
      </c>
      <c r="B494">
        <v>664</v>
      </c>
    </row>
    <row r="495" spans="1:2" x14ac:dyDescent="0.25">
      <c r="A495" t="s">
        <v>552</v>
      </c>
      <c r="B495">
        <v>665</v>
      </c>
    </row>
    <row r="496" spans="1:2" x14ac:dyDescent="0.25">
      <c r="A496" t="s">
        <v>553</v>
      </c>
      <c r="B496">
        <v>666</v>
      </c>
    </row>
    <row r="497" spans="1:2" x14ac:dyDescent="0.25">
      <c r="A497" t="s">
        <v>554</v>
      </c>
      <c r="B497">
        <v>667</v>
      </c>
    </row>
    <row r="498" spans="1:2" x14ac:dyDescent="0.25">
      <c r="A498" t="s">
        <v>555</v>
      </c>
      <c r="B498">
        <v>669</v>
      </c>
    </row>
    <row r="499" spans="1:2" x14ac:dyDescent="0.25">
      <c r="A499" t="s">
        <v>556</v>
      </c>
      <c r="B499">
        <v>671</v>
      </c>
    </row>
    <row r="500" spans="1:2" x14ac:dyDescent="0.25">
      <c r="A500" t="s">
        <v>557</v>
      </c>
      <c r="B500">
        <v>675</v>
      </c>
    </row>
    <row r="501" spans="1:2" x14ac:dyDescent="0.25">
      <c r="A501" t="s">
        <v>558</v>
      </c>
      <c r="B501">
        <v>677</v>
      </c>
    </row>
    <row r="502" spans="1:2" x14ac:dyDescent="0.25">
      <c r="A502" t="s">
        <v>559</v>
      </c>
      <c r="B502">
        <v>679</v>
      </c>
    </row>
    <row r="503" spans="1:2" x14ac:dyDescent="0.25">
      <c r="A503" t="s">
        <v>560</v>
      </c>
      <c r="B503">
        <v>680</v>
      </c>
    </row>
    <row r="504" spans="1:2" x14ac:dyDescent="0.25">
      <c r="A504" t="s">
        <v>561</v>
      </c>
      <c r="B504">
        <v>682</v>
      </c>
    </row>
    <row r="505" spans="1:2" x14ac:dyDescent="0.25">
      <c r="A505" t="s">
        <v>562</v>
      </c>
      <c r="B505">
        <v>683</v>
      </c>
    </row>
    <row r="506" spans="1:2" x14ac:dyDescent="0.25">
      <c r="A506" t="s">
        <v>563</v>
      </c>
      <c r="B506">
        <v>684</v>
      </c>
    </row>
    <row r="507" spans="1:2" x14ac:dyDescent="0.25">
      <c r="A507" t="s">
        <v>564</v>
      </c>
      <c r="B507">
        <v>686</v>
      </c>
    </row>
    <row r="508" spans="1:2" x14ac:dyDescent="0.25">
      <c r="A508" t="s">
        <v>565</v>
      </c>
      <c r="B508">
        <v>689</v>
      </c>
    </row>
    <row r="509" spans="1:2" x14ac:dyDescent="0.25">
      <c r="A509" t="s">
        <v>566</v>
      </c>
      <c r="B509">
        <v>690</v>
      </c>
    </row>
    <row r="510" spans="1:2" x14ac:dyDescent="0.25">
      <c r="A510" t="s">
        <v>567</v>
      </c>
      <c r="B510">
        <v>691</v>
      </c>
    </row>
    <row r="511" spans="1:2" x14ac:dyDescent="0.25">
      <c r="A511" t="s">
        <v>568</v>
      </c>
      <c r="B511">
        <v>692</v>
      </c>
    </row>
    <row r="512" spans="1:2" x14ac:dyDescent="0.25">
      <c r="A512" t="s">
        <v>569</v>
      </c>
      <c r="B512">
        <v>698</v>
      </c>
    </row>
    <row r="513" spans="1:2" x14ac:dyDescent="0.25">
      <c r="A513" t="s">
        <v>570</v>
      </c>
      <c r="B513">
        <v>699</v>
      </c>
    </row>
    <row r="514" spans="1:2" x14ac:dyDescent="0.25">
      <c r="A514" t="s">
        <v>571</v>
      </c>
      <c r="B514">
        <v>700</v>
      </c>
    </row>
    <row r="515" spans="1:2" x14ac:dyDescent="0.25">
      <c r="A515" t="s">
        <v>572</v>
      </c>
      <c r="B515">
        <v>701</v>
      </c>
    </row>
    <row r="516" spans="1:2" x14ac:dyDescent="0.25">
      <c r="A516" t="s">
        <v>573</v>
      </c>
      <c r="B516">
        <v>702</v>
      </c>
    </row>
    <row r="517" spans="1:2" x14ac:dyDescent="0.25">
      <c r="A517" t="s">
        <v>574</v>
      </c>
      <c r="B517">
        <v>704</v>
      </c>
    </row>
    <row r="518" spans="1:2" x14ac:dyDescent="0.25">
      <c r="A518" t="s">
        <v>575</v>
      </c>
      <c r="B518">
        <v>705</v>
      </c>
    </row>
    <row r="519" spans="1:2" x14ac:dyDescent="0.25">
      <c r="A519" t="s">
        <v>576</v>
      </c>
      <c r="B519">
        <v>707</v>
      </c>
    </row>
    <row r="520" spans="1:2" x14ac:dyDescent="0.25">
      <c r="A520" t="s">
        <v>577</v>
      </c>
      <c r="B520">
        <v>709</v>
      </c>
    </row>
    <row r="521" spans="1:2" x14ac:dyDescent="0.25">
      <c r="A521" t="s">
        <v>578</v>
      </c>
      <c r="B521">
        <v>710</v>
      </c>
    </row>
    <row r="522" spans="1:2" x14ac:dyDescent="0.25">
      <c r="A522" t="s">
        <v>579</v>
      </c>
      <c r="B522">
        <v>712</v>
      </c>
    </row>
    <row r="523" spans="1:2" x14ac:dyDescent="0.25">
      <c r="A523" t="s">
        <v>580</v>
      </c>
      <c r="B523">
        <v>714</v>
      </c>
    </row>
    <row r="524" spans="1:2" x14ac:dyDescent="0.25">
      <c r="A524" t="s">
        <v>581</v>
      </c>
      <c r="B524">
        <v>715</v>
      </c>
    </row>
    <row r="525" spans="1:2" x14ac:dyDescent="0.25">
      <c r="A525" t="s">
        <v>582</v>
      </c>
      <c r="B525">
        <v>716</v>
      </c>
    </row>
    <row r="526" spans="1:2" x14ac:dyDescent="0.25">
      <c r="A526" t="s">
        <v>583</v>
      </c>
      <c r="B526">
        <v>717</v>
      </c>
    </row>
    <row r="527" spans="1:2" x14ac:dyDescent="0.25">
      <c r="A527" t="s">
        <v>584</v>
      </c>
      <c r="B527">
        <v>720</v>
      </c>
    </row>
    <row r="528" spans="1:2" x14ac:dyDescent="0.25">
      <c r="A528" t="s">
        <v>585</v>
      </c>
      <c r="B528">
        <v>721</v>
      </c>
    </row>
    <row r="529" spans="1:2" x14ac:dyDescent="0.25">
      <c r="A529" t="s">
        <v>586</v>
      </c>
      <c r="B529">
        <v>722</v>
      </c>
    </row>
    <row r="530" spans="1:2" x14ac:dyDescent="0.25">
      <c r="A530" t="s">
        <v>587</v>
      </c>
      <c r="B530">
        <v>723</v>
      </c>
    </row>
    <row r="531" spans="1:2" x14ac:dyDescent="0.25">
      <c r="A531" t="s">
        <v>588</v>
      </c>
      <c r="B531">
        <v>724</v>
      </c>
    </row>
    <row r="532" spans="1:2" x14ac:dyDescent="0.25">
      <c r="A532" t="s">
        <v>589</v>
      </c>
      <c r="B532">
        <v>725</v>
      </c>
    </row>
    <row r="533" spans="1:2" x14ac:dyDescent="0.25">
      <c r="A533" t="s">
        <v>590</v>
      </c>
      <c r="B533">
        <v>727</v>
      </c>
    </row>
    <row r="534" spans="1:2" x14ac:dyDescent="0.25">
      <c r="A534" t="s">
        <v>591</v>
      </c>
      <c r="B534">
        <v>728</v>
      </c>
    </row>
    <row r="535" spans="1:2" x14ac:dyDescent="0.25">
      <c r="A535" t="s">
        <v>592</v>
      </c>
      <c r="B535">
        <v>729</v>
      </c>
    </row>
    <row r="536" spans="1:2" x14ac:dyDescent="0.25">
      <c r="A536" t="s">
        <v>593</v>
      </c>
      <c r="B536">
        <v>730</v>
      </c>
    </row>
    <row r="537" spans="1:2" x14ac:dyDescent="0.25">
      <c r="A537" t="s">
        <v>594</v>
      </c>
      <c r="B537">
        <v>731</v>
      </c>
    </row>
    <row r="538" spans="1:2" x14ac:dyDescent="0.25">
      <c r="A538" t="s">
        <v>595</v>
      </c>
      <c r="B538">
        <v>732</v>
      </c>
    </row>
    <row r="539" spans="1:2" x14ac:dyDescent="0.25">
      <c r="A539" t="s">
        <v>596</v>
      </c>
      <c r="B539">
        <v>733</v>
      </c>
    </row>
    <row r="540" spans="1:2" x14ac:dyDescent="0.25">
      <c r="A540" t="s">
        <v>597</v>
      </c>
      <c r="B540">
        <v>734</v>
      </c>
    </row>
    <row r="541" spans="1:2" x14ac:dyDescent="0.25">
      <c r="A541" t="s">
        <v>598</v>
      </c>
      <c r="B541">
        <v>738</v>
      </c>
    </row>
    <row r="542" spans="1:2" x14ac:dyDescent="0.25">
      <c r="A542" t="s">
        <v>599</v>
      </c>
      <c r="B542">
        <v>741</v>
      </c>
    </row>
    <row r="543" spans="1:2" x14ac:dyDescent="0.25">
      <c r="A543" t="s">
        <v>600</v>
      </c>
      <c r="B543">
        <v>742</v>
      </c>
    </row>
    <row r="544" spans="1:2" x14ac:dyDescent="0.25">
      <c r="A544" t="s">
        <v>601</v>
      </c>
      <c r="B544">
        <v>743</v>
      </c>
    </row>
    <row r="545" spans="1:2" x14ac:dyDescent="0.25">
      <c r="A545" t="s">
        <v>602</v>
      </c>
      <c r="B545">
        <v>744</v>
      </c>
    </row>
    <row r="546" spans="1:2" x14ac:dyDescent="0.25">
      <c r="A546" t="s">
        <v>603</v>
      </c>
      <c r="B546">
        <v>746</v>
      </c>
    </row>
    <row r="547" spans="1:2" x14ac:dyDescent="0.25">
      <c r="A547" t="s">
        <v>604</v>
      </c>
      <c r="B547">
        <v>747</v>
      </c>
    </row>
    <row r="548" spans="1:2" x14ac:dyDescent="0.25">
      <c r="A548" t="s">
        <v>605</v>
      </c>
      <c r="B548">
        <v>749</v>
      </c>
    </row>
    <row r="549" spans="1:2" x14ac:dyDescent="0.25">
      <c r="A549" t="s">
        <v>606</v>
      </c>
      <c r="B549">
        <v>752</v>
      </c>
    </row>
    <row r="550" spans="1:2" x14ac:dyDescent="0.25">
      <c r="A550" t="s">
        <v>607</v>
      </c>
      <c r="B550">
        <v>754</v>
      </c>
    </row>
    <row r="551" spans="1:2" x14ac:dyDescent="0.25">
      <c r="A551" t="s">
        <v>608</v>
      </c>
      <c r="B551">
        <v>757</v>
      </c>
    </row>
    <row r="552" spans="1:2" x14ac:dyDescent="0.25">
      <c r="A552" t="s">
        <v>609</v>
      </c>
      <c r="B552">
        <v>758</v>
      </c>
    </row>
    <row r="553" spans="1:2" x14ac:dyDescent="0.25">
      <c r="A553" t="s">
        <v>610</v>
      </c>
      <c r="B553">
        <v>760</v>
      </c>
    </row>
    <row r="554" spans="1:2" x14ac:dyDescent="0.25">
      <c r="A554" t="s">
        <v>611</v>
      </c>
      <c r="B554">
        <v>762</v>
      </c>
    </row>
    <row r="555" spans="1:2" x14ac:dyDescent="0.25">
      <c r="A555" t="s">
        <v>612</v>
      </c>
      <c r="B555">
        <v>763</v>
      </c>
    </row>
    <row r="556" spans="1:2" x14ac:dyDescent="0.25">
      <c r="A556" t="s">
        <v>613</v>
      </c>
      <c r="B556">
        <v>764</v>
      </c>
    </row>
    <row r="557" spans="1:2" x14ac:dyDescent="0.25">
      <c r="A557" t="s">
        <v>614</v>
      </c>
      <c r="B557">
        <v>766</v>
      </c>
    </row>
    <row r="558" spans="1:2" x14ac:dyDescent="0.25">
      <c r="A558" t="s">
        <v>615</v>
      </c>
      <c r="B558">
        <v>769</v>
      </c>
    </row>
    <row r="559" spans="1:2" x14ac:dyDescent="0.25">
      <c r="A559" t="s">
        <v>616</v>
      </c>
      <c r="B559">
        <v>771</v>
      </c>
    </row>
    <row r="560" spans="1:2" x14ac:dyDescent="0.25">
      <c r="A560" t="s">
        <v>617</v>
      </c>
      <c r="B560">
        <v>772</v>
      </c>
    </row>
    <row r="561" spans="1:2" x14ac:dyDescent="0.25">
      <c r="A561" t="s">
        <v>618</v>
      </c>
      <c r="B561">
        <v>773</v>
      </c>
    </row>
    <row r="562" spans="1:2" x14ac:dyDescent="0.25">
      <c r="A562" t="s">
        <v>619</v>
      </c>
      <c r="B562">
        <v>775</v>
      </c>
    </row>
    <row r="563" spans="1:2" x14ac:dyDescent="0.25">
      <c r="A563" t="s">
        <v>620</v>
      </c>
      <c r="B563">
        <v>776</v>
      </c>
    </row>
    <row r="564" spans="1:2" x14ac:dyDescent="0.25">
      <c r="A564" t="s">
        <v>621</v>
      </c>
      <c r="B564">
        <v>780</v>
      </c>
    </row>
    <row r="565" spans="1:2" x14ac:dyDescent="0.25">
      <c r="A565" t="s">
        <v>622</v>
      </c>
      <c r="B565">
        <v>781</v>
      </c>
    </row>
    <row r="566" spans="1:2" x14ac:dyDescent="0.25">
      <c r="A566" t="s">
        <v>623</v>
      </c>
      <c r="B566">
        <v>783</v>
      </c>
    </row>
    <row r="567" spans="1:2" x14ac:dyDescent="0.25">
      <c r="A567" t="s">
        <v>624</v>
      </c>
      <c r="B567">
        <v>784</v>
      </c>
    </row>
    <row r="568" spans="1:2" x14ac:dyDescent="0.25">
      <c r="A568" t="s">
        <v>625</v>
      </c>
      <c r="B568">
        <v>785</v>
      </c>
    </row>
    <row r="569" spans="1:2" x14ac:dyDescent="0.25">
      <c r="A569" t="s">
        <v>626</v>
      </c>
      <c r="B569">
        <v>786</v>
      </c>
    </row>
    <row r="570" spans="1:2" x14ac:dyDescent="0.25">
      <c r="A570" t="s">
        <v>627</v>
      </c>
      <c r="B570">
        <v>787</v>
      </c>
    </row>
    <row r="571" spans="1:2" x14ac:dyDescent="0.25">
      <c r="A571" t="s">
        <v>628</v>
      </c>
      <c r="B571">
        <v>789</v>
      </c>
    </row>
    <row r="572" spans="1:2" x14ac:dyDescent="0.25">
      <c r="A572" t="s">
        <v>629</v>
      </c>
      <c r="B572">
        <v>791</v>
      </c>
    </row>
    <row r="573" spans="1:2" x14ac:dyDescent="0.25">
      <c r="A573" t="s">
        <v>630</v>
      </c>
      <c r="B573">
        <v>792</v>
      </c>
    </row>
    <row r="574" spans="1:2" x14ac:dyDescent="0.25">
      <c r="A574" t="s">
        <v>631</v>
      </c>
      <c r="B574">
        <v>793</v>
      </c>
    </row>
    <row r="575" spans="1:2" x14ac:dyDescent="0.25">
      <c r="A575" t="s">
        <v>632</v>
      </c>
      <c r="B575">
        <v>796</v>
      </c>
    </row>
    <row r="576" spans="1:2" x14ac:dyDescent="0.25">
      <c r="A576" t="s">
        <v>633</v>
      </c>
      <c r="B576">
        <v>797</v>
      </c>
    </row>
    <row r="577" spans="1:2" x14ac:dyDescent="0.25">
      <c r="A577" t="s">
        <v>634</v>
      </c>
      <c r="B577">
        <v>799</v>
      </c>
    </row>
    <row r="578" spans="1:2" x14ac:dyDescent="0.25">
      <c r="A578" t="s">
        <v>635</v>
      </c>
      <c r="B578">
        <v>800</v>
      </c>
    </row>
    <row r="579" spans="1:2" x14ac:dyDescent="0.25">
      <c r="A579" t="s">
        <v>636</v>
      </c>
      <c r="B579">
        <v>802</v>
      </c>
    </row>
    <row r="580" spans="1:2" x14ac:dyDescent="0.25">
      <c r="A580" t="s">
        <v>637</v>
      </c>
      <c r="B580">
        <v>803</v>
      </c>
    </row>
    <row r="581" spans="1:2" x14ac:dyDescent="0.25">
      <c r="A581" t="s">
        <v>638</v>
      </c>
      <c r="B581">
        <v>804</v>
      </c>
    </row>
    <row r="582" spans="1:2" x14ac:dyDescent="0.25">
      <c r="A582" t="s">
        <v>639</v>
      </c>
      <c r="B582">
        <v>805</v>
      </c>
    </row>
    <row r="583" spans="1:2" x14ac:dyDescent="0.25">
      <c r="A583" t="s">
        <v>640</v>
      </c>
      <c r="B583">
        <v>806</v>
      </c>
    </row>
    <row r="584" spans="1:2" x14ac:dyDescent="0.25">
      <c r="A584" t="s">
        <v>641</v>
      </c>
      <c r="B584">
        <v>807</v>
      </c>
    </row>
    <row r="585" spans="1:2" x14ac:dyDescent="0.25">
      <c r="A585" t="s">
        <v>642</v>
      </c>
      <c r="B585">
        <v>808</v>
      </c>
    </row>
    <row r="586" spans="1:2" x14ac:dyDescent="0.25">
      <c r="A586" t="s">
        <v>643</v>
      </c>
      <c r="B586">
        <v>809</v>
      </c>
    </row>
    <row r="587" spans="1:2" x14ac:dyDescent="0.25">
      <c r="A587" t="s">
        <v>644</v>
      </c>
      <c r="B587">
        <v>811</v>
      </c>
    </row>
    <row r="588" spans="1:2" x14ac:dyDescent="0.25">
      <c r="A588" t="s">
        <v>645</v>
      </c>
      <c r="B588">
        <v>812</v>
      </c>
    </row>
    <row r="589" spans="1:2" x14ac:dyDescent="0.25">
      <c r="A589" t="s">
        <v>646</v>
      </c>
      <c r="B589">
        <v>813</v>
      </c>
    </row>
    <row r="590" spans="1:2" x14ac:dyDescent="0.25">
      <c r="A590" t="s">
        <v>647</v>
      </c>
      <c r="B590">
        <v>815</v>
      </c>
    </row>
    <row r="591" spans="1:2" x14ac:dyDescent="0.25">
      <c r="A591" t="s">
        <v>648</v>
      </c>
      <c r="B591">
        <v>816</v>
      </c>
    </row>
    <row r="592" spans="1:2" x14ac:dyDescent="0.25">
      <c r="A592" t="s">
        <v>649</v>
      </c>
      <c r="B592">
        <v>817</v>
      </c>
    </row>
    <row r="593" spans="1:2" x14ac:dyDescent="0.25">
      <c r="A593" t="s">
        <v>650</v>
      </c>
      <c r="B593">
        <v>819</v>
      </c>
    </row>
    <row r="594" spans="1:2" x14ac:dyDescent="0.25">
      <c r="A594" t="s">
        <v>651</v>
      </c>
      <c r="B594">
        <v>820</v>
      </c>
    </row>
    <row r="595" spans="1:2" x14ac:dyDescent="0.25">
      <c r="A595" t="s">
        <v>652</v>
      </c>
      <c r="B595">
        <v>823</v>
      </c>
    </row>
    <row r="596" spans="1:2" x14ac:dyDescent="0.25">
      <c r="A596" t="s">
        <v>653</v>
      </c>
      <c r="B596">
        <v>824</v>
      </c>
    </row>
    <row r="597" spans="1:2" x14ac:dyDescent="0.25">
      <c r="A597" t="s">
        <v>654</v>
      </c>
      <c r="B597">
        <v>825</v>
      </c>
    </row>
    <row r="598" spans="1:2" x14ac:dyDescent="0.25">
      <c r="A598" t="s">
        <v>655</v>
      </c>
      <c r="B598">
        <v>826</v>
      </c>
    </row>
    <row r="599" spans="1:2" x14ac:dyDescent="0.25">
      <c r="A599" t="s">
        <v>656</v>
      </c>
      <c r="B599">
        <v>827</v>
      </c>
    </row>
    <row r="600" spans="1:2" x14ac:dyDescent="0.25">
      <c r="A600" t="s">
        <v>657</v>
      </c>
      <c r="B600">
        <v>828</v>
      </c>
    </row>
    <row r="601" spans="1:2" x14ac:dyDescent="0.25">
      <c r="A601" t="s">
        <v>658</v>
      </c>
      <c r="B601">
        <v>829</v>
      </c>
    </row>
    <row r="602" spans="1:2" x14ac:dyDescent="0.25">
      <c r="A602" t="s">
        <v>659</v>
      </c>
      <c r="B602">
        <v>830</v>
      </c>
    </row>
    <row r="603" spans="1:2" x14ac:dyDescent="0.25">
      <c r="A603" t="s">
        <v>660</v>
      </c>
      <c r="B603">
        <v>832</v>
      </c>
    </row>
    <row r="604" spans="1:2" x14ac:dyDescent="0.25">
      <c r="A604" t="s">
        <v>661</v>
      </c>
      <c r="B604">
        <v>833</v>
      </c>
    </row>
    <row r="605" spans="1:2" x14ac:dyDescent="0.25">
      <c r="A605" t="s">
        <v>662</v>
      </c>
      <c r="B605">
        <v>834</v>
      </c>
    </row>
    <row r="606" spans="1:2" x14ac:dyDescent="0.25">
      <c r="A606" t="s">
        <v>663</v>
      </c>
      <c r="B606">
        <v>836</v>
      </c>
    </row>
    <row r="607" spans="1:2" x14ac:dyDescent="0.25">
      <c r="A607" t="s">
        <v>664</v>
      </c>
      <c r="B607">
        <v>837</v>
      </c>
    </row>
    <row r="608" spans="1:2" x14ac:dyDescent="0.25">
      <c r="A608" t="s">
        <v>665</v>
      </c>
      <c r="B608">
        <v>838</v>
      </c>
    </row>
    <row r="609" spans="1:2" x14ac:dyDescent="0.25">
      <c r="A609" t="s">
        <v>666</v>
      </c>
      <c r="B609">
        <v>840</v>
      </c>
    </row>
    <row r="610" spans="1:2" x14ac:dyDescent="0.25">
      <c r="A610" t="s">
        <v>667</v>
      </c>
      <c r="B610">
        <v>842</v>
      </c>
    </row>
    <row r="611" spans="1:2" x14ac:dyDescent="0.25">
      <c r="A611" t="s">
        <v>668</v>
      </c>
      <c r="B611">
        <v>843</v>
      </c>
    </row>
    <row r="612" spans="1:2" x14ac:dyDescent="0.25">
      <c r="A612" t="s">
        <v>669</v>
      </c>
      <c r="B612">
        <v>844</v>
      </c>
    </row>
    <row r="613" spans="1:2" x14ac:dyDescent="0.25">
      <c r="A613" t="s">
        <v>670</v>
      </c>
      <c r="B613">
        <v>845</v>
      </c>
    </row>
    <row r="614" spans="1:2" x14ac:dyDescent="0.25">
      <c r="A614" t="s">
        <v>671</v>
      </c>
      <c r="B614">
        <v>846</v>
      </c>
    </row>
    <row r="615" spans="1:2" x14ac:dyDescent="0.25">
      <c r="A615" t="s">
        <v>672</v>
      </c>
      <c r="B615">
        <v>847</v>
      </c>
    </row>
    <row r="616" spans="1:2" x14ac:dyDescent="0.25">
      <c r="A616" t="s">
        <v>673</v>
      </c>
      <c r="B616">
        <v>848</v>
      </c>
    </row>
    <row r="617" spans="1:2" x14ac:dyDescent="0.25">
      <c r="A617" t="s">
        <v>674</v>
      </c>
      <c r="B617">
        <v>850</v>
      </c>
    </row>
    <row r="618" spans="1:2" x14ac:dyDescent="0.25">
      <c r="A618" t="s">
        <v>675</v>
      </c>
      <c r="B618">
        <v>851</v>
      </c>
    </row>
    <row r="619" spans="1:2" x14ac:dyDescent="0.25">
      <c r="A619" t="s">
        <v>676</v>
      </c>
      <c r="B619">
        <v>852</v>
      </c>
    </row>
    <row r="620" spans="1:2" x14ac:dyDescent="0.25">
      <c r="A620" t="s">
        <v>677</v>
      </c>
      <c r="B620">
        <v>854</v>
      </c>
    </row>
    <row r="621" spans="1:2" x14ac:dyDescent="0.25">
      <c r="A621" t="s">
        <v>678</v>
      </c>
      <c r="B621">
        <v>855</v>
      </c>
    </row>
    <row r="622" spans="1:2" x14ac:dyDescent="0.25">
      <c r="A622" t="s">
        <v>679</v>
      </c>
      <c r="B622">
        <v>856</v>
      </c>
    </row>
    <row r="623" spans="1:2" x14ac:dyDescent="0.25">
      <c r="A623" t="s">
        <v>680</v>
      </c>
      <c r="B623">
        <v>857</v>
      </c>
    </row>
    <row r="624" spans="1:2" x14ac:dyDescent="0.25">
      <c r="A624" t="s">
        <v>681</v>
      </c>
      <c r="B624">
        <v>859</v>
      </c>
    </row>
    <row r="625" spans="1:2" x14ac:dyDescent="0.25">
      <c r="A625" t="s">
        <v>682</v>
      </c>
      <c r="B625">
        <v>861</v>
      </c>
    </row>
    <row r="626" spans="1:2" x14ac:dyDescent="0.25">
      <c r="A626" t="s">
        <v>683</v>
      </c>
      <c r="B626">
        <v>862</v>
      </c>
    </row>
    <row r="627" spans="1:2" x14ac:dyDescent="0.25">
      <c r="A627" t="s">
        <v>684</v>
      </c>
      <c r="B627">
        <v>864</v>
      </c>
    </row>
    <row r="628" spans="1:2" x14ac:dyDescent="0.25">
      <c r="A628" t="s">
        <v>685</v>
      </c>
      <c r="B628">
        <v>865</v>
      </c>
    </row>
    <row r="629" spans="1:2" x14ac:dyDescent="0.25">
      <c r="A629" t="s">
        <v>686</v>
      </c>
      <c r="B629">
        <v>867</v>
      </c>
    </row>
    <row r="630" spans="1:2" x14ac:dyDescent="0.25">
      <c r="A630" t="s">
        <v>687</v>
      </c>
      <c r="B630">
        <v>868</v>
      </c>
    </row>
    <row r="631" spans="1:2" x14ac:dyDescent="0.25">
      <c r="A631" t="s">
        <v>688</v>
      </c>
      <c r="B631">
        <v>869</v>
      </c>
    </row>
    <row r="632" spans="1:2" x14ac:dyDescent="0.25">
      <c r="A632" t="s">
        <v>689</v>
      </c>
      <c r="B632">
        <v>872</v>
      </c>
    </row>
    <row r="633" spans="1:2" x14ac:dyDescent="0.25">
      <c r="A633" t="s">
        <v>690</v>
      </c>
      <c r="B633">
        <v>874</v>
      </c>
    </row>
    <row r="634" spans="1:2" x14ac:dyDescent="0.25">
      <c r="A634" t="s">
        <v>691</v>
      </c>
      <c r="B634">
        <v>875</v>
      </c>
    </row>
    <row r="635" spans="1:2" x14ac:dyDescent="0.25">
      <c r="A635" t="s">
        <v>692</v>
      </c>
      <c r="B635">
        <v>878</v>
      </c>
    </row>
    <row r="636" spans="1:2" x14ac:dyDescent="0.25">
      <c r="A636" t="s">
        <v>693</v>
      </c>
      <c r="B636">
        <v>879</v>
      </c>
    </row>
    <row r="637" spans="1:2" x14ac:dyDescent="0.25">
      <c r="A637" t="s">
        <v>694</v>
      </c>
      <c r="B637">
        <v>880</v>
      </c>
    </row>
    <row r="638" spans="1:2" x14ac:dyDescent="0.25">
      <c r="A638" t="s">
        <v>695</v>
      </c>
      <c r="B638">
        <v>881</v>
      </c>
    </row>
    <row r="639" spans="1:2" x14ac:dyDescent="0.25">
      <c r="A639" t="s">
        <v>696</v>
      </c>
      <c r="B639">
        <v>882</v>
      </c>
    </row>
    <row r="640" spans="1:2" x14ac:dyDescent="0.25">
      <c r="A640" t="s">
        <v>697</v>
      </c>
      <c r="B640">
        <v>885</v>
      </c>
    </row>
    <row r="641" spans="1:2" x14ac:dyDescent="0.25">
      <c r="A641" t="s">
        <v>698</v>
      </c>
      <c r="B641">
        <v>887</v>
      </c>
    </row>
    <row r="642" spans="1:2" x14ac:dyDescent="0.25">
      <c r="A642" t="s">
        <v>699</v>
      </c>
      <c r="B642">
        <v>888</v>
      </c>
    </row>
    <row r="643" spans="1:2" x14ac:dyDescent="0.25">
      <c r="A643" t="s">
        <v>700</v>
      </c>
      <c r="B643">
        <v>889</v>
      </c>
    </row>
    <row r="644" spans="1:2" x14ac:dyDescent="0.25">
      <c r="A644" t="s">
        <v>701</v>
      </c>
      <c r="B644">
        <v>893</v>
      </c>
    </row>
    <row r="645" spans="1:2" x14ac:dyDescent="0.25">
      <c r="A645" t="s">
        <v>702</v>
      </c>
      <c r="B645">
        <v>894</v>
      </c>
    </row>
    <row r="646" spans="1:2" x14ac:dyDescent="0.25">
      <c r="A646" t="s">
        <v>703</v>
      </c>
      <c r="B646">
        <v>895</v>
      </c>
    </row>
    <row r="647" spans="1:2" x14ac:dyDescent="0.25">
      <c r="A647" t="s">
        <v>704</v>
      </c>
      <c r="B647">
        <v>896</v>
      </c>
    </row>
    <row r="648" spans="1:2" x14ac:dyDescent="0.25">
      <c r="A648" t="s">
        <v>705</v>
      </c>
      <c r="B648">
        <v>897</v>
      </c>
    </row>
    <row r="649" spans="1:2" x14ac:dyDescent="0.25">
      <c r="A649" t="s">
        <v>706</v>
      </c>
      <c r="B649">
        <v>899</v>
      </c>
    </row>
    <row r="650" spans="1:2" x14ac:dyDescent="0.25">
      <c r="A650" t="s">
        <v>707</v>
      </c>
      <c r="B650">
        <v>900</v>
      </c>
    </row>
    <row r="651" spans="1:2" x14ac:dyDescent="0.25">
      <c r="A651" t="s">
        <v>708</v>
      </c>
      <c r="B651">
        <v>901</v>
      </c>
    </row>
    <row r="652" spans="1:2" x14ac:dyDescent="0.25">
      <c r="A652" t="s">
        <v>709</v>
      </c>
      <c r="B652">
        <v>902</v>
      </c>
    </row>
    <row r="653" spans="1:2" x14ac:dyDescent="0.25">
      <c r="A653" t="s">
        <v>710</v>
      </c>
      <c r="B653">
        <v>903</v>
      </c>
    </row>
    <row r="654" spans="1:2" x14ac:dyDescent="0.25">
      <c r="A654" t="s">
        <v>711</v>
      </c>
      <c r="B654">
        <v>904</v>
      </c>
    </row>
    <row r="655" spans="1:2" x14ac:dyDescent="0.25">
      <c r="A655" t="s">
        <v>712</v>
      </c>
      <c r="B655">
        <v>905</v>
      </c>
    </row>
    <row r="656" spans="1:2" x14ac:dyDescent="0.25">
      <c r="A656" t="s">
        <v>713</v>
      </c>
      <c r="B656">
        <v>909</v>
      </c>
    </row>
    <row r="657" spans="1:2" x14ac:dyDescent="0.25">
      <c r="A657" t="s">
        <v>714</v>
      </c>
      <c r="B657">
        <v>910</v>
      </c>
    </row>
    <row r="658" spans="1:2" x14ac:dyDescent="0.25">
      <c r="A658" t="s">
        <v>715</v>
      </c>
      <c r="B658">
        <v>911</v>
      </c>
    </row>
    <row r="659" spans="1:2" x14ac:dyDescent="0.25">
      <c r="A659" t="s">
        <v>716</v>
      </c>
      <c r="B659">
        <v>912</v>
      </c>
    </row>
    <row r="660" spans="1:2" x14ac:dyDescent="0.25">
      <c r="A660" t="s">
        <v>717</v>
      </c>
      <c r="B660">
        <v>913</v>
      </c>
    </row>
    <row r="661" spans="1:2" x14ac:dyDescent="0.25">
      <c r="A661" t="s">
        <v>718</v>
      </c>
      <c r="B661">
        <v>916</v>
      </c>
    </row>
    <row r="662" spans="1:2" x14ac:dyDescent="0.25">
      <c r="A662" t="s">
        <v>719</v>
      </c>
      <c r="B662">
        <v>918</v>
      </c>
    </row>
    <row r="663" spans="1:2" x14ac:dyDescent="0.25">
      <c r="A663" t="s">
        <v>720</v>
      </c>
      <c r="B663">
        <v>920</v>
      </c>
    </row>
    <row r="664" spans="1:2" x14ac:dyDescent="0.25">
      <c r="A664" t="s">
        <v>721</v>
      </c>
      <c r="B664">
        <v>922</v>
      </c>
    </row>
    <row r="665" spans="1:2" x14ac:dyDescent="0.25">
      <c r="A665" t="s">
        <v>722</v>
      </c>
      <c r="B665">
        <v>923</v>
      </c>
    </row>
    <row r="666" spans="1:2" x14ac:dyDescent="0.25">
      <c r="A666" t="s">
        <v>723</v>
      </c>
      <c r="B666">
        <v>924</v>
      </c>
    </row>
    <row r="667" spans="1:2" x14ac:dyDescent="0.25">
      <c r="A667" t="s">
        <v>724</v>
      </c>
      <c r="B667">
        <v>925</v>
      </c>
    </row>
    <row r="668" spans="1:2" x14ac:dyDescent="0.25">
      <c r="A668" t="s">
        <v>725</v>
      </c>
      <c r="B668">
        <v>926</v>
      </c>
    </row>
    <row r="669" spans="1:2" x14ac:dyDescent="0.25">
      <c r="A669" t="s">
        <v>726</v>
      </c>
      <c r="B669">
        <v>927</v>
      </c>
    </row>
    <row r="670" spans="1:2" x14ac:dyDescent="0.25">
      <c r="A670" t="s">
        <v>727</v>
      </c>
      <c r="B670">
        <v>930</v>
      </c>
    </row>
    <row r="671" spans="1:2" x14ac:dyDescent="0.25">
      <c r="A671" t="s">
        <v>728</v>
      </c>
      <c r="B671">
        <v>932</v>
      </c>
    </row>
    <row r="672" spans="1:2" x14ac:dyDescent="0.25">
      <c r="A672" t="s">
        <v>729</v>
      </c>
      <c r="B672">
        <v>933</v>
      </c>
    </row>
    <row r="673" spans="1:2" x14ac:dyDescent="0.25">
      <c r="A673" t="s">
        <v>730</v>
      </c>
      <c r="B673">
        <v>934</v>
      </c>
    </row>
    <row r="674" spans="1:2" x14ac:dyDescent="0.25">
      <c r="A674" t="s">
        <v>731</v>
      </c>
      <c r="B674">
        <v>936</v>
      </c>
    </row>
    <row r="675" spans="1:2" x14ac:dyDescent="0.25">
      <c r="A675" t="s">
        <v>732</v>
      </c>
      <c r="B675">
        <v>939</v>
      </c>
    </row>
    <row r="676" spans="1:2" x14ac:dyDescent="0.25">
      <c r="A676" t="s">
        <v>733</v>
      </c>
      <c r="B676">
        <v>940</v>
      </c>
    </row>
    <row r="677" spans="1:2" x14ac:dyDescent="0.25">
      <c r="A677" t="s">
        <v>734</v>
      </c>
      <c r="B677">
        <v>941</v>
      </c>
    </row>
    <row r="678" spans="1:2" x14ac:dyDescent="0.25">
      <c r="A678" t="s">
        <v>735</v>
      </c>
      <c r="B678">
        <v>942</v>
      </c>
    </row>
    <row r="679" spans="1:2" x14ac:dyDescent="0.25">
      <c r="A679" t="s">
        <v>736</v>
      </c>
      <c r="B679">
        <v>944</v>
      </c>
    </row>
    <row r="680" spans="1:2" x14ac:dyDescent="0.25">
      <c r="A680" t="s">
        <v>737</v>
      </c>
      <c r="B680">
        <v>945</v>
      </c>
    </row>
    <row r="681" spans="1:2" x14ac:dyDescent="0.25">
      <c r="A681" t="s">
        <v>738</v>
      </c>
      <c r="B681">
        <v>947</v>
      </c>
    </row>
    <row r="682" spans="1:2" x14ac:dyDescent="0.25">
      <c r="A682" t="s">
        <v>739</v>
      </c>
      <c r="B682">
        <v>949</v>
      </c>
    </row>
    <row r="683" spans="1:2" x14ac:dyDescent="0.25">
      <c r="A683" t="s">
        <v>740</v>
      </c>
      <c r="B683">
        <v>950</v>
      </c>
    </row>
    <row r="684" spans="1:2" x14ac:dyDescent="0.25">
      <c r="A684" t="s">
        <v>741</v>
      </c>
      <c r="B684">
        <v>951</v>
      </c>
    </row>
    <row r="685" spans="1:2" x14ac:dyDescent="0.25">
      <c r="A685" t="s">
        <v>742</v>
      </c>
      <c r="B685">
        <v>952</v>
      </c>
    </row>
    <row r="686" spans="1:2" x14ac:dyDescent="0.25">
      <c r="A686" t="s">
        <v>743</v>
      </c>
      <c r="B686">
        <v>954</v>
      </c>
    </row>
    <row r="687" spans="1:2" x14ac:dyDescent="0.25">
      <c r="A687" t="s">
        <v>744</v>
      </c>
      <c r="B687">
        <v>956</v>
      </c>
    </row>
    <row r="688" spans="1:2" x14ac:dyDescent="0.25">
      <c r="A688" t="s">
        <v>745</v>
      </c>
      <c r="B688">
        <v>957</v>
      </c>
    </row>
    <row r="689" spans="1:2" x14ac:dyDescent="0.25">
      <c r="A689" t="s">
        <v>746</v>
      </c>
      <c r="B689">
        <v>958</v>
      </c>
    </row>
    <row r="690" spans="1:2" x14ac:dyDescent="0.25">
      <c r="A690" t="s">
        <v>747</v>
      </c>
      <c r="B690">
        <v>959</v>
      </c>
    </row>
    <row r="691" spans="1:2" x14ac:dyDescent="0.25">
      <c r="A691" t="s">
        <v>748</v>
      </c>
      <c r="B691">
        <v>960</v>
      </c>
    </row>
    <row r="692" spans="1:2" x14ac:dyDescent="0.25">
      <c r="A692" t="s">
        <v>749</v>
      </c>
      <c r="B692">
        <v>961</v>
      </c>
    </row>
    <row r="693" spans="1:2" x14ac:dyDescent="0.25">
      <c r="A693" t="s">
        <v>750</v>
      </c>
      <c r="B693">
        <v>964</v>
      </c>
    </row>
    <row r="694" spans="1:2" x14ac:dyDescent="0.25">
      <c r="A694" t="s">
        <v>751</v>
      </c>
      <c r="B694">
        <v>966</v>
      </c>
    </row>
    <row r="695" spans="1:2" x14ac:dyDescent="0.25">
      <c r="A695" t="s">
        <v>752</v>
      </c>
      <c r="B695">
        <v>967</v>
      </c>
    </row>
    <row r="696" spans="1:2" x14ac:dyDescent="0.25">
      <c r="A696" t="s">
        <v>753</v>
      </c>
      <c r="B696">
        <v>969</v>
      </c>
    </row>
    <row r="697" spans="1:2" x14ac:dyDescent="0.25">
      <c r="A697" t="s">
        <v>754</v>
      </c>
      <c r="B697">
        <v>970</v>
      </c>
    </row>
    <row r="698" spans="1:2" x14ac:dyDescent="0.25">
      <c r="A698" t="s">
        <v>755</v>
      </c>
      <c r="B698">
        <v>972</v>
      </c>
    </row>
    <row r="699" spans="1:2" x14ac:dyDescent="0.25">
      <c r="A699" t="s">
        <v>756</v>
      </c>
      <c r="B699">
        <v>974</v>
      </c>
    </row>
    <row r="700" spans="1:2" x14ac:dyDescent="0.25">
      <c r="A700" t="s">
        <v>757</v>
      </c>
      <c r="B700">
        <v>975</v>
      </c>
    </row>
    <row r="701" spans="1:2" x14ac:dyDescent="0.25">
      <c r="A701" t="s">
        <v>758</v>
      </c>
      <c r="B701">
        <v>976</v>
      </c>
    </row>
    <row r="702" spans="1:2" x14ac:dyDescent="0.25">
      <c r="A702" t="s">
        <v>759</v>
      </c>
      <c r="B702">
        <v>977</v>
      </c>
    </row>
    <row r="703" spans="1:2" x14ac:dyDescent="0.25">
      <c r="A703" t="s">
        <v>760</v>
      </c>
      <c r="B703">
        <v>981</v>
      </c>
    </row>
    <row r="704" spans="1:2" x14ac:dyDescent="0.25">
      <c r="A704" t="s">
        <v>761</v>
      </c>
      <c r="B704">
        <v>982</v>
      </c>
    </row>
    <row r="705" spans="1:2" x14ac:dyDescent="0.25">
      <c r="A705" t="s">
        <v>762</v>
      </c>
      <c r="B705">
        <v>983</v>
      </c>
    </row>
    <row r="706" spans="1:2" x14ac:dyDescent="0.25">
      <c r="A706" t="s">
        <v>763</v>
      </c>
      <c r="B706">
        <v>984</v>
      </c>
    </row>
    <row r="707" spans="1:2" x14ac:dyDescent="0.25">
      <c r="A707" t="s">
        <v>764</v>
      </c>
      <c r="B707">
        <v>985</v>
      </c>
    </row>
    <row r="708" spans="1:2" x14ac:dyDescent="0.25">
      <c r="A708" t="s">
        <v>765</v>
      </c>
      <c r="B708">
        <v>986</v>
      </c>
    </row>
    <row r="709" spans="1:2" x14ac:dyDescent="0.25">
      <c r="A709" t="s">
        <v>766</v>
      </c>
      <c r="B709">
        <v>987</v>
      </c>
    </row>
    <row r="710" spans="1:2" x14ac:dyDescent="0.25">
      <c r="A710" t="s">
        <v>767</v>
      </c>
      <c r="B710">
        <v>990</v>
      </c>
    </row>
    <row r="711" spans="1:2" x14ac:dyDescent="0.25">
      <c r="A711" t="s">
        <v>768</v>
      </c>
      <c r="B711">
        <v>991</v>
      </c>
    </row>
    <row r="712" spans="1:2" x14ac:dyDescent="0.25">
      <c r="A712" t="s">
        <v>769</v>
      </c>
      <c r="B712">
        <v>992</v>
      </c>
    </row>
    <row r="713" spans="1:2" x14ac:dyDescent="0.25">
      <c r="A713" t="s">
        <v>770</v>
      </c>
      <c r="B713">
        <v>994</v>
      </c>
    </row>
    <row r="714" spans="1:2" x14ac:dyDescent="0.25">
      <c r="A714" t="s">
        <v>771</v>
      </c>
      <c r="B714">
        <v>995</v>
      </c>
    </row>
    <row r="715" spans="1:2" x14ac:dyDescent="0.25">
      <c r="A715" t="s">
        <v>772</v>
      </c>
      <c r="B715">
        <v>996</v>
      </c>
    </row>
    <row r="716" spans="1:2" x14ac:dyDescent="0.25">
      <c r="A716" t="s">
        <v>773</v>
      </c>
      <c r="B716">
        <v>997</v>
      </c>
    </row>
    <row r="717" spans="1:2" x14ac:dyDescent="0.25">
      <c r="A717" t="s">
        <v>774</v>
      </c>
      <c r="B717">
        <v>998</v>
      </c>
    </row>
    <row r="718" spans="1:2" x14ac:dyDescent="0.25">
      <c r="A718" t="s">
        <v>775</v>
      </c>
      <c r="B718">
        <v>999</v>
      </c>
    </row>
    <row r="719" spans="1:2" x14ac:dyDescent="0.25">
      <c r="A719" t="s">
        <v>776</v>
      </c>
      <c r="B719">
        <v>1001</v>
      </c>
    </row>
    <row r="720" spans="1:2" x14ac:dyDescent="0.25">
      <c r="A720" t="s">
        <v>777</v>
      </c>
      <c r="B720">
        <v>1002</v>
      </c>
    </row>
    <row r="721" spans="1:2" x14ac:dyDescent="0.25">
      <c r="A721" t="s">
        <v>778</v>
      </c>
      <c r="B721">
        <v>1003</v>
      </c>
    </row>
    <row r="722" spans="1:2" x14ac:dyDescent="0.25">
      <c r="A722" t="s">
        <v>779</v>
      </c>
      <c r="B722">
        <v>1004</v>
      </c>
    </row>
    <row r="723" spans="1:2" x14ac:dyDescent="0.25">
      <c r="A723" t="s">
        <v>780</v>
      </c>
      <c r="B723">
        <v>1005</v>
      </c>
    </row>
    <row r="724" spans="1:2" x14ac:dyDescent="0.25">
      <c r="A724" t="s">
        <v>781</v>
      </c>
      <c r="B724">
        <v>1006</v>
      </c>
    </row>
    <row r="725" spans="1:2" x14ac:dyDescent="0.25">
      <c r="A725" t="s">
        <v>782</v>
      </c>
      <c r="B725">
        <v>1007</v>
      </c>
    </row>
    <row r="726" spans="1:2" x14ac:dyDescent="0.25">
      <c r="A726" t="s">
        <v>783</v>
      </c>
      <c r="B726">
        <v>1009</v>
      </c>
    </row>
    <row r="727" spans="1:2" x14ac:dyDescent="0.25">
      <c r="A727" t="s">
        <v>784</v>
      </c>
      <c r="B727">
        <v>1010</v>
      </c>
    </row>
    <row r="728" spans="1:2" x14ac:dyDescent="0.25">
      <c r="A728" t="s">
        <v>785</v>
      </c>
      <c r="B728">
        <v>1011</v>
      </c>
    </row>
    <row r="729" spans="1:2" x14ac:dyDescent="0.25">
      <c r="A729" t="s">
        <v>786</v>
      </c>
      <c r="B729">
        <v>1012</v>
      </c>
    </row>
    <row r="730" spans="1:2" x14ac:dyDescent="0.25">
      <c r="A730" t="s">
        <v>787</v>
      </c>
      <c r="B730">
        <v>1013</v>
      </c>
    </row>
    <row r="731" spans="1:2" x14ac:dyDescent="0.25">
      <c r="A731" t="s">
        <v>788</v>
      </c>
      <c r="B731">
        <v>1014</v>
      </c>
    </row>
    <row r="732" spans="1:2" x14ac:dyDescent="0.25">
      <c r="A732" t="s">
        <v>789</v>
      </c>
      <c r="B732">
        <v>1015</v>
      </c>
    </row>
    <row r="733" spans="1:2" x14ac:dyDescent="0.25">
      <c r="A733" t="s">
        <v>790</v>
      </c>
      <c r="B733">
        <v>1016</v>
      </c>
    </row>
    <row r="734" spans="1:2" x14ac:dyDescent="0.25">
      <c r="A734" t="s">
        <v>791</v>
      </c>
      <c r="B734">
        <v>1017</v>
      </c>
    </row>
    <row r="735" spans="1:2" x14ac:dyDescent="0.25">
      <c r="A735" t="s">
        <v>792</v>
      </c>
      <c r="B735">
        <v>1018</v>
      </c>
    </row>
    <row r="736" spans="1:2" x14ac:dyDescent="0.25">
      <c r="A736" t="s">
        <v>793</v>
      </c>
      <c r="B736">
        <v>1019</v>
      </c>
    </row>
    <row r="737" spans="1:2" x14ac:dyDescent="0.25">
      <c r="A737" t="s">
        <v>794</v>
      </c>
      <c r="B737">
        <v>1022</v>
      </c>
    </row>
    <row r="738" spans="1:2" x14ac:dyDescent="0.25">
      <c r="A738" t="s">
        <v>795</v>
      </c>
      <c r="B738">
        <v>1024</v>
      </c>
    </row>
    <row r="739" spans="1:2" x14ac:dyDescent="0.25">
      <c r="A739" t="s">
        <v>796</v>
      </c>
      <c r="B739">
        <v>1025</v>
      </c>
    </row>
    <row r="740" spans="1:2" x14ac:dyDescent="0.25">
      <c r="A740" t="s">
        <v>797</v>
      </c>
      <c r="B740">
        <v>1026</v>
      </c>
    </row>
    <row r="741" spans="1:2" x14ac:dyDescent="0.25">
      <c r="A741" t="s">
        <v>798</v>
      </c>
      <c r="B741">
        <v>1027</v>
      </c>
    </row>
    <row r="742" spans="1:2" x14ac:dyDescent="0.25">
      <c r="A742" t="s">
        <v>799</v>
      </c>
      <c r="B742">
        <v>1028</v>
      </c>
    </row>
    <row r="743" spans="1:2" x14ac:dyDescent="0.25">
      <c r="A743" t="s">
        <v>800</v>
      </c>
      <c r="B743">
        <v>1029</v>
      </c>
    </row>
    <row r="744" spans="1:2" x14ac:dyDescent="0.25">
      <c r="A744" t="s">
        <v>801</v>
      </c>
      <c r="B744">
        <v>1030</v>
      </c>
    </row>
    <row r="745" spans="1:2" x14ac:dyDescent="0.25">
      <c r="A745" t="s">
        <v>802</v>
      </c>
      <c r="B745">
        <v>1032</v>
      </c>
    </row>
    <row r="746" spans="1:2" x14ac:dyDescent="0.25">
      <c r="A746" t="s">
        <v>803</v>
      </c>
      <c r="B746">
        <v>1033</v>
      </c>
    </row>
    <row r="747" spans="1:2" x14ac:dyDescent="0.25">
      <c r="A747" t="s">
        <v>804</v>
      </c>
      <c r="B747">
        <v>1034</v>
      </c>
    </row>
    <row r="748" spans="1:2" x14ac:dyDescent="0.25">
      <c r="A748" t="s">
        <v>805</v>
      </c>
      <c r="B748">
        <v>1035</v>
      </c>
    </row>
    <row r="749" spans="1:2" x14ac:dyDescent="0.25">
      <c r="A749" t="s">
        <v>806</v>
      </c>
      <c r="B749">
        <v>1036</v>
      </c>
    </row>
    <row r="750" spans="1:2" x14ac:dyDescent="0.25">
      <c r="A750" t="s">
        <v>807</v>
      </c>
      <c r="B750">
        <v>1037</v>
      </c>
    </row>
    <row r="751" spans="1:2" x14ac:dyDescent="0.25">
      <c r="A751" t="s">
        <v>808</v>
      </c>
      <c r="B751">
        <v>1038</v>
      </c>
    </row>
    <row r="752" spans="1:2" x14ac:dyDescent="0.25">
      <c r="A752" t="s">
        <v>809</v>
      </c>
      <c r="B752">
        <v>1039</v>
      </c>
    </row>
    <row r="753" spans="1:2" x14ac:dyDescent="0.25">
      <c r="A753" t="s">
        <v>810</v>
      </c>
      <c r="B753">
        <v>1040</v>
      </c>
    </row>
    <row r="754" spans="1:2" x14ac:dyDescent="0.25">
      <c r="A754" t="s">
        <v>811</v>
      </c>
      <c r="B754">
        <v>1042</v>
      </c>
    </row>
    <row r="755" spans="1:2" x14ac:dyDescent="0.25">
      <c r="A755" t="s">
        <v>812</v>
      </c>
      <c r="B755">
        <v>1043</v>
      </c>
    </row>
    <row r="756" spans="1:2" x14ac:dyDescent="0.25">
      <c r="A756" t="s">
        <v>813</v>
      </c>
      <c r="B756">
        <v>1044</v>
      </c>
    </row>
    <row r="757" spans="1:2" x14ac:dyDescent="0.25">
      <c r="A757" t="s">
        <v>814</v>
      </c>
      <c r="B757">
        <v>1045</v>
      </c>
    </row>
    <row r="758" spans="1:2" x14ac:dyDescent="0.25">
      <c r="A758" t="s">
        <v>815</v>
      </c>
      <c r="B758">
        <v>1046</v>
      </c>
    </row>
    <row r="759" spans="1:2" x14ac:dyDescent="0.25">
      <c r="A759" t="s">
        <v>816</v>
      </c>
      <c r="B759">
        <v>1047</v>
      </c>
    </row>
    <row r="760" spans="1:2" x14ac:dyDescent="0.25">
      <c r="A760" t="s">
        <v>817</v>
      </c>
      <c r="B760">
        <v>1048</v>
      </c>
    </row>
    <row r="761" spans="1:2" x14ac:dyDescent="0.25">
      <c r="A761" t="s">
        <v>818</v>
      </c>
      <c r="B761">
        <v>1049</v>
      </c>
    </row>
    <row r="762" spans="1:2" x14ac:dyDescent="0.25">
      <c r="A762" t="s">
        <v>819</v>
      </c>
      <c r="B762">
        <v>1050</v>
      </c>
    </row>
    <row r="763" spans="1:2" x14ac:dyDescent="0.25">
      <c r="A763" t="s">
        <v>820</v>
      </c>
      <c r="B763">
        <v>1052</v>
      </c>
    </row>
    <row r="764" spans="1:2" x14ac:dyDescent="0.25">
      <c r="A764" t="s">
        <v>821</v>
      </c>
      <c r="B764">
        <v>1053</v>
      </c>
    </row>
    <row r="765" spans="1:2" x14ac:dyDescent="0.25">
      <c r="A765" t="s">
        <v>822</v>
      </c>
      <c r="B765">
        <v>1055</v>
      </c>
    </row>
    <row r="766" spans="1:2" x14ac:dyDescent="0.25">
      <c r="A766" t="s">
        <v>823</v>
      </c>
      <c r="B766">
        <v>1056</v>
      </c>
    </row>
    <row r="767" spans="1:2" x14ac:dyDescent="0.25">
      <c r="A767" t="s">
        <v>824</v>
      </c>
      <c r="B767">
        <v>1060</v>
      </c>
    </row>
    <row r="768" spans="1:2" x14ac:dyDescent="0.25">
      <c r="A768" t="s">
        <v>825</v>
      </c>
      <c r="B768">
        <v>1061</v>
      </c>
    </row>
    <row r="769" spans="1:2" x14ac:dyDescent="0.25">
      <c r="A769" t="s">
        <v>826</v>
      </c>
      <c r="B769">
        <v>1062</v>
      </c>
    </row>
    <row r="770" spans="1:2" x14ac:dyDescent="0.25">
      <c r="A770" t="s">
        <v>827</v>
      </c>
      <c r="B770">
        <v>1066</v>
      </c>
    </row>
    <row r="771" spans="1:2" x14ac:dyDescent="0.25">
      <c r="A771" t="s">
        <v>828</v>
      </c>
      <c r="B771">
        <v>1068</v>
      </c>
    </row>
    <row r="772" spans="1:2" x14ac:dyDescent="0.25">
      <c r="A772" t="s">
        <v>829</v>
      </c>
      <c r="B772">
        <v>1069</v>
      </c>
    </row>
    <row r="773" spans="1:2" x14ac:dyDescent="0.25">
      <c r="A773" t="s">
        <v>830</v>
      </c>
      <c r="B773">
        <v>1070</v>
      </c>
    </row>
    <row r="774" spans="1:2" x14ac:dyDescent="0.25">
      <c r="A774" t="s">
        <v>831</v>
      </c>
      <c r="B774">
        <v>1071</v>
      </c>
    </row>
    <row r="775" spans="1:2" x14ac:dyDescent="0.25">
      <c r="A775" t="s">
        <v>832</v>
      </c>
      <c r="B775">
        <v>1073</v>
      </c>
    </row>
    <row r="776" spans="1:2" x14ac:dyDescent="0.25">
      <c r="A776" t="s">
        <v>833</v>
      </c>
      <c r="B776">
        <v>1074</v>
      </c>
    </row>
    <row r="777" spans="1:2" x14ac:dyDescent="0.25">
      <c r="A777" t="s">
        <v>834</v>
      </c>
      <c r="B777">
        <v>1076</v>
      </c>
    </row>
    <row r="778" spans="1:2" x14ac:dyDescent="0.25">
      <c r="A778" t="s">
        <v>835</v>
      </c>
      <c r="B778">
        <v>1077</v>
      </c>
    </row>
    <row r="779" spans="1:2" x14ac:dyDescent="0.25">
      <c r="A779" t="s">
        <v>836</v>
      </c>
      <c r="B779">
        <v>1079</v>
      </c>
    </row>
    <row r="780" spans="1:2" x14ac:dyDescent="0.25">
      <c r="A780" t="s">
        <v>837</v>
      </c>
      <c r="B780">
        <v>1080</v>
      </c>
    </row>
    <row r="781" spans="1:2" x14ac:dyDescent="0.25">
      <c r="A781" t="s">
        <v>838</v>
      </c>
      <c r="B781">
        <v>1081</v>
      </c>
    </row>
    <row r="782" spans="1:2" x14ac:dyDescent="0.25">
      <c r="A782" t="s">
        <v>839</v>
      </c>
      <c r="B782">
        <v>1082</v>
      </c>
    </row>
    <row r="783" spans="1:2" x14ac:dyDescent="0.25">
      <c r="A783" t="s">
        <v>840</v>
      </c>
      <c r="B783">
        <v>1083</v>
      </c>
    </row>
    <row r="784" spans="1:2" x14ac:dyDescent="0.25">
      <c r="A784" t="s">
        <v>841</v>
      </c>
      <c r="B784">
        <v>1084</v>
      </c>
    </row>
    <row r="785" spans="1:2" x14ac:dyDescent="0.25">
      <c r="A785" t="s">
        <v>842</v>
      </c>
      <c r="B785">
        <v>1085</v>
      </c>
    </row>
    <row r="786" spans="1:2" x14ac:dyDescent="0.25">
      <c r="A786" t="s">
        <v>843</v>
      </c>
      <c r="B786">
        <v>1088</v>
      </c>
    </row>
    <row r="787" spans="1:2" x14ac:dyDescent="0.25">
      <c r="A787" t="s">
        <v>844</v>
      </c>
      <c r="B787">
        <v>1092</v>
      </c>
    </row>
    <row r="788" spans="1:2" x14ac:dyDescent="0.25">
      <c r="A788" t="s">
        <v>845</v>
      </c>
      <c r="B788">
        <v>1094</v>
      </c>
    </row>
    <row r="789" spans="1:2" x14ac:dyDescent="0.25">
      <c r="A789" t="s">
        <v>846</v>
      </c>
      <c r="B789">
        <v>1096</v>
      </c>
    </row>
    <row r="790" spans="1:2" x14ac:dyDescent="0.25">
      <c r="A790" t="s">
        <v>847</v>
      </c>
      <c r="B790">
        <v>1097</v>
      </c>
    </row>
    <row r="791" spans="1:2" x14ac:dyDescent="0.25">
      <c r="A791" t="s">
        <v>848</v>
      </c>
      <c r="B791">
        <v>1098</v>
      </c>
    </row>
    <row r="792" spans="1:2" x14ac:dyDescent="0.25">
      <c r="A792" t="s">
        <v>849</v>
      </c>
      <c r="B792">
        <v>1099</v>
      </c>
    </row>
    <row r="793" spans="1:2" x14ac:dyDescent="0.25">
      <c r="A793" t="s">
        <v>850</v>
      </c>
      <c r="B793">
        <v>1100</v>
      </c>
    </row>
    <row r="794" spans="1:2" x14ac:dyDescent="0.25">
      <c r="A794" t="s">
        <v>851</v>
      </c>
      <c r="B794">
        <v>1101</v>
      </c>
    </row>
    <row r="795" spans="1:2" x14ac:dyDescent="0.25">
      <c r="A795" t="s">
        <v>852</v>
      </c>
      <c r="B795">
        <v>1102</v>
      </c>
    </row>
    <row r="796" spans="1:2" x14ac:dyDescent="0.25">
      <c r="A796" t="s">
        <v>853</v>
      </c>
      <c r="B796">
        <v>1103</v>
      </c>
    </row>
    <row r="797" spans="1:2" x14ac:dyDescent="0.25">
      <c r="A797" t="s">
        <v>854</v>
      </c>
      <c r="B797">
        <v>1105</v>
      </c>
    </row>
    <row r="798" spans="1:2" x14ac:dyDescent="0.25">
      <c r="A798" t="s">
        <v>855</v>
      </c>
      <c r="B798">
        <v>1106</v>
      </c>
    </row>
    <row r="799" spans="1:2" x14ac:dyDescent="0.25">
      <c r="A799" t="s">
        <v>856</v>
      </c>
      <c r="B799">
        <v>1107</v>
      </c>
    </row>
    <row r="800" spans="1:2" x14ac:dyDescent="0.25">
      <c r="A800" t="s">
        <v>857</v>
      </c>
      <c r="B800">
        <v>1108</v>
      </c>
    </row>
    <row r="801" spans="1:2" x14ac:dyDescent="0.25">
      <c r="A801" t="s">
        <v>858</v>
      </c>
      <c r="B801">
        <v>1109</v>
      </c>
    </row>
    <row r="802" spans="1:2" x14ac:dyDescent="0.25">
      <c r="A802" t="s">
        <v>859</v>
      </c>
      <c r="B802">
        <v>1111</v>
      </c>
    </row>
    <row r="803" spans="1:2" x14ac:dyDescent="0.25">
      <c r="A803" t="s">
        <v>860</v>
      </c>
      <c r="B803">
        <v>1113</v>
      </c>
    </row>
    <row r="804" spans="1:2" x14ac:dyDescent="0.25">
      <c r="A804" t="s">
        <v>861</v>
      </c>
      <c r="B804">
        <v>1114</v>
      </c>
    </row>
    <row r="805" spans="1:2" x14ac:dyDescent="0.25">
      <c r="A805" t="s">
        <v>862</v>
      </c>
      <c r="B805">
        <v>1115</v>
      </c>
    </row>
    <row r="806" spans="1:2" x14ac:dyDescent="0.25">
      <c r="A806" t="s">
        <v>863</v>
      </c>
      <c r="B806">
        <v>1116</v>
      </c>
    </row>
    <row r="807" spans="1:2" x14ac:dyDescent="0.25">
      <c r="A807" t="s">
        <v>864</v>
      </c>
      <c r="B807">
        <v>1117</v>
      </c>
    </row>
    <row r="808" spans="1:2" x14ac:dyDescent="0.25">
      <c r="A808" t="s">
        <v>865</v>
      </c>
      <c r="B808">
        <v>1118</v>
      </c>
    </row>
    <row r="809" spans="1:2" x14ac:dyDescent="0.25">
      <c r="A809" t="s">
        <v>866</v>
      </c>
      <c r="B809">
        <v>1119</v>
      </c>
    </row>
    <row r="810" spans="1:2" x14ac:dyDescent="0.25">
      <c r="A810" t="s">
        <v>867</v>
      </c>
      <c r="B810">
        <v>1120</v>
      </c>
    </row>
    <row r="811" spans="1:2" x14ac:dyDescent="0.25">
      <c r="A811" t="s">
        <v>868</v>
      </c>
      <c r="B811">
        <v>1121</v>
      </c>
    </row>
    <row r="812" spans="1:2" x14ac:dyDescent="0.25">
      <c r="A812" t="s">
        <v>869</v>
      </c>
      <c r="B812">
        <v>1124</v>
      </c>
    </row>
    <row r="813" spans="1:2" x14ac:dyDescent="0.25">
      <c r="A813" t="s">
        <v>870</v>
      </c>
      <c r="B813">
        <v>1125</v>
      </c>
    </row>
    <row r="814" spans="1:2" x14ac:dyDescent="0.25">
      <c r="A814" t="s">
        <v>871</v>
      </c>
      <c r="B814">
        <v>1126</v>
      </c>
    </row>
    <row r="815" spans="1:2" x14ac:dyDescent="0.25">
      <c r="A815" t="s">
        <v>872</v>
      </c>
      <c r="B815">
        <v>1127</v>
      </c>
    </row>
    <row r="816" spans="1:2" x14ac:dyDescent="0.25">
      <c r="A816" t="s">
        <v>873</v>
      </c>
      <c r="B816">
        <v>1128</v>
      </c>
    </row>
    <row r="817" spans="1:2" x14ac:dyDescent="0.25">
      <c r="A817" t="s">
        <v>874</v>
      </c>
      <c r="B817">
        <v>1131</v>
      </c>
    </row>
    <row r="818" spans="1:2" x14ac:dyDescent="0.25">
      <c r="A818" t="s">
        <v>875</v>
      </c>
      <c r="B818">
        <v>1132</v>
      </c>
    </row>
    <row r="819" spans="1:2" x14ac:dyDescent="0.25">
      <c r="A819" t="s">
        <v>876</v>
      </c>
      <c r="B819">
        <v>1133</v>
      </c>
    </row>
    <row r="820" spans="1:2" x14ac:dyDescent="0.25">
      <c r="A820" t="s">
        <v>877</v>
      </c>
      <c r="B820">
        <v>1135</v>
      </c>
    </row>
    <row r="821" spans="1:2" x14ac:dyDescent="0.25">
      <c r="A821" t="s">
        <v>878</v>
      </c>
      <c r="B821">
        <v>1136</v>
      </c>
    </row>
    <row r="822" spans="1:2" x14ac:dyDescent="0.25">
      <c r="A822" t="s">
        <v>879</v>
      </c>
      <c r="B822">
        <v>1137</v>
      </c>
    </row>
    <row r="823" spans="1:2" x14ac:dyDescent="0.25">
      <c r="A823" t="s">
        <v>880</v>
      </c>
      <c r="B823">
        <v>1138</v>
      </c>
    </row>
    <row r="824" spans="1:2" x14ac:dyDescent="0.25">
      <c r="A824" t="s">
        <v>881</v>
      </c>
      <c r="B824">
        <v>1140</v>
      </c>
    </row>
    <row r="825" spans="1:2" x14ac:dyDescent="0.25">
      <c r="A825" t="s">
        <v>882</v>
      </c>
      <c r="B825">
        <v>1143</v>
      </c>
    </row>
    <row r="826" spans="1:2" x14ac:dyDescent="0.25">
      <c r="A826" t="s">
        <v>883</v>
      </c>
      <c r="B826">
        <v>1148</v>
      </c>
    </row>
    <row r="827" spans="1:2" x14ac:dyDescent="0.25">
      <c r="A827" t="s">
        <v>884</v>
      </c>
      <c r="B827">
        <v>1150</v>
      </c>
    </row>
    <row r="828" spans="1:2" x14ac:dyDescent="0.25">
      <c r="A828" t="s">
        <v>885</v>
      </c>
      <c r="B828">
        <v>1152</v>
      </c>
    </row>
    <row r="829" spans="1:2" x14ac:dyDescent="0.25">
      <c r="A829" t="s">
        <v>886</v>
      </c>
      <c r="B829">
        <v>1154</v>
      </c>
    </row>
    <row r="830" spans="1:2" x14ac:dyDescent="0.25">
      <c r="A830" t="s">
        <v>887</v>
      </c>
      <c r="B830">
        <v>1156</v>
      </c>
    </row>
    <row r="831" spans="1:2" x14ac:dyDescent="0.25">
      <c r="A831" t="s">
        <v>888</v>
      </c>
      <c r="B831">
        <v>1157</v>
      </c>
    </row>
    <row r="832" spans="1:2" x14ac:dyDescent="0.25">
      <c r="A832" t="s">
        <v>889</v>
      </c>
      <c r="B832">
        <v>1158</v>
      </c>
    </row>
    <row r="833" spans="1:2" x14ac:dyDescent="0.25">
      <c r="A833" t="s">
        <v>890</v>
      </c>
      <c r="B833">
        <v>1160</v>
      </c>
    </row>
    <row r="834" spans="1:2" x14ac:dyDescent="0.25">
      <c r="A834" t="s">
        <v>891</v>
      </c>
      <c r="B834">
        <v>1161</v>
      </c>
    </row>
    <row r="835" spans="1:2" x14ac:dyDescent="0.25">
      <c r="A835" t="s">
        <v>892</v>
      </c>
      <c r="B835">
        <v>1162</v>
      </c>
    </row>
    <row r="836" spans="1:2" x14ac:dyDescent="0.25">
      <c r="A836" t="s">
        <v>893</v>
      </c>
      <c r="B836">
        <v>1163</v>
      </c>
    </row>
    <row r="837" spans="1:2" x14ac:dyDescent="0.25">
      <c r="A837" t="s">
        <v>894</v>
      </c>
      <c r="B837">
        <v>1164</v>
      </c>
    </row>
    <row r="838" spans="1:2" x14ac:dyDescent="0.25">
      <c r="A838" t="s">
        <v>895</v>
      </c>
      <c r="B838">
        <v>1165</v>
      </c>
    </row>
    <row r="839" spans="1:2" x14ac:dyDescent="0.25">
      <c r="A839" t="s">
        <v>896</v>
      </c>
      <c r="B839">
        <v>1166</v>
      </c>
    </row>
    <row r="840" spans="1:2" x14ac:dyDescent="0.25">
      <c r="A840" t="s">
        <v>897</v>
      </c>
      <c r="B840">
        <v>1167</v>
      </c>
    </row>
    <row r="841" spans="1:2" x14ac:dyDescent="0.25">
      <c r="A841" t="s">
        <v>898</v>
      </c>
      <c r="B841">
        <v>1171</v>
      </c>
    </row>
    <row r="842" spans="1:2" x14ac:dyDescent="0.25">
      <c r="A842" t="s">
        <v>899</v>
      </c>
      <c r="B842">
        <v>1172</v>
      </c>
    </row>
    <row r="843" spans="1:2" x14ac:dyDescent="0.25">
      <c r="A843" t="s">
        <v>900</v>
      </c>
      <c r="B843">
        <v>1173</v>
      </c>
    </row>
    <row r="844" spans="1:2" x14ac:dyDescent="0.25">
      <c r="A844" t="s">
        <v>901</v>
      </c>
      <c r="B844">
        <v>1175</v>
      </c>
    </row>
    <row r="845" spans="1:2" x14ac:dyDescent="0.25">
      <c r="A845" t="s">
        <v>902</v>
      </c>
      <c r="B845">
        <v>1177</v>
      </c>
    </row>
    <row r="846" spans="1:2" x14ac:dyDescent="0.25">
      <c r="A846" t="s">
        <v>903</v>
      </c>
      <c r="B846">
        <v>1179</v>
      </c>
    </row>
    <row r="847" spans="1:2" x14ac:dyDescent="0.25">
      <c r="A847" t="s">
        <v>904</v>
      </c>
      <c r="B847">
        <v>1180</v>
      </c>
    </row>
    <row r="848" spans="1:2" x14ac:dyDescent="0.25">
      <c r="A848" t="s">
        <v>905</v>
      </c>
      <c r="B848">
        <v>1182</v>
      </c>
    </row>
    <row r="849" spans="1:2" x14ac:dyDescent="0.25">
      <c r="A849" t="s">
        <v>906</v>
      </c>
      <c r="B849">
        <v>1184</v>
      </c>
    </row>
    <row r="850" spans="1:2" x14ac:dyDescent="0.25">
      <c r="A850" t="s">
        <v>907</v>
      </c>
      <c r="B850">
        <v>1185</v>
      </c>
    </row>
    <row r="851" spans="1:2" x14ac:dyDescent="0.25">
      <c r="A851" t="s">
        <v>908</v>
      </c>
      <c r="B851">
        <v>1188</v>
      </c>
    </row>
    <row r="852" spans="1:2" x14ac:dyDescent="0.25">
      <c r="A852" t="s">
        <v>909</v>
      </c>
      <c r="B852">
        <v>1190</v>
      </c>
    </row>
    <row r="853" spans="1:2" x14ac:dyDescent="0.25">
      <c r="A853" t="s">
        <v>910</v>
      </c>
      <c r="B853">
        <v>1191</v>
      </c>
    </row>
    <row r="854" spans="1:2" x14ac:dyDescent="0.25">
      <c r="A854" t="s">
        <v>911</v>
      </c>
      <c r="B854">
        <v>1192</v>
      </c>
    </row>
    <row r="855" spans="1:2" x14ac:dyDescent="0.25">
      <c r="A855" t="s">
        <v>912</v>
      </c>
      <c r="B855">
        <v>1193</v>
      </c>
    </row>
    <row r="856" spans="1:2" x14ac:dyDescent="0.25">
      <c r="A856" t="s">
        <v>913</v>
      </c>
      <c r="B856">
        <v>1195</v>
      </c>
    </row>
    <row r="857" spans="1:2" x14ac:dyDescent="0.25">
      <c r="A857" t="s">
        <v>914</v>
      </c>
      <c r="B857">
        <v>1196</v>
      </c>
    </row>
    <row r="858" spans="1:2" x14ac:dyDescent="0.25">
      <c r="A858" t="s">
        <v>915</v>
      </c>
      <c r="B858">
        <v>1198</v>
      </c>
    </row>
    <row r="859" spans="1:2" x14ac:dyDescent="0.25">
      <c r="A859" t="s">
        <v>916</v>
      </c>
      <c r="B859">
        <v>1200</v>
      </c>
    </row>
    <row r="860" spans="1:2" x14ac:dyDescent="0.25">
      <c r="A860" t="s">
        <v>917</v>
      </c>
      <c r="B860">
        <v>1201</v>
      </c>
    </row>
    <row r="861" spans="1:2" x14ac:dyDescent="0.25">
      <c r="A861" t="s">
        <v>918</v>
      </c>
      <c r="B861">
        <v>1202</v>
      </c>
    </row>
    <row r="862" spans="1:2" x14ac:dyDescent="0.25">
      <c r="A862" t="s">
        <v>919</v>
      </c>
      <c r="B862">
        <v>1203</v>
      </c>
    </row>
    <row r="863" spans="1:2" x14ac:dyDescent="0.25">
      <c r="A863" t="s">
        <v>920</v>
      </c>
      <c r="B863">
        <v>1204</v>
      </c>
    </row>
    <row r="864" spans="1:2" x14ac:dyDescent="0.25">
      <c r="A864" t="s">
        <v>921</v>
      </c>
      <c r="B864">
        <v>1206</v>
      </c>
    </row>
    <row r="865" spans="1:2" x14ac:dyDescent="0.25">
      <c r="A865" t="s">
        <v>922</v>
      </c>
      <c r="B865">
        <v>1207</v>
      </c>
    </row>
    <row r="866" spans="1:2" x14ac:dyDescent="0.25">
      <c r="A866" t="s">
        <v>923</v>
      </c>
      <c r="B866">
        <v>1210</v>
      </c>
    </row>
    <row r="867" spans="1:2" x14ac:dyDescent="0.25">
      <c r="A867" t="s">
        <v>924</v>
      </c>
      <c r="B867">
        <v>1211</v>
      </c>
    </row>
    <row r="868" spans="1:2" x14ac:dyDescent="0.25">
      <c r="A868" t="s">
        <v>925</v>
      </c>
      <c r="B868">
        <v>1212</v>
      </c>
    </row>
    <row r="869" spans="1:2" x14ac:dyDescent="0.25">
      <c r="A869" t="s">
        <v>926</v>
      </c>
      <c r="B869">
        <v>1215</v>
      </c>
    </row>
    <row r="870" spans="1:2" x14ac:dyDescent="0.25">
      <c r="A870" t="s">
        <v>927</v>
      </c>
      <c r="B870">
        <v>1216</v>
      </c>
    </row>
    <row r="871" spans="1:2" x14ac:dyDescent="0.25">
      <c r="A871" t="s">
        <v>928</v>
      </c>
      <c r="B871">
        <v>1217</v>
      </c>
    </row>
    <row r="872" spans="1:2" x14ac:dyDescent="0.25">
      <c r="A872" t="s">
        <v>929</v>
      </c>
      <c r="B872">
        <v>1218</v>
      </c>
    </row>
    <row r="873" spans="1:2" x14ac:dyDescent="0.25">
      <c r="A873" t="s">
        <v>930</v>
      </c>
      <c r="B873">
        <v>1219</v>
      </c>
    </row>
    <row r="874" spans="1:2" x14ac:dyDescent="0.25">
      <c r="A874" t="s">
        <v>931</v>
      </c>
      <c r="B874">
        <v>1220</v>
      </c>
    </row>
    <row r="875" spans="1:2" x14ac:dyDescent="0.25">
      <c r="A875" t="s">
        <v>932</v>
      </c>
      <c r="B875">
        <v>1221</v>
      </c>
    </row>
    <row r="876" spans="1:2" x14ac:dyDescent="0.25">
      <c r="A876" t="s">
        <v>933</v>
      </c>
      <c r="B876">
        <v>1224</v>
      </c>
    </row>
    <row r="877" spans="1:2" x14ac:dyDescent="0.25">
      <c r="A877" t="s">
        <v>934</v>
      </c>
      <c r="B877">
        <v>1225</v>
      </c>
    </row>
    <row r="878" spans="1:2" x14ac:dyDescent="0.25">
      <c r="A878" t="s">
        <v>935</v>
      </c>
      <c r="B878">
        <v>1226</v>
      </c>
    </row>
    <row r="879" spans="1:2" x14ac:dyDescent="0.25">
      <c r="A879" t="s">
        <v>936</v>
      </c>
      <c r="B879">
        <v>1228</v>
      </c>
    </row>
    <row r="880" spans="1:2" x14ac:dyDescent="0.25">
      <c r="A880" t="s">
        <v>937</v>
      </c>
      <c r="B880">
        <v>1231</v>
      </c>
    </row>
    <row r="881" spans="1:2" x14ac:dyDescent="0.25">
      <c r="A881" t="s">
        <v>938</v>
      </c>
      <c r="B881">
        <v>1233</v>
      </c>
    </row>
    <row r="882" spans="1:2" x14ac:dyDescent="0.25">
      <c r="A882" t="s">
        <v>939</v>
      </c>
      <c r="B882">
        <v>1234</v>
      </c>
    </row>
    <row r="883" spans="1:2" x14ac:dyDescent="0.25">
      <c r="A883" t="s">
        <v>940</v>
      </c>
      <c r="B883">
        <v>1235</v>
      </c>
    </row>
    <row r="884" spans="1:2" x14ac:dyDescent="0.25">
      <c r="A884" t="s">
        <v>941</v>
      </c>
      <c r="B884">
        <v>1237</v>
      </c>
    </row>
    <row r="885" spans="1:2" x14ac:dyDescent="0.25">
      <c r="A885" t="s">
        <v>942</v>
      </c>
      <c r="B885">
        <v>1238</v>
      </c>
    </row>
    <row r="886" spans="1:2" x14ac:dyDescent="0.25">
      <c r="A886" t="s">
        <v>943</v>
      </c>
      <c r="B886">
        <v>1239</v>
      </c>
    </row>
    <row r="887" spans="1:2" x14ac:dyDescent="0.25">
      <c r="A887" t="s">
        <v>944</v>
      </c>
      <c r="B887">
        <v>1240</v>
      </c>
    </row>
    <row r="888" spans="1:2" x14ac:dyDescent="0.25">
      <c r="A888" t="s">
        <v>945</v>
      </c>
      <c r="B888">
        <v>1241</v>
      </c>
    </row>
    <row r="889" spans="1:2" x14ac:dyDescent="0.25">
      <c r="A889" t="s">
        <v>946</v>
      </c>
      <c r="B889">
        <v>1242</v>
      </c>
    </row>
    <row r="890" spans="1:2" x14ac:dyDescent="0.25">
      <c r="A890" t="s">
        <v>947</v>
      </c>
      <c r="B890">
        <v>1243</v>
      </c>
    </row>
    <row r="891" spans="1:2" x14ac:dyDescent="0.25">
      <c r="A891" t="s">
        <v>948</v>
      </c>
      <c r="B891">
        <v>1244</v>
      </c>
    </row>
    <row r="892" spans="1:2" x14ac:dyDescent="0.25">
      <c r="A892" t="s">
        <v>949</v>
      </c>
      <c r="B892">
        <v>1245</v>
      </c>
    </row>
    <row r="893" spans="1:2" x14ac:dyDescent="0.25">
      <c r="A893" t="s">
        <v>950</v>
      </c>
      <c r="B893">
        <v>1246</v>
      </c>
    </row>
    <row r="894" spans="1:2" x14ac:dyDescent="0.25">
      <c r="A894" t="s">
        <v>951</v>
      </c>
      <c r="B894">
        <v>1248</v>
      </c>
    </row>
    <row r="895" spans="1:2" x14ac:dyDescent="0.25">
      <c r="A895" t="s">
        <v>952</v>
      </c>
      <c r="B895">
        <v>1249</v>
      </c>
    </row>
    <row r="896" spans="1:2" x14ac:dyDescent="0.25">
      <c r="A896" t="s">
        <v>953</v>
      </c>
      <c r="B896">
        <v>1250</v>
      </c>
    </row>
    <row r="897" spans="1:2" x14ac:dyDescent="0.25">
      <c r="A897" t="s">
        <v>954</v>
      </c>
      <c r="B897">
        <v>1251</v>
      </c>
    </row>
    <row r="898" spans="1:2" x14ac:dyDescent="0.25">
      <c r="A898" t="s">
        <v>955</v>
      </c>
      <c r="B898">
        <v>1252</v>
      </c>
    </row>
    <row r="899" spans="1:2" x14ac:dyDescent="0.25">
      <c r="A899" t="s">
        <v>956</v>
      </c>
      <c r="B899">
        <v>1254</v>
      </c>
    </row>
    <row r="900" spans="1:2" x14ac:dyDescent="0.25">
      <c r="A900" t="s">
        <v>957</v>
      </c>
      <c r="B900">
        <v>1255</v>
      </c>
    </row>
    <row r="901" spans="1:2" x14ac:dyDescent="0.25">
      <c r="A901" t="s">
        <v>958</v>
      </c>
      <c r="B901">
        <v>1256</v>
      </c>
    </row>
    <row r="902" spans="1:2" x14ac:dyDescent="0.25">
      <c r="A902" t="s">
        <v>959</v>
      </c>
      <c r="B902">
        <v>1257</v>
      </c>
    </row>
    <row r="903" spans="1:2" x14ac:dyDescent="0.25">
      <c r="A903" t="s">
        <v>960</v>
      </c>
      <c r="B903">
        <v>1258</v>
      </c>
    </row>
    <row r="904" spans="1:2" x14ac:dyDescent="0.25">
      <c r="A904" t="s">
        <v>961</v>
      </c>
      <c r="B904">
        <v>1259</v>
      </c>
    </row>
    <row r="905" spans="1:2" x14ac:dyDescent="0.25">
      <c r="A905" t="s">
        <v>962</v>
      </c>
      <c r="B905">
        <v>1260</v>
      </c>
    </row>
    <row r="906" spans="1:2" x14ac:dyDescent="0.25">
      <c r="A906" t="s">
        <v>963</v>
      </c>
      <c r="B906">
        <v>1263</v>
      </c>
    </row>
    <row r="907" spans="1:2" x14ac:dyDescent="0.25">
      <c r="A907" t="s">
        <v>964</v>
      </c>
      <c r="B907">
        <v>1264</v>
      </c>
    </row>
    <row r="908" spans="1:2" x14ac:dyDescent="0.25">
      <c r="A908" t="s">
        <v>965</v>
      </c>
      <c r="B908">
        <v>1265</v>
      </c>
    </row>
    <row r="909" spans="1:2" x14ac:dyDescent="0.25">
      <c r="A909" t="s">
        <v>966</v>
      </c>
      <c r="B909">
        <v>1267</v>
      </c>
    </row>
    <row r="910" spans="1:2" x14ac:dyDescent="0.25">
      <c r="A910" t="s">
        <v>967</v>
      </c>
      <c r="B910">
        <v>1268</v>
      </c>
    </row>
    <row r="911" spans="1:2" x14ac:dyDescent="0.25">
      <c r="A911" t="s">
        <v>968</v>
      </c>
      <c r="B911">
        <v>1269</v>
      </c>
    </row>
    <row r="912" spans="1:2" x14ac:dyDescent="0.25">
      <c r="A912" t="s">
        <v>969</v>
      </c>
      <c r="B912">
        <v>1270</v>
      </c>
    </row>
    <row r="913" spans="1:2" x14ac:dyDescent="0.25">
      <c r="A913" t="s">
        <v>970</v>
      </c>
      <c r="B913">
        <v>1273</v>
      </c>
    </row>
    <row r="914" spans="1:2" x14ac:dyDescent="0.25">
      <c r="A914" t="s">
        <v>971</v>
      </c>
      <c r="B914">
        <v>1275</v>
      </c>
    </row>
    <row r="915" spans="1:2" x14ac:dyDescent="0.25">
      <c r="A915" t="s">
        <v>972</v>
      </c>
      <c r="B915">
        <v>1277</v>
      </c>
    </row>
    <row r="916" spans="1:2" x14ac:dyDescent="0.25">
      <c r="A916" t="s">
        <v>973</v>
      </c>
      <c r="B916">
        <v>1278</v>
      </c>
    </row>
    <row r="917" spans="1:2" x14ac:dyDescent="0.25">
      <c r="A917" t="s">
        <v>974</v>
      </c>
      <c r="B917">
        <v>1279</v>
      </c>
    </row>
    <row r="918" spans="1:2" x14ac:dyDescent="0.25">
      <c r="A918" t="s">
        <v>975</v>
      </c>
      <c r="B918">
        <v>1280</v>
      </c>
    </row>
    <row r="919" spans="1:2" x14ac:dyDescent="0.25">
      <c r="A919" t="s">
        <v>976</v>
      </c>
      <c r="B919">
        <v>1281</v>
      </c>
    </row>
    <row r="920" spans="1:2" x14ac:dyDescent="0.25">
      <c r="A920" t="s">
        <v>977</v>
      </c>
      <c r="B920">
        <v>1282</v>
      </c>
    </row>
    <row r="921" spans="1:2" x14ac:dyDescent="0.25">
      <c r="A921" t="s">
        <v>978</v>
      </c>
      <c r="B921">
        <v>1283</v>
      </c>
    </row>
    <row r="922" spans="1:2" x14ac:dyDescent="0.25">
      <c r="A922" t="s">
        <v>979</v>
      </c>
      <c r="B922">
        <v>1285</v>
      </c>
    </row>
    <row r="923" spans="1:2" x14ac:dyDescent="0.25">
      <c r="A923" t="s">
        <v>980</v>
      </c>
      <c r="B923">
        <v>1286</v>
      </c>
    </row>
    <row r="924" spans="1:2" x14ac:dyDescent="0.25">
      <c r="A924" t="s">
        <v>981</v>
      </c>
      <c r="B924">
        <v>1288</v>
      </c>
    </row>
    <row r="925" spans="1:2" x14ac:dyDescent="0.25">
      <c r="A925" t="s">
        <v>982</v>
      </c>
      <c r="B925">
        <v>1289</v>
      </c>
    </row>
    <row r="926" spans="1:2" x14ac:dyDescent="0.25">
      <c r="A926" t="s">
        <v>983</v>
      </c>
      <c r="B926">
        <v>1291</v>
      </c>
    </row>
    <row r="927" spans="1:2" x14ac:dyDescent="0.25">
      <c r="A927" t="s">
        <v>984</v>
      </c>
      <c r="B927">
        <v>1292</v>
      </c>
    </row>
    <row r="928" spans="1:2" x14ac:dyDescent="0.25">
      <c r="A928" t="s">
        <v>985</v>
      </c>
      <c r="B928">
        <v>1293</v>
      </c>
    </row>
    <row r="929" spans="1:2" x14ac:dyDescent="0.25">
      <c r="A929" t="s">
        <v>986</v>
      </c>
      <c r="B929">
        <v>1294</v>
      </c>
    </row>
    <row r="930" spans="1:2" x14ac:dyDescent="0.25">
      <c r="A930" t="s">
        <v>987</v>
      </c>
      <c r="B930">
        <v>1295</v>
      </c>
    </row>
    <row r="931" spans="1:2" x14ac:dyDescent="0.25">
      <c r="A931" t="s">
        <v>988</v>
      </c>
      <c r="B931">
        <v>1296</v>
      </c>
    </row>
    <row r="932" spans="1:2" x14ac:dyDescent="0.25">
      <c r="A932" t="s">
        <v>989</v>
      </c>
      <c r="B932">
        <v>1297</v>
      </c>
    </row>
    <row r="933" spans="1:2" x14ac:dyDescent="0.25">
      <c r="A933" t="s">
        <v>990</v>
      </c>
      <c r="B933">
        <v>1298</v>
      </c>
    </row>
    <row r="934" spans="1:2" x14ac:dyDescent="0.25">
      <c r="A934" t="s">
        <v>991</v>
      </c>
      <c r="B934">
        <v>1299</v>
      </c>
    </row>
    <row r="935" spans="1:2" x14ac:dyDescent="0.25">
      <c r="A935" t="s">
        <v>992</v>
      </c>
      <c r="B935">
        <v>1301</v>
      </c>
    </row>
    <row r="936" spans="1:2" x14ac:dyDescent="0.25">
      <c r="A936" t="s">
        <v>993</v>
      </c>
      <c r="B936">
        <v>1303</v>
      </c>
    </row>
    <row r="937" spans="1:2" x14ac:dyDescent="0.25">
      <c r="A937" t="s">
        <v>994</v>
      </c>
      <c r="B937">
        <v>1304</v>
      </c>
    </row>
    <row r="938" spans="1:2" x14ac:dyDescent="0.25">
      <c r="A938" t="s">
        <v>995</v>
      </c>
      <c r="B938">
        <v>1306</v>
      </c>
    </row>
    <row r="939" spans="1:2" x14ac:dyDescent="0.25">
      <c r="A939" t="s">
        <v>996</v>
      </c>
      <c r="B939">
        <v>1307</v>
      </c>
    </row>
    <row r="940" spans="1:2" x14ac:dyDescent="0.25">
      <c r="A940" t="s">
        <v>997</v>
      </c>
      <c r="B940">
        <v>1308</v>
      </c>
    </row>
    <row r="941" spans="1:2" x14ac:dyDescent="0.25">
      <c r="A941" t="s">
        <v>998</v>
      </c>
      <c r="B941">
        <v>1309</v>
      </c>
    </row>
    <row r="942" spans="1:2" x14ac:dyDescent="0.25">
      <c r="A942" t="s">
        <v>999</v>
      </c>
      <c r="B942">
        <v>1310</v>
      </c>
    </row>
    <row r="943" spans="1:2" x14ac:dyDescent="0.25">
      <c r="A943" t="s">
        <v>1000</v>
      </c>
      <c r="B943">
        <v>1311</v>
      </c>
    </row>
    <row r="944" spans="1:2" x14ac:dyDescent="0.25">
      <c r="A944" t="s">
        <v>1001</v>
      </c>
      <c r="B944">
        <v>1312</v>
      </c>
    </row>
    <row r="945" spans="1:2" x14ac:dyDescent="0.25">
      <c r="A945" t="s">
        <v>1002</v>
      </c>
      <c r="B945">
        <v>1314</v>
      </c>
    </row>
    <row r="946" spans="1:2" x14ac:dyDescent="0.25">
      <c r="A946" t="s">
        <v>1003</v>
      </c>
      <c r="B946">
        <v>1315</v>
      </c>
    </row>
    <row r="947" spans="1:2" x14ac:dyDescent="0.25">
      <c r="A947" t="s">
        <v>1004</v>
      </c>
      <c r="B947">
        <v>1317</v>
      </c>
    </row>
    <row r="948" spans="1:2" x14ac:dyDescent="0.25">
      <c r="A948" t="s">
        <v>1005</v>
      </c>
      <c r="B948">
        <v>1318</v>
      </c>
    </row>
    <row r="949" spans="1:2" x14ac:dyDescent="0.25">
      <c r="A949" t="s">
        <v>1006</v>
      </c>
      <c r="B949">
        <v>1319</v>
      </c>
    </row>
    <row r="950" spans="1:2" x14ac:dyDescent="0.25">
      <c r="A950" t="s">
        <v>1007</v>
      </c>
      <c r="B950">
        <v>1321</v>
      </c>
    </row>
    <row r="951" spans="1:2" x14ac:dyDescent="0.25">
      <c r="A951" t="s">
        <v>1008</v>
      </c>
      <c r="B951">
        <v>1322</v>
      </c>
    </row>
    <row r="952" spans="1:2" x14ac:dyDescent="0.25">
      <c r="A952" t="s">
        <v>1009</v>
      </c>
      <c r="B952">
        <v>1324</v>
      </c>
    </row>
    <row r="953" spans="1:2" x14ac:dyDescent="0.25">
      <c r="A953" t="s">
        <v>1010</v>
      </c>
      <c r="B953">
        <v>1329</v>
      </c>
    </row>
    <row r="954" spans="1:2" x14ac:dyDescent="0.25">
      <c r="A954" t="s">
        <v>1011</v>
      </c>
      <c r="B954">
        <v>1331</v>
      </c>
    </row>
    <row r="955" spans="1:2" x14ac:dyDescent="0.25">
      <c r="A955" t="s">
        <v>1012</v>
      </c>
      <c r="B955">
        <v>1333</v>
      </c>
    </row>
    <row r="956" spans="1:2" x14ac:dyDescent="0.25">
      <c r="A956" t="s">
        <v>1013</v>
      </c>
      <c r="B956">
        <v>1334</v>
      </c>
    </row>
    <row r="957" spans="1:2" x14ac:dyDescent="0.25">
      <c r="A957" t="s">
        <v>1014</v>
      </c>
      <c r="B957">
        <v>1336</v>
      </c>
    </row>
    <row r="958" spans="1:2" x14ac:dyDescent="0.25">
      <c r="A958" t="s">
        <v>1015</v>
      </c>
      <c r="B958">
        <v>1338</v>
      </c>
    </row>
    <row r="959" spans="1:2" x14ac:dyDescent="0.25">
      <c r="A959" t="s">
        <v>1016</v>
      </c>
      <c r="B959">
        <v>1340</v>
      </c>
    </row>
    <row r="960" spans="1:2" x14ac:dyDescent="0.25">
      <c r="A960" t="s">
        <v>1017</v>
      </c>
      <c r="B960">
        <v>1344</v>
      </c>
    </row>
    <row r="961" spans="1:2" x14ac:dyDescent="0.25">
      <c r="A961" t="s">
        <v>1018</v>
      </c>
      <c r="B961">
        <v>1346</v>
      </c>
    </row>
    <row r="962" spans="1:2" x14ac:dyDescent="0.25">
      <c r="A962" t="s">
        <v>1019</v>
      </c>
      <c r="B962">
        <v>1349</v>
      </c>
    </row>
    <row r="963" spans="1:2" x14ac:dyDescent="0.25">
      <c r="A963" t="s">
        <v>1020</v>
      </c>
      <c r="B963">
        <v>1350</v>
      </c>
    </row>
    <row r="964" spans="1:2" x14ac:dyDescent="0.25">
      <c r="A964" t="s">
        <v>1021</v>
      </c>
      <c r="B964">
        <v>1352</v>
      </c>
    </row>
    <row r="965" spans="1:2" x14ac:dyDescent="0.25">
      <c r="A965" t="s">
        <v>1022</v>
      </c>
      <c r="B965">
        <v>1355</v>
      </c>
    </row>
    <row r="966" spans="1:2" x14ac:dyDescent="0.25">
      <c r="A966" t="s">
        <v>1023</v>
      </c>
      <c r="B966">
        <v>1356</v>
      </c>
    </row>
    <row r="967" spans="1:2" x14ac:dyDescent="0.25">
      <c r="A967" t="s">
        <v>1024</v>
      </c>
      <c r="B967">
        <v>1358</v>
      </c>
    </row>
    <row r="968" spans="1:2" x14ac:dyDescent="0.25">
      <c r="A968" t="s">
        <v>1025</v>
      </c>
      <c r="B968">
        <v>1360</v>
      </c>
    </row>
    <row r="969" spans="1:2" x14ac:dyDescent="0.25">
      <c r="A969" t="s">
        <v>1026</v>
      </c>
      <c r="B969">
        <v>1361</v>
      </c>
    </row>
    <row r="970" spans="1:2" x14ac:dyDescent="0.25">
      <c r="A970" t="s">
        <v>1027</v>
      </c>
      <c r="B970">
        <v>1362</v>
      </c>
    </row>
    <row r="971" spans="1:2" x14ac:dyDescent="0.25">
      <c r="A971" t="s">
        <v>1028</v>
      </c>
      <c r="B971">
        <v>1363</v>
      </c>
    </row>
    <row r="972" spans="1:2" x14ac:dyDescent="0.25">
      <c r="A972" t="s">
        <v>1029</v>
      </c>
      <c r="B972">
        <v>1364</v>
      </c>
    </row>
    <row r="973" spans="1:2" x14ac:dyDescent="0.25">
      <c r="A973" t="s">
        <v>1030</v>
      </c>
      <c r="B973">
        <v>1367</v>
      </c>
    </row>
    <row r="974" spans="1:2" x14ac:dyDescent="0.25">
      <c r="A974" t="s">
        <v>1031</v>
      </c>
      <c r="B974">
        <v>1368</v>
      </c>
    </row>
    <row r="975" spans="1:2" x14ac:dyDescent="0.25">
      <c r="A975" t="s">
        <v>1032</v>
      </c>
      <c r="B975">
        <v>1369</v>
      </c>
    </row>
    <row r="976" spans="1:2" x14ac:dyDescent="0.25">
      <c r="A976" t="s">
        <v>1033</v>
      </c>
      <c r="B976">
        <v>1371</v>
      </c>
    </row>
    <row r="977" spans="1:2" x14ac:dyDescent="0.25">
      <c r="A977" t="s">
        <v>1034</v>
      </c>
      <c r="B977">
        <v>1372</v>
      </c>
    </row>
    <row r="978" spans="1:2" x14ac:dyDescent="0.25">
      <c r="A978" t="s">
        <v>1035</v>
      </c>
      <c r="B978">
        <v>1373</v>
      </c>
    </row>
    <row r="979" spans="1:2" x14ac:dyDescent="0.25">
      <c r="A979" t="s">
        <v>1036</v>
      </c>
      <c r="B979">
        <v>1374</v>
      </c>
    </row>
    <row r="980" spans="1:2" x14ac:dyDescent="0.25">
      <c r="A980" t="s">
        <v>1037</v>
      </c>
      <c r="B980">
        <v>1375</v>
      </c>
    </row>
    <row r="981" spans="1:2" x14ac:dyDescent="0.25">
      <c r="A981" t="s">
        <v>1038</v>
      </c>
      <c r="B981">
        <v>1377</v>
      </c>
    </row>
    <row r="982" spans="1:2" x14ac:dyDescent="0.25">
      <c r="A982" t="s">
        <v>1039</v>
      </c>
      <c r="B982">
        <v>1379</v>
      </c>
    </row>
    <row r="983" spans="1:2" x14ac:dyDescent="0.25">
      <c r="A983" t="s">
        <v>1040</v>
      </c>
      <c r="B983">
        <v>1380</v>
      </c>
    </row>
    <row r="984" spans="1:2" x14ac:dyDescent="0.25">
      <c r="A984" t="s">
        <v>1041</v>
      </c>
      <c r="B984">
        <v>1382</v>
      </c>
    </row>
    <row r="985" spans="1:2" x14ac:dyDescent="0.25">
      <c r="A985" t="s">
        <v>1042</v>
      </c>
      <c r="B985">
        <v>1383</v>
      </c>
    </row>
    <row r="986" spans="1:2" x14ac:dyDescent="0.25">
      <c r="A986" t="s">
        <v>1043</v>
      </c>
      <c r="B986">
        <v>1387</v>
      </c>
    </row>
    <row r="987" spans="1:2" x14ac:dyDescent="0.25">
      <c r="A987" t="s">
        <v>1044</v>
      </c>
      <c r="B987">
        <v>1389</v>
      </c>
    </row>
    <row r="988" spans="1:2" x14ac:dyDescent="0.25">
      <c r="A988" t="s">
        <v>1045</v>
      </c>
      <c r="B988">
        <v>1390</v>
      </c>
    </row>
    <row r="989" spans="1:2" x14ac:dyDescent="0.25">
      <c r="A989" t="s">
        <v>1046</v>
      </c>
      <c r="B989">
        <v>1391</v>
      </c>
    </row>
    <row r="990" spans="1:2" x14ac:dyDescent="0.25">
      <c r="A990" t="s">
        <v>1047</v>
      </c>
      <c r="B990">
        <v>1392</v>
      </c>
    </row>
    <row r="991" spans="1:2" x14ac:dyDescent="0.25">
      <c r="A991" t="s">
        <v>1048</v>
      </c>
      <c r="B991">
        <v>1394</v>
      </c>
    </row>
    <row r="992" spans="1:2" x14ac:dyDescent="0.25">
      <c r="A992" t="s">
        <v>1049</v>
      </c>
      <c r="B992">
        <v>1395</v>
      </c>
    </row>
    <row r="993" spans="1:2" x14ac:dyDescent="0.25">
      <c r="A993" t="s">
        <v>1050</v>
      </c>
      <c r="B993">
        <v>1396</v>
      </c>
    </row>
    <row r="994" spans="1:2" x14ac:dyDescent="0.25">
      <c r="A994" t="s">
        <v>1051</v>
      </c>
      <c r="B994">
        <v>1397</v>
      </c>
    </row>
    <row r="995" spans="1:2" x14ac:dyDescent="0.25">
      <c r="A995" t="s">
        <v>1052</v>
      </c>
      <c r="B995">
        <v>1399</v>
      </c>
    </row>
    <row r="996" spans="1:2" x14ac:dyDescent="0.25">
      <c r="A996" t="s">
        <v>1053</v>
      </c>
      <c r="B996">
        <v>1401</v>
      </c>
    </row>
    <row r="997" spans="1:2" x14ac:dyDescent="0.25">
      <c r="A997" t="s">
        <v>1054</v>
      </c>
      <c r="B997">
        <v>1402</v>
      </c>
    </row>
    <row r="998" spans="1:2" x14ac:dyDescent="0.25">
      <c r="A998" t="s">
        <v>1055</v>
      </c>
      <c r="B998">
        <v>1403</v>
      </c>
    </row>
    <row r="999" spans="1:2" x14ac:dyDescent="0.25">
      <c r="A999" t="s">
        <v>1056</v>
      </c>
      <c r="B999">
        <v>1405</v>
      </c>
    </row>
    <row r="1000" spans="1:2" x14ac:dyDescent="0.25">
      <c r="A1000" t="s">
        <v>1057</v>
      </c>
      <c r="B1000">
        <v>1407</v>
      </c>
    </row>
    <row r="1001" spans="1:2" x14ac:dyDescent="0.25">
      <c r="A1001" t="s">
        <v>1058</v>
      </c>
      <c r="B1001">
        <v>1408</v>
      </c>
    </row>
    <row r="1002" spans="1:2" x14ac:dyDescent="0.25">
      <c r="A1002" t="s">
        <v>1059</v>
      </c>
      <c r="B1002">
        <v>1409</v>
      </c>
    </row>
    <row r="1003" spans="1:2" x14ac:dyDescent="0.25">
      <c r="A1003" t="s">
        <v>1060</v>
      </c>
      <c r="B1003">
        <v>1411</v>
      </c>
    </row>
    <row r="1004" spans="1:2" x14ac:dyDescent="0.25">
      <c r="A1004" t="s">
        <v>1061</v>
      </c>
      <c r="B1004">
        <v>1412</v>
      </c>
    </row>
    <row r="1005" spans="1:2" x14ac:dyDescent="0.25">
      <c r="A1005" t="s">
        <v>1062</v>
      </c>
      <c r="B1005">
        <v>1415</v>
      </c>
    </row>
    <row r="1006" spans="1:2" x14ac:dyDescent="0.25">
      <c r="A1006" t="s">
        <v>1063</v>
      </c>
      <c r="B1006">
        <v>1417</v>
      </c>
    </row>
    <row r="1007" spans="1:2" x14ac:dyDescent="0.25">
      <c r="A1007" t="s">
        <v>1064</v>
      </c>
      <c r="B1007">
        <v>1419</v>
      </c>
    </row>
    <row r="1008" spans="1:2" x14ac:dyDescent="0.25">
      <c r="A1008" t="s">
        <v>1065</v>
      </c>
      <c r="B1008">
        <v>1420</v>
      </c>
    </row>
    <row r="1009" spans="1:2" x14ac:dyDescent="0.25">
      <c r="A1009" t="s">
        <v>1066</v>
      </c>
      <c r="B1009">
        <v>1421</v>
      </c>
    </row>
    <row r="1010" spans="1:2" x14ac:dyDescent="0.25">
      <c r="A1010" t="s">
        <v>1067</v>
      </c>
      <c r="B1010">
        <v>1422</v>
      </c>
    </row>
    <row r="1011" spans="1:2" x14ac:dyDescent="0.25">
      <c r="A1011" t="s">
        <v>1068</v>
      </c>
      <c r="B1011">
        <v>1423</v>
      </c>
    </row>
    <row r="1012" spans="1:2" x14ac:dyDescent="0.25">
      <c r="A1012" t="s">
        <v>1069</v>
      </c>
      <c r="B1012">
        <v>1424</v>
      </c>
    </row>
    <row r="1013" spans="1:2" x14ac:dyDescent="0.25">
      <c r="A1013" t="s">
        <v>1070</v>
      </c>
      <c r="B1013">
        <v>1425</v>
      </c>
    </row>
    <row r="1014" spans="1:2" x14ac:dyDescent="0.25">
      <c r="A1014" t="s">
        <v>1071</v>
      </c>
      <c r="B1014">
        <v>1427</v>
      </c>
    </row>
    <row r="1015" spans="1:2" x14ac:dyDescent="0.25">
      <c r="A1015" t="s">
        <v>1072</v>
      </c>
      <c r="B1015">
        <v>1428</v>
      </c>
    </row>
    <row r="1016" spans="1:2" x14ac:dyDescent="0.25">
      <c r="A1016" t="s">
        <v>1073</v>
      </c>
      <c r="B1016">
        <v>1430</v>
      </c>
    </row>
    <row r="1017" spans="1:2" x14ac:dyDescent="0.25">
      <c r="A1017" t="s">
        <v>1074</v>
      </c>
      <c r="B1017">
        <v>1431</v>
      </c>
    </row>
    <row r="1018" spans="1:2" x14ac:dyDescent="0.25">
      <c r="A1018" t="s">
        <v>1075</v>
      </c>
      <c r="B1018">
        <v>1433</v>
      </c>
    </row>
    <row r="1019" spans="1:2" x14ac:dyDescent="0.25">
      <c r="A1019" t="s">
        <v>1076</v>
      </c>
      <c r="B1019">
        <v>1434</v>
      </c>
    </row>
    <row r="1020" spans="1:2" x14ac:dyDescent="0.25">
      <c r="A1020" t="s">
        <v>1077</v>
      </c>
      <c r="B1020">
        <v>1435</v>
      </c>
    </row>
    <row r="1021" spans="1:2" x14ac:dyDescent="0.25">
      <c r="A1021" t="s">
        <v>1078</v>
      </c>
      <c r="B1021">
        <v>1436</v>
      </c>
    </row>
    <row r="1022" spans="1:2" x14ac:dyDescent="0.25">
      <c r="A1022" t="s">
        <v>1079</v>
      </c>
      <c r="B1022">
        <v>1438</v>
      </c>
    </row>
    <row r="1023" spans="1:2" x14ac:dyDescent="0.25">
      <c r="A1023" t="s">
        <v>1080</v>
      </c>
      <c r="B1023">
        <v>1439</v>
      </c>
    </row>
    <row r="1024" spans="1:2" x14ac:dyDescent="0.25">
      <c r="A1024" t="s">
        <v>1081</v>
      </c>
      <c r="B1024">
        <v>1440</v>
      </c>
    </row>
    <row r="1025" spans="1:2" x14ac:dyDescent="0.25">
      <c r="A1025" t="s">
        <v>1082</v>
      </c>
      <c r="B1025">
        <v>1441</v>
      </c>
    </row>
    <row r="1026" spans="1:2" x14ac:dyDescent="0.25">
      <c r="A1026" t="s">
        <v>1083</v>
      </c>
      <c r="B1026">
        <v>1443</v>
      </c>
    </row>
    <row r="1027" spans="1:2" x14ac:dyDescent="0.25">
      <c r="A1027" t="s">
        <v>1084</v>
      </c>
      <c r="B1027">
        <v>1445</v>
      </c>
    </row>
    <row r="1028" spans="1:2" x14ac:dyDescent="0.25">
      <c r="A1028" t="s">
        <v>1085</v>
      </c>
      <c r="B1028">
        <v>1446</v>
      </c>
    </row>
    <row r="1029" spans="1:2" x14ac:dyDescent="0.25">
      <c r="A1029" t="s">
        <v>1086</v>
      </c>
      <c r="B1029">
        <v>1447</v>
      </c>
    </row>
    <row r="1030" spans="1:2" x14ac:dyDescent="0.25">
      <c r="A1030" t="s">
        <v>1087</v>
      </c>
      <c r="B1030">
        <v>1448</v>
      </c>
    </row>
    <row r="1031" spans="1:2" x14ac:dyDescent="0.25">
      <c r="A1031" t="s">
        <v>1088</v>
      </c>
      <c r="B1031">
        <v>1449</v>
      </c>
    </row>
    <row r="1032" spans="1:2" x14ac:dyDescent="0.25">
      <c r="A1032" t="s">
        <v>1089</v>
      </c>
      <c r="B1032">
        <v>1453</v>
      </c>
    </row>
    <row r="1033" spans="1:2" x14ac:dyDescent="0.25">
      <c r="A1033" t="s">
        <v>1090</v>
      </c>
      <c r="B1033">
        <v>1457</v>
      </c>
    </row>
    <row r="1034" spans="1:2" x14ac:dyDescent="0.25">
      <c r="A1034" t="s">
        <v>1091</v>
      </c>
      <c r="B1034">
        <v>1458</v>
      </c>
    </row>
    <row r="1035" spans="1:2" x14ac:dyDescent="0.25">
      <c r="A1035" t="s">
        <v>1092</v>
      </c>
      <c r="B1035">
        <v>1459</v>
      </c>
    </row>
    <row r="1036" spans="1:2" x14ac:dyDescent="0.25">
      <c r="A1036" t="s">
        <v>1093</v>
      </c>
      <c r="B1036">
        <v>1460</v>
      </c>
    </row>
    <row r="1037" spans="1:2" x14ac:dyDescent="0.25">
      <c r="A1037" t="s">
        <v>1094</v>
      </c>
      <c r="B1037">
        <v>1461</v>
      </c>
    </row>
    <row r="1038" spans="1:2" x14ac:dyDescent="0.25">
      <c r="A1038" t="s">
        <v>1095</v>
      </c>
      <c r="B1038">
        <v>1464</v>
      </c>
    </row>
    <row r="1039" spans="1:2" x14ac:dyDescent="0.25">
      <c r="A1039" t="s">
        <v>1096</v>
      </c>
      <c r="B1039">
        <v>1465</v>
      </c>
    </row>
    <row r="1040" spans="1:2" x14ac:dyDescent="0.25">
      <c r="A1040" t="s">
        <v>1097</v>
      </c>
      <c r="B1040">
        <v>1466</v>
      </c>
    </row>
    <row r="1041" spans="1:2" x14ac:dyDescent="0.25">
      <c r="A1041" t="s">
        <v>1098</v>
      </c>
      <c r="B1041">
        <v>1467</v>
      </c>
    </row>
    <row r="1042" spans="1:2" x14ac:dyDescent="0.25">
      <c r="A1042" t="s">
        <v>1099</v>
      </c>
      <c r="B1042">
        <v>1468</v>
      </c>
    </row>
    <row r="1043" spans="1:2" x14ac:dyDescent="0.25">
      <c r="A1043" t="s">
        <v>1100</v>
      </c>
      <c r="B1043">
        <v>1469</v>
      </c>
    </row>
    <row r="1044" spans="1:2" x14ac:dyDescent="0.25">
      <c r="A1044" t="s">
        <v>1101</v>
      </c>
      <c r="B1044">
        <v>1471</v>
      </c>
    </row>
    <row r="1045" spans="1:2" x14ac:dyDescent="0.25">
      <c r="A1045" t="s">
        <v>1102</v>
      </c>
      <c r="B1045">
        <v>1472</v>
      </c>
    </row>
    <row r="1046" spans="1:2" x14ac:dyDescent="0.25">
      <c r="A1046" t="s">
        <v>1103</v>
      </c>
      <c r="B1046">
        <v>1473</v>
      </c>
    </row>
    <row r="1047" spans="1:2" x14ac:dyDescent="0.25">
      <c r="A1047" t="s">
        <v>1104</v>
      </c>
      <c r="B1047">
        <v>1474</v>
      </c>
    </row>
    <row r="1048" spans="1:2" x14ac:dyDescent="0.25">
      <c r="A1048" t="s">
        <v>1105</v>
      </c>
      <c r="B1048">
        <v>1475</v>
      </c>
    </row>
    <row r="1049" spans="1:2" x14ac:dyDescent="0.25">
      <c r="A1049" t="s">
        <v>1106</v>
      </c>
      <c r="B1049">
        <v>1477</v>
      </c>
    </row>
    <row r="1050" spans="1:2" x14ac:dyDescent="0.25">
      <c r="A1050" t="s">
        <v>1107</v>
      </c>
      <c r="B1050">
        <v>1478</v>
      </c>
    </row>
    <row r="1051" spans="1:2" x14ac:dyDescent="0.25">
      <c r="A1051" t="s">
        <v>1108</v>
      </c>
      <c r="B1051">
        <v>1479</v>
      </c>
    </row>
    <row r="1052" spans="1:2" x14ac:dyDescent="0.25">
      <c r="A1052" t="s">
        <v>1109</v>
      </c>
      <c r="B1052">
        <v>1480</v>
      </c>
    </row>
    <row r="1053" spans="1:2" x14ac:dyDescent="0.25">
      <c r="A1053" t="s">
        <v>1110</v>
      </c>
      <c r="B1053">
        <v>1481</v>
      </c>
    </row>
    <row r="1054" spans="1:2" x14ac:dyDescent="0.25">
      <c r="A1054" t="s">
        <v>1111</v>
      </c>
      <c r="B1054">
        <v>1482</v>
      </c>
    </row>
    <row r="1055" spans="1:2" x14ac:dyDescent="0.25">
      <c r="A1055" t="s">
        <v>1112</v>
      </c>
      <c r="B1055">
        <v>1483</v>
      </c>
    </row>
    <row r="1056" spans="1:2" x14ac:dyDescent="0.25">
      <c r="A1056" t="s">
        <v>1113</v>
      </c>
      <c r="B1056">
        <v>1484</v>
      </c>
    </row>
    <row r="1057" spans="1:2" x14ac:dyDescent="0.25">
      <c r="A1057" t="s">
        <v>1114</v>
      </c>
      <c r="B1057">
        <v>1485</v>
      </c>
    </row>
    <row r="1058" spans="1:2" x14ac:dyDescent="0.25">
      <c r="A1058" t="s">
        <v>1115</v>
      </c>
      <c r="B1058">
        <v>1486</v>
      </c>
    </row>
    <row r="1059" spans="1:2" x14ac:dyDescent="0.25">
      <c r="A1059" t="s">
        <v>1116</v>
      </c>
      <c r="B1059">
        <v>1487</v>
      </c>
    </row>
    <row r="1060" spans="1:2" x14ac:dyDescent="0.25">
      <c r="A1060" t="s">
        <v>1117</v>
      </c>
      <c r="B1060">
        <v>1489</v>
      </c>
    </row>
    <row r="1061" spans="1:2" x14ac:dyDescent="0.25">
      <c r="A1061" t="s">
        <v>1118</v>
      </c>
      <c r="B1061">
        <v>1492</v>
      </c>
    </row>
    <row r="1062" spans="1:2" x14ac:dyDescent="0.25">
      <c r="A1062" t="s">
        <v>1119</v>
      </c>
      <c r="B1062">
        <v>1494</v>
      </c>
    </row>
    <row r="1063" spans="1:2" x14ac:dyDescent="0.25">
      <c r="A1063" t="s">
        <v>1120</v>
      </c>
      <c r="B1063">
        <v>1495</v>
      </c>
    </row>
    <row r="1064" spans="1:2" x14ac:dyDescent="0.25">
      <c r="A1064" t="s">
        <v>1121</v>
      </c>
      <c r="B1064">
        <v>1496</v>
      </c>
    </row>
    <row r="1065" spans="1:2" x14ac:dyDescent="0.25">
      <c r="A1065" t="s">
        <v>1122</v>
      </c>
      <c r="B1065">
        <v>1497</v>
      </c>
    </row>
    <row r="1066" spans="1:2" x14ac:dyDescent="0.25">
      <c r="A1066" t="s">
        <v>1123</v>
      </c>
      <c r="B1066">
        <v>1499</v>
      </c>
    </row>
    <row r="1067" spans="1:2" x14ac:dyDescent="0.25">
      <c r="A1067" t="s">
        <v>1124</v>
      </c>
      <c r="B1067">
        <v>1501</v>
      </c>
    </row>
    <row r="1068" spans="1:2" x14ac:dyDescent="0.25">
      <c r="A1068" t="s">
        <v>1125</v>
      </c>
      <c r="B1068">
        <v>1502</v>
      </c>
    </row>
    <row r="1069" spans="1:2" x14ac:dyDescent="0.25">
      <c r="A1069" t="s">
        <v>1126</v>
      </c>
      <c r="B1069">
        <v>1503</v>
      </c>
    </row>
    <row r="1070" spans="1:2" x14ac:dyDescent="0.25">
      <c r="A1070" t="s">
        <v>1127</v>
      </c>
      <c r="B1070">
        <v>1504</v>
      </c>
    </row>
    <row r="1071" spans="1:2" x14ac:dyDescent="0.25">
      <c r="A1071" t="s">
        <v>1128</v>
      </c>
      <c r="B1071">
        <v>1506</v>
      </c>
    </row>
    <row r="1072" spans="1:2" x14ac:dyDescent="0.25">
      <c r="A1072" t="s">
        <v>1129</v>
      </c>
      <c r="B1072">
        <v>1507</v>
      </c>
    </row>
    <row r="1073" spans="1:2" x14ac:dyDescent="0.25">
      <c r="A1073" t="s">
        <v>1130</v>
      </c>
      <c r="B1073">
        <v>1509</v>
      </c>
    </row>
    <row r="1074" spans="1:2" x14ac:dyDescent="0.25">
      <c r="A1074" t="s">
        <v>1131</v>
      </c>
      <c r="B1074">
        <v>1513</v>
      </c>
    </row>
    <row r="1075" spans="1:2" x14ac:dyDescent="0.25">
      <c r="A1075" t="s">
        <v>1132</v>
      </c>
      <c r="B1075">
        <v>1514</v>
      </c>
    </row>
    <row r="1076" spans="1:2" x14ac:dyDescent="0.25">
      <c r="A1076" t="s">
        <v>1133</v>
      </c>
      <c r="B1076">
        <v>1515</v>
      </c>
    </row>
    <row r="1077" spans="1:2" x14ac:dyDescent="0.25">
      <c r="A1077" t="s">
        <v>1134</v>
      </c>
      <c r="B1077">
        <v>1516</v>
      </c>
    </row>
    <row r="1078" spans="1:2" x14ac:dyDescent="0.25">
      <c r="A1078" t="s">
        <v>1135</v>
      </c>
      <c r="B1078">
        <v>1520</v>
      </c>
    </row>
    <row r="1079" spans="1:2" x14ac:dyDescent="0.25">
      <c r="A1079" t="s">
        <v>1136</v>
      </c>
      <c r="B1079">
        <v>1522</v>
      </c>
    </row>
    <row r="1080" spans="1:2" x14ac:dyDescent="0.25">
      <c r="A1080" t="s">
        <v>1137</v>
      </c>
      <c r="B1080">
        <v>1523</v>
      </c>
    </row>
    <row r="1081" spans="1:2" x14ac:dyDescent="0.25">
      <c r="A1081" t="s">
        <v>1138</v>
      </c>
      <c r="B1081">
        <v>1525</v>
      </c>
    </row>
    <row r="1082" spans="1:2" x14ac:dyDescent="0.25">
      <c r="A1082" t="s">
        <v>1139</v>
      </c>
      <c r="B1082">
        <v>1527</v>
      </c>
    </row>
    <row r="1083" spans="1:2" x14ac:dyDescent="0.25">
      <c r="A1083" t="s">
        <v>1140</v>
      </c>
      <c r="B1083">
        <v>1529</v>
      </c>
    </row>
    <row r="1084" spans="1:2" x14ac:dyDescent="0.25">
      <c r="A1084" t="s">
        <v>1141</v>
      </c>
      <c r="B1084">
        <v>1533</v>
      </c>
    </row>
    <row r="1085" spans="1:2" x14ac:dyDescent="0.25">
      <c r="A1085" t="s">
        <v>1142</v>
      </c>
      <c r="B1085">
        <v>1534</v>
      </c>
    </row>
    <row r="1086" spans="1:2" x14ac:dyDescent="0.25">
      <c r="A1086" t="s">
        <v>1143</v>
      </c>
      <c r="B1086">
        <v>1535</v>
      </c>
    </row>
    <row r="1087" spans="1:2" x14ac:dyDescent="0.25">
      <c r="A1087" t="s">
        <v>1144</v>
      </c>
      <c r="B1087">
        <v>1537</v>
      </c>
    </row>
    <row r="1088" spans="1:2" x14ac:dyDescent="0.25">
      <c r="A1088" t="s">
        <v>1145</v>
      </c>
      <c r="B1088">
        <v>1539</v>
      </c>
    </row>
    <row r="1089" spans="1:2" x14ac:dyDescent="0.25">
      <c r="A1089" t="s">
        <v>1146</v>
      </c>
      <c r="B1089">
        <v>1541</v>
      </c>
    </row>
    <row r="1090" spans="1:2" x14ac:dyDescent="0.25">
      <c r="A1090" t="s">
        <v>1147</v>
      </c>
      <c r="B1090">
        <v>1542</v>
      </c>
    </row>
    <row r="1091" spans="1:2" x14ac:dyDescent="0.25">
      <c r="A1091" t="s">
        <v>1148</v>
      </c>
      <c r="B1091">
        <v>1543</v>
      </c>
    </row>
    <row r="1092" spans="1:2" x14ac:dyDescent="0.25">
      <c r="A1092" t="s">
        <v>1149</v>
      </c>
      <c r="B1092">
        <v>1544</v>
      </c>
    </row>
    <row r="1093" spans="1:2" x14ac:dyDescent="0.25">
      <c r="A1093" t="s">
        <v>1150</v>
      </c>
      <c r="B1093">
        <v>1545</v>
      </c>
    </row>
    <row r="1094" spans="1:2" x14ac:dyDescent="0.25">
      <c r="A1094" t="s">
        <v>1151</v>
      </c>
      <c r="B1094">
        <v>1546</v>
      </c>
    </row>
    <row r="1095" spans="1:2" x14ac:dyDescent="0.25">
      <c r="A1095" t="s">
        <v>1152</v>
      </c>
      <c r="B1095">
        <v>1547</v>
      </c>
    </row>
    <row r="1096" spans="1:2" x14ac:dyDescent="0.25">
      <c r="A1096" t="s">
        <v>1153</v>
      </c>
      <c r="B1096">
        <v>1548</v>
      </c>
    </row>
    <row r="1097" spans="1:2" x14ac:dyDescent="0.25">
      <c r="A1097" t="s">
        <v>1154</v>
      </c>
      <c r="B1097">
        <v>1549</v>
      </c>
    </row>
    <row r="1098" spans="1:2" x14ac:dyDescent="0.25">
      <c r="A1098" t="s">
        <v>1155</v>
      </c>
      <c r="B1098">
        <v>1550</v>
      </c>
    </row>
    <row r="1099" spans="1:2" x14ac:dyDescent="0.25">
      <c r="A1099" t="s">
        <v>1156</v>
      </c>
      <c r="B1099">
        <v>1551</v>
      </c>
    </row>
    <row r="1100" spans="1:2" x14ac:dyDescent="0.25">
      <c r="A1100" t="s">
        <v>1157</v>
      </c>
      <c r="B1100">
        <v>1552</v>
      </c>
    </row>
    <row r="1101" spans="1:2" x14ac:dyDescent="0.25">
      <c r="A1101" t="s">
        <v>1158</v>
      </c>
      <c r="B1101">
        <v>1553</v>
      </c>
    </row>
    <row r="1102" spans="1:2" x14ac:dyDescent="0.25">
      <c r="A1102" t="s">
        <v>1159</v>
      </c>
      <c r="B1102">
        <v>1554</v>
      </c>
    </row>
    <row r="1103" spans="1:2" x14ac:dyDescent="0.25">
      <c r="A1103" t="s">
        <v>1160</v>
      </c>
      <c r="B1103">
        <v>1555</v>
      </c>
    </row>
    <row r="1104" spans="1:2" x14ac:dyDescent="0.25">
      <c r="A1104" t="s">
        <v>1161</v>
      </c>
      <c r="B1104">
        <v>1556</v>
      </c>
    </row>
    <row r="1105" spans="1:2" x14ac:dyDescent="0.25">
      <c r="A1105" t="s">
        <v>1162</v>
      </c>
      <c r="B1105">
        <v>1557</v>
      </c>
    </row>
    <row r="1106" spans="1:2" x14ac:dyDescent="0.25">
      <c r="A1106" t="s">
        <v>1163</v>
      </c>
      <c r="B1106">
        <v>1558</v>
      </c>
    </row>
    <row r="1107" spans="1:2" x14ac:dyDescent="0.25">
      <c r="A1107" t="s">
        <v>1164</v>
      </c>
      <c r="B1107">
        <v>1560</v>
      </c>
    </row>
    <row r="1108" spans="1:2" x14ac:dyDescent="0.25">
      <c r="A1108" t="s">
        <v>1165</v>
      </c>
      <c r="B1108">
        <v>1562</v>
      </c>
    </row>
    <row r="1109" spans="1:2" x14ac:dyDescent="0.25">
      <c r="A1109" t="s">
        <v>1166</v>
      </c>
      <c r="B1109">
        <v>1563</v>
      </c>
    </row>
    <row r="1110" spans="1:2" x14ac:dyDescent="0.25">
      <c r="A1110" t="s">
        <v>1167</v>
      </c>
      <c r="B1110">
        <v>1564</v>
      </c>
    </row>
    <row r="1111" spans="1:2" x14ac:dyDescent="0.25">
      <c r="A1111" t="s">
        <v>1168</v>
      </c>
      <c r="B1111">
        <v>1568</v>
      </c>
    </row>
    <row r="1112" spans="1:2" x14ac:dyDescent="0.25">
      <c r="A1112" t="s">
        <v>1169</v>
      </c>
      <c r="B1112">
        <v>1569</v>
      </c>
    </row>
    <row r="1113" spans="1:2" x14ac:dyDescent="0.25">
      <c r="A1113" t="s">
        <v>1170</v>
      </c>
      <c r="B1113">
        <v>1572</v>
      </c>
    </row>
    <row r="1114" spans="1:2" x14ac:dyDescent="0.25">
      <c r="A1114" t="s">
        <v>1171</v>
      </c>
      <c r="B1114">
        <v>1573</v>
      </c>
    </row>
    <row r="1115" spans="1:2" x14ac:dyDescent="0.25">
      <c r="A1115" t="s">
        <v>1172</v>
      </c>
      <c r="B1115">
        <v>1574</v>
      </c>
    </row>
    <row r="1116" spans="1:2" x14ac:dyDescent="0.25">
      <c r="A1116" t="s">
        <v>1173</v>
      </c>
      <c r="B1116">
        <v>1576</v>
      </c>
    </row>
    <row r="1117" spans="1:2" x14ac:dyDescent="0.25">
      <c r="A1117" t="s">
        <v>1174</v>
      </c>
      <c r="B1117">
        <v>1577</v>
      </c>
    </row>
    <row r="1118" spans="1:2" x14ac:dyDescent="0.25">
      <c r="A1118" t="s">
        <v>1175</v>
      </c>
      <c r="B1118">
        <v>1578</v>
      </c>
    </row>
    <row r="1119" spans="1:2" x14ac:dyDescent="0.25">
      <c r="A1119" t="s">
        <v>1176</v>
      </c>
      <c r="B1119">
        <v>1580</v>
      </c>
    </row>
    <row r="1120" spans="1:2" x14ac:dyDescent="0.25">
      <c r="A1120" t="s">
        <v>1177</v>
      </c>
      <c r="B1120">
        <v>1581</v>
      </c>
    </row>
    <row r="1121" spans="1:2" x14ac:dyDescent="0.25">
      <c r="A1121" t="s">
        <v>1178</v>
      </c>
      <c r="B1121">
        <v>1582</v>
      </c>
    </row>
    <row r="1122" spans="1:2" x14ac:dyDescent="0.25">
      <c r="A1122" t="s">
        <v>1179</v>
      </c>
      <c r="B1122">
        <v>1583</v>
      </c>
    </row>
    <row r="1123" spans="1:2" x14ac:dyDescent="0.25">
      <c r="A1123" t="s">
        <v>1180</v>
      </c>
      <c r="B1123">
        <v>1585</v>
      </c>
    </row>
    <row r="1124" spans="1:2" x14ac:dyDescent="0.25">
      <c r="A1124" t="s">
        <v>1181</v>
      </c>
      <c r="B1124">
        <v>1586</v>
      </c>
    </row>
    <row r="1125" spans="1:2" x14ac:dyDescent="0.25">
      <c r="A1125" t="s">
        <v>1182</v>
      </c>
      <c r="B1125">
        <v>1587</v>
      </c>
    </row>
    <row r="1126" spans="1:2" x14ac:dyDescent="0.25">
      <c r="A1126" t="s">
        <v>1183</v>
      </c>
      <c r="B1126">
        <v>1588</v>
      </c>
    </row>
    <row r="1127" spans="1:2" x14ac:dyDescent="0.25">
      <c r="A1127" t="s">
        <v>1184</v>
      </c>
      <c r="B1127">
        <v>1590</v>
      </c>
    </row>
    <row r="1128" spans="1:2" x14ac:dyDescent="0.25">
      <c r="A1128" t="s">
        <v>1185</v>
      </c>
      <c r="B1128">
        <v>1591</v>
      </c>
    </row>
    <row r="1129" spans="1:2" x14ac:dyDescent="0.25">
      <c r="A1129" t="s">
        <v>1186</v>
      </c>
      <c r="B1129">
        <v>1592</v>
      </c>
    </row>
    <row r="1130" spans="1:2" x14ac:dyDescent="0.25">
      <c r="A1130" t="s">
        <v>1187</v>
      </c>
      <c r="B1130">
        <v>1594</v>
      </c>
    </row>
    <row r="1131" spans="1:2" x14ac:dyDescent="0.25">
      <c r="A1131" t="s">
        <v>1188</v>
      </c>
      <c r="B1131">
        <v>1595</v>
      </c>
    </row>
    <row r="1132" spans="1:2" x14ac:dyDescent="0.25">
      <c r="A1132" t="s">
        <v>1189</v>
      </c>
      <c r="B1132">
        <v>1596</v>
      </c>
    </row>
    <row r="1133" spans="1:2" x14ac:dyDescent="0.25">
      <c r="A1133" t="s">
        <v>1190</v>
      </c>
      <c r="B1133">
        <v>1597</v>
      </c>
    </row>
    <row r="1134" spans="1:2" x14ac:dyDescent="0.25">
      <c r="A1134" t="s">
        <v>1191</v>
      </c>
      <c r="B1134">
        <v>1598</v>
      </c>
    </row>
    <row r="1135" spans="1:2" x14ac:dyDescent="0.25">
      <c r="A1135" t="s">
        <v>1192</v>
      </c>
      <c r="B1135">
        <v>1599</v>
      </c>
    </row>
    <row r="1136" spans="1:2" x14ac:dyDescent="0.25">
      <c r="A1136" t="s">
        <v>1193</v>
      </c>
      <c r="B1136">
        <v>1601</v>
      </c>
    </row>
    <row r="1137" spans="1:2" x14ac:dyDescent="0.25">
      <c r="A1137" t="s">
        <v>1194</v>
      </c>
      <c r="B1137">
        <v>1602</v>
      </c>
    </row>
    <row r="1138" spans="1:2" x14ac:dyDescent="0.25">
      <c r="A1138" t="s">
        <v>1195</v>
      </c>
      <c r="B1138">
        <v>1604</v>
      </c>
    </row>
    <row r="1139" spans="1:2" x14ac:dyDescent="0.25">
      <c r="A1139" t="s">
        <v>1196</v>
      </c>
      <c r="B1139">
        <v>1605</v>
      </c>
    </row>
    <row r="1140" spans="1:2" x14ac:dyDescent="0.25">
      <c r="A1140" t="s">
        <v>1197</v>
      </c>
      <c r="B1140">
        <v>1606</v>
      </c>
    </row>
    <row r="1141" spans="1:2" x14ac:dyDescent="0.25">
      <c r="A1141" t="s">
        <v>1198</v>
      </c>
      <c r="B1141">
        <v>1607</v>
      </c>
    </row>
    <row r="1142" spans="1:2" x14ac:dyDescent="0.25">
      <c r="A1142" t="s">
        <v>1199</v>
      </c>
      <c r="B1142">
        <v>1608</v>
      </c>
    </row>
    <row r="1143" spans="1:2" x14ac:dyDescent="0.25">
      <c r="A1143" t="s">
        <v>1200</v>
      </c>
      <c r="B1143">
        <v>1609</v>
      </c>
    </row>
    <row r="1144" spans="1:2" x14ac:dyDescent="0.25">
      <c r="A1144" t="s">
        <v>1201</v>
      </c>
      <c r="B1144">
        <v>1611</v>
      </c>
    </row>
    <row r="1145" spans="1:2" x14ac:dyDescent="0.25">
      <c r="A1145" t="s">
        <v>1202</v>
      </c>
      <c r="B1145">
        <v>1612</v>
      </c>
    </row>
    <row r="1146" spans="1:2" x14ac:dyDescent="0.25">
      <c r="A1146" t="s">
        <v>1203</v>
      </c>
      <c r="B1146">
        <v>1613</v>
      </c>
    </row>
    <row r="1147" spans="1:2" x14ac:dyDescent="0.25">
      <c r="A1147" t="s">
        <v>1204</v>
      </c>
      <c r="B1147">
        <v>1614</v>
      </c>
    </row>
    <row r="1148" spans="1:2" x14ac:dyDescent="0.25">
      <c r="A1148" t="s">
        <v>1205</v>
      </c>
      <c r="B1148">
        <v>1615</v>
      </c>
    </row>
    <row r="1149" spans="1:2" x14ac:dyDescent="0.25">
      <c r="A1149" t="s">
        <v>1206</v>
      </c>
      <c r="B1149">
        <v>1617</v>
      </c>
    </row>
    <row r="1150" spans="1:2" x14ac:dyDescent="0.25">
      <c r="A1150" t="s">
        <v>1207</v>
      </c>
      <c r="B1150">
        <v>1618</v>
      </c>
    </row>
    <row r="1151" spans="1:2" x14ac:dyDescent="0.25">
      <c r="A1151" t="s">
        <v>1208</v>
      </c>
      <c r="B1151">
        <v>1619</v>
      </c>
    </row>
    <row r="1152" spans="1:2" x14ac:dyDescent="0.25">
      <c r="A1152" t="s">
        <v>1209</v>
      </c>
      <c r="B1152">
        <v>1621</v>
      </c>
    </row>
    <row r="1153" spans="1:2" x14ac:dyDescent="0.25">
      <c r="A1153" t="s">
        <v>1210</v>
      </c>
      <c r="B1153">
        <v>1622</v>
      </c>
    </row>
    <row r="1154" spans="1:2" x14ac:dyDescent="0.25">
      <c r="A1154" t="s">
        <v>1211</v>
      </c>
      <c r="B1154">
        <v>1623</v>
      </c>
    </row>
    <row r="1155" spans="1:2" x14ac:dyDescent="0.25">
      <c r="A1155" t="s">
        <v>1212</v>
      </c>
      <c r="B1155">
        <v>1624</v>
      </c>
    </row>
    <row r="1156" spans="1:2" x14ac:dyDescent="0.25">
      <c r="A1156" t="s">
        <v>1213</v>
      </c>
      <c r="B1156">
        <v>1625</v>
      </c>
    </row>
    <row r="1157" spans="1:2" x14ac:dyDescent="0.25">
      <c r="A1157" t="s">
        <v>1214</v>
      </c>
      <c r="B1157">
        <v>1627</v>
      </c>
    </row>
    <row r="1158" spans="1:2" x14ac:dyDescent="0.25">
      <c r="A1158" t="s">
        <v>1215</v>
      </c>
      <c r="B1158">
        <v>1628</v>
      </c>
    </row>
    <row r="1159" spans="1:2" x14ac:dyDescent="0.25">
      <c r="A1159" t="s">
        <v>1216</v>
      </c>
      <c r="B1159">
        <v>1630</v>
      </c>
    </row>
    <row r="1160" spans="1:2" x14ac:dyDescent="0.25">
      <c r="A1160" t="s">
        <v>1217</v>
      </c>
      <c r="B1160">
        <v>1631</v>
      </c>
    </row>
    <row r="1161" spans="1:2" x14ac:dyDescent="0.25">
      <c r="A1161" t="s">
        <v>1218</v>
      </c>
      <c r="B1161">
        <v>1633</v>
      </c>
    </row>
    <row r="1162" spans="1:2" x14ac:dyDescent="0.25">
      <c r="A1162" t="s">
        <v>1219</v>
      </c>
      <c r="B1162">
        <v>1635</v>
      </c>
    </row>
    <row r="1163" spans="1:2" x14ac:dyDescent="0.25">
      <c r="A1163" t="s">
        <v>1220</v>
      </c>
      <c r="B1163">
        <v>1638</v>
      </c>
    </row>
    <row r="1164" spans="1:2" x14ac:dyDescent="0.25">
      <c r="A1164" t="s">
        <v>1221</v>
      </c>
      <c r="B1164">
        <v>1639</v>
      </c>
    </row>
    <row r="1165" spans="1:2" x14ac:dyDescent="0.25">
      <c r="A1165" t="s">
        <v>1222</v>
      </c>
      <c r="B1165">
        <v>1640</v>
      </c>
    </row>
    <row r="1166" spans="1:2" x14ac:dyDescent="0.25">
      <c r="A1166" t="s">
        <v>1223</v>
      </c>
      <c r="B1166">
        <v>1641</v>
      </c>
    </row>
    <row r="1167" spans="1:2" x14ac:dyDescent="0.25">
      <c r="A1167" t="s">
        <v>1224</v>
      </c>
      <c r="B1167">
        <v>1642</v>
      </c>
    </row>
    <row r="1168" spans="1:2" x14ac:dyDescent="0.25">
      <c r="A1168" t="s">
        <v>1225</v>
      </c>
      <c r="B1168">
        <v>1644</v>
      </c>
    </row>
    <row r="1169" spans="1:2" x14ac:dyDescent="0.25">
      <c r="A1169" t="s">
        <v>1226</v>
      </c>
      <c r="B1169">
        <v>1645</v>
      </c>
    </row>
    <row r="1170" spans="1:2" x14ac:dyDescent="0.25">
      <c r="A1170" t="s">
        <v>1227</v>
      </c>
      <c r="B1170">
        <v>1646</v>
      </c>
    </row>
    <row r="1171" spans="1:2" x14ac:dyDescent="0.25">
      <c r="A1171" t="s">
        <v>1228</v>
      </c>
      <c r="B1171">
        <v>1647</v>
      </c>
    </row>
    <row r="1172" spans="1:2" x14ac:dyDescent="0.25">
      <c r="A1172" t="s">
        <v>1229</v>
      </c>
      <c r="B1172">
        <v>1648</v>
      </c>
    </row>
    <row r="1173" spans="1:2" x14ac:dyDescent="0.25">
      <c r="A1173" t="s">
        <v>1230</v>
      </c>
      <c r="B1173">
        <v>1649</v>
      </c>
    </row>
    <row r="1174" spans="1:2" x14ac:dyDescent="0.25">
      <c r="A1174" t="s">
        <v>1231</v>
      </c>
      <c r="B1174">
        <v>1650</v>
      </c>
    </row>
    <row r="1175" spans="1:2" x14ac:dyDescent="0.25">
      <c r="A1175" t="s">
        <v>1232</v>
      </c>
      <c r="B1175">
        <v>1651</v>
      </c>
    </row>
    <row r="1176" spans="1:2" x14ac:dyDescent="0.25">
      <c r="A1176" t="s">
        <v>1233</v>
      </c>
      <c r="B1176">
        <v>1653</v>
      </c>
    </row>
    <row r="1177" spans="1:2" x14ac:dyDescent="0.25">
      <c r="A1177" t="s">
        <v>1234</v>
      </c>
      <c r="B1177">
        <v>1654</v>
      </c>
    </row>
    <row r="1178" spans="1:2" x14ac:dyDescent="0.25">
      <c r="A1178" t="s">
        <v>1235</v>
      </c>
      <c r="B1178">
        <v>1655</v>
      </c>
    </row>
    <row r="1179" spans="1:2" x14ac:dyDescent="0.25">
      <c r="A1179" t="s">
        <v>1236</v>
      </c>
      <c r="B1179">
        <v>1656</v>
      </c>
    </row>
    <row r="1180" spans="1:2" x14ac:dyDescent="0.25">
      <c r="A1180" t="s">
        <v>1237</v>
      </c>
      <c r="B1180">
        <v>1657</v>
      </c>
    </row>
    <row r="1181" spans="1:2" x14ac:dyDescent="0.25">
      <c r="A1181" t="s">
        <v>1238</v>
      </c>
      <c r="B1181">
        <v>1658</v>
      </c>
    </row>
    <row r="1182" spans="1:2" x14ac:dyDescent="0.25">
      <c r="A1182" t="s">
        <v>1239</v>
      </c>
      <c r="B1182">
        <v>1659</v>
      </c>
    </row>
    <row r="1183" spans="1:2" x14ac:dyDescent="0.25">
      <c r="A1183" t="s">
        <v>1240</v>
      </c>
      <c r="B1183">
        <v>1661</v>
      </c>
    </row>
    <row r="1184" spans="1:2" x14ac:dyDescent="0.25">
      <c r="A1184" t="s">
        <v>1241</v>
      </c>
      <c r="B1184">
        <v>1662</v>
      </c>
    </row>
    <row r="1185" spans="1:2" x14ac:dyDescent="0.25">
      <c r="A1185" t="s">
        <v>1242</v>
      </c>
      <c r="B1185">
        <v>1664</v>
      </c>
    </row>
    <row r="1186" spans="1:2" x14ac:dyDescent="0.25">
      <c r="A1186" t="s">
        <v>1243</v>
      </c>
      <c r="B1186">
        <v>1665</v>
      </c>
    </row>
    <row r="1187" spans="1:2" x14ac:dyDescent="0.25">
      <c r="A1187" t="s">
        <v>1244</v>
      </c>
      <c r="B1187">
        <v>1666</v>
      </c>
    </row>
    <row r="1188" spans="1:2" x14ac:dyDescent="0.25">
      <c r="A1188" t="s">
        <v>1245</v>
      </c>
      <c r="B1188">
        <v>1667</v>
      </c>
    </row>
    <row r="1189" spans="1:2" x14ac:dyDescent="0.25">
      <c r="A1189" t="s">
        <v>1246</v>
      </c>
      <c r="B1189">
        <v>1668</v>
      </c>
    </row>
    <row r="1190" spans="1:2" x14ac:dyDescent="0.25">
      <c r="A1190" t="s">
        <v>1247</v>
      </c>
      <c r="B1190">
        <v>1669</v>
      </c>
    </row>
    <row r="1191" spans="1:2" x14ac:dyDescent="0.25">
      <c r="A1191" t="s">
        <v>1248</v>
      </c>
      <c r="B1191">
        <v>1670</v>
      </c>
    </row>
    <row r="1192" spans="1:2" x14ac:dyDescent="0.25">
      <c r="A1192" t="s">
        <v>1249</v>
      </c>
      <c r="B1192">
        <v>1671</v>
      </c>
    </row>
    <row r="1193" spans="1:2" x14ac:dyDescent="0.25">
      <c r="A1193" t="s">
        <v>1250</v>
      </c>
      <c r="B1193">
        <v>1673</v>
      </c>
    </row>
    <row r="1194" spans="1:2" x14ac:dyDescent="0.25">
      <c r="A1194" t="s">
        <v>1251</v>
      </c>
      <c r="B1194">
        <v>1674</v>
      </c>
    </row>
    <row r="1195" spans="1:2" x14ac:dyDescent="0.25">
      <c r="A1195" t="s">
        <v>1252</v>
      </c>
      <c r="B1195">
        <v>1675</v>
      </c>
    </row>
    <row r="1196" spans="1:2" x14ac:dyDescent="0.25">
      <c r="A1196" t="s">
        <v>1253</v>
      </c>
      <c r="B1196">
        <v>1676</v>
      </c>
    </row>
    <row r="1197" spans="1:2" x14ac:dyDescent="0.25">
      <c r="A1197" t="s">
        <v>1254</v>
      </c>
      <c r="B1197">
        <v>1677</v>
      </c>
    </row>
    <row r="1198" spans="1:2" x14ac:dyDescent="0.25">
      <c r="A1198" t="s">
        <v>1255</v>
      </c>
      <c r="B1198">
        <v>1678</v>
      </c>
    </row>
    <row r="1199" spans="1:2" x14ac:dyDescent="0.25">
      <c r="A1199" t="s">
        <v>1256</v>
      </c>
      <c r="B1199">
        <v>1680</v>
      </c>
    </row>
    <row r="1200" spans="1:2" x14ac:dyDescent="0.25">
      <c r="A1200" t="s">
        <v>1257</v>
      </c>
      <c r="B1200">
        <v>1681</v>
      </c>
    </row>
    <row r="1201" spans="1:2" x14ac:dyDescent="0.25">
      <c r="A1201" t="s">
        <v>1258</v>
      </c>
      <c r="B1201">
        <v>1682</v>
      </c>
    </row>
    <row r="1202" spans="1:2" x14ac:dyDescent="0.25">
      <c r="A1202" t="s">
        <v>1259</v>
      </c>
      <c r="B1202">
        <v>1683</v>
      </c>
    </row>
    <row r="1203" spans="1:2" x14ac:dyDescent="0.25">
      <c r="A1203" t="s">
        <v>1260</v>
      </c>
      <c r="B1203">
        <v>1684</v>
      </c>
    </row>
    <row r="1204" spans="1:2" x14ac:dyDescent="0.25">
      <c r="A1204" t="s">
        <v>1261</v>
      </c>
      <c r="B1204">
        <v>1687</v>
      </c>
    </row>
    <row r="1205" spans="1:2" x14ac:dyDescent="0.25">
      <c r="A1205" t="s">
        <v>1262</v>
      </c>
      <c r="B1205">
        <v>1689</v>
      </c>
    </row>
    <row r="1206" spans="1:2" x14ac:dyDescent="0.25">
      <c r="A1206" t="s">
        <v>1263</v>
      </c>
      <c r="B1206">
        <v>1691</v>
      </c>
    </row>
    <row r="1207" spans="1:2" x14ac:dyDescent="0.25">
      <c r="A1207" t="s">
        <v>1264</v>
      </c>
      <c r="B1207">
        <v>1692</v>
      </c>
    </row>
    <row r="1208" spans="1:2" x14ac:dyDescent="0.25">
      <c r="A1208" t="s">
        <v>1265</v>
      </c>
      <c r="B1208">
        <v>1693</v>
      </c>
    </row>
    <row r="1209" spans="1:2" x14ac:dyDescent="0.25">
      <c r="A1209" t="s">
        <v>1266</v>
      </c>
      <c r="B1209">
        <v>1694</v>
      </c>
    </row>
    <row r="1210" spans="1:2" x14ac:dyDescent="0.25">
      <c r="A1210" t="s">
        <v>1267</v>
      </c>
      <c r="B1210">
        <v>1696</v>
      </c>
    </row>
    <row r="1211" spans="1:2" x14ac:dyDescent="0.25">
      <c r="A1211" t="s">
        <v>1268</v>
      </c>
      <c r="B1211">
        <v>1697</v>
      </c>
    </row>
    <row r="1212" spans="1:2" x14ac:dyDescent="0.25">
      <c r="A1212" t="s">
        <v>1269</v>
      </c>
      <c r="B1212">
        <v>1698</v>
      </c>
    </row>
    <row r="1213" spans="1:2" x14ac:dyDescent="0.25">
      <c r="A1213" t="s">
        <v>1270</v>
      </c>
      <c r="B1213">
        <v>1700</v>
      </c>
    </row>
    <row r="1214" spans="1:2" x14ac:dyDescent="0.25">
      <c r="A1214" t="s">
        <v>1271</v>
      </c>
      <c r="B1214">
        <v>1701</v>
      </c>
    </row>
    <row r="1215" spans="1:2" x14ac:dyDescent="0.25">
      <c r="A1215" t="s">
        <v>1272</v>
      </c>
      <c r="B1215">
        <v>1702</v>
      </c>
    </row>
    <row r="1216" spans="1:2" x14ac:dyDescent="0.25">
      <c r="A1216" t="s">
        <v>1273</v>
      </c>
      <c r="B1216">
        <v>1703</v>
      </c>
    </row>
    <row r="1217" spans="1:2" x14ac:dyDescent="0.25">
      <c r="A1217" t="s">
        <v>1274</v>
      </c>
      <c r="B1217">
        <v>1704</v>
      </c>
    </row>
    <row r="1218" spans="1:2" x14ac:dyDescent="0.25">
      <c r="A1218" t="s">
        <v>1275</v>
      </c>
      <c r="B1218">
        <v>1706</v>
      </c>
    </row>
    <row r="1219" spans="1:2" x14ac:dyDescent="0.25">
      <c r="A1219" t="s">
        <v>1276</v>
      </c>
      <c r="B1219">
        <v>1707</v>
      </c>
    </row>
    <row r="1220" spans="1:2" x14ac:dyDescent="0.25">
      <c r="A1220" t="s">
        <v>1277</v>
      </c>
      <c r="B1220">
        <v>1708</v>
      </c>
    </row>
    <row r="1221" spans="1:2" x14ac:dyDescent="0.25">
      <c r="A1221" t="s">
        <v>1278</v>
      </c>
      <c r="B1221">
        <v>1709</v>
      </c>
    </row>
    <row r="1222" spans="1:2" x14ac:dyDescent="0.25">
      <c r="A1222" t="s">
        <v>1279</v>
      </c>
      <c r="B1222">
        <v>1710</v>
      </c>
    </row>
    <row r="1223" spans="1:2" x14ac:dyDescent="0.25">
      <c r="A1223" t="s">
        <v>1280</v>
      </c>
      <c r="B1223">
        <v>1712</v>
      </c>
    </row>
    <row r="1224" spans="1:2" x14ac:dyDescent="0.25">
      <c r="A1224" t="s">
        <v>1281</v>
      </c>
      <c r="B1224">
        <v>1714</v>
      </c>
    </row>
    <row r="1225" spans="1:2" x14ac:dyDescent="0.25">
      <c r="A1225" t="s">
        <v>1282</v>
      </c>
      <c r="B1225">
        <v>1716</v>
      </c>
    </row>
    <row r="1226" spans="1:2" x14ac:dyDescent="0.25">
      <c r="A1226" t="s">
        <v>1283</v>
      </c>
      <c r="B1226">
        <v>1718</v>
      </c>
    </row>
    <row r="1227" spans="1:2" x14ac:dyDescent="0.25">
      <c r="A1227" t="s">
        <v>1284</v>
      </c>
      <c r="B1227">
        <v>1719</v>
      </c>
    </row>
    <row r="1228" spans="1:2" x14ac:dyDescent="0.25">
      <c r="A1228" t="s">
        <v>1285</v>
      </c>
      <c r="B1228">
        <v>1720</v>
      </c>
    </row>
    <row r="1229" spans="1:2" x14ac:dyDescent="0.25">
      <c r="A1229" t="s">
        <v>1286</v>
      </c>
      <c r="B1229">
        <v>1721</v>
      </c>
    </row>
    <row r="1230" spans="1:2" x14ac:dyDescent="0.25">
      <c r="A1230" t="s">
        <v>1287</v>
      </c>
      <c r="B1230">
        <v>1722</v>
      </c>
    </row>
    <row r="1231" spans="1:2" x14ac:dyDescent="0.25">
      <c r="A1231" t="s">
        <v>1288</v>
      </c>
      <c r="B1231">
        <v>1724</v>
      </c>
    </row>
    <row r="1232" spans="1:2" x14ac:dyDescent="0.25">
      <c r="A1232" t="s">
        <v>1289</v>
      </c>
      <c r="B1232">
        <v>1725</v>
      </c>
    </row>
    <row r="1233" spans="1:2" x14ac:dyDescent="0.25">
      <c r="A1233" t="s">
        <v>1290</v>
      </c>
      <c r="B1233">
        <v>1727</v>
      </c>
    </row>
    <row r="1234" spans="1:2" x14ac:dyDescent="0.25">
      <c r="A1234" t="s">
        <v>1291</v>
      </c>
      <c r="B1234">
        <v>1728</v>
      </c>
    </row>
    <row r="1235" spans="1:2" x14ac:dyDescent="0.25">
      <c r="A1235" t="s">
        <v>1292</v>
      </c>
      <c r="B1235">
        <v>1729</v>
      </c>
    </row>
    <row r="1236" spans="1:2" x14ac:dyDescent="0.25">
      <c r="A1236" t="s">
        <v>1293</v>
      </c>
      <c r="B1236">
        <v>1731</v>
      </c>
    </row>
    <row r="1237" spans="1:2" x14ac:dyDescent="0.25">
      <c r="A1237" t="s">
        <v>1294</v>
      </c>
      <c r="B1237">
        <v>1732</v>
      </c>
    </row>
    <row r="1238" spans="1:2" x14ac:dyDescent="0.25">
      <c r="A1238" t="s">
        <v>1295</v>
      </c>
      <c r="B1238">
        <v>1733</v>
      </c>
    </row>
    <row r="1239" spans="1:2" x14ac:dyDescent="0.25">
      <c r="A1239" t="s">
        <v>1296</v>
      </c>
      <c r="B1239">
        <v>1734</v>
      </c>
    </row>
    <row r="1240" spans="1:2" x14ac:dyDescent="0.25">
      <c r="A1240" t="s">
        <v>1297</v>
      </c>
      <c r="B1240">
        <v>1735</v>
      </c>
    </row>
    <row r="1241" spans="1:2" x14ac:dyDescent="0.25">
      <c r="A1241" t="s">
        <v>1298</v>
      </c>
      <c r="B1241">
        <v>1736</v>
      </c>
    </row>
    <row r="1242" spans="1:2" x14ac:dyDescent="0.25">
      <c r="A1242" t="s">
        <v>1299</v>
      </c>
      <c r="B1242">
        <v>1737</v>
      </c>
    </row>
    <row r="1243" spans="1:2" x14ac:dyDescent="0.25">
      <c r="A1243" t="s">
        <v>1300</v>
      </c>
      <c r="B1243">
        <v>1739</v>
      </c>
    </row>
    <row r="1244" spans="1:2" x14ac:dyDescent="0.25">
      <c r="A1244" t="s">
        <v>1301</v>
      </c>
      <c r="B1244">
        <v>1740</v>
      </c>
    </row>
    <row r="1245" spans="1:2" x14ac:dyDescent="0.25">
      <c r="A1245" t="s">
        <v>1302</v>
      </c>
      <c r="B1245">
        <v>1744</v>
      </c>
    </row>
    <row r="1246" spans="1:2" x14ac:dyDescent="0.25">
      <c r="A1246" t="s">
        <v>1303</v>
      </c>
      <c r="B1246">
        <v>1745</v>
      </c>
    </row>
    <row r="1247" spans="1:2" x14ac:dyDescent="0.25">
      <c r="A1247" t="s">
        <v>1304</v>
      </c>
      <c r="B1247">
        <v>1746</v>
      </c>
    </row>
    <row r="1248" spans="1:2" x14ac:dyDescent="0.25">
      <c r="A1248" t="s">
        <v>1305</v>
      </c>
      <c r="B1248">
        <v>1747</v>
      </c>
    </row>
    <row r="1249" spans="1:2" x14ac:dyDescent="0.25">
      <c r="A1249" t="s">
        <v>1306</v>
      </c>
      <c r="B1249">
        <v>1749</v>
      </c>
    </row>
    <row r="1250" spans="1:2" x14ac:dyDescent="0.25">
      <c r="A1250" t="s">
        <v>1307</v>
      </c>
      <c r="B1250">
        <v>1751</v>
      </c>
    </row>
    <row r="1251" spans="1:2" x14ac:dyDescent="0.25">
      <c r="A1251" t="s">
        <v>1308</v>
      </c>
      <c r="B1251">
        <v>1752</v>
      </c>
    </row>
    <row r="1252" spans="1:2" x14ac:dyDescent="0.25">
      <c r="A1252" t="s">
        <v>1309</v>
      </c>
      <c r="B1252">
        <v>1753</v>
      </c>
    </row>
    <row r="1253" spans="1:2" x14ac:dyDescent="0.25">
      <c r="A1253" t="s">
        <v>1310</v>
      </c>
      <c r="B1253">
        <v>1754</v>
      </c>
    </row>
    <row r="1254" spans="1:2" x14ac:dyDescent="0.25">
      <c r="A1254" t="s">
        <v>1311</v>
      </c>
      <c r="B1254">
        <v>1755</v>
      </c>
    </row>
    <row r="1255" spans="1:2" x14ac:dyDescent="0.25">
      <c r="A1255" t="s">
        <v>1312</v>
      </c>
      <c r="B1255">
        <v>1756</v>
      </c>
    </row>
    <row r="1256" spans="1:2" x14ac:dyDescent="0.25">
      <c r="A1256" t="s">
        <v>1313</v>
      </c>
      <c r="B1256">
        <v>1757</v>
      </c>
    </row>
    <row r="1257" spans="1:2" x14ac:dyDescent="0.25">
      <c r="A1257" t="s">
        <v>1314</v>
      </c>
      <c r="B1257">
        <v>1758</v>
      </c>
    </row>
    <row r="1258" spans="1:2" x14ac:dyDescent="0.25">
      <c r="A1258" t="s">
        <v>1315</v>
      </c>
      <c r="B1258">
        <v>1760</v>
      </c>
    </row>
    <row r="1259" spans="1:2" x14ac:dyDescent="0.25">
      <c r="A1259" t="s">
        <v>1316</v>
      </c>
      <c r="B1259">
        <v>1761</v>
      </c>
    </row>
    <row r="1260" spans="1:2" x14ac:dyDescent="0.25">
      <c r="A1260" t="s">
        <v>1317</v>
      </c>
      <c r="B1260">
        <v>1762</v>
      </c>
    </row>
    <row r="1261" spans="1:2" x14ac:dyDescent="0.25">
      <c r="A1261" t="s">
        <v>1318</v>
      </c>
      <c r="B1261">
        <v>1763</v>
      </c>
    </row>
    <row r="1262" spans="1:2" x14ac:dyDescent="0.25">
      <c r="A1262" t="s">
        <v>1319</v>
      </c>
      <c r="B1262">
        <v>1764</v>
      </c>
    </row>
    <row r="1263" spans="1:2" x14ac:dyDescent="0.25">
      <c r="A1263" t="s">
        <v>1320</v>
      </c>
      <c r="B1263">
        <v>1766</v>
      </c>
    </row>
    <row r="1264" spans="1:2" x14ac:dyDescent="0.25">
      <c r="A1264" t="s">
        <v>1321</v>
      </c>
      <c r="B1264">
        <v>1767</v>
      </c>
    </row>
    <row r="1265" spans="1:2" x14ac:dyDescent="0.25">
      <c r="A1265" t="s">
        <v>1322</v>
      </c>
      <c r="B1265">
        <v>1768</v>
      </c>
    </row>
    <row r="1266" spans="1:2" x14ac:dyDescent="0.25">
      <c r="A1266" t="s">
        <v>1323</v>
      </c>
      <c r="B1266">
        <v>1770</v>
      </c>
    </row>
    <row r="1267" spans="1:2" x14ac:dyDescent="0.25">
      <c r="A1267" t="s">
        <v>1324</v>
      </c>
      <c r="B1267">
        <v>1771</v>
      </c>
    </row>
    <row r="1268" spans="1:2" x14ac:dyDescent="0.25">
      <c r="A1268" t="s">
        <v>1325</v>
      </c>
      <c r="B1268">
        <v>1772</v>
      </c>
    </row>
    <row r="1269" spans="1:2" x14ac:dyDescent="0.25">
      <c r="A1269" t="s">
        <v>1326</v>
      </c>
      <c r="B1269">
        <v>1774</v>
      </c>
    </row>
    <row r="1270" spans="1:2" x14ac:dyDescent="0.25">
      <c r="A1270" t="s">
        <v>1327</v>
      </c>
      <c r="B1270">
        <v>1775</v>
      </c>
    </row>
    <row r="1271" spans="1:2" x14ac:dyDescent="0.25">
      <c r="A1271" t="s">
        <v>1328</v>
      </c>
      <c r="B1271">
        <v>1778</v>
      </c>
    </row>
    <row r="1272" spans="1:2" x14ac:dyDescent="0.25">
      <c r="A1272" t="s">
        <v>1329</v>
      </c>
      <c r="B1272">
        <v>1779</v>
      </c>
    </row>
    <row r="1273" spans="1:2" x14ac:dyDescent="0.25">
      <c r="A1273" t="s">
        <v>1330</v>
      </c>
      <c r="B1273">
        <v>1780</v>
      </c>
    </row>
    <row r="1274" spans="1:2" x14ac:dyDescent="0.25">
      <c r="A1274" t="s">
        <v>1331</v>
      </c>
      <c r="B1274">
        <v>1782</v>
      </c>
    </row>
    <row r="1275" spans="1:2" x14ac:dyDescent="0.25">
      <c r="A1275" t="s">
        <v>1332</v>
      </c>
      <c r="B1275">
        <v>1783</v>
      </c>
    </row>
    <row r="1276" spans="1:2" x14ac:dyDescent="0.25">
      <c r="A1276" t="s">
        <v>1333</v>
      </c>
      <c r="B1276">
        <v>1784</v>
      </c>
    </row>
    <row r="1277" spans="1:2" x14ac:dyDescent="0.25">
      <c r="A1277" t="s">
        <v>1334</v>
      </c>
      <c r="B1277">
        <v>1786</v>
      </c>
    </row>
    <row r="1278" spans="1:2" x14ac:dyDescent="0.25">
      <c r="A1278" t="s">
        <v>1335</v>
      </c>
      <c r="B1278">
        <v>1787</v>
      </c>
    </row>
    <row r="1279" spans="1:2" x14ac:dyDescent="0.25">
      <c r="A1279" t="s">
        <v>1336</v>
      </c>
      <c r="B1279">
        <v>1789</v>
      </c>
    </row>
    <row r="1280" spans="1:2" x14ac:dyDescent="0.25">
      <c r="A1280" t="s">
        <v>1337</v>
      </c>
      <c r="B1280">
        <v>1790</v>
      </c>
    </row>
    <row r="1281" spans="1:2" x14ac:dyDescent="0.25">
      <c r="A1281" t="s">
        <v>1338</v>
      </c>
      <c r="B1281">
        <v>1792</v>
      </c>
    </row>
    <row r="1282" spans="1:2" x14ac:dyDescent="0.25">
      <c r="A1282" t="s">
        <v>1339</v>
      </c>
      <c r="B1282">
        <v>1794</v>
      </c>
    </row>
    <row r="1283" spans="1:2" x14ac:dyDescent="0.25">
      <c r="A1283" t="s">
        <v>1340</v>
      </c>
      <c r="B1283">
        <v>1797</v>
      </c>
    </row>
    <row r="1284" spans="1:2" x14ac:dyDescent="0.25">
      <c r="A1284" t="s">
        <v>1341</v>
      </c>
      <c r="B1284">
        <v>1798</v>
      </c>
    </row>
    <row r="1285" spans="1:2" x14ac:dyDescent="0.25">
      <c r="A1285" t="s">
        <v>1342</v>
      </c>
      <c r="B1285">
        <v>1799</v>
      </c>
    </row>
    <row r="1286" spans="1:2" x14ac:dyDescent="0.25">
      <c r="A1286" t="s">
        <v>1343</v>
      </c>
      <c r="B1286">
        <v>1800</v>
      </c>
    </row>
    <row r="1287" spans="1:2" x14ac:dyDescent="0.25">
      <c r="A1287" t="s">
        <v>1344</v>
      </c>
      <c r="B1287">
        <v>1801</v>
      </c>
    </row>
    <row r="1288" spans="1:2" x14ac:dyDescent="0.25">
      <c r="A1288" t="s">
        <v>1345</v>
      </c>
      <c r="B1288">
        <v>1802</v>
      </c>
    </row>
    <row r="1289" spans="1:2" x14ac:dyDescent="0.25">
      <c r="A1289" t="s">
        <v>1346</v>
      </c>
      <c r="B1289">
        <v>1803</v>
      </c>
    </row>
    <row r="1290" spans="1:2" x14ac:dyDescent="0.25">
      <c r="A1290" t="s">
        <v>1347</v>
      </c>
      <c r="B1290">
        <v>1804</v>
      </c>
    </row>
    <row r="1291" spans="1:2" x14ac:dyDescent="0.25">
      <c r="A1291" t="s">
        <v>1348</v>
      </c>
      <c r="B1291">
        <v>1805</v>
      </c>
    </row>
    <row r="1292" spans="1:2" x14ac:dyDescent="0.25">
      <c r="A1292" t="s">
        <v>1349</v>
      </c>
      <c r="B1292">
        <v>1807</v>
      </c>
    </row>
    <row r="1293" spans="1:2" x14ac:dyDescent="0.25">
      <c r="A1293" t="s">
        <v>1350</v>
      </c>
      <c r="B1293">
        <v>1809</v>
      </c>
    </row>
    <row r="1294" spans="1:2" x14ac:dyDescent="0.25">
      <c r="A1294" t="s">
        <v>1351</v>
      </c>
      <c r="B1294">
        <v>1812</v>
      </c>
    </row>
    <row r="1295" spans="1:2" x14ac:dyDescent="0.25">
      <c r="A1295" t="s">
        <v>1352</v>
      </c>
      <c r="B1295">
        <v>1813</v>
      </c>
    </row>
    <row r="1296" spans="1:2" x14ac:dyDescent="0.25">
      <c r="A1296" t="s">
        <v>1353</v>
      </c>
      <c r="B1296">
        <v>1814</v>
      </c>
    </row>
    <row r="1297" spans="1:2" x14ac:dyDescent="0.25">
      <c r="A1297" t="s">
        <v>1354</v>
      </c>
      <c r="B1297">
        <v>1815</v>
      </c>
    </row>
    <row r="1298" spans="1:2" x14ac:dyDescent="0.25">
      <c r="A1298" t="s">
        <v>1355</v>
      </c>
      <c r="B1298">
        <v>1816</v>
      </c>
    </row>
    <row r="1299" spans="1:2" x14ac:dyDescent="0.25">
      <c r="A1299" t="s">
        <v>1356</v>
      </c>
      <c r="B1299">
        <v>1818</v>
      </c>
    </row>
    <row r="1300" spans="1:2" x14ac:dyDescent="0.25">
      <c r="A1300" t="s">
        <v>1357</v>
      </c>
      <c r="B1300">
        <v>1821</v>
      </c>
    </row>
    <row r="1301" spans="1:2" x14ac:dyDescent="0.25">
      <c r="A1301" t="s">
        <v>1358</v>
      </c>
      <c r="B1301">
        <v>1822</v>
      </c>
    </row>
    <row r="1302" spans="1:2" x14ac:dyDescent="0.25">
      <c r="A1302" t="s">
        <v>1359</v>
      </c>
      <c r="B1302">
        <v>1823</v>
      </c>
    </row>
    <row r="1303" spans="1:2" x14ac:dyDescent="0.25">
      <c r="A1303" t="s">
        <v>1360</v>
      </c>
      <c r="B1303">
        <v>1824</v>
      </c>
    </row>
    <row r="1304" spans="1:2" x14ac:dyDescent="0.25">
      <c r="A1304" t="s">
        <v>1361</v>
      </c>
      <c r="B1304">
        <v>1826</v>
      </c>
    </row>
    <row r="1305" spans="1:2" x14ac:dyDescent="0.25">
      <c r="A1305" t="s">
        <v>1362</v>
      </c>
      <c r="B1305">
        <v>1827</v>
      </c>
    </row>
    <row r="1306" spans="1:2" x14ac:dyDescent="0.25">
      <c r="A1306" t="s">
        <v>1363</v>
      </c>
      <c r="B1306">
        <v>1829</v>
      </c>
    </row>
    <row r="1307" spans="1:2" x14ac:dyDescent="0.25">
      <c r="A1307" t="s">
        <v>1364</v>
      </c>
      <c r="B1307">
        <v>1830</v>
      </c>
    </row>
    <row r="1308" spans="1:2" x14ac:dyDescent="0.25">
      <c r="A1308" t="s">
        <v>1365</v>
      </c>
      <c r="B1308">
        <v>1833</v>
      </c>
    </row>
    <row r="1309" spans="1:2" x14ac:dyDescent="0.25">
      <c r="A1309" t="s">
        <v>1366</v>
      </c>
      <c r="B1309">
        <v>1834</v>
      </c>
    </row>
    <row r="1310" spans="1:2" x14ac:dyDescent="0.25">
      <c r="A1310" t="s">
        <v>1367</v>
      </c>
      <c r="B1310">
        <v>1835</v>
      </c>
    </row>
    <row r="1311" spans="1:2" x14ac:dyDescent="0.25">
      <c r="A1311" t="s">
        <v>1368</v>
      </c>
      <c r="B1311">
        <v>1836</v>
      </c>
    </row>
    <row r="1312" spans="1:2" x14ac:dyDescent="0.25">
      <c r="A1312" t="s">
        <v>1369</v>
      </c>
      <c r="B1312">
        <v>1837</v>
      </c>
    </row>
    <row r="1313" spans="1:2" x14ac:dyDescent="0.25">
      <c r="A1313" t="s">
        <v>1370</v>
      </c>
      <c r="B1313">
        <v>1839</v>
      </c>
    </row>
    <row r="1314" spans="1:2" x14ac:dyDescent="0.25">
      <c r="A1314" t="s">
        <v>1371</v>
      </c>
      <c r="B1314">
        <v>1842</v>
      </c>
    </row>
    <row r="1315" spans="1:2" x14ac:dyDescent="0.25">
      <c r="A1315" t="s">
        <v>1372</v>
      </c>
      <c r="B1315">
        <v>1844</v>
      </c>
    </row>
    <row r="1316" spans="1:2" x14ac:dyDescent="0.25">
      <c r="A1316" t="s">
        <v>1373</v>
      </c>
      <c r="B1316">
        <v>1845</v>
      </c>
    </row>
    <row r="1317" spans="1:2" x14ac:dyDescent="0.25">
      <c r="A1317" t="s">
        <v>1374</v>
      </c>
      <c r="B1317">
        <v>1847</v>
      </c>
    </row>
    <row r="1318" spans="1:2" x14ac:dyDescent="0.25">
      <c r="A1318" t="s">
        <v>1375</v>
      </c>
      <c r="B1318">
        <v>1849</v>
      </c>
    </row>
    <row r="1319" spans="1:2" x14ac:dyDescent="0.25">
      <c r="A1319" t="s">
        <v>1376</v>
      </c>
      <c r="B1319">
        <v>1850</v>
      </c>
    </row>
    <row r="1320" spans="1:2" x14ac:dyDescent="0.25">
      <c r="A1320" t="s">
        <v>1377</v>
      </c>
      <c r="B1320">
        <v>1852</v>
      </c>
    </row>
    <row r="1321" spans="1:2" x14ac:dyDescent="0.25">
      <c r="A1321" t="s">
        <v>1378</v>
      </c>
      <c r="B1321">
        <v>1853</v>
      </c>
    </row>
    <row r="1322" spans="1:2" x14ac:dyDescent="0.25">
      <c r="A1322" t="s">
        <v>1379</v>
      </c>
      <c r="B1322">
        <v>1854</v>
      </c>
    </row>
    <row r="1323" spans="1:2" x14ac:dyDescent="0.25">
      <c r="A1323" t="s">
        <v>1380</v>
      </c>
      <c r="B1323">
        <v>1856</v>
      </c>
    </row>
    <row r="1324" spans="1:2" x14ac:dyDescent="0.25">
      <c r="A1324" t="s">
        <v>1381</v>
      </c>
      <c r="B1324">
        <v>1857</v>
      </c>
    </row>
    <row r="1325" spans="1:2" x14ac:dyDescent="0.25">
      <c r="A1325" t="s">
        <v>1382</v>
      </c>
      <c r="B1325">
        <v>1858</v>
      </c>
    </row>
    <row r="1326" spans="1:2" x14ac:dyDescent="0.25">
      <c r="A1326" t="s">
        <v>1383</v>
      </c>
      <c r="B1326">
        <v>1859</v>
      </c>
    </row>
    <row r="1327" spans="1:2" x14ac:dyDescent="0.25">
      <c r="A1327" t="s">
        <v>1384</v>
      </c>
      <c r="B1327">
        <v>1860</v>
      </c>
    </row>
    <row r="1328" spans="1:2" x14ac:dyDescent="0.25">
      <c r="A1328" t="s">
        <v>1385</v>
      </c>
      <c r="B1328">
        <v>1862</v>
      </c>
    </row>
    <row r="1329" spans="1:2" x14ac:dyDescent="0.25">
      <c r="A1329" t="s">
        <v>1386</v>
      </c>
      <c r="B1329">
        <v>1863</v>
      </c>
    </row>
    <row r="1330" spans="1:2" x14ac:dyDescent="0.25">
      <c r="A1330" t="s">
        <v>1387</v>
      </c>
      <c r="B1330">
        <v>1864</v>
      </c>
    </row>
    <row r="1331" spans="1:2" x14ac:dyDescent="0.25">
      <c r="A1331" t="s">
        <v>1388</v>
      </c>
      <c r="B1331">
        <v>1865</v>
      </c>
    </row>
    <row r="1332" spans="1:2" x14ac:dyDescent="0.25">
      <c r="A1332" t="s">
        <v>1389</v>
      </c>
      <c r="B1332">
        <v>1866</v>
      </c>
    </row>
    <row r="1333" spans="1:2" x14ac:dyDescent="0.25">
      <c r="A1333" t="s">
        <v>1390</v>
      </c>
      <c r="B1333">
        <v>1867</v>
      </c>
    </row>
    <row r="1334" spans="1:2" x14ac:dyDescent="0.25">
      <c r="A1334" t="s">
        <v>1391</v>
      </c>
      <c r="B1334">
        <v>1868</v>
      </c>
    </row>
    <row r="1335" spans="1:2" x14ac:dyDescent="0.25">
      <c r="A1335" t="s">
        <v>1392</v>
      </c>
      <c r="B1335">
        <v>1869</v>
      </c>
    </row>
    <row r="1336" spans="1:2" x14ac:dyDescent="0.25">
      <c r="A1336" t="s">
        <v>1393</v>
      </c>
      <c r="B1336">
        <v>1870</v>
      </c>
    </row>
    <row r="1337" spans="1:2" x14ac:dyDescent="0.25">
      <c r="A1337" t="s">
        <v>1394</v>
      </c>
      <c r="B1337">
        <v>1871</v>
      </c>
    </row>
    <row r="1338" spans="1:2" x14ac:dyDescent="0.25">
      <c r="A1338" t="s">
        <v>1395</v>
      </c>
      <c r="B1338">
        <v>1873</v>
      </c>
    </row>
    <row r="1339" spans="1:2" x14ac:dyDescent="0.25">
      <c r="A1339" t="s">
        <v>1396</v>
      </c>
      <c r="B1339">
        <v>1875</v>
      </c>
    </row>
    <row r="1340" spans="1:2" x14ac:dyDescent="0.25">
      <c r="A1340" t="s">
        <v>1397</v>
      </c>
      <c r="B1340">
        <v>1876</v>
      </c>
    </row>
    <row r="1341" spans="1:2" x14ac:dyDescent="0.25">
      <c r="A1341" t="s">
        <v>1398</v>
      </c>
      <c r="B1341">
        <v>1878</v>
      </c>
    </row>
    <row r="1342" spans="1:2" x14ac:dyDescent="0.25">
      <c r="A1342" t="s">
        <v>1399</v>
      </c>
      <c r="B1342">
        <v>1880</v>
      </c>
    </row>
    <row r="1343" spans="1:2" x14ac:dyDescent="0.25">
      <c r="A1343" t="s">
        <v>1400</v>
      </c>
      <c r="B1343">
        <v>1881</v>
      </c>
    </row>
    <row r="1344" spans="1:2" x14ac:dyDescent="0.25">
      <c r="A1344" t="s">
        <v>1401</v>
      </c>
      <c r="B1344">
        <v>1882</v>
      </c>
    </row>
    <row r="1345" spans="1:2" x14ac:dyDescent="0.25">
      <c r="A1345" t="s">
        <v>1402</v>
      </c>
      <c r="B1345">
        <v>1883</v>
      </c>
    </row>
    <row r="1346" spans="1:2" x14ac:dyDescent="0.25">
      <c r="A1346" t="s">
        <v>1403</v>
      </c>
      <c r="B1346">
        <v>1885</v>
      </c>
    </row>
    <row r="1347" spans="1:2" x14ac:dyDescent="0.25">
      <c r="A1347" t="s">
        <v>1404</v>
      </c>
      <c r="B1347">
        <v>1886</v>
      </c>
    </row>
    <row r="1348" spans="1:2" x14ac:dyDescent="0.25">
      <c r="A1348" t="s">
        <v>1405</v>
      </c>
      <c r="B1348">
        <v>1888</v>
      </c>
    </row>
    <row r="1349" spans="1:2" x14ac:dyDescent="0.25">
      <c r="A1349" t="s">
        <v>1406</v>
      </c>
      <c r="B1349">
        <v>1890</v>
      </c>
    </row>
    <row r="1350" spans="1:2" x14ac:dyDescent="0.25">
      <c r="A1350" t="s">
        <v>1407</v>
      </c>
      <c r="B1350">
        <v>1892</v>
      </c>
    </row>
    <row r="1351" spans="1:2" x14ac:dyDescent="0.25">
      <c r="A1351" t="s">
        <v>1408</v>
      </c>
      <c r="B1351">
        <v>1893</v>
      </c>
    </row>
    <row r="1352" spans="1:2" x14ac:dyDescent="0.25">
      <c r="A1352" t="s">
        <v>1409</v>
      </c>
      <c r="B1352">
        <v>1898</v>
      </c>
    </row>
    <row r="1353" spans="1:2" x14ac:dyDescent="0.25">
      <c r="A1353" t="s">
        <v>1410</v>
      </c>
      <c r="B1353">
        <v>1900</v>
      </c>
    </row>
    <row r="1354" spans="1:2" x14ac:dyDescent="0.25">
      <c r="A1354" t="s">
        <v>1411</v>
      </c>
      <c r="B1354">
        <v>1903</v>
      </c>
    </row>
    <row r="1355" spans="1:2" x14ac:dyDescent="0.25">
      <c r="A1355" t="s">
        <v>1412</v>
      </c>
      <c r="B1355">
        <v>1905</v>
      </c>
    </row>
    <row r="1356" spans="1:2" x14ac:dyDescent="0.25">
      <c r="A1356" t="s">
        <v>1413</v>
      </c>
      <c r="B1356">
        <v>1907</v>
      </c>
    </row>
    <row r="1357" spans="1:2" x14ac:dyDescent="0.25">
      <c r="A1357" t="s">
        <v>1414</v>
      </c>
      <c r="B1357">
        <v>1908</v>
      </c>
    </row>
    <row r="1358" spans="1:2" x14ac:dyDescent="0.25">
      <c r="A1358" t="s">
        <v>1415</v>
      </c>
      <c r="B1358">
        <v>1909</v>
      </c>
    </row>
    <row r="1359" spans="1:2" x14ac:dyDescent="0.25">
      <c r="A1359" t="s">
        <v>1416</v>
      </c>
      <c r="B1359">
        <v>1911</v>
      </c>
    </row>
    <row r="1360" spans="1:2" x14ac:dyDescent="0.25">
      <c r="A1360" t="s">
        <v>1417</v>
      </c>
      <c r="B1360">
        <v>1912</v>
      </c>
    </row>
    <row r="1361" spans="1:2" x14ac:dyDescent="0.25">
      <c r="A1361" t="s">
        <v>1418</v>
      </c>
      <c r="B1361">
        <v>1915</v>
      </c>
    </row>
    <row r="1362" spans="1:2" x14ac:dyDescent="0.25">
      <c r="A1362" t="s">
        <v>1419</v>
      </c>
      <c r="B1362">
        <v>1916</v>
      </c>
    </row>
    <row r="1363" spans="1:2" x14ac:dyDescent="0.25">
      <c r="A1363" t="s">
        <v>1420</v>
      </c>
      <c r="B1363">
        <v>1918</v>
      </c>
    </row>
    <row r="1364" spans="1:2" x14ac:dyDescent="0.25">
      <c r="A1364" t="s">
        <v>1421</v>
      </c>
      <c r="B1364">
        <v>1922</v>
      </c>
    </row>
    <row r="1365" spans="1:2" x14ac:dyDescent="0.25">
      <c r="A1365" t="s">
        <v>1422</v>
      </c>
      <c r="B1365">
        <v>1924</v>
      </c>
    </row>
    <row r="1366" spans="1:2" x14ac:dyDescent="0.25">
      <c r="A1366" t="s">
        <v>1423</v>
      </c>
      <c r="B1366">
        <v>1927</v>
      </c>
    </row>
    <row r="1367" spans="1:2" x14ac:dyDescent="0.25">
      <c r="A1367" t="s">
        <v>1424</v>
      </c>
      <c r="B1367">
        <v>1928</v>
      </c>
    </row>
    <row r="1368" spans="1:2" x14ac:dyDescent="0.25">
      <c r="A1368" t="s">
        <v>1425</v>
      </c>
      <c r="B1368">
        <v>1929</v>
      </c>
    </row>
    <row r="1369" spans="1:2" x14ac:dyDescent="0.25">
      <c r="A1369" t="s">
        <v>1426</v>
      </c>
      <c r="B1369">
        <v>1931</v>
      </c>
    </row>
    <row r="1370" spans="1:2" x14ac:dyDescent="0.25">
      <c r="A1370" t="s">
        <v>1427</v>
      </c>
      <c r="B1370">
        <v>1932</v>
      </c>
    </row>
    <row r="1371" spans="1:2" x14ac:dyDescent="0.25">
      <c r="A1371" t="s">
        <v>1428</v>
      </c>
      <c r="B1371">
        <v>1933</v>
      </c>
    </row>
    <row r="1372" spans="1:2" x14ac:dyDescent="0.25">
      <c r="A1372" t="s">
        <v>1429</v>
      </c>
      <c r="B1372">
        <v>1934</v>
      </c>
    </row>
    <row r="1373" spans="1:2" x14ac:dyDescent="0.25">
      <c r="A1373" t="s">
        <v>1430</v>
      </c>
      <c r="B1373">
        <v>1935</v>
      </c>
    </row>
    <row r="1374" spans="1:2" x14ac:dyDescent="0.25">
      <c r="A1374" t="s">
        <v>1431</v>
      </c>
      <c r="B1374">
        <v>1936</v>
      </c>
    </row>
    <row r="1375" spans="1:2" x14ac:dyDescent="0.25">
      <c r="A1375" t="s">
        <v>1432</v>
      </c>
      <c r="B1375">
        <v>1937</v>
      </c>
    </row>
    <row r="1376" spans="1:2" x14ac:dyDescent="0.25">
      <c r="A1376" t="s">
        <v>1433</v>
      </c>
      <c r="B1376">
        <v>1938</v>
      </c>
    </row>
    <row r="1377" spans="1:2" x14ac:dyDescent="0.25">
      <c r="A1377" t="s">
        <v>1434</v>
      </c>
      <c r="B1377">
        <v>1939</v>
      </c>
    </row>
    <row r="1378" spans="1:2" x14ac:dyDescent="0.25">
      <c r="A1378" t="s">
        <v>1435</v>
      </c>
      <c r="B1378">
        <v>1940</v>
      </c>
    </row>
    <row r="1379" spans="1:2" x14ac:dyDescent="0.25">
      <c r="A1379" t="s">
        <v>1436</v>
      </c>
      <c r="B1379">
        <v>1941</v>
      </c>
    </row>
    <row r="1380" spans="1:2" x14ac:dyDescent="0.25">
      <c r="A1380" t="s">
        <v>1437</v>
      </c>
      <c r="B1380">
        <v>1943</v>
      </c>
    </row>
    <row r="1381" spans="1:2" x14ac:dyDescent="0.25">
      <c r="A1381" t="s">
        <v>1438</v>
      </c>
      <c r="B1381">
        <v>1944</v>
      </c>
    </row>
    <row r="1382" spans="1:2" x14ac:dyDescent="0.25">
      <c r="A1382" t="s">
        <v>1439</v>
      </c>
      <c r="B1382">
        <v>1945</v>
      </c>
    </row>
    <row r="1383" spans="1:2" x14ac:dyDescent="0.25">
      <c r="A1383" t="s">
        <v>1440</v>
      </c>
      <c r="B1383">
        <v>1947</v>
      </c>
    </row>
    <row r="1384" spans="1:2" x14ac:dyDescent="0.25">
      <c r="A1384" t="s">
        <v>1441</v>
      </c>
      <c r="B1384">
        <v>1948</v>
      </c>
    </row>
    <row r="1385" spans="1:2" x14ac:dyDescent="0.25">
      <c r="A1385" t="s">
        <v>1442</v>
      </c>
      <c r="B1385">
        <v>1949</v>
      </c>
    </row>
    <row r="1386" spans="1:2" x14ac:dyDescent="0.25">
      <c r="A1386" t="s">
        <v>1443</v>
      </c>
      <c r="B1386">
        <v>1950</v>
      </c>
    </row>
    <row r="1387" spans="1:2" x14ac:dyDescent="0.25">
      <c r="A1387" t="s">
        <v>1444</v>
      </c>
      <c r="B1387">
        <v>1951</v>
      </c>
    </row>
    <row r="1388" spans="1:2" x14ac:dyDescent="0.25">
      <c r="A1388" t="s">
        <v>1445</v>
      </c>
      <c r="B1388">
        <v>1952</v>
      </c>
    </row>
    <row r="1389" spans="1:2" x14ac:dyDescent="0.25">
      <c r="A1389" t="s">
        <v>1446</v>
      </c>
      <c r="B1389">
        <v>1954</v>
      </c>
    </row>
    <row r="1390" spans="1:2" x14ac:dyDescent="0.25">
      <c r="A1390" t="s">
        <v>1447</v>
      </c>
      <c r="B1390">
        <v>1955</v>
      </c>
    </row>
    <row r="1391" spans="1:2" x14ac:dyDescent="0.25">
      <c r="A1391" t="s">
        <v>1448</v>
      </c>
      <c r="B1391">
        <v>1956</v>
      </c>
    </row>
    <row r="1392" spans="1:2" x14ac:dyDescent="0.25">
      <c r="A1392" t="s">
        <v>1449</v>
      </c>
      <c r="B1392">
        <v>1960</v>
      </c>
    </row>
    <row r="1393" spans="1:2" x14ac:dyDescent="0.25">
      <c r="A1393" t="s">
        <v>1450</v>
      </c>
      <c r="B1393">
        <v>1961</v>
      </c>
    </row>
    <row r="1394" spans="1:2" x14ac:dyDescent="0.25">
      <c r="A1394" t="s">
        <v>1451</v>
      </c>
      <c r="B1394">
        <v>1962</v>
      </c>
    </row>
    <row r="1395" spans="1:2" x14ac:dyDescent="0.25">
      <c r="A1395" t="s">
        <v>1452</v>
      </c>
      <c r="B1395">
        <v>1965</v>
      </c>
    </row>
    <row r="1396" spans="1:2" x14ac:dyDescent="0.25">
      <c r="A1396" t="s">
        <v>1453</v>
      </c>
      <c r="B1396">
        <v>1966</v>
      </c>
    </row>
    <row r="1397" spans="1:2" x14ac:dyDescent="0.25">
      <c r="A1397" t="s">
        <v>1454</v>
      </c>
      <c r="B1397">
        <v>1967</v>
      </c>
    </row>
    <row r="1398" spans="1:2" x14ac:dyDescent="0.25">
      <c r="A1398" t="s">
        <v>1455</v>
      </c>
      <c r="B1398">
        <v>1968</v>
      </c>
    </row>
    <row r="1399" spans="1:2" x14ac:dyDescent="0.25">
      <c r="A1399" t="s">
        <v>1456</v>
      </c>
      <c r="B1399">
        <v>1969</v>
      </c>
    </row>
    <row r="1400" spans="1:2" x14ac:dyDescent="0.25">
      <c r="A1400" t="s">
        <v>1457</v>
      </c>
      <c r="B1400">
        <v>1970</v>
      </c>
    </row>
    <row r="1401" spans="1:2" x14ac:dyDescent="0.25">
      <c r="A1401" t="s">
        <v>1458</v>
      </c>
      <c r="B1401">
        <v>1971</v>
      </c>
    </row>
    <row r="1402" spans="1:2" x14ac:dyDescent="0.25">
      <c r="A1402" t="s">
        <v>1459</v>
      </c>
      <c r="B1402">
        <v>1972</v>
      </c>
    </row>
    <row r="1403" spans="1:2" x14ac:dyDescent="0.25">
      <c r="A1403" t="s">
        <v>1460</v>
      </c>
      <c r="B1403">
        <v>1973</v>
      </c>
    </row>
    <row r="1404" spans="1:2" x14ac:dyDescent="0.25">
      <c r="A1404" t="s">
        <v>1461</v>
      </c>
      <c r="B1404">
        <v>1974</v>
      </c>
    </row>
    <row r="1405" spans="1:2" x14ac:dyDescent="0.25">
      <c r="A1405" t="s">
        <v>1462</v>
      </c>
      <c r="B1405">
        <v>1975</v>
      </c>
    </row>
    <row r="1406" spans="1:2" x14ac:dyDescent="0.25">
      <c r="A1406" t="s">
        <v>1463</v>
      </c>
      <c r="B1406">
        <v>1976</v>
      </c>
    </row>
    <row r="1407" spans="1:2" x14ac:dyDescent="0.25">
      <c r="A1407" t="s">
        <v>1464</v>
      </c>
      <c r="B1407">
        <v>1979</v>
      </c>
    </row>
    <row r="1408" spans="1:2" x14ac:dyDescent="0.25">
      <c r="A1408" t="s">
        <v>1465</v>
      </c>
      <c r="B1408">
        <v>1980</v>
      </c>
    </row>
    <row r="1409" spans="1:2" x14ac:dyDescent="0.25">
      <c r="A1409" t="s">
        <v>1466</v>
      </c>
      <c r="B1409">
        <v>1981</v>
      </c>
    </row>
    <row r="1410" spans="1:2" x14ac:dyDescent="0.25">
      <c r="A1410" t="s">
        <v>1467</v>
      </c>
      <c r="B1410">
        <v>1982</v>
      </c>
    </row>
    <row r="1411" spans="1:2" x14ac:dyDescent="0.25">
      <c r="A1411" t="s">
        <v>1468</v>
      </c>
      <c r="B1411">
        <v>1985</v>
      </c>
    </row>
    <row r="1412" spans="1:2" x14ac:dyDescent="0.25">
      <c r="A1412" t="s">
        <v>1469</v>
      </c>
      <c r="B1412">
        <v>1986</v>
      </c>
    </row>
    <row r="1413" spans="1:2" x14ac:dyDescent="0.25">
      <c r="A1413" t="s">
        <v>1470</v>
      </c>
      <c r="B1413">
        <v>1987</v>
      </c>
    </row>
    <row r="1414" spans="1:2" x14ac:dyDescent="0.25">
      <c r="A1414" t="s">
        <v>1471</v>
      </c>
      <c r="B1414">
        <v>1989</v>
      </c>
    </row>
    <row r="1415" spans="1:2" x14ac:dyDescent="0.25">
      <c r="A1415" t="s">
        <v>1472</v>
      </c>
      <c r="B1415">
        <v>1992</v>
      </c>
    </row>
    <row r="1416" spans="1:2" x14ac:dyDescent="0.25">
      <c r="A1416" t="s">
        <v>1473</v>
      </c>
      <c r="B1416">
        <v>1993</v>
      </c>
    </row>
    <row r="1417" spans="1:2" x14ac:dyDescent="0.25">
      <c r="A1417" t="s">
        <v>1474</v>
      </c>
      <c r="B1417">
        <v>1994</v>
      </c>
    </row>
    <row r="1418" spans="1:2" x14ac:dyDescent="0.25">
      <c r="A1418" t="s">
        <v>1475</v>
      </c>
      <c r="B1418">
        <v>1995</v>
      </c>
    </row>
    <row r="1419" spans="1:2" x14ac:dyDescent="0.25">
      <c r="A1419" t="s">
        <v>1476</v>
      </c>
      <c r="B1419">
        <v>1996</v>
      </c>
    </row>
    <row r="1420" spans="1:2" x14ac:dyDescent="0.25">
      <c r="A1420" t="s">
        <v>1477</v>
      </c>
      <c r="B1420">
        <v>1997</v>
      </c>
    </row>
    <row r="1421" spans="1:2" x14ac:dyDescent="0.25">
      <c r="A1421" t="s">
        <v>1478</v>
      </c>
      <c r="B1421">
        <v>1998</v>
      </c>
    </row>
    <row r="1422" spans="1:2" x14ac:dyDescent="0.25">
      <c r="A1422" t="s">
        <v>1479</v>
      </c>
      <c r="B1422">
        <v>1999</v>
      </c>
    </row>
    <row r="1423" spans="1:2" x14ac:dyDescent="0.25">
      <c r="A1423" t="s">
        <v>1480</v>
      </c>
      <c r="B1423">
        <v>2000</v>
      </c>
    </row>
    <row r="1424" spans="1:2" x14ac:dyDescent="0.25">
      <c r="A1424" t="s">
        <v>1481</v>
      </c>
      <c r="B1424">
        <v>2003</v>
      </c>
    </row>
    <row r="1425" spans="1:2" x14ac:dyDescent="0.25">
      <c r="A1425" t="s">
        <v>1482</v>
      </c>
      <c r="B1425">
        <v>2007</v>
      </c>
    </row>
    <row r="1426" spans="1:2" x14ac:dyDescent="0.25">
      <c r="A1426" t="s">
        <v>1483</v>
      </c>
      <c r="B1426">
        <v>2008</v>
      </c>
    </row>
    <row r="1427" spans="1:2" x14ac:dyDescent="0.25">
      <c r="A1427" t="s">
        <v>1484</v>
      </c>
      <c r="B1427">
        <v>2009</v>
      </c>
    </row>
    <row r="1428" spans="1:2" x14ac:dyDescent="0.25">
      <c r="A1428" t="s">
        <v>1485</v>
      </c>
      <c r="B1428">
        <v>2010</v>
      </c>
    </row>
    <row r="1429" spans="1:2" x14ac:dyDescent="0.25">
      <c r="A1429" t="s">
        <v>1486</v>
      </c>
      <c r="B1429">
        <v>2012</v>
      </c>
    </row>
    <row r="1430" spans="1:2" x14ac:dyDescent="0.25">
      <c r="A1430" t="s">
        <v>1487</v>
      </c>
      <c r="B1430">
        <v>2013</v>
      </c>
    </row>
    <row r="1431" spans="1:2" x14ac:dyDescent="0.25">
      <c r="A1431" t="s">
        <v>1488</v>
      </c>
      <c r="B1431">
        <v>2014</v>
      </c>
    </row>
    <row r="1432" spans="1:2" x14ac:dyDescent="0.25">
      <c r="A1432" t="s">
        <v>1489</v>
      </c>
      <c r="B1432">
        <v>2015</v>
      </c>
    </row>
    <row r="1433" spans="1:2" x14ac:dyDescent="0.25">
      <c r="A1433" t="s">
        <v>1490</v>
      </c>
      <c r="B1433">
        <v>2016</v>
      </c>
    </row>
    <row r="1434" spans="1:2" x14ac:dyDescent="0.25">
      <c r="A1434" t="s">
        <v>1491</v>
      </c>
      <c r="B1434">
        <v>2017</v>
      </c>
    </row>
    <row r="1435" spans="1:2" x14ac:dyDescent="0.25">
      <c r="A1435" t="s">
        <v>1492</v>
      </c>
      <c r="B1435">
        <v>2018</v>
      </c>
    </row>
    <row r="1436" spans="1:2" x14ac:dyDescent="0.25">
      <c r="A1436" t="s">
        <v>1493</v>
      </c>
      <c r="B1436">
        <v>2019</v>
      </c>
    </row>
    <row r="1437" spans="1:2" x14ac:dyDescent="0.25">
      <c r="A1437" t="s">
        <v>1494</v>
      </c>
      <c r="B1437">
        <v>2020</v>
      </c>
    </row>
    <row r="1438" spans="1:2" x14ac:dyDescent="0.25">
      <c r="A1438" t="s">
        <v>1495</v>
      </c>
      <c r="B1438">
        <v>2021</v>
      </c>
    </row>
    <row r="1439" spans="1:2" x14ac:dyDescent="0.25">
      <c r="A1439" t="s">
        <v>1496</v>
      </c>
      <c r="B1439">
        <v>2022</v>
      </c>
    </row>
    <row r="1440" spans="1:2" x14ac:dyDescent="0.25">
      <c r="A1440" t="s">
        <v>1497</v>
      </c>
      <c r="B1440">
        <v>2023</v>
      </c>
    </row>
    <row r="1441" spans="1:2" x14ac:dyDescent="0.25">
      <c r="A1441" t="s">
        <v>1498</v>
      </c>
      <c r="B1441">
        <v>2024</v>
      </c>
    </row>
    <row r="1442" spans="1:2" x14ac:dyDescent="0.25">
      <c r="A1442" t="s">
        <v>1499</v>
      </c>
      <c r="B1442">
        <v>2025</v>
      </c>
    </row>
    <row r="1443" spans="1:2" x14ac:dyDescent="0.25">
      <c r="A1443" t="s">
        <v>1500</v>
      </c>
      <c r="B1443">
        <v>2026</v>
      </c>
    </row>
    <row r="1444" spans="1:2" x14ac:dyDescent="0.25">
      <c r="A1444" t="s">
        <v>1501</v>
      </c>
      <c r="B1444">
        <v>2027</v>
      </c>
    </row>
    <row r="1445" spans="1:2" x14ac:dyDescent="0.25">
      <c r="A1445" t="s">
        <v>1502</v>
      </c>
      <c r="B1445">
        <v>2031</v>
      </c>
    </row>
    <row r="1446" spans="1:2" x14ac:dyDescent="0.25">
      <c r="A1446" t="s">
        <v>1503</v>
      </c>
      <c r="B1446">
        <v>2032</v>
      </c>
    </row>
    <row r="1447" spans="1:2" x14ac:dyDescent="0.25">
      <c r="A1447" t="s">
        <v>1504</v>
      </c>
      <c r="B1447">
        <v>2034</v>
      </c>
    </row>
    <row r="1448" spans="1:2" x14ac:dyDescent="0.25">
      <c r="A1448" t="s">
        <v>1505</v>
      </c>
      <c r="B1448">
        <v>2035</v>
      </c>
    </row>
    <row r="1449" spans="1:2" x14ac:dyDescent="0.25">
      <c r="A1449" t="s">
        <v>1506</v>
      </c>
      <c r="B1449">
        <v>2036</v>
      </c>
    </row>
    <row r="1450" spans="1:2" x14ac:dyDescent="0.25">
      <c r="A1450" t="s">
        <v>1507</v>
      </c>
      <c r="B1450">
        <v>2037</v>
      </c>
    </row>
    <row r="1451" spans="1:2" x14ac:dyDescent="0.25">
      <c r="A1451" t="s">
        <v>1508</v>
      </c>
      <c r="B1451">
        <v>2038</v>
      </c>
    </row>
    <row r="1452" spans="1:2" x14ac:dyDescent="0.25">
      <c r="A1452" t="s">
        <v>1509</v>
      </c>
      <c r="B1452">
        <v>2040</v>
      </c>
    </row>
    <row r="1453" spans="1:2" x14ac:dyDescent="0.25">
      <c r="A1453" t="s">
        <v>1510</v>
      </c>
      <c r="B1453">
        <v>2041</v>
      </c>
    </row>
    <row r="1454" spans="1:2" x14ac:dyDescent="0.25">
      <c r="A1454" t="s">
        <v>1511</v>
      </c>
      <c r="B1454">
        <v>2044</v>
      </c>
    </row>
    <row r="1455" spans="1:2" x14ac:dyDescent="0.25">
      <c r="A1455" t="s">
        <v>1512</v>
      </c>
      <c r="B1455">
        <v>2045</v>
      </c>
    </row>
    <row r="1456" spans="1:2" x14ac:dyDescent="0.25">
      <c r="A1456" t="s">
        <v>1513</v>
      </c>
      <c r="B1456">
        <v>2046</v>
      </c>
    </row>
    <row r="1457" spans="1:2" x14ac:dyDescent="0.25">
      <c r="A1457" t="s">
        <v>1514</v>
      </c>
      <c r="B1457">
        <v>2048</v>
      </c>
    </row>
    <row r="1458" spans="1:2" x14ac:dyDescent="0.25">
      <c r="A1458" t="s">
        <v>1515</v>
      </c>
      <c r="B1458">
        <v>2049</v>
      </c>
    </row>
    <row r="1459" spans="1:2" x14ac:dyDescent="0.25">
      <c r="A1459" t="s">
        <v>1516</v>
      </c>
      <c r="B1459">
        <v>2051</v>
      </c>
    </row>
    <row r="1460" spans="1:2" x14ac:dyDescent="0.25">
      <c r="A1460" t="s">
        <v>1517</v>
      </c>
      <c r="B1460">
        <v>2052</v>
      </c>
    </row>
    <row r="1461" spans="1:2" x14ac:dyDescent="0.25">
      <c r="A1461" t="s">
        <v>1518</v>
      </c>
      <c r="B1461">
        <v>2053</v>
      </c>
    </row>
    <row r="1462" spans="1:2" x14ac:dyDescent="0.25">
      <c r="A1462" t="s">
        <v>1519</v>
      </c>
      <c r="B1462">
        <v>2054</v>
      </c>
    </row>
    <row r="1463" spans="1:2" x14ac:dyDescent="0.25">
      <c r="A1463" t="s">
        <v>1520</v>
      </c>
      <c r="B1463">
        <v>2055</v>
      </c>
    </row>
    <row r="1464" spans="1:2" x14ac:dyDescent="0.25">
      <c r="A1464" t="s">
        <v>1521</v>
      </c>
      <c r="B1464">
        <v>2056</v>
      </c>
    </row>
    <row r="1465" spans="1:2" x14ac:dyDescent="0.25">
      <c r="A1465" t="s">
        <v>1522</v>
      </c>
      <c r="B1465">
        <v>2057</v>
      </c>
    </row>
    <row r="1466" spans="1:2" x14ac:dyDescent="0.25">
      <c r="A1466" t="s">
        <v>1523</v>
      </c>
      <c r="B1466">
        <v>2060</v>
      </c>
    </row>
    <row r="1467" spans="1:2" x14ac:dyDescent="0.25">
      <c r="A1467" t="s">
        <v>1524</v>
      </c>
      <c r="B1467">
        <v>2061</v>
      </c>
    </row>
    <row r="1468" spans="1:2" x14ac:dyDescent="0.25">
      <c r="A1468" t="s">
        <v>1525</v>
      </c>
      <c r="B1468">
        <v>2062</v>
      </c>
    </row>
    <row r="1469" spans="1:2" x14ac:dyDescent="0.25">
      <c r="A1469" t="s">
        <v>1526</v>
      </c>
      <c r="B1469">
        <v>2064</v>
      </c>
    </row>
    <row r="1470" spans="1:2" x14ac:dyDescent="0.25">
      <c r="A1470" t="s">
        <v>1527</v>
      </c>
      <c r="B1470">
        <v>2065</v>
      </c>
    </row>
    <row r="1471" spans="1:2" x14ac:dyDescent="0.25">
      <c r="A1471" t="s">
        <v>1528</v>
      </c>
      <c r="B1471">
        <v>2068</v>
      </c>
    </row>
  </sheetData>
  <sortState xmlns:xlrd2="http://schemas.microsoft.com/office/spreadsheetml/2017/richdata2" ref="B2:B1471">
    <sortCondition ref="B1:B1471"/>
  </sortState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3566-D061-4493-8A7F-8A802467EF1D}">
  <dimension ref="A1:B3"/>
  <sheetViews>
    <sheetView workbookViewId="0">
      <selection sqref="A1:B1"/>
    </sheetView>
  </sheetViews>
  <sheetFormatPr defaultRowHeight="15" x14ac:dyDescent="0.25"/>
  <cols>
    <col min="1" max="1" width="14.5703125" customWidth="1"/>
    <col min="2" max="2" width="10.7109375" customWidth="1"/>
  </cols>
  <sheetData>
    <row r="1" spans="1:2" x14ac:dyDescent="0.25">
      <c r="A1" t="s">
        <v>1629</v>
      </c>
      <c r="B1" t="s">
        <v>1</v>
      </c>
    </row>
    <row r="2" spans="1:2" x14ac:dyDescent="0.25">
      <c r="A2" t="s">
        <v>1555</v>
      </c>
      <c r="B2" t="s">
        <v>32</v>
      </c>
    </row>
    <row r="3" spans="1:2" x14ac:dyDescent="0.25">
      <c r="A3" t="s">
        <v>1556</v>
      </c>
      <c r="B3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A614-C4F8-46E3-AB48-18AD0705FC82}">
  <dimension ref="A1:B4"/>
  <sheetViews>
    <sheetView workbookViewId="0">
      <selection sqref="A1:B1"/>
    </sheetView>
  </sheetViews>
  <sheetFormatPr defaultRowHeight="15" x14ac:dyDescent="0.25"/>
  <cols>
    <col min="1" max="1" width="19" customWidth="1"/>
    <col min="2" max="2" width="16.28515625" customWidth="1"/>
  </cols>
  <sheetData>
    <row r="1" spans="1:2" x14ac:dyDescent="0.25">
      <c r="A1" t="s">
        <v>58</v>
      </c>
      <c r="B1" t="s">
        <v>2</v>
      </c>
    </row>
    <row r="2" spans="1:2" x14ac:dyDescent="0.25">
      <c r="A2" t="s">
        <v>1552</v>
      </c>
      <c r="B2" t="s">
        <v>34</v>
      </c>
    </row>
    <row r="3" spans="1:2" x14ac:dyDescent="0.25">
      <c r="A3" t="s">
        <v>1553</v>
      </c>
      <c r="B3" t="s">
        <v>35</v>
      </c>
    </row>
    <row r="4" spans="1:2" x14ac:dyDescent="0.25">
      <c r="A4" t="s">
        <v>1554</v>
      </c>
      <c r="B4" t="s">
        <v>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BAF7-B581-44FC-8AA3-0E534A0C2FE8}">
  <dimension ref="A1:B4"/>
  <sheetViews>
    <sheetView workbookViewId="0">
      <selection sqref="A1:B1"/>
    </sheetView>
  </sheetViews>
  <sheetFormatPr defaultRowHeight="15" x14ac:dyDescent="0.25"/>
  <cols>
    <col min="1" max="1" width="17.7109375" customWidth="1"/>
    <col min="2" max="2" width="23.85546875" bestFit="1" customWidth="1"/>
  </cols>
  <sheetData>
    <row r="1" spans="1:2" x14ac:dyDescent="0.25">
      <c r="A1" t="s">
        <v>1530</v>
      </c>
      <c r="B1" t="s">
        <v>4</v>
      </c>
    </row>
    <row r="2" spans="1:2" x14ac:dyDescent="0.25">
      <c r="A2" t="s">
        <v>1549</v>
      </c>
      <c r="B2" t="s">
        <v>37</v>
      </c>
    </row>
    <row r="3" spans="1:2" x14ac:dyDescent="0.25">
      <c r="A3" t="s">
        <v>1550</v>
      </c>
      <c r="B3" t="s">
        <v>38</v>
      </c>
    </row>
    <row r="4" spans="1:2" x14ac:dyDescent="0.25">
      <c r="A4" t="s">
        <v>1551</v>
      </c>
      <c r="B4" t="s">
        <v>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4F89-5F6D-42AC-B6A2-E7FFD926A73A}">
  <dimension ref="A1:C8"/>
  <sheetViews>
    <sheetView workbookViewId="0">
      <selection sqref="A1:C1"/>
    </sheetView>
  </sheetViews>
  <sheetFormatPr defaultRowHeight="15" x14ac:dyDescent="0.25"/>
  <cols>
    <col min="1" max="1" width="14.5703125" customWidth="1"/>
    <col min="2" max="2" width="11.85546875" customWidth="1"/>
    <col min="3" max="3" width="13.85546875" bestFit="1" customWidth="1"/>
  </cols>
  <sheetData>
    <row r="1" spans="1:3" x14ac:dyDescent="0.25">
      <c r="A1" t="s">
        <v>1531</v>
      </c>
      <c r="B1" t="s">
        <v>6</v>
      </c>
      <c r="C1" t="s">
        <v>1633</v>
      </c>
    </row>
    <row r="2" spans="1:3" x14ac:dyDescent="0.25">
      <c r="A2" t="s">
        <v>1532</v>
      </c>
      <c r="B2">
        <v>1</v>
      </c>
      <c r="C2" t="s">
        <v>1565</v>
      </c>
    </row>
    <row r="3" spans="1:3" x14ac:dyDescent="0.25">
      <c r="A3" t="s">
        <v>1533</v>
      </c>
      <c r="B3">
        <v>2</v>
      </c>
      <c r="C3" t="s">
        <v>1566</v>
      </c>
    </row>
    <row r="4" spans="1:3" x14ac:dyDescent="0.25">
      <c r="A4" t="s">
        <v>1534</v>
      </c>
      <c r="B4">
        <v>3</v>
      </c>
      <c r="C4" t="s">
        <v>1567</v>
      </c>
    </row>
    <row r="5" spans="1:3" x14ac:dyDescent="0.25">
      <c r="A5" t="s">
        <v>1535</v>
      </c>
      <c r="B5">
        <v>4</v>
      </c>
      <c r="C5" t="s">
        <v>1568</v>
      </c>
    </row>
    <row r="6" spans="1:3" x14ac:dyDescent="0.25">
      <c r="A6" t="s">
        <v>1536</v>
      </c>
      <c r="B6">
        <v>5</v>
      </c>
      <c r="C6" t="s">
        <v>1569</v>
      </c>
    </row>
    <row r="8" spans="1:3" x14ac:dyDescent="0.25">
      <c r="A8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50B4-AB68-4C66-BE80-495E604B4BFF}">
  <dimension ref="A1:B7"/>
  <sheetViews>
    <sheetView workbookViewId="0">
      <selection sqref="A1:B1"/>
    </sheetView>
  </sheetViews>
  <sheetFormatPr defaultRowHeight="15" x14ac:dyDescent="0.25"/>
  <cols>
    <col min="1" max="1" width="14.5703125" customWidth="1"/>
    <col min="2" max="2" width="16.28515625" customWidth="1"/>
  </cols>
  <sheetData>
    <row r="1" spans="1:2" x14ac:dyDescent="0.25">
      <c r="A1" t="s">
        <v>1537</v>
      </c>
      <c r="B1" t="s">
        <v>7</v>
      </c>
    </row>
    <row r="2" spans="1:2" x14ac:dyDescent="0.25">
      <c r="A2" t="s">
        <v>1538</v>
      </c>
      <c r="B2" t="s">
        <v>40</v>
      </c>
    </row>
    <row r="3" spans="1:2" x14ac:dyDescent="0.25">
      <c r="A3" t="s">
        <v>1539</v>
      </c>
      <c r="B3" t="s">
        <v>41</v>
      </c>
    </row>
    <row r="4" spans="1:2" x14ac:dyDescent="0.25">
      <c r="A4" t="s">
        <v>1540</v>
      </c>
      <c r="B4" t="s">
        <v>42</v>
      </c>
    </row>
    <row r="5" spans="1:2" x14ac:dyDescent="0.25">
      <c r="A5" t="s">
        <v>1541</v>
      </c>
      <c r="B5" t="s">
        <v>43</v>
      </c>
    </row>
    <row r="6" spans="1:2" x14ac:dyDescent="0.25">
      <c r="A6" t="s">
        <v>1542</v>
      </c>
      <c r="B6" t="s">
        <v>44</v>
      </c>
    </row>
    <row r="7" spans="1:2" x14ac:dyDescent="0.25">
      <c r="A7" t="s">
        <v>1543</v>
      </c>
      <c r="B7" t="s">
        <v>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2944-94A9-4DCF-939E-55CB467D1BA5}">
  <dimension ref="A1:C7"/>
  <sheetViews>
    <sheetView workbookViewId="0">
      <selection activeCell="C1" sqref="A1:C1"/>
    </sheetView>
  </sheetViews>
  <sheetFormatPr defaultRowHeight="15" x14ac:dyDescent="0.25"/>
  <cols>
    <col min="1" max="1" width="26.42578125" customWidth="1"/>
    <col min="2" max="2" width="24.85546875" customWidth="1"/>
    <col min="3" max="3" width="11.42578125" bestFit="1" customWidth="1"/>
  </cols>
  <sheetData>
    <row r="1" spans="1:3" x14ac:dyDescent="0.25">
      <c r="A1" t="s">
        <v>1544</v>
      </c>
      <c r="B1" t="s">
        <v>9</v>
      </c>
      <c r="C1" t="s">
        <v>1633</v>
      </c>
    </row>
    <row r="2" spans="1:3" x14ac:dyDescent="0.25">
      <c r="A2" t="s">
        <v>1545</v>
      </c>
      <c r="B2">
        <v>1</v>
      </c>
      <c r="C2" t="s">
        <v>1570</v>
      </c>
    </row>
    <row r="3" spans="1:3" x14ac:dyDescent="0.25">
      <c r="A3" t="s">
        <v>1546</v>
      </c>
      <c r="B3">
        <v>2</v>
      </c>
      <c r="C3" t="s">
        <v>1571</v>
      </c>
    </row>
    <row r="4" spans="1:3" x14ac:dyDescent="0.25">
      <c r="A4" t="s">
        <v>1547</v>
      </c>
      <c r="B4">
        <v>3</v>
      </c>
      <c r="C4" t="s">
        <v>1572</v>
      </c>
    </row>
    <row r="5" spans="1:3" x14ac:dyDescent="0.25">
      <c r="A5" t="s">
        <v>1548</v>
      </c>
      <c r="B5">
        <v>4</v>
      </c>
      <c r="C5" t="s">
        <v>1573</v>
      </c>
    </row>
    <row r="7" spans="1:3" x14ac:dyDescent="0.25">
      <c r="A7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CB4D-3FA0-4835-A197-530100DF1CEA}">
  <dimension ref="A1:B3"/>
  <sheetViews>
    <sheetView workbookViewId="0">
      <selection sqref="A1:B1"/>
    </sheetView>
  </sheetViews>
  <sheetFormatPr defaultRowHeight="15" x14ac:dyDescent="0.25"/>
  <cols>
    <col min="1" max="1" width="12.5703125" customWidth="1"/>
    <col min="2" max="2" width="9.85546875" customWidth="1"/>
  </cols>
  <sheetData>
    <row r="1" spans="1:2" x14ac:dyDescent="0.25">
      <c r="A1" t="s">
        <v>1557</v>
      </c>
      <c r="B1" t="s">
        <v>10</v>
      </c>
    </row>
    <row r="2" spans="1:2" x14ac:dyDescent="0.25">
      <c r="A2" t="s">
        <v>1558</v>
      </c>
      <c r="B2" t="s">
        <v>45</v>
      </c>
    </row>
    <row r="3" spans="1:2" x14ac:dyDescent="0.25">
      <c r="A3" t="s">
        <v>1559</v>
      </c>
      <c r="B3" t="s">
        <v>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3336-133F-4421-ACA2-2156607298A5}">
  <dimension ref="A1:H8"/>
  <sheetViews>
    <sheetView workbookViewId="0">
      <selection sqref="A1:C1"/>
    </sheetView>
  </sheetViews>
  <sheetFormatPr defaultRowHeight="15" x14ac:dyDescent="0.25"/>
  <cols>
    <col min="1" max="1" width="20.140625" customWidth="1"/>
    <col min="2" max="2" width="17.42578125" customWidth="1"/>
  </cols>
  <sheetData>
    <row r="1" spans="1:8" x14ac:dyDescent="0.25">
      <c r="A1" t="s">
        <v>1560</v>
      </c>
      <c r="B1" t="s">
        <v>12</v>
      </c>
      <c r="C1" t="s">
        <v>1633</v>
      </c>
    </row>
    <row r="2" spans="1:8" x14ac:dyDescent="0.25">
      <c r="A2" t="s">
        <v>1561</v>
      </c>
      <c r="B2">
        <v>1</v>
      </c>
      <c r="C2" t="s">
        <v>1570</v>
      </c>
    </row>
    <row r="3" spans="1:8" x14ac:dyDescent="0.25">
      <c r="A3" t="s">
        <v>1562</v>
      </c>
      <c r="B3">
        <v>2</v>
      </c>
      <c r="C3" t="s">
        <v>1571</v>
      </c>
      <c r="H3" s="2"/>
    </row>
    <row r="4" spans="1:8" x14ac:dyDescent="0.25">
      <c r="A4" t="s">
        <v>1563</v>
      </c>
      <c r="B4">
        <v>3</v>
      </c>
      <c r="C4" t="s">
        <v>1572</v>
      </c>
    </row>
    <row r="5" spans="1:8" x14ac:dyDescent="0.25">
      <c r="A5" t="s">
        <v>1564</v>
      </c>
      <c r="B5">
        <v>4</v>
      </c>
      <c r="C5" t="s">
        <v>1573</v>
      </c>
    </row>
    <row r="8" spans="1:8" x14ac:dyDescent="0.25">
      <c r="A8" s="3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62CB-49F7-47A7-A3C1-9C99AA52D69A}">
  <dimension ref="A1:B6"/>
  <sheetViews>
    <sheetView workbookViewId="0">
      <selection sqref="A1:B1"/>
    </sheetView>
  </sheetViews>
  <sheetFormatPr defaultRowHeight="15" x14ac:dyDescent="0.25"/>
  <cols>
    <col min="1" max="1" width="13.5703125" customWidth="1"/>
    <col min="2" max="2" width="10.85546875" customWidth="1"/>
  </cols>
  <sheetData>
    <row r="1" spans="1:2" x14ac:dyDescent="0.25">
      <c r="A1" t="s">
        <v>1574</v>
      </c>
      <c r="B1" t="s">
        <v>13</v>
      </c>
    </row>
    <row r="2" spans="1:2" x14ac:dyDescent="0.25">
      <c r="A2" t="s">
        <v>1575</v>
      </c>
      <c r="B2">
        <v>1</v>
      </c>
    </row>
    <row r="3" spans="1:2" x14ac:dyDescent="0.25">
      <c r="A3" t="s">
        <v>1576</v>
      </c>
      <c r="B3">
        <v>2</v>
      </c>
    </row>
    <row r="4" spans="1:2" x14ac:dyDescent="0.25">
      <c r="A4" t="s">
        <v>1577</v>
      </c>
      <c r="B4">
        <v>3</v>
      </c>
    </row>
    <row r="5" spans="1:2" x14ac:dyDescent="0.25">
      <c r="A5" t="s">
        <v>1578</v>
      </c>
      <c r="B5">
        <v>4</v>
      </c>
    </row>
    <row r="6" spans="1:2" x14ac:dyDescent="0.25">
      <c r="A6" t="s">
        <v>1579</v>
      </c>
      <c r="B6"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3A83-363A-48D3-866F-7AC5C286F945}">
  <dimension ref="A1:B10"/>
  <sheetViews>
    <sheetView workbookViewId="0">
      <selection activeCellId="1" sqref="B1 A1"/>
    </sheetView>
  </sheetViews>
  <sheetFormatPr defaultRowHeight="15" x14ac:dyDescent="0.25"/>
  <cols>
    <col min="1" max="1" width="12.85546875" customWidth="1"/>
    <col min="2" max="2" width="25" bestFit="1" customWidth="1"/>
  </cols>
  <sheetData>
    <row r="1" spans="1:2" x14ac:dyDescent="0.25">
      <c r="A1" t="s">
        <v>1580</v>
      </c>
      <c r="B1" t="s">
        <v>14</v>
      </c>
    </row>
    <row r="2" spans="1:2" x14ac:dyDescent="0.25">
      <c r="A2" t="s">
        <v>1581</v>
      </c>
      <c r="B2" t="s">
        <v>47</v>
      </c>
    </row>
    <row r="3" spans="1:2" x14ac:dyDescent="0.25">
      <c r="A3" t="s">
        <v>1582</v>
      </c>
      <c r="B3" t="s">
        <v>48</v>
      </c>
    </row>
    <row r="4" spans="1:2" x14ac:dyDescent="0.25">
      <c r="A4" t="s">
        <v>1583</v>
      </c>
      <c r="B4" t="s">
        <v>49</v>
      </c>
    </row>
    <row r="5" spans="1:2" x14ac:dyDescent="0.25">
      <c r="A5" t="s">
        <v>1584</v>
      </c>
      <c r="B5" t="s">
        <v>50</v>
      </c>
    </row>
    <row r="6" spans="1:2" x14ac:dyDescent="0.25">
      <c r="A6" t="s">
        <v>1585</v>
      </c>
      <c r="B6" t="s">
        <v>51</v>
      </c>
    </row>
    <row r="7" spans="1:2" x14ac:dyDescent="0.25">
      <c r="A7" t="s">
        <v>1586</v>
      </c>
      <c r="B7" t="s">
        <v>52</v>
      </c>
    </row>
    <row r="8" spans="1:2" x14ac:dyDescent="0.25">
      <c r="A8" t="s">
        <v>1587</v>
      </c>
      <c r="B8" t="s">
        <v>53</v>
      </c>
    </row>
    <row r="9" spans="1:2" x14ac:dyDescent="0.25">
      <c r="A9" t="s">
        <v>1588</v>
      </c>
      <c r="B9" t="s">
        <v>54</v>
      </c>
    </row>
    <row r="10" spans="1:2" x14ac:dyDescent="0.25">
      <c r="A10" t="s">
        <v>1589</v>
      </c>
      <c r="B10" t="s">
        <v>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E68B-1DB5-4F7A-9C4B-27ADF8EDAB2E}">
  <dimension ref="A1:C8"/>
  <sheetViews>
    <sheetView workbookViewId="0">
      <selection sqref="A1:C1"/>
    </sheetView>
  </sheetViews>
  <sheetFormatPr defaultRowHeight="15" x14ac:dyDescent="0.25"/>
  <cols>
    <col min="1" max="1" width="19.140625" customWidth="1"/>
    <col min="2" max="2" width="16.42578125" customWidth="1"/>
  </cols>
  <sheetData>
    <row r="1" spans="1:3" x14ac:dyDescent="0.25">
      <c r="A1" t="s">
        <v>1590</v>
      </c>
      <c r="B1" t="s">
        <v>15</v>
      </c>
      <c r="C1" t="s">
        <v>1633</v>
      </c>
    </row>
    <row r="2" spans="1:3" x14ac:dyDescent="0.25">
      <c r="A2" t="s">
        <v>1591</v>
      </c>
      <c r="B2">
        <v>1</v>
      </c>
      <c r="C2" t="s">
        <v>1570</v>
      </c>
    </row>
    <row r="3" spans="1:3" x14ac:dyDescent="0.25">
      <c r="A3" t="s">
        <v>1592</v>
      </c>
      <c r="B3">
        <v>2</v>
      </c>
      <c r="C3" t="s">
        <v>1571</v>
      </c>
    </row>
    <row r="4" spans="1:3" x14ac:dyDescent="0.25">
      <c r="A4" t="s">
        <v>1593</v>
      </c>
      <c r="B4">
        <v>3</v>
      </c>
      <c r="C4" t="s">
        <v>1572</v>
      </c>
    </row>
    <row r="5" spans="1:3" x14ac:dyDescent="0.25">
      <c r="A5" t="s">
        <v>1594</v>
      </c>
      <c r="B5">
        <v>4</v>
      </c>
      <c r="C5" t="s">
        <v>1573</v>
      </c>
    </row>
    <row r="8" spans="1:3" x14ac:dyDescent="0.25">
      <c r="A8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5C06-3A78-4C94-85DE-7E32B221C43B}">
  <dimension ref="A1:B4"/>
  <sheetViews>
    <sheetView workbookViewId="0">
      <selection sqref="A1:B1"/>
    </sheetView>
  </sheetViews>
  <sheetFormatPr defaultRowHeight="15" x14ac:dyDescent="0.25"/>
  <cols>
    <col min="1" max="1" width="17.7109375" customWidth="1"/>
    <col min="2" max="2" width="15" customWidth="1"/>
  </cols>
  <sheetData>
    <row r="1" spans="1:2" x14ac:dyDescent="0.25">
      <c r="A1" t="s">
        <v>1595</v>
      </c>
      <c r="B1" t="s">
        <v>16</v>
      </c>
    </row>
    <row r="2" spans="1:2" x14ac:dyDescent="0.25">
      <c r="A2" t="s">
        <v>1596</v>
      </c>
      <c r="B2" t="s">
        <v>55</v>
      </c>
    </row>
    <row r="3" spans="1:2" x14ac:dyDescent="0.25">
      <c r="A3" t="s">
        <v>1597</v>
      </c>
      <c r="B3" t="s">
        <v>56</v>
      </c>
    </row>
    <row r="4" spans="1:2" x14ac:dyDescent="0.25">
      <c r="A4" t="s">
        <v>1598</v>
      </c>
      <c r="B4" t="s">
        <v>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2820-09CE-4044-B17A-E45496D2E473}">
  <dimension ref="A1:B3"/>
  <sheetViews>
    <sheetView workbookViewId="0">
      <selection sqref="A1:B1"/>
    </sheetView>
  </sheetViews>
  <sheetFormatPr defaultRowHeight="15" x14ac:dyDescent="0.25"/>
  <cols>
    <col min="1" max="1" width="14.5703125" customWidth="1"/>
    <col min="2" max="2" width="11.85546875" customWidth="1"/>
  </cols>
  <sheetData>
    <row r="1" spans="1:2" x14ac:dyDescent="0.25">
      <c r="A1" t="s">
        <v>1599</v>
      </c>
      <c r="B1" t="s">
        <v>20</v>
      </c>
    </row>
    <row r="2" spans="1:2" x14ac:dyDescent="0.25">
      <c r="A2" t="s">
        <v>1600</v>
      </c>
      <c r="B2" t="s">
        <v>32</v>
      </c>
    </row>
    <row r="3" spans="1:2" x14ac:dyDescent="0.25">
      <c r="A3" t="s">
        <v>1601</v>
      </c>
      <c r="B3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918D-8270-40F8-9043-7ADC04A20D36}">
  <dimension ref="A1:C5"/>
  <sheetViews>
    <sheetView workbookViewId="0">
      <selection sqref="A1:C1"/>
    </sheetView>
  </sheetViews>
  <sheetFormatPr defaultRowHeight="15" x14ac:dyDescent="0.25"/>
  <cols>
    <col min="1" max="1" width="22.85546875" customWidth="1"/>
    <col min="2" max="2" width="20.140625" customWidth="1"/>
  </cols>
  <sheetData>
    <row r="1" spans="1:3" x14ac:dyDescent="0.25">
      <c r="A1" t="s">
        <v>1602</v>
      </c>
      <c r="B1" t="s">
        <v>22</v>
      </c>
      <c r="C1" t="s">
        <v>1633</v>
      </c>
    </row>
    <row r="2" spans="1:3" x14ac:dyDescent="0.25">
      <c r="A2" t="s">
        <v>1608</v>
      </c>
      <c r="B2">
        <v>1</v>
      </c>
      <c r="C2" t="s">
        <v>1570</v>
      </c>
    </row>
    <row r="3" spans="1:3" x14ac:dyDescent="0.25">
      <c r="A3" t="s">
        <v>1609</v>
      </c>
      <c r="B3">
        <v>2</v>
      </c>
      <c r="C3" t="s">
        <v>1612</v>
      </c>
    </row>
    <row r="4" spans="1:3" x14ac:dyDescent="0.25">
      <c r="A4" t="s">
        <v>1610</v>
      </c>
      <c r="B4">
        <v>3</v>
      </c>
      <c r="C4" t="s">
        <v>1613</v>
      </c>
    </row>
    <row r="5" spans="1:3" x14ac:dyDescent="0.25">
      <c r="A5" t="s">
        <v>1611</v>
      </c>
      <c r="B5">
        <v>4</v>
      </c>
      <c r="C5" t="s">
        <v>1614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4542-3D09-40B2-AFAE-3A0772FBD9B7}">
  <dimension ref="A1:C7"/>
  <sheetViews>
    <sheetView workbookViewId="0">
      <selection sqref="A1:C1"/>
    </sheetView>
  </sheetViews>
  <sheetFormatPr defaultRowHeight="15" x14ac:dyDescent="0.25"/>
  <cols>
    <col min="1" max="1" width="27.28515625" customWidth="1"/>
    <col min="2" max="2" width="24.5703125" customWidth="1"/>
  </cols>
  <sheetData>
    <row r="1" spans="1:3" x14ac:dyDescent="0.25">
      <c r="A1" t="s">
        <v>1603</v>
      </c>
      <c r="B1" t="s">
        <v>23</v>
      </c>
      <c r="C1" t="s">
        <v>1633</v>
      </c>
    </row>
    <row r="2" spans="1:3" x14ac:dyDescent="0.25">
      <c r="A2" t="s">
        <v>1604</v>
      </c>
      <c r="B2">
        <v>1</v>
      </c>
      <c r="C2" t="s">
        <v>1570</v>
      </c>
    </row>
    <row r="3" spans="1:3" x14ac:dyDescent="0.25">
      <c r="A3" t="s">
        <v>1605</v>
      </c>
      <c r="B3">
        <v>2</v>
      </c>
      <c r="C3" t="s">
        <v>1571</v>
      </c>
    </row>
    <row r="4" spans="1:3" x14ac:dyDescent="0.25">
      <c r="A4" t="s">
        <v>1606</v>
      </c>
      <c r="B4">
        <v>3</v>
      </c>
      <c r="C4" t="s">
        <v>1572</v>
      </c>
    </row>
    <row r="5" spans="1:3" x14ac:dyDescent="0.25">
      <c r="A5" t="s">
        <v>1607</v>
      </c>
      <c r="B5">
        <v>4</v>
      </c>
      <c r="C5" t="s">
        <v>1573</v>
      </c>
    </row>
    <row r="7" spans="1:3" x14ac:dyDescent="0.25">
      <c r="A7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61EB-8C0E-4C0C-A89E-B28FDEC501EB}">
  <dimension ref="A1:C7"/>
  <sheetViews>
    <sheetView workbookViewId="0">
      <selection sqref="A1:C1"/>
    </sheetView>
  </sheetViews>
  <sheetFormatPr defaultRowHeight="15" x14ac:dyDescent="0.25"/>
  <cols>
    <col min="1" max="1" width="21.42578125" customWidth="1"/>
    <col min="2" max="2" width="18.7109375" customWidth="1"/>
  </cols>
  <sheetData>
    <row r="1" spans="1:3" x14ac:dyDescent="0.25">
      <c r="A1" t="s">
        <v>1615</v>
      </c>
      <c r="B1" t="s">
        <v>24</v>
      </c>
      <c r="C1" t="s">
        <v>1633</v>
      </c>
    </row>
    <row r="2" spans="1:3" x14ac:dyDescent="0.25">
      <c r="A2" t="s">
        <v>1616</v>
      </c>
      <c r="B2">
        <v>0</v>
      </c>
      <c r="C2" t="s">
        <v>1620</v>
      </c>
    </row>
    <row r="3" spans="1:3" x14ac:dyDescent="0.25">
      <c r="A3" t="s">
        <v>1617</v>
      </c>
      <c r="B3">
        <v>1</v>
      </c>
      <c r="C3" t="s">
        <v>1621</v>
      </c>
    </row>
    <row r="4" spans="1:3" x14ac:dyDescent="0.25">
      <c r="A4" t="s">
        <v>1618</v>
      </c>
      <c r="B4">
        <v>2</v>
      </c>
      <c r="C4" t="s">
        <v>1622</v>
      </c>
    </row>
    <row r="5" spans="1:3" x14ac:dyDescent="0.25">
      <c r="A5" t="s">
        <v>1619</v>
      </c>
      <c r="B5">
        <v>3</v>
      </c>
      <c r="C5" t="s">
        <v>1623</v>
      </c>
    </row>
    <row r="7" spans="1:3" x14ac:dyDescent="0.25">
      <c r="A7" s="3"/>
    </row>
  </sheetData>
  <sortState xmlns:xlrd2="http://schemas.microsoft.com/office/spreadsheetml/2017/richdata2" ref="B2:B1471">
    <sortCondition ref="B1:B1471"/>
  </sortState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926-F142-4891-BE2D-13C96580C708}">
  <dimension ref="A1:C7"/>
  <sheetViews>
    <sheetView workbookViewId="0">
      <selection sqref="A1:C1"/>
    </sheetView>
  </sheetViews>
  <sheetFormatPr defaultRowHeight="15" x14ac:dyDescent="0.25"/>
  <cols>
    <col min="1" max="1" width="20.85546875" customWidth="1"/>
    <col min="2" max="2" width="18.140625" customWidth="1"/>
  </cols>
  <sheetData>
    <row r="1" spans="1:3" x14ac:dyDescent="0.25">
      <c r="A1" t="s">
        <v>1624</v>
      </c>
      <c r="B1" t="s">
        <v>27</v>
      </c>
      <c r="C1" t="s">
        <v>1633</v>
      </c>
    </row>
    <row r="2" spans="1:3" x14ac:dyDescent="0.25">
      <c r="A2" t="s">
        <v>1625</v>
      </c>
      <c r="B2">
        <v>1</v>
      </c>
      <c r="C2" t="s">
        <v>1630</v>
      </c>
    </row>
    <row r="3" spans="1:3" x14ac:dyDescent="0.25">
      <c r="A3" t="s">
        <v>1627</v>
      </c>
      <c r="B3">
        <v>3</v>
      </c>
      <c r="C3" t="s">
        <v>1612</v>
      </c>
    </row>
    <row r="4" spans="1:3" x14ac:dyDescent="0.25">
      <c r="A4" t="s">
        <v>1626</v>
      </c>
      <c r="B4">
        <v>2</v>
      </c>
      <c r="C4" t="s">
        <v>1631</v>
      </c>
    </row>
    <row r="5" spans="1:3" x14ac:dyDescent="0.25">
      <c r="A5" t="s">
        <v>1628</v>
      </c>
      <c r="B5">
        <v>4</v>
      </c>
      <c r="C5" t="s">
        <v>1632</v>
      </c>
    </row>
    <row r="7" spans="1:3" x14ac:dyDescent="0.25">
      <c r="A7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Master Data</vt:lpstr>
      <vt:lpstr>Tabel_Fakta</vt:lpstr>
      <vt:lpstr>ID_Employee</vt:lpstr>
      <vt:lpstr>Dim_Attrition</vt:lpstr>
      <vt:lpstr>Dim_BusinessTravel</vt:lpstr>
      <vt:lpstr>Dim_Departement</vt:lpstr>
      <vt:lpstr>Dim_Education</vt:lpstr>
      <vt:lpstr>Dim_EducationField</vt:lpstr>
      <vt:lpstr>Dim_EnvironmentSatisfaction</vt:lpstr>
      <vt:lpstr>Dim_Gender</vt:lpstr>
      <vt:lpstr>Dim_JobInvolvement</vt:lpstr>
      <vt:lpstr>Dim_JobLevel</vt:lpstr>
      <vt:lpstr>Dim_JobRole</vt:lpstr>
      <vt:lpstr>Dim_JobSatisfaction</vt:lpstr>
      <vt:lpstr>Dim_MaritalStatus</vt:lpstr>
      <vt:lpstr>Dim_OverTime</vt:lpstr>
      <vt:lpstr>Dim_PerformanceRating</vt:lpstr>
      <vt:lpstr>Dim_RelationshipSatisfaction</vt:lpstr>
      <vt:lpstr>Dim_StockOptionLevel</vt:lpstr>
      <vt:lpstr>Dim_WorkLifeBalance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PPKDJSDG</dc:creator>
  <cp:lastModifiedBy>DA1</cp:lastModifiedBy>
  <dcterms:created xsi:type="dcterms:W3CDTF">2026-07-27T02:47:29Z</dcterms:created>
  <dcterms:modified xsi:type="dcterms:W3CDTF">2026-07-30T01:40:35Z</dcterms:modified>
</cp:coreProperties>
</file>